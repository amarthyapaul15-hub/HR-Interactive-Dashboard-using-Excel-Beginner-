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351A3BD681D7EAEE/Documents/"/>
    </mc:Choice>
  </mc:AlternateContent>
  <xr:revisionPtr revIDLastSave="0" documentId="8_{72B9DCF0-1D1D-4734-A74B-4ADD473580FB}" xr6:coauthVersionLast="47" xr6:coauthVersionMax="47" xr10:uidLastSave="{00000000-0000-0000-0000-000000000000}"/>
  <bookViews>
    <workbookView xWindow="-108" yWindow="-108" windowWidth="23256" windowHeight="12456" xr2:uid="{71C8EEFE-6296-4CD0-983F-032603335395}"/>
  </bookViews>
  <sheets>
    <sheet name="Current Employees" sheetId="1" r:id="rId1"/>
    <sheet name="Pivot" sheetId="3" r:id="rId2"/>
    <sheet name="Dashboard" sheetId="2" r:id="rId3"/>
  </sheets>
  <externalReferences>
    <externalReference r:id="rId4"/>
    <externalReference r:id="rId5"/>
  </externalReferences>
  <definedNames>
    <definedName name="Slicer_Exempt__Non_Exempt">#N/A</definedName>
    <definedName name="Slicer_Exempt__Non_Exempt1">#N/A</definedName>
    <definedName name="Slicer_Gender">#N/A</definedName>
    <definedName name="Slicer_Gender1">#N/A</definedName>
    <definedName name="Slicer_Job_Title">#N/A</definedName>
    <definedName name="Slicer_Job_Title1">#N/A</definedName>
    <definedName name="Slicer_Race">#N/A</definedName>
    <definedName name="Slicer_Race1">#N/A</definedName>
    <definedName name="Slicer_Store_Market">#N/A</definedName>
    <definedName name="Slicer_Store_Market1">#N/A</definedName>
    <definedName name="Slicer_Unit">#N/A</definedName>
    <definedName name="Slicer_Unit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6458" i="1" l="1"/>
  <c r="H6457" i="1"/>
  <c r="H6456" i="1"/>
  <c r="H6455" i="1"/>
  <c r="H6454" i="1"/>
  <c r="H6453" i="1"/>
  <c r="H6452" i="1"/>
  <c r="H6451" i="1"/>
  <c r="H6450" i="1"/>
  <c r="H6449" i="1"/>
  <c r="H6448" i="1"/>
  <c r="H6447" i="1"/>
  <c r="H6446" i="1"/>
  <c r="H6445" i="1"/>
  <c r="H6444" i="1"/>
  <c r="H6443" i="1"/>
  <c r="H6442" i="1"/>
  <c r="H6441" i="1"/>
  <c r="H6440" i="1"/>
  <c r="H6439" i="1"/>
  <c r="H6438" i="1"/>
  <c r="H6437" i="1"/>
  <c r="H6436" i="1"/>
  <c r="H6435" i="1"/>
  <c r="H6434" i="1"/>
  <c r="H6433" i="1"/>
  <c r="H6432" i="1"/>
  <c r="H6431" i="1"/>
  <c r="H6430" i="1"/>
  <c r="H6429" i="1"/>
  <c r="H6428" i="1"/>
  <c r="H6427" i="1"/>
  <c r="H6426" i="1"/>
  <c r="H6425" i="1"/>
  <c r="H6424" i="1"/>
  <c r="H6423" i="1"/>
  <c r="H6422" i="1"/>
  <c r="H6421" i="1"/>
  <c r="H6420" i="1"/>
  <c r="H6419" i="1"/>
  <c r="H6418" i="1"/>
  <c r="H6417" i="1"/>
  <c r="H6416" i="1"/>
  <c r="H6415" i="1"/>
  <c r="H6414" i="1"/>
  <c r="H6413" i="1"/>
  <c r="H6412" i="1"/>
  <c r="H6411" i="1"/>
  <c r="H6410" i="1"/>
  <c r="H6409" i="1"/>
  <c r="H6408" i="1"/>
  <c r="H6407" i="1"/>
  <c r="H6406" i="1"/>
  <c r="H6405" i="1"/>
  <c r="H6404" i="1"/>
  <c r="H6403" i="1"/>
  <c r="H6402" i="1"/>
  <c r="H6401" i="1"/>
  <c r="H6400" i="1"/>
  <c r="H6399" i="1"/>
  <c r="H6398" i="1"/>
  <c r="H6397" i="1"/>
  <c r="H6396" i="1"/>
  <c r="H6395" i="1"/>
  <c r="H6394" i="1"/>
  <c r="H6393" i="1"/>
  <c r="H6392" i="1"/>
  <c r="H6391" i="1"/>
  <c r="H6390" i="1"/>
  <c r="H6389" i="1"/>
  <c r="H6388" i="1"/>
  <c r="H6387" i="1"/>
  <c r="H6386" i="1"/>
  <c r="H6385" i="1"/>
  <c r="H6384" i="1"/>
  <c r="H6383" i="1"/>
  <c r="H6382" i="1"/>
  <c r="H6381" i="1"/>
  <c r="H6380" i="1"/>
  <c r="H6379" i="1"/>
  <c r="H6378" i="1"/>
  <c r="H6377" i="1"/>
  <c r="H6376" i="1"/>
  <c r="H6375" i="1"/>
  <c r="H6374" i="1"/>
  <c r="H6373" i="1"/>
  <c r="H6372" i="1"/>
  <c r="H6371" i="1"/>
  <c r="H6370" i="1"/>
  <c r="H6369" i="1"/>
  <c r="H6368" i="1"/>
  <c r="H6367" i="1"/>
  <c r="H6366" i="1"/>
  <c r="H6365" i="1"/>
  <c r="H6364" i="1"/>
  <c r="H6363" i="1"/>
  <c r="H6362" i="1"/>
  <c r="H6361" i="1"/>
  <c r="H6360" i="1"/>
  <c r="H6359" i="1"/>
  <c r="H6358" i="1"/>
  <c r="H6357" i="1"/>
  <c r="H6356" i="1"/>
  <c r="H6355" i="1"/>
  <c r="H6354" i="1"/>
  <c r="H6353" i="1"/>
  <c r="H6352" i="1"/>
  <c r="H6351" i="1"/>
  <c r="H6350" i="1"/>
  <c r="H6349" i="1"/>
  <c r="H6348" i="1"/>
  <c r="H6347" i="1"/>
  <c r="H6346" i="1"/>
  <c r="H6345" i="1"/>
  <c r="H6344" i="1"/>
  <c r="H6343" i="1"/>
  <c r="H6342" i="1"/>
  <c r="H6341" i="1"/>
  <c r="H6340" i="1"/>
  <c r="H6339" i="1"/>
  <c r="H6338" i="1"/>
  <c r="H6337" i="1"/>
  <c r="H6336" i="1"/>
  <c r="H6335" i="1"/>
  <c r="H6334" i="1"/>
  <c r="H6333" i="1"/>
  <c r="H6332" i="1"/>
  <c r="H6331" i="1"/>
  <c r="H6330" i="1"/>
  <c r="H6329" i="1"/>
  <c r="H6328" i="1"/>
  <c r="H6327" i="1"/>
  <c r="H6326" i="1"/>
  <c r="H6325" i="1"/>
  <c r="H6324" i="1"/>
  <c r="H6323" i="1"/>
  <c r="H6322" i="1"/>
  <c r="H6321" i="1"/>
  <c r="H6320" i="1"/>
  <c r="H6319" i="1"/>
  <c r="H6318" i="1"/>
  <c r="H6317" i="1"/>
  <c r="H6316" i="1"/>
  <c r="H6315" i="1"/>
  <c r="H6314" i="1"/>
  <c r="H6313" i="1"/>
  <c r="H6312" i="1"/>
  <c r="H6311" i="1"/>
  <c r="H6310" i="1"/>
  <c r="H6309" i="1"/>
  <c r="H6308" i="1"/>
  <c r="H6307" i="1"/>
  <c r="H6306" i="1"/>
  <c r="H6305" i="1"/>
  <c r="H6304" i="1"/>
  <c r="H6303" i="1"/>
  <c r="H6302" i="1"/>
  <c r="H6301" i="1"/>
  <c r="H6300" i="1"/>
  <c r="H6299" i="1"/>
  <c r="H6298" i="1"/>
  <c r="H6297" i="1"/>
  <c r="H6296" i="1"/>
  <c r="H6295" i="1"/>
  <c r="H6294" i="1"/>
  <c r="H6293" i="1"/>
  <c r="H6292" i="1"/>
  <c r="H6291" i="1"/>
  <c r="H6290" i="1"/>
  <c r="H6289" i="1"/>
  <c r="H6288" i="1"/>
  <c r="H6287" i="1"/>
  <c r="H6286" i="1"/>
  <c r="H6285" i="1"/>
  <c r="H6284" i="1"/>
  <c r="H6283" i="1"/>
  <c r="H6282" i="1"/>
  <c r="H6281" i="1"/>
  <c r="H6280" i="1"/>
  <c r="H6279" i="1"/>
  <c r="H6278" i="1"/>
  <c r="H6277" i="1"/>
  <c r="H6276" i="1"/>
  <c r="H6275" i="1"/>
  <c r="H6274" i="1"/>
  <c r="H6273" i="1"/>
  <c r="H6272" i="1"/>
  <c r="H6271" i="1"/>
  <c r="H6270" i="1"/>
  <c r="H6269" i="1"/>
  <c r="H6268" i="1"/>
  <c r="H6267" i="1"/>
  <c r="H6266" i="1"/>
  <c r="H6265" i="1"/>
  <c r="H6264" i="1"/>
  <c r="H6263" i="1"/>
  <c r="H6262" i="1"/>
  <c r="H6261" i="1"/>
  <c r="H6260" i="1"/>
  <c r="H6259" i="1"/>
  <c r="H6258" i="1"/>
  <c r="H6257" i="1"/>
  <c r="H6256" i="1"/>
  <c r="H6255" i="1"/>
  <c r="H6254" i="1"/>
  <c r="H6253" i="1"/>
  <c r="H6252" i="1"/>
  <c r="H6251" i="1"/>
  <c r="H6250" i="1"/>
  <c r="H6249" i="1"/>
  <c r="H6248" i="1"/>
  <c r="H6247" i="1"/>
  <c r="H6246" i="1"/>
  <c r="H6245" i="1"/>
  <c r="H6244" i="1"/>
  <c r="H6243" i="1"/>
  <c r="H6242" i="1"/>
  <c r="H6241" i="1"/>
  <c r="H6240" i="1"/>
  <c r="H6239" i="1"/>
  <c r="H6238" i="1"/>
  <c r="H6237" i="1"/>
  <c r="H6236" i="1"/>
  <c r="H6235" i="1"/>
  <c r="H6234" i="1"/>
  <c r="H6233" i="1"/>
  <c r="H6232" i="1"/>
  <c r="H6231" i="1"/>
  <c r="H6230" i="1"/>
  <c r="H6229" i="1"/>
  <c r="H6228" i="1"/>
  <c r="H6227" i="1"/>
  <c r="H6226" i="1"/>
  <c r="H6225" i="1"/>
  <c r="H6224" i="1"/>
  <c r="H6223" i="1"/>
  <c r="H6222" i="1"/>
  <c r="H6221" i="1"/>
  <c r="H6220" i="1"/>
  <c r="H6219" i="1"/>
  <c r="H6218" i="1"/>
  <c r="H6217" i="1"/>
  <c r="H6216" i="1"/>
  <c r="H6215" i="1"/>
  <c r="H6214" i="1"/>
  <c r="H6213" i="1"/>
  <c r="H6212" i="1"/>
  <c r="H6211" i="1"/>
  <c r="H6210" i="1"/>
  <c r="H6209" i="1"/>
  <c r="H6208" i="1"/>
  <c r="H6207" i="1"/>
  <c r="H6206" i="1"/>
  <c r="H6205" i="1"/>
  <c r="H6204" i="1"/>
  <c r="H6203" i="1"/>
  <c r="H6202" i="1"/>
  <c r="H6201" i="1"/>
  <c r="H6200" i="1"/>
  <c r="H6199" i="1"/>
  <c r="H6198" i="1"/>
  <c r="H6197" i="1"/>
  <c r="H6196" i="1"/>
  <c r="H6195" i="1"/>
  <c r="H6194" i="1"/>
  <c r="H6193" i="1"/>
  <c r="H6192" i="1"/>
  <c r="H6191" i="1"/>
  <c r="H6190" i="1"/>
  <c r="H6189" i="1"/>
  <c r="H6188" i="1"/>
  <c r="H6187" i="1"/>
  <c r="H6186" i="1"/>
  <c r="H6185" i="1"/>
  <c r="H6184" i="1"/>
  <c r="H6183" i="1"/>
  <c r="H6182" i="1"/>
  <c r="H6181" i="1"/>
  <c r="H6180" i="1"/>
  <c r="H6179" i="1"/>
  <c r="H6178" i="1"/>
  <c r="H6177" i="1"/>
  <c r="H6176" i="1"/>
  <c r="H6175" i="1"/>
  <c r="H6174" i="1"/>
  <c r="H6173" i="1"/>
  <c r="H6172" i="1"/>
  <c r="H6171" i="1"/>
  <c r="H6170" i="1"/>
  <c r="H6169" i="1"/>
  <c r="H6168" i="1"/>
  <c r="H6167" i="1"/>
  <c r="H6166" i="1"/>
  <c r="H6165" i="1"/>
  <c r="H6164" i="1"/>
  <c r="H6163" i="1"/>
  <c r="H6162" i="1"/>
  <c r="H6161" i="1"/>
  <c r="H6160" i="1"/>
  <c r="H6159" i="1"/>
  <c r="H6158" i="1"/>
  <c r="H6157" i="1"/>
  <c r="H6156" i="1"/>
  <c r="H6155" i="1"/>
  <c r="H6154" i="1"/>
  <c r="H6153" i="1"/>
  <c r="H6152" i="1"/>
  <c r="H6151" i="1"/>
  <c r="H6150" i="1"/>
  <c r="H6149" i="1"/>
  <c r="H6148" i="1"/>
  <c r="H6147" i="1"/>
  <c r="H6146" i="1"/>
  <c r="H6145" i="1"/>
  <c r="H6144" i="1"/>
  <c r="H6143" i="1"/>
  <c r="H6142" i="1"/>
  <c r="H6141" i="1"/>
  <c r="H6140" i="1"/>
  <c r="H6139" i="1"/>
  <c r="H6138" i="1"/>
  <c r="H6137" i="1"/>
  <c r="H6136" i="1"/>
  <c r="H6135" i="1"/>
  <c r="H6134" i="1"/>
  <c r="H6133" i="1"/>
  <c r="H6132" i="1"/>
  <c r="H6131" i="1"/>
  <c r="H6130" i="1"/>
  <c r="H6129" i="1"/>
  <c r="H6128" i="1"/>
  <c r="H6127" i="1"/>
  <c r="H6126" i="1"/>
  <c r="H6125" i="1"/>
  <c r="H6124" i="1"/>
  <c r="H6123" i="1"/>
  <c r="H6122" i="1"/>
  <c r="H6121" i="1"/>
  <c r="H6120" i="1"/>
  <c r="H6119" i="1"/>
  <c r="H6118" i="1"/>
  <c r="H6117" i="1"/>
  <c r="H6116" i="1"/>
  <c r="H6115" i="1"/>
  <c r="H6114" i="1"/>
  <c r="H6113" i="1"/>
  <c r="H6112" i="1"/>
  <c r="H6111" i="1"/>
  <c r="H6110" i="1"/>
  <c r="H6109" i="1"/>
  <c r="H6108" i="1"/>
  <c r="H6107" i="1"/>
  <c r="H6106" i="1"/>
  <c r="H6105" i="1"/>
  <c r="H6104" i="1"/>
  <c r="H6103" i="1"/>
  <c r="H6102" i="1"/>
  <c r="H6101" i="1"/>
  <c r="H6100" i="1"/>
  <c r="H6099" i="1"/>
  <c r="H6098" i="1"/>
  <c r="H6097" i="1"/>
  <c r="H6096" i="1"/>
  <c r="H6095" i="1"/>
  <c r="H6094" i="1"/>
  <c r="H6093" i="1"/>
  <c r="H6092" i="1"/>
  <c r="H6091" i="1"/>
  <c r="H6090" i="1"/>
  <c r="H6089" i="1"/>
  <c r="H6088" i="1"/>
  <c r="H6087" i="1"/>
  <c r="H6086" i="1"/>
  <c r="H6085" i="1"/>
  <c r="H6084" i="1"/>
  <c r="H6083" i="1"/>
  <c r="H6082" i="1"/>
  <c r="H6081" i="1"/>
  <c r="H6080" i="1"/>
  <c r="H6079" i="1"/>
  <c r="H6078" i="1"/>
  <c r="H6077" i="1"/>
  <c r="H6076" i="1"/>
  <c r="H6075" i="1"/>
  <c r="H6074" i="1"/>
  <c r="H6073" i="1"/>
  <c r="H6072" i="1"/>
  <c r="H6071" i="1"/>
  <c r="H6070" i="1"/>
  <c r="H6069" i="1"/>
  <c r="H6068" i="1"/>
  <c r="H6067" i="1"/>
  <c r="H6066" i="1"/>
  <c r="H6065" i="1"/>
  <c r="H6064" i="1"/>
  <c r="H6063" i="1"/>
  <c r="H6062" i="1"/>
  <c r="H6061" i="1"/>
  <c r="H6060" i="1"/>
  <c r="H6059" i="1"/>
  <c r="H6058" i="1"/>
  <c r="H6057" i="1"/>
  <c r="H6056" i="1"/>
  <c r="H6055" i="1"/>
  <c r="H6054" i="1"/>
  <c r="H6053" i="1"/>
  <c r="H6052" i="1"/>
  <c r="H6051" i="1"/>
  <c r="H6050" i="1"/>
  <c r="H6049" i="1"/>
  <c r="H6048" i="1"/>
  <c r="H6047" i="1"/>
  <c r="H6046" i="1"/>
  <c r="H6045" i="1"/>
  <c r="H6044" i="1"/>
  <c r="H6043" i="1"/>
  <c r="H6042" i="1"/>
  <c r="H6041" i="1"/>
  <c r="H6040" i="1"/>
  <c r="H6039" i="1"/>
  <c r="H6038" i="1"/>
  <c r="H6037" i="1"/>
  <c r="H6036" i="1"/>
  <c r="H6035" i="1"/>
  <c r="H6034" i="1"/>
  <c r="H6033" i="1"/>
  <c r="H6032" i="1"/>
  <c r="H6031" i="1"/>
  <c r="H6030" i="1"/>
  <c r="H6029" i="1"/>
  <c r="H6028" i="1"/>
  <c r="H6027" i="1"/>
  <c r="H6026" i="1"/>
  <c r="H6025" i="1"/>
  <c r="H6024" i="1"/>
  <c r="H6023" i="1"/>
  <c r="H6022" i="1"/>
  <c r="H6021" i="1"/>
  <c r="H6020" i="1"/>
  <c r="H6019" i="1"/>
  <c r="H6018" i="1"/>
  <c r="H6017" i="1"/>
  <c r="H6016" i="1"/>
  <c r="H6015" i="1"/>
  <c r="H6014" i="1"/>
  <c r="H6013" i="1"/>
  <c r="H6012" i="1"/>
  <c r="H6011" i="1"/>
  <c r="H6010" i="1"/>
  <c r="H6009" i="1"/>
  <c r="H6008" i="1"/>
  <c r="H6007" i="1"/>
  <c r="H6006" i="1"/>
  <c r="H6005" i="1"/>
  <c r="H6004" i="1"/>
  <c r="H6003" i="1"/>
  <c r="H6002" i="1"/>
  <c r="H6001" i="1"/>
  <c r="H6000" i="1"/>
  <c r="H5999" i="1"/>
  <c r="H5998" i="1"/>
  <c r="H5997" i="1"/>
  <c r="H5996" i="1"/>
  <c r="H5995" i="1"/>
  <c r="H5994" i="1"/>
  <c r="H5993" i="1"/>
  <c r="H5992" i="1"/>
  <c r="H5991" i="1"/>
  <c r="H5990" i="1"/>
  <c r="H5989" i="1"/>
  <c r="H5988" i="1"/>
  <c r="H5987" i="1"/>
  <c r="H5986" i="1"/>
  <c r="H5985" i="1"/>
  <c r="H5984" i="1"/>
  <c r="H5983" i="1"/>
  <c r="H5982" i="1"/>
  <c r="H5981" i="1"/>
  <c r="H5980" i="1"/>
  <c r="H5979" i="1"/>
  <c r="H5978" i="1"/>
  <c r="H5977" i="1"/>
  <c r="H5976" i="1"/>
  <c r="H5975" i="1"/>
  <c r="H5974" i="1"/>
  <c r="H5973" i="1"/>
  <c r="H5972" i="1"/>
  <c r="H5971" i="1"/>
  <c r="H5970" i="1"/>
  <c r="H5969" i="1"/>
  <c r="H5968" i="1"/>
  <c r="H5967" i="1"/>
  <c r="H5966" i="1"/>
  <c r="H5965" i="1"/>
  <c r="H5964" i="1"/>
  <c r="H5963" i="1"/>
  <c r="H5962" i="1"/>
  <c r="H5961" i="1"/>
  <c r="H5960" i="1"/>
  <c r="H5959" i="1"/>
  <c r="H5958" i="1"/>
  <c r="H5957" i="1"/>
  <c r="H5956" i="1"/>
  <c r="H5955" i="1"/>
  <c r="H5954" i="1"/>
  <c r="H5953" i="1"/>
  <c r="H5952" i="1"/>
  <c r="H5951" i="1"/>
  <c r="H5950" i="1"/>
  <c r="H5949" i="1"/>
  <c r="H5948" i="1"/>
  <c r="H5947" i="1"/>
  <c r="H5946" i="1"/>
  <c r="H5945" i="1"/>
  <c r="H5944" i="1"/>
  <c r="H5943" i="1"/>
  <c r="H5942" i="1"/>
  <c r="H5941" i="1"/>
  <c r="H5940" i="1"/>
  <c r="H5939" i="1"/>
  <c r="H5938" i="1"/>
  <c r="H5937" i="1"/>
  <c r="H5936" i="1"/>
  <c r="H5935" i="1"/>
  <c r="H5934" i="1"/>
  <c r="H5933" i="1"/>
  <c r="H5932" i="1"/>
  <c r="H5931" i="1"/>
  <c r="H5930" i="1"/>
  <c r="H5929" i="1"/>
  <c r="H5928" i="1"/>
  <c r="H5927" i="1"/>
  <c r="H5926" i="1"/>
  <c r="H5925" i="1"/>
  <c r="H5924" i="1"/>
  <c r="H5923" i="1"/>
  <c r="H5922" i="1"/>
  <c r="H5921" i="1"/>
  <c r="H5920" i="1"/>
  <c r="H5919" i="1"/>
  <c r="H5918" i="1"/>
  <c r="H5917" i="1"/>
  <c r="H5916" i="1"/>
  <c r="H5915" i="1"/>
  <c r="H5914" i="1"/>
  <c r="H5913" i="1"/>
  <c r="H5912" i="1"/>
  <c r="H5911" i="1"/>
  <c r="H5910" i="1"/>
  <c r="H5909" i="1"/>
  <c r="H5908" i="1"/>
  <c r="H5907" i="1"/>
  <c r="H5906" i="1"/>
  <c r="H5905" i="1"/>
  <c r="H5904" i="1"/>
  <c r="H5903" i="1"/>
  <c r="H5902" i="1"/>
  <c r="H5901" i="1"/>
  <c r="H5900" i="1"/>
  <c r="H5899" i="1"/>
  <c r="H5898" i="1"/>
  <c r="H5897" i="1"/>
  <c r="H5896" i="1"/>
  <c r="H5895" i="1"/>
  <c r="H5894" i="1"/>
  <c r="H5893" i="1"/>
  <c r="H5892" i="1"/>
  <c r="H5891" i="1"/>
  <c r="H5890" i="1"/>
  <c r="H5889" i="1"/>
  <c r="H5888" i="1"/>
  <c r="H5887" i="1"/>
  <c r="H5886" i="1"/>
  <c r="H5885" i="1"/>
  <c r="H5884" i="1"/>
  <c r="H5883" i="1"/>
  <c r="H5882" i="1"/>
  <c r="H5881" i="1"/>
  <c r="H5880" i="1"/>
  <c r="H5879" i="1"/>
  <c r="H5878" i="1"/>
  <c r="H5877" i="1"/>
  <c r="H5876" i="1"/>
  <c r="H5875" i="1"/>
  <c r="H5874" i="1"/>
  <c r="H5873" i="1"/>
  <c r="H5872" i="1"/>
  <c r="H5871" i="1"/>
  <c r="H5870" i="1"/>
  <c r="H5869" i="1"/>
  <c r="H5868" i="1"/>
  <c r="H5867" i="1"/>
  <c r="H5866" i="1"/>
  <c r="H5865" i="1"/>
  <c r="H5864" i="1"/>
  <c r="H5863" i="1"/>
  <c r="H5862" i="1"/>
  <c r="H5861" i="1"/>
  <c r="H5860" i="1"/>
  <c r="H5859" i="1"/>
  <c r="H5858" i="1"/>
  <c r="H5857" i="1"/>
  <c r="H5856" i="1"/>
  <c r="H5855" i="1"/>
  <c r="H5854" i="1"/>
  <c r="H5853" i="1"/>
  <c r="H5852" i="1"/>
  <c r="H5851" i="1"/>
  <c r="H5850" i="1"/>
  <c r="H5849" i="1"/>
  <c r="H5848" i="1"/>
  <c r="H5847" i="1"/>
  <c r="H5846" i="1"/>
  <c r="H5845" i="1"/>
  <c r="H5844" i="1"/>
  <c r="H5843" i="1"/>
  <c r="H5842" i="1"/>
  <c r="H5841" i="1"/>
  <c r="H5840" i="1"/>
  <c r="H5839" i="1"/>
  <c r="H5838" i="1"/>
  <c r="H5837" i="1"/>
  <c r="H5836" i="1"/>
  <c r="H5835" i="1"/>
  <c r="H5834" i="1"/>
  <c r="H5833" i="1"/>
  <c r="H5832" i="1"/>
  <c r="H5831" i="1"/>
  <c r="H5830" i="1"/>
  <c r="H5829" i="1"/>
  <c r="H5828" i="1"/>
  <c r="H5827" i="1"/>
  <c r="H5826" i="1"/>
  <c r="H5825" i="1"/>
  <c r="H5824" i="1"/>
  <c r="H5823" i="1"/>
  <c r="H5822" i="1"/>
  <c r="H5821" i="1"/>
  <c r="H5820" i="1"/>
  <c r="H5819" i="1"/>
  <c r="H5818" i="1"/>
  <c r="H5817" i="1"/>
  <c r="H5816" i="1"/>
  <c r="H5815" i="1"/>
  <c r="H5814" i="1"/>
  <c r="H5813" i="1"/>
  <c r="H5812" i="1"/>
  <c r="H5811" i="1"/>
  <c r="H5810" i="1"/>
  <c r="H5809" i="1"/>
  <c r="H5808" i="1"/>
  <c r="H5807" i="1"/>
  <c r="H5806" i="1"/>
  <c r="H5805" i="1"/>
  <c r="H5804" i="1"/>
  <c r="H5803" i="1"/>
  <c r="H5802" i="1"/>
  <c r="H5801" i="1"/>
  <c r="H5800" i="1"/>
  <c r="H5799" i="1"/>
  <c r="H5798" i="1"/>
  <c r="H5797" i="1"/>
  <c r="H5796" i="1"/>
  <c r="H5795" i="1"/>
  <c r="H5794" i="1"/>
  <c r="H5793" i="1"/>
  <c r="H5792" i="1"/>
  <c r="H5791" i="1"/>
  <c r="H5790" i="1"/>
  <c r="H5789" i="1"/>
  <c r="H5788" i="1"/>
  <c r="H5787" i="1"/>
  <c r="H5786" i="1"/>
  <c r="H5785" i="1"/>
  <c r="H5784" i="1"/>
  <c r="H5783" i="1"/>
  <c r="H5782" i="1"/>
  <c r="H5781" i="1"/>
  <c r="H5780" i="1"/>
  <c r="H5779" i="1"/>
  <c r="H5778" i="1"/>
  <c r="H5777" i="1"/>
  <c r="H5776" i="1"/>
  <c r="H5775" i="1"/>
  <c r="H5774" i="1"/>
  <c r="H5773" i="1"/>
  <c r="H5772" i="1"/>
  <c r="H5771" i="1"/>
  <c r="H5770" i="1"/>
  <c r="H5769" i="1"/>
  <c r="H5768" i="1"/>
  <c r="H5767" i="1"/>
  <c r="H5766" i="1"/>
  <c r="H5765" i="1"/>
  <c r="H5764" i="1"/>
  <c r="H5763" i="1"/>
  <c r="H5762" i="1"/>
  <c r="H5761" i="1"/>
  <c r="H5760" i="1"/>
  <c r="H5759" i="1"/>
  <c r="H5758" i="1"/>
  <c r="H5757" i="1"/>
  <c r="H5756" i="1"/>
  <c r="H5755" i="1"/>
  <c r="H5754" i="1"/>
  <c r="H5753" i="1"/>
  <c r="H5752" i="1"/>
  <c r="H5751" i="1"/>
  <c r="H5750" i="1"/>
  <c r="H5749" i="1"/>
  <c r="H5748" i="1"/>
  <c r="H5747" i="1"/>
  <c r="H5746" i="1"/>
  <c r="H5745" i="1"/>
  <c r="H5744" i="1"/>
  <c r="H5743" i="1"/>
  <c r="H5742" i="1"/>
  <c r="H5741" i="1"/>
  <c r="H5740" i="1"/>
  <c r="H5739" i="1"/>
  <c r="H5738" i="1"/>
  <c r="H5737" i="1"/>
  <c r="H5736" i="1"/>
  <c r="H5735" i="1"/>
  <c r="H5734" i="1"/>
  <c r="H5733" i="1"/>
  <c r="H5732" i="1"/>
  <c r="H5731" i="1"/>
  <c r="H5730" i="1"/>
  <c r="H5729" i="1"/>
  <c r="H5728" i="1"/>
  <c r="H5727" i="1"/>
  <c r="H5726" i="1"/>
  <c r="H5725" i="1"/>
  <c r="H5724" i="1"/>
  <c r="H5723" i="1"/>
  <c r="H5722" i="1"/>
  <c r="H5721" i="1"/>
  <c r="H5720" i="1"/>
  <c r="H5719" i="1"/>
  <c r="H5718" i="1"/>
  <c r="H5717" i="1"/>
  <c r="H5716" i="1"/>
  <c r="H5715" i="1"/>
  <c r="H5714" i="1"/>
  <c r="H5713" i="1"/>
  <c r="H5712" i="1"/>
  <c r="H5711" i="1"/>
  <c r="H5710" i="1"/>
  <c r="H5709" i="1"/>
  <c r="H5708" i="1"/>
  <c r="H5707" i="1"/>
  <c r="H5706" i="1"/>
  <c r="H5705" i="1"/>
  <c r="H5704" i="1"/>
  <c r="H5703" i="1"/>
  <c r="H5702" i="1"/>
  <c r="H5701" i="1"/>
  <c r="H5700" i="1"/>
  <c r="H5699" i="1"/>
  <c r="H5698" i="1"/>
  <c r="H5697" i="1"/>
  <c r="H5696" i="1"/>
  <c r="H5695" i="1"/>
  <c r="H5694" i="1"/>
  <c r="H5693" i="1"/>
  <c r="H5692" i="1"/>
  <c r="H5691" i="1"/>
  <c r="H5690" i="1"/>
  <c r="H5689" i="1"/>
  <c r="H5688" i="1"/>
  <c r="H5687" i="1"/>
  <c r="H5686" i="1"/>
  <c r="H5685" i="1"/>
  <c r="H5684" i="1"/>
  <c r="H5683" i="1"/>
  <c r="H5682" i="1"/>
  <c r="H5681" i="1"/>
  <c r="H5680" i="1"/>
  <c r="H5679" i="1"/>
  <c r="H5678" i="1"/>
  <c r="H5677" i="1"/>
  <c r="H5676" i="1"/>
  <c r="H5675" i="1"/>
  <c r="H5674" i="1"/>
  <c r="H5673" i="1"/>
  <c r="H5672" i="1"/>
  <c r="H5671" i="1"/>
  <c r="H5670" i="1"/>
  <c r="H5669" i="1"/>
  <c r="H5668" i="1"/>
  <c r="H5667" i="1"/>
  <c r="H5666" i="1"/>
  <c r="H5665" i="1"/>
  <c r="H5664" i="1"/>
  <c r="H5663" i="1"/>
  <c r="H5662" i="1"/>
  <c r="H5661" i="1"/>
  <c r="H5660" i="1"/>
  <c r="H5659" i="1"/>
  <c r="H5658" i="1"/>
  <c r="H5657" i="1"/>
  <c r="H5656" i="1"/>
  <c r="H5655" i="1"/>
  <c r="H5654" i="1"/>
  <c r="H5653" i="1"/>
  <c r="H5652" i="1"/>
  <c r="H5651" i="1"/>
  <c r="H5650" i="1"/>
  <c r="H5649" i="1"/>
  <c r="H5648" i="1"/>
  <c r="H5647" i="1"/>
  <c r="H5646" i="1"/>
  <c r="H5645" i="1"/>
  <c r="H5644" i="1"/>
  <c r="H5643" i="1"/>
  <c r="H5642" i="1"/>
  <c r="H5641" i="1"/>
  <c r="H5640" i="1"/>
  <c r="H5639" i="1"/>
  <c r="H5638" i="1"/>
  <c r="H5637" i="1"/>
  <c r="H5636" i="1"/>
  <c r="H5635" i="1"/>
  <c r="H5634" i="1"/>
  <c r="H5633" i="1"/>
  <c r="H5632" i="1"/>
  <c r="H5631" i="1"/>
  <c r="H5630" i="1"/>
  <c r="H5629" i="1"/>
  <c r="H5628" i="1"/>
  <c r="H5627" i="1"/>
  <c r="H5626" i="1"/>
  <c r="H5625" i="1"/>
  <c r="H5624" i="1"/>
  <c r="H5623" i="1"/>
  <c r="H5622" i="1"/>
  <c r="H5621" i="1"/>
  <c r="H5620" i="1"/>
  <c r="H5619" i="1"/>
  <c r="H5618" i="1"/>
  <c r="H5617" i="1"/>
  <c r="H5616" i="1"/>
  <c r="H5615" i="1"/>
  <c r="H5614" i="1"/>
  <c r="H5613" i="1"/>
  <c r="H5612" i="1"/>
  <c r="H5611" i="1"/>
  <c r="H5610" i="1"/>
  <c r="H5609" i="1"/>
  <c r="H5608" i="1"/>
  <c r="H5607" i="1"/>
  <c r="H5606" i="1"/>
  <c r="H5605" i="1"/>
  <c r="H5604" i="1"/>
  <c r="H5603" i="1"/>
  <c r="H5602" i="1"/>
  <c r="H5601" i="1"/>
  <c r="H5600" i="1"/>
  <c r="H5599" i="1"/>
  <c r="H5598" i="1"/>
  <c r="H5597" i="1"/>
  <c r="H5596" i="1"/>
  <c r="H5595" i="1"/>
  <c r="H5594" i="1"/>
  <c r="H5593" i="1"/>
  <c r="H5592" i="1"/>
  <c r="H5591" i="1"/>
  <c r="H5590" i="1"/>
  <c r="H5589" i="1"/>
  <c r="H5588" i="1"/>
  <c r="H5587" i="1"/>
  <c r="H5586" i="1"/>
  <c r="H5585" i="1"/>
  <c r="H5584" i="1"/>
  <c r="H5583" i="1"/>
  <c r="H5582" i="1"/>
  <c r="H5581" i="1"/>
  <c r="H5580" i="1"/>
  <c r="H5579" i="1"/>
  <c r="H5578" i="1"/>
  <c r="H5577" i="1"/>
  <c r="H5576" i="1"/>
  <c r="H5575" i="1"/>
  <c r="H5574" i="1"/>
  <c r="H5573" i="1"/>
  <c r="H5572" i="1"/>
  <c r="H5571" i="1"/>
  <c r="H5570" i="1"/>
  <c r="H5569" i="1"/>
  <c r="H5568" i="1"/>
  <c r="H5567" i="1"/>
  <c r="H5566" i="1"/>
  <c r="H5565" i="1"/>
  <c r="H5564" i="1"/>
  <c r="H5563" i="1"/>
  <c r="H5562" i="1"/>
  <c r="H5561" i="1"/>
  <c r="H5560" i="1"/>
  <c r="H5559" i="1"/>
  <c r="H5558" i="1"/>
  <c r="H5557" i="1"/>
  <c r="H5556" i="1"/>
  <c r="H5555" i="1"/>
  <c r="H5554" i="1"/>
  <c r="H5553" i="1"/>
  <c r="H5552" i="1"/>
  <c r="H5551" i="1"/>
  <c r="H5550" i="1"/>
  <c r="H5549" i="1"/>
  <c r="H5548" i="1"/>
  <c r="H5547" i="1"/>
  <c r="H5546" i="1"/>
  <c r="H5545" i="1"/>
  <c r="H5544" i="1"/>
  <c r="H5543" i="1"/>
  <c r="H5542" i="1"/>
  <c r="H5541" i="1"/>
  <c r="H5540" i="1"/>
  <c r="H5539" i="1"/>
  <c r="H5538" i="1"/>
  <c r="H5537" i="1"/>
  <c r="H5536" i="1"/>
  <c r="H5535" i="1"/>
  <c r="H5534" i="1"/>
  <c r="H5533" i="1"/>
  <c r="H5532" i="1"/>
  <c r="H5531" i="1"/>
  <c r="H5530" i="1"/>
  <c r="H5529" i="1"/>
  <c r="H5528" i="1"/>
  <c r="H5527" i="1"/>
  <c r="H5526" i="1"/>
  <c r="H5525" i="1"/>
  <c r="H5524" i="1"/>
  <c r="H5523" i="1"/>
  <c r="H5522" i="1"/>
  <c r="H5521" i="1"/>
  <c r="H5520" i="1"/>
  <c r="H5519" i="1"/>
  <c r="H5518" i="1"/>
  <c r="H5517" i="1"/>
  <c r="H5516" i="1"/>
  <c r="H5515" i="1"/>
  <c r="H5514" i="1"/>
  <c r="H5513" i="1"/>
  <c r="H5512" i="1"/>
  <c r="H5511" i="1"/>
  <c r="H5510" i="1"/>
  <c r="H5509" i="1"/>
  <c r="H5508" i="1"/>
  <c r="H5507" i="1"/>
  <c r="H5506" i="1"/>
  <c r="H5505" i="1"/>
  <c r="H5504" i="1"/>
  <c r="H5503" i="1"/>
  <c r="H5502" i="1"/>
  <c r="H5501" i="1"/>
  <c r="H5500" i="1"/>
  <c r="H5499" i="1"/>
  <c r="H5498" i="1"/>
  <c r="H5497" i="1"/>
  <c r="H5496" i="1"/>
  <c r="H5495" i="1"/>
  <c r="H5494" i="1"/>
  <c r="H5493" i="1"/>
  <c r="H5492" i="1"/>
  <c r="H5491" i="1"/>
  <c r="H5490" i="1"/>
  <c r="H5489" i="1"/>
  <c r="H5488" i="1"/>
  <c r="H5487" i="1"/>
  <c r="H5486" i="1"/>
  <c r="H5485" i="1"/>
  <c r="H5484" i="1"/>
  <c r="H5483" i="1"/>
  <c r="H5482" i="1"/>
  <c r="H5481" i="1"/>
  <c r="H5480" i="1"/>
  <c r="H5479" i="1"/>
  <c r="H5478" i="1"/>
  <c r="H5477" i="1"/>
  <c r="H5476" i="1"/>
  <c r="H5475" i="1"/>
  <c r="H5474" i="1"/>
  <c r="H5473" i="1"/>
  <c r="H5472" i="1"/>
  <c r="H5471" i="1"/>
  <c r="H5470" i="1"/>
  <c r="H5469" i="1"/>
  <c r="H5468" i="1"/>
  <c r="H5467" i="1"/>
  <c r="H5466" i="1"/>
  <c r="H5465" i="1"/>
  <c r="H5464" i="1"/>
  <c r="H5463" i="1"/>
  <c r="H5462" i="1"/>
  <c r="H5461" i="1"/>
  <c r="H5460" i="1"/>
  <c r="H5459" i="1"/>
  <c r="H5458" i="1"/>
  <c r="H5457" i="1"/>
  <c r="H5456" i="1"/>
  <c r="H5455" i="1"/>
  <c r="H5454" i="1"/>
  <c r="H5453" i="1"/>
  <c r="H5452" i="1"/>
  <c r="H5451" i="1"/>
  <c r="H5450" i="1"/>
  <c r="H5449" i="1"/>
  <c r="H5448" i="1"/>
  <c r="H5447" i="1"/>
  <c r="H5446" i="1"/>
  <c r="H5445" i="1"/>
  <c r="H5444" i="1"/>
  <c r="H5443" i="1"/>
  <c r="H5442" i="1"/>
  <c r="H5441" i="1"/>
  <c r="H5440" i="1"/>
  <c r="H5439" i="1"/>
  <c r="H5438" i="1"/>
  <c r="H5437" i="1"/>
  <c r="H5436" i="1"/>
  <c r="H5435" i="1"/>
  <c r="H5434" i="1"/>
  <c r="H5433" i="1"/>
  <c r="H5432" i="1"/>
  <c r="H5431" i="1"/>
  <c r="H5430" i="1"/>
  <c r="H5429" i="1"/>
  <c r="H5428" i="1"/>
  <c r="H5427" i="1"/>
  <c r="H5426" i="1"/>
  <c r="H5425" i="1"/>
  <c r="H5424" i="1"/>
  <c r="H5423" i="1"/>
  <c r="H5422" i="1"/>
  <c r="H5421" i="1"/>
  <c r="H5420" i="1"/>
  <c r="H5419" i="1"/>
  <c r="H5418" i="1"/>
  <c r="H5417" i="1"/>
  <c r="H5416" i="1"/>
  <c r="H5415" i="1"/>
  <c r="H5414" i="1"/>
  <c r="H5413" i="1"/>
  <c r="H5412" i="1"/>
  <c r="H5411" i="1"/>
  <c r="H5410" i="1"/>
  <c r="H5409" i="1"/>
  <c r="H5408" i="1"/>
  <c r="H5407" i="1"/>
  <c r="H5406" i="1"/>
  <c r="H5405" i="1"/>
  <c r="H5404" i="1"/>
  <c r="H5403" i="1"/>
  <c r="H5402" i="1"/>
  <c r="H5401" i="1"/>
  <c r="H5400" i="1"/>
  <c r="H5399" i="1"/>
  <c r="H5398" i="1"/>
  <c r="H5397" i="1"/>
  <c r="H5396" i="1"/>
  <c r="H5395" i="1"/>
  <c r="H5394" i="1"/>
  <c r="H5393" i="1"/>
  <c r="H5392" i="1"/>
  <c r="H5391" i="1"/>
  <c r="H5390" i="1"/>
  <c r="H5389" i="1"/>
  <c r="H5388" i="1"/>
  <c r="H5387" i="1"/>
  <c r="H5386" i="1"/>
  <c r="H5385" i="1"/>
  <c r="H5384" i="1"/>
  <c r="H5383" i="1"/>
  <c r="H5382" i="1"/>
  <c r="H5381" i="1"/>
  <c r="H5380" i="1"/>
  <c r="H5379" i="1"/>
  <c r="H5378" i="1"/>
  <c r="H5377" i="1"/>
  <c r="H5376" i="1"/>
  <c r="H5375" i="1"/>
  <c r="H5374" i="1"/>
  <c r="H5373" i="1"/>
  <c r="H5372" i="1"/>
  <c r="H5371" i="1"/>
  <c r="H5370" i="1"/>
  <c r="H5369" i="1"/>
  <c r="H5368" i="1"/>
  <c r="H5367" i="1"/>
  <c r="H5366" i="1"/>
  <c r="H5365" i="1"/>
  <c r="H5364" i="1"/>
  <c r="H5363" i="1"/>
  <c r="H5362" i="1"/>
  <c r="H5361" i="1"/>
  <c r="H5360" i="1"/>
  <c r="H5359" i="1"/>
  <c r="H5358" i="1"/>
  <c r="H5357" i="1"/>
  <c r="H5356" i="1"/>
  <c r="H5355" i="1"/>
  <c r="H5354" i="1"/>
  <c r="H5353" i="1"/>
  <c r="H5352" i="1"/>
  <c r="H5351" i="1"/>
  <c r="H5350" i="1"/>
  <c r="H5349" i="1"/>
  <c r="H5348" i="1"/>
  <c r="H5347" i="1"/>
  <c r="H5346" i="1"/>
  <c r="H5345" i="1"/>
  <c r="H5344" i="1"/>
  <c r="H5343" i="1"/>
  <c r="H5342" i="1"/>
  <c r="H5341" i="1"/>
  <c r="H5340" i="1"/>
  <c r="H5339" i="1"/>
  <c r="H5338" i="1"/>
  <c r="H5337" i="1"/>
  <c r="H5336" i="1"/>
  <c r="H5335" i="1"/>
  <c r="H5334" i="1"/>
  <c r="H5333" i="1"/>
  <c r="H5332" i="1"/>
  <c r="H5331" i="1"/>
  <c r="H5330" i="1"/>
  <c r="H5329" i="1"/>
  <c r="H5328" i="1"/>
  <c r="H5327" i="1"/>
  <c r="H5326" i="1"/>
  <c r="H5325" i="1"/>
  <c r="H5324" i="1"/>
  <c r="H5323" i="1"/>
  <c r="H5322" i="1"/>
  <c r="H5321" i="1"/>
  <c r="H5320" i="1"/>
  <c r="H5319" i="1"/>
  <c r="H5318" i="1"/>
  <c r="H5317" i="1"/>
  <c r="H5316" i="1"/>
  <c r="H5315" i="1"/>
  <c r="H5314" i="1"/>
  <c r="H5313" i="1"/>
  <c r="H5312" i="1"/>
  <c r="H5311" i="1"/>
  <c r="H5310" i="1"/>
  <c r="H5309" i="1"/>
  <c r="H5308" i="1"/>
  <c r="H5307" i="1"/>
  <c r="H5306" i="1"/>
  <c r="H5305" i="1"/>
  <c r="H5304" i="1"/>
  <c r="H5303" i="1"/>
  <c r="H5302" i="1"/>
  <c r="H5301" i="1"/>
  <c r="H5300" i="1"/>
  <c r="H5299" i="1"/>
  <c r="H5298" i="1"/>
  <c r="H5297" i="1"/>
  <c r="H5296" i="1"/>
  <c r="H5295" i="1"/>
  <c r="H5294" i="1"/>
  <c r="H5293" i="1"/>
  <c r="H5292" i="1"/>
  <c r="H5291" i="1"/>
  <c r="H5290" i="1"/>
  <c r="H5289" i="1"/>
  <c r="H5288" i="1"/>
  <c r="H5287" i="1"/>
  <c r="H5286" i="1"/>
  <c r="H5285" i="1"/>
  <c r="H5284" i="1"/>
  <c r="H5283" i="1"/>
  <c r="H5282" i="1"/>
  <c r="H5281" i="1"/>
  <c r="H5280" i="1"/>
  <c r="H5279" i="1"/>
  <c r="H5278" i="1"/>
  <c r="H5277" i="1"/>
  <c r="H5276" i="1"/>
  <c r="H5275" i="1"/>
  <c r="H5274" i="1"/>
  <c r="H5273" i="1"/>
  <c r="H5272" i="1"/>
  <c r="H5271" i="1"/>
  <c r="H5270" i="1"/>
  <c r="H5269" i="1"/>
  <c r="H5268" i="1"/>
  <c r="H5267" i="1"/>
  <c r="H5266" i="1"/>
  <c r="H5265" i="1"/>
  <c r="H5264" i="1"/>
  <c r="H5263" i="1"/>
  <c r="H5262" i="1"/>
  <c r="H5261" i="1"/>
  <c r="H5260" i="1"/>
  <c r="H5259" i="1"/>
  <c r="H5258" i="1"/>
  <c r="H5257" i="1"/>
  <c r="H5256" i="1"/>
  <c r="H5255" i="1"/>
  <c r="H5254" i="1"/>
  <c r="H5253" i="1"/>
  <c r="H5252" i="1"/>
  <c r="H5251" i="1"/>
  <c r="H5250" i="1"/>
  <c r="H5249" i="1"/>
  <c r="H5248" i="1"/>
  <c r="H5247" i="1"/>
  <c r="H5246" i="1"/>
  <c r="H5245" i="1"/>
  <c r="H5244" i="1"/>
  <c r="H5243" i="1"/>
  <c r="H5242" i="1"/>
  <c r="H5241" i="1"/>
  <c r="H5240" i="1"/>
  <c r="H5239" i="1"/>
  <c r="H5238" i="1"/>
  <c r="H5237" i="1"/>
  <c r="H5236" i="1"/>
  <c r="H5235" i="1"/>
  <c r="H5234" i="1"/>
  <c r="H5233" i="1"/>
  <c r="H5232" i="1"/>
  <c r="H5231" i="1"/>
  <c r="H5230" i="1"/>
  <c r="H5229" i="1"/>
  <c r="H5228" i="1"/>
  <c r="H5227" i="1"/>
  <c r="H5226" i="1"/>
  <c r="H5225" i="1"/>
  <c r="H5224" i="1"/>
  <c r="H5223" i="1"/>
  <c r="H5222" i="1"/>
  <c r="H5221" i="1"/>
  <c r="H5220" i="1"/>
  <c r="H5219" i="1"/>
  <c r="H5218" i="1"/>
  <c r="H5217" i="1"/>
  <c r="H5216" i="1"/>
  <c r="H5215" i="1"/>
  <c r="H5214" i="1"/>
  <c r="H5213" i="1"/>
  <c r="H5212" i="1"/>
  <c r="H5211" i="1"/>
  <c r="H5210" i="1"/>
  <c r="H5209" i="1"/>
  <c r="H5208" i="1"/>
  <c r="H5207" i="1"/>
  <c r="H5206" i="1"/>
  <c r="H5205" i="1"/>
  <c r="H5204" i="1"/>
  <c r="H5203" i="1"/>
  <c r="H5202" i="1"/>
  <c r="H5201" i="1"/>
  <c r="H5200" i="1"/>
  <c r="H5199" i="1"/>
  <c r="H5198" i="1"/>
  <c r="H5197" i="1"/>
  <c r="H5196" i="1"/>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5116" i="1"/>
  <c r="H5115" i="1"/>
  <c r="H5114"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8" i="3"/>
  <c r="F7" i="3"/>
  <c r="E7" i="3"/>
  <c r="D7" i="3"/>
  <c r="B7" i="3"/>
  <c r="A7" i="3"/>
  <c r="E8" i="3" l="1"/>
</calcChain>
</file>

<file path=xl/sharedStrings.xml><?xml version="1.0" encoding="utf-8"?>
<sst xmlns="http://schemas.openxmlformats.org/spreadsheetml/2006/main" count="39144" uniqueCount="79">
  <si>
    <t>Row</t>
  </si>
  <si>
    <t>ID</t>
  </si>
  <si>
    <t>Birthdate</t>
  </si>
  <si>
    <t>Age</t>
  </si>
  <si>
    <t>Gender</t>
  </si>
  <si>
    <t>Race</t>
  </si>
  <si>
    <t>Hire Date</t>
  </si>
  <si>
    <t>Tenure</t>
  </si>
  <si>
    <t>Unit</t>
  </si>
  <si>
    <t>Store Market</t>
  </si>
  <si>
    <t>Job Title</t>
  </si>
  <si>
    <t>Exempt/ Non-Exempt</t>
  </si>
  <si>
    <t>Wage Rate (2024)</t>
  </si>
  <si>
    <t>Wage Rate (2023)</t>
  </si>
  <si>
    <t>Wage Rate (2022)</t>
  </si>
  <si>
    <t>Wage Rate (2021)</t>
  </si>
  <si>
    <t>Wage Rate (2020)</t>
  </si>
  <si>
    <t>Wage Rate (2019)</t>
  </si>
  <si>
    <t>Wage Rate (2018)</t>
  </si>
  <si>
    <t>Recruitment Source</t>
  </si>
  <si>
    <t>Prior Experience</t>
  </si>
  <si>
    <t>Interview 1</t>
  </si>
  <si>
    <t>Interview 2</t>
  </si>
  <si>
    <t>Promotion 1 (Date)</t>
  </si>
  <si>
    <t>Promotion 1 (Prior Position)</t>
  </si>
  <si>
    <t>Promotion 2 (Date)</t>
  </si>
  <si>
    <t>Promotion 2 (Prior Position)</t>
  </si>
  <si>
    <t>Promotion 3 (Date)</t>
  </si>
  <si>
    <t>Promotion 3 (Prior Position)</t>
  </si>
  <si>
    <t>Performance Rating (2024)</t>
  </si>
  <si>
    <t>Performance Rating (2023)</t>
  </si>
  <si>
    <t>Performance Rating (2022)</t>
  </si>
  <si>
    <t>Performance Rating (2021)</t>
  </si>
  <si>
    <t>Performance Rating (2020)</t>
  </si>
  <si>
    <t>Performance Rating (2019)</t>
  </si>
  <si>
    <t>Performance Rating (2018)</t>
  </si>
  <si>
    <t>Male</t>
  </si>
  <si>
    <t>URM</t>
  </si>
  <si>
    <t>Large</t>
  </si>
  <si>
    <t>Manager</t>
  </si>
  <si>
    <t>Exempt</t>
  </si>
  <si>
    <t>Georgias City College</t>
  </si>
  <si>
    <t>Female</t>
  </si>
  <si>
    <t>Cashier</t>
  </si>
  <si>
    <t>Non-Exempt</t>
  </si>
  <si>
    <t>Walk-in</t>
  </si>
  <si>
    <t>Dishwasher</t>
  </si>
  <si>
    <t>Employee Reference</t>
  </si>
  <si>
    <t>Host</t>
  </si>
  <si>
    <t>Help-Wanted Ad</t>
  </si>
  <si>
    <t>White</t>
  </si>
  <si>
    <t>Lead cook</t>
  </si>
  <si>
    <t>On-line Advertisement</t>
  </si>
  <si>
    <t>Line cook</t>
  </si>
  <si>
    <t>Maintenance</t>
  </si>
  <si>
    <t>Prep cook</t>
  </si>
  <si>
    <t>Wait staff</t>
  </si>
  <si>
    <t>Medium</t>
  </si>
  <si>
    <t>Southwestern State University</t>
  </si>
  <si>
    <t>Assistant Manager, Large Market</t>
  </si>
  <si>
    <t>State University at Alberdale</t>
  </si>
  <si>
    <t>Hitherdale Community College</t>
  </si>
  <si>
    <t>Manager, Medium Market</t>
  </si>
  <si>
    <t>State School of Hartforde</t>
  </si>
  <si>
    <t>Food runner</t>
  </si>
  <si>
    <t>Bus Person</t>
  </si>
  <si>
    <t>University of the North</t>
  </si>
  <si>
    <t>Sung Urban Camp</t>
  </si>
  <si>
    <t>Bartender</t>
  </si>
  <si>
    <t>Assistant Manager, Medium Market</t>
  </si>
  <si>
    <t>Marquis University</t>
  </si>
  <si>
    <t>National University</t>
  </si>
  <si>
    <t>Assistant Manager</t>
  </si>
  <si>
    <t>Count of ID</t>
  </si>
  <si>
    <t>Average of Tenure</t>
  </si>
  <si>
    <t>Average of Age</t>
  </si>
  <si>
    <t>Average of Wage Rate (2024)</t>
  </si>
  <si>
    <t>Average of Performance Rating (2024)</t>
  </si>
  <si>
    <t>Average of Prior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</si>
</sst>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5">
    <xf numFmtId="0" fontId="0" fillId="0" borderId="0" xfId="0"/>
    <xf numFmtId="0" fontId="2" fillId="0" borderId="0" xfId="0" applyFont="1" applyAlignment="1">
      <alignment horizontal="center" wrapText="1"/>
    </xf>
    <xf numFmtId="14" fontId="0" fillId="0" borderId="0" xfId="0" applyNumberFormat="1"/>
    <xf numFmtId="2" fontId="0" fillId="0" borderId="0" xfId="0" applyNumberFormat="1"/>
    <xf numFmtId="0" fontId="0" fillId="0" borderId="0" xfId="1" applyNumberFormat="1" applyFont="1"/>
  </cellXfs>
  <cellStyles count="2">
    <cellStyle name="Currency" xfId="1" builtinId="4"/>
    <cellStyle name="Normal" xfId="0" builtinId="0"/>
  </cellStyles>
  <dxfs count="6">
    <dxf>
      <numFmt numFmtId="2" formatCode="0.00"/>
    </dxf>
    <dxf>
      <numFmt numFmtId="2" formatCode="0.00"/>
    </dxf>
    <dxf>
      <numFmt numFmtId="2" formatCode="0.00"/>
    </dxf>
    <dxf>
      <numFmt numFmtId="19" formatCode="m/d/yyyy"/>
    </dxf>
    <dxf>
      <numFmt numFmtId="19" formatCode="m/d/yyyy"/>
    </dxf>
    <dxf>
      <font>
        <b/>
        <i val="0"/>
        <strike val="0"/>
        <condense val="0"/>
        <extend val="0"/>
        <outline val="0"/>
        <shadow val="0"/>
        <u val="none"/>
        <vertAlign val="baseline"/>
        <sz val="11"/>
        <color theme="1"/>
        <name val="Aptos Narrow"/>
        <family val="2"/>
        <scheme val="minor"/>
      </font>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microsoft.com/office/2007/relationships/slicerCache" Target="slicerCaches/slicerCache12.xml"/><Relationship Id="rId3" Type="http://schemas.openxmlformats.org/officeDocument/2006/relationships/worksheet" Target="worksheets/sheet3.xml"/><Relationship Id="rId21" Type="http://schemas.openxmlformats.org/officeDocument/2006/relationships/sharedStrings" Target="sharedStrings.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07/relationships/slicerCache" Target="slicerCaches/slicerCache11.xml"/><Relationship Id="rId2" Type="http://schemas.openxmlformats.org/officeDocument/2006/relationships/worksheet" Target="worksheets/sheet2.xml"/><Relationship Id="rId16" Type="http://schemas.microsoft.com/office/2007/relationships/slicerCache" Target="slicerCaches/slicerCache10.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externalLink" Target="externalLinks/externalLink2.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theme" Target="theme/theme1.xml"/><Relationship Id="rId4" Type="http://schemas.openxmlformats.org/officeDocument/2006/relationships/externalLink" Target="externalLinks/externalLink1.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Performance Rating 2024</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39-4C66-A169-1848CD6A9F64}"/>
              </c:ext>
            </c:extLst>
          </c:dPt>
          <c:dPt>
            <c:idx val="1"/>
            <c:bubble3D val="0"/>
            <c:spPr>
              <a:noFill/>
              <a:ln w="19050">
                <a:solidFill>
                  <a:schemeClr val="lt1"/>
                </a:solidFill>
              </a:ln>
              <a:effectLst/>
            </c:spPr>
            <c:extLst>
              <c:ext xmlns:c16="http://schemas.microsoft.com/office/drawing/2014/chart" uri="{C3380CC4-5D6E-409C-BE32-E72D297353CC}">
                <c16:uniqueId val="{00000003-8D39-4C66-A169-1848CD6A9F64}"/>
              </c:ext>
            </c:extLst>
          </c:dPt>
          <c:val>
            <c:numRef>
              <c:f>Pivot!$E$7:$E$8</c:f>
              <c:numCache>
                <c:formatCode>0.00</c:formatCode>
                <c:ptCount val="2"/>
                <c:pt idx="0">
                  <c:v>3.8850931677018634</c:v>
                </c:pt>
                <c:pt idx="1">
                  <c:v>1.1149068322981366</c:v>
                </c:pt>
              </c:numCache>
            </c:numRef>
          </c:val>
          <c:extLst>
            <c:ext xmlns:c16="http://schemas.microsoft.com/office/drawing/2014/chart" uri="{C3380CC4-5D6E-409C-BE32-E72D297353CC}">
              <c16:uniqueId val="{00000004-8D39-4C66-A169-1848CD6A9F6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Wage Rate 2024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6694444444444445E-2"/>
          <c:y val="0.19486111111111112"/>
          <c:w val="0.87538888888888888"/>
          <c:h val="0.72125801983085447"/>
        </c:manualLayout>
      </c:layout>
      <c:barChart>
        <c:barDir val="col"/>
        <c:grouping val="clustered"/>
        <c:varyColors val="0"/>
        <c:ser>
          <c:idx val="0"/>
          <c:order val="0"/>
          <c:spPr>
            <a:solidFill>
              <a:schemeClr val="accent1"/>
            </a:solidFill>
            <a:ln>
              <a:noFill/>
            </a:ln>
            <a:effectLst/>
          </c:spPr>
          <c:invertIfNegative val="0"/>
          <c:val>
            <c:numRef>
              <c:f>Pivot!$D$7</c:f>
              <c:numCache>
                <c:formatCode>0.00</c:formatCode>
                <c:ptCount val="1"/>
                <c:pt idx="0">
                  <c:v>2994.4544060705639</c:v>
                </c:pt>
              </c:numCache>
            </c:numRef>
          </c:val>
          <c:extLst>
            <c:ext xmlns:c16="http://schemas.microsoft.com/office/drawing/2014/chart" uri="{C3380CC4-5D6E-409C-BE32-E72D297353CC}">
              <c16:uniqueId val="{00000000-47AA-439C-9C50-B8B57B45274A}"/>
            </c:ext>
          </c:extLst>
        </c:ser>
        <c:dLbls>
          <c:showLegendKey val="0"/>
          <c:showVal val="0"/>
          <c:showCatName val="0"/>
          <c:showSerName val="0"/>
          <c:showPercent val="0"/>
          <c:showBubbleSize val="0"/>
        </c:dLbls>
        <c:gapWidth val="182"/>
        <c:axId val="1756039440"/>
        <c:axId val="1740670000"/>
      </c:barChart>
      <c:catAx>
        <c:axId val="1756039440"/>
        <c:scaling>
          <c:orientation val="minMax"/>
        </c:scaling>
        <c:delete val="1"/>
        <c:axPos val="b"/>
        <c:majorTickMark val="out"/>
        <c:minorTickMark val="none"/>
        <c:tickLblPos val="nextTo"/>
        <c:crossAx val="1740670000"/>
        <c:crosses val="autoZero"/>
        <c:auto val="1"/>
        <c:lblAlgn val="ctr"/>
        <c:lblOffset val="100"/>
        <c:noMultiLvlLbl val="0"/>
      </c:catAx>
      <c:valAx>
        <c:axId val="17406700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03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IN" sz="1200" b="1">
                <a:solidFill>
                  <a:sysClr val="windowText" lastClr="000000"/>
                </a:solidFill>
              </a:rPr>
              <a:t>Average</a:t>
            </a:r>
            <a:r>
              <a:rPr lang="en-IN" sz="1200" b="1" baseline="0">
                <a:solidFill>
                  <a:sysClr val="windowText" lastClr="000000"/>
                </a:solidFill>
              </a:rPr>
              <a:t> Performance Rating 2024</a:t>
            </a:r>
            <a:endParaRPr lang="en-IN" sz="1200" b="1">
              <a:solidFill>
                <a:sysClr val="windowText" lastClr="000000"/>
              </a:solidFill>
            </a:endParaRPr>
          </a:p>
        </c:rich>
      </c:tx>
      <c:layout>
        <c:manualLayout>
          <c:xMode val="edge"/>
          <c:yMode val="edge"/>
          <c:x val="0.18948476792964983"/>
          <c:y val="4.671867042739060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IN"/>
        </a:p>
      </c:txPr>
    </c:title>
    <c:autoTitleDeleted val="0"/>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3B6A-493A-AE0C-16A2A4E6E1FD}"/>
              </c:ext>
            </c:extLst>
          </c:dPt>
          <c:dPt>
            <c:idx val="1"/>
            <c:bubble3D val="0"/>
            <c:spPr>
              <a:noFill/>
              <a:ln w="19050">
                <a:noFill/>
              </a:ln>
              <a:effectLst/>
            </c:spPr>
            <c:extLst>
              <c:ext xmlns:c16="http://schemas.microsoft.com/office/drawing/2014/chart" uri="{C3380CC4-5D6E-409C-BE32-E72D297353CC}">
                <c16:uniqueId val="{00000003-3B6A-493A-AE0C-16A2A4E6E1FD}"/>
              </c:ext>
            </c:extLst>
          </c:dPt>
          <c:val>
            <c:numRef>
              <c:f>[1]Pivot!$E$7:$E$8</c:f>
              <c:numCache>
                <c:formatCode>0.00</c:formatCode>
                <c:ptCount val="2"/>
                <c:pt idx="0">
                  <c:v>3.8850931677018634</c:v>
                </c:pt>
                <c:pt idx="1">
                  <c:v>1.1149068322981366</c:v>
                </c:pt>
              </c:numCache>
            </c:numRef>
          </c:val>
          <c:extLst>
            <c:ext xmlns:c16="http://schemas.microsoft.com/office/drawing/2014/chart" uri="{C3380CC4-5D6E-409C-BE32-E72D297353CC}">
              <c16:uniqueId val="{00000004-3B6A-493A-AE0C-16A2A4E6E1F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soft" dir="t">
        <a:rot lat="0" lon="0" rev="0"/>
      </a:lightRig>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IN" sz="1200" b="1">
                <a:solidFill>
                  <a:sysClr val="windowText" lastClr="000000"/>
                </a:solidFill>
              </a:rPr>
              <a:t>Average Wage Rate 2024 </a:t>
            </a:r>
          </a:p>
        </c:rich>
      </c:tx>
      <c:layout>
        <c:manualLayout>
          <c:xMode val="edge"/>
          <c:yMode val="edge"/>
          <c:x val="0.18205031932316365"/>
          <c:y val="1.388888888888888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6.6694444444444445E-2"/>
          <c:y val="0.19486111111111112"/>
          <c:w val="0.87538888888888888"/>
          <c:h val="0.72125801983085447"/>
        </c:manualLayout>
      </c:layout>
      <c:barChart>
        <c:barDir val="col"/>
        <c:grouping val="clustered"/>
        <c:varyColors val="0"/>
        <c:ser>
          <c:idx val="0"/>
          <c:order val="0"/>
          <c:spPr>
            <a:solidFill>
              <a:schemeClr val="accent1"/>
            </a:solidFill>
            <a:ln>
              <a:noFill/>
            </a:ln>
            <a:effectLst/>
          </c:spPr>
          <c:invertIfNegative val="0"/>
          <c:val>
            <c:numRef>
              <c:f>[1]Pivot!$D$7</c:f>
              <c:numCache>
                <c:formatCode>0.00</c:formatCode>
                <c:ptCount val="1"/>
                <c:pt idx="0">
                  <c:v>2994.4544060705639</c:v>
                </c:pt>
              </c:numCache>
            </c:numRef>
          </c:val>
          <c:extLst>
            <c:ext xmlns:c16="http://schemas.microsoft.com/office/drawing/2014/chart" uri="{C3380CC4-5D6E-409C-BE32-E72D297353CC}">
              <c16:uniqueId val="{00000000-5EC9-4EE9-BA45-2EDF666E2071}"/>
            </c:ext>
          </c:extLst>
        </c:ser>
        <c:dLbls>
          <c:showLegendKey val="0"/>
          <c:showVal val="0"/>
          <c:showCatName val="0"/>
          <c:showSerName val="0"/>
          <c:showPercent val="0"/>
          <c:showBubbleSize val="0"/>
        </c:dLbls>
        <c:gapWidth val="182"/>
        <c:axId val="1756039440"/>
        <c:axId val="1740670000"/>
      </c:barChart>
      <c:catAx>
        <c:axId val="1756039440"/>
        <c:scaling>
          <c:orientation val="minMax"/>
        </c:scaling>
        <c:delete val="1"/>
        <c:axPos val="b"/>
        <c:majorTickMark val="out"/>
        <c:minorTickMark val="none"/>
        <c:tickLblPos val="nextTo"/>
        <c:crossAx val="1740670000"/>
        <c:crosses val="autoZero"/>
        <c:auto val="1"/>
        <c:lblAlgn val="ctr"/>
        <c:lblOffset val="100"/>
        <c:noMultiLvlLbl val="0"/>
      </c:catAx>
      <c:valAx>
        <c:axId val="174067000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03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soft" dir="t">
        <a:rot lat="0" lon="0" rev="0"/>
      </a:lightRig>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7</xdr:col>
      <xdr:colOff>144780</xdr:colOff>
      <xdr:row>1</xdr:row>
      <xdr:rowOff>7621</xdr:rowOff>
    </xdr:from>
    <xdr:to>
      <xdr:col>8</xdr:col>
      <xdr:colOff>297180</xdr:colOff>
      <xdr:row>6</xdr:row>
      <xdr:rowOff>144781</xdr:rowOff>
    </xdr:to>
    <mc:AlternateContent xmlns:mc="http://schemas.openxmlformats.org/markup-compatibility/2006">
      <mc:Choice xmlns:a14="http://schemas.microsoft.com/office/drawing/2010/main" Requires="a14">
        <xdr:graphicFrame macro="">
          <xdr:nvGraphicFramePr>
            <xdr:cNvPr id="2" name="Gender 1">
              <a:extLst>
                <a:ext uri="{FF2B5EF4-FFF2-40B4-BE49-F238E27FC236}">
                  <a16:creationId xmlns:a16="http://schemas.microsoft.com/office/drawing/2014/main" id="{6F143E81-EFEA-4A62-869D-6054F5C2655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264140" y="190501"/>
              <a:ext cx="182880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396240</xdr:colOff>
      <xdr:row>1</xdr:row>
      <xdr:rowOff>38100</xdr:rowOff>
    </xdr:from>
    <xdr:to>
      <xdr:col>9</xdr:col>
      <xdr:colOff>548640</xdr:colOff>
      <xdr:row>15</xdr:row>
      <xdr:rowOff>59055</xdr:rowOff>
    </xdr:to>
    <mc:AlternateContent xmlns:mc="http://schemas.openxmlformats.org/markup-compatibility/2006">
      <mc:Choice xmlns:a14="http://schemas.microsoft.com/office/drawing/2010/main" Requires="a14">
        <xdr:graphicFrame macro="">
          <xdr:nvGraphicFramePr>
            <xdr:cNvPr id="3" name="Job Title 1">
              <a:extLst>
                <a:ext uri="{FF2B5EF4-FFF2-40B4-BE49-F238E27FC236}">
                  <a16:creationId xmlns:a16="http://schemas.microsoft.com/office/drawing/2014/main" id="{BAEF041D-D80F-4958-80C4-416F278A8886}"/>
                </a:ext>
              </a:extLst>
            </xdr:cNvPr>
            <xdr:cNvGraphicFramePr/>
          </xdr:nvGraphicFramePr>
          <xdr:xfrm>
            <a:off x="0" y="0"/>
            <a:ext cx="0" cy="0"/>
          </xdr:xfrm>
          <a:graphic>
            <a:graphicData uri="http://schemas.microsoft.com/office/drawing/2010/slicer">
              <sle:slicer xmlns:sle="http://schemas.microsoft.com/office/drawing/2010/slicer" name="Job Title 1"/>
            </a:graphicData>
          </a:graphic>
        </xdr:graphicFrame>
      </mc:Choice>
      <mc:Fallback>
        <xdr:sp macro="" textlink="">
          <xdr:nvSpPr>
            <xdr:cNvPr id="0" name=""/>
            <xdr:cNvSpPr>
              <a:spLocks noTextEdit="1"/>
            </xdr:cNvSpPr>
          </xdr:nvSpPr>
          <xdr:spPr>
            <a:xfrm>
              <a:off x="12192000" y="2209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137160</xdr:colOff>
      <xdr:row>7</xdr:row>
      <xdr:rowOff>152401</xdr:rowOff>
    </xdr:from>
    <xdr:to>
      <xdr:col>8</xdr:col>
      <xdr:colOff>289560</xdr:colOff>
      <xdr:row>13</xdr:row>
      <xdr:rowOff>160021</xdr:rowOff>
    </xdr:to>
    <mc:AlternateContent xmlns:mc="http://schemas.openxmlformats.org/markup-compatibility/2006">
      <mc:Choice xmlns:a14="http://schemas.microsoft.com/office/drawing/2010/main" Requires="a14">
        <xdr:graphicFrame macro="">
          <xdr:nvGraphicFramePr>
            <xdr:cNvPr id="4" name="Race 1">
              <a:extLst>
                <a:ext uri="{FF2B5EF4-FFF2-40B4-BE49-F238E27FC236}">
                  <a16:creationId xmlns:a16="http://schemas.microsoft.com/office/drawing/2014/main" id="{0A164D3F-6374-4D78-900F-875E07BA066B}"/>
                </a:ext>
              </a:extLst>
            </xdr:cNvPr>
            <xdr:cNvGraphicFramePr/>
          </xdr:nvGraphicFramePr>
          <xdr:xfrm>
            <a:off x="0" y="0"/>
            <a:ext cx="0" cy="0"/>
          </xdr:xfrm>
          <a:graphic>
            <a:graphicData uri="http://schemas.microsoft.com/office/drawing/2010/slicer">
              <sle:slicer xmlns:sle="http://schemas.microsoft.com/office/drawing/2010/slicer" name="Race 1"/>
            </a:graphicData>
          </a:graphic>
        </xdr:graphicFrame>
      </mc:Choice>
      <mc:Fallback>
        <xdr:sp macro="" textlink="">
          <xdr:nvSpPr>
            <xdr:cNvPr id="0" name=""/>
            <xdr:cNvSpPr>
              <a:spLocks noTextEdit="1"/>
            </xdr:cNvSpPr>
          </xdr:nvSpPr>
          <xdr:spPr>
            <a:xfrm>
              <a:off x="10256520" y="1432561"/>
              <a:ext cx="18288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198120</xdr:colOff>
      <xdr:row>14</xdr:row>
      <xdr:rowOff>121921</xdr:rowOff>
    </xdr:from>
    <xdr:to>
      <xdr:col>8</xdr:col>
      <xdr:colOff>350520</xdr:colOff>
      <xdr:row>21</xdr:row>
      <xdr:rowOff>7621</xdr:rowOff>
    </xdr:to>
    <mc:AlternateContent xmlns:mc="http://schemas.openxmlformats.org/markup-compatibility/2006">
      <mc:Choice xmlns:a14="http://schemas.microsoft.com/office/drawing/2010/main" Requires="a14">
        <xdr:graphicFrame macro="">
          <xdr:nvGraphicFramePr>
            <xdr:cNvPr id="5" name="Store Market">
              <a:extLst>
                <a:ext uri="{FF2B5EF4-FFF2-40B4-BE49-F238E27FC236}">
                  <a16:creationId xmlns:a16="http://schemas.microsoft.com/office/drawing/2014/main" id="{46183EA2-AB7E-4E63-B92E-8851B3AA3AE2}"/>
                </a:ext>
              </a:extLst>
            </xdr:cNvPr>
            <xdr:cNvGraphicFramePr/>
          </xdr:nvGraphicFramePr>
          <xdr:xfrm>
            <a:off x="0" y="0"/>
            <a:ext cx="0" cy="0"/>
          </xdr:xfrm>
          <a:graphic>
            <a:graphicData uri="http://schemas.microsoft.com/office/drawing/2010/slicer">
              <sle:slicer xmlns:sle="http://schemas.microsoft.com/office/drawing/2010/slicer" name="Store Market"/>
            </a:graphicData>
          </a:graphic>
        </xdr:graphicFrame>
      </mc:Choice>
      <mc:Fallback>
        <xdr:sp macro="" textlink="">
          <xdr:nvSpPr>
            <xdr:cNvPr id="0" name=""/>
            <xdr:cNvSpPr>
              <a:spLocks noTextEdit="1"/>
            </xdr:cNvSpPr>
          </xdr:nvSpPr>
          <xdr:spPr>
            <a:xfrm>
              <a:off x="10317480" y="268224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480060</xdr:colOff>
      <xdr:row>8</xdr:row>
      <xdr:rowOff>163830</xdr:rowOff>
    </xdr:from>
    <xdr:to>
      <xdr:col>7</xdr:col>
      <xdr:colOff>22860</xdr:colOff>
      <xdr:row>23</xdr:row>
      <xdr:rowOff>163830</xdr:rowOff>
    </xdr:to>
    <xdr:graphicFrame macro="">
      <xdr:nvGraphicFramePr>
        <xdr:cNvPr id="6" name="Chart 5">
          <a:extLst>
            <a:ext uri="{FF2B5EF4-FFF2-40B4-BE49-F238E27FC236}">
              <a16:creationId xmlns:a16="http://schemas.microsoft.com/office/drawing/2014/main" id="{942FDC94-F7BB-4694-848E-44F13C896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487680</xdr:colOff>
      <xdr:row>9</xdr:row>
      <xdr:rowOff>34290</xdr:rowOff>
    </xdr:from>
    <xdr:to>
      <xdr:col>3</xdr:col>
      <xdr:colOff>1645920</xdr:colOff>
      <xdr:row>24</xdr:row>
      <xdr:rowOff>34290</xdr:rowOff>
    </xdr:to>
    <xdr:graphicFrame macro="">
      <xdr:nvGraphicFramePr>
        <xdr:cNvPr id="7" name="Chart 6">
          <a:extLst>
            <a:ext uri="{FF2B5EF4-FFF2-40B4-BE49-F238E27FC236}">
              <a16:creationId xmlns:a16="http://schemas.microsoft.com/office/drawing/2014/main" id="{EB1CA6D4-E737-4049-8301-4ED77641D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76200</xdr:colOff>
      <xdr:row>6</xdr:row>
      <xdr:rowOff>114301</xdr:rowOff>
    </xdr:from>
    <xdr:to>
      <xdr:col>13</xdr:col>
      <xdr:colOff>276226</xdr:colOff>
      <xdr:row>10</xdr:row>
      <xdr:rowOff>68580</xdr:rowOff>
    </xdr:to>
    <mc:AlternateContent xmlns:mc="http://schemas.openxmlformats.org/markup-compatibility/2006">
      <mc:Choice xmlns:a14="http://schemas.microsoft.com/office/drawing/2010/main" Requires="a14">
        <xdr:graphicFrame macro="">
          <xdr:nvGraphicFramePr>
            <xdr:cNvPr id="8" name="Exempt/ Non-Exempt">
              <a:extLst>
                <a:ext uri="{FF2B5EF4-FFF2-40B4-BE49-F238E27FC236}">
                  <a16:creationId xmlns:a16="http://schemas.microsoft.com/office/drawing/2014/main" id="{88A79E24-9391-4FB3-89D1-D9633F072FFE}"/>
                </a:ext>
              </a:extLst>
            </xdr:cNvPr>
            <xdr:cNvGraphicFramePr/>
          </xdr:nvGraphicFramePr>
          <xdr:xfrm>
            <a:off x="0" y="0"/>
            <a:ext cx="0" cy="0"/>
          </xdr:xfrm>
          <a:graphic>
            <a:graphicData uri="http://schemas.microsoft.com/office/drawing/2010/slicer">
              <sle:slicer xmlns:sle="http://schemas.microsoft.com/office/drawing/2010/slicer" name="Exempt/ Non-Exempt"/>
            </a:graphicData>
          </a:graphic>
        </xdr:graphicFrame>
      </mc:Choice>
      <mc:Fallback>
        <xdr:sp macro="" textlink="">
          <xdr:nvSpPr>
            <xdr:cNvPr id="0" name=""/>
            <xdr:cNvSpPr>
              <a:spLocks noTextEdit="1"/>
            </xdr:cNvSpPr>
          </xdr:nvSpPr>
          <xdr:spPr>
            <a:xfrm>
              <a:off x="14157960" y="1211581"/>
              <a:ext cx="2028826" cy="685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434340</xdr:colOff>
      <xdr:row>15</xdr:row>
      <xdr:rowOff>129540</xdr:rowOff>
    </xdr:from>
    <xdr:to>
      <xdr:col>11</xdr:col>
      <xdr:colOff>320040</xdr:colOff>
      <xdr:row>29</xdr:row>
      <xdr:rowOff>150495</xdr:rowOff>
    </xdr:to>
    <mc:AlternateContent xmlns:mc="http://schemas.openxmlformats.org/markup-compatibility/2006">
      <mc:Choice xmlns:a14="http://schemas.microsoft.com/office/drawing/2010/main" Requires="a14">
        <xdr:graphicFrame macro="">
          <xdr:nvGraphicFramePr>
            <xdr:cNvPr id="9" name="Unit">
              <a:extLst>
                <a:ext uri="{FF2B5EF4-FFF2-40B4-BE49-F238E27FC236}">
                  <a16:creationId xmlns:a16="http://schemas.microsoft.com/office/drawing/2014/main" id="{E6C6C42F-1D10-4744-B4AD-6F281024F29D}"/>
                </a:ext>
              </a:extLst>
            </xdr:cNvPr>
            <xdr:cNvGraphicFramePr/>
          </xdr:nvGraphicFramePr>
          <xdr:xfrm>
            <a:off x="0" y="0"/>
            <a:ext cx="0" cy="0"/>
          </xdr:xfrm>
          <a:graphic>
            <a:graphicData uri="http://schemas.microsoft.com/office/drawing/2010/slicer">
              <sle:slicer xmlns:sle="http://schemas.microsoft.com/office/drawing/2010/slicer" name="Unit"/>
            </a:graphicData>
          </a:graphic>
        </xdr:graphicFrame>
      </mc:Choice>
      <mc:Fallback>
        <xdr:sp macro="" textlink="">
          <xdr:nvSpPr>
            <xdr:cNvPr id="0" name=""/>
            <xdr:cNvSpPr>
              <a:spLocks noTextEdit="1"/>
            </xdr:cNvSpPr>
          </xdr:nvSpPr>
          <xdr:spPr>
            <a:xfrm>
              <a:off x="12230100" y="2872740"/>
              <a:ext cx="27813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220980</xdr:colOff>
      <xdr:row>0</xdr:row>
      <xdr:rowOff>22860</xdr:rowOff>
    </xdr:from>
    <xdr:to>
      <xdr:col>19</xdr:col>
      <xdr:colOff>129540</xdr:colOff>
      <xdr:row>26</xdr:row>
      <xdr:rowOff>144780</xdr:rowOff>
    </xdr:to>
    <xdr:sp macro="" textlink="">
      <xdr:nvSpPr>
        <xdr:cNvPr id="2" name="Rectangle 1">
          <a:extLst>
            <a:ext uri="{FF2B5EF4-FFF2-40B4-BE49-F238E27FC236}">
              <a16:creationId xmlns:a16="http://schemas.microsoft.com/office/drawing/2014/main" id="{95207712-94BB-4947-B0E3-FF1FE34E4408}"/>
            </a:ext>
          </a:extLst>
        </xdr:cNvPr>
        <xdr:cNvSpPr/>
      </xdr:nvSpPr>
      <xdr:spPr>
        <a:xfrm>
          <a:off x="2659380" y="22860"/>
          <a:ext cx="9052560" cy="4876800"/>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205740</xdr:colOff>
      <xdr:row>0</xdr:row>
      <xdr:rowOff>137160</xdr:rowOff>
    </xdr:from>
    <xdr:to>
      <xdr:col>13</xdr:col>
      <xdr:colOff>160020</xdr:colOff>
      <xdr:row>2</xdr:row>
      <xdr:rowOff>144780</xdr:rowOff>
    </xdr:to>
    <xdr:sp macro="" textlink="">
      <xdr:nvSpPr>
        <xdr:cNvPr id="3" name="TextBox 2">
          <a:extLst>
            <a:ext uri="{FF2B5EF4-FFF2-40B4-BE49-F238E27FC236}">
              <a16:creationId xmlns:a16="http://schemas.microsoft.com/office/drawing/2014/main" id="{88FFEC4A-7546-44F9-B754-E7632EAE9524}"/>
            </a:ext>
          </a:extLst>
        </xdr:cNvPr>
        <xdr:cNvSpPr txBox="1"/>
      </xdr:nvSpPr>
      <xdr:spPr>
        <a:xfrm>
          <a:off x="4472940" y="137160"/>
          <a:ext cx="3611880" cy="37338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ptos Black" panose="020B0004020202020204" pitchFamily="34" charset="0"/>
            </a:rPr>
            <a:t>Amarthya's Current</a:t>
          </a:r>
          <a:r>
            <a:rPr lang="en-IN" sz="1100" b="1" baseline="0">
              <a:latin typeface="Aptos Black" panose="020B0004020202020204" pitchFamily="34" charset="0"/>
            </a:rPr>
            <a:t> Employees Dashboard</a:t>
          </a:r>
          <a:endParaRPr lang="en-IN" sz="1100" b="1">
            <a:latin typeface="Aptos Black" panose="020B0004020202020204" pitchFamily="34" charset="0"/>
          </a:endParaRPr>
        </a:p>
      </xdr:txBody>
    </xdr:sp>
    <xdr:clientData/>
  </xdr:twoCellAnchor>
  <xdr:twoCellAnchor>
    <xdr:from>
      <xdr:col>7</xdr:col>
      <xdr:colOff>228600</xdr:colOff>
      <xdr:row>3</xdr:row>
      <xdr:rowOff>121920</xdr:rowOff>
    </xdr:from>
    <xdr:to>
      <xdr:col>10</xdr:col>
      <xdr:colOff>45720</xdr:colOff>
      <xdr:row>7</xdr:row>
      <xdr:rowOff>129540</xdr:rowOff>
    </xdr:to>
    <xdr:grpSp>
      <xdr:nvGrpSpPr>
        <xdr:cNvPr id="4" name="Group 3">
          <a:extLst>
            <a:ext uri="{FF2B5EF4-FFF2-40B4-BE49-F238E27FC236}">
              <a16:creationId xmlns:a16="http://schemas.microsoft.com/office/drawing/2014/main" id="{5526DBBD-70DD-49DC-9EC0-49E9EC4EAB7D}"/>
            </a:ext>
          </a:extLst>
        </xdr:cNvPr>
        <xdr:cNvGrpSpPr/>
      </xdr:nvGrpSpPr>
      <xdr:grpSpPr>
        <a:xfrm>
          <a:off x="4495800" y="670560"/>
          <a:ext cx="1645920" cy="739140"/>
          <a:chOff x="2796540" y="594360"/>
          <a:chExt cx="1645920" cy="739140"/>
        </a:xfrm>
      </xdr:grpSpPr>
      <xdr:sp macro="" textlink="">
        <xdr:nvSpPr>
          <xdr:cNvPr id="5" name="TextBox 4">
            <a:extLst>
              <a:ext uri="{FF2B5EF4-FFF2-40B4-BE49-F238E27FC236}">
                <a16:creationId xmlns:a16="http://schemas.microsoft.com/office/drawing/2014/main" id="{F5C6BE90-BFAF-50C0-EC48-3A2553F8F4A2}"/>
              </a:ext>
            </a:extLst>
          </xdr:cNvPr>
          <xdr:cNvSpPr txBox="1"/>
        </xdr:nvSpPr>
        <xdr:spPr>
          <a:xfrm>
            <a:off x="2796540" y="594360"/>
            <a:ext cx="1645920" cy="73914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Aptos Black" panose="020B0004020202020204" pitchFamily="34" charset="0"/>
              </a:rPr>
              <a:t>Total Employees</a:t>
            </a:r>
          </a:p>
          <a:p>
            <a:pPr algn="ctr"/>
            <a:endParaRPr lang="en-IN" sz="1100" b="1">
              <a:latin typeface="Aptos Black" panose="020B0004020202020204" pitchFamily="34" charset="0"/>
            </a:endParaRPr>
          </a:p>
          <a:p>
            <a:pPr algn="ctr"/>
            <a:endParaRPr lang="en-IN" sz="1100" b="1">
              <a:latin typeface="Aptos Black" panose="020B0004020202020204" pitchFamily="34" charset="0"/>
            </a:endParaRPr>
          </a:p>
        </xdr:txBody>
      </xdr:sp>
      <xdr:sp macro="" textlink="[1]Pivot!A7">
        <xdr:nvSpPr>
          <xdr:cNvPr id="6" name="TextBox 5">
            <a:extLst>
              <a:ext uri="{FF2B5EF4-FFF2-40B4-BE49-F238E27FC236}">
                <a16:creationId xmlns:a16="http://schemas.microsoft.com/office/drawing/2014/main" id="{ADAADDCC-9D87-52DE-7F11-EACA5A4E8E1C}"/>
              </a:ext>
            </a:extLst>
          </xdr:cNvPr>
          <xdr:cNvSpPr txBox="1"/>
        </xdr:nvSpPr>
        <xdr:spPr>
          <a:xfrm>
            <a:off x="3284220" y="853440"/>
            <a:ext cx="78486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B69ECB09-4125-449E-9363-D3C422D2E4CD}" type="TxLink">
              <a:rPr lang="en-US" sz="2000" b="0" i="0" u="none" strike="noStrike">
                <a:solidFill>
                  <a:srgbClr val="000000"/>
                </a:solidFill>
                <a:latin typeface="Aptos Black" panose="020B0004020202020204" pitchFamily="34" charset="0"/>
              </a:rPr>
              <a:pPr algn="ctr"/>
              <a:t>6457</a:t>
            </a:fld>
            <a:endParaRPr lang="en-IN" sz="2000">
              <a:latin typeface="Aptos Black" panose="020B0004020202020204" pitchFamily="34" charset="0"/>
            </a:endParaRPr>
          </a:p>
        </xdr:txBody>
      </xdr:sp>
    </xdr:grpSp>
    <xdr:clientData/>
  </xdr:twoCellAnchor>
  <xdr:twoCellAnchor>
    <xdr:from>
      <xdr:col>10</xdr:col>
      <xdr:colOff>289561</xdr:colOff>
      <xdr:row>3</xdr:row>
      <xdr:rowOff>121920</xdr:rowOff>
    </xdr:from>
    <xdr:to>
      <xdr:col>13</xdr:col>
      <xdr:colOff>152401</xdr:colOff>
      <xdr:row>7</xdr:row>
      <xdr:rowOff>129540</xdr:rowOff>
    </xdr:to>
    <xdr:grpSp>
      <xdr:nvGrpSpPr>
        <xdr:cNvPr id="7" name="Group 6">
          <a:extLst>
            <a:ext uri="{FF2B5EF4-FFF2-40B4-BE49-F238E27FC236}">
              <a16:creationId xmlns:a16="http://schemas.microsoft.com/office/drawing/2014/main" id="{C2D5210E-0E06-4349-9133-032AC965EB9E}"/>
            </a:ext>
          </a:extLst>
        </xdr:cNvPr>
        <xdr:cNvGrpSpPr/>
      </xdr:nvGrpSpPr>
      <xdr:grpSpPr>
        <a:xfrm>
          <a:off x="6385561" y="670560"/>
          <a:ext cx="1691640" cy="739140"/>
          <a:chOff x="4776079" y="594360"/>
          <a:chExt cx="1571381" cy="739140"/>
        </a:xfrm>
      </xdr:grpSpPr>
      <xdr:sp macro="" textlink="">
        <xdr:nvSpPr>
          <xdr:cNvPr id="8" name="TextBox 7">
            <a:extLst>
              <a:ext uri="{FF2B5EF4-FFF2-40B4-BE49-F238E27FC236}">
                <a16:creationId xmlns:a16="http://schemas.microsoft.com/office/drawing/2014/main" id="{A72A1519-1EAE-71D2-EF52-A01B5BCA057B}"/>
              </a:ext>
            </a:extLst>
          </xdr:cNvPr>
          <xdr:cNvSpPr txBox="1"/>
        </xdr:nvSpPr>
        <xdr:spPr>
          <a:xfrm>
            <a:off x="4776079" y="594360"/>
            <a:ext cx="1571381" cy="73914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Aptos Black" panose="020B0004020202020204" pitchFamily="34" charset="0"/>
              </a:rPr>
              <a:t>Average</a:t>
            </a:r>
            <a:r>
              <a:rPr lang="en-IN" sz="1100" b="1" baseline="0">
                <a:latin typeface="Aptos Black" panose="020B0004020202020204" pitchFamily="34" charset="0"/>
              </a:rPr>
              <a:t> Age</a:t>
            </a:r>
            <a:endParaRPr lang="en-IN" sz="1100" b="1">
              <a:latin typeface="Aptos Black" panose="020B0004020202020204" pitchFamily="34" charset="0"/>
            </a:endParaRPr>
          </a:p>
          <a:p>
            <a:pPr algn="ctr"/>
            <a:endParaRPr lang="en-IN" sz="1100" b="1">
              <a:latin typeface="Aptos Black" panose="020B0004020202020204" pitchFamily="34" charset="0"/>
            </a:endParaRPr>
          </a:p>
          <a:p>
            <a:pPr algn="ctr"/>
            <a:endParaRPr lang="en-IN" sz="1100" b="1">
              <a:latin typeface="Aptos Black" panose="020B0004020202020204" pitchFamily="34" charset="0"/>
            </a:endParaRPr>
          </a:p>
        </xdr:txBody>
      </xdr:sp>
      <xdr:sp macro="" textlink="[1]Pivot!$B$7">
        <xdr:nvSpPr>
          <xdr:cNvPr id="9" name="TextBox 8">
            <a:extLst>
              <a:ext uri="{FF2B5EF4-FFF2-40B4-BE49-F238E27FC236}">
                <a16:creationId xmlns:a16="http://schemas.microsoft.com/office/drawing/2014/main" id="{F820B879-82AD-330E-5A1A-D8B923A61CAA}"/>
              </a:ext>
            </a:extLst>
          </xdr:cNvPr>
          <xdr:cNvSpPr txBox="1"/>
        </xdr:nvSpPr>
        <xdr:spPr>
          <a:xfrm>
            <a:off x="5196840" y="861060"/>
            <a:ext cx="78486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B61D8EE5-A30E-45E9-BBEC-3EAD6737C137}" type="TxLink">
              <a:rPr lang="en-US" sz="1800" b="0" i="0" u="none" strike="noStrike">
                <a:solidFill>
                  <a:srgbClr val="000000"/>
                </a:solidFill>
                <a:latin typeface="Aptos Black" panose="020B0004020202020204" pitchFamily="34" charset="0"/>
              </a:rPr>
              <a:pPr algn="ctr"/>
              <a:t>25.69</a:t>
            </a:fld>
            <a:endParaRPr lang="en-IN" sz="3600">
              <a:latin typeface="Aptos Black" panose="020B0004020202020204" pitchFamily="34" charset="0"/>
            </a:endParaRPr>
          </a:p>
        </xdr:txBody>
      </xdr:sp>
    </xdr:grpSp>
    <xdr:clientData/>
  </xdr:twoCellAnchor>
  <xdr:twoCellAnchor>
    <xdr:from>
      <xdr:col>7</xdr:col>
      <xdr:colOff>243840</xdr:colOff>
      <xdr:row>14</xdr:row>
      <xdr:rowOff>15240</xdr:rowOff>
    </xdr:from>
    <xdr:to>
      <xdr:col>13</xdr:col>
      <xdr:colOff>152400</xdr:colOff>
      <xdr:row>26</xdr:row>
      <xdr:rowOff>91440</xdr:rowOff>
    </xdr:to>
    <xdr:graphicFrame macro="">
      <xdr:nvGraphicFramePr>
        <xdr:cNvPr id="10" name="Chart 9">
          <a:extLst>
            <a:ext uri="{FF2B5EF4-FFF2-40B4-BE49-F238E27FC236}">
              <a16:creationId xmlns:a16="http://schemas.microsoft.com/office/drawing/2014/main" id="{D5DD74EC-DC24-4FE0-BCE4-B3B506113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373380</xdr:colOff>
      <xdr:row>15</xdr:row>
      <xdr:rowOff>45720</xdr:rowOff>
    </xdr:from>
    <xdr:to>
      <xdr:col>18</xdr:col>
      <xdr:colOff>563880</xdr:colOff>
      <xdr:row>26</xdr:row>
      <xdr:rowOff>114300</xdr:rowOff>
    </xdr:to>
    <xdr:graphicFrame macro="">
      <xdr:nvGraphicFramePr>
        <xdr:cNvPr id="11" name="Chart 10">
          <a:extLst>
            <a:ext uri="{FF2B5EF4-FFF2-40B4-BE49-F238E27FC236}">
              <a16:creationId xmlns:a16="http://schemas.microsoft.com/office/drawing/2014/main" id="{DCDE72BB-B967-4FD3-AC8E-8A085DCFE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426720</xdr:colOff>
      <xdr:row>21</xdr:row>
      <xdr:rowOff>91440</xdr:rowOff>
    </xdr:from>
    <xdr:to>
      <xdr:col>17</xdr:col>
      <xdr:colOff>281942</xdr:colOff>
      <xdr:row>23</xdr:row>
      <xdr:rowOff>106631</xdr:rowOff>
    </xdr:to>
    <xdr:sp macro="" textlink="[1]Pivot!D7">
      <xdr:nvSpPr>
        <xdr:cNvPr id="12" name="TextBox 11">
          <a:extLst>
            <a:ext uri="{FF2B5EF4-FFF2-40B4-BE49-F238E27FC236}">
              <a16:creationId xmlns:a16="http://schemas.microsoft.com/office/drawing/2014/main" id="{0C5C290F-871B-4006-A742-F48D6D7F6738}"/>
            </a:ext>
          </a:extLst>
        </xdr:cNvPr>
        <xdr:cNvSpPr txBox="1"/>
      </xdr:nvSpPr>
      <xdr:spPr>
        <a:xfrm>
          <a:off x="9570720" y="3931920"/>
          <a:ext cx="1074422" cy="3809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EF1791A6-B383-43B9-A4FC-BDB8C238FB19}" type="TxLink">
            <a:rPr lang="en-US" sz="1400" b="0" i="0" u="none" strike="noStrike">
              <a:solidFill>
                <a:schemeClr val="bg1"/>
              </a:solidFill>
              <a:latin typeface="Aptos Black" panose="020B0004020202020204" pitchFamily="34" charset="0"/>
            </a:rPr>
            <a:pPr algn="ctr"/>
            <a:t>2994.45</a:t>
          </a:fld>
          <a:endParaRPr lang="en-IN" sz="4000">
            <a:solidFill>
              <a:schemeClr val="bg1"/>
            </a:solidFill>
            <a:latin typeface="Aptos Black" panose="020B0004020202020204" pitchFamily="34" charset="0"/>
          </a:endParaRPr>
        </a:p>
      </xdr:txBody>
    </xdr:sp>
    <xdr:clientData/>
  </xdr:twoCellAnchor>
  <xdr:twoCellAnchor>
    <xdr:from>
      <xdr:col>7</xdr:col>
      <xdr:colOff>236220</xdr:colOff>
      <xdr:row>8</xdr:row>
      <xdr:rowOff>144780</xdr:rowOff>
    </xdr:from>
    <xdr:to>
      <xdr:col>10</xdr:col>
      <xdr:colOff>45720</xdr:colOff>
      <xdr:row>12</xdr:row>
      <xdr:rowOff>152400</xdr:rowOff>
    </xdr:to>
    <xdr:sp macro="" textlink="">
      <xdr:nvSpPr>
        <xdr:cNvPr id="13" name="TextBox 12">
          <a:extLst>
            <a:ext uri="{FF2B5EF4-FFF2-40B4-BE49-F238E27FC236}">
              <a16:creationId xmlns:a16="http://schemas.microsoft.com/office/drawing/2014/main" id="{534CD50C-B5E8-42DE-96A7-6049C8CE866F}"/>
            </a:ext>
          </a:extLst>
        </xdr:cNvPr>
        <xdr:cNvSpPr txBox="1"/>
      </xdr:nvSpPr>
      <xdr:spPr>
        <a:xfrm>
          <a:off x="4503420" y="1607820"/>
          <a:ext cx="1638300" cy="73914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Aptos Black" panose="020B0004020202020204" pitchFamily="34" charset="0"/>
            </a:rPr>
            <a:t>Average</a:t>
          </a:r>
          <a:r>
            <a:rPr lang="en-IN" sz="1100" b="1" baseline="0">
              <a:latin typeface="Aptos Black" panose="020B0004020202020204" pitchFamily="34" charset="0"/>
            </a:rPr>
            <a:t> Tenure</a:t>
          </a:r>
          <a:endParaRPr lang="en-IN" sz="1100" b="1">
            <a:latin typeface="Aptos Black" panose="020B0004020202020204" pitchFamily="34" charset="0"/>
          </a:endParaRPr>
        </a:p>
        <a:p>
          <a:pPr algn="ctr"/>
          <a:endParaRPr lang="en-IN" sz="1100" b="1">
            <a:latin typeface="Aptos Black" panose="020B0004020202020204" pitchFamily="34" charset="0"/>
          </a:endParaRPr>
        </a:p>
        <a:p>
          <a:pPr algn="ctr"/>
          <a:endParaRPr lang="en-IN" sz="1100" b="1">
            <a:latin typeface="Aptos Black" panose="020B0004020202020204" pitchFamily="34" charset="0"/>
          </a:endParaRPr>
        </a:p>
      </xdr:txBody>
    </xdr:sp>
    <xdr:clientData/>
  </xdr:twoCellAnchor>
  <xdr:twoCellAnchor>
    <xdr:from>
      <xdr:col>8</xdr:col>
      <xdr:colOff>91440</xdr:colOff>
      <xdr:row>10</xdr:row>
      <xdr:rowOff>38100</xdr:rowOff>
    </xdr:from>
    <xdr:to>
      <xdr:col>9</xdr:col>
      <xdr:colOff>266700</xdr:colOff>
      <xdr:row>12</xdr:row>
      <xdr:rowOff>46417</xdr:rowOff>
    </xdr:to>
    <xdr:sp macro="" textlink="[1]Pivot!B8">
      <xdr:nvSpPr>
        <xdr:cNvPr id="14" name="TextBox 13">
          <a:extLst>
            <a:ext uri="{FF2B5EF4-FFF2-40B4-BE49-F238E27FC236}">
              <a16:creationId xmlns:a16="http://schemas.microsoft.com/office/drawing/2014/main" id="{A3E86999-B9CC-44CF-B1BD-7EA4C08AB1C0}"/>
            </a:ext>
          </a:extLst>
        </xdr:cNvPr>
        <xdr:cNvSpPr txBox="1"/>
      </xdr:nvSpPr>
      <xdr:spPr>
        <a:xfrm>
          <a:off x="4968240" y="1866900"/>
          <a:ext cx="78486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E23DB774-04CA-4525-90C4-40B223DC1C31}" type="TxLink">
            <a:rPr lang="en-US" sz="1800" b="0" i="0" u="none" strike="noStrike">
              <a:solidFill>
                <a:srgbClr val="000000"/>
              </a:solidFill>
              <a:latin typeface="Aptos Black" panose="020B0004020202020204" pitchFamily="34" charset="0"/>
            </a:rPr>
            <a:pPr algn="ctr"/>
            <a:t>2.56</a:t>
          </a:fld>
          <a:endParaRPr lang="en-IN" sz="5400">
            <a:latin typeface="Aptos Black" panose="020B0004020202020204" pitchFamily="34" charset="0"/>
          </a:endParaRPr>
        </a:p>
      </xdr:txBody>
    </xdr:sp>
    <xdr:clientData/>
  </xdr:twoCellAnchor>
  <xdr:twoCellAnchor>
    <xdr:from>
      <xdr:col>4</xdr:col>
      <xdr:colOff>365760</xdr:colOff>
      <xdr:row>0</xdr:row>
      <xdr:rowOff>83821</xdr:rowOff>
    </xdr:from>
    <xdr:to>
      <xdr:col>7</xdr:col>
      <xdr:colOff>17146</xdr:colOff>
      <xdr:row>3</xdr:row>
      <xdr:rowOff>137161</xdr:rowOff>
    </xdr:to>
    <mc:AlternateContent xmlns:mc="http://schemas.openxmlformats.org/markup-compatibility/2006">
      <mc:Choice xmlns:a14="http://schemas.microsoft.com/office/drawing/2010/main" Requires="a14">
        <xdr:graphicFrame macro="">
          <xdr:nvGraphicFramePr>
            <xdr:cNvPr id="15" name="Gender 2">
              <a:extLst>
                <a:ext uri="{FF2B5EF4-FFF2-40B4-BE49-F238E27FC236}">
                  <a16:creationId xmlns:a16="http://schemas.microsoft.com/office/drawing/2014/main" id="{3CDD7F3F-AEDE-4589-8E78-E3B1ABCB0FA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2804160" y="83821"/>
              <a:ext cx="1480186" cy="601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365760</xdr:colOff>
      <xdr:row>17</xdr:row>
      <xdr:rowOff>8916</xdr:rowOff>
    </xdr:from>
    <xdr:to>
      <xdr:col>7</xdr:col>
      <xdr:colOff>17146</xdr:colOff>
      <xdr:row>26</xdr:row>
      <xdr:rowOff>15240</xdr:rowOff>
    </xdr:to>
    <mc:AlternateContent xmlns:mc="http://schemas.openxmlformats.org/markup-compatibility/2006">
      <mc:Choice xmlns:a14="http://schemas.microsoft.com/office/drawing/2010/main" Requires="a14">
        <xdr:graphicFrame macro="">
          <xdr:nvGraphicFramePr>
            <xdr:cNvPr id="16" name="Job Title 2">
              <a:extLst>
                <a:ext uri="{FF2B5EF4-FFF2-40B4-BE49-F238E27FC236}">
                  <a16:creationId xmlns:a16="http://schemas.microsoft.com/office/drawing/2014/main" id="{5259DBE1-A7BE-437C-A6AD-B0DD7C8C429F}"/>
                </a:ext>
              </a:extLst>
            </xdr:cNvPr>
            <xdr:cNvGraphicFramePr/>
          </xdr:nvGraphicFramePr>
          <xdr:xfrm>
            <a:off x="0" y="0"/>
            <a:ext cx="0" cy="0"/>
          </xdr:xfrm>
          <a:graphic>
            <a:graphicData uri="http://schemas.microsoft.com/office/drawing/2010/slicer">
              <sle:slicer xmlns:sle="http://schemas.microsoft.com/office/drawing/2010/slicer" name="Job Title 2"/>
            </a:graphicData>
          </a:graphic>
        </xdr:graphicFrame>
      </mc:Choice>
      <mc:Fallback>
        <xdr:sp macro="" textlink="">
          <xdr:nvSpPr>
            <xdr:cNvPr id="0" name=""/>
            <xdr:cNvSpPr>
              <a:spLocks noTextEdit="1"/>
            </xdr:cNvSpPr>
          </xdr:nvSpPr>
          <xdr:spPr>
            <a:xfrm>
              <a:off x="2804160" y="3117876"/>
              <a:ext cx="1480186" cy="1652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365760</xdr:colOff>
      <xdr:row>4</xdr:row>
      <xdr:rowOff>69195</xdr:rowOff>
    </xdr:from>
    <xdr:to>
      <xdr:col>7</xdr:col>
      <xdr:colOff>17146</xdr:colOff>
      <xdr:row>7</xdr:row>
      <xdr:rowOff>123476</xdr:rowOff>
    </xdr:to>
    <mc:AlternateContent xmlns:mc="http://schemas.openxmlformats.org/markup-compatibility/2006">
      <mc:Choice xmlns:a14="http://schemas.microsoft.com/office/drawing/2010/main" Requires="a14">
        <xdr:graphicFrame macro="">
          <xdr:nvGraphicFramePr>
            <xdr:cNvPr id="17" name="Store Market 1">
              <a:extLst>
                <a:ext uri="{FF2B5EF4-FFF2-40B4-BE49-F238E27FC236}">
                  <a16:creationId xmlns:a16="http://schemas.microsoft.com/office/drawing/2014/main" id="{E262A9E0-8011-44C4-8CEA-24143D7CF488}"/>
                </a:ext>
              </a:extLst>
            </xdr:cNvPr>
            <xdr:cNvGraphicFramePr/>
          </xdr:nvGraphicFramePr>
          <xdr:xfrm>
            <a:off x="0" y="0"/>
            <a:ext cx="0" cy="0"/>
          </xdr:xfrm>
          <a:graphic>
            <a:graphicData uri="http://schemas.microsoft.com/office/drawing/2010/slicer">
              <sle:slicer xmlns:sle="http://schemas.microsoft.com/office/drawing/2010/slicer" name="Store Market 1"/>
            </a:graphicData>
          </a:graphic>
        </xdr:graphicFrame>
      </mc:Choice>
      <mc:Fallback>
        <xdr:sp macro="" textlink="">
          <xdr:nvSpPr>
            <xdr:cNvPr id="0" name=""/>
            <xdr:cNvSpPr>
              <a:spLocks noTextEdit="1"/>
            </xdr:cNvSpPr>
          </xdr:nvSpPr>
          <xdr:spPr>
            <a:xfrm>
              <a:off x="2804160" y="800715"/>
              <a:ext cx="1480186" cy="602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365760</xdr:colOff>
      <xdr:row>13</xdr:row>
      <xdr:rowOff>41019</xdr:rowOff>
    </xdr:from>
    <xdr:to>
      <xdr:col>7</xdr:col>
      <xdr:colOff>17146</xdr:colOff>
      <xdr:row>16</xdr:row>
      <xdr:rowOff>76882</xdr:rowOff>
    </xdr:to>
    <mc:AlternateContent xmlns:mc="http://schemas.openxmlformats.org/markup-compatibility/2006">
      <mc:Choice xmlns:a14="http://schemas.microsoft.com/office/drawing/2010/main" Requires="a14">
        <xdr:graphicFrame macro="">
          <xdr:nvGraphicFramePr>
            <xdr:cNvPr id="18" name="Race 2">
              <a:extLst>
                <a:ext uri="{FF2B5EF4-FFF2-40B4-BE49-F238E27FC236}">
                  <a16:creationId xmlns:a16="http://schemas.microsoft.com/office/drawing/2014/main" id="{45CCE932-2452-4B25-9322-D93C13F381B9}"/>
                </a:ext>
              </a:extLst>
            </xdr:cNvPr>
            <xdr:cNvGraphicFramePr/>
          </xdr:nvGraphicFramePr>
          <xdr:xfrm>
            <a:off x="0" y="0"/>
            <a:ext cx="0" cy="0"/>
          </xdr:xfrm>
          <a:graphic>
            <a:graphicData uri="http://schemas.microsoft.com/office/drawing/2010/slicer">
              <sle:slicer xmlns:sle="http://schemas.microsoft.com/office/drawing/2010/slicer" name="Race 2"/>
            </a:graphicData>
          </a:graphic>
        </xdr:graphicFrame>
      </mc:Choice>
      <mc:Fallback>
        <xdr:sp macro="" textlink="">
          <xdr:nvSpPr>
            <xdr:cNvPr id="0" name=""/>
            <xdr:cNvSpPr>
              <a:spLocks noTextEdit="1"/>
            </xdr:cNvSpPr>
          </xdr:nvSpPr>
          <xdr:spPr>
            <a:xfrm>
              <a:off x="2804160" y="2418459"/>
              <a:ext cx="1480186" cy="584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365760</xdr:colOff>
      <xdr:row>8</xdr:row>
      <xdr:rowOff>55510</xdr:rowOff>
    </xdr:from>
    <xdr:to>
      <xdr:col>7</xdr:col>
      <xdr:colOff>45720</xdr:colOff>
      <xdr:row>12</xdr:row>
      <xdr:rowOff>108985</xdr:rowOff>
    </xdr:to>
    <mc:AlternateContent xmlns:mc="http://schemas.openxmlformats.org/markup-compatibility/2006">
      <mc:Choice xmlns:a14="http://schemas.microsoft.com/office/drawing/2010/main" Requires="a14">
        <xdr:graphicFrame macro="">
          <xdr:nvGraphicFramePr>
            <xdr:cNvPr id="19" name="Exempt/ Non-Exempt 1">
              <a:extLst>
                <a:ext uri="{FF2B5EF4-FFF2-40B4-BE49-F238E27FC236}">
                  <a16:creationId xmlns:a16="http://schemas.microsoft.com/office/drawing/2014/main" id="{3536DC24-258F-41A4-98A1-2C9AD4D30E36}"/>
                </a:ext>
              </a:extLst>
            </xdr:cNvPr>
            <xdr:cNvGraphicFramePr/>
          </xdr:nvGraphicFramePr>
          <xdr:xfrm>
            <a:off x="0" y="0"/>
            <a:ext cx="0" cy="0"/>
          </xdr:xfrm>
          <a:graphic>
            <a:graphicData uri="http://schemas.microsoft.com/office/drawing/2010/slicer">
              <sle:slicer xmlns:sle="http://schemas.microsoft.com/office/drawing/2010/slicer" name="Exempt/ Non-Exempt 1"/>
            </a:graphicData>
          </a:graphic>
        </xdr:graphicFrame>
      </mc:Choice>
      <mc:Fallback>
        <xdr:sp macro="" textlink="">
          <xdr:nvSpPr>
            <xdr:cNvPr id="0" name=""/>
            <xdr:cNvSpPr>
              <a:spLocks noTextEdit="1"/>
            </xdr:cNvSpPr>
          </xdr:nvSpPr>
          <xdr:spPr>
            <a:xfrm>
              <a:off x="2804160" y="1518550"/>
              <a:ext cx="1508760" cy="784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388620</xdr:colOff>
      <xdr:row>0</xdr:row>
      <xdr:rowOff>106680</xdr:rowOff>
    </xdr:from>
    <xdr:to>
      <xdr:col>18</xdr:col>
      <xdr:colOff>586740</xdr:colOff>
      <xdr:row>14</xdr:row>
      <xdr:rowOff>127635</xdr:rowOff>
    </xdr:to>
    <mc:AlternateContent xmlns:mc="http://schemas.openxmlformats.org/markup-compatibility/2006">
      <mc:Choice xmlns:a14="http://schemas.microsoft.com/office/drawing/2010/main" Requires="a14">
        <xdr:graphicFrame macro="">
          <xdr:nvGraphicFramePr>
            <xdr:cNvPr id="20" name="Unit 1">
              <a:extLst>
                <a:ext uri="{FF2B5EF4-FFF2-40B4-BE49-F238E27FC236}">
                  <a16:creationId xmlns:a16="http://schemas.microsoft.com/office/drawing/2014/main" id="{CF9284B9-7E01-45C2-9382-A04BFD980D69}"/>
                </a:ext>
              </a:extLst>
            </xdr:cNvPr>
            <xdr:cNvGraphicFramePr/>
          </xdr:nvGraphicFramePr>
          <xdr:xfrm>
            <a:off x="0" y="0"/>
            <a:ext cx="0" cy="0"/>
          </xdr:xfrm>
          <a:graphic>
            <a:graphicData uri="http://schemas.microsoft.com/office/drawing/2010/slicer">
              <sle:slicer xmlns:sle="http://schemas.microsoft.com/office/drawing/2010/slicer" name="Unit 1"/>
            </a:graphicData>
          </a:graphic>
        </xdr:graphicFrame>
      </mc:Choice>
      <mc:Fallback>
        <xdr:sp macro="" textlink="">
          <xdr:nvSpPr>
            <xdr:cNvPr id="0" name=""/>
            <xdr:cNvSpPr>
              <a:spLocks noTextEdit="1"/>
            </xdr:cNvSpPr>
          </xdr:nvSpPr>
          <xdr:spPr>
            <a:xfrm>
              <a:off x="8313420" y="106680"/>
              <a:ext cx="324612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281939</xdr:colOff>
      <xdr:row>8</xdr:row>
      <xdr:rowOff>152400</xdr:rowOff>
    </xdr:from>
    <xdr:to>
      <xdr:col>13</xdr:col>
      <xdr:colOff>160019</xdr:colOff>
      <xdr:row>12</xdr:row>
      <xdr:rowOff>160020</xdr:rowOff>
    </xdr:to>
    <xdr:grpSp>
      <xdr:nvGrpSpPr>
        <xdr:cNvPr id="21" name="Group 20">
          <a:extLst>
            <a:ext uri="{FF2B5EF4-FFF2-40B4-BE49-F238E27FC236}">
              <a16:creationId xmlns:a16="http://schemas.microsoft.com/office/drawing/2014/main" id="{3D0272F2-30C0-4220-B2F3-FC25F3BF4949}"/>
            </a:ext>
          </a:extLst>
        </xdr:cNvPr>
        <xdr:cNvGrpSpPr/>
      </xdr:nvGrpSpPr>
      <xdr:grpSpPr>
        <a:xfrm>
          <a:off x="6377939" y="1615440"/>
          <a:ext cx="1706880" cy="739140"/>
          <a:chOff x="4761922" y="594360"/>
          <a:chExt cx="1585538" cy="739140"/>
        </a:xfrm>
      </xdr:grpSpPr>
      <xdr:sp macro="" textlink="">
        <xdr:nvSpPr>
          <xdr:cNvPr id="22" name="TextBox 21">
            <a:extLst>
              <a:ext uri="{FF2B5EF4-FFF2-40B4-BE49-F238E27FC236}">
                <a16:creationId xmlns:a16="http://schemas.microsoft.com/office/drawing/2014/main" id="{F9ED50DE-78D0-F683-B5CE-B7543A2E5E40}"/>
              </a:ext>
            </a:extLst>
          </xdr:cNvPr>
          <xdr:cNvSpPr txBox="1"/>
        </xdr:nvSpPr>
        <xdr:spPr>
          <a:xfrm>
            <a:off x="4761922" y="594360"/>
            <a:ext cx="1585538" cy="73914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latin typeface="Aptos Black" panose="020B0004020202020204" pitchFamily="34" charset="0"/>
              </a:rPr>
              <a:t>Average</a:t>
            </a:r>
            <a:r>
              <a:rPr lang="en-IN" sz="900" b="1" baseline="0">
                <a:latin typeface="Aptos Black" panose="020B0004020202020204" pitchFamily="34" charset="0"/>
              </a:rPr>
              <a:t> Prior Experience</a:t>
            </a:r>
            <a:endParaRPr lang="en-IN" sz="900" b="1">
              <a:latin typeface="Aptos Black" panose="020B0004020202020204" pitchFamily="34" charset="0"/>
            </a:endParaRPr>
          </a:p>
          <a:p>
            <a:pPr algn="ctr"/>
            <a:endParaRPr lang="en-IN" sz="900" b="1">
              <a:latin typeface="Aptos Black" panose="020B0004020202020204" pitchFamily="34" charset="0"/>
            </a:endParaRPr>
          </a:p>
          <a:p>
            <a:pPr algn="ctr"/>
            <a:endParaRPr lang="en-IN" sz="1100" b="1">
              <a:latin typeface="Aptos Black" panose="020B0004020202020204" pitchFamily="34" charset="0"/>
            </a:endParaRPr>
          </a:p>
        </xdr:txBody>
      </xdr:sp>
      <xdr:sp macro="" textlink="[1]Pivot!F7">
        <xdr:nvSpPr>
          <xdr:cNvPr id="23" name="TextBox 22">
            <a:extLst>
              <a:ext uri="{FF2B5EF4-FFF2-40B4-BE49-F238E27FC236}">
                <a16:creationId xmlns:a16="http://schemas.microsoft.com/office/drawing/2014/main" id="{3E043E08-FF3F-C6AE-3D80-AEFCA24869C7}"/>
              </a:ext>
            </a:extLst>
          </xdr:cNvPr>
          <xdr:cNvSpPr txBox="1"/>
        </xdr:nvSpPr>
        <xdr:spPr>
          <a:xfrm>
            <a:off x="5196840" y="861060"/>
            <a:ext cx="78486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9FA4733C-AB2C-4E20-95ED-7FD0B58F5422}" type="TxLink">
              <a:rPr lang="en-US" sz="1600" b="0" i="0" u="none" strike="noStrike">
                <a:solidFill>
                  <a:srgbClr val="000000"/>
                </a:solidFill>
                <a:latin typeface="Aptos Black" panose="020B0004020202020204" pitchFamily="34" charset="0"/>
              </a:rPr>
              <a:pPr algn="ctr"/>
              <a:t>1.81</a:t>
            </a:fld>
            <a:endParaRPr lang="en-IN" sz="4800">
              <a:latin typeface="Aptos Black" panose="020B0004020202020204" pitchFamily="34" charset="0"/>
            </a:endParaRPr>
          </a:p>
        </xdr:txBody>
      </xdr:sp>
    </xdr:grpSp>
    <xdr:clientData/>
  </xdr:twoCellAnchor>
  <xdr:twoCellAnchor>
    <xdr:from>
      <xdr:col>0</xdr:col>
      <xdr:colOff>99060</xdr:colOff>
      <xdr:row>0</xdr:row>
      <xdr:rowOff>175260</xdr:rowOff>
    </xdr:from>
    <xdr:to>
      <xdr:col>4</xdr:col>
      <xdr:colOff>91440</xdr:colOff>
      <xdr:row>22</xdr:row>
      <xdr:rowOff>121920</xdr:rowOff>
    </xdr:to>
    <xdr:sp macro="" textlink="">
      <xdr:nvSpPr>
        <xdr:cNvPr id="24" name="TextBox 23">
          <a:extLst>
            <a:ext uri="{FF2B5EF4-FFF2-40B4-BE49-F238E27FC236}">
              <a16:creationId xmlns:a16="http://schemas.microsoft.com/office/drawing/2014/main" id="{D20F08AF-9785-475D-A1B7-656E2A57F152}"/>
            </a:ext>
          </a:extLst>
        </xdr:cNvPr>
        <xdr:cNvSpPr txBox="1"/>
      </xdr:nvSpPr>
      <xdr:spPr>
        <a:xfrm>
          <a:off x="99060" y="175260"/>
          <a:ext cx="2430780" cy="3970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1. Find total employees and average tenure of female white</a:t>
          </a:r>
          <a:r>
            <a:rPr lang="en-IN" sz="1100" baseline="0"/>
            <a:t> employees at unit 35.</a:t>
          </a:r>
          <a:br>
            <a:rPr lang="en-IN" sz="1100" baseline="0"/>
          </a:br>
          <a:r>
            <a:rPr lang="en-IN" sz="1100" baseline="0"/>
            <a:t>Answer: 20, 1.75</a:t>
          </a:r>
          <a:br>
            <a:rPr lang="en-IN" sz="1100" baseline="0"/>
          </a:br>
          <a:br>
            <a:rPr lang="en-IN" sz="1100" baseline="0"/>
          </a:br>
          <a:r>
            <a:rPr lang="en-IN" sz="1100" baseline="0"/>
            <a:t>2. Find average wage rate of assistant managers at unit 113</a:t>
          </a:r>
        </a:p>
        <a:p>
          <a:r>
            <a:rPr lang="en-IN" sz="1100" baseline="0"/>
            <a:t>Answer: $52024.00</a:t>
          </a:r>
        </a:p>
        <a:p>
          <a:endParaRPr lang="en-IN" sz="1100" baseline="0"/>
        </a:p>
        <a:p>
          <a:r>
            <a:rPr lang="en-IN" sz="1100" baseline="0"/>
            <a:t>3. Find white non-exempt average age of employees at unit 89</a:t>
          </a:r>
        </a:p>
        <a:p>
          <a:r>
            <a:rPr lang="en-IN" sz="1100" baseline="0"/>
            <a:t>Answer: 27.40</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0.3786</cdr:x>
      <cdr:y>0.4498</cdr:y>
    </cdr:from>
    <cdr:to>
      <cdr:x>0.61728</cdr:x>
      <cdr:y>0.74575</cdr:y>
    </cdr:to>
    <cdr:sp macro="" textlink="[2]Pivot!$E$7">
      <cdr:nvSpPr>
        <cdr:cNvPr id="2" name="TextBox 1">
          <a:extLst xmlns:a="http://schemas.openxmlformats.org/drawingml/2006/main">
            <a:ext uri="{FF2B5EF4-FFF2-40B4-BE49-F238E27FC236}">
              <a16:creationId xmlns:a16="http://schemas.microsoft.com/office/drawing/2014/main" id="{08DD7361-93A4-B6D6-E7F5-170CA2ABC6D8}"/>
            </a:ext>
          </a:extLst>
        </cdr:cNvPr>
        <cdr:cNvSpPr txBox="1"/>
      </cdr:nvSpPr>
      <cdr:spPr>
        <a:xfrm xmlns:a="http://schemas.openxmlformats.org/drawingml/2006/main">
          <a:off x="1402079" y="853439"/>
          <a:ext cx="883921" cy="56153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323E3DF4-7F0F-41C4-A98F-B7631E107058}" type="TxLink">
            <a:rPr lang="en-US" sz="1800" b="0" i="0" u="none" strike="noStrike" kern="1200">
              <a:solidFill>
                <a:srgbClr val="000000"/>
              </a:solidFill>
              <a:latin typeface="Aptos Black" panose="020B0004020202020204" pitchFamily="34" charset="0"/>
            </a:rPr>
            <a:pPr algn="ctr"/>
            <a:t>3.50</a:t>
          </a:fld>
          <a:endParaRPr lang="en-IN" sz="1800" kern="1200">
            <a:latin typeface="Aptos Black" panose="020B0004020202020204" pitchFamily="34" charset="0"/>
          </a:endParaRPr>
        </a:p>
      </cdr:txBody>
    </cdr:sp>
  </cdr:relSizeAnchor>
</c:userShapes>
</file>

<file path=xl/externalLinks/_rels/externalLink1.xml.rels><?xml version="1.0" encoding="UTF-8" standalone="yes"?>
<Relationships xmlns="http://schemas.openxmlformats.org/package/2006/relationships"><Relationship Id="rId3" Type="http://schemas.openxmlformats.org/officeDocument/2006/relationships/externalLinkPath" Target="../Desktop/Dataset%20for%20practice.xlsx" TargetMode="External"/><Relationship Id="rId2" Type="http://schemas.openxmlformats.org/officeDocument/2006/relationships/externalLinkPath" Target="https://d.docs.live.net/351a3bd681d7eaee/Desktop/Dataset%20for%20practice.xlsx" TargetMode="External"/><Relationship Id="rId1" Type="http://schemas.openxmlformats.org/officeDocument/2006/relationships/externalLinkPath" Target="/351a3bd681d7eaee/Desktop/Dataset%20for%20practice.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Pivo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ivot"/>
      <sheetName val="Dashboard"/>
      <sheetName val="Current Employees"/>
      <sheetName val="Sheet6"/>
      <sheetName val="Past and Current Employees"/>
      <sheetName val="AM Applicant Information"/>
      <sheetName val="Validation Study"/>
      <sheetName val="Manager Data by Year"/>
      <sheetName val="Sheet1"/>
      <sheetName val="Sheet3"/>
      <sheetName val="Engagement Dashboard"/>
      <sheetName val="Engagement Survey Results"/>
      <sheetName val="2024 Raw Engagement Data Subset"/>
      <sheetName val="Sheet4"/>
      <sheetName val="Sheet7"/>
      <sheetName val="Sales Dashboard"/>
      <sheetName val="Sheet10"/>
      <sheetName val="Restaurant Performance Info"/>
    </sheetNames>
    <sheetDataSet>
      <sheetData sheetId="0">
        <row r="7">
          <cell r="D7">
            <v>2994.4544060705639</v>
          </cell>
          <cell r="E7">
            <v>3.8850931677018634</v>
          </cell>
        </row>
        <row r="8">
          <cell r="E8">
            <v>1.1149068322981366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351a3bd681d7eaee/Desktop/Dataset%20for%20practic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thya Paul" refreshedDate="46304.70207673611" createdVersion="8" refreshedVersion="8" minRefreshableVersion="3" recordCount="6457" xr:uid="{925F4886-C92F-41EF-878E-A2096829836C}">
  <cacheSource type="worksheet">
    <worksheetSource ref="A1:AJ6458" sheet="Current Employees" r:id="rId2"/>
  </cacheSource>
  <cacheFields count="36">
    <cacheField name="Row" numFmtId="0">
      <sharedItems containsSemiMixedTypes="0" containsString="0" containsNumber="1" containsInteger="1" minValue="1" maxValue="6457"/>
    </cacheField>
    <cacheField name="ID" numFmtId="0">
      <sharedItems containsSemiMixedTypes="0" containsString="0" containsNumber="1" containsInteger="1" minValue="2" maxValue="57057"/>
    </cacheField>
    <cacheField name="Birthdate" numFmtId="14">
      <sharedItems containsSemiMixedTypes="0" containsNonDate="0" containsDate="1" containsString="0" minDate="1961-03-16T00:00:00" maxDate="2007-12-30T00:00:00"/>
    </cacheField>
    <cacheField name="Age" numFmtId="0">
      <sharedItems containsSemiMixedTypes="0" containsString="0" containsNumber="1" containsInteger="1" minValue="18" maxValue="64"/>
    </cacheField>
    <cacheField name="Gender" numFmtId="0">
      <sharedItems count="2">
        <s v="Male"/>
        <s v="Female"/>
      </sharedItems>
    </cacheField>
    <cacheField name="Race" numFmtId="0">
      <sharedItems count="2">
        <s v="URM"/>
        <s v="White"/>
      </sharedItems>
    </cacheField>
    <cacheField name="Hire Date" numFmtId="14">
      <sharedItems containsSemiMixedTypes="0" containsNonDate="0" containsDate="1" containsString="0" minDate="2015-05-15T00:00:00" maxDate="2025-01-01T00:00:00"/>
    </cacheField>
    <cacheField name="Tenure" numFmtId="2">
      <sharedItems containsSemiMixedTypes="0" containsString="0" containsNumber="1" minValue="1" maxValue="126.08767123287672"/>
    </cacheField>
    <cacheField name="Unit" numFmtId="0">
      <sharedItems containsSemiMixedTypes="0" containsString="0" containsNumber="1" containsInteger="1" minValue="1" maxValue="145" count="145">
        <n v="1"/>
        <n v="69"/>
        <n v="2"/>
        <n v="3"/>
        <n v="4"/>
        <n v="5"/>
        <n v="77"/>
        <n v="6"/>
        <n v="78"/>
        <n v="80"/>
        <n v="8"/>
        <n v="10"/>
        <n v="12"/>
        <n v="14"/>
        <n v="15"/>
        <n v="16"/>
        <n v="18"/>
        <n v="17"/>
        <n v="19"/>
        <n v="21"/>
        <n v="22"/>
        <n v="24"/>
        <n v="25"/>
        <n v="26"/>
        <n v="30"/>
        <n v="32"/>
        <n v="33"/>
        <n v="23"/>
        <n v="28"/>
        <n v="82"/>
        <n v="83"/>
        <n v="38"/>
        <n v="39"/>
        <n v="41"/>
        <n v="45"/>
        <n v="52"/>
        <n v="53"/>
        <n v="62"/>
        <n v="64"/>
        <n v="66"/>
        <n v="67"/>
        <n v="58"/>
        <n v="65"/>
        <n v="70"/>
        <n v="72"/>
        <n v="11"/>
        <n v="79"/>
        <n v="36"/>
        <n v="84"/>
        <n v="35"/>
        <n v="44"/>
        <n v="89"/>
        <n v="29"/>
        <n v="93"/>
        <n v="94"/>
        <n v="56"/>
        <n v="95"/>
        <n v="54"/>
        <n v="97"/>
        <n v="61"/>
        <n v="99"/>
        <n v="37"/>
        <n v="100"/>
        <n v="40"/>
        <n v="105"/>
        <n v="106"/>
        <n v="107"/>
        <n v="50"/>
        <n v="108"/>
        <n v="109"/>
        <n v="111"/>
        <n v="112"/>
        <n v="114"/>
        <n v="59"/>
        <n v="115"/>
        <n v="116"/>
        <n v="118"/>
        <n v="63"/>
        <n v="42"/>
        <n v="121"/>
        <n v="125"/>
        <n v="128"/>
        <n v="13"/>
        <n v="43"/>
        <n v="135"/>
        <n v="96"/>
        <n v="137"/>
        <n v="31"/>
        <n v="20"/>
        <n v="131"/>
        <n v="73"/>
        <n v="101"/>
        <n v="141"/>
        <n v="122"/>
        <n v="132"/>
        <n v="87"/>
        <n v="130"/>
        <n v="74"/>
        <n v="140"/>
        <n v="134"/>
        <n v="129"/>
        <n v="136"/>
        <n v="49"/>
        <n v="145"/>
        <n v="71"/>
        <n v="81"/>
        <n v="68"/>
        <n v="126"/>
        <n v="86"/>
        <n v="123"/>
        <n v="133"/>
        <n v="102"/>
        <n v="139"/>
        <n v="98"/>
        <n v="76"/>
        <n v="85"/>
        <n v="144"/>
        <n v="103"/>
        <n v="120"/>
        <n v="104"/>
        <n v="75"/>
        <n v="92"/>
        <n v="117"/>
        <n v="88"/>
        <n v="9"/>
        <n v="119"/>
        <n v="142"/>
        <n v="7"/>
        <n v="143"/>
        <n v="124"/>
        <n v="91"/>
        <n v="113"/>
        <n v="138"/>
        <n v="90"/>
        <n v="127"/>
        <n v="110"/>
        <n v="46"/>
        <n v="27"/>
        <n v="47"/>
        <n v="34"/>
        <n v="51"/>
        <n v="55"/>
        <n v="60"/>
        <n v="48"/>
        <n v="57"/>
      </sharedItems>
    </cacheField>
    <cacheField name="Store Market" numFmtId="0">
      <sharedItems count="2">
        <s v="Large"/>
        <s v="Medium"/>
      </sharedItems>
    </cacheField>
    <cacheField name="Job Title" numFmtId="0">
      <sharedItems count="13">
        <s v="Manager"/>
        <s v="Cashier"/>
        <s v="Dishwasher"/>
        <s v="Host"/>
        <s v="Lead cook"/>
        <s v="Line cook"/>
        <s v="Maintenance"/>
        <s v="Prep cook"/>
        <s v="Wait staff"/>
        <s v="Food runner"/>
        <s v="Bus Person"/>
        <s v="Bartender"/>
        <s v="Assistant Manager"/>
      </sharedItems>
    </cacheField>
    <cacheField name="Exempt/ Non-Exempt" numFmtId="0">
      <sharedItems count="2">
        <s v="Exempt"/>
        <s v="Non-Exempt"/>
      </sharedItems>
    </cacheField>
    <cacheField name="Wage Rate (2024)" numFmtId="0">
      <sharedItems containsSemiMixedTypes="0" containsString="0" containsNumber="1" minValue="7.77" maxValue="96381"/>
    </cacheField>
    <cacheField name="Wage Rate (2023)" numFmtId="0">
      <sharedItems containsString="0" containsBlank="1" containsNumber="1" minValue="7.77" maxValue="93381"/>
    </cacheField>
    <cacheField name="Wage Rate (2022)" numFmtId="0">
      <sharedItems containsString="0" containsBlank="1" containsNumber="1" minValue="7.77" maxValue="90381"/>
    </cacheField>
    <cacheField name="Wage Rate (2021)" numFmtId="0">
      <sharedItems containsString="0" containsBlank="1" containsNumber="1" minValue="7.77" maxValue="87381"/>
    </cacheField>
    <cacheField name="Wage Rate (2020)" numFmtId="0">
      <sharedItems containsString="0" containsBlank="1" containsNumber="1" minValue="7.65" maxValue="84381"/>
    </cacheField>
    <cacheField name="Wage Rate (2019)" numFmtId="0">
      <sharedItems containsString="0" containsBlank="1" containsNumber="1" minValue="7.49" maxValue="81381"/>
    </cacheField>
    <cacheField name="Wage Rate (2018)" numFmtId="0">
      <sharedItems containsString="0" containsBlank="1" containsNumber="1" minValue="7.3" maxValue="78381"/>
    </cacheField>
    <cacheField name="Recruitment Source" numFmtId="0">
      <sharedItems count="13">
        <s v="Georgias City College"/>
        <s v="Walk-in"/>
        <s v="Employee Reference"/>
        <s v="Help-Wanted Ad"/>
        <s v="On-line Advertisement"/>
        <s v="Southwestern State University"/>
        <s v="State University at Alberdale"/>
        <s v="Hitherdale Community College"/>
        <s v="State School of Hartforde"/>
        <s v="University of the North"/>
        <s v="Sung Urban Camp"/>
        <s v="Marquis University"/>
        <s v="National University"/>
      </sharedItems>
    </cacheField>
    <cacheField name="Prior Experience" numFmtId="0">
      <sharedItems containsSemiMixedTypes="0" containsString="0" containsNumber="1" containsInteger="1" minValue="0" maxValue="7"/>
    </cacheField>
    <cacheField name="Interview 1" numFmtId="0">
      <sharedItems containsSemiMixedTypes="0" containsString="0" containsNumber="1" containsInteger="1" minValue="1" maxValue="7"/>
    </cacheField>
    <cacheField name="Interview 2" numFmtId="0">
      <sharedItems containsString="0" containsBlank="1" containsNumber="1" containsInteger="1" minValue="2" maxValue="7"/>
    </cacheField>
    <cacheField name="Promotion 1 (Date)" numFmtId="0">
      <sharedItems containsNonDate="0" containsDate="1" containsString="0" containsBlank="1" minDate="2016-03-18T00:00:00" maxDate="2024-12-23T00:00:00"/>
    </cacheField>
    <cacheField name="Promotion 1 (Prior Position)" numFmtId="0">
      <sharedItems containsBlank="1"/>
    </cacheField>
    <cacheField name="Promotion 2 (Date)" numFmtId="0">
      <sharedItems containsNonDate="0" containsDate="1" containsString="0" containsBlank="1" minDate="2017-02-28T00:00:00" maxDate="2024-12-13T00:00:00"/>
    </cacheField>
    <cacheField name="Promotion 2 (Prior Position)" numFmtId="0">
      <sharedItems containsBlank="1"/>
    </cacheField>
    <cacheField name="Promotion 3 (Date)" numFmtId="0">
      <sharedItems containsNonDate="0" containsDate="1" containsString="0" containsBlank="1" minDate="2018-04-02T00:00:00" maxDate="2023-11-30T00:00:00"/>
    </cacheField>
    <cacheField name="Promotion 3 (Prior Position)" numFmtId="0">
      <sharedItems containsBlank="1"/>
    </cacheField>
    <cacheField name="Performance Rating (2024)" numFmtId="0">
      <sharedItems containsString="0" containsBlank="1" containsNumber="1" containsInteger="1" minValue="1" maxValue="5"/>
    </cacheField>
    <cacheField name="Performance Rating (2023)" numFmtId="0">
      <sharedItems containsString="0" containsBlank="1" containsNumber="1" containsInteger="1" minValue="1" maxValue="5"/>
    </cacheField>
    <cacheField name="Performance Rating (2022)" numFmtId="0">
      <sharedItems containsString="0" containsBlank="1" containsNumber="1" containsInteger="1" minValue="1" maxValue="5"/>
    </cacheField>
    <cacheField name="Performance Rating (2021)" numFmtId="0">
      <sharedItems containsString="0" containsBlank="1" containsNumber="1" containsInteger="1" minValue="1" maxValue="5"/>
    </cacheField>
    <cacheField name="Performance Rating (2020)" numFmtId="0">
      <sharedItems containsString="0" containsBlank="1" containsNumber="1" containsInteger="1" minValue="1" maxValue="5"/>
    </cacheField>
    <cacheField name="Performance Rating (2019)" numFmtId="0">
      <sharedItems containsString="0" containsBlank="1" containsNumber="1" containsInteger="1" minValue="1" maxValue="5"/>
    </cacheField>
    <cacheField name="Performance Rating (2018)" numFmtId="0">
      <sharedItems containsString="0" containsBlank="1" containsNumber="1" containsInteger="1" minValue="1" maxValue="5"/>
    </cacheField>
  </cacheFields>
  <extLst>
    <ext xmlns:x14="http://schemas.microsoft.com/office/spreadsheetml/2009/9/main" uri="{725AE2AE-9491-48be-B2B4-4EB974FC3084}">
      <x14:pivotCacheDefinition pivotCacheId="1329145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57">
  <r>
    <n v="1"/>
    <n v="2"/>
    <d v="1979-12-15T00:00:00"/>
    <n v="46"/>
    <x v="0"/>
    <x v="0"/>
    <d v="2015-05-15T00:00:00"/>
    <n v="10.638356164383561"/>
    <x v="0"/>
    <x v="0"/>
    <x v="0"/>
    <x v="0"/>
    <n v="82780"/>
    <n v="80905"/>
    <n v="79030"/>
    <n v="77155"/>
    <n v="74905"/>
    <n v="73405"/>
    <n v="71905"/>
    <x v="0"/>
    <n v="2"/>
    <n v="5"/>
    <n v="2"/>
    <m/>
    <m/>
    <m/>
    <m/>
    <m/>
    <m/>
    <n v="4"/>
    <n v="4"/>
    <n v="4"/>
    <n v="4"/>
    <n v="5"/>
    <n v="3"/>
    <n v="3"/>
  </r>
  <r>
    <n v="2"/>
    <n v="14"/>
    <d v="1981-07-09T00:00:00"/>
    <n v="44"/>
    <x v="1"/>
    <x v="0"/>
    <d v="2015-05-15T00:00:00"/>
    <n v="10.638356164383561"/>
    <x v="0"/>
    <x v="0"/>
    <x v="1"/>
    <x v="1"/>
    <n v="15.94"/>
    <n v="15.64"/>
    <n v="15.34"/>
    <n v="15.04"/>
    <n v="14.74"/>
    <n v="14.44"/>
    <n v="14.14"/>
    <x v="1"/>
    <n v="1"/>
    <n v="4"/>
    <m/>
    <m/>
    <m/>
    <m/>
    <m/>
    <m/>
    <m/>
    <m/>
    <m/>
    <m/>
    <m/>
    <m/>
    <m/>
    <m/>
  </r>
  <r>
    <n v="3"/>
    <n v="17"/>
    <d v="1983-12-08T00:00:00"/>
    <n v="42"/>
    <x v="0"/>
    <x v="0"/>
    <d v="2015-05-15T00:00:00"/>
    <n v="10.638356164383561"/>
    <x v="0"/>
    <x v="0"/>
    <x v="2"/>
    <x v="1"/>
    <n v="14.21"/>
    <n v="13.91"/>
    <n v="13.61"/>
    <n v="13.31"/>
    <n v="13.01"/>
    <n v="12.71"/>
    <n v="12.41"/>
    <x v="2"/>
    <n v="1"/>
    <n v="3"/>
    <m/>
    <m/>
    <m/>
    <m/>
    <m/>
    <m/>
    <m/>
    <m/>
    <m/>
    <m/>
    <m/>
    <m/>
    <m/>
    <m/>
  </r>
  <r>
    <n v="4"/>
    <n v="18"/>
    <d v="1993-09-10T00:00:00"/>
    <n v="32"/>
    <x v="0"/>
    <x v="0"/>
    <d v="2015-05-15T00:00:00"/>
    <n v="10.638356164383561"/>
    <x v="0"/>
    <x v="0"/>
    <x v="2"/>
    <x v="1"/>
    <n v="14.21"/>
    <n v="13.91"/>
    <n v="13.61"/>
    <n v="13.31"/>
    <n v="13.01"/>
    <n v="12.71"/>
    <n v="12.41"/>
    <x v="1"/>
    <n v="1"/>
    <n v="2"/>
    <m/>
    <m/>
    <m/>
    <m/>
    <m/>
    <m/>
    <m/>
    <m/>
    <m/>
    <m/>
    <m/>
    <m/>
    <m/>
    <m/>
  </r>
  <r>
    <n v="5"/>
    <n v="21"/>
    <d v="1996-05-27T00:00:00"/>
    <n v="29"/>
    <x v="0"/>
    <x v="0"/>
    <d v="2015-05-15T00:00:00"/>
    <n v="10.638356164383561"/>
    <x v="0"/>
    <x v="0"/>
    <x v="3"/>
    <x v="1"/>
    <n v="17.18"/>
    <n v="16.88"/>
    <n v="16.579999999999998"/>
    <n v="16.28"/>
    <n v="15.98"/>
    <n v="15.68"/>
    <n v="15.38"/>
    <x v="3"/>
    <n v="2"/>
    <n v="3"/>
    <m/>
    <m/>
    <m/>
    <m/>
    <m/>
    <m/>
    <m/>
    <m/>
    <m/>
    <m/>
    <m/>
    <m/>
    <m/>
    <m/>
  </r>
  <r>
    <n v="6"/>
    <n v="22"/>
    <d v="1995-10-22T00:00:00"/>
    <n v="30"/>
    <x v="1"/>
    <x v="0"/>
    <d v="2015-05-15T00:00:00"/>
    <n v="10.638356164383561"/>
    <x v="0"/>
    <x v="0"/>
    <x v="3"/>
    <x v="1"/>
    <n v="17.18"/>
    <n v="16.88"/>
    <n v="16.579999999999998"/>
    <n v="16.28"/>
    <n v="15.98"/>
    <n v="15.68"/>
    <n v="15.38"/>
    <x v="2"/>
    <n v="4"/>
    <n v="5"/>
    <m/>
    <m/>
    <m/>
    <m/>
    <m/>
    <m/>
    <m/>
    <m/>
    <m/>
    <m/>
    <m/>
    <m/>
    <m/>
    <m/>
  </r>
  <r>
    <n v="7"/>
    <n v="24"/>
    <d v="1984-10-20T00:00:00"/>
    <n v="41"/>
    <x v="0"/>
    <x v="1"/>
    <d v="2015-05-15T00:00:00"/>
    <n v="10.638356164383561"/>
    <x v="0"/>
    <x v="0"/>
    <x v="4"/>
    <x v="1"/>
    <n v="31.98"/>
    <n v="31.68"/>
    <n v="31.38"/>
    <n v="31.08"/>
    <n v="30.78"/>
    <n v="30.48"/>
    <n v="30.18"/>
    <x v="4"/>
    <n v="0"/>
    <n v="4"/>
    <m/>
    <m/>
    <m/>
    <m/>
    <m/>
    <m/>
    <m/>
    <m/>
    <m/>
    <m/>
    <m/>
    <m/>
    <m/>
    <m/>
  </r>
  <r>
    <n v="8"/>
    <n v="26"/>
    <d v="1984-03-17T00:00:00"/>
    <n v="41"/>
    <x v="0"/>
    <x v="0"/>
    <d v="2015-05-15T00:00:00"/>
    <n v="10.638356164383561"/>
    <x v="0"/>
    <x v="0"/>
    <x v="4"/>
    <x v="1"/>
    <n v="31.98"/>
    <n v="31.68"/>
    <n v="31.38"/>
    <n v="31.08"/>
    <n v="30.78"/>
    <n v="30.48"/>
    <n v="30.18"/>
    <x v="3"/>
    <n v="0"/>
    <n v="2"/>
    <m/>
    <m/>
    <m/>
    <m/>
    <m/>
    <m/>
    <m/>
    <m/>
    <m/>
    <m/>
    <m/>
    <m/>
    <m/>
    <m/>
  </r>
  <r>
    <n v="9"/>
    <n v="30"/>
    <d v="1987-07-10T00:00:00"/>
    <n v="38"/>
    <x v="0"/>
    <x v="1"/>
    <d v="2015-05-15T00:00:00"/>
    <n v="10.638356164383561"/>
    <x v="0"/>
    <x v="0"/>
    <x v="5"/>
    <x v="1"/>
    <n v="21.79"/>
    <n v="21.49"/>
    <n v="21.19"/>
    <n v="20.89"/>
    <n v="20.59"/>
    <n v="20.29"/>
    <n v="19.989999999999998"/>
    <x v="2"/>
    <n v="1"/>
    <n v="4"/>
    <m/>
    <m/>
    <m/>
    <m/>
    <m/>
    <m/>
    <m/>
    <m/>
    <m/>
    <m/>
    <m/>
    <m/>
    <m/>
    <m/>
  </r>
  <r>
    <n v="10"/>
    <n v="31"/>
    <d v="1992-07-22T00:00:00"/>
    <n v="33"/>
    <x v="0"/>
    <x v="0"/>
    <d v="2015-05-15T00:00:00"/>
    <n v="10.638356164383561"/>
    <x v="0"/>
    <x v="0"/>
    <x v="6"/>
    <x v="1"/>
    <n v="21.93"/>
    <n v="21.63"/>
    <n v="21.33"/>
    <n v="21.03"/>
    <n v="20.73"/>
    <n v="20.43"/>
    <n v="20.13"/>
    <x v="4"/>
    <n v="1"/>
    <n v="2"/>
    <m/>
    <m/>
    <m/>
    <m/>
    <m/>
    <m/>
    <m/>
    <m/>
    <m/>
    <m/>
    <m/>
    <m/>
    <m/>
    <m/>
  </r>
  <r>
    <n v="11"/>
    <n v="32"/>
    <d v="1991-04-03T00:00:00"/>
    <n v="34"/>
    <x v="1"/>
    <x v="0"/>
    <d v="2015-05-15T00:00:00"/>
    <n v="10.638356164383561"/>
    <x v="0"/>
    <x v="0"/>
    <x v="7"/>
    <x v="1"/>
    <n v="16.920000000000002"/>
    <n v="16.62"/>
    <n v="16.32"/>
    <n v="16.02"/>
    <n v="15.72"/>
    <n v="15.42"/>
    <n v="15.12"/>
    <x v="3"/>
    <n v="3"/>
    <n v="4"/>
    <m/>
    <m/>
    <m/>
    <m/>
    <m/>
    <m/>
    <m/>
    <m/>
    <m/>
    <m/>
    <m/>
    <m/>
    <m/>
    <m/>
  </r>
  <r>
    <n v="12"/>
    <n v="34"/>
    <d v="1991-02-07T00:00:00"/>
    <n v="34"/>
    <x v="0"/>
    <x v="1"/>
    <d v="2015-05-15T00:00:00"/>
    <n v="10.638356164383561"/>
    <x v="0"/>
    <x v="0"/>
    <x v="7"/>
    <x v="1"/>
    <n v="16.920000000000002"/>
    <n v="16.62"/>
    <n v="16.32"/>
    <n v="16.02"/>
    <n v="15.72"/>
    <n v="15.42"/>
    <n v="15.12"/>
    <x v="1"/>
    <n v="0"/>
    <n v="5"/>
    <m/>
    <m/>
    <m/>
    <m/>
    <m/>
    <m/>
    <m/>
    <m/>
    <m/>
    <m/>
    <m/>
    <m/>
    <m/>
    <m/>
  </r>
  <r>
    <n v="13"/>
    <n v="42"/>
    <d v="1996-05-15T00:00:00"/>
    <n v="29"/>
    <x v="1"/>
    <x v="1"/>
    <d v="2015-05-15T00:00:00"/>
    <n v="10.638356164383561"/>
    <x v="0"/>
    <x v="0"/>
    <x v="8"/>
    <x v="1"/>
    <n v="8.65"/>
    <n v="8.4499999999999993"/>
    <n v="8.25"/>
    <n v="8.0500000000000007"/>
    <n v="7.85"/>
    <n v="7.65"/>
    <n v="7.45"/>
    <x v="2"/>
    <n v="2"/>
    <n v="5"/>
    <m/>
    <m/>
    <m/>
    <m/>
    <m/>
    <m/>
    <m/>
    <m/>
    <m/>
    <m/>
    <m/>
    <m/>
    <m/>
    <m/>
  </r>
  <r>
    <n v="14"/>
    <n v="63"/>
    <d v="1989-06-02T00:00:00"/>
    <n v="36"/>
    <x v="1"/>
    <x v="0"/>
    <d v="2015-05-15T00:00:00"/>
    <n v="10.638356164383561"/>
    <x v="1"/>
    <x v="1"/>
    <x v="0"/>
    <x v="0"/>
    <n v="63758"/>
    <n v="62706"/>
    <n v="60920"/>
    <n v="59208"/>
    <n v="57541"/>
    <n v="56187"/>
    <n v="54810"/>
    <x v="5"/>
    <n v="4"/>
    <n v="7"/>
    <n v="7"/>
    <d v="2016-08-09T00:00:00"/>
    <s v="Assistant Manager, Large Market"/>
    <m/>
    <m/>
    <m/>
    <m/>
    <n v="5"/>
    <n v="4"/>
    <n v="3"/>
    <n v="2"/>
    <n v="4"/>
    <n v="4"/>
    <n v="2"/>
  </r>
  <r>
    <n v="15"/>
    <n v="75"/>
    <d v="1992-08-22T00:00:00"/>
    <n v="33"/>
    <x v="1"/>
    <x v="1"/>
    <d v="2015-05-15T00:00:00"/>
    <n v="10.638356164383561"/>
    <x v="2"/>
    <x v="0"/>
    <x v="2"/>
    <x v="1"/>
    <n v="14.21"/>
    <n v="13.91"/>
    <n v="13.61"/>
    <n v="13.31"/>
    <n v="13.01"/>
    <n v="12.71"/>
    <n v="12.41"/>
    <x v="2"/>
    <n v="1"/>
    <n v="4"/>
    <m/>
    <m/>
    <m/>
    <m/>
    <m/>
    <m/>
    <m/>
    <m/>
    <m/>
    <m/>
    <m/>
    <m/>
    <m/>
    <m/>
  </r>
  <r>
    <n v="16"/>
    <n v="76"/>
    <d v="1996-09-17T00:00:00"/>
    <n v="29"/>
    <x v="0"/>
    <x v="1"/>
    <d v="2015-05-15T00:00:00"/>
    <n v="10.638356164383561"/>
    <x v="2"/>
    <x v="0"/>
    <x v="2"/>
    <x v="1"/>
    <n v="14.21"/>
    <n v="13.91"/>
    <n v="13.61"/>
    <n v="13.31"/>
    <n v="13.01"/>
    <n v="12.71"/>
    <n v="12.41"/>
    <x v="2"/>
    <n v="1"/>
    <n v="2"/>
    <m/>
    <m/>
    <m/>
    <m/>
    <m/>
    <m/>
    <m/>
    <m/>
    <m/>
    <m/>
    <m/>
    <m/>
    <m/>
    <m/>
  </r>
  <r>
    <n v="17"/>
    <n v="82"/>
    <d v="1995-07-04T00:00:00"/>
    <n v="30"/>
    <x v="0"/>
    <x v="1"/>
    <d v="2015-05-15T00:00:00"/>
    <n v="10.638356164383561"/>
    <x v="2"/>
    <x v="0"/>
    <x v="3"/>
    <x v="1"/>
    <n v="17.18"/>
    <n v="16.88"/>
    <n v="16.579999999999998"/>
    <n v="16.28"/>
    <n v="15.98"/>
    <n v="15.68"/>
    <n v="15.38"/>
    <x v="2"/>
    <n v="4"/>
    <n v="4"/>
    <m/>
    <m/>
    <m/>
    <m/>
    <m/>
    <m/>
    <m/>
    <m/>
    <m/>
    <m/>
    <m/>
    <m/>
    <m/>
    <m/>
  </r>
  <r>
    <n v="18"/>
    <n v="120"/>
    <d v="1973-11-17T00:00:00"/>
    <n v="52"/>
    <x v="0"/>
    <x v="0"/>
    <d v="2015-05-15T00:00:00"/>
    <n v="10.638356164383561"/>
    <x v="3"/>
    <x v="0"/>
    <x v="0"/>
    <x v="0"/>
    <n v="79030"/>
    <n v="77530"/>
    <n v="76030"/>
    <n v="74530"/>
    <n v="73030"/>
    <n v="71530"/>
    <n v="70030"/>
    <x v="6"/>
    <n v="1"/>
    <n v="3"/>
    <n v="3"/>
    <m/>
    <m/>
    <m/>
    <m/>
    <m/>
    <m/>
    <n v="3"/>
    <n v="3"/>
    <n v="3"/>
    <n v="3"/>
    <n v="4"/>
    <n v="4"/>
    <n v="4"/>
  </r>
  <r>
    <n v="19"/>
    <n v="136"/>
    <d v="1979-12-05T00:00:00"/>
    <n v="46"/>
    <x v="0"/>
    <x v="0"/>
    <d v="2015-05-15T00:00:00"/>
    <n v="10.638356164383561"/>
    <x v="3"/>
    <x v="0"/>
    <x v="2"/>
    <x v="1"/>
    <n v="14.21"/>
    <n v="13.91"/>
    <n v="13.61"/>
    <n v="13.31"/>
    <n v="13.01"/>
    <n v="12.71"/>
    <n v="12.41"/>
    <x v="4"/>
    <n v="0"/>
    <n v="1"/>
    <m/>
    <m/>
    <m/>
    <m/>
    <m/>
    <m/>
    <m/>
    <m/>
    <m/>
    <m/>
    <m/>
    <m/>
    <m/>
    <m/>
  </r>
  <r>
    <n v="20"/>
    <n v="181"/>
    <d v="1990-07-25T00:00:00"/>
    <n v="35"/>
    <x v="0"/>
    <x v="0"/>
    <d v="2015-05-15T00:00:00"/>
    <n v="10.638356164383561"/>
    <x v="4"/>
    <x v="0"/>
    <x v="0"/>
    <x v="0"/>
    <n v="73376"/>
    <n v="71126"/>
    <n v="69251"/>
    <n v="67001"/>
    <n v="64751"/>
    <n v="62876"/>
    <n v="57626"/>
    <x v="7"/>
    <n v="0"/>
    <n v="5"/>
    <n v="3"/>
    <d v="2016-11-03T00:00:00"/>
    <s v="Assistant Manager, Large Market"/>
    <d v="2019-04-07T00:00:00"/>
    <s v="Manager, Medium Market"/>
    <m/>
    <m/>
    <n v="5"/>
    <n v="5"/>
    <n v="4"/>
    <n v="5"/>
    <n v="5"/>
    <n v="4"/>
    <n v="4"/>
  </r>
  <r>
    <n v="21"/>
    <n v="251"/>
    <d v="1995-01-06T00:00:00"/>
    <n v="30"/>
    <x v="0"/>
    <x v="1"/>
    <d v="2015-05-15T00:00:00"/>
    <n v="10.638356164383561"/>
    <x v="5"/>
    <x v="0"/>
    <x v="1"/>
    <x v="1"/>
    <n v="15.94"/>
    <n v="15.64"/>
    <n v="15.34"/>
    <n v="15.04"/>
    <n v="14.74"/>
    <n v="14.44"/>
    <n v="14.14"/>
    <x v="2"/>
    <n v="0"/>
    <n v="4"/>
    <m/>
    <m/>
    <m/>
    <m/>
    <m/>
    <m/>
    <m/>
    <m/>
    <m/>
    <m/>
    <m/>
    <m/>
    <m/>
    <m/>
  </r>
  <r>
    <n v="22"/>
    <n v="299"/>
    <d v="1990-06-07T00:00:00"/>
    <n v="35"/>
    <x v="1"/>
    <x v="0"/>
    <d v="2015-05-15T00:00:00"/>
    <n v="10.638356164383561"/>
    <x v="6"/>
    <x v="1"/>
    <x v="0"/>
    <x v="0"/>
    <n v="67376"/>
    <n v="65126"/>
    <n v="62876"/>
    <n v="60626"/>
    <n v="58376"/>
    <n v="56126"/>
    <n v="53876"/>
    <x v="8"/>
    <n v="4"/>
    <n v="6"/>
    <n v="7"/>
    <d v="2016-07-26T00:00:00"/>
    <s v="Assistant Manager, Large Market"/>
    <m/>
    <m/>
    <m/>
    <m/>
    <n v="4"/>
    <n v="4"/>
    <n v="4"/>
    <n v="4"/>
    <n v="4"/>
    <n v="4"/>
    <n v="4"/>
  </r>
  <r>
    <n v="23"/>
    <n v="310"/>
    <d v="1982-11-20T00:00:00"/>
    <n v="43"/>
    <x v="0"/>
    <x v="1"/>
    <d v="2015-05-15T00:00:00"/>
    <n v="10.638356164383561"/>
    <x v="7"/>
    <x v="0"/>
    <x v="1"/>
    <x v="1"/>
    <n v="15.94"/>
    <n v="15.64"/>
    <n v="15.34"/>
    <n v="15.04"/>
    <n v="14.74"/>
    <n v="14.44"/>
    <n v="14.14"/>
    <x v="2"/>
    <n v="2"/>
    <n v="3"/>
    <m/>
    <m/>
    <m/>
    <m/>
    <m/>
    <m/>
    <m/>
    <m/>
    <m/>
    <m/>
    <m/>
    <m/>
    <m/>
    <m/>
  </r>
  <r>
    <n v="24"/>
    <n v="314"/>
    <d v="1992-04-25T00:00:00"/>
    <n v="33"/>
    <x v="0"/>
    <x v="0"/>
    <d v="2015-05-15T00:00:00"/>
    <n v="10.638356164383561"/>
    <x v="7"/>
    <x v="0"/>
    <x v="9"/>
    <x v="1"/>
    <n v="14.08"/>
    <n v="13.78"/>
    <n v="13.48"/>
    <n v="13.18"/>
    <n v="12.88"/>
    <n v="12.58"/>
    <n v="12.28"/>
    <x v="2"/>
    <n v="1"/>
    <n v="3"/>
    <m/>
    <m/>
    <m/>
    <m/>
    <m/>
    <m/>
    <m/>
    <m/>
    <m/>
    <m/>
    <m/>
    <m/>
    <m/>
    <m/>
  </r>
  <r>
    <n v="25"/>
    <n v="315"/>
    <d v="1995-10-05T00:00:00"/>
    <n v="30"/>
    <x v="0"/>
    <x v="1"/>
    <d v="2015-05-15T00:00:00"/>
    <n v="10.638356164383561"/>
    <x v="7"/>
    <x v="0"/>
    <x v="9"/>
    <x v="1"/>
    <n v="14.08"/>
    <n v="13.78"/>
    <n v="13.48"/>
    <n v="13.18"/>
    <n v="12.88"/>
    <n v="12.58"/>
    <n v="12.28"/>
    <x v="2"/>
    <n v="0"/>
    <n v="3"/>
    <m/>
    <m/>
    <m/>
    <m/>
    <m/>
    <m/>
    <m/>
    <m/>
    <m/>
    <m/>
    <m/>
    <m/>
    <m/>
    <m/>
  </r>
  <r>
    <n v="26"/>
    <n v="317"/>
    <d v="1997-11-16T00:00:00"/>
    <n v="28"/>
    <x v="0"/>
    <x v="1"/>
    <d v="2015-05-15T00:00:00"/>
    <n v="10.638356164383561"/>
    <x v="7"/>
    <x v="0"/>
    <x v="3"/>
    <x v="1"/>
    <n v="17.18"/>
    <n v="16.88"/>
    <n v="16.579999999999998"/>
    <n v="16.28"/>
    <n v="15.98"/>
    <n v="15.68"/>
    <n v="15.38"/>
    <x v="2"/>
    <n v="0"/>
    <n v="3"/>
    <m/>
    <m/>
    <m/>
    <m/>
    <m/>
    <m/>
    <m/>
    <m/>
    <m/>
    <m/>
    <m/>
    <m/>
    <m/>
    <m/>
  </r>
  <r>
    <n v="27"/>
    <n v="357"/>
    <d v="1991-03-23T00:00:00"/>
    <n v="34"/>
    <x v="0"/>
    <x v="0"/>
    <d v="2015-05-15T00:00:00"/>
    <n v="10.638356164383561"/>
    <x v="8"/>
    <x v="1"/>
    <x v="0"/>
    <x v="0"/>
    <n v="44594"/>
    <n v="43844"/>
    <n v="43094"/>
    <n v="42344"/>
    <n v="41594"/>
    <n v="40844"/>
    <n v="40094"/>
    <x v="0"/>
    <n v="0"/>
    <n v="3"/>
    <n v="3"/>
    <d v="2016-08-20T00:00:00"/>
    <s v="Assistant Manager, Large Market"/>
    <m/>
    <m/>
    <m/>
    <m/>
    <n v="3"/>
    <n v="4"/>
    <n v="3"/>
    <n v="4"/>
    <n v="2"/>
    <n v="4"/>
    <n v="2"/>
  </r>
  <r>
    <n v="28"/>
    <n v="416"/>
    <d v="1989-11-26T00:00:00"/>
    <n v="36"/>
    <x v="0"/>
    <x v="1"/>
    <d v="2015-05-15T00:00:00"/>
    <n v="10.638356164383561"/>
    <x v="9"/>
    <x v="1"/>
    <x v="0"/>
    <x v="0"/>
    <n v="57603"/>
    <n v="56103"/>
    <n v="54603"/>
    <n v="53103"/>
    <n v="51603"/>
    <n v="50103"/>
    <n v="48603"/>
    <x v="7"/>
    <n v="0"/>
    <n v="3"/>
    <n v="4"/>
    <d v="2016-08-23T00:00:00"/>
    <s v="Assistant Manager, Large Market"/>
    <m/>
    <m/>
    <m/>
    <m/>
    <n v="3"/>
    <n v="3"/>
    <n v="4"/>
    <n v="3"/>
    <n v="4"/>
    <n v="4"/>
    <n v="4"/>
  </r>
  <r>
    <n v="29"/>
    <n v="441"/>
    <d v="1978-05-25T00:00:00"/>
    <n v="47"/>
    <x v="0"/>
    <x v="0"/>
    <d v="2015-05-15T00:00:00"/>
    <n v="10.638356164383561"/>
    <x v="10"/>
    <x v="0"/>
    <x v="5"/>
    <x v="1"/>
    <n v="22.13"/>
    <n v="21.76"/>
    <n v="21.52"/>
    <n v="21.33"/>
    <n v="20.99"/>
    <n v="20.81"/>
    <n v="20.81"/>
    <x v="3"/>
    <n v="1"/>
    <n v="2"/>
    <m/>
    <m/>
    <m/>
    <m/>
    <m/>
    <m/>
    <m/>
    <m/>
    <m/>
    <m/>
    <m/>
    <m/>
    <m/>
    <m/>
  </r>
  <r>
    <n v="30"/>
    <n v="533"/>
    <d v="1978-07-23T00:00:00"/>
    <n v="47"/>
    <x v="0"/>
    <x v="0"/>
    <d v="2015-05-15T00:00:00"/>
    <n v="10.638356164383561"/>
    <x v="11"/>
    <x v="0"/>
    <x v="0"/>
    <x v="0"/>
    <n v="79030"/>
    <n v="77530"/>
    <n v="76030"/>
    <n v="74530"/>
    <n v="73030"/>
    <n v="71530"/>
    <n v="70030"/>
    <x v="7"/>
    <n v="1"/>
    <n v="4"/>
    <n v="4"/>
    <m/>
    <m/>
    <m/>
    <m/>
    <m/>
    <m/>
    <n v="2"/>
    <n v="3"/>
    <n v="3"/>
    <n v="2"/>
    <n v="3"/>
    <n v="3"/>
    <n v="3"/>
  </r>
  <r>
    <n v="31"/>
    <n v="542"/>
    <d v="1993-04-05T00:00:00"/>
    <n v="32"/>
    <x v="0"/>
    <x v="1"/>
    <d v="2015-05-15T00:00:00"/>
    <n v="10.638356164383561"/>
    <x v="11"/>
    <x v="0"/>
    <x v="10"/>
    <x v="1"/>
    <n v="10.41"/>
    <n v="10.210000000000001"/>
    <n v="10.01"/>
    <n v="9.81"/>
    <n v="9.61"/>
    <n v="9.41"/>
    <n v="9.2100000000000009"/>
    <x v="2"/>
    <n v="0"/>
    <n v="5"/>
    <m/>
    <m/>
    <m/>
    <m/>
    <m/>
    <m/>
    <m/>
    <m/>
    <m/>
    <m/>
    <m/>
    <m/>
    <m/>
    <m/>
  </r>
  <r>
    <n v="32"/>
    <n v="546"/>
    <d v="1991-07-11T00:00:00"/>
    <n v="34"/>
    <x v="1"/>
    <x v="1"/>
    <d v="2015-05-15T00:00:00"/>
    <n v="10.638356164383561"/>
    <x v="11"/>
    <x v="0"/>
    <x v="1"/>
    <x v="1"/>
    <n v="15.94"/>
    <n v="15.64"/>
    <n v="15.34"/>
    <n v="15.04"/>
    <n v="14.74"/>
    <n v="14.44"/>
    <n v="14.14"/>
    <x v="2"/>
    <n v="1"/>
    <n v="5"/>
    <m/>
    <m/>
    <m/>
    <m/>
    <m/>
    <m/>
    <m/>
    <m/>
    <m/>
    <m/>
    <m/>
    <m/>
    <m/>
    <m/>
  </r>
  <r>
    <n v="33"/>
    <n v="555"/>
    <d v="1988-09-13T00:00:00"/>
    <n v="37"/>
    <x v="1"/>
    <x v="1"/>
    <d v="2015-05-15T00:00:00"/>
    <n v="10.638356164383561"/>
    <x v="11"/>
    <x v="0"/>
    <x v="4"/>
    <x v="1"/>
    <n v="31.98"/>
    <n v="31.68"/>
    <n v="31.38"/>
    <n v="31.08"/>
    <n v="30.78"/>
    <n v="30.48"/>
    <n v="30.18"/>
    <x v="2"/>
    <n v="0"/>
    <n v="5"/>
    <m/>
    <m/>
    <m/>
    <m/>
    <m/>
    <m/>
    <m/>
    <m/>
    <m/>
    <m/>
    <m/>
    <m/>
    <m/>
    <m/>
  </r>
  <r>
    <n v="34"/>
    <n v="560"/>
    <d v="1991-07-04T00:00:00"/>
    <n v="34"/>
    <x v="1"/>
    <x v="0"/>
    <d v="2015-05-15T00:00:00"/>
    <n v="10.638356164383561"/>
    <x v="11"/>
    <x v="0"/>
    <x v="5"/>
    <x v="1"/>
    <n v="21.79"/>
    <n v="21.49"/>
    <n v="21.19"/>
    <n v="20.89"/>
    <n v="20.59"/>
    <n v="20.29"/>
    <n v="19.989999999999998"/>
    <x v="3"/>
    <n v="2"/>
    <n v="3"/>
    <m/>
    <m/>
    <m/>
    <m/>
    <m/>
    <m/>
    <m/>
    <m/>
    <m/>
    <m/>
    <m/>
    <m/>
    <m/>
    <m/>
  </r>
  <r>
    <n v="35"/>
    <n v="565"/>
    <d v="1993-11-26T00:00:00"/>
    <n v="32"/>
    <x v="0"/>
    <x v="1"/>
    <d v="2015-05-15T00:00:00"/>
    <n v="10.638356164383561"/>
    <x v="11"/>
    <x v="0"/>
    <x v="7"/>
    <x v="1"/>
    <n v="16.920000000000002"/>
    <n v="16.62"/>
    <n v="16.32"/>
    <n v="16.02"/>
    <n v="15.72"/>
    <n v="15.42"/>
    <n v="15.12"/>
    <x v="2"/>
    <n v="2"/>
    <n v="4"/>
    <m/>
    <m/>
    <m/>
    <m/>
    <m/>
    <m/>
    <m/>
    <m/>
    <m/>
    <m/>
    <m/>
    <m/>
    <m/>
    <m/>
  </r>
  <r>
    <n v="36"/>
    <n v="664"/>
    <d v="1996-09-28T00:00:00"/>
    <n v="29"/>
    <x v="1"/>
    <x v="1"/>
    <d v="2015-05-15T00:00:00"/>
    <n v="10.638356164383561"/>
    <x v="12"/>
    <x v="0"/>
    <x v="1"/>
    <x v="1"/>
    <n v="15.94"/>
    <n v="15.64"/>
    <n v="15.34"/>
    <n v="15.04"/>
    <n v="14.74"/>
    <n v="14.44"/>
    <n v="14.14"/>
    <x v="2"/>
    <n v="0"/>
    <n v="4"/>
    <m/>
    <m/>
    <m/>
    <m/>
    <m/>
    <m/>
    <m/>
    <m/>
    <m/>
    <m/>
    <m/>
    <m/>
    <m/>
    <m/>
  </r>
  <r>
    <n v="37"/>
    <n v="771"/>
    <d v="1989-06-11T00:00:00"/>
    <n v="36"/>
    <x v="1"/>
    <x v="1"/>
    <d v="2015-05-15T00:00:00"/>
    <n v="10.638356164383561"/>
    <x v="13"/>
    <x v="0"/>
    <x v="0"/>
    <x v="0"/>
    <n v="63626"/>
    <n v="62126"/>
    <n v="60626"/>
    <n v="59126"/>
    <n v="57626"/>
    <n v="56126"/>
    <n v="54626"/>
    <x v="7"/>
    <n v="4"/>
    <n v="6"/>
    <n v="5"/>
    <d v="2017-01-02T00:00:00"/>
    <s v="Assistant Manager, Large Market"/>
    <d v="2018-11-06T00:00:00"/>
    <s v="Manager, Medium Market"/>
    <m/>
    <m/>
    <n v="5"/>
    <n v="5"/>
    <n v="4"/>
    <n v="4"/>
    <n v="5"/>
    <n v="4"/>
    <n v="4"/>
  </r>
  <r>
    <n v="38"/>
    <n v="801"/>
    <d v="1980-06-17T00:00:00"/>
    <n v="45"/>
    <x v="0"/>
    <x v="1"/>
    <d v="2015-05-15T00:00:00"/>
    <n v="10.638356164383561"/>
    <x v="13"/>
    <x v="0"/>
    <x v="7"/>
    <x v="1"/>
    <n v="16.920000000000002"/>
    <n v="16.62"/>
    <n v="16.32"/>
    <n v="16.02"/>
    <n v="15.72"/>
    <n v="15.42"/>
    <n v="15.12"/>
    <x v="2"/>
    <n v="2"/>
    <n v="5"/>
    <m/>
    <m/>
    <m/>
    <m/>
    <m/>
    <m/>
    <m/>
    <m/>
    <m/>
    <m/>
    <m/>
    <m/>
    <m/>
    <m/>
  </r>
  <r>
    <n v="39"/>
    <n v="842"/>
    <d v="1981-04-22T00:00:00"/>
    <n v="44"/>
    <x v="1"/>
    <x v="1"/>
    <d v="2015-05-15T00:00:00"/>
    <n v="10.638356164383561"/>
    <x v="14"/>
    <x v="0"/>
    <x v="2"/>
    <x v="1"/>
    <n v="14.21"/>
    <n v="13.91"/>
    <n v="13.61"/>
    <n v="13.31"/>
    <n v="13.01"/>
    <n v="12.71"/>
    <n v="12.41"/>
    <x v="2"/>
    <n v="1"/>
    <n v="5"/>
    <m/>
    <m/>
    <m/>
    <m/>
    <m/>
    <m/>
    <m/>
    <m/>
    <m/>
    <m/>
    <m/>
    <m/>
    <m/>
    <m/>
  </r>
  <r>
    <n v="40"/>
    <n v="904"/>
    <d v="1996-12-05T00:00:00"/>
    <n v="29"/>
    <x v="1"/>
    <x v="1"/>
    <d v="2015-05-15T00:00:00"/>
    <n v="10.638356164383561"/>
    <x v="15"/>
    <x v="0"/>
    <x v="9"/>
    <x v="1"/>
    <n v="14.08"/>
    <n v="13.78"/>
    <n v="13.48"/>
    <n v="13.18"/>
    <n v="12.88"/>
    <n v="12.58"/>
    <n v="12.28"/>
    <x v="2"/>
    <n v="0"/>
    <n v="5"/>
    <m/>
    <m/>
    <m/>
    <m/>
    <m/>
    <m/>
    <m/>
    <m/>
    <m/>
    <m/>
    <m/>
    <m/>
    <m/>
    <m/>
  </r>
  <r>
    <n v="41"/>
    <n v="908"/>
    <d v="1997-04-10T00:00:00"/>
    <n v="28"/>
    <x v="0"/>
    <x v="1"/>
    <d v="2015-05-15T00:00:00"/>
    <n v="10.638356164383561"/>
    <x v="15"/>
    <x v="0"/>
    <x v="3"/>
    <x v="1"/>
    <n v="17.18"/>
    <n v="16.88"/>
    <n v="16.579999999999998"/>
    <n v="16.28"/>
    <n v="15.98"/>
    <n v="15.68"/>
    <n v="15.38"/>
    <x v="2"/>
    <n v="2"/>
    <n v="4"/>
    <m/>
    <m/>
    <m/>
    <m/>
    <m/>
    <m/>
    <m/>
    <m/>
    <m/>
    <m/>
    <m/>
    <m/>
    <m/>
    <m/>
  </r>
  <r>
    <n v="42"/>
    <n v="917"/>
    <d v="1992-08-25T00:00:00"/>
    <n v="33"/>
    <x v="0"/>
    <x v="1"/>
    <d v="2015-05-15T00:00:00"/>
    <n v="10.638356164383561"/>
    <x v="15"/>
    <x v="0"/>
    <x v="7"/>
    <x v="1"/>
    <n v="16.920000000000002"/>
    <n v="16.62"/>
    <n v="16.32"/>
    <n v="16.02"/>
    <n v="15.72"/>
    <n v="15.42"/>
    <n v="15.12"/>
    <x v="4"/>
    <n v="0"/>
    <n v="4"/>
    <m/>
    <m/>
    <m/>
    <m/>
    <m/>
    <m/>
    <m/>
    <m/>
    <m/>
    <m/>
    <m/>
    <m/>
    <m/>
    <m/>
  </r>
  <r>
    <n v="43"/>
    <n v="1017"/>
    <d v="1996-03-29T00:00:00"/>
    <n v="29"/>
    <x v="0"/>
    <x v="1"/>
    <d v="2015-05-15T00:00:00"/>
    <n v="10.638356164383561"/>
    <x v="16"/>
    <x v="0"/>
    <x v="1"/>
    <x v="1"/>
    <n v="15.94"/>
    <n v="15.64"/>
    <n v="15.34"/>
    <n v="15.04"/>
    <n v="14.74"/>
    <n v="14.44"/>
    <n v="14.14"/>
    <x v="2"/>
    <n v="1"/>
    <n v="2"/>
    <m/>
    <m/>
    <m/>
    <m/>
    <m/>
    <m/>
    <m/>
    <m/>
    <m/>
    <m/>
    <m/>
    <m/>
    <m/>
    <m/>
  </r>
  <r>
    <n v="44"/>
    <n v="1066"/>
    <d v="1990-01-08T00:00:00"/>
    <n v="35"/>
    <x v="0"/>
    <x v="1"/>
    <d v="2015-05-15T00:00:00"/>
    <n v="10.638356164383561"/>
    <x v="17"/>
    <x v="0"/>
    <x v="0"/>
    <x v="0"/>
    <n v="77449"/>
    <n v="75574"/>
    <n v="73699"/>
    <n v="71824"/>
    <n v="69949"/>
    <n v="68074"/>
    <n v="65824"/>
    <x v="7"/>
    <n v="1"/>
    <n v="5"/>
    <n v="4"/>
    <d v="2017-01-04T00:00:00"/>
    <s v="Assistant Manager, Large Market"/>
    <d v="2018-06-04T00:00:00"/>
    <s v="Manager, Medium Market"/>
    <m/>
    <m/>
    <n v="4"/>
    <n v="4"/>
    <n v="4"/>
    <n v="4"/>
    <n v="4"/>
    <n v="4"/>
    <n v="5"/>
  </r>
  <r>
    <n v="45"/>
    <n v="1071"/>
    <d v="1994-12-05T00:00:00"/>
    <n v="31"/>
    <x v="1"/>
    <x v="0"/>
    <d v="2015-05-15T00:00:00"/>
    <n v="10.638356164383561"/>
    <x v="18"/>
    <x v="0"/>
    <x v="10"/>
    <x v="1"/>
    <n v="10.63"/>
    <n v="10.51"/>
    <n v="10.25"/>
    <n v="10"/>
    <n v="10"/>
    <n v="10"/>
    <n v="9.76"/>
    <x v="1"/>
    <n v="0"/>
    <n v="3"/>
    <m/>
    <m/>
    <m/>
    <m/>
    <m/>
    <m/>
    <m/>
    <m/>
    <m/>
    <m/>
    <m/>
    <m/>
    <m/>
    <m/>
  </r>
  <r>
    <n v="46"/>
    <n v="1124"/>
    <d v="1991-06-27T00:00:00"/>
    <n v="34"/>
    <x v="1"/>
    <x v="1"/>
    <d v="2015-05-15T00:00:00"/>
    <n v="10.638356164383561"/>
    <x v="16"/>
    <x v="0"/>
    <x v="0"/>
    <x v="0"/>
    <n v="56820"/>
    <n v="55320"/>
    <n v="53820"/>
    <n v="52320"/>
    <n v="50820"/>
    <n v="49320"/>
    <n v="46320"/>
    <x v="5"/>
    <n v="2"/>
    <n v="6"/>
    <n v="6"/>
    <d v="2017-01-02T00:00:00"/>
    <s v="Assistant Manager, Large Market"/>
    <d v="2019-07-17T00:00:00"/>
    <s v="Manager, Medium Market"/>
    <m/>
    <m/>
    <n v="3"/>
    <n v="2"/>
    <n v="3"/>
    <n v="4"/>
    <n v="5"/>
    <n v="5"/>
    <n v="4"/>
  </r>
  <r>
    <n v="47"/>
    <n v="1197"/>
    <d v="1989-04-10T00:00:00"/>
    <n v="36"/>
    <x v="0"/>
    <x v="1"/>
    <d v="2015-05-15T00:00:00"/>
    <n v="10.638356164383561"/>
    <x v="19"/>
    <x v="0"/>
    <x v="2"/>
    <x v="1"/>
    <n v="14.21"/>
    <n v="13.91"/>
    <n v="13.61"/>
    <n v="13.31"/>
    <n v="13.01"/>
    <n v="12.71"/>
    <n v="12.41"/>
    <x v="2"/>
    <n v="1"/>
    <n v="3"/>
    <m/>
    <m/>
    <m/>
    <m/>
    <m/>
    <m/>
    <m/>
    <m/>
    <m/>
    <m/>
    <m/>
    <m/>
    <m/>
    <m/>
  </r>
  <r>
    <n v="48"/>
    <n v="1301"/>
    <d v="1989-11-19T00:00:00"/>
    <n v="36"/>
    <x v="1"/>
    <x v="0"/>
    <d v="2015-05-15T00:00:00"/>
    <n v="10.638356164383561"/>
    <x v="20"/>
    <x v="0"/>
    <x v="0"/>
    <x v="0"/>
    <n v="60082"/>
    <n v="60082"/>
    <n v="59332"/>
    <n v="58582"/>
    <n v="58582"/>
    <n v="57832"/>
    <n v="57082"/>
    <x v="5"/>
    <n v="1"/>
    <n v="4"/>
    <n v="4"/>
    <d v="2016-04-16T00:00:00"/>
    <s v="Assistant Manager, Large Market"/>
    <d v="2018-06-18T00:00:00"/>
    <s v="Manager, Medium Market"/>
    <m/>
    <m/>
    <n v="3"/>
    <n v="3"/>
    <n v="4"/>
    <n v="3"/>
    <n v="2"/>
    <n v="4"/>
    <n v="2"/>
  </r>
  <r>
    <n v="49"/>
    <n v="1302"/>
    <d v="1985-09-11T00:00:00"/>
    <n v="40"/>
    <x v="0"/>
    <x v="1"/>
    <d v="2015-05-15T00:00:00"/>
    <n v="10.638356164383561"/>
    <x v="19"/>
    <x v="0"/>
    <x v="0"/>
    <x v="0"/>
    <n v="75626"/>
    <n v="72626"/>
    <n v="69626"/>
    <n v="66626"/>
    <n v="63626"/>
    <n v="60626"/>
    <n v="53126"/>
    <x v="9"/>
    <n v="1"/>
    <n v="4"/>
    <n v="4"/>
    <d v="2016-05-03T00:00:00"/>
    <s v="Assistant Manager, Large Market"/>
    <d v="2019-11-02T00:00:00"/>
    <s v="Manager, Medium Market"/>
    <m/>
    <m/>
    <n v="5"/>
    <n v="5"/>
    <n v="5"/>
    <n v="5"/>
    <n v="5"/>
    <n v="5"/>
    <n v="5"/>
  </r>
  <r>
    <n v="50"/>
    <n v="1359"/>
    <d v="1979-08-08T00:00:00"/>
    <n v="46"/>
    <x v="1"/>
    <x v="1"/>
    <d v="2015-05-15T00:00:00"/>
    <n v="10.638356164383561"/>
    <x v="21"/>
    <x v="0"/>
    <x v="0"/>
    <x v="0"/>
    <n v="83905"/>
    <n v="81655"/>
    <n v="79405"/>
    <n v="77155"/>
    <n v="74905"/>
    <n v="72655"/>
    <n v="70405"/>
    <x v="10"/>
    <n v="1"/>
    <n v="4"/>
    <n v="6"/>
    <m/>
    <m/>
    <m/>
    <m/>
    <m/>
    <m/>
    <n v="5"/>
    <n v="5"/>
    <n v="5"/>
    <n v="5"/>
    <n v="5"/>
    <n v="5"/>
    <n v="5"/>
  </r>
  <r>
    <n v="51"/>
    <n v="1373"/>
    <d v="1994-09-14T00:00:00"/>
    <n v="31"/>
    <x v="0"/>
    <x v="1"/>
    <d v="2015-05-15T00:00:00"/>
    <n v="10.638356164383561"/>
    <x v="21"/>
    <x v="0"/>
    <x v="2"/>
    <x v="1"/>
    <n v="14.21"/>
    <n v="13.91"/>
    <n v="13.61"/>
    <n v="13.31"/>
    <n v="13.01"/>
    <n v="12.71"/>
    <n v="12.41"/>
    <x v="2"/>
    <n v="1"/>
    <n v="3"/>
    <m/>
    <m/>
    <m/>
    <m/>
    <m/>
    <m/>
    <m/>
    <m/>
    <m/>
    <m/>
    <m/>
    <m/>
    <m/>
    <m/>
  </r>
  <r>
    <n v="52"/>
    <n v="1418"/>
    <d v="1970-11-11T00:00:00"/>
    <n v="55"/>
    <x v="0"/>
    <x v="1"/>
    <d v="2015-05-15T00:00:00"/>
    <n v="10.638356164383561"/>
    <x v="22"/>
    <x v="0"/>
    <x v="0"/>
    <x v="0"/>
    <n v="79030"/>
    <n v="77530"/>
    <n v="76030"/>
    <n v="74530"/>
    <n v="73030"/>
    <n v="71530"/>
    <n v="70030"/>
    <x v="7"/>
    <n v="0"/>
    <n v="4"/>
    <n v="3"/>
    <m/>
    <m/>
    <m/>
    <m/>
    <m/>
    <m/>
    <n v="4"/>
    <n v="4"/>
    <n v="3"/>
    <n v="5"/>
    <n v="5"/>
    <n v="5"/>
    <n v="3"/>
  </r>
  <r>
    <n v="53"/>
    <n v="1426"/>
    <d v="1993-12-04T00:00:00"/>
    <n v="32"/>
    <x v="1"/>
    <x v="1"/>
    <d v="2015-05-15T00:00:00"/>
    <n v="10.638356164383561"/>
    <x v="22"/>
    <x v="0"/>
    <x v="10"/>
    <x v="1"/>
    <n v="10.41"/>
    <n v="10.210000000000001"/>
    <n v="10.01"/>
    <n v="9.81"/>
    <n v="9.61"/>
    <n v="9.41"/>
    <n v="9.2100000000000009"/>
    <x v="2"/>
    <n v="0"/>
    <n v="5"/>
    <m/>
    <m/>
    <m/>
    <m/>
    <m/>
    <m/>
    <m/>
    <m/>
    <m/>
    <m/>
    <m/>
    <m/>
    <m/>
    <m/>
  </r>
  <r>
    <n v="54"/>
    <n v="1434"/>
    <d v="1991-03-03T00:00:00"/>
    <n v="34"/>
    <x v="0"/>
    <x v="1"/>
    <d v="2015-05-15T00:00:00"/>
    <n v="10.638356164383561"/>
    <x v="22"/>
    <x v="0"/>
    <x v="2"/>
    <x v="1"/>
    <n v="14.21"/>
    <n v="13.91"/>
    <n v="13.61"/>
    <n v="13.31"/>
    <n v="13.01"/>
    <n v="12.71"/>
    <n v="12.41"/>
    <x v="2"/>
    <n v="0"/>
    <n v="3"/>
    <m/>
    <m/>
    <m/>
    <m/>
    <m/>
    <m/>
    <m/>
    <m/>
    <m/>
    <m/>
    <m/>
    <m/>
    <m/>
    <m/>
  </r>
  <r>
    <n v="55"/>
    <n v="1436"/>
    <d v="1996-12-09T00:00:00"/>
    <n v="29"/>
    <x v="0"/>
    <x v="1"/>
    <d v="2015-05-15T00:00:00"/>
    <n v="10.638356164383561"/>
    <x v="22"/>
    <x v="0"/>
    <x v="9"/>
    <x v="1"/>
    <n v="14.08"/>
    <n v="13.78"/>
    <n v="13.48"/>
    <n v="13.18"/>
    <n v="12.88"/>
    <n v="12.58"/>
    <n v="12.28"/>
    <x v="2"/>
    <n v="1"/>
    <n v="6"/>
    <m/>
    <m/>
    <m/>
    <m/>
    <m/>
    <m/>
    <m/>
    <m/>
    <m/>
    <m/>
    <m/>
    <m/>
    <m/>
    <m/>
  </r>
  <r>
    <n v="56"/>
    <n v="1438"/>
    <d v="1989-07-13T00:00:00"/>
    <n v="36"/>
    <x v="0"/>
    <x v="1"/>
    <d v="2015-05-15T00:00:00"/>
    <n v="10.638356164383561"/>
    <x v="22"/>
    <x v="0"/>
    <x v="3"/>
    <x v="1"/>
    <n v="17.18"/>
    <n v="16.88"/>
    <n v="16.579999999999998"/>
    <n v="16.28"/>
    <n v="15.98"/>
    <n v="15.68"/>
    <n v="15.38"/>
    <x v="3"/>
    <n v="0"/>
    <n v="4"/>
    <m/>
    <m/>
    <m/>
    <m/>
    <m/>
    <m/>
    <m/>
    <m/>
    <m/>
    <m/>
    <m/>
    <m/>
    <m/>
    <m/>
  </r>
  <r>
    <n v="57"/>
    <n v="1477"/>
    <d v="1979-02-11T00:00:00"/>
    <n v="46"/>
    <x v="0"/>
    <x v="1"/>
    <d v="2015-05-15T00:00:00"/>
    <n v="10.638356164383561"/>
    <x v="23"/>
    <x v="0"/>
    <x v="0"/>
    <x v="0"/>
    <n v="91030"/>
    <n v="88030"/>
    <n v="85030"/>
    <n v="82030"/>
    <n v="79030"/>
    <n v="76030"/>
    <n v="73030"/>
    <x v="9"/>
    <n v="1"/>
    <n v="5"/>
    <n v="4"/>
    <m/>
    <m/>
    <m/>
    <m/>
    <m/>
    <m/>
    <n v="5"/>
    <n v="5"/>
    <n v="5"/>
    <n v="5"/>
    <n v="5"/>
    <n v="5"/>
    <n v="5"/>
  </r>
  <r>
    <n v="58"/>
    <n v="1493"/>
    <d v="1995-06-05T00:00:00"/>
    <n v="30"/>
    <x v="0"/>
    <x v="1"/>
    <d v="2015-05-15T00:00:00"/>
    <n v="10.638356164383561"/>
    <x v="23"/>
    <x v="0"/>
    <x v="2"/>
    <x v="1"/>
    <n v="14.21"/>
    <n v="13.91"/>
    <n v="13.61"/>
    <n v="13.31"/>
    <n v="13.01"/>
    <n v="12.71"/>
    <n v="12.41"/>
    <x v="1"/>
    <n v="0"/>
    <n v="3"/>
    <m/>
    <m/>
    <m/>
    <m/>
    <m/>
    <m/>
    <m/>
    <m/>
    <m/>
    <m/>
    <m/>
    <m/>
    <m/>
    <m/>
  </r>
  <r>
    <n v="59"/>
    <n v="1516"/>
    <d v="1997-10-05T00:00:00"/>
    <n v="28"/>
    <x v="0"/>
    <x v="1"/>
    <d v="2015-05-15T00:00:00"/>
    <n v="10.638356164383561"/>
    <x v="23"/>
    <x v="0"/>
    <x v="8"/>
    <x v="1"/>
    <n v="8.65"/>
    <n v="8.4499999999999993"/>
    <n v="8.25"/>
    <n v="8.0500000000000007"/>
    <n v="7.85"/>
    <n v="7.65"/>
    <n v="7.45"/>
    <x v="2"/>
    <n v="0"/>
    <n v="3"/>
    <m/>
    <m/>
    <m/>
    <m/>
    <m/>
    <m/>
    <m/>
    <m/>
    <m/>
    <m/>
    <m/>
    <m/>
    <m/>
    <m/>
  </r>
  <r>
    <n v="60"/>
    <n v="1538"/>
    <d v="1990-05-04T00:00:00"/>
    <n v="35"/>
    <x v="1"/>
    <x v="1"/>
    <d v="2015-05-15T00:00:00"/>
    <n v="10.638356164383561"/>
    <x v="15"/>
    <x v="0"/>
    <x v="0"/>
    <x v="0"/>
    <n v="68594"/>
    <n v="65594"/>
    <n v="62594"/>
    <n v="59594"/>
    <n v="56594"/>
    <n v="49094"/>
    <n v="46094"/>
    <x v="8"/>
    <n v="2"/>
    <n v="6"/>
    <n v="7"/>
    <d v="2016-08-19T00:00:00"/>
    <s v="Assistant Manager, Large Market"/>
    <d v="2020-06-09T00:00:00"/>
    <s v="Manager, Medium Market"/>
    <m/>
    <m/>
    <n v="5"/>
    <n v="5"/>
    <n v="5"/>
    <n v="5"/>
    <n v="5"/>
    <n v="5"/>
    <n v="5"/>
  </r>
  <r>
    <n v="61"/>
    <n v="1725"/>
    <d v="1995-06-27T00:00:00"/>
    <n v="30"/>
    <x v="1"/>
    <x v="0"/>
    <d v="2015-05-15T00:00:00"/>
    <n v="10.638356164383561"/>
    <x v="24"/>
    <x v="0"/>
    <x v="1"/>
    <x v="1"/>
    <n v="15.94"/>
    <n v="15.64"/>
    <n v="15.34"/>
    <n v="15.04"/>
    <n v="14.74"/>
    <n v="14.44"/>
    <n v="14.14"/>
    <x v="2"/>
    <n v="1"/>
    <n v="5"/>
    <m/>
    <m/>
    <m/>
    <m/>
    <m/>
    <m/>
    <m/>
    <m/>
    <m/>
    <m/>
    <m/>
    <m/>
    <m/>
    <m/>
  </r>
  <r>
    <n v="62"/>
    <n v="1745"/>
    <d v="1992-06-08T00:00:00"/>
    <n v="33"/>
    <x v="1"/>
    <x v="1"/>
    <d v="2015-05-15T00:00:00"/>
    <n v="10.638356164383561"/>
    <x v="24"/>
    <x v="0"/>
    <x v="7"/>
    <x v="1"/>
    <n v="16.920000000000002"/>
    <n v="16.62"/>
    <n v="16.32"/>
    <n v="16.02"/>
    <n v="15.72"/>
    <n v="15.42"/>
    <n v="15.12"/>
    <x v="2"/>
    <n v="2"/>
    <n v="5"/>
    <m/>
    <m/>
    <m/>
    <m/>
    <m/>
    <m/>
    <m/>
    <m/>
    <m/>
    <m/>
    <m/>
    <m/>
    <m/>
    <m/>
  </r>
  <r>
    <n v="63"/>
    <n v="1832"/>
    <d v="1988-10-09T00:00:00"/>
    <n v="37"/>
    <x v="0"/>
    <x v="0"/>
    <d v="2015-05-15T00:00:00"/>
    <n v="10.638356164383561"/>
    <x v="14"/>
    <x v="0"/>
    <x v="0"/>
    <x v="0"/>
    <n v="64376"/>
    <n v="62876"/>
    <n v="61376"/>
    <n v="59876"/>
    <n v="56876"/>
    <n v="55376"/>
    <n v="53876"/>
    <x v="10"/>
    <n v="2"/>
    <n v="4"/>
    <n v="3"/>
    <d v="2016-05-28T00:00:00"/>
    <s v="Assistant Manager, Large Market"/>
    <d v="2021-08-04T00:00:00"/>
    <s v="Manager, Medium Market"/>
    <m/>
    <m/>
    <n v="3"/>
    <n v="4"/>
    <n v="5"/>
    <n v="4"/>
    <n v="4"/>
    <n v="3"/>
    <n v="3"/>
  </r>
  <r>
    <n v="64"/>
    <n v="1844"/>
    <d v="1996-05-14T00:00:00"/>
    <n v="29"/>
    <x v="1"/>
    <x v="0"/>
    <d v="2015-05-15T00:00:00"/>
    <n v="10.638356164383561"/>
    <x v="25"/>
    <x v="0"/>
    <x v="1"/>
    <x v="1"/>
    <n v="15.94"/>
    <n v="15.64"/>
    <n v="15.34"/>
    <n v="15.04"/>
    <n v="14.74"/>
    <n v="14.44"/>
    <n v="14.14"/>
    <x v="2"/>
    <n v="1"/>
    <n v="6"/>
    <m/>
    <m/>
    <m/>
    <m/>
    <m/>
    <m/>
    <m/>
    <m/>
    <m/>
    <m/>
    <m/>
    <m/>
    <m/>
    <m/>
  </r>
  <r>
    <n v="65"/>
    <n v="1848"/>
    <d v="1993-11-01T00:00:00"/>
    <n v="33"/>
    <x v="1"/>
    <x v="0"/>
    <d v="2015-05-15T00:00:00"/>
    <n v="10.638356164383561"/>
    <x v="25"/>
    <x v="0"/>
    <x v="9"/>
    <x v="1"/>
    <n v="14.08"/>
    <n v="13.78"/>
    <n v="13.48"/>
    <n v="13.18"/>
    <n v="12.88"/>
    <n v="12.58"/>
    <n v="12.28"/>
    <x v="2"/>
    <n v="0"/>
    <n v="4"/>
    <m/>
    <m/>
    <m/>
    <m/>
    <m/>
    <m/>
    <m/>
    <m/>
    <m/>
    <m/>
    <m/>
    <m/>
    <m/>
    <m/>
  </r>
  <r>
    <n v="66"/>
    <n v="1853"/>
    <d v="1983-12-28T00:00:00"/>
    <n v="42"/>
    <x v="0"/>
    <x v="1"/>
    <d v="2015-05-15T00:00:00"/>
    <n v="10.638356164383561"/>
    <x v="25"/>
    <x v="0"/>
    <x v="4"/>
    <x v="1"/>
    <n v="31.98"/>
    <n v="31.68"/>
    <n v="31.38"/>
    <n v="31.08"/>
    <n v="30.78"/>
    <n v="30.48"/>
    <n v="30.18"/>
    <x v="3"/>
    <n v="0"/>
    <n v="2"/>
    <m/>
    <m/>
    <m/>
    <m/>
    <m/>
    <m/>
    <m/>
    <m/>
    <m/>
    <m/>
    <m/>
    <m/>
    <m/>
    <m/>
  </r>
  <r>
    <n v="67"/>
    <n v="1890"/>
    <d v="1982-03-16T00:00:00"/>
    <n v="43"/>
    <x v="1"/>
    <x v="0"/>
    <d v="2015-05-15T00:00:00"/>
    <n v="10.638356164383561"/>
    <x v="26"/>
    <x v="0"/>
    <x v="0"/>
    <x v="0"/>
    <n v="82624"/>
    <n v="81644"/>
    <n v="79820"/>
    <n v="78405"/>
    <n v="76344"/>
    <n v="74295"/>
    <n v="72121"/>
    <x v="6"/>
    <n v="2"/>
    <n v="4"/>
    <n v="6"/>
    <m/>
    <m/>
    <m/>
    <m/>
    <m/>
    <m/>
    <n v="4"/>
    <n v="3"/>
    <n v="2"/>
    <n v="1"/>
    <n v="4"/>
    <n v="4"/>
    <n v="3"/>
  </r>
  <r>
    <n v="68"/>
    <n v="1907"/>
    <d v="1994-04-05T00:00:00"/>
    <n v="31"/>
    <x v="0"/>
    <x v="0"/>
    <d v="2015-05-15T00:00:00"/>
    <n v="10.638356164383561"/>
    <x v="26"/>
    <x v="0"/>
    <x v="9"/>
    <x v="1"/>
    <n v="11.68"/>
    <n v="11.46"/>
    <n v="11.46"/>
    <n v="11.12"/>
    <n v="10.85"/>
    <n v="10.53"/>
    <n v="10.19"/>
    <x v="3"/>
    <n v="0"/>
    <n v="2"/>
    <m/>
    <m/>
    <m/>
    <m/>
    <m/>
    <m/>
    <m/>
    <m/>
    <m/>
    <m/>
    <m/>
    <m/>
    <m/>
    <m/>
  </r>
  <r>
    <n v="69"/>
    <n v="2068"/>
    <d v="1989-04-10T00:00:00"/>
    <n v="36"/>
    <x v="1"/>
    <x v="1"/>
    <d v="2015-05-15T00:00:00"/>
    <n v="10.638356164383561"/>
    <x v="27"/>
    <x v="0"/>
    <x v="0"/>
    <x v="0"/>
    <n v="66376"/>
    <n v="64876"/>
    <n v="63376"/>
    <n v="61876"/>
    <n v="58876"/>
    <n v="57001"/>
    <n v="55501"/>
    <x v="5"/>
    <n v="0"/>
    <n v="6"/>
    <n v="5"/>
    <d v="2017-10-02T00:00:00"/>
    <s v="Assistant Manager, Large Market"/>
    <d v="2021-06-26T00:00:00"/>
    <s v="Manager, Medium Market"/>
    <m/>
    <m/>
    <n v="5"/>
    <n v="3"/>
    <n v="3"/>
    <n v="3"/>
    <n v="4"/>
    <n v="4"/>
    <n v="3"/>
  </r>
  <r>
    <n v="70"/>
    <n v="2128"/>
    <d v="1990-04-30T00:00:00"/>
    <n v="35"/>
    <x v="1"/>
    <x v="0"/>
    <d v="2015-05-15T00:00:00"/>
    <n v="10.638356164383561"/>
    <x v="28"/>
    <x v="0"/>
    <x v="0"/>
    <x v="0"/>
    <n v="70158"/>
    <n v="69408"/>
    <n v="67158"/>
    <n v="64908"/>
    <n v="61908"/>
    <n v="59658"/>
    <n v="57408"/>
    <x v="7"/>
    <n v="0"/>
    <n v="4"/>
    <n v="4"/>
    <d v="2017-04-27T00:00:00"/>
    <s v="Assistant Manager, Large Market"/>
    <d v="2023-11-16T00:00:00"/>
    <s v="Manager, Medium Market"/>
    <m/>
    <m/>
    <n v="2"/>
    <n v="2"/>
    <n v="4"/>
    <n v="4"/>
    <n v="5"/>
    <n v="4"/>
    <n v="4"/>
  </r>
  <r>
    <n v="71"/>
    <n v="2186"/>
    <d v="1990-09-23T00:00:00"/>
    <n v="35"/>
    <x v="1"/>
    <x v="1"/>
    <d v="2015-05-15T00:00:00"/>
    <n v="10.638356164383561"/>
    <x v="29"/>
    <x v="1"/>
    <x v="0"/>
    <x v="0"/>
    <n v="71376"/>
    <n v="68376"/>
    <n v="66126"/>
    <n v="63876"/>
    <n v="60876"/>
    <n v="57876"/>
    <n v="54876"/>
    <x v="7"/>
    <n v="0"/>
    <n v="6"/>
    <n v="5"/>
    <d v="2017-07-11T00:00:00"/>
    <s v="Assistant Manager, Large Market"/>
    <m/>
    <m/>
    <m/>
    <m/>
    <n v="4"/>
    <n v="5"/>
    <n v="4"/>
    <n v="4"/>
    <n v="5"/>
    <n v="5"/>
    <n v="5"/>
  </r>
  <r>
    <n v="72"/>
    <n v="2187"/>
    <d v="1990-06-22T00:00:00"/>
    <n v="35"/>
    <x v="0"/>
    <x v="0"/>
    <d v="2015-05-15T00:00:00"/>
    <n v="10.638356164383561"/>
    <x v="30"/>
    <x v="1"/>
    <x v="0"/>
    <x v="0"/>
    <n v="71376"/>
    <n v="68376"/>
    <n v="65376"/>
    <n v="62376"/>
    <n v="59376"/>
    <n v="57126"/>
    <n v="54876"/>
    <x v="6"/>
    <n v="2"/>
    <n v="3"/>
    <n v="3"/>
    <d v="2017-08-22T00:00:00"/>
    <s v="Assistant Manager, Large Market"/>
    <m/>
    <m/>
    <m/>
    <m/>
    <n v="5"/>
    <n v="5"/>
    <n v="5"/>
    <n v="5"/>
    <n v="5"/>
    <n v="4"/>
    <n v="4"/>
  </r>
  <r>
    <n v="73"/>
    <n v="2197"/>
    <d v="1992-11-25T00:00:00"/>
    <n v="33"/>
    <x v="1"/>
    <x v="0"/>
    <d v="2015-05-15T00:00:00"/>
    <n v="10.638356164383561"/>
    <x v="31"/>
    <x v="0"/>
    <x v="1"/>
    <x v="1"/>
    <n v="15.94"/>
    <n v="15.64"/>
    <n v="15.34"/>
    <n v="15.04"/>
    <n v="14.74"/>
    <n v="14.44"/>
    <n v="14.14"/>
    <x v="2"/>
    <n v="0"/>
    <n v="4"/>
    <m/>
    <m/>
    <m/>
    <m/>
    <m/>
    <m/>
    <m/>
    <m/>
    <m/>
    <m/>
    <m/>
    <m/>
    <m/>
    <m/>
  </r>
  <r>
    <n v="74"/>
    <n v="2198"/>
    <d v="1995-09-16T00:00:00"/>
    <n v="30"/>
    <x v="1"/>
    <x v="1"/>
    <d v="2015-05-15T00:00:00"/>
    <n v="10.638356164383561"/>
    <x v="31"/>
    <x v="0"/>
    <x v="1"/>
    <x v="1"/>
    <n v="15.94"/>
    <n v="15.64"/>
    <n v="15.34"/>
    <n v="15.04"/>
    <n v="14.74"/>
    <n v="14.44"/>
    <n v="14.14"/>
    <x v="2"/>
    <n v="0"/>
    <n v="4"/>
    <m/>
    <m/>
    <m/>
    <m/>
    <m/>
    <m/>
    <m/>
    <m/>
    <m/>
    <m/>
    <m/>
    <m/>
    <m/>
    <m/>
  </r>
  <r>
    <n v="75"/>
    <n v="2203"/>
    <d v="1994-10-30T00:00:00"/>
    <n v="31"/>
    <x v="0"/>
    <x v="0"/>
    <d v="2015-05-15T00:00:00"/>
    <n v="10.638356164383561"/>
    <x v="31"/>
    <x v="0"/>
    <x v="9"/>
    <x v="1"/>
    <n v="14.08"/>
    <n v="13.78"/>
    <n v="13.48"/>
    <n v="13.18"/>
    <n v="12.88"/>
    <n v="12.58"/>
    <n v="12.28"/>
    <x v="2"/>
    <n v="1"/>
    <n v="3"/>
    <m/>
    <m/>
    <m/>
    <m/>
    <m/>
    <m/>
    <m/>
    <m/>
    <m/>
    <m/>
    <m/>
    <m/>
    <m/>
    <m/>
  </r>
  <r>
    <n v="76"/>
    <n v="2205"/>
    <d v="1988-12-23T00:00:00"/>
    <n v="37"/>
    <x v="1"/>
    <x v="1"/>
    <d v="2015-05-15T00:00:00"/>
    <n v="10.638356164383561"/>
    <x v="31"/>
    <x v="0"/>
    <x v="3"/>
    <x v="1"/>
    <n v="17.18"/>
    <n v="16.88"/>
    <n v="16.579999999999998"/>
    <n v="16.28"/>
    <n v="15.98"/>
    <n v="15.68"/>
    <n v="15.38"/>
    <x v="3"/>
    <n v="1"/>
    <n v="5"/>
    <m/>
    <m/>
    <m/>
    <m/>
    <m/>
    <m/>
    <m/>
    <m/>
    <m/>
    <m/>
    <m/>
    <m/>
    <m/>
    <m/>
  </r>
  <r>
    <n v="77"/>
    <n v="2212"/>
    <d v="1989-06-23T00:00:00"/>
    <n v="36"/>
    <x v="0"/>
    <x v="1"/>
    <d v="2015-05-15T00:00:00"/>
    <n v="10.638356164383561"/>
    <x v="31"/>
    <x v="0"/>
    <x v="5"/>
    <x v="1"/>
    <n v="21.79"/>
    <n v="21.49"/>
    <n v="21.19"/>
    <n v="20.89"/>
    <n v="20.59"/>
    <n v="20.29"/>
    <n v="19.989999999999998"/>
    <x v="2"/>
    <n v="3"/>
    <n v="3"/>
    <m/>
    <m/>
    <m/>
    <m/>
    <m/>
    <m/>
    <m/>
    <m/>
    <m/>
    <m/>
    <m/>
    <m/>
    <m/>
    <m/>
  </r>
  <r>
    <n v="78"/>
    <n v="2215"/>
    <d v="1983-12-26T00:00:00"/>
    <n v="42"/>
    <x v="0"/>
    <x v="1"/>
    <d v="2015-05-15T00:00:00"/>
    <n v="10.638356164383561"/>
    <x v="31"/>
    <x v="0"/>
    <x v="7"/>
    <x v="1"/>
    <n v="16.920000000000002"/>
    <n v="16.62"/>
    <n v="16.32"/>
    <n v="16.02"/>
    <n v="15.72"/>
    <n v="15.42"/>
    <n v="15.12"/>
    <x v="2"/>
    <n v="2"/>
    <n v="5"/>
    <m/>
    <m/>
    <m/>
    <m/>
    <m/>
    <m/>
    <m/>
    <m/>
    <m/>
    <m/>
    <m/>
    <m/>
    <m/>
    <m/>
  </r>
  <r>
    <n v="79"/>
    <n v="2248"/>
    <d v="1990-06-09T00:00:00"/>
    <n v="35"/>
    <x v="1"/>
    <x v="1"/>
    <d v="2015-05-15T00:00:00"/>
    <n v="10.638356164383561"/>
    <x v="32"/>
    <x v="0"/>
    <x v="11"/>
    <x v="1"/>
    <n v="12.93"/>
    <n v="12.81"/>
    <n v="12.81"/>
    <n v="12.69"/>
    <n v="12.55"/>
    <n v="12.41"/>
    <n v="12.28"/>
    <x v="2"/>
    <n v="1"/>
    <n v="5"/>
    <m/>
    <m/>
    <m/>
    <m/>
    <m/>
    <m/>
    <m/>
    <m/>
    <m/>
    <m/>
    <m/>
    <m/>
    <m/>
    <m/>
  </r>
  <r>
    <n v="80"/>
    <n v="2256"/>
    <d v="1987-07-23T00:00:00"/>
    <n v="38"/>
    <x v="0"/>
    <x v="1"/>
    <d v="2015-05-15T00:00:00"/>
    <n v="10.638356164383561"/>
    <x v="32"/>
    <x v="0"/>
    <x v="1"/>
    <x v="1"/>
    <n v="17.79"/>
    <n v="17.79"/>
    <n v="17.48"/>
    <n v="17.48"/>
    <n v="17.149999999999999"/>
    <n v="16.78"/>
    <n v="16.399999999999999"/>
    <x v="2"/>
    <n v="0"/>
    <n v="3"/>
    <m/>
    <m/>
    <m/>
    <m/>
    <m/>
    <m/>
    <m/>
    <m/>
    <m/>
    <m/>
    <m/>
    <m/>
    <m/>
    <m/>
  </r>
  <r>
    <n v="81"/>
    <n v="2263"/>
    <d v="1996-05-06T00:00:00"/>
    <n v="29"/>
    <x v="0"/>
    <x v="1"/>
    <d v="2015-05-15T00:00:00"/>
    <n v="10.638356164383561"/>
    <x v="32"/>
    <x v="0"/>
    <x v="3"/>
    <x v="1"/>
    <n v="14.11"/>
    <n v="13.88"/>
    <n v="13.5"/>
    <n v="13.33"/>
    <n v="13.33"/>
    <n v="13.33"/>
    <n v="13.01"/>
    <x v="3"/>
    <n v="2"/>
    <n v="6"/>
    <m/>
    <m/>
    <m/>
    <m/>
    <m/>
    <m/>
    <m/>
    <m/>
    <m/>
    <m/>
    <m/>
    <m/>
    <m/>
    <m/>
  </r>
  <r>
    <n v="82"/>
    <n v="2264"/>
    <d v="1994-11-04T00:00:00"/>
    <n v="31"/>
    <x v="0"/>
    <x v="1"/>
    <d v="2015-05-15T00:00:00"/>
    <n v="10.638356164383561"/>
    <x v="32"/>
    <x v="0"/>
    <x v="3"/>
    <x v="1"/>
    <n v="17.14"/>
    <n v="16.82"/>
    <n v="16.46"/>
    <n v="16.309999999999999"/>
    <n v="15.86"/>
    <n v="15.55"/>
    <n v="15.55"/>
    <x v="3"/>
    <n v="2"/>
    <n v="4"/>
    <m/>
    <m/>
    <m/>
    <m/>
    <m/>
    <m/>
    <m/>
    <m/>
    <m/>
    <m/>
    <m/>
    <m/>
    <m/>
    <m/>
  </r>
  <r>
    <n v="83"/>
    <n v="2267"/>
    <d v="1989-04-18T00:00:00"/>
    <n v="36"/>
    <x v="0"/>
    <x v="1"/>
    <d v="2015-05-15T00:00:00"/>
    <n v="10.638356164383561"/>
    <x v="32"/>
    <x v="0"/>
    <x v="4"/>
    <x v="1"/>
    <n v="32.270000000000003"/>
    <n v="32.090000000000003"/>
    <n v="31.72"/>
    <n v="31.39"/>
    <n v="31.15"/>
    <n v="31.15"/>
    <n v="30.71"/>
    <x v="3"/>
    <n v="0"/>
    <n v="4"/>
    <m/>
    <m/>
    <m/>
    <m/>
    <m/>
    <m/>
    <m/>
    <m/>
    <m/>
    <m/>
    <m/>
    <m/>
    <m/>
    <m/>
  </r>
  <r>
    <n v="84"/>
    <n v="2276"/>
    <d v="1987-11-21T00:00:00"/>
    <n v="38"/>
    <x v="0"/>
    <x v="1"/>
    <d v="2015-05-15T00:00:00"/>
    <n v="10.638356164383561"/>
    <x v="32"/>
    <x v="0"/>
    <x v="7"/>
    <x v="1"/>
    <n v="18.190000000000001"/>
    <n v="17.91"/>
    <n v="17.579999999999998"/>
    <n v="17.27"/>
    <n v="16.87"/>
    <n v="16.72"/>
    <n v="16.39"/>
    <x v="2"/>
    <n v="2"/>
    <n v="5"/>
    <m/>
    <m/>
    <m/>
    <m/>
    <m/>
    <m/>
    <m/>
    <m/>
    <m/>
    <m/>
    <m/>
    <m/>
    <m/>
    <m/>
  </r>
  <r>
    <n v="85"/>
    <n v="2375"/>
    <d v="1992-11-21T00:00:00"/>
    <n v="33"/>
    <x v="0"/>
    <x v="1"/>
    <d v="2015-05-15T00:00:00"/>
    <n v="10.638356164383561"/>
    <x v="33"/>
    <x v="0"/>
    <x v="1"/>
    <x v="1"/>
    <n v="15.94"/>
    <n v="15.64"/>
    <n v="15.34"/>
    <n v="15.04"/>
    <n v="14.74"/>
    <n v="14.44"/>
    <n v="14.14"/>
    <x v="3"/>
    <n v="1"/>
    <n v="4"/>
    <m/>
    <m/>
    <m/>
    <m/>
    <m/>
    <m/>
    <m/>
    <m/>
    <m/>
    <m/>
    <m/>
    <m/>
    <m/>
    <m/>
  </r>
  <r>
    <n v="86"/>
    <n v="2378"/>
    <d v="1994-07-29T00:00:00"/>
    <n v="31"/>
    <x v="0"/>
    <x v="0"/>
    <d v="2015-05-15T00:00:00"/>
    <n v="10.638356164383561"/>
    <x v="33"/>
    <x v="0"/>
    <x v="2"/>
    <x v="1"/>
    <n v="14.21"/>
    <n v="13.91"/>
    <n v="13.61"/>
    <n v="13.31"/>
    <n v="13.01"/>
    <n v="12.71"/>
    <n v="12.41"/>
    <x v="2"/>
    <n v="0"/>
    <n v="1"/>
    <m/>
    <m/>
    <m/>
    <m/>
    <m/>
    <m/>
    <m/>
    <m/>
    <m/>
    <m/>
    <m/>
    <m/>
    <m/>
    <m/>
  </r>
  <r>
    <n v="87"/>
    <n v="2610"/>
    <d v="1991-12-15T00:00:00"/>
    <n v="34"/>
    <x v="1"/>
    <x v="1"/>
    <d v="2015-05-15T00:00:00"/>
    <n v="10.638356164383561"/>
    <x v="34"/>
    <x v="0"/>
    <x v="1"/>
    <x v="1"/>
    <n v="15.94"/>
    <n v="15.64"/>
    <n v="15.34"/>
    <n v="15.04"/>
    <n v="14.74"/>
    <n v="14.44"/>
    <n v="14.14"/>
    <x v="2"/>
    <n v="1"/>
    <n v="7"/>
    <m/>
    <m/>
    <m/>
    <m/>
    <m/>
    <m/>
    <m/>
    <m/>
    <m/>
    <m/>
    <m/>
    <m/>
    <m/>
    <m/>
  </r>
  <r>
    <n v="88"/>
    <n v="2617"/>
    <d v="1996-02-25T00:00:00"/>
    <n v="29"/>
    <x v="1"/>
    <x v="1"/>
    <d v="2015-05-15T00:00:00"/>
    <n v="10.638356164383561"/>
    <x v="34"/>
    <x v="0"/>
    <x v="3"/>
    <x v="1"/>
    <n v="17.18"/>
    <n v="16.88"/>
    <n v="16.579999999999998"/>
    <n v="16.28"/>
    <n v="15.98"/>
    <n v="15.68"/>
    <n v="15.38"/>
    <x v="1"/>
    <n v="2"/>
    <n v="5"/>
    <m/>
    <m/>
    <m/>
    <m/>
    <m/>
    <m/>
    <m/>
    <m/>
    <m/>
    <m/>
    <m/>
    <m/>
    <m/>
    <m/>
  </r>
  <r>
    <n v="89"/>
    <n v="2619"/>
    <d v="1994-10-29T00:00:00"/>
    <n v="31"/>
    <x v="1"/>
    <x v="0"/>
    <d v="2015-05-15T00:00:00"/>
    <n v="10.638356164383561"/>
    <x v="34"/>
    <x v="0"/>
    <x v="3"/>
    <x v="1"/>
    <n v="17.18"/>
    <n v="16.88"/>
    <n v="16.579999999999998"/>
    <n v="16.28"/>
    <n v="15.98"/>
    <n v="15.68"/>
    <n v="15.38"/>
    <x v="3"/>
    <n v="3"/>
    <n v="5"/>
    <m/>
    <m/>
    <m/>
    <m/>
    <m/>
    <m/>
    <m/>
    <m/>
    <m/>
    <m/>
    <m/>
    <m/>
    <m/>
    <m/>
  </r>
  <r>
    <n v="90"/>
    <n v="2630"/>
    <d v="1986-11-03T00:00:00"/>
    <n v="39"/>
    <x v="0"/>
    <x v="1"/>
    <d v="2015-05-15T00:00:00"/>
    <n v="10.638356164383561"/>
    <x v="34"/>
    <x v="0"/>
    <x v="7"/>
    <x v="1"/>
    <n v="16.920000000000002"/>
    <n v="16.62"/>
    <n v="16.32"/>
    <n v="16.02"/>
    <n v="15.72"/>
    <n v="15.42"/>
    <n v="15.12"/>
    <x v="4"/>
    <n v="2"/>
    <n v="2"/>
    <m/>
    <m/>
    <m/>
    <m/>
    <m/>
    <m/>
    <m/>
    <m/>
    <m/>
    <m/>
    <m/>
    <m/>
    <m/>
    <m/>
  </r>
  <r>
    <n v="91"/>
    <n v="3023"/>
    <d v="1991-08-20T00:00:00"/>
    <n v="34"/>
    <x v="0"/>
    <x v="1"/>
    <d v="2015-05-15T00:00:00"/>
    <n v="10.638356164383561"/>
    <x v="35"/>
    <x v="0"/>
    <x v="1"/>
    <x v="1"/>
    <n v="15.94"/>
    <n v="15.64"/>
    <n v="15.34"/>
    <n v="15.04"/>
    <n v="14.74"/>
    <n v="14.44"/>
    <n v="14.14"/>
    <x v="2"/>
    <n v="1"/>
    <n v="4"/>
    <m/>
    <m/>
    <m/>
    <m/>
    <m/>
    <m/>
    <m/>
    <m/>
    <m/>
    <m/>
    <m/>
    <m/>
    <m/>
    <m/>
  </r>
  <r>
    <n v="92"/>
    <n v="3024"/>
    <d v="1995-10-21T00:00:00"/>
    <n v="30"/>
    <x v="0"/>
    <x v="1"/>
    <d v="2015-05-15T00:00:00"/>
    <n v="10.638356164383561"/>
    <x v="35"/>
    <x v="0"/>
    <x v="1"/>
    <x v="1"/>
    <n v="15.94"/>
    <n v="15.64"/>
    <n v="15.34"/>
    <n v="15.04"/>
    <n v="14.74"/>
    <n v="14.44"/>
    <n v="14.14"/>
    <x v="1"/>
    <n v="0"/>
    <n v="3"/>
    <m/>
    <m/>
    <m/>
    <m/>
    <m/>
    <m/>
    <m/>
    <m/>
    <m/>
    <m/>
    <m/>
    <m/>
    <m/>
    <m/>
  </r>
  <r>
    <n v="93"/>
    <n v="3025"/>
    <d v="1992-05-24T00:00:00"/>
    <n v="33"/>
    <x v="0"/>
    <x v="1"/>
    <d v="2015-05-15T00:00:00"/>
    <n v="10.638356164383561"/>
    <x v="35"/>
    <x v="0"/>
    <x v="2"/>
    <x v="1"/>
    <n v="14.21"/>
    <n v="13.91"/>
    <n v="13.61"/>
    <n v="13.31"/>
    <n v="13.01"/>
    <n v="12.71"/>
    <n v="12.41"/>
    <x v="3"/>
    <n v="0"/>
    <n v="4"/>
    <m/>
    <m/>
    <m/>
    <m/>
    <m/>
    <m/>
    <m/>
    <m/>
    <m/>
    <m/>
    <m/>
    <m/>
    <m/>
    <m/>
  </r>
  <r>
    <n v="94"/>
    <n v="3026"/>
    <d v="1991-03-28T00:00:00"/>
    <n v="34"/>
    <x v="0"/>
    <x v="1"/>
    <d v="2015-05-15T00:00:00"/>
    <n v="10.638356164383561"/>
    <x v="35"/>
    <x v="0"/>
    <x v="2"/>
    <x v="1"/>
    <n v="14.21"/>
    <n v="13.91"/>
    <n v="13.61"/>
    <n v="13.31"/>
    <n v="13.01"/>
    <n v="12.71"/>
    <n v="12.41"/>
    <x v="2"/>
    <n v="1"/>
    <n v="5"/>
    <m/>
    <m/>
    <m/>
    <m/>
    <m/>
    <m/>
    <m/>
    <m/>
    <m/>
    <m/>
    <m/>
    <m/>
    <m/>
    <m/>
  </r>
  <r>
    <n v="95"/>
    <n v="3030"/>
    <d v="1992-05-22T00:00:00"/>
    <n v="33"/>
    <x v="1"/>
    <x v="1"/>
    <d v="2015-05-15T00:00:00"/>
    <n v="10.638356164383561"/>
    <x v="35"/>
    <x v="0"/>
    <x v="3"/>
    <x v="1"/>
    <n v="17.18"/>
    <n v="16.88"/>
    <n v="16.579999999999998"/>
    <n v="16.28"/>
    <n v="15.98"/>
    <n v="15.68"/>
    <n v="15.38"/>
    <x v="3"/>
    <n v="1"/>
    <n v="4"/>
    <m/>
    <m/>
    <m/>
    <m/>
    <m/>
    <m/>
    <m/>
    <m/>
    <m/>
    <m/>
    <m/>
    <m/>
    <m/>
    <m/>
  </r>
  <r>
    <n v="96"/>
    <n v="3096"/>
    <d v="1991-05-29T00:00:00"/>
    <n v="34"/>
    <x v="0"/>
    <x v="1"/>
    <d v="2015-05-15T00:00:00"/>
    <n v="10.638356164383561"/>
    <x v="36"/>
    <x v="0"/>
    <x v="5"/>
    <x v="1"/>
    <n v="21.79"/>
    <n v="21.49"/>
    <n v="21.19"/>
    <n v="20.89"/>
    <n v="20.59"/>
    <n v="20.29"/>
    <n v="19.989999999999998"/>
    <x v="2"/>
    <n v="1"/>
    <n v="4"/>
    <m/>
    <m/>
    <m/>
    <m/>
    <m/>
    <m/>
    <m/>
    <m/>
    <m/>
    <m/>
    <m/>
    <m/>
    <m/>
    <m/>
  </r>
  <r>
    <n v="97"/>
    <n v="3190"/>
    <d v="1990-12-09T00:00:00"/>
    <n v="35"/>
    <x v="1"/>
    <x v="1"/>
    <d v="2015-05-15T00:00:00"/>
    <n v="10.638356164383561"/>
    <x v="35"/>
    <x v="0"/>
    <x v="0"/>
    <x v="0"/>
    <n v="51832"/>
    <n v="49957"/>
    <n v="48457"/>
    <n v="46957"/>
    <n v="45457"/>
    <n v="44332"/>
    <n v="43207"/>
    <x v="0"/>
    <n v="0"/>
    <n v="5"/>
    <n v="4"/>
    <d v="2017-12-07T00:00:00"/>
    <s v="Assistant Manager, Large Market"/>
    <d v="2018-04-10T00:00:00"/>
    <s v="Manager, Medium Market"/>
    <m/>
    <m/>
    <n v="5"/>
    <n v="4"/>
    <n v="3"/>
    <n v="3"/>
    <n v="3"/>
    <n v="2"/>
    <n v="2"/>
  </r>
  <r>
    <n v="98"/>
    <n v="3601"/>
    <d v="1973-05-12T00:00:00"/>
    <n v="52"/>
    <x v="0"/>
    <x v="0"/>
    <d v="2015-05-15T00:00:00"/>
    <n v="10.638356164383561"/>
    <x v="37"/>
    <x v="0"/>
    <x v="0"/>
    <x v="0"/>
    <n v="79030"/>
    <n v="77530"/>
    <n v="76030"/>
    <n v="74530"/>
    <n v="73030"/>
    <n v="71530"/>
    <n v="70030"/>
    <x v="7"/>
    <n v="2"/>
    <n v="4"/>
    <n v="4"/>
    <m/>
    <m/>
    <m/>
    <m/>
    <m/>
    <m/>
    <n v="3"/>
    <n v="3"/>
    <n v="3"/>
    <n v="4"/>
    <n v="3"/>
    <n v="5"/>
    <n v="3"/>
  </r>
  <r>
    <n v="99"/>
    <n v="3602"/>
    <d v="1985-06-16T00:00:00"/>
    <n v="40"/>
    <x v="1"/>
    <x v="0"/>
    <d v="2015-05-15T00:00:00"/>
    <n v="10.638356164383561"/>
    <x v="32"/>
    <x v="0"/>
    <x v="0"/>
    <x v="0"/>
    <n v="62588"/>
    <n v="61170"/>
    <n v="61170"/>
    <n v="59637"/>
    <n v="55626"/>
    <n v="54126"/>
    <n v="52626"/>
    <x v="7"/>
    <n v="2"/>
    <n v="6"/>
    <n v="6"/>
    <d v="2017-07-17T00:00:00"/>
    <s v="Assistant Manager, Large Market"/>
    <d v="2021-03-07T00:00:00"/>
    <s v="Manager, Medium Market"/>
    <m/>
    <m/>
    <n v="5"/>
    <n v="5"/>
    <n v="3"/>
    <n v="5"/>
    <n v="5"/>
    <n v="3"/>
    <n v="3"/>
  </r>
  <r>
    <n v="100"/>
    <n v="3608"/>
    <d v="1996-12-02T00:00:00"/>
    <n v="29"/>
    <x v="0"/>
    <x v="1"/>
    <d v="2015-05-15T00:00:00"/>
    <n v="10.638356164383561"/>
    <x v="37"/>
    <x v="0"/>
    <x v="10"/>
    <x v="1"/>
    <n v="10.41"/>
    <n v="10.210000000000001"/>
    <n v="10.01"/>
    <n v="9.81"/>
    <n v="9.61"/>
    <n v="9.41"/>
    <n v="9.2100000000000009"/>
    <x v="2"/>
    <n v="0"/>
    <n v="4"/>
    <m/>
    <m/>
    <m/>
    <m/>
    <m/>
    <m/>
    <m/>
    <m/>
    <m/>
    <m/>
    <m/>
    <m/>
    <m/>
    <m/>
  </r>
  <r>
    <n v="101"/>
    <n v="3613"/>
    <d v="1994-12-25T00:00:00"/>
    <n v="31"/>
    <x v="1"/>
    <x v="1"/>
    <d v="2015-05-15T00:00:00"/>
    <n v="10.638356164383561"/>
    <x v="37"/>
    <x v="0"/>
    <x v="1"/>
    <x v="1"/>
    <n v="15.94"/>
    <n v="15.64"/>
    <n v="15.34"/>
    <n v="15.04"/>
    <n v="14.74"/>
    <n v="14.44"/>
    <n v="14.14"/>
    <x v="4"/>
    <n v="0"/>
    <n v="6"/>
    <m/>
    <m/>
    <m/>
    <m/>
    <m/>
    <m/>
    <m/>
    <m/>
    <m/>
    <m/>
    <m/>
    <m/>
    <m/>
    <m/>
  </r>
  <r>
    <n v="102"/>
    <n v="3614"/>
    <d v="1990-08-03T00:00:00"/>
    <n v="35"/>
    <x v="1"/>
    <x v="1"/>
    <d v="2015-05-15T00:00:00"/>
    <n v="10.638356164383561"/>
    <x v="37"/>
    <x v="0"/>
    <x v="1"/>
    <x v="1"/>
    <n v="15.94"/>
    <n v="15.64"/>
    <n v="15.34"/>
    <n v="15.04"/>
    <n v="14.74"/>
    <n v="14.44"/>
    <n v="14.14"/>
    <x v="3"/>
    <n v="0"/>
    <n v="5"/>
    <m/>
    <m/>
    <m/>
    <m/>
    <m/>
    <m/>
    <m/>
    <m/>
    <m/>
    <m/>
    <m/>
    <m/>
    <m/>
    <m/>
  </r>
  <r>
    <n v="103"/>
    <n v="3621"/>
    <d v="1994-02-17T00:00:00"/>
    <n v="31"/>
    <x v="1"/>
    <x v="0"/>
    <d v="2015-05-15T00:00:00"/>
    <n v="10.638356164383561"/>
    <x v="37"/>
    <x v="0"/>
    <x v="3"/>
    <x v="1"/>
    <n v="17.18"/>
    <n v="16.88"/>
    <n v="16.579999999999998"/>
    <n v="16.28"/>
    <n v="15.98"/>
    <n v="15.68"/>
    <n v="15.38"/>
    <x v="2"/>
    <n v="2"/>
    <n v="6"/>
    <m/>
    <m/>
    <m/>
    <m/>
    <m/>
    <m/>
    <m/>
    <m/>
    <m/>
    <m/>
    <m/>
    <m/>
    <m/>
    <m/>
  </r>
  <r>
    <n v="104"/>
    <n v="3719"/>
    <d v="1980-05-17T00:00:00"/>
    <n v="45"/>
    <x v="0"/>
    <x v="1"/>
    <d v="2015-05-15T00:00:00"/>
    <n v="10.638356164383561"/>
    <x v="38"/>
    <x v="0"/>
    <x v="0"/>
    <x v="0"/>
    <n v="88780"/>
    <n v="85780"/>
    <n v="82780"/>
    <n v="79780"/>
    <n v="77530"/>
    <n v="75280"/>
    <n v="73030"/>
    <x v="10"/>
    <n v="4"/>
    <n v="5"/>
    <n v="3"/>
    <m/>
    <m/>
    <m/>
    <m/>
    <m/>
    <m/>
    <n v="5"/>
    <n v="5"/>
    <n v="5"/>
    <n v="5"/>
    <n v="4"/>
    <n v="4"/>
    <n v="4"/>
  </r>
  <r>
    <n v="105"/>
    <n v="3734"/>
    <d v="1992-11-13T00:00:00"/>
    <n v="33"/>
    <x v="0"/>
    <x v="1"/>
    <d v="2015-05-15T00:00:00"/>
    <n v="10.638356164383561"/>
    <x v="38"/>
    <x v="0"/>
    <x v="2"/>
    <x v="1"/>
    <n v="14.21"/>
    <n v="13.91"/>
    <n v="13.61"/>
    <n v="13.31"/>
    <n v="13.01"/>
    <n v="12.71"/>
    <n v="12.41"/>
    <x v="1"/>
    <n v="1"/>
    <n v="4"/>
    <m/>
    <m/>
    <m/>
    <m/>
    <m/>
    <m/>
    <m/>
    <m/>
    <m/>
    <m/>
    <m/>
    <m/>
    <m/>
    <m/>
  </r>
  <r>
    <n v="106"/>
    <n v="3748"/>
    <d v="1989-05-25T00:00:00"/>
    <n v="36"/>
    <x v="1"/>
    <x v="1"/>
    <d v="2015-05-15T00:00:00"/>
    <n v="10.638356164383561"/>
    <x v="38"/>
    <x v="0"/>
    <x v="6"/>
    <x v="1"/>
    <n v="21.93"/>
    <n v="21.63"/>
    <n v="21.33"/>
    <n v="21.03"/>
    <n v="20.73"/>
    <n v="20.43"/>
    <n v="20.13"/>
    <x v="3"/>
    <n v="1"/>
    <n v="6"/>
    <m/>
    <m/>
    <m/>
    <m/>
    <m/>
    <m/>
    <m/>
    <m/>
    <m/>
    <m/>
    <m/>
    <m/>
    <m/>
    <m/>
  </r>
  <r>
    <n v="107"/>
    <n v="3850"/>
    <d v="1996-12-07T00:00:00"/>
    <n v="29"/>
    <x v="1"/>
    <x v="1"/>
    <d v="2015-05-15T00:00:00"/>
    <n v="10.638356164383561"/>
    <x v="39"/>
    <x v="1"/>
    <x v="3"/>
    <x v="1"/>
    <n v="17.03"/>
    <n v="16.73"/>
    <n v="16.43"/>
    <n v="16.13"/>
    <n v="15.83"/>
    <n v="15.53"/>
    <n v="15.23"/>
    <x v="1"/>
    <n v="1"/>
    <n v="6"/>
    <m/>
    <m/>
    <m/>
    <m/>
    <m/>
    <m/>
    <m/>
    <m/>
    <m/>
    <m/>
    <m/>
    <m/>
    <m/>
    <m/>
  </r>
  <r>
    <n v="108"/>
    <n v="3851"/>
    <d v="1994-12-18T00:00:00"/>
    <n v="31"/>
    <x v="1"/>
    <x v="0"/>
    <d v="2015-05-15T00:00:00"/>
    <n v="10.638356164383561"/>
    <x v="39"/>
    <x v="1"/>
    <x v="3"/>
    <x v="1"/>
    <n v="17.03"/>
    <n v="16.73"/>
    <n v="16.43"/>
    <n v="16.13"/>
    <n v="15.83"/>
    <n v="15.53"/>
    <n v="15.23"/>
    <x v="2"/>
    <n v="2"/>
    <n v="4"/>
    <m/>
    <m/>
    <m/>
    <m/>
    <m/>
    <m/>
    <m/>
    <m/>
    <m/>
    <m/>
    <m/>
    <m/>
    <m/>
    <m/>
  </r>
  <r>
    <n v="109"/>
    <n v="3882"/>
    <d v="1975-10-14T00:00:00"/>
    <n v="50"/>
    <x v="1"/>
    <x v="0"/>
    <d v="2015-05-15T00:00:00"/>
    <n v="10.638356164383561"/>
    <x v="5"/>
    <x v="0"/>
    <x v="0"/>
    <x v="0"/>
    <n v="84857"/>
    <n v="83357"/>
    <n v="81857"/>
    <n v="80357"/>
    <n v="78857"/>
    <n v="77357"/>
    <n v="75857"/>
    <x v="9"/>
    <n v="3"/>
    <n v="4"/>
    <n v="5"/>
    <d v="2016-04-05T00:00:00"/>
    <s v="Manager, Medium Market"/>
    <m/>
    <m/>
    <m/>
    <m/>
    <n v="2"/>
    <n v="3"/>
    <n v="5"/>
    <n v="5"/>
    <n v="3"/>
    <n v="2"/>
    <n v="3"/>
  </r>
  <r>
    <n v="110"/>
    <n v="3883"/>
    <d v="1988-08-04T00:00:00"/>
    <n v="37"/>
    <x v="0"/>
    <x v="1"/>
    <d v="2015-05-15T00:00:00"/>
    <n v="10.638356164383561"/>
    <x v="2"/>
    <x v="0"/>
    <x v="0"/>
    <x v="0"/>
    <n v="87176"/>
    <n v="84176"/>
    <n v="81176"/>
    <n v="78176"/>
    <n v="75176"/>
    <n v="67676"/>
    <n v="65426"/>
    <x v="10"/>
    <n v="0"/>
    <n v="4"/>
    <n v="5"/>
    <d v="2016-05-26T00:00:00"/>
    <s v="Assistant Manager, Medium Market"/>
    <d v="2017-11-08T00:00:00"/>
    <s v="Assistant Manager, Large Market"/>
    <d v="2020-06-03T00:00:00"/>
    <s v="Manager, Medium Market"/>
    <n v="5"/>
    <n v="5"/>
    <n v="5"/>
    <n v="5"/>
    <n v="5"/>
    <n v="5"/>
    <n v="5"/>
  </r>
  <r>
    <n v="111"/>
    <n v="3889"/>
    <d v="1995-08-07T00:00:00"/>
    <n v="30"/>
    <x v="0"/>
    <x v="1"/>
    <d v="2015-05-15T00:00:00"/>
    <n v="10.638356164383561"/>
    <x v="40"/>
    <x v="1"/>
    <x v="10"/>
    <x v="1"/>
    <n v="11.87"/>
    <n v="11.67"/>
    <n v="11.67"/>
    <n v="11.5"/>
    <n v="11.21"/>
    <n v="10.97"/>
    <n v="10.68"/>
    <x v="2"/>
    <n v="0"/>
    <n v="3"/>
    <m/>
    <m/>
    <m/>
    <m/>
    <m/>
    <m/>
    <m/>
    <m/>
    <m/>
    <m/>
    <m/>
    <m/>
    <m/>
    <m/>
  </r>
  <r>
    <n v="112"/>
    <n v="3898"/>
    <d v="1972-12-13T00:00:00"/>
    <n v="53"/>
    <x v="0"/>
    <x v="1"/>
    <d v="2015-05-15T00:00:00"/>
    <n v="10.638356164383561"/>
    <x v="40"/>
    <x v="1"/>
    <x v="4"/>
    <x v="1"/>
    <n v="27.19"/>
    <n v="26.92"/>
    <n v="26.69"/>
    <n v="26.53"/>
    <n v="26.16"/>
    <n v="25.74"/>
    <n v="25.74"/>
    <x v="3"/>
    <n v="0"/>
    <n v="4"/>
    <m/>
    <m/>
    <m/>
    <m/>
    <m/>
    <m/>
    <m/>
    <m/>
    <m/>
    <m/>
    <m/>
    <m/>
    <m/>
    <m/>
  </r>
  <r>
    <n v="113"/>
    <n v="3899"/>
    <d v="1984-10-24T00:00:00"/>
    <n v="41"/>
    <x v="0"/>
    <x v="1"/>
    <d v="2015-05-15T00:00:00"/>
    <n v="10.638356164383561"/>
    <x v="40"/>
    <x v="1"/>
    <x v="4"/>
    <x v="1"/>
    <n v="36.82"/>
    <n v="36.57"/>
    <n v="36.159999999999997"/>
    <n v="35.99"/>
    <n v="35.78"/>
    <n v="35.590000000000003"/>
    <n v="35.229999999999997"/>
    <x v="2"/>
    <n v="0"/>
    <n v="2"/>
    <m/>
    <m/>
    <m/>
    <m/>
    <m/>
    <m/>
    <m/>
    <m/>
    <m/>
    <m/>
    <m/>
    <m/>
    <m/>
    <m/>
  </r>
  <r>
    <n v="114"/>
    <n v="3903"/>
    <d v="1987-02-12T00:00:00"/>
    <n v="38"/>
    <x v="0"/>
    <x v="1"/>
    <d v="2015-05-15T00:00:00"/>
    <n v="10.638356164383561"/>
    <x v="40"/>
    <x v="1"/>
    <x v="6"/>
    <x v="1"/>
    <n v="17.52"/>
    <n v="17.350000000000001"/>
    <n v="16.98"/>
    <n v="16.55"/>
    <n v="16.309999999999999"/>
    <n v="15.99"/>
    <n v="15.55"/>
    <x v="3"/>
    <n v="3"/>
    <n v="5"/>
    <m/>
    <m/>
    <m/>
    <m/>
    <m/>
    <m/>
    <m/>
    <m/>
    <m/>
    <m/>
    <m/>
    <m/>
    <m/>
    <m/>
  </r>
  <r>
    <n v="115"/>
    <n v="3906"/>
    <d v="1985-05-23T00:00:00"/>
    <n v="40"/>
    <x v="1"/>
    <x v="0"/>
    <d v="2015-05-15T00:00:00"/>
    <n v="10.638356164383561"/>
    <x v="40"/>
    <x v="1"/>
    <x v="7"/>
    <x v="1"/>
    <n v="13.13"/>
    <n v="12.85"/>
    <n v="12.4"/>
    <n v="12.21"/>
    <n v="12.04"/>
    <n v="12.04"/>
    <n v="11.73"/>
    <x v="3"/>
    <n v="1"/>
    <n v="6"/>
    <m/>
    <m/>
    <m/>
    <m/>
    <m/>
    <m/>
    <m/>
    <m/>
    <m/>
    <m/>
    <m/>
    <m/>
    <m/>
    <m/>
  </r>
  <r>
    <n v="116"/>
    <n v="3928"/>
    <d v="1991-10-21T00:00:00"/>
    <n v="34"/>
    <x v="1"/>
    <x v="1"/>
    <d v="2015-05-15T00:00:00"/>
    <n v="10.638356164383561"/>
    <x v="41"/>
    <x v="0"/>
    <x v="0"/>
    <x v="0"/>
    <n v="70154"/>
    <n v="70154"/>
    <n v="67961"/>
    <n v="65909"/>
    <n v="64409"/>
    <n v="62159"/>
    <n v="59909"/>
    <x v="7"/>
    <n v="2"/>
    <n v="6"/>
    <n v="5"/>
    <d v="2017-01-15T00:00:00"/>
    <s v="Assistant Manager, Medium Market"/>
    <d v="2018-01-23T00:00:00"/>
    <s v="Assistant Manager, Large Market"/>
    <d v="2021-02-11T00:00:00"/>
    <s v="Manager, Medium Market"/>
    <n v="3"/>
    <n v="4"/>
    <n v="3"/>
    <n v="3"/>
    <n v="5"/>
    <n v="4"/>
    <n v="4"/>
  </r>
  <r>
    <n v="117"/>
    <n v="4018"/>
    <d v="1989-08-09T00:00:00"/>
    <n v="36"/>
    <x v="0"/>
    <x v="0"/>
    <d v="2015-05-15T00:00:00"/>
    <n v="10.638356164383561"/>
    <x v="42"/>
    <x v="0"/>
    <x v="0"/>
    <x v="0"/>
    <n v="64333"/>
    <n v="64333"/>
    <n v="63583"/>
    <n v="62833"/>
    <n v="60583"/>
    <n v="59083"/>
    <n v="57583"/>
    <x v="11"/>
    <n v="0"/>
    <n v="3"/>
    <n v="2"/>
    <d v="2016-08-06T00:00:00"/>
    <s v="Assistant Manager, Medium Market"/>
    <d v="2017-07-06T00:00:00"/>
    <s v="Assistant Manager, Large Market"/>
    <d v="2021-08-27T00:00:00"/>
    <s v="Manager, Medium Market"/>
    <n v="4"/>
    <n v="5"/>
    <n v="4"/>
    <n v="3"/>
    <n v="5"/>
    <n v="3"/>
    <n v="4"/>
  </r>
  <r>
    <n v="118"/>
    <n v="4025"/>
    <d v="1994-08-10T00:00:00"/>
    <n v="31"/>
    <x v="1"/>
    <x v="1"/>
    <d v="2015-05-15T00:00:00"/>
    <n v="10.638356164383561"/>
    <x v="43"/>
    <x v="1"/>
    <x v="1"/>
    <x v="1"/>
    <n v="12.87"/>
    <n v="12.62"/>
    <n v="12.2"/>
    <n v="11.9"/>
    <n v="11.58"/>
    <n v="11.17"/>
    <n v="10.96"/>
    <x v="2"/>
    <n v="2"/>
    <n v="4"/>
    <m/>
    <m/>
    <m/>
    <m/>
    <m/>
    <m/>
    <m/>
    <m/>
    <m/>
    <m/>
    <m/>
    <m/>
    <m/>
    <m/>
  </r>
  <r>
    <n v="119"/>
    <n v="4120"/>
    <d v="1994-11-19T00:00:00"/>
    <n v="31"/>
    <x v="1"/>
    <x v="1"/>
    <d v="2015-05-15T00:00:00"/>
    <n v="10.638356164383561"/>
    <x v="44"/>
    <x v="1"/>
    <x v="3"/>
    <x v="1"/>
    <n v="17.03"/>
    <n v="16.73"/>
    <n v="16.43"/>
    <n v="16.13"/>
    <n v="15.83"/>
    <n v="15.53"/>
    <n v="15.23"/>
    <x v="2"/>
    <n v="2"/>
    <n v="6"/>
    <m/>
    <m/>
    <m/>
    <m/>
    <m/>
    <m/>
    <m/>
    <m/>
    <m/>
    <m/>
    <m/>
    <m/>
    <m/>
    <m/>
  </r>
  <r>
    <n v="120"/>
    <n v="4242"/>
    <d v="1961-03-16T00:00:00"/>
    <n v="64"/>
    <x v="0"/>
    <x v="0"/>
    <d v="2015-05-15T00:00:00"/>
    <n v="10.638356164383561"/>
    <x v="18"/>
    <x v="0"/>
    <x v="0"/>
    <x v="0"/>
    <n v="81246"/>
    <n v="80106"/>
    <n v="78878"/>
    <n v="78878"/>
    <n v="76900"/>
    <n v="75306"/>
    <n v="74239"/>
    <x v="10"/>
    <n v="1"/>
    <n v="3"/>
    <n v="3"/>
    <d v="2016-09-01T00:00:00"/>
    <s v="Manager, Medium Market"/>
    <m/>
    <m/>
    <m/>
    <m/>
    <n v="4"/>
    <n v="5"/>
    <n v="4"/>
    <n v="4"/>
    <n v="4"/>
    <n v="2"/>
    <n v="4"/>
  </r>
  <r>
    <n v="121"/>
    <n v="4243"/>
    <d v="1990-06-04T00:00:00"/>
    <n v="35"/>
    <x v="0"/>
    <x v="1"/>
    <d v="2015-05-15T00:00:00"/>
    <n v="10.638356164383561"/>
    <x v="45"/>
    <x v="0"/>
    <x v="0"/>
    <x v="0"/>
    <n v="59199"/>
    <n v="58449"/>
    <n v="58449"/>
    <n v="57699"/>
    <n v="56949"/>
    <n v="54699"/>
    <n v="53199"/>
    <x v="11"/>
    <n v="0"/>
    <n v="4"/>
    <n v="2"/>
    <d v="2016-11-11T00:00:00"/>
    <s v="Assistant Manager, Medium Market"/>
    <d v="2017-02-28T00:00:00"/>
    <s v="Assistant Manager, Large Market"/>
    <d v="2020-07-12T00:00:00"/>
    <s v="Manager, Medium Market"/>
    <n v="4"/>
    <n v="4"/>
    <n v="3"/>
    <n v="5"/>
    <n v="5"/>
    <n v="4"/>
    <n v="3"/>
  </r>
  <r>
    <n v="122"/>
    <n v="4423"/>
    <d v="1990-08-01T00:00:00"/>
    <n v="36"/>
    <x v="1"/>
    <x v="0"/>
    <d v="2015-05-15T00:00:00"/>
    <n v="10.638356164383561"/>
    <x v="24"/>
    <x v="0"/>
    <x v="0"/>
    <x v="0"/>
    <n v="58699"/>
    <n v="57199"/>
    <n v="55699"/>
    <n v="54949"/>
    <n v="53449"/>
    <n v="52699"/>
    <n v="52699"/>
    <x v="7"/>
    <n v="2"/>
    <n v="4"/>
    <n v="4"/>
    <d v="2016-10-22T00:00:00"/>
    <s v="Assistant Manager, Medium Market"/>
    <d v="2017-09-16T00:00:00"/>
    <s v="Assistant Manager, Large Market"/>
    <d v="2018-04-02T00:00:00"/>
    <s v="Manager, Medium Market"/>
    <n v="3"/>
    <n v="3"/>
    <n v="3"/>
    <n v="2"/>
    <n v="3"/>
    <n v="2"/>
    <n v="1"/>
  </r>
  <r>
    <n v="123"/>
    <n v="4430"/>
    <d v="1991-03-16T00:00:00"/>
    <n v="34"/>
    <x v="1"/>
    <x v="1"/>
    <d v="2015-05-15T00:00:00"/>
    <n v="10.638356164383561"/>
    <x v="46"/>
    <x v="1"/>
    <x v="1"/>
    <x v="1"/>
    <n v="15.81"/>
    <n v="15.51"/>
    <n v="15.21"/>
    <n v="14.91"/>
    <n v="14.61"/>
    <n v="14.31"/>
    <n v="14.01"/>
    <x v="3"/>
    <n v="1"/>
    <n v="4"/>
    <m/>
    <m/>
    <m/>
    <m/>
    <m/>
    <m/>
    <m/>
    <m/>
    <m/>
    <m/>
    <m/>
    <m/>
    <m/>
    <m/>
  </r>
  <r>
    <n v="124"/>
    <n v="4433"/>
    <d v="1985-09-07T00:00:00"/>
    <n v="40"/>
    <x v="0"/>
    <x v="1"/>
    <d v="2015-05-15T00:00:00"/>
    <n v="10.638356164383561"/>
    <x v="46"/>
    <x v="1"/>
    <x v="2"/>
    <x v="1"/>
    <n v="14.1"/>
    <n v="13.8"/>
    <n v="13.5"/>
    <n v="13.2"/>
    <n v="12.9"/>
    <n v="12.6"/>
    <n v="12.3"/>
    <x v="2"/>
    <n v="0"/>
    <n v="2"/>
    <m/>
    <m/>
    <m/>
    <m/>
    <m/>
    <m/>
    <m/>
    <m/>
    <m/>
    <m/>
    <m/>
    <m/>
    <m/>
    <m/>
  </r>
  <r>
    <n v="125"/>
    <n v="4475"/>
    <d v="1993-12-07T00:00:00"/>
    <n v="32"/>
    <x v="1"/>
    <x v="1"/>
    <d v="2015-05-15T00:00:00"/>
    <n v="10.638356164383561"/>
    <x v="9"/>
    <x v="1"/>
    <x v="1"/>
    <x v="1"/>
    <n v="15.81"/>
    <n v="15.51"/>
    <n v="15.21"/>
    <n v="14.91"/>
    <n v="14.61"/>
    <n v="14.31"/>
    <n v="14.01"/>
    <x v="1"/>
    <n v="0"/>
    <n v="6"/>
    <m/>
    <m/>
    <m/>
    <m/>
    <m/>
    <m/>
    <m/>
    <m/>
    <m/>
    <m/>
    <m/>
    <m/>
    <m/>
    <m/>
  </r>
  <r>
    <n v="126"/>
    <n v="4512"/>
    <d v="1979-05-07T00:00:00"/>
    <n v="46"/>
    <x v="0"/>
    <x v="0"/>
    <d v="2015-05-15T00:00:00"/>
    <n v="10.638356164383561"/>
    <x v="25"/>
    <x v="0"/>
    <x v="0"/>
    <x v="0"/>
    <n v="87381"/>
    <n v="85131"/>
    <n v="82881"/>
    <n v="80631"/>
    <n v="78381"/>
    <n v="76131"/>
    <n v="73881"/>
    <x v="12"/>
    <n v="2"/>
    <n v="3"/>
    <n v="2"/>
    <d v="2016-07-13T00:00:00"/>
    <s v="Manager, Medium Market"/>
    <m/>
    <m/>
    <m/>
    <m/>
    <n v="4"/>
    <n v="4"/>
    <n v="4"/>
    <n v="4"/>
    <n v="4"/>
    <n v="4"/>
    <n v="4"/>
  </r>
  <r>
    <n v="127"/>
    <n v="4580"/>
    <d v="1992-12-28T00:00:00"/>
    <n v="33"/>
    <x v="0"/>
    <x v="1"/>
    <d v="2015-05-15T00:00:00"/>
    <n v="10.638356164383561"/>
    <x v="29"/>
    <x v="1"/>
    <x v="7"/>
    <x v="1"/>
    <n v="16.78"/>
    <n v="16.48"/>
    <n v="16.18"/>
    <n v="15.88"/>
    <n v="15.58"/>
    <n v="15.28"/>
    <n v="14.98"/>
    <x v="2"/>
    <n v="0"/>
    <n v="4"/>
    <m/>
    <m/>
    <m/>
    <m/>
    <m/>
    <m/>
    <m/>
    <m/>
    <m/>
    <m/>
    <m/>
    <m/>
    <m/>
    <m/>
  </r>
  <r>
    <n v="128"/>
    <n v="4647"/>
    <d v="1982-02-11T00:00:00"/>
    <n v="43"/>
    <x v="0"/>
    <x v="1"/>
    <d v="2015-05-15T00:00:00"/>
    <n v="10.638356164383561"/>
    <x v="47"/>
    <x v="0"/>
    <x v="0"/>
    <x v="0"/>
    <n v="86256"/>
    <n v="84381"/>
    <n v="82506"/>
    <n v="80631"/>
    <n v="78756"/>
    <n v="76881"/>
    <n v="75006"/>
    <x v="7"/>
    <n v="1"/>
    <n v="3"/>
    <n v="3"/>
    <d v="2016-12-21T00:00:00"/>
    <s v="Manager, Medium Market"/>
    <m/>
    <m/>
    <m/>
    <m/>
    <n v="4"/>
    <n v="4"/>
    <n v="4"/>
    <n v="4"/>
    <n v="4"/>
    <n v="4"/>
    <n v="4"/>
  </r>
  <r>
    <n v="129"/>
    <n v="4663"/>
    <d v="1983-06-17T00:00:00"/>
    <n v="42"/>
    <x v="0"/>
    <x v="1"/>
    <d v="2015-05-15T00:00:00"/>
    <n v="10.638356164383561"/>
    <x v="48"/>
    <x v="1"/>
    <x v="4"/>
    <x v="1"/>
    <n v="31.69"/>
    <n v="31.39"/>
    <n v="31.09"/>
    <n v="30.79"/>
    <n v="30.49"/>
    <n v="30.19"/>
    <n v="29.89"/>
    <x v="4"/>
    <n v="0"/>
    <n v="5"/>
    <m/>
    <m/>
    <m/>
    <m/>
    <m/>
    <m/>
    <m/>
    <m/>
    <m/>
    <m/>
    <m/>
    <m/>
    <m/>
    <m/>
  </r>
  <r>
    <n v="130"/>
    <n v="4692"/>
    <d v="1962-04-28T00:00:00"/>
    <n v="63"/>
    <x v="0"/>
    <x v="1"/>
    <d v="2015-05-15T00:00:00"/>
    <n v="10.638356164383561"/>
    <x v="31"/>
    <x v="0"/>
    <x v="0"/>
    <x v="0"/>
    <n v="79881"/>
    <n v="78381"/>
    <n v="76881"/>
    <n v="75381"/>
    <n v="73881"/>
    <n v="72381"/>
    <n v="70881"/>
    <x v="7"/>
    <n v="0"/>
    <n v="3"/>
    <n v="2"/>
    <d v="2016-08-19T00:00:00"/>
    <s v="Manager, Medium Market"/>
    <m/>
    <m/>
    <m/>
    <m/>
    <n v="5"/>
    <n v="5"/>
    <n v="5"/>
    <n v="5"/>
    <n v="5"/>
    <n v="5"/>
    <n v="4"/>
  </r>
  <r>
    <n v="131"/>
    <n v="4693"/>
    <d v="1989-02-03T00:00:00"/>
    <n v="36"/>
    <x v="1"/>
    <x v="0"/>
    <d v="2015-05-15T00:00:00"/>
    <n v="10.638356164383561"/>
    <x v="49"/>
    <x v="0"/>
    <x v="0"/>
    <x v="0"/>
    <n v="64449"/>
    <n v="62574"/>
    <n v="61074"/>
    <n v="60324"/>
    <n v="59199"/>
    <n v="54699"/>
    <n v="53199"/>
    <x v="8"/>
    <n v="2"/>
    <n v="4"/>
    <n v="4"/>
    <d v="2016-09-19T00:00:00"/>
    <s v="Assistant Manager, Medium Market"/>
    <d v="2018-01-17T00:00:00"/>
    <s v="Assistant Manager, Large Market"/>
    <d v="2020-07-25T00:00:00"/>
    <s v="Manager, Medium Market"/>
    <n v="5"/>
    <n v="4"/>
    <n v="3"/>
    <n v="1"/>
    <n v="2"/>
    <n v="3"/>
    <n v="3"/>
  </r>
  <r>
    <n v="132"/>
    <n v="4827"/>
    <d v="1985-03-26T00:00:00"/>
    <n v="40"/>
    <x v="1"/>
    <x v="1"/>
    <d v="2015-05-15T00:00:00"/>
    <n v="10.638356164383561"/>
    <x v="50"/>
    <x v="0"/>
    <x v="0"/>
    <x v="0"/>
    <n v="55411"/>
    <n v="54661"/>
    <n v="53911"/>
    <n v="53911"/>
    <n v="53161"/>
    <n v="52411"/>
    <n v="51661"/>
    <x v="10"/>
    <n v="3"/>
    <n v="6"/>
    <n v="6"/>
    <d v="2016-12-13T00:00:00"/>
    <s v="Manager, Medium Market"/>
    <m/>
    <m/>
    <m/>
    <m/>
    <n v="4"/>
    <n v="1"/>
    <n v="4"/>
    <n v="3"/>
    <n v="4"/>
    <n v="3"/>
    <n v="3"/>
  </r>
  <r>
    <n v="133"/>
    <n v="4872"/>
    <d v="1970-08-07T00:00:00"/>
    <n v="55"/>
    <x v="0"/>
    <x v="0"/>
    <d v="2015-05-15T00:00:00"/>
    <n v="10.638356164383561"/>
    <x v="34"/>
    <x v="0"/>
    <x v="0"/>
    <x v="0"/>
    <n v="96381"/>
    <n v="93381"/>
    <n v="90381"/>
    <n v="87381"/>
    <n v="84381"/>
    <n v="81381"/>
    <n v="78381"/>
    <x v="0"/>
    <n v="2"/>
    <n v="3"/>
    <n v="5"/>
    <d v="2016-11-19T00:00:00"/>
    <s v="Manager, Medium Market"/>
    <m/>
    <m/>
    <m/>
    <m/>
    <n v="5"/>
    <n v="5"/>
    <n v="5"/>
    <n v="5"/>
    <n v="5"/>
    <n v="5"/>
    <n v="5"/>
  </r>
  <r>
    <n v="134"/>
    <n v="4873"/>
    <d v="1986-08-22T00:00:00"/>
    <n v="39"/>
    <x v="0"/>
    <x v="0"/>
    <d v="2015-05-15T00:00:00"/>
    <n v="10.638356164383561"/>
    <x v="10"/>
    <x v="0"/>
    <x v="0"/>
    <x v="0"/>
    <n v="65063"/>
    <n v="65063"/>
    <n v="64296"/>
    <n v="63074"/>
    <n v="61574"/>
    <n v="59324"/>
    <n v="57449"/>
    <x v="6"/>
    <n v="2"/>
    <n v="4"/>
    <n v="4"/>
    <d v="2017-01-02T00:00:00"/>
    <s v="Assistant Manager, Medium Market"/>
    <d v="2017-11-12T00:00:00"/>
    <s v="Assistant Manager, Large Market"/>
    <d v="2022-01-20T00:00:00"/>
    <s v="Manager, Medium Market"/>
    <n v="3"/>
    <n v="3"/>
    <n v="4"/>
    <n v="5"/>
    <n v="5"/>
    <n v="5"/>
    <n v="4"/>
  </r>
  <r>
    <n v="135"/>
    <n v="4880"/>
    <d v="1992-03-12T00:00:00"/>
    <n v="33"/>
    <x v="1"/>
    <x v="1"/>
    <d v="2015-05-15T00:00:00"/>
    <n v="10.638356164383561"/>
    <x v="51"/>
    <x v="1"/>
    <x v="1"/>
    <x v="1"/>
    <n v="15.81"/>
    <n v="15.51"/>
    <n v="15.21"/>
    <n v="14.91"/>
    <n v="14.61"/>
    <n v="14.31"/>
    <n v="14.01"/>
    <x v="3"/>
    <n v="1"/>
    <n v="6"/>
    <m/>
    <m/>
    <m/>
    <m/>
    <m/>
    <m/>
    <m/>
    <m/>
    <m/>
    <m/>
    <m/>
    <m/>
    <m/>
    <m/>
  </r>
  <r>
    <n v="136"/>
    <n v="4882"/>
    <d v="1986-08-09T00:00:00"/>
    <n v="39"/>
    <x v="1"/>
    <x v="1"/>
    <d v="2015-05-15T00:00:00"/>
    <n v="10.638356164383561"/>
    <x v="51"/>
    <x v="1"/>
    <x v="2"/>
    <x v="1"/>
    <n v="14.1"/>
    <n v="13.8"/>
    <n v="13.5"/>
    <n v="13.2"/>
    <n v="12.9"/>
    <n v="12.6"/>
    <n v="12.3"/>
    <x v="3"/>
    <n v="0"/>
    <n v="5"/>
    <m/>
    <m/>
    <m/>
    <m/>
    <m/>
    <m/>
    <m/>
    <m/>
    <m/>
    <m/>
    <m/>
    <m/>
    <m/>
    <m/>
  </r>
  <r>
    <n v="137"/>
    <n v="4963"/>
    <d v="1990-07-10T00:00:00"/>
    <n v="35"/>
    <x v="0"/>
    <x v="1"/>
    <d v="2015-05-15T00:00:00"/>
    <n v="10.638356164383561"/>
    <x v="52"/>
    <x v="0"/>
    <x v="0"/>
    <x v="0"/>
    <n v="50899"/>
    <n v="50149"/>
    <n v="50149"/>
    <n v="50149"/>
    <n v="47899"/>
    <n v="46024"/>
    <n v="43774"/>
    <x v="8"/>
    <n v="1"/>
    <n v="4"/>
    <n v="4"/>
    <d v="2017-03-25T00:00:00"/>
    <s v="Assistant Manager, Medium Market"/>
    <d v="2018-01-22T00:00:00"/>
    <s v="Assistant Manager, Large Market"/>
    <d v="2021-10-24T00:00:00"/>
    <s v="Manager, Medium Market"/>
    <n v="3"/>
    <n v="4"/>
    <n v="4"/>
    <n v="3"/>
    <n v="4"/>
    <n v="4"/>
    <n v="5"/>
  </r>
  <r>
    <n v="138"/>
    <n v="5052"/>
    <d v="1971-04-08T00:00:00"/>
    <n v="54"/>
    <x v="1"/>
    <x v="1"/>
    <d v="2015-05-15T00:00:00"/>
    <n v="10.638356164383561"/>
    <x v="36"/>
    <x v="0"/>
    <x v="0"/>
    <x v="0"/>
    <n v="84756"/>
    <n v="82506"/>
    <n v="80256"/>
    <n v="78006"/>
    <n v="75756"/>
    <n v="73506"/>
    <n v="71256"/>
    <x v="12"/>
    <n v="2"/>
    <n v="5"/>
    <n v="4"/>
    <d v="2016-12-01T00:00:00"/>
    <s v="Manager, Medium Market"/>
    <m/>
    <m/>
    <m/>
    <m/>
    <n v="5"/>
    <n v="5"/>
    <n v="5"/>
    <n v="5"/>
    <n v="5"/>
    <n v="5"/>
    <n v="5"/>
  </r>
  <r>
    <n v="139"/>
    <n v="5061"/>
    <d v="1992-09-04T00:00:00"/>
    <n v="33"/>
    <x v="1"/>
    <x v="1"/>
    <d v="2015-05-15T00:00:00"/>
    <n v="10.638356164383561"/>
    <x v="53"/>
    <x v="1"/>
    <x v="1"/>
    <x v="1"/>
    <n v="15.81"/>
    <n v="15.51"/>
    <n v="15.21"/>
    <n v="14.91"/>
    <n v="14.61"/>
    <n v="14.31"/>
    <n v="14.01"/>
    <x v="3"/>
    <n v="0"/>
    <n v="5"/>
    <m/>
    <m/>
    <m/>
    <m/>
    <m/>
    <m/>
    <m/>
    <m/>
    <m/>
    <m/>
    <m/>
    <m/>
    <m/>
    <m/>
  </r>
  <r>
    <n v="140"/>
    <n v="5066"/>
    <d v="1988-10-21T00:00:00"/>
    <n v="37"/>
    <x v="1"/>
    <x v="1"/>
    <d v="2015-05-15T00:00:00"/>
    <n v="10.638356164383561"/>
    <x v="53"/>
    <x v="1"/>
    <x v="3"/>
    <x v="1"/>
    <n v="17.03"/>
    <n v="16.73"/>
    <n v="16.43"/>
    <n v="16.13"/>
    <n v="15.83"/>
    <n v="15.53"/>
    <n v="15.23"/>
    <x v="2"/>
    <n v="4"/>
    <n v="5"/>
    <m/>
    <m/>
    <m/>
    <m/>
    <m/>
    <m/>
    <m/>
    <m/>
    <m/>
    <m/>
    <m/>
    <m/>
    <m/>
    <m/>
  </r>
  <r>
    <n v="141"/>
    <n v="5071"/>
    <d v="1989-07-13T00:00:00"/>
    <n v="36"/>
    <x v="0"/>
    <x v="1"/>
    <d v="2015-05-15T00:00:00"/>
    <n v="10.638356164383561"/>
    <x v="53"/>
    <x v="1"/>
    <x v="5"/>
    <x v="1"/>
    <n v="21.6"/>
    <n v="21.3"/>
    <n v="21"/>
    <n v="20.7"/>
    <n v="20.399999999999999"/>
    <n v="20.100000000000001"/>
    <n v="19.8"/>
    <x v="4"/>
    <n v="4"/>
    <n v="4"/>
    <m/>
    <m/>
    <m/>
    <m/>
    <m/>
    <m/>
    <m/>
    <m/>
    <m/>
    <m/>
    <m/>
    <m/>
    <m/>
    <m/>
  </r>
  <r>
    <n v="142"/>
    <n v="5074"/>
    <d v="1988-09-15T00:00:00"/>
    <n v="37"/>
    <x v="0"/>
    <x v="1"/>
    <d v="2015-05-15T00:00:00"/>
    <n v="10.638356164383561"/>
    <x v="53"/>
    <x v="1"/>
    <x v="7"/>
    <x v="1"/>
    <n v="16.78"/>
    <n v="16.48"/>
    <n v="16.18"/>
    <n v="15.88"/>
    <n v="15.58"/>
    <n v="15.28"/>
    <n v="14.98"/>
    <x v="1"/>
    <n v="3"/>
    <n v="4"/>
    <m/>
    <m/>
    <m/>
    <m/>
    <m/>
    <m/>
    <m/>
    <m/>
    <m/>
    <m/>
    <m/>
    <m/>
    <m/>
    <m/>
  </r>
  <r>
    <n v="143"/>
    <n v="5076"/>
    <d v="1990-02-24T00:00:00"/>
    <n v="35"/>
    <x v="0"/>
    <x v="1"/>
    <d v="2015-05-15T00:00:00"/>
    <n v="10.638356164383561"/>
    <x v="53"/>
    <x v="1"/>
    <x v="7"/>
    <x v="1"/>
    <n v="16.78"/>
    <n v="16.48"/>
    <n v="16.18"/>
    <n v="15.88"/>
    <n v="15.58"/>
    <n v="15.28"/>
    <n v="14.98"/>
    <x v="2"/>
    <n v="0"/>
    <n v="2"/>
    <m/>
    <m/>
    <m/>
    <m/>
    <m/>
    <m/>
    <m/>
    <m/>
    <m/>
    <m/>
    <m/>
    <m/>
    <m/>
    <m/>
  </r>
  <r>
    <n v="144"/>
    <n v="5111"/>
    <d v="1994-07-02T00:00:00"/>
    <n v="31"/>
    <x v="1"/>
    <x v="1"/>
    <d v="2015-05-15T00:00:00"/>
    <n v="10.638356164383561"/>
    <x v="54"/>
    <x v="1"/>
    <x v="3"/>
    <x v="1"/>
    <n v="17.03"/>
    <n v="16.73"/>
    <n v="16.43"/>
    <n v="16.13"/>
    <n v="15.83"/>
    <n v="15.53"/>
    <n v="15.23"/>
    <x v="3"/>
    <n v="0"/>
    <n v="5"/>
    <m/>
    <m/>
    <m/>
    <m/>
    <m/>
    <m/>
    <m/>
    <m/>
    <m/>
    <m/>
    <m/>
    <m/>
    <m/>
    <m/>
  </r>
  <r>
    <n v="145"/>
    <n v="5142"/>
    <d v="1977-06-21T00:00:00"/>
    <n v="48"/>
    <x v="1"/>
    <x v="1"/>
    <d v="2015-05-15T00:00:00"/>
    <n v="10.638356164383561"/>
    <x v="55"/>
    <x v="0"/>
    <x v="0"/>
    <x v="0"/>
    <n v="84381"/>
    <n v="82131"/>
    <n v="79881"/>
    <n v="77631"/>
    <n v="75381"/>
    <n v="73881"/>
    <n v="72381"/>
    <x v="7"/>
    <n v="0"/>
    <n v="5"/>
    <n v="4"/>
    <d v="2016-08-30T00:00:00"/>
    <s v="Manager, Medium Market"/>
    <m/>
    <m/>
    <m/>
    <m/>
    <n v="5"/>
    <n v="4"/>
    <n v="4"/>
    <n v="4"/>
    <n v="4"/>
    <n v="3"/>
    <n v="3"/>
  </r>
  <r>
    <n v="146"/>
    <n v="5153"/>
    <d v="1996-02-21T00:00:00"/>
    <n v="29"/>
    <x v="1"/>
    <x v="1"/>
    <d v="2015-05-15T00:00:00"/>
    <n v="10.638356164383561"/>
    <x v="56"/>
    <x v="1"/>
    <x v="2"/>
    <x v="1"/>
    <n v="14.1"/>
    <n v="13.8"/>
    <n v="13.5"/>
    <n v="13.2"/>
    <n v="12.9"/>
    <n v="12.6"/>
    <n v="12.3"/>
    <x v="2"/>
    <n v="0"/>
    <n v="6"/>
    <m/>
    <m/>
    <m/>
    <m/>
    <m/>
    <m/>
    <m/>
    <m/>
    <m/>
    <m/>
    <m/>
    <m/>
    <m/>
    <m/>
  </r>
  <r>
    <n v="147"/>
    <n v="5188"/>
    <d v="1990-09-05T00:00:00"/>
    <n v="35"/>
    <x v="0"/>
    <x v="1"/>
    <d v="2015-05-15T00:00:00"/>
    <n v="10.638356164383561"/>
    <x v="57"/>
    <x v="0"/>
    <x v="0"/>
    <x v="0"/>
    <n v="62762"/>
    <n v="60887"/>
    <n v="59012"/>
    <n v="57137"/>
    <n v="54887"/>
    <n v="49637"/>
    <n v="47697"/>
    <x v="5"/>
    <n v="1"/>
    <n v="3"/>
    <n v="3"/>
    <d v="2017-01-04T00:00:00"/>
    <s v="Assistant Manager, Medium Market"/>
    <d v="2018-04-07T00:00:00"/>
    <s v="Assistant Manager, Large Market"/>
    <d v="2020-07-26T00:00:00"/>
    <s v="Manager, Medium Market"/>
    <n v="4"/>
    <n v="4"/>
    <n v="4"/>
    <n v="4"/>
    <n v="5"/>
    <n v="4"/>
    <n v="4"/>
  </r>
  <r>
    <n v="148"/>
    <n v="5249"/>
    <d v="1984-07-14T00:00:00"/>
    <n v="41"/>
    <x v="0"/>
    <x v="1"/>
    <d v="2015-05-15T00:00:00"/>
    <n v="10.638356164383561"/>
    <x v="58"/>
    <x v="1"/>
    <x v="4"/>
    <x v="1"/>
    <n v="31.17"/>
    <n v="30.75"/>
    <n v="30.35"/>
    <n v="29.95"/>
    <n v="29.95"/>
    <n v="29.57"/>
    <n v="29.15"/>
    <x v="4"/>
    <n v="0"/>
    <n v="3"/>
    <m/>
    <m/>
    <m/>
    <m/>
    <m/>
    <m/>
    <m/>
    <m/>
    <m/>
    <m/>
    <m/>
    <m/>
    <m/>
    <m/>
  </r>
  <r>
    <n v="149"/>
    <n v="5277"/>
    <d v="1971-01-06T00:00:00"/>
    <n v="54"/>
    <x v="0"/>
    <x v="1"/>
    <d v="2015-05-15T00:00:00"/>
    <n v="10.638356164383561"/>
    <x v="59"/>
    <x v="0"/>
    <x v="0"/>
    <x v="0"/>
    <n v="63004"/>
    <n v="63004"/>
    <n v="63004"/>
    <n v="63004"/>
    <n v="61480"/>
    <n v="60078"/>
    <n v="58058"/>
    <x v="7"/>
    <n v="1"/>
    <n v="5"/>
    <n v="5"/>
    <d v="2016-07-06T00:00:00"/>
    <s v="Manager, Medium Market"/>
    <m/>
    <m/>
    <m/>
    <m/>
    <n v="4"/>
    <n v="3"/>
    <n v="3"/>
    <n v="4"/>
    <n v="1"/>
    <n v="4"/>
    <n v="2"/>
  </r>
  <r>
    <n v="150"/>
    <n v="5331"/>
    <d v="1995-11-06T00:00:00"/>
    <n v="30"/>
    <x v="1"/>
    <x v="1"/>
    <d v="2015-05-15T00:00:00"/>
    <n v="10.638356164383561"/>
    <x v="60"/>
    <x v="1"/>
    <x v="1"/>
    <x v="1"/>
    <n v="15.81"/>
    <n v="15.51"/>
    <n v="15.21"/>
    <n v="14.91"/>
    <n v="14.61"/>
    <n v="14.31"/>
    <n v="14.01"/>
    <x v="2"/>
    <n v="1"/>
    <n v="5"/>
    <m/>
    <m/>
    <m/>
    <m/>
    <m/>
    <m/>
    <m/>
    <m/>
    <m/>
    <m/>
    <m/>
    <m/>
    <m/>
    <m/>
  </r>
  <r>
    <n v="151"/>
    <n v="5346"/>
    <d v="1992-11-28T00:00:00"/>
    <n v="33"/>
    <x v="0"/>
    <x v="1"/>
    <d v="2015-05-15T00:00:00"/>
    <n v="10.638356164383561"/>
    <x v="60"/>
    <x v="1"/>
    <x v="7"/>
    <x v="1"/>
    <n v="16.78"/>
    <n v="16.48"/>
    <n v="16.18"/>
    <n v="15.88"/>
    <n v="15.58"/>
    <n v="15.28"/>
    <n v="14.98"/>
    <x v="3"/>
    <n v="1"/>
    <n v="4"/>
    <m/>
    <m/>
    <m/>
    <m/>
    <m/>
    <m/>
    <m/>
    <m/>
    <m/>
    <m/>
    <m/>
    <m/>
    <m/>
    <m/>
  </r>
  <r>
    <n v="152"/>
    <n v="5368"/>
    <d v="1989-09-07T00:00:00"/>
    <n v="36"/>
    <x v="0"/>
    <x v="0"/>
    <d v="2015-05-15T00:00:00"/>
    <n v="10.638356164383561"/>
    <x v="61"/>
    <x v="0"/>
    <x v="0"/>
    <x v="0"/>
    <n v="68092"/>
    <n v="67051"/>
    <n v="65119"/>
    <n v="65119"/>
    <n v="59449"/>
    <n v="57199"/>
    <n v="54949"/>
    <x v="7"/>
    <n v="2"/>
    <n v="5"/>
    <n v="5"/>
    <d v="2016-11-06T00:00:00"/>
    <s v="Assistant Manager, Medium Market"/>
    <d v="2018-11-17T00:00:00"/>
    <s v="Assistant Manager, Large Market"/>
    <d v="2021-02-17T00:00:00"/>
    <s v="Manager, Medium Market"/>
    <n v="4"/>
    <n v="4"/>
    <n v="2"/>
    <n v="5"/>
    <n v="5"/>
    <n v="5"/>
    <n v="5"/>
  </r>
  <r>
    <n v="153"/>
    <n v="5376"/>
    <d v="1996-03-21T00:00:00"/>
    <n v="29"/>
    <x v="0"/>
    <x v="1"/>
    <d v="2015-05-15T00:00:00"/>
    <n v="10.638356164383561"/>
    <x v="62"/>
    <x v="1"/>
    <x v="1"/>
    <x v="1"/>
    <n v="15.81"/>
    <n v="15.51"/>
    <n v="15.21"/>
    <n v="14.91"/>
    <n v="14.61"/>
    <n v="14.31"/>
    <n v="14.01"/>
    <x v="2"/>
    <n v="1"/>
    <n v="2"/>
    <m/>
    <m/>
    <m/>
    <m/>
    <m/>
    <m/>
    <m/>
    <m/>
    <m/>
    <m/>
    <m/>
    <m/>
    <m/>
    <m/>
  </r>
  <r>
    <n v="154"/>
    <n v="5391"/>
    <d v="1991-12-05T00:00:00"/>
    <n v="34"/>
    <x v="0"/>
    <x v="1"/>
    <d v="2015-05-15T00:00:00"/>
    <n v="10.638356164383561"/>
    <x v="62"/>
    <x v="1"/>
    <x v="7"/>
    <x v="1"/>
    <n v="16.78"/>
    <n v="16.48"/>
    <n v="16.18"/>
    <n v="15.88"/>
    <n v="15.58"/>
    <n v="15.28"/>
    <n v="14.98"/>
    <x v="2"/>
    <n v="1"/>
    <n v="4"/>
    <m/>
    <m/>
    <m/>
    <m/>
    <m/>
    <m/>
    <m/>
    <m/>
    <m/>
    <m/>
    <m/>
    <m/>
    <m/>
    <m/>
  </r>
  <r>
    <n v="155"/>
    <n v="5548"/>
    <d v="1988-03-15T00:00:00"/>
    <n v="37"/>
    <x v="1"/>
    <x v="1"/>
    <d v="2015-05-15T00:00:00"/>
    <n v="10.638356164383561"/>
    <x v="63"/>
    <x v="0"/>
    <x v="0"/>
    <x v="0"/>
    <n v="73274"/>
    <n v="73274"/>
    <n v="71090"/>
    <n v="66935"/>
    <n v="65435"/>
    <n v="63935"/>
    <n v="62435"/>
    <x v="5"/>
    <n v="1"/>
    <n v="5"/>
    <n v="5"/>
    <d v="2017-02-04T00:00:00"/>
    <s v="Assistant Manager, Medium Market"/>
    <d v="2018-12-18T00:00:00"/>
    <s v="Assistant Manager, Large Market"/>
    <d v="2022-05-07T00:00:00"/>
    <s v="Manager, Medium Market"/>
    <n v="2"/>
    <n v="2"/>
    <n v="2"/>
    <n v="2"/>
    <n v="2"/>
    <n v="5"/>
    <n v="4"/>
  </r>
  <r>
    <n v="156"/>
    <n v="5605"/>
    <d v="1997-07-23T00:00:00"/>
    <n v="28"/>
    <x v="0"/>
    <x v="0"/>
    <d v="2015-05-15T00:00:00"/>
    <n v="10.638356164383561"/>
    <x v="64"/>
    <x v="1"/>
    <x v="3"/>
    <x v="1"/>
    <n v="17.03"/>
    <n v="16.73"/>
    <n v="16.43"/>
    <n v="16.13"/>
    <n v="15.83"/>
    <n v="15.53"/>
    <n v="15.23"/>
    <x v="2"/>
    <n v="3"/>
    <n v="3"/>
    <m/>
    <m/>
    <m/>
    <m/>
    <m/>
    <m/>
    <m/>
    <m/>
    <m/>
    <m/>
    <m/>
    <m/>
    <m/>
    <m/>
  </r>
  <r>
    <n v="157"/>
    <n v="5653"/>
    <d v="1988-01-29T00:00:00"/>
    <n v="37"/>
    <x v="1"/>
    <x v="1"/>
    <d v="2015-05-15T00:00:00"/>
    <n v="10.638356164383561"/>
    <x v="65"/>
    <x v="1"/>
    <x v="4"/>
    <x v="1"/>
    <n v="31.69"/>
    <n v="31.39"/>
    <n v="31.09"/>
    <n v="30.79"/>
    <n v="30.49"/>
    <n v="30.19"/>
    <n v="29.89"/>
    <x v="3"/>
    <n v="0"/>
    <n v="6"/>
    <m/>
    <m/>
    <m/>
    <m/>
    <m/>
    <m/>
    <m/>
    <m/>
    <m/>
    <m/>
    <m/>
    <m/>
    <m/>
    <m/>
  </r>
  <r>
    <n v="158"/>
    <n v="5655"/>
    <d v="1992-02-26T00:00:00"/>
    <n v="33"/>
    <x v="0"/>
    <x v="1"/>
    <d v="2015-05-15T00:00:00"/>
    <n v="10.638356164383561"/>
    <x v="65"/>
    <x v="1"/>
    <x v="5"/>
    <x v="1"/>
    <n v="21.6"/>
    <n v="21.3"/>
    <n v="21"/>
    <n v="20.7"/>
    <n v="20.399999999999999"/>
    <n v="20.100000000000001"/>
    <n v="19.8"/>
    <x v="2"/>
    <n v="4"/>
    <n v="3"/>
    <m/>
    <m/>
    <m/>
    <m/>
    <m/>
    <m/>
    <m/>
    <m/>
    <m/>
    <m/>
    <m/>
    <m/>
    <m/>
    <m/>
  </r>
  <r>
    <n v="159"/>
    <n v="5659"/>
    <d v="1989-12-13T00:00:00"/>
    <n v="36"/>
    <x v="0"/>
    <x v="1"/>
    <d v="2015-05-15T00:00:00"/>
    <n v="10.638356164383561"/>
    <x v="65"/>
    <x v="1"/>
    <x v="7"/>
    <x v="1"/>
    <n v="16.78"/>
    <n v="16.48"/>
    <n v="16.18"/>
    <n v="15.88"/>
    <n v="15.58"/>
    <n v="15.28"/>
    <n v="14.98"/>
    <x v="2"/>
    <n v="0"/>
    <n v="5"/>
    <m/>
    <m/>
    <m/>
    <m/>
    <m/>
    <m/>
    <m/>
    <m/>
    <m/>
    <m/>
    <m/>
    <m/>
    <m/>
    <m/>
  </r>
  <r>
    <n v="160"/>
    <n v="5696"/>
    <d v="1996-02-21T00:00:00"/>
    <n v="29"/>
    <x v="0"/>
    <x v="1"/>
    <d v="2015-05-15T00:00:00"/>
    <n v="10.638356164383561"/>
    <x v="66"/>
    <x v="1"/>
    <x v="3"/>
    <x v="1"/>
    <n v="17.03"/>
    <n v="16.73"/>
    <n v="16.43"/>
    <n v="16.13"/>
    <n v="15.83"/>
    <n v="15.53"/>
    <n v="15.23"/>
    <x v="2"/>
    <n v="0"/>
    <n v="4"/>
    <m/>
    <m/>
    <m/>
    <m/>
    <m/>
    <m/>
    <m/>
    <m/>
    <m/>
    <m/>
    <m/>
    <m/>
    <m/>
    <m/>
  </r>
  <r>
    <n v="161"/>
    <n v="5705"/>
    <d v="1987-08-22T00:00:00"/>
    <n v="38"/>
    <x v="0"/>
    <x v="0"/>
    <d v="2015-05-15T00:00:00"/>
    <n v="10.638356164383561"/>
    <x v="66"/>
    <x v="1"/>
    <x v="7"/>
    <x v="1"/>
    <n v="16.78"/>
    <n v="16.48"/>
    <n v="16.18"/>
    <n v="15.88"/>
    <n v="15.58"/>
    <n v="15.28"/>
    <n v="14.98"/>
    <x v="2"/>
    <n v="2"/>
    <n v="4"/>
    <m/>
    <m/>
    <m/>
    <m/>
    <m/>
    <m/>
    <m/>
    <m/>
    <m/>
    <m/>
    <m/>
    <m/>
    <m/>
    <m/>
  </r>
  <r>
    <n v="162"/>
    <n v="5727"/>
    <d v="1982-04-16T00:00:00"/>
    <n v="43"/>
    <x v="1"/>
    <x v="0"/>
    <d v="2015-05-15T00:00:00"/>
    <n v="10.638356164383561"/>
    <x v="67"/>
    <x v="0"/>
    <x v="0"/>
    <x v="0"/>
    <n v="84006"/>
    <n v="82506"/>
    <n v="81006"/>
    <n v="78756"/>
    <n v="76881"/>
    <n v="75381"/>
    <n v="73881"/>
    <x v="7"/>
    <n v="2"/>
    <n v="7"/>
    <n v="6"/>
    <d v="2017-11-15T00:00:00"/>
    <s v="Manager, Medium Market"/>
    <m/>
    <m/>
    <m/>
    <m/>
    <n v="4"/>
    <n v="3"/>
    <n v="3"/>
    <n v="5"/>
    <n v="4"/>
    <n v="3"/>
    <n v="3"/>
  </r>
  <r>
    <n v="163"/>
    <n v="5738"/>
    <d v="1977-02-10T00:00:00"/>
    <n v="48"/>
    <x v="1"/>
    <x v="0"/>
    <d v="2015-05-15T00:00:00"/>
    <n v="10.638356164383561"/>
    <x v="68"/>
    <x v="1"/>
    <x v="2"/>
    <x v="1"/>
    <n v="14.1"/>
    <n v="13.8"/>
    <n v="13.5"/>
    <n v="13.2"/>
    <n v="12.9"/>
    <n v="12.6"/>
    <n v="12.3"/>
    <x v="3"/>
    <n v="0"/>
    <n v="3"/>
    <m/>
    <m/>
    <m/>
    <m/>
    <m/>
    <m/>
    <m/>
    <m/>
    <m/>
    <m/>
    <m/>
    <m/>
    <m/>
    <m/>
  </r>
  <r>
    <n v="164"/>
    <n v="5782"/>
    <d v="1988-08-26T00:00:00"/>
    <n v="37"/>
    <x v="1"/>
    <x v="1"/>
    <d v="2015-05-15T00:00:00"/>
    <n v="10.638356164383561"/>
    <x v="69"/>
    <x v="1"/>
    <x v="2"/>
    <x v="1"/>
    <n v="14.1"/>
    <n v="13.8"/>
    <n v="13.5"/>
    <n v="13.2"/>
    <n v="12.9"/>
    <n v="12.6"/>
    <n v="12.3"/>
    <x v="2"/>
    <n v="0"/>
    <n v="3"/>
    <m/>
    <m/>
    <m/>
    <m/>
    <m/>
    <m/>
    <m/>
    <m/>
    <m/>
    <m/>
    <m/>
    <m/>
    <m/>
    <m/>
  </r>
  <r>
    <n v="165"/>
    <n v="5873"/>
    <d v="1996-02-02T00:00:00"/>
    <n v="29"/>
    <x v="0"/>
    <x v="1"/>
    <d v="2015-05-15T00:00:00"/>
    <n v="10.638356164383561"/>
    <x v="70"/>
    <x v="1"/>
    <x v="2"/>
    <x v="1"/>
    <n v="14.1"/>
    <n v="13.8"/>
    <n v="13.5"/>
    <n v="13.2"/>
    <n v="12.9"/>
    <n v="12.6"/>
    <n v="12.3"/>
    <x v="2"/>
    <n v="1"/>
    <n v="2"/>
    <m/>
    <m/>
    <m/>
    <m/>
    <m/>
    <m/>
    <m/>
    <m/>
    <m/>
    <m/>
    <m/>
    <m/>
    <m/>
    <m/>
  </r>
  <r>
    <n v="166"/>
    <n v="5876"/>
    <d v="1996-01-01T00:00:00"/>
    <n v="30"/>
    <x v="1"/>
    <x v="1"/>
    <d v="2015-05-15T00:00:00"/>
    <n v="10.638356164383561"/>
    <x v="70"/>
    <x v="1"/>
    <x v="3"/>
    <x v="1"/>
    <n v="17.03"/>
    <n v="16.73"/>
    <n v="16.43"/>
    <n v="16.13"/>
    <n v="15.83"/>
    <n v="15.53"/>
    <n v="15.23"/>
    <x v="3"/>
    <n v="0"/>
    <n v="6"/>
    <m/>
    <m/>
    <m/>
    <m/>
    <m/>
    <m/>
    <m/>
    <m/>
    <m/>
    <m/>
    <m/>
    <m/>
    <m/>
    <m/>
  </r>
  <r>
    <n v="167"/>
    <n v="5915"/>
    <d v="1994-01-08T00:00:00"/>
    <n v="31"/>
    <x v="0"/>
    <x v="1"/>
    <d v="2015-05-15T00:00:00"/>
    <n v="10.638356164383561"/>
    <x v="71"/>
    <x v="1"/>
    <x v="1"/>
    <x v="1"/>
    <n v="15.81"/>
    <n v="15.51"/>
    <n v="15.21"/>
    <n v="14.91"/>
    <n v="14.61"/>
    <n v="14.31"/>
    <n v="14.01"/>
    <x v="4"/>
    <n v="1"/>
    <n v="4"/>
    <m/>
    <m/>
    <m/>
    <m/>
    <m/>
    <m/>
    <m/>
    <m/>
    <m/>
    <m/>
    <m/>
    <m/>
    <m/>
    <m/>
  </r>
  <r>
    <n v="168"/>
    <n v="5916"/>
    <d v="1982-02-18T00:00:00"/>
    <n v="43"/>
    <x v="1"/>
    <x v="1"/>
    <d v="2015-05-15T00:00:00"/>
    <n v="10.638356164383561"/>
    <x v="71"/>
    <x v="1"/>
    <x v="1"/>
    <x v="1"/>
    <n v="15.81"/>
    <n v="15.51"/>
    <n v="15.21"/>
    <n v="14.91"/>
    <n v="14.61"/>
    <n v="14.31"/>
    <n v="14.01"/>
    <x v="2"/>
    <n v="0"/>
    <n v="4"/>
    <m/>
    <m/>
    <m/>
    <m/>
    <m/>
    <m/>
    <m/>
    <m/>
    <m/>
    <m/>
    <m/>
    <m/>
    <m/>
    <m/>
  </r>
  <r>
    <n v="169"/>
    <n v="6012"/>
    <d v="1978-10-05T00:00:00"/>
    <n v="47"/>
    <x v="1"/>
    <x v="0"/>
    <d v="2015-05-15T00:00:00"/>
    <n v="10.638356164383561"/>
    <x v="72"/>
    <x v="1"/>
    <x v="4"/>
    <x v="1"/>
    <n v="34.46"/>
    <n v="34.11"/>
    <n v="33.9"/>
    <n v="33.68"/>
    <n v="33.31"/>
    <n v="32.94"/>
    <n v="32.520000000000003"/>
    <x v="3"/>
    <n v="0"/>
    <n v="5"/>
    <m/>
    <m/>
    <m/>
    <m/>
    <m/>
    <m/>
    <m/>
    <m/>
    <m/>
    <m/>
    <m/>
    <m/>
    <m/>
    <m/>
  </r>
  <r>
    <n v="170"/>
    <n v="6043"/>
    <d v="1989-09-16T00:00:00"/>
    <n v="36"/>
    <x v="1"/>
    <x v="1"/>
    <d v="2015-05-15T00:00:00"/>
    <n v="10.638356164383561"/>
    <x v="73"/>
    <x v="0"/>
    <x v="0"/>
    <x v="0"/>
    <n v="64324"/>
    <n v="62449"/>
    <n v="60574"/>
    <n v="58699"/>
    <n v="56824"/>
    <n v="55699"/>
    <n v="51199"/>
    <x v="10"/>
    <n v="1"/>
    <n v="7"/>
    <n v="7"/>
    <d v="2017-01-22T00:00:00"/>
    <s v="Assistant Manager, Medium Market"/>
    <d v="2018-04-11T00:00:00"/>
    <s v="Assistant Manager, Large Market"/>
    <d v="2019-12-14T00:00:00"/>
    <s v="Manager, Medium Market"/>
    <n v="4"/>
    <n v="4"/>
    <n v="4"/>
    <n v="4"/>
    <n v="4"/>
    <n v="2"/>
    <n v="3"/>
  </r>
  <r>
    <n v="171"/>
    <n v="6050"/>
    <d v="1996-03-26T00:00:00"/>
    <n v="29"/>
    <x v="1"/>
    <x v="0"/>
    <d v="2015-05-15T00:00:00"/>
    <n v="10.638356164383561"/>
    <x v="74"/>
    <x v="1"/>
    <x v="1"/>
    <x v="1"/>
    <n v="15.81"/>
    <n v="15.51"/>
    <n v="15.21"/>
    <n v="14.91"/>
    <n v="14.61"/>
    <n v="14.31"/>
    <n v="14.01"/>
    <x v="2"/>
    <n v="0"/>
    <n v="4"/>
    <m/>
    <m/>
    <m/>
    <m/>
    <m/>
    <m/>
    <m/>
    <m/>
    <m/>
    <m/>
    <m/>
    <m/>
    <m/>
    <m/>
  </r>
  <r>
    <n v="172"/>
    <n v="6101"/>
    <d v="1993-08-04T00:00:00"/>
    <n v="32"/>
    <x v="0"/>
    <x v="1"/>
    <d v="2015-05-15T00:00:00"/>
    <n v="10.638356164383561"/>
    <x v="75"/>
    <x v="1"/>
    <x v="3"/>
    <x v="1"/>
    <n v="17.03"/>
    <n v="16.73"/>
    <n v="16.43"/>
    <n v="16.13"/>
    <n v="15.83"/>
    <n v="15.53"/>
    <n v="15.23"/>
    <x v="3"/>
    <n v="2"/>
    <n v="4"/>
    <m/>
    <m/>
    <m/>
    <m/>
    <m/>
    <m/>
    <m/>
    <m/>
    <m/>
    <m/>
    <m/>
    <m/>
    <m/>
    <m/>
  </r>
  <r>
    <n v="173"/>
    <n v="6186"/>
    <d v="1997-09-06T00:00:00"/>
    <n v="28"/>
    <x v="0"/>
    <x v="1"/>
    <d v="2015-05-15T00:00:00"/>
    <n v="10.638356164383561"/>
    <x v="76"/>
    <x v="1"/>
    <x v="1"/>
    <x v="1"/>
    <n v="15.81"/>
    <n v="15.51"/>
    <n v="15.21"/>
    <n v="14.91"/>
    <n v="14.61"/>
    <n v="14.31"/>
    <n v="14.01"/>
    <x v="2"/>
    <n v="0"/>
    <n v="3"/>
    <m/>
    <m/>
    <m/>
    <m/>
    <m/>
    <m/>
    <m/>
    <m/>
    <m/>
    <m/>
    <m/>
    <m/>
    <m/>
    <m/>
  </r>
  <r>
    <n v="174"/>
    <n v="6189"/>
    <d v="1995-04-16T00:00:00"/>
    <n v="30"/>
    <x v="1"/>
    <x v="1"/>
    <d v="2015-05-15T00:00:00"/>
    <n v="10.638356164383561"/>
    <x v="76"/>
    <x v="1"/>
    <x v="9"/>
    <x v="1"/>
    <n v="13.97"/>
    <n v="13.67"/>
    <n v="13.37"/>
    <n v="13.07"/>
    <n v="12.77"/>
    <n v="12.47"/>
    <n v="12.17"/>
    <x v="3"/>
    <n v="0"/>
    <n v="5"/>
    <m/>
    <m/>
    <m/>
    <m/>
    <m/>
    <m/>
    <m/>
    <m/>
    <m/>
    <m/>
    <m/>
    <m/>
    <m/>
    <m/>
  </r>
  <r>
    <n v="175"/>
    <n v="6200"/>
    <d v="1992-05-01T00:00:00"/>
    <n v="34"/>
    <x v="0"/>
    <x v="1"/>
    <d v="2015-05-15T00:00:00"/>
    <n v="10.638356164383561"/>
    <x v="76"/>
    <x v="1"/>
    <x v="7"/>
    <x v="1"/>
    <n v="16.78"/>
    <n v="16.48"/>
    <n v="16.18"/>
    <n v="15.88"/>
    <n v="15.58"/>
    <n v="15.28"/>
    <n v="14.98"/>
    <x v="2"/>
    <n v="4"/>
    <n v="6"/>
    <m/>
    <m/>
    <m/>
    <m/>
    <m/>
    <m/>
    <m/>
    <m/>
    <m/>
    <m/>
    <m/>
    <m/>
    <m/>
    <m/>
  </r>
  <r>
    <n v="176"/>
    <n v="6222"/>
    <d v="1965-08-31T00:00:00"/>
    <n v="60"/>
    <x v="0"/>
    <x v="0"/>
    <d v="2015-05-15T00:00:00"/>
    <n v="10.638356164383561"/>
    <x v="77"/>
    <x v="0"/>
    <x v="0"/>
    <x v="0"/>
    <n v="90381"/>
    <n v="88131"/>
    <n v="85131"/>
    <n v="82131"/>
    <n v="79881"/>
    <n v="77631"/>
    <n v="74631"/>
    <x v="10"/>
    <n v="1"/>
    <n v="4"/>
    <n v="2"/>
    <d v="2017-12-04T00:00:00"/>
    <s v="Manager, Medium Market"/>
    <m/>
    <m/>
    <m/>
    <m/>
    <n v="4"/>
    <n v="4"/>
    <n v="5"/>
    <n v="5"/>
    <n v="4"/>
    <n v="4"/>
    <n v="5"/>
  </r>
  <r>
    <n v="177"/>
    <n v="6313"/>
    <d v="1990-12-26T00:00:00"/>
    <n v="35"/>
    <x v="0"/>
    <x v="1"/>
    <d v="2015-05-15T00:00:00"/>
    <n v="10.638356164383561"/>
    <x v="78"/>
    <x v="0"/>
    <x v="0"/>
    <x v="0"/>
    <n v="59199"/>
    <n v="58449"/>
    <n v="57699"/>
    <n v="56199"/>
    <n v="54699"/>
    <n v="53199"/>
    <n v="51699"/>
    <x v="8"/>
    <n v="2"/>
    <n v="4"/>
    <n v="4"/>
    <d v="2016-10-10T00:00:00"/>
    <s v="Assistant Manager, Medium Market"/>
    <d v="2018-04-06T00:00:00"/>
    <s v="Assistant Manager, Large Market"/>
    <d v="2022-10-22T00:00:00"/>
    <s v="Manager, Medium Market"/>
    <n v="4"/>
    <n v="1"/>
    <n v="1"/>
    <n v="4"/>
    <n v="5"/>
    <n v="5"/>
    <n v="5"/>
  </r>
  <r>
    <n v="178"/>
    <n v="6321"/>
    <d v="1995-12-13T00:00:00"/>
    <n v="30"/>
    <x v="0"/>
    <x v="1"/>
    <d v="2015-05-15T00:00:00"/>
    <n v="10.638356164383561"/>
    <x v="79"/>
    <x v="1"/>
    <x v="1"/>
    <x v="1"/>
    <n v="15.81"/>
    <n v="15.51"/>
    <n v="15.21"/>
    <n v="14.91"/>
    <n v="14.61"/>
    <n v="14.31"/>
    <n v="14.01"/>
    <x v="2"/>
    <n v="1"/>
    <n v="3"/>
    <m/>
    <m/>
    <m/>
    <m/>
    <m/>
    <m/>
    <m/>
    <m/>
    <m/>
    <m/>
    <m/>
    <m/>
    <m/>
    <m/>
  </r>
  <r>
    <n v="179"/>
    <n v="6357"/>
    <d v="1979-09-12T00:00:00"/>
    <n v="46"/>
    <x v="0"/>
    <x v="0"/>
    <d v="2015-05-15T00:00:00"/>
    <n v="10.638356164383561"/>
    <x v="7"/>
    <x v="0"/>
    <x v="0"/>
    <x v="0"/>
    <n v="84538"/>
    <n v="82288"/>
    <n v="80038"/>
    <n v="77788"/>
    <n v="75538"/>
    <n v="73288"/>
    <n v="71038"/>
    <x v="8"/>
    <n v="2"/>
    <n v="5"/>
    <n v="3"/>
    <d v="2017-08-20T00:00:00"/>
    <s v="Manager, Medium Market"/>
    <m/>
    <m/>
    <m/>
    <m/>
    <n v="5"/>
    <n v="5"/>
    <n v="5"/>
    <n v="5"/>
    <n v="5"/>
    <n v="5"/>
    <n v="5"/>
  </r>
  <r>
    <n v="180"/>
    <n v="6501"/>
    <d v="1988-02-25T00:00:00"/>
    <n v="37"/>
    <x v="0"/>
    <x v="1"/>
    <d v="2015-05-15T00:00:00"/>
    <n v="10.638356164383561"/>
    <x v="80"/>
    <x v="1"/>
    <x v="1"/>
    <x v="1"/>
    <n v="10.73"/>
    <n v="10.58"/>
    <n v="10.43"/>
    <n v="10.28"/>
    <n v="10.28"/>
    <n v="10.130000000000001"/>
    <n v="9.98"/>
    <x v="2"/>
    <n v="0"/>
    <n v="4"/>
    <m/>
    <m/>
    <m/>
    <m/>
    <m/>
    <m/>
    <m/>
    <m/>
    <m/>
    <m/>
    <m/>
    <m/>
    <m/>
    <m/>
  </r>
  <r>
    <n v="181"/>
    <n v="6627"/>
    <d v="1978-06-12T00:00:00"/>
    <n v="47"/>
    <x v="0"/>
    <x v="1"/>
    <d v="2015-05-15T00:00:00"/>
    <n v="10.638356164383561"/>
    <x v="12"/>
    <x v="0"/>
    <x v="0"/>
    <x v="0"/>
    <n v="79506"/>
    <n v="78006"/>
    <n v="76506"/>
    <n v="75006"/>
    <n v="74256"/>
    <n v="72756"/>
    <n v="72006"/>
    <x v="7"/>
    <n v="2"/>
    <n v="4"/>
    <n v="4"/>
    <d v="2017-11-06T00:00:00"/>
    <s v="Manager, Medium Market"/>
    <m/>
    <m/>
    <m/>
    <m/>
    <n v="3"/>
    <n v="3"/>
    <n v="3"/>
    <n v="3"/>
    <n v="2"/>
    <n v="3"/>
    <n v="2"/>
  </r>
  <r>
    <n v="182"/>
    <n v="6636"/>
    <d v="1991-03-03T00:00:00"/>
    <n v="34"/>
    <x v="1"/>
    <x v="0"/>
    <d v="2015-05-15T00:00:00"/>
    <n v="10.638356164383561"/>
    <x v="81"/>
    <x v="1"/>
    <x v="1"/>
    <x v="1"/>
    <n v="15.81"/>
    <n v="15.51"/>
    <n v="15.21"/>
    <n v="14.91"/>
    <n v="14.61"/>
    <n v="14.31"/>
    <n v="14.01"/>
    <x v="4"/>
    <n v="1"/>
    <n v="4"/>
    <m/>
    <m/>
    <m/>
    <m/>
    <m/>
    <m/>
    <m/>
    <m/>
    <m/>
    <m/>
    <m/>
    <m/>
    <m/>
    <m/>
  </r>
  <r>
    <n v="183"/>
    <n v="6640"/>
    <d v="1995-08-14T00:00:00"/>
    <n v="30"/>
    <x v="1"/>
    <x v="1"/>
    <d v="2015-05-15T00:00:00"/>
    <n v="10.638356164383561"/>
    <x v="81"/>
    <x v="1"/>
    <x v="3"/>
    <x v="1"/>
    <n v="17.03"/>
    <n v="16.73"/>
    <n v="16.43"/>
    <n v="16.13"/>
    <n v="15.83"/>
    <n v="15.53"/>
    <n v="15.23"/>
    <x v="4"/>
    <n v="2"/>
    <n v="6"/>
    <m/>
    <m/>
    <m/>
    <m/>
    <m/>
    <m/>
    <m/>
    <m/>
    <m/>
    <m/>
    <m/>
    <m/>
    <m/>
    <m/>
  </r>
  <r>
    <n v="184"/>
    <n v="6648"/>
    <d v="1986-12-08T00:00:00"/>
    <n v="39"/>
    <x v="0"/>
    <x v="1"/>
    <d v="2015-05-15T00:00:00"/>
    <n v="10.638356164383561"/>
    <x v="81"/>
    <x v="1"/>
    <x v="6"/>
    <x v="1"/>
    <n v="21.74"/>
    <n v="21.44"/>
    <n v="21.14"/>
    <n v="20.84"/>
    <n v="20.54"/>
    <n v="20.239999999999998"/>
    <n v="19.940000000000001"/>
    <x v="3"/>
    <n v="4"/>
    <n v="4"/>
    <m/>
    <m/>
    <m/>
    <m/>
    <m/>
    <m/>
    <m/>
    <m/>
    <m/>
    <m/>
    <m/>
    <m/>
    <m/>
    <m/>
  </r>
  <r>
    <n v="185"/>
    <n v="6763"/>
    <d v="1989-07-11T00:00:00"/>
    <n v="36"/>
    <x v="1"/>
    <x v="1"/>
    <d v="2015-05-15T00:00:00"/>
    <n v="10.638356164383561"/>
    <x v="82"/>
    <x v="0"/>
    <x v="0"/>
    <x v="0"/>
    <n v="58617"/>
    <n v="57867"/>
    <n v="57117"/>
    <n v="56367"/>
    <n v="56367"/>
    <n v="54117"/>
    <n v="52617"/>
    <x v="7"/>
    <n v="0"/>
    <n v="5"/>
    <n v="5"/>
    <d v="2016-10-17T00:00:00"/>
    <s v="Assistant Manager, Medium Market"/>
    <d v="2018-05-18T00:00:00"/>
    <s v="Assistant Manager, Large Market"/>
    <d v="2020-03-19T00:00:00"/>
    <s v="Manager, Medium Market"/>
    <n v="4"/>
    <n v="4"/>
    <n v="2"/>
    <n v="2"/>
    <n v="4"/>
    <n v="5"/>
    <n v="5"/>
  </r>
  <r>
    <n v="186"/>
    <n v="6808"/>
    <d v="1988-12-13T00:00:00"/>
    <n v="37"/>
    <x v="1"/>
    <x v="1"/>
    <d v="2015-05-15T00:00:00"/>
    <n v="10.638356164383561"/>
    <x v="83"/>
    <x v="0"/>
    <x v="0"/>
    <x v="0"/>
    <n v="64324"/>
    <n v="63574"/>
    <n v="61324"/>
    <n v="59449"/>
    <n v="57949"/>
    <n v="56824"/>
    <n v="55699"/>
    <x v="7"/>
    <n v="0"/>
    <n v="4"/>
    <n v="5"/>
    <d v="2016-07-27T00:00:00"/>
    <s v="Assistant Manager, Medium Market"/>
    <d v="2019-01-01T00:00:00"/>
    <s v="Assistant Manager, Large Market"/>
    <d v="2023-09-04T00:00:00"/>
    <s v="Manager, Medium Market"/>
    <n v="3"/>
    <n v="4"/>
    <n v="3"/>
    <n v="4"/>
    <n v="3"/>
    <n v="2"/>
    <n v="2"/>
  </r>
  <r>
    <n v="187"/>
    <n v="6956"/>
    <d v="1995-07-03T00:00:00"/>
    <n v="30"/>
    <x v="1"/>
    <x v="1"/>
    <d v="2015-05-15T00:00:00"/>
    <n v="10.638356164383561"/>
    <x v="84"/>
    <x v="1"/>
    <x v="3"/>
    <x v="1"/>
    <n v="17.03"/>
    <n v="16.73"/>
    <n v="16.43"/>
    <n v="16.13"/>
    <n v="15.83"/>
    <n v="15.53"/>
    <n v="15.23"/>
    <x v="2"/>
    <n v="2"/>
    <n v="6"/>
    <m/>
    <m/>
    <m/>
    <m/>
    <m/>
    <m/>
    <m/>
    <m/>
    <m/>
    <m/>
    <m/>
    <m/>
    <m/>
    <m/>
  </r>
  <r>
    <n v="188"/>
    <n v="6988"/>
    <d v="1989-10-23T00:00:00"/>
    <n v="36"/>
    <x v="0"/>
    <x v="1"/>
    <d v="2015-05-15T00:00:00"/>
    <n v="10.638356164383561"/>
    <x v="85"/>
    <x v="1"/>
    <x v="0"/>
    <x v="0"/>
    <n v="50774"/>
    <n v="49712"/>
    <n v="47938"/>
    <n v="46589"/>
    <n v="44941"/>
    <n v="44941"/>
    <n v="42781"/>
    <x v="9"/>
    <n v="0"/>
    <n v="3"/>
    <n v="3"/>
    <d v="2016-03-18T00:00:00"/>
    <s v="Assistant Manager, Medium Market"/>
    <d v="2018-05-10T00:00:00"/>
    <s v="Assistant Manager, Large Market"/>
    <m/>
    <m/>
    <n v="3"/>
    <n v="2"/>
    <n v="4"/>
    <n v="3"/>
    <n v="4"/>
    <n v="5"/>
    <n v="5"/>
  </r>
  <r>
    <n v="189"/>
    <n v="7042"/>
    <d v="1986-12-20T00:00:00"/>
    <n v="39"/>
    <x v="1"/>
    <x v="1"/>
    <d v="2015-05-15T00:00:00"/>
    <n v="10.638356164383561"/>
    <x v="86"/>
    <x v="1"/>
    <x v="2"/>
    <x v="1"/>
    <n v="14.1"/>
    <n v="13.8"/>
    <n v="13.5"/>
    <n v="13.2"/>
    <n v="12.9"/>
    <n v="12.6"/>
    <n v="12.3"/>
    <x v="2"/>
    <n v="0"/>
    <n v="4"/>
    <m/>
    <m/>
    <m/>
    <m/>
    <m/>
    <m/>
    <m/>
    <m/>
    <m/>
    <m/>
    <m/>
    <m/>
    <m/>
    <m/>
  </r>
  <r>
    <n v="190"/>
    <n v="7054"/>
    <d v="1991-06-05T00:00:00"/>
    <n v="34"/>
    <x v="0"/>
    <x v="1"/>
    <d v="2015-05-15T00:00:00"/>
    <n v="10.638356164383561"/>
    <x v="86"/>
    <x v="1"/>
    <x v="7"/>
    <x v="1"/>
    <n v="16.78"/>
    <n v="16.48"/>
    <n v="16.18"/>
    <n v="15.88"/>
    <n v="15.58"/>
    <n v="15.28"/>
    <n v="14.98"/>
    <x v="2"/>
    <n v="0"/>
    <n v="3"/>
    <m/>
    <m/>
    <m/>
    <m/>
    <m/>
    <m/>
    <m/>
    <m/>
    <m/>
    <m/>
    <m/>
    <m/>
    <m/>
    <m/>
  </r>
  <r>
    <n v="191"/>
    <n v="7055"/>
    <d v="1986-08-15T00:00:00"/>
    <n v="39"/>
    <x v="1"/>
    <x v="1"/>
    <d v="2015-05-15T00:00:00"/>
    <n v="9.4219178082191775"/>
    <x v="86"/>
    <x v="1"/>
    <x v="7"/>
    <x v="1"/>
    <n v="16.78"/>
    <n v="16.48"/>
    <n v="16.18"/>
    <n v="15.88"/>
    <n v="15.58"/>
    <n v="15.28"/>
    <n v="14.98"/>
    <x v="2"/>
    <n v="0"/>
    <n v="5"/>
    <m/>
    <m/>
    <m/>
    <m/>
    <m/>
    <m/>
    <m/>
    <m/>
    <m/>
    <m/>
    <m/>
    <m/>
    <m/>
    <m/>
  </r>
  <r>
    <n v="192"/>
    <n v="7438"/>
    <d v="1990-08-27T00:00:00"/>
    <n v="35"/>
    <x v="1"/>
    <x v="0"/>
    <d v="2016-08-01T00:00:00"/>
    <n v="8.4219178082191775"/>
    <x v="87"/>
    <x v="0"/>
    <x v="0"/>
    <x v="0"/>
    <n v="60016"/>
    <n v="59266"/>
    <n v="58516"/>
    <n v="56266"/>
    <n v="54766"/>
    <n v="53266"/>
    <n v="51766"/>
    <x v="10"/>
    <n v="4"/>
    <n v="6"/>
    <n v="6"/>
    <d v="2017-06-27T00:00:00"/>
    <s v="Assistant Manager, Medium Market"/>
    <d v="2018-09-21T00:00:00"/>
    <s v="Assistant Manager, Large Market"/>
    <d v="2022-11-23T00:00:00"/>
    <s v="Manager, Medium Market"/>
    <n v="2"/>
    <n v="2"/>
    <n v="4"/>
    <n v="3"/>
    <n v="3"/>
    <n v="3"/>
    <n v="4"/>
  </r>
  <r>
    <n v="193"/>
    <n v="7439"/>
    <d v="1990-11-20T00:00:00"/>
    <n v="35"/>
    <x v="0"/>
    <x v="1"/>
    <d v="2017-08-01T00:00:00"/>
    <n v="8.4219178082191775"/>
    <x v="88"/>
    <x v="0"/>
    <x v="0"/>
    <x v="0"/>
    <n v="64338"/>
    <n v="63555"/>
    <n v="60135"/>
    <n v="58635"/>
    <n v="57135"/>
    <n v="55635"/>
    <n v="53385"/>
    <x v="7"/>
    <n v="4"/>
    <n v="4"/>
    <n v="5"/>
    <d v="2017-06-02T00:00:00"/>
    <s v="Assistant Manager, Medium Market"/>
    <d v="2018-04-05T00:00:00"/>
    <s v="Assistant Manager, Large Market"/>
    <d v="2023-11-29T00:00:00"/>
    <s v="Manager, Medium Market"/>
    <n v="5"/>
    <n v="4"/>
    <n v="3"/>
    <n v="3"/>
    <n v="3"/>
    <n v="3"/>
    <n v="4"/>
  </r>
  <r>
    <n v="194"/>
    <n v="7444"/>
    <d v="1992-10-29T00:00:00"/>
    <n v="33"/>
    <x v="1"/>
    <x v="1"/>
    <d v="2017-08-01T00:00:00"/>
    <n v="8.4219178082191775"/>
    <x v="89"/>
    <x v="1"/>
    <x v="0"/>
    <x v="0"/>
    <n v="61266"/>
    <n v="59766"/>
    <n v="58266"/>
    <n v="56766"/>
    <n v="55266"/>
    <n v="53766"/>
    <n v="52266"/>
    <x v="7"/>
    <n v="3"/>
    <n v="5"/>
    <n v="7"/>
    <d v="2017-11-24T00:00:00"/>
    <s v="Assistant Manager, Medium Market"/>
    <d v="2018-05-18T00:00:00"/>
    <s v="Assistant Manager, Large Market"/>
    <m/>
    <m/>
    <n v="2"/>
    <n v="2"/>
    <n v="2"/>
    <n v="3"/>
    <n v="4"/>
    <n v="5"/>
    <n v="5"/>
  </r>
  <r>
    <n v="195"/>
    <n v="7449"/>
    <d v="1991-07-03T00:00:00"/>
    <n v="34"/>
    <x v="0"/>
    <x v="1"/>
    <d v="2017-08-01T00:00:00"/>
    <n v="8.4219178082191775"/>
    <x v="90"/>
    <x v="1"/>
    <x v="0"/>
    <x v="0"/>
    <n v="64766"/>
    <n v="62516"/>
    <n v="60266"/>
    <n v="58016"/>
    <n v="56516"/>
    <n v="55766"/>
    <n v="47266"/>
    <x v="5"/>
    <n v="2"/>
    <n v="3"/>
    <n v="4"/>
    <d v="2018-02-07T00:00:00"/>
    <s v="Assistant Manager, Medium Market"/>
    <d v="2019-05-29T00:00:00"/>
    <s v="Assistant Manager, Large Market"/>
    <m/>
    <m/>
    <n v="4"/>
    <n v="4"/>
    <n v="4"/>
    <n v="4"/>
    <n v="3"/>
    <n v="2"/>
    <n v="3"/>
  </r>
  <r>
    <n v="196"/>
    <n v="7453"/>
    <d v="1990-06-25T00:00:00"/>
    <n v="35"/>
    <x v="0"/>
    <x v="1"/>
    <d v="2017-08-01T00:00:00"/>
    <n v="9.4219178082191775"/>
    <x v="69"/>
    <x v="1"/>
    <x v="0"/>
    <x v="0"/>
    <n v="59766"/>
    <n v="58266"/>
    <n v="56766"/>
    <n v="55266"/>
    <n v="53766"/>
    <n v="52266"/>
    <n v="45266"/>
    <x v="8"/>
    <n v="4"/>
    <n v="5"/>
    <n v="6"/>
    <d v="2018-02-20T00:00:00"/>
    <s v="Assistant Manager, Medium Market"/>
    <d v="2019-08-13T00:00:00"/>
    <s v="Assistant Manager, Large Market"/>
    <m/>
    <m/>
    <n v="3"/>
    <n v="4"/>
    <n v="5"/>
    <n v="5"/>
    <n v="5"/>
    <n v="5"/>
    <n v="4"/>
  </r>
  <r>
    <n v="197"/>
    <n v="7454"/>
    <d v="1987-04-23T00:00:00"/>
    <n v="38"/>
    <x v="0"/>
    <x v="1"/>
    <d v="2016-08-01T00:00:00"/>
    <n v="9.4219178082191775"/>
    <x v="76"/>
    <x v="1"/>
    <x v="0"/>
    <x v="0"/>
    <n v="61766"/>
    <n v="60266"/>
    <n v="58766"/>
    <n v="57266"/>
    <n v="55766"/>
    <n v="54266"/>
    <n v="47266"/>
    <x v="10"/>
    <n v="4"/>
    <n v="4"/>
    <n v="4"/>
    <d v="2017-08-15T00:00:00"/>
    <s v="Assistant Manager, Medium Market"/>
    <d v="2019-12-21T00:00:00"/>
    <s v="Assistant Manager, Large Market"/>
    <m/>
    <m/>
    <n v="4"/>
    <n v="5"/>
    <n v="3"/>
    <n v="4"/>
    <n v="4"/>
    <n v="3"/>
    <n v="4"/>
  </r>
  <r>
    <n v="198"/>
    <n v="7480"/>
    <d v="1992-09-04T00:00:00"/>
    <n v="33"/>
    <x v="1"/>
    <x v="1"/>
    <d v="2016-08-01T00:00:00"/>
    <n v="9.4219178082191775"/>
    <x v="91"/>
    <x v="1"/>
    <x v="0"/>
    <x v="0"/>
    <n v="61266"/>
    <n v="59766"/>
    <n v="58266"/>
    <n v="56766"/>
    <n v="55266"/>
    <n v="53766"/>
    <n v="46766"/>
    <x v="8"/>
    <n v="0"/>
    <n v="6"/>
    <n v="6"/>
    <d v="2018-01-11T00:00:00"/>
    <s v="Assistant Manager, Medium Market"/>
    <d v="2019-05-05T00:00:00"/>
    <s v="Assistant Manager, Large Market"/>
    <m/>
    <m/>
    <n v="5"/>
    <n v="5"/>
    <n v="5"/>
    <n v="5"/>
    <n v="4"/>
    <n v="3"/>
    <n v="5"/>
  </r>
  <r>
    <n v="199"/>
    <n v="7481"/>
    <d v="1990-07-01T00:00:00"/>
    <n v="36"/>
    <x v="0"/>
    <x v="0"/>
    <d v="2016-08-01T00:00:00"/>
    <n v="9.4219178082191775"/>
    <x v="64"/>
    <x v="1"/>
    <x v="0"/>
    <x v="0"/>
    <n v="72516"/>
    <n v="69516"/>
    <n v="66516"/>
    <n v="63516"/>
    <n v="60516"/>
    <n v="58266"/>
    <n v="46766"/>
    <x v="0"/>
    <n v="4"/>
    <n v="4"/>
    <n v="4"/>
    <d v="2018-03-15T00:00:00"/>
    <s v="Assistant Manager, Medium Market"/>
    <d v="2020-02-02T00:00:00"/>
    <s v="Assistant Manager, Large Market"/>
    <m/>
    <m/>
    <n v="5"/>
    <n v="5"/>
    <n v="5"/>
    <n v="5"/>
    <n v="5"/>
    <n v="4"/>
    <n v="5"/>
  </r>
  <r>
    <n v="200"/>
    <n v="7491"/>
    <d v="1991-09-10T00:00:00"/>
    <n v="34"/>
    <x v="0"/>
    <x v="1"/>
    <d v="2016-08-01T00:00:00"/>
    <n v="8.4219178082191775"/>
    <x v="62"/>
    <x v="1"/>
    <x v="0"/>
    <x v="0"/>
    <n v="67891"/>
    <n v="66016"/>
    <n v="64141"/>
    <n v="62266"/>
    <n v="60391"/>
    <n v="58516"/>
    <n v="49266"/>
    <x v="5"/>
    <n v="1"/>
    <n v="3"/>
    <n v="4"/>
    <d v="2018-02-19T00:00:00"/>
    <s v="Assistant Manager, Medium Market"/>
    <d v="2019-06-25T00:00:00"/>
    <s v="Assistant Manager, Large Market"/>
    <m/>
    <m/>
    <n v="5"/>
    <n v="4"/>
    <n v="4"/>
    <n v="4"/>
    <n v="4"/>
    <n v="4"/>
    <n v="4"/>
  </r>
  <r>
    <n v="201"/>
    <n v="7492"/>
    <d v="1989-07-09T00:00:00"/>
    <n v="36"/>
    <x v="1"/>
    <x v="1"/>
    <d v="2017-08-01T00:00:00"/>
    <n v="8.4219178082191775"/>
    <x v="66"/>
    <x v="1"/>
    <x v="0"/>
    <x v="0"/>
    <n v="73266"/>
    <n v="70266"/>
    <n v="67266"/>
    <n v="64266"/>
    <n v="61266"/>
    <n v="58266"/>
    <n v="46766"/>
    <x v="11"/>
    <n v="4"/>
    <n v="7"/>
    <n v="7"/>
    <d v="2018-01-18T00:00:00"/>
    <s v="Assistant Manager, Medium Market"/>
    <d v="2019-10-20T00:00:00"/>
    <s v="Assistant Manager, Large Market"/>
    <m/>
    <m/>
    <n v="5"/>
    <n v="5"/>
    <n v="5"/>
    <n v="5"/>
    <n v="5"/>
    <n v="5"/>
    <n v="5"/>
  </r>
  <r>
    <n v="202"/>
    <n v="7501"/>
    <d v="1990-08-20T00:00:00"/>
    <n v="35"/>
    <x v="1"/>
    <x v="1"/>
    <d v="2017-08-01T00:00:00"/>
    <n v="8.4219178082191775"/>
    <x v="92"/>
    <x v="1"/>
    <x v="0"/>
    <x v="0"/>
    <n v="64924"/>
    <n v="64924"/>
    <n v="62726"/>
    <n v="60975"/>
    <n v="59080"/>
    <n v="56955"/>
    <n v="46766"/>
    <x v="10"/>
    <n v="2"/>
    <n v="6"/>
    <n v="6"/>
    <d v="2017-02-02T00:00:00"/>
    <s v="Assistant Manager, Medium Market"/>
    <d v="2020-01-01T00:00:00"/>
    <s v="Assistant Manager, Large Market"/>
    <m/>
    <m/>
    <n v="1"/>
    <n v="2"/>
    <n v="3"/>
    <n v="4"/>
    <n v="5"/>
    <n v="4"/>
    <n v="5"/>
  </r>
  <r>
    <n v="203"/>
    <n v="7512"/>
    <d v="1992-09-10T00:00:00"/>
    <n v="33"/>
    <x v="1"/>
    <x v="1"/>
    <d v="2017-08-01T00:00:00"/>
    <n v="8.4"/>
    <x v="54"/>
    <x v="1"/>
    <x v="0"/>
    <x v="0"/>
    <n v="69016"/>
    <n v="66766"/>
    <n v="64516"/>
    <n v="62266"/>
    <n v="60016"/>
    <n v="57766"/>
    <n v="47766"/>
    <x v="0"/>
    <n v="2"/>
    <n v="7"/>
    <n v="7"/>
    <d v="2017-08-09T00:00:00"/>
    <s v="Assistant Manager, Medium Market"/>
    <d v="2019-12-19T00:00:00"/>
    <s v="Assistant Manager, Large Market"/>
    <m/>
    <m/>
    <n v="5"/>
    <n v="5"/>
    <n v="5"/>
    <n v="5"/>
    <n v="5"/>
    <n v="5"/>
    <n v="5"/>
  </r>
  <r>
    <n v="204"/>
    <n v="7540"/>
    <d v="1991-05-10T00:00:00"/>
    <n v="34"/>
    <x v="0"/>
    <x v="1"/>
    <d v="2017-08-09T00:00:00"/>
    <n v="9.2958904109589042"/>
    <x v="93"/>
    <x v="1"/>
    <x v="0"/>
    <x v="0"/>
    <n v="58938"/>
    <n v="58938"/>
    <n v="56709"/>
    <n v="54805"/>
    <n v="53878"/>
    <n v="53878"/>
    <n v="45600"/>
    <x v="0"/>
    <n v="2"/>
    <n v="4"/>
    <n v="3"/>
    <d v="2020-01-27T00:00:00"/>
    <s v="Assistant Manager, Large Market"/>
    <m/>
    <m/>
    <m/>
    <m/>
    <n v="3"/>
    <n v="4"/>
    <n v="3"/>
    <n v="2"/>
    <n v="2"/>
    <n v="3"/>
    <n v="3"/>
  </r>
  <r>
    <n v="205"/>
    <n v="7547"/>
    <d v="1991-08-21T00:00:00"/>
    <n v="34"/>
    <x v="0"/>
    <x v="1"/>
    <d v="2016-09-16T00:00:00"/>
    <n v="9.7780821917808218"/>
    <x v="94"/>
    <x v="1"/>
    <x v="0"/>
    <x v="0"/>
    <n v="70766"/>
    <n v="67766"/>
    <n v="64766"/>
    <n v="61766"/>
    <n v="58766"/>
    <n v="47266"/>
    <n v="45266"/>
    <x v="7"/>
    <n v="4"/>
    <n v="5"/>
    <n v="4"/>
    <d v="2020-07-06T00:00:00"/>
    <s v="Assistant Manager, Large Market"/>
    <m/>
    <m/>
    <m/>
    <m/>
    <n v="5"/>
    <n v="5"/>
    <n v="5"/>
    <n v="5"/>
    <n v="5"/>
    <n v="5"/>
    <n v="5"/>
  </r>
  <r>
    <n v="206"/>
    <n v="7600"/>
    <d v="1989-12-12T00:00:00"/>
    <n v="36"/>
    <x v="1"/>
    <x v="1"/>
    <d v="2016-03-24T00:00:00"/>
    <n v="8.8849315068493144"/>
    <x v="21"/>
    <x v="0"/>
    <x v="4"/>
    <x v="1"/>
    <n v="32.11"/>
    <n v="31.81"/>
    <n v="31.51"/>
    <n v="31.21"/>
    <n v="30.91"/>
    <n v="30.61"/>
    <n v="30.31"/>
    <x v="4"/>
    <n v="0"/>
    <n v="5"/>
    <m/>
    <m/>
    <m/>
    <m/>
    <m/>
    <m/>
    <m/>
    <m/>
    <m/>
    <m/>
    <m/>
    <m/>
    <m/>
    <m/>
  </r>
  <r>
    <n v="207"/>
    <n v="7602"/>
    <d v="1990-02-01T00:00:00"/>
    <n v="36"/>
    <x v="0"/>
    <x v="1"/>
    <d v="2017-02-13T00:00:00"/>
    <n v="8.9452054794520546"/>
    <x v="22"/>
    <x v="0"/>
    <x v="4"/>
    <x v="1"/>
    <n v="32.11"/>
    <n v="31.81"/>
    <n v="31.51"/>
    <n v="31.21"/>
    <n v="30.91"/>
    <n v="30.61"/>
    <n v="30.31"/>
    <x v="4"/>
    <n v="0"/>
    <n v="5"/>
    <m/>
    <m/>
    <m/>
    <m/>
    <m/>
    <m/>
    <m/>
    <m/>
    <m/>
    <m/>
    <m/>
    <m/>
    <m/>
    <m/>
  </r>
  <r>
    <n v="208"/>
    <n v="7646"/>
    <d v="1987-09-04T00:00:00"/>
    <n v="38"/>
    <x v="0"/>
    <x v="0"/>
    <d v="2017-01-22T00:00:00"/>
    <n v="9.6849315068493151"/>
    <x v="34"/>
    <x v="0"/>
    <x v="4"/>
    <x v="1"/>
    <n v="32.11"/>
    <n v="31.81"/>
    <n v="31.51"/>
    <n v="31.21"/>
    <n v="30.91"/>
    <n v="30.61"/>
    <n v="30.31"/>
    <x v="4"/>
    <n v="0"/>
    <n v="4"/>
    <m/>
    <m/>
    <m/>
    <m/>
    <m/>
    <m/>
    <m/>
    <m/>
    <m/>
    <m/>
    <m/>
    <m/>
    <m/>
    <m/>
  </r>
  <r>
    <n v="209"/>
    <n v="7667"/>
    <d v="1987-03-05T00:00:00"/>
    <n v="38"/>
    <x v="1"/>
    <x v="1"/>
    <d v="2016-04-27T00:00:00"/>
    <n v="9.0904109589041102"/>
    <x v="41"/>
    <x v="0"/>
    <x v="4"/>
    <x v="1"/>
    <n v="32.049999999999997"/>
    <n v="31.84"/>
    <n v="31.67"/>
    <n v="31.28"/>
    <n v="30.88"/>
    <n v="30.52"/>
    <n v="30.26"/>
    <x v="1"/>
    <n v="0"/>
    <n v="4"/>
    <m/>
    <m/>
    <m/>
    <m/>
    <m/>
    <m/>
    <m/>
    <m/>
    <m/>
    <m/>
    <m/>
    <m/>
    <m/>
    <m/>
  </r>
  <r>
    <n v="210"/>
    <n v="7717"/>
    <d v="1984-05-25T00:00:00"/>
    <n v="41"/>
    <x v="0"/>
    <x v="1"/>
    <d v="2016-11-30T00:00:00"/>
    <n v="9.3369863013698637"/>
    <x v="29"/>
    <x v="1"/>
    <x v="4"/>
    <x v="1"/>
    <n v="32.11"/>
    <n v="31.81"/>
    <n v="31.51"/>
    <n v="31.21"/>
    <n v="30.91"/>
    <n v="30.61"/>
    <n v="30.31"/>
    <x v="2"/>
    <n v="0"/>
    <n v="4"/>
    <m/>
    <m/>
    <m/>
    <m/>
    <m/>
    <m/>
    <m/>
    <m/>
    <m/>
    <m/>
    <m/>
    <m/>
    <m/>
    <m/>
  </r>
  <r>
    <n v="211"/>
    <n v="7740"/>
    <d v="1989-03-20T00:00:00"/>
    <n v="36"/>
    <x v="0"/>
    <x v="1"/>
    <d v="2016-09-01T00:00:00"/>
    <n v="9.0602739726027401"/>
    <x v="53"/>
    <x v="1"/>
    <x v="4"/>
    <x v="1"/>
    <n v="32.11"/>
    <n v="31.81"/>
    <n v="31.51"/>
    <n v="31.21"/>
    <n v="30.91"/>
    <n v="30.61"/>
    <n v="30.31"/>
    <x v="1"/>
    <n v="0"/>
    <n v="4"/>
    <m/>
    <m/>
    <m/>
    <m/>
    <m/>
    <m/>
    <m/>
    <m/>
    <m/>
    <m/>
    <m/>
    <m/>
    <m/>
    <m/>
  </r>
  <r>
    <n v="212"/>
    <n v="7741"/>
    <d v="1989-10-30T00:00:00"/>
    <n v="36"/>
    <x v="0"/>
    <x v="1"/>
    <d v="2016-12-11T00:00:00"/>
    <n v="9.117808219178082"/>
    <x v="53"/>
    <x v="1"/>
    <x v="4"/>
    <x v="1"/>
    <n v="32.11"/>
    <n v="31.81"/>
    <n v="31.51"/>
    <n v="31.21"/>
    <n v="30.91"/>
    <n v="30.61"/>
    <n v="30.31"/>
    <x v="4"/>
    <n v="0"/>
    <n v="4"/>
    <m/>
    <m/>
    <m/>
    <m/>
    <m/>
    <m/>
    <m/>
    <m/>
    <m/>
    <m/>
    <m/>
    <m/>
    <m/>
    <m/>
  </r>
  <r>
    <n v="213"/>
    <n v="7743"/>
    <d v="1980-11-30T00:00:00"/>
    <n v="45"/>
    <x v="1"/>
    <x v="1"/>
    <d v="2016-11-20T00:00:00"/>
    <n v="9.2821917808219183"/>
    <x v="54"/>
    <x v="1"/>
    <x v="4"/>
    <x v="1"/>
    <n v="32.11"/>
    <n v="31.81"/>
    <n v="31.51"/>
    <n v="31.21"/>
    <n v="30.91"/>
    <n v="30.61"/>
    <n v="30.31"/>
    <x v="2"/>
    <n v="0"/>
    <n v="6"/>
    <m/>
    <m/>
    <m/>
    <m/>
    <m/>
    <m/>
    <m/>
    <m/>
    <m/>
    <m/>
    <m/>
    <m/>
    <m/>
    <m/>
  </r>
  <r>
    <n v="214"/>
    <n v="7787"/>
    <d v="1990-07-14T00:00:00"/>
    <n v="35"/>
    <x v="0"/>
    <x v="1"/>
    <d v="2016-09-21T00:00:00"/>
    <n v="9.6164383561643838"/>
    <x v="76"/>
    <x v="1"/>
    <x v="4"/>
    <x v="1"/>
    <n v="32.11"/>
    <n v="31.81"/>
    <n v="31.51"/>
    <n v="31.21"/>
    <n v="30.91"/>
    <n v="30.61"/>
    <n v="30.31"/>
    <x v="2"/>
    <n v="0"/>
    <n v="5"/>
    <m/>
    <m/>
    <m/>
    <m/>
    <m/>
    <m/>
    <m/>
    <m/>
    <m/>
    <m/>
    <m/>
    <m/>
    <m/>
    <m/>
  </r>
  <r>
    <n v="215"/>
    <n v="7959"/>
    <d v="1989-08-08T00:00:00"/>
    <n v="36"/>
    <x v="1"/>
    <x v="1"/>
    <d v="2016-05-22T00:00:00"/>
    <n v="9.2657534246575342"/>
    <x v="32"/>
    <x v="0"/>
    <x v="5"/>
    <x v="1"/>
    <n v="21.12"/>
    <n v="21.12"/>
    <n v="20.97"/>
    <n v="20.63"/>
    <n v="20.25"/>
    <n v="20.03"/>
    <n v="19.579999999999998"/>
    <x v="2"/>
    <n v="4"/>
    <n v="6"/>
    <m/>
    <m/>
    <m/>
    <m/>
    <m/>
    <m/>
    <m/>
    <m/>
    <m/>
    <m/>
    <m/>
    <m/>
    <m/>
    <m/>
  </r>
  <r>
    <n v="216"/>
    <n v="7962"/>
    <d v="1991-07-18T00:00:00"/>
    <n v="34"/>
    <x v="0"/>
    <x v="1"/>
    <d v="2016-09-27T00:00:00"/>
    <n v="9.2630136986301377"/>
    <x v="63"/>
    <x v="0"/>
    <x v="5"/>
    <x v="1"/>
    <n v="21.84"/>
    <n v="21.45"/>
    <n v="21.12"/>
    <n v="21.12"/>
    <n v="20.73"/>
    <n v="20.51"/>
    <n v="20.149999999999999"/>
    <x v="2"/>
    <n v="4"/>
    <n v="5"/>
    <m/>
    <m/>
    <m/>
    <m/>
    <m/>
    <m/>
    <m/>
    <m/>
    <m/>
    <m/>
    <m/>
    <m/>
    <m/>
    <m/>
  </r>
  <r>
    <n v="217"/>
    <n v="8034"/>
    <d v="1993-09-27T00:00:00"/>
    <n v="32"/>
    <x v="0"/>
    <x v="1"/>
    <d v="2016-09-28T00:00:00"/>
    <n v="8.9917808219178088"/>
    <x v="38"/>
    <x v="0"/>
    <x v="5"/>
    <x v="1"/>
    <n v="21.77"/>
    <n v="21.47"/>
    <n v="21.17"/>
    <n v="20.87"/>
    <n v="20.57"/>
    <n v="20.27"/>
    <n v="19.97"/>
    <x v="2"/>
    <n v="3"/>
    <n v="6"/>
    <m/>
    <m/>
    <m/>
    <m/>
    <m/>
    <m/>
    <m/>
    <m/>
    <m/>
    <m/>
    <m/>
    <m/>
    <m/>
    <m/>
  </r>
  <r>
    <n v="218"/>
    <n v="8076"/>
    <d v="1991-12-27T00:00:00"/>
    <n v="34"/>
    <x v="0"/>
    <x v="1"/>
    <d v="2017-01-05T00:00:00"/>
    <n v="9.0821917808219172"/>
    <x v="30"/>
    <x v="1"/>
    <x v="5"/>
    <x v="1"/>
    <n v="21.77"/>
    <n v="21.47"/>
    <n v="21.17"/>
    <n v="20.87"/>
    <n v="20.57"/>
    <n v="20.27"/>
    <n v="19.97"/>
    <x v="3"/>
    <n v="2"/>
    <n v="4"/>
    <m/>
    <m/>
    <m/>
    <m/>
    <m/>
    <m/>
    <m/>
    <m/>
    <m/>
    <m/>
    <m/>
    <m/>
    <m/>
    <m/>
  </r>
  <r>
    <n v="219"/>
    <n v="8086"/>
    <d v="1993-01-20T00:00:00"/>
    <n v="32"/>
    <x v="0"/>
    <x v="1"/>
    <d v="2016-12-03T00:00:00"/>
    <n v="9.3561643835616444"/>
    <x v="95"/>
    <x v="1"/>
    <x v="5"/>
    <x v="1"/>
    <n v="19.97"/>
    <n v="19.97"/>
    <n v="19.97"/>
    <n v="19.82"/>
    <n v="19.82"/>
    <n v="19.82"/>
    <n v="19.670000000000002"/>
    <x v="2"/>
    <n v="3"/>
    <n v="4"/>
    <m/>
    <m/>
    <m/>
    <m/>
    <m/>
    <m/>
    <m/>
    <m/>
    <m/>
    <m/>
    <m/>
    <m/>
    <m/>
    <m/>
  </r>
  <r>
    <n v="220"/>
    <n v="8186"/>
    <d v="1992-12-23T00:00:00"/>
    <n v="33"/>
    <x v="0"/>
    <x v="1"/>
    <d v="2016-08-25T00:00:00"/>
    <n v="9.4438356164383563"/>
    <x v="96"/>
    <x v="1"/>
    <x v="5"/>
    <x v="1"/>
    <n v="21.34"/>
    <n v="21"/>
    <n v="21"/>
    <n v="20.85"/>
    <n v="20.56"/>
    <n v="20.34"/>
    <n v="20"/>
    <x v="4"/>
    <n v="5"/>
    <n v="4"/>
    <m/>
    <m/>
    <m/>
    <m/>
    <m/>
    <m/>
    <m/>
    <m/>
    <m/>
    <m/>
    <m/>
    <m/>
    <m/>
    <m/>
  </r>
  <r>
    <n v="221"/>
    <n v="8190"/>
    <d v="1992-06-14T00:00:00"/>
    <n v="33"/>
    <x v="1"/>
    <x v="1"/>
    <d v="2016-07-24T00:00:00"/>
    <n v="9.7397260273972606"/>
    <x v="94"/>
    <x v="1"/>
    <x v="5"/>
    <x v="1"/>
    <n v="21.77"/>
    <n v="21.47"/>
    <n v="21.17"/>
    <n v="20.87"/>
    <n v="20.57"/>
    <n v="20.27"/>
    <n v="19.97"/>
    <x v="2"/>
    <n v="4"/>
    <n v="6"/>
    <m/>
    <m/>
    <m/>
    <m/>
    <m/>
    <m/>
    <m/>
    <m/>
    <m/>
    <m/>
    <m/>
    <m/>
    <m/>
    <m/>
  </r>
  <r>
    <n v="222"/>
    <n v="8196"/>
    <d v="1992-10-05T00:00:00"/>
    <n v="33"/>
    <x v="0"/>
    <x v="1"/>
    <d v="2016-04-07T00:00:00"/>
    <n v="9.0082191780821912"/>
    <x v="84"/>
    <x v="1"/>
    <x v="5"/>
    <x v="1"/>
    <n v="21.77"/>
    <n v="21.47"/>
    <n v="21.17"/>
    <n v="20.87"/>
    <n v="20.57"/>
    <n v="20.27"/>
    <n v="19.97"/>
    <x v="4"/>
    <n v="3"/>
    <n v="4"/>
    <m/>
    <m/>
    <m/>
    <m/>
    <m/>
    <m/>
    <m/>
    <m/>
    <m/>
    <m/>
    <m/>
    <m/>
    <m/>
    <m/>
  </r>
  <r>
    <n v="223"/>
    <n v="8225"/>
    <d v="1988-10-08T00:00:00"/>
    <n v="37"/>
    <x v="0"/>
    <x v="0"/>
    <d v="2016-12-30T00:00:00"/>
    <n v="9.3424657534246567"/>
    <x v="0"/>
    <x v="0"/>
    <x v="9"/>
    <x v="1"/>
    <n v="13.95"/>
    <n v="13.65"/>
    <n v="13.35"/>
    <n v="13.05"/>
    <n v="12.75"/>
    <n v="12.45"/>
    <n v="12.15"/>
    <x v="1"/>
    <n v="1"/>
    <n v="3"/>
    <m/>
    <m/>
    <m/>
    <m/>
    <m/>
    <m/>
    <m/>
    <m/>
    <m/>
    <m/>
    <m/>
    <m/>
    <m/>
    <m/>
  </r>
  <r>
    <n v="224"/>
    <n v="8227"/>
    <d v="1993-10-21T00:00:00"/>
    <n v="32"/>
    <x v="0"/>
    <x v="1"/>
    <d v="2016-08-30T00:00:00"/>
    <n v="9.6657534246575345"/>
    <x v="0"/>
    <x v="0"/>
    <x v="7"/>
    <x v="1"/>
    <n v="16.84"/>
    <n v="16.54"/>
    <n v="16.239999999999998"/>
    <n v="15.94"/>
    <n v="15.64"/>
    <n v="15.34"/>
    <n v="15.04"/>
    <x v="3"/>
    <n v="1"/>
    <n v="4"/>
    <m/>
    <m/>
    <m/>
    <m/>
    <m/>
    <m/>
    <m/>
    <m/>
    <m/>
    <m/>
    <m/>
    <m/>
    <m/>
    <m/>
  </r>
  <r>
    <n v="225"/>
    <n v="8244"/>
    <d v="1998-02-26T00:00:00"/>
    <n v="27"/>
    <x v="1"/>
    <x v="0"/>
    <d v="2016-05-04T00:00:00"/>
    <n v="9.7452054794520553"/>
    <x v="0"/>
    <x v="0"/>
    <x v="8"/>
    <x v="1"/>
    <n v="8.5500000000000007"/>
    <n v="8.35"/>
    <n v="8.15"/>
    <n v="7.95"/>
    <n v="7.75"/>
    <n v="7.55"/>
    <n v="7.35"/>
    <x v="2"/>
    <n v="0"/>
    <n v="4"/>
    <m/>
    <m/>
    <m/>
    <m/>
    <m/>
    <m/>
    <m/>
    <m/>
    <m/>
    <m/>
    <m/>
    <m/>
    <m/>
    <m/>
  </r>
  <r>
    <n v="226"/>
    <n v="8381"/>
    <d v="1995-03-17T00:00:00"/>
    <n v="30"/>
    <x v="0"/>
    <x v="1"/>
    <d v="2016-04-05T00:00:00"/>
    <n v="9.8027397260273972"/>
    <x v="5"/>
    <x v="0"/>
    <x v="2"/>
    <x v="1"/>
    <n v="14.08"/>
    <n v="13.78"/>
    <n v="13.48"/>
    <n v="13.18"/>
    <n v="12.88"/>
    <n v="12.58"/>
    <n v="12.28"/>
    <x v="2"/>
    <n v="0"/>
    <n v="3"/>
    <m/>
    <m/>
    <m/>
    <m/>
    <m/>
    <m/>
    <m/>
    <m/>
    <m/>
    <m/>
    <m/>
    <m/>
    <m/>
    <m/>
  </r>
  <r>
    <n v="227"/>
    <n v="8416"/>
    <d v="1994-05-09T00:00:00"/>
    <n v="31"/>
    <x v="1"/>
    <x v="0"/>
    <d v="2016-03-15T00:00:00"/>
    <n v="9.7835616438356166"/>
    <x v="7"/>
    <x v="0"/>
    <x v="1"/>
    <x v="1"/>
    <n v="15.84"/>
    <n v="15.54"/>
    <n v="15.24"/>
    <n v="14.94"/>
    <n v="14.64"/>
    <n v="14.34"/>
    <n v="14.04"/>
    <x v="3"/>
    <n v="0"/>
    <n v="5"/>
    <m/>
    <m/>
    <m/>
    <m/>
    <m/>
    <m/>
    <m/>
    <m/>
    <m/>
    <m/>
    <m/>
    <m/>
    <m/>
    <m/>
  </r>
  <r>
    <n v="228"/>
    <n v="8576"/>
    <d v="1995-04-17T00:00:00"/>
    <n v="30"/>
    <x v="1"/>
    <x v="0"/>
    <d v="2016-03-22T00:00:00"/>
    <n v="9.5616438356164384"/>
    <x v="11"/>
    <x v="0"/>
    <x v="9"/>
    <x v="1"/>
    <n v="13.95"/>
    <n v="13.65"/>
    <n v="13.35"/>
    <n v="13.05"/>
    <n v="12.75"/>
    <n v="12.45"/>
    <n v="12.15"/>
    <x v="4"/>
    <n v="1"/>
    <n v="5"/>
    <m/>
    <m/>
    <m/>
    <m/>
    <m/>
    <m/>
    <m/>
    <m/>
    <m/>
    <m/>
    <m/>
    <m/>
    <m/>
    <m/>
  </r>
  <r>
    <n v="229"/>
    <n v="9141"/>
    <d v="1995-09-03T00:00:00"/>
    <n v="30"/>
    <x v="0"/>
    <x v="1"/>
    <d v="2016-06-11T00:00:00"/>
    <n v="9.3287671232876708"/>
    <x v="21"/>
    <x v="0"/>
    <x v="10"/>
    <x v="1"/>
    <n v="10.33"/>
    <n v="10.130000000000001"/>
    <n v="9.93"/>
    <n v="9.73"/>
    <n v="9.5299999999999994"/>
    <n v="9.33"/>
    <n v="9.1300000000000008"/>
    <x v="2"/>
    <n v="1"/>
    <n v="4"/>
    <m/>
    <m/>
    <m/>
    <m/>
    <m/>
    <m/>
    <m/>
    <m/>
    <m/>
    <m/>
    <m/>
    <m/>
    <m/>
    <m/>
  </r>
  <r>
    <n v="230"/>
    <n v="9144"/>
    <d v="1996-06-28T00:00:00"/>
    <n v="29"/>
    <x v="0"/>
    <x v="1"/>
    <d v="2016-09-04T00:00:00"/>
    <n v="9.4876712328767123"/>
    <x v="21"/>
    <x v="0"/>
    <x v="2"/>
    <x v="1"/>
    <n v="14.08"/>
    <n v="13.78"/>
    <n v="13.48"/>
    <n v="13.18"/>
    <n v="12.88"/>
    <n v="12.58"/>
    <n v="12.28"/>
    <x v="4"/>
    <n v="0"/>
    <n v="5"/>
    <m/>
    <m/>
    <m/>
    <m/>
    <m/>
    <m/>
    <m/>
    <m/>
    <m/>
    <m/>
    <m/>
    <m/>
    <m/>
    <m/>
  </r>
  <r>
    <n v="231"/>
    <n v="9187"/>
    <d v="1992-09-24T00:00:00"/>
    <n v="33"/>
    <x v="0"/>
    <x v="1"/>
    <d v="2016-07-08T00:00:00"/>
    <n v="9.6712328767123292"/>
    <x v="22"/>
    <x v="0"/>
    <x v="7"/>
    <x v="1"/>
    <n v="16.84"/>
    <n v="16.54"/>
    <n v="16.239999999999998"/>
    <n v="15.94"/>
    <n v="15.64"/>
    <n v="15.34"/>
    <n v="15.04"/>
    <x v="3"/>
    <n v="2"/>
    <n v="5"/>
    <m/>
    <m/>
    <m/>
    <m/>
    <m/>
    <m/>
    <m/>
    <m/>
    <m/>
    <m/>
    <m/>
    <m/>
    <m/>
    <m/>
  </r>
  <r>
    <n v="232"/>
    <n v="9188"/>
    <d v="1994-06-27T00:00:00"/>
    <n v="31"/>
    <x v="0"/>
    <x v="1"/>
    <d v="2016-05-02T00:00:00"/>
    <n v="9.4520547945205475"/>
    <x v="22"/>
    <x v="0"/>
    <x v="7"/>
    <x v="1"/>
    <n v="16.84"/>
    <n v="16.54"/>
    <n v="16.239999999999998"/>
    <n v="15.94"/>
    <n v="15.64"/>
    <n v="15.34"/>
    <n v="15.04"/>
    <x v="4"/>
    <n v="0"/>
    <n v="4"/>
    <m/>
    <m/>
    <m/>
    <m/>
    <m/>
    <m/>
    <m/>
    <m/>
    <m/>
    <m/>
    <m/>
    <m/>
    <m/>
    <m/>
  </r>
  <r>
    <n v="233"/>
    <n v="9194"/>
    <d v="1999-12-18T00:00:00"/>
    <n v="26"/>
    <x v="1"/>
    <x v="1"/>
    <d v="2016-07-21T00:00:00"/>
    <n v="9.2602739726027394"/>
    <x v="22"/>
    <x v="0"/>
    <x v="8"/>
    <x v="1"/>
    <n v="8.5500000000000007"/>
    <n v="8.35"/>
    <n v="8.15"/>
    <n v="7.95"/>
    <n v="7.75"/>
    <n v="7.55"/>
    <n v="7.35"/>
    <x v="2"/>
    <n v="2"/>
    <n v="7"/>
    <m/>
    <m/>
    <m/>
    <m/>
    <m/>
    <m/>
    <m/>
    <m/>
    <m/>
    <m/>
    <m/>
    <m/>
    <m/>
    <m/>
  </r>
  <r>
    <n v="234"/>
    <n v="9222"/>
    <d v="1996-08-05T00:00:00"/>
    <n v="29"/>
    <x v="0"/>
    <x v="1"/>
    <d v="2016-09-29T00:00:00"/>
    <n v="9.375342465753425"/>
    <x v="23"/>
    <x v="0"/>
    <x v="1"/>
    <x v="1"/>
    <n v="15.84"/>
    <n v="15.54"/>
    <n v="15.24"/>
    <n v="14.94"/>
    <n v="14.64"/>
    <n v="14.34"/>
    <n v="14.04"/>
    <x v="2"/>
    <n v="1"/>
    <n v="3"/>
    <m/>
    <m/>
    <m/>
    <m/>
    <m/>
    <m/>
    <m/>
    <m/>
    <m/>
    <m/>
    <m/>
    <m/>
    <m/>
    <m/>
  </r>
  <r>
    <n v="235"/>
    <n v="9223"/>
    <d v="1997-08-05T00:00:00"/>
    <n v="28"/>
    <x v="1"/>
    <x v="1"/>
    <d v="2016-08-18T00:00:00"/>
    <n v="9.3534246575342461"/>
    <x v="23"/>
    <x v="0"/>
    <x v="1"/>
    <x v="1"/>
    <n v="15.84"/>
    <n v="15.54"/>
    <n v="15.24"/>
    <n v="14.94"/>
    <n v="14.64"/>
    <n v="14.34"/>
    <n v="14.04"/>
    <x v="3"/>
    <n v="2"/>
    <n v="6"/>
    <m/>
    <m/>
    <m/>
    <m/>
    <m/>
    <m/>
    <m/>
    <m/>
    <m/>
    <m/>
    <m/>
    <m/>
    <m/>
    <m/>
  </r>
  <r>
    <n v="236"/>
    <n v="9225"/>
    <d v="1994-03-05T00:00:00"/>
    <n v="31"/>
    <x v="1"/>
    <x v="0"/>
    <d v="2016-08-26T00:00:00"/>
    <n v="9.5616438356164384"/>
    <x v="23"/>
    <x v="0"/>
    <x v="2"/>
    <x v="1"/>
    <n v="14.08"/>
    <n v="13.78"/>
    <n v="13.48"/>
    <n v="13.18"/>
    <n v="12.88"/>
    <n v="12.58"/>
    <n v="12.28"/>
    <x v="2"/>
    <n v="1"/>
    <n v="6"/>
    <m/>
    <m/>
    <m/>
    <m/>
    <m/>
    <m/>
    <m/>
    <m/>
    <m/>
    <m/>
    <m/>
    <m/>
    <m/>
    <m/>
  </r>
  <r>
    <n v="237"/>
    <n v="9231"/>
    <d v="1989-03-21T00:00:00"/>
    <n v="36"/>
    <x v="0"/>
    <x v="1"/>
    <d v="2016-06-11T00:00:00"/>
    <n v="9.1917808219178081"/>
    <x v="23"/>
    <x v="0"/>
    <x v="6"/>
    <x v="1"/>
    <n v="21.92"/>
    <n v="21.62"/>
    <n v="21.32"/>
    <n v="21.02"/>
    <n v="20.72"/>
    <n v="20.420000000000002"/>
    <n v="20.12"/>
    <x v="3"/>
    <n v="7"/>
    <n v="6"/>
    <m/>
    <m/>
    <m/>
    <m/>
    <m/>
    <m/>
    <m/>
    <m/>
    <m/>
    <m/>
    <m/>
    <m/>
    <m/>
    <m/>
  </r>
  <r>
    <n v="238"/>
    <n v="9233"/>
    <d v="1995-03-11T00:00:00"/>
    <n v="30"/>
    <x v="1"/>
    <x v="1"/>
    <d v="2016-10-24T00:00:00"/>
    <n v="9.786301369863013"/>
    <x v="23"/>
    <x v="0"/>
    <x v="7"/>
    <x v="1"/>
    <n v="16.84"/>
    <n v="16.54"/>
    <n v="16.239999999999998"/>
    <n v="15.94"/>
    <n v="15.64"/>
    <n v="15.34"/>
    <n v="15.04"/>
    <x v="2"/>
    <n v="2"/>
    <n v="6"/>
    <m/>
    <m/>
    <m/>
    <m/>
    <m/>
    <m/>
    <m/>
    <m/>
    <m/>
    <m/>
    <m/>
    <m/>
    <m/>
    <m/>
  </r>
  <r>
    <n v="239"/>
    <n v="9474"/>
    <d v="1993-01-10T00:00:00"/>
    <n v="32"/>
    <x v="0"/>
    <x v="0"/>
    <d v="2016-03-21T00:00:00"/>
    <n v="9.3972602739726021"/>
    <x v="25"/>
    <x v="0"/>
    <x v="2"/>
    <x v="1"/>
    <n v="14.08"/>
    <n v="13.78"/>
    <n v="13.48"/>
    <n v="13.18"/>
    <n v="12.88"/>
    <n v="12.58"/>
    <n v="12.28"/>
    <x v="4"/>
    <n v="0"/>
    <n v="4"/>
    <m/>
    <m/>
    <m/>
    <m/>
    <m/>
    <m/>
    <m/>
    <m/>
    <m/>
    <m/>
    <m/>
    <m/>
    <m/>
    <m/>
  </r>
  <r>
    <n v="240"/>
    <n v="9475"/>
    <d v="1992-06-08T00:00:00"/>
    <n v="33"/>
    <x v="1"/>
    <x v="0"/>
    <d v="2016-08-10T00:00:00"/>
    <n v="9.1999999999999993"/>
    <x v="25"/>
    <x v="0"/>
    <x v="9"/>
    <x v="1"/>
    <n v="13.95"/>
    <n v="13.65"/>
    <n v="13.35"/>
    <n v="13.05"/>
    <n v="12.75"/>
    <n v="12.45"/>
    <n v="12.15"/>
    <x v="2"/>
    <n v="0"/>
    <n v="5"/>
    <m/>
    <m/>
    <m/>
    <m/>
    <m/>
    <m/>
    <m/>
    <m/>
    <m/>
    <m/>
    <m/>
    <m/>
    <m/>
    <m/>
  </r>
  <r>
    <n v="241"/>
    <n v="9512"/>
    <d v="1991-12-13T00:00:00"/>
    <n v="34"/>
    <x v="1"/>
    <x v="1"/>
    <d v="2016-10-21T00:00:00"/>
    <n v="9.7287671232876711"/>
    <x v="26"/>
    <x v="0"/>
    <x v="7"/>
    <x v="1"/>
    <n v="17"/>
    <n v="16.62"/>
    <n v="16.3"/>
    <n v="16"/>
    <n v="15.71"/>
    <n v="15.36"/>
    <n v="15.05"/>
    <x v="2"/>
    <n v="2"/>
    <n v="6"/>
    <m/>
    <m/>
    <m/>
    <m/>
    <m/>
    <m/>
    <m/>
    <m/>
    <m/>
    <m/>
    <m/>
    <m/>
    <m/>
    <m/>
  </r>
  <r>
    <n v="242"/>
    <n v="9579"/>
    <d v="1992-05-30T00:00:00"/>
    <n v="33"/>
    <x v="0"/>
    <x v="0"/>
    <d v="2016-04-11T00:00:00"/>
    <n v="9.6904109589041099"/>
    <x v="49"/>
    <x v="0"/>
    <x v="1"/>
    <x v="1"/>
    <n v="15.84"/>
    <n v="15.54"/>
    <n v="15.24"/>
    <n v="14.94"/>
    <n v="14.64"/>
    <n v="14.34"/>
    <n v="14.04"/>
    <x v="1"/>
    <n v="2"/>
    <n v="4"/>
    <m/>
    <m/>
    <m/>
    <m/>
    <m/>
    <m/>
    <m/>
    <m/>
    <m/>
    <m/>
    <m/>
    <m/>
    <m/>
    <m/>
  </r>
  <r>
    <n v="243"/>
    <n v="9580"/>
    <d v="1984-07-21T00:00:00"/>
    <n v="41"/>
    <x v="0"/>
    <x v="0"/>
    <d v="2016-04-25T00:00:00"/>
    <n v="8.8328767123287673"/>
    <x v="49"/>
    <x v="0"/>
    <x v="2"/>
    <x v="1"/>
    <n v="14.08"/>
    <n v="13.78"/>
    <n v="13.48"/>
    <n v="13.18"/>
    <n v="12.88"/>
    <n v="12.58"/>
    <n v="12.28"/>
    <x v="2"/>
    <n v="0"/>
    <n v="4"/>
    <m/>
    <m/>
    <m/>
    <m/>
    <m/>
    <m/>
    <m/>
    <m/>
    <m/>
    <m/>
    <m/>
    <m/>
    <m/>
    <m/>
  </r>
  <r>
    <n v="244"/>
    <n v="9587"/>
    <d v="1992-10-04T00:00:00"/>
    <n v="33"/>
    <x v="0"/>
    <x v="1"/>
    <d v="2017-03-04T00:00:00"/>
    <n v="9.24931506849315"/>
    <x v="49"/>
    <x v="0"/>
    <x v="7"/>
    <x v="1"/>
    <n v="16.84"/>
    <n v="16.54"/>
    <n v="16.239999999999998"/>
    <n v="15.94"/>
    <n v="15.64"/>
    <n v="15.34"/>
    <n v="15.04"/>
    <x v="2"/>
    <n v="3"/>
    <n v="4"/>
    <m/>
    <m/>
    <m/>
    <m/>
    <m/>
    <m/>
    <m/>
    <m/>
    <m/>
    <m/>
    <m/>
    <m/>
    <m/>
    <m/>
  </r>
  <r>
    <n v="245"/>
    <n v="9615"/>
    <d v="1998-02-12T00:00:00"/>
    <n v="27"/>
    <x v="0"/>
    <x v="1"/>
    <d v="2016-10-03T00:00:00"/>
    <n v="9.8904109589041092"/>
    <x v="47"/>
    <x v="0"/>
    <x v="10"/>
    <x v="1"/>
    <n v="10.33"/>
    <n v="10.130000000000001"/>
    <n v="9.93"/>
    <n v="9.73"/>
    <n v="9.5299999999999994"/>
    <n v="9.33"/>
    <n v="9.1300000000000008"/>
    <x v="2"/>
    <n v="0"/>
    <n v="3"/>
    <m/>
    <m/>
    <m/>
    <m/>
    <m/>
    <m/>
    <m/>
    <m/>
    <m/>
    <m/>
    <m/>
    <m/>
    <m/>
    <m/>
  </r>
  <r>
    <n v="246"/>
    <n v="9618"/>
    <d v="1997-09-08T00:00:00"/>
    <n v="28"/>
    <x v="1"/>
    <x v="1"/>
    <d v="2016-02-12T00:00:00"/>
    <n v="8.9342465753424651"/>
    <x v="47"/>
    <x v="0"/>
    <x v="1"/>
    <x v="1"/>
    <n v="15.84"/>
    <n v="15.54"/>
    <n v="15.24"/>
    <n v="14.94"/>
    <n v="14.64"/>
    <n v="14.34"/>
    <n v="14.04"/>
    <x v="4"/>
    <n v="0"/>
    <n v="5"/>
    <m/>
    <m/>
    <m/>
    <m/>
    <m/>
    <m/>
    <m/>
    <m/>
    <m/>
    <m/>
    <m/>
    <m/>
    <m/>
    <m/>
  </r>
  <r>
    <n v="247"/>
    <n v="9621"/>
    <d v="1997-09-05T00:00:00"/>
    <n v="28"/>
    <x v="0"/>
    <x v="1"/>
    <d v="2017-01-26T00:00:00"/>
    <n v="9.2273972602739729"/>
    <x v="47"/>
    <x v="0"/>
    <x v="2"/>
    <x v="1"/>
    <n v="14.08"/>
    <n v="13.78"/>
    <n v="13.48"/>
    <n v="13.18"/>
    <n v="12.88"/>
    <n v="12.58"/>
    <n v="12.28"/>
    <x v="2"/>
    <n v="1"/>
    <n v="4"/>
    <m/>
    <m/>
    <m/>
    <m/>
    <m/>
    <m/>
    <m/>
    <m/>
    <m/>
    <m/>
    <m/>
    <m/>
    <m/>
    <m/>
  </r>
  <r>
    <n v="248"/>
    <n v="9628"/>
    <d v="1987-05-30T00:00:00"/>
    <n v="38"/>
    <x v="0"/>
    <x v="1"/>
    <d v="2016-10-11T00:00:00"/>
    <n v="9.1013698630136979"/>
    <x v="47"/>
    <x v="0"/>
    <x v="6"/>
    <x v="1"/>
    <n v="21.92"/>
    <n v="21.62"/>
    <n v="21.32"/>
    <n v="21.02"/>
    <n v="20.72"/>
    <n v="20.420000000000002"/>
    <n v="20.12"/>
    <x v="4"/>
    <n v="3"/>
    <n v="6"/>
    <m/>
    <m/>
    <m/>
    <m/>
    <m/>
    <m/>
    <m/>
    <m/>
    <m/>
    <m/>
    <m/>
    <m/>
    <m/>
    <m/>
  </r>
  <r>
    <n v="249"/>
    <n v="9629"/>
    <d v="1992-04-07T00:00:00"/>
    <n v="33"/>
    <x v="1"/>
    <x v="0"/>
    <d v="2016-11-26T00:00:00"/>
    <n v="9.912328767123288"/>
    <x v="47"/>
    <x v="0"/>
    <x v="7"/>
    <x v="1"/>
    <n v="16.84"/>
    <n v="16.54"/>
    <n v="16.239999999999998"/>
    <n v="15.94"/>
    <n v="15.64"/>
    <n v="15.34"/>
    <n v="15.04"/>
    <x v="3"/>
    <n v="2"/>
    <n v="7"/>
    <m/>
    <m/>
    <m/>
    <m/>
    <m/>
    <m/>
    <m/>
    <m/>
    <m/>
    <m/>
    <m/>
    <m/>
    <m/>
    <m/>
  </r>
  <r>
    <n v="250"/>
    <n v="9631"/>
    <d v="1994-05-10T00:00:00"/>
    <n v="31"/>
    <x v="1"/>
    <x v="1"/>
    <d v="2016-02-04T00:00:00"/>
    <n v="9.3561643835616444"/>
    <x v="47"/>
    <x v="0"/>
    <x v="7"/>
    <x v="1"/>
    <n v="16.84"/>
    <n v="16.54"/>
    <n v="16.239999999999998"/>
    <n v="15.94"/>
    <n v="15.64"/>
    <n v="15.34"/>
    <n v="15.04"/>
    <x v="3"/>
    <n v="2"/>
    <n v="7"/>
    <m/>
    <m/>
    <m/>
    <m/>
    <m/>
    <m/>
    <m/>
    <m/>
    <m/>
    <m/>
    <m/>
    <m/>
    <m/>
    <m/>
  </r>
  <r>
    <n v="251"/>
    <n v="9703"/>
    <d v="1994-06-13T00:00:00"/>
    <n v="31"/>
    <x v="0"/>
    <x v="1"/>
    <d v="2016-08-25T00:00:00"/>
    <n v="9.131506849315068"/>
    <x v="31"/>
    <x v="0"/>
    <x v="2"/>
    <x v="1"/>
    <n v="14.08"/>
    <n v="13.78"/>
    <n v="13.48"/>
    <n v="13.18"/>
    <n v="12.88"/>
    <n v="12.58"/>
    <n v="12.28"/>
    <x v="2"/>
    <n v="0"/>
    <n v="2"/>
    <m/>
    <m/>
    <m/>
    <m/>
    <m/>
    <m/>
    <m/>
    <m/>
    <m/>
    <m/>
    <m/>
    <m/>
    <m/>
    <m/>
  </r>
  <r>
    <n v="252"/>
    <n v="9741"/>
    <d v="1986-12-25T00:00:00"/>
    <n v="39"/>
    <x v="1"/>
    <x v="1"/>
    <d v="2016-11-15T00:00:00"/>
    <n v="9.6301369863013697"/>
    <x v="32"/>
    <x v="0"/>
    <x v="7"/>
    <x v="1"/>
    <n v="16.39"/>
    <n v="15.99"/>
    <n v="15.99"/>
    <n v="15.77"/>
    <n v="15.51"/>
    <n v="15.2"/>
    <n v="14.99"/>
    <x v="2"/>
    <n v="1"/>
    <n v="7"/>
    <m/>
    <m/>
    <m/>
    <m/>
    <m/>
    <m/>
    <m/>
    <m/>
    <m/>
    <m/>
    <m/>
    <m/>
    <m/>
    <m/>
  </r>
  <r>
    <n v="253"/>
    <n v="9979"/>
    <d v="1995-07-24T00:00:00"/>
    <n v="30"/>
    <x v="1"/>
    <x v="1"/>
    <d v="2016-05-17T00:00:00"/>
    <n v="9.5616438356164384"/>
    <x v="34"/>
    <x v="0"/>
    <x v="10"/>
    <x v="1"/>
    <n v="10.33"/>
    <n v="10.130000000000001"/>
    <n v="9.93"/>
    <n v="9.73"/>
    <n v="9.5299999999999994"/>
    <n v="9.33"/>
    <n v="9.1300000000000008"/>
    <x v="2"/>
    <n v="0"/>
    <n v="5"/>
    <m/>
    <m/>
    <m/>
    <m/>
    <m/>
    <m/>
    <m/>
    <m/>
    <m/>
    <m/>
    <m/>
    <m/>
    <m/>
    <m/>
  </r>
  <r>
    <n v="254"/>
    <n v="9983"/>
    <d v="1994-12-12T00:00:00"/>
    <n v="31"/>
    <x v="1"/>
    <x v="0"/>
    <d v="2016-06-11T00:00:00"/>
    <n v="9.6301369863013697"/>
    <x v="34"/>
    <x v="0"/>
    <x v="1"/>
    <x v="1"/>
    <n v="15.84"/>
    <n v="15.54"/>
    <n v="15.24"/>
    <n v="14.94"/>
    <n v="14.64"/>
    <n v="14.34"/>
    <n v="14.04"/>
    <x v="1"/>
    <n v="1"/>
    <n v="5"/>
    <m/>
    <m/>
    <m/>
    <m/>
    <m/>
    <m/>
    <m/>
    <m/>
    <m/>
    <m/>
    <m/>
    <m/>
    <m/>
    <m/>
  </r>
  <r>
    <n v="255"/>
    <n v="9985"/>
    <d v="1985-12-24T00:00:00"/>
    <n v="40"/>
    <x v="0"/>
    <x v="0"/>
    <d v="2016-05-17T00:00:00"/>
    <n v="9.6191780821917803"/>
    <x v="34"/>
    <x v="0"/>
    <x v="2"/>
    <x v="1"/>
    <n v="14.08"/>
    <n v="13.78"/>
    <n v="13.48"/>
    <n v="13.18"/>
    <n v="12.88"/>
    <n v="12.58"/>
    <n v="12.28"/>
    <x v="4"/>
    <n v="1"/>
    <n v="4"/>
    <m/>
    <m/>
    <m/>
    <m/>
    <m/>
    <m/>
    <m/>
    <m/>
    <m/>
    <m/>
    <m/>
    <m/>
    <m/>
    <m/>
  </r>
  <r>
    <n v="256"/>
    <n v="9986"/>
    <d v="1993-10-18T00:00:00"/>
    <n v="32"/>
    <x v="0"/>
    <x v="0"/>
    <d v="2016-05-21T00:00:00"/>
    <n v="9.5753424657534243"/>
    <x v="34"/>
    <x v="0"/>
    <x v="9"/>
    <x v="1"/>
    <n v="13.95"/>
    <n v="13.65"/>
    <n v="13.35"/>
    <n v="13.05"/>
    <n v="12.75"/>
    <n v="12.45"/>
    <n v="12.15"/>
    <x v="3"/>
    <n v="1"/>
    <n v="4"/>
    <m/>
    <m/>
    <m/>
    <m/>
    <m/>
    <m/>
    <m/>
    <m/>
    <m/>
    <m/>
    <m/>
    <m/>
    <m/>
    <m/>
  </r>
  <r>
    <n v="257"/>
    <n v="9987"/>
    <d v="1994-02-23T00:00:00"/>
    <n v="31"/>
    <x v="1"/>
    <x v="0"/>
    <d v="2016-06-06T00:00:00"/>
    <n v="9.8136986301369866"/>
    <x v="34"/>
    <x v="0"/>
    <x v="9"/>
    <x v="1"/>
    <n v="13.95"/>
    <n v="13.65"/>
    <n v="13.35"/>
    <n v="13.05"/>
    <n v="12.75"/>
    <n v="12.45"/>
    <n v="12.15"/>
    <x v="3"/>
    <n v="1"/>
    <n v="5"/>
    <m/>
    <m/>
    <m/>
    <m/>
    <m/>
    <m/>
    <m/>
    <m/>
    <m/>
    <m/>
    <m/>
    <m/>
    <m/>
    <m/>
  </r>
  <r>
    <n v="258"/>
    <n v="9990"/>
    <d v="1992-02-20T00:00:00"/>
    <n v="33"/>
    <x v="0"/>
    <x v="1"/>
    <d v="2016-03-11T00:00:00"/>
    <n v="9.0630136986301366"/>
    <x v="34"/>
    <x v="0"/>
    <x v="7"/>
    <x v="1"/>
    <n v="16.84"/>
    <n v="16.54"/>
    <n v="16.239999999999998"/>
    <n v="15.94"/>
    <n v="15.64"/>
    <n v="15.34"/>
    <n v="15.04"/>
    <x v="3"/>
    <n v="4"/>
    <n v="7"/>
    <m/>
    <m/>
    <m/>
    <m/>
    <m/>
    <m/>
    <m/>
    <m/>
    <m/>
    <m/>
    <m/>
    <m/>
    <m/>
    <m/>
  </r>
  <r>
    <n v="259"/>
    <n v="10184"/>
    <d v="1993-09-01T00:00:00"/>
    <n v="33"/>
    <x v="0"/>
    <x v="1"/>
    <d v="2016-12-10T00:00:00"/>
    <n v="9.131506849315068"/>
    <x v="67"/>
    <x v="0"/>
    <x v="7"/>
    <x v="1"/>
    <n v="16.84"/>
    <n v="16.54"/>
    <n v="16.239999999999998"/>
    <n v="15.94"/>
    <n v="15.64"/>
    <n v="15.34"/>
    <n v="15.04"/>
    <x v="2"/>
    <n v="4"/>
    <n v="5"/>
    <m/>
    <m/>
    <m/>
    <m/>
    <m/>
    <m/>
    <m/>
    <m/>
    <m/>
    <m/>
    <m/>
    <m/>
    <m/>
    <m/>
  </r>
  <r>
    <n v="260"/>
    <n v="10263"/>
    <d v="1992-10-09T00:00:00"/>
    <n v="33"/>
    <x v="1"/>
    <x v="1"/>
    <d v="2016-11-15T00:00:00"/>
    <n v="8.9698630136986299"/>
    <x v="35"/>
    <x v="0"/>
    <x v="2"/>
    <x v="1"/>
    <n v="14.08"/>
    <n v="13.78"/>
    <n v="13.48"/>
    <n v="13.18"/>
    <n v="12.88"/>
    <n v="12.58"/>
    <n v="12.28"/>
    <x v="2"/>
    <n v="0"/>
    <n v="6"/>
    <m/>
    <m/>
    <m/>
    <m/>
    <m/>
    <m/>
    <m/>
    <m/>
    <m/>
    <m/>
    <m/>
    <m/>
    <m/>
    <m/>
  </r>
  <r>
    <n v="261"/>
    <n v="10300"/>
    <d v="1989-11-23T00:00:00"/>
    <n v="36"/>
    <x v="1"/>
    <x v="1"/>
    <d v="2017-01-13T00:00:00"/>
    <n v="9.3863013698630144"/>
    <x v="36"/>
    <x v="0"/>
    <x v="1"/>
    <x v="1"/>
    <n v="15.84"/>
    <n v="15.54"/>
    <n v="15.24"/>
    <n v="14.94"/>
    <n v="14.64"/>
    <n v="14.34"/>
    <n v="14.04"/>
    <x v="2"/>
    <n v="0"/>
    <n v="6"/>
    <m/>
    <m/>
    <m/>
    <m/>
    <m/>
    <m/>
    <m/>
    <m/>
    <m/>
    <m/>
    <m/>
    <m/>
    <m/>
    <m/>
  </r>
  <r>
    <n v="262"/>
    <n v="10301"/>
    <d v="1996-05-16T00:00:00"/>
    <n v="29"/>
    <x v="0"/>
    <x v="1"/>
    <d v="2016-08-14T00:00:00"/>
    <n v="9.1232876712328768"/>
    <x v="36"/>
    <x v="0"/>
    <x v="2"/>
    <x v="1"/>
    <n v="14.08"/>
    <n v="13.78"/>
    <n v="13.48"/>
    <n v="13.18"/>
    <n v="12.88"/>
    <n v="12.58"/>
    <n v="12.28"/>
    <x v="2"/>
    <n v="1"/>
    <n v="4"/>
    <m/>
    <m/>
    <m/>
    <m/>
    <m/>
    <m/>
    <m/>
    <m/>
    <m/>
    <m/>
    <m/>
    <m/>
    <m/>
    <m/>
  </r>
  <r>
    <n v="263"/>
    <n v="10303"/>
    <d v="1997-07-14T00:00:00"/>
    <n v="28"/>
    <x v="1"/>
    <x v="1"/>
    <d v="2016-11-18T00:00:00"/>
    <n v="9.3123287671232884"/>
    <x v="36"/>
    <x v="0"/>
    <x v="9"/>
    <x v="1"/>
    <n v="13.95"/>
    <n v="13.65"/>
    <n v="13.35"/>
    <n v="13.05"/>
    <n v="12.75"/>
    <n v="12.45"/>
    <n v="12.15"/>
    <x v="3"/>
    <n v="0"/>
    <n v="4"/>
    <m/>
    <m/>
    <m/>
    <m/>
    <m/>
    <m/>
    <m/>
    <m/>
    <m/>
    <m/>
    <m/>
    <m/>
    <m/>
    <m/>
  </r>
  <r>
    <n v="264"/>
    <n v="10342"/>
    <d v="1994-04-23T00:00:00"/>
    <n v="31"/>
    <x v="0"/>
    <x v="1"/>
    <d v="2016-09-10T00:00:00"/>
    <n v="9.2904109589041095"/>
    <x v="57"/>
    <x v="0"/>
    <x v="2"/>
    <x v="1"/>
    <n v="14.08"/>
    <n v="13.78"/>
    <n v="13.48"/>
    <n v="13.18"/>
    <n v="12.88"/>
    <n v="12.58"/>
    <n v="12.28"/>
    <x v="2"/>
    <n v="0"/>
    <n v="4"/>
    <m/>
    <m/>
    <m/>
    <m/>
    <m/>
    <m/>
    <m/>
    <m/>
    <m/>
    <m/>
    <m/>
    <m/>
    <m/>
    <m/>
  </r>
  <r>
    <n v="265"/>
    <n v="10664"/>
    <d v="1996-12-28T00:00:00"/>
    <n v="29"/>
    <x v="0"/>
    <x v="1"/>
    <d v="2016-09-18T00:00:00"/>
    <n v="9.6630136986301363"/>
    <x v="37"/>
    <x v="0"/>
    <x v="2"/>
    <x v="1"/>
    <n v="14.08"/>
    <n v="13.78"/>
    <n v="13.48"/>
    <n v="13.18"/>
    <n v="12.88"/>
    <n v="12.58"/>
    <n v="12.28"/>
    <x v="2"/>
    <n v="0"/>
    <n v="4"/>
    <m/>
    <m/>
    <m/>
    <m/>
    <m/>
    <m/>
    <m/>
    <m/>
    <m/>
    <m/>
    <m/>
    <m/>
    <m/>
    <m/>
  </r>
  <r>
    <n v="266"/>
    <n v="10740"/>
    <d v="1994-05-29T00:00:00"/>
    <n v="31"/>
    <x v="0"/>
    <x v="1"/>
    <d v="2016-05-05T00:00:00"/>
    <n v="9.6054794520547944"/>
    <x v="38"/>
    <x v="0"/>
    <x v="10"/>
    <x v="1"/>
    <n v="10.33"/>
    <n v="10.130000000000001"/>
    <n v="9.93"/>
    <n v="9.73"/>
    <n v="9.5299999999999994"/>
    <n v="9.33"/>
    <n v="9.1300000000000008"/>
    <x v="4"/>
    <n v="1"/>
    <n v="4"/>
    <m/>
    <m/>
    <m/>
    <m/>
    <m/>
    <m/>
    <m/>
    <m/>
    <m/>
    <m/>
    <m/>
    <m/>
    <m/>
    <m/>
  </r>
  <r>
    <n v="267"/>
    <n v="10820"/>
    <d v="1981-02-22T00:00:00"/>
    <n v="44"/>
    <x v="1"/>
    <x v="1"/>
    <d v="2016-05-26T00:00:00"/>
    <n v="8.9780821917808211"/>
    <x v="39"/>
    <x v="1"/>
    <x v="1"/>
    <x v="1"/>
    <n v="15.84"/>
    <n v="15.54"/>
    <n v="15.24"/>
    <n v="14.94"/>
    <n v="14.64"/>
    <n v="14.34"/>
    <n v="14.04"/>
    <x v="2"/>
    <n v="1"/>
    <n v="5"/>
    <m/>
    <m/>
    <m/>
    <m/>
    <m/>
    <m/>
    <m/>
    <m/>
    <m/>
    <m/>
    <m/>
    <m/>
    <m/>
    <m/>
  </r>
  <r>
    <n v="268"/>
    <n v="10822"/>
    <d v="1995-01-15T00:00:00"/>
    <n v="30"/>
    <x v="1"/>
    <x v="1"/>
    <d v="2017-01-10T00:00:00"/>
    <n v="9.0383561643835613"/>
    <x v="39"/>
    <x v="1"/>
    <x v="9"/>
    <x v="1"/>
    <n v="13.95"/>
    <n v="13.65"/>
    <n v="13.35"/>
    <n v="13.05"/>
    <n v="12.75"/>
    <n v="12.45"/>
    <n v="12.15"/>
    <x v="2"/>
    <n v="0"/>
    <n v="5"/>
    <m/>
    <m/>
    <m/>
    <m/>
    <m/>
    <m/>
    <m/>
    <m/>
    <m/>
    <m/>
    <m/>
    <m/>
    <m/>
    <m/>
  </r>
  <r>
    <n v="269"/>
    <n v="11046"/>
    <d v="1995-07-30T00:00:00"/>
    <n v="30"/>
    <x v="0"/>
    <x v="1"/>
    <d v="2016-12-19T00:00:00"/>
    <n v="9.5150684931506841"/>
    <x v="97"/>
    <x v="1"/>
    <x v="6"/>
    <x v="1"/>
    <n v="19.97"/>
    <n v="19.97"/>
    <n v="19.82"/>
    <n v="19.82"/>
    <n v="19.82"/>
    <n v="19.670000000000002"/>
    <n v="19.670000000000002"/>
    <x v="2"/>
    <n v="7"/>
    <n v="5"/>
    <m/>
    <m/>
    <m/>
    <m/>
    <m/>
    <m/>
    <m/>
    <m/>
    <m/>
    <m/>
    <m/>
    <m/>
    <m/>
    <m/>
  </r>
  <r>
    <n v="270"/>
    <n v="11142"/>
    <d v="1993-07-18T00:00:00"/>
    <n v="32"/>
    <x v="0"/>
    <x v="0"/>
    <d v="2016-06-28T00:00:00"/>
    <n v="9.4"/>
    <x v="6"/>
    <x v="1"/>
    <x v="7"/>
    <x v="1"/>
    <n v="16.84"/>
    <n v="16.54"/>
    <n v="16.239999999999998"/>
    <n v="15.94"/>
    <n v="15.64"/>
    <n v="15.34"/>
    <n v="15.04"/>
    <x v="3"/>
    <n v="2"/>
    <n v="6"/>
    <m/>
    <m/>
    <m/>
    <m/>
    <m/>
    <m/>
    <m/>
    <m/>
    <m/>
    <m/>
    <m/>
    <m/>
    <m/>
    <m/>
  </r>
  <r>
    <n v="271"/>
    <n v="11196"/>
    <d v="1992-04-30T00:00:00"/>
    <n v="33"/>
    <x v="1"/>
    <x v="1"/>
    <d v="2016-08-09T00:00:00"/>
    <n v="8.912328767123288"/>
    <x v="46"/>
    <x v="1"/>
    <x v="11"/>
    <x v="1"/>
    <n v="15.55"/>
    <n v="15.35"/>
    <n v="15.15"/>
    <n v="14.95"/>
    <n v="14.75"/>
    <n v="14.55"/>
    <n v="14.35"/>
    <x v="2"/>
    <n v="2"/>
    <n v="6"/>
    <m/>
    <m/>
    <m/>
    <m/>
    <m/>
    <m/>
    <m/>
    <m/>
    <m/>
    <m/>
    <m/>
    <m/>
    <m/>
    <m/>
  </r>
  <r>
    <n v="272"/>
    <n v="11201"/>
    <d v="1992-09-20T00:00:00"/>
    <n v="33"/>
    <x v="1"/>
    <x v="0"/>
    <d v="2017-02-03T00:00:00"/>
    <n v="9.6794520547945204"/>
    <x v="46"/>
    <x v="1"/>
    <x v="1"/>
    <x v="1"/>
    <n v="15.84"/>
    <n v="15.54"/>
    <n v="15.24"/>
    <n v="14.94"/>
    <n v="14.64"/>
    <n v="14.34"/>
    <n v="14.04"/>
    <x v="2"/>
    <n v="0"/>
    <n v="5"/>
    <m/>
    <m/>
    <m/>
    <m/>
    <m/>
    <m/>
    <m/>
    <m/>
    <m/>
    <m/>
    <m/>
    <m/>
    <m/>
    <m/>
  </r>
  <r>
    <n v="273"/>
    <n v="11202"/>
    <d v="1994-11-01T00:00:00"/>
    <n v="32"/>
    <x v="1"/>
    <x v="0"/>
    <d v="2016-04-29T00:00:00"/>
    <n v="9.0246575342465754"/>
    <x v="46"/>
    <x v="1"/>
    <x v="9"/>
    <x v="1"/>
    <n v="13.95"/>
    <n v="13.65"/>
    <n v="13.35"/>
    <n v="13.05"/>
    <n v="12.75"/>
    <n v="12.45"/>
    <n v="12.15"/>
    <x v="2"/>
    <n v="0"/>
    <n v="6"/>
    <m/>
    <m/>
    <m/>
    <m/>
    <m/>
    <m/>
    <m/>
    <m/>
    <m/>
    <m/>
    <m/>
    <m/>
    <m/>
    <m/>
  </r>
  <r>
    <n v="274"/>
    <n v="11234"/>
    <d v="1986-08-12T00:00:00"/>
    <n v="39"/>
    <x v="0"/>
    <x v="1"/>
    <d v="2016-12-24T00:00:00"/>
    <n v="9.4246575342465757"/>
    <x v="9"/>
    <x v="1"/>
    <x v="3"/>
    <x v="1"/>
    <n v="17.09"/>
    <n v="16.79"/>
    <n v="16.489999999999998"/>
    <n v="16.190000000000001"/>
    <n v="15.89"/>
    <n v="15.59"/>
    <n v="15.29"/>
    <x v="2"/>
    <n v="2"/>
    <n v="5"/>
    <m/>
    <m/>
    <m/>
    <m/>
    <m/>
    <m/>
    <m/>
    <m/>
    <m/>
    <m/>
    <m/>
    <m/>
    <m/>
    <m/>
  </r>
  <r>
    <n v="275"/>
    <n v="11323"/>
    <d v="1992-06-16T00:00:00"/>
    <n v="33"/>
    <x v="1"/>
    <x v="0"/>
    <d v="2016-07-31T00:00:00"/>
    <n v="8.9698630136986299"/>
    <x v="30"/>
    <x v="1"/>
    <x v="7"/>
    <x v="1"/>
    <n v="16.84"/>
    <n v="16.54"/>
    <n v="16.239999999999998"/>
    <n v="15.94"/>
    <n v="15.64"/>
    <n v="15.34"/>
    <n v="15.04"/>
    <x v="2"/>
    <n v="1"/>
    <n v="4"/>
    <m/>
    <m/>
    <m/>
    <m/>
    <m/>
    <m/>
    <m/>
    <m/>
    <m/>
    <m/>
    <m/>
    <m/>
    <m/>
    <m/>
  </r>
  <r>
    <n v="276"/>
    <n v="11651"/>
    <d v="1993-03-04T00:00:00"/>
    <n v="32"/>
    <x v="1"/>
    <x v="1"/>
    <d v="2017-01-13T00:00:00"/>
    <n v="9.6657534246575345"/>
    <x v="54"/>
    <x v="1"/>
    <x v="7"/>
    <x v="1"/>
    <n v="16.84"/>
    <n v="16.54"/>
    <n v="16.239999999999998"/>
    <n v="15.94"/>
    <n v="15.64"/>
    <n v="15.34"/>
    <n v="15.04"/>
    <x v="4"/>
    <n v="0"/>
    <n v="6"/>
    <m/>
    <m/>
    <m/>
    <m/>
    <m/>
    <m/>
    <m/>
    <m/>
    <m/>
    <m/>
    <m/>
    <m/>
    <m/>
    <m/>
  </r>
  <r>
    <n v="277"/>
    <n v="11726"/>
    <d v="1990-02-16T00:00:00"/>
    <n v="35"/>
    <x v="1"/>
    <x v="1"/>
    <d v="2016-05-04T00:00:00"/>
    <n v="8.830136986301369"/>
    <x v="85"/>
    <x v="1"/>
    <x v="8"/>
    <x v="1"/>
    <n v="8.99"/>
    <n v="8.7799999999999994"/>
    <n v="8.51"/>
    <n v="8.27"/>
    <n v="7.98"/>
    <n v="7.72"/>
    <n v="7.48"/>
    <x v="2"/>
    <n v="4"/>
    <n v="6"/>
    <m/>
    <m/>
    <m/>
    <m/>
    <m/>
    <m/>
    <m/>
    <m/>
    <m/>
    <m/>
    <m/>
    <m/>
    <m/>
    <m/>
  </r>
  <r>
    <n v="278"/>
    <n v="11832"/>
    <d v="1996-06-15T00:00:00"/>
    <n v="29"/>
    <x v="0"/>
    <x v="1"/>
    <d v="2017-03-05T00:00:00"/>
    <n v="9.0465753424657542"/>
    <x v="62"/>
    <x v="1"/>
    <x v="9"/>
    <x v="1"/>
    <n v="13.95"/>
    <n v="13.65"/>
    <n v="13.35"/>
    <n v="13.05"/>
    <n v="12.75"/>
    <n v="12.45"/>
    <n v="12.15"/>
    <x v="2"/>
    <n v="0"/>
    <n v="4"/>
    <m/>
    <m/>
    <m/>
    <m/>
    <m/>
    <m/>
    <m/>
    <m/>
    <m/>
    <m/>
    <m/>
    <m/>
    <m/>
    <m/>
  </r>
  <r>
    <n v="279"/>
    <n v="11983"/>
    <d v="1991-11-05T00:00:00"/>
    <n v="34"/>
    <x v="1"/>
    <x v="0"/>
    <d v="2016-12-16T00:00:00"/>
    <n v="9.7452054794520553"/>
    <x v="64"/>
    <x v="1"/>
    <x v="1"/>
    <x v="1"/>
    <n v="15.84"/>
    <n v="15.54"/>
    <n v="15.24"/>
    <n v="14.94"/>
    <n v="14.64"/>
    <n v="14.34"/>
    <n v="14.04"/>
    <x v="1"/>
    <n v="1"/>
    <n v="6"/>
    <m/>
    <m/>
    <m/>
    <m/>
    <m/>
    <m/>
    <m/>
    <m/>
    <m/>
    <m/>
    <m/>
    <m/>
    <m/>
    <m/>
  </r>
  <r>
    <n v="280"/>
    <n v="12019"/>
    <d v="1988-05-06T00:00:00"/>
    <n v="37"/>
    <x v="0"/>
    <x v="1"/>
    <d v="2016-04-05T00:00:00"/>
    <n v="8.9972602739726035"/>
    <x v="65"/>
    <x v="1"/>
    <x v="7"/>
    <x v="1"/>
    <n v="16.84"/>
    <n v="16.54"/>
    <n v="16.239999999999998"/>
    <n v="15.94"/>
    <n v="15.64"/>
    <n v="15.34"/>
    <n v="15.04"/>
    <x v="3"/>
    <n v="4"/>
    <n v="4"/>
    <m/>
    <m/>
    <m/>
    <m/>
    <m/>
    <m/>
    <m/>
    <m/>
    <m/>
    <m/>
    <m/>
    <m/>
    <m/>
    <m/>
  </r>
  <r>
    <n v="281"/>
    <n v="12053"/>
    <d v="1992-01-26T00:00:00"/>
    <n v="33"/>
    <x v="0"/>
    <x v="1"/>
    <d v="2017-01-03T00:00:00"/>
    <n v="9.4986301369863018"/>
    <x v="66"/>
    <x v="1"/>
    <x v="7"/>
    <x v="1"/>
    <n v="16.84"/>
    <n v="16.54"/>
    <n v="16.239999999999998"/>
    <n v="15.94"/>
    <n v="15.64"/>
    <n v="15.34"/>
    <n v="15.04"/>
    <x v="4"/>
    <n v="2"/>
    <n v="2"/>
    <m/>
    <m/>
    <m/>
    <m/>
    <m/>
    <m/>
    <m/>
    <m/>
    <m/>
    <m/>
    <m/>
    <m/>
    <m/>
    <m/>
  </r>
  <r>
    <n v="282"/>
    <n v="12111"/>
    <d v="1993-01-18T00:00:00"/>
    <n v="32"/>
    <x v="0"/>
    <x v="1"/>
    <d v="2016-07-04T00:00:00"/>
    <n v="9.1534246575342468"/>
    <x v="69"/>
    <x v="1"/>
    <x v="1"/>
    <x v="1"/>
    <n v="15.84"/>
    <n v="15.54"/>
    <n v="15.24"/>
    <n v="14.94"/>
    <n v="14.64"/>
    <n v="14.34"/>
    <n v="14.04"/>
    <x v="3"/>
    <n v="1"/>
    <n v="4"/>
    <m/>
    <m/>
    <m/>
    <m/>
    <m/>
    <m/>
    <m/>
    <m/>
    <m/>
    <m/>
    <m/>
    <m/>
    <m/>
    <m/>
  </r>
  <r>
    <n v="283"/>
    <n v="12326"/>
    <d v="1990-12-26T00:00:00"/>
    <n v="35"/>
    <x v="1"/>
    <x v="1"/>
    <d v="2016-11-07T00:00:00"/>
    <n v="9.5561643835616437"/>
    <x v="75"/>
    <x v="1"/>
    <x v="7"/>
    <x v="1"/>
    <n v="16.84"/>
    <n v="16.54"/>
    <n v="16.239999999999998"/>
    <n v="15.94"/>
    <n v="15.64"/>
    <n v="15.34"/>
    <n v="15.04"/>
    <x v="1"/>
    <n v="4"/>
    <n v="6"/>
    <m/>
    <m/>
    <m/>
    <m/>
    <m/>
    <m/>
    <m/>
    <m/>
    <m/>
    <m/>
    <m/>
    <m/>
    <m/>
    <m/>
  </r>
  <r>
    <n v="284"/>
    <n v="12690"/>
    <d v="1989-11-28T00:00:00"/>
    <n v="36"/>
    <x v="1"/>
    <x v="1"/>
    <d v="2016-06-13T00:00:00"/>
    <n v="9.4328767123287669"/>
    <x v="81"/>
    <x v="1"/>
    <x v="1"/>
    <x v="1"/>
    <n v="15.84"/>
    <n v="15.54"/>
    <n v="15.24"/>
    <n v="14.94"/>
    <n v="14.64"/>
    <n v="14.34"/>
    <n v="14.04"/>
    <x v="3"/>
    <n v="1"/>
    <n v="6"/>
    <m/>
    <m/>
    <m/>
    <m/>
    <m/>
    <m/>
    <m/>
    <m/>
    <m/>
    <m/>
    <m/>
    <m/>
    <m/>
    <m/>
  </r>
  <r>
    <n v="285"/>
    <n v="12695"/>
    <d v="1980-12-24T00:00:00"/>
    <n v="45"/>
    <x v="0"/>
    <x v="1"/>
    <d v="2016-07-28T00:00:00"/>
    <n v="9.7452054794520553"/>
    <x v="81"/>
    <x v="1"/>
    <x v="7"/>
    <x v="1"/>
    <n v="16.84"/>
    <n v="16.54"/>
    <n v="16.239999999999998"/>
    <n v="15.94"/>
    <n v="15.64"/>
    <n v="15.34"/>
    <n v="15.04"/>
    <x v="2"/>
    <n v="2"/>
    <n v="4"/>
    <m/>
    <m/>
    <m/>
    <m/>
    <m/>
    <m/>
    <m/>
    <m/>
    <m/>
    <m/>
    <m/>
    <m/>
    <m/>
    <m/>
  </r>
  <r>
    <n v="286"/>
    <n v="12902"/>
    <d v="1997-09-22T00:00:00"/>
    <n v="28"/>
    <x v="1"/>
    <x v="1"/>
    <d v="2016-04-05T00:00:00"/>
    <n v="9.8739726027397268"/>
    <x v="84"/>
    <x v="1"/>
    <x v="2"/>
    <x v="1"/>
    <n v="14.08"/>
    <n v="13.78"/>
    <n v="13.48"/>
    <n v="13.18"/>
    <n v="12.88"/>
    <n v="12.58"/>
    <n v="12.28"/>
    <x v="1"/>
    <n v="0"/>
    <n v="6"/>
    <m/>
    <m/>
    <m/>
    <m/>
    <m/>
    <m/>
    <m/>
    <m/>
    <m/>
    <m/>
    <m/>
    <m/>
    <m/>
    <m/>
  </r>
  <r>
    <n v="287"/>
    <n v="12906"/>
    <d v="1992-07-23T00:00:00"/>
    <n v="33"/>
    <x v="0"/>
    <x v="1"/>
    <d v="2016-02-18T00:00:00"/>
    <n v="9.5643835616438349"/>
    <x v="84"/>
    <x v="1"/>
    <x v="7"/>
    <x v="1"/>
    <n v="16.84"/>
    <n v="16.54"/>
    <n v="16.239999999999998"/>
    <n v="15.94"/>
    <n v="15.64"/>
    <n v="15.34"/>
    <n v="15.04"/>
    <x v="3"/>
    <n v="0"/>
    <n v="4"/>
    <m/>
    <m/>
    <m/>
    <m/>
    <m/>
    <m/>
    <m/>
    <m/>
    <m/>
    <m/>
    <m/>
    <m/>
    <m/>
    <m/>
  </r>
  <r>
    <n v="288"/>
    <n v="12965"/>
    <d v="1981-09-20T00:00:00"/>
    <n v="44"/>
    <x v="1"/>
    <x v="1"/>
    <d v="2016-06-10T00:00:00"/>
    <n v="9.5452054794520542"/>
    <x v="86"/>
    <x v="1"/>
    <x v="2"/>
    <x v="1"/>
    <n v="14.08"/>
    <n v="13.78"/>
    <n v="13.48"/>
    <n v="13.18"/>
    <n v="12.88"/>
    <n v="12.58"/>
    <n v="12.28"/>
    <x v="2"/>
    <n v="0"/>
    <n v="5"/>
    <m/>
    <m/>
    <m/>
    <m/>
    <m/>
    <m/>
    <m/>
    <m/>
    <m/>
    <m/>
    <m/>
    <m/>
    <m/>
    <m/>
  </r>
  <r>
    <n v="289"/>
    <n v="13062"/>
    <d v="1994-02-21T00:00:00"/>
    <n v="31"/>
    <x v="0"/>
    <x v="1"/>
    <d v="2016-06-17T00:00:00"/>
    <n v="8.4219178082191775"/>
    <x v="98"/>
    <x v="1"/>
    <x v="10"/>
    <x v="1"/>
    <n v="9.86"/>
    <n v="9.7200000000000006"/>
    <n v="9.7200000000000006"/>
    <n v="9.44"/>
    <n v="9.2799999999999994"/>
    <n v="9.17"/>
    <n v="9.02"/>
    <x v="3"/>
    <n v="0"/>
    <n v="4"/>
    <m/>
    <m/>
    <m/>
    <m/>
    <m/>
    <m/>
    <m/>
    <m/>
    <m/>
    <m/>
    <m/>
    <m/>
    <m/>
    <m/>
  </r>
  <r>
    <n v="290"/>
    <n v="13238"/>
    <d v="1991-06-06T00:00:00"/>
    <n v="34"/>
    <x v="1"/>
    <x v="0"/>
    <d v="2017-08-01T00:00:00"/>
    <n v="7.4219178082191783"/>
    <x v="99"/>
    <x v="1"/>
    <x v="0"/>
    <x v="0"/>
    <n v="57110"/>
    <n v="56360"/>
    <n v="55610"/>
    <n v="54860"/>
    <n v="54110"/>
    <n v="47860"/>
    <n v="46860"/>
    <x v="5"/>
    <n v="4"/>
    <n v="6"/>
    <n v="6"/>
    <d v="2018-12-13T00:00:00"/>
    <s v="Assistant Manager, Medium Market"/>
    <d v="2020-08-13T00:00:00"/>
    <s v="Assistant Manager, Large Market"/>
    <m/>
    <m/>
    <n v="4"/>
    <n v="3"/>
    <n v="1"/>
    <n v="2"/>
    <n v="1"/>
    <n v="3"/>
    <n v="1"/>
  </r>
  <r>
    <n v="291"/>
    <n v="13241"/>
    <d v="1992-11-08T00:00:00"/>
    <n v="33"/>
    <x v="1"/>
    <x v="1"/>
    <d v="2018-08-01T00:00:00"/>
    <n v="7.4219178082191783"/>
    <x v="75"/>
    <x v="1"/>
    <x v="0"/>
    <x v="0"/>
    <n v="60538"/>
    <n v="59038"/>
    <n v="57538"/>
    <n v="56038"/>
    <n v="54538"/>
    <n v="47538"/>
    <n v="46408"/>
    <x v="7"/>
    <n v="0"/>
    <n v="6"/>
    <n v="6"/>
    <d v="2019-01-10T00:00:00"/>
    <s v="Assistant Manager, Medium Market"/>
    <d v="2020-09-12T00:00:00"/>
    <s v="Assistant Manager, Large Market"/>
    <m/>
    <m/>
    <n v="3"/>
    <n v="3"/>
    <n v="4"/>
    <n v="5"/>
    <n v="5"/>
    <n v="4"/>
    <n v="3"/>
  </r>
  <r>
    <n v="292"/>
    <n v="13242"/>
    <d v="1992-05-20T00:00:00"/>
    <n v="33"/>
    <x v="1"/>
    <x v="1"/>
    <d v="2018-08-01T00:00:00"/>
    <n v="7.4219178082191783"/>
    <x v="84"/>
    <x v="1"/>
    <x v="0"/>
    <x v="0"/>
    <n v="60290"/>
    <n v="58790"/>
    <n v="57290"/>
    <n v="55790"/>
    <n v="54290"/>
    <n v="47290"/>
    <n v="45860"/>
    <x v="0"/>
    <n v="2"/>
    <n v="6"/>
    <n v="6"/>
    <d v="2019-02-07T00:00:00"/>
    <s v="Assistant Manager, Medium Market"/>
    <d v="2020-08-11T00:00:00"/>
    <s v="Assistant Manager, Large Market"/>
    <m/>
    <m/>
    <n v="5"/>
    <n v="5"/>
    <n v="5"/>
    <n v="4"/>
    <n v="5"/>
    <n v="5"/>
    <n v="3"/>
  </r>
  <r>
    <n v="293"/>
    <n v="13245"/>
    <d v="1991-07-23T00:00:00"/>
    <n v="34"/>
    <x v="1"/>
    <x v="0"/>
    <d v="2018-08-01T00:00:00"/>
    <n v="7.4219178082191783"/>
    <x v="40"/>
    <x v="1"/>
    <x v="0"/>
    <x v="0"/>
    <n v="64882"/>
    <n v="62727"/>
    <n v="61582"/>
    <n v="60735"/>
    <n v="58842"/>
    <n v="51860"/>
    <n v="49860"/>
    <x v="8"/>
    <n v="3"/>
    <n v="5"/>
    <n v="6"/>
    <d v="2018-12-31T00:00:00"/>
    <s v="Assistant Manager, Medium Market"/>
    <d v="2020-08-05T00:00:00"/>
    <s v="Assistant Manager, Large Market"/>
    <m/>
    <m/>
    <n v="5"/>
    <n v="5"/>
    <n v="5"/>
    <n v="5"/>
    <n v="5"/>
    <n v="5"/>
    <n v="5"/>
  </r>
  <r>
    <n v="294"/>
    <n v="13249"/>
    <d v="1992-06-13T00:00:00"/>
    <n v="33"/>
    <x v="0"/>
    <x v="1"/>
    <d v="2018-08-01T00:00:00"/>
    <n v="7.4219178082191783"/>
    <x v="65"/>
    <x v="1"/>
    <x v="0"/>
    <x v="0"/>
    <n v="60860"/>
    <n v="59360"/>
    <n v="57860"/>
    <n v="56360"/>
    <n v="54860"/>
    <n v="47860"/>
    <n v="46860"/>
    <x v="12"/>
    <n v="3"/>
    <n v="6"/>
    <n v="5"/>
    <d v="2018-12-29T00:00:00"/>
    <s v="Assistant Manager, Medium Market"/>
    <d v="2020-11-01T00:00:00"/>
    <s v="Assistant Manager, Large Market"/>
    <m/>
    <m/>
    <n v="5"/>
    <n v="4"/>
    <n v="4"/>
    <n v="3"/>
    <n v="5"/>
    <n v="3"/>
    <n v="3"/>
  </r>
  <r>
    <n v="295"/>
    <n v="13252"/>
    <d v="1991-11-17T00:00:00"/>
    <n v="34"/>
    <x v="1"/>
    <x v="1"/>
    <d v="2018-08-01T00:00:00"/>
    <n v="8.4219178082191775"/>
    <x v="51"/>
    <x v="1"/>
    <x v="0"/>
    <x v="0"/>
    <n v="62110"/>
    <n v="60610"/>
    <n v="59110"/>
    <n v="57610"/>
    <n v="56110"/>
    <n v="49110"/>
    <n v="47860"/>
    <x v="8"/>
    <n v="0"/>
    <n v="4"/>
    <n v="6"/>
    <d v="2018-05-26T00:00:00"/>
    <s v="Assistant Manager, Medium Market"/>
    <d v="2020-04-06T00:00:00"/>
    <s v="Assistant Manager, Large Market"/>
    <m/>
    <m/>
    <n v="5"/>
    <n v="5"/>
    <n v="4"/>
    <n v="3"/>
    <n v="4"/>
    <n v="4"/>
    <n v="4"/>
  </r>
  <r>
    <n v="296"/>
    <n v="13253"/>
    <d v="1989-11-01T00:00:00"/>
    <n v="37"/>
    <x v="1"/>
    <x v="1"/>
    <d v="2017-08-01T00:00:00"/>
    <n v="7.4219178082191783"/>
    <x v="100"/>
    <x v="1"/>
    <x v="0"/>
    <x v="0"/>
    <n v="71360"/>
    <n v="69110"/>
    <n v="66860"/>
    <n v="63860"/>
    <n v="60860"/>
    <n v="49360"/>
    <n v="47860"/>
    <x v="8"/>
    <n v="1"/>
    <n v="6"/>
    <n v="6"/>
    <d v="2019-01-26T00:00:00"/>
    <s v="Assistant Manager, Medium Market"/>
    <d v="2020-10-04T00:00:00"/>
    <s v="Assistant Manager, Large Market"/>
    <m/>
    <m/>
    <n v="5"/>
    <n v="4"/>
    <n v="4"/>
    <n v="5"/>
    <n v="5"/>
    <n v="5"/>
    <n v="4"/>
  </r>
  <r>
    <n v="297"/>
    <n v="13254"/>
    <d v="1990-06-30T00:00:00"/>
    <n v="35"/>
    <x v="0"/>
    <x v="1"/>
    <d v="2018-08-01T00:00:00"/>
    <n v="7.4219178082191783"/>
    <x v="98"/>
    <x v="1"/>
    <x v="0"/>
    <x v="0"/>
    <n v="65503"/>
    <n v="64518"/>
    <n v="62794"/>
    <n v="61773"/>
    <n v="60090"/>
    <n v="50360"/>
    <n v="48860"/>
    <x v="10"/>
    <n v="4"/>
    <n v="5"/>
    <n v="4"/>
    <d v="2018-05-28T00:00:00"/>
    <s v="Assistant Manager, Medium Market"/>
    <d v="2020-10-24T00:00:00"/>
    <s v="Assistant Manager, Large Market"/>
    <m/>
    <m/>
    <n v="4"/>
    <n v="4"/>
    <n v="4"/>
    <n v="3"/>
    <n v="2"/>
    <n v="5"/>
    <n v="4"/>
  </r>
  <r>
    <n v="298"/>
    <n v="13258"/>
    <d v="1991-11-20T00:00:00"/>
    <n v="34"/>
    <x v="1"/>
    <x v="0"/>
    <d v="2018-08-01T00:00:00"/>
    <n v="7.4219178082191783"/>
    <x v="48"/>
    <x v="1"/>
    <x v="0"/>
    <x v="0"/>
    <n v="60860"/>
    <n v="59360"/>
    <n v="57860"/>
    <n v="56360"/>
    <n v="54860"/>
    <n v="47860"/>
    <n v="46860"/>
    <x v="9"/>
    <n v="4"/>
    <n v="6"/>
    <n v="6"/>
    <d v="2018-09-01T00:00:00"/>
    <s v="Assistant Manager, Medium Market"/>
    <d v="2020-06-15T00:00:00"/>
    <s v="Assistant Manager, Large Market"/>
    <m/>
    <m/>
    <n v="5"/>
    <n v="5"/>
    <n v="5"/>
    <n v="5"/>
    <n v="4"/>
    <n v="5"/>
    <n v="3"/>
  </r>
  <r>
    <n v="299"/>
    <n v="13261"/>
    <d v="1991-10-02T00:00:00"/>
    <n v="34"/>
    <x v="0"/>
    <x v="1"/>
    <d v="2018-08-01T00:00:00"/>
    <n v="8.4219178082191775"/>
    <x v="101"/>
    <x v="1"/>
    <x v="0"/>
    <x v="0"/>
    <n v="58297"/>
    <n v="57207"/>
    <n v="55784"/>
    <n v="55784"/>
    <n v="53945"/>
    <n v="46360"/>
    <n v="45860"/>
    <x v="10"/>
    <n v="4"/>
    <n v="5"/>
    <n v="5"/>
    <d v="2018-10-08T00:00:00"/>
    <s v="Assistant Manager, Medium Market"/>
    <d v="2020-10-15T00:00:00"/>
    <s v="Assistant Manager, Large Market"/>
    <m/>
    <m/>
    <n v="1"/>
    <n v="2"/>
    <n v="3"/>
    <n v="3"/>
    <n v="3"/>
    <n v="3"/>
    <n v="2"/>
  </r>
  <r>
    <n v="300"/>
    <n v="13288"/>
    <d v="1992-02-20T00:00:00"/>
    <n v="33"/>
    <x v="1"/>
    <x v="0"/>
    <d v="2017-08-01T00:00:00"/>
    <n v="8.4219178082191775"/>
    <x v="102"/>
    <x v="0"/>
    <x v="0"/>
    <x v="0"/>
    <n v="61359"/>
    <n v="59182"/>
    <n v="57222"/>
    <n v="55610"/>
    <n v="54110"/>
    <n v="47860"/>
    <n v="46860"/>
    <x v="0"/>
    <n v="3"/>
    <n v="6"/>
    <n v="6"/>
    <d v="2019-01-27T00:00:00"/>
    <s v="Assistant Manager, Medium Market"/>
    <d v="2020-12-07T00:00:00"/>
    <s v="Assistant Manager, Large Market"/>
    <d v="2021-09-05T00:00:00"/>
    <s v="Manager, Medium Market"/>
    <n v="5"/>
    <n v="5"/>
    <n v="5"/>
    <n v="4"/>
    <n v="5"/>
    <n v="5"/>
    <n v="5"/>
  </r>
  <r>
    <n v="301"/>
    <n v="13292"/>
    <d v="1992-07-26T00:00:00"/>
    <n v="33"/>
    <x v="0"/>
    <x v="1"/>
    <d v="2017-08-01T00:00:00"/>
    <n v="7.4219178082191783"/>
    <x v="103"/>
    <x v="1"/>
    <x v="0"/>
    <x v="0"/>
    <n v="66860"/>
    <n v="64610"/>
    <n v="62360"/>
    <n v="60110"/>
    <n v="50110"/>
    <n v="48860"/>
    <n v="47860"/>
    <x v="12"/>
    <n v="1"/>
    <n v="4"/>
    <n v="5"/>
    <d v="2018-02-27T00:00:00"/>
    <s v="Assistant Manager, Medium Market"/>
    <d v="2021-08-18T00:00:00"/>
    <s v="Assistant Manager, Large Market"/>
    <m/>
    <m/>
    <n v="5"/>
    <n v="5"/>
    <n v="5"/>
    <n v="5"/>
    <n v="5"/>
    <n v="4"/>
    <n v="3"/>
  </r>
  <r>
    <n v="302"/>
    <n v="13294"/>
    <d v="1993-05-03T00:00:00"/>
    <n v="32"/>
    <x v="0"/>
    <x v="1"/>
    <d v="2018-08-01T00:00:00"/>
    <n v="7.4219178082191783"/>
    <x v="39"/>
    <x v="1"/>
    <x v="0"/>
    <x v="0"/>
    <n v="62110"/>
    <n v="60235"/>
    <n v="58360"/>
    <n v="56110"/>
    <n v="46860"/>
    <n v="46860"/>
    <n v="46360"/>
    <x v="7"/>
    <n v="4"/>
    <n v="6"/>
    <n v="5"/>
    <d v="2018-05-06T00:00:00"/>
    <s v="Assistant Manager, Medium Market"/>
    <d v="2021-07-28T00:00:00"/>
    <s v="Assistant Manager, Large Market"/>
    <m/>
    <m/>
    <n v="5"/>
    <n v="4"/>
    <n v="4"/>
    <n v="5"/>
    <n v="4"/>
    <n v="2"/>
    <n v="2"/>
  </r>
  <r>
    <n v="303"/>
    <n v="13296"/>
    <d v="1991-02-04T00:00:00"/>
    <n v="34"/>
    <x v="1"/>
    <x v="1"/>
    <d v="2018-08-01T00:00:00"/>
    <n v="8.4219178082191775"/>
    <x v="60"/>
    <x v="1"/>
    <x v="0"/>
    <x v="0"/>
    <n v="65110"/>
    <n v="62110"/>
    <n v="59110"/>
    <n v="56860"/>
    <n v="46860"/>
    <n v="46360"/>
    <n v="46360"/>
    <x v="7"/>
    <n v="2"/>
    <n v="5"/>
    <n v="7"/>
    <d v="2018-12-30T00:00:00"/>
    <s v="Assistant Manager, Medium Market"/>
    <d v="2021-04-22T00:00:00"/>
    <s v="Assistant Manager, Large Market"/>
    <m/>
    <m/>
    <n v="4"/>
    <n v="5"/>
    <n v="5"/>
    <n v="4"/>
    <n v="4"/>
    <n v="3"/>
    <n v="1"/>
  </r>
  <r>
    <n v="304"/>
    <n v="13298"/>
    <d v="1990-03-23T00:00:00"/>
    <n v="35"/>
    <x v="1"/>
    <x v="1"/>
    <d v="2017-08-01T00:00:00"/>
    <n v="8.4219178082191775"/>
    <x v="74"/>
    <x v="1"/>
    <x v="0"/>
    <x v="0"/>
    <n v="70360"/>
    <n v="68110"/>
    <n v="66610"/>
    <n v="64360"/>
    <n v="52860"/>
    <n v="50860"/>
    <n v="48860"/>
    <x v="10"/>
    <n v="0"/>
    <n v="7"/>
    <n v="7"/>
    <d v="2018-03-08T00:00:00"/>
    <s v="Assistant Manager, Medium Market"/>
    <d v="2021-03-01T00:00:00"/>
    <s v="Assistant Manager, Large Market"/>
    <m/>
    <m/>
    <n v="5"/>
    <n v="4"/>
    <n v="3"/>
    <n v="4"/>
    <n v="5"/>
    <n v="5"/>
    <n v="5"/>
  </r>
  <r>
    <n v="305"/>
    <n v="13302"/>
    <d v="1992-03-28T00:00:00"/>
    <n v="33"/>
    <x v="1"/>
    <x v="1"/>
    <d v="2017-08-01T00:00:00"/>
    <n v="8.4219178082191775"/>
    <x v="79"/>
    <x v="1"/>
    <x v="0"/>
    <x v="0"/>
    <n v="59490"/>
    <n v="57990"/>
    <n v="56490"/>
    <n v="54990"/>
    <n v="47990"/>
    <n v="47419"/>
    <n v="47419"/>
    <x v="11"/>
    <n v="3"/>
    <n v="6"/>
    <n v="7"/>
    <d v="2018-11-06T00:00:00"/>
    <s v="Assistant Manager, Medium Market"/>
    <d v="2021-10-07T00:00:00"/>
    <s v="Assistant Manager, Large Market"/>
    <m/>
    <m/>
    <n v="5"/>
    <n v="5"/>
    <n v="5"/>
    <n v="5"/>
    <n v="5"/>
    <n v="5"/>
    <n v="5"/>
  </r>
  <r>
    <n v="306"/>
    <n v="13312"/>
    <d v="1991-05-19T00:00:00"/>
    <n v="34"/>
    <x v="1"/>
    <x v="1"/>
    <d v="2017-08-01T00:00:00"/>
    <n v="7.4109589041095889"/>
    <x v="86"/>
    <x v="1"/>
    <x v="0"/>
    <x v="0"/>
    <n v="66860"/>
    <n v="64610"/>
    <n v="62360"/>
    <n v="60110"/>
    <n v="50110"/>
    <n v="48860"/>
    <n v="47860"/>
    <x v="10"/>
    <n v="1"/>
    <n v="7"/>
    <n v="7"/>
    <d v="2018-03-13T00:00:00"/>
    <s v="Assistant Manager, Medium Market"/>
    <d v="2021-10-27T00:00:00"/>
    <s v="Assistant Manager, Large Market"/>
    <m/>
    <m/>
    <n v="5"/>
    <n v="5"/>
    <n v="5"/>
    <n v="5"/>
    <n v="5"/>
    <n v="4"/>
    <n v="3"/>
  </r>
  <r>
    <n v="307"/>
    <n v="13319"/>
    <d v="1993-11-11T00:00:00"/>
    <n v="32"/>
    <x v="0"/>
    <x v="0"/>
    <d v="2018-08-05T00:00:00"/>
    <n v="7.3479452054794523"/>
    <x v="43"/>
    <x v="1"/>
    <x v="0"/>
    <x v="0"/>
    <n v="60070"/>
    <n v="59120"/>
    <n v="57157"/>
    <n v="55602"/>
    <n v="47837"/>
    <n v="47306"/>
    <n v="45919"/>
    <x v="5"/>
    <n v="4"/>
    <n v="5"/>
    <n v="5"/>
    <d v="2021-12-08T00:00:00"/>
    <s v="Assistant Manager, Large Market"/>
    <m/>
    <m/>
    <m/>
    <m/>
    <n v="4"/>
    <n v="5"/>
    <n v="5"/>
    <n v="2"/>
    <n v="2"/>
    <n v="3"/>
    <n v="4"/>
  </r>
  <r>
    <n v="308"/>
    <n v="13322"/>
    <d v="1993-06-01T00:00:00"/>
    <n v="33"/>
    <x v="0"/>
    <x v="1"/>
    <d v="2018-08-28T00:00:00"/>
    <n v="7.4109589041095889"/>
    <x v="104"/>
    <x v="1"/>
    <x v="0"/>
    <x v="0"/>
    <n v="59860"/>
    <n v="58360"/>
    <n v="56860"/>
    <n v="55360"/>
    <n v="48360"/>
    <n v="46860"/>
    <n v="45860"/>
    <x v="9"/>
    <n v="2"/>
    <n v="6"/>
    <n v="4"/>
    <d v="2021-03-23T00:00:00"/>
    <s v="Assistant Manager, Large Market"/>
    <m/>
    <m/>
    <m/>
    <m/>
    <n v="4"/>
    <n v="3"/>
    <n v="3"/>
    <n v="4"/>
    <n v="5"/>
    <n v="5"/>
    <n v="3"/>
  </r>
  <r>
    <n v="309"/>
    <n v="13323"/>
    <d v="1992-09-04T00:00:00"/>
    <n v="33"/>
    <x v="1"/>
    <x v="1"/>
    <d v="2018-08-05T00:00:00"/>
    <n v="8.5095890410958912"/>
    <x v="105"/>
    <x v="1"/>
    <x v="0"/>
    <x v="0"/>
    <n v="63360"/>
    <n v="61110"/>
    <n v="58860"/>
    <n v="57360"/>
    <n v="48860"/>
    <n v="47860"/>
    <n v="46360"/>
    <x v="10"/>
    <n v="3"/>
    <n v="7"/>
    <n v="6"/>
    <d v="2021-03-03T00:00:00"/>
    <s v="Assistant Manager, Large Market"/>
    <m/>
    <m/>
    <m/>
    <m/>
    <n v="5"/>
    <n v="5"/>
    <n v="5"/>
    <n v="3"/>
    <n v="3"/>
    <n v="3"/>
    <n v="4"/>
  </r>
  <r>
    <n v="310"/>
    <n v="13335"/>
    <d v="1987-12-17T00:00:00"/>
    <n v="38"/>
    <x v="0"/>
    <x v="0"/>
    <d v="2017-06-30T00:00:00"/>
    <n v="8.5123287671232877"/>
    <x v="3"/>
    <x v="0"/>
    <x v="4"/>
    <x v="1"/>
    <n v="32.549999999999997"/>
    <n v="32.25"/>
    <n v="31.95"/>
    <n v="31.65"/>
    <n v="31.35"/>
    <n v="31.05"/>
    <n v="30.75"/>
    <x v="4"/>
    <n v="0"/>
    <n v="4"/>
    <m/>
    <m/>
    <m/>
    <m/>
    <m/>
    <m/>
    <m/>
    <m/>
    <m/>
    <m/>
    <m/>
    <m/>
    <m/>
    <m/>
  </r>
  <r>
    <n v="311"/>
    <n v="13394"/>
    <d v="1985-01-02T00:00:00"/>
    <n v="40"/>
    <x v="1"/>
    <x v="1"/>
    <d v="2017-06-29T00:00:00"/>
    <n v="8.1260273972602732"/>
    <x v="93"/>
    <x v="1"/>
    <x v="4"/>
    <x v="1"/>
    <n v="32.53"/>
    <n v="32.15"/>
    <n v="31.73"/>
    <n v="31.73"/>
    <n v="31.35"/>
    <n v="31.07"/>
    <n v="30.86"/>
    <x v="1"/>
    <n v="0"/>
    <n v="5"/>
    <m/>
    <m/>
    <m/>
    <m/>
    <m/>
    <m/>
    <m/>
    <m/>
    <m/>
    <m/>
    <m/>
    <m/>
    <m/>
    <m/>
  </r>
  <r>
    <n v="312"/>
    <n v="13405"/>
    <d v="1991-11-01T00:00:00"/>
    <n v="35"/>
    <x v="0"/>
    <x v="1"/>
    <d v="2017-11-17T00:00:00"/>
    <n v="8.5671232876712331"/>
    <x v="0"/>
    <x v="0"/>
    <x v="4"/>
    <x v="1"/>
    <n v="32.549999999999997"/>
    <n v="32.25"/>
    <n v="31.95"/>
    <n v="31.65"/>
    <n v="31.35"/>
    <n v="31.05"/>
    <n v="30.75"/>
    <x v="2"/>
    <n v="0"/>
    <n v="4"/>
    <m/>
    <m/>
    <m/>
    <m/>
    <m/>
    <m/>
    <m/>
    <m/>
    <m/>
    <m/>
    <m/>
    <m/>
    <m/>
    <m/>
  </r>
  <r>
    <n v="313"/>
    <n v="13430"/>
    <d v="1979-05-26T00:00:00"/>
    <n v="46"/>
    <x v="0"/>
    <x v="0"/>
    <d v="2017-06-09T00:00:00"/>
    <n v="8.367123287671232"/>
    <x v="18"/>
    <x v="0"/>
    <x v="4"/>
    <x v="1"/>
    <n v="32.520000000000003"/>
    <n v="32.229999999999997"/>
    <n v="31.92"/>
    <n v="31.64"/>
    <n v="31.2"/>
    <n v="31.2"/>
    <n v="30.76"/>
    <x v="4"/>
    <n v="0"/>
    <n v="5"/>
    <m/>
    <m/>
    <m/>
    <m/>
    <m/>
    <m/>
    <m/>
    <m/>
    <m/>
    <m/>
    <m/>
    <m/>
    <m/>
    <m/>
  </r>
  <r>
    <n v="314"/>
    <n v="13437"/>
    <d v="1987-03-21T00:00:00"/>
    <n v="38"/>
    <x v="0"/>
    <x v="1"/>
    <d v="2017-08-21T00:00:00"/>
    <n v="8.6767123287671239"/>
    <x v="21"/>
    <x v="0"/>
    <x v="4"/>
    <x v="1"/>
    <n v="32.549999999999997"/>
    <n v="32.25"/>
    <n v="31.95"/>
    <n v="31.65"/>
    <n v="31.35"/>
    <n v="31.05"/>
    <n v="30.75"/>
    <x v="2"/>
    <n v="0"/>
    <n v="4"/>
    <m/>
    <m/>
    <m/>
    <m/>
    <m/>
    <m/>
    <m/>
    <m/>
    <m/>
    <m/>
    <m/>
    <m/>
    <m/>
    <m/>
  </r>
  <r>
    <n v="315"/>
    <n v="13454"/>
    <d v="1990-06-23T00:00:00"/>
    <n v="35"/>
    <x v="0"/>
    <x v="1"/>
    <d v="2017-04-30T00:00:00"/>
    <n v="8.5780821917808225"/>
    <x v="61"/>
    <x v="0"/>
    <x v="4"/>
    <x v="1"/>
    <n v="32.450000000000003"/>
    <n v="32.159999999999997"/>
    <n v="31.81"/>
    <n v="31.57"/>
    <n v="31.17"/>
    <n v="31.01"/>
    <n v="30.65"/>
    <x v="4"/>
    <n v="0"/>
    <n v="4"/>
    <m/>
    <m/>
    <m/>
    <m/>
    <m/>
    <m/>
    <m/>
    <m/>
    <m/>
    <m/>
    <m/>
    <m/>
    <m/>
    <m/>
  </r>
  <r>
    <n v="316"/>
    <n v="13478"/>
    <d v="1987-02-01T00:00:00"/>
    <n v="39"/>
    <x v="0"/>
    <x v="1"/>
    <d v="2017-06-05T00:00:00"/>
    <n v="8.1342465753424662"/>
    <x v="36"/>
    <x v="0"/>
    <x v="4"/>
    <x v="1"/>
    <n v="32.549999999999997"/>
    <n v="32.25"/>
    <n v="31.95"/>
    <n v="31.65"/>
    <n v="31.35"/>
    <n v="31.05"/>
    <n v="30.75"/>
    <x v="2"/>
    <n v="0"/>
    <n v="4"/>
    <m/>
    <m/>
    <m/>
    <m/>
    <m/>
    <m/>
    <m/>
    <m/>
    <m/>
    <m/>
    <m/>
    <m/>
    <m/>
    <m/>
  </r>
  <r>
    <n v="317"/>
    <n v="13498"/>
    <d v="1985-08-22T00:00:00"/>
    <n v="40"/>
    <x v="0"/>
    <x v="1"/>
    <d v="2017-11-14T00:00:00"/>
    <n v="7.9068493150684933"/>
    <x v="106"/>
    <x v="1"/>
    <x v="4"/>
    <x v="1"/>
    <n v="32.75"/>
    <n v="32.33"/>
    <n v="31.91"/>
    <n v="31.91"/>
    <n v="31.53"/>
    <n v="31.22"/>
    <n v="30.89"/>
    <x v="2"/>
    <n v="0"/>
    <n v="4"/>
    <m/>
    <m/>
    <m/>
    <m/>
    <m/>
    <m/>
    <m/>
    <m/>
    <m/>
    <m/>
    <m/>
    <m/>
    <m/>
    <m/>
  </r>
  <r>
    <n v="318"/>
    <n v="13510"/>
    <d v="1989-05-07T00:00:00"/>
    <n v="36"/>
    <x v="1"/>
    <x v="1"/>
    <d v="2018-02-05T00:00:00"/>
    <n v="8.6301369863013697"/>
    <x v="97"/>
    <x v="1"/>
    <x v="4"/>
    <x v="1"/>
    <n v="31.35"/>
    <n v="31.2"/>
    <n v="31.05"/>
    <n v="31.05"/>
    <n v="30.9"/>
    <n v="30.75"/>
    <n v="30.6"/>
    <x v="2"/>
    <n v="0"/>
    <n v="4"/>
    <m/>
    <m/>
    <m/>
    <m/>
    <m/>
    <m/>
    <m/>
    <m/>
    <m/>
    <m/>
    <m/>
    <m/>
    <m/>
    <m/>
  </r>
  <r>
    <n v="319"/>
    <n v="13563"/>
    <d v="1988-10-06T00:00:00"/>
    <n v="37"/>
    <x v="0"/>
    <x v="1"/>
    <d v="2017-05-17T00:00:00"/>
    <n v="8.3917808219178074"/>
    <x v="65"/>
    <x v="1"/>
    <x v="4"/>
    <x v="1"/>
    <n v="32.549999999999997"/>
    <n v="32.25"/>
    <n v="31.95"/>
    <n v="31.65"/>
    <n v="31.35"/>
    <n v="31.05"/>
    <n v="30.75"/>
    <x v="2"/>
    <n v="0"/>
    <n v="3"/>
    <m/>
    <m/>
    <m/>
    <m/>
    <m/>
    <m/>
    <m/>
    <m/>
    <m/>
    <m/>
    <m/>
    <m/>
    <m/>
    <m/>
  </r>
  <r>
    <n v="320"/>
    <n v="13566"/>
    <d v="1991-08-30T00:00:00"/>
    <n v="34"/>
    <x v="1"/>
    <x v="1"/>
    <d v="2017-08-12T00:00:00"/>
    <n v="7.9452054794520546"/>
    <x v="68"/>
    <x v="1"/>
    <x v="4"/>
    <x v="1"/>
    <n v="32.549999999999997"/>
    <n v="32.25"/>
    <n v="31.95"/>
    <n v="31.65"/>
    <n v="31.35"/>
    <n v="31.05"/>
    <n v="30.75"/>
    <x v="2"/>
    <n v="0"/>
    <n v="5"/>
    <m/>
    <m/>
    <m/>
    <m/>
    <m/>
    <m/>
    <m/>
    <m/>
    <m/>
    <m/>
    <m/>
    <m/>
    <m/>
    <m/>
  </r>
  <r>
    <n v="321"/>
    <n v="13608"/>
    <d v="1984-12-10T00:00:00"/>
    <n v="41"/>
    <x v="1"/>
    <x v="1"/>
    <d v="2018-01-22T00:00:00"/>
    <n v="8.8849315068493144"/>
    <x v="86"/>
    <x v="1"/>
    <x v="4"/>
    <x v="1"/>
    <n v="32.549999999999997"/>
    <n v="32.25"/>
    <n v="31.95"/>
    <n v="31.65"/>
    <n v="31.35"/>
    <n v="31.05"/>
    <n v="30.75"/>
    <x v="2"/>
    <n v="0"/>
    <n v="6"/>
    <m/>
    <m/>
    <m/>
    <m/>
    <m/>
    <m/>
    <m/>
    <m/>
    <m/>
    <m/>
    <m/>
    <m/>
    <m/>
    <m/>
  </r>
  <r>
    <n v="322"/>
    <n v="13675"/>
    <d v="1992-07-18T00:00:00"/>
    <n v="33"/>
    <x v="1"/>
    <x v="1"/>
    <d v="2017-02-13T00:00:00"/>
    <n v="8.7671232876712324"/>
    <x v="29"/>
    <x v="1"/>
    <x v="5"/>
    <x v="1"/>
    <n v="21.96"/>
    <n v="21.66"/>
    <n v="21.36"/>
    <n v="21.06"/>
    <n v="20.76"/>
    <n v="20.46"/>
    <n v="20.16"/>
    <x v="3"/>
    <n v="4"/>
    <n v="6"/>
    <m/>
    <m/>
    <m/>
    <m/>
    <m/>
    <m/>
    <m/>
    <m/>
    <m/>
    <m/>
    <m/>
    <m/>
    <m/>
    <m/>
  </r>
  <r>
    <n v="323"/>
    <n v="13714"/>
    <d v="1990-06-13T00:00:00"/>
    <n v="35"/>
    <x v="0"/>
    <x v="0"/>
    <d v="2017-03-28T00:00:00"/>
    <n v="8.493150684931507"/>
    <x v="5"/>
    <x v="0"/>
    <x v="5"/>
    <x v="1"/>
    <n v="21.96"/>
    <n v="21.66"/>
    <n v="21.36"/>
    <n v="21.06"/>
    <n v="20.76"/>
    <n v="20.46"/>
    <n v="20.16"/>
    <x v="1"/>
    <n v="6"/>
    <n v="5"/>
    <m/>
    <m/>
    <m/>
    <m/>
    <m/>
    <m/>
    <m/>
    <m/>
    <m/>
    <m/>
    <m/>
    <m/>
    <m/>
    <m/>
  </r>
  <r>
    <n v="324"/>
    <n v="13715"/>
    <d v="1989-12-27T00:00:00"/>
    <n v="36"/>
    <x v="0"/>
    <x v="1"/>
    <d v="2017-07-06T00:00:00"/>
    <n v="8.4136986301369863"/>
    <x v="7"/>
    <x v="0"/>
    <x v="5"/>
    <x v="1"/>
    <n v="21.96"/>
    <n v="21.66"/>
    <n v="21.36"/>
    <n v="21.06"/>
    <n v="20.76"/>
    <n v="20.46"/>
    <n v="20.16"/>
    <x v="2"/>
    <n v="5"/>
    <n v="5"/>
    <m/>
    <m/>
    <m/>
    <m/>
    <m/>
    <m/>
    <m/>
    <m/>
    <m/>
    <m/>
    <m/>
    <m/>
    <m/>
    <m/>
  </r>
  <r>
    <n v="325"/>
    <n v="13759"/>
    <d v="1985-12-18T00:00:00"/>
    <n v="40"/>
    <x v="0"/>
    <x v="1"/>
    <d v="2017-08-04T00:00:00"/>
    <n v="7.9643835616438352"/>
    <x v="22"/>
    <x v="0"/>
    <x v="5"/>
    <x v="1"/>
    <n v="21.96"/>
    <n v="21.66"/>
    <n v="21.36"/>
    <n v="21.06"/>
    <n v="20.76"/>
    <n v="20.46"/>
    <n v="20.16"/>
    <x v="4"/>
    <n v="2"/>
    <n v="4"/>
    <m/>
    <m/>
    <m/>
    <m/>
    <m/>
    <m/>
    <m/>
    <m/>
    <m/>
    <m/>
    <m/>
    <m/>
    <m/>
    <m/>
  </r>
  <r>
    <n v="326"/>
    <n v="13761"/>
    <d v="1993-09-15T00:00:00"/>
    <n v="32"/>
    <x v="1"/>
    <x v="1"/>
    <d v="2018-01-15T00:00:00"/>
    <n v="8.6136986301369856"/>
    <x v="23"/>
    <x v="0"/>
    <x v="5"/>
    <x v="1"/>
    <n v="21.96"/>
    <n v="21.66"/>
    <n v="21.36"/>
    <n v="21.06"/>
    <n v="20.76"/>
    <n v="20.46"/>
    <n v="20.16"/>
    <x v="2"/>
    <n v="0"/>
    <n v="5"/>
    <m/>
    <m/>
    <m/>
    <m/>
    <m/>
    <m/>
    <m/>
    <m/>
    <m/>
    <m/>
    <m/>
    <m/>
    <m/>
    <m/>
  </r>
  <r>
    <n v="327"/>
    <n v="13791"/>
    <d v="1993-11-18T00:00:00"/>
    <n v="32"/>
    <x v="1"/>
    <x v="1"/>
    <d v="2017-05-23T00:00:00"/>
    <n v="8.6575342465753433"/>
    <x v="32"/>
    <x v="0"/>
    <x v="5"/>
    <x v="1"/>
    <n v="22.03"/>
    <n v="21.68"/>
    <n v="21.26"/>
    <n v="21.07"/>
    <n v="20.72"/>
    <n v="20.29"/>
    <n v="20.29"/>
    <x v="4"/>
    <n v="3"/>
    <n v="7"/>
    <m/>
    <m/>
    <m/>
    <m/>
    <m/>
    <m/>
    <m/>
    <m/>
    <m/>
    <m/>
    <m/>
    <m/>
    <m/>
    <m/>
  </r>
  <r>
    <n v="328"/>
    <n v="13809"/>
    <d v="1990-06-29T00:00:00"/>
    <n v="35"/>
    <x v="0"/>
    <x v="0"/>
    <d v="2017-05-07T00:00:00"/>
    <n v="7.8931506849315065"/>
    <x v="34"/>
    <x v="0"/>
    <x v="5"/>
    <x v="1"/>
    <n v="21.96"/>
    <n v="21.66"/>
    <n v="21.36"/>
    <n v="21.06"/>
    <n v="20.76"/>
    <n v="20.46"/>
    <n v="20.16"/>
    <x v="2"/>
    <n v="4"/>
    <n v="6"/>
    <m/>
    <m/>
    <m/>
    <m/>
    <m/>
    <m/>
    <m/>
    <m/>
    <m/>
    <m/>
    <m/>
    <m/>
    <m/>
    <m/>
  </r>
  <r>
    <n v="329"/>
    <n v="13850"/>
    <d v="1985-02-26T00:00:00"/>
    <n v="40"/>
    <x v="1"/>
    <x v="1"/>
    <d v="2018-02-10T00:00:00"/>
    <n v="7.8301369863013699"/>
    <x v="38"/>
    <x v="0"/>
    <x v="5"/>
    <x v="1"/>
    <n v="21.96"/>
    <n v="21.66"/>
    <n v="21.36"/>
    <n v="21.06"/>
    <n v="20.76"/>
    <n v="20.46"/>
    <n v="20.16"/>
    <x v="4"/>
    <n v="6"/>
    <n v="7"/>
    <m/>
    <m/>
    <m/>
    <m/>
    <m/>
    <m/>
    <m/>
    <m/>
    <m/>
    <m/>
    <m/>
    <m/>
    <m/>
    <m/>
  </r>
  <r>
    <n v="330"/>
    <n v="13964"/>
    <d v="1984-04-14T00:00:00"/>
    <n v="41"/>
    <x v="0"/>
    <x v="1"/>
    <d v="2018-03-05T00:00:00"/>
    <n v="8.4219178082191775"/>
    <x v="107"/>
    <x v="1"/>
    <x v="5"/>
    <x v="1"/>
    <n v="21.96"/>
    <n v="21.66"/>
    <n v="21.36"/>
    <n v="21.06"/>
    <n v="20.76"/>
    <n v="20.46"/>
    <n v="20.16"/>
    <x v="2"/>
    <n v="5"/>
    <n v="6"/>
    <m/>
    <m/>
    <m/>
    <m/>
    <m/>
    <m/>
    <m/>
    <m/>
    <m/>
    <m/>
    <m/>
    <m/>
    <m/>
    <m/>
  </r>
  <r>
    <n v="331"/>
    <n v="13978"/>
    <d v="1990-08-06T00:00:00"/>
    <n v="35"/>
    <x v="0"/>
    <x v="1"/>
    <d v="2017-08-01T00:00:00"/>
    <n v="7.9424657534246572"/>
    <x v="84"/>
    <x v="1"/>
    <x v="5"/>
    <x v="1"/>
    <n v="21.96"/>
    <n v="21.66"/>
    <n v="21.36"/>
    <n v="21.06"/>
    <n v="20.76"/>
    <n v="20.46"/>
    <n v="20.16"/>
    <x v="2"/>
    <n v="3"/>
    <n v="6"/>
    <m/>
    <m/>
    <m/>
    <m/>
    <m/>
    <m/>
    <m/>
    <m/>
    <m/>
    <m/>
    <m/>
    <m/>
    <m/>
    <m/>
  </r>
  <r>
    <n v="332"/>
    <n v="13995"/>
    <d v="1999-11-26T00:00:00"/>
    <n v="26"/>
    <x v="1"/>
    <x v="0"/>
    <d v="2018-01-23T00:00:00"/>
    <n v="8.2821917808219183"/>
    <x v="3"/>
    <x v="0"/>
    <x v="1"/>
    <x v="1"/>
    <n v="15.87"/>
    <n v="15.57"/>
    <n v="15.27"/>
    <n v="14.97"/>
    <n v="14.67"/>
    <n v="14.37"/>
    <n v="14.07"/>
    <x v="4"/>
    <n v="0"/>
    <n v="5"/>
    <m/>
    <m/>
    <m/>
    <m/>
    <m/>
    <m/>
    <m/>
    <m/>
    <m/>
    <m/>
    <m/>
    <m/>
    <m/>
    <m/>
  </r>
  <r>
    <n v="333"/>
    <n v="14008"/>
    <d v="1996-01-04T00:00:00"/>
    <n v="29"/>
    <x v="0"/>
    <x v="0"/>
    <d v="2017-09-21T00:00:00"/>
    <n v="8.493150684931507"/>
    <x v="5"/>
    <x v="0"/>
    <x v="2"/>
    <x v="1"/>
    <n v="14.07"/>
    <n v="13.77"/>
    <n v="13.47"/>
    <n v="13.17"/>
    <n v="12.87"/>
    <n v="12.57"/>
    <n v="12.27"/>
    <x v="4"/>
    <n v="0"/>
    <n v="4"/>
    <m/>
    <m/>
    <m/>
    <m/>
    <m/>
    <m/>
    <m/>
    <m/>
    <m/>
    <m/>
    <m/>
    <m/>
    <m/>
    <m/>
  </r>
  <r>
    <n v="334"/>
    <n v="14009"/>
    <d v="1999-10-03T00:00:00"/>
    <n v="26"/>
    <x v="1"/>
    <x v="0"/>
    <d v="2017-07-06T00:00:00"/>
    <n v="8.5479452054794525"/>
    <x v="5"/>
    <x v="0"/>
    <x v="9"/>
    <x v="1"/>
    <n v="13.94"/>
    <n v="13.64"/>
    <n v="13.34"/>
    <n v="13.04"/>
    <n v="12.74"/>
    <n v="12.44"/>
    <n v="12.14"/>
    <x v="1"/>
    <n v="0"/>
    <n v="4"/>
    <m/>
    <m/>
    <m/>
    <m/>
    <m/>
    <m/>
    <m/>
    <m/>
    <m/>
    <m/>
    <m/>
    <m/>
    <m/>
    <m/>
  </r>
  <r>
    <n v="335"/>
    <n v="14056"/>
    <d v="1994-05-16T00:00:00"/>
    <n v="31"/>
    <x v="1"/>
    <x v="1"/>
    <d v="2017-06-16T00:00:00"/>
    <n v="8.5260273972602736"/>
    <x v="14"/>
    <x v="0"/>
    <x v="9"/>
    <x v="1"/>
    <n v="13.94"/>
    <n v="13.64"/>
    <n v="13.34"/>
    <n v="13.04"/>
    <n v="12.74"/>
    <n v="12.44"/>
    <n v="12.14"/>
    <x v="4"/>
    <n v="0"/>
    <n v="5"/>
    <m/>
    <m/>
    <m/>
    <m/>
    <m/>
    <m/>
    <m/>
    <m/>
    <m/>
    <m/>
    <m/>
    <m/>
    <m/>
    <m/>
  </r>
  <r>
    <n v="336"/>
    <n v="14058"/>
    <d v="1995-07-01T00:00:00"/>
    <n v="31"/>
    <x v="1"/>
    <x v="1"/>
    <d v="2017-06-24T00:00:00"/>
    <n v="8.1945205479452063"/>
    <x v="14"/>
    <x v="0"/>
    <x v="7"/>
    <x v="1"/>
    <n v="16.899999999999999"/>
    <n v="16.600000000000001"/>
    <n v="16.3"/>
    <n v="16"/>
    <n v="15.7"/>
    <n v="15.4"/>
    <n v="15.1"/>
    <x v="2"/>
    <n v="2"/>
    <n v="7"/>
    <m/>
    <m/>
    <m/>
    <m/>
    <m/>
    <m/>
    <m/>
    <m/>
    <m/>
    <m/>
    <m/>
    <m/>
    <m/>
    <m/>
  </r>
  <r>
    <n v="337"/>
    <n v="14087"/>
    <d v="1977-04-20T00:00:00"/>
    <n v="48"/>
    <x v="1"/>
    <x v="1"/>
    <d v="2017-10-23T00:00:00"/>
    <n v="8.506849315068493"/>
    <x v="88"/>
    <x v="0"/>
    <x v="6"/>
    <x v="1"/>
    <n v="22.15"/>
    <n v="21.81"/>
    <n v="21.41"/>
    <n v="21.03"/>
    <n v="20.64"/>
    <n v="20.37"/>
    <n v="20.37"/>
    <x v="3"/>
    <n v="6"/>
    <n v="6"/>
    <m/>
    <m/>
    <m/>
    <m/>
    <m/>
    <m/>
    <m/>
    <m/>
    <m/>
    <m/>
    <m/>
    <m/>
    <m/>
    <m/>
  </r>
  <r>
    <n v="338"/>
    <n v="14107"/>
    <d v="1995-06-28T00:00:00"/>
    <n v="30"/>
    <x v="1"/>
    <x v="1"/>
    <d v="2017-07-01T00:00:00"/>
    <n v="8.4602739726027405"/>
    <x v="21"/>
    <x v="0"/>
    <x v="1"/>
    <x v="1"/>
    <n v="15.87"/>
    <n v="15.57"/>
    <n v="15.27"/>
    <n v="14.97"/>
    <n v="14.67"/>
    <n v="14.37"/>
    <n v="14.07"/>
    <x v="2"/>
    <n v="1"/>
    <n v="5"/>
    <m/>
    <m/>
    <m/>
    <m/>
    <m/>
    <m/>
    <m/>
    <m/>
    <m/>
    <m/>
    <m/>
    <m/>
    <m/>
    <m/>
  </r>
  <r>
    <n v="339"/>
    <n v="14114"/>
    <d v="1987-11-17T00:00:00"/>
    <n v="38"/>
    <x v="1"/>
    <x v="1"/>
    <d v="2017-07-18T00:00:00"/>
    <n v="8.7534246575342465"/>
    <x v="21"/>
    <x v="0"/>
    <x v="7"/>
    <x v="1"/>
    <n v="16.899999999999999"/>
    <n v="16.600000000000001"/>
    <n v="16.3"/>
    <n v="16"/>
    <n v="15.7"/>
    <n v="15.4"/>
    <n v="15.1"/>
    <x v="3"/>
    <n v="2"/>
    <n v="6"/>
    <m/>
    <m/>
    <m/>
    <m/>
    <m/>
    <m/>
    <m/>
    <m/>
    <m/>
    <m/>
    <m/>
    <m/>
    <m/>
    <m/>
  </r>
  <r>
    <n v="340"/>
    <n v="14115"/>
    <d v="1993-05-01T00:00:00"/>
    <n v="33"/>
    <x v="1"/>
    <x v="1"/>
    <d v="2017-04-02T00:00:00"/>
    <n v="8.3342465753424655"/>
    <x v="21"/>
    <x v="0"/>
    <x v="7"/>
    <x v="1"/>
    <n v="16.899999999999999"/>
    <n v="16.600000000000001"/>
    <n v="16.3"/>
    <n v="16"/>
    <n v="15.7"/>
    <n v="15.4"/>
    <n v="15.1"/>
    <x v="3"/>
    <n v="4"/>
    <n v="7"/>
    <m/>
    <m/>
    <m/>
    <m/>
    <m/>
    <m/>
    <m/>
    <m/>
    <m/>
    <m/>
    <m/>
    <m/>
    <m/>
    <m/>
  </r>
  <r>
    <n v="341"/>
    <n v="14153"/>
    <d v="1981-12-26T00:00:00"/>
    <n v="44"/>
    <x v="0"/>
    <x v="1"/>
    <d v="2017-09-02T00:00:00"/>
    <n v="8.161643835616438"/>
    <x v="25"/>
    <x v="0"/>
    <x v="1"/>
    <x v="1"/>
    <n v="15.87"/>
    <n v="15.57"/>
    <n v="15.27"/>
    <n v="14.97"/>
    <n v="14.67"/>
    <n v="14.37"/>
    <n v="14.07"/>
    <x v="2"/>
    <n v="1"/>
    <n v="4"/>
    <m/>
    <m/>
    <m/>
    <m/>
    <m/>
    <m/>
    <m/>
    <m/>
    <m/>
    <m/>
    <m/>
    <m/>
    <m/>
    <m/>
  </r>
  <r>
    <n v="342"/>
    <n v="14172"/>
    <d v="1997-03-24T00:00:00"/>
    <n v="28"/>
    <x v="1"/>
    <x v="0"/>
    <d v="2017-11-04T00:00:00"/>
    <n v="8.2821917808219183"/>
    <x v="49"/>
    <x v="0"/>
    <x v="10"/>
    <x v="1"/>
    <n v="10.35"/>
    <n v="10.15"/>
    <n v="9.9499999999999993"/>
    <n v="9.75"/>
    <n v="9.5500000000000007"/>
    <n v="9.35"/>
    <n v="9.15"/>
    <x v="4"/>
    <n v="0"/>
    <n v="5"/>
    <m/>
    <m/>
    <m/>
    <m/>
    <m/>
    <m/>
    <m/>
    <m/>
    <m/>
    <m/>
    <m/>
    <m/>
    <m/>
    <m/>
  </r>
  <r>
    <n v="343"/>
    <n v="14190"/>
    <d v="1996-09-24T00:00:00"/>
    <n v="29"/>
    <x v="0"/>
    <x v="0"/>
    <d v="2017-09-21T00:00:00"/>
    <n v="8.3479452054794514"/>
    <x v="61"/>
    <x v="0"/>
    <x v="8"/>
    <x v="1"/>
    <n v="8.76"/>
    <n v="8.5299999999999994"/>
    <n v="8.26"/>
    <n v="8.07"/>
    <n v="7.93"/>
    <n v="7.69"/>
    <n v="7.39"/>
    <x v="4"/>
    <n v="1"/>
    <n v="6"/>
    <m/>
    <m/>
    <m/>
    <m/>
    <m/>
    <m/>
    <m/>
    <m/>
    <m/>
    <m/>
    <m/>
    <m/>
    <m/>
    <m/>
  </r>
  <r>
    <n v="344"/>
    <n v="14217"/>
    <d v="1996-05-12T00:00:00"/>
    <n v="29"/>
    <x v="1"/>
    <x v="1"/>
    <d v="2017-08-28T00:00:00"/>
    <n v="8.0602739726027401"/>
    <x v="33"/>
    <x v="0"/>
    <x v="7"/>
    <x v="1"/>
    <n v="16.899999999999999"/>
    <n v="16.600000000000001"/>
    <n v="16.3"/>
    <n v="16"/>
    <n v="15.7"/>
    <n v="15.4"/>
    <n v="15.1"/>
    <x v="2"/>
    <n v="1"/>
    <n v="6"/>
    <m/>
    <m/>
    <m/>
    <m/>
    <m/>
    <m/>
    <m/>
    <m/>
    <m/>
    <m/>
    <m/>
    <m/>
    <m/>
    <m/>
  </r>
  <r>
    <n v="345"/>
    <n v="14228"/>
    <d v="1993-08-30T00:00:00"/>
    <n v="32"/>
    <x v="0"/>
    <x v="0"/>
    <d v="2017-12-11T00:00:00"/>
    <n v="8.2520547945205482"/>
    <x v="34"/>
    <x v="0"/>
    <x v="2"/>
    <x v="1"/>
    <n v="14.07"/>
    <n v="13.77"/>
    <n v="13.47"/>
    <n v="13.17"/>
    <n v="12.87"/>
    <n v="12.57"/>
    <n v="12.27"/>
    <x v="1"/>
    <n v="0"/>
    <n v="3"/>
    <m/>
    <m/>
    <m/>
    <m/>
    <m/>
    <m/>
    <m/>
    <m/>
    <m/>
    <m/>
    <m/>
    <m/>
    <m/>
    <m/>
  </r>
  <r>
    <n v="346"/>
    <n v="14229"/>
    <d v="1991-04-07T00:00:00"/>
    <n v="34"/>
    <x v="0"/>
    <x v="1"/>
    <d v="2017-10-02T00:00:00"/>
    <n v="8.0794520547945208"/>
    <x v="34"/>
    <x v="0"/>
    <x v="7"/>
    <x v="1"/>
    <n v="16.899999999999999"/>
    <n v="16.600000000000001"/>
    <n v="16.3"/>
    <n v="16"/>
    <n v="15.7"/>
    <n v="15.4"/>
    <n v="15.1"/>
    <x v="4"/>
    <n v="0"/>
    <n v="4"/>
    <m/>
    <m/>
    <m/>
    <m/>
    <m/>
    <m/>
    <m/>
    <m/>
    <m/>
    <m/>
    <m/>
    <m/>
    <m/>
    <m/>
  </r>
  <r>
    <n v="347"/>
    <n v="14257"/>
    <d v="1996-08-22T00:00:00"/>
    <n v="29"/>
    <x v="0"/>
    <x v="0"/>
    <d v="2017-12-04T00:00:00"/>
    <n v="8.3013698630136989"/>
    <x v="67"/>
    <x v="0"/>
    <x v="2"/>
    <x v="1"/>
    <n v="14.07"/>
    <n v="13.77"/>
    <n v="13.47"/>
    <n v="13.17"/>
    <n v="12.87"/>
    <n v="12.57"/>
    <n v="12.27"/>
    <x v="4"/>
    <n v="0"/>
    <n v="3"/>
    <m/>
    <m/>
    <m/>
    <m/>
    <m/>
    <m/>
    <m/>
    <m/>
    <m/>
    <m/>
    <m/>
    <m/>
    <m/>
    <m/>
  </r>
  <r>
    <n v="348"/>
    <n v="14273"/>
    <d v="1992-07-12T00:00:00"/>
    <n v="33"/>
    <x v="0"/>
    <x v="1"/>
    <d v="2017-09-14T00:00:00"/>
    <n v="8.1753424657534239"/>
    <x v="36"/>
    <x v="0"/>
    <x v="7"/>
    <x v="1"/>
    <n v="16.899999999999999"/>
    <n v="16.600000000000001"/>
    <n v="16.3"/>
    <n v="16"/>
    <n v="15.7"/>
    <n v="15.4"/>
    <n v="15.1"/>
    <x v="1"/>
    <n v="2"/>
    <n v="4"/>
    <m/>
    <m/>
    <m/>
    <m/>
    <m/>
    <m/>
    <m/>
    <m/>
    <m/>
    <m/>
    <m/>
    <m/>
    <m/>
    <m/>
  </r>
  <r>
    <n v="349"/>
    <n v="14338"/>
    <d v="1997-09-26T00:00:00"/>
    <n v="28"/>
    <x v="1"/>
    <x v="1"/>
    <d v="2017-10-30T00:00:00"/>
    <n v="8.6794520547945204"/>
    <x v="38"/>
    <x v="0"/>
    <x v="9"/>
    <x v="1"/>
    <n v="13.94"/>
    <n v="13.64"/>
    <n v="13.34"/>
    <n v="13.04"/>
    <n v="12.74"/>
    <n v="12.44"/>
    <n v="12.14"/>
    <x v="2"/>
    <n v="0"/>
    <n v="6"/>
    <m/>
    <m/>
    <m/>
    <m/>
    <m/>
    <m/>
    <m/>
    <m/>
    <m/>
    <m/>
    <m/>
    <m/>
    <m/>
    <m/>
  </r>
  <r>
    <n v="350"/>
    <n v="14418"/>
    <d v="1995-09-18T00:00:00"/>
    <n v="30"/>
    <x v="1"/>
    <x v="1"/>
    <d v="2017-04-29T00:00:00"/>
    <n v="8.6876712328767116"/>
    <x v="29"/>
    <x v="1"/>
    <x v="3"/>
    <x v="1"/>
    <n v="17.16"/>
    <n v="16.86"/>
    <n v="16.559999999999999"/>
    <n v="16.260000000000002"/>
    <n v="15.96"/>
    <n v="15.66"/>
    <n v="15.36"/>
    <x v="4"/>
    <n v="1"/>
    <n v="5"/>
    <m/>
    <m/>
    <m/>
    <m/>
    <m/>
    <m/>
    <m/>
    <m/>
    <m/>
    <m/>
    <m/>
    <m/>
    <m/>
    <m/>
  </r>
  <r>
    <n v="351"/>
    <n v="14424"/>
    <d v="1995-11-14T00:00:00"/>
    <n v="30"/>
    <x v="0"/>
    <x v="1"/>
    <d v="2017-04-26T00:00:00"/>
    <n v="8.6164383561643838"/>
    <x v="30"/>
    <x v="1"/>
    <x v="7"/>
    <x v="1"/>
    <n v="16.899999999999999"/>
    <n v="16.600000000000001"/>
    <n v="16.3"/>
    <n v="16"/>
    <n v="15.7"/>
    <n v="15.4"/>
    <n v="15.1"/>
    <x v="2"/>
    <n v="2"/>
    <n v="4"/>
    <m/>
    <m/>
    <m/>
    <m/>
    <m/>
    <m/>
    <m/>
    <m/>
    <m/>
    <m/>
    <m/>
    <m/>
    <m/>
    <m/>
  </r>
  <r>
    <n v="352"/>
    <n v="14431"/>
    <d v="1990-08-21T00:00:00"/>
    <n v="35"/>
    <x v="0"/>
    <x v="1"/>
    <d v="2017-05-22T00:00:00"/>
    <n v="8.213698630136987"/>
    <x v="108"/>
    <x v="1"/>
    <x v="10"/>
    <x v="1"/>
    <n v="9.4499999999999993"/>
    <n v="9.35"/>
    <n v="9.35"/>
    <n v="9.25"/>
    <n v="9.15"/>
    <n v="9.15"/>
    <n v="9.0500000000000007"/>
    <x v="2"/>
    <n v="0"/>
    <n v="5"/>
    <m/>
    <m/>
    <m/>
    <m/>
    <m/>
    <m/>
    <m/>
    <m/>
    <m/>
    <m/>
    <m/>
    <m/>
    <m/>
    <m/>
  </r>
  <r>
    <n v="353"/>
    <n v="14468"/>
    <d v="1997-03-31T00:00:00"/>
    <n v="28"/>
    <x v="1"/>
    <x v="1"/>
    <d v="2017-10-16T00:00:00"/>
    <n v="7.904109589041096"/>
    <x v="53"/>
    <x v="1"/>
    <x v="1"/>
    <x v="1"/>
    <n v="15.87"/>
    <n v="15.57"/>
    <n v="15.27"/>
    <n v="14.97"/>
    <n v="14.67"/>
    <n v="14.37"/>
    <n v="14.07"/>
    <x v="2"/>
    <n v="0"/>
    <n v="6"/>
    <m/>
    <m/>
    <m/>
    <m/>
    <m/>
    <m/>
    <m/>
    <m/>
    <m/>
    <m/>
    <m/>
    <m/>
    <m/>
    <m/>
  </r>
  <r>
    <n v="354"/>
    <n v="14469"/>
    <d v="1993-03-30T00:00:00"/>
    <n v="32"/>
    <x v="0"/>
    <x v="1"/>
    <d v="2018-02-06T00:00:00"/>
    <n v="8.9479452054794528"/>
    <x v="53"/>
    <x v="1"/>
    <x v="2"/>
    <x v="1"/>
    <n v="14.07"/>
    <n v="13.77"/>
    <n v="13.47"/>
    <n v="13.17"/>
    <n v="12.87"/>
    <n v="12.57"/>
    <n v="12.27"/>
    <x v="4"/>
    <n v="0"/>
    <n v="3"/>
    <m/>
    <m/>
    <m/>
    <m/>
    <m/>
    <m/>
    <m/>
    <m/>
    <m/>
    <m/>
    <m/>
    <m/>
    <m/>
    <m/>
  </r>
  <r>
    <n v="355"/>
    <n v="14495"/>
    <d v="1995-02-19T00:00:00"/>
    <n v="30"/>
    <x v="1"/>
    <x v="1"/>
    <d v="2017-01-21T00:00:00"/>
    <n v="7.9753424657534246"/>
    <x v="62"/>
    <x v="1"/>
    <x v="1"/>
    <x v="1"/>
    <n v="15.87"/>
    <n v="15.57"/>
    <n v="15.27"/>
    <n v="14.97"/>
    <n v="14.67"/>
    <n v="14.37"/>
    <n v="14.07"/>
    <x v="3"/>
    <n v="1"/>
    <n v="5"/>
    <m/>
    <m/>
    <m/>
    <m/>
    <m/>
    <m/>
    <m/>
    <m/>
    <m/>
    <m/>
    <m/>
    <m/>
    <m/>
    <m/>
  </r>
  <r>
    <n v="356"/>
    <n v="14561"/>
    <d v="1989-08-20T00:00:00"/>
    <n v="36"/>
    <x v="0"/>
    <x v="1"/>
    <d v="2018-01-11T00:00:00"/>
    <n v="8.1780821917808222"/>
    <x v="76"/>
    <x v="1"/>
    <x v="6"/>
    <x v="1"/>
    <n v="22.11"/>
    <n v="21.81"/>
    <n v="21.51"/>
    <n v="21.21"/>
    <n v="20.91"/>
    <n v="20.61"/>
    <n v="20.309999999999999"/>
    <x v="2"/>
    <n v="3"/>
    <n v="6"/>
    <m/>
    <m/>
    <m/>
    <m/>
    <m/>
    <m/>
    <m/>
    <m/>
    <m/>
    <m/>
    <m/>
    <m/>
    <m/>
    <m/>
  </r>
  <r>
    <n v="357"/>
    <n v="14570"/>
    <d v="1990-10-12T00:00:00"/>
    <n v="35"/>
    <x v="0"/>
    <x v="1"/>
    <d v="2017-10-29T00:00:00"/>
    <n v="8.4219178082191775"/>
    <x v="79"/>
    <x v="1"/>
    <x v="7"/>
    <x v="1"/>
    <n v="16.899999999999999"/>
    <n v="16.600000000000001"/>
    <n v="16.3"/>
    <n v="16"/>
    <n v="15.7"/>
    <n v="15.4"/>
    <n v="15.1"/>
    <x v="2"/>
    <n v="4"/>
    <n v="4"/>
    <m/>
    <m/>
    <m/>
    <m/>
    <m/>
    <m/>
    <m/>
    <m/>
    <m/>
    <m/>
    <m/>
    <m/>
    <m/>
    <m/>
  </r>
  <r>
    <n v="358"/>
    <n v="14583"/>
    <d v="1996-06-27T00:00:00"/>
    <n v="29"/>
    <x v="1"/>
    <x v="1"/>
    <d v="2017-08-01T00:00:00"/>
    <n v="8.5863013698630137"/>
    <x v="109"/>
    <x v="1"/>
    <x v="1"/>
    <x v="1"/>
    <n v="15.87"/>
    <n v="15.57"/>
    <n v="15.27"/>
    <n v="14.97"/>
    <n v="14.67"/>
    <n v="14.37"/>
    <n v="14.07"/>
    <x v="2"/>
    <n v="1"/>
    <n v="5"/>
    <m/>
    <m/>
    <m/>
    <m/>
    <m/>
    <m/>
    <m/>
    <m/>
    <m/>
    <m/>
    <m/>
    <m/>
    <m/>
    <m/>
  </r>
  <r>
    <n v="359"/>
    <n v="14587"/>
    <d v="1995-07-15T00:00:00"/>
    <n v="30"/>
    <x v="0"/>
    <x v="1"/>
    <d v="2017-06-02T00:00:00"/>
    <n v="8.0904109589041102"/>
    <x v="107"/>
    <x v="1"/>
    <x v="7"/>
    <x v="1"/>
    <n v="16.899999999999999"/>
    <n v="16.600000000000001"/>
    <n v="16.3"/>
    <n v="16"/>
    <n v="15.7"/>
    <n v="15.4"/>
    <n v="15.1"/>
    <x v="2"/>
    <n v="2"/>
    <n v="5"/>
    <m/>
    <m/>
    <m/>
    <m/>
    <m/>
    <m/>
    <m/>
    <m/>
    <m/>
    <m/>
    <m/>
    <m/>
    <m/>
    <m/>
  </r>
  <r>
    <n v="360"/>
    <n v="14618"/>
    <d v="1996-05-01T00:00:00"/>
    <n v="30"/>
    <x v="1"/>
    <x v="1"/>
    <d v="2017-11-30T00:00:00"/>
    <n v="8.0520547945205472"/>
    <x v="110"/>
    <x v="1"/>
    <x v="1"/>
    <x v="1"/>
    <n v="15.87"/>
    <n v="15.57"/>
    <n v="15.27"/>
    <n v="14.97"/>
    <n v="14.67"/>
    <n v="14.37"/>
    <n v="14.07"/>
    <x v="2"/>
    <n v="0"/>
    <n v="6"/>
    <m/>
    <m/>
    <m/>
    <m/>
    <m/>
    <m/>
    <m/>
    <m/>
    <m/>
    <m/>
    <m/>
    <m/>
    <m/>
    <m/>
  </r>
  <r>
    <n v="361"/>
    <n v="14626"/>
    <d v="1996-04-12T00:00:00"/>
    <n v="29"/>
    <x v="1"/>
    <x v="1"/>
    <d v="2017-12-14T00:00:00"/>
    <n v="8.5698630136986296"/>
    <x v="84"/>
    <x v="1"/>
    <x v="1"/>
    <x v="1"/>
    <n v="15.87"/>
    <n v="15.57"/>
    <n v="15.27"/>
    <n v="14.97"/>
    <n v="14.67"/>
    <n v="14.37"/>
    <n v="14.07"/>
    <x v="4"/>
    <n v="2"/>
    <n v="6"/>
    <m/>
    <m/>
    <m/>
    <m/>
    <m/>
    <m/>
    <m/>
    <m/>
    <m/>
    <m/>
    <m/>
    <m/>
    <m/>
    <m/>
  </r>
  <r>
    <n v="362"/>
    <n v="14628"/>
    <d v="1993-07-18T00:00:00"/>
    <n v="32"/>
    <x v="1"/>
    <x v="1"/>
    <d v="2017-06-08T00:00:00"/>
    <n v="8.5753424657534243"/>
    <x v="84"/>
    <x v="1"/>
    <x v="3"/>
    <x v="1"/>
    <n v="17.16"/>
    <n v="16.86"/>
    <n v="16.559999999999999"/>
    <n v="16.260000000000002"/>
    <n v="15.96"/>
    <n v="15.66"/>
    <n v="15.36"/>
    <x v="3"/>
    <n v="2"/>
    <n v="6"/>
    <m/>
    <m/>
    <m/>
    <m/>
    <m/>
    <m/>
    <m/>
    <m/>
    <m/>
    <m/>
    <m/>
    <m/>
    <m/>
    <m/>
  </r>
  <r>
    <n v="363"/>
    <n v="14664"/>
    <d v="1996-07-01T00:00:00"/>
    <n v="30"/>
    <x v="1"/>
    <x v="0"/>
    <d v="2017-06-06T00:00:00"/>
    <n v="8.161643835616438"/>
    <x v="103"/>
    <x v="1"/>
    <x v="3"/>
    <x v="1"/>
    <n v="17.16"/>
    <n v="16.86"/>
    <n v="16.559999999999999"/>
    <n v="16.260000000000002"/>
    <n v="15.96"/>
    <n v="15.66"/>
    <n v="15.36"/>
    <x v="3"/>
    <n v="2"/>
    <n v="6"/>
    <m/>
    <m/>
    <m/>
    <m/>
    <m/>
    <m/>
    <m/>
    <m/>
    <m/>
    <m/>
    <m/>
    <m/>
    <m/>
    <m/>
  </r>
  <r>
    <n v="364"/>
    <n v="14672"/>
    <d v="1995-12-04T00:00:00"/>
    <n v="30"/>
    <x v="1"/>
    <x v="1"/>
    <d v="2017-11-04T00:00:00"/>
    <n v="8.5561643835616437"/>
    <x v="0"/>
    <x v="0"/>
    <x v="10"/>
    <x v="1"/>
    <n v="10.35"/>
    <n v="10.15"/>
    <n v="9.9499999999999993"/>
    <n v="9.75"/>
    <n v="9.5500000000000007"/>
    <n v="9.35"/>
    <n v="9.15"/>
    <x v="2"/>
    <n v="0"/>
    <n v="7"/>
    <m/>
    <m/>
    <m/>
    <m/>
    <m/>
    <m/>
    <m/>
    <m/>
    <m/>
    <m/>
    <m/>
    <m/>
    <m/>
    <m/>
  </r>
  <r>
    <n v="365"/>
    <n v="14688"/>
    <d v="1998-10-21T00:00:00"/>
    <n v="27"/>
    <x v="1"/>
    <x v="1"/>
    <d v="2017-06-13T00:00:00"/>
    <n v="8.2082191780821923"/>
    <x v="0"/>
    <x v="0"/>
    <x v="8"/>
    <x v="1"/>
    <n v="8.5299999999999994"/>
    <n v="8.33"/>
    <n v="8.1300000000000008"/>
    <n v="7.93"/>
    <n v="7.73"/>
    <n v="7.53"/>
    <n v="7.33"/>
    <x v="2"/>
    <n v="4"/>
    <n v="6"/>
    <m/>
    <m/>
    <m/>
    <m/>
    <m/>
    <m/>
    <m/>
    <m/>
    <m/>
    <m/>
    <m/>
    <m/>
    <m/>
    <m/>
  </r>
  <r>
    <n v="366"/>
    <n v="14841"/>
    <d v="1975-10-22T00:00:00"/>
    <n v="50"/>
    <x v="1"/>
    <x v="1"/>
    <d v="2017-10-18T00:00:00"/>
    <n v="8.3260273972602743"/>
    <x v="7"/>
    <x v="0"/>
    <x v="2"/>
    <x v="1"/>
    <n v="14.07"/>
    <n v="13.77"/>
    <n v="13.47"/>
    <n v="13.17"/>
    <n v="12.87"/>
    <n v="12.57"/>
    <n v="12.27"/>
    <x v="2"/>
    <n v="0"/>
    <n v="6"/>
    <m/>
    <m/>
    <m/>
    <m/>
    <m/>
    <m/>
    <m/>
    <m/>
    <m/>
    <m/>
    <m/>
    <m/>
    <m/>
    <m/>
  </r>
  <r>
    <n v="367"/>
    <n v="15055"/>
    <d v="1996-10-18T00:00:00"/>
    <n v="29"/>
    <x v="0"/>
    <x v="1"/>
    <d v="2017-09-05T00:00:00"/>
    <n v="8.6547945205479451"/>
    <x v="12"/>
    <x v="0"/>
    <x v="9"/>
    <x v="1"/>
    <n v="13.94"/>
    <n v="13.64"/>
    <n v="13.34"/>
    <n v="13.04"/>
    <n v="12.74"/>
    <n v="12.44"/>
    <n v="12.14"/>
    <x v="2"/>
    <n v="0"/>
    <n v="3"/>
    <m/>
    <m/>
    <m/>
    <m/>
    <m/>
    <m/>
    <m/>
    <m/>
    <m/>
    <m/>
    <m/>
    <m/>
    <m/>
    <m/>
  </r>
  <r>
    <n v="368"/>
    <n v="15200"/>
    <d v="1996-12-25T00:00:00"/>
    <n v="29"/>
    <x v="1"/>
    <x v="1"/>
    <d v="2017-05-08T00:00:00"/>
    <n v="8.4904109589041088"/>
    <x v="15"/>
    <x v="0"/>
    <x v="2"/>
    <x v="1"/>
    <n v="14.07"/>
    <n v="13.77"/>
    <n v="13.47"/>
    <n v="13.17"/>
    <n v="12.87"/>
    <n v="12.57"/>
    <n v="12.27"/>
    <x v="2"/>
    <n v="0"/>
    <n v="5"/>
    <m/>
    <m/>
    <m/>
    <m/>
    <m/>
    <m/>
    <m/>
    <m/>
    <m/>
    <m/>
    <m/>
    <m/>
    <m/>
    <m/>
  </r>
  <r>
    <n v="369"/>
    <n v="15882"/>
    <d v="1995-06-03T00:00:00"/>
    <n v="30"/>
    <x v="0"/>
    <x v="0"/>
    <d v="2017-07-07T00:00:00"/>
    <n v="8.0712328767123296"/>
    <x v="49"/>
    <x v="0"/>
    <x v="7"/>
    <x v="1"/>
    <n v="16.899999999999999"/>
    <n v="16.600000000000001"/>
    <n v="16.3"/>
    <n v="16"/>
    <n v="15.7"/>
    <n v="15.4"/>
    <n v="15.1"/>
    <x v="3"/>
    <n v="2"/>
    <n v="5"/>
    <m/>
    <m/>
    <m/>
    <m/>
    <m/>
    <m/>
    <m/>
    <m/>
    <m/>
    <m/>
    <m/>
    <m/>
    <m/>
    <m/>
  </r>
  <r>
    <n v="370"/>
    <n v="15912"/>
    <d v="1999-08-06T00:00:00"/>
    <n v="26"/>
    <x v="1"/>
    <x v="1"/>
    <d v="2017-12-07T00:00:00"/>
    <n v="8.169863013698631"/>
    <x v="47"/>
    <x v="0"/>
    <x v="1"/>
    <x v="1"/>
    <n v="15.87"/>
    <n v="15.57"/>
    <n v="15.27"/>
    <n v="14.97"/>
    <n v="14.67"/>
    <n v="14.37"/>
    <n v="14.07"/>
    <x v="1"/>
    <n v="1"/>
    <n v="6"/>
    <m/>
    <m/>
    <m/>
    <m/>
    <m/>
    <m/>
    <m/>
    <m/>
    <m/>
    <m/>
    <m/>
    <m/>
    <m/>
    <m/>
  </r>
  <r>
    <n v="371"/>
    <n v="15919"/>
    <d v="1992-11-13T00:00:00"/>
    <n v="33"/>
    <x v="0"/>
    <x v="1"/>
    <d v="2017-11-01T00:00:00"/>
    <n v="8.3178082191780813"/>
    <x v="47"/>
    <x v="0"/>
    <x v="7"/>
    <x v="1"/>
    <n v="16.899999999999999"/>
    <n v="16.600000000000001"/>
    <n v="16.3"/>
    <n v="16"/>
    <n v="15.7"/>
    <n v="15.4"/>
    <n v="15.1"/>
    <x v="2"/>
    <n v="4"/>
    <n v="6"/>
    <m/>
    <m/>
    <m/>
    <m/>
    <m/>
    <m/>
    <m/>
    <m/>
    <m/>
    <m/>
    <m/>
    <m/>
    <m/>
    <m/>
  </r>
  <r>
    <n v="372"/>
    <n v="16014"/>
    <d v="1982-01-15T00:00:00"/>
    <n v="43"/>
    <x v="0"/>
    <x v="1"/>
    <d v="2017-09-08T00:00:00"/>
    <n v="7.9698630136986299"/>
    <x v="32"/>
    <x v="0"/>
    <x v="7"/>
    <x v="1"/>
    <n v="16.53"/>
    <n v="16.09"/>
    <n v="15.84"/>
    <n v="15.84"/>
    <n v="15.53"/>
    <n v="15.38"/>
    <n v="15.04"/>
    <x v="2"/>
    <n v="2"/>
    <n v="4"/>
    <m/>
    <m/>
    <m/>
    <m/>
    <m/>
    <m/>
    <m/>
    <m/>
    <m/>
    <m/>
    <m/>
    <m/>
    <m/>
    <m/>
  </r>
  <r>
    <n v="373"/>
    <n v="16041"/>
    <d v="1996-02-12T00:00:00"/>
    <n v="29"/>
    <x v="1"/>
    <x v="1"/>
    <d v="2018-01-13T00:00:00"/>
    <n v="8.5863013698630137"/>
    <x v="63"/>
    <x v="0"/>
    <x v="2"/>
    <x v="1"/>
    <n v="14.25"/>
    <n v="13.93"/>
    <n v="13.5"/>
    <n v="13.15"/>
    <n v="12.88"/>
    <n v="12.68"/>
    <n v="12.33"/>
    <x v="2"/>
    <n v="0"/>
    <n v="6"/>
    <m/>
    <m/>
    <m/>
    <m/>
    <m/>
    <m/>
    <m/>
    <m/>
    <m/>
    <m/>
    <m/>
    <m/>
    <m/>
    <m/>
  </r>
  <r>
    <n v="374"/>
    <n v="16189"/>
    <d v="1988-02-10T00:00:00"/>
    <n v="37"/>
    <x v="1"/>
    <x v="1"/>
    <d v="2017-06-02T00:00:00"/>
    <n v="8.7561643835616429"/>
    <x v="50"/>
    <x v="0"/>
    <x v="1"/>
    <x v="1"/>
    <n v="14.67"/>
    <n v="14.52"/>
    <n v="14.37"/>
    <n v="14.22"/>
    <n v="14.07"/>
    <n v="13.92"/>
    <n v="13.92"/>
    <x v="2"/>
    <n v="2"/>
    <n v="6"/>
    <m/>
    <m/>
    <m/>
    <m/>
    <m/>
    <m/>
    <m/>
    <m/>
    <m/>
    <m/>
    <m/>
    <m/>
    <m/>
    <m/>
  </r>
  <r>
    <n v="375"/>
    <n v="16233"/>
    <d v="1990-10-28T00:00:00"/>
    <n v="35"/>
    <x v="0"/>
    <x v="1"/>
    <d v="2017-04-01T00:00:00"/>
    <n v="8.1534246575342468"/>
    <x v="34"/>
    <x v="0"/>
    <x v="7"/>
    <x v="1"/>
    <n v="16.899999999999999"/>
    <n v="16.600000000000001"/>
    <n v="16.3"/>
    <n v="16"/>
    <n v="15.7"/>
    <n v="15.4"/>
    <n v="15.1"/>
    <x v="1"/>
    <n v="4"/>
    <n v="6"/>
    <m/>
    <m/>
    <m/>
    <m/>
    <m/>
    <m/>
    <m/>
    <m/>
    <m/>
    <m/>
    <m/>
    <m/>
    <m/>
    <m/>
  </r>
  <r>
    <n v="376"/>
    <n v="16248"/>
    <d v="1997-08-07T00:00:00"/>
    <n v="28"/>
    <x v="1"/>
    <x v="1"/>
    <d v="2017-11-07T00:00:00"/>
    <n v="8.1369863013698627"/>
    <x v="34"/>
    <x v="0"/>
    <x v="8"/>
    <x v="1"/>
    <n v="8.5299999999999994"/>
    <n v="8.33"/>
    <n v="8.1300000000000008"/>
    <n v="7.93"/>
    <n v="7.73"/>
    <n v="7.53"/>
    <n v="7.33"/>
    <x v="2"/>
    <n v="1"/>
    <n v="6"/>
    <m/>
    <m/>
    <m/>
    <m/>
    <m/>
    <m/>
    <m/>
    <m/>
    <m/>
    <m/>
    <m/>
    <m/>
    <m/>
    <m/>
  </r>
  <r>
    <n v="377"/>
    <n v="16401"/>
    <d v="1993-07-18T00:00:00"/>
    <n v="32"/>
    <x v="0"/>
    <x v="1"/>
    <d v="2017-11-13T00:00:00"/>
    <n v="8.0465753424657542"/>
    <x v="67"/>
    <x v="0"/>
    <x v="7"/>
    <x v="1"/>
    <n v="16.899999999999999"/>
    <n v="16.600000000000001"/>
    <n v="16.3"/>
    <n v="16"/>
    <n v="15.7"/>
    <n v="15.4"/>
    <n v="15.1"/>
    <x v="2"/>
    <n v="4"/>
    <n v="5"/>
    <m/>
    <m/>
    <m/>
    <m/>
    <m/>
    <m/>
    <m/>
    <m/>
    <m/>
    <m/>
    <m/>
    <m/>
    <m/>
    <m/>
  </r>
  <r>
    <n v="378"/>
    <n v="16510"/>
    <d v="1998-02-12T00:00:00"/>
    <n v="27"/>
    <x v="0"/>
    <x v="1"/>
    <d v="2017-12-16T00:00:00"/>
    <n v="8.3890410958904109"/>
    <x v="36"/>
    <x v="0"/>
    <x v="2"/>
    <x v="1"/>
    <n v="14.07"/>
    <n v="13.77"/>
    <n v="13.47"/>
    <n v="13.17"/>
    <n v="12.87"/>
    <n v="12.57"/>
    <n v="12.27"/>
    <x v="3"/>
    <n v="0"/>
    <n v="4"/>
    <m/>
    <m/>
    <m/>
    <m/>
    <m/>
    <m/>
    <m/>
    <m/>
    <m/>
    <m/>
    <m/>
    <m/>
    <m/>
    <m/>
  </r>
  <r>
    <n v="379"/>
    <n v="16515"/>
    <d v="1995-02-01T00:00:00"/>
    <n v="31"/>
    <x v="0"/>
    <x v="0"/>
    <d v="2017-08-13T00:00:00"/>
    <n v="8.375342465753425"/>
    <x v="36"/>
    <x v="0"/>
    <x v="7"/>
    <x v="1"/>
    <n v="16.899999999999999"/>
    <n v="16.600000000000001"/>
    <n v="16.3"/>
    <n v="16"/>
    <n v="15.7"/>
    <n v="15.4"/>
    <n v="15.1"/>
    <x v="2"/>
    <n v="3"/>
    <n v="4"/>
    <m/>
    <m/>
    <m/>
    <m/>
    <m/>
    <m/>
    <m/>
    <m/>
    <m/>
    <m/>
    <m/>
    <m/>
    <m/>
    <m/>
  </r>
  <r>
    <n v="380"/>
    <n v="16911"/>
    <d v="1994-09-25T00:00:00"/>
    <n v="31"/>
    <x v="1"/>
    <x v="1"/>
    <d v="2017-08-18T00:00:00"/>
    <n v="8.4657534246575334"/>
    <x v="38"/>
    <x v="0"/>
    <x v="7"/>
    <x v="1"/>
    <n v="16.899999999999999"/>
    <n v="16.600000000000001"/>
    <n v="16.3"/>
    <n v="16"/>
    <n v="15.7"/>
    <n v="15.4"/>
    <n v="15.1"/>
    <x v="2"/>
    <n v="2"/>
    <n v="7"/>
    <m/>
    <m/>
    <m/>
    <m/>
    <m/>
    <m/>
    <m/>
    <m/>
    <m/>
    <m/>
    <m/>
    <m/>
    <m/>
    <m/>
  </r>
  <r>
    <n v="381"/>
    <n v="16983"/>
    <d v="1995-02-12T00:00:00"/>
    <n v="30"/>
    <x v="0"/>
    <x v="1"/>
    <d v="2017-07-16T00:00:00"/>
    <n v="8.8657534246575338"/>
    <x v="39"/>
    <x v="1"/>
    <x v="2"/>
    <x v="1"/>
    <n v="14.07"/>
    <n v="13.77"/>
    <n v="13.47"/>
    <n v="13.17"/>
    <n v="12.87"/>
    <n v="12.57"/>
    <n v="12.27"/>
    <x v="2"/>
    <n v="0"/>
    <n v="2"/>
    <m/>
    <m/>
    <m/>
    <m/>
    <m/>
    <m/>
    <m/>
    <m/>
    <m/>
    <m/>
    <m/>
    <m/>
    <m/>
    <m/>
  </r>
  <r>
    <n v="382"/>
    <n v="17073"/>
    <d v="1990-09-12T00:00:00"/>
    <n v="35"/>
    <x v="1"/>
    <x v="0"/>
    <d v="2017-02-20T00:00:00"/>
    <n v="8.7671232876712324"/>
    <x v="43"/>
    <x v="1"/>
    <x v="1"/>
    <x v="1"/>
    <n v="16.21"/>
    <n v="15.89"/>
    <n v="15.45"/>
    <n v="15.16"/>
    <n v="14.77"/>
    <n v="14.39"/>
    <n v="14.22"/>
    <x v="1"/>
    <n v="1"/>
    <n v="4"/>
    <m/>
    <m/>
    <m/>
    <m/>
    <m/>
    <m/>
    <m/>
    <m/>
    <m/>
    <m/>
    <m/>
    <m/>
    <m/>
    <m/>
  </r>
  <r>
    <n v="383"/>
    <n v="17255"/>
    <d v="1996-03-20T00:00:00"/>
    <n v="29"/>
    <x v="1"/>
    <x v="1"/>
    <d v="2017-03-28T00:00:00"/>
    <n v="8.8520547945205479"/>
    <x v="6"/>
    <x v="1"/>
    <x v="10"/>
    <x v="1"/>
    <n v="10.35"/>
    <n v="10.15"/>
    <n v="9.9499999999999993"/>
    <n v="9.75"/>
    <n v="9.5500000000000007"/>
    <n v="9.35"/>
    <n v="9.15"/>
    <x v="2"/>
    <n v="1"/>
    <n v="6"/>
    <m/>
    <m/>
    <m/>
    <m/>
    <m/>
    <m/>
    <m/>
    <m/>
    <m/>
    <m/>
    <m/>
    <m/>
    <m/>
    <m/>
  </r>
  <r>
    <n v="384"/>
    <n v="17256"/>
    <d v="1992-04-03T00:00:00"/>
    <n v="33"/>
    <x v="0"/>
    <x v="1"/>
    <d v="2017-02-25T00:00:00"/>
    <n v="8.5397260273972595"/>
    <x v="6"/>
    <x v="1"/>
    <x v="1"/>
    <x v="1"/>
    <n v="15.87"/>
    <n v="15.57"/>
    <n v="15.27"/>
    <n v="14.97"/>
    <n v="14.67"/>
    <n v="14.37"/>
    <n v="14.07"/>
    <x v="4"/>
    <n v="1"/>
    <n v="4"/>
    <m/>
    <m/>
    <m/>
    <m/>
    <m/>
    <m/>
    <m/>
    <m/>
    <m/>
    <m/>
    <m/>
    <m/>
    <m/>
    <m/>
  </r>
  <r>
    <n v="385"/>
    <n v="17258"/>
    <d v="1990-12-16T00:00:00"/>
    <n v="35"/>
    <x v="1"/>
    <x v="1"/>
    <d v="2017-06-19T00:00:00"/>
    <n v="8.4986301369863018"/>
    <x v="6"/>
    <x v="1"/>
    <x v="2"/>
    <x v="1"/>
    <n v="14.07"/>
    <n v="13.77"/>
    <n v="13.47"/>
    <n v="13.17"/>
    <n v="12.87"/>
    <n v="12.57"/>
    <n v="12.27"/>
    <x v="3"/>
    <n v="1"/>
    <n v="5"/>
    <m/>
    <m/>
    <m/>
    <m/>
    <m/>
    <m/>
    <m/>
    <m/>
    <m/>
    <m/>
    <m/>
    <m/>
    <m/>
    <m/>
  </r>
  <r>
    <n v="386"/>
    <n v="17307"/>
    <d v="1999-09-11T00:00:00"/>
    <n v="26"/>
    <x v="1"/>
    <x v="0"/>
    <d v="2017-07-04T00:00:00"/>
    <n v="8.0356164383561648"/>
    <x v="46"/>
    <x v="1"/>
    <x v="10"/>
    <x v="1"/>
    <n v="10.35"/>
    <n v="10.15"/>
    <n v="9.9499999999999993"/>
    <n v="9.75"/>
    <n v="9.5500000000000007"/>
    <n v="9.35"/>
    <n v="9.15"/>
    <x v="3"/>
    <n v="1"/>
    <n v="5"/>
    <m/>
    <m/>
    <m/>
    <m/>
    <m/>
    <m/>
    <m/>
    <m/>
    <m/>
    <m/>
    <m/>
    <m/>
    <m/>
    <m/>
  </r>
  <r>
    <n v="387"/>
    <n v="17309"/>
    <d v="1993-05-22T00:00:00"/>
    <n v="32"/>
    <x v="0"/>
    <x v="1"/>
    <d v="2017-12-20T00:00:00"/>
    <n v="8.4109589041095898"/>
    <x v="46"/>
    <x v="1"/>
    <x v="10"/>
    <x v="1"/>
    <n v="10.35"/>
    <n v="10.15"/>
    <n v="9.9499999999999993"/>
    <n v="9.75"/>
    <n v="9.5500000000000007"/>
    <n v="9.35"/>
    <n v="9.15"/>
    <x v="2"/>
    <n v="1"/>
    <n v="5"/>
    <m/>
    <m/>
    <m/>
    <m/>
    <m/>
    <m/>
    <m/>
    <m/>
    <m/>
    <m/>
    <m/>
    <m/>
    <m/>
    <m/>
  </r>
  <r>
    <n v="388"/>
    <n v="17310"/>
    <d v="1992-08-19T00:00:00"/>
    <n v="33"/>
    <x v="0"/>
    <x v="1"/>
    <d v="2017-08-05T00:00:00"/>
    <n v="7.838356164383562"/>
    <x v="46"/>
    <x v="1"/>
    <x v="7"/>
    <x v="1"/>
    <n v="16.899999999999999"/>
    <n v="16.600000000000001"/>
    <n v="16.3"/>
    <n v="16"/>
    <n v="15.7"/>
    <n v="15.4"/>
    <n v="15.1"/>
    <x v="3"/>
    <n v="2"/>
    <n v="5"/>
    <m/>
    <m/>
    <m/>
    <m/>
    <m/>
    <m/>
    <m/>
    <m/>
    <m/>
    <m/>
    <m/>
    <m/>
    <m/>
    <m/>
  </r>
  <r>
    <n v="389"/>
    <n v="17311"/>
    <d v="1994-10-04T00:00:00"/>
    <n v="31"/>
    <x v="1"/>
    <x v="0"/>
    <d v="2018-03-02T00:00:00"/>
    <n v="8.1753424657534239"/>
    <x v="46"/>
    <x v="1"/>
    <x v="7"/>
    <x v="1"/>
    <n v="16.899999999999999"/>
    <n v="16.600000000000001"/>
    <n v="16.3"/>
    <n v="16"/>
    <n v="15.7"/>
    <n v="15.4"/>
    <n v="15.1"/>
    <x v="4"/>
    <n v="1"/>
    <n v="7"/>
    <m/>
    <m/>
    <m/>
    <m/>
    <m/>
    <m/>
    <m/>
    <m/>
    <m/>
    <m/>
    <m/>
    <m/>
    <m/>
    <m/>
  </r>
  <r>
    <n v="390"/>
    <n v="17417"/>
    <d v="1998-02-09T00:00:00"/>
    <n v="27"/>
    <x v="0"/>
    <x v="1"/>
    <d v="2017-10-30T00:00:00"/>
    <n v="8.3041095890410954"/>
    <x v="30"/>
    <x v="1"/>
    <x v="3"/>
    <x v="1"/>
    <n v="17.16"/>
    <n v="16.86"/>
    <n v="16.559999999999999"/>
    <n v="16.260000000000002"/>
    <n v="15.96"/>
    <n v="15.66"/>
    <n v="15.36"/>
    <x v="2"/>
    <n v="1"/>
    <n v="4"/>
    <m/>
    <m/>
    <m/>
    <m/>
    <m/>
    <m/>
    <m/>
    <m/>
    <m/>
    <m/>
    <m/>
    <m/>
    <m/>
    <m/>
  </r>
  <r>
    <n v="391"/>
    <n v="17441"/>
    <d v="1995-10-11T00:00:00"/>
    <n v="30"/>
    <x v="0"/>
    <x v="1"/>
    <d v="2017-09-13T00:00:00"/>
    <n v="8.4739726027397264"/>
    <x v="48"/>
    <x v="1"/>
    <x v="9"/>
    <x v="1"/>
    <n v="13.94"/>
    <n v="13.64"/>
    <n v="13.34"/>
    <n v="13.04"/>
    <n v="12.74"/>
    <n v="12.44"/>
    <n v="12.14"/>
    <x v="2"/>
    <n v="0"/>
    <n v="5"/>
    <m/>
    <m/>
    <m/>
    <m/>
    <m/>
    <m/>
    <m/>
    <m/>
    <m/>
    <m/>
    <m/>
    <m/>
    <m/>
    <m/>
  </r>
  <r>
    <n v="392"/>
    <n v="17683"/>
    <d v="1997-03-10T00:00:00"/>
    <n v="28"/>
    <x v="0"/>
    <x v="1"/>
    <d v="2017-07-13T00:00:00"/>
    <n v="8.7205479452054799"/>
    <x v="53"/>
    <x v="1"/>
    <x v="10"/>
    <x v="1"/>
    <n v="10.35"/>
    <n v="10.15"/>
    <n v="9.9499999999999993"/>
    <n v="9.75"/>
    <n v="9.5500000000000007"/>
    <n v="9.35"/>
    <n v="9.15"/>
    <x v="4"/>
    <n v="0"/>
    <n v="4"/>
    <m/>
    <m/>
    <m/>
    <m/>
    <m/>
    <m/>
    <m/>
    <m/>
    <m/>
    <m/>
    <m/>
    <m/>
    <m/>
    <m/>
  </r>
  <r>
    <n v="393"/>
    <n v="17872"/>
    <d v="1995-07-09T00:00:00"/>
    <n v="30"/>
    <x v="0"/>
    <x v="1"/>
    <d v="2017-04-14T00:00:00"/>
    <n v="8.7671232876712324"/>
    <x v="62"/>
    <x v="1"/>
    <x v="7"/>
    <x v="1"/>
    <n v="16.899999999999999"/>
    <n v="16.600000000000001"/>
    <n v="16.3"/>
    <n v="16"/>
    <n v="15.7"/>
    <n v="15.4"/>
    <n v="15.1"/>
    <x v="4"/>
    <n v="1"/>
    <n v="5"/>
    <m/>
    <m/>
    <m/>
    <m/>
    <m/>
    <m/>
    <m/>
    <m/>
    <m/>
    <m/>
    <m/>
    <m/>
    <m/>
    <m/>
  </r>
  <r>
    <n v="394"/>
    <n v="17927"/>
    <d v="1993-07-11T00:00:00"/>
    <n v="32"/>
    <x v="0"/>
    <x v="1"/>
    <d v="2017-03-28T00:00:00"/>
    <n v="8.7835616438356166"/>
    <x v="111"/>
    <x v="1"/>
    <x v="6"/>
    <x v="1"/>
    <n v="22.11"/>
    <n v="21.81"/>
    <n v="21.51"/>
    <n v="21.21"/>
    <n v="20.91"/>
    <n v="20.61"/>
    <n v="20.309999999999999"/>
    <x v="2"/>
    <n v="5"/>
    <n v="7"/>
    <m/>
    <m/>
    <m/>
    <m/>
    <m/>
    <m/>
    <m/>
    <m/>
    <m/>
    <m/>
    <m/>
    <m/>
    <m/>
    <m/>
  </r>
  <r>
    <n v="395"/>
    <n v="18022"/>
    <d v="1991-11-10T00:00:00"/>
    <n v="34"/>
    <x v="1"/>
    <x v="1"/>
    <d v="2017-03-22T00:00:00"/>
    <n v="8.8465753424657532"/>
    <x v="65"/>
    <x v="1"/>
    <x v="11"/>
    <x v="1"/>
    <n v="15.7"/>
    <n v="15.5"/>
    <n v="15.3"/>
    <n v="15.1"/>
    <n v="14.9"/>
    <n v="14.7"/>
    <n v="14.5"/>
    <x v="2"/>
    <n v="2"/>
    <n v="6"/>
    <m/>
    <m/>
    <m/>
    <m/>
    <m/>
    <m/>
    <m/>
    <m/>
    <m/>
    <m/>
    <m/>
    <m/>
    <m/>
    <m/>
  </r>
  <r>
    <n v="396"/>
    <n v="18026"/>
    <d v="1977-04-28T00:00:00"/>
    <n v="48"/>
    <x v="0"/>
    <x v="1"/>
    <d v="2017-02-27T00:00:00"/>
    <n v="8.2438356164383571"/>
    <x v="65"/>
    <x v="1"/>
    <x v="2"/>
    <x v="1"/>
    <n v="14.07"/>
    <n v="13.77"/>
    <n v="13.47"/>
    <n v="13.17"/>
    <n v="12.87"/>
    <n v="12.57"/>
    <n v="12.27"/>
    <x v="2"/>
    <n v="0"/>
    <n v="2"/>
    <m/>
    <m/>
    <m/>
    <m/>
    <m/>
    <m/>
    <m/>
    <m/>
    <m/>
    <m/>
    <m/>
    <m/>
    <m/>
    <m/>
  </r>
  <r>
    <n v="397"/>
    <n v="18027"/>
    <d v="1998-10-04T00:00:00"/>
    <n v="27"/>
    <x v="1"/>
    <x v="1"/>
    <d v="2017-10-05T00:00:00"/>
    <n v="8.75068493150685"/>
    <x v="65"/>
    <x v="1"/>
    <x v="9"/>
    <x v="1"/>
    <n v="13.94"/>
    <n v="13.64"/>
    <n v="13.34"/>
    <n v="13.04"/>
    <n v="12.74"/>
    <n v="12.44"/>
    <n v="12.14"/>
    <x v="2"/>
    <n v="1"/>
    <n v="5"/>
    <m/>
    <m/>
    <m/>
    <m/>
    <m/>
    <m/>
    <m/>
    <m/>
    <m/>
    <m/>
    <m/>
    <m/>
    <m/>
    <m/>
  </r>
  <r>
    <n v="398"/>
    <n v="18109"/>
    <d v="1994-06-15T00:00:00"/>
    <n v="31"/>
    <x v="0"/>
    <x v="1"/>
    <d v="2017-04-03T00:00:00"/>
    <n v="8.1369863013698627"/>
    <x v="69"/>
    <x v="1"/>
    <x v="1"/>
    <x v="1"/>
    <n v="15.87"/>
    <n v="15.57"/>
    <n v="15.27"/>
    <n v="14.97"/>
    <n v="14.67"/>
    <n v="14.37"/>
    <n v="14.07"/>
    <x v="2"/>
    <n v="2"/>
    <n v="4"/>
    <m/>
    <m/>
    <m/>
    <m/>
    <m/>
    <m/>
    <m/>
    <m/>
    <m/>
    <m/>
    <m/>
    <m/>
    <m/>
    <m/>
  </r>
  <r>
    <n v="399"/>
    <n v="18352"/>
    <d v="1987-06-06T00:00:00"/>
    <n v="38"/>
    <x v="0"/>
    <x v="1"/>
    <d v="2017-11-13T00:00:00"/>
    <n v="8.3726027397260268"/>
    <x v="76"/>
    <x v="1"/>
    <x v="7"/>
    <x v="1"/>
    <n v="16.899999999999999"/>
    <n v="16.600000000000001"/>
    <n v="16.3"/>
    <n v="16"/>
    <n v="15.7"/>
    <n v="15.4"/>
    <n v="15.1"/>
    <x v="1"/>
    <n v="2"/>
    <n v="4"/>
    <m/>
    <m/>
    <m/>
    <m/>
    <m/>
    <m/>
    <m/>
    <m/>
    <m/>
    <m/>
    <m/>
    <m/>
    <m/>
    <m/>
  </r>
  <r>
    <n v="400"/>
    <n v="18573"/>
    <d v="1992-09-02T00:00:00"/>
    <n v="33"/>
    <x v="0"/>
    <x v="1"/>
    <d v="2017-08-19T00:00:00"/>
    <n v="8.7917808219178077"/>
    <x v="107"/>
    <x v="1"/>
    <x v="1"/>
    <x v="1"/>
    <n v="15.87"/>
    <n v="15.57"/>
    <n v="15.27"/>
    <n v="14.97"/>
    <n v="14.67"/>
    <n v="14.37"/>
    <n v="14.07"/>
    <x v="2"/>
    <n v="2"/>
    <n v="4"/>
    <m/>
    <m/>
    <m/>
    <m/>
    <m/>
    <m/>
    <m/>
    <m/>
    <m/>
    <m/>
    <m/>
    <m/>
    <m/>
    <m/>
  </r>
  <r>
    <n v="401"/>
    <n v="18630"/>
    <d v="1996-07-08T00:00:00"/>
    <n v="29"/>
    <x v="1"/>
    <x v="0"/>
    <d v="2017-03-19T00:00:00"/>
    <n v="8.0465753424657542"/>
    <x v="81"/>
    <x v="1"/>
    <x v="10"/>
    <x v="1"/>
    <n v="10.35"/>
    <n v="10.15"/>
    <n v="9.9499999999999993"/>
    <n v="9.75"/>
    <n v="9.5500000000000007"/>
    <n v="9.35"/>
    <n v="9.15"/>
    <x v="2"/>
    <n v="0"/>
    <n v="5"/>
    <m/>
    <m/>
    <m/>
    <m/>
    <m/>
    <m/>
    <m/>
    <m/>
    <m/>
    <m/>
    <m/>
    <m/>
    <m/>
    <m/>
  </r>
  <r>
    <n v="402"/>
    <n v="18633"/>
    <d v="1997-12-05T00:00:00"/>
    <n v="28"/>
    <x v="1"/>
    <x v="0"/>
    <d v="2017-12-16T00:00:00"/>
    <n v="7.912328767123288"/>
    <x v="81"/>
    <x v="1"/>
    <x v="9"/>
    <x v="1"/>
    <n v="13.94"/>
    <n v="13.64"/>
    <n v="13.34"/>
    <n v="13.04"/>
    <n v="12.74"/>
    <n v="12.44"/>
    <n v="12.14"/>
    <x v="2"/>
    <n v="0"/>
    <n v="4"/>
    <m/>
    <m/>
    <m/>
    <m/>
    <m/>
    <m/>
    <m/>
    <m/>
    <m/>
    <m/>
    <m/>
    <m/>
    <m/>
    <m/>
  </r>
  <r>
    <n v="403"/>
    <n v="18731"/>
    <d v="1983-05-20T00:00:00"/>
    <n v="42"/>
    <x v="0"/>
    <x v="1"/>
    <d v="2018-02-03T00:00:00"/>
    <n v="8.2849315068493148"/>
    <x v="94"/>
    <x v="1"/>
    <x v="2"/>
    <x v="1"/>
    <n v="14.07"/>
    <n v="13.77"/>
    <n v="13.47"/>
    <n v="13.17"/>
    <n v="12.87"/>
    <n v="12.57"/>
    <n v="12.27"/>
    <x v="2"/>
    <n v="0"/>
    <n v="4"/>
    <m/>
    <m/>
    <m/>
    <m/>
    <m/>
    <m/>
    <m/>
    <m/>
    <m/>
    <m/>
    <m/>
    <m/>
    <m/>
    <m/>
  </r>
  <r>
    <n v="404"/>
    <n v="18822"/>
    <d v="1995-03-30T00:00:00"/>
    <n v="30"/>
    <x v="0"/>
    <x v="1"/>
    <d v="2017-09-20T00:00:00"/>
    <n v="7.882191780821918"/>
    <x v="84"/>
    <x v="1"/>
    <x v="7"/>
    <x v="1"/>
    <n v="16.899999999999999"/>
    <n v="16.600000000000001"/>
    <n v="16.3"/>
    <n v="16"/>
    <n v="15.7"/>
    <n v="15.4"/>
    <n v="15.1"/>
    <x v="2"/>
    <n v="2"/>
    <n v="5"/>
    <m/>
    <m/>
    <m/>
    <m/>
    <m/>
    <m/>
    <m/>
    <m/>
    <m/>
    <m/>
    <m/>
    <m/>
    <m/>
    <m/>
  </r>
  <r>
    <n v="405"/>
    <n v="18939"/>
    <d v="1981-07-20T00:00:00"/>
    <n v="44"/>
    <x v="0"/>
    <x v="0"/>
    <d v="2018-02-14T00:00:00"/>
    <n v="8.6191780821917803"/>
    <x v="112"/>
    <x v="1"/>
    <x v="1"/>
    <x v="1"/>
    <n v="15.87"/>
    <n v="15.57"/>
    <n v="15.27"/>
    <n v="14.97"/>
    <n v="14.67"/>
    <n v="14.37"/>
    <n v="14.07"/>
    <x v="3"/>
    <n v="1"/>
    <n v="3"/>
    <m/>
    <m/>
    <m/>
    <m/>
    <m/>
    <m/>
    <m/>
    <m/>
    <m/>
    <m/>
    <m/>
    <m/>
    <m/>
    <m/>
  </r>
  <r>
    <n v="406"/>
    <n v="18966"/>
    <d v="1997-08-06T00:00:00"/>
    <n v="28"/>
    <x v="0"/>
    <x v="1"/>
    <d v="2017-05-21T00:00:00"/>
    <n v="7.4219178082191783"/>
    <x v="98"/>
    <x v="1"/>
    <x v="2"/>
    <x v="1"/>
    <n v="14.13"/>
    <n v="13.71"/>
    <n v="13.53"/>
    <n v="13.14"/>
    <n v="12.83"/>
    <n v="12.83"/>
    <n v="12.41"/>
    <x v="4"/>
    <n v="0"/>
    <n v="5"/>
    <m/>
    <m/>
    <m/>
    <m/>
    <m/>
    <m/>
    <m/>
    <m/>
    <m/>
    <m/>
    <m/>
    <m/>
    <m/>
    <m/>
  </r>
  <r>
    <n v="407"/>
    <n v="19123"/>
    <d v="1993-02-27T00:00:00"/>
    <n v="32"/>
    <x v="0"/>
    <x v="0"/>
    <d v="2018-08-01T00:00:00"/>
    <n v="7.4219178082191783"/>
    <x v="113"/>
    <x v="1"/>
    <x v="0"/>
    <x v="0"/>
    <n v="57482"/>
    <n v="56732"/>
    <n v="55982"/>
    <n v="55232"/>
    <n v="48982"/>
    <n v="47982"/>
    <n v="45982"/>
    <x v="7"/>
    <n v="2"/>
    <n v="5"/>
    <n v="4"/>
    <d v="2019-09-18T00:00:00"/>
    <s v="Assistant Manager, Medium Market"/>
    <d v="2022-01-06T00:00:00"/>
    <s v="Assistant Manager, Large Market"/>
    <m/>
    <m/>
    <n v="4"/>
    <n v="2"/>
    <n v="3"/>
    <n v="4"/>
    <n v="5"/>
    <n v="4"/>
    <n v="3"/>
  </r>
  <r>
    <n v="408"/>
    <n v="19129"/>
    <d v="1993-03-16T00:00:00"/>
    <n v="32"/>
    <x v="1"/>
    <x v="1"/>
    <d v="2018-08-01T00:00:00"/>
    <n v="6.4219178082191783"/>
    <x v="114"/>
    <x v="1"/>
    <x v="0"/>
    <x v="0"/>
    <n v="64982"/>
    <n v="62732"/>
    <n v="60482"/>
    <n v="58232"/>
    <n v="48982"/>
    <n v="47982"/>
    <n v="45982"/>
    <x v="8"/>
    <n v="4"/>
    <n v="7"/>
    <n v="6"/>
    <d v="2020-03-17T00:00:00"/>
    <s v="Assistant Manager, Medium Market"/>
    <d v="2021-12-04T00:00:00"/>
    <s v="Assistant Manager, Large Market"/>
    <m/>
    <m/>
    <n v="5"/>
    <n v="5"/>
    <n v="5"/>
    <n v="5"/>
    <n v="4"/>
    <n v="2"/>
    <n v="2"/>
  </r>
  <r>
    <n v="409"/>
    <n v="19132"/>
    <d v="1994-10-28T00:00:00"/>
    <n v="31"/>
    <x v="1"/>
    <x v="1"/>
    <d v="2019-08-01T00:00:00"/>
    <n v="7.4219178082191783"/>
    <x v="115"/>
    <x v="1"/>
    <x v="0"/>
    <x v="0"/>
    <n v="61232"/>
    <n v="59732"/>
    <n v="58982"/>
    <n v="57482"/>
    <n v="48982"/>
    <n v="47982"/>
    <m/>
    <x v="10"/>
    <n v="2"/>
    <n v="7"/>
    <n v="6"/>
    <d v="2019-12-02T00:00:00"/>
    <s v="Assistant Manager, Medium Market"/>
    <d v="2021-08-06T00:00:00"/>
    <s v="Assistant Manager, Large Market"/>
    <m/>
    <m/>
    <n v="3"/>
    <n v="3"/>
    <n v="2"/>
    <n v="3"/>
    <n v="3"/>
    <n v="3"/>
    <m/>
  </r>
  <r>
    <n v="410"/>
    <n v="19133"/>
    <d v="1993-11-17T00:00:00"/>
    <n v="32"/>
    <x v="1"/>
    <x v="1"/>
    <d v="2018-08-01T00:00:00"/>
    <n v="7.4767123287671229"/>
    <x v="108"/>
    <x v="1"/>
    <x v="0"/>
    <x v="0"/>
    <n v="58232"/>
    <n v="58232"/>
    <n v="57482"/>
    <n v="56732"/>
    <n v="50482"/>
    <n v="48982"/>
    <n v="45982"/>
    <x v="0"/>
    <n v="4"/>
    <n v="7"/>
    <n v="6"/>
    <d v="2019-07-10T00:00:00"/>
    <s v="Assistant Manager, Medium Market"/>
    <d v="2021-07-20T00:00:00"/>
    <s v="Assistant Manager, Large Market"/>
    <m/>
    <m/>
    <n v="4"/>
    <n v="2"/>
    <n v="3"/>
    <n v="5"/>
    <n v="5"/>
    <n v="5"/>
    <n v="3"/>
  </r>
  <r>
    <n v="411"/>
    <n v="19144"/>
    <d v="1975-02-20T00:00:00"/>
    <n v="50"/>
    <x v="1"/>
    <x v="0"/>
    <d v="2018-07-12T00:00:00"/>
    <n v="6.4219178082191783"/>
    <x v="33"/>
    <x v="0"/>
    <x v="0"/>
    <x v="0"/>
    <n v="83103"/>
    <n v="80853"/>
    <n v="77853"/>
    <n v="75603"/>
    <n v="74103"/>
    <n v="71853"/>
    <n v="68853"/>
    <x v="12"/>
    <n v="4"/>
    <n v="6"/>
    <n v="6"/>
    <m/>
    <m/>
    <m/>
    <m/>
    <m/>
    <m/>
    <n v="4"/>
    <n v="4"/>
    <n v="5"/>
    <n v="4"/>
    <n v="3"/>
    <n v="4"/>
    <n v="5"/>
  </r>
  <r>
    <n v="412"/>
    <n v="19155"/>
    <d v="1994-08-12T00:00:00"/>
    <n v="31"/>
    <x v="0"/>
    <x v="1"/>
    <d v="2019-08-01T00:00:00"/>
    <n v="6.4219178082191783"/>
    <x v="116"/>
    <x v="1"/>
    <x v="0"/>
    <x v="0"/>
    <n v="63615"/>
    <n v="62327"/>
    <n v="62327"/>
    <n v="60486"/>
    <n v="50726"/>
    <n v="49372"/>
    <m/>
    <x v="8"/>
    <n v="4"/>
    <n v="5"/>
    <n v="7"/>
    <d v="2020-02-26T00:00:00"/>
    <s v="Assistant Manager, Medium Market"/>
    <d v="2021-10-21T00:00:00"/>
    <s v="Assistant Manager, Large Market"/>
    <m/>
    <m/>
    <n v="5"/>
    <n v="4"/>
    <n v="5"/>
    <n v="4"/>
    <n v="5"/>
    <n v="5"/>
    <m/>
  </r>
  <r>
    <n v="413"/>
    <n v="19158"/>
    <d v="1993-07-14T00:00:00"/>
    <n v="32"/>
    <x v="0"/>
    <x v="1"/>
    <d v="2019-08-01T00:00:00"/>
    <n v="6.4219178082191783"/>
    <x v="117"/>
    <x v="1"/>
    <x v="0"/>
    <x v="0"/>
    <n v="56732"/>
    <n v="56732"/>
    <n v="55982"/>
    <n v="55232"/>
    <n v="49732"/>
    <n v="48982"/>
    <m/>
    <x v="10"/>
    <n v="2"/>
    <n v="5"/>
    <n v="5"/>
    <d v="2019-01-23T00:00:00"/>
    <s v="Assistant Manager, Medium Market"/>
    <d v="2021-09-29T00:00:00"/>
    <s v="Assistant Manager, Large Market"/>
    <m/>
    <m/>
    <n v="1"/>
    <n v="2"/>
    <n v="3"/>
    <n v="3"/>
    <n v="4"/>
    <n v="2"/>
    <m/>
  </r>
  <r>
    <n v="414"/>
    <n v="19162"/>
    <d v="1991-08-23T00:00:00"/>
    <n v="34"/>
    <x v="0"/>
    <x v="1"/>
    <d v="2019-08-01T00:00:00"/>
    <n v="7.4219178082191783"/>
    <x v="53"/>
    <x v="1"/>
    <x v="0"/>
    <x v="0"/>
    <n v="61451"/>
    <n v="59951"/>
    <n v="58451"/>
    <n v="51451"/>
    <n v="50853"/>
    <n v="49525"/>
    <m/>
    <x v="11"/>
    <n v="4"/>
    <n v="6"/>
    <n v="5"/>
    <d v="2019-11-30T00:00:00"/>
    <s v="Assistant Manager, Medium Market"/>
    <d v="2022-05-10T00:00:00"/>
    <s v="Assistant Manager, Large Market"/>
    <m/>
    <m/>
    <n v="3"/>
    <n v="3"/>
    <n v="3"/>
    <n v="2"/>
    <n v="3"/>
    <n v="3"/>
    <m/>
  </r>
  <r>
    <n v="415"/>
    <n v="19166"/>
    <d v="1993-01-24T00:00:00"/>
    <n v="32"/>
    <x v="0"/>
    <x v="0"/>
    <d v="2018-08-01T00:00:00"/>
    <n v="6.4219178082191783"/>
    <x v="118"/>
    <x v="1"/>
    <x v="0"/>
    <x v="0"/>
    <n v="59982"/>
    <n v="58482"/>
    <n v="56982"/>
    <n v="49982"/>
    <n v="48982"/>
    <n v="47982"/>
    <n v="45982"/>
    <x v="8"/>
    <n v="2"/>
    <n v="5"/>
    <n v="4"/>
    <d v="2019-04-13T00:00:00"/>
    <s v="Assistant Manager, Medium Market"/>
    <d v="2022-12-01T00:00:00"/>
    <s v="Assistant Manager, Large Market"/>
    <m/>
    <m/>
    <n v="4"/>
    <n v="4"/>
    <n v="3"/>
    <n v="4"/>
    <n v="4"/>
    <n v="4"/>
    <n v="4"/>
  </r>
  <r>
    <n v="416"/>
    <n v="19169"/>
    <d v="1994-03-24T00:00:00"/>
    <n v="31"/>
    <x v="0"/>
    <x v="1"/>
    <d v="2019-08-01T00:00:00"/>
    <n v="6.4219178082191783"/>
    <x v="110"/>
    <x v="1"/>
    <x v="0"/>
    <x v="0"/>
    <n v="61482"/>
    <n v="59982"/>
    <n v="58482"/>
    <n v="51482"/>
    <n v="49982"/>
    <n v="48982"/>
    <m/>
    <x v="10"/>
    <n v="2"/>
    <n v="5"/>
    <n v="5"/>
    <d v="2019-10-29T00:00:00"/>
    <s v="Assistant Manager, Medium Market"/>
    <d v="2023-01-04T00:00:00"/>
    <s v="Assistant Manager, Large Market"/>
    <m/>
    <m/>
    <n v="5"/>
    <n v="5"/>
    <n v="5"/>
    <n v="5"/>
    <n v="5"/>
    <n v="3"/>
    <m/>
  </r>
  <r>
    <n v="417"/>
    <n v="19174"/>
    <d v="1994-07-19T00:00:00"/>
    <n v="31"/>
    <x v="0"/>
    <x v="1"/>
    <d v="2019-08-01T00:00:00"/>
    <n v="7.4219178082191783"/>
    <x v="70"/>
    <x v="1"/>
    <x v="0"/>
    <x v="0"/>
    <n v="62982"/>
    <n v="61482"/>
    <n v="59982"/>
    <n v="52982"/>
    <n v="51482"/>
    <n v="49982"/>
    <m/>
    <x v="7"/>
    <n v="4"/>
    <n v="6"/>
    <n v="6"/>
    <d v="2019-08-18T00:00:00"/>
    <s v="Assistant Manager, Medium Market"/>
    <d v="2022-06-28T00:00:00"/>
    <s v="Assistant Manager, Large Market"/>
    <m/>
    <m/>
    <n v="5"/>
    <n v="5"/>
    <n v="5"/>
    <n v="5"/>
    <n v="5"/>
    <n v="5"/>
    <m/>
  </r>
  <r>
    <n v="418"/>
    <n v="19180"/>
    <d v="1992-04-09T00:00:00"/>
    <n v="33"/>
    <x v="1"/>
    <x v="0"/>
    <d v="2018-08-01T00:00:00"/>
    <n v="6.4219178082191783"/>
    <x v="107"/>
    <x v="1"/>
    <x v="0"/>
    <x v="0"/>
    <n v="70482"/>
    <n v="67482"/>
    <n v="64482"/>
    <n v="52982"/>
    <n v="51482"/>
    <n v="49982"/>
    <n v="45982"/>
    <x v="10"/>
    <n v="3"/>
    <n v="6"/>
    <n v="7"/>
    <d v="2019-08-10T00:00:00"/>
    <s v="Assistant Manager, Medium Market"/>
    <d v="2022-08-11T00:00:00"/>
    <s v="Assistant Manager, Large Market"/>
    <m/>
    <m/>
    <n v="5"/>
    <n v="5"/>
    <n v="5"/>
    <n v="5"/>
    <n v="4"/>
    <n v="4"/>
    <n v="4"/>
  </r>
  <r>
    <n v="419"/>
    <n v="19181"/>
    <d v="1993-07-11T00:00:00"/>
    <n v="32"/>
    <x v="0"/>
    <x v="1"/>
    <d v="2019-08-01T00:00:00"/>
    <n v="7.4219178082191783"/>
    <x v="56"/>
    <x v="1"/>
    <x v="0"/>
    <x v="0"/>
    <n v="61482"/>
    <n v="59607"/>
    <n v="57732"/>
    <n v="48482"/>
    <n v="47982"/>
    <n v="47482"/>
    <m/>
    <x v="7"/>
    <n v="4"/>
    <n v="5"/>
    <n v="6"/>
    <d v="2019-11-01T00:00:00"/>
    <s v="Assistant Manager, Medium Market"/>
    <d v="2022-10-20T00:00:00"/>
    <s v="Assistant Manager, Large Market"/>
    <m/>
    <m/>
    <n v="5"/>
    <n v="4"/>
    <n v="4"/>
    <n v="4"/>
    <n v="3"/>
    <n v="1"/>
    <m/>
  </r>
  <r>
    <n v="420"/>
    <n v="19184"/>
    <d v="1994-09-06T00:00:00"/>
    <n v="31"/>
    <x v="1"/>
    <x v="0"/>
    <d v="2018-08-01T00:00:00"/>
    <n v="6.4219178082191783"/>
    <x v="71"/>
    <x v="1"/>
    <x v="0"/>
    <x v="0"/>
    <n v="61382"/>
    <n v="59882"/>
    <n v="58757"/>
    <n v="50257"/>
    <n v="49289"/>
    <n v="48403"/>
    <n v="45982"/>
    <x v="11"/>
    <n v="1"/>
    <n v="4"/>
    <n v="6"/>
    <d v="2019-11-22T00:00:00"/>
    <s v="Assistant Manager, Medium Market"/>
    <d v="2022-10-29T00:00:00"/>
    <s v="Assistant Manager, Large Market"/>
    <m/>
    <m/>
    <n v="3"/>
    <n v="3"/>
    <n v="2"/>
    <n v="3"/>
    <n v="1"/>
    <n v="3"/>
    <n v="2"/>
  </r>
  <r>
    <n v="421"/>
    <n v="19187"/>
    <d v="1990-03-27T00:00:00"/>
    <n v="35"/>
    <x v="1"/>
    <x v="1"/>
    <d v="2019-08-01T00:00:00"/>
    <n v="6.4219178082191783"/>
    <x v="119"/>
    <x v="1"/>
    <x v="0"/>
    <x v="0"/>
    <n v="58741"/>
    <n v="57494"/>
    <n v="57494"/>
    <n v="50722"/>
    <n v="49317"/>
    <n v="48292"/>
    <m/>
    <x v="0"/>
    <n v="2"/>
    <n v="6"/>
    <n v="7"/>
    <d v="2019-10-24T00:00:00"/>
    <s v="Assistant Manager, Medium Market"/>
    <d v="2022-04-15T00:00:00"/>
    <s v="Assistant Manager, Large Market"/>
    <m/>
    <m/>
    <n v="2"/>
    <n v="3"/>
    <n v="2"/>
    <n v="3"/>
    <n v="4"/>
    <n v="4"/>
    <m/>
  </r>
  <r>
    <n v="422"/>
    <n v="19193"/>
    <d v="1988-05-26T00:00:00"/>
    <n v="37"/>
    <x v="1"/>
    <x v="1"/>
    <d v="2019-08-01T00:00:00"/>
    <n v="7.183561643835616"/>
    <x v="120"/>
    <x v="1"/>
    <x v="0"/>
    <x v="0"/>
    <n v="60732"/>
    <n v="59232"/>
    <n v="57732"/>
    <n v="50732"/>
    <n v="49482"/>
    <n v="48482"/>
    <m/>
    <x v="8"/>
    <n v="2"/>
    <n v="7"/>
    <n v="5"/>
    <d v="2019-12-26T00:00:00"/>
    <s v="Assistant Manager, Medium Market"/>
    <d v="2023-01-19T00:00:00"/>
    <s v="Assistant Manager, Large Market"/>
    <m/>
    <m/>
    <n v="5"/>
    <n v="4"/>
    <n v="3"/>
    <n v="4"/>
    <n v="4"/>
    <n v="3"/>
    <m/>
  </r>
  <r>
    <n v="423"/>
    <n v="19226"/>
    <d v="1989-12-17T00:00:00"/>
    <n v="36"/>
    <x v="1"/>
    <x v="1"/>
    <d v="2018-10-27T00:00:00"/>
    <n v="7.0191780821917806"/>
    <x v="46"/>
    <x v="1"/>
    <x v="4"/>
    <x v="1"/>
    <n v="33.01"/>
    <n v="32.71"/>
    <n v="32.409999999999997"/>
    <n v="32.11"/>
    <n v="31.81"/>
    <n v="31.51"/>
    <n v="31.21"/>
    <x v="4"/>
    <n v="0"/>
    <n v="4"/>
    <m/>
    <m/>
    <m/>
    <m/>
    <m/>
    <m/>
    <m/>
    <m/>
    <m/>
    <m/>
    <m/>
    <m/>
    <m/>
    <m/>
  </r>
  <r>
    <n v="424"/>
    <n v="19229"/>
    <d v="1989-03-04T00:00:00"/>
    <n v="36"/>
    <x v="0"/>
    <x v="1"/>
    <d v="2018-12-26T00:00:00"/>
    <n v="6.8273972602739725"/>
    <x v="121"/>
    <x v="1"/>
    <x v="4"/>
    <x v="1"/>
    <n v="33.01"/>
    <n v="32.71"/>
    <n v="32.409999999999997"/>
    <n v="32.11"/>
    <n v="31.81"/>
    <n v="31.51"/>
    <n v="31.21"/>
    <x v="3"/>
    <n v="0"/>
    <n v="4"/>
    <m/>
    <m/>
    <m/>
    <m/>
    <m/>
    <m/>
    <m/>
    <m/>
    <m/>
    <m/>
    <m/>
    <m/>
    <m/>
    <m/>
  </r>
  <r>
    <n v="425"/>
    <n v="19258"/>
    <d v="1986-09-23T00:00:00"/>
    <n v="39"/>
    <x v="0"/>
    <x v="1"/>
    <d v="2019-03-06T00:00:00"/>
    <n v="7.3369863013698629"/>
    <x v="67"/>
    <x v="0"/>
    <x v="4"/>
    <x v="1"/>
    <n v="33.01"/>
    <n v="32.71"/>
    <n v="32.409999999999997"/>
    <n v="32.11"/>
    <n v="31.81"/>
    <n v="31.51"/>
    <m/>
    <x v="3"/>
    <n v="0"/>
    <n v="2"/>
    <m/>
    <m/>
    <m/>
    <m/>
    <m/>
    <m/>
    <m/>
    <m/>
    <m/>
    <m/>
    <m/>
    <m/>
    <m/>
    <m/>
  </r>
  <r>
    <n v="426"/>
    <n v="19260"/>
    <d v="1988-05-12T00:00:00"/>
    <n v="37"/>
    <x v="0"/>
    <x v="1"/>
    <d v="2018-09-01T00:00:00"/>
    <n v="7.5534246575342463"/>
    <x v="36"/>
    <x v="0"/>
    <x v="4"/>
    <x v="1"/>
    <n v="33.01"/>
    <n v="32.71"/>
    <n v="32.409999999999997"/>
    <n v="32.11"/>
    <n v="31.81"/>
    <n v="31.51"/>
    <n v="31.21"/>
    <x v="2"/>
    <n v="0"/>
    <n v="4"/>
    <m/>
    <m/>
    <m/>
    <m/>
    <m/>
    <m/>
    <m/>
    <m/>
    <m/>
    <m/>
    <m/>
    <m/>
    <m/>
    <m/>
  </r>
  <r>
    <n v="427"/>
    <n v="19270"/>
    <d v="1976-12-03T00:00:00"/>
    <n v="49"/>
    <x v="0"/>
    <x v="1"/>
    <d v="2018-06-14T00:00:00"/>
    <n v="7.5506849315068489"/>
    <x v="122"/>
    <x v="1"/>
    <x v="4"/>
    <x v="1"/>
    <n v="33.1"/>
    <n v="32.68"/>
    <n v="32.39"/>
    <n v="31.97"/>
    <n v="31.79"/>
    <n v="31.52"/>
    <n v="31.21"/>
    <x v="2"/>
    <n v="0"/>
    <n v="4"/>
    <m/>
    <m/>
    <m/>
    <m/>
    <m/>
    <m/>
    <m/>
    <m/>
    <m/>
    <m/>
    <m/>
    <m/>
    <m/>
    <m/>
  </r>
  <r>
    <n v="428"/>
    <n v="19280"/>
    <d v="1982-10-10T00:00:00"/>
    <n v="43"/>
    <x v="0"/>
    <x v="1"/>
    <d v="2018-06-15T00:00:00"/>
    <n v="7.5643835616438357"/>
    <x v="101"/>
    <x v="1"/>
    <x v="4"/>
    <x v="1"/>
    <n v="32.81"/>
    <n v="32.590000000000003"/>
    <n v="32.340000000000003"/>
    <n v="32.06"/>
    <n v="31.68"/>
    <n v="31.5"/>
    <n v="31.21"/>
    <x v="2"/>
    <n v="0"/>
    <n v="4"/>
    <m/>
    <m/>
    <m/>
    <m/>
    <m/>
    <m/>
    <m/>
    <m/>
    <m/>
    <m/>
    <m/>
    <m/>
    <m/>
    <m/>
  </r>
  <r>
    <n v="429"/>
    <n v="19290"/>
    <d v="1990-03-13T00:00:00"/>
    <n v="35"/>
    <x v="1"/>
    <x v="1"/>
    <d v="2018-06-10T00:00:00"/>
    <n v="7.6191780821917812"/>
    <x v="52"/>
    <x v="0"/>
    <x v="4"/>
    <x v="1"/>
    <n v="31.81"/>
    <n v="31.66"/>
    <n v="31.51"/>
    <n v="31.51"/>
    <n v="31.36"/>
    <n v="31.21"/>
    <n v="31.21"/>
    <x v="2"/>
    <n v="0"/>
    <n v="5"/>
    <m/>
    <m/>
    <m/>
    <m/>
    <m/>
    <m/>
    <m/>
    <m/>
    <m/>
    <m/>
    <m/>
    <m/>
    <m/>
    <m/>
  </r>
  <r>
    <n v="430"/>
    <n v="19309"/>
    <d v="1989-08-08T00:00:00"/>
    <n v="36"/>
    <x v="0"/>
    <x v="1"/>
    <d v="2018-05-21T00:00:00"/>
    <n v="7.0904109589041093"/>
    <x v="123"/>
    <x v="1"/>
    <x v="4"/>
    <x v="1"/>
    <n v="31.81"/>
    <n v="31.81"/>
    <n v="31.81"/>
    <n v="31.66"/>
    <n v="31.51"/>
    <n v="31.36"/>
    <n v="31.21"/>
    <x v="2"/>
    <n v="0"/>
    <n v="3"/>
    <m/>
    <m/>
    <m/>
    <m/>
    <m/>
    <m/>
    <m/>
    <m/>
    <m/>
    <m/>
    <m/>
    <m/>
    <m/>
    <m/>
  </r>
  <r>
    <n v="431"/>
    <n v="19315"/>
    <d v="1986-08-06T00:00:00"/>
    <n v="39"/>
    <x v="0"/>
    <x v="1"/>
    <d v="2018-11-30T00:00:00"/>
    <n v="6.8356164383561646"/>
    <x v="69"/>
    <x v="1"/>
    <x v="4"/>
    <x v="1"/>
    <n v="33.01"/>
    <n v="32.71"/>
    <n v="32.409999999999997"/>
    <n v="32.11"/>
    <n v="31.81"/>
    <n v="31.51"/>
    <n v="31.21"/>
    <x v="2"/>
    <n v="0"/>
    <n v="5"/>
    <m/>
    <m/>
    <m/>
    <m/>
    <m/>
    <m/>
    <m/>
    <m/>
    <m/>
    <m/>
    <m/>
    <m/>
    <m/>
    <m/>
  </r>
  <r>
    <n v="432"/>
    <n v="19322"/>
    <d v="1979-11-25T00:00:00"/>
    <n v="46"/>
    <x v="1"/>
    <x v="1"/>
    <d v="2019-03-03T00:00:00"/>
    <n v="6.9068493150684933"/>
    <x v="118"/>
    <x v="1"/>
    <x v="4"/>
    <x v="1"/>
    <n v="33.01"/>
    <n v="32.71"/>
    <n v="32.409999999999997"/>
    <n v="32.11"/>
    <n v="31.81"/>
    <n v="31.51"/>
    <m/>
    <x v="2"/>
    <n v="0"/>
    <n v="5"/>
    <m/>
    <m/>
    <m/>
    <m/>
    <m/>
    <m/>
    <m/>
    <m/>
    <m/>
    <m/>
    <m/>
    <m/>
    <m/>
    <m/>
  </r>
  <r>
    <n v="433"/>
    <n v="19330"/>
    <d v="1990-03-24T00:00:00"/>
    <n v="35"/>
    <x v="0"/>
    <x v="1"/>
    <d v="2019-02-05T00:00:00"/>
    <n v="7.3698630136986303"/>
    <x v="112"/>
    <x v="1"/>
    <x v="4"/>
    <x v="1"/>
    <n v="33.01"/>
    <n v="32.71"/>
    <n v="32.409999999999997"/>
    <n v="32.11"/>
    <n v="31.81"/>
    <n v="31.51"/>
    <m/>
    <x v="2"/>
    <n v="0"/>
    <n v="4"/>
    <m/>
    <m/>
    <m/>
    <m/>
    <m/>
    <m/>
    <m/>
    <m/>
    <m/>
    <m/>
    <m/>
    <m/>
    <m/>
    <m/>
  </r>
  <r>
    <n v="434"/>
    <n v="19332"/>
    <d v="1986-06-30T00:00:00"/>
    <n v="39"/>
    <x v="0"/>
    <x v="0"/>
    <d v="2018-08-20T00:00:00"/>
    <n v="7.7260273972602738"/>
    <x v="5"/>
    <x v="0"/>
    <x v="4"/>
    <x v="1"/>
    <n v="33.01"/>
    <n v="32.71"/>
    <n v="32.409999999999997"/>
    <n v="32.11"/>
    <n v="31.81"/>
    <n v="31.51"/>
    <n v="31.21"/>
    <x v="4"/>
    <n v="0"/>
    <n v="2"/>
    <m/>
    <m/>
    <m/>
    <m/>
    <m/>
    <m/>
    <m/>
    <m/>
    <m/>
    <m/>
    <m/>
    <m/>
    <m/>
    <m/>
  </r>
  <r>
    <n v="435"/>
    <n v="19347"/>
    <d v="1988-03-25T00:00:00"/>
    <n v="37"/>
    <x v="1"/>
    <x v="1"/>
    <d v="2018-04-12T00:00:00"/>
    <n v="7.2"/>
    <x v="17"/>
    <x v="0"/>
    <x v="4"/>
    <x v="1"/>
    <n v="33.01"/>
    <n v="32.71"/>
    <n v="32.409999999999997"/>
    <n v="32.11"/>
    <n v="31.81"/>
    <n v="31.51"/>
    <n v="31.21"/>
    <x v="1"/>
    <n v="0"/>
    <n v="5"/>
    <m/>
    <m/>
    <m/>
    <m/>
    <m/>
    <m/>
    <m/>
    <m/>
    <m/>
    <m/>
    <m/>
    <m/>
    <m/>
    <m/>
  </r>
  <r>
    <n v="436"/>
    <n v="19355"/>
    <d v="1987-04-27T00:00:00"/>
    <n v="38"/>
    <x v="1"/>
    <x v="0"/>
    <d v="2018-10-21T00:00:00"/>
    <n v="7.1890410958904107"/>
    <x v="24"/>
    <x v="0"/>
    <x v="4"/>
    <x v="1"/>
    <n v="33.01"/>
    <n v="32.71"/>
    <n v="32.409999999999997"/>
    <n v="32.11"/>
    <n v="31.81"/>
    <n v="31.51"/>
    <n v="31.21"/>
    <x v="2"/>
    <n v="0"/>
    <n v="6"/>
    <m/>
    <m/>
    <m/>
    <m/>
    <m/>
    <m/>
    <m/>
    <m/>
    <m/>
    <m/>
    <m/>
    <m/>
    <m/>
    <m/>
  </r>
  <r>
    <n v="437"/>
    <n v="19364"/>
    <d v="1993-07-13T00:00:00"/>
    <n v="32"/>
    <x v="0"/>
    <x v="1"/>
    <d v="2018-10-25T00:00:00"/>
    <n v="7.5835616438356164"/>
    <x v="31"/>
    <x v="0"/>
    <x v="4"/>
    <x v="1"/>
    <n v="33.01"/>
    <n v="32.71"/>
    <n v="32.409999999999997"/>
    <n v="32.11"/>
    <n v="31.81"/>
    <n v="31.51"/>
    <n v="31.21"/>
    <x v="3"/>
    <n v="0"/>
    <n v="5"/>
    <m/>
    <m/>
    <m/>
    <m/>
    <m/>
    <m/>
    <m/>
    <m/>
    <m/>
    <m/>
    <m/>
    <m/>
    <m/>
    <m/>
  </r>
  <r>
    <n v="438"/>
    <n v="19368"/>
    <d v="1983-03-12T00:00:00"/>
    <n v="42"/>
    <x v="0"/>
    <x v="0"/>
    <d v="2018-06-03T00:00:00"/>
    <n v="7.0109589041095894"/>
    <x v="33"/>
    <x v="0"/>
    <x v="4"/>
    <x v="1"/>
    <n v="33.01"/>
    <n v="32.71"/>
    <n v="32.409999999999997"/>
    <n v="32.11"/>
    <n v="31.81"/>
    <n v="31.51"/>
    <n v="31.21"/>
    <x v="4"/>
    <n v="0"/>
    <n v="5"/>
    <m/>
    <m/>
    <m/>
    <m/>
    <m/>
    <m/>
    <m/>
    <m/>
    <m/>
    <m/>
    <m/>
    <m/>
    <m/>
    <m/>
  </r>
  <r>
    <n v="439"/>
    <n v="19435"/>
    <d v="1976-10-11T00:00:00"/>
    <n v="49"/>
    <x v="0"/>
    <x v="1"/>
    <d v="2018-12-29T00:00:00"/>
    <n v="7.4465753424657537"/>
    <x v="53"/>
    <x v="1"/>
    <x v="4"/>
    <x v="1"/>
    <n v="33.01"/>
    <n v="32.71"/>
    <n v="32.409999999999997"/>
    <n v="32.11"/>
    <n v="31.81"/>
    <n v="31.51"/>
    <n v="31.21"/>
    <x v="3"/>
    <n v="0"/>
    <n v="4"/>
    <m/>
    <m/>
    <m/>
    <m/>
    <m/>
    <m/>
    <m/>
    <m/>
    <m/>
    <m/>
    <m/>
    <m/>
    <m/>
    <m/>
  </r>
  <r>
    <n v="440"/>
    <n v="19474"/>
    <d v="1989-02-16T00:00:00"/>
    <n v="36"/>
    <x v="0"/>
    <x v="1"/>
    <d v="2018-07-23T00:00:00"/>
    <n v="7.0931506849315067"/>
    <x v="89"/>
    <x v="1"/>
    <x v="4"/>
    <x v="1"/>
    <n v="33.01"/>
    <n v="32.71"/>
    <n v="32.409999999999997"/>
    <n v="32.11"/>
    <n v="31.81"/>
    <n v="31.51"/>
    <n v="31.21"/>
    <x v="3"/>
    <n v="0"/>
    <n v="4"/>
    <m/>
    <m/>
    <m/>
    <m/>
    <m/>
    <m/>
    <m/>
    <m/>
    <m/>
    <m/>
    <m/>
    <m/>
    <m/>
    <m/>
  </r>
  <r>
    <n v="441"/>
    <n v="19526"/>
    <d v="1993-10-17T00:00:00"/>
    <n v="32"/>
    <x v="1"/>
    <x v="1"/>
    <d v="2018-11-29T00:00:00"/>
    <n v="7.0794520547945208"/>
    <x v="14"/>
    <x v="0"/>
    <x v="5"/>
    <x v="1"/>
    <n v="22.15"/>
    <n v="21.85"/>
    <n v="21.55"/>
    <n v="21.25"/>
    <n v="20.95"/>
    <n v="20.65"/>
    <n v="20.350000000000001"/>
    <x v="3"/>
    <n v="3"/>
    <n v="6"/>
    <m/>
    <m/>
    <m/>
    <m/>
    <m/>
    <m/>
    <m/>
    <m/>
    <m/>
    <m/>
    <m/>
    <m/>
    <m/>
    <m/>
  </r>
  <r>
    <n v="442"/>
    <n v="19531"/>
    <d v="1990-10-30T00:00:00"/>
    <n v="35"/>
    <x v="0"/>
    <x v="1"/>
    <d v="2018-12-04T00:00:00"/>
    <n v="7.6876712328767125"/>
    <x v="26"/>
    <x v="0"/>
    <x v="5"/>
    <x v="1"/>
    <n v="22.04"/>
    <n v="21.77"/>
    <n v="21.51"/>
    <n v="21.32"/>
    <n v="21.06"/>
    <n v="20.64"/>
    <n v="20.350000000000001"/>
    <x v="2"/>
    <n v="3"/>
    <n v="4"/>
    <m/>
    <m/>
    <m/>
    <m/>
    <m/>
    <m/>
    <m/>
    <m/>
    <m/>
    <m/>
    <m/>
    <m/>
    <m/>
    <m/>
  </r>
  <r>
    <n v="443"/>
    <n v="19569"/>
    <d v="1989-12-15T00:00:00"/>
    <n v="36"/>
    <x v="0"/>
    <x v="1"/>
    <d v="2018-04-26T00:00:00"/>
    <n v="7.8109589041095893"/>
    <x v="5"/>
    <x v="0"/>
    <x v="5"/>
    <x v="1"/>
    <n v="22.15"/>
    <n v="21.85"/>
    <n v="21.55"/>
    <n v="21.25"/>
    <n v="20.95"/>
    <n v="20.65"/>
    <n v="20.350000000000001"/>
    <x v="2"/>
    <n v="4"/>
    <n v="6"/>
    <m/>
    <m/>
    <m/>
    <m/>
    <m/>
    <m/>
    <m/>
    <m/>
    <m/>
    <m/>
    <m/>
    <m/>
    <m/>
    <m/>
  </r>
  <r>
    <n v="444"/>
    <n v="19618"/>
    <d v="1990-11-15T00:00:00"/>
    <n v="35"/>
    <x v="1"/>
    <x v="1"/>
    <d v="2018-03-12T00:00:00"/>
    <n v="7.0493150684931507"/>
    <x v="100"/>
    <x v="1"/>
    <x v="5"/>
    <x v="1"/>
    <n v="22.15"/>
    <n v="21.85"/>
    <n v="21.55"/>
    <n v="21.25"/>
    <n v="20.95"/>
    <n v="20.65"/>
    <n v="20.350000000000001"/>
    <x v="3"/>
    <n v="4"/>
    <n v="7"/>
    <m/>
    <m/>
    <m/>
    <m/>
    <m/>
    <m/>
    <m/>
    <m/>
    <m/>
    <m/>
    <m/>
    <m/>
    <m/>
    <m/>
  </r>
  <r>
    <n v="445"/>
    <n v="19667"/>
    <d v="1994-07-10T00:00:00"/>
    <n v="31"/>
    <x v="0"/>
    <x v="1"/>
    <d v="2018-12-15T00:00:00"/>
    <n v="6.9205479452054792"/>
    <x v="21"/>
    <x v="0"/>
    <x v="5"/>
    <x v="1"/>
    <n v="22.15"/>
    <n v="21.85"/>
    <n v="21.55"/>
    <n v="21.25"/>
    <n v="20.95"/>
    <n v="20.65"/>
    <n v="20.350000000000001"/>
    <x v="2"/>
    <n v="4"/>
    <n v="4"/>
    <m/>
    <m/>
    <m/>
    <m/>
    <m/>
    <m/>
    <m/>
    <m/>
    <m/>
    <m/>
    <m/>
    <m/>
    <m/>
    <m/>
  </r>
  <r>
    <n v="446"/>
    <n v="19721"/>
    <d v="1987-05-21T00:00:00"/>
    <n v="38"/>
    <x v="0"/>
    <x v="1"/>
    <d v="2019-01-31T00:00:00"/>
    <n v="7.0684931506849313"/>
    <x v="35"/>
    <x v="0"/>
    <x v="5"/>
    <x v="1"/>
    <n v="22.15"/>
    <n v="21.85"/>
    <n v="21.55"/>
    <n v="21.25"/>
    <n v="20.95"/>
    <n v="20.65"/>
    <m/>
    <x v="2"/>
    <n v="2"/>
    <n v="6"/>
    <m/>
    <m/>
    <m/>
    <m/>
    <m/>
    <m/>
    <m/>
    <m/>
    <m/>
    <m/>
    <m/>
    <m/>
    <m/>
    <m/>
  </r>
  <r>
    <n v="447"/>
    <n v="19762"/>
    <d v="1992-04-29T00:00:00"/>
    <n v="33"/>
    <x v="0"/>
    <x v="1"/>
    <d v="2018-12-08T00:00:00"/>
    <n v="7.279452054794521"/>
    <x v="6"/>
    <x v="1"/>
    <x v="5"/>
    <x v="1"/>
    <n v="22.15"/>
    <n v="21.85"/>
    <n v="21.55"/>
    <n v="21.25"/>
    <n v="20.95"/>
    <n v="20.65"/>
    <n v="20.350000000000001"/>
    <x v="4"/>
    <n v="5"/>
    <n v="6"/>
    <m/>
    <m/>
    <m/>
    <m/>
    <m/>
    <m/>
    <m/>
    <m/>
    <m/>
    <m/>
    <m/>
    <m/>
    <m/>
    <m/>
  </r>
  <r>
    <n v="448"/>
    <n v="19769"/>
    <d v="1993-01-31T00:00:00"/>
    <n v="32"/>
    <x v="0"/>
    <x v="1"/>
    <d v="2018-09-22T00:00:00"/>
    <n v="6.9205479452054792"/>
    <x v="9"/>
    <x v="1"/>
    <x v="5"/>
    <x v="1"/>
    <n v="22.15"/>
    <n v="21.85"/>
    <n v="21.55"/>
    <n v="21.25"/>
    <n v="20.95"/>
    <n v="20.65"/>
    <n v="20.350000000000001"/>
    <x v="2"/>
    <n v="6"/>
    <n v="5"/>
    <m/>
    <m/>
    <m/>
    <m/>
    <m/>
    <m/>
    <m/>
    <m/>
    <m/>
    <m/>
    <m/>
    <m/>
    <m/>
    <m/>
  </r>
  <r>
    <n v="449"/>
    <n v="19784"/>
    <d v="1992-04-17T00:00:00"/>
    <n v="33"/>
    <x v="1"/>
    <x v="1"/>
    <d v="2019-01-31T00:00:00"/>
    <n v="7.8246575342465752"/>
    <x v="121"/>
    <x v="1"/>
    <x v="5"/>
    <x v="1"/>
    <n v="22.15"/>
    <n v="21.85"/>
    <n v="21.55"/>
    <n v="21.25"/>
    <n v="20.95"/>
    <n v="20.65"/>
    <m/>
    <x v="2"/>
    <n v="6"/>
    <n v="6"/>
    <m/>
    <m/>
    <m/>
    <m/>
    <m/>
    <m/>
    <m/>
    <m/>
    <m/>
    <m/>
    <m/>
    <m/>
    <m/>
    <m/>
  </r>
  <r>
    <n v="450"/>
    <n v="19789"/>
    <d v="1986-09-07T00:00:00"/>
    <n v="39"/>
    <x v="0"/>
    <x v="1"/>
    <d v="2018-03-07T00:00:00"/>
    <n v="6.9205479452054792"/>
    <x v="58"/>
    <x v="1"/>
    <x v="5"/>
    <x v="1"/>
    <n v="21.67"/>
    <n v="21.67"/>
    <n v="21.26"/>
    <n v="21.08"/>
    <n v="21.08"/>
    <n v="20.74"/>
    <n v="20.350000000000001"/>
    <x v="2"/>
    <n v="3"/>
    <n v="5"/>
    <m/>
    <m/>
    <m/>
    <m/>
    <m/>
    <m/>
    <m/>
    <m/>
    <m/>
    <m/>
    <m/>
    <m/>
    <m/>
    <m/>
  </r>
  <r>
    <n v="451"/>
    <n v="19810"/>
    <d v="1988-07-16T00:00:00"/>
    <n v="37"/>
    <x v="0"/>
    <x v="0"/>
    <d v="2019-01-31T00:00:00"/>
    <n v="7.0383561643835613"/>
    <x v="69"/>
    <x v="1"/>
    <x v="5"/>
    <x v="1"/>
    <n v="22.15"/>
    <n v="21.85"/>
    <n v="21.55"/>
    <n v="21.25"/>
    <n v="20.95"/>
    <n v="20.65"/>
    <m/>
    <x v="2"/>
    <n v="4"/>
    <n v="3"/>
    <m/>
    <m/>
    <m/>
    <m/>
    <m/>
    <m/>
    <m/>
    <m/>
    <m/>
    <m/>
    <m/>
    <m/>
    <m/>
    <m/>
  </r>
  <r>
    <n v="452"/>
    <n v="19826"/>
    <d v="1994-04-09T00:00:00"/>
    <n v="31"/>
    <x v="0"/>
    <x v="1"/>
    <d v="2018-12-19T00:00:00"/>
    <n v="6.8657534246575347"/>
    <x v="118"/>
    <x v="1"/>
    <x v="5"/>
    <x v="1"/>
    <n v="22.15"/>
    <n v="21.85"/>
    <n v="21.55"/>
    <n v="21.25"/>
    <n v="20.95"/>
    <n v="20.65"/>
    <n v="20.350000000000001"/>
    <x v="2"/>
    <n v="2"/>
    <n v="5"/>
    <m/>
    <m/>
    <m/>
    <m/>
    <m/>
    <m/>
    <m/>
    <m/>
    <m/>
    <m/>
    <m/>
    <m/>
    <m/>
    <m/>
  </r>
  <r>
    <n v="453"/>
    <n v="19849"/>
    <d v="1994-07-26T00:00:00"/>
    <n v="31"/>
    <x v="0"/>
    <x v="1"/>
    <d v="2019-02-20T00:00:00"/>
    <n v="7.3150684931506849"/>
    <x v="0"/>
    <x v="0"/>
    <x v="2"/>
    <x v="1"/>
    <n v="14.07"/>
    <n v="13.77"/>
    <n v="13.47"/>
    <n v="13.17"/>
    <n v="12.87"/>
    <n v="12.57"/>
    <m/>
    <x v="3"/>
    <n v="0"/>
    <n v="4"/>
    <m/>
    <m/>
    <m/>
    <m/>
    <m/>
    <m/>
    <m/>
    <m/>
    <m/>
    <m/>
    <m/>
    <m/>
    <m/>
    <m/>
  </r>
  <r>
    <n v="454"/>
    <n v="19859"/>
    <d v="1995-09-04T00:00:00"/>
    <n v="30"/>
    <x v="0"/>
    <x v="1"/>
    <d v="2018-09-09T00:00:00"/>
    <n v="7.3287671232876717"/>
    <x v="124"/>
    <x v="0"/>
    <x v="7"/>
    <x v="1"/>
    <n v="16.97"/>
    <n v="16.670000000000002"/>
    <n v="16.37"/>
    <n v="16.07"/>
    <n v="15.77"/>
    <n v="15.47"/>
    <n v="15.17"/>
    <x v="2"/>
    <n v="2"/>
    <n v="4"/>
    <m/>
    <m/>
    <m/>
    <m/>
    <m/>
    <m/>
    <m/>
    <m/>
    <m/>
    <m/>
    <m/>
    <m/>
    <m/>
    <m/>
  </r>
  <r>
    <n v="455"/>
    <n v="19860"/>
    <d v="1989-11-13T00:00:00"/>
    <n v="36"/>
    <x v="0"/>
    <x v="0"/>
    <d v="2018-09-04T00:00:00"/>
    <n v="7.3232876712328769"/>
    <x v="11"/>
    <x v="0"/>
    <x v="2"/>
    <x v="1"/>
    <n v="14.07"/>
    <n v="13.77"/>
    <n v="13.47"/>
    <n v="13.17"/>
    <n v="12.87"/>
    <n v="12.57"/>
    <n v="12.27"/>
    <x v="4"/>
    <n v="0"/>
    <n v="3"/>
    <m/>
    <m/>
    <m/>
    <m/>
    <m/>
    <m/>
    <m/>
    <m/>
    <m/>
    <m/>
    <m/>
    <m/>
    <m/>
    <m/>
  </r>
  <r>
    <n v="456"/>
    <n v="19931"/>
    <d v="1988-09-26T00:00:00"/>
    <n v="37"/>
    <x v="0"/>
    <x v="1"/>
    <d v="2018-09-06T00:00:00"/>
    <n v="6.9890410958904106"/>
    <x v="44"/>
    <x v="1"/>
    <x v="1"/>
    <x v="1"/>
    <n v="15.92"/>
    <n v="15.62"/>
    <n v="15.32"/>
    <n v="15.02"/>
    <n v="14.72"/>
    <n v="14.42"/>
    <n v="14.12"/>
    <x v="4"/>
    <n v="0"/>
    <n v="3"/>
    <m/>
    <m/>
    <m/>
    <m/>
    <m/>
    <m/>
    <m/>
    <m/>
    <m/>
    <m/>
    <m/>
    <m/>
    <m/>
    <m/>
  </r>
  <r>
    <n v="457"/>
    <n v="19934"/>
    <d v="1998-07-11T00:00:00"/>
    <n v="27"/>
    <x v="1"/>
    <x v="1"/>
    <d v="2019-01-06T00:00:00"/>
    <n v="7.7561643835616438"/>
    <x v="6"/>
    <x v="1"/>
    <x v="3"/>
    <x v="1"/>
    <n v="17.239999999999998"/>
    <n v="16.940000000000001"/>
    <n v="16.64"/>
    <n v="16.34"/>
    <n v="16.04"/>
    <n v="15.74"/>
    <m/>
    <x v="2"/>
    <n v="2"/>
    <n v="5"/>
    <m/>
    <m/>
    <m/>
    <m/>
    <m/>
    <m/>
    <m/>
    <m/>
    <m/>
    <m/>
    <m/>
    <m/>
    <m/>
    <m/>
  </r>
  <r>
    <n v="458"/>
    <n v="19951"/>
    <d v="1998-12-22T00:00:00"/>
    <n v="27"/>
    <x v="1"/>
    <x v="1"/>
    <d v="2018-04-01T00:00:00"/>
    <n v="7.1095890410958908"/>
    <x v="121"/>
    <x v="1"/>
    <x v="1"/>
    <x v="1"/>
    <n v="15.92"/>
    <n v="15.62"/>
    <n v="15.32"/>
    <n v="15.02"/>
    <n v="14.72"/>
    <n v="14.42"/>
    <n v="14.12"/>
    <x v="2"/>
    <n v="1"/>
    <n v="5"/>
    <m/>
    <m/>
    <m/>
    <m/>
    <m/>
    <m/>
    <m/>
    <m/>
    <m/>
    <m/>
    <m/>
    <m/>
    <m/>
    <m/>
  </r>
  <r>
    <n v="459"/>
    <n v="19953"/>
    <d v="1994-11-09T00:00:00"/>
    <n v="31"/>
    <x v="0"/>
    <x v="1"/>
    <d v="2018-11-23T00:00:00"/>
    <n v="7.2219178082191782"/>
    <x v="54"/>
    <x v="1"/>
    <x v="7"/>
    <x v="1"/>
    <n v="16.97"/>
    <n v="16.670000000000002"/>
    <n v="16.37"/>
    <n v="16.07"/>
    <n v="15.77"/>
    <n v="15.47"/>
    <n v="15.17"/>
    <x v="3"/>
    <n v="2"/>
    <n v="5"/>
    <m/>
    <m/>
    <m/>
    <m/>
    <m/>
    <m/>
    <m/>
    <m/>
    <m/>
    <m/>
    <m/>
    <m/>
    <m/>
    <m/>
  </r>
  <r>
    <n v="460"/>
    <n v="19960"/>
    <d v="2000-11-04T00:00:00"/>
    <n v="25"/>
    <x v="1"/>
    <x v="1"/>
    <d v="2018-10-13T00:00:00"/>
    <n v="7.6547945205479451"/>
    <x v="91"/>
    <x v="1"/>
    <x v="1"/>
    <x v="1"/>
    <n v="15.92"/>
    <n v="15.62"/>
    <n v="15.32"/>
    <n v="15.02"/>
    <n v="14.72"/>
    <n v="14.42"/>
    <n v="14.12"/>
    <x v="3"/>
    <n v="2"/>
    <n v="7"/>
    <m/>
    <m/>
    <m/>
    <m/>
    <m/>
    <m/>
    <m/>
    <m/>
    <m/>
    <m/>
    <m/>
    <m/>
    <m/>
    <m/>
  </r>
  <r>
    <n v="461"/>
    <n v="19968"/>
    <d v="1995-07-16T00:00:00"/>
    <n v="30"/>
    <x v="1"/>
    <x v="0"/>
    <d v="2018-05-08T00:00:00"/>
    <n v="7.6328767123287671"/>
    <x v="68"/>
    <x v="1"/>
    <x v="1"/>
    <x v="1"/>
    <n v="15.92"/>
    <n v="15.62"/>
    <n v="15.32"/>
    <n v="15.02"/>
    <n v="14.72"/>
    <n v="14.42"/>
    <n v="14.12"/>
    <x v="4"/>
    <n v="2"/>
    <n v="7"/>
    <m/>
    <m/>
    <m/>
    <m/>
    <m/>
    <m/>
    <m/>
    <m/>
    <m/>
    <m/>
    <m/>
    <m/>
    <m/>
    <m/>
  </r>
  <r>
    <n v="462"/>
    <n v="20098"/>
    <d v="1993-04-08T00:00:00"/>
    <n v="32"/>
    <x v="1"/>
    <x v="1"/>
    <d v="2018-05-16T00:00:00"/>
    <n v="7.0465753424657533"/>
    <x v="33"/>
    <x v="0"/>
    <x v="7"/>
    <x v="1"/>
    <n v="16.97"/>
    <n v="16.670000000000002"/>
    <n v="16.37"/>
    <n v="16.07"/>
    <n v="15.77"/>
    <n v="15.47"/>
    <n v="15.17"/>
    <x v="4"/>
    <n v="2"/>
    <n v="5"/>
    <m/>
    <m/>
    <m/>
    <m/>
    <m/>
    <m/>
    <m/>
    <m/>
    <m/>
    <m/>
    <m/>
    <m/>
    <m/>
    <m/>
  </r>
  <r>
    <n v="463"/>
    <n v="20145"/>
    <d v="1998-08-19T00:00:00"/>
    <n v="27"/>
    <x v="1"/>
    <x v="0"/>
    <d v="2018-12-16T00:00:00"/>
    <n v="7.5287671232876709"/>
    <x v="77"/>
    <x v="0"/>
    <x v="1"/>
    <x v="1"/>
    <n v="15.92"/>
    <n v="15.62"/>
    <n v="15.32"/>
    <n v="15.02"/>
    <n v="14.72"/>
    <n v="14.42"/>
    <n v="14.12"/>
    <x v="3"/>
    <n v="1"/>
    <n v="5"/>
    <m/>
    <m/>
    <m/>
    <m/>
    <m/>
    <m/>
    <m/>
    <m/>
    <m/>
    <m/>
    <m/>
    <m/>
    <m/>
    <m/>
  </r>
  <r>
    <n v="464"/>
    <n v="20200"/>
    <d v="1999-11-24T00:00:00"/>
    <n v="26"/>
    <x v="0"/>
    <x v="1"/>
    <d v="2018-06-23T00:00:00"/>
    <n v="7.6273972602739724"/>
    <x v="51"/>
    <x v="1"/>
    <x v="10"/>
    <x v="1"/>
    <n v="10.38"/>
    <n v="10.18"/>
    <n v="9.98"/>
    <n v="9.7799999999999994"/>
    <n v="9.58"/>
    <n v="9.3800000000000008"/>
    <n v="9.18"/>
    <x v="2"/>
    <n v="0"/>
    <n v="4"/>
    <m/>
    <m/>
    <m/>
    <m/>
    <m/>
    <m/>
    <m/>
    <m/>
    <m/>
    <m/>
    <m/>
    <m/>
    <m/>
    <m/>
  </r>
  <r>
    <n v="465"/>
    <n v="20245"/>
    <d v="1995-11-26T00:00:00"/>
    <n v="30"/>
    <x v="0"/>
    <x v="1"/>
    <d v="2018-05-18T00:00:00"/>
    <n v="7.1643835616438354"/>
    <x v="64"/>
    <x v="1"/>
    <x v="1"/>
    <x v="1"/>
    <n v="15.92"/>
    <n v="15.62"/>
    <n v="15.32"/>
    <n v="15.02"/>
    <n v="14.72"/>
    <n v="14.42"/>
    <n v="14.12"/>
    <x v="2"/>
    <n v="0"/>
    <n v="3"/>
    <m/>
    <m/>
    <m/>
    <m/>
    <m/>
    <m/>
    <m/>
    <m/>
    <m/>
    <m/>
    <m/>
    <m/>
    <m/>
    <m/>
  </r>
  <r>
    <n v="466"/>
    <n v="20266"/>
    <d v="1995-09-01T00:00:00"/>
    <n v="31"/>
    <x v="1"/>
    <x v="0"/>
    <d v="2018-11-03T00:00:00"/>
    <n v="7.3369863013698629"/>
    <x v="75"/>
    <x v="1"/>
    <x v="1"/>
    <x v="1"/>
    <n v="15.92"/>
    <n v="15.62"/>
    <n v="15.32"/>
    <n v="15.02"/>
    <n v="14.72"/>
    <n v="14.42"/>
    <n v="14.12"/>
    <x v="4"/>
    <n v="1"/>
    <n v="6"/>
    <m/>
    <m/>
    <m/>
    <m/>
    <m/>
    <m/>
    <m/>
    <m/>
    <m/>
    <m/>
    <m/>
    <m/>
    <m/>
    <m/>
  </r>
  <r>
    <n v="467"/>
    <n v="20295"/>
    <d v="1998-11-15T00:00:00"/>
    <n v="27"/>
    <x v="0"/>
    <x v="1"/>
    <d v="2018-09-01T00:00:00"/>
    <n v="7.8027397260273972"/>
    <x v="100"/>
    <x v="1"/>
    <x v="10"/>
    <x v="1"/>
    <n v="10.38"/>
    <n v="10.18"/>
    <n v="9.98"/>
    <n v="9.7799999999999994"/>
    <n v="9.58"/>
    <n v="9.3800000000000008"/>
    <n v="9.18"/>
    <x v="2"/>
    <n v="1"/>
    <n v="5"/>
    <m/>
    <m/>
    <m/>
    <m/>
    <m/>
    <m/>
    <m/>
    <m/>
    <m/>
    <m/>
    <m/>
    <m/>
    <m/>
    <m/>
  </r>
  <r>
    <n v="468"/>
    <n v="20356"/>
    <d v="1989-04-30T00:00:00"/>
    <n v="36"/>
    <x v="0"/>
    <x v="1"/>
    <d v="2018-03-15T00:00:00"/>
    <n v="7.7150684931506852"/>
    <x v="7"/>
    <x v="0"/>
    <x v="7"/>
    <x v="1"/>
    <n v="16.97"/>
    <n v="16.670000000000002"/>
    <n v="16.37"/>
    <n v="16.07"/>
    <n v="15.77"/>
    <n v="15.47"/>
    <n v="15.17"/>
    <x v="2"/>
    <n v="4"/>
    <n v="4"/>
    <m/>
    <m/>
    <m/>
    <m/>
    <m/>
    <m/>
    <m/>
    <m/>
    <m/>
    <m/>
    <m/>
    <m/>
    <m/>
    <m/>
  </r>
  <r>
    <n v="469"/>
    <n v="20381"/>
    <d v="1997-11-28T00:00:00"/>
    <n v="28"/>
    <x v="0"/>
    <x v="1"/>
    <d v="2018-04-16T00:00:00"/>
    <n v="7.7863013698630139"/>
    <x v="12"/>
    <x v="0"/>
    <x v="2"/>
    <x v="1"/>
    <n v="14.07"/>
    <n v="13.77"/>
    <n v="13.47"/>
    <n v="13.17"/>
    <n v="12.87"/>
    <n v="12.57"/>
    <n v="12.27"/>
    <x v="2"/>
    <n v="0"/>
    <n v="5"/>
    <m/>
    <m/>
    <m/>
    <m/>
    <m/>
    <m/>
    <m/>
    <m/>
    <m/>
    <m/>
    <m/>
    <m/>
    <m/>
    <m/>
  </r>
  <r>
    <n v="470"/>
    <n v="20429"/>
    <d v="1990-02-17T00:00:00"/>
    <n v="35"/>
    <x v="1"/>
    <x v="1"/>
    <d v="2018-03-21T00:00:00"/>
    <n v="7.2657534246575342"/>
    <x v="21"/>
    <x v="0"/>
    <x v="1"/>
    <x v="1"/>
    <n v="15.92"/>
    <n v="15.62"/>
    <n v="15.32"/>
    <n v="15.02"/>
    <n v="14.72"/>
    <n v="14.42"/>
    <n v="14.12"/>
    <x v="3"/>
    <n v="0"/>
    <n v="5"/>
    <m/>
    <m/>
    <m/>
    <m/>
    <m/>
    <m/>
    <m/>
    <m/>
    <m/>
    <m/>
    <m/>
    <m/>
    <m/>
    <m/>
  </r>
  <r>
    <n v="471"/>
    <n v="20431"/>
    <d v="2000-09-23T00:00:00"/>
    <n v="25"/>
    <x v="1"/>
    <x v="1"/>
    <d v="2018-09-27T00:00:00"/>
    <n v="7.5945205479452058"/>
    <x v="21"/>
    <x v="0"/>
    <x v="9"/>
    <x v="1"/>
    <n v="13.94"/>
    <n v="13.64"/>
    <n v="13.34"/>
    <n v="13.04"/>
    <n v="12.74"/>
    <n v="12.44"/>
    <n v="12.14"/>
    <x v="2"/>
    <n v="0"/>
    <n v="5"/>
    <m/>
    <m/>
    <m/>
    <m/>
    <m/>
    <m/>
    <m/>
    <m/>
    <m/>
    <m/>
    <m/>
    <m/>
    <m/>
    <m/>
  </r>
  <r>
    <n v="472"/>
    <n v="20439"/>
    <d v="1986-09-13T00:00:00"/>
    <n v="39"/>
    <x v="1"/>
    <x v="1"/>
    <d v="2018-05-30T00:00:00"/>
    <n v="6.8438356164383558"/>
    <x v="22"/>
    <x v="0"/>
    <x v="7"/>
    <x v="1"/>
    <n v="16.97"/>
    <n v="16.670000000000002"/>
    <n v="16.37"/>
    <n v="16.07"/>
    <n v="15.77"/>
    <n v="15.47"/>
    <n v="15.17"/>
    <x v="4"/>
    <n v="2"/>
    <n v="6"/>
    <m/>
    <m/>
    <m/>
    <m/>
    <m/>
    <m/>
    <m/>
    <m/>
    <m/>
    <m/>
    <m/>
    <m/>
    <m/>
    <m/>
  </r>
  <r>
    <n v="473"/>
    <n v="20453"/>
    <d v="1998-11-03T00:00:00"/>
    <n v="27"/>
    <x v="0"/>
    <x v="0"/>
    <d v="2019-02-28T00:00:00"/>
    <n v="7.0191780821917806"/>
    <x v="24"/>
    <x v="0"/>
    <x v="1"/>
    <x v="1"/>
    <n v="15.92"/>
    <n v="15.62"/>
    <n v="15.32"/>
    <n v="15.02"/>
    <n v="14.72"/>
    <n v="14.42"/>
    <m/>
    <x v="2"/>
    <n v="2"/>
    <n v="5"/>
    <m/>
    <m/>
    <m/>
    <m/>
    <m/>
    <m/>
    <m/>
    <m/>
    <m/>
    <m/>
    <m/>
    <m/>
    <m/>
    <m/>
  </r>
  <r>
    <n v="474"/>
    <n v="20496"/>
    <d v="1992-03-18T00:00:00"/>
    <n v="33"/>
    <x v="1"/>
    <x v="1"/>
    <d v="2018-12-26T00:00:00"/>
    <n v="7.6301369863013697"/>
    <x v="31"/>
    <x v="0"/>
    <x v="2"/>
    <x v="1"/>
    <n v="14.07"/>
    <n v="13.77"/>
    <n v="13.47"/>
    <n v="13.17"/>
    <n v="12.87"/>
    <n v="12.57"/>
    <n v="12.27"/>
    <x v="2"/>
    <n v="0"/>
    <n v="4"/>
    <m/>
    <m/>
    <m/>
    <m/>
    <m/>
    <m/>
    <m/>
    <m/>
    <m/>
    <m/>
    <m/>
    <m/>
    <m/>
    <m/>
  </r>
  <r>
    <n v="475"/>
    <n v="20507"/>
    <d v="1993-03-22T00:00:00"/>
    <n v="32"/>
    <x v="1"/>
    <x v="1"/>
    <d v="2018-05-17T00:00:00"/>
    <n v="7.2767123287671236"/>
    <x v="32"/>
    <x v="0"/>
    <x v="8"/>
    <x v="1"/>
    <n v="8.5"/>
    <n v="8.24"/>
    <n v="8.0500000000000007"/>
    <n v="8.0500000000000007"/>
    <n v="7.81"/>
    <n v="7.56"/>
    <n v="7.3"/>
    <x v="2"/>
    <n v="3"/>
    <n v="6"/>
    <m/>
    <m/>
    <m/>
    <m/>
    <m/>
    <m/>
    <m/>
    <m/>
    <m/>
    <m/>
    <m/>
    <m/>
    <m/>
    <m/>
  </r>
  <r>
    <n v="476"/>
    <n v="20562"/>
    <d v="1994-06-17T00:00:00"/>
    <n v="31"/>
    <x v="0"/>
    <x v="1"/>
    <d v="2018-09-23T00:00:00"/>
    <n v="7.4767123287671229"/>
    <x v="36"/>
    <x v="0"/>
    <x v="9"/>
    <x v="1"/>
    <n v="13.94"/>
    <n v="13.64"/>
    <n v="13.34"/>
    <n v="13.04"/>
    <n v="12.74"/>
    <n v="12.44"/>
    <n v="12.14"/>
    <x v="2"/>
    <n v="1"/>
    <n v="3"/>
    <m/>
    <m/>
    <m/>
    <m/>
    <m/>
    <m/>
    <m/>
    <m/>
    <m/>
    <m/>
    <m/>
    <m/>
    <m/>
    <m/>
  </r>
  <r>
    <n v="477"/>
    <n v="20720"/>
    <d v="1989-03-14T00:00:00"/>
    <n v="36"/>
    <x v="1"/>
    <x v="1"/>
    <d v="2018-07-12T00:00:00"/>
    <n v="7.4054794520547942"/>
    <x v="56"/>
    <x v="1"/>
    <x v="1"/>
    <x v="1"/>
    <n v="15.92"/>
    <n v="15.62"/>
    <n v="15.32"/>
    <n v="15.02"/>
    <n v="14.72"/>
    <n v="14.42"/>
    <n v="14.12"/>
    <x v="2"/>
    <n v="0"/>
    <n v="5"/>
    <m/>
    <m/>
    <m/>
    <m/>
    <m/>
    <m/>
    <m/>
    <m/>
    <m/>
    <m/>
    <m/>
    <m/>
    <m/>
    <m/>
  </r>
  <r>
    <n v="478"/>
    <n v="20731"/>
    <d v="1997-10-14T00:00:00"/>
    <n v="28"/>
    <x v="1"/>
    <x v="0"/>
    <d v="2018-08-07T00:00:00"/>
    <n v="6.9150684931506845"/>
    <x v="60"/>
    <x v="1"/>
    <x v="2"/>
    <x v="1"/>
    <n v="14.07"/>
    <n v="13.77"/>
    <n v="13.47"/>
    <n v="13.17"/>
    <n v="12.87"/>
    <n v="12.57"/>
    <n v="12.27"/>
    <x v="1"/>
    <n v="0"/>
    <n v="4"/>
    <m/>
    <m/>
    <m/>
    <m/>
    <m/>
    <m/>
    <m/>
    <m/>
    <m/>
    <m/>
    <m/>
    <m/>
    <m/>
    <m/>
  </r>
  <r>
    <n v="479"/>
    <n v="20768"/>
    <d v="1985-09-05T00:00:00"/>
    <n v="40"/>
    <x v="0"/>
    <x v="1"/>
    <d v="2019-02-02T00:00:00"/>
    <n v="7.3287671232876717"/>
    <x v="71"/>
    <x v="1"/>
    <x v="7"/>
    <x v="1"/>
    <n v="16.97"/>
    <n v="16.670000000000002"/>
    <n v="16.37"/>
    <n v="16.07"/>
    <n v="15.77"/>
    <n v="15.47"/>
    <m/>
    <x v="3"/>
    <n v="1"/>
    <n v="4"/>
    <m/>
    <m/>
    <m/>
    <m/>
    <m/>
    <m/>
    <m/>
    <m/>
    <m/>
    <m/>
    <m/>
    <m/>
    <m/>
    <m/>
  </r>
  <r>
    <n v="480"/>
    <n v="20781"/>
    <d v="1996-03-10T00:00:00"/>
    <n v="29"/>
    <x v="1"/>
    <x v="1"/>
    <d v="2018-09-04T00:00:00"/>
    <n v="6.934246575342466"/>
    <x v="75"/>
    <x v="1"/>
    <x v="1"/>
    <x v="1"/>
    <n v="15.92"/>
    <n v="15.62"/>
    <n v="15.32"/>
    <n v="15.02"/>
    <n v="14.72"/>
    <n v="14.42"/>
    <n v="14.12"/>
    <x v="2"/>
    <n v="2"/>
    <n v="6"/>
    <m/>
    <m/>
    <m/>
    <m/>
    <m/>
    <m/>
    <m/>
    <m/>
    <m/>
    <m/>
    <m/>
    <m/>
    <m/>
    <m/>
  </r>
  <r>
    <n v="481"/>
    <n v="20792"/>
    <d v="1990-12-02T00:00:00"/>
    <n v="35"/>
    <x v="0"/>
    <x v="0"/>
    <d v="2019-01-26T00:00:00"/>
    <n v="7.5123287671232877"/>
    <x v="125"/>
    <x v="1"/>
    <x v="9"/>
    <x v="1"/>
    <n v="13.94"/>
    <n v="13.64"/>
    <n v="13.34"/>
    <n v="13.04"/>
    <n v="12.74"/>
    <n v="12.44"/>
    <m/>
    <x v="2"/>
    <n v="1"/>
    <n v="4"/>
    <m/>
    <m/>
    <m/>
    <m/>
    <m/>
    <m/>
    <m/>
    <m/>
    <m/>
    <m/>
    <m/>
    <m/>
    <m/>
    <m/>
  </r>
  <r>
    <n v="482"/>
    <n v="20794"/>
    <d v="1998-08-10T00:00:00"/>
    <n v="27"/>
    <x v="1"/>
    <x v="1"/>
    <d v="2018-06-29T00:00:00"/>
    <n v="7.6109589041095891"/>
    <x v="118"/>
    <x v="1"/>
    <x v="1"/>
    <x v="1"/>
    <n v="15.92"/>
    <n v="15.62"/>
    <n v="15.32"/>
    <n v="15.02"/>
    <n v="14.72"/>
    <n v="14.42"/>
    <n v="14.12"/>
    <x v="4"/>
    <n v="0"/>
    <n v="6"/>
    <m/>
    <m/>
    <m/>
    <m/>
    <m/>
    <m/>
    <m/>
    <m/>
    <m/>
    <m/>
    <m/>
    <m/>
    <m/>
    <m/>
  </r>
  <r>
    <n v="483"/>
    <n v="20853"/>
    <d v="1990-08-13T00:00:00"/>
    <n v="35"/>
    <x v="1"/>
    <x v="0"/>
    <d v="2018-05-24T00:00:00"/>
    <n v="7.4082191780821915"/>
    <x v="126"/>
    <x v="1"/>
    <x v="6"/>
    <x v="1"/>
    <n v="21.26"/>
    <n v="21.26"/>
    <n v="21.11"/>
    <n v="20.96"/>
    <n v="20.81"/>
    <n v="20.66"/>
    <n v="20.51"/>
    <x v="2"/>
    <n v="4"/>
    <n v="6"/>
    <m/>
    <m/>
    <m/>
    <m/>
    <m/>
    <m/>
    <m/>
    <m/>
    <m/>
    <m/>
    <m/>
    <m/>
    <m/>
    <m/>
  </r>
  <r>
    <n v="484"/>
    <n v="20865"/>
    <d v="1985-07-26T00:00:00"/>
    <n v="40"/>
    <x v="1"/>
    <x v="1"/>
    <d v="2018-08-06T00:00:00"/>
    <n v="7.2767123287671236"/>
    <x v="103"/>
    <x v="1"/>
    <x v="1"/>
    <x v="1"/>
    <n v="15.92"/>
    <n v="15.62"/>
    <n v="15.32"/>
    <n v="15.02"/>
    <n v="14.72"/>
    <n v="14.42"/>
    <n v="14.12"/>
    <x v="4"/>
    <n v="0"/>
    <n v="6"/>
    <m/>
    <m/>
    <m/>
    <m/>
    <m/>
    <m/>
    <m/>
    <m/>
    <m/>
    <m/>
    <m/>
    <m/>
    <m/>
    <m/>
  </r>
  <r>
    <n v="485"/>
    <n v="20866"/>
    <d v="1997-07-28T00:00:00"/>
    <n v="28"/>
    <x v="1"/>
    <x v="0"/>
    <d v="2018-09-23T00:00:00"/>
    <n v="7.2356164383561641"/>
    <x v="103"/>
    <x v="1"/>
    <x v="1"/>
    <x v="1"/>
    <n v="15.92"/>
    <n v="15.62"/>
    <n v="15.32"/>
    <n v="15.02"/>
    <n v="14.72"/>
    <n v="14.42"/>
    <n v="14.12"/>
    <x v="3"/>
    <n v="2"/>
    <n v="7"/>
    <m/>
    <m/>
    <m/>
    <m/>
    <m/>
    <m/>
    <m/>
    <m/>
    <m/>
    <m/>
    <m/>
    <m/>
    <m/>
    <m/>
  </r>
  <r>
    <n v="486"/>
    <n v="20872"/>
    <d v="1995-10-10T00:00:00"/>
    <n v="30"/>
    <x v="0"/>
    <x v="0"/>
    <d v="2018-10-08T00:00:00"/>
    <n v="7.6"/>
    <x v="0"/>
    <x v="0"/>
    <x v="10"/>
    <x v="1"/>
    <n v="10.38"/>
    <n v="10.18"/>
    <n v="9.98"/>
    <n v="9.7799999999999994"/>
    <n v="9.58"/>
    <n v="9.3800000000000008"/>
    <n v="9.18"/>
    <x v="2"/>
    <n v="0"/>
    <n v="5"/>
    <m/>
    <m/>
    <m/>
    <m/>
    <m/>
    <m/>
    <m/>
    <m/>
    <m/>
    <m/>
    <m/>
    <m/>
    <m/>
    <m/>
  </r>
  <r>
    <n v="487"/>
    <n v="21026"/>
    <d v="2000-12-02T00:00:00"/>
    <n v="25"/>
    <x v="1"/>
    <x v="1"/>
    <d v="2018-05-28T00:00:00"/>
    <n v="7.5232876712328771"/>
    <x v="7"/>
    <x v="0"/>
    <x v="10"/>
    <x v="1"/>
    <n v="10.38"/>
    <n v="10.18"/>
    <n v="9.98"/>
    <n v="9.7799999999999994"/>
    <n v="9.58"/>
    <n v="9.3800000000000008"/>
    <n v="9.18"/>
    <x v="2"/>
    <n v="0"/>
    <n v="6"/>
    <m/>
    <m/>
    <m/>
    <m/>
    <m/>
    <m/>
    <m/>
    <m/>
    <m/>
    <m/>
    <m/>
    <m/>
    <m/>
    <m/>
  </r>
  <r>
    <n v="488"/>
    <n v="21029"/>
    <d v="1990-09-22T00:00:00"/>
    <n v="35"/>
    <x v="0"/>
    <x v="1"/>
    <d v="2018-06-25T00:00:00"/>
    <n v="7.1068493150684935"/>
    <x v="7"/>
    <x v="0"/>
    <x v="7"/>
    <x v="1"/>
    <n v="16.97"/>
    <n v="16.670000000000002"/>
    <n v="16.37"/>
    <n v="16.07"/>
    <n v="15.77"/>
    <n v="15.47"/>
    <n v="15.17"/>
    <x v="2"/>
    <n v="4"/>
    <n v="4"/>
    <m/>
    <m/>
    <m/>
    <m/>
    <m/>
    <m/>
    <m/>
    <m/>
    <m/>
    <m/>
    <m/>
    <m/>
    <m/>
    <m/>
  </r>
  <r>
    <n v="489"/>
    <n v="21030"/>
    <d v="1994-07-27T00:00:00"/>
    <n v="31"/>
    <x v="1"/>
    <x v="1"/>
    <d v="2018-11-24T00:00:00"/>
    <n v="7.1315068493150688"/>
    <x v="7"/>
    <x v="0"/>
    <x v="7"/>
    <x v="1"/>
    <n v="16.97"/>
    <n v="16.670000000000002"/>
    <n v="16.37"/>
    <n v="16.07"/>
    <n v="15.77"/>
    <n v="15.47"/>
    <n v="15.17"/>
    <x v="1"/>
    <n v="2"/>
    <n v="7"/>
    <m/>
    <m/>
    <m/>
    <m/>
    <m/>
    <m/>
    <m/>
    <m/>
    <m/>
    <m/>
    <m/>
    <m/>
    <m/>
    <m/>
  </r>
  <r>
    <n v="490"/>
    <n v="21071"/>
    <d v="1994-10-26T00:00:00"/>
    <n v="31"/>
    <x v="0"/>
    <x v="1"/>
    <d v="2018-11-15T00:00:00"/>
    <n v="7.2739726027397262"/>
    <x v="127"/>
    <x v="0"/>
    <x v="7"/>
    <x v="1"/>
    <n v="15.77"/>
    <n v="15.62"/>
    <n v="15.62"/>
    <n v="15.47"/>
    <n v="15.32"/>
    <n v="15.32"/>
    <n v="15.17"/>
    <x v="2"/>
    <n v="2"/>
    <n v="4"/>
    <m/>
    <m/>
    <m/>
    <m/>
    <m/>
    <m/>
    <m/>
    <m/>
    <m/>
    <m/>
    <m/>
    <m/>
    <m/>
    <m/>
  </r>
  <r>
    <n v="491"/>
    <n v="21119"/>
    <d v="1991-11-25T00:00:00"/>
    <n v="34"/>
    <x v="0"/>
    <x v="1"/>
    <d v="2018-09-24T00:00:00"/>
    <n v="7.720547945205479"/>
    <x v="124"/>
    <x v="0"/>
    <x v="7"/>
    <x v="1"/>
    <n v="16.97"/>
    <n v="16.670000000000002"/>
    <n v="16.37"/>
    <n v="16.07"/>
    <n v="15.77"/>
    <n v="15.47"/>
    <n v="15.17"/>
    <x v="4"/>
    <n v="0"/>
    <n v="4"/>
    <m/>
    <m/>
    <m/>
    <m/>
    <m/>
    <m/>
    <m/>
    <m/>
    <m/>
    <m/>
    <m/>
    <m/>
    <m/>
    <m/>
  </r>
  <r>
    <n v="492"/>
    <n v="21148"/>
    <d v="1995-12-10T00:00:00"/>
    <n v="30"/>
    <x v="1"/>
    <x v="0"/>
    <d v="2018-04-14T00:00:00"/>
    <n v="7.4383561643835616"/>
    <x v="11"/>
    <x v="0"/>
    <x v="6"/>
    <x v="1"/>
    <n v="22.31"/>
    <n v="22.01"/>
    <n v="21.71"/>
    <n v="21.41"/>
    <n v="21.11"/>
    <n v="20.81"/>
    <n v="20.51"/>
    <x v="2"/>
    <n v="7"/>
    <n v="7"/>
    <m/>
    <m/>
    <m/>
    <m/>
    <m/>
    <m/>
    <m/>
    <m/>
    <m/>
    <m/>
    <m/>
    <m/>
    <m/>
    <m/>
  </r>
  <r>
    <n v="493"/>
    <n v="21316"/>
    <d v="2000-09-02T00:00:00"/>
    <n v="25"/>
    <x v="0"/>
    <x v="0"/>
    <d v="2018-07-26T00:00:00"/>
    <n v="7.7342465753424658"/>
    <x v="14"/>
    <x v="0"/>
    <x v="2"/>
    <x v="1"/>
    <n v="14.07"/>
    <n v="13.77"/>
    <n v="13.47"/>
    <n v="13.17"/>
    <n v="12.87"/>
    <n v="12.57"/>
    <n v="12.27"/>
    <x v="2"/>
    <n v="0"/>
    <n v="3"/>
    <m/>
    <m/>
    <m/>
    <m/>
    <m/>
    <m/>
    <m/>
    <m/>
    <m/>
    <m/>
    <m/>
    <m/>
    <m/>
    <m/>
  </r>
  <r>
    <n v="494"/>
    <n v="21353"/>
    <d v="1997-10-27T00:00:00"/>
    <n v="28"/>
    <x v="0"/>
    <x v="1"/>
    <d v="2018-04-09T00:00:00"/>
    <n v="7.3863013698630136"/>
    <x v="15"/>
    <x v="0"/>
    <x v="6"/>
    <x v="1"/>
    <n v="22.31"/>
    <n v="22.01"/>
    <n v="21.71"/>
    <n v="21.41"/>
    <n v="21.11"/>
    <n v="20.81"/>
    <n v="20.51"/>
    <x v="3"/>
    <n v="3"/>
    <n v="5"/>
    <m/>
    <m/>
    <m/>
    <m/>
    <m/>
    <m/>
    <m/>
    <m/>
    <m/>
    <m/>
    <m/>
    <m/>
    <m/>
    <m/>
  </r>
  <r>
    <n v="495"/>
    <n v="21383"/>
    <d v="2000-11-10T00:00:00"/>
    <n v="25"/>
    <x v="1"/>
    <x v="1"/>
    <d v="2018-08-14T00:00:00"/>
    <n v="6.8931506849315065"/>
    <x v="17"/>
    <x v="0"/>
    <x v="1"/>
    <x v="1"/>
    <n v="15.92"/>
    <n v="15.62"/>
    <n v="15.32"/>
    <n v="15.02"/>
    <n v="14.72"/>
    <n v="14.42"/>
    <n v="14.12"/>
    <x v="4"/>
    <n v="0"/>
    <n v="6"/>
    <m/>
    <m/>
    <m/>
    <m/>
    <m/>
    <m/>
    <m/>
    <m/>
    <m/>
    <m/>
    <m/>
    <m/>
    <m/>
    <m/>
  </r>
  <r>
    <n v="496"/>
    <n v="21536"/>
    <d v="1997-04-10T00:00:00"/>
    <n v="28"/>
    <x v="1"/>
    <x v="0"/>
    <d v="2019-02-10T00:00:00"/>
    <n v="7.2684931506849315"/>
    <x v="20"/>
    <x v="0"/>
    <x v="2"/>
    <x v="1"/>
    <n v="12.87"/>
    <n v="12.72"/>
    <n v="12.57"/>
    <n v="12.42"/>
    <n v="12.27"/>
    <n v="12.27"/>
    <m/>
    <x v="3"/>
    <n v="1"/>
    <n v="5"/>
    <m/>
    <m/>
    <m/>
    <m/>
    <m/>
    <m/>
    <m/>
    <m/>
    <m/>
    <m/>
    <m/>
    <m/>
    <m/>
    <m/>
  </r>
  <r>
    <n v="497"/>
    <n v="21625"/>
    <d v="1993-11-02T00:00:00"/>
    <n v="32"/>
    <x v="1"/>
    <x v="1"/>
    <d v="2018-09-26T00:00:00"/>
    <n v="7.3561643835616435"/>
    <x v="21"/>
    <x v="0"/>
    <x v="8"/>
    <x v="1"/>
    <n v="8.5"/>
    <n v="8.3000000000000007"/>
    <n v="8.1"/>
    <n v="7.9"/>
    <n v="7.7"/>
    <n v="7.5"/>
    <n v="7.3"/>
    <x v="2"/>
    <n v="2"/>
    <n v="6"/>
    <m/>
    <m/>
    <m/>
    <m/>
    <m/>
    <m/>
    <m/>
    <m/>
    <m/>
    <m/>
    <m/>
    <m/>
    <m/>
    <m/>
  </r>
  <r>
    <n v="498"/>
    <n v="21633"/>
    <d v="1993-06-21T00:00:00"/>
    <n v="32"/>
    <x v="0"/>
    <x v="1"/>
    <d v="2018-08-25T00:00:00"/>
    <n v="7.0602739726027401"/>
    <x v="22"/>
    <x v="0"/>
    <x v="1"/>
    <x v="1"/>
    <n v="15.92"/>
    <n v="15.62"/>
    <n v="15.32"/>
    <n v="15.02"/>
    <n v="14.72"/>
    <n v="14.42"/>
    <n v="14.12"/>
    <x v="3"/>
    <n v="1"/>
    <n v="5"/>
    <m/>
    <m/>
    <m/>
    <m/>
    <m/>
    <m/>
    <m/>
    <m/>
    <m/>
    <m/>
    <m/>
    <m/>
    <m/>
    <m/>
  </r>
  <r>
    <n v="499"/>
    <n v="21914"/>
    <d v="1994-11-13T00:00:00"/>
    <n v="31"/>
    <x v="0"/>
    <x v="0"/>
    <d v="2018-12-11T00:00:00"/>
    <n v="7.4"/>
    <x v="26"/>
    <x v="0"/>
    <x v="2"/>
    <x v="1"/>
    <n v="14.24"/>
    <n v="13.86"/>
    <n v="13.86"/>
    <n v="13.53"/>
    <n v="13.11"/>
    <n v="12.69"/>
    <n v="12.27"/>
    <x v="2"/>
    <n v="0"/>
    <n v="5"/>
    <m/>
    <m/>
    <m/>
    <m/>
    <m/>
    <m/>
    <m/>
    <m/>
    <m/>
    <m/>
    <m/>
    <m/>
    <m/>
    <m/>
  </r>
  <r>
    <n v="500"/>
    <n v="22276"/>
    <d v="1999-12-05T00:00:00"/>
    <n v="26"/>
    <x v="1"/>
    <x v="1"/>
    <d v="2018-08-09T00:00:00"/>
    <n v="7.6821917808219178"/>
    <x v="34"/>
    <x v="0"/>
    <x v="3"/>
    <x v="1"/>
    <n v="17.239999999999998"/>
    <n v="16.940000000000001"/>
    <n v="16.64"/>
    <n v="16.34"/>
    <n v="16.04"/>
    <n v="15.74"/>
    <n v="15.44"/>
    <x v="4"/>
    <n v="0"/>
    <n v="6"/>
    <m/>
    <m/>
    <m/>
    <m/>
    <m/>
    <m/>
    <m/>
    <m/>
    <m/>
    <m/>
    <m/>
    <m/>
    <m/>
    <m/>
  </r>
  <r>
    <n v="501"/>
    <n v="22422"/>
    <d v="1996-05-01T00:00:00"/>
    <n v="30"/>
    <x v="1"/>
    <x v="0"/>
    <d v="2018-04-28T00:00:00"/>
    <n v="6.9287671232876713"/>
    <x v="67"/>
    <x v="0"/>
    <x v="10"/>
    <x v="1"/>
    <n v="10.38"/>
    <n v="10.18"/>
    <n v="9.98"/>
    <n v="9.7799999999999994"/>
    <n v="9.58"/>
    <n v="9.3800000000000008"/>
    <n v="9.18"/>
    <x v="2"/>
    <n v="0"/>
    <n v="4"/>
    <m/>
    <m/>
    <m/>
    <m/>
    <m/>
    <m/>
    <m/>
    <m/>
    <m/>
    <m/>
    <m/>
    <m/>
    <m/>
    <m/>
  </r>
  <r>
    <n v="502"/>
    <n v="22426"/>
    <d v="2000-05-25T00:00:00"/>
    <n v="25"/>
    <x v="1"/>
    <x v="0"/>
    <d v="2019-01-28T00:00:00"/>
    <n v="7.9068493150684933"/>
    <x v="67"/>
    <x v="0"/>
    <x v="9"/>
    <x v="1"/>
    <n v="13.94"/>
    <n v="13.64"/>
    <n v="13.34"/>
    <n v="13.04"/>
    <n v="12.74"/>
    <n v="12.44"/>
    <m/>
    <x v="2"/>
    <n v="0"/>
    <n v="6"/>
    <m/>
    <m/>
    <m/>
    <m/>
    <m/>
    <m/>
    <m/>
    <m/>
    <m/>
    <m/>
    <m/>
    <m/>
    <m/>
    <m/>
  </r>
  <r>
    <n v="503"/>
    <n v="22485"/>
    <d v="1991-05-23T00:00:00"/>
    <n v="34"/>
    <x v="1"/>
    <x v="1"/>
    <d v="2018-02-05T00:00:00"/>
    <n v="7.4520547945205475"/>
    <x v="35"/>
    <x v="0"/>
    <x v="11"/>
    <x v="1"/>
    <n v="15.86"/>
    <n v="15.66"/>
    <n v="15.46"/>
    <n v="15.26"/>
    <n v="15.06"/>
    <n v="14.86"/>
    <n v="14.66"/>
    <x v="2"/>
    <n v="1"/>
    <n v="4"/>
    <m/>
    <m/>
    <m/>
    <m/>
    <m/>
    <m/>
    <m/>
    <m/>
    <m/>
    <m/>
    <m/>
    <m/>
    <m/>
    <m/>
  </r>
  <r>
    <n v="504"/>
    <n v="22632"/>
    <d v="1978-12-26T00:00:00"/>
    <n v="47"/>
    <x v="0"/>
    <x v="1"/>
    <d v="2018-07-21T00:00:00"/>
    <n v="7.5260273972602736"/>
    <x v="55"/>
    <x v="0"/>
    <x v="6"/>
    <x v="1"/>
    <n v="22.31"/>
    <n v="22.01"/>
    <n v="21.71"/>
    <n v="21.41"/>
    <n v="21.11"/>
    <n v="20.81"/>
    <n v="20.51"/>
    <x v="2"/>
    <n v="4"/>
    <n v="4"/>
    <m/>
    <m/>
    <m/>
    <m/>
    <m/>
    <m/>
    <m/>
    <m/>
    <m/>
    <m/>
    <m/>
    <m/>
    <m/>
    <m/>
  </r>
  <r>
    <n v="505"/>
    <n v="22823"/>
    <d v="1985-02-01T00:00:00"/>
    <n v="41"/>
    <x v="0"/>
    <x v="1"/>
    <d v="2018-06-24T00:00:00"/>
    <n v="7.5534246575342463"/>
    <x v="37"/>
    <x v="0"/>
    <x v="2"/>
    <x v="1"/>
    <n v="14.07"/>
    <n v="13.77"/>
    <n v="13.47"/>
    <n v="13.17"/>
    <n v="12.87"/>
    <n v="12.57"/>
    <n v="12.27"/>
    <x v="2"/>
    <n v="0"/>
    <n v="2"/>
    <m/>
    <m/>
    <m/>
    <m/>
    <m/>
    <m/>
    <m/>
    <m/>
    <m/>
    <m/>
    <m/>
    <m/>
    <m/>
    <m/>
  </r>
  <r>
    <n v="506"/>
    <n v="22855"/>
    <d v="1997-10-15T00:00:00"/>
    <n v="28"/>
    <x v="0"/>
    <x v="0"/>
    <d v="2018-06-14T00:00:00"/>
    <n v="7.6383561643835618"/>
    <x v="77"/>
    <x v="0"/>
    <x v="2"/>
    <x v="1"/>
    <n v="14.07"/>
    <n v="13.77"/>
    <n v="13.47"/>
    <n v="13.17"/>
    <n v="12.87"/>
    <n v="12.57"/>
    <n v="12.27"/>
    <x v="3"/>
    <n v="0"/>
    <n v="5"/>
    <m/>
    <m/>
    <m/>
    <m/>
    <m/>
    <m/>
    <m/>
    <m/>
    <m/>
    <m/>
    <m/>
    <m/>
    <m/>
    <m/>
  </r>
  <r>
    <n v="507"/>
    <n v="22960"/>
    <d v="1992-07-23T00:00:00"/>
    <n v="33"/>
    <x v="0"/>
    <x v="1"/>
    <d v="2018-05-14T00:00:00"/>
    <n v="6.9479452054794519"/>
    <x v="39"/>
    <x v="1"/>
    <x v="7"/>
    <x v="1"/>
    <n v="16.97"/>
    <n v="16.670000000000002"/>
    <n v="16.37"/>
    <n v="16.07"/>
    <n v="15.77"/>
    <n v="15.47"/>
    <n v="15.17"/>
    <x v="3"/>
    <n v="2"/>
    <n v="4"/>
    <m/>
    <m/>
    <m/>
    <m/>
    <m/>
    <m/>
    <m/>
    <m/>
    <m/>
    <m/>
    <m/>
    <m/>
    <m/>
    <m/>
  </r>
  <r>
    <n v="508"/>
    <n v="23200"/>
    <d v="1987-04-14T00:00:00"/>
    <n v="38"/>
    <x v="0"/>
    <x v="1"/>
    <d v="2019-01-21T00:00:00"/>
    <n v="7.117808219178082"/>
    <x v="6"/>
    <x v="1"/>
    <x v="7"/>
    <x v="1"/>
    <n v="16.97"/>
    <n v="16.670000000000002"/>
    <n v="16.37"/>
    <n v="16.07"/>
    <n v="15.77"/>
    <n v="15.47"/>
    <m/>
    <x v="4"/>
    <n v="0"/>
    <n v="5"/>
    <m/>
    <m/>
    <m/>
    <m/>
    <m/>
    <m/>
    <m/>
    <m/>
    <m/>
    <m/>
    <m/>
    <m/>
    <m/>
    <m/>
  </r>
  <r>
    <n v="509"/>
    <n v="23210"/>
    <d v="2000-07-25T00:00:00"/>
    <n v="25"/>
    <x v="1"/>
    <x v="0"/>
    <d v="2018-11-20T00:00:00"/>
    <n v="7.1534246575342468"/>
    <x v="6"/>
    <x v="1"/>
    <x v="8"/>
    <x v="1"/>
    <n v="8.5"/>
    <n v="8.3000000000000007"/>
    <n v="8.1"/>
    <n v="7.9"/>
    <n v="7.7"/>
    <n v="7.5"/>
    <n v="7.3"/>
    <x v="2"/>
    <n v="2"/>
    <n v="7"/>
    <m/>
    <m/>
    <m/>
    <m/>
    <m/>
    <m/>
    <m/>
    <m/>
    <m/>
    <m/>
    <m/>
    <m/>
    <m/>
    <m/>
  </r>
  <r>
    <n v="510"/>
    <n v="23382"/>
    <d v="1994-12-27T00:00:00"/>
    <n v="31"/>
    <x v="0"/>
    <x v="1"/>
    <d v="2018-11-07T00:00:00"/>
    <n v="6.8876712328767127"/>
    <x v="115"/>
    <x v="1"/>
    <x v="1"/>
    <x v="1"/>
    <n v="15.92"/>
    <n v="15.62"/>
    <n v="15.32"/>
    <n v="15.02"/>
    <n v="14.72"/>
    <n v="14.42"/>
    <n v="14.12"/>
    <x v="2"/>
    <n v="1"/>
    <n v="5"/>
    <m/>
    <m/>
    <m/>
    <m/>
    <m/>
    <m/>
    <m/>
    <m/>
    <m/>
    <m/>
    <m/>
    <m/>
    <m/>
    <m/>
  </r>
  <r>
    <n v="511"/>
    <n v="23473"/>
    <d v="1995-02-01T00:00:00"/>
    <n v="31"/>
    <x v="1"/>
    <x v="1"/>
    <d v="2019-02-12T00:00:00"/>
    <n v="7.0821917808219181"/>
    <x v="123"/>
    <x v="1"/>
    <x v="7"/>
    <x v="1"/>
    <n v="15.77"/>
    <n v="15.77"/>
    <n v="15.62"/>
    <n v="15.47"/>
    <n v="15.47"/>
    <n v="15.32"/>
    <m/>
    <x v="3"/>
    <n v="2"/>
    <n v="6"/>
    <m/>
    <m/>
    <m/>
    <m/>
    <m/>
    <m/>
    <m/>
    <m/>
    <m/>
    <m/>
    <m/>
    <m/>
    <m/>
    <m/>
  </r>
  <r>
    <n v="512"/>
    <n v="23589"/>
    <d v="1997-08-18T00:00:00"/>
    <n v="28"/>
    <x v="1"/>
    <x v="1"/>
    <d v="2018-12-03T00:00:00"/>
    <n v="7.375342465753425"/>
    <x v="53"/>
    <x v="1"/>
    <x v="11"/>
    <x v="1"/>
    <n v="15.86"/>
    <n v="15.66"/>
    <n v="15.46"/>
    <n v="15.26"/>
    <n v="15.06"/>
    <n v="14.86"/>
    <n v="14.66"/>
    <x v="2"/>
    <n v="2"/>
    <n v="7"/>
    <m/>
    <m/>
    <m/>
    <m/>
    <m/>
    <m/>
    <m/>
    <m/>
    <m/>
    <m/>
    <m/>
    <m/>
    <m/>
    <m/>
  </r>
  <r>
    <n v="513"/>
    <n v="23592"/>
    <d v="1994-08-15T00:00:00"/>
    <n v="31"/>
    <x v="0"/>
    <x v="1"/>
    <d v="2018-08-18T00:00:00"/>
    <n v="7.7890410958904113"/>
    <x v="53"/>
    <x v="1"/>
    <x v="10"/>
    <x v="1"/>
    <n v="10.38"/>
    <n v="10.18"/>
    <n v="9.98"/>
    <n v="9.7799999999999994"/>
    <n v="9.58"/>
    <n v="9.3800000000000008"/>
    <n v="9.18"/>
    <x v="2"/>
    <n v="1"/>
    <n v="3"/>
    <m/>
    <m/>
    <m/>
    <m/>
    <m/>
    <m/>
    <m/>
    <m/>
    <m/>
    <m/>
    <m/>
    <m/>
    <m/>
    <m/>
  </r>
  <r>
    <n v="514"/>
    <n v="23619"/>
    <d v="1994-10-11T00:00:00"/>
    <n v="31"/>
    <x v="0"/>
    <x v="1"/>
    <d v="2018-03-20T00:00:00"/>
    <n v="7.1945205479452055"/>
    <x v="54"/>
    <x v="1"/>
    <x v="2"/>
    <x v="1"/>
    <n v="14.07"/>
    <n v="13.77"/>
    <n v="13.47"/>
    <n v="13.17"/>
    <n v="12.87"/>
    <n v="12.57"/>
    <n v="12.27"/>
    <x v="2"/>
    <n v="0"/>
    <n v="3"/>
    <m/>
    <m/>
    <m/>
    <m/>
    <m/>
    <m/>
    <m/>
    <m/>
    <m/>
    <m/>
    <m/>
    <m/>
    <m/>
    <m/>
  </r>
  <r>
    <n v="515"/>
    <n v="23685"/>
    <d v="1994-02-14T00:00:00"/>
    <n v="31"/>
    <x v="0"/>
    <x v="1"/>
    <d v="2018-10-23T00:00:00"/>
    <n v="7.7178082191780826"/>
    <x v="58"/>
    <x v="1"/>
    <x v="11"/>
    <x v="1"/>
    <n v="15.69"/>
    <n v="15.69"/>
    <n v="15.58"/>
    <n v="15.36"/>
    <n v="15.21"/>
    <n v="14.95"/>
    <n v="14.66"/>
    <x v="2"/>
    <n v="3"/>
    <n v="4"/>
    <m/>
    <m/>
    <m/>
    <m/>
    <m/>
    <m/>
    <m/>
    <m/>
    <m/>
    <m/>
    <m/>
    <m/>
    <m/>
    <m/>
  </r>
  <r>
    <n v="516"/>
    <n v="23688"/>
    <d v="1999-12-02T00:00:00"/>
    <n v="26"/>
    <x v="0"/>
    <x v="1"/>
    <d v="2018-04-15T00:00:00"/>
    <n v="7.5890410958904111"/>
    <x v="58"/>
    <x v="1"/>
    <x v="10"/>
    <x v="1"/>
    <n v="10.1"/>
    <n v="10.1"/>
    <n v="9.89"/>
    <n v="9.6199999999999992"/>
    <n v="9.5"/>
    <n v="9.2899999999999991"/>
    <n v="9.18"/>
    <x v="3"/>
    <n v="0"/>
    <n v="4"/>
    <m/>
    <m/>
    <m/>
    <m/>
    <m/>
    <m/>
    <m/>
    <m/>
    <m/>
    <m/>
    <m/>
    <m/>
    <m/>
    <m/>
  </r>
  <r>
    <n v="517"/>
    <n v="23742"/>
    <d v="1982-12-30T00:00:00"/>
    <n v="43"/>
    <x v="0"/>
    <x v="1"/>
    <d v="2018-06-01T00:00:00"/>
    <n v="7.0246575342465754"/>
    <x v="60"/>
    <x v="1"/>
    <x v="2"/>
    <x v="1"/>
    <n v="14.07"/>
    <n v="13.77"/>
    <n v="13.47"/>
    <n v="13.17"/>
    <n v="12.87"/>
    <n v="12.57"/>
    <n v="12.27"/>
    <x v="2"/>
    <n v="1"/>
    <n v="3"/>
    <m/>
    <m/>
    <m/>
    <m/>
    <m/>
    <m/>
    <m/>
    <m/>
    <m/>
    <m/>
    <m/>
    <m/>
    <m/>
    <m/>
  </r>
  <r>
    <n v="518"/>
    <n v="23878"/>
    <d v="1993-12-11T00:00:00"/>
    <n v="32"/>
    <x v="0"/>
    <x v="1"/>
    <d v="2018-12-24T00:00:00"/>
    <n v="7.7863013698630139"/>
    <x v="64"/>
    <x v="1"/>
    <x v="7"/>
    <x v="1"/>
    <n v="16.97"/>
    <n v="16.670000000000002"/>
    <n v="16.37"/>
    <n v="16.07"/>
    <n v="15.77"/>
    <n v="15.47"/>
    <n v="15.17"/>
    <x v="2"/>
    <n v="1"/>
    <n v="4"/>
    <m/>
    <m/>
    <m/>
    <m/>
    <m/>
    <m/>
    <m/>
    <m/>
    <m/>
    <m/>
    <m/>
    <m/>
    <m/>
    <m/>
  </r>
  <r>
    <n v="519"/>
    <n v="23925"/>
    <d v="1998-12-14T00:00:00"/>
    <n v="27"/>
    <x v="0"/>
    <x v="1"/>
    <d v="2018-03-21T00:00:00"/>
    <n v="7.7808219178082192"/>
    <x v="66"/>
    <x v="1"/>
    <x v="2"/>
    <x v="1"/>
    <n v="14.07"/>
    <n v="13.77"/>
    <n v="13.47"/>
    <n v="13.17"/>
    <n v="12.87"/>
    <n v="12.57"/>
    <n v="12.27"/>
    <x v="2"/>
    <n v="0"/>
    <n v="4"/>
    <m/>
    <m/>
    <m/>
    <m/>
    <m/>
    <m/>
    <m/>
    <m/>
    <m/>
    <m/>
    <m/>
    <m/>
    <m/>
    <m/>
  </r>
  <r>
    <n v="520"/>
    <n v="23960"/>
    <d v="1997-11-09T00:00:00"/>
    <n v="28"/>
    <x v="1"/>
    <x v="1"/>
    <d v="2018-03-23T00:00:00"/>
    <n v="6.9479452054794519"/>
    <x v="68"/>
    <x v="1"/>
    <x v="8"/>
    <x v="1"/>
    <n v="8.5"/>
    <n v="8.3000000000000007"/>
    <n v="8.1"/>
    <n v="7.9"/>
    <n v="7.7"/>
    <n v="7.5"/>
    <n v="7.3"/>
    <x v="2"/>
    <n v="2"/>
    <n v="6"/>
    <m/>
    <m/>
    <m/>
    <m/>
    <m/>
    <m/>
    <m/>
    <m/>
    <m/>
    <m/>
    <m/>
    <m/>
    <m/>
    <m/>
  </r>
  <r>
    <n v="521"/>
    <n v="24129"/>
    <d v="1980-07-11T00:00:00"/>
    <n v="45"/>
    <x v="1"/>
    <x v="1"/>
    <d v="2019-01-21T00:00:00"/>
    <n v="7.7698630136986298"/>
    <x v="74"/>
    <x v="1"/>
    <x v="2"/>
    <x v="1"/>
    <n v="14.07"/>
    <n v="13.77"/>
    <n v="13.47"/>
    <n v="13.17"/>
    <n v="12.87"/>
    <n v="12.57"/>
    <m/>
    <x v="2"/>
    <n v="1"/>
    <n v="5"/>
    <m/>
    <m/>
    <m/>
    <m/>
    <m/>
    <m/>
    <m/>
    <m/>
    <m/>
    <m/>
    <m/>
    <m/>
    <m/>
    <m/>
  </r>
  <r>
    <n v="522"/>
    <n v="24450"/>
    <d v="1998-03-21T00:00:00"/>
    <n v="27"/>
    <x v="1"/>
    <x v="1"/>
    <d v="2018-03-27T00:00:00"/>
    <n v="7.4575342465753423"/>
    <x v="81"/>
    <x v="1"/>
    <x v="8"/>
    <x v="1"/>
    <n v="8.5"/>
    <n v="8.3000000000000007"/>
    <n v="8.1"/>
    <n v="7.9"/>
    <n v="7.7"/>
    <n v="7.5"/>
    <n v="7.3"/>
    <x v="2"/>
    <n v="2"/>
    <n v="6"/>
    <m/>
    <m/>
    <m/>
    <m/>
    <m/>
    <m/>
    <m/>
    <m/>
    <m/>
    <m/>
    <m/>
    <m/>
    <m/>
    <m/>
  </r>
  <r>
    <n v="523"/>
    <n v="24681"/>
    <d v="1996-09-11T00:00:00"/>
    <n v="29"/>
    <x v="1"/>
    <x v="1"/>
    <d v="2018-07-19T00:00:00"/>
    <n v="6.4219178082191783"/>
    <x v="86"/>
    <x v="1"/>
    <x v="8"/>
    <x v="1"/>
    <n v="8.5"/>
    <n v="8.3000000000000007"/>
    <n v="8.1"/>
    <n v="7.9"/>
    <n v="7.7"/>
    <n v="7.5"/>
    <n v="7.3"/>
    <x v="2"/>
    <n v="4"/>
    <n v="6"/>
    <m/>
    <m/>
    <m/>
    <m/>
    <m/>
    <m/>
    <m/>
    <m/>
    <m/>
    <m/>
    <m/>
    <m/>
    <m/>
    <m/>
  </r>
  <r>
    <n v="524"/>
    <n v="24878"/>
    <d v="1993-02-06T00:00:00"/>
    <n v="32"/>
    <x v="1"/>
    <x v="1"/>
    <d v="2019-08-01T00:00:00"/>
    <n v="6.4219178082191783"/>
    <x v="128"/>
    <x v="1"/>
    <x v="0"/>
    <x v="0"/>
    <n v="60715"/>
    <n v="58631"/>
    <n v="58631"/>
    <n v="53131"/>
    <n v="51131"/>
    <n v="47131"/>
    <m/>
    <x v="9"/>
    <n v="4"/>
    <n v="7"/>
    <n v="7"/>
    <d v="2020-08-20T00:00:00"/>
    <s v="Assistant Manager, Medium Market"/>
    <d v="2022-09-29T00:00:00"/>
    <s v="Assistant Manager, Large Market"/>
    <m/>
    <m/>
    <n v="4"/>
    <n v="4"/>
    <n v="2"/>
    <n v="4"/>
    <n v="5"/>
    <n v="4"/>
    <m/>
  </r>
  <r>
    <n v="525"/>
    <n v="24879"/>
    <d v="1994-03-23T00:00:00"/>
    <n v="31"/>
    <x v="1"/>
    <x v="0"/>
    <d v="2019-08-01T00:00:00"/>
    <n v="5.419178082191781"/>
    <x v="68"/>
    <x v="1"/>
    <x v="0"/>
    <x v="0"/>
    <n v="64631"/>
    <n v="62381"/>
    <n v="60131"/>
    <n v="50131"/>
    <n v="49131"/>
    <n v="47131"/>
    <m/>
    <x v="5"/>
    <n v="2"/>
    <n v="6"/>
    <n v="7"/>
    <d v="2020-09-29T00:00:00"/>
    <s v="Assistant Manager, Medium Market"/>
    <d v="2022-11-07T00:00:00"/>
    <s v="Assistant Manager, Large Market"/>
    <m/>
    <m/>
    <n v="5"/>
    <n v="5"/>
    <n v="5"/>
    <n v="5"/>
    <n v="4"/>
    <n v="3"/>
    <m/>
  </r>
  <r>
    <n v="526"/>
    <n v="24880"/>
    <d v="1994-01-18T00:00:00"/>
    <n v="31"/>
    <x v="1"/>
    <x v="1"/>
    <d v="2020-08-01T00:00:00"/>
    <n v="5.419178082191781"/>
    <x v="126"/>
    <x v="1"/>
    <x v="0"/>
    <x v="0"/>
    <n v="57131"/>
    <n v="56381"/>
    <n v="56381"/>
    <n v="50131"/>
    <n v="49131"/>
    <m/>
    <m/>
    <x v="0"/>
    <n v="4"/>
    <n v="7"/>
    <n v="7"/>
    <d v="2020-10-04T00:00:00"/>
    <s v="Assistant Manager, Medium Market"/>
    <d v="2022-10-04T00:00:00"/>
    <s v="Assistant Manager, Large Market"/>
    <m/>
    <m/>
    <n v="2"/>
    <n v="4"/>
    <n v="5"/>
    <n v="5"/>
    <n v="5"/>
    <m/>
    <m/>
  </r>
  <r>
    <n v="527"/>
    <n v="24882"/>
    <d v="1992-02-07T00:00:00"/>
    <n v="33"/>
    <x v="0"/>
    <x v="1"/>
    <d v="2020-08-01T00:00:00"/>
    <n v="6.4219178082191783"/>
    <x v="109"/>
    <x v="1"/>
    <x v="0"/>
    <x v="0"/>
    <n v="60946"/>
    <n v="59446"/>
    <n v="57946"/>
    <n v="50946"/>
    <n v="49705"/>
    <m/>
    <m/>
    <x v="9"/>
    <n v="4"/>
    <n v="5"/>
    <n v="5"/>
    <d v="2020-10-08T00:00:00"/>
    <s v="Assistant Manager, Medium Market"/>
    <d v="2022-06-10T00:00:00"/>
    <s v="Assistant Manager, Large Market"/>
    <m/>
    <m/>
    <n v="4"/>
    <n v="5"/>
    <n v="5"/>
    <n v="3"/>
    <n v="5"/>
    <m/>
    <m/>
  </r>
  <r>
    <n v="528"/>
    <n v="24889"/>
    <d v="1995-11-07T00:00:00"/>
    <n v="30"/>
    <x v="0"/>
    <x v="1"/>
    <d v="2019-08-01T00:00:00"/>
    <n v="5.419178082191781"/>
    <x v="46"/>
    <x v="1"/>
    <x v="0"/>
    <x v="0"/>
    <n v="65381"/>
    <n v="63131"/>
    <n v="53131"/>
    <n v="51631"/>
    <n v="50131"/>
    <n v="47131"/>
    <m/>
    <x v="8"/>
    <n v="2"/>
    <n v="6"/>
    <n v="4"/>
    <d v="2020-11-16T00:00:00"/>
    <s v="Assistant Manager, Medium Market"/>
    <d v="2023-12-06T00:00:00"/>
    <s v="Assistant Manager, Large Market"/>
    <m/>
    <m/>
    <n v="5"/>
    <n v="4"/>
    <n v="4"/>
    <n v="4"/>
    <n v="4"/>
    <n v="3"/>
    <m/>
  </r>
  <r>
    <n v="529"/>
    <n v="24891"/>
    <d v="1994-06-18T00:00:00"/>
    <n v="31"/>
    <x v="1"/>
    <x v="0"/>
    <d v="2020-08-01T00:00:00"/>
    <n v="6.4219178082191783"/>
    <x v="111"/>
    <x v="1"/>
    <x v="0"/>
    <x v="0"/>
    <n v="66881"/>
    <n v="63881"/>
    <n v="52381"/>
    <n v="51131"/>
    <n v="50131"/>
    <m/>
    <m/>
    <x v="8"/>
    <n v="2"/>
    <n v="6"/>
    <n v="6"/>
    <d v="2020-05-24T00:00:00"/>
    <s v="Assistant Manager, Medium Market"/>
    <d v="2023-12-04T00:00:00"/>
    <s v="Assistant Manager, Large Market"/>
    <m/>
    <m/>
    <n v="5"/>
    <n v="5"/>
    <n v="5"/>
    <n v="4"/>
    <n v="3"/>
    <m/>
    <m/>
  </r>
  <r>
    <n v="530"/>
    <n v="24892"/>
    <d v="1993-09-01T00:00:00"/>
    <n v="33"/>
    <x v="1"/>
    <x v="1"/>
    <d v="2019-08-01T00:00:00"/>
    <n v="6.4219178082191783"/>
    <x v="72"/>
    <x v="1"/>
    <x v="0"/>
    <x v="0"/>
    <n v="59680"/>
    <n v="57631"/>
    <n v="52131"/>
    <n v="51131"/>
    <n v="50131"/>
    <n v="47131"/>
    <m/>
    <x v="8"/>
    <n v="2"/>
    <n v="4"/>
    <n v="6"/>
    <d v="2020-10-11T00:00:00"/>
    <s v="Assistant Manager, Medium Market"/>
    <d v="2023-04-29T00:00:00"/>
    <s v="Assistant Manager, Large Market"/>
    <m/>
    <m/>
    <n v="3"/>
    <n v="3"/>
    <n v="3"/>
    <n v="3"/>
    <n v="3"/>
    <n v="3"/>
    <m/>
  </r>
  <r>
    <n v="531"/>
    <n v="24893"/>
    <d v="1995-08-20T00:00:00"/>
    <n v="30"/>
    <x v="1"/>
    <x v="1"/>
    <d v="2019-08-01T00:00:00"/>
    <n v="5.419178082191781"/>
    <x v="97"/>
    <x v="1"/>
    <x v="0"/>
    <x v="0"/>
    <n v="57631"/>
    <n v="57631"/>
    <n v="52131"/>
    <n v="50631"/>
    <n v="49131"/>
    <n v="47131"/>
    <m/>
    <x v="8"/>
    <n v="1"/>
    <n v="6"/>
    <n v="7"/>
    <d v="2020-12-04T00:00:00"/>
    <s v="Assistant Manager, Medium Market"/>
    <d v="2023-10-25T00:00:00"/>
    <s v="Assistant Manager, Large Market"/>
    <m/>
    <m/>
    <n v="3"/>
    <n v="1"/>
    <n v="3"/>
    <n v="4"/>
    <n v="4"/>
    <n v="2"/>
    <m/>
  </r>
  <r>
    <n v="532"/>
    <n v="24897"/>
    <d v="1995-02-24T00:00:00"/>
    <n v="30"/>
    <x v="1"/>
    <x v="1"/>
    <d v="2020-08-01T00:00:00"/>
    <n v="5.419178082191781"/>
    <x v="81"/>
    <x v="1"/>
    <x v="0"/>
    <x v="0"/>
    <n v="60006"/>
    <n v="58131"/>
    <n v="49631"/>
    <n v="49131"/>
    <n v="48631"/>
    <m/>
    <m/>
    <x v="7"/>
    <n v="4"/>
    <n v="6"/>
    <n v="7"/>
    <d v="2020-10-18T00:00:00"/>
    <s v="Assistant Manager, Medium Market"/>
    <d v="2023-09-02T00:00:00"/>
    <s v="Assistant Manager, Large Market"/>
    <m/>
    <m/>
    <n v="4"/>
    <n v="4"/>
    <n v="3"/>
    <n v="4"/>
    <n v="5"/>
    <m/>
    <m/>
  </r>
  <r>
    <n v="533"/>
    <n v="24908"/>
    <d v="1995-02-02T00:00:00"/>
    <n v="30"/>
    <x v="1"/>
    <x v="1"/>
    <d v="2020-08-01T00:00:00"/>
    <n v="5.7753424657534245"/>
    <x v="123"/>
    <x v="1"/>
    <x v="0"/>
    <x v="0"/>
    <n v="59131"/>
    <n v="58381"/>
    <n v="52131"/>
    <n v="51131"/>
    <n v="50131"/>
    <m/>
    <m/>
    <x v="0"/>
    <n v="4"/>
    <n v="7"/>
    <n v="7"/>
    <d v="2020-03-20T00:00:00"/>
    <s v="Assistant Manager, Medium Market"/>
    <d v="2024-01-18T00:00:00"/>
    <s v="Assistant Manager, Large Market"/>
    <m/>
    <m/>
    <n v="4"/>
    <n v="1"/>
    <n v="5"/>
    <n v="3"/>
    <n v="3"/>
    <m/>
    <m/>
  </r>
  <r>
    <n v="534"/>
    <n v="24918"/>
    <d v="1986-08-22T00:00:00"/>
    <n v="39"/>
    <x v="1"/>
    <x v="0"/>
    <d v="2020-03-24T00:00:00"/>
    <n v="5.419178082191781"/>
    <x v="124"/>
    <x v="0"/>
    <x v="0"/>
    <x v="0"/>
    <n v="81480"/>
    <n v="79230"/>
    <n v="76980"/>
    <n v="74730"/>
    <n v="72480"/>
    <m/>
    <m/>
    <x v="9"/>
    <n v="4"/>
    <n v="6"/>
    <n v="6"/>
    <m/>
    <m/>
    <m/>
    <m/>
    <m/>
    <m/>
    <n v="5"/>
    <n v="5"/>
    <n v="5"/>
    <n v="5"/>
    <n v="5"/>
    <m/>
    <m/>
  </r>
  <r>
    <n v="535"/>
    <n v="24922"/>
    <d v="1991-11-29T00:00:00"/>
    <n v="34"/>
    <x v="1"/>
    <x v="1"/>
    <d v="2020-08-01T00:00:00"/>
    <n v="6.4219178082191783"/>
    <x v="129"/>
    <x v="1"/>
    <x v="0"/>
    <x v="0"/>
    <n v="58131"/>
    <n v="57381"/>
    <n v="51131"/>
    <n v="50131"/>
    <n v="49131"/>
    <m/>
    <m/>
    <x v="10"/>
    <n v="4"/>
    <n v="7"/>
    <n v="7"/>
    <d v="2020-06-28T00:00:00"/>
    <s v="Assistant Manager, Medium Market"/>
    <d v="2023-04-24T00:00:00"/>
    <s v="Assistant Manager, Large Market"/>
    <m/>
    <m/>
    <n v="4"/>
    <n v="5"/>
    <n v="3"/>
    <n v="4"/>
    <n v="5"/>
    <m/>
    <m/>
  </r>
  <r>
    <n v="536"/>
    <n v="24924"/>
    <d v="1994-10-05T00:00:00"/>
    <n v="31"/>
    <x v="1"/>
    <x v="1"/>
    <d v="2019-08-01T00:00:00"/>
    <n v="6.4219178082191783"/>
    <x v="106"/>
    <x v="1"/>
    <x v="0"/>
    <x v="0"/>
    <n v="63581"/>
    <n v="62247"/>
    <n v="52631"/>
    <n v="51381"/>
    <n v="50131"/>
    <n v="47131"/>
    <m/>
    <x v="11"/>
    <n v="2"/>
    <n v="6"/>
    <n v="5"/>
    <d v="2020-03-04T00:00:00"/>
    <s v="Assistant Manager, Medium Market"/>
    <d v="2023-03-10T00:00:00"/>
    <s v="Assistant Manager, Large Market"/>
    <m/>
    <m/>
    <n v="4"/>
    <n v="5"/>
    <n v="5"/>
    <n v="4"/>
    <n v="4"/>
    <n v="3"/>
    <m/>
  </r>
  <r>
    <n v="537"/>
    <n v="24926"/>
    <d v="1993-07-04T00:00:00"/>
    <n v="32"/>
    <x v="1"/>
    <x v="1"/>
    <d v="2019-08-01T00:00:00"/>
    <n v="6.4219178082191783"/>
    <x v="130"/>
    <x v="1"/>
    <x v="0"/>
    <x v="0"/>
    <n v="58131"/>
    <n v="57381"/>
    <n v="51131"/>
    <n v="50131"/>
    <n v="49131"/>
    <n v="47131"/>
    <m/>
    <x v="10"/>
    <n v="2"/>
    <n v="5"/>
    <n v="6"/>
    <d v="2020-03-23T00:00:00"/>
    <s v="Assistant Manager, Medium Market"/>
    <d v="2023-03-20T00:00:00"/>
    <s v="Assistant Manager, Large Market"/>
    <m/>
    <m/>
    <n v="2"/>
    <n v="5"/>
    <n v="5"/>
    <n v="5"/>
    <n v="2"/>
    <n v="1"/>
    <m/>
  </r>
  <r>
    <n v="538"/>
    <n v="24930"/>
    <d v="1994-03-22T00:00:00"/>
    <n v="31"/>
    <x v="0"/>
    <x v="1"/>
    <d v="2019-08-01T00:00:00"/>
    <n v="6.4219178082191783"/>
    <x v="131"/>
    <x v="1"/>
    <x v="0"/>
    <x v="0"/>
    <n v="59881"/>
    <n v="59131"/>
    <n v="53631"/>
    <n v="51631"/>
    <n v="50131"/>
    <n v="47131"/>
    <m/>
    <x v="0"/>
    <n v="4"/>
    <n v="5"/>
    <n v="6"/>
    <d v="2020-10-12T00:00:00"/>
    <s v="Assistant Manager, Medium Market"/>
    <d v="2023-01-27T00:00:00"/>
    <s v="Assistant Manager, Large Market"/>
    <m/>
    <m/>
    <n v="4"/>
    <n v="5"/>
    <n v="5"/>
    <n v="5"/>
    <n v="4"/>
    <n v="3"/>
    <m/>
  </r>
  <r>
    <n v="539"/>
    <n v="24931"/>
    <d v="1995-02-01T00:00:00"/>
    <n v="31"/>
    <x v="1"/>
    <x v="0"/>
    <d v="2019-08-01T00:00:00"/>
    <n v="5.419178082191781"/>
    <x v="80"/>
    <x v="1"/>
    <x v="0"/>
    <x v="0"/>
    <n v="58381"/>
    <n v="52131"/>
    <n v="51131"/>
    <n v="50131"/>
    <n v="49131"/>
    <n v="47131"/>
    <m/>
    <x v="7"/>
    <n v="4"/>
    <n v="6"/>
    <n v="7"/>
    <d v="2020-08-28T00:00:00"/>
    <s v="Assistant Manager, Medium Market"/>
    <d v="2024-10-27T00:00:00"/>
    <s v="Assistant Manager, Large Market"/>
    <m/>
    <m/>
    <n v="5"/>
    <n v="5"/>
    <n v="5"/>
    <n v="4"/>
    <n v="2"/>
    <n v="1"/>
    <m/>
  </r>
  <r>
    <n v="540"/>
    <n v="24934"/>
    <d v="1993-05-17T00:00:00"/>
    <n v="32"/>
    <x v="0"/>
    <x v="1"/>
    <d v="2020-08-01T00:00:00"/>
    <n v="6.4219178082191783"/>
    <x v="125"/>
    <x v="1"/>
    <x v="0"/>
    <x v="0"/>
    <n v="68131"/>
    <n v="56631"/>
    <n v="54631"/>
    <n v="52631"/>
    <n v="51131"/>
    <m/>
    <m/>
    <x v="6"/>
    <n v="4"/>
    <n v="5"/>
    <n v="5"/>
    <d v="2020-07-15T00:00:00"/>
    <s v="Assistant Manager, Medium Market"/>
    <d v="2024-05-10T00:00:00"/>
    <s v="Assistant Manager, Large Market"/>
    <m/>
    <m/>
    <n v="5"/>
    <n v="5"/>
    <n v="5"/>
    <n v="5"/>
    <n v="4"/>
    <m/>
    <m/>
  </r>
  <r>
    <n v="541"/>
    <n v="24935"/>
    <d v="1995-03-26T00:00:00"/>
    <n v="30"/>
    <x v="1"/>
    <x v="0"/>
    <d v="2019-08-01T00:00:00"/>
    <n v="5.419178082191781"/>
    <x v="132"/>
    <x v="1"/>
    <x v="0"/>
    <x v="0"/>
    <n v="62381"/>
    <n v="56131"/>
    <n v="54131"/>
    <n v="52631"/>
    <n v="51131"/>
    <n v="47131"/>
    <m/>
    <x v="9"/>
    <n v="4"/>
    <n v="6"/>
    <n v="6"/>
    <d v="2020-09-05T00:00:00"/>
    <s v="Assistant Manager, Medium Market"/>
    <d v="2024-04-20T00:00:00"/>
    <s v="Assistant Manager, Large Market"/>
    <m/>
    <m/>
    <n v="4"/>
    <n v="5"/>
    <n v="5"/>
    <n v="4"/>
    <n v="4"/>
    <n v="4"/>
    <m/>
  </r>
  <r>
    <n v="542"/>
    <n v="24943"/>
    <d v="1994-06-20T00:00:00"/>
    <n v="31"/>
    <x v="0"/>
    <x v="1"/>
    <d v="2020-08-01T00:00:00"/>
    <n v="5.419178082191781"/>
    <x v="44"/>
    <x v="1"/>
    <x v="0"/>
    <x v="0"/>
    <n v="65881"/>
    <n v="54381"/>
    <n v="52881"/>
    <n v="51631"/>
    <n v="50131"/>
    <m/>
    <m/>
    <x v="0"/>
    <n v="2"/>
    <n v="6"/>
    <n v="7"/>
    <d v="2020-03-23T00:00:00"/>
    <s v="Assistant Manager, Medium Market"/>
    <d v="2024-07-10T00:00:00"/>
    <s v="Assistant Manager, Large Market"/>
    <m/>
    <m/>
    <n v="5"/>
    <n v="5"/>
    <n v="5"/>
    <n v="4"/>
    <n v="5"/>
    <m/>
    <m/>
  </r>
  <r>
    <n v="543"/>
    <n v="24946"/>
    <d v="1995-04-20T00:00:00"/>
    <n v="30"/>
    <x v="1"/>
    <x v="1"/>
    <d v="2020-08-01T00:00:00"/>
    <n v="5.419178082191781"/>
    <x v="96"/>
    <x v="1"/>
    <x v="0"/>
    <x v="0"/>
    <n v="62031"/>
    <n v="54131"/>
    <n v="52631"/>
    <n v="51131"/>
    <n v="50131"/>
    <m/>
    <m/>
    <x v="8"/>
    <n v="2"/>
    <n v="7"/>
    <n v="7"/>
    <d v="2020-03-22T00:00:00"/>
    <s v="Assistant Manager, Medium Market"/>
    <d v="2024-09-20T00:00:00"/>
    <s v="Assistant Manager, Large Market"/>
    <m/>
    <m/>
    <n v="5"/>
    <n v="5"/>
    <n v="5"/>
    <n v="5"/>
    <n v="3"/>
    <m/>
    <m/>
  </r>
  <r>
    <n v="544"/>
    <n v="24965"/>
    <d v="1989-01-17T00:00:00"/>
    <n v="36"/>
    <x v="0"/>
    <x v="1"/>
    <d v="2020-08-01T00:00:00"/>
    <n v="6.4301369863013695"/>
    <x v="122"/>
    <x v="1"/>
    <x v="0"/>
    <x v="0"/>
    <n v="59131"/>
    <n v="53631"/>
    <n v="52131"/>
    <n v="50631"/>
    <n v="47131"/>
    <m/>
    <m/>
    <x v="7"/>
    <n v="4"/>
    <n v="5"/>
    <n v="5"/>
    <d v="2021-09-27T00:00:00"/>
    <s v="Assistant Manager, Medium Market"/>
    <d v="2024-11-22T00:00:00"/>
    <s v="Assistant Manager, Large Market"/>
    <m/>
    <m/>
    <n v="5"/>
    <n v="5"/>
    <n v="5"/>
    <n v="5"/>
    <n v="4"/>
    <m/>
    <m/>
  </r>
  <r>
    <n v="545"/>
    <n v="24974"/>
    <d v="1989-04-10T00:00:00"/>
    <n v="36"/>
    <x v="1"/>
    <x v="1"/>
    <d v="2019-07-29T00:00:00"/>
    <n v="6.4958904109589044"/>
    <x v="40"/>
    <x v="1"/>
    <x v="4"/>
    <x v="1"/>
    <n v="33.33"/>
    <n v="32.89"/>
    <n v="32.549999999999997"/>
    <n v="32.159999999999997"/>
    <n v="32"/>
    <n v="32"/>
    <m/>
    <x v="2"/>
    <n v="0"/>
    <n v="6"/>
    <m/>
    <m/>
    <m/>
    <m/>
    <m/>
    <m/>
    <m/>
    <m/>
    <m/>
    <m/>
    <m/>
    <m/>
    <m/>
    <m/>
  </r>
  <r>
    <n v="546"/>
    <n v="24997"/>
    <d v="1992-12-04T00:00:00"/>
    <n v="33"/>
    <x v="0"/>
    <x v="1"/>
    <d v="2019-07-05T00:00:00"/>
    <n v="5.934246575342466"/>
    <x v="19"/>
    <x v="0"/>
    <x v="4"/>
    <x v="1"/>
    <n v="33.5"/>
    <n v="33.200000000000003"/>
    <n v="32.9"/>
    <n v="32.6"/>
    <n v="32.299999999999997"/>
    <n v="32"/>
    <m/>
    <x v="2"/>
    <n v="0"/>
    <n v="5"/>
    <m/>
    <m/>
    <m/>
    <m/>
    <m/>
    <m/>
    <m/>
    <m/>
    <m/>
    <m/>
    <m/>
    <m/>
    <m/>
    <m/>
  </r>
  <r>
    <n v="547"/>
    <n v="25003"/>
    <d v="1989-12-20T00:00:00"/>
    <n v="36"/>
    <x v="0"/>
    <x v="1"/>
    <d v="2020-01-26T00:00:00"/>
    <n v="6.3150684931506849"/>
    <x v="6"/>
    <x v="1"/>
    <x v="4"/>
    <x v="1"/>
    <n v="33.5"/>
    <n v="33.200000000000003"/>
    <n v="32.9"/>
    <n v="32.6"/>
    <n v="32.299999999999997"/>
    <m/>
    <m/>
    <x v="1"/>
    <n v="0"/>
    <n v="3"/>
    <m/>
    <m/>
    <m/>
    <m/>
    <m/>
    <m/>
    <m/>
    <m/>
    <m/>
    <m/>
    <m/>
    <m/>
    <m/>
    <m/>
  </r>
  <r>
    <n v="548"/>
    <n v="25007"/>
    <d v="1980-03-21T00:00:00"/>
    <n v="45"/>
    <x v="1"/>
    <x v="1"/>
    <d v="2019-09-09T00:00:00"/>
    <n v="6.558904109589041"/>
    <x v="124"/>
    <x v="0"/>
    <x v="4"/>
    <x v="1"/>
    <n v="33.5"/>
    <n v="33.200000000000003"/>
    <n v="32.9"/>
    <n v="32.6"/>
    <n v="32.299999999999997"/>
    <n v="32"/>
    <m/>
    <x v="2"/>
    <n v="0"/>
    <n v="3"/>
    <m/>
    <m/>
    <m/>
    <m/>
    <m/>
    <m/>
    <m/>
    <m/>
    <m/>
    <m/>
    <m/>
    <m/>
    <m/>
    <m/>
  </r>
  <r>
    <n v="549"/>
    <n v="25011"/>
    <d v="1982-03-30T00:00:00"/>
    <n v="43"/>
    <x v="0"/>
    <x v="1"/>
    <d v="2019-06-12T00:00:00"/>
    <n v="5.934246575342466"/>
    <x v="34"/>
    <x v="0"/>
    <x v="4"/>
    <x v="1"/>
    <n v="33.5"/>
    <n v="33.200000000000003"/>
    <n v="32.9"/>
    <n v="32.6"/>
    <n v="32.299999999999997"/>
    <n v="32"/>
    <m/>
    <x v="2"/>
    <n v="0"/>
    <n v="4"/>
    <m/>
    <m/>
    <m/>
    <m/>
    <m/>
    <m/>
    <m/>
    <m/>
    <m/>
    <m/>
    <m/>
    <m/>
    <m/>
    <m/>
  </r>
  <r>
    <n v="550"/>
    <n v="25022"/>
    <d v="1988-09-01T00:00:00"/>
    <n v="38"/>
    <x v="0"/>
    <x v="1"/>
    <d v="2020-01-26T00:00:00"/>
    <n v="6.065753424657534"/>
    <x v="69"/>
    <x v="1"/>
    <x v="4"/>
    <x v="1"/>
    <n v="33.5"/>
    <n v="33.200000000000003"/>
    <n v="32.9"/>
    <n v="32.6"/>
    <n v="32.299999999999997"/>
    <m/>
    <m/>
    <x v="4"/>
    <n v="0"/>
    <n v="4"/>
    <m/>
    <m/>
    <m/>
    <m/>
    <m/>
    <m/>
    <m/>
    <m/>
    <m/>
    <m/>
    <m/>
    <m/>
    <m/>
    <m/>
  </r>
  <r>
    <n v="551"/>
    <n v="25029"/>
    <d v="1980-11-16T00:00:00"/>
    <n v="45"/>
    <x v="1"/>
    <x v="1"/>
    <d v="2019-12-09T00:00:00"/>
    <n v="5.956164383561644"/>
    <x v="107"/>
    <x v="1"/>
    <x v="4"/>
    <x v="1"/>
    <n v="33.5"/>
    <n v="33.200000000000003"/>
    <n v="32.9"/>
    <n v="32.6"/>
    <n v="32.299999999999997"/>
    <n v="32"/>
    <m/>
    <x v="3"/>
    <n v="0"/>
    <n v="5"/>
    <m/>
    <m/>
    <m/>
    <m/>
    <m/>
    <m/>
    <m/>
    <m/>
    <m/>
    <m/>
    <m/>
    <m/>
    <m/>
    <m/>
  </r>
  <r>
    <n v="552"/>
    <n v="25066"/>
    <d v="1990-01-07T00:00:00"/>
    <n v="35"/>
    <x v="0"/>
    <x v="1"/>
    <d v="2020-01-18T00:00:00"/>
    <n v="6.6547945205479451"/>
    <x v="102"/>
    <x v="0"/>
    <x v="4"/>
    <x v="1"/>
    <n v="33.590000000000003"/>
    <n v="33.26"/>
    <n v="32.82"/>
    <n v="32.479999999999997"/>
    <n v="32.21"/>
    <m/>
    <m/>
    <x v="2"/>
    <n v="0"/>
    <n v="4"/>
    <m/>
    <m/>
    <m/>
    <m/>
    <m/>
    <m/>
    <m/>
    <m/>
    <m/>
    <m/>
    <m/>
    <m/>
    <m/>
    <m/>
  </r>
  <r>
    <n v="553"/>
    <n v="25067"/>
    <d v="1994-12-14T00:00:00"/>
    <n v="31"/>
    <x v="0"/>
    <x v="1"/>
    <d v="2019-05-08T00:00:00"/>
    <n v="6.7369863013698632"/>
    <x v="67"/>
    <x v="0"/>
    <x v="4"/>
    <x v="1"/>
    <n v="33.5"/>
    <n v="33.200000000000003"/>
    <n v="32.9"/>
    <n v="32.6"/>
    <n v="32.299999999999997"/>
    <n v="32"/>
    <m/>
    <x v="1"/>
    <n v="0"/>
    <n v="4"/>
    <m/>
    <m/>
    <m/>
    <m/>
    <m/>
    <m/>
    <m/>
    <m/>
    <m/>
    <m/>
    <m/>
    <m/>
    <m/>
    <m/>
  </r>
  <r>
    <n v="554"/>
    <n v="25069"/>
    <d v="1989-03-12T00:00:00"/>
    <n v="36"/>
    <x v="0"/>
    <x v="1"/>
    <d v="2019-04-08T00:00:00"/>
    <n v="6.5945205479452058"/>
    <x v="39"/>
    <x v="1"/>
    <x v="4"/>
    <x v="1"/>
    <n v="33.5"/>
    <n v="33.200000000000003"/>
    <n v="32.9"/>
    <n v="32.6"/>
    <n v="32.299999999999997"/>
    <n v="32"/>
    <m/>
    <x v="1"/>
    <n v="0"/>
    <n v="4"/>
    <m/>
    <m/>
    <m/>
    <m/>
    <m/>
    <m/>
    <m/>
    <m/>
    <m/>
    <m/>
    <m/>
    <m/>
    <m/>
    <m/>
  </r>
  <r>
    <n v="555"/>
    <n v="25071"/>
    <d v="1984-10-22T00:00:00"/>
    <n v="41"/>
    <x v="1"/>
    <x v="0"/>
    <d v="2019-05-30T00:00:00"/>
    <n v="6.2164383561643834"/>
    <x v="30"/>
    <x v="1"/>
    <x v="4"/>
    <x v="1"/>
    <n v="33.5"/>
    <n v="33.200000000000003"/>
    <n v="32.9"/>
    <n v="32.6"/>
    <n v="32.299999999999997"/>
    <n v="32"/>
    <m/>
    <x v="2"/>
    <n v="0"/>
    <n v="3"/>
    <m/>
    <m/>
    <m/>
    <m/>
    <m/>
    <m/>
    <m/>
    <m/>
    <m/>
    <m/>
    <m/>
    <m/>
    <m/>
    <m/>
  </r>
  <r>
    <n v="556"/>
    <n v="25076"/>
    <d v="1989-10-15T00:00:00"/>
    <n v="36"/>
    <x v="1"/>
    <x v="1"/>
    <d v="2019-10-15T00:00:00"/>
    <n v="6.2027397260273975"/>
    <x v="79"/>
    <x v="1"/>
    <x v="4"/>
    <x v="1"/>
    <n v="33.5"/>
    <n v="33.200000000000003"/>
    <n v="32.9"/>
    <n v="32.6"/>
    <n v="32.299999999999997"/>
    <n v="32"/>
    <m/>
    <x v="4"/>
    <n v="0"/>
    <n v="6"/>
    <m/>
    <m/>
    <m/>
    <m/>
    <m/>
    <m/>
    <m/>
    <m/>
    <m/>
    <m/>
    <m/>
    <m/>
    <m/>
    <m/>
  </r>
  <r>
    <n v="557"/>
    <n v="25090"/>
    <d v="1993-07-09T00:00:00"/>
    <n v="32"/>
    <x v="0"/>
    <x v="1"/>
    <d v="2019-10-20T00:00:00"/>
    <n v="6.5698630136986305"/>
    <x v="22"/>
    <x v="0"/>
    <x v="4"/>
    <x v="1"/>
    <n v="33.5"/>
    <n v="33.200000000000003"/>
    <n v="32.9"/>
    <n v="32.6"/>
    <n v="32.299999999999997"/>
    <n v="32"/>
    <m/>
    <x v="2"/>
    <n v="0"/>
    <n v="5"/>
    <m/>
    <m/>
    <m/>
    <m/>
    <m/>
    <m/>
    <m/>
    <m/>
    <m/>
    <m/>
    <m/>
    <m/>
    <m/>
    <m/>
  </r>
  <r>
    <n v="558"/>
    <n v="25105"/>
    <d v="1993-10-01T00:00:00"/>
    <n v="33"/>
    <x v="0"/>
    <x v="1"/>
    <d v="2019-06-08T00:00:00"/>
    <n v="5.9698630136986299"/>
    <x v="30"/>
    <x v="1"/>
    <x v="4"/>
    <x v="1"/>
    <n v="33.5"/>
    <n v="33.200000000000003"/>
    <n v="32.9"/>
    <n v="32.6"/>
    <n v="32.299999999999997"/>
    <n v="32"/>
    <m/>
    <x v="1"/>
    <n v="0"/>
    <n v="4"/>
    <m/>
    <m/>
    <m/>
    <m/>
    <m/>
    <m/>
    <m/>
    <m/>
    <m/>
    <m/>
    <m/>
    <m/>
    <m/>
    <m/>
  </r>
  <r>
    <n v="559"/>
    <n v="25106"/>
    <d v="1993-07-26T00:00:00"/>
    <n v="32"/>
    <x v="0"/>
    <x v="0"/>
    <d v="2020-01-13T00:00:00"/>
    <n v="6.1698630136986301"/>
    <x v="48"/>
    <x v="1"/>
    <x v="4"/>
    <x v="1"/>
    <n v="33.5"/>
    <n v="33.200000000000003"/>
    <n v="32.9"/>
    <n v="32.6"/>
    <n v="32.299999999999997"/>
    <m/>
    <m/>
    <x v="2"/>
    <n v="0"/>
    <n v="4"/>
    <m/>
    <m/>
    <m/>
    <m/>
    <m/>
    <m/>
    <m/>
    <m/>
    <m/>
    <m/>
    <m/>
    <m/>
    <m/>
    <m/>
  </r>
  <r>
    <n v="560"/>
    <n v="25119"/>
    <d v="1989-03-30T00:00:00"/>
    <n v="36"/>
    <x v="0"/>
    <x v="0"/>
    <d v="2019-11-01T00:00:00"/>
    <n v="6.2904109589041095"/>
    <x v="100"/>
    <x v="1"/>
    <x v="4"/>
    <x v="1"/>
    <n v="33.5"/>
    <n v="33.200000000000003"/>
    <n v="32.9"/>
    <n v="32.6"/>
    <n v="32.299999999999997"/>
    <n v="32"/>
    <m/>
    <x v="2"/>
    <n v="0"/>
    <n v="4"/>
    <m/>
    <m/>
    <m/>
    <m/>
    <m/>
    <m/>
    <m/>
    <m/>
    <m/>
    <m/>
    <m/>
    <m/>
    <m/>
    <m/>
  </r>
  <r>
    <n v="561"/>
    <n v="25120"/>
    <d v="1993-11-19T00:00:00"/>
    <n v="32"/>
    <x v="1"/>
    <x v="1"/>
    <d v="2019-09-18T00:00:00"/>
    <n v="6.1369863013698627"/>
    <x v="94"/>
    <x v="1"/>
    <x v="4"/>
    <x v="1"/>
    <n v="33.5"/>
    <n v="33.200000000000003"/>
    <n v="32.9"/>
    <n v="32.6"/>
    <n v="32.299999999999997"/>
    <n v="32"/>
    <m/>
    <x v="2"/>
    <n v="0"/>
    <n v="5"/>
    <m/>
    <m/>
    <m/>
    <m/>
    <m/>
    <m/>
    <m/>
    <m/>
    <m/>
    <m/>
    <m/>
    <m/>
    <m/>
    <m/>
  </r>
  <r>
    <n v="562"/>
    <n v="25121"/>
    <d v="1976-08-25T00:00:00"/>
    <n v="49"/>
    <x v="1"/>
    <x v="1"/>
    <d v="2019-11-13T00:00:00"/>
    <n v="6.0602739726027401"/>
    <x v="84"/>
    <x v="1"/>
    <x v="4"/>
    <x v="1"/>
    <n v="33.5"/>
    <n v="33.200000000000003"/>
    <n v="32.9"/>
    <n v="32.6"/>
    <n v="32.299999999999997"/>
    <n v="32"/>
    <m/>
    <x v="2"/>
    <n v="0"/>
    <n v="5"/>
    <m/>
    <m/>
    <m/>
    <m/>
    <m/>
    <m/>
    <m/>
    <m/>
    <m/>
    <m/>
    <m/>
    <m/>
    <m/>
    <m/>
  </r>
  <r>
    <n v="563"/>
    <n v="25125"/>
    <d v="1992-11-12T00:00:00"/>
    <n v="33"/>
    <x v="0"/>
    <x v="1"/>
    <d v="2019-12-11T00:00:00"/>
    <n v="6.1260273972602741"/>
    <x v="124"/>
    <x v="0"/>
    <x v="4"/>
    <x v="1"/>
    <n v="33.5"/>
    <n v="33.200000000000003"/>
    <n v="32.9"/>
    <n v="32.6"/>
    <n v="32.299999999999997"/>
    <n v="32"/>
    <m/>
    <x v="3"/>
    <n v="0"/>
    <n v="3"/>
    <m/>
    <m/>
    <m/>
    <m/>
    <m/>
    <m/>
    <m/>
    <m/>
    <m/>
    <m/>
    <m/>
    <m/>
    <m/>
    <m/>
  </r>
  <r>
    <n v="564"/>
    <n v="25132"/>
    <d v="1980-04-10T00:00:00"/>
    <n v="45"/>
    <x v="0"/>
    <x v="1"/>
    <d v="2019-11-17T00:00:00"/>
    <n v="6.0273972602739727"/>
    <x v="15"/>
    <x v="0"/>
    <x v="4"/>
    <x v="1"/>
    <n v="33.5"/>
    <n v="33.200000000000003"/>
    <n v="32.9"/>
    <n v="32.6"/>
    <n v="32.299999999999997"/>
    <n v="32"/>
    <m/>
    <x v="1"/>
    <n v="0"/>
    <n v="4"/>
    <m/>
    <m/>
    <m/>
    <m/>
    <m/>
    <m/>
    <m/>
    <m/>
    <m/>
    <m/>
    <m/>
    <m/>
    <m/>
    <m/>
  </r>
  <r>
    <n v="565"/>
    <n v="25140"/>
    <d v="1988-01-01T00:00:00"/>
    <n v="38"/>
    <x v="0"/>
    <x v="0"/>
    <d v="2019-12-23T00:00:00"/>
    <n v="6.506849315068493"/>
    <x v="26"/>
    <x v="0"/>
    <x v="4"/>
    <x v="1"/>
    <n v="33.26"/>
    <n v="32.82"/>
    <n v="32.82"/>
    <n v="32.380000000000003"/>
    <n v="32.17"/>
    <n v="32"/>
    <m/>
    <x v="4"/>
    <n v="0"/>
    <n v="3"/>
    <m/>
    <m/>
    <m/>
    <m/>
    <m/>
    <m/>
    <m/>
    <m/>
    <m/>
    <m/>
    <m/>
    <m/>
    <m/>
    <m/>
  </r>
  <r>
    <n v="566"/>
    <n v="25143"/>
    <d v="1988-08-05T00:00:00"/>
    <n v="37"/>
    <x v="0"/>
    <x v="1"/>
    <d v="2019-07-01T00:00:00"/>
    <n v="5.9945205479452053"/>
    <x v="47"/>
    <x v="0"/>
    <x v="4"/>
    <x v="1"/>
    <n v="33.5"/>
    <n v="33.200000000000003"/>
    <n v="32.9"/>
    <n v="32.6"/>
    <n v="32.299999999999997"/>
    <n v="32"/>
    <m/>
    <x v="2"/>
    <n v="0"/>
    <n v="4"/>
    <m/>
    <m/>
    <m/>
    <m/>
    <m/>
    <m/>
    <m/>
    <m/>
    <m/>
    <m/>
    <m/>
    <m/>
    <m/>
    <m/>
  </r>
  <r>
    <n v="567"/>
    <n v="25144"/>
    <d v="1982-06-24T00:00:00"/>
    <n v="43"/>
    <x v="1"/>
    <x v="1"/>
    <d v="2020-01-04T00:00:00"/>
    <n v="6.4465753424657537"/>
    <x v="31"/>
    <x v="0"/>
    <x v="4"/>
    <x v="1"/>
    <n v="33.5"/>
    <n v="33.200000000000003"/>
    <n v="32.9"/>
    <n v="32.6"/>
    <n v="32.299999999999997"/>
    <m/>
    <m/>
    <x v="4"/>
    <n v="0"/>
    <n v="5"/>
    <m/>
    <m/>
    <m/>
    <m/>
    <m/>
    <m/>
    <m/>
    <m/>
    <m/>
    <m/>
    <m/>
    <m/>
    <m/>
    <m/>
  </r>
  <r>
    <n v="568"/>
    <n v="25152"/>
    <d v="1974-12-07T00:00:00"/>
    <n v="51"/>
    <x v="0"/>
    <x v="1"/>
    <d v="2019-07-23T00:00:00"/>
    <n v="5.9835616438356167"/>
    <x v="55"/>
    <x v="0"/>
    <x v="4"/>
    <x v="1"/>
    <n v="33.5"/>
    <n v="33.200000000000003"/>
    <n v="32.9"/>
    <n v="32.6"/>
    <n v="32.299999999999997"/>
    <n v="32"/>
    <m/>
    <x v="2"/>
    <n v="0"/>
    <n v="4"/>
    <m/>
    <m/>
    <m/>
    <m/>
    <m/>
    <m/>
    <m/>
    <m/>
    <m/>
    <m/>
    <m/>
    <m/>
    <m/>
    <m/>
  </r>
  <r>
    <n v="569"/>
    <n v="25158"/>
    <d v="1989-02-11T00:00:00"/>
    <n v="36"/>
    <x v="0"/>
    <x v="0"/>
    <d v="2020-01-08T00:00:00"/>
    <n v="6.5835616438356164"/>
    <x v="77"/>
    <x v="0"/>
    <x v="4"/>
    <x v="1"/>
    <n v="33.5"/>
    <n v="33.200000000000003"/>
    <n v="32.9"/>
    <n v="32.6"/>
    <n v="32.299999999999997"/>
    <m/>
    <m/>
    <x v="2"/>
    <n v="0"/>
    <n v="2"/>
    <m/>
    <m/>
    <m/>
    <m/>
    <m/>
    <m/>
    <m/>
    <m/>
    <m/>
    <m/>
    <m/>
    <m/>
    <m/>
    <m/>
  </r>
  <r>
    <n v="570"/>
    <n v="25173"/>
    <d v="1981-05-06T00:00:00"/>
    <n v="44"/>
    <x v="0"/>
    <x v="1"/>
    <d v="2019-06-03T00:00:00"/>
    <n v="6.0794520547945208"/>
    <x v="6"/>
    <x v="1"/>
    <x v="4"/>
    <x v="1"/>
    <n v="33.5"/>
    <n v="33.200000000000003"/>
    <n v="32.9"/>
    <n v="32.6"/>
    <n v="32.299999999999997"/>
    <n v="32"/>
    <m/>
    <x v="1"/>
    <n v="0"/>
    <n v="2"/>
    <m/>
    <m/>
    <m/>
    <m/>
    <m/>
    <m/>
    <m/>
    <m/>
    <m/>
    <m/>
    <m/>
    <m/>
    <m/>
    <m/>
  </r>
  <r>
    <n v="571"/>
    <n v="25174"/>
    <d v="1989-12-02T00:00:00"/>
    <n v="36"/>
    <x v="0"/>
    <x v="1"/>
    <d v="2019-12-04T00:00:00"/>
    <n v="6.1342465753424653"/>
    <x v="46"/>
    <x v="1"/>
    <x v="4"/>
    <x v="1"/>
    <n v="33.5"/>
    <n v="33.200000000000003"/>
    <n v="32.9"/>
    <n v="32.6"/>
    <n v="32.299999999999997"/>
    <n v="32"/>
    <m/>
    <x v="1"/>
    <n v="0"/>
    <n v="4"/>
    <m/>
    <m/>
    <m/>
    <m/>
    <m/>
    <m/>
    <m/>
    <m/>
    <m/>
    <m/>
    <m/>
    <m/>
    <m/>
    <m/>
  </r>
  <r>
    <n v="572"/>
    <n v="25175"/>
    <d v="1991-10-04T00:00:00"/>
    <n v="34"/>
    <x v="0"/>
    <x v="1"/>
    <d v="2019-11-14T00:00:00"/>
    <n v="6.3698630136986303"/>
    <x v="9"/>
    <x v="1"/>
    <x v="4"/>
    <x v="1"/>
    <n v="33.5"/>
    <n v="33.200000000000003"/>
    <n v="32.9"/>
    <n v="32.6"/>
    <n v="32.299999999999997"/>
    <n v="32"/>
    <m/>
    <x v="2"/>
    <n v="0"/>
    <n v="4"/>
    <m/>
    <m/>
    <m/>
    <m/>
    <m/>
    <m/>
    <m/>
    <m/>
    <m/>
    <m/>
    <m/>
    <m/>
    <m/>
    <m/>
  </r>
  <r>
    <n v="573"/>
    <n v="25176"/>
    <d v="1984-06-06T00:00:00"/>
    <n v="41"/>
    <x v="0"/>
    <x v="1"/>
    <d v="2019-08-20T00:00:00"/>
    <n v="5.8109589041095893"/>
    <x v="9"/>
    <x v="1"/>
    <x v="4"/>
    <x v="1"/>
    <n v="33.5"/>
    <n v="33.200000000000003"/>
    <n v="32.9"/>
    <n v="32.6"/>
    <n v="32.299999999999997"/>
    <n v="32"/>
    <m/>
    <x v="2"/>
    <n v="0"/>
    <n v="4"/>
    <m/>
    <m/>
    <m/>
    <m/>
    <m/>
    <m/>
    <m/>
    <m/>
    <m/>
    <m/>
    <m/>
    <m/>
    <m/>
    <m/>
  </r>
  <r>
    <n v="574"/>
    <n v="25194"/>
    <d v="1992-01-19T00:00:00"/>
    <n v="33"/>
    <x v="1"/>
    <x v="0"/>
    <d v="2020-03-11T00:00:00"/>
    <n v="5.9315068493150687"/>
    <x v="60"/>
    <x v="1"/>
    <x v="4"/>
    <x v="1"/>
    <n v="33.5"/>
    <n v="33.200000000000003"/>
    <n v="32.9"/>
    <n v="32.6"/>
    <n v="32.299999999999997"/>
    <m/>
    <m/>
    <x v="3"/>
    <n v="0"/>
    <n v="5"/>
    <m/>
    <m/>
    <m/>
    <m/>
    <m/>
    <m/>
    <m/>
    <m/>
    <m/>
    <m/>
    <m/>
    <m/>
    <m/>
    <m/>
  </r>
  <r>
    <n v="575"/>
    <n v="25196"/>
    <d v="1981-05-01T00:00:00"/>
    <n v="45"/>
    <x v="0"/>
    <x v="1"/>
    <d v="2020-01-27T00:00:00"/>
    <n v="5.912328767123288"/>
    <x v="62"/>
    <x v="1"/>
    <x v="4"/>
    <x v="1"/>
    <n v="33.5"/>
    <n v="33.200000000000003"/>
    <n v="32.9"/>
    <n v="32.6"/>
    <n v="32.299999999999997"/>
    <m/>
    <m/>
    <x v="2"/>
    <n v="0"/>
    <n v="4"/>
    <m/>
    <m/>
    <m/>
    <m/>
    <m/>
    <m/>
    <m/>
    <m/>
    <m/>
    <m/>
    <m/>
    <m/>
    <m/>
    <m/>
  </r>
  <r>
    <n v="576"/>
    <n v="25205"/>
    <d v="1991-05-15T00:00:00"/>
    <n v="34"/>
    <x v="0"/>
    <x v="0"/>
    <d v="2020-02-03T00:00:00"/>
    <n v="6.3178082191780822"/>
    <x v="75"/>
    <x v="1"/>
    <x v="4"/>
    <x v="1"/>
    <n v="33.5"/>
    <n v="33.200000000000003"/>
    <n v="32.9"/>
    <n v="32.6"/>
    <n v="32.299999999999997"/>
    <m/>
    <m/>
    <x v="4"/>
    <n v="0"/>
    <n v="4"/>
    <m/>
    <m/>
    <m/>
    <m/>
    <m/>
    <m/>
    <m/>
    <m/>
    <m/>
    <m/>
    <m/>
    <m/>
    <m/>
    <m/>
  </r>
  <r>
    <n v="577"/>
    <n v="25207"/>
    <d v="1989-11-24T00:00:00"/>
    <n v="36"/>
    <x v="0"/>
    <x v="1"/>
    <d v="2019-09-08T00:00:00"/>
    <n v="6.7123287671232879"/>
    <x v="76"/>
    <x v="1"/>
    <x v="4"/>
    <x v="1"/>
    <n v="33.5"/>
    <n v="33.200000000000003"/>
    <n v="32.9"/>
    <n v="32.6"/>
    <n v="32.299999999999997"/>
    <n v="32"/>
    <m/>
    <x v="2"/>
    <n v="0"/>
    <n v="5"/>
    <m/>
    <m/>
    <m/>
    <m/>
    <m/>
    <m/>
    <m/>
    <m/>
    <m/>
    <m/>
    <m/>
    <m/>
    <m/>
    <m/>
  </r>
  <r>
    <n v="578"/>
    <n v="25265"/>
    <d v="1987-01-19T00:00:00"/>
    <n v="38"/>
    <x v="0"/>
    <x v="0"/>
    <d v="2019-04-17T00:00:00"/>
    <n v="6.816438356164384"/>
    <x v="7"/>
    <x v="0"/>
    <x v="5"/>
    <x v="1"/>
    <n v="22.36"/>
    <n v="22.06"/>
    <n v="21.76"/>
    <n v="21.46"/>
    <n v="21.16"/>
    <n v="20.86"/>
    <m/>
    <x v="1"/>
    <n v="3"/>
    <n v="2"/>
    <m/>
    <m/>
    <m/>
    <m/>
    <m/>
    <m/>
    <m/>
    <m/>
    <m/>
    <m/>
    <m/>
    <m/>
    <m/>
    <m/>
  </r>
  <r>
    <n v="579"/>
    <n v="25295"/>
    <d v="1995-12-26T00:00:00"/>
    <n v="30"/>
    <x v="0"/>
    <x v="1"/>
    <d v="2019-03-10T00:00:00"/>
    <n v="6.1150684931506847"/>
    <x v="98"/>
    <x v="1"/>
    <x v="5"/>
    <x v="1"/>
    <n v="22.43"/>
    <n v="21.98"/>
    <n v="21.82"/>
    <n v="21.51"/>
    <n v="21.17"/>
    <n v="20.86"/>
    <m/>
    <x v="4"/>
    <n v="0"/>
    <n v="4"/>
    <m/>
    <m/>
    <m/>
    <m/>
    <m/>
    <m/>
    <m/>
    <m/>
    <m/>
    <m/>
    <m/>
    <m/>
    <m/>
    <m/>
  </r>
  <r>
    <n v="580"/>
    <n v="25356"/>
    <d v="1989-07-30T00:00:00"/>
    <n v="36"/>
    <x v="1"/>
    <x v="1"/>
    <d v="2019-11-21T00:00:00"/>
    <n v="5.8328767123287673"/>
    <x v="124"/>
    <x v="0"/>
    <x v="5"/>
    <x v="1"/>
    <n v="22.36"/>
    <n v="22.06"/>
    <n v="21.76"/>
    <n v="21.46"/>
    <n v="21.16"/>
    <n v="20.86"/>
    <m/>
    <x v="3"/>
    <n v="0"/>
    <n v="6"/>
    <m/>
    <m/>
    <m/>
    <m/>
    <m/>
    <m/>
    <m/>
    <m/>
    <m/>
    <m/>
    <m/>
    <m/>
    <m/>
    <m/>
  </r>
  <r>
    <n v="581"/>
    <n v="25389"/>
    <d v="1992-07-19T00:00:00"/>
    <n v="33"/>
    <x v="0"/>
    <x v="1"/>
    <d v="2020-03-03T00:00:00"/>
    <n v="6.3150684931506849"/>
    <x v="79"/>
    <x v="1"/>
    <x v="5"/>
    <x v="1"/>
    <n v="22.36"/>
    <n v="22.06"/>
    <n v="21.76"/>
    <n v="21.46"/>
    <n v="21.16"/>
    <m/>
    <m/>
    <x v="1"/>
    <n v="5"/>
    <n v="5"/>
    <m/>
    <m/>
    <m/>
    <m/>
    <m/>
    <m/>
    <m/>
    <m/>
    <m/>
    <m/>
    <m/>
    <m/>
    <m/>
    <m/>
  </r>
  <r>
    <n v="582"/>
    <n v="25392"/>
    <d v="1982-09-27T00:00:00"/>
    <n v="43"/>
    <x v="1"/>
    <x v="1"/>
    <d v="2019-09-09T00:00:00"/>
    <n v="6.4684931506849317"/>
    <x v="86"/>
    <x v="1"/>
    <x v="5"/>
    <x v="1"/>
    <n v="22.36"/>
    <n v="22.06"/>
    <n v="21.76"/>
    <n v="21.46"/>
    <n v="21.16"/>
    <n v="20.86"/>
    <m/>
    <x v="2"/>
    <n v="3"/>
    <n v="6"/>
    <m/>
    <m/>
    <m/>
    <m/>
    <m/>
    <m/>
    <m/>
    <m/>
    <m/>
    <m/>
    <m/>
    <m/>
    <m/>
    <m/>
  </r>
  <r>
    <n v="583"/>
    <n v="25401"/>
    <d v="1989-11-09T00:00:00"/>
    <n v="36"/>
    <x v="1"/>
    <x v="1"/>
    <d v="2019-07-15T00:00:00"/>
    <n v="5.9917808219178079"/>
    <x v="3"/>
    <x v="0"/>
    <x v="5"/>
    <x v="1"/>
    <n v="22.36"/>
    <n v="22.06"/>
    <n v="21.76"/>
    <n v="21.46"/>
    <n v="21.16"/>
    <n v="20.86"/>
    <m/>
    <x v="2"/>
    <n v="4"/>
    <n v="6"/>
    <m/>
    <m/>
    <m/>
    <m/>
    <m/>
    <m/>
    <m/>
    <m/>
    <m/>
    <m/>
    <m/>
    <m/>
    <m/>
    <m/>
  </r>
  <r>
    <n v="584"/>
    <n v="25419"/>
    <d v="1994-02-09T00:00:00"/>
    <n v="31"/>
    <x v="0"/>
    <x v="1"/>
    <d v="2020-01-05T00:00:00"/>
    <n v="6.5397260273972604"/>
    <x v="19"/>
    <x v="0"/>
    <x v="5"/>
    <x v="1"/>
    <n v="22.36"/>
    <n v="22.06"/>
    <n v="21.76"/>
    <n v="21.46"/>
    <n v="21.16"/>
    <m/>
    <m/>
    <x v="4"/>
    <n v="4"/>
    <n v="5"/>
    <m/>
    <m/>
    <m/>
    <m/>
    <m/>
    <m/>
    <m/>
    <m/>
    <m/>
    <m/>
    <m/>
    <m/>
    <m/>
    <m/>
  </r>
  <r>
    <n v="585"/>
    <n v="25444"/>
    <d v="1995-09-28T00:00:00"/>
    <n v="30"/>
    <x v="0"/>
    <x v="1"/>
    <d v="2019-06-19T00:00:00"/>
    <n v="6.2849315068493148"/>
    <x v="31"/>
    <x v="0"/>
    <x v="5"/>
    <x v="1"/>
    <n v="22.36"/>
    <n v="22.06"/>
    <n v="21.76"/>
    <n v="21.46"/>
    <n v="21.16"/>
    <n v="20.86"/>
    <m/>
    <x v="4"/>
    <n v="6"/>
    <n v="4"/>
    <m/>
    <m/>
    <m/>
    <m/>
    <m/>
    <m/>
    <m/>
    <m/>
    <m/>
    <m/>
    <m/>
    <m/>
    <m/>
    <m/>
  </r>
  <r>
    <n v="586"/>
    <n v="25487"/>
    <d v="1995-04-30T00:00:00"/>
    <n v="30"/>
    <x v="0"/>
    <x v="1"/>
    <d v="2019-09-20T00:00:00"/>
    <n v="6.1287671232876715"/>
    <x v="40"/>
    <x v="1"/>
    <x v="5"/>
    <x v="1"/>
    <n v="22.56"/>
    <n v="22.34"/>
    <n v="22"/>
    <n v="21.66"/>
    <n v="21.26"/>
    <n v="20.86"/>
    <m/>
    <x v="4"/>
    <n v="5"/>
    <n v="4"/>
    <m/>
    <m/>
    <m/>
    <m/>
    <m/>
    <m/>
    <m/>
    <m/>
    <m/>
    <m/>
    <m/>
    <m/>
    <m/>
    <m/>
  </r>
  <r>
    <n v="587"/>
    <n v="25508"/>
    <d v="1994-04-28T00:00:00"/>
    <n v="31"/>
    <x v="0"/>
    <x v="1"/>
    <d v="2019-11-16T00:00:00"/>
    <n v="6.1232876712328768"/>
    <x v="133"/>
    <x v="1"/>
    <x v="5"/>
    <x v="1"/>
    <n v="21.31"/>
    <n v="21.31"/>
    <n v="21.16"/>
    <n v="21.16"/>
    <n v="21.01"/>
    <n v="20.86"/>
    <m/>
    <x v="3"/>
    <n v="4"/>
    <n v="5"/>
    <m/>
    <m/>
    <m/>
    <m/>
    <m/>
    <m/>
    <m/>
    <m/>
    <m/>
    <m/>
    <m/>
    <m/>
    <m/>
    <m/>
  </r>
  <r>
    <n v="588"/>
    <n v="25568"/>
    <d v="1987-05-23T00:00:00"/>
    <n v="38"/>
    <x v="1"/>
    <x v="1"/>
    <d v="2019-11-18T00:00:00"/>
    <n v="6.419178082191781"/>
    <x v="13"/>
    <x v="0"/>
    <x v="1"/>
    <x v="1"/>
    <n v="15.97"/>
    <n v="15.67"/>
    <n v="15.37"/>
    <n v="15.07"/>
    <n v="14.77"/>
    <n v="14.47"/>
    <m/>
    <x v="4"/>
    <n v="1"/>
    <n v="6"/>
    <m/>
    <m/>
    <m/>
    <m/>
    <m/>
    <m/>
    <m/>
    <m/>
    <m/>
    <m/>
    <m/>
    <m/>
    <m/>
    <m/>
  </r>
  <r>
    <n v="589"/>
    <n v="25569"/>
    <d v="1984-06-14T00:00:00"/>
    <n v="41"/>
    <x v="0"/>
    <x v="1"/>
    <d v="2019-08-02T00:00:00"/>
    <n v="6.7013698630136984"/>
    <x v="13"/>
    <x v="0"/>
    <x v="7"/>
    <x v="1"/>
    <n v="17.05"/>
    <n v="16.75"/>
    <n v="16.45"/>
    <n v="16.149999999999999"/>
    <n v="15.85"/>
    <n v="15.55"/>
    <m/>
    <x v="2"/>
    <n v="1"/>
    <n v="5"/>
    <m/>
    <m/>
    <m/>
    <m/>
    <m/>
    <m/>
    <m/>
    <m/>
    <m/>
    <m/>
    <m/>
    <m/>
    <m/>
    <m/>
  </r>
  <r>
    <n v="590"/>
    <n v="25579"/>
    <d v="1997-06-02T00:00:00"/>
    <n v="28"/>
    <x v="0"/>
    <x v="1"/>
    <d v="2019-04-21T00:00:00"/>
    <n v="6.6958904109589037"/>
    <x v="26"/>
    <x v="0"/>
    <x v="1"/>
    <x v="1"/>
    <n v="15.76"/>
    <n v="15.41"/>
    <n v="15.41"/>
    <n v="15.03"/>
    <n v="14.65"/>
    <n v="14.47"/>
    <m/>
    <x v="3"/>
    <n v="1"/>
    <n v="5"/>
    <m/>
    <m/>
    <m/>
    <m/>
    <m/>
    <m/>
    <m/>
    <m/>
    <m/>
    <m/>
    <m/>
    <m/>
    <m/>
    <m/>
  </r>
  <r>
    <n v="591"/>
    <n v="25608"/>
    <d v="1992-06-16T00:00:00"/>
    <n v="33"/>
    <x v="0"/>
    <x v="0"/>
    <d v="2019-04-23T00:00:00"/>
    <n v="6.0986301369863014"/>
    <x v="48"/>
    <x v="1"/>
    <x v="7"/>
    <x v="1"/>
    <n v="17.05"/>
    <n v="16.75"/>
    <n v="16.45"/>
    <n v="16.149999999999999"/>
    <n v="15.85"/>
    <n v="15.55"/>
    <m/>
    <x v="2"/>
    <n v="3"/>
    <n v="5"/>
    <m/>
    <m/>
    <m/>
    <m/>
    <m/>
    <m/>
    <m/>
    <m/>
    <m/>
    <m/>
    <m/>
    <m/>
    <m/>
    <m/>
  </r>
  <r>
    <n v="592"/>
    <n v="25618"/>
    <d v="1995-11-08T00:00:00"/>
    <n v="30"/>
    <x v="1"/>
    <x v="1"/>
    <d v="2019-11-27T00:00:00"/>
    <n v="6.3369863013698629"/>
    <x v="111"/>
    <x v="1"/>
    <x v="7"/>
    <x v="1"/>
    <n v="17.05"/>
    <n v="16.75"/>
    <n v="16.45"/>
    <n v="16.149999999999999"/>
    <n v="15.85"/>
    <n v="15.55"/>
    <m/>
    <x v="1"/>
    <n v="1"/>
    <n v="5"/>
    <m/>
    <m/>
    <m/>
    <m/>
    <m/>
    <m/>
    <m/>
    <m/>
    <m/>
    <m/>
    <m/>
    <m/>
    <m/>
    <m/>
  </r>
  <r>
    <n v="593"/>
    <n v="25645"/>
    <d v="1995-10-12T00:00:00"/>
    <n v="30"/>
    <x v="1"/>
    <x v="1"/>
    <d v="2019-09-01T00:00:00"/>
    <n v="6.441095890410959"/>
    <x v="124"/>
    <x v="0"/>
    <x v="1"/>
    <x v="1"/>
    <n v="15.97"/>
    <n v="15.67"/>
    <n v="15.37"/>
    <n v="15.07"/>
    <n v="14.77"/>
    <n v="14.47"/>
    <m/>
    <x v="2"/>
    <n v="2"/>
    <n v="6"/>
    <m/>
    <m/>
    <m/>
    <m/>
    <m/>
    <m/>
    <m/>
    <m/>
    <m/>
    <m/>
    <m/>
    <m/>
    <m/>
    <m/>
  </r>
  <r>
    <n v="594"/>
    <n v="25652"/>
    <d v="1996-09-29T00:00:00"/>
    <n v="29"/>
    <x v="1"/>
    <x v="1"/>
    <d v="2019-07-25T00:00:00"/>
    <n v="6.6794520547945204"/>
    <x v="17"/>
    <x v="0"/>
    <x v="7"/>
    <x v="1"/>
    <n v="17.05"/>
    <n v="16.75"/>
    <n v="16.45"/>
    <n v="16.149999999999999"/>
    <n v="15.85"/>
    <n v="15.55"/>
    <m/>
    <x v="4"/>
    <n v="3"/>
    <n v="5"/>
    <m/>
    <m/>
    <m/>
    <m/>
    <m/>
    <m/>
    <m/>
    <m/>
    <m/>
    <m/>
    <m/>
    <m/>
    <m/>
    <m/>
  </r>
  <r>
    <n v="595"/>
    <n v="25676"/>
    <d v="2000-10-03T00:00:00"/>
    <n v="25"/>
    <x v="1"/>
    <x v="1"/>
    <d v="2019-04-29T00:00:00"/>
    <n v="6.484931506849315"/>
    <x v="67"/>
    <x v="0"/>
    <x v="1"/>
    <x v="1"/>
    <n v="15.97"/>
    <n v="15.67"/>
    <n v="15.37"/>
    <n v="15.07"/>
    <n v="14.77"/>
    <n v="14.47"/>
    <m/>
    <x v="3"/>
    <n v="1"/>
    <n v="5"/>
    <m/>
    <m/>
    <m/>
    <m/>
    <m/>
    <m/>
    <m/>
    <m/>
    <m/>
    <m/>
    <m/>
    <m/>
    <m/>
    <m/>
  </r>
  <r>
    <n v="596"/>
    <n v="25710"/>
    <d v="1995-08-01T00:00:00"/>
    <n v="31"/>
    <x v="0"/>
    <x v="1"/>
    <d v="2019-07-09T00:00:00"/>
    <n v="6.882191780821918"/>
    <x v="72"/>
    <x v="1"/>
    <x v="1"/>
    <x v="1"/>
    <n v="15.6"/>
    <n v="15.2"/>
    <n v="15.2"/>
    <n v="14.79"/>
    <n v="14.47"/>
    <n v="14.47"/>
    <m/>
    <x v="3"/>
    <n v="1"/>
    <n v="5"/>
    <m/>
    <m/>
    <m/>
    <m/>
    <m/>
    <m/>
    <m/>
    <m/>
    <m/>
    <m/>
    <m/>
    <m/>
    <m/>
    <m/>
  </r>
  <r>
    <n v="597"/>
    <n v="25728"/>
    <d v="1995-02-10T00:00:00"/>
    <n v="30"/>
    <x v="1"/>
    <x v="1"/>
    <d v="2019-02-14T00:00:00"/>
    <n v="6.0164383561643833"/>
    <x v="3"/>
    <x v="0"/>
    <x v="1"/>
    <x v="1"/>
    <n v="15.97"/>
    <n v="15.67"/>
    <n v="15.37"/>
    <n v="15.07"/>
    <n v="14.77"/>
    <n v="14.47"/>
    <m/>
    <x v="4"/>
    <n v="1"/>
    <n v="6"/>
    <m/>
    <m/>
    <m/>
    <m/>
    <m/>
    <m/>
    <m/>
    <m/>
    <m/>
    <m/>
    <m/>
    <m/>
    <m/>
    <m/>
  </r>
  <r>
    <n v="598"/>
    <n v="25743"/>
    <d v="1994-09-09T00:00:00"/>
    <n v="31"/>
    <x v="1"/>
    <x v="0"/>
    <d v="2019-12-27T00:00:00"/>
    <n v="6.6602739726027398"/>
    <x v="49"/>
    <x v="0"/>
    <x v="2"/>
    <x v="1"/>
    <n v="14.08"/>
    <n v="13.78"/>
    <n v="13.48"/>
    <n v="13.18"/>
    <n v="12.88"/>
    <n v="12.58"/>
    <m/>
    <x v="4"/>
    <n v="0"/>
    <n v="5"/>
    <m/>
    <m/>
    <m/>
    <m/>
    <m/>
    <m/>
    <m/>
    <m/>
    <m/>
    <m/>
    <m/>
    <m/>
    <m/>
    <m/>
  </r>
  <r>
    <n v="599"/>
    <n v="25750"/>
    <d v="1998-12-06T00:00:00"/>
    <n v="27"/>
    <x v="1"/>
    <x v="0"/>
    <d v="2019-05-06T00:00:00"/>
    <n v="6.4657534246575343"/>
    <x v="77"/>
    <x v="0"/>
    <x v="1"/>
    <x v="1"/>
    <n v="15.97"/>
    <n v="15.67"/>
    <n v="15.37"/>
    <n v="15.07"/>
    <n v="14.77"/>
    <n v="14.47"/>
    <m/>
    <x v="1"/>
    <n v="0"/>
    <n v="6"/>
    <m/>
    <m/>
    <m/>
    <m/>
    <m/>
    <m/>
    <m/>
    <m/>
    <m/>
    <m/>
    <m/>
    <m/>
    <m/>
    <m/>
  </r>
  <r>
    <n v="600"/>
    <n v="25765"/>
    <d v="1997-09-06T00:00:00"/>
    <n v="28"/>
    <x v="1"/>
    <x v="1"/>
    <d v="2019-07-16T00:00:00"/>
    <n v="6.375342465753425"/>
    <x v="30"/>
    <x v="1"/>
    <x v="1"/>
    <x v="1"/>
    <n v="15.97"/>
    <n v="15.67"/>
    <n v="15.37"/>
    <n v="15.07"/>
    <n v="14.77"/>
    <n v="14.47"/>
    <m/>
    <x v="4"/>
    <n v="0"/>
    <n v="5"/>
    <m/>
    <m/>
    <m/>
    <m/>
    <m/>
    <m/>
    <m/>
    <m/>
    <m/>
    <m/>
    <m/>
    <m/>
    <m/>
    <m/>
  </r>
  <r>
    <n v="601"/>
    <n v="25780"/>
    <d v="1994-08-13T00:00:00"/>
    <n v="31"/>
    <x v="1"/>
    <x v="1"/>
    <d v="2019-08-18T00:00:00"/>
    <n v="6.0136986301369859"/>
    <x v="107"/>
    <x v="1"/>
    <x v="1"/>
    <x v="1"/>
    <n v="15.97"/>
    <n v="15.67"/>
    <n v="15.37"/>
    <n v="15.07"/>
    <n v="14.77"/>
    <n v="14.47"/>
    <m/>
    <x v="4"/>
    <n v="1"/>
    <n v="6"/>
    <m/>
    <m/>
    <m/>
    <m/>
    <m/>
    <m/>
    <m/>
    <m/>
    <m/>
    <m/>
    <m/>
    <m/>
    <m/>
    <m/>
  </r>
  <r>
    <n v="602"/>
    <n v="25784"/>
    <d v="1990-12-06T00:00:00"/>
    <n v="35"/>
    <x v="1"/>
    <x v="1"/>
    <d v="2019-12-28T00:00:00"/>
    <n v="6.4246575342465757"/>
    <x v="96"/>
    <x v="1"/>
    <x v="2"/>
    <x v="1"/>
    <n v="14.06"/>
    <n v="13.69"/>
    <n v="13.47"/>
    <n v="13.17"/>
    <n v="12.74"/>
    <n v="12.58"/>
    <m/>
    <x v="2"/>
    <n v="1"/>
    <n v="6"/>
    <m/>
    <m/>
    <m/>
    <m/>
    <m/>
    <m/>
    <m/>
    <m/>
    <m/>
    <m/>
    <m/>
    <m/>
    <m/>
    <m/>
  </r>
  <r>
    <n v="603"/>
    <n v="25789"/>
    <d v="1998-09-07T00:00:00"/>
    <n v="27"/>
    <x v="1"/>
    <x v="0"/>
    <d v="2019-07-31T00:00:00"/>
    <n v="6.1643835616438354"/>
    <x v="128"/>
    <x v="1"/>
    <x v="10"/>
    <x v="1"/>
    <n v="10.44"/>
    <n v="10.32"/>
    <n v="10.029999999999999"/>
    <n v="9.77"/>
    <n v="9.5299999999999994"/>
    <n v="9.41"/>
    <m/>
    <x v="2"/>
    <n v="1"/>
    <n v="6"/>
    <m/>
    <m/>
    <m/>
    <m/>
    <m/>
    <m/>
    <m/>
    <m/>
    <m/>
    <m/>
    <m/>
    <m/>
    <m/>
    <m/>
  </r>
  <r>
    <n v="604"/>
    <n v="25794"/>
    <d v="1998-06-13T00:00:00"/>
    <n v="27"/>
    <x v="0"/>
    <x v="1"/>
    <d v="2019-11-03T00:00:00"/>
    <n v="6.0383561643835613"/>
    <x v="3"/>
    <x v="0"/>
    <x v="2"/>
    <x v="1"/>
    <n v="14.08"/>
    <n v="13.78"/>
    <n v="13.48"/>
    <n v="13.18"/>
    <n v="12.88"/>
    <n v="12.58"/>
    <m/>
    <x v="4"/>
    <n v="1"/>
    <n v="5"/>
    <m/>
    <m/>
    <m/>
    <m/>
    <m/>
    <m/>
    <m/>
    <m/>
    <m/>
    <m/>
    <m/>
    <m/>
    <m/>
    <m/>
  </r>
  <r>
    <n v="605"/>
    <n v="25815"/>
    <d v="1999-08-13T00:00:00"/>
    <n v="26"/>
    <x v="1"/>
    <x v="1"/>
    <d v="2019-12-19T00:00:00"/>
    <n v="6.1753424657534248"/>
    <x v="13"/>
    <x v="0"/>
    <x v="2"/>
    <x v="1"/>
    <n v="14.08"/>
    <n v="13.78"/>
    <n v="13.48"/>
    <n v="13.18"/>
    <n v="12.88"/>
    <n v="12.58"/>
    <m/>
    <x v="2"/>
    <n v="0"/>
    <n v="6"/>
    <m/>
    <m/>
    <m/>
    <m/>
    <m/>
    <m/>
    <m/>
    <m/>
    <m/>
    <m/>
    <m/>
    <m/>
    <m/>
    <m/>
  </r>
  <r>
    <n v="606"/>
    <n v="25817"/>
    <d v="1996-05-13T00:00:00"/>
    <n v="29"/>
    <x v="1"/>
    <x v="1"/>
    <d v="2019-10-30T00:00:00"/>
    <n v="5.9506849315068493"/>
    <x v="15"/>
    <x v="0"/>
    <x v="1"/>
    <x v="1"/>
    <n v="15.97"/>
    <n v="15.67"/>
    <n v="15.37"/>
    <n v="15.07"/>
    <n v="14.77"/>
    <n v="14.47"/>
    <m/>
    <x v="2"/>
    <n v="1"/>
    <n v="6"/>
    <m/>
    <m/>
    <m/>
    <m/>
    <m/>
    <m/>
    <m/>
    <m/>
    <m/>
    <m/>
    <m/>
    <m/>
    <m/>
    <m/>
  </r>
  <r>
    <n v="607"/>
    <n v="25818"/>
    <d v="2000-09-22T00:00:00"/>
    <n v="25"/>
    <x v="0"/>
    <x v="1"/>
    <d v="2020-01-20T00:00:00"/>
    <n v="5.9698630136986299"/>
    <x v="15"/>
    <x v="0"/>
    <x v="9"/>
    <x v="1"/>
    <n v="13.94"/>
    <n v="13.64"/>
    <n v="13.34"/>
    <n v="13.04"/>
    <n v="12.74"/>
    <m/>
    <m/>
    <x v="1"/>
    <n v="1"/>
    <n v="3"/>
    <m/>
    <m/>
    <m/>
    <m/>
    <m/>
    <m/>
    <m/>
    <m/>
    <m/>
    <m/>
    <m/>
    <m/>
    <m/>
    <m/>
  </r>
  <r>
    <n v="608"/>
    <n v="25963"/>
    <d v="1992-04-19T00:00:00"/>
    <n v="33"/>
    <x v="1"/>
    <x v="1"/>
    <d v="2020-01-13T00:00:00"/>
    <n v="6.5013698630136982"/>
    <x v="121"/>
    <x v="1"/>
    <x v="9"/>
    <x v="1"/>
    <n v="13.94"/>
    <n v="13.64"/>
    <n v="13.34"/>
    <n v="13.04"/>
    <n v="12.74"/>
    <m/>
    <m/>
    <x v="3"/>
    <n v="1"/>
    <n v="7"/>
    <m/>
    <m/>
    <m/>
    <m/>
    <m/>
    <m/>
    <m/>
    <m/>
    <m/>
    <m/>
    <m/>
    <m/>
    <m/>
    <m/>
  </r>
  <r>
    <n v="609"/>
    <n v="25964"/>
    <d v="1997-10-30T00:00:00"/>
    <n v="28"/>
    <x v="1"/>
    <x v="1"/>
    <d v="2019-07-03T00:00:00"/>
    <n v="6.2109589041095887"/>
    <x v="121"/>
    <x v="1"/>
    <x v="6"/>
    <x v="1"/>
    <n v="22.52"/>
    <n v="22.22"/>
    <n v="21.92"/>
    <n v="21.62"/>
    <n v="21.32"/>
    <n v="21.02"/>
    <m/>
    <x v="2"/>
    <n v="3"/>
    <n v="7"/>
    <m/>
    <m/>
    <m/>
    <m/>
    <m/>
    <m/>
    <m/>
    <m/>
    <m/>
    <m/>
    <m/>
    <m/>
    <m/>
    <m/>
  </r>
  <r>
    <n v="610"/>
    <n v="26096"/>
    <d v="1991-02-27T00:00:00"/>
    <n v="34"/>
    <x v="1"/>
    <x v="0"/>
    <d v="2019-10-17T00:00:00"/>
    <n v="6.4054794520547942"/>
    <x v="33"/>
    <x v="0"/>
    <x v="1"/>
    <x v="1"/>
    <n v="15.97"/>
    <n v="15.67"/>
    <n v="15.37"/>
    <n v="15.07"/>
    <n v="14.77"/>
    <n v="14.47"/>
    <m/>
    <x v="4"/>
    <n v="1"/>
    <n v="4"/>
    <m/>
    <m/>
    <m/>
    <m/>
    <m/>
    <m/>
    <m/>
    <m/>
    <m/>
    <m/>
    <m/>
    <m/>
    <m/>
    <m/>
  </r>
  <r>
    <n v="611"/>
    <n v="26113"/>
    <d v="1998-10-03T00:00:00"/>
    <n v="27"/>
    <x v="0"/>
    <x v="0"/>
    <d v="2019-08-07T00:00:00"/>
    <n v="5.9726027397260273"/>
    <x v="37"/>
    <x v="0"/>
    <x v="10"/>
    <x v="1"/>
    <n v="10.41"/>
    <n v="10.210000000000001"/>
    <n v="10.01"/>
    <n v="9.81"/>
    <n v="9.61"/>
    <n v="9.41"/>
    <m/>
    <x v="4"/>
    <n v="0"/>
    <n v="3"/>
    <m/>
    <m/>
    <m/>
    <m/>
    <m/>
    <m/>
    <m/>
    <m/>
    <m/>
    <m/>
    <m/>
    <m/>
    <m/>
    <m/>
  </r>
  <r>
    <n v="612"/>
    <n v="26132"/>
    <d v="1989-11-19T00:00:00"/>
    <n v="36"/>
    <x v="0"/>
    <x v="1"/>
    <d v="2020-01-12T00:00:00"/>
    <n v="6.0767123287671234"/>
    <x v="46"/>
    <x v="1"/>
    <x v="6"/>
    <x v="1"/>
    <n v="22.52"/>
    <n v="22.22"/>
    <n v="21.92"/>
    <n v="21.62"/>
    <n v="21.32"/>
    <m/>
    <m/>
    <x v="2"/>
    <n v="3"/>
    <n v="7"/>
    <m/>
    <m/>
    <m/>
    <m/>
    <m/>
    <m/>
    <m/>
    <m/>
    <m/>
    <m/>
    <m/>
    <m/>
    <m/>
    <m/>
  </r>
  <r>
    <n v="613"/>
    <n v="26154"/>
    <d v="1987-05-10T00:00:00"/>
    <n v="38"/>
    <x v="0"/>
    <x v="0"/>
    <d v="2019-12-05T00:00:00"/>
    <n v="6.7013698630136984"/>
    <x v="64"/>
    <x v="1"/>
    <x v="2"/>
    <x v="1"/>
    <n v="14.08"/>
    <n v="13.78"/>
    <n v="13.48"/>
    <n v="13.18"/>
    <n v="12.88"/>
    <n v="12.58"/>
    <m/>
    <x v="2"/>
    <n v="1"/>
    <n v="3"/>
    <m/>
    <m/>
    <m/>
    <m/>
    <m/>
    <m/>
    <m/>
    <m/>
    <m/>
    <m/>
    <m/>
    <m/>
    <m/>
    <m/>
  </r>
  <r>
    <n v="614"/>
    <n v="26166"/>
    <d v="2000-11-11T00:00:00"/>
    <n v="25"/>
    <x v="1"/>
    <x v="1"/>
    <d v="2019-04-21T00:00:00"/>
    <n v="6.4794520547945202"/>
    <x v="89"/>
    <x v="1"/>
    <x v="1"/>
    <x v="1"/>
    <n v="15.97"/>
    <n v="15.67"/>
    <n v="15.37"/>
    <n v="15.07"/>
    <n v="14.77"/>
    <n v="14.47"/>
    <m/>
    <x v="4"/>
    <n v="0"/>
    <n v="6"/>
    <m/>
    <m/>
    <m/>
    <m/>
    <m/>
    <m/>
    <m/>
    <m/>
    <m/>
    <m/>
    <m/>
    <m/>
    <m/>
    <m/>
  </r>
  <r>
    <n v="615"/>
    <n v="26203"/>
    <d v="1990-12-17T00:00:00"/>
    <n v="35"/>
    <x v="1"/>
    <x v="0"/>
    <d v="2019-07-11T00:00:00"/>
    <n v="5.8794520547945206"/>
    <x v="124"/>
    <x v="0"/>
    <x v="1"/>
    <x v="1"/>
    <n v="15.97"/>
    <n v="15.67"/>
    <n v="15.37"/>
    <n v="15.07"/>
    <n v="14.77"/>
    <n v="14.47"/>
    <m/>
    <x v="2"/>
    <n v="2"/>
    <n v="4"/>
    <m/>
    <m/>
    <m/>
    <m/>
    <m/>
    <m/>
    <m/>
    <m/>
    <m/>
    <m/>
    <m/>
    <m/>
    <m/>
    <m/>
  </r>
  <r>
    <n v="616"/>
    <n v="26262"/>
    <d v="1996-03-08T00:00:00"/>
    <n v="29"/>
    <x v="0"/>
    <x v="0"/>
    <d v="2020-02-15T00:00:00"/>
    <n v="6.1342465753424653"/>
    <x v="34"/>
    <x v="0"/>
    <x v="10"/>
    <x v="1"/>
    <n v="10.41"/>
    <n v="10.210000000000001"/>
    <n v="10.01"/>
    <n v="9.81"/>
    <n v="9.61"/>
    <m/>
    <m/>
    <x v="3"/>
    <n v="1"/>
    <n v="4"/>
    <m/>
    <m/>
    <m/>
    <m/>
    <m/>
    <m/>
    <m/>
    <m/>
    <m/>
    <m/>
    <m/>
    <m/>
    <m/>
    <m/>
  </r>
  <r>
    <n v="617"/>
    <n v="26285"/>
    <d v="2000-12-27T00:00:00"/>
    <n v="25"/>
    <x v="0"/>
    <x v="1"/>
    <d v="2019-11-14T00:00:00"/>
    <n v="6.0356164383561648"/>
    <x v="55"/>
    <x v="0"/>
    <x v="2"/>
    <x v="1"/>
    <n v="14.08"/>
    <n v="13.78"/>
    <n v="13.48"/>
    <n v="13.18"/>
    <n v="12.88"/>
    <n v="12.58"/>
    <m/>
    <x v="2"/>
    <n v="0"/>
    <n v="3"/>
    <m/>
    <m/>
    <m/>
    <m/>
    <m/>
    <m/>
    <m/>
    <m/>
    <m/>
    <m/>
    <m/>
    <m/>
    <m/>
    <m/>
  </r>
  <r>
    <n v="618"/>
    <n v="26333"/>
    <d v="1996-03-03T00:00:00"/>
    <n v="29"/>
    <x v="1"/>
    <x v="1"/>
    <d v="2019-12-20T00:00:00"/>
    <n v="6.4493150684931511"/>
    <x v="48"/>
    <x v="1"/>
    <x v="1"/>
    <x v="1"/>
    <n v="15.97"/>
    <n v="15.67"/>
    <n v="15.37"/>
    <n v="15.07"/>
    <n v="14.77"/>
    <n v="14.47"/>
    <m/>
    <x v="4"/>
    <n v="1"/>
    <n v="5"/>
    <m/>
    <m/>
    <m/>
    <m/>
    <m/>
    <m/>
    <m/>
    <m/>
    <m/>
    <m/>
    <m/>
    <m/>
    <m/>
    <m/>
  </r>
  <r>
    <n v="619"/>
    <n v="26367"/>
    <d v="1996-07-29T00:00:00"/>
    <n v="29"/>
    <x v="0"/>
    <x v="1"/>
    <d v="2019-07-22T00:00:00"/>
    <n v="6.6876712328767125"/>
    <x v="91"/>
    <x v="1"/>
    <x v="1"/>
    <x v="1"/>
    <n v="15.97"/>
    <n v="15.67"/>
    <n v="15.37"/>
    <n v="15.07"/>
    <n v="14.77"/>
    <n v="14.47"/>
    <m/>
    <x v="2"/>
    <n v="2"/>
    <n v="4"/>
    <m/>
    <m/>
    <m/>
    <m/>
    <m/>
    <m/>
    <m/>
    <m/>
    <m/>
    <m/>
    <m/>
    <m/>
    <m/>
    <m/>
  </r>
  <r>
    <n v="620"/>
    <n v="26378"/>
    <d v="1997-06-19T00:00:00"/>
    <n v="28"/>
    <x v="0"/>
    <x v="0"/>
    <d v="2019-04-26T00:00:00"/>
    <n v="6.8273972602739725"/>
    <x v="119"/>
    <x v="1"/>
    <x v="6"/>
    <x v="1"/>
    <n v="22.55"/>
    <n v="22.35"/>
    <n v="22.12"/>
    <n v="21.86"/>
    <n v="21.41"/>
    <n v="21.02"/>
    <m/>
    <x v="3"/>
    <n v="5"/>
    <n v="6"/>
    <m/>
    <m/>
    <m/>
    <m/>
    <m/>
    <m/>
    <m/>
    <m/>
    <m/>
    <m/>
    <m/>
    <m/>
    <m/>
    <m/>
  </r>
  <r>
    <n v="621"/>
    <n v="26381"/>
    <d v="1996-06-01T00:00:00"/>
    <n v="30"/>
    <x v="0"/>
    <x v="1"/>
    <d v="2019-03-06T00:00:00"/>
    <n v="6.7917808219178086"/>
    <x v="64"/>
    <x v="1"/>
    <x v="7"/>
    <x v="1"/>
    <n v="17.05"/>
    <n v="16.75"/>
    <n v="16.45"/>
    <n v="16.149999999999999"/>
    <n v="15.85"/>
    <n v="15.55"/>
    <m/>
    <x v="3"/>
    <n v="1"/>
    <n v="4"/>
    <m/>
    <m/>
    <m/>
    <m/>
    <m/>
    <m/>
    <m/>
    <m/>
    <m/>
    <m/>
    <m/>
    <m/>
    <m/>
    <m/>
  </r>
  <r>
    <n v="622"/>
    <n v="26401"/>
    <d v="1991-05-24T00:00:00"/>
    <n v="34"/>
    <x v="1"/>
    <x v="1"/>
    <d v="2019-03-19T00:00:00"/>
    <n v="6.7369863013698632"/>
    <x v="122"/>
    <x v="1"/>
    <x v="8"/>
    <x v="1"/>
    <n v="8.41"/>
    <n v="8.15"/>
    <n v="8.15"/>
    <n v="8"/>
    <n v="7.75"/>
    <n v="7.49"/>
    <m/>
    <x v="2"/>
    <n v="1"/>
    <n v="5"/>
    <m/>
    <m/>
    <m/>
    <m/>
    <m/>
    <m/>
    <m/>
    <m/>
    <m/>
    <m/>
    <m/>
    <m/>
    <m/>
    <m/>
  </r>
  <r>
    <n v="623"/>
    <n v="26419"/>
    <d v="1996-01-28T00:00:00"/>
    <n v="29"/>
    <x v="1"/>
    <x v="1"/>
    <d v="2019-04-08T00:00:00"/>
    <n v="5.9643835616438352"/>
    <x v="100"/>
    <x v="1"/>
    <x v="1"/>
    <x v="1"/>
    <n v="15.97"/>
    <n v="15.67"/>
    <n v="15.37"/>
    <n v="15.07"/>
    <n v="14.77"/>
    <n v="14.47"/>
    <m/>
    <x v="1"/>
    <n v="0"/>
    <n v="5"/>
    <m/>
    <m/>
    <m/>
    <m/>
    <m/>
    <m/>
    <m/>
    <m/>
    <m/>
    <m/>
    <m/>
    <m/>
    <m/>
    <m/>
  </r>
  <r>
    <n v="624"/>
    <n v="26445"/>
    <d v="1999-10-23T00:00:00"/>
    <n v="26"/>
    <x v="0"/>
    <x v="0"/>
    <d v="2020-01-15T00:00:00"/>
    <n v="6.3315068493150681"/>
    <x v="103"/>
    <x v="1"/>
    <x v="9"/>
    <x v="1"/>
    <n v="13.94"/>
    <n v="13.64"/>
    <n v="13.34"/>
    <n v="13.04"/>
    <n v="12.74"/>
    <m/>
    <m/>
    <x v="2"/>
    <n v="1"/>
    <n v="4"/>
    <m/>
    <m/>
    <m/>
    <m/>
    <m/>
    <m/>
    <m/>
    <m/>
    <m/>
    <m/>
    <m/>
    <m/>
    <m/>
    <m/>
  </r>
  <r>
    <n v="625"/>
    <n v="26447"/>
    <d v="1997-06-16T00:00:00"/>
    <n v="28"/>
    <x v="0"/>
    <x v="1"/>
    <d v="2019-09-03T00:00:00"/>
    <n v="5.9287671232876713"/>
    <x v="2"/>
    <x v="0"/>
    <x v="9"/>
    <x v="1"/>
    <n v="13.94"/>
    <n v="13.64"/>
    <n v="13.34"/>
    <n v="13.04"/>
    <n v="12.74"/>
    <n v="12.44"/>
    <m/>
    <x v="2"/>
    <n v="0"/>
    <n v="5"/>
    <m/>
    <m/>
    <m/>
    <m/>
    <m/>
    <m/>
    <m/>
    <m/>
    <m/>
    <m/>
    <m/>
    <m/>
    <m/>
    <m/>
  </r>
  <r>
    <n v="626"/>
    <n v="26461"/>
    <d v="1987-01-01T00:00:00"/>
    <n v="39"/>
    <x v="0"/>
    <x v="1"/>
    <d v="2020-01-28T00:00:00"/>
    <n v="6.2356164383561641"/>
    <x v="7"/>
    <x v="0"/>
    <x v="2"/>
    <x v="1"/>
    <n v="14.08"/>
    <n v="13.78"/>
    <n v="13.48"/>
    <n v="13.18"/>
    <n v="12.88"/>
    <m/>
    <m/>
    <x v="2"/>
    <n v="0"/>
    <n v="4"/>
    <m/>
    <m/>
    <m/>
    <m/>
    <m/>
    <m/>
    <m/>
    <m/>
    <m/>
    <m/>
    <m/>
    <m/>
    <m/>
    <m/>
  </r>
  <r>
    <n v="627"/>
    <n v="26524"/>
    <d v="1998-07-04T00:00:00"/>
    <n v="27"/>
    <x v="0"/>
    <x v="0"/>
    <d v="2019-10-08T00:00:00"/>
    <n v="5.8493150684931505"/>
    <x v="21"/>
    <x v="0"/>
    <x v="2"/>
    <x v="1"/>
    <n v="14.08"/>
    <n v="13.78"/>
    <n v="13.48"/>
    <n v="13.18"/>
    <n v="12.88"/>
    <n v="12.58"/>
    <m/>
    <x v="2"/>
    <n v="1"/>
    <n v="3"/>
    <m/>
    <m/>
    <m/>
    <m/>
    <m/>
    <m/>
    <m/>
    <m/>
    <m/>
    <m/>
    <m/>
    <m/>
    <m/>
    <m/>
  </r>
  <r>
    <n v="628"/>
    <n v="26585"/>
    <d v="1994-03-28T00:00:00"/>
    <n v="31"/>
    <x v="0"/>
    <x v="1"/>
    <d v="2020-02-26T00:00:00"/>
    <n v="6.7808219178082192"/>
    <x v="31"/>
    <x v="0"/>
    <x v="7"/>
    <x v="1"/>
    <n v="17.05"/>
    <n v="16.75"/>
    <n v="16.45"/>
    <n v="16.149999999999999"/>
    <n v="15.85"/>
    <m/>
    <m/>
    <x v="2"/>
    <n v="2"/>
    <n v="3"/>
    <m/>
    <m/>
    <m/>
    <m/>
    <m/>
    <m/>
    <m/>
    <m/>
    <m/>
    <m/>
    <m/>
    <m/>
    <m/>
    <m/>
  </r>
  <r>
    <n v="629"/>
    <n v="26592"/>
    <d v="1987-11-08T00:00:00"/>
    <n v="38"/>
    <x v="0"/>
    <x v="1"/>
    <d v="2019-03-23T00:00:00"/>
    <n v="6.7808219178082192"/>
    <x v="32"/>
    <x v="0"/>
    <x v="8"/>
    <x v="1"/>
    <n v="8.59"/>
    <n v="8.3699999999999992"/>
    <n v="8.1300000000000008"/>
    <n v="7.87"/>
    <n v="7.65"/>
    <n v="7.49"/>
    <m/>
    <x v="4"/>
    <n v="2"/>
    <n v="4"/>
    <m/>
    <m/>
    <m/>
    <m/>
    <m/>
    <m/>
    <m/>
    <m/>
    <m/>
    <m/>
    <m/>
    <m/>
    <m/>
    <m/>
  </r>
  <r>
    <n v="630"/>
    <n v="26607"/>
    <d v="1994-11-29T00:00:00"/>
    <n v="31"/>
    <x v="0"/>
    <x v="1"/>
    <d v="2019-03-23T00:00:00"/>
    <n v="6.0547945205479454"/>
    <x v="50"/>
    <x v="0"/>
    <x v="6"/>
    <x v="1"/>
    <n v="21.77"/>
    <n v="21.62"/>
    <n v="21.47"/>
    <n v="21.32"/>
    <n v="21.17"/>
    <n v="21.02"/>
    <m/>
    <x v="4"/>
    <n v="4"/>
    <n v="5"/>
    <m/>
    <m/>
    <m/>
    <m/>
    <m/>
    <m/>
    <m/>
    <m/>
    <m/>
    <m/>
    <m/>
    <m/>
    <m/>
    <m/>
  </r>
  <r>
    <n v="631"/>
    <n v="26681"/>
    <d v="1995-08-29T00:00:00"/>
    <n v="30"/>
    <x v="1"/>
    <x v="1"/>
    <d v="2019-12-13T00:00:00"/>
    <n v="6.2191780821917808"/>
    <x v="38"/>
    <x v="0"/>
    <x v="7"/>
    <x v="1"/>
    <n v="17.05"/>
    <n v="16.75"/>
    <n v="16.45"/>
    <n v="16.149999999999999"/>
    <n v="15.85"/>
    <n v="15.55"/>
    <m/>
    <x v="3"/>
    <n v="2"/>
    <n v="7"/>
    <m/>
    <m/>
    <m/>
    <m/>
    <m/>
    <m/>
    <m/>
    <m/>
    <m/>
    <m/>
    <m/>
    <m/>
    <m/>
    <m/>
  </r>
  <r>
    <n v="632"/>
    <n v="26744"/>
    <d v="1990-03-25T00:00:00"/>
    <n v="35"/>
    <x v="0"/>
    <x v="1"/>
    <d v="2019-10-14T00:00:00"/>
    <n v="6.5835616438356164"/>
    <x v="51"/>
    <x v="1"/>
    <x v="6"/>
    <x v="1"/>
    <n v="22.52"/>
    <n v="22.22"/>
    <n v="21.92"/>
    <n v="21.62"/>
    <n v="21.32"/>
    <n v="21.02"/>
    <m/>
    <x v="3"/>
    <n v="7"/>
    <n v="7"/>
    <m/>
    <m/>
    <m/>
    <m/>
    <m/>
    <m/>
    <m/>
    <m/>
    <m/>
    <m/>
    <m/>
    <m/>
    <m/>
    <m/>
  </r>
  <r>
    <n v="633"/>
    <n v="26829"/>
    <d v="1997-04-18T00:00:00"/>
    <n v="28"/>
    <x v="1"/>
    <x v="1"/>
    <d v="2019-06-03T00:00:00"/>
    <n v="6.1780821917808222"/>
    <x v="76"/>
    <x v="1"/>
    <x v="2"/>
    <x v="1"/>
    <n v="14.08"/>
    <n v="13.78"/>
    <n v="13.48"/>
    <n v="13.18"/>
    <n v="12.88"/>
    <n v="12.58"/>
    <m/>
    <x v="4"/>
    <n v="0"/>
    <n v="5"/>
    <m/>
    <m/>
    <m/>
    <m/>
    <m/>
    <m/>
    <m/>
    <m/>
    <m/>
    <m/>
    <m/>
    <m/>
    <m/>
    <m/>
  </r>
  <r>
    <n v="634"/>
    <n v="26844"/>
    <d v="1998-02-06T00:00:00"/>
    <n v="27"/>
    <x v="1"/>
    <x v="1"/>
    <d v="2019-10-29T00:00:00"/>
    <n v="6.6383561643835618"/>
    <x v="134"/>
    <x v="1"/>
    <x v="1"/>
    <x v="1"/>
    <n v="14.92"/>
    <n v="14.92"/>
    <n v="14.77"/>
    <n v="14.77"/>
    <n v="14.62"/>
    <n v="14.47"/>
    <m/>
    <x v="2"/>
    <n v="2"/>
    <n v="5"/>
    <m/>
    <m/>
    <m/>
    <m/>
    <m/>
    <m/>
    <m/>
    <m/>
    <m/>
    <m/>
    <m/>
    <m/>
    <m/>
    <m/>
  </r>
  <r>
    <n v="635"/>
    <n v="26877"/>
    <d v="1999-09-06T00:00:00"/>
    <n v="26"/>
    <x v="0"/>
    <x v="1"/>
    <d v="2019-05-14T00:00:00"/>
    <n v="6.0082191780821921"/>
    <x v="112"/>
    <x v="1"/>
    <x v="1"/>
    <x v="1"/>
    <n v="15.97"/>
    <n v="15.67"/>
    <n v="15.37"/>
    <n v="15.07"/>
    <n v="14.77"/>
    <n v="14.47"/>
    <m/>
    <x v="2"/>
    <n v="0"/>
    <n v="5"/>
    <m/>
    <m/>
    <m/>
    <m/>
    <m/>
    <m/>
    <m/>
    <m/>
    <m/>
    <m/>
    <m/>
    <m/>
    <m/>
    <m/>
  </r>
  <r>
    <n v="636"/>
    <n v="26892"/>
    <d v="1990-09-27T00:00:00"/>
    <n v="35"/>
    <x v="0"/>
    <x v="1"/>
    <d v="2019-12-30T00:00:00"/>
    <n v="6.3369863013698629"/>
    <x v="103"/>
    <x v="1"/>
    <x v="7"/>
    <x v="1"/>
    <n v="17.05"/>
    <n v="16.75"/>
    <n v="16.45"/>
    <n v="16.149999999999999"/>
    <n v="15.85"/>
    <n v="15.55"/>
    <m/>
    <x v="4"/>
    <n v="4"/>
    <n v="5"/>
    <m/>
    <m/>
    <m/>
    <m/>
    <m/>
    <m/>
    <m/>
    <m/>
    <m/>
    <m/>
    <m/>
    <m/>
    <m/>
    <m/>
  </r>
  <r>
    <n v="637"/>
    <n v="26915"/>
    <d v="1990-04-15T00:00:00"/>
    <n v="35"/>
    <x v="1"/>
    <x v="1"/>
    <d v="2019-09-01T00:00:00"/>
    <n v="6.2219178082191782"/>
    <x v="2"/>
    <x v="0"/>
    <x v="11"/>
    <x v="1"/>
    <n v="16.02"/>
    <n v="15.82"/>
    <n v="15.62"/>
    <n v="15.42"/>
    <n v="15.22"/>
    <n v="15.02"/>
    <m/>
    <x v="2"/>
    <n v="4"/>
    <n v="7"/>
    <m/>
    <m/>
    <m/>
    <m/>
    <m/>
    <m/>
    <m/>
    <m/>
    <m/>
    <m/>
    <m/>
    <m/>
    <m/>
    <m/>
  </r>
  <r>
    <n v="638"/>
    <n v="26952"/>
    <d v="1999-04-03T00:00:00"/>
    <n v="26"/>
    <x v="0"/>
    <x v="0"/>
    <d v="2019-10-13T00:00:00"/>
    <n v="6.7808219178082192"/>
    <x v="3"/>
    <x v="0"/>
    <x v="6"/>
    <x v="1"/>
    <n v="22.52"/>
    <n v="22.22"/>
    <n v="21.92"/>
    <n v="21.62"/>
    <n v="21.32"/>
    <n v="21.02"/>
    <m/>
    <x v="4"/>
    <n v="4"/>
    <n v="4"/>
    <m/>
    <m/>
    <m/>
    <m/>
    <m/>
    <m/>
    <m/>
    <m/>
    <m/>
    <m/>
    <m/>
    <m/>
    <m/>
    <m/>
  </r>
  <r>
    <n v="639"/>
    <n v="26956"/>
    <d v="1997-04-08T00:00:00"/>
    <n v="28"/>
    <x v="1"/>
    <x v="1"/>
    <d v="2019-03-23T00:00:00"/>
    <n v="6.3863013698630136"/>
    <x v="3"/>
    <x v="0"/>
    <x v="8"/>
    <x v="1"/>
    <n v="8.49"/>
    <n v="8.2899999999999991"/>
    <n v="8.09"/>
    <n v="7.89"/>
    <n v="7.69"/>
    <n v="7.49"/>
    <m/>
    <x v="2"/>
    <n v="1"/>
    <n v="6"/>
    <m/>
    <m/>
    <m/>
    <m/>
    <m/>
    <m/>
    <m/>
    <m/>
    <m/>
    <m/>
    <m/>
    <m/>
    <m/>
    <m/>
  </r>
  <r>
    <n v="640"/>
    <n v="26979"/>
    <d v="1989-11-09T00:00:00"/>
    <n v="36"/>
    <x v="1"/>
    <x v="0"/>
    <d v="2019-08-14T00:00:00"/>
    <n v="6.493150684931507"/>
    <x v="4"/>
    <x v="0"/>
    <x v="7"/>
    <x v="1"/>
    <n v="17.05"/>
    <n v="16.75"/>
    <n v="16.45"/>
    <n v="16.149999999999999"/>
    <n v="15.85"/>
    <n v="15.55"/>
    <m/>
    <x v="2"/>
    <n v="4"/>
    <n v="6"/>
    <m/>
    <m/>
    <m/>
    <m/>
    <m/>
    <m/>
    <m/>
    <m/>
    <m/>
    <m/>
    <m/>
    <m/>
    <m/>
    <m/>
  </r>
  <r>
    <n v="641"/>
    <n v="27108"/>
    <d v="1995-11-19T00:00:00"/>
    <n v="30"/>
    <x v="0"/>
    <x v="1"/>
    <d v="2019-07-06T00:00:00"/>
    <n v="6.2410958904109588"/>
    <x v="124"/>
    <x v="0"/>
    <x v="10"/>
    <x v="1"/>
    <n v="10.41"/>
    <n v="10.210000000000001"/>
    <n v="10.01"/>
    <n v="9.81"/>
    <n v="9.61"/>
    <n v="9.41"/>
    <m/>
    <x v="3"/>
    <n v="1"/>
    <n v="4"/>
    <m/>
    <m/>
    <m/>
    <m/>
    <m/>
    <m/>
    <m/>
    <m/>
    <m/>
    <m/>
    <m/>
    <m/>
    <m/>
    <m/>
  </r>
  <r>
    <n v="642"/>
    <n v="27134"/>
    <d v="1998-10-18T00:00:00"/>
    <n v="27"/>
    <x v="1"/>
    <x v="0"/>
    <d v="2019-10-06T00:00:00"/>
    <n v="5.8794520547945206"/>
    <x v="11"/>
    <x v="0"/>
    <x v="10"/>
    <x v="1"/>
    <n v="10.41"/>
    <n v="10.210000000000001"/>
    <n v="10.01"/>
    <n v="9.81"/>
    <n v="9.61"/>
    <n v="9.41"/>
    <m/>
    <x v="2"/>
    <n v="1"/>
    <n v="5"/>
    <m/>
    <m/>
    <m/>
    <m/>
    <m/>
    <m/>
    <m/>
    <m/>
    <m/>
    <m/>
    <m/>
    <m/>
    <m/>
    <m/>
  </r>
  <r>
    <n v="643"/>
    <n v="27256"/>
    <d v="1995-04-02T00:00:00"/>
    <n v="30"/>
    <x v="0"/>
    <x v="1"/>
    <d v="2020-02-15T00:00:00"/>
    <n v="5.9205479452054792"/>
    <x v="13"/>
    <x v="0"/>
    <x v="10"/>
    <x v="1"/>
    <n v="10.41"/>
    <n v="10.210000000000001"/>
    <n v="10.01"/>
    <n v="9.81"/>
    <n v="9.61"/>
    <m/>
    <m/>
    <x v="2"/>
    <n v="0"/>
    <n v="4"/>
    <m/>
    <m/>
    <m/>
    <m/>
    <m/>
    <m/>
    <m/>
    <m/>
    <m/>
    <m/>
    <m/>
    <m/>
    <m/>
    <m/>
  </r>
  <r>
    <n v="644"/>
    <n v="27327"/>
    <d v="1998-02-08T00:00:00"/>
    <n v="27"/>
    <x v="1"/>
    <x v="1"/>
    <d v="2020-01-31T00:00:00"/>
    <n v="5.9863013698630141"/>
    <x v="15"/>
    <x v="0"/>
    <x v="7"/>
    <x v="1"/>
    <n v="17.05"/>
    <n v="16.75"/>
    <n v="16.45"/>
    <n v="16.149999999999999"/>
    <n v="15.85"/>
    <m/>
    <m/>
    <x v="2"/>
    <n v="2"/>
    <n v="4"/>
    <m/>
    <m/>
    <m/>
    <m/>
    <m/>
    <m/>
    <m/>
    <m/>
    <m/>
    <m/>
    <m/>
    <m/>
    <m/>
    <m/>
  </r>
  <r>
    <n v="645"/>
    <n v="27358"/>
    <d v="1995-12-23T00:00:00"/>
    <n v="30"/>
    <x v="0"/>
    <x v="1"/>
    <d v="2020-01-07T00:00:00"/>
    <n v="6.0410958904109586"/>
    <x v="17"/>
    <x v="0"/>
    <x v="6"/>
    <x v="1"/>
    <n v="22.52"/>
    <n v="22.22"/>
    <n v="21.92"/>
    <n v="21.62"/>
    <n v="21.32"/>
    <m/>
    <m/>
    <x v="2"/>
    <n v="3"/>
    <n v="5"/>
    <m/>
    <m/>
    <m/>
    <m/>
    <m/>
    <m/>
    <m/>
    <m/>
    <m/>
    <m/>
    <m/>
    <m/>
    <m/>
    <m/>
  </r>
  <r>
    <n v="646"/>
    <n v="27420"/>
    <d v="1999-07-26T00:00:00"/>
    <n v="26"/>
    <x v="1"/>
    <x v="0"/>
    <d v="2019-12-18T00:00:00"/>
    <n v="5.9397260273972599"/>
    <x v="18"/>
    <x v="0"/>
    <x v="8"/>
    <x v="1"/>
    <n v="8.6199999999999992"/>
    <n v="8.48"/>
    <n v="8.3000000000000007"/>
    <n v="8.02"/>
    <n v="7.76"/>
    <n v="7.49"/>
    <m/>
    <x v="3"/>
    <n v="4"/>
    <n v="6"/>
    <m/>
    <m/>
    <m/>
    <m/>
    <m/>
    <m/>
    <m/>
    <m/>
    <m/>
    <m/>
    <m/>
    <m/>
    <m/>
    <m/>
  </r>
  <r>
    <n v="647"/>
    <n v="27456"/>
    <d v="1996-03-07T00:00:00"/>
    <n v="29"/>
    <x v="0"/>
    <x v="0"/>
    <d v="2020-01-24T00:00:00"/>
    <n v="6.6191780821917812"/>
    <x v="19"/>
    <x v="0"/>
    <x v="1"/>
    <x v="1"/>
    <n v="15.97"/>
    <n v="15.67"/>
    <n v="15.37"/>
    <n v="15.07"/>
    <n v="14.77"/>
    <m/>
    <m/>
    <x v="3"/>
    <n v="1"/>
    <n v="5"/>
    <m/>
    <m/>
    <m/>
    <m/>
    <m/>
    <m/>
    <m/>
    <m/>
    <m/>
    <m/>
    <m/>
    <m/>
    <m/>
    <m/>
  </r>
  <r>
    <n v="648"/>
    <n v="27458"/>
    <d v="1994-06-11T00:00:00"/>
    <n v="31"/>
    <x v="0"/>
    <x v="1"/>
    <d v="2019-05-21T00:00:00"/>
    <n v="6.2904109589041095"/>
    <x v="19"/>
    <x v="0"/>
    <x v="2"/>
    <x v="1"/>
    <n v="14.08"/>
    <n v="13.78"/>
    <n v="13.48"/>
    <n v="13.18"/>
    <n v="12.88"/>
    <n v="12.58"/>
    <m/>
    <x v="4"/>
    <n v="1"/>
    <n v="4"/>
    <m/>
    <m/>
    <m/>
    <m/>
    <m/>
    <m/>
    <m/>
    <m/>
    <m/>
    <m/>
    <m/>
    <m/>
    <m/>
    <m/>
  </r>
  <r>
    <n v="649"/>
    <n v="27486"/>
    <d v="1996-07-21T00:00:00"/>
    <n v="29"/>
    <x v="0"/>
    <x v="1"/>
    <d v="2019-09-18T00:00:00"/>
    <n v="6.4493150684931511"/>
    <x v="20"/>
    <x v="0"/>
    <x v="10"/>
    <x v="1"/>
    <n v="9.81"/>
    <n v="9.7100000000000009"/>
    <n v="9.7100000000000009"/>
    <n v="9.61"/>
    <n v="9.51"/>
    <n v="9.41"/>
    <m/>
    <x v="4"/>
    <n v="1"/>
    <n v="4"/>
    <m/>
    <m/>
    <m/>
    <m/>
    <m/>
    <m/>
    <m/>
    <m/>
    <m/>
    <m/>
    <m/>
    <m/>
    <m/>
    <m/>
  </r>
  <r>
    <n v="650"/>
    <n v="27551"/>
    <d v="1996-05-31T00:00:00"/>
    <n v="29"/>
    <x v="0"/>
    <x v="1"/>
    <d v="2019-07-22T00:00:00"/>
    <n v="6.6410958904109592"/>
    <x v="21"/>
    <x v="0"/>
    <x v="10"/>
    <x v="1"/>
    <n v="10.41"/>
    <n v="10.210000000000001"/>
    <n v="10.01"/>
    <n v="9.81"/>
    <n v="9.61"/>
    <n v="9.41"/>
    <m/>
    <x v="1"/>
    <n v="1"/>
    <n v="4"/>
    <m/>
    <m/>
    <m/>
    <m/>
    <m/>
    <m/>
    <m/>
    <m/>
    <m/>
    <m/>
    <m/>
    <m/>
    <m/>
    <m/>
  </r>
  <r>
    <n v="651"/>
    <n v="27731"/>
    <d v="1999-11-25T00:00:00"/>
    <n v="26"/>
    <x v="1"/>
    <x v="1"/>
    <d v="2019-05-13T00:00:00"/>
    <n v="6.5643835616438357"/>
    <x v="52"/>
    <x v="0"/>
    <x v="1"/>
    <x v="1"/>
    <n v="14.92"/>
    <n v="14.77"/>
    <n v="14.62"/>
    <n v="14.62"/>
    <n v="14.47"/>
    <n v="14.47"/>
    <m/>
    <x v="2"/>
    <n v="1"/>
    <n v="6"/>
    <m/>
    <m/>
    <m/>
    <m/>
    <m/>
    <m/>
    <m/>
    <m/>
    <m/>
    <m/>
    <m/>
    <m/>
    <m/>
    <m/>
  </r>
  <r>
    <n v="652"/>
    <n v="27925"/>
    <d v="1998-11-25T00:00:00"/>
    <n v="27"/>
    <x v="1"/>
    <x v="1"/>
    <d v="2019-06-10T00:00:00"/>
    <n v="6.6849315068493151"/>
    <x v="47"/>
    <x v="0"/>
    <x v="9"/>
    <x v="1"/>
    <n v="13.94"/>
    <n v="13.64"/>
    <n v="13.34"/>
    <n v="13.04"/>
    <n v="12.74"/>
    <n v="12.44"/>
    <m/>
    <x v="3"/>
    <n v="1"/>
    <n v="6"/>
    <m/>
    <m/>
    <m/>
    <m/>
    <m/>
    <m/>
    <m/>
    <m/>
    <m/>
    <m/>
    <m/>
    <m/>
    <m/>
    <m/>
  </r>
  <r>
    <n v="653"/>
    <n v="27974"/>
    <d v="1982-09-26T00:00:00"/>
    <n v="43"/>
    <x v="1"/>
    <x v="1"/>
    <d v="2019-04-27T00:00:00"/>
    <n v="6.4602739726027396"/>
    <x v="31"/>
    <x v="0"/>
    <x v="6"/>
    <x v="1"/>
    <n v="22.52"/>
    <n v="22.22"/>
    <n v="21.92"/>
    <n v="21.62"/>
    <n v="21.32"/>
    <n v="21.02"/>
    <m/>
    <x v="3"/>
    <n v="5"/>
    <n v="7"/>
    <m/>
    <m/>
    <m/>
    <m/>
    <m/>
    <m/>
    <m/>
    <m/>
    <m/>
    <m/>
    <m/>
    <m/>
    <m/>
    <m/>
  </r>
  <r>
    <n v="654"/>
    <n v="28000"/>
    <d v="1996-11-02T00:00:00"/>
    <n v="29"/>
    <x v="1"/>
    <x v="1"/>
    <d v="2019-07-18T00:00:00"/>
    <n v="6.0904109589041093"/>
    <x v="32"/>
    <x v="0"/>
    <x v="7"/>
    <x v="1"/>
    <n v="16.600000000000001"/>
    <n v="16.45"/>
    <n v="16.11"/>
    <n v="15.9"/>
    <n v="15.9"/>
    <n v="15.55"/>
    <m/>
    <x v="2"/>
    <n v="4"/>
    <n v="7"/>
    <m/>
    <m/>
    <m/>
    <m/>
    <m/>
    <m/>
    <m/>
    <m/>
    <m/>
    <m/>
    <m/>
    <m/>
    <m/>
    <m/>
  </r>
  <r>
    <n v="655"/>
    <n v="28279"/>
    <d v="1998-12-15T00:00:00"/>
    <n v="27"/>
    <x v="0"/>
    <x v="1"/>
    <d v="2019-11-30T00:00:00"/>
    <n v="6.1123287671232873"/>
    <x v="102"/>
    <x v="0"/>
    <x v="10"/>
    <x v="1"/>
    <n v="10.09"/>
    <n v="10.09"/>
    <n v="9.9499999999999993"/>
    <n v="9.67"/>
    <n v="9.67"/>
    <n v="9.41"/>
    <m/>
    <x v="2"/>
    <n v="1"/>
    <n v="5"/>
    <m/>
    <m/>
    <m/>
    <m/>
    <m/>
    <m/>
    <m/>
    <m/>
    <m/>
    <m/>
    <m/>
    <m/>
    <m/>
    <m/>
  </r>
  <r>
    <n v="656"/>
    <n v="28823"/>
    <d v="1998-07-25T00:00:00"/>
    <n v="27"/>
    <x v="0"/>
    <x v="1"/>
    <d v="2019-11-22T00:00:00"/>
    <n v="6.0027397260273974"/>
    <x v="40"/>
    <x v="1"/>
    <x v="10"/>
    <x v="1"/>
    <n v="10.37"/>
    <n v="10.15"/>
    <n v="10.15"/>
    <n v="9.99"/>
    <n v="9.7100000000000009"/>
    <n v="9.41"/>
    <m/>
    <x v="2"/>
    <n v="1"/>
    <n v="4"/>
    <m/>
    <m/>
    <m/>
    <m/>
    <m/>
    <m/>
    <m/>
    <m/>
    <m/>
    <m/>
    <m/>
    <m/>
    <m/>
    <m/>
  </r>
  <r>
    <n v="657"/>
    <n v="29018"/>
    <d v="1999-03-22T00:00:00"/>
    <n v="26"/>
    <x v="0"/>
    <x v="0"/>
    <d v="2020-01-01T00:00:00"/>
    <n v="6.3369863013698629"/>
    <x v="6"/>
    <x v="1"/>
    <x v="1"/>
    <x v="1"/>
    <n v="15.97"/>
    <n v="15.67"/>
    <n v="15.37"/>
    <n v="15.07"/>
    <n v="14.77"/>
    <m/>
    <m/>
    <x v="3"/>
    <n v="0"/>
    <n v="3"/>
    <m/>
    <m/>
    <m/>
    <m/>
    <m/>
    <m/>
    <m/>
    <m/>
    <m/>
    <m/>
    <m/>
    <m/>
    <m/>
    <m/>
  </r>
  <r>
    <n v="658"/>
    <n v="29081"/>
    <d v="1998-05-20T00:00:00"/>
    <n v="27"/>
    <x v="1"/>
    <x v="1"/>
    <d v="2019-09-01T00:00:00"/>
    <n v="6.7123287671232879"/>
    <x v="9"/>
    <x v="1"/>
    <x v="8"/>
    <x v="1"/>
    <n v="8.49"/>
    <n v="8.2899999999999991"/>
    <n v="8.09"/>
    <n v="7.89"/>
    <n v="7.69"/>
    <n v="7.49"/>
    <m/>
    <x v="2"/>
    <n v="4"/>
    <n v="6"/>
    <m/>
    <m/>
    <m/>
    <m/>
    <m/>
    <m/>
    <m/>
    <m/>
    <m/>
    <m/>
    <m/>
    <m/>
    <m/>
    <m/>
  </r>
  <r>
    <n v="659"/>
    <n v="29097"/>
    <d v="1995-07-17T00:00:00"/>
    <n v="30"/>
    <x v="1"/>
    <x v="1"/>
    <d v="2019-04-17T00:00:00"/>
    <n v="5.9315068493150687"/>
    <x v="9"/>
    <x v="1"/>
    <x v="8"/>
    <x v="1"/>
    <n v="8.49"/>
    <n v="8.2899999999999991"/>
    <n v="8.09"/>
    <n v="7.89"/>
    <n v="7.69"/>
    <n v="7.49"/>
    <m/>
    <x v="2"/>
    <n v="2"/>
    <n v="6"/>
    <m/>
    <m/>
    <m/>
    <m/>
    <m/>
    <m/>
    <m/>
    <m/>
    <m/>
    <m/>
    <m/>
    <m/>
    <m/>
    <m/>
  </r>
  <r>
    <n v="660"/>
    <n v="29123"/>
    <d v="1993-12-13T00:00:00"/>
    <n v="32"/>
    <x v="0"/>
    <x v="1"/>
    <d v="2020-01-27T00:00:00"/>
    <n v="6.8630136986301373"/>
    <x v="29"/>
    <x v="1"/>
    <x v="7"/>
    <x v="1"/>
    <n v="17.05"/>
    <n v="16.75"/>
    <n v="16.45"/>
    <n v="16.149999999999999"/>
    <n v="15.85"/>
    <m/>
    <m/>
    <x v="3"/>
    <n v="2"/>
    <n v="5"/>
    <m/>
    <m/>
    <m/>
    <m/>
    <m/>
    <m/>
    <m/>
    <m/>
    <m/>
    <m/>
    <m/>
    <m/>
    <m/>
    <m/>
  </r>
  <r>
    <n v="661"/>
    <n v="29144"/>
    <d v="2000-04-09T00:00:00"/>
    <n v="25"/>
    <x v="1"/>
    <x v="1"/>
    <d v="2019-02-21T00:00:00"/>
    <n v="6.279452054794521"/>
    <x v="30"/>
    <x v="1"/>
    <x v="10"/>
    <x v="1"/>
    <n v="10.41"/>
    <n v="10.210000000000001"/>
    <n v="10.01"/>
    <n v="9.81"/>
    <n v="9.61"/>
    <n v="9.41"/>
    <m/>
    <x v="3"/>
    <n v="0"/>
    <n v="5"/>
    <m/>
    <m/>
    <m/>
    <m/>
    <m/>
    <m/>
    <m/>
    <m/>
    <m/>
    <m/>
    <m/>
    <m/>
    <m/>
    <m/>
  </r>
  <r>
    <n v="662"/>
    <n v="29296"/>
    <d v="2002-06-19T00:00:00"/>
    <n v="23"/>
    <x v="1"/>
    <x v="1"/>
    <d v="2019-09-22T00:00:00"/>
    <n v="5.9369863013698634"/>
    <x v="51"/>
    <x v="1"/>
    <x v="8"/>
    <x v="1"/>
    <n v="8.49"/>
    <n v="8.2899999999999991"/>
    <n v="8.09"/>
    <n v="7.89"/>
    <n v="7.69"/>
    <n v="7.49"/>
    <m/>
    <x v="2"/>
    <n v="3"/>
    <n v="6"/>
    <m/>
    <m/>
    <m/>
    <m/>
    <m/>
    <m/>
    <m/>
    <m/>
    <m/>
    <m/>
    <m/>
    <m/>
    <m/>
    <m/>
  </r>
  <r>
    <n v="663"/>
    <n v="29677"/>
    <d v="1998-06-18T00:00:00"/>
    <n v="27"/>
    <x v="1"/>
    <x v="0"/>
    <d v="2020-01-25T00:00:00"/>
    <n v="5.9589041095890414"/>
    <x v="66"/>
    <x v="1"/>
    <x v="1"/>
    <x v="1"/>
    <n v="15.97"/>
    <n v="15.67"/>
    <n v="15.37"/>
    <n v="15.07"/>
    <n v="14.77"/>
    <m/>
    <m/>
    <x v="2"/>
    <n v="2"/>
    <n v="7"/>
    <m/>
    <m/>
    <m/>
    <m/>
    <m/>
    <m/>
    <m/>
    <m/>
    <m/>
    <m/>
    <m/>
    <m/>
    <m/>
    <m/>
  </r>
  <r>
    <n v="664"/>
    <n v="29773"/>
    <d v="1989-11-09T00:00:00"/>
    <n v="36"/>
    <x v="1"/>
    <x v="0"/>
    <d v="2020-01-17T00:00:00"/>
    <n v="6.8246575342465752"/>
    <x v="70"/>
    <x v="1"/>
    <x v="1"/>
    <x v="1"/>
    <n v="15.97"/>
    <n v="15.67"/>
    <n v="15.37"/>
    <n v="15.07"/>
    <n v="14.77"/>
    <m/>
    <m/>
    <x v="2"/>
    <n v="1"/>
    <n v="4"/>
    <m/>
    <m/>
    <m/>
    <m/>
    <m/>
    <m/>
    <m/>
    <m/>
    <m/>
    <m/>
    <m/>
    <m/>
    <m/>
    <m/>
  </r>
  <r>
    <n v="665"/>
    <n v="29982"/>
    <d v="1996-08-18T00:00:00"/>
    <n v="29"/>
    <x v="0"/>
    <x v="1"/>
    <d v="2019-03-07T00:00:00"/>
    <n v="6.2082191780821914"/>
    <x v="79"/>
    <x v="1"/>
    <x v="11"/>
    <x v="1"/>
    <n v="16.02"/>
    <n v="15.82"/>
    <n v="15.62"/>
    <n v="15.42"/>
    <n v="15.22"/>
    <n v="15.02"/>
    <m/>
    <x v="3"/>
    <n v="4"/>
    <n v="5"/>
    <m/>
    <m/>
    <m/>
    <m/>
    <m/>
    <m/>
    <m/>
    <m/>
    <m/>
    <m/>
    <m/>
    <m/>
    <m/>
    <m/>
  </r>
  <r>
    <n v="666"/>
    <n v="30152"/>
    <d v="1987-12-04T00:00:00"/>
    <n v="38"/>
    <x v="0"/>
    <x v="1"/>
    <d v="2019-10-18T00:00:00"/>
    <n v="5.9205479452054792"/>
    <x v="81"/>
    <x v="1"/>
    <x v="2"/>
    <x v="1"/>
    <n v="14.08"/>
    <n v="13.78"/>
    <n v="13.48"/>
    <n v="13.18"/>
    <n v="12.88"/>
    <n v="12.58"/>
    <m/>
    <x v="3"/>
    <n v="0"/>
    <n v="4"/>
    <m/>
    <m/>
    <m/>
    <m/>
    <m/>
    <m/>
    <m/>
    <m/>
    <m/>
    <m/>
    <m/>
    <m/>
    <m/>
    <m/>
  </r>
  <r>
    <n v="667"/>
    <n v="30228"/>
    <d v="1978-10-15T00:00:00"/>
    <n v="47"/>
    <x v="0"/>
    <x v="1"/>
    <d v="2020-01-31T00:00:00"/>
    <n v="6.6821917808219178"/>
    <x v="94"/>
    <x v="1"/>
    <x v="6"/>
    <x v="1"/>
    <n v="22.52"/>
    <n v="22.22"/>
    <n v="21.92"/>
    <n v="21.62"/>
    <n v="21.32"/>
    <m/>
    <m/>
    <x v="3"/>
    <n v="7"/>
    <n v="6"/>
    <m/>
    <m/>
    <m/>
    <m/>
    <m/>
    <m/>
    <m/>
    <m/>
    <m/>
    <m/>
    <m/>
    <m/>
    <m/>
    <m/>
  </r>
  <r>
    <n v="668"/>
    <n v="30340"/>
    <d v="1997-10-21T00:00:00"/>
    <n v="28"/>
    <x v="0"/>
    <x v="1"/>
    <d v="2019-04-28T00:00:00"/>
    <n v="5.9232876712328766"/>
    <x v="86"/>
    <x v="1"/>
    <x v="10"/>
    <x v="1"/>
    <n v="10.41"/>
    <n v="10.210000000000001"/>
    <n v="10.01"/>
    <n v="9.81"/>
    <n v="9.61"/>
    <n v="9.41"/>
    <m/>
    <x v="2"/>
    <n v="0"/>
    <n v="4"/>
    <m/>
    <m/>
    <m/>
    <m/>
    <m/>
    <m/>
    <m/>
    <m/>
    <m/>
    <m/>
    <m/>
    <m/>
    <m/>
    <m/>
  </r>
  <r>
    <n v="669"/>
    <n v="30439"/>
    <d v="1999-03-03T00:00:00"/>
    <n v="26"/>
    <x v="1"/>
    <x v="1"/>
    <d v="2020-01-30T00:00:00"/>
    <n v="6.3726027397260276"/>
    <x v="92"/>
    <x v="1"/>
    <x v="10"/>
    <x v="1"/>
    <n v="10.19"/>
    <n v="9.89"/>
    <n v="9.89"/>
    <n v="9.7799999999999994"/>
    <n v="9.6300000000000008"/>
    <m/>
    <m/>
    <x v="2"/>
    <n v="1"/>
    <n v="7"/>
    <m/>
    <m/>
    <m/>
    <m/>
    <m/>
    <m/>
    <m/>
    <m/>
    <m/>
    <m/>
    <m/>
    <m/>
    <m/>
    <m/>
  </r>
  <r>
    <n v="670"/>
    <n v="30448"/>
    <d v="1999-11-28T00:00:00"/>
    <n v="26"/>
    <x v="1"/>
    <x v="1"/>
    <d v="2019-08-19T00:00:00"/>
    <n v="4.419178082191781"/>
    <x v="92"/>
    <x v="1"/>
    <x v="8"/>
    <x v="1"/>
    <n v="8.73"/>
    <n v="8.51"/>
    <n v="8.2899999999999991"/>
    <n v="8.0399999999999991"/>
    <n v="7.78"/>
    <n v="7.49"/>
    <m/>
    <x v="2"/>
    <n v="2"/>
    <n v="7"/>
    <m/>
    <m/>
    <m/>
    <m/>
    <m/>
    <m/>
    <m/>
    <m/>
    <m/>
    <m/>
    <m/>
    <m/>
    <m/>
    <m/>
  </r>
  <r>
    <n v="671"/>
    <n v="30545"/>
    <d v="1995-04-02T00:00:00"/>
    <n v="30"/>
    <x v="1"/>
    <x v="1"/>
    <d v="2021-08-01T00:00:00"/>
    <n v="5.419178082191781"/>
    <x v="95"/>
    <x v="1"/>
    <x v="0"/>
    <x v="0"/>
    <n v="56559"/>
    <n v="50309"/>
    <n v="49809"/>
    <n v="49309"/>
    <m/>
    <m/>
    <m/>
    <x v="0"/>
    <n v="4"/>
    <n v="7"/>
    <n v="7"/>
    <d v="2022-03-31T00:00:00"/>
    <s v="Assistant Manager, Medium Market"/>
    <d v="2024-12-12T00:00:00"/>
    <s v="Assistant Manager, Large Market"/>
    <m/>
    <m/>
    <n v="4"/>
    <n v="4"/>
    <n v="4"/>
    <n v="4"/>
    <m/>
    <m/>
    <m/>
  </r>
  <r>
    <n v="672"/>
    <n v="30546"/>
    <d v="1996-04-19T00:00:00"/>
    <n v="29"/>
    <x v="1"/>
    <x v="1"/>
    <d v="2020-08-01T00:00:00"/>
    <n v="4.419178082191781"/>
    <x v="133"/>
    <x v="1"/>
    <x v="0"/>
    <x v="0"/>
    <n v="59809"/>
    <n v="53559"/>
    <n v="52059"/>
    <n v="50809"/>
    <n v="48309"/>
    <m/>
    <m/>
    <x v="5"/>
    <n v="2"/>
    <n v="7"/>
    <n v="6"/>
    <d v="2021-12-07T00:00:00"/>
    <s v="Assistant Manager, Medium Market"/>
    <d v="2024-07-06T00:00:00"/>
    <s v="Assistant Manager, Large Market"/>
    <m/>
    <m/>
    <n v="3"/>
    <n v="5"/>
    <n v="5"/>
    <n v="4"/>
    <n v="2"/>
    <m/>
    <m/>
  </r>
  <r>
    <n v="673"/>
    <n v="30548"/>
    <d v="1994-08-12T00:00:00"/>
    <n v="31"/>
    <x v="1"/>
    <x v="1"/>
    <d v="2021-08-01T00:00:00"/>
    <n v="4.419178082191781"/>
    <x v="121"/>
    <x v="1"/>
    <x v="0"/>
    <x v="0"/>
    <n v="65059"/>
    <n v="55059"/>
    <n v="53809"/>
    <n v="52309"/>
    <m/>
    <m/>
    <m/>
    <x v="8"/>
    <n v="4"/>
    <n v="7"/>
    <n v="7"/>
    <d v="2021-04-30T00:00:00"/>
    <s v="Assistant Manager, Medium Market"/>
    <d v="2024-04-12T00:00:00"/>
    <s v="Assistant Manager, Large Market"/>
    <m/>
    <m/>
    <n v="4"/>
    <n v="5"/>
    <n v="4"/>
    <n v="5"/>
    <m/>
    <m/>
    <m/>
  </r>
  <r>
    <n v="674"/>
    <n v="30550"/>
    <d v="1993-11-06T00:00:00"/>
    <n v="32"/>
    <x v="1"/>
    <x v="1"/>
    <d v="2021-08-01T00:00:00"/>
    <n v="5.419178082191781"/>
    <x v="58"/>
    <x v="1"/>
    <x v="0"/>
    <x v="0"/>
    <n v="60182"/>
    <n v="53809"/>
    <n v="52309"/>
    <n v="51309"/>
    <m/>
    <m/>
    <m/>
    <x v="8"/>
    <n v="3"/>
    <n v="6"/>
    <n v="6"/>
    <d v="2021-09-18T00:00:00"/>
    <s v="Assistant Manager, Medium Market"/>
    <d v="2024-05-24T00:00:00"/>
    <s v="Assistant Manager, Large Market"/>
    <m/>
    <m/>
    <n v="5"/>
    <n v="1"/>
    <n v="4"/>
    <n v="3"/>
    <m/>
    <m/>
    <m/>
  </r>
  <r>
    <n v="675"/>
    <n v="30556"/>
    <d v="1996-07-20T00:00:00"/>
    <n v="29"/>
    <x v="1"/>
    <x v="1"/>
    <d v="2020-08-01T00:00:00"/>
    <n v="4.419178082191781"/>
    <x v="135"/>
    <x v="1"/>
    <x v="0"/>
    <x v="0"/>
    <n v="59559"/>
    <n v="54059"/>
    <n v="52559"/>
    <n v="51309"/>
    <n v="48309"/>
    <m/>
    <m/>
    <x v="10"/>
    <n v="2"/>
    <n v="7"/>
    <n v="7"/>
    <d v="2021-08-26T00:00:00"/>
    <s v="Assistant Manager, Medium Market"/>
    <d v="2024-11-27T00:00:00"/>
    <s v="Assistant Manager, Large Market"/>
    <m/>
    <m/>
    <n v="5"/>
    <n v="5"/>
    <n v="5"/>
    <n v="4"/>
    <n v="3"/>
    <m/>
    <m/>
  </r>
  <r>
    <n v="676"/>
    <n v="30557"/>
    <d v="1991-08-30T00:00:00"/>
    <n v="34"/>
    <x v="1"/>
    <x v="1"/>
    <d v="2021-08-01T00:00:00"/>
    <n v="4.419178082191781"/>
    <x v="12"/>
    <x v="0"/>
    <x v="12"/>
    <x v="0"/>
    <n v="52309"/>
    <n v="50309"/>
    <n v="49309"/>
    <n v="49309"/>
    <m/>
    <m/>
    <m/>
    <x v="10"/>
    <n v="3"/>
    <n v="6"/>
    <n v="6"/>
    <d v="2021-07-17T00:00:00"/>
    <s v="Assistant Manager, Medium Market"/>
    <m/>
    <m/>
    <m/>
    <m/>
    <n v="5"/>
    <n v="5"/>
    <n v="3"/>
    <n v="1"/>
    <m/>
    <m/>
    <m/>
  </r>
  <r>
    <n v="677"/>
    <n v="30561"/>
    <d v="1996-03-02T00:00:00"/>
    <n v="29"/>
    <x v="1"/>
    <x v="1"/>
    <d v="2021-08-01T00:00:00"/>
    <n v="4.419178082191781"/>
    <x v="21"/>
    <x v="0"/>
    <x v="12"/>
    <x v="0"/>
    <n v="54059"/>
    <n v="53059"/>
    <n v="51809"/>
    <n v="50809"/>
    <m/>
    <m/>
    <m/>
    <x v="11"/>
    <n v="2"/>
    <n v="5"/>
    <n v="6"/>
    <d v="2021-09-07T00:00:00"/>
    <s v="Assistant Manager, Medium Market"/>
    <m/>
    <m/>
    <m/>
    <m/>
    <n v="5"/>
    <n v="3"/>
    <n v="4"/>
    <n v="3"/>
    <m/>
    <m/>
    <m/>
  </r>
  <r>
    <n v="678"/>
    <n v="30565"/>
    <d v="1996-04-14T00:00:00"/>
    <n v="29"/>
    <x v="1"/>
    <x v="1"/>
    <d v="2021-08-01T00:00:00"/>
    <n v="4.419178082191781"/>
    <x v="34"/>
    <x v="0"/>
    <x v="12"/>
    <x v="0"/>
    <n v="55809"/>
    <n v="53809"/>
    <n v="51809"/>
    <n v="50309"/>
    <m/>
    <m/>
    <m/>
    <x v="8"/>
    <n v="4"/>
    <n v="6"/>
    <n v="7"/>
    <d v="2021-12-14T00:00:00"/>
    <s v="Assistant Manager, Medium Market"/>
    <m/>
    <m/>
    <m/>
    <m/>
    <n v="5"/>
    <n v="5"/>
    <n v="5"/>
    <n v="4"/>
    <m/>
    <m/>
    <m/>
  </r>
  <r>
    <n v="679"/>
    <n v="30566"/>
    <d v="1996-03-04T00:00:00"/>
    <n v="29"/>
    <x v="1"/>
    <x v="1"/>
    <d v="2021-08-01T00:00:00"/>
    <n v="4.419178082191781"/>
    <x v="55"/>
    <x v="0"/>
    <x v="12"/>
    <x v="0"/>
    <n v="56809"/>
    <n v="54809"/>
    <n v="52809"/>
    <n v="51309"/>
    <m/>
    <m/>
    <m/>
    <x v="8"/>
    <n v="1"/>
    <n v="6"/>
    <n v="7"/>
    <d v="2022-01-23T00:00:00"/>
    <s v="Assistant Manager, Medium Market"/>
    <m/>
    <m/>
    <m/>
    <m/>
    <n v="5"/>
    <n v="5"/>
    <n v="5"/>
    <n v="4"/>
    <m/>
    <m/>
    <m/>
  </r>
  <r>
    <n v="680"/>
    <n v="30568"/>
    <d v="1996-09-09T00:00:00"/>
    <n v="29"/>
    <x v="1"/>
    <x v="0"/>
    <d v="2021-08-01T00:00:00"/>
    <n v="4.419178082191781"/>
    <x v="17"/>
    <x v="0"/>
    <x v="12"/>
    <x v="0"/>
    <n v="55059"/>
    <n v="53559"/>
    <n v="52059"/>
    <n v="50809"/>
    <m/>
    <m/>
    <m/>
    <x v="6"/>
    <n v="2"/>
    <n v="5"/>
    <n v="5"/>
    <d v="2021-09-11T00:00:00"/>
    <s v="Assistant Manager, Medium Market"/>
    <m/>
    <m/>
    <m/>
    <m/>
    <n v="5"/>
    <n v="5"/>
    <n v="5"/>
    <n v="4"/>
    <m/>
    <m/>
    <m/>
  </r>
  <r>
    <n v="681"/>
    <n v="30569"/>
    <d v="1991-08-18T00:00:00"/>
    <n v="34"/>
    <x v="1"/>
    <x v="1"/>
    <d v="2021-08-01T00:00:00"/>
    <n v="5.419178082191781"/>
    <x v="17"/>
    <x v="0"/>
    <x v="12"/>
    <x v="0"/>
    <n v="55059"/>
    <n v="53559"/>
    <n v="52059"/>
    <n v="50809"/>
    <m/>
    <m/>
    <m/>
    <x v="8"/>
    <n v="2"/>
    <n v="7"/>
    <n v="7"/>
    <d v="2021-10-31T00:00:00"/>
    <s v="Assistant Manager, Medium Market"/>
    <m/>
    <m/>
    <m/>
    <m/>
    <n v="5"/>
    <n v="5"/>
    <n v="5"/>
    <n v="4"/>
    <m/>
    <m/>
    <m/>
  </r>
  <r>
    <n v="682"/>
    <n v="30584"/>
    <d v="1996-02-10T00:00:00"/>
    <n v="29"/>
    <x v="1"/>
    <x v="1"/>
    <d v="2020-08-01T00:00:00"/>
    <n v="5.419178082191781"/>
    <x v="77"/>
    <x v="0"/>
    <x v="12"/>
    <x v="0"/>
    <n v="54809"/>
    <n v="52809"/>
    <n v="51309"/>
    <n v="50309"/>
    <n v="48309"/>
    <m/>
    <m/>
    <x v="12"/>
    <n v="2"/>
    <n v="7"/>
    <n v="7"/>
    <d v="2021-04-21T00:00:00"/>
    <s v="Assistant Manager, Medium Market"/>
    <m/>
    <m/>
    <m/>
    <m/>
    <n v="5"/>
    <n v="5"/>
    <n v="4"/>
    <n v="3"/>
    <n v="2"/>
    <m/>
    <m/>
  </r>
  <r>
    <n v="683"/>
    <n v="30587"/>
    <d v="1994-05-18T00:00:00"/>
    <n v="31"/>
    <x v="0"/>
    <x v="1"/>
    <d v="2020-08-01T00:00:00"/>
    <n v="4.419178082191781"/>
    <x v="18"/>
    <x v="0"/>
    <x v="12"/>
    <x v="0"/>
    <n v="53856"/>
    <n v="53856"/>
    <n v="52485"/>
    <n v="51321"/>
    <n v="48309"/>
    <m/>
    <m/>
    <x v="7"/>
    <n v="4"/>
    <n v="6"/>
    <n v="6"/>
    <d v="2021-08-12T00:00:00"/>
    <s v="Assistant Manager, Medium Market"/>
    <m/>
    <m/>
    <m/>
    <m/>
    <n v="5"/>
    <n v="5"/>
    <n v="3"/>
    <n v="2"/>
    <n v="2"/>
    <m/>
    <m/>
  </r>
  <r>
    <n v="684"/>
    <n v="30592"/>
    <d v="1994-05-22T00:00:00"/>
    <n v="31"/>
    <x v="1"/>
    <x v="1"/>
    <d v="2021-08-01T00:00:00"/>
    <n v="5.419178082191781"/>
    <x v="2"/>
    <x v="0"/>
    <x v="12"/>
    <x v="0"/>
    <n v="56309"/>
    <n v="54309"/>
    <n v="52309"/>
    <n v="51309"/>
    <m/>
    <m/>
    <m/>
    <x v="10"/>
    <n v="2"/>
    <n v="5"/>
    <n v="7"/>
    <d v="2021-06-17T00:00:00"/>
    <s v="Assistant Manager, Medium Market"/>
    <m/>
    <m/>
    <m/>
    <m/>
    <n v="5"/>
    <n v="5"/>
    <n v="5"/>
    <n v="3"/>
    <m/>
    <m/>
    <m/>
  </r>
  <r>
    <n v="685"/>
    <n v="30600"/>
    <d v="1995-08-21T00:00:00"/>
    <n v="30"/>
    <x v="1"/>
    <x v="1"/>
    <d v="2020-08-01T00:00:00"/>
    <n v="5.419178082191781"/>
    <x v="73"/>
    <x v="0"/>
    <x v="12"/>
    <x v="0"/>
    <n v="55059"/>
    <n v="53559"/>
    <n v="52059"/>
    <n v="50809"/>
    <n v="48309"/>
    <m/>
    <m/>
    <x v="11"/>
    <n v="3"/>
    <n v="7"/>
    <n v="7"/>
    <d v="2021-03-29T00:00:00"/>
    <s v="Assistant Manager, Medium Market"/>
    <m/>
    <m/>
    <m/>
    <m/>
    <n v="5"/>
    <n v="5"/>
    <n v="5"/>
    <n v="4"/>
    <n v="2"/>
    <m/>
    <m/>
  </r>
  <r>
    <n v="686"/>
    <n v="30601"/>
    <d v="1996-05-30T00:00:00"/>
    <n v="29"/>
    <x v="0"/>
    <x v="1"/>
    <d v="2020-08-01T00:00:00"/>
    <n v="5.419178082191781"/>
    <x v="2"/>
    <x v="0"/>
    <x v="12"/>
    <x v="0"/>
    <n v="58309"/>
    <n v="56309"/>
    <n v="54309"/>
    <n v="52309"/>
    <n v="48309"/>
    <m/>
    <m/>
    <x v="12"/>
    <n v="4"/>
    <n v="6"/>
    <n v="5"/>
    <d v="2021-05-25T00:00:00"/>
    <s v="Assistant Manager, Medium Market"/>
    <m/>
    <m/>
    <m/>
    <m/>
    <n v="5"/>
    <n v="5"/>
    <n v="5"/>
    <n v="5"/>
    <n v="4"/>
    <m/>
    <m/>
  </r>
  <r>
    <n v="687"/>
    <n v="30602"/>
    <d v="1995-10-25T00:00:00"/>
    <n v="30"/>
    <x v="1"/>
    <x v="0"/>
    <d v="2020-08-01T00:00:00"/>
    <n v="5.419178082191781"/>
    <x v="11"/>
    <x v="0"/>
    <x v="12"/>
    <x v="0"/>
    <n v="53309"/>
    <n v="52309"/>
    <n v="51309"/>
    <n v="50309"/>
    <n v="48309"/>
    <m/>
    <m/>
    <x v="0"/>
    <n v="2"/>
    <n v="6"/>
    <n v="6"/>
    <d v="2021-05-14T00:00:00"/>
    <s v="Assistant Manager, Medium Market"/>
    <m/>
    <m/>
    <m/>
    <m/>
    <n v="4"/>
    <n v="4"/>
    <n v="2"/>
    <n v="3"/>
    <n v="3"/>
    <m/>
    <m/>
  </r>
  <r>
    <n v="688"/>
    <n v="30605"/>
    <d v="1995-06-21T00:00:00"/>
    <n v="30"/>
    <x v="1"/>
    <x v="1"/>
    <d v="2020-08-01T00:00:00"/>
    <n v="5.419178082191781"/>
    <x v="15"/>
    <x v="0"/>
    <x v="12"/>
    <x v="0"/>
    <n v="55809"/>
    <n v="53809"/>
    <n v="51809"/>
    <n v="50309"/>
    <n v="48309"/>
    <m/>
    <m/>
    <x v="6"/>
    <n v="2"/>
    <n v="6"/>
    <n v="5"/>
    <d v="2021-11-26T00:00:00"/>
    <s v="Assistant Manager, Medium Market"/>
    <m/>
    <m/>
    <m/>
    <m/>
    <n v="5"/>
    <n v="5"/>
    <n v="5"/>
    <n v="4"/>
    <n v="2"/>
    <m/>
    <m/>
  </r>
  <r>
    <n v="689"/>
    <n v="30606"/>
    <d v="1993-11-22T00:00:00"/>
    <n v="32"/>
    <x v="1"/>
    <x v="1"/>
    <d v="2020-08-01T00:00:00"/>
    <n v="5.419178082191781"/>
    <x v="73"/>
    <x v="0"/>
    <x v="12"/>
    <x v="0"/>
    <n v="56309"/>
    <n v="54809"/>
    <n v="53309"/>
    <n v="51809"/>
    <n v="48309"/>
    <m/>
    <m/>
    <x v="8"/>
    <n v="2"/>
    <n v="6"/>
    <n v="6"/>
    <d v="2021-06-14T00:00:00"/>
    <s v="Assistant Manager, Medium Market"/>
    <m/>
    <m/>
    <m/>
    <m/>
    <n v="5"/>
    <n v="5"/>
    <n v="5"/>
    <n v="5"/>
    <n v="4"/>
    <m/>
    <m/>
  </r>
  <r>
    <n v="690"/>
    <n v="30611"/>
    <d v="1993-06-26T00:00:00"/>
    <n v="32"/>
    <x v="1"/>
    <x v="1"/>
    <d v="2020-08-01T00:00:00"/>
    <n v="4.419178082191781"/>
    <x v="4"/>
    <x v="0"/>
    <x v="12"/>
    <x v="0"/>
    <n v="54809"/>
    <n v="53309"/>
    <n v="51809"/>
    <n v="50809"/>
    <n v="48309"/>
    <m/>
    <m/>
    <x v="7"/>
    <n v="2"/>
    <n v="7"/>
    <n v="6"/>
    <d v="2021-12-07T00:00:00"/>
    <s v="Assistant Manager, Medium Market"/>
    <m/>
    <m/>
    <m/>
    <m/>
    <n v="5"/>
    <n v="5"/>
    <n v="5"/>
    <n v="3"/>
    <n v="2"/>
    <m/>
    <m/>
  </r>
  <r>
    <n v="691"/>
    <n v="30613"/>
    <d v="1991-09-21T00:00:00"/>
    <n v="34"/>
    <x v="1"/>
    <x v="1"/>
    <d v="2021-08-01T00:00:00"/>
    <n v="5.419178082191781"/>
    <x v="127"/>
    <x v="0"/>
    <x v="12"/>
    <x v="0"/>
    <n v="50309"/>
    <n v="50309"/>
    <n v="50309"/>
    <n v="49809"/>
    <m/>
    <m/>
    <m/>
    <x v="8"/>
    <n v="4"/>
    <n v="6"/>
    <n v="7"/>
    <d v="2021-10-25T00:00:00"/>
    <s v="Assistant Manager, Medium Market"/>
    <m/>
    <m/>
    <m/>
    <m/>
    <n v="4"/>
    <n v="3"/>
    <n v="3"/>
    <n v="4"/>
    <m/>
    <m/>
    <m/>
  </r>
  <r>
    <n v="692"/>
    <n v="30614"/>
    <d v="1992-10-07T00:00:00"/>
    <n v="33"/>
    <x v="0"/>
    <x v="1"/>
    <d v="2020-08-01T00:00:00"/>
    <n v="4.419178082191781"/>
    <x v="45"/>
    <x v="0"/>
    <x v="12"/>
    <x v="0"/>
    <n v="50309"/>
    <n v="49809"/>
    <n v="49309"/>
    <n v="49309"/>
    <n v="48309"/>
    <m/>
    <m/>
    <x v="11"/>
    <n v="4"/>
    <n v="5"/>
    <n v="3"/>
    <d v="2021-10-22T00:00:00"/>
    <s v="Assistant Manager, Medium Market"/>
    <m/>
    <m/>
    <m/>
    <m/>
    <n v="2"/>
    <n v="4"/>
    <n v="4"/>
    <n v="3"/>
    <n v="3"/>
    <m/>
    <m/>
  </r>
  <r>
    <n v="693"/>
    <n v="30615"/>
    <d v="1993-08-13T00:00:00"/>
    <n v="32"/>
    <x v="1"/>
    <x v="1"/>
    <d v="2021-08-01T00:00:00"/>
    <n v="5.419178082191781"/>
    <x v="20"/>
    <x v="0"/>
    <x v="12"/>
    <x v="0"/>
    <n v="50809"/>
    <n v="50309"/>
    <n v="50309"/>
    <n v="49809"/>
    <m/>
    <m/>
    <m/>
    <x v="7"/>
    <n v="1"/>
    <n v="7"/>
    <n v="7"/>
    <d v="2021-12-20T00:00:00"/>
    <s v="Assistant Manager, Medium Market"/>
    <m/>
    <m/>
    <m/>
    <m/>
    <n v="5"/>
    <n v="3"/>
    <n v="3"/>
    <n v="2"/>
    <m/>
    <m/>
    <m/>
  </r>
  <r>
    <n v="694"/>
    <n v="30622"/>
    <d v="1995-04-16T00:00:00"/>
    <n v="30"/>
    <x v="0"/>
    <x v="1"/>
    <d v="2020-08-01T00:00:00"/>
    <n v="5.6410958904109592"/>
    <x v="57"/>
    <x v="0"/>
    <x v="12"/>
    <x v="0"/>
    <n v="55559"/>
    <n v="54059"/>
    <n v="52559"/>
    <n v="51309"/>
    <n v="48309"/>
    <m/>
    <m/>
    <x v="6"/>
    <n v="2"/>
    <n v="5"/>
    <n v="3"/>
    <d v="2021-03-11T00:00:00"/>
    <s v="Assistant Manager, Medium Market"/>
    <m/>
    <m/>
    <m/>
    <m/>
    <n v="5"/>
    <n v="5"/>
    <n v="5"/>
    <n v="4"/>
    <n v="3"/>
    <m/>
    <m/>
  </r>
  <r>
    <n v="695"/>
    <n v="30639"/>
    <d v="1993-12-27T00:00:00"/>
    <n v="32"/>
    <x v="0"/>
    <x v="1"/>
    <d v="2020-05-12T00:00:00"/>
    <n v="4.9068493150684933"/>
    <x v="57"/>
    <x v="0"/>
    <x v="4"/>
    <x v="1"/>
    <n v="34"/>
    <n v="33.700000000000003"/>
    <n v="33.4"/>
    <n v="33.1"/>
    <n v="32.799999999999997"/>
    <m/>
    <m/>
    <x v="4"/>
    <n v="0"/>
    <n v="3"/>
    <m/>
    <m/>
    <m/>
    <m/>
    <m/>
    <m/>
    <m/>
    <m/>
    <m/>
    <m/>
    <m/>
    <m/>
    <m/>
    <m/>
  </r>
  <r>
    <n v="696"/>
    <n v="30666"/>
    <d v="1994-04-12T00:00:00"/>
    <n v="31"/>
    <x v="0"/>
    <x v="1"/>
    <d v="2021-02-04T00:00:00"/>
    <n v="5.816438356164384"/>
    <x v="96"/>
    <x v="1"/>
    <x v="4"/>
    <x v="1"/>
    <n v="33.340000000000003"/>
    <n v="32.97"/>
    <n v="32.97"/>
    <n v="32.799999999999997"/>
    <m/>
    <m/>
    <m/>
    <x v="4"/>
    <n v="0"/>
    <n v="3"/>
    <m/>
    <m/>
    <m/>
    <m/>
    <m/>
    <m/>
    <m/>
    <m/>
    <m/>
    <m/>
    <m/>
    <m/>
    <m/>
    <m/>
  </r>
  <r>
    <n v="697"/>
    <n v="30671"/>
    <d v="1985-04-20T00:00:00"/>
    <n v="40"/>
    <x v="0"/>
    <x v="1"/>
    <d v="2020-03-09T00:00:00"/>
    <n v="5.1643835616438354"/>
    <x v="13"/>
    <x v="0"/>
    <x v="4"/>
    <x v="1"/>
    <n v="34"/>
    <n v="33.700000000000003"/>
    <n v="33.4"/>
    <n v="33.1"/>
    <n v="32.799999999999997"/>
    <m/>
    <m/>
    <x v="2"/>
    <n v="0"/>
    <n v="4"/>
    <m/>
    <m/>
    <m/>
    <m/>
    <m/>
    <m/>
    <m/>
    <m/>
    <m/>
    <m/>
    <m/>
    <m/>
    <m/>
    <m/>
  </r>
  <r>
    <n v="698"/>
    <n v="30701"/>
    <d v="1995-10-17T00:00:00"/>
    <n v="30"/>
    <x v="0"/>
    <x v="0"/>
    <d v="2020-11-02T00:00:00"/>
    <n v="5.4273972602739722"/>
    <x v="26"/>
    <x v="0"/>
    <x v="4"/>
    <x v="1"/>
    <n v="34.32"/>
    <n v="33.909999999999997"/>
    <n v="33.479999999999997"/>
    <n v="33.119999999999997"/>
    <n v="32.799999999999997"/>
    <m/>
    <m/>
    <x v="3"/>
    <n v="0"/>
    <n v="4"/>
    <m/>
    <m/>
    <m/>
    <m/>
    <m/>
    <m/>
    <m/>
    <m/>
    <m/>
    <m/>
    <m/>
    <m/>
    <m/>
    <m/>
  </r>
  <r>
    <n v="699"/>
    <n v="30716"/>
    <d v="1991-07-02T00:00:00"/>
    <n v="34"/>
    <x v="0"/>
    <x v="1"/>
    <d v="2020-07-29T00:00:00"/>
    <n v="5.8684931506849312"/>
    <x v="124"/>
    <x v="0"/>
    <x v="4"/>
    <x v="1"/>
    <n v="34"/>
    <n v="33.700000000000003"/>
    <n v="33.4"/>
    <n v="33.1"/>
    <n v="32.799999999999997"/>
    <m/>
    <m/>
    <x v="2"/>
    <n v="0"/>
    <n v="3"/>
    <m/>
    <m/>
    <m/>
    <m/>
    <m/>
    <m/>
    <m/>
    <m/>
    <m/>
    <m/>
    <m/>
    <m/>
    <m/>
    <m/>
  </r>
  <r>
    <n v="700"/>
    <n v="30726"/>
    <d v="1992-01-26T00:00:00"/>
    <n v="33"/>
    <x v="1"/>
    <x v="1"/>
    <d v="2020-02-19T00:00:00"/>
    <n v="5.0547945205479454"/>
    <x v="75"/>
    <x v="1"/>
    <x v="4"/>
    <x v="1"/>
    <n v="34"/>
    <n v="33.700000000000003"/>
    <n v="33.4"/>
    <n v="33.1"/>
    <n v="32.799999999999997"/>
    <m/>
    <m/>
    <x v="4"/>
    <n v="0"/>
    <n v="6"/>
    <m/>
    <m/>
    <m/>
    <m/>
    <m/>
    <m/>
    <m/>
    <m/>
    <m/>
    <m/>
    <m/>
    <m/>
    <m/>
    <m/>
  </r>
  <r>
    <n v="701"/>
    <n v="30729"/>
    <d v="1994-04-08T00:00:00"/>
    <n v="31"/>
    <x v="0"/>
    <x v="1"/>
    <d v="2020-12-12T00:00:00"/>
    <n v="5.2684931506849315"/>
    <x v="80"/>
    <x v="1"/>
    <x v="4"/>
    <x v="1"/>
    <n v="33.25"/>
    <n v="33.1"/>
    <n v="32.950000000000003"/>
    <n v="32.799999999999997"/>
    <n v="32.799999999999997"/>
    <m/>
    <m/>
    <x v="2"/>
    <n v="0"/>
    <n v="4"/>
    <m/>
    <m/>
    <m/>
    <m/>
    <m/>
    <m/>
    <m/>
    <m/>
    <m/>
    <m/>
    <m/>
    <m/>
    <m/>
    <m/>
  </r>
  <r>
    <n v="702"/>
    <n v="30730"/>
    <d v="1989-12-17T00:00:00"/>
    <n v="36"/>
    <x v="0"/>
    <x v="1"/>
    <d v="2020-09-25T00:00:00"/>
    <n v="5.6356164383561644"/>
    <x v="84"/>
    <x v="1"/>
    <x v="4"/>
    <x v="1"/>
    <n v="34"/>
    <n v="33.700000000000003"/>
    <n v="33.4"/>
    <n v="33.1"/>
    <n v="32.799999999999997"/>
    <m/>
    <m/>
    <x v="2"/>
    <n v="0"/>
    <n v="5"/>
    <m/>
    <m/>
    <m/>
    <m/>
    <m/>
    <m/>
    <m/>
    <m/>
    <m/>
    <m/>
    <m/>
    <m/>
    <m/>
    <m/>
  </r>
  <r>
    <n v="703"/>
    <n v="30748"/>
    <d v="1992-10-01T00:00:00"/>
    <n v="34"/>
    <x v="1"/>
    <x v="1"/>
    <d v="2020-05-14T00:00:00"/>
    <n v="5.4520547945205475"/>
    <x v="19"/>
    <x v="0"/>
    <x v="4"/>
    <x v="1"/>
    <n v="34"/>
    <n v="33.700000000000003"/>
    <n v="33.4"/>
    <n v="33.1"/>
    <n v="32.799999999999997"/>
    <m/>
    <m/>
    <x v="2"/>
    <n v="0"/>
    <n v="7"/>
    <m/>
    <m/>
    <m/>
    <m/>
    <m/>
    <m/>
    <m/>
    <m/>
    <m/>
    <m/>
    <m/>
    <m/>
    <m/>
    <m/>
  </r>
  <r>
    <n v="704"/>
    <n v="30776"/>
    <d v="1985-03-18T00:00:00"/>
    <n v="40"/>
    <x v="0"/>
    <x v="1"/>
    <d v="2020-07-20T00:00:00"/>
    <n v="5.4"/>
    <x v="135"/>
    <x v="1"/>
    <x v="4"/>
    <x v="1"/>
    <n v="33.25"/>
    <n v="33.1"/>
    <n v="32.950000000000003"/>
    <n v="32.950000000000003"/>
    <n v="32.799999999999997"/>
    <m/>
    <m/>
    <x v="3"/>
    <n v="0"/>
    <n v="3"/>
    <m/>
    <m/>
    <m/>
    <m/>
    <m/>
    <m/>
    <m/>
    <m/>
    <m/>
    <m/>
    <m/>
    <m/>
    <m/>
    <m/>
  </r>
  <r>
    <n v="705"/>
    <n v="30784"/>
    <d v="1992-10-21T00:00:00"/>
    <n v="33"/>
    <x v="0"/>
    <x v="1"/>
    <d v="2020-08-08T00:00:00"/>
    <n v="5.6657534246575345"/>
    <x v="20"/>
    <x v="0"/>
    <x v="4"/>
    <x v="1"/>
    <n v="33.1"/>
    <n v="33.1"/>
    <n v="32.950000000000003"/>
    <n v="32.799999999999997"/>
    <n v="32.799999999999997"/>
    <m/>
    <m/>
    <x v="4"/>
    <n v="0"/>
    <n v="3"/>
    <m/>
    <m/>
    <m/>
    <m/>
    <m/>
    <m/>
    <m/>
    <m/>
    <m/>
    <m/>
    <m/>
    <m/>
    <m/>
    <m/>
  </r>
  <r>
    <n v="706"/>
    <n v="30816"/>
    <d v="1991-09-01T00:00:00"/>
    <n v="35"/>
    <x v="0"/>
    <x v="1"/>
    <d v="2020-05-03T00:00:00"/>
    <n v="4.9178082191780819"/>
    <x v="69"/>
    <x v="1"/>
    <x v="4"/>
    <x v="1"/>
    <n v="34"/>
    <n v="33.700000000000003"/>
    <n v="33.4"/>
    <n v="33.1"/>
    <n v="32.799999999999997"/>
    <m/>
    <m/>
    <x v="2"/>
    <n v="0"/>
    <n v="3"/>
    <m/>
    <m/>
    <m/>
    <m/>
    <m/>
    <m/>
    <m/>
    <m/>
    <m/>
    <m/>
    <m/>
    <m/>
    <m/>
    <m/>
  </r>
  <r>
    <n v="707"/>
    <n v="30858"/>
    <d v="1994-02-13T00:00:00"/>
    <n v="31"/>
    <x v="0"/>
    <x v="1"/>
    <d v="2021-01-31T00:00:00"/>
    <n v="5.3671232876712329"/>
    <x v="39"/>
    <x v="1"/>
    <x v="5"/>
    <x v="1"/>
    <n v="22.58"/>
    <n v="22.28"/>
    <n v="21.98"/>
    <n v="21.68"/>
    <m/>
    <m/>
    <m/>
    <x v="3"/>
    <n v="6"/>
    <n v="7"/>
    <m/>
    <m/>
    <m/>
    <m/>
    <m/>
    <m/>
    <m/>
    <m/>
    <m/>
    <m/>
    <m/>
    <m/>
    <m/>
    <m/>
  </r>
  <r>
    <n v="708"/>
    <n v="30880"/>
    <d v="1996-04-12T00:00:00"/>
    <n v="29"/>
    <x v="0"/>
    <x v="1"/>
    <d v="2020-08-20T00:00:00"/>
    <n v="5.4547945205479449"/>
    <x v="103"/>
    <x v="1"/>
    <x v="5"/>
    <x v="1"/>
    <n v="22.58"/>
    <n v="22.28"/>
    <n v="21.98"/>
    <n v="21.68"/>
    <n v="21.38"/>
    <m/>
    <m/>
    <x v="1"/>
    <n v="3"/>
    <n v="5"/>
    <m/>
    <m/>
    <m/>
    <m/>
    <m/>
    <m/>
    <m/>
    <m/>
    <m/>
    <m/>
    <m/>
    <m/>
    <m/>
    <m/>
  </r>
  <r>
    <n v="709"/>
    <n v="30884"/>
    <d v="1994-11-26T00:00:00"/>
    <n v="31"/>
    <x v="0"/>
    <x v="1"/>
    <d v="2020-07-19T00:00:00"/>
    <n v="5.1123287671232873"/>
    <x v="12"/>
    <x v="0"/>
    <x v="5"/>
    <x v="1"/>
    <n v="22.58"/>
    <n v="22.28"/>
    <n v="21.98"/>
    <n v="21.68"/>
    <n v="21.38"/>
    <m/>
    <m/>
    <x v="3"/>
    <n v="2"/>
    <n v="4"/>
    <m/>
    <m/>
    <m/>
    <m/>
    <m/>
    <m/>
    <m/>
    <m/>
    <m/>
    <m/>
    <m/>
    <m/>
    <m/>
    <m/>
  </r>
  <r>
    <n v="710"/>
    <n v="30910"/>
    <d v="1990-03-17T00:00:00"/>
    <n v="35"/>
    <x v="0"/>
    <x v="0"/>
    <d v="2020-11-21T00:00:00"/>
    <n v="5.1287671232876715"/>
    <x v="86"/>
    <x v="1"/>
    <x v="5"/>
    <x v="1"/>
    <n v="22.58"/>
    <n v="22.28"/>
    <n v="21.98"/>
    <n v="21.68"/>
    <n v="21.38"/>
    <m/>
    <m/>
    <x v="3"/>
    <n v="3"/>
    <n v="5"/>
    <m/>
    <m/>
    <m/>
    <m/>
    <m/>
    <m/>
    <m/>
    <m/>
    <m/>
    <m/>
    <m/>
    <m/>
    <m/>
    <m/>
  </r>
  <r>
    <n v="711"/>
    <n v="30917"/>
    <d v="1993-03-05T00:00:00"/>
    <n v="32"/>
    <x v="0"/>
    <x v="1"/>
    <d v="2020-11-15T00:00:00"/>
    <n v="5.1479452054794521"/>
    <x v="0"/>
    <x v="0"/>
    <x v="5"/>
    <x v="1"/>
    <n v="22.58"/>
    <n v="22.28"/>
    <n v="21.98"/>
    <n v="21.68"/>
    <n v="21.38"/>
    <m/>
    <m/>
    <x v="2"/>
    <n v="4"/>
    <n v="5"/>
    <m/>
    <m/>
    <m/>
    <m/>
    <m/>
    <m/>
    <m/>
    <m/>
    <m/>
    <m/>
    <m/>
    <m/>
    <m/>
    <m/>
  </r>
  <r>
    <n v="712"/>
    <n v="30921"/>
    <d v="1991-06-03T00:00:00"/>
    <n v="34"/>
    <x v="0"/>
    <x v="1"/>
    <d v="2020-11-08T00:00:00"/>
    <n v="5.882191780821918"/>
    <x v="47"/>
    <x v="0"/>
    <x v="5"/>
    <x v="1"/>
    <n v="22.58"/>
    <n v="22.28"/>
    <n v="21.98"/>
    <n v="21.68"/>
    <n v="21.38"/>
    <m/>
    <m/>
    <x v="2"/>
    <n v="4"/>
    <n v="5"/>
    <m/>
    <m/>
    <m/>
    <m/>
    <m/>
    <m/>
    <m/>
    <m/>
    <m/>
    <m/>
    <m/>
    <m/>
    <m/>
    <m/>
  </r>
  <r>
    <n v="713"/>
    <n v="30940"/>
    <d v="1993-11-28T00:00:00"/>
    <n v="32"/>
    <x v="0"/>
    <x v="1"/>
    <d v="2020-02-14T00:00:00"/>
    <n v="5.7753424657534245"/>
    <x v="101"/>
    <x v="1"/>
    <x v="5"/>
    <x v="1"/>
    <n v="22.65"/>
    <n v="22.34"/>
    <n v="21.95"/>
    <n v="21.78"/>
    <n v="21.38"/>
    <m/>
    <m/>
    <x v="4"/>
    <n v="6"/>
    <n v="7"/>
    <m/>
    <m/>
    <m/>
    <m/>
    <m/>
    <m/>
    <m/>
    <m/>
    <m/>
    <m/>
    <m/>
    <m/>
    <m/>
    <m/>
  </r>
  <r>
    <n v="714"/>
    <n v="30945"/>
    <d v="1995-03-18T00:00:00"/>
    <n v="30"/>
    <x v="1"/>
    <x v="1"/>
    <d v="2020-03-24T00:00:00"/>
    <n v="5.0575342465753428"/>
    <x v="13"/>
    <x v="0"/>
    <x v="5"/>
    <x v="1"/>
    <n v="22.58"/>
    <n v="22.28"/>
    <n v="21.98"/>
    <n v="21.68"/>
    <n v="21.38"/>
    <m/>
    <m/>
    <x v="2"/>
    <n v="4"/>
    <n v="7"/>
    <m/>
    <m/>
    <m/>
    <m/>
    <m/>
    <m/>
    <m/>
    <m/>
    <m/>
    <m/>
    <m/>
    <m/>
    <m/>
    <m/>
  </r>
  <r>
    <n v="715"/>
    <n v="30960"/>
    <d v="1993-05-25T00:00:00"/>
    <n v="32"/>
    <x v="1"/>
    <x v="1"/>
    <d v="2020-12-11T00:00:00"/>
    <n v="5.6"/>
    <x v="48"/>
    <x v="1"/>
    <x v="5"/>
    <x v="1"/>
    <n v="22.58"/>
    <n v="22.28"/>
    <n v="21.98"/>
    <n v="21.68"/>
    <n v="21.38"/>
    <m/>
    <m/>
    <x v="4"/>
    <n v="4"/>
    <n v="7"/>
    <m/>
    <m/>
    <m/>
    <m/>
    <m/>
    <m/>
    <m/>
    <m/>
    <m/>
    <m/>
    <m/>
    <m/>
    <m/>
    <m/>
  </r>
  <r>
    <n v="716"/>
    <n v="30972"/>
    <d v="1988-03-18T00:00:00"/>
    <n v="37"/>
    <x v="0"/>
    <x v="1"/>
    <d v="2020-05-27T00:00:00"/>
    <n v="4.8986301369863012"/>
    <x v="73"/>
    <x v="0"/>
    <x v="5"/>
    <x v="1"/>
    <n v="22.58"/>
    <n v="22.28"/>
    <n v="21.98"/>
    <n v="21.68"/>
    <n v="21.38"/>
    <m/>
    <m/>
    <x v="2"/>
    <n v="3"/>
    <n v="4"/>
    <m/>
    <m/>
    <m/>
    <m/>
    <m/>
    <m/>
    <m/>
    <m/>
    <m/>
    <m/>
    <m/>
    <m/>
    <m/>
    <m/>
  </r>
  <r>
    <n v="717"/>
    <n v="30995"/>
    <d v="1988-07-29T00:00:00"/>
    <n v="37"/>
    <x v="1"/>
    <x v="1"/>
    <d v="2021-02-07T00:00:00"/>
    <n v="5.1753424657534248"/>
    <x v="106"/>
    <x v="1"/>
    <x v="5"/>
    <x v="1"/>
    <n v="22.74"/>
    <n v="22.3"/>
    <n v="21.99"/>
    <n v="21.63"/>
    <m/>
    <m/>
    <m/>
    <x v="3"/>
    <n v="2"/>
    <n v="5"/>
    <m/>
    <m/>
    <m/>
    <m/>
    <m/>
    <m/>
    <m/>
    <m/>
    <m/>
    <m/>
    <m/>
    <m/>
    <m/>
    <m/>
  </r>
  <r>
    <n v="718"/>
    <n v="31014"/>
    <d v="1993-09-14T00:00:00"/>
    <n v="32"/>
    <x v="0"/>
    <x v="0"/>
    <d v="2020-10-29T00:00:00"/>
    <n v="4.8739726027397259"/>
    <x v="127"/>
    <x v="0"/>
    <x v="5"/>
    <x v="1"/>
    <n v="21.83"/>
    <n v="21.68"/>
    <n v="21.53"/>
    <n v="21.38"/>
    <n v="21.38"/>
    <m/>
    <m/>
    <x v="4"/>
    <n v="4"/>
    <n v="4"/>
    <m/>
    <m/>
    <m/>
    <m/>
    <m/>
    <m/>
    <m/>
    <m/>
    <m/>
    <m/>
    <m/>
    <m/>
    <m/>
    <m/>
  </r>
  <r>
    <n v="719"/>
    <n v="31033"/>
    <d v="1992-06-19T00:00:00"/>
    <n v="33"/>
    <x v="1"/>
    <x v="1"/>
    <d v="2021-02-16T00:00:00"/>
    <n v="5.3205479452054796"/>
    <x v="30"/>
    <x v="1"/>
    <x v="5"/>
    <x v="1"/>
    <n v="22.58"/>
    <n v="22.28"/>
    <n v="21.98"/>
    <n v="21.68"/>
    <m/>
    <m/>
    <m/>
    <x v="2"/>
    <n v="5"/>
    <n v="6"/>
    <m/>
    <m/>
    <m/>
    <m/>
    <m/>
    <m/>
    <m/>
    <m/>
    <m/>
    <m/>
    <m/>
    <m/>
    <m/>
    <m/>
  </r>
  <r>
    <n v="720"/>
    <n v="31043"/>
    <d v="1990-05-08T00:00:00"/>
    <n v="35"/>
    <x v="1"/>
    <x v="1"/>
    <d v="2020-09-06T00:00:00"/>
    <n v="5"/>
    <x v="96"/>
    <x v="1"/>
    <x v="5"/>
    <x v="1"/>
    <n v="22.93"/>
    <n v="22.53"/>
    <n v="22.22"/>
    <n v="21.79"/>
    <n v="21.38"/>
    <m/>
    <m/>
    <x v="1"/>
    <n v="4"/>
    <n v="6"/>
    <m/>
    <m/>
    <m/>
    <m/>
    <m/>
    <m/>
    <m/>
    <m/>
    <m/>
    <m/>
    <m/>
    <m/>
    <m/>
    <m/>
  </r>
  <r>
    <n v="721"/>
    <n v="31044"/>
    <d v="1994-02-13T00:00:00"/>
    <n v="31"/>
    <x v="1"/>
    <x v="1"/>
    <d v="2021-01-01T00:00:00"/>
    <n v="5.3068493150684928"/>
    <x v="89"/>
    <x v="1"/>
    <x v="5"/>
    <x v="1"/>
    <n v="22.58"/>
    <n v="22.28"/>
    <n v="21.98"/>
    <n v="21.68"/>
    <m/>
    <m/>
    <m/>
    <x v="2"/>
    <n v="4"/>
    <n v="7"/>
    <m/>
    <m/>
    <m/>
    <m/>
    <m/>
    <m/>
    <m/>
    <m/>
    <m/>
    <m/>
    <m/>
    <m/>
    <m/>
    <m/>
  </r>
  <r>
    <n v="722"/>
    <n v="31047"/>
    <d v="1995-04-23T00:00:00"/>
    <n v="30"/>
    <x v="0"/>
    <x v="1"/>
    <d v="2020-09-11T00:00:00"/>
    <n v="5.0712328767123287"/>
    <x v="103"/>
    <x v="1"/>
    <x v="5"/>
    <x v="1"/>
    <n v="22.58"/>
    <n v="22.28"/>
    <n v="21.98"/>
    <n v="21.68"/>
    <n v="21.38"/>
    <m/>
    <m/>
    <x v="4"/>
    <n v="3"/>
    <n v="5"/>
    <m/>
    <m/>
    <m/>
    <m/>
    <m/>
    <m/>
    <m/>
    <m/>
    <m/>
    <m/>
    <m/>
    <m/>
    <m/>
    <m/>
  </r>
  <r>
    <n v="723"/>
    <n v="31052"/>
    <d v="1993-06-04T00:00:00"/>
    <n v="32"/>
    <x v="0"/>
    <x v="0"/>
    <d v="2020-12-06T00:00:00"/>
    <n v="4.8931506849315065"/>
    <x v="4"/>
    <x v="0"/>
    <x v="5"/>
    <x v="1"/>
    <n v="22.58"/>
    <n v="22.28"/>
    <n v="21.98"/>
    <n v="21.68"/>
    <n v="21.38"/>
    <m/>
    <m/>
    <x v="1"/>
    <n v="6"/>
    <n v="5"/>
    <m/>
    <m/>
    <m/>
    <m/>
    <m/>
    <m/>
    <m/>
    <m/>
    <m/>
    <m/>
    <m/>
    <m/>
    <m/>
    <m/>
  </r>
  <r>
    <n v="724"/>
    <n v="31053"/>
    <d v="1995-05-08T00:00:00"/>
    <n v="30"/>
    <x v="0"/>
    <x v="1"/>
    <d v="2021-02-09T00:00:00"/>
    <n v="5.2328767123287667"/>
    <x v="4"/>
    <x v="0"/>
    <x v="5"/>
    <x v="1"/>
    <n v="22.58"/>
    <n v="22.28"/>
    <n v="21.98"/>
    <n v="21.68"/>
    <m/>
    <m/>
    <m/>
    <x v="1"/>
    <n v="3"/>
    <n v="5"/>
    <m/>
    <m/>
    <m/>
    <m/>
    <m/>
    <m/>
    <m/>
    <m/>
    <m/>
    <m/>
    <m/>
    <m/>
    <m/>
    <m/>
  </r>
  <r>
    <n v="725"/>
    <n v="31061"/>
    <d v="1991-01-18T00:00:00"/>
    <n v="34"/>
    <x v="1"/>
    <x v="1"/>
    <d v="2020-10-08T00:00:00"/>
    <n v="5.375342465753425"/>
    <x v="15"/>
    <x v="0"/>
    <x v="5"/>
    <x v="1"/>
    <n v="22.58"/>
    <n v="22.28"/>
    <n v="21.98"/>
    <n v="21.68"/>
    <n v="21.38"/>
    <m/>
    <m/>
    <x v="1"/>
    <n v="6"/>
    <n v="7"/>
    <m/>
    <m/>
    <m/>
    <m/>
    <m/>
    <m/>
    <m/>
    <m/>
    <m/>
    <m/>
    <m/>
    <m/>
    <m/>
    <m/>
  </r>
  <r>
    <n v="726"/>
    <n v="31062"/>
    <d v="1992-07-26T00:00:00"/>
    <n v="33"/>
    <x v="1"/>
    <x v="1"/>
    <d v="2020-08-17T00:00:00"/>
    <n v="5.2356164383561641"/>
    <x v="17"/>
    <x v="0"/>
    <x v="5"/>
    <x v="1"/>
    <n v="22.58"/>
    <n v="22.28"/>
    <n v="21.98"/>
    <n v="21.68"/>
    <n v="21.38"/>
    <m/>
    <m/>
    <x v="2"/>
    <n v="4"/>
    <n v="5"/>
    <m/>
    <m/>
    <m/>
    <m/>
    <m/>
    <m/>
    <m/>
    <m/>
    <m/>
    <m/>
    <m/>
    <m/>
    <m/>
    <m/>
  </r>
  <r>
    <n v="727"/>
    <n v="31101"/>
    <d v="1994-06-03T00:00:00"/>
    <n v="31"/>
    <x v="0"/>
    <x v="1"/>
    <d v="2020-10-07T00:00:00"/>
    <n v="5.2164383561643834"/>
    <x v="136"/>
    <x v="0"/>
    <x v="5"/>
    <x v="1"/>
    <n v="22.82"/>
    <n v="22.38"/>
    <n v="22.14"/>
    <n v="21.77"/>
    <n v="21.38"/>
    <m/>
    <m/>
    <x v="3"/>
    <n v="6"/>
    <n v="5"/>
    <m/>
    <m/>
    <m/>
    <m/>
    <m/>
    <m/>
    <m/>
    <m/>
    <m/>
    <m/>
    <m/>
    <m/>
    <m/>
    <m/>
  </r>
  <r>
    <n v="728"/>
    <n v="31126"/>
    <d v="1994-12-31T00:00:00"/>
    <n v="31"/>
    <x v="0"/>
    <x v="1"/>
    <d v="2020-10-14T00:00:00"/>
    <n v="5"/>
    <x v="40"/>
    <x v="1"/>
    <x v="5"/>
    <x v="1"/>
    <n v="22.92"/>
    <n v="22.57"/>
    <n v="22.14"/>
    <n v="21.78"/>
    <n v="21.38"/>
    <m/>
    <m/>
    <x v="4"/>
    <n v="3"/>
    <n v="5"/>
    <m/>
    <m/>
    <m/>
    <m/>
    <m/>
    <m/>
    <m/>
    <m/>
    <m/>
    <m/>
    <m/>
    <m/>
    <m/>
    <m/>
  </r>
  <r>
    <n v="729"/>
    <n v="31170"/>
    <d v="1982-09-23T00:00:00"/>
    <n v="43"/>
    <x v="1"/>
    <x v="1"/>
    <d v="2021-01-01T00:00:00"/>
    <n v="5.2958904109589042"/>
    <x v="118"/>
    <x v="1"/>
    <x v="5"/>
    <x v="1"/>
    <n v="22.58"/>
    <n v="22.28"/>
    <n v="21.98"/>
    <n v="21.68"/>
    <m/>
    <m/>
    <m/>
    <x v="3"/>
    <n v="4"/>
    <n v="7"/>
    <m/>
    <m/>
    <m/>
    <m/>
    <m/>
    <m/>
    <m/>
    <m/>
    <m/>
    <m/>
    <m/>
    <m/>
    <m/>
    <m/>
  </r>
  <r>
    <n v="730"/>
    <n v="31172"/>
    <d v="1991-06-24T00:00:00"/>
    <n v="34"/>
    <x v="0"/>
    <x v="1"/>
    <d v="2020-09-15T00:00:00"/>
    <n v="5.7835616438356166"/>
    <x v="79"/>
    <x v="1"/>
    <x v="5"/>
    <x v="1"/>
    <n v="22.58"/>
    <n v="22.28"/>
    <n v="21.98"/>
    <n v="21.68"/>
    <n v="21.38"/>
    <m/>
    <m/>
    <x v="3"/>
    <n v="6"/>
    <n v="5"/>
    <m/>
    <m/>
    <m/>
    <m/>
    <m/>
    <m/>
    <m/>
    <m/>
    <m/>
    <m/>
    <m/>
    <m/>
    <m/>
    <m/>
  </r>
  <r>
    <n v="731"/>
    <n v="31182"/>
    <d v="1992-08-11T00:00:00"/>
    <n v="33"/>
    <x v="0"/>
    <x v="0"/>
    <d v="2020-03-21T00:00:00"/>
    <n v="5.6684931506849319"/>
    <x v="94"/>
    <x v="1"/>
    <x v="5"/>
    <x v="1"/>
    <n v="22.58"/>
    <n v="22.28"/>
    <n v="21.98"/>
    <n v="21.68"/>
    <n v="21.38"/>
    <m/>
    <m/>
    <x v="2"/>
    <n v="4"/>
    <n v="3"/>
    <m/>
    <m/>
    <m/>
    <m/>
    <m/>
    <m/>
    <m/>
    <m/>
    <m/>
    <m/>
    <m/>
    <m/>
    <m/>
    <m/>
  </r>
  <r>
    <n v="732"/>
    <n v="31189"/>
    <d v="2000-10-22T00:00:00"/>
    <n v="25"/>
    <x v="1"/>
    <x v="1"/>
    <d v="2020-05-02T00:00:00"/>
    <n v="5.4082191780821915"/>
    <x v="16"/>
    <x v="0"/>
    <x v="1"/>
    <x v="1"/>
    <n v="16.03"/>
    <n v="15.73"/>
    <n v="15.43"/>
    <n v="15.13"/>
    <n v="14.83"/>
    <m/>
    <m/>
    <x v="2"/>
    <n v="0"/>
    <n v="7"/>
    <m/>
    <m/>
    <m/>
    <m/>
    <m/>
    <m/>
    <m/>
    <m/>
    <m/>
    <m/>
    <m/>
    <m/>
    <m/>
    <m/>
  </r>
  <r>
    <n v="733"/>
    <n v="31197"/>
    <d v="2002-04-05T00:00:00"/>
    <n v="23"/>
    <x v="0"/>
    <x v="1"/>
    <d v="2020-08-05T00:00:00"/>
    <n v="5.7150684931506852"/>
    <x v="26"/>
    <x v="0"/>
    <x v="10"/>
    <x v="1"/>
    <n v="10.31"/>
    <n v="10.050000000000001"/>
    <n v="9.7799999999999994"/>
    <n v="9.7799999999999994"/>
    <n v="9.64"/>
    <m/>
    <m/>
    <x v="2"/>
    <n v="1"/>
    <n v="4"/>
    <m/>
    <m/>
    <m/>
    <m/>
    <m/>
    <m/>
    <m/>
    <m/>
    <m/>
    <m/>
    <m/>
    <m/>
    <m/>
    <m/>
  </r>
  <r>
    <n v="734"/>
    <n v="31198"/>
    <d v="1991-12-04T00:00:00"/>
    <n v="34"/>
    <x v="0"/>
    <x v="0"/>
    <d v="2020-04-15T00:00:00"/>
    <n v="4.9150684931506845"/>
    <x v="26"/>
    <x v="0"/>
    <x v="6"/>
    <x v="1"/>
    <n v="22.86"/>
    <n v="22.61"/>
    <n v="22.31"/>
    <n v="21.96"/>
    <n v="21.54"/>
    <m/>
    <m/>
    <x v="4"/>
    <n v="4"/>
    <n v="4"/>
    <m/>
    <m/>
    <m/>
    <m/>
    <m/>
    <m/>
    <m/>
    <m/>
    <m/>
    <m/>
    <m/>
    <m/>
    <m/>
    <m/>
  </r>
  <r>
    <n v="735"/>
    <n v="31209"/>
    <d v="1981-12-25T00:00:00"/>
    <n v="44"/>
    <x v="0"/>
    <x v="1"/>
    <d v="2021-02-01T00:00:00"/>
    <n v="5.1753424657534248"/>
    <x v="106"/>
    <x v="1"/>
    <x v="2"/>
    <x v="1"/>
    <n v="14.32"/>
    <n v="13.92"/>
    <n v="13.52"/>
    <n v="13.12"/>
    <m/>
    <m/>
    <m/>
    <x v="2"/>
    <n v="0"/>
    <n v="4"/>
    <m/>
    <m/>
    <m/>
    <m/>
    <m/>
    <m/>
    <m/>
    <m/>
    <m/>
    <m/>
    <m/>
    <m/>
    <m/>
    <m/>
  </r>
  <r>
    <n v="736"/>
    <n v="31216"/>
    <d v="2001-12-04T00:00:00"/>
    <n v="24"/>
    <x v="0"/>
    <x v="1"/>
    <d v="2020-10-29T00:00:00"/>
    <n v="5.7068493150684931"/>
    <x v="48"/>
    <x v="1"/>
    <x v="6"/>
    <x v="1"/>
    <n v="22.74"/>
    <n v="22.44"/>
    <n v="22.14"/>
    <n v="21.84"/>
    <n v="21.54"/>
    <m/>
    <m/>
    <x v="2"/>
    <n v="4"/>
    <n v="5"/>
    <m/>
    <m/>
    <m/>
    <m/>
    <m/>
    <m/>
    <m/>
    <m/>
    <m/>
    <m/>
    <m/>
    <m/>
    <m/>
    <m/>
  </r>
  <r>
    <n v="737"/>
    <n v="31260"/>
    <d v="1997-11-27T00:00:00"/>
    <n v="28"/>
    <x v="1"/>
    <x v="0"/>
    <d v="2020-04-18T00:00:00"/>
    <n v="5.3452054794520549"/>
    <x v="30"/>
    <x v="1"/>
    <x v="1"/>
    <x v="1"/>
    <n v="16.03"/>
    <n v="15.73"/>
    <n v="15.43"/>
    <n v="15.13"/>
    <n v="14.83"/>
    <m/>
    <m/>
    <x v="2"/>
    <n v="1"/>
    <n v="6"/>
    <m/>
    <m/>
    <m/>
    <m/>
    <m/>
    <m/>
    <m/>
    <m/>
    <m/>
    <m/>
    <m/>
    <m/>
    <m/>
    <m/>
  </r>
  <r>
    <n v="738"/>
    <n v="31284"/>
    <d v="2001-03-09T00:00:00"/>
    <n v="24"/>
    <x v="1"/>
    <x v="1"/>
    <d v="2020-08-28T00:00:00"/>
    <n v="5.6164383561643838"/>
    <x v="90"/>
    <x v="1"/>
    <x v="2"/>
    <x v="1"/>
    <n v="14.09"/>
    <n v="13.79"/>
    <n v="13.49"/>
    <n v="13.19"/>
    <n v="12.89"/>
    <m/>
    <m/>
    <x v="3"/>
    <n v="0"/>
    <n v="5"/>
    <m/>
    <m/>
    <m/>
    <m/>
    <m/>
    <m/>
    <m/>
    <m/>
    <m/>
    <m/>
    <m/>
    <m/>
    <m/>
    <m/>
  </r>
  <r>
    <n v="739"/>
    <n v="31289"/>
    <d v="1999-11-01T00:00:00"/>
    <n v="27"/>
    <x v="0"/>
    <x v="1"/>
    <d v="2020-05-21T00:00:00"/>
    <n v="5.6958904109589037"/>
    <x v="75"/>
    <x v="1"/>
    <x v="10"/>
    <x v="1"/>
    <n v="10.44"/>
    <n v="10.24"/>
    <n v="10.039999999999999"/>
    <n v="9.84"/>
    <n v="9.64"/>
    <m/>
    <m/>
    <x v="2"/>
    <n v="0"/>
    <n v="5"/>
    <m/>
    <m/>
    <m/>
    <m/>
    <m/>
    <m/>
    <m/>
    <m/>
    <m/>
    <m/>
    <m/>
    <m/>
    <m/>
    <m/>
  </r>
  <r>
    <n v="740"/>
    <n v="31296"/>
    <d v="2001-07-14T00:00:00"/>
    <n v="24"/>
    <x v="1"/>
    <x v="1"/>
    <d v="2020-04-22T00:00:00"/>
    <n v="5.043835616438356"/>
    <x v="7"/>
    <x v="0"/>
    <x v="2"/>
    <x v="1"/>
    <n v="14.09"/>
    <n v="13.79"/>
    <n v="13.49"/>
    <n v="13.19"/>
    <n v="12.89"/>
    <m/>
    <m/>
    <x v="4"/>
    <n v="0"/>
    <n v="5"/>
    <m/>
    <m/>
    <m/>
    <m/>
    <m/>
    <m/>
    <m/>
    <m/>
    <m/>
    <m/>
    <m/>
    <m/>
    <m/>
    <m/>
  </r>
  <r>
    <n v="741"/>
    <n v="31321"/>
    <d v="1991-08-08T00:00:00"/>
    <n v="34"/>
    <x v="0"/>
    <x v="1"/>
    <d v="2020-12-16T00:00:00"/>
    <n v="5.7808219178082192"/>
    <x v="61"/>
    <x v="0"/>
    <x v="7"/>
    <x v="1"/>
    <n v="16.899999999999999"/>
    <n v="16.46"/>
    <n v="16.29"/>
    <n v="16.14"/>
    <n v="15.93"/>
    <m/>
    <m/>
    <x v="4"/>
    <n v="0"/>
    <n v="5"/>
    <m/>
    <m/>
    <m/>
    <m/>
    <m/>
    <m/>
    <m/>
    <m/>
    <m/>
    <m/>
    <m/>
    <m/>
    <m/>
    <m/>
  </r>
  <r>
    <n v="742"/>
    <n v="31344"/>
    <d v="1999-11-06T00:00:00"/>
    <n v="26"/>
    <x v="0"/>
    <x v="1"/>
    <d v="2020-03-22T00:00:00"/>
    <n v="5.0712328767123287"/>
    <x v="54"/>
    <x v="1"/>
    <x v="1"/>
    <x v="1"/>
    <n v="16.03"/>
    <n v="15.73"/>
    <n v="15.43"/>
    <n v="15.13"/>
    <n v="14.83"/>
    <m/>
    <m/>
    <x v="2"/>
    <n v="0"/>
    <n v="4"/>
    <m/>
    <m/>
    <m/>
    <m/>
    <m/>
    <m/>
    <m/>
    <m/>
    <m/>
    <m/>
    <m/>
    <m/>
    <m/>
    <m/>
  </r>
  <r>
    <n v="743"/>
    <n v="31345"/>
    <d v="2002-05-14T00:00:00"/>
    <n v="23"/>
    <x v="0"/>
    <x v="1"/>
    <d v="2020-12-06T00:00:00"/>
    <n v="4.9945205479452053"/>
    <x v="54"/>
    <x v="1"/>
    <x v="1"/>
    <x v="1"/>
    <n v="16.03"/>
    <n v="15.73"/>
    <n v="15.43"/>
    <n v="15.13"/>
    <n v="14.83"/>
    <m/>
    <m/>
    <x v="1"/>
    <n v="0"/>
    <n v="3"/>
    <m/>
    <m/>
    <m/>
    <m/>
    <m/>
    <m/>
    <m/>
    <m/>
    <m/>
    <m/>
    <m/>
    <m/>
    <m/>
    <m/>
  </r>
  <r>
    <n v="744"/>
    <n v="31353"/>
    <d v="1999-08-18T00:00:00"/>
    <n v="26"/>
    <x v="0"/>
    <x v="1"/>
    <d v="2021-01-03T00:00:00"/>
    <n v="5.2082191780821914"/>
    <x v="69"/>
    <x v="1"/>
    <x v="9"/>
    <x v="1"/>
    <n v="13.95"/>
    <n v="13.65"/>
    <n v="13.35"/>
    <n v="13.05"/>
    <m/>
    <m/>
    <m/>
    <x v="4"/>
    <n v="1"/>
    <n v="3"/>
    <m/>
    <m/>
    <m/>
    <m/>
    <m/>
    <m/>
    <m/>
    <m/>
    <m/>
    <m/>
    <m/>
    <m/>
    <m/>
    <m/>
  </r>
  <r>
    <n v="745"/>
    <n v="31381"/>
    <d v="1999-06-26T00:00:00"/>
    <n v="26"/>
    <x v="1"/>
    <x v="1"/>
    <d v="2020-10-17T00:00:00"/>
    <n v="5.1726027397260275"/>
    <x v="4"/>
    <x v="0"/>
    <x v="7"/>
    <x v="1"/>
    <n v="17.13"/>
    <n v="16.829999999999998"/>
    <n v="16.53"/>
    <n v="16.23"/>
    <n v="15.93"/>
    <m/>
    <m/>
    <x v="4"/>
    <n v="2"/>
    <n v="5"/>
    <m/>
    <m/>
    <m/>
    <m/>
    <m/>
    <m/>
    <m/>
    <m/>
    <m/>
    <m/>
    <m/>
    <m/>
    <m/>
    <m/>
  </r>
  <r>
    <n v="746"/>
    <n v="31400"/>
    <d v="1995-09-25T00:00:00"/>
    <n v="30"/>
    <x v="0"/>
    <x v="0"/>
    <d v="2020-10-30T00:00:00"/>
    <n v="5.6876712328767125"/>
    <x v="30"/>
    <x v="1"/>
    <x v="2"/>
    <x v="1"/>
    <n v="14.09"/>
    <n v="13.79"/>
    <n v="13.49"/>
    <n v="13.19"/>
    <n v="12.89"/>
    <m/>
    <m/>
    <x v="1"/>
    <n v="1"/>
    <n v="3"/>
    <m/>
    <m/>
    <m/>
    <m/>
    <m/>
    <m/>
    <m/>
    <m/>
    <m/>
    <m/>
    <m/>
    <m/>
    <m/>
    <m/>
  </r>
  <r>
    <n v="747"/>
    <n v="31411"/>
    <d v="1973-09-14T00:00:00"/>
    <n v="52"/>
    <x v="0"/>
    <x v="1"/>
    <d v="2020-04-25T00:00:00"/>
    <n v="5.6"/>
    <x v="107"/>
    <x v="1"/>
    <x v="6"/>
    <x v="1"/>
    <n v="22.74"/>
    <n v="22.44"/>
    <n v="22.14"/>
    <n v="21.84"/>
    <n v="21.54"/>
    <m/>
    <m/>
    <x v="2"/>
    <n v="5"/>
    <n v="6"/>
    <m/>
    <m/>
    <m/>
    <m/>
    <m/>
    <m/>
    <m/>
    <m/>
    <m/>
    <m/>
    <m/>
    <m/>
    <m/>
    <m/>
  </r>
  <r>
    <n v="748"/>
    <n v="31421"/>
    <d v="2000-07-21T00:00:00"/>
    <n v="25"/>
    <x v="0"/>
    <x v="1"/>
    <d v="2020-05-27T00:00:00"/>
    <n v="5.0931506849315067"/>
    <x v="124"/>
    <x v="0"/>
    <x v="9"/>
    <x v="1"/>
    <n v="13.95"/>
    <n v="13.65"/>
    <n v="13.35"/>
    <n v="13.05"/>
    <n v="12.75"/>
    <m/>
    <m/>
    <x v="4"/>
    <n v="0"/>
    <n v="4"/>
    <m/>
    <m/>
    <m/>
    <m/>
    <m/>
    <m/>
    <m/>
    <m/>
    <m/>
    <m/>
    <m/>
    <m/>
    <m/>
    <m/>
  </r>
  <r>
    <n v="749"/>
    <n v="31440"/>
    <d v="1995-08-15T00:00:00"/>
    <n v="30"/>
    <x v="0"/>
    <x v="1"/>
    <d v="2020-11-28T00:00:00"/>
    <n v="5.1315068493150688"/>
    <x v="39"/>
    <x v="1"/>
    <x v="6"/>
    <x v="1"/>
    <n v="22.74"/>
    <n v="22.44"/>
    <n v="22.14"/>
    <n v="21.84"/>
    <n v="21.54"/>
    <m/>
    <m/>
    <x v="3"/>
    <n v="7"/>
    <n v="5"/>
    <m/>
    <m/>
    <m/>
    <m/>
    <m/>
    <m/>
    <m/>
    <m/>
    <m/>
    <m/>
    <m/>
    <m/>
    <m/>
    <m/>
  </r>
  <r>
    <n v="750"/>
    <n v="31443"/>
    <d v="2000-02-03T00:00:00"/>
    <n v="25"/>
    <x v="1"/>
    <x v="1"/>
    <d v="2020-11-14T00:00:00"/>
    <n v="5.8547945205479452"/>
    <x v="90"/>
    <x v="1"/>
    <x v="1"/>
    <x v="1"/>
    <n v="16.03"/>
    <n v="15.73"/>
    <n v="15.43"/>
    <n v="15.13"/>
    <n v="14.83"/>
    <m/>
    <m/>
    <x v="1"/>
    <n v="2"/>
    <n v="5"/>
    <m/>
    <m/>
    <m/>
    <m/>
    <m/>
    <m/>
    <m/>
    <m/>
    <m/>
    <m/>
    <m/>
    <m/>
    <m/>
    <m/>
  </r>
  <r>
    <n v="751"/>
    <n v="31445"/>
    <d v="1993-11-16T00:00:00"/>
    <n v="32"/>
    <x v="0"/>
    <x v="1"/>
    <d v="2020-02-24T00:00:00"/>
    <n v="5.419178082191781"/>
    <x v="90"/>
    <x v="1"/>
    <x v="7"/>
    <x v="1"/>
    <n v="17.13"/>
    <n v="16.829999999999998"/>
    <n v="16.53"/>
    <n v="16.23"/>
    <n v="15.93"/>
    <m/>
    <m/>
    <x v="3"/>
    <n v="1"/>
    <n v="4"/>
    <m/>
    <m/>
    <m/>
    <m/>
    <m/>
    <m/>
    <m/>
    <m/>
    <m/>
    <m/>
    <m/>
    <m/>
    <m/>
    <m/>
  </r>
  <r>
    <n v="752"/>
    <n v="31455"/>
    <d v="1990-06-23T00:00:00"/>
    <n v="35"/>
    <x v="0"/>
    <x v="1"/>
    <d v="2020-08-01T00:00:00"/>
    <n v="5.1753424657534248"/>
    <x v="75"/>
    <x v="1"/>
    <x v="6"/>
    <x v="1"/>
    <n v="22.74"/>
    <n v="22.44"/>
    <n v="22.14"/>
    <n v="21.84"/>
    <n v="21.54"/>
    <m/>
    <m/>
    <x v="3"/>
    <n v="6"/>
    <n v="6"/>
    <m/>
    <m/>
    <m/>
    <m/>
    <m/>
    <m/>
    <m/>
    <m/>
    <m/>
    <m/>
    <m/>
    <m/>
    <m/>
    <m/>
  </r>
  <r>
    <n v="753"/>
    <n v="31459"/>
    <d v="1987-09-05T00:00:00"/>
    <n v="38"/>
    <x v="1"/>
    <x v="1"/>
    <d v="2020-10-29T00:00:00"/>
    <n v="5.1095890410958908"/>
    <x v="86"/>
    <x v="1"/>
    <x v="1"/>
    <x v="1"/>
    <n v="16.03"/>
    <n v="15.73"/>
    <n v="15.43"/>
    <n v="15.13"/>
    <n v="14.83"/>
    <m/>
    <m/>
    <x v="4"/>
    <n v="0"/>
    <n v="6"/>
    <m/>
    <m/>
    <m/>
    <m/>
    <m/>
    <m/>
    <m/>
    <m/>
    <m/>
    <m/>
    <m/>
    <m/>
    <m/>
    <m/>
  </r>
  <r>
    <n v="754"/>
    <n v="31464"/>
    <d v="2001-10-27T00:00:00"/>
    <n v="24"/>
    <x v="0"/>
    <x v="1"/>
    <d v="2020-11-22T00:00:00"/>
    <n v="5.4794520547945202"/>
    <x v="4"/>
    <x v="0"/>
    <x v="1"/>
    <x v="1"/>
    <n v="16.03"/>
    <n v="15.73"/>
    <n v="15.43"/>
    <n v="15.13"/>
    <n v="14.83"/>
    <m/>
    <m/>
    <x v="2"/>
    <n v="1"/>
    <n v="4"/>
    <m/>
    <m/>
    <m/>
    <m/>
    <m/>
    <m/>
    <m/>
    <m/>
    <m/>
    <m/>
    <m/>
    <m/>
    <m/>
    <m/>
  </r>
  <r>
    <n v="755"/>
    <n v="31465"/>
    <d v="1995-06-24T00:00:00"/>
    <n v="30"/>
    <x v="0"/>
    <x v="1"/>
    <d v="2020-07-10T00:00:00"/>
    <n v="4.912328767123288"/>
    <x v="4"/>
    <x v="0"/>
    <x v="6"/>
    <x v="1"/>
    <n v="22.74"/>
    <n v="22.44"/>
    <n v="22.14"/>
    <n v="21.84"/>
    <n v="21.54"/>
    <m/>
    <m/>
    <x v="4"/>
    <n v="3"/>
    <n v="6"/>
    <m/>
    <m/>
    <m/>
    <m/>
    <m/>
    <m/>
    <m/>
    <m/>
    <m/>
    <m/>
    <m/>
    <m/>
    <m/>
    <m/>
  </r>
  <r>
    <n v="756"/>
    <n v="31476"/>
    <d v="1992-05-08T00:00:00"/>
    <n v="33"/>
    <x v="1"/>
    <x v="0"/>
    <d v="2021-02-02T00:00:00"/>
    <n v="5.1041095890410961"/>
    <x v="124"/>
    <x v="0"/>
    <x v="2"/>
    <x v="1"/>
    <n v="14.09"/>
    <n v="13.79"/>
    <n v="13.49"/>
    <n v="13.19"/>
    <m/>
    <m/>
    <m/>
    <x v="2"/>
    <n v="1"/>
    <n v="5"/>
    <m/>
    <m/>
    <m/>
    <m/>
    <m/>
    <m/>
    <m/>
    <m/>
    <m/>
    <m/>
    <m/>
    <m/>
    <m/>
    <m/>
  </r>
  <r>
    <n v="757"/>
    <n v="31513"/>
    <d v="2003-05-02T00:00:00"/>
    <n v="22"/>
    <x v="1"/>
    <x v="0"/>
    <d v="2020-11-24T00:00:00"/>
    <n v="5.3506849315068497"/>
    <x v="25"/>
    <x v="0"/>
    <x v="8"/>
    <x v="1"/>
    <n v="8.4700000000000006"/>
    <n v="8.27"/>
    <n v="8.07"/>
    <n v="7.87"/>
    <n v="7.67"/>
    <m/>
    <m/>
    <x v="2"/>
    <n v="2"/>
    <n v="6"/>
    <m/>
    <m/>
    <m/>
    <m/>
    <m/>
    <m/>
    <m/>
    <m/>
    <m/>
    <m/>
    <m/>
    <m/>
    <m/>
    <m/>
  </r>
  <r>
    <n v="758"/>
    <n v="31610"/>
    <d v="2000-11-21T00:00:00"/>
    <n v="25"/>
    <x v="0"/>
    <x v="1"/>
    <d v="2020-08-26T00:00:00"/>
    <n v="4.8739726027397259"/>
    <x v="60"/>
    <x v="1"/>
    <x v="10"/>
    <x v="1"/>
    <n v="10.44"/>
    <n v="10.24"/>
    <n v="10.039999999999999"/>
    <n v="9.84"/>
    <n v="9.64"/>
    <m/>
    <m/>
    <x v="2"/>
    <n v="1"/>
    <n v="4"/>
    <m/>
    <m/>
    <m/>
    <m/>
    <m/>
    <m/>
    <m/>
    <m/>
    <m/>
    <m/>
    <m/>
    <m/>
    <m/>
    <m/>
  </r>
  <r>
    <n v="759"/>
    <n v="31619"/>
    <d v="1995-03-08T00:00:00"/>
    <n v="30"/>
    <x v="1"/>
    <x v="1"/>
    <d v="2021-02-16T00:00:00"/>
    <n v="5.7424657534246579"/>
    <x v="66"/>
    <x v="1"/>
    <x v="7"/>
    <x v="1"/>
    <n v="17.13"/>
    <n v="16.829999999999998"/>
    <n v="16.53"/>
    <n v="16.23"/>
    <m/>
    <m/>
    <m/>
    <x v="3"/>
    <n v="2"/>
    <n v="6"/>
    <m/>
    <m/>
    <m/>
    <m/>
    <m/>
    <m/>
    <m/>
    <m/>
    <m/>
    <m/>
    <m/>
    <m/>
    <m/>
    <m/>
  </r>
  <r>
    <n v="760"/>
    <n v="31624"/>
    <d v="2003-10-14T00:00:00"/>
    <n v="22"/>
    <x v="1"/>
    <x v="1"/>
    <d v="2020-04-05T00:00:00"/>
    <n v="5.0986301369863014"/>
    <x v="70"/>
    <x v="1"/>
    <x v="8"/>
    <x v="1"/>
    <n v="8.4700000000000006"/>
    <n v="8.27"/>
    <n v="8.07"/>
    <n v="7.87"/>
    <n v="7.67"/>
    <m/>
    <m/>
    <x v="2"/>
    <n v="2"/>
    <n v="6"/>
    <m/>
    <m/>
    <m/>
    <m/>
    <m/>
    <m/>
    <m/>
    <m/>
    <m/>
    <m/>
    <m/>
    <m/>
    <m/>
    <m/>
  </r>
  <r>
    <n v="761"/>
    <n v="31629"/>
    <d v="1989-06-15T00:00:00"/>
    <n v="36"/>
    <x v="1"/>
    <x v="1"/>
    <d v="2020-11-26T00:00:00"/>
    <n v="5.1589041095890407"/>
    <x v="75"/>
    <x v="1"/>
    <x v="8"/>
    <x v="1"/>
    <n v="8.4700000000000006"/>
    <n v="8.27"/>
    <n v="8.07"/>
    <n v="7.87"/>
    <n v="7.67"/>
    <m/>
    <m/>
    <x v="2"/>
    <n v="0"/>
    <n v="7"/>
    <m/>
    <m/>
    <m/>
    <m/>
    <m/>
    <m/>
    <m/>
    <m/>
    <m/>
    <m/>
    <m/>
    <m/>
    <m/>
    <m/>
  </r>
  <r>
    <n v="762"/>
    <n v="31631"/>
    <d v="1999-12-29T00:00:00"/>
    <n v="26"/>
    <x v="1"/>
    <x v="1"/>
    <d v="2020-11-04T00:00:00"/>
    <n v="5.2904109589041095"/>
    <x v="122"/>
    <x v="1"/>
    <x v="3"/>
    <x v="1"/>
    <n v="17.440000000000001"/>
    <n v="17.28"/>
    <n v="16.95"/>
    <n v="16.55"/>
    <n v="16.22"/>
    <m/>
    <m/>
    <x v="3"/>
    <n v="2"/>
    <n v="6"/>
    <m/>
    <m/>
    <m/>
    <m/>
    <m/>
    <m/>
    <m/>
    <m/>
    <m/>
    <m/>
    <m/>
    <m/>
    <m/>
    <m/>
  </r>
  <r>
    <n v="763"/>
    <n v="31632"/>
    <d v="1995-09-22T00:00:00"/>
    <n v="30"/>
    <x v="0"/>
    <x v="1"/>
    <d v="2020-09-17T00:00:00"/>
    <n v="5.375342465753425"/>
    <x v="122"/>
    <x v="1"/>
    <x v="6"/>
    <x v="1"/>
    <n v="22.54"/>
    <n v="22.54"/>
    <n v="22.22"/>
    <n v="21.83"/>
    <n v="21.54"/>
    <m/>
    <m/>
    <x v="4"/>
    <n v="5"/>
    <n v="5"/>
    <m/>
    <m/>
    <m/>
    <m/>
    <m/>
    <m/>
    <m/>
    <m/>
    <m/>
    <m/>
    <m/>
    <m/>
    <m/>
    <m/>
  </r>
  <r>
    <n v="764"/>
    <n v="31699"/>
    <d v="1994-05-27T00:00:00"/>
    <n v="31"/>
    <x v="0"/>
    <x v="0"/>
    <d v="2020-08-17T00:00:00"/>
    <n v="5.8958904109589039"/>
    <x v="40"/>
    <x v="1"/>
    <x v="2"/>
    <x v="1"/>
    <n v="14.2"/>
    <n v="13.99"/>
    <n v="13.62"/>
    <n v="13.29"/>
    <n v="12.89"/>
    <m/>
    <m/>
    <x v="1"/>
    <n v="1"/>
    <n v="4"/>
    <m/>
    <m/>
    <m/>
    <m/>
    <m/>
    <m/>
    <m/>
    <m/>
    <m/>
    <m/>
    <m/>
    <m/>
    <m/>
    <m/>
  </r>
  <r>
    <n v="765"/>
    <n v="31702"/>
    <d v="1998-04-02T00:00:00"/>
    <n v="27"/>
    <x v="0"/>
    <x v="1"/>
    <d v="2020-02-09T00:00:00"/>
    <n v="4.9835616438356167"/>
    <x v="120"/>
    <x v="1"/>
    <x v="1"/>
    <x v="1"/>
    <n v="16.03"/>
    <n v="15.73"/>
    <n v="15.43"/>
    <n v="15.13"/>
    <n v="14.83"/>
    <m/>
    <m/>
    <x v="2"/>
    <n v="1"/>
    <n v="4"/>
    <m/>
    <m/>
    <m/>
    <m/>
    <m/>
    <m/>
    <m/>
    <m/>
    <m/>
    <m/>
    <m/>
    <m/>
    <m/>
    <m/>
  </r>
  <r>
    <n v="766"/>
    <n v="31704"/>
    <d v="1999-08-02T00:00:00"/>
    <n v="26"/>
    <x v="1"/>
    <x v="1"/>
    <d v="2021-01-07T00:00:00"/>
    <n v="4.838356164383562"/>
    <x v="105"/>
    <x v="1"/>
    <x v="1"/>
    <x v="1"/>
    <n v="16.03"/>
    <n v="15.73"/>
    <n v="15.43"/>
    <n v="15.13"/>
    <m/>
    <m/>
    <m/>
    <x v="2"/>
    <n v="1"/>
    <n v="5"/>
    <m/>
    <m/>
    <m/>
    <m/>
    <m/>
    <m/>
    <m/>
    <m/>
    <m/>
    <m/>
    <m/>
    <m/>
    <m/>
    <m/>
  </r>
  <r>
    <n v="767"/>
    <n v="31731"/>
    <d v="1991-07-21T00:00:00"/>
    <n v="34"/>
    <x v="0"/>
    <x v="1"/>
    <d v="2021-03-01T00:00:00"/>
    <n v="5.602739726027397"/>
    <x v="10"/>
    <x v="0"/>
    <x v="6"/>
    <x v="1"/>
    <n v="22.88"/>
    <n v="22.5"/>
    <n v="22.23"/>
    <n v="21.79"/>
    <m/>
    <m/>
    <m/>
    <x v="1"/>
    <n v="7"/>
    <n v="5"/>
    <m/>
    <m/>
    <m/>
    <m/>
    <m/>
    <m/>
    <m/>
    <m/>
    <m/>
    <m/>
    <m/>
    <m/>
    <m/>
    <m/>
  </r>
  <r>
    <n v="768"/>
    <n v="31739"/>
    <d v="2001-05-25T00:00:00"/>
    <n v="24"/>
    <x v="0"/>
    <x v="1"/>
    <d v="2020-05-26T00:00:00"/>
    <n v="5.5178082191780824"/>
    <x v="19"/>
    <x v="0"/>
    <x v="1"/>
    <x v="1"/>
    <n v="16.03"/>
    <n v="15.73"/>
    <n v="15.43"/>
    <n v="15.13"/>
    <n v="14.83"/>
    <m/>
    <m/>
    <x v="1"/>
    <n v="1"/>
    <n v="3"/>
    <m/>
    <m/>
    <m/>
    <m/>
    <m/>
    <m/>
    <m/>
    <m/>
    <m/>
    <m/>
    <m/>
    <m/>
    <m/>
    <m/>
  </r>
  <r>
    <n v="769"/>
    <n v="31756"/>
    <d v="1999-08-22T00:00:00"/>
    <n v="26"/>
    <x v="1"/>
    <x v="1"/>
    <d v="2020-06-26T00:00:00"/>
    <n v="5.1479452054794521"/>
    <x v="73"/>
    <x v="0"/>
    <x v="7"/>
    <x v="1"/>
    <n v="17.13"/>
    <n v="16.829999999999998"/>
    <n v="16.53"/>
    <n v="16.23"/>
    <n v="15.93"/>
    <m/>
    <m/>
    <x v="4"/>
    <n v="1"/>
    <n v="7"/>
    <m/>
    <m/>
    <m/>
    <m/>
    <m/>
    <m/>
    <m/>
    <m/>
    <m/>
    <m/>
    <m/>
    <m/>
    <m/>
    <m/>
  </r>
  <r>
    <n v="770"/>
    <n v="31774"/>
    <d v="1989-05-24T00:00:00"/>
    <n v="36"/>
    <x v="0"/>
    <x v="1"/>
    <d v="2020-11-08T00:00:00"/>
    <n v="5.2219178082191782"/>
    <x v="68"/>
    <x v="1"/>
    <x v="8"/>
    <x v="1"/>
    <n v="8.4700000000000006"/>
    <n v="8.27"/>
    <n v="8.07"/>
    <n v="7.87"/>
    <n v="7.67"/>
    <m/>
    <m/>
    <x v="2"/>
    <n v="1"/>
    <n v="4"/>
    <m/>
    <m/>
    <m/>
    <m/>
    <m/>
    <m/>
    <m/>
    <m/>
    <m/>
    <m/>
    <m/>
    <m/>
    <m/>
    <m/>
  </r>
  <r>
    <n v="771"/>
    <n v="31799"/>
    <d v="2002-09-11T00:00:00"/>
    <n v="23"/>
    <x v="1"/>
    <x v="0"/>
    <d v="2020-10-12T00:00:00"/>
    <n v="5.8356164383561646"/>
    <x v="18"/>
    <x v="0"/>
    <x v="1"/>
    <x v="1"/>
    <n v="16.03"/>
    <n v="15.68"/>
    <n v="15.32"/>
    <n v="15.16"/>
    <n v="14.83"/>
    <m/>
    <m/>
    <x v="1"/>
    <n v="0"/>
    <n v="5"/>
    <m/>
    <m/>
    <m/>
    <m/>
    <m/>
    <m/>
    <m/>
    <m/>
    <m/>
    <m/>
    <m/>
    <m/>
    <m/>
    <m/>
  </r>
  <r>
    <n v="772"/>
    <n v="31811"/>
    <d v="1999-11-02T00:00:00"/>
    <n v="26"/>
    <x v="0"/>
    <x v="1"/>
    <d v="2020-03-02T00:00:00"/>
    <n v="5.2986301369863016"/>
    <x v="77"/>
    <x v="0"/>
    <x v="10"/>
    <x v="1"/>
    <n v="10.44"/>
    <n v="10.24"/>
    <n v="10.039999999999999"/>
    <n v="9.84"/>
    <n v="9.64"/>
    <m/>
    <m/>
    <x v="2"/>
    <n v="1"/>
    <n v="4"/>
    <m/>
    <m/>
    <m/>
    <m/>
    <m/>
    <m/>
    <m/>
    <m/>
    <m/>
    <m/>
    <m/>
    <m/>
    <m/>
    <m/>
  </r>
  <r>
    <n v="773"/>
    <n v="31827"/>
    <d v="2000-05-10T00:00:00"/>
    <n v="25"/>
    <x v="0"/>
    <x v="1"/>
    <d v="2020-09-14T00:00:00"/>
    <n v="5.2630136986301368"/>
    <x v="68"/>
    <x v="1"/>
    <x v="1"/>
    <x v="1"/>
    <n v="16.03"/>
    <n v="15.73"/>
    <n v="15.43"/>
    <n v="15.13"/>
    <n v="14.83"/>
    <m/>
    <m/>
    <x v="2"/>
    <n v="1"/>
    <n v="5"/>
    <m/>
    <m/>
    <m/>
    <m/>
    <m/>
    <m/>
    <m/>
    <m/>
    <m/>
    <m/>
    <m/>
    <m/>
    <m/>
    <m/>
  </r>
  <r>
    <n v="774"/>
    <n v="31846"/>
    <d v="1999-05-13T00:00:00"/>
    <n v="26"/>
    <x v="1"/>
    <x v="1"/>
    <d v="2020-09-27T00:00:00"/>
    <n v="5.5123287671232877"/>
    <x v="7"/>
    <x v="0"/>
    <x v="8"/>
    <x v="1"/>
    <n v="8.4700000000000006"/>
    <n v="8.27"/>
    <n v="8.07"/>
    <n v="7.87"/>
    <n v="7.67"/>
    <m/>
    <m/>
    <x v="2"/>
    <n v="1"/>
    <n v="6"/>
    <m/>
    <m/>
    <m/>
    <m/>
    <m/>
    <m/>
    <m/>
    <m/>
    <m/>
    <m/>
    <m/>
    <m/>
    <m/>
    <m/>
  </r>
  <r>
    <n v="775"/>
    <n v="31861"/>
    <d v="1996-08-03T00:00:00"/>
    <n v="29"/>
    <x v="0"/>
    <x v="1"/>
    <d v="2020-06-28T00:00:00"/>
    <n v="5.5095890410958903"/>
    <x v="16"/>
    <x v="0"/>
    <x v="2"/>
    <x v="1"/>
    <n v="14.09"/>
    <n v="13.79"/>
    <n v="13.49"/>
    <n v="13.19"/>
    <n v="12.89"/>
    <m/>
    <m/>
    <x v="3"/>
    <n v="1"/>
    <n v="2"/>
    <m/>
    <m/>
    <m/>
    <m/>
    <m/>
    <m/>
    <m/>
    <m/>
    <m/>
    <m/>
    <m/>
    <m/>
    <m/>
    <m/>
  </r>
  <r>
    <n v="776"/>
    <n v="31949"/>
    <d v="1997-04-29T00:00:00"/>
    <n v="28"/>
    <x v="1"/>
    <x v="0"/>
    <d v="2020-06-29T00:00:00"/>
    <n v="5.6520547945205477"/>
    <x v="77"/>
    <x v="0"/>
    <x v="2"/>
    <x v="1"/>
    <n v="14.09"/>
    <n v="13.79"/>
    <n v="13.49"/>
    <n v="13.19"/>
    <n v="12.89"/>
    <m/>
    <m/>
    <x v="3"/>
    <n v="0"/>
    <n v="4"/>
    <m/>
    <m/>
    <m/>
    <m/>
    <m/>
    <m/>
    <m/>
    <m/>
    <m/>
    <m/>
    <m/>
    <m/>
    <m/>
    <m/>
  </r>
  <r>
    <n v="777"/>
    <n v="31964"/>
    <d v="1997-06-11T00:00:00"/>
    <n v="28"/>
    <x v="1"/>
    <x v="1"/>
    <d v="2020-05-08T00:00:00"/>
    <n v="5.4383561643835616"/>
    <x v="90"/>
    <x v="1"/>
    <x v="7"/>
    <x v="1"/>
    <n v="17.13"/>
    <n v="16.829999999999998"/>
    <n v="16.53"/>
    <n v="16.23"/>
    <n v="15.93"/>
    <m/>
    <m/>
    <x v="2"/>
    <n v="2"/>
    <n v="6"/>
    <m/>
    <m/>
    <m/>
    <m/>
    <m/>
    <m/>
    <m/>
    <m/>
    <m/>
    <m/>
    <m/>
    <m/>
    <m/>
    <m/>
  </r>
  <r>
    <n v="778"/>
    <n v="31993"/>
    <d v="1999-02-18T00:00:00"/>
    <n v="26"/>
    <x v="0"/>
    <x v="1"/>
    <d v="2020-07-25T00:00:00"/>
    <n v="5.5753424657534243"/>
    <x v="111"/>
    <x v="1"/>
    <x v="1"/>
    <x v="1"/>
    <n v="16.03"/>
    <n v="15.73"/>
    <n v="15.43"/>
    <n v="15.13"/>
    <n v="14.83"/>
    <m/>
    <m/>
    <x v="3"/>
    <n v="2"/>
    <n v="3"/>
    <m/>
    <m/>
    <m/>
    <m/>
    <m/>
    <m/>
    <m/>
    <m/>
    <m/>
    <m/>
    <m/>
    <m/>
    <m/>
    <m/>
  </r>
  <r>
    <n v="779"/>
    <n v="32007"/>
    <d v="1996-04-29T00:00:00"/>
    <n v="29"/>
    <x v="0"/>
    <x v="0"/>
    <d v="2020-06-05T00:00:00"/>
    <n v="5.043835616438356"/>
    <x v="68"/>
    <x v="1"/>
    <x v="11"/>
    <x v="1"/>
    <n v="16.2"/>
    <n v="16"/>
    <n v="15.8"/>
    <n v="15.6"/>
    <n v="15.4"/>
    <m/>
    <m/>
    <x v="2"/>
    <n v="4"/>
    <n v="4"/>
    <m/>
    <m/>
    <m/>
    <m/>
    <m/>
    <m/>
    <m/>
    <m/>
    <m/>
    <m/>
    <m/>
    <m/>
    <m/>
    <m/>
  </r>
  <r>
    <n v="780"/>
    <n v="32016"/>
    <d v="1998-08-05T00:00:00"/>
    <n v="27"/>
    <x v="0"/>
    <x v="1"/>
    <d v="2020-12-16T00:00:00"/>
    <n v="5.4904109589041097"/>
    <x v="75"/>
    <x v="1"/>
    <x v="10"/>
    <x v="1"/>
    <n v="10.44"/>
    <n v="10.24"/>
    <n v="10.039999999999999"/>
    <n v="9.84"/>
    <n v="9.64"/>
    <m/>
    <m/>
    <x v="1"/>
    <n v="1"/>
    <n v="4"/>
    <m/>
    <m/>
    <m/>
    <m/>
    <m/>
    <m/>
    <m/>
    <m/>
    <m/>
    <m/>
    <m/>
    <m/>
    <m/>
    <m/>
  </r>
  <r>
    <n v="781"/>
    <n v="32053"/>
    <d v="1993-06-18T00:00:00"/>
    <n v="32"/>
    <x v="1"/>
    <x v="1"/>
    <d v="2020-07-06T00:00:00"/>
    <n v="5.5917808219178085"/>
    <x v="101"/>
    <x v="1"/>
    <x v="7"/>
    <x v="1"/>
    <n v="17.34"/>
    <n v="16.89"/>
    <n v="16.66"/>
    <n v="16.329999999999998"/>
    <n v="15.93"/>
    <m/>
    <m/>
    <x v="2"/>
    <n v="0"/>
    <n v="4"/>
    <m/>
    <m/>
    <m/>
    <m/>
    <m/>
    <m/>
    <m/>
    <m/>
    <m/>
    <m/>
    <m/>
    <m/>
    <m/>
    <m/>
  </r>
  <r>
    <n v="782"/>
    <n v="32112"/>
    <d v="1995-08-01T00:00:00"/>
    <n v="31"/>
    <x v="1"/>
    <x v="1"/>
    <d v="2020-05-30T00:00:00"/>
    <n v="5.5643835616438357"/>
    <x v="39"/>
    <x v="1"/>
    <x v="2"/>
    <x v="1"/>
    <n v="14.09"/>
    <n v="13.79"/>
    <n v="13.49"/>
    <n v="13.19"/>
    <n v="12.89"/>
    <m/>
    <m/>
    <x v="3"/>
    <n v="1"/>
    <n v="6"/>
    <m/>
    <m/>
    <m/>
    <m/>
    <m/>
    <m/>
    <m/>
    <m/>
    <m/>
    <m/>
    <m/>
    <m/>
    <m/>
    <m/>
  </r>
  <r>
    <n v="783"/>
    <n v="32117"/>
    <d v="1998-03-15T00:00:00"/>
    <n v="27"/>
    <x v="1"/>
    <x v="1"/>
    <d v="2020-06-09T00:00:00"/>
    <n v="5.4794520547945202"/>
    <x v="106"/>
    <x v="1"/>
    <x v="1"/>
    <x v="1"/>
    <n v="15.87"/>
    <n v="15.61"/>
    <n v="15.33"/>
    <n v="15.1"/>
    <n v="14.83"/>
    <m/>
    <m/>
    <x v="2"/>
    <n v="1"/>
    <n v="5"/>
    <m/>
    <m/>
    <m/>
    <m/>
    <m/>
    <m/>
    <m/>
    <m/>
    <m/>
    <m/>
    <m/>
    <m/>
    <m/>
    <m/>
  </r>
  <r>
    <n v="784"/>
    <n v="32163"/>
    <d v="2000-03-12T00:00:00"/>
    <n v="25"/>
    <x v="1"/>
    <x v="0"/>
    <d v="2020-07-10T00:00:00"/>
    <n v="4.9726027397260273"/>
    <x v="0"/>
    <x v="0"/>
    <x v="8"/>
    <x v="1"/>
    <n v="8.4700000000000006"/>
    <n v="8.27"/>
    <n v="8.07"/>
    <n v="7.87"/>
    <n v="7.67"/>
    <m/>
    <m/>
    <x v="2"/>
    <n v="2"/>
    <n v="5"/>
    <m/>
    <m/>
    <m/>
    <m/>
    <m/>
    <m/>
    <m/>
    <m/>
    <m/>
    <m/>
    <m/>
    <m/>
    <m/>
    <m/>
  </r>
  <r>
    <n v="785"/>
    <n v="32291"/>
    <d v="1998-05-01T00:00:00"/>
    <n v="28"/>
    <x v="1"/>
    <x v="1"/>
    <d v="2021-01-11T00:00:00"/>
    <n v="5.1013698630136988"/>
    <x v="29"/>
    <x v="1"/>
    <x v="9"/>
    <x v="1"/>
    <n v="13.95"/>
    <n v="13.65"/>
    <n v="13.35"/>
    <n v="13.05"/>
    <m/>
    <m/>
    <m/>
    <x v="3"/>
    <n v="1"/>
    <n v="6"/>
    <m/>
    <m/>
    <m/>
    <m/>
    <m/>
    <m/>
    <m/>
    <m/>
    <m/>
    <m/>
    <m/>
    <m/>
    <m/>
    <m/>
  </r>
  <r>
    <n v="786"/>
    <n v="32333"/>
    <d v="2000-06-29T00:00:00"/>
    <n v="25"/>
    <x v="1"/>
    <x v="1"/>
    <d v="2020-11-25T00:00:00"/>
    <n v="5.6794520547945204"/>
    <x v="64"/>
    <x v="1"/>
    <x v="6"/>
    <x v="1"/>
    <n v="22.74"/>
    <n v="22.44"/>
    <n v="22.14"/>
    <n v="21.84"/>
    <n v="21.54"/>
    <m/>
    <m/>
    <x v="3"/>
    <n v="3"/>
    <n v="6"/>
    <m/>
    <m/>
    <m/>
    <m/>
    <m/>
    <m/>
    <m/>
    <m/>
    <m/>
    <m/>
    <m/>
    <m/>
    <m/>
    <m/>
  </r>
  <r>
    <n v="787"/>
    <n v="32402"/>
    <d v="1998-01-02T00:00:00"/>
    <n v="27"/>
    <x v="1"/>
    <x v="1"/>
    <d v="2020-04-28T00:00:00"/>
    <n v="5.7369863013698632"/>
    <x v="10"/>
    <x v="0"/>
    <x v="2"/>
    <x v="1"/>
    <n v="13.92"/>
    <n v="13.5"/>
    <n v="13.15"/>
    <n v="13.15"/>
    <n v="12.89"/>
    <m/>
    <m/>
    <x v="2"/>
    <n v="1"/>
    <n v="6"/>
    <m/>
    <m/>
    <m/>
    <m/>
    <m/>
    <m/>
    <m/>
    <m/>
    <m/>
    <m/>
    <m/>
    <m/>
    <m/>
    <m/>
  </r>
  <r>
    <n v="788"/>
    <n v="32406"/>
    <d v="1991-08-25T00:00:00"/>
    <n v="34"/>
    <x v="0"/>
    <x v="1"/>
    <d v="2020-04-07T00:00:00"/>
    <n v="4.8493150684931505"/>
    <x v="124"/>
    <x v="0"/>
    <x v="10"/>
    <x v="1"/>
    <n v="10.44"/>
    <n v="10.24"/>
    <n v="10.039999999999999"/>
    <n v="9.84"/>
    <n v="9.64"/>
    <m/>
    <m/>
    <x v="2"/>
    <n v="0"/>
    <n v="3"/>
    <m/>
    <m/>
    <m/>
    <m/>
    <m/>
    <m/>
    <m/>
    <m/>
    <m/>
    <m/>
    <m/>
    <m/>
    <m/>
    <m/>
  </r>
  <r>
    <n v="789"/>
    <n v="32409"/>
    <d v="2000-12-05T00:00:00"/>
    <n v="25"/>
    <x v="0"/>
    <x v="0"/>
    <d v="2021-02-25T00:00:00"/>
    <n v="5.2630136986301368"/>
    <x v="11"/>
    <x v="0"/>
    <x v="2"/>
    <x v="1"/>
    <n v="14.09"/>
    <n v="13.79"/>
    <n v="13.49"/>
    <n v="13.19"/>
    <m/>
    <m/>
    <m/>
    <x v="4"/>
    <n v="1"/>
    <n v="3"/>
    <m/>
    <m/>
    <m/>
    <m/>
    <m/>
    <m/>
    <m/>
    <m/>
    <m/>
    <m/>
    <m/>
    <m/>
    <m/>
    <m/>
  </r>
  <r>
    <n v="790"/>
    <n v="32477"/>
    <d v="1994-03-06T00:00:00"/>
    <n v="31"/>
    <x v="0"/>
    <x v="0"/>
    <d v="2020-09-27T00:00:00"/>
    <n v="5.3726027397260276"/>
    <x v="25"/>
    <x v="0"/>
    <x v="10"/>
    <x v="1"/>
    <n v="10.44"/>
    <n v="10.24"/>
    <n v="10.039999999999999"/>
    <n v="9.84"/>
    <n v="9.64"/>
    <m/>
    <m/>
    <x v="2"/>
    <n v="1"/>
    <n v="3"/>
    <m/>
    <m/>
    <m/>
    <m/>
    <m/>
    <m/>
    <m/>
    <m/>
    <m/>
    <m/>
    <m/>
    <m/>
    <m/>
    <m/>
  </r>
  <r>
    <n v="791"/>
    <n v="32504"/>
    <d v="2000-04-06T00:00:00"/>
    <n v="25"/>
    <x v="1"/>
    <x v="1"/>
    <d v="2020-08-18T00:00:00"/>
    <n v="5.1150684931506847"/>
    <x v="31"/>
    <x v="0"/>
    <x v="8"/>
    <x v="1"/>
    <n v="8.4700000000000006"/>
    <n v="8.27"/>
    <n v="8.07"/>
    <n v="7.87"/>
    <n v="7.67"/>
    <m/>
    <m/>
    <x v="2"/>
    <n v="2"/>
    <n v="6"/>
    <m/>
    <m/>
    <m/>
    <m/>
    <m/>
    <m/>
    <m/>
    <m/>
    <m/>
    <m/>
    <m/>
    <m/>
    <m/>
    <m/>
  </r>
  <r>
    <n v="792"/>
    <n v="32546"/>
    <d v="2001-10-11T00:00:00"/>
    <n v="24"/>
    <x v="1"/>
    <x v="1"/>
    <d v="2020-11-20T00:00:00"/>
    <n v="5.4794520547945202"/>
    <x v="36"/>
    <x v="0"/>
    <x v="2"/>
    <x v="1"/>
    <n v="14.09"/>
    <n v="13.79"/>
    <n v="13.49"/>
    <n v="13.19"/>
    <n v="12.89"/>
    <m/>
    <m/>
    <x v="4"/>
    <n v="0"/>
    <n v="4"/>
    <m/>
    <m/>
    <m/>
    <m/>
    <m/>
    <m/>
    <m/>
    <m/>
    <m/>
    <m/>
    <m/>
    <m/>
    <m/>
    <m/>
  </r>
  <r>
    <n v="793"/>
    <n v="32591"/>
    <d v="1997-06-15T00:00:00"/>
    <n v="28"/>
    <x v="0"/>
    <x v="1"/>
    <d v="2020-07-10T00:00:00"/>
    <n v="5.5561643835616437"/>
    <x v="40"/>
    <x v="1"/>
    <x v="11"/>
    <x v="1"/>
    <n v="16.350000000000001"/>
    <n v="16.11"/>
    <n v="15.86"/>
    <n v="15.65"/>
    <n v="15.4"/>
    <m/>
    <m/>
    <x v="3"/>
    <n v="2"/>
    <n v="4"/>
    <m/>
    <m/>
    <m/>
    <m/>
    <m/>
    <m/>
    <m/>
    <m/>
    <m/>
    <m/>
    <m/>
    <m/>
    <m/>
    <m/>
  </r>
  <r>
    <n v="794"/>
    <n v="32592"/>
    <d v="2000-06-20T00:00:00"/>
    <n v="25"/>
    <x v="0"/>
    <x v="0"/>
    <d v="2020-06-12T00:00:00"/>
    <n v="4.8767123287671232"/>
    <x v="40"/>
    <x v="1"/>
    <x v="1"/>
    <x v="1"/>
    <n v="15.77"/>
    <n v="15.57"/>
    <n v="15.28"/>
    <n v="14.83"/>
    <n v="14.83"/>
    <m/>
    <m/>
    <x v="1"/>
    <n v="1"/>
    <n v="4"/>
    <m/>
    <m/>
    <m/>
    <m/>
    <m/>
    <m/>
    <m/>
    <m/>
    <m/>
    <m/>
    <m/>
    <m/>
    <m/>
    <m/>
  </r>
  <r>
    <n v="795"/>
    <n v="32629"/>
    <d v="1995-05-15T00:00:00"/>
    <n v="30"/>
    <x v="0"/>
    <x v="1"/>
    <d v="2021-02-15T00:00:00"/>
    <n v="5.2191780821917808"/>
    <x v="48"/>
    <x v="1"/>
    <x v="10"/>
    <x v="1"/>
    <n v="10.44"/>
    <n v="10.24"/>
    <n v="10.039999999999999"/>
    <n v="9.84"/>
    <m/>
    <m/>
    <m/>
    <x v="3"/>
    <n v="1"/>
    <n v="4"/>
    <m/>
    <m/>
    <m/>
    <m/>
    <m/>
    <m/>
    <m/>
    <m/>
    <m/>
    <m/>
    <m/>
    <m/>
    <m/>
    <m/>
  </r>
  <r>
    <n v="796"/>
    <n v="32639"/>
    <d v="1997-10-01T00:00:00"/>
    <n v="29"/>
    <x v="1"/>
    <x v="1"/>
    <d v="2020-10-13T00:00:00"/>
    <n v="5.6493150684931503"/>
    <x v="123"/>
    <x v="1"/>
    <x v="7"/>
    <x v="1"/>
    <n v="16.53"/>
    <n v="16.38"/>
    <n v="16.23"/>
    <n v="16.079999999999998"/>
    <n v="15.93"/>
    <m/>
    <m/>
    <x v="2"/>
    <n v="1"/>
    <n v="4"/>
    <m/>
    <m/>
    <m/>
    <m/>
    <m/>
    <m/>
    <m/>
    <m/>
    <m/>
    <m/>
    <m/>
    <m/>
    <m/>
    <m/>
  </r>
  <r>
    <n v="797"/>
    <n v="32733"/>
    <d v="1995-04-16T00:00:00"/>
    <n v="30"/>
    <x v="1"/>
    <x v="1"/>
    <d v="2020-05-09T00:00:00"/>
    <n v="4.9643835616438352"/>
    <x v="96"/>
    <x v="1"/>
    <x v="7"/>
    <x v="1"/>
    <n v="16.690000000000001"/>
    <n v="16.45"/>
    <n v="16.12"/>
    <n v="16.12"/>
    <n v="15.93"/>
    <m/>
    <m/>
    <x v="2"/>
    <n v="4"/>
    <n v="7"/>
    <m/>
    <m/>
    <m/>
    <m/>
    <m/>
    <m/>
    <m/>
    <m/>
    <m/>
    <m/>
    <m/>
    <m/>
    <m/>
    <m/>
  </r>
  <r>
    <n v="798"/>
    <n v="32751"/>
    <d v="1995-06-06T00:00:00"/>
    <n v="30"/>
    <x v="1"/>
    <x v="1"/>
    <d v="2021-01-14T00:00:00"/>
    <n v="5.3780821917808215"/>
    <x v="86"/>
    <x v="1"/>
    <x v="10"/>
    <x v="1"/>
    <n v="10.44"/>
    <n v="10.24"/>
    <n v="10.039999999999999"/>
    <n v="9.84"/>
    <m/>
    <m/>
    <m/>
    <x v="4"/>
    <n v="0"/>
    <n v="6"/>
    <m/>
    <m/>
    <m/>
    <m/>
    <m/>
    <m/>
    <m/>
    <m/>
    <m/>
    <m/>
    <m/>
    <m/>
    <m/>
    <m/>
  </r>
  <r>
    <n v="799"/>
    <n v="32809"/>
    <d v="1994-05-07T00:00:00"/>
    <n v="31"/>
    <x v="1"/>
    <x v="1"/>
    <d v="2020-08-16T00:00:00"/>
    <n v="5.7232876712328764"/>
    <x v="2"/>
    <x v="0"/>
    <x v="8"/>
    <x v="1"/>
    <n v="8.4700000000000006"/>
    <n v="8.27"/>
    <n v="8.07"/>
    <n v="7.87"/>
    <n v="7.67"/>
    <m/>
    <m/>
    <x v="2"/>
    <n v="2"/>
    <n v="7"/>
    <m/>
    <m/>
    <m/>
    <m/>
    <m/>
    <m/>
    <m/>
    <m/>
    <m/>
    <m/>
    <m/>
    <m/>
    <m/>
    <m/>
  </r>
  <r>
    <n v="800"/>
    <n v="32852"/>
    <d v="2001-02-02T00:00:00"/>
    <n v="24"/>
    <x v="1"/>
    <x v="0"/>
    <d v="2020-04-12T00:00:00"/>
    <n v="5.6410958904109592"/>
    <x v="4"/>
    <x v="0"/>
    <x v="8"/>
    <x v="1"/>
    <n v="8.4700000000000006"/>
    <n v="8.27"/>
    <n v="8.07"/>
    <n v="7.87"/>
    <n v="7.67"/>
    <m/>
    <m/>
    <x v="3"/>
    <n v="2"/>
    <n v="6"/>
    <m/>
    <m/>
    <m/>
    <m/>
    <m/>
    <m/>
    <m/>
    <m/>
    <m/>
    <m/>
    <m/>
    <m/>
    <m/>
    <m/>
  </r>
  <r>
    <n v="801"/>
    <n v="32943"/>
    <d v="1994-03-27T00:00:00"/>
    <n v="31"/>
    <x v="0"/>
    <x v="1"/>
    <d v="2020-05-12T00:00:00"/>
    <n v="5.8986301369863012"/>
    <x v="127"/>
    <x v="0"/>
    <x v="8"/>
    <x v="1"/>
    <n v="7.77"/>
    <n v="7.77"/>
    <n v="7.77"/>
    <n v="7.77"/>
    <n v="7.67"/>
    <m/>
    <m/>
    <x v="2"/>
    <n v="1"/>
    <n v="5"/>
    <m/>
    <m/>
    <m/>
    <m/>
    <m/>
    <m/>
    <m/>
    <m/>
    <m/>
    <m/>
    <m/>
    <m/>
    <m/>
    <m/>
  </r>
  <r>
    <n v="802"/>
    <n v="32962"/>
    <d v="1998-08-31T00:00:00"/>
    <n v="27"/>
    <x v="1"/>
    <x v="1"/>
    <d v="2020-02-08T00:00:00"/>
    <n v="5.1972602739726028"/>
    <x v="124"/>
    <x v="0"/>
    <x v="8"/>
    <x v="1"/>
    <n v="8.4700000000000006"/>
    <n v="8.27"/>
    <n v="8.07"/>
    <n v="7.87"/>
    <n v="7.67"/>
    <m/>
    <m/>
    <x v="2"/>
    <n v="1"/>
    <n v="7"/>
    <m/>
    <m/>
    <m/>
    <m/>
    <m/>
    <m/>
    <m/>
    <m/>
    <m/>
    <m/>
    <m/>
    <m/>
    <m/>
    <m/>
  </r>
  <r>
    <n v="803"/>
    <n v="33012"/>
    <d v="1997-05-16T00:00:00"/>
    <n v="28"/>
    <x v="1"/>
    <x v="1"/>
    <d v="2020-10-21T00:00:00"/>
    <n v="5.2493150684931509"/>
    <x v="45"/>
    <x v="0"/>
    <x v="6"/>
    <x v="1"/>
    <n v="21.99"/>
    <n v="21.84"/>
    <n v="21.69"/>
    <n v="21.54"/>
    <n v="21.54"/>
    <m/>
    <m/>
    <x v="4"/>
    <n v="4"/>
    <n v="7"/>
    <m/>
    <m/>
    <m/>
    <m/>
    <m/>
    <m/>
    <m/>
    <m/>
    <m/>
    <m/>
    <m/>
    <m/>
    <m/>
    <m/>
  </r>
  <r>
    <n v="804"/>
    <n v="33025"/>
    <d v="2002-09-28T00:00:00"/>
    <n v="23"/>
    <x v="1"/>
    <x v="1"/>
    <d v="2020-10-02T00:00:00"/>
    <n v="5.7178082191780826"/>
    <x v="45"/>
    <x v="0"/>
    <x v="8"/>
    <x v="1"/>
    <n v="8.07"/>
    <n v="7.97"/>
    <n v="7.87"/>
    <n v="7.77"/>
    <n v="7.67"/>
    <m/>
    <m/>
    <x v="2"/>
    <n v="3"/>
    <n v="6"/>
    <m/>
    <m/>
    <m/>
    <m/>
    <m/>
    <m/>
    <m/>
    <m/>
    <m/>
    <m/>
    <m/>
    <m/>
    <m/>
    <m/>
  </r>
  <r>
    <n v="805"/>
    <n v="33162"/>
    <d v="1992-07-25T00:00:00"/>
    <n v="33"/>
    <x v="1"/>
    <x v="1"/>
    <d v="2020-04-14T00:00:00"/>
    <n v="4.8739726027397259"/>
    <x v="15"/>
    <x v="0"/>
    <x v="2"/>
    <x v="1"/>
    <n v="14.09"/>
    <n v="13.79"/>
    <n v="13.49"/>
    <n v="13.19"/>
    <n v="12.89"/>
    <m/>
    <m/>
    <x v="2"/>
    <n v="1"/>
    <n v="4"/>
    <m/>
    <m/>
    <m/>
    <m/>
    <m/>
    <m/>
    <m/>
    <m/>
    <m/>
    <m/>
    <m/>
    <m/>
    <m/>
    <m/>
  </r>
  <r>
    <n v="806"/>
    <n v="33200"/>
    <d v="1997-10-25T00:00:00"/>
    <n v="28"/>
    <x v="1"/>
    <x v="1"/>
    <d v="2021-02-16T00:00:00"/>
    <n v="5.7068493150684931"/>
    <x v="17"/>
    <x v="0"/>
    <x v="8"/>
    <x v="1"/>
    <n v="8.4700000000000006"/>
    <n v="8.27"/>
    <n v="8.07"/>
    <n v="7.87"/>
    <m/>
    <m/>
    <m/>
    <x v="2"/>
    <n v="0"/>
    <n v="7"/>
    <m/>
    <m/>
    <m/>
    <m/>
    <m/>
    <m/>
    <m/>
    <m/>
    <m/>
    <m/>
    <m/>
    <m/>
    <m/>
    <m/>
  </r>
  <r>
    <n v="807"/>
    <n v="33366"/>
    <d v="1993-11-13T00:00:00"/>
    <n v="32"/>
    <x v="0"/>
    <x v="1"/>
    <d v="2020-04-18T00:00:00"/>
    <n v="5.6438356164383565"/>
    <x v="21"/>
    <x v="0"/>
    <x v="7"/>
    <x v="1"/>
    <n v="17.13"/>
    <n v="16.829999999999998"/>
    <n v="16.53"/>
    <n v="16.23"/>
    <n v="15.93"/>
    <m/>
    <m/>
    <x v="2"/>
    <n v="2"/>
    <n v="5"/>
    <m/>
    <m/>
    <m/>
    <m/>
    <m/>
    <m/>
    <m/>
    <m/>
    <m/>
    <m/>
    <m/>
    <m/>
    <m/>
    <m/>
  </r>
  <r>
    <n v="808"/>
    <n v="33426"/>
    <d v="2000-11-24T00:00:00"/>
    <n v="25"/>
    <x v="1"/>
    <x v="1"/>
    <d v="2020-05-11T00:00:00"/>
    <n v="4.9643835616438352"/>
    <x v="23"/>
    <x v="0"/>
    <x v="10"/>
    <x v="1"/>
    <n v="10.44"/>
    <n v="10.24"/>
    <n v="10.039999999999999"/>
    <n v="9.84"/>
    <n v="9.64"/>
    <m/>
    <m/>
    <x v="3"/>
    <n v="0"/>
    <n v="5"/>
    <m/>
    <m/>
    <m/>
    <m/>
    <m/>
    <m/>
    <m/>
    <m/>
    <m/>
    <m/>
    <m/>
    <m/>
    <m/>
    <m/>
  </r>
  <r>
    <n v="809"/>
    <n v="33434"/>
    <d v="1999-10-26T00:00:00"/>
    <n v="26"/>
    <x v="1"/>
    <x v="1"/>
    <d v="2021-01-14T00:00:00"/>
    <n v="5.580821917808219"/>
    <x v="23"/>
    <x v="0"/>
    <x v="8"/>
    <x v="1"/>
    <n v="8.4700000000000006"/>
    <n v="8.27"/>
    <n v="8.07"/>
    <n v="7.87"/>
    <m/>
    <m/>
    <m/>
    <x v="2"/>
    <n v="3"/>
    <n v="7"/>
    <m/>
    <m/>
    <m/>
    <m/>
    <m/>
    <m/>
    <m/>
    <m/>
    <m/>
    <m/>
    <m/>
    <m/>
    <m/>
    <m/>
  </r>
  <r>
    <n v="810"/>
    <n v="33455"/>
    <d v="2002-03-21T00:00:00"/>
    <n v="23"/>
    <x v="0"/>
    <x v="1"/>
    <d v="2020-06-03T00:00:00"/>
    <n v="5.580821917808219"/>
    <x v="23"/>
    <x v="0"/>
    <x v="8"/>
    <x v="1"/>
    <n v="8.4700000000000006"/>
    <n v="8.27"/>
    <n v="8.07"/>
    <n v="7.87"/>
    <n v="7.67"/>
    <m/>
    <m/>
    <x v="2"/>
    <n v="4"/>
    <n v="4"/>
    <m/>
    <m/>
    <m/>
    <m/>
    <m/>
    <m/>
    <m/>
    <m/>
    <m/>
    <m/>
    <m/>
    <m/>
    <m/>
    <m/>
  </r>
  <r>
    <n v="811"/>
    <n v="33638"/>
    <d v="2000-09-02T00:00:00"/>
    <n v="25"/>
    <x v="1"/>
    <x v="1"/>
    <d v="2020-06-03T00:00:00"/>
    <n v="5.1205479452054794"/>
    <x v="26"/>
    <x v="0"/>
    <x v="10"/>
    <x v="1"/>
    <n v="10.59"/>
    <n v="10.36"/>
    <n v="10.119999999999999"/>
    <n v="9.93"/>
    <n v="9.64"/>
    <m/>
    <m/>
    <x v="3"/>
    <n v="0"/>
    <n v="6"/>
    <m/>
    <m/>
    <m/>
    <m/>
    <m/>
    <m/>
    <m/>
    <m/>
    <m/>
    <m/>
    <m/>
    <m/>
    <m/>
    <m/>
  </r>
  <r>
    <n v="812"/>
    <n v="33712"/>
    <d v="2002-06-10T00:00:00"/>
    <n v="23"/>
    <x v="1"/>
    <x v="1"/>
    <d v="2020-11-18T00:00:00"/>
    <n v="5.2931506849315069"/>
    <x v="47"/>
    <x v="0"/>
    <x v="3"/>
    <x v="1"/>
    <n v="8.4700000000000006"/>
    <n v="8.27"/>
    <n v="8.07"/>
    <n v="7.87"/>
    <n v="7.67"/>
    <m/>
    <m/>
    <x v="2"/>
    <n v="2"/>
    <n v="6"/>
    <m/>
    <m/>
    <m/>
    <m/>
    <m/>
    <m/>
    <m/>
    <m/>
    <m/>
    <m/>
    <m/>
    <m/>
    <m/>
    <m/>
  </r>
  <r>
    <n v="813"/>
    <n v="33736"/>
    <d v="1996-04-09T00:00:00"/>
    <n v="29"/>
    <x v="1"/>
    <x v="1"/>
    <d v="2020-09-16T00:00:00"/>
    <n v="5.1863013698630134"/>
    <x v="61"/>
    <x v="0"/>
    <x v="7"/>
    <x v="1"/>
    <n v="17.54"/>
    <n v="17.14"/>
    <n v="16.82"/>
    <n v="16.38"/>
    <n v="15.93"/>
    <m/>
    <m/>
    <x v="4"/>
    <n v="0"/>
    <n v="6"/>
    <m/>
    <m/>
    <m/>
    <m/>
    <m/>
    <m/>
    <m/>
    <m/>
    <m/>
    <m/>
    <m/>
    <m/>
    <m/>
    <m/>
  </r>
  <r>
    <n v="814"/>
    <n v="33753"/>
    <d v="1998-05-25T00:00:00"/>
    <n v="27"/>
    <x v="1"/>
    <x v="1"/>
    <d v="2020-10-25T00:00:00"/>
    <n v="5.4794520547945202"/>
    <x v="31"/>
    <x v="0"/>
    <x v="9"/>
    <x v="1"/>
    <n v="13.95"/>
    <n v="13.65"/>
    <n v="13.35"/>
    <n v="13.05"/>
    <n v="12.75"/>
    <m/>
    <m/>
    <x v="3"/>
    <n v="1"/>
    <n v="5"/>
    <m/>
    <m/>
    <m/>
    <m/>
    <m/>
    <m/>
    <m/>
    <m/>
    <m/>
    <m/>
    <m/>
    <m/>
    <m/>
    <m/>
  </r>
  <r>
    <n v="815"/>
    <n v="34025"/>
    <d v="2000-06-30T00:00:00"/>
    <n v="25"/>
    <x v="0"/>
    <x v="1"/>
    <d v="2020-07-10T00:00:00"/>
    <n v="5.0794520547945208"/>
    <x v="102"/>
    <x v="0"/>
    <x v="10"/>
    <x v="1"/>
    <n v="10.49"/>
    <n v="10.32"/>
    <n v="10.050000000000001"/>
    <n v="9.82"/>
    <n v="9.64"/>
    <m/>
    <m/>
    <x v="2"/>
    <n v="1"/>
    <n v="3"/>
    <m/>
    <m/>
    <m/>
    <m/>
    <m/>
    <m/>
    <m/>
    <m/>
    <m/>
    <m/>
    <m/>
    <m/>
    <m/>
    <m/>
  </r>
  <r>
    <n v="816"/>
    <n v="34139"/>
    <d v="1990-05-13T00:00:00"/>
    <n v="35"/>
    <x v="0"/>
    <x v="1"/>
    <d v="2020-12-03T00:00:00"/>
    <n v="5.4684931506849317"/>
    <x v="36"/>
    <x v="0"/>
    <x v="6"/>
    <x v="1"/>
    <n v="22.74"/>
    <n v="22.44"/>
    <n v="22.14"/>
    <n v="21.84"/>
    <n v="21.54"/>
    <m/>
    <m/>
    <x v="4"/>
    <n v="7"/>
    <n v="6"/>
    <m/>
    <m/>
    <m/>
    <m/>
    <m/>
    <m/>
    <m/>
    <m/>
    <m/>
    <m/>
    <m/>
    <m/>
    <m/>
    <m/>
  </r>
  <r>
    <n v="817"/>
    <n v="34167"/>
    <d v="2001-05-17T00:00:00"/>
    <n v="24"/>
    <x v="1"/>
    <x v="1"/>
    <d v="2020-07-14T00:00:00"/>
    <n v="5.7506849315068491"/>
    <x v="57"/>
    <x v="0"/>
    <x v="1"/>
    <x v="1"/>
    <n v="16.03"/>
    <n v="15.73"/>
    <n v="15.43"/>
    <n v="15.13"/>
    <n v="14.83"/>
    <m/>
    <m/>
    <x v="4"/>
    <n v="1"/>
    <n v="5"/>
    <m/>
    <m/>
    <m/>
    <m/>
    <m/>
    <m/>
    <m/>
    <m/>
    <m/>
    <m/>
    <m/>
    <m/>
    <m/>
    <m/>
  </r>
  <r>
    <n v="818"/>
    <n v="34227"/>
    <d v="1998-11-06T00:00:00"/>
    <n v="27"/>
    <x v="1"/>
    <x v="1"/>
    <d v="2020-04-02T00:00:00"/>
    <n v="5.1068493150684935"/>
    <x v="55"/>
    <x v="0"/>
    <x v="11"/>
    <x v="1"/>
    <n v="16.2"/>
    <n v="16"/>
    <n v="15.8"/>
    <n v="15.6"/>
    <n v="15.4"/>
    <m/>
    <m/>
    <x v="2"/>
    <n v="2"/>
    <n v="7"/>
    <m/>
    <m/>
    <m/>
    <m/>
    <m/>
    <m/>
    <m/>
    <m/>
    <m/>
    <m/>
    <m/>
    <m/>
    <m/>
    <m/>
  </r>
  <r>
    <n v="819"/>
    <n v="34231"/>
    <d v="1996-06-09T00:00:00"/>
    <n v="29"/>
    <x v="0"/>
    <x v="1"/>
    <d v="2020-11-23T00:00:00"/>
    <n v="5.0273972602739727"/>
    <x v="55"/>
    <x v="0"/>
    <x v="10"/>
    <x v="1"/>
    <n v="10.44"/>
    <n v="10.24"/>
    <n v="10.039999999999999"/>
    <n v="9.84"/>
    <n v="9.64"/>
    <m/>
    <m/>
    <x v="2"/>
    <n v="1"/>
    <n v="4"/>
    <m/>
    <m/>
    <m/>
    <m/>
    <m/>
    <m/>
    <m/>
    <m/>
    <m/>
    <m/>
    <m/>
    <m/>
    <m/>
    <m/>
  </r>
  <r>
    <n v="820"/>
    <n v="34315"/>
    <d v="1998-08-27T00:00:00"/>
    <n v="27"/>
    <x v="1"/>
    <x v="1"/>
    <d v="2020-12-22T00:00:00"/>
    <n v="5.2219178082191782"/>
    <x v="73"/>
    <x v="0"/>
    <x v="1"/>
    <x v="1"/>
    <n v="16.03"/>
    <n v="15.73"/>
    <n v="15.43"/>
    <n v="15.13"/>
    <n v="14.83"/>
    <m/>
    <m/>
    <x v="2"/>
    <n v="2"/>
    <n v="5"/>
    <m/>
    <m/>
    <m/>
    <m/>
    <m/>
    <m/>
    <m/>
    <m/>
    <m/>
    <m/>
    <m/>
    <m/>
    <m/>
    <m/>
  </r>
  <r>
    <n v="821"/>
    <n v="34326"/>
    <d v="1996-04-24T00:00:00"/>
    <n v="29"/>
    <x v="1"/>
    <x v="1"/>
    <d v="2020-10-12T00:00:00"/>
    <n v="5.0767123287671234"/>
    <x v="73"/>
    <x v="0"/>
    <x v="8"/>
    <x v="1"/>
    <n v="8.4700000000000006"/>
    <n v="8.27"/>
    <n v="8.07"/>
    <n v="7.87"/>
    <n v="7.67"/>
    <m/>
    <m/>
    <x v="2"/>
    <n v="4"/>
    <n v="7"/>
    <m/>
    <m/>
    <m/>
    <m/>
    <m/>
    <m/>
    <m/>
    <m/>
    <m/>
    <m/>
    <m/>
    <m/>
    <m/>
    <m/>
  </r>
  <r>
    <n v="822"/>
    <n v="34511"/>
    <d v="1989-11-16T00:00:00"/>
    <n v="36"/>
    <x v="0"/>
    <x v="1"/>
    <d v="2020-12-04T00:00:00"/>
    <n v="5.279452054794521"/>
    <x v="39"/>
    <x v="1"/>
    <x v="7"/>
    <x v="1"/>
    <n v="17.13"/>
    <n v="16.829999999999998"/>
    <n v="16.53"/>
    <n v="16.23"/>
    <n v="15.93"/>
    <m/>
    <m/>
    <x v="3"/>
    <n v="1"/>
    <n v="5"/>
    <m/>
    <m/>
    <m/>
    <m/>
    <m/>
    <m/>
    <m/>
    <m/>
    <m/>
    <m/>
    <m/>
    <m/>
    <m/>
    <m/>
  </r>
  <r>
    <n v="823"/>
    <n v="34529"/>
    <d v="1993-11-27T00:00:00"/>
    <n v="32"/>
    <x v="1"/>
    <x v="1"/>
    <d v="2020-09-21T00:00:00"/>
    <n v="4.956164383561644"/>
    <x v="39"/>
    <x v="1"/>
    <x v="8"/>
    <x v="1"/>
    <n v="8.4700000000000006"/>
    <n v="8.27"/>
    <n v="8.07"/>
    <n v="7.87"/>
    <n v="7.67"/>
    <m/>
    <m/>
    <x v="2"/>
    <n v="2"/>
    <n v="7"/>
    <m/>
    <m/>
    <m/>
    <m/>
    <m/>
    <m/>
    <m/>
    <m/>
    <m/>
    <m/>
    <m/>
    <m/>
    <m/>
    <m/>
  </r>
  <r>
    <n v="824"/>
    <n v="34722"/>
    <d v="1998-04-02T00:00:00"/>
    <n v="27"/>
    <x v="1"/>
    <x v="1"/>
    <d v="2021-01-17T00:00:00"/>
    <n v="5.4958904109589044"/>
    <x v="6"/>
    <x v="1"/>
    <x v="8"/>
    <x v="1"/>
    <n v="8.4700000000000006"/>
    <n v="8.27"/>
    <n v="8.07"/>
    <n v="7.87"/>
    <m/>
    <m/>
    <m/>
    <x v="2"/>
    <n v="3"/>
    <n v="6"/>
    <m/>
    <m/>
    <m/>
    <m/>
    <m/>
    <m/>
    <m/>
    <m/>
    <m/>
    <m/>
    <m/>
    <m/>
    <m/>
    <m/>
  </r>
  <r>
    <n v="825"/>
    <n v="34827"/>
    <d v="1999-12-01T00:00:00"/>
    <n v="27"/>
    <x v="0"/>
    <x v="0"/>
    <d v="2020-07-04T00:00:00"/>
    <n v="5.2465753424657535"/>
    <x v="30"/>
    <x v="1"/>
    <x v="9"/>
    <x v="1"/>
    <n v="13.95"/>
    <n v="13.65"/>
    <n v="13.35"/>
    <n v="13.05"/>
    <n v="12.75"/>
    <m/>
    <m/>
    <x v="2"/>
    <n v="1"/>
    <n v="4"/>
    <m/>
    <m/>
    <m/>
    <m/>
    <m/>
    <m/>
    <m/>
    <m/>
    <m/>
    <m/>
    <m/>
    <m/>
    <m/>
    <m/>
  </r>
  <r>
    <n v="826"/>
    <n v="34838"/>
    <d v="2000-12-04T00:00:00"/>
    <n v="25"/>
    <x v="0"/>
    <x v="1"/>
    <d v="2020-10-03T00:00:00"/>
    <n v="5.3095890410958901"/>
    <x v="30"/>
    <x v="1"/>
    <x v="8"/>
    <x v="1"/>
    <n v="8.4700000000000006"/>
    <n v="8.27"/>
    <n v="8.07"/>
    <n v="7.87"/>
    <n v="7.67"/>
    <m/>
    <m/>
    <x v="2"/>
    <n v="4"/>
    <n v="5"/>
    <m/>
    <m/>
    <m/>
    <m/>
    <m/>
    <m/>
    <m/>
    <m/>
    <m/>
    <m/>
    <m/>
    <m/>
    <m/>
    <m/>
  </r>
  <r>
    <n v="827"/>
    <n v="35030"/>
    <d v="2000-11-08T00:00:00"/>
    <n v="25"/>
    <x v="0"/>
    <x v="1"/>
    <d v="2020-09-10T00:00:00"/>
    <n v="5.602739726027397"/>
    <x v="121"/>
    <x v="1"/>
    <x v="10"/>
    <x v="1"/>
    <n v="10.44"/>
    <n v="10.24"/>
    <n v="10.039999999999999"/>
    <n v="9.84"/>
    <n v="9.64"/>
    <m/>
    <m/>
    <x v="2"/>
    <n v="0"/>
    <n v="5"/>
    <m/>
    <m/>
    <m/>
    <m/>
    <m/>
    <m/>
    <m/>
    <m/>
    <m/>
    <m/>
    <m/>
    <m/>
    <m/>
    <m/>
  </r>
  <r>
    <n v="828"/>
    <n v="35291"/>
    <d v="1999-03-20T00:00:00"/>
    <n v="26"/>
    <x v="0"/>
    <x v="1"/>
    <d v="2020-05-26T00:00:00"/>
    <n v="5.0273972602739727"/>
    <x v="64"/>
    <x v="1"/>
    <x v="10"/>
    <x v="1"/>
    <n v="10.44"/>
    <n v="10.24"/>
    <n v="10.039999999999999"/>
    <n v="9.84"/>
    <n v="9.64"/>
    <m/>
    <m/>
    <x v="2"/>
    <n v="1"/>
    <n v="5"/>
    <m/>
    <m/>
    <m/>
    <m/>
    <m/>
    <m/>
    <m/>
    <m/>
    <m/>
    <m/>
    <m/>
    <m/>
    <m/>
    <m/>
  </r>
  <r>
    <n v="829"/>
    <n v="35298"/>
    <d v="1995-12-14T00:00:00"/>
    <n v="30"/>
    <x v="1"/>
    <x v="1"/>
    <d v="2020-12-22T00:00:00"/>
    <n v="4.934246575342466"/>
    <x v="64"/>
    <x v="1"/>
    <x v="8"/>
    <x v="1"/>
    <n v="8.4700000000000006"/>
    <n v="8.27"/>
    <n v="8.07"/>
    <n v="7.87"/>
    <n v="7.67"/>
    <m/>
    <m/>
    <x v="2"/>
    <n v="0"/>
    <n v="6"/>
    <m/>
    <m/>
    <m/>
    <m/>
    <m/>
    <m/>
    <m/>
    <m/>
    <m/>
    <m/>
    <m/>
    <m/>
    <m/>
    <m/>
  </r>
  <r>
    <n v="830"/>
    <n v="35306"/>
    <d v="2002-12-12T00:00:00"/>
    <n v="23"/>
    <x v="1"/>
    <x v="0"/>
    <d v="2021-01-25T00:00:00"/>
    <n v="5.8054794520547945"/>
    <x v="64"/>
    <x v="1"/>
    <x v="8"/>
    <x v="1"/>
    <n v="8.4700000000000006"/>
    <n v="8.27"/>
    <n v="8.07"/>
    <n v="7.87"/>
    <m/>
    <m/>
    <m/>
    <x v="4"/>
    <n v="3"/>
    <n v="6"/>
    <m/>
    <m/>
    <m/>
    <m/>
    <m/>
    <m/>
    <m/>
    <m/>
    <m/>
    <m/>
    <m/>
    <m/>
    <m/>
    <m/>
  </r>
  <r>
    <n v="831"/>
    <n v="35309"/>
    <d v="1997-09-30T00:00:00"/>
    <n v="28"/>
    <x v="1"/>
    <x v="1"/>
    <d v="2020-03-13T00:00:00"/>
    <n v="5.5205479452054798"/>
    <x v="65"/>
    <x v="1"/>
    <x v="2"/>
    <x v="1"/>
    <n v="14.09"/>
    <n v="13.79"/>
    <n v="13.49"/>
    <n v="13.19"/>
    <n v="12.89"/>
    <m/>
    <m/>
    <x v="2"/>
    <n v="1"/>
    <n v="5"/>
    <m/>
    <m/>
    <m/>
    <m/>
    <m/>
    <m/>
    <m/>
    <m/>
    <m/>
    <m/>
    <m/>
    <m/>
    <m/>
    <m/>
  </r>
  <r>
    <n v="832"/>
    <n v="35347"/>
    <d v="1994-10-03T00:00:00"/>
    <n v="31"/>
    <x v="1"/>
    <x v="0"/>
    <d v="2020-06-25T00:00:00"/>
    <n v="5.3589041095890408"/>
    <x v="66"/>
    <x v="1"/>
    <x v="8"/>
    <x v="1"/>
    <n v="8.4700000000000006"/>
    <n v="8.27"/>
    <n v="8.07"/>
    <n v="7.87"/>
    <n v="7.67"/>
    <m/>
    <m/>
    <x v="2"/>
    <n v="1"/>
    <n v="5"/>
    <m/>
    <m/>
    <m/>
    <m/>
    <m/>
    <m/>
    <m/>
    <m/>
    <m/>
    <m/>
    <m/>
    <m/>
    <m/>
    <m/>
  </r>
  <r>
    <n v="833"/>
    <n v="35443"/>
    <d v="1998-10-01T00:00:00"/>
    <n v="28"/>
    <x v="1"/>
    <x v="1"/>
    <d v="2020-08-23T00:00:00"/>
    <n v="5.5506849315068489"/>
    <x v="71"/>
    <x v="1"/>
    <x v="10"/>
    <x v="1"/>
    <n v="10.44"/>
    <n v="10.24"/>
    <n v="10.039999999999999"/>
    <n v="9.84"/>
    <n v="9.64"/>
    <m/>
    <m/>
    <x v="2"/>
    <n v="0"/>
    <n v="3"/>
    <m/>
    <m/>
    <m/>
    <m/>
    <m/>
    <m/>
    <m/>
    <m/>
    <m/>
    <m/>
    <m/>
    <m/>
    <m/>
    <m/>
  </r>
  <r>
    <n v="834"/>
    <n v="35493"/>
    <d v="1999-05-24T00:00:00"/>
    <n v="26"/>
    <x v="0"/>
    <x v="1"/>
    <d v="2020-06-14T00:00:00"/>
    <n v="5.0931506849315067"/>
    <x v="72"/>
    <x v="1"/>
    <x v="10"/>
    <x v="1"/>
    <n v="10.1"/>
    <n v="9.89"/>
    <n v="9.7799999999999994"/>
    <n v="9.7799999999999994"/>
    <n v="9.64"/>
    <m/>
    <m/>
    <x v="2"/>
    <n v="0"/>
    <n v="4"/>
    <m/>
    <m/>
    <m/>
    <m/>
    <m/>
    <m/>
    <m/>
    <m/>
    <m/>
    <m/>
    <m/>
    <m/>
    <m/>
    <m/>
  </r>
  <r>
    <n v="835"/>
    <n v="35550"/>
    <d v="1999-07-09T00:00:00"/>
    <n v="26"/>
    <x v="1"/>
    <x v="1"/>
    <d v="2020-11-28T00:00:00"/>
    <n v="5.4328767123287669"/>
    <x v="122"/>
    <x v="1"/>
    <x v="1"/>
    <x v="1"/>
    <n v="15.67"/>
    <n v="15.32"/>
    <n v="15.09"/>
    <n v="15.09"/>
    <n v="14.83"/>
    <m/>
    <m/>
    <x v="3"/>
    <n v="0"/>
    <n v="6"/>
    <m/>
    <m/>
    <m/>
    <m/>
    <m/>
    <m/>
    <m/>
    <m/>
    <m/>
    <m/>
    <m/>
    <m/>
    <m/>
    <m/>
  </r>
  <r>
    <n v="836"/>
    <n v="35559"/>
    <d v="1990-10-07T00:00:00"/>
    <n v="35"/>
    <x v="0"/>
    <x v="1"/>
    <d v="2020-07-27T00:00:00"/>
    <n v="5.2602739726027394"/>
    <x v="76"/>
    <x v="1"/>
    <x v="11"/>
    <x v="1"/>
    <n v="16.2"/>
    <n v="16"/>
    <n v="15.8"/>
    <n v="15.6"/>
    <n v="15.4"/>
    <m/>
    <m/>
    <x v="2"/>
    <n v="3"/>
    <n v="6"/>
    <m/>
    <m/>
    <m/>
    <m/>
    <m/>
    <m/>
    <m/>
    <m/>
    <m/>
    <m/>
    <m/>
    <m/>
    <m/>
    <m/>
  </r>
  <r>
    <n v="837"/>
    <n v="35564"/>
    <d v="1985-09-22T00:00:00"/>
    <n v="40"/>
    <x v="1"/>
    <x v="1"/>
    <d v="2020-09-28T00:00:00"/>
    <n v="5.2493150684931509"/>
    <x v="76"/>
    <x v="1"/>
    <x v="7"/>
    <x v="1"/>
    <n v="17.13"/>
    <n v="16.829999999999998"/>
    <n v="16.53"/>
    <n v="16.23"/>
    <n v="15.93"/>
    <m/>
    <m/>
    <x v="2"/>
    <n v="1"/>
    <n v="6"/>
    <m/>
    <m/>
    <m/>
    <m/>
    <m/>
    <m/>
    <m/>
    <m/>
    <m/>
    <m/>
    <m/>
    <m/>
    <m/>
    <m/>
  </r>
  <r>
    <n v="838"/>
    <n v="35706"/>
    <d v="1998-02-19T00:00:00"/>
    <n v="27"/>
    <x v="0"/>
    <x v="1"/>
    <d v="2020-10-02T00:00:00"/>
    <n v="5.1890410958904107"/>
    <x v="80"/>
    <x v="1"/>
    <x v="10"/>
    <x v="1"/>
    <n v="9.84"/>
    <n v="9.74"/>
    <n v="9.74"/>
    <n v="9.74"/>
    <n v="9.64"/>
    <m/>
    <m/>
    <x v="2"/>
    <n v="1"/>
    <n v="3"/>
    <m/>
    <m/>
    <m/>
    <m/>
    <m/>
    <m/>
    <m/>
    <m/>
    <m/>
    <m/>
    <m/>
    <m/>
    <m/>
    <m/>
  </r>
  <r>
    <n v="839"/>
    <n v="35731"/>
    <d v="1994-02-14T00:00:00"/>
    <n v="31"/>
    <x v="0"/>
    <x v="1"/>
    <d v="2020-10-24T00:00:00"/>
    <n v="5.7369863013698632"/>
    <x v="107"/>
    <x v="1"/>
    <x v="9"/>
    <x v="1"/>
    <n v="13.95"/>
    <n v="13.65"/>
    <n v="13.35"/>
    <n v="13.05"/>
    <n v="12.75"/>
    <m/>
    <m/>
    <x v="3"/>
    <n v="1"/>
    <n v="3"/>
    <m/>
    <m/>
    <m/>
    <m/>
    <m/>
    <m/>
    <m/>
    <m/>
    <m/>
    <m/>
    <m/>
    <m/>
    <m/>
    <m/>
  </r>
  <r>
    <n v="840"/>
    <n v="35889"/>
    <d v="2001-01-10T00:00:00"/>
    <n v="24"/>
    <x v="1"/>
    <x v="0"/>
    <d v="2020-04-07T00:00:00"/>
    <n v="5.2849315068493148"/>
    <x v="99"/>
    <x v="1"/>
    <x v="1"/>
    <x v="1"/>
    <n v="15.13"/>
    <n v="14.98"/>
    <n v="14.98"/>
    <n v="14.83"/>
    <n v="14.83"/>
    <m/>
    <m/>
    <x v="2"/>
    <n v="1"/>
    <n v="6"/>
    <m/>
    <m/>
    <m/>
    <m/>
    <m/>
    <m/>
    <m/>
    <m/>
    <m/>
    <m/>
    <m/>
    <m/>
    <m/>
    <m/>
  </r>
  <r>
    <n v="841"/>
    <n v="35951"/>
    <d v="2001-04-14T00:00:00"/>
    <n v="24"/>
    <x v="1"/>
    <x v="1"/>
    <d v="2020-09-19T00:00:00"/>
    <n v="4.882191780821918"/>
    <x v="86"/>
    <x v="1"/>
    <x v="9"/>
    <x v="1"/>
    <n v="13.95"/>
    <n v="13.65"/>
    <n v="13.35"/>
    <n v="13.05"/>
    <n v="12.75"/>
    <m/>
    <m/>
    <x v="3"/>
    <n v="1"/>
    <n v="7"/>
    <m/>
    <m/>
    <m/>
    <m/>
    <m/>
    <m/>
    <m/>
    <m/>
    <m/>
    <m/>
    <m/>
    <m/>
    <m/>
    <m/>
  </r>
  <r>
    <n v="842"/>
    <n v="36039"/>
    <d v="1994-09-28T00:00:00"/>
    <n v="31"/>
    <x v="0"/>
    <x v="1"/>
    <d v="2021-02-13T00:00:00"/>
    <n v="5.0575342465753428"/>
    <x v="92"/>
    <x v="1"/>
    <x v="7"/>
    <x v="1"/>
    <n v="17"/>
    <n v="16.670000000000002"/>
    <n v="16.41"/>
    <n v="16.22"/>
    <m/>
    <m/>
    <m/>
    <x v="3"/>
    <n v="2"/>
    <n v="3"/>
    <m/>
    <m/>
    <m/>
    <m/>
    <m/>
    <m/>
    <m/>
    <m/>
    <m/>
    <m/>
    <m/>
    <m/>
    <m/>
    <m/>
  </r>
  <r>
    <n v="843"/>
    <n v="36048"/>
    <d v="2001-01-18T00:00:00"/>
    <n v="24"/>
    <x v="1"/>
    <x v="1"/>
    <d v="2020-12-11T00:00:00"/>
    <n v="5.0273972602739727"/>
    <x v="92"/>
    <x v="1"/>
    <x v="8"/>
    <x v="1"/>
    <n v="8.6300000000000008"/>
    <n v="8.35"/>
    <n v="8.06"/>
    <n v="7.89"/>
    <n v="7.67"/>
    <m/>
    <m/>
    <x v="2"/>
    <n v="0"/>
    <n v="6"/>
    <m/>
    <m/>
    <m/>
    <m/>
    <m/>
    <m/>
    <m/>
    <m/>
    <m/>
    <m/>
    <m/>
    <m/>
    <m/>
    <m/>
  </r>
  <r>
    <n v="844"/>
    <n v="36056"/>
    <d v="1990-06-12T00:00:00"/>
    <n v="35"/>
    <x v="1"/>
    <x v="1"/>
    <d v="2020-12-22T00:00:00"/>
    <n v="5.1424657534246574"/>
    <x v="126"/>
    <x v="1"/>
    <x v="2"/>
    <x v="1"/>
    <n v="13.49"/>
    <n v="13.34"/>
    <n v="13.19"/>
    <n v="13.04"/>
    <n v="12.89"/>
    <m/>
    <m/>
    <x v="2"/>
    <n v="1"/>
    <n v="5"/>
    <m/>
    <m/>
    <m/>
    <m/>
    <m/>
    <m/>
    <m/>
    <m/>
    <m/>
    <m/>
    <m/>
    <m/>
    <m/>
    <m/>
  </r>
  <r>
    <n v="845"/>
    <n v="36060"/>
    <d v="1996-11-17T00:00:00"/>
    <n v="29"/>
    <x v="0"/>
    <x v="1"/>
    <d v="2020-11-10T00:00:00"/>
    <n v="4.419178082191781"/>
    <x v="126"/>
    <x v="1"/>
    <x v="7"/>
    <x v="1"/>
    <n v="16.53"/>
    <n v="16.38"/>
    <n v="16.23"/>
    <n v="16.079999999999998"/>
    <n v="15.93"/>
    <m/>
    <m/>
    <x v="3"/>
    <n v="3"/>
    <n v="4"/>
    <m/>
    <m/>
    <m/>
    <m/>
    <m/>
    <m/>
    <m/>
    <m/>
    <m/>
    <m/>
    <m/>
    <m/>
    <m/>
    <m/>
  </r>
  <r>
    <n v="846"/>
    <n v="36128"/>
    <d v="1997-09-07T00:00:00"/>
    <n v="28"/>
    <x v="1"/>
    <x v="0"/>
    <d v="2021-08-01T00:00:00"/>
    <n v="4.419178082191781"/>
    <x v="3"/>
    <x v="0"/>
    <x v="12"/>
    <x v="0"/>
    <n v="53517"/>
    <n v="52517"/>
    <n v="51517"/>
    <n v="49517"/>
    <m/>
    <m/>
    <m/>
    <x v="5"/>
    <n v="2"/>
    <n v="5"/>
    <n v="6"/>
    <d v="2022-12-13T00:00:00"/>
    <s v="Assistant Manager, Medium Market"/>
    <m/>
    <m/>
    <m/>
    <m/>
    <n v="3"/>
    <n v="5"/>
    <n v="3"/>
    <n v="3"/>
    <m/>
    <m/>
    <m/>
  </r>
  <r>
    <n v="847"/>
    <n v="36129"/>
    <d v="1996-05-20T00:00:00"/>
    <n v="29"/>
    <x v="1"/>
    <x v="0"/>
    <d v="2021-08-01T00:00:00"/>
    <n v="3.419178082191781"/>
    <x v="7"/>
    <x v="0"/>
    <x v="12"/>
    <x v="0"/>
    <n v="53767"/>
    <n v="52267"/>
    <n v="51517"/>
    <n v="49517"/>
    <m/>
    <m/>
    <m/>
    <x v="9"/>
    <n v="4"/>
    <n v="7"/>
    <n v="5"/>
    <d v="2023-01-07T00:00:00"/>
    <s v="Assistant Manager, Medium Market"/>
    <m/>
    <m/>
    <m/>
    <m/>
    <n v="5"/>
    <n v="5"/>
    <n v="2"/>
    <n v="1"/>
    <m/>
    <m/>
    <m/>
  </r>
  <r>
    <n v="848"/>
    <n v="36130"/>
    <d v="1993-10-25T00:00:00"/>
    <n v="32"/>
    <x v="1"/>
    <x v="1"/>
    <d v="2022-08-01T00:00:00"/>
    <n v="3.419178082191781"/>
    <x v="124"/>
    <x v="0"/>
    <x v="12"/>
    <x v="0"/>
    <n v="55267"/>
    <n v="53767"/>
    <n v="52517"/>
    <m/>
    <m/>
    <m/>
    <m/>
    <x v="7"/>
    <n v="2"/>
    <n v="6"/>
    <n v="7"/>
    <d v="2022-08-19T00:00:00"/>
    <s v="Assistant Manager, Medium Market"/>
    <m/>
    <m/>
    <m/>
    <m/>
    <n v="5"/>
    <n v="5"/>
    <n v="4"/>
    <m/>
    <m/>
    <m/>
    <m/>
  </r>
  <r>
    <n v="849"/>
    <n v="36136"/>
    <d v="1997-06-04T00:00:00"/>
    <n v="28"/>
    <x v="1"/>
    <x v="1"/>
    <d v="2022-08-01T00:00:00"/>
    <n v="3.419178082191781"/>
    <x v="67"/>
    <x v="0"/>
    <x v="12"/>
    <x v="0"/>
    <n v="55767"/>
    <n v="54267"/>
    <n v="53017"/>
    <m/>
    <m/>
    <m/>
    <m/>
    <x v="10"/>
    <n v="2"/>
    <n v="7"/>
    <n v="7"/>
    <d v="2022-08-19T00:00:00"/>
    <s v="Assistant Manager, Medium Market"/>
    <m/>
    <m/>
    <m/>
    <m/>
    <n v="5"/>
    <n v="5"/>
    <n v="4"/>
    <m/>
    <m/>
    <m/>
    <m/>
  </r>
  <r>
    <n v="850"/>
    <n v="36139"/>
    <d v="1997-10-30T00:00:00"/>
    <n v="28"/>
    <x v="1"/>
    <x v="1"/>
    <d v="2022-08-01T00:00:00"/>
    <n v="4.419178082191781"/>
    <x v="38"/>
    <x v="0"/>
    <x v="12"/>
    <x v="0"/>
    <n v="58517"/>
    <n v="56517"/>
    <n v="54517"/>
    <m/>
    <m/>
    <m/>
    <m/>
    <x v="7"/>
    <n v="4"/>
    <n v="5"/>
    <n v="5"/>
    <d v="2022-11-11T00:00:00"/>
    <s v="Assistant Manager, Medium Market"/>
    <m/>
    <m/>
    <m/>
    <m/>
    <n v="5"/>
    <n v="5"/>
    <n v="5"/>
    <m/>
    <m/>
    <m/>
    <m/>
  </r>
  <r>
    <n v="851"/>
    <n v="36140"/>
    <d v="1997-06-26T00:00:00"/>
    <n v="28"/>
    <x v="1"/>
    <x v="0"/>
    <d v="2021-08-01T00:00:00"/>
    <n v="4.419178082191781"/>
    <x v="16"/>
    <x v="0"/>
    <x v="12"/>
    <x v="0"/>
    <n v="53517"/>
    <n v="52517"/>
    <n v="51517"/>
    <n v="49517"/>
    <m/>
    <m/>
    <m/>
    <x v="10"/>
    <n v="1"/>
    <n v="7"/>
    <n v="6"/>
    <d v="2022-12-09T00:00:00"/>
    <s v="Assistant Manager, Medium Market"/>
    <m/>
    <m/>
    <m/>
    <m/>
    <n v="4"/>
    <n v="5"/>
    <n v="2"/>
    <n v="2"/>
    <m/>
    <m/>
    <m/>
  </r>
  <r>
    <n v="852"/>
    <n v="36142"/>
    <d v="1995-11-07T00:00:00"/>
    <n v="30"/>
    <x v="1"/>
    <x v="1"/>
    <d v="2021-08-01T00:00:00"/>
    <n v="3.419178082191781"/>
    <x v="88"/>
    <x v="0"/>
    <x v="12"/>
    <x v="0"/>
    <n v="55900"/>
    <n v="54542"/>
    <n v="53432"/>
    <n v="49517"/>
    <m/>
    <m/>
    <m/>
    <x v="10"/>
    <n v="4"/>
    <n v="7"/>
    <n v="6"/>
    <d v="2022-06-18T00:00:00"/>
    <s v="Assistant Manager, Medium Market"/>
    <m/>
    <m/>
    <m/>
    <m/>
    <n v="5"/>
    <n v="5"/>
    <n v="3"/>
    <n v="2"/>
    <m/>
    <m/>
    <m/>
  </r>
  <r>
    <n v="853"/>
    <n v="36145"/>
    <d v="1996-09-30T00:00:00"/>
    <n v="29"/>
    <x v="0"/>
    <x v="1"/>
    <d v="2022-08-01T00:00:00"/>
    <n v="4.419178082191781"/>
    <x v="23"/>
    <x v="0"/>
    <x v="12"/>
    <x v="0"/>
    <n v="56017"/>
    <n v="54017"/>
    <n v="52517"/>
    <m/>
    <m/>
    <m/>
    <m/>
    <x v="6"/>
    <n v="4"/>
    <n v="5"/>
    <n v="4"/>
    <d v="2022-05-22T00:00:00"/>
    <s v="Assistant Manager, Medium Market"/>
    <m/>
    <m/>
    <m/>
    <m/>
    <n v="5"/>
    <n v="5"/>
    <n v="4"/>
    <m/>
    <m/>
    <m/>
    <m/>
  </r>
  <r>
    <n v="854"/>
    <n v="36146"/>
    <d v="1997-06-28T00:00:00"/>
    <n v="28"/>
    <x v="1"/>
    <x v="1"/>
    <d v="2021-08-01T00:00:00"/>
    <n v="3.419178082191781"/>
    <x v="31"/>
    <x v="0"/>
    <x v="12"/>
    <x v="0"/>
    <n v="53517"/>
    <n v="52517"/>
    <n v="51517"/>
    <n v="49517"/>
    <m/>
    <m/>
    <m/>
    <x v="0"/>
    <n v="2"/>
    <n v="7"/>
    <n v="6"/>
    <d v="2022-05-15T00:00:00"/>
    <s v="Assistant Manager, Medium Market"/>
    <m/>
    <m/>
    <m/>
    <m/>
    <n v="5"/>
    <n v="5"/>
    <n v="5"/>
    <n v="5"/>
    <m/>
    <m/>
    <m/>
  </r>
  <r>
    <n v="855"/>
    <n v="36150"/>
    <d v="1996-08-18T00:00:00"/>
    <n v="29"/>
    <x v="0"/>
    <x v="1"/>
    <d v="2022-08-01T00:00:00"/>
    <n v="3.419178082191781"/>
    <x v="38"/>
    <x v="0"/>
    <x v="12"/>
    <x v="0"/>
    <n v="57017"/>
    <n v="55017"/>
    <n v="53517"/>
    <m/>
    <m/>
    <m/>
    <m/>
    <x v="10"/>
    <n v="4"/>
    <n v="6"/>
    <n v="6"/>
    <d v="2023-02-06T00:00:00"/>
    <s v="Assistant Manager, Medium Market"/>
    <m/>
    <m/>
    <m/>
    <m/>
    <n v="5"/>
    <n v="5"/>
    <n v="4"/>
    <m/>
    <m/>
    <m/>
    <m/>
  </r>
  <r>
    <n v="856"/>
    <n v="36152"/>
    <d v="1995-11-25T00:00:00"/>
    <n v="30"/>
    <x v="1"/>
    <x v="1"/>
    <d v="2022-08-01T00:00:00"/>
    <n v="3.419178082191781"/>
    <x v="137"/>
    <x v="0"/>
    <x v="12"/>
    <x v="0"/>
    <n v="51017"/>
    <n v="50517"/>
    <n v="50517"/>
    <m/>
    <m/>
    <m/>
    <m/>
    <x v="12"/>
    <n v="4"/>
    <n v="7"/>
    <n v="7"/>
    <d v="2022-05-03T00:00:00"/>
    <s v="Assistant Manager, Medium Market"/>
    <m/>
    <m/>
    <m/>
    <m/>
    <n v="5"/>
    <n v="3"/>
    <n v="2"/>
    <m/>
    <m/>
    <m/>
    <m/>
  </r>
  <r>
    <n v="857"/>
    <n v="36154"/>
    <d v="1995-06-29T00:00:00"/>
    <n v="30"/>
    <x v="1"/>
    <x v="1"/>
    <d v="2022-08-01T00:00:00"/>
    <n v="4.3863013698630136"/>
    <x v="32"/>
    <x v="0"/>
    <x v="12"/>
    <x v="0"/>
    <n v="53078"/>
    <n v="53078"/>
    <n v="52265"/>
    <m/>
    <m/>
    <m/>
    <m/>
    <x v="9"/>
    <n v="4"/>
    <n v="6"/>
    <n v="7"/>
    <d v="2022-08-30T00:00:00"/>
    <s v="Assistant Manager, Medium Market"/>
    <m/>
    <m/>
    <m/>
    <m/>
    <n v="5"/>
    <n v="5"/>
    <n v="3"/>
    <m/>
    <m/>
    <m/>
    <m/>
  </r>
  <r>
    <n v="858"/>
    <n v="36157"/>
    <d v="1986-01-28T00:00:00"/>
    <n v="39"/>
    <x v="0"/>
    <x v="1"/>
    <d v="2021-08-13T00:00:00"/>
    <n v="3.419178082191781"/>
    <x v="137"/>
    <x v="0"/>
    <x v="0"/>
    <x v="0"/>
    <n v="75317"/>
    <n v="74567"/>
    <n v="73817"/>
    <n v="73067"/>
    <m/>
    <m/>
    <m/>
    <x v="8"/>
    <n v="4"/>
    <n v="6"/>
    <n v="5"/>
    <m/>
    <m/>
    <m/>
    <m/>
    <m/>
    <m/>
    <n v="3"/>
    <n v="5"/>
    <n v="4"/>
    <n v="4"/>
    <m/>
    <m/>
    <m/>
  </r>
  <r>
    <n v="859"/>
    <n v="36163"/>
    <d v="1996-04-24T00:00:00"/>
    <n v="29"/>
    <x v="1"/>
    <x v="1"/>
    <d v="2022-08-01T00:00:00"/>
    <n v="3.419178082191781"/>
    <x v="57"/>
    <x v="0"/>
    <x v="12"/>
    <x v="0"/>
    <n v="56017"/>
    <n v="54517"/>
    <n v="53017"/>
    <m/>
    <m/>
    <m/>
    <m/>
    <x v="6"/>
    <n v="1"/>
    <n v="6"/>
    <n v="6"/>
    <d v="2022-11-20T00:00:00"/>
    <s v="Assistant Manager, Medium Market"/>
    <m/>
    <m/>
    <m/>
    <m/>
    <n v="4"/>
    <n v="5"/>
    <n v="5"/>
    <m/>
    <m/>
    <m/>
    <m/>
  </r>
  <r>
    <n v="860"/>
    <n v="36165"/>
    <d v="1996-06-27T00:00:00"/>
    <n v="29"/>
    <x v="1"/>
    <x v="1"/>
    <d v="2022-08-01T00:00:00"/>
    <n v="3.419178082191781"/>
    <x v="37"/>
    <x v="0"/>
    <x v="12"/>
    <x v="0"/>
    <n v="53517"/>
    <n v="52517"/>
    <n v="51517"/>
    <m/>
    <m/>
    <m/>
    <m/>
    <x v="10"/>
    <n v="4"/>
    <n v="7"/>
    <n v="6"/>
    <d v="2023-01-22T00:00:00"/>
    <s v="Assistant Manager, Medium Market"/>
    <m/>
    <m/>
    <m/>
    <m/>
    <n v="3"/>
    <n v="3"/>
    <n v="2"/>
    <m/>
    <m/>
    <m/>
    <m/>
  </r>
  <r>
    <n v="861"/>
    <n v="36168"/>
    <d v="1995-07-06T00:00:00"/>
    <n v="30"/>
    <x v="0"/>
    <x v="1"/>
    <d v="2022-08-01T00:00:00"/>
    <n v="4.419178082191781"/>
    <x v="13"/>
    <x v="0"/>
    <x v="12"/>
    <x v="0"/>
    <n v="53517"/>
    <n v="52517"/>
    <n v="51517"/>
    <m/>
    <m/>
    <m/>
    <m/>
    <x v="0"/>
    <n v="4"/>
    <n v="5"/>
    <n v="5"/>
    <d v="2022-07-20T00:00:00"/>
    <s v="Assistant Manager, Medium Market"/>
    <m/>
    <m/>
    <m/>
    <m/>
    <n v="5"/>
    <n v="5"/>
    <n v="3"/>
    <m/>
    <m/>
    <m/>
    <m/>
  </r>
  <r>
    <n v="862"/>
    <n v="36170"/>
    <d v="1995-09-02T00:00:00"/>
    <n v="30"/>
    <x v="1"/>
    <x v="1"/>
    <d v="2021-08-01T00:00:00"/>
    <n v="4.419178082191781"/>
    <x v="23"/>
    <x v="0"/>
    <x v="12"/>
    <x v="0"/>
    <n v="56017"/>
    <n v="54517"/>
    <n v="52517"/>
    <n v="49517"/>
    <m/>
    <m/>
    <m/>
    <x v="5"/>
    <n v="2"/>
    <n v="6"/>
    <n v="7"/>
    <d v="2022-11-24T00:00:00"/>
    <s v="Assistant Manager, Medium Market"/>
    <m/>
    <m/>
    <m/>
    <m/>
    <n v="5"/>
    <n v="4"/>
    <n v="5"/>
    <n v="3"/>
    <m/>
    <m/>
    <m/>
  </r>
  <r>
    <n v="863"/>
    <n v="36171"/>
    <d v="1996-04-06T00:00:00"/>
    <n v="29"/>
    <x v="0"/>
    <x v="1"/>
    <d v="2021-08-01T00:00:00"/>
    <n v="4.419178082191781"/>
    <x v="25"/>
    <x v="0"/>
    <x v="12"/>
    <x v="0"/>
    <n v="57517"/>
    <n v="55517"/>
    <n v="53517"/>
    <n v="49517"/>
    <m/>
    <m/>
    <m/>
    <x v="0"/>
    <n v="2"/>
    <n v="5"/>
    <n v="4"/>
    <d v="2022-11-18T00:00:00"/>
    <s v="Assistant Manager, Medium Market"/>
    <m/>
    <m/>
    <m/>
    <m/>
    <n v="4"/>
    <n v="5"/>
    <n v="5"/>
    <n v="4"/>
    <m/>
    <m/>
    <m/>
  </r>
  <r>
    <n v="864"/>
    <n v="36172"/>
    <d v="1995-02-06T00:00:00"/>
    <n v="30"/>
    <x v="1"/>
    <x v="1"/>
    <d v="2021-08-01T00:00:00"/>
    <n v="4.419178082191781"/>
    <x v="49"/>
    <x v="0"/>
    <x v="12"/>
    <x v="0"/>
    <n v="54517"/>
    <n v="53267"/>
    <n v="52017"/>
    <n v="49517"/>
    <m/>
    <m/>
    <m/>
    <x v="11"/>
    <n v="1"/>
    <n v="6"/>
    <n v="7"/>
    <d v="2022-09-14T00:00:00"/>
    <s v="Assistant Manager, Medium Market"/>
    <m/>
    <m/>
    <m/>
    <m/>
    <n v="4"/>
    <n v="4"/>
    <n v="4"/>
    <n v="2"/>
    <m/>
    <m/>
    <m/>
  </r>
  <r>
    <n v="865"/>
    <n v="36179"/>
    <d v="1995-05-15T00:00:00"/>
    <n v="30"/>
    <x v="0"/>
    <x v="1"/>
    <d v="2021-08-01T00:00:00"/>
    <n v="3.419178082191781"/>
    <x v="27"/>
    <x v="0"/>
    <x v="12"/>
    <x v="0"/>
    <n v="53517"/>
    <n v="52517"/>
    <n v="51517"/>
    <n v="49517"/>
    <m/>
    <m/>
    <m/>
    <x v="12"/>
    <n v="4"/>
    <n v="5"/>
    <n v="6"/>
    <d v="2022-02-01T00:00:00"/>
    <s v="Assistant Manager, Medium Market"/>
    <m/>
    <m/>
    <m/>
    <m/>
    <n v="5"/>
    <n v="5"/>
    <n v="3"/>
    <n v="3"/>
    <m/>
    <m/>
    <m/>
  </r>
  <r>
    <n v="866"/>
    <n v="36183"/>
    <d v="1997-10-28T00:00:00"/>
    <n v="28"/>
    <x v="0"/>
    <x v="1"/>
    <d v="2022-08-01T00:00:00"/>
    <n v="4.419178082191781"/>
    <x v="14"/>
    <x v="0"/>
    <x v="12"/>
    <x v="0"/>
    <n v="53517"/>
    <n v="52517"/>
    <n v="51517"/>
    <m/>
    <m/>
    <m/>
    <m/>
    <x v="7"/>
    <n v="4"/>
    <n v="5"/>
    <n v="6"/>
    <d v="2022-05-01T00:00:00"/>
    <s v="Assistant Manager, Medium Market"/>
    <m/>
    <m/>
    <m/>
    <m/>
    <n v="5"/>
    <n v="3"/>
    <n v="1"/>
    <m/>
    <m/>
    <m/>
    <m/>
  </r>
  <r>
    <n v="867"/>
    <n v="36188"/>
    <d v="1996-09-24T00:00:00"/>
    <n v="29"/>
    <x v="0"/>
    <x v="1"/>
    <d v="2021-08-01T00:00:00"/>
    <n v="4.419178082191781"/>
    <x v="32"/>
    <x v="0"/>
    <x v="12"/>
    <x v="0"/>
    <n v="54654"/>
    <n v="53180"/>
    <n v="53180"/>
    <n v="49517"/>
    <m/>
    <m/>
    <m/>
    <x v="7"/>
    <n v="2"/>
    <n v="5"/>
    <n v="5"/>
    <d v="2022-12-11T00:00:00"/>
    <s v="Assistant Manager, Medium Market"/>
    <m/>
    <m/>
    <m/>
    <m/>
    <n v="3"/>
    <n v="5"/>
    <n v="5"/>
    <n v="2"/>
    <m/>
    <m/>
    <m/>
  </r>
  <r>
    <n v="868"/>
    <n v="36196"/>
    <d v="1992-01-31T00:00:00"/>
    <n v="33"/>
    <x v="1"/>
    <x v="1"/>
    <d v="2021-08-01T00:00:00"/>
    <n v="3.419178082191781"/>
    <x v="49"/>
    <x v="0"/>
    <x v="12"/>
    <x v="0"/>
    <n v="53767"/>
    <n v="52767"/>
    <n v="52017"/>
    <n v="49517"/>
    <m/>
    <m/>
    <m/>
    <x v="9"/>
    <n v="2"/>
    <n v="7"/>
    <n v="5"/>
    <d v="2022-03-17T00:00:00"/>
    <s v="Assistant Manager, Medium Market"/>
    <m/>
    <m/>
    <m/>
    <m/>
    <n v="4"/>
    <n v="3"/>
    <n v="2"/>
    <n v="2"/>
    <m/>
    <m/>
    <m/>
  </r>
  <r>
    <n v="869"/>
    <n v="36199"/>
    <d v="1997-03-12T00:00:00"/>
    <n v="28"/>
    <x v="1"/>
    <x v="0"/>
    <d v="2022-08-01T00:00:00"/>
    <n v="3.419178082191781"/>
    <x v="102"/>
    <x v="0"/>
    <x v="12"/>
    <x v="0"/>
    <n v="54758"/>
    <n v="53410"/>
    <n v="52373"/>
    <m/>
    <m/>
    <m/>
    <m/>
    <x v="11"/>
    <n v="3"/>
    <n v="7"/>
    <n v="6"/>
    <d v="2022-04-19T00:00:00"/>
    <s v="Assistant Manager, Medium Market"/>
    <m/>
    <m/>
    <m/>
    <m/>
    <n v="5"/>
    <n v="4"/>
    <n v="3"/>
    <m/>
    <m/>
    <m/>
    <m/>
  </r>
  <r>
    <n v="870"/>
    <n v="36202"/>
    <d v="1997-03-31T00:00:00"/>
    <n v="28"/>
    <x v="1"/>
    <x v="1"/>
    <d v="2022-08-01T00:00:00"/>
    <n v="4.419178082191781"/>
    <x v="138"/>
    <x v="0"/>
    <x v="12"/>
    <x v="0"/>
    <n v="53517"/>
    <n v="52517"/>
    <n v="51517"/>
    <m/>
    <m/>
    <m/>
    <m/>
    <x v="8"/>
    <n v="4"/>
    <n v="7"/>
    <n v="6"/>
    <d v="2022-09-12T00:00:00"/>
    <s v="Assistant Manager, Medium Market"/>
    <m/>
    <m/>
    <m/>
    <m/>
    <n v="4"/>
    <n v="4"/>
    <n v="5"/>
    <m/>
    <m/>
    <m/>
    <m/>
  </r>
  <r>
    <n v="871"/>
    <n v="36208"/>
    <d v="1997-04-10T00:00:00"/>
    <n v="28"/>
    <x v="1"/>
    <x v="1"/>
    <d v="2021-08-01T00:00:00"/>
    <n v="3.419178082191781"/>
    <x v="25"/>
    <x v="0"/>
    <x v="12"/>
    <x v="0"/>
    <n v="57979"/>
    <n v="55979"/>
    <n v="50979"/>
    <n v="49517"/>
    <m/>
    <m/>
    <m/>
    <x v="9"/>
    <n v="4"/>
    <n v="6"/>
    <n v="7"/>
    <d v="2023-12-24T00:00:00"/>
    <s v="Assistant Manager, Medium Market"/>
    <m/>
    <m/>
    <m/>
    <m/>
    <n v="5"/>
    <n v="5"/>
    <n v="5"/>
    <n v="3"/>
    <m/>
    <m/>
    <m/>
  </r>
  <r>
    <n v="872"/>
    <n v="36211"/>
    <d v="1991-07-05T00:00:00"/>
    <n v="34"/>
    <x v="1"/>
    <x v="1"/>
    <d v="2022-08-01T00:00:00"/>
    <n v="4.5123287671232877"/>
    <x v="47"/>
    <x v="0"/>
    <x v="12"/>
    <x v="0"/>
    <n v="55267"/>
    <n v="54017"/>
    <n v="50517"/>
    <m/>
    <m/>
    <m/>
    <m/>
    <x v="9"/>
    <n v="2"/>
    <n v="6"/>
    <n v="7"/>
    <d v="2024-01-09T00:00:00"/>
    <s v="Assistant Manager, Medium Market"/>
    <m/>
    <m/>
    <m/>
    <m/>
    <n v="5"/>
    <n v="4"/>
    <n v="4"/>
    <m/>
    <m/>
    <m/>
    <m/>
  </r>
  <r>
    <n v="873"/>
    <n v="36215"/>
    <d v="1994-10-26T00:00:00"/>
    <n v="31"/>
    <x v="0"/>
    <x v="1"/>
    <d v="2021-06-28T00:00:00"/>
    <n v="4.2465753424657535"/>
    <x v="18"/>
    <x v="0"/>
    <x v="4"/>
    <x v="1"/>
    <n v="34.43"/>
    <n v="34.270000000000003"/>
    <n v="33.96"/>
    <n v="33.619999999999997"/>
    <m/>
    <m/>
    <m/>
    <x v="4"/>
    <n v="0"/>
    <n v="3"/>
    <m/>
    <m/>
    <m/>
    <m/>
    <m/>
    <m/>
    <m/>
    <m/>
    <m/>
    <m/>
    <m/>
    <m/>
    <m/>
    <m/>
  </r>
  <r>
    <n v="874"/>
    <n v="36231"/>
    <d v="1986-04-15T00:00:00"/>
    <n v="39"/>
    <x v="0"/>
    <x v="1"/>
    <d v="2021-10-03T00:00:00"/>
    <n v="4.2191780821917808"/>
    <x v="116"/>
    <x v="1"/>
    <x v="4"/>
    <x v="1"/>
    <n v="34.020000000000003"/>
    <n v="33.799999999999997"/>
    <n v="33.799999999999997"/>
    <n v="33.619999999999997"/>
    <m/>
    <m/>
    <m/>
    <x v="1"/>
    <n v="0"/>
    <n v="4"/>
    <m/>
    <m/>
    <m/>
    <m/>
    <m/>
    <m/>
    <m/>
    <m/>
    <m/>
    <m/>
    <m/>
    <m/>
    <m/>
    <m/>
  </r>
  <r>
    <n v="875"/>
    <n v="36236"/>
    <d v="1989-01-22T00:00:00"/>
    <n v="36"/>
    <x v="0"/>
    <x v="1"/>
    <d v="2021-10-13T00:00:00"/>
    <n v="3.9095890410958902"/>
    <x v="119"/>
    <x v="1"/>
    <x v="4"/>
    <x v="1"/>
    <n v="34.74"/>
    <n v="34.32"/>
    <n v="34.04"/>
    <n v="33.619999999999997"/>
    <m/>
    <m/>
    <m/>
    <x v="4"/>
    <n v="0"/>
    <n v="3"/>
    <m/>
    <m/>
    <m/>
    <m/>
    <m/>
    <m/>
    <m/>
    <m/>
    <m/>
    <m/>
    <m/>
    <m/>
    <m/>
    <m/>
  </r>
  <r>
    <n v="876"/>
    <n v="36240"/>
    <d v="1993-03-15T00:00:00"/>
    <n v="32"/>
    <x v="0"/>
    <x v="1"/>
    <d v="2022-02-03T00:00:00"/>
    <n v="4.5315068493150683"/>
    <x v="134"/>
    <x v="1"/>
    <x v="4"/>
    <x v="1"/>
    <n v="34.07"/>
    <n v="33.92"/>
    <n v="33.770000000000003"/>
    <m/>
    <m/>
    <m/>
    <m/>
    <x v="3"/>
    <n v="0"/>
    <n v="5"/>
    <m/>
    <m/>
    <m/>
    <m/>
    <m/>
    <m/>
    <m/>
    <m/>
    <m/>
    <m/>
    <m/>
    <m/>
    <m/>
    <m/>
  </r>
  <r>
    <n v="877"/>
    <n v="36243"/>
    <d v="1988-12-02T00:00:00"/>
    <n v="37"/>
    <x v="1"/>
    <x v="1"/>
    <d v="2021-06-21T00:00:00"/>
    <n v="4.3945205479452056"/>
    <x v="51"/>
    <x v="1"/>
    <x v="4"/>
    <x v="1"/>
    <n v="34.520000000000003"/>
    <n v="34.22"/>
    <n v="33.92"/>
    <n v="33.619999999999997"/>
    <m/>
    <m/>
    <m/>
    <x v="2"/>
    <n v="0"/>
    <n v="5"/>
    <m/>
    <m/>
    <m/>
    <m/>
    <m/>
    <m/>
    <m/>
    <m/>
    <m/>
    <m/>
    <m/>
    <m/>
    <m/>
    <m/>
  </r>
  <r>
    <n v="878"/>
    <n v="36244"/>
    <d v="1993-08-22T00:00:00"/>
    <n v="32"/>
    <x v="0"/>
    <x v="1"/>
    <d v="2021-08-10T00:00:00"/>
    <n v="4.0767123287671234"/>
    <x v="73"/>
    <x v="0"/>
    <x v="4"/>
    <x v="1"/>
    <n v="34.520000000000003"/>
    <n v="34.22"/>
    <n v="33.92"/>
    <n v="33.619999999999997"/>
    <m/>
    <m/>
    <m/>
    <x v="2"/>
    <n v="0"/>
    <n v="4"/>
    <m/>
    <m/>
    <m/>
    <m/>
    <m/>
    <m/>
    <m/>
    <m/>
    <m/>
    <m/>
    <m/>
    <m/>
    <m/>
    <m/>
  </r>
  <r>
    <n v="879"/>
    <n v="36247"/>
    <d v="1995-04-21T00:00:00"/>
    <n v="30"/>
    <x v="0"/>
    <x v="1"/>
    <d v="2021-12-04T00:00:00"/>
    <n v="4.2356164383561641"/>
    <x v="94"/>
    <x v="1"/>
    <x v="4"/>
    <x v="1"/>
    <n v="34.520000000000003"/>
    <n v="34.22"/>
    <n v="33.92"/>
    <n v="33.619999999999997"/>
    <m/>
    <m/>
    <m/>
    <x v="4"/>
    <n v="0"/>
    <n v="3"/>
    <m/>
    <m/>
    <m/>
    <m/>
    <m/>
    <m/>
    <m/>
    <m/>
    <m/>
    <m/>
    <m/>
    <m/>
    <m/>
    <m/>
  </r>
  <r>
    <n v="880"/>
    <n v="36248"/>
    <d v="1977-06-10T00:00:00"/>
    <n v="48"/>
    <x v="1"/>
    <x v="0"/>
    <d v="2021-10-07T00:00:00"/>
    <n v="4.1561643835616442"/>
    <x v="10"/>
    <x v="0"/>
    <x v="4"/>
    <x v="1"/>
    <n v="34.51"/>
    <n v="34.28"/>
    <n v="33.880000000000003"/>
    <n v="33.619999999999997"/>
    <m/>
    <m/>
    <m/>
    <x v="4"/>
    <n v="0"/>
    <n v="6"/>
    <m/>
    <m/>
    <m/>
    <m/>
    <m/>
    <m/>
    <m/>
    <m/>
    <m/>
    <m/>
    <m/>
    <m/>
    <m/>
    <m/>
  </r>
  <r>
    <n v="881"/>
    <n v="36263"/>
    <d v="1991-12-08T00:00:00"/>
    <n v="34"/>
    <x v="1"/>
    <x v="1"/>
    <d v="2021-11-05T00:00:00"/>
    <n v="3.8849315068493149"/>
    <x v="109"/>
    <x v="1"/>
    <x v="4"/>
    <x v="1"/>
    <n v="34.520000000000003"/>
    <n v="34.22"/>
    <n v="33.92"/>
    <n v="33.619999999999997"/>
    <m/>
    <m/>
    <m/>
    <x v="3"/>
    <n v="0"/>
    <n v="6"/>
    <m/>
    <m/>
    <m/>
    <m/>
    <m/>
    <m/>
    <m/>
    <m/>
    <m/>
    <m/>
    <m/>
    <m/>
    <m/>
    <m/>
  </r>
  <r>
    <n v="882"/>
    <n v="36264"/>
    <d v="1981-04-26T00:00:00"/>
    <n v="44"/>
    <x v="1"/>
    <x v="1"/>
    <d v="2022-02-12T00:00:00"/>
    <n v="4.5315068493150683"/>
    <x v="96"/>
    <x v="1"/>
    <x v="4"/>
    <x v="1"/>
    <n v="34.409999999999997"/>
    <n v="34.01"/>
    <n v="33.619999999999997"/>
    <m/>
    <m/>
    <m/>
    <m/>
    <x v="2"/>
    <n v="0"/>
    <n v="5"/>
    <m/>
    <m/>
    <m/>
    <m/>
    <m/>
    <m/>
    <m/>
    <m/>
    <m/>
    <m/>
    <m/>
    <m/>
    <m/>
    <m/>
  </r>
  <r>
    <n v="883"/>
    <n v="36272"/>
    <d v="1993-10-28T00:00:00"/>
    <n v="32"/>
    <x v="1"/>
    <x v="1"/>
    <d v="2021-06-21T00:00:00"/>
    <n v="4.6082191780821917"/>
    <x v="65"/>
    <x v="1"/>
    <x v="4"/>
    <x v="1"/>
    <n v="34.520000000000003"/>
    <n v="34.22"/>
    <n v="33.92"/>
    <n v="33.619999999999997"/>
    <m/>
    <m/>
    <m/>
    <x v="1"/>
    <n v="0"/>
    <n v="5"/>
    <m/>
    <m/>
    <m/>
    <m/>
    <m/>
    <m/>
    <m/>
    <m/>
    <m/>
    <m/>
    <m/>
    <m/>
    <m/>
    <m/>
  </r>
  <r>
    <n v="884"/>
    <n v="36274"/>
    <d v="1991-05-02T00:00:00"/>
    <n v="34"/>
    <x v="0"/>
    <x v="1"/>
    <d v="2021-05-24T00:00:00"/>
    <n v="4.3589041095890408"/>
    <x v="79"/>
    <x v="1"/>
    <x v="4"/>
    <x v="1"/>
    <n v="34.520000000000003"/>
    <n v="34.22"/>
    <n v="33.92"/>
    <n v="33.619999999999997"/>
    <m/>
    <m/>
    <m/>
    <x v="4"/>
    <n v="0"/>
    <n v="4"/>
    <m/>
    <m/>
    <m/>
    <m/>
    <m/>
    <m/>
    <m/>
    <m/>
    <m/>
    <m/>
    <m/>
    <m/>
    <m/>
    <m/>
  </r>
  <r>
    <n v="885"/>
    <n v="36279"/>
    <d v="1984-10-02T00:00:00"/>
    <n v="41"/>
    <x v="0"/>
    <x v="0"/>
    <d v="2021-08-23T00:00:00"/>
    <n v="3.9479452054794519"/>
    <x v="25"/>
    <x v="0"/>
    <x v="4"/>
    <x v="1"/>
    <n v="34.520000000000003"/>
    <n v="34.22"/>
    <n v="33.92"/>
    <n v="33.619999999999997"/>
    <m/>
    <m/>
    <m/>
    <x v="4"/>
    <n v="0"/>
    <n v="3"/>
    <m/>
    <m/>
    <m/>
    <m/>
    <m/>
    <m/>
    <m/>
    <m/>
    <m/>
    <m/>
    <m/>
    <m/>
    <m/>
    <m/>
  </r>
  <r>
    <n v="886"/>
    <n v="36290"/>
    <d v="1994-12-26T00:00:00"/>
    <n v="31"/>
    <x v="0"/>
    <x v="1"/>
    <d v="2022-01-20T00:00:00"/>
    <n v="4.3616438356164382"/>
    <x v="64"/>
    <x v="1"/>
    <x v="4"/>
    <x v="1"/>
    <n v="34.520000000000003"/>
    <n v="34.22"/>
    <n v="33.92"/>
    <m/>
    <m/>
    <m/>
    <m/>
    <x v="1"/>
    <n v="0"/>
    <n v="4"/>
    <m/>
    <m/>
    <m/>
    <m/>
    <m/>
    <m/>
    <m/>
    <m/>
    <m/>
    <m/>
    <m/>
    <m/>
    <m/>
    <m/>
  </r>
  <r>
    <n v="887"/>
    <n v="36297"/>
    <d v="1993-01-27T00:00:00"/>
    <n v="32"/>
    <x v="0"/>
    <x v="1"/>
    <d v="2021-08-22T00:00:00"/>
    <n v="3.9205479452054797"/>
    <x v="58"/>
    <x v="1"/>
    <x v="4"/>
    <x v="1"/>
    <n v="34.630000000000003"/>
    <n v="34.229999999999997"/>
    <n v="33.909999999999997"/>
    <n v="33.619999999999997"/>
    <m/>
    <m/>
    <m/>
    <x v="1"/>
    <n v="0"/>
    <n v="3"/>
    <m/>
    <m/>
    <m/>
    <m/>
    <m/>
    <m/>
    <m/>
    <m/>
    <m/>
    <m/>
    <m/>
    <m/>
    <m/>
    <m/>
  </r>
  <r>
    <n v="888"/>
    <n v="36306"/>
    <d v="1994-01-29T00:00:00"/>
    <n v="31"/>
    <x v="0"/>
    <x v="1"/>
    <d v="2022-01-30T00:00:00"/>
    <n v="4.2821917808219174"/>
    <x v="116"/>
    <x v="1"/>
    <x v="4"/>
    <x v="1"/>
    <n v="34.76"/>
    <n v="34.39"/>
    <n v="33.99"/>
    <m/>
    <m/>
    <m/>
    <m/>
    <x v="2"/>
    <n v="0"/>
    <n v="3"/>
    <m/>
    <m/>
    <m/>
    <m/>
    <m/>
    <m/>
    <m/>
    <m/>
    <m/>
    <m/>
    <m/>
    <m/>
    <m/>
    <m/>
  </r>
  <r>
    <n v="889"/>
    <n v="36314"/>
    <d v="1995-12-27T00:00:00"/>
    <n v="30"/>
    <x v="0"/>
    <x v="1"/>
    <d v="2021-09-20T00:00:00"/>
    <n v="4.4794520547945202"/>
    <x v="116"/>
    <x v="1"/>
    <x v="4"/>
    <x v="1"/>
    <n v="34.700000000000003"/>
    <n v="34.36"/>
    <n v="33.97"/>
    <n v="33.619999999999997"/>
    <m/>
    <m/>
    <m/>
    <x v="3"/>
    <n v="0"/>
    <n v="5"/>
    <m/>
    <m/>
    <m/>
    <m/>
    <m/>
    <m/>
    <m/>
    <m/>
    <m/>
    <m/>
    <m/>
    <m/>
    <m/>
    <m/>
  </r>
  <r>
    <n v="890"/>
    <n v="36315"/>
    <d v="1995-03-16T00:00:00"/>
    <n v="30"/>
    <x v="0"/>
    <x v="1"/>
    <d v="2021-07-10T00:00:00"/>
    <n v="4.2575342465753421"/>
    <x v="22"/>
    <x v="0"/>
    <x v="4"/>
    <x v="1"/>
    <n v="34.520000000000003"/>
    <n v="34.22"/>
    <n v="33.92"/>
    <n v="33.619999999999997"/>
    <m/>
    <m/>
    <m/>
    <x v="4"/>
    <n v="0"/>
    <n v="5"/>
    <m/>
    <m/>
    <m/>
    <m/>
    <m/>
    <m/>
    <m/>
    <m/>
    <m/>
    <m/>
    <m/>
    <m/>
    <m/>
    <m/>
  </r>
  <r>
    <n v="891"/>
    <n v="36320"/>
    <d v="1993-07-09T00:00:00"/>
    <n v="32"/>
    <x v="0"/>
    <x v="1"/>
    <d v="2021-09-29T00:00:00"/>
    <n v="4.1534246575342468"/>
    <x v="66"/>
    <x v="1"/>
    <x v="4"/>
    <x v="1"/>
    <n v="34.520000000000003"/>
    <n v="34.22"/>
    <n v="33.92"/>
    <n v="33.619999999999997"/>
    <m/>
    <m/>
    <m/>
    <x v="3"/>
    <n v="0"/>
    <n v="4"/>
    <m/>
    <m/>
    <m/>
    <m/>
    <m/>
    <m/>
    <m/>
    <m/>
    <m/>
    <m/>
    <m/>
    <m/>
    <m/>
    <m/>
  </r>
  <r>
    <n v="892"/>
    <n v="36338"/>
    <d v="1993-12-13T00:00:00"/>
    <n v="32"/>
    <x v="0"/>
    <x v="1"/>
    <d v="2021-11-06T00:00:00"/>
    <n v="4.484931506849315"/>
    <x v="91"/>
    <x v="1"/>
    <x v="4"/>
    <x v="1"/>
    <n v="34.520000000000003"/>
    <n v="34.22"/>
    <n v="33.92"/>
    <n v="33.619999999999997"/>
    <m/>
    <m/>
    <m/>
    <x v="1"/>
    <n v="0"/>
    <n v="5"/>
    <m/>
    <m/>
    <m/>
    <m/>
    <m/>
    <m/>
    <m/>
    <m/>
    <m/>
    <m/>
    <m/>
    <m/>
    <m/>
    <m/>
  </r>
  <r>
    <n v="893"/>
    <n v="36347"/>
    <d v="1986-05-22T00:00:00"/>
    <n v="39"/>
    <x v="0"/>
    <x v="1"/>
    <d v="2021-07-08T00:00:00"/>
    <n v="4.5506849315068489"/>
    <x v="15"/>
    <x v="0"/>
    <x v="4"/>
    <x v="1"/>
    <n v="34.520000000000003"/>
    <n v="34.22"/>
    <n v="33.92"/>
    <n v="33.619999999999997"/>
    <m/>
    <m/>
    <m/>
    <x v="3"/>
    <n v="0"/>
    <n v="5"/>
    <m/>
    <m/>
    <m/>
    <m/>
    <m/>
    <m/>
    <m/>
    <m/>
    <m/>
    <m/>
    <m/>
    <m/>
    <m/>
    <m/>
  </r>
  <r>
    <n v="894"/>
    <n v="36352"/>
    <d v="1996-12-07T00:00:00"/>
    <n v="29"/>
    <x v="0"/>
    <x v="0"/>
    <d v="2021-06-14T00:00:00"/>
    <n v="4.7178082191780826"/>
    <x v="7"/>
    <x v="0"/>
    <x v="4"/>
    <x v="1"/>
    <n v="34.520000000000003"/>
    <n v="34.22"/>
    <n v="33.92"/>
    <n v="33.619999999999997"/>
    <m/>
    <m/>
    <m/>
    <x v="3"/>
    <n v="0"/>
    <n v="5"/>
    <m/>
    <m/>
    <m/>
    <m/>
    <m/>
    <m/>
    <m/>
    <m/>
    <m/>
    <m/>
    <m/>
    <m/>
    <m/>
    <m/>
  </r>
  <r>
    <n v="895"/>
    <n v="36357"/>
    <d v="1996-09-17T00:00:00"/>
    <n v="29"/>
    <x v="1"/>
    <x v="1"/>
    <d v="2021-04-14T00:00:00"/>
    <n v="4.7616438356164386"/>
    <x v="90"/>
    <x v="1"/>
    <x v="4"/>
    <x v="1"/>
    <n v="34.520000000000003"/>
    <n v="34.22"/>
    <n v="33.92"/>
    <n v="33.619999999999997"/>
    <m/>
    <m/>
    <m/>
    <x v="1"/>
    <n v="0"/>
    <n v="5"/>
    <m/>
    <m/>
    <m/>
    <m/>
    <m/>
    <m/>
    <m/>
    <m/>
    <m/>
    <m/>
    <m/>
    <m/>
    <m/>
    <m/>
  </r>
  <r>
    <n v="896"/>
    <n v="36362"/>
    <d v="1994-08-22T00:00:00"/>
    <n v="31"/>
    <x v="0"/>
    <x v="1"/>
    <d v="2021-03-29T00:00:00"/>
    <n v="4.4301369863013695"/>
    <x v="66"/>
    <x v="1"/>
    <x v="4"/>
    <x v="1"/>
    <n v="34.520000000000003"/>
    <n v="34.22"/>
    <n v="33.92"/>
    <n v="33.619999999999997"/>
    <m/>
    <m/>
    <m/>
    <x v="2"/>
    <n v="0"/>
    <n v="4"/>
    <m/>
    <m/>
    <m/>
    <m/>
    <m/>
    <m/>
    <m/>
    <m/>
    <m/>
    <m/>
    <m/>
    <m/>
    <m/>
    <m/>
  </r>
  <r>
    <n v="897"/>
    <n v="36364"/>
    <d v="1995-05-18T00:00:00"/>
    <n v="30"/>
    <x v="0"/>
    <x v="0"/>
    <d v="2021-07-28T00:00:00"/>
    <n v="4.1123287671232873"/>
    <x v="122"/>
    <x v="1"/>
    <x v="4"/>
    <x v="1"/>
    <n v="34.22"/>
    <n v="34.049999999999997"/>
    <n v="34.049999999999997"/>
    <n v="33.619999999999997"/>
    <m/>
    <m/>
    <m/>
    <x v="3"/>
    <n v="0"/>
    <n v="3"/>
    <m/>
    <m/>
    <m/>
    <m/>
    <m/>
    <m/>
    <m/>
    <m/>
    <m/>
    <m/>
    <m/>
    <m/>
    <m/>
    <m/>
  </r>
  <r>
    <n v="898"/>
    <n v="36365"/>
    <d v="1992-12-09T00:00:00"/>
    <n v="33"/>
    <x v="0"/>
    <x v="1"/>
    <d v="2021-11-21T00:00:00"/>
    <n v="4.4684931506849317"/>
    <x v="109"/>
    <x v="1"/>
    <x v="4"/>
    <x v="1"/>
    <n v="34.520000000000003"/>
    <n v="34.22"/>
    <n v="33.92"/>
    <n v="33.619999999999997"/>
    <m/>
    <m/>
    <m/>
    <x v="3"/>
    <n v="0"/>
    <n v="3"/>
    <m/>
    <m/>
    <m/>
    <m/>
    <m/>
    <m/>
    <m/>
    <m/>
    <m/>
    <m/>
    <m/>
    <m/>
    <m/>
    <m/>
  </r>
  <r>
    <n v="899"/>
    <n v="36377"/>
    <d v="1993-05-05T00:00:00"/>
    <n v="32"/>
    <x v="1"/>
    <x v="1"/>
    <d v="2021-07-14T00:00:00"/>
    <n v="4.1095890410958908"/>
    <x v="4"/>
    <x v="0"/>
    <x v="4"/>
    <x v="1"/>
    <n v="34.520000000000003"/>
    <n v="34.22"/>
    <n v="33.92"/>
    <n v="33.619999999999997"/>
    <m/>
    <m/>
    <m/>
    <x v="3"/>
    <n v="0"/>
    <n v="2"/>
    <m/>
    <m/>
    <m/>
    <m/>
    <m/>
    <m/>
    <m/>
    <m/>
    <m/>
    <m/>
    <m/>
    <m/>
    <m/>
    <m/>
  </r>
  <r>
    <n v="900"/>
    <n v="36380"/>
    <d v="1989-03-24T00:00:00"/>
    <n v="36"/>
    <x v="0"/>
    <x v="1"/>
    <d v="2021-11-22T00:00:00"/>
    <n v="3.9972602739726026"/>
    <x v="137"/>
    <x v="0"/>
    <x v="4"/>
    <x v="1"/>
    <n v="34.07"/>
    <n v="33.92"/>
    <n v="33.770000000000003"/>
    <n v="33.619999999999997"/>
    <m/>
    <m/>
    <m/>
    <x v="3"/>
    <n v="0"/>
    <n v="4"/>
    <m/>
    <m/>
    <m/>
    <m/>
    <m/>
    <m/>
    <m/>
    <m/>
    <m/>
    <m/>
    <m/>
    <m/>
    <m/>
    <m/>
  </r>
  <r>
    <n v="901"/>
    <n v="36391"/>
    <d v="1991-09-24T00:00:00"/>
    <n v="34"/>
    <x v="0"/>
    <x v="0"/>
    <d v="2022-01-02T00:00:00"/>
    <n v="4.1753424657534248"/>
    <x v="20"/>
    <x v="0"/>
    <x v="4"/>
    <x v="1"/>
    <n v="34.07"/>
    <n v="33.92"/>
    <n v="33.770000000000003"/>
    <m/>
    <m/>
    <m/>
    <m/>
    <x v="4"/>
    <n v="0"/>
    <n v="3"/>
    <m/>
    <m/>
    <m/>
    <m/>
    <m/>
    <m/>
    <m/>
    <m/>
    <m/>
    <m/>
    <m/>
    <m/>
    <m/>
    <m/>
  </r>
  <r>
    <n v="902"/>
    <n v="36393"/>
    <d v="1995-07-01T00:00:00"/>
    <n v="31"/>
    <x v="0"/>
    <x v="1"/>
    <d v="2021-10-29T00:00:00"/>
    <n v="3.9534246575342467"/>
    <x v="36"/>
    <x v="0"/>
    <x v="4"/>
    <x v="1"/>
    <n v="34.520000000000003"/>
    <n v="34.22"/>
    <n v="33.92"/>
    <n v="33.619999999999997"/>
    <m/>
    <m/>
    <m/>
    <x v="2"/>
    <n v="0"/>
    <n v="3"/>
    <m/>
    <m/>
    <m/>
    <m/>
    <m/>
    <m/>
    <m/>
    <m/>
    <m/>
    <m/>
    <m/>
    <m/>
    <m/>
    <m/>
  </r>
  <r>
    <n v="903"/>
    <n v="36395"/>
    <d v="1986-06-17T00:00:00"/>
    <n v="39"/>
    <x v="0"/>
    <x v="1"/>
    <d v="2022-01-18T00:00:00"/>
    <n v="4.0493150684931507"/>
    <x v="44"/>
    <x v="1"/>
    <x v="4"/>
    <x v="1"/>
    <n v="34.520000000000003"/>
    <n v="34.22"/>
    <n v="33.92"/>
    <m/>
    <m/>
    <m/>
    <m/>
    <x v="4"/>
    <n v="0"/>
    <n v="3"/>
    <m/>
    <m/>
    <m/>
    <m/>
    <m/>
    <m/>
    <m/>
    <m/>
    <m/>
    <m/>
    <m/>
    <m/>
    <m/>
    <m/>
  </r>
  <r>
    <n v="904"/>
    <n v="36404"/>
    <d v="1990-12-16T00:00:00"/>
    <n v="35"/>
    <x v="0"/>
    <x v="1"/>
    <d v="2021-12-14T00:00:00"/>
    <n v="4.1205479452054794"/>
    <x v="23"/>
    <x v="0"/>
    <x v="4"/>
    <x v="1"/>
    <n v="34.520000000000003"/>
    <n v="34.22"/>
    <n v="33.92"/>
    <n v="33.619999999999997"/>
    <m/>
    <m/>
    <m/>
    <x v="2"/>
    <n v="0"/>
    <n v="5"/>
    <m/>
    <m/>
    <m/>
    <m/>
    <m/>
    <m/>
    <m/>
    <m/>
    <m/>
    <m/>
    <m/>
    <m/>
    <m/>
    <m/>
  </r>
  <r>
    <n v="905"/>
    <n v="36418"/>
    <d v="1991-09-14T00:00:00"/>
    <n v="34"/>
    <x v="0"/>
    <x v="0"/>
    <d v="2021-11-18T00:00:00"/>
    <n v="4.0520547945205481"/>
    <x v="114"/>
    <x v="1"/>
    <x v="4"/>
    <x v="1"/>
    <n v="34.520000000000003"/>
    <n v="34.22"/>
    <n v="33.92"/>
    <n v="33.619999999999997"/>
    <m/>
    <m/>
    <m/>
    <x v="2"/>
    <n v="0"/>
    <n v="3"/>
    <m/>
    <m/>
    <m/>
    <m/>
    <m/>
    <m/>
    <m/>
    <m/>
    <m/>
    <m/>
    <m/>
    <m/>
    <m/>
    <m/>
  </r>
  <r>
    <n v="906"/>
    <n v="36425"/>
    <d v="1986-10-12T00:00:00"/>
    <n v="39"/>
    <x v="0"/>
    <x v="0"/>
    <d v="2021-12-13T00:00:00"/>
    <n v="4.2164383561643834"/>
    <x v="64"/>
    <x v="1"/>
    <x v="4"/>
    <x v="1"/>
    <n v="34.520000000000003"/>
    <n v="34.22"/>
    <n v="33.92"/>
    <n v="33.619999999999997"/>
    <m/>
    <m/>
    <m/>
    <x v="1"/>
    <n v="0"/>
    <n v="5"/>
    <m/>
    <m/>
    <m/>
    <m/>
    <m/>
    <m/>
    <m/>
    <m/>
    <m/>
    <m/>
    <m/>
    <m/>
    <m/>
    <m/>
  </r>
  <r>
    <n v="907"/>
    <n v="36429"/>
    <d v="1992-04-15T00:00:00"/>
    <n v="33"/>
    <x v="0"/>
    <x v="1"/>
    <d v="2021-10-14T00:00:00"/>
    <n v="4.4876712328767123"/>
    <x v="75"/>
    <x v="1"/>
    <x v="4"/>
    <x v="1"/>
    <n v="34.520000000000003"/>
    <n v="34.22"/>
    <n v="33.92"/>
    <n v="33.619999999999997"/>
    <m/>
    <m/>
    <m/>
    <x v="4"/>
    <n v="0"/>
    <n v="4"/>
    <m/>
    <m/>
    <m/>
    <m/>
    <m/>
    <m/>
    <m/>
    <m/>
    <m/>
    <m/>
    <m/>
    <m/>
    <m/>
    <m/>
  </r>
  <r>
    <n v="908"/>
    <n v="36468"/>
    <d v="1997-07-20T00:00:00"/>
    <n v="28"/>
    <x v="1"/>
    <x v="1"/>
    <d v="2021-07-07T00:00:00"/>
    <n v="3.8356164383561642"/>
    <x v="122"/>
    <x v="1"/>
    <x v="5"/>
    <x v="1"/>
    <n v="22.47"/>
    <n v="22.3"/>
    <n v="21.92"/>
    <n v="21.92"/>
    <m/>
    <m/>
    <m/>
    <x v="3"/>
    <n v="3"/>
    <n v="6"/>
    <m/>
    <m/>
    <m/>
    <m/>
    <m/>
    <m/>
    <m/>
    <m/>
    <m/>
    <m/>
    <m/>
    <m/>
    <m/>
    <m/>
  </r>
  <r>
    <n v="909"/>
    <n v="36509"/>
    <d v="1991-02-19T00:00:00"/>
    <n v="34"/>
    <x v="1"/>
    <x v="1"/>
    <d v="2022-03-02T00:00:00"/>
    <n v="4.6191780821917812"/>
    <x v="113"/>
    <x v="1"/>
    <x v="5"/>
    <x v="1"/>
    <n v="22.37"/>
    <n v="22.22"/>
    <n v="22.07"/>
    <m/>
    <m/>
    <m/>
    <m/>
    <x v="2"/>
    <n v="3"/>
    <n v="4"/>
    <m/>
    <m/>
    <m/>
    <m/>
    <m/>
    <m/>
    <m/>
    <m/>
    <m/>
    <m/>
    <m/>
    <m/>
    <m/>
    <m/>
  </r>
  <r>
    <n v="910"/>
    <n v="36535"/>
    <d v="1997-12-04T00:00:00"/>
    <n v="28"/>
    <x v="0"/>
    <x v="0"/>
    <d v="2021-05-20T00:00:00"/>
    <n v="4.3945205479452056"/>
    <x v="127"/>
    <x v="0"/>
    <x v="5"/>
    <x v="1"/>
    <n v="22.37"/>
    <n v="22.22"/>
    <n v="22.07"/>
    <n v="21.92"/>
    <m/>
    <m/>
    <m/>
    <x v="1"/>
    <n v="1"/>
    <n v="3"/>
    <m/>
    <m/>
    <m/>
    <m/>
    <m/>
    <m/>
    <m/>
    <m/>
    <m/>
    <m/>
    <m/>
    <m/>
    <m/>
    <m/>
  </r>
  <r>
    <n v="911"/>
    <n v="36536"/>
    <d v="1994-10-03T00:00:00"/>
    <n v="31"/>
    <x v="0"/>
    <x v="1"/>
    <d v="2021-08-10T00:00:00"/>
    <n v="4.6794520547945204"/>
    <x v="11"/>
    <x v="0"/>
    <x v="5"/>
    <x v="1"/>
    <n v="22.82"/>
    <n v="22.52"/>
    <n v="22.22"/>
    <n v="21.92"/>
    <m/>
    <m/>
    <m/>
    <x v="2"/>
    <n v="5"/>
    <n v="6"/>
    <m/>
    <m/>
    <m/>
    <m/>
    <m/>
    <m/>
    <m/>
    <m/>
    <m/>
    <m/>
    <m/>
    <m/>
    <m/>
    <m/>
  </r>
  <r>
    <n v="912"/>
    <n v="36551"/>
    <d v="1998-11-26T00:00:00"/>
    <n v="27"/>
    <x v="0"/>
    <x v="1"/>
    <d v="2021-04-28T00:00:00"/>
    <n v="3.9698630136986299"/>
    <x v="77"/>
    <x v="0"/>
    <x v="5"/>
    <x v="1"/>
    <n v="22.82"/>
    <n v="22.52"/>
    <n v="22.22"/>
    <n v="21.92"/>
    <m/>
    <m/>
    <m/>
    <x v="2"/>
    <n v="4"/>
    <n v="6"/>
    <m/>
    <m/>
    <m/>
    <m/>
    <m/>
    <m/>
    <m/>
    <m/>
    <m/>
    <m/>
    <m/>
    <m/>
    <m/>
    <m/>
  </r>
  <r>
    <n v="913"/>
    <n v="36556"/>
    <d v="1994-08-18T00:00:00"/>
    <n v="31"/>
    <x v="0"/>
    <x v="1"/>
    <d v="2022-01-12T00:00:00"/>
    <n v="3.8876712328767122"/>
    <x v="75"/>
    <x v="1"/>
    <x v="5"/>
    <x v="1"/>
    <n v="22.82"/>
    <n v="22.52"/>
    <n v="22.22"/>
    <m/>
    <m/>
    <m/>
    <m/>
    <x v="4"/>
    <n v="1"/>
    <n v="6"/>
    <m/>
    <m/>
    <m/>
    <m/>
    <m/>
    <m/>
    <m/>
    <m/>
    <m/>
    <m/>
    <m/>
    <m/>
    <m/>
    <m/>
  </r>
  <r>
    <n v="914"/>
    <n v="36568"/>
    <d v="1992-07-01T00:00:00"/>
    <n v="34"/>
    <x v="0"/>
    <x v="1"/>
    <d v="2022-02-11T00:00:00"/>
    <n v="4.6684931506849319"/>
    <x v="17"/>
    <x v="0"/>
    <x v="5"/>
    <x v="1"/>
    <n v="22.82"/>
    <n v="22.52"/>
    <n v="22.22"/>
    <m/>
    <m/>
    <m/>
    <m/>
    <x v="2"/>
    <n v="2"/>
    <n v="5"/>
    <m/>
    <m/>
    <m/>
    <m/>
    <m/>
    <m/>
    <m/>
    <m/>
    <m/>
    <m/>
    <m/>
    <m/>
    <m/>
    <m/>
  </r>
  <r>
    <n v="915"/>
    <n v="36578"/>
    <d v="1988-01-18T00:00:00"/>
    <n v="37"/>
    <x v="1"/>
    <x v="0"/>
    <d v="2021-05-02T00:00:00"/>
    <n v="4.6684931506849319"/>
    <x v="0"/>
    <x v="0"/>
    <x v="5"/>
    <x v="1"/>
    <n v="22.82"/>
    <n v="22.52"/>
    <n v="22.22"/>
    <n v="21.92"/>
    <m/>
    <m/>
    <m/>
    <x v="1"/>
    <n v="1"/>
    <n v="6"/>
    <m/>
    <m/>
    <m/>
    <m/>
    <m/>
    <m/>
    <m/>
    <m/>
    <m/>
    <m/>
    <m/>
    <m/>
    <m/>
    <m/>
  </r>
  <r>
    <n v="916"/>
    <n v="36587"/>
    <d v="1997-08-15T00:00:00"/>
    <n v="28"/>
    <x v="0"/>
    <x v="1"/>
    <d v="2021-05-02T00:00:00"/>
    <n v="4.3342465753424655"/>
    <x v="34"/>
    <x v="0"/>
    <x v="5"/>
    <x v="1"/>
    <n v="22.82"/>
    <n v="22.52"/>
    <n v="22.22"/>
    <n v="21.92"/>
    <m/>
    <m/>
    <m/>
    <x v="3"/>
    <n v="4"/>
    <n v="4"/>
    <m/>
    <m/>
    <m/>
    <m/>
    <m/>
    <m/>
    <m/>
    <m/>
    <m/>
    <m/>
    <m/>
    <m/>
    <m/>
    <m/>
  </r>
  <r>
    <n v="917"/>
    <n v="36603"/>
    <d v="1993-03-25T00:00:00"/>
    <n v="32"/>
    <x v="1"/>
    <x v="1"/>
    <d v="2021-09-01T00:00:00"/>
    <n v="4.0520547945205481"/>
    <x v="138"/>
    <x v="0"/>
    <x v="5"/>
    <x v="1"/>
    <n v="22.82"/>
    <n v="22.52"/>
    <n v="22.22"/>
    <n v="21.92"/>
    <m/>
    <m/>
    <m/>
    <x v="2"/>
    <n v="1"/>
    <n v="6"/>
    <m/>
    <m/>
    <m/>
    <m/>
    <m/>
    <m/>
    <m/>
    <m/>
    <m/>
    <m/>
    <m/>
    <m/>
    <m/>
    <m/>
  </r>
  <r>
    <n v="918"/>
    <n v="36605"/>
    <d v="1997-11-27T00:00:00"/>
    <n v="28"/>
    <x v="0"/>
    <x v="1"/>
    <d v="2021-12-13T00:00:00"/>
    <n v="4.279452054794521"/>
    <x v="77"/>
    <x v="0"/>
    <x v="5"/>
    <x v="1"/>
    <n v="22.82"/>
    <n v="22.52"/>
    <n v="22.22"/>
    <n v="21.92"/>
    <m/>
    <m/>
    <m/>
    <x v="4"/>
    <n v="5"/>
    <n v="6"/>
    <m/>
    <m/>
    <m/>
    <m/>
    <m/>
    <m/>
    <m/>
    <m/>
    <m/>
    <m/>
    <m/>
    <m/>
    <m/>
    <m/>
  </r>
  <r>
    <n v="919"/>
    <n v="36622"/>
    <d v="1995-05-20T00:00:00"/>
    <n v="30"/>
    <x v="1"/>
    <x v="1"/>
    <d v="2021-09-21T00:00:00"/>
    <n v="4.4821917808219176"/>
    <x v="90"/>
    <x v="1"/>
    <x v="5"/>
    <x v="1"/>
    <n v="22.82"/>
    <n v="22.52"/>
    <n v="22.22"/>
    <n v="21.92"/>
    <m/>
    <m/>
    <m/>
    <x v="2"/>
    <n v="3"/>
    <n v="4"/>
    <m/>
    <m/>
    <m/>
    <m/>
    <m/>
    <m/>
    <m/>
    <m/>
    <m/>
    <m/>
    <m/>
    <m/>
    <m/>
    <m/>
  </r>
  <r>
    <n v="920"/>
    <n v="36633"/>
    <d v="1994-08-17T00:00:00"/>
    <n v="31"/>
    <x v="1"/>
    <x v="1"/>
    <d v="2021-07-09T00:00:00"/>
    <n v="4.4465753424657537"/>
    <x v="109"/>
    <x v="1"/>
    <x v="5"/>
    <x v="1"/>
    <n v="22.82"/>
    <n v="22.52"/>
    <n v="22.22"/>
    <n v="21.92"/>
    <m/>
    <m/>
    <m/>
    <x v="2"/>
    <n v="3"/>
    <n v="6"/>
    <m/>
    <m/>
    <m/>
    <m/>
    <m/>
    <m/>
    <m/>
    <m/>
    <m/>
    <m/>
    <m/>
    <m/>
    <m/>
    <m/>
  </r>
  <r>
    <n v="921"/>
    <n v="36641"/>
    <d v="1993-08-18T00:00:00"/>
    <n v="32"/>
    <x v="0"/>
    <x v="1"/>
    <d v="2021-07-22T00:00:00"/>
    <n v="4.1095890410958908"/>
    <x v="47"/>
    <x v="0"/>
    <x v="5"/>
    <x v="1"/>
    <n v="22.82"/>
    <n v="22.52"/>
    <n v="22.22"/>
    <n v="21.92"/>
    <m/>
    <m/>
    <m/>
    <x v="1"/>
    <n v="4"/>
    <n v="4"/>
    <m/>
    <m/>
    <m/>
    <m/>
    <m/>
    <m/>
    <m/>
    <m/>
    <m/>
    <m/>
    <m/>
    <m/>
    <m/>
    <m/>
  </r>
  <r>
    <n v="922"/>
    <n v="36642"/>
    <d v="1997-05-23T00:00:00"/>
    <n v="28"/>
    <x v="0"/>
    <x v="1"/>
    <d v="2021-11-22T00:00:00"/>
    <n v="4.3095890410958901"/>
    <x v="47"/>
    <x v="0"/>
    <x v="5"/>
    <x v="1"/>
    <n v="22.82"/>
    <n v="22.52"/>
    <n v="22.22"/>
    <n v="21.92"/>
    <m/>
    <m/>
    <m/>
    <x v="2"/>
    <n v="3"/>
    <n v="5"/>
    <m/>
    <m/>
    <m/>
    <m/>
    <m/>
    <m/>
    <m/>
    <m/>
    <m/>
    <m/>
    <m/>
    <m/>
    <m/>
    <m/>
  </r>
  <r>
    <n v="923"/>
    <n v="36658"/>
    <d v="1993-11-23T00:00:00"/>
    <n v="32"/>
    <x v="0"/>
    <x v="1"/>
    <d v="2021-09-10T00:00:00"/>
    <n v="4.8027397260273972"/>
    <x v="117"/>
    <x v="1"/>
    <x v="5"/>
    <x v="1"/>
    <n v="22.37"/>
    <n v="22.22"/>
    <n v="22.07"/>
    <n v="21.92"/>
    <m/>
    <m/>
    <m/>
    <x v="1"/>
    <n v="4"/>
    <n v="5"/>
    <m/>
    <m/>
    <m/>
    <m/>
    <m/>
    <m/>
    <m/>
    <m/>
    <m/>
    <m/>
    <m/>
    <m/>
    <m/>
    <m/>
  </r>
  <r>
    <n v="924"/>
    <n v="36704"/>
    <d v="1995-09-06T00:00:00"/>
    <n v="30"/>
    <x v="0"/>
    <x v="1"/>
    <d v="2021-03-14T00:00:00"/>
    <n v="4.279452054794521"/>
    <x v="34"/>
    <x v="0"/>
    <x v="5"/>
    <x v="1"/>
    <n v="22.82"/>
    <n v="22.52"/>
    <n v="22.22"/>
    <n v="21.92"/>
    <m/>
    <m/>
    <m/>
    <x v="1"/>
    <n v="3"/>
    <n v="6"/>
    <m/>
    <m/>
    <m/>
    <m/>
    <m/>
    <m/>
    <m/>
    <m/>
    <m/>
    <m/>
    <m/>
    <m/>
    <m/>
    <m/>
  </r>
  <r>
    <n v="925"/>
    <n v="36733"/>
    <d v="1996-05-29T00:00:00"/>
    <n v="29"/>
    <x v="0"/>
    <x v="1"/>
    <d v="2021-09-21T00:00:00"/>
    <n v="4.3671232876712329"/>
    <x v="97"/>
    <x v="1"/>
    <x v="5"/>
    <x v="1"/>
    <n v="22.22"/>
    <n v="22.07"/>
    <n v="21.92"/>
    <n v="21.92"/>
    <m/>
    <m/>
    <m/>
    <x v="4"/>
    <n v="5"/>
    <n v="5"/>
    <m/>
    <m/>
    <m/>
    <m/>
    <m/>
    <m/>
    <m/>
    <m/>
    <m/>
    <m/>
    <m/>
    <m/>
    <m/>
    <m/>
  </r>
  <r>
    <n v="926"/>
    <n v="36737"/>
    <d v="1993-08-11T00:00:00"/>
    <n v="32"/>
    <x v="0"/>
    <x v="1"/>
    <d v="2021-08-20T00:00:00"/>
    <n v="4.6219178082191785"/>
    <x v="46"/>
    <x v="1"/>
    <x v="5"/>
    <x v="1"/>
    <n v="22.82"/>
    <n v="22.52"/>
    <n v="22.22"/>
    <n v="21.92"/>
    <m/>
    <m/>
    <m/>
    <x v="4"/>
    <n v="3"/>
    <n v="5"/>
    <m/>
    <m/>
    <m/>
    <m/>
    <m/>
    <m/>
    <m/>
    <m/>
    <m/>
    <m/>
    <m/>
    <m/>
    <m/>
    <m/>
  </r>
  <r>
    <n v="927"/>
    <n v="36745"/>
    <d v="1987-09-20T00:00:00"/>
    <n v="38"/>
    <x v="0"/>
    <x v="0"/>
    <d v="2021-05-19T00:00:00"/>
    <n v="4.397260273972603"/>
    <x v="54"/>
    <x v="1"/>
    <x v="5"/>
    <x v="1"/>
    <n v="22.82"/>
    <n v="22.52"/>
    <n v="22.22"/>
    <n v="21.92"/>
    <m/>
    <m/>
    <m/>
    <x v="2"/>
    <n v="3"/>
    <n v="4"/>
    <m/>
    <m/>
    <m/>
    <m/>
    <m/>
    <m/>
    <m/>
    <m/>
    <m/>
    <m/>
    <m/>
    <m/>
    <m/>
    <m/>
  </r>
  <r>
    <n v="928"/>
    <n v="36754"/>
    <d v="1997-05-26T00:00:00"/>
    <n v="28"/>
    <x v="1"/>
    <x v="1"/>
    <d v="2021-08-09T00:00:00"/>
    <n v="4.7671232876712333"/>
    <x v="66"/>
    <x v="1"/>
    <x v="5"/>
    <x v="1"/>
    <n v="22.82"/>
    <n v="22.52"/>
    <n v="22.22"/>
    <n v="21.92"/>
    <m/>
    <m/>
    <m/>
    <x v="2"/>
    <n v="1"/>
    <n v="7"/>
    <m/>
    <m/>
    <m/>
    <m/>
    <m/>
    <m/>
    <m/>
    <m/>
    <m/>
    <m/>
    <m/>
    <m/>
    <m/>
    <m/>
  </r>
  <r>
    <n v="929"/>
    <n v="36759"/>
    <d v="1984-09-09T00:00:00"/>
    <n v="41"/>
    <x v="0"/>
    <x v="1"/>
    <d v="2021-03-27T00:00:00"/>
    <n v="4.5945205479452058"/>
    <x v="69"/>
    <x v="1"/>
    <x v="5"/>
    <x v="1"/>
    <n v="22.82"/>
    <n v="22.52"/>
    <n v="22.22"/>
    <n v="21.92"/>
    <m/>
    <m/>
    <m/>
    <x v="4"/>
    <n v="4"/>
    <n v="4"/>
    <m/>
    <m/>
    <m/>
    <m/>
    <m/>
    <m/>
    <m/>
    <m/>
    <m/>
    <m/>
    <m/>
    <m/>
    <m/>
    <m/>
  </r>
  <r>
    <n v="930"/>
    <n v="36785"/>
    <d v="1992-12-18T00:00:00"/>
    <n v="33"/>
    <x v="1"/>
    <x v="1"/>
    <d v="2021-05-29T00:00:00"/>
    <n v="4.0712328767123287"/>
    <x v="35"/>
    <x v="0"/>
    <x v="6"/>
    <x v="1"/>
    <n v="22.98"/>
    <n v="22.68"/>
    <n v="22.38"/>
    <n v="22.08"/>
    <m/>
    <m/>
    <m/>
    <x v="4"/>
    <n v="5"/>
    <n v="7"/>
    <m/>
    <m/>
    <m/>
    <m/>
    <m/>
    <m/>
    <m/>
    <m/>
    <m/>
    <m/>
    <m/>
    <m/>
    <m/>
    <m/>
  </r>
  <r>
    <n v="931"/>
    <n v="36819"/>
    <d v="1992-08-03T00:00:00"/>
    <n v="33"/>
    <x v="0"/>
    <x v="0"/>
    <d v="2021-12-06T00:00:00"/>
    <n v="4.5999999999999996"/>
    <x v="10"/>
    <x v="0"/>
    <x v="10"/>
    <x v="1"/>
    <n v="10.24"/>
    <n v="10.24"/>
    <n v="10.14"/>
    <n v="9.8800000000000008"/>
    <m/>
    <m/>
    <m/>
    <x v="3"/>
    <n v="0"/>
    <n v="3"/>
    <m/>
    <m/>
    <m/>
    <m/>
    <m/>
    <m/>
    <m/>
    <m/>
    <m/>
    <m/>
    <m/>
    <m/>
    <m/>
    <m/>
  </r>
  <r>
    <n v="932"/>
    <n v="36824"/>
    <d v="2002-03-21T00:00:00"/>
    <n v="23"/>
    <x v="0"/>
    <x v="1"/>
    <d v="2021-05-27T00:00:00"/>
    <n v="4.8493150684931505"/>
    <x v="40"/>
    <x v="1"/>
    <x v="10"/>
    <x v="1"/>
    <n v="10.5"/>
    <n v="10.27"/>
    <n v="10.15"/>
    <n v="9.8800000000000008"/>
    <m/>
    <m/>
    <m/>
    <x v="3"/>
    <n v="1"/>
    <n v="4"/>
    <m/>
    <m/>
    <m/>
    <m/>
    <m/>
    <m/>
    <m/>
    <m/>
    <m/>
    <m/>
    <m/>
    <m/>
    <m/>
    <m/>
  </r>
  <r>
    <n v="933"/>
    <n v="36834"/>
    <d v="1996-06-12T00:00:00"/>
    <n v="29"/>
    <x v="1"/>
    <x v="1"/>
    <d v="2021-02-25T00:00:00"/>
    <n v="3.9945205479452053"/>
    <x v="57"/>
    <x v="0"/>
    <x v="2"/>
    <x v="1"/>
    <n v="14.12"/>
    <n v="13.82"/>
    <n v="13.52"/>
    <n v="13.22"/>
    <m/>
    <m/>
    <m/>
    <x v="2"/>
    <n v="0"/>
    <n v="5"/>
    <m/>
    <m/>
    <m/>
    <m/>
    <m/>
    <m/>
    <m/>
    <m/>
    <m/>
    <m/>
    <m/>
    <m/>
    <m/>
    <m/>
  </r>
  <r>
    <n v="934"/>
    <n v="36836"/>
    <d v="1996-10-05T00:00:00"/>
    <n v="29"/>
    <x v="0"/>
    <x v="1"/>
    <d v="2022-01-03T00:00:00"/>
    <n v="4.3150684931506849"/>
    <x v="73"/>
    <x v="0"/>
    <x v="6"/>
    <x v="1"/>
    <n v="22.98"/>
    <n v="22.68"/>
    <n v="22.38"/>
    <m/>
    <m/>
    <m/>
    <m/>
    <x v="2"/>
    <n v="5"/>
    <n v="5"/>
    <m/>
    <m/>
    <m/>
    <m/>
    <m/>
    <m/>
    <m/>
    <m/>
    <m/>
    <m/>
    <m/>
    <m/>
    <m/>
    <m/>
  </r>
  <r>
    <n v="935"/>
    <n v="36853"/>
    <d v="2003-08-05T00:00:00"/>
    <n v="22"/>
    <x v="1"/>
    <x v="1"/>
    <d v="2021-09-08T00:00:00"/>
    <n v="4.8"/>
    <x v="20"/>
    <x v="0"/>
    <x v="3"/>
    <x v="1"/>
    <n v="16.920000000000002"/>
    <n v="16.77"/>
    <n v="16.62"/>
    <n v="16.62"/>
    <m/>
    <m/>
    <m/>
    <x v="2"/>
    <n v="1"/>
    <n v="4"/>
    <m/>
    <m/>
    <m/>
    <m/>
    <m/>
    <m/>
    <m/>
    <m/>
    <m/>
    <m/>
    <m/>
    <m/>
    <m/>
    <m/>
  </r>
  <r>
    <n v="936"/>
    <n v="36872"/>
    <d v="1989-05-07T00:00:00"/>
    <n v="36"/>
    <x v="1"/>
    <x v="0"/>
    <d v="2021-03-15T00:00:00"/>
    <n v="4.515068493150685"/>
    <x v="38"/>
    <x v="0"/>
    <x v="1"/>
    <x v="1"/>
    <n v="16.100000000000001"/>
    <n v="15.8"/>
    <n v="15.5"/>
    <n v="15.2"/>
    <m/>
    <m/>
    <m/>
    <x v="4"/>
    <n v="1"/>
    <n v="6"/>
    <m/>
    <m/>
    <m/>
    <m/>
    <m/>
    <m/>
    <m/>
    <m/>
    <m/>
    <m/>
    <m/>
    <m/>
    <m/>
    <m/>
  </r>
  <r>
    <n v="937"/>
    <n v="36881"/>
    <d v="1993-04-01T00:00:00"/>
    <n v="33"/>
    <x v="0"/>
    <x v="1"/>
    <d v="2021-06-27T00:00:00"/>
    <n v="4.4712328767123291"/>
    <x v="5"/>
    <x v="0"/>
    <x v="2"/>
    <x v="1"/>
    <n v="14.12"/>
    <n v="13.82"/>
    <n v="13.52"/>
    <n v="13.22"/>
    <m/>
    <m/>
    <m/>
    <x v="1"/>
    <n v="0"/>
    <n v="4"/>
    <m/>
    <m/>
    <m/>
    <m/>
    <m/>
    <m/>
    <m/>
    <m/>
    <m/>
    <m/>
    <m/>
    <m/>
    <m/>
    <m/>
  </r>
  <r>
    <n v="938"/>
    <n v="36896"/>
    <d v="1993-07-23T00:00:00"/>
    <n v="32"/>
    <x v="0"/>
    <x v="1"/>
    <d v="2021-07-13T00:00:00"/>
    <n v="4.1726027397260275"/>
    <x v="33"/>
    <x v="0"/>
    <x v="6"/>
    <x v="1"/>
    <n v="22.98"/>
    <n v="22.68"/>
    <n v="22.38"/>
    <n v="22.08"/>
    <m/>
    <m/>
    <m/>
    <x v="3"/>
    <n v="4"/>
    <n v="6"/>
    <m/>
    <m/>
    <m/>
    <m/>
    <m/>
    <m/>
    <m/>
    <m/>
    <m/>
    <m/>
    <m/>
    <m/>
    <m/>
    <m/>
  </r>
  <r>
    <n v="939"/>
    <n v="36902"/>
    <d v="1998-12-28T00:00:00"/>
    <n v="27"/>
    <x v="0"/>
    <x v="1"/>
    <d v="2021-10-30T00:00:00"/>
    <n v="3.9342465753424656"/>
    <x v="59"/>
    <x v="0"/>
    <x v="7"/>
    <x v="1"/>
    <n v="17.38"/>
    <n v="16.989999999999998"/>
    <n v="16.600000000000001"/>
    <n v="16.329999999999998"/>
    <m/>
    <m/>
    <m/>
    <x v="3"/>
    <n v="2"/>
    <n v="6"/>
    <m/>
    <m/>
    <m/>
    <m/>
    <m/>
    <m/>
    <m/>
    <m/>
    <m/>
    <m/>
    <m/>
    <m/>
    <m/>
    <m/>
  </r>
  <r>
    <n v="940"/>
    <n v="36927"/>
    <d v="1996-06-19T00:00:00"/>
    <n v="29"/>
    <x v="0"/>
    <x v="1"/>
    <d v="2022-01-25T00:00:00"/>
    <n v="3.9150684931506849"/>
    <x v="51"/>
    <x v="1"/>
    <x v="7"/>
    <x v="1"/>
    <n v="17.23"/>
    <n v="16.93"/>
    <n v="16.63"/>
    <m/>
    <m/>
    <m/>
    <m/>
    <x v="2"/>
    <n v="4"/>
    <n v="4"/>
    <m/>
    <m/>
    <m/>
    <m/>
    <m/>
    <m/>
    <m/>
    <m/>
    <m/>
    <m/>
    <m/>
    <m/>
    <m/>
    <m/>
  </r>
  <r>
    <n v="941"/>
    <n v="36949"/>
    <d v="2001-04-25T00:00:00"/>
    <n v="24"/>
    <x v="0"/>
    <x v="1"/>
    <d v="2022-02-01T00:00:00"/>
    <n v="3.9616438356164383"/>
    <x v="114"/>
    <x v="1"/>
    <x v="9"/>
    <x v="1"/>
    <n v="13.97"/>
    <n v="13.67"/>
    <n v="13.37"/>
    <m/>
    <m/>
    <m/>
    <m/>
    <x v="2"/>
    <n v="0"/>
    <n v="5"/>
    <m/>
    <m/>
    <m/>
    <m/>
    <m/>
    <m/>
    <m/>
    <m/>
    <m/>
    <m/>
    <m/>
    <m/>
    <m/>
    <m/>
  </r>
  <r>
    <n v="942"/>
    <n v="36956"/>
    <d v="2003-03-23T00:00:00"/>
    <n v="22"/>
    <x v="0"/>
    <x v="0"/>
    <d v="2022-01-15T00:00:00"/>
    <n v="4.4575342465753423"/>
    <x v="18"/>
    <x v="0"/>
    <x v="10"/>
    <x v="1"/>
    <n v="10.18"/>
    <n v="10.02"/>
    <n v="10.02"/>
    <m/>
    <m/>
    <m/>
    <m/>
    <x v="4"/>
    <n v="0"/>
    <n v="4"/>
    <m/>
    <m/>
    <m/>
    <m/>
    <m/>
    <m/>
    <m/>
    <m/>
    <m/>
    <m/>
    <m/>
    <m/>
    <m/>
    <m/>
  </r>
  <r>
    <n v="943"/>
    <n v="36975"/>
    <d v="1996-05-18T00:00:00"/>
    <n v="29"/>
    <x v="1"/>
    <x v="1"/>
    <d v="2021-07-18T00:00:00"/>
    <n v="4.6958904109589037"/>
    <x v="94"/>
    <x v="1"/>
    <x v="1"/>
    <x v="1"/>
    <n v="16.100000000000001"/>
    <n v="15.8"/>
    <n v="15.5"/>
    <n v="15.2"/>
    <m/>
    <m/>
    <m/>
    <x v="1"/>
    <n v="1"/>
    <n v="6"/>
    <m/>
    <m/>
    <m/>
    <m/>
    <m/>
    <m/>
    <m/>
    <m/>
    <m/>
    <m/>
    <m/>
    <m/>
    <m/>
    <m/>
  </r>
  <r>
    <n v="944"/>
    <n v="36993"/>
    <d v="2000-12-02T00:00:00"/>
    <n v="25"/>
    <x v="0"/>
    <x v="1"/>
    <d v="2021-04-22T00:00:00"/>
    <n v="4.7589041095890412"/>
    <x v="124"/>
    <x v="0"/>
    <x v="2"/>
    <x v="1"/>
    <n v="14.12"/>
    <n v="13.82"/>
    <n v="13.52"/>
    <n v="13.22"/>
    <m/>
    <m/>
    <m/>
    <x v="3"/>
    <n v="0"/>
    <n v="3"/>
    <m/>
    <m/>
    <m/>
    <m/>
    <m/>
    <m/>
    <m/>
    <m/>
    <m/>
    <m/>
    <m/>
    <m/>
    <m/>
    <m/>
  </r>
  <r>
    <n v="945"/>
    <n v="37002"/>
    <d v="2002-12-27T00:00:00"/>
    <n v="23"/>
    <x v="0"/>
    <x v="1"/>
    <d v="2021-03-30T00:00:00"/>
    <n v="4.0246575342465754"/>
    <x v="120"/>
    <x v="1"/>
    <x v="9"/>
    <x v="1"/>
    <n v="13.97"/>
    <n v="13.67"/>
    <n v="13.37"/>
    <n v="13.07"/>
    <m/>
    <m/>
    <m/>
    <x v="3"/>
    <n v="1"/>
    <n v="4"/>
    <m/>
    <m/>
    <m/>
    <m/>
    <m/>
    <m/>
    <m/>
    <m/>
    <m/>
    <m/>
    <m/>
    <m/>
    <m/>
    <m/>
  </r>
  <r>
    <n v="946"/>
    <n v="37010"/>
    <d v="1995-11-09T00:00:00"/>
    <n v="30"/>
    <x v="1"/>
    <x v="1"/>
    <d v="2021-12-23T00:00:00"/>
    <n v="4.2493150684931509"/>
    <x v="96"/>
    <x v="1"/>
    <x v="1"/>
    <x v="1"/>
    <n v="16.18"/>
    <n v="15.82"/>
    <n v="15.52"/>
    <n v="15.2"/>
    <m/>
    <m/>
    <m/>
    <x v="4"/>
    <n v="0"/>
    <n v="5"/>
    <m/>
    <m/>
    <m/>
    <m/>
    <m/>
    <m/>
    <m/>
    <m/>
    <m/>
    <m/>
    <m/>
    <m/>
    <m/>
    <m/>
  </r>
  <r>
    <n v="947"/>
    <n v="37026"/>
    <d v="1991-08-09T00:00:00"/>
    <n v="34"/>
    <x v="1"/>
    <x v="0"/>
    <d v="2021-10-02T00:00:00"/>
    <n v="4.4684931506849317"/>
    <x v="49"/>
    <x v="0"/>
    <x v="2"/>
    <x v="1"/>
    <n v="14.12"/>
    <n v="13.82"/>
    <n v="13.52"/>
    <n v="13.22"/>
    <m/>
    <m/>
    <m/>
    <x v="3"/>
    <n v="1"/>
    <n v="6"/>
    <m/>
    <m/>
    <m/>
    <m/>
    <m/>
    <m/>
    <m/>
    <m/>
    <m/>
    <m/>
    <m/>
    <m/>
    <m/>
    <m/>
  </r>
  <r>
    <n v="948"/>
    <n v="37031"/>
    <d v="2000-10-18T00:00:00"/>
    <n v="25"/>
    <x v="1"/>
    <x v="1"/>
    <d v="2021-07-14T00:00:00"/>
    <n v="4.4986301369863018"/>
    <x v="138"/>
    <x v="0"/>
    <x v="1"/>
    <x v="1"/>
    <n v="16.100000000000001"/>
    <n v="15.8"/>
    <n v="15.5"/>
    <n v="15.2"/>
    <m/>
    <m/>
    <m/>
    <x v="3"/>
    <n v="1"/>
    <n v="5"/>
    <m/>
    <m/>
    <m/>
    <m/>
    <m/>
    <m/>
    <m/>
    <m/>
    <m/>
    <m/>
    <m/>
    <m/>
    <m/>
    <m/>
  </r>
  <r>
    <n v="949"/>
    <n v="37033"/>
    <d v="1996-03-24T00:00:00"/>
    <n v="29"/>
    <x v="0"/>
    <x v="1"/>
    <d v="2021-07-03T00:00:00"/>
    <n v="4.8136986301369866"/>
    <x v="57"/>
    <x v="0"/>
    <x v="7"/>
    <x v="1"/>
    <n v="17.23"/>
    <n v="16.93"/>
    <n v="16.63"/>
    <n v="16.329999999999998"/>
    <m/>
    <m/>
    <m/>
    <x v="3"/>
    <n v="2"/>
    <n v="4"/>
    <m/>
    <m/>
    <m/>
    <m/>
    <m/>
    <m/>
    <m/>
    <m/>
    <m/>
    <m/>
    <m/>
    <m/>
    <m/>
    <m/>
  </r>
  <r>
    <n v="950"/>
    <n v="37047"/>
    <d v="2000-05-03T00:00:00"/>
    <n v="25"/>
    <x v="0"/>
    <x v="1"/>
    <d v="2021-03-10T00:00:00"/>
    <n v="4.1041095890410961"/>
    <x v="65"/>
    <x v="1"/>
    <x v="10"/>
    <x v="1"/>
    <n v="10.48"/>
    <n v="10.28"/>
    <n v="10.08"/>
    <n v="9.8800000000000008"/>
    <m/>
    <m/>
    <m/>
    <x v="2"/>
    <n v="0"/>
    <n v="4"/>
    <m/>
    <m/>
    <m/>
    <m/>
    <m/>
    <m/>
    <m/>
    <m/>
    <m/>
    <m/>
    <m/>
    <m/>
    <m/>
    <m/>
  </r>
  <r>
    <n v="951"/>
    <n v="37055"/>
    <d v="1999-04-02T00:00:00"/>
    <n v="26"/>
    <x v="1"/>
    <x v="1"/>
    <d v="2021-11-24T00:00:00"/>
    <n v="4.3013698630136989"/>
    <x v="2"/>
    <x v="0"/>
    <x v="1"/>
    <x v="1"/>
    <n v="16.100000000000001"/>
    <n v="15.8"/>
    <n v="15.5"/>
    <n v="15.2"/>
    <m/>
    <m/>
    <m/>
    <x v="2"/>
    <n v="1"/>
    <n v="5"/>
    <m/>
    <m/>
    <m/>
    <m/>
    <m/>
    <m/>
    <m/>
    <m/>
    <m/>
    <m/>
    <m/>
    <m/>
    <m/>
    <m/>
  </r>
  <r>
    <n v="952"/>
    <n v="37077"/>
    <d v="1992-02-16T00:00:00"/>
    <n v="33"/>
    <x v="0"/>
    <x v="1"/>
    <d v="2021-09-13T00:00:00"/>
    <n v="4.7369863013698632"/>
    <x v="15"/>
    <x v="0"/>
    <x v="8"/>
    <x v="1"/>
    <n v="8.4700000000000006"/>
    <n v="8.27"/>
    <n v="8.07"/>
    <n v="7.87"/>
    <m/>
    <m/>
    <m/>
    <x v="2"/>
    <n v="1"/>
    <n v="4"/>
    <m/>
    <m/>
    <m/>
    <m/>
    <m/>
    <m/>
    <m/>
    <m/>
    <m/>
    <m/>
    <m/>
    <m/>
    <m/>
    <m/>
  </r>
  <r>
    <n v="953"/>
    <n v="37116"/>
    <d v="1987-05-23T00:00:00"/>
    <n v="38"/>
    <x v="0"/>
    <x v="0"/>
    <d v="2021-04-07T00:00:00"/>
    <n v="4.2684931506849315"/>
    <x v="33"/>
    <x v="0"/>
    <x v="2"/>
    <x v="1"/>
    <n v="14.12"/>
    <n v="13.82"/>
    <n v="13.52"/>
    <n v="13.22"/>
    <m/>
    <m/>
    <m/>
    <x v="3"/>
    <n v="1"/>
    <n v="5"/>
    <m/>
    <m/>
    <m/>
    <m/>
    <m/>
    <m/>
    <m/>
    <m/>
    <m/>
    <m/>
    <m/>
    <m/>
    <m/>
    <m/>
  </r>
  <r>
    <n v="954"/>
    <n v="37134"/>
    <d v="1997-06-10T00:00:00"/>
    <n v="28"/>
    <x v="0"/>
    <x v="1"/>
    <d v="2021-09-25T00:00:00"/>
    <n v="4.8191780821917805"/>
    <x v="102"/>
    <x v="0"/>
    <x v="11"/>
    <x v="1"/>
    <n v="16.46"/>
    <n v="16.190000000000001"/>
    <n v="15.95"/>
    <n v="15.79"/>
    <m/>
    <m/>
    <m/>
    <x v="2"/>
    <n v="2"/>
    <n v="4"/>
    <m/>
    <m/>
    <m/>
    <m/>
    <m/>
    <m/>
    <m/>
    <m/>
    <m/>
    <m/>
    <m/>
    <m/>
    <m/>
    <m/>
  </r>
  <r>
    <n v="955"/>
    <n v="37167"/>
    <d v="1997-10-26T00:00:00"/>
    <n v="28"/>
    <x v="1"/>
    <x v="1"/>
    <d v="2021-03-08T00:00:00"/>
    <n v="3.9643835616438357"/>
    <x v="1"/>
    <x v="1"/>
    <x v="1"/>
    <x v="1"/>
    <n v="15.6"/>
    <n v="15.43"/>
    <n v="15.43"/>
    <n v="15.2"/>
    <m/>
    <m/>
    <m/>
    <x v="2"/>
    <n v="1"/>
    <n v="6"/>
    <m/>
    <m/>
    <m/>
    <m/>
    <m/>
    <m/>
    <m/>
    <m/>
    <m/>
    <m/>
    <m/>
    <m/>
    <m/>
    <m/>
  </r>
  <r>
    <n v="956"/>
    <n v="37206"/>
    <d v="2000-12-28T00:00:00"/>
    <n v="25"/>
    <x v="0"/>
    <x v="1"/>
    <d v="2022-01-14T00:00:00"/>
    <n v="4.0712328767123287"/>
    <x v="134"/>
    <x v="1"/>
    <x v="6"/>
    <x v="1"/>
    <n v="22.23"/>
    <n v="22.08"/>
    <n v="22.08"/>
    <m/>
    <m/>
    <m/>
    <m/>
    <x v="3"/>
    <n v="7"/>
    <n v="6"/>
    <m/>
    <m/>
    <m/>
    <m/>
    <m/>
    <m/>
    <m/>
    <m/>
    <m/>
    <m/>
    <m/>
    <m/>
    <m/>
    <m/>
  </r>
  <r>
    <n v="957"/>
    <n v="37222"/>
    <d v="2003-05-13T00:00:00"/>
    <n v="22"/>
    <x v="1"/>
    <x v="1"/>
    <d v="2021-12-06T00:00:00"/>
    <n v="3.9972602739726026"/>
    <x v="86"/>
    <x v="1"/>
    <x v="8"/>
    <x v="1"/>
    <n v="8.4700000000000006"/>
    <n v="8.27"/>
    <n v="8.07"/>
    <n v="7.87"/>
    <m/>
    <m/>
    <m/>
    <x v="4"/>
    <n v="2"/>
    <n v="5"/>
    <m/>
    <m/>
    <m/>
    <m/>
    <m/>
    <m/>
    <m/>
    <m/>
    <m/>
    <m/>
    <m/>
    <m/>
    <m/>
    <m/>
  </r>
  <r>
    <n v="958"/>
    <n v="37254"/>
    <d v="2001-06-06T00:00:00"/>
    <n v="24"/>
    <x v="1"/>
    <x v="1"/>
    <d v="2022-01-02T00:00:00"/>
    <n v="4.4767123287671229"/>
    <x v="77"/>
    <x v="0"/>
    <x v="9"/>
    <x v="1"/>
    <n v="13.97"/>
    <n v="13.67"/>
    <n v="13.37"/>
    <m/>
    <m/>
    <m/>
    <m/>
    <x v="2"/>
    <n v="0"/>
    <n v="7"/>
    <m/>
    <m/>
    <m/>
    <m/>
    <m/>
    <m/>
    <m/>
    <m/>
    <m/>
    <m/>
    <m/>
    <m/>
    <m/>
    <m/>
  </r>
  <r>
    <n v="959"/>
    <n v="37264"/>
    <d v="1997-06-28T00:00:00"/>
    <n v="28"/>
    <x v="0"/>
    <x v="1"/>
    <d v="2021-07-11T00:00:00"/>
    <n v="3.9808219178082194"/>
    <x v="93"/>
    <x v="1"/>
    <x v="10"/>
    <x v="1"/>
    <n v="10.55"/>
    <n v="10.33"/>
    <n v="10.1"/>
    <n v="9.8800000000000008"/>
    <m/>
    <m/>
    <m/>
    <x v="2"/>
    <n v="1"/>
    <n v="3"/>
    <m/>
    <m/>
    <m/>
    <m/>
    <m/>
    <m/>
    <m/>
    <m/>
    <m/>
    <m/>
    <m/>
    <m/>
    <m/>
    <m/>
  </r>
  <r>
    <n v="960"/>
    <n v="37290"/>
    <d v="2002-01-17T00:00:00"/>
    <n v="23"/>
    <x v="0"/>
    <x v="1"/>
    <d v="2022-01-08T00:00:00"/>
    <n v="4.4246575342465757"/>
    <x v="59"/>
    <x v="0"/>
    <x v="10"/>
    <x v="1"/>
    <n v="10.4"/>
    <n v="10.210000000000001"/>
    <n v="10.07"/>
    <m/>
    <m/>
    <m/>
    <m/>
    <x v="2"/>
    <n v="1"/>
    <n v="3"/>
    <m/>
    <m/>
    <m/>
    <m/>
    <m/>
    <m/>
    <m/>
    <m/>
    <m/>
    <m/>
    <m/>
    <m/>
    <m/>
    <m/>
  </r>
  <r>
    <n v="961"/>
    <n v="37304"/>
    <d v="1994-09-20T00:00:00"/>
    <n v="31"/>
    <x v="1"/>
    <x v="1"/>
    <d v="2021-07-30T00:00:00"/>
    <n v="3.9972602739726026"/>
    <x v="116"/>
    <x v="1"/>
    <x v="1"/>
    <x v="1"/>
    <n v="16.350000000000001"/>
    <n v="15.91"/>
    <n v="15.62"/>
    <n v="15.2"/>
    <m/>
    <m/>
    <m/>
    <x v="2"/>
    <n v="2"/>
    <n v="5"/>
    <m/>
    <m/>
    <m/>
    <m/>
    <m/>
    <m/>
    <m/>
    <m/>
    <m/>
    <m/>
    <m/>
    <m/>
    <m/>
    <m/>
  </r>
  <r>
    <n v="962"/>
    <n v="37337"/>
    <d v="2000-05-02T00:00:00"/>
    <n v="25"/>
    <x v="1"/>
    <x v="1"/>
    <d v="2022-01-02T00:00:00"/>
    <n v="4.0164383561643833"/>
    <x v="139"/>
    <x v="0"/>
    <x v="1"/>
    <x v="1"/>
    <n v="16.100000000000001"/>
    <n v="15.8"/>
    <n v="15.5"/>
    <m/>
    <m/>
    <m/>
    <m/>
    <x v="2"/>
    <n v="1"/>
    <n v="5"/>
    <m/>
    <m/>
    <m/>
    <m/>
    <m/>
    <m/>
    <m/>
    <m/>
    <m/>
    <m/>
    <m/>
    <m/>
    <m/>
    <m/>
  </r>
  <r>
    <n v="963"/>
    <n v="37339"/>
    <d v="2002-10-05T00:00:00"/>
    <n v="23"/>
    <x v="0"/>
    <x v="1"/>
    <d v="2021-12-26T00:00:00"/>
    <n v="4.536986301369863"/>
    <x v="61"/>
    <x v="0"/>
    <x v="10"/>
    <x v="1"/>
    <n v="10.67"/>
    <n v="10.38"/>
    <n v="10.17"/>
    <n v="9.8800000000000008"/>
    <m/>
    <m/>
    <m/>
    <x v="2"/>
    <n v="1"/>
    <n v="4"/>
    <m/>
    <m/>
    <m/>
    <m/>
    <m/>
    <m/>
    <m/>
    <m/>
    <m/>
    <m/>
    <m/>
    <m/>
    <m/>
    <m/>
  </r>
  <r>
    <n v="964"/>
    <n v="37348"/>
    <d v="2002-09-08T00:00:00"/>
    <n v="23"/>
    <x v="1"/>
    <x v="1"/>
    <d v="2021-06-19T00:00:00"/>
    <n v="4.0136986301369859"/>
    <x v="67"/>
    <x v="0"/>
    <x v="8"/>
    <x v="1"/>
    <n v="8.4700000000000006"/>
    <n v="8.27"/>
    <n v="8.07"/>
    <n v="7.87"/>
    <m/>
    <m/>
    <m/>
    <x v="2"/>
    <n v="0"/>
    <n v="4"/>
    <m/>
    <m/>
    <m/>
    <m/>
    <m/>
    <m/>
    <m/>
    <m/>
    <m/>
    <m/>
    <m/>
    <m/>
    <m/>
    <m/>
  </r>
  <r>
    <n v="965"/>
    <n v="37358"/>
    <d v="2002-04-11T00:00:00"/>
    <n v="23"/>
    <x v="1"/>
    <x v="1"/>
    <d v="2021-12-27T00:00:00"/>
    <n v="4.7013698630136984"/>
    <x v="54"/>
    <x v="1"/>
    <x v="8"/>
    <x v="1"/>
    <n v="8.4700000000000006"/>
    <n v="8.27"/>
    <n v="8.07"/>
    <n v="7.87"/>
    <m/>
    <m/>
    <m/>
    <x v="2"/>
    <n v="4"/>
    <n v="5"/>
    <m/>
    <m/>
    <m/>
    <m/>
    <m/>
    <m/>
    <m/>
    <m/>
    <m/>
    <m/>
    <m/>
    <m/>
    <m/>
    <m/>
  </r>
  <r>
    <n v="966"/>
    <n v="37362"/>
    <d v="1980-03-20T00:00:00"/>
    <n v="45"/>
    <x v="0"/>
    <x v="1"/>
    <d v="2021-04-20T00:00:00"/>
    <n v="4.463013698630137"/>
    <x v="64"/>
    <x v="1"/>
    <x v="2"/>
    <x v="1"/>
    <n v="14.12"/>
    <n v="13.82"/>
    <n v="13.52"/>
    <n v="13.22"/>
    <m/>
    <m/>
    <m/>
    <x v="2"/>
    <n v="0"/>
    <n v="5"/>
    <m/>
    <m/>
    <m/>
    <m/>
    <m/>
    <m/>
    <m/>
    <m/>
    <m/>
    <m/>
    <m/>
    <m/>
    <m/>
    <m/>
  </r>
  <r>
    <n v="967"/>
    <n v="37391"/>
    <d v="2001-06-01T00:00:00"/>
    <n v="25"/>
    <x v="1"/>
    <x v="1"/>
    <d v="2021-07-16T00:00:00"/>
    <n v="4.1506849315068495"/>
    <x v="136"/>
    <x v="0"/>
    <x v="10"/>
    <x v="1"/>
    <n v="10.51"/>
    <n v="10.28"/>
    <n v="10.15"/>
    <n v="9.8800000000000008"/>
    <m/>
    <m/>
    <m/>
    <x v="2"/>
    <n v="1"/>
    <n v="6"/>
    <m/>
    <m/>
    <m/>
    <m/>
    <m/>
    <m/>
    <m/>
    <m/>
    <m/>
    <m/>
    <m/>
    <m/>
    <m/>
    <m/>
  </r>
  <r>
    <n v="968"/>
    <n v="37397"/>
    <d v="1996-11-29T00:00:00"/>
    <n v="29"/>
    <x v="1"/>
    <x v="1"/>
    <d v="2021-11-07T00:00:00"/>
    <n v="4.8767123287671232"/>
    <x v="123"/>
    <x v="1"/>
    <x v="6"/>
    <x v="1"/>
    <n v="22.53"/>
    <n v="22.38"/>
    <n v="22.23"/>
    <n v="22.08"/>
    <m/>
    <m/>
    <m/>
    <x v="4"/>
    <n v="2"/>
    <n v="6"/>
    <m/>
    <m/>
    <m/>
    <m/>
    <m/>
    <m/>
    <m/>
    <m/>
    <m/>
    <m/>
    <m/>
    <m/>
    <m/>
    <m/>
  </r>
  <r>
    <n v="969"/>
    <n v="37400"/>
    <d v="2000-10-30T00:00:00"/>
    <n v="25"/>
    <x v="0"/>
    <x v="1"/>
    <d v="2021-02-15T00:00:00"/>
    <n v="4.4493150684931511"/>
    <x v="91"/>
    <x v="1"/>
    <x v="10"/>
    <x v="1"/>
    <n v="10.48"/>
    <n v="10.28"/>
    <n v="10.08"/>
    <n v="9.8800000000000008"/>
    <m/>
    <m/>
    <m/>
    <x v="4"/>
    <n v="1"/>
    <n v="3"/>
    <m/>
    <m/>
    <m/>
    <m/>
    <m/>
    <m/>
    <m/>
    <m/>
    <m/>
    <m/>
    <m/>
    <m/>
    <m/>
    <m/>
  </r>
  <r>
    <n v="970"/>
    <n v="37431"/>
    <d v="2001-02-09T00:00:00"/>
    <n v="24"/>
    <x v="0"/>
    <x v="1"/>
    <d v="2021-07-21T00:00:00"/>
    <n v="4.2082191780821914"/>
    <x v="43"/>
    <x v="1"/>
    <x v="6"/>
    <x v="1"/>
    <n v="23.16"/>
    <n v="22.94"/>
    <n v="22.5"/>
    <n v="22.08"/>
    <m/>
    <m/>
    <m/>
    <x v="1"/>
    <n v="7"/>
    <n v="6"/>
    <m/>
    <m/>
    <m/>
    <m/>
    <m/>
    <m/>
    <m/>
    <m/>
    <m/>
    <m/>
    <m/>
    <m/>
    <m/>
    <m/>
  </r>
  <r>
    <n v="971"/>
    <n v="37510"/>
    <d v="2002-11-19T00:00:00"/>
    <n v="23"/>
    <x v="1"/>
    <x v="1"/>
    <d v="2021-10-17T00:00:00"/>
    <n v="4.0575342465753428"/>
    <x v="67"/>
    <x v="0"/>
    <x v="8"/>
    <x v="1"/>
    <n v="8.4700000000000006"/>
    <n v="8.27"/>
    <n v="8.07"/>
    <n v="7.87"/>
    <m/>
    <m/>
    <m/>
    <x v="2"/>
    <n v="4"/>
    <n v="6"/>
    <m/>
    <m/>
    <m/>
    <m/>
    <m/>
    <m/>
    <m/>
    <m/>
    <m/>
    <m/>
    <m/>
    <m/>
    <m/>
    <m/>
  </r>
  <r>
    <n v="972"/>
    <n v="37516"/>
    <d v="1997-02-13T00:00:00"/>
    <n v="28"/>
    <x v="0"/>
    <x v="1"/>
    <d v="2021-12-11T00:00:00"/>
    <n v="3.9260273972602739"/>
    <x v="55"/>
    <x v="0"/>
    <x v="2"/>
    <x v="1"/>
    <n v="14.12"/>
    <n v="13.82"/>
    <n v="13.52"/>
    <n v="13.22"/>
    <m/>
    <m/>
    <m/>
    <x v="4"/>
    <n v="0"/>
    <n v="4"/>
    <m/>
    <m/>
    <m/>
    <m/>
    <m/>
    <m/>
    <m/>
    <m/>
    <m/>
    <m/>
    <m/>
    <m/>
    <m/>
    <m/>
  </r>
  <r>
    <n v="973"/>
    <n v="37526"/>
    <d v="2000-02-15T00:00:00"/>
    <n v="25"/>
    <x v="1"/>
    <x v="1"/>
    <d v="2022-01-28T00:00:00"/>
    <n v="4.7780821917808218"/>
    <x v="59"/>
    <x v="0"/>
    <x v="8"/>
    <x v="1"/>
    <n v="8.36"/>
    <n v="8.36"/>
    <n v="8.15"/>
    <m/>
    <m/>
    <m/>
    <m/>
    <x v="2"/>
    <n v="3"/>
    <n v="7"/>
    <m/>
    <m/>
    <m/>
    <m/>
    <m/>
    <m/>
    <m/>
    <m/>
    <m/>
    <m/>
    <m/>
    <m/>
    <m/>
    <m/>
  </r>
  <r>
    <n v="974"/>
    <n v="37566"/>
    <d v="2000-06-18T00:00:00"/>
    <n v="25"/>
    <x v="1"/>
    <x v="1"/>
    <d v="2021-03-23T00:00:00"/>
    <n v="4.2739726027397262"/>
    <x v="54"/>
    <x v="1"/>
    <x v="8"/>
    <x v="1"/>
    <n v="8.4700000000000006"/>
    <n v="8.27"/>
    <n v="8.07"/>
    <n v="7.87"/>
    <m/>
    <m/>
    <m/>
    <x v="2"/>
    <n v="2"/>
    <n v="7"/>
    <m/>
    <m/>
    <m/>
    <m/>
    <m/>
    <m/>
    <m/>
    <m/>
    <m/>
    <m/>
    <m/>
    <m/>
    <m/>
    <m/>
  </r>
  <r>
    <n v="975"/>
    <n v="37575"/>
    <d v="2003-05-30T00:00:00"/>
    <n v="22"/>
    <x v="0"/>
    <x v="1"/>
    <d v="2021-09-23T00:00:00"/>
    <n v="4.7342465753424658"/>
    <x v="119"/>
    <x v="1"/>
    <x v="10"/>
    <x v="1"/>
    <n v="10.62"/>
    <n v="10.37"/>
    <n v="10.119999999999999"/>
    <n v="9.8800000000000008"/>
    <m/>
    <m/>
    <m/>
    <x v="2"/>
    <n v="1"/>
    <n v="4"/>
    <m/>
    <m/>
    <m/>
    <m/>
    <m/>
    <m/>
    <m/>
    <m/>
    <m/>
    <m/>
    <m/>
    <m/>
    <m/>
    <m/>
  </r>
  <r>
    <n v="976"/>
    <n v="37634"/>
    <d v="1996-10-24T00:00:00"/>
    <n v="29"/>
    <x v="1"/>
    <x v="0"/>
    <d v="2021-04-08T00:00:00"/>
    <n v="4.4438356164383563"/>
    <x v="26"/>
    <x v="0"/>
    <x v="1"/>
    <x v="1"/>
    <n v="16.149999999999999"/>
    <n v="16"/>
    <n v="15.6"/>
    <n v="15.2"/>
    <m/>
    <m/>
    <m/>
    <x v="4"/>
    <n v="1"/>
    <n v="5"/>
    <m/>
    <m/>
    <m/>
    <m/>
    <m/>
    <m/>
    <m/>
    <m/>
    <m/>
    <m/>
    <m/>
    <m/>
    <m/>
    <m/>
  </r>
  <r>
    <n v="977"/>
    <n v="37640"/>
    <d v="2002-06-04T00:00:00"/>
    <n v="23"/>
    <x v="0"/>
    <x v="0"/>
    <d v="2021-07-23T00:00:00"/>
    <n v="4.4246575342465757"/>
    <x v="102"/>
    <x v="0"/>
    <x v="10"/>
    <x v="1"/>
    <n v="10.5"/>
    <n v="10.37"/>
    <n v="10.08"/>
    <n v="9.8800000000000008"/>
    <m/>
    <m/>
    <m/>
    <x v="2"/>
    <n v="1"/>
    <n v="3"/>
    <m/>
    <m/>
    <m/>
    <m/>
    <m/>
    <m/>
    <m/>
    <m/>
    <m/>
    <m/>
    <m/>
    <m/>
    <m/>
    <m/>
  </r>
  <r>
    <n v="978"/>
    <n v="37644"/>
    <d v="1991-12-29T00:00:00"/>
    <n v="34"/>
    <x v="1"/>
    <x v="1"/>
    <d v="2021-07-30T00:00:00"/>
    <n v="4.7534246575342465"/>
    <x v="38"/>
    <x v="0"/>
    <x v="1"/>
    <x v="1"/>
    <n v="16.100000000000001"/>
    <n v="15.8"/>
    <n v="15.5"/>
    <n v="15.2"/>
    <m/>
    <m/>
    <m/>
    <x v="1"/>
    <n v="1"/>
    <n v="5"/>
    <m/>
    <m/>
    <m/>
    <m/>
    <m/>
    <m/>
    <m/>
    <m/>
    <m/>
    <m/>
    <m/>
    <m/>
    <m/>
    <m/>
  </r>
  <r>
    <n v="979"/>
    <n v="37674"/>
    <d v="2002-01-01T00:00:00"/>
    <n v="24"/>
    <x v="1"/>
    <x v="0"/>
    <d v="2021-04-01T00:00:00"/>
    <n v="4.1369863013698627"/>
    <x v="49"/>
    <x v="0"/>
    <x v="3"/>
    <x v="1"/>
    <n v="8.4700000000000006"/>
    <n v="8.27"/>
    <n v="8.07"/>
    <n v="7.87"/>
    <m/>
    <m/>
    <m/>
    <x v="3"/>
    <n v="2"/>
    <n v="4"/>
    <m/>
    <m/>
    <m/>
    <m/>
    <m/>
    <m/>
    <m/>
    <m/>
    <m/>
    <m/>
    <m/>
    <m/>
    <m/>
    <m/>
  </r>
  <r>
    <n v="980"/>
    <n v="37703"/>
    <d v="1999-07-22T00:00:00"/>
    <n v="26"/>
    <x v="0"/>
    <x v="0"/>
    <d v="2021-11-12T00:00:00"/>
    <n v="4.484931506849315"/>
    <x v="69"/>
    <x v="1"/>
    <x v="2"/>
    <x v="1"/>
    <n v="14.12"/>
    <n v="13.82"/>
    <n v="13.52"/>
    <n v="13.22"/>
    <m/>
    <m/>
    <m/>
    <x v="2"/>
    <n v="1"/>
    <n v="3"/>
    <m/>
    <m/>
    <m/>
    <m/>
    <m/>
    <m/>
    <m/>
    <m/>
    <m/>
    <m/>
    <m/>
    <m/>
    <m/>
    <m/>
  </r>
  <r>
    <n v="981"/>
    <n v="37728"/>
    <d v="2003-12-13T00:00:00"/>
    <n v="22"/>
    <x v="1"/>
    <x v="1"/>
    <d v="2021-07-08T00:00:00"/>
    <n v="4.0493150684931507"/>
    <x v="73"/>
    <x v="0"/>
    <x v="9"/>
    <x v="1"/>
    <n v="13.97"/>
    <n v="13.67"/>
    <n v="13.37"/>
    <n v="13.07"/>
    <m/>
    <m/>
    <m/>
    <x v="2"/>
    <n v="1"/>
    <n v="6"/>
    <m/>
    <m/>
    <m/>
    <m/>
    <m/>
    <m/>
    <m/>
    <m/>
    <m/>
    <m/>
    <m/>
    <m/>
    <m/>
    <m/>
  </r>
  <r>
    <n v="982"/>
    <n v="37747"/>
    <d v="1996-03-29T00:00:00"/>
    <n v="29"/>
    <x v="1"/>
    <x v="1"/>
    <d v="2021-12-14T00:00:00"/>
    <n v="4.3917808219178083"/>
    <x v="94"/>
    <x v="1"/>
    <x v="1"/>
    <x v="1"/>
    <n v="16.100000000000001"/>
    <n v="15.8"/>
    <n v="15.5"/>
    <n v="15.2"/>
    <m/>
    <m/>
    <m/>
    <x v="2"/>
    <n v="0"/>
    <n v="5"/>
    <m/>
    <m/>
    <m/>
    <m/>
    <m/>
    <m/>
    <m/>
    <m/>
    <m/>
    <m/>
    <m/>
    <m/>
    <m/>
    <m/>
  </r>
  <r>
    <n v="983"/>
    <n v="37757"/>
    <d v="1999-02-16T00:00:00"/>
    <n v="26"/>
    <x v="1"/>
    <x v="0"/>
    <d v="2021-08-11T00:00:00"/>
    <n v="4.1287671232876715"/>
    <x v="124"/>
    <x v="0"/>
    <x v="9"/>
    <x v="1"/>
    <n v="13.97"/>
    <n v="13.67"/>
    <n v="13.37"/>
    <n v="13.07"/>
    <m/>
    <m/>
    <m/>
    <x v="2"/>
    <n v="0"/>
    <n v="4"/>
    <m/>
    <m/>
    <m/>
    <m/>
    <m/>
    <m/>
    <m/>
    <m/>
    <m/>
    <m/>
    <m/>
    <m/>
    <m/>
    <m/>
  </r>
  <r>
    <n v="984"/>
    <n v="37768"/>
    <d v="1997-01-22T00:00:00"/>
    <n v="28"/>
    <x v="1"/>
    <x v="1"/>
    <d v="2021-11-15T00:00:00"/>
    <n v="4.441095890410959"/>
    <x v="16"/>
    <x v="0"/>
    <x v="8"/>
    <x v="1"/>
    <n v="8.4700000000000006"/>
    <n v="8.27"/>
    <n v="8.07"/>
    <n v="7.87"/>
    <m/>
    <m/>
    <m/>
    <x v="2"/>
    <n v="3"/>
    <n v="6"/>
    <m/>
    <m/>
    <m/>
    <m/>
    <m/>
    <m/>
    <m/>
    <m/>
    <m/>
    <m/>
    <m/>
    <m/>
    <m/>
    <m/>
  </r>
  <r>
    <n v="985"/>
    <n v="37833"/>
    <d v="2000-10-02T00:00:00"/>
    <n v="25"/>
    <x v="1"/>
    <x v="1"/>
    <d v="2021-07-24T00:00:00"/>
    <n v="3.9424657534246577"/>
    <x v="35"/>
    <x v="0"/>
    <x v="9"/>
    <x v="1"/>
    <n v="13.97"/>
    <n v="13.67"/>
    <n v="13.37"/>
    <n v="13.07"/>
    <m/>
    <m/>
    <m/>
    <x v="2"/>
    <n v="1"/>
    <n v="5"/>
    <m/>
    <m/>
    <m/>
    <m/>
    <m/>
    <m/>
    <m/>
    <m/>
    <m/>
    <m/>
    <m/>
    <m/>
    <m/>
    <m/>
  </r>
  <r>
    <n v="986"/>
    <n v="37849"/>
    <d v="1996-06-16T00:00:00"/>
    <n v="29"/>
    <x v="1"/>
    <x v="1"/>
    <d v="2022-01-22T00:00:00"/>
    <n v="4.580821917808219"/>
    <x v="40"/>
    <x v="1"/>
    <x v="7"/>
    <x v="1"/>
    <n v="17.03"/>
    <n v="17.03"/>
    <n v="16.77"/>
    <m/>
    <m/>
    <m/>
    <m/>
    <x v="3"/>
    <n v="2"/>
    <n v="6"/>
    <m/>
    <m/>
    <m/>
    <m/>
    <m/>
    <m/>
    <m/>
    <m/>
    <m/>
    <m/>
    <m/>
    <m/>
    <m/>
    <m/>
  </r>
  <r>
    <n v="987"/>
    <n v="37855"/>
    <d v="2000-03-24T00:00:00"/>
    <n v="25"/>
    <x v="1"/>
    <x v="0"/>
    <d v="2021-06-03T00:00:00"/>
    <n v="4.6301369863013697"/>
    <x v="1"/>
    <x v="1"/>
    <x v="8"/>
    <x v="1"/>
    <n v="8.5399999999999991"/>
    <n v="8.2899999999999991"/>
    <n v="8.08"/>
    <n v="7.87"/>
    <m/>
    <m/>
    <m/>
    <x v="4"/>
    <n v="3"/>
    <n v="6"/>
    <m/>
    <m/>
    <m/>
    <m/>
    <m/>
    <m/>
    <m/>
    <m/>
    <m/>
    <m/>
    <m/>
    <m/>
    <m/>
    <m/>
  </r>
  <r>
    <n v="988"/>
    <n v="37909"/>
    <d v="1996-12-07T00:00:00"/>
    <n v="29"/>
    <x v="1"/>
    <x v="1"/>
    <d v="2021-05-16T00:00:00"/>
    <n v="3.9315068493150687"/>
    <x v="125"/>
    <x v="1"/>
    <x v="8"/>
    <x v="1"/>
    <n v="8.4700000000000006"/>
    <n v="8.27"/>
    <n v="8.07"/>
    <n v="7.87"/>
    <m/>
    <m/>
    <m/>
    <x v="2"/>
    <n v="2"/>
    <n v="6"/>
    <m/>
    <m/>
    <m/>
    <m/>
    <m/>
    <m/>
    <m/>
    <m/>
    <m/>
    <m/>
    <m/>
    <m/>
    <m/>
    <m/>
  </r>
  <r>
    <n v="989"/>
    <n v="37982"/>
    <d v="1995-06-26T00:00:00"/>
    <n v="30"/>
    <x v="1"/>
    <x v="0"/>
    <d v="2022-01-26T00:00:00"/>
    <n v="4.7315068493150685"/>
    <x v="77"/>
    <x v="0"/>
    <x v="9"/>
    <x v="1"/>
    <n v="13.97"/>
    <n v="13.67"/>
    <n v="13.37"/>
    <m/>
    <m/>
    <m/>
    <m/>
    <x v="3"/>
    <n v="1"/>
    <n v="5"/>
    <m/>
    <m/>
    <m/>
    <m/>
    <m/>
    <m/>
    <m/>
    <m/>
    <m/>
    <m/>
    <m/>
    <m/>
    <m/>
    <m/>
  </r>
  <r>
    <n v="990"/>
    <n v="37991"/>
    <d v="1997-08-24T00:00:00"/>
    <n v="28"/>
    <x v="1"/>
    <x v="1"/>
    <d v="2021-04-09T00:00:00"/>
    <n v="4.441095890410959"/>
    <x v="29"/>
    <x v="1"/>
    <x v="1"/>
    <x v="1"/>
    <n v="16.100000000000001"/>
    <n v="15.8"/>
    <n v="15.5"/>
    <n v="15.2"/>
    <m/>
    <m/>
    <m/>
    <x v="2"/>
    <n v="1"/>
    <n v="5"/>
    <m/>
    <m/>
    <m/>
    <m/>
    <m/>
    <m/>
    <m/>
    <m/>
    <m/>
    <m/>
    <m/>
    <m/>
    <m/>
    <m/>
  </r>
  <r>
    <n v="991"/>
    <n v="38033"/>
    <d v="1997-11-21T00:00:00"/>
    <n v="28"/>
    <x v="1"/>
    <x v="1"/>
    <d v="2021-07-24T00:00:00"/>
    <n v="4.6630136986301371"/>
    <x v="127"/>
    <x v="0"/>
    <x v="10"/>
    <x v="1"/>
    <n v="9.98"/>
    <n v="9.98"/>
    <n v="9.98"/>
    <n v="9.8800000000000008"/>
    <m/>
    <m/>
    <m/>
    <x v="2"/>
    <n v="1"/>
    <n v="4"/>
    <m/>
    <m/>
    <m/>
    <m/>
    <m/>
    <m/>
    <m/>
    <m/>
    <m/>
    <m/>
    <m/>
    <m/>
    <m/>
    <m/>
  </r>
  <r>
    <n v="992"/>
    <n v="38101"/>
    <d v="1996-03-13T00:00:00"/>
    <n v="29"/>
    <x v="1"/>
    <x v="1"/>
    <d v="2021-05-04T00:00:00"/>
    <n v="4.0602739726027401"/>
    <x v="67"/>
    <x v="0"/>
    <x v="2"/>
    <x v="1"/>
    <n v="14.12"/>
    <n v="13.82"/>
    <n v="13.52"/>
    <n v="13.22"/>
    <m/>
    <m/>
    <m/>
    <x v="3"/>
    <n v="1"/>
    <n v="5"/>
    <m/>
    <m/>
    <m/>
    <m/>
    <m/>
    <m/>
    <m/>
    <m/>
    <m/>
    <m/>
    <m/>
    <m/>
    <m/>
    <m/>
  </r>
  <r>
    <n v="993"/>
    <n v="38146"/>
    <d v="2000-04-27T00:00:00"/>
    <n v="25"/>
    <x v="1"/>
    <x v="1"/>
    <d v="2021-12-10T00:00:00"/>
    <n v="3.9095890410958902"/>
    <x v="48"/>
    <x v="1"/>
    <x v="8"/>
    <x v="1"/>
    <n v="8.4700000000000006"/>
    <n v="8.27"/>
    <n v="8.07"/>
    <n v="7.87"/>
    <m/>
    <m/>
    <m/>
    <x v="3"/>
    <n v="2"/>
    <n v="7"/>
    <m/>
    <m/>
    <m/>
    <m/>
    <m/>
    <m/>
    <m/>
    <m/>
    <m/>
    <m/>
    <m/>
    <m/>
    <m/>
    <m/>
  </r>
  <r>
    <n v="994"/>
    <n v="38168"/>
    <d v="2000-01-12T00:00:00"/>
    <n v="25"/>
    <x v="0"/>
    <x v="1"/>
    <d v="2022-02-03T00:00:00"/>
    <n v="4.4082191780821915"/>
    <x v="60"/>
    <x v="1"/>
    <x v="9"/>
    <x v="1"/>
    <n v="13.97"/>
    <n v="13.67"/>
    <n v="13.37"/>
    <m/>
    <m/>
    <m/>
    <m/>
    <x v="2"/>
    <n v="0"/>
    <n v="3"/>
    <m/>
    <m/>
    <m/>
    <m/>
    <m/>
    <m/>
    <m/>
    <m/>
    <m/>
    <m/>
    <m/>
    <m/>
    <m/>
    <m/>
  </r>
  <r>
    <n v="995"/>
    <n v="38171"/>
    <d v="2002-08-08T00:00:00"/>
    <n v="23"/>
    <x v="0"/>
    <x v="0"/>
    <d v="2021-08-05T00:00:00"/>
    <n v="4.1890410958904107"/>
    <x v="62"/>
    <x v="1"/>
    <x v="6"/>
    <x v="1"/>
    <n v="22.98"/>
    <n v="22.68"/>
    <n v="22.38"/>
    <n v="22.08"/>
    <m/>
    <m/>
    <m/>
    <x v="3"/>
    <n v="7"/>
    <n v="5"/>
    <m/>
    <m/>
    <m/>
    <m/>
    <m/>
    <m/>
    <m/>
    <m/>
    <m/>
    <m/>
    <m/>
    <m/>
    <m/>
    <m/>
  </r>
  <r>
    <n v="996"/>
    <n v="38194"/>
    <d v="1997-03-13T00:00:00"/>
    <n v="28"/>
    <x v="0"/>
    <x v="1"/>
    <d v="2021-10-24T00:00:00"/>
    <n v="4.7808219178082192"/>
    <x v="122"/>
    <x v="1"/>
    <x v="2"/>
    <x v="1"/>
    <n v="14.15"/>
    <n v="13.84"/>
    <n v="13.52"/>
    <n v="13.22"/>
    <m/>
    <m/>
    <m/>
    <x v="2"/>
    <n v="0"/>
    <n v="4"/>
    <m/>
    <m/>
    <m/>
    <m/>
    <m/>
    <m/>
    <m/>
    <m/>
    <m/>
    <m/>
    <m/>
    <m/>
    <m/>
    <m/>
  </r>
  <r>
    <n v="997"/>
    <n v="38206"/>
    <d v="2002-12-13T00:00:00"/>
    <n v="23"/>
    <x v="1"/>
    <x v="1"/>
    <d v="2021-03-22T00:00:00"/>
    <n v="4.7506849315068491"/>
    <x v="107"/>
    <x v="1"/>
    <x v="2"/>
    <x v="1"/>
    <n v="14.12"/>
    <n v="13.82"/>
    <n v="13.52"/>
    <n v="13.22"/>
    <m/>
    <m/>
    <m/>
    <x v="4"/>
    <n v="0"/>
    <n v="5"/>
    <m/>
    <m/>
    <m/>
    <m/>
    <m/>
    <m/>
    <m/>
    <m/>
    <m/>
    <m/>
    <m/>
    <m/>
    <m/>
    <m/>
  </r>
  <r>
    <n v="998"/>
    <n v="38217"/>
    <d v="2003-05-12T00:00:00"/>
    <n v="22"/>
    <x v="1"/>
    <x v="1"/>
    <d v="2021-04-02T00:00:00"/>
    <n v="4.1342465753424653"/>
    <x v="94"/>
    <x v="1"/>
    <x v="10"/>
    <x v="1"/>
    <n v="10.48"/>
    <n v="10.28"/>
    <n v="10.08"/>
    <n v="9.8800000000000008"/>
    <m/>
    <m/>
    <m/>
    <x v="2"/>
    <n v="0"/>
    <n v="5"/>
    <m/>
    <m/>
    <m/>
    <m/>
    <m/>
    <m/>
    <m/>
    <m/>
    <m/>
    <m/>
    <m/>
    <m/>
    <m/>
    <m/>
  </r>
  <r>
    <n v="999"/>
    <n v="38246"/>
    <d v="1997-04-24T00:00:00"/>
    <n v="28"/>
    <x v="1"/>
    <x v="1"/>
    <d v="2021-11-13T00:00:00"/>
    <n v="4.7863013698630139"/>
    <x v="10"/>
    <x v="0"/>
    <x v="8"/>
    <x v="1"/>
    <n v="8.7200000000000006"/>
    <n v="8.44"/>
    <n v="8.15"/>
    <n v="7.87"/>
    <m/>
    <m/>
    <m/>
    <x v="1"/>
    <n v="0"/>
    <n v="6"/>
    <m/>
    <m/>
    <m/>
    <m/>
    <m/>
    <m/>
    <m/>
    <m/>
    <m/>
    <m/>
    <m/>
    <m/>
    <m/>
    <m/>
  </r>
  <r>
    <n v="1000"/>
    <n v="38259"/>
    <d v="1998-09-02T00:00:00"/>
    <n v="27"/>
    <x v="1"/>
    <x v="1"/>
    <d v="2021-03-20T00:00:00"/>
    <n v="4.3150684931506849"/>
    <x v="15"/>
    <x v="0"/>
    <x v="1"/>
    <x v="1"/>
    <n v="16.100000000000001"/>
    <n v="15.8"/>
    <n v="15.5"/>
    <n v="15.2"/>
    <m/>
    <m/>
    <m/>
    <x v="4"/>
    <n v="0"/>
    <n v="5"/>
    <m/>
    <m/>
    <m/>
    <m/>
    <m/>
    <m/>
    <m/>
    <m/>
    <m/>
    <m/>
    <m/>
    <m/>
    <m/>
    <m/>
  </r>
  <r>
    <n v="1001"/>
    <n v="38262"/>
    <d v="2002-04-29T00:00:00"/>
    <n v="23"/>
    <x v="1"/>
    <x v="0"/>
    <d v="2021-09-08T00:00:00"/>
    <n v="4.2602739726027394"/>
    <x v="17"/>
    <x v="0"/>
    <x v="1"/>
    <x v="1"/>
    <n v="16.100000000000001"/>
    <n v="15.8"/>
    <n v="15.5"/>
    <n v="15.2"/>
    <m/>
    <m/>
    <m/>
    <x v="4"/>
    <n v="1"/>
    <n v="5"/>
    <m/>
    <m/>
    <m/>
    <m/>
    <m/>
    <m/>
    <m/>
    <m/>
    <m/>
    <m/>
    <m/>
    <m/>
    <m/>
    <m/>
  </r>
  <r>
    <n v="1002"/>
    <n v="38291"/>
    <d v="1992-03-01T00:00:00"/>
    <n v="34"/>
    <x v="0"/>
    <x v="1"/>
    <d v="2021-09-28T00:00:00"/>
    <n v="4.838356164383562"/>
    <x v="21"/>
    <x v="0"/>
    <x v="6"/>
    <x v="1"/>
    <n v="22.98"/>
    <n v="22.68"/>
    <n v="22.38"/>
    <n v="22.08"/>
    <m/>
    <m/>
    <m/>
    <x v="4"/>
    <n v="3"/>
    <n v="4"/>
    <m/>
    <m/>
    <m/>
    <m/>
    <m/>
    <m/>
    <m/>
    <m/>
    <m/>
    <m/>
    <m/>
    <m/>
    <m/>
    <m/>
  </r>
  <r>
    <n v="1003"/>
    <n v="38305"/>
    <d v="2002-09-08T00:00:00"/>
    <n v="23"/>
    <x v="1"/>
    <x v="0"/>
    <d v="2021-03-01T00:00:00"/>
    <n v="4.4164383561643836"/>
    <x v="24"/>
    <x v="0"/>
    <x v="10"/>
    <x v="1"/>
    <n v="10.48"/>
    <n v="10.28"/>
    <n v="10.08"/>
    <n v="9.8800000000000008"/>
    <m/>
    <m/>
    <m/>
    <x v="2"/>
    <n v="0"/>
    <n v="6"/>
    <m/>
    <m/>
    <m/>
    <m/>
    <m/>
    <m/>
    <m/>
    <m/>
    <m/>
    <m/>
    <m/>
    <m/>
    <m/>
    <m/>
  </r>
  <r>
    <n v="1004"/>
    <n v="38354"/>
    <d v="1988-06-11T00:00:00"/>
    <n v="37"/>
    <x v="0"/>
    <x v="1"/>
    <d v="2021-08-02T00:00:00"/>
    <n v="4.7041095890410958"/>
    <x v="138"/>
    <x v="0"/>
    <x v="6"/>
    <x v="1"/>
    <n v="22.98"/>
    <n v="22.68"/>
    <n v="22.38"/>
    <n v="22.08"/>
    <m/>
    <m/>
    <m/>
    <x v="1"/>
    <n v="6"/>
    <n v="5"/>
    <m/>
    <m/>
    <m/>
    <m/>
    <m/>
    <m/>
    <m/>
    <m/>
    <m/>
    <m/>
    <m/>
    <m/>
    <m/>
    <m/>
  </r>
  <r>
    <n v="1005"/>
    <n v="38361"/>
    <d v="1997-01-02T00:00:00"/>
    <n v="28"/>
    <x v="0"/>
    <x v="1"/>
    <d v="2021-04-19T00:00:00"/>
    <n v="4.1369863013698627"/>
    <x v="102"/>
    <x v="0"/>
    <x v="7"/>
    <x v="1"/>
    <n v="16.899999999999999"/>
    <n v="16.73"/>
    <n v="16.73"/>
    <n v="16.329999999999998"/>
    <m/>
    <m/>
    <m/>
    <x v="4"/>
    <n v="1"/>
    <n v="3"/>
    <m/>
    <m/>
    <m/>
    <m/>
    <m/>
    <m/>
    <m/>
    <m/>
    <m/>
    <m/>
    <m/>
    <m/>
    <m/>
    <m/>
  </r>
  <r>
    <n v="1006"/>
    <n v="38373"/>
    <d v="1992-10-05T00:00:00"/>
    <n v="33"/>
    <x v="1"/>
    <x v="1"/>
    <d v="2021-11-12T00:00:00"/>
    <n v="4.4273972602739722"/>
    <x v="57"/>
    <x v="0"/>
    <x v="6"/>
    <x v="1"/>
    <n v="22.98"/>
    <n v="22.68"/>
    <n v="22.38"/>
    <n v="22.08"/>
    <m/>
    <m/>
    <m/>
    <x v="3"/>
    <n v="5"/>
    <n v="7"/>
    <m/>
    <m/>
    <m/>
    <m/>
    <m/>
    <m/>
    <m/>
    <m/>
    <m/>
    <m/>
    <m/>
    <m/>
    <m/>
    <m/>
  </r>
  <r>
    <n v="1007"/>
    <n v="38404"/>
    <d v="1992-09-01T00:00:00"/>
    <n v="34"/>
    <x v="1"/>
    <x v="1"/>
    <d v="2021-07-29T00:00:00"/>
    <n v="3.9205479452054797"/>
    <x v="38"/>
    <x v="0"/>
    <x v="8"/>
    <x v="1"/>
    <n v="8.4700000000000006"/>
    <n v="8.27"/>
    <n v="8.07"/>
    <n v="7.87"/>
    <m/>
    <m/>
    <m/>
    <x v="4"/>
    <n v="4"/>
    <n v="7"/>
    <m/>
    <m/>
    <m/>
    <m/>
    <m/>
    <m/>
    <m/>
    <m/>
    <m/>
    <m/>
    <m/>
    <m/>
    <m/>
    <m/>
  </r>
  <r>
    <n v="1008"/>
    <n v="38405"/>
    <d v="1998-05-26T00:00:00"/>
    <n v="27"/>
    <x v="1"/>
    <x v="1"/>
    <d v="2022-01-30T00:00:00"/>
    <n v="4.484931506849315"/>
    <x v="39"/>
    <x v="1"/>
    <x v="1"/>
    <x v="1"/>
    <n v="16.100000000000001"/>
    <n v="15.8"/>
    <n v="15.5"/>
    <m/>
    <m/>
    <m/>
    <m/>
    <x v="4"/>
    <n v="1"/>
    <n v="7"/>
    <m/>
    <m/>
    <m/>
    <m/>
    <m/>
    <m/>
    <m/>
    <m/>
    <m/>
    <m/>
    <m/>
    <m/>
    <m/>
    <m/>
  </r>
  <r>
    <n v="1009"/>
    <n v="38468"/>
    <d v="1997-07-31T00:00:00"/>
    <n v="28"/>
    <x v="0"/>
    <x v="1"/>
    <d v="2021-07-08T00:00:00"/>
    <n v="4.0246575342465754"/>
    <x v="85"/>
    <x v="1"/>
    <x v="7"/>
    <x v="1"/>
    <n v="16.84"/>
    <n v="16.48"/>
    <n v="16.329999999999998"/>
    <n v="16.329999999999998"/>
    <m/>
    <m/>
    <m/>
    <x v="2"/>
    <n v="2"/>
    <n v="4"/>
    <m/>
    <m/>
    <m/>
    <m/>
    <m/>
    <m/>
    <m/>
    <m/>
    <m/>
    <m/>
    <m/>
    <m/>
    <m/>
    <m/>
  </r>
  <r>
    <n v="1010"/>
    <n v="38538"/>
    <d v="1999-04-22T00:00:00"/>
    <n v="26"/>
    <x v="1"/>
    <x v="0"/>
    <d v="2021-12-23T00:00:00"/>
    <n v="4.1342465753424653"/>
    <x v="84"/>
    <x v="1"/>
    <x v="2"/>
    <x v="1"/>
    <n v="14.12"/>
    <n v="13.82"/>
    <n v="13.52"/>
    <n v="13.22"/>
    <m/>
    <m/>
    <m/>
    <x v="4"/>
    <n v="1"/>
    <n v="5"/>
    <m/>
    <m/>
    <m/>
    <m/>
    <m/>
    <m/>
    <m/>
    <m/>
    <m/>
    <m/>
    <m/>
    <m/>
    <m/>
    <m/>
  </r>
  <r>
    <n v="1011"/>
    <n v="38558"/>
    <d v="2001-09-26T00:00:00"/>
    <n v="24"/>
    <x v="1"/>
    <x v="1"/>
    <d v="2021-11-13T00:00:00"/>
    <n v="4.7452054794520544"/>
    <x v="0"/>
    <x v="0"/>
    <x v="1"/>
    <x v="1"/>
    <n v="16.100000000000001"/>
    <n v="15.8"/>
    <n v="15.5"/>
    <n v="15.2"/>
    <m/>
    <m/>
    <m/>
    <x v="2"/>
    <n v="1"/>
    <n v="6"/>
    <m/>
    <m/>
    <m/>
    <m/>
    <m/>
    <m/>
    <m/>
    <m/>
    <m/>
    <m/>
    <m/>
    <m/>
    <m/>
    <m/>
  </r>
  <r>
    <n v="1012"/>
    <n v="38559"/>
    <d v="1998-08-08T00:00:00"/>
    <n v="27"/>
    <x v="1"/>
    <x v="1"/>
    <d v="2021-04-04T00:00:00"/>
    <n v="4.4054794520547942"/>
    <x v="0"/>
    <x v="0"/>
    <x v="8"/>
    <x v="1"/>
    <n v="8.4700000000000006"/>
    <n v="8.27"/>
    <n v="8.07"/>
    <n v="7.87"/>
    <m/>
    <m/>
    <m/>
    <x v="2"/>
    <n v="1"/>
    <n v="5"/>
    <m/>
    <m/>
    <m/>
    <m/>
    <m/>
    <m/>
    <m/>
    <m/>
    <m/>
    <m/>
    <m/>
    <m/>
    <m/>
    <m/>
  </r>
  <r>
    <n v="1013"/>
    <n v="38576"/>
    <d v="1999-06-23T00:00:00"/>
    <n v="26"/>
    <x v="0"/>
    <x v="1"/>
    <d v="2021-08-06T00:00:00"/>
    <n v="4.7041095890410958"/>
    <x v="2"/>
    <x v="0"/>
    <x v="10"/>
    <x v="1"/>
    <n v="10.48"/>
    <n v="10.28"/>
    <n v="10.08"/>
    <n v="9.8800000000000008"/>
    <m/>
    <m/>
    <m/>
    <x v="2"/>
    <n v="1"/>
    <n v="5"/>
    <m/>
    <m/>
    <m/>
    <m/>
    <m/>
    <m/>
    <m/>
    <m/>
    <m/>
    <m/>
    <m/>
    <m/>
    <m/>
    <m/>
  </r>
  <r>
    <n v="1014"/>
    <n v="38625"/>
    <d v="2002-09-25T00:00:00"/>
    <n v="23"/>
    <x v="1"/>
    <x v="1"/>
    <d v="2021-04-19T00:00:00"/>
    <n v="4.1452054794520548"/>
    <x v="4"/>
    <x v="0"/>
    <x v="10"/>
    <x v="1"/>
    <n v="10.48"/>
    <n v="10.28"/>
    <n v="10.08"/>
    <n v="9.8800000000000008"/>
    <m/>
    <m/>
    <m/>
    <x v="1"/>
    <n v="1"/>
    <n v="6"/>
    <m/>
    <m/>
    <m/>
    <m/>
    <m/>
    <m/>
    <m/>
    <m/>
    <m/>
    <m/>
    <m/>
    <m/>
    <m/>
    <m/>
  </r>
  <r>
    <n v="1015"/>
    <n v="38626"/>
    <d v="2001-12-04T00:00:00"/>
    <n v="24"/>
    <x v="0"/>
    <x v="1"/>
    <d v="2021-11-09T00:00:00"/>
    <n v="3.9342465753424656"/>
    <x v="4"/>
    <x v="0"/>
    <x v="10"/>
    <x v="1"/>
    <n v="10.48"/>
    <n v="10.28"/>
    <n v="10.08"/>
    <n v="9.8800000000000008"/>
    <m/>
    <m/>
    <m/>
    <x v="2"/>
    <n v="0"/>
    <n v="3"/>
    <m/>
    <m/>
    <m/>
    <m/>
    <m/>
    <m/>
    <m/>
    <m/>
    <m/>
    <m/>
    <m/>
    <m/>
    <m/>
    <m/>
  </r>
  <r>
    <n v="1016"/>
    <n v="38627"/>
    <d v="2003-05-04T00:00:00"/>
    <n v="22"/>
    <x v="1"/>
    <x v="1"/>
    <d v="2022-01-25T00:00:00"/>
    <n v="4.4684931506849317"/>
    <x v="4"/>
    <x v="0"/>
    <x v="3"/>
    <x v="1"/>
    <n v="8.4700000000000006"/>
    <n v="8.27"/>
    <n v="8.07"/>
    <m/>
    <m/>
    <m/>
    <m/>
    <x v="3"/>
    <n v="2"/>
    <n v="6"/>
    <m/>
    <m/>
    <m/>
    <m/>
    <m/>
    <m/>
    <m/>
    <m/>
    <m/>
    <m/>
    <m/>
    <m/>
    <m/>
    <m/>
  </r>
  <r>
    <n v="1017"/>
    <n v="38665"/>
    <d v="1999-12-20T00:00:00"/>
    <n v="26"/>
    <x v="1"/>
    <x v="1"/>
    <d v="2021-07-14T00:00:00"/>
    <n v="4.2876712328767121"/>
    <x v="5"/>
    <x v="0"/>
    <x v="8"/>
    <x v="1"/>
    <n v="8.4700000000000006"/>
    <n v="8.27"/>
    <n v="8.07"/>
    <n v="7.87"/>
    <m/>
    <m/>
    <m/>
    <x v="2"/>
    <n v="3"/>
    <n v="7"/>
    <m/>
    <m/>
    <m/>
    <m/>
    <m/>
    <m/>
    <m/>
    <m/>
    <m/>
    <m/>
    <m/>
    <m/>
    <m/>
    <m/>
  </r>
  <r>
    <n v="1018"/>
    <n v="38721"/>
    <d v="1998-02-26T00:00:00"/>
    <n v="27"/>
    <x v="1"/>
    <x v="1"/>
    <d v="2021-09-18T00:00:00"/>
    <n v="4.8191780821917805"/>
    <x v="10"/>
    <x v="0"/>
    <x v="11"/>
    <x v="1"/>
    <n v="16.37"/>
    <n v="16.13"/>
    <n v="16.010000000000002"/>
    <n v="15.79"/>
    <m/>
    <m/>
    <m/>
    <x v="2"/>
    <n v="1"/>
    <n v="6"/>
    <m/>
    <m/>
    <m/>
    <m/>
    <m/>
    <m/>
    <m/>
    <m/>
    <m/>
    <m/>
    <m/>
    <m/>
    <m/>
    <m/>
  </r>
  <r>
    <n v="1019"/>
    <n v="38731"/>
    <d v="1999-10-28T00:00:00"/>
    <n v="26"/>
    <x v="0"/>
    <x v="1"/>
    <d v="2021-03-08T00:00:00"/>
    <n v="4.0849315068493155"/>
    <x v="124"/>
    <x v="0"/>
    <x v="2"/>
    <x v="1"/>
    <n v="14.12"/>
    <n v="13.82"/>
    <n v="13.52"/>
    <n v="13.22"/>
    <m/>
    <m/>
    <m/>
    <x v="4"/>
    <n v="0"/>
    <n v="4"/>
    <m/>
    <m/>
    <m/>
    <m/>
    <m/>
    <m/>
    <m/>
    <m/>
    <m/>
    <m/>
    <m/>
    <m/>
    <m/>
    <m/>
  </r>
  <r>
    <n v="1020"/>
    <n v="38747"/>
    <d v="2000-12-28T00:00:00"/>
    <n v="25"/>
    <x v="0"/>
    <x v="0"/>
    <d v="2021-12-01T00:00:00"/>
    <n v="4.5095890410958903"/>
    <x v="124"/>
    <x v="0"/>
    <x v="8"/>
    <x v="1"/>
    <n v="8.4700000000000006"/>
    <n v="8.27"/>
    <n v="8.07"/>
    <n v="7.87"/>
    <m/>
    <m/>
    <m/>
    <x v="4"/>
    <n v="1"/>
    <n v="4"/>
    <m/>
    <m/>
    <m/>
    <m/>
    <m/>
    <m/>
    <m/>
    <m/>
    <m/>
    <m/>
    <m/>
    <m/>
    <m/>
    <m/>
  </r>
  <r>
    <n v="1021"/>
    <n v="38942"/>
    <d v="1999-05-05T00:00:00"/>
    <n v="26"/>
    <x v="1"/>
    <x v="1"/>
    <d v="2021-06-29T00:00:00"/>
    <n v="4.5863013698630137"/>
    <x v="15"/>
    <x v="0"/>
    <x v="8"/>
    <x v="1"/>
    <n v="8.4700000000000006"/>
    <n v="8.27"/>
    <n v="8.07"/>
    <n v="7.87"/>
    <m/>
    <m/>
    <m/>
    <x v="2"/>
    <n v="4"/>
    <n v="6"/>
    <m/>
    <m/>
    <m/>
    <m/>
    <m/>
    <m/>
    <m/>
    <m/>
    <m/>
    <m/>
    <m/>
    <m/>
    <m/>
    <m/>
  </r>
  <r>
    <n v="1022"/>
    <n v="38957"/>
    <d v="2002-07-14T00:00:00"/>
    <n v="23"/>
    <x v="1"/>
    <x v="1"/>
    <d v="2021-06-01T00:00:00"/>
    <n v="3.9863013698630136"/>
    <x v="17"/>
    <x v="0"/>
    <x v="8"/>
    <x v="1"/>
    <n v="8.4700000000000006"/>
    <n v="8.27"/>
    <n v="8.07"/>
    <n v="7.87"/>
    <m/>
    <m/>
    <m/>
    <x v="4"/>
    <n v="2"/>
    <n v="6"/>
    <m/>
    <m/>
    <m/>
    <m/>
    <m/>
    <m/>
    <m/>
    <m/>
    <m/>
    <m/>
    <m/>
    <m/>
    <m/>
    <m/>
  </r>
  <r>
    <n v="1023"/>
    <n v="38997"/>
    <d v="2001-11-26T00:00:00"/>
    <n v="24"/>
    <x v="1"/>
    <x v="1"/>
    <d v="2022-01-06T00:00:00"/>
    <n v="3.9863013698630136"/>
    <x v="18"/>
    <x v="0"/>
    <x v="8"/>
    <x v="1"/>
    <n v="8.25"/>
    <n v="8.11"/>
    <n v="7.87"/>
    <m/>
    <m/>
    <m/>
    <m/>
    <x v="2"/>
    <n v="4"/>
    <n v="7"/>
    <m/>
    <m/>
    <m/>
    <m/>
    <m/>
    <m/>
    <m/>
    <m/>
    <m/>
    <m/>
    <m/>
    <m/>
    <m/>
    <m/>
  </r>
  <r>
    <n v="1024"/>
    <n v="39000"/>
    <d v="2004-03-20T00:00:00"/>
    <n v="21"/>
    <x v="1"/>
    <x v="1"/>
    <d v="2022-01-06T00:00:00"/>
    <n v="4.4657534246575343"/>
    <x v="18"/>
    <x v="0"/>
    <x v="8"/>
    <x v="1"/>
    <n v="8.61"/>
    <n v="8.34"/>
    <n v="8.1300000000000008"/>
    <m/>
    <m/>
    <m/>
    <m/>
    <x v="2"/>
    <n v="2"/>
    <n v="7"/>
    <m/>
    <m/>
    <m/>
    <m/>
    <m/>
    <m/>
    <m/>
    <m/>
    <m/>
    <m/>
    <m/>
    <m/>
    <m/>
    <m/>
  </r>
  <r>
    <n v="1025"/>
    <n v="39107"/>
    <d v="2002-03-23T00:00:00"/>
    <n v="23"/>
    <x v="0"/>
    <x v="1"/>
    <d v="2021-07-15T00:00:00"/>
    <n v="4.7287671232876711"/>
    <x v="21"/>
    <x v="0"/>
    <x v="9"/>
    <x v="1"/>
    <n v="13.97"/>
    <n v="13.67"/>
    <n v="13.37"/>
    <n v="13.07"/>
    <m/>
    <m/>
    <m/>
    <x v="2"/>
    <n v="1"/>
    <n v="4"/>
    <m/>
    <m/>
    <m/>
    <m/>
    <m/>
    <m/>
    <m/>
    <m/>
    <m/>
    <m/>
    <m/>
    <m/>
    <m/>
    <m/>
  </r>
  <r>
    <n v="1026"/>
    <n v="39141"/>
    <d v="1999-05-05T00:00:00"/>
    <n v="26"/>
    <x v="1"/>
    <x v="1"/>
    <d v="2021-04-10T00:00:00"/>
    <n v="4.3726027397260276"/>
    <x v="22"/>
    <x v="0"/>
    <x v="8"/>
    <x v="1"/>
    <n v="8.4700000000000006"/>
    <n v="8.27"/>
    <n v="8.07"/>
    <n v="7.87"/>
    <m/>
    <m/>
    <m/>
    <x v="2"/>
    <n v="4"/>
    <n v="6"/>
    <m/>
    <m/>
    <m/>
    <m/>
    <m/>
    <m/>
    <m/>
    <m/>
    <m/>
    <m/>
    <m/>
    <m/>
    <m/>
    <m/>
  </r>
  <r>
    <n v="1027"/>
    <n v="39143"/>
    <d v="1996-06-08T00:00:00"/>
    <n v="29"/>
    <x v="1"/>
    <x v="1"/>
    <d v="2021-08-18T00:00:00"/>
    <n v="4.2931506849315069"/>
    <x v="22"/>
    <x v="0"/>
    <x v="8"/>
    <x v="1"/>
    <n v="8.4700000000000006"/>
    <n v="8.27"/>
    <n v="8.07"/>
    <n v="7.87"/>
    <m/>
    <m/>
    <m/>
    <x v="2"/>
    <n v="2"/>
    <n v="6"/>
    <m/>
    <m/>
    <m/>
    <m/>
    <m/>
    <m/>
    <m/>
    <m/>
    <m/>
    <m/>
    <m/>
    <m/>
    <m/>
    <m/>
  </r>
  <r>
    <n v="1028"/>
    <n v="39162"/>
    <d v="1999-01-20T00:00:00"/>
    <n v="26"/>
    <x v="1"/>
    <x v="1"/>
    <d v="2021-09-16T00:00:00"/>
    <n v="4.4438356164383563"/>
    <x v="23"/>
    <x v="0"/>
    <x v="11"/>
    <x v="1"/>
    <n v="16.39"/>
    <n v="16.190000000000001"/>
    <n v="15.99"/>
    <n v="15.79"/>
    <m/>
    <m/>
    <m/>
    <x v="2"/>
    <n v="2"/>
    <n v="6"/>
    <m/>
    <m/>
    <m/>
    <m/>
    <m/>
    <m/>
    <m/>
    <m/>
    <m/>
    <m/>
    <m/>
    <m/>
    <m/>
    <m/>
  </r>
  <r>
    <n v="1029"/>
    <n v="39305"/>
    <d v="1996-10-01T00:00:00"/>
    <n v="30"/>
    <x v="1"/>
    <x v="0"/>
    <d v="2021-07-23T00:00:00"/>
    <n v="4.3479452054794523"/>
    <x v="24"/>
    <x v="0"/>
    <x v="8"/>
    <x v="1"/>
    <n v="8.4700000000000006"/>
    <n v="8.27"/>
    <n v="8.07"/>
    <n v="7.87"/>
    <m/>
    <m/>
    <m/>
    <x v="2"/>
    <n v="2"/>
    <n v="7"/>
    <m/>
    <m/>
    <m/>
    <m/>
    <m/>
    <m/>
    <m/>
    <m/>
    <m/>
    <m/>
    <m/>
    <m/>
    <m/>
    <m/>
  </r>
  <r>
    <n v="1030"/>
    <n v="39433"/>
    <d v="2003-09-24T00:00:00"/>
    <n v="22"/>
    <x v="1"/>
    <x v="1"/>
    <d v="2021-08-27T00:00:00"/>
    <n v="4.0356164383561648"/>
    <x v="47"/>
    <x v="0"/>
    <x v="8"/>
    <x v="1"/>
    <n v="8.4700000000000006"/>
    <n v="8.27"/>
    <n v="8.07"/>
    <n v="7.87"/>
    <m/>
    <m/>
    <m/>
    <x v="2"/>
    <n v="2"/>
    <n v="6"/>
    <m/>
    <m/>
    <m/>
    <m/>
    <m/>
    <m/>
    <m/>
    <m/>
    <m/>
    <m/>
    <m/>
    <m/>
    <m/>
    <m/>
  </r>
  <r>
    <n v="1031"/>
    <n v="39458"/>
    <d v="1982-09-20T00:00:00"/>
    <n v="43"/>
    <x v="0"/>
    <x v="1"/>
    <d v="2021-12-19T00:00:00"/>
    <n v="3.9863013698630136"/>
    <x v="31"/>
    <x v="0"/>
    <x v="2"/>
    <x v="1"/>
    <n v="14.12"/>
    <n v="13.82"/>
    <n v="13.52"/>
    <n v="13.22"/>
    <m/>
    <m/>
    <m/>
    <x v="4"/>
    <n v="1"/>
    <n v="4"/>
    <m/>
    <m/>
    <m/>
    <m/>
    <m/>
    <m/>
    <m/>
    <m/>
    <m/>
    <m/>
    <m/>
    <m/>
    <m/>
    <m/>
  </r>
  <r>
    <n v="1032"/>
    <n v="39466"/>
    <d v="2004-11-22T00:00:00"/>
    <n v="21"/>
    <x v="1"/>
    <x v="1"/>
    <d v="2022-01-06T00:00:00"/>
    <n v="3.9753424657534246"/>
    <x v="31"/>
    <x v="0"/>
    <x v="8"/>
    <x v="1"/>
    <n v="8.4700000000000006"/>
    <n v="8.27"/>
    <n v="8.07"/>
    <m/>
    <m/>
    <m/>
    <m/>
    <x v="3"/>
    <n v="3"/>
    <n v="4"/>
    <m/>
    <m/>
    <m/>
    <m/>
    <m/>
    <m/>
    <m/>
    <m/>
    <m/>
    <m/>
    <m/>
    <m/>
    <m/>
    <m/>
  </r>
  <r>
    <n v="1033"/>
    <n v="39476"/>
    <d v="1998-11-27T00:00:00"/>
    <n v="27"/>
    <x v="1"/>
    <x v="1"/>
    <d v="2022-01-10T00:00:00"/>
    <n v="4.3205479452054796"/>
    <x v="32"/>
    <x v="0"/>
    <x v="11"/>
    <x v="1"/>
    <n v="16.54"/>
    <n v="16.34"/>
    <n v="16.079999999999998"/>
    <m/>
    <m/>
    <m/>
    <m/>
    <x v="3"/>
    <n v="1"/>
    <n v="6"/>
    <m/>
    <m/>
    <m/>
    <m/>
    <m/>
    <m/>
    <m/>
    <m/>
    <m/>
    <m/>
    <m/>
    <m/>
    <m/>
    <m/>
  </r>
  <r>
    <n v="1034"/>
    <n v="39516"/>
    <d v="1993-06-05T00:00:00"/>
    <n v="32"/>
    <x v="1"/>
    <x v="1"/>
    <d v="2021-09-06T00:00:00"/>
    <n v="4.043835616438356"/>
    <x v="33"/>
    <x v="0"/>
    <x v="8"/>
    <x v="1"/>
    <n v="8.4700000000000006"/>
    <n v="8.27"/>
    <n v="8.07"/>
    <n v="7.87"/>
    <m/>
    <m/>
    <m/>
    <x v="3"/>
    <n v="0"/>
    <n v="6"/>
    <m/>
    <m/>
    <m/>
    <m/>
    <m/>
    <m/>
    <m/>
    <m/>
    <m/>
    <m/>
    <m/>
    <m/>
    <m/>
    <m/>
  </r>
  <r>
    <n v="1035"/>
    <n v="39517"/>
    <d v="2004-11-14T00:00:00"/>
    <n v="21"/>
    <x v="1"/>
    <x v="0"/>
    <d v="2021-12-16T00:00:00"/>
    <n v="4.6520547945205477"/>
    <x v="33"/>
    <x v="0"/>
    <x v="8"/>
    <x v="1"/>
    <n v="8.4700000000000006"/>
    <n v="8.27"/>
    <n v="8.07"/>
    <n v="7.87"/>
    <m/>
    <m/>
    <m/>
    <x v="3"/>
    <n v="1"/>
    <n v="5"/>
    <m/>
    <m/>
    <m/>
    <m/>
    <m/>
    <m/>
    <m/>
    <m/>
    <m/>
    <m/>
    <m/>
    <m/>
    <m/>
    <m/>
  </r>
  <r>
    <n v="1036"/>
    <n v="39524"/>
    <d v="1996-04-01T00:00:00"/>
    <n v="30"/>
    <x v="0"/>
    <x v="1"/>
    <d v="2021-05-08T00:00:00"/>
    <n v="4.3041095890410963"/>
    <x v="33"/>
    <x v="0"/>
    <x v="8"/>
    <x v="1"/>
    <n v="8.4700000000000006"/>
    <n v="8.27"/>
    <n v="8.07"/>
    <n v="7.87"/>
    <m/>
    <m/>
    <m/>
    <x v="2"/>
    <n v="0"/>
    <n v="3"/>
    <m/>
    <m/>
    <m/>
    <m/>
    <m/>
    <m/>
    <m/>
    <m/>
    <m/>
    <m/>
    <m/>
    <m/>
    <m/>
    <m/>
  </r>
  <r>
    <n v="1037"/>
    <n v="39525"/>
    <d v="1997-12-03T00:00:00"/>
    <n v="28"/>
    <x v="1"/>
    <x v="1"/>
    <d v="2021-09-12T00:00:00"/>
    <n v="4.3917808219178083"/>
    <x v="33"/>
    <x v="0"/>
    <x v="8"/>
    <x v="1"/>
    <n v="8.4700000000000006"/>
    <n v="8.27"/>
    <n v="8.07"/>
    <n v="7.87"/>
    <m/>
    <m/>
    <m/>
    <x v="2"/>
    <n v="1"/>
    <n v="7"/>
    <m/>
    <m/>
    <m/>
    <m/>
    <m/>
    <m/>
    <m/>
    <m/>
    <m/>
    <m/>
    <m/>
    <m/>
    <m/>
    <m/>
  </r>
  <r>
    <n v="1038"/>
    <n v="39541"/>
    <d v="2002-08-19T00:00:00"/>
    <n v="23"/>
    <x v="1"/>
    <x v="1"/>
    <d v="2021-08-11T00:00:00"/>
    <n v="4.0082191780821921"/>
    <x v="78"/>
    <x v="0"/>
    <x v="8"/>
    <x v="1"/>
    <n v="8.07"/>
    <n v="7.97"/>
    <n v="7.97"/>
    <n v="7.87"/>
    <m/>
    <m/>
    <m/>
    <x v="2"/>
    <n v="2"/>
    <n v="6"/>
    <m/>
    <m/>
    <m/>
    <m/>
    <m/>
    <m/>
    <m/>
    <m/>
    <m/>
    <m/>
    <m/>
    <m/>
    <m/>
    <m/>
  </r>
  <r>
    <n v="1039"/>
    <n v="39593"/>
    <d v="1999-09-02T00:00:00"/>
    <n v="26"/>
    <x v="1"/>
    <x v="1"/>
    <d v="2021-12-29T00:00:00"/>
    <n v="4.7890410958904113"/>
    <x v="50"/>
    <x v="0"/>
    <x v="10"/>
    <x v="1"/>
    <n v="10.08"/>
    <n v="9.98"/>
    <n v="9.8800000000000008"/>
    <n v="9.8800000000000008"/>
    <m/>
    <m/>
    <m/>
    <x v="2"/>
    <n v="1"/>
    <n v="5"/>
    <m/>
    <m/>
    <m/>
    <m/>
    <m/>
    <m/>
    <m/>
    <m/>
    <m/>
    <m/>
    <m/>
    <m/>
    <m/>
    <m/>
  </r>
  <r>
    <n v="1040"/>
    <n v="39625"/>
    <d v="1995-05-08T00:00:00"/>
    <n v="30"/>
    <x v="1"/>
    <x v="1"/>
    <d v="2021-03-19T00:00:00"/>
    <n v="4.8520547945205479"/>
    <x v="34"/>
    <x v="0"/>
    <x v="2"/>
    <x v="1"/>
    <n v="14.12"/>
    <n v="13.82"/>
    <n v="13.52"/>
    <n v="13.22"/>
    <m/>
    <m/>
    <m/>
    <x v="2"/>
    <n v="1"/>
    <n v="6"/>
    <m/>
    <m/>
    <m/>
    <m/>
    <m/>
    <m/>
    <m/>
    <m/>
    <m/>
    <m/>
    <m/>
    <m/>
    <m/>
    <m/>
  </r>
  <r>
    <n v="1041"/>
    <n v="39635"/>
    <d v="2004-10-06T00:00:00"/>
    <n v="21"/>
    <x v="1"/>
    <x v="0"/>
    <d v="2021-02-24T00:00:00"/>
    <n v="4.3041095890410963"/>
    <x v="34"/>
    <x v="0"/>
    <x v="8"/>
    <x v="1"/>
    <n v="8.4700000000000006"/>
    <n v="8.27"/>
    <n v="8.07"/>
    <n v="7.87"/>
    <m/>
    <m/>
    <m/>
    <x v="1"/>
    <n v="4"/>
    <n v="5"/>
    <m/>
    <m/>
    <m/>
    <m/>
    <m/>
    <m/>
    <m/>
    <m/>
    <m/>
    <m/>
    <m/>
    <m/>
    <m/>
    <m/>
  </r>
  <r>
    <n v="1042"/>
    <n v="39636"/>
    <d v="2001-05-29T00:00:00"/>
    <n v="24"/>
    <x v="1"/>
    <x v="1"/>
    <d v="2021-09-12T00:00:00"/>
    <n v="4.5780821917808217"/>
    <x v="34"/>
    <x v="0"/>
    <x v="8"/>
    <x v="1"/>
    <n v="8.4700000000000006"/>
    <n v="8.27"/>
    <n v="8.07"/>
    <n v="7.87"/>
    <m/>
    <m/>
    <m/>
    <x v="2"/>
    <n v="4"/>
    <n v="7"/>
    <m/>
    <m/>
    <m/>
    <m/>
    <m/>
    <m/>
    <m/>
    <m/>
    <m/>
    <m/>
    <m/>
    <m/>
    <m/>
    <m/>
  </r>
  <r>
    <n v="1043"/>
    <n v="39638"/>
    <d v="2002-06-15T00:00:00"/>
    <n v="23"/>
    <x v="1"/>
    <x v="0"/>
    <d v="2021-06-04T00:00:00"/>
    <n v="4.1506849315068495"/>
    <x v="34"/>
    <x v="0"/>
    <x v="8"/>
    <x v="1"/>
    <n v="8.4700000000000006"/>
    <n v="8.27"/>
    <n v="8.07"/>
    <n v="7.87"/>
    <m/>
    <m/>
    <m/>
    <x v="2"/>
    <n v="4"/>
    <n v="6"/>
    <m/>
    <m/>
    <m/>
    <m/>
    <m/>
    <m/>
    <m/>
    <m/>
    <m/>
    <m/>
    <m/>
    <m/>
    <m/>
    <m/>
  </r>
  <r>
    <n v="1044"/>
    <n v="39639"/>
    <d v="2001-06-06T00:00:00"/>
    <n v="24"/>
    <x v="1"/>
    <x v="1"/>
    <d v="2021-11-07T00:00:00"/>
    <n v="4.8712328767123285"/>
    <x v="34"/>
    <x v="0"/>
    <x v="8"/>
    <x v="1"/>
    <n v="8.4700000000000006"/>
    <n v="8.27"/>
    <n v="8.07"/>
    <n v="7.87"/>
    <m/>
    <m/>
    <m/>
    <x v="4"/>
    <n v="0"/>
    <n v="6"/>
    <m/>
    <m/>
    <m/>
    <m/>
    <m/>
    <m/>
    <m/>
    <m/>
    <m/>
    <m/>
    <m/>
    <m/>
    <m/>
    <m/>
  </r>
  <r>
    <n v="1045"/>
    <n v="39710"/>
    <d v="2002-11-10T00:00:00"/>
    <n v="23"/>
    <x v="1"/>
    <x v="1"/>
    <d v="2021-02-17T00:00:00"/>
    <n v="4.4328767123287669"/>
    <x v="102"/>
    <x v="0"/>
    <x v="1"/>
    <x v="1"/>
    <n v="15.74"/>
    <n v="15.54"/>
    <n v="15.2"/>
    <n v="15.2"/>
    <m/>
    <m/>
    <m/>
    <x v="3"/>
    <n v="0"/>
    <n v="6"/>
    <m/>
    <m/>
    <m/>
    <m/>
    <m/>
    <m/>
    <m/>
    <m/>
    <m/>
    <m/>
    <m/>
    <m/>
    <m/>
    <m/>
  </r>
  <r>
    <n v="1046"/>
    <n v="39719"/>
    <d v="1999-05-01T00:00:00"/>
    <n v="27"/>
    <x v="1"/>
    <x v="1"/>
    <d v="2021-07-27T00:00:00"/>
    <n v="4.4904109589041097"/>
    <x v="102"/>
    <x v="0"/>
    <x v="8"/>
    <x v="1"/>
    <n v="8.67"/>
    <n v="8.3800000000000008"/>
    <n v="8.1"/>
    <n v="7.87"/>
    <m/>
    <m/>
    <m/>
    <x v="2"/>
    <n v="2"/>
    <n v="5"/>
    <m/>
    <m/>
    <m/>
    <m/>
    <m/>
    <m/>
    <m/>
    <m/>
    <m/>
    <m/>
    <m/>
    <m/>
    <m/>
    <m/>
  </r>
  <r>
    <n v="1047"/>
    <n v="39722"/>
    <d v="2003-02-16T00:00:00"/>
    <n v="22"/>
    <x v="1"/>
    <x v="1"/>
    <d v="2021-07-06T00:00:00"/>
    <n v="4.183561643835616"/>
    <x v="102"/>
    <x v="0"/>
    <x v="8"/>
    <x v="1"/>
    <n v="8.42"/>
    <n v="8.42"/>
    <n v="8.15"/>
    <n v="7.87"/>
    <m/>
    <m/>
    <m/>
    <x v="2"/>
    <n v="2"/>
    <n v="7"/>
    <m/>
    <m/>
    <m/>
    <m/>
    <m/>
    <m/>
    <m/>
    <m/>
    <m/>
    <m/>
    <m/>
    <m/>
    <m/>
    <m/>
  </r>
  <r>
    <n v="1048"/>
    <n v="39749"/>
    <d v="2002-03-17T00:00:00"/>
    <n v="23"/>
    <x v="1"/>
    <x v="1"/>
    <d v="2021-10-26T00:00:00"/>
    <n v="4.624657534246575"/>
    <x v="67"/>
    <x v="0"/>
    <x v="8"/>
    <x v="1"/>
    <n v="8.4700000000000006"/>
    <n v="8.27"/>
    <n v="8.07"/>
    <n v="7.87"/>
    <m/>
    <m/>
    <m/>
    <x v="2"/>
    <n v="3"/>
    <n v="7"/>
    <m/>
    <m/>
    <m/>
    <m/>
    <m/>
    <m/>
    <m/>
    <m/>
    <m/>
    <m/>
    <m/>
    <m/>
    <m/>
    <m/>
  </r>
  <r>
    <n v="1049"/>
    <n v="39806"/>
    <d v="1996-08-15T00:00:00"/>
    <n v="29"/>
    <x v="1"/>
    <x v="1"/>
    <d v="2021-05-18T00:00:00"/>
    <n v="4.1068493150684935"/>
    <x v="35"/>
    <x v="0"/>
    <x v="8"/>
    <x v="1"/>
    <n v="8.4700000000000006"/>
    <n v="8.27"/>
    <n v="8.07"/>
    <n v="7.87"/>
    <m/>
    <m/>
    <m/>
    <x v="2"/>
    <n v="2"/>
    <n v="7"/>
    <m/>
    <m/>
    <m/>
    <m/>
    <m/>
    <m/>
    <m/>
    <m/>
    <m/>
    <m/>
    <m/>
    <m/>
    <m/>
    <m/>
  </r>
  <r>
    <n v="1050"/>
    <n v="39811"/>
    <d v="2002-04-26T00:00:00"/>
    <n v="23"/>
    <x v="0"/>
    <x v="1"/>
    <d v="2021-11-23T00:00:00"/>
    <n v="4.0027397260273974"/>
    <x v="36"/>
    <x v="0"/>
    <x v="10"/>
    <x v="1"/>
    <n v="10.48"/>
    <n v="10.28"/>
    <n v="10.08"/>
    <n v="9.8800000000000008"/>
    <m/>
    <m/>
    <m/>
    <x v="2"/>
    <n v="1"/>
    <n v="4"/>
    <m/>
    <m/>
    <m/>
    <m/>
    <m/>
    <m/>
    <m/>
    <m/>
    <m/>
    <m/>
    <m/>
    <m/>
    <m/>
    <m/>
  </r>
  <r>
    <n v="1051"/>
    <n v="39971"/>
    <d v="1997-04-14T00:00:00"/>
    <n v="28"/>
    <x v="1"/>
    <x v="0"/>
    <d v="2021-12-31T00:00:00"/>
    <n v="4.2273972602739729"/>
    <x v="41"/>
    <x v="0"/>
    <x v="8"/>
    <x v="1"/>
    <n v="8.4"/>
    <n v="8.1300000000000008"/>
    <n v="8.1300000000000008"/>
    <n v="7.87"/>
    <m/>
    <m/>
    <m/>
    <x v="2"/>
    <n v="0"/>
    <n v="5"/>
    <m/>
    <m/>
    <m/>
    <m/>
    <m/>
    <m/>
    <m/>
    <m/>
    <m/>
    <m/>
    <m/>
    <m/>
    <m/>
    <m/>
  </r>
  <r>
    <n v="1052"/>
    <n v="39993"/>
    <d v="2002-02-22T00:00:00"/>
    <n v="23"/>
    <x v="1"/>
    <x v="1"/>
    <d v="2021-10-10T00:00:00"/>
    <n v="3.9123287671232876"/>
    <x v="73"/>
    <x v="0"/>
    <x v="8"/>
    <x v="1"/>
    <n v="8.4700000000000006"/>
    <n v="8.27"/>
    <n v="8.07"/>
    <n v="7.87"/>
    <m/>
    <m/>
    <m/>
    <x v="2"/>
    <n v="1"/>
    <n v="7"/>
    <m/>
    <m/>
    <m/>
    <m/>
    <m/>
    <m/>
    <m/>
    <m/>
    <m/>
    <m/>
    <m/>
    <m/>
    <m/>
    <m/>
  </r>
  <r>
    <n v="1053"/>
    <n v="40055"/>
    <d v="1996-10-07T00:00:00"/>
    <n v="29"/>
    <x v="1"/>
    <x v="0"/>
    <d v="2022-02-02T00:00:00"/>
    <n v="4.4767123287671229"/>
    <x v="37"/>
    <x v="0"/>
    <x v="11"/>
    <x v="1"/>
    <n v="16.39"/>
    <n v="16.190000000000001"/>
    <n v="15.99"/>
    <m/>
    <m/>
    <m/>
    <m/>
    <x v="2"/>
    <n v="2"/>
    <n v="6"/>
    <m/>
    <m/>
    <m/>
    <m/>
    <m/>
    <m/>
    <m/>
    <m/>
    <m/>
    <m/>
    <m/>
    <m/>
    <m/>
    <m/>
  </r>
  <r>
    <n v="1054"/>
    <n v="40094"/>
    <d v="2002-03-28T00:00:00"/>
    <n v="23"/>
    <x v="1"/>
    <x v="0"/>
    <d v="2021-07-11T00:00:00"/>
    <n v="4.3287671232876717"/>
    <x v="77"/>
    <x v="0"/>
    <x v="8"/>
    <x v="1"/>
    <n v="8.4700000000000006"/>
    <n v="8.27"/>
    <n v="8.07"/>
    <n v="7.87"/>
    <m/>
    <m/>
    <m/>
    <x v="4"/>
    <n v="4"/>
    <n v="6"/>
    <m/>
    <m/>
    <m/>
    <m/>
    <m/>
    <m/>
    <m/>
    <m/>
    <m/>
    <m/>
    <m/>
    <m/>
    <m/>
    <m/>
  </r>
  <r>
    <n v="1055"/>
    <n v="40164"/>
    <d v="2000-08-10T00:00:00"/>
    <n v="25"/>
    <x v="1"/>
    <x v="1"/>
    <d v="2021-09-03T00:00:00"/>
    <n v="4.0931506849315067"/>
    <x v="39"/>
    <x v="1"/>
    <x v="8"/>
    <x v="1"/>
    <n v="8.4700000000000006"/>
    <n v="8.27"/>
    <n v="8.07"/>
    <n v="7.87"/>
    <m/>
    <m/>
    <m/>
    <x v="2"/>
    <n v="4"/>
    <n v="6"/>
    <m/>
    <m/>
    <m/>
    <m/>
    <m/>
    <m/>
    <m/>
    <m/>
    <m/>
    <m/>
    <m/>
    <m/>
    <m/>
    <m/>
  </r>
  <r>
    <n v="1056"/>
    <n v="40183"/>
    <d v="1995-07-29T00:00:00"/>
    <n v="30"/>
    <x v="0"/>
    <x v="1"/>
    <d v="2021-11-28T00:00:00"/>
    <n v="4.0273972602739727"/>
    <x v="40"/>
    <x v="1"/>
    <x v="8"/>
    <x v="1"/>
    <n v="8.3699999999999992"/>
    <n v="8.26"/>
    <n v="8.15"/>
    <n v="7.87"/>
    <m/>
    <m/>
    <m/>
    <x v="4"/>
    <n v="4"/>
    <n v="5"/>
    <m/>
    <m/>
    <m/>
    <m/>
    <m/>
    <m/>
    <m/>
    <m/>
    <m/>
    <m/>
    <m/>
    <m/>
    <m/>
    <m/>
  </r>
  <r>
    <n v="1057"/>
    <n v="40260"/>
    <d v="2000-09-14T00:00:00"/>
    <n v="25"/>
    <x v="0"/>
    <x v="1"/>
    <d v="2021-12-22T00:00:00"/>
    <n v="4.4136986301369863"/>
    <x v="90"/>
    <x v="1"/>
    <x v="10"/>
    <x v="1"/>
    <n v="10.48"/>
    <n v="10.28"/>
    <n v="10.08"/>
    <n v="9.8800000000000008"/>
    <m/>
    <m/>
    <m/>
    <x v="2"/>
    <n v="0"/>
    <n v="5"/>
    <m/>
    <m/>
    <m/>
    <m/>
    <m/>
    <m/>
    <m/>
    <m/>
    <m/>
    <m/>
    <m/>
    <m/>
    <m/>
    <m/>
  </r>
  <r>
    <n v="1058"/>
    <n v="40272"/>
    <d v="2003-02-22T00:00:00"/>
    <n v="22"/>
    <x v="1"/>
    <x v="1"/>
    <d v="2021-08-03T00:00:00"/>
    <n v="4.463013698630137"/>
    <x v="90"/>
    <x v="1"/>
    <x v="8"/>
    <x v="1"/>
    <n v="8.4700000000000006"/>
    <n v="8.27"/>
    <n v="8.07"/>
    <n v="7.87"/>
    <m/>
    <m/>
    <m/>
    <x v="2"/>
    <n v="4"/>
    <n v="6"/>
    <m/>
    <m/>
    <m/>
    <m/>
    <m/>
    <m/>
    <m/>
    <m/>
    <m/>
    <m/>
    <m/>
    <m/>
    <m/>
    <m/>
  </r>
  <r>
    <n v="1059"/>
    <n v="40331"/>
    <d v="2003-03-22T00:00:00"/>
    <n v="22"/>
    <x v="1"/>
    <x v="1"/>
    <d v="2021-07-16T00:00:00"/>
    <n v="4.4684931506849317"/>
    <x v="114"/>
    <x v="1"/>
    <x v="8"/>
    <x v="1"/>
    <n v="8.4700000000000006"/>
    <n v="8.27"/>
    <n v="8.07"/>
    <n v="7.87"/>
    <m/>
    <m/>
    <m/>
    <x v="2"/>
    <n v="0"/>
    <n v="6"/>
    <m/>
    <m/>
    <m/>
    <m/>
    <m/>
    <m/>
    <m/>
    <m/>
    <m/>
    <m/>
    <m/>
    <m/>
    <m/>
    <m/>
  </r>
  <r>
    <n v="1060"/>
    <n v="40335"/>
    <d v="1998-06-02T00:00:00"/>
    <n v="27"/>
    <x v="1"/>
    <x v="1"/>
    <d v="2021-07-14T00:00:00"/>
    <n v="4.1972602739726028"/>
    <x v="114"/>
    <x v="1"/>
    <x v="8"/>
    <x v="1"/>
    <n v="8.4700000000000006"/>
    <n v="8.27"/>
    <n v="8.07"/>
    <n v="7.87"/>
    <m/>
    <m/>
    <m/>
    <x v="2"/>
    <n v="3"/>
    <n v="7"/>
    <m/>
    <m/>
    <m/>
    <m/>
    <m/>
    <m/>
    <m/>
    <m/>
    <m/>
    <m/>
    <m/>
    <m/>
    <m/>
    <m/>
  </r>
  <r>
    <n v="1061"/>
    <n v="40370"/>
    <d v="1999-02-15T00:00:00"/>
    <n v="26"/>
    <x v="0"/>
    <x v="0"/>
    <d v="2021-10-21T00:00:00"/>
    <n v="4.6054794520547944"/>
    <x v="8"/>
    <x v="1"/>
    <x v="8"/>
    <x v="1"/>
    <n v="7.97"/>
    <n v="7.97"/>
    <n v="7.97"/>
    <n v="7.87"/>
    <m/>
    <m/>
    <m/>
    <x v="2"/>
    <n v="4"/>
    <n v="5"/>
    <m/>
    <m/>
    <m/>
    <m/>
    <m/>
    <m/>
    <m/>
    <m/>
    <m/>
    <m/>
    <m/>
    <m/>
    <m/>
    <m/>
  </r>
  <r>
    <n v="1062"/>
    <n v="40452"/>
    <d v="2002-08-21T00:00:00"/>
    <n v="23"/>
    <x v="1"/>
    <x v="1"/>
    <d v="2021-05-25T00:00:00"/>
    <n v="4.3479452054794523"/>
    <x v="30"/>
    <x v="1"/>
    <x v="10"/>
    <x v="1"/>
    <n v="10.48"/>
    <n v="10.28"/>
    <n v="10.08"/>
    <n v="9.8800000000000008"/>
    <m/>
    <m/>
    <m/>
    <x v="3"/>
    <n v="1"/>
    <n v="5"/>
    <m/>
    <m/>
    <m/>
    <m/>
    <m/>
    <m/>
    <m/>
    <m/>
    <m/>
    <m/>
    <m/>
    <m/>
    <m/>
    <m/>
  </r>
  <r>
    <n v="1063"/>
    <n v="40453"/>
    <d v="2002-10-25T00:00:00"/>
    <n v="23"/>
    <x v="1"/>
    <x v="0"/>
    <d v="2021-08-27T00:00:00"/>
    <n v="3.9479452054794519"/>
    <x v="30"/>
    <x v="1"/>
    <x v="8"/>
    <x v="1"/>
    <n v="8.4700000000000006"/>
    <n v="8.27"/>
    <n v="8.07"/>
    <n v="7.87"/>
    <m/>
    <m/>
    <m/>
    <x v="2"/>
    <n v="2"/>
    <n v="4"/>
    <m/>
    <m/>
    <m/>
    <m/>
    <m/>
    <m/>
    <m/>
    <m/>
    <m/>
    <m/>
    <m/>
    <m/>
    <m/>
    <m/>
  </r>
  <r>
    <n v="1064"/>
    <n v="40456"/>
    <d v="1996-11-15T00:00:00"/>
    <n v="29"/>
    <x v="0"/>
    <x v="1"/>
    <d v="2022-01-20T00:00:00"/>
    <n v="3.9643835616438357"/>
    <x v="30"/>
    <x v="1"/>
    <x v="8"/>
    <x v="1"/>
    <n v="8.4700000000000006"/>
    <n v="8.27"/>
    <n v="8.07"/>
    <m/>
    <m/>
    <m/>
    <m/>
    <x v="2"/>
    <n v="3"/>
    <n v="5"/>
    <m/>
    <m/>
    <m/>
    <m/>
    <m/>
    <m/>
    <m/>
    <m/>
    <m/>
    <m/>
    <m/>
    <m/>
    <m/>
    <m/>
  </r>
  <r>
    <n v="1065"/>
    <n v="40507"/>
    <d v="1998-05-18T00:00:00"/>
    <n v="27"/>
    <x v="1"/>
    <x v="1"/>
    <d v="2022-01-14T00:00:00"/>
    <n v="3.8739726027397259"/>
    <x v="108"/>
    <x v="1"/>
    <x v="1"/>
    <x v="1"/>
    <n v="15.35"/>
    <n v="15.35"/>
    <n v="15.2"/>
    <m/>
    <m/>
    <m/>
    <m/>
    <x v="4"/>
    <n v="1"/>
    <n v="4"/>
    <m/>
    <m/>
    <m/>
    <m/>
    <m/>
    <m/>
    <m/>
    <m/>
    <m/>
    <m/>
    <m/>
    <m/>
    <m/>
    <m/>
  </r>
  <r>
    <n v="1066"/>
    <n v="40600"/>
    <d v="1998-12-24T00:00:00"/>
    <n v="27"/>
    <x v="0"/>
    <x v="1"/>
    <d v="2022-02-16T00:00:00"/>
    <n v="3.9424657534246577"/>
    <x v="133"/>
    <x v="1"/>
    <x v="7"/>
    <x v="1"/>
    <n v="16.63"/>
    <n v="16.48"/>
    <n v="16.329999999999998"/>
    <m/>
    <m/>
    <m/>
    <m/>
    <x v="3"/>
    <n v="2"/>
    <n v="4"/>
    <m/>
    <m/>
    <m/>
    <m/>
    <m/>
    <m/>
    <m/>
    <m/>
    <m/>
    <m/>
    <m/>
    <m/>
    <m/>
    <m/>
  </r>
  <r>
    <n v="1067"/>
    <n v="40642"/>
    <d v="2003-06-03T00:00:00"/>
    <n v="22"/>
    <x v="1"/>
    <x v="1"/>
    <d v="2022-01-22T00:00:00"/>
    <n v="4.4383561643835616"/>
    <x v="121"/>
    <x v="1"/>
    <x v="3"/>
    <x v="1"/>
    <n v="8.4700000000000006"/>
    <n v="8.27"/>
    <n v="8.07"/>
    <m/>
    <m/>
    <m/>
    <m/>
    <x v="2"/>
    <n v="1"/>
    <n v="5"/>
    <m/>
    <m/>
    <m/>
    <m/>
    <m/>
    <m/>
    <m/>
    <m/>
    <m/>
    <m/>
    <m/>
    <m/>
    <m/>
    <m/>
  </r>
  <r>
    <n v="1068"/>
    <n v="40653"/>
    <d v="2003-11-09T00:00:00"/>
    <n v="22"/>
    <x v="1"/>
    <x v="1"/>
    <d v="2021-07-25T00:00:00"/>
    <n v="4.5479452054794525"/>
    <x v="121"/>
    <x v="1"/>
    <x v="8"/>
    <x v="1"/>
    <n v="8.4700000000000006"/>
    <n v="8.27"/>
    <n v="8.07"/>
    <n v="7.87"/>
    <m/>
    <m/>
    <m/>
    <x v="2"/>
    <n v="1"/>
    <n v="6"/>
    <m/>
    <m/>
    <m/>
    <m/>
    <m/>
    <m/>
    <m/>
    <m/>
    <m/>
    <m/>
    <m/>
    <m/>
    <m/>
    <m/>
  </r>
  <r>
    <n v="1069"/>
    <n v="40754"/>
    <d v="2001-02-06T00:00:00"/>
    <n v="24"/>
    <x v="1"/>
    <x v="0"/>
    <d v="2021-06-15T00:00:00"/>
    <n v="4.7424657534246579"/>
    <x v="113"/>
    <x v="1"/>
    <x v="9"/>
    <x v="1"/>
    <n v="13.37"/>
    <n v="13.22"/>
    <n v="13.22"/>
    <n v="13.07"/>
    <m/>
    <m/>
    <m/>
    <x v="1"/>
    <n v="1"/>
    <n v="3"/>
    <m/>
    <m/>
    <m/>
    <m/>
    <m/>
    <m/>
    <m/>
    <m/>
    <m/>
    <m/>
    <m/>
    <m/>
    <m/>
    <m/>
  </r>
  <r>
    <n v="1070"/>
    <n v="40790"/>
    <d v="1997-12-14T00:00:00"/>
    <n v="28"/>
    <x v="1"/>
    <x v="1"/>
    <d v="2021-04-05T00:00:00"/>
    <n v="4.6219178082191785"/>
    <x v="62"/>
    <x v="1"/>
    <x v="2"/>
    <x v="1"/>
    <n v="14.12"/>
    <n v="13.82"/>
    <n v="13.52"/>
    <n v="13.22"/>
    <m/>
    <m/>
    <m/>
    <x v="2"/>
    <n v="1"/>
    <n v="7"/>
    <m/>
    <m/>
    <m/>
    <m/>
    <m/>
    <m/>
    <m/>
    <m/>
    <m/>
    <m/>
    <m/>
    <m/>
    <m/>
    <m/>
  </r>
  <r>
    <n v="1071"/>
    <n v="40814"/>
    <d v="2002-11-28T00:00:00"/>
    <n v="23"/>
    <x v="1"/>
    <x v="1"/>
    <d v="2021-05-19T00:00:00"/>
    <n v="3.8958904109589043"/>
    <x v="91"/>
    <x v="1"/>
    <x v="8"/>
    <x v="1"/>
    <n v="8.4700000000000006"/>
    <n v="8.27"/>
    <n v="8.07"/>
    <n v="7.87"/>
    <m/>
    <m/>
    <m/>
    <x v="2"/>
    <n v="1"/>
    <n v="7"/>
    <m/>
    <m/>
    <m/>
    <m/>
    <m/>
    <m/>
    <m/>
    <m/>
    <m/>
    <m/>
    <m/>
    <m/>
    <m/>
    <m/>
  </r>
  <r>
    <n v="1072"/>
    <n v="40828"/>
    <d v="1994-09-17T00:00:00"/>
    <n v="31"/>
    <x v="0"/>
    <x v="1"/>
    <d v="2022-02-08T00:00:00"/>
    <n v="4.515068493150685"/>
    <x v="91"/>
    <x v="1"/>
    <x v="8"/>
    <x v="1"/>
    <n v="8.4700000000000006"/>
    <n v="8.27"/>
    <n v="8.07"/>
    <m/>
    <m/>
    <m/>
    <m/>
    <x v="2"/>
    <n v="2"/>
    <n v="4"/>
    <m/>
    <m/>
    <m/>
    <m/>
    <m/>
    <m/>
    <m/>
    <m/>
    <m/>
    <m/>
    <m/>
    <m/>
    <m/>
    <m/>
  </r>
  <r>
    <n v="1073"/>
    <n v="40831"/>
    <d v="2002-03-16T00:00:00"/>
    <n v="23"/>
    <x v="1"/>
    <x v="1"/>
    <d v="2021-06-27T00:00:00"/>
    <n v="4.646575342465753"/>
    <x v="111"/>
    <x v="1"/>
    <x v="1"/>
    <x v="1"/>
    <n v="16.100000000000001"/>
    <n v="15.8"/>
    <n v="15.5"/>
    <n v="15.2"/>
    <m/>
    <m/>
    <m/>
    <x v="3"/>
    <n v="2"/>
    <n v="6"/>
    <m/>
    <m/>
    <m/>
    <m/>
    <m/>
    <m/>
    <m/>
    <m/>
    <m/>
    <m/>
    <m/>
    <m/>
    <m/>
    <m/>
  </r>
  <r>
    <n v="1074"/>
    <n v="40898"/>
    <d v="2001-04-24T00:00:00"/>
    <n v="24"/>
    <x v="1"/>
    <x v="1"/>
    <d v="2021-05-10T00:00:00"/>
    <n v="4.515068493150685"/>
    <x v="65"/>
    <x v="1"/>
    <x v="10"/>
    <x v="1"/>
    <n v="10.48"/>
    <n v="10.28"/>
    <n v="10.08"/>
    <n v="9.8800000000000008"/>
    <m/>
    <m/>
    <m/>
    <x v="2"/>
    <n v="0"/>
    <n v="6"/>
    <m/>
    <m/>
    <m/>
    <m/>
    <m/>
    <m/>
    <m/>
    <m/>
    <m/>
    <m/>
    <m/>
    <m/>
    <m/>
    <m/>
  </r>
  <r>
    <n v="1075"/>
    <n v="40928"/>
    <d v="1999-12-22T00:00:00"/>
    <n v="26"/>
    <x v="1"/>
    <x v="1"/>
    <d v="2021-06-27T00:00:00"/>
    <n v="4.4027397260273968"/>
    <x v="66"/>
    <x v="1"/>
    <x v="8"/>
    <x v="1"/>
    <n v="8.4700000000000006"/>
    <n v="8.27"/>
    <n v="8.07"/>
    <n v="7.87"/>
    <m/>
    <m/>
    <m/>
    <x v="2"/>
    <n v="1"/>
    <n v="6"/>
    <m/>
    <m/>
    <m/>
    <m/>
    <m/>
    <m/>
    <m/>
    <m/>
    <m/>
    <m/>
    <m/>
    <m/>
    <m/>
    <m/>
  </r>
  <r>
    <n v="1076"/>
    <n v="40966"/>
    <d v="2000-11-07T00:00:00"/>
    <n v="25"/>
    <x v="1"/>
    <x v="1"/>
    <d v="2021-08-07T00:00:00"/>
    <n v="4.2547945205479456"/>
    <x v="69"/>
    <x v="1"/>
    <x v="8"/>
    <x v="1"/>
    <n v="8.4700000000000006"/>
    <n v="8.27"/>
    <n v="8.07"/>
    <n v="7.87"/>
    <m/>
    <m/>
    <m/>
    <x v="2"/>
    <n v="4"/>
    <n v="7"/>
    <m/>
    <m/>
    <m/>
    <m/>
    <m/>
    <m/>
    <m/>
    <m/>
    <m/>
    <m/>
    <m/>
    <m/>
    <m/>
    <m/>
  </r>
  <r>
    <n v="1077"/>
    <n v="40978"/>
    <d v="2000-09-03T00:00:00"/>
    <n v="25"/>
    <x v="1"/>
    <x v="1"/>
    <d v="2021-09-30T00:00:00"/>
    <n v="4.0520547945205481"/>
    <x v="135"/>
    <x v="1"/>
    <x v="1"/>
    <x v="1"/>
    <n v="15.35"/>
    <n v="15.35"/>
    <n v="15.2"/>
    <n v="15.2"/>
    <m/>
    <m/>
    <m/>
    <x v="3"/>
    <n v="0"/>
    <n v="5"/>
    <m/>
    <m/>
    <m/>
    <m/>
    <m/>
    <m/>
    <m/>
    <m/>
    <m/>
    <m/>
    <m/>
    <m/>
    <m/>
    <m/>
  </r>
  <r>
    <n v="1078"/>
    <n v="40979"/>
    <d v="1999-06-14T00:00:00"/>
    <n v="26"/>
    <x v="0"/>
    <x v="1"/>
    <d v="2021-12-13T00:00:00"/>
    <n v="4.7424657534246579"/>
    <x v="135"/>
    <x v="1"/>
    <x v="2"/>
    <x v="1"/>
    <n v="13.52"/>
    <n v="13.37"/>
    <n v="13.22"/>
    <n v="13.22"/>
    <m/>
    <m/>
    <m/>
    <x v="2"/>
    <n v="1"/>
    <n v="3"/>
    <m/>
    <m/>
    <m/>
    <m/>
    <m/>
    <m/>
    <m/>
    <m/>
    <m/>
    <m/>
    <m/>
    <m/>
    <m/>
    <m/>
  </r>
  <r>
    <n v="1079"/>
    <n v="41157"/>
    <d v="1993-11-18T00:00:00"/>
    <n v="32"/>
    <x v="1"/>
    <x v="0"/>
    <d v="2021-04-05T00:00:00"/>
    <n v="4.7178082191780826"/>
    <x v="76"/>
    <x v="1"/>
    <x v="8"/>
    <x v="1"/>
    <n v="8.4700000000000006"/>
    <n v="8.27"/>
    <n v="8.07"/>
    <n v="7.87"/>
    <m/>
    <m/>
    <m/>
    <x v="2"/>
    <n v="1"/>
    <n v="5"/>
    <m/>
    <m/>
    <m/>
    <m/>
    <m/>
    <m/>
    <m/>
    <m/>
    <m/>
    <m/>
    <m/>
    <m/>
    <m/>
    <m/>
  </r>
  <r>
    <n v="1080"/>
    <n v="41180"/>
    <d v="1998-09-29T00:00:00"/>
    <n v="27"/>
    <x v="1"/>
    <x v="0"/>
    <d v="2021-04-14T00:00:00"/>
    <n v="4.5917808219178085"/>
    <x v="118"/>
    <x v="1"/>
    <x v="1"/>
    <x v="1"/>
    <n v="16.100000000000001"/>
    <n v="15.8"/>
    <n v="15.5"/>
    <n v="15.2"/>
    <m/>
    <m/>
    <m/>
    <x v="1"/>
    <n v="1"/>
    <n v="6"/>
    <m/>
    <m/>
    <m/>
    <m/>
    <m/>
    <m/>
    <m/>
    <m/>
    <m/>
    <m/>
    <m/>
    <m/>
    <m/>
    <m/>
  </r>
  <r>
    <n v="1081"/>
    <n v="41206"/>
    <d v="2002-08-02T00:00:00"/>
    <n v="23"/>
    <x v="1"/>
    <x v="1"/>
    <d v="2021-05-30T00:00:00"/>
    <n v="3.8739726027397259"/>
    <x v="79"/>
    <x v="1"/>
    <x v="8"/>
    <x v="1"/>
    <n v="8.4700000000000006"/>
    <n v="8.27"/>
    <n v="8.07"/>
    <n v="7.87"/>
    <m/>
    <m/>
    <m/>
    <x v="2"/>
    <n v="1"/>
    <n v="5"/>
    <m/>
    <m/>
    <m/>
    <m/>
    <m/>
    <m/>
    <m/>
    <m/>
    <m/>
    <m/>
    <m/>
    <m/>
    <m/>
    <m/>
  </r>
  <r>
    <n v="1082"/>
    <n v="41228"/>
    <d v="1996-02-14T00:00:00"/>
    <n v="29"/>
    <x v="0"/>
    <x v="1"/>
    <d v="2022-02-16T00:00:00"/>
    <n v="4.4301369863013695"/>
    <x v="109"/>
    <x v="1"/>
    <x v="2"/>
    <x v="1"/>
    <n v="14.12"/>
    <n v="13.82"/>
    <n v="13.52"/>
    <m/>
    <m/>
    <m/>
    <m/>
    <x v="4"/>
    <n v="0"/>
    <n v="4"/>
    <m/>
    <m/>
    <m/>
    <m/>
    <m/>
    <m/>
    <m/>
    <m/>
    <m/>
    <m/>
    <m/>
    <m/>
    <m/>
    <m/>
  </r>
  <r>
    <n v="1083"/>
    <n v="41242"/>
    <d v="2001-04-01T00:00:00"/>
    <n v="25"/>
    <x v="1"/>
    <x v="1"/>
    <d v="2021-07-28T00:00:00"/>
    <n v="4.6328767123287671"/>
    <x v="109"/>
    <x v="1"/>
    <x v="8"/>
    <x v="1"/>
    <n v="8.4700000000000006"/>
    <n v="8.27"/>
    <n v="8.07"/>
    <n v="7.87"/>
    <m/>
    <m/>
    <m/>
    <x v="2"/>
    <n v="4"/>
    <n v="7"/>
    <m/>
    <m/>
    <m/>
    <m/>
    <m/>
    <m/>
    <m/>
    <m/>
    <m/>
    <m/>
    <m/>
    <m/>
    <m/>
    <m/>
  </r>
  <r>
    <n v="1084"/>
    <n v="41275"/>
    <d v="1997-10-28T00:00:00"/>
    <n v="28"/>
    <x v="0"/>
    <x v="1"/>
    <d v="2021-05-15T00:00:00"/>
    <n v="4.0520547945205481"/>
    <x v="80"/>
    <x v="1"/>
    <x v="6"/>
    <x v="1"/>
    <n v="22.53"/>
    <n v="22.38"/>
    <n v="22.23"/>
    <n v="22.08"/>
    <m/>
    <m/>
    <m/>
    <x v="2"/>
    <n v="3"/>
    <n v="6"/>
    <m/>
    <m/>
    <m/>
    <m/>
    <m/>
    <m/>
    <m/>
    <m/>
    <m/>
    <m/>
    <m/>
    <m/>
    <m/>
    <m/>
  </r>
  <r>
    <n v="1085"/>
    <n v="41418"/>
    <d v="2000-12-04T00:00:00"/>
    <n v="25"/>
    <x v="1"/>
    <x v="1"/>
    <d v="2021-12-13T00:00:00"/>
    <n v="4.3260273972602743"/>
    <x v="94"/>
    <x v="1"/>
    <x v="8"/>
    <x v="1"/>
    <n v="8.4700000000000006"/>
    <n v="8.27"/>
    <n v="8.07"/>
    <n v="7.87"/>
    <m/>
    <m/>
    <m/>
    <x v="2"/>
    <n v="2"/>
    <n v="6"/>
    <m/>
    <m/>
    <m/>
    <m/>
    <m/>
    <m/>
    <m/>
    <m/>
    <m/>
    <m/>
    <m/>
    <m/>
    <m/>
    <m/>
  </r>
  <r>
    <n v="1086"/>
    <n v="41465"/>
    <d v="2000-12-12T00:00:00"/>
    <n v="25"/>
    <x v="1"/>
    <x v="1"/>
    <d v="2021-09-04T00:00:00"/>
    <n v="4.2438356164383562"/>
    <x v="84"/>
    <x v="1"/>
    <x v="8"/>
    <x v="1"/>
    <n v="8.4700000000000006"/>
    <n v="8.27"/>
    <n v="8.07"/>
    <n v="7.87"/>
    <m/>
    <m/>
    <m/>
    <x v="2"/>
    <n v="4"/>
    <n v="6"/>
    <m/>
    <m/>
    <m/>
    <m/>
    <m/>
    <m/>
    <m/>
    <m/>
    <m/>
    <m/>
    <m/>
    <m/>
    <m/>
    <m/>
  </r>
  <r>
    <n v="1087"/>
    <n v="41481"/>
    <d v="2002-12-25T00:00:00"/>
    <n v="23"/>
    <x v="0"/>
    <x v="0"/>
    <d v="2021-10-04T00:00:00"/>
    <n v="4.5041095890410956"/>
    <x v="101"/>
    <x v="1"/>
    <x v="9"/>
    <x v="1"/>
    <n v="13.64"/>
    <n v="13.64"/>
    <n v="13.49"/>
    <n v="13.07"/>
    <m/>
    <m/>
    <m/>
    <x v="4"/>
    <n v="1"/>
    <n v="5"/>
    <m/>
    <m/>
    <m/>
    <m/>
    <m/>
    <m/>
    <m/>
    <m/>
    <m/>
    <m/>
    <m/>
    <m/>
    <m/>
    <m/>
  </r>
  <r>
    <n v="1088"/>
    <n v="41498"/>
    <d v="1990-12-23T00:00:00"/>
    <n v="35"/>
    <x v="0"/>
    <x v="1"/>
    <d v="2021-07-01T00:00:00"/>
    <n v="4.1534246575342468"/>
    <x v="86"/>
    <x v="1"/>
    <x v="6"/>
    <x v="1"/>
    <n v="22.98"/>
    <n v="22.68"/>
    <n v="22.38"/>
    <n v="22.08"/>
    <m/>
    <m/>
    <m/>
    <x v="4"/>
    <n v="6"/>
    <n v="4"/>
    <m/>
    <m/>
    <m/>
    <m/>
    <m/>
    <m/>
    <m/>
    <m/>
    <m/>
    <m/>
    <m/>
    <m/>
    <m/>
    <m/>
  </r>
  <r>
    <n v="1089"/>
    <n v="41548"/>
    <d v="1990-10-30T00:00:00"/>
    <n v="35"/>
    <x v="1"/>
    <x v="1"/>
    <d v="2021-11-06T00:00:00"/>
    <n v="4.1698630136986301"/>
    <x v="112"/>
    <x v="1"/>
    <x v="8"/>
    <x v="1"/>
    <n v="8.4700000000000006"/>
    <n v="8.27"/>
    <n v="8.07"/>
    <n v="7.87"/>
    <m/>
    <m/>
    <m/>
    <x v="2"/>
    <n v="1"/>
    <n v="7"/>
    <m/>
    <m/>
    <m/>
    <m/>
    <m/>
    <m/>
    <m/>
    <m/>
    <m/>
    <m/>
    <m/>
    <m/>
    <m/>
    <m/>
  </r>
  <r>
    <n v="1090"/>
    <n v="41593"/>
    <d v="1996-07-09T00:00:00"/>
    <n v="29"/>
    <x v="0"/>
    <x v="1"/>
    <d v="2021-10-31T00:00:00"/>
    <n v="4.2821917808219174"/>
    <x v="126"/>
    <x v="1"/>
    <x v="2"/>
    <x v="1"/>
    <n v="13.67"/>
    <n v="13.52"/>
    <n v="13.37"/>
    <n v="13.22"/>
    <m/>
    <m/>
    <m/>
    <x v="4"/>
    <n v="1"/>
    <n v="4"/>
    <m/>
    <m/>
    <m/>
    <m/>
    <m/>
    <m/>
    <m/>
    <m/>
    <m/>
    <m/>
    <m/>
    <m/>
    <m/>
    <m/>
  </r>
  <r>
    <n v="1091"/>
    <n v="41623"/>
    <d v="1990-05-26T00:00:00"/>
    <n v="35"/>
    <x v="0"/>
    <x v="1"/>
    <d v="2021-09-20T00:00:00"/>
    <n v="3.8986301369863012"/>
    <x v="116"/>
    <x v="1"/>
    <x v="2"/>
    <x v="1"/>
    <n v="13.85"/>
    <n v="13.62"/>
    <n v="13.46"/>
    <n v="13.22"/>
    <m/>
    <m/>
    <m/>
    <x v="2"/>
    <n v="0"/>
    <n v="5"/>
    <m/>
    <m/>
    <m/>
    <m/>
    <m/>
    <m/>
    <m/>
    <m/>
    <m/>
    <m/>
    <m/>
    <m/>
    <m/>
    <m/>
  </r>
  <r>
    <n v="1092"/>
    <n v="41645"/>
    <d v="2000-02-17T00:00:00"/>
    <n v="25"/>
    <x v="1"/>
    <x v="1"/>
    <d v="2022-02-07T00:00:00"/>
    <n v="2.419178082191781"/>
    <x v="103"/>
    <x v="1"/>
    <x v="8"/>
    <x v="1"/>
    <n v="8.4700000000000006"/>
    <n v="8.27"/>
    <n v="8.07"/>
    <m/>
    <m/>
    <m/>
    <m/>
    <x v="2"/>
    <n v="1"/>
    <n v="4"/>
    <m/>
    <m/>
    <m/>
    <m/>
    <m/>
    <m/>
    <m/>
    <m/>
    <m/>
    <m/>
    <m/>
    <m/>
    <m/>
    <m/>
  </r>
  <r>
    <n v="1093"/>
    <n v="41657"/>
    <d v="1996-03-18T00:00:00"/>
    <n v="29"/>
    <x v="1"/>
    <x v="1"/>
    <d v="2023-08-01T00:00:00"/>
    <n v="3.419178082191781"/>
    <x v="33"/>
    <x v="0"/>
    <x v="12"/>
    <x v="0"/>
    <n v="55255"/>
    <n v="53755"/>
    <m/>
    <m/>
    <m/>
    <m/>
    <m/>
    <x v="9"/>
    <n v="3"/>
    <n v="5"/>
    <n v="6"/>
    <d v="2023-06-03T00:00:00"/>
    <s v="Assistant Manager, Medium Market"/>
    <m/>
    <m/>
    <m/>
    <m/>
    <n v="5"/>
    <n v="4"/>
    <m/>
    <m/>
    <m/>
    <m/>
    <m/>
  </r>
  <r>
    <n v="1094"/>
    <n v="41658"/>
    <d v="1995-11-03T00:00:00"/>
    <n v="30"/>
    <x v="1"/>
    <x v="1"/>
    <d v="2022-08-01T00:00:00"/>
    <n v="2.419178082191781"/>
    <x v="33"/>
    <x v="0"/>
    <x v="12"/>
    <x v="0"/>
    <n v="55255"/>
    <n v="53755"/>
    <n v="50755"/>
    <m/>
    <m/>
    <m/>
    <m/>
    <x v="11"/>
    <n v="1"/>
    <n v="7"/>
    <n v="6"/>
    <d v="2023-11-22T00:00:00"/>
    <s v="Assistant Manager, Medium Market"/>
    <m/>
    <m/>
    <m/>
    <m/>
    <n v="5"/>
    <n v="4"/>
    <n v="3"/>
    <m/>
    <m/>
    <m/>
    <m/>
  </r>
  <r>
    <n v="1095"/>
    <n v="41659"/>
    <d v="1996-11-14T00:00:00"/>
    <n v="29"/>
    <x v="1"/>
    <x v="1"/>
    <d v="2023-08-01T00:00:00"/>
    <n v="2.419178082191781"/>
    <x v="47"/>
    <x v="0"/>
    <x v="12"/>
    <x v="0"/>
    <n v="55505"/>
    <n v="54255"/>
    <m/>
    <m/>
    <m/>
    <m/>
    <m/>
    <x v="11"/>
    <n v="2"/>
    <n v="7"/>
    <n v="6"/>
    <d v="2023-10-07T00:00:00"/>
    <s v="Assistant Manager, Medium Market"/>
    <m/>
    <m/>
    <m/>
    <m/>
    <n v="5"/>
    <n v="4"/>
    <m/>
    <m/>
    <m/>
    <m/>
    <m/>
  </r>
  <r>
    <n v="1096"/>
    <n v="41663"/>
    <d v="1996-05-06T00:00:00"/>
    <n v="29"/>
    <x v="1"/>
    <x v="0"/>
    <d v="2023-08-01T00:00:00"/>
    <n v="2.419178082191781"/>
    <x v="37"/>
    <x v="0"/>
    <x v="12"/>
    <x v="0"/>
    <n v="53755"/>
    <n v="52755"/>
    <m/>
    <m/>
    <m/>
    <m/>
    <m/>
    <x v="0"/>
    <n v="4"/>
    <n v="7"/>
    <n v="6"/>
    <d v="2023-05-06T00:00:00"/>
    <s v="Assistant Manager, Medium Market"/>
    <m/>
    <m/>
    <m/>
    <m/>
    <n v="5"/>
    <n v="5"/>
    <m/>
    <m/>
    <m/>
    <m/>
    <m/>
  </r>
  <r>
    <n v="1097"/>
    <n v="41664"/>
    <d v="1997-09-24T00:00:00"/>
    <n v="28"/>
    <x v="1"/>
    <x v="1"/>
    <d v="2023-08-01T00:00:00"/>
    <n v="3.419178082191781"/>
    <x v="0"/>
    <x v="0"/>
    <x v="12"/>
    <x v="0"/>
    <n v="55005"/>
    <n v="53755"/>
    <m/>
    <m/>
    <m/>
    <m/>
    <m/>
    <x v="5"/>
    <n v="1"/>
    <n v="7"/>
    <n v="7"/>
    <d v="2023-04-04T00:00:00"/>
    <s v="Assistant Manager, Medium Market"/>
    <m/>
    <m/>
    <m/>
    <m/>
    <n v="5"/>
    <n v="4"/>
    <m/>
    <m/>
    <m/>
    <m/>
    <m/>
  </r>
  <r>
    <n v="1098"/>
    <n v="41666"/>
    <d v="1997-09-14T00:00:00"/>
    <n v="28"/>
    <x v="1"/>
    <x v="1"/>
    <d v="2022-08-01T00:00:00"/>
    <n v="3.419178082191781"/>
    <x v="18"/>
    <x v="0"/>
    <x v="12"/>
    <x v="0"/>
    <n v="55644"/>
    <n v="55030"/>
    <n v="50755"/>
    <m/>
    <m/>
    <m/>
    <m/>
    <x v="5"/>
    <n v="2"/>
    <n v="5"/>
    <n v="5"/>
    <d v="2023-12-03T00:00:00"/>
    <s v="Assistant Manager, Medium Market"/>
    <m/>
    <m/>
    <m/>
    <m/>
    <n v="5"/>
    <n v="5"/>
    <n v="2"/>
    <m/>
    <m/>
    <m/>
    <m/>
  </r>
  <r>
    <n v="1099"/>
    <n v="41667"/>
    <d v="1998-10-04T00:00:00"/>
    <n v="27"/>
    <x v="1"/>
    <x v="1"/>
    <d v="2022-08-01T00:00:00"/>
    <n v="2.419178082191781"/>
    <x v="19"/>
    <x v="0"/>
    <x v="12"/>
    <x v="0"/>
    <n v="54755"/>
    <n v="53755"/>
    <n v="50755"/>
    <m/>
    <m/>
    <m/>
    <m/>
    <x v="10"/>
    <n v="0"/>
    <n v="7"/>
    <n v="6"/>
    <d v="2023-02-10T00:00:00"/>
    <s v="Assistant Manager, Medium Market"/>
    <m/>
    <m/>
    <m/>
    <m/>
    <n v="4"/>
    <n v="3"/>
    <n v="3"/>
    <m/>
    <m/>
    <m/>
    <m/>
  </r>
  <r>
    <n v="1100"/>
    <n v="41671"/>
    <d v="1997-09-21T00:00:00"/>
    <n v="28"/>
    <x v="1"/>
    <x v="1"/>
    <d v="2023-08-01T00:00:00"/>
    <n v="2.419178082191781"/>
    <x v="5"/>
    <x v="0"/>
    <x v="12"/>
    <x v="0"/>
    <n v="53755"/>
    <n v="52755"/>
    <m/>
    <m/>
    <m/>
    <m/>
    <m/>
    <x v="12"/>
    <n v="2"/>
    <n v="7"/>
    <n v="7"/>
    <d v="2024-02-20T00:00:00"/>
    <s v="Assistant Manager, Medium Market"/>
    <m/>
    <m/>
    <m/>
    <m/>
    <n v="5"/>
    <n v="4"/>
    <m/>
    <m/>
    <m/>
    <m/>
    <m/>
  </r>
  <r>
    <n v="1101"/>
    <n v="41672"/>
    <d v="1996-01-07T00:00:00"/>
    <n v="29"/>
    <x v="1"/>
    <x v="1"/>
    <d v="2023-08-01T00:00:00"/>
    <n v="3.419178082191781"/>
    <x v="10"/>
    <x v="0"/>
    <x v="12"/>
    <x v="0"/>
    <n v="52765"/>
    <n v="51755"/>
    <m/>
    <m/>
    <m/>
    <m/>
    <m/>
    <x v="5"/>
    <n v="0"/>
    <n v="7"/>
    <n v="6"/>
    <d v="2023-04-08T00:00:00"/>
    <s v="Assistant Manager, Medium Market"/>
    <m/>
    <m/>
    <m/>
    <m/>
    <n v="3"/>
    <n v="5"/>
    <m/>
    <m/>
    <m/>
    <m/>
    <m/>
  </r>
  <r>
    <n v="1102"/>
    <n v="41673"/>
    <d v="1993-11-23T00:00:00"/>
    <n v="32"/>
    <x v="1"/>
    <x v="1"/>
    <d v="2022-08-01T00:00:00"/>
    <n v="3.419178082191781"/>
    <x v="35"/>
    <x v="0"/>
    <x v="12"/>
    <x v="0"/>
    <n v="56255"/>
    <n v="54755"/>
    <n v="50755"/>
    <m/>
    <m/>
    <m/>
    <m/>
    <x v="12"/>
    <n v="4"/>
    <n v="7"/>
    <n v="7"/>
    <d v="2024-01-01T00:00:00"/>
    <s v="Assistant Manager, Medium Market"/>
    <m/>
    <m/>
    <m/>
    <m/>
    <n v="5"/>
    <n v="5"/>
    <n v="5"/>
    <m/>
    <m/>
    <m/>
    <m/>
  </r>
  <r>
    <n v="1103"/>
    <n v="41675"/>
    <d v="1998-08-08T00:00:00"/>
    <n v="27"/>
    <x v="0"/>
    <x v="1"/>
    <d v="2022-08-01T00:00:00"/>
    <n v="3.2794520547945205"/>
    <x v="10"/>
    <x v="0"/>
    <x v="12"/>
    <x v="0"/>
    <n v="52845"/>
    <n v="51755"/>
    <n v="50755"/>
    <m/>
    <m/>
    <m/>
    <m/>
    <x v="10"/>
    <n v="2"/>
    <n v="7"/>
    <n v="5"/>
    <d v="2023-12-04T00:00:00"/>
    <s v="Assistant Manager, Medium Market"/>
    <m/>
    <m/>
    <m/>
    <m/>
    <n v="3"/>
    <n v="3"/>
    <n v="2"/>
    <m/>
    <m/>
    <m/>
    <m/>
  </r>
  <r>
    <n v="1104"/>
    <n v="41681"/>
    <d v="1985-11-08T00:00:00"/>
    <n v="40"/>
    <x v="0"/>
    <x v="1"/>
    <d v="2022-09-21T00:00:00"/>
    <n v="2.9205479452054797"/>
    <x v="140"/>
    <x v="0"/>
    <x v="0"/>
    <x v="0"/>
    <n v="79778"/>
    <n v="76778"/>
    <n v="74528"/>
    <m/>
    <m/>
    <m/>
    <m/>
    <x v="9"/>
    <n v="3"/>
    <n v="4"/>
    <n v="4"/>
    <m/>
    <m/>
    <m/>
    <m/>
    <m/>
    <m/>
    <n v="4"/>
    <n v="5"/>
    <n v="4"/>
    <m/>
    <m/>
    <m/>
    <m/>
  </r>
  <r>
    <n v="1105"/>
    <n v="41683"/>
    <d v="1982-11-15T00:00:00"/>
    <n v="43"/>
    <x v="0"/>
    <x v="1"/>
    <d v="2023-01-30T00:00:00"/>
    <n v="2.419178082191781"/>
    <x v="141"/>
    <x v="0"/>
    <x v="0"/>
    <x v="0"/>
    <n v="75278"/>
    <n v="74528"/>
    <m/>
    <m/>
    <m/>
    <m/>
    <m/>
    <x v="7"/>
    <n v="2"/>
    <n v="4"/>
    <n v="4"/>
    <m/>
    <m/>
    <m/>
    <m/>
    <m/>
    <m/>
    <n v="5"/>
    <n v="4"/>
    <m/>
    <m/>
    <m/>
    <m/>
    <m/>
  </r>
  <r>
    <n v="1106"/>
    <n v="41686"/>
    <d v="1998-09-13T00:00:00"/>
    <n v="27"/>
    <x v="1"/>
    <x v="1"/>
    <d v="2023-08-01T00:00:00"/>
    <n v="3.419178082191781"/>
    <x v="14"/>
    <x v="0"/>
    <x v="12"/>
    <x v="0"/>
    <n v="53755"/>
    <n v="52755"/>
    <m/>
    <m/>
    <m/>
    <m/>
    <m/>
    <x v="0"/>
    <n v="1"/>
    <n v="6"/>
    <n v="7"/>
    <d v="2023-11-21T00:00:00"/>
    <s v="Assistant Manager, Medium Market"/>
    <m/>
    <m/>
    <m/>
    <m/>
    <n v="4"/>
    <n v="2"/>
    <m/>
    <m/>
    <m/>
    <m/>
    <m/>
  </r>
  <r>
    <n v="1107"/>
    <n v="41687"/>
    <d v="1996-03-26T00:00:00"/>
    <n v="29"/>
    <x v="0"/>
    <x v="1"/>
    <d v="2022-08-01T00:00:00"/>
    <n v="2.419178082191781"/>
    <x v="19"/>
    <x v="0"/>
    <x v="12"/>
    <x v="0"/>
    <n v="52755"/>
    <n v="51755"/>
    <n v="50755"/>
    <m/>
    <m/>
    <m/>
    <m/>
    <x v="9"/>
    <n v="3"/>
    <n v="5"/>
    <n v="5"/>
    <d v="2023-06-13T00:00:00"/>
    <s v="Assistant Manager, Medium Market"/>
    <m/>
    <m/>
    <m/>
    <m/>
    <n v="5"/>
    <n v="3"/>
    <n v="1"/>
    <m/>
    <m/>
    <m/>
    <m/>
  </r>
  <r>
    <n v="1108"/>
    <n v="41688"/>
    <d v="1996-11-07T00:00:00"/>
    <n v="29"/>
    <x v="0"/>
    <x v="1"/>
    <d v="2023-08-01T00:00:00"/>
    <n v="3.419178082191781"/>
    <x v="20"/>
    <x v="0"/>
    <x v="12"/>
    <x v="0"/>
    <n v="52255"/>
    <n v="52255"/>
    <m/>
    <m/>
    <m/>
    <m/>
    <m/>
    <x v="0"/>
    <n v="4"/>
    <n v="7"/>
    <n v="6"/>
    <d v="2024-01-10T00:00:00"/>
    <s v="Assistant Manager, Medium Market"/>
    <m/>
    <m/>
    <m/>
    <m/>
    <n v="4"/>
    <n v="3"/>
    <m/>
    <m/>
    <m/>
    <m/>
    <m/>
  </r>
  <r>
    <n v="1109"/>
    <n v="41691"/>
    <d v="1997-05-24T00:00:00"/>
    <n v="28"/>
    <x v="1"/>
    <x v="1"/>
    <d v="2022-08-01T00:00:00"/>
    <n v="3.419178082191781"/>
    <x v="35"/>
    <x v="0"/>
    <x v="12"/>
    <x v="0"/>
    <n v="56005"/>
    <n v="54755"/>
    <n v="50755"/>
    <m/>
    <m/>
    <m/>
    <m/>
    <x v="0"/>
    <n v="2"/>
    <n v="6"/>
    <n v="6"/>
    <d v="2023-11-12T00:00:00"/>
    <s v="Assistant Manager, Medium Market"/>
    <m/>
    <m/>
    <m/>
    <m/>
    <n v="5"/>
    <n v="4"/>
    <n v="5"/>
    <m/>
    <m/>
    <m/>
    <m/>
  </r>
  <r>
    <n v="1110"/>
    <n v="41692"/>
    <d v="1996-10-23T00:00:00"/>
    <n v="29"/>
    <x v="1"/>
    <x v="1"/>
    <d v="2022-08-01T00:00:00"/>
    <n v="2.419178082191781"/>
    <x v="55"/>
    <x v="0"/>
    <x v="12"/>
    <x v="0"/>
    <n v="55755"/>
    <n v="53755"/>
    <n v="50755"/>
    <m/>
    <m/>
    <m/>
    <m/>
    <x v="0"/>
    <n v="2"/>
    <n v="7"/>
    <n v="6"/>
    <d v="2024-01-10T00:00:00"/>
    <s v="Assistant Manager, Medium Market"/>
    <m/>
    <m/>
    <m/>
    <m/>
    <n v="5"/>
    <n v="5"/>
    <n v="3"/>
    <m/>
    <m/>
    <m/>
    <m/>
  </r>
  <r>
    <n v="1111"/>
    <n v="41694"/>
    <d v="1998-07-22T00:00:00"/>
    <n v="27"/>
    <x v="0"/>
    <x v="0"/>
    <d v="2023-08-01T00:00:00"/>
    <n v="2.419178082191781"/>
    <x v="102"/>
    <x v="0"/>
    <x v="12"/>
    <x v="0"/>
    <n v="54493"/>
    <n v="53203"/>
    <m/>
    <m/>
    <m/>
    <m/>
    <m/>
    <x v="7"/>
    <n v="4"/>
    <n v="5"/>
    <n v="4"/>
    <d v="2023-07-17T00:00:00"/>
    <s v="Assistant Manager, Medium Market"/>
    <m/>
    <m/>
    <m/>
    <m/>
    <n v="2"/>
    <n v="1"/>
    <m/>
    <m/>
    <m/>
    <m/>
    <m/>
  </r>
  <r>
    <n v="1112"/>
    <n v="41696"/>
    <d v="1995-02-10T00:00:00"/>
    <n v="30"/>
    <x v="1"/>
    <x v="1"/>
    <d v="2023-08-01T00:00:00"/>
    <n v="2.419178082191781"/>
    <x v="24"/>
    <x v="0"/>
    <x v="12"/>
    <x v="0"/>
    <n v="55255"/>
    <n v="53755"/>
    <m/>
    <m/>
    <m/>
    <m/>
    <m/>
    <x v="0"/>
    <n v="2"/>
    <n v="6"/>
    <n v="6"/>
    <d v="2023-11-06T00:00:00"/>
    <s v="Assistant Manager, Medium Market"/>
    <m/>
    <m/>
    <m/>
    <m/>
    <n v="4"/>
    <n v="4"/>
    <m/>
    <m/>
    <m/>
    <m/>
    <m/>
  </r>
  <r>
    <n v="1113"/>
    <n v="41697"/>
    <d v="1998-02-23T00:00:00"/>
    <n v="27"/>
    <x v="1"/>
    <x v="1"/>
    <d v="2023-08-01T00:00:00"/>
    <n v="2.419178082191781"/>
    <x v="59"/>
    <x v="0"/>
    <x v="12"/>
    <x v="0"/>
    <n v="54433"/>
    <n v="54433"/>
    <m/>
    <m/>
    <m/>
    <m/>
    <m/>
    <x v="8"/>
    <n v="3"/>
    <n v="7"/>
    <n v="6"/>
    <d v="2023-08-02T00:00:00"/>
    <s v="Assistant Manager, Medium Market"/>
    <m/>
    <m/>
    <m/>
    <m/>
    <n v="5"/>
    <n v="5"/>
    <m/>
    <m/>
    <m/>
    <m/>
    <m/>
  </r>
  <r>
    <n v="1114"/>
    <n v="41698"/>
    <d v="1993-07-15T00:00:00"/>
    <n v="32"/>
    <x v="0"/>
    <x v="1"/>
    <d v="2023-08-01T00:00:00"/>
    <n v="3.419178082191781"/>
    <x v="0"/>
    <x v="0"/>
    <x v="12"/>
    <x v="0"/>
    <n v="54755"/>
    <n v="53755"/>
    <m/>
    <m/>
    <m/>
    <m/>
    <m/>
    <x v="8"/>
    <n v="4"/>
    <n v="5"/>
    <n v="5"/>
    <d v="2023-10-06T00:00:00"/>
    <s v="Assistant Manager, Medium Market"/>
    <m/>
    <m/>
    <m/>
    <m/>
    <n v="5"/>
    <n v="3"/>
    <m/>
    <m/>
    <m/>
    <m/>
    <m/>
  </r>
  <r>
    <n v="1115"/>
    <n v="41699"/>
    <d v="1997-01-14T00:00:00"/>
    <n v="28"/>
    <x v="0"/>
    <x v="1"/>
    <d v="2022-08-01T00:00:00"/>
    <n v="2.419178082191781"/>
    <x v="12"/>
    <x v="0"/>
    <x v="12"/>
    <x v="0"/>
    <n v="56755"/>
    <n v="54755"/>
    <n v="50755"/>
    <m/>
    <m/>
    <m/>
    <m/>
    <x v="0"/>
    <n v="2"/>
    <n v="4"/>
    <n v="4"/>
    <d v="2023-06-06T00:00:00"/>
    <s v="Assistant Manager, Medium Market"/>
    <m/>
    <m/>
    <m/>
    <m/>
    <n v="4"/>
    <n v="5"/>
    <n v="4"/>
    <m/>
    <m/>
    <m/>
    <m/>
  </r>
  <r>
    <n v="1116"/>
    <n v="41700"/>
    <d v="1997-09-13T00:00:00"/>
    <n v="28"/>
    <x v="0"/>
    <x v="1"/>
    <d v="2023-08-01T00:00:00"/>
    <n v="2.419178082191781"/>
    <x v="41"/>
    <x v="0"/>
    <x v="12"/>
    <x v="0"/>
    <n v="53587"/>
    <n v="52471"/>
    <m/>
    <m/>
    <m/>
    <m/>
    <m/>
    <x v="8"/>
    <n v="4"/>
    <n v="6"/>
    <n v="5"/>
    <d v="2023-04-10T00:00:00"/>
    <s v="Assistant Manager, Medium Market"/>
    <m/>
    <m/>
    <m/>
    <m/>
    <n v="2"/>
    <n v="2"/>
    <m/>
    <m/>
    <m/>
    <m/>
    <m/>
  </r>
  <r>
    <n v="1117"/>
    <n v="41701"/>
    <d v="1997-04-05T00:00:00"/>
    <n v="28"/>
    <x v="1"/>
    <x v="1"/>
    <d v="2023-08-01T00:00:00"/>
    <n v="3.419178082191781"/>
    <x v="42"/>
    <x v="0"/>
    <x v="12"/>
    <x v="0"/>
    <n v="52255"/>
    <n v="52255"/>
    <m/>
    <m/>
    <m/>
    <m/>
    <m/>
    <x v="5"/>
    <n v="0"/>
    <n v="5"/>
    <n v="5"/>
    <d v="2023-06-19T00:00:00"/>
    <s v="Assistant Manager, Medium Market"/>
    <m/>
    <m/>
    <m/>
    <m/>
    <n v="3"/>
    <n v="2"/>
    <m/>
    <m/>
    <m/>
    <m/>
    <m/>
  </r>
  <r>
    <n v="1118"/>
    <n v="41704"/>
    <d v="1995-05-11T00:00:00"/>
    <n v="30"/>
    <x v="1"/>
    <x v="1"/>
    <d v="2022-08-01T00:00:00"/>
    <n v="3.419178082191781"/>
    <x v="87"/>
    <x v="0"/>
    <x v="12"/>
    <x v="0"/>
    <n v="52755"/>
    <n v="52255"/>
    <n v="50755"/>
    <m/>
    <m/>
    <m/>
    <m/>
    <x v="12"/>
    <n v="2"/>
    <n v="5"/>
    <n v="5"/>
    <d v="2024-01-16T00:00:00"/>
    <s v="Assistant Manager, Medium Market"/>
    <m/>
    <m/>
    <m/>
    <m/>
    <n v="2"/>
    <n v="3"/>
    <n v="5"/>
    <m/>
    <m/>
    <m/>
    <m/>
  </r>
  <r>
    <n v="1119"/>
    <n v="41712"/>
    <d v="1996-10-09T00:00:00"/>
    <n v="29"/>
    <x v="0"/>
    <x v="1"/>
    <d v="2022-08-01T00:00:00"/>
    <n v="2.419178082191781"/>
    <x v="139"/>
    <x v="0"/>
    <x v="12"/>
    <x v="0"/>
    <n v="53755"/>
    <n v="52755"/>
    <n v="50755"/>
    <m/>
    <m/>
    <m/>
    <m/>
    <x v="7"/>
    <n v="4"/>
    <n v="5"/>
    <n v="4"/>
    <d v="2023-03-02T00:00:00"/>
    <s v="Assistant Manager, Medium Market"/>
    <m/>
    <m/>
    <m/>
    <m/>
    <n v="4"/>
    <n v="5"/>
    <n v="5"/>
    <m/>
    <m/>
    <m/>
    <m/>
  </r>
  <r>
    <n v="1120"/>
    <n v="41719"/>
    <d v="1998-10-31T00:00:00"/>
    <n v="27"/>
    <x v="0"/>
    <x v="1"/>
    <d v="2023-08-01T00:00:00"/>
    <n v="2.419178082191781"/>
    <x v="22"/>
    <x v="0"/>
    <x v="12"/>
    <x v="0"/>
    <n v="53755"/>
    <n v="51755"/>
    <m/>
    <m/>
    <m/>
    <m/>
    <m/>
    <x v="10"/>
    <n v="2"/>
    <n v="4"/>
    <n v="5"/>
    <d v="2024-12-03T00:00:00"/>
    <s v="Assistant Manager, Medium Market"/>
    <m/>
    <m/>
    <m/>
    <m/>
    <n v="4"/>
    <n v="3"/>
    <m/>
    <m/>
    <m/>
    <m/>
    <m/>
  </r>
  <r>
    <n v="1121"/>
    <n v="41721"/>
    <d v="1997-05-13T00:00:00"/>
    <n v="28"/>
    <x v="1"/>
    <x v="1"/>
    <d v="2023-08-01T00:00:00"/>
    <n v="2.419178082191781"/>
    <x v="34"/>
    <x v="0"/>
    <x v="12"/>
    <x v="0"/>
    <n v="53755"/>
    <n v="51755"/>
    <m/>
    <m/>
    <m/>
    <m/>
    <m/>
    <x v="0"/>
    <n v="1"/>
    <n v="5"/>
    <n v="6"/>
    <d v="2024-05-19T00:00:00"/>
    <s v="Assistant Manager, Medium Market"/>
    <m/>
    <m/>
    <m/>
    <m/>
    <n v="3"/>
    <n v="2"/>
    <m/>
    <m/>
    <m/>
    <m/>
    <m/>
  </r>
  <r>
    <n v="1122"/>
    <n v="41724"/>
    <d v="1996-11-18T00:00:00"/>
    <n v="29"/>
    <x v="0"/>
    <x v="1"/>
    <d v="2023-08-01T00:00:00"/>
    <n v="2.419178082191781"/>
    <x v="15"/>
    <x v="0"/>
    <x v="12"/>
    <x v="0"/>
    <n v="55755"/>
    <n v="51755"/>
    <m/>
    <m/>
    <m/>
    <m/>
    <m/>
    <x v="6"/>
    <n v="2"/>
    <n v="5"/>
    <n v="6"/>
    <d v="2024-05-07T00:00:00"/>
    <s v="Assistant Manager, Medium Market"/>
    <m/>
    <m/>
    <m/>
    <m/>
    <n v="5"/>
    <n v="4"/>
    <m/>
    <m/>
    <m/>
    <m/>
    <m/>
  </r>
  <r>
    <n v="1123"/>
    <n v="41725"/>
    <d v="1998-08-12T00:00:00"/>
    <n v="27"/>
    <x v="0"/>
    <x v="1"/>
    <d v="2023-08-01T00:00:00"/>
    <n v="2.419178082191781"/>
    <x v="4"/>
    <x v="0"/>
    <x v="12"/>
    <x v="0"/>
    <n v="53972"/>
    <n v="51472"/>
    <m/>
    <m/>
    <m/>
    <m/>
    <m/>
    <x v="7"/>
    <n v="2"/>
    <n v="4"/>
    <n v="4"/>
    <d v="2024-08-26T00:00:00"/>
    <s v="Assistant Manager, Medium Market"/>
    <m/>
    <m/>
    <m/>
    <m/>
    <n v="5"/>
    <n v="2"/>
    <m/>
    <m/>
    <m/>
    <m/>
    <m/>
  </r>
  <r>
    <n v="1124"/>
    <n v="41729"/>
    <d v="1998-09-23T00:00:00"/>
    <n v="27"/>
    <x v="1"/>
    <x v="1"/>
    <d v="2023-08-01T00:00:00"/>
    <n v="2.419178082191781"/>
    <x v="124"/>
    <x v="0"/>
    <x v="12"/>
    <x v="0"/>
    <n v="53255"/>
    <n v="50755"/>
    <m/>
    <m/>
    <m/>
    <m/>
    <m/>
    <x v="11"/>
    <n v="3"/>
    <n v="7"/>
    <n v="7"/>
    <d v="2024-10-15T00:00:00"/>
    <s v="Assistant Manager, Medium Market"/>
    <m/>
    <m/>
    <m/>
    <m/>
    <n v="3"/>
    <n v="2"/>
    <m/>
    <m/>
    <m/>
    <m/>
    <m/>
  </r>
  <r>
    <n v="1125"/>
    <n v="41732"/>
    <d v="1992-01-12T00:00:00"/>
    <n v="33"/>
    <x v="0"/>
    <x v="1"/>
    <d v="2023-08-01T00:00:00"/>
    <n v="2.419178082191781"/>
    <x v="36"/>
    <x v="0"/>
    <x v="12"/>
    <x v="0"/>
    <n v="56255"/>
    <n v="52255"/>
    <m/>
    <m/>
    <m/>
    <m/>
    <m/>
    <x v="0"/>
    <n v="4"/>
    <n v="5"/>
    <n v="4"/>
    <d v="2024-08-11T00:00:00"/>
    <s v="Assistant Manager, Medium Market"/>
    <m/>
    <m/>
    <m/>
    <m/>
    <n v="5"/>
    <n v="5"/>
    <m/>
    <m/>
    <m/>
    <m/>
    <m/>
  </r>
  <r>
    <n v="1126"/>
    <n v="41733"/>
    <d v="1996-10-05T00:00:00"/>
    <n v="29"/>
    <x v="1"/>
    <x v="1"/>
    <d v="2023-08-01T00:00:00"/>
    <n v="2.419178082191781"/>
    <x v="67"/>
    <x v="0"/>
    <x v="12"/>
    <x v="0"/>
    <n v="55529"/>
    <n v="52029"/>
    <m/>
    <m/>
    <m/>
    <m/>
    <m/>
    <x v="0"/>
    <n v="2"/>
    <n v="6"/>
    <n v="6"/>
    <d v="2024-05-24T00:00:00"/>
    <s v="Assistant Manager, Medium Market"/>
    <m/>
    <m/>
    <m/>
    <m/>
    <n v="5"/>
    <n v="4"/>
    <m/>
    <m/>
    <m/>
    <m/>
    <m/>
  </r>
  <r>
    <n v="1127"/>
    <n v="41734"/>
    <d v="1997-07-30T00:00:00"/>
    <n v="28"/>
    <x v="1"/>
    <x v="1"/>
    <d v="2023-08-01T00:00:00"/>
    <n v="2.419178082191781"/>
    <x v="140"/>
    <x v="0"/>
    <x v="12"/>
    <x v="0"/>
    <n v="55755"/>
    <n v="51755"/>
    <m/>
    <m/>
    <m/>
    <m/>
    <m/>
    <x v="0"/>
    <n v="3"/>
    <n v="6"/>
    <n v="6"/>
    <d v="2024-06-14T00:00:00"/>
    <s v="Assistant Manager, Medium Market"/>
    <m/>
    <m/>
    <m/>
    <m/>
    <n v="5"/>
    <n v="4"/>
    <m/>
    <m/>
    <m/>
    <m/>
    <m/>
  </r>
  <r>
    <n v="1128"/>
    <n v="41737"/>
    <d v="1997-05-07T00:00:00"/>
    <n v="28"/>
    <x v="0"/>
    <x v="1"/>
    <d v="2023-08-01T00:00:00"/>
    <n v="3.010958904109589"/>
    <x v="7"/>
    <x v="0"/>
    <x v="12"/>
    <x v="0"/>
    <n v="53255"/>
    <n v="51255"/>
    <m/>
    <m/>
    <m/>
    <m/>
    <m/>
    <x v="8"/>
    <n v="4"/>
    <n v="5"/>
    <n v="6"/>
    <d v="2024-12-08T00:00:00"/>
    <s v="Assistant Manager, Medium Market"/>
    <m/>
    <m/>
    <m/>
    <m/>
    <n v="1"/>
    <n v="1"/>
    <m/>
    <m/>
    <m/>
    <m/>
    <m/>
  </r>
  <r>
    <n v="1129"/>
    <n v="41746"/>
    <d v="1987-09-15T00:00:00"/>
    <n v="38"/>
    <x v="1"/>
    <x v="1"/>
    <d v="2022-12-28T00:00:00"/>
    <n v="3.2520547945205478"/>
    <x v="98"/>
    <x v="1"/>
    <x v="4"/>
    <x v="1"/>
    <n v="35.049999999999997"/>
    <n v="34.82"/>
    <n v="34.46"/>
    <m/>
    <m/>
    <m/>
    <m/>
    <x v="4"/>
    <n v="0"/>
    <n v="5"/>
    <m/>
    <m/>
    <m/>
    <m/>
    <m/>
    <m/>
    <m/>
    <m/>
    <m/>
    <m/>
    <m/>
    <m/>
    <m/>
    <m/>
  </r>
  <r>
    <n v="1130"/>
    <n v="41761"/>
    <d v="1996-05-16T00:00:00"/>
    <n v="29"/>
    <x v="1"/>
    <x v="1"/>
    <d v="2022-10-01T00:00:00"/>
    <n v="2.8410958904109589"/>
    <x v="1"/>
    <x v="1"/>
    <x v="4"/>
    <x v="1"/>
    <n v="35.03"/>
    <n v="34.78"/>
    <n v="34.46"/>
    <m/>
    <m/>
    <m/>
    <m/>
    <x v="3"/>
    <n v="0"/>
    <n v="6"/>
    <m/>
    <m/>
    <m/>
    <m/>
    <m/>
    <m/>
    <m/>
    <m/>
    <m/>
    <m/>
    <m/>
    <m/>
    <m/>
    <m/>
  </r>
  <r>
    <n v="1131"/>
    <n v="41767"/>
    <d v="1986-09-11T00:00:00"/>
    <n v="39"/>
    <x v="0"/>
    <x v="1"/>
    <d v="2023-02-28T00:00:00"/>
    <n v="2.8246575342465752"/>
    <x v="64"/>
    <x v="1"/>
    <x v="4"/>
    <x v="1"/>
    <n v="35.06"/>
    <n v="34.76"/>
    <m/>
    <m/>
    <m/>
    <m/>
    <m/>
    <x v="2"/>
    <n v="0"/>
    <n v="4"/>
    <m/>
    <m/>
    <m/>
    <m/>
    <m/>
    <m/>
    <m/>
    <m/>
    <m/>
    <m/>
    <m/>
    <m/>
    <m/>
    <m/>
  </r>
  <r>
    <n v="1132"/>
    <n v="41770"/>
    <d v="1991-11-28T00:00:00"/>
    <n v="34"/>
    <x v="0"/>
    <x v="1"/>
    <d v="2023-03-06T00:00:00"/>
    <n v="3.4684931506849317"/>
    <x v="49"/>
    <x v="0"/>
    <x v="4"/>
    <x v="1"/>
    <n v="35.06"/>
    <n v="34.76"/>
    <m/>
    <m/>
    <m/>
    <m/>
    <m/>
    <x v="2"/>
    <n v="0"/>
    <n v="5"/>
    <m/>
    <m/>
    <m/>
    <m/>
    <m/>
    <m/>
    <m/>
    <m/>
    <m/>
    <m/>
    <m/>
    <m/>
    <m/>
    <m/>
  </r>
  <r>
    <n v="1133"/>
    <n v="41782"/>
    <d v="1993-12-25T00:00:00"/>
    <n v="32"/>
    <x v="1"/>
    <x v="1"/>
    <d v="2022-07-14T00:00:00"/>
    <n v="3.506849315068493"/>
    <x v="110"/>
    <x v="1"/>
    <x v="4"/>
    <x v="1"/>
    <n v="35.06"/>
    <n v="34.76"/>
    <n v="34.46"/>
    <m/>
    <m/>
    <m/>
    <m/>
    <x v="3"/>
    <n v="0"/>
    <n v="6"/>
    <m/>
    <m/>
    <m/>
    <m/>
    <m/>
    <m/>
    <m/>
    <m/>
    <m/>
    <m/>
    <m/>
    <m/>
    <m/>
    <m/>
  </r>
  <r>
    <n v="1134"/>
    <n v="41791"/>
    <d v="1996-09-12T00:00:00"/>
    <n v="29"/>
    <x v="0"/>
    <x v="1"/>
    <d v="2022-06-30T00:00:00"/>
    <n v="2.9424657534246577"/>
    <x v="90"/>
    <x v="1"/>
    <x v="4"/>
    <x v="1"/>
    <n v="35.06"/>
    <n v="34.76"/>
    <n v="34.46"/>
    <m/>
    <m/>
    <m/>
    <m/>
    <x v="2"/>
    <n v="0"/>
    <n v="4"/>
    <m/>
    <m/>
    <m/>
    <m/>
    <m/>
    <m/>
    <m/>
    <m/>
    <m/>
    <m/>
    <m/>
    <m/>
    <m/>
    <m/>
  </r>
  <r>
    <n v="1135"/>
    <n v="41808"/>
    <d v="1993-05-02T00:00:00"/>
    <n v="32"/>
    <x v="0"/>
    <x v="1"/>
    <d v="2023-01-22T00:00:00"/>
    <n v="3.3342465753424659"/>
    <x v="127"/>
    <x v="0"/>
    <x v="4"/>
    <x v="1"/>
    <n v="34.61"/>
    <n v="34.61"/>
    <m/>
    <m/>
    <m/>
    <m/>
    <m/>
    <x v="4"/>
    <n v="0"/>
    <n v="4"/>
    <m/>
    <m/>
    <m/>
    <m/>
    <m/>
    <m/>
    <m/>
    <m/>
    <m/>
    <m/>
    <m/>
    <m/>
    <m/>
    <m/>
  </r>
  <r>
    <n v="1136"/>
    <n v="41825"/>
    <d v="1990-07-17T00:00:00"/>
    <n v="35"/>
    <x v="1"/>
    <x v="1"/>
    <d v="2022-09-01T00:00:00"/>
    <n v="3.0301369863013701"/>
    <x v="23"/>
    <x v="0"/>
    <x v="4"/>
    <x v="1"/>
    <n v="35.06"/>
    <n v="34.76"/>
    <n v="34.46"/>
    <m/>
    <m/>
    <m/>
    <m/>
    <x v="2"/>
    <n v="0"/>
    <n v="6"/>
    <m/>
    <m/>
    <m/>
    <m/>
    <m/>
    <m/>
    <m/>
    <m/>
    <m/>
    <m/>
    <m/>
    <m/>
    <m/>
    <m/>
  </r>
  <r>
    <n v="1137"/>
    <n v="41832"/>
    <d v="1992-01-15T00:00:00"/>
    <n v="33"/>
    <x v="0"/>
    <x v="1"/>
    <d v="2022-12-21T00:00:00"/>
    <n v="2.8986301369863012"/>
    <x v="90"/>
    <x v="1"/>
    <x v="4"/>
    <x v="1"/>
    <n v="35.06"/>
    <n v="34.76"/>
    <n v="34.46"/>
    <m/>
    <m/>
    <m/>
    <m/>
    <x v="2"/>
    <n v="0"/>
    <n v="3"/>
    <m/>
    <m/>
    <m/>
    <m/>
    <m/>
    <m/>
    <m/>
    <m/>
    <m/>
    <m/>
    <m/>
    <m/>
    <m/>
    <m/>
  </r>
  <r>
    <n v="1138"/>
    <n v="41841"/>
    <d v="1991-04-01T00:00:00"/>
    <n v="35"/>
    <x v="1"/>
    <x v="1"/>
    <d v="2023-02-07T00:00:00"/>
    <n v="3.4684931506849317"/>
    <x v="133"/>
    <x v="1"/>
    <x v="4"/>
    <x v="1"/>
    <n v="34.76"/>
    <n v="34.61"/>
    <m/>
    <m/>
    <m/>
    <m/>
    <m/>
    <x v="4"/>
    <n v="0"/>
    <n v="5"/>
    <m/>
    <m/>
    <m/>
    <m/>
    <m/>
    <m/>
    <m/>
    <m/>
    <m/>
    <m/>
    <m/>
    <m/>
    <m/>
    <m/>
  </r>
  <r>
    <n v="1139"/>
    <n v="41850"/>
    <d v="1991-12-06T00:00:00"/>
    <n v="34"/>
    <x v="0"/>
    <x v="1"/>
    <d v="2022-07-14T00:00:00"/>
    <n v="3.5315068493150683"/>
    <x v="47"/>
    <x v="0"/>
    <x v="4"/>
    <x v="1"/>
    <n v="35.06"/>
    <n v="34.76"/>
    <n v="34.46"/>
    <m/>
    <m/>
    <m/>
    <m/>
    <x v="1"/>
    <n v="0"/>
    <n v="4"/>
    <m/>
    <m/>
    <m/>
    <m/>
    <m/>
    <m/>
    <m/>
    <m/>
    <m/>
    <m/>
    <m/>
    <m/>
    <m/>
    <m/>
  </r>
  <r>
    <n v="1140"/>
    <n v="41852"/>
    <d v="1994-03-10T00:00:00"/>
    <n v="31"/>
    <x v="0"/>
    <x v="0"/>
    <d v="2022-06-21T00:00:00"/>
    <n v="3.6328767123287671"/>
    <x v="76"/>
    <x v="1"/>
    <x v="4"/>
    <x v="1"/>
    <n v="35.06"/>
    <n v="34.76"/>
    <n v="34.46"/>
    <m/>
    <m/>
    <m/>
    <m/>
    <x v="3"/>
    <n v="0"/>
    <n v="2"/>
    <m/>
    <m/>
    <m/>
    <m/>
    <m/>
    <m/>
    <m/>
    <m/>
    <m/>
    <m/>
    <m/>
    <m/>
    <m/>
    <m/>
  </r>
  <r>
    <n v="1141"/>
    <n v="41858"/>
    <d v="1991-12-23T00:00:00"/>
    <n v="34"/>
    <x v="1"/>
    <x v="1"/>
    <d v="2022-05-15T00:00:00"/>
    <n v="2.9287671232876713"/>
    <x v="57"/>
    <x v="0"/>
    <x v="4"/>
    <x v="1"/>
    <n v="35.06"/>
    <n v="34.76"/>
    <n v="34.46"/>
    <m/>
    <m/>
    <m/>
    <m/>
    <x v="4"/>
    <n v="0"/>
    <n v="6"/>
    <m/>
    <m/>
    <m/>
    <m/>
    <m/>
    <m/>
    <m/>
    <m/>
    <m/>
    <m/>
    <m/>
    <m/>
    <m/>
    <m/>
  </r>
  <r>
    <n v="1142"/>
    <n v="41867"/>
    <d v="1995-12-15T00:00:00"/>
    <n v="30"/>
    <x v="0"/>
    <x v="1"/>
    <d v="2023-01-27T00:00:00"/>
    <n v="2.9232876712328766"/>
    <x v="94"/>
    <x v="1"/>
    <x v="4"/>
    <x v="1"/>
    <n v="35.06"/>
    <n v="34.76"/>
    <m/>
    <m/>
    <m/>
    <m/>
    <m/>
    <x v="3"/>
    <n v="0"/>
    <n v="3"/>
    <m/>
    <m/>
    <m/>
    <m/>
    <m/>
    <m/>
    <m/>
    <m/>
    <m/>
    <m/>
    <m/>
    <m/>
    <m/>
    <m/>
  </r>
  <r>
    <n v="1143"/>
    <n v="41872"/>
    <d v="1994-04-08T00:00:00"/>
    <n v="31"/>
    <x v="1"/>
    <x v="1"/>
    <d v="2023-01-29T00:00:00"/>
    <n v="3.1917808219178081"/>
    <x v="93"/>
    <x v="1"/>
    <x v="4"/>
    <x v="1"/>
    <n v="34.729999999999997"/>
    <n v="34.729999999999997"/>
    <m/>
    <m/>
    <m/>
    <m/>
    <m/>
    <x v="2"/>
    <n v="0"/>
    <n v="5"/>
    <m/>
    <m/>
    <m/>
    <m/>
    <m/>
    <m/>
    <m/>
    <m/>
    <m/>
    <m/>
    <m/>
    <m/>
    <m/>
    <m/>
  </r>
  <r>
    <n v="1144"/>
    <n v="41875"/>
    <d v="1984-11-25T00:00:00"/>
    <n v="41"/>
    <x v="0"/>
    <x v="1"/>
    <d v="2022-10-23T00:00:00"/>
    <n v="3.43013698630137"/>
    <x v="70"/>
    <x v="1"/>
    <x v="4"/>
    <x v="1"/>
    <n v="35.06"/>
    <n v="34.76"/>
    <n v="34.46"/>
    <m/>
    <m/>
    <m/>
    <m/>
    <x v="3"/>
    <n v="0"/>
    <n v="4"/>
    <m/>
    <m/>
    <m/>
    <m/>
    <m/>
    <m/>
    <m/>
    <m/>
    <m/>
    <m/>
    <m/>
    <m/>
    <m/>
    <m/>
  </r>
  <r>
    <n v="1145"/>
    <n v="41877"/>
    <d v="1994-11-24T00:00:00"/>
    <n v="31"/>
    <x v="0"/>
    <x v="1"/>
    <d v="2022-07-28T00:00:00"/>
    <n v="3.6219178082191781"/>
    <x v="122"/>
    <x v="1"/>
    <x v="4"/>
    <x v="1"/>
    <n v="35.26"/>
    <n v="34.89"/>
    <n v="34.46"/>
    <m/>
    <m/>
    <m/>
    <m/>
    <x v="2"/>
    <n v="0"/>
    <n v="2"/>
    <m/>
    <m/>
    <m/>
    <m/>
    <m/>
    <m/>
    <m/>
    <m/>
    <m/>
    <m/>
    <m/>
    <m/>
    <m/>
    <m/>
  </r>
  <r>
    <n v="1146"/>
    <n v="41878"/>
    <d v="1991-12-06T00:00:00"/>
    <n v="34"/>
    <x v="0"/>
    <x v="1"/>
    <d v="2022-05-19T00:00:00"/>
    <n v="3.2109589041095892"/>
    <x v="2"/>
    <x v="0"/>
    <x v="4"/>
    <x v="1"/>
    <n v="35.06"/>
    <n v="34.76"/>
    <n v="34.46"/>
    <m/>
    <m/>
    <m/>
    <m/>
    <x v="2"/>
    <n v="0"/>
    <n v="3"/>
    <m/>
    <m/>
    <m/>
    <m/>
    <m/>
    <m/>
    <m/>
    <m/>
    <m/>
    <m/>
    <m/>
    <m/>
    <m/>
    <m/>
  </r>
  <r>
    <n v="1147"/>
    <n v="41882"/>
    <d v="1995-12-27T00:00:00"/>
    <n v="30"/>
    <x v="0"/>
    <x v="1"/>
    <d v="2022-10-16T00:00:00"/>
    <n v="2.8876712328767122"/>
    <x v="59"/>
    <x v="0"/>
    <x v="4"/>
    <x v="1"/>
    <n v="35.049999999999997"/>
    <n v="34.89"/>
    <n v="34.46"/>
    <m/>
    <m/>
    <m/>
    <m/>
    <x v="2"/>
    <n v="0"/>
    <n v="5"/>
    <m/>
    <m/>
    <m/>
    <m/>
    <m/>
    <m/>
    <m/>
    <m/>
    <m/>
    <m/>
    <m/>
    <m/>
    <m/>
    <m/>
  </r>
  <r>
    <n v="1148"/>
    <n v="41884"/>
    <d v="1988-11-21T00:00:00"/>
    <n v="37"/>
    <x v="0"/>
    <x v="1"/>
    <d v="2023-02-11T00:00:00"/>
    <n v="2.9178082191780823"/>
    <x v="132"/>
    <x v="1"/>
    <x v="4"/>
    <x v="1"/>
    <n v="34.76"/>
    <n v="34.61"/>
    <m/>
    <m/>
    <m/>
    <m/>
    <m/>
    <x v="4"/>
    <n v="0"/>
    <n v="5"/>
    <m/>
    <m/>
    <m/>
    <m/>
    <m/>
    <m/>
    <m/>
    <m/>
    <m/>
    <m/>
    <m/>
    <m/>
    <m/>
    <m/>
  </r>
  <r>
    <n v="1149"/>
    <n v="41911"/>
    <d v="1989-12-10T00:00:00"/>
    <n v="36"/>
    <x v="0"/>
    <x v="1"/>
    <d v="2023-01-31T00:00:00"/>
    <n v="2.7561643835616438"/>
    <x v="117"/>
    <x v="1"/>
    <x v="4"/>
    <x v="1"/>
    <n v="34.61"/>
    <n v="34.61"/>
    <m/>
    <m/>
    <m/>
    <m/>
    <m/>
    <x v="4"/>
    <n v="0"/>
    <n v="4"/>
    <m/>
    <m/>
    <m/>
    <m/>
    <m/>
    <m/>
    <m/>
    <m/>
    <m/>
    <m/>
    <m/>
    <m/>
    <m/>
    <m/>
  </r>
  <r>
    <n v="1150"/>
    <n v="41916"/>
    <d v="1985-08-15T00:00:00"/>
    <n v="40"/>
    <x v="0"/>
    <x v="1"/>
    <d v="2023-03-31T00:00:00"/>
    <n v="3.7178082191780821"/>
    <x v="95"/>
    <x v="1"/>
    <x v="4"/>
    <x v="1"/>
    <n v="34.76"/>
    <n v="34.61"/>
    <m/>
    <m/>
    <m/>
    <m/>
    <m/>
    <x v="3"/>
    <n v="0"/>
    <n v="5"/>
    <m/>
    <m/>
    <m/>
    <m/>
    <m/>
    <m/>
    <m/>
    <m/>
    <m/>
    <m/>
    <m/>
    <m/>
    <m/>
    <m/>
  </r>
  <r>
    <n v="1151"/>
    <n v="41926"/>
    <d v="1984-01-24T00:00:00"/>
    <n v="41"/>
    <x v="0"/>
    <x v="1"/>
    <d v="2022-04-14T00:00:00"/>
    <n v="3.0931506849315067"/>
    <x v="62"/>
    <x v="1"/>
    <x v="4"/>
    <x v="1"/>
    <n v="35.06"/>
    <n v="34.76"/>
    <n v="34.46"/>
    <m/>
    <m/>
    <m/>
    <m/>
    <x v="2"/>
    <n v="0"/>
    <n v="2"/>
    <m/>
    <m/>
    <m/>
    <m/>
    <m/>
    <m/>
    <m/>
    <m/>
    <m/>
    <m/>
    <m/>
    <m/>
    <m/>
    <m/>
  </r>
  <r>
    <n v="1152"/>
    <n v="41928"/>
    <d v="1995-03-07T00:00:00"/>
    <n v="30"/>
    <x v="0"/>
    <x v="1"/>
    <d v="2022-11-28T00:00:00"/>
    <n v="3.1561643835616437"/>
    <x v="101"/>
    <x v="1"/>
    <x v="4"/>
    <x v="1"/>
    <n v="35.229999999999997"/>
    <n v="34.81"/>
    <n v="34.46"/>
    <m/>
    <m/>
    <m/>
    <m/>
    <x v="3"/>
    <n v="0"/>
    <n v="3"/>
    <m/>
    <m/>
    <m/>
    <m/>
    <m/>
    <m/>
    <m/>
    <m/>
    <m/>
    <m/>
    <m/>
    <m/>
    <m/>
    <m/>
  </r>
  <r>
    <n v="1153"/>
    <n v="41936"/>
    <d v="1996-11-10T00:00:00"/>
    <n v="29"/>
    <x v="0"/>
    <x v="1"/>
    <d v="2022-11-05T00:00:00"/>
    <n v="2.8767123287671232"/>
    <x v="89"/>
    <x v="1"/>
    <x v="4"/>
    <x v="1"/>
    <n v="35.06"/>
    <n v="34.76"/>
    <n v="34.46"/>
    <m/>
    <m/>
    <m/>
    <m/>
    <x v="2"/>
    <n v="0"/>
    <n v="4"/>
    <m/>
    <m/>
    <m/>
    <m/>
    <m/>
    <m/>
    <m/>
    <m/>
    <m/>
    <m/>
    <m/>
    <m/>
    <m/>
    <m/>
  </r>
  <r>
    <n v="1154"/>
    <n v="41937"/>
    <d v="1991-01-18T00:00:00"/>
    <n v="34"/>
    <x v="1"/>
    <x v="1"/>
    <d v="2023-02-15T00:00:00"/>
    <n v="3.7643835616438355"/>
    <x v="101"/>
    <x v="1"/>
    <x v="4"/>
    <x v="1"/>
    <n v="35.19"/>
    <n v="34.79"/>
    <m/>
    <m/>
    <m/>
    <m/>
    <m/>
    <x v="3"/>
    <n v="0"/>
    <n v="4"/>
    <m/>
    <m/>
    <m/>
    <m/>
    <m/>
    <m/>
    <m/>
    <m/>
    <m/>
    <m/>
    <m/>
    <m/>
    <m/>
    <m/>
  </r>
  <r>
    <n v="1155"/>
    <n v="41938"/>
    <d v="1981-12-27T00:00:00"/>
    <n v="44"/>
    <x v="1"/>
    <x v="1"/>
    <d v="2022-03-28T00:00:00"/>
    <n v="3.3917808219178083"/>
    <x v="17"/>
    <x v="0"/>
    <x v="4"/>
    <x v="1"/>
    <n v="35.06"/>
    <n v="34.76"/>
    <n v="34.46"/>
    <m/>
    <m/>
    <m/>
    <m/>
    <x v="2"/>
    <n v="0"/>
    <n v="6"/>
    <m/>
    <m/>
    <m/>
    <m/>
    <m/>
    <m/>
    <m/>
    <m/>
    <m/>
    <m/>
    <m/>
    <m/>
    <m/>
    <m/>
  </r>
  <r>
    <n v="1156"/>
    <n v="41941"/>
    <d v="1990-05-25T00:00:00"/>
    <n v="35"/>
    <x v="0"/>
    <x v="1"/>
    <d v="2022-08-11T00:00:00"/>
    <n v="3.506849315068493"/>
    <x v="29"/>
    <x v="1"/>
    <x v="4"/>
    <x v="1"/>
    <n v="35.06"/>
    <n v="34.76"/>
    <n v="34.46"/>
    <m/>
    <m/>
    <m/>
    <m/>
    <x v="3"/>
    <n v="0"/>
    <n v="4"/>
    <m/>
    <m/>
    <m/>
    <m/>
    <m/>
    <m/>
    <m/>
    <m/>
    <m/>
    <m/>
    <m/>
    <m/>
    <m/>
    <m/>
  </r>
  <r>
    <n v="1157"/>
    <n v="41942"/>
    <d v="1986-10-01T00:00:00"/>
    <n v="40"/>
    <x v="1"/>
    <x v="1"/>
    <d v="2022-06-30T00:00:00"/>
    <n v="2.967123287671233"/>
    <x v="131"/>
    <x v="1"/>
    <x v="4"/>
    <x v="1"/>
    <n v="34.61"/>
    <n v="34.61"/>
    <n v="34.46"/>
    <m/>
    <m/>
    <m/>
    <m/>
    <x v="2"/>
    <n v="0"/>
    <n v="5"/>
    <m/>
    <m/>
    <m/>
    <m/>
    <m/>
    <m/>
    <m/>
    <m/>
    <m/>
    <m/>
    <m/>
    <m/>
    <m/>
    <m/>
  </r>
  <r>
    <n v="1158"/>
    <n v="41953"/>
    <d v="1993-12-05T00:00:00"/>
    <n v="32"/>
    <x v="0"/>
    <x v="0"/>
    <d v="2023-01-13T00:00:00"/>
    <n v="3.1835616438356165"/>
    <x v="38"/>
    <x v="0"/>
    <x v="4"/>
    <x v="1"/>
    <n v="35.06"/>
    <n v="34.76"/>
    <m/>
    <m/>
    <m/>
    <m/>
    <m/>
    <x v="1"/>
    <n v="0"/>
    <n v="4"/>
    <m/>
    <m/>
    <m/>
    <m/>
    <m/>
    <m/>
    <m/>
    <m/>
    <m/>
    <m/>
    <m/>
    <m/>
    <m/>
    <m/>
  </r>
  <r>
    <n v="1159"/>
    <n v="41978"/>
    <d v="1995-02-01T00:00:00"/>
    <n v="31"/>
    <x v="0"/>
    <x v="1"/>
    <d v="2022-10-26T00:00:00"/>
    <n v="3.2465753424657535"/>
    <x v="7"/>
    <x v="0"/>
    <x v="5"/>
    <x v="1"/>
    <n v="23.07"/>
    <n v="22.77"/>
    <n v="22.47"/>
    <m/>
    <m/>
    <m/>
    <m/>
    <x v="2"/>
    <n v="4"/>
    <n v="4"/>
    <m/>
    <m/>
    <m/>
    <m/>
    <m/>
    <m/>
    <m/>
    <m/>
    <m/>
    <m/>
    <m/>
    <m/>
    <m/>
    <m/>
  </r>
  <r>
    <n v="1160"/>
    <n v="41979"/>
    <d v="1996-09-03T00:00:00"/>
    <n v="29"/>
    <x v="0"/>
    <x v="1"/>
    <d v="2022-10-03T00:00:00"/>
    <n v="3.7150684931506848"/>
    <x v="61"/>
    <x v="0"/>
    <x v="5"/>
    <x v="1"/>
    <n v="23.32"/>
    <n v="22.89"/>
    <n v="22.47"/>
    <m/>
    <m/>
    <m/>
    <m/>
    <x v="1"/>
    <n v="2"/>
    <n v="4"/>
    <m/>
    <m/>
    <m/>
    <m/>
    <m/>
    <m/>
    <m/>
    <m/>
    <m/>
    <m/>
    <m/>
    <m/>
    <m/>
    <m/>
  </r>
  <r>
    <n v="1161"/>
    <n v="41983"/>
    <d v="1991-11-23T00:00:00"/>
    <n v="34"/>
    <x v="0"/>
    <x v="1"/>
    <d v="2022-04-15T00:00:00"/>
    <n v="2.9616438356164383"/>
    <x v="98"/>
    <x v="1"/>
    <x v="5"/>
    <x v="1"/>
    <n v="22.66"/>
    <n v="22.66"/>
    <n v="22.47"/>
    <m/>
    <m/>
    <m/>
    <m/>
    <x v="4"/>
    <n v="4"/>
    <n v="6"/>
    <m/>
    <m/>
    <m/>
    <m/>
    <m/>
    <m/>
    <m/>
    <m/>
    <m/>
    <m/>
    <m/>
    <m/>
    <m/>
    <m/>
  </r>
  <r>
    <n v="1162"/>
    <n v="41991"/>
    <d v="1993-07-17T00:00:00"/>
    <n v="32"/>
    <x v="0"/>
    <x v="1"/>
    <d v="2023-01-15T00:00:00"/>
    <n v="3.2383561643835614"/>
    <x v="41"/>
    <x v="0"/>
    <x v="5"/>
    <x v="1"/>
    <n v="23.02"/>
    <n v="22.84"/>
    <m/>
    <m/>
    <m/>
    <m/>
    <m/>
    <x v="3"/>
    <n v="2"/>
    <n v="5"/>
    <m/>
    <m/>
    <m/>
    <m/>
    <m/>
    <m/>
    <m/>
    <m/>
    <m/>
    <m/>
    <m/>
    <m/>
    <m/>
    <m/>
  </r>
  <r>
    <n v="1163"/>
    <n v="41996"/>
    <d v="1997-04-19T00:00:00"/>
    <n v="28"/>
    <x v="0"/>
    <x v="1"/>
    <d v="2022-10-06T00:00:00"/>
    <n v="3.4547945205479453"/>
    <x v="133"/>
    <x v="1"/>
    <x v="5"/>
    <x v="1"/>
    <n v="22.77"/>
    <n v="22.62"/>
    <n v="22.47"/>
    <m/>
    <m/>
    <m/>
    <m/>
    <x v="2"/>
    <n v="2"/>
    <n v="4"/>
    <m/>
    <m/>
    <m/>
    <m/>
    <m/>
    <m/>
    <m/>
    <m/>
    <m/>
    <m/>
    <m/>
    <m/>
    <m/>
    <m/>
  </r>
  <r>
    <n v="1164"/>
    <n v="42005"/>
    <d v="1993-06-08T00:00:00"/>
    <n v="32"/>
    <x v="1"/>
    <x v="1"/>
    <d v="2022-07-19T00:00:00"/>
    <n v="3.032876712328767"/>
    <x v="102"/>
    <x v="0"/>
    <x v="5"/>
    <x v="1"/>
    <n v="22.87"/>
    <n v="22.71"/>
    <n v="22.47"/>
    <m/>
    <m/>
    <m/>
    <m/>
    <x v="4"/>
    <n v="4"/>
    <n v="7"/>
    <m/>
    <m/>
    <m/>
    <m/>
    <m/>
    <m/>
    <m/>
    <m/>
    <m/>
    <m/>
    <m/>
    <m/>
    <m/>
    <m/>
  </r>
  <r>
    <n v="1165"/>
    <n v="42010"/>
    <d v="1999-01-19T00:00:00"/>
    <n v="26"/>
    <x v="0"/>
    <x v="1"/>
    <d v="2022-12-20T00:00:00"/>
    <n v="3.0630136986301371"/>
    <x v="49"/>
    <x v="0"/>
    <x v="5"/>
    <x v="1"/>
    <n v="23.07"/>
    <n v="22.77"/>
    <n v="22.47"/>
    <m/>
    <m/>
    <m/>
    <m/>
    <x v="2"/>
    <n v="1"/>
    <n v="3"/>
    <m/>
    <m/>
    <m/>
    <m/>
    <m/>
    <m/>
    <m/>
    <m/>
    <m/>
    <m/>
    <m/>
    <m/>
    <m/>
    <m/>
  </r>
  <r>
    <n v="1166"/>
    <n v="42044"/>
    <d v="1997-07-13T00:00:00"/>
    <n v="28"/>
    <x v="0"/>
    <x v="1"/>
    <d v="2022-12-09T00:00:00"/>
    <n v="2.8301369863013699"/>
    <x v="109"/>
    <x v="1"/>
    <x v="5"/>
    <x v="1"/>
    <n v="23.07"/>
    <n v="22.77"/>
    <n v="22.47"/>
    <m/>
    <m/>
    <m/>
    <m/>
    <x v="2"/>
    <n v="5"/>
    <n v="4"/>
    <m/>
    <m/>
    <m/>
    <m/>
    <m/>
    <m/>
    <m/>
    <m/>
    <m/>
    <m/>
    <m/>
    <m/>
    <m/>
    <m/>
  </r>
  <r>
    <n v="1167"/>
    <n v="42047"/>
    <d v="1997-01-16T00:00:00"/>
    <n v="28"/>
    <x v="0"/>
    <x v="1"/>
    <d v="2023-03-04T00:00:00"/>
    <n v="3.0493150684931507"/>
    <x v="59"/>
    <x v="0"/>
    <x v="5"/>
    <x v="1"/>
    <n v="23.1"/>
    <n v="22.84"/>
    <m/>
    <m/>
    <m/>
    <m/>
    <m/>
    <x v="2"/>
    <n v="6"/>
    <n v="5"/>
    <m/>
    <m/>
    <m/>
    <m/>
    <m/>
    <m/>
    <m/>
    <m/>
    <m/>
    <m/>
    <m/>
    <m/>
    <m/>
    <m/>
  </r>
  <r>
    <n v="1168"/>
    <n v="42048"/>
    <d v="1997-05-09T00:00:00"/>
    <n v="28"/>
    <x v="0"/>
    <x v="0"/>
    <d v="2022-12-14T00:00:00"/>
    <n v="3.5863013698630137"/>
    <x v="77"/>
    <x v="0"/>
    <x v="5"/>
    <x v="1"/>
    <n v="23.07"/>
    <n v="22.77"/>
    <n v="22.47"/>
    <m/>
    <m/>
    <m/>
    <m/>
    <x v="2"/>
    <n v="4"/>
    <n v="4"/>
    <m/>
    <m/>
    <m/>
    <m/>
    <m/>
    <m/>
    <m/>
    <m/>
    <m/>
    <m/>
    <m/>
    <m/>
    <m/>
    <m/>
  </r>
  <r>
    <n v="1169"/>
    <n v="42061"/>
    <d v="1997-10-14T00:00:00"/>
    <n v="28"/>
    <x v="0"/>
    <x v="1"/>
    <d v="2022-06-01T00:00:00"/>
    <n v="3.0904109589041098"/>
    <x v="65"/>
    <x v="1"/>
    <x v="5"/>
    <x v="1"/>
    <n v="23.07"/>
    <n v="22.77"/>
    <n v="22.47"/>
    <m/>
    <m/>
    <m/>
    <m/>
    <x v="4"/>
    <n v="6"/>
    <n v="5"/>
    <m/>
    <m/>
    <m/>
    <m/>
    <m/>
    <m/>
    <m/>
    <m/>
    <m/>
    <m/>
    <m/>
    <m/>
    <m/>
    <m/>
  </r>
  <r>
    <n v="1170"/>
    <n v="42063"/>
    <d v="1990-09-27T00:00:00"/>
    <n v="35"/>
    <x v="0"/>
    <x v="1"/>
    <d v="2022-11-29T00:00:00"/>
    <n v="3.5561643835616437"/>
    <x v="61"/>
    <x v="0"/>
    <x v="5"/>
    <x v="1"/>
    <n v="23.24"/>
    <n v="22.79"/>
    <n v="22.47"/>
    <m/>
    <m/>
    <m/>
    <m/>
    <x v="2"/>
    <n v="5"/>
    <n v="5"/>
    <m/>
    <m/>
    <m/>
    <m/>
    <m/>
    <m/>
    <m/>
    <m/>
    <m/>
    <m/>
    <m/>
    <m/>
    <m/>
    <m/>
  </r>
  <r>
    <n v="1171"/>
    <n v="42066"/>
    <d v="1995-05-18T00:00:00"/>
    <n v="30"/>
    <x v="1"/>
    <x v="1"/>
    <d v="2022-06-12T00:00:00"/>
    <n v="3.2356164383561645"/>
    <x v="62"/>
    <x v="1"/>
    <x v="5"/>
    <x v="1"/>
    <n v="23.07"/>
    <n v="22.77"/>
    <n v="22.47"/>
    <m/>
    <m/>
    <m/>
    <m/>
    <x v="2"/>
    <n v="3"/>
    <n v="7"/>
    <m/>
    <m/>
    <m/>
    <m/>
    <m/>
    <m/>
    <m/>
    <m/>
    <m/>
    <m/>
    <m/>
    <m/>
    <m/>
    <m/>
  </r>
  <r>
    <n v="1172"/>
    <n v="42078"/>
    <d v="1997-04-11T00:00:00"/>
    <n v="28"/>
    <x v="0"/>
    <x v="1"/>
    <d v="2022-10-07T00:00:00"/>
    <n v="3.0082191780821916"/>
    <x v="119"/>
    <x v="1"/>
    <x v="5"/>
    <x v="1"/>
    <n v="23"/>
    <n v="22.65"/>
    <n v="22.47"/>
    <m/>
    <m/>
    <m/>
    <m/>
    <x v="1"/>
    <n v="0"/>
    <n v="5"/>
    <m/>
    <m/>
    <m/>
    <m/>
    <m/>
    <m/>
    <m/>
    <m/>
    <m/>
    <m/>
    <m/>
    <m/>
    <m/>
    <m/>
  </r>
  <r>
    <n v="1173"/>
    <n v="42085"/>
    <d v="1995-12-07T00:00:00"/>
    <n v="30"/>
    <x v="0"/>
    <x v="1"/>
    <d v="2022-12-29T00:00:00"/>
    <n v="3.4547945205479453"/>
    <x v="101"/>
    <x v="1"/>
    <x v="5"/>
    <x v="1"/>
    <n v="22.75"/>
    <n v="22.75"/>
    <n v="22.47"/>
    <m/>
    <m/>
    <m/>
    <m/>
    <x v="3"/>
    <n v="5"/>
    <n v="6"/>
    <m/>
    <m/>
    <m/>
    <m/>
    <m/>
    <m/>
    <m/>
    <m/>
    <m/>
    <m/>
    <m/>
    <m/>
    <m/>
    <m/>
  </r>
  <r>
    <n v="1174"/>
    <n v="42101"/>
    <d v="1991-02-21T00:00:00"/>
    <n v="34"/>
    <x v="0"/>
    <x v="0"/>
    <d v="2022-07-19T00:00:00"/>
    <n v="3.6849315068493151"/>
    <x v="24"/>
    <x v="0"/>
    <x v="5"/>
    <x v="1"/>
    <n v="23.07"/>
    <n v="22.77"/>
    <n v="22.47"/>
    <m/>
    <m/>
    <m/>
    <m/>
    <x v="1"/>
    <n v="4"/>
    <n v="4"/>
    <m/>
    <m/>
    <m/>
    <m/>
    <m/>
    <m/>
    <m/>
    <m/>
    <m/>
    <m/>
    <m/>
    <m/>
    <m/>
    <m/>
  </r>
  <r>
    <n v="1175"/>
    <n v="42142"/>
    <d v="1990-12-17T00:00:00"/>
    <n v="35"/>
    <x v="0"/>
    <x v="1"/>
    <d v="2022-04-26T00:00:00"/>
    <n v="3.6767123287671235"/>
    <x v="30"/>
    <x v="1"/>
    <x v="5"/>
    <x v="1"/>
    <n v="23.07"/>
    <n v="22.77"/>
    <n v="22.47"/>
    <m/>
    <m/>
    <m/>
    <m/>
    <x v="2"/>
    <n v="4"/>
    <n v="5"/>
    <m/>
    <m/>
    <m/>
    <m/>
    <m/>
    <m/>
    <m/>
    <m/>
    <m/>
    <m/>
    <m/>
    <m/>
    <m/>
    <m/>
  </r>
  <r>
    <n v="1176"/>
    <n v="42154"/>
    <d v="1996-04-24T00:00:00"/>
    <n v="29"/>
    <x v="0"/>
    <x v="1"/>
    <d v="2022-04-29T00:00:00"/>
    <n v="2.9506849315068493"/>
    <x v="2"/>
    <x v="0"/>
    <x v="5"/>
    <x v="1"/>
    <n v="23.07"/>
    <n v="22.77"/>
    <n v="22.47"/>
    <m/>
    <m/>
    <m/>
    <m/>
    <x v="4"/>
    <n v="5"/>
    <n v="4"/>
    <m/>
    <m/>
    <m/>
    <m/>
    <m/>
    <m/>
    <m/>
    <m/>
    <m/>
    <m/>
    <m/>
    <m/>
    <m/>
    <m/>
  </r>
  <r>
    <n v="1177"/>
    <n v="42156"/>
    <d v="1997-09-21T00:00:00"/>
    <n v="28"/>
    <x v="0"/>
    <x v="0"/>
    <d v="2023-01-19T00:00:00"/>
    <n v="3.3397260273972602"/>
    <x v="3"/>
    <x v="0"/>
    <x v="5"/>
    <x v="1"/>
    <n v="23.07"/>
    <n v="22.77"/>
    <m/>
    <m/>
    <m/>
    <m/>
    <m/>
    <x v="2"/>
    <n v="4"/>
    <n v="5"/>
    <m/>
    <m/>
    <m/>
    <m/>
    <m/>
    <m/>
    <m/>
    <m/>
    <m/>
    <m/>
    <m/>
    <m/>
    <m/>
    <m/>
  </r>
  <r>
    <n v="1178"/>
    <n v="42163"/>
    <d v="1997-06-11T00:00:00"/>
    <n v="28"/>
    <x v="0"/>
    <x v="1"/>
    <d v="2022-08-30T00:00:00"/>
    <n v="3.021917808219178"/>
    <x v="114"/>
    <x v="1"/>
    <x v="5"/>
    <x v="1"/>
    <n v="23.07"/>
    <n v="22.77"/>
    <n v="22.47"/>
    <m/>
    <m/>
    <m/>
    <m/>
    <x v="2"/>
    <n v="6"/>
    <n v="6"/>
    <m/>
    <m/>
    <m/>
    <m/>
    <m/>
    <m/>
    <m/>
    <m/>
    <m/>
    <m/>
    <m/>
    <m/>
    <m/>
    <m/>
  </r>
  <r>
    <n v="1179"/>
    <n v="42175"/>
    <d v="1991-09-13T00:00:00"/>
    <n v="34"/>
    <x v="0"/>
    <x v="0"/>
    <d v="2022-12-24T00:00:00"/>
    <n v="2.9945205479452053"/>
    <x v="18"/>
    <x v="0"/>
    <x v="5"/>
    <x v="1"/>
    <n v="23.37"/>
    <n v="22.92"/>
    <n v="22.47"/>
    <m/>
    <m/>
    <m/>
    <m/>
    <x v="4"/>
    <n v="6"/>
    <n v="6"/>
    <m/>
    <m/>
    <m/>
    <m/>
    <m/>
    <m/>
    <m/>
    <m/>
    <m/>
    <m/>
    <m/>
    <m/>
    <m/>
    <m/>
  </r>
  <r>
    <n v="1180"/>
    <n v="42176"/>
    <d v="1986-07-12T00:00:00"/>
    <n v="39"/>
    <x v="0"/>
    <x v="1"/>
    <d v="2023-01-03T00:00:00"/>
    <n v="3.3863013698630136"/>
    <x v="21"/>
    <x v="0"/>
    <x v="5"/>
    <x v="1"/>
    <n v="23.07"/>
    <n v="22.77"/>
    <m/>
    <m/>
    <m/>
    <m/>
    <m/>
    <x v="4"/>
    <n v="6"/>
    <n v="5"/>
    <m/>
    <m/>
    <m/>
    <m/>
    <m/>
    <m/>
    <m/>
    <m/>
    <m/>
    <m/>
    <m/>
    <m/>
    <m/>
    <m/>
  </r>
  <r>
    <n v="1181"/>
    <n v="42188"/>
    <d v="1998-05-08T00:00:00"/>
    <n v="27"/>
    <x v="1"/>
    <x v="1"/>
    <d v="2022-08-13T00:00:00"/>
    <n v="3.4356164383561643"/>
    <x v="54"/>
    <x v="1"/>
    <x v="5"/>
    <x v="1"/>
    <n v="23.07"/>
    <n v="22.77"/>
    <n v="22.47"/>
    <m/>
    <m/>
    <m/>
    <m/>
    <x v="2"/>
    <n v="3"/>
    <n v="5"/>
    <m/>
    <m/>
    <m/>
    <m/>
    <m/>
    <m/>
    <m/>
    <m/>
    <m/>
    <m/>
    <m/>
    <m/>
    <m/>
    <m/>
  </r>
  <r>
    <n v="1182"/>
    <n v="42193"/>
    <d v="1997-03-06T00:00:00"/>
    <n v="28"/>
    <x v="1"/>
    <x v="0"/>
    <d v="2022-07-26T00:00:00"/>
    <n v="3.5424657534246577"/>
    <x v="126"/>
    <x v="1"/>
    <x v="5"/>
    <x v="1"/>
    <n v="22.62"/>
    <n v="22.62"/>
    <n v="22.47"/>
    <m/>
    <m/>
    <m/>
    <m/>
    <x v="4"/>
    <n v="4"/>
    <n v="5"/>
    <m/>
    <m/>
    <m/>
    <m/>
    <m/>
    <m/>
    <m/>
    <m/>
    <m/>
    <m/>
    <m/>
    <m/>
    <m/>
    <m/>
  </r>
  <r>
    <n v="1183"/>
    <n v="42196"/>
    <d v="1991-04-20T00:00:00"/>
    <n v="34"/>
    <x v="0"/>
    <x v="1"/>
    <d v="2022-06-17T00:00:00"/>
    <n v="3.6246575342465754"/>
    <x v="2"/>
    <x v="0"/>
    <x v="5"/>
    <x v="1"/>
    <n v="23.07"/>
    <n v="22.77"/>
    <n v="22.47"/>
    <m/>
    <m/>
    <m/>
    <m/>
    <x v="4"/>
    <n v="4"/>
    <n v="4"/>
    <m/>
    <m/>
    <m/>
    <m/>
    <m/>
    <m/>
    <m/>
    <m/>
    <m/>
    <m/>
    <m/>
    <m/>
    <m/>
    <m/>
  </r>
  <r>
    <n v="1184"/>
    <n v="42206"/>
    <d v="1994-08-15T00:00:00"/>
    <n v="31"/>
    <x v="0"/>
    <x v="1"/>
    <d v="2022-05-18T00:00:00"/>
    <n v="3.484931506849315"/>
    <x v="27"/>
    <x v="0"/>
    <x v="5"/>
    <x v="1"/>
    <n v="23.07"/>
    <n v="22.77"/>
    <n v="22.47"/>
    <m/>
    <m/>
    <m/>
    <m/>
    <x v="4"/>
    <n v="5"/>
    <n v="5"/>
    <m/>
    <m/>
    <m/>
    <m/>
    <m/>
    <m/>
    <m/>
    <m/>
    <m/>
    <m/>
    <m/>
    <m/>
    <m/>
    <m/>
  </r>
  <r>
    <n v="1185"/>
    <n v="42218"/>
    <d v="1997-12-28T00:00:00"/>
    <n v="28"/>
    <x v="1"/>
    <x v="0"/>
    <d v="2022-07-08T00:00:00"/>
    <n v="2.9506849315068493"/>
    <x v="24"/>
    <x v="0"/>
    <x v="5"/>
    <x v="1"/>
    <n v="23.07"/>
    <n v="22.77"/>
    <n v="22.47"/>
    <m/>
    <m/>
    <m/>
    <m/>
    <x v="1"/>
    <n v="4"/>
    <n v="6"/>
    <m/>
    <m/>
    <m/>
    <m/>
    <m/>
    <m/>
    <m/>
    <m/>
    <m/>
    <m/>
    <m/>
    <m/>
    <m/>
    <m/>
  </r>
  <r>
    <n v="1186"/>
    <n v="42260"/>
    <d v="1997-02-08T00:00:00"/>
    <n v="28"/>
    <x v="0"/>
    <x v="1"/>
    <d v="2023-01-19T00:00:00"/>
    <n v="3.7890410958904108"/>
    <x v="48"/>
    <x v="1"/>
    <x v="5"/>
    <x v="1"/>
    <n v="23.07"/>
    <n v="22.77"/>
    <m/>
    <m/>
    <m/>
    <m/>
    <m/>
    <x v="2"/>
    <n v="1"/>
    <n v="4"/>
    <m/>
    <m/>
    <m/>
    <m/>
    <m/>
    <m/>
    <m/>
    <m/>
    <m/>
    <m/>
    <m/>
    <m/>
    <m/>
    <m/>
  </r>
  <r>
    <n v="1187"/>
    <n v="42263"/>
    <d v="1994-12-06T00:00:00"/>
    <n v="31"/>
    <x v="0"/>
    <x v="1"/>
    <d v="2022-03-19T00:00:00"/>
    <n v="3.0027397260273974"/>
    <x v="54"/>
    <x v="1"/>
    <x v="5"/>
    <x v="1"/>
    <n v="23.07"/>
    <n v="22.77"/>
    <n v="22.47"/>
    <m/>
    <m/>
    <m/>
    <m/>
    <x v="3"/>
    <n v="5"/>
    <n v="4"/>
    <m/>
    <m/>
    <m/>
    <m/>
    <m/>
    <m/>
    <m/>
    <m/>
    <m/>
    <m/>
    <m/>
    <m/>
    <m/>
    <m/>
  </r>
  <r>
    <n v="1188"/>
    <n v="42264"/>
    <d v="1992-12-22T00:00:00"/>
    <n v="33"/>
    <x v="0"/>
    <x v="1"/>
    <d v="2022-12-31T00:00:00"/>
    <n v="3.6931506849315068"/>
    <x v="113"/>
    <x v="1"/>
    <x v="5"/>
    <x v="1"/>
    <n v="22.62"/>
    <n v="22.47"/>
    <n v="22.47"/>
    <m/>
    <m/>
    <m/>
    <m/>
    <x v="4"/>
    <n v="4"/>
    <n v="6"/>
    <m/>
    <m/>
    <m/>
    <m/>
    <m/>
    <m/>
    <m/>
    <m/>
    <m/>
    <m/>
    <m/>
    <m/>
    <m/>
    <m/>
  </r>
  <r>
    <n v="1189"/>
    <n v="42276"/>
    <d v="1998-11-15T00:00:00"/>
    <n v="27"/>
    <x v="1"/>
    <x v="0"/>
    <d v="2022-04-23T00:00:00"/>
    <n v="3.7287671232876711"/>
    <x v="74"/>
    <x v="1"/>
    <x v="5"/>
    <x v="1"/>
    <n v="23.07"/>
    <n v="22.77"/>
    <n v="22.47"/>
    <m/>
    <m/>
    <m/>
    <m/>
    <x v="2"/>
    <n v="4"/>
    <n v="6"/>
    <m/>
    <m/>
    <m/>
    <m/>
    <m/>
    <m/>
    <m/>
    <m/>
    <m/>
    <m/>
    <m/>
    <m/>
    <m/>
    <m/>
  </r>
  <r>
    <n v="1190"/>
    <n v="42278"/>
    <d v="1996-02-15T00:00:00"/>
    <n v="29"/>
    <x v="0"/>
    <x v="1"/>
    <d v="2022-04-10T00:00:00"/>
    <n v="3.8219178082191783"/>
    <x v="75"/>
    <x v="1"/>
    <x v="5"/>
    <x v="1"/>
    <n v="23.07"/>
    <n v="22.77"/>
    <n v="22.47"/>
    <m/>
    <m/>
    <m/>
    <m/>
    <x v="2"/>
    <n v="3"/>
    <n v="5"/>
    <m/>
    <m/>
    <m/>
    <m/>
    <m/>
    <m/>
    <m/>
    <m/>
    <m/>
    <m/>
    <m/>
    <m/>
    <m/>
    <m/>
  </r>
  <r>
    <n v="1191"/>
    <n v="42279"/>
    <d v="1987-10-30T00:00:00"/>
    <n v="38"/>
    <x v="1"/>
    <x v="1"/>
    <d v="2022-03-07T00:00:00"/>
    <n v="3.0027397260273974"/>
    <x v="76"/>
    <x v="1"/>
    <x v="5"/>
    <x v="1"/>
    <n v="23.07"/>
    <n v="22.77"/>
    <n v="22.47"/>
    <m/>
    <m/>
    <m/>
    <m/>
    <x v="2"/>
    <n v="3"/>
    <n v="5"/>
    <m/>
    <m/>
    <m/>
    <m/>
    <m/>
    <m/>
    <m/>
    <m/>
    <m/>
    <m/>
    <m/>
    <m/>
    <m/>
    <m/>
  </r>
  <r>
    <n v="1192"/>
    <n v="42284"/>
    <d v="1995-05-11T00:00:00"/>
    <n v="30"/>
    <x v="1"/>
    <x v="0"/>
    <d v="2022-12-31T00:00:00"/>
    <n v="3.2602739726027399"/>
    <x v="107"/>
    <x v="1"/>
    <x v="5"/>
    <x v="1"/>
    <n v="23.07"/>
    <n v="22.77"/>
    <n v="22.47"/>
    <m/>
    <m/>
    <m/>
    <m/>
    <x v="2"/>
    <n v="5"/>
    <n v="6"/>
    <m/>
    <m/>
    <m/>
    <m/>
    <m/>
    <m/>
    <m/>
    <m/>
    <m/>
    <m/>
    <m/>
    <m/>
    <m/>
    <m/>
  </r>
  <r>
    <n v="1193"/>
    <n v="42285"/>
    <d v="1993-10-04T00:00:00"/>
    <n v="32"/>
    <x v="0"/>
    <x v="1"/>
    <d v="2022-09-28T00:00:00"/>
    <n v="3.5534246575342467"/>
    <x v="134"/>
    <x v="1"/>
    <x v="5"/>
    <x v="1"/>
    <n v="22.62"/>
    <n v="22.62"/>
    <n v="22.47"/>
    <m/>
    <m/>
    <m/>
    <m/>
    <x v="2"/>
    <n v="2"/>
    <n v="4"/>
    <m/>
    <m/>
    <m/>
    <m/>
    <m/>
    <m/>
    <m/>
    <m/>
    <m/>
    <m/>
    <m/>
    <m/>
    <m/>
    <m/>
  </r>
  <r>
    <n v="1194"/>
    <n v="42287"/>
    <d v="1993-12-03T00:00:00"/>
    <n v="32"/>
    <x v="0"/>
    <x v="1"/>
    <d v="2022-06-13T00:00:00"/>
    <n v="3.0520547945205481"/>
    <x v="100"/>
    <x v="1"/>
    <x v="5"/>
    <x v="1"/>
    <n v="23.07"/>
    <n v="22.77"/>
    <n v="22.47"/>
    <m/>
    <m/>
    <m/>
    <m/>
    <x v="2"/>
    <n v="5"/>
    <n v="6"/>
    <m/>
    <m/>
    <m/>
    <m/>
    <m/>
    <m/>
    <m/>
    <m/>
    <m/>
    <m/>
    <m/>
    <m/>
    <m/>
    <m/>
  </r>
  <r>
    <n v="1195"/>
    <n v="42290"/>
    <d v="1986-12-24T00:00:00"/>
    <n v="39"/>
    <x v="0"/>
    <x v="1"/>
    <d v="2022-12-13T00:00:00"/>
    <n v="3.2328767123287672"/>
    <x v="86"/>
    <x v="1"/>
    <x v="5"/>
    <x v="1"/>
    <n v="23.07"/>
    <n v="22.77"/>
    <n v="22.47"/>
    <m/>
    <m/>
    <m/>
    <m/>
    <x v="3"/>
    <n v="4"/>
    <n v="4"/>
    <m/>
    <m/>
    <m/>
    <m/>
    <m/>
    <m/>
    <m/>
    <m/>
    <m/>
    <m/>
    <m/>
    <m/>
    <m/>
    <m/>
  </r>
  <r>
    <n v="1196"/>
    <n v="42291"/>
    <d v="1999-12-15T00:00:00"/>
    <n v="26"/>
    <x v="0"/>
    <x v="1"/>
    <d v="2022-10-08T00:00:00"/>
    <n v="3.419178082191781"/>
    <x v="132"/>
    <x v="1"/>
    <x v="5"/>
    <x v="1"/>
    <n v="22.77"/>
    <n v="22.62"/>
    <n v="22.47"/>
    <m/>
    <m/>
    <m/>
    <m/>
    <x v="2"/>
    <n v="1"/>
    <n v="4"/>
    <m/>
    <m/>
    <m/>
    <m/>
    <m/>
    <m/>
    <m/>
    <m/>
    <m/>
    <m/>
    <m/>
    <m/>
    <m/>
    <m/>
  </r>
  <r>
    <n v="1197"/>
    <n v="42297"/>
    <d v="1993-06-03T00:00:00"/>
    <n v="32"/>
    <x v="1"/>
    <x v="1"/>
    <d v="2022-08-01T00:00:00"/>
    <n v="3.3671232876712329"/>
    <x v="27"/>
    <x v="0"/>
    <x v="1"/>
    <x v="1"/>
    <n v="16.18"/>
    <n v="15.88"/>
    <n v="15.58"/>
    <m/>
    <m/>
    <m/>
    <m/>
    <x v="2"/>
    <n v="2"/>
    <n v="7"/>
    <m/>
    <m/>
    <m/>
    <m/>
    <m/>
    <m/>
    <m/>
    <m/>
    <m/>
    <m/>
    <m/>
    <m/>
    <m/>
    <m/>
  </r>
  <r>
    <n v="1198"/>
    <n v="42304"/>
    <d v="2000-07-14T00:00:00"/>
    <n v="25"/>
    <x v="1"/>
    <x v="1"/>
    <d v="2022-08-20T00:00:00"/>
    <n v="3.8136986301369862"/>
    <x v="1"/>
    <x v="1"/>
    <x v="3"/>
    <x v="1"/>
    <n v="17.38"/>
    <n v="17.38"/>
    <n v="17.04"/>
    <m/>
    <m/>
    <m/>
    <m/>
    <x v="4"/>
    <n v="1"/>
    <n v="7"/>
    <m/>
    <m/>
    <m/>
    <m/>
    <m/>
    <m/>
    <m/>
    <m/>
    <m/>
    <m/>
    <m/>
    <m/>
    <m/>
    <m/>
  </r>
  <r>
    <n v="1199"/>
    <n v="42308"/>
    <d v="1993-10-01T00:00:00"/>
    <n v="33"/>
    <x v="0"/>
    <x v="0"/>
    <d v="2022-03-10T00:00:00"/>
    <n v="3.8465753424657536"/>
    <x v="93"/>
    <x v="1"/>
    <x v="6"/>
    <x v="1"/>
    <n v="23.47"/>
    <n v="23.05"/>
    <n v="22.63"/>
    <m/>
    <m/>
    <m/>
    <m/>
    <x v="3"/>
    <n v="6"/>
    <n v="5"/>
    <m/>
    <m/>
    <m/>
    <m/>
    <m/>
    <m/>
    <m/>
    <m/>
    <m/>
    <m/>
    <m/>
    <m/>
    <m/>
    <m/>
  </r>
  <r>
    <n v="1200"/>
    <n v="42320"/>
    <d v="2001-09-04T00:00:00"/>
    <n v="24"/>
    <x v="0"/>
    <x v="1"/>
    <d v="2022-02-26T00:00:00"/>
    <n v="3.2547945205479452"/>
    <x v="114"/>
    <x v="1"/>
    <x v="7"/>
    <x v="1"/>
    <n v="17.34"/>
    <n v="17.04"/>
    <n v="16.739999999999998"/>
    <m/>
    <m/>
    <m/>
    <m/>
    <x v="4"/>
    <n v="1"/>
    <n v="4"/>
    <m/>
    <m/>
    <m/>
    <m/>
    <m/>
    <m/>
    <m/>
    <m/>
    <m/>
    <m/>
    <m/>
    <m/>
    <m/>
    <m/>
  </r>
  <r>
    <n v="1201"/>
    <n v="42324"/>
    <d v="2001-05-08T00:00:00"/>
    <n v="24"/>
    <x v="0"/>
    <x v="0"/>
    <d v="2022-09-30T00:00:00"/>
    <n v="3.4986301369863013"/>
    <x v="71"/>
    <x v="1"/>
    <x v="6"/>
    <x v="1"/>
    <n v="23.23"/>
    <n v="22.93"/>
    <n v="22.63"/>
    <m/>
    <m/>
    <m/>
    <m/>
    <x v="3"/>
    <n v="5"/>
    <n v="5"/>
    <m/>
    <m/>
    <m/>
    <m/>
    <m/>
    <m/>
    <m/>
    <m/>
    <m/>
    <m/>
    <m/>
    <m/>
    <m/>
    <m/>
  </r>
  <r>
    <n v="1202"/>
    <n v="42327"/>
    <d v="1999-02-08T00:00:00"/>
    <n v="26"/>
    <x v="0"/>
    <x v="1"/>
    <d v="2022-07-03T00:00:00"/>
    <n v="3"/>
    <x v="98"/>
    <x v="1"/>
    <x v="2"/>
    <x v="1"/>
    <n v="14.38"/>
    <n v="13.98"/>
    <n v="13.55"/>
    <m/>
    <m/>
    <m/>
    <m/>
    <x v="3"/>
    <n v="0"/>
    <n v="4"/>
    <m/>
    <m/>
    <m/>
    <m/>
    <m/>
    <m/>
    <m/>
    <m/>
    <m/>
    <m/>
    <m/>
    <m/>
    <m/>
    <m/>
  </r>
  <r>
    <n v="1203"/>
    <n v="42331"/>
    <d v="1996-04-03T00:00:00"/>
    <n v="29"/>
    <x v="1"/>
    <x v="1"/>
    <d v="2023-01-01T00:00:00"/>
    <n v="3.0767123287671234"/>
    <x v="67"/>
    <x v="0"/>
    <x v="1"/>
    <x v="1"/>
    <n v="16.18"/>
    <n v="15.88"/>
    <m/>
    <m/>
    <m/>
    <m/>
    <m/>
    <x v="4"/>
    <n v="1"/>
    <n v="6"/>
    <m/>
    <m/>
    <m/>
    <m/>
    <m/>
    <m/>
    <m/>
    <m/>
    <m/>
    <m/>
    <m/>
    <m/>
    <m/>
    <m/>
  </r>
  <r>
    <n v="1204"/>
    <n v="42340"/>
    <d v="1997-10-15T00:00:00"/>
    <n v="28"/>
    <x v="1"/>
    <x v="1"/>
    <d v="2022-12-04T00:00:00"/>
    <n v="3.2465753424657535"/>
    <x v="18"/>
    <x v="0"/>
    <x v="1"/>
    <x v="1"/>
    <n v="16.32"/>
    <n v="16"/>
    <n v="15.58"/>
    <m/>
    <m/>
    <m/>
    <m/>
    <x v="1"/>
    <n v="0"/>
    <n v="5"/>
    <m/>
    <m/>
    <m/>
    <m/>
    <m/>
    <m/>
    <m/>
    <m/>
    <m/>
    <m/>
    <m/>
    <m/>
    <m/>
    <m/>
  </r>
  <r>
    <n v="1205"/>
    <n v="42353"/>
    <d v="1997-10-23T00:00:00"/>
    <n v="28"/>
    <x v="0"/>
    <x v="1"/>
    <d v="2022-10-03T00:00:00"/>
    <n v="3.6767123287671235"/>
    <x v="114"/>
    <x v="1"/>
    <x v="2"/>
    <x v="1"/>
    <n v="14.15"/>
    <n v="13.85"/>
    <n v="13.55"/>
    <m/>
    <m/>
    <m/>
    <m/>
    <x v="2"/>
    <n v="0"/>
    <n v="4"/>
    <m/>
    <m/>
    <m/>
    <m/>
    <m/>
    <m/>
    <m/>
    <m/>
    <m/>
    <m/>
    <m/>
    <m/>
    <m/>
    <m/>
  </r>
  <r>
    <n v="1206"/>
    <n v="42356"/>
    <d v="1993-07-19T00:00:00"/>
    <n v="32"/>
    <x v="1"/>
    <x v="0"/>
    <d v="2022-04-29T00:00:00"/>
    <n v="3.3123287671232875"/>
    <x v="96"/>
    <x v="1"/>
    <x v="8"/>
    <x v="1"/>
    <n v="8.5"/>
    <n v="8.35"/>
    <n v="8.06"/>
    <m/>
    <m/>
    <m/>
    <m/>
    <x v="4"/>
    <n v="4"/>
    <n v="7"/>
    <m/>
    <m/>
    <m/>
    <m/>
    <m/>
    <m/>
    <m/>
    <m/>
    <m/>
    <m/>
    <m/>
    <m/>
    <m/>
    <m/>
  </r>
  <r>
    <n v="1207"/>
    <n v="42362"/>
    <d v="2000-03-14T00:00:00"/>
    <n v="25"/>
    <x v="0"/>
    <x v="1"/>
    <d v="2022-09-09T00:00:00"/>
    <n v="3.6273972602739728"/>
    <x v="7"/>
    <x v="0"/>
    <x v="6"/>
    <x v="1"/>
    <n v="23.23"/>
    <n v="22.93"/>
    <n v="22.63"/>
    <m/>
    <m/>
    <m/>
    <m/>
    <x v="3"/>
    <n v="4"/>
    <n v="5"/>
    <m/>
    <m/>
    <m/>
    <m/>
    <m/>
    <m/>
    <m/>
    <m/>
    <m/>
    <m/>
    <m/>
    <m/>
    <m/>
    <m/>
  </r>
  <r>
    <n v="1208"/>
    <n v="42363"/>
    <d v="1997-04-10T00:00:00"/>
    <n v="28"/>
    <x v="0"/>
    <x v="1"/>
    <d v="2022-05-17T00:00:00"/>
    <n v="3.0876712328767124"/>
    <x v="136"/>
    <x v="0"/>
    <x v="7"/>
    <x v="1"/>
    <n v="17.579999999999998"/>
    <n v="17.14"/>
    <n v="16.739999999999998"/>
    <m/>
    <m/>
    <m/>
    <m/>
    <x v="1"/>
    <n v="4"/>
    <n v="5"/>
    <m/>
    <m/>
    <m/>
    <m/>
    <m/>
    <m/>
    <m/>
    <m/>
    <m/>
    <m/>
    <m/>
    <m/>
    <m/>
    <m/>
  </r>
  <r>
    <n v="1209"/>
    <n v="42372"/>
    <d v="2003-12-22T00:00:00"/>
    <n v="22"/>
    <x v="1"/>
    <x v="1"/>
    <d v="2022-11-30T00:00:00"/>
    <n v="3.3178082191780822"/>
    <x v="104"/>
    <x v="1"/>
    <x v="1"/>
    <x v="1"/>
    <n v="16.18"/>
    <n v="15.88"/>
    <n v="15.58"/>
    <m/>
    <m/>
    <m/>
    <m/>
    <x v="2"/>
    <n v="2"/>
    <n v="5"/>
    <m/>
    <m/>
    <m/>
    <m/>
    <m/>
    <m/>
    <m/>
    <m/>
    <m/>
    <m/>
    <m/>
    <m/>
    <m/>
    <m/>
  </r>
  <r>
    <n v="1210"/>
    <n v="42377"/>
    <d v="2001-09-27T00:00:00"/>
    <n v="24"/>
    <x v="0"/>
    <x v="1"/>
    <d v="2022-09-07T00:00:00"/>
    <n v="3.3232876712328765"/>
    <x v="25"/>
    <x v="0"/>
    <x v="6"/>
    <x v="1"/>
    <n v="23.23"/>
    <n v="22.93"/>
    <n v="22.63"/>
    <m/>
    <m/>
    <m/>
    <m/>
    <x v="3"/>
    <n v="5"/>
    <n v="4"/>
    <m/>
    <m/>
    <m/>
    <m/>
    <m/>
    <m/>
    <m/>
    <m/>
    <m/>
    <m/>
    <m/>
    <m/>
    <m/>
    <m/>
  </r>
  <r>
    <n v="1211"/>
    <n v="42409"/>
    <d v="2002-08-05T00:00:00"/>
    <n v="23"/>
    <x v="1"/>
    <x v="1"/>
    <d v="2022-09-05T00:00:00"/>
    <n v="3.4657534246575343"/>
    <x v="51"/>
    <x v="1"/>
    <x v="1"/>
    <x v="1"/>
    <n v="16.18"/>
    <n v="15.88"/>
    <n v="15.58"/>
    <m/>
    <m/>
    <m/>
    <m/>
    <x v="3"/>
    <n v="1"/>
    <n v="6"/>
    <m/>
    <m/>
    <m/>
    <m/>
    <m/>
    <m/>
    <m/>
    <m/>
    <m/>
    <m/>
    <m/>
    <m/>
    <m/>
    <m/>
  </r>
  <r>
    <n v="1212"/>
    <n v="42425"/>
    <d v="1998-08-29T00:00:00"/>
    <n v="27"/>
    <x v="0"/>
    <x v="1"/>
    <d v="2022-07-15T00:00:00"/>
    <n v="3.5013698630136987"/>
    <x v="67"/>
    <x v="0"/>
    <x v="7"/>
    <x v="1"/>
    <n v="17.34"/>
    <n v="17.04"/>
    <n v="16.739999999999998"/>
    <m/>
    <m/>
    <m/>
    <m/>
    <x v="2"/>
    <n v="2"/>
    <n v="5"/>
    <m/>
    <m/>
    <m/>
    <m/>
    <m/>
    <m/>
    <m/>
    <m/>
    <m/>
    <m/>
    <m/>
    <m/>
    <m/>
    <m/>
  </r>
  <r>
    <n v="1213"/>
    <n v="42438"/>
    <d v="1992-01-24T00:00:00"/>
    <n v="33"/>
    <x v="0"/>
    <x v="1"/>
    <d v="2022-07-02T00:00:00"/>
    <n v="3.7698630136986302"/>
    <x v="2"/>
    <x v="0"/>
    <x v="6"/>
    <x v="1"/>
    <n v="23.23"/>
    <n v="22.93"/>
    <n v="22.63"/>
    <m/>
    <m/>
    <m/>
    <m/>
    <x v="2"/>
    <n v="4"/>
    <n v="6"/>
    <m/>
    <m/>
    <m/>
    <m/>
    <m/>
    <m/>
    <m/>
    <m/>
    <m/>
    <m/>
    <m/>
    <m/>
    <m/>
    <m/>
  </r>
  <r>
    <n v="1214"/>
    <n v="42440"/>
    <d v="2001-02-03T00:00:00"/>
    <n v="24"/>
    <x v="0"/>
    <x v="1"/>
    <d v="2022-03-26T00:00:00"/>
    <n v="3.7616438356164386"/>
    <x v="127"/>
    <x v="0"/>
    <x v="3"/>
    <x v="1"/>
    <n v="8.26"/>
    <n v="8.16"/>
    <n v="8.06"/>
    <m/>
    <m/>
    <m/>
    <m/>
    <x v="2"/>
    <n v="1"/>
    <n v="3"/>
    <m/>
    <m/>
    <m/>
    <m/>
    <m/>
    <m/>
    <m/>
    <m/>
    <m/>
    <m/>
    <m/>
    <m/>
    <m/>
    <m/>
  </r>
  <r>
    <n v="1215"/>
    <n v="42447"/>
    <d v="1995-12-27T00:00:00"/>
    <n v="30"/>
    <x v="0"/>
    <x v="1"/>
    <d v="2022-03-29T00:00:00"/>
    <n v="3.7095890410958905"/>
    <x v="20"/>
    <x v="0"/>
    <x v="6"/>
    <x v="1"/>
    <n v="22.93"/>
    <n v="22.78"/>
    <n v="22.63"/>
    <m/>
    <m/>
    <m/>
    <m/>
    <x v="3"/>
    <n v="7"/>
    <n v="6"/>
    <m/>
    <m/>
    <m/>
    <m/>
    <m/>
    <m/>
    <m/>
    <m/>
    <m/>
    <m/>
    <m/>
    <m/>
    <m/>
    <m/>
  </r>
  <r>
    <n v="1216"/>
    <n v="42452"/>
    <d v="1994-10-04T00:00:00"/>
    <n v="31"/>
    <x v="1"/>
    <x v="0"/>
    <d v="2022-04-17T00:00:00"/>
    <n v="3.5205479452054793"/>
    <x v="26"/>
    <x v="0"/>
    <x v="8"/>
    <x v="1"/>
    <n v="8.6199999999999992"/>
    <n v="8.35"/>
    <n v="8.06"/>
    <m/>
    <m/>
    <m/>
    <m/>
    <x v="2"/>
    <n v="2"/>
    <n v="6"/>
    <m/>
    <m/>
    <m/>
    <m/>
    <m/>
    <m/>
    <m/>
    <m/>
    <m/>
    <m/>
    <m/>
    <m/>
    <m/>
    <m/>
  </r>
  <r>
    <n v="1217"/>
    <n v="42460"/>
    <d v="1995-05-18T00:00:00"/>
    <n v="30"/>
    <x v="0"/>
    <x v="1"/>
    <d v="2022-06-25T00:00:00"/>
    <n v="3.3643835616438356"/>
    <x v="83"/>
    <x v="0"/>
    <x v="6"/>
    <x v="1"/>
    <n v="22.78"/>
    <n v="22.63"/>
    <n v="22.63"/>
    <m/>
    <m/>
    <m/>
    <m/>
    <x v="2"/>
    <n v="3"/>
    <n v="6"/>
    <m/>
    <m/>
    <m/>
    <m/>
    <m/>
    <m/>
    <m/>
    <m/>
    <m/>
    <m/>
    <m/>
    <m/>
    <m/>
    <m/>
  </r>
  <r>
    <n v="1218"/>
    <n v="42483"/>
    <d v="2004-02-07T00:00:00"/>
    <n v="21"/>
    <x v="0"/>
    <x v="0"/>
    <d v="2022-08-21T00:00:00"/>
    <n v="2.9287671232876713"/>
    <x v="109"/>
    <x v="1"/>
    <x v="10"/>
    <x v="1"/>
    <n v="10.53"/>
    <n v="10.33"/>
    <n v="10.130000000000001"/>
    <m/>
    <m/>
    <m/>
    <m/>
    <x v="2"/>
    <n v="1"/>
    <n v="4"/>
    <m/>
    <m/>
    <m/>
    <m/>
    <m/>
    <m/>
    <m/>
    <m/>
    <m/>
    <m/>
    <m/>
    <m/>
    <m/>
    <m/>
  </r>
  <r>
    <n v="1219"/>
    <n v="42490"/>
    <d v="1996-09-05T00:00:00"/>
    <n v="29"/>
    <x v="0"/>
    <x v="1"/>
    <d v="2023-01-27T00:00:00"/>
    <n v="3.8191780821917809"/>
    <x v="18"/>
    <x v="0"/>
    <x v="6"/>
    <x v="1"/>
    <n v="23.37"/>
    <n v="23.02"/>
    <m/>
    <m/>
    <m/>
    <m/>
    <m/>
    <x v="2"/>
    <n v="7"/>
    <n v="7"/>
    <m/>
    <m/>
    <m/>
    <m/>
    <m/>
    <m/>
    <m/>
    <m/>
    <m/>
    <m/>
    <m/>
    <m/>
    <m/>
    <m/>
  </r>
  <r>
    <n v="1220"/>
    <n v="42491"/>
    <d v="2000-01-07T00:00:00"/>
    <n v="25"/>
    <x v="0"/>
    <x v="0"/>
    <d v="2022-03-08T00:00:00"/>
    <n v="2.9863013698630136"/>
    <x v="24"/>
    <x v="0"/>
    <x v="6"/>
    <x v="1"/>
    <n v="23.23"/>
    <n v="22.93"/>
    <n v="22.63"/>
    <m/>
    <m/>
    <m/>
    <m/>
    <x v="1"/>
    <n v="7"/>
    <n v="4"/>
    <m/>
    <m/>
    <m/>
    <m/>
    <m/>
    <m/>
    <m/>
    <m/>
    <m/>
    <m/>
    <m/>
    <m/>
    <m/>
    <m/>
  </r>
  <r>
    <n v="1221"/>
    <n v="42492"/>
    <d v="1993-09-27T00:00:00"/>
    <n v="32"/>
    <x v="0"/>
    <x v="0"/>
    <d v="2023-01-06T00:00:00"/>
    <n v="3.0164383561643837"/>
    <x v="33"/>
    <x v="0"/>
    <x v="7"/>
    <x v="1"/>
    <n v="17.34"/>
    <n v="17.04"/>
    <m/>
    <m/>
    <m/>
    <m/>
    <m/>
    <x v="3"/>
    <n v="2"/>
    <n v="4"/>
    <m/>
    <m/>
    <m/>
    <m/>
    <m/>
    <m/>
    <m/>
    <m/>
    <m/>
    <m/>
    <m/>
    <m/>
    <m/>
    <m/>
  </r>
  <r>
    <n v="1222"/>
    <n v="42504"/>
    <d v="1995-04-17T00:00:00"/>
    <n v="30"/>
    <x v="0"/>
    <x v="0"/>
    <d v="2022-12-26T00:00:00"/>
    <n v="3.8438356164383563"/>
    <x v="96"/>
    <x v="1"/>
    <x v="1"/>
    <x v="1"/>
    <n v="16.39"/>
    <n v="15.98"/>
    <n v="15.58"/>
    <m/>
    <m/>
    <m/>
    <m/>
    <x v="3"/>
    <n v="1"/>
    <n v="3"/>
    <m/>
    <m/>
    <m/>
    <m/>
    <m/>
    <m/>
    <m/>
    <m/>
    <m/>
    <m/>
    <m/>
    <m/>
    <m/>
    <m/>
  </r>
  <r>
    <n v="1223"/>
    <n v="42511"/>
    <d v="1999-12-04T00:00:00"/>
    <n v="26"/>
    <x v="0"/>
    <x v="0"/>
    <d v="2022-02-27T00:00:00"/>
    <n v="3.5315068493150683"/>
    <x v="48"/>
    <x v="1"/>
    <x v="2"/>
    <x v="1"/>
    <n v="14.15"/>
    <n v="13.85"/>
    <n v="13.55"/>
    <m/>
    <m/>
    <m/>
    <m/>
    <x v="4"/>
    <n v="0"/>
    <n v="3"/>
    <m/>
    <m/>
    <m/>
    <m/>
    <m/>
    <m/>
    <m/>
    <m/>
    <m/>
    <m/>
    <m/>
    <m/>
    <m/>
    <m/>
  </r>
  <r>
    <n v="1224"/>
    <n v="42514"/>
    <d v="2000-12-19T00:00:00"/>
    <n v="25"/>
    <x v="1"/>
    <x v="1"/>
    <d v="2022-06-21T00:00:00"/>
    <n v="2.8684931506849316"/>
    <x v="46"/>
    <x v="1"/>
    <x v="2"/>
    <x v="1"/>
    <n v="14.15"/>
    <n v="13.85"/>
    <n v="13.55"/>
    <m/>
    <m/>
    <m/>
    <m/>
    <x v="4"/>
    <n v="0"/>
    <n v="5"/>
    <m/>
    <m/>
    <m/>
    <m/>
    <m/>
    <m/>
    <m/>
    <m/>
    <m/>
    <m/>
    <m/>
    <m/>
    <m/>
    <m/>
  </r>
  <r>
    <n v="1225"/>
    <n v="42543"/>
    <d v="1998-02-10T00:00:00"/>
    <n v="27"/>
    <x v="0"/>
    <x v="1"/>
    <d v="2023-02-18T00:00:00"/>
    <n v="2.8547945205479452"/>
    <x v="98"/>
    <x v="1"/>
    <x v="7"/>
    <x v="1"/>
    <n v="17.45"/>
    <n v="17.190000000000001"/>
    <m/>
    <m/>
    <m/>
    <m/>
    <m/>
    <x v="3"/>
    <n v="1"/>
    <n v="5"/>
    <m/>
    <m/>
    <m/>
    <m/>
    <m/>
    <m/>
    <m/>
    <m/>
    <m/>
    <m/>
    <m/>
    <m/>
    <m/>
    <m/>
  </r>
  <r>
    <n v="1226"/>
    <n v="42549"/>
    <d v="1999-05-25T00:00:00"/>
    <n v="26"/>
    <x v="1"/>
    <x v="1"/>
    <d v="2023-02-23T00:00:00"/>
    <n v="3.2465753424657535"/>
    <x v="12"/>
    <x v="0"/>
    <x v="7"/>
    <x v="1"/>
    <n v="17.34"/>
    <n v="17.04"/>
    <m/>
    <m/>
    <m/>
    <m/>
    <m/>
    <x v="2"/>
    <n v="2"/>
    <n v="5"/>
    <m/>
    <m/>
    <m/>
    <m/>
    <m/>
    <m/>
    <m/>
    <m/>
    <m/>
    <m/>
    <m/>
    <m/>
    <m/>
    <m/>
  </r>
  <r>
    <n v="1227"/>
    <n v="42556"/>
    <d v="1999-04-17T00:00:00"/>
    <n v="26"/>
    <x v="0"/>
    <x v="1"/>
    <d v="2022-10-03T00:00:00"/>
    <n v="3.2547945205479452"/>
    <x v="100"/>
    <x v="1"/>
    <x v="7"/>
    <x v="1"/>
    <n v="17.34"/>
    <n v="17.04"/>
    <n v="16.739999999999998"/>
    <m/>
    <m/>
    <m/>
    <m/>
    <x v="2"/>
    <n v="2"/>
    <n v="4"/>
    <m/>
    <m/>
    <m/>
    <m/>
    <m/>
    <m/>
    <m/>
    <m/>
    <m/>
    <m/>
    <m/>
    <m/>
    <m/>
    <m/>
  </r>
  <r>
    <n v="1228"/>
    <n v="42574"/>
    <d v="2004-10-25T00:00:00"/>
    <n v="21"/>
    <x v="1"/>
    <x v="0"/>
    <d v="2022-09-30T00:00:00"/>
    <n v="2.9616438356164383"/>
    <x v="3"/>
    <x v="0"/>
    <x v="9"/>
    <x v="1"/>
    <n v="14"/>
    <n v="13.7"/>
    <n v="13.4"/>
    <m/>
    <m/>
    <m/>
    <m/>
    <x v="1"/>
    <n v="0"/>
    <n v="5"/>
    <m/>
    <m/>
    <m/>
    <m/>
    <m/>
    <m/>
    <m/>
    <m/>
    <m/>
    <m/>
    <m/>
    <m/>
    <m/>
    <m/>
  </r>
  <r>
    <n v="1229"/>
    <n v="42588"/>
    <d v="1992-12-16T00:00:00"/>
    <n v="33"/>
    <x v="0"/>
    <x v="1"/>
    <d v="2023-01-15T00:00:00"/>
    <n v="3.2136986301369861"/>
    <x v="140"/>
    <x v="0"/>
    <x v="1"/>
    <x v="1"/>
    <n v="16.18"/>
    <n v="15.88"/>
    <m/>
    <m/>
    <m/>
    <m/>
    <m/>
    <x v="4"/>
    <n v="1"/>
    <n v="4"/>
    <m/>
    <m/>
    <m/>
    <m/>
    <m/>
    <m/>
    <m/>
    <m/>
    <m/>
    <m/>
    <m/>
    <m/>
    <m/>
    <m/>
  </r>
  <r>
    <n v="1230"/>
    <n v="42590"/>
    <d v="2002-05-29T00:00:00"/>
    <n v="23"/>
    <x v="1"/>
    <x v="0"/>
    <d v="2022-10-15T00:00:00"/>
    <n v="3.4547945205479453"/>
    <x v="43"/>
    <x v="1"/>
    <x v="8"/>
    <x v="1"/>
    <n v="8.43"/>
    <n v="8.18"/>
    <n v="8.06"/>
    <m/>
    <m/>
    <m/>
    <m/>
    <x v="2"/>
    <n v="2"/>
    <n v="6"/>
    <m/>
    <m/>
    <m/>
    <m/>
    <m/>
    <m/>
    <m/>
    <m/>
    <m/>
    <m/>
    <m/>
    <m/>
    <m/>
    <m/>
  </r>
  <r>
    <n v="1231"/>
    <n v="42601"/>
    <d v="1998-10-03T00:00:00"/>
    <n v="27"/>
    <x v="0"/>
    <x v="1"/>
    <d v="2022-07-19T00:00:00"/>
    <n v="3.3150684931506849"/>
    <x v="63"/>
    <x v="0"/>
    <x v="6"/>
    <x v="1"/>
    <n v="23.41"/>
    <n v="22.99"/>
    <n v="22.63"/>
    <m/>
    <m/>
    <m/>
    <m/>
    <x v="3"/>
    <n v="7"/>
    <n v="6"/>
    <m/>
    <m/>
    <m/>
    <m/>
    <m/>
    <m/>
    <m/>
    <m/>
    <m/>
    <m/>
    <m/>
    <m/>
    <m/>
    <m/>
  </r>
  <r>
    <n v="1232"/>
    <n v="42619"/>
    <d v="1997-03-23T00:00:00"/>
    <n v="28"/>
    <x v="0"/>
    <x v="1"/>
    <d v="2022-09-08T00:00:00"/>
    <n v="3.7643835616438355"/>
    <x v="93"/>
    <x v="1"/>
    <x v="7"/>
    <x v="1"/>
    <n v="17.36"/>
    <n v="17.16"/>
    <n v="16.739999999999998"/>
    <m/>
    <m/>
    <m/>
    <m/>
    <x v="3"/>
    <n v="2"/>
    <n v="5"/>
    <m/>
    <m/>
    <m/>
    <m/>
    <m/>
    <m/>
    <m/>
    <m/>
    <m/>
    <m/>
    <m/>
    <m/>
    <m/>
    <m/>
  </r>
  <r>
    <n v="1233"/>
    <n v="42621"/>
    <d v="2004-06-29T00:00:00"/>
    <n v="21"/>
    <x v="0"/>
    <x v="1"/>
    <d v="2022-03-28T00:00:00"/>
    <n v="3.5287671232876714"/>
    <x v="100"/>
    <x v="1"/>
    <x v="2"/>
    <x v="1"/>
    <n v="14.15"/>
    <n v="13.85"/>
    <n v="13.55"/>
    <m/>
    <m/>
    <m/>
    <m/>
    <x v="3"/>
    <n v="1"/>
    <n v="4"/>
    <m/>
    <m/>
    <m/>
    <m/>
    <m/>
    <m/>
    <m/>
    <m/>
    <m/>
    <m/>
    <m/>
    <m/>
    <m/>
    <m/>
  </r>
  <r>
    <n v="1234"/>
    <n v="42632"/>
    <d v="1999-01-16T00:00:00"/>
    <n v="26"/>
    <x v="1"/>
    <x v="0"/>
    <d v="2022-06-22T00:00:00"/>
    <n v="3.7972602739726029"/>
    <x v="10"/>
    <x v="0"/>
    <x v="11"/>
    <x v="1"/>
    <n v="16.510000000000002"/>
    <n v="16.309999999999999"/>
    <n v="16.18"/>
    <m/>
    <m/>
    <m/>
    <m/>
    <x v="3"/>
    <n v="3"/>
    <n v="5"/>
    <m/>
    <m/>
    <m/>
    <m/>
    <m/>
    <m/>
    <m/>
    <m/>
    <m/>
    <m/>
    <m/>
    <m/>
    <m/>
    <m/>
  </r>
  <r>
    <n v="1235"/>
    <n v="42643"/>
    <d v="1994-12-13T00:00:00"/>
    <n v="31"/>
    <x v="1"/>
    <x v="0"/>
    <d v="2022-03-16T00:00:00"/>
    <n v="3"/>
    <x v="20"/>
    <x v="0"/>
    <x v="1"/>
    <x v="1"/>
    <n v="15.88"/>
    <n v="15.73"/>
    <n v="15.58"/>
    <m/>
    <m/>
    <m/>
    <m/>
    <x v="1"/>
    <n v="2"/>
    <n v="6"/>
    <m/>
    <m/>
    <m/>
    <m/>
    <m/>
    <m/>
    <m/>
    <m/>
    <m/>
    <m/>
    <m/>
    <m/>
    <m/>
    <m/>
  </r>
  <r>
    <n v="1236"/>
    <n v="42658"/>
    <d v="2004-05-10T00:00:00"/>
    <n v="21"/>
    <x v="0"/>
    <x v="0"/>
    <d v="2023-01-01T00:00:00"/>
    <n v="2.9397260273972603"/>
    <x v="24"/>
    <x v="0"/>
    <x v="10"/>
    <x v="1"/>
    <n v="10.53"/>
    <n v="10.33"/>
    <m/>
    <m/>
    <m/>
    <m/>
    <m/>
    <x v="4"/>
    <n v="1"/>
    <n v="3"/>
    <m/>
    <m/>
    <m/>
    <m/>
    <m/>
    <m/>
    <m/>
    <m/>
    <m/>
    <m/>
    <m/>
    <m/>
    <m/>
    <m/>
  </r>
  <r>
    <n v="1237"/>
    <n v="42687"/>
    <d v="2001-12-25T00:00:00"/>
    <n v="24"/>
    <x v="1"/>
    <x v="1"/>
    <d v="2023-01-23T00:00:00"/>
    <n v="3.4493150684931506"/>
    <x v="102"/>
    <x v="0"/>
    <x v="8"/>
    <x v="1"/>
    <n v="8.5500000000000007"/>
    <n v="8.32"/>
    <m/>
    <m/>
    <m/>
    <m/>
    <m/>
    <x v="1"/>
    <n v="2"/>
    <n v="6"/>
    <m/>
    <m/>
    <m/>
    <m/>
    <m/>
    <m/>
    <m/>
    <m/>
    <m/>
    <m/>
    <m/>
    <m/>
    <m/>
    <m/>
  </r>
  <r>
    <n v="1238"/>
    <n v="42689"/>
    <d v="1999-05-22T00:00:00"/>
    <n v="26"/>
    <x v="1"/>
    <x v="1"/>
    <d v="2022-07-21T00:00:00"/>
    <n v="3.1534246575342464"/>
    <x v="140"/>
    <x v="0"/>
    <x v="11"/>
    <x v="1"/>
    <n v="16.579999999999998"/>
    <n v="16.38"/>
    <n v="16.18"/>
    <m/>
    <m/>
    <m/>
    <m/>
    <x v="2"/>
    <n v="1"/>
    <n v="6"/>
    <m/>
    <m/>
    <m/>
    <m/>
    <m/>
    <m/>
    <m/>
    <m/>
    <m/>
    <m/>
    <m/>
    <m/>
    <m/>
    <m/>
  </r>
  <r>
    <n v="1239"/>
    <n v="42716"/>
    <d v="2000-08-13T00:00:00"/>
    <n v="25"/>
    <x v="1"/>
    <x v="1"/>
    <d v="2022-11-06T00:00:00"/>
    <n v="2.9945205479452053"/>
    <x v="114"/>
    <x v="1"/>
    <x v="1"/>
    <x v="1"/>
    <n v="16.18"/>
    <n v="15.88"/>
    <n v="15.58"/>
    <m/>
    <m/>
    <m/>
    <m/>
    <x v="4"/>
    <n v="0"/>
    <n v="6"/>
    <m/>
    <m/>
    <m/>
    <m/>
    <m/>
    <m/>
    <m/>
    <m/>
    <m/>
    <m/>
    <m/>
    <m/>
    <m/>
    <m/>
  </r>
  <r>
    <n v="1240"/>
    <n v="42725"/>
    <d v="2001-04-18T00:00:00"/>
    <n v="24"/>
    <x v="1"/>
    <x v="1"/>
    <d v="2023-01-03T00:00:00"/>
    <n v="2.9643835616438357"/>
    <x v="95"/>
    <x v="1"/>
    <x v="1"/>
    <x v="1"/>
    <n v="15.88"/>
    <n v="15.73"/>
    <m/>
    <m/>
    <m/>
    <m/>
    <m/>
    <x v="1"/>
    <n v="1"/>
    <n v="5"/>
    <m/>
    <m/>
    <m/>
    <m/>
    <m/>
    <m/>
    <m/>
    <m/>
    <m/>
    <m/>
    <m/>
    <m/>
    <m/>
    <m/>
  </r>
  <r>
    <n v="1241"/>
    <n v="42730"/>
    <d v="1991-02-08T00:00:00"/>
    <n v="34"/>
    <x v="0"/>
    <x v="1"/>
    <d v="2023-01-14T00:00:00"/>
    <n v="3.6739726027397261"/>
    <x v="85"/>
    <x v="1"/>
    <x v="6"/>
    <x v="1"/>
    <n v="23.29"/>
    <n v="23.03"/>
    <m/>
    <m/>
    <m/>
    <m/>
    <m/>
    <x v="4"/>
    <n v="7"/>
    <n v="4"/>
    <m/>
    <m/>
    <m/>
    <m/>
    <m/>
    <m/>
    <m/>
    <m/>
    <m/>
    <m/>
    <m/>
    <m/>
    <m/>
    <m/>
  </r>
  <r>
    <n v="1242"/>
    <n v="42743"/>
    <d v="2001-12-06T00:00:00"/>
    <n v="24"/>
    <x v="1"/>
    <x v="1"/>
    <d v="2022-04-30T00:00:00"/>
    <n v="3.2082191780821918"/>
    <x v="69"/>
    <x v="1"/>
    <x v="7"/>
    <x v="1"/>
    <n v="17.34"/>
    <n v="17.04"/>
    <n v="16.739999999999998"/>
    <m/>
    <m/>
    <m/>
    <m/>
    <x v="2"/>
    <n v="4"/>
    <n v="6"/>
    <m/>
    <m/>
    <m/>
    <m/>
    <m/>
    <m/>
    <m/>
    <m/>
    <m/>
    <m/>
    <m/>
    <m/>
    <m/>
    <m/>
  </r>
  <r>
    <n v="1243"/>
    <n v="42781"/>
    <d v="1998-06-10T00:00:00"/>
    <n v="27"/>
    <x v="0"/>
    <x v="1"/>
    <d v="2022-10-17T00:00:00"/>
    <n v="3.3150684931506849"/>
    <x v="65"/>
    <x v="1"/>
    <x v="1"/>
    <x v="1"/>
    <n v="16.18"/>
    <n v="15.88"/>
    <n v="15.58"/>
    <m/>
    <m/>
    <m/>
    <m/>
    <x v="1"/>
    <n v="2"/>
    <n v="5"/>
    <m/>
    <m/>
    <m/>
    <m/>
    <m/>
    <m/>
    <m/>
    <m/>
    <m/>
    <m/>
    <m/>
    <m/>
    <m/>
    <m/>
  </r>
  <r>
    <n v="1244"/>
    <n v="42787"/>
    <d v="2004-09-06T00:00:00"/>
    <n v="21"/>
    <x v="1"/>
    <x v="1"/>
    <d v="2022-09-08T00:00:00"/>
    <n v="3.0931506849315067"/>
    <x v="116"/>
    <x v="1"/>
    <x v="3"/>
    <x v="1"/>
    <n v="17.71"/>
    <n v="17.3"/>
    <n v="17.04"/>
    <m/>
    <m/>
    <m/>
    <m/>
    <x v="1"/>
    <n v="4"/>
    <n v="6"/>
    <m/>
    <m/>
    <m/>
    <m/>
    <m/>
    <m/>
    <m/>
    <m/>
    <m/>
    <m/>
    <m/>
    <m/>
    <m/>
    <m/>
  </r>
  <r>
    <n v="1245"/>
    <n v="42791"/>
    <d v="1998-03-14T00:00:00"/>
    <n v="27"/>
    <x v="1"/>
    <x v="1"/>
    <d v="2022-11-28T00:00:00"/>
    <n v="2.9753424657534246"/>
    <x v="14"/>
    <x v="0"/>
    <x v="1"/>
    <x v="1"/>
    <n v="16.18"/>
    <n v="15.88"/>
    <n v="15.58"/>
    <m/>
    <m/>
    <m/>
    <m/>
    <x v="2"/>
    <n v="0"/>
    <n v="5"/>
    <m/>
    <m/>
    <m/>
    <m/>
    <m/>
    <m/>
    <m/>
    <m/>
    <m/>
    <m/>
    <m/>
    <m/>
    <m/>
    <m/>
  </r>
  <r>
    <n v="1246"/>
    <n v="42811"/>
    <d v="2000-03-14T00:00:00"/>
    <n v="25"/>
    <x v="0"/>
    <x v="1"/>
    <d v="2023-01-10T00:00:00"/>
    <n v="3.7041095890410958"/>
    <x v="140"/>
    <x v="0"/>
    <x v="2"/>
    <x v="1"/>
    <n v="14.15"/>
    <n v="13.85"/>
    <m/>
    <m/>
    <m/>
    <m/>
    <m/>
    <x v="1"/>
    <n v="1"/>
    <n v="5"/>
    <m/>
    <m/>
    <m/>
    <m/>
    <m/>
    <m/>
    <m/>
    <m/>
    <m/>
    <m/>
    <m/>
    <m/>
    <m/>
    <m/>
  </r>
  <r>
    <n v="1247"/>
    <n v="42831"/>
    <d v="1999-11-17T00:00:00"/>
    <n v="26"/>
    <x v="0"/>
    <x v="1"/>
    <d v="2022-04-19T00:00:00"/>
    <n v="2.8630136986301369"/>
    <x v="119"/>
    <x v="1"/>
    <x v="7"/>
    <x v="1"/>
    <n v="17.510000000000002"/>
    <n v="17.149999999999999"/>
    <n v="16.739999999999998"/>
    <m/>
    <m/>
    <m/>
    <m/>
    <x v="3"/>
    <n v="1"/>
    <n v="4"/>
    <m/>
    <m/>
    <m/>
    <m/>
    <m/>
    <m/>
    <m/>
    <m/>
    <m/>
    <m/>
    <m/>
    <m/>
    <m/>
    <m/>
  </r>
  <r>
    <n v="1248"/>
    <n v="42835"/>
    <d v="1994-12-26T00:00:00"/>
    <n v="31"/>
    <x v="0"/>
    <x v="1"/>
    <d v="2023-02-20T00:00:00"/>
    <n v="2.9698630136986299"/>
    <x v="23"/>
    <x v="0"/>
    <x v="7"/>
    <x v="1"/>
    <n v="17.34"/>
    <n v="17.04"/>
    <m/>
    <m/>
    <m/>
    <m/>
    <m/>
    <x v="4"/>
    <n v="1"/>
    <n v="5"/>
    <m/>
    <m/>
    <m/>
    <m/>
    <m/>
    <m/>
    <m/>
    <m/>
    <m/>
    <m/>
    <m/>
    <m/>
    <m/>
    <m/>
  </r>
  <r>
    <n v="1249"/>
    <n v="42837"/>
    <d v="2000-09-22T00:00:00"/>
    <n v="25"/>
    <x v="0"/>
    <x v="1"/>
    <d v="2023-01-12T00:00:00"/>
    <n v="2.9945205479452053"/>
    <x v="136"/>
    <x v="0"/>
    <x v="10"/>
    <x v="1"/>
    <n v="10.47"/>
    <n v="10.24"/>
    <m/>
    <m/>
    <m/>
    <m/>
    <m/>
    <x v="3"/>
    <n v="1"/>
    <n v="5"/>
    <m/>
    <m/>
    <m/>
    <m/>
    <m/>
    <m/>
    <m/>
    <m/>
    <m/>
    <m/>
    <m/>
    <m/>
    <m/>
    <m/>
  </r>
  <r>
    <n v="1250"/>
    <n v="42883"/>
    <d v="2004-12-30T00:00:00"/>
    <n v="21"/>
    <x v="0"/>
    <x v="1"/>
    <d v="2023-01-03T00:00:00"/>
    <n v="3.0054794520547947"/>
    <x v="132"/>
    <x v="1"/>
    <x v="2"/>
    <x v="1"/>
    <n v="13.7"/>
    <n v="13.55"/>
    <m/>
    <m/>
    <m/>
    <m/>
    <m/>
    <x v="2"/>
    <n v="1"/>
    <n v="4"/>
    <m/>
    <m/>
    <m/>
    <m/>
    <m/>
    <m/>
    <m/>
    <m/>
    <m/>
    <m/>
    <m/>
    <m/>
    <m/>
    <m/>
  </r>
  <r>
    <n v="1251"/>
    <n v="42891"/>
    <d v="2004-10-07T00:00:00"/>
    <n v="21"/>
    <x v="1"/>
    <x v="1"/>
    <d v="2022-12-30T00:00:00"/>
    <n v="3.408219178082192"/>
    <x v="94"/>
    <x v="1"/>
    <x v="3"/>
    <x v="1"/>
    <n v="8.4600000000000009"/>
    <n v="8.26"/>
    <n v="8.06"/>
    <m/>
    <m/>
    <m/>
    <m/>
    <x v="2"/>
    <n v="1"/>
    <n v="6"/>
    <m/>
    <m/>
    <m/>
    <m/>
    <m/>
    <m/>
    <m/>
    <m/>
    <m/>
    <m/>
    <m/>
    <m/>
    <m/>
    <m/>
  </r>
  <r>
    <n v="1252"/>
    <n v="42896"/>
    <d v="1986-08-27T00:00:00"/>
    <n v="39"/>
    <x v="0"/>
    <x v="0"/>
    <d v="2022-08-05T00:00:00"/>
    <n v="3.4465753424657533"/>
    <x v="49"/>
    <x v="0"/>
    <x v="7"/>
    <x v="1"/>
    <n v="17.34"/>
    <n v="17.04"/>
    <n v="16.739999999999998"/>
    <m/>
    <m/>
    <m/>
    <m/>
    <x v="2"/>
    <n v="4"/>
    <n v="4"/>
    <m/>
    <m/>
    <m/>
    <m/>
    <m/>
    <m/>
    <m/>
    <m/>
    <m/>
    <m/>
    <m/>
    <m/>
    <m/>
    <m/>
  </r>
  <r>
    <n v="1253"/>
    <n v="42912"/>
    <d v="1991-07-23T00:00:00"/>
    <n v="34"/>
    <x v="1"/>
    <x v="1"/>
    <d v="2022-07-22T00:00:00"/>
    <n v="3.1123287671232878"/>
    <x v="18"/>
    <x v="0"/>
    <x v="8"/>
    <x v="1"/>
    <n v="8.31"/>
    <n v="8.31"/>
    <n v="8.06"/>
    <m/>
    <m/>
    <m/>
    <m/>
    <x v="4"/>
    <n v="1"/>
    <n v="7"/>
    <m/>
    <m/>
    <m/>
    <m/>
    <m/>
    <m/>
    <m/>
    <m/>
    <m/>
    <m/>
    <m/>
    <m/>
    <m/>
    <m/>
  </r>
  <r>
    <n v="1254"/>
    <n v="42935"/>
    <d v="2002-05-06T00:00:00"/>
    <n v="23"/>
    <x v="0"/>
    <x v="1"/>
    <d v="2022-11-21T00:00:00"/>
    <n v="3.6493150684931508"/>
    <x v="18"/>
    <x v="0"/>
    <x v="2"/>
    <x v="1"/>
    <n v="13.88"/>
    <n v="13.55"/>
    <n v="13.55"/>
    <m/>
    <m/>
    <m/>
    <m/>
    <x v="2"/>
    <n v="1"/>
    <n v="3"/>
    <m/>
    <m/>
    <m/>
    <m/>
    <m/>
    <m/>
    <m/>
    <m/>
    <m/>
    <m/>
    <m/>
    <m/>
    <m/>
    <m/>
  </r>
  <r>
    <n v="1255"/>
    <n v="42948"/>
    <d v="1997-12-29T00:00:00"/>
    <n v="28"/>
    <x v="1"/>
    <x v="1"/>
    <d v="2022-05-09T00:00:00"/>
    <n v="3.7205479452054795"/>
    <x v="87"/>
    <x v="0"/>
    <x v="7"/>
    <x v="1"/>
    <n v="16.739999999999998"/>
    <n v="16.739999999999998"/>
    <n v="16.739999999999998"/>
    <m/>
    <m/>
    <m/>
    <m/>
    <x v="3"/>
    <n v="2"/>
    <n v="6"/>
    <m/>
    <m/>
    <m/>
    <m/>
    <m/>
    <m/>
    <m/>
    <m/>
    <m/>
    <m/>
    <m/>
    <m/>
    <m/>
    <m/>
  </r>
  <r>
    <n v="1256"/>
    <n v="42975"/>
    <d v="1992-09-21T00:00:00"/>
    <n v="33"/>
    <x v="1"/>
    <x v="1"/>
    <d v="2022-04-13T00:00:00"/>
    <n v="3.1945205479452055"/>
    <x v="43"/>
    <x v="1"/>
    <x v="7"/>
    <x v="1"/>
    <n v="17.37"/>
    <n v="16.989999999999998"/>
    <n v="16.739999999999998"/>
    <m/>
    <m/>
    <m/>
    <m/>
    <x v="2"/>
    <n v="2"/>
    <n v="5"/>
    <m/>
    <m/>
    <m/>
    <m/>
    <m/>
    <m/>
    <m/>
    <m/>
    <m/>
    <m/>
    <m/>
    <m/>
    <m/>
    <m/>
  </r>
  <r>
    <n v="1257"/>
    <n v="42984"/>
    <d v="1975-09-19T00:00:00"/>
    <n v="50"/>
    <x v="0"/>
    <x v="1"/>
    <d v="2022-10-22T00:00:00"/>
    <n v="3.0054794520547947"/>
    <x v="110"/>
    <x v="1"/>
    <x v="6"/>
    <x v="1"/>
    <n v="23.23"/>
    <n v="22.93"/>
    <n v="22.63"/>
    <m/>
    <m/>
    <m/>
    <m/>
    <x v="4"/>
    <n v="3"/>
    <n v="5"/>
    <m/>
    <m/>
    <m/>
    <m/>
    <m/>
    <m/>
    <m/>
    <m/>
    <m/>
    <m/>
    <m/>
    <m/>
    <m/>
    <m/>
  </r>
  <r>
    <n v="1258"/>
    <n v="42991"/>
    <d v="1998-06-15T00:00:00"/>
    <n v="27"/>
    <x v="0"/>
    <x v="1"/>
    <d v="2022-12-30T00:00:00"/>
    <n v="3.4164383561643836"/>
    <x v="4"/>
    <x v="0"/>
    <x v="2"/>
    <x v="1"/>
    <n v="14.15"/>
    <n v="13.85"/>
    <n v="13.55"/>
    <m/>
    <m/>
    <m/>
    <m/>
    <x v="4"/>
    <n v="0"/>
    <n v="3"/>
    <m/>
    <m/>
    <m/>
    <m/>
    <m/>
    <m/>
    <m/>
    <m/>
    <m/>
    <m/>
    <m/>
    <m/>
    <m/>
    <m/>
  </r>
  <r>
    <n v="1259"/>
    <n v="43000"/>
    <d v="1990-09-18T00:00:00"/>
    <n v="35"/>
    <x v="0"/>
    <x v="0"/>
    <d v="2022-08-02T00:00:00"/>
    <n v="2.9753424657534246"/>
    <x v="10"/>
    <x v="0"/>
    <x v="2"/>
    <x v="1"/>
    <n v="14.34"/>
    <n v="13.92"/>
    <n v="13.55"/>
    <m/>
    <m/>
    <m/>
    <m/>
    <x v="3"/>
    <n v="0"/>
    <n v="4"/>
    <m/>
    <m/>
    <m/>
    <m/>
    <m/>
    <m/>
    <m/>
    <m/>
    <m/>
    <m/>
    <m/>
    <m/>
    <m/>
    <m/>
  </r>
  <r>
    <n v="1260"/>
    <n v="43030"/>
    <d v="2000-08-01T00:00:00"/>
    <n v="26"/>
    <x v="0"/>
    <x v="1"/>
    <d v="2023-01-10T00:00:00"/>
    <n v="3.441095890410959"/>
    <x v="139"/>
    <x v="0"/>
    <x v="6"/>
    <x v="1"/>
    <n v="23.23"/>
    <n v="22.93"/>
    <m/>
    <m/>
    <m/>
    <m/>
    <m/>
    <x v="2"/>
    <n v="5"/>
    <n v="6"/>
    <m/>
    <m/>
    <m/>
    <m/>
    <m/>
    <m/>
    <m/>
    <m/>
    <m/>
    <m/>
    <m/>
    <m/>
    <m/>
    <m/>
  </r>
  <r>
    <n v="1261"/>
    <n v="43067"/>
    <d v="1995-11-27T00:00:00"/>
    <n v="30"/>
    <x v="1"/>
    <x v="1"/>
    <d v="2022-07-24T00:00:00"/>
    <n v="2.8301369863013699"/>
    <x v="59"/>
    <x v="0"/>
    <x v="1"/>
    <x v="1"/>
    <n v="16.29"/>
    <n v="15.97"/>
    <n v="15.58"/>
    <m/>
    <m/>
    <m/>
    <m/>
    <x v="4"/>
    <n v="1"/>
    <n v="5"/>
    <m/>
    <m/>
    <m/>
    <m/>
    <m/>
    <m/>
    <m/>
    <m/>
    <m/>
    <m/>
    <m/>
    <m/>
    <m/>
    <m/>
  </r>
  <r>
    <n v="1262"/>
    <n v="43080"/>
    <d v="2002-11-02T00:00:00"/>
    <n v="23"/>
    <x v="1"/>
    <x v="1"/>
    <d v="2023-03-04T00:00:00"/>
    <n v="3.3041095890410959"/>
    <x v="104"/>
    <x v="1"/>
    <x v="8"/>
    <x v="1"/>
    <n v="8.4600000000000009"/>
    <n v="8.26"/>
    <m/>
    <m/>
    <m/>
    <m/>
    <m/>
    <x v="2"/>
    <n v="4"/>
    <n v="6"/>
    <m/>
    <m/>
    <m/>
    <m/>
    <m/>
    <m/>
    <m/>
    <m/>
    <m/>
    <m/>
    <m/>
    <m/>
    <m/>
    <m/>
  </r>
  <r>
    <n v="1263"/>
    <n v="43093"/>
    <d v="1999-08-15T00:00:00"/>
    <n v="26"/>
    <x v="1"/>
    <x v="0"/>
    <d v="2022-09-12T00:00:00"/>
    <n v="3.8328767123287673"/>
    <x v="95"/>
    <x v="1"/>
    <x v="6"/>
    <x v="1"/>
    <n v="22.93"/>
    <n v="22.78"/>
    <n v="22.63"/>
    <m/>
    <m/>
    <m/>
    <m/>
    <x v="4"/>
    <n v="7"/>
    <n v="7"/>
    <m/>
    <m/>
    <m/>
    <m/>
    <m/>
    <m/>
    <m/>
    <m/>
    <m/>
    <m/>
    <m/>
    <m/>
    <m/>
    <m/>
  </r>
  <r>
    <n v="1264"/>
    <n v="43129"/>
    <d v="2000-02-10T00:00:00"/>
    <n v="25"/>
    <x v="1"/>
    <x v="1"/>
    <d v="2022-03-03T00:00:00"/>
    <n v="3.6712328767123288"/>
    <x v="132"/>
    <x v="1"/>
    <x v="6"/>
    <x v="1"/>
    <n v="22.93"/>
    <n v="22.78"/>
    <n v="22.63"/>
    <m/>
    <m/>
    <m/>
    <m/>
    <x v="2"/>
    <n v="7"/>
    <n v="7"/>
    <m/>
    <m/>
    <m/>
    <m/>
    <m/>
    <m/>
    <m/>
    <m/>
    <m/>
    <m/>
    <m/>
    <m/>
    <m/>
    <m/>
  </r>
  <r>
    <n v="1265"/>
    <n v="43139"/>
    <d v="1998-06-23T00:00:00"/>
    <n v="27"/>
    <x v="1"/>
    <x v="1"/>
    <d v="2022-05-01T00:00:00"/>
    <n v="3.3780821917808219"/>
    <x v="128"/>
    <x v="1"/>
    <x v="10"/>
    <x v="1"/>
    <n v="10.24"/>
    <n v="10.24"/>
    <n v="10.130000000000001"/>
    <m/>
    <m/>
    <m/>
    <m/>
    <x v="3"/>
    <n v="0"/>
    <n v="6"/>
    <m/>
    <m/>
    <m/>
    <m/>
    <m/>
    <m/>
    <m/>
    <m/>
    <m/>
    <m/>
    <m/>
    <m/>
    <m/>
    <m/>
  </r>
  <r>
    <n v="1266"/>
    <n v="43145"/>
    <d v="1996-07-23T00:00:00"/>
    <n v="29"/>
    <x v="0"/>
    <x v="1"/>
    <d v="2022-08-16T00:00:00"/>
    <n v="3.095890410958904"/>
    <x v="15"/>
    <x v="0"/>
    <x v="7"/>
    <x v="1"/>
    <n v="17.34"/>
    <n v="17.04"/>
    <n v="16.739999999999998"/>
    <m/>
    <m/>
    <m/>
    <m/>
    <x v="3"/>
    <n v="2"/>
    <n v="4"/>
    <m/>
    <m/>
    <m/>
    <m/>
    <m/>
    <m/>
    <m/>
    <m/>
    <m/>
    <m/>
    <m/>
    <m/>
    <m/>
    <m/>
  </r>
  <r>
    <n v="1267"/>
    <n v="43148"/>
    <d v="2002-11-06T00:00:00"/>
    <n v="23"/>
    <x v="0"/>
    <x v="0"/>
    <d v="2022-11-27T00:00:00"/>
    <n v="3.3205479452054796"/>
    <x v="26"/>
    <x v="0"/>
    <x v="10"/>
    <x v="1"/>
    <n v="10.55"/>
    <n v="10.33"/>
    <n v="10.130000000000001"/>
    <m/>
    <m/>
    <m/>
    <m/>
    <x v="2"/>
    <n v="1"/>
    <n v="3"/>
    <m/>
    <m/>
    <m/>
    <m/>
    <m/>
    <m/>
    <m/>
    <m/>
    <m/>
    <m/>
    <m/>
    <m/>
    <m/>
    <m/>
  </r>
  <r>
    <n v="1268"/>
    <n v="43149"/>
    <d v="2002-06-01T00:00:00"/>
    <n v="24"/>
    <x v="0"/>
    <x v="1"/>
    <d v="2022-09-06T00:00:00"/>
    <n v="2.8849315068493149"/>
    <x v="26"/>
    <x v="0"/>
    <x v="10"/>
    <x v="1"/>
    <n v="10.62"/>
    <n v="10.37"/>
    <n v="10.130000000000001"/>
    <m/>
    <m/>
    <m/>
    <m/>
    <x v="3"/>
    <n v="1"/>
    <n v="4"/>
    <m/>
    <m/>
    <m/>
    <m/>
    <m/>
    <m/>
    <m/>
    <m/>
    <m/>
    <m/>
    <m/>
    <m/>
    <m/>
    <m/>
  </r>
  <r>
    <n v="1269"/>
    <n v="43150"/>
    <d v="1998-07-25T00:00:00"/>
    <n v="27"/>
    <x v="1"/>
    <x v="0"/>
    <d v="2023-02-12T00:00:00"/>
    <n v="3.6712328767123288"/>
    <x v="26"/>
    <x v="0"/>
    <x v="7"/>
    <x v="1"/>
    <n v="17.54"/>
    <n v="17.100000000000001"/>
    <m/>
    <m/>
    <m/>
    <m/>
    <m/>
    <x v="2"/>
    <n v="3"/>
    <n v="5"/>
    <m/>
    <m/>
    <m/>
    <m/>
    <m/>
    <m/>
    <m/>
    <m/>
    <m/>
    <m/>
    <m/>
    <m/>
    <m/>
    <m/>
  </r>
  <r>
    <n v="1270"/>
    <n v="43151"/>
    <d v="1994-07-18T00:00:00"/>
    <n v="31"/>
    <x v="1"/>
    <x v="1"/>
    <d v="2022-05-01T00:00:00"/>
    <n v="3.2931506849315069"/>
    <x v="33"/>
    <x v="0"/>
    <x v="2"/>
    <x v="1"/>
    <n v="14.15"/>
    <n v="13.85"/>
    <n v="13.55"/>
    <m/>
    <m/>
    <m/>
    <m/>
    <x v="3"/>
    <n v="0"/>
    <n v="5"/>
    <m/>
    <m/>
    <m/>
    <m/>
    <m/>
    <m/>
    <m/>
    <m/>
    <m/>
    <m/>
    <m/>
    <m/>
    <m/>
    <m/>
  </r>
  <r>
    <n v="1271"/>
    <n v="43159"/>
    <d v="1999-11-28T00:00:00"/>
    <n v="26"/>
    <x v="0"/>
    <x v="1"/>
    <d v="2022-09-16T00:00:00"/>
    <n v="3.3452054794520549"/>
    <x v="9"/>
    <x v="1"/>
    <x v="1"/>
    <x v="1"/>
    <n v="16.18"/>
    <n v="15.88"/>
    <n v="15.58"/>
    <m/>
    <m/>
    <m/>
    <m/>
    <x v="3"/>
    <n v="0"/>
    <n v="4"/>
    <m/>
    <m/>
    <m/>
    <m/>
    <m/>
    <m/>
    <m/>
    <m/>
    <m/>
    <m/>
    <m/>
    <m/>
    <m/>
    <m/>
  </r>
  <r>
    <n v="1272"/>
    <n v="43162"/>
    <d v="1990-12-08T00:00:00"/>
    <n v="35"/>
    <x v="1"/>
    <x v="0"/>
    <d v="2022-08-28T00:00:00"/>
    <n v="3.3205479452054796"/>
    <x v="48"/>
    <x v="1"/>
    <x v="7"/>
    <x v="1"/>
    <n v="17.34"/>
    <n v="17.04"/>
    <n v="16.739999999999998"/>
    <m/>
    <m/>
    <m/>
    <m/>
    <x v="3"/>
    <n v="1"/>
    <n v="6"/>
    <m/>
    <m/>
    <m/>
    <m/>
    <m/>
    <m/>
    <m/>
    <m/>
    <m/>
    <m/>
    <m/>
    <m/>
    <m/>
    <m/>
  </r>
  <r>
    <n v="1273"/>
    <n v="43175"/>
    <d v="2003-06-25T00:00:00"/>
    <n v="22"/>
    <x v="1"/>
    <x v="1"/>
    <d v="2022-09-06T00:00:00"/>
    <n v="3.4986301369863013"/>
    <x v="47"/>
    <x v="0"/>
    <x v="9"/>
    <x v="1"/>
    <n v="14"/>
    <n v="13.7"/>
    <n v="13.4"/>
    <m/>
    <m/>
    <m/>
    <m/>
    <x v="2"/>
    <n v="1"/>
    <n v="4"/>
    <m/>
    <m/>
    <m/>
    <m/>
    <m/>
    <m/>
    <m/>
    <m/>
    <m/>
    <m/>
    <m/>
    <m/>
    <m/>
    <m/>
  </r>
  <r>
    <n v="1274"/>
    <n v="43176"/>
    <d v="2000-12-10T00:00:00"/>
    <n v="25"/>
    <x v="0"/>
    <x v="1"/>
    <d v="2022-07-03T00:00:00"/>
    <n v="3.1479452054794521"/>
    <x v="47"/>
    <x v="0"/>
    <x v="7"/>
    <x v="1"/>
    <n v="17.34"/>
    <n v="17.04"/>
    <n v="16.739999999999998"/>
    <m/>
    <m/>
    <m/>
    <m/>
    <x v="2"/>
    <n v="1"/>
    <n v="4"/>
    <m/>
    <m/>
    <m/>
    <m/>
    <m/>
    <m/>
    <m/>
    <m/>
    <m/>
    <m/>
    <m/>
    <m/>
    <m/>
    <m/>
  </r>
  <r>
    <n v="1275"/>
    <n v="43186"/>
    <d v="1998-06-24T00:00:00"/>
    <n v="27"/>
    <x v="1"/>
    <x v="0"/>
    <d v="2022-11-08T00:00:00"/>
    <n v="3.7561643835616438"/>
    <x v="37"/>
    <x v="0"/>
    <x v="11"/>
    <x v="1"/>
    <n v="16.579999999999998"/>
    <n v="16.38"/>
    <n v="16.18"/>
    <m/>
    <m/>
    <m/>
    <m/>
    <x v="4"/>
    <n v="1"/>
    <n v="5"/>
    <m/>
    <m/>
    <m/>
    <m/>
    <m/>
    <m/>
    <m/>
    <m/>
    <m/>
    <m/>
    <m/>
    <m/>
    <m/>
    <m/>
  </r>
  <r>
    <n v="1276"/>
    <n v="43197"/>
    <d v="2004-02-20T00:00:00"/>
    <n v="21"/>
    <x v="0"/>
    <x v="1"/>
    <d v="2022-03-31T00:00:00"/>
    <n v="3.5534246575342467"/>
    <x v="15"/>
    <x v="0"/>
    <x v="2"/>
    <x v="1"/>
    <n v="14.15"/>
    <n v="13.85"/>
    <n v="13.55"/>
    <m/>
    <m/>
    <m/>
    <m/>
    <x v="1"/>
    <n v="0"/>
    <n v="4"/>
    <m/>
    <m/>
    <m/>
    <m/>
    <m/>
    <m/>
    <m/>
    <m/>
    <m/>
    <m/>
    <m/>
    <m/>
    <m/>
    <m/>
  </r>
  <r>
    <n v="1277"/>
    <n v="43199"/>
    <d v="2002-06-05T00:00:00"/>
    <n v="23"/>
    <x v="1"/>
    <x v="0"/>
    <d v="2022-06-13T00:00:00"/>
    <n v="3.495890410958904"/>
    <x v="49"/>
    <x v="0"/>
    <x v="9"/>
    <x v="1"/>
    <n v="14"/>
    <n v="13.7"/>
    <n v="13.4"/>
    <m/>
    <m/>
    <m/>
    <m/>
    <x v="1"/>
    <n v="1"/>
    <n v="5"/>
    <m/>
    <m/>
    <m/>
    <m/>
    <m/>
    <m/>
    <m/>
    <m/>
    <m/>
    <m/>
    <m/>
    <m/>
    <m/>
    <m/>
  </r>
  <r>
    <n v="1278"/>
    <n v="43222"/>
    <d v="1995-03-29T00:00:00"/>
    <n v="30"/>
    <x v="0"/>
    <x v="1"/>
    <d v="2022-07-04T00:00:00"/>
    <n v="3.1780821917808217"/>
    <x v="22"/>
    <x v="0"/>
    <x v="6"/>
    <x v="1"/>
    <n v="23.23"/>
    <n v="22.93"/>
    <n v="22.63"/>
    <m/>
    <m/>
    <m/>
    <m/>
    <x v="2"/>
    <n v="7"/>
    <n v="6"/>
    <m/>
    <m/>
    <m/>
    <m/>
    <m/>
    <m/>
    <m/>
    <m/>
    <m/>
    <m/>
    <m/>
    <m/>
    <m/>
    <m/>
  </r>
  <r>
    <n v="1279"/>
    <n v="43280"/>
    <d v="1998-01-23T00:00:00"/>
    <n v="27"/>
    <x v="0"/>
    <x v="1"/>
    <d v="2022-10-28T00:00:00"/>
    <n v="3.7068493150684931"/>
    <x v="66"/>
    <x v="1"/>
    <x v="2"/>
    <x v="1"/>
    <n v="14.15"/>
    <n v="13.85"/>
    <n v="13.55"/>
    <m/>
    <m/>
    <m/>
    <m/>
    <x v="4"/>
    <n v="1"/>
    <n v="4"/>
    <m/>
    <m/>
    <m/>
    <m/>
    <m/>
    <m/>
    <m/>
    <m/>
    <m/>
    <m/>
    <m/>
    <m/>
    <m/>
    <m/>
  </r>
  <r>
    <n v="1280"/>
    <n v="43289"/>
    <d v="1998-12-28T00:00:00"/>
    <n v="27"/>
    <x v="0"/>
    <x v="1"/>
    <d v="2022-04-18T00:00:00"/>
    <n v="3.3479452054794518"/>
    <x v="18"/>
    <x v="0"/>
    <x v="7"/>
    <x v="1"/>
    <n v="17.13"/>
    <n v="17.13"/>
    <n v="16.739999999999998"/>
    <m/>
    <m/>
    <m/>
    <m/>
    <x v="1"/>
    <n v="1"/>
    <n v="5"/>
    <m/>
    <m/>
    <m/>
    <m/>
    <m/>
    <m/>
    <m/>
    <m/>
    <m/>
    <m/>
    <m/>
    <m/>
    <m/>
    <m/>
  </r>
  <r>
    <n v="1281"/>
    <n v="43302"/>
    <d v="1997-08-19T00:00:00"/>
    <n v="28"/>
    <x v="0"/>
    <x v="1"/>
    <d v="2022-08-27T00:00:00"/>
    <n v="3.441095890410959"/>
    <x v="90"/>
    <x v="1"/>
    <x v="2"/>
    <x v="1"/>
    <n v="14.15"/>
    <n v="13.85"/>
    <n v="13.55"/>
    <m/>
    <m/>
    <m/>
    <m/>
    <x v="3"/>
    <n v="1"/>
    <n v="4"/>
    <m/>
    <m/>
    <m/>
    <m/>
    <m/>
    <m/>
    <m/>
    <m/>
    <m/>
    <m/>
    <m/>
    <m/>
    <m/>
    <m/>
  </r>
  <r>
    <n v="1282"/>
    <n v="43335"/>
    <d v="2000-03-30T00:00:00"/>
    <n v="25"/>
    <x v="1"/>
    <x v="1"/>
    <d v="2022-07-24T00:00:00"/>
    <n v="3.3095890410958906"/>
    <x v="18"/>
    <x v="0"/>
    <x v="8"/>
    <x v="1"/>
    <n v="8.64"/>
    <n v="8.34"/>
    <n v="8.06"/>
    <m/>
    <m/>
    <m/>
    <m/>
    <x v="1"/>
    <n v="0"/>
    <n v="5"/>
    <m/>
    <m/>
    <m/>
    <m/>
    <m/>
    <m/>
    <m/>
    <m/>
    <m/>
    <m/>
    <m/>
    <m/>
    <m/>
    <m/>
  </r>
  <r>
    <n v="1283"/>
    <n v="43338"/>
    <d v="1997-12-30T00:00:00"/>
    <n v="28"/>
    <x v="0"/>
    <x v="1"/>
    <d v="2022-09-10T00:00:00"/>
    <n v="3.0794520547945203"/>
    <x v="19"/>
    <x v="0"/>
    <x v="9"/>
    <x v="1"/>
    <n v="14"/>
    <n v="13.7"/>
    <n v="13.4"/>
    <m/>
    <m/>
    <m/>
    <m/>
    <x v="2"/>
    <n v="1"/>
    <n v="5"/>
    <m/>
    <m/>
    <m/>
    <m/>
    <m/>
    <m/>
    <m/>
    <m/>
    <m/>
    <m/>
    <m/>
    <m/>
    <m/>
    <m/>
  </r>
  <r>
    <n v="1284"/>
    <n v="43353"/>
    <d v="2002-09-29T00:00:00"/>
    <n v="23"/>
    <x v="1"/>
    <x v="1"/>
    <d v="2022-12-03T00:00:00"/>
    <n v="3.4328767123287673"/>
    <x v="47"/>
    <x v="0"/>
    <x v="2"/>
    <x v="1"/>
    <n v="14.15"/>
    <n v="13.85"/>
    <n v="13.55"/>
    <m/>
    <m/>
    <m/>
    <m/>
    <x v="4"/>
    <n v="1"/>
    <n v="6"/>
    <m/>
    <m/>
    <m/>
    <m/>
    <m/>
    <m/>
    <m/>
    <m/>
    <m/>
    <m/>
    <m/>
    <m/>
    <m/>
    <m/>
  </r>
  <r>
    <n v="1285"/>
    <n v="43374"/>
    <d v="2003-08-26T00:00:00"/>
    <n v="22"/>
    <x v="1"/>
    <x v="0"/>
    <d v="2022-07-27T00:00:00"/>
    <n v="2.9835616438356163"/>
    <x v="73"/>
    <x v="0"/>
    <x v="9"/>
    <x v="1"/>
    <n v="14"/>
    <n v="13.7"/>
    <n v="13.4"/>
    <m/>
    <m/>
    <m/>
    <m/>
    <x v="4"/>
    <n v="1"/>
    <n v="5"/>
    <m/>
    <m/>
    <m/>
    <m/>
    <m/>
    <m/>
    <m/>
    <m/>
    <m/>
    <m/>
    <m/>
    <m/>
    <m/>
    <m/>
  </r>
  <r>
    <n v="1286"/>
    <n v="43383"/>
    <d v="2004-04-10T00:00:00"/>
    <n v="21"/>
    <x v="0"/>
    <x v="1"/>
    <d v="2023-01-07T00:00:00"/>
    <n v="3.2246575342465755"/>
    <x v="40"/>
    <x v="1"/>
    <x v="8"/>
    <x v="1"/>
    <n v="8.6"/>
    <n v="8.31"/>
    <m/>
    <m/>
    <m/>
    <m/>
    <m/>
    <x v="2"/>
    <n v="4"/>
    <n v="5"/>
    <m/>
    <m/>
    <m/>
    <m/>
    <m/>
    <m/>
    <m/>
    <m/>
    <m/>
    <m/>
    <m/>
    <m/>
    <m/>
    <m/>
  </r>
  <r>
    <n v="1287"/>
    <n v="43454"/>
    <d v="2002-01-30T00:00:00"/>
    <n v="23"/>
    <x v="0"/>
    <x v="1"/>
    <d v="2022-10-11T00:00:00"/>
    <n v="3.452054794520548"/>
    <x v="110"/>
    <x v="1"/>
    <x v="10"/>
    <x v="1"/>
    <n v="10.53"/>
    <n v="10.33"/>
    <n v="10.130000000000001"/>
    <m/>
    <m/>
    <m/>
    <m/>
    <x v="2"/>
    <n v="1"/>
    <n v="3"/>
    <m/>
    <m/>
    <m/>
    <m/>
    <m/>
    <m/>
    <m/>
    <m/>
    <m/>
    <m/>
    <m/>
    <m/>
    <m/>
    <m/>
  </r>
  <r>
    <n v="1288"/>
    <n v="43459"/>
    <d v="2000-08-30T00:00:00"/>
    <n v="25"/>
    <x v="1"/>
    <x v="1"/>
    <d v="2022-07-20T00:00:00"/>
    <n v="3.6739726027397261"/>
    <x v="101"/>
    <x v="1"/>
    <x v="8"/>
    <x v="1"/>
    <n v="8.5399999999999991"/>
    <n v="8.33"/>
    <n v="8.06"/>
    <m/>
    <m/>
    <m/>
    <m/>
    <x v="2"/>
    <n v="0"/>
    <n v="6"/>
    <m/>
    <m/>
    <m/>
    <m/>
    <m/>
    <m/>
    <m/>
    <m/>
    <m/>
    <m/>
    <m/>
    <m/>
    <m/>
    <m/>
  </r>
  <r>
    <n v="1289"/>
    <n v="43469"/>
    <d v="1998-12-20T00:00:00"/>
    <n v="27"/>
    <x v="1"/>
    <x v="1"/>
    <d v="2022-04-30T00:00:00"/>
    <n v="2.9863013698630136"/>
    <x v="13"/>
    <x v="0"/>
    <x v="1"/>
    <x v="1"/>
    <n v="16.18"/>
    <n v="15.88"/>
    <n v="15.58"/>
    <m/>
    <m/>
    <m/>
    <m/>
    <x v="2"/>
    <n v="0"/>
    <n v="6"/>
    <m/>
    <m/>
    <m/>
    <m/>
    <m/>
    <m/>
    <m/>
    <m/>
    <m/>
    <m/>
    <m/>
    <m/>
    <m/>
    <m/>
  </r>
  <r>
    <n v="1290"/>
    <n v="43471"/>
    <d v="2001-10-09T00:00:00"/>
    <n v="24"/>
    <x v="0"/>
    <x v="1"/>
    <d v="2023-01-06T00:00:00"/>
    <n v="2.9150684931506849"/>
    <x v="17"/>
    <x v="0"/>
    <x v="9"/>
    <x v="1"/>
    <n v="14"/>
    <n v="13.7"/>
    <m/>
    <m/>
    <m/>
    <m/>
    <m/>
    <x v="2"/>
    <n v="1"/>
    <n v="3"/>
    <m/>
    <m/>
    <m/>
    <m/>
    <m/>
    <m/>
    <m/>
    <m/>
    <m/>
    <m/>
    <m/>
    <m/>
    <m/>
    <m/>
  </r>
  <r>
    <n v="1291"/>
    <n v="43503"/>
    <d v="2000-04-27T00:00:00"/>
    <n v="25"/>
    <x v="0"/>
    <x v="0"/>
    <d v="2023-02-01T00:00:00"/>
    <n v="3.6465753424657534"/>
    <x v="10"/>
    <x v="0"/>
    <x v="7"/>
    <x v="1"/>
    <n v="17.48"/>
    <n v="17.11"/>
    <m/>
    <m/>
    <m/>
    <m/>
    <m/>
    <x v="3"/>
    <n v="4"/>
    <n v="4"/>
    <m/>
    <m/>
    <m/>
    <m/>
    <m/>
    <m/>
    <m/>
    <m/>
    <m/>
    <m/>
    <m/>
    <m/>
    <m/>
    <m/>
  </r>
  <r>
    <n v="1292"/>
    <n v="43505"/>
    <d v="2001-08-14T00:00:00"/>
    <n v="24"/>
    <x v="0"/>
    <x v="1"/>
    <d v="2022-05-10T00:00:00"/>
    <n v="3.3260273972602739"/>
    <x v="14"/>
    <x v="0"/>
    <x v="2"/>
    <x v="1"/>
    <n v="14.15"/>
    <n v="13.85"/>
    <n v="13.55"/>
    <m/>
    <m/>
    <m/>
    <m/>
    <x v="1"/>
    <n v="1"/>
    <n v="4"/>
    <m/>
    <m/>
    <m/>
    <m/>
    <m/>
    <m/>
    <m/>
    <m/>
    <m/>
    <m/>
    <m/>
    <m/>
    <m/>
    <m/>
  </r>
  <r>
    <n v="1293"/>
    <n v="43506"/>
    <d v="1994-06-02T00:00:00"/>
    <n v="31"/>
    <x v="0"/>
    <x v="1"/>
    <d v="2022-09-04T00:00:00"/>
    <n v="3.473972602739726"/>
    <x v="18"/>
    <x v="0"/>
    <x v="2"/>
    <x v="1"/>
    <n v="14.07"/>
    <n v="13.73"/>
    <n v="13.55"/>
    <m/>
    <m/>
    <m/>
    <m/>
    <x v="1"/>
    <n v="0"/>
    <n v="5"/>
    <m/>
    <m/>
    <m/>
    <m/>
    <m/>
    <m/>
    <m/>
    <m/>
    <m/>
    <m/>
    <m/>
    <m/>
    <m/>
    <m/>
  </r>
  <r>
    <n v="1294"/>
    <n v="43529"/>
    <d v="2003-12-03T00:00:00"/>
    <n v="22"/>
    <x v="0"/>
    <x v="1"/>
    <d v="2022-07-12T00:00:00"/>
    <n v="3.4465753424657533"/>
    <x v="54"/>
    <x v="1"/>
    <x v="10"/>
    <x v="1"/>
    <n v="10.53"/>
    <n v="10.33"/>
    <n v="10.130000000000001"/>
    <m/>
    <m/>
    <m/>
    <m/>
    <x v="1"/>
    <n v="1"/>
    <n v="4"/>
    <m/>
    <m/>
    <m/>
    <m/>
    <m/>
    <m/>
    <m/>
    <m/>
    <m/>
    <m/>
    <m/>
    <m/>
    <m/>
    <m/>
  </r>
  <r>
    <n v="1295"/>
    <n v="43551"/>
    <d v="1998-08-08T00:00:00"/>
    <n v="27"/>
    <x v="1"/>
    <x v="0"/>
    <d v="2022-07-22T00:00:00"/>
    <n v="3.0602739726027397"/>
    <x v="87"/>
    <x v="0"/>
    <x v="6"/>
    <x v="1"/>
    <n v="22.93"/>
    <n v="22.78"/>
    <n v="22.63"/>
    <m/>
    <m/>
    <m/>
    <m/>
    <x v="2"/>
    <n v="7"/>
    <n v="7"/>
    <m/>
    <m/>
    <m/>
    <m/>
    <m/>
    <m/>
    <m/>
    <m/>
    <m/>
    <m/>
    <m/>
    <m/>
    <m/>
    <m/>
  </r>
  <r>
    <n v="1296"/>
    <n v="43552"/>
    <d v="2004-11-22T00:00:00"/>
    <n v="21"/>
    <x v="1"/>
    <x v="0"/>
    <d v="2022-12-10T00:00:00"/>
    <n v="3.1835616438356165"/>
    <x v="49"/>
    <x v="0"/>
    <x v="1"/>
    <x v="1"/>
    <n v="16.18"/>
    <n v="15.88"/>
    <n v="15.58"/>
    <m/>
    <m/>
    <m/>
    <m/>
    <x v="3"/>
    <n v="0"/>
    <n v="5"/>
    <m/>
    <m/>
    <m/>
    <m/>
    <m/>
    <m/>
    <m/>
    <m/>
    <m/>
    <m/>
    <m/>
    <m/>
    <m/>
    <m/>
  </r>
  <r>
    <n v="1297"/>
    <n v="43580"/>
    <d v="1992-06-22T00:00:00"/>
    <n v="33"/>
    <x v="1"/>
    <x v="1"/>
    <d v="2022-10-26T00:00:00"/>
    <n v="3.7452054794520548"/>
    <x v="124"/>
    <x v="0"/>
    <x v="6"/>
    <x v="1"/>
    <n v="23.23"/>
    <n v="22.93"/>
    <n v="22.63"/>
    <m/>
    <m/>
    <m/>
    <m/>
    <x v="1"/>
    <n v="3"/>
    <n v="7"/>
    <m/>
    <m/>
    <m/>
    <m/>
    <m/>
    <m/>
    <m/>
    <m/>
    <m/>
    <m/>
    <m/>
    <m/>
    <m/>
    <m/>
  </r>
  <r>
    <n v="1298"/>
    <n v="43615"/>
    <d v="2002-10-21T00:00:00"/>
    <n v="23"/>
    <x v="1"/>
    <x v="0"/>
    <d v="2022-04-04T00:00:00"/>
    <n v="2.978082191780822"/>
    <x v="32"/>
    <x v="0"/>
    <x v="1"/>
    <x v="1"/>
    <n v="16.11"/>
    <n v="15.81"/>
    <n v="15.58"/>
    <m/>
    <m/>
    <m/>
    <m/>
    <x v="2"/>
    <n v="2"/>
    <n v="5"/>
    <m/>
    <m/>
    <m/>
    <m/>
    <m/>
    <m/>
    <m/>
    <m/>
    <m/>
    <m/>
    <m/>
    <m/>
    <m/>
    <m/>
  </r>
  <r>
    <n v="1299"/>
    <n v="43617"/>
    <d v="2001-05-11T00:00:00"/>
    <n v="24"/>
    <x v="1"/>
    <x v="0"/>
    <d v="2023-01-09T00:00:00"/>
    <n v="3.1945205479452055"/>
    <x v="32"/>
    <x v="0"/>
    <x v="8"/>
    <x v="1"/>
    <n v="8.61"/>
    <n v="8.34"/>
    <m/>
    <m/>
    <m/>
    <m/>
    <m/>
    <x v="4"/>
    <n v="1"/>
    <n v="5"/>
    <m/>
    <m/>
    <m/>
    <m/>
    <m/>
    <m/>
    <m/>
    <m/>
    <m/>
    <m/>
    <m/>
    <m/>
    <m/>
    <m/>
  </r>
  <r>
    <n v="1300"/>
    <n v="43634"/>
    <d v="1999-09-11T00:00:00"/>
    <n v="26"/>
    <x v="1"/>
    <x v="1"/>
    <d v="2022-10-22T00:00:00"/>
    <n v="3.6712328767123288"/>
    <x v="136"/>
    <x v="0"/>
    <x v="8"/>
    <x v="1"/>
    <n v="8.61"/>
    <n v="8.34"/>
    <n v="8.06"/>
    <m/>
    <m/>
    <m/>
    <m/>
    <x v="4"/>
    <n v="2"/>
    <n v="5"/>
    <m/>
    <m/>
    <m/>
    <m/>
    <m/>
    <m/>
    <m/>
    <m/>
    <m/>
    <m/>
    <m/>
    <m/>
    <m/>
    <m/>
  </r>
  <r>
    <n v="1301"/>
    <n v="43643"/>
    <d v="2001-11-01T00:00:00"/>
    <n v="25"/>
    <x v="1"/>
    <x v="0"/>
    <d v="2022-05-01T00:00:00"/>
    <n v="3.2575342465753425"/>
    <x v="67"/>
    <x v="0"/>
    <x v="8"/>
    <x v="1"/>
    <n v="8.4600000000000009"/>
    <n v="8.26"/>
    <n v="8.06"/>
    <m/>
    <m/>
    <m/>
    <m/>
    <x v="4"/>
    <n v="2"/>
    <n v="6"/>
    <m/>
    <m/>
    <m/>
    <m/>
    <m/>
    <m/>
    <m/>
    <m/>
    <m/>
    <m/>
    <m/>
    <m/>
    <m/>
    <m/>
  </r>
  <r>
    <n v="1302"/>
    <n v="43677"/>
    <d v="2002-02-22T00:00:00"/>
    <n v="23"/>
    <x v="0"/>
    <x v="0"/>
    <d v="2022-09-29T00:00:00"/>
    <n v="3.3452054794520549"/>
    <x v="9"/>
    <x v="1"/>
    <x v="9"/>
    <x v="1"/>
    <n v="14"/>
    <n v="13.7"/>
    <n v="13.4"/>
    <m/>
    <m/>
    <m/>
    <m/>
    <x v="3"/>
    <n v="1"/>
    <n v="3"/>
    <m/>
    <m/>
    <m/>
    <m/>
    <m/>
    <m/>
    <m/>
    <m/>
    <m/>
    <m/>
    <m/>
    <m/>
    <m/>
    <m/>
  </r>
  <r>
    <n v="1303"/>
    <n v="43687"/>
    <d v="2000-04-08T00:00:00"/>
    <n v="25"/>
    <x v="0"/>
    <x v="0"/>
    <d v="2022-08-28T00:00:00"/>
    <n v="3.0602739726027397"/>
    <x v="95"/>
    <x v="1"/>
    <x v="1"/>
    <x v="1"/>
    <n v="15.73"/>
    <n v="15.58"/>
    <n v="15.58"/>
    <m/>
    <m/>
    <m/>
    <m/>
    <x v="1"/>
    <n v="1"/>
    <n v="5"/>
    <m/>
    <m/>
    <m/>
    <m/>
    <m/>
    <m/>
    <m/>
    <m/>
    <m/>
    <m/>
    <m/>
    <m/>
    <m/>
    <m/>
  </r>
  <r>
    <n v="1304"/>
    <n v="43693"/>
    <d v="1998-12-14T00:00:00"/>
    <n v="27"/>
    <x v="1"/>
    <x v="1"/>
    <d v="2022-12-10T00:00:00"/>
    <n v="2.9150684931506849"/>
    <x v="113"/>
    <x v="1"/>
    <x v="1"/>
    <x v="1"/>
    <n v="15.73"/>
    <n v="15.58"/>
    <n v="15.58"/>
    <m/>
    <m/>
    <m/>
    <m/>
    <x v="4"/>
    <n v="1"/>
    <n v="7"/>
    <m/>
    <m/>
    <m/>
    <m/>
    <m/>
    <m/>
    <m/>
    <m/>
    <m/>
    <m/>
    <m/>
    <m/>
    <m/>
    <m/>
  </r>
  <r>
    <n v="1305"/>
    <n v="43698"/>
    <d v="2002-08-26T00:00:00"/>
    <n v="23"/>
    <x v="0"/>
    <x v="1"/>
    <d v="2023-02-01T00:00:00"/>
    <n v="3.526027397260274"/>
    <x v="66"/>
    <x v="1"/>
    <x v="10"/>
    <x v="1"/>
    <n v="10.53"/>
    <n v="10.33"/>
    <m/>
    <m/>
    <m/>
    <m/>
    <m/>
    <x v="2"/>
    <n v="1"/>
    <n v="4"/>
    <m/>
    <m/>
    <m/>
    <m/>
    <m/>
    <m/>
    <m/>
    <m/>
    <m/>
    <m/>
    <m/>
    <m/>
    <m/>
    <m/>
  </r>
  <r>
    <n v="1306"/>
    <n v="43718"/>
    <d v="2000-05-04T00:00:00"/>
    <n v="25"/>
    <x v="1"/>
    <x v="1"/>
    <d v="2022-06-23T00:00:00"/>
    <n v="3.4273972602739726"/>
    <x v="109"/>
    <x v="1"/>
    <x v="8"/>
    <x v="1"/>
    <n v="8.4600000000000009"/>
    <n v="8.26"/>
    <n v="8.06"/>
    <m/>
    <m/>
    <m/>
    <m/>
    <x v="2"/>
    <n v="3"/>
    <n v="6"/>
    <m/>
    <m/>
    <m/>
    <m/>
    <m/>
    <m/>
    <m/>
    <m/>
    <m/>
    <m/>
    <m/>
    <m/>
    <m/>
    <m/>
  </r>
  <r>
    <n v="1307"/>
    <n v="43764"/>
    <d v="1998-12-24T00:00:00"/>
    <n v="27"/>
    <x v="1"/>
    <x v="1"/>
    <d v="2022-07-29T00:00:00"/>
    <n v="3.5726027397260274"/>
    <x v="102"/>
    <x v="0"/>
    <x v="7"/>
    <x v="1"/>
    <n v="17.45"/>
    <n v="17.190000000000001"/>
    <n v="16.739999999999998"/>
    <m/>
    <m/>
    <m/>
    <m/>
    <x v="1"/>
    <n v="1"/>
    <n v="5"/>
    <m/>
    <m/>
    <m/>
    <m/>
    <m/>
    <m/>
    <m/>
    <m/>
    <m/>
    <m/>
    <m/>
    <m/>
    <m/>
    <m/>
  </r>
  <r>
    <n v="1308"/>
    <n v="43802"/>
    <d v="1995-11-03T00:00:00"/>
    <n v="30"/>
    <x v="0"/>
    <x v="1"/>
    <d v="2022-06-06T00:00:00"/>
    <n v="3.2602739726027399"/>
    <x v="98"/>
    <x v="1"/>
    <x v="3"/>
    <x v="1"/>
    <n v="8.5500000000000007"/>
    <n v="8.2799999999999994"/>
    <n v="8.06"/>
    <m/>
    <m/>
    <m/>
    <m/>
    <x v="2"/>
    <n v="4"/>
    <n v="3"/>
    <m/>
    <m/>
    <m/>
    <m/>
    <m/>
    <m/>
    <m/>
    <m/>
    <m/>
    <m/>
    <m/>
    <m/>
    <m/>
    <m/>
  </r>
  <r>
    <n v="1309"/>
    <n v="43835"/>
    <d v="2002-09-14T00:00:00"/>
    <n v="23"/>
    <x v="1"/>
    <x v="0"/>
    <d v="2022-09-28T00:00:00"/>
    <n v="3.4794520547945207"/>
    <x v="18"/>
    <x v="0"/>
    <x v="3"/>
    <x v="1"/>
    <n v="8.4600000000000009"/>
    <n v="8.23"/>
    <n v="8.06"/>
    <m/>
    <m/>
    <m/>
    <m/>
    <x v="3"/>
    <n v="3"/>
    <n v="7"/>
    <m/>
    <m/>
    <m/>
    <m/>
    <m/>
    <m/>
    <m/>
    <m/>
    <m/>
    <m/>
    <m/>
    <m/>
    <m/>
    <m/>
  </r>
  <r>
    <n v="1310"/>
    <n v="43888"/>
    <d v="1998-12-16T00:00:00"/>
    <n v="27"/>
    <x v="1"/>
    <x v="1"/>
    <d v="2022-07-10T00:00:00"/>
    <n v="3.010958904109589"/>
    <x v="106"/>
    <x v="1"/>
    <x v="11"/>
    <x v="1"/>
    <n v="16.62"/>
    <n v="16.41"/>
    <n v="16.18"/>
    <m/>
    <m/>
    <m/>
    <m/>
    <x v="2"/>
    <n v="2"/>
    <n v="5"/>
    <m/>
    <m/>
    <m/>
    <m/>
    <m/>
    <m/>
    <m/>
    <m/>
    <m/>
    <m/>
    <m/>
    <m/>
    <m/>
    <m/>
  </r>
  <r>
    <n v="1311"/>
    <n v="43896"/>
    <d v="1996-10-03T00:00:00"/>
    <n v="29"/>
    <x v="1"/>
    <x v="1"/>
    <d v="2022-12-28T00:00:00"/>
    <n v="3.6849315068493151"/>
    <x v="114"/>
    <x v="1"/>
    <x v="8"/>
    <x v="1"/>
    <n v="8.4600000000000009"/>
    <n v="8.26"/>
    <n v="8.06"/>
    <m/>
    <m/>
    <m/>
    <m/>
    <x v="2"/>
    <n v="4"/>
    <n v="5"/>
    <m/>
    <m/>
    <m/>
    <m/>
    <m/>
    <m/>
    <m/>
    <m/>
    <m/>
    <m/>
    <m/>
    <m/>
    <m/>
    <m/>
  </r>
  <r>
    <n v="1312"/>
    <n v="43897"/>
    <d v="2001-06-19T00:00:00"/>
    <n v="24"/>
    <x v="0"/>
    <x v="1"/>
    <d v="2022-04-26T00:00:00"/>
    <n v="3.6493150684931508"/>
    <x v="6"/>
    <x v="1"/>
    <x v="2"/>
    <x v="1"/>
    <n v="14.15"/>
    <n v="13.85"/>
    <n v="13.55"/>
    <m/>
    <m/>
    <m/>
    <m/>
    <x v="2"/>
    <n v="0"/>
    <n v="4"/>
    <m/>
    <m/>
    <m/>
    <m/>
    <m/>
    <m/>
    <m/>
    <m/>
    <m/>
    <m/>
    <m/>
    <m/>
    <m/>
    <m/>
  </r>
  <r>
    <n v="1313"/>
    <n v="43925"/>
    <d v="2000-11-05T00:00:00"/>
    <n v="25"/>
    <x v="1"/>
    <x v="1"/>
    <d v="2022-05-09T00:00:00"/>
    <n v="3.7890410958904108"/>
    <x v="113"/>
    <x v="1"/>
    <x v="10"/>
    <x v="1"/>
    <n v="10.33"/>
    <n v="10.23"/>
    <n v="10.130000000000001"/>
    <m/>
    <m/>
    <m/>
    <m/>
    <x v="4"/>
    <n v="0"/>
    <n v="6"/>
    <m/>
    <m/>
    <m/>
    <m/>
    <m/>
    <m/>
    <m/>
    <m/>
    <m/>
    <m/>
    <m/>
    <m/>
    <m/>
    <m/>
  </r>
  <r>
    <n v="1314"/>
    <n v="43943"/>
    <d v="1996-10-06T00:00:00"/>
    <n v="29"/>
    <x v="1"/>
    <x v="0"/>
    <d v="2022-03-19T00:00:00"/>
    <n v="2.9342465753424656"/>
    <x v="68"/>
    <x v="1"/>
    <x v="7"/>
    <x v="1"/>
    <n v="17.34"/>
    <n v="17.04"/>
    <n v="16.739999999999998"/>
    <m/>
    <m/>
    <m/>
    <m/>
    <x v="1"/>
    <n v="2"/>
    <n v="6"/>
    <m/>
    <m/>
    <m/>
    <m/>
    <m/>
    <m/>
    <m/>
    <m/>
    <m/>
    <m/>
    <m/>
    <m/>
    <m/>
    <m/>
  </r>
  <r>
    <n v="1315"/>
    <n v="43944"/>
    <d v="1999-09-03T00:00:00"/>
    <n v="26"/>
    <x v="1"/>
    <x v="0"/>
    <d v="2023-01-25T00:00:00"/>
    <n v="3.8191780821917809"/>
    <x v="69"/>
    <x v="1"/>
    <x v="11"/>
    <x v="1"/>
    <n v="16.579999999999998"/>
    <n v="16.38"/>
    <m/>
    <m/>
    <m/>
    <m/>
    <m/>
    <x v="2"/>
    <n v="2"/>
    <n v="5"/>
    <m/>
    <m/>
    <m/>
    <m/>
    <m/>
    <m/>
    <m/>
    <m/>
    <m/>
    <m/>
    <m/>
    <m/>
    <m/>
    <m/>
  </r>
  <r>
    <n v="1316"/>
    <n v="43967"/>
    <d v="2005-12-04T00:00:00"/>
    <n v="20"/>
    <x v="1"/>
    <x v="1"/>
    <d v="2022-03-08T00:00:00"/>
    <n v="3.1808219178082191"/>
    <x v="96"/>
    <x v="1"/>
    <x v="8"/>
    <x v="1"/>
    <n v="8.56"/>
    <n v="8.33"/>
    <n v="8.06"/>
    <m/>
    <m/>
    <m/>
    <m/>
    <x v="2"/>
    <n v="1"/>
    <n v="6"/>
    <m/>
    <m/>
    <m/>
    <m/>
    <m/>
    <m/>
    <m/>
    <m/>
    <m/>
    <m/>
    <m/>
    <m/>
    <m/>
    <m/>
  </r>
  <r>
    <n v="1317"/>
    <n v="43974"/>
    <d v="1999-05-07T00:00:00"/>
    <n v="26"/>
    <x v="1"/>
    <x v="1"/>
    <d v="2022-10-27T00:00:00"/>
    <n v="2.9013698630136986"/>
    <x v="112"/>
    <x v="1"/>
    <x v="8"/>
    <x v="1"/>
    <n v="8.4600000000000009"/>
    <n v="8.26"/>
    <n v="8.06"/>
    <m/>
    <m/>
    <m/>
    <m/>
    <x v="2"/>
    <n v="4"/>
    <n v="7"/>
    <m/>
    <m/>
    <m/>
    <m/>
    <m/>
    <m/>
    <m/>
    <m/>
    <m/>
    <m/>
    <m/>
    <m/>
    <m/>
    <m/>
  </r>
  <r>
    <n v="1318"/>
    <n v="43989"/>
    <d v="1996-06-28T00:00:00"/>
    <n v="29"/>
    <x v="0"/>
    <x v="1"/>
    <d v="2023-02-06T00:00:00"/>
    <n v="3.1232876712328768"/>
    <x v="127"/>
    <x v="0"/>
    <x v="7"/>
    <x v="1"/>
    <n v="17.04"/>
    <n v="16.89"/>
    <m/>
    <m/>
    <m/>
    <m/>
    <m/>
    <x v="2"/>
    <n v="1"/>
    <n v="3"/>
    <m/>
    <m/>
    <m/>
    <m/>
    <m/>
    <m/>
    <m/>
    <m/>
    <m/>
    <m/>
    <m/>
    <m/>
    <m/>
    <m/>
  </r>
  <r>
    <n v="1319"/>
    <n v="43991"/>
    <d v="2001-08-20T00:00:00"/>
    <n v="24"/>
    <x v="1"/>
    <x v="1"/>
    <d v="2022-11-17T00:00:00"/>
    <n v="3.6164383561643834"/>
    <x v="10"/>
    <x v="0"/>
    <x v="10"/>
    <x v="1"/>
    <n v="10.41"/>
    <n v="10.28"/>
    <n v="10.130000000000001"/>
    <m/>
    <m/>
    <m/>
    <m/>
    <x v="4"/>
    <n v="1"/>
    <n v="5"/>
    <m/>
    <m/>
    <m/>
    <m/>
    <m/>
    <m/>
    <m/>
    <m/>
    <m/>
    <m/>
    <m/>
    <m/>
    <m/>
    <m/>
  </r>
  <r>
    <n v="1320"/>
    <n v="44001"/>
    <d v="2000-11-04T00:00:00"/>
    <n v="25"/>
    <x v="1"/>
    <x v="0"/>
    <d v="2022-05-21T00:00:00"/>
    <n v="3.0904109589041098"/>
    <x v="14"/>
    <x v="0"/>
    <x v="1"/>
    <x v="1"/>
    <n v="16.18"/>
    <n v="15.88"/>
    <n v="15.58"/>
    <m/>
    <m/>
    <m/>
    <m/>
    <x v="2"/>
    <n v="1"/>
    <n v="5"/>
    <m/>
    <m/>
    <m/>
    <m/>
    <m/>
    <m/>
    <m/>
    <m/>
    <m/>
    <m/>
    <m/>
    <m/>
    <m/>
    <m/>
  </r>
  <r>
    <n v="1321"/>
    <n v="44033"/>
    <d v="2000-03-15T00:00:00"/>
    <n v="25"/>
    <x v="0"/>
    <x v="1"/>
    <d v="2022-11-29T00:00:00"/>
    <n v="3.106849315068493"/>
    <x v="23"/>
    <x v="0"/>
    <x v="7"/>
    <x v="1"/>
    <n v="17.34"/>
    <n v="17.04"/>
    <n v="16.739999999999998"/>
    <m/>
    <m/>
    <m/>
    <m/>
    <x v="4"/>
    <n v="0"/>
    <n v="4"/>
    <m/>
    <m/>
    <m/>
    <m/>
    <m/>
    <m/>
    <m/>
    <m/>
    <m/>
    <m/>
    <m/>
    <m/>
    <m/>
    <m/>
  </r>
  <r>
    <n v="1322"/>
    <n v="44040"/>
    <d v="2003-11-20T00:00:00"/>
    <n v="22"/>
    <x v="1"/>
    <x v="0"/>
    <d v="2022-11-23T00:00:00"/>
    <n v="3.3260273972602739"/>
    <x v="87"/>
    <x v="0"/>
    <x v="3"/>
    <x v="1"/>
    <n v="8.16"/>
    <n v="8.06"/>
    <n v="8.06"/>
    <m/>
    <m/>
    <m/>
    <m/>
    <x v="3"/>
    <n v="2"/>
    <n v="4"/>
    <m/>
    <m/>
    <m/>
    <m/>
    <m/>
    <m/>
    <m/>
    <m/>
    <m/>
    <m/>
    <m/>
    <m/>
    <m/>
    <m/>
  </r>
  <r>
    <n v="1323"/>
    <n v="44071"/>
    <d v="2000-03-07T00:00:00"/>
    <n v="25"/>
    <x v="1"/>
    <x v="0"/>
    <d v="2022-09-04T00:00:00"/>
    <n v="2.9068493150684933"/>
    <x v="33"/>
    <x v="0"/>
    <x v="9"/>
    <x v="1"/>
    <n v="14"/>
    <n v="13.7"/>
    <n v="13.4"/>
    <m/>
    <m/>
    <m/>
    <m/>
    <x v="4"/>
    <n v="1"/>
    <n v="5"/>
    <m/>
    <m/>
    <m/>
    <m/>
    <m/>
    <m/>
    <m/>
    <m/>
    <m/>
    <m/>
    <m/>
    <m/>
    <m/>
    <m/>
  </r>
  <r>
    <n v="1324"/>
    <n v="44086"/>
    <d v="1997-02-20T00:00:00"/>
    <n v="28"/>
    <x v="1"/>
    <x v="1"/>
    <d v="2023-02-04T00:00:00"/>
    <n v="2.9150684931506849"/>
    <x v="102"/>
    <x v="0"/>
    <x v="2"/>
    <x v="1"/>
    <n v="13.94"/>
    <n v="13.94"/>
    <m/>
    <m/>
    <m/>
    <m/>
    <m/>
    <x v="4"/>
    <n v="0"/>
    <n v="6"/>
    <m/>
    <m/>
    <m/>
    <m/>
    <m/>
    <m/>
    <m/>
    <m/>
    <m/>
    <m/>
    <m/>
    <m/>
    <m/>
    <m/>
  </r>
  <r>
    <n v="1325"/>
    <n v="44123"/>
    <d v="1997-12-27T00:00:00"/>
    <n v="28"/>
    <x v="1"/>
    <x v="1"/>
    <d v="2023-02-01T00:00:00"/>
    <n v="3.0164383561643837"/>
    <x v="1"/>
    <x v="1"/>
    <x v="2"/>
    <x v="1"/>
    <n v="14.38"/>
    <n v="13.95"/>
    <m/>
    <m/>
    <m/>
    <m/>
    <m/>
    <x v="2"/>
    <n v="1"/>
    <n v="6"/>
    <m/>
    <m/>
    <m/>
    <m/>
    <m/>
    <m/>
    <m/>
    <m/>
    <m/>
    <m/>
    <m/>
    <m/>
    <m/>
    <m/>
  </r>
  <r>
    <n v="1326"/>
    <n v="44140"/>
    <d v="2003-02-11T00:00:00"/>
    <n v="22"/>
    <x v="1"/>
    <x v="1"/>
    <d v="2022-12-26T00:00:00"/>
    <n v="2.9753424657534246"/>
    <x v="6"/>
    <x v="1"/>
    <x v="8"/>
    <x v="1"/>
    <n v="8.4600000000000009"/>
    <n v="8.26"/>
    <n v="8.06"/>
    <m/>
    <m/>
    <m/>
    <m/>
    <x v="2"/>
    <n v="2"/>
    <n v="7"/>
    <m/>
    <m/>
    <m/>
    <m/>
    <m/>
    <m/>
    <m/>
    <m/>
    <m/>
    <m/>
    <m/>
    <m/>
    <m/>
    <m/>
  </r>
  <r>
    <n v="1327"/>
    <n v="44143"/>
    <d v="1998-10-01T00:00:00"/>
    <n v="28"/>
    <x v="0"/>
    <x v="1"/>
    <d v="2023-01-10T00:00:00"/>
    <n v="2.9068493150684933"/>
    <x v="29"/>
    <x v="1"/>
    <x v="2"/>
    <x v="1"/>
    <n v="14.15"/>
    <n v="13.85"/>
    <m/>
    <m/>
    <m/>
    <m/>
    <m/>
    <x v="2"/>
    <n v="1"/>
    <n v="4"/>
    <m/>
    <m/>
    <m/>
    <m/>
    <m/>
    <m/>
    <m/>
    <m/>
    <m/>
    <m/>
    <m/>
    <m/>
    <m/>
    <m/>
  </r>
  <r>
    <n v="1328"/>
    <n v="44170"/>
    <d v="2000-10-12T00:00:00"/>
    <n v="25"/>
    <x v="0"/>
    <x v="1"/>
    <d v="2023-02-04T00:00:00"/>
    <n v="3.1369863013698631"/>
    <x v="54"/>
    <x v="1"/>
    <x v="6"/>
    <x v="1"/>
    <n v="23.23"/>
    <n v="22.93"/>
    <m/>
    <m/>
    <m/>
    <m/>
    <m/>
    <x v="2"/>
    <n v="7"/>
    <n v="5"/>
    <m/>
    <m/>
    <m/>
    <m/>
    <m/>
    <m/>
    <m/>
    <m/>
    <m/>
    <m/>
    <m/>
    <m/>
    <m/>
    <m/>
  </r>
  <r>
    <n v="1329"/>
    <n v="44173"/>
    <d v="2003-05-23T00:00:00"/>
    <n v="22"/>
    <x v="1"/>
    <x v="1"/>
    <d v="2022-11-12T00:00:00"/>
    <n v="3.419178082191781"/>
    <x v="56"/>
    <x v="1"/>
    <x v="9"/>
    <x v="1"/>
    <n v="14"/>
    <n v="13.7"/>
    <n v="13.4"/>
    <m/>
    <m/>
    <m/>
    <m/>
    <x v="3"/>
    <n v="1"/>
    <n v="5"/>
    <m/>
    <m/>
    <m/>
    <m/>
    <m/>
    <m/>
    <m/>
    <m/>
    <m/>
    <m/>
    <m/>
    <m/>
    <m/>
    <m/>
  </r>
  <r>
    <n v="1330"/>
    <n v="44199"/>
    <d v="1995-07-01T00:00:00"/>
    <n v="31"/>
    <x v="0"/>
    <x v="1"/>
    <d v="2022-08-01T00:00:00"/>
    <n v="3.6328767123287671"/>
    <x v="69"/>
    <x v="1"/>
    <x v="8"/>
    <x v="1"/>
    <n v="8.4600000000000009"/>
    <n v="8.26"/>
    <n v="8.06"/>
    <m/>
    <m/>
    <m/>
    <m/>
    <x v="2"/>
    <n v="2"/>
    <n v="4"/>
    <m/>
    <m/>
    <m/>
    <m/>
    <m/>
    <m/>
    <m/>
    <m/>
    <m/>
    <m/>
    <m/>
    <m/>
    <m/>
    <m/>
  </r>
  <r>
    <n v="1331"/>
    <n v="44202"/>
    <d v="2002-07-05T00:00:00"/>
    <n v="23"/>
    <x v="0"/>
    <x v="1"/>
    <d v="2022-05-15T00:00:00"/>
    <n v="3.7205479452054795"/>
    <x v="71"/>
    <x v="1"/>
    <x v="9"/>
    <x v="1"/>
    <n v="14"/>
    <n v="13.7"/>
    <n v="13.4"/>
    <m/>
    <m/>
    <m/>
    <m/>
    <x v="2"/>
    <n v="1"/>
    <n v="5"/>
    <m/>
    <m/>
    <m/>
    <m/>
    <m/>
    <m/>
    <m/>
    <m/>
    <m/>
    <m/>
    <m/>
    <m/>
    <m/>
    <m/>
  </r>
  <r>
    <n v="1332"/>
    <n v="44221"/>
    <d v="2000-04-06T00:00:00"/>
    <n v="25"/>
    <x v="1"/>
    <x v="1"/>
    <d v="2022-04-13T00:00:00"/>
    <n v="3.4876712328767123"/>
    <x v="93"/>
    <x v="1"/>
    <x v="8"/>
    <x v="1"/>
    <n v="8.5299999999999994"/>
    <n v="8.32"/>
    <n v="8.06"/>
    <m/>
    <m/>
    <m/>
    <m/>
    <x v="3"/>
    <n v="2"/>
    <n v="5"/>
    <m/>
    <m/>
    <m/>
    <m/>
    <m/>
    <m/>
    <m/>
    <m/>
    <m/>
    <m/>
    <m/>
    <m/>
    <m/>
    <m/>
  </r>
  <r>
    <n v="1333"/>
    <n v="44222"/>
    <d v="2003-08-30T00:00:00"/>
    <n v="22"/>
    <x v="1"/>
    <x v="1"/>
    <d v="2022-07-07T00:00:00"/>
    <n v="3.4493150684931506"/>
    <x v="93"/>
    <x v="1"/>
    <x v="8"/>
    <x v="1"/>
    <n v="8.24"/>
    <n v="8.24"/>
    <n v="8.06"/>
    <m/>
    <m/>
    <m/>
    <m/>
    <x v="2"/>
    <n v="3"/>
    <n v="6"/>
    <m/>
    <m/>
    <m/>
    <m/>
    <m/>
    <m/>
    <m/>
    <m/>
    <m/>
    <m/>
    <m/>
    <m/>
    <m/>
    <m/>
  </r>
  <r>
    <n v="1334"/>
    <n v="44247"/>
    <d v="2001-07-27T00:00:00"/>
    <n v="24"/>
    <x v="1"/>
    <x v="1"/>
    <d v="2022-07-21T00:00:00"/>
    <n v="2.882191780821918"/>
    <x v="92"/>
    <x v="1"/>
    <x v="8"/>
    <x v="1"/>
    <n v="8.59"/>
    <n v="8.34"/>
    <n v="8.06"/>
    <m/>
    <m/>
    <m/>
    <m/>
    <x v="3"/>
    <n v="2"/>
    <n v="6"/>
    <m/>
    <m/>
    <m/>
    <m/>
    <m/>
    <m/>
    <m/>
    <m/>
    <m/>
    <m/>
    <m/>
    <m/>
    <m/>
    <m/>
  </r>
  <r>
    <n v="1335"/>
    <n v="44331"/>
    <d v="2001-08-07T00:00:00"/>
    <n v="24"/>
    <x v="1"/>
    <x v="1"/>
    <d v="2023-02-13T00:00:00"/>
    <n v="2.904109589041096"/>
    <x v="5"/>
    <x v="0"/>
    <x v="11"/>
    <x v="1"/>
    <n v="16.579999999999998"/>
    <n v="16.38"/>
    <m/>
    <m/>
    <m/>
    <m/>
    <m/>
    <x v="2"/>
    <n v="2"/>
    <n v="7"/>
    <m/>
    <m/>
    <m/>
    <m/>
    <m/>
    <m/>
    <m/>
    <m/>
    <m/>
    <m/>
    <m/>
    <m/>
    <m/>
    <m/>
  </r>
  <r>
    <n v="1336"/>
    <n v="44332"/>
    <d v="2004-10-14T00:00:00"/>
    <n v="21"/>
    <x v="0"/>
    <x v="1"/>
    <d v="2023-02-05T00:00:00"/>
    <n v="3.2958904109589042"/>
    <x v="5"/>
    <x v="0"/>
    <x v="10"/>
    <x v="1"/>
    <n v="10.53"/>
    <n v="10.33"/>
    <m/>
    <m/>
    <m/>
    <m/>
    <m/>
    <x v="1"/>
    <n v="0"/>
    <n v="4"/>
    <m/>
    <m/>
    <m/>
    <m/>
    <m/>
    <m/>
    <m/>
    <m/>
    <m/>
    <m/>
    <m/>
    <m/>
    <m/>
    <m/>
  </r>
  <r>
    <n v="1337"/>
    <n v="44334"/>
    <d v="2000-12-09T00:00:00"/>
    <n v="25"/>
    <x v="0"/>
    <x v="0"/>
    <d v="2022-09-15T00:00:00"/>
    <n v="3.1123287671232878"/>
    <x v="5"/>
    <x v="0"/>
    <x v="1"/>
    <x v="1"/>
    <n v="16.18"/>
    <n v="15.88"/>
    <n v="15.58"/>
    <m/>
    <m/>
    <m/>
    <m/>
    <x v="3"/>
    <n v="1"/>
    <n v="4"/>
    <m/>
    <m/>
    <m/>
    <m/>
    <m/>
    <m/>
    <m/>
    <m/>
    <m/>
    <m/>
    <m/>
    <m/>
    <m/>
    <m/>
  </r>
  <r>
    <n v="1338"/>
    <n v="44343"/>
    <d v="1999-09-20T00:00:00"/>
    <n v="26"/>
    <x v="1"/>
    <x v="1"/>
    <d v="2022-11-21T00:00:00"/>
    <n v="3.2356164383561645"/>
    <x v="5"/>
    <x v="0"/>
    <x v="8"/>
    <x v="1"/>
    <n v="8.4600000000000009"/>
    <n v="8.26"/>
    <n v="8.06"/>
    <m/>
    <m/>
    <m/>
    <m/>
    <x v="3"/>
    <n v="2"/>
    <n v="5"/>
    <m/>
    <m/>
    <m/>
    <m/>
    <m/>
    <m/>
    <m/>
    <m/>
    <m/>
    <m/>
    <m/>
    <m/>
    <m/>
    <m/>
  </r>
  <r>
    <n v="1339"/>
    <n v="44393"/>
    <d v="2000-05-10T00:00:00"/>
    <n v="25"/>
    <x v="1"/>
    <x v="1"/>
    <d v="2022-10-07T00:00:00"/>
    <n v="3.2219178082191782"/>
    <x v="124"/>
    <x v="0"/>
    <x v="11"/>
    <x v="1"/>
    <n v="16.579999999999998"/>
    <n v="16.38"/>
    <n v="16.18"/>
    <m/>
    <m/>
    <m/>
    <m/>
    <x v="2"/>
    <n v="0"/>
    <n v="7"/>
    <m/>
    <m/>
    <m/>
    <m/>
    <m/>
    <m/>
    <m/>
    <m/>
    <m/>
    <m/>
    <m/>
    <m/>
    <m/>
    <m/>
  </r>
  <r>
    <n v="1340"/>
    <n v="44477"/>
    <d v="2002-06-11T00:00:00"/>
    <n v="23"/>
    <x v="1"/>
    <x v="1"/>
    <d v="2022-10-12T00:00:00"/>
    <n v="3.1698630136986301"/>
    <x v="82"/>
    <x v="0"/>
    <x v="10"/>
    <x v="1"/>
    <n v="10.23"/>
    <n v="10.130000000000001"/>
    <n v="10.130000000000001"/>
    <m/>
    <m/>
    <m/>
    <m/>
    <x v="2"/>
    <n v="0"/>
    <n v="6"/>
    <m/>
    <m/>
    <m/>
    <m/>
    <m/>
    <m/>
    <m/>
    <m/>
    <m/>
    <m/>
    <m/>
    <m/>
    <m/>
    <m/>
  </r>
  <r>
    <n v="1341"/>
    <n v="44535"/>
    <d v="2001-11-22T00:00:00"/>
    <n v="24"/>
    <x v="1"/>
    <x v="1"/>
    <d v="2022-10-31T00:00:00"/>
    <n v="2.8"/>
    <x v="14"/>
    <x v="0"/>
    <x v="11"/>
    <x v="1"/>
    <n v="16.579999999999998"/>
    <n v="16.38"/>
    <n v="16.18"/>
    <m/>
    <m/>
    <m/>
    <m/>
    <x v="3"/>
    <n v="3"/>
    <n v="5"/>
    <m/>
    <m/>
    <m/>
    <m/>
    <m/>
    <m/>
    <m/>
    <m/>
    <m/>
    <m/>
    <m/>
    <m/>
    <m/>
    <m/>
  </r>
  <r>
    <n v="1342"/>
    <n v="44537"/>
    <d v="1997-05-15T00:00:00"/>
    <n v="28"/>
    <x v="1"/>
    <x v="1"/>
    <d v="2023-03-15T00:00:00"/>
    <n v="3.128767123287671"/>
    <x v="14"/>
    <x v="0"/>
    <x v="11"/>
    <x v="1"/>
    <n v="16.579999999999998"/>
    <n v="16.38"/>
    <m/>
    <m/>
    <m/>
    <m/>
    <m/>
    <x v="2"/>
    <n v="1"/>
    <n v="6"/>
    <m/>
    <m/>
    <m/>
    <m/>
    <m/>
    <m/>
    <m/>
    <m/>
    <m/>
    <m/>
    <m/>
    <m/>
    <m/>
    <m/>
  </r>
  <r>
    <n v="1343"/>
    <n v="44650"/>
    <d v="1998-12-23T00:00:00"/>
    <n v="27"/>
    <x v="1"/>
    <x v="0"/>
    <d v="2022-11-15T00:00:00"/>
    <n v="3.5616438356164384"/>
    <x v="19"/>
    <x v="0"/>
    <x v="11"/>
    <x v="1"/>
    <n v="16.579999999999998"/>
    <n v="16.38"/>
    <n v="16.18"/>
    <m/>
    <m/>
    <m/>
    <m/>
    <x v="2"/>
    <n v="2"/>
    <n v="4"/>
    <m/>
    <m/>
    <m/>
    <m/>
    <m/>
    <m/>
    <m/>
    <m/>
    <m/>
    <m/>
    <m/>
    <m/>
    <m/>
    <m/>
  </r>
  <r>
    <n v="1344"/>
    <n v="44652"/>
    <d v="2000-12-17T00:00:00"/>
    <n v="25"/>
    <x v="0"/>
    <x v="1"/>
    <d v="2022-06-10T00:00:00"/>
    <n v="3.128767123287671"/>
    <x v="19"/>
    <x v="0"/>
    <x v="11"/>
    <x v="1"/>
    <n v="16.579999999999998"/>
    <n v="16.38"/>
    <n v="16.18"/>
    <m/>
    <m/>
    <m/>
    <m/>
    <x v="4"/>
    <n v="4"/>
    <n v="5"/>
    <m/>
    <m/>
    <m/>
    <m/>
    <m/>
    <m/>
    <m/>
    <m/>
    <m/>
    <m/>
    <m/>
    <m/>
    <m/>
    <m/>
  </r>
  <r>
    <n v="1345"/>
    <n v="44654"/>
    <d v="2001-10-17T00:00:00"/>
    <n v="24"/>
    <x v="0"/>
    <x v="1"/>
    <d v="2022-11-15T00:00:00"/>
    <n v="2.978082191780822"/>
    <x v="19"/>
    <x v="0"/>
    <x v="10"/>
    <x v="1"/>
    <n v="10.53"/>
    <n v="10.33"/>
    <n v="10.130000000000001"/>
    <m/>
    <m/>
    <m/>
    <m/>
    <x v="2"/>
    <n v="1"/>
    <n v="5"/>
    <m/>
    <m/>
    <m/>
    <m/>
    <m/>
    <m/>
    <m/>
    <m/>
    <m/>
    <m/>
    <m/>
    <m/>
    <m/>
    <m/>
  </r>
  <r>
    <n v="1346"/>
    <n v="44679"/>
    <d v="2002-07-07T00:00:00"/>
    <n v="23"/>
    <x v="1"/>
    <x v="1"/>
    <d v="2023-01-09T00:00:00"/>
    <n v="3.0931506849315067"/>
    <x v="19"/>
    <x v="0"/>
    <x v="8"/>
    <x v="1"/>
    <n v="8.4600000000000009"/>
    <n v="8.26"/>
    <m/>
    <m/>
    <m/>
    <m/>
    <m/>
    <x v="2"/>
    <n v="2"/>
    <n v="6"/>
    <m/>
    <m/>
    <m/>
    <m/>
    <m/>
    <m/>
    <m/>
    <m/>
    <m/>
    <m/>
    <m/>
    <m/>
    <m/>
    <m/>
  </r>
  <r>
    <n v="1347"/>
    <n v="44745"/>
    <d v="1999-04-22T00:00:00"/>
    <n v="26"/>
    <x v="1"/>
    <x v="1"/>
    <d v="2022-11-28T00:00:00"/>
    <n v="3.6273972602739728"/>
    <x v="22"/>
    <x v="0"/>
    <x v="11"/>
    <x v="1"/>
    <n v="16.579999999999998"/>
    <n v="16.38"/>
    <n v="16.18"/>
    <m/>
    <m/>
    <m/>
    <m/>
    <x v="2"/>
    <n v="2"/>
    <n v="6"/>
    <m/>
    <m/>
    <m/>
    <m/>
    <m/>
    <m/>
    <m/>
    <m/>
    <m/>
    <m/>
    <m/>
    <m/>
    <m/>
    <m/>
  </r>
  <r>
    <n v="1348"/>
    <n v="44761"/>
    <d v="2004-04-03T00:00:00"/>
    <n v="21"/>
    <x v="1"/>
    <x v="1"/>
    <d v="2022-05-17T00:00:00"/>
    <n v="2.989041095890411"/>
    <x v="22"/>
    <x v="0"/>
    <x v="8"/>
    <x v="1"/>
    <n v="8.4600000000000009"/>
    <n v="8.26"/>
    <n v="8.06"/>
    <m/>
    <m/>
    <m/>
    <m/>
    <x v="2"/>
    <n v="4"/>
    <n v="7"/>
    <m/>
    <m/>
    <m/>
    <m/>
    <m/>
    <m/>
    <m/>
    <m/>
    <m/>
    <m/>
    <m/>
    <m/>
    <m/>
    <m/>
  </r>
  <r>
    <n v="1349"/>
    <n v="44791"/>
    <d v="2003-09-21T00:00:00"/>
    <n v="22"/>
    <x v="1"/>
    <x v="1"/>
    <d v="2023-01-05T00:00:00"/>
    <n v="3.4273972602739726"/>
    <x v="23"/>
    <x v="0"/>
    <x v="8"/>
    <x v="1"/>
    <n v="8.4600000000000009"/>
    <n v="8.26"/>
    <m/>
    <m/>
    <m/>
    <m/>
    <m/>
    <x v="2"/>
    <n v="1"/>
    <n v="5"/>
    <m/>
    <m/>
    <m/>
    <m/>
    <m/>
    <m/>
    <m/>
    <m/>
    <m/>
    <m/>
    <m/>
    <m/>
    <m/>
    <m/>
  </r>
  <r>
    <n v="1350"/>
    <n v="44826"/>
    <d v="1996-06-01T00:00:00"/>
    <n v="30"/>
    <x v="1"/>
    <x v="1"/>
    <d v="2022-07-29T00:00:00"/>
    <n v="3.7397260273972601"/>
    <x v="137"/>
    <x v="0"/>
    <x v="8"/>
    <x v="1"/>
    <n v="8.26"/>
    <n v="8.16"/>
    <n v="8.06"/>
    <m/>
    <m/>
    <m/>
    <m/>
    <x v="2"/>
    <n v="1"/>
    <n v="7"/>
    <m/>
    <m/>
    <m/>
    <m/>
    <m/>
    <m/>
    <m/>
    <m/>
    <m/>
    <m/>
    <m/>
    <m/>
    <m/>
    <m/>
  </r>
  <r>
    <n v="1351"/>
    <n v="44876"/>
    <d v="2005-04-20T00:00:00"/>
    <n v="20"/>
    <x v="1"/>
    <x v="1"/>
    <d v="2022-04-06T00:00:00"/>
    <n v="2.9123287671232876"/>
    <x v="52"/>
    <x v="0"/>
    <x v="8"/>
    <x v="1"/>
    <n v="8.16"/>
    <n v="8.16"/>
    <n v="8.06"/>
    <m/>
    <m/>
    <m/>
    <m/>
    <x v="2"/>
    <n v="3"/>
    <n v="5"/>
    <m/>
    <m/>
    <m/>
    <m/>
    <m/>
    <m/>
    <m/>
    <m/>
    <m/>
    <m/>
    <m/>
    <m/>
    <m/>
    <m/>
  </r>
  <r>
    <n v="1352"/>
    <n v="44893"/>
    <d v="2001-02-23T00:00:00"/>
    <n v="24"/>
    <x v="0"/>
    <x v="1"/>
    <d v="2023-02-02T00:00:00"/>
    <n v="3.7945205479452055"/>
    <x v="52"/>
    <x v="0"/>
    <x v="8"/>
    <x v="1"/>
    <n v="8.26"/>
    <n v="8.16"/>
    <m/>
    <m/>
    <m/>
    <m/>
    <m/>
    <x v="2"/>
    <n v="2"/>
    <n v="4"/>
    <m/>
    <m/>
    <m/>
    <m/>
    <m/>
    <m/>
    <m/>
    <m/>
    <m/>
    <m/>
    <m/>
    <m/>
    <m/>
    <m/>
  </r>
  <r>
    <n v="1353"/>
    <n v="44897"/>
    <d v="1989-08-04T00:00:00"/>
    <n v="36"/>
    <x v="0"/>
    <x v="1"/>
    <d v="2022-03-17T00:00:00"/>
    <n v="3.8328767123287673"/>
    <x v="24"/>
    <x v="0"/>
    <x v="2"/>
    <x v="1"/>
    <n v="14.15"/>
    <n v="13.85"/>
    <n v="13.55"/>
    <m/>
    <m/>
    <m/>
    <m/>
    <x v="2"/>
    <n v="1"/>
    <n v="3"/>
    <m/>
    <m/>
    <m/>
    <m/>
    <m/>
    <m/>
    <m/>
    <m/>
    <m/>
    <m/>
    <m/>
    <m/>
    <m/>
    <m/>
  </r>
  <r>
    <n v="1354"/>
    <n v="44950"/>
    <d v="2000-04-09T00:00:00"/>
    <n v="25"/>
    <x v="0"/>
    <x v="0"/>
    <d v="2022-03-03T00:00:00"/>
    <n v="3.6109589041095891"/>
    <x v="26"/>
    <x v="0"/>
    <x v="10"/>
    <x v="1"/>
    <n v="10.6"/>
    <n v="10.38"/>
    <n v="10.130000000000001"/>
    <m/>
    <m/>
    <m/>
    <m/>
    <x v="1"/>
    <n v="0"/>
    <n v="3"/>
    <m/>
    <m/>
    <m/>
    <m/>
    <m/>
    <m/>
    <m/>
    <m/>
    <m/>
    <m/>
    <m/>
    <m/>
    <m/>
    <m/>
  </r>
  <r>
    <n v="1355"/>
    <n v="44954"/>
    <d v="2001-08-25T00:00:00"/>
    <n v="24"/>
    <x v="1"/>
    <x v="0"/>
    <d v="2022-05-23T00:00:00"/>
    <n v="3.6986301369863015"/>
    <x v="26"/>
    <x v="0"/>
    <x v="8"/>
    <x v="1"/>
    <n v="8.3000000000000007"/>
    <n v="8.3000000000000007"/>
    <n v="8.06"/>
    <m/>
    <m/>
    <m/>
    <m/>
    <x v="1"/>
    <n v="1"/>
    <n v="4"/>
    <m/>
    <m/>
    <m/>
    <m/>
    <m/>
    <m/>
    <m/>
    <m/>
    <m/>
    <m/>
    <m/>
    <m/>
    <m/>
    <m/>
  </r>
  <r>
    <n v="1356"/>
    <n v="44982"/>
    <d v="2000-07-15T00:00:00"/>
    <n v="25"/>
    <x v="1"/>
    <x v="0"/>
    <d v="2022-04-21T00:00:00"/>
    <n v="3.5205479452054793"/>
    <x v="49"/>
    <x v="0"/>
    <x v="11"/>
    <x v="1"/>
    <n v="16.579999999999998"/>
    <n v="16.38"/>
    <n v="16.18"/>
    <m/>
    <m/>
    <m/>
    <m/>
    <x v="1"/>
    <n v="4"/>
    <n v="6"/>
    <m/>
    <m/>
    <m/>
    <m/>
    <m/>
    <m/>
    <m/>
    <m/>
    <m/>
    <m/>
    <m/>
    <m/>
    <m/>
    <m/>
  </r>
  <r>
    <n v="1357"/>
    <n v="44993"/>
    <d v="2004-12-27T00:00:00"/>
    <n v="21"/>
    <x v="0"/>
    <x v="0"/>
    <d v="2022-06-25T00:00:00"/>
    <n v="3.6356164383561644"/>
    <x v="49"/>
    <x v="0"/>
    <x v="8"/>
    <x v="1"/>
    <n v="8.4600000000000009"/>
    <n v="8.26"/>
    <n v="8.06"/>
    <m/>
    <m/>
    <m/>
    <m/>
    <x v="2"/>
    <n v="1"/>
    <n v="3"/>
    <m/>
    <m/>
    <m/>
    <m/>
    <m/>
    <m/>
    <m/>
    <m/>
    <m/>
    <m/>
    <m/>
    <m/>
    <m/>
    <m/>
  </r>
  <r>
    <n v="1358"/>
    <n v="45054"/>
    <d v="2002-10-03T00:00:00"/>
    <n v="23"/>
    <x v="1"/>
    <x v="0"/>
    <d v="2022-05-14T00:00:00"/>
    <n v="3.5123287671232877"/>
    <x v="32"/>
    <x v="0"/>
    <x v="10"/>
    <x v="1"/>
    <n v="10.62"/>
    <n v="10.37"/>
    <n v="10.130000000000001"/>
    <m/>
    <m/>
    <m/>
    <m/>
    <x v="4"/>
    <n v="1"/>
    <n v="5"/>
    <m/>
    <m/>
    <m/>
    <m/>
    <m/>
    <m/>
    <m/>
    <m/>
    <m/>
    <m/>
    <m/>
    <m/>
    <m/>
    <m/>
  </r>
  <r>
    <n v="1359"/>
    <n v="45100"/>
    <d v="1997-11-01T00:00:00"/>
    <n v="29"/>
    <x v="0"/>
    <x v="1"/>
    <d v="2022-06-28T00:00:00"/>
    <n v="3.526027397260274"/>
    <x v="78"/>
    <x v="0"/>
    <x v="7"/>
    <x v="1"/>
    <n v="17.04"/>
    <n v="16.89"/>
    <n v="16.739999999999998"/>
    <m/>
    <m/>
    <m/>
    <m/>
    <x v="4"/>
    <n v="2"/>
    <n v="6"/>
    <m/>
    <m/>
    <m/>
    <m/>
    <m/>
    <m/>
    <m/>
    <m/>
    <m/>
    <m/>
    <m/>
    <m/>
    <m/>
    <m/>
  </r>
  <r>
    <n v="1360"/>
    <n v="45121"/>
    <d v="2003-12-19T00:00:00"/>
    <n v="22"/>
    <x v="0"/>
    <x v="1"/>
    <d v="2022-06-23T00:00:00"/>
    <n v="3.5013698630136987"/>
    <x v="83"/>
    <x v="0"/>
    <x v="10"/>
    <x v="1"/>
    <n v="10.130000000000001"/>
    <n v="10.130000000000001"/>
    <n v="10.130000000000001"/>
    <m/>
    <m/>
    <m/>
    <m/>
    <x v="2"/>
    <n v="1"/>
    <n v="4"/>
    <m/>
    <m/>
    <m/>
    <m/>
    <m/>
    <m/>
    <m/>
    <m/>
    <m/>
    <m/>
    <m/>
    <m/>
    <m/>
    <m/>
  </r>
  <r>
    <n v="1361"/>
    <n v="45123"/>
    <d v="1995-06-06T00:00:00"/>
    <n v="30"/>
    <x v="0"/>
    <x v="1"/>
    <d v="2022-07-02T00:00:00"/>
    <n v="3.3780821917808219"/>
    <x v="83"/>
    <x v="0"/>
    <x v="1"/>
    <x v="1"/>
    <n v="15.88"/>
    <n v="15.73"/>
    <n v="15.58"/>
    <m/>
    <m/>
    <m/>
    <m/>
    <x v="2"/>
    <n v="1"/>
    <n v="5"/>
    <m/>
    <m/>
    <m/>
    <m/>
    <m/>
    <m/>
    <m/>
    <m/>
    <m/>
    <m/>
    <m/>
    <m/>
    <m/>
    <m/>
  </r>
  <r>
    <n v="1362"/>
    <n v="45172"/>
    <d v="2000-05-20T00:00:00"/>
    <n v="25"/>
    <x v="1"/>
    <x v="1"/>
    <d v="2022-08-16T00:00:00"/>
    <n v="3.6630136986301371"/>
    <x v="50"/>
    <x v="0"/>
    <x v="8"/>
    <x v="1"/>
    <n v="8.26"/>
    <n v="8.16"/>
    <n v="8.06"/>
    <m/>
    <m/>
    <m/>
    <m/>
    <x v="2"/>
    <n v="3"/>
    <n v="6"/>
    <m/>
    <m/>
    <m/>
    <m/>
    <m/>
    <m/>
    <m/>
    <m/>
    <m/>
    <m/>
    <m/>
    <m/>
    <m/>
    <m/>
  </r>
  <r>
    <n v="1363"/>
    <n v="45175"/>
    <d v="1997-07-08T00:00:00"/>
    <n v="28"/>
    <x v="0"/>
    <x v="0"/>
    <d v="2022-05-04T00:00:00"/>
    <n v="3.7917808219178082"/>
    <x v="34"/>
    <x v="0"/>
    <x v="11"/>
    <x v="1"/>
    <n v="16.579999999999998"/>
    <n v="16.38"/>
    <n v="16.18"/>
    <m/>
    <m/>
    <m/>
    <m/>
    <x v="2"/>
    <n v="4"/>
    <n v="5"/>
    <m/>
    <m/>
    <m/>
    <m/>
    <m/>
    <m/>
    <m/>
    <m/>
    <m/>
    <m/>
    <m/>
    <m/>
    <m/>
    <m/>
  </r>
  <r>
    <n v="1364"/>
    <n v="45176"/>
    <d v="1998-10-21T00:00:00"/>
    <n v="27"/>
    <x v="1"/>
    <x v="1"/>
    <d v="2022-03-18T00:00:00"/>
    <n v="3.3616438356164382"/>
    <x v="34"/>
    <x v="0"/>
    <x v="11"/>
    <x v="1"/>
    <n v="16.579999999999998"/>
    <n v="16.38"/>
    <n v="16.18"/>
    <m/>
    <m/>
    <m/>
    <m/>
    <x v="4"/>
    <n v="4"/>
    <n v="6"/>
    <m/>
    <m/>
    <m/>
    <m/>
    <m/>
    <m/>
    <m/>
    <m/>
    <m/>
    <m/>
    <m/>
    <m/>
    <m/>
    <m/>
  </r>
  <r>
    <n v="1365"/>
    <n v="45187"/>
    <d v="1997-10-11T00:00:00"/>
    <n v="28"/>
    <x v="1"/>
    <x v="1"/>
    <d v="2022-08-22T00:00:00"/>
    <n v="3.2054794520547945"/>
    <x v="34"/>
    <x v="0"/>
    <x v="8"/>
    <x v="1"/>
    <n v="8.4600000000000009"/>
    <n v="8.26"/>
    <n v="8.06"/>
    <m/>
    <m/>
    <m/>
    <m/>
    <x v="2"/>
    <n v="2"/>
    <n v="6"/>
    <m/>
    <m/>
    <m/>
    <m/>
    <m/>
    <m/>
    <m/>
    <m/>
    <m/>
    <m/>
    <m/>
    <m/>
    <m/>
    <m/>
  </r>
  <r>
    <n v="1366"/>
    <n v="45195"/>
    <d v="1995-01-10T00:00:00"/>
    <n v="30"/>
    <x v="0"/>
    <x v="1"/>
    <d v="2022-10-18T00:00:00"/>
    <n v="3.2465753424657535"/>
    <x v="136"/>
    <x v="0"/>
    <x v="6"/>
    <x v="1"/>
    <n v="23.31"/>
    <n v="22.97"/>
    <n v="22.63"/>
    <m/>
    <m/>
    <m/>
    <m/>
    <x v="2"/>
    <n v="5"/>
    <n v="6"/>
    <m/>
    <m/>
    <m/>
    <m/>
    <m/>
    <m/>
    <m/>
    <m/>
    <m/>
    <m/>
    <m/>
    <m/>
    <m/>
    <m/>
  </r>
  <r>
    <n v="1367"/>
    <n v="45249"/>
    <d v="1990-04-02T00:00:00"/>
    <n v="35"/>
    <x v="1"/>
    <x v="1"/>
    <d v="2022-10-03T00:00:00"/>
    <n v="3.1671232876712327"/>
    <x v="102"/>
    <x v="0"/>
    <x v="11"/>
    <x v="1"/>
    <n v="16.5"/>
    <n v="16.36"/>
    <n v="16.18"/>
    <m/>
    <m/>
    <m/>
    <m/>
    <x v="2"/>
    <n v="2"/>
    <n v="6"/>
    <m/>
    <m/>
    <m/>
    <m/>
    <m/>
    <m/>
    <m/>
    <m/>
    <m/>
    <m/>
    <m/>
    <m/>
    <m/>
    <m/>
  </r>
  <r>
    <n v="1368"/>
    <n v="45251"/>
    <d v="2000-12-01T00:00:00"/>
    <n v="26"/>
    <x v="0"/>
    <x v="1"/>
    <d v="2022-11-01T00:00:00"/>
    <n v="3.5863013698630137"/>
    <x v="102"/>
    <x v="0"/>
    <x v="9"/>
    <x v="1"/>
    <n v="13.82"/>
    <n v="13.82"/>
    <n v="13.4"/>
    <m/>
    <m/>
    <m/>
    <m/>
    <x v="4"/>
    <n v="1"/>
    <n v="5"/>
    <m/>
    <m/>
    <m/>
    <m/>
    <m/>
    <m/>
    <m/>
    <m/>
    <m/>
    <m/>
    <m/>
    <m/>
    <m/>
    <m/>
  </r>
  <r>
    <n v="1369"/>
    <n v="45254"/>
    <d v="2001-10-30T00:00:00"/>
    <n v="24"/>
    <x v="1"/>
    <x v="0"/>
    <d v="2022-06-01T00:00:00"/>
    <n v="3.536986301369863"/>
    <x v="102"/>
    <x v="0"/>
    <x v="8"/>
    <x v="1"/>
    <n v="8.6199999999999992"/>
    <n v="8.35"/>
    <n v="8.06"/>
    <m/>
    <m/>
    <m/>
    <m/>
    <x v="4"/>
    <n v="2"/>
    <n v="5"/>
    <m/>
    <m/>
    <m/>
    <m/>
    <m/>
    <m/>
    <m/>
    <m/>
    <m/>
    <m/>
    <m/>
    <m/>
    <m/>
    <m/>
  </r>
  <r>
    <n v="1370"/>
    <n v="45257"/>
    <d v="2004-05-12T00:00:00"/>
    <n v="21"/>
    <x v="1"/>
    <x v="0"/>
    <d v="2022-06-19T00:00:00"/>
    <n v="2.9589041095890409"/>
    <x v="102"/>
    <x v="0"/>
    <x v="8"/>
    <x v="1"/>
    <n v="8.5399999999999991"/>
    <n v="8.34"/>
    <n v="8.06"/>
    <m/>
    <m/>
    <m/>
    <m/>
    <x v="3"/>
    <n v="2"/>
    <n v="5"/>
    <m/>
    <m/>
    <m/>
    <m/>
    <m/>
    <m/>
    <m/>
    <m/>
    <m/>
    <m/>
    <m/>
    <m/>
    <m/>
    <m/>
  </r>
  <r>
    <n v="1371"/>
    <n v="45305"/>
    <d v="1997-03-28T00:00:00"/>
    <n v="28"/>
    <x v="1"/>
    <x v="1"/>
    <d v="2023-01-16T00:00:00"/>
    <n v="3.5506849315068494"/>
    <x v="35"/>
    <x v="0"/>
    <x v="11"/>
    <x v="1"/>
    <n v="16.579999999999998"/>
    <n v="16.38"/>
    <m/>
    <m/>
    <m/>
    <m/>
    <m/>
    <x v="4"/>
    <n v="2"/>
    <n v="7"/>
    <m/>
    <m/>
    <m/>
    <m/>
    <m/>
    <m/>
    <m/>
    <m/>
    <m/>
    <m/>
    <m/>
    <m/>
    <m/>
    <m/>
  </r>
  <r>
    <n v="1372"/>
    <n v="45348"/>
    <d v="1996-05-26T00:00:00"/>
    <n v="29"/>
    <x v="1"/>
    <x v="1"/>
    <d v="2022-06-14T00:00:00"/>
    <n v="2.7835616438356166"/>
    <x v="36"/>
    <x v="0"/>
    <x v="8"/>
    <x v="1"/>
    <n v="8.4600000000000009"/>
    <n v="8.26"/>
    <n v="8.06"/>
    <m/>
    <m/>
    <m/>
    <m/>
    <x v="2"/>
    <n v="0"/>
    <n v="5"/>
    <m/>
    <m/>
    <m/>
    <m/>
    <m/>
    <m/>
    <m/>
    <m/>
    <m/>
    <m/>
    <m/>
    <m/>
    <m/>
    <m/>
  </r>
  <r>
    <n v="1373"/>
    <n v="45370"/>
    <d v="2005-06-15T00:00:00"/>
    <n v="20"/>
    <x v="1"/>
    <x v="1"/>
    <d v="2023-03-21T00:00:00"/>
    <n v="3.0301369863013701"/>
    <x v="57"/>
    <x v="0"/>
    <x v="8"/>
    <x v="1"/>
    <n v="8.4600000000000009"/>
    <n v="8.26"/>
    <m/>
    <m/>
    <m/>
    <m/>
    <m/>
    <x v="2"/>
    <n v="2"/>
    <n v="6"/>
    <m/>
    <m/>
    <m/>
    <m/>
    <m/>
    <m/>
    <m/>
    <m/>
    <m/>
    <m/>
    <m/>
    <m/>
    <m/>
    <m/>
  </r>
  <r>
    <n v="1374"/>
    <n v="45422"/>
    <d v="2000-08-02T00:00:00"/>
    <n v="25"/>
    <x v="1"/>
    <x v="1"/>
    <d v="2022-12-21T00:00:00"/>
    <n v="2.8986301369863012"/>
    <x v="55"/>
    <x v="0"/>
    <x v="8"/>
    <x v="1"/>
    <n v="8.4600000000000009"/>
    <n v="8.26"/>
    <n v="8.06"/>
    <m/>
    <m/>
    <m/>
    <m/>
    <x v="2"/>
    <n v="0"/>
    <n v="7"/>
    <m/>
    <m/>
    <m/>
    <m/>
    <m/>
    <m/>
    <m/>
    <m/>
    <m/>
    <m/>
    <m/>
    <m/>
    <m/>
    <m/>
  </r>
  <r>
    <n v="1375"/>
    <n v="45470"/>
    <d v="1999-05-13T00:00:00"/>
    <n v="26"/>
    <x v="1"/>
    <x v="0"/>
    <d v="2023-02-07T00:00:00"/>
    <n v="2.9150684931506849"/>
    <x v="41"/>
    <x v="0"/>
    <x v="3"/>
    <x v="1"/>
    <n v="8.59"/>
    <n v="8.3000000000000007"/>
    <m/>
    <m/>
    <m/>
    <m/>
    <m/>
    <x v="4"/>
    <n v="2"/>
    <n v="6"/>
    <m/>
    <m/>
    <m/>
    <m/>
    <m/>
    <m/>
    <m/>
    <m/>
    <m/>
    <m/>
    <m/>
    <m/>
    <m/>
    <m/>
  </r>
  <r>
    <n v="1376"/>
    <n v="45481"/>
    <d v="2005-09-07T00:00:00"/>
    <n v="20"/>
    <x v="1"/>
    <x v="1"/>
    <d v="2023-02-01T00:00:00"/>
    <n v="3.2383561643835614"/>
    <x v="41"/>
    <x v="0"/>
    <x v="8"/>
    <x v="1"/>
    <n v="8.52"/>
    <n v="8.27"/>
    <m/>
    <m/>
    <m/>
    <m/>
    <m/>
    <x v="2"/>
    <n v="2"/>
    <n v="7"/>
    <m/>
    <m/>
    <m/>
    <m/>
    <m/>
    <m/>
    <m/>
    <m/>
    <m/>
    <m/>
    <m/>
    <m/>
    <m/>
    <m/>
  </r>
  <r>
    <n v="1377"/>
    <n v="45483"/>
    <d v="1997-09-03T00:00:00"/>
    <n v="28"/>
    <x v="0"/>
    <x v="1"/>
    <d v="2022-10-06T00:00:00"/>
    <n v="3.0712328767123287"/>
    <x v="73"/>
    <x v="0"/>
    <x v="11"/>
    <x v="1"/>
    <n v="16.579999999999998"/>
    <n v="16.38"/>
    <n v="16.18"/>
    <m/>
    <m/>
    <m/>
    <m/>
    <x v="2"/>
    <n v="1"/>
    <n v="4"/>
    <m/>
    <m/>
    <m/>
    <m/>
    <m/>
    <m/>
    <m/>
    <m/>
    <m/>
    <m/>
    <m/>
    <m/>
    <m/>
    <m/>
  </r>
  <r>
    <n v="1378"/>
    <n v="45491"/>
    <d v="1994-12-02T00:00:00"/>
    <n v="31"/>
    <x v="0"/>
    <x v="1"/>
    <d v="2022-12-06T00:00:00"/>
    <n v="3.2219178082191782"/>
    <x v="73"/>
    <x v="0"/>
    <x v="2"/>
    <x v="1"/>
    <n v="14.15"/>
    <n v="13.85"/>
    <n v="13.55"/>
    <m/>
    <m/>
    <m/>
    <m/>
    <x v="1"/>
    <n v="0"/>
    <n v="3"/>
    <m/>
    <m/>
    <m/>
    <m/>
    <m/>
    <m/>
    <m/>
    <m/>
    <m/>
    <m/>
    <m/>
    <m/>
    <m/>
    <m/>
  </r>
  <r>
    <n v="1379"/>
    <n v="45569"/>
    <d v="2004-07-09T00:00:00"/>
    <n v="21"/>
    <x v="1"/>
    <x v="0"/>
    <d v="2022-10-12T00:00:00"/>
    <n v="3.3123287671232875"/>
    <x v="37"/>
    <x v="0"/>
    <x v="8"/>
    <x v="1"/>
    <n v="8.4600000000000009"/>
    <n v="8.26"/>
    <n v="8.06"/>
    <m/>
    <m/>
    <m/>
    <m/>
    <x v="2"/>
    <n v="1"/>
    <n v="6"/>
    <m/>
    <m/>
    <m/>
    <m/>
    <m/>
    <m/>
    <m/>
    <m/>
    <m/>
    <m/>
    <m/>
    <m/>
    <m/>
    <m/>
  </r>
  <r>
    <n v="1380"/>
    <n v="45576"/>
    <d v="1996-04-04T00:00:00"/>
    <n v="29"/>
    <x v="1"/>
    <x v="0"/>
    <d v="2022-09-09T00:00:00"/>
    <n v="3.441095890410959"/>
    <x v="77"/>
    <x v="0"/>
    <x v="11"/>
    <x v="1"/>
    <n v="16.579999999999998"/>
    <n v="16.38"/>
    <n v="16.18"/>
    <m/>
    <m/>
    <m/>
    <m/>
    <x v="1"/>
    <n v="2"/>
    <n v="6"/>
    <m/>
    <m/>
    <m/>
    <m/>
    <m/>
    <m/>
    <m/>
    <m/>
    <m/>
    <m/>
    <m/>
    <m/>
    <m/>
    <m/>
  </r>
  <r>
    <n v="1381"/>
    <n v="45601"/>
    <d v="1996-03-24T00:00:00"/>
    <n v="29"/>
    <x v="1"/>
    <x v="1"/>
    <d v="2022-07-24T00:00:00"/>
    <n v="3.8520547945205479"/>
    <x v="38"/>
    <x v="0"/>
    <x v="10"/>
    <x v="1"/>
    <n v="10.53"/>
    <n v="10.33"/>
    <n v="10.130000000000001"/>
    <m/>
    <m/>
    <m/>
    <m/>
    <x v="2"/>
    <n v="1"/>
    <n v="6"/>
    <m/>
    <m/>
    <m/>
    <m/>
    <m/>
    <m/>
    <m/>
    <m/>
    <m/>
    <m/>
    <m/>
    <m/>
    <m/>
    <m/>
  </r>
  <r>
    <n v="1382"/>
    <n v="45624"/>
    <d v="2003-02-11T00:00:00"/>
    <n v="22"/>
    <x v="0"/>
    <x v="1"/>
    <d v="2022-02-24T00:00:00"/>
    <n v="3.5835616438356164"/>
    <x v="38"/>
    <x v="0"/>
    <x v="8"/>
    <x v="1"/>
    <n v="8.4600000000000009"/>
    <n v="8.26"/>
    <n v="8.06"/>
    <m/>
    <m/>
    <m/>
    <m/>
    <x v="2"/>
    <n v="2"/>
    <n v="5"/>
    <m/>
    <m/>
    <m/>
    <m/>
    <m/>
    <m/>
    <m/>
    <m/>
    <m/>
    <m/>
    <m/>
    <m/>
    <m/>
    <m/>
  </r>
  <r>
    <n v="1383"/>
    <n v="45635"/>
    <d v="1996-05-06T00:00:00"/>
    <n v="29"/>
    <x v="0"/>
    <x v="0"/>
    <d v="2022-06-02T00:00:00"/>
    <n v="3.0246575342465754"/>
    <x v="42"/>
    <x v="0"/>
    <x v="8"/>
    <x v="1"/>
    <n v="8.26"/>
    <n v="8.16"/>
    <n v="8.06"/>
    <m/>
    <m/>
    <m/>
    <m/>
    <x v="3"/>
    <n v="4"/>
    <n v="5"/>
    <m/>
    <m/>
    <m/>
    <m/>
    <m/>
    <m/>
    <m/>
    <m/>
    <m/>
    <m/>
    <m/>
    <m/>
    <m/>
    <m/>
  </r>
  <r>
    <n v="1384"/>
    <n v="45676"/>
    <d v="2001-09-01T00:00:00"/>
    <n v="25"/>
    <x v="1"/>
    <x v="0"/>
    <d v="2022-12-23T00:00:00"/>
    <n v="3.8027397260273972"/>
    <x v="40"/>
    <x v="1"/>
    <x v="8"/>
    <x v="1"/>
    <n v="8.5399999999999991"/>
    <n v="8.25"/>
    <n v="8.06"/>
    <m/>
    <m/>
    <m/>
    <m/>
    <x v="2"/>
    <n v="2"/>
    <n v="5"/>
    <m/>
    <m/>
    <m/>
    <m/>
    <m/>
    <m/>
    <m/>
    <m/>
    <m/>
    <m/>
    <m/>
    <m/>
    <m/>
    <m/>
  </r>
  <r>
    <n v="1385"/>
    <n v="45690"/>
    <d v="2003-07-13T00:00:00"/>
    <n v="22"/>
    <x v="1"/>
    <x v="0"/>
    <d v="2022-03-14T00:00:00"/>
    <n v="2.9123287671232876"/>
    <x v="1"/>
    <x v="1"/>
    <x v="8"/>
    <x v="1"/>
    <n v="8.44"/>
    <n v="8.2899999999999991"/>
    <n v="8.06"/>
    <m/>
    <m/>
    <m/>
    <m/>
    <x v="3"/>
    <n v="2"/>
    <n v="4"/>
    <m/>
    <m/>
    <m/>
    <m/>
    <m/>
    <m/>
    <m/>
    <m/>
    <m/>
    <m/>
    <m/>
    <m/>
    <m/>
    <m/>
  </r>
  <r>
    <n v="1386"/>
    <n v="45691"/>
    <d v="2001-12-15T00:00:00"/>
    <n v="24"/>
    <x v="0"/>
    <x v="0"/>
    <d v="2023-02-02T00:00:00"/>
    <n v="3.7205479452054795"/>
    <x v="43"/>
    <x v="1"/>
    <x v="8"/>
    <x v="1"/>
    <n v="8.56"/>
    <n v="8.33"/>
    <m/>
    <m/>
    <m/>
    <m/>
    <m/>
    <x v="3"/>
    <n v="4"/>
    <n v="5"/>
    <m/>
    <m/>
    <m/>
    <m/>
    <m/>
    <m/>
    <m/>
    <m/>
    <m/>
    <m/>
    <m/>
    <m/>
    <m/>
    <m/>
  </r>
  <r>
    <n v="1387"/>
    <n v="45746"/>
    <d v="2001-09-10T00:00:00"/>
    <n v="24"/>
    <x v="1"/>
    <x v="1"/>
    <d v="2022-04-13T00:00:00"/>
    <n v="3.0602739726027397"/>
    <x v="90"/>
    <x v="1"/>
    <x v="8"/>
    <x v="1"/>
    <n v="8.4600000000000009"/>
    <n v="8.26"/>
    <n v="8.06"/>
    <m/>
    <m/>
    <m/>
    <m/>
    <x v="2"/>
    <n v="1"/>
    <n v="7"/>
    <m/>
    <m/>
    <m/>
    <m/>
    <m/>
    <m/>
    <m/>
    <m/>
    <m/>
    <m/>
    <m/>
    <m/>
    <m/>
    <m/>
  </r>
  <r>
    <n v="1388"/>
    <n v="45778"/>
    <d v="2001-11-21T00:00:00"/>
    <n v="24"/>
    <x v="1"/>
    <x v="1"/>
    <d v="2022-12-10T00:00:00"/>
    <n v="3.6136986301369864"/>
    <x v="120"/>
    <x v="1"/>
    <x v="11"/>
    <x v="1"/>
    <n v="16.579999999999998"/>
    <n v="16.38"/>
    <n v="16.18"/>
    <m/>
    <m/>
    <m/>
    <m/>
    <x v="2"/>
    <n v="0"/>
    <n v="6"/>
    <m/>
    <m/>
    <m/>
    <m/>
    <m/>
    <m/>
    <m/>
    <m/>
    <m/>
    <m/>
    <m/>
    <m/>
    <m/>
    <m/>
  </r>
  <r>
    <n v="1389"/>
    <n v="45799"/>
    <d v="1999-06-06T00:00:00"/>
    <n v="26"/>
    <x v="1"/>
    <x v="1"/>
    <d v="2022-05-22T00:00:00"/>
    <n v="3.56986301369863"/>
    <x v="114"/>
    <x v="1"/>
    <x v="11"/>
    <x v="1"/>
    <n v="16.579999999999998"/>
    <n v="16.38"/>
    <n v="16.18"/>
    <m/>
    <m/>
    <m/>
    <m/>
    <x v="2"/>
    <n v="2"/>
    <n v="7"/>
    <m/>
    <m/>
    <m/>
    <m/>
    <m/>
    <m/>
    <m/>
    <m/>
    <m/>
    <m/>
    <m/>
    <m/>
    <m/>
    <m/>
  </r>
  <r>
    <n v="1390"/>
    <n v="45802"/>
    <d v="2000-12-17T00:00:00"/>
    <n v="25"/>
    <x v="1"/>
    <x v="1"/>
    <d v="2022-06-07T00:00:00"/>
    <n v="3.4794520547945207"/>
    <x v="114"/>
    <x v="1"/>
    <x v="3"/>
    <x v="1"/>
    <n v="8.4600000000000009"/>
    <n v="8.26"/>
    <n v="8.06"/>
    <m/>
    <m/>
    <m/>
    <m/>
    <x v="3"/>
    <n v="2"/>
    <n v="7"/>
    <m/>
    <m/>
    <m/>
    <m/>
    <m/>
    <m/>
    <m/>
    <m/>
    <m/>
    <m/>
    <m/>
    <m/>
    <m/>
    <m/>
  </r>
  <r>
    <n v="1391"/>
    <n v="45815"/>
    <d v="2002-07-01T00:00:00"/>
    <n v="24"/>
    <x v="0"/>
    <x v="0"/>
    <d v="2022-07-10T00:00:00"/>
    <n v="3.7123287671232879"/>
    <x v="6"/>
    <x v="1"/>
    <x v="10"/>
    <x v="1"/>
    <n v="10.53"/>
    <n v="10.33"/>
    <n v="10.130000000000001"/>
    <m/>
    <m/>
    <m/>
    <m/>
    <x v="2"/>
    <n v="1"/>
    <n v="3"/>
    <m/>
    <m/>
    <m/>
    <m/>
    <m/>
    <m/>
    <m/>
    <m/>
    <m/>
    <m/>
    <m/>
    <m/>
    <m/>
    <m/>
  </r>
  <r>
    <n v="1392"/>
    <n v="45860"/>
    <d v="2001-10-23T00:00:00"/>
    <n v="24"/>
    <x v="0"/>
    <x v="1"/>
    <d v="2022-04-16T00:00:00"/>
    <n v="3.6219178082191781"/>
    <x v="9"/>
    <x v="1"/>
    <x v="6"/>
    <x v="1"/>
    <n v="23.23"/>
    <n v="22.93"/>
    <n v="22.63"/>
    <m/>
    <m/>
    <m/>
    <m/>
    <x v="4"/>
    <n v="5"/>
    <n v="5"/>
    <m/>
    <m/>
    <m/>
    <m/>
    <m/>
    <m/>
    <m/>
    <m/>
    <m/>
    <m/>
    <m/>
    <m/>
    <m/>
    <m/>
  </r>
  <r>
    <n v="1393"/>
    <n v="45908"/>
    <d v="1993-04-05T00:00:00"/>
    <n v="32"/>
    <x v="1"/>
    <x v="1"/>
    <d v="2022-05-19T00:00:00"/>
    <n v="3.6520547945205482"/>
    <x v="30"/>
    <x v="1"/>
    <x v="11"/>
    <x v="1"/>
    <n v="16.579999999999998"/>
    <n v="16.38"/>
    <n v="16.18"/>
    <m/>
    <m/>
    <m/>
    <m/>
    <x v="2"/>
    <n v="2"/>
    <n v="7"/>
    <m/>
    <m/>
    <m/>
    <m/>
    <m/>
    <m/>
    <m/>
    <m/>
    <m/>
    <m/>
    <m/>
    <m/>
    <m/>
    <m/>
  </r>
  <r>
    <n v="1394"/>
    <n v="45909"/>
    <d v="1995-09-22T00:00:00"/>
    <n v="30"/>
    <x v="1"/>
    <x v="1"/>
    <d v="2022-05-08T00:00:00"/>
    <n v="3.1589041095890411"/>
    <x v="30"/>
    <x v="1"/>
    <x v="11"/>
    <x v="1"/>
    <n v="16.579999999999998"/>
    <n v="16.38"/>
    <n v="16.18"/>
    <m/>
    <m/>
    <m/>
    <m/>
    <x v="4"/>
    <n v="2"/>
    <n v="5"/>
    <m/>
    <m/>
    <m/>
    <m/>
    <m/>
    <m/>
    <m/>
    <m/>
    <m/>
    <m/>
    <m/>
    <m/>
    <m/>
    <m/>
  </r>
  <r>
    <n v="1395"/>
    <n v="45919"/>
    <d v="2000-06-12T00:00:00"/>
    <n v="25"/>
    <x v="1"/>
    <x v="0"/>
    <d v="2022-11-04T00:00:00"/>
    <n v="3.3561643835616439"/>
    <x v="48"/>
    <x v="1"/>
    <x v="11"/>
    <x v="1"/>
    <n v="16.579999999999998"/>
    <n v="16.38"/>
    <n v="16.18"/>
    <m/>
    <m/>
    <m/>
    <m/>
    <x v="1"/>
    <n v="2"/>
    <n v="6"/>
    <m/>
    <m/>
    <m/>
    <m/>
    <m/>
    <m/>
    <m/>
    <m/>
    <m/>
    <m/>
    <m/>
    <m/>
    <m/>
    <m/>
  </r>
  <r>
    <n v="1396"/>
    <n v="45976"/>
    <d v="2004-08-07T00:00:00"/>
    <n v="21"/>
    <x v="1"/>
    <x v="1"/>
    <d v="2022-08-24T00:00:00"/>
    <n v="2.9369863013698629"/>
    <x v="95"/>
    <x v="1"/>
    <x v="10"/>
    <x v="1"/>
    <n v="10.33"/>
    <n v="10.23"/>
    <n v="10.130000000000001"/>
    <m/>
    <m/>
    <m/>
    <m/>
    <x v="1"/>
    <n v="0"/>
    <n v="6"/>
    <m/>
    <m/>
    <m/>
    <m/>
    <m/>
    <m/>
    <m/>
    <m/>
    <m/>
    <m/>
    <m/>
    <m/>
    <m/>
    <m/>
  </r>
  <r>
    <n v="1397"/>
    <n v="45990"/>
    <d v="2003-08-05T00:00:00"/>
    <n v="22"/>
    <x v="1"/>
    <x v="0"/>
    <d v="2023-01-24T00:00:00"/>
    <n v="3.3452054794520549"/>
    <x v="95"/>
    <x v="1"/>
    <x v="8"/>
    <x v="1"/>
    <n v="8.16"/>
    <n v="8.16"/>
    <m/>
    <m/>
    <m/>
    <m/>
    <m/>
    <x v="2"/>
    <n v="4"/>
    <n v="5"/>
    <m/>
    <m/>
    <m/>
    <m/>
    <m/>
    <m/>
    <m/>
    <m/>
    <m/>
    <m/>
    <m/>
    <m/>
    <m/>
    <m/>
  </r>
  <r>
    <n v="1398"/>
    <n v="46075"/>
    <d v="1996-09-07T00:00:00"/>
    <n v="29"/>
    <x v="1"/>
    <x v="1"/>
    <d v="2022-08-28T00:00:00"/>
    <n v="3.506849315068493"/>
    <x v="121"/>
    <x v="1"/>
    <x v="11"/>
    <x v="1"/>
    <n v="16.579999999999998"/>
    <n v="16.38"/>
    <n v="16.18"/>
    <m/>
    <m/>
    <m/>
    <m/>
    <x v="2"/>
    <n v="4"/>
    <n v="6"/>
    <m/>
    <m/>
    <m/>
    <m/>
    <m/>
    <m/>
    <m/>
    <m/>
    <m/>
    <m/>
    <m/>
    <m/>
    <m/>
    <m/>
  </r>
  <r>
    <n v="1399"/>
    <n v="46096"/>
    <d v="1995-11-03T00:00:00"/>
    <n v="30"/>
    <x v="0"/>
    <x v="1"/>
    <d v="2022-06-30T00:00:00"/>
    <n v="3.1671232876712327"/>
    <x v="53"/>
    <x v="1"/>
    <x v="6"/>
    <x v="1"/>
    <n v="23.23"/>
    <n v="22.93"/>
    <n v="22.63"/>
    <m/>
    <m/>
    <m/>
    <m/>
    <x v="3"/>
    <n v="5"/>
    <n v="6"/>
    <m/>
    <m/>
    <m/>
    <m/>
    <m/>
    <m/>
    <m/>
    <m/>
    <m/>
    <m/>
    <m/>
    <m/>
    <m/>
    <m/>
  </r>
  <r>
    <n v="1400"/>
    <n v="46114"/>
    <d v="1998-06-13T00:00:00"/>
    <n v="27"/>
    <x v="1"/>
    <x v="1"/>
    <d v="2022-11-01T00:00:00"/>
    <n v="3.4"/>
    <x v="54"/>
    <x v="1"/>
    <x v="11"/>
    <x v="1"/>
    <n v="16.579999999999998"/>
    <n v="16.38"/>
    <n v="16.18"/>
    <m/>
    <m/>
    <m/>
    <m/>
    <x v="3"/>
    <n v="2"/>
    <n v="5"/>
    <m/>
    <m/>
    <m/>
    <m/>
    <m/>
    <m/>
    <m/>
    <m/>
    <m/>
    <m/>
    <m/>
    <m/>
    <m/>
    <m/>
  </r>
  <r>
    <n v="1401"/>
    <n v="46175"/>
    <d v="1998-08-01T00:00:00"/>
    <n v="28"/>
    <x v="1"/>
    <x v="0"/>
    <d v="2022-08-08T00:00:00"/>
    <n v="2.8986301369863012"/>
    <x v="113"/>
    <x v="1"/>
    <x v="1"/>
    <x v="1"/>
    <n v="15.88"/>
    <n v="15.73"/>
    <n v="15.58"/>
    <m/>
    <m/>
    <m/>
    <m/>
    <x v="4"/>
    <n v="1"/>
    <n v="6"/>
    <m/>
    <m/>
    <m/>
    <m/>
    <m/>
    <m/>
    <m/>
    <m/>
    <m/>
    <m/>
    <m/>
    <m/>
    <m/>
    <m/>
  </r>
  <r>
    <n v="1402"/>
    <n v="46202"/>
    <d v="2002-03-01T00:00:00"/>
    <n v="24"/>
    <x v="1"/>
    <x v="1"/>
    <d v="2023-02-07T00:00:00"/>
    <n v="3.452054794520548"/>
    <x v="60"/>
    <x v="1"/>
    <x v="8"/>
    <x v="1"/>
    <n v="8.4600000000000009"/>
    <n v="8.26"/>
    <m/>
    <m/>
    <m/>
    <m/>
    <m/>
    <x v="2"/>
    <n v="3"/>
    <n v="7"/>
    <m/>
    <m/>
    <m/>
    <m/>
    <m/>
    <m/>
    <m/>
    <m/>
    <m/>
    <m/>
    <m/>
    <m/>
    <m/>
    <m/>
  </r>
  <r>
    <n v="1403"/>
    <n v="46223"/>
    <d v="1998-09-28T00:00:00"/>
    <n v="27"/>
    <x v="1"/>
    <x v="1"/>
    <d v="2022-07-20T00:00:00"/>
    <n v="3.1150684931506851"/>
    <x v="91"/>
    <x v="1"/>
    <x v="9"/>
    <x v="1"/>
    <n v="14"/>
    <n v="13.7"/>
    <n v="13.4"/>
    <m/>
    <m/>
    <m/>
    <m/>
    <x v="4"/>
    <n v="0"/>
    <n v="6"/>
    <m/>
    <m/>
    <m/>
    <m/>
    <m/>
    <m/>
    <m/>
    <m/>
    <m/>
    <m/>
    <m/>
    <m/>
    <m/>
    <m/>
  </r>
  <r>
    <n v="1404"/>
    <n v="46228"/>
    <d v="2000-09-26T00:00:00"/>
    <n v="25"/>
    <x v="1"/>
    <x v="1"/>
    <d v="2022-11-20T00:00:00"/>
    <n v="3.1589041095890411"/>
    <x v="91"/>
    <x v="1"/>
    <x v="8"/>
    <x v="1"/>
    <n v="8.4600000000000009"/>
    <n v="8.26"/>
    <n v="8.06"/>
    <m/>
    <m/>
    <m/>
    <m/>
    <x v="2"/>
    <n v="0"/>
    <n v="7"/>
    <m/>
    <m/>
    <m/>
    <m/>
    <m/>
    <m/>
    <m/>
    <m/>
    <m/>
    <m/>
    <m/>
    <m/>
    <m/>
    <m/>
  </r>
  <r>
    <n v="1405"/>
    <n v="46302"/>
    <d v="2001-04-16T00:00:00"/>
    <n v="24"/>
    <x v="0"/>
    <x v="1"/>
    <d v="2022-11-04T00:00:00"/>
    <n v="2.9616438356164383"/>
    <x v="65"/>
    <x v="1"/>
    <x v="6"/>
    <x v="1"/>
    <n v="23.23"/>
    <n v="22.93"/>
    <n v="22.63"/>
    <m/>
    <m/>
    <m/>
    <m/>
    <x v="3"/>
    <n v="6"/>
    <n v="6"/>
    <m/>
    <m/>
    <m/>
    <m/>
    <m/>
    <m/>
    <m/>
    <m/>
    <m/>
    <m/>
    <m/>
    <m/>
    <m/>
    <m/>
  </r>
  <r>
    <n v="1406"/>
    <n v="46319"/>
    <d v="2003-12-20T00:00:00"/>
    <n v="22"/>
    <x v="1"/>
    <x v="1"/>
    <d v="2023-01-15T00:00:00"/>
    <n v="3.3178082191780822"/>
    <x v="66"/>
    <x v="1"/>
    <x v="10"/>
    <x v="1"/>
    <n v="10.53"/>
    <n v="10.33"/>
    <m/>
    <m/>
    <m/>
    <m/>
    <m/>
    <x v="2"/>
    <n v="0"/>
    <n v="4"/>
    <m/>
    <m/>
    <m/>
    <m/>
    <m/>
    <m/>
    <m/>
    <m/>
    <m/>
    <m/>
    <m/>
    <m/>
    <m/>
    <m/>
  </r>
  <r>
    <n v="1407"/>
    <n v="46350"/>
    <d v="1996-08-24T00:00:00"/>
    <n v="29"/>
    <x v="0"/>
    <x v="1"/>
    <d v="2022-09-07T00:00:00"/>
    <n v="3.3506849315068492"/>
    <x v="69"/>
    <x v="1"/>
    <x v="7"/>
    <x v="1"/>
    <n v="17.34"/>
    <n v="17.04"/>
    <n v="16.739999999999998"/>
    <m/>
    <m/>
    <m/>
    <m/>
    <x v="4"/>
    <n v="2"/>
    <n v="5"/>
    <m/>
    <m/>
    <m/>
    <m/>
    <m/>
    <m/>
    <m/>
    <m/>
    <m/>
    <m/>
    <m/>
    <m/>
    <m/>
    <m/>
  </r>
  <r>
    <n v="1408"/>
    <n v="46395"/>
    <d v="2001-09-11T00:00:00"/>
    <n v="24"/>
    <x v="1"/>
    <x v="1"/>
    <d v="2022-08-26T00:00:00"/>
    <n v="3.5890410958904111"/>
    <x v="70"/>
    <x v="1"/>
    <x v="8"/>
    <x v="1"/>
    <n v="8.4600000000000009"/>
    <n v="8.26"/>
    <n v="8.06"/>
    <m/>
    <m/>
    <m/>
    <m/>
    <x v="2"/>
    <n v="2"/>
    <n v="6"/>
    <m/>
    <m/>
    <m/>
    <m/>
    <m/>
    <m/>
    <m/>
    <m/>
    <m/>
    <m/>
    <m/>
    <m/>
    <m/>
    <m/>
  </r>
  <r>
    <n v="1409"/>
    <n v="46440"/>
    <d v="2001-07-16T00:00:00"/>
    <n v="24"/>
    <x v="1"/>
    <x v="1"/>
    <d v="2022-05-31T00:00:00"/>
    <n v="3.591780821917808"/>
    <x v="131"/>
    <x v="1"/>
    <x v="8"/>
    <x v="1"/>
    <n v="8.16"/>
    <n v="8.16"/>
    <n v="8.06"/>
    <m/>
    <m/>
    <m/>
    <m/>
    <x v="2"/>
    <n v="1"/>
    <n v="6"/>
    <m/>
    <m/>
    <m/>
    <m/>
    <m/>
    <m/>
    <m/>
    <m/>
    <m/>
    <m/>
    <m/>
    <m/>
    <m/>
    <m/>
  </r>
  <r>
    <n v="1410"/>
    <n v="46469"/>
    <d v="1976-06-05T00:00:00"/>
    <n v="49"/>
    <x v="0"/>
    <x v="1"/>
    <d v="2022-05-30T00:00:00"/>
    <n v="3.6465753424657534"/>
    <x v="74"/>
    <x v="1"/>
    <x v="6"/>
    <x v="1"/>
    <n v="23.23"/>
    <n v="22.93"/>
    <n v="22.63"/>
    <m/>
    <m/>
    <m/>
    <m/>
    <x v="2"/>
    <n v="7"/>
    <n v="6"/>
    <m/>
    <m/>
    <m/>
    <m/>
    <m/>
    <m/>
    <m/>
    <m/>
    <m/>
    <m/>
    <m/>
    <m/>
    <m/>
    <m/>
  </r>
  <r>
    <n v="1411"/>
    <n v="46494"/>
    <d v="2003-08-12T00:00:00"/>
    <n v="22"/>
    <x v="1"/>
    <x v="1"/>
    <d v="2022-05-10T00:00:00"/>
    <n v="3.2767123287671232"/>
    <x v="75"/>
    <x v="1"/>
    <x v="8"/>
    <x v="1"/>
    <n v="8.4600000000000009"/>
    <n v="8.26"/>
    <n v="8.06"/>
    <m/>
    <m/>
    <m/>
    <m/>
    <x v="2"/>
    <n v="2"/>
    <n v="6"/>
    <m/>
    <m/>
    <m/>
    <m/>
    <m/>
    <m/>
    <m/>
    <m/>
    <m/>
    <m/>
    <m/>
    <m/>
    <m/>
    <m/>
  </r>
  <r>
    <n v="1412"/>
    <n v="46509"/>
    <d v="2001-12-24T00:00:00"/>
    <n v="24"/>
    <x v="1"/>
    <x v="1"/>
    <d v="2022-09-22T00:00:00"/>
    <n v="2.8136986301369862"/>
    <x v="76"/>
    <x v="1"/>
    <x v="11"/>
    <x v="1"/>
    <n v="16.579999999999998"/>
    <n v="16.38"/>
    <n v="16.18"/>
    <m/>
    <m/>
    <m/>
    <m/>
    <x v="2"/>
    <n v="2"/>
    <n v="7"/>
    <m/>
    <m/>
    <m/>
    <m/>
    <m/>
    <m/>
    <m/>
    <m/>
    <m/>
    <m/>
    <m/>
    <m/>
    <m/>
    <m/>
  </r>
  <r>
    <n v="1413"/>
    <n v="46566"/>
    <d v="1998-09-20T00:00:00"/>
    <n v="27"/>
    <x v="0"/>
    <x v="0"/>
    <d v="2023-03-10T00:00:00"/>
    <n v="3.1671232876712327"/>
    <x v="79"/>
    <x v="1"/>
    <x v="11"/>
    <x v="1"/>
    <n v="16.579999999999998"/>
    <n v="16.38"/>
    <m/>
    <m/>
    <m/>
    <m/>
    <m/>
    <x v="4"/>
    <n v="1"/>
    <n v="5"/>
    <m/>
    <m/>
    <m/>
    <m/>
    <m/>
    <m/>
    <m/>
    <m/>
    <m/>
    <m/>
    <m/>
    <m/>
    <m/>
    <m/>
  </r>
  <r>
    <n v="1414"/>
    <n v="46646"/>
    <d v="1998-03-22T00:00:00"/>
    <n v="27"/>
    <x v="1"/>
    <x v="0"/>
    <d v="2022-11-01T00:00:00"/>
    <n v="3.1643835616438358"/>
    <x v="107"/>
    <x v="1"/>
    <x v="11"/>
    <x v="1"/>
    <n v="16.579999999999998"/>
    <n v="16.38"/>
    <n v="16.18"/>
    <m/>
    <m/>
    <m/>
    <m/>
    <x v="4"/>
    <n v="1"/>
    <n v="6"/>
    <m/>
    <m/>
    <m/>
    <m/>
    <m/>
    <m/>
    <m/>
    <m/>
    <m/>
    <m/>
    <m/>
    <m/>
    <m/>
    <m/>
  </r>
  <r>
    <n v="1415"/>
    <n v="46728"/>
    <d v="2002-11-24T00:00:00"/>
    <n v="23"/>
    <x v="0"/>
    <x v="1"/>
    <d v="2022-11-02T00:00:00"/>
    <n v="3.8246575342465752"/>
    <x v="89"/>
    <x v="1"/>
    <x v="6"/>
    <x v="1"/>
    <n v="23.23"/>
    <n v="22.93"/>
    <n v="22.63"/>
    <m/>
    <m/>
    <m/>
    <m/>
    <x v="4"/>
    <n v="6"/>
    <n v="6"/>
    <m/>
    <m/>
    <m/>
    <m/>
    <m/>
    <m/>
    <m/>
    <m/>
    <m/>
    <m/>
    <m/>
    <m/>
    <m/>
    <m/>
  </r>
  <r>
    <n v="1416"/>
    <n v="46781"/>
    <d v="1996-05-17T00:00:00"/>
    <n v="29"/>
    <x v="0"/>
    <x v="0"/>
    <d v="2022-03-06T00:00:00"/>
    <n v="3.1753424657534248"/>
    <x v="99"/>
    <x v="1"/>
    <x v="7"/>
    <x v="1"/>
    <n v="17.04"/>
    <n v="16.89"/>
    <n v="16.739999999999998"/>
    <m/>
    <m/>
    <m/>
    <m/>
    <x v="1"/>
    <n v="2"/>
    <n v="5"/>
    <m/>
    <m/>
    <m/>
    <m/>
    <m/>
    <m/>
    <m/>
    <m/>
    <m/>
    <m/>
    <m/>
    <m/>
    <m/>
    <m/>
  </r>
  <r>
    <n v="1417"/>
    <n v="46812"/>
    <d v="2005-08-18T00:00:00"/>
    <n v="20"/>
    <x v="1"/>
    <x v="1"/>
    <d v="2022-10-29T00:00:00"/>
    <n v="3.4465753424657533"/>
    <x v="84"/>
    <x v="1"/>
    <x v="8"/>
    <x v="1"/>
    <n v="8.4600000000000009"/>
    <n v="8.26"/>
    <n v="8.06"/>
    <m/>
    <m/>
    <m/>
    <m/>
    <x v="2"/>
    <n v="0"/>
    <n v="5"/>
    <m/>
    <m/>
    <m/>
    <m/>
    <m/>
    <m/>
    <m/>
    <m/>
    <m/>
    <m/>
    <m/>
    <m/>
    <m/>
    <m/>
  </r>
  <r>
    <n v="1418"/>
    <n v="46813"/>
    <d v="2000-05-02T00:00:00"/>
    <n v="25"/>
    <x v="0"/>
    <x v="1"/>
    <d v="2022-07-22T00:00:00"/>
    <n v="3.1424657534246574"/>
    <x v="101"/>
    <x v="1"/>
    <x v="10"/>
    <x v="1"/>
    <n v="10.52"/>
    <n v="10.4"/>
    <n v="10.130000000000001"/>
    <m/>
    <m/>
    <m/>
    <m/>
    <x v="2"/>
    <n v="0"/>
    <n v="3"/>
    <m/>
    <m/>
    <m/>
    <m/>
    <m/>
    <m/>
    <m/>
    <m/>
    <m/>
    <m/>
    <m/>
    <m/>
    <m/>
    <m/>
  </r>
  <r>
    <n v="1419"/>
    <n v="46826"/>
    <d v="1998-06-12T00:00:00"/>
    <n v="27"/>
    <x v="0"/>
    <x v="1"/>
    <d v="2022-11-10T00:00:00"/>
    <n v="3.441095890410959"/>
    <x v="86"/>
    <x v="1"/>
    <x v="1"/>
    <x v="1"/>
    <n v="16.18"/>
    <n v="15.88"/>
    <n v="15.58"/>
    <m/>
    <m/>
    <m/>
    <m/>
    <x v="4"/>
    <n v="2"/>
    <n v="6"/>
    <m/>
    <m/>
    <m/>
    <m/>
    <m/>
    <m/>
    <m/>
    <m/>
    <m/>
    <m/>
    <m/>
    <m/>
    <m/>
    <m/>
  </r>
  <r>
    <n v="1420"/>
    <n v="46861"/>
    <d v="2005-08-13T00:00:00"/>
    <n v="20"/>
    <x v="1"/>
    <x v="1"/>
    <d v="2022-07-24T00:00:00"/>
    <n v="3.5616438356164384"/>
    <x v="132"/>
    <x v="1"/>
    <x v="8"/>
    <x v="1"/>
    <n v="8.26"/>
    <n v="8.16"/>
    <n v="8.06"/>
    <m/>
    <m/>
    <m/>
    <m/>
    <x v="2"/>
    <n v="2"/>
    <n v="4"/>
    <m/>
    <m/>
    <m/>
    <m/>
    <m/>
    <m/>
    <m/>
    <m/>
    <m/>
    <m/>
    <m/>
    <m/>
    <m/>
    <m/>
  </r>
  <r>
    <n v="1421"/>
    <n v="46891"/>
    <d v="2001-06-01T00:00:00"/>
    <n v="25"/>
    <x v="1"/>
    <x v="1"/>
    <d v="2022-06-10T00:00:00"/>
    <n v="2.9150684931506849"/>
    <x v="98"/>
    <x v="1"/>
    <x v="8"/>
    <x v="1"/>
    <n v="8.5299999999999994"/>
    <n v="8.32"/>
    <n v="8.06"/>
    <m/>
    <m/>
    <m/>
    <m/>
    <x v="3"/>
    <n v="1"/>
    <n v="7"/>
    <m/>
    <m/>
    <m/>
    <m/>
    <m/>
    <m/>
    <m/>
    <m/>
    <m/>
    <m/>
    <m/>
    <m/>
    <m/>
    <m/>
  </r>
  <r>
    <n v="1422"/>
    <n v="46922"/>
    <d v="2001-08-14T00:00:00"/>
    <n v="24"/>
    <x v="1"/>
    <x v="1"/>
    <d v="2023-02-01T00:00:00"/>
    <n v="3.5780821917808221"/>
    <x v="126"/>
    <x v="1"/>
    <x v="8"/>
    <x v="1"/>
    <n v="8.26"/>
    <n v="8.16"/>
    <m/>
    <m/>
    <m/>
    <m/>
    <m/>
    <x v="4"/>
    <n v="0"/>
    <n v="5"/>
    <m/>
    <m/>
    <m/>
    <m/>
    <m/>
    <m/>
    <m/>
    <m/>
    <m/>
    <m/>
    <m/>
    <m/>
    <m/>
    <m/>
  </r>
  <r>
    <n v="1423"/>
    <n v="46935"/>
    <d v="2001-09-08T00:00:00"/>
    <n v="24"/>
    <x v="1"/>
    <x v="1"/>
    <d v="2022-06-04T00:00:00"/>
    <n v="1.4164383561643836"/>
    <x v="128"/>
    <x v="1"/>
    <x v="8"/>
    <x v="1"/>
    <n v="8.48"/>
    <n v="8.36"/>
    <n v="8.06"/>
    <m/>
    <m/>
    <m/>
    <m/>
    <x v="4"/>
    <n v="2"/>
    <n v="7"/>
    <m/>
    <m/>
    <m/>
    <m/>
    <m/>
    <m/>
    <m/>
    <m/>
    <m/>
    <m/>
    <m/>
    <m/>
    <m/>
    <m/>
  </r>
  <r>
    <n v="1424"/>
    <n v="46966"/>
    <d v="1998-02-02T00:00:00"/>
    <n v="27"/>
    <x v="0"/>
    <x v="1"/>
    <d v="2024-08-01T00:00:00"/>
    <n v="1.4164383561643836"/>
    <x v="45"/>
    <x v="0"/>
    <x v="12"/>
    <x v="0"/>
    <n v="53524"/>
    <m/>
    <m/>
    <m/>
    <m/>
    <m/>
    <m/>
    <x v="5"/>
    <n v="1"/>
    <n v="5"/>
    <n v="5"/>
    <d v="2024-07-22T00:00:00"/>
    <s v="Assistant Manager, Medium Market"/>
    <m/>
    <m/>
    <m/>
    <m/>
    <n v="5"/>
    <m/>
    <m/>
    <m/>
    <m/>
    <m/>
    <m/>
  </r>
  <r>
    <n v="1425"/>
    <n v="46967"/>
    <d v="1998-06-05T00:00:00"/>
    <n v="27"/>
    <x v="1"/>
    <x v="1"/>
    <d v="2024-08-01T00:00:00"/>
    <n v="1.4164383561643836"/>
    <x v="16"/>
    <x v="0"/>
    <x v="12"/>
    <x v="0"/>
    <n v="54024"/>
    <m/>
    <m/>
    <m/>
    <m/>
    <m/>
    <m/>
    <x v="9"/>
    <n v="2"/>
    <n v="6"/>
    <n v="6"/>
    <d v="2024-04-08T00:00:00"/>
    <s v="Assistant Manager, Medium Market"/>
    <m/>
    <m/>
    <m/>
    <m/>
    <n v="3"/>
    <m/>
    <m/>
    <m/>
    <m/>
    <m/>
    <m/>
  </r>
  <r>
    <n v="1426"/>
    <n v="46968"/>
    <d v="1997-10-11T00:00:00"/>
    <n v="28"/>
    <x v="1"/>
    <x v="1"/>
    <d v="2024-08-01T00:00:00"/>
    <n v="2.419178082191781"/>
    <x v="22"/>
    <x v="0"/>
    <x v="12"/>
    <x v="0"/>
    <n v="54024"/>
    <m/>
    <m/>
    <m/>
    <m/>
    <m/>
    <m/>
    <x v="7"/>
    <n v="4"/>
    <n v="7"/>
    <n v="6"/>
    <d v="2024-05-25T00:00:00"/>
    <s v="Assistant Manager, Medium Market"/>
    <m/>
    <m/>
    <m/>
    <m/>
    <n v="3"/>
    <m/>
    <m/>
    <m/>
    <m/>
    <m/>
    <m/>
  </r>
  <r>
    <n v="1427"/>
    <n v="46969"/>
    <d v="1999-11-01T00:00:00"/>
    <n v="27"/>
    <x v="1"/>
    <x v="1"/>
    <d v="2023-08-01T00:00:00"/>
    <n v="1.4164383561643836"/>
    <x v="5"/>
    <x v="0"/>
    <x v="12"/>
    <x v="0"/>
    <n v="54024"/>
    <n v="52024"/>
    <m/>
    <m/>
    <m/>
    <m/>
    <m/>
    <x v="8"/>
    <n v="4"/>
    <n v="7"/>
    <n v="6"/>
    <d v="2024-08-15T00:00:00"/>
    <s v="Assistant Manager, Medium Market"/>
    <m/>
    <m/>
    <m/>
    <m/>
    <n v="5"/>
    <n v="5"/>
    <m/>
    <m/>
    <m/>
    <m/>
    <m/>
  </r>
  <r>
    <n v="1428"/>
    <n v="46970"/>
    <d v="1997-07-05T00:00:00"/>
    <n v="28"/>
    <x v="1"/>
    <x v="1"/>
    <d v="2024-08-01T00:00:00"/>
    <n v="1.4164383561643836"/>
    <x v="59"/>
    <x v="0"/>
    <x v="12"/>
    <x v="0"/>
    <n v="54109"/>
    <m/>
    <m/>
    <m/>
    <m/>
    <m/>
    <m/>
    <x v="8"/>
    <n v="2"/>
    <n v="7"/>
    <n v="7"/>
    <d v="2024-06-13T00:00:00"/>
    <s v="Assistant Manager, Medium Market"/>
    <m/>
    <m/>
    <m/>
    <m/>
    <n v="5"/>
    <m/>
    <m/>
    <m/>
    <m/>
    <m/>
    <m/>
  </r>
  <r>
    <n v="1429"/>
    <n v="46971"/>
    <d v="1997-09-18T00:00:00"/>
    <n v="28"/>
    <x v="0"/>
    <x v="1"/>
    <d v="2024-08-01T00:00:00"/>
    <n v="1.4164383561643836"/>
    <x v="136"/>
    <x v="0"/>
    <x v="12"/>
    <x v="0"/>
    <n v="55201"/>
    <m/>
    <m/>
    <m/>
    <m/>
    <m/>
    <m/>
    <x v="12"/>
    <n v="1"/>
    <n v="3"/>
    <n v="4"/>
    <d v="2024-09-28T00:00:00"/>
    <s v="Assistant Manager, Medium Market"/>
    <m/>
    <m/>
    <m/>
    <m/>
    <n v="2"/>
    <m/>
    <m/>
    <m/>
    <m/>
    <m/>
    <m/>
  </r>
  <r>
    <n v="1430"/>
    <n v="46972"/>
    <d v="1995-01-01T00:00:00"/>
    <n v="31"/>
    <x v="1"/>
    <x v="1"/>
    <d v="2024-08-01T00:00:00"/>
    <n v="1.4164383561643836"/>
    <x v="27"/>
    <x v="0"/>
    <x v="12"/>
    <x v="0"/>
    <n v="54024"/>
    <m/>
    <m/>
    <m/>
    <m/>
    <m/>
    <m/>
    <x v="11"/>
    <n v="4"/>
    <n v="6"/>
    <n v="6"/>
    <d v="2024-06-02T00:00:00"/>
    <s v="Assistant Manager, Medium Market"/>
    <m/>
    <m/>
    <m/>
    <m/>
    <n v="1"/>
    <m/>
    <m/>
    <m/>
    <m/>
    <m/>
    <m/>
  </r>
  <r>
    <n v="1431"/>
    <n v="46973"/>
    <d v="1998-11-17T00:00:00"/>
    <n v="27"/>
    <x v="0"/>
    <x v="1"/>
    <d v="2024-08-01T00:00:00"/>
    <n v="1.4164383561643836"/>
    <x v="83"/>
    <x v="0"/>
    <x v="12"/>
    <x v="0"/>
    <n v="53524"/>
    <m/>
    <m/>
    <m/>
    <m/>
    <m/>
    <m/>
    <x v="10"/>
    <n v="4"/>
    <n v="5"/>
    <n v="5"/>
    <d v="2024-06-28T00:00:00"/>
    <s v="Assistant Manager, Medium Market"/>
    <m/>
    <m/>
    <m/>
    <m/>
    <n v="3"/>
    <m/>
    <m/>
    <m/>
    <m/>
    <m/>
    <m/>
  </r>
  <r>
    <n v="1432"/>
    <n v="46974"/>
    <d v="1997-10-25T00:00:00"/>
    <n v="28"/>
    <x v="1"/>
    <x v="0"/>
    <d v="2024-08-01T00:00:00"/>
    <n v="2.419178082191781"/>
    <x v="82"/>
    <x v="0"/>
    <x v="12"/>
    <x v="0"/>
    <n v="53524"/>
    <m/>
    <m/>
    <m/>
    <m/>
    <m/>
    <m/>
    <x v="6"/>
    <n v="2"/>
    <n v="6"/>
    <n v="7"/>
    <d v="2024-08-26T00:00:00"/>
    <s v="Assistant Manager, Medium Market"/>
    <m/>
    <m/>
    <m/>
    <m/>
    <n v="4"/>
    <m/>
    <m/>
    <m/>
    <m/>
    <m/>
    <m/>
  </r>
  <r>
    <n v="1433"/>
    <n v="46975"/>
    <d v="1998-09-01T00:00:00"/>
    <n v="28"/>
    <x v="1"/>
    <x v="1"/>
    <d v="2023-08-01T00:00:00"/>
    <n v="2.419178082191781"/>
    <x v="82"/>
    <x v="0"/>
    <x v="12"/>
    <x v="0"/>
    <n v="53524"/>
    <n v="52024"/>
    <m/>
    <m/>
    <m/>
    <m/>
    <m/>
    <x v="5"/>
    <n v="4"/>
    <n v="7"/>
    <n v="6"/>
    <d v="2024-04-15T00:00:00"/>
    <s v="Assistant Manager, Medium Market"/>
    <m/>
    <m/>
    <m/>
    <m/>
    <n v="3"/>
    <n v="4"/>
    <m/>
    <m/>
    <m/>
    <m/>
    <m/>
  </r>
  <r>
    <n v="1434"/>
    <n v="46976"/>
    <d v="1995-11-08T00:00:00"/>
    <n v="30"/>
    <x v="1"/>
    <x v="1"/>
    <d v="2023-08-01T00:00:00"/>
    <n v="2.419178082191781"/>
    <x v="142"/>
    <x v="0"/>
    <x v="12"/>
    <x v="0"/>
    <n v="53524"/>
    <n v="52024"/>
    <m/>
    <m/>
    <m/>
    <m/>
    <m/>
    <x v="7"/>
    <n v="3"/>
    <n v="7"/>
    <n v="7"/>
    <d v="2024-03-15T00:00:00"/>
    <s v="Assistant Manager, Medium Market"/>
    <m/>
    <m/>
    <m/>
    <m/>
    <n v="3"/>
    <n v="5"/>
    <m/>
    <m/>
    <m/>
    <m/>
    <m/>
  </r>
  <r>
    <n v="1435"/>
    <n v="46977"/>
    <d v="1994-06-08T00:00:00"/>
    <n v="31"/>
    <x v="0"/>
    <x v="1"/>
    <d v="2023-08-01T00:00:00"/>
    <n v="1.4164383561643836"/>
    <x v="63"/>
    <x v="0"/>
    <x v="12"/>
    <x v="0"/>
    <n v="55792"/>
    <n v="52024"/>
    <m/>
    <m/>
    <m/>
    <m/>
    <m/>
    <x v="5"/>
    <n v="4"/>
    <n v="6"/>
    <n v="5"/>
    <d v="2024-04-14T00:00:00"/>
    <s v="Assistant Manager, Medium Market"/>
    <m/>
    <m/>
    <m/>
    <m/>
    <n v="5"/>
    <n v="4"/>
    <m/>
    <m/>
    <m/>
    <m/>
    <m/>
  </r>
  <r>
    <n v="1436"/>
    <n v="46978"/>
    <d v="1997-07-06T00:00:00"/>
    <n v="28"/>
    <x v="1"/>
    <x v="1"/>
    <d v="2024-08-01T00:00:00"/>
    <n v="2.419178082191781"/>
    <x v="127"/>
    <x v="0"/>
    <x v="12"/>
    <x v="0"/>
    <n v="53524"/>
    <m/>
    <m/>
    <m/>
    <m/>
    <m/>
    <m/>
    <x v="9"/>
    <n v="2"/>
    <n v="6"/>
    <n v="6"/>
    <d v="2024-09-09T00:00:00"/>
    <s v="Assistant Manager, Medium Market"/>
    <m/>
    <m/>
    <m/>
    <m/>
    <n v="4"/>
    <m/>
    <m/>
    <m/>
    <m/>
    <m/>
    <m/>
  </r>
  <r>
    <n v="1437"/>
    <n v="46979"/>
    <d v="1997-11-01T00:00:00"/>
    <n v="29"/>
    <x v="1"/>
    <x v="1"/>
    <d v="2023-08-01T00:00:00"/>
    <n v="1.821917808219178"/>
    <x v="137"/>
    <x v="0"/>
    <x v="12"/>
    <x v="0"/>
    <n v="53524"/>
    <n v="52024"/>
    <m/>
    <m/>
    <m/>
    <m/>
    <m/>
    <x v="11"/>
    <n v="1"/>
    <n v="6"/>
    <n v="5"/>
    <d v="2024-03-14T00:00:00"/>
    <s v="Assistant Manager, Medium Market"/>
    <m/>
    <m/>
    <m/>
    <m/>
    <n v="1"/>
    <n v="1"/>
    <m/>
    <m/>
    <m/>
    <m/>
    <m/>
  </r>
  <r>
    <n v="1438"/>
    <n v="46980"/>
    <d v="1992-08-31T00:00:00"/>
    <n v="33"/>
    <x v="0"/>
    <x v="0"/>
    <d v="2024-03-06T00:00:00"/>
    <n v="2.419178082191781"/>
    <x v="138"/>
    <x v="0"/>
    <x v="0"/>
    <x v="0"/>
    <n v="77519"/>
    <m/>
    <m/>
    <m/>
    <m/>
    <m/>
    <m/>
    <x v="12"/>
    <n v="4"/>
    <n v="5"/>
    <n v="5"/>
    <m/>
    <m/>
    <m/>
    <m/>
    <m/>
    <m/>
    <n v="5"/>
    <m/>
    <m/>
    <m/>
    <m/>
    <m/>
    <m/>
  </r>
  <r>
    <n v="1439"/>
    <n v="46985"/>
    <d v="1998-06-17T00:00:00"/>
    <n v="27"/>
    <x v="0"/>
    <x v="1"/>
    <d v="2023-08-01T00:00:00"/>
    <n v="1.4164383561643836"/>
    <x v="138"/>
    <x v="0"/>
    <x v="12"/>
    <x v="0"/>
    <n v="54024"/>
    <n v="52024"/>
    <m/>
    <m/>
    <m/>
    <m/>
    <m/>
    <x v="11"/>
    <n v="4"/>
    <n v="6"/>
    <n v="6"/>
    <d v="2024-08-12T00:00:00"/>
    <s v="Assistant Manager, Medium Market"/>
    <m/>
    <m/>
    <m/>
    <m/>
    <n v="4"/>
    <n v="1"/>
    <m/>
    <m/>
    <m/>
    <m/>
    <m/>
  </r>
  <r>
    <n v="1440"/>
    <n v="46986"/>
    <d v="1998-03-30T00:00:00"/>
    <n v="27"/>
    <x v="1"/>
    <x v="1"/>
    <d v="2024-08-01T00:00:00"/>
    <n v="1.4164383561643836"/>
    <x v="26"/>
    <x v="0"/>
    <x v="12"/>
    <x v="0"/>
    <n v="56119"/>
    <m/>
    <m/>
    <m/>
    <m/>
    <m/>
    <m/>
    <x v="11"/>
    <n v="1"/>
    <n v="6"/>
    <n v="7"/>
    <d v="2024-09-17T00:00:00"/>
    <s v="Assistant Manager, Medium Market"/>
    <m/>
    <m/>
    <m/>
    <m/>
    <n v="5"/>
    <m/>
    <m/>
    <m/>
    <m/>
    <m/>
    <m/>
  </r>
  <r>
    <n v="1441"/>
    <n v="46987"/>
    <d v="1994-01-28T00:00:00"/>
    <n v="31"/>
    <x v="1"/>
    <x v="1"/>
    <d v="2024-08-01T00:00:00"/>
    <n v="1.4164383561643836"/>
    <x v="31"/>
    <x v="0"/>
    <x v="12"/>
    <x v="0"/>
    <n v="54024"/>
    <m/>
    <m/>
    <m/>
    <m/>
    <m/>
    <m/>
    <x v="7"/>
    <n v="2"/>
    <n v="7"/>
    <n v="7"/>
    <d v="2024-03-28T00:00:00"/>
    <s v="Assistant Manager, Medium Market"/>
    <m/>
    <m/>
    <m/>
    <m/>
    <n v="2"/>
    <m/>
    <m/>
    <m/>
    <m/>
    <m/>
    <m/>
  </r>
  <r>
    <n v="1442"/>
    <n v="46988"/>
    <d v="1997-07-21T00:00:00"/>
    <n v="28"/>
    <x v="1"/>
    <x v="1"/>
    <d v="2024-08-01T00:00:00"/>
    <n v="2.419178082191781"/>
    <x v="78"/>
    <x v="0"/>
    <x v="12"/>
    <x v="0"/>
    <n v="53524"/>
    <m/>
    <m/>
    <m/>
    <m/>
    <m/>
    <m/>
    <x v="9"/>
    <n v="2"/>
    <n v="6"/>
    <n v="6"/>
    <d v="2024-03-06T00:00:00"/>
    <s v="Assistant Manager, Medium Market"/>
    <m/>
    <m/>
    <m/>
    <m/>
    <n v="4"/>
    <m/>
    <m/>
    <m/>
    <m/>
    <m/>
    <m/>
  </r>
  <r>
    <n v="1443"/>
    <n v="46989"/>
    <d v="1998-07-14T00:00:00"/>
    <n v="27"/>
    <x v="1"/>
    <x v="1"/>
    <d v="2023-08-01T00:00:00"/>
    <n v="1.4164383561643836"/>
    <x v="77"/>
    <x v="0"/>
    <x v="12"/>
    <x v="0"/>
    <n v="57024"/>
    <n v="52024"/>
    <m/>
    <m/>
    <m/>
    <m/>
    <m/>
    <x v="12"/>
    <n v="4"/>
    <n v="6"/>
    <n v="6"/>
    <d v="2024-10-11T00:00:00"/>
    <s v="Assistant Manager, Medium Market"/>
    <m/>
    <m/>
    <m/>
    <m/>
    <n v="5"/>
    <n v="5"/>
    <m/>
    <m/>
    <m/>
    <m/>
    <m/>
  </r>
  <r>
    <n v="1444"/>
    <n v="46990"/>
    <d v="1998-04-07T00:00:00"/>
    <n v="27"/>
    <x v="1"/>
    <x v="0"/>
    <d v="2024-08-01T00:00:00"/>
    <n v="1.4164383561643836"/>
    <x v="3"/>
    <x v="0"/>
    <x v="12"/>
    <x v="0"/>
    <n v="54024"/>
    <m/>
    <m/>
    <m/>
    <m/>
    <m/>
    <m/>
    <x v="10"/>
    <n v="1"/>
    <n v="7"/>
    <n v="5"/>
    <d v="2024-09-07T00:00:00"/>
    <s v="Assistant Manager, Medium Market"/>
    <m/>
    <m/>
    <m/>
    <m/>
    <n v="2"/>
    <m/>
    <m/>
    <m/>
    <m/>
    <m/>
    <m/>
  </r>
  <r>
    <n v="1445"/>
    <n v="46991"/>
    <d v="1998-11-17T00:00:00"/>
    <n v="27"/>
    <x v="1"/>
    <x v="0"/>
    <d v="2024-08-01T00:00:00"/>
    <n v="1.4164383561643836"/>
    <x v="50"/>
    <x v="0"/>
    <x v="12"/>
    <x v="0"/>
    <n v="53524"/>
    <m/>
    <m/>
    <m/>
    <m/>
    <m/>
    <m/>
    <x v="9"/>
    <n v="1"/>
    <n v="5"/>
    <n v="7"/>
    <d v="2024-12-20T00:00:00"/>
    <s v="Assistant Manager, Medium Market"/>
    <m/>
    <m/>
    <m/>
    <m/>
    <n v="2"/>
    <m/>
    <m/>
    <m/>
    <m/>
    <m/>
    <m/>
  </r>
  <r>
    <n v="1446"/>
    <n v="46992"/>
    <d v="1999-05-16T00:00:00"/>
    <n v="26"/>
    <x v="1"/>
    <x v="1"/>
    <d v="2024-08-01T00:00:00"/>
    <n v="1.4164383561643836"/>
    <x v="52"/>
    <x v="0"/>
    <x v="12"/>
    <x v="0"/>
    <n v="53524"/>
    <m/>
    <m/>
    <m/>
    <m/>
    <m/>
    <m/>
    <x v="5"/>
    <n v="4"/>
    <n v="7"/>
    <n v="7"/>
    <d v="2024-12-05T00:00:00"/>
    <s v="Assistant Manager, Medium Market"/>
    <m/>
    <m/>
    <m/>
    <m/>
    <n v="3"/>
    <m/>
    <m/>
    <m/>
    <m/>
    <m/>
    <m/>
  </r>
  <r>
    <n v="1447"/>
    <n v="46993"/>
    <d v="1998-04-05T00:00:00"/>
    <n v="27"/>
    <x v="0"/>
    <x v="0"/>
    <d v="2024-08-01T00:00:00"/>
    <n v="2.419178082191781"/>
    <x v="140"/>
    <x v="0"/>
    <x v="12"/>
    <x v="0"/>
    <n v="56024"/>
    <m/>
    <m/>
    <m/>
    <m/>
    <m/>
    <m/>
    <x v="7"/>
    <n v="2"/>
    <n v="4"/>
    <n v="4"/>
    <d v="2024-04-30T00:00:00"/>
    <s v="Assistant Manager, Medium Market"/>
    <m/>
    <m/>
    <m/>
    <m/>
    <n v="5"/>
    <m/>
    <m/>
    <m/>
    <m/>
    <m/>
    <m/>
  </r>
  <r>
    <n v="1448"/>
    <n v="46994"/>
    <d v="1999-01-24T00:00:00"/>
    <n v="26"/>
    <x v="0"/>
    <x v="1"/>
    <d v="2023-08-01T00:00:00"/>
    <n v="2.419178082191781"/>
    <x v="141"/>
    <x v="0"/>
    <x v="12"/>
    <x v="0"/>
    <n v="53524"/>
    <n v="52024"/>
    <m/>
    <m/>
    <m/>
    <m/>
    <m/>
    <x v="8"/>
    <n v="3"/>
    <n v="5"/>
    <n v="6"/>
    <d v="2024-12-22T00:00:00"/>
    <s v="Assistant Manager, Medium Market"/>
    <m/>
    <m/>
    <m/>
    <m/>
    <n v="4"/>
    <n v="4"/>
    <m/>
    <m/>
    <m/>
    <m/>
    <m/>
  </r>
  <r>
    <n v="1449"/>
    <n v="46995"/>
    <d v="1997-11-17T00:00:00"/>
    <n v="28"/>
    <x v="0"/>
    <x v="1"/>
    <d v="2023-08-01T00:00:00"/>
    <n v="1.4164383561643836"/>
    <x v="11"/>
    <x v="0"/>
    <x v="12"/>
    <x v="0"/>
    <n v="54024"/>
    <n v="52024"/>
    <m/>
    <m/>
    <m/>
    <m/>
    <m/>
    <x v="7"/>
    <n v="3"/>
    <n v="5"/>
    <n v="4"/>
    <d v="2024-07-04T00:00:00"/>
    <s v="Assistant Manager, Medium Market"/>
    <m/>
    <m/>
    <m/>
    <m/>
    <n v="4"/>
    <n v="4"/>
    <m/>
    <m/>
    <m/>
    <m/>
    <m/>
  </r>
  <r>
    <n v="1450"/>
    <n v="46996"/>
    <d v="1998-11-16T00:00:00"/>
    <n v="27"/>
    <x v="0"/>
    <x v="1"/>
    <d v="2024-08-01T00:00:00"/>
    <n v="2.419178082191781"/>
    <x v="24"/>
    <x v="0"/>
    <x v="12"/>
    <x v="0"/>
    <n v="53024"/>
    <m/>
    <m/>
    <m/>
    <m/>
    <m/>
    <m/>
    <x v="11"/>
    <n v="3"/>
    <n v="5"/>
    <n v="5"/>
    <d v="2024-09-22T00:00:00"/>
    <s v="Assistant Manager, Medium Market"/>
    <m/>
    <m/>
    <m/>
    <m/>
    <n v="2"/>
    <m/>
    <m/>
    <m/>
    <m/>
    <m/>
    <m/>
  </r>
  <r>
    <n v="1451"/>
    <n v="46997"/>
    <d v="1998-04-01T00:00:00"/>
    <n v="28"/>
    <x v="1"/>
    <x v="1"/>
    <d v="2023-08-01T00:00:00"/>
    <n v="1.4164383561643836"/>
    <x v="26"/>
    <x v="0"/>
    <x v="12"/>
    <x v="0"/>
    <n v="54034"/>
    <n v="52024"/>
    <m/>
    <m/>
    <m/>
    <m/>
    <m/>
    <x v="7"/>
    <n v="2"/>
    <n v="7"/>
    <n v="6"/>
    <d v="2024-12-14T00:00:00"/>
    <s v="Assistant Manager, Medium Market"/>
    <m/>
    <m/>
    <m/>
    <m/>
    <n v="4"/>
    <n v="3"/>
    <m/>
    <m/>
    <m/>
    <m/>
    <m/>
  </r>
  <r>
    <n v="1452"/>
    <n v="46998"/>
    <d v="1997-01-22T00:00:00"/>
    <n v="28"/>
    <x v="1"/>
    <x v="0"/>
    <d v="2024-08-01T00:00:00"/>
    <n v="2.419178082191781"/>
    <x v="63"/>
    <x v="0"/>
    <x v="12"/>
    <x v="0"/>
    <n v="55402"/>
    <m/>
    <m/>
    <m/>
    <m/>
    <m/>
    <m/>
    <x v="6"/>
    <n v="4"/>
    <n v="6"/>
    <n v="6"/>
    <d v="2024-05-14T00:00:00"/>
    <s v="Assistant Manager, Medium Market"/>
    <m/>
    <m/>
    <m/>
    <m/>
    <n v="2"/>
    <m/>
    <m/>
    <m/>
    <m/>
    <m/>
    <m/>
  </r>
  <r>
    <n v="1453"/>
    <n v="46999"/>
    <d v="1999-04-06T00:00:00"/>
    <n v="26"/>
    <x v="1"/>
    <x v="1"/>
    <d v="2023-08-01T00:00:00"/>
    <n v="1.4164383561643836"/>
    <x v="88"/>
    <x v="0"/>
    <x v="12"/>
    <x v="0"/>
    <n v="54088"/>
    <n v="52024"/>
    <m/>
    <m/>
    <m/>
    <m/>
    <m/>
    <x v="9"/>
    <n v="2"/>
    <n v="6"/>
    <n v="7"/>
    <d v="2024-06-18T00:00:00"/>
    <s v="Assistant Manager, Medium Market"/>
    <m/>
    <m/>
    <m/>
    <m/>
    <n v="4"/>
    <n v="1"/>
    <m/>
    <m/>
    <m/>
    <m/>
    <m/>
  </r>
  <r>
    <n v="1454"/>
    <n v="47000"/>
    <d v="1998-04-10T00:00:00"/>
    <n v="27"/>
    <x v="1"/>
    <x v="1"/>
    <d v="2024-08-01T00:00:00"/>
    <n v="1.4164383561643836"/>
    <x v="13"/>
    <x v="0"/>
    <x v="12"/>
    <x v="0"/>
    <n v="54024"/>
    <m/>
    <m/>
    <m/>
    <m/>
    <m/>
    <m/>
    <x v="8"/>
    <n v="2"/>
    <n v="5"/>
    <n v="6"/>
    <d v="2024-08-10T00:00:00"/>
    <s v="Assistant Manager, Medium Market"/>
    <m/>
    <m/>
    <m/>
    <m/>
    <n v="5"/>
    <m/>
    <m/>
    <m/>
    <m/>
    <m/>
    <m/>
  </r>
  <r>
    <n v="1455"/>
    <n v="47001"/>
    <d v="1999-11-09T00:00:00"/>
    <n v="26"/>
    <x v="1"/>
    <x v="1"/>
    <d v="2024-08-01T00:00:00"/>
    <n v="1.4164383561643836"/>
    <x v="136"/>
    <x v="0"/>
    <x v="12"/>
    <x v="0"/>
    <n v="56113"/>
    <m/>
    <m/>
    <m/>
    <m/>
    <m/>
    <m/>
    <x v="12"/>
    <n v="2"/>
    <n v="5"/>
    <n v="5"/>
    <d v="2024-08-04T00:00:00"/>
    <s v="Assistant Manager, Medium Market"/>
    <m/>
    <m/>
    <m/>
    <m/>
    <n v="4"/>
    <m/>
    <m/>
    <m/>
    <m/>
    <m/>
    <m/>
  </r>
  <r>
    <n v="1456"/>
    <n v="47002"/>
    <d v="1998-11-09T00:00:00"/>
    <n v="27"/>
    <x v="1"/>
    <x v="1"/>
    <d v="2024-08-01T00:00:00"/>
    <n v="2.419178082191781"/>
    <x v="28"/>
    <x v="0"/>
    <x v="12"/>
    <x v="0"/>
    <n v="53024"/>
    <m/>
    <m/>
    <m/>
    <m/>
    <m/>
    <m/>
    <x v="6"/>
    <n v="2"/>
    <n v="6"/>
    <n v="5"/>
    <d v="2024-04-08T00:00:00"/>
    <s v="Assistant Manager, Medium Market"/>
    <m/>
    <m/>
    <m/>
    <m/>
    <n v="2"/>
    <m/>
    <m/>
    <m/>
    <m/>
    <m/>
    <m/>
  </r>
  <r>
    <n v="1457"/>
    <n v="47003"/>
    <d v="1998-06-22T00:00:00"/>
    <n v="27"/>
    <x v="0"/>
    <x v="1"/>
    <d v="2023-08-01T00:00:00"/>
    <n v="2.419178082191781"/>
    <x v="50"/>
    <x v="0"/>
    <x v="12"/>
    <x v="0"/>
    <n v="53024"/>
    <n v="52024"/>
    <m/>
    <m/>
    <m/>
    <m/>
    <m/>
    <x v="11"/>
    <n v="2"/>
    <n v="6"/>
    <n v="6"/>
    <d v="2024-03-12T00:00:00"/>
    <s v="Assistant Manager, Medium Market"/>
    <m/>
    <m/>
    <m/>
    <m/>
    <n v="4"/>
    <n v="2"/>
    <m/>
    <m/>
    <m/>
    <m/>
    <m/>
  </r>
  <r>
    <n v="1458"/>
    <n v="47004"/>
    <d v="1999-07-20T00:00:00"/>
    <n v="26"/>
    <x v="1"/>
    <x v="1"/>
    <d v="2023-08-01T00:00:00"/>
    <n v="2.419178082191781"/>
    <x v="141"/>
    <x v="0"/>
    <x v="12"/>
    <x v="0"/>
    <n v="53524"/>
    <n v="52024"/>
    <m/>
    <m/>
    <m/>
    <m/>
    <m/>
    <x v="10"/>
    <n v="2"/>
    <n v="7"/>
    <n v="7"/>
    <d v="2024-09-19T00:00:00"/>
    <s v="Assistant Manager, Medium Market"/>
    <m/>
    <m/>
    <m/>
    <m/>
    <n v="5"/>
    <n v="3"/>
    <m/>
    <m/>
    <m/>
    <m/>
    <m/>
  </r>
  <r>
    <n v="1459"/>
    <n v="47005"/>
    <d v="1998-11-19T00:00:00"/>
    <n v="27"/>
    <x v="1"/>
    <x v="1"/>
    <d v="2023-08-01T00:00:00"/>
    <n v="1.4164383561643836"/>
    <x v="87"/>
    <x v="0"/>
    <x v="12"/>
    <x v="0"/>
    <n v="53524"/>
    <n v="52024"/>
    <m/>
    <m/>
    <m/>
    <m/>
    <m/>
    <x v="8"/>
    <n v="4"/>
    <n v="6"/>
    <n v="5"/>
    <d v="2024-01-12T00:00:00"/>
    <s v="Assistant Manager, Medium Market"/>
    <m/>
    <m/>
    <m/>
    <m/>
    <n v="1"/>
    <n v="2"/>
    <m/>
    <m/>
    <m/>
    <m/>
    <m/>
  </r>
  <r>
    <n v="1460"/>
    <n v="47006"/>
    <d v="1998-11-04T00:00:00"/>
    <n v="27"/>
    <x v="1"/>
    <x v="0"/>
    <d v="2024-08-01T00:00:00"/>
    <n v="2.419178082191781"/>
    <x v="28"/>
    <x v="0"/>
    <x v="12"/>
    <x v="0"/>
    <n v="53524"/>
    <m/>
    <m/>
    <m/>
    <m/>
    <m/>
    <m/>
    <x v="9"/>
    <n v="4"/>
    <n v="6"/>
    <n v="5"/>
    <d v="2024-09-27T00:00:00"/>
    <s v="Assistant Manager, Medium Market"/>
    <m/>
    <m/>
    <m/>
    <m/>
    <n v="3"/>
    <m/>
    <m/>
    <m/>
    <m/>
    <m/>
    <m/>
  </r>
  <r>
    <n v="1461"/>
    <n v="47007"/>
    <d v="1998-11-10T00:00:00"/>
    <n v="27"/>
    <x v="1"/>
    <x v="1"/>
    <d v="2023-08-01T00:00:00"/>
    <n v="1.4164383561643836"/>
    <x v="139"/>
    <x v="0"/>
    <x v="12"/>
    <x v="0"/>
    <n v="54024"/>
    <n v="52024"/>
    <m/>
    <m/>
    <m/>
    <m/>
    <m/>
    <x v="5"/>
    <n v="4"/>
    <n v="6"/>
    <n v="6"/>
    <d v="2024-07-26T00:00:00"/>
    <s v="Assistant Manager, Medium Market"/>
    <m/>
    <m/>
    <m/>
    <m/>
    <n v="4"/>
    <n v="3"/>
    <m/>
    <m/>
    <m/>
    <m/>
    <m/>
  </r>
  <r>
    <n v="1462"/>
    <n v="47008"/>
    <d v="1999-08-11T00:00:00"/>
    <n v="26"/>
    <x v="1"/>
    <x v="1"/>
    <d v="2024-08-01T00:00:00"/>
    <n v="2.419178082191781"/>
    <x v="143"/>
    <x v="0"/>
    <x v="12"/>
    <x v="0"/>
    <n v="53524"/>
    <m/>
    <m/>
    <m/>
    <m/>
    <m/>
    <m/>
    <x v="10"/>
    <n v="4"/>
    <n v="7"/>
    <n v="6"/>
    <d v="2024-10-28T00:00:00"/>
    <s v="Assistant Manager, Medium Market"/>
    <m/>
    <m/>
    <m/>
    <m/>
    <n v="5"/>
    <m/>
    <m/>
    <m/>
    <m/>
    <m/>
    <m/>
  </r>
  <r>
    <n v="1463"/>
    <n v="47009"/>
    <d v="1996-01-27T00:00:00"/>
    <n v="29"/>
    <x v="0"/>
    <x v="0"/>
    <d v="2023-08-01T00:00:00"/>
    <n v="2.419178082191781"/>
    <x v="83"/>
    <x v="0"/>
    <x v="12"/>
    <x v="0"/>
    <n v="53524"/>
    <n v="52024"/>
    <m/>
    <m/>
    <m/>
    <m/>
    <m/>
    <x v="9"/>
    <n v="4"/>
    <n v="6"/>
    <n v="5"/>
    <d v="2024-08-04T00:00:00"/>
    <s v="Assistant Manager, Medium Market"/>
    <m/>
    <m/>
    <m/>
    <m/>
    <n v="3"/>
    <n v="4"/>
    <m/>
    <m/>
    <m/>
    <m/>
    <m/>
  </r>
  <r>
    <n v="1464"/>
    <n v="47010"/>
    <d v="1997-04-01T00:00:00"/>
    <n v="29"/>
    <x v="1"/>
    <x v="1"/>
    <d v="2023-08-01T00:00:00"/>
    <n v="2.419178082191781"/>
    <x v="144"/>
    <x v="0"/>
    <x v="12"/>
    <x v="0"/>
    <n v="53524"/>
    <n v="52024"/>
    <m/>
    <m/>
    <m/>
    <m/>
    <m/>
    <x v="0"/>
    <n v="0"/>
    <n v="7"/>
    <n v="7"/>
    <d v="2024-09-29T00:00:00"/>
    <s v="Assistant Manager, Medium Market"/>
    <m/>
    <m/>
    <m/>
    <m/>
    <n v="2"/>
    <n v="1"/>
    <m/>
    <m/>
    <m/>
    <m/>
    <m/>
  </r>
  <r>
    <n v="1465"/>
    <n v="47011"/>
    <d v="1998-11-03T00:00:00"/>
    <n v="27"/>
    <x v="1"/>
    <x v="0"/>
    <d v="2023-08-01T00:00:00"/>
    <n v="2.419178082191781"/>
    <x v="144"/>
    <x v="0"/>
    <x v="12"/>
    <x v="0"/>
    <n v="53524"/>
    <n v="52024"/>
    <m/>
    <m/>
    <m/>
    <m/>
    <m/>
    <x v="7"/>
    <n v="4"/>
    <n v="6"/>
    <n v="6"/>
    <d v="2024-09-22T00:00:00"/>
    <s v="Assistant Manager, Medium Market"/>
    <m/>
    <m/>
    <m/>
    <m/>
    <n v="3"/>
    <n v="3"/>
    <m/>
    <m/>
    <m/>
    <m/>
    <m/>
  </r>
  <r>
    <n v="1466"/>
    <n v="47012"/>
    <d v="1997-03-06T00:00:00"/>
    <n v="28"/>
    <x v="1"/>
    <x v="1"/>
    <d v="2023-08-01T00:00:00"/>
    <n v="1.4164383561643836"/>
    <x v="143"/>
    <x v="0"/>
    <x v="12"/>
    <x v="0"/>
    <n v="53524"/>
    <n v="52024"/>
    <m/>
    <m/>
    <m/>
    <m/>
    <m/>
    <x v="0"/>
    <n v="2"/>
    <n v="6"/>
    <n v="5"/>
    <d v="2024-11-15T00:00:00"/>
    <s v="Assistant Manager, Medium Market"/>
    <m/>
    <m/>
    <m/>
    <m/>
    <n v="5"/>
    <n v="4"/>
    <m/>
    <m/>
    <m/>
    <m/>
    <m/>
  </r>
  <r>
    <n v="1467"/>
    <n v="47013"/>
    <d v="1997-11-21T00:00:00"/>
    <n v="28"/>
    <x v="1"/>
    <x v="1"/>
    <d v="2024-08-01T00:00:00"/>
    <n v="1.4164383561643836"/>
    <x v="41"/>
    <x v="0"/>
    <x v="12"/>
    <x v="0"/>
    <n v="56011"/>
    <m/>
    <m/>
    <m/>
    <m/>
    <m/>
    <m/>
    <x v="11"/>
    <n v="4"/>
    <n v="6"/>
    <n v="6"/>
    <d v="2024-07-10T00:00:00"/>
    <s v="Assistant Manager, Medium Market"/>
    <m/>
    <m/>
    <m/>
    <m/>
    <n v="3"/>
    <m/>
    <m/>
    <m/>
    <m/>
    <m/>
    <m/>
  </r>
  <r>
    <n v="1468"/>
    <n v="47014"/>
    <d v="1994-02-06T00:00:00"/>
    <n v="31"/>
    <x v="1"/>
    <x v="1"/>
    <d v="2024-08-01T00:00:00"/>
    <n v="1.4164383561643836"/>
    <x v="42"/>
    <x v="0"/>
    <x v="12"/>
    <x v="0"/>
    <n v="53524"/>
    <m/>
    <m/>
    <m/>
    <m/>
    <m/>
    <m/>
    <x v="8"/>
    <n v="2"/>
    <n v="6"/>
    <n v="6"/>
    <d v="2024-07-18T00:00:00"/>
    <s v="Assistant Manager, Medium Market"/>
    <m/>
    <m/>
    <m/>
    <m/>
    <n v="4"/>
    <m/>
    <m/>
    <m/>
    <m/>
    <m/>
    <m/>
  </r>
  <r>
    <n v="1469"/>
    <n v="47017"/>
    <d v="1999-04-25T00:00:00"/>
    <n v="26"/>
    <x v="0"/>
    <x v="1"/>
    <d v="2024-08-01T00:00:00"/>
    <n v="2.419178082191781"/>
    <x v="119"/>
    <x v="1"/>
    <x v="12"/>
    <x v="0"/>
    <n v="53323"/>
    <m/>
    <m/>
    <m/>
    <m/>
    <m/>
    <m/>
    <x v="6"/>
    <n v="4"/>
    <n v="4"/>
    <n v="4"/>
    <m/>
    <m/>
    <m/>
    <m/>
    <m/>
    <m/>
    <n v="5"/>
    <m/>
    <m/>
    <m/>
    <m/>
    <m/>
    <m/>
  </r>
  <r>
    <n v="1470"/>
    <n v="47019"/>
    <d v="1996-11-04T00:00:00"/>
    <n v="29"/>
    <x v="1"/>
    <x v="1"/>
    <d v="2023-08-01T00:00:00"/>
    <n v="1.4164383561643836"/>
    <x v="65"/>
    <x v="1"/>
    <x v="12"/>
    <x v="0"/>
    <n v="53024"/>
    <n v="52024"/>
    <m/>
    <m/>
    <m/>
    <m/>
    <m/>
    <x v="0"/>
    <n v="2"/>
    <n v="5"/>
    <n v="7"/>
    <m/>
    <m/>
    <m/>
    <m/>
    <m/>
    <m/>
    <n v="2"/>
    <n v="2"/>
    <m/>
    <m/>
    <m/>
    <m/>
    <m/>
  </r>
  <r>
    <n v="1471"/>
    <n v="47020"/>
    <d v="1998-07-05T00:00:00"/>
    <n v="27"/>
    <x v="1"/>
    <x v="1"/>
    <d v="2024-08-01T00:00:00"/>
    <n v="1.4164383561643836"/>
    <x v="66"/>
    <x v="1"/>
    <x v="12"/>
    <x v="0"/>
    <n v="52524"/>
    <m/>
    <m/>
    <m/>
    <m/>
    <m/>
    <m/>
    <x v="11"/>
    <n v="4"/>
    <n v="5"/>
    <n v="7"/>
    <m/>
    <m/>
    <m/>
    <m/>
    <m/>
    <m/>
    <n v="4"/>
    <m/>
    <m/>
    <m/>
    <m/>
    <m/>
    <m/>
  </r>
  <r>
    <n v="1472"/>
    <n v="47021"/>
    <d v="1998-01-27T00:00:00"/>
    <n v="27"/>
    <x v="1"/>
    <x v="1"/>
    <d v="2024-08-01T00:00:00"/>
    <n v="1.4164383561643836"/>
    <x v="68"/>
    <x v="1"/>
    <x v="12"/>
    <x v="0"/>
    <n v="52774"/>
    <m/>
    <m/>
    <m/>
    <m/>
    <m/>
    <m/>
    <x v="9"/>
    <n v="2"/>
    <n v="7"/>
    <n v="7"/>
    <m/>
    <m/>
    <m/>
    <m/>
    <m/>
    <m/>
    <n v="3"/>
    <m/>
    <m/>
    <m/>
    <m/>
    <m/>
    <m/>
  </r>
  <r>
    <n v="1473"/>
    <n v="47024"/>
    <d v="1999-08-07T00:00:00"/>
    <n v="26"/>
    <x v="0"/>
    <x v="1"/>
    <d v="2024-08-01T00:00:00"/>
    <n v="1.4164383561643836"/>
    <x v="70"/>
    <x v="1"/>
    <x v="12"/>
    <x v="0"/>
    <n v="53024"/>
    <m/>
    <m/>
    <m/>
    <m/>
    <m/>
    <m/>
    <x v="8"/>
    <n v="2"/>
    <n v="5"/>
    <n v="6"/>
    <m/>
    <m/>
    <m/>
    <m/>
    <m/>
    <m/>
    <n v="4"/>
    <m/>
    <m/>
    <m/>
    <m/>
    <m/>
    <m/>
  </r>
  <r>
    <n v="1474"/>
    <n v="47025"/>
    <d v="1997-08-23T00:00:00"/>
    <n v="28"/>
    <x v="1"/>
    <x v="1"/>
    <d v="2024-08-01T00:00:00"/>
    <n v="1.4164383561643836"/>
    <x v="71"/>
    <x v="1"/>
    <x v="12"/>
    <x v="0"/>
    <n v="53274"/>
    <m/>
    <m/>
    <m/>
    <m/>
    <m/>
    <m/>
    <x v="6"/>
    <n v="4"/>
    <n v="6"/>
    <n v="7"/>
    <m/>
    <m/>
    <m/>
    <m/>
    <m/>
    <m/>
    <n v="5"/>
    <m/>
    <m/>
    <m/>
    <m/>
    <m/>
    <m/>
  </r>
  <r>
    <n v="1475"/>
    <n v="47026"/>
    <d v="1999-04-03T00:00:00"/>
    <n v="26"/>
    <x v="1"/>
    <x v="1"/>
    <d v="2024-08-01T00:00:00"/>
    <n v="2.419178082191781"/>
    <x v="131"/>
    <x v="1"/>
    <x v="12"/>
    <x v="0"/>
    <n v="52024"/>
    <m/>
    <m/>
    <m/>
    <m/>
    <m/>
    <m/>
    <x v="7"/>
    <n v="1"/>
    <n v="6"/>
    <n v="7"/>
    <m/>
    <m/>
    <m/>
    <m/>
    <m/>
    <m/>
    <n v="3"/>
    <m/>
    <m/>
    <m/>
    <m/>
    <m/>
    <m/>
  </r>
  <r>
    <n v="1476"/>
    <n v="47027"/>
    <d v="1999-07-16T00:00:00"/>
    <n v="26"/>
    <x v="1"/>
    <x v="1"/>
    <d v="2023-08-01T00:00:00"/>
    <n v="1.4164383561643836"/>
    <x v="72"/>
    <x v="1"/>
    <x v="12"/>
    <x v="0"/>
    <n v="53441"/>
    <n v="52024"/>
    <m/>
    <m/>
    <m/>
    <m/>
    <m/>
    <x v="8"/>
    <n v="4"/>
    <n v="7"/>
    <n v="7"/>
    <m/>
    <m/>
    <m/>
    <m/>
    <m/>
    <m/>
    <n v="5"/>
    <n v="2"/>
    <m/>
    <m/>
    <m/>
    <m/>
    <m/>
  </r>
  <r>
    <n v="1477"/>
    <n v="47029"/>
    <d v="1998-08-11T00:00:00"/>
    <n v="27"/>
    <x v="1"/>
    <x v="1"/>
    <d v="2024-08-01T00:00:00"/>
    <n v="1.4164383561643836"/>
    <x v="122"/>
    <x v="1"/>
    <x v="12"/>
    <x v="0"/>
    <n v="53350"/>
    <m/>
    <m/>
    <m/>
    <m/>
    <m/>
    <m/>
    <x v="7"/>
    <n v="1"/>
    <n v="7"/>
    <n v="6"/>
    <m/>
    <m/>
    <m/>
    <m/>
    <m/>
    <m/>
    <n v="5"/>
    <m/>
    <m/>
    <m/>
    <m/>
    <m/>
    <m/>
  </r>
  <r>
    <n v="1478"/>
    <n v="47032"/>
    <d v="1999-09-01T00:00:00"/>
    <n v="27"/>
    <x v="0"/>
    <x v="1"/>
    <d v="2024-08-01T00:00:00"/>
    <n v="1.4164383561643836"/>
    <x v="109"/>
    <x v="1"/>
    <x v="12"/>
    <x v="0"/>
    <n v="53024"/>
    <m/>
    <m/>
    <m/>
    <m/>
    <m/>
    <m/>
    <x v="10"/>
    <n v="2"/>
    <n v="5"/>
    <n v="6"/>
    <m/>
    <m/>
    <m/>
    <m/>
    <m/>
    <m/>
    <n v="3"/>
    <m/>
    <m/>
    <m/>
    <m/>
    <m/>
    <m/>
  </r>
  <r>
    <n v="1479"/>
    <n v="47034"/>
    <d v="1998-02-01T00:00:00"/>
    <n v="28"/>
    <x v="0"/>
    <x v="1"/>
    <d v="2024-08-01T00:00:00"/>
    <n v="1.4164383561643836"/>
    <x v="80"/>
    <x v="1"/>
    <x v="12"/>
    <x v="0"/>
    <n v="52524"/>
    <m/>
    <m/>
    <m/>
    <m/>
    <m/>
    <m/>
    <x v="8"/>
    <n v="3"/>
    <n v="5"/>
    <n v="5"/>
    <m/>
    <m/>
    <m/>
    <m/>
    <m/>
    <m/>
    <n v="5"/>
    <m/>
    <m/>
    <m/>
    <m/>
    <m/>
    <m/>
  </r>
  <r>
    <n v="1480"/>
    <n v="47035"/>
    <d v="1998-11-13T00:00:00"/>
    <n v="27"/>
    <x v="1"/>
    <x v="1"/>
    <d v="2024-08-01T00:00:00"/>
    <n v="1.4164383561643836"/>
    <x v="134"/>
    <x v="1"/>
    <x v="12"/>
    <x v="0"/>
    <n v="52024"/>
    <m/>
    <m/>
    <m/>
    <m/>
    <m/>
    <m/>
    <x v="9"/>
    <n v="0"/>
    <n v="5"/>
    <n v="5"/>
    <m/>
    <m/>
    <m/>
    <m/>
    <m/>
    <m/>
    <n v="1"/>
    <m/>
    <m/>
    <m/>
    <m/>
    <m/>
    <m/>
  </r>
  <r>
    <n v="1481"/>
    <n v="47037"/>
    <d v="1998-11-18T00:00:00"/>
    <n v="27"/>
    <x v="1"/>
    <x v="0"/>
    <d v="2024-08-01T00:00:00"/>
    <n v="2.419178082191781"/>
    <x v="94"/>
    <x v="1"/>
    <x v="12"/>
    <x v="0"/>
    <n v="53024"/>
    <m/>
    <m/>
    <m/>
    <m/>
    <m/>
    <m/>
    <x v="0"/>
    <n v="4"/>
    <n v="6"/>
    <n v="6"/>
    <m/>
    <m/>
    <m/>
    <m/>
    <m/>
    <m/>
    <n v="5"/>
    <m/>
    <m/>
    <m/>
    <m/>
    <m/>
    <m/>
  </r>
  <r>
    <n v="1482"/>
    <n v="47039"/>
    <d v="1998-05-28T00:00:00"/>
    <n v="27"/>
    <x v="1"/>
    <x v="1"/>
    <d v="2023-08-01T00:00:00"/>
    <n v="1.4164383561643836"/>
    <x v="84"/>
    <x v="1"/>
    <x v="12"/>
    <x v="0"/>
    <n v="53024"/>
    <n v="52024"/>
    <m/>
    <m/>
    <m/>
    <m/>
    <m/>
    <x v="5"/>
    <n v="3"/>
    <n v="6"/>
    <n v="5"/>
    <m/>
    <m/>
    <m/>
    <m/>
    <m/>
    <m/>
    <n v="5"/>
    <n v="4"/>
    <m/>
    <m/>
    <m/>
    <m/>
    <m/>
  </r>
  <r>
    <n v="1483"/>
    <n v="47040"/>
    <d v="1998-10-09T00:00:00"/>
    <n v="27"/>
    <x v="1"/>
    <x v="1"/>
    <d v="2024-08-01T00:00:00"/>
    <n v="1.4164383561643836"/>
    <x v="132"/>
    <x v="1"/>
    <x v="12"/>
    <x v="0"/>
    <n v="52524"/>
    <m/>
    <m/>
    <m/>
    <m/>
    <m/>
    <m/>
    <x v="5"/>
    <n v="2"/>
    <n v="5"/>
    <n v="6"/>
    <m/>
    <m/>
    <m/>
    <m/>
    <m/>
    <m/>
    <n v="1"/>
    <m/>
    <m/>
    <m/>
    <m/>
    <m/>
    <m/>
  </r>
  <r>
    <n v="1484"/>
    <n v="47041"/>
    <d v="1997-07-24T00:00:00"/>
    <n v="28"/>
    <x v="1"/>
    <x v="1"/>
    <d v="2024-08-01T00:00:00"/>
    <n v="1.3205479452054794"/>
    <x v="98"/>
    <x v="1"/>
    <x v="12"/>
    <x v="0"/>
    <n v="53377"/>
    <m/>
    <m/>
    <m/>
    <m/>
    <m/>
    <m/>
    <x v="12"/>
    <n v="2"/>
    <n v="6"/>
    <n v="6"/>
    <m/>
    <m/>
    <m/>
    <m/>
    <m/>
    <m/>
    <n v="5"/>
    <m/>
    <m/>
    <m/>
    <m/>
    <m/>
    <m/>
  </r>
  <r>
    <n v="1485"/>
    <n v="47042"/>
    <d v="1998-03-18T00:00:00"/>
    <n v="27"/>
    <x v="1"/>
    <x v="1"/>
    <d v="2024-09-05T00:00:00"/>
    <n v="1.3342465753424657"/>
    <x v="36"/>
    <x v="0"/>
    <x v="12"/>
    <x v="0"/>
    <n v="52774"/>
    <m/>
    <m/>
    <m/>
    <m/>
    <m/>
    <m/>
    <x v="7"/>
    <n v="4"/>
    <n v="5"/>
    <n v="6"/>
    <m/>
    <m/>
    <m/>
    <m/>
    <m/>
    <m/>
    <n v="5"/>
    <m/>
    <m/>
    <m/>
    <m/>
    <m/>
    <m/>
  </r>
  <r>
    <n v="1486"/>
    <n v="47043"/>
    <d v="1997-02-11T00:00:00"/>
    <n v="28"/>
    <x v="1"/>
    <x v="1"/>
    <d v="2024-08-31T00:00:00"/>
    <n v="2.0164383561643837"/>
    <x v="142"/>
    <x v="0"/>
    <x v="12"/>
    <x v="0"/>
    <n v="52524"/>
    <m/>
    <m/>
    <m/>
    <m/>
    <m/>
    <m/>
    <x v="8"/>
    <n v="4"/>
    <n v="6"/>
    <n v="5"/>
    <m/>
    <m/>
    <m/>
    <m/>
    <m/>
    <m/>
    <n v="3"/>
    <m/>
    <m/>
    <m/>
    <m/>
    <m/>
    <m/>
  </r>
  <r>
    <n v="1487"/>
    <n v="47044"/>
    <d v="1983-02-01T00:00:00"/>
    <n v="43"/>
    <x v="0"/>
    <x v="0"/>
    <d v="2023-12-26T00:00:00"/>
    <n v="2.7205479452054795"/>
    <x v="24"/>
    <x v="0"/>
    <x v="4"/>
    <x v="1"/>
    <n v="35.619999999999997"/>
    <n v="35.32"/>
    <m/>
    <m/>
    <m/>
    <m/>
    <m/>
    <x v="2"/>
    <n v="0"/>
    <n v="3"/>
    <m/>
    <m/>
    <m/>
    <m/>
    <m/>
    <m/>
    <m/>
    <m/>
    <m/>
    <m/>
    <m/>
    <m/>
    <m/>
    <m/>
  </r>
  <r>
    <n v="1488"/>
    <n v="47045"/>
    <d v="1997-03-07T00:00:00"/>
    <n v="28"/>
    <x v="0"/>
    <x v="1"/>
    <d v="2023-04-13T00:00:00"/>
    <n v="2.3342465753424659"/>
    <x v="28"/>
    <x v="0"/>
    <x v="4"/>
    <x v="1"/>
    <n v="35.47"/>
    <n v="35.32"/>
    <m/>
    <m/>
    <m/>
    <m/>
    <m/>
    <x v="2"/>
    <n v="0"/>
    <n v="4"/>
    <m/>
    <m/>
    <m/>
    <m/>
    <m/>
    <m/>
    <m/>
    <m/>
    <m/>
    <m/>
    <m/>
    <m/>
    <m/>
    <m/>
  </r>
  <r>
    <n v="1489"/>
    <n v="47047"/>
    <d v="1998-09-24T00:00:00"/>
    <n v="27"/>
    <x v="0"/>
    <x v="1"/>
    <d v="2023-09-01T00:00:00"/>
    <n v="2.1452054794520548"/>
    <x v="105"/>
    <x v="1"/>
    <x v="4"/>
    <x v="1"/>
    <n v="35.619999999999997"/>
    <n v="35.32"/>
    <m/>
    <m/>
    <m/>
    <m/>
    <m/>
    <x v="4"/>
    <n v="0"/>
    <n v="4"/>
    <m/>
    <m/>
    <m/>
    <m/>
    <m/>
    <m/>
    <m/>
    <m/>
    <m/>
    <m/>
    <m/>
    <m/>
    <m/>
    <m/>
  </r>
  <r>
    <n v="1490"/>
    <n v="47052"/>
    <d v="1997-05-18T00:00:00"/>
    <n v="28"/>
    <x v="1"/>
    <x v="1"/>
    <d v="2023-11-09T00:00:00"/>
    <n v="2.547945205479452"/>
    <x v="70"/>
    <x v="1"/>
    <x v="4"/>
    <x v="1"/>
    <n v="35.619999999999997"/>
    <n v="35.32"/>
    <m/>
    <m/>
    <m/>
    <m/>
    <m/>
    <x v="4"/>
    <n v="0"/>
    <n v="6"/>
    <m/>
    <m/>
    <m/>
    <m/>
    <m/>
    <m/>
    <m/>
    <m/>
    <m/>
    <m/>
    <m/>
    <m/>
    <m/>
    <m/>
  </r>
  <r>
    <n v="1491"/>
    <n v="47053"/>
    <d v="1980-07-17T00:00:00"/>
    <n v="45"/>
    <x v="1"/>
    <x v="0"/>
    <d v="2023-06-15T00:00:00"/>
    <n v="2.3068493150684932"/>
    <x v="43"/>
    <x v="1"/>
    <x v="4"/>
    <x v="1"/>
    <n v="35.729999999999997"/>
    <n v="35.32"/>
    <m/>
    <m/>
    <m/>
    <m/>
    <m/>
    <x v="2"/>
    <n v="0"/>
    <n v="3"/>
    <m/>
    <m/>
    <m/>
    <m/>
    <m/>
    <m/>
    <m/>
    <m/>
    <m/>
    <m/>
    <m/>
    <m/>
    <m/>
    <m/>
  </r>
  <r>
    <n v="1492"/>
    <n v="47054"/>
    <d v="1995-05-23T00:00:00"/>
    <n v="30"/>
    <x v="0"/>
    <x v="1"/>
    <d v="2023-09-11T00:00:00"/>
    <n v="2.7917808219178082"/>
    <x v="97"/>
    <x v="1"/>
    <x v="4"/>
    <x v="1"/>
    <n v="35.47"/>
    <n v="35.32"/>
    <m/>
    <m/>
    <m/>
    <m/>
    <m/>
    <x v="3"/>
    <n v="0"/>
    <n v="4"/>
    <m/>
    <m/>
    <m/>
    <m/>
    <m/>
    <m/>
    <m/>
    <m/>
    <m/>
    <m/>
    <m/>
    <m/>
    <m/>
    <m/>
  </r>
  <r>
    <n v="1493"/>
    <n v="47058"/>
    <d v="1995-12-25T00:00:00"/>
    <n v="30"/>
    <x v="0"/>
    <x v="1"/>
    <d v="2023-03-18T00:00:00"/>
    <n v="1.9369863013698629"/>
    <x v="18"/>
    <x v="0"/>
    <x v="4"/>
    <x v="1"/>
    <n v="35.71"/>
    <n v="35.32"/>
    <m/>
    <m/>
    <m/>
    <m/>
    <m/>
    <x v="3"/>
    <n v="0"/>
    <n v="3"/>
    <m/>
    <m/>
    <m/>
    <m/>
    <m/>
    <m/>
    <m/>
    <m/>
    <m/>
    <m/>
    <m/>
    <m/>
    <m/>
    <m/>
  </r>
  <r>
    <n v="1494"/>
    <n v="47059"/>
    <d v="1995-07-19T00:00:00"/>
    <n v="30"/>
    <x v="0"/>
    <x v="1"/>
    <d v="2024-01-24T00:00:00"/>
    <n v="2.4712328767123286"/>
    <x v="128"/>
    <x v="1"/>
    <x v="4"/>
    <x v="1"/>
    <n v="35.67"/>
    <m/>
    <m/>
    <m/>
    <m/>
    <m/>
    <m/>
    <x v="1"/>
    <n v="0"/>
    <n v="4"/>
    <m/>
    <m/>
    <m/>
    <m/>
    <m/>
    <m/>
    <m/>
    <m/>
    <m/>
    <m/>
    <m/>
    <m/>
    <m/>
    <m/>
  </r>
  <r>
    <n v="1495"/>
    <n v="47060"/>
    <d v="1996-12-30T00:00:00"/>
    <n v="29"/>
    <x v="1"/>
    <x v="1"/>
    <d v="2023-07-13T00:00:00"/>
    <n v="1.8794520547945206"/>
    <x v="63"/>
    <x v="0"/>
    <x v="4"/>
    <x v="1"/>
    <n v="35.58"/>
    <n v="35.32"/>
    <m/>
    <m/>
    <m/>
    <m/>
    <m/>
    <x v="1"/>
    <n v="0"/>
    <n v="5"/>
    <m/>
    <m/>
    <m/>
    <m/>
    <m/>
    <m/>
    <m/>
    <m/>
    <m/>
    <m/>
    <m/>
    <m/>
    <m/>
    <m/>
  </r>
  <r>
    <n v="1496"/>
    <n v="47067"/>
    <d v="1985-11-15T00:00:00"/>
    <n v="40"/>
    <x v="1"/>
    <x v="1"/>
    <d v="2024-02-14T00:00:00"/>
    <n v="2.7561643835616438"/>
    <x v="111"/>
    <x v="1"/>
    <x v="4"/>
    <x v="1"/>
    <n v="35.619999999999997"/>
    <m/>
    <m/>
    <m/>
    <m/>
    <m/>
    <m/>
    <x v="2"/>
    <n v="0"/>
    <n v="5"/>
    <m/>
    <m/>
    <m/>
    <m/>
    <m/>
    <m/>
    <m/>
    <m/>
    <m/>
    <m/>
    <m/>
    <m/>
    <m/>
    <m/>
  </r>
  <r>
    <n v="1497"/>
    <n v="47068"/>
    <d v="1992-04-02T00:00:00"/>
    <n v="33"/>
    <x v="0"/>
    <x v="1"/>
    <d v="2023-03-31T00:00:00"/>
    <n v="2.3863013698630136"/>
    <x v="125"/>
    <x v="1"/>
    <x v="4"/>
    <x v="1"/>
    <n v="35.619999999999997"/>
    <n v="35.32"/>
    <m/>
    <m/>
    <m/>
    <m/>
    <m/>
    <x v="1"/>
    <n v="0"/>
    <n v="3"/>
    <m/>
    <m/>
    <m/>
    <m/>
    <m/>
    <m/>
    <m/>
    <m/>
    <m/>
    <m/>
    <m/>
    <m/>
    <m/>
    <m/>
  </r>
  <r>
    <n v="1498"/>
    <n v="47072"/>
    <d v="1998-12-16T00:00:00"/>
    <n v="27"/>
    <x v="0"/>
    <x v="0"/>
    <d v="2023-08-13T00:00:00"/>
    <n v="2.6657534246575341"/>
    <x v="99"/>
    <x v="1"/>
    <x v="4"/>
    <x v="1"/>
    <n v="35.47"/>
    <n v="35.32"/>
    <m/>
    <m/>
    <m/>
    <m/>
    <m/>
    <x v="1"/>
    <n v="0"/>
    <n v="4"/>
    <m/>
    <m/>
    <m/>
    <m/>
    <m/>
    <m/>
    <m/>
    <m/>
    <m/>
    <m/>
    <m/>
    <m/>
    <m/>
    <m/>
  </r>
  <r>
    <n v="1499"/>
    <n v="47079"/>
    <d v="1992-03-09T00:00:00"/>
    <n v="33"/>
    <x v="0"/>
    <x v="0"/>
    <d v="2023-05-03T00:00:00"/>
    <n v="1.904109589041096"/>
    <x v="4"/>
    <x v="0"/>
    <x v="4"/>
    <x v="1"/>
    <n v="35.619999999999997"/>
    <n v="35.32"/>
    <m/>
    <m/>
    <m/>
    <m/>
    <m/>
    <x v="4"/>
    <n v="0"/>
    <n v="3"/>
    <m/>
    <m/>
    <m/>
    <m/>
    <m/>
    <m/>
    <m/>
    <m/>
    <m/>
    <m/>
    <m/>
    <m/>
    <m/>
    <m/>
  </r>
  <r>
    <n v="1500"/>
    <n v="47084"/>
    <d v="1993-09-04T00:00:00"/>
    <n v="32"/>
    <x v="1"/>
    <x v="0"/>
    <d v="2024-02-05T00:00:00"/>
    <n v="2.5178082191780824"/>
    <x v="63"/>
    <x v="0"/>
    <x v="4"/>
    <x v="1"/>
    <n v="35.57"/>
    <m/>
    <m/>
    <m/>
    <m/>
    <m/>
    <m/>
    <x v="1"/>
    <n v="0"/>
    <n v="6"/>
    <m/>
    <m/>
    <m/>
    <m/>
    <m/>
    <m/>
    <m/>
    <m/>
    <m/>
    <m/>
    <m/>
    <m/>
    <m/>
    <m/>
  </r>
  <r>
    <n v="1501"/>
    <n v="47085"/>
    <d v="1985-04-07T00:00:00"/>
    <n v="40"/>
    <x v="1"/>
    <x v="1"/>
    <d v="2023-06-26T00:00:00"/>
    <n v="1.9671232876712328"/>
    <x v="68"/>
    <x v="1"/>
    <x v="4"/>
    <x v="1"/>
    <n v="35.619999999999997"/>
    <n v="35.32"/>
    <m/>
    <m/>
    <m/>
    <m/>
    <m/>
    <x v="2"/>
    <n v="0"/>
    <n v="3"/>
    <m/>
    <m/>
    <m/>
    <m/>
    <m/>
    <m/>
    <m/>
    <m/>
    <m/>
    <m/>
    <m/>
    <m/>
    <m/>
    <m/>
  </r>
  <r>
    <n v="1502"/>
    <n v="47086"/>
    <d v="1996-03-02T00:00:00"/>
    <n v="29"/>
    <x v="1"/>
    <x v="1"/>
    <d v="2024-01-13T00:00:00"/>
    <n v="2.6438356164383561"/>
    <x v="92"/>
    <x v="1"/>
    <x v="4"/>
    <x v="1"/>
    <n v="35.729999999999997"/>
    <m/>
    <m/>
    <m/>
    <m/>
    <m/>
    <m/>
    <x v="3"/>
    <n v="0"/>
    <n v="6"/>
    <m/>
    <m/>
    <m/>
    <m/>
    <m/>
    <m/>
    <m/>
    <m/>
    <m/>
    <m/>
    <m/>
    <m/>
    <m/>
    <m/>
  </r>
  <r>
    <n v="1503"/>
    <n v="47088"/>
    <d v="1978-09-24T00:00:00"/>
    <n v="47"/>
    <x v="0"/>
    <x v="0"/>
    <d v="2023-05-11T00:00:00"/>
    <n v="2.408219178082192"/>
    <x v="88"/>
    <x v="0"/>
    <x v="4"/>
    <x v="1"/>
    <n v="35.65"/>
    <n v="35.32"/>
    <m/>
    <m/>
    <m/>
    <m/>
    <m/>
    <x v="3"/>
    <n v="0"/>
    <n v="3"/>
    <m/>
    <m/>
    <m/>
    <m/>
    <m/>
    <m/>
    <m/>
    <m/>
    <m/>
    <m/>
    <m/>
    <m/>
    <m/>
    <m/>
  </r>
  <r>
    <n v="1504"/>
    <n v="47094"/>
    <d v="1990-04-25T00:00:00"/>
    <n v="35"/>
    <x v="1"/>
    <x v="1"/>
    <d v="2023-08-05T00:00:00"/>
    <n v="2.3616438356164382"/>
    <x v="135"/>
    <x v="1"/>
    <x v="4"/>
    <x v="1"/>
    <n v="35.47"/>
    <n v="35.32"/>
    <m/>
    <m/>
    <m/>
    <m/>
    <m/>
    <x v="2"/>
    <n v="0"/>
    <n v="7"/>
    <m/>
    <m/>
    <m/>
    <m/>
    <m/>
    <m/>
    <m/>
    <m/>
    <m/>
    <m/>
    <m/>
    <m/>
    <m/>
    <m/>
  </r>
  <r>
    <n v="1505"/>
    <n v="47096"/>
    <d v="1994-03-10T00:00:00"/>
    <n v="31"/>
    <x v="0"/>
    <x v="1"/>
    <d v="2023-08-22T00:00:00"/>
    <n v="2.4465753424657533"/>
    <x v="126"/>
    <x v="1"/>
    <x v="4"/>
    <x v="1"/>
    <n v="35.32"/>
    <n v="35.32"/>
    <m/>
    <m/>
    <m/>
    <m/>
    <m/>
    <x v="3"/>
    <n v="0"/>
    <n v="3"/>
    <m/>
    <m/>
    <m/>
    <m/>
    <m/>
    <m/>
    <m/>
    <m/>
    <m/>
    <m/>
    <m/>
    <m/>
    <m/>
    <m/>
  </r>
  <r>
    <n v="1506"/>
    <n v="47100"/>
    <d v="1995-03-10T00:00:00"/>
    <n v="30"/>
    <x v="1"/>
    <x v="1"/>
    <d v="2023-07-22T00:00:00"/>
    <n v="2.8438356164383563"/>
    <x v="98"/>
    <x v="1"/>
    <x v="4"/>
    <x v="1"/>
    <n v="35.700000000000003"/>
    <n v="35.32"/>
    <m/>
    <m/>
    <m/>
    <m/>
    <m/>
    <x v="2"/>
    <n v="0"/>
    <n v="6"/>
    <m/>
    <m/>
    <m/>
    <m/>
    <m/>
    <m/>
    <m/>
    <m/>
    <m/>
    <m/>
    <m/>
    <m/>
    <m/>
    <m/>
  </r>
  <r>
    <n v="1507"/>
    <n v="47103"/>
    <d v="1992-12-20T00:00:00"/>
    <n v="33"/>
    <x v="0"/>
    <x v="1"/>
    <d v="2023-02-27T00:00:00"/>
    <n v="2.2356164383561645"/>
    <x v="83"/>
    <x v="0"/>
    <x v="4"/>
    <x v="1"/>
    <n v="35.47"/>
    <n v="35.32"/>
    <m/>
    <m/>
    <m/>
    <m/>
    <m/>
    <x v="1"/>
    <n v="0"/>
    <n v="4"/>
    <m/>
    <m/>
    <m/>
    <m/>
    <m/>
    <m/>
    <m/>
    <m/>
    <m/>
    <m/>
    <m/>
    <m/>
    <m/>
    <m/>
  </r>
  <r>
    <n v="1508"/>
    <n v="47105"/>
    <d v="1992-09-12T00:00:00"/>
    <n v="33"/>
    <x v="1"/>
    <x v="1"/>
    <d v="2023-10-07T00:00:00"/>
    <n v="2.032876712328767"/>
    <x v="7"/>
    <x v="0"/>
    <x v="4"/>
    <x v="1"/>
    <n v="35.619999999999997"/>
    <n v="35.32"/>
    <m/>
    <m/>
    <m/>
    <m/>
    <m/>
    <x v="2"/>
    <n v="0"/>
    <n v="5"/>
    <m/>
    <m/>
    <m/>
    <m/>
    <m/>
    <m/>
    <m/>
    <m/>
    <m/>
    <m/>
    <m/>
    <m/>
    <m/>
    <m/>
  </r>
  <r>
    <n v="1509"/>
    <n v="47106"/>
    <d v="1998-11-21T00:00:00"/>
    <n v="27"/>
    <x v="1"/>
    <x v="1"/>
    <d v="2023-12-20T00:00:00"/>
    <n v="1.9917808219178081"/>
    <x v="27"/>
    <x v="0"/>
    <x v="4"/>
    <x v="1"/>
    <n v="35.619999999999997"/>
    <n v="35.32"/>
    <m/>
    <m/>
    <m/>
    <m/>
    <m/>
    <x v="3"/>
    <n v="0"/>
    <n v="5"/>
    <m/>
    <m/>
    <m/>
    <m/>
    <m/>
    <m/>
    <m/>
    <m/>
    <m/>
    <m/>
    <m/>
    <m/>
    <m/>
    <m/>
  </r>
  <r>
    <n v="1510"/>
    <n v="47108"/>
    <d v="1996-07-08T00:00:00"/>
    <n v="29"/>
    <x v="1"/>
    <x v="1"/>
    <d v="2024-01-04T00:00:00"/>
    <n v="1.9205479452054794"/>
    <x v="83"/>
    <x v="0"/>
    <x v="4"/>
    <x v="1"/>
    <n v="35.47"/>
    <m/>
    <m/>
    <m/>
    <m/>
    <m/>
    <m/>
    <x v="2"/>
    <n v="0"/>
    <n v="5"/>
    <m/>
    <m/>
    <m/>
    <m/>
    <m/>
    <m/>
    <m/>
    <m/>
    <m/>
    <m/>
    <m/>
    <m/>
    <m/>
    <m/>
  </r>
  <r>
    <n v="1511"/>
    <n v="47110"/>
    <d v="1990-09-13T00:00:00"/>
    <n v="35"/>
    <x v="1"/>
    <x v="0"/>
    <d v="2024-01-30T00:00:00"/>
    <n v="2.515068493150685"/>
    <x v="67"/>
    <x v="0"/>
    <x v="4"/>
    <x v="1"/>
    <n v="35.619999999999997"/>
    <m/>
    <m/>
    <m/>
    <m/>
    <m/>
    <m/>
    <x v="3"/>
    <n v="0"/>
    <n v="5"/>
    <m/>
    <m/>
    <m/>
    <m/>
    <m/>
    <m/>
    <m/>
    <m/>
    <m/>
    <m/>
    <m/>
    <m/>
    <m/>
    <m/>
  </r>
  <r>
    <n v="1512"/>
    <n v="47115"/>
    <d v="1992-09-19T00:00:00"/>
    <n v="33"/>
    <x v="0"/>
    <x v="1"/>
    <d v="2023-06-27T00:00:00"/>
    <n v="2.3369863013698629"/>
    <x v="92"/>
    <x v="1"/>
    <x v="4"/>
    <x v="1"/>
    <n v="35.75"/>
    <n v="35.32"/>
    <m/>
    <m/>
    <m/>
    <m/>
    <m/>
    <x v="1"/>
    <n v="0"/>
    <n v="3"/>
    <m/>
    <m/>
    <m/>
    <m/>
    <m/>
    <m/>
    <m/>
    <m/>
    <m/>
    <m/>
    <m/>
    <m/>
    <m/>
    <m/>
  </r>
  <r>
    <n v="1513"/>
    <n v="47116"/>
    <d v="1995-11-07T00:00:00"/>
    <n v="30"/>
    <x v="0"/>
    <x v="1"/>
    <d v="2023-08-31T00:00:00"/>
    <n v="2.8383561643835615"/>
    <x v="85"/>
    <x v="1"/>
    <x v="4"/>
    <x v="1"/>
    <n v="35.65"/>
    <n v="35.32"/>
    <m/>
    <m/>
    <m/>
    <m/>
    <m/>
    <x v="4"/>
    <n v="0"/>
    <n v="4"/>
    <m/>
    <m/>
    <m/>
    <m/>
    <m/>
    <m/>
    <m/>
    <m/>
    <m/>
    <m/>
    <m/>
    <m/>
    <m/>
    <m/>
  </r>
  <r>
    <n v="1514"/>
    <n v="47118"/>
    <d v="1997-12-30T00:00:00"/>
    <n v="28"/>
    <x v="1"/>
    <x v="1"/>
    <d v="2023-03-01T00:00:00"/>
    <n v="1.8164383561643835"/>
    <x v="137"/>
    <x v="0"/>
    <x v="4"/>
    <x v="1"/>
    <n v="35.47"/>
    <n v="35.32"/>
    <m/>
    <m/>
    <m/>
    <m/>
    <m/>
    <x v="4"/>
    <n v="0"/>
    <n v="6"/>
    <m/>
    <m/>
    <m/>
    <m/>
    <m/>
    <m/>
    <m/>
    <m/>
    <m/>
    <m/>
    <m/>
    <m/>
    <m/>
    <m/>
  </r>
  <r>
    <n v="1515"/>
    <n v="47120"/>
    <d v="1992-03-22T00:00:00"/>
    <n v="33"/>
    <x v="1"/>
    <x v="1"/>
    <d v="2024-03-08T00:00:00"/>
    <n v="2.5671232876712327"/>
    <x v="134"/>
    <x v="1"/>
    <x v="4"/>
    <x v="1"/>
    <n v="35.47"/>
    <m/>
    <m/>
    <m/>
    <m/>
    <m/>
    <m/>
    <x v="2"/>
    <n v="0"/>
    <n v="5"/>
    <m/>
    <m/>
    <m/>
    <m/>
    <m/>
    <m/>
    <m/>
    <m/>
    <m/>
    <m/>
    <m/>
    <m/>
    <m/>
    <m/>
  </r>
  <r>
    <n v="1516"/>
    <n v="47124"/>
    <d v="1989-03-25T00:00:00"/>
    <n v="36"/>
    <x v="0"/>
    <x v="1"/>
    <d v="2023-06-08T00:00:00"/>
    <n v="2.408219178082192"/>
    <x v="39"/>
    <x v="1"/>
    <x v="4"/>
    <x v="1"/>
    <n v="35.619999999999997"/>
    <n v="35.32"/>
    <m/>
    <m/>
    <m/>
    <m/>
    <m/>
    <x v="4"/>
    <n v="0"/>
    <n v="6"/>
    <m/>
    <m/>
    <m/>
    <m/>
    <m/>
    <m/>
    <m/>
    <m/>
    <m/>
    <m/>
    <m/>
    <m/>
    <m/>
    <m/>
  </r>
  <r>
    <n v="1517"/>
    <n v="47138"/>
    <d v="1994-09-13T00:00:00"/>
    <n v="31"/>
    <x v="1"/>
    <x v="1"/>
    <d v="2023-08-05T00:00:00"/>
    <n v="2.0301369863013701"/>
    <x v="8"/>
    <x v="1"/>
    <x v="4"/>
    <x v="1"/>
    <n v="35.47"/>
    <n v="35.32"/>
    <m/>
    <m/>
    <m/>
    <m/>
    <m/>
    <x v="2"/>
    <n v="0"/>
    <n v="4"/>
    <m/>
    <m/>
    <m/>
    <m/>
    <m/>
    <m/>
    <m/>
    <m/>
    <m/>
    <m/>
    <m/>
    <m/>
    <m/>
    <m/>
  </r>
  <r>
    <n v="1518"/>
    <n v="47139"/>
    <d v="1985-12-26T00:00:00"/>
    <n v="40"/>
    <x v="1"/>
    <x v="1"/>
    <d v="2023-12-21T00:00:00"/>
    <n v="2.6986301369863015"/>
    <x v="113"/>
    <x v="1"/>
    <x v="4"/>
    <x v="1"/>
    <n v="35.47"/>
    <n v="35.32"/>
    <m/>
    <m/>
    <m/>
    <m/>
    <m/>
    <x v="3"/>
    <n v="0"/>
    <n v="6"/>
    <m/>
    <m/>
    <m/>
    <m/>
    <m/>
    <m/>
    <m/>
    <m/>
    <m/>
    <m/>
    <m/>
    <m/>
    <m/>
    <m/>
  </r>
  <r>
    <n v="1519"/>
    <n v="47143"/>
    <d v="1992-05-21T00:00:00"/>
    <n v="33"/>
    <x v="1"/>
    <x v="1"/>
    <d v="2023-04-21T00:00:00"/>
    <n v="2.3397260273972602"/>
    <x v="120"/>
    <x v="1"/>
    <x v="4"/>
    <x v="1"/>
    <n v="35.619999999999997"/>
    <n v="35.32"/>
    <m/>
    <m/>
    <m/>
    <m/>
    <m/>
    <x v="2"/>
    <n v="0"/>
    <n v="4"/>
    <m/>
    <m/>
    <m/>
    <m/>
    <m/>
    <m/>
    <m/>
    <m/>
    <m/>
    <m/>
    <m/>
    <m/>
    <m/>
    <m/>
  </r>
  <r>
    <n v="1520"/>
    <n v="47144"/>
    <d v="1991-08-04T00:00:00"/>
    <n v="34"/>
    <x v="0"/>
    <x v="0"/>
    <d v="2023-08-30T00:00:00"/>
    <n v="2.043835616438356"/>
    <x v="54"/>
    <x v="1"/>
    <x v="4"/>
    <x v="1"/>
    <n v="35.619999999999997"/>
    <n v="35.32"/>
    <m/>
    <m/>
    <m/>
    <m/>
    <m/>
    <x v="4"/>
    <n v="0"/>
    <n v="4"/>
    <m/>
    <m/>
    <m/>
    <m/>
    <m/>
    <m/>
    <m/>
    <m/>
    <m/>
    <m/>
    <m/>
    <m/>
    <m/>
    <m/>
  </r>
  <r>
    <n v="1521"/>
    <n v="47151"/>
    <d v="1985-05-22T00:00:00"/>
    <n v="40"/>
    <x v="1"/>
    <x v="1"/>
    <d v="2023-12-16T00:00:00"/>
    <n v="2.1808219178082191"/>
    <x v="135"/>
    <x v="1"/>
    <x v="4"/>
    <x v="1"/>
    <n v="35.47"/>
    <n v="35.32"/>
    <m/>
    <m/>
    <m/>
    <m/>
    <m/>
    <x v="3"/>
    <n v="0"/>
    <n v="6"/>
    <m/>
    <m/>
    <m/>
    <m/>
    <m/>
    <m/>
    <m/>
    <m/>
    <m/>
    <m/>
    <m/>
    <m/>
    <m/>
    <m/>
  </r>
  <r>
    <n v="1522"/>
    <n v="47152"/>
    <d v="1985-04-27T00:00:00"/>
    <n v="40"/>
    <x v="0"/>
    <x v="1"/>
    <d v="2023-10-27T00:00:00"/>
    <n v="2.6273972602739728"/>
    <x v="2"/>
    <x v="0"/>
    <x v="4"/>
    <x v="1"/>
    <n v="35.619999999999997"/>
    <n v="35.32"/>
    <m/>
    <m/>
    <m/>
    <m/>
    <m/>
    <x v="2"/>
    <n v="0"/>
    <n v="4"/>
    <m/>
    <m/>
    <m/>
    <m/>
    <m/>
    <m/>
    <m/>
    <m/>
    <m/>
    <m/>
    <m/>
    <m/>
    <m/>
    <m/>
  </r>
  <r>
    <n v="1523"/>
    <n v="47155"/>
    <d v="1998-11-19T00:00:00"/>
    <n v="27"/>
    <x v="0"/>
    <x v="1"/>
    <d v="2023-05-17T00:00:00"/>
    <n v="2.1890410958904107"/>
    <x v="142"/>
    <x v="0"/>
    <x v="4"/>
    <x v="1"/>
    <n v="35.32"/>
    <n v="35.32"/>
    <m/>
    <m/>
    <m/>
    <m/>
    <m/>
    <x v="1"/>
    <n v="0"/>
    <n v="4"/>
    <m/>
    <m/>
    <m/>
    <m/>
    <m/>
    <m/>
    <m/>
    <m/>
    <m/>
    <m/>
    <m/>
    <m/>
    <m/>
    <m/>
  </r>
  <r>
    <n v="1524"/>
    <n v="47160"/>
    <d v="1994-07-30T00:00:00"/>
    <n v="31"/>
    <x v="1"/>
    <x v="1"/>
    <d v="2023-10-24T00:00:00"/>
    <n v="2.0657534246575344"/>
    <x v="98"/>
    <x v="1"/>
    <x v="4"/>
    <x v="1"/>
    <n v="35.74"/>
    <n v="35.32"/>
    <m/>
    <m/>
    <m/>
    <m/>
    <m/>
    <x v="2"/>
    <n v="0"/>
    <n v="6"/>
    <m/>
    <m/>
    <m/>
    <m/>
    <m/>
    <m/>
    <m/>
    <m/>
    <m/>
    <m/>
    <m/>
    <m/>
    <m/>
    <m/>
  </r>
  <r>
    <n v="1525"/>
    <n v="47161"/>
    <d v="1985-09-26T00:00:00"/>
    <n v="40"/>
    <x v="1"/>
    <x v="1"/>
    <d v="2023-12-08T00:00:00"/>
    <n v="1.9698630136986301"/>
    <x v="5"/>
    <x v="0"/>
    <x v="4"/>
    <x v="1"/>
    <n v="35.619999999999997"/>
    <n v="35.32"/>
    <m/>
    <m/>
    <m/>
    <m/>
    <m/>
    <x v="3"/>
    <n v="0"/>
    <n v="4"/>
    <m/>
    <m/>
    <m/>
    <m/>
    <m/>
    <m/>
    <m/>
    <m/>
    <m/>
    <m/>
    <m/>
    <m/>
    <m/>
    <m/>
  </r>
  <r>
    <n v="1526"/>
    <n v="47162"/>
    <d v="1997-11-04T00:00:00"/>
    <n v="28"/>
    <x v="1"/>
    <x v="1"/>
    <d v="2024-01-12T00:00:00"/>
    <n v="2.6986301369863015"/>
    <x v="41"/>
    <x v="0"/>
    <x v="4"/>
    <x v="1"/>
    <n v="35.659999999999997"/>
    <m/>
    <m/>
    <m/>
    <m/>
    <m/>
    <m/>
    <x v="3"/>
    <n v="0"/>
    <n v="6"/>
    <m/>
    <m/>
    <m/>
    <m/>
    <m/>
    <m/>
    <m/>
    <m/>
    <m/>
    <m/>
    <m/>
    <m/>
    <m/>
    <m/>
  </r>
  <r>
    <n v="1527"/>
    <n v="47163"/>
    <d v="1991-10-07T00:00:00"/>
    <n v="34"/>
    <x v="1"/>
    <x v="0"/>
    <d v="2023-04-21T00:00:00"/>
    <n v="1.8821917808219177"/>
    <x v="49"/>
    <x v="0"/>
    <x v="4"/>
    <x v="1"/>
    <n v="35.619999999999997"/>
    <n v="35.32"/>
    <m/>
    <m/>
    <m/>
    <m/>
    <m/>
    <x v="1"/>
    <n v="0"/>
    <n v="5"/>
    <m/>
    <m/>
    <m/>
    <m/>
    <m/>
    <m/>
    <m/>
    <m/>
    <m/>
    <m/>
    <m/>
    <m/>
    <m/>
    <m/>
  </r>
  <r>
    <n v="1528"/>
    <n v="47164"/>
    <d v="1996-03-20T00:00:00"/>
    <n v="29"/>
    <x v="0"/>
    <x v="1"/>
    <d v="2024-02-13T00:00:00"/>
    <n v="2.0767123287671234"/>
    <x v="55"/>
    <x v="0"/>
    <x v="4"/>
    <x v="1"/>
    <n v="35.619999999999997"/>
    <m/>
    <m/>
    <m/>
    <m/>
    <m/>
    <m/>
    <x v="4"/>
    <n v="0"/>
    <n v="3"/>
    <m/>
    <m/>
    <m/>
    <m/>
    <m/>
    <m/>
    <m/>
    <m/>
    <m/>
    <m/>
    <m/>
    <m/>
    <m/>
    <m/>
  </r>
  <r>
    <n v="1529"/>
    <n v="47166"/>
    <d v="1991-12-17T00:00:00"/>
    <n v="34"/>
    <x v="0"/>
    <x v="1"/>
    <d v="2023-12-04T00:00:00"/>
    <n v="2.5287671232876714"/>
    <x v="82"/>
    <x v="0"/>
    <x v="4"/>
    <x v="1"/>
    <n v="35.47"/>
    <n v="35.32"/>
    <m/>
    <m/>
    <m/>
    <m/>
    <m/>
    <x v="4"/>
    <n v="0"/>
    <n v="3"/>
    <m/>
    <m/>
    <m/>
    <m/>
    <m/>
    <m/>
    <m/>
    <m/>
    <m/>
    <m/>
    <m/>
    <m/>
    <m/>
    <m/>
  </r>
  <r>
    <n v="1530"/>
    <n v="47168"/>
    <d v="1993-04-22T00:00:00"/>
    <n v="32"/>
    <x v="0"/>
    <x v="1"/>
    <d v="2023-06-22T00:00:00"/>
    <n v="1.8575342465753424"/>
    <x v="28"/>
    <x v="0"/>
    <x v="4"/>
    <x v="1"/>
    <n v="35.47"/>
    <n v="35.32"/>
    <m/>
    <m/>
    <m/>
    <m/>
    <m/>
    <x v="4"/>
    <n v="0"/>
    <n v="4"/>
    <m/>
    <m/>
    <m/>
    <m/>
    <m/>
    <m/>
    <m/>
    <m/>
    <m/>
    <m/>
    <m/>
    <m/>
    <m/>
    <m/>
  </r>
  <r>
    <n v="1531"/>
    <n v="47188"/>
    <d v="1991-03-17T00:00:00"/>
    <n v="34"/>
    <x v="1"/>
    <x v="1"/>
    <d v="2024-02-22T00:00:00"/>
    <n v="1.9479452054794522"/>
    <x v="78"/>
    <x v="0"/>
    <x v="4"/>
    <x v="1"/>
    <n v="35.47"/>
    <m/>
    <m/>
    <m/>
    <m/>
    <m/>
    <m/>
    <x v="1"/>
    <n v="0"/>
    <n v="6"/>
    <m/>
    <m/>
    <m/>
    <m/>
    <m/>
    <m/>
    <m/>
    <m/>
    <m/>
    <m/>
    <m/>
    <m/>
    <m/>
    <m/>
  </r>
  <r>
    <n v="1532"/>
    <n v="47190"/>
    <d v="1984-11-04T00:00:00"/>
    <n v="41"/>
    <x v="1"/>
    <x v="1"/>
    <d v="2024-01-20T00:00:00"/>
    <n v="1.8547945205479452"/>
    <x v="12"/>
    <x v="0"/>
    <x v="4"/>
    <x v="1"/>
    <n v="35.619999999999997"/>
    <m/>
    <m/>
    <m/>
    <m/>
    <m/>
    <m/>
    <x v="2"/>
    <n v="0"/>
    <n v="5"/>
    <m/>
    <m/>
    <m/>
    <m/>
    <m/>
    <m/>
    <m/>
    <m/>
    <m/>
    <m/>
    <m/>
    <m/>
    <m/>
    <m/>
  </r>
  <r>
    <n v="1533"/>
    <n v="47191"/>
    <d v="1994-04-23T00:00:00"/>
    <n v="31"/>
    <x v="0"/>
    <x v="1"/>
    <d v="2024-02-23T00:00:00"/>
    <n v="2.0630136986301371"/>
    <x v="14"/>
    <x v="0"/>
    <x v="4"/>
    <x v="1"/>
    <n v="35.619999999999997"/>
    <m/>
    <m/>
    <m/>
    <m/>
    <m/>
    <m/>
    <x v="4"/>
    <n v="0"/>
    <n v="4"/>
    <m/>
    <m/>
    <m/>
    <m/>
    <m/>
    <m/>
    <m/>
    <m/>
    <m/>
    <m/>
    <m/>
    <m/>
    <m/>
    <m/>
  </r>
  <r>
    <n v="1534"/>
    <n v="47198"/>
    <d v="1992-06-20T00:00:00"/>
    <n v="33"/>
    <x v="0"/>
    <x v="1"/>
    <d v="2023-12-09T00:00:00"/>
    <n v="2.493150684931507"/>
    <x v="51"/>
    <x v="1"/>
    <x v="4"/>
    <x v="1"/>
    <n v="35.619999999999997"/>
    <n v="35.32"/>
    <m/>
    <m/>
    <m/>
    <m/>
    <m/>
    <x v="1"/>
    <n v="0"/>
    <n v="5"/>
    <m/>
    <m/>
    <m/>
    <m/>
    <m/>
    <m/>
    <m/>
    <m/>
    <m/>
    <m/>
    <m/>
    <m/>
    <m/>
    <m/>
  </r>
  <r>
    <n v="1535"/>
    <n v="47199"/>
    <d v="1987-12-13T00:00:00"/>
    <n v="38"/>
    <x v="1"/>
    <x v="1"/>
    <d v="2023-07-05T00:00:00"/>
    <n v="2.6465753424657534"/>
    <x v="86"/>
    <x v="1"/>
    <x v="4"/>
    <x v="1"/>
    <n v="35.619999999999997"/>
    <n v="35.32"/>
    <m/>
    <m/>
    <m/>
    <m/>
    <m/>
    <x v="2"/>
    <n v="0"/>
    <n v="5"/>
    <m/>
    <m/>
    <m/>
    <m/>
    <m/>
    <m/>
    <m/>
    <m/>
    <m/>
    <m/>
    <m/>
    <m/>
    <m/>
    <m/>
  </r>
  <r>
    <n v="1536"/>
    <n v="47200"/>
    <d v="1994-07-29T00:00:00"/>
    <n v="31"/>
    <x v="0"/>
    <x v="1"/>
    <d v="2023-05-10T00:00:00"/>
    <n v="2.558904109589041"/>
    <x v="126"/>
    <x v="1"/>
    <x v="4"/>
    <x v="1"/>
    <n v="35.32"/>
    <n v="35.32"/>
    <m/>
    <m/>
    <m/>
    <m/>
    <m/>
    <x v="2"/>
    <n v="0"/>
    <n v="3"/>
    <m/>
    <m/>
    <m/>
    <m/>
    <m/>
    <m/>
    <m/>
    <m/>
    <m/>
    <m/>
    <m/>
    <m/>
    <m/>
    <m/>
  </r>
  <r>
    <n v="1537"/>
    <n v="47203"/>
    <d v="1992-10-16T00:00:00"/>
    <n v="33"/>
    <x v="0"/>
    <x v="1"/>
    <d v="2023-06-11T00:00:00"/>
    <n v="2.5753424657534247"/>
    <x v="32"/>
    <x v="0"/>
    <x v="4"/>
    <x v="1"/>
    <n v="35.75"/>
    <n v="35.32"/>
    <m/>
    <m/>
    <m/>
    <m/>
    <m/>
    <x v="1"/>
    <n v="0"/>
    <n v="3"/>
    <m/>
    <m/>
    <m/>
    <m/>
    <m/>
    <m/>
    <m/>
    <m/>
    <m/>
    <m/>
    <m/>
    <m/>
    <m/>
    <m/>
  </r>
  <r>
    <n v="1538"/>
    <n v="47205"/>
    <d v="1990-02-14T00:00:00"/>
    <n v="35"/>
    <x v="0"/>
    <x v="1"/>
    <d v="2023-06-05T00:00:00"/>
    <n v="1.9808219178082191"/>
    <x v="41"/>
    <x v="0"/>
    <x v="4"/>
    <x v="1"/>
    <n v="35.69"/>
    <n v="35.32"/>
    <m/>
    <m/>
    <m/>
    <m/>
    <m/>
    <x v="3"/>
    <n v="0"/>
    <n v="5"/>
    <m/>
    <m/>
    <m/>
    <m/>
    <m/>
    <m/>
    <m/>
    <m/>
    <m/>
    <m/>
    <m/>
    <m/>
    <m/>
    <m/>
  </r>
  <r>
    <n v="1539"/>
    <n v="47206"/>
    <d v="1991-08-03T00:00:00"/>
    <n v="34"/>
    <x v="1"/>
    <x v="1"/>
    <d v="2024-01-08T00:00:00"/>
    <n v="2.504109589041096"/>
    <x v="3"/>
    <x v="0"/>
    <x v="4"/>
    <x v="1"/>
    <n v="35.619999999999997"/>
    <m/>
    <m/>
    <m/>
    <m/>
    <m/>
    <m/>
    <x v="2"/>
    <n v="0"/>
    <n v="6"/>
    <m/>
    <m/>
    <m/>
    <m/>
    <m/>
    <m/>
    <m/>
    <m/>
    <m/>
    <m/>
    <m/>
    <m/>
    <m/>
    <m/>
  </r>
  <r>
    <n v="1540"/>
    <n v="47208"/>
    <d v="1989-07-07T00:00:00"/>
    <n v="36"/>
    <x v="0"/>
    <x v="1"/>
    <d v="2023-07-01T00:00:00"/>
    <n v="2.2520547945205478"/>
    <x v="102"/>
    <x v="0"/>
    <x v="4"/>
    <x v="1"/>
    <n v="35.61"/>
    <n v="35.32"/>
    <m/>
    <m/>
    <m/>
    <m/>
    <m/>
    <x v="4"/>
    <n v="0"/>
    <n v="3"/>
    <m/>
    <m/>
    <m/>
    <m/>
    <m/>
    <m/>
    <m/>
    <m/>
    <m/>
    <m/>
    <m/>
    <m/>
    <m/>
    <m/>
  </r>
  <r>
    <n v="1541"/>
    <n v="47210"/>
    <d v="1996-04-04T00:00:00"/>
    <n v="29"/>
    <x v="0"/>
    <x v="1"/>
    <d v="2023-10-01T00:00:00"/>
    <n v="2.3369863013698629"/>
    <x v="45"/>
    <x v="0"/>
    <x v="4"/>
    <x v="1"/>
    <n v="35.47"/>
    <n v="35.32"/>
    <m/>
    <m/>
    <m/>
    <m/>
    <m/>
    <x v="3"/>
    <n v="0"/>
    <n v="3"/>
    <m/>
    <m/>
    <m/>
    <m/>
    <m/>
    <m/>
    <m/>
    <m/>
    <m/>
    <m/>
    <m/>
    <m/>
    <m/>
    <m/>
  </r>
  <r>
    <n v="1542"/>
    <n v="47213"/>
    <d v="1983-12-23T00:00:00"/>
    <n v="42"/>
    <x v="1"/>
    <x v="1"/>
    <d v="2023-08-31T00:00:00"/>
    <n v="1.9671232876712328"/>
    <x v="19"/>
    <x v="0"/>
    <x v="4"/>
    <x v="1"/>
    <n v="35.619999999999997"/>
    <n v="35.32"/>
    <m/>
    <m/>
    <m/>
    <m/>
    <m/>
    <x v="1"/>
    <n v="0"/>
    <n v="6"/>
    <m/>
    <m/>
    <m/>
    <m/>
    <m/>
    <m/>
    <m/>
    <m/>
    <m/>
    <m/>
    <m/>
    <m/>
    <m/>
    <m/>
  </r>
  <r>
    <n v="1543"/>
    <n v="47214"/>
    <d v="1978-10-08T00:00:00"/>
    <n v="47"/>
    <x v="0"/>
    <x v="1"/>
    <d v="2024-01-13T00:00:00"/>
    <n v="2.7753424657534245"/>
    <x v="31"/>
    <x v="0"/>
    <x v="4"/>
    <x v="1"/>
    <n v="35.619999999999997"/>
    <m/>
    <m/>
    <m/>
    <m/>
    <m/>
    <m/>
    <x v="4"/>
    <n v="0"/>
    <n v="2"/>
    <m/>
    <m/>
    <m/>
    <m/>
    <m/>
    <m/>
    <m/>
    <m/>
    <m/>
    <m/>
    <m/>
    <m/>
    <m/>
    <m/>
  </r>
  <r>
    <n v="1544"/>
    <n v="47217"/>
    <d v="1980-10-07T00:00:00"/>
    <n v="45"/>
    <x v="0"/>
    <x v="1"/>
    <d v="2023-03-24T00:00:00"/>
    <n v="2.1835616438356165"/>
    <x v="141"/>
    <x v="0"/>
    <x v="4"/>
    <x v="1"/>
    <n v="35.32"/>
    <n v="35.32"/>
    <m/>
    <m/>
    <m/>
    <m/>
    <m/>
    <x v="2"/>
    <n v="0"/>
    <n v="3"/>
    <m/>
    <m/>
    <m/>
    <m/>
    <m/>
    <m/>
    <m/>
    <m/>
    <m/>
    <m/>
    <m/>
    <m/>
    <m/>
    <m/>
  </r>
  <r>
    <n v="1545"/>
    <n v="47218"/>
    <d v="1995-04-29T00:00:00"/>
    <n v="30"/>
    <x v="0"/>
    <x v="1"/>
    <d v="2023-10-26T00:00:00"/>
    <n v="2.7397260273972601"/>
    <x v="104"/>
    <x v="1"/>
    <x v="4"/>
    <x v="1"/>
    <n v="35.619999999999997"/>
    <n v="35.32"/>
    <m/>
    <m/>
    <m/>
    <m/>
    <m/>
    <x v="4"/>
    <n v="0"/>
    <n v="5"/>
    <m/>
    <m/>
    <m/>
    <m/>
    <m/>
    <m/>
    <m/>
    <m/>
    <m/>
    <m/>
    <m/>
    <m/>
    <m/>
    <m/>
  </r>
  <r>
    <n v="1546"/>
    <n v="47219"/>
    <d v="1998-04-28T00:00:00"/>
    <n v="27"/>
    <x v="1"/>
    <x v="1"/>
    <d v="2023-04-06T00:00:00"/>
    <n v="2.7589041095890412"/>
    <x v="44"/>
    <x v="1"/>
    <x v="4"/>
    <x v="1"/>
    <n v="35.619999999999997"/>
    <n v="35.32"/>
    <m/>
    <m/>
    <m/>
    <m/>
    <m/>
    <x v="2"/>
    <n v="0"/>
    <n v="6"/>
    <m/>
    <m/>
    <m/>
    <m/>
    <m/>
    <m/>
    <m/>
    <m/>
    <m/>
    <m/>
    <m/>
    <m/>
    <m/>
    <m/>
  </r>
  <r>
    <n v="1547"/>
    <n v="47224"/>
    <d v="1995-05-20T00:00:00"/>
    <n v="30"/>
    <x v="1"/>
    <x v="0"/>
    <d v="2023-03-30T00:00:00"/>
    <n v="2.3917808219178083"/>
    <x v="54"/>
    <x v="1"/>
    <x v="4"/>
    <x v="1"/>
    <n v="35.619999999999997"/>
    <n v="35.32"/>
    <m/>
    <m/>
    <m/>
    <m/>
    <m/>
    <x v="4"/>
    <n v="0"/>
    <n v="5"/>
    <m/>
    <m/>
    <m/>
    <m/>
    <m/>
    <m/>
    <m/>
    <m/>
    <m/>
    <m/>
    <m/>
    <m/>
    <m/>
    <m/>
  </r>
  <r>
    <n v="1548"/>
    <n v="47229"/>
    <d v="1994-08-20T00:00:00"/>
    <n v="31"/>
    <x v="0"/>
    <x v="1"/>
    <d v="2023-08-11T00:00:00"/>
    <n v="2.0027397260273974"/>
    <x v="84"/>
    <x v="1"/>
    <x v="4"/>
    <x v="1"/>
    <n v="35.619999999999997"/>
    <n v="35.32"/>
    <m/>
    <m/>
    <m/>
    <m/>
    <m/>
    <x v="3"/>
    <n v="0"/>
    <n v="4"/>
    <m/>
    <m/>
    <m/>
    <m/>
    <m/>
    <m/>
    <m/>
    <m/>
    <m/>
    <m/>
    <m/>
    <m/>
    <m/>
    <m/>
  </r>
  <r>
    <n v="1549"/>
    <n v="47232"/>
    <d v="1991-05-22T00:00:00"/>
    <n v="34"/>
    <x v="0"/>
    <x v="1"/>
    <d v="2023-12-31T00:00:00"/>
    <n v="2.6136986301369864"/>
    <x v="139"/>
    <x v="0"/>
    <x v="4"/>
    <x v="1"/>
    <n v="35.619999999999997"/>
    <n v="35.32"/>
    <m/>
    <m/>
    <m/>
    <m/>
    <m/>
    <x v="4"/>
    <n v="0"/>
    <n v="4"/>
    <m/>
    <m/>
    <m/>
    <m/>
    <m/>
    <m/>
    <m/>
    <m/>
    <m/>
    <m/>
    <m/>
    <m/>
    <m/>
    <m/>
  </r>
  <r>
    <n v="1550"/>
    <n v="47234"/>
    <d v="1978-11-19T00:00:00"/>
    <n v="47"/>
    <x v="1"/>
    <x v="1"/>
    <d v="2023-05-22T00:00:00"/>
    <n v="2.4109589041095889"/>
    <x v="63"/>
    <x v="0"/>
    <x v="4"/>
    <x v="1"/>
    <n v="35.32"/>
    <n v="35.32"/>
    <m/>
    <m/>
    <m/>
    <m/>
    <m/>
    <x v="3"/>
    <n v="0"/>
    <n v="5"/>
    <m/>
    <m/>
    <m/>
    <m/>
    <m/>
    <m/>
    <m/>
    <m/>
    <m/>
    <m/>
    <m/>
    <m/>
    <m/>
    <m/>
  </r>
  <r>
    <n v="1551"/>
    <n v="47239"/>
    <d v="1984-08-14T00:00:00"/>
    <n v="41"/>
    <x v="1"/>
    <x v="1"/>
    <d v="2023-08-04T00:00:00"/>
    <n v="2.5945205479452054"/>
    <x v="142"/>
    <x v="0"/>
    <x v="4"/>
    <x v="1"/>
    <n v="35.47"/>
    <n v="35.32"/>
    <m/>
    <m/>
    <m/>
    <m/>
    <m/>
    <x v="3"/>
    <n v="0"/>
    <n v="5"/>
    <m/>
    <m/>
    <m/>
    <m/>
    <m/>
    <m/>
    <m/>
    <m/>
    <m/>
    <m/>
    <m/>
    <m/>
    <m/>
    <m/>
  </r>
  <r>
    <n v="1552"/>
    <n v="47240"/>
    <d v="1990-06-13T00:00:00"/>
    <n v="35"/>
    <x v="0"/>
    <x v="1"/>
    <d v="2023-05-29T00:00:00"/>
    <n v="2.3178082191780822"/>
    <x v="77"/>
    <x v="0"/>
    <x v="4"/>
    <x v="1"/>
    <n v="35.619999999999997"/>
    <n v="35.32"/>
    <m/>
    <m/>
    <m/>
    <m/>
    <m/>
    <x v="2"/>
    <n v="0"/>
    <n v="4"/>
    <m/>
    <m/>
    <m/>
    <m/>
    <m/>
    <m/>
    <m/>
    <m/>
    <m/>
    <m/>
    <m/>
    <m/>
    <m/>
    <m/>
  </r>
  <r>
    <n v="1553"/>
    <n v="47246"/>
    <d v="1984-08-09T00:00:00"/>
    <n v="41"/>
    <x v="0"/>
    <x v="1"/>
    <d v="2023-09-07T00:00:00"/>
    <n v="2.3178082191780822"/>
    <x v="73"/>
    <x v="0"/>
    <x v="4"/>
    <x v="1"/>
    <n v="35.619999999999997"/>
    <n v="35.32"/>
    <m/>
    <m/>
    <m/>
    <m/>
    <m/>
    <x v="2"/>
    <n v="0"/>
    <n v="3"/>
    <m/>
    <m/>
    <m/>
    <m/>
    <m/>
    <m/>
    <m/>
    <m/>
    <m/>
    <m/>
    <m/>
    <m/>
    <m/>
    <m/>
  </r>
  <r>
    <n v="1554"/>
    <n v="47258"/>
    <d v="1996-02-04T00:00:00"/>
    <n v="29"/>
    <x v="1"/>
    <x v="1"/>
    <d v="2023-09-07T00:00:00"/>
    <n v="2.2273972602739724"/>
    <x v="37"/>
    <x v="0"/>
    <x v="4"/>
    <x v="1"/>
    <n v="35.619999999999997"/>
    <n v="35.32"/>
    <m/>
    <m/>
    <m/>
    <m/>
    <m/>
    <x v="3"/>
    <n v="0"/>
    <n v="5"/>
    <m/>
    <m/>
    <m/>
    <m/>
    <m/>
    <m/>
    <m/>
    <m/>
    <m/>
    <m/>
    <m/>
    <m/>
    <m/>
    <m/>
  </r>
  <r>
    <n v="1555"/>
    <n v="47260"/>
    <d v="1989-03-23T00:00:00"/>
    <n v="36"/>
    <x v="0"/>
    <x v="1"/>
    <d v="2023-10-10T00:00:00"/>
    <n v="2.0493150684931507"/>
    <x v="106"/>
    <x v="1"/>
    <x v="4"/>
    <x v="1"/>
    <n v="35.64"/>
    <n v="35.32"/>
    <m/>
    <m/>
    <m/>
    <m/>
    <m/>
    <x v="2"/>
    <n v="0"/>
    <n v="4"/>
    <m/>
    <m/>
    <m/>
    <m/>
    <m/>
    <m/>
    <m/>
    <m/>
    <m/>
    <m/>
    <m/>
    <m/>
    <m/>
    <m/>
  </r>
  <r>
    <n v="1556"/>
    <n v="47261"/>
    <d v="1995-07-19T00:00:00"/>
    <n v="30"/>
    <x v="0"/>
    <x v="1"/>
    <d v="2023-12-14T00:00:00"/>
    <n v="1.989041095890411"/>
    <x v="29"/>
    <x v="1"/>
    <x v="4"/>
    <x v="1"/>
    <n v="35.619999999999997"/>
    <n v="35.32"/>
    <m/>
    <m/>
    <m/>
    <m/>
    <m/>
    <x v="4"/>
    <n v="0"/>
    <n v="5"/>
    <m/>
    <m/>
    <m/>
    <m/>
    <m/>
    <m/>
    <m/>
    <m/>
    <m/>
    <m/>
    <m/>
    <m/>
    <m/>
    <m/>
  </r>
  <r>
    <n v="1557"/>
    <n v="47272"/>
    <d v="1999-09-28T00:00:00"/>
    <n v="26"/>
    <x v="0"/>
    <x v="1"/>
    <d v="2024-01-05T00:00:00"/>
    <n v="1.8465753424657534"/>
    <x v="56"/>
    <x v="1"/>
    <x v="5"/>
    <x v="1"/>
    <n v="23.33"/>
    <m/>
    <m/>
    <m/>
    <m/>
    <m/>
    <m/>
    <x v="2"/>
    <n v="3"/>
    <n v="6"/>
    <m/>
    <m/>
    <m/>
    <m/>
    <m/>
    <m/>
    <m/>
    <m/>
    <m/>
    <m/>
    <m/>
    <m/>
    <m/>
    <m/>
  </r>
  <r>
    <n v="1558"/>
    <n v="47275"/>
    <d v="1998-04-04T00:00:00"/>
    <n v="27"/>
    <x v="0"/>
    <x v="0"/>
    <d v="2024-02-26T00:00:00"/>
    <n v="2.1315068493150684"/>
    <x v="1"/>
    <x v="1"/>
    <x v="5"/>
    <x v="1"/>
    <n v="23.42"/>
    <m/>
    <m/>
    <m/>
    <m/>
    <m/>
    <m/>
    <x v="4"/>
    <n v="2"/>
    <n v="3"/>
    <m/>
    <m/>
    <m/>
    <m/>
    <m/>
    <m/>
    <m/>
    <m/>
    <m/>
    <m/>
    <m/>
    <m/>
    <m/>
    <m/>
  </r>
  <r>
    <n v="1559"/>
    <n v="47278"/>
    <d v="1997-12-11T00:00:00"/>
    <n v="28"/>
    <x v="1"/>
    <x v="1"/>
    <d v="2023-11-14T00:00:00"/>
    <n v="1.904109589041096"/>
    <x v="105"/>
    <x v="1"/>
    <x v="5"/>
    <x v="1"/>
    <n v="23.33"/>
    <n v="23.03"/>
    <m/>
    <m/>
    <m/>
    <m/>
    <m/>
    <x v="4"/>
    <n v="1"/>
    <n v="6"/>
    <m/>
    <m/>
    <m/>
    <m/>
    <m/>
    <m/>
    <m/>
    <m/>
    <m/>
    <m/>
    <m/>
    <m/>
    <m/>
    <m/>
  </r>
  <r>
    <n v="1560"/>
    <n v="47279"/>
    <d v="1997-12-09T00:00:00"/>
    <n v="28"/>
    <x v="0"/>
    <x v="0"/>
    <d v="2024-02-05T00:00:00"/>
    <n v="2.1589041095890411"/>
    <x v="123"/>
    <x v="1"/>
    <x v="5"/>
    <x v="1"/>
    <n v="23.18"/>
    <m/>
    <m/>
    <m/>
    <m/>
    <m/>
    <m/>
    <x v="4"/>
    <n v="5"/>
    <n v="5"/>
    <m/>
    <m/>
    <m/>
    <m/>
    <m/>
    <m/>
    <m/>
    <m/>
    <m/>
    <m/>
    <m/>
    <m/>
    <m/>
    <m/>
  </r>
  <r>
    <n v="1561"/>
    <n v="47296"/>
    <d v="1993-12-04T00:00:00"/>
    <n v="32"/>
    <x v="0"/>
    <x v="0"/>
    <d v="2023-11-04T00:00:00"/>
    <n v="2.7260273972602738"/>
    <x v="10"/>
    <x v="0"/>
    <x v="5"/>
    <x v="1"/>
    <n v="23.38"/>
    <n v="23.03"/>
    <m/>
    <m/>
    <m/>
    <m/>
    <m/>
    <x v="4"/>
    <n v="5"/>
    <n v="6"/>
    <m/>
    <m/>
    <m/>
    <m/>
    <m/>
    <m/>
    <m/>
    <m/>
    <m/>
    <m/>
    <m/>
    <m/>
    <m/>
    <m/>
  </r>
  <r>
    <n v="1562"/>
    <n v="47298"/>
    <d v="1994-11-02T00:00:00"/>
    <n v="31"/>
    <x v="0"/>
    <x v="1"/>
    <d v="2023-04-11T00:00:00"/>
    <n v="1.8356164383561644"/>
    <x v="143"/>
    <x v="0"/>
    <x v="5"/>
    <x v="1"/>
    <n v="23.03"/>
    <n v="23.03"/>
    <m/>
    <m/>
    <m/>
    <m/>
    <m/>
    <x v="4"/>
    <n v="3"/>
    <n v="4"/>
    <m/>
    <m/>
    <m/>
    <m/>
    <m/>
    <m/>
    <m/>
    <m/>
    <m/>
    <m/>
    <m/>
    <m/>
    <m/>
    <m/>
  </r>
  <r>
    <n v="1563"/>
    <n v="47299"/>
    <d v="1995-12-30T00:00:00"/>
    <n v="30"/>
    <x v="0"/>
    <x v="0"/>
    <d v="2024-03-01T00:00:00"/>
    <n v="1.9095890410958904"/>
    <x v="126"/>
    <x v="1"/>
    <x v="5"/>
    <x v="1"/>
    <n v="23.03"/>
    <m/>
    <m/>
    <m/>
    <m/>
    <m/>
    <m/>
    <x v="4"/>
    <n v="4"/>
    <n v="4"/>
    <m/>
    <m/>
    <m/>
    <m/>
    <m/>
    <m/>
    <m/>
    <m/>
    <m/>
    <m/>
    <m/>
    <m/>
    <m/>
    <m/>
  </r>
  <r>
    <n v="1564"/>
    <n v="47300"/>
    <d v="1997-09-27T00:00:00"/>
    <n v="28"/>
    <x v="0"/>
    <x v="0"/>
    <d v="2024-02-03T00:00:00"/>
    <n v="1.893150684931507"/>
    <x v="56"/>
    <x v="1"/>
    <x v="5"/>
    <x v="1"/>
    <n v="23.33"/>
    <m/>
    <m/>
    <m/>
    <m/>
    <m/>
    <m/>
    <x v="4"/>
    <n v="3"/>
    <n v="5"/>
    <m/>
    <m/>
    <m/>
    <m/>
    <m/>
    <m/>
    <m/>
    <m/>
    <m/>
    <m/>
    <m/>
    <m/>
    <m/>
    <m/>
  </r>
  <r>
    <n v="1565"/>
    <n v="47306"/>
    <d v="1991-07-15T00:00:00"/>
    <n v="34"/>
    <x v="1"/>
    <x v="1"/>
    <d v="2024-02-09T00:00:00"/>
    <n v="2.0493150684931507"/>
    <x v="20"/>
    <x v="0"/>
    <x v="5"/>
    <x v="1"/>
    <n v="23.18"/>
    <m/>
    <m/>
    <m/>
    <m/>
    <m/>
    <m/>
    <x v="4"/>
    <n v="1"/>
    <n v="7"/>
    <m/>
    <m/>
    <m/>
    <m/>
    <m/>
    <m/>
    <m/>
    <m/>
    <m/>
    <m/>
    <m/>
    <m/>
    <m/>
    <m/>
  </r>
  <r>
    <n v="1566"/>
    <n v="47307"/>
    <d v="1995-06-16T00:00:00"/>
    <n v="30"/>
    <x v="1"/>
    <x v="0"/>
    <d v="2023-12-14T00:00:00"/>
    <n v="1.9479452054794522"/>
    <x v="87"/>
    <x v="0"/>
    <x v="5"/>
    <x v="1"/>
    <n v="23.18"/>
    <n v="23.03"/>
    <m/>
    <m/>
    <m/>
    <m/>
    <m/>
    <x v="4"/>
    <n v="4"/>
    <n v="7"/>
    <m/>
    <m/>
    <m/>
    <m/>
    <m/>
    <m/>
    <m/>
    <m/>
    <m/>
    <m/>
    <m/>
    <m/>
    <m/>
    <m/>
  </r>
  <r>
    <n v="1567"/>
    <n v="47310"/>
    <d v="1997-12-28T00:00:00"/>
    <n v="28"/>
    <x v="0"/>
    <x v="1"/>
    <d v="2024-01-20T00:00:00"/>
    <n v="2.506849315068493"/>
    <x v="4"/>
    <x v="0"/>
    <x v="5"/>
    <x v="1"/>
    <n v="23.33"/>
    <m/>
    <m/>
    <m/>
    <m/>
    <m/>
    <m/>
    <x v="3"/>
    <n v="4"/>
    <n v="6"/>
    <m/>
    <m/>
    <m/>
    <m/>
    <m/>
    <m/>
    <m/>
    <m/>
    <m/>
    <m/>
    <m/>
    <m/>
    <m/>
    <m/>
  </r>
  <r>
    <n v="1568"/>
    <n v="47317"/>
    <d v="1999-10-10T00:00:00"/>
    <n v="26"/>
    <x v="0"/>
    <x v="1"/>
    <d v="2023-06-30T00:00:00"/>
    <n v="2.4273972602739726"/>
    <x v="49"/>
    <x v="0"/>
    <x v="5"/>
    <x v="1"/>
    <n v="23.33"/>
    <n v="23.03"/>
    <m/>
    <m/>
    <m/>
    <m/>
    <m/>
    <x v="2"/>
    <n v="4"/>
    <n v="5"/>
    <m/>
    <m/>
    <m/>
    <m/>
    <m/>
    <m/>
    <m/>
    <m/>
    <m/>
    <m/>
    <m/>
    <m/>
    <m/>
    <m/>
  </r>
  <r>
    <n v="1569"/>
    <n v="47325"/>
    <d v="1989-07-29T00:00:00"/>
    <n v="36"/>
    <x v="0"/>
    <x v="1"/>
    <d v="2023-07-29T00:00:00"/>
    <n v="2.6821917808219178"/>
    <x v="70"/>
    <x v="1"/>
    <x v="5"/>
    <x v="1"/>
    <n v="23.33"/>
    <n v="23.03"/>
    <m/>
    <m/>
    <m/>
    <m/>
    <m/>
    <x v="2"/>
    <n v="4"/>
    <n v="4"/>
    <m/>
    <m/>
    <m/>
    <m/>
    <m/>
    <m/>
    <m/>
    <m/>
    <m/>
    <m/>
    <m/>
    <m/>
    <m/>
    <m/>
  </r>
  <r>
    <n v="1570"/>
    <n v="47330"/>
    <d v="1999-06-29T00:00:00"/>
    <n v="26"/>
    <x v="0"/>
    <x v="1"/>
    <d v="2023-04-27T00:00:00"/>
    <n v="2.2219178082191782"/>
    <x v="25"/>
    <x v="0"/>
    <x v="5"/>
    <x v="1"/>
    <n v="23.33"/>
    <n v="23.03"/>
    <m/>
    <m/>
    <m/>
    <m/>
    <m/>
    <x v="2"/>
    <n v="5"/>
    <n v="5"/>
    <m/>
    <m/>
    <m/>
    <m/>
    <m/>
    <m/>
    <m/>
    <m/>
    <m/>
    <m/>
    <m/>
    <m/>
    <m/>
    <m/>
  </r>
  <r>
    <n v="1571"/>
    <n v="47331"/>
    <d v="1996-08-18T00:00:00"/>
    <n v="29"/>
    <x v="0"/>
    <x v="1"/>
    <d v="2023-10-12T00:00:00"/>
    <n v="2.2684931506849315"/>
    <x v="26"/>
    <x v="0"/>
    <x v="5"/>
    <x v="1"/>
    <n v="23.31"/>
    <n v="23.03"/>
    <m/>
    <m/>
    <m/>
    <m/>
    <m/>
    <x v="2"/>
    <n v="2"/>
    <n v="5"/>
    <m/>
    <m/>
    <m/>
    <m/>
    <m/>
    <m/>
    <m/>
    <m/>
    <m/>
    <m/>
    <m/>
    <m/>
    <m/>
    <m/>
  </r>
  <r>
    <n v="1572"/>
    <n v="47332"/>
    <d v="1995-07-28T00:00:00"/>
    <n v="30"/>
    <x v="0"/>
    <x v="1"/>
    <d v="2023-09-25T00:00:00"/>
    <n v="2.5835616438356164"/>
    <x v="42"/>
    <x v="0"/>
    <x v="5"/>
    <x v="1"/>
    <n v="23.18"/>
    <n v="23.03"/>
    <m/>
    <m/>
    <m/>
    <m/>
    <m/>
    <x v="4"/>
    <n v="3"/>
    <n v="6"/>
    <m/>
    <m/>
    <m/>
    <m/>
    <m/>
    <m/>
    <m/>
    <m/>
    <m/>
    <m/>
    <m/>
    <m/>
    <m/>
    <m/>
  </r>
  <r>
    <n v="1573"/>
    <n v="47333"/>
    <d v="1992-05-05T00:00:00"/>
    <n v="33"/>
    <x v="0"/>
    <x v="1"/>
    <d v="2023-06-02T00:00:00"/>
    <n v="2.6575342465753424"/>
    <x v="64"/>
    <x v="1"/>
    <x v="5"/>
    <x v="1"/>
    <n v="23.33"/>
    <n v="23.03"/>
    <m/>
    <m/>
    <m/>
    <m/>
    <m/>
    <x v="2"/>
    <n v="4"/>
    <n v="5"/>
    <m/>
    <m/>
    <m/>
    <m/>
    <m/>
    <m/>
    <m/>
    <m/>
    <m/>
    <m/>
    <m/>
    <m/>
    <m/>
    <m/>
  </r>
  <r>
    <n v="1574"/>
    <n v="47339"/>
    <d v="1998-01-03T00:00:00"/>
    <n v="27"/>
    <x v="0"/>
    <x v="0"/>
    <d v="2023-05-06T00:00:00"/>
    <n v="1.9178082191780821"/>
    <x v="61"/>
    <x v="0"/>
    <x v="5"/>
    <x v="1"/>
    <n v="23.4"/>
    <n v="23.03"/>
    <m/>
    <m/>
    <m/>
    <m/>
    <m/>
    <x v="4"/>
    <n v="4"/>
    <n v="4"/>
    <m/>
    <m/>
    <m/>
    <m/>
    <m/>
    <m/>
    <m/>
    <m/>
    <m/>
    <m/>
    <m/>
    <m/>
    <m/>
    <m/>
  </r>
  <r>
    <n v="1575"/>
    <n v="47343"/>
    <d v="1999-10-08T00:00:00"/>
    <n v="26"/>
    <x v="1"/>
    <x v="1"/>
    <d v="2024-01-31T00:00:00"/>
    <n v="2.4438356164383563"/>
    <x v="33"/>
    <x v="0"/>
    <x v="5"/>
    <x v="1"/>
    <n v="23.33"/>
    <m/>
    <m/>
    <m/>
    <m/>
    <m/>
    <m/>
    <x v="1"/>
    <n v="4"/>
    <n v="7"/>
    <m/>
    <m/>
    <m/>
    <m/>
    <m/>
    <m/>
    <m/>
    <m/>
    <m/>
    <m/>
    <m/>
    <m/>
    <m/>
    <m/>
  </r>
  <r>
    <n v="1576"/>
    <n v="47345"/>
    <d v="1996-03-26T00:00:00"/>
    <n v="29"/>
    <x v="0"/>
    <x v="0"/>
    <d v="2023-07-23T00:00:00"/>
    <n v="2.0904109589041098"/>
    <x v="76"/>
    <x v="1"/>
    <x v="5"/>
    <x v="1"/>
    <n v="23.33"/>
    <n v="23.03"/>
    <m/>
    <m/>
    <m/>
    <m/>
    <m/>
    <x v="2"/>
    <n v="1"/>
    <n v="2"/>
    <m/>
    <m/>
    <m/>
    <m/>
    <m/>
    <m/>
    <m/>
    <m/>
    <m/>
    <m/>
    <m/>
    <m/>
    <m/>
    <m/>
  </r>
  <r>
    <n v="1577"/>
    <n v="47347"/>
    <d v="1993-07-24T00:00:00"/>
    <n v="32"/>
    <x v="0"/>
    <x v="1"/>
    <d v="2023-11-29T00:00:00"/>
    <n v="2.2684931506849315"/>
    <x v="117"/>
    <x v="1"/>
    <x v="5"/>
    <x v="1"/>
    <n v="23.18"/>
    <n v="23.03"/>
    <m/>
    <m/>
    <m/>
    <m/>
    <m/>
    <x v="4"/>
    <n v="3"/>
    <n v="5"/>
    <m/>
    <m/>
    <m/>
    <m/>
    <m/>
    <m/>
    <m/>
    <m/>
    <m/>
    <m/>
    <m/>
    <m/>
    <m/>
    <m/>
  </r>
  <r>
    <n v="1578"/>
    <n v="47352"/>
    <d v="2000-12-01T00:00:00"/>
    <n v="26"/>
    <x v="0"/>
    <x v="1"/>
    <d v="2023-09-25T00:00:00"/>
    <n v="2.515068493150685"/>
    <x v="71"/>
    <x v="1"/>
    <x v="5"/>
    <x v="1"/>
    <n v="23.33"/>
    <n v="23.03"/>
    <m/>
    <m/>
    <m/>
    <m/>
    <m/>
    <x v="3"/>
    <n v="1"/>
    <n v="5"/>
    <m/>
    <m/>
    <m/>
    <m/>
    <m/>
    <m/>
    <m/>
    <m/>
    <m/>
    <m/>
    <m/>
    <m/>
    <m/>
    <m/>
  </r>
  <r>
    <n v="1579"/>
    <n v="47356"/>
    <d v="1994-12-23T00:00:00"/>
    <n v="31"/>
    <x v="1"/>
    <x v="1"/>
    <d v="2023-06-27T00:00:00"/>
    <n v="2.8219178082191783"/>
    <x v="26"/>
    <x v="0"/>
    <x v="5"/>
    <x v="1"/>
    <n v="23.36"/>
    <n v="23.03"/>
    <m/>
    <m/>
    <m/>
    <m/>
    <m/>
    <x v="2"/>
    <n v="2"/>
    <n v="6"/>
    <m/>
    <m/>
    <m/>
    <m/>
    <m/>
    <m/>
    <m/>
    <m/>
    <m/>
    <m/>
    <m/>
    <m/>
    <m/>
    <m/>
  </r>
  <r>
    <n v="1580"/>
    <n v="47360"/>
    <d v="1996-10-03T00:00:00"/>
    <n v="29"/>
    <x v="0"/>
    <x v="1"/>
    <d v="2023-03-07T00:00:00"/>
    <n v="2.6328767123287671"/>
    <x v="125"/>
    <x v="1"/>
    <x v="5"/>
    <x v="1"/>
    <n v="23.33"/>
    <n v="23.03"/>
    <m/>
    <m/>
    <m/>
    <m/>
    <m/>
    <x v="4"/>
    <n v="3"/>
    <n v="4"/>
    <m/>
    <m/>
    <m/>
    <m/>
    <m/>
    <m/>
    <m/>
    <m/>
    <m/>
    <m/>
    <m/>
    <m/>
    <m/>
    <m/>
  </r>
  <r>
    <n v="1581"/>
    <n v="47366"/>
    <d v="1996-12-25T00:00:00"/>
    <n v="29"/>
    <x v="0"/>
    <x v="0"/>
    <d v="2023-05-15T00:00:00"/>
    <n v="2.43013698630137"/>
    <x v="1"/>
    <x v="1"/>
    <x v="5"/>
    <x v="1"/>
    <n v="23.25"/>
    <n v="23.03"/>
    <m/>
    <m/>
    <m/>
    <m/>
    <m/>
    <x v="1"/>
    <n v="3"/>
    <n v="4"/>
    <m/>
    <m/>
    <m/>
    <m/>
    <m/>
    <m/>
    <m/>
    <m/>
    <m/>
    <m/>
    <m/>
    <m/>
    <m/>
    <m/>
  </r>
  <r>
    <n v="1582"/>
    <n v="47371"/>
    <d v="1996-06-09T00:00:00"/>
    <n v="29"/>
    <x v="0"/>
    <x v="1"/>
    <d v="2023-07-28T00:00:00"/>
    <n v="2.526027397260274"/>
    <x v="120"/>
    <x v="1"/>
    <x v="5"/>
    <x v="1"/>
    <n v="23.33"/>
    <n v="23.03"/>
    <m/>
    <m/>
    <m/>
    <m/>
    <m/>
    <x v="3"/>
    <n v="3"/>
    <n v="5"/>
    <m/>
    <m/>
    <m/>
    <m/>
    <m/>
    <m/>
    <m/>
    <m/>
    <m/>
    <m/>
    <m/>
    <m/>
    <m/>
    <m/>
  </r>
  <r>
    <n v="1583"/>
    <n v="47373"/>
    <d v="1997-07-01T00:00:00"/>
    <n v="29"/>
    <x v="1"/>
    <x v="1"/>
    <d v="2023-06-23T00:00:00"/>
    <n v="2.7972602739726029"/>
    <x v="123"/>
    <x v="1"/>
    <x v="5"/>
    <x v="1"/>
    <n v="23.18"/>
    <n v="23.03"/>
    <m/>
    <m/>
    <m/>
    <m/>
    <m/>
    <x v="2"/>
    <n v="4"/>
    <n v="7"/>
    <m/>
    <m/>
    <m/>
    <m/>
    <m/>
    <m/>
    <m/>
    <m/>
    <m/>
    <m/>
    <m/>
    <m/>
    <m/>
    <m/>
  </r>
  <r>
    <n v="1584"/>
    <n v="47378"/>
    <d v="1998-04-04T00:00:00"/>
    <n v="27"/>
    <x v="0"/>
    <x v="1"/>
    <d v="2023-03-16T00:00:00"/>
    <n v="1.8821917808219177"/>
    <x v="136"/>
    <x v="0"/>
    <x v="5"/>
    <x v="1"/>
    <n v="23.42"/>
    <n v="23.03"/>
    <m/>
    <m/>
    <m/>
    <m/>
    <m/>
    <x v="4"/>
    <n v="5"/>
    <n v="6"/>
    <m/>
    <m/>
    <m/>
    <m/>
    <m/>
    <m/>
    <m/>
    <m/>
    <m/>
    <m/>
    <m/>
    <m/>
    <m/>
    <m/>
  </r>
  <r>
    <n v="1585"/>
    <n v="47380"/>
    <d v="1997-01-14T00:00:00"/>
    <n v="28"/>
    <x v="0"/>
    <x v="1"/>
    <d v="2024-02-13T00:00:00"/>
    <n v="2.0767123287671234"/>
    <x v="91"/>
    <x v="1"/>
    <x v="5"/>
    <x v="1"/>
    <n v="23.33"/>
    <m/>
    <m/>
    <m/>
    <m/>
    <m/>
    <m/>
    <x v="3"/>
    <n v="4"/>
    <n v="5"/>
    <m/>
    <m/>
    <m/>
    <m/>
    <m/>
    <m/>
    <m/>
    <m/>
    <m/>
    <m/>
    <m/>
    <m/>
    <m/>
    <m/>
  </r>
  <r>
    <n v="1586"/>
    <n v="47388"/>
    <d v="1998-12-25T00:00:00"/>
    <n v="27"/>
    <x v="0"/>
    <x v="1"/>
    <d v="2023-12-04T00:00:00"/>
    <n v="1.9232876712328768"/>
    <x v="15"/>
    <x v="0"/>
    <x v="5"/>
    <x v="1"/>
    <n v="23.33"/>
    <n v="23.03"/>
    <m/>
    <m/>
    <m/>
    <m/>
    <m/>
    <x v="3"/>
    <n v="4"/>
    <n v="4"/>
    <m/>
    <m/>
    <m/>
    <m/>
    <m/>
    <m/>
    <m/>
    <m/>
    <m/>
    <m/>
    <m/>
    <m/>
    <m/>
    <m/>
  </r>
  <r>
    <n v="1587"/>
    <n v="47390"/>
    <d v="1998-08-10T00:00:00"/>
    <n v="27"/>
    <x v="0"/>
    <x v="1"/>
    <d v="2024-01-29T00:00:00"/>
    <n v="1.9616438356164383"/>
    <x v="78"/>
    <x v="0"/>
    <x v="5"/>
    <x v="1"/>
    <n v="23.18"/>
    <m/>
    <m/>
    <m/>
    <m/>
    <m/>
    <m/>
    <x v="4"/>
    <n v="3"/>
    <n v="4"/>
    <m/>
    <m/>
    <m/>
    <m/>
    <m/>
    <m/>
    <m/>
    <m/>
    <m/>
    <m/>
    <m/>
    <m/>
    <m/>
    <m/>
  </r>
  <r>
    <n v="1588"/>
    <n v="47399"/>
    <d v="1991-12-23T00:00:00"/>
    <n v="34"/>
    <x v="1"/>
    <x v="1"/>
    <d v="2024-01-15T00:00:00"/>
    <n v="2.526027397260274"/>
    <x v="131"/>
    <x v="1"/>
    <x v="5"/>
    <x v="1"/>
    <n v="23.03"/>
    <m/>
    <m/>
    <m/>
    <m/>
    <m/>
    <m/>
    <x v="4"/>
    <n v="5"/>
    <n v="7"/>
    <m/>
    <m/>
    <m/>
    <m/>
    <m/>
    <m/>
    <m/>
    <m/>
    <m/>
    <m/>
    <m/>
    <m/>
    <m/>
    <m/>
  </r>
  <r>
    <n v="1589"/>
    <n v="47415"/>
    <d v="1997-02-10T00:00:00"/>
    <n v="28"/>
    <x v="0"/>
    <x v="0"/>
    <d v="2023-06-23T00:00:00"/>
    <n v="2.2136986301369861"/>
    <x v="116"/>
    <x v="1"/>
    <x v="5"/>
    <x v="1"/>
    <n v="23.47"/>
    <n v="23.03"/>
    <m/>
    <m/>
    <m/>
    <m/>
    <m/>
    <x v="3"/>
    <n v="6"/>
    <n v="4"/>
    <m/>
    <m/>
    <m/>
    <m/>
    <m/>
    <m/>
    <m/>
    <m/>
    <m/>
    <m/>
    <m/>
    <m/>
    <m/>
    <m/>
  </r>
  <r>
    <n v="1590"/>
    <n v="47417"/>
    <d v="1991-03-02T00:00:00"/>
    <n v="34"/>
    <x v="1"/>
    <x v="0"/>
    <d v="2023-10-15T00:00:00"/>
    <n v="2.0602739726027397"/>
    <x v="77"/>
    <x v="0"/>
    <x v="5"/>
    <x v="1"/>
    <n v="23.33"/>
    <n v="23.03"/>
    <m/>
    <m/>
    <m/>
    <m/>
    <m/>
    <x v="3"/>
    <n v="3"/>
    <n v="7"/>
    <m/>
    <m/>
    <m/>
    <m/>
    <m/>
    <m/>
    <m/>
    <m/>
    <m/>
    <m/>
    <m/>
    <m/>
    <m/>
    <m/>
  </r>
  <r>
    <n v="1591"/>
    <n v="47418"/>
    <d v="1995-12-10T00:00:00"/>
    <n v="30"/>
    <x v="0"/>
    <x v="1"/>
    <d v="2023-12-10T00:00:00"/>
    <n v="1.8821917808219177"/>
    <x v="119"/>
    <x v="1"/>
    <x v="5"/>
    <x v="1"/>
    <n v="23.36"/>
    <n v="23.03"/>
    <m/>
    <m/>
    <m/>
    <m/>
    <m/>
    <x v="1"/>
    <n v="6"/>
    <n v="5"/>
    <m/>
    <m/>
    <m/>
    <m/>
    <m/>
    <m/>
    <m/>
    <m/>
    <m/>
    <m/>
    <m/>
    <m/>
    <m/>
    <m/>
  </r>
  <r>
    <n v="1592"/>
    <n v="47419"/>
    <d v="1990-03-07T00:00:00"/>
    <n v="35"/>
    <x v="0"/>
    <x v="1"/>
    <d v="2024-02-13T00:00:00"/>
    <n v="2.7178082191780821"/>
    <x v="80"/>
    <x v="1"/>
    <x v="5"/>
    <x v="1"/>
    <n v="23.18"/>
    <m/>
    <m/>
    <m/>
    <m/>
    <m/>
    <m/>
    <x v="3"/>
    <n v="2"/>
    <n v="5"/>
    <m/>
    <m/>
    <m/>
    <m/>
    <m/>
    <m/>
    <m/>
    <m/>
    <m/>
    <m/>
    <m/>
    <m/>
    <m/>
    <m/>
  </r>
  <r>
    <n v="1593"/>
    <n v="47423"/>
    <d v="1995-02-08T00:00:00"/>
    <n v="30"/>
    <x v="0"/>
    <x v="1"/>
    <d v="2023-04-14T00:00:00"/>
    <n v="2.5835616438356164"/>
    <x v="55"/>
    <x v="0"/>
    <x v="5"/>
    <x v="1"/>
    <n v="23.33"/>
    <n v="23.03"/>
    <m/>
    <m/>
    <m/>
    <m/>
    <m/>
    <x v="4"/>
    <n v="5"/>
    <n v="6"/>
    <m/>
    <m/>
    <m/>
    <m/>
    <m/>
    <m/>
    <m/>
    <m/>
    <m/>
    <m/>
    <m/>
    <m/>
    <m/>
    <m/>
  </r>
  <r>
    <n v="1594"/>
    <n v="47434"/>
    <d v="1996-08-08T00:00:00"/>
    <n v="29"/>
    <x v="1"/>
    <x v="1"/>
    <d v="2023-06-02T00:00:00"/>
    <n v="2.2547945205479452"/>
    <x v="33"/>
    <x v="0"/>
    <x v="5"/>
    <x v="1"/>
    <n v="23.33"/>
    <n v="23.03"/>
    <m/>
    <m/>
    <m/>
    <m/>
    <m/>
    <x v="3"/>
    <n v="4"/>
    <n v="7"/>
    <m/>
    <m/>
    <m/>
    <m/>
    <m/>
    <m/>
    <m/>
    <m/>
    <m/>
    <m/>
    <m/>
    <m/>
    <m/>
    <m/>
  </r>
  <r>
    <n v="1595"/>
    <n v="47444"/>
    <d v="2000-06-21T00:00:00"/>
    <n v="25"/>
    <x v="1"/>
    <x v="0"/>
    <d v="2023-09-30T00:00:00"/>
    <n v="2.4465753424657533"/>
    <x v="25"/>
    <x v="0"/>
    <x v="5"/>
    <x v="1"/>
    <n v="23.33"/>
    <n v="23.03"/>
    <m/>
    <m/>
    <m/>
    <m/>
    <m/>
    <x v="4"/>
    <n v="1"/>
    <n v="6"/>
    <m/>
    <m/>
    <m/>
    <m/>
    <m/>
    <m/>
    <m/>
    <m/>
    <m/>
    <m/>
    <m/>
    <m/>
    <m/>
    <m/>
  </r>
  <r>
    <n v="1596"/>
    <n v="47451"/>
    <d v="1995-10-26T00:00:00"/>
    <n v="30"/>
    <x v="0"/>
    <x v="1"/>
    <d v="2023-07-22T00:00:00"/>
    <n v="2.7123287671232879"/>
    <x v="136"/>
    <x v="0"/>
    <x v="5"/>
    <x v="1"/>
    <n v="23.43"/>
    <n v="23.03"/>
    <m/>
    <m/>
    <m/>
    <m/>
    <m/>
    <x v="2"/>
    <n v="4"/>
    <n v="4"/>
    <m/>
    <m/>
    <m/>
    <m/>
    <m/>
    <m/>
    <m/>
    <m/>
    <m/>
    <m/>
    <m/>
    <m/>
    <m/>
    <m/>
  </r>
  <r>
    <n v="1597"/>
    <n v="47455"/>
    <d v="2000-03-26T00:00:00"/>
    <n v="25"/>
    <x v="0"/>
    <x v="0"/>
    <d v="2023-04-16T00:00:00"/>
    <n v="2.0821917808219177"/>
    <x v="95"/>
    <x v="1"/>
    <x v="5"/>
    <x v="1"/>
    <n v="23.18"/>
    <n v="23.03"/>
    <m/>
    <m/>
    <m/>
    <m/>
    <m/>
    <x v="2"/>
    <n v="6"/>
    <n v="6"/>
    <m/>
    <m/>
    <m/>
    <m/>
    <m/>
    <m/>
    <m/>
    <m/>
    <m/>
    <m/>
    <m/>
    <m/>
    <m/>
    <m/>
  </r>
  <r>
    <n v="1598"/>
    <n v="47456"/>
    <d v="1998-12-06T00:00:00"/>
    <n v="27"/>
    <x v="1"/>
    <x v="1"/>
    <d v="2023-12-02T00:00:00"/>
    <n v="2.7315068493150685"/>
    <x v="65"/>
    <x v="1"/>
    <x v="5"/>
    <x v="1"/>
    <n v="23.33"/>
    <n v="23.03"/>
    <m/>
    <m/>
    <m/>
    <m/>
    <m/>
    <x v="4"/>
    <n v="6"/>
    <n v="7"/>
    <m/>
    <m/>
    <m/>
    <m/>
    <m/>
    <m/>
    <m/>
    <m/>
    <m/>
    <m/>
    <m/>
    <m/>
    <m/>
    <m/>
  </r>
  <r>
    <n v="1599"/>
    <n v="47458"/>
    <d v="1988-04-23T00:00:00"/>
    <n v="37"/>
    <x v="0"/>
    <x v="1"/>
    <d v="2023-04-09T00:00:00"/>
    <n v="1.9972602739726026"/>
    <x v="10"/>
    <x v="0"/>
    <x v="5"/>
    <x v="1"/>
    <n v="23.28"/>
    <n v="23.03"/>
    <m/>
    <m/>
    <m/>
    <m/>
    <m/>
    <x v="2"/>
    <n v="3"/>
    <n v="3"/>
    <m/>
    <m/>
    <m/>
    <m/>
    <m/>
    <m/>
    <m/>
    <m/>
    <m/>
    <m/>
    <m/>
    <m/>
    <m/>
    <m/>
  </r>
  <r>
    <n v="1600"/>
    <n v="47467"/>
    <d v="1990-11-15T00:00:00"/>
    <n v="35"/>
    <x v="1"/>
    <x v="1"/>
    <d v="2024-01-02T00:00:00"/>
    <n v="2.6383561643835618"/>
    <x v="115"/>
    <x v="1"/>
    <x v="5"/>
    <x v="1"/>
    <n v="23.33"/>
    <m/>
    <m/>
    <m/>
    <m/>
    <m/>
    <m/>
    <x v="3"/>
    <n v="4"/>
    <n v="6"/>
    <m/>
    <m/>
    <m/>
    <m/>
    <m/>
    <m/>
    <m/>
    <m/>
    <m/>
    <m/>
    <m/>
    <m/>
    <m/>
    <m/>
  </r>
  <r>
    <n v="1601"/>
    <n v="47473"/>
    <d v="1998-06-11T00:00:00"/>
    <n v="27"/>
    <x v="0"/>
    <x v="1"/>
    <d v="2023-05-13T00:00:00"/>
    <n v="2.0986301369863014"/>
    <x v="42"/>
    <x v="0"/>
    <x v="5"/>
    <x v="1"/>
    <n v="23.18"/>
    <n v="23.03"/>
    <m/>
    <m/>
    <m/>
    <m/>
    <m/>
    <x v="2"/>
    <n v="4"/>
    <n v="6"/>
    <m/>
    <m/>
    <m/>
    <m/>
    <m/>
    <m/>
    <m/>
    <m/>
    <m/>
    <m/>
    <m/>
    <m/>
    <m/>
    <m/>
  </r>
  <r>
    <n v="1602"/>
    <n v="47475"/>
    <d v="1996-02-10T00:00:00"/>
    <n v="29"/>
    <x v="0"/>
    <x v="1"/>
    <d v="2023-11-26T00:00:00"/>
    <n v="2.3287671232876712"/>
    <x v="100"/>
    <x v="1"/>
    <x v="5"/>
    <x v="1"/>
    <n v="23.33"/>
    <n v="23.03"/>
    <m/>
    <m/>
    <m/>
    <m/>
    <m/>
    <x v="4"/>
    <n v="3"/>
    <n v="6"/>
    <m/>
    <m/>
    <m/>
    <m/>
    <m/>
    <m/>
    <m/>
    <m/>
    <m/>
    <m/>
    <m/>
    <m/>
    <m/>
    <m/>
  </r>
  <r>
    <n v="1603"/>
    <n v="47492"/>
    <d v="2000-12-11T00:00:00"/>
    <n v="25"/>
    <x v="0"/>
    <x v="0"/>
    <d v="2023-09-03T00:00:00"/>
    <n v="2.4054794520547946"/>
    <x v="5"/>
    <x v="0"/>
    <x v="5"/>
    <x v="1"/>
    <n v="23.33"/>
    <n v="23.03"/>
    <m/>
    <m/>
    <m/>
    <m/>
    <m/>
    <x v="3"/>
    <n v="5"/>
    <n v="5"/>
    <m/>
    <m/>
    <m/>
    <m/>
    <m/>
    <m/>
    <m/>
    <m/>
    <m/>
    <m/>
    <m/>
    <m/>
    <m/>
    <m/>
  </r>
  <r>
    <n v="1604"/>
    <n v="47508"/>
    <d v="1996-07-12T00:00:00"/>
    <n v="29"/>
    <x v="0"/>
    <x v="1"/>
    <d v="2023-08-06T00:00:00"/>
    <n v="2.3917808219178083"/>
    <x v="122"/>
    <x v="1"/>
    <x v="5"/>
    <x v="1"/>
    <n v="23.47"/>
    <n v="23.03"/>
    <m/>
    <m/>
    <m/>
    <m/>
    <m/>
    <x v="1"/>
    <n v="4"/>
    <n v="4"/>
    <m/>
    <m/>
    <m/>
    <m/>
    <m/>
    <m/>
    <m/>
    <m/>
    <m/>
    <m/>
    <m/>
    <m/>
    <m/>
    <m/>
  </r>
  <r>
    <n v="1605"/>
    <n v="47516"/>
    <d v="1999-08-15T00:00:00"/>
    <n v="26"/>
    <x v="0"/>
    <x v="1"/>
    <d v="2023-08-11T00:00:00"/>
    <n v="2.0273972602739727"/>
    <x v="14"/>
    <x v="0"/>
    <x v="5"/>
    <x v="1"/>
    <n v="23.33"/>
    <n v="23.03"/>
    <m/>
    <m/>
    <m/>
    <m/>
    <m/>
    <x v="3"/>
    <n v="4"/>
    <n v="4"/>
    <m/>
    <m/>
    <m/>
    <m/>
    <m/>
    <m/>
    <m/>
    <m/>
    <m/>
    <m/>
    <m/>
    <m/>
    <m/>
    <m/>
  </r>
  <r>
    <n v="1606"/>
    <n v="47517"/>
    <d v="1995-09-03T00:00:00"/>
    <n v="30"/>
    <x v="1"/>
    <x v="0"/>
    <d v="2023-12-22T00:00:00"/>
    <n v="2.5397260273972604"/>
    <x v="14"/>
    <x v="0"/>
    <x v="5"/>
    <x v="1"/>
    <n v="23.33"/>
    <n v="23.03"/>
    <m/>
    <m/>
    <m/>
    <m/>
    <m/>
    <x v="1"/>
    <n v="1"/>
    <n v="6"/>
    <m/>
    <m/>
    <m/>
    <m/>
    <m/>
    <m/>
    <m/>
    <m/>
    <m/>
    <m/>
    <m/>
    <m/>
    <m/>
    <m/>
  </r>
  <r>
    <n v="1607"/>
    <n v="47526"/>
    <d v="1996-03-10T00:00:00"/>
    <n v="29"/>
    <x v="0"/>
    <x v="1"/>
    <d v="2023-06-18T00:00:00"/>
    <n v="2.6794520547945204"/>
    <x v="28"/>
    <x v="0"/>
    <x v="5"/>
    <x v="1"/>
    <n v="23.18"/>
    <n v="23.03"/>
    <m/>
    <m/>
    <m/>
    <m/>
    <m/>
    <x v="4"/>
    <n v="3"/>
    <n v="5"/>
    <m/>
    <m/>
    <m/>
    <m/>
    <m/>
    <m/>
    <m/>
    <m/>
    <m/>
    <m/>
    <m/>
    <m/>
    <m/>
    <m/>
  </r>
  <r>
    <n v="1608"/>
    <n v="47534"/>
    <d v="1998-12-17T00:00:00"/>
    <n v="27"/>
    <x v="0"/>
    <x v="0"/>
    <d v="2023-04-28T00:00:00"/>
    <n v="1.9479452054794522"/>
    <x v="78"/>
    <x v="0"/>
    <x v="5"/>
    <x v="1"/>
    <n v="23.03"/>
    <n v="23.03"/>
    <m/>
    <m/>
    <m/>
    <m/>
    <m/>
    <x v="4"/>
    <n v="4"/>
    <n v="4"/>
    <m/>
    <m/>
    <m/>
    <m/>
    <m/>
    <m/>
    <m/>
    <m/>
    <m/>
    <m/>
    <m/>
    <m/>
    <m/>
    <m/>
  </r>
  <r>
    <n v="1609"/>
    <n v="47547"/>
    <d v="1997-02-07T00:00:00"/>
    <n v="28"/>
    <x v="0"/>
    <x v="1"/>
    <d v="2024-01-20T00:00:00"/>
    <n v="2.5780821917808221"/>
    <x v="57"/>
    <x v="0"/>
    <x v="5"/>
    <x v="1"/>
    <n v="23.33"/>
    <m/>
    <m/>
    <m/>
    <m/>
    <m/>
    <m/>
    <x v="4"/>
    <n v="6"/>
    <n v="6"/>
    <m/>
    <m/>
    <m/>
    <m/>
    <m/>
    <m/>
    <m/>
    <m/>
    <m/>
    <m/>
    <m/>
    <m/>
    <m/>
    <m/>
  </r>
  <r>
    <n v="1610"/>
    <n v="47550"/>
    <d v="1997-07-09T00:00:00"/>
    <n v="28"/>
    <x v="0"/>
    <x v="1"/>
    <d v="2023-06-04T00:00:00"/>
    <n v="1.9150684931506849"/>
    <x v="144"/>
    <x v="0"/>
    <x v="5"/>
    <x v="1"/>
    <n v="23.18"/>
    <n v="23.03"/>
    <m/>
    <m/>
    <m/>
    <m/>
    <m/>
    <x v="3"/>
    <n v="4"/>
    <n v="5"/>
    <m/>
    <m/>
    <m/>
    <m/>
    <m/>
    <m/>
    <m/>
    <m/>
    <m/>
    <m/>
    <m/>
    <m/>
    <m/>
    <m/>
  </r>
  <r>
    <n v="1611"/>
    <n v="47553"/>
    <d v="1996-11-12T00:00:00"/>
    <n v="29"/>
    <x v="0"/>
    <x v="1"/>
    <d v="2024-02-01T00:00:00"/>
    <n v="1.9863013698630136"/>
    <x v="142"/>
    <x v="0"/>
    <x v="5"/>
    <x v="1"/>
    <n v="23.18"/>
    <m/>
    <m/>
    <m/>
    <m/>
    <m/>
    <m/>
    <x v="1"/>
    <n v="5"/>
    <n v="6"/>
    <m/>
    <m/>
    <m/>
    <m/>
    <m/>
    <m/>
    <m/>
    <m/>
    <m/>
    <m/>
    <m/>
    <m/>
    <m/>
    <m/>
  </r>
  <r>
    <n v="1612"/>
    <n v="47557"/>
    <d v="2000-05-21T00:00:00"/>
    <n v="25"/>
    <x v="0"/>
    <x v="1"/>
    <d v="2024-01-06T00:00:00"/>
    <n v="2.0739726027397261"/>
    <x v="37"/>
    <x v="0"/>
    <x v="5"/>
    <x v="1"/>
    <n v="23.33"/>
    <m/>
    <m/>
    <m/>
    <m/>
    <m/>
    <m/>
    <x v="4"/>
    <n v="6"/>
    <n v="6"/>
    <m/>
    <m/>
    <m/>
    <m/>
    <m/>
    <m/>
    <m/>
    <m/>
    <m/>
    <m/>
    <m/>
    <m/>
    <m/>
    <m/>
  </r>
  <r>
    <n v="1613"/>
    <n v="47578"/>
    <d v="1998-03-19T00:00:00"/>
    <n v="27"/>
    <x v="0"/>
    <x v="1"/>
    <d v="2023-12-05T00:00:00"/>
    <n v="2.4438356164383563"/>
    <x v="75"/>
    <x v="1"/>
    <x v="5"/>
    <x v="1"/>
    <n v="23.33"/>
    <n v="23.03"/>
    <m/>
    <m/>
    <m/>
    <m/>
    <m/>
    <x v="3"/>
    <n v="3"/>
    <n v="5"/>
    <m/>
    <m/>
    <m/>
    <m/>
    <m/>
    <m/>
    <m/>
    <m/>
    <m/>
    <m/>
    <m/>
    <m/>
    <m/>
    <m/>
  </r>
  <r>
    <n v="1614"/>
    <n v="47581"/>
    <d v="1995-06-22T00:00:00"/>
    <n v="30"/>
    <x v="0"/>
    <x v="1"/>
    <d v="2023-07-23T00:00:00"/>
    <n v="1.9506849315068493"/>
    <x v="94"/>
    <x v="1"/>
    <x v="5"/>
    <x v="1"/>
    <n v="23.33"/>
    <n v="23.03"/>
    <m/>
    <m/>
    <m/>
    <m/>
    <m/>
    <x v="2"/>
    <n v="3"/>
    <n v="6"/>
    <m/>
    <m/>
    <m/>
    <m/>
    <m/>
    <m/>
    <m/>
    <m/>
    <m/>
    <m/>
    <m/>
    <m/>
    <m/>
    <m/>
  </r>
  <r>
    <n v="1615"/>
    <n v="47583"/>
    <d v="2000-07-28T00:00:00"/>
    <n v="25"/>
    <x v="1"/>
    <x v="0"/>
    <d v="2024-01-19T00:00:00"/>
    <n v="2.3315068493150686"/>
    <x v="3"/>
    <x v="0"/>
    <x v="7"/>
    <x v="1"/>
    <n v="17.46"/>
    <m/>
    <m/>
    <m/>
    <m/>
    <m/>
    <m/>
    <x v="4"/>
    <n v="1"/>
    <n v="6"/>
    <m/>
    <m/>
    <m/>
    <m/>
    <m/>
    <m/>
    <m/>
    <m/>
    <m/>
    <m/>
    <m/>
    <m/>
    <m/>
    <m/>
  </r>
  <r>
    <n v="1616"/>
    <n v="47584"/>
    <d v="2004-08-24T00:00:00"/>
    <n v="21"/>
    <x v="1"/>
    <x v="0"/>
    <d v="2023-09-02T00:00:00"/>
    <n v="2.5780821917808221"/>
    <x v="11"/>
    <x v="0"/>
    <x v="3"/>
    <x v="1"/>
    <n v="17.760000000000002"/>
    <n v="17.46"/>
    <m/>
    <m/>
    <m/>
    <m/>
    <m/>
    <x v="3"/>
    <n v="2"/>
    <n v="5"/>
    <m/>
    <m/>
    <m/>
    <m/>
    <m/>
    <m/>
    <m/>
    <m/>
    <m/>
    <m/>
    <m/>
    <m/>
    <m/>
    <m/>
  </r>
  <r>
    <n v="1617"/>
    <n v="47587"/>
    <d v="2000-06-22T00:00:00"/>
    <n v="25"/>
    <x v="1"/>
    <x v="0"/>
    <d v="2023-06-04T00:00:00"/>
    <n v="2.4054794520547946"/>
    <x v="32"/>
    <x v="0"/>
    <x v="11"/>
    <x v="1"/>
    <n v="16.579999999999998"/>
    <n v="16.579999999999998"/>
    <m/>
    <m/>
    <m/>
    <m/>
    <m/>
    <x v="4"/>
    <n v="1"/>
    <n v="5"/>
    <m/>
    <m/>
    <m/>
    <m/>
    <m/>
    <m/>
    <m/>
    <m/>
    <m/>
    <m/>
    <m/>
    <m/>
    <m/>
    <m/>
  </r>
  <r>
    <n v="1618"/>
    <n v="47600"/>
    <d v="1999-12-23T00:00:00"/>
    <n v="26"/>
    <x v="0"/>
    <x v="0"/>
    <d v="2023-08-06T00:00:00"/>
    <n v="2.1808219178082191"/>
    <x v="14"/>
    <x v="0"/>
    <x v="7"/>
    <x v="1"/>
    <n v="17.46"/>
    <n v="17.16"/>
    <m/>
    <m/>
    <m/>
    <m/>
    <m/>
    <x v="1"/>
    <n v="4"/>
    <n v="5"/>
    <m/>
    <m/>
    <m/>
    <m/>
    <m/>
    <m/>
    <m/>
    <m/>
    <m/>
    <m/>
    <m/>
    <m/>
    <m/>
    <m/>
  </r>
  <r>
    <n v="1619"/>
    <n v="47601"/>
    <d v="2001-06-17T00:00:00"/>
    <n v="24"/>
    <x v="0"/>
    <x v="1"/>
    <d v="2023-10-27T00:00:00"/>
    <n v="1.978082191780822"/>
    <x v="37"/>
    <x v="0"/>
    <x v="7"/>
    <x v="1"/>
    <n v="17.46"/>
    <n v="17.16"/>
    <m/>
    <m/>
    <m/>
    <m/>
    <m/>
    <x v="3"/>
    <n v="4"/>
    <n v="7"/>
    <m/>
    <m/>
    <m/>
    <m/>
    <m/>
    <m/>
    <m/>
    <m/>
    <m/>
    <m/>
    <m/>
    <m/>
    <m/>
    <m/>
  </r>
  <r>
    <n v="1620"/>
    <n v="47606"/>
    <d v="1990-04-09T00:00:00"/>
    <n v="35"/>
    <x v="0"/>
    <x v="1"/>
    <d v="2024-01-09T00:00:00"/>
    <n v="2.0547945205479454"/>
    <x v="116"/>
    <x v="1"/>
    <x v="1"/>
    <x v="1"/>
    <n v="16.170000000000002"/>
    <m/>
    <m/>
    <m/>
    <m/>
    <m/>
    <m/>
    <x v="1"/>
    <n v="2"/>
    <n v="5"/>
    <m/>
    <m/>
    <m/>
    <m/>
    <m/>
    <m/>
    <m/>
    <m/>
    <m/>
    <m/>
    <m/>
    <m/>
    <m/>
    <m/>
  </r>
  <r>
    <n v="1621"/>
    <n v="47613"/>
    <d v="1993-04-10T00:00:00"/>
    <n v="32"/>
    <x v="1"/>
    <x v="1"/>
    <d v="2023-12-12T00:00:00"/>
    <n v="2.3863013698630136"/>
    <x v="81"/>
    <x v="1"/>
    <x v="2"/>
    <x v="1"/>
    <n v="14.18"/>
    <n v="13.88"/>
    <m/>
    <m/>
    <m/>
    <m/>
    <m/>
    <x v="2"/>
    <n v="0"/>
    <n v="6"/>
    <m/>
    <m/>
    <m/>
    <m/>
    <m/>
    <m/>
    <m/>
    <m/>
    <m/>
    <m/>
    <m/>
    <m/>
    <m/>
    <m/>
  </r>
  <r>
    <n v="1622"/>
    <n v="47616"/>
    <d v="2001-04-19T00:00:00"/>
    <n v="24"/>
    <x v="1"/>
    <x v="0"/>
    <d v="2023-08-13T00:00:00"/>
    <n v="2.7479452054794522"/>
    <x v="5"/>
    <x v="0"/>
    <x v="9"/>
    <x v="1"/>
    <n v="14.03"/>
    <n v="13.73"/>
    <m/>
    <m/>
    <m/>
    <m/>
    <m/>
    <x v="3"/>
    <n v="1"/>
    <n v="5"/>
    <m/>
    <m/>
    <m/>
    <m/>
    <m/>
    <m/>
    <m/>
    <m/>
    <m/>
    <m/>
    <m/>
    <m/>
    <m/>
    <m/>
  </r>
  <r>
    <n v="1623"/>
    <n v="47640"/>
    <d v="2003-05-30T00:00:00"/>
    <n v="22"/>
    <x v="1"/>
    <x v="0"/>
    <d v="2023-04-03T00:00:00"/>
    <n v="2.4109589041095889"/>
    <x v="102"/>
    <x v="0"/>
    <x v="8"/>
    <x v="1"/>
    <n v="8.5399999999999991"/>
    <n v="8.26"/>
    <m/>
    <m/>
    <m/>
    <m/>
    <m/>
    <x v="4"/>
    <n v="0"/>
    <n v="4"/>
    <m/>
    <m/>
    <m/>
    <m/>
    <m/>
    <m/>
    <m/>
    <m/>
    <m/>
    <m/>
    <m/>
    <m/>
    <m/>
    <m/>
  </r>
  <r>
    <n v="1624"/>
    <n v="47641"/>
    <d v="1999-11-17T00:00:00"/>
    <n v="26"/>
    <x v="0"/>
    <x v="0"/>
    <d v="2023-08-04T00:00:00"/>
    <n v="2.3534246575342466"/>
    <x v="67"/>
    <x v="0"/>
    <x v="2"/>
    <x v="1"/>
    <n v="14.18"/>
    <n v="13.88"/>
    <m/>
    <m/>
    <m/>
    <m/>
    <m/>
    <x v="3"/>
    <n v="1"/>
    <n v="3"/>
    <m/>
    <m/>
    <m/>
    <m/>
    <m/>
    <m/>
    <m/>
    <m/>
    <m/>
    <m/>
    <m/>
    <m/>
    <m/>
    <m/>
  </r>
  <r>
    <n v="1625"/>
    <n v="47649"/>
    <d v="1998-02-24T00:00:00"/>
    <n v="27"/>
    <x v="1"/>
    <x v="0"/>
    <d v="2023-08-25T00:00:00"/>
    <n v="2.5123287671232877"/>
    <x v="107"/>
    <x v="1"/>
    <x v="7"/>
    <x v="1"/>
    <n v="17.46"/>
    <n v="17.16"/>
    <m/>
    <m/>
    <m/>
    <m/>
    <m/>
    <x v="4"/>
    <n v="2"/>
    <n v="6"/>
    <m/>
    <m/>
    <m/>
    <m/>
    <m/>
    <m/>
    <m/>
    <m/>
    <m/>
    <m/>
    <m/>
    <m/>
    <m/>
    <m/>
  </r>
  <r>
    <n v="1626"/>
    <n v="47653"/>
    <d v="2001-11-09T00:00:00"/>
    <n v="24"/>
    <x v="1"/>
    <x v="1"/>
    <d v="2023-06-28T00:00:00"/>
    <n v="2.095890410958904"/>
    <x v="105"/>
    <x v="1"/>
    <x v="1"/>
    <x v="1"/>
    <n v="16.27"/>
    <n v="15.97"/>
    <m/>
    <m/>
    <m/>
    <m/>
    <m/>
    <x v="3"/>
    <n v="0"/>
    <n v="5"/>
    <m/>
    <m/>
    <m/>
    <m/>
    <m/>
    <m/>
    <m/>
    <m/>
    <m/>
    <m/>
    <m/>
    <m/>
    <m/>
    <m/>
  </r>
  <r>
    <n v="1627"/>
    <n v="47656"/>
    <d v="2002-02-09T00:00:00"/>
    <n v="23"/>
    <x v="1"/>
    <x v="1"/>
    <d v="2023-11-27T00:00:00"/>
    <n v="2.7287671232876711"/>
    <x v="124"/>
    <x v="0"/>
    <x v="8"/>
    <x v="1"/>
    <n v="8.4600000000000009"/>
    <n v="8.26"/>
    <m/>
    <m/>
    <m/>
    <m/>
    <m/>
    <x v="2"/>
    <n v="1"/>
    <n v="6"/>
    <m/>
    <m/>
    <m/>
    <m/>
    <m/>
    <m/>
    <m/>
    <m/>
    <m/>
    <m/>
    <m/>
    <m/>
    <m/>
    <m/>
  </r>
  <r>
    <n v="1628"/>
    <n v="47666"/>
    <d v="2001-03-07T00:00:00"/>
    <n v="24"/>
    <x v="1"/>
    <x v="1"/>
    <d v="2023-04-10T00:00:00"/>
    <n v="2.3342465753424659"/>
    <x v="72"/>
    <x v="1"/>
    <x v="8"/>
    <x v="1"/>
    <n v="8.56"/>
    <n v="8.26"/>
    <m/>
    <m/>
    <m/>
    <m/>
    <m/>
    <x v="3"/>
    <n v="2"/>
    <n v="5"/>
    <m/>
    <m/>
    <m/>
    <m/>
    <m/>
    <m/>
    <m/>
    <m/>
    <m/>
    <m/>
    <m/>
    <m/>
    <m/>
    <m/>
  </r>
  <r>
    <n v="1629"/>
    <n v="47669"/>
    <d v="2005-02-18T00:00:00"/>
    <n v="20"/>
    <x v="1"/>
    <x v="1"/>
    <d v="2023-09-01T00:00:00"/>
    <n v="2.0739726027397261"/>
    <x v="6"/>
    <x v="1"/>
    <x v="9"/>
    <x v="1"/>
    <n v="14.03"/>
    <n v="13.73"/>
    <m/>
    <m/>
    <m/>
    <m/>
    <m/>
    <x v="1"/>
    <n v="0"/>
    <n v="5"/>
    <m/>
    <m/>
    <m/>
    <m/>
    <m/>
    <m/>
    <m/>
    <m/>
    <m/>
    <m/>
    <m/>
    <m/>
    <m/>
    <m/>
  </r>
  <r>
    <n v="1630"/>
    <n v="47672"/>
    <d v="2003-05-30T00:00:00"/>
    <n v="22"/>
    <x v="1"/>
    <x v="1"/>
    <d v="2023-12-05T00:00:00"/>
    <n v="2.2904109589041095"/>
    <x v="140"/>
    <x v="0"/>
    <x v="9"/>
    <x v="1"/>
    <n v="14.03"/>
    <n v="13.73"/>
    <m/>
    <m/>
    <m/>
    <m/>
    <m/>
    <x v="2"/>
    <n v="1"/>
    <n v="6"/>
    <m/>
    <m/>
    <m/>
    <m/>
    <m/>
    <m/>
    <m/>
    <m/>
    <m/>
    <m/>
    <m/>
    <m/>
    <m/>
    <m/>
  </r>
  <r>
    <n v="1631"/>
    <n v="47676"/>
    <d v="2005-12-06T00:00:00"/>
    <n v="20"/>
    <x v="1"/>
    <x v="1"/>
    <d v="2023-09-17T00:00:00"/>
    <n v="2.1835616438356165"/>
    <x v="56"/>
    <x v="1"/>
    <x v="1"/>
    <x v="1"/>
    <n v="16.27"/>
    <n v="15.97"/>
    <m/>
    <m/>
    <m/>
    <m/>
    <m/>
    <x v="3"/>
    <n v="1"/>
    <n v="7"/>
    <m/>
    <m/>
    <m/>
    <m/>
    <m/>
    <m/>
    <m/>
    <m/>
    <m/>
    <m/>
    <m/>
    <m/>
    <m/>
    <m/>
  </r>
  <r>
    <n v="1632"/>
    <n v="47687"/>
    <d v="2001-04-24T00:00:00"/>
    <n v="24"/>
    <x v="1"/>
    <x v="1"/>
    <d v="2023-10-26T00:00:00"/>
    <n v="2.2739726027397262"/>
    <x v="10"/>
    <x v="0"/>
    <x v="10"/>
    <x v="1"/>
    <n v="10.53"/>
    <n v="10.38"/>
    <m/>
    <m/>
    <m/>
    <m/>
    <m/>
    <x v="3"/>
    <n v="0"/>
    <n v="6"/>
    <m/>
    <m/>
    <m/>
    <m/>
    <m/>
    <m/>
    <m/>
    <m/>
    <m/>
    <m/>
    <m/>
    <m/>
    <m/>
    <m/>
  </r>
  <r>
    <n v="1633"/>
    <n v="47688"/>
    <d v="2003-12-27T00:00:00"/>
    <n v="22"/>
    <x v="1"/>
    <x v="1"/>
    <d v="2023-09-23T00:00:00"/>
    <n v="2.2931506849315069"/>
    <x v="12"/>
    <x v="0"/>
    <x v="9"/>
    <x v="1"/>
    <n v="14.03"/>
    <n v="13.73"/>
    <m/>
    <m/>
    <m/>
    <m/>
    <m/>
    <x v="2"/>
    <n v="0"/>
    <n v="5"/>
    <m/>
    <m/>
    <m/>
    <m/>
    <m/>
    <m/>
    <m/>
    <m/>
    <m/>
    <m/>
    <m/>
    <m/>
    <m/>
    <m/>
  </r>
  <r>
    <n v="1634"/>
    <n v="47700"/>
    <d v="2002-08-04T00:00:00"/>
    <n v="23"/>
    <x v="0"/>
    <x v="1"/>
    <d v="2023-09-16T00:00:00"/>
    <n v="2.1013698630136988"/>
    <x v="60"/>
    <x v="1"/>
    <x v="1"/>
    <x v="1"/>
    <n v="16.27"/>
    <n v="15.97"/>
    <m/>
    <m/>
    <m/>
    <m/>
    <m/>
    <x v="2"/>
    <n v="1"/>
    <n v="5"/>
    <m/>
    <m/>
    <m/>
    <m/>
    <m/>
    <m/>
    <m/>
    <m/>
    <m/>
    <m/>
    <m/>
    <m/>
    <m/>
    <m/>
  </r>
  <r>
    <n v="1635"/>
    <n v="47703"/>
    <d v="1998-04-13T00:00:00"/>
    <n v="27"/>
    <x v="1"/>
    <x v="1"/>
    <d v="2023-11-25T00:00:00"/>
    <n v="2.3260273972602739"/>
    <x v="96"/>
    <x v="1"/>
    <x v="7"/>
    <x v="1"/>
    <n v="17.600000000000001"/>
    <n v="17.16"/>
    <m/>
    <m/>
    <m/>
    <m/>
    <m/>
    <x v="4"/>
    <n v="2"/>
    <n v="5"/>
    <m/>
    <m/>
    <m/>
    <m/>
    <m/>
    <m/>
    <m/>
    <m/>
    <m/>
    <m/>
    <m/>
    <m/>
    <m/>
    <m/>
  </r>
  <r>
    <n v="1636"/>
    <n v="47705"/>
    <d v="1990-09-11T00:00:00"/>
    <n v="35"/>
    <x v="1"/>
    <x v="1"/>
    <d v="2023-09-04T00:00:00"/>
    <n v="1.7534246575342465"/>
    <x v="51"/>
    <x v="1"/>
    <x v="2"/>
    <x v="1"/>
    <n v="14.18"/>
    <n v="13.88"/>
    <m/>
    <m/>
    <m/>
    <m/>
    <m/>
    <x v="3"/>
    <n v="1"/>
    <n v="5"/>
    <m/>
    <m/>
    <m/>
    <m/>
    <m/>
    <m/>
    <m/>
    <m/>
    <m/>
    <m/>
    <m/>
    <m/>
    <m/>
    <m/>
  </r>
  <r>
    <n v="1637"/>
    <n v="47713"/>
    <d v="2002-12-19T00:00:00"/>
    <n v="23"/>
    <x v="1"/>
    <x v="1"/>
    <d v="2024-03-31T00:00:00"/>
    <n v="2.5863013698630137"/>
    <x v="26"/>
    <x v="0"/>
    <x v="8"/>
    <x v="1"/>
    <n v="8.51"/>
    <m/>
    <m/>
    <m/>
    <m/>
    <m/>
    <m/>
    <x v="3"/>
    <n v="3"/>
    <n v="6"/>
    <m/>
    <m/>
    <m/>
    <m/>
    <m/>
    <m/>
    <m/>
    <m/>
    <m/>
    <m/>
    <m/>
    <m/>
    <m/>
    <m/>
  </r>
  <r>
    <n v="1638"/>
    <n v="47724"/>
    <d v="1991-08-11T00:00:00"/>
    <n v="34"/>
    <x v="1"/>
    <x v="1"/>
    <d v="2023-06-01T00:00:00"/>
    <n v="2.7561643835616438"/>
    <x v="12"/>
    <x v="0"/>
    <x v="2"/>
    <x v="1"/>
    <n v="14.18"/>
    <n v="13.88"/>
    <m/>
    <m/>
    <m/>
    <m/>
    <m/>
    <x v="4"/>
    <n v="0"/>
    <n v="5"/>
    <m/>
    <m/>
    <m/>
    <m/>
    <m/>
    <m/>
    <m/>
    <m/>
    <m/>
    <m/>
    <m/>
    <m/>
    <m/>
    <m/>
  </r>
  <r>
    <n v="1639"/>
    <n v="47731"/>
    <d v="1998-08-30T00:00:00"/>
    <n v="27"/>
    <x v="1"/>
    <x v="0"/>
    <d v="2023-03-31T00:00:00"/>
    <n v="1.9452054794520548"/>
    <x v="26"/>
    <x v="0"/>
    <x v="8"/>
    <x v="1"/>
    <n v="8.5"/>
    <n v="8.26"/>
    <m/>
    <m/>
    <m/>
    <m/>
    <m/>
    <x v="2"/>
    <n v="1"/>
    <n v="5"/>
    <m/>
    <m/>
    <m/>
    <m/>
    <m/>
    <m/>
    <m/>
    <m/>
    <m/>
    <m/>
    <m/>
    <m/>
    <m/>
    <m/>
  </r>
  <r>
    <n v="1640"/>
    <n v="47738"/>
    <d v="1995-04-17T00:00:00"/>
    <n v="30"/>
    <x v="0"/>
    <x v="1"/>
    <d v="2024-01-21T00:00:00"/>
    <n v="2.7753424657534245"/>
    <x v="55"/>
    <x v="0"/>
    <x v="9"/>
    <x v="1"/>
    <n v="14.03"/>
    <m/>
    <m/>
    <m/>
    <m/>
    <m/>
    <m/>
    <x v="2"/>
    <n v="1"/>
    <n v="5"/>
    <m/>
    <m/>
    <m/>
    <m/>
    <m/>
    <m/>
    <m/>
    <m/>
    <m/>
    <m/>
    <m/>
    <m/>
    <m/>
    <m/>
  </r>
  <r>
    <n v="1641"/>
    <n v="47740"/>
    <d v="2003-03-26T00:00:00"/>
    <n v="22"/>
    <x v="1"/>
    <x v="1"/>
    <d v="2023-03-24T00:00:00"/>
    <n v="1.989041095890411"/>
    <x v="39"/>
    <x v="1"/>
    <x v="10"/>
    <x v="1"/>
    <n v="10.58"/>
    <n v="10.38"/>
    <m/>
    <m/>
    <m/>
    <m/>
    <m/>
    <x v="2"/>
    <n v="0"/>
    <n v="5"/>
    <m/>
    <m/>
    <m/>
    <m/>
    <m/>
    <m/>
    <m/>
    <m/>
    <m/>
    <m/>
    <m/>
    <m/>
    <m/>
    <m/>
  </r>
  <r>
    <n v="1642"/>
    <n v="47743"/>
    <d v="2004-02-16T00:00:00"/>
    <n v="21"/>
    <x v="1"/>
    <x v="0"/>
    <d v="2024-01-05T00:00:00"/>
    <n v="1.9287671232876713"/>
    <x v="1"/>
    <x v="1"/>
    <x v="8"/>
    <x v="1"/>
    <n v="8.4600000000000009"/>
    <m/>
    <m/>
    <m/>
    <m/>
    <m/>
    <m/>
    <x v="2"/>
    <n v="4"/>
    <n v="7"/>
    <m/>
    <m/>
    <m/>
    <m/>
    <m/>
    <m/>
    <m/>
    <m/>
    <m/>
    <m/>
    <m/>
    <m/>
    <m/>
    <m/>
  </r>
  <r>
    <n v="1643"/>
    <n v="47745"/>
    <d v="1999-02-14T00:00:00"/>
    <n v="26"/>
    <x v="0"/>
    <x v="1"/>
    <d v="2024-01-27T00:00:00"/>
    <n v="2.1698630136986301"/>
    <x v="6"/>
    <x v="1"/>
    <x v="11"/>
    <x v="1"/>
    <n v="16.78"/>
    <m/>
    <m/>
    <m/>
    <m/>
    <m/>
    <m/>
    <x v="2"/>
    <n v="3"/>
    <n v="5"/>
    <m/>
    <m/>
    <m/>
    <m/>
    <m/>
    <m/>
    <m/>
    <m/>
    <m/>
    <m/>
    <m/>
    <m/>
    <m/>
    <m/>
  </r>
  <r>
    <n v="1644"/>
    <n v="47763"/>
    <d v="2003-03-03T00:00:00"/>
    <n v="22"/>
    <x v="1"/>
    <x v="0"/>
    <d v="2023-10-31T00:00:00"/>
    <n v="1.9534246575342467"/>
    <x v="61"/>
    <x v="0"/>
    <x v="8"/>
    <x v="1"/>
    <n v="8.5399999999999991"/>
    <n v="8.26"/>
    <m/>
    <m/>
    <m/>
    <m/>
    <m/>
    <x v="3"/>
    <n v="2"/>
    <n v="6"/>
    <m/>
    <m/>
    <m/>
    <m/>
    <m/>
    <m/>
    <m/>
    <m/>
    <m/>
    <m/>
    <m/>
    <m/>
    <m/>
    <m/>
  </r>
  <r>
    <n v="1645"/>
    <n v="47773"/>
    <d v="1995-11-13T00:00:00"/>
    <n v="30"/>
    <x v="0"/>
    <x v="1"/>
    <d v="2024-01-18T00:00:00"/>
    <n v="2.3534246575342466"/>
    <x v="92"/>
    <x v="1"/>
    <x v="7"/>
    <x v="1"/>
    <n v="17.309999999999999"/>
    <m/>
    <m/>
    <m/>
    <m/>
    <m/>
    <m/>
    <x v="2"/>
    <n v="2"/>
    <n v="5"/>
    <m/>
    <m/>
    <m/>
    <m/>
    <m/>
    <m/>
    <m/>
    <m/>
    <m/>
    <m/>
    <m/>
    <m/>
    <m/>
    <m/>
  </r>
  <r>
    <n v="1646"/>
    <n v="47782"/>
    <d v="1994-10-03T00:00:00"/>
    <n v="31"/>
    <x v="0"/>
    <x v="1"/>
    <d v="2023-08-25T00:00:00"/>
    <n v="2.2328767123287672"/>
    <x v="24"/>
    <x v="0"/>
    <x v="2"/>
    <x v="1"/>
    <n v="14.18"/>
    <n v="13.88"/>
    <m/>
    <m/>
    <m/>
    <m/>
    <m/>
    <x v="2"/>
    <n v="0"/>
    <n v="4"/>
    <m/>
    <m/>
    <m/>
    <m/>
    <m/>
    <m/>
    <m/>
    <m/>
    <m/>
    <m/>
    <m/>
    <m/>
    <m/>
    <m/>
  </r>
  <r>
    <n v="1647"/>
    <n v="47784"/>
    <d v="2003-06-07T00:00:00"/>
    <n v="22"/>
    <x v="0"/>
    <x v="1"/>
    <d v="2023-10-08T00:00:00"/>
    <n v="2.6328767123287671"/>
    <x v="41"/>
    <x v="0"/>
    <x v="8"/>
    <x v="1"/>
    <n v="8.5399999999999991"/>
    <n v="8.26"/>
    <m/>
    <m/>
    <m/>
    <m/>
    <m/>
    <x v="1"/>
    <n v="2"/>
    <n v="3"/>
    <m/>
    <m/>
    <m/>
    <m/>
    <m/>
    <m/>
    <m/>
    <m/>
    <m/>
    <m/>
    <m/>
    <m/>
    <m/>
    <m/>
  </r>
  <r>
    <n v="1648"/>
    <n v="47786"/>
    <d v="2003-01-10T00:00:00"/>
    <n v="22"/>
    <x v="0"/>
    <x v="0"/>
    <d v="2023-05-15T00:00:00"/>
    <n v="2.7369863013698632"/>
    <x v="10"/>
    <x v="0"/>
    <x v="10"/>
    <x v="1"/>
    <n v="10.58"/>
    <n v="10.38"/>
    <m/>
    <m/>
    <m/>
    <m/>
    <m/>
    <x v="4"/>
    <n v="0"/>
    <n v="3"/>
    <m/>
    <m/>
    <m/>
    <m/>
    <m/>
    <m/>
    <m/>
    <m/>
    <m/>
    <m/>
    <m/>
    <m/>
    <m/>
    <m/>
  </r>
  <r>
    <n v="1649"/>
    <n v="47787"/>
    <d v="2004-11-10T00:00:00"/>
    <n v="21"/>
    <x v="1"/>
    <x v="0"/>
    <d v="2023-04-07T00:00:00"/>
    <n v="2.1643835616438358"/>
    <x v="11"/>
    <x v="0"/>
    <x v="8"/>
    <x v="1"/>
    <n v="8.4600000000000009"/>
    <n v="8.26"/>
    <m/>
    <m/>
    <m/>
    <m/>
    <m/>
    <x v="3"/>
    <n v="4"/>
    <n v="7"/>
    <m/>
    <m/>
    <m/>
    <m/>
    <m/>
    <m/>
    <m/>
    <m/>
    <m/>
    <m/>
    <m/>
    <m/>
    <m/>
    <m/>
  </r>
  <r>
    <n v="1650"/>
    <n v="47792"/>
    <d v="2004-03-22T00:00:00"/>
    <n v="21"/>
    <x v="1"/>
    <x v="0"/>
    <d v="2023-11-02T00:00:00"/>
    <n v="2.56986301369863"/>
    <x v="26"/>
    <x v="0"/>
    <x v="2"/>
    <x v="1"/>
    <n v="14.16"/>
    <n v="13.88"/>
    <m/>
    <m/>
    <m/>
    <m/>
    <m/>
    <x v="1"/>
    <n v="1"/>
    <n v="5"/>
    <m/>
    <m/>
    <m/>
    <m/>
    <m/>
    <m/>
    <m/>
    <m/>
    <m/>
    <m/>
    <m/>
    <m/>
    <m/>
    <m/>
  </r>
  <r>
    <n v="1651"/>
    <n v="47796"/>
    <d v="2004-03-08T00:00:00"/>
    <n v="21"/>
    <x v="1"/>
    <x v="0"/>
    <d v="2023-06-07T00:00:00"/>
    <n v="2.0684931506849313"/>
    <x v="136"/>
    <x v="0"/>
    <x v="2"/>
    <x v="1"/>
    <n v="14.23"/>
    <n v="13.88"/>
    <m/>
    <m/>
    <m/>
    <m/>
    <m/>
    <x v="3"/>
    <n v="1"/>
    <n v="6"/>
    <m/>
    <m/>
    <m/>
    <m/>
    <m/>
    <m/>
    <m/>
    <m/>
    <m/>
    <m/>
    <m/>
    <m/>
    <m/>
    <m/>
  </r>
  <r>
    <n v="1652"/>
    <n v="47797"/>
    <d v="2001-06-04T00:00:00"/>
    <n v="24"/>
    <x v="1"/>
    <x v="1"/>
    <d v="2023-12-07T00:00:00"/>
    <n v="1.832876712328767"/>
    <x v="136"/>
    <x v="0"/>
    <x v="8"/>
    <x v="1"/>
    <n v="8.5399999999999991"/>
    <n v="8.26"/>
    <m/>
    <m/>
    <m/>
    <m/>
    <m/>
    <x v="1"/>
    <n v="4"/>
    <n v="7"/>
    <m/>
    <m/>
    <m/>
    <m/>
    <m/>
    <m/>
    <m/>
    <m/>
    <m/>
    <m/>
    <m/>
    <m/>
    <m/>
    <m/>
  </r>
  <r>
    <n v="1653"/>
    <n v="47801"/>
    <d v="2006-01-24T00:00:00"/>
    <n v="19"/>
    <x v="1"/>
    <x v="1"/>
    <d v="2024-03-02T00:00:00"/>
    <n v="2.4657534246575343"/>
    <x v="77"/>
    <x v="0"/>
    <x v="8"/>
    <x v="1"/>
    <n v="8.4600000000000009"/>
    <m/>
    <m/>
    <m/>
    <m/>
    <m/>
    <m/>
    <x v="2"/>
    <n v="2"/>
    <n v="5"/>
    <m/>
    <m/>
    <m/>
    <m/>
    <m/>
    <m/>
    <m/>
    <m/>
    <m/>
    <m/>
    <m/>
    <m/>
    <m/>
    <m/>
  </r>
  <r>
    <n v="1654"/>
    <n v="47808"/>
    <d v="2002-03-24T00:00:00"/>
    <n v="23"/>
    <x v="0"/>
    <x v="1"/>
    <d v="2023-07-15T00:00:00"/>
    <n v="2.8630136986301369"/>
    <x v="24"/>
    <x v="0"/>
    <x v="7"/>
    <x v="1"/>
    <n v="17.46"/>
    <n v="17.16"/>
    <m/>
    <m/>
    <m/>
    <m/>
    <m/>
    <x v="3"/>
    <n v="4"/>
    <n v="4"/>
    <m/>
    <m/>
    <m/>
    <m/>
    <m/>
    <m/>
    <m/>
    <m/>
    <m/>
    <m/>
    <m/>
    <m/>
    <m/>
    <m/>
  </r>
  <r>
    <n v="1655"/>
    <n v="47809"/>
    <d v="2002-05-28T00:00:00"/>
    <n v="23"/>
    <x v="1"/>
    <x v="1"/>
    <d v="2023-02-20T00:00:00"/>
    <n v="2.4986301369863013"/>
    <x v="40"/>
    <x v="1"/>
    <x v="3"/>
    <x v="1"/>
    <n v="8.5"/>
    <n v="8.26"/>
    <m/>
    <m/>
    <m/>
    <m/>
    <m/>
    <x v="1"/>
    <n v="3"/>
    <n v="6"/>
    <m/>
    <m/>
    <m/>
    <m/>
    <m/>
    <m/>
    <m/>
    <m/>
    <m/>
    <m/>
    <m/>
    <m/>
    <m/>
    <m/>
  </r>
  <r>
    <n v="1656"/>
    <n v="47812"/>
    <d v="1998-10-12T00:00:00"/>
    <n v="27"/>
    <x v="1"/>
    <x v="0"/>
    <d v="2023-07-03T00:00:00"/>
    <n v="2.3013698630136985"/>
    <x v="26"/>
    <x v="0"/>
    <x v="3"/>
    <x v="1"/>
    <n v="17.73"/>
    <n v="17.46"/>
    <m/>
    <m/>
    <m/>
    <m/>
    <m/>
    <x v="3"/>
    <n v="2"/>
    <n v="5"/>
    <m/>
    <m/>
    <m/>
    <m/>
    <m/>
    <m/>
    <m/>
    <m/>
    <m/>
    <m/>
    <m/>
    <m/>
    <m/>
    <m/>
  </r>
  <r>
    <n v="1657"/>
    <n v="47815"/>
    <d v="1975-10-04T00:00:00"/>
    <n v="50"/>
    <x v="0"/>
    <x v="1"/>
    <d v="2023-09-13T00:00:00"/>
    <n v="2.6356164383561644"/>
    <x v="1"/>
    <x v="1"/>
    <x v="6"/>
    <x v="1"/>
    <n v="23.52"/>
    <n v="23.2"/>
    <m/>
    <m/>
    <m/>
    <m/>
    <m/>
    <x v="4"/>
    <n v="7"/>
    <n v="7"/>
    <m/>
    <m/>
    <m/>
    <m/>
    <m/>
    <m/>
    <m/>
    <m/>
    <m/>
    <m/>
    <m/>
    <m/>
    <m/>
    <m/>
  </r>
  <r>
    <n v="1658"/>
    <n v="47816"/>
    <d v="2004-08-03T00:00:00"/>
    <n v="21"/>
    <x v="0"/>
    <x v="1"/>
    <d v="2023-05-14T00:00:00"/>
    <n v="1.9561643835616438"/>
    <x v="110"/>
    <x v="1"/>
    <x v="2"/>
    <x v="1"/>
    <n v="14.18"/>
    <n v="13.88"/>
    <m/>
    <m/>
    <m/>
    <m/>
    <m/>
    <x v="2"/>
    <n v="0"/>
    <n v="5"/>
    <m/>
    <m/>
    <m/>
    <m/>
    <m/>
    <m/>
    <m/>
    <m/>
    <m/>
    <m/>
    <m/>
    <m/>
    <m/>
    <m/>
  </r>
  <r>
    <n v="1659"/>
    <n v="47828"/>
    <d v="2004-08-09T00:00:00"/>
    <n v="21"/>
    <x v="1"/>
    <x v="0"/>
    <d v="2024-01-17T00:00:00"/>
    <n v="2.3643835616438356"/>
    <x v="26"/>
    <x v="0"/>
    <x v="2"/>
    <x v="1"/>
    <n v="14.27"/>
    <m/>
    <m/>
    <m/>
    <m/>
    <m/>
    <m/>
    <x v="4"/>
    <n v="1"/>
    <n v="6"/>
    <m/>
    <m/>
    <m/>
    <m/>
    <m/>
    <m/>
    <m/>
    <m/>
    <m/>
    <m/>
    <m/>
    <m/>
    <m/>
    <m/>
  </r>
  <r>
    <n v="1660"/>
    <n v="47830"/>
    <d v="2005-10-24T00:00:00"/>
    <n v="20"/>
    <x v="1"/>
    <x v="0"/>
    <d v="2023-08-21T00:00:00"/>
    <n v="2.1780821917808217"/>
    <x v="61"/>
    <x v="0"/>
    <x v="8"/>
    <x v="1"/>
    <n v="8.4499999999999993"/>
    <n v="8.26"/>
    <m/>
    <m/>
    <m/>
    <m/>
    <m/>
    <x v="3"/>
    <n v="2"/>
    <n v="5"/>
    <m/>
    <m/>
    <m/>
    <m/>
    <m/>
    <m/>
    <m/>
    <m/>
    <m/>
    <m/>
    <m/>
    <m/>
    <m/>
    <m/>
  </r>
  <r>
    <n v="1661"/>
    <n v="47833"/>
    <d v="1995-03-26T00:00:00"/>
    <n v="30"/>
    <x v="0"/>
    <x v="1"/>
    <d v="2023-10-28T00:00:00"/>
    <n v="2.3315068493150686"/>
    <x v="102"/>
    <x v="0"/>
    <x v="7"/>
    <x v="1"/>
    <n v="17.16"/>
    <n v="17.16"/>
    <m/>
    <m/>
    <m/>
    <m/>
    <m/>
    <x v="4"/>
    <n v="4"/>
    <n v="5"/>
    <m/>
    <m/>
    <m/>
    <m/>
    <m/>
    <m/>
    <m/>
    <m/>
    <m/>
    <m/>
    <m/>
    <m/>
    <m/>
    <m/>
  </r>
  <r>
    <n v="1662"/>
    <n v="47834"/>
    <d v="1997-08-08T00:00:00"/>
    <n v="28"/>
    <x v="1"/>
    <x v="1"/>
    <d v="2023-09-02T00:00:00"/>
    <n v="2.106849315068493"/>
    <x v="102"/>
    <x v="0"/>
    <x v="8"/>
    <x v="1"/>
    <n v="8.4700000000000006"/>
    <n v="8.26"/>
    <m/>
    <m/>
    <m/>
    <m/>
    <m/>
    <x v="2"/>
    <n v="4"/>
    <n v="7"/>
    <m/>
    <m/>
    <m/>
    <m/>
    <m/>
    <m/>
    <m/>
    <m/>
    <m/>
    <m/>
    <m/>
    <m/>
    <m/>
    <m/>
  </r>
  <r>
    <n v="1663"/>
    <n v="47843"/>
    <d v="2002-02-23T00:00:00"/>
    <n v="23"/>
    <x v="0"/>
    <x v="1"/>
    <d v="2023-11-23T00:00:00"/>
    <n v="1.9534246575342467"/>
    <x v="112"/>
    <x v="1"/>
    <x v="9"/>
    <x v="1"/>
    <n v="14.03"/>
    <n v="13.73"/>
    <m/>
    <m/>
    <m/>
    <m/>
    <m/>
    <x v="2"/>
    <n v="1"/>
    <n v="4"/>
    <m/>
    <m/>
    <m/>
    <m/>
    <m/>
    <m/>
    <m/>
    <m/>
    <m/>
    <m/>
    <m/>
    <m/>
    <m/>
    <m/>
  </r>
  <r>
    <n v="1664"/>
    <n v="47844"/>
    <d v="2005-09-02T00:00:00"/>
    <n v="20"/>
    <x v="0"/>
    <x v="1"/>
    <d v="2024-01-18T00:00:00"/>
    <n v="2.0630136986301371"/>
    <x v="141"/>
    <x v="0"/>
    <x v="1"/>
    <x v="1"/>
    <n v="16.12"/>
    <m/>
    <m/>
    <m/>
    <m/>
    <m/>
    <m/>
    <x v="2"/>
    <n v="0"/>
    <n v="4"/>
    <m/>
    <m/>
    <m/>
    <m/>
    <m/>
    <m/>
    <m/>
    <m/>
    <m/>
    <m/>
    <m/>
    <m/>
    <m/>
    <m/>
  </r>
  <r>
    <n v="1665"/>
    <n v="47859"/>
    <d v="1998-09-06T00:00:00"/>
    <n v="27"/>
    <x v="1"/>
    <x v="0"/>
    <d v="2023-12-09T00:00:00"/>
    <n v="2.6493150684931508"/>
    <x v="32"/>
    <x v="0"/>
    <x v="6"/>
    <x v="1"/>
    <n v="23.53"/>
    <n v="23.2"/>
    <m/>
    <m/>
    <m/>
    <m/>
    <m/>
    <x v="4"/>
    <n v="1"/>
    <n v="7"/>
    <m/>
    <m/>
    <m/>
    <m/>
    <m/>
    <m/>
    <m/>
    <m/>
    <m/>
    <m/>
    <m/>
    <m/>
    <m/>
    <m/>
  </r>
  <r>
    <n v="1666"/>
    <n v="47870"/>
    <d v="1998-01-03T00:00:00"/>
    <n v="27"/>
    <x v="1"/>
    <x v="0"/>
    <d v="2023-05-09T00:00:00"/>
    <n v="2.1917808219178081"/>
    <x v="88"/>
    <x v="0"/>
    <x v="7"/>
    <x v="1"/>
    <n v="17.48"/>
    <n v="17.16"/>
    <m/>
    <m/>
    <m/>
    <m/>
    <m/>
    <x v="1"/>
    <n v="0"/>
    <n v="5"/>
    <m/>
    <m/>
    <m/>
    <m/>
    <m/>
    <m/>
    <m/>
    <m/>
    <m/>
    <m/>
    <m/>
    <m/>
    <m/>
    <m/>
  </r>
  <r>
    <n v="1667"/>
    <n v="47872"/>
    <d v="2001-11-16T00:00:00"/>
    <n v="24"/>
    <x v="0"/>
    <x v="1"/>
    <d v="2023-10-23T00:00:00"/>
    <n v="2.1506849315068495"/>
    <x v="32"/>
    <x v="0"/>
    <x v="10"/>
    <x v="1"/>
    <n v="10.38"/>
    <n v="10.38"/>
    <m/>
    <m/>
    <m/>
    <m/>
    <m/>
    <x v="2"/>
    <n v="0"/>
    <n v="4"/>
    <m/>
    <m/>
    <m/>
    <m/>
    <m/>
    <m/>
    <m/>
    <m/>
    <m/>
    <m/>
    <m/>
    <m/>
    <m/>
    <m/>
  </r>
  <r>
    <n v="1668"/>
    <n v="47888"/>
    <d v="2004-07-05T00:00:00"/>
    <n v="21"/>
    <x v="0"/>
    <x v="1"/>
    <d v="2023-11-07T00:00:00"/>
    <n v="1.9150684931506849"/>
    <x v="43"/>
    <x v="1"/>
    <x v="10"/>
    <x v="1"/>
    <n v="10.53"/>
    <n v="10.38"/>
    <m/>
    <m/>
    <m/>
    <m/>
    <m/>
    <x v="2"/>
    <n v="0"/>
    <n v="3"/>
    <m/>
    <m/>
    <m/>
    <m/>
    <m/>
    <m/>
    <m/>
    <m/>
    <m/>
    <m/>
    <m/>
    <m/>
    <m/>
    <m/>
  </r>
  <r>
    <n v="1669"/>
    <n v="47902"/>
    <d v="1998-03-26T00:00:00"/>
    <n v="27"/>
    <x v="1"/>
    <x v="1"/>
    <d v="2024-02-01T00:00:00"/>
    <n v="2.1534246575342464"/>
    <x v="18"/>
    <x v="0"/>
    <x v="7"/>
    <x v="1"/>
    <n v="17.47"/>
    <m/>
    <m/>
    <m/>
    <m/>
    <m/>
    <m/>
    <x v="4"/>
    <n v="2"/>
    <n v="7"/>
    <m/>
    <m/>
    <m/>
    <m/>
    <m/>
    <m/>
    <m/>
    <m/>
    <m/>
    <m/>
    <m/>
    <m/>
    <m/>
    <m/>
  </r>
  <r>
    <n v="1670"/>
    <n v="47906"/>
    <d v="1999-06-16T00:00:00"/>
    <n v="26"/>
    <x v="1"/>
    <x v="0"/>
    <d v="2023-11-06T00:00:00"/>
    <n v="2.2630136986301368"/>
    <x v="49"/>
    <x v="0"/>
    <x v="8"/>
    <x v="1"/>
    <n v="8.4600000000000009"/>
    <n v="8.26"/>
    <m/>
    <m/>
    <m/>
    <m/>
    <m/>
    <x v="2"/>
    <n v="4"/>
    <n v="7"/>
    <m/>
    <m/>
    <m/>
    <m/>
    <m/>
    <m/>
    <m/>
    <m/>
    <m/>
    <m/>
    <m/>
    <m/>
    <m/>
    <m/>
  </r>
  <r>
    <n v="1671"/>
    <n v="47911"/>
    <d v="2002-04-18T00:00:00"/>
    <n v="23"/>
    <x v="1"/>
    <x v="1"/>
    <d v="2023-09-27T00:00:00"/>
    <n v="2.0657534246575344"/>
    <x v="41"/>
    <x v="0"/>
    <x v="9"/>
    <x v="1"/>
    <n v="14.03"/>
    <n v="13.73"/>
    <m/>
    <m/>
    <m/>
    <m/>
    <m/>
    <x v="1"/>
    <n v="1"/>
    <n v="7"/>
    <m/>
    <m/>
    <m/>
    <m/>
    <m/>
    <m/>
    <m/>
    <m/>
    <m/>
    <m/>
    <m/>
    <m/>
    <m/>
    <m/>
  </r>
  <r>
    <n v="1672"/>
    <n v="47914"/>
    <d v="1998-06-23T00:00:00"/>
    <n v="27"/>
    <x v="1"/>
    <x v="1"/>
    <d v="2023-12-08T00:00:00"/>
    <n v="2.106849315068493"/>
    <x v="44"/>
    <x v="1"/>
    <x v="2"/>
    <x v="1"/>
    <n v="14.18"/>
    <n v="13.88"/>
    <m/>
    <m/>
    <m/>
    <m/>
    <m/>
    <x v="2"/>
    <n v="0"/>
    <n v="6"/>
    <m/>
    <m/>
    <m/>
    <m/>
    <m/>
    <m/>
    <m/>
    <m/>
    <m/>
    <m/>
    <m/>
    <m/>
    <m/>
    <m/>
  </r>
  <r>
    <n v="1673"/>
    <n v="47917"/>
    <d v="2000-10-10T00:00:00"/>
    <n v="25"/>
    <x v="0"/>
    <x v="1"/>
    <d v="2023-11-23T00:00:00"/>
    <n v="2.2109589041095892"/>
    <x v="133"/>
    <x v="1"/>
    <x v="7"/>
    <x v="1"/>
    <n v="17.16"/>
    <n v="17.16"/>
    <m/>
    <m/>
    <m/>
    <m/>
    <m/>
    <x v="3"/>
    <n v="2"/>
    <n v="3"/>
    <m/>
    <m/>
    <m/>
    <m/>
    <m/>
    <m/>
    <m/>
    <m/>
    <m/>
    <m/>
    <m/>
    <m/>
    <m/>
    <m/>
  </r>
  <r>
    <n v="1674"/>
    <n v="47948"/>
    <d v="1997-06-19T00:00:00"/>
    <n v="28"/>
    <x v="1"/>
    <x v="1"/>
    <d v="2023-10-16T00:00:00"/>
    <n v="1.8493150684931507"/>
    <x v="11"/>
    <x v="0"/>
    <x v="11"/>
    <x v="1"/>
    <n v="16.78"/>
    <n v="16.579999999999998"/>
    <m/>
    <m/>
    <m/>
    <m/>
    <m/>
    <x v="3"/>
    <n v="0"/>
    <n v="5"/>
    <m/>
    <m/>
    <m/>
    <m/>
    <m/>
    <m/>
    <m/>
    <m/>
    <m/>
    <m/>
    <m/>
    <m/>
    <m/>
    <m/>
  </r>
  <r>
    <n v="1675"/>
    <n v="47954"/>
    <d v="1992-11-02T00:00:00"/>
    <n v="33"/>
    <x v="0"/>
    <x v="1"/>
    <d v="2024-02-25T00:00:00"/>
    <n v="2.7863013698630139"/>
    <x v="12"/>
    <x v="0"/>
    <x v="11"/>
    <x v="1"/>
    <n v="16.78"/>
    <m/>
    <m/>
    <m/>
    <m/>
    <m/>
    <m/>
    <x v="1"/>
    <n v="2"/>
    <n v="5"/>
    <m/>
    <m/>
    <m/>
    <m/>
    <m/>
    <m/>
    <m/>
    <m/>
    <m/>
    <m/>
    <m/>
    <m/>
    <m/>
    <m/>
  </r>
  <r>
    <n v="1676"/>
    <n v="47959"/>
    <d v="2005-06-23T00:00:00"/>
    <n v="20"/>
    <x v="1"/>
    <x v="1"/>
    <d v="2023-03-20T00:00:00"/>
    <n v="2.4027397260273973"/>
    <x v="14"/>
    <x v="0"/>
    <x v="8"/>
    <x v="1"/>
    <n v="8.4600000000000009"/>
    <n v="8.26"/>
    <m/>
    <m/>
    <m/>
    <m/>
    <m/>
    <x v="2"/>
    <n v="4"/>
    <n v="7"/>
    <m/>
    <m/>
    <m/>
    <m/>
    <m/>
    <m/>
    <m/>
    <m/>
    <m/>
    <m/>
    <m/>
    <m/>
    <m/>
    <m/>
  </r>
  <r>
    <n v="1677"/>
    <n v="47969"/>
    <d v="1991-01-10T00:00:00"/>
    <n v="34"/>
    <x v="1"/>
    <x v="1"/>
    <d v="2023-08-07T00:00:00"/>
    <n v="2.506849315068493"/>
    <x v="18"/>
    <x v="0"/>
    <x v="11"/>
    <x v="1"/>
    <n v="16.829999999999998"/>
    <n v="16.579999999999998"/>
    <m/>
    <m/>
    <m/>
    <m/>
    <m/>
    <x v="2"/>
    <n v="2"/>
    <n v="6"/>
    <m/>
    <m/>
    <m/>
    <m/>
    <m/>
    <m/>
    <m/>
    <m/>
    <m/>
    <m/>
    <m/>
    <m/>
    <m/>
    <m/>
  </r>
  <r>
    <n v="1678"/>
    <n v="47974"/>
    <d v="1992-02-15T00:00:00"/>
    <n v="33"/>
    <x v="1"/>
    <x v="0"/>
    <d v="2023-06-30T00:00:00"/>
    <n v="2.1315068493150684"/>
    <x v="20"/>
    <x v="0"/>
    <x v="8"/>
    <x v="1"/>
    <n v="8.36"/>
    <n v="8.26"/>
    <m/>
    <m/>
    <m/>
    <m/>
    <m/>
    <x v="4"/>
    <n v="2"/>
    <n v="5"/>
    <m/>
    <m/>
    <m/>
    <m/>
    <m/>
    <m/>
    <m/>
    <m/>
    <m/>
    <m/>
    <m/>
    <m/>
    <m/>
    <m/>
  </r>
  <r>
    <n v="1679"/>
    <n v="47986"/>
    <d v="2005-04-16T00:00:00"/>
    <n v="20"/>
    <x v="1"/>
    <x v="0"/>
    <d v="2023-11-14T00:00:00"/>
    <n v="2.6739726027397261"/>
    <x v="28"/>
    <x v="0"/>
    <x v="8"/>
    <x v="1"/>
    <n v="8.36"/>
    <n v="8.26"/>
    <m/>
    <m/>
    <m/>
    <m/>
    <m/>
    <x v="4"/>
    <n v="4"/>
    <n v="4"/>
    <m/>
    <m/>
    <m/>
    <m/>
    <m/>
    <m/>
    <m/>
    <m/>
    <m/>
    <m/>
    <m/>
    <m/>
    <m/>
    <m/>
  </r>
  <r>
    <n v="1680"/>
    <n v="47996"/>
    <d v="2000-04-18T00:00:00"/>
    <n v="25"/>
    <x v="1"/>
    <x v="1"/>
    <d v="2023-04-30T00:00:00"/>
    <n v="2.1397260273972605"/>
    <x v="25"/>
    <x v="0"/>
    <x v="11"/>
    <x v="1"/>
    <n v="16.78"/>
    <n v="16.579999999999998"/>
    <m/>
    <m/>
    <m/>
    <m/>
    <m/>
    <x v="4"/>
    <n v="2"/>
    <n v="6"/>
    <m/>
    <m/>
    <m/>
    <m/>
    <m/>
    <m/>
    <m/>
    <m/>
    <m/>
    <m/>
    <m/>
    <m/>
    <m/>
    <m/>
  </r>
  <r>
    <n v="1681"/>
    <n v="48007"/>
    <d v="2005-02-23T00:00:00"/>
    <n v="20"/>
    <x v="1"/>
    <x v="1"/>
    <d v="2023-11-11T00:00:00"/>
    <n v="2.0493150684931507"/>
    <x v="61"/>
    <x v="0"/>
    <x v="8"/>
    <x v="1"/>
    <n v="8.5500000000000007"/>
    <n v="8.26"/>
    <m/>
    <m/>
    <m/>
    <m/>
    <m/>
    <x v="3"/>
    <n v="1"/>
    <n v="6"/>
    <m/>
    <m/>
    <m/>
    <m/>
    <m/>
    <m/>
    <m/>
    <m/>
    <m/>
    <m/>
    <m/>
    <m/>
    <m/>
    <m/>
  </r>
  <r>
    <n v="1682"/>
    <n v="48010"/>
    <d v="2004-10-27T00:00:00"/>
    <n v="21"/>
    <x v="1"/>
    <x v="1"/>
    <d v="2023-12-14T00:00:00"/>
    <n v="2.2657534246575342"/>
    <x v="63"/>
    <x v="0"/>
    <x v="3"/>
    <x v="1"/>
    <n v="8.5299999999999994"/>
    <n v="8.26"/>
    <m/>
    <m/>
    <m/>
    <m/>
    <m/>
    <x v="4"/>
    <n v="4"/>
    <n v="6"/>
    <m/>
    <m/>
    <m/>
    <m/>
    <m/>
    <m/>
    <m/>
    <m/>
    <m/>
    <m/>
    <m/>
    <m/>
    <m/>
    <m/>
  </r>
  <r>
    <n v="1683"/>
    <n v="48015"/>
    <d v="2003-03-20T00:00:00"/>
    <n v="22"/>
    <x v="0"/>
    <x v="1"/>
    <d v="2023-09-26T00:00:00"/>
    <n v="2.6876712328767125"/>
    <x v="33"/>
    <x v="0"/>
    <x v="8"/>
    <x v="1"/>
    <n v="8.4600000000000009"/>
    <n v="8.26"/>
    <m/>
    <m/>
    <m/>
    <m/>
    <m/>
    <x v="2"/>
    <n v="2"/>
    <n v="4"/>
    <m/>
    <m/>
    <m/>
    <m/>
    <m/>
    <m/>
    <m/>
    <m/>
    <m/>
    <m/>
    <m/>
    <m/>
    <m/>
    <m/>
  </r>
  <r>
    <n v="1684"/>
    <n v="48022"/>
    <d v="2003-11-05T00:00:00"/>
    <n v="22"/>
    <x v="0"/>
    <x v="1"/>
    <d v="2023-04-25T00:00:00"/>
    <n v="2.1315068493150684"/>
    <x v="136"/>
    <x v="0"/>
    <x v="8"/>
    <x v="1"/>
    <n v="8.51"/>
    <n v="8.26"/>
    <m/>
    <m/>
    <m/>
    <m/>
    <m/>
    <x v="1"/>
    <n v="4"/>
    <n v="5"/>
    <m/>
    <m/>
    <m/>
    <m/>
    <m/>
    <m/>
    <m/>
    <m/>
    <m/>
    <m/>
    <m/>
    <m/>
    <m/>
    <m/>
  </r>
  <r>
    <n v="1685"/>
    <n v="48053"/>
    <d v="2006-06-01T00:00:00"/>
    <n v="20"/>
    <x v="1"/>
    <x v="0"/>
    <d v="2023-11-14T00:00:00"/>
    <n v="2.5397260273972604"/>
    <x v="37"/>
    <x v="0"/>
    <x v="8"/>
    <x v="1"/>
    <n v="8.4600000000000009"/>
    <n v="8.26"/>
    <m/>
    <m/>
    <m/>
    <m/>
    <m/>
    <x v="1"/>
    <n v="0"/>
    <n v="5"/>
    <m/>
    <m/>
    <m/>
    <m/>
    <m/>
    <m/>
    <m/>
    <m/>
    <m/>
    <m/>
    <m/>
    <m/>
    <m/>
    <m/>
  </r>
  <r>
    <n v="1686"/>
    <n v="48057"/>
    <d v="1997-12-13T00:00:00"/>
    <n v="28"/>
    <x v="1"/>
    <x v="0"/>
    <d v="2023-06-18T00:00:00"/>
    <n v="1.9671232876712328"/>
    <x v="38"/>
    <x v="0"/>
    <x v="8"/>
    <x v="1"/>
    <n v="8.4600000000000009"/>
    <n v="8.26"/>
    <m/>
    <m/>
    <m/>
    <m/>
    <m/>
    <x v="2"/>
    <n v="4"/>
    <n v="7"/>
    <m/>
    <m/>
    <m/>
    <m/>
    <m/>
    <m/>
    <m/>
    <m/>
    <m/>
    <m/>
    <m/>
    <m/>
    <m/>
    <m/>
  </r>
  <r>
    <n v="1687"/>
    <n v="48058"/>
    <d v="2003-03-10T00:00:00"/>
    <n v="22"/>
    <x v="1"/>
    <x v="1"/>
    <d v="2024-01-13T00:00:00"/>
    <n v="2.0054794520547947"/>
    <x v="42"/>
    <x v="0"/>
    <x v="1"/>
    <x v="1"/>
    <n v="15.97"/>
    <m/>
    <m/>
    <m/>
    <m/>
    <m/>
    <m/>
    <x v="1"/>
    <n v="0"/>
    <n v="5"/>
    <m/>
    <m/>
    <m/>
    <m/>
    <m/>
    <m/>
    <m/>
    <m/>
    <m/>
    <m/>
    <m/>
    <m/>
    <m/>
    <m/>
  </r>
  <r>
    <n v="1688"/>
    <n v="48066"/>
    <d v="2001-01-25T00:00:00"/>
    <n v="24"/>
    <x v="1"/>
    <x v="0"/>
    <d v="2023-12-30T00:00:00"/>
    <n v="2.7424657534246575"/>
    <x v="43"/>
    <x v="1"/>
    <x v="8"/>
    <x v="1"/>
    <n v="8.5"/>
    <n v="8.26"/>
    <m/>
    <m/>
    <m/>
    <m/>
    <m/>
    <x v="4"/>
    <n v="4"/>
    <n v="7"/>
    <m/>
    <m/>
    <m/>
    <m/>
    <m/>
    <m/>
    <m/>
    <m/>
    <m/>
    <m/>
    <m/>
    <m/>
    <m/>
    <m/>
  </r>
  <r>
    <n v="1689"/>
    <n v="48069"/>
    <d v="2000-04-28T00:00:00"/>
    <n v="25"/>
    <x v="0"/>
    <x v="1"/>
    <d v="2023-04-05T00:00:00"/>
    <n v="2.1589041095890411"/>
    <x v="44"/>
    <x v="1"/>
    <x v="11"/>
    <x v="1"/>
    <n v="16.78"/>
    <n v="16.579999999999998"/>
    <m/>
    <m/>
    <m/>
    <m/>
    <m/>
    <x v="2"/>
    <n v="2"/>
    <n v="5"/>
    <m/>
    <m/>
    <m/>
    <m/>
    <m/>
    <m/>
    <m/>
    <m/>
    <m/>
    <m/>
    <m/>
    <m/>
    <m/>
    <m/>
  </r>
  <r>
    <n v="1690"/>
    <n v="48090"/>
    <d v="2005-09-07T00:00:00"/>
    <n v="20"/>
    <x v="0"/>
    <x v="0"/>
    <d v="2023-11-04T00:00:00"/>
    <n v="2.7972602739726029"/>
    <x v="95"/>
    <x v="1"/>
    <x v="2"/>
    <x v="1"/>
    <n v="13.88"/>
    <n v="13.88"/>
    <m/>
    <m/>
    <m/>
    <m/>
    <m/>
    <x v="3"/>
    <n v="1"/>
    <n v="4"/>
    <m/>
    <m/>
    <m/>
    <m/>
    <m/>
    <m/>
    <m/>
    <m/>
    <m/>
    <m/>
    <m/>
    <m/>
    <m/>
    <m/>
  </r>
  <r>
    <n v="1691"/>
    <n v="48093"/>
    <d v="1994-04-25T00:00:00"/>
    <n v="31"/>
    <x v="0"/>
    <x v="0"/>
    <d v="2023-03-16T00:00:00"/>
    <n v="2.5342465753424657"/>
    <x v="95"/>
    <x v="1"/>
    <x v="7"/>
    <x v="1"/>
    <n v="17.309999999999999"/>
    <n v="17.16"/>
    <m/>
    <m/>
    <m/>
    <m/>
    <m/>
    <x v="4"/>
    <n v="1"/>
    <n v="3"/>
    <m/>
    <m/>
    <m/>
    <m/>
    <m/>
    <m/>
    <m/>
    <m/>
    <m/>
    <m/>
    <m/>
    <m/>
    <m/>
    <m/>
  </r>
  <r>
    <n v="1692"/>
    <n v="48100"/>
    <d v="2006-07-25T00:00:00"/>
    <n v="19"/>
    <x v="1"/>
    <x v="1"/>
    <d v="2023-06-20T00:00:00"/>
    <n v="2.1150684931506851"/>
    <x v="53"/>
    <x v="1"/>
    <x v="8"/>
    <x v="1"/>
    <n v="8.4600000000000009"/>
    <n v="8.26"/>
    <m/>
    <m/>
    <m/>
    <m/>
    <m/>
    <x v="2"/>
    <n v="0"/>
    <n v="6"/>
    <m/>
    <m/>
    <m/>
    <m/>
    <m/>
    <m/>
    <m/>
    <m/>
    <m/>
    <m/>
    <m/>
    <m/>
    <m/>
    <m/>
  </r>
  <r>
    <n v="1693"/>
    <n v="48102"/>
    <d v="2003-04-12T00:00:00"/>
    <n v="22"/>
    <x v="1"/>
    <x v="1"/>
    <d v="2023-11-20T00:00:00"/>
    <n v="1.8794520547945206"/>
    <x v="56"/>
    <x v="1"/>
    <x v="8"/>
    <x v="1"/>
    <n v="8.4600000000000009"/>
    <n v="8.26"/>
    <m/>
    <m/>
    <m/>
    <m/>
    <m/>
    <x v="2"/>
    <n v="4"/>
    <n v="7"/>
    <m/>
    <m/>
    <m/>
    <m/>
    <m/>
    <m/>
    <m/>
    <m/>
    <m/>
    <m/>
    <m/>
    <m/>
    <m/>
    <m/>
  </r>
  <r>
    <n v="1694"/>
    <n v="48112"/>
    <d v="1997-02-02T00:00:00"/>
    <n v="28"/>
    <x v="0"/>
    <x v="1"/>
    <d v="2024-02-14T00:00:00"/>
    <n v="2.3041095890410959"/>
    <x v="62"/>
    <x v="1"/>
    <x v="2"/>
    <x v="1"/>
    <n v="14.18"/>
    <m/>
    <m/>
    <m/>
    <m/>
    <m/>
    <m/>
    <x v="4"/>
    <n v="0"/>
    <n v="4"/>
    <m/>
    <m/>
    <m/>
    <m/>
    <m/>
    <m/>
    <m/>
    <m/>
    <m/>
    <m/>
    <m/>
    <m/>
    <m/>
    <m/>
  </r>
  <r>
    <n v="1695"/>
    <n v="48128"/>
    <d v="1997-03-03T00:00:00"/>
    <n v="28"/>
    <x v="1"/>
    <x v="1"/>
    <d v="2023-09-12T00:00:00"/>
    <n v="2.3315068493150686"/>
    <x v="71"/>
    <x v="1"/>
    <x v="3"/>
    <x v="1"/>
    <n v="8.4600000000000009"/>
    <n v="8.26"/>
    <m/>
    <m/>
    <m/>
    <m/>
    <m/>
    <x v="2"/>
    <n v="2"/>
    <n v="6"/>
    <m/>
    <m/>
    <m/>
    <m/>
    <m/>
    <m/>
    <m/>
    <m/>
    <m/>
    <m/>
    <m/>
    <m/>
    <m/>
    <m/>
  </r>
  <r>
    <n v="1696"/>
    <n v="48129"/>
    <d v="2000-02-08T00:00:00"/>
    <n v="25"/>
    <x v="1"/>
    <x v="0"/>
    <d v="2023-09-02T00:00:00"/>
    <n v="2.5890410958904111"/>
    <x v="71"/>
    <x v="1"/>
    <x v="8"/>
    <x v="1"/>
    <n v="8.4600000000000009"/>
    <n v="8.26"/>
    <m/>
    <m/>
    <m/>
    <m/>
    <m/>
    <x v="1"/>
    <n v="4"/>
    <n v="7"/>
    <m/>
    <m/>
    <m/>
    <m/>
    <m/>
    <m/>
    <m/>
    <m/>
    <m/>
    <m/>
    <m/>
    <m/>
    <m/>
    <m/>
  </r>
  <r>
    <n v="1697"/>
    <n v="48142"/>
    <d v="1998-08-01T00:00:00"/>
    <n v="28"/>
    <x v="1"/>
    <x v="1"/>
    <d v="2023-05-31T00:00:00"/>
    <n v="2.3643835616438356"/>
    <x v="118"/>
    <x v="1"/>
    <x v="8"/>
    <x v="1"/>
    <n v="8.4600000000000009"/>
    <n v="8.26"/>
    <m/>
    <m/>
    <m/>
    <m/>
    <m/>
    <x v="3"/>
    <n v="2"/>
    <n v="6"/>
    <m/>
    <m/>
    <m/>
    <m/>
    <m/>
    <m/>
    <m/>
    <m/>
    <m/>
    <m/>
    <m/>
    <m/>
    <m/>
    <m/>
  </r>
  <r>
    <n v="1698"/>
    <n v="48149"/>
    <d v="2002-06-13T00:00:00"/>
    <n v="23"/>
    <x v="1"/>
    <x v="1"/>
    <d v="2023-08-21T00:00:00"/>
    <n v="2.032876712328767"/>
    <x v="107"/>
    <x v="1"/>
    <x v="8"/>
    <x v="1"/>
    <n v="8.4600000000000009"/>
    <n v="8.26"/>
    <m/>
    <m/>
    <m/>
    <m/>
    <m/>
    <x v="3"/>
    <n v="0"/>
    <n v="4"/>
    <m/>
    <m/>
    <m/>
    <m/>
    <m/>
    <m/>
    <m/>
    <m/>
    <m/>
    <m/>
    <m/>
    <m/>
    <m/>
    <m/>
  </r>
  <r>
    <n v="1699"/>
    <n v="48166"/>
    <d v="2004-04-02T00:00:00"/>
    <n v="21"/>
    <x v="1"/>
    <x v="1"/>
    <d v="2023-12-20T00:00:00"/>
    <n v="2.6164383561643834"/>
    <x v="101"/>
    <x v="1"/>
    <x v="8"/>
    <x v="1"/>
    <n v="8.5"/>
    <n v="8.26"/>
    <m/>
    <m/>
    <m/>
    <m/>
    <m/>
    <x v="2"/>
    <n v="2"/>
    <n v="6"/>
    <m/>
    <m/>
    <m/>
    <m/>
    <m/>
    <m/>
    <m/>
    <m/>
    <m/>
    <m/>
    <m/>
    <m/>
    <m/>
    <m/>
  </r>
  <r>
    <n v="1700"/>
    <n v="48171"/>
    <d v="2005-02-10T00:00:00"/>
    <n v="20"/>
    <x v="1"/>
    <x v="1"/>
    <d v="2023-05-21T00:00:00"/>
    <n v="2.4246575342465753"/>
    <x v="98"/>
    <x v="1"/>
    <x v="8"/>
    <x v="1"/>
    <n v="8.48"/>
    <n v="8.26"/>
    <m/>
    <m/>
    <m/>
    <m/>
    <m/>
    <x v="4"/>
    <n v="4"/>
    <n v="7"/>
    <m/>
    <m/>
    <m/>
    <m/>
    <m/>
    <m/>
    <m/>
    <m/>
    <m/>
    <m/>
    <m/>
    <m/>
    <m/>
    <m/>
  </r>
  <r>
    <n v="1701"/>
    <n v="48182"/>
    <d v="2004-07-09T00:00:00"/>
    <n v="21"/>
    <x v="0"/>
    <x v="1"/>
    <d v="2023-07-30T00:00:00"/>
    <n v="2.43013698630137"/>
    <x v="13"/>
    <x v="0"/>
    <x v="2"/>
    <x v="1"/>
    <n v="14.18"/>
    <n v="13.88"/>
    <m/>
    <m/>
    <m/>
    <m/>
    <m/>
    <x v="3"/>
    <n v="0"/>
    <n v="2"/>
    <m/>
    <m/>
    <m/>
    <m/>
    <m/>
    <m/>
    <m/>
    <m/>
    <m/>
    <m/>
    <m/>
    <m/>
    <m/>
    <m/>
  </r>
  <r>
    <n v="1702"/>
    <n v="48197"/>
    <d v="2002-12-20T00:00:00"/>
    <n v="23"/>
    <x v="1"/>
    <x v="1"/>
    <d v="2023-07-28T00:00:00"/>
    <n v="2.515068493150685"/>
    <x v="26"/>
    <x v="0"/>
    <x v="8"/>
    <x v="1"/>
    <n v="8.5399999999999991"/>
    <n v="8.26"/>
    <m/>
    <m/>
    <m/>
    <m/>
    <m/>
    <x v="4"/>
    <n v="2"/>
    <n v="6"/>
    <m/>
    <m/>
    <m/>
    <m/>
    <m/>
    <m/>
    <m/>
    <m/>
    <m/>
    <m/>
    <m/>
    <m/>
    <m/>
    <m/>
  </r>
  <r>
    <n v="1703"/>
    <n v="48204"/>
    <d v="2003-02-25T00:00:00"/>
    <n v="22"/>
    <x v="1"/>
    <x v="1"/>
    <d v="2023-06-27T00:00:00"/>
    <n v="2.021917808219178"/>
    <x v="58"/>
    <x v="1"/>
    <x v="3"/>
    <x v="1"/>
    <n v="8.49"/>
    <n v="8.26"/>
    <m/>
    <m/>
    <m/>
    <m/>
    <m/>
    <x v="2"/>
    <n v="1"/>
    <n v="5"/>
    <m/>
    <m/>
    <m/>
    <m/>
    <m/>
    <m/>
    <m/>
    <m/>
    <m/>
    <m/>
    <m/>
    <m/>
    <m/>
    <m/>
  </r>
  <r>
    <n v="1704"/>
    <n v="48206"/>
    <d v="2003-09-18T00:00:00"/>
    <n v="22"/>
    <x v="1"/>
    <x v="0"/>
    <d v="2023-12-24T00:00:00"/>
    <n v="1.9726027397260273"/>
    <x v="98"/>
    <x v="1"/>
    <x v="1"/>
    <x v="1"/>
    <n v="16.350000000000001"/>
    <n v="15.97"/>
    <m/>
    <m/>
    <m/>
    <m/>
    <m/>
    <x v="4"/>
    <n v="1"/>
    <n v="5"/>
    <m/>
    <m/>
    <m/>
    <m/>
    <m/>
    <m/>
    <m/>
    <m/>
    <m/>
    <m/>
    <m/>
    <m/>
    <m/>
    <m/>
  </r>
  <r>
    <n v="1705"/>
    <n v="48209"/>
    <d v="2003-06-11T00:00:00"/>
    <n v="22"/>
    <x v="1"/>
    <x v="1"/>
    <d v="2024-01-11T00:00:00"/>
    <n v="2.3232876712328765"/>
    <x v="49"/>
    <x v="0"/>
    <x v="9"/>
    <x v="1"/>
    <n v="14.03"/>
    <m/>
    <m/>
    <m/>
    <m/>
    <m/>
    <m/>
    <x v="1"/>
    <n v="0"/>
    <n v="6"/>
    <m/>
    <m/>
    <m/>
    <m/>
    <m/>
    <m/>
    <m/>
    <m/>
    <m/>
    <m/>
    <m/>
    <m/>
    <m/>
    <m/>
  </r>
  <r>
    <n v="1706"/>
    <n v="48218"/>
    <d v="2005-07-01T00:00:00"/>
    <n v="21"/>
    <x v="0"/>
    <x v="1"/>
    <d v="2023-09-05T00:00:00"/>
    <n v="2.0931506849315067"/>
    <x v="27"/>
    <x v="0"/>
    <x v="2"/>
    <x v="1"/>
    <n v="14.18"/>
    <n v="13.88"/>
    <m/>
    <m/>
    <m/>
    <m/>
    <m/>
    <x v="2"/>
    <n v="1"/>
    <n v="4"/>
    <m/>
    <m/>
    <m/>
    <m/>
    <m/>
    <m/>
    <m/>
    <m/>
    <m/>
    <m/>
    <m/>
    <m/>
    <m/>
    <m/>
  </r>
  <r>
    <n v="1707"/>
    <n v="48223"/>
    <d v="2003-03-08T00:00:00"/>
    <n v="22"/>
    <x v="0"/>
    <x v="1"/>
    <d v="2023-11-28T00:00:00"/>
    <n v="1.8465753424657534"/>
    <x v="102"/>
    <x v="0"/>
    <x v="10"/>
    <x v="1"/>
    <n v="10.65"/>
    <n v="10.38"/>
    <m/>
    <m/>
    <m/>
    <m/>
    <m/>
    <x v="2"/>
    <n v="0"/>
    <n v="4"/>
    <m/>
    <m/>
    <m/>
    <m/>
    <m/>
    <m/>
    <m/>
    <m/>
    <m/>
    <m/>
    <m/>
    <m/>
    <m/>
    <m/>
  </r>
  <r>
    <n v="1708"/>
    <n v="48236"/>
    <d v="2002-09-23T00:00:00"/>
    <n v="23"/>
    <x v="1"/>
    <x v="1"/>
    <d v="2024-02-26T00:00:00"/>
    <n v="2.1150684931506851"/>
    <x v="3"/>
    <x v="0"/>
    <x v="7"/>
    <x v="1"/>
    <n v="17.46"/>
    <m/>
    <m/>
    <m/>
    <m/>
    <m/>
    <m/>
    <x v="4"/>
    <n v="2"/>
    <n v="7"/>
    <m/>
    <m/>
    <m/>
    <m/>
    <m/>
    <m/>
    <m/>
    <m/>
    <m/>
    <m/>
    <m/>
    <m/>
    <m/>
    <m/>
  </r>
  <r>
    <n v="1709"/>
    <n v="48239"/>
    <d v="1993-07-18T00:00:00"/>
    <n v="32"/>
    <x v="0"/>
    <x v="1"/>
    <d v="2023-11-20T00:00:00"/>
    <n v="2.4602739726027396"/>
    <x v="102"/>
    <x v="0"/>
    <x v="6"/>
    <x v="1"/>
    <n v="23.6"/>
    <n v="23.2"/>
    <m/>
    <m/>
    <m/>
    <m/>
    <m/>
    <x v="3"/>
    <n v="4"/>
    <n v="6"/>
    <m/>
    <m/>
    <m/>
    <m/>
    <m/>
    <m/>
    <m/>
    <m/>
    <m/>
    <m/>
    <m/>
    <m/>
    <m/>
    <m/>
  </r>
  <r>
    <n v="1710"/>
    <n v="48253"/>
    <d v="2003-09-18T00:00:00"/>
    <n v="22"/>
    <x v="1"/>
    <x v="1"/>
    <d v="2023-07-17T00:00:00"/>
    <n v="2.8328767123287673"/>
    <x v="59"/>
    <x v="0"/>
    <x v="8"/>
    <x v="1"/>
    <n v="8.4700000000000006"/>
    <n v="8.26"/>
    <m/>
    <m/>
    <m/>
    <m/>
    <m/>
    <x v="2"/>
    <n v="1"/>
    <n v="7"/>
    <m/>
    <m/>
    <m/>
    <m/>
    <m/>
    <m/>
    <m/>
    <m/>
    <m/>
    <m/>
    <m/>
    <m/>
    <m/>
    <m/>
  </r>
  <r>
    <n v="1711"/>
    <n v="48255"/>
    <d v="2005-06-18T00:00:00"/>
    <n v="20"/>
    <x v="1"/>
    <x v="1"/>
    <d v="2023-03-03T00:00:00"/>
    <n v="2.7150684931506848"/>
    <x v="37"/>
    <x v="0"/>
    <x v="8"/>
    <x v="1"/>
    <n v="8.4600000000000009"/>
    <n v="8.26"/>
    <m/>
    <m/>
    <m/>
    <m/>
    <m/>
    <x v="2"/>
    <n v="4"/>
    <n v="7"/>
    <m/>
    <m/>
    <m/>
    <m/>
    <m/>
    <m/>
    <m/>
    <m/>
    <m/>
    <m/>
    <m/>
    <m/>
    <m/>
    <m/>
  </r>
  <r>
    <n v="1712"/>
    <n v="48260"/>
    <d v="1997-03-30T00:00:00"/>
    <n v="28"/>
    <x v="1"/>
    <x v="1"/>
    <d v="2023-04-15T00:00:00"/>
    <n v="1.9287671232876713"/>
    <x v="85"/>
    <x v="1"/>
    <x v="11"/>
    <x v="1"/>
    <n v="16.84"/>
    <n v="16.579999999999998"/>
    <m/>
    <m/>
    <m/>
    <m/>
    <m/>
    <x v="2"/>
    <n v="3"/>
    <n v="5"/>
    <m/>
    <m/>
    <m/>
    <m/>
    <m/>
    <m/>
    <m/>
    <m/>
    <m/>
    <m/>
    <m/>
    <m/>
    <m/>
    <m/>
  </r>
  <r>
    <n v="1713"/>
    <n v="48265"/>
    <d v="2002-02-19T00:00:00"/>
    <n v="23"/>
    <x v="1"/>
    <x v="1"/>
    <d v="2024-01-27T00:00:00"/>
    <n v="2.8136986301369862"/>
    <x v="100"/>
    <x v="1"/>
    <x v="9"/>
    <x v="1"/>
    <n v="14.03"/>
    <m/>
    <m/>
    <m/>
    <m/>
    <m/>
    <m/>
    <x v="2"/>
    <n v="1"/>
    <n v="7"/>
    <m/>
    <m/>
    <m/>
    <m/>
    <m/>
    <m/>
    <m/>
    <m/>
    <m/>
    <m/>
    <m/>
    <m/>
    <m/>
    <m/>
  </r>
  <r>
    <n v="1714"/>
    <n v="48267"/>
    <d v="1989-10-04T00:00:00"/>
    <n v="36"/>
    <x v="0"/>
    <x v="1"/>
    <d v="2023-03-10T00:00:00"/>
    <n v="2.56986301369863"/>
    <x v="84"/>
    <x v="1"/>
    <x v="6"/>
    <x v="1"/>
    <n v="23.5"/>
    <n v="23.2"/>
    <m/>
    <m/>
    <m/>
    <m/>
    <m/>
    <x v="4"/>
    <n v="7"/>
    <n v="5"/>
    <m/>
    <m/>
    <m/>
    <m/>
    <m/>
    <m/>
    <m/>
    <m/>
    <m/>
    <m/>
    <m/>
    <m/>
    <m/>
    <m/>
  </r>
  <r>
    <n v="1715"/>
    <n v="48270"/>
    <d v="1997-03-06T00:00:00"/>
    <n v="28"/>
    <x v="0"/>
    <x v="0"/>
    <d v="2023-06-07T00:00:00"/>
    <n v="2.2602739726027399"/>
    <x v="32"/>
    <x v="0"/>
    <x v="2"/>
    <x v="1"/>
    <n v="14.31"/>
    <n v="13.88"/>
    <m/>
    <m/>
    <m/>
    <m/>
    <m/>
    <x v="4"/>
    <n v="1"/>
    <n v="5"/>
    <m/>
    <m/>
    <m/>
    <m/>
    <m/>
    <m/>
    <m/>
    <m/>
    <m/>
    <m/>
    <m/>
    <m/>
    <m/>
    <m/>
  </r>
  <r>
    <n v="1716"/>
    <n v="48272"/>
    <d v="2000-11-03T00:00:00"/>
    <n v="25"/>
    <x v="1"/>
    <x v="0"/>
    <d v="2023-09-28T00:00:00"/>
    <n v="2.1780821917808217"/>
    <x v="102"/>
    <x v="0"/>
    <x v="1"/>
    <x v="1"/>
    <n v="15.97"/>
    <n v="15.97"/>
    <m/>
    <m/>
    <m/>
    <m/>
    <m/>
    <x v="2"/>
    <n v="1"/>
    <n v="5"/>
    <m/>
    <m/>
    <m/>
    <m/>
    <m/>
    <m/>
    <m/>
    <m/>
    <m/>
    <m/>
    <m/>
    <m/>
    <m/>
    <m/>
  </r>
  <r>
    <n v="1717"/>
    <n v="48273"/>
    <d v="2003-04-24T00:00:00"/>
    <n v="22"/>
    <x v="0"/>
    <x v="1"/>
    <d v="2023-10-28T00:00:00"/>
    <n v="2.2876712328767121"/>
    <x v="42"/>
    <x v="0"/>
    <x v="10"/>
    <x v="1"/>
    <n v="10.38"/>
    <n v="10.38"/>
    <m/>
    <m/>
    <m/>
    <m/>
    <m/>
    <x v="2"/>
    <n v="1"/>
    <n v="3"/>
    <m/>
    <m/>
    <m/>
    <m/>
    <m/>
    <m/>
    <m/>
    <m/>
    <m/>
    <m/>
    <m/>
    <m/>
    <m/>
    <m/>
  </r>
  <r>
    <n v="1718"/>
    <n v="48278"/>
    <d v="1988-05-27T00:00:00"/>
    <n v="37"/>
    <x v="1"/>
    <x v="1"/>
    <d v="2023-09-18T00:00:00"/>
    <n v="2.6849315068493151"/>
    <x v="8"/>
    <x v="1"/>
    <x v="7"/>
    <x v="1"/>
    <n v="17.309999999999999"/>
    <n v="17.16"/>
    <m/>
    <m/>
    <m/>
    <m/>
    <m/>
    <x v="4"/>
    <n v="2"/>
    <n v="6"/>
    <m/>
    <m/>
    <m/>
    <m/>
    <m/>
    <m/>
    <m/>
    <m/>
    <m/>
    <m/>
    <m/>
    <m/>
    <m/>
    <m/>
  </r>
  <r>
    <n v="1719"/>
    <n v="48287"/>
    <d v="2003-08-30T00:00:00"/>
    <n v="22"/>
    <x v="0"/>
    <x v="1"/>
    <d v="2023-04-26T00:00:00"/>
    <n v="1.9287671232876713"/>
    <x v="27"/>
    <x v="0"/>
    <x v="2"/>
    <x v="1"/>
    <n v="14.18"/>
    <n v="13.88"/>
    <m/>
    <m/>
    <m/>
    <m/>
    <m/>
    <x v="3"/>
    <n v="0"/>
    <n v="4"/>
    <m/>
    <m/>
    <m/>
    <m/>
    <m/>
    <m/>
    <m/>
    <m/>
    <m/>
    <m/>
    <m/>
    <m/>
    <m/>
    <m/>
  </r>
  <r>
    <n v="1720"/>
    <n v="48289"/>
    <d v="2004-02-27T00:00:00"/>
    <n v="21"/>
    <x v="1"/>
    <x v="0"/>
    <d v="2024-01-27T00:00:00"/>
    <n v="2.1369863013698631"/>
    <x v="61"/>
    <x v="0"/>
    <x v="8"/>
    <x v="1"/>
    <n v="8.5"/>
    <m/>
    <m/>
    <m/>
    <m/>
    <m/>
    <m/>
    <x v="1"/>
    <n v="2"/>
    <n v="6"/>
    <m/>
    <m/>
    <m/>
    <m/>
    <m/>
    <m/>
    <m/>
    <m/>
    <m/>
    <m/>
    <m/>
    <m/>
    <m/>
    <m/>
  </r>
  <r>
    <n v="1721"/>
    <n v="48298"/>
    <d v="1993-12-17T00:00:00"/>
    <n v="32"/>
    <x v="1"/>
    <x v="1"/>
    <d v="2023-11-12T00:00:00"/>
    <n v="2.1945205479452055"/>
    <x v="124"/>
    <x v="0"/>
    <x v="8"/>
    <x v="1"/>
    <n v="8.4600000000000009"/>
    <n v="8.26"/>
    <m/>
    <m/>
    <m/>
    <m/>
    <m/>
    <x v="2"/>
    <n v="2"/>
    <n v="6"/>
    <m/>
    <m/>
    <m/>
    <m/>
    <m/>
    <m/>
    <m/>
    <m/>
    <m/>
    <m/>
    <m/>
    <m/>
    <m/>
    <m/>
  </r>
  <r>
    <n v="1722"/>
    <n v="48316"/>
    <d v="1999-10-08T00:00:00"/>
    <n v="26"/>
    <x v="1"/>
    <x v="0"/>
    <d v="2023-10-22T00:00:00"/>
    <n v="2.4438356164383563"/>
    <x v="59"/>
    <x v="0"/>
    <x v="7"/>
    <x v="1"/>
    <n v="17.489999999999998"/>
    <n v="17.16"/>
    <m/>
    <m/>
    <m/>
    <m/>
    <m/>
    <x v="2"/>
    <n v="2"/>
    <n v="5"/>
    <m/>
    <m/>
    <m/>
    <m/>
    <m/>
    <m/>
    <m/>
    <m/>
    <m/>
    <m/>
    <m/>
    <m/>
    <m/>
    <m/>
  </r>
  <r>
    <n v="1723"/>
    <n v="48329"/>
    <d v="2002-05-06T00:00:00"/>
    <n v="23"/>
    <x v="0"/>
    <x v="0"/>
    <d v="2023-07-23T00:00:00"/>
    <n v="2.0794520547945203"/>
    <x v="91"/>
    <x v="1"/>
    <x v="7"/>
    <x v="1"/>
    <n v="17.46"/>
    <n v="17.16"/>
    <m/>
    <m/>
    <m/>
    <m/>
    <m/>
    <x v="2"/>
    <n v="2"/>
    <n v="3"/>
    <m/>
    <m/>
    <m/>
    <m/>
    <m/>
    <m/>
    <m/>
    <m/>
    <m/>
    <m/>
    <m/>
    <m/>
    <m/>
    <m/>
  </r>
  <r>
    <n v="1724"/>
    <n v="48337"/>
    <d v="2005-06-03T00:00:00"/>
    <n v="20"/>
    <x v="1"/>
    <x v="0"/>
    <d v="2023-12-03T00:00:00"/>
    <n v="2.2493150684931509"/>
    <x v="98"/>
    <x v="1"/>
    <x v="8"/>
    <x v="1"/>
    <n v="8.4700000000000006"/>
    <n v="8.26"/>
    <m/>
    <m/>
    <m/>
    <m/>
    <m/>
    <x v="2"/>
    <n v="1"/>
    <n v="5"/>
    <m/>
    <m/>
    <m/>
    <m/>
    <m/>
    <m/>
    <m/>
    <m/>
    <m/>
    <m/>
    <m/>
    <m/>
    <m/>
    <m/>
  </r>
  <r>
    <n v="1725"/>
    <n v="48346"/>
    <d v="1998-12-09T00:00:00"/>
    <n v="27"/>
    <x v="0"/>
    <x v="1"/>
    <d v="2023-10-02T00:00:00"/>
    <n v="1.8630136986301369"/>
    <x v="138"/>
    <x v="0"/>
    <x v="7"/>
    <x v="1"/>
    <n v="17.46"/>
    <n v="17.16"/>
    <m/>
    <m/>
    <m/>
    <m/>
    <m/>
    <x v="3"/>
    <n v="3"/>
    <n v="5"/>
    <m/>
    <m/>
    <m/>
    <m/>
    <m/>
    <m/>
    <m/>
    <m/>
    <m/>
    <m/>
    <m/>
    <m/>
    <m/>
    <m/>
  </r>
  <r>
    <n v="1726"/>
    <n v="48357"/>
    <d v="1997-06-09T00:00:00"/>
    <n v="28"/>
    <x v="0"/>
    <x v="1"/>
    <d v="2024-02-20T00:00:00"/>
    <n v="1.9205479452054794"/>
    <x v="41"/>
    <x v="0"/>
    <x v="7"/>
    <x v="1"/>
    <n v="17.510000000000002"/>
    <m/>
    <m/>
    <m/>
    <m/>
    <m/>
    <m/>
    <x v="4"/>
    <n v="4"/>
    <n v="6"/>
    <m/>
    <m/>
    <m/>
    <m/>
    <m/>
    <m/>
    <m/>
    <m/>
    <m/>
    <m/>
    <m/>
    <m/>
    <m/>
    <m/>
  </r>
  <r>
    <n v="1727"/>
    <n v="48358"/>
    <d v="1998-02-13T00:00:00"/>
    <n v="27"/>
    <x v="0"/>
    <x v="0"/>
    <d v="2024-01-30T00:00:00"/>
    <n v="2.7890410958904108"/>
    <x v="109"/>
    <x v="1"/>
    <x v="2"/>
    <x v="1"/>
    <n v="14.18"/>
    <m/>
    <m/>
    <m/>
    <m/>
    <m/>
    <m/>
    <x v="3"/>
    <n v="0"/>
    <n v="2"/>
    <m/>
    <m/>
    <m/>
    <m/>
    <m/>
    <m/>
    <m/>
    <m/>
    <m/>
    <m/>
    <m/>
    <m/>
    <m/>
    <m/>
  </r>
  <r>
    <n v="1728"/>
    <n v="48364"/>
    <d v="2003-08-09T00:00:00"/>
    <n v="22"/>
    <x v="1"/>
    <x v="0"/>
    <d v="2023-03-19T00:00:00"/>
    <n v="2.1150684931506851"/>
    <x v="10"/>
    <x v="0"/>
    <x v="8"/>
    <x v="1"/>
    <n v="8.52"/>
    <n v="8.26"/>
    <m/>
    <m/>
    <m/>
    <m/>
    <m/>
    <x v="3"/>
    <n v="2"/>
    <n v="5"/>
    <m/>
    <m/>
    <m/>
    <m/>
    <m/>
    <m/>
    <m/>
    <m/>
    <m/>
    <m/>
    <m/>
    <m/>
    <m/>
    <m/>
  </r>
  <r>
    <n v="1729"/>
    <n v="48373"/>
    <d v="2004-03-21T00:00:00"/>
    <n v="21"/>
    <x v="0"/>
    <x v="1"/>
    <d v="2023-11-20T00:00:00"/>
    <n v="2.1698630136986301"/>
    <x v="61"/>
    <x v="0"/>
    <x v="10"/>
    <x v="1"/>
    <n v="10.64"/>
    <n v="10.38"/>
    <m/>
    <m/>
    <m/>
    <m/>
    <m/>
    <x v="2"/>
    <n v="1"/>
    <n v="5"/>
    <m/>
    <m/>
    <m/>
    <m/>
    <m/>
    <m/>
    <m/>
    <m/>
    <m/>
    <m/>
    <m/>
    <m/>
    <m/>
    <m/>
  </r>
  <r>
    <n v="1730"/>
    <n v="48374"/>
    <d v="2002-02-23T00:00:00"/>
    <n v="23"/>
    <x v="0"/>
    <x v="1"/>
    <d v="2023-10-31T00:00:00"/>
    <n v="2.2712328767123289"/>
    <x v="61"/>
    <x v="0"/>
    <x v="7"/>
    <x v="1"/>
    <n v="17.36"/>
    <n v="17.16"/>
    <m/>
    <m/>
    <m/>
    <m/>
    <m/>
    <x v="2"/>
    <n v="0"/>
    <n v="4"/>
    <m/>
    <m/>
    <m/>
    <m/>
    <m/>
    <m/>
    <m/>
    <m/>
    <m/>
    <m/>
    <m/>
    <m/>
    <m/>
    <m/>
  </r>
  <r>
    <n v="1731"/>
    <n v="48386"/>
    <d v="1998-06-13T00:00:00"/>
    <n v="27"/>
    <x v="1"/>
    <x v="1"/>
    <d v="2023-09-24T00:00:00"/>
    <n v="2.6657534246575341"/>
    <x v="19"/>
    <x v="0"/>
    <x v="7"/>
    <x v="1"/>
    <n v="17.46"/>
    <n v="17.16"/>
    <m/>
    <m/>
    <m/>
    <m/>
    <m/>
    <x v="1"/>
    <n v="4"/>
    <n v="5"/>
    <m/>
    <m/>
    <m/>
    <m/>
    <m/>
    <m/>
    <m/>
    <m/>
    <m/>
    <m/>
    <m/>
    <m/>
    <m/>
    <m/>
  </r>
  <r>
    <n v="1732"/>
    <n v="48388"/>
    <d v="1999-09-18T00:00:00"/>
    <n v="26"/>
    <x v="1"/>
    <x v="1"/>
    <d v="2023-05-03T00:00:00"/>
    <n v="2.5534246575342467"/>
    <x v="104"/>
    <x v="1"/>
    <x v="7"/>
    <x v="1"/>
    <n v="17.46"/>
    <n v="17.16"/>
    <m/>
    <m/>
    <m/>
    <m/>
    <m/>
    <x v="2"/>
    <n v="2"/>
    <n v="7"/>
    <m/>
    <m/>
    <m/>
    <m/>
    <m/>
    <m/>
    <m/>
    <m/>
    <m/>
    <m/>
    <m/>
    <m/>
    <m/>
    <m/>
  </r>
  <r>
    <n v="1733"/>
    <n v="48396"/>
    <d v="1999-04-19T00:00:00"/>
    <n v="26"/>
    <x v="0"/>
    <x v="1"/>
    <d v="2023-06-13T00:00:00"/>
    <n v="2.3561643835616439"/>
    <x v="41"/>
    <x v="0"/>
    <x v="10"/>
    <x v="1"/>
    <n v="10.61"/>
    <n v="10.38"/>
    <m/>
    <m/>
    <m/>
    <m/>
    <m/>
    <x v="2"/>
    <n v="0"/>
    <n v="4"/>
    <m/>
    <m/>
    <m/>
    <m/>
    <m/>
    <m/>
    <m/>
    <m/>
    <m/>
    <m/>
    <m/>
    <m/>
    <m/>
    <m/>
  </r>
  <r>
    <n v="1734"/>
    <n v="48409"/>
    <d v="1984-08-11T00:00:00"/>
    <n v="41"/>
    <x v="1"/>
    <x v="1"/>
    <d v="2023-08-24T00:00:00"/>
    <n v="1.8712328767123287"/>
    <x v="105"/>
    <x v="1"/>
    <x v="2"/>
    <x v="1"/>
    <n v="14.18"/>
    <n v="13.88"/>
    <m/>
    <m/>
    <m/>
    <m/>
    <m/>
    <x v="2"/>
    <n v="0"/>
    <n v="5"/>
    <m/>
    <m/>
    <m/>
    <m/>
    <m/>
    <m/>
    <m/>
    <m/>
    <m/>
    <m/>
    <m/>
    <m/>
    <m/>
    <m/>
  </r>
  <r>
    <n v="1735"/>
    <n v="48420"/>
    <d v="2000-04-24T00:00:00"/>
    <n v="25"/>
    <x v="0"/>
    <x v="1"/>
    <d v="2024-02-17T00:00:00"/>
    <n v="2.5178082191780824"/>
    <x v="87"/>
    <x v="0"/>
    <x v="10"/>
    <x v="1"/>
    <n v="10.38"/>
    <m/>
    <m/>
    <m/>
    <m/>
    <m/>
    <m/>
    <x v="2"/>
    <n v="1"/>
    <n v="5"/>
    <m/>
    <m/>
    <m/>
    <m/>
    <m/>
    <m/>
    <m/>
    <m/>
    <m/>
    <m/>
    <m/>
    <m/>
    <m/>
    <m/>
  </r>
  <r>
    <n v="1736"/>
    <n v="48429"/>
    <d v="1997-06-25T00:00:00"/>
    <n v="28"/>
    <x v="0"/>
    <x v="1"/>
    <d v="2023-06-26T00:00:00"/>
    <n v="2.1753424657534248"/>
    <x v="59"/>
    <x v="0"/>
    <x v="7"/>
    <x v="1"/>
    <n v="17.16"/>
    <n v="17.16"/>
    <m/>
    <m/>
    <m/>
    <m/>
    <m/>
    <x v="3"/>
    <n v="0"/>
    <n v="5"/>
    <m/>
    <m/>
    <m/>
    <m/>
    <m/>
    <m/>
    <m/>
    <m/>
    <m/>
    <m/>
    <m/>
    <m/>
    <m/>
    <m/>
  </r>
  <r>
    <n v="1737"/>
    <n v="48432"/>
    <d v="1997-07-31T00:00:00"/>
    <n v="28"/>
    <x v="0"/>
    <x v="1"/>
    <d v="2023-10-29T00:00:00"/>
    <n v="2.6054794520547944"/>
    <x v="120"/>
    <x v="1"/>
    <x v="7"/>
    <x v="1"/>
    <n v="17.46"/>
    <n v="17.16"/>
    <m/>
    <m/>
    <m/>
    <m/>
    <m/>
    <x v="2"/>
    <n v="4"/>
    <n v="5"/>
    <m/>
    <m/>
    <m/>
    <m/>
    <m/>
    <m/>
    <m/>
    <m/>
    <m/>
    <m/>
    <m/>
    <m/>
    <m/>
    <m/>
  </r>
  <r>
    <n v="1738"/>
    <n v="48434"/>
    <d v="2003-11-06T00:00:00"/>
    <n v="22"/>
    <x v="1"/>
    <x v="1"/>
    <d v="2023-05-25T00:00:00"/>
    <n v="1.9917808219178081"/>
    <x v="108"/>
    <x v="1"/>
    <x v="8"/>
    <x v="1"/>
    <n v="8.36"/>
    <n v="8.26"/>
    <m/>
    <m/>
    <m/>
    <m/>
    <m/>
    <x v="3"/>
    <n v="0"/>
    <n v="5"/>
    <m/>
    <m/>
    <m/>
    <m/>
    <m/>
    <m/>
    <m/>
    <m/>
    <m/>
    <m/>
    <m/>
    <m/>
    <m/>
    <m/>
  </r>
  <r>
    <n v="1739"/>
    <n v="48451"/>
    <d v="1999-05-05T00:00:00"/>
    <n v="26"/>
    <x v="1"/>
    <x v="1"/>
    <d v="2024-01-04T00:00:00"/>
    <n v="2.0493150684931507"/>
    <x v="13"/>
    <x v="0"/>
    <x v="2"/>
    <x v="1"/>
    <n v="14.18"/>
    <m/>
    <m/>
    <m/>
    <m/>
    <m/>
    <m/>
    <x v="2"/>
    <n v="0"/>
    <n v="5"/>
    <m/>
    <m/>
    <m/>
    <m/>
    <m/>
    <m/>
    <m/>
    <m/>
    <m/>
    <m/>
    <m/>
    <m/>
    <m/>
    <m/>
  </r>
  <r>
    <n v="1740"/>
    <n v="48477"/>
    <d v="1998-03-04T00:00:00"/>
    <n v="27"/>
    <x v="0"/>
    <x v="1"/>
    <d v="2023-12-14T00:00:00"/>
    <n v="2.3095890410958906"/>
    <x v="139"/>
    <x v="0"/>
    <x v="2"/>
    <x v="1"/>
    <n v="14.18"/>
    <n v="13.88"/>
    <m/>
    <m/>
    <m/>
    <m/>
    <m/>
    <x v="2"/>
    <n v="0"/>
    <n v="4"/>
    <m/>
    <m/>
    <m/>
    <m/>
    <m/>
    <m/>
    <m/>
    <m/>
    <m/>
    <m/>
    <m/>
    <m/>
    <m/>
    <m/>
  </r>
  <r>
    <n v="1741"/>
    <n v="48480"/>
    <d v="1997-07-03T00:00:00"/>
    <n v="28"/>
    <x v="0"/>
    <x v="1"/>
    <d v="2023-09-10T00:00:00"/>
    <n v="2.6027397260273974"/>
    <x v="49"/>
    <x v="0"/>
    <x v="10"/>
    <x v="1"/>
    <n v="10.58"/>
    <n v="10.38"/>
    <m/>
    <m/>
    <m/>
    <m/>
    <m/>
    <x v="2"/>
    <n v="0"/>
    <n v="4"/>
    <m/>
    <m/>
    <m/>
    <m/>
    <m/>
    <m/>
    <m/>
    <m/>
    <m/>
    <m/>
    <m/>
    <m/>
    <m/>
    <m/>
  </r>
  <r>
    <n v="1742"/>
    <n v="48496"/>
    <d v="2001-09-16T00:00:00"/>
    <n v="24"/>
    <x v="1"/>
    <x v="1"/>
    <d v="2023-05-26T00:00:00"/>
    <n v="2.515068493150685"/>
    <x v="136"/>
    <x v="0"/>
    <x v="8"/>
    <x v="1"/>
    <n v="8.5399999999999991"/>
    <n v="8.26"/>
    <m/>
    <m/>
    <m/>
    <m/>
    <m/>
    <x v="4"/>
    <n v="0"/>
    <n v="6"/>
    <m/>
    <m/>
    <m/>
    <m/>
    <m/>
    <m/>
    <m/>
    <m/>
    <m/>
    <m/>
    <m/>
    <m/>
    <m/>
    <m/>
  </r>
  <r>
    <n v="1743"/>
    <n v="48498"/>
    <d v="2005-07-04T00:00:00"/>
    <n v="20"/>
    <x v="1"/>
    <x v="1"/>
    <d v="2023-06-27T00:00:00"/>
    <n v="2.1205479452054794"/>
    <x v="102"/>
    <x v="0"/>
    <x v="3"/>
    <x v="1"/>
    <n v="8.4600000000000009"/>
    <n v="8.26"/>
    <m/>
    <m/>
    <m/>
    <m/>
    <m/>
    <x v="2"/>
    <n v="1"/>
    <n v="6"/>
    <m/>
    <m/>
    <m/>
    <m/>
    <m/>
    <m/>
    <m/>
    <m/>
    <m/>
    <m/>
    <m/>
    <m/>
    <m/>
    <m/>
  </r>
  <r>
    <n v="1744"/>
    <n v="48501"/>
    <d v="1997-11-24T00:00:00"/>
    <n v="28"/>
    <x v="0"/>
    <x v="1"/>
    <d v="2023-11-18T00:00:00"/>
    <n v="1.9123287671232876"/>
    <x v="57"/>
    <x v="0"/>
    <x v="7"/>
    <x v="1"/>
    <n v="17.46"/>
    <n v="17.16"/>
    <m/>
    <m/>
    <m/>
    <m/>
    <m/>
    <x v="2"/>
    <n v="1"/>
    <n v="4"/>
    <m/>
    <m/>
    <m/>
    <m/>
    <m/>
    <m/>
    <m/>
    <m/>
    <m/>
    <m/>
    <m/>
    <m/>
    <m/>
    <m/>
  </r>
  <r>
    <n v="1745"/>
    <n v="48505"/>
    <d v="2001-06-12T00:00:00"/>
    <n v="24"/>
    <x v="0"/>
    <x v="1"/>
    <d v="2024-02-02T00:00:00"/>
    <n v="2.7041095890410958"/>
    <x v="41"/>
    <x v="0"/>
    <x v="6"/>
    <x v="1"/>
    <n v="23.62"/>
    <m/>
    <m/>
    <m/>
    <m/>
    <m/>
    <m/>
    <x v="1"/>
    <n v="6"/>
    <n v="5"/>
    <m/>
    <m/>
    <m/>
    <m/>
    <m/>
    <m/>
    <m/>
    <m/>
    <m/>
    <m/>
    <m/>
    <m/>
    <m/>
    <m/>
  </r>
  <r>
    <n v="1746"/>
    <n v="48507"/>
    <d v="2005-05-27T00:00:00"/>
    <n v="20"/>
    <x v="0"/>
    <x v="1"/>
    <d v="2023-04-19T00:00:00"/>
    <n v="2.463013698630137"/>
    <x v="142"/>
    <x v="0"/>
    <x v="9"/>
    <x v="1"/>
    <n v="13.73"/>
    <n v="13.73"/>
    <m/>
    <m/>
    <m/>
    <m/>
    <m/>
    <x v="4"/>
    <n v="1"/>
    <n v="5"/>
    <m/>
    <m/>
    <m/>
    <m/>
    <m/>
    <m/>
    <m/>
    <m/>
    <m/>
    <m/>
    <m/>
    <m/>
    <m/>
    <m/>
  </r>
  <r>
    <n v="1747"/>
    <n v="48510"/>
    <d v="2001-08-28T00:00:00"/>
    <n v="24"/>
    <x v="1"/>
    <x v="1"/>
    <d v="2023-07-16T00:00:00"/>
    <n v="2.6246575342465754"/>
    <x v="59"/>
    <x v="0"/>
    <x v="10"/>
    <x v="1"/>
    <n v="10.6"/>
    <n v="10.38"/>
    <m/>
    <m/>
    <m/>
    <m/>
    <m/>
    <x v="4"/>
    <n v="1"/>
    <n v="4"/>
    <m/>
    <m/>
    <m/>
    <m/>
    <m/>
    <m/>
    <m/>
    <m/>
    <m/>
    <m/>
    <m/>
    <m/>
    <m/>
    <m/>
  </r>
  <r>
    <n v="1748"/>
    <n v="48517"/>
    <d v="2002-08-17T00:00:00"/>
    <n v="23"/>
    <x v="0"/>
    <x v="0"/>
    <d v="2023-05-18T00:00:00"/>
    <n v="2.5643835616438357"/>
    <x v="42"/>
    <x v="0"/>
    <x v="8"/>
    <x v="1"/>
    <n v="8.26"/>
    <n v="8.26"/>
    <m/>
    <m/>
    <m/>
    <m/>
    <m/>
    <x v="3"/>
    <n v="2"/>
    <n v="3"/>
    <m/>
    <m/>
    <m/>
    <m/>
    <m/>
    <m/>
    <m/>
    <m/>
    <m/>
    <m/>
    <m/>
    <m/>
    <m/>
    <m/>
  </r>
  <r>
    <n v="1749"/>
    <n v="48528"/>
    <d v="2004-11-23T00:00:00"/>
    <n v="21"/>
    <x v="0"/>
    <x v="1"/>
    <d v="2023-06-09T00:00:00"/>
    <n v="2.1808219178082191"/>
    <x v="115"/>
    <x v="1"/>
    <x v="2"/>
    <x v="1"/>
    <n v="14.18"/>
    <n v="13.88"/>
    <m/>
    <m/>
    <m/>
    <m/>
    <m/>
    <x v="1"/>
    <n v="0"/>
    <n v="4"/>
    <m/>
    <m/>
    <m/>
    <m/>
    <m/>
    <m/>
    <m/>
    <m/>
    <m/>
    <m/>
    <m/>
    <m/>
    <m/>
    <m/>
  </r>
  <r>
    <n v="1750"/>
    <n v="48536"/>
    <d v="2003-09-20T00:00:00"/>
    <n v="22"/>
    <x v="1"/>
    <x v="1"/>
    <d v="2023-10-27T00:00:00"/>
    <n v="2.7561643835616438"/>
    <x v="58"/>
    <x v="1"/>
    <x v="8"/>
    <x v="1"/>
    <n v="8.5299999999999994"/>
    <n v="8.26"/>
    <m/>
    <m/>
    <m/>
    <m/>
    <m/>
    <x v="2"/>
    <n v="4"/>
    <n v="7"/>
    <m/>
    <m/>
    <m/>
    <m/>
    <m/>
    <m/>
    <m/>
    <m/>
    <m/>
    <m/>
    <m/>
    <m/>
    <m/>
    <m/>
  </r>
  <r>
    <n v="1751"/>
    <n v="48544"/>
    <d v="2005-12-24T00:00:00"/>
    <n v="20"/>
    <x v="1"/>
    <x v="0"/>
    <d v="2023-03-31T00:00:00"/>
    <n v="2.1397260273972605"/>
    <x v="68"/>
    <x v="1"/>
    <x v="8"/>
    <x v="1"/>
    <n v="8.4600000000000009"/>
    <n v="8.26"/>
    <m/>
    <m/>
    <m/>
    <m/>
    <m/>
    <x v="4"/>
    <n v="2"/>
    <n v="5"/>
    <m/>
    <m/>
    <m/>
    <m/>
    <m/>
    <m/>
    <m/>
    <m/>
    <m/>
    <m/>
    <m/>
    <m/>
    <m/>
    <m/>
  </r>
  <r>
    <n v="1752"/>
    <n v="48546"/>
    <d v="1996-07-18T00:00:00"/>
    <n v="29"/>
    <x v="1"/>
    <x v="1"/>
    <d v="2023-11-11T00:00:00"/>
    <n v="1.9643835616438357"/>
    <x v="71"/>
    <x v="1"/>
    <x v="8"/>
    <x v="1"/>
    <n v="8.4600000000000009"/>
    <n v="8.26"/>
    <m/>
    <m/>
    <m/>
    <m/>
    <m/>
    <x v="2"/>
    <n v="2"/>
    <n v="7"/>
    <m/>
    <m/>
    <m/>
    <m/>
    <m/>
    <m/>
    <m/>
    <m/>
    <m/>
    <m/>
    <m/>
    <m/>
    <m/>
    <m/>
  </r>
  <r>
    <n v="1753"/>
    <n v="48558"/>
    <d v="2004-02-07T00:00:00"/>
    <n v="21"/>
    <x v="1"/>
    <x v="1"/>
    <d v="2024-01-14T00:00:00"/>
    <n v="2.7835616438356166"/>
    <x v="81"/>
    <x v="1"/>
    <x v="10"/>
    <x v="1"/>
    <n v="10.58"/>
    <m/>
    <m/>
    <m/>
    <m/>
    <m/>
    <m/>
    <x v="3"/>
    <n v="0"/>
    <n v="5"/>
    <m/>
    <m/>
    <m/>
    <m/>
    <m/>
    <m/>
    <m/>
    <m/>
    <m/>
    <m/>
    <m/>
    <m/>
    <m/>
    <m/>
  </r>
  <r>
    <n v="1754"/>
    <n v="48570"/>
    <d v="1999-06-24T00:00:00"/>
    <n v="26"/>
    <x v="1"/>
    <x v="0"/>
    <d v="2023-03-21T00:00:00"/>
    <n v="2.7945205479452055"/>
    <x v="103"/>
    <x v="1"/>
    <x v="11"/>
    <x v="1"/>
    <n v="16.78"/>
    <n v="16.579999999999998"/>
    <m/>
    <m/>
    <m/>
    <m/>
    <m/>
    <x v="3"/>
    <n v="2"/>
    <n v="6"/>
    <m/>
    <m/>
    <m/>
    <m/>
    <m/>
    <m/>
    <m/>
    <m/>
    <m/>
    <m/>
    <m/>
    <m/>
    <m/>
    <m/>
  </r>
  <r>
    <n v="1755"/>
    <n v="48572"/>
    <d v="2001-10-14T00:00:00"/>
    <n v="24"/>
    <x v="0"/>
    <x v="1"/>
    <d v="2023-03-17T00:00:00"/>
    <n v="2.3013698630136985"/>
    <x v="11"/>
    <x v="0"/>
    <x v="1"/>
    <x v="1"/>
    <n v="16.27"/>
    <n v="15.97"/>
    <m/>
    <m/>
    <m/>
    <m/>
    <m/>
    <x v="2"/>
    <n v="1"/>
    <n v="5"/>
    <m/>
    <m/>
    <m/>
    <m/>
    <m/>
    <m/>
    <m/>
    <m/>
    <m/>
    <m/>
    <m/>
    <m/>
    <m/>
    <m/>
  </r>
  <r>
    <n v="1756"/>
    <n v="48577"/>
    <d v="2003-06-22T00:00:00"/>
    <n v="22"/>
    <x v="0"/>
    <x v="1"/>
    <d v="2023-09-13T00:00:00"/>
    <n v="2.6410958904109587"/>
    <x v="37"/>
    <x v="0"/>
    <x v="9"/>
    <x v="1"/>
    <n v="14.03"/>
    <n v="13.73"/>
    <m/>
    <m/>
    <m/>
    <m/>
    <m/>
    <x v="3"/>
    <n v="0"/>
    <n v="5"/>
    <m/>
    <m/>
    <m/>
    <m/>
    <m/>
    <m/>
    <m/>
    <m/>
    <m/>
    <m/>
    <m/>
    <m/>
    <m/>
    <m/>
  </r>
  <r>
    <n v="1757"/>
    <n v="48578"/>
    <d v="2005-04-12T00:00:00"/>
    <n v="20"/>
    <x v="0"/>
    <x v="1"/>
    <d v="2023-05-12T00:00:00"/>
    <n v="2.4602739726027396"/>
    <x v="38"/>
    <x v="0"/>
    <x v="2"/>
    <x v="1"/>
    <n v="14.18"/>
    <n v="13.88"/>
    <m/>
    <m/>
    <m/>
    <m/>
    <m/>
    <x v="2"/>
    <n v="1"/>
    <n v="3"/>
    <m/>
    <m/>
    <m/>
    <m/>
    <m/>
    <m/>
    <m/>
    <m/>
    <m/>
    <m/>
    <m/>
    <m/>
    <m/>
    <m/>
  </r>
  <r>
    <n v="1758"/>
    <n v="48587"/>
    <d v="2001-05-14T00:00:00"/>
    <n v="24"/>
    <x v="1"/>
    <x v="1"/>
    <d v="2023-07-17T00:00:00"/>
    <n v="1.9013698630136986"/>
    <x v="4"/>
    <x v="0"/>
    <x v="3"/>
    <x v="1"/>
    <n v="17.760000000000002"/>
    <n v="17.46"/>
    <m/>
    <m/>
    <m/>
    <m/>
    <m/>
    <x v="2"/>
    <n v="1"/>
    <n v="7"/>
    <m/>
    <m/>
    <m/>
    <m/>
    <m/>
    <m/>
    <m/>
    <m/>
    <m/>
    <m/>
    <m/>
    <m/>
    <m/>
    <m/>
  </r>
  <r>
    <n v="1759"/>
    <n v="48590"/>
    <d v="2002-06-26T00:00:00"/>
    <n v="23"/>
    <x v="1"/>
    <x v="0"/>
    <d v="2024-02-06T00:00:00"/>
    <n v="2.3260273972602739"/>
    <x v="24"/>
    <x v="0"/>
    <x v="8"/>
    <x v="1"/>
    <n v="8.4600000000000009"/>
    <m/>
    <m/>
    <m/>
    <m/>
    <m/>
    <m/>
    <x v="2"/>
    <n v="0"/>
    <n v="7"/>
    <m/>
    <m/>
    <m/>
    <m/>
    <m/>
    <m/>
    <m/>
    <m/>
    <m/>
    <m/>
    <m/>
    <m/>
    <m/>
    <m/>
  </r>
  <r>
    <n v="1760"/>
    <n v="48596"/>
    <d v="2000-11-17T00:00:00"/>
    <n v="25"/>
    <x v="1"/>
    <x v="1"/>
    <d v="2023-09-04T00:00:00"/>
    <n v="2.1917808219178081"/>
    <x v="93"/>
    <x v="1"/>
    <x v="1"/>
    <x v="1"/>
    <n v="16.39"/>
    <n v="15.97"/>
    <m/>
    <m/>
    <m/>
    <m/>
    <m/>
    <x v="4"/>
    <n v="0"/>
    <n v="5"/>
    <m/>
    <m/>
    <m/>
    <m/>
    <m/>
    <m/>
    <m/>
    <m/>
    <m/>
    <m/>
    <m/>
    <m/>
    <m/>
    <m/>
  </r>
  <r>
    <n v="1761"/>
    <n v="48599"/>
    <d v="2005-04-06T00:00:00"/>
    <n v="20"/>
    <x v="0"/>
    <x v="1"/>
    <d v="2023-10-23T00:00:00"/>
    <n v="2.1808219178082191"/>
    <x v="27"/>
    <x v="0"/>
    <x v="9"/>
    <x v="1"/>
    <n v="14.03"/>
    <n v="13.73"/>
    <m/>
    <m/>
    <m/>
    <m/>
    <m/>
    <x v="3"/>
    <n v="1"/>
    <n v="4"/>
    <m/>
    <m/>
    <m/>
    <m/>
    <m/>
    <m/>
    <m/>
    <m/>
    <m/>
    <m/>
    <m/>
    <m/>
    <m/>
    <m/>
  </r>
  <r>
    <n v="1762"/>
    <n v="48603"/>
    <d v="2001-08-24T00:00:00"/>
    <n v="24"/>
    <x v="0"/>
    <x v="0"/>
    <d v="2023-10-27T00:00:00"/>
    <n v="2.3753424657534246"/>
    <x v="5"/>
    <x v="0"/>
    <x v="7"/>
    <x v="1"/>
    <n v="17.46"/>
    <n v="17.16"/>
    <m/>
    <m/>
    <m/>
    <m/>
    <m/>
    <x v="4"/>
    <n v="1"/>
    <n v="3"/>
    <m/>
    <m/>
    <m/>
    <m/>
    <m/>
    <m/>
    <m/>
    <m/>
    <m/>
    <m/>
    <m/>
    <m/>
    <m/>
    <m/>
  </r>
  <r>
    <n v="1763"/>
    <n v="48604"/>
    <d v="1988-03-24T00:00:00"/>
    <n v="37"/>
    <x v="0"/>
    <x v="1"/>
    <d v="2023-08-17T00:00:00"/>
    <n v="2.8520547945205479"/>
    <x v="5"/>
    <x v="0"/>
    <x v="7"/>
    <x v="1"/>
    <n v="17.46"/>
    <n v="17.16"/>
    <m/>
    <m/>
    <m/>
    <m/>
    <m/>
    <x v="2"/>
    <n v="0"/>
    <n v="3"/>
    <m/>
    <m/>
    <m/>
    <m/>
    <m/>
    <m/>
    <m/>
    <m/>
    <m/>
    <m/>
    <m/>
    <m/>
    <m/>
    <m/>
  </r>
  <r>
    <n v="1764"/>
    <n v="48621"/>
    <d v="2002-12-21T00:00:00"/>
    <n v="23"/>
    <x v="1"/>
    <x v="0"/>
    <d v="2023-02-24T00:00:00"/>
    <n v="1.704109589041096"/>
    <x v="43"/>
    <x v="1"/>
    <x v="2"/>
    <x v="1"/>
    <n v="14.26"/>
    <n v="13.88"/>
    <m/>
    <m/>
    <m/>
    <m/>
    <m/>
    <x v="4"/>
    <n v="0"/>
    <n v="7"/>
    <m/>
    <m/>
    <m/>
    <m/>
    <m/>
    <m/>
    <m/>
    <m/>
    <m/>
    <m/>
    <m/>
    <m/>
    <m/>
    <m/>
  </r>
  <r>
    <n v="1765"/>
    <n v="48624"/>
    <d v="2000-09-19T00:00:00"/>
    <n v="25"/>
    <x v="1"/>
    <x v="1"/>
    <d v="2024-04-18T00:00:00"/>
    <n v="2.2410958904109588"/>
    <x v="116"/>
    <x v="1"/>
    <x v="7"/>
    <x v="1"/>
    <n v="17.579999999999998"/>
    <m/>
    <m/>
    <m/>
    <m/>
    <m/>
    <m/>
    <x v="1"/>
    <n v="2"/>
    <n v="6"/>
    <m/>
    <m/>
    <m/>
    <m/>
    <m/>
    <m/>
    <m/>
    <m/>
    <m/>
    <m/>
    <m/>
    <m/>
    <m/>
    <m/>
  </r>
  <r>
    <n v="1766"/>
    <n v="48628"/>
    <d v="1999-07-12T00:00:00"/>
    <n v="26"/>
    <x v="1"/>
    <x v="1"/>
    <d v="2023-10-05T00:00:00"/>
    <n v="2.7205479452054795"/>
    <x v="142"/>
    <x v="0"/>
    <x v="1"/>
    <x v="1"/>
    <n v="16.12"/>
    <n v="15.97"/>
    <m/>
    <m/>
    <m/>
    <m/>
    <m/>
    <x v="2"/>
    <n v="1"/>
    <n v="5"/>
    <m/>
    <m/>
    <m/>
    <m/>
    <m/>
    <m/>
    <m/>
    <m/>
    <m/>
    <m/>
    <m/>
    <m/>
    <m/>
    <m/>
  </r>
  <r>
    <n v="1767"/>
    <n v="48629"/>
    <d v="2001-12-27T00:00:00"/>
    <n v="24"/>
    <x v="1"/>
    <x v="1"/>
    <d v="2023-04-13T00:00:00"/>
    <n v="1.9643835616438357"/>
    <x v="74"/>
    <x v="1"/>
    <x v="3"/>
    <x v="1"/>
    <n v="17.760000000000002"/>
    <n v="17.46"/>
    <m/>
    <m/>
    <m/>
    <m/>
    <m/>
    <x v="2"/>
    <n v="2"/>
    <n v="7"/>
    <m/>
    <m/>
    <m/>
    <m/>
    <m/>
    <m/>
    <m/>
    <m/>
    <m/>
    <m/>
    <m/>
    <m/>
    <m/>
    <m/>
  </r>
  <r>
    <n v="1768"/>
    <n v="48630"/>
    <d v="1997-06-14T00:00:00"/>
    <n v="28"/>
    <x v="1"/>
    <x v="1"/>
    <d v="2024-01-14T00:00:00"/>
    <n v="1.9260273972602739"/>
    <x v="79"/>
    <x v="1"/>
    <x v="1"/>
    <x v="1"/>
    <n v="16.27"/>
    <m/>
    <m/>
    <m/>
    <m/>
    <m/>
    <m/>
    <x v="4"/>
    <n v="0"/>
    <n v="6"/>
    <m/>
    <m/>
    <m/>
    <m/>
    <m/>
    <m/>
    <m/>
    <m/>
    <m/>
    <m/>
    <m/>
    <m/>
    <m/>
    <m/>
  </r>
  <r>
    <n v="1769"/>
    <n v="48631"/>
    <d v="2004-03-21T00:00:00"/>
    <n v="21"/>
    <x v="0"/>
    <x v="1"/>
    <d v="2024-01-28T00:00:00"/>
    <n v="2.1424657534246574"/>
    <x v="116"/>
    <x v="1"/>
    <x v="10"/>
    <x v="1"/>
    <n v="10.64"/>
    <m/>
    <m/>
    <m/>
    <m/>
    <m/>
    <m/>
    <x v="2"/>
    <n v="0"/>
    <n v="2"/>
    <m/>
    <m/>
    <m/>
    <m/>
    <m/>
    <m/>
    <m/>
    <m/>
    <m/>
    <m/>
    <m/>
    <m/>
    <m/>
    <m/>
  </r>
  <r>
    <n v="1770"/>
    <n v="48632"/>
    <d v="2003-02-04T00:00:00"/>
    <n v="22"/>
    <x v="1"/>
    <x v="1"/>
    <d v="2023-11-10T00:00:00"/>
    <n v="2.7205479452054795"/>
    <x v="116"/>
    <x v="1"/>
    <x v="9"/>
    <x v="1"/>
    <n v="14.13"/>
    <n v="13.73"/>
    <m/>
    <m/>
    <m/>
    <m/>
    <m/>
    <x v="1"/>
    <n v="0"/>
    <n v="5"/>
    <m/>
    <m/>
    <m/>
    <m/>
    <m/>
    <m/>
    <m/>
    <m/>
    <m/>
    <m/>
    <m/>
    <m/>
    <m/>
    <m/>
  </r>
  <r>
    <n v="1771"/>
    <n v="48637"/>
    <d v="1998-12-04T00:00:00"/>
    <n v="27"/>
    <x v="0"/>
    <x v="0"/>
    <d v="2023-04-13T00:00:00"/>
    <n v="2.6986301369863015"/>
    <x v="10"/>
    <x v="0"/>
    <x v="7"/>
    <x v="1"/>
    <n v="17.16"/>
    <n v="17.16"/>
    <m/>
    <m/>
    <m/>
    <m/>
    <m/>
    <x v="2"/>
    <n v="2"/>
    <n v="2"/>
    <m/>
    <m/>
    <m/>
    <m/>
    <m/>
    <m/>
    <m/>
    <m/>
    <m/>
    <m/>
    <m/>
    <m/>
    <m/>
    <m/>
  </r>
  <r>
    <n v="1772"/>
    <n v="48654"/>
    <d v="1985-01-09T00:00:00"/>
    <n v="40"/>
    <x v="0"/>
    <x v="1"/>
    <d v="2023-04-21T00:00:00"/>
    <n v="2.2219178082191782"/>
    <x v="106"/>
    <x v="1"/>
    <x v="6"/>
    <x v="1"/>
    <n v="23.38"/>
    <n v="23.2"/>
    <m/>
    <m/>
    <m/>
    <m/>
    <m/>
    <x v="1"/>
    <n v="5"/>
    <n v="5"/>
    <m/>
    <m/>
    <m/>
    <m/>
    <m/>
    <m/>
    <m/>
    <m/>
    <m/>
    <m/>
    <m/>
    <m/>
    <m/>
    <m/>
  </r>
  <r>
    <n v="1773"/>
    <n v="48660"/>
    <d v="2003-08-10T00:00:00"/>
    <n v="22"/>
    <x v="0"/>
    <x v="1"/>
    <d v="2023-10-12T00:00:00"/>
    <n v="1.9616438356164383"/>
    <x v="105"/>
    <x v="1"/>
    <x v="6"/>
    <x v="1"/>
    <n v="23.5"/>
    <n v="23.2"/>
    <m/>
    <m/>
    <m/>
    <m/>
    <m/>
    <x v="2"/>
    <n v="3"/>
    <n v="5"/>
    <m/>
    <m/>
    <m/>
    <m/>
    <m/>
    <m/>
    <m/>
    <m/>
    <m/>
    <m/>
    <m/>
    <m/>
    <m/>
    <m/>
  </r>
  <r>
    <n v="1774"/>
    <n v="48671"/>
    <d v="1995-06-01T00:00:00"/>
    <n v="31"/>
    <x v="0"/>
    <x v="1"/>
    <d v="2024-01-15T00:00:00"/>
    <n v="2.6"/>
    <x v="132"/>
    <x v="1"/>
    <x v="10"/>
    <x v="1"/>
    <n v="10.48"/>
    <m/>
    <m/>
    <m/>
    <m/>
    <m/>
    <m/>
    <x v="2"/>
    <n v="1"/>
    <n v="4"/>
    <m/>
    <m/>
    <m/>
    <m/>
    <m/>
    <m/>
    <m/>
    <m/>
    <m/>
    <m/>
    <m/>
    <m/>
    <m/>
    <m/>
  </r>
  <r>
    <n v="1775"/>
    <n v="48679"/>
    <d v="1998-05-08T00:00:00"/>
    <n v="27"/>
    <x v="1"/>
    <x v="1"/>
    <d v="2023-05-27T00:00:00"/>
    <n v="1.9315068493150684"/>
    <x v="17"/>
    <x v="0"/>
    <x v="2"/>
    <x v="1"/>
    <n v="14.18"/>
    <n v="13.88"/>
    <m/>
    <m/>
    <m/>
    <m/>
    <m/>
    <x v="4"/>
    <n v="0"/>
    <n v="6"/>
    <m/>
    <m/>
    <m/>
    <m/>
    <m/>
    <m/>
    <m/>
    <m/>
    <m/>
    <m/>
    <m/>
    <m/>
    <m/>
    <m/>
  </r>
  <r>
    <n v="1776"/>
    <n v="48683"/>
    <d v="1999-07-20T00:00:00"/>
    <n v="26"/>
    <x v="0"/>
    <x v="1"/>
    <d v="2024-01-26T00:00:00"/>
    <n v="1.9150684931506849"/>
    <x v="44"/>
    <x v="1"/>
    <x v="2"/>
    <x v="1"/>
    <n v="14.18"/>
    <m/>
    <m/>
    <m/>
    <m/>
    <m/>
    <m/>
    <x v="4"/>
    <n v="0"/>
    <n v="3"/>
    <m/>
    <m/>
    <m/>
    <m/>
    <m/>
    <m/>
    <m/>
    <m/>
    <m/>
    <m/>
    <m/>
    <m/>
    <m/>
    <m/>
  </r>
  <r>
    <n v="1777"/>
    <n v="48693"/>
    <d v="2004-06-26T00:00:00"/>
    <n v="21"/>
    <x v="1"/>
    <x v="0"/>
    <d v="2024-02-01T00:00:00"/>
    <n v="1.8657534246575342"/>
    <x v="11"/>
    <x v="0"/>
    <x v="8"/>
    <x v="1"/>
    <n v="8.4600000000000009"/>
    <m/>
    <m/>
    <m/>
    <m/>
    <m/>
    <m/>
    <x v="4"/>
    <n v="1"/>
    <n v="6"/>
    <m/>
    <m/>
    <m/>
    <m/>
    <m/>
    <m/>
    <m/>
    <m/>
    <m/>
    <m/>
    <m/>
    <m/>
    <m/>
    <m/>
  </r>
  <r>
    <n v="1778"/>
    <n v="48713"/>
    <d v="1999-05-08T00:00:00"/>
    <n v="26"/>
    <x v="1"/>
    <x v="1"/>
    <d v="2024-02-19T00:00:00"/>
    <n v="1.9506849315068493"/>
    <x v="116"/>
    <x v="1"/>
    <x v="8"/>
    <x v="1"/>
    <n v="8.44"/>
    <m/>
    <m/>
    <m/>
    <m/>
    <m/>
    <m/>
    <x v="2"/>
    <n v="4"/>
    <n v="6"/>
    <m/>
    <m/>
    <m/>
    <m/>
    <m/>
    <m/>
    <m/>
    <m/>
    <m/>
    <m/>
    <m/>
    <m/>
    <m/>
    <m/>
  </r>
  <r>
    <n v="1779"/>
    <n v="48736"/>
    <d v="1998-10-09T00:00:00"/>
    <n v="27"/>
    <x v="1"/>
    <x v="1"/>
    <d v="2024-01-19T00:00:00"/>
    <n v="2.6821917808219178"/>
    <x v="110"/>
    <x v="1"/>
    <x v="7"/>
    <x v="1"/>
    <n v="17.46"/>
    <m/>
    <m/>
    <m/>
    <m/>
    <m/>
    <m/>
    <x v="2"/>
    <n v="2"/>
    <n v="6"/>
    <m/>
    <m/>
    <m/>
    <m/>
    <m/>
    <m/>
    <m/>
    <m/>
    <m/>
    <m/>
    <m/>
    <m/>
    <m/>
    <m/>
  </r>
  <r>
    <n v="1780"/>
    <n v="48769"/>
    <d v="1997-04-08T00:00:00"/>
    <n v="28"/>
    <x v="0"/>
    <x v="1"/>
    <d v="2023-04-27T00:00:00"/>
    <n v="2.2602739726027399"/>
    <x v="10"/>
    <x v="0"/>
    <x v="1"/>
    <x v="1"/>
    <n v="16.350000000000001"/>
    <n v="15.97"/>
    <m/>
    <m/>
    <m/>
    <m/>
    <m/>
    <x v="1"/>
    <n v="1"/>
    <n v="5"/>
    <m/>
    <m/>
    <m/>
    <m/>
    <m/>
    <m/>
    <m/>
    <m/>
    <m/>
    <m/>
    <m/>
    <m/>
    <m/>
    <m/>
  </r>
  <r>
    <n v="1781"/>
    <n v="48775"/>
    <d v="2002-03-17T00:00:00"/>
    <n v="23"/>
    <x v="1"/>
    <x v="1"/>
    <d v="2023-09-28T00:00:00"/>
    <n v="2.5835616438356164"/>
    <x v="13"/>
    <x v="0"/>
    <x v="8"/>
    <x v="1"/>
    <n v="8.4600000000000009"/>
    <n v="8.26"/>
    <m/>
    <m/>
    <m/>
    <m/>
    <m/>
    <x v="2"/>
    <n v="4"/>
    <n v="5"/>
    <m/>
    <m/>
    <m/>
    <m/>
    <m/>
    <m/>
    <m/>
    <m/>
    <m/>
    <m/>
    <m/>
    <m/>
    <m/>
    <m/>
  </r>
  <r>
    <n v="1782"/>
    <n v="48798"/>
    <d v="2006-11-01T00:00:00"/>
    <n v="20"/>
    <x v="1"/>
    <x v="1"/>
    <d v="2023-06-02T00:00:00"/>
    <n v="1.9726027397260273"/>
    <x v="32"/>
    <x v="0"/>
    <x v="8"/>
    <x v="1"/>
    <n v="8.4700000000000006"/>
    <n v="8.26"/>
    <m/>
    <m/>
    <m/>
    <m/>
    <m/>
    <x v="2"/>
    <n v="1"/>
    <n v="6"/>
    <m/>
    <m/>
    <m/>
    <m/>
    <m/>
    <m/>
    <m/>
    <m/>
    <m/>
    <m/>
    <m/>
    <m/>
    <m/>
    <m/>
  </r>
  <r>
    <n v="1783"/>
    <n v="48801"/>
    <d v="1997-06-12T00:00:00"/>
    <n v="28"/>
    <x v="1"/>
    <x v="0"/>
    <d v="2024-01-11T00:00:00"/>
    <n v="2.0904109589041098"/>
    <x v="33"/>
    <x v="0"/>
    <x v="8"/>
    <x v="1"/>
    <n v="8.4600000000000009"/>
    <m/>
    <m/>
    <m/>
    <m/>
    <m/>
    <m/>
    <x v="1"/>
    <n v="2"/>
    <n v="5"/>
    <m/>
    <m/>
    <m/>
    <m/>
    <m/>
    <m/>
    <m/>
    <m/>
    <m/>
    <m/>
    <m/>
    <m/>
    <m/>
    <m/>
  </r>
  <r>
    <n v="1784"/>
    <n v="48811"/>
    <d v="2001-07-26T00:00:00"/>
    <n v="24"/>
    <x v="0"/>
    <x v="1"/>
    <d v="2023-11-29T00:00:00"/>
    <n v="2.4602739726027396"/>
    <x v="138"/>
    <x v="0"/>
    <x v="11"/>
    <x v="1"/>
    <n v="16.78"/>
    <n v="16.579999999999998"/>
    <m/>
    <m/>
    <m/>
    <m/>
    <m/>
    <x v="2"/>
    <n v="2"/>
    <n v="6"/>
    <m/>
    <m/>
    <m/>
    <m/>
    <m/>
    <m/>
    <m/>
    <m/>
    <m/>
    <m/>
    <m/>
    <m/>
    <m/>
    <m/>
  </r>
  <r>
    <n v="1785"/>
    <n v="48826"/>
    <d v="1993-05-11T00:00:00"/>
    <n v="32"/>
    <x v="1"/>
    <x v="1"/>
    <d v="2023-07-17T00:00:00"/>
    <n v="2.7178082191780821"/>
    <x v="73"/>
    <x v="0"/>
    <x v="1"/>
    <x v="1"/>
    <n v="16.27"/>
    <n v="15.97"/>
    <m/>
    <m/>
    <m/>
    <m/>
    <m/>
    <x v="4"/>
    <n v="1"/>
    <n v="4"/>
    <m/>
    <m/>
    <m/>
    <m/>
    <m/>
    <m/>
    <m/>
    <m/>
    <m/>
    <m/>
    <m/>
    <m/>
    <m/>
    <m/>
  </r>
  <r>
    <n v="1786"/>
    <n v="48846"/>
    <d v="1997-06-01T00:00:00"/>
    <n v="29"/>
    <x v="0"/>
    <x v="0"/>
    <d v="2023-04-14T00:00:00"/>
    <n v="1.9068493150684931"/>
    <x v="8"/>
    <x v="1"/>
    <x v="8"/>
    <x v="1"/>
    <n v="8.36"/>
    <n v="8.26"/>
    <m/>
    <m/>
    <m/>
    <m/>
    <m/>
    <x v="4"/>
    <n v="2"/>
    <n v="4"/>
    <m/>
    <m/>
    <m/>
    <m/>
    <m/>
    <m/>
    <m/>
    <m/>
    <m/>
    <m/>
    <m/>
    <m/>
    <m/>
    <m/>
  </r>
  <r>
    <n v="1787"/>
    <n v="48877"/>
    <d v="1997-08-06T00:00:00"/>
    <n v="28"/>
    <x v="0"/>
    <x v="1"/>
    <d v="2024-02-04T00:00:00"/>
    <n v="2.4328767123287673"/>
    <x v="99"/>
    <x v="1"/>
    <x v="6"/>
    <x v="1"/>
    <n v="23.35"/>
    <m/>
    <m/>
    <m/>
    <m/>
    <m/>
    <m/>
    <x v="4"/>
    <n v="4"/>
    <n v="4"/>
    <m/>
    <m/>
    <m/>
    <m/>
    <m/>
    <m/>
    <m/>
    <m/>
    <m/>
    <m/>
    <m/>
    <m/>
    <m/>
    <m/>
  </r>
  <r>
    <n v="1788"/>
    <n v="48879"/>
    <d v="2003-02-02T00:00:00"/>
    <n v="22"/>
    <x v="1"/>
    <x v="0"/>
    <d v="2023-07-27T00:00:00"/>
    <n v="2.1890410958904107"/>
    <x v="99"/>
    <x v="1"/>
    <x v="8"/>
    <x v="1"/>
    <n v="8.36"/>
    <n v="8.26"/>
    <m/>
    <m/>
    <m/>
    <m/>
    <m/>
    <x v="1"/>
    <n v="2"/>
    <n v="6"/>
    <m/>
    <m/>
    <m/>
    <m/>
    <m/>
    <m/>
    <m/>
    <m/>
    <m/>
    <m/>
    <m/>
    <m/>
    <m/>
    <m/>
  </r>
  <r>
    <n v="1789"/>
    <n v="48900"/>
    <d v="2005-09-02T00:00:00"/>
    <n v="20"/>
    <x v="1"/>
    <x v="1"/>
    <d v="2023-10-24T00:00:00"/>
    <n v="1.9150684931506849"/>
    <x v="50"/>
    <x v="0"/>
    <x v="2"/>
    <x v="1"/>
    <n v="13.88"/>
    <n v="13.88"/>
    <m/>
    <m/>
    <m/>
    <m/>
    <m/>
    <x v="2"/>
    <n v="0"/>
    <n v="6"/>
    <m/>
    <m/>
    <m/>
    <m/>
    <m/>
    <m/>
    <m/>
    <m/>
    <m/>
    <m/>
    <m/>
    <m/>
    <m/>
    <m/>
  </r>
  <r>
    <n v="1790"/>
    <n v="48903"/>
    <d v="2004-06-06T00:00:00"/>
    <n v="21"/>
    <x v="1"/>
    <x v="1"/>
    <d v="2024-02-01T00:00:00"/>
    <n v="2.495890410958904"/>
    <x v="142"/>
    <x v="0"/>
    <x v="10"/>
    <x v="1"/>
    <n v="10.48"/>
    <m/>
    <m/>
    <m/>
    <m/>
    <m/>
    <m/>
    <x v="2"/>
    <n v="1"/>
    <n v="5"/>
    <m/>
    <m/>
    <m/>
    <m/>
    <m/>
    <m/>
    <m/>
    <m/>
    <m/>
    <m/>
    <m/>
    <m/>
    <m/>
    <m/>
  </r>
  <r>
    <n v="1791"/>
    <n v="48910"/>
    <d v="1999-09-16T00:00:00"/>
    <n v="26"/>
    <x v="0"/>
    <x v="1"/>
    <d v="2023-07-04T00:00:00"/>
    <n v="1.9205479452054794"/>
    <x v="80"/>
    <x v="1"/>
    <x v="7"/>
    <x v="1"/>
    <n v="17.16"/>
    <n v="17.16"/>
    <m/>
    <m/>
    <m/>
    <m/>
    <m/>
    <x v="3"/>
    <n v="0"/>
    <n v="5"/>
    <m/>
    <m/>
    <m/>
    <m/>
    <m/>
    <m/>
    <m/>
    <m/>
    <m/>
    <m/>
    <m/>
    <m/>
    <m/>
    <m/>
  </r>
  <r>
    <n v="1792"/>
    <n v="48917"/>
    <d v="2004-09-22T00:00:00"/>
    <n v="21"/>
    <x v="0"/>
    <x v="0"/>
    <d v="2024-01-30T00:00:00"/>
    <n v="2.0575342465753423"/>
    <x v="61"/>
    <x v="0"/>
    <x v="10"/>
    <x v="1"/>
    <n v="10.56"/>
    <m/>
    <m/>
    <m/>
    <m/>
    <m/>
    <m/>
    <x v="4"/>
    <n v="0"/>
    <n v="2"/>
    <m/>
    <m/>
    <m/>
    <m/>
    <m/>
    <m/>
    <m/>
    <m/>
    <m/>
    <m/>
    <m/>
    <m/>
    <m/>
    <m/>
  </r>
  <r>
    <n v="1793"/>
    <n v="48934"/>
    <d v="2003-07-03T00:00:00"/>
    <n v="22"/>
    <x v="0"/>
    <x v="1"/>
    <d v="2023-12-11T00:00:00"/>
    <n v="2.463013698630137"/>
    <x v="103"/>
    <x v="1"/>
    <x v="2"/>
    <x v="1"/>
    <n v="14.18"/>
    <n v="13.88"/>
    <m/>
    <m/>
    <m/>
    <m/>
    <m/>
    <x v="2"/>
    <n v="0"/>
    <n v="4"/>
    <m/>
    <m/>
    <m/>
    <m/>
    <m/>
    <m/>
    <m/>
    <m/>
    <m/>
    <m/>
    <m/>
    <m/>
    <m/>
    <m/>
  </r>
  <r>
    <n v="1794"/>
    <n v="48935"/>
    <d v="2002-02-18T00:00:00"/>
    <n v="23"/>
    <x v="1"/>
    <x v="1"/>
    <d v="2023-07-16T00:00:00"/>
    <n v="2.3315068493150686"/>
    <x v="49"/>
    <x v="0"/>
    <x v="7"/>
    <x v="1"/>
    <n v="17.46"/>
    <n v="17.16"/>
    <m/>
    <m/>
    <m/>
    <m/>
    <m/>
    <x v="4"/>
    <n v="1"/>
    <n v="5"/>
    <m/>
    <m/>
    <m/>
    <m/>
    <m/>
    <m/>
    <m/>
    <m/>
    <m/>
    <m/>
    <m/>
    <m/>
    <m/>
    <m/>
  </r>
  <r>
    <n v="1795"/>
    <n v="48937"/>
    <d v="2003-02-19T00:00:00"/>
    <n v="22"/>
    <x v="1"/>
    <x v="0"/>
    <d v="2023-09-02T00:00:00"/>
    <n v="2.2356164383561645"/>
    <x v="59"/>
    <x v="0"/>
    <x v="9"/>
    <x v="1"/>
    <n v="14.16"/>
    <n v="13.73"/>
    <m/>
    <m/>
    <m/>
    <m/>
    <m/>
    <x v="3"/>
    <n v="0"/>
    <n v="6"/>
    <m/>
    <m/>
    <m/>
    <m/>
    <m/>
    <m/>
    <m/>
    <m/>
    <m/>
    <m/>
    <m/>
    <m/>
    <m/>
    <m/>
  </r>
  <r>
    <n v="1796"/>
    <n v="48939"/>
    <d v="2000-07-28T00:00:00"/>
    <n v="25"/>
    <x v="0"/>
    <x v="1"/>
    <d v="2023-10-07T00:00:00"/>
    <n v="2.441095890410959"/>
    <x v="37"/>
    <x v="0"/>
    <x v="2"/>
    <x v="1"/>
    <n v="14.18"/>
    <n v="13.88"/>
    <m/>
    <m/>
    <m/>
    <m/>
    <m/>
    <x v="1"/>
    <n v="1"/>
    <n v="2"/>
    <m/>
    <m/>
    <m/>
    <m/>
    <m/>
    <m/>
    <m/>
    <m/>
    <m/>
    <m/>
    <m/>
    <m/>
    <m/>
    <m/>
  </r>
  <r>
    <n v="1797"/>
    <n v="48952"/>
    <d v="2001-07-04T00:00:00"/>
    <n v="24"/>
    <x v="1"/>
    <x v="0"/>
    <d v="2023-07-24T00:00:00"/>
    <n v="2.6739726027397261"/>
    <x v="18"/>
    <x v="0"/>
    <x v="10"/>
    <x v="1"/>
    <n v="10.62"/>
    <n v="10.38"/>
    <m/>
    <m/>
    <m/>
    <m/>
    <m/>
    <x v="3"/>
    <n v="1"/>
    <n v="5"/>
    <m/>
    <m/>
    <m/>
    <m/>
    <m/>
    <m/>
    <m/>
    <m/>
    <m/>
    <m/>
    <m/>
    <m/>
    <m/>
    <m/>
  </r>
  <r>
    <n v="1798"/>
    <n v="48960"/>
    <d v="2001-02-04T00:00:00"/>
    <n v="24"/>
    <x v="1"/>
    <x v="1"/>
    <d v="2023-04-30T00:00:00"/>
    <n v="1.904109589041096"/>
    <x v="26"/>
    <x v="0"/>
    <x v="8"/>
    <x v="1"/>
    <n v="8.56"/>
    <n v="8.26"/>
    <m/>
    <m/>
    <m/>
    <m/>
    <m/>
    <x v="4"/>
    <n v="4"/>
    <n v="6"/>
    <m/>
    <m/>
    <m/>
    <m/>
    <m/>
    <m/>
    <m/>
    <m/>
    <m/>
    <m/>
    <m/>
    <m/>
    <m/>
    <m/>
  </r>
  <r>
    <n v="1799"/>
    <n v="48964"/>
    <d v="2002-08-18T00:00:00"/>
    <n v="23"/>
    <x v="0"/>
    <x v="1"/>
    <d v="2024-02-05T00:00:00"/>
    <n v="2.1945205479452055"/>
    <x v="63"/>
    <x v="0"/>
    <x v="8"/>
    <x v="1"/>
    <n v="8.5"/>
    <m/>
    <m/>
    <m/>
    <m/>
    <m/>
    <m/>
    <x v="2"/>
    <n v="2"/>
    <n v="5"/>
    <m/>
    <m/>
    <m/>
    <m/>
    <m/>
    <m/>
    <m/>
    <m/>
    <m/>
    <m/>
    <m/>
    <m/>
    <m/>
    <m/>
  </r>
  <r>
    <n v="1800"/>
    <n v="48967"/>
    <d v="1998-12-16T00:00:00"/>
    <n v="27"/>
    <x v="1"/>
    <x v="1"/>
    <d v="2023-10-22T00:00:00"/>
    <n v="1.8958904109589041"/>
    <x v="34"/>
    <x v="0"/>
    <x v="11"/>
    <x v="1"/>
    <n v="16.78"/>
    <n v="16.579999999999998"/>
    <m/>
    <m/>
    <m/>
    <m/>
    <m/>
    <x v="2"/>
    <n v="2"/>
    <n v="6"/>
    <m/>
    <m/>
    <m/>
    <m/>
    <m/>
    <m/>
    <m/>
    <m/>
    <m/>
    <m/>
    <m/>
    <m/>
    <m/>
    <m/>
  </r>
  <r>
    <n v="1801"/>
    <n v="48976"/>
    <d v="2004-05-06T00:00:00"/>
    <n v="21"/>
    <x v="1"/>
    <x v="1"/>
    <d v="2024-02-08T00:00:00"/>
    <n v="2.4328767123287673"/>
    <x v="54"/>
    <x v="1"/>
    <x v="10"/>
    <x v="1"/>
    <n v="10.58"/>
    <m/>
    <m/>
    <m/>
    <m/>
    <m/>
    <m/>
    <x v="3"/>
    <n v="0"/>
    <n v="6"/>
    <m/>
    <m/>
    <m/>
    <m/>
    <m/>
    <m/>
    <m/>
    <m/>
    <m/>
    <m/>
    <m/>
    <m/>
    <m/>
    <m/>
  </r>
  <r>
    <n v="1802"/>
    <n v="48978"/>
    <d v="1993-02-15T00:00:00"/>
    <n v="32"/>
    <x v="0"/>
    <x v="1"/>
    <d v="2023-07-27T00:00:00"/>
    <n v="2.0246575342465754"/>
    <x v="58"/>
    <x v="1"/>
    <x v="7"/>
    <x v="1"/>
    <n v="17.32"/>
    <n v="17.16"/>
    <m/>
    <m/>
    <m/>
    <m/>
    <m/>
    <x v="3"/>
    <n v="3"/>
    <n v="4"/>
    <m/>
    <m/>
    <m/>
    <m/>
    <m/>
    <m/>
    <m/>
    <m/>
    <m/>
    <m/>
    <m/>
    <m/>
    <m/>
    <m/>
  </r>
  <r>
    <n v="1803"/>
    <n v="48982"/>
    <d v="1984-08-07T00:00:00"/>
    <n v="41"/>
    <x v="1"/>
    <x v="0"/>
    <d v="2023-12-23T00:00:00"/>
    <n v="2.2383561643835614"/>
    <x v="75"/>
    <x v="1"/>
    <x v="2"/>
    <x v="1"/>
    <n v="14.18"/>
    <n v="13.88"/>
    <m/>
    <m/>
    <m/>
    <m/>
    <m/>
    <x v="1"/>
    <n v="1"/>
    <n v="6"/>
    <m/>
    <m/>
    <m/>
    <m/>
    <m/>
    <m/>
    <m/>
    <m/>
    <m/>
    <m/>
    <m/>
    <m/>
    <m/>
    <m/>
  </r>
  <r>
    <n v="1804"/>
    <n v="48983"/>
    <d v="2001-04-26T00:00:00"/>
    <n v="24"/>
    <x v="1"/>
    <x v="1"/>
    <d v="2023-10-06T00:00:00"/>
    <n v="1.9342465753424658"/>
    <x v="75"/>
    <x v="1"/>
    <x v="9"/>
    <x v="1"/>
    <n v="14.03"/>
    <n v="13.73"/>
    <m/>
    <m/>
    <m/>
    <m/>
    <m/>
    <x v="3"/>
    <n v="1"/>
    <n v="6"/>
    <m/>
    <m/>
    <m/>
    <m/>
    <m/>
    <m/>
    <m/>
    <m/>
    <m/>
    <m/>
    <m/>
    <m/>
    <m/>
    <m/>
  </r>
  <r>
    <n v="1805"/>
    <n v="48984"/>
    <d v="2003-04-02T00:00:00"/>
    <n v="22"/>
    <x v="1"/>
    <x v="1"/>
    <d v="2024-01-25T00:00:00"/>
    <n v="2.7205479452054795"/>
    <x v="122"/>
    <x v="1"/>
    <x v="9"/>
    <x v="1"/>
    <n v="14.06"/>
    <m/>
    <m/>
    <m/>
    <m/>
    <m/>
    <m/>
    <x v="1"/>
    <n v="0"/>
    <n v="5"/>
    <m/>
    <m/>
    <m/>
    <m/>
    <m/>
    <m/>
    <m/>
    <m/>
    <m/>
    <m/>
    <m/>
    <m/>
    <m/>
    <m/>
  </r>
  <r>
    <n v="1806"/>
    <n v="48996"/>
    <d v="2004-10-10T00:00:00"/>
    <n v="21"/>
    <x v="1"/>
    <x v="0"/>
    <d v="2023-04-13T00:00:00"/>
    <n v="2.4246575342465753"/>
    <x v="124"/>
    <x v="0"/>
    <x v="3"/>
    <x v="1"/>
    <n v="17.760000000000002"/>
    <n v="17.46"/>
    <m/>
    <m/>
    <m/>
    <m/>
    <m/>
    <x v="4"/>
    <n v="4"/>
    <n v="5"/>
    <m/>
    <m/>
    <m/>
    <m/>
    <m/>
    <m/>
    <m/>
    <m/>
    <m/>
    <m/>
    <m/>
    <m/>
    <m/>
    <m/>
  </r>
  <r>
    <n v="1807"/>
    <n v="48999"/>
    <d v="2002-09-09T00:00:00"/>
    <n v="23"/>
    <x v="1"/>
    <x v="1"/>
    <d v="2023-07-30T00:00:00"/>
    <n v="2.0246575342465754"/>
    <x v="18"/>
    <x v="0"/>
    <x v="8"/>
    <x v="1"/>
    <n v="8.49"/>
    <n v="8.26"/>
    <m/>
    <m/>
    <m/>
    <m/>
    <m/>
    <x v="1"/>
    <n v="1"/>
    <n v="6"/>
    <m/>
    <m/>
    <m/>
    <m/>
    <m/>
    <m/>
    <m/>
    <m/>
    <m/>
    <m/>
    <m/>
    <m/>
    <m/>
    <m/>
  </r>
  <r>
    <n v="1808"/>
    <n v="49002"/>
    <d v="2001-12-08T00:00:00"/>
    <n v="24"/>
    <x v="1"/>
    <x v="0"/>
    <d v="2023-12-23T00:00:00"/>
    <n v="2.8"/>
    <x v="32"/>
    <x v="0"/>
    <x v="8"/>
    <x v="1"/>
    <n v="8.51"/>
    <n v="8.26"/>
    <m/>
    <m/>
    <m/>
    <m/>
    <m/>
    <x v="4"/>
    <n v="2"/>
    <n v="5"/>
    <m/>
    <m/>
    <m/>
    <m/>
    <m/>
    <m/>
    <m/>
    <m/>
    <m/>
    <m/>
    <m/>
    <m/>
    <m/>
    <m/>
  </r>
  <r>
    <n v="1809"/>
    <n v="49013"/>
    <d v="2003-12-10T00:00:00"/>
    <n v="22"/>
    <x v="0"/>
    <x v="1"/>
    <d v="2023-03-15T00:00:00"/>
    <n v="2.7863013698630139"/>
    <x v="96"/>
    <x v="1"/>
    <x v="8"/>
    <x v="1"/>
    <n v="8.5399999999999991"/>
    <n v="8.26"/>
    <m/>
    <m/>
    <m/>
    <m/>
    <m/>
    <x v="1"/>
    <n v="1"/>
    <n v="5"/>
    <m/>
    <m/>
    <m/>
    <m/>
    <m/>
    <m/>
    <m/>
    <m/>
    <m/>
    <m/>
    <m/>
    <m/>
    <m/>
    <m/>
  </r>
  <r>
    <n v="1810"/>
    <n v="49021"/>
    <d v="2004-07-09T00:00:00"/>
    <n v="21"/>
    <x v="0"/>
    <x v="1"/>
    <d v="2023-03-20T00:00:00"/>
    <n v="2.1945205479452055"/>
    <x v="27"/>
    <x v="0"/>
    <x v="2"/>
    <x v="1"/>
    <n v="14.18"/>
    <n v="13.88"/>
    <m/>
    <m/>
    <m/>
    <m/>
    <m/>
    <x v="1"/>
    <n v="1"/>
    <n v="4"/>
    <m/>
    <m/>
    <m/>
    <m/>
    <m/>
    <m/>
    <m/>
    <m/>
    <m/>
    <m/>
    <m/>
    <m/>
    <m/>
    <m/>
  </r>
  <r>
    <n v="1811"/>
    <n v="49028"/>
    <d v="2001-09-02T00:00:00"/>
    <n v="24"/>
    <x v="0"/>
    <x v="0"/>
    <d v="2023-10-22T00:00:00"/>
    <n v="2.0520547945205481"/>
    <x v="138"/>
    <x v="0"/>
    <x v="7"/>
    <x v="1"/>
    <n v="17.46"/>
    <n v="17.16"/>
    <m/>
    <m/>
    <m/>
    <m/>
    <m/>
    <x v="2"/>
    <n v="4"/>
    <n v="3"/>
    <m/>
    <m/>
    <m/>
    <m/>
    <m/>
    <m/>
    <m/>
    <m/>
    <m/>
    <m/>
    <m/>
    <m/>
    <m/>
    <m/>
  </r>
  <r>
    <n v="1812"/>
    <n v="49030"/>
    <d v="2002-03-22T00:00:00"/>
    <n v="23"/>
    <x v="1"/>
    <x v="1"/>
    <d v="2023-12-13T00:00:00"/>
    <n v="2.4054794520547946"/>
    <x v="140"/>
    <x v="0"/>
    <x v="1"/>
    <x v="1"/>
    <n v="16.27"/>
    <n v="15.97"/>
    <m/>
    <m/>
    <m/>
    <m/>
    <m/>
    <x v="4"/>
    <n v="1"/>
    <n v="5"/>
    <m/>
    <m/>
    <m/>
    <m/>
    <m/>
    <m/>
    <m/>
    <m/>
    <m/>
    <m/>
    <m/>
    <m/>
    <m/>
    <m/>
  </r>
  <r>
    <n v="1813"/>
    <n v="49049"/>
    <d v="2000-08-07T00:00:00"/>
    <n v="25"/>
    <x v="0"/>
    <x v="1"/>
    <d v="2023-08-06T00:00:00"/>
    <n v="2.2931506849315069"/>
    <x v="11"/>
    <x v="0"/>
    <x v="11"/>
    <x v="1"/>
    <n v="16.78"/>
    <n v="16.579999999999998"/>
    <m/>
    <m/>
    <m/>
    <m/>
    <m/>
    <x v="2"/>
    <n v="2"/>
    <n v="6"/>
    <m/>
    <m/>
    <m/>
    <m/>
    <m/>
    <m/>
    <m/>
    <m/>
    <m/>
    <m/>
    <m/>
    <m/>
    <m/>
    <m/>
  </r>
  <r>
    <n v="1814"/>
    <n v="49057"/>
    <d v="2002-08-08T00:00:00"/>
    <n v="23"/>
    <x v="1"/>
    <x v="1"/>
    <d v="2023-09-16T00:00:00"/>
    <n v="1.9260273972602739"/>
    <x v="16"/>
    <x v="0"/>
    <x v="8"/>
    <x v="1"/>
    <n v="8.4600000000000009"/>
    <n v="8.26"/>
    <m/>
    <m/>
    <m/>
    <m/>
    <m/>
    <x v="3"/>
    <n v="4"/>
    <n v="6"/>
    <m/>
    <m/>
    <m/>
    <m/>
    <m/>
    <m/>
    <m/>
    <m/>
    <m/>
    <m/>
    <m/>
    <m/>
    <m/>
    <m/>
  </r>
  <r>
    <n v="1815"/>
    <n v="49067"/>
    <d v="2002-01-06T00:00:00"/>
    <n v="23"/>
    <x v="0"/>
    <x v="0"/>
    <d v="2024-01-28T00:00:00"/>
    <n v="2.2219178082191782"/>
    <x v="28"/>
    <x v="0"/>
    <x v="7"/>
    <x v="1"/>
    <n v="17.309999999999999"/>
    <m/>
    <m/>
    <m/>
    <m/>
    <m/>
    <m/>
    <x v="2"/>
    <n v="4"/>
    <n v="5"/>
    <m/>
    <m/>
    <m/>
    <m/>
    <m/>
    <m/>
    <m/>
    <m/>
    <m/>
    <m/>
    <m/>
    <m/>
    <m/>
    <m/>
  </r>
  <r>
    <n v="1816"/>
    <n v="49074"/>
    <d v="1998-03-14T00:00:00"/>
    <n v="27"/>
    <x v="0"/>
    <x v="0"/>
    <d v="2023-10-12T00:00:00"/>
    <n v="2.506849315068493"/>
    <x v="26"/>
    <x v="0"/>
    <x v="7"/>
    <x v="1"/>
    <n v="17.48"/>
    <n v="17.16"/>
    <m/>
    <m/>
    <m/>
    <m/>
    <m/>
    <x v="3"/>
    <n v="1"/>
    <n v="4"/>
    <m/>
    <m/>
    <m/>
    <m/>
    <m/>
    <m/>
    <m/>
    <m/>
    <m/>
    <m/>
    <m/>
    <m/>
    <m/>
    <m/>
  </r>
  <r>
    <n v="1817"/>
    <n v="49076"/>
    <d v="2000-12-24T00:00:00"/>
    <n v="25"/>
    <x v="1"/>
    <x v="0"/>
    <d v="2023-06-30T00:00:00"/>
    <n v="2.6684931506849314"/>
    <x v="49"/>
    <x v="0"/>
    <x v="8"/>
    <x v="1"/>
    <n v="8.4600000000000009"/>
    <n v="8.26"/>
    <m/>
    <m/>
    <m/>
    <m/>
    <m/>
    <x v="4"/>
    <n v="3"/>
    <n v="7"/>
    <m/>
    <m/>
    <m/>
    <m/>
    <m/>
    <m/>
    <m/>
    <m/>
    <m/>
    <m/>
    <m/>
    <m/>
    <m/>
    <m/>
  </r>
  <r>
    <n v="1818"/>
    <n v="49082"/>
    <d v="2002-11-07T00:00:00"/>
    <n v="23"/>
    <x v="0"/>
    <x v="1"/>
    <d v="2023-05-02T00:00:00"/>
    <n v="2.0356164383561643"/>
    <x v="63"/>
    <x v="0"/>
    <x v="7"/>
    <x v="1"/>
    <n v="17.59"/>
    <n v="17.16"/>
    <m/>
    <m/>
    <m/>
    <m/>
    <m/>
    <x v="1"/>
    <n v="2"/>
    <n v="3"/>
    <m/>
    <m/>
    <m/>
    <m/>
    <m/>
    <m/>
    <m/>
    <m/>
    <m/>
    <m/>
    <m/>
    <m/>
    <m/>
    <m/>
  </r>
  <r>
    <n v="1819"/>
    <n v="49097"/>
    <d v="1997-11-17T00:00:00"/>
    <n v="28"/>
    <x v="0"/>
    <x v="0"/>
    <d v="2023-12-19T00:00:00"/>
    <n v="2.1397260273972605"/>
    <x v="59"/>
    <x v="0"/>
    <x v="6"/>
    <x v="1"/>
    <n v="23.59"/>
    <n v="23.2"/>
    <m/>
    <m/>
    <m/>
    <m/>
    <m/>
    <x v="3"/>
    <n v="7"/>
    <n v="4"/>
    <m/>
    <m/>
    <m/>
    <m/>
    <m/>
    <m/>
    <m/>
    <m/>
    <m/>
    <m/>
    <m/>
    <m/>
    <m/>
    <m/>
  </r>
  <r>
    <n v="1820"/>
    <n v="49100"/>
    <d v="1999-09-08T00:00:00"/>
    <n v="26"/>
    <x v="0"/>
    <x v="1"/>
    <d v="2023-11-11T00:00:00"/>
    <n v="1.9232876712328768"/>
    <x v="42"/>
    <x v="0"/>
    <x v="7"/>
    <x v="1"/>
    <n v="17.309999999999999"/>
    <n v="17.16"/>
    <m/>
    <m/>
    <m/>
    <m/>
    <m/>
    <x v="2"/>
    <n v="0"/>
    <n v="2"/>
    <m/>
    <m/>
    <m/>
    <m/>
    <m/>
    <m/>
    <m/>
    <m/>
    <m/>
    <m/>
    <m/>
    <m/>
    <m/>
    <m/>
  </r>
  <r>
    <n v="1821"/>
    <n v="49113"/>
    <d v="2002-11-01T00:00:00"/>
    <n v="24"/>
    <x v="0"/>
    <x v="0"/>
    <d v="2024-01-29T00:00:00"/>
    <n v="1.9452054794520548"/>
    <x v="8"/>
    <x v="1"/>
    <x v="10"/>
    <x v="1"/>
    <n v="10.38"/>
    <m/>
    <m/>
    <m/>
    <m/>
    <m/>
    <m/>
    <x v="2"/>
    <n v="1"/>
    <n v="4"/>
    <m/>
    <m/>
    <m/>
    <m/>
    <m/>
    <m/>
    <m/>
    <m/>
    <m/>
    <m/>
    <m/>
    <m/>
    <m/>
    <m/>
  </r>
  <r>
    <n v="1822"/>
    <n v="49118"/>
    <d v="2005-11-25T00:00:00"/>
    <n v="20"/>
    <x v="0"/>
    <x v="1"/>
    <d v="2024-01-21T00:00:00"/>
    <n v="2.0054794520547947"/>
    <x v="108"/>
    <x v="1"/>
    <x v="10"/>
    <x v="1"/>
    <n v="10.38"/>
    <m/>
    <m/>
    <m/>
    <m/>
    <m/>
    <m/>
    <x v="3"/>
    <n v="1"/>
    <n v="5"/>
    <m/>
    <m/>
    <m/>
    <m/>
    <m/>
    <m/>
    <m/>
    <m/>
    <m/>
    <m/>
    <m/>
    <m/>
    <m/>
    <m/>
  </r>
  <r>
    <n v="1823"/>
    <n v="49120"/>
    <d v="2005-12-17T00:00:00"/>
    <n v="20"/>
    <x v="1"/>
    <x v="1"/>
    <d v="2023-12-30T00:00:00"/>
    <n v="2.2438356164383562"/>
    <x v="123"/>
    <x v="1"/>
    <x v="8"/>
    <x v="1"/>
    <n v="8.36"/>
    <n v="8.26"/>
    <m/>
    <m/>
    <m/>
    <m/>
    <m/>
    <x v="2"/>
    <n v="2"/>
    <n v="6"/>
    <m/>
    <m/>
    <m/>
    <m/>
    <m/>
    <m/>
    <m/>
    <m/>
    <m/>
    <m/>
    <m/>
    <m/>
    <m/>
    <m/>
  </r>
  <r>
    <n v="1824"/>
    <n v="49125"/>
    <d v="1999-02-08T00:00:00"/>
    <n v="26"/>
    <x v="0"/>
    <x v="1"/>
    <d v="2023-10-04T00:00:00"/>
    <n v="2.4328767123287673"/>
    <x v="130"/>
    <x v="1"/>
    <x v="7"/>
    <x v="1"/>
    <n v="17.309999999999999"/>
    <n v="17.16"/>
    <m/>
    <m/>
    <m/>
    <m/>
    <m/>
    <x v="1"/>
    <n v="0"/>
    <n v="4"/>
    <m/>
    <m/>
    <m/>
    <m/>
    <m/>
    <m/>
    <m/>
    <m/>
    <m/>
    <m/>
    <m/>
    <m/>
    <m/>
    <m/>
  </r>
  <r>
    <n v="1825"/>
    <n v="49130"/>
    <d v="2001-10-19T00:00:00"/>
    <n v="24"/>
    <x v="0"/>
    <x v="1"/>
    <d v="2023-07-27T00:00:00"/>
    <n v="2.6630136986301371"/>
    <x v="54"/>
    <x v="1"/>
    <x v="9"/>
    <x v="1"/>
    <n v="14.03"/>
    <n v="13.73"/>
    <m/>
    <m/>
    <m/>
    <m/>
    <m/>
    <x v="1"/>
    <n v="1"/>
    <n v="4"/>
    <m/>
    <m/>
    <m/>
    <m/>
    <m/>
    <m/>
    <m/>
    <m/>
    <m/>
    <m/>
    <m/>
    <m/>
    <m/>
    <m/>
  </r>
  <r>
    <n v="1826"/>
    <n v="49137"/>
    <d v="2004-07-20T00:00:00"/>
    <n v="21"/>
    <x v="1"/>
    <x v="1"/>
    <d v="2023-05-04T00:00:00"/>
    <n v="2.0301369863013701"/>
    <x v="111"/>
    <x v="1"/>
    <x v="10"/>
    <x v="1"/>
    <n v="10.58"/>
    <n v="10.38"/>
    <m/>
    <m/>
    <m/>
    <m/>
    <m/>
    <x v="1"/>
    <n v="0"/>
    <n v="7"/>
    <m/>
    <m/>
    <m/>
    <m/>
    <m/>
    <m/>
    <m/>
    <m/>
    <m/>
    <m/>
    <m/>
    <m/>
    <m/>
    <m/>
  </r>
  <r>
    <n v="1827"/>
    <n v="49138"/>
    <d v="2004-12-02T00:00:00"/>
    <n v="21"/>
    <x v="1"/>
    <x v="0"/>
    <d v="2023-12-21T00:00:00"/>
    <n v="2.6876712328767125"/>
    <x v="64"/>
    <x v="1"/>
    <x v="8"/>
    <x v="1"/>
    <n v="8.4600000000000009"/>
    <n v="8.26"/>
    <m/>
    <m/>
    <m/>
    <m/>
    <m/>
    <x v="4"/>
    <n v="1"/>
    <n v="4"/>
    <m/>
    <m/>
    <m/>
    <m/>
    <m/>
    <m/>
    <m/>
    <m/>
    <m/>
    <m/>
    <m/>
    <m/>
    <m/>
    <m/>
  </r>
  <r>
    <n v="1828"/>
    <n v="49139"/>
    <d v="2005-06-13T00:00:00"/>
    <n v="20"/>
    <x v="1"/>
    <x v="1"/>
    <d v="2023-04-25T00:00:00"/>
    <n v="1.9095890410958904"/>
    <x v="65"/>
    <x v="1"/>
    <x v="8"/>
    <x v="1"/>
    <n v="8.4600000000000009"/>
    <n v="8.26"/>
    <m/>
    <m/>
    <m/>
    <m/>
    <m/>
    <x v="2"/>
    <n v="2"/>
    <n v="7"/>
    <m/>
    <m/>
    <m/>
    <m/>
    <m/>
    <m/>
    <m/>
    <m/>
    <m/>
    <m/>
    <m/>
    <m/>
    <m/>
    <m/>
  </r>
  <r>
    <n v="1829"/>
    <n v="49145"/>
    <d v="1999-03-01T00:00:00"/>
    <n v="27"/>
    <x v="1"/>
    <x v="1"/>
    <d v="2024-02-03T00:00:00"/>
    <n v="2.7041095890410958"/>
    <x v="74"/>
    <x v="1"/>
    <x v="11"/>
    <x v="1"/>
    <n v="16.78"/>
    <m/>
    <m/>
    <m/>
    <m/>
    <m/>
    <m/>
    <x v="2"/>
    <n v="1"/>
    <n v="6"/>
    <m/>
    <m/>
    <m/>
    <m/>
    <m/>
    <m/>
    <m/>
    <m/>
    <m/>
    <m/>
    <m/>
    <m/>
    <m/>
    <m/>
  </r>
  <r>
    <n v="1830"/>
    <n v="49148"/>
    <d v="1998-06-15T00:00:00"/>
    <n v="27"/>
    <x v="1"/>
    <x v="1"/>
    <d v="2023-04-19T00:00:00"/>
    <n v="1.9808219178082191"/>
    <x v="122"/>
    <x v="1"/>
    <x v="3"/>
    <x v="1"/>
    <n v="8.51"/>
    <n v="8.26"/>
    <m/>
    <m/>
    <m/>
    <m/>
    <m/>
    <x v="2"/>
    <n v="1"/>
    <n v="6"/>
    <m/>
    <m/>
    <m/>
    <m/>
    <m/>
    <m/>
    <m/>
    <m/>
    <m/>
    <m/>
    <m/>
    <m/>
    <m/>
    <m/>
  </r>
  <r>
    <n v="1831"/>
    <n v="49149"/>
    <d v="2005-10-21T00:00:00"/>
    <n v="20"/>
    <x v="0"/>
    <x v="1"/>
    <d v="2024-01-08T00:00:00"/>
    <n v="2.7890410958904108"/>
    <x v="122"/>
    <x v="1"/>
    <x v="8"/>
    <x v="1"/>
    <n v="8.39"/>
    <m/>
    <m/>
    <m/>
    <m/>
    <m/>
    <m/>
    <x v="3"/>
    <n v="2"/>
    <n v="5"/>
    <m/>
    <m/>
    <m/>
    <m/>
    <m/>
    <m/>
    <m/>
    <m/>
    <m/>
    <m/>
    <m/>
    <m/>
    <m/>
    <m/>
  </r>
  <r>
    <n v="1832"/>
    <n v="49175"/>
    <d v="1988-09-22T00:00:00"/>
    <n v="37"/>
    <x v="0"/>
    <x v="1"/>
    <d v="2023-03-19T00:00:00"/>
    <n v="2.3726027397260272"/>
    <x v="92"/>
    <x v="1"/>
    <x v="1"/>
    <x v="1"/>
    <n v="16.41"/>
    <n v="15.97"/>
    <m/>
    <m/>
    <m/>
    <m/>
    <m/>
    <x v="4"/>
    <n v="1"/>
    <n v="3"/>
    <m/>
    <m/>
    <m/>
    <m/>
    <m/>
    <m/>
    <m/>
    <m/>
    <m/>
    <m/>
    <m/>
    <m/>
    <m/>
    <m/>
  </r>
  <r>
    <n v="1833"/>
    <n v="49176"/>
    <d v="1999-07-17T00:00:00"/>
    <n v="26"/>
    <x v="0"/>
    <x v="0"/>
    <d v="2023-08-18T00:00:00"/>
    <n v="1.9452054794520548"/>
    <x v="128"/>
    <x v="1"/>
    <x v="7"/>
    <x v="1"/>
    <n v="17.52"/>
    <n v="17.16"/>
    <m/>
    <m/>
    <m/>
    <m/>
    <m/>
    <x v="3"/>
    <n v="2"/>
    <n v="4"/>
    <m/>
    <m/>
    <m/>
    <m/>
    <m/>
    <m/>
    <m/>
    <m/>
    <m/>
    <m/>
    <m/>
    <m/>
    <m/>
    <m/>
  </r>
  <r>
    <n v="1834"/>
    <n v="49183"/>
    <d v="2002-09-11T00:00:00"/>
    <n v="23"/>
    <x v="0"/>
    <x v="1"/>
    <d v="2024-01-21T00:00:00"/>
    <n v="2.2821917808219179"/>
    <x v="52"/>
    <x v="0"/>
    <x v="10"/>
    <x v="1"/>
    <n v="10.48"/>
    <m/>
    <m/>
    <m/>
    <m/>
    <m/>
    <m/>
    <x v="3"/>
    <n v="0"/>
    <n v="3"/>
    <m/>
    <m/>
    <m/>
    <m/>
    <m/>
    <m/>
    <m/>
    <m/>
    <m/>
    <m/>
    <m/>
    <m/>
    <m/>
    <m/>
  </r>
  <r>
    <n v="1835"/>
    <n v="49190"/>
    <d v="1997-12-29T00:00:00"/>
    <n v="28"/>
    <x v="0"/>
    <x v="1"/>
    <d v="2023-09-20T00:00:00"/>
    <n v="2.0027397260273974"/>
    <x v="73"/>
    <x v="0"/>
    <x v="2"/>
    <x v="1"/>
    <n v="14.18"/>
    <n v="13.88"/>
    <m/>
    <m/>
    <m/>
    <m/>
    <m/>
    <x v="4"/>
    <n v="1"/>
    <n v="2"/>
    <m/>
    <m/>
    <m/>
    <m/>
    <m/>
    <m/>
    <m/>
    <m/>
    <m/>
    <m/>
    <m/>
    <m/>
    <m/>
    <m/>
  </r>
  <r>
    <n v="1836"/>
    <n v="49192"/>
    <d v="2001-09-24T00:00:00"/>
    <n v="24"/>
    <x v="0"/>
    <x v="1"/>
    <d v="2023-12-31T00:00:00"/>
    <n v="2.8"/>
    <x v="9"/>
    <x v="1"/>
    <x v="10"/>
    <x v="1"/>
    <n v="10.58"/>
    <n v="10.38"/>
    <m/>
    <m/>
    <m/>
    <m/>
    <m/>
    <x v="4"/>
    <n v="1"/>
    <n v="3"/>
    <m/>
    <m/>
    <m/>
    <m/>
    <m/>
    <m/>
    <m/>
    <m/>
    <m/>
    <m/>
    <m/>
    <m/>
    <m/>
    <m/>
  </r>
  <r>
    <n v="1837"/>
    <n v="49195"/>
    <d v="1999-02-14T00:00:00"/>
    <n v="26"/>
    <x v="1"/>
    <x v="1"/>
    <d v="2023-03-15T00:00:00"/>
    <n v="2.536986301369863"/>
    <x v="54"/>
    <x v="1"/>
    <x v="7"/>
    <x v="1"/>
    <n v="17.46"/>
    <n v="17.16"/>
    <m/>
    <m/>
    <m/>
    <m/>
    <m/>
    <x v="4"/>
    <n v="2"/>
    <n v="6"/>
    <m/>
    <m/>
    <m/>
    <m/>
    <m/>
    <m/>
    <m/>
    <m/>
    <m/>
    <m/>
    <m/>
    <m/>
    <m/>
    <m/>
  </r>
  <r>
    <n v="1838"/>
    <n v="49207"/>
    <d v="1987-07-12T00:00:00"/>
    <n v="38"/>
    <x v="0"/>
    <x v="1"/>
    <d v="2023-06-19T00:00:00"/>
    <n v="1.9178082191780821"/>
    <x v="128"/>
    <x v="1"/>
    <x v="7"/>
    <x v="1"/>
    <n v="17.32"/>
    <n v="17.16"/>
    <m/>
    <m/>
    <m/>
    <m/>
    <m/>
    <x v="2"/>
    <n v="4"/>
    <n v="4"/>
    <m/>
    <m/>
    <m/>
    <m/>
    <m/>
    <m/>
    <m/>
    <m/>
    <m/>
    <m/>
    <m/>
    <m/>
    <m/>
    <m/>
  </r>
  <r>
    <n v="1839"/>
    <n v="49208"/>
    <d v="2004-07-31T00:00:00"/>
    <n v="21"/>
    <x v="0"/>
    <x v="0"/>
    <d v="2024-01-31T00:00:00"/>
    <n v="1.9260273972602739"/>
    <x v="5"/>
    <x v="0"/>
    <x v="10"/>
    <x v="1"/>
    <n v="10.58"/>
    <m/>
    <m/>
    <m/>
    <m/>
    <m/>
    <m/>
    <x v="2"/>
    <n v="1"/>
    <n v="3"/>
    <m/>
    <m/>
    <m/>
    <m/>
    <m/>
    <m/>
    <m/>
    <m/>
    <m/>
    <m/>
    <m/>
    <m/>
    <m/>
    <m/>
  </r>
  <r>
    <n v="1840"/>
    <n v="49210"/>
    <d v="2005-12-04T00:00:00"/>
    <n v="20"/>
    <x v="1"/>
    <x v="0"/>
    <d v="2024-01-28T00:00:00"/>
    <n v="2.7287671232876711"/>
    <x v="18"/>
    <x v="0"/>
    <x v="8"/>
    <x v="1"/>
    <n v="8.42"/>
    <m/>
    <m/>
    <m/>
    <m/>
    <m/>
    <m/>
    <x v="1"/>
    <n v="0"/>
    <n v="5"/>
    <m/>
    <m/>
    <m/>
    <m/>
    <m/>
    <m/>
    <m/>
    <m/>
    <m/>
    <m/>
    <m/>
    <m/>
    <m/>
    <m/>
  </r>
  <r>
    <n v="1841"/>
    <n v="49217"/>
    <d v="2004-07-17T00:00:00"/>
    <n v="21"/>
    <x v="0"/>
    <x v="1"/>
    <d v="2023-04-10T00:00:00"/>
    <n v="2.0027397260273974"/>
    <x v="50"/>
    <x v="0"/>
    <x v="10"/>
    <x v="1"/>
    <n v="10.48"/>
    <n v="10.38"/>
    <m/>
    <m/>
    <m/>
    <m/>
    <m/>
    <x v="3"/>
    <n v="1"/>
    <n v="4"/>
    <m/>
    <m/>
    <m/>
    <m/>
    <m/>
    <m/>
    <m/>
    <m/>
    <m/>
    <m/>
    <m/>
    <m/>
    <m/>
    <m/>
  </r>
  <r>
    <n v="1842"/>
    <n v="49225"/>
    <d v="2005-03-13T00:00:00"/>
    <n v="20"/>
    <x v="1"/>
    <x v="0"/>
    <d v="2023-12-31T00:00:00"/>
    <n v="2.5232876712328767"/>
    <x v="40"/>
    <x v="1"/>
    <x v="8"/>
    <x v="1"/>
    <n v="8.4700000000000006"/>
    <n v="8.26"/>
    <m/>
    <m/>
    <m/>
    <m/>
    <m/>
    <x v="2"/>
    <n v="2"/>
    <n v="5"/>
    <m/>
    <m/>
    <m/>
    <m/>
    <m/>
    <m/>
    <m/>
    <m/>
    <m/>
    <m/>
    <m/>
    <m/>
    <m/>
    <m/>
  </r>
  <r>
    <n v="1843"/>
    <n v="49232"/>
    <d v="2001-01-26T00:00:00"/>
    <n v="24"/>
    <x v="0"/>
    <x v="1"/>
    <d v="2023-06-24T00:00:00"/>
    <n v="2.2383561643835614"/>
    <x v="58"/>
    <x v="1"/>
    <x v="2"/>
    <x v="1"/>
    <n v="14.26"/>
    <n v="13.88"/>
    <m/>
    <m/>
    <m/>
    <m/>
    <m/>
    <x v="3"/>
    <n v="1"/>
    <n v="3"/>
    <m/>
    <m/>
    <m/>
    <m/>
    <m/>
    <m/>
    <m/>
    <m/>
    <m/>
    <m/>
    <m/>
    <m/>
    <m/>
    <m/>
  </r>
  <r>
    <n v="1844"/>
    <n v="49234"/>
    <d v="1998-08-19T00:00:00"/>
    <n v="27"/>
    <x v="0"/>
    <x v="1"/>
    <d v="2023-10-06T00:00:00"/>
    <n v="1.9972602739726026"/>
    <x v="131"/>
    <x v="1"/>
    <x v="7"/>
    <x v="1"/>
    <n v="17.309999999999999"/>
    <n v="17.16"/>
    <m/>
    <m/>
    <m/>
    <m/>
    <m/>
    <x v="4"/>
    <n v="2"/>
    <n v="4"/>
    <m/>
    <m/>
    <m/>
    <m/>
    <m/>
    <m/>
    <m/>
    <m/>
    <m/>
    <m/>
    <m/>
    <m/>
    <m/>
    <m/>
  </r>
  <r>
    <n v="1845"/>
    <n v="49240"/>
    <d v="2002-04-27T00:00:00"/>
    <n v="23"/>
    <x v="0"/>
    <x v="1"/>
    <d v="2024-01-02T00:00:00"/>
    <n v="1.989041095890411"/>
    <x v="134"/>
    <x v="1"/>
    <x v="7"/>
    <x v="1"/>
    <n v="17.309999999999999"/>
    <m/>
    <m/>
    <m/>
    <m/>
    <m/>
    <m/>
    <x v="2"/>
    <n v="1"/>
    <n v="6"/>
    <m/>
    <m/>
    <m/>
    <m/>
    <m/>
    <m/>
    <m/>
    <m/>
    <m/>
    <m/>
    <m/>
    <m/>
    <m/>
    <m/>
  </r>
  <r>
    <n v="1846"/>
    <n v="49248"/>
    <d v="1999-10-15T00:00:00"/>
    <n v="26"/>
    <x v="1"/>
    <x v="0"/>
    <d v="2024-01-05T00:00:00"/>
    <n v="2.7863013698630139"/>
    <x v="87"/>
    <x v="0"/>
    <x v="1"/>
    <x v="1"/>
    <n v="15.97"/>
    <m/>
    <m/>
    <m/>
    <m/>
    <m/>
    <m/>
    <x v="3"/>
    <n v="2"/>
    <n v="5"/>
    <m/>
    <m/>
    <m/>
    <m/>
    <m/>
    <m/>
    <m/>
    <m/>
    <m/>
    <m/>
    <m/>
    <m/>
    <m/>
    <m/>
  </r>
  <r>
    <n v="1847"/>
    <n v="49250"/>
    <d v="2004-07-07T00:00:00"/>
    <n v="21"/>
    <x v="0"/>
    <x v="1"/>
    <d v="2023-03-20T00:00:00"/>
    <n v="2.5945205479452054"/>
    <x v="102"/>
    <x v="0"/>
    <x v="10"/>
    <x v="1"/>
    <n v="10.66"/>
    <n v="10.38"/>
    <m/>
    <m/>
    <m/>
    <m/>
    <m/>
    <x v="1"/>
    <n v="0"/>
    <n v="5"/>
    <m/>
    <m/>
    <m/>
    <m/>
    <m/>
    <m/>
    <m/>
    <m/>
    <m/>
    <m/>
    <m/>
    <m/>
    <m/>
    <m/>
  </r>
  <r>
    <n v="1848"/>
    <n v="49253"/>
    <d v="2000-11-21T00:00:00"/>
    <n v="25"/>
    <x v="0"/>
    <x v="0"/>
    <d v="2023-05-29T00:00:00"/>
    <n v="2.3123287671232875"/>
    <x v="42"/>
    <x v="0"/>
    <x v="7"/>
    <x v="1"/>
    <n v="17.309999999999999"/>
    <n v="17.16"/>
    <m/>
    <m/>
    <m/>
    <m/>
    <m/>
    <x v="1"/>
    <n v="2"/>
    <n v="3"/>
    <m/>
    <m/>
    <m/>
    <m/>
    <m/>
    <m/>
    <m/>
    <m/>
    <m/>
    <m/>
    <m/>
    <m/>
    <m/>
    <m/>
  </r>
  <r>
    <n v="1849"/>
    <n v="49254"/>
    <d v="2001-04-15T00:00:00"/>
    <n v="24"/>
    <x v="1"/>
    <x v="0"/>
    <d v="2023-09-09T00:00:00"/>
    <n v="2.8383561643835615"/>
    <x v="106"/>
    <x v="1"/>
    <x v="8"/>
    <x v="1"/>
    <n v="8.5299999999999994"/>
    <n v="8.26"/>
    <m/>
    <m/>
    <m/>
    <m/>
    <m/>
    <x v="3"/>
    <n v="2"/>
    <n v="7"/>
    <m/>
    <m/>
    <m/>
    <m/>
    <m/>
    <m/>
    <m/>
    <m/>
    <m/>
    <m/>
    <m/>
    <m/>
    <m/>
    <m/>
  </r>
  <r>
    <n v="1850"/>
    <n v="49255"/>
    <d v="2002-09-04T00:00:00"/>
    <n v="23"/>
    <x v="0"/>
    <x v="1"/>
    <d v="2023-03-01T00:00:00"/>
    <n v="2.0849315068493151"/>
    <x v="44"/>
    <x v="1"/>
    <x v="1"/>
    <x v="1"/>
    <n v="16.27"/>
    <n v="15.97"/>
    <m/>
    <m/>
    <m/>
    <m/>
    <m/>
    <x v="1"/>
    <n v="1"/>
    <n v="3"/>
    <m/>
    <m/>
    <m/>
    <m/>
    <m/>
    <m/>
    <m/>
    <m/>
    <m/>
    <m/>
    <m/>
    <m/>
    <m/>
    <m/>
  </r>
  <r>
    <n v="1851"/>
    <n v="49264"/>
    <d v="2000-02-02T00:00:00"/>
    <n v="25"/>
    <x v="1"/>
    <x v="1"/>
    <d v="2023-12-01T00:00:00"/>
    <n v="2.1342465753424658"/>
    <x v="79"/>
    <x v="1"/>
    <x v="8"/>
    <x v="1"/>
    <n v="8.4600000000000009"/>
    <n v="8.26"/>
    <m/>
    <m/>
    <m/>
    <m/>
    <m/>
    <x v="2"/>
    <n v="4"/>
    <n v="6"/>
    <m/>
    <m/>
    <m/>
    <m/>
    <m/>
    <m/>
    <m/>
    <m/>
    <m/>
    <m/>
    <m/>
    <m/>
    <m/>
    <m/>
  </r>
  <r>
    <n v="1852"/>
    <n v="49266"/>
    <d v="1996-02-28T00:00:00"/>
    <n v="29"/>
    <x v="1"/>
    <x v="1"/>
    <d v="2023-11-13T00:00:00"/>
    <n v="2.4712328767123286"/>
    <x v="96"/>
    <x v="1"/>
    <x v="10"/>
    <x v="1"/>
    <n v="10.64"/>
    <n v="10.38"/>
    <m/>
    <m/>
    <m/>
    <m/>
    <m/>
    <x v="1"/>
    <n v="0"/>
    <n v="5"/>
    <m/>
    <m/>
    <m/>
    <m/>
    <m/>
    <m/>
    <m/>
    <m/>
    <m/>
    <m/>
    <m/>
    <m/>
    <m/>
    <m/>
  </r>
  <r>
    <n v="1853"/>
    <n v="49268"/>
    <d v="1999-10-07T00:00:00"/>
    <n v="26"/>
    <x v="1"/>
    <x v="1"/>
    <d v="2023-07-13T00:00:00"/>
    <n v="2.5452054794520547"/>
    <x v="112"/>
    <x v="1"/>
    <x v="10"/>
    <x v="1"/>
    <n v="10.58"/>
    <n v="10.38"/>
    <m/>
    <m/>
    <m/>
    <m/>
    <m/>
    <x v="2"/>
    <n v="0"/>
    <n v="4"/>
    <m/>
    <m/>
    <m/>
    <m/>
    <m/>
    <m/>
    <m/>
    <m/>
    <m/>
    <m/>
    <m/>
    <m/>
    <m/>
    <m/>
  </r>
  <r>
    <n v="1854"/>
    <n v="49271"/>
    <d v="1997-10-29T00:00:00"/>
    <n v="28"/>
    <x v="1"/>
    <x v="1"/>
    <d v="2023-06-16T00:00:00"/>
    <n v="2.3123287671232875"/>
    <x v="4"/>
    <x v="0"/>
    <x v="11"/>
    <x v="1"/>
    <n v="16.78"/>
    <n v="16.579999999999998"/>
    <m/>
    <m/>
    <m/>
    <m/>
    <m/>
    <x v="4"/>
    <n v="2"/>
    <n v="7"/>
    <m/>
    <m/>
    <m/>
    <m/>
    <m/>
    <m/>
    <m/>
    <m/>
    <m/>
    <m/>
    <m/>
    <m/>
    <m/>
    <m/>
  </r>
  <r>
    <n v="1855"/>
    <n v="49276"/>
    <d v="2000-08-09T00:00:00"/>
    <n v="25"/>
    <x v="1"/>
    <x v="0"/>
    <d v="2023-09-09T00:00:00"/>
    <n v="2.5013698630136987"/>
    <x v="124"/>
    <x v="0"/>
    <x v="8"/>
    <x v="1"/>
    <n v="8.4600000000000009"/>
    <n v="8.26"/>
    <m/>
    <m/>
    <m/>
    <m/>
    <m/>
    <x v="3"/>
    <n v="0"/>
    <n v="5"/>
    <m/>
    <m/>
    <m/>
    <m/>
    <m/>
    <m/>
    <m/>
    <m/>
    <m/>
    <m/>
    <m/>
    <m/>
    <m/>
    <m/>
  </r>
  <r>
    <n v="1856"/>
    <n v="49284"/>
    <d v="2001-12-30T00:00:00"/>
    <n v="24"/>
    <x v="1"/>
    <x v="1"/>
    <d v="2023-07-02T00:00:00"/>
    <n v="2.5095890410958903"/>
    <x v="18"/>
    <x v="0"/>
    <x v="3"/>
    <x v="1"/>
    <n v="8.5500000000000007"/>
    <n v="8.26"/>
    <m/>
    <m/>
    <m/>
    <m/>
    <m/>
    <x v="3"/>
    <n v="4"/>
    <n v="6"/>
    <m/>
    <m/>
    <m/>
    <m/>
    <m/>
    <m/>
    <m/>
    <m/>
    <m/>
    <m/>
    <m/>
    <m/>
    <m/>
    <m/>
  </r>
  <r>
    <n v="1857"/>
    <n v="49285"/>
    <d v="2000-02-28T00:00:00"/>
    <n v="25"/>
    <x v="1"/>
    <x v="1"/>
    <d v="2023-06-29T00:00:00"/>
    <n v="1.9260273972602739"/>
    <x v="88"/>
    <x v="0"/>
    <x v="8"/>
    <x v="1"/>
    <n v="8.48"/>
    <n v="8.26"/>
    <m/>
    <m/>
    <m/>
    <m/>
    <m/>
    <x v="4"/>
    <n v="1"/>
    <n v="7"/>
    <m/>
    <m/>
    <m/>
    <m/>
    <m/>
    <m/>
    <m/>
    <m/>
    <m/>
    <m/>
    <m/>
    <m/>
    <m/>
    <m/>
  </r>
  <r>
    <n v="1858"/>
    <n v="49288"/>
    <d v="1998-06-11T00:00:00"/>
    <n v="27"/>
    <x v="1"/>
    <x v="1"/>
    <d v="2024-01-28T00:00:00"/>
    <n v="2.6438356164383561"/>
    <x v="20"/>
    <x v="0"/>
    <x v="7"/>
    <x v="1"/>
    <n v="17.16"/>
    <m/>
    <m/>
    <m/>
    <m/>
    <m/>
    <m/>
    <x v="3"/>
    <n v="3"/>
    <n v="7"/>
    <m/>
    <m/>
    <m/>
    <m/>
    <m/>
    <m/>
    <m/>
    <m/>
    <m/>
    <m/>
    <m/>
    <m/>
    <m/>
    <m/>
  </r>
  <r>
    <n v="1859"/>
    <n v="49292"/>
    <d v="2000-12-25T00:00:00"/>
    <n v="25"/>
    <x v="1"/>
    <x v="1"/>
    <d v="2023-05-11T00:00:00"/>
    <n v="2.7095890410958905"/>
    <x v="52"/>
    <x v="0"/>
    <x v="1"/>
    <x v="1"/>
    <n v="15.97"/>
    <n v="15.97"/>
    <m/>
    <m/>
    <m/>
    <m/>
    <m/>
    <x v="2"/>
    <n v="0"/>
    <n v="7"/>
    <m/>
    <m/>
    <m/>
    <m/>
    <m/>
    <m/>
    <m/>
    <m/>
    <m/>
    <m/>
    <m/>
    <m/>
    <m/>
    <m/>
  </r>
  <r>
    <n v="1860"/>
    <n v="49310"/>
    <d v="2001-07-14T00:00:00"/>
    <n v="24"/>
    <x v="0"/>
    <x v="1"/>
    <d v="2023-04-17T00:00:00"/>
    <n v="2.1890410958904107"/>
    <x v="78"/>
    <x v="0"/>
    <x v="1"/>
    <x v="1"/>
    <n v="16.12"/>
    <n v="15.97"/>
    <m/>
    <m/>
    <m/>
    <m/>
    <m/>
    <x v="4"/>
    <n v="1"/>
    <n v="3"/>
    <m/>
    <m/>
    <m/>
    <m/>
    <m/>
    <m/>
    <m/>
    <m/>
    <m/>
    <m/>
    <m/>
    <m/>
    <m/>
    <m/>
  </r>
  <r>
    <n v="1861"/>
    <n v="49316"/>
    <d v="1993-10-31T00:00:00"/>
    <n v="32"/>
    <x v="1"/>
    <x v="1"/>
    <d v="2023-10-24T00:00:00"/>
    <n v="2.6958904109589041"/>
    <x v="83"/>
    <x v="0"/>
    <x v="7"/>
    <x v="1"/>
    <n v="17.309999999999999"/>
    <n v="17.16"/>
    <m/>
    <m/>
    <m/>
    <m/>
    <m/>
    <x v="2"/>
    <n v="4"/>
    <n v="7"/>
    <m/>
    <m/>
    <m/>
    <m/>
    <m/>
    <m/>
    <m/>
    <m/>
    <m/>
    <m/>
    <m/>
    <m/>
    <m/>
    <m/>
  </r>
  <r>
    <n v="1862"/>
    <n v="49318"/>
    <d v="2003-09-19T00:00:00"/>
    <n v="22"/>
    <x v="1"/>
    <x v="1"/>
    <d v="2023-04-22T00:00:00"/>
    <n v="2.4356164383561643"/>
    <x v="50"/>
    <x v="0"/>
    <x v="10"/>
    <x v="1"/>
    <n v="10.38"/>
    <n v="10.38"/>
    <m/>
    <m/>
    <m/>
    <m/>
    <m/>
    <x v="3"/>
    <n v="1"/>
    <n v="6"/>
    <m/>
    <m/>
    <m/>
    <m/>
    <m/>
    <m/>
    <m/>
    <m/>
    <m/>
    <m/>
    <m/>
    <m/>
    <m/>
    <m/>
  </r>
  <r>
    <n v="1863"/>
    <n v="49321"/>
    <d v="2005-08-02T00:00:00"/>
    <n v="20"/>
    <x v="1"/>
    <x v="1"/>
    <d v="2023-07-26T00:00:00"/>
    <n v="2.5726027397260274"/>
    <x v="138"/>
    <x v="0"/>
    <x v="2"/>
    <x v="1"/>
    <n v="14.18"/>
    <n v="13.88"/>
    <m/>
    <m/>
    <m/>
    <m/>
    <m/>
    <x v="3"/>
    <n v="0"/>
    <n v="5"/>
    <m/>
    <m/>
    <m/>
    <m/>
    <m/>
    <m/>
    <m/>
    <m/>
    <m/>
    <m/>
    <m/>
    <m/>
    <m/>
    <m/>
  </r>
  <r>
    <n v="1864"/>
    <n v="49324"/>
    <d v="1995-12-22T00:00:00"/>
    <n v="30"/>
    <x v="1"/>
    <x v="1"/>
    <d v="2023-06-06T00:00:00"/>
    <n v="2.1643835616438358"/>
    <x v="143"/>
    <x v="0"/>
    <x v="7"/>
    <x v="1"/>
    <n v="17.309999999999999"/>
    <n v="17.16"/>
    <m/>
    <m/>
    <m/>
    <m/>
    <m/>
    <x v="2"/>
    <n v="4"/>
    <n v="7"/>
    <m/>
    <m/>
    <m/>
    <m/>
    <m/>
    <m/>
    <m/>
    <m/>
    <m/>
    <m/>
    <m/>
    <m/>
    <m/>
    <m/>
  </r>
  <r>
    <n v="1865"/>
    <n v="49336"/>
    <d v="1998-03-11T00:00:00"/>
    <n v="27"/>
    <x v="1"/>
    <x v="1"/>
    <d v="2023-11-02T00:00:00"/>
    <n v="2.2410958904109588"/>
    <x v="144"/>
    <x v="0"/>
    <x v="11"/>
    <x v="1"/>
    <n v="16.68"/>
    <n v="16.579999999999998"/>
    <m/>
    <m/>
    <m/>
    <m/>
    <m/>
    <x v="2"/>
    <n v="1"/>
    <n v="7"/>
    <m/>
    <m/>
    <m/>
    <m/>
    <m/>
    <m/>
    <m/>
    <m/>
    <m/>
    <m/>
    <m/>
    <m/>
    <m/>
    <m/>
  </r>
  <r>
    <n v="1866"/>
    <n v="49339"/>
    <d v="2002-12-18T00:00:00"/>
    <n v="23"/>
    <x v="1"/>
    <x v="1"/>
    <d v="2023-10-05T00:00:00"/>
    <n v="2.3671232876712329"/>
    <x v="144"/>
    <x v="0"/>
    <x v="7"/>
    <x v="1"/>
    <n v="17.309999999999999"/>
    <n v="17.16"/>
    <m/>
    <m/>
    <m/>
    <m/>
    <m/>
    <x v="2"/>
    <n v="0"/>
    <n v="6"/>
    <m/>
    <m/>
    <m/>
    <m/>
    <m/>
    <m/>
    <m/>
    <m/>
    <m/>
    <m/>
    <m/>
    <m/>
    <m/>
    <m/>
  </r>
  <r>
    <n v="1867"/>
    <n v="49344"/>
    <d v="2000-07-08T00:00:00"/>
    <n v="25"/>
    <x v="1"/>
    <x v="1"/>
    <d v="2023-08-20T00:00:00"/>
    <n v="2.7726027397260276"/>
    <x v="59"/>
    <x v="0"/>
    <x v="8"/>
    <x v="1"/>
    <n v="8.5"/>
    <n v="8.26"/>
    <m/>
    <m/>
    <m/>
    <m/>
    <m/>
    <x v="2"/>
    <n v="2"/>
    <n v="6"/>
    <m/>
    <m/>
    <m/>
    <m/>
    <m/>
    <m/>
    <m/>
    <m/>
    <m/>
    <m/>
    <m/>
    <m/>
    <m/>
    <m/>
  </r>
  <r>
    <n v="1868"/>
    <n v="49345"/>
    <d v="2005-06-14T00:00:00"/>
    <n v="20"/>
    <x v="1"/>
    <x v="0"/>
    <d v="2023-03-25T00:00:00"/>
    <n v="1.9369863013698629"/>
    <x v="106"/>
    <x v="1"/>
    <x v="9"/>
    <x v="1"/>
    <n v="14.1"/>
    <n v="13.73"/>
    <m/>
    <m/>
    <m/>
    <m/>
    <m/>
    <x v="4"/>
    <n v="1"/>
    <n v="5"/>
    <m/>
    <m/>
    <m/>
    <m/>
    <m/>
    <m/>
    <m/>
    <m/>
    <m/>
    <m/>
    <m/>
    <m/>
    <m/>
    <m/>
  </r>
  <r>
    <n v="1869"/>
    <n v="49348"/>
    <d v="2003-02-19T00:00:00"/>
    <n v="22"/>
    <x v="1"/>
    <x v="1"/>
    <d v="2024-01-24T00:00:00"/>
    <n v="2.0136986301369864"/>
    <x v="1"/>
    <x v="1"/>
    <x v="8"/>
    <x v="1"/>
    <n v="8.3800000000000008"/>
    <m/>
    <m/>
    <m/>
    <m/>
    <m/>
    <m/>
    <x v="1"/>
    <n v="2"/>
    <n v="6"/>
    <m/>
    <m/>
    <m/>
    <m/>
    <m/>
    <m/>
    <m/>
    <m/>
    <m/>
    <m/>
    <m/>
    <m/>
    <m/>
    <m/>
  </r>
  <r>
    <n v="1870"/>
    <n v="49372"/>
    <d v="1999-08-09T00:00:00"/>
    <n v="26"/>
    <x v="1"/>
    <x v="1"/>
    <d v="2023-12-27T00:00:00"/>
    <n v="2.2191780821917808"/>
    <x v="62"/>
    <x v="1"/>
    <x v="11"/>
    <x v="1"/>
    <n v="16.78"/>
    <n v="16.579999999999998"/>
    <m/>
    <m/>
    <m/>
    <m/>
    <m/>
    <x v="3"/>
    <n v="0"/>
    <n v="5"/>
    <m/>
    <m/>
    <m/>
    <m/>
    <m/>
    <m/>
    <m/>
    <m/>
    <m/>
    <m/>
    <m/>
    <m/>
    <m/>
    <m/>
  </r>
  <r>
    <n v="1871"/>
    <n v="49389"/>
    <d v="2000-12-08T00:00:00"/>
    <n v="25"/>
    <x v="0"/>
    <x v="0"/>
    <d v="2023-10-13T00:00:00"/>
    <n v="2.484931506849315"/>
    <x v="79"/>
    <x v="1"/>
    <x v="6"/>
    <x v="1"/>
    <n v="23.5"/>
    <n v="23.2"/>
    <m/>
    <m/>
    <m/>
    <m/>
    <m/>
    <x v="3"/>
    <n v="6"/>
    <n v="5"/>
    <m/>
    <m/>
    <m/>
    <m/>
    <m/>
    <m/>
    <m/>
    <m/>
    <m/>
    <m/>
    <m/>
    <m/>
    <m/>
    <m/>
  </r>
  <r>
    <n v="1872"/>
    <n v="49391"/>
    <d v="2004-10-10T00:00:00"/>
    <n v="21"/>
    <x v="1"/>
    <x v="0"/>
    <d v="2023-07-08T00:00:00"/>
    <n v="1.9616438356164383"/>
    <x v="93"/>
    <x v="1"/>
    <x v="3"/>
    <x v="1"/>
    <n v="8.5500000000000007"/>
    <n v="8.26"/>
    <m/>
    <m/>
    <m/>
    <m/>
    <m/>
    <x v="1"/>
    <n v="0"/>
    <n v="4"/>
    <m/>
    <m/>
    <m/>
    <m/>
    <m/>
    <m/>
    <m/>
    <m/>
    <m/>
    <m/>
    <m/>
    <m/>
    <m/>
    <m/>
  </r>
  <r>
    <n v="1873"/>
    <n v="49397"/>
    <d v="2001-03-16T00:00:00"/>
    <n v="24"/>
    <x v="0"/>
    <x v="1"/>
    <d v="2024-01-15T00:00:00"/>
    <n v="1.9150684931506849"/>
    <x v="96"/>
    <x v="1"/>
    <x v="10"/>
    <x v="1"/>
    <n v="10.65"/>
    <m/>
    <m/>
    <m/>
    <m/>
    <m/>
    <m/>
    <x v="4"/>
    <n v="0"/>
    <n v="3"/>
    <m/>
    <m/>
    <m/>
    <m/>
    <m/>
    <m/>
    <m/>
    <m/>
    <m/>
    <m/>
    <m/>
    <m/>
    <m/>
    <m/>
  </r>
  <r>
    <n v="1874"/>
    <n v="49406"/>
    <d v="2003-09-10T00:00:00"/>
    <n v="22"/>
    <x v="1"/>
    <x v="1"/>
    <d v="2024-02-01T00:00:00"/>
    <n v="2.7342465753424658"/>
    <x v="98"/>
    <x v="1"/>
    <x v="1"/>
    <x v="1"/>
    <n v="16.28"/>
    <m/>
    <m/>
    <m/>
    <m/>
    <m/>
    <m/>
    <x v="4"/>
    <n v="1"/>
    <n v="6"/>
    <m/>
    <m/>
    <m/>
    <m/>
    <m/>
    <m/>
    <m/>
    <m/>
    <m/>
    <m/>
    <m/>
    <m/>
    <m/>
    <m/>
  </r>
  <r>
    <n v="1875"/>
    <n v="49408"/>
    <d v="2002-06-23T00:00:00"/>
    <n v="23"/>
    <x v="1"/>
    <x v="1"/>
    <d v="2023-04-08T00:00:00"/>
    <n v="2.1232876712328768"/>
    <x v="128"/>
    <x v="1"/>
    <x v="11"/>
    <x v="1"/>
    <n v="16.88"/>
    <n v="16.579999999999998"/>
    <m/>
    <m/>
    <m/>
    <m/>
    <m/>
    <x v="3"/>
    <n v="1"/>
    <n v="5"/>
    <m/>
    <m/>
    <m/>
    <m/>
    <m/>
    <m/>
    <m/>
    <m/>
    <m/>
    <m/>
    <m/>
    <m/>
    <m/>
    <m/>
  </r>
  <r>
    <n v="1876"/>
    <n v="49409"/>
    <d v="1992-07-16T00:00:00"/>
    <n v="33"/>
    <x v="0"/>
    <x v="1"/>
    <d v="2023-11-17T00:00:00"/>
    <n v="2.0164383561643837"/>
    <x v="116"/>
    <x v="1"/>
    <x v="7"/>
    <x v="1"/>
    <n v="17.579999999999998"/>
    <n v="17.16"/>
    <m/>
    <m/>
    <m/>
    <m/>
    <m/>
    <x v="1"/>
    <n v="1"/>
    <n v="5"/>
    <m/>
    <m/>
    <m/>
    <m/>
    <m/>
    <m/>
    <m/>
    <m/>
    <m/>
    <m/>
    <m/>
    <m/>
    <m/>
    <m/>
  </r>
  <r>
    <n v="1877"/>
    <n v="49436"/>
    <d v="2001-05-23T00:00:00"/>
    <n v="24"/>
    <x v="1"/>
    <x v="1"/>
    <d v="2023-12-26T00:00:00"/>
    <n v="1.9095890410958904"/>
    <x v="140"/>
    <x v="0"/>
    <x v="2"/>
    <x v="1"/>
    <n v="14.18"/>
    <n v="13.88"/>
    <m/>
    <m/>
    <m/>
    <m/>
    <m/>
    <x v="2"/>
    <n v="1"/>
    <n v="6"/>
    <m/>
    <m/>
    <m/>
    <m/>
    <m/>
    <m/>
    <m/>
    <m/>
    <m/>
    <m/>
    <m/>
    <m/>
    <m/>
    <m/>
  </r>
  <r>
    <n v="1878"/>
    <n v="49452"/>
    <d v="2004-01-11T00:00:00"/>
    <n v="21"/>
    <x v="1"/>
    <x v="1"/>
    <d v="2024-02-03T00:00:00"/>
    <n v="2.4876712328767123"/>
    <x v="51"/>
    <x v="1"/>
    <x v="8"/>
    <x v="1"/>
    <n v="8.4600000000000009"/>
    <m/>
    <m/>
    <m/>
    <m/>
    <m/>
    <m/>
    <x v="2"/>
    <n v="1"/>
    <n v="5"/>
    <m/>
    <m/>
    <m/>
    <m/>
    <m/>
    <m/>
    <m/>
    <m/>
    <m/>
    <m/>
    <m/>
    <m/>
    <m/>
    <m/>
  </r>
  <r>
    <n v="1879"/>
    <n v="49454"/>
    <d v="1998-10-28T00:00:00"/>
    <n v="27"/>
    <x v="1"/>
    <x v="1"/>
    <d v="2023-07-07T00:00:00"/>
    <n v="2.1698630136986301"/>
    <x v="85"/>
    <x v="1"/>
    <x v="7"/>
    <x v="1"/>
    <n v="17.57"/>
    <n v="17.16"/>
    <m/>
    <m/>
    <m/>
    <m/>
    <m/>
    <x v="2"/>
    <n v="3"/>
    <n v="6"/>
    <m/>
    <m/>
    <m/>
    <m/>
    <m/>
    <m/>
    <m/>
    <m/>
    <m/>
    <m/>
    <m/>
    <m/>
    <m/>
    <m/>
  </r>
  <r>
    <n v="1880"/>
    <n v="49459"/>
    <d v="2004-02-10T00:00:00"/>
    <n v="21"/>
    <x v="1"/>
    <x v="0"/>
    <d v="2023-10-31T00:00:00"/>
    <n v="2.8246575342465752"/>
    <x v="119"/>
    <x v="1"/>
    <x v="3"/>
    <x v="1"/>
    <n v="8.5399999999999991"/>
    <n v="8.26"/>
    <m/>
    <m/>
    <m/>
    <m/>
    <m/>
    <x v="2"/>
    <n v="4"/>
    <n v="7"/>
    <m/>
    <m/>
    <m/>
    <m/>
    <m/>
    <m/>
    <m/>
    <m/>
    <m/>
    <m/>
    <m/>
    <m/>
    <m/>
    <m/>
  </r>
  <r>
    <n v="1881"/>
    <n v="49462"/>
    <d v="1997-06-25T00:00:00"/>
    <n v="28"/>
    <x v="1"/>
    <x v="1"/>
    <d v="2023-03-06T00:00:00"/>
    <n v="2.6547945205479451"/>
    <x v="122"/>
    <x v="1"/>
    <x v="7"/>
    <x v="1"/>
    <n v="17.600000000000001"/>
    <n v="17.16"/>
    <m/>
    <m/>
    <m/>
    <m/>
    <m/>
    <x v="4"/>
    <n v="2"/>
    <n v="6"/>
    <m/>
    <m/>
    <m/>
    <m/>
    <m/>
    <m/>
    <m/>
    <m/>
    <m/>
    <m/>
    <m/>
    <m/>
    <m/>
    <m/>
  </r>
  <r>
    <n v="1882"/>
    <n v="49464"/>
    <d v="2000-06-25T00:00:00"/>
    <n v="25"/>
    <x v="0"/>
    <x v="1"/>
    <d v="2023-05-07T00:00:00"/>
    <n v="2.7369863013698632"/>
    <x v="89"/>
    <x v="1"/>
    <x v="2"/>
    <x v="1"/>
    <n v="14.18"/>
    <n v="13.88"/>
    <m/>
    <m/>
    <m/>
    <m/>
    <m/>
    <x v="4"/>
    <n v="0"/>
    <n v="3"/>
    <m/>
    <m/>
    <m/>
    <m/>
    <m/>
    <m/>
    <m/>
    <m/>
    <m/>
    <m/>
    <m/>
    <m/>
    <m/>
    <m/>
  </r>
  <r>
    <n v="1883"/>
    <n v="49466"/>
    <d v="2001-10-24T00:00:00"/>
    <n v="24"/>
    <x v="1"/>
    <x v="1"/>
    <d v="2023-04-07T00:00:00"/>
    <n v="2.3479452054794518"/>
    <x v="101"/>
    <x v="1"/>
    <x v="1"/>
    <x v="1"/>
    <n v="16.309999999999999"/>
    <n v="15.97"/>
    <m/>
    <m/>
    <m/>
    <m/>
    <m/>
    <x v="1"/>
    <n v="2"/>
    <n v="6"/>
    <m/>
    <m/>
    <m/>
    <m/>
    <m/>
    <m/>
    <m/>
    <m/>
    <m/>
    <m/>
    <m/>
    <m/>
    <m/>
    <m/>
  </r>
  <r>
    <n v="1884"/>
    <n v="49473"/>
    <d v="2000-02-20T00:00:00"/>
    <n v="25"/>
    <x v="1"/>
    <x v="1"/>
    <d v="2023-08-27T00:00:00"/>
    <n v="2.1945205479452055"/>
    <x v="128"/>
    <x v="1"/>
    <x v="8"/>
    <x v="1"/>
    <n v="8.48"/>
    <n v="8.26"/>
    <m/>
    <m/>
    <m/>
    <m/>
    <m/>
    <x v="2"/>
    <n v="1"/>
    <n v="5"/>
    <m/>
    <m/>
    <m/>
    <m/>
    <m/>
    <m/>
    <m/>
    <m/>
    <m/>
    <m/>
    <m/>
    <m/>
    <m/>
    <m/>
  </r>
  <r>
    <n v="1885"/>
    <n v="49495"/>
    <d v="2002-10-02T00:00:00"/>
    <n v="23"/>
    <x v="0"/>
    <x v="1"/>
    <d v="2023-10-22T00:00:00"/>
    <n v="2.1342465753424658"/>
    <x v="17"/>
    <x v="0"/>
    <x v="7"/>
    <x v="1"/>
    <n v="17.46"/>
    <n v="17.16"/>
    <m/>
    <m/>
    <m/>
    <m/>
    <m/>
    <x v="3"/>
    <n v="2"/>
    <n v="6"/>
    <m/>
    <m/>
    <m/>
    <m/>
    <m/>
    <m/>
    <m/>
    <m/>
    <m/>
    <m/>
    <m/>
    <m/>
    <m/>
    <m/>
  </r>
  <r>
    <n v="1886"/>
    <n v="49499"/>
    <d v="2004-03-10T00:00:00"/>
    <n v="21"/>
    <x v="0"/>
    <x v="1"/>
    <d v="2023-11-13T00:00:00"/>
    <n v="2.7835616438356166"/>
    <x v="19"/>
    <x v="0"/>
    <x v="10"/>
    <x v="1"/>
    <n v="10.58"/>
    <n v="10.38"/>
    <m/>
    <m/>
    <m/>
    <m/>
    <m/>
    <x v="3"/>
    <n v="1"/>
    <n v="4"/>
    <m/>
    <m/>
    <m/>
    <m/>
    <m/>
    <m/>
    <m/>
    <m/>
    <m/>
    <m/>
    <m/>
    <m/>
    <m/>
    <m/>
  </r>
  <r>
    <n v="1887"/>
    <n v="49508"/>
    <d v="1995-07-31T00:00:00"/>
    <n v="30"/>
    <x v="1"/>
    <x v="0"/>
    <d v="2023-03-21T00:00:00"/>
    <n v="2.3534246575342466"/>
    <x v="25"/>
    <x v="0"/>
    <x v="8"/>
    <x v="1"/>
    <n v="8.4600000000000009"/>
    <n v="8.26"/>
    <m/>
    <m/>
    <m/>
    <m/>
    <m/>
    <x v="2"/>
    <n v="3"/>
    <n v="4"/>
    <m/>
    <m/>
    <m/>
    <m/>
    <m/>
    <m/>
    <m/>
    <m/>
    <m/>
    <m/>
    <m/>
    <m/>
    <m/>
    <m/>
  </r>
  <r>
    <n v="1888"/>
    <n v="49519"/>
    <d v="1995-09-18T00:00:00"/>
    <n v="30"/>
    <x v="0"/>
    <x v="1"/>
    <d v="2023-08-25T00:00:00"/>
    <n v="2.6986301369863015"/>
    <x v="136"/>
    <x v="0"/>
    <x v="7"/>
    <x v="1"/>
    <n v="17.57"/>
    <n v="17.16"/>
    <m/>
    <m/>
    <m/>
    <m/>
    <m/>
    <x v="4"/>
    <n v="1"/>
    <n v="5"/>
    <m/>
    <m/>
    <m/>
    <m/>
    <m/>
    <m/>
    <m/>
    <m/>
    <m/>
    <m/>
    <m/>
    <m/>
    <m/>
    <m/>
  </r>
  <r>
    <n v="1889"/>
    <n v="49535"/>
    <d v="1990-08-17T00:00:00"/>
    <n v="35"/>
    <x v="0"/>
    <x v="1"/>
    <d v="2023-04-21T00:00:00"/>
    <n v="1.8876712328767122"/>
    <x v="142"/>
    <x v="0"/>
    <x v="6"/>
    <x v="1"/>
    <n v="23.2"/>
    <n v="23.2"/>
    <m/>
    <m/>
    <m/>
    <m/>
    <m/>
    <x v="3"/>
    <n v="7"/>
    <n v="7"/>
    <m/>
    <m/>
    <m/>
    <m/>
    <m/>
    <m/>
    <m/>
    <m/>
    <m/>
    <m/>
    <m/>
    <m/>
    <m/>
    <m/>
  </r>
  <r>
    <n v="1890"/>
    <n v="49542"/>
    <d v="2001-12-17T00:00:00"/>
    <n v="24"/>
    <x v="1"/>
    <x v="1"/>
    <d v="2024-02-11T00:00:00"/>
    <n v="2.7753424657534245"/>
    <x v="40"/>
    <x v="1"/>
    <x v="8"/>
    <x v="1"/>
    <n v="8.5"/>
    <m/>
    <m/>
    <m/>
    <m/>
    <m/>
    <m/>
    <x v="2"/>
    <n v="4"/>
    <n v="6"/>
    <m/>
    <m/>
    <m/>
    <m/>
    <m/>
    <m/>
    <m/>
    <m/>
    <m/>
    <m/>
    <m/>
    <m/>
    <m/>
    <m/>
  </r>
  <r>
    <n v="1891"/>
    <n v="49546"/>
    <d v="2005-11-21T00:00:00"/>
    <n v="20"/>
    <x v="0"/>
    <x v="0"/>
    <d v="2023-03-24T00:00:00"/>
    <n v="2.4986301369863013"/>
    <x v="106"/>
    <x v="1"/>
    <x v="8"/>
    <x v="1"/>
    <n v="8.5399999999999991"/>
    <n v="8.26"/>
    <m/>
    <m/>
    <m/>
    <m/>
    <m/>
    <x v="4"/>
    <n v="3"/>
    <n v="3"/>
    <m/>
    <m/>
    <m/>
    <m/>
    <m/>
    <m/>
    <m/>
    <m/>
    <m/>
    <m/>
    <m/>
    <m/>
    <m/>
    <m/>
  </r>
  <r>
    <n v="1892"/>
    <n v="49553"/>
    <d v="1999-07-23T00:00:00"/>
    <n v="26"/>
    <x v="1"/>
    <x v="0"/>
    <d v="2023-07-03T00:00:00"/>
    <n v="2.5397260273972604"/>
    <x v="8"/>
    <x v="1"/>
    <x v="8"/>
    <x v="1"/>
    <n v="8.26"/>
    <n v="8.26"/>
    <m/>
    <m/>
    <m/>
    <m/>
    <m/>
    <x v="1"/>
    <n v="2"/>
    <n v="5"/>
    <m/>
    <m/>
    <m/>
    <m/>
    <m/>
    <m/>
    <m/>
    <m/>
    <m/>
    <m/>
    <m/>
    <m/>
    <m/>
    <m/>
  </r>
  <r>
    <n v="1893"/>
    <n v="49561"/>
    <d v="2002-11-06T00:00:00"/>
    <n v="23"/>
    <x v="1"/>
    <x v="1"/>
    <d v="2023-06-18T00:00:00"/>
    <n v="2.4383561643835616"/>
    <x v="95"/>
    <x v="1"/>
    <x v="10"/>
    <x v="1"/>
    <n v="10.38"/>
    <n v="10.38"/>
    <m/>
    <m/>
    <m/>
    <m/>
    <m/>
    <x v="1"/>
    <n v="0"/>
    <n v="4"/>
    <m/>
    <m/>
    <m/>
    <m/>
    <m/>
    <m/>
    <m/>
    <m/>
    <m/>
    <m/>
    <m/>
    <m/>
    <m/>
    <m/>
  </r>
  <r>
    <n v="1894"/>
    <n v="49563"/>
    <d v="1991-05-01T00:00:00"/>
    <n v="35"/>
    <x v="0"/>
    <x v="1"/>
    <d v="2023-07-25T00:00:00"/>
    <n v="2.2054794520547945"/>
    <x v="51"/>
    <x v="1"/>
    <x v="11"/>
    <x v="1"/>
    <n v="16.78"/>
    <n v="16.579999999999998"/>
    <m/>
    <m/>
    <m/>
    <m/>
    <m/>
    <x v="2"/>
    <n v="1"/>
    <n v="4"/>
    <m/>
    <m/>
    <m/>
    <m/>
    <m/>
    <m/>
    <m/>
    <m/>
    <m/>
    <m/>
    <m/>
    <m/>
    <m/>
    <m/>
  </r>
  <r>
    <n v="1895"/>
    <n v="49573"/>
    <d v="2003-09-09T00:00:00"/>
    <n v="22"/>
    <x v="1"/>
    <x v="0"/>
    <d v="2023-10-18T00:00:00"/>
    <n v="2.1424657534246574"/>
    <x v="58"/>
    <x v="1"/>
    <x v="8"/>
    <x v="1"/>
    <n v="8.5399999999999991"/>
    <n v="8.26"/>
    <m/>
    <m/>
    <m/>
    <m/>
    <m/>
    <x v="1"/>
    <n v="2"/>
    <n v="7"/>
    <m/>
    <m/>
    <m/>
    <m/>
    <m/>
    <m/>
    <m/>
    <m/>
    <m/>
    <m/>
    <m/>
    <m/>
    <m/>
    <m/>
  </r>
  <r>
    <n v="1896"/>
    <n v="49577"/>
    <d v="2001-08-21T00:00:00"/>
    <n v="24"/>
    <x v="0"/>
    <x v="1"/>
    <d v="2023-11-10T00:00:00"/>
    <n v="2.1780821917808217"/>
    <x v="62"/>
    <x v="1"/>
    <x v="11"/>
    <x v="1"/>
    <n v="16.78"/>
    <n v="16.579999999999998"/>
    <m/>
    <m/>
    <m/>
    <m/>
    <m/>
    <x v="4"/>
    <n v="4"/>
    <n v="5"/>
    <m/>
    <m/>
    <m/>
    <m/>
    <m/>
    <m/>
    <m/>
    <m/>
    <m/>
    <m/>
    <m/>
    <m/>
    <m/>
    <m/>
  </r>
  <r>
    <n v="1897"/>
    <n v="49582"/>
    <d v="2000-04-07T00:00:00"/>
    <n v="25"/>
    <x v="1"/>
    <x v="1"/>
    <d v="2023-10-28T00:00:00"/>
    <n v="1.8958904109589041"/>
    <x v="111"/>
    <x v="1"/>
    <x v="11"/>
    <x v="1"/>
    <n v="16.78"/>
    <n v="16.579999999999998"/>
    <m/>
    <m/>
    <m/>
    <m/>
    <m/>
    <x v="4"/>
    <n v="2"/>
    <n v="6"/>
    <m/>
    <m/>
    <m/>
    <m/>
    <m/>
    <m/>
    <m/>
    <m/>
    <m/>
    <m/>
    <m/>
    <m/>
    <m/>
    <m/>
  </r>
  <r>
    <n v="1898"/>
    <n v="49604"/>
    <d v="2005-11-01T00:00:00"/>
    <n v="21"/>
    <x v="1"/>
    <x v="1"/>
    <d v="2024-02-08T00:00:00"/>
    <n v="1.9424657534246574"/>
    <x v="93"/>
    <x v="1"/>
    <x v="8"/>
    <x v="1"/>
    <n v="8.44"/>
    <m/>
    <m/>
    <m/>
    <m/>
    <m/>
    <m/>
    <x v="2"/>
    <n v="2"/>
    <n v="6"/>
    <m/>
    <m/>
    <m/>
    <m/>
    <m/>
    <m/>
    <m/>
    <m/>
    <m/>
    <m/>
    <m/>
    <m/>
    <m/>
    <m/>
  </r>
  <r>
    <n v="1899"/>
    <n v="49620"/>
    <d v="2000-11-10T00:00:00"/>
    <n v="25"/>
    <x v="0"/>
    <x v="0"/>
    <d v="2024-01-22T00:00:00"/>
    <n v="2.1972602739726028"/>
    <x v="126"/>
    <x v="1"/>
    <x v="1"/>
    <x v="1"/>
    <n v="16.12"/>
    <m/>
    <m/>
    <m/>
    <m/>
    <m/>
    <m/>
    <x v="4"/>
    <n v="2"/>
    <n v="4"/>
    <m/>
    <m/>
    <m/>
    <m/>
    <m/>
    <m/>
    <m/>
    <m/>
    <m/>
    <m/>
    <m/>
    <m/>
    <m/>
    <m/>
  </r>
  <r>
    <n v="1900"/>
    <n v="49622"/>
    <d v="1998-06-06T00:00:00"/>
    <n v="27"/>
    <x v="1"/>
    <x v="1"/>
    <d v="2023-10-21T00:00:00"/>
    <n v="2.1780821917808217"/>
    <x v="128"/>
    <x v="1"/>
    <x v="8"/>
    <x v="1"/>
    <n v="8.5500000000000007"/>
    <n v="8.26"/>
    <m/>
    <m/>
    <m/>
    <m/>
    <m/>
    <x v="3"/>
    <n v="0"/>
    <n v="6"/>
    <m/>
    <m/>
    <m/>
    <m/>
    <m/>
    <m/>
    <m/>
    <m/>
    <m/>
    <m/>
    <m/>
    <m/>
    <m/>
    <m/>
  </r>
  <r>
    <n v="1901"/>
    <n v="49632"/>
    <d v="2001-09-02T00:00:00"/>
    <n v="24"/>
    <x v="1"/>
    <x v="1"/>
    <d v="2023-10-28T00:00:00"/>
    <n v="2.4712328767123286"/>
    <x v="127"/>
    <x v="0"/>
    <x v="8"/>
    <x v="1"/>
    <n v="8.36"/>
    <n v="8.26"/>
    <m/>
    <m/>
    <m/>
    <m/>
    <m/>
    <x v="2"/>
    <n v="0"/>
    <n v="5"/>
    <m/>
    <m/>
    <m/>
    <m/>
    <m/>
    <m/>
    <m/>
    <m/>
    <m/>
    <m/>
    <m/>
    <m/>
    <m/>
    <m/>
  </r>
  <r>
    <n v="1902"/>
    <n v="49642"/>
    <d v="2002-03-11T00:00:00"/>
    <n v="23"/>
    <x v="1"/>
    <x v="1"/>
    <d v="2023-07-13T00:00:00"/>
    <n v="1.904109589041096"/>
    <x v="15"/>
    <x v="0"/>
    <x v="8"/>
    <x v="1"/>
    <n v="8.4600000000000009"/>
    <n v="8.26"/>
    <m/>
    <m/>
    <m/>
    <m/>
    <m/>
    <x v="2"/>
    <n v="2"/>
    <n v="7"/>
    <m/>
    <m/>
    <m/>
    <m/>
    <m/>
    <m/>
    <m/>
    <m/>
    <m/>
    <m/>
    <m/>
    <m/>
    <m/>
    <m/>
  </r>
  <r>
    <n v="1903"/>
    <n v="49650"/>
    <d v="1995-06-22T00:00:00"/>
    <n v="30"/>
    <x v="1"/>
    <x v="1"/>
    <d v="2024-02-05T00:00:00"/>
    <n v="2.010958904109589"/>
    <x v="88"/>
    <x v="0"/>
    <x v="10"/>
    <x v="1"/>
    <n v="10.49"/>
    <m/>
    <m/>
    <m/>
    <m/>
    <m/>
    <m/>
    <x v="1"/>
    <n v="1"/>
    <n v="6"/>
    <m/>
    <m/>
    <m/>
    <m/>
    <m/>
    <m/>
    <m/>
    <m/>
    <m/>
    <m/>
    <m/>
    <m/>
    <m/>
    <m/>
  </r>
  <r>
    <n v="1904"/>
    <n v="49677"/>
    <d v="1997-10-02T00:00:00"/>
    <n v="28"/>
    <x v="0"/>
    <x v="1"/>
    <d v="2023-12-28T00:00:00"/>
    <n v="1.9643835616438357"/>
    <x v="87"/>
    <x v="0"/>
    <x v="7"/>
    <x v="1"/>
    <n v="17.309999999999999"/>
    <n v="17.16"/>
    <m/>
    <m/>
    <m/>
    <m/>
    <m/>
    <x v="3"/>
    <n v="1"/>
    <n v="5"/>
    <m/>
    <m/>
    <m/>
    <m/>
    <m/>
    <m/>
    <m/>
    <m/>
    <m/>
    <m/>
    <m/>
    <m/>
    <m/>
    <m/>
  </r>
  <r>
    <n v="1905"/>
    <n v="49683"/>
    <d v="2005-07-09T00:00:00"/>
    <n v="20"/>
    <x v="1"/>
    <x v="0"/>
    <d v="2024-01-14T00:00:00"/>
    <n v="1.9260273972602739"/>
    <x v="26"/>
    <x v="0"/>
    <x v="8"/>
    <x v="1"/>
    <n v="8.42"/>
    <m/>
    <m/>
    <m/>
    <m/>
    <m/>
    <m/>
    <x v="4"/>
    <n v="2"/>
    <n v="5"/>
    <m/>
    <m/>
    <m/>
    <m/>
    <m/>
    <m/>
    <m/>
    <m/>
    <m/>
    <m/>
    <m/>
    <m/>
    <m/>
    <m/>
  </r>
  <r>
    <n v="1906"/>
    <n v="49692"/>
    <d v="1999-12-06T00:00:00"/>
    <n v="26"/>
    <x v="1"/>
    <x v="1"/>
    <d v="2024-01-28T00:00:00"/>
    <n v="2.5534246575342467"/>
    <x v="61"/>
    <x v="0"/>
    <x v="11"/>
    <x v="1"/>
    <n v="16.579999999999998"/>
    <m/>
    <m/>
    <m/>
    <m/>
    <m/>
    <m/>
    <x v="3"/>
    <n v="3"/>
    <n v="7"/>
    <m/>
    <m/>
    <m/>
    <m/>
    <m/>
    <m/>
    <m/>
    <m/>
    <m/>
    <m/>
    <m/>
    <m/>
    <m/>
    <m/>
  </r>
  <r>
    <n v="1907"/>
    <n v="49693"/>
    <d v="1998-03-19T00:00:00"/>
    <n v="27"/>
    <x v="1"/>
    <x v="0"/>
    <d v="2023-06-13T00:00:00"/>
    <n v="1.8712328767123287"/>
    <x v="61"/>
    <x v="0"/>
    <x v="11"/>
    <x v="1"/>
    <n v="16.79"/>
    <n v="16.579999999999998"/>
    <m/>
    <m/>
    <m/>
    <m/>
    <m/>
    <x v="4"/>
    <n v="2"/>
    <n v="6"/>
    <m/>
    <m/>
    <m/>
    <m/>
    <m/>
    <m/>
    <m/>
    <m/>
    <m/>
    <m/>
    <m/>
    <m/>
    <m/>
    <m/>
  </r>
  <r>
    <n v="1908"/>
    <n v="49698"/>
    <d v="1992-04-05T00:00:00"/>
    <n v="33"/>
    <x v="1"/>
    <x v="1"/>
    <d v="2024-02-17T00:00:00"/>
    <n v="2.3643835616438356"/>
    <x v="31"/>
    <x v="0"/>
    <x v="8"/>
    <x v="1"/>
    <n v="8.4600000000000009"/>
    <m/>
    <m/>
    <m/>
    <m/>
    <m/>
    <m/>
    <x v="2"/>
    <n v="2"/>
    <n v="6"/>
    <m/>
    <m/>
    <m/>
    <m/>
    <m/>
    <m/>
    <m/>
    <m/>
    <m/>
    <m/>
    <m/>
    <m/>
    <m/>
    <m/>
  </r>
  <r>
    <n v="1909"/>
    <n v="49701"/>
    <d v="2001-05-11T00:00:00"/>
    <n v="24"/>
    <x v="0"/>
    <x v="1"/>
    <d v="2023-08-21T00:00:00"/>
    <n v="2.2931506849315069"/>
    <x v="32"/>
    <x v="0"/>
    <x v="8"/>
    <x v="1"/>
    <n v="8.5399999999999991"/>
    <n v="8.26"/>
    <m/>
    <m/>
    <m/>
    <m/>
    <m/>
    <x v="4"/>
    <n v="4"/>
    <n v="6"/>
    <m/>
    <m/>
    <m/>
    <m/>
    <m/>
    <m/>
    <m/>
    <m/>
    <m/>
    <m/>
    <m/>
    <m/>
    <m/>
    <m/>
  </r>
  <r>
    <n v="1910"/>
    <n v="49714"/>
    <d v="1993-11-03T00:00:00"/>
    <n v="32"/>
    <x v="1"/>
    <x v="1"/>
    <d v="2023-09-16T00:00:00"/>
    <n v="2.0273972602739727"/>
    <x v="136"/>
    <x v="0"/>
    <x v="8"/>
    <x v="1"/>
    <n v="8.4600000000000009"/>
    <n v="8.26"/>
    <m/>
    <m/>
    <m/>
    <m/>
    <m/>
    <x v="3"/>
    <n v="2"/>
    <n v="6"/>
    <m/>
    <m/>
    <m/>
    <m/>
    <m/>
    <m/>
    <m/>
    <m/>
    <m/>
    <m/>
    <m/>
    <m/>
    <m/>
    <m/>
  </r>
  <r>
    <n v="1911"/>
    <n v="49721"/>
    <d v="2005-08-21T00:00:00"/>
    <n v="20"/>
    <x v="1"/>
    <x v="1"/>
    <d v="2023-12-22T00:00:00"/>
    <n v="2.2000000000000002"/>
    <x v="140"/>
    <x v="0"/>
    <x v="10"/>
    <x v="1"/>
    <n v="10.58"/>
    <n v="10.38"/>
    <m/>
    <m/>
    <m/>
    <m/>
    <m/>
    <x v="2"/>
    <n v="1"/>
    <n v="6"/>
    <m/>
    <m/>
    <m/>
    <m/>
    <m/>
    <m/>
    <m/>
    <m/>
    <m/>
    <m/>
    <m/>
    <m/>
    <m/>
    <m/>
  </r>
  <r>
    <n v="1912"/>
    <n v="49730"/>
    <d v="2003-03-15T00:00:00"/>
    <n v="22"/>
    <x v="1"/>
    <x v="0"/>
    <d v="2023-10-20T00:00:00"/>
    <n v="2.0301369863013701"/>
    <x v="141"/>
    <x v="0"/>
    <x v="3"/>
    <x v="1"/>
    <n v="8.36"/>
    <n v="8.26"/>
    <m/>
    <m/>
    <m/>
    <m/>
    <m/>
    <x v="3"/>
    <n v="1"/>
    <n v="6"/>
    <m/>
    <m/>
    <m/>
    <m/>
    <m/>
    <m/>
    <m/>
    <m/>
    <m/>
    <m/>
    <m/>
    <m/>
    <m/>
    <m/>
  </r>
  <r>
    <n v="1913"/>
    <n v="49741"/>
    <d v="2003-07-02T00:00:00"/>
    <n v="22"/>
    <x v="1"/>
    <x v="1"/>
    <d v="2023-12-21T00:00:00"/>
    <n v="2.7287671232876711"/>
    <x v="73"/>
    <x v="0"/>
    <x v="3"/>
    <x v="1"/>
    <n v="8.4600000000000009"/>
    <n v="8.26"/>
    <m/>
    <m/>
    <m/>
    <m/>
    <m/>
    <x v="2"/>
    <n v="1"/>
    <n v="5"/>
    <m/>
    <m/>
    <m/>
    <m/>
    <m/>
    <m/>
    <m/>
    <m/>
    <m/>
    <m/>
    <m/>
    <m/>
    <m/>
    <m/>
  </r>
  <r>
    <n v="1914"/>
    <n v="49746"/>
    <d v="2001-04-13T00:00:00"/>
    <n v="24"/>
    <x v="0"/>
    <x v="1"/>
    <d v="2023-04-10T00:00:00"/>
    <n v="2.6684931506849314"/>
    <x v="59"/>
    <x v="0"/>
    <x v="11"/>
    <x v="1"/>
    <n v="16.809999999999999"/>
    <n v="16.579999999999998"/>
    <m/>
    <m/>
    <m/>
    <m/>
    <m/>
    <x v="1"/>
    <n v="4"/>
    <n v="5"/>
    <m/>
    <m/>
    <m/>
    <m/>
    <m/>
    <m/>
    <m/>
    <m/>
    <m/>
    <m/>
    <m/>
    <m/>
    <m/>
    <m/>
  </r>
  <r>
    <n v="1915"/>
    <n v="49748"/>
    <d v="1997-07-09T00:00:00"/>
    <n v="28"/>
    <x v="1"/>
    <x v="0"/>
    <d v="2023-05-02T00:00:00"/>
    <n v="2.8191780821917809"/>
    <x v="59"/>
    <x v="0"/>
    <x v="8"/>
    <x v="1"/>
    <n v="8.5399999999999991"/>
    <n v="8.26"/>
    <m/>
    <m/>
    <m/>
    <m/>
    <m/>
    <x v="1"/>
    <n v="4"/>
    <n v="6"/>
    <m/>
    <m/>
    <m/>
    <m/>
    <m/>
    <m/>
    <m/>
    <m/>
    <m/>
    <m/>
    <m/>
    <m/>
    <m/>
    <m/>
  </r>
  <r>
    <n v="1916"/>
    <n v="49752"/>
    <d v="2003-02-14T00:00:00"/>
    <n v="22"/>
    <x v="1"/>
    <x v="0"/>
    <d v="2023-03-08T00:00:00"/>
    <n v="2.2000000000000002"/>
    <x v="77"/>
    <x v="0"/>
    <x v="8"/>
    <x v="1"/>
    <n v="8.4600000000000009"/>
    <n v="8.26"/>
    <m/>
    <m/>
    <m/>
    <m/>
    <m/>
    <x v="1"/>
    <n v="4"/>
    <n v="5"/>
    <m/>
    <m/>
    <m/>
    <m/>
    <m/>
    <m/>
    <m/>
    <m/>
    <m/>
    <m/>
    <m/>
    <m/>
    <m/>
    <m/>
  </r>
  <r>
    <n v="1917"/>
    <n v="49758"/>
    <d v="2001-12-15T00:00:00"/>
    <n v="24"/>
    <x v="1"/>
    <x v="1"/>
    <d v="2023-10-20T00:00:00"/>
    <n v="1.8986301369863015"/>
    <x v="43"/>
    <x v="1"/>
    <x v="8"/>
    <x v="1"/>
    <n v="8.49"/>
    <n v="8.26"/>
    <m/>
    <m/>
    <m/>
    <m/>
    <m/>
    <x v="4"/>
    <n v="2"/>
    <n v="7"/>
    <m/>
    <m/>
    <m/>
    <m/>
    <m/>
    <m/>
    <m/>
    <m/>
    <m/>
    <m/>
    <m/>
    <m/>
    <m/>
    <m/>
  </r>
  <r>
    <n v="1918"/>
    <n v="49759"/>
    <d v="1999-12-07T00:00:00"/>
    <n v="26"/>
    <x v="0"/>
    <x v="1"/>
    <d v="2024-02-07T00:00:00"/>
    <n v="2.3561643835616439"/>
    <x v="104"/>
    <x v="1"/>
    <x v="11"/>
    <x v="1"/>
    <n v="16.78"/>
    <m/>
    <m/>
    <m/>
    <m/>
    <m/>
    <m/>
    <x v="3"/>
    <n v="3"/>
    <n v="5"/>
    <m/>
    <m/>
    <m/>
    <m/>
    <m/>
    <m/>
    <m/>
    <m/>
    <m/>
    <m/>
    <m/>
    <m/>
    <m/>
    <m/>
  </r>
  <r>
    <n v="1919"/>
    <n v="49775"/>
    <d v="1996-11-23T00:00:00"/>
    <n v="29"/>
    <x v="0"/>
    <x v="1"/>
    <d v="2023-08-24T00:00:00"/>
    <n v="2.6027397260273974"/>
    <x v="30"/>
    <x v="1"/>
    <x v="6"/>
    <x v="1"/>
    <n v="23.5"/>
    <n v="23.2"/>
    <m/>
    <m/>
    <m/>
    <m/>
    <m/>
    <x v="2"/>
    <n v="4"/>
    <n v="6"/>
    <m/>
    <m/>
    <m/>
    <m/>
    <m/>
    <m/>
    <m/>
    <m/>
    <m/>
    <m/>
    <m/>
    <m/>
    <m/>
    <m/>
  </r>
  <r>
    <n v="1920"/>
    <n v="49777"/>
    <d v="2002-06-15T00:00:00"/>
    <n v="23"/>
    <x v="1"/>
    <x v="1"/>
    <d v="2023-05-26T00:00:00"/>
    <n v="2.0164383561643837"/>
    <x v="115"/>
    <x v="1"/>
    <x v="10"/>
    <x v="1"/>
    <n v="10.58"/>
    <n v="10.38"/>
    <m/>
    <m/>
    <m/>
    <m/>
    <m/>
    <x v="4"/>
    <n v="0"/>
    <n v="5"/>
    <m/>
    <m/>
    <m/>
    <m/>
    <m/>
    <m/>
    <m/>
    <m/>
    <m/>
    <m/>
    <m/>
    <m/>
    <m/>
    <m/>
  </r>
  <r>
    <n v="1921"/>
    <n v="49791"/>
    <d v="2000-09-23T00:00:00"/>
    <n v="25"/>
    <x v="0"/>
    <x v="1"/>
    <d v="2023-12-26T00:00:00"/>
    <n v="1.9452054794520548"/>
    <x v="121"/>
    <x v="1"/>
    <x v="11"/>
    <x v="1"/>
    <n v="16.78"/>
    <n v="16.579999999999998"/>
    <m/>
    <m/>
    <m/>
    <m/>
    <m/>
    <x v="3"/>
    <n v="2"/>
    <n v="5"/>
    <m/>
    <m/>
    <m/>
    <m/>
    <m/>
    <m/>
    <m/>
    <m/>
    <m/>
    <m/>
    <m/>
    <m/>
    <m/>
    <m/>
  </r>
  <r>
    <n v="1922"/>
    <n v="49792"/>
    <d v="1990-07-02T00:00:00"/>
    <n v="35"/>
    <x v="0"/>
    <x v="1"/>
    <d v="2024-01-21T00:00:00"/>
    <n v="2.6410958904109587"/>
    <x v="121"/>
    <x v="1"/>
    <x v="2"/>
    <x v="1"/>
    <n v="14.18"/>
    <m/>
    <m/>
    <m/>
    <m/>
    <m/>
    <m/>
    <x v="4"/>
    <n v="0"/>
    <n v="4"/>
    <m/>
    <m/>
    <m/>
    <m/>
    <m/>
    <m/>
    <m/>
    <m/>
    <m/>
    <m/>
    <m/>
    <m/>
    <m/>
    <m/>
  </r>
  <r>
    <n v="1923"/>
    <n v="49798"/>
    <d v="2004-12-10T00:00:00"/>
    <n v="21"/>
    <x v="1"/>
    <x v="1"/>
    <d v="2023-05-12T00:00:00"/>
    <n v="1.9397260273972603"/>
    <x v="56"/>
    <x v="1"/>
    <x v="10"/>
    <x v="1"/>
    <n v="10.58"/>
    <n v="10.38"/>
    <m/>
    <m/>
    <m/>
    <m/>
    <m/>
    <x v="2"/>
    <n v="1"/>
    <n v="6"/>
    <m/>
    <m/>
    <m/>
    <m/>
    <m/>
    <m/>
    <m/>
    <m/>
    <m/>
    <m/>
    <m/>
    <m/>
    <m/>
    <m/>
  </r>
  <r>
    <n v="1924"/>
    <n v="49801"/>
    <d v="1997-10-08T00:00:00"/>
    <n v="28"/>
    <x v="0"/>
    <x v="1"/>
    <d v="2024-01-23T00:00:00"/>
    <n v="2.1041095890410957"/>
    <x v="85"/>
    <x v="1"/>
    <x v="10"/>
    <x v="1"/>
    <n v="10.65"/>
    <m/>
    <m/>
    <m/>
    <m/>
    <m/>
    <m/>
    <x v="1"/>
    <n v="0"/>
    <n v="4"/>
    <m/>
    <m/>
    <m/>
    <m/>
    <m/>
    <m/>
    <m/>
    <m/>
    <m/>
    <m/>
    <m/>
    <m/>
    <m/>
    <m/>
  </r>
  <r>
    <n v="1925"/>
    <n v="49859"/>
    <d v="1990-10-03T00:00:00"/>
    <n v="35"/>
    <x v="1"/>
    <x v="1"/>
    <d v="2023-11-24T00:00:00"/>
    <n v="2.1424657534246574"/>
    <x v="101"/>
    <x v="1"/>
    <x v="2"/>
    <x v="1"/>
    <n v="14.3"/>
    <n v="13.88"/>
    <m/>
    <m/>
    <m/>
    <m/>
    <m/>
    <x v="3"/>
    <n v="0"/>
    <n v="6"/>
    <m/>
    <m/>
    <m/>
    <m/>
    <m/>
    <m/>
    <m/>
    <m/>
    <m/>
    <m/>
    <m/>
    <m/>
    <m/>
    <m/>
  </r>
  <r>
    <n v="1926"/>
    <n v="49861"/>
    <d v="2002-09-21T00:00:00"/>
    <n v="23"/>
    <x v="1"/>
    <x v="1"/>
    <d v="2023-11-10T00:00:00"/>
    <n v="2.6438356164383561"/>
    <x v="132"/>
    <x v="1"/>
    <x v="1"/>
    <x v="1"/>
    <n v="16.12"/>
    <n v="15.97"/>
    <m/>
    <m/>
    <m/>
    <m/>
    <m/>
    <x v="2"/>
    <n v="2"/>
    <n v="5"/>
    <m/>
    <m/>
    <m/>
    <m/>
    <m/>
    <m/>
    <m/>
    <m/>
    <m/>
    <m/>
    <m/>
    <m/>
    <m/>
    <m/>
  </r>
  <r>
    <n v="1927"/>
    <n v="49869"/>
    <d v="1999-09-04T00:00:00"/>
    <n v="26"/>
    <x v="1"/>
    <x v="1"/>
    <d v="2023-05-11T00:00:00"/>
    <n v="1.8821917808219177"/>
    <x v="116"/>
    <x v="1"/>
    <x v="8"/>
    <x v="1"/>
    <n v="8.56"/>
    <n v="8.26"/>
    <m/>
    <m/>
    <m/>
    <m/>
    <m/>
    <x v="2"/>
    <n v="0"/>
    <n v="6"/>
    <m/>
    <m/>
    <m/>
    <m/>
    <m/>
    <m/>
    <m/>
    <m/>
    <m/>
    <m/>
    <m/>
    <m/>
    <m/>
    <m/>
  </r>
  <r>
    <n v="1928"/>
    <n v="49885"/>
    <d v="2001-07-06T00:00:00"/>
    <n v="24"/>
    <x v="1"/>
    <x v="0"/>
    <d v="2024-02-13T00:00:00"/>
    <n v="2.117808219178082"/>
    <x v="2"/>
    <x v="0"/>
    <x v="11"/>
    <x v="1"/>
    <n v="16.78"/>
    <m/>
    <m/>
    <m/>
    <m/>
    <m/>
    <m/>
    <x v="4"/>
    <n v="3"/>
    <n v="6"/>
    <m/>
    <m/>
    <m/>
    <m/>
    <m/>
    <m/>
    <m/>
    <m/>
    <m/>
    <m/>
    <m/>
    <m/>
    <m/>
    <m/>
  </r>
  <r>
    <n v="1929"/>
    <n v="49917"/>
    <d v="2002-12-22T00:00:00"/>
    <n v="23"/>
    <x v="1"/>
    <x v="0"/>
    <d v="2023-11-19T00:00:00"/>
    <n v="2.1780821917808217"/>
    <x v="3"/>
    <x v="0"/>
    <x v="8"/>
    <x v="1"/>
    <n v="8.4600000000000009"/>
    <n v="8.26"/>
    <m/>
    <m/>
    <m/>
    <m/>
    <m/>
    <x v="4"/>
    <n v="2"/>
    <n v="6"/>
    <m/>
    <m/>
    <m/>
    <m/>
    <m/>
    <m/>
    <m/>
    <m/>
    <m/>
    <m/>
    <m/>
    <m/>
    <m/>
    <m/>
  </r>
  <r>
    <n v="1930"/>
    <n v="49923"/>
    <d v="2004-06-07T00:00:00"/>
    <n v="21"/>
    <x v="1"/>
    <x v="0"/>
    <d v="2023-10-28T00:00:00"/>
    <n v="2.3616438356164382"/>
    <x v="3"/>
    <x v="0"/>
    <x v="8"/>
    <x v="1"/>
    <n v="8.4600000000000009"/>
    <n v="8.26"/>
    <m/>
    <m/>
    <m/>
    <m/>
    <m/>
    <x v="1"/>
    <n v="4"/>
    <n v="6"/>
    <m/>
    <m/>
    <m/>
    <m/>
    <m/>
    <m/>
    <m/>
    <m/>
    <m/>
    <m/>
    <m/>
    <m/>
    <m/>
    <m/>
  </r>
  <r>
    <n v="1931"/>
    <n v="49939"/>
    <d v="2000-11-29T00:00:00"/>
    <n v="25"/>
    <x v="1"/>
    <x v="0"/>
    <d v="2023-08-22T00:00:00"/>
    <n v="2.591780821917808"/>
    <x v="4"/>
    <x v="0"/>
    <x v="8"/>
    <x v="1"/>
    <n v="8.4600000000000009"/>
    <n v="8.26"/>
    <m/>
    <m/>
    <m/>
    <m/>
    <m/>
    <x v="2"/>
    <n v="2"/>
    <n v="4"/>
    <m/>
    <m/>
    <m/>
    <m/>
    <m/>
    <m/>
    <m/>
    <m/>
    <m/>
    <m/>
    <m/>
    <m/>
    <m/>
    <m/>
  </r>
  <r>
    <n v="1932"/>
    <n v="49941"/>
    <d v="2001-01-04T00:00:00"/>
    <n v="24"/>
    <x v="1"/>
    <x v="0"/>
    <d v="2023-05-30T00:00:00"/>
    <n v="2.7972602739726029"/>
    <x v="5"/>
    <x v="0"/>
    <x v="11"/>
    <x v="1"/>
    <n v="16.78"/>
    <n v="16.579999999999998"/>
    <m/>
    <m/>
    <m/>
    <m/>
    <m/>
    <x v="2"/>
    <n v="1"/>
    <n v="4"/>
    <m/>
    <m/>
    <m/>
    <m/>
    <m/>
    <m/>
    <m/>
    <m/>
    <m/>
    <m/>
    <m/>
    <m/>
    <m/>
    <m/>
  </r>
  <r>
    <n v="1933"/>
    <n v="49955"/>
    <d v="2001-12-27T00:00:00"/>
    <n v="24"/>
    <x v="1"/>
    <x v="0"/>
    <d v="2023-03-16T00:00:00"/>
    <n v="2.5945205479452054"/>
    <x v="7"/>
    <x v="0"/>
    <x v="11"/>
    <x v="1"/>
    <n v="16.78"/>
    <n v="16.579999999999998"/>
    <m/>
    <m/>
    <m/>
    <m/>
    <m/>
    <x v="4"/>
    <n v="2"/>
    <n v="5"/>
    <m/>
    <m/>
    <m/>
    <m/>
    <m/>
    <m/>
    <m/>
    <m/>
    <m/>
    <m/>
    <m/>
    <m/>
    <m/>
    <m/>
  </r>
  <r>
    <n v="1934"/>
    <n v="49964"/>
    <d v="1994-12-18T00:00:00"/>
    <n v="31"/>
    <x v="1"/>
    <x v="0"/>
    <d v="2023-05-29T00:00:00"/>
    <n v="2.8657534246575342"/>
    <x v="7"/>
    <x v="0"/>
    <x v="8"/>
    <x v="1"/>
    <n v="8.4600000000000009"/>
    <n v="8.26"/>
    <m/>
    <m/>
    <m/>
    <m/>
    <m/>
    <x v="2"/>
    <n v="4"/>
    <n v="6"/>
    <m/>
    <m/>
    <m/>
    <m/>
    <m/>
    <m/>
    <m/>
    <m/>
    <m/>
    <m/>
    <m/>
    <m/>
    <m/>
    <m/>
  </r>
  <r>
    <n v="1935"/>
    <n v="49965"/>
    <d v="2001-03-23T00:00:00"/>
    <n v="24"/>
    <x v="1"/>
    <x v="0"/>
    <d v="2023-02-19T00:00:00"/>
    <n v="2.3780821917808219"/>
    <x v="7"/>
    <x v="0"/>
    <x v="8"/>
    <x v="1"/>
    <n v="8.4600000000000009"/>
    <n v="8.26"/>
    <m/>
    <m/>
    <m/>
    <m/>
    <m/>
    <x v="4"/>
    <n v="2"/>
    <n v="6"/>
    <m/>
    <m/>
    <m/>
    <m/>
    <m/>
    <m/>
    <m/>
    <m/>
    <m/>
    <m/>
    <m/>
    <m/>
    <m/>
    <m/>
  </r>
  <r>
    <n v="1936"/>
    <n v="49984"/>
    <d v="2003-07-31T00:00:00"/>
    <n v="22"/>
    <x v="0"/>
    <x v="1"/>
    <d v="2023-08-16T00:00:00"/>
    <n v="2.4684931506849317"/>
    <x v="127"/>
    <x v="0"/>
    <x v="8"/>
    <x v="1"/>
    <n v="8.36"/>
    <n v="8.26"/>
    <m/>
    <m/>
    <m/>
    <m/>
    <m/>
    <x v="4"/>
    <n v="4"/>
    <n v="4"/>
    <m/>
    <m/>
    <m/>
    <m/>
    <m/>
    <m/>
    <m/>
    <m/>
    <m/>
    <m/>
    <m/>
    <m/>
    <m/>
    <m/>
  </r>
  <r>
    <n v="1937"/>
    <n v="49994"/>
    <d v="2003-10-03T00:00:00"/>
    <n v="22"/>
    <x v="1"/>
    <x v="0"/>
    <d v="2023-07-14T00:00:00"/>
    <n v="2.2054794520547945"/>
    <x v="10"/>
    <x v="0"/>
    <x v="8"/>
    <x v="1"/>
    <n v="8.3800000000000008"/>
    <n v="8.26"/>
    <m/>
    <m/>
    <m/>
    <m/>
    <m/>
    <x v="1"/>
    <n v="4"/>
    <n v="7"/>
    <m/>
    <m/>
    <m/>
    <m/>
    <m/>
    <m/>
    <m/>
    <m/>
    <m/>
    <m/>
    <m/>
    <m/>
    <m/>
    <m/>
  </r>
  <r>
    <n v="1938"/>
    <n v="50000"/>
    <d v="1992-07-28T00:00:00"/>
    <n v="33"/>
    <x v="0"/>
    <x v="0"/>
    <d v="2023-10-18T00:00:00"/>
    <n v="2.0383561643835617"/>
    <x v="124"/>
    <x v="0"/>
    <x v="11"/>
    <x v="1"/>
    <n v="16.78"/>
    <n v="16.579999999999998"/>
    <m/>
    <m/>
    <m/>
    <m/>
    <m/>
    <x v="1"/>
    <n v="3"/>
    <n v="6"/>
    <m/>
    <m/>
    <m/>
    <m/>
    <m/>
    <m/>
    <m/>
    <m/>
    <m/>
    <m/>
    <m/>
    <m/>
    <m/>
    <m/>
  </r>
  <r>
    <n v="1939"/>
    <n v="50005"/>
    <d v="2004-08-16T00:00:00"/>
    <n v="21"/>
    <x v="0"/>
    <x v="0"/>
    <d v="2023-12-18T00:00:00"/>
    <n v="2.6136986301369864"/>
    <x v="124"/>
    <x v="0"/>
    <x v="8"/>
    <x v="1"/>
    <n v="8.4600000000000009"/>
    <n v="8.26"/>
    <m/>
    <m/>
    <m/>
    <m/>
    <m/>
    <x v="1"/>
    <n v="1"/>
    <n v="3"/>
    <m/>
    <m/>
    <m/>
    <m/>
    <m/>
    <m/>
    <m/>
    <m/>
    <m/>
    <m/>
    <m/>
    <m/>
    <m/>
    <m/>
  </r>
  <r>
    <n v="1940"/>
    <n v="50036"/>
    <d v="1996-05-15T00:00:00"/>
    <n v="29"/>
    <x v="0"/>
    <x v="1"/>
    <d v="2023-05-22T00:00:00"/>
    <n v="1.9013698630136986"/>
    <x v="45"/>
    <x v="0"/>
    <x v="7"/>
    <x v="1"/>
    <n v="17.16"/>
    <n v="17.16"/>
    <m/>
    <m/>
    <m/>
    <m/>
    <m/>
    <x v="2"/>
    <n v="2"/>
    <n v="5"/>
    <m/>
    <m/>
    <m/>
    <m/>
    <m/>
    <m/>
    <m/>
    <m/>
    <m/>
    <m/>
    <m/>
    <m/>
    <m/>
    <m/>
  </r>
  <r>
    <n v="1941"/>
    <n v="50047"/>
    <d v="2006-02-12T00:00:00"/>
    <n v="19"/>
    <x v="1"/>
    <x v="1"/>
    <d v="2024-02-06T00:00:00"/>
    <n v="2.6739726027397261"/>
    <x v="45"/>
    <x v="0"/>
    <x v="8"/>
    <x v="1"/>
    <n v="8.36"/>
    <m/>
    <m/>
    <m/>
    <m/>
    <m/>
    <m/>
    <x v="2"/>
    <n v="2"/>
    <n v="6"/>
    <m/>
    <m/>
    <m/>
    <m/>
    <m/>
    <m/>
    <m/>
    <m/>
    <m/>
    <m/>
    <m/>
    <m/>
    <m/>
    <m/>
  </r>
  <r>
    <n v="1942"/>
    <n v="50065"/>
    <d v="2002-04-05T00:00:00"/>
    <n v="23"/>
    <x v="1"/>
    <x v="1"/>
    <d v="2023-04-30T00:00:00"/>
    <n v="2.484931506849315"/>
    <x v="12"/>
    <x v="0"/>
    <x v="8"/>
    <x v="1"/>
    <n v="8.4600000000000009"/>
    <n v="8.26"/>
    <m/>
    <m/>
    <m/>
    <m/>
    <m/>
    <x v="2"/>
    <n v="2"/>
    <n v="6"/>
    <m/>
    <m/>
    <m/>
    <m/>
    <m/>
    <m/>
    <m/>
    <m/>
    <m/>
    <m/>
    <m/>
    <m/>
    <m/>
    <m/>
  </r>
  <r>
    <n v="1943"/>
    <n v="50092"/>
    <d v="2005-11-08T00:00:00"/>
    <n v="20"/>
    <x v="1"/>
    <x v="1"/>
    <d v="2023-07-08T00:00:00"/>
    <n v="1.8547945205479452"/>
    <x v="82"/>
    <x v="0"/>
    <x v="8"/>
    <x v="1"/>
    <n v="8.36"/>
    <n v="8.26"/>
    <m/>
    <m/>
    <m/>
    <m/>
    <m/>
    <x v="2"/>
    <n v="0"/>
    <n v="4"/>
    <m/>
    <m/>
    <m/>
    <m/>
    <m/>
    <m/>
    <m/>
    <m/>
    <m/>
    <m/>
    <m/>
    <m/>
    <m/>
    <m/>
  </r>
  <r>
    <n v="1944"/>
    <n v="50111"/>
    <d v="1999-06-03T00:00:00"/>
    <n v="26"/>
    <x v="1"/>
    <x v="1"/>
    <d v="2024-02-23T00:00:00"/>
    <n v="2.5643835616438357"/>
    <x v="13"/>
    <x v="0"/>
    <x v="7"/>
    <x v="1"/>
    <n v="17.46"/>
    <m/>
    <m/>
    <m/>
    <m/>
    <m/>
    <m/>
    <x v="4"/>
    <n v="1"/>
    <n v="5"/>
    <m/>
    <m/>
    <m/>
    <m/>
    <m/>
    <m/>
    <m/>
    <m/>
    <m/>
    <m/>
    <m/>
    <m/>
    <m/>
    <m/>
  </r>
  <r>
    <n v="1945"/>
    <n v="50138"/>
    <d v="2004-05-23T00:00:00"/>
    <n v="21"/>
    <x v="1"/>
    <x v="0"/>
    <d v="2023-06-09T00:00:00"/>
    <n v="2.8301369863013699"/>
    <x v="14"/>
    <x v="0"/>
    <x v="8"/>
    <x v="1"/>
    <n v="8.4600000000000009"/>
    <n v="8.26"/>
    <m/>
    <m/>
    <m/>
    <m/>
    <m/>
    <x v="3"/>
    <n v="0"/>
    <n v="5"/>
    <m/>
    <m/>
    <m/>
    <m/>
    <m/>
    <m/>
    <m/>
    <m/>
    <m/>
    <m/>
    <m/>
    <m/>
    <m/>
    <m/>
  </r>
  <r>
    <n v="1946"/>
    <n v="50170"/>
    <d v="2006-08-16T00:00:00"/>
    <n v="19"/>
    <x v="1"/>
    <x v="1"/>
    <d v="2023-03-04T00:00:00"/>
    <n v="2.5178082191780824"/>
    <x v="15"/>
    <x v="0"/>
    <x v="8"/>
    <x v="1"/>
    <n v="8.4600000000000009"/>
    <n v="8.26"/>
    <m/>
    <m/>
    <m/>
    <m/>
    <m/>
    <x v="2"/>
    <n v="0"/>
    <n v="5"/>
    <m/>
    <m/>
    <m/>
    <m/>
    <m/>
    <m/>
    <m/>
    <m/>
    <m/>
    <m/>
    <m/>
    <m/>
    <m/>
    <m/>
  </r>
  <r>
    <n v="1947"/>
    <n v="50187"/>
    <d v="2005-02-19T00:00:00"/>
    <n v="20"/>
    <x v="1"/>
    <x v="1"/>
    <d v="2023-06-26T00:00:00"/>
    <n v="2.536986301369863"/>
    <x v="17"/>
    <x v="0"/>
    <x v="8"/>
    <x v="1"/>
    <n v="8.4600000000000009"/>
    <n v="8.26"/>
    <m/>
    <m/>
    <m/>
    <m/>
    <m/>
    <x v="4"/>
    <n v="1"/>
    <n v="6"/>
    <m/>
    <m/>
    <m/>
    <m/>
    <m/>
    <m/>
    <m/>
    <m/>
    <m/>
    <m/>
    <m/>
    <m/>
    <m/>
    <m/>
  </r>
  <r>
    <n v="1948"/>
    <n v="50194"/>
    <d v="2005-05-10T00:00:00"/>
    <n v="20"/>
    <x v="1"/>
    <x v="1"/>
    <d v="2023-06-19T00:00:00"/>
    <n v="2.4602739726027396"/>
    <x v="17"/>
    <x v="0"/>
    <x v="8"/>
    <x v="1"/>
    <n v="8.4600000000000009"/>
    <n v="8.26"/>
    <m/>
    <m/>
    <m/>
    <m/>
    <m/>
    <x v="2"/>
    <n v="2"/>
    <n v="5"/>
    <m/>
    <m/>
    <m/>
    <m/>
    <m/>
    <m/>
    <m/>
    <m/>
    <m/>
    <m/>
    <m/>
    <m/>
    <m/>
    <m/>
  </r>
  <r>
    <n v="1949"/>
    <n v="50195"/>
    <d v="2001-08-01T00:00:00"/>
    <n v="25"/>
    <x v="1"/>
    <x v="1"/>
    <d v="2023-07-17T00:00:00"/>
    <n v="1.978082191780822"/>
    <x v="16"/>
    <x v="0"/>
    <x v="10"/>
    <x v="1"/>
    <n v="10.58"/>
    <n v="10.38"/>
    <m/>
    <m/>
    <m/>
    <m/>
    <m/>
    <x v="3"/>
    <n v="1"/>
    <n v="6"/>
    <m/>
    <m/>
    <m/>
    <m/>
    <m/>
    <m/>
    <m/>
    <m/>
    <m/>
    <m/>
    <m/>
    <m/>
    <m/>
    <m/>
  </r>
  <r>
    <n v="1950"/>
    <n v="50212"/>
    <d v="2002-05-02T00:00:00"/>
    <n v="23"/>
    <x v="0"/>
    <x v="0"/>
    <d v="2024-01-09T00:00:00"/>
    <n v="2.591780821917808"/>
    <x v="18"/>
    <x v="0"/>
    <x v="11"/>
    <x v="1"/>
    <n v="16.84"/>
    <m/>
    <m/>
    <m/>
    <m/>
    <m/>
    <m/>
    <x v="4"/>
    <n v="2"/>
    <n v="3"/>
    <m/>
    <m/>
    <m/>
    <m/>
    <m/>
    <m/>
    <m/>
    <m/>
    <m/>
    <m/>
    <m/>
    <m/>
    <m/>
    <m/>
  </r>
  <r>
    <n v="1951"/>
    <n v="50216"/>
    <d v="2005-12-23T00:00:00"/>
    <n v="20"/>
    <x v="0"/>
    <x v="1"/>
    <d v="2023-05-30T00:00:00"/>
    <n v="2.0356164383561643"/>
    <x v="18"/>
    <x v="0"/>
    <x v="8"/>
    <x v="1"/>
    <n v="8.5299999999999994"/>
    <n v="8.26"/>
    <m/>
    <m/>
    <m/>
    <m/>
    <m/>
    <x v="2"/>
    <n v="1"/>
    <n v="5"/>
    <m/>
    <m/>
    <m/>
    <m/>
    <m/>
    <m/>
    <m/>
    <m/>
    <m/>
    <m/>
    <m/>
    <m/>
    <m/>
    <m/>
  </r>
  <r>
    <n v="1952"/>
    <n v="50217"/>
    <d v="2002-05-19T00:00:00"/>
    <n v="23"/>
    <x v="1"/>
    <x v="1"/>
    <d v="2023-12-19T00:00:00"/>
    <n v="2.4575342465753423"/>
    <x v="18"/>
    <x v="0"/>
    <x v="8"/>
    <x v="1"/>
    <n v="8.5399999999999991"/>
    <n v="8.26"/>
    <m/>
    <m/>
    <m/>
    <m/>
    <m/>
    <x v="4"/>
    <n v="2"/>
    <n v="6"/>
    <m/>
    <m/>
    <m/>
    <m/>
    <m/>
    <m/>
    <m/>
    <m/>
    <m/>
    <m/>
    <m/>
    <m/>
    <m/>
    <m/>
  </r>
  <r>
    <n v="1953"/>
    <n v="50220"/>
    <d v="2000-06-03T00:00:00"/>
    <n v="25"/>
    <x v="1"/>
    <x v="1"/>
    <d v="2023-07-18T00:00:00"/>
    <n v="2.6219178082191781"/>
    <x v="88"/>
    <x v="0"/>
    <x v="11"/>
    <x v="1"/>
    <n v="16.87"/>
    <n v="16.579999999999998"/>
    <m/>
    <m/>
    <m/>
    <m/>
    <m/>
    <x v="2"/>
    <n v="1"/>
    <n v="6"/>
    <m/>
    <m/>
    <m/>
    <m/>
    <m/>
    <m/>
    <m/>
    <m/>
    <m/>
    <m/>
    <m/>
    <m/>
    <m/>
    <m/>
  </r>
  <r>
    <n v="1954"/>
    <n v="50225"/>
    <d v="2003-09-30T00:00:00"/>
    <n v="22"/>
    <x v="1"/>
    <x v="1"/>
    <d v="2023-05-19T00:00:00"/>
    <n v="2.2739726027397262"/>
    <x v="88"/>
    <x v="0"/>
    <x v="3"/>
    <x v="1"/>
    <n v="8.5500000000000007"/>
    <n v="8.26"/>
    <m/>
    <m/>
    <m/>
    <m/>
    <m/>
    <x v="1"/>
    <n v="2"/>
    <n v="6"/>
    <m/>
    <m/>
    <m/>
    <m/>
    <m/>
    <m/>
    <m/>
    <m/>
    <m/>
    <m/>
    <m/>
    <m/>
    <m/>
    <m/>
  </r>
  <r>
    <n v="1955"/>
    <n v="50227"/>
    <d v="1993-08-25T00:00:00"/>
    <n v="32"/>
    <x v="0"/>
    <x v="1"/>
    <d v="2023-09-23T00:00:00"/>
    <n v="2.3150684931506849"/>
    <x v="88"/>
    <x v="0"/>
    <x v="7"/>
    <x v="1"/>
    <n v="17.399999999999999"/>
    <n v="17.16"/>
    <m/>
    <m/>
    <m/>
    <m/>
    <m/>
    <x v="1"/>
    <n v="2"/>
    <n v="4"/>
    <m/>
    <m/>
    <m/>
    <m/>
    <m/>
    <m/>
    <m/>
    <m/>
    <m/>
    <m/>
    <m/>
    <m/>
    <m/>
    <m/>
  </r>
  <r>
    <n v="1956"/>
    <n v="50232"/>
    <d v="2004-04-06T00:00:00"/>
    <n v="21"/>
    <x v="1"/>
    <x v="1"/>
    <d v="2023-09-08T00:00:00"/>
    <n v="2.0465753424657533"/>
    <x v="88"/>
    <x v="0"/>
    <x v="8"/>
    <x v="1"/>
    <n v="8.5299999999999994"/>
    <n v="8.26"/>
    <m/>
    <m/>
    <m/>
    <m/>
    <m/>
    <x v="2"/>
    <n v="4"/>
    <n v="7"/>
    <m/>
    <m/>
    <m/>
    <m/>
    <m/>
    <m/>
    <m/>
    <m/>
    <m/>
    <m/>
    <m/>
    <m/>
    <m/>
    <m/>
  </r>
  <r>
    <n v="1957"/>
    <n v="50287"/>
    <d v="2000-02-01T00:00:00"/>
    <n v="26"/>
    <x v="1"/>
    <x v="1"/>
    <d v="2023-12-15T00:00:00"/>
    <n v="1.9150684931506849"/>
    <x v="27"/>
    <x v="0"/>
    <x v="11"/>
    <x v="1"/>
    <n v="16.78"/>
    <n v="16.579999999999998"/>
    <m/>
    <m/>
    <m/>
    <m/>
    <m/>
    <x v="2"/>
    <n v="2"/>
    <n v="5"/>
    <m/>
    <m/>
    <m/>
    <m/>
    <m/>
    <m/>
    <m/>
    <m/>
    <m/>
    <m/>
    <m/>
    <m/>
    <m/>
    <m/>
  </r>
  <r>
    <n v="1958"/>
    <n v="50297"/>
    <d v="2005-06-25T00:00:00"/>
    <n v="20"/>
    <x v="1"/>
    <x v="0"/>
    <d v="2024-02-01T00:00:00"/>
    <n v="2.117808219178082"/>
    <x v="27"/>
    <x v="0"/>
    <x v="8"/>
    <x v="1"/>
    <n v="8.4600000000000009"/>
    <m/>
    <m/>
    <m/>
    <m/>
    <m/>
    <m/>
    <x v="2"/>
    <n v="1"/>
    <n v="6"/>
    <m/>
    <m/>
    <m/>
    <m/>
    <m/>
    <m/>
    <m/>
    <m/>
    <m/>
    <m/>
    <m/>
    <m/>
    <m/>
    <m/>
  </r>
  <r>
    <n v="1959"/>
    <n v="50302"/>
    <d v="2002-06-03T00:00:00"/>
    <n v="23"/>
    <x v="0"/>
    <x v="0"/>
    <d v="2023-11-19T00:00:00"/>
    <n v="2.8246575342465752"/>
    <x v="21"/>
    <x v="0"/>
    <x v="11"/>
    <x v="1"/>
    <n v="16.78"/>
    <n v="16.579999999999998"/>
    <m/>
    <m/>
    <m/>
    <m/>
    <m/>
    <x v="2"/>
    <n v="2"/>
    <n v="4"/>
    <m/>
    <m/>
    <m/>
    <m/>
    <m/>
    <m/>
    <m/>
    <m/>
    <m/>
    <m/>
    <m/>
    <m/>
    <m/>
    <m/>
  </r>
  <r>
    <n v="1960"/>
    <n v="50305"/>
    <d v="2002-03-01T00:00:00"/>
    <n v="24"/>
    <x v="1"/>
    <x v="1"/>
    <d v="2023-03-06T00:00:00"/>
    <n v="2.536986301369863"/>
    <x v="21"/>
    <x v="0"/>
    <x v="8"/>
    <x v="1"/>
    <n v="8.4600000000000009"/>
    <n v="8.26"/>
    <m/>
    <m/>
    <m/>
    <m/>
    <m/>
    <x v="3"/>
    <n v="0"/>
    <n v="6"/>
    <m/>
    <m/>
    <m/>
    <m/>
    <m/>
    <m/>
    <m/>
    <m/>
    <m/>
    <m/>
    <m/>
    <m/>
    <m/>
    <m/>
  </r>
  <r>
    <n v="1961"/>
    <n v="50335"/>
    <d v="2002-07-05T00:00:00"/>
    <n v="23"/>
    <x v="1"/>
    <x v="1"/>
    <d v="2023-06-19T00:00:00"/>
    <n v="2.6082191780821917"/>
    <x v="22"/>
    <x v="0"/>
    <x v="8"/>
    <x v="1"/>
    <n v="8.4600000000000009"/>
    <n v="8.26"/>
    <m/>
    <m/>
    <m/>
    <m/>
    <m/>
    <x v="4"/>
    <n v="2"/>
    <n v="7"/>
    <m/>
    <m/>
    <m/>
    <m/>
    <m/>
    <m/>
    <m/>
    <m/>
    <m/>
    <m/>
    <m/>
    <m/>
    <m/>
    <m/>
  </r>
  <r>
    <n v="1962"/>
    <n v="50367"/>
    <d v="2003-11-09T00:00:00"/>
    <n v="22"/>
    <x v="1"/>
    <x v="1"/>
    <d v="2023-05-24T00:00:00"/>
    <n v="2.3835616438356166"/>
    <x v="23"/>
    <x v="0"/>
    <x v="8"/>
    <x v="1"/>
    <n v="8.4600000000000009"/>
    <n v="8.26"/>
    <m/>
    <m/>
    <m/>
    <m/>
    <m/>
    <x v="2"/>
    <n v="2"/>
    <n v="6"/>
    <m/>
    <m/>
    <m/>
    <m/>
    <m/>
    <m/>
    <m/>
    <m/>
    <m/>
    <m/>
    <m/>
    <m/>
    <m/>
    <m/>
  </r>
  <r>
    <n v="1963"/>
    <n v="50386"/>
    <d v="1996-03-01T00:00:00"/>
    <n v="30"/>
    <x v="0"/>
    <x v="0"/>
    <d v="2023-08-14T00:00:00"/>
    <n v="1.904109589041096"/>
    <x v="137"/>
    <x v="0"/>
    <x v="6"/>
    <x v="1"/>
    <n v="23.35"/>
    <n v="23.2"/>
    <m/>
    <m/>
    <m/>
    <m/>
    <m/>
    <x v="3"/>
    <n v="7"/>
    <n v="5"/>
    <m/>
    <m/>
    <m/>
    <m/>
    <m/>
    <m/>
    <m/>
    <m/>
    <m/>
    <m/>
    <m/>
    <m/>
    <m/>
    <m/>
  </r>
  <r>
    <n v="1964"/>
    <n v="50413"/>
    <d v="2000-10-01T00:00:00"/>
    <n v="26"/>
    <x v="1"/>
    <x v="0"/>
    <d v="2024-02-05T00:00:00"/>
    <n v="2.4438356164383563"/>
    <x v="28"/>
    <x v="0"/>
    <x v="11"/>
    <x v="1"/>
    <n v="16.68"/>
    <m/>
    <m/>
    <m/>
    <m/>
    <m/>
    <m/>
    <x v="1"/>
    <n v="1"/>
    <n v="5"/>
    <m/>
    <m/>
    <m/>
    <m/>
    <m/>
    <m/>
    <m/>
    <m/>
    <m/>
    <m/>
    <m/>
    <m/>
    <m/>
    <m/>
  </r>
  <r>
    <n v="1965"/>
    <n v="50422"/>
    <d v="1995-03-14T00:00:00"/>
    <n v="30"/>
    <x v="1"/>
    <x v="1"/>
    <d v="2023-07-23T00:00:00"/>
    <n v="2.1315068493150684"/>
    <x v="28"/>
    <x v="0"/>
    <x v="7"/>
    <x v="1"/>
    <n v="17.309999999999999"/>
    <n v="17.16"/>
    <m/>
    <m/>
    <m/>
    <m/>
    <m/>
    <x v="3"/>
    <n v="2"/>
    <n v="7"/>
    <m/>
    <m/>
    <m/>
    <m/>
    <m/>
    <m/>
    <m/>
    <m/>
    <m/>
    <m/>
    <m/>
    <m/>
    <m/>
    <m/>
  </r>
  <r>
    <n v="1966"/>
    <n v="50437"/>
    <d v="2004-12-29T00:00:00"/>
    <n v="21"/>
    <x v="1"/>
    <x v="1"/>
    <d v="2023-11-14T00:00:00"/>
    <n v="2.2904109589041095"/>
    <x v="28"/>
    <x v="0"/>
    <x v="8"/>
    <x v="1"/>
    <n v="8.36"/>
    <n v="8.26"/>
    <m/>
    <m/>
    <m/>
    <m/>
    <m/>
    <x v="2"/>
    <n v="1"/>
    <n v="6"/>
    <m/>
    <m/>
    <m/>
    <m/>
    <m/>
    <m/>
    <m/>
    <m/>
    <m/>
    <m/>
    <m/>
    <m/>
    <m/>
    <m/>
  </r>
  <r>
    <n v="1967"/>
    <n v="50442"/>
    <d v="2001-12-30T00:00:00"/>
    <n v="24"/>
    <x v="0"/>
    <x v="1"/>
    <d v="2023-09-17T00:00:00"/>
    <n v="2.6027397260273974"/>
    <x v="52"/>
    <x v="0"/>
    <x v="10"/>
    <x v="1"/>
    <n v="10.48"/>
    <n v="10.38"/>
    <m/>
    <m/>
    <m/>
    <m/>
    <m/>
    <x v="2"/>
    <n v="0"/>
    <n v="5"/>
    <m/>
    <m/>
    <m/>
    <m/>
    <m/>
    <m/>
    <m/>
    <m/>
    <m/>
    <m/>
    <m/>
    <m/>
    <m/>
    <m/>
  </r>
  <r>
    <n v="1968"/>
    <n v="50458"/>
    <d v="2004-04-22T00:00:00"/>
    <n v="21"/>
    <x v="1"/>
    <x v="0"/>
    <d v="2023-05-26T00:00:00"/>
    <n v="2.6849315068493151"/>
    <x v="52"/>
    <x v="0"/>
    <x v="8"/>
    <x v="1"/>
    <n v="8.36"/>
    <n v="8.26"/>
    <m/>
    <m/>
    <m/>
    <m/>
    <m/>
    <x v="3"/>
    <n v="3"/>
    <n v="5"/>
    <m/>
    <m/>
    <m/>
    <m/>
    <m/>
    <m/>
    <m/>
    <m/>
    <m/>
    <m/>
    <m/>
    <m/>
    <m/>
    <m/>
  </r>
  <r>
    <n v="1969"/>
    <n v="50474"/>
    <d v="1997-12-21T00:00:00"/>
    <n v="28"/>
    <x v="1"/>
    <x v="0"/>
    <d v="2023-04-26T00:00:00"/>
    <n v="2.6410958904109587"/>
    <x v="24"/>
    <x v="0"/>
    <x v="8"/>
    <x v="1"/>
    <n v="8.4600000000000009"/>
    <n v="8.26"/>
    <m/>
    <m/>
    <m/>
    <m/>
    <m/>
    <x v="3"/>
    <n v="2"/>
    <n v="5"/>
    <m/>
    <m/>
    <m/>
    <m/>
    <m/>
    <m/>
    <m/>
    <m/>
    <m/>
    <m/>
    <m/>
    <m/>
    <m/>
    <m/>
  </r>
  <r>
    <n v="1970"/>
    <n v="50488"/>
    <d v="2004-10-09T00:00:00"/>
    <n v="21"/>
    <x v="1"/>
    <x v="1"/>
    <d v="2023-05-12T00:00:00"/>
    <n v="1.8904109589041096"/>
    <x v="87"/>
    <x v="0"/>
    <x v="8"/>
    <x v="1"/>
    <n v="8.36"/>
    <n v="8.26"/>
    <m/>
    <m/>
    <m/>
    <m/>
    <m/>
    <x v="2"/>
    <n v="0"/>
    <n v="7"/>
    <m/>
    <m/>
    <m/>
    <m/>
    <m/>
    <m/>
    <m/>
    <m/>
    <m/>
    <m/>
    <m/>
    <m/>
    <m/>
    <m/>
  </r>
  <r>
    <n v="1971"/>
    <n v="50492"/>
    <d v="1998-09-13T00:00:00"/>
    <n v="27"/>
    <x v="1"/>
    <x v="1"/>
    <d v="2024-02-10T00:00:00"/>
    <n v="1.9150684931506849"/>
    <x v="87"/>
    <x v="0"/>
    <x v="8"/>
    <x v="1"/>
    <n v="8.36"/>
    <m/>
    <m/>
    <m/>
    <m/>
    <m/>
    <m/>
    <x v="2"/>
    <n v="1"/>
    <n v="5"/>
    <m/>
    <m/>
    <m/>
    <m/>
    <m/>
    <m/>
    <m/>
    <m/>
    <m/>
    <m/>
    <m/>
    <m/>
    <m/>
    <m/>
  </r>
  <r>
    <n v="1972"/>
    <n v="50507"/>
    <d v="2006-02-15T00:00:00"/>
    <n v="19"/>
    <x v="1"/>
    <x v="0"/>
    <d v="2024-02-01T00:00:00"/>
    <n v="2.419178082191781"/>
    <x v="25"/>
    <x v="0"/>
    <x v="8"/>
    <x v="1"/>
    <n v="8.4600000000000009"/>
    <m/>
    <m/>
    <m/>
    <m/>
    <m/>
    <m/>
    <x v="2"/>
    <n v="2"/>
    <n v="5"/>
    <m/>
    <m/>
    <m/>
    <m/>
    <m/>
    <m/>
    <m/>
    <m/>
    <m/>
    <m/>
    <m/>
    <m/>
    <m/>
    <m/>
  </r>
  <r>
    <n v="1973"/>
    <n v="50511"/>
    <d v="1994-03-20T00:00:00"/>
    <n v="31"/>
    <x v="1"/>
    <x v="0"/>
    <d v="2023-08-01T00:00:00"/>
    <n v="1.9260273972602739"/>
    <x v="25"/>
    <x v="0"/>
    <x v="8"/>
    <x v="1"/>
    <n v="8.4600000000000009"/>
    <n v="8.26"/>
    <m/>
    <m/>
    <m/>
    <m/>
    <m/>
    <x v="4"/>
    <n v="1"/>
    <n v="5"/>
    <m/>
    <m/>
    <m/>
    <m/>
    <m/>
    <m/>
    <m/>
    <m/>
    <m/>
    <m/>
    <m/>
    <m/>
    <m/>
    <m/>
  </r>
  <r>
    <n v="1974"/>
    <n v="50531"/>
    <d v="2002-04-30T00:00:00"/>
    <n v="23"/>
    <x v="1"/>
    <x v="1"/>
    <d v="2024-01-28T00:00:00"/>
    <n v="2.2109589041095892"/>
    <x v="139"/>
    <x v="0"/>
    <x v="8"/>
    <x v="1"/>
    <n v="8.4600000000000009"/>
    <m/>
    <m/>
    <m/>
    <m/>
    <m/>
    <m/>
    <x v="2"/>
    <n v="4"/>
    <n v="6"/>
    <m/>
    <m/>
    <m/>
    <m/>
    <m/>
    <m/>
    <m/>
    <m/>
    <m/>
    <m/>
    <m/>
    <m/>
    <m/>
    <m/>
  </r>
  <r>
    <n v="1975"/>
    <n v="50543"/>
    <d v="2000-06-04T00:00:00"/>
    <n v="25"/>
    <x v="1"/>
    <x v="1"/>
    <d v="2023-10-16T00:00:00"/>
    <n v="1.9863013698630136"/>
    <x v="49"/>
    <x v="0"/>
    <x v="11"/>
    <x v="1"/>
    <n v="16.78"/>
    <n v="16.579999999999998"/>
    <m/>
    <m/>
    <m/>
    <m/>
    <m/>
    <x v="2"/>
    <n v="1"/>
    <n v="6"/>
    <m/>
    <m/>
    <m/>
    <m/>
    <m/>
    <m/>
    <m/>
    <m/>
    <m/>
    <m/>
    <m/>
    <m/>
    <m/>
    <m/>
  </r>
  <r>
    <n v="1976"/>
    <n v="50552"/>
    <d v="1997-06-05T00:00:00"/>
    <n v="28"/>
    <x v="0"/>
    <x v="0"/>
    <d v="2024-01-06T00:00:00"/>
    <n v="2.1260273972602741"/>
    <x v="49"/>
    <x v="0"/>
    <x v="8"/>
    <x v="1"/>
    <n v="8.4600000000000009"/>
    <m/>
    <m/>
    <m/>
    <m/>
    <m/>
    <m/>
    <x v="3"/>
    <n v="2"/>
    <n v="3"/>
    <m/>
    <m/>
    <m/>
    <m/>
    <m/>
    <m/>
    <m/>
    <m/>
    <m/>
    <m/>
    <m/>
    <m/>
    <m/>
    <m/>
  </r>
  <r>
    <n v="1977"/>
    <n v="50557"/>
    <d v="2005-10-07T00:00:00"/>
    <n v="20"/>
    <x v="0"/>
    <x v="0"/>
    <d v="2023-11-16T00:00:00"/>
    <n v="1.904109589041096"/>
    <x v="49"/>
    <x v="0"/>
    <x v="8"/>
    <x v="1"/>
    <n v="8.4600000000000009"/>
    <n v="8.26"/>
    <m/>
    <m/>
    <m/>
    <m/>
    <m/>
    <x v="4"/>
    <n v="2"/>
    <n v="4"/>
    <m/>
    <m/>
    <m/>
    <m/>
    <m/>
    <m/>
    <m/>
    <m/>
    <m/>
    <m/>
    <m/>
    <m/>
    <m/>
    <m/>
  </r>
  <r>
    <n v="1978"/>
    <n v="50574"/>
    <d v="1994-09-20T00:00:00"/>
    <n v="31"/>
    <x v="1"/>
    <x v="1"/>
    <d v="2024-02-05T00:00:00"/>
    <n v="2.558904109589041"/>
    <x v="47"/>
    <x v="0"/>
    <x v="8"/>
    <x v="1"/>
    <n v="8.4600000000000009"/>
    <m/>
    <m/>
    <m/>
    <m/>
    <m/>
    <m/>
    <x v="2"/>
    <n v="2"/>
    <n v="6"/>
    <m/>
    <m/>
    <m/>
    <m/>
    <m/>
    <m/>
    <m/>
    <m/>
    <m/>
    <m/>
    <m/>
    <m/>
    <m/>
    <m/>
  </r>
  <r>
    <n v="1979"/>
    <n v="50605"/>
    <d v="2005-06-08T00:00:00"/>
    <n v="20"/>
    <x v="1"/>
    <x v="1"/>
    <d v="2023-06-11T00:00:00"/>
    <n v="2.1424657534246574"/>
    <x v="31"/>
    <x v="0"/>
    <x v="8"/>
    <x v="1"/>
    <n v="8.4600000000000009"/>
    <n v="8.26"/>
    <m/>
    <m/>
    <m/>
    <m/>
    <m/>
    <x v="2"/>
    <n v="3"/>
    <n v="6"/>
    <m/>
    <m/>
    <m/>
    <m/>
    <m/>
    <m/>
    <m/>
    <m/>
    <m/>
    <m/>
    <m/>
    <m/>
    <m/>
    <m/>
  </r>
  <r>
    <n v="1980"/>
    <n v="50611"/>
    <d v="1996-06-18T00:00:00"/>
    <n v="29"/>
    <x v="1"/>
    <x v="1"/>
    <d v="2023-11-10T00:00:00"/>
    <n v="1.8712328767123287"/>
    <x v="32"/>
    <x v="0"/>
    <x v="8"/>
    <x v="1"/>
    <n v="8.52"/>
    <n v="8.26"/>
    <m/>
    <m/>
    <m/>
    <m/>
    <m/>
    <x v="3"/>
    <n v="1"/>
    <n v="6"/>
    <m/>
    <m/>
    <m/>
    <m/>
    <m/>
    <m/>
    <m/>
    <m/>
    <m/>
    <m/>
    <m/>
    <m/>
    <m/>
    <m/>
  </r>
  <r>
    <n v="1981"/>
    <n v="50613"/>
    <d v="1997-01-15T00:00:00"/>
    <n v="28"/>
    <x v="1"/>
    <x v="1"/>
    <d v="2024-02-17T00:00:00"/>
    <n v="2.0246575342465754"/>
    <x v="32"/>
    <x v="0"/>
    <x v="8"/>
    <x v="1"/>
    <n v="8.5399999999999991"/>
    <m/>
    <m/>
    <m/>
    <m/>
    <m/>
    <m/>
    <x v="4"/>
    <n v="3"/>
    <n v="6"/>
    <m/>
    <m/>
    <m/>
    <m/>
    <m/>
    <m/>
    <m/>
    <m/>
    <m/>
    <m/>
    <m/>
    <m/>
    <m/>
    <m/>
  </r>
  <r>
    <n v="1982"/>
    <n v="50625"/>
    <d v="2001-07-24T00:00:00"/>
    <n v="24"/>
    <x v="0"/>
    <x v="0"/>
    <d v="2023-12-23T00:00:00"/>
    <n v="1.9342465753424658"/>
    <x v="63"/>
    <x v="0"/>
    <x v="2"/>
    <x v="1"/>
    <n v="14.28"/>
    <n v="13.88"/>
    <m/>
    <m/>
    <m/>
    <m/>
    <m/>
    <x v="4"/>
    <n v="0"/>
    <n v="4"/>
    <m/>
    <m/>
    <m/>
    <m/>
    <m/>
    <m/>
    <m/>
    <m/>
    <m/>
    <m/>
    <m/>
    <m/>
    <m/>
    <m/>
  </r>
  <r>
    <n v="1983"/>
    <n v="50644"/>
    <d v="2004-07-07T00:00:00"/>
    <n v="21"/>
    <x v="0"/>
    <x v="1"/>
    <d v="2024-01-25T00:00:00"/>
    <n v="2.6739726027397261"/>
    <x v="78"/>
    <x v="0"/>
    <x v="10"/>
    <x v="1"/>
    <n v="10.48"/>
    <m/>
    <m/>
    <m/>
    <m/>
    <m/>
    <m/>
    <x v="4"/>
    <n v="0"/>
    <n v="5"/>
    <m/>
    <m/>
    <m/>
    <m/>
    <m/>
    <m/>
    <m/>
    <m/>
    <m/>
    <m/>
    <m/>
    <m/>
    <m/>
    <m/>
  </r>
  <r>
    <n v="1984"/>
    <n v="50672"/>
    <d v="2004-06-03T00:00:00"/>
    <n v="21"/>
    <x v="1"/>
    <x v="1"/>
    <d v="2023-04-30T00:00:00"/>
    <n v="2.3780821917808219"/>
    <x v="83"/>
    <x v="0"/>
    <x v="9"/>
    <x v="1"/>
    <n v="13.73"/>
    <n v="13.73"/>
    <m/>
    <m/>
    <m/>
    <m/>
    <m/>
    <x v="1"/>
    <n v="0"/>
    <n v="4"/>
    <m/>
    <m/>
    <m/>
    <m/>
    <m/>
    <m/>
    <m/>
    <m/>
    <m/>
    <m/>
    <m/>
    <m/>
    <m/>
    <m/>
  </r>
  <r>
    <n v="1985"/>
    <n v="50711"/>
    <d v="1992-11-29T00:00:00"/>
    <n v="33"/>
    <x v="1"/>
    <x v="1"/>
    <d v="2023-08-16T00:00:00"/>
    <n v="2.1643835616438358"/>
    <x v="50"/>
    <x v="0"/>
    <x v="8"/>
    <x v="1"/>
    <n v="8.26"/>
    <n v="8.26"/>
    <m/>
    <m/>
    <m/>
    <m/>
    <m/>
    <x v="3"/>
    <n v="2"/>
    <n v="7"/>
    <m/>
    <m/>
    <m/>
    <m/>
    <m/>
    <m/>
    <m/>
    <m/>
    <m/>
    <m/>
    <m/>
    <m/>
    <m/>
    <m/>
  </r>
  <r>
    <n v="1986"/>
    <n v="50720"/>
    <d v="2001-02-25T00:00:00"/>
    <n v="24"/>
    <x v="0"/>
    <x v="1"/>
    <d v="2023-11-02T00:00:00"/>
    <n v="2.3178082191780822"/>
    <x v="34"/>
    <x v="0"/>
    <x v="11"/>
    <x v="1"/>
    <n v="16.78"/>
    <n v="16.579999999999998"/>
    <m/>
    <m/>
    <m/>
    <m/>
    <m/>
    <x v="4"/>
    <n v="3"/>
    <n v="5"/>
    <m/>
    <m/>
    <m/>
    <m/>
    <m/>
    <m/>
    <m/>
    <m/>
    <m/>
    <m/>
    <m/>
    <m/>
    <m/>
    <m/>
  </r>
  <r>
    <n v="1987"/>
    <n v="50744"/>
    <d v="1996-02-05T00:00:00"/>
    <n v="29"/>
    <x v="0"/>
    <x v="0"/>
    <d v="2023-09-07T00:00:00"/>
    <n v="2.0136986301369864"/>
    <x v="138"/>
    <x v="0"/>
    <x v="11"/>
    <x v="1"/>
    <n v="16.78"/>
    <n v="16.579999999999998"/>
    <m/>
    <m/>
    <m/>
    <m/>
    <m/>
    <x v="4"/>
    <n v="4"/>
    <n v="6"/>
    <m/>
    <m/>
    <m/>
    <m/>
    <m/>
    <m/>
    <m/>
    <m/>
    <m/>
    <m/>
    <m/>
    <m/>
    <m/>
    <m/>
  </r>
  <r>
    <n v="1988"/>
    <n v="50751"/>
    <d v="2004-02-08T00:00:00"/>
    <n v="21"/>
    <x v="1"/>
    <x v="0"/>
    <d v="2023-12-27T00:00:00"/>
    <n v="1.8958904109589041"/>
    <x v="138"/>
    <x v="0"/>
    <x v="8"/>
    <x v="1"/>
    <n v="8.4600000000000009"/>
    <n v="8.26"/>
    <m/>
    <m/>
    <m/>
    <m/>
    <m/>
    <x v="2"/>
    <n v="1"/>
    <n v="5"/>
    <m/>
    <m/>
    <m/>
    <m/>
    <m/>
    <m/>
    <m/>
    <m/>
    <m/>
    <m/>
    <m/>
    <m/>
    <m/>
    <m/>
  </r>
  <r>
    <n v="1989"/>
    <n v="50789"/>
    <d v="1993-12-25T00:00:00"/>
    <n v="32"/>
    <x v="0"/>
    <x v="1"/>
    <d v="2024-02-08T00:00:00"/>
    <n v="2.6904109589041094"/>
    <x v="102"/>
    <x v="0"/>
    <x v="7"/>
    <x v="1"/>
    <n v="17.41"/>
    <m/>
    <m/>
    <m/>
    <m/>
    <m/>
    <m/>
    <x v="4"/>
    <n v="4"/>
    <n v="4"/>
    <m/>
    <m/>
    <m/>
    <m/>
    <m/>
    <m/>
    <m/>
    <m/>
    <m/>
    <m/>
    <m/>
    <m/>
    <m/>
    <m/>
  </r>
  <r>
    <n v="1990"/>
    <n v="50798"/>
    <d v="2005-11-10T00:00:00"/>
    <n v="20"/>
    <x v="1"/>
    <x v="0"/>
    <d v="2023-04-24T00:00:00"/>
    <n v="2.1150684931506851"/>
    <x v="102"/>
    <x v="0"/>
    <x v="8"/>
    <x v="1"/>
    <n v="8.5"/>
    <n v="8.26"/>
    <m/>
    <m/>
    <m/>
    <m/>
    <m/>
    <x v="1"/>
    <n v="2"/>
    <n v="5"/>
    <m/>
    <m/>
    <m/>
    <m/>
    <m/>
    <m/>
    <m/>
    <m/>
    <m/>
    <m/>
    <m/>
    <m/>
    <m/>
    <m/>
  </r>
  <r>
    <n v="1991"/>
    <n v="50805"/>
    <d v="2004-08-09T00:00:00"/>
    <n v="21"/>
    <x v="0"/>
    <x v="0"/>
    <d v="2023-11-20T00:00:00"/>
    <n v="2.1835616438356165"/>
    <x v="67"/>
    <x v="0"/>
    <x v="8"/>
    <x v="1"/>
    <n v="8.4600000000000009"/>
    <n v="8.26"/>
    <m/>
    <m/>
    <m/>
    <m/>
    <m/>
    <x v="3"/>
    <n v="1"/>
    <n v="4"/>
    <m/>
    <m/>
    <m/>
    <m/>
    <m/>
    <m/>
    <m/>
    <m/>
    <m/>
    <m/>
    <m/>
    <m/>
    <m/>
    <m/>
  </r>
  <r>
    <n v="1992"/>
    <n v="50850"/>
    <d v="2003-06-01T00:00:00"/>
    <n v="23"/>
    <x v="1"/>
    <x v="1"/>
    <d v="2023-10-26T00:00:00"/>
    <n v="2.0575342465753423"/>
    <x v="35"/>
    <x v="0"/>
    <x v="8"/>
    <x v="1"/>
    <n v="8.4600000000000009"/>
    <n v="8.26"/>
    <m/>
    <m/>
    <m/>
    <m/>
    <m/>
    <x v="2"/>
    <n v="4"/>
    <n v="7"/>
    <m/>
    <m/>
    <m/>
    <m/>
    <m/>
    <m/>
    <m/>
    <m/>
    <m/>
    <m/>
    <m/>
    <m/>
    <m/>
    <m/>
  </r>
  <r>
    <n v="1993"/>
    <n v="50863"/>
    <d v="2003-08-03T00:00:00"/>
    <n v="22"/>
    <x v="1"/>
    <x v="0"/>
    <d v="2023-12-11T00:00:00"/>
    <n v="2.1150684931506851"/>
    <x v="35"/>
    <x v="0"/>
    <x v="8"/>
    <x v="1"/>
    <n v="8.4600000000000009"/>
    <n v="8.26"/>
    <m/>
    <m/>
    <m/>
    <m/>
    <m/>
    <x v="2"/>
    <n v="1"/>
    <n v="5"/>
    <m/>
    <m/>
    <m/>
    <m/>
    <m/>
    <m/>
    <m/>
    <m/>
    <m/>
    <m/>
    <m/>
    <m/>
    <m/>
    <m/>
  </r>
  <r>
    <n v="1994"/>
    <n v="50867"/>
    <d v="1999-03-21T00:00:00"/>
    <n v="26"/>
    <x v="0"/>
    <x v="1"/>
    <d v="2023-11-20T00:00:00"/>
    <n v="2.1972602739726028"/>
    <x v="36"/>
    <x v="0"/>
    <x v="11"/>
    <x v="1"/>
    <n v="16.78"/>
    <n v="16.579999999999998"/>
    <m/>
    <m/>
    <m/>
    <m/>
    <m/>
    <x v="2"/>
    <n v="1"/>
    <n v="5"/>
    <m/>
    <m/>
    <m/>
    <m/>
    <m/>
    <m/>
    <m/>
    <m/>
    <m/>
    <m/>
    <m/>
    <m/>
    <m/>
    <m/>
  </r>
  <r>
    <n v="1995"/>
    <n v="50870"/>
    <d v="2003-11-29T00:00:00"/>
    <n v="22"/>
    <x v="0"/>
    <x v="1"/>
    <d v="2023-10-21T00:00:00"/>
    <n v="2.128767123287671"/>
    <x v="36"/>
    <x v="0"/>
    <x v="10"/>
    <x v="1"/>
    <n v="10.58"/>
    <n v="10.38"/>
    <m/>
    <m/>
    <m/>
    <m/>
    <m/>
    <x v="4"/>
    <n v="0"/>
    <n v="3"/>
    <m/>
    <m/>
    <m/>
    <m/>
    <m/>
    <m/>
    <m/>
    <m/>
    <m/>
    <m/>
    <m/>
    <m/>
    <m/>
    <m/>
  </r>
  <r>
    <n v="1996"/>
    <n v="50894"/>
    <d v="2000-08-17T00:00:00"/>
    <n v="25"/>
    <x v="0"/>
    <x v="0"/>
    <d v="2023-11-15T00:00:00"/>
    <n v="2.7917808219178082"/>
    <x v="57"/>
    <x v="0"/>
    <x v="11"/>
    <x v="1"/>
    <n v="16.78"/>
    <n v="16.579999999999998"/>
    <m/>
    <m/>
    <m/>
    <m/>
    <m/>
    <x v="2"/>
    <n v="1"/>
    <n v="4"/>
    <m/>
    <m/>
    <m/>
    <m/>
    <m/>
    <m/>
    <m/>
    <m/>
    <m/>
    <m/>
    <m/>
    <m/>
    <m/>
    <m/>
  </r>
  <r>
    <n v="1997"/>
    <n v="50927"/>
    <d v="2003-03-10T00:00:00"/>
    <n v="22"/>
    <x v="1"/>
    <x v="1"/>
    <d v="2023-03-18T00:00:00"/>
    <n v="1.9561643835616438"/>
    <x v="141"/>
    <x v="0"/>
    <x v="8"/>
    <x v="1"/>
    <n v="8.36"/>
    <n v="8.26"/>
    <m/>
    <m/>
    <m/>
    <m/>
    <m/>
    <x v="2"/>
    <n v="1"/>
    <n v="5"/>
    <m/>
    <m/>
    <m/>
    <m/>
    <m/>
    <m/>
    <m/>
    <m/>
    <m/>
    <m/>
    <m/>
    <m/>
    <m/>
    <m/>
  </r>
  <r>
    <n v="1998"/>
    <n v="50942"/>
    <d v="2000-12-04T00:00:00"/>
    <n v="25"/>
    <x v="0"/>
    <x v="1"/>
    <d v="2024-01-17T00:00:00"/>
    <n v="2.2328767123287672"/>
    <x v="55"/>
    <x v="0"/>
    <x v="11"/>
    <x v="1"/>
    <n v="16.78"/>
    <m/>
    <m/>
    <m/>
    <m/>
    <m/>
    <m/>
    <x v="4"/>
    <n v="3"/>
    <n v="4"/>
    <m/>
    <m/>
    <m/>
    <m/>
    <m/>
    <m/>
    <m/>
    <m/>
    <m/>
    <m/>
    <m/>
    <m/>
    <m/>
    <m/>
  </r>
  <r>
    <n v="1999"/>
    <n v="50987"/>
    <d v="2005-10-05T00:00:00"/>
    <n v="20"/>
    <x v="0"/>
    <x v="1"/>
    <d v="2023-10-08T00:00:00"/>
    <n v="1.989041095890411"/>
    <x v="144"/>
    <x v="0"/>
    <x v="8"/>
    <x v="1"/>
    <n v="8.36"/>
    <n v="8.26"/>
    <m/>
    <m/>
    <m/>
    <m/>
    <m/>
    <x v="2"/>
    <n v="1"/>
    <n v="4"/>
    <m/>
    <m/>
    <m/>
    <m/>
    <m/>
    <m/>
    <m/>
    <m/>
    <m/>
    <m/>
    <m/>
    <m/>
    <m/>
    <m/>
  </r>
  <r>
    <n v="2000"/>
    <n v="51006"/>
    <d v="2002-02-15T00:00:00"/>
    <n v="23"/>
    <x v="0"/>
    <x v="1"/>
    <d v="2024-01-05T00:00:00"/>
    <n v="2.5643835616438357"/>
    <x v="73"/>
    <x v="0"/>
    <x v="10"/>
    <x v="1"/>
    <n v="10.58"/>
    <m/>
    <m/>
    <m/>
    <m/>
    <m/>
    <m/>
    <x v="3"/>
    <n v="1"/>
    <n v="2"/>
    <m/>
    <m/>
    <m/>
    <m/>
    <m/>
    <m/>
    <m/>
    <m/>
    <m/>
    <m/>
    <m/>
    <m/>
    <m/>
    <m/>
  </r>
  <r>
    <n v="2001"/>
    <n v="51009"/>
    <d v="2006-06-11T00:00:00"/>
    <n v="19"/>
    <x v="1"/>
    <x v="1"/>
    <d v="2023-06-09T00:00:00"/>
    <n v="1.8958904109589041"/>
    <x v="73"/>
    <x v="0"/>
    <x v="3"/>
    <x v="1"/>
    <n v="8.4600000000000009"/>
    <n v="8.26"/>
    <m/>
    <m/>
    <m/>
    <m/>
    <m/>
    <x v="2"/>
    <n v="2"/>
    <n v="6"/>
    <m/>
    <m/>
    <m/>
    <m/>
    <m/>
    <m/>
    <m/>
    <m/>
    <m/>
    <m/>
    <m/>
    <m/>
    <m/>
    <m/>
  </r>
  <r>
    <n v="2002"/>
    <n v="51036"/>
    <d v="2006-04-10T00:00:00"/>
    <n v="19"/>
    <x v="1"/>
    <x v="1"/>
    <d v="2024-02-08T00:00:00"/>
    <n v="2.3232876712328765"/>
    <x v="142"/>
    <x v="0"/>
    <x v="3"/>
    <x v="1"/>
    <n v="8.36"/>
    <m/>
    <m/>
    <m/>
    <m/>
    <m/>
    <m/>
    <x v="2"/>
    <n v="2"/>
    <n v="6"/>
    <m/>
    <m/>
    <m/>
    <m/>
    <m/>
    <m/>
    <m/>
    <m/>
    <m/>
    <m/>
    <m/>
    <m/>
    <m/>
    <m/>
  </r>
  <r>
    <n v="2003"/>
    <n v="51038"/>
    <d v="1999-02-17T00:00:00"/>
    <n v="26"/>
    <x v="1"/>
    <x v="1"/>
    <d v="2023-09-05T00:00:00"/>
    <n v="1.9452054794520548"/>
    <x v="142"/>
    <x v="0"/>
    <x v="7"/>
    <x v="1"/>
    <n v="17.309999999999999"/>
    <n v="17.16"/>
    <m/>
    <m/>
    <m/>
    <m/>
    <m/>
    <x v="3"/>
    <n v="2"/>
    <n v="7"/>
    <m/>
    <m/>
    <m/>
    <m/>
    <m/>
    <m/>
    <m/>
    <m/>
    <m/>
    <m/>
    <m/>
    <m/>
    <m/>
    <m/>
  </r>
  <r>
    <n v="2004"/>
    <n v="51058"/>
    <d v="2003-06-01T00:00:00"/>
    <n v="23"/>
    <x v="1"/>
    <x v="1"/>
    <d v="2024-01-21T00:00:00"/>
    <n v="1.9589041095890412"/>
    <x v="142"/>
    <x v="0"/>
    <x v="8"/>
    <x v="1"/>
    <n v="8.26"/>
    <m/>
    <m/>
    <m/>
    <m/>
    <m/>
    <m/>
    <x v="2"/>
    <n v="0"/>
    <n v="6"/>
    <m/>
    <m/>
    <m/>
    <m/>
    <m/>
    <m/>
    <m/>
    <m/>
    <m/>
    <m/>
    <m/>
    <m/>
    <m/>
    <m/>
  </r>
  <r>
    <n v="2005"/>
    <n v="51063"/>
    <d v="2005-10-15T00:00:00"/>
    <n v="20"/>
    <x v="1"/>
    <x v="0"/>
    <d v="2024-01-16T00:00:00"/>
    <n v="2.2547945205479452"/>
    <x v="59"/>
    <x v="0"/>
    <x v="8"/>
    <x v="1"/>
    <n v="8.5399999999999991"/>
    <m/>
    <m/>
    <m/>
    <m/>
    <m/>
    <m/>
    <x v="2"/>
    <n v="2"/>
    <n v="5"/>
    <m/>
    <m/>
    <m/>
    <m/>
    <m/>
    <m/>
    <m/>
    <m/>
    <m/>
    <m/>
    <m/>
    <m/>
    <m/>
    <m/>
  </r>
  <r>
    <n v="2006"/>
    <n v="51067"/>
    <d v="2004-10-25T00:00:00"/>
    <n v="21"/>
    <x v="1"/>
    <x v="1"/>
    <d v="2023-09-30T00:00:00"/>
    <n v="2.4328767123287673"/>
    <x v="59"/>
    <x v="0"/>
    <x v="8"/>
    <x v="1"/>
    <n v="8.51"/>
    <n v="8.26"/>
    <m/>
    <m/>
    <m/>
    <m/>
    <m/>
    <x v="3"/>
    <n v="4"/>
    <n v="6"/>
    <m/>
    <m/>
    <m/>
    <m/>
    <m/>
    <m/>
    <m/>
    <m/>
    <m/>
    <m/>
    <m/>
    <m/>
    <m/>
    <m/>
  </r>
  <r>
    <n v="2007"/>
    <n v="51077"/>
    <d v="2005-02-19T00:00:00"/>
    <n v="20"/>
    <x v="1"/>
    <x v="1"/>
    <d v="2023-07-27T00:00:00"/>
    <n v="1.9452054794520548"/>
    <x v="37"/>
    <x v="0"/>
    <x v="3"/>
    <x v="1"/>
    <n v="8.4600000000000009"/>
    <n v="8.26"/>
    <m/>
    <m/>
    <m/>
    <m/>
    <m/>
    <x v="2"/>
    <n v="3"/>
    <n v="6"/>
    <m/>
    <m/>
    <m/>
    <m/>
    <m/>
    <m/>
    <m/>
    <m/>
    <m/>
    <m/>
    <m/>
    <m/>
    <m/>
    <m/>
  </r>
  <r>
    <n v="2008"/>
    <n v="51113"/>
    <d v="2000-04-20T00:00:00"/>
    <n v="25"/>
    <x v="1"/>
    <x v="1"/>
    <d v="2024-01-21T00:00:00"/>
    <n v="2.2739726027397262"/>
    <x v="38"/>
    <x v="0"/>
    <x v="8"/>
    <x v="1"/>
    <n v="8.4600000000000009"/>
    <m/>
    <m/>
    <m/>
    <m/>
    <m/>
    <m/>
    <x v="2"/>
    <n v="2"/>
    <n v="6"/>
    <m/>
    <m/>
    <m/>
    <m/>
    <m/>
    <m/>
    <m/>
    <m/>
    <m/>
    <m/>
    <m/>
    <m/>
    <m/>
    <m/>
  </r>
  <r>
    <n v="2009"/>
    <n v="51118"/>
    <d v="2002-12-18T00:00:00"/>
    <n v="23"/>
    <x v="1"/>
    <x v="1"/>
    <d v="2023-09-23T00:00:00"/>
    <n v="2.4602739726027396"/>
    <x v="38"/>
    <x v="0"/>
    <x v="8"/>
    <x v="1"/>
    <n v="8.4600000000000009"/>
    <n v="8.26"/>
    <m/>
    <m/>
    <m/>
    <m/>
    <m/>
    <x v="2"/>
    <n v="1"/>
    <n v="6"/>
    <m/>
    <m/>
    <m/>
    <m/>
    <m/>
    <m/>
    <m/>
    <m/>
    <m/>
    <m/>
    <m/>
    <m/>
    <m/>
    <m/>
  </r>
  <r>
    <n v="2010"/>
    <n v="51136"/>
    <d v="2000-06-19T00:00:00"/>
    <n v="25"/>
    <x v="0"/>
    <x v="0"/>
    <d v="2023-07-17T00:00:00"/>
    <n v="2.7753424657534245"/>
    <x v="42"/>
    <x v="0"/>
    <x v="11"/>
    <x v="1"/>
    <n v="16.68"/>
    <n v="16.579999999999998"/>
    <m/>
    <m/>
    <m/>
    <m/>
    <m/>
    <x v="1"/>
    <n v="2"/>
    <n v="5"/>
    <m/>
    <m/>
    <m/>
    <m/>
    <m/>
    <m/>
    <m/>
    <m/>
    <m/>
    <m/>
    <m/>
    <m/>
    <m/>
    <m/>
  </r>
  <r>
    <n v="2011"/>
    <n v="51137"/>
    <d v="2002-12-25T00:00:00"/>
    <n v="23"/>
    <x v="1"/>
    <x v="0"/>
    <d v="2023-03-24T00:00:00"/>
    <n v="1.9095890410958904"/>
    <x v="42"/>
    <x v="0"/>
    <x v="10"/>
    <x v="1"/>
    <n v="10.48"/>
    <n v="10.38"/>
    <m/>
    <m/>
    <m/>
    <m/>
    <m/>
    <x v="4"/>
    <n v="0"/>
    <n v="6"/>
    <m/>
    <m/>
    <m/>
    <m/>
    <m/>
    <m/>
    <m/>
    <m/>
    <m/>
    <m/>
    <m/>
    <m/>
    <m/>
    <m/>
  </r>
  <r>
    <n v="2012"/>
    <n v="51138"/>
    <d v="2003-02-12T00:00:00"/>
    <n v="22"/>
    <x v="1"/>
    <x v="1"/>
    <d v="2024-02-03T00:00:00"/>
    <n v="1.9616438356164383"/>
    <x v="42"/>
    <x v="0"/>
    <x v="9"/>
    <x v="1"/>
    <n v="13.73"/>
    <m/>
    <m/>
    <m/>
    <m/>
    <m/>
    <m/>
    <x v="1"/>
    <n v="1"/>
    <n v="5"/>
    <m/>
    <m/>
    <m/>
    <m/>
    <m/>
    <m/>
    <m/>
    <m/>
    <m/>
    <m/>
    <m/>
    <m/>
    <m/>
    <m/>
  </r>
  <r>
    <n v="2013"/>
    <n v="51146"/>
    <d v="2006-06-17T00:00:00"/>
    <n v="19"/>
    <x v="1"/>
    <x v="0"/>
    <d v="2024-01-15T00:00:00"/>
    <n v="2.128767123287671"/>
    <x v="42"/>
    <x v="0"/>
    <x v="8"/>
    <x v="1"/>
    <n v="8.36"/>
    <m/>
    <m/>
    <m/>
    <m/>
    <m/>
    <m/>
    <x v="3"/>
    <n v="3"/>
    <n v="6"/>
    <m/>
    <m/>
    <m/>
    <m/>
    <m/>
    <m/>
    <m/>
    <m/>
    <m/>
    <m/>
    <m/>
    <m/>
    <m/>
    <m/>
  </r>
  <r>
    <n v="2014"/>
    <n v="51153"/>
    <d v="1998-05-04T00:00:00"/>
    <n v="27"/>
    <x v="1"/>
    <x v="0"/>
    <d v="2023-11-15T00:00:00"/>
    <n v="2.6136986301369864"/>
    <x v="42"/>
    <x v="0"/>
    <x v="8"/>
    <x v="1"/>
    <n v="8.36"/>
    <n v="8.26"/>
    <m/>
    <m/>
    <m/>
    <m/>
    <m/>
    <x v="4"/>
    <n v="2"/>
    <n v="6"/>
    <m/>
    <m/>
    <m/>
    <m/>
    <m/>
    <m/>
    <m/>
    <m/>
    <m/>
    <m/>
    <m/>
    <m/>
    <m/>
    <m/>
  </r>
  <r>
    <n v="2015"/>
    <n v="51156"/>
    <d v="2000-12-10T00:00:00"/>
    <n v="25"/>
    <x v="1"/>
    <x v="1"/>
    <d v="2023-05-22T00:00:00"/>
    <n v="2.5534246575342467"/>
    <x v="39"/>
    <x v="1"/>
    <x v="11"/>
    <x v="1"/>
    <n v="16.78"/>
    <n v="16.579999999999998"/>
    <m/>
    <m/>
    <m/>
    <m/>
    <m/>
    <x v="3"/>
    <n v="4"/>
    <n v="7"/>
    <m/>
    <m/>
    <m/>
    <m/>
    <m/>
    <m/>
    <m/>
    <m/>
    <m/>
    <m/>
    <m/>
    <m/>
    <m/>
    <m/>
  </r>
  <r>
    <n v="2016"/>
    <n v="51175"/>
    <d v="2005-09-11T00:00:00"/>
    <n v="20"/>
    <x v="0"/>
    <x v="1"/>
    <d v="2023-06-13T00:00:00"/>
    <n v="1.9479452054794522"/>
    <x v="40"/>
    <x v="1"/>
    <x v="8"/>
    <x v="1"/>
    <n v="8.44"/>
    <n v="8.26"/>
    <m/>
    <m/>
    <m/>
    <m/>
    <m/>
    <x v="4"/>
    <n v="2"/>
    <n v="5"/>
    <m/>
    <m/>
    <m/>
    <m/>
    <m/>
    <m/>
    <m/>
    <m/>
    <m/>
    <m/>
    <m/>
    <m/>
    <m/>
    <m/>
  </r>
  <r>
    <n v="2017"/>
    <n v="51177"/>
    <d v="2005-05-12T00:00:00"/>
    <n v="20"/>
    <x v="1"/>
    <x v="0"/>
    <d v="2024-01-20T00:00:00"/>
    <n v="2.0602739726027397"/>
    <x v="40"/>
    <x v="1"/>
    <x v="8"/>
    <x v="1"/>
    <n v="8.48"/>
    <m/>
    <m/>
    <m/>
    <m/>
    <m/>
    <m/>
    <x v="1"/>
    <n v="1"/>
    <n v="7"/>
    <m/>
    <m/>
    <m/>
    <m/>
    <m/>
    <m/>
    <m/>
    <m/>
    <m/>
    <m/>
    <m/>
    <m/>
    <m/>
    <m/>
  </r>
  <r>
    <n v="2018"/>
    <n v="51185"/>
    <d v="1992-08-06T00:00:00"/>
    <n v="33"/>
    <x v="1"/>
    <x v="1"/>
    <d v="2023-12-10T00:00:00"/>
    <n v="2.043835616438356"/>
    <x v="106"/>
    <x v="1"/>
    <x v="8"/>
    <x v="1"/>
    <n v="8.5399999999999991"/>
    <n v="8.26"/>
    <m/>
    <m/>
    <m/>
    <m/>
    <m/>
    <x v="3"/>
    <n v="2"/>
    <n v="7"/>
    <m/>
    <m/>
    <m/>
    <m/>
    <m/>
    <m/>
    <m/>
    <m/>
    <m/>
    <m/>
    <m/>
    <m/>
    <m/>
    <m/>
  </r>
  <r>
    <n v="2019"/>
    <n v="51186"/>
    <d v="1999-04-19T00:00:00"/>
    <n v="26"/>
    <x v="0"/>
    <x v="0"/>
    <d v="2023-12-16T00:00:00"/>
    <n v="2.882191780821918"/>
    <x v="1"/>
    <x v="1"/>
    <x v="10"/>
    <x v="1"/>
    <n v="10.65"/>
    <n v="10.38"/>
    <m/>
    <m/>
    <m/>
    <m/>
    <m/>
    <x v="2"/>
    <n v="1"/>
    <n v="2"/>
    <m/>
    <m/>
    <m/>
    <m/>
    <m/>
    <m/>
    <m/>
    <m/>
    <m/>
    <m/>
    <m/>
    <m/>
    <m/>
    <m/>
  </r>
  <r>
    <n v="2020"/>
    <n v="51188"/>
    <d v="2001-06-01T00:00:00"/>
    <n v="25"/>
    <x v="1"/>
    <x v="1"/>
    <d v="2023-02-13T00:00:00"/>
    <n v="2.1534246575342464"/>
    <x v="1"/>
    <x v="1"/>
    <x v="9"/>
    <x v="1"/>
    <n v="14.06"/>
    <n v="13.73"/>
    <m/>
    <m/>
    <m/>
    <m/>
    <m/>
    <x v="4"/>
    <n v="0"/>
    <n v="6"/>
    <m/>
    <m/>
    <m/>
    <m/>
    <m/>
    <m/>
    <m/>
    <m/>
    <m/>
    <m/>
    <m/>
    <m/>
    <m/>
    <m/>
  </r>
  <r>
    <n v="2021"/>
    <n v="51196"/>
    <d v="1993-03-13T00:00:00"/>
    <n v="32"/>
    <x v="1"/>
    <x v="1"/>
    <d v="2023-11-06T00:00:00"/>
    <n v="2.4575342465753423"/>
    <x v="104"/>
    <x v="1"/>
    <x v="11"/>
    <x v="1"/>
    <n v="16.78"/>
    <n v="16.579999999999998"/>
    <m/>
    <m/>
    <m/>
    <m/>
    <m/>
    <x v="4"/>
    <n v="1"/>
    <n v="4"/>
    <m/>
    <m/>
    <m/>
    <m/>
    <m/>
    <m/>
    <m/>
    <m/>
    <m/>
    <m/>
    <m/>
    <m/>
    <m/>
    <m/>
  </r>
  <r>
    <n v="2022"/>
    <n v="51216"/>
    <d v="2000-03-29T00:00:00"/>
    <n v="25"/>
    <x v="1"/>
    <x v="0"/>
    <d v="2023-07-18T00:00:00"/>
    <n v="1.9643835616438357"/>
    <x v="44"/>
    <x v="1"/>
    <x v="3"/>
    <x v="1"/>
    <n v="8.4600000000000009"/>
    <n v="8.26"/>
    <m/>
    <m/>
    <m/>
    <m/>
    <m/>
    <x v="2"/>
    <n v="2"/>
    <n v="6"/>
    <m/>
    <m/>
    <m/>
    <m/>
    <m/>
    <m/>
    <m/>
    <m/>
    <m/>
    <m/>
    <m/>
    <m/>
    <m/>
    <m/>
  </r>
  <r>
    <n v="2023"/>
    <n v="51236"/>
    <d v="2002-05-17T00:00:00"/>
    <n v="23"/>
    <x v="1"/>
    <x v="1"/>
    <d v="2024-01-14T00:00:00"/>
    <n v="1.8493150684931507"/>
    <x v="90"/>
    <x v="1"/>
    <x v="11"/>
    <x v="1"/>
    <n v="16.78"/>
    <m/>
    <m/>
    <m/>
    <m/>
    <m/>
    <m/>
    <x v="4"/>
    <n v="1"/>
    <n v="7"/>
    <m/>
    <m/>
    <m/>
    <m/>
    <m/>
    <m/>
    <m/>
    <m/>
    <m/>
    <m/>
    <m/>
    <m/>
    <m/>
    <m/>
  </r>
  <r>
    <n v="2024"/>
    <n v="51238"/>
    <d v="1994-02-20T00:00:00"/>
    <n v="31"/>
    <x v="0"/>
    <x v="1"/>
    <d v="2024-02-25T00:00:00"/>
    <n v="2.4712328767123286"/>
    <x v="90"/>
    <x v="1"/>
    <x v="6"/>
    <x v="1"/>
    <n v="23.5"/>
    <m/>
    <m/>
    <m/>
    <m/>
    <m/>
    <m/>
    <x v="2"/>
    <n v="6"/>
    <n v="5"/>
    <m/>
    <m/>
    <m/>
    <m/>
    <m/>
    <m/>
    <m/>
    <m/>
    <m/>
    <m/>
    <m/>
    <m/>
    <m/>
    <m/>
  </r>
  <r>
    <n v="2025"/>
    <n v="51249"/>
    <d v="2004-08-01T00:00:00"/>
    <n v="22"/>
    <x v="1"/>
    <x v="1"/>
    <d v="2023-07-13T00:00:00"/>
    <n v="2.3698630136986303"/>
    <x v="90"/>
    <x v="1"/>
    <x v="8"/>
    <x v="1"/>
    <n v="8.4600000000000009"/>
    <n v="8.26"/>
    <m/>
    <m/>
    <m/>
    <m/>
    <m/>
    <x v="1"/>
    <n v="2"/>
    <n v="6"/>
    <m/>
    <m/>
    <m/>
    <m/>
    <m/>
    <m/>
    <m/>
    <m/>
    <m/>
    <m/>
    <m/>
    <m/>
    <m/>
    <m/>
  </r>
  <r>
    <n v="2026"/>
    <n v="51273"/>
    <d v="2000-09-24T00:00:00"/>
    <n v="25"/>
    <x v="1"/>
    <x v="1"/>
    <d v="2023-08-19T00:00:00"/>
    <n v="2.0164383561643837"/>
    <x v="120"/>
    <x v="1"/>
    <x v="11"/>
    <x v="1"/>
    <n v="16.78"/>
    <n v="16.579999999999998"/>
    <m/>
    <m/>
    <m/>
    <m/>
    <m/>
    <x v="1"/>
    <n v="3"/>
    <n v="7"/>
    <m/>
    <m/>
    <m/>
    <m/>
    <m/>
    <m/>
    <m/>
    <m/>
    <m/>
    <m/>
    <m/>
    <m/>
    <m/>
    <m/>
  </r>
  <r>
    <n v="2027"/>
    <n v="51278"/>
    <d v="2003-04-15T00:00:00"/>
    <n v="22"/>
    <x v="1"/>
    <x v="1"/>
    <d v="2023-12-26T00:00:00"/>
    <n v="2.2164383561643834"/>
    <x v="120"/>
    <x v="1"/>
    <x v="8"/>
    <x v="1"/>
    <n v="8.4600000000000009"/>
    <n v="8.26"/>
    <m/>
    <m/>
    <m/>
    <m/>
    <m/>
    <x v="4"/>
    <n v="2"/>
    <n v="7"/>
    <m/>
    <m/>
    <m/>
    <m/>
    <m/>
    <m/>
    <m/>
    <m/>
    <m/>
    <m/>
    <m/>
    <m/>
    <m/>
    <m/>
  </r>
  <r>
    <n v="2028"/>
    <n v="51292"/>
    <d v="2002-02-17T00:00:00"/>
    <n v="23"/>
    <x v="1"/>
    <x v="1"/>
    <d v="2023-10-14T00:00:00"/>
    <n v="2.5972602739726027"/>
    <x v="114"/>
    <x v="1"/>
    <x v="11"/>
    <x v="1"/>
    <n v="16.78"/>
    <n v="16.579999999999998"/>
    <m/>
    <m/>
    <m/>
    <m/>
    <m/>
    <x v="3"/>
    <n v="1"/>
    <n v="5"/>
    <m/>
    <m/>
    <m/>
    <m/>
    <m/>
    <m/>
    <m/>
    <m/>
    <m/>
    <m/>
    <m/>
    <m/>
    <m/>
    <m/>
  </r>
  <r>
    <n v="2029"/>
    <n v="51313"/>
    <d v="1999-02-13T00:00:00"/>
    <n v="26"/>
    <x v="1"/>
    <x v="0"/>
    <d v="2023-05-28T00:00:00"/>
    <n v="2.506849315068493"/>
    <x v="6"/>
    <x v="1"/>
    <x v="8"/>
    <x v="1"/>
    <n v="8.4600000000000009"/>
    <n v="8.26"/>
    <m/>
    <m/>
    <m/>
    <m/>
    <m/>
    <x v="2"/>
    <n v="3"/>
    <n v="5"/>
    <m/>
    <m/>
    <m/>
    <m/>
    <m/>
    <m/>
    <m/>
    <m/>
    <m/>
    <m/>
    <m/>
    <m/>
    <m/>
    <m/>
  </r>
  <r>
    <n v="2030"/>
    <n v="51321"/>
    <d v="1995-08-05T00:00:00"/>
    <n v="30"/>
    <x v="0"/>
    <x v="0"/>
    <d v="2023-06-30T00:00:00"/>
    <n v="1.9315068493150684"/>
    <x v="8"/>
    <x v="1"/>
    <x v="7"/>
    <x v="1"/>
    <n v="17.309999999999999"/>
    <n v="17.16"/>
    <m/>
    <m/>
    <m/>
    <m/>
    <m/>
    <x v="2"/>
    <n v="2"/>
    <n v="4"/>
    <m/>
    <m/>
    <m/>
    <m/>
    <m/>
    <m/>
    <m/>
    <m/>
    <m/>
    <m/>
    <m/>
    <m/>
    <m/>
    <m/>
  </r>
  <r>
    <n v="2031"/>
    <n v="51354"/>
    <d v="2004-06-07T00:00:00"/>
    <n v="21"/>
    <x v="1"/>
    <x v="0"/>
    <d v="2024-01-26T00:00:00"/>
    <n v="2.4054794520547946"/>
    <x v="9"/>
    <x v="1"/>
    <x v="8"/>
    <x v="1"/>
    <n v="8.4600000000000009"/>
    <m/>
    <m/>
    <m/>
    <m/>
    <m/>
    <m/>
    <x v="2"/>
    <n v="1"/>
    <n v="4"/>
    <m/>
    <m/>
    <m/>
    <m/>
    <m/>
    <m/>
    <m/>
    <m/>
    <m/>
    <m/>
    <m/>
    <m/>
    <m/>
    <m/>
  </r>
  <r>
    <n v="2032"/>
    <n v="51376"/>
    <d v="2001-02-16T00:00:00"/>
    <n v="24"/>
    <x v="1"/>
    <x v="1"/>
    <d v="2023-08-06T00:00:00"/>
    <n v="2.6246575342465754"/>
    <x v="29"/>
    <x v="1"/>
    <x v="11"/>
    <x v="1"/>
    <n v="16.78"/>
    <n v="16.579999999999998"/>
    <m/>
    <m/>
    <m/>
    <m/>
    <m/>
    <x v="2"/>
    <n v="1"/>
    <n v="6"/>
    <m/>
    <m/>
    <m/>
    <m/>
    <m/>
    <m/>
    <m/>
    <m/>
    <m/>
    <m/>
    <m/>
    <m/>
    <m/>
    <m/>
  </r>
  <r>
    <n v="2033"/>
    <n v="51393"/>
    <d v="1997-05-18T00:00:00"/>
    <n v="28"/>
    <x v="0"/>
    <x v="1"/>
    <d v="2023-05-18T00:00:00"/>
    <n v="2.5424657534246577"/>
    <x v="30"/>
    <x v="1"/>
    <x v="10"/>
    <x v="1"/>
    <n v="10.58"/>
    <n v="10.38"/>
    <m/>
    <m/>
    <m/>
    <m/>
    <m/>
    <x v="4"/>
    <n v="1"/>
    <n v="4"/>
    <m/>
    <m/>
    <m/>
    <m/>
    <m/>
    <m/>
    <m/>
    <m/>
    <m/>
    <m/>
    <m/>
    <m/>
    <m/>
    <m/>
  </r>
  <r>
    <n v="2034"/>
    <n v="51399"/>
    <d v="2005-06-10T00:00:00"/>
    <n v="20"/>
    <x v="0"/>
    <x v="1"/>
    <d v="2023-06-17T00:00:00"/>
    <n v="2.8684931506849316"/>
    <x v="30"/>
    <x v="1"/>
    <x v="8"/>
    <x v="1"/>
    <n v="8.4600000000000009"/>
    <n v="8.26"/>
    <m/>
    <m/>
    <m/>
    <m/>
    <m/>
    <x v="2"/>
    <n v="2"/>
    <n v="6"/>
    <m/>
    <m/>
    <m/>
    <m/>
    <m/>
    <m/>
    <m/>
    <m/>
    <m/>
    <m/>
    <m/>
    <m/>
    <m/>
    <m/>
  </r>
  <r>
    <n v="2035"/>
    <n v="51402"/>
    <d v="2002-08-12T00:00:00"/>
    <n v="23"/>
    <x v="1"/>
    <x v="1"/>
    <d v="2023-02-18T00:00:00"/>
    <n v="2.7753424657534245"/>
    <x v="48"/>
    <x v="1"/>
    <x v="10"/>
    <x v="1"/>
    <n v="10.58"/>
    <n v="10.38"/>
    <m/>
    <m/>
    <m/>
    <m/>
    <m/>
    <x v="3"/>
    <n v="0"/>
    <n v="6"/>
    <m/>
    <m/>
    <m/>
    <m/>
    <m/>
    <m/>
    <m/>
    <m/>
    <m/>
    <m/>
    <m/>
    <m/>
    <m/>
    <m/>
  </r>
  <r>
    <n v="2036"/>
    <n v="51403"/>
    <d v="1998-01-02T00:00:00"/>
    <n v="27"/>
    <x v="1"/>
    <x v="0"/>
    <d v="2023-03-24T00:00:00"/>
    <n v="2.8767123287671232"/>
    <x v="48"/>
    <x v="1"/>
    <x v="8"/>
    <x v="1"/>
    <n v="8.4600000000000009"/>
    <n v="8.26"/>
    <m/>
    <m/>
    <m/>
    <m/>
    <m/>
    <x v="3"/>
    <n v="4"/>
    <n v="5"/>
    <m/>
    <m/>
    <m/>
    <m/>
    <m/>
    <m/>
    <m/>
    <m/>
    <m/>
    <m/>
    <m/>
    <m/>
    <m/>
    <m/>
  </r>
  <r>
    <n v="2037"/>
    <n v="51408"/>
    <d v="2004-10-18T00:00:00"/>
    <n v="21"/>
    <x v="1"/>
    <x v="0"/>
    <d v="2023-02-15T00:00:00"/>
    <n v="1.9917808219178081"/>
    <x v="48"/>
    <x v="1"/>
    <x v="8"/>
    <x v="1"/>
    <n v="8.4600000000000009"/>
    <n v="8.26"/>
    <m/>
    <m/>
    <m/>
    <m/>
    <m/>
    <x v="3"/>
    <n v="1"/>
    <n v="5"/>
    <m/>
    <m/>
    <m/>
    <m/>
    <m/>
    <m/>
    <m/>
    <m/>
    <m/>
    <m/>
    <m/>
    <m/>
    <m/>
    <m/>
  </r>
  <r>
    <n v="2038"/>
    <n v="51411"/>
    <d v="2003-07-24T00:00:00"/>
    <n v="22"/>
    <x v="1"/>
    <x v="0"/>
    <d v="2024-01-04T00:00:00"/>
    <n v="1.9534246575342467"/>
    <x v="48"/>
    <x v="1"/>
    <x v="8"/>
    <x v="1"/>
    <n v="8.4600000000000009"/>
    <m/>
    <m/>
    <m/>
    <m/>
    <m/>
    <m/>
    <x v="1"/>
    <n v="2"/>
    <n v="6"/>
    <m/>
    <m/>
    <m/>
    <m/>
    <m/>
    <m/>
    <m/>
    <m/>
    <m/>
    <m/>
    <m/>
    <m/>
    <m/>
    <m/>
  </r>
  <r>
    <n v="2039"/>
    <n v="51454"/>
    <d v="1993-04-16T00:00:00"/>
    <n v="32"/>
    <x v="1"/>
    <x v="0"/>
    <d v="2024-01-18T00:00:00"/>
    <n v="1.8876712328767122"/>
    <x v="95"/>
    <x v="1"/>
    <x v="2"/>
    <x v="1"/>
    <n v="14.03"/>
    <m/>
    <m/>
    <m/>
    <m/>
    <m/>
    <m/>
    <x v="3"/>
    <n v="1"/>
    <n v="6"/>
    <m/>
    <m/>
    <m/>
    <m/>
    <m/>
    <m/>
    <m/>
    <m/>
    <m/>
    <m/>
    <m/>
    <m/>
    <m/>
    <m/>
  </r>
  <r>
    <n v="2040"/>
    <n v="51456"/>
    <d v="2006-02-24T00:00:00"/>
    <n v="19"/>
    <x v="1"/>
    <x v="0"/>
    <d v="2024-02-11T00:00:00"/>
    <n v="1.9753424657534246"/>
    <x v="95"/>
    <x v="1"/>
    <x v="8"/>
    <x v="1"/>
    <n v="8.36"/>
    <m/>
    <m/>
    <m/>
    <m/>
    <m/>
    <m/>
    <x v="1"/>
    <n v="4"/>
    <n v="5"/>
    <m/>
    <m/>
    <m/>
    <m/>
    <m/>
    <m/>
    <m/>
    <m/>
    <m/>
    <m/>
    <m/>
    <m/>
    <m/>
    <m/>
  </r>
  <r>
    <n v="2041"/>
    <n v="51461"/>
    <d v="2006-12-13T00:00:00"/>
    <n v="19"/>
    <x v="1"/>
    <x v="0"/>
    <d v="2024-01-10T00:00:00"/>
    <n v="2.0684931506849313"/>
    <x v="95"/>
    <x v="1"/>
    <x v="8"/>
    <x v="1"/>
    <n v="8.36"/>
    <m/>
    <m/>
    <m/>
    <m/>
    <m/>
    <m/>
    <x v="3"/>
    <n v="1"/>
    <n v="3"/>
    <m/>
    <m/>
    <m/>
    <m/>
    <m/>
    <m/>
    <m/>
    <m/>
    <m/>
    <m/>
    <m/>
    <m/>
    <m/>
    <m/>
  </r>
  <r>
    <n v="2042"/>
    <n v="51538"/>
    <d v="2003-06-01T00:00:00"/>
    <n v="23"/>
    <x v="1"/>
    <x v="1"/>
    <d v="2023-12-07T00:00:00"/>
    <n v="2.504109589041096"/>
    <x v="130"/>
    <x v="1"/>
    <x v="8"/>
    <x v="1"/>
    <n v="8.26"/>
    <n v="8.26"/>
    <m/>
    <m/>
    <m/>
    <m/>
    <m/>
    <x v="2"/>
    <n v="0"/>
    <n v="5"/>
    <m/>
    <m/>
    <m/>
    <m/>
    <m/>
    <m/>
    <m/>
    <m/>
    <m/>
    <m/>
    <m/>
    <m/>
    <m/>
    <m/>
  </r>
  <r>
    <n v="2043"/>
    <n v="51557"/>
    <d v="2000-12-21T00:00:00"/>
    <n v="25"/>
    <x v="1"/>
    <x v="0"/>
    <d v="2023-07-01T00:00:00"/>
    <n v="1.9972602739726026"/>
    <x v="121"/>
    <x v="1"/>
    <x v="8"/>
    <x v="1"/>
    <n v="8.4600000000000009"/>
    <n v="8.26"/>
    <m/>
    <m/>
    <m/>
    <m/>
    <m/>
    <x v="2"/>
    <n v="4"/>
    <n v="7"/>
    <m/>
    <m/>
    <m/>
    <m/>
    <m/>
    <m/>
    <m/>
    <m/>
    <m/>
    <m/>
    <m/>
    <m/>
    <m/>
    <m/>
  </r>
  <r>
    <n v="2044"/>
    <n v="51587"/>
    <d v="1995-07-05T00:00:00"/>
    <n v="30"/>
    <x v="1"/>
    <x v="1"/>
    <d v="2024-01-02T00:00:00"/>
    <n v="1.989041095890411"/>
    <x v="54"/>
    <x v="1"/>
    <x v="11"/>
    <x v="1"/>
    <n v="16.78"/>
    <m/>
    <m/>
    <m/>
    <m/>
    <m/>
    <m/>
    <x v="2"/>
    <n v="2"/>
    <n v="6"/>
    <m/>
    <m/>
    <m/>
    <m/>
    <m/>
    <m/>
    <m/>
    <m/>
    <m/>
    <m/>
    <m/>
    <m/>
    <m/>
    <m/>
  </r>
  <r>
    <n v="2045"/>
    <n v="51590"/>
    <d v="1999-02-15T00:00:00"/>
    <n v="26"/>
    <x v="1"/>
    <x v="1"/>
    <d v="2024-01-05T00:00:00"/>
    <n v="2.6931506849315068"/>
    <x v="54"/>
    <x v="1"/>
    <x v="8"/>
    <x v="1"/>
    <n v="8.4600000000000009"/>
    <m/>
    <m/>
    <m/>
    <m/>
    <m/>
    <m/>
    <x v="3"/>
    <n v="1"/>
    <n v="7"/>
    <m/>
    <m/>
    <m/>
    <m/>
    <m/>
    <m/>
    <m/>
    <m/>
    <m/>
    <m/>
    <m/>
    <m/>
    <m/>
    <m/>
  </r>
  <r>
    <n v="2046"/>
    <n v="51609"/>
    <d v="2004-08-18T00:00:00"/>
    <n v="21"/>
    <x v="1"/>
    <x v="1"/>
    <d v="2023-04-23T00:00:00"/>
    <n v="2.2958904109589042"/>
    <x v="56"/>
    <x v="1"/>
    <x v="8"/>
    <x v="1"/>
    <n v="8.4600000000000009"/>
    <n v="8.26"/>
    <m/>
    <m/>
    <m/>
    <m/>
    <m/>
    <x v="2"/>
    <n v="1"/>
    <n v="6"/>
    <m/>
    <m/>
    <m/>
    <m/>
    <m/>
    <m/>
    <m/>
    <m/>
    <m/>
    <m/>
    <m/>
    <m/>
    <m/>
    <m/>
  </r>
  <r>
    <n v="2047"/>
    <n v="51637"/>
    <d v="2002-11-01T00:00:00"/>
    <n v="24"/>
    <x v="1"/>
    <x v="1"/>
    <d v="2023-09-15T00:00:00"/>
    <n v="1.8739726027397261"/>
    <x v="58"/>
    <x v="1"/>
    <x v="8"/>
    <x v="1"/>
    <n v="8.5299999999999994"/>
    <n v="8.26"/>
    <m/>
    <m/>
    <m/>
    <m/>
    <m/>
    <x v="3"/>
    <n v="0"/>
    <n v="4"/>
    <m/>
    <m/>
    <m/>
    <m/>
    <m/>
    <m/>
    <m/>
    <m/>
    <m/>
    <m/>
    <m/>
    <m/>
    <m/>
    <m/>
  </r>
  <r>
    <n v="2048"/>
    <n v="51651"/>
    <d v="1996-08-03T00:00:00"/>
    <n v="29"/>
    <x v="1"/>
    <x v="1"/>
    <d v="2024-02-16T00:00:00"/>
    <n v="2.0136986301369864"/>
    <x v="113"/>
    <x v="1"/>
    <x v="8"/>
    <x v="1"/>
    <n v="8.36"/>
    <m/>
    <m/>
    <m/>
    <m/>
    <m/>
    <m/>
    <x v="4"/>
    <n v="2"/>
    <n v="6"/>
    <m/>
    <m/>
    <m/>
    <m/>
    <m/>
    <m/>
    <m/>
    <m/>
    <m/>
    <m/>
    <m/>
    <m/>
    <m/>
    <m/>
  </r>
  <r>
    <n v="2049"/>
    <n v="51657"/>
    <d v="2006-12-03T00:00:00"/>
    <n v="19"/>
    <x v="1"/>
    <x v="0"/>
    <d v="2023-12-27T00:00:00"/>
    <n v="2.4328767123287673"/>
    <x v="113"/>
    <x v="1"/>
    <x v="8"/>
    <x v="1"/>
    <n v="8.36"/>
    <n v="8.26"/>
    <m/>
    <m/>
    <m/>
    <m/>
    <m/>
    <x v="3"/>
    <n v="2"/>
    <n v="6"/>
    <m/>
    <m/>
    <m/>
    <m/>
    <m/>
    <m/>
    <m/>
    <m/>
    <m/>
    <m/>
    <m/>
    <m/>
    <m/>
    <m/>
  </r>
  <r>
    <n v="2050"/>
    <n v="51662"/>
    <d v="2003-10-30T00:00:00"/>
    <n v="22"/>
    <x v="0"/>
    <x v="1"/>
    <d v="2023-07-27T00:00:00"/>
    <n v="2.0027397260273974"/>
    <x v="60"/>
    <x v="1"/>
    <x v="10"/>
    <x v="1"/>
    <n v="10.58"/>
    <n v="10.38"/>
    <m/>
    <m/>
    <m/>
    <m/>
    <m/>
    <x v="2"/>
    <n v="0"/>
    <n v="4"/>
    <m/>
    <m/>
    <m/>
    <m/>
    <m/>
    <m/>
    <m/>
    <m/>
    <m/>
    <m/>
    <m/>
    <m/>
    <m/>
    <m/>
  </r>
  <r>
    <n v="2051"/>
    <n v="51663"/>
    <d v="2004-11-05T00:00:00"/>
    <n v="21"/>
    <x v="0"/>
    <x v="1"/>
    <d v="2023-12-31T00:00:00"/>
    <n v="1.9534246575342467"/>
    <x v="60"/>
    <x v="1"/>
    <x v="10"/>
    <x v="1"/>
    <n v="10.58"/>
    <n v="10.38"/>
    <m/>
    <m/>
    <m/>
    <m/>
    <m/>
    <x v="2"/>
    <n v="0"/>
    <n v="4"/>
    <m/>
    <m/>
    <m/>
    <m/>
    <m/>
    <m/>
    <m/>
    <m/>
    <m/>
    <m/>
    <m/>
    <m/>
    <m/>
    <m/>
  </r>
  <r>
    <n v="2052"/>
    <n v="51675"/>
    <d v="2001-12-20T00:00:00"/>
    <n v="24"/>
    <x v="1"/>
    <x v="1"/>
    <d v="2024-01-18T00:00:00"/>
    <n v="1.9808219178082191"/>
    <x v="62"/>
    <x v="1"/>
    <x v="8"/>
    <x v="1"/>
    <n v="8.4600000000000009"/>
    <m/>
    <m/>
    <m/>
    <m/>
    <m/>
    <m/>
    <x v="2"/>
    <n v="0"/>
    <n v="5"/>
    <m/>
    <m/>
    <m/>
    <m/>
    <m/>
    <m/>
    <m/>
    <m/>
    <m/>
    <m/>
    <m/>
    <m/>
    <m/>
    <m/>
  </r>
  <r>
    <n v="2053"/>
    <n v="51699"/>
    <d v="2003-06-14T00:00:00"/>
    <n v="22"/>
    <x v="1"/>
    <x v="1"/>
    <d v="2024-01-08T00:00:00"/>
    <n v="2.128767123287671"/>
    <x v="91"/>
    <x v="1"/>
    <x v="8"/>
    <x v="1"/>
    <n v="8.4600000000000009"/>
    <m/>
    <m/>
    <m/>
    <m/>
    <m/>
    <m/>
    <x v="2"/>
    <n v="2"/>
    <n v="7"/>
    <m/>
    <m/>
    <m/>
    <m/>
    <m/>
    <m/>
    <m/>
    <m/>
    <m/>
    <m/>
    <m/>
    <m/>
    <m/>
    <m/>
  </r>
  <r>
    <n v="2054"/>
    <n v="51712"/>
    <d v="2004-11-20T00:00:00"/>
    <n v="21"/>
    <x v="1"/>
    <x v="0"/>
    <d v="2023-11-15T00:00:00"/>
    <n v="1.9150684931506849"/>
    <x v="111"/>
    <x v="1"/>
    <x v="8"/>
    <x v="1"/>
    <n v="8.4600000000000009"/>
    <n v="8.26"/>
    <m/>
    <m/>
    <m/>
    <m/>
    <m/>
    <x v="4"/>
    <n v="4"/>
    <n v="6"/>
    <m/>
    <m/>
    <m/>
    <m/>
    <m/>
    <m/>
    <m/>
    <m/>
    <m/>
    <m/>
    <m/>
    <m/>
    <m/>
    <m/>
  </r>
  <r>
    <n v="2055"/>
    <n v="51719"/>
    <d v="2003-12-28T00:00:00"/>
    <n v="22"/>
    <x v="1"/>
    <x v="1"/>
    <d v="2024-02-01T00:00:00"/>
    <n v="2.0931506849315067"/>
    <x v="111"/>
    <x v="1"/>
    <x v="8"/>
    <x v="1"/>
    <n v="8.4600000000000009"/>
    <m/>
    <m/>
    <m/>
    <m/>
    <m/>
    <m/>
    <x v="2"/>
    <n v="2"/>
    <n v="6"/>
    <m/>
    <m/>
    <m/>
    <m/>
    <m/>
    <m/>
    <m/>
    <m/>
    <m/>
    <m/>
    <m/>
    <m/>
    <m/>
    <m/>
  </r>
  <r>
    <n v="2056"/>
    <n v="51720"/>
    <d v="2004-07-07T00:00:00"/>
    <n v="21"/>
    <x v="0"/>
    <x v="1"/>
    <d v="2023-11-28T00:00:00"/>
    <n v="2.2767123287671232"/>
    <x v="111"/>
    <x v="1"/>
    <x v="8"/>
    <x v="1"/>
    <n v="8.4600000000000009"/>
    <n v="8.26"/>
    <m/>
    <m/>
    <m/>
    <m/>
    <m/>
    <x v="2"/>
    <n v="2"/>
    <n v="6"/>
    <m/>
    <m/>
    <m/>
    <m/>
    <m/>
    <m/>
    <m/>
    <m/>
    <m/>
    <m/>
    <m/>
    <m/>
    <m/>
    <m/>
  </r>
  <r>
    <n v="2057"/>
    <n v="51751"/>
    <d v="2000-06-27T00:00:00"/>
    <n v="25"/>
    <x v="1"/>
    <x v="1"/>
    <d v="2023-09-22T00:00:00"/>
    <n v="1.8767123287671232"/>
    <x v="64"/>
    <x v="1"/>
    <x v="11"/>
    <x v="1"/>
    <n v="16.78"/>
    <n v="16.579999999999998"/>
    <m/>
    <m/>
    <m/>
    <m/>
    <m/>
    <x v="2"/>
    <n v="2"/>
    <n v="6"/>
    <m/>
    <m/>
    <m/>
    <m/>
    <m/>
    <m/>
    <m/>
    <m/>
    <m/>
    <m/>
    <m/>
    <m/>
    <m/>
    <m/>
  </r>
  <r>
    <n v="2058"/>
    <n v="51755"/>
    <d v="2002-07-07T00:00:00"/>
    <n v="23"/>
    <x v="0"/>
    <x v="0"/>
    <d v="2024-02-15T00:00:00"/>
    <n v="2.3589041095890413"/>
    <x v="64"/>
    <x v="1"/>
    <x v="8"/>
    <x v="1"/>
    <n v="8.4600000000000009"/>
    <m/>
    <m/>
    <m/>
    <m/>
    <m/>
    <m/>
    <x v="2"/>
    <n v="4"/>
    <n v="4"/>
    <m/>
    <m/>
    <m/>
    <m/>
    <m/>
    <m/>
    <m/>
    <m/>
    <m/>
    <m/>
    <m/>
    <m/>
    <m/>
    <m/>
  </r>
  <r>
    <n v="2059"/>
    <n v="51834"/>
    <d v="2005-06-12T00:00:00"/>
    <n v="20"/>
    <x v="0"/>
    <x v="1"/>
    <d v="2023-08-23T00:00:00"/>
    <n v="2.4438356164383563"/>
    <x v="135"/>
    <x v="1"/>
    <x v="8"/>
    <x v="1"/>
    <n v="8.26"/>
    <n v="8.26"/>
    <m/>
    <m/>
    <m/>
    <m/>
    <m/>
    <x v="4"/>
    <n v="4"/>
    <n v="6"/>
    <m/>
    <m/>
    <m/>
    <m/>
    <m/>
    <m/>
    <m/>
    <m/>
    <m/>
    <m/>
    <m/>
    <m/>
    <m/>
    <m/>
  </r>
  <r>
    <n v="2060"/>
    <n v="51866"/>
    <d v="1993-04-13T00:00:00"/>
    <n v="32"/>
    <x v="1"/>
    <x v="0"/>
    <d v="2023-07-23T00:00:00"/>
    <n v="2.6027397260273974"/>
    <x v="71"/>
    <x v="1"/>
    <x v="11"/>
    <x v="1"/>
    <n v="16.78"/>
    <n v="16.579999999999998"/>
    <m/>
    <m/>
    <m/>
    <m/>
    <m/>
    <x v="2"/>
    <n v="2"/>
    <n v="6"/>
    <m/>
    <m/>
    <m/>
    <m/>
    <m/>
    <m/>
    <m/>
    <m/>
    <m/>
    <m/>
    <m/>
    <m/>
    <m/>
    <m/>
  </r>
  <r>
    <n v="2061"/>
    <n v="51867"/>
    <d v="2002-08-02T00:00:00"/>
    <n v="23"/>
    <x v="0"/>
    <x v="1"/>
    <d v="2023-05-26T00:00:00"/>
    <n v="2.6328767123287671"/>
    <x v="71"/>
    <x v="1"/>
    <x v="11"/>
    <x v="1"/>
    <n v="16.78"/>
    <n v="16.579999999999998"/>
    <m/>
    <m/>
    <m/>
    <m/>
    <m/>
    <x v="4"/>
    <n v="3"/>
    <n v="5"/>
    <m/>
    <m/>
    <m/>
    <m/>
    <m/>
    <m/>
    <m/>
    <m/>
    <m/>
    <m/>
    <m/>
    <m/>
    <m/>
    <m/>
  </r>
  <r>
    <n v="2062"/>
    <n v="51869"/>
    <d v="2000-03-02T00:00:00"/>
    <n v="25"/>
    <x v="0"/>
    <x v="1"/>
    <d v="2023-05-15T00:00:00"/>
    <n v="1.9068493150684931"/>
    <x v="71"/>
    <x v="1"/>
    <x v="2"/>
    <x v="1"/>
    <n v="14.18"/>
    <n v="13.88"/>
    <m/>
    <m/>
    <m/>
    <m/>
    <m/>
    <x v="2"/>
    <n v="1"/>
    <n v="4"/>
    <m/>
    <m/>
    <m/>
    <m/>
    <m/>
    <m/>
    <m/>
    <m/>
    <m/>
    <m/>
    <m/>
    <m/>
    <m/>
    <m/>
  </r>
  <r>
    <n v="2063"/>
    <n v="51870"/>
    <d v="2006-11-06T00:00:00"/>
    <n v="19"/>
    <x v="0"/>
    <x v="0"/>
    <d v="2024-02-04T00:00:00"/>
    <n v="2.2109589041095892"/>
    <x v="71"/>
    <x v="1"/>
    <x v="3"/>
    <x v="1"/>
    <n v="8.4600000000000009"/>
    <m/>
    <m/>
    <m/>
    <m/>
    <m/>
    <m/>
    <x v="4"/>
    <n v="4"/>
    <n v="4"/>
    <m/>
    <m/>
    <m/>
    <m/>
    <m/>
    <m/>
    <m/>
    <m/>
    <m/>
    <m/>
    <m/>
    <m/>
    <m/>
    <m/>
  </r>
  <r>
    <n v="2064"/>
    <n v="51879"/>
    <d v="2003-11-02T00:00:00"/>
    <n v="22"/>
    <x v="1"/>
    <x v="0"/>
    <d v="2023-10-16T00:00:00"/>
    <n v="2.0356164383561643"/>
    <x v="71"/>
    <x v="1"/>
    <x v="8"/>
    <x v="1"/>
    <n v="8.4600000000000009"/>
    <n v="8.26"/>
    <m/>
    <m/>
    <m/>
    <m/>
    <m/>
    <x v="2"/>
    <n v="2"/>
    <n v="5"/>
    <m/>
    <m/>
    <m/>
    <m/>
    <m/>
    <m/>
    <m/>
    <m/>
    <m/>
    <m/>
    <m/>
    <m/>
    <m/>
    <m/>
  </r>
  <r>
    <n v="2065"/>
    <n v="51888"/>
    <d v="2000-06-11T00:00:00"/>
    <n v="25"/>
    <x v="0"/>
    <x v="1"/>
    <d v="2023-12-19T00:00:00"/>
    <n v="2.5534246575342467"/>
    <x v="131"/>
    <x v="1"/>
    <x v="10"/>
    <x v="1"/>
    <n v="10.48"/>
    <n v="10.38"/>
    <m/>
    <m/>
    <m/>
    <m/>
    <m/>
    <x v="2"/>
    <n v="0"/>
    <n v="4"/>
    <m/>
    <m/>
    <m/>
    <m/>
    <m/>
    <m/>
    <m/>
    <m/>
    <m/>
    <m/>
    <m/>
    <m/>
    <m/>
    <m/>
  </r>
  <r>
    <n v="2066"/>
    <n v="51909"/>
    <d v="2004-09-25T00:00:00"/>
    <n v="21"/>
    <x v="0"/>
    <x v="1"/>
    <d v="2023-06-13T00:00:00"/>
    <n v="2.0986301369863014"/>
    <x v="72"/>
    <x v="1"/>
    <x v="2"/>
    <x v="1"/>
    <n v="14.22"/>
    <n v="13.88"/>
    <m/>
    <m/>
    <m/>
    <m/>
    <m/>
    <x v="4"/>
    <n v="0"/>
    <n v="5"/>
    <m/>
    <m/>
    <m/>
    <m/>
    <m/>
    <m/>
    <m/>
    <m/>
    <m/>
    <m/>
    <m/>
    <m/>
    <m/>
    <m/>
  </r>
  <r>
    <n v="2067"/>
    <n v="51913"/>
    <d v="1997-03-18T00:00:00"/>
    <n v="28"/>
    <x v="1"/>
    <x v="0"/>
    <d v="2023-11-26T00:00:00"/>
    <n v="1.9397260273972603"/>
    <x v="72"/>
    <x v="1"/>
    <x v="8"/>
    <x v="1"/>
    <n v="8.5500000000000007"/>
    <n v="8.26"/>
    <m/>
    <m/>
    <m/>
    <m/>
    <m/>
    <x v="1"/>
    <n v="2"/>
    <n v="6"/>
    <m/>
    <m/>
    <m/>
    <m/>
    <m/>
    <m/>
    <m/>
    <m/>
    <m/>
    <m/>
    <m/>
    <m/>
    <m/>
    <m/>
  </r>
  <r>
    <n v="2068"/>
    <n v="51948"/>
    <d v="2005-08-31T00:00:00"/>
    <n v="20"/>
    <x v="1"/>
    <x v="1"/>
    <d v="2024-01-23T00:00:00"/>
    <n v="2.3945205479452056"/>
    <x v="75"/>
    <x v="1"/>
    <x v="8"/>
    <x v="1"/>
    <n v="8.4600000000000009"/>
    <m/>
    <m/>
    <m/>
    <m/>
    <m/>
    <m/>
    <x v="2"/>
    <n v="2"/>
    <n v="6"/>
    <m/>
    <m/>
    <m/>
    <m/>
    <m/>
    <m/>
    <m/>
    <m/>
    <m/>
    <m/>
    <m/>
    <m/>
    <m/>
    <m/>
  </r>
  <r>
    <n v="2069"/>
    <n v="51949"/>
    <d v="1996-05-01T00:00:00"/>
    <n v="30"/>
    <x v="1"/>
    <x v="1"/>
    <d v="2023-08-10T00:00:00"/>
    <n v="2.7890410958904108"/>
    <x v="122"/>
    <x v="1"/>
    <x v="11"/>
    <x v="1"/>
    <n v="16.84"/>
    <n v="16.579999999999998"/>
    <m/>
    <m/>
    <m/>
    <m/>
    <m/>
    <x v="3"/>
    <n v="2"/>
    <n v="6"/>
    <m/>
    <m/>
    <m/>
    <m/>
    <m/>
    <m/>
    <m/>
    <m/>
    <m/>
    <m/>
    <m/>
    <m/>
    <m/>
    <m/>
  </r>
  <r>
    <n v="2070"/>
    <n v="51952"/>
    <d v="2005-11-29T00:00:00"/>
    <n v="20"/>
    <x v="1"/>
    <x v="1"/>
    <d v="2023-03-19T00:00:00"/>
    <n v="2.7917808219178082"/>
    <x v="122"/>
    <x v="1"/>
    <x v="8"/>
    <x v="1"/>
    <n v="8.42"/>
    <n v="8.26"/>
    <m/>
    <m/>
    <m/>
    <m/>
    <m/>
    <x v="2"/>
    <n v="2"/>
    <n v="7"/>
    <m/>
    <m/>
    <m/>
    <m/>
    <m/>
    <m/>
    <m/>
    <m/>
    <m/>
    <m/>
    <m/>
    <m/>
    <m/>
    <m/>
  </r>
  <r>
    <n v="2071"/>
    <n v="51956"/>
    <d v="2001-03-09T00:00:00"/>
    <n v="24"/>
    <x v="1"/>
    <x v="1"/>
    <d v="2023-03-18T00:00:00"/>
    <n v="2.4986301369863013"/>
    <x v="122"/>
    <x v="1"/>
    <x v="8"/>
    <x v="1"/>
    <n v="8.5299999999999994"/>
    <n v="8.26"/>
    <m/>
    <m/>
    <m/>
    <m/>
    <m/>
    <x v="1"/>
    <n v="2"/>
    <n v="7"/>
    <m/>
    <m/>
    <m/>
    <m/>
    <m/>
    <m/>
    <m/>
    <m/>
    <m/>
    <m/>
    <m/>
    <m/>
    <m/>
    <m/>
  </r>
  <r>
    <n v="2072"/>
    <n v="51960"/>
    <d v="1997-02-04T00:00:00"/>
    <n v="28"/>
    <x v="0"/>
    <x v="1"/>
    <d v="2023-07-03T00:00:00"/>
    <n v="2.0767123287671234"/>
    <x v="76"/>
    <x v="1"/>
    <x v="10"/>
    <x v="1"/>
    <n v="10.58"/>
    <n v="10.38"/>
    <m/>
    <m/>
    <m/>
    <m/>
    <m/>
    <x v="2"/>
    <n v="1"/>
    <n v="4"/>
    <m/>
    <m/>
    <m/>
    <m/>
    <m/>
    <m/>
    <m/>
    <m/>
    <m/>
    <m/>
    <m/>
    <m/>
    <m/>
    <m/>
  </r>
  <r>
    <n v="2073"/>
    <n v="51978"/>
    <d v="2002-04-05T00:00:00"/>
    <n v="23"/>
    <x v="1"/>
    <x v="1"/>
    <d v="2023-12-04T00:00:00"/>
    <n v="2.2684931506849315"/>
    <x v="125"/>
    <x v="1"/>
    <x v="11"/>
    <x v="1"/>
    <n v="16.78"/>
    <n v="16.579999999999998"/>
    <m/>
    <m/>
    <m/>
    <m/>
    <m/>
    <x v="3"/>
    <n v="0"/>
    <n v="6"/>
    <m/>
    <m/>
    <m/>
    <m/>
    <m/>
    <m/>
    <m/>
    <m/>
    <m/>
    <m/>
    <m/>
    <m/>
    <m/>
    <m/>
  </r>
  <r>
    <n v="2074"/>
    <n v="51988"/>
    <d v="2002-02-25T00:00:00"/>
    <n v="23"/>
    <x v="0"/>
    <x v="0"/>
    <d v="2023-09-25T00:00:00"/>
    <n v="2.7205479452054795"/>
    <x v="125"/>
    <x v="1"/>
    <x v="8"/>
    <x v="1"/>
    <n v="8.4600000000000009"/>
    <n v="8.26"/>
    <m/>
    <m/>
    <m/>
    <m/>
    <m/>
    <x v="2"/>
    <n v="2"/>
    <n v="5"/>
    <m/>
    <m/>
    <m/>
    <m/>
    <m/>
    <m/>
    <m/>
    <m/>
    <m/>
    <m/>
    <m/>
    <m/>
    <m/>
    <m/>
  </r>
  <r>
    <n v="2075"/>
    <n v="52031"/>
    <d v="1997-05-06T00:00:00"/>
    <n v="28"/>
    <x v="1"/>
    <x v="1"/>
    <d v="2023-04-13T00:00:00"/>
    <n v="2.7041095890410958"/>
    <x v="93"/>
    <x v="1"/>
    <x v="8"/>
    <x v="1"/>
    <n v="8.56"/>
    <n v="8.26"/>
    <m/>
    <m/>
    <m/>
    <m/>
    <m/>
    <x v="3"/>
    <n v="2"/>
    <n v="7"/>
    <m/>
    <m/>
    <m/>
    <m/>
    <m/>
    <m/>
    <m/>
    <m/>
    <m/>
    <m/>
    <m/>
    <m/>
    <m/>
    <m/>
  </r>
  <r>
    <n v="2076"/>
    <n v="52033"/>
    <d v="2004-02-22T00:00:00"/>
    <n v="21"/>
    <x v="1"/>
    <x v="1"/>
    <d v="2023-04-19T00:00:00"/>
    <n v="2.043835616438356"/>
    <x v="93"/>
    <x v="1"/>
    <x v="8"/>
    <x v="1"/>
    <n v="8.5500000000000007"/>
    <n v="8.26"/>
    <m/>
    <m/>
    <m/>
    <m/>
    <m/>
    <x v="1"/>
    <n v="4"/>
    <n v="7"/>
    <m/>
    <m/>
    <m/>
    <m/>
    <m/>
    <m/>
    <m/>
    <m/>
    <m/>
    <m/>
    <m/>
    <m/>
    <m/>
    <m/>
  </r>
  <r>
    <n v="2077"/>
    <n v="52035"/>
    <d v="2001-06-03T00:00:00"/>
    <n v="24"/>
    <x v="1"/>
    <x v="1"/>
    <d v="2023-12-16T00:00:00"/>
    <n v="2.2027397260273971"/>
    <x v="109"/>
    <x v="1"/>
    <x v="11"/>
    <x v="1"/>
    <n v="16.78"/>
    <n v="16.579999999999998"/>
    <m/>
    <m/>
    <m/>
    <m/>
    <m/>
    <x v="2"/>
    <n v="1"/>
    <n v="6"/>
    <m/>
    <m/>
    <m/>
    <m/>
    <m/>
    <m/>
    <m/>
    <m/>
    <m/>
    <m/>
    <m/>
    <m/>
    <m/>
    <m/>
  </r>
  <r>
    <n v="2078"/>
    <n v="52057"/>
    <d v="2001-04-18T00:00:00"/>
    <n v="24"/>
    <x v="0"/>
    <x v="1"/>
    <d v="2023-10-19T00:00:00"/>
    <n v="2.3671232876712329"/>
    <x v="129"/>
    <x v="1"/>
    <x v="10"/>
    <x v="1"/>
    <n v="10.48"/>
    <n v="10.38"/>
    <m/>
    <m/>
    <m/>
    <m/>
    <m/>
    <x v="2"/>
    <n v="1"/>
    <n v="4"/>
    <m/>
    <m/>
    <m/>
    <m/>
    <m/>
    <m/>
    <m/>
    <m/>
    <m/>
    <m/>
    <m/>
    <m/>
    <m/>
    <m/>
  </r>
  <r>
    <n v="2079"/>
    <n v="52061"/>
    <d v="1989-12-04T00:00:00"/>
    <n v="36"/>
    <x v="0"/>
    <x v="1"/>
    <d v="2023-08-20T00:00:00"/>
    <n v="2.3479452054794518"/>
    <x v="129"/>
    <x v="1"/>
    <x v="7"/>
    <x v="1"/>
    <n v="17.309999999999999"/>
    <n v="17.16"/>
    <m/>
    <m/>
    <m/>
    <m/>
    <m/>
    <x v="1"/>
    <n v="2"/>
    <n v="4"/>
    <m/>
    <m/>
    <m/>
    <m/>
    <m/>
    <m/>
    <m/>
    <m/>
    <m/>
    <m/>
    <m/>
    <m/>
    <m/>
    <m/>
  </r>
  <r>
    <n v="2080"/>
    <n v="52106"/>
    <d v="1998-12-15T00:00:00"/>
    <n v="27"/>
    <x v="0"/>
    <x v="1"/>
    <d v="2023-08-27T00:00:00"/>
    <n v="1.9671232876712328"/>
    <x v="134"/>
    <x v="1"/>
    <x v="11"/>
    <x v="1"/>
    <n v="16.68"/>
    <n v="16.579999999999998"/>
    <m/>
    <m/>
    <m/>
    <m/>
    <m/>
    <x v="2"/>
    <n v="4"/>
    <n v="4"/>
    <m/>
    <m/>
    <m/>
    <m/>
    <m/>
    <m/>
    <m/>
    <m/>
    <m/>
    <m/>
    <m/>
    <m/>
    <m/>
    <m/>
  </r>
  <r>
    <n v="2081"/>
    <n v="52123"/>
    <d v="1997-08-26T00:00:00"/>
    <n v="28"/>
    <x v="1"/>
    <x v="0"/>
    <d v="2024-01-13T00:00:00"/>
    <n v="2.7287671232876711"/>
    <x v="81"/>
    <x v="1"/>
    <x v="11"/>
    <x v="1"/>
    <n v="16.78"/>
    <m/>
    <m/>
    <m/>
    <m/>
    <m/>
    <m/>
    <x v="2"/>
    <n v="4"/>
    <n v="6"/>
    <m/>
    <m/>
    <m/>
    <m/>
    <m/>
    <m/>
    <m/>
    <m/>
    <m/>
    <m/>
    <m/>
    <m/>
    <m/>
    <m/>
  </r>
  <r>
    <n v="2082"/>
    <n v="52137"/>
    <d v="1997-08-05T00:00:00"/>
    <n v="28"/>
    <x v="1"/>
    <x v="1"/>
    <d v="2023-04-10T00:00:00"/>
    <n v="2.7068493150684931"/>
    <x v="81"/>
    <x v="1"/>
    <x v="8"/>
    <x v="1"/>
    <n v="8.4600000000000009"/>
    <n v="8.26"/>
    <m/>
    <m/>
    <m/>
    <m/>
    <m/>
    <x v="2"/>
    <n v="1"/>
    <n v="6"/>
    <m/>
    <m/>
    <m/>
    <m/>
    <m/>
    <m/>
    <m/>
    <m/>
    <m/>
    <m/>
    <m/>
    <m/>
    <m/>
    <m/>
  </r>
  <r>
    <n v="2083"/>
    <n v="52139"/>
    <d v="2000-08-07T00:00:00"/>
    <n v="25"/>
    <x v="1"/>
    <x v="1"/>
    <d v="2023-04-18T00:00:00"/>
    <n v="2.117808219178082"/>
    <x v="100"/>
    <x v="1"/>
    <x v="11"/>
    <x v="1"/>
    <n v="16.78"/>
    <n v="16.579999999999998"/>
    <m/>
    <m/>
    <m/>
    <m/>
    <m/>
    <x v="3"/>
    <n v="2"/>
    <n v="6"/>
    <m/>
    <m/>
    <m/>
    <m/>
    <m/>
    <m/>
    <m/>
    <m/>
    <m/>
    <m/>
    <m/>
    <m/>
    <m/>
    <m/>
  </r>
  <r>
    <n v="2084"/>
    <n v="52155"/>
    <d v="2002-09-22T00:00:00"/>
    <n v="23"/>
    <x v="0"/>
    <x v="1"/>
    <d v="2023-11-19T00:00:00"/>
    <n v="2.2986301369863016"/>
    <x v="96"/>
    <x v="1"/>
    <x v="9"/>
    <x v="1"/>
    <n v="13.73"/>
    <n v="13.73"/>
    <m/>
    <m/>
    <m/>
    <m/>
    <m/>
    <x v="2"/>
    <n v="1"/>
    <n v="3"/>
    <m/>
    <m/>
    <m/>
    <m/>
    <m/>
    <m/>
    <m/>
    <m/>
    <m/>
    <m/>
    <m/>
    <m/>
    <m/>
    <m/>
  </r>
  <r>
    <n v="2085"/>
    <n v="52163"/>
    <d v="1996-06-11T00:00:00"/>
    <n v="29"/>
    <x v="1"/>
    <x v="0"/>
    <d v="2023-09-14T00:00:00"/>
    <n v="2.8027397260273972"/>
    <x v="89"/>
    <x v="1"/>
    <x v="11"/>
    <x v="1"/>
    <n v="16.78"/>
    <n v="16.579999999999998"/>
    <m/>
    <m/>
    <m/>
    <m/>
    <m/>
    <x v="2"/>
    <n v="2"/>
    <n v="4"/>
    <m/>
    <m/>
    <m/>
    <m/>
    <m/>
    <m/>
    <m/>
    <m/>
    <m/>
    <m/>
    <m/>
    <m/>
    <m/>
    <m/>
  </r>
  <r>
    <n v="2086"/>
    <n v="52174"/>
    <d v="2002-04-28T00:00:00"/>
    <n v="23"/>
    <x v="1"/>
    <x v="1"/>
    <d v="2023-03-14T00:00:00"/>
    <n v="2.3506849315068492"/>
    <x v="89"/>
    <x v="1"/>
    <x v="8"/>
    <x v="1"/>
    <n v="8.4600000000000009"/>
    <n v="8.26"/>
    <m/>
    <m/>
    <m/>
    <m/>
    <m/>
    <x v="2"/>
    <n v="2"/>
    <n v="6"/>
    <m/>
    <m/>
    <m/>
    <m/>
    <m/>
    <m/>
    <m/>
    <m/>
    <m/>
    <m/>
    <m/>
    <m/>
    <m/>
    <m/>
  </r>
  <r>
    <n v="2087"/>
    <n v="52186"/>
    <d v="2001-06-04T00:00:00"/>
    <n v="24"/>
    <x v="0"/>
    <x v="1"/>
    <d v="2023-08-26T00:00:00"/>
    <n v="2.4904109589041097"/>
    <x v="94"/>
    <x v="1"/>
    <x v="2"/>
    <x v="1"/>
    <n v="14.18"/>
    <n v="13.88"/>
    <m/>
    <m/>
    <m/>
    <m/>
    <m/>
    <x v="1"/>
    <n v="1"/>
    <n v="4"/>
    <m/>
    <m/>
    <m/>
    <m/>
    <m/>
    <m/>
    <m/>
    <m/>
    <m/>
    <m/>
    <m/>
    <m/>
    <m/>
    <m/>
  </r>
  <r>
    <n v="2088"/>
    <n v="52192"/>
    <d v="1999-04-12T00:00:00"/>
    <n v="26"/>
    <x v="0"/>
    <x v="1"/>
    <d v="2023-07-06T00:00:00"/>
    <n v="2.7643835616438355"/>
    <x v="94"/>
    <x v="1"/>
    <x v="8"/>
    <x v="1"/>
    <n v="8.4600000000000009"/>
    <n v="8.26"/>
    <m/>
    <m/>
    <m/>
    <m/>
    <m/>
    <x v="2"/>
    <n v="2"/>
    <n v="5"/>
    <m/>
    <m/>
    <m/>
    <m/>
    <m/>
    <m/>
    <m/>
    <m/>
    <m/>
    <m/>
    <m/>
    <m/>
    <m/>
    <m/>
  </r>
  <r>
    <n v="2089"/>
    <n v="52211"/>
    <d v="1998-07-22T00:00:00"/>
    <n v="27"/>
    <x v="1"/>
    <x v="1"/>
    <d v="2023-03-28T00:00:00"/>
    <n v="2.7506849315068491"/>
    <x v="110"/>
    <x v="1"/>
    <x v="8"/>
    <x v="1"/>
    <n v="8.4600000000000009"/>
    <n v="8.26"/>
    <m/>
    <m/>
    <m/>
    <m/>
    <m/>
    <x v="2"/>
    <n v="2"/>
    <n v="6"/>
    <m/>
    <m/>
    <m/>
    <m/>
    <m/>
    <m/>
    <m/>
    <m/>
    <m/>
    <m/>
    <m/>
    <m/>
    <m/>
    <m/>
  </r>
  <r>
    <n v="2090"/>
    <n v="52223"/>
    <d v="2003-12-05T00:00:00"/>
    <n v="22"/>
    <x v="1"/>
    <x v="0"/>
    <d v="2023-04-02T00:00:00"/>
    <n v="2.3698630136986303"/>
    <x v="99"/>
    <x v="1"/>
    <x v="8"/>
    <x v="1"/>
    <n v="8.36"/>
    <n v="8.26"/>
    <m/>
    <m/>
    <m/>
    <m/>
    <m/>
    <x v="4"/>
    <n v="2"/>
    <n v="6"/>
    <m/>
    <m/>
    <m/>
    <m/>
    <m/>
    <m/>
    <m/>
    <m/>
    <m/>
    <m/>
    <m/>
    <m/>
    <m/>
    <m/>
  </r>
  <r>
    <n v="2091"/>
    <n v="52227"/>
    <d v="2001-05-10T00:00:00"/>
    <n v="24"/>
    <x v="1"/>
    <x v="0"/>
    <d v="2023-08-19T00:00:00"/>
    <n v="2.5671232876712327"/>
    <x v="99"/>
    <x v="1"/>
    <x v="8"/>
    <x v="1"/>
    <n v="8.36"/>
    <n v="8.26"/>
    <m/>
    <m/>
    <m/>
    <m/>
    <m/>
    <x v="1"/>
    <n v="2"/>
    <n v="6"/>
    <m/>
    <m/>
    <m/>
    <m/>
    <m/>
    <m/>
    <m/>
    <m/>
    <m/>
    <m/>
    <m/>
    <m/>
    <m/>
    <m/>
  </r>
  <r>
    <n v="2092"/>
    <n v="52253"/>
    <d v="1994-07-14T00:00:00"/>
    <n v="31"/>
    <x v="1"/>
    <x v="1"/>
    <d v="2023-06-08T00:00:00"/>
    <n v="1.8821917808219177"/>
    <x v="86"/>
    <x v="1"/>
    <x v="11"/>
    <x v="1"/>
    <n v="16.78"/>
    <n v="16.579999999999998"/>
    <m/>
    <m/>
    <m/>
    <m/>
    <m/>
    <x v="2"/>
    <n v="1"/>
    <n v="6"/>
    <m/>
    <m/>
    <m/>
    <m/>
    <m/>
    <m/>
    <m/>
    <m/>
    <m/>
    <m/>
    <m/>
    <m/>
    <m/>
    <m/>
  </r>
  <r>
    <n v="2093"/>
    <n v="52284"/>
    <d v="2005-12-07T00:00:00"/>
    <n v="20"/>
    <x v="1"/>
    <x v="1"/>
    <d v="2024-02-13T00:00:00"/>
    <n v="1.4164383561643836"/>
    <x v="132"/>
    <x v="1"/>
    <x v="8"/>
    <x v="1"/>
    <n v="8.36"/>
    <m/>
    <m/>
    <m/>
    <m/>
    <m/>
    <m/>
    <x v="3"/>
    <n v="2"/>
    <n v="6"/>
    <m/>
    <m/>
    <m/>
    <m/>
    <m/>
    <m/>
    <m/>
    <m/>
    <m/>
    <m/>
    <m/>
    <m/>
    <m/>
    <m/>
  </r>
  <r>
    <n v="2094"/>
    <n v="52384"/>
    <d v="1999-11-23T00:00:00"/>
    <n v="26"/>
    <x v="0"/>
    <x v="1"/>
    <d v="2024-08-01T00:00:00"/>
    <n v="1.4164383561643836"/>
    <x v="76"/>
    <x v="1"/>
    <x v="12"/>
    <x v="0"/>
    <n v="53325"/>
    <m/>
    <m/>
    <m/>
    <m/>
    <m/>
    <m/>
    <x v="11"/>
    <n v="3"/>
    <n v="5"/>
    <n v="4"/>
    <m/>
    <m/>
    <m/>
    <m/>
    <m/>
    <m/>
    <n v="2"/>
    <m/>
    <m/>
    <m/>
    <m/>
    <m/>
    <m/>
  </r>
  <r>
    <n v="2095"/>
    <n v="52385"/>
    <d v="2000-10-14T00:00:00"/>
    <n v="25"/>
    <x v="1"/>
    <x v="1"/>
    <d v="2024-08-01T00:00:00"/>
    <n v="1.4164383561643836"/>
    <x v="79"/>
    <x v="1"/>
    <x v="12"/>
    <x v="0"/>
    <n v="53325"/>
    <m/>
    <m/>
    <m/>
    <m/>
    <m/>
    <m/>
    <x v="6"/>
    <n v="1"/>
    <n v="6"/>
    <n v="7"/>
    <m/>
    <m/>
    <m/>
    <m/>
    <m/>
    <m/>
    <n v="5"/>
    <m/>
    <m/>
    <m/>
    <m/>
    <m/>
    <m/>
  </r>
  <r>
    <n v="2096"/>
    <n v="52386"/>
    <d v="1998-05-23T00:00:00"/>
    <n v="27"/>
    <x v="1"/>
    <x v="1"/>
    <d v="2024-08-01T00:00:00"/>
    <n v="1.4164383561643836"/>
    <x v="93"/>
    <x v="1"/>
    <x v="12"/>
    <x v="0"/>
    <n v="53325"/>
    <m/>
    <m/>
    <m/>
    <m/>
    <m/>
    <m/>
    <x v="12"/>
    <n v="2"/>
    <n v="7"/>
    <n v="7"/>
    <m/>
    <m/>
    <m/>
    <m/>
    <m/>
    <m/>
    <n v="5"/>
    <m/>
    <m/>
    <m/>
    <m/>
    <m/>
    <m/>
  </r>
  <r>
    <n v="2097"/>
    <n v="52387"/>
    <d v="1999-04-08T00:00:00"/>
    <n v="26"/>
    <x v="1"/>
    <x v="0"/>
    <d v="2024-08-01T00:00:00"/>
    <n v="1.4164383561643836"/>
    <x v="100"/>
    <x v="1"/>
    <x v="12"/>
    <x v="0"/>
    <n v="53325"/>
    <m/>
    <m/>
    <m/>
    <m/>
    <m/>
    <m/>
    <x v="5"/>
    <n v="1"/>
    <n v="7"/>
    <n v="6"/>
    <m/>
    <m/>
    <m/>
    <m/>
    <m/>
    <m/>
    <n v="2"/>
    <m/>
    <m/>
    <m/>
    <m/>
    <m/>
    <m/>
  </r>
  <r>
    <n v="2098"/>
    <n v="52388"/>
    <d v="1997-02-09T00:00:00"/>
    <n v="28"/>
    <x v="0"/>
    <x v="1"/>
    <d v="2024-08-01T00:00:00"/>
    <n v="1.4164383561643836"/>
    <x v="96"/>
    <x v="1"/>
    <x v="12"/>
    <x v="0"/>
    <n v="53325"/>
    <m/>
    <m/>
    <m/>
    <m/>
    <m/>
    <m/>
    <x v="6"/>
    <n v="2"/>
    <n v="6"/>
    <n v="5"/>
    <m/>
    <m/>
    <m/>
    <m/>
    <m/>
    <m/>
    <n v="3"/>
    <m/>
    <m/>
    <m/>
    <m/>
    <m/>
    <m/>
  </r>
  <r>
    <n v="2099"/>
    <n v="52389"/>
    <d v="1999-06-25T00:00:00"/>
    <n v="26"/>
    <x v="0"/>
    <x v="0"/>
    <d v="2024-08-01T00:00:00"/>
    <n v="1.0383561643835617"/>
    <x v="89"/>
    <x v="1"/>
    <x v="12"/>
    <x v="0"/>
    <n v="53325"/>
    <m/>
    <m/>
    <m/>
    <m/>
    <m/>
    <m/>
    <x v="5"/>
    <n v="4"/>
    <n v="6"/>
    <n v="4"/>
    <m/>
    <m/>
    <m/>
    <m/>
    <m/>
    <m/>
    <n v="5"/>
    <m/>
    <m/>
    <m/>
    <m/>
    <m/>
    <m/>
  </r>
  <r>
    <n v="2100"/>
    <n v="52390"/>
    <d v="1985-02-25T00:00:00"/>
    <n v="40"/>
    <x v="1"/>
    <x v="1"/>
    <d v="2024-12-17T00:00:00"/>
    <n v="1.6301369863013699"/>
    <x v="139"/>
    <x v="0"/>
    <x v="0"/>
    <x v="0"/>
    <n v="77539"/>
    <m/>
    <m/>
    <m/>
    <m/>
    <m/>
    <m/>
    <x v="7"/>
    <n v="2"/>
    <n v="5"/>
    <n v="6"/>
    <m/>
    <m/>
    <m/>
    <m/>
    <m/>
    <m/>
    <n v="2"/>
    <m/>
    <m/>
    <m/>
    <m/>
    <m/>
    <m/>
  </r>
  <r>
    <n v="2101"/>
    <n v="52391"/>
    <d v="1988-02-03T00:00:00"/>
    <n v="37"/>
    <x v="0"/>
    <x v="1"/>
    <d v="2024-05-15T00:00:00"/>
    <n v="1.4493150684931506"/>
    <x v="127"/>
    <x v="0"/>
    <x v="0"/>
    <x v="0"/>
    <n v="77539"/>
    <m/>
    <m/>
    <m/>
    <m/>
    <m/>
    <m/>
    <x v="6"/>
    <n v="2"/>
    <n v="5"/>
    <n v="5"/>
    <m/>
    <m/>
    <m/>
    <m/>
    <m/>
    <m/>
    <n v="4"/>
    <m/>
    <m/>
    <m/>
    <m/>
    <m/>
    <m/>
  </r>
  <r>
    <n v="2102"/>
    <n v="52392"/>
    <d v="1988-05-26T00:00:00"/>
    <n v="37"/>
    <x v="0"/>
    <x v="1"/>
    <d v="2024-07-20T00:00:00"/>
    <n v="1.5424657534246575"/>
    <x v="136"/>
    <x v="0"/>
    <x v="0"/>
    <x v="0"/>
    <n v="77539"/>
    <m/>
    <m/>
    <m/>
    <m/>
    <m/>
    <m/>
    <x v="12"/>
    <n v="4"/>
    <n v="5"/>
    <n v="5"/>
    <m/>
    <m/>
    <m/>
    <m/>
    <m/>
    <m/>
    <n v="2"/>
    <m/>
    <m/>
    <m/>
    <m/>
    <m/>
    <m/>
  </r>
  <r>
    <n v="2103"/>
    <n v="52394"/>
    <d v="1990-06-18T00:00:00"/>
    <n v="35"/>
    <x v="1"/>
    <x v="1"/>
    <d v="2024-06-16T00:00:00"/>
    <n v="1.4164383561643836"/>
    <x v="142"/>
    <x v="0"/>
    <x v="0"/>
    <x v="0"/>
    <n v="77539"/>
    <m/>
    <m/>
    <m/>
    <m/>
    <m/>
    <m/>
    <x v="9"/>
    <n v="2"/>
    <n v="7"/>
    <n v="7"/>
    <m/>
    <m/>
    <m/>
    <m/>
    <m/>
    <m/>
    <n v="1"/>
    <m/>
    <m/>
    <m/>
    <m/>
    <m/>
    <m/>
  </r>
  <r>
    <n v="2104"/>
    <n v="52395"/>
    <d v="1998-09-10T00:00:00"/>
    <n v="27"/>
    <x v="1"/>
    <x v="0"/>
    <d v="2024-08-01T00:00:00"/>
    <n v="1.4164383561643836"/>
    <x v="101"/>
    <x v="1"/>
    <x v="12"/>
    <x v="0"/>
    <n v="53325"/>
    <m/>
    <m/>
    <m/>
    <m/>
    <m/>
    <m/>
    <x v="7"/>
    <n v="3"/>
    <n v="6"/>
    <n v="6"/>
    <m/>
    <m/>
    <m/>
    <m/>
    <m/>
    <m/>
    <n v="4"/>
    <m/>
    <m/>
    <m/>
    <m/>
    <m/>
    <m/>
  </r>
  <r>
    <n v="2105"/>
    <n v="52396"/>
    <d v="1998-02-04T00:00:00"/>
    <n v="27"/>
    <x v="1"/>
    <x v="0"/>
    <d v="2024-08-01T00:00:00"/>
    <n v="1.4164383561643836"/>
    <x v="86"/>
    <x v="1"/>
    <x v="12"/>
    <x v="0"/>
    <n v="53325"/>
    <m/>
    <m/>
    <m/>
    <m/>
    <m/>
    <m/>
    <x v="6"/>
    <n v="3"/>
    <n v="7"/>
    <n v="6"/>
    <m/>
    <m/>
    <m/>
    <m/>
    <m/>
    <m/>
    <n v="2"/>
    <m/>
    <m/>
    <m/>
    <m/>
    <m/>
    <m/>
  </r>
  <r>
    <n v="2106"/>
    <n v="52397"/>
    <d v="1998-08-26T00:00:00"/>
    <n v="27"/>
    <x v="1"/>
    <x v="0"/>
    <d v="2024-08-01T00:00:00"/>
    <n v="1.4164383561643836"/>
    <x v="112"/>
    <x v="1"/>
    <x v="12"/>
    <x v="0"/>
    <n v="53325"/>
    <m/>
    <m/>
    <m/>
    <m/>
    <m/>
    <m/>
    <x v="10"/>
    <n v="3"/>
    <n v="6"/>
    <n v="7"/>
    <m/>
    <m/>
    <m/>
    <m/>
    <m/>
    <m/>
    <n v="2"/>
    <m/>
    <m/>
    <m/>
    <m/>
    <m/>
    <m/>
  </r>
  <r>
    <n v="2107"/>
    <n v="52398"/>
    <d v="1999-11-08T00:00:00"/>
    <n v="26"/>
    <x v="1"/>
    <x v="0"/>
    <d v="2024-08-01T00:00:00"/>
    <n v="1.4164383561643836"/>
    <x v="126"/>
    <x v="1"/>
    <x v="12"/>
    <x v="0"/>
    <n v="53325"/>
    <m/>
    <m/>
    <m/>
    <m/>
    <m/>
    <m/>
    <x v="0"/>
    <n v="2"/>
    <n v="5"/>
    <n v="6"/>
    <m/>
    <m/>
    <m/>
    <m/>
    <m/>
    <m/>
    <n v="4"/>
    <m/>
    <m/>
    <m/>
    <m/>
    <m/>
    <m/>
  </r>
  <r>
    <n v="2108"/>
    <n v="52399"/>
    <d v="1998-08-28T00:00:00"/>
    <n v="27"/>
    <x v="1"/>
    <x v="0"/>
    <d v="2024-08-01T00:00:00"/>
    <n v="1.4164383561643836"/>
    <x v="128"/>
    <x v="1"/>
    <x v="12"/>
    <x v="0"/>
    <n v="53325"/>
    <m/>
    <m/>
    <m/>
    <m/>
    <m/>
    <m/>
    <x v="0"/>
    <n v="3"/>
    <n v="6"/>
    <n v="7"/>
    <m/>
    <m/>
    <m/>
    <m/>
    <m/>
    <m/>
    <n v="4"/>
    <m/>
    <m/>
    <m/>
    <m/>
    <m/>
    <m/>
  </r>
  <r>
    <n v="2109"/>
    <n v="52400"/>
    <d v="1998-04-18T00:00:00"/>
    <n v="27"/>
    <x v="1"/>
    <x v="1"/>
    <d v="2024-08-01T00:00:00"/>
    <n v="1.4164383561643836"/>
    <x v="116"/>
    <x v="1"/>
    <x v="12"/>
    <x v="0"/>
    <n v="53325"/>
    <m/>
    <m/>
    <m/>
    <m/>
    <m/>
    <m/>
    <x v="7"/>
    <n v="4"/>
    <n v="5"/>
    <n v="6"/>
    <m/>
    <m/>
    <m/>
    <m/>
    <m/>
    <m/>
    <n v="2"/>
    <m/>
    <m/>
    <m/>
    <m/>
    <m/>
    <m/>
  </r>
  <r>
    <n v="2110"/>
    <n v="52401"/>
    <d v="1998-11-18T00:00:00"/>
    <n v="27"/>
    <x v="1"/>
    <x v="1"/>
    <d v="2024-08-01T00:00:00"/>
    <n v="1.4164383561643836"/>
    <x v="103"/>
    <x v="1"/>
    <x v="12"/>
    <x v="0"/>
    <n v="53325"/>
    <m/>
    <m/>
    <m/>
    <m/>
    <m/>
    <m/>
    <x v="11"/>
    <n v="3"/>
    <n v="6"/>
    <n v="7"/>
    <m/>
    <m/>
    <m/>
    <m/>
    <m/>
    <m/>
    <n v="4"/>
    <m/>
    <m/>
    <m/>
    <m/>
    <m/>
    <m/>
  </r>
  <r>
    <n v="2111"/>
    <n v="52402"/>
    <d v="1999-03-17T00:00:00"/>
    <n v="26"/>
    <x v="1"/>
    <x v="1"/>
    <d v="2024-08-01T00:00:00"/>
    <n v="1.4164383561643836"/>
    <x v="39"/>
    <x v="1"/>
    <x v="12"/>
    <x v="0"/>
    <n v="53325"/>
    <m/>
    <m/>
    <m/>
    <m/>
    <m/>
    <m/>
    <x v="9"/>
    <n v="3"/>
    <n v="7"/>
    <n v="6"/>
    <m/>
    <m/>
    <m/>
    <m/>
    <m/>
    <m/>
    <n v="2"/>
    <m/>
    <m/>
    <m/>
    <m/>
    <m/>
    <m/>
  </r>
  <r>
    <n v="2112"/>
    <n v="52403"/>
    <d v="1997-04-29T00:00:00"/>
    <n v="28"/>
    <x v="1"/>
    <x v="0"/>
    <d v="2024-08-01T00:00:00"/>
    <n v="1.4164383561643836"/>
    <x v="40"/>
    <x v="1"/>
    <x v="12"/>
    <x v="0"/>
    <n v="53325"/>
    <m/>
    <m/>
    <m/>
    <m/>
    <m/>
    <m/>
    <x v="9"/>
    <n v="4"/>
    <n v="7"/>
    <n v="6"/>
    <m/>
    <m/>
    <m/>
    <m/>
    <m/>
    <m/>
    <n v="3"/>
    <m/>
    <m/>
    <m/>
    <m/>
    <m/>
    <m/>
  </r>
  <r>
    <n v="2113"/>
    <n v="52404"/>
    <d v="1998-11-16T00:00:00"/>
    <n v="27"/>
    <x v="1"/>
    <x v="1"/>
    <d v="2024-08-01T00:00:00"/>
    <n v="1.4164383561643836"/>
    <x v="106"/>
    <x v="1"/>
    <x v="12"/>
    <x v="0"/>
    <n v="53325"/>
    <m/>
    <m/>
    <m/>
    <m/>
    <m/>
    <m/>
    <x v="9"/>
    <n v="2"/>
    <n v="6"/>
    <n v="6"/>
    <m/>
    <m/>
    <m/>
    <m/>
    <m/>
    <m/>
    <n v="3"/>
    <m/>
    <m/>
    <m/>
    <m/>
    <m/>
    <m/>
  </r>
  <r>
    <n v="2114"/>
    <n v="52405"/>
    <d v="1999-03-25T00:00:00"/>
    <n v="26"/>
    <x v="0"/>
    <x v="0"/>
    <d v="2024-08-01T00:00:00"/>
    <n v="1.4164383561643836"/>
    <x v="1"/>
    <x v="1"/>
    <x v="12"/>
    <x v="0"/>
    <n v="53325"/>
    <m/>
    <m/>
    <m/>
    <m/>
    <m/>
    <m/>
    <x v="12"/>
    <n v="3"/>
    <n v="5"/>
    <n v="4"/>
    <m/>
    <m/>
    <m/>
    <m/>
    <m/>
    <m/>
    <n v="2"/>
    <m/>
    <m/>
    <m/>
    <m/>
    <m/>
    <m/>
  </r>
  <r>
    <n v="2115"/>
    <n v="52406"/>
    <d v="1999-05-08T00:00:00"/>
    <n v="26"/>
    <x v="1"/>
    <x v="1"/>
    <d v="2024-08-01T00:00:00"/>
    <n v="1.4164383561643836"/>
    <x v="104"/>
    <x v="1"/>
    <x v="12"/>
    <x v="0"/>
    <n v="53325"/>
    <m/>
    <m/>
    <m/>
    <m/>
    <m/>
    <m/>
    <x v="7"/>
    <n v="2"/>
    <n v="6"/>
    <n v="7"/>
    <m/>
    <m/>
    <m/>
    <m/>
    <m/>
    <m/>
    <n v="1"/>
    <m/>
    <m/>
    <m/>
    <m/>
    <m/>
    <m/>
  </r>
  <r>
    <n v="2116"/>
    <n v="52407"/>
    <d v="1997-03-05T00:00:00"/>
    <n v="28"/>
    <x v="1"/>
    <x v="1"/>
    <d v="2024-08-01T00:00:00"/>
    <n v="1.4164383561643836"/>
    <x v="44"/>
    <x v="1"/>
    <x v="12"/>
    <x v="0"/>
    <n v="53325"/>
    <m/>
    <m/>
    <m/>
    <m/>
    <m/>
    <m/>
    <x v="11"/>
    <n v="4"/>
    <n v="7"/>
    <n v="5"/>
    <m/>
    <m/>
    <m/>
    <m/>
    <m/>
    <m/>
    <n v="3"/>
    <m/>
    <m/>
    <m/>
    <m/>
    <m/>
    <m/>
  </r>
  <r>
    <n v="2117"/>
    <n v="52408"/>
    <d v="1997-09-12T00:00:00"/>
    <n v="28"/>
    <x v="0"/>
    <x v="1"/>
    <d v="2024-08-01T00:00:00"/>
    <n v="1.4164383561643836"/>
    <x v="97"/>
    <x v="1"/>
    <x v="12"/>
    <x v="0"/>
    <n v="53325"/>
    <m/>
    <m/>
    <m/>
    <m/>
    <m/>
    <m/>
    <x v="8"/>
    <n v="2"/>
    <n v="6"/>
    <n v="4"/>
    <m/>
    <m/>
    <m/>
    <m/>
    <m/>
    <m/>
    <n v="2"/>
    <m/>
    <m/>
    <m/>
    <m/>
    <m/>
    <m/>
  </r>
  <r>
    <n v="2118"/>
    <n v="52409"/>
    <d v="1999-06-18T00:00:00"/>
    <n v="26"/>
    <x v="1"/>
    <x v="1"/>
    <d v="2024-08-01T00:00:00"/>
    <n v="1.4164383561643836"/>
    <x v="120"/>
    <x v="1"/>
    <x v="12"/>
    <x v="0"/>
    <n v="53325"/>
    <m/>
    <m/>
    <m/>
    <m/>
    <m/>
    <m/>
    <x v="6"/>
    <n v="2"/>
    <n v="7"/>
    <n v="7"/>
    <m/>
    <m/>
    <m/>
    <m/>
    <m/>
    <m/>
    <n v="2"/>
    <m/>
    <m/>
    <m/>
    <m/>
    <m/>
    <m/>
  </r>
  <r>
    <n v="2119"/>
    <n v="52410"/>
    <d v="1998-01-19T00:00:00"/>
    <n v="27"/>
    <x v="1"/>
    <x v="1"/>
    <d v="2024-08-01T00:00:00"/>
    <n v="1.4164383561643836"/>
    <x v="9"/>
    <x v="1"/>
    <x v="12"/>
    <x v="0"/>
    <n v="53325"/>
    <m/>
    <m/>
    <m/>
    <m/>
    <m/>
    <m/>
    <x v="10"/>
    <n v="1"/>
    <n v="6"/>
    <n v="7"/>
    <m/>
    <m/>
    <m/>
    <m/>
    <m/>
    <m/>
    <n v="3"/>
    <m/>
    <m/>
    <m/>
    <m/>
    <m/>
    <m/>
  </r>
  <r>
    <n v="2120"/>
    <n v="52411"/>
    <d v="1999-10-06T00:00:00"/>
    <n v="26"/>
    <x v="1"/>
    <x v="1"/>
    <d v="2024-08-01T00:00:00"/>
    <n v="1.4164383561643836"/>
    <x v="29"/>
    <x v="1"/>
    <x v="12"/>
    <x v="0"/>
    <n v="53325"/>
    <m/>
    <m/>
    <m/>
    <m/>
    <m/>
    <m/>
    <x v="9"/>
    <n v="2"/>
    <n v="5"/>
    <n v="7"/>
    <m/>
    <m/>
    <m/>
    <m/>
    <m/>
    <m/>
    <n v="3"/>
    <m/>
    <m/>
    <m/>
    <m/>
    <m/>
    <m/>
  </r>
  <r>
    <n v="2121"/>
    <n v="52412"/>
    <d v="1995-06-22T00:00:00"/>
    <n v="30"/>
    <x v="1"/>
    <x v="1"/>
    <d v="2024-08-01T00:00:00"/>
    <n v="1.4164383561643836"/>
    <x v="115"/>
    <x v="1"/>
    <x v="12"/>
    <x v="0"/>
    <n v="53325"/>
    <m/>
    <m/>
    <m/>
    <m/>
    <m/>
    <m/>
    <x v="10"/>
    <n v="2"/>
    <n v="7"/>
    <n v="7"/>
    <m/>
    <m/>
    <m/>
    <m/>
    <m/>
    <m/>
    <n v="2"/>
    <m/>
    <m/>
    <m/>
    <m/>
    <m/>
    <m/>
  </r>
  <r>
    <n v="2122"/>
    <n v="52413"/>
    <d v="1999-11-18T00:00:00"/>
    <n v="26"/>
    <x v="1"/>
    <x v="1"/>
    <d v="2024-08-01T00:00:00"/>
    <n v="1.4164383561643836"/>
    <x v="108"/>
    <x v="1"/>
    <x v="12"/>
    <x v="0"/>
    <n v="53325"/>
    <m/>
    <m/>
    <m/>
    <m/>
    <m/>
    <m/>
    <x v="6"/>
    <n v="4"/>
    <n v="6"/>
    <n v="6"/>
    <m/>
    <m/>
    <m/>
    <m/>
    <m/>
    <m/>
    <n v="2"/>
    <m/>
    <m/>
    <m/>
    <m/>
    <m/>
    <m/>
  </r>
  <r>
    <n v="2123"/>
    <n v="52414"/>
    <d v="1995-11-24T00:00:00"/>
    <n v="30"/>
    <x v="0"/>
    <x v="0"/>
    <d v="2024-08-01T00:00:00"/>
    <n v="1.4164383561643836"/>
    <x v="95"/>
    <x v="1"/>
    <x v="12"/>
    <x v="0"/>
    <n v="53325"/>
    <m/>
    <m/>
    <m/>
    <m/>
    <m/>
    <m/>
    <x v="11"/>
    <n v="3"/>
    <n v="6"/>
    <n v="5"/>
    <m/>
    <m/>
    <m/>
    <m/>
    <m/>
    <m/>
    <n v="3"/>
    <m/>
    <m/>
    <m/>
    <m/>
    <m/>
    <m/>
  </r>
  <r>
    <n v="2124"/>
    <n v="52415"/>
    <d v="1994-04-28T00:00:00"/>
    <n v="31"/>
    <x v="1"/>
    <x v="1"/>
    <d v="2024-08-01T00:00:00"/>
    <n v="1.4164383561643836"/>
    <x v="123"/>
    <x v="1"/>
    <x v="12"/>
    <x v="0"/>
    <n v="53325"/>
    <m/>
    <m/>
    <m/>
    <m/>
    <m/>
    <m/>
    <x v="8"/>
    <n v="4"/>
    <n v="6"/>
    <n v="7"/>
    <m/>
    <m/>
    <m/>
    <m/>
    <m/>
    <m/>
    <n v="2"/>
    <m/>
    <m/>
    <m/>
    <m/>
    <m/>
    <m/>
  </r>
  <r>
    <n v="2125"/>
    <n v="52416"/>
    <d v="1997-02-26T00:00:00"/>
    <n v="28"/>
    <x v="1"/>
    <x v="0"/>
    <d v="2024-08-01T00:00:00"/>
    <n v="1.4164383561643836"/>
    <x v="51"/>
    <x v="1"/>
    <x v="12"/>
    <x v="0"/>
    <n v="53325"/>
    <m/>
    <m/>
    <m/>
    <m/>
    <m/>
    <m/>
    <x v="8"/>
    <n v="4"/>
    <n v="6"/>
    <n v="5"/>
    <m/>
    <m/>
    <m/>
    <m/>
    <m/>
    <m/>
    <n v="3"/>
    <m/>
    <m/>
    <m/>
    <m/>
    <m/>
    <m/>
  </r>
  <r>
    <n v="2126"/>
    <n v="52417"/>
    <d v="1998-07-29T00:00:00"/>
    <n v="27"/>
    <x v="1"/>
    <x v="1"/>
    <d v="2024-08-01T00:00:00"/>
    <n v="1.4164383561643836"/>
    <x v="133"/>
    <x v="1"/>
    <x v="12"/>
    <x v="0"/>
    <n v="53325"/>
    <m/>
    <m/>
    <m/>
    <m/>
    <m/>
    <m/>
    <x v="7"/>
    <n v="1"/>
    <n v="6"/>
    <n v="4"/>
    <m/>
    <m/>
    <m/>
    <m/>
    <m/>
    <m/>
    <n v="5"/>
    <m/>
    <m/>
    <m/>
    <m/>
    <m/>
    <m/>
  </r>
  <r>
    <n v="2127"/>
    <n v="52418"/>
    <d v="1999-08-01T00:00:00"/>
    <n v="27"/>
    <x v="0"/>
    <x v="1"/>
    <d v="2024-08-01T00:00:00"/>
    <n v="1.4164383561643836"/>
    <x v="121"/>
    <x v="1"/>
    <x v="12"/>
    <x v="0"/>
    <n v="53325"/>
    <m/>
    <m/>
    <m/>
    <m/>
    <m/>
    <m/>
    <x v="11"/>
    <n v="3"/>
    <n v="6"/>
    <n v="6"/>
    <m/>
    <m/>
    <m/>
    <m/>
    <m/>
    <m/>
    <n v="4"/>
    <m/>
    <m/>
    <m/>
    <m/>
    <m/>
    <m/>
  </r>
  <r>
    <n v="2128"/>
    <n v="52419"/>
    <d v="1998-07-08T00:00:00"/>
    <n v="27"/>
    <x v="1"/>
    <x v="1"/>
    <d v="2024-08-01T00:00:00"/>
    <n v="1.4164383561643836"/>
    <x v="54"/>
    <x v="1"/>
    <x v="12"/>
    <x v="0"/>
    <n v="53325"/>
    <m/>
    <m/>
    <m/>
    <m/>
    <m/>
    <m/>
    <x v="6"/>
    <n v="2"/>
    <n v="6"/>
    <n v="6"/>
    <m/>
    <m/>
    <m/>
    <m/>
    <m/>
    <m/>
    <n v="3"/>
    <m/>
    <m/>
    <m/>
    <m/>
    <m/>
    <m/>
  </r>
  <r>
    <n v="2129"/>
    <n v="52420"/>
    <d v="1997-05-05T00:00:00"/>
    <n v="28"/>
    <x v="1"/>
    <x v="1"/>
    <d v="2024-08-01T00:00:00"/>
    <n v="1.4164383561643836"/>
    <x v="85"/>
    <x v="1"/>
    <x v="12"/>
    <x v="0"/>
    <n v="53325"/>
    <m/>
    <m/>
    <m/>
    <m/>
    <m/>
    <m/>
    <x v="7"/>
    <n v="3"/>
    <n v="6"/>
    <n v="6"/>
    <m/>
    <m/>
    <m/>
    <m/>
    <m/>
    <m/>
    <n v="3"/>
    <m/>
    <m/>
    <m/>
    <m/>
    <m/>
    <m/>
  </r>
  <r>
    <n v="2130"/>
    <n v="52421"/>
    <d v="1999-08-18T00:00:00"/>
    <n v="26"/>
    <x v="0"/>
    <x v="1"/>
    <d v="2024-08-01T00:00:00"/>
    <n v="1.4164383561643836"/>
    <x v="62"/>
    <x v="1"/>
    <x v="12"/>
    <x v="0"/>
    <n v="53325"/>
    <m/>
    <m/>
    <m/>
    <m/>
    <m/>
    <m/>
    <x v="0"/>
    <n v="2"/>
    <n v="6"/>
    <n v="5"/>
    <m/>
    <m/>
    <m/>
    <m/>
    <m/>
    <m/>
    <n v="5"/>
    <m/>
    <m/>
    <m/>
    <m/>
    <m/>
    <m/>
  </r>
  <r>
    <n v="2131"/>
    <n v="52422"/>
    <d v="1999-09-08T00:00:00"/>
    <n v="26"/>
    <x v="0"/>
    <x v="1"/>
    <d v="2024-08-01T00:00:00"/>
    <n v="1.4164383561643836"/>
    <x v="91"/>
    <x v="1"/>
    <x v="12"/>
    <x v="0"/>
    <n v="53325"/>
    <m/>
    <m/>
    <m/>
    <m/>
    <m/>
    <m/>
    <x v="11"/>
    <n v="3"/>
    <n v="5"/>
    <n v="5"/>
    <m/>
    <m/>
    <m/>
    <m/>
    <m/>
    <m/>
    <n v="2"/>
    <m/>
    <m/>
    <m/>
    <m/>
    <m/>
    <m/>
  </r>
  <r>
    <n v="2132"/>
    <n v="52424"/>
    <d v="1999-09-16T00:00:00"/>
    <n v="26"/>
    <x v="1"/>
    <x v="1"/>
    <d v="2024-08-01T00:00:00"/>
    <n v="1.4164383561643836"/>
    <x v="117"/>
    <x v="1"/>
    <x v="12"/>
    <x v="0"/>
    <n v="53325"/>
    <m/>
    <m/>
    <m/>
    <m/>
    <m/>
    <m/>
    <x v="8"/>
    <n v="2"/>
    <n v="5"/>
    <n v="6"/>
    <m/>
    <m/>
    <m/>
    <m/>
    <m/>
    <m/>
    <n v="4"/>
    <m/>
    <m/>
    <m/>
    <m/>
    <m/>
    <m/>
  </r>
  <r>
    <n v="2133"/>
    <n v="52425"/>
    <d v="1996-06-08T00:00:00"/>
    <n v="29"/>
    <x v="0"/>
    <x v="1"/>
    <d v="2024-08-01T00:00:00"/>
    <n v="1.4164383561643836"/>
    <x v="64"/>
    <x v="1"/>
    <x v="12"/>
    <x v="0"/>
    <n v="53325"/>
    <m/>
    <m/>
    <m/>
    <m/>
    <m/>
    <m/>
    <x v="5"/>
    <n v="4"/>
    <n v="5"/>
    <n v="6"/>
    <m/>
    <m/>
    <m/>
    <m/>
    <m/>
    <m/>
    <n v="2"/>
    <m/>
    <m/>
    <m/>
    <m/>
    <m/>
    <m/>
  </r>
  <r>
    <n v="2134"/>
    <n v="52429"/>
    <d v="1999-03-31T00:00:00"/>
    <n v="26"/>
    <x v="1"/>
    <x v="0"/>
    <d v="2024-08-01T00:00:00"/>
    <n v="1.4164383561643836"/>
    <x v="125"/>
    <x v="1"/>
    <x v="12"/>
    <x v="0"/>
    <n v="53325"/>
    <m/>
    <m/>
    <m/>
    <m/>
    <m/>
    <m/>
    <x v="7"/>
    <n v="3"/>
    <n v="7"/>
    <n v="5"/>
    <m/>
    <m/>
    <m/>
    <m/>
    <m/>
    <m/>
    <n v="3"/>
    <m/>
    <m/>
    <m/>
    <m/>
    <m/>
    <m/>
  </r>
  <r>
    <n v="2135"/>
    <n v="52430"/>
    <d v="1997-01-22T00:00:00"/>
    <n v="28"/>
    <x v="1"/>
    <x v="1"/>
    <d v="2024-08-01T00:00:00"/>
    <n v="1.4164383561643836"/>
    <x v="118"/>
    <x v="1"/>
    <x v="12"/>
    <x v="0"/>
    <n v="53325"/>
    <m/>
    <m/>
    <m/>
    <m/>
    <m/>
    <m/>
    <x v="9"/>
    <n v="2"/>
    <n v="6"/>
    <n v="6"/>
    <m/>
    <m/>
    <m/>
    <m/>
    <m/>
    <m/>
    <n v="2"/>
    <m/>
    <m/>
    <m/>
    <m/>
    <m/>
    <m/>
  </r>
  <r>
    <n v="2136"/>
    <n v="52432"/>
    <d v="1998-06-09T00:00:00"/>
    <n v="27"/>
    <x v="1"/>
    <x v="1"/>
    <d v="2024-08-01T00:00:00"/>
    <n v="1.4164383561643836"/>
    <x v="81"/>
    <x v="1"/>
    <x v="12"/>
    <x v="0"/>
    <n v="53325"/>
    <m/>
    <m/>
    <m/>
    <m/>
    <m/>
    <m/>
    <x v="7"/>
    <n v="1"/>
    <n v="6"/>
    <n v="7"/>
    <m/>
    <m/>
    <m/>
    <m/>
    <m/>
    <m/>
    <n v="1"/>
    <m/>
    <m/>
    <m/>
    <m/>
    <m/>
    <m/>
  </r>
  <r>
    <n v="2137"/>
    <n v="52433"/>
    <d v="1999-03-01T00:00:00"/>
    <n v="27"/>
    <x v="1"/>
    <x v="1"/>
    <d v="2024-08-01T00:00:00"/>
    <n v="1.1013698630136985"/>
    <x v="110"/>
    <x v="1"/>
    <x v="12"/>
    <x v="0"/>
    <n v="53325"/>
    <m/>
    <m/>
    <m/>
    <m/>
    <m/>
    <m/>
    <x v="11"/>
    <n v="2"/>
    <n v="6"/>
    <n v="7"/>
    <m/>
    <m/>
    <m/>
    <m/>
    <m/>
    <m/>
    <n v="3"/>
    <m/>
    <m/>
    <m/>
    <m/>
    <m/>
    <m/>
  </r>
  <r>
    <n v="2138"/>
    <n v="52434"/>
    <d v="1996-11-23T00:00:00"/>
    <n v="29"/>
    <x v="0"/>
    <x v="1"/>
    <d v="2024-11-24T00:00:00"/>
    <n v="1.0438356164383562"/>
    <x v="81"/>
    <x v="1"/>
    <x v="4"/>
    <x v="1"/>
    <n v="36.200000000000003"/>
    <m/>
    <m/>
    <m/>
    <m/>
    <m/>
    <m/>
    <x v="4"/>
    <n v="0"/>
    <n v="3"/>
    <m/>
    <m/>
    <m/>
    <m/>
    <m/>
    <m/>
    <m/>
    <m/>
    <m/>
    <m/>
    <m/>
    <m/>
    <m/>
    <m/>
  </r>
  <r>
    <n v="2139"/>
    <n v="52435"/>
    <d v="1994-06-15T00:00:00"/>
    <n v="31"/>
    <x v="1"/>
    <x v="1"/>
    <d v="2024-12-15T00:00:00"/>
    <n v="1.6410958904109589"/>
    <x v="72"/>
    <x v="1"/>
    <x v="4"/>
    <x v="1"/>
    <n v="36.200000000000003"/>
    <m/>
    <m/>
    <m/>
    <m/>
    <m/>
    <m/>
    <x v="4"/>
    <n v="0"/>
    <n v="5"/>
    <m/>
    <m/>
    <m/>
    <m/>
    <m/>
    <m/>
    <m/>
    <m/>
    <m/>
    <m/>
    <m/>
    <m/>
    <m/>
    <m/>
  </r>
  <r>
    <n v="2140"/>
    <n v="52436"/>
    <d v="1985-05-24T00:00:00"/>
    <n v="40"/>
    <x v="0"/>
    <x v="1"/>
    <d v="2024-05-11T00:00:00"/>
    <n v="1.4273972602739726"/>
    <x v="81"/>
    <x v="1"/>
    <x v="4"/>
    <x v="1"/>
    <n v="36.200000000000003"/>
    <m/>
    <m/>
    <m/>
    <m/>
    <m/>
    <m/>
    <x v="3"/>
    <n v="0"/>
    <n v="4"/>
    <m/>
    <m/>
    <m/>
    <m/>
    <m/>
    <m/>
    <m/>
    <m/>
    <m/>
    <m/>
    <m/>
    <m/>
    <m/>
    <m/>
  </r>
  <r>
    <n v="2141"/>
    <n v="52438"/>
    <d v="1978-07-16T00:00:00"/>
    <n v="47"/>
    <x v="1"/>
    <x v="1"/>
    <d v="2024-07-28T00:00:00"/>
    <n v="1.263013698630137"/>
    <x v="3"/>
    <x v="0"/>
    <x v="4"/>
    <x v="1"/>
    <n v="36.200000000000003"/>
    <m/>
    <m/>
    <m/>
    <m/>
    <m/>
    <m/>
    <x v="4"/>
    <n v="0"/>
    <n v="6"/>
    <m/>
    <m/>
    <m/>
    <m/>
    <m/>
    <m/>
    <m/>
    <m/>
    <m/>
    <m/>
    <m/>
    <m/>
    <m/>
    <m/>
  </r>
  <r>
    <n v="2142"/>
    <n v="52439"/>
    <d v="1993-03-03T00:00:00"/>
    <n v="32"/>
    <x v="1"/>
    <x v="1"/>
    <d v="2024-09-26T00:00:00"/>
    <n v="1.4136986301369863"/>
    <x v="123"/>
    <x v="1"/>
    <x v="4"/>
    <x v="1"/>
    <n v="36.200000000000003"/>
    <m/>
    <m/>
    <m/>
    <m/>
    <m/>
    <m/>
    <x v="2"/>
    <n v="0"/>
    <n v="5"/>
    <m/>
    <m/>
    <m/>
    <m/>
    <m/>
    <m/>
    <m/>
    <m/>
    <m/>
    <m/>
    <m/>
    <m/>
    <m/>
    <m/>
  </r>
  <r>
    <n v="2143"/>
    <n v="52440"/>
    <d v="1999-10-05T00:00:00"/>
    <n v="26"/>
    <x v="0"/>
    <x v="1"/>
    <d v="2024-08-02T00:00:00"/>
    <n v="1.1643835616438356"/>
    <x v="111"/>
    <x v="1"/>
    <x v="4"/>
    <x v="1"/>
    <n v="36.200000000000003"/>
    <m/>
    <m/>
    <m/>
    <m/>
    <m/>
    <m/>
    <x v="1"/>
    <n v="0"/>
    <n v="4"/>
    <m/>
    <m/>
    <m/>
    <m/>
    <m/>
    <m/>
    <m/>
    <m/>
    <m/>
    <m/>
    <m/>
    <m/>
    <m/>
    <m/>
  </r>
  <r>
    <n v="2144"/>
    <n v="52441"/>
    <d v="1988-06-19T00:00:00"/>
    <n v="37"/>
    <x v="0"/>
    <x v="1"/>
    <d v="2024-11-01T00:00:00"/>
    <n v="1.1726027397260275"/>
    <x v="74"/>
    <x v="1"/>
    <x v="4"/>
    <x v="1"/>
    <n v="36.200000000000003"/>
    <m/>
    <m/>
    <m/>
    <m/>
    <m/>
    <m/>
    <x v="1"/>
    <n v="0"/>
    <n v="3"/>
    <m/>
    <m/>
    <m/>
    <m/>
    <m/>
    <m/>
    <m/>
    <m/>
    <m/>
    <m/>
    <m/>
    <m/>
    <m/>
    <m/>
  </r>
  <r>
    <n v="2145"/>
    <n v="52442"/>
    <d v="1992-05-02T00:00:00"/>
    <n v="33"/>
    <x v="0"/>
    <x v="1"/>
    <d v="2024-10-29T00:00:00"/>
    <n v="1.5397260273972602"/>
    <x v="118"/>
    <x v="1"/>
    <x v="4"/>
    <x v="1"/>
    <n v="36.200000000000003"/>
    <m/>
    <m/>
    <m/>
    <m/>
    <m/>
    <m/>
    <x v="4"/>
    <n v="0"/>
    <n v="4"/>
    <m/>
    <m/>
    <m/>
    <m/>
    <m/>
    <m/>
    <m/>
    <m/>
    <m/>
    <m/>
    <m/>
    <m/>
    <m/>
    <m/>
  </r>
  <r>
    <n v="2146"/>
    <n v="52443"/>
    <d v="1990-04-17T00:00:00"/>
    <n v="35"/>
    <x v="1"/>
    <x v="1"/>
    <d v="2024-06-17T00:00:00"/>
    <n v="1.3808219178082193"/>
    <x v="85"/>
    <x v="1"/>
    <x v="4"/>
    <x v="1"/>
    <n v="36.200000000000003"/>
    <m/>
    <m/>
    <m/>
    <m/>
    <m/>
    <m/>
    <x v="4"/>
    <n v="0"/>
    <n v="5"/>
    <m/>
    <m/>
    <m/>
    <m/>
    <m/>
    <m/>
    <m/>
    <m/>
    <m/>
    <m/>
    <m/>
    <m/>
    <m/>
    <m/>
  </r>
  <r>
    <n v="2147"/>
    <n v="52444"/>
    <d v="1995-06-29T00:00:00"/>
    <n v="30"/>
    <x v="0"/>
    <x v="1"/>
    <d v="2024-08-14T00:00:00"/>
    <n v="1.7726027397260273"/>
    <x v="38"/>
    <x v="0"/>
    <x v="4"/>
    <x v="1"/>
    <n v="36.200000000000003"/>
    <m/>
    <m/>
    <m/>
    <m/>
    <m/>
    <m/>
    <x v="2"/>
    <n v="0"/>
    <n v="3"/>
    <m/>
    <m/>
    <m/>
    <m/>
    <m/>
    <m/>
    <m/>
    <m/>
    <m/>
    <m/>
    <m/>
    <m/>
    <m/>
    <m/>
  </r>
  <r>
    <n v="2148"/>
    <n v="52445"/>
    <d v="1993-07-29T00:00:00"/>
    <n v="32"/>
    <x v="0"/>
    <x v="1"/>
    <d v="2024-03-24T00:00:00"/>
    <n v="1.1643835616438356"/>
    <x v="115"/>
    <x v="1"/>
    <x v="4"/>
    <x v="1"/>
    <n v="36.200000000000003"/>
    <m/>
    <m/>
    <m/>
    <m/>
    <m/>
    <m/>
    <x v="2"/>
    <n v="0"/>
    <n v="3"/>
    <m/>
    <m/>
    <m/>
    <m/>
    <m/>
    <m/>
    <m/>
    <m/>
    <m/>
    <m/>
    <m/>
    <m/>
    <m/>
    <m/>
  </r>
  <r>
    <n v="2149"/>
    <n v="52446"/>
    <d v="1999-09-29T00:00:00"/>
    <n v="26"/>
    <x v="0"/>
    <x v="1"/>
    <d v="2024-11-01T00:00:00"/>
    <n v="1.0356164383561643"/>
    <x v="79"/>
    <x v="1"/>
    <x v="4"/>
    <x v="1"/>
    <n v="36.200000000000003"/>
    <m/>
    <m/>
    <m/>
    <m/>
    <m/>
    <m/>
    <x v="1"/>
    <n v="0"/>
    <n v="4"/>
    <m/>
    <m/>
    <m/>
    <m/>
    <m/>
    <m/>
    <m/>
    <m/>
    <m/>
    <m/>
    <m/>
    <m/>
    <m/>
    <m/>
  </r>
  <r>
    <n v="2150"/>
    <n v="52448"/>
    <d v="1998-08-05T00:00:00"/>
    <n v="27"/>
    <x v="0"/>
    <x v="1"/>
    <d v="2024-12-18T00:00:00"/>
    <n v="1.0904109589041096"/>
    <x v="16"/>
    <x v="0"/>
    <x v="4"/>
    <x v="1"/>
    <n v="36.200000000000003"/>
    <m/>
    <m/>
    <m/>
    <m/>
    <m/>
    <m/>
    <x v="2"/>
    <n v="0"/>
    <n v="4"/>
    <m/>
    <m/>
    <m/>
    <m/>
    <m/>
    <m/>
    <m/>
    <m/>
    <m/>
    <m/>
    <m/>
    <m/>
    <m/>
    <m/>
  </r>
  <r>
    <n v="2151"/>
    <n v="52449"/>
    <d v="1999-03-29T00:00:00"/>
    <n v="26"/>
    <x v="0"/>
    <x v="1"/>
    <d v="2024-11-28T00:00:00"/>
    <n v="1.6109589041095891"/>
    <x v="45"/>
    <x v="0"/>
    <x v="4"/>
    <x v="1"/>
    <n v="36.200000000000003"/>
    <m/>
    <m/>
    <m/>
    <m/>
    <m/>
    <m/>
    <x v="1"/>
    <n v="0"/>
    <n v="4"/>
    <m/>
    <m/>
    <m/>
    <m/>
    <m/>
    <m/>
    <m/>
    <m/>
    <m/>
    <m/>
    <m/>
    <m/>
    <m/>
    <m/>
  </r>
  <r>
    <n v="2152"/>
    <n v="52450"/>
    <d v="1999-03-31T00:00:00"/>
    <n v="26"/>
    <x v="1"/>
    <x v="1"/>
    <d v="2024-05-22T00:00:00"/>
    <n v="1.5698630136986302"/>
    <x v="14"/>
    <x v="0"/>
    <x v="4"/>
    <x v="1"/>
    <n v="36.200000000000003"/>
    <m/>
    <m/>
    <m/>
    <m/>
    <m/>
    <m/>
    <x v="4"/>
    <n v="0"/>
    <n v="7"/>
    <m/>
    <m/>
    <m/>
    <m/>
    <m/>
    <m/>
    <m/>
    <m/>
    <m/>
    <m/>
    <m/>
    <m/>
    <m/>
    <m/>
  </r>
  <r>
    <n v="2153"/>
    <n v="52451"/>
    <d v="1987-07-29T00:00:00"/>
    <n v="38"/>
    <x v="0"/>
    <x v="1"/>
    <d v="2024-06-06T00:00:00"/>
    <n v="1.5945205479452054"/>
    <x v="143"/>
    <x v="0"/>
    <x v="4"/>
    <x v="1"/>
    <n v="36.200000000000003"/>
    <m/>
    <m/>
    <m/>
    <m/>
    <m/>
    <m/>
    <x v="4"/>
    <n v="0"/>
    <n v="3"/>
    <m/>
    <m/>
    <m/>
    <m/>
    <m/>
    <m/>
    <m/>
    <m/>
    <m/>
    <m/>
    <m/>
    <m/>
    <m/>
    <m/>
  </r>
  <r>
    <n v="2154"/>
    <n v="52452"/>
    <d v="1987-02-11T00:00:00"/>
    <n v="38"/>
    <x v="0"/>
    <x v="1"/>
    <d v="2024-05-28T00:00:00"/>
    <n v="1.0767123287671232"/>
    <x v="132"/>
    <x v="1"/>
    <x v="4"/>
    <x v="1"/>
    <n v="36.200000000000003"/>
    <m/>
    <m/>
    <m/>
    <m/>
    <m/>
    <m/>
    <x v="4"/>
    <n v="0"/>
    <n v="4"/>
    <m/>
    <m/>
    <m/>
    <m/>
    <m/>
    <m/>
    <m/>
    <m/>
    <m/>
    <m/>
    <m/>
    <m/>
    <m/>
    <m/>
  </r>
  <r>
    <n v="2155"/>
    <n v="52453"/>
    <d v="1995-07-15T00:00:00"/>
    <n v="30"/>
    <x v="0"/>
    <x v="1"/>
    <d v="2024-12-03T00:00:00"/>
    <n v="1.5616438356164384"/>
    <x v="11"/>
    <x v="0"/>
    <x v="4"/>
    <x v="1"/>
    <n v="36.200000000000003"/>
    <m/>
    <m/>
    <m/>
    <m/>
    <m/>
    <m/>
    <x v="4"/>
    <n v="0"/>
    <n v="4"/>
    <m/>
    <m/>
    <m/>
    <m/>
    <m/>
    <m/>
    <m/>
    <m/>
    <m/>
    <m/>
    <m/>
    <m/>
    <m/>
    <m/>
  </r>
  <r>
    <n v="2156"/>
    <n v="52454"/>
    <d v="1999-05-14T00:00:00"/>
    <n v="26"/>
    <x v="0"/>
    <x v="1"/>
    <d v="2024-06-09T00:00:00"/>
    <n v="1.2931506849315069"/>
    <x v="108"/>
    <x v="1"/>
    <x v="4"/>
    <x v="1"/>
    <n v="36.200000000000003"/>
    <m/>
    <m/>
    <m/>
    <m/>
    <m/>
    <m/>
    <x v="1"/>
    <n v="0"/>
    <n v="4"/>
    <m/>
    <m/>
    <m/>
    <m/>
    <m/>
    <m/>
    <m/>
    <m/>
    <m/>
    <m/>
    <m/>
    <m/>
    <m/>
    <m/>
  </r>
  <r>
    <n v="2157"/>
    <n v="52455"/>
    <d v="1988-07-17T00:00:00"/>
    <n v="37"/>
    <x v="1"/>
    <x v="1"/>
    <d v="2024-09-15T00:00:00"/>
    <n v="1.6931506849315068"/>
    <x v="113"/>
    <x v="1"/>
    <x v="4"/>
    <x v="1"/>
    <n v="36.200000000000003"/>
    <m/>
    <m/>
    <m/>
    <m/>
    <m/>
    <m/>
    <x v="3"/>
    <n v="0"/>
    <n v="5"/>
    <m/>
    <m/>
    <m/>
    <m/>
    <m/>
    <m/>
    <m/>
    <m/>
    <m/>
    <m/>
    <m/>
    <m/>
    <m/>
    <m/>
  </r>
  <r>
    <n v="2158"/>
    <n v="52456"/>
    <d v="1993-07-21T00:00:00"/>
    <n v="32"/>
    <x v="1"/>
    <x v="1"/>
    <d v="2024-04-22T00:00:00"/>
    <n v="1.0438356164383562"/>
    <x v="1"/>
    <x v="1"/>
    <x v="4"/>
    <x v="1"/>
    <n v="36.200000000000003"/>
    <m/>
    <m/>
    <m/>
    <m/>
    <m/>
    <m/>
    <x v="2"/>
    <n v="0"/>
    <n v="5"/>
    <m/>
    <m/>
    <m/>
    <m/>
    <m/>
    <m/>
    <m/>
    <m/>
    <m/>
    <m/>
    <m/>
    <m/>
    <m/>
    <m/>
  </r>
  <r>
    <n v="2159"/>
    <n v="52457"/>
    <d v="1996-12-11T00:00:00"/>
    <n v="29"/>
    <x v="1"/>
    <x v="1"/>
    <d v="2024-12-15T00:00:00"/>
    <n v="1.2219178082191782"/>
    <x v="107"/>
    <x v="1"/>
    <x v="4"/>
    <x v="1"/>
    <n v="36.200000000000003"/>
    <m/>
    <m/>
    <m/>
    <m/>
    <m/>
    <m/>
    <x v="1"/>
    <n v="0"/>
    <n v="6"/>
    <m/>
    <m/>
    <m/>
    <m/>
    <m/>
    <m/>
    <m/>
    <m/>
    <m/>
    <m/>
    <m/>
    <m/>
    <m/>
    <m/>
  </r>
  <r>
    <n v="2160"/>
    <n v="52458"/>
    <d v="1996-03-06T00:00:00"/>
    <n v="29"/>
    <x v="0"/>
    <x v="1"/>
    <d v="2024-10-11T00:00:00"/>
    <n v="1.0575342465753426"/>
    <x v="117"/>
    <x v="1"/>
    <x v="4"/>
    <x v="1"/>
    <n v="36.200000000000003"/>
    <m/>
    <m/>
    <m/>
    <m/>
    <m/>
    <m/>
    <x v="2"/>
    <n v="0"/>
    <n v="5"/>
    <m/>
    <m/>
    <m/>
    <m/>
    <m/>
    <m/>
    <m/>
    <m/>
    <m/>
    <m/>
    <m/>
    <m/>
    <m/>
    <m/>
  </r>
  <r>
    <n v="2161"/>
    <n v="52459"/>
    <d v="1992-04-30T00:00:00"/>
    <n v="33"/>
    <x v="0"/>
    <x v="1"/>
    <d v="2024-12-10T00:00:00"/>
    <n v="1.1123287671232878"/>
    <x v="128"/>
    <x v="1"/>
    <x v="4"/>
    <x v="1"/>
    <n v="36.200000000000003"/>
    <m/>
    <m/>
    <m/>
    <m/>
    <m/>
    <m/>
    <x v="1"/>
    <n v="0"/>
    <n v="3"/>
    <m/>
    <m/>
    <m/>
    <m/>
    <m/>
    <m/>
    <m/>
    <m/>
    <m/>
    <m/>
    <m/>
    <m/>
    <m/>
    <m/>
  </r>
  <r>
    <n v="2162"/>
    <n v="52460"/>
    <d v="1999-04-24T00:00:00"/>
    <n v="26"/>
    <x v="1"/>
    <x v="1"/>
    <d v="2024-11-20T00:00:00"/>
    <n v="1.5726027397260274"/>
    <x v="131"/>
    <x v="1"/>
    <x v="4"/>
    <x v="1"/>
    <n v="36.200000000000003"/>
    <m/>
    <m/>
    <m/>
    <m/>
    <m/>
    <m/>
    <x v="2"/>
    <n v="0"/>
    <n v="5"/>
    <m/>
    <m/>
    <m/>
    <m/>
    <m/>
    <m/>
    <m/>
    <m/>
    <m/>
    <m/>
    <m/>
    <m/>
    <m/>
    <m/>
  </r>
  <r>
    <n v="2163"/>
    <n v="52461"/>
    <d v="1993-06-01T00:00:00"/>
    <n v="33"/>
    <x v="0"/>
    <x v="0"/>
    <d v="2024-06-05T00:00:00"/>
    <n v="1.3643835616438356"/>
    <x v="43"/>
    <x v="1"/>
    <x v="4"/>
    <x v="1"/>
    <n v="36.200000000000003"/>
    <m/>
    <m/>
    <m/>
    <m/>
    <m/>
    <m/>
    <x v="2"/>
    <n v="0"/>
    <n v="5"/>
    <m/>
    <m/>
    <m/>
    <m/>
    <m/>
    <m/>
    <m/>
    <m/>
    <m/>
    <m/>
    <m/>
    <m/>
    <m/>
    <m/>
  </r>
  <r>
    <n v="2164"/>
    <n v="52462"/>
    <d v="1989-07-29T00:00:00"/>
    <n v="36"/>
    <x v="1"/>
    <x v="1"/>
    <d v="2024-08-20T00:00:00"/>
    <n v="1.736986301369863"/>
    <x v="66"/>
    <x v="1"/>
    <x v="4"/>
    <x v="1"/>
    <n v="36.200000000000003"/>
    <m/>
    <m/>
    <m/>
    <m/>
    <m/>
    <m/>
    <x v="1"/>
    <n v="0"/>
    <n v="5"/>
    <m/>
    <m/>
    <m/>
    <m/>
    <m/>
    <m/>
    <m/>
    <m/>
    <m/>
    <m/>
    <m/>
    <m/>
    <m/>
    <m/>
  </r>
  <r>
    <n v="2165"/>
    <n v="52463"/>
    <d v="1993-12-06T00:00:00"/>
    <n v="32"/>
    <x v="0"/>
    <x v="1"/>
    <d v="2024-04-06T00:00:00"/>
    <n v="1.7232876712328766"/>
    <x v="115"/>
    <x v="1"/>
    <x v="4"/>
    <x v="1"/>
    <n v="36.200000000000003"/>
    <m/>
    <m/>
    <m/>
    <m/>
    <m/>
    <m/>
    <x v="4"/>
    <n v="0"/>
    <n v="4"/>
    <m/>
    <m/>
    <m/>
    <m/>
    <m/>
    <m/>
    <m/>
    <m/>
    <m/>
    <m/>
    <m/>
    <m/>
    <m/>
    <m/>
  </r>
  <r>
    <n v="2166"/>
    <n v="52464"/>
    <d v="1994-02-13T00:00:00"/>
    <n v="31"/>
    <x v="0"/>
    <x v="1"/>
    <d v="2024-04-11T00:00:00"/>
    <n v="1.789041095890411"/>
    <x v="89"/>
    <x v="1"/>
    <x v="4"/>
    <x v="1"/>
    <n v="36.200000000000003"/>
    <m/>
    <m/>
    <m/>
    <m/>
    <m/>
    <m/>
    <x v="4"/>
    <n v="0"/>
    <n v="3"/>
    <m/>
    <m/>
    <m/>
    <m/>
    <m/>
    <m/>
    <m/>
    <m/>
    <m/>
    <m/>
    <m/>
    <m/>
    <m/>
    <m/>
  </r>
  <r>
    <n v="2167"/>
    <n v="52465"/>
    <d v="1997-04-11T00:00:00"/>
    <n v="28"/>
    <x v="0"/>
    <x v="1"/>
    <d v="2024-03-18T00:00:00"/>
    <n v="1.4684931506849315"/>
    <x v="119"/>
    <x v="1"/>
    <x v="4"/>
    <x v="1"/>
    <n v="36.200000000000003"/>
    <m/>
    <m/>
    <m/>
    <m/>
    <m/>
    <m/>
    <x v="4"/>
    <n v="0"/>
    <n v="4"/>
    <m/>
    <m/>
    <m/>
    <m/>
    <m/>
    <m/>
    <m/>
    <m/>
    <m/>
    <m/>
    <m/>
    <m/>
    <m/>
    <m/>
  </r>
  <r>
    <n v="2168"/>
    <n v="52466"/>
    <d v="1990-01-03T00:00:00"/>
    <n v="35"/>
    <x v="0"/>
    <x v="1"/>
    <d v="2024-07-13T00:00:00"/>
    <n v="1.2164383561643837"/>
    <x v="83"/>
    <x v="0"/>
    <x v="4"/>
    <x v="1"/>
    <n v="36.200000000000003"/>
    <m/>
    <m/>
    <m/>
    <m/>
    <m/>
    <m/>
    <x v="2"/>
    <n v="0"/>
    <n v="4"/>
    <m/>
    <m/>
    <m/>
    <m/>
    <m/>
    <m/>
    <m/>
    <m/>
    <m/>
    <m/>
    <m/>
    <m/>
    <m/>
    <m/>
  </r>
  <r>
    <n v="2169"/>
    <n v="52467"/>
    <d v="1997-11-01T00:00:00"/>
    <n v="29"/>
    <x v="0"/>
    <x v="0"/>
    <d v="2024-10-13T00:00:00"/>
    <n v="1.1972602739726028"/>
    <x v="85"/>
    <x v="1"/>
    <x v="4"/>
    <x v="1"/>
    <n v="36.200000000000003"/>
    <m/>
    <m/>
    <m/>
    <m/>
    <m/>
    <m/>
    <x v="1"/>
    <n v="0"/>
    <n v="4"/>
    <m/>
    <m/>
    <m/>
    <m/>
    <m/>
    <m/>
    <m/>
    <m/>
    <m/>
    <m/>
    <m/>
    <m/>
    <m/>
    <m/>
  </r>
  <r>
    <n v="2170"/>
    <n v="52468"/>
    <d v="1992-11-17T00:00:00"/>
    <n v="33"/>
    <x v="0"/>
    <x v="1"/>
    <d v="2024-10-20T00:00:00"/>
    <n v="1.4986301369863013"/>
    <x v="103"/>
    <x v="1"/>
    <x v="4"/>
    <x v="1"/>
    <n v="36.200000000000003"/>
    <m/>
    <m/>
    <m/>
    <m/>
    <m/>
    <m/>
    <x v="1"/>
    <n v="0"/>
    <n v="5"/>
    <m/>
    <m/>
    <m/>
    <m/>
    <m/>
    <m/>
    <m/>
    <m/>
    <m/>
    <m/>
    <m/>
    <m/>
    <m/>
    <m/>
  </r>
  <r>
    <n v="2171"/>
    <n v="52469"/>
    <d v="1996-03-07T00:00:00"/>
    <n v="29"/>
    <x v="1"/>
    <x v="0"/>
    <d v="2024-07-02T00:00:00"/>
    <n v="1.4684931506849315"/>
    <x v="43"/>
    <x v="1"/>
    <x v="4"/>
    <x v="1"/>
    <n v="36.200000000000003"/>
    <m/>
    <m/>
    <m/>
    <m/>
    <m/>
    <m/>
    <x v="2"/>
    <n v="0"/>
    <n v="5"/>
    <m/>
    <m/>
    <m/>
    <m/>
    <m/>
    <m/>
    <m/>
    <m/>
    <m/>
    <m/>
    <m/>
    <m/>
    <m/>
    <m/>
  </r>
  <r>
    <n v="2172"/>
    <n v="52470"/>
    <d v="1997-03-17T00:00:00"/>
    <n v="28"/>
    <x v="1"/>
    <x v="1"/>
    <d v="2024-07-13T00:00:00"/>
    <n v="1"/>
    <x v="138"/>
    <x v="0"/>
    <x v="4"/>
    <x v="1"/>
    <n v="36.200000000000003"/>
    <m/>
    <m/>
    <m/>
    <m/>
    <m/>
    <m/>
    <x v="4"/>
    <n v="0"/>
    <n v="5"/>
    <m/>
    <m/>
    <m/>
    <m/>
    <m/>
    <m/>
    <m/>
    <m/>
    <m/>
    <m/>
    <m/>
    <m/>
    <m/>
    <m/>
  </r>
  <r>
    <n v="2173"/>
    <n v="52471"/>
    <d v="1981-07-13T00:00:00"/>
    <n v="44"/>
    <x v="0"/>
    <x v="1"/>
    <d v="2024-12-31T00:00:00"/>
    <n v="1.3397260273972602"/>
    <x v="1"/>
    <x v="1"/>
    <x v="4"/>
    <x v="1"/>
    <n v="36.200000000000003"/>
    <m/>
    <m/>
    <m/>
    <m/>
    <m/>
    <m/>
    <x v="2"/>
    <n v="0"/>
    <n v="4"/>
    <m/>
    <m/>
    <m/>
    <m/>
    <m/>
    <m/>
    <m/>
    <m/>
    <m/>
    <m/>
    <m/>
    <m/>
    <m/>
    <m/>
  </r>
  <r>
    <n v="2174"/>
    <n v="52472"/>
    <d v="1989-06-09T00:00:00"/>
    <n v="36"/>
    <x v="0"/>
    <x v="1"/>
    <d v="2024-08-29T00:00:00"/>
    <n v="1.0575342465753426"/>
    <x v="133"/>
    <x v="1"/>
    <x v="4"/>
    <x v="1"/>
    <n v="36.200000000000003"/>
    <m/>
    <m/>
    <m/>
    <m/>
    <m/>
    <m/>
    <x v="4"/>
    <n v="0"/>
    <n v="3"/>
    <m/>
    <m/>
    <m/>
    <m/>
    <m/>
    <m/>
    <m/>
    <m/>
    <m/>
    <m/>
    <m/>
    <m/>
    <m/>
    <m/>
  </r>
  <r>
    <n v="2175"/>
    <n v="52473"/>
    <d v="1998-04-11T00:00:00"/>
    <n v="27"/>
    <x v="1"/>
    <x v="1"/>
    <d v="2024-12-10T00:00:00"/>
    <n v="1.6438356164383561"/>
    <x v="71"/>
    <x v="1"/>
    <x v="4"/>
    <x v="1"/>
    <n v="36.200000000000003"/>
    <m/>
    <m/>
    <m/>
    <m/>
    <m/>
    <m/>
    <x v="1"/>
    <n v="0"/>
    <n v="5"/>
    <m/>
    <m/>
    <m/>
    <m/>
    <m/>
    <m/>
    <m/>
    <m/>
    <m/>
    <m/>
    <m/>
    <m/>
    <m/>
    <m/>
  </r>
  <r>
    <n v="2176"/>
    <n v="52474"/>
    <d v="1997-07-22T00:00:00"/>
    <n v="28"/>
    <x v="1"/>
    <x v="0"/>
    <d v="2024-05-10T00:00:00"/>
    <n v="1.0301369863013699"/>
    <x v="52"/>
    <x v="0"/>
    <x v="4"/>
    <x v="1"/>
    <n v="36.200000000000003"/>
    <m/>
    <m/>
    <m/>
    <m/>
    <m/>
    <m/>
    <x v="4"/>
    <n v="0"/>
    <n v="5"/>
    <m/>
    <m/>
    <m/>
    <m/>
    <m/>
    <m/>
    <m/>
    <m/>
    <m/>
    <m/>
    <m/>
    <m/>
    <m/>
    <m/>
  </r>
  <r>
    <n v="2177"/>
    <n v="52475"/>
    <d v="1995-06-28T00:00:00"/>
    <n v="30"/>
    <x v="0"/>
    <x v="1"/>
    <d v="2024-12-20T00:00:00"/>
    <n v="1.7013698630136986"/>
    <x v="61"/>
    <x v="0"/>
    <x v="4"/>
    <x v="1"/>
    <n v="36.200000000000003"/>
    <m/>
    <m/>
    <m/>
    <m/>
    <m/>
    <m/>
    <x v="4"/>
    <n v="0"/>
    <n v="5"/>
    <m/>
    <m/>
    <m/>
    <m/>
    <m/>
    <m/>
    <m/>
    <m/>
    <m/>
    <m/>
    <m/>
    <m/>
    <m/>
    <m/>
  </r>
  <r>
    <n v="2178"/>
    <n v="52476"/>
    <d v="1999-03-21T00:00:00"/>
    <n v="26"/>
    <x v="0"/>
    <x v="1"/>
    <d v="2024-04-19T00:00:00"/>
    <n v="1.1506849315068493"/>
    <x v="61"/>
    <x v="0"/>
    <x v="4"/>
    <x v="1"/>
    <n v="36.200000000000003"/>
    <m/>
    <m/>
    <m/>
    <m/>
    <m/>
    <m/>
    <x v="2"/>
    <n v="0"/>
    <n v="4"/>
    <m/>
    <m/>
    <m/>
    <m/>
    <m/>
    <m/>
    <m/>
    <m/>
    <m/>
    <m/>
    <m/>
    <m/>
    <m/>
    <m/>
  </r>
  <r>
    <n v="2179"/>
    <n v="52477"/>
    <d v="1990-12-01T00:00:00"/>
    <n v="36"/>
    <x v="1"/>
    <x v="1"/>
    <d v="2024-11-06T00:00:00"/>
    <n v="1.189041095890411"/>
    <x v="136"/>
    <x v="0"/>
    <x v="4"/>
    <x v="1"/>
    <n v="36.200000000000003"/>
    <m/>
    <m/>
    <m/>
    <m/>
    <m/>
    <m/>
    <x v="4"/>
    <n v="0"/>
    <n v="5"/>
    <m/>
    <m/>
    <m/>
    <m/>
    <m/>
    <m/>
    <m/>
    <m/>
    <m/>
    <m/>
    <m/>
    <m/>
    <m/>
    <m/>
  </r>
  <r>
    <n v="2180"/>
    <n v="52478"/>
    <d v="1987-12-27T00:00:00"/>
    <n v="38"/>
    <x v="0"/>
    <x v="1"/>
    <d v="2024-10-23T00:00:00"/>
    <n v="1.3287671232876712"/>
    <x v="105"/>
    <x v="1"/>
    <x v="4"/>
    <x v="1"/>
    <n v="36.200000000000003"/>
    <m/>
    <m/>
    <m/>
    <m/>
    <m/>
    <m/>
    <x v="1"/>
    <n v="0"/>
    <n v="3"/>
    <m/>
    <m/>
    <m/>
    <m/>
    <m/>
    <m/>
    <m/>
    <m/>
    <m/>
    <m/>
    <m/>
    <m/>
    <m/>
    <m/>
  </r>
  <r>
    <n v="2181"/>
    <n v="52479"/>
    <d v="1993-08-07T00:00:00"/>
    <n v="32"/>
    <x v="0"/>
    <x v="1"/>
    <d v="2024-09-02T00:00:00"/>
    <n v="1.0301369863013699"/>
    <x v="105"/>
    <x v="1"/>
    <x v="4"/>
    <x v="1"/>
    <n v="36.200000000000003"/>
    <m/>
    <m/>
    <m/>
    <m/>
    <m/>
    <m/>
    <x v="3"/>
    <n v="0"/>
    <n v="3"/>
    <m/>
    <m/>
    <m/>
    <m/>
    <m/>
    <m/>
    <m/>
    <m/>
    <m/>
    <m/>
    <m/>
    <m/>
    <m/>
    <m/>
  </r>
  <r>
    <n v="2182"/>
    <n v="52480"/>
    <d v="1989-12-28T00:00:00"/>
    <n v="36"/>
    <x v="0"/>
    <x v="1"/>
    <d v="2024-12-20T00:00:00"/>
    <n v="1.0328767123287672"/>
    <x v="56"/>
    <x v="1"/>
    <x v="4"/>
    <x v="1"/>
    <n v="36.200000000000003"/>
    <m/>
    <m/>
    <m/>
    <m/>
    <m/>
    <m/>
    <x v="4"/>
    <n v="0"/>
    <n v="4"/>
    <m/>
    <m/>
    <m/>
    <m/>
    <m/>
    <m/>
    <m/>
    <m/>
    <m/>
    <m/>
    <m/>
    <m/>
    <m/>
    <m/>
  </r>
  <r>
    <n v="2183"/>
    <n v="52481"/>
    <d v="1998-02-27T00:00:00"/>
    <n v="27"/>
    <x v="1"/>
    <x v="1"/>
    <d v="2024-12-19T00:00:00"/>
    <n v="1.3260273972602741"/>
    <x v="56"/>
    <x v="1"/>
    <x v="4"/>
    <x v="1"/>
    <n v="36.200000000000003"/>
    <m/>
    <m/>
    <m/>
    <m/>
    <m/>
    <m/>
    <x v="1"/>
    <n v="0"/>
    <n v="5"/>
    <m/>
    <m/>
    <m/>
    <m/>
    <m/>
    <m/>
    <m/>
    <m/>
    <m/>
    <m/>
    <m/>
    <m/>
    <m/>
    <m/>
  </r>
  <r>
    <n v="2184"/>
    <n v="52483"/>
    <d v="1984-10-05T00:00:00"/>
    <n v="41"/>
    <x v="1"/>
    <x v="1"/>
    <d v="2024-09-03T00:00:00"/>
    <n v="1.010958904109589"/>
    <x v="110"/>
    <x v="1"/>
    <x v="4"/>
    <x v="1"/>
    <n v="36.200000000000003"/>
    <m/>
    <m/>
    <m/>
    <m/>
    <m/>
    <m/>
    <x v="1"/>
    <n v="0"/>
    <n v="6"/>
    <m/>
    <m/>
    <m/>
    <m/>
    <m/>
    <m/>
    <m/>
    <m/>
    <m/>
    <m/>
    <m/>
    <m/>
    <m/>
    <m/>
  </r>
  <r>
    <n v="2185"/>
    <n v="52484"/>
    <d v="1992-04-01T00:00:00"/>
    <n v="34"/>
    <x v="0"/>
    <x v="1"/>
    <d v="2024-12-27T00:00:00"/>
    <n v="1.0136986301369864"/>
    <x v="87"/>
    <x v="0"/>
    <x v="4"/>
    <x v="1"/>
    <n v="36.200000000000003"/>
    <m/>
    <m/>
    <m/>
    <m/>
    <m/>
    <m/>
    <x v="1"/>
    <n v="0"/>
    <n v="4"/>
    <m/>
    <m/>
    <m/>
    <m/>
    <m/>
    <m/>
    <m/>
    <m/>
    <m/>
    <m/>
    <m/>
    <m/>
    <m/>
    <m/>
  </r>
  <r>
    <n v="2186"/>
    <n v="52485"/>
    <d v="1985-07-28T00:00:00"/>
    <n v="40"/>
    <x v="0"/>
    <x v="1"/>
    <d v="2024-12-26T00:00:00"/>
    <n v="1.1178082191780823"/>
    <x v="111"/>
    <x v="1"/>
    <x v="4"/>
    <x v="1"/>
    <n v="36.200000000000003"/>
    <m/>
    <m/>
    <m/>
    <m/>
    <m/>
    <m/>
    <x v="1"/>
    <n v="0"/>
    <n v="4"/>
    <m/>
    <m/>
    <m/>
    <m/>
    <m/>
    <m/>
    <m/>
    <m/>
    <m/>
    <m/>
    <m/>
    <m/>
    <m/>
    <m/>
  </r>
  <r>
    <n v="2187"/>
    <n v="52486"/>
    <d v="1990-02-14T00:00:00"/>
    <n v="35"/>
    <x v="1"/>
    <x v="0"/>
    <d v="2024-11-18T00:00:00"/>
    <n v="1.3123287671232877"/>
    <x v="28"/>
    <x v="0"/>
    <x v="4"/>
    <x v="1"/>
    <n v="36.200000000000003"/>
    <m/>
    <m/>
    <m/>
    <m/>
    <m/>
    <m/>
    <x v="3"/>
    <n v="0"/>
    <n v="5"/>
    <m/>
    <m/>
    <m/>
    <m/>
    <m/>
    <m/>
    <m/>
    <m/>
    <m/>
    <m/>
    <m/>
    <m/>
    <m/>
    <m/>
  </r>
  <r>
    <n v="2188"/>
    <n v="52487"/>
    <d v="1988-06-22T00:00:00"/>
    <n v="37"/>
    <x v="1"/>
    <x v="0"/>
    <d v="2024-09-08T00:00:00"/>
    <n v="1.3589041095890411"/>
    <x v="35"/>
    <x v="0"/>
    <x v="4"/>
    <x v="1"/>
    <n v="36.200000000000003"/>
    <m/>
    <m/>
    <m/>
    <m/>
    <m/>
    <m/>
    <x v="4"/>
    <n v="0"/>
    <n v="5"/>
    <m/>
    <m/>
    <m/>
    <m/>
    <m/>
    <m/>
    <m/>
    <m/>
    <m/>
    <m/>
    <m/>
    <m/>
    <m/>
    <m/>
  </r>
  <r>
    <n v="2189"/>
    <n v="52488"/>
    <d v="1979-09-16T00:00:00"/>
    <n v="46"/>
    <x v="0"/>
    <x v="0"/>
    <d v="2024-08-22T00:00:00"/>
    <n v="1.0383561643835617"/>
    <x v="144"/>
    <x v="0"/>
    <x v="4"/>
    <x v="1"/>
    <n v="36.200000000000003"/>
    <m/>
    <m/>
    <m/>
    <m/>
    <m/>
    <m/>
    <x v="4"/>
    <n v="0"/>
    <n v="3"/>
    <m/>
    <m/>
    <m/>
    <m/>
    <m/>
    <m/>
    <m/>
    <m/>
    <m/>
    <m/>
    <m/>
    <m/>
    <m/>
    <m/>
  </r>
  <r>
    <n v="2190"/>
    <n v="52489"/>
    <d v="1990-03-30T00:00:00"/>
    <n v="35"/>
    <x v="0"/>
    <x v="0"/>
    <d v="2024-12-17T00:00:00"/>
    <n v="1.3917808219178083"/>
    <x v="144"/>
    <x v="0"/>
    <x v="4"/>
    <x v="1"/>
    <n v="36.200000000000003"/>
    <m/>
    <m/>
    <m/>
    <m/>
    <m/>
    <m/>
    <x v="2"/>
    <n v="0"/>
    <n v="5"/>
    <m/>
    <m/>
    <m/>
    <m/>
    <m/>
    <m/>
    <m/>
    <m/>
    <m/>
    <m/>
    <m/>
    <m/>
    <m/>
    <m/>
  </r>
  <r>
    <n v="2191"/>
    <n v="52491"/>
    <d v="1991-03-05T00:00:00"/>
    <n v="34"/>
    <x v="0"/>
    <x v="1"/>
    <d v="2024-08-10T00:00:00"/>
    <n v="1.1150684931506849"/>
    <x v="136"/>
    <x v="0"/>
    <x v="4"/>
    <x v="1"/>
    <n v="36.200000000000003"/>
    <m/>
    <m/>
    <m/>
    <m/>
    <m/>
    <m/>
    <x v="2"/>
    <n v="0"/>
    <n v="3"/>
    <m/>
    <m/>
    <m/>
    <m/>
    <m/>
    <m/>
    <m/>
    <m/>
    <m/>
    <m/>
    <m/>
    <m/>
    <m/>
    <m/>
  </r>
  <r>
    <n v="2192"/>
    <n v="52492"/>
    <d v="1998-08-07T00:00:00"/>
    <n v="27"/>
    <x v="0"/>
    <x v="1"/>
    <d v="2024-11-19T00:00:00"/>
    <n v="1.6931506849315068"/>
    <x v="120"/>
    <x v="1"/>
    <x v="4"/>
    <x v="1"/>
    <n v="36.200000000000003"/>
    <m/>
    <m/>
    <m/>
    <m/>
    <m/>
    <m/>
    <x v="1"/>
    <n v="0"/>
    <n v="3"/>
    <m/>
    <m/>
    <m/>
    <m/>
    <m/>
    <m/>
    <m/>
    <m/>
    <m/>
    <m/>
    <m/>
    <m/>
    <m/>
    <m/>
  </r>
  <r>
    <n v="2193"/>
    <n v="52493"/>
    <d v="1994-08-18T00:00:00"/>
    <n v="31"/>
    <x v="1"/>
    <x v="0"/>
    <d v="2024-04-22T00:00:00"/>
    <n v="1.6849315068493151"/>
    <x v="38"/>
    <x v="0"/>
    <x v="4"/>
    <x v="1"/>
    <n v="36.200000000000003"/>
    <m/>
    <m/>
    <m/>
    <m/>
    <m/>
    <m/>
    <x v="1"/>
    <n v="0"/>
    <n v="5"/>
    <m/>
    <m/>
    <m/>
    <m/>
    <m/>
    <m/>
    <m/>
    <m/>
    <m/>
    <m/>
    <m/>
    <m/>
    <m/>
    <m/>
  </r>
  <r>
    <n v="2194"/>
    <n v="52496"/>
    <d v="1996-06-17T00:00:00"/>
    <n v="29"/>
    <x v="1"/>
    <x v="0"/>
    <d v="2024-04-25T00:00:00"/>
    <n v="1.5178082191780822"/>
    <x v="33"/>
    <x v="0"/>
    <x v="4"/>
    <x v="1"/>
    <n v="36.200000000000003"/>
    <m/>
    <m/>
    <m/>
    <m/>
    <m/>
    <m/>
    <x v="4"/>
    <n v="0"/>
    <n v="3"/>
    <m/>
    <m/>
    <m/>
    <m/>
    <m/>
    <m/>
    <m/>
    <m/>
    <m/>
    <m/>
    <m/>
    <m/>
    <m/>
    <m/>
  </r>
  <r>
    <n v="2195"/>
    <n v="52497"/>
    <d v="1996-05-29T00:00:00"/>
    <n v="29"/>
    <x v="1"/>
    <x v="1"/>
    <d v="2024-06-25T00:00:00"/>
    <n v="1.2219178082191782"/>
    <x v="92"/>
    <x v="1"/>
    <x v="4"/>
    <x v="1"/>
    <n v="36.200000000000003"/>
    <m/>
    <m/>
    <m/>
    <m/>
    <m/>
    <m/>
    <x v="1"/>
    <n v="0"/>
    <n v="6"/>
    <m/>
    <m/>
    <m/>
    <m/>
    <m/>
    <m/>
    <m/>
    <m/>
    <m/>
    <m/>
    <m/>
    <m/>
    <m/>
    <m/>
  </r>
  <r>
    <n v="2196"/>
    <n v="52499"/>
    <d v="1991-12-20T00:00:00"/>
    <n v="34"/>
    <x v="1"/>
    <x v="1"/>
    <d v="2024-10-11T00:00:00"/>
    <n v="1"/>
    <x v="71"/>
    <x v="1"/>
    <x v="4"/>
    <x v="1"/>
    <n v="36.200000000000003"/>
    <m/>
    <m/>
    <m/>
    <m/>
    <m/>
    <m/>
    <x v="3"/>
    <n v="0"/>
    <n v="5"/>
    <m/>
    <m/>
    <m/>
    <m/>
    <m/>
    <m/>
    <m/>
    <m/>
    <m/>
    <m/>
    <m/>
    <m/>
    <m/>
    <m/>
  </r>
  <r>
    <n v="2197"/>
    <n v="52501"/>
    <d v="1994-10-15T00:00:00"/>
    <n v="31"/>
    <x v="0"/>
    <x v="1"/>
    <d v="2024-12-31T00:00:00"/>
    <n v="1.3479452054794521"/>
    <x v="56"/>
    <x v="1"/>
    <x v="4"/>
    <x v="1"/>
    <n v="36.200000000000003"/>
    <m/>
    <m/>
    <m/>
    <m/>
    <m/>
    <m/>
    <x v="4"/>
    <n v="0"/>
    <n v="3"/>
    <m/>
    <m/>
    <m/>
    <m/>
    <m/>
    <m/>
    <m/>
    <m/>
    <m/>
    <m/>
    <m/>
    <m/>
    <m/>
    <m/>
  </r>
  <r>
    <n v="2198"/>
    <n v="52502"/>
    <d v="1998-09-12T00:00:00"/>
    <n v="27"/>
    <x v="0"/>
    <x v="1"/>
    <d v="2024-08-26T00:00:00"/>
    <n v="1.558904109589041"/>
    <x v="93"/>
    <x v="1"/>
    <x v="4"/>
    <x v="1"/>
    <n v="36.200000000000003"/>
    <m/>
    <m/>
    <m/>
    <m/>
    <m/>
    <m/>
    <x v="4"/>
    <n v="0"/>
    <n v="5"/>
    <m/>
    <m/>
    <m/>
    <m/>
    <m/>
    <m/>
    <m/>
    <m/>
    <m/>
    <m/>
    <m/>
    <m/>
    <m/>
    <m/>
  </r>
  <r>
    <n v="2199"/>
    <n v="52503"/>
    <d v="1985-10-28T00:00:00"/>
    <n v="40"/>
    <x v="1"/>
    <x v="1"/>
    <d v="2024-06-10T00:00:00"/>
    <n v="1.0547945205479452"/>
    <x v="141"/>
    <x v="0"/>
    <x v="4"/>
    <x v="1"/>
    <n v="36.200000000000003"/>
    <m/>
    <m/>
    <m/>
    <m/>
    <m/>
    <m/>
    <x v="4"/>
    <n v="0"/>
    <n v="5"/>
    <m/>
    <m/>
    <m/>
    <m/>
    <m/>
    <m/>
    <m/>
    <m/>
    <m/>
    <m/>
    <m/>
    <m/>
    <m/>
    <m/>
  </r>
  <r>
    <n v="2200"/>
    <n v="52504"/>
    <d v="1990-07-08T00:00:00"/>
    <n v="35"/>
    <x v="1"/>
    <x v="1"/>
    <d v="2024-12-11T00:00:00"/>
    <n v="1.1561643835616437"/>
    <x v="121"/>
    <x v="1"/>
    <x v="4"/>
    <x v="1"/>
    <n v="36.200000000000003"/>
    <m/>
    <m/>
    <m/>
    <m/>
    <m/>
    <m/>
    <x v="1"/>
    <n v="0"/>
    <n v="6"/>
    <m/>
    <m/>
    <m/>
    <m/>
    <m/>
    <m/>
    <m/>
    <m/>
    <m/>
    <m/>
    <m/>
    <m/>
    <m/>
    <m/>
  </r>
  <r>
    <n v="2201"/>
    <n v="52505"/>
    <d v="1995-12-01T00:00:00"/>
    <n v="31"/>
    <x v="0"/>
    <x v="1"/>
    <d v="2024-11-04T00:00:00"/>
    <n v="1.5205479452054795"/>
    <x v="110"/>
    <x v="1"/>
    <x v="4"/>
    <x v="1"/>
    <n v="36.200000000000003"/>
    <m/>
    <m/>
    <m/>
    <m/>
    <m/>
    <m/>
    <x v="1"/>
    <n v="0"/>
    <n v="4"/>
    <m/>
    <m/>
    <m/>
    <m/>
    <m/>
    <m/>
    <m/>
    <m/>
    <m/>
    <m/>
    <m/>
    <m/>
    <m/>
    <m/>
  </r>
  <r>
    <n v="2202"/>
    <n v="52506"/>
    <d v="1988-10-20T00:00:00"/>
    <n v="37"/>
    <x v="1"/>
    <x v="1"/>
    <d v="2024-06-24T00:00:00"/>
    <n v="1.6794520547945206"/>
    <x v="27"/>
    <x v="0"/>
    <x v="4"/>
    <x v="1"/>
    <n v="36.200000000000003"/>
    <m/>
    <m/>
    <m/>
    <m/>
    <m/>
    <m/>
    <x v="3"/>
    <n v="0"/>
    <n v="5"/>
    <m/>
    <m/>
    <m/>
    <m/>
    <m/>
    <m/>
    <m/>
    <m/>
    <m/>
    <m/>
    <m/>
    <m/>
    <m/>
    <m/>
  </r>
  <r>
    <n v="2203"/>
    <n v="52507"/>
    <d v="1992-12-21T00:00:00"/>
    <n v="33"/>
    <x v="1"/>
    <x v="1"/>
    <d v="2024-04-27T00:00:00"/>
    <n v="1.3013698630136987"/>
    <x v="35"/>
    <x v="0"/>
    <x v="4"/>
    <x v="1"/>
    <n v="36.200000000000003"/>
    <m/>
    <m/>
    <m/>
    <m/>
    <m/>
    <m/>
    <x v="3"/>
    <n v="0"/>
    <n v="7"/>
    <m/>
    <m/>
    <m/>
    <m/>
    <m/>
    <m/>
    <m/>
    <m/>
    <m/>
    <m/>
    <m/>
    <m/>
    <m/>
    <m/>
  </r>
  <r>
    <n v="2204"/>
    <n v="52508"/>
    <d v="1995-07-21T00:00:00"/>
    <n v="30"/>
    <x v="0"/>
    <x v="1"/>
    <d v="2024-09-12T00:00:00"/>
    <n v="1.1123287671232878"/>
    <x v="134"/>
    <x v="1"/>
    <x v="4"/>
    <x v="1"/>
    <n v="36.200000000000003"/>
    <m/>
    <m/>
    <m/>
    <m/>
    <m/>
    <m/>
    <x v="4"/>
    <n v="0"/>
    <n v="5"/>
    <m/>
    <m/>
    <m/>
    <m/>
    <m/>
    <m/>
    <m/>
    <m/>
    <m/>
    <m/>
    <m/>
    <m/>
    <m/>
    <m/>
  </r>
  <r>
    <n v="2205"/>
    <n v="52509"/>
    <d v="1982-09-16T00:00:00"/>
    <n v="43"/>
    <x v="0"/>
    <x v="1"/>
    <d v="2024-11-20T00:00:00"/>
    <n v="1.7753424657534247"/>
    <x v="27"/>
    <x v="0"/>
    <x v="4"/>
    <x v="1"/>
    <n v="36.200000000000003"/>
    <m/>
    <m/>
    <m/>
    <m/>
    <m/>
    <m/>
    <x v="1"/>
    <n v="0"/>
    <n v="4"/>
    <m/>
    <m/>
    <m/>
    <m/>
    <m/>
    <m/>
    <m/>
    <m/>
    <m/>
    <m/>
    <m/>
    <m/>
    <m/>
    <m/>
  </r>
  <r>
    <n v="2206"/>
    <n v="52510"/>
    <d v="1996-11-08T00:00:00"/>
    <n v="29"/>
    <x v="0"/>
    <x v="1"/>
    <d v="2024-03-23T00:00:00"/>
    <n v="1.3561643835616439"/>
    <x v="78"/>
    <x v="0"/>
    <x v="4"/>
    <x v="1"/>
    <n v="36.200000000000003"/>
    <m/>
    <m/>
    <m/>
    <m/>
    <m/>
    <m/>
    <x v="1"/>
    <n v="0"/>
    <n v="4"/>
    <m/>
    <m/>
    <m/>
    <m/>
    <m/>
    <m/>
    <m/>
    <m/>
    <m/>
    <m/>
    <m/>
    <m/>
    <m/>
    <m/>
  </r>
  <r>
    <n v="2207"/>
    <n v="52511"/>
    <d v="1993-04-13T00:00:00"/>
    <n v="32"/>
    <x v="1"/>
    <x v="1"/>
    <d v="2024-08-23T00:00:00"/>
    <n v="1.7780821917808218"/>
    <x v="50"/>
    <x v="0"/>
    <x v="4"/>
    <x v="1"/>
    <n v="36.200000000000003"/>
    <m/>
    <m/>
    <m/>
    <m/>
    <m/>
    <m/>
    <x v="3"/>
    <n v="0"/>
    <n v="6"/>
    <m/>
    <m/>
    <m/>
    <m/>
    <m/>
    <m/>
    <m/>
    <m/>
    <m/>
    <m/>
    <m/>
    <m/>
    <m/>
    <m/>
  </r>
  <r>
    <n v="2208"/>
    <n v="52512"/>
    <d v="1992-07-12T00:00:00"/>
    <n v="33"/>
    <x v="0"/>
    <x v="1"/>
    <d v="2024-03-22T00:00:00"/>
    <n v="1.1753424657534246"/>
    <x v="6"/>
    <x v="1"/>
    <x v="4"/>
    <x v="1"/>
    <n v="36.200000000000003"/>
    <m/>
    <m/>
    <m/>
    <m/>
    <m/>
    <m/>
    <x v="2"/>
    <n v="0"/>
    <n v="5"/>
    <m/>
    <m/>
    <m/>
    <m/>
    <m/>
    <m/>
    <m/>
    <m/>
    <m/>
    <m/>
    <m/>
    <m/>
    <m/>
    <m/>
  </r>
  <r>
    <n v="2209"/>
    <n v="52513"/>
    <d v="1993-09-22T00:00:00"/>
    <n v="32"/>
    <x v="0"/>
    <x v="1"/>
    <d v="2024-10-28T00:00:00"/>
    <n v="1.2876712328767124"/>
    <x v="8"/>
    <x v="1"/>
    <x v="4"/>
    <x v="1"/>
    <n v="36.200000000000003"/>
    <m/>
    <m/>
    <m/>
    <m/>
    <m/>
    <m/>
    <x v="3"/>
    <n v="0"/>
    <n v="4"/>
    <m/>
    <m/>
    <m/>
    <m/>
    <m/>
    <m/>
    <m/>
    <m/>
    <m/>
    <m/>
    <m/>
    <m/>
    <m/>
    <m/>
  </r>
  <r>
    <n v="2210"/>
    <n v="52514"/>
    <d v="1996-04-20T00:00:00"/>
    <n v="29"/>
    <x v="0"/>
    <x v="1"/>
    <d v="2024-09-17T00:00:00"/>
    <n v="1.6739726027397259"/>
    <x v="127"/>
    <x v="0"/>
    <x v="4"/>
    <x v="1"/>
    <n v="36.200000000000003"/>
    <m/>
    <m/>
    <m/>
    <m/>
    <m/>
    <m/>
    <x v="2"/>
    <n v="0"/>
    <n v="5"/>
    <m/>
    <m/>
    <m/>
    <m/>
    <m/>
    <m/>
    <m/>
    <m/>
    <m/>
    <m/>
    <m/>
    <m/>
    <m/>
    <m/>
  </r>
  <r>
    <n v="2211"/>
    <n v="52515"/>
    <d v="1999-07-16T00:00:00"/>
    <n v="26"/>
    <x v="0"/>
    <x v="1"/>
    <d v="2024-04-29T00:00:00"/>
    <n v="1.6575342465753424"/>
    <x v="13"/>
    <x v="0"/>
    <x v="4"/>
    <x v="1"/>
    <n v="36.200000000000003"/>
    <m/>
    <m/>
    <m/>
    <m/>
    <m/>
    <m/>
    <x v="2"/>
    <n v="0"/>
    <n v="5"/>
    <m/>
    <m/>
    <m/>
    <m/>
    <m/>
    <m/>
    <m/>
    <m/>
    <m/>
    <m/>
    <m/>
    <m/>
    <m/>
    <m/>
  </r>
  <r>
    <n v="2212"/>
    <n v="52516"/>
    <d v="1996-10-05T00:00:00"/>
    <n v="29"/>
    <x v="1"/>
    <x v="1"/>
    <d v="2024-05-05T00:00:00"/>
    <n v="1.1616438356164382"/>
    <x v="13"/>
    <x v="0"/>
    <x v="4"/>
    <x v="1"/>
    <n v="36.200000000000003"/>
    <m/>
    <m/>
    <m/>
    <m/>
    <m/>
    <m/>
    <x v="1"/>
    <n v="0"/>
    <n v="5"/>
    <m/>
    <m/>
    <m/>
    <m/>
    <m/>
    <m/>
    <m/>
    <m/>
    <m/>
    <m/>
    <m/>
    <m/>
    <m/>
    <m/>
  </r>
  <r>
    <n v="2213"/>
    <n v="52517"/>
    <d v="1979-05-16T00:00:00"/>
    <n v="46"/>
    <x v="1"/>
    <x v="1"/>
    <d v="2024-11-02T00:00:00"/>
    <n v="1.3561643835616439"/>
    <x v="114"/>
    <x v="1"/>
    <x v="4"/>
    <x v="1"/>
    <n v="36.200000000000003"/>
    <m/>
    <m/>
    <m/>
    <m/>
    <m/>
    <m/>
    <x v="4"/>
    <n v="0"/>
    <n v="6"/>
    <m/>
    <m/>
    <m/>
    <m/>
    <m/>
    <m/>
    <m/>
    <m/>
    <m/>
    <m/>
    <m/>
    <m/>
    <m/>
    <m/>
  </r>
  <r>
    <n v="2214"/>
    <n v="52518"/>
    <d v="1998-03-07T00:00:00"/>
    <n v="27"/>
    <x v="1"/>
    <x v="1"/>
    <d v="2024-08-23T00:00:00"/>
    <n v="1.4191780821917808"/>
    <x v="91"/>
    <x v="1"/>
    <x v="4"/>
    <x v="1"/>
    <n v="36.200000000000003"/>
    <m/>
    <m/>
    <m/>
    <m/>
    <m/>
    <m/>
    <x v="1"/>
    <n v="0"/>
    <n v="6"/>
    <m/>
    <m/>
    <m/>
    <m/>
    <m/>
    <m/>
    <m/>
    <m/>
    <m/>
    <m/>
    <m/>
    <m/>
    <m/>
    <m/>
  </r>
  <r>
    <n v="2215"/>
    <n v="52519"/>
    <d v="1989-07-10T00:00:00"/>
    <n v="36"/>
    <x v="1"/>
    <x v="1"/>
    <d v="2024-07-31T00:00:00"/>
    <n v="1.3342465753424657"/>
    <x v="12"/>
    <x v="0"/>
    <x v="4"/>
    <x v="1"/>
    <n v="36.200000000000003"/>
    <m/>
    <m/>
    <m/>
    <m/>
    <m/>
    <m/>
    <x v="2"/>
    <n v="0"/>
    <n v="6"/>
    <m/>
    <m/>
    <m/>
    <m/>
    <m/>
    <m/>
    <m/>
    <m/>
    <m/>
    <m/>
    <m/>
    <m/>
    <m/>
    <m/>
  </r>
  <r>
    <n v="2216"/>
    <n v="52520"/>
    <d v="1992-06-02T00:00:00"/>
    <n v="33"/>
    <x v="0"/>
    <x v="1"/>
    <d v="2024-08-31T00:00:00"/>
    <n v="1.3671232876712329"/>
    <x v="32"/>
    <x v="0"/>
    <x v="4"/>
    <x v="1"/>
    <n v="36.200000000000003"/>
    <m/>
    <m/>
    <m/>
    <m/>
    <m/>
    <m/>
    <x v="2"/>
    <n v="0"/>
    <n v="4"/>
    <m/>
    <m/>
    <m/>
    <m/>
    <m/>
    <m/>
    <m/>
    <m/>
    <m/>
    <m/>
    <m/>
    <m/>
    <m/>
    <m/>
  </r>
  <r>
    <n v="2217"/>
    <n v="52521"/>
    <d v="1997-03-15T00:00:00"/>
    <n v="28"/>
    <x v="0"/>
    <x v="1"/>
    <d v="2024-08-19T00:00:00"/>
    <n v="1.3972602739726028"/>
    <x v="114"/>
    <x v="1"/>
    <x v="4"/>
    <x v="1"/>
    <n v="36.200000000000003"/>
    <m/>
    <m/>
    <m/>
    <m/>
    <m/>
    <m/>
    <x v="3"/>
    <n v="0"/>
    <n v="4"/>
    <m/>
    <m/>
    <m/>
    <m/>
    <m/>
    <m/>
    <m/>
    <m/>
    <m/>
    <m/>
    <m/>
    <m/>
    <m/>
    <m/>
  </r>
  <r>
    <n v="2218"/>
    <n v="52522"/>
    <d v="1997-02-12T00:00:00"/>
    <n v="28"/>
    <x v="0"/>
    <x v="1"/>
    <d v="2024-08-08T00:00:00"/>
    <n v="1.3041095890410959"/>
    <x v="130"/>
    <x v="1"/>
    <x v="4"/>
    <x v="1"/>
    <n v="36.200000000000003"/>
    <m/>
    <m/>
    <m/>
    <m/>
    <m/>
    <m/>
    <x v="4"/>
    <n v="0"/>
    <n v="4"/>
    <m/>
    <m/>
    <m/>
    <m/>
    <m/>
    <m/>
    <m/>
    <m/>
    <m/>
    <m/>
    <m/>
    <m/>
    <m/>
    <m/>
  </r>
  <r>
    <n v="2219"/>
    <n v="52523"/>
    <d v="1999-03-09T00:00:00"/>
    <n v="26"/>
    <x v="0"/>
    <x v="0"/>
    <d v="2024-09-11T00:00:00"/>
    <n v="1.1013698630136985"/>
    <x v="71"/>
    <x v="1"/>
    <x v="4"/>
    <x v="1"/>
    <n v="36.200000000000003"/>
    <m/>
    <m/>
    <m/>
    <m/>
    <m/>
    <m/>
    <x v="4"/>
    <n v="0"/>
    <n v="3"/>
    <m/>
    <m/>
    <m/>
    <m/>
    <m/>
    <m/>
    <m/>
    <m/>
    <m/>
    <m/>
    <m/>
    <m/>
    <m/>
    <m/>
  </r>
  <r>
    <n v="2220"/>
    <n v="52524"/>
    <d v="1998-09-21T00:00:00"/>
    <n v="27"/>
    <x v="1"/>
    <x v="1"/>
    <d v="2024-11-24T00:00:00"/>
    <n v="1.1287671232876713"/>
    <x v="129"/>
    <x v="1"/>
    <x v="4"/>
    <x v="1"/>
    <n v="36.200000000000003"/>
    <m/>
    <m/>
    <m/>
    <m/>
    <m/>
    <m/>
    <x v="4"/>
    <n v="0"/>
    <n v="5"/>
    <m/>
    <m/>
    <m/>
    <m/>
    <m/>
    <m/>
    <m/>
    <m/>
    <m/>
    <m/>
    <m/>
    <m/>
    <m/>
    <m/>
  </r>
  <r>
    <n v="2221"/>
    <n v="52525"/>
    <d v="1988-11-20T00:00:00"/>
    <n v="37"/>
    <x v="0"/>
    <x v="1"/>
    <d v="2024-11-14T00:00:00"/>
    <n v="1.0931506849315069"/>
    <x v="112"/>
    <x v="1"/>
    <x v="4"/>
    <x v="1"/>
    <n v="36.200000000000003"/>
    <m/>
    <m/>
    <m/>
    <m/>
    <m/>
    <m/>
    <x v="1"/>
    <n v="0"/>
    <n v="4"/>
    <m/>
    <m/>
    <m/>
    <m/>
    <m/>
    <m/>
    <m/>
    <m/>
    <m/>
    <m/>
    <m/>
    <m/>
    <m/>
    <m/>
  </r>
  <r>
    <n v="2222"/>
    <n v="52526"/>
    <d v="1996-02-05T00:00:00"/>
    <n v="29"/>
    <x v="1"/>
    <x v="1"/>
    <d v="2024-11-27T00:00:00"/>
    <n v="1.5835616438356164"/>
    <x v="87"/>
    <x v="0"/>
    <x v="4"/>
    <x v="1"/>
    <n v="36.200000000000003"/>
    <m/>
    <m/>
    <m/>
    <m/>
    <m/>
    <m/>
    <x v="4"/>
    <n v="0"/>
    <n v="6"/>
    <m/>
    <m/>
    <m/>
    <m/>
    <m/>
    <m/>
    <m/>
    <m/>
    <m/>
    <m/>
    <m/>
    <m/>
    <m/>
    <m/>
  </r>
  <r>
    <n v="2223"/>
    <n v="52527"/>
    <d v="1988-05-19T00:00:00"/>
    <n v="37"/>
    <x v="0"/>
    <x v="1"/>
    <d v="2024-06-01T00:00:00"/>
    <n v="1.0767123287671232"/>
    <x v="37"/>
    <x v="0"/>
    <x v="4"/>
    <x v="1"/>
    <n v="36.200000000000003"/>
    <m/>
    <m/>
    <m/>
    <m/>
    <m/>
    <m/>
    <x v="1"/>
    <n v="0"/>
    <n v="5"/>
    <m/>
    <m/>
    <m/>
    <m/>
    <m/>
    <m/>
    <m/>
    <m/>
    <m/>
    <m/>
    <m/>
    <m/>
    <m/>
    <m/>
  </r>
  <r>
    <n v="2224"/>
    <n v="52528"/>
    <d v="1987-03-29T00:00:00"/>
    <n v="38"/>
    <x v="1"/>
    <x v="0"/>
    <d v="2024-12-03T00:00:00"/>
    <n v="1.2931506849315069"/>
    <x v="37"/>
    <x v="0"/>
    <x v="4"/>
    <x v="1"/>
    <n v="36.200000000000003"/>
    <m/>
    <m/>
    <m/>
    <m/>
    <m/>
    <m/>
    <x v="2"/>
    <n v="0"/>
    <n v="4"/>
    <m/>
    <m/>
    <m/>
    <m/>
    <m/>
    <m/>
    <m/>
    <m/>
    <m/>
    <m/>
    <m/>
    <m/>
    <m/>
    <m/>
  </r>
  <r>
    <n v="2225"/>
    <n v="52529"/>
    <d v="1993-06-08T00:00:00"/>
    <n v="32"/>
    <x v="0"/>
    <x v="0"/>
    <d v="2024-09-15T00:00:00"/>
    <n v="1.7452054794520548"/>
    <x v="58"/>
    <x v="1"/>
    <x v="4"/>
    <x v="1"/>
    <n v="36.200000000000003"/>
    <m/>
    <m/>
    <m/>
    <m/>
    <m/>
    <m/>
    <x v="1"/>
    <n v="0"/>
    <n v="3"/>
    <m/>
    <m/>
    <m/>
    <m/>
    <m/>
    <m/>
    <m/>
    <m/>
    <m/>
    <m/>
    <m/>
    <m/>
    <m/>
    <m/>
  </r>
  <r>
    <n v="2226"/>
    <n v="52530"/>
    <d v="1995-12-15T00:00:00"/>
    <n v="30"/>
    <x v="0"/>
    <x v="1"/>
    <d v="2024-04-03T00:00:00"/>
    <n v="1.5561643835616439"/>
    <x v="107"/>
    <x v="1"/>
    <x v="4"/>
    <x v="1"/>
    <n v="36.200000000000003"/>
    <m/>
    <m/>
    <m/>
    <m/>
    <m/>
    <m/>
    <x v="1"/>
    <n v="0"/>
    <n v="4"/>
    <m/>
    <m/>
    <m/>
    <m/>
    <m/>
    <m/>
    <m/>
    <m/>
    <m/>
    <m/>
    <m/>
    <m/>
    <m/>
    <m/>
  </r>
  <r>
    <n v="2227"/>
    <n v="52532"/>
    <d v="1992-03-05T00:00:00"/>
    <n v="33"/>
    <x v="0"/>
    <x v="1"/>
    <d v="2024-06-11T00:00:00"/>
    <n v="1.0136986301369864"/>
    <x v="109"/>
    <x v="1"/>
    <x v="4"/>
    <x v="1"/>
    <n v="36.200000000000003"/>
    <m/>
    <m/>
    <m/>
    <m/>
    <m/>
    <m/>
    <x v="1"/>
    <n v="0"/>
    <n v="3"/>
    <m/>
    <m/>
    <m/>
    <m/>
    <m/>
    <m/>
    <m/>
    <m/>
    <m/>
    <m/>
    <m/>
    <m/>
    <m/>
    <m/>
  </r>
  <r>
    <n v="2228"/>
    <n v="52534"/>
    <d v="1999-12-21T00:00:00"/>
    <n v="26"/>
    <x v="1"/>
    <x v="1"/>
    <d v="2024-12-26T00:00:00"/>
    <n v="1.7643835616438357"/>
    <x v="126"/>
    <x v="1"/>
    <x v="4"/>
    <x v="1"/>
    <n v="36.200000000000003"/>
    <m/>
    <m/>
    <m/>
    <m/>
    <m/>
    <m/>
    <x v="2"/>
    <n v="0"/>
    <n v="6"/>
    <m/>
    <m/>
    <m/>
    <m/>
    <m/>
    <m/>
    <m/>
    <m/>
    <m/>
    <m/>
    <m/>
    <m/>
    <m/>
    <m/>
  </r>
  <r>
    <n v="2229"/>
    <n v="52535"/>
    <d v="1996-09-18T00:00:00"/>
    <n v="29"/>
    <x v="0"/>
    <x v="1"/>
    <d v="2024-03-27T00:00:00"/>
    <n v="1.3671232876712329"/>
    <x v="20"/>
    <x v="0"/>
    <x v="4"/>
    <x v="1"/>
    <n v="36.200000000000003"/>
    <m/>
    <m/>
    <m/>
    <m/>
    <m/>
    <m/>
    <x v="1"/>
    <n v="0"/>
    <n v="4"/>
    <m/>
    <m/>
    <m/>
    <m/>
    <m/>
    <m/>
    <m/>
    <m/>
    <m/>
    <m/>
    <m/>
    <m/>
    <m/>
    <m/>
  </r>
  <r>
    <n v="2230"/>
    <n v="52536"/>
    <d v="1986-11-10T00:00:00"/>
    <n v="39"/>
    <x v="0"/>
    <x v="1"/>
    <d v="2024-08-19T00:00:00"/>
    <n v="1.5780821917808219"/>
    <x v="11"/>
    <x v="0"/>
    <x v="4"/>
    <x v="1"/>
    <n v="36.200000000000003"/>
    <m/>
    <m/>
    <m/>
    <m/>
    <m/>
    <m/>
    <x v="3"/>
    <n v="0"/>
    <n v="3"/>
    <m/>
    <m/>
    <m/>
    <m/>
    <m/>
    <m/>
    <m/>
    <m/>
    <m/>
    <m/>
    <m/>
    <m/>
    <m/>
    <m/>
  </r>
  <r>
    <n v="2231"/>
    <n v="52537"/>
    <d v="1994-07-12T00:00:00"/>
    <n v="31"/>
    <x v="0"/>
    <x v="1"/>
    <d v="2024-06-03T00:00:00"/>
    <n v="1.0465753424657533"/>
    <x v="21"/>
    <x v="0"/>
    <x v="4"/>
    <x v="1"/>
    <n v="36.200000000000003"/>
    <m/>
    <m/>
    <m/>
    <m/>
    <m/>
    <m/>
    <x v="4"/>
    <n v="0"/>
    <n v="3"/>
    <m/>
    <m/>
    <m/>
    <m/>
    <m/>
    <m/>
    <m/>
    <m/>
    <m/>
    <m/>
    <m/>
    <m/>
    <m/>
    <m/>
  </r>
  <r>
    <n v="2232"/>
    <n v="52538"/>
    <d v="1994-09-17T00:00:00"/>
    <n v="31"/>
    <x v="0"/>
    <x v="1"/>
    <d v="2024-12-14T00:00:00"/>
    <n v="1.1369863013698631"/>
    <x v="100"/>
    <x v="1"/>
    <x v="4"/>
    <x v="1"/>
    <n v="36.200000000000003"/>
    <m/>
    <m/>
    <m/>
    <m/>
    <m/>
    <m/>
    <x v="1"/>
    <n v="0"/>
    <n v="5"/>
    <m/>
    <m/>
    <m/>
    <m/>
    <m/>
    <m/>
    <m/>
    <m/>
    <m/>
    <m/>
    <m/>
    <m/>
    <m/>
    <m/>
  </r>
  <r>
    <n v="2233"/>
    <n v="52540"/>
    <d v="1992-02-17T00:00:00"/>
    <n v="33"/>
    <x v="0"/>
    <x v="0"/>
    <d v="2024-11-11T00:00:00"/>
    <n v="1.1561643835616437"/>
    <x v="130"/>
    <x v="1"/>
    <x v="4"/>
    <x v="1"/>
    <n v="36.200000000000003"/>
    <m/>
    <m/>
    <m/>
    <m/>
    <m/>
    <m/>
    <x v="3"/>
    <n v="0"/>
    <n v="2"/>
    <m/>
    <m/>
    <m/>
    <m/>
    <m/>
    <m/>
    <m/>
    <m/>
    <m/>
    <m/>
    <m/>
    <m/>
    <m/>
    <m/>
  </r>
  <r>
    <n v="2234"/>
    <n v="52541"/>
    <d v="1994-03-13T00:00:00"/>
    <n v="31"/>
    <x v="0"/>
    <x v="1"/>
    <d v="2024-11-04T00:00:00"/>
    <n v="1.441095890410959"/>
    <x v="78"/>
    <x v="0"/>
    <x v="4"/>
    <x v="1"/>
    <n v="36.200000000000003"/>
    <m/>
    <m/>
    <m/>
    <m/>
    <m/>
    <m/>
    <x v="1"/>
    <n v="0"/>
    <n v="4"/>
    <m/>
    <m/>
    <m/>
    <m/>
    <m/>
    <m/>
    <m/>
    <m/>
    <m/>
    <m/>
    <m/>
    <m/>
    <m/>
    <m/>
  </r>
  <r>
    <n v="2235"/>
    <n v="52542"/>
    <d v="1982-05-20T00:00:00"/>
    <n v="43"/>
    <x v="1"/>
    <x v="1"/>
    <d v="2024-07-23T00:00:00"/>
    <n v="1.3780821917808219"/>
    <x v="143"/>
    <x v="0"/>
    <x v="4"/>
    <x v="1"/>
    <n v="36.200000000000003"/>
    <m/>
    <m/>
    <m/>
    <m/>
    <m/>
    <m/>
    <x v="1"/>
    <n v="0"/>
    <n v="6"/>
    <m/>
    <m/>
    <m/>
    <m/>
    <m/>
    <m/>
    <m/>
    <m/>
    <m/>
    <m/>
    <m/>
    <m/>
    <m/>
    <m/>
  </r>
  <r>
    <n v="2236"/>
    <n v="52543"/>
    <d v="1999-12-08T00:00:00"/>
    <n v="26"/>
    <x v="0"/>
    <x v="1"/>
    <d v="2024-08-15T00:00:00"/>
    <n v="1.2438356164383562"/>
    <x v="59"/>
    <x v="0"/>
    <x v="4"/>
    <x v="1"/>
    <n v="36.200000000000003"/>
    <m/>
    <m/>
    <m/>
    <m/>
    <m/>
    <m/>
    <x v="2"/>
    <n v="0"/>
    <n v="3"/>
    <m/>
    <m/>
    <m/>
    <m/>
    <m/>
    <m/>
    <m/>
    <m/>
    <m/>
    <m/>
    <m/>
    <m/>
    <m/>
    <m/>
  </r>
  <r>
    <n v="2237"/>
    <n v="52545"/>
    <d v="1996-06-06T00:00:00"/>
    <n v="29"/>
    <x v="1"/>
    <x v="1"/>
    <d v="2024-10-03T00:00:00"/>
    <n v="1.3095890410958904"/>
    <x v="42"/>
    <x v="0"/>
    <x v="4"/>
    <x v="1"/>
    <n v="36.200000000000003"/>
    <m/>
    <m/>
    <m/>
    <m/>
    <m/>
    <m/>
    <x v="1"/>
    <n v="0"/>
    <n v="6"/>
    <m/>
    <m/>
    <m/>
    <m/>
    <m/>
    <m/>
    <m/>
    <m/>
    <m/>
    <m/>
    <m/>
    <m/>
    <m/>
    <m/>
  </r>
  <r>
    <n v="2238"/>
    <n v="52546"/>
    <d v="1993-07-02T00:00:00"/>
    <n v="32"/>
    <x v="0"/>
    <x v="1"/>
    <d v="2024-09-09T00:00:00"/>
    <n v="1.7205479452054795"/>
    <x v="100"/>
    <x v="1"/>
    <x v="4"/>
    <x v="1"/>
    <n v="36.200000000000003"/>
    <m/>
    <m/>
    <m/>
    <m/>
    <m/>
    <m/>
    <x v="1"/>
    <n v="0"/>
    <n v="5"/>
    <m/>
    <m/>
    <m/>
    <m/>
    <m/>
    <m/>
    <m/>
    <m/>
    <m/>
    <m/>
    <m/>
    <m/>
    <m/>
    <m/>
  </r>
  <r>
    <n v="2239"/>
    <n v="52547"/>
    <d v="1992-12-04T00:00:00"/>
    <n v="33"/>
    <x v="0"/>
    <x v="1"/>
    <d v="2024-04-12T00:00:00"/>
    <n v="1.6739726027397259"/>
    <x v="4"/>
    <x v="0"/>
    <x v="4"/>
    <x v="1"/>
    <n v="36.200000000000003"/>
    <m/>
    <m/>
    <m/>
    <m/>
    <m/>
    <m/>
    <x v="2"/>
    <n v="0"/>
    <n v="4"/>
    <m/>
    <m/>
    <m/>
    <m/>
    <m/>
    <m/>
    <m/>
    <m/>
    <m/>
    <m/>
    <m/>
    <m/>
    <m/>
    <m/>
  </r>
  <r>
    <n v="2240"/>
    <n v="52548"/>
    <d v="1989-09-22T00:00:00"/>
    <n v="36"/>
    <x v="0"/>
    <x v="1"/>
    <d v="2024-04-29T00:00:00"/>
    <n v="1.2082191780821918"/>
    <x v="88"/>
    <x v="0"/>
    <x v="4"/>
    <x v="1"/>
    <n v="36.200000000000003"/>
    <m/>
    <m/>
    <m/>
    <m/>
    <m/>
    <m/>
    <x v="1"/>
    <n v="0"/>
    <n v="4"/>
    <m/>
    <m/>
    <m/>
    <m/>
    <m/>
    <m/>
    <m/>
    <m/>
    <m/>
    <m/>
    <m/>
    <m/>
    <m/>
    <m/>
  </r>
  <r>
    <n v="2241"/>
    <n v="52549"/>
    <d v="1996-11-08T00:00:00"/>
    <n v="29"/>
    <x v="1"/>
    <x v="1"/>
    <d v="2024-10-16T00:00:00"/>
    <n v="1.4356164383561645"/>
    <x v="10"/>
    <x v="0"/>
    <x v="4"/>
    <x v="1"/>
    <n v="36.200000000000003"/>
    <m/>
    <m/>
    <m/>
    <m/>
    <m/>
    <m/>
    <x v="3"/>
    <n v="0"/>
    <n v="6"/>
    <m/>
    <m/>
    <m/>
    <m/>
    <m/>
    <m/>
    <m/>
    <m/>
    <m/>
    <m/>
    <m/>
    <m/>
    <m/>
    <m/>
  </r>
  <r>
    <n v="2242"/>
    <n v="52550"/>
    <d v="1995-08-10T00:00:00"/>
    <n v="30"/>
    <x v="0"/>
    <x v="1"/>
    <d v="2024-07-25T00:00:00"/>
    <n v="1.810958904109589"/>
    <x v="119"/>
    <x v="1"/>
    <x v="4"/>
    <x v="1"/>
    <n v="36.200000000000003"/>
    <m/>
    <m/>
    <m/>
    <m/>
    <m/>
    <m/>
    <x v="3"/>
    <n v="0"/>
    <n v="4"/>
    <m/>
    <m/>
    <m/>
    <m/>
    <m/>
    <m/>
    <m/>
    <m/>
    <m/>
    <m/>
    <m/>
    <m/>
    <m/>
    <m/>
  </r>
  <r>
    <n v="2243"/>
    <n v="52551"/>
    <d v="1995-05-08T00:00:00"/>
    <n v="30"/>
    <x v="0"/>
    <x v="1"/>
    <d v="2024-03-10T00:00:00"/>
    <n v="1.0904109589041096"/>
    <x v="82"/>
    <x v="0"/>
    <x v="4"/>
    <x v="1"/>
    <n v="36.200000000000003"/>
    <m/>
    <m/>
    <m/>
    <m/>
    <m/>
    <m/>
    <x v="1"/>
    <n v="0"/>
    <n v="4"/>
    <m/>
    <m/>
    <m/>
    <m/>
    <m/>
    <m/>
    <m/>
    <m/>
    <m/>
    <m/>
    <m/>
    <m/>
    <m/>
    <m/>
  </r>
  <r>
    <n v="2244"/>
    <n v="52552"/>
    <d v="1997-11-06T00:00:00"/>
    <n v="28"/>
    <x v="0"/>
    <x v="0"/>
    <d v="2024-11-28T00:00:00"/>
    <n v="1.4931506849315068"/>
    <x v="14"/>
    <x v="0"/>
    <x v="4"/>
    <x v="1"/>
    <n v="36.200000000000003"/>
    <m/>
    <m/>
    <m/>
    <m/>
    <m/>
    <m/>
    <x v="2"/>
    <n v="0"/>
    <n v="4"/>
    <m/>
    <m/>
    <m/>
    <m/>
    <m/>
    <m/>
    <m/>
    <m/>
    <m/>
    <m/>
    <m/>
    <m/>
    <m/>
    <m/>
  </r>
  <r>
    <n v="2245"/>
    <n v="52553"/>
    <d v="1995-08-10T00:00:00"/>
    <n v="30"/>
    <x v="0"/>
    <x v="1"/>
    <d v="2024-07-04T00:00:00"/>
    <n v="1.5808219178082192"/>
    <x v="104"/>
    <x v="1"/>
    <x v="4"/>
    <x v="1"/>
    <n v="36.200000000000003"/>
    <m/>
    <m/>
    <m/>
    <m/>
    <m/>
    <m/>
    <x v="3"/>
    <n v="0"/>
    <n v="5"/>
    <m/>
    <m/>
    <m/>
    <m/>
    <m/>
    <m/>
    <m/>
    <m/>
    <m/>
    <m/>
    <m/>
    <m/>
    <m/>
    <m/>
  </r>
  <r>
    <n v="2246"/>
    <n v="52555"/>
    <d v="1998-07-09T00:00:00"/>
    <n v="27"/>
    <x v="0"/>
    <x v="1"/>
    <d v="2024-06-02T00:00:00"/>
    <n v="1.6219178082191781"/>
    <x v="51"/>
    <x v="1"/>
    <x v="4"/>
    <x v="1"/>
    <n v="36.200000000000003"/>
    <m/>
    <m/>
    <m/>
    <m/>
    <m/>
    <m/>
    <x v="1"/>
    <n v="0"/>
    <n v="3"/>
    <m/>
    <m/>
    <m/>
    <m/>
    <m/>
    <m/>
    <m/>
    <m/>
    <m/>
    <m/>
    <m/>
    <m/>
    <m/>
    <m/>
  </r>
  <r>
    <n v="2247"/>
    <n v="52556"/>
    <d v="1993-06-15T00:00:00"/>
    <n v="32"/>
    <x v="1"/>
    <x v="1"/>
    <d v="2024-05-18T00:00:00"/>
    <n v="1.1726027397260275"/>
    <x v="33"/>
    <x v="0"/>
    <x v="4"/>
    <x v="1"/>
    <n v="36.200000000000003"/>
    <m/>
    <m/>
    <m/>
    <m/>
    <m/>
    <m/>
    <x v="4"/>
    <n v="0"/>
    <n v="5"/>
    <m/>
    <m/>
    <m/>
    <m/>
    <m/>
    <m/>
    <m/>
    <m/>
    <m/>
    <m/>
    <m/>
    <m/>
    <m/>
    <m/>
  </r>
  <r>
    <n v="2248"/>
    <n v="52557"/>
    <d v="1994-02-15T00:00:00"/>
    <n v="31"/>
    <x v="0"/>
    <x v="0"/>
    <d v="2024-10-29T00:00:00"/>
    <n v="1.5397260273972602"/>
    <x v="140"/>
    <x v="0"/>
    <x v="4"/>
    <x v="1"/>
    <n v="36.200000000000003"/>
    <m/>
    <m/>
    <m/>
    <m/>
    <m/>
    <m/>
    <x v="1"/>
    <n v="0"/>
    <n v="3"/>
    <m/>
    <m/>
    <m/>
    <m/>
    <m/>
    <m/>
    <m/>
    <m/>
    <m/>
    <m/>
    <m/>
    <m/>
    <m/>
    <m/>
  </r>
  <r>
    <n v="2249"/>
    <n v="52558"/>
    <d v="1995-04-02T00:00:00"/>
    <n v="30"/>
    <x v="0"/>
    <x v="0"/>
    <d v="2024-06-17T00:00:00"/>
    <n v="1.4712328767123288"/>
    <x v="7"/>
    <x v="0"/>
    <x v="4"/>
    <x v="1"/>
    <n v="36.200000000000003"/>
    <m/>
    <m/>
    <m/>
    <m/>
    <m/>
    <m/>
    <x v="4"/>
    <n v="0"/>
    <n v="3"/>
    <m/>
    <m/>
    <m/>
    <m/>
    <m/>
    <m/>
    <m/>
    <m/>
    <m/>
    <m/>
    <m/>
    <m/>
    <m/>
    <m/>
  </r>
  <r>
    <n v="2250"/>
    <n v="52559"/>
    <d v="1989-08-25T00:00:00"/>
    <n v="36"/>
    <x v="1"/>
    <x v="1"/>
    <d v="2024-07-12T00:00:00"/>
    <n v="1.2493150684931507"/>
    <x v="10"/>
    <x v="0"/>
    <x v="4"/>
    <x v="1"/>
    <n v="36.200000000000003"/>
    <m/>
    <m/>
    <m/>
    <m/>
    <m/>
    <m/>
    <x v="4"/>
    <n v="0"/>
    <n v="5"/>
    <m/>
    <m/>
    <m/>
    <m/>
    <m/>
    <m/>
    <m/>
    <m/>
    <m/>
    <m/>
    <m/>
    <m/>
    <m/>
    <m/>
  </r>
  <r>
    <n v="2251"/>
    <n v="52560"/>
    <d v="1996-12-14T00:00:00"/>
    <n v="29"/>
    <x v="1"/>
    <x v="1"/>
    <d v="2024-10-01T00:00:00"/>
    <n v="1.0301369863013699"/>
    <x v="70"/>
    <x v="1"/>
    <x v="4"/>
    <x v="1"/>
    <n v="36.200000000000003"/>
    <m/>
    <m/>
    <m/>
    <m/>
    <m/>
    <m/>
    <x v="4"/>
    <n v="0"/>
    <n v="6"/>
    <m/>
    <m/>
    <m/>
    <m/>
    <m/>
    <m/>
    <m/>
    <m/>
    <m/>
    <m/>
    <m/>
    <m/>
    <m/>
    <m/>
  </r>
  <r>
    <n v="2252"/>
    <n v="52561"/>
    <d v="1982-02-02T00:00:00"/>
    <n v="43"/>
    <x v="1"/>
    <x v="1"/>
    <d v="2024-12-20T00:00:00"/>
    <n v="1.095890410958904"/>
    <x v="128"/>
    <x v="1"/>
    <x v="4"/>
    <x v="1"/>
    <n v="36.200000000000003"/>
    <m/>
    <m/>
    <m/>
    <m/>
    <m/>
    <m/>
    <x v="1"/>
    <n v="0"/>
    <n v="4"/>
    <m/>
    <m/>
    <m/>
    <m/>
    <m/>
    <m/>
    <m/>
    <m/>
    <m/>
    <m/>
    <m/>
    <m/>
    <m/>
    <m/>
  </r>
  <r>
    <n v="2253"/>
    <n v="52562"/>
    <d v="1993-08-01T00:00:00"/>
    <n v="33"/>
    <x v="0"/>
    <x v="1"/>
    <d v="2024-11-26T00:00:00"/>
    <n v="1.6136986301369862"/>
    <x v="24"/>
    <x v="0"/>
    <x v="4"/>
    <x v="1"/>
    <n v="36.200000000000003"/>
    <m/>
    <m/>
    <m/>
    <m/>
    <m/>
    <m/>
    <x v="4"/>
    <n v="0"/>
    <n v="4"/>
    <m/>
    <m/>
    <m/>
    <m/>
    <m/>
    <m/>
    <m/>
    <m/>
    <m/>
    <m/>
    <m/>
    <m/>
    <m/>
    <m/>
  </r>
  <r>
    <n v="2254"/>
    <n v="52563"/>
    <d v="1990-12-22T00:00:00"/>
    <n v="35"/>
    <x v="1"/>
    <x v="1"/>
    <d v="2024-05-21T00:00:00"/>
    <n v="1.5315068493150685"/>
    <x v="139"/>
    <x v="0"/>
    <x v="4"/>
    <x v="1"/>
    <n v="36.200000000000003"/>
    <m/>
    <m/>
    <m/>
    <m/>
    <m/>
    <m/>
    <x v="1"/>
    <n v="0"/>
    <n v="4"/>
    <m/>
    <m/>
    <m/>
    <m/>
    <m/>
    <m/>
    <m/>
    <m/>
    <m/>
    <m/>
    <m/>
    <m/>
    <m/>
    <m/>
  </r>
  <r>
    <n v="2255"/>
    <n v="52564"/>
    <d v="1992-05-15T00:00:00"/>
    <n v="33"/>
    <x v="0"/>
    <x v="1"/>
    <d v="2024-06-20T00:00:00"/>
    <n v="1.9013698630136986"/>
    <x v="25"/>
    <x v="0"/>
    <x v="4"/>
    <x v="1"/>
    <n v="36.200000000000003"/>
    <m/>
    <m/>
    <m/>
    <m/>
    <m/>
    <m/>
    <x v="4"/>
    <n v="0"/>
    <n v="3"/>
    <m/>
    <m/>
    <m/>
    <m/>
    <m/>
    <m/>
    <m/>
    <m/>
    <m/>
    <m/>
    <m/>
    <m/>
    <m/>
    <m/>
  </r>
  <r>
    <n v="2256"/>
    <n v="52565"/>
    <d v="1981-12-14T00:00:00"/>
    <n v="44"/>
    <x v="0"/>
    <x v="1"/>
    <d v="2024-02-06T00:00:00"/>
    <n v="1.8958904109589041"/>
    <x v="73"/>
    <x v="0"/>
    <x v="4"/>
    <x v="1"/>
    <n v="36.200000000000003"/>
    <m/>
    <m/>
    <m/>
    <m/>
    <m/>
    <m/>
    <x v="2"/>
    <n v="0"/>
    <n v="3"/>
    <m/>
    <m/>
    <m/>
    <m/>
    <m/>
    <m/>
    <m/>
    <m/>
    <m/>
    <m/>
    <m/>
    <m/>
    <m/>
    <m/>
  </r>
  <r>
    <n v="2257"/>
    <n v="52567"/>
    <d v="1996-07-15T00:00:00"/>
    <n v="29"/>
    <x v="0"/>
    <x v="1"/>
    <d v="2024-02-08T00:00:00"/>
    <n v="1.0301369863013699"/>
    <x v="30"/>
    <x v="1"/>
    <x v="4"/>
    <x v="1"/>
    <n v="36.200000000000003"/>
    <m/>
    <m/>
    <m/>
    <m/>
    <m/>
    <m/>
    <x v="4"/>
    <n v="0"/>
    <n v="4"/>
    <m/>
    <m/>
    <m/>
    <m/>
    <m/>
    <m/>
    <m/>
    <m/>
    <m/>
    <m/>
    <m/>
    <m/>
    <m/>
    <m/>
  </r>
  <r>
    <n v="2258"/>
    <n v="52568"/>
    <d v="1987-10-17T00:00:00"/>
    <n v="38"/>
    <x v="0"/>
    <x v="1"/>
    <d v="2024-12-20T00:00:00"/>
    <n v="1.8164383561643835"/>
    <x v="123"/>
    <x v="1"/>
    <x v="4"/>
    <x v="1"/>
    <n v="36.200000000000003"/>
    <m/>
    <m/>
    <m/>
    <m/>
    <m/>
    <m/>
    <x v="1"/>
    <n v="0"/>
    <n v="4"/>
    <m/>
    <m/>
    <m/>
    <m/>
    <m/>
    <m/>
    <m/>
    <m/>
    <m/>
    <m/>
    <m/>
    <m/>
    <m/>
    <m/>
  </r>
  <r>
    <n v="2259"/>
    <n v="52569"/>
    <d v="1998-02-28T00:00:00"/>
    <n v="27"/>
    <x v="0"/>
    <x v="1"/>
    <d v="2024-03-08T00:00:00"/>
    <n v="1.2712328767123289"/>
    <x v="103"/>
    <x v="1"/>
    <x v="4"/>
    <x v="1"/>
    <n v="36.200000000000003"/>
    <m/>
    <m/>
    <m/>
    <m/>
    <m/>
    <m/>
    <x v="3"/>
    <n v="0"/>
    <n v="4"/>
    <m/>
    <m/>
    <m/>
    <m/>
    <m/>
    <m/>
    <m/>
    <m/>
    <m/>
    <m/>
    <m/>
    <m/>
    <m/>
    <m/>
  </r>
  <r>
    <n v="2260"/>
    <n v="52570"/>
    <d v="1998-01-25T00:00:00"/>
    <n v="27"/>
    <x v="0"/>
    <x v="0"/>
    <d v="2024-09-23T00:00:00"/>
    <n v="1.7205479452054795"/>
    <x v="144"/>
    <x v="0"/>
    <x v="4"/>
    <x v="1"/>
    <n v="36.200000000000003"/>
    <m/>
    <m/>
    <m/>
    <m/>
    <m/>
    <m/>
    <x v="3"/>
    <n v="0"/>
    <n v="4"/>
    <m/>
    <m/>
    <m/>
    <m/>
    <m/>
    <m/>
    <m/>
    <m/>
    <m/>
    <m/>
    <m/>
    <m/>
    <m/>
    <m/>
  </r>
  <r>
    <n v="2261"/>
    <n v="52571"/>
    <d v="1998-03-29T00:00:00"/>
    <n v="27"/>
    <x v="0"/>
    <x v="1"/>
    <d v="2024-04-12T00:00:00"/>
    <n v="1.8465753424657534"/>
    <x v="39"/>
    <x v="1"/>
    <x v="4"/>
    <x v="1"/>
    <n v="36.200000000000003"/>
    <m/>
    <m/>
    <m/>
    <m/>
    <m/>
    <m/>
    <x v="1"/>
    <n v="0"/>
    <n v="4"/>
    <m/>
    <m/>
    <m/>
    <m/>
    <m/>
    <m/>
    <m/>
    <m/>
    <m/>
    <m/>
    <m/>
    <m/>
    <m/>
    <m/>
  </r>
  <r>
    <n v="2262"/>
    <n v="52572"/>
    <d v="1995-07-19T00:00:00"/>
    <n v="30"/>
    <x v="0"/>
    <x v="1"/>
    <d v="2024-02-26T00:00:00"/>
    <n v="1.5972602739726027"/>
    <x v="16"/>
    <x v="0"/>
    <x v="4"/>
    <x v="1"/>
    <n v="36.200000000000003"/>
    <m/>
    <m/>
    <m/>
    <m/>
    <m/>
    <m/>
    <x v="1"/>
    <n v="0"/>
    <n v="4"/>
    <m/>
    <m/>
    <m/>
    <m/>
    <m/>
    <m/>
    <m/>
    <m/>
    <m/>
    <m/>
    <m/>
    <m/>
    <m/>
    <m/>
  </r>
  <r>
    <n v="2263"/>
    <n v="52573"/>
    <d v="1997-06-05T00:00:00"/>
    <n v="28"/>
    <x v="0"/>
    <x v="0"/>
    <d v="2024-05-27T00:00:00"/>
    <n v="1.5315068493150685"/>
    <x v="136"/>
    <x v="0"/>
    <x v="4"/>
    <x v="1"/>
    <n v="36.200000000000003"/>
    <m/>
    <m/>
    <m/>
    <m/>
    <m/>
    <m/>
    <x v="4"/>
    <n v="0"/>
    <n v="3"/>
    <m/>
    <m/>
    <m/>
    <m/>
    <m/>
    <m/>
    <m/>
    <m/>
    <m/>
    <m/>
    <m/>
    <m/>
    <m/>
    <m/>
  </r>
  <r>
    <n v="2264"/>
    <n v="52574"/>
    <d v="1994-09-02T00:00:00"/>
    <n v="31"/>
    <x v="0"/>
    <x v="1"/>
    <d v="2024-06-20T00:00:00"/>
    <n v="1.5534246575342465"/>
    <x v="125"/>
    <x v="1"/>
    <x v="4"/>
    <x v="1"/>
    <n v="36.200000000000003"/>
    <m/>
    <m/>
    <m/>
    <m/>
    <m/>
    <m/>
    <x v="4"/>
    <n v="0"/>
    <n v="4"/>
    <m/>
    <m/>
    <m/>
    <m/>
    <m/>
    <m/>
    <m/>
    <m/>
    <m/>
    <m/>
    <m/>
    <m/>
    <m/>
    <m/>
  </r>
  <r>
    <n v="2265"/>
    <n v="52576"/>
    <d v="1994-05-30T00:00:00"/>
    <n v="31"/>
    <x v="0"/>
    <x v="1"/>
    <d v="2024-06-12T00:00:00"/>
    <n v="1.4602739726027398"/>
    <x v="140"/>
    <x v="0"/>
    <x v="4"/>
    <x v="1"/>
    <n v="36.200000000000003"/>
    <m/>
    <m/>
    <m/>
    <m/>
    <m/>
    <m/>
    <x v="3"/>
    <n v="0"/>
    <n v="4"/>
    <m/>
    <m/>
    <m/>
    <m/>
    <m/>
    <m/>
    <m/>
    <m/>
    <m/>
    <m/>
    <m/>
    <m/>
    <m/>
    <m/>
  </r>
  <r>
    <n v="2266"/>
    <n v="52577"/>
    <d v="1994-02-16T00:00:00"/>
    <n v="31"/>
    <x v="1"/>
    <x v="0"/>
    <d v="2024-07-16T00:00:00"/>
    <n v="1.4356164383561645"/>
    <x v="8"/>
    <x v="1"/>
    <x v="4"/>
    <x v="1"/>
    <n v="36.200000000000003"/>
    <m/>
    <m/>
    <m/>
    <m/>
    <m/>
    <m/>
    <x v="4"/>
    <n v="0"/>
    <n v="5"/>
    <m/>
    <m/>
    <m/>
    <m/>
    <m/>
    <m/>
    <m/>
    <m/>
    <m/>
    <m/>
    <m/>
    <m/>
    <m/>
    <m/>
  </r>
  <r>
    <n v="2267"/>
    <n v="52578"/>
    <d v="1993-10-15T00:00:00"/>
    <n v="32"/>
    <x v="1"/>
    <x v="1"/>
    <d v="2024-07-25T00:00:00"/>
    <n v="1.3808219178082193"/>
    <x v="9"/>
    <x v="1"/>
    <x v="4"/>
    <x v="1"/>
    <n v="36.200000000000003"/>
    <m/>
    <m/>
    <m/>
    <m/>
    <m/>
    <m/>
    <x v="2"/>
    <n v="0"/>
    <n v="6"/>
    <m/>
    <m/>
    <m/>
    <m/>
    <m/>
    <m/>
    <m/>
    <m/>
    <m/>
    <m/>
    <m/>
    <m/>
    <m/>
    <m/>
  </r>
  <r>
    <n v="2268"/>
    <n v="52579"/>
    <d v="1985-12-19T00:00:00"/>
    <n v="40"/>
    <x v="0"/>
    <x v="0"/>
    <d v="2024-08-14T00:00:00"/>
    <n v="1.5013698630136987"/>
    <x v="133"/>
    <x v="1"/>
    <x v="4"/>
    <x v="1"/>
    <n v="36.200000000000003"/>
    <m/>
    <m/>
    <m/>
    <m/>
    <m/>
    <m/>
    <x v="1"/>
    <n v="0"/>
    <n v="4"/>
    <m/>
    <m/>
    <m/>
    <m/>
    <m/>
    <m/>
    <m/>
    <m/>
    <m/>
    <m/>
    <m/>
    <m/>
    <m/>
    <m/>
  </r>
  <r>
    <n v="2269"/>
    <n v="52580"/>
    <d v="1997-04-01T00:00:00"/>
    <n v="29"/>
    <x v="1"/>
    <x v="0"/>
    <d v="2024-07-01T00:00:00"/>
    <n v="1.1123287671232878"/>
    <x v="68"/>
    <x v="1"/>
    <x v="4"/>
    <x v="1"/>
    <n v="36.200000000000003"/>
    <m/>
    <m/>
    <m/>
    <m/>
    <m/>
    <m/>
    <x v="1"/>
    <n v="0"/>
    <n v="5"/>
    <m/>
    <m/>
    <m/>
    <m/>
    <m/>
    <m/>
    <m/>
    <m/>
    <m/>
    <m/>
    <m/>
    <m/>
    <m/>
    <m/>
  </r>
  <r>
    <n v="2270"/>
    <n v="52581"/>
    <d v="1985-03-24T00:00:00"/>
    <n v="40"/>
    <x v="0"/>
    <x v="1"/>
    <d v="2024-11-20T00:00:00"/>
    <n v="1.3671232876712329"/>
    <x v="125"/>
    <x v="1"/>
    <x v="4"/>
    <x v="1"/>
    <n v="36.200000000000003"/>
    <m/>
    <m/>
    <m/>
    <m/>
    <m/>
    <m/>
    <x v="2"/>
    <n v="0"/>
    <n v="4"/>
    <m/>
    <m/>
    <m/>
    <m/>
    <m/>
    <m/>
    <m/>
    <m/>
    <m/>
    <m/>
    <m/>
    <m/>
    <m/>
    <m/>
  </r>
  <r>
    <n v="2271"/>
    <n v="52582"/>
    <d v="1994-05-05T00:00:00"/>
    <n v="31"/>
    <x v="0"/>
    <x v="1"/>
    <d v="2024-08-19T00:00:00"/>
    <n v="1.3095890410958904"/>
    <x v="80"/>
    <x v="1"/>
    <x v="4"/>
    <x v="1"/>
    <n v="36.200000000000003"/>
    <m/>
    <m/>
    <m/>
    <m/>
    <m/>
    <m/>
    <x v="1"/>
    <n v="0"/>
    <n v="2"/>
    <m/>
    <m/>
    <m/>
    <m/>
    <m/>
    <m/>
    <m/>
    <m/>
    <m/>
    <m/>
    <m/>
    <m/>
    <m/>
    <m/>
  </r>
  <r>
    <n v="2272"/>
    <n v="52583"/>
    <d v="1997-04-02T00:00:00"/>
    <n v="28"/>
    <x v="1"/>
    <x v="1"/>
    <d v="2024-09-09T00:00:00"/>
    <n v="1.1315068493150684"/>
    <x v="81"/>
    <x v="1"/>
    <x v="4"/>
    <x v="1"/>
    <n v="36.200000000000003"/>
    <m/>
    <m/>
    <m/>
    <m/>
    <m/>
    <m/>
    <x v="3"/>
    <n v="0"/>
    <n v="6"/>
    <m/>
    <m/>
    <m/>
    <m/>
    <m/>
    <m/>
    <m/>
    <m/>
    <m/>
    <m/>
    <m/>
    <m/>
    <m/>
    <m/>
  </r>
  <r>
    <n v="2273"/>
    <n v="52584"/>
    <d v="1994-10-06T00:00:00"/>
    <n v="31"/>
    <x v="1"/>
    <x v="1"/>
    <d v="2024-11-13T00:00:00"/>
    <n v="1.1945205479452055"/>
    <x v="141"/>
    <x v="0"/>
    <x v="4"/>
    <x v="1"/>
    <n v="36.200000000000003"/>
    <m/>
    <m/>
    <m/>
    <m/>
    <m/>
    <m/>
    <x v="1"/>
    <n v="0"/>
    <n v="5"/>
    <m/>
    <m/>
    <m/>
    <m/>
    <m/>
    <m/>
    <m/>
    <m/>
    <m/>
    <m/>
    <m/>
    <m/>
    <m/>
    <m/>
  </r>
  <r>
    <n v="2274"/>
    <n v="52585"/>
    <d v="1997-09-26T00:00:00"/>
    <n v="28"/>
    <x v="0"/>
    <x v="1"/>
    <d v="2024-10-21T00:00:00"/>
    <n v="1.6849315068493151"/>
    <x v="2"/>
    <x v="0"/>
    <x v="4"/>
    <x v="1"/>
    <n v="36.200000000000003"/>
    <m/>
    <m/>
    <m/>
    <m/>
    <m/>
    <m/>
    <x v="3"/>
    <n v="0"/>
    <n v="5"/>
    <m/>
    <m/>
    <m/>
    <m/>
    <m/>
    <m/>
    <m/>
    <m/>
    <m/>
    <m/>
    <m/>
    <m/>
    <m/>
    <m/>
  </r>
  <r>
    <n v="2275"/>
    <n v="52586"/>
    <d v="1987-02-01T00:00:00"/>
    <n v="39"/>
    <x v="0"/>
    <x v="1"/>
    <d v="2024-04-25T00:00:00"/>
    <n v="1"/>
    <x v="47"/>
    <x v="0"/>
    <x v="4"/>
    <x v="1"/>
    <n v="36.200000000000003"/>
    <m/>
    <m/>
    <m/>
    <m/>
    <m/>
    <m/>
    <x v="4"/>
    <n v="0"/>
    <n v="4"/>
    <m/>
    <m/>
    <m/>
    <m/>
    <m/>
    <m/>
    <m/>
    <m/>
    <m/>
    <m/>
    <m/>
    <m/>
    <m/>
    <m/>
  </r>
  <r>
    <n v="2276"/>
    <n v="52587"/>
    <d v="1993-05-05T00:00:00"/>
    <n v="32"/>
    <x v="0"/>
    <x v="1"/>
    <d v="2024-12-31T00:00:00"/>
    <n v="1.1506849315068493"/>
    <x v="95"/>
    <x v="1"/>
    <x v="4"/>
    <x v="1"/>
    <n v="36.200000000000003"/>
    <m/>
    <m/>
    <m/>
    <m/>
    <m/>
    <m/>
    <x v="4"/>
    <n v="0"/>
    <n v="4"/>
    <m/>
    <m/>
    <m/>
    <m/>
    <m/>
    <m/>
    <m/>
    <m/>
    <m/>
    <m/>
    <m/>
    <m/>
    <m/>
    <m/>
  </r>
  <r>
    <n v="2277"/>
    <n v="52588"/>
    <d v="1981-02-19T00:00:00"/>
    <n v="44"/>
    <x v="0"/>
    <x v="1"/>
    <d v="2024-11-06T00:00:00"/>
    <n v="1.0328767123287672"/>
    <x v="121"/>
    <x v="1"/>
    <x v="4"/>
    <x v="1"/>
    <n v="36.200000000000003"/>
    <m/>
    <m/>
    <m/>
    <m/>
    <m/>
    <m/>
    <x v="1"/>
    <n v="0"/>
    <n v="5"/>
    <m/>
    <m/>
    <m/>
    <m/>
    <m/>
    <m/>
    <m/>
    <m/>
    <m/>
    <m/>
    <m/>
    <m/>
    <m/>
    <m/>
  </r>
  <r>
    <n v="2278"/>
    <n v="52589"/>
    <d v="1990-09-04T00:00:00"/>
    <n v="35"/>
    <x v="0"/>
    <x v="1"/>
    <d v="2024-12-19T00:00:00"/>
    <n v="1.2547945205479452"/>
    <x v="74"/>
    <x v="1"/>
    <x v="4"/>
    <x v="1"/>
    <n v="36.200000000000003"/>
    <m/>
    <m/>
    <m/>
    <m/>
    <m/>
    <m/>
    <x v="4"/>
    <n v="0"/>
    <n v="4"/>
    <m/>
    <m/>
    <m/>
    <m/>
    <m/>
    <m/>
    <m/>
    <m/>
    <m/>
    <m/>
    <m/>
    <m/>
    <m/>
    <m/>
  </r>
  <r>
    <n v="2279"/>
    <n v="52590"/>
    <d v="1998-12-03T00:00:00"/>
    <n v="27"/>
    <x v="0"/>
    <x v="1"/>
    <d v="2024-09-29T00:00:00"/>
    <n v="1.0465753424657533"/>
    <x v="103"/>
    <x v="1"/>
    <x v="4"/>
    <x v="1"/>
    <n v="36.200000000000003"/>
    <m/>
    <m/>
    <m/>
    <m/>
    <m/>
    <m/>
    <x v="1"/>
    <n v="0"/>
    <n v="4"/>
    <m/>
    <m/>
    <m/>
    <m/>
    <m/>
    <m/>
    <m/>
    <m/>
    <m/>
    <m/>
    <m/>
    <m/>
    <m/>
    <m/>
  </r>
  <r>
    <n v="2280"/>
    <n v="52591"/>
    <d v="1998-12-31T00:00:00"/>
    <n v="27"/>
    <x v="0"/>
    <x v="0"/>
    <d v="2024-12-14T00:00:00"/>
    <n v="1.5041095890410958"/>
    <x v="72"/>
    <x v="1"/>
    <x v="4"/>
    <x v="1"/>
    <n v="36.200000000000003"/>
    <m/>
    <m/>
    <m/>
    <m/>
    <m/>
    <m/>
    <x v="1"/>
    <n v="0"/>
    <n v="3"/>
    <m/>
    <m/>
    <m/>
    <m/>
    <m/>
    <m/>
    <m/>
    <m/>
    <m/>
    <m/>
    <m/>
    <m/>
    <m/>
    <m/>
  </r>
  <r>
    <n v="2281"/>
    <n v="52592"/>
    <d v="1997-02-03T00:00:00"/>
    <n v="28"/>
    <x v="0"/>
    <x v="1"/>
    <d v="2024-06-30T00:00:00"/>
    <n v="1.4383561643835616"/>
    <x v="15"/>
    <x v="0"/>
    <x v="4"/>
    <x v="1"/>
    <n v="36.200000000000003"/>
    <m/>
    <m/>
    <m/>
    <m/>
    <m/>
    <m/>
    <x v="4"/>
    <n v="0"/>
    <n v="4"/>
    <m/>
    <m/>
    <m/>
    <m/>
    <m/>
    <m/>
    <m/>
    <m/>
    <m/>
    <m/>
    <m/>
    <m/>
    <m/>
    <m/>
  </r>
  <r>
    <n v="2282"/>
    <n v="52593"/>
    <d v="1993-08-23T00:00:00"/>
    <n v="32"/>
    <x v="1"/>
    <x v="1"/>
    <d v="2024-07-24T00:00:00"/>
    <n v="1.7698630136986302"/>
    <x v="17"/>
    <x v="0"/>
    <x v="4"/>
    <x v="1"/>
    <n v="36.200000000000003"/>
    <m/>
    <m/>
    <m/>
    <m/>
    <m/>
    <m/>
    <x v="2"/>
    <n v="0"/>
    <n v="6"/>
    <m/>
    <m/>
    <m/>
    <m/>
    <m/>
    <m/>
    <m/>
    <m/>
    <m/>
    <m/>
    <m/>
    <m/>
    <m/>
    <m/>
  </r>
  <r>
    <n v="2283"/>
    <n v="52594"/>
    <d v="1993-06-27T00:00:00"/>
    <n v="32"/>
    <x v="0"/>
    <x v="1"/>
    <d v="2024-03-25T00:00:00"/>
    <n v="1.1698630136986301"/>
    <x v="137"/>
    <x v="0"/>
    <x v="4"/>
    <x v="1"/>
    <n v="36.200000000000003"/>
    <m/>
    <m/>
    <m/>
    <m/>
    <m/>
    <m/>
    <x v="1"/>
    <n v="0"/>
    <n v="5"/>
    <m/>
    <m/>
    <m/>
    <m/>
    <m/>
    <m/>
    <m/>
    <m/>
    <m/>
    <m/>
    <m/>
    <m/>
    <m/>
    <m/>
  </r>
  <r>
    <n v="2284"/>
    <n v="52595"/>
    <d v="1999-04-05T00:00:00"/>
    <n v="26"/>
    <x v="0"/>
    <x v="1"/>
    <d v="2024-10-30T00:00:00"/>
    <n v="1.0493150684931507"/>
    <x v="117"/>
    <x v="1"/>
    <x v="4"/>
    <x v="1"/>
    <n v="36.200000000000003"/>
    <m/>
    <m/>
    <m/>
    <m/>
    <m/>
    <m/>
    <x v="4"/>
    <n v="0"/>
    <n v="5"/>
    <m/>
    <m/>
    <m/>
    <m/>
    <m/>
    <m/>
    <m/>
    <m/>
    <m/>
    <m/>
    <m/>
    <m/>
    <m/>
    <m/>
  </r>
  <r>
    <n v="2285"/>
    <n v="52596"/>
    <d v="1983-10-11T00:00:00"/>
    <n v="42"/>
    <x v="0"/>
    <x v="1"/>
    <d v="2024-12-13T00:00:00"/>
    <n v="1.3863013698630138"/>
    <x v="80"/>
    <x v="1"/>
    <x v="4"/>
    <x v="1"/>
    <n v="36.200000000000003"/>
    <m/>
    <m/>
    <m/>
    <m/>
    <m/>
    <m/>
    <x v="1"/>
    <n v="0"/>
    <n v="4"/>
    <m/>
    <m/>
    <m/>
    <m/>
    <m/>
    <m/>
    <m/>
    <m/>
    <m/>
    <m/>
    <m/>
    <m/>
    <m/>
    <m/>
  </r>
  <r>
    <n v="2286"/>
    <n v="52597"/>
    <d v="1983-12-29T00:00:00"/>
    <n v="42"/>
    <x v="1"/>
    <x v="1"/>
    <d v="2024-08-12T00:00:00"/>
    <n v="1.5643835616438355"/>
    <x v="138"/>
    <x v="0"/>
    <x v="4"/>
    <x v="1"/>
    <n v="36.200000000000003"/>
    <m/>
    <m/>
    <m/>
    <m/>
    <m/>
    <m/>
    <x v="4"/>
    <n v="0"/>
    <n v="4"/>
    <m/>
    <m/>
    <m/>
    <m/>
    <m/>
    <m/>
    <m/>
    <m/>
    <m/>
    <m/>
    <m/>
    <m/>
    <m/>
    <m/>
  </r>
  <r>
    <n v="2287"/>
    <n v="52598"/>
    <d v="1988-07-22T00:00:00"/>
    <n v="37"/>
    <x v="0"/>
    <x v="1"/>
    <d v="2024-06-08T00:00:00"/>
    <n v="1.4712328767123288"/>
    <x v="45"/>
    <x v="0"/>
    <x v="4"/>
    <x v="1"/>
    <n v="36.200000000000003"/>
    <m/>
    <m/>
    <m/>
    <m/>
    <m/>
    <m/>
    <x v="1"/>
    <n v="0"/>
    <n v="5"/>
    <m/>
    <m/>
    <m/>
    <m/>
    <m/>
    <m/>
    <m/>
    <m/>
    <m/>
    <m/>
    <m/>
    <m/>
    <m/>
    <m/>
  </r>
  <r>
    <n v="2288"/>
    <n v="52599"/>
    <d v="1990-08-02T00:00:00"/>
    <n v="35"/>
    <x v="1"/>
    <x v="0"/>
    <d v="2024-07-12T00:00:00"/>
    <n v="1.7287671232876711"/>
    <x v="12"/>
    <x v="0"/>
    <x v="4"/>
    <x v="1"/>
    <n v="36.200000000000003"/>
    <m/>
    <m/>
    <m/>
    <m/>
    <m/>
    <m/>
    <x v="3"/>
    <n v="0"/>
    <n v="6"/>
    <m/>
    <m/>
    <m/>
    <m/>
    <m/>
    <m/>
    <m/>
    <m/>
    <m/>
    <m/>
    <m/>
    <m/>
    <m/>
    <m/>
  </r>
  <r>
    <n v="2289"/>
    <n v="52600"/>
    <d v="1995-11-20T00:00:00"/>
    <n v="30"/>
    <x v="1"/>
    <x v="1"/>
    <d v="2024-04-09T00:00:00"/>
    <n v="1.2246575342465753"/>
    <x v="52"/>
    <x v="0"/>
    <x v="4"/>
    <x v="1"/>
    <n v="36.200000000000003"/>
    <m/>
    <m/>
    <m/>
    <m/>
    <m/>
    <m/>
    <x v="3"/>
    <n v="0"/>
    <n v="5"/>
    <m/>
    <m/>
    <m/>
    <m/>
    <m/>
    <m/>
    <m/>
    <m/>
    <m/>
    <m/>
    <m/>
    <m/>
    <m/>
    <m/>
  </r>
  <r>
    <n v="2290"/>
    <n v="52602"/>
    <d v="1995-03-30T00:00:00"/>
    <n v="30"/>
    <x v="0"/>
    <x v="1"/>
    <d v="2024-10-10T00:00:00"/>
    <n v="1.1479452054794521"/>
    <x v="49"/>
    <x v="0"/>
    <x v="4"/>
    <x v="1"/>
    <n v="36.200000000000003"/>
    <m/>
    <m/>
    <m/>
    <m/>
    <m/>
    <m/>
    <x v="1"/>
    <n v="0"/>
    <n v="4"/>
    <m/>
    <m/>
    <m/>
    <m/>
    <m/>
    <m/>
    <m/>
    <m/>
    <m/>
    <m/>
    <m/>
    <m/>
    <m/>
    <m/>
  </r>
  <r>
    <n v="2291"/>
    <n v="52603"/>
    <d v="1994-05-17T00:00:00"/>
    <n v="31"/>
    <x v="1"/>
    <x v="1"/>
    <d v="2024-11-07T00:00:00"/>
    <n v="1.6767123287671233"/>
    <x v="34"/>
    <x v="0"/>
    <x v="4"/>
    <x v="1"/>
    <n v="36.200000000000003"/>
    <m/>
    <m/>
    <m/>
    <m/>
    <m/>
    <m/>
    <x v="4"/>
    <n v="0"/>
    <n v="6"/>
    <m/>
    <m/>
    <m/>
    <m/>
    <m/>
    <m/>
    <m/>
    <m/>
    <m/>
    <m/>
    <m/>
    <m/>
    <m/>
    <m/>
  </r>
  <r>
    <n v="2292"/>
    <n v="52604"/>
    <d v="1997-02-04T00:00:00"/>
    <n v="28"/>
    <x v="0"/>
    <x v="1"/>
    <d v="2024-04-28T00:00:00"/>
    <n v="1.1342465753424658"/>
    <x v="143"/>
    <x v="0"/>
    <x v="4"/>
    <x v="1"/>
    <n v="36.200000000000003"/>
    <m/>
    <m/>
    <m/>
    <m/>
    <m/>
    <m/>
    <x v="3"/>
    <n v="0"/>
    <n v="4"/>
    <m/>
    <m/>
    <m/>
    <m/>
    <m/>
    <m/>
    <m/>
    <m/>
    <m/>
    <m/>
    <m/>
    <m/>
    <m/>
    <m/>
  </r>
  <r>
    <n v="2293"/>
    <n v="52606"/>
    <d v="1994-07-09T00:00:00"/>
    <n v="31"/>
    <x v="0"/>
    <x v="0"/>
    <d v="2024-11-12T00:00:00"/>
    <n v="1.5753424657534247"/>
    <x v="42"/>
    <x v="0"/>
    <x v="4"/>
    <x v="1"/>
    <n v="36.200000000000003"/>
    <m/>
    <m/>
    <m/>
    <m/>
    <m/>
    <m/>
    <x v="1"/>
    <n v="0"/>
    <n v="4"/>
    <m/>
    <m/>
    <m/>
    <m/>
    <m/>
    <m/>
    <m/>
    <m/>
    <m/>
    <m/>
    <m/>
    <m/>
    <m/>
    <m/>
  </r>
  <r>
    <n v="2294"/>
    <n v="52607"/>
    <d v="1987-12-07T00:00:00"/>
    <n v="38"/>
    <x v="0"/>
    <x v="1"/>
    <d v="2024-06-04T00:00:00"/>
    <n v="1.2465753424657535"/>
    <x v="108"/>
    <x v="1"/>
    <x v="4"/>
    <x v="1"/>
    <n v="36.200000000000003"/>
    <m/>
    <m/>
    <m/>
    <m/>
    <m/>
    <m/>
    <x v="3"/>
    <n v="0"/>
    <n v="4"/>
    <m/>
    <m/>
    <m/>
    <m/>
    <m/>
    <m/>
    <m/>
    <m/>
    <m/>
    <m/>
    <m/>
    <m/>
    <m/>
    <m/>
  </r>
  <r>
    <n v="2295"/>
    <n v="52608"/>
    <d v="1985-06-25T00:00:00"/>
    <n v="40"/>
    <x v="1"/>
    <x v="0"/>
    <d v="2024-10-02T00:00:00"/>
    <n v="1.6684931506849314"/>
    <x v="95"/>
    <x v="1"/>
    <x v="4"/>
    <x v="1"/>
    <n v="36.200000000000003"/>
    <m/>
    <m/>
    <m/>
    <m/>
    <m/>
    <m/>
    <x v="4"/>
    <n v="0"/>
    <n v="5"/>
    <m/>
    <m/>
    <m/>
    <m/>
    <m/>
    <m/>
    <m/>
    <m/>
    <m/>
    <m/>
    <m/>
    <m/>
    <m/>
    <m/>
  </r>
  <r>
    <n v="2296"/>
    <n v="52609"/>
    <d v="1995-11-23T00:00:00"/>
    <n v="30"/>
    <x v="1"/>
    <x v="1"/>
    <d v="2024-05-01T00:00:00"/>
    <n v="1.1945205479452055"/>
    <x v="60"/>
    <x v="1"/>
    <x v="4"/>
    <x v="1"/>
    <n v="36.200000000000003"/>
    <m/>
    <m/>
    <m/>
    <m/>
    <m/>
    <m/>
    <x v="1"/>
    <n v="0"/>
    <n v="6"/>
    <m/>
    <m/>
    <m/>
    <m/>
    <m/>
    <m/>
    <m/>
    <m/>
    <m/>
    <m/>
    <m/>
    <m/>
    <m/>
    <m/>
  </r>
  <r>
    <n v="2297"/>
    <n v="52610"/>
    <d v="1990-02-19T00:00:00"/>
    <n v="35"/>
    <x v="1"/>
    <x v="1"/>
    <d v="2024-10-21T00:00:00"/>
    <n v="1.2684931506849315"/>
    <x v="131"/>
    <x v="1"/>
    <x v="4"/>
    <x v="1"/>
    <n v="36.200000000000003"/>
    <m/>
    <m/>
    <m/>
    <m/>
    <m/>
    <m/>
    <x v="1"/>
    <n v="0"/>
    <n v="5"/>
    <m/>
    <m/>
    <m/>
    <m/>
    <m/>
    <m/>
    <m/>
    <m/>
    <m/>
    <m/>
    <m/>
    <m/>
    <m/>
    <m/>
  </r>
  <r>
    <n v="2298"/>
    <n v="52611"/>
    <d v="1996-08-11T00:00:00"/>
    <n v="29"/>
    <x v="0"/>
    <x v="1"/>
    <d v="2024-09-24T00:00:00"/>
    <n v="1.5506849315068494"/>
    <x v="118"/>
    <x v="1"/>
    <x v="4"/>
    <x v="1"/>
    <n v="36.200000000000003"/>
    <m/>
    <m/>
    <m/>
    <m/>
    <m/>
    <m/>
    <x v="2"/>
    <n v="0"/>
    <n v="3"/>
    <m/>
    <m/>
    <m/>
    <m/>
    <m/>
    <m/>
    <m/>
    <m/>
    <m/>
    <m/>
    <m/>
    <m/>
    <m/>
    <m/>
  </r>
  <r>
    <n v="2299"/>
    <n v="52612"/>
    <d v="1992-10-21T00:00:00"/>
    <n v="33"/>
    <x v="0"/>
    <x v="1"/>
    <d v="2024-06-13T00:00:00"/>
    <n v="1.3315068493150686"/>
    <x v="129"/>
    <x v="1"/>
    <x v="4"/>
    <x v="1"/>
    <n v="36.200000000000003"/>
    <m/>
    <m/>
    <m/>
    <m/>
    <m/>
    <m/>
    <x v="1"/>
    <n v="0"/>
    <n v="4"/>
    <m/>
    <m/>
    <m/>
    <m/>
    <m/>
    <m/>
    <m/>
    <m/>
    <m/>
    <m/>
    <m/>
    <m/>
    <m/>
    <m/>
  </r>
  <r>
    <n v="2300"/>
    <n v="52615"/>
    <d v="1995-12-23T00:00:00"/>
    <n v="30"/>
    <x v="0"/>
    <x v="1"/>
    <d v="2024-09-01T00:00:00"/>
    <n v="1.536986301369863"/>
    <x v="132"/>
    <x v="1"/>
    <x v="4"/>
    <x v="1"/>
    <n v="36.200000000000003"/>
    <m/>
    <m/>
    <m/>
    <m/>
    <m/>
    <m/>
    <x v="2"/>
    <n v="0"/>
    <n v="3"/>
    <m/>
    <m/>
    <m/>
    <m/>
    <m/>
    <m/>
    <m/>
    <m/>
    <m/>
    <m/>
    <m/>
    <m/>
    <m/>
    <m/>
  </r>
  <r>
    <n v="2301"/>
    <n v="52616"/>
    <d v="2001-07-24T00:00:00"/>
    <n v="24"/>
    <x v="0"/>
    <x v="1"/>
    <d v="2024-06-18T00:00:00"/>
    <n v="1.4191780821917808"/>
    <x v="26"/>
    <x v="0"/>
    <x v="5"/>
    <x v="1"/>
    <n v="23.6"/>
    <m/>
    <m/>
    <m/>
    <m/>
    <m/>
    <m/>
    <x v="3"/>
    <n v="3"/>
    <n v="6"/>
    <m/>
    <m/>
    <m/>
    <m/>
    <m/>
    <m/>
    <m/>
    <m/>
    <m/>
    <m/>
    <m/>
    <m/>
    <m/>
    <m/>
  </r>
  <r>
    <n v="2302"/>
    <n v="52617"/>
    <d v="1999-12-27T00:00:00"/>
    <n v="26"/>
    <x v="0"/>
    <x v="1"/>
    <d v="2024-07-31T00:00:00"/>
    <n v="1.1917808219178083"/>
    <x v="88"/>
    <x v="0"/>
    <x v="5"/>
    <x v="1"/>
    <n v="23.6"/>
    <m/>
    <m/>
    <m/>
    <m/>
    <m/>
    <m/>
    <x v="2"/>
    <n v="2"/>
    <n v="5"/>
    <m/>
    <m/>
    <m/>
    <m/>
    <m/>
    <m/>
    <m/>
    <m/>
    <m/>
    <m/>
    <m/>
    <m/>
    <m/>
    <m/>
  </r>
  <r>
    <n v="2303"/>
    <n v="52619"/>
    <d v="1996-12-25T00:00:00"/>
    <n v="29"/>
    <x v="0"/>
    <x v="1"/>
    <d v="2024-10-22T00:00:00"/>
    <n v="1.6794520547945206"/>
    <x v="88"/>
    <x v="0"/>
    <x v="5"/>
    <x v="1"/>
    <n v="23.6"/>
    <m/>
    <m/>
    <m/>
    <m/>
    <m/>
    <m/>
    <x v="1"/>
    <n v="6"/>
    <n v="4"/>
    <m/>
    <m/>
    <m/>
    <m/>
    <m/>
    <m/>
    <m/>
    <m/>
    <m/>
    <m/>
    <m/>
    <m/>
    <m/>
    <m/>
  </r>
  <r>
    <n v="2304"/>
    <n v="52620"/>
    <d v="2000-09-09T00:00:00"/>
    <n v="25"/>
    <x v="0"/>
    <x v="1"/>
    <d v="2024-04-27T00:00:00"/>
    <n v="1.704109589041096"/>
    <x v="72"/>
    <x v="1"/>
    <x v="5"/>
    <x v="1"/>
    <n v="23.6"/>
    <m/>
    <m/>
    <m/>
    <m/>
    <m/>
    <m/>
    <x v="1"/>
    <n v="5"/>
    <n v="5"/>
    <m/>
    <m/>
    <m/>
    <m/>
    <m/>
    <m/>
    <m/>
    <m/>
    <m/>
    <m/>
    <m/>
    <m/>
    <m/>
    <m/>
  </r>
  <r>
    <n v="2305"/>
    <n v="52621"/>
    <d v="1999-02-05T00:00:00"/>
    <n v="26"/>
    <x v="1"/>
    <x v="1"/>
    <d v="2024-04-18T00:00:00"/>
    <n v="1.0876712328767124"/>
    <x v="35"/>
    <x v="0"/>
    <x v="5"/>
    <x v="1"/>
    <n v="23.6"/>
    <m/>
    <m/>
    <m/>
    <m/>
    <m/>
    <m/>
    <x v="1"/>
    <n v="3"/>
    <n v="5"/>
    <m/>
    <m/>
    <m/>
    <m/>
    <m/>
    <m/>
    <m/>
    <m/>
    <m/>
    <m/>
    <m/>
    <m/>
    <m/>
    <m/>
  </r>
  <r>
    <n v="2306"/>
    <n v="52622"/>
    <d v="2001-07-24T00:00:00"/>
    <n v="24"/>
    <x v="0"/>
    <x v="1"/>
    <d v="2024-11-29T00:00:00"/>
    <n v="1.2602739726027397"/>
    <x v="72"/>
    <x v="1"/>
    <x v="5"/>
    <x v="1"/>
    <n v="23.6"/>
    <m/>
    <m/>
    <m/>
    <m/>
    <m/>
    <m/>
    <x v="4"/>
    <n v="3"/>
    <n v="5"/>
    <m/>
    <m/>
    <m/>
    <m/>
    <m/>
    <m/>
    <m/>
    <m/>
    <m/>
    <m/>
    <m/>
    <m/>
    <m/>
    <m/>
  </r>
  <r>
    <n v="2307"/>
    <n v="52623"/>
    <d v="1991-04-09T00:00:00"/>
    <n v="34"/>
    <x v="1"/>
    <x v="1"/>
    <d v="2024-09-27T00:00:00"/>
    <n v="1.6794520547945206"/>
    <x v="20"/>
    <x v="0"/>
    <x v="5"/>
    <x v="1"/>
    <n v="23.6"/>
    <m/>
    <m/>
    <m/>
    <m/>
    <m/>
    <m/>
    <x v="2"/>
    <n v="4"/>
    <n v="6"/>
    <m/>
    <m/>
    <m/>
    <m/>
    <m/>
    <m/>
    <m/>
    <m/>
    <m/>
    <m/>
    <m/>
    <m/>
    <m/>
    <m/>
  </r>
  <r>
    <n v="2308"/>
    <n v="52624"/>
    <d v="1989-12-03T00:00:00"/>
    <n v="36"/>
    <x v="0"/>
    <x v="0"/>
    <d v="2024-04-27T00:00:00"/>
    <n v="1.7726027397260273"/>
    <x v="110"/>
    <x v="1"/>
    <x v="5"/>
    <x v="1"/>
    <n v="23.6"/>
    <m/>
    <m/>
    <m/>
    <m/>
    <m/>
    <m/>
    <x v="2"/>
    <n v="4"/>
    <n v="5"/>
    <m/>
    <m/>
    <m/>
    <m/>
    <m/>
    <m/>
    <m/>
    <m/>
    <m/>
    <m/>
    <m/>
    <m/>
    <m/>
    <m/>
  </r>
  <r>
    <n v="2309"/>
    <n v="52625"/>
    <d v="1999-09-03T00:00:00"/>
    <n v="26"/>
    <x v="1"/>
    <x v="1"/>
    <d v="2024-03-24T00:00:00"/>
    <n v="1.5315068493150685"/>
    <x v="92"/>
    <x v="1"/>
    <x v="5"/>
    <x v="1"/>
    <n v="23.6"/>
    <m/>
    <m/>
    <m/>
    <m/>
    <m/>
    <m/>
    <x v="4"/>
    <n v="4"/>
    <n v="6"/>
    <m/>
    <m/>
    <m/>
    <m/>
    <m/>
    <m/>
    <m/>
    <m/>
    <m/>
    <m/>
    <m/>
    <m/>
    <m/>
    <m/>
  </r>
  <r>
    <n v="2310"/>
    <n v="52626"/>
    <d v="1994-03-21T00:00:00"/>
    <n v="31"/>
    <x v="1"/>
    <x v="1"/>
    <d v="2024-06-20T00:00:00"/>
    <n v="1.2438356164383562"/>
    <x v="99"/>
    <x v="1"/>
    <x v="5"/>
    <x v="1"/>
    <n v="23.6"/>
    <m/>
    <m/>
    <m/>
    <m/>
    <m/>
    <m/>
    <x v="4"/>
    <n v="4"/>
    <n v="6"/>
    <m/>
    <m/>
    <m/>
    <m/>
    <m/>
    <m/>
    <m/>
    <m/>
    <m/>
    <m/>
    <m/>
    <m/>
    <m/>
    <m/>
  </r>
  <r>
    <n v="2311"/>
    <n v="52627"/>
    <d v="1991-11-06T00:00:00"/>
    <n v="34"/>
    <x v="0"/>
    <x v="0"/>
    <d v="2024-10-03T00:00:00"/>
    <n v="1.3589041095890411"/>
    <x v="72"/>
    <x v="1"/>
    <x v="5"/>
    <x v="1"/>
    <n v="23.6"/>
    <m/>
    <m/>
    <m/>
    <m/>
    <m/>
    <m/>
    <x v="1"/>
    <n v="2"/>
    <n v="4"/>
    <m/>
    <m/>
    <m/>
    <m/>
    <m/>
    <m/>
    <m/>
    <m/>
    <m/>
    <m/>
    <m/>
    <m/>
    <m/>
    <m/>
  </r>
  <r>
    <n v="2312"/>
    <n v="52628"/>
    <d v="1993-01-17T00:00:00"/>
    <n v="32"/>
    <x v="0"/>
    <x v="1"/>
    <d v="2024-08-22T00:00:00"/>
    <n v="1.1095890410958904"/>
    <x v="92"/>
    <x v="1"/>
    <x v="5"/>
    <x v="1"/>
    <n v="23.6"/>
    <m/>
    <m/>
    <m/>
    <m/>
    <m/>
    <m/>
    <x v="1"/>
    <n v="6"/>
    <n v="5"/>
    <m/>
    <m/>
    <m/>
    <m/>
    <m/>
    <m/>
    <m/>
    <m/>
    <m/>
    <m/>
    <m/>
    <m/>
    <m/>
    <m/>
  </r>
  <r>
    <n v="2313"/>
    <n v="52629"/>
    <d v="2000-07-15T00:00:00"/>
    <n v="25"/>
    <x v="1"/>
    <x v="0"/>
    <d v="2024-11-21T00:00:00"/>
    <n v="1.2821917808219179"/>
    <x v="102"/>
    <x v="0"/>
    <x v="5"/>
    <x v="1"/>
    <n v="23.6"/>
    <m/>
    <m/>
    <m/>
    <m/>
    <m/>
    <m/>
    <x v="4"/>
    <n v="5"/>
    <n v="6"/>
    <m/>
    <m/>
    <m/>
    <m/>
    <m/>
    <m/>
    <m/>
    <m/>
    <m/>
    <m/>
    <m/>
    <m/>
    <m/>
    <m/>
  </r>
  <r>
    <n v="2314"/>
    <n v="52630"/>
    <d v="1994-09-15T00:00:00"/>
    <n v="31"/>
    <x v="0"/>
    <x v="1"/>
    <d v="2024-09-19T00:00:00"/>
    <n v="1.5753424657534247"/>
    <x v="16"/>
    <x v="0"/>
    <x v="5"/>
    <x v="1"/>
    <n v="23.6"/>
    <m/>
    <m/>
    <m/>
    <m/>
    <m/>
    <m/>
    <x v="1"/>
    <n v="4"/>
    <n v="5"/>
    <m/>
    <m/>
    <m/>
    <m/>
    <m/>
    <m/>
    <m/>
    <m/>
    <m/>
    <m/>
    <m/>
    <m/>
    <m/>
    <m/>
  </r>
  <r>
    <n v="2315"/>
    <n v="52631"/>
    <d v="2001-09-18T00:00:00"/>
    <n v="24"/>
    <x v="1"/>
    <x v="1"/>
    <d v="2024-06-04T00:00:00"/>
    <n v="1.3808219178082193"/>
    <x v="130"/>
    <x v="1"/>
    <x v="5"/>
    <x v="1"/>
    <n v="23.6"/>
    <m/>
    <m/>
    <m/>
    <m/>
    <m/>
    <m/>
    <x v="1"/>
    <n v="1"/>
    <n v="7"/>
    <m/>
    <m/>
    <m/>
    <m/>
    <m/>
    <m/>
    <m/>
    <m/>
    <m/>
    <m/>
    <m/>
    <m/>
    <m/>
    <m/>
  </r>
  <r>
    <n v="2316"/>
    <n v="52632"/>
    <d v="1999-03-07T00:00:00"/>
    <n v="26"/>
    <x v="1"/>
    <x v="1"/>
    <d v="2024-08-14T00:00:00"/>
    <n v="1.7424657534246575"/>
    <x v="134"/>
    <x v="1"/>
    <x v="5"/>
    <x v="1"/>
    <n v="23.6"/>
    <m/>
    <m/>
    <m/>
    <m/>
    <m/>
    <m/>
    <x v="1"/>
    <n v="4"/>
    <n v="6"/>
    <m/>
    <m/>
    <m/>
    <m/>
    <m/>
    <m/>
    <m/>
    <m/>
    <m/>
    <m/>
    <m/>
    <m/>
    <m/>
    <m/>
  </r>
  <r>
    <n v="2317"/>
    <n v="52634"/>
    <d v="1991-03-10T00:00:00"/>
    <n v="34"/>
    <x v="1"/>
    <x v="1"/>
    <d v="2024-04-04T00:00:00"/>
    <n v="1.6219178082191781"/>
    <x v="88"/>
    <x v="0"/>
    <x v="5"/>
    <x v="1"/>
    <n v="23.6"/>
    <m/>
    <m/>
    <m/>
    <m/>
    <m/>
    <m/>
    <x v="4"/>
    <n v="3"/>
    <n v="7"/>
    <m/>
    <m/>
    <m/>
    <m/>
    <m/>
    <m/>
    <m/>
    <m/>
    <m/>
    <m/>
    <m/>
    <m/>
    <m/>
    <m/>
  </r>
  <r>
    <n v="2318"/>
    <n v="52635"/>
    <d v="1992-10-04T00:00:00"/>
    <n v="33"/>
    <x v="1"/>
    <x v="1"/>
    <d v="2024-05-18T00:00:00"/>
    <n v="1.4027397260273973"/>
    <x v="50"/>
    <x v="0"/>
    <x v="5"/>
    <x v="1"/>
    <n v="23.6"/>
    <m/>
    <m/>
    <m/>
    <m/>
    <m/>
    <m/>
    <x v="1"/>
    <n v="6"/>
    <n v="7"/>
    <m/>
    <m/>
    <m/>
    <m/>
    <m/>
    <m/>
    <m/>
    <m/>
    <m/>
    <m/>
    <m/>
    <m/>
    <m/>
    <m/>
  </r>
  <r>
    <n v="2319"/>
    <n v="52636"/>
    <d v="1997-12-29T00:00:00"/>
    <n v="28"/>
    <x v="0"/>
    <x v="1"/>
    <d v="2024-08-06T00:00:00"/>
    <n v="1.5315068493150685"/>
    <x v="44"/>
    <x v="1"/>
    <x v="5"/>
    <x v="1"/>
    <n v="23.6"/>
    <m/>
    <m/>
    <m/>
    <m/>
    <m/>
    <m/>
    <x v="3"/>
    <n v="5"/>
    <n v="5"/>
    <m/>
    <m/>
    <m/>
    <m/>
    <m/>
    <m/>
    <m/>
    <m/>
    <m/>
    <m/>
    <m/>
    <m/>
    <m/>
    <m/>
  </r>
  <r>
    <n v="2320"/>
    <n v="52637"/>
    <d v="1996-08-22T00:00:00"/>
    <n v="29"/>
    <x v="0"/>
    <x v="1"/>
    <d v="2024-06-20T00:00:00"/>
    <n v="1.8465753424657534"/>
    <x v="56"/>
    <x v="1"/>
    <x v="5"/>
    <x v="1"/>
    <n v="23.6"/>
    <m/>
    <m/>
    <m/>
    <m/>
    <m/>
    <m/>
    <x v="1"/>
    <n v="2"/>
    <n v="4"/>
    <m/>
    <m/>
    <m/>
    <m/>
    <m/>
    <m/>
    <m/>
    <m/>
    <m/>
    <m/>
    <m/>
    <m/>
    <m/>
    <m/>
  </r>
  <r>
    <n v="2321"/>
    <n v="52638"/>
    <d v="1998-01-23T00:00:00"/>
    <n v="27"/>
    <x v="0"/>
    <x v="1"/>
    <d v="2024-02-26T00:00:00"/>
    <n v="1.6164383561643836"/>
    <x v="123"/>
    <x v="1"/>
    <x v="5"/>
    <x v="1"/>
    <n v="23.6"/>
    <m/>
    <m/>
    <m/>
    <m/>
    <m/>
    <m/>
    <x v="1"/>
    <n v="3"/>
    <n v="5"/>
    <m/>
    <m/>
    <m/>
    <m/>
    <m/>
    <m/>
    <m/>
    <m/>
    <m/>
    <m/>
    <m/>
    <m/>
    <m/>
    <m/>
  </r>
  <r>
    <n v="2322"/>
    <n v="52639"/>
    <d v="1994-11-04T00:00:00"/>
    <n v="31"/>
    <x v="0"/>
    <x v="1"/>
    <d v="2024-05-20T00:00:00"/>
    <n v="1.1643835616438356"/>
    <x v="112"/>
    <x v="1"/>
    <x v="5"/>
    <x v="1"/>
    <n v="23.6"/>
    <m/>
    <m/>
    <m/>
    <m/>
    <m/>
    <m/>
    <x v="3"/>
    <n v="3"/>
    <n v="6"/>
    <m/>
    <m/>
    <m/>
    <m/>
    <m/>
    <m/>
    <m/>
    <m/>
    <m/>
    <m/>
    <m/>
    <m/>
    <m/>
    <m/>
  </r>
  <r>
    <n v="2323"/>
    <n v="52640"/>
    <d v="1999-08-22T00:00:00"/>
    <n v="26"/>
    <x v="0"/>
    <x v="1"/>
    <d v="2024-11-01T00:00:00"/>
    <n v="1.5397260273972602"/>
    <x v="112"/>
    <x v="1"/>
    <x v="5"/>
    <x v="1"/>
    <n v="23.6"/>
    <m/>
    <m/>
    <m/>
    <m/>
    <m/>
    <m/>
    <x v="1"/>
    <n v="6"/>
    <n v="5"/>
    <m/>
    <m/>
    <m/>
    <m/>
    <m/>
    <m/>
    <m/>
    <m/>
    <m/>
    <m/>
    <m/>
    <m/>
    <m/>
    <m/>
  </r>
  <r>
    <n v="2324"/>
    <n v="52641"/>
    <d v="1996-07-23T00:00:00"/>
    <n v="29"/>
    <x v="0"/>
    <x v="0"/>
    <d v="2024-06-17T00:00:00"/>
    <n v="1.095890410958904"/>
    <x v="9"/>
    <x v="1"/>
    <x v="5"/>
    <x v="1"/>
    <n v="23.6"/>
    <m/>
    <m/>
    <m/>
    <m/>
    <m/>
    <m/>
    <x v="4"/>
    <n v="6"/>
    <n v="4"/>
    <m/>
    <m/>
    <m/>
    <m/>
    <m/>
    <m/>
    <m/>
    <m/>
    <m/>
    <m/>
    <m/>
    <m/>
    <m/>
    <m/>
  </r>
  <r>
    <n v="2325"/>
    <n v="52642"/>
    <d v="1998-01-04T00:00:00"/>
    <n v="27"/>
    <x v="0"/>
    <x v="1"/>
    <d v="2024-11-26T00:00:00"/>
    <n v="1.4602739726027398"/>
    <x v="0"/>
    <x v="0"/>
    <x v="5"/>
    <x v="1"/>
    <n v="23.6"/>
    <m/>
    <m/>
    <m/>
    <m/>
    <m/>
    <m/>
    <x v="1"/>
    <n v="6"/>
    <n v="7"/>
    <m/>
    <m/>
    <m/>
    <m/>
    <m/>
    <m/>
    <m/>
    <m/>
    <m/>
    <m/>
    <m/>
    <m/>
    <m/>
    <m/>
  </r>
  <r>
    <n v="2326"/>
    <n v="52643"/>
    <d v="1993-05-06T00:00:00"/>
    <n v="32"/>
    <x v="0"/>
    <x v="1"/>
    <d v="2024-07-16T00:00:00"/>
    <n v="1.8027397260273972"/>
    <x v="63"/>
    <x v="0"/>
    <x v="5"/>
    <x v="1"/>
    <n v="23.6"/>
    <m/>
    <m/>
    <m/>
    <m/>
    <m/>
    <m/>
    <x v="4"/>
    <n v="1"/>
    <n v="5"/>
    <m/>
    <m/>
    <m/>
    <m/>
    <m/>
    <m/>
    <m/>
    <m/>
    <m/>
    <m/>
    <m/>
    <m/>
    <m/>
    <m/>
  </r>
  <r>
    <n v="2327"/>
    <n v="52644"/>
    <d v="1986-05-22T00:00:00"/>
    <n v="39"/>
    <x v="0"/>
    <x v="1"/>
    <d v="2024-03-13T00:00:00"/>
    <n v="1.3917808219178083"/>
    <x v="82"/>
    <x v="0"/>
    <x v="5"/>
    <x v="1"/>
    <n v="23.6"/>
    <m/>
    <m/>
    <m/>
    <m/>
    <m/>
    <m/>
    <x v="4"/>
    <n v="3"/>
    <n v="5"/>
    <m/>
    <m/>
    <m/>
    <m/>
    <m/>
    <m/>
    <m/>
    <m/>
    <m/>
    <m/>
    <m/>
    <m/>
    <m/>
    <m/>
  </r>
  <r>
    <n v="2328"/>
    <n v="52645"/>
    <d v="2000-09-21T00:00:00"/>
    <n v="25"/>
    <x v="1"/>
    <x v="1"/>
    <d v="2024-08-10T00:00:00"/>
    <n v="1.0438356164383562"/>
    <x v="83"/>
    <x v="0"/>
    <x v="5"/>
    <x v="1"/>
    <n v="23.6"/>
    <m/>
    <m/>
    <m/>
    <m/>
    <m/>
    <m/>
    <x v="4"/>
    <n v="3"/>
    <n v="7"/>
    <m/>
    <m/>
    <m/>
    <m/>
    <m/>
    <m/>
    <m/>
    <m/>
    <m/>
    <m/>
    <m/>
    <m/>
    <m/>
    <m/>
  </r>
  <r>
    <n v="2329"/>
    <n v="52646"/>
    <d v="2001-12-08T00:00:00"/>
    <n v="24"/>
    <x v="1"/>
    <x v="0"/>
    <d v="2024-12-15T00:00:00"/>
    <n v="1.6904109589041096"/>
    <x v="40"/>
    <x v="1"/>
    <x v="5"/>
    <x v="1"/>
    <n v="23.6"/>
    <m/>
    <m/>
    <m/>
    <m/>
    <m/>
    <m/>
    <x v="1"/>
    <n v="5"/>
    <n v="6"/>
    <m/>
    <m/>
    <m/>
    <m/>
    <m/>
    <m/>
    <m/>
    <m/>
    <m/>
    <m/>
    <m/>
    <m/>
    <m/>
    <m/>
  </r>
  <r>
    <n v="2330"/>
    <n v="52647"/>
    <d v="1993-06-15T00:00:00"/>
    <n v="32"/>
    <x v="0"/>
    <x v="1"/>
    <d v="2024-04-23T00:00:00"/>
    <n v="1.1205479452054794"/>
    <x v="1"/>
    <x v="1"/>
    <x v="5"/>
    <x v="1"/>
    <n v="23.6"/>
    <m/>
    <m/>
    <m/>
    <m/>
    <m/>
    <m/>
    <x v="1"/>
    <n v="6"/>
    <n v="6"/>
    <m/>
    <m/>
    <m/>
    <m/>
    <m/>
    <m/>
    <m/>
    <m/>
    <m/>
    <m/>
    <m/>
    <m/>
    <m/>
    <m/>
  </r>
  <r>
    <n v="2331"/>
    <n v="52648"/>
    <d v="1999-01-29T00:00:00"/>
    <n v="26"/>
    <x v="1"/>
    <x v="1"/>
    <d v="2024-11-17T00:00:00"/>
    <n v="1.4"/>
    <x v="74"/>
    <x v="1"/>
    <x v="5"/>
    <x v="1"/>
    <n v="23.6"/>
    <m/>
    <m/>
    <m/>
    <m/>
    <m/>
    <m/>
    <x v="3"/>
    <n v="3"/>
    <n v="7"/>
    <m/>
    <m/>
    <m/>
    <m/>
    <m/>
    <m/>
    <m/>
    <m/>
    <m/>
    <m/>
    <m/>
    <m/>
    <m/>
    <m/>
  </r>
  <r>
    <n v="2332"/>
    <n v="52649"/>
    <d v="1993-08-23T00:00:00"/>
    <n v="32"/>
    <x v="0"/>
    <x v="1"/>
    <d v="2024-08-07T00:00:00"/>
    <n v="1.6109589041095891"/>
    <x v="133"/>
    <x v="1"/>
    <x v="5"/>
    <x v="1"/>
    <n v="23.6"/>
    <m/>
    <m/>
    <m/>
    <m/>
    <m/>
    <m/>
    <x v="4"/>
    <n v="0"/>
    <n v="5"/>
    <m/>
    <m/>
    <m/>
    <m/>
    <m/>
    <m/>
    <m/>
    <m/>
    <m/>
    <m/>
    <m/>
    <m/>
    <m/>
    <m/>
  </r>
  <r>
    <n v="2333"/>
    <n v="52650"/>
    <d v="1997-05-06T00:00:00"/>
    <n v="28"/>
    <x v="0"/>
    <x v="1"/>
    <d v="2024-05-22T00:00:00"/>
    <n v="1.3835616438356164"/>
    <x v="24"/>
    <x v="0"/>
    <x v="5"/>
    <x v="1"/>
    <n v="23.6"/>
    <m/>
    <m/>
    <m/>
    <m/>
    <m/>
    <m/>
    <x v="3"/>
    <n v="2"/>
    <n v="4"/>
    <m/>
    <m/>
    <m/>
    <m/>
    <m/>
    <m/>
    <m/>
    <m/>
    <m/>
    <m/>
    <m/>
    <m/>
    <m/>
    <m/>
  </r>
  <r>
    <n v="2334"/>
    <n v="52651"/>
    <d v="1996-12-14T00:00:00"/>
    <n v="29"/>
    <x v="0"/>
    <x v="1"/>
    <d v="2024-08-13T00:00:00"/>
    <n v="1.3671232876712329"/>
    <x v="85"/>
    <x v="1"/>
    <x v="5"/>
    <x v="1"/>
    <n v="23.6"/>
    <m/>
    <m/>
    <m/>
    <m/>
    <m/>
    <m/>
    <x v="3"/>
    <n v="5"/>
    <n v="5"/>
    <m/>
    <m/>
    <m/>
    <m/>
    <m/>
    <m/>
    <m/>
    <m/>
    <m/>
    <m/>
    <m/>
    <m/>
    <m/>
    <m/>
  </r>
  <r>
    <n v="2335"/>
    <n v="52652"/>
    <d v="1993-11-04T00:00:00"/>
    <n v="32"/>
    <x v="1"/>
    <x v="0"/>
    <d v="2024-08-19T00:00:00"/>
    <n v="1.6575342465753424"/>
    <x v="104"/>
    <x v="1"/>
    <x v="5"/>
    <x v="1"/>
    <n v="23.6"/>
    <m/>
    <m/>
    <m/>
    <m/>
    <m/>
    <m/>
    <x v="2"/>
    <n v="4"/>
    <n v="6"/>
    <m/>
    <m/>
    <m/>
    <m/>
    <m/>
    <m/>
    <m/>
    <m/>
    <m/>
    <m/>
    <m/>
    <m/>
    <m/>
    <m/>
  </r>
  <r>
    <n v="2336"/>
    <n v="52653"/>
    <d v="1998-11-08T00:00:00"/>
    <n v="27"/>
    <x v="0"/>
    <x v="1"/>
    <d v="2024-05-05T00:00:00"/>
    <n v="1.1095890410958904"/>
    <x v="45"/>
    <x v="0"/>
    <x v="5"/>
    <x v="1"/>
    <n v="23.6"/>
    <m/>
    <m/>
    <m/>
    <m/>
    <m/>
    <m/>
    <x v="3"/>
    <n v="2"/>
    <n v="5"/>
    <m/>
    <m/>
    <m/>
    <m/>
    <m/>
    <m/>
    <m/>
    <m/>
    <m/>
    <m/>
    <m/>
    <m/>
    <m/>
    <m/>
  </r>
  <r>
    <n v="2337"/>
    <n v="52654"/>
    <d v="2000-10-02T00:00:00"/>
    <n v="25"/>
    <x v="1"/>
    <x v="0"/>
    <d v="2024-11-21T00:00:00"/>
    <n v="1.0684931506849316"/>
    <x v="137"/>
    <x v="0"/>
    <x v="5"/>
    <x v="1"/>
    <n v="23.6"/>
    <m/>
    <m/>
    <m/>
    <m/>
    <m/>
    <m/>
    <x v="3"/>
    <n v="6"/>
    <n v="6"/>
    <m/>
    <m/>
    <m/>
    <m/>
    <m/>
    <m/>
    <m/>
    <m/>
    <m/>
    <m/>
    <m/>
    <m/>
    <m/>
    <m/>
  </r>
  <r>
    <n v="2338"/>
    <n v="52655"/>
    <d v="1998-10-08T00:00:00"/>
    <n v="27"/>
    <x v="0"/>
    <x v="1"/>
    <d v="2024-12-06T00:00:00"/>
    <n v="1.0465753424657533"/>
    <x v="33"/>
    <x v="0"/>
    <x v="5"/>
    <x v="1"/>
    <n v="23.6"/>
    <m/>
    <m/>
    <m/>
    <m/>
    <m/>
    <m/>
    <x v="1"/>
    <n v="5"/>
    <n v="4"/>
    <m/>
    <m/>
    <m/>
    <m/>
    <m/>
    <m/>
    <m/>
    <m/>
    <m/>
    <m/>
    <m/>
    <m/>
    <m/>
    <m/>
  </r>
  <r>
    <n v="2339"/>
    <n v="52656"/>
    <d v="1997-10-30T00:00:00"/>
    <n v="28"/>
    <x v="0"/>
    <x v="1"/>
    <d v="2024-12-14T00:00:00"/>
    <n v="1.2383561643835617"/>
    <x v="41"/>
    <x v="0"/>
    <x v="5"/>
    <x v="1"/>
    <n v="23.6"/>
    <m/>
    <m/>
    <m/>
    <m/>
    <m/>
    <m/>
    <x v="3"/>
    <n v="1"/>
    <n v="5"/>
    <m/>
    <m/>
    <m/>
    <m/>
    <m/>
    <m/>
    <m/>
    <m/>
    <m/>
    <m/>
    <m/>
    <m/>
    <m/>
    <m/>
  </r>
  <r>
    <n v="2340"/>
    <n v="52657"/>
    <d v="1992-02-12T00:00:00"/>
    <n v="33"/>
    <x v="0"/>
    <x v="0"/>
    <d v="2024-10-05T00:00:00"/>
    <n v="1.5452054794520549"/>
    <x v="114"/>
    <x v="1"/>
    <x v="5"/>
    <x v="1"/>
    <n v="23.6"/>
    <m/>
    <m/>
    <m/>
    <m/>
    <m/>
    <m/>
    <x v="3"/>
    <n v="4"/>
    <n v="4"/>
    <m/>
    <m/>
    <m/>
    <m/>
    <m/>
    <m/>
    <m/>
    <m/>
    <m/>
    <m/>
    <m/>
    <m/>
    <m/>
    <m/>
  </r>
  <r>
    <n v="2341"/>
    <n v="52658"/>
    <d v="1992-02-28T00:00:00"/>
    <n v="33"/>
    <x v="0"/>
    <x v="1"/>
    <d v="2024-06-15T00:00:00"/>
    <n v="1.0575342465753426"/>
    <x v="46"/>
    <x v="1"/>
    <x v="5"/>
    <x v="1"/>
    <n v="23.6"/>
    <m/>
    <m/>
    <m/>
    <m/>
    <m/>
    <m/>
    <x v="4"/>
    <n v="3"/>
    <n v="7"/>
    <m/>
    <m/>
    <m/>
    <m/>
    <m/>
    <m/>
    <m/>
    <m/>
    <m/>
    <m/>
    <m/>
    <m/>
    <m/>
    <m/>
  </r>
  <r>
    <n v="2342"/>
    <n v="52659"/>
    <d v="1992-12-09T00:00:00"/>
    <n v="33"/>
    <x v="0"/>
    <x v="1"/>
    <d v="2024-12-10T00:00:00"/>
    <n v="1.5424657534246575"/>
    <x v="119"/>
    <x v="1"/>
    <x v="5"/>
    <x v="1"/>
    <n v="23.6"/>
    <m/>
    <m/>
    <m/>
    <m/>
    <m/>
    <m/>
    <x v="4"/>
    <n v="5"/>
    <n v="5"/>
    <m/>
    <m/>
    <m/>
    <m/>
    <m/>
    <m/>
    <m/>
    <m/>
    <m/>
    <m/>
    <m/>
    <m/>
    <m/>
    <m/>
  </r>
  <r>
    <n v="2343"/>
    <n v="52660"/>
    <d v="1999-01-05T00:00:00"/>
    <n v="26"/>
    <x v="0"/>
    <x v="1"/>
    <d v="2024-06-16T00:00:00"/>
    <n v="1.6054794520547946"/>
    <x v="118"/>
    <x v="1"/>
    <x v="5"/>
    <x v="1"/>
    <n v="23.6"/>
    <m/>
    <m/>
    <m/>
    <m/>
    <m/>
    <m/>
    <x v="1"/>
    <n v="3"/>
    <n v="5"/>
    <m/>
    <m/>
    <m/>
    <m/>
    <m/>
    <m/>
    <m/>
    <m/>
    <m/>
    <m/>
    <m/>
    <m/>
    <m/>
    <m/>
  </r>
  <r>
    <n v="2344"/>
    <n v="52661"/>
    <d v="2000-07-14T00:00:00"/>
    <n v="25"/>
    <x v="0"/>
    <x v="0"/>
    <d v="2024-05-24T00:00:00"/>
    <n v="1.0273972602739727"/>
    <x v="129"/>
    <x v="1"/>
    <x v="5"/>
    <x v="1"/>
    <n v="23.6"/>
    <m/>
    <m/>
    <m/>
    <m/>
    <m/>
    <m/>
    <x v="2"/>
    <n v="3"/>
    <n v="4"/>
    <m/>
    <m/>
    <m/>
    <m/>
    <m/>
    <m/>
    <m/>
    <m/>
    <m/>
    <m/>
    <m/>
    <m/>
    <m/>
    <m/>
  </r>
  <r>
    <n v="2345"/>
    <n v="52662"/>
    <d v="1999-03-30T00:00:00"/>
    <n v="26"/>
    <x v="0"/>
    <x v="0"/>
    <d v="2024-12-21T00:00:00"/>
    <n v="1.1561643835616437"/>
    <x v="134"/>
    <x v="1"/>
    <x v="5"/>
    <x v="1"/>
    <n v="23.6"/>
    <m/>
    <m/>
    <m/>
    <m/>
    <m/>
    <m/>
    <x v="1"/>
    <n v="6"/>
    <n v="5"/>
    <m/>
    <m/>
    <m/>
    <m/>
    <m/>
    <m/>
    <m/>
    <m/>
    <m/>
    <m/>
    <m/>
    <m/>
    <m/>
    <m/>
  </r>
  <r>
    <n v="2346"/>
    <n v="52663"/>
    <d v="1995-05-10T00:00:00"/>
    <n v="30"/>
    <x v="1"/>
    <x v="1"/>
    <d v="2024-11-04T00:00:00"/>
    <n v="1.3835616438356164"/>
    <x v="53"/>
    <x v="1"/>
    <x v="5"/>
    <x v="1"/>
    <n v="23.6"/>
    <m/>
    <m/>
    <m/>
    <m/>
    <m/>
    <m/>
    <x v="2"/>
    <n v="0"/>
    <n v="5"/>
    <m/>
    <m/>
    <m/>
    <m/>
    <m/>
    <m/>
    <m/>
    <m/>
    <m/>
    <m/>
    <m/>
    <m/>
    <m/>
    <m/>
  </r>
  <r>
    <n v="2347"/>
    <n v="52664"/>
    <d v="2000-08-30T00:00:00"/>
    <n v="25"/>
    <x v="0"/>
    <x v="0"/>
    <d v="2024-08-13T00:00:00"/>
    <n v="1.7616438356164383"/>
    <x v="128"/>
    <x v="1"/>
    <x v="5"/>
    <x v="1"/>
    <n v="23.6"/>
    <m/>
    <m/>
    <m/>
    <m/>
    <m/>
    <m/>
    <x v="1"/>
    <n v="2"/>
    <n v="5"/>
    <m/>
    <m/>
    <m/>
    <m/>
    <m/>
    <m/>
    <m/>
    <m/>
    <m/>
    <m/>
    <m/>
    <m/>
    <m/>
    <m/>
  </r>
  <r>
    <n v="2348"/>
    <n v="52665"/>
    <d v="1997-12-07T00:00:00"/>
    <n v="28"/>
    <x v="0"/>
    <x v="1"/>
    <d v="2024-03-28T00:00:00"/>
    <n v="1.3616438356164384"/>
    <x v="128"/>
    <x v="1"/>
    <x v="5"/>
    <x v="1"/>
    <n v="23.6"/>
    <m/>
    <m/>
    <m/>
    <m/>
    <m/>
    <m/>
    <x v="4"/>
    <n v="4"/>
    <n v="6"/>
    <m/>
    <m/>
    <m/>
    <m/>
    <m/>
    <m/>
    <m/>
    <m/>
    <m/>
    <m/>
    <m/>
    <m/>
    <m/>
    <m/>
  </r>
  <r>
    <n v="2349"/>
    <n v="52666"/>
    <d v="1999-04-10T00:00:00"/>
    <n v="26"/>
    <x v="1"/>
    <x v="0"/>
    <d v="2024-08-21T00:00:00"/>
    <n v="1.558904109589041"/>
    <x v="43"/>
    <x v="1"/>
    <x v="5"/>
    <x v="1"/>
    <n v="23.6"/>
    <m/>
    <m/>
    <m/>
    <m/>
    <m/>
    <m/>
    <x v="1"/>
    <n v="3"/>
    <n v="6"/>
    <m/>
    <m/>
    <m/>
    <m/>
    <m/>
    <m/>
    <m/>
    <m/>
    <m/>
    <m/>
    <m/>
    <m/>
    <m/>
    <m/>
  </r>
  <r>
    <n v="2350"/>
    <n v="52667"/>
    <d v="1998-08-20T00:00:00"/>
    <n v="27"/>
    <x v="0"/>
    <x v="1"/>
    <d v="2024-06-10T00:00:00"/>
    <n v="1.0027397260273974"/>
    <x v="81"/>
    <x v="1"/>
    <x v="5"/>
    <x v="1"/>
    <n v="23.6"/>
    <m/>
    <m/>
    <m/>
    <m/>
    <m/>
    <m/>
    <x v="2"/>
    <n v="6"/>
    <n v="7"/>
    <m/>
    <m/>
    <m/>
    <m/>
    <m/>
    <m/>
    <m/>
    <m/>
    <m/>
    <m/>
    <m/>
    <m/>
    <m/>
    <m/>
  </r>
  <r>
    <n v="2351"/>
    <n v="52668"/>
    <d v="1993-02-02T00:00:00"/>
    <n v="32"/>
    <x v="1"/>
    <x v="1"/>
    <d v="2024-12-30T00:00:00"/>
    <n v="1.5753424657534247"/>
    <x v="11"/>
    <x v="0"/>
    <x v="5"/>
    <x v="1"/>
    <n v="23.6"/>
    <m/>
    <m/>
    <m/>
    <m/>
    <m/>
    <m/>
    <x v="3"/>
    <n v="3"/>
    <n v="5"/>
    <m/>
    <m/>
    <m/>
    <m/>
    <m/>
    <m/>
    <m/>
    <m/>
    <m/>
    <m/>
    <m/>
    <m/>
    <m/>
    <m/>
  </r>
  <r>
    <n v="2352"/>
    <n v="52669"/>
    <d v="1997-08-26T00:00:00"/>
    <n v="28"/>
    <x v="1"/>
    <x v="1"/>
    <d v="2024-06-04T00:00:00"/>
    <n v="1.095890410958904"/>
    <x v="19"/>
    <x v="0"/>
    <x v="5"/>
    <x v="1"/>
    <n v="23.6"/>
    <m/>
    <m/>
    <m/>
    <m/>
    <m/>
    <m/>
    <x v="4"/>
    <n v="4"/>
    <n v="6"/>
    <m/>
    <m/>
    <m/>
    <m/>
    <m/>
    <m/>
    <m/>
    <m/>
    <m/>
    <m/>
    <m/>
    <m/>
    <m/>
    <m/>
  </r>
  <r>
    <n v="2353"/>
    <n v="52670"/>
    <d v="1996-12-24T00:00:00"/>
    <n v="29"/>
    <x v="1"/>
    <x v="1"/>
    <d v="2024-11-26T00:00:00"/>
    <n v="1.0493150684931507"/>
    <x v="116"/>
    <x v="1"/>
    <x v="5"/>
    <x v="1"/>
    <n v="23.6"/>
    <m/>
    <m/>
    <m/>
    <m/>
    <m/>
    <m/>
    <x v="1"/>
    <n v="4"/>
    <n v="7"/>
    <m/>
    <m/>
    <m/>
    <m/>
    <m/>
    <m/>
    <m/>
    <m/>
    <m/>
    <m/>
    <m/>
    <m/>
    <m/>
    <m/>
  </r>
  <r>
    <n v="2354"/>
    <n v="52671"/>
    <d v="2000-09-26T00:00:00"/>
    <n v="25"/>
    <x v="0"/>
    <x v="1"/>
    <d v="2024-12-13T00:00:00"/>
    <n v="1.0684931506849316"/>
    <x v="48"/>
    <x v="1"/>
    <x v="5"/>
    <x v="1"/>
    <n v="23.6"/>
    <m/>
    <m/>
    <m/>
    <m/>
    <m/>
    <m/>
    <x v="4"/>
    <n v="6"/>
    <n v="5"/>
    <m/>
    <m/>
    <m/>
    <m/>
    <m/>
    <m/>
    <m/>
    <m/>
    <m/>
    <m/>
    <m/>
    <m/>
    <m/>
    <m/>
  </r>
  <r>
    <n v="2355"/>
    <n v="52672"/>
    <d v="1998-12-02T00:00:00"/>
    <n v="27"/>
    <x v="1"/>
    <x v="0"/>
    <d v="2024-12-06T00:00:00"/>
    <n v="1.8356164383561644"/>
    <x v="85"/>
    <x v="1"/>
    <x v="5"/>
    <x v="1"/>
    <n v="23.6"/>
    <m/>
    <m/>
    <m/>
    <m/>
    <m/>
    <m/>
    <x v="4"/>
    <n v="4"/>
    <n v="5"/>
    <m/>
    <m/>
    <m/>
    <m/>
    <m/>
    <m/>
    <m/>
    <m/>
    <m/>
    <m/>
    <m/>
    <m/>
    <m/>
    <m/>
  </r>
  <r>
    <n v="2356"/>
    <n v="52673"/>
    <d v="2001-08-09T00:00:00"/>
    <n v="24"/>
    <x v="0"/>
    <x v="1"/>
    <d v="2024-03-01T00:00:00"/>
    <n v="1.4191780821917808"/>
    <x v="15"/>
    <x v="0"/>
    <x v="5"/>
    <x v="1"/>
    <n v="23.6"/>
    <m/>
    <m/>
    <m/>
    <m/>
    <m/>
    <m/>
    <x v="1"/>
    <n v="6"/>
    <n v="5"/>
    <m/>
    <m/>
    <m/>
    <m/>
    <m/>
    <m/>
    <m/>
    <m/>
    <m/>
    <m/>
    <m/>
    <m/>
    <m/>
    <m/>
  </r>
  <r>
    <n v="2357"/>
    <n v="52674"/>
    <d v="2000-08-03T00:00:00"/>
    <n v="25"/>
    <x v="0"/>
    <x v="1"/>
    <d v="2024-07-31T00:00:00"/>
    <n v="1.7232876712328766"/>
    <x v="144"/>
    <x v="0"/>
    <x v="5"/>
    <x v="1"/>
    <n v="23.6"/>
    <m/>
    <m/>
    <m/>
    <m/>
    <m/>
    <m/>
    <x v="4"/>
    <n v="3"/>
    <n v="5"/>
    <m/>
    <m/>
    <m/>
    <m/>
    <m/>
    <m/>
    <m/>
    <m/>
    <m/>
    <m/>
    <m/>
    <m/>
    <m/>
    <m/>
  </r>
  <r>
    <n v="2358"/>
    <n v="52675"/>
    <d v="1998-10-26T00:00:00"/>
    <n v="27"/>
    <x v="1"/>
    <x v="1"/>
    <d v="2024-04-11T00:00:00"/>
    <n v="1.1945205479452055"/>
    <x v="88"/>
    <x v="0"/>
    <x v="5"/>
    <x v="1"/>
    <n v="23.6"/>
    <m/>
    <m/>
    <m/>
    <m/>
    <m/>
    <m/>
    <x v="4"/>
    <n v="6"/>
    <n v="7"/>
    <m/>
    <m/>
    <m/>
    <m/>
    <m/>
    <m/>
    <m/>
    <m/>
    <m/>
    <m/>
    <m/>
    <m/>
    <m/>
    <m/>
  </r>
  <r>
    <n v="2359"/>
    <n v="52676"/>
    <d v="1999-03-09T00:00:00"/>
    <n v="26"/>
    <x v="0"/>
    <x v="0"/>
    <d v="2024-10-21T00:00:00"/>
    <n v="1.5972602739726027"/>
    <x v="101"/>
    <x v="1"/>
    <x v="5"/>
    <x v="1"/>
    <n v="23.6"/>
    <m/>
    <m/>
    <m/>
    <m/>
    <m/>
    <m/>
    <x v="4"/>
    <n v="4"/>
    <n v="4"/>
    <m/>
    <m/>
    <m/>
    <m/>
    <m/>
    <m/>
    <m/>
    <m/>
    <m/>
    <m/>
    <m/>
    <m/>
    <m/>
    <m/>
  </r>
  <r>
    <n v="2360"/>
    <n v="52677"/>
    <d v="1997-11-28T00:00:00"/>
    <n v="28"/>
    <x v="0"/>
    <x v="1"/>
    <d v="2024-05-27T00:00:00"/>
    <n v="1.4301369863013698"/>
    <x v="50"/>
    <x v="0"/>
    <x v="5"/>
    <x v="1"/>
    <n v="23.6"/>
    <m/>
    <m/>
    <m/>
    <m/>
    <m/>
    <m/>
    <x v="2"/>
    <n v="2"/>
    <n v="5"/>
    <m/>
    <m/>
    <m/>
    <m/>
    <m/>
    <m/>
    <m/>
    <m/>
    <m/>
    <m/>
    <m/>
    <m/>
    <m/>
    <m/>
  </r>
  <r>
    <n v="2361"/>
    <n v="52678"/>
    <d v="1998-08-29T00:00:00"/>
    <n v="27"/>
    <x v="0"/>
    <x v="0"/>
    <d v="2024-07-27T00:00:00"/>
    <n v="1.0410958904109588"/>
    <x v="98"/>
    <x v="1"/>
    <x v="5"/>
    <x v="1"/>
    <n v="23.6"/>
    <m/>
    <m/>
    <m/>
    <m/>
    <m/>
    <m/>
    <x v="1"/>
    <n v="4"/>
    <n v="5"/>
    <m/>
    <m/>
    <m/>
    <m/>
    <m/>
    <m/>
    <m/>
    <m/>
    <m/>
    <m/>
    <m/>
    <m/>
    <m/>
    <m/>
  </r>
  <r>
    <n v="2362"/>
    <n v="52679"/>
    <d v="1997-04-26T00:00:00"/>
    <n v="28"/>
    <x v="0"/>
    <x v="1"/>
    <d v="2024-12-16T00:00:00"/>
    <n v="1.0657534246575342"/>
    <x v="32"/>
    <x v="0"/>
    <x v="5"/>
    <x v="1"/>
    <n v="23.6"/>
    <m/>
    <m/>
    <m/>
    <m/>
    <m/>
    <m/>
    <x v="3"/>
    <n v="6"/>
    <n v="6"/>
    <m/>
    <m/>
    <m/>
    <m/>
    <m/>
    <m/>
    <m/>
    <m/>
    <m/>
    <m/>
    <m/>
    <m/>
    <m/>
    <m/>
  </r>
  <r>
    <n v="2363"/>
    <n v="52680"/>
    <d v="1994-12-18T00:00:00"/>
    <n v="31"/>
    <x v="0"/>
    <x v="1"/>
    <d v="2024-12-07T00:00:00"/>
    <n v="1.6684931506849314"/>
    <x v="99"/>
    <x v="1"/>
    <x v="5"/>
    <x v="1"/>
    <n v="23.6"/>
    <m/>
    <m/>
    <m/>
    <m/>
    <m/>
    <m/>
    <x v="3"/>
    <n v="4"/>
    <n v="4"/>
    <m/>
    <m/>
    <m/>
    <m/>
    <m/>
    <m/>
    <m/>
    <m/>
    <m/>
    <m/>
    <m/>
    <m/>
    <m/>
    <m/>
  </r>
  <r>
    <n v="2364"/>
    <n v="52681"/>
    <d v="1998-02-01T00:00:00"/>
    <n v="28"/>
    <x v="1"/>
    <x v="1"/>
    <d v="2024-05-01T00:00:00"/>
    <n v="1.3780821917808219"/>
    <x v="18"/>
    <x v="0"/>
    <x v="5"/>
    <x v="1"/>
    <n v="23.6"/>
    <m/>
    <m/>
    <m/>
    <m/>
    <m/>
    <m/>
    <x v="1"/>
    <n v="4"/>
    <n v="7"/>
    <m/>
    <m/>
    <m/>
    <m/>
    <m/>
    <m/>
    <m/>
    <m/>
    <m/>
    <m/>
    <m/>
    <m/>
    <m/>
    <m/>
  </r>
  <r>
    <n v="2365"/>
    <n v="52682"/>
    <d v="1996-02-02T00:00:00"/>
    <n v="29"/>
    <x v="0"/>
    <x v="1"/>
    <d v="2024-08-15T00:00:00"/>
    <n v="1.4301369863013698"/>
    <x v="110"/>
    <x v="1"/>
    <x v="5"/>
    <x v="1"/>
    <n v="23.6"/>
    <m/>
    <m/>
    <m/>
    <m/>
    <m/>
    <m/>
    <x v="3"/>
    <n v="3"/>
    <n v="4"/>
    <m/>
    <m/>
    <m/>
    <m/>
    <m/>
    <m/>
    <m/>
    <m/>
    <m/>
    <m/>
    <m/>
    <m/>
    <m/>
    <m/>
  </r>
  <r>
    <n v="2366"/>
    <n v="52683"/>
    <d v="1997-08-16T00:00:00"/>
    <n v="28"/>
    <x v="0"/>
    <x v="0"/>
    <d v="2024-07-27T00:00:00"/>
    <n v="1.4465753424657535"/>
    <x v="43"/>
    <x v="1"/>
    <x v="5"/>
    <x v="1"/>
    <n v="23.6"/>
    <m/>
    <m/>
    <m/>
    <m/>
    <m/>
    <m/>
    <x v="1"/>
    <n v="4"/>
    <n v="5"/>
    <m/>
    <m/>
    <m/>
    <m/>
    <m/>
    <m/>
    <m/>
    <m/>
    <m/>
    <m/>
    <m/>
    <m/>
    <m/>
    <m/>
  </r>
  <r>
    <n v="2367"/>
    <n v="52684"/>
    <d v="1996-10-03T00:00:00"/>
    <n v="29"/>
    <x v="0"/>
    <x v="1"/>
    <d v="2024-07-21T00:00:00"/>
    <n v="1.2684931506849315"/>
    <x v="10"/>
    <x v="0"/>
    <x v="5"/>
    <x v="1"/>
    <n v="23.6"/>
    <m/>
    <m/>
    <m/>
    <m/>
    <m/>
    <m/>
    <x v="1"/>
    <n v="4"/>
    <n v="6"/>
    <m/>
    <m/>
    <m/>
    <m/>
    <m/>
    <m/>
    <m/>
    <m/>
    <m/>
    <m/>
    <m/>
    <m/>
    <m/>
    <m/>
  </r>
  <r>
    <n v="2368"/>
    <n v="52685"/>
    <d v="1987-05-15T00:00:00"/>
    <n v="38"/>
    <x v="0"/>
    <x v="1"/>
    <d v="2024-09-24T00:00:00"/>
    <n v="1.5890410958904109"/>
    <x v="58"/>
    <x v="1"/>
    <x v="5"/>
    <x v="1"/>
    <n v="23.6"/>
    <m/>
    <m/>
    <m/>
    <m/>
    <m/>
    <m/>
    <x v="4"/>
    <n v="4"/>
    <n v="5"/>
    <m/>
    <m/>
    <m/>
    <m/>
    <m/>
    <m/>
    <m/>
    <m/>
    <m/>
    <m/>
    <m/>
    <m/>
    <m/>
    <m/>
  </r>
  <r>
    <n v="2369"/>
    <n v="52687"/>
    <d v="1996-03-30T00:00:00"/>
    <n v="29"/>
    <x v="1"/>
    <x v="0"/>
    <d v="2024-05-30T00:00:00"/>
    <n v="1.547945205479452"/>
    <x v="141"/>
    <x v="0"/>
    <x v="5"/>
    <x v="1"/>
    <n v="23.6"/>
    <m/>
    <m/>
    <m/>
    <m/>
    <m/>
    <m/>
    <x v="2"/>
    <n v="5"/>
    <n v="7"/>
    <m/>
    <m/>
    <m/>
    <m/>
    <m/>
    <m/>
    <m/>
    <m/>
    <m/>
    <m/>
    <m/>
    <m/>
    <m/>
    <m/>
  </r>
  <r>
    <n v="2370"/>
    <n v="52688"/>
    <d v="1999-06-07T00:00:00"/>
    <n v="26"/>
    <x v="0"/>
    <x v="1"/>
    <d v="2024-06-14T00:00:00"/>
    <n v="1.7506849315068493"/>
    <x v="74"/>
    <x v="1"/>
    <x v="5"/>
    <x v="1"/>
    <n v="23.6"/>
    <m/>
    <m/>
    <m/>
    <m/>
    <m/>
    <m/>
    <x v="1"/>
    <n v="5"/>
    <n v="6"/>
    <m/>
    <m/>
    <m/>
    <m/>
    <m/>
    <m/>
    <m/>
    <m/>
    <m/>
    <m/>
    <m/>
    <m/>
    <m/>
    <m/>
  </r>
  <r>
    <n v="2371"/>
    <n v="52689"/>
    <d v="1987-05-01T00:00:00"/>
    <n v="39"/>
    <x v="0"/>
    <x v="1"/>
    <d v="2024-04-01T00:00:00"/>
    <n v="1.7972602739726027"/>
    <x v="139"/>
    <x v="0"/>
    <x v="5"/>
    <x v="1"/>
    <n v="23.6"/>
    <m/>
    <m/>
    <m/>
    <m/>
    <m/>
    <m/>
    <x v="4"/>
    <n v="4"/>
    <n v="3"/>
    <m/>
    <m/>
    <m/>
    <m/>
    <m/>
    <m/>
    <m/>
    <m/>
    <m/>
    <m/>
    <m/>
    <m/>
    <m/>
    <m/>
  </r>
  <r>
    <n v="2372"/>
    <n v="52690"/>
    <d v="1995-06-22T00:00:00"/>
    <n v="30"/>
    <x v="1"/>
    <x v="1"/>
    <d v="2024-03-15T00:00:00"/>
    <n v="1.1835616438356165"/>
    <x v="93"/>
    <x v="1"/>
    <x v="5"/>
    <x v="1"/>
    <n v="23.6"/>
    <m/>
    <m/>
    <m/>
    <m/>
    <m/>
    <m/>
    <x v="2"/>
    <n v="1"/>
    <n v="6"/>
    <m/>
    <m/>
    <m/>
    <m/>
    <m/>
    <m/>
    <m/>
    <m/>
    <m/>
    <m/>
    <m/>
    <m/>
    <m/>
    <m/>
  </r>
  <r>
    <n v="2373"/>
    <n v="52691"/>
    <d v="1992-04-07T00:00:00"/>
    <n v="33"/>
    <x v="0"/>
    <x v="1"/>
    <d v="2024-10-25T00:00:00"/>
    <n v="1.3890410958904109"/>
    <x v="28"/>
    <x v="0"/>
    <x v="5"/>
    <x v="1"/>
    <n v="23.6"/>
    <m/>
    <m/>
    <m/>
    <m/>
    <m/>
    <m/>
    <x v="1"/>
    <n v="6"/>
    <n v="7"/>
    <m/>
    <m/>
    <m/>
    <m/>
    <m/>
    <m/>
    <m/>
    <m/>
    <m/>
    <m/>
    <m/>
    <m/>
    <m/>
    <m/>
  </r>
  <r>
    <n v="2374"/>
    <n v="52692"/>
    <d v="1999-08-24T00:00:00"/>
    <n v="26"/>
    <x v="0"/>
    <x v="1"/>
    <d v="2024-08-11T00:00:00"/>
    <n v="1.2876712328767124"/>
    <x v="42"/>
    <x v="0"/>
    <x v="5"/>
    <x v="1"/>
    <n v="23.6"/>
    <m/>
    <m/>
    <m/>
    <m/>
    <m/>
    <m/>
    <x v="4"/>
    <n v="2"/>
    <n v="4"/>
    <m/>
    <m/>
    <m/>
    <m/>
    <m/>
    <m/>
    <m/>
    <m/>
    <m/>
    <m/>
    <m/>
    <m/>
    <m/>
    <m/>
  </r>
  <r>
    <n v="2375"/>
    <n v="52693"/>
    <d v="1998-02-15T00:00:00"/>
    <n v="27"/>
    <x v="0"/>
    <x v="0"/>
    <d v="2024-09-17T00:00:00"/>
    <n v="1.1342465753424658"/>
    <x v="29"/>
    <x v="1"/>
    <x v="5"/>
    <x v="1"/>
    <n v="23.6"/>
    <m/>
    <m/>
    <m/>
    <m/>
    <m/>
    <m/>
    <x v="2"/>
    <n v="3"/>
    <n v="5"/>
    <m/>
    <m/>
    <m/>
    <m/>
    <m/>
    <m/>
    <m/>
    <m/>
    <m/>
    <m/>
    <m/>
    <m/>
    <m/>
    <m/>
  </r>
  <r>
    <n v="2376"/>
    <n v="52694"/>
    <d v="1992-12-11T00:00:00"/>
    <n v="33"/>
    <x v="0"/>
    <x v="1"/>
    <d v="2024-11-12T00:00:00"/>
    <n v="1.4958904109589042"/>
    <x v="59"/>
    <x v="0"/>
    <x v="5"/>
    <x v="1"/>
    <n v="23.6"/>
    <m/>
    <m/>
    <m/>
    <m/>
    <m/>
    <m/>
    <x v="1"/>
    <n v="4"/>
    <n v="4"/>
    <m/>
    <m/>
    <m/>
    <m/>
    <m/>
    <m/>
    <m/>
    <m/>
    <m/>
    <m/>
    <m/>
    <m/>
    <m/>
    <m/>
  </r>
  <r>
    <n v="2377"/>
    <n v="52695"/>
    <d v="1987-04-23T00:00:00"/>
    <n v="38"/>
    <x v="0"/>
    <x v="0"/>
    <d v="2024-07-03T00:00:00"/>
    <n v="1.2136986301369863"/>
    <x v="105"/>
    <x v="1"/>
    <x v="5"/>
    <x v="1"/>
    <n v="23.6"/>
    <m/>
    <m/>
    <m/>
    <m/>
    <m/>
    <m/>
    <x v="4"/>
    <n v="1"/>
    <n v="4"/>
    <m/>
    <m/>
    <m/>
    <m/>
    <m/>
    <m/>
    <m/>
    <m/>
    <m/>
    <m/>
    <m/>
    <m/>
    <m/>
    <m/>
  </r>
  <r>
    <n v="2378"/>
    <n v="52696"/>
    <d v="1997-01-27T00:00:00"/>
    <n v="28"/>
    <x v="1"/>
    <x v="1"/>
    <d v="2024-10-14T00:00:00"/>
    <n v="1.2602739726027397"/>
    <x v="144"/>
    <x v="0"/>
    <x v="5"/>
    <x v="1"/>
    <n v="23.6"/>
    <m/>
    <m/>
    <m/>
    <m/>
    <m/>
    <m/>
    <x v="1"/>
    <n v="3"/>
    <n v="6"/>
    <m/>
    <m/>
    <m/>
    <m/>
    <m/>
    <m/>
    <m/>
    <m/>
    <m/>
    <m/>
    <m/>
    <m/>
    <m/>
    <m/>
  </r>
  <r>
    <n v="2379"/>
    <n v="52697"/>
    <d v="1998-03-13T00:00:00"/>
    <n v="27"/>
    <x v="0"/>
    <x v="0"/>
    <d v="2024-09-27T00:00:00"/>
    <n v="1.1917808219178083"/>
    <x v="120"/>
    <x v="1"/>
    <x v="5"/>
    <x v="1"/>
    <n v="23.6"/>
    <m/>
    <m/>
    <m/>
    <m/>
    <m/>
    <m/>
    <x v="3"/>
    <n v="4"/>
    <n v="5"/>
    <m/>
    <m/>
    <m/>
    <m/>
    <m/>
    <m/>
    <m/>
    <m/>
    <m/>
    <m/>
    <m/>
    <m/>
    <m/>
    <m/>
  </r>
  <r>
    <n v="2380"/>
    <n v="52698"/>
    <d v="2001-07-15T00:00:00"/>
    <n v="24"/>
    <x v="0"/>
    <x v="1"/>
    <d v="2024-10-22T00:00:00"/>
    <n v="1.515068493150685"/>
    <x v="105"/>
    <x v="1"/>
    <x v="5"/>
    <x v="1"/>
    <n v="23.6"/>
    <m/>
    <m/>
    <m/>
    <m/>
    <m/>
    <m/>
    <x v="4"/>
    <n v="6"/>
    <n v="6"/>
    <m/>
    <m/>
    <m/>
    <m/>
    <m/>
    <m/>
    <m/>
    <m/>
    <m/>
    <m/>
    <m/>
    <m/>
    <m/>
    <m/>
  </r>
  <r>
    <n v="2381"/>
    <n v="52699"/>
    <d v="1991-10-27T00:00:00"/>
    <n v="34"/>
    <x v="1"/>
    <x v="1"/>
    <d v="2024-06-26T00:00:00"/>
    <n v="1.5315068493150685"/>
    <x v="68"/>
    <x v="1"/>
    <x v="5"/>
    <x v="1"/>
    <n v="23.6"/>
    <m/>
    <m/>
    <m/>
    <m/>
    <m/>
    <m/>
    <x v="2"/>
    <n v="3"/>
    <n v="6"/>
    <m/>
    <m/>
    <m/>
    <m/>
    <m/>
    <m/>
    <m/>
    <m/>
    <m/>
    <m/>
    <m/>
    <m/>
    <m/>
    <m/>
  </r>
  <r>
    <n v="2382"/>
    <n v="52701"/>
    <d v="1997-05-16T00:00:00"/>
    <n v="28"/>
    <x v="0"/>
    <x v="1"/>
    <d v="2024-06-20T00:00:00"/>
    <n v="1.2821917808219179"/>
    <x v="81"/>
    <x v="1"/>
    <x v="5"/>
    <x v="1"/>
    <n v="23.6"/>
    <m/>
    <m/>
    <m/>
    <m/>
    <m/>
    <m/>
    <x v="2"/>
    <n v="3"/>
    <n v="5"/>
    <m/>
    <m/>
    <m/>
    <m/>
    <m/>
    <m/>
    <m/>
    <m/>
    <m/>
    <m/>
    <m/>
    <m/>
    <m/>
    <m/>
  </r>
  <r>
    <n v="2383"/>
    <n v="52702"/>
    <d v="1998-12-26T00:00:00"/>
    <n v="27"/>
    <x v="0"/>
    <x v="1"/>
    <d v="2024-09-19T00:00:00"/>
    <n v="1.2246575342465753"/>
    <x v="42"/>
    <x v="0"/>
    <x v="5"/>
    <x v="1"/>
    <n v="23.6"/>
    <m/>
    <m/>
    <m/>
    <m/>
    <m/>
    <m/>
    <x v="1"/>
    <n v="4"/>
    <n v="5"/>
    <m/>
    <m/>
    <m/>
    <m/>
    <m/>
    <m/>
    <m/>
    <m/>
    <m/>
    <m/>
    <m/>
    <m/>
    <m/>
    <m/>
  </r>
  <r>
    <n v="2384"/>
    <n v="52703"/>
    <d v="2001-05-19T00:00:00"/>
    <n v="24"/>
    <x v="0"/>
    <x v="1"/>
    <d v="2024-10-10T00:00:00"/>
    <n v="1.0027397260273974"/>
    <x v="112"/>
    <x v="1"/>
    <x v="5"/>
    <x v="1"/>
    <n v="23.6"/>
    <m/>
    <m/>
    <m/>
    <m/>
    <m/>
    <m/>
    <x v="4"/>
    <n v="4"/>
    <n v="6"/>
    <m/>
    <m/>
    <m/>
    <m/>
    <m/>
    <m/>
    <m/>
    <m/>
    <m/>
    <m/>
    <m/>
    <m/>
    <m/>
    <m/>
  </r>
  <r>
    <n v="2385"/>
    <n v="52704"/>
    <d v="1989-05-15T00:00:00"/>
    <n v="36"/>
    <x v="1"/>
    <x v="1"/>
    <d v="2024-12-30T00:00:00"/>
    <n v="1.0493150684931507"/>
    <x v="89"/>
    <x v="1"/>
    <x v="5"/>
    <x v="1"/>
    <n v="23.6"/>
    <m/>
    <m/>
    <m/>
    <m/>
    <m/>
    <m/>
    <x v="2"/>
    <n v="3"/>
    <n v="7"/>
    <m/>
    <m/>
    <m/>
    <m/>
    <m/>
    <m/>
    <m/>
    <m/>
    <m/>
    <m/>
    <m/>
    <m/>
    <m/>
    <m/>
  </r>
  <r>
    <n v="2386"/>
    <n v="52706"/>
    <d v="2001-10-12T00:00:00"/>
    <n v="24"/>
    <x v="0"/>
    <x v="1"/>
    <d v="2024-12-13T00:00:00"/>
    <n v="1.6712328767123288"/>
    <x v="8"/>
    <x v="1"/>
    <x v="5"/>
    <x v="1"/>
    <n v="23.6"/>
    <m/>
    <m/>
    <m/>
    <m/>
    <m/>
    <m/>
    <x v="2"/>
    <n v="4"/>
    <n v="5"/>
    <m/>
    <m/>
    <m/>
    <m/>
    <m/>
    <m/>
    <m/>
    <m/>
    <m/>
    <m/>
    <m/>
    <m/>
    <m/>
    <m/>
  </r>
  <r>
    <n v="2387"/>
    <n v="52707"/>
    <d v="1996-06-16T00:00:00"/>
    <n v="29"/>
    <x v="0"/>
    <x v="1"/>
    <d v="2024-04-30T00:00:00"/>
    <n v="1.6301369863013699"/>
    <x v="113"/>
    <x v="1"/>
    <x v="5"/>
    <x v="1"/>
    <n v="23.6"/>
    <m/>
    <m/>
    <m/>
    <m/>
    <m/>
    <m/>
    <x v="1"/>
    <n v="4"/>
    <n v="6"/>
    <m/>
    <m/>
    <m/>
    <m/>
    <m/>
    <m/>
    <m/>
    <m/>
    <m/>
    <m/>
    <m/>
    <m/>
    <m/>
    <m/>
  </r>
  <r>
    <n v="2388"/>
    <n v="52708"/>
    <d v="2000-10-12T00:00:00"/>
    <n v="25"/>
    <x v="1"/>
    <x v="1"/>
    <d v="2024-05-15T00:00:00"/>
    <n v="1.4958904109589042"/>
    <x v="84"/>
    <x v="1"/>
    <x v="5"/>
    <x v="1"/>
    <n v="23.6"/>
    <m/>
    <m/>
    <m/>
    <m/>
    <m/>
    <m/>
    <x v="4"/>
    <n v="5"/>
    <n v="7"/>
    <m/>
    <m/>
    <m/>
    <m/>
    <m/>
    <m/>
    <m/>
    <m/>
    <m/>
    <m/>
    <m/>
    <m/>
    <m/>
    <m/>
  </r>
  <r>
    <n v="2389"/>
    <n v="52709"/>
    <d v="1998-01-15T00:00:00"/>
    <n v="27"/>
    <x v="0"/>
    <x v="1"/>
    <d v="2024-07-03T00:00:00"/>
    <n v="1.7095890410958905"/>
    <x v="127"/>
    <x v="0"/>
    <x v="5"/>
    <x v="1"/>
    <n v="23.6"/>
    <m/>
    <m/>
    <m/>
    <m/>
    <m/>
    <m/>
    <x v="2"/>
    <n v="2"/>
    <n v="5"/>
    <m/>
    <m/>
    <m/>
    <m/>
    <m/>
    <m/>
    <m/>
    <m/>
    <m/>
    <m/>
    <m/>
    <m/>
    <m/>
    <m/>
  </r>
  <r>
    <n v="2390"/>
    <n v="52710"/>
    <d v="1996-04-19T00:00:00"/>
    <n v="29"/>
    <x v="0"/>
    <x v="1"/>
    <d v="2024-04-16T00:00:00"/>
    <n v="1.5342465753424657"/>
    <x v="24"/>
    <x v="0"/>
    <x v="5"/>
    <x v="1"/>
    <n v="23.6"/>
    <m/>
    <m/>
    <m/>
    <m/>
    <m/>
    <m/>
    <x v="4"/>
    <n v="5"/>
    <n v="5"/>
    <m/>
    <m/>
    <m/>
    <m/>
    <m/>
    <m/>
    <m/>
    <m/>
    <m/>
    <m/>
    <m/>
    <m/>
    <m/>
    <m/>
  </r>
  <r>
    <n v="2391"/>
    <n v="52711"/>
    <d v="1993-02-15T00:00:00"/>
    <n v="32"/>
    <x v="0"/>
    <x v="1"/>
    <d v="2024-06-19T00:00:00"/>
    <n v="1.3452054794520547"/>
    <x v="59"/>
    <x v="0"/>
    <x v="5"/>
    <x v="1"/>
    <n v="23.6"/>
    <m/>
    <m/>
    <m/>
    <m/>
    <m/>
    <m/>
    <x v="2"/>
    <n v="3"/>
    <n v="5"/>
    <m/>
    <m/>
    <m/>
    <m/>
    <m/>
    <m/>
    <m/>
    <m/>
    <m/>
    <m/>
    <m/>
    <m/>
    <m/>
    <m/>
  </r>
  <r>
    <n v="2392"/>
    <n v="52712"/>
    <d v="1999-06-10T00:00:00"/>
    <n v="26"/>
    <x v="1"/>
    <x v="1"/>
    <d v="2024-08-27T00:00:00"/>
    <n v="1.0904109589041096"/>
    <x v="49"/>
    <x v="0"/>
    <x v="5"/>
    <x v="1"/>
    <n v="23.6"/>
    <m/>
    <m/>
    <m/>
    <m/>
    <m/>
    <m/>
    <x v="3"/>
    <n v="6"/>
    <n v="7"/>
    <m/>
    <m/>
    <m/>
    <m/>
    <m/>
    <m/>
    <m/>
    <m/>
    <m/>
    <m/>
    <m/>
    <m/>
    <m/>
    <m/>
  </r>
  <r>
    <n v="2393"/>
    <n v="52713"/>
    <d v="1994-08-14T00:00:00"/>
    <n v="31"/>
    <x v="1"/>
    <x v="1"/>
    <d v="2024-11-28T00:00:00"/>
    <n v="1.832876712328767"/>
    <x v="7"/>
    <x v="0"/>
    <x v="5"/>
    <x v="1"/>
    <n v="23.6"/>
    <m/>
    <m/>
    <m/>
    <m/>
    <m/>
    <m/>
    <x v="2"/>
    <n v="4"/>
    <n v="7"/>
    <m/>
    <m/>
    <m/>
    <m/>
    <m/>
    <m/>
    <m/>
    <m/>
    <m/>
    <m/>
    <m/>
    <m/>
    <m/>
    <m/>
  </r>
  <r>
    <n v="2394"/>
    <n v="52714"/>
    <d v="1999-08-13T00:00:00"/>
    <n v="26"/>
    <x v="1"/>
    <x v="1"/>
    <d v="2024-03-02T00:00:00"/>
    <n v="1.3506849315068492"/>
    <x v="18"/>
    <x v="0"/>
    <x v="5"/>
    <x v="1"/>
    <n v="23.6"/>
    <m/>
    <m/>
    <m/>
    <m/>
    <m/>
    <m/>
    <x v="4"/>
    <n v="4"/>
    <n v="6"/>
    <m/>
    <m/>
    <m/>
    <m/>
    <m/>
    <m/>
    <m/>
    <m/>
    <m/>
    <m/>
    <m/>
    <m/>
    <m/>
    <m/>
  </r>
  <r>
    <n v="2395"/>
    <n v="52715"/>
    <d v="1997-07-03T00:00:00"/>
    <n v="28"/>
    <x v="0"/>
    <x v="1"/>
    <d v="2024-08-25T00:00:00"/>
    <n v="1.4958904109589042"/>
    <x v="102"/>
    <x v="0"/>
    <x v="5"/>
    <x v="1"/>
    <n v="23.6"/>
    <m/>
    <m/>
    <m/>
    <m/>
    <m/>
    <m/>
    <x v="1"/>
    <n v="4"/>
    <n v="5"/>
    <m/>
    <m/>
    <m/>
    <m/>
    <m/>
    <m/>
    <m/>
    <m/>
    <m/>
    <m/>
    <m/>
    <m/>
    <m/>
    <m/>
  </r>
  <r>
    <n v="2396"/>
    <n v="52718"/>
    <d v="2000-11-19T00:00:00"/>
    <n v="25"/>
    <x v="0"/>
    <x v="0"/>
    <d v="2024-07-03T00:00:00"/>
    <n v="1.4109589041095891"/>
    <x v="16"/>
    <x v="0"/>
    <x v="5"/>
    <x v="1"/>
    <n v="23.6"/>
    <m/>
    <m/>
    <m/>
    <m/>
    <m/>
    <m/>
    <x v="2"/>
    <n v="6"/>
    <n v="4"/>
    <m/>
    <m/>
    <m/>
    <m/>
    <m/>
    <m/>
    <m/>
    <m/>
    <m/>
    <m/>
    <m/>
    <m/>
    <m/>
    <m/>
  </r>
  <r>
    <n v="2397"/>
    <n v="52719"/>
    <d v="1998-11-24T00:00:00"/>
    <n v="27"/>
    <x v="1"/>
    <x v="1"/>
    <d v="2024-08-03T00:00:00"/>
    <n v="1.7616438356164383"/>
    <x v="20"/>
    <x v="0"/>
    <x v="5"/>
    <x v="1"/>
    <n v="23.6"/>
    <m/>
    <m/>
    <m/>
    <m/>
    <m/>
    <m/>
    <x v="3"/>
    <n v="4"/>
    <n v="7"/>
    <m/>
    <m/>
    <m/>
    <m/>
    <m/>
    <m/>
    <m/>
    <m/>
    <m/>
    <m/>
    <m/>
    <m/>
    <m/>
    <m/>
  </r>
  <r>
    <n v="2398"/>
    <n v="52720"/>
    <d v="1994-08-02T00:00:00"/>
    <n v="31"/>
    <x v="1"/>
    <x v="0"/>
    <d v="2024-03-28T00:00:00"/>
    <n v="1.5643835616438355"/>
    <x v="49"/>
    <x v="0"/>
    <x v="5"/>
    <x v="1"/>
    <n v="23.6"/>
    <m/>
    <m/>
    <m/>
    <m/>
    <m/>
    <m/>
    <x v="4"/>
    <n v="4"/>
    <n v="7"/>
    <m/>
    <m/>
    <m/>
    <m/>
    <m/>
    <m/>
    <m/>
    <m/>
    <m/>
    <m/>
    <m/>
    <m/>
    <m/>
    <m/>
  </r>
  <r>
    <n v="2399"/>
    <n v="52721"/>
    <d v="1999-04-25T00:00:00"/>
    <n v="26"/>
    <x v="1"/>
    <x v="1"/>
    <d v="2024-06-08T00:00:00"/>
    <n v="1.3917808219178083"/>
    <x v="144"/>
    <x v="0"/>
    <x v="5"/>
    <x v="1"/>
    <n v="23.6"/>
    <m/>
    <m/>
    <m/>
    <m/>
    <m/>
    <m/>
    <x v="2"/>
    <n v="2"/>
    <n v="7"/>
    <m/>
    <m/>
    <m/>
    <m/>
    <m/>
    <m/>
    <m/>
    <m/>
    <m/>
    <m/>
    <m/>
    <m/>
    <m/>
    <m/>
  </r>
  <r>
    <n v="2400"/>
    <n v="52722"/>
    <d v="1999-07-11T00:00:00"/>
    <n v="26"/>
    <x v="1"/>
    <x v="0"/>
    <d v="2024-08-10T00:00:00"/>
    <n v="1.1260273972602739"/>
    <x v="64"/>
    <x v="1"/>
    <x v="5"/>
    <x v="1"/>
    <n v="23.6"/>
    <m/>
    <m/>
    <m/>
    <m/>
    <m/>
    <m/>
    <x v="2"/>
    <n v="2"/>
    <n v="5"/>
    <m/>
    <m/>
    <m/>
    <m/>
    <m/>
    <m/>
    <m/>
    <m/>
    <m/>
    <m/>
    <m/>
    <m/>
    <m/>
    <m/>
  </r>
  <r>
    <n v="2401"/>
    <n v="52724"/>
    <d v="1994-11-05T00:00:00"/>
    <n v="31"/>
    <x v="0"/>
    <x v="1"/>
    <d v="2024-11-15T00:00:00"/>
    <n v="1.0136986301369864"/>
    <x v="132"/>
    <x v="1"/>
    <x v="5"/>
    <x v="1"/>
    <n v="23.6"/>
    <m/>
    <m/>
    <m/>
    <m/>
    <m/>
    <m/>
    <x v="1"/>
    <n v="3"/>
    <n v="6"/>
    <m/>
    <m/>
    <m/>
    <m/>
    <m/>
    <m/>
    <m/>
    <m/>
    <m/>
    <m/>
    <m/>
    <m/>
    <m/>
    <m/>
  </r>
  <r>
    <n v="2402"/>
    <n v="52726"/>
    <d v="1998-11-20T00:00:00"/>
    <n v="27"/>
    <x v="1"/>
    <x v="1"/>
    <d v="2024-12-26T00:00:00"/>
    <n v="1.6575342465753424"/>
    <x v="82"/>
    <x v="0"/>
    <x v="5"/>
    <x v="1"/>
    <n v="23.6"/>
    <m/>
    <m/>
    <m/>
    <m/>
    <m/>
    <m/>
    <x v="4"/>
    <n v="5"/>
    <n v="7"/>
    <m/>
    <m/>
    <m/>
    <m/>
    <m/>
    <m/>
    <m/>
    <m/>
    <m/>
    <m/>
    <m/>
    <m/>
    <m/>
    <m/>
  </r>
  <r>
    <n v="2403"/>
    <n v="52727"/>
    <d v="1990-04-04T00:00:00"/>
    <n v="35"/>
    <x v="0"/>
    <x v="1"/>
    <d v="2024-05-05T00:00:00"/>
    <n v="1.1315068493150684"/>
    <x v="102"/>
    <x v="0"/>
    <x v="5"/>
    <x v="1"/>
    <n v="23.6"/>
    <m/>
    <m/>
    <m/>
    <m/>
    <m/>
    <m/>
    <x v="4"/>
    <n v="5"/>
    <n v="5"/>
    <m/>
    <m/>
    <m/>
    <m/>
    <m/>
    <m/>
    <m/>
    <m/>
    <m/>
    <m/>
    <m/>
    <m/>
    <m/>
    <m/>
  </r>
  <r>
    <n v="2404"/>
    <n v="52728"/>
    <d v="1996-03-05T00:00:00"/>
    <n v="29"/>
    <x v="0"/>
    <x v="1"/>
    <d v="2024-11-13T00:00:00"/>
    <n v="1.4"/>
    <x v="19"/>
    <x v="0"/>
    <x v="5"/>
    <x v="1"/>
    <n v="23.6"/>
    <m/>
    <m/>
    <m/>
    <m/>
    <m/>
    <m/>
    <x v="3"/>
    <n v="4"/>
    <n v="6"/>
    <m/>
    <m/>
    <m/>
    <m/>
    <m/>
    <m/>
    <m/>
    <m/>
    <m/>
    <m/>
    <m/>
    <m/>
    <m/>
    <m/>
  </r>
  <r>
    <n v="2405"/>
    <n v="52730"/>
    <d v="2000-06-29T00:00:00"/>
    <n v="25"/>
    <x v="0"/>
    <x v="1"/>
    <d v="2024-08-07T00:00:00"/>
    <n v="1.0054794520547945"/>
    <x v="63"/>
    <x v="0"/>
    <x v="5"/>
    <x v="1"/>
    <n v="23.6"/>
    <m/>
    <m/>
    <m/>
    <m/>
    <m/>
    <m/>
    <x v="1"/>
    <n v="1"/>
    <n v="5"/>
    <m/>
    <m/>
    <m/>
    <m/>
    <m/>
    <m/>
    <m/>
    <m/>
    <m/>
    <m/>
    <m/>
    <m/>
    <m/>
    <m/>
  </r>
  <r>
    <n v="2406"/>
    <n v="52731"/>
    <d v="1996-03-02T00:00:00"/>
    <n v="29"/>
    <x v="1"/>
    <x v="1"/>
    <d v="2024-12-29T00:00:00"/>
    <n v="1.3917808219178083"/>
    <x v="44"/>
    <x v="1"/>
    <x v="5"/>
    <x v="1"/>
    <n v="23.6"/>
    <m/>
    <m/>
    <m/>
    <m/>
    <m/>
    <m/>
    <x v="4"/>
    <n v="4"/>
    <n v="6"/>
    <m/>
    <m/>
    <m/>
    <m/>
    <m/>
    <m/>
    <m/>
    <m/>
    <m/>
    <m/>
    <m/>
    <m/>
    <m/>
    <m/>
  </r>
  <r>
    <n v="2407"/>
    <n v="52732"/>
    <d v="1993-11-01T00:00:00"/>
    <n v="33"/>
    <x v="0"/>
    <x v="1"/>
    <d v="2024-08-10T00:00:00"/>
    <n v="1.7013698630136986"/>
    <x v="115"/>
    <x v="1"/>
    <x v="5"/>
    <x v="1"/>
    <n v="23.6"/>
    <m/>
    <m/>
    <m/>
    <m/>
    <m/>
    <m/>
    <x v="3"/>
    <n v="6"/>
    <n v="5"/>
    <m/>
    <m/>
    <m/>
    <m/>
    <m/>
    <m/>
    <m/>
    <m/>
    <m/>
    <m/>
    <m/>
    <m/>
    <m/>
    <m/>
  </r>
  <r>
    <n v="2408"/>
    <n v="52733"/>
    <d v="2000-02-13T00:00:00"/>
    <n v="25"/>
    <x v="1"/>
    <x v="1"/>
    <d v="2024-04-19T00:00:00"/>
    <n v="1.7561643835616438"/>
    <x v="82"/>
    <x v="0"/>
    <x v="5"/>
    <x v="1"/>
    <n v="23.6"/>
    <m/>
    <m/>
    <m/>
    <m/>
    <m/>
    <m/>
    <x v="4"/>
    <n v="4"/>
    <n v="6"/>
    <m/>
    <m/>
    <m/>
    <m/>
    <m/>
    <m/>
    <m/>
    <m/>
    <m/>
    <m/>
    <m/>
    <m/>
    <m/>
    <m/>
  </r>
  <r>
    <n v="2409"/>
    <n v="52734"/>
    <d v="2000-01-30T00:00:00"/>
    <n v="25"/>
    <x v="1"/>
    <x v="1"/>
    <d v="2024-03-30T00:00:00"/>
    <n v="1.4465753424657535"/>
    <x v="14"/>
    <x v="0"/>
    <x v="5"/>
    <x v="1"/>
    <n v="23.6"/>
    <m/>
    <m/>
    <m/>
    <m/>
    <m/>
    <m/>
    <x v="1"/>
    <n v="3"/>
    <n v="7"/>
    <m/>
    <m/>
    <m/>
    <m/>
    <m/>
    <m/>
    <m/>
    <m/>
    <m/>
    <m/>
    <m/>
    <m/>
    <m/>
    <m/>
  </r>
  <r>
    <n v="2410"/>
    <n v="52735"/>
    <d v="1998-12-23T00:00:00"/>
    <n v="27"/>
    <x v="0"/>
    <x v="1"/>
    <d v="2024-07-21T00:00:00"/>
    <n v="1.1315068493150684"/>
    <x v="28"/>
    <x v="0"/>
    <x v="5"/>
    <x v="1"/>
    <n v="23.6"/>
    <m/>
    <m/>
    <m/>
    <m/>
    <m/>
    <m/>
    <x v="4"/>
    <n v="6"/>
    <n v="7"/>
    <m/>
    <m/>
    <m/>
    <m/>
    <m/>
    <m/>
    <m/>
    <m/>
    <m/>
    <m/>
    <m/>
    <m/>
    <m/>
    <m/>
  </r>
  <r>
    <n v="2411"/>
    <n v="52736"/>
    <d v="1998-03-12T00:00:00"/>
    <n v="27"/>
    <x v="0"/>
    <x v="1"/>
    <d v="2024-11-13T00:00:00"/>
    <n v="1.2164383561643837"/>
    <x v="124"/>
    <x v="0"/>
    <x v="5"/>
    <x v="1"/>
    <n v="23.6"/>
    <m/>
    <m/>
    <m/>
    <m/>
    <m/>
    <m/>
    <x v="3"/>
    <n v="3"/>
    <n v="6"/>
    <m/>
    <m/>
    <m/>
    <m/>
    <m/>
    <m/>
    <m/>
    <m/>
    <m/>
    <m/>
    <m/>
    <m/>
    <m/>
    <m/>
  </r>
  <r>
    <n v="2412"/>
    <n v="52738"/>
    <d v="1994-11-10T00:00:00"/>
    <n v="31"/>
    <x v="1"/>
    <x v="0"/>
    <d v="2024-10-13T00:00:00"/>
    <n v="1.0849315068493151"/>
    <x v="2"/>
    <x v="0"/>
    <x v="5"/>
    <x v="1"/>
    <n v="23.6"/>
    <m/>
    <m/>
    <m/>
    <m/>
    <m/>
    <m/>
    <x v="1"/>
    <n v="2"/>
    <n v="5"/>
    <m/>
    <m/>
    <m/>
    <m/>
    <m/>
    <m/>
    <m/>
    <m/>
    <m/>
    <m/>
    <m/>
    <m/>
    <m/>
    <m/>
  </r>
  <r>
    <n v="2413"/>
    <n v="52739"/>
    <d v="1997-12-02T00:00:00"/>
    <n v="28"/>
    <x v="0"/>
    <x v="1"/>
    <d v="2024-11-30T00:00:00"/>
    <n v="1.5506849315068494"/>
    <x v="28"/>
    <x v="0"/>
    <x v="5"/>
    <x v="1"/>
    <n v="23.6"/>
    <m/>
    <m/>
    <m/>
    <m/>
    <m/>
    <m/>
    <x v="3"/>
    <n v="1"/>
    <n v="5"/>
    <m/>
    <m/>
    <m/>
    <m/>
    <m/>
    <m/>
    <m/>
    <m/>
    <m/>
    <m/>
    <m/>
    <m/>
    <m/>
    <m/>
  </r>
  <r>
    <n v="2414"/>
    <n v="52740"/>
    <d v="1997-09-12T00:00:00"/>
    <n v="28"/>
    <x v="0"/>
    <x v="1"/>
    <d v="2024-06-13T00:00:00"/>
    <n v="1.4876712328767123"/>
    <x v="143"/>
    <x v="0"/>
    <x v="5"/>
    <x v="1"/>
    <n v="23.6"/>
    <m/>
    <m/>
    <m/>
    <m/>
    <m/>
    <m/>
    <x v="2"/>
    <n v="5"/>
    <n v="4"/>
    <m/>
    <m/>
    <m/>
    <m/>
    <m/>
    <m/>
    <m/>
    <m/>
    <m/>
    <m/>
    <m/>
    <m/>
    <m/>
    <m/>
  </r>
  <r>
    <n v="2415"/>
    <n v="52741"/>
    <d v="1998-10-27T00:00:00"/>
    <n v="27"/>
    <x v="0"/>
    <x v="0"/>
    <d v="2024-07-06T00:00:00"/>
    <n v="1.7397260273972603"/>
    <x v="55"/>
    <x v="0"/>
    <x v="5"/>
    <x v="1"/>
    <n v="23.6"/>
    <m/>
    <m/>
    <m/>
    <m/>
    <m/>
    <m/>
    <x v="3"/>
    <n v="4"/>
    <n v="5"/>
    <m/>
    <m/>
    <m/>
    <m/>
    <m/>
    <m/>
    <m/>
    <m/>
    <m/>
    <m/>
    <m/>
    <m/>
    <m/>
    <m/>
  </r>
  <r>
    <n v="2416"/>
    <n v="52742"/>
    <d v="1996-10-28T00:00:00"/>
    <n v="29"/>
    <x v="0"/>
    <x v="1"/>
    <d v="2024-04-05T00:00:00"/>
    <n v="1.6410958904109589"/>
    <x v="38"/>
    <x v="0"/>
    <x v="5"/>
    <x v="1"/>
    <n v="23.6"/>
    <m/>
    <m/>
    <m/>
    <m/>
    <m/>
    <m/>
    <x v="2"/>
    <n v="2"/>
    <n v="4"/>
    <m/>
    <m/>
    <m/>
    <m/>
    <m/>
    <m/>
    <m/>
    <m/>
    <m/>
    <m/>
    <m/>
    <m/>
    <m/>
    <m/>
  </r>
  <r>
    <n v="2417"/>
    <n v="52743"/>
    <d v="2001-10-04T00:00:00"/>
    <n v="24"/>
    <x v="0"/>
    <x v="0"/>
    <d v="2024-05-11T00:00:00"/>
    <n v="1.3287671232876712"/>
    <x v="51"/>
    <x v="1"/>
    <x v="5"/>
    <x v="1"/>
    <n v="23.6"/>
    <m/>
    <m/>
    <m/>
    <m/>
    <m/>
    <m/>
    <x v="2"/>
    <n v="5"/>
    <n v="5"/>
    <m/>
    <m/>
    <m/>
    <m/>
    <m/>
    <m/>
    <m/>
    <m/>
    <m/>
    <m/>
    <m/>
    <m/>
    <m/>
    <m/>
  </r>
  <r>
    <n v="2418"/>
    <n v="52744"/>
    <d v="1996-02-10T00:00:00"/>
    <n v="29"/>
    <x v="0"/>
    <x v="0"/>
    <d v="2024-09-02T00:00:00"/>
    <n v="1.3178082191780822"/>
    <x v="130"/>
    <x v="1"/>
    <x v="5"/>
    <x v="1"/>
    <n v="23.6"/>
    <m/>
    <m/>
    <m/>
    <m/>
    <m/>
    <m/>
    <x v="4"/>
    <n v="6"/>
    <n v="5"/>
    <m/>
    <m/>
    <m/>
    <m/>
    <m/>
    <m/>
    <m/>
    <m/>
    <m/>
    <m/>
    <m/>
    <m/>
    <m/>
    <m/>
  </r>
  <r>
    <n v="2419"/>
    <n v="52745"/>
    <d v="2001-02-18T00:00:00"/>
    <n v="24"/>
    <x v="0"/>
    <x v="1"/>
    <d v="2024-09-06T00:00:00"/>
    <n v="1.5890410958904109"/>
    <x v="121"/>
    <x v="1"/>
    <x v="5"/>
    <x v="1"/>
    <n v="23.6"/>
    <m/>
    <m/>
    <m/>
    <m/>
    <m/>
    <m/>
    <x v="1"/>
    <n v="6"/>
    <n v="5"/>
    <m/>
    <m/>
    <m/>
    <m/>
    <m/>
    <m/>
    <m/>
    <m/>
    <m/>
    <m/>
    <m/>
    <m/>
    <m/>
    <m/>
  </r>
  <r>
    <n v="2420"/>
    <n v="52746"/>
    <d v="1999-11-02T00:00:00"/>
    <n v="26"/>
    <x v="1"/>
    <x v="0"/>
    <d v="2024-05-30T00:00:00"/>
    <n v="1.3506849315068492"/>
    <x v="60"/>
    <x v="1"/>
    <x v="5"/>
    <x v="1"/>
    <n v="23.6"/>
    <m/>
    <m/>
    <m/>
    <m/>
    <m/>
    <m/>
    <x v="3"/>
    <n v="2"/>
    <n v="6"/>
    <m/>
    <m/>
    <m/>
    <m/>
    <m/>
    <m/>
    <m/>
    <m/>
    <m/>
    <m/>
    <m/>
    <m/>
    <m/>
    <m/>
  </r>
  <r>
    <n v="2421"/>
    <n v="52748"/>
    <d v="1996-08-28T00:00:00"/>
    <n v="29"/>
    <x v="1"/>
    <x v="1"/>
    <d v="2024-08-25T00:00:00"/>
    <n v="1.3342465753424657"/>
    <x v="136"/>
    <x v="0"/>
    <x v="5"/>
    <x v="1"/>
    <n v="23.6"/>
    <m/>
    <m/>
    <m/>
    <m/>
    <m/>
    <m/>
    <x v="1"/>
    <n v="6"/>
    <n v="7"/>
    <m/>
    <m/>
    <m/>
    <m/>
    <m/>
    <m/>
    <m/>
    <m/>
    <m/>
    <m/>
    <m/>
    <m/>
    <m/>
    <m/>
  </r>
  <r>
    <n v="2422"/>
    <n v="52749"/>
    <d v="1994-01-04T00:00:00"/>
    <n v="31"/>
    <x v="1"/>
    <x v="0"/>
    <d v="2024-08-31T00:00:00"/>
    <n v="1.2410958904109588"/>
    <x v="32"/>
    <x v="0"/>
    <x v="5"/>
    <x v="1"/>
    <n v="23.6"/>
    <m/>
    <m/>
    <m/>
    <m/>
    <m/>
    <m/>
    <x v="1"/>
    <n v="3"/>
    <n v="4"/>
    <m/>
    <m/>
    <m/>
    <m/>
    <m/>
    <m/>
    <m/>
    <m/>
    <m/>
    <m/>
    <m/>
    <m/>
    <m/>
    <m/>
  </r>
  <r>
    <n v="2423"/>
    <n v="52751"/>
    <d v="1997-03-22T00:00:00"/>
    <n v="28"/>
    <x v="1"/>
    <x v="1"/>
    <d v="2024-10-04T00:00:00"/>
    <n v="1.0630136986301371"/>
    <x v="99"/>
    <x v="1"/>
    <x v="5"/>
    <x v="1"/>
    <n v="23.6"/>
    <m/>
    <m/>
    <m/>
    <m/>
    <m/>
    <m/>
    <x v="1"/>
    <n v="5"/>
    <n v="7"/>
    <m/>
    <m/>
    <m/>
    <m/>
    <m/>
    <m/>
    <m/>
    <m/>
    <m/>
    <m/>
    <m/>
    <m/>
    <m/>
    <m/>
  </r>
  <r>
    <n v="2424"/>
    <n v="52752"/>
    <d v="1995-04-14T00:00:00"/>
    <n v="30"/>
    <x v="0"/>
    <x v="0"/>
    <d v="2024-12-08T00:00:00"/>
    <n v="1.5972602739726027"/>
    <x v="18"/>
    <x v="0"/>
    <x v="5"/>
    <x v="1"/>
    <n v="23.6"/>
    <m/>
    <m/>
    <m/>
    <m/>
    <m/>
    <m/>
    <x v="1"/>
    <n v="3"/>
    <n v="4"/>
    <m/>
    <m/>
    <m/>
    <m/>
    <m/>
    <m/>
    <m/>
    <m/>
    <m/>
    <m/>
    <m/>
    <m/>
    <m/>
    <m/>
  </r>
  <r>
    <n v="2425"/>
    <n v="52753"/>
    <d v="1994-02-18T00:00:00"/>
    <n v="31"/>
    <x v="1"/>
    <x v="1"/>
    <d v="2024-05-27T00:00:00"/>
    <n v="1.6273972602739726"/>
    <x v="96"/>
    <x v="1"/>
    <x v="5"/>
    <x v="1"/>
    <n v="23.6"/>
    <m/>
    <m/>
    <m/>
    <m/>
    <m/>
    <m/>
    <x v="4"/>
    <n v="6"/>
    <n v="7"/>
    <m/>
    <m/>
    <m/>
    <m/>
    <m/>
    <m/>
    <m/>
    <m/>
    <m/>
    <m/>
    <m/>
    <m/>
    <m/>
    <m/>
  </r>
  <r>
    <n v="2426"/>
    <n v="52754"/>
    <d v="1989-02-26T00:00:00"/>
    <n v="36"/>
    <x v="0"/>
    <x v="0"/>
    <d v="2024-05-16T00:00:00"/>
    <n v="1.6684931506849314"/>
    <x v="117"/>
    <x v="1"/>
    <x v="5"/>
    <x v="1"/>
    <n v="23.6"/>
    <m/>
    <m/>
    <m/>
    <m/>
    <m/>
    <m/>
    <x v="2"/>
    <n v="5"/>
    <n v="5"/>
    <m/>
    <m/>
    <m/>
    <m/>
    <m/>
    <m/>
    <m/>
    <m/>
    <m/>
    <m/>
    <m/>
    <m/>
    <m/>
    <m/>
  </r>
  <r>
    <n v="2427"/>
    <n v="52755"/>
    <d v="1999-09-02T00:00:00"/>
    <n v="26"/>
    <x v="1"/>
    <x v="1"/>
    <d v="2024-05-01T00:00:00"/>
    <n v="1.5342465753424657"/>
    <x v="76"/>
    <x v="1"/>
    <x v="5"/>
    <x v="1"/>
    <n v="23.6"/>
    <m/>
    <m/>
    <m/>
    <m/>
    <m/>
    <m/>
    <x v="2"/>
    <n v="2"/>
    <n v="6"/>
    <m/>
    <m/>
    <m/>
    <m/>
    <m/>
    <m/>
    <m/>
    <m/>
    <m/>
    <m/>
    <m/>
    <m/>
    <m/>
    <m/>
  </r>
  <r>
    <n v="2428"/>
    <n v="52756"/>
    <d v="1996-04-15T00:00:00"/>
    <n v="29"/>
    <x v="1"/>
    <x v="1"/>
    <d v="2024-06-19T00:00:00"/>
    <n v="1.1808219178082191"/>
    <x v="81"/>
    <x v="1"/>
    <x v="5"/>
    <x v="1"/>
    <n v="23.6"/>
    <m/>
    <m/>
    <m/>
    <m/>
    <m/>
    <m/>
    <x v="2"/>
    <n v="2"/>
    <n v="6"/>
    <m/>
    <m/>
    <m/>
    <m/>
    <m/>
    <m/>
    <m/>
    <m/>
    <m/>
    <m/>
    <m/>
    <m/>
    <m/>
    <m/>
  </r>
  <r>
    <n v="2429"/>
    <n v="52757"/>
    <d v="1997-01-16T00:00:00"/>
    <n v="28"/>
    <x v="0"/>
    <x v="1"/>
    <d v="2024-10-26T00:00:00"/>
    <n v="1.1397260273972603"/>
    <x v="19"/>
    <x v="0"/>
    <x v="5"/>
    <x v="1"/>
    <n v="23.6"/>
    <m/>
    <m/>
    <m/>
    <m/>
    <m/>
    <m/>
    <x v="2"/>
    <n v="3"/>
    <n v="6"/>
    <m/>
    <m/>
    <m/>
    <m/>
    <m/>
    <m/>
    <m/>
    <m/>
    <m/>
    <m/>
    <m/>
    <m/>
    <m/>
    <m/>
  </r>
  <r>
    <n v="2430"/>
    <n v="52758"/>
    <d v="1999-07-28T00:00:00"/>
    <n v="26"/>
    <x v="0"/>
    <x v="1"/>
    <d v="2024-11-10T00:00:00"/>
    <n v="1.5315068493150685"/>
    <x v="106"/>
    <x v="1"/>
    <x v="5"/>
    <x v="1"/>
    <n v="23.6"/>
    <m/>
    <m/>
    <m/>
    <m/>
    <m/>
    <m/>
    <x v="1"/>
    <n v="5"/>
    <n v="6"/>
    <m/>
    <m/>
    <m/>
    <m/>
    <m/>
    <m/>
    <m/>
    <m/>
    <m/>
    <m/>
    <m/>
    <m/>
    <m/>
    <m/>
  </r>
  <r>
    <n v="2431"/>
    <n v="52759"/>
    <d v="1999-05-22T00:00:00"/>
    <n v="26"/>
    <x v="0"/>
    <x v="0"/>
    <d v="2024-06-20T00:00:00"/>
    <n v="1.3232876712328767"/>
    <x v="93"/>
    <x v="1"/>
    <x v="5"/>
    <x v="1"/>
    <n v="23.6"/>
    <m/>
    <m/>
    <m/>
    <m/>
    <m/>
    <m/>
    <x v="4"/>
    <n v="3"/>
    <n v="3"/>
    <m/>
    <m/>
    <m/>
    <m/>
    <m/>
    <m/>
    <m/>
    <m/>
    <m/>
    <m/>
    <m/>
    <m/>
    <m/>
    <m/>
  </r>
  <r>
    <n v="2432"/>
    <n v="52760"/>
    <d v="1999-04-27T00:00:00"/>
    <n v="26"/>
    <x v="1"/>
    <x v="1"/>
    <d v="2024-09-04T00:00:00"/>
    <n v="1.0904109589041096"/>
    <x v="63"/>
    <x v="0"/>
    <x v="5"/>
    <x v="1"/>
    <n v="23.6"/>
    <m/>
    <m/>
    <m/>
    <m/>
    <m/>
    <m/>
    <x v="1"/>
    <n v="1"/>
    <n v="6"/>
    <m/>
    <m/>
    <m/>
    <m/>
    <m/>
    <m/>
    <m/>
    <m/>
    <m/>
    <m/>
    <m/>
    <m/>
    <m/>
    <m/>
  </r>
  <r>
    <n v="2433"/>
    <n v="52762"/>
    <d v="1988-04-28T00:00:00"/>
    <n v="37"/>
    <x v="0"/>
    <x v="1"/>
    <d v="2024-11-28T00:00:00"/>
    <n v="1.484931506849315"/>
    <x v="16"/>
    <x v="0"/>
    <x v="5"/>
    <x v="1"/>
    <n v="23.6"/>
    <m/>
    <m/>
    <m/>
    <m/>
    <m/>
    <m/>
    <x v="3"/>
    <n v="3"/>
    <n v="4"/>
    <m/>
    <m/>
    <m/>
    <m/>
    <m/>
    <m/>
    <m/>
    <m/>
    <m/>
    <m/>
    <m/>
    <m/>
    <m/>
    <m/>
  </r>
  <r>
    <n v="2434"/>
    <n v="52763"/>
    <d v="1996-08-15T00:00:00"/>
    <n v="29"/>
    <x v="0"/>
    <x v="1"/>
    <d v="2024-07-07T00:00:00"/>
    <n v="1.3068493150684932"/>
    <x v="52"/>
    <x v="0"/>
    <x v="5"/>
    <x v="1"/>
    <n v="23.6"/>
    <m/>
    <m/>
    <m/>
    <m/>
    <m/>
    <m/>
    <x v="1"/>
    <n v="3"/>
    <n v="5"/>
    <m/>
    <m/>
    <m/>
    <m/>
    <m/>
    <m/>
    <m/>
    <m/>
    <m/>
    <m/>
    <m/>
    <m/>
    <m/>
    <m/>
  </r>
  <r>
    <n v="2435"/>
    <n v="52764"/>
    <d v="2000-04-19T00:00:00"/>
    <n v="25"/>
    <x v="0"/>
    <x v="1"/>
    <d v="2024-09-10T00:00:00"/>
    <n v="1.0301369863013699"/>
    <x v="43"/>
    <x v="1"/>
    <x v="5"/>
    <x v="1"/>
    <n v="23.6"/>
    <m/>
    <m/>
    <m/>
    <m/>
    <m/>
    <m/>
    <x v="3"/>
    <n v="4"/>
    <n v="5"/>
    <m/>
    <m/>
    <m/>
    <m/>
    <m/>
    <m/>
    <m/>
    <m/>
    <m/>
    <m/>
    <m/>
    <m/>
    <m/>
    <m/>
  </r>
  <r>
    <n v="2436"/>
    <n v="52765"/>
    <d v="2000-12-17T00:00:00"/>
    <n v="25"/>
    <x v="0"/>
    <x v="1"/>
    <d v="2024-12-20T00:00:00"/>
    <n v="1.0054794520547945"/>
    <x v="8"/>
    <x v="1"/>
    <x v="5"/>
    <x v="1"/>
    <n v="23.6"/>
    <m/>
    <m/>
    <m/>
    <m/>
    <m/>
    <m/>
    <x v="4"/>
    <n v="2"/>
    <n v="5"/>
    <m/>
    <m/>
    <m/>
    <m/>
    <m/>
    <m/>
    <m/>
    <m/>
    <m/>
    <m/>
    <m/>
    <m/>
    <m/>
    <m/>
  </r>
  <r>
    <n v="2437"/>
    <n v="52766"/>
    <d v="1996-03-19T00:00:00"/>
    <n v="29"/>
    <x v="0"/>
    <x v="0"/>
    <d v="2024-12-29T00:00:00"/>
    <n v="1.6493150684931508"/>
    <x v="13"/>
    <x v="0"/>
    <x v="5"/>
    <x v="1"/>
    <n v="23.6"/>
    <m/>
    <m/>
    <m/>
    <m/>
    <m/>
    <m/>
    <x v="2"/>
    <n v="5"/>
    <n v="5"/>
    <m/>
    <m/>
    <m/>
    <m/>
    <m/>
    <m/>
    <m/>
    <m/>
    <m/>
    <m/>
    <m/>
    <m/>
    <m/>
    <m/>
  </r>
  <r>
    <n v="2438"/>
    <n v="52767"/>
    <d v="1996-05-22T00:00:00"/>
    <n v="29"/>
    <x v="1"/>
    <x v="1"/>
    <d v="2024-05-08T00:00:00"/>
    <n v="1.3205479452054794"/>
    <x v="22"/>
    <x v="0"/>
    <x v="5"/>
    <x v="1"/>
    <n v="23.6"/>
    <m/>
    <m/>
    <m/>
    <m/>
    <m/>
    <m/>
    <x v="2"/>
    <n v="6"/>
    <n v="6"/>
    <m/>
    <m/>
    <m/>
    <m/>
    <m/>
    <m/>
    <m/>
    <m/>
    <m/>
    <m/>
    <m/>
    <m/>
    <m/>
    <m/>
  </r>
  <r>
    <n v="2439"/>
    <n v="52768"/>
    <d v="1994-12-23T00:00:00"/>
    <n v="31"/>
    <x v="0"/>
    <x v="1"/>
    <d v="2024-09-05T00:00:00"/>
    <n v="1.558904109589041"/>
    <x v="137"/>
    <x v="0"/>
    <x v="5"/>
    <x v="1"/>
    <n v="23.6"/>
    <m/>
    <m/>
    <m/>
    <m/>
    <m/>
    <m/>
    <x v="4"/>
    <n v="5"/>
    <n v="4"/>
    <m/>
    <m/>
    <m/>
    <m/>
    <m/>
    <m/>
    <m/>
    <m/>
    <m/>
    <m/>
    <m/>
    <m/>
    <m/>
    <m/>
  </r>
  <r>
    <n v="2440"/>
    <n v="52769"/>
    <d v="1996-08-11T00:00:00"/>
    <n v="29"/>
    <x v="0"/>
    <x v="1"/>
    <d v="2024-06-10T00:00:00"/>
    <n v="1.6904109589041096"/>
    <x v="25"/>
    <x v="0"/>
    <x v="5"/>
    <x v="1"/>
    <n v="23.6"/>
    <m/>
    <m/>
    <m/>
    <m/>
    <m/>
    <m/>
    <x v="1"/>
    <n v="5"/>
    <n v="6"/>
    <m/>
    <m/>
    <m/>
    <m/>
    <m/>
    <m/>
    <m/>
    <m/>
    <m/>
    <m/>
    <m/>
    <m/>
    <m/>
    <m/>
  </r>
  <r>
    <n v="2441"/>
    <n v="52770"/>
    <d v="1997-12-03T00:00:00"/>
    <n v="28"/>
    <x v="0"/>
    <x v="1"/>
    <d v="2024-04-23T00:00:00"/>
    <n v="1.106849315068493"/>
    <x v="139"/>
    <x v="0"/>
    <x v="5"/>
    <x v="1"/>
    <n v="23.6"/>
    <m/>
    <m/>
    <m/>
    <m/>
    <m/>
    <m/>
    <x v="2"/>
    <n v="1"/>
    <n v="5"/>
    <m/>
    <m/>
    <m/>
    <m/>
    <m/>
    <m/>
    <m/>
    <m/>
    <m/>
    <m/>
    <m/>
    <m/>
    <m/>
    <m/>
  </r>
  <r>
    <n v="2442"/>
    <n v="52771"/>
    <d v="1996-08-17T00:00:00"/>
    <n v="29"/>
    <x v="0"/>
    <x v="1"/>
    <d v="2024-11-22T00:00:00"/>
    <n v="1.6821917808219178"/>
    <x v="139"/>
    <x v="0"/>
    <x v="5"/>
    <x v="1"/>
    <n v="23.6"/>
    <m/>
    <m/>
    <m/>
    <m/>
    <m/>
    <m/>
    <x v="4"/>
    <n v="4"/>
    <n v="5"/>
    <m/>
    <m/>
    <m/>
    <m/>
    <m/>
    <m/>
    <m/>
    <m/>
    <m/>
    <m/>
    <m/>
    <m/>
    <m/>
    <m/>
  </r>
  <r>
    <n v="2443"/>
    <n v="52773"/>
    <d v="2000-06-10T00:00:00"/>
    <n v="25"/>
    <x v="0"/>
    <x v="1"/>
    <d v="2024-04-26T00:00:00"/>
    <n v="1.6849315068493151"/>
    <x v="97"/>
    <x v="1"/>
    <x v="5"/>
    <x v="1"/>
    <n v="23.6"/>
    <m/>
    <m/>
    <m/>
    <m/>
    <m/>
    <m/>
    <x v="1"/>
    <n v="4"/>
    <n v="5"/>
    <m/>
    <m/>
    <m/>
    <m/>
    <m/>
    <m/>
    <m/>
    <m/>
    <m/>
    <m/>
    <m/>
    <m/>
    <m/>
    <m/>
  </r>
  <r>
    <n v="2444"/>
    <n v="52774"/>
    <d v="1996-12-11T00:00:00"/>
    <n v="29"/>
    <x v="0"/>
    <x v="1"/>
    <d v="2024-04-25T00:00:00"/>
    <n v="1.0986301369863014"/>
    <x v="108"/>
    <x v="1"/>
    <x v="5"/>
    <x v="1"/>
    <n v="23.6"/>
    <m/>
    <m/>
    <m/>
    <m/>
    <m/>
    <m/>
    <x v="2"/>
    <n v="6"/>
    <n v="5"/>
    <m/>
    <m/>
    <m/>
    <m/>
    <m/>
    <m/>
    <m/>
    <m/>
    <m/>
    <m/>
    <m/>
    <m/>
    <m/>
    <m/>
  </r>
  <r>
    <n v="2445"/>
    <n v="52775"/>
    <d v="1996-10-06T00:00:00"/>
    <n v="29"/>
    <x v="0"/>
    <x v="1"/>
    <d v="2024-11-25T00:00:00"/>
    <n v="1.6493150684931508"/>
    <x v="79"/>
    <x v="1"/>
    <x v="5"/>
    <x v="1"/>
    <n v="23.6"/>
    <m/>
    <m/>
    <m/>
    <m/>
    <m/>
    <m/>
    <x v="2"/>
    <n v="4"/>
    <n v="4"/>
    <m/>
    <m/>
    <m/>
    <m/>
    <m/>
    <m/>
    <m/>
    <m/>
    <m/>
    <m/>
    <m/>
    <m/>
    <m/>
    <m/>
  </r>
  <r>
    <n v="2446"/>
    <n v="52776"/>
    <d v="1991-05-04T00:00:00"/>
    <n v="34"/>
    <x v="0"/>
    <x v="1"/>
    <d v="2024-05-08T00:00:00"/>
    <n v="1.5506849315068494"/>
    <x v="61"/>
    <x v="0"/>
    <x v="5"/>
    <x v="1"/>
    <n v="23.6"/>
    <m/>
    <m/>
    <m/>
    <m/>
    <m/>
    <m/>
    <x v="2"/>
    <n v="3"/>
    <n v="4"/>
    <m/>
    <m/>
    <m/>
    <m/>
    <m/>
    <m/>
    <m/>
    <m/>
    <m/>
    <m/>
    <m/>
    <m/>
    <m/>
    <m/>
  </r>
  <r>
    <n v="2447"/>
    <n v="52778"/>
    <d v="1993-07-19T00:00:00"/>
    <n v="32"/>
    <x v="0"/>
    <x v="1"/>
    <d v="2024-06-13T00:00:00"/>
    <n v="1.1479452054794521"/>
    <x v="51"/>
    <x v="1"/>
    <x v="5"/>
    <x v="1"/>
    <n v="23.6"/>
    <m/>
    <m/>
    <m/>
    <m/>
    <m/>
    <m/>
    <x v="1"/>
    <n v="4"/>
    <n v="5"/>
    <m/>
    <m/>
    <m/>
    <m/>
    <m/>
    <m/>
    <m/>
    <m/>
    <m/>
    <m/>
    <m/>
    <m/>
    <m/>
    <m/>
  </r>
  <r>
    <n v="2448"/>
    <n v="52779"/>
    <d v="1998-10-06T00:00:00"/>
    <n v="27"/>
    <x v="0"/>
    <x v="1"/>
    <d v="2024-11-07T00:00:00"/>
    <n v="1.0876712328767124"/>
    <x v="35"/>
    <x v="0"/>
    <x v="5"/>
    <x v="1"/>
    <n v="23.6"/>
    <m/>
    <m/>
    <m/>
    <m/>
    <m/>
    <m/>
    <x v="4"/>
    <n v="4"/>
    <n v="4"/>
    <m/>
    <m/>
    <m/>
    <m/>
    <m/>
    <m/>
    <m/>
    <m/>
    <m/>
    <m/>
    <m/>
    <m/>
    <m/>
    <m/>
  </r>
  <r>
    <n v="2449"/>
    <n v="52781"/>
    <d v="1999-10-10T00:00:00"/>
    <n v="26"/>
    <x v="1"/>
    <x v="1"/>
    <d v="2024-11-29T00:00:00"/>
    <n v="1.1589041095890411"/>
    <x v="21"/>
    <x v="0"/>
    <x v="5"/>
    <x v="1"/>
    <n v="23.6"/>
    <m/>
    <m/>
    <m/>
    <m/>
    <m/>
    <m/>
    <x v="2"/>
    <n v="5"/>
    <n v="6"/>
    <m/>
    <m/>
    <m/>
    <m/>
    <m/>
    <m/>
    <m/>
    <m/>
    <m/>
    <m/>
    <m/>
    <m/>
    <m/>
    <m/>
  </r>
  <r>
    <n v="2450"/>
    <n v="52782"/>
    <d v="2001-12-17T00:00:00"/>
    <n v="24"/>
    <x v="0"/>
    <x v="1"/>
    <d v="2024-11-03T00:00:00"/>
    <n v="1.6273972602739726"/>
    <x v="87"/>
    <x v="0"/>
    <x v="5"/>
    <x v="1"/>
    <n v="23.6"/>
    <m/>
    <m/>
    <m/>
    <m/>
    <m/>
    <m/>
    <x v="1"/>
    <n v="6"/>
    <n v="5"/>
    <m/>
    <m/>
    <m/>
    <m/>
    <m/>
    <m/>
    <m/>
    <m/>
    <m/>
    <m/>
    <m/>
    <m/>
    <m/>
    <m/>
  </r>
  <r>
    <n v="2451"/>
    <n v="52783"/>
    <d v="1997-12-15T00:00:00"/>
    <n v="28"/>
    <x v="0"/>
    <x v="1"/>
    <d v="2024-05-16T00:00:00"/>
    <n v="1.0246575342465754"/>
    <x v="57"/>
    <x v="0"/>
    <x v="5"/>
    <x v="1"/>
    <n v="23.6"/>
    <m/>
    <m/>
    <m/>
    <m/>
    <m/>
    <m/>
    <x v="1"/>
    <n v="2"/>
    <n v="5"/>
    <m/>
    <m/>
    <m/>
    <m/>
    <m/>
    <m/>
    <m/>
    <m/>
    <m/>
    <m/>
    <m/>
    <m/>
    <m/>
    <m/>
  </r>
  <r>
    <n v="2452"/>
    <n v="52784"/>
    <d v="1994-01-20T00:00:00"/>
    <n v="31"/>
    <x v="0"/>
    <x v="1"/>
    <d v="2024-12-22T00:00:00"/>
    <n v="1.1808219178082191"/>
    <x v="141"/>
    <x v="0"/>
    <x v="5"/>
    <x v="1"/>
    <n v="23.6"/>
    <m/>
    <m/>
    <m/>
    <m/>
    <m/>
    <m/>
    <x v="1"/>
    <n v="5"/>
    <n v="5"/>
    <m/>
    <m/>
    <m/>
    <m/>
    <m/>
    <m/>
    <m/>
    <m/>
    <m/>
    <m/>
    <m/>
    <m/>
    <m/>
    <m/>
  </r>
  <r>
    <n v="2453"/>
    <n v="52785"/>
    <d v="1987-09-13T00:00:00"/>
    <n v="38"/>
    <x v="0"/>
    <x v="1"/>
    <d v="2024-10-26T00:00:00"/>
    <n v="1.2547945205479452"/>
    <x v="142"/>
    <x v="0"/>
    <x v="5"/>
    <x v="1"/>
    <n v="23.6"/>
    <m/>
    <m/>
    <m/>
    <m/>
    <m/>
    <m/>
    <x v="4"/>
    <n v="3"/>
    <n v="4"/>
    <m/>
    <m/>
    <m/>
    <m/>
    <m/>
    <m/>
    <m/>
    <m/>
    <m/>
    <m/>
    <m/>
    <m/>
    <m/>
    <m/>
  </r>
  <r>
    <n v="2454"/>
    <n v="52786"/>
    <d v="2001-09-27T00:00:00"/>
    <n v="24"/>
    <x v="0"/>
    <x v="1"/>
    <d v="2024-09-29T00:00:00"/>
    <n v="1.6383561643835616"/>
    <x v="3"/>
    <x v="0"/>
    <x v="5"/>
    <x v="1"/>
    <n v="23.6"/>
    <m/>
    <m/>
    <m/>
    <m/>
    <m/>
    <m/>
    <x v="3"/>
    <n v="6"/>
    <n v="6"/>
    <m/>
    <m/>
    <m/>
    <m/>
    <m/>
    <m/>
    <m/>
    <m/>
    <m/>
    <m/>
    <m/>
    <m/>
    <m/>
    <m/>
  </r>
  <r>
    <n v="2455"/>
    <n v="52787"/>
    <d v="2001-04-22T00:00:00"/>
    <n v="24"/>
    <x v="0"/>
    <x v="0"/>
    <d v="2024-05-12T00:00:00"/>
    <n v="1.4876712328767123"/>
    <x v="124"/>
    <x v="0"/>
    <x v="5"/>
    <x v="1"/>
    <n v="23.6"/>
    <m/>
    <m/>
    <m/>
    <m/>
    <m/>
    <m/>
    <x v="3"/>
    <n v="6"/>
    <n v="5"/>
    <m/>
    <m/>
    <m/>
    <m/>
    <m/>
    <m/>
    <m/>
    <m/>
    <m/>
    <m/>
    <m/>
    <m/>
    <m/>
    <m/>
  </r>
  <r>
    <n v="2456"/>
    <n v="52789"/>
    <d v="1990-05-17T00:00:00"/>
    <n v="35"/>
    <x v="0"/>
    <x v="1"/>
    <d v="2024-07-06T00:00:00"/>
    <n v="1.7972602739726027"/>
    <x v="137"/>
    <x v="0"/>
    <x v="5"/>
    <x v="1"/>
    <n v="23.6"/>
    <m/>
    <m/>
    <m/>
    <m/>
    <m/>
    <m/>
    <x v="4"/>
    <n v="6"/>
    <n v="4"/>
    <m/>
    <m/>
    <m/>
    <m/>
    <m/>
    <m/>
    <m/>
    <m/>
    <m/>
    <m/>
    <m/>
    <m/>
    <m/>
    <m/>
  </r>
  <r>
    <n v="2457"/>
    <n v="52792"/>
    <d v="1998-09-11T00:00:00"/>
    <n v="27"/>
    <x v="0"/>
    <x v="1"/>
    <d v="2024-03-15T00:00:00"/>
    <n v="1.3808219178082193"/>
    <x v="140"/>
    <x v="0"/>
    <x v="5"/>
    <x v="1"/>
    <n v="23.6"/>
    <m/>
    <m/>
    <m/>
    <m/>
    <m/>
    <m/>
    <x v="1"/>
    <n v="6"/>
    <n v="4"/>
    <m/>
    <m/>
    <m/>
    <m/>
    <m/>
    <m/>
    <m/>
    <m/>
    <m/>
    <m/>
    <m/>
    <m/>
    <m/>
    <m/>
  </r>
  <r>
    <n v="2458"/>
    <n v="52793"/>
    <d v="1992-05-12T00:00:00"/>
    <n v="33"/>
    <x v="0"/>
    <x v="1"/>
    <d v="2024-08-14T00:00:00"/>
    <n v="1.5972602739726027"/>
    <x v="140"/>
    <x v="0"/>
    <x v="5"/>
    <x v="1"/>
    <n v="23.6"/>
    <m/>
    <m/>
    <m/>
    <m/>
    <m/>
    <m/>
    <x v="4"/>
    <n v="2"/>
    <n v="5"/>
    <m/>
    <m/>
    <m/>
    <m/>
    <m/>
    <m/>
    <m/>
    <m/>
    <m/>
    <m/>
    <m/>
    <m/>
    <m/>
    <m/>
  </r>
  <r>
    <n v="2459"/>
    <n v="52794"/>
    <d v="1997-08-26T00:00:00"/>
    <n v="28"/>
    <x v="1"/>
    <x v="1"/>
    <d v="2024-05-27T00:00:00"/>
    <n v="1.4602739726027398"/>
    <x v="57"/>
    <x v="0"/>
    <x v="5"/>
    <x v="1"/>
    <n v="23.6"/>
    <m/>
    <m/>
    <m/>
    <m/>
    <m/>
    <m/>
    <x v="4"/>
    <n v="2"/>
    <n v="7"/>
    <m/>
    <m/>
    <m/>
    <m/>
    <m/>
    <m/>
    <m/>
    <m/>
    <m/>
    <m/>
    <m/>
    <m/>
    <m/>
    <m/>
  </r>
  <r>
    <n v="2460"/>
    <n v="52795"/>
    <d v="1997-04-21T00:00:00"/>
    <n v="28"/>
    <x v="1"/>
    <x v="0"/>
    <d v="2024-07-16T00:00:00"/>
    <n v="1.5726027397260274"/>
    <x v="95"/>
    <x v="1"/>
    <x v="5"/>
    <x v="1"/>
    <n v="23.6"/>
    <m/>
    <m/>
    <m/>
    <m/>
    <m/>
    <m/>
    <x v="2"/>
    <n v="2"/>
    <n v="6"/>
    <m/>
    <m/>
    <m/>
    <m/>
    <m/>
    <m/>
    <m/>
    <m/>
    <m/>
    <m/>
    <m/>
    <m/>
    <m/>
    <m/>
  </r>
  <r>
    <n v="2461"/>
    <n v="52796"/>
    <d v="2000-03-01T00:00:00"/>
    <n v="26"/>
    <x v="0"/>
    <x v="1"/>
    <d v="2024-06-05T00:00:00"/>
    <n v="1.7068493150684931"/>
    <x v="131"/>
    <x v="1"/>
    <x v="5"/>
    <x v="1"/>
    <n v="23.6"/>
    <m/>
    <m/>
    <m/>
    <m/>
    <m/>
    <m/>
    <x v="1"/>
    <n v="0"/>
    <n v="6"/>
    <m/>
    <m/>
    <m/>
    <m/>
    <m/>
    <m/>
    <m/>
    <m/>
    <m/>
    <m/>
    <m/>
    <m/>
    <m/>
    <m/>
  </r>
  <r>
    <n v="2462"/>
    <n v="52797"/>
    <d v="1996-02-14T00:00:00"/>
    <n v="29"/>
    <x v="0"/>
    <x v="1"/>
    <d v="2024-04-17T00:00:00"/>
    <n v="1.515068493150685"/>
    <x v="126"/>
    <x v="1"/>
    <x v="5"/>
    <x v="1"/>
    <n v="23.6"/>
    <m/>
    <m/>
    <m/>
    <m/>
    <m/>
    <m/>
    <x v="4"/>
    <n v="4"/>
    <n v="5"/>
    <m/>
    <m/>
    <m/>
    <m/>
    <m/>
    <m/>
    <m/>
    <m/>
    <m/>
    <m/>
    <m/>
    <m/>
    <m/>
    <m/>
  </r>
  <r>
    <n v="2463"/>
    <n v="52798"/>
    <d v="1996-08-23T00:00:00"/>
    <n v="29"/>
    <x v="0"/>
    <x v="0"/>
    <d v="2024-06-26T00:00:00"/>
    <n v="1.0082191780821919"/>
    <x v="45"/>
    <x v="0"/>
    <x v="5"/>
    <x v="1"/>
    <n v="23.6"/>
    <m/>
    <m/>
    <m/>
    <m/>
    <m/>
    <m/>
    <x v="3"/>
    <n v="4"/>
    <n v="4"/>
    <m/>
    <m/>
    <m/>
    <m/>
    <m/>
    <m/>
    <m/>
    <m/>
    <m/>
    <m/>
    <m/>
    <m/>
    <m/>
    <m/>
  </r>
  <r>
    <n v="2464"/>
    <n v="52799"/>
    <d v="1997-02-14T00:00:00"/>
    <n v="28"/>
    <x v="1"/>
    <x v="1"/>
    <d v="2024-12-28T00:00:00"/>
    <n v="1.0465753424657533"/>
    <x v="141"/>
    <x v="0"/>
    <x v="5"/>
    <x v="1"/>
    <n v="23.6"/>
    <m/>
    <m/>
    <m/>
    <m/>
    <m/>
    <m/>
    <x v="4"/>
    <n v="1"/>
    <n v="6"/>
    <m/>
    <m/>
    <m/>
    <m/>
    <m/>
    <m/>
    <m/>
    <m/>
    <m/>
    <m/>
    <m/>
    <m/>
    <m/>
    <m/>
  </r>
  <r>
    <n v="2465"/>
    <n v="52800"/>
    <d v="1999-12-28T00:00:00"/>
    <n v="26"/>
    <x v="0"/>
    <x v="1"/>
    <d v="2024-12-14T00:00:00"/>
    <n v="1.6328767123287671"/>
    <x v="92"/>
    <x v="1"/>
    <x v="5"/>
    <x v="1"/>
    <n v="23.6"/>
    <m/>
    <m/>
    <m/>
    <m/>
    <m/>
    <m/>
    <x v="4"/>
    <n v="2"/>
    <n v="3"/>
    <m/>
    <m/>
    <m/>
    <m/>
    <m/>
    <m/>
    <m/>
    <m/>
    <m/>
    <m/>
    <m/>
    <m/>
    <m/>
    <m/>
  </r>
  <r>
    <n v="2466"/>
    <n v="52801"/>
    <d v="1998-09-13T00:00:00"/>
    <n v="27"/>
    <x v="0"/>
    <x v="1"/>
    <d v="2024-05-14T00:00:00"/>
    <n v="1.4465753424657535"/>
    <x v="3"/>
    <x v="0"/>
    <x v="5"/>
    <x v="1"/>
    <n v="23.6"/>
    <m/>
    <m/>
    <m/>
    <m/>
    <m/>
    <m/>
    <x v="2"/>
    <n v="3"/>
    <n v="5"/>
    <m/>
    <m/>
    <m/>
    <m/>
    <m/>
    <m/>
    <m/>
    <m/>
    <m/>
    <m/>
    <m/>
    <m/>
    <m/>
    <m/>
  </r>
  <r>
    <n v="2467"/>
    <n v="52802"/>
    <d v="2001-08-12T00:00:00"/>
    <n v="24"/>
    <x v="0"/>
    <x v="1"/>
    <d v="2024-07-21T00:00:00"/>
    <n v="1.5643835616438355"/>
    <x v="124"/>
    <x v="0"/>
    <x v="5"/>
    <x v="1"/>
    <n v="23.6"/>
    <m/>
    <m/>
    <m/>
    <m/>
    <m/>
    <m/>
    <x v="1"/>
    <n v="2"/>
    <n v="3"/>
    <m/>
    <m/>
    <m/>
    <m/>
    <m/>
    <m/>
    <m/>
    <m/>
    <m/>
    <m/>
    <m/>
    <m/>
    <m/>
    <m/>
  </r>
  <r>
    <n v="2468"/>
    <n v="52803"/>
    <d v="1998-08-12T00:00:00"/>
    <n v="27"/>
    <x v="0"/>
    <x v="1"/>
    <d v="2024-06-08T00:00:00"/>
    <n v="1.1589041095890411"/>
    <x v="13"/>
    <x v="0"/>
    <x v="5"/>
    <x v="1"/>
    <n v="23.6"/>
    <m/>
    <m/>
    <m/>
    <m/>
    <m/>
    <m/>
    <x v="1"/>
    <n v="4"/>
    <n v="7"/>
    <m/>
    <m/>
    <m/>
    <m/>
    <m/>
    <m/>
    <m/>
    <m/>
    <m/>
    <m/>
    <m/>
    <m/>
    <m/>
    <m/>
  </r>
  <r>
    <n v="2469"/>
    <n v="52804"/>
    <d v="1997-12-03T00:00:00"/>
    <n v="28"/>
    <x v="0"/>
    <x v="1"/>
    <d v="2024-11-03T00:00:00"/>
    <n v="1.4767123287671233"/>
    <x v="140"/>
    <x v="0"/>
    <x v="5"/>
    <x v="1"/>
    <n v="23.6"/>
    <m/>
    <m/>
    <m/>
    <m/>
    <m/>
    <m/>
    <x v="2"/>
    <n v="3"/>
    <n v="5"/>
    <m/>
    <m/>
    <m/>
    <m/>
    <m/>
    <m/>
    <m/>
    <m/>
    <m/>
    <m/>
    <m/>
    <m/>
    <m/>
    <m/>
  </r>
  <r>
    <n v="2470"/>
    <n v="52805"/>
    <d v="2001-08-06T00:00:00"/>
    <n v="24"/>
    <x v="1"/>
    <x v="1"/>
    <d v="2024-07-10T00:00:00"/>
    <n v="1.7835616438356163"/>
    <x v="73"/>
    <x v="0"/>
    <x v="5"/>
    <x v="1"/>
    <n v="23.6"/>
    <m/>
    <m/>
    <m/>
    <m/>
    <m/>
    <m/>
    <x v="4"/>
    <n v="2"/>
    <n v="6"/>
    <m/>
    <m/>
    <m/>
    <m/>
    <m/>
    <m/>
    <m/>
    <m/>
    <m/>
    <m/>
    <m/>
    <m/>
    <m/>
    <m/>
  </r>
  <r>
    <n v="2471"/>
    <n v="52806"/>
    <d v="2000-02-10T00:00:00"/>
    <n v="25"/>
    <x v="0"/>
    <x v="1"/>
    <d v="2024-03-20T00:00:00"/>
    <n v="1.3369863013698631"/>
    <x v="37"/>
    <x v="0"/>
    <x v="5"/>
    <x v="1"/>
    <n v="23.6"/>
    <m/>
    <m/>
    <m/>
    <m/>
    <m/>
    <m/>
    <x v="1"/>
    <n v="4"/>
    <n v="5"/>
    <m/>
    <m/>
    <m/>
    <m/>
    <m/>
    <m/>
    <m/>
    <m/>
    <m/>
    <m/>
    <m/>
    <m/>
    <m/>
    <m/>
  </r>
  <r>
    <n v="2472"/>
    <n v="52808"/>
    <d v="1998-02-26T00:00:00"/>
    <n v="27"/>
    <x v="0"/>
    <x v="1"/>
    <d v="2024-08-30T00:00:00"/>
    <n v="1.3506849315068492"/>
    <x v="66"/>
    <x v="1"/>
    <x v="5"/>
    <x v="1"/>
    <n v="23.6"/>
    <m/>
    <m/>
    <m/>
    <m/>
    <m/>
    <m/>
    <x v="2"/>
    <n v="6"/>
    <n v="7"/>
    <m/>
    <m/>
    <m/>
    <m/>
    <m/>
    <m/>
    <m/>
    <m/>
    <m/>
    <m/>
    <m/>
    <m/>
    <m/>
    <m/>
  </r>
  <r>
    <n v="2473"/>
    <n v="52809"/>
    <d v="1994-09-27T00:00:00"/>
    <n v="31"/>
    <x v="1"/>
    <x v="1"/>
    <d v="2024-08-25T00:00:00"/>
    <n v="1.5890410958904109"/>
    <x v="122"/>
    <x v="1"/>
    <x v="5"/>
    <x v="1"/>
    <n v="23.6"/>
    <m/>
    <m/>
    <m/>
    <m/>
    <m/>
    <m/>
    <x v="4"/>
    <n v="2"/>
    <n v="7"/>
    <m/>
    <m/>
    <m/>
    <m/>
    <m/>
    <m/>
    <m/>
    <m/>
    <m/>
    <m/>
    <m/>
    <m/>
    <m/>
    <m/>
  </r>
  <r>
    <n v="2474"/>
    <n v="52810"/>
    <d v="2001-11-22T00:00:00"/>
    <n v="24"/>
    <x v="0"/>
    <x v="1"/>
    <d v="2024-05-30T00:00:00"/>
    <n v="1.4986301369863013"/>
    <x v="93"/>
    <x v="1"/>
    <x v="5"/>
    <x v="1"/>
    <n v="23.6"/>
    <m/>
    <m/>
    <m/>
    <m/>
    <m/>
    <m/>
    <x v="3"/>
    <n v="1"/>
    <n v="4"/>
    <m/>
    <m/>
    <m/>
    <m/>
    <m/>
    <m/>
    <m/>
    <m/>
    <m/>
    <m/>
    <m/>
    <m/>
    <m/>
    <m/>
  </r>
  <r>
    <n v="2475"/>
    <n v="52811"/>
    <d v="1999-11-02T00:00:00"/>
    <n v="26"/>
    <x v="0"/>
    <x v="1"/>
    <d v="2024-07-02T00:00:00"/>
    <n v="1.2054794520547945"/>
    <x v="107"/>
    <x v="1"/>
    <x v="5"/>
    <x v="1"/>
    <n v="23.6"/>
    <m/>
    <m/>
    <m/>
    <m/>
    <m/>
    <m/>
    <x v="3"/>
    <n v="0"/>
    <n v="4"/>
    <m/>
    <m/>
    <m/>
    <m/>
    <m/>
    <m/>
    <m/>
    <m/>
    <m/>
    <m/>
    <m/>
    <m/>
    <m/>
    <m/>
  </r>
  <r>
    <n v="2476"/>
    <n v="52812"/>
    <d v="1996-04-17T00:00:00"/>
    <n v="29"/>
    <x v="1"/>
    <x v="1"/>
    <d v="2024-10-17T00:00:00"/>
    <n v="1.0931506849315069"/>
    <x v="5"/>
    <x v="0"/>
    <x v="5"/>
    <x v="1"/>
    <n v="23.6"/>
    <m/>
    <m/>
    <m/>
    <m/>
    <m/>
    <m/>
    <x v="3"/>
    <n v="5"/>
    <n v="7"/>
    <m/>
    <m/>
    <m/>
    <m/>
    <m/>
    <m/>
    <m/>
    <m/>
    <m/>
    <m/>
    <m/>
    <m/>
    <m/>
    <m/>
  </r>
  <r>
    <n v="2477"/>
    <n v="52813"/>
    <d v="1995-02-06T00:00:00"/>
    <n v="30"/>
    <x v="0"/>
    <x v="1"/>
    <d v="2024-11-27T00:00:00"/>
    <n v="1.1616438356164382"/>
    <x v="23"/>
    <x v="0"/>
    <x v="5"/>
    <x v="1"/>
    <n v="23.6"/>
    <m/>
    <m/>
    <m/>
    <m/>
    <m/>
    <m/>
    <x v="3"/>
    <n v="6"/>
    <n v="5"/>
    <m/>
    <m/>
    <m/>
    <m/>
    <m/>
    <m/>
    <m/>
    <m/>
    <m/>
    <m/>
    <m/>
    <m/>
    <m/>
    <m/>
  </r>
  <r>
    <n v="2478"/>
    <n v="52814"/>
    <d v="2001-12-30T00:00:00"/>
    <n v="24"/>
    <x v="1"/>
    <x v="1"/>
    <d v="2024-11-02T00:00:00"/>
    <n v="1.3726027397260274"/>
    <x v="78"/>
    <x v="0"/>
    <x v="5"/>
    <x v="1"/>
    <n v="23.6"/>
    <m/>
    <m/>
    <m/>
    <m/>
    <m/>
    <m/>
    <x v="2"/>
    <n v="6"/>
    <n v="5"/>
    <m/>
    <m/>
    <m/>
    <m/>
    <m/>
    <m/>
    <m/>
    <m/>
    <m/>
    <m/>
    <m/>
    <m/>
    <m/>
    <m/>
  </r>
  <r>
    <n v="2479"/>
    <n v="52815"/>
    <d v="1996-10-19T00:00:00"/>
    <n v="29"/>
    <x v="0"/>
    <x v="0"/>
    <d v="2024-08-17T00:00:00"/>
    <n v="1.526027397260274"/>
    <x v="143"/>
    <x v="0"/>
    <x v="5"/>
    <x v="1"/>
    <n v="23.6"/>
    <m/>
    <m/>
    <m/>
    <m/>
    <m/>
    <m/>
    <x v="1"/>
    <n v="5"/>
    <n v="6"/>
    <m/>
    <m/>
    <m/>
    <m/>
    <m/>
    <m/>
    <m/>
    <m/>
    <m/>
    <m/>
    <m/>
    <m/>
    <m/>
    <m/>
  </r>
  <r>
    <n v="2480"/>
    <n v="52816"/>
    <d v="1999-04-07T00:00:00"/>
    <n v="26"/>
    <x v="0"/>
    <x v="1"/>
    <d v="2024-06-22T00:00:00"/>
    <n v="1.747945205479452"/>
    <x v="35"/>
    <x v="0"/>
    <x v="5"/>
    <x v="1"/>
    <n v="23.6"/>
    <m/>
    <m/>
    <m/>
    <m/>
    <m/>
    <m/>
    <x v="1"/>
    <n v="4"/>
    <n v="4"/>
    <m/>
    <m/>
    <m/>
    <m/>
    <m/>
    <m/>
    <m/>
    <m/>
    <m/>
    <m/>
    <m/>
    <m/>
    <m/>
    <m/>
  </r>
  <r>
    <n v="2481"/>
    <n v="52817"/>
    <d v="1992-07-01T00:00:00"/>
    <n v="34"/>
    <x v="0"/>
    <x v="1"/>
    <d v="2024-04-02T00:00:00"/>
    <n v="1.547945205479452"/>
    <x v="73"/>
    <x v="0"/>
    <x v="5"/>
    <x v="1"/>
    <n v="23.6"/>
    <m/>
    <m/>
    <m/>
    <m/>
    <m/>
    <m/>
    <x v="3"/>
    <n v="4"/>
    <n v="6"/>
    <m/>
    <m/>
    <m/>
    <m/>
    <m/>
    <m/>
    <m/>
    <m/>
    <m/>
    <m/>
    <m/>
    <m/>
    <m/>
    <m/>
  </r>
  <r>
    <n v="2482"/>
    <n v="52818"/>
    <d v="2001-06-13T00:00:00"/>
    <n v="24"/>
    <x v="0"/>
    <x v="1"/>
    <d v="2024-06-14T00:00:00"/>
    <n v="1.6164383561643836"/>
    <x v="90"/>
    <x v="1"/>
    <x v="5"/>
    <x v="1"/>
    <n v="23.6"/>
    <m/>
    <m/>
    <m/>
    <m/>
    <m/>
    <m/>
    <x v="1"/>
    <n v="4"/>
    <n v="5"/>
    <m/>
    <m/>
    <m/>
    <m/>
    <m/>
    <m/>
    <m/>
    <m/>
    <m/>
    <m/>
    <m/>
    <m/>
    <m/>
    <m/>
  </r>
  <r>
    <n v="2483"/>
    <n v="52820"/>
    <d v="2000-10-02T00:00:00"/>
    <n v="25"/>
    <x v="1"/>
    <x v="1"/>
    <d v="2024-05-20T00:00:00"/>
    <n v="1.2438356164383562"/>
    <x v="114"/>
    <x v="1"/>
    <x v="5"/>
    <x v="1"/>
    <n v="23.6"/>
    <m/>
    <m/>
    <m/>
    <m/>
    <m/>
    <m/>
    <x v="3"/>
    <n v="4"/>
    <n v="7"/>
    <m/>
    <m/>
    <m/>
    <m/>
    <m/>
    <m/>
    <m/>
    <m/>
    <m/>
    <m/>
    <m/>
    <m/>
    <m/>
    <m/>
  </r>
  <r>
    <n v="2484"/>
    <n v="52821"/>
    <d v="1999-04-21T00:00:00"/>
    <n v="26"/>
    <x v="1"/>
    <x v="0"/>
    <d v="2024-10-03T00:00:00"/>
    <n v="1.0821917808219179"/>
    <x v="6"/>
    <x v="1"/>
    <x v="5"/>
    <x v="1"/>
    <n v="23.6"/>
    <m/>
    <m/>
    <m/>
    <m/>
    <m/>
    <m/>
    <x v="2"/>
    <n v="3"/>
    <n v="6"/>
    <m/>
    <m/>
    <m/>
    <m/>
    <m/>
    <m/>
    <m/>
    <m/>
    <m/>
    <m/>
    <m/>
    <m/>
    <m/>
    <m/>
  </r>
  <r>
    <n v="2485"/>
    <n v="52822"/>
    <d v="1987-03-02T00:00:00"/>
    <n v="38"/>
    <x v="0"/>
    <x v="0"/>
    <d v="2024-12-01T00:00:00"/>
    <n v="1.2438356164383562"/>
    <x v="130"/>
    <x v="1"/>
    <x v="5"/>
    <x v="1"/>
    <n v="23.6"/>
    <m/>
    <m/>
    <m/>
    <m/>
    <m/>
    <m/>
    <x v="3"/>
    <n v="3"/>
    <n v="5"/>
    <m/>
    <m/>
    <m/>
    <m/>
    <m/>
    <m/>
    <m/>
    <m/>
    <m/>
    <m/>
    <m/>
    <m/>
    <m/>
    <m/>
  </r>
  <r>
    <n v="2486"/>
    <n v="52823"/>
    <d v="2001-10-22T00:00:00"/>
    <n v="24"/>
    <x v="1"/>
    <x v="0"/>
    <d v="2024-10-03T00:00:00"/>
    <n v="1.0191780821917809"/>
    <x v="121"/>
    <x v="1"/>
    <x v="5"/>
    <x v="1"/>
    <n v="23.6"/>
    <m/>
    <m/>
    <m/>
    <m/>
    <m/>
    <m/>
    <x v="4"/>
    <n v="6"/>
    <n v="7"/>
    <m/>
    <m/>
    <m/>
    <m/>
    <m/>
    <m/>
    <m/>
    <m/>
    <m/>
    <m/>
    <m/>
    <m/>
    <m/>
    <m/>
  </r>
  <r>
    <n v="2487"/>
    <n v="52825"/>
    <d v="1999-05-07T00:00:00"/>
    <n v="26"/>
    <x v="0"/>
    <x v="1"/>
    <d v="2024-12-24T00:00:00"/>
    <n v="1.6739726027397259"/>
    <x v="71"/>
    <x v="1"/>
    <x v="5"/>
    <x v="1"/>
    <n v="23.6"/>
    <m/>
    <m/>
    <m/>
    <m/>
    <m/>
    <m/>
    <x v="1"/>
    <n v="4"/>
    <n v="5"/>
    <m/>
    <m/>
    <m/>
    <m/>
    <m/>
    <m/>
    <m/>
    <m/>
    <m/>
    <m/>
    <m/>
    <m/>
    <m/>
    <m/>
  </r>
  <r>
    <n v="2488"/>
    <n v="52826"/>
    <d v="1992-09-18T00:00:00"/>
    <n v="33"/>
    <x v="1"/>
    <x v="1"/>
    <d v="2024-04-29T00:00:00"/>
    <n v="1.5424657534246575"/>
    <x v="71"/>
    <x v="1"/>
    <x v="5"/>
    <x v="1"/>
    <n v="23.6"/>
    <m/>
    <m/>
    <m/>
    <m/>
    <m/>
    <m/>
    <x v="1"/>
    <n v="4"/>
    <n v="6"/>
    <m/>
    <m/>
    <m/>
    <m/>
    <m/>
    <m/>
    <m/>
    <m/>
    <m/>
    <m/>
    <m/>
    <m/>
    <m/>
    <m/>
  </r>
  <r>
    <n v="2489"/>
    <n v="52827"/>
    <d v="1989-08-19T00:00:00"/>
    <n v="36"/>
    <x v="0"/>
    <x v="1"/>
    <d v="2024-06-16T00:00:00"/>
    <n v="1.726027397260274"/>
    <x v="103"/>
    <x v="1"/>
    <x v="5"/>
    <x v="1"/>
    <n v="23.6"/>
    <m/>
    <m/>
    <m/>
    <m/>
    <m/>
    <m/>
    <x v="1"/>
    <n v="4"/>
    <n v="5"/>
    <m/>
    <m/>
    <m/>
    <m/>
    <m/>
    <m/>
    <m/>
    <m/>
    <m/>
    <m/>
    <m/>
    <m/>
    <m/>
    <m/>
  </r>
  <r>
    <n v="2490"/>
    <n v="52828"/>
    <d v="2001-02-12T00:00:00"/>
    <n v="24"/>
    <x v="0"/>
    <x v="1"/>
    <d v="2024-04-10T00:00:00"/>
    <n v="1.8246575342465754"/>
    <x v="4"/>
    <x v="0"/>
    <x v="5"/>
    <x v="1"/>
    <n v="23.6"/>
    <m/>
    <m/>
    <m/>
    <m/>
    <m/>
    <m/>
    <x v="1"/>
    <n v="0"/>
    <n v="4"/>
    <m/>
    <m/>
    <m/>
    <m/>
    <m/>
    <m/>
    <m/>
    <m/>
    <m/>
    <m/>
    <m/>
    <m/>
    <m/>
    <m/>
  </r>
  <r>
    <n v="2491"/>
    <n v="52829"/>
    <d v="2001-03-21T00:00:00"/>
    <n v="24"/>
    <x v="0"/>
    <x v="1"/>
    <d v="2024-03-05T00:00:00"/>
    <n v="1.5232876712328767"/>
    <x v="127"/>
    <x v="0"/>
    <x v="5"/>
    <x v="1"/>
    <n v="23.6"/>
    <m/>
    <m/>
    <m/>
    <m/>
    <m/>
    <m/>
    <x v="1"/>
    <n v="1"/>
    <n v="4"/>
    <m/>
    <m/>
    <m/>
    <m/>
    <m/>
    <m/>
    <m/>
    <m/>
    <m/>
    <m/>
    <m/>
    <m/>
    <m/>
    <m/>
  </r>
  <r>
    <n v="2492"/>
    <n v="52830"/>
    <d v="1998-12-18T00:00:00"/>
    <n v="27"/>
    <x v="1"/>
    <x v="1"/>
    <d v="2024-06-23T00:00:00"/>
    <n v="1.4821917808219178"/>
    <x v="11"/>
    <x v="0"/>
    <x v="5"/>
    <x v="1"/>
    <n v="23.6"/>
    <m/>
    <m/>
    <m/>
    <m/>
    <m/>
    <m/>
    <x v="4"/>
    <n v="4"/>
    <n v="6"/>
    <m/>
    <m/>
    <m/>
    <m/>
    <m/>
    <m/>
    <m/>
    <m/>
    <m/>
    <m/>
    <m/>
    <m/>
    <m/>
    <m/>
  </r>
  <r>
    <n v="2493"/>
    <n v="52831"/>
    <d v="1991-09-15T00:00:00"/>
    <n v="34"/>
    <x v="0"/>
    <x v="1"/>
    <d v="2024-07-08T00:00:00"/>
    <n v="1.2712328767123289"/>
    <x v="12"/>
    <x v="0"/>
    <x v="5"/>
    <x v="1"/>
    <n v="23.6"/>
    <m/>
    <m/>
    <m/>
    <m/>
    <m/>
    <m/>
    <x v="4"/>
    <n v="0"/>
    <n v="3"/>
    <m/>
    <m/>
    <m/>
    <m/>
    <m/>
    <m/>
    <m/>
    <m/>
    <m/>
    <m/>
    <m/>
    <m/>
    <m/>
    <m/>
  </r>
  <r>
    <n v="2494"/>
    <n v="52832"/>
    <d v="2000-08-12T00:00:00"/>
    <n v="25"/>
    <x v="0"/>
    <x v="1"/>
    <d v="2024-09-23T00:00:00"/>
    <n v="1.0054794520547945"/>
    <x v="12"/>
    <x v="0"/>
    <x v="5"/>
    <x v="1"/>
    <n v="23.6"/>
    <m/>
    <m/>
    <m/>
    <m/>
    <m/>
    <m/>
    <x v="1"/>
    <n v="4"/>
    <n v="4"/>
    <m/>
    <m/>
    <m/>
    <m/>
    <m/>
    <m/>
    <m/>
    <m/>
    <m/>
    <m/>
    <m/>
    <m/>
    <m/>
    <m/>
  </r>
  <r>
    <n v="2495"/>
    <n v="52833"/>
    <d v="1996-06-01T00:00:00"/>
    <n v="30"/>
    <x v="0"/>
    <x v="0"/>
    <d v="2024-12-29T00:00:00"/>
    <n v="1.284931506849315"/>
    <x v="17"/>
    <x v="0"/>
    <x v="5"/>
    <x v="1"/>
    <n v="23.6"/>
    <m/>
    <m/>
    <m/>
    <m/>
    <m/>
    <m/>
    <x v="3"/>
    <n v="4"/>
    <n v="3"/>
    <m/>
    <m/>
    <m/>
    <m/>
    <m/>
    <m/>
    <m/>
    <m/>
    <m/>
    <m/>
    <m/>
    <m/>
    <m/>
    <m/>
  </r>
  <r>
    <n v="2496"/>
    <n v="52834"/>
    <d v="1995-10-18T00:00:00"/>
    <n v="30"/>
    <x v="0"/>
    <x v="1"/>
    <d v="2024-09-18T00:00:00"/>
    <n v="1.7232876712328766"/>
    <x v="16"/>
    <x v="0"/>
    <x v="5"/>
    <x v="1"/>
    <n v="23.6"/>
    <m/>
    <m/>
    <m/>
    <m/>
    <m/>
    <m/>
    <x v="4"/>
    <n v="6"/>
    <n v="4"/>
    <m/>
    <m/>
    <m/>
    <m/>
    <m/>
    <m/>
    <m/>
    <m/>
    <m/>
    <m/>
    <m/>
    <m/>
    <m/>
    <m/>
  </r>
  <r>
    <n v="2497"/>
    <n v="52835"/>
    <d v="1999-10-09T00:00:00"/>
    <n v="26"/>
    <x v="0"/>
    <x v="1"/>
    <d v="2024-04-11T00:00:00"/>
    <n v="1.5068493150684932"/>
    <x v="27"/>
    <x v="0"/>
    <x v="5"/>
    <x v="1"/>
    <n v="23.6"/>
    <m/>
    <m/>
    <m/>
    <m/>
    <m/>
    <m/>
    <x v="2"/>
    <n v="6"/>
    <n v="6"/>
    <m/>
    <m/>
    <m/>
    <m/>
    <m/>
    <m/>
    <m/>
    <m/>
    <m/>
    <m/>
    <m/>
    <m/>
    <m/>
    <m/>
  </r>
  <r>
    <n v="2498"/>
    <n v="52836"/>
    <d v="1996-07-10T00:00:00"/>
    <n v="29"/>
    <x v="0"/>
    <x v="1"/>
    <d v="2024-06-29T00:00:00"/>
    <n v="1.0904109589041096"/>
    <x v="21"/>
    <x v="0"/>
    <x v="5"/>
    <x v="1"/>
    <n v="23.6"/>
    <m/>
    <m/>
    <m/>
    <m/>
    <m/>
    <m/>
    <x v="2"/>
    <n v="1"/>
    <n v="3"/>
    <m/>
    <m/>
    <m/>
    <m/>
    <m/>
    <m/>
    <m/>
    <m/>
    <m/>
    <m/>
    <m/>
    <m/>
    <m/>
    <m/>
  </r>
  <r>
    <n v="2499"/>
    <n v="52837"/>
    <d v="2001-09-25T00:00:00"/>
    <n v="24"/>
    <x v="1"/>
    <x v="1"/>
    <d v="2024-11-28T00:00:00"/>
    <n v="1.3232876712328767"/>
    <x v="22"/>
    <x v="0"/>
    <x v="5"/>
    <x v="1"/>
    <n v="23.6"/>
    <m/>
    <m/>
    <m/>
    <m/>
    <m/>
    <m/>
    <x v="2"/>
    <n v="4"/>
    <n v="5"/>
    <m/>
    <m/>
    <m/>
    <m/>
    <m/>
    <m/>
    <m/>
    <m/>
    <m/>
    <m/>
    <m/>
    <m/>
    <m/>
    <m/>
  </r>
  <r>
    <n v="2500"/>
    <n v="52838"/>
    <d v="1994-08-03T00:00:00"/>
    <n v="31"/>
    <x v="1"/>
    <x v="1"/>
    <d v="2024-09-04T00:00:00"/>
    <n v="1.1616438356164382"/>
    <x v="23"/>
    <x v="0"/>
    <x v="5"/>
    <x v="1"/>
    <n v="23.6"/>
    <m/>
    <m/>
    <m/>
    <m/>
    <m/>
    <m/>
    <x v="4"/>
    <n v="4"/>
    <n v="7"/>
    <m/>
    <m/>
    <m/>
    <m/>
    <m/>
    <m/>
    <m/>
    <m/>
    <m/>
    <m/>
    <m/>
    <m/>
    <m/>
    <m/>
  </r>
  <r>
    <n v="2501"/>
    <n v="52839"/>
    <d v="2001-06-09T00:00:00"/>
    <n v="24"/>
    <x v="0"/>
    <x v="1"/>
    <d v="2024-11-02T00:00:00"/>
    <n v="1.7315068493150685"/>
    <x v="137"/>
    <x v="0"/>
    <x v="5"/>
    <x v="1"/>
    <n v="23.6"/>
    <m/>
    <m/>
    <m/>
    <m/>
    <m/>
    <m/>
    <x v="1"/>
    <n v="5"/>
    <n v="6"/>
    <m/>
    <m/>
    <m/>
    <m/>
    <m/>
    <m/>
    <m/>
    <m/>
    <m/>
    <m/>
    <m/>
    <m/>
    <m/>
    <m/>
  </r>
  <r>
    <n v="2502"/>
    <n v="52840"/>
    <d v="2000-06-01T00:00:00"/>
    <n v="26"/>
    <x v="1"/>
    <x v="1"/>
    <d v="2024-04-08T00:00:00"/>
    <n v="1.3780821917808219"/>
    <x v="52"/>
    <x v="0"/>
    <x v="5"/>
    <x v="1"/>
    <n v="23.6"/>
    <m/>
    <m/>
    <m/>
    <m/>
    <m/>
    <m/>
    <x v="1"/>
    <n v="0"/>
    <n v="6"/>
    <m/>
    <m/>
    <m/>
    <m/>
    <m/>
    <m/>
    <m/>
    <m/>
    <m/>
    <m/>
    <m/>
    <m/>
    <m/>
    <m/>
  </r>
  <r>
    <n v="2503"/>
    <n v="52841"/>
    <d v="1997-12-22T00:00:00"/>
    <n v="28"/>
    <x v="0"/>
    <x v="1"/>
    <d v="2024-08-15T00:00:00"/>
    <n v="1.4876712328767123"/>
    <x v="52"/>
    <x v="0"/>
    <x v="5"/>
    <x v="1"/>
    <n v="23.6"/>
    <m/>
    <m/>
    <m/>
    <m/>
    <m/>
    <m/>
    <x v="4"/>
    <n v="2"/>
    <n v="5"/>
    <m/>
    <m/>
    <m/>
    <m/>
    <m/>
    <m/>
    <m/>
    <m/>
    <m/>
    <m/>
    <m/>
    <m/>
    <m/>
    <m/>
  </r>
  <r>
    <n v="2504"/>
    <n v="52842"/>
    <d v="1998-07-23T00:00:00"/>
    <n v="27"/>
    <x v="0"/>
    <x v="1"/>
    <d v="2024-07-06T00:00:00"/>
    <n v="1.1863013698630136"/>
    <x v="139"/>
    <x v="0"/>
    <x v="5"/>
    <x v="1"/>
    <n v="23.6"/>
    <m/>
    <m/>
    <m/>
    <m/>
    <m/>
    <m/>
    <x v="1"/>
    <n v="6"/>
    <n v="6"/>
    <m/>
    <m/>
    <m/>
    <m/>
    <m/>
    <m/>
    <m/>
    <m/>
    <m/>
    <m/>
    <m/>
    <m/>
    <m/>
    <m/>
  </r>
  <r>
    <n v="2505"/>
    <n v="52843"/>
    <d v="2001-10-04T00:00:00"/>
    <n v="24"/>
    <x v="0"/>
    <x v="1"/>
    <d v="2024-10-24T00:00:00"/>
    <n v="1.4767123287671233"/>
    <x v="31"/>
    <x v="0"/>
    <x v="5"/>
    <x v="1"/>
    <n v="23.6"/>
    <m/>
    <m/>
    <m/>
    <m/>
    <m/>
    <m/>
    <x v="3"/>
    <n v="4"/>
    <n v="5"/>
    <m/>
    <m/>
    <m/>
    <m/>
    <m/>
    <m/>
    <m/>
    <m/>
    <m/>
    <m/>
    <m/>
    <m/>
    <m/>
    <m/>
  </r>
  <r>
    <n v="2506"/>
    <n v="52844"/>
    <d v="2000-06-04T00:00:00"/>
    <n v="25"/>
    <x v="1"/>
    <x v="1"/>
    <d v="2024-07-10T00:00:00"/>
    <n v="1.0301369863013699"/>
    <x v="31"/>
    <x v="0"/>
    <x v="5"/>
    <x v="1"/>
    <n v="23.6"/>
    <m/>
    <m/>
    <m/>
    <m/>
    <m/>
    <m/>
    <x v="3"/>
    <n v="6"/>
    <n v="7"/>
    <m/>
    <m/>
    <m/>
    <m/>
    <m/>
    <m/>
    <m/>
    <m/>
    <m/>
    <m/>
    <m/>
    <m/>
    <m/>
    <m/>
  </r>
  <r>
    <n v="2507"/>
    <n v="52845"/>
    <d v="1999-02-14T00:00:00"/>
    <n v="26"/>
    <x v="0"/>
    <x v="1"/>
    <d v="2024-12-20T00:00:00"/>
    <n v="1.3726027397260274"/>
    <x v="78"/>
    <x v="0"/>
    <x v="5"/>
    <x v="1"/>
    <n v="23.6"/>
    <m/>
    <m/>
    <m/>
    <m/>
    <m/>
    <m/>
    <x v="1"/>
    <n v="6"/>
    <n v="5"/>
    <m/>
    <m/>
    <m/>
    <m/>
    <m/>
    <m/>
    <m/>
    <m/>
    <m/>
    <m/>
    <m/>
    <m/>
    <m/>
    <m/>
  </r>
  <r>
    <n v="2508"/>
    <n v="52846"/>
    <d v="1998-05-08T00:00:00"/>
    <n v="27"/>
    <x v="0"/>
    <x v="1"/>
    <d v="2024-08-17T00:00:00"/>
    <n v="1.1260273972602739"/>
    <x v="83"/>
    <x v="0"/>
    <x v="5"/>
    <x v="1"/>
    <n v="23.6"/>
    <m/>
    <m/>
    <m/>
    <m/>
    <m/>
    <m/>
    <x v="4"/>
    <n v="6"/>
    <n v="5"/>
    <m/>
    <m/>
    <m/>
    <m/>
    <m/>
    <m/>
    <m/>
    <m/>
    <m/>
    <m/>
    <m/>
    <m/>
    <m/>
    <m/>
  </r>
  <r>
    <n v="2509"/>
    <n v="52847"/>
    <d v="1996-03-20T00:00:00"/>
    <n v="29"/>
    <x v="0"/>
    <x v="1"/>
    <d v="2024-11-15T00:00:00"/>
    <n v="1.2383561643835617"/>
    <x v="83"/>
    <x v="0"/>
    <x v="5"/>
    <x v="1"/>
    <n v="23.6"/>
    <m/>
    <m/>
    <m/>
    <m/>
    <m/>
    <m/>
    <x v="1"/>
    <n v="5"/>
    <n v="5"/>
    <m/>
    <m/>
    <m/>
    <m/>
    <m/>
    <m/>
    <m/>
    <m/>
    <m/>
    <m/>
    <m/>
    <m/>
    <m/>
    <m/>
  </r>
  <r>
    <n v="2510"/>
    <n v="52848"/>
    <d v="1988-04-15T00:00:00"/>
    <n v="37"/>
    <x v="0"/>
    <x v="1"/>
    <d v="2024-10-05T00:00:00"/>
    <n v="1.7095890410958905"/>
    <x v="50"/>
    <x v="0"/>
    <x v="5"/>
    <x v="1"/>
    <n v="23.6"/>
    <m/>
    <m/>
    <m/>
    <m/>
    <m/>
    <m/>
    <x v="1"/>
    <n v="6"/>
    <n v="6"/>
    <m/>
    <m/>
    <m/>
    <m/>
    <m/>
    <m/>
    <m/>
    <m/>
    <m/>
    <m/>
    <m/>
    <m/>
    <m/>
    <m/>
  </r>
  <r>
    <n v="2511"/>
    <n v="52849"/>
    <d v="2000-05-26T00:00:00"/>
    <n v="25"/>
    <x v="0"/>
    <x v="1"/>
    <d v="2024-04-16T00:00:00"/>
    <n v="1.3232876712328767"/>
    <x v="34"/>
    <x v="0"/>
    <x v="5"/>
    <x v="1"/>
    <n v="23.6"/>
    <m/>
    <m/>
    <m/>
    <m/>
    <m/>
    <m/>
    <x v="1"/>
    <n v="3"/>
    <n v="4"/>
    <m/>
    <m/>
    <m/>
    <m/>
    <m/>
    <m/>
    <m/>
    <m/>
    <m/>
    <m/>
    <m/>
    <m/>
    <m/>
    <m/>
  </r>
  <r>
    <n v="2512"/>
    <n v="52850"/>
    <d v="1987-08-19T00:00:00"/>
    <n v="38"/>
    <x v="0"/>
    <x v="1"/>
    <d v="2024-09-04T00:00:00"/>
    <n v="1.4575342465753425"/>
    <x v="138"/>
    <x v="0"/>
    <x v="5"/>
    <x v="1"/>
    <n v="23.6"/>
    <m/>
    <m/>
    <m/>
    <m/>
    <m/>
    <m/>
    <x v="1"/>
    <n v="3"/>
    <n v="6"/>
    <m/>
    <m/>
    <m/>
    <m/>
    <m/>
    <m/>
    <m/>
    <m/>
    <m/>
    <m/>
    <m/>
    <m/>
    <m/>
    <m/>
  </r>
  <r>
    <n v="2513"/>
    <n v="52851"/>
    <d v="1999-12-12T00:00:00"/>
    <n v="26"/>
    <x v="1"/>
    <x v="1"/>
    <d v="2024-07-17T00:00:00"/>
    <n v="1.7315068493150685"/>
    <x v="138"/>
    <x v="0"/>
    <x v="5"/>
    <x v="1"/>
    <n v="23.6"/>
    <m/>
    <m/>
    <m/>
    <m/>
    <m/>
    <m/>
    <x v="3"/>
    <n v="4"/>
    <n v="7"/>
    <m/>
    <m/>
    <m/>
    <m/>
    <m/>
    <m/>
    <m/>
    <m/>
    <m/>
    <m/>
    <m/>
    <m/>
    <m/>
    <m/>
  </r>
  <r>
    <n v="2514"/>
    <n v="52854"/>
    <d v="2000-11-05T00:00:00"/>
    <n v="25"/>
    <x v="0"/>
    <x v="1"/>
    <d v="2024-04-08T00:00:00"/>
    <n v="1.3287671232876712"/>
    <x v="36"/>
    <x v="0"/>
    <x v="5"/>
    <x v="1"/>
    <n v="23.6"/>
    <m/>
    <m/>
    <m/>
    <m/>
    <m/>
    <m/>
    <x v="1"/>
    <n v="3"/>
    <n v="4"/>
    <m/>
    <m/>
    <m/>
    <m/>
    <m/>
    <m/>
    <m/>
    <m/>
    <m/>
    <m/>
    <m/>
    <m/>
    <m/>
    <m/>
  </r>
  <r>
    <n v="2515"/>
    <n v="52855"/>
    <d v="1998-11-20T00:00:00"/>
    <n v="27"/>
    <x v="0"/>
    <x v="1"/>
    <d v="2024-09-02T00:00:00"/>
    <n v="1.5972602739726027"/>
    <x v="36"/>
    <x v="0"/>
    <x v="5"/>
    <x v="1"/>
    <n v="23.6"/>
    <m/>
    <m/>
    <m/>
    <m/>
    <m/>
    <m/>
    <x v="2"/>
    <n v="2"/>
    <n v="4"/>
    <m/>
    <m/>
    <m/>
    <m/>
    <m/>
    <m/>
    <m/>
    <m/>
    <m/>
    <m/>
    <m/>
    <m/>
    <m/>
    <m/>
  </r>
  <r>
    <n v="2516"/>
    <n v="52856"/>
    <d v="1997-06-06T00:00:00"/>
    <n v="28"/>
    <x v="0"/>
    <x v="0"/>
    <d v="2024-05-27T00:00:00"/>
    <n v="1.3863013698630138"/>
    <x v="36"/>
    <x v="0"/>
    <x v="5"/>
    <x v="1"/>
    <n v="23.6"/>
    <m/>
    <m/>
    <m/>
    <m/>
    <m/>
    <m/>
    <x v="4"/>
    <n v="6"/>
    <n v="5"/>
    <m/>
    <m/>
    <m/>
    <m/>
    <m/>
    <m/>
    <m/>
    <m/>
    <m/>
    <m/>
    <m/>
    <m/>
    <m/>
    <m/>
  </r>
  <r>
    <n v="2517"/>
    <n v="52857"/>
    <d v="1992-04-12T00:00:00"/>
    <n v="33"/>
    <x v="1"/>
    <x v="1"/>
    <d v="2024-08-12T00:00:00"/>
    <n v="1.1452054794520548"/>
    <x v="141"/>
    <x v="0"/>
    <x v="5"/>
    <x v="1"/>
    <n v="23.6"/>
    <m/>
    <m/>
    <m/>
    <m/>
    <m/>
    <m/>
    <x v="3"/>
    <n v="3"/>
    <n v="7"/>
    <m/>
    <m/>
    <m/>
    <m/>
    <m/>
    <m/>
    <m/>
    <m/>
    <m/>
    <m/>
    <m/>
    <m/>
    <m/>
    <m/>
  </r>
  <r>
    <n v="2518"/>
    <n v="52858"/>
    <d v="1996-11-07T00:00:00"/>
    <n v="29"/>
    <x v="0"/>
    <x v="1"/>
    <d v="2024-11-08T00:00:00"/>
    <n v="1.2164383561643837"/>
    <x v="55"/>
    <x v="0"/>
    <x v="5"/>
    <x v="1"/>
    <n v="23.6"/>
    <m/>
    <m/>
    <m/>
    <m/>
    <m/>
    <m/>
    <x v="2"/>
    <n v="3"/>
    <n v="5"/>
    <m/>
    <m/>
    <m/>
    <m/>
    <m/>
    <m/>
    <m/>
    <m/>
    <m/>
    <m/>
    <m/>
    <m/>
    <m/>
    <m/>
  </r>
  <r>
    <n v="2519"/>
    <n v="52859"/>
    <d v="1997-06-23T00:00:00"/>
    <n v="28"/>
    <x v="1"/>
    <x v="1"/>
    <d v="2024-10-13T00:00:00"/>
    <n v="1"/>
    <x v="41"/>
    <x v="0"/>
    <x v="5"/>
    <x v="1"/>
    <n v="23.6"/>
    <m/>
    <m/>
    <m/>
    <m/>
    <m/>
    <m/>
    <x v="4"/>
    <n v="4"/>
    <n v="6"/>
    <m/>
    <m/>
    <m/>
    <m/>
    <m/>
    <m/>
    <m/>
    <m/>
    <m/>
    <m/>
    <m/>
    <m/>
    <m/>
    <m/>
  </r>
  <r>
    <n v="2520"/>
    <n v="52860"/>
    <d v="1993-12-08T00:00:00"/>
    <n v="32"/>
    <x v="0"/>
    <x v="1"/>
    <d v="2024-12-31T00:00:00"/>
    <n v="1.2904109589041095"/>
    <x v="73"/>
    <x v="0"/>
    <x v="5"/>
    <x v="1"/>
    <n v="23.6"/>
    <m/>
    <m/>
    <m/>
    <m/>
    <m/>
    <m/>
    <x v="4"/>
    <n v="4"/>
    <n v="4"/>
    <m/>
    <m/>
    <m/>
    <m/>
    <m/>
    <m/>
    <m/>
    <m/>
    <m/>
    <m/>
    <m/>
    <m/>
    <m/>
    <m/>
  </r>
  <r>
    <n v="2521"/>
    <n v="52861"/>
    <d v="2000-10-14T00:00:00"/>
    <n v="25"/>
    <x v="0"/>
    <x v="1"/>
    <d v="2024-09-16T00:00:00"/>
    <n v="1.7534246575342465"/>
    <x v="142"/>
    <x v="0"/>
    <x v="5"/>
    <x v="1"/>
    <n v="23.6"/>
    <m/>
    <m/>
    <m/>
    <m/>
    <m/>
    <m/>
    <x v="1"/>
    <n v="4"/>
    <n v="5"/>
    <m/>
    <m/>
    <m/>
    <m/>
    <m/>
    <m/>
    <m/>
    <m/>
    <m/>
    <m/>
    <m/>
    <m/>
    <m/>
    <m/>
  </r>
  <r>
    <n v="2522"/>
    <n v="52862"/>
    <d v="1999-10-16T00:00:00"/>
    <n v="26"/>
    <x v="0"/>
    <x v="1"/>
    <d v="2024-03-31T00:00:00"/>
    <n v="1.095890410958904"/>
    <x v="142"/>
    <x v="0"/>
    <x v="5"/>
    <x v="1"/>
    <n v="23.6"/>
    <m/>
    <m/>
    <m/>
    <m/>
    <m/>
    <m/>
    <x v="4"/>
    <n v="3"/>
    <n v="4"/>
    <m/>
    <m/>
    <m/>
    <m/>
    <m/>
    <m/>
    <m/>
    <m/>
    <m/>
    <m/>
    <m/>
    <m/>
    <m/>
    <m/>
  </r>
  <r>
    <n v="2523"/>
    <n v="52863"/>
    <d v="1997-03-12T00:00:00"/>
    <n v="28"/>
    <x v="1"/>
    <x v="1"/>
    <d v="2024-11-26T00:00:00"/>
    <n v="1.2054794520547945"/>
    <x v="37"/>
    <x v="0"/>
    <x v="5"/>
    <x v="1"/>
    <n v="23.6"/>
    <m/>
    <m/>
    <m/>
    <m/>
    <m/>
    <m/>
    <x v="4"/>
    <n v="2"/>
    <n v="6"/>
    <m/>
    <m/>
    <m/>
    <m/>
    <m/>
    <m/>
    <m/>
    <m/>
    <m/>
    <m/>
    <m/>
    <m/>
    <m/>
    <m/>
  </r>
  <r>
    <n v="2524"/>
    <n v="52864"/>
    <d v="1995-07-15T00:00:00"/>
    <n v="30"/>
    <x v="0"/>
    <x v="1"/>
    <d v="2024-10-17T00:00:00"/>
    <n v="1.3369863013698631"/>
    <x v="39"/>
    <x v="1"/>
    <x v="5"/>
    <x v="1"/>
    <n v="23.6"/>
    <m/>
    <m/>
    <m/>
    <m/>
    <m/>
    <m/>
    <x v="1"/>
    <n v="2"/>
    <n v="4"/>
    <m/>
    <m/>
    <m/>
    <m/>
    <m/>
    <m/>
    <m/>
    <m/>
    <m/>
    <m/>
    <m/>
    <m/>
    <m/>
    <m/>
  </r>
  <r>
    <n v="2525"/>
    <n v="52865"/>
    <d v="1999-02-02T00:00:00"/>
    <n v="26"/>
    <x v="0"/>
    <x v="1"/>
    <d v="2024-08-30T00:00:00"/>
    <n v="1.3726027397260274"/>
    <x v="39"/>
    <x v="1"/>
    <x v="5"/>
    <x v="1"/>
    <n v="23.6"/>
    <m/>
    <m/>
    <m/>
    <m/>
    <m/>
    <m/>
    <x v="2"/>
    <n v="5"/>
    <n v="6"/>
    <m/>
    <m/>
    <m/>
    <m/>
    <m/>
    <m/>
    <m/>
    <m/>
    <m/>
    <m/>
    <m/>
    <m/>
    <m/>
    <m/>
  </r>
  <r>
    <n v="2526"/>
    <n v="52867"/>
    <d v="1988-06-17T00:00:00"/>
    <n v="37"/>
    <x v="0"/>
    <x v="1"/>
    <d v="2024-08-17T00:00:00"/>
    <n v="1.5041095890410958"/>
    <x v="104"/>
    <x v="1"/>
    <x v="5"/>
    <x v="1"/>
    <n v="23.6"/>
    <m/>
    <m/>
    <m/>
    <m/>
    <m/>
    <m/>
    <x v="2"/>
    <n v="5"/>
    <n v="6"/>
    <m/>
    <m/>
    <m/>
    <m/>
    <m/>
    <m/>
    <m/>
    <m/>
    <m/>
    <m/>
    <m/>
    <m/>
    <m/>
    <m/>
  </r>
  <r>
    <n v="2527"/>
    <n v="52868"/>
    <d v="1999-07-08T00:00:00"/>
    <n v="26"/>
    <x v="1"/>
    <x v="1"/>
    <d v="2024-06-30T00:00:00"/>
    <n v="1.1643835616438356"/>
    <x v="44"/>
    <x v="1"/>
    <x v="5"/>
    <x v="1"/>
    <n v="23.6"/>
    <m/>
    <m/>
    <m/>
    <m/>
    <m/>
    <m/>
    <x v="2"/>
    <n v="6"/>
    <n v="7"/>
    <m/>
    <m/>
    <m/>
    <m/>
    <m/>
    <m/>
    <m/>
    <m/>
    <m/>
    <m/>
    <m/>
    <m/>
    <m/>
    <m/>
  </r>
  <r>
    <n v="2528"/>
    <n v="52869"/>
    <d v="1998-10-08T00:00:00"/>
    <n v="27"/>
    <x v="0"/>
    <x v="1"/>
    <d v="2024-11-01T00:00:00"/>
    <n v="1.1616438356164382"/>
    <x v="90"/>
    <x v="1"/>
    <x v="5"/>
    <x v="1"/>
    <n v="23.6"/>
    <m/>
    <m/>
    <m/>
    <m/>
    <m/>
    <m/>
    <x v="2"/>
    <n v="5"/>
    <n v="4"/>
    <m/>
    <m/>
    <m/>
    <m/>
    <m/>
    <m/>
    <m/>
    <m/>
    <m/>
    <m/>
    <m/>
    <m/>
    <m/>
    <m/>
  </r>
  <r>
    <n v="2529"/>
    <n v="52870"/>
    <d v="2001-01-02T00:00:00"/>
    <n v="24"/>
    <x v="1"/>
    <x v="0"/>
    <d v="2024-11-02T00:00:00"/>
    <n v="1.0630136986301371"/>
    <x v="97"/>
    <x v="1"/>
    <x v="5"/>
    <x v="1"/>
    <n v="23.6"/>
    <m/>
    <m/>
    <m/>
    <m/>
    <m/>
    <m/>
    <x v="3"/>
    <n v="4"/>
    <n v="6"/>
    <m/>
    <m/>
    <m/>
    <m/>
    <m/>
    <m/>
    <m/>
    <m/>
    <m/>
    <m/>
    <m/>
    <m/>
    <m/>
    <m/>
  </r>
  <r>
    <n v="2530"/>
    <n v="52871"/>
    <d v="1998-11-22T00:00:00"/>
    <n v="27"/>
    <x v="0"/>
    <x v="0"/>
    <d v="2024-12-08T00:00:00"/>
    <n v="1.7013698630136986"/>
    <x v="108"/>
    <x v="1"/>
    <x v="5"/>
    <x v="1"/>
    <n v="23.6"/>
    <m/>
    <m/>
    <m/>
    <m/>
    <m/>
    <m/>
    <x v="4"/>
    <n v="5"/>
    <n v="5"/>
    <m/>
    <m/>
    <m/>
    <m/>
    <m/>
    <m/>
    <m/>
    <m/>
    <m/>
    <m/>
    <m/>
    <m/>
    <m/>
    <m/>
  </r>
  <r>
    <n v="2531"/>
    <n v="52872"/>
    <d v="1996-06-03T00:00:00"/>
    <n v="29"/>
    <x v="1"/>
    <x v="1"/>
    <d v="2024-04-19T00:00:00"/>
    <n v="1.0684931506849316"/>
    <x v="60"/>
    <x v="1"/>
    <x v="5"/>
    <x v="1"/>
    <n v="23.6"/>
    <m/>
    <m/>
    <m/>
    <m/>
    <m/>
    <m/>
    <x v="2"/>
    <n v="3"/>
    <n v="6"/>
    <m/>
    <m/>
    <m/>
    <m/>
    <m/>
    <m/>
    <m/>
    <m/>
    <m/>
    <m/>
    <m/>
    <m/>
    <m/>
    <m/>
  </r>
  <r>
    <n v="2532"/>
    <n v="52873"/>
    <d v="2000-03-01T00:00:00"/>
    <n v="26"/>
    <x v="0"/>
    <x v="1"/>
    <d v="2024-12-06T00:00:00"/>
    <n v="1.5890410958904109"/>
    <x v="60"/>
    <x v="1"/>
    <x v="5"/>
    <x v="1"/>
    <n v="23.6"/>
    <m/>
    <m/>
    <m/>
    <m/>
    <m/>
    <m/>
    <x v="4"/>
    <n v="2"/>
    <n v="5"/>
    <m/>
    <m/>
    <m/>
    <m/>
    <m/>
    <m/>
    <m/>
    <m/>
    <m/>
    <m/>
    <m/>
    <m/>
    <m/>
    <m/>
  </r>
  <r>
    <n v="2533"/>
    <n v="52874"/>
    <d v="1995-03-05T00:00:00"/>
    <n v="30"/>
    <x v="0"/>
    <x v="1"/>
    <d v="2024-05-30T00:00:00"/>
    <n v="1.1150684931506849"/>
    <x v="62"/>
    <x v="1"/>
    <x v="5"/>
    <x v="1"/>
    <n v="23.6"/>
    <m/>
    <m/>
    <m/>
    <m/>
    <m/>
    <m/>
    <x v="3"/>
    <n v="3"/>
    <n v="3"/>
    <m/>
    <m/>
    <m/>
    <m/>
    <m/>
    <m/>
    <m/>
    <m/>
    <m/>
    <m/>
    <m/>
    <m/>
    <m/>
    <m/>
  </r>
  <r>
    <n v="2534"/>
    <n v="52875"/>
    <d v="1986-06-06T00:00:00"/>
    <n v="39"/>
    <x v="0"/>
    <x v="1"/>
    <d v="2024-11-19T00:00:00"/>
    <n v="1.4301369863013698"/>
    <x v="64"/>
    <x v="1"/>
    <x v="5"/>
    <x v="1"/>
    <n v="23.6"/>
    <m/>
    <m/>
    <m/>
    <m/>
    <m/>
    <m/>
    <x v="3"/>
    <n v="6"/>
    <n v="6"/>
    <m/>
    <m/>
    <m/>
    <m/>
    <m/>
    <m/>
    <m/>
    <m/>
    <m/>
    <m/>
    <m/>
    <m/>
    <m/>
    <m/>
  </r>
  <r>
    <n v="2535"/>
    <n v="52876"/>
    <d v="2001-11-11T00:00:00"/>
    <n v="24"/>
    <x v="0"/>
    <x v="1"/>
    <d v="2024-07-27T00:00:00"/>
    <n v="1.6520547945205479"/>
    <x v="69"/>
    <x v="1"/>
    <x v="5"/>
    <x v="1"/>
    <n v="23.6"/>
    <m/>
    <m/>
    <m/>
    <m/>
    <m/>
    <m/>
    <x v="1"/>
    <n v="6"/>
    <n v="6"/>
    <m/>
    <m/>
    <m/>
    <m/>
    <m/>
    <m/>
    <m/>
    <m/>
    <m/>
    <m/>
    <m/>
    <m/>
    <m/>
    <m/>
  </r>
  <r>
    <n v="2536"/>
    <n v="52877"/>
    <d v="1998-04-14T00:00:00"/>
    <n v="27"/>
    <x v="0"/>
    <x v="0"/>
    <d v="2024-05-07T00:00:00"/>
    <n v="1.5287671232876712"/>
    <x v="135"/>
    <x v="1"/>
    <x v="5"/>
    <x v="1"/>
    <n v="23.6"/>
    <m/>
    <m/>
    <m/>
    <m/>
    <m/>
    <m/>
    <x v="1"/>
    <n v="6"/>
    <n v="5"/>
    <m/>
    <m/>
    <m/>
    <m/>
    <m/>
    <m/>
    <m/>
    <m/>
    <m/>
    <m/>
    <m/>
    <m/>
    <m/>
    <m/>
  </r>
  <r>
    <n v="2537"/>
    <n v="52878"/>
    <d v="1997-11-20T00:00:00"/>
    <n v="28"/>
    <x v="1"/>
    <x v="0"/>
    <d v="2024-06-21T00:00:00"/>
    <n v="1.106849315068493"/>
    <x v="70"/>
    <x v="1"/>
    <x v="5"/>
    <x v="1"/>
    <n v="23.6"/>
    <m/>
    <m/>
    <m/>
    <m/>
    <m/>
    <m/>
    <x v="1"/>
    <n v="5"/>
    <n v="6"/>
    <m/>
    <m/>
    <m/>
    <m/>
    <m/>
    <m/>
    <m/>
    <m/>
    <m/>
    <m/>
    <m/>
    <m/>
    <m/>
    <m/>
  </r>
  <r>
    <n v="2538"/>
    <n v="52879"/>
    <d v="1998-07-12T00:00:00"/>
    <n v="27"/>
    <x v="1"/>
    <x v="1"/>
    <d v="2024-11-22T00:00:00"/>
    <n v="1.1753424657534246"/>
    <x v="70"/>
    <x v="1"/>
    <x v="5"/>
    <x v="1"/>
    <n v="23.6"/>
    <m/>
    <m/>
    <m/>
    <m/>
    <m/>
    <m/>
    <x v="3"/>
    <n v="0"/>
    <n v="5"/>
    <m/>
    <m/>
    <m/>
    <m/>
    <m/>
    <m/>
    <m/>
    <m/>
    <m/>
    <m/>
    <m/>
    <m/>
    <m/>
    <m/>
  </r>
  <r>
    <n v="2539"/>
    <n v="52880"/>
    <d v="1994-02-19T00:00:00"/>
    <n v="31"/>
    <x v="1"/>
    <x v="1"/>
    <d v="2024-10-28T00:00:00"/>
    <n v="1.3506849315068492"/>
    <x v="109"/>
    <x v="1"/>
    <x v="5"/>
    <x v="1"/>
    <n v="23.6"/>
    <m/>
    <m/>
    <m/>
    <m/>
    <m/>
    <m/>
    <x v="4"/>
    <n v="6"/>
    <n v="6"/>
    <m/>
    <m/>
    <m/>
    <m/>
    <m/>
    <m/>
    <m/>
    <m/>
    <m/>
    <m/>
    <m/>
    <m/>
    <m/>
    <m/>
  </r>
  <r>
    <n v="2540"/>
    <n v="52881"/>
    <d v="2000-10-28T00:00:00"/>
    <n v="25"/>
    <x v="0"/>
    <x v="1"/>
    <d v="2024-08-25T00:00:00"/>
    <n v="1.0739726027397261"/>
    <x v="89"/>
    <x v="1"/>
    <x v="5"/>
    <x v="1"/>
    <n v="23.6"/>
    <m/>
    <m/>
    <m/>
    <m/>
    <m/>
    <m/>
    <x v="2"/>
    <n v="3"/>
    <n v="4"/>
    <m/>
    <m/>
    <m/>
    <m/>
    <m/>
    <m/>
    <m/>
    <m/>
    <m/>
    <m/>
    <m/>
    <m/>
    <m/>
    <m/>
  </r>
  <r>
    <n v="2541"/>
    <n v="52882"/>
    <d v="2000-06-14T00:00:00"/>
    <n v="25"/>
    <x v="0"/>
    <x v="1"/>
    <d v="2024-12-04T00:00:00"/>
    <n v="1.4904109589041097"/>
    <x v="25"/>
    <x v="0"/>
    <x v="7"/>
    <x v="1"/>
    <n v="17.59"/>
    <m/>
    <m/>
    <m/>
    <m/>
    <m/>
    <m/>
    <x v="4"/>
    <n v="2"/>
    <n v="4"/>
    <m/>
    <m/>
    <m/>
    <m/>
    <m/>
    <m/>
    <m/>
    <m/>
    <m/>
    <m/>
    <m/>
    <m/>
    <m/>
    <m/>
  </r>
  <r>
    <n v="2542"/>
    <n v="52883"/>
    <d v="2007-09-27T00:00:00"/>
    <n v="18"/>
    <x v="1"/>
    <x v="1"/>
    <d v="2024-07-05T00:00:00"/>
    <n v="1.8027397260273972"/>
    <x v="35"/>
    <x v="0"/>
    <x v="3"/>
    <x v="1"/>
    <n v="8.4700000000000006"/>
    <m/>
    <m/>
    <m/>
    <m/>
    <m/>
    <m/>
    <x v="4"/>
    <n v="1"/>
    <n v="6"/>
    <m/>
    <m/>
    <m/>
    <m/>
    <m/>
    <m/>
    <m/>
    <m/>
    <m/>
    <m/>
    <m/>
    <m/>
    <m/>
    <m/>
  </r>
  <r>
    <n v="2543"/>
    <n v="52884"/>
    <d v="2003-02-17T00:00:00"/>
    <n v="22"/>
    <x v="1"/>
    <x v="0"/>
    <d v="2024-03-13T00:00:00"/>
    <n v="1.6712328767123288"/>
    <x v="57"/>
    <x v="0"/>
    <x v="7"/>
    <x v="1"/>
    <n v="17.59"/>
    <m/>
    <m/>
    <m/>
    <m/>
    <m/>
    <m/>
    <x v="4"/>
    <n v="2"/>
    <n v="6"/>
    <m/>
    <m/>
    <m/>
    <m/>
    <m/>
    <m/>
    <m/>
    <m/>
    <m/>
    <m/>
    <m/>
    <m/>
    <m/>
    <m/>
  </r>
  <r>
    <n v="2544"/>
    <n v="52885"/>
    <d v="2006-11-14T00:00:00"/>
    <n v="19"/>
    <x v="1"/>
    <x v="0"/>
    <d v="2024-04-30T00:00:00"/>
    <n v="1.0383561643835617"/>
    <x v="59"/>
    <x v="0"/>
    <x v="2"/>
    <x v="1"/>
    <n v="14.23"/>
    <m/>
    <m/>
    <m/>
    <m/>
    <m/>
    <m/>
    <x v="2"/>
    <n v="1"/>
    <n v="5"/>
    <m/>
    <m/>
    <m/>
    <m/>
    <m/>
    <m/>
    <m/>
    <m/>
    <m/>
    <m/>
    <m/>
    <m/>
    <m/>
    <m/>
  </r>
  <r>
    <n v="2545"/>
    <n v="52886"/>
    <d v="1998-09-15T00:00:00"/>
    <n v="27"/>
    <x v="0"/>
    <x v="1"/>
    <d v="2024-12-17T00:00:00"/>
    <n v="1.3972602739726028"/>
    <x v="81"/>
    <x v="1"/>
    <x v="11"/>
    <x v="1"/>
    <n v="17"/>
    <m/>
    <m/>
    <m/>
    <m/>
    <m/>
    <m/>
    <x v="2"/>
    <n v="2"/>
    <n v="4"/>
    <m/>
    <m/>
    <m/>
    <m/>
    <m/>
    <m/>
    <m/>
    <m/>
    <m/>
    <m/>
    <m/>
    <m/>
    <m/>
    <m/>
  </r>
  <r>
    <n v="2546"/>
    <n v="52887"/>
    <d v="2005-09-28T00:00:00"/>
    <n v="20"/>
    <x v="1"/>
    <x v="0"/>
    <d v="2024-08-08T00:00:00"/>
    <n v="1.1260273972602739"/>
    <x v="25"/>
    <x v="0"/>
    <x v="3"/>
    <x v="1"/>
    <n v="17.899999999999999"/>
    <m/>
    <m/>
    <m/>
    <m/>
    <m/>
    <m/>
    <x v="3"/>
    <n v="2"/>
    <n v="7"/>
    <m/>
    <m/>
    <m/>
    <m/>
    <m/>
    <m/>
    <m/>
    <m/>
    <m/>
    <m/>
    <m/>
    <m/>
    <m/>
    <m/>
  </r>
  <r>
    <n v="2547"/>
    <n v="52888"/>
    <d v="2002-04-29T00:00:00"/>
    <n v="23"/>
    <x v="0"/>
    <x v="1"/>
    <d v="2024-11-15T00:00:00"/>
    <n v="1.0520547945205478"/>
    <x v="103"/>
    <x v="1"/>
    <x v="7"/>
    <x v="1"/>
    <n v="17.59"/>
    <m/>
    <m/>
    <m/>
    <m/>
    <m/>
    <m/>
    <x v="2"/>
    <n v="3"/>
    <n v="3"/>
    <m/>
    <m/>
    <m/>
    <m/>
    <m/>
    <m/>
    <m/>
    <m/>
    <m/>
    <m/>
    <m/>
    <m/>
    <m/>
    <m/>
  </r>
  <r>
    <n v="2548"/>
    <n v="52890"/>
    <d v="1996-11-06T00:00:00"/>
    <n v="29"/>
    <x v="0"/>
    <x v="1"/>
    <d v="2024-12-12T00:00:00"/>
    <n v="1.2"/>
    <x v="11"/>
    <x v="0"/>
    <x v="7"/>
    <x v="1"/>
    <n v="17.59"/>
    <m/>
    <m/>
    <m/>
    <m/>
    <m/>
    <m/>
    <x v="1"/>
    <n v="2"/>
    <n v="3"/>
    <m/>
    <m/>
    <m/>
    <m/>
    <m/>
    <m/>
    <m/>
    <m/>
    <m/>
    <m/>
    <m/>
    <m/>
    <m/>
    <m/>
  </r>
  <r>
    <n v="2549"/>
    <n v="52891"/>
    <d v="1994-03-08T00:00:00"/>
    <n v="31"/>
    <x v="0"/>
    <x v="0"/>
    <d v="2024-10-19T00:00:00"/>
    <n v="1.7643835616438357"/>
    <x v="118"/>
    <x v="1"/>
    <x v="7"/>
    <x v="1"/>
    <n v="17.59"/>
    <m/>
    <m/>
    <m/>
    <m/>
    <m/>
    <m/>
    <x v="1"/>
    <n v="3"/>
    <n v="3"/>
    <m/>
    <m/>
    <m/>
    <m/>
    <m/>
    <m/>
    <m/>
    <m/>
    <m/>
    <m/>
    <m/>
    <m/>
    <m/>
    <m/>
  </r>
  <r>
    <n v="2550"/>
    <n v="52892"/>
    <d v="1995-08-16T00:00:00"/>
    <n v="30"/>
    <x v="0"/>
    <x v="1"/>
    <d v="2024-03-27T00:00:00"/>
    <n v="1.021917808219178"/>
    <x v="57"/>
    <x v="0"/>
    <x v="1"/>
    <x v="1"/>
    <n v="16.37"/>
    <m/>
    <m/>
    <m/>
    <m/>
    <m/>
    <m/>
    <x v="1"/>
    <n v="0"/>
    <n v="4"/>
    <m/>
    <m/>
    <m/>
    <m/>
    <m/>
    <m/>
    <m/>
    <m/>
    <m/>
    <m/>
    <m/>
    <m/>
    <m/>
    <m/>
  </r>
  <r>
    <n v="2551"/>
    <n v="52893"/>
    <d v="2002-06-22T00:00:00"/>
    <n v="23"/>
    <x v="0"/>
    <x v="1"/>
    <d v="2024-12-23T00:00:00"/>
    <n v="1.4602739726027398"/>
    <x v="72"/>
    <x v="1"/>
    <x v="7"/>
    <x v="1"/>
    <n v="17.59"/>
    <m/>
    <m/>
    <m/>
    <m/>
    <m/>
    <m/>
    <x v="4"/>
    <n v="1"/>
    <n v="3"/>
    <m/>
    <m/>
    <m/>
    <m/>
    <m/>
    <m/>
    <m/>
    <m/>
    <m/>
    <m/>
    <m/>
    <m/>
    <m/>
    <m/>
  </r>
  <r>
    <n v="2552"/>
    <n v="52895"/>
    <d v="1999-06-04T00:00:00"/>
    <n v="26"/>
    <x v="0"/>
    <x v="0"/>
    <d v="2024-07-16T00:00:00"/>
    <n v="1.273972602739726"/>
    <x v="11"/>
    <x v="0"/>
    <x v="7"/>
    <x v="1"/>
    <n v="17.59"/>
    <m/>
    <m/>
    <m/>
    <m/>
    <m/>
    <m/>
    <x v="2"/>
    <n v="2"/>
    <n v="4"/>
    <m/>
    <m/>
    <m/>
    <m/>
    <m/>
    <m/>
    <m/>
    <m/>
    <m/>
    <m/>
    <m/>
    <m/>
    <m/>
    <m/>
  </r>
  <r>
    <n v="2553"/>
    <n v="52896"/>
    <d v="2000-11-12T00:00:00"/>
    <n v="25"/>
    <x v="1"/>
    <x v="1"/>
    <d v="2024-09-22T00:00:00"/>
    <n v="1.0849315068493151"/>
    <x v="13"/>
    <x v="0"/>
    <x v="11"/>
    <x v="1"/>
    <n v="17"/>
    <m/>
    <m/>
    <m/>
    <m/>
    <m/>
    <m/>
    <x v="2"/>
    <n v="2"/>
    <n v="7"/>
    <m/>
    <m/>
    <m/>
    <m/>
    <m/>
    <m/>
    <m/>
    <m/>
    <m/>
    <m/>
    <m/>
    <m/>
    <m/>
    <m/>
  </r>
  <r>
    <n v="2554"/>
    <n v="52897"/>
    <d v="2005-09-16T00:00:00"/>
    <n v="20"/>
    <x v="0"/>
    <x v="1"/>
    <d v="2024-11-30T00:00:00"/>
    <n v="1.1726027397260275"/>
    <x v="50"/>
    <x v="0"/>
    <x v="10"/>
    <x v="1"/>
    <n v="10.64"/>
    <m/>
    <m/>
    <m/>
    <m/>
    <m/>
    <m/>
    <x v="3"/>
    <n v="0"/>
    <n v="4"/>
    <m/>
    <m/>
    <m/>
    <m/>
    <m/>
    <m/>
    <m/>
    <m/>
    <m/>
    <m/>
    <m/>
    <m/>
    <m/>
    <m/>
  </r>
  <r>
    <n v="2555"/>
    <n v="52898"/>
    <d v="1995-09-13T00:00:00"/>
    <n v="30"/>
    <x v="0"/>
    <x v="1"/>
    <d v="2024-10-29T00:00:00"/>
    <n v="1.4876712328767123"/>
    <x v="141"/>
    <x v="0"/>
    <x v="2"/>
    <x v="1"/>
    <n v="14.23"/>
    <m/>
    <m/>
    <m/>
    <m/>
    <m/>
    <m/>
    <x v="4"/>
    <n v="0"/>
    <n v="4"/>
    <m/>
    <m/>
    <m/>
    <m/>
    <m/>
    <m/>
    <m/>
    <m/>
    <m/>
    <m/>
    <m/>
    <m/>
    <m/>
    <m/>
  </r>
  <r>
    <n v="2556"/>
    <n v="52899"/>
    <d v="2003-03-06T00:00:00"/>
    <n v="22"/>
    <x v="0"/>
    <x v="1"/>
    <d v="2024-07-06T00:00:00"/>
    <n v="1.6575342465753424"/>
    <x v="29"/>
    <x v="1"/>
    <x v="6"/>
    <x v="1"/>
    <n v="23.78"/>
    <m/>
    <m/>
    <m/>
    <m/>
    <m/>
    <m/>
    <x v="3"/>
    <n v="7"/>
    <n v="5"/>
    <m/>
    <m/>
    <m/>
    <m/>
    <m/>
    <m/>
    <m/>
    <m/>
    <m/>
    <m/>
    <m/>
    <m/>
    <m/>
    <m/>
  </r>
  <r>
    <n v="2557"/>
    <n v="52900"/>
    <d v="1994-12-09T00:00:00"/>
    <n v="31"/>
    <x v="0"/>
    <x v="1"/>
    <d v="2024-05-05T00:00:00"/>
    <n v="1.2082191780821918"/>
    <x v="70"/>
    <x v="1"/>
    <x v="7"/>
    <x v="1"/>
    <n v="17.59"/>
    <m/>
    <m/>
    <m/>
    <m/>
    <m/>
    <m/>
    <x v="4"/>
    <n v="2"/>
    <n v="5"/>
    <m/>
    <m/>
    <m/>
    <m/>
    <m/>
    <m/>
    <m/>
    <m/>
    <m/>
    <m/>
    <m/>
    <m/>
    <m/>
    <m/>
  </r>
  <r>
    <n v="2558"/>
    <n v="52901"/>
    <d v="1993-11-08T00:00:00"/>
    <n v="32"/>
    <x v="0"/>
    <x v="1"/>
    <d v="2024-10-16T00:00:00"/>
    <n v="1.4082191780821918"/>
    <x v="70"/>
    <x v="1"/>
    <x v="8"/>
    <x v="1"/>
    <n v="8.4700000000000006"/>
    <m/>
    <m/>
    <m/>
    <m/>
    <m/>
    <m/>
    <x v="1"/>
    <n v="2"/>
    <n v="5"/>
    <m/>
    <m/>
    <m/>
    <m/>
    <m/>
    <m/>
    <m/>
    <m/>
    <m/>
    <m/>
    <m/>
    <m/>
    <m/>
    <m/>
  </r>
  <r>
    <n v="2559"/>
    <n v="52902"/>
    <d v="1992-12-30T00:00:00"/>
    <n v="33"/>
    <x v="1"/>
    <x v="1"/>
    <d v="2024-08-04T00:00:00"/>
    <n v="1.2767123287671234"/>
    <x v="72"/>
    <x v="1"/>
    <x v="8"/>
    <x v="1"/>
    <n v="8.4700000000000006"/>
    <m/>
    <m/>
    <m/>
    <m/>
    <m/>
    <m/>
    <x v="4"/>
    <n v="0"/>
    <n v="6"/>
    <m/>
    <m/>
    <m/>
    <m/>
    <m/>
    <m/>
    <m/>
    <m/>
    <m/>
    <m/>
    <m/>
    <m/>
    <m/>
    <m/>
  </r>
  <r>
    <n v="2560"/>
    <n v="52903"/>
    <d v="2003-04-21T00:00:00"/>
    <n v="22"/>
    <x v="0"/>
    <x v="1"/>
    <d v="2024-09-21T00:00:00"/>
    <n v="1.3397260273972602"/>
    <x v="94"/>
    <x v="1"/>
    <x v="9"/>
    <x v="1"/>
    <n v="14.07"/>
    <m/>
    <m/>
    <m/>
    <m/>
    <m/>
    <m/>
    <x v="2"/>
    <n v="0"/>
    <n v="3"/>
    <m/>
    <m/>
    <m/>
    <m/>
    <m/>
    <m/>
    <m/>
    <m/>
    <m/>
    <m/>
    <m/>
    <m/>
    <m/>
    <m/>
  </r>
  <r>
    <n v="2561"/>
    <n v="52904"/>
    <d v="2003-08-18T00:00:00"/>
    <n v="22"/>
    <x v="1"/>
    <x v="1"/>
    <d v="2024-08-29T00:00:00"/>
    <n v="1.6547945205479453"/>
    <x v="92"/>
    <x v="1"/>
    <x v="11"/>
    <x v="1"/>
    <n v="17"/>
    <m/>
    <m/>
    <m/>
    <m/>
    <m/>
    <m/>
    <x v="1"/>
    <n v="2"/>
    <n v="5"/>
    <m/>
    <m/>
    <m/>
    <m/>
    <m/>
    <m/>
    <m/>
    <m/>
    <m/>
    <m/>
    <m/>
    <m/>
    <m/>
    <m/>
  </r>
  <r>
    <n v="2562"/>
    <n v="52906"/>
    <d v="2006-02-09T00:00:00"/>
    <n v="19"/>
    <x v="1"/>
    <x v="1"/>
    <d v="2024-05-06T00:00:00"/>
    <n v="1.4547945205479451"/>
    <x v="13"/>
    <x v="0"/>
    <x v="9"/>
    <x v="1"/>
    <n v="14.07"/>
    <m/>
    <m/>
    <m/>
    <m/>
    <m/>
    <m/>
    <x v="1"/>
    <n v="0"/>
    <n v="5"/>
    <m/>
    <m/>
    <m/>
    <m/>
    <m/>
    <m/>
    <m/>
    <m/>
    <m/>
    <m/>
    <m/>
    <m/>
    <m/>
    <m/>
  </r>
  <r>
    <n v="2563"/>
    <n v="52907"/>
    <d v="2000-08-17T00:00:00"/>
    <n v="25"/>
    <x v="0"/>
    <x v="1"/>
    <d v="2024-07-18T00:00:00"/>
    <n v="1.3753424657534246"/>
    <x v="6"/>
    <x v="1"/>
    <x v="6"/>
    <x v="1"/>
    <n v="23.78"/>
    <m/>
    <m/>
    <m/>
    <m/>
    <m/>
    <m/>
    <x v="2"/>
    <n v="6"/>
    <n v="5"/>
    <m/>
    <m/>
    <m/>
    <m/>
    <m/>
    <m/>
    <m/>
    <m/>
    <m/>
    <m/>
    <m/>
    <m/>
    <m/>
    <m/>
  </r>
  <r>
    <n v="2564"/>
    <n v="52908"/>
    <d v="2002-02-14T00:00:00"/>
    <n v="23"/>
    <x v="1"/>
    <x v="1"/>
    <d v="2024-08-16T00:00:00"/>
    <n v="1.1945205479452055"/>
    <x v="3"/>
    <x v="0"/>
    <x v="3"/>
    <x v="1"/>
    <n v="8.4700000000000006"/>
    <m/>
    <m/>
    <m/>
    <m/>
    <m/>
    <m/>
    <x v="1"/>
    <n v="2"/>
    <n v="5"/>
    <m/>
    <m/>
    <m/>
    <m/>
    <m/>
    <m/>
    <m/>
    <m/>
    <m/>
    <m/>
    <m/>
    <m/>
    <m/>
    <m/>
  </r>
  <r>
    <n v="2565"/>
    <n v="52909"/>
    <d v="1999-05-11T00:00:00"/>
    <n v="26"/>
    <x v="0"/>
    <x v="1"/>
    <d v="2024-10-21T00:00:00"/>
    <n v="1.1972602739726028"/>
    <x v="2"/>
    <x v="0"/>
    <x v="7"/>
    <x v="1"/>
    <n v="17.59"/>
    <m/>
    <m/>
    <m/>
    <m/>
    <m/>
    <m/>
    <x v="2"/>
    <n v="4"/>
    <n v="5"/>
    <m/>
    <m/>
    <m/>
    <m/>
    <m/>
    <m/>
    <m/>
    <m/>
    <m/>
    <m/>
    <m/>
    <m/>
    <m/>
    <m/>
  </r>
  <r>
    <n v="2566"/>
    <n v="52910"/>
    <d v="2005-03-09T00:00:00"/>
    <n v="20"/>
    <x v="1"/>
    <x v="1"/>
    <d v="2024-10-20T00:00:00"/>
    <n v="1.0739726027397261"/>
    <x v="58"/>
    <x v="1"/>
    <x v="8"/>
    <x v="1"/>
    <n v="8.4700000000000006"/>
    <m/>
    <m/>
    <m/>
    <m/>
    <m/>
    <m/>
    <x v="1"/>
    <n v="1"/>
    <n v="5"/>
    <m/>
    <m/>
    <m/>
    <m/>
    <m/>
    <m/>
    <m/>
    <m/>
    <m/>
    <m/>
    <m/>
    <m/>
    <m/>
    <m/>
  </r>
  <r>
    <n v="2567"/>
    <n v="52911"/>
    <d v="2002-03-26T00:00:00"/>
    <n v="23"/>
    <x v="1"/>
    <x v="1"/>
    <d v="2024-12-04T00:00:00"/>
    <n v="1.0493150684931507"/>
    <x v="85"/>
    <x v="1"/>
    <x v="11"/>
    <x v="1"/>
    <n v="17"/>
    <m/>
    <m/>
    <m/>
    <m/>
    <m/>
    <m/>
    <x v="3"/>
    <n v="4"/>
    <n v="6"/>
    <m/>
    <m/>
    <m/>
    <m/>
    <m/>
    <m/>
    <m/>
    <m/>
    <m/>
    <m/>
    <m/>
    <m/>
    <m/>
    <m/>
  </r>
  <r>
    <n v="2568"/>
    <n v="52912"/>
    <d v="1998-10-11T00:00:00"/>
    <n v="27"/>
    <x v="1"/>
    <x v="1"/>
    <d v="2024-12-13T00:00:00"/>
    <n v="1.4575342465753425"/>
    <x v="75"/>
    <x v="1"/>
    <x v="7"/>
    <x v="1"/>
    <n v="17.59"/>
    <m/>
    <m/>
    <m/>
    <m/>
    <m/>
    <m/>
    <x v="2"/>
    <n v="2"/>
    <n v="7"/>
    <m/>
    <m/>
    <m/>
    <m/>
    <m/>
    <m/>
    <m/>
    <m/>
    <m/>
    <m/>
    <m/>
    <m/>
    <m/>
    <m/>
  </r>
  <r>
    <n v="2569"/>
    <n v="52914"/>
    <d v="2001-06-22T00:00:00"/>
    <n v="24"/>
    <x v="1"/>
    <x v="1"/>
    <d v="2024-07-17T00:00:00"/>
    <n v="1.6547945205479453"/>
    <x v="50"/>
    <x v="0"/>
    <x v="2"/>
    <x v="1"/>
    <n v="14.23"/>
    <m/>
    <m/>
    <m/>
    <m/>
    <m/>
    <m/>
    <x v="4"/>
    <n v="0"/>
    <n v="5"/>
    <m/>
    <m/>
    <m/>
    <m/>
    <m/>
    <m/>
    <m/>
    <m/>
    <m/>
    <m/>
    <m/>
    <m/>
    <m/>
    <m/>
  </r>
  <r>
    <n v="2570"/>
    <n v="52915"/>
    <d v="2005-06-20T00:00:00"/>
    <n v="20"/>
    <x v="1"/>
    <x v="0"/>
    <d v="2024-05-06T00:00:00"/>
    <n v="1.7123287671232876"/>
    <x v="105"/>
    <x v="1"/>
    <x v="9"/>
    <x v="1"/>
    <n v="14.07"/>
    <m/>
    <m/>
    <m/>
    <m/>
    <m/>
    <m/>
    <x v="4"/>
    <n v="1"/>
    <n v="5"/>
    <m/>
    <m/>
    <m/>
    <m/>
    <m/>
    <m/>
    <m/>
    <m/>
    <m/>
    <m/>
    <m/>
    <m/>
    <m/>
    <m/>
  </r>
  <r>
    <n v="2571"/>
    <n v="52916"/>
    <d v="2004-02-01T00:00:00"/>
    <n v="22"/>
    <x v="1"/>
    <x v="1"/>
    <d v="2024-04-15T00:00:00"/>
    <n v="1.4876712328767123"/>
    <x v="85"/>
    <x v="1"/>
    <x v="9"/>
    <x v="1"/>
    <n v="14.07"/>
    <m/>
    <m/>
    <m/>
    <m/>
    <m/>
    <m/>
    <x v="2"/>
    <n v="0"/>
    <n v="7"/>
    <m/>
    <m/>
    <m/>
    <m/>
    <m/>
    <m/>
    <m/>
    <m/>
    <m/>
    <m/>
    <m/>
    <m/>
    <m/>
    <m/>
  </r>
  <r>
    <n v="2572"/>
    <n v="52917"/>
    <d v="1996-12-04T00:00:00"/>
    <n v="29"/>
    <x v="0"/>
    <x v="1"/>
    <d v="2024-07-06T00:00:00"/>
    <n v="1.1753424657534246"/>
    <x v="58"/>
    <x v="1"/>
    <x v="7"/>
    <x v="1"/>
    <n v="17.59"/>
    <m/>
    <m/>
    <m/>
    <m/>
    <m/>
    <m/>
    <x v="2"/>
    <n v="0"/>
    <n v="4"/>
    <m/>
    <m/>
    <m/>
    <m/>
    <m/>
    <m/>
    <m/>
    <m/>
    <m/>
    <m/>
    <m/>
    <m/>
    <m/>
    <m/>
  </r>
  <r>
    <n v="2573"/>
    <n v="52918"/>
    <d v="2006-07-31T00:00:00"/>
    <n v="19"/>
    <x v="1"/>
    <x v="1"/>
    <d v="2024-10-28T00:00:00"/>
    <n v="1.1643835616438356"/>
    <x v="80"/>
    <x v="1"/>
    <x v="8"/>
    <x v="1"/>
    <n v="8.4700000000000006"/>
    <m/>
    <m/>
    <m/>
    <m/>
    <m/>
    <m/>
    <x v="4"/>
    <n v="2"/>
    <n v="5"/>
    <m/>
    <m/>
    <m/>
    <m/>
    <m/>
    <m/>
    <m/>
    <m/>
    <m/>
    <m/>
    <m/>
    <m/>
    <m/>
    <m/>
  </r>
  <r>
    <n v="2574"/>
    <n v="52919"/>
    <d v="2007-09-06T00:00:00"/>
    <n v="18"/>
    <x v="1"/>
    <x v="1"/>
    <d v="2024-11-01T00:00:00"/>
    <n v="1.3506849315068492"/>
    <x v="3"/>
    <x v="0"/>
    <x v="8"/>
    <x v="1"/>
    <n v="8.4700000000000006"/>
    <m/>
    <m/>
    <m/>
    <m/>
    <m/>
    <m/>
    <x v="2"/>
    <n v="2"/>
    <n v="6"/>
    <m/>
    <m/>
    <m/>
    <m/>
    <m/>
    <m/>
    <m/>
    <m/>
    <m/>
    <m/>
    <m/>
    <m/>
    <m/>
    <m/>
  </r>
  <r>
    <n v="2575"/>
    <n v="52920"/>
    <d v="1999-01-20T00:00:00"/>
    <n v="26"/>
    <x v="1"/>
    <x v="1"/>
    <d v="2024-08-25T00:00:00"/>
    <n v="1.2027397260273973"/>
    <x v="61"/>
    <x v="0"/>
    <x v="8"/>
    <x v="1"/>
    <n v="8.4700000000000006"/>
    <m/>
    <m/>
    <m/>
    <m/>
    <m/>
    <m/>
    <x v="1"/>
    <n v="2"/>
    <n v="7"/>
    <m/>
    <m/>
    <m/>
    <m/>
    <m/>
    <m/>
    <m/>
    <m/>
    <m/>
    <m/>
    <m/>
    <m/>
    <m/>
    <m/>
  </r>
  <r>
    <n v="2576"/>
    <n v="52921"/>
    <d v="2001-01-01T00:00:00"/>
    <n v="25"/>
    <x v="0"/>
    <x v="1"/>
    <d v="2024-10-18T00:00:00"/>
    <n v="1.167123287671233"/>
    <x v="16"/>
    <x v="0"/>
    <x v="7"/>
    <x v="1"/>
    <n v="17.59"/>
    <m/>
    <m/>
    <m/>
    <m/>
    <m/>
    <m/>
    <x v="3"/>
    <n v="1"/>
    <n v="5"/>
    <m/>
    <m/>
    <m/>
    <m/>
    <m/>
    <m/>
    <m/>
    <m/>
    <m/>
    <m/>
    <m/>
    <m/>
    <m/>
    <m/>
  </r>
  <r>
    <n v="2577"/>
    <n v="52922"/>
    <d v="1999-11-21T00:00:00"/>
    <n v="26"/>
    <x v="0"/>
    <x v="1"/>
    <d v="2024-10-31T00:00:00"/>
    <n v="1.0904109589041096"/>
    <x v="106"/>
    <x v="1"/>
    <x v="10"/>
    <x v="1"/>
    <n v="10.64"/>
    <m/>
    <m/>
    <m/>
    <m/>
    <m/>
    <m/>
    <x v="1"/>
    <n v="0"/>
    <n v="4"/>
    <m/>
    <m/>
    <m/>
    <m/>
    <m/>
    <m/>
    <m/>
    <m/>
    <m/>
    <m/>
    <m/>
    <m/>
    <m/>
    <m/>
  </r>
  <r>
    <n v="2578"/>
    <n v="52924"/>
    <d v="2001-06-27T00:00:00"/>
    <n v="24"/>
    <x v="0"/>
    <x v="1"/>
    <d v="2024-11-28T00:00:00"/>
    <n v="1.1041095890410959"/>
    <x v="92"/>
    <x v="1"/>
    <x v="6"/>
    <x v="1"/>
    <n v="23.78"/>
    <m/>
    <m/>
    <m/>
    <m/>
    <m/>
    <m/>
    <x v="3"/>
    <n v="4"/>
    <n v="5"/>
    <m/>
    <m/>
    <m/>
    <m/>
    <m/>
    <m/>
    <m/>
    <m/>
    <m/>
    <m/>
    <m/>
    <m/>
    <m/>
    <m/>
  </r>
  <r>
    <n v="2579"/>
    <n v="52925"/>
    <d v="2003-09-02T00:00:00"/>
    <n v="22"/>
    <x v="0"/>
    <x v="1"/>
    <d v="2024-11-23T00:00:00"/>
    <n v="1.4547945205479451"/>
    <x v="130"/>
    <x v="1"/>
    <x v="10"/>
    <x v="1"/>
    <n v="10.64"/>
    <m/>
    <m/>
    <m/>
    <m/>
    <m/>
    <m/>
    <x v="2"/>
    <n v="1"/>
    <n v="5"/>
    <m/>
    <m/>
    <m/>
    <m/>
    <m/>
    <m/>
    <m/>
    <m/>
    <m/>
    <m/>
    <m/>
    <m/>
    <m/>
    <m/>
  </r>
  <r>
    <n v="2580"/>
    <n v="52926"/>
    <d v="1998-05-18T00:00:00"/>
    <n v="27"/>
    <x v="0"/>
    <x v="1"/>
    <d v="2024-07-18T00:00:00"/>
    <n v="1.6246575342465754"/>
    <x v="57"/>
    <x v="0"/>
    <x v="7"/>
    <x v="1"/>
    <n v="17.59"/>
    <m/>
    <m/>
    <m/>
    <m/>
    <m/>
    <m/>
    <x v="3"/>
    <n v="4"/>
    <n v="5"/>
    <m/>
    <m/>
    <m/>
    <m/>
    <m/>
    <m/>
    <m/>
    <m/>
    <m/>
    <m/>
    <m/>
    <m/>
    <m/>
    <m/>
  </r>
  <r>
    <n v="2581"/>
    <n v="52927"/>
    <d v="2002-10-16T00:00:00"/>
    <n v="23"/>
    <x v="1"/>
    <x v="0"/>
    <d v="2024-05-17T00:00:00"/>
    <n v="1.6767123287671233"/>
    <x v="46"/>
    <x v="1"/>
    <x v="8"/>
    <x v="1"/>
    <n v="8.4700000000000006"/>
    <m/>
    <m/>
    <m/>
    <m/>
    <m/>
    <m/>
    <x v="2"/>
    <n v="2"/>
    <n v="5"/>
    <m/>
    <m/>
    <m/>
    <m/>
    <m/>
    <m/>
    <m/>
    <m/>
    <m/>
    <m/>
    <m/>
    <m/>
    <m/>
    <m/>
  </r>
  <r>
    <n v="2582"/>
    <n v="52928"/>
    <d v="2004-12-06T00:00:00"/>
    <n v="21"/>
    <x v="1"/>
    <x v="1"/>
    <d v="2024-04-28T00:00:00"/>
    <n v="1.8136986301369864"/>
    <x v="58"/>
    <x v="1"/>
    <x v="8"/>
    <x v="1"/>
    <n v="8.4700000000000006"/>
    <m/>
    <m/>
    <m/>
    <m/>
    <m/>
    <m/>
    <x v="2"/>
    <n v="2"/>
    <n v="7"/>
    <m/>
    <m/>
    <m/>
    <m/>
    <m/>
    <m/>
    <m/>
    <m/>
    <m/>
    <m/>
    <m/>
    <m/>
    <m/>
    <m/>
  </r>
  <r>
    <n v="2583"/>
    <n v="52929"/>
    <d v="2000-10-06T00:00:00"/>
    <n v="25"/>
    <x v="1"/>
    <x v="1"/>
    <d v="2024-03-09T00:00:00"/>
    <n v="1.2273972602739727"/>
    <x v="141"/>
    <x v="0"/>
    <x v="7"/>
    <x v="1"/>
    <n v="17.59"/>
    <m/>
    <m/>
    <m/>
    <m/>
    <m/>
    <m/>
    <x v="2"/>
    <n v="2"/>
    <n v="6"/>
    <m/>
    <m/>
    <m/>
    <m/>
    <m/>
    <m/>
    <m/>
    <m/>
    <m/>
    <m/>
    <m/>
    <m/>
    <m/>
    <m/>
  </r>
  <r>
    <n v="2584"/>
    <n v="52930"/>
    <d v="2000-06-19T00:00:00"/>
    <n v="25"/>
    <x v="1"/>
    <x v="0"/>
    <d v="2024-10-09T00:00:00"/>
    <n v="1.6383561643835616"/>
    <x v="48"/>
    <x v="1"/>
    <x v="1"/>
    <x v="1"/>
    <n v="16.37"/>
    <m/>
    <m/>
    <m/>
    <m/>
    <m/>
    <m/>
    <x v="2"/>
    <n v="1"/>
    <n v="5"/>
    <m/>
    <m/>
    <m/>
    <m/>
    <m/>
    <m/>
    <m/>
    <m/>
    <m/>
    <m/>
    <m/>
    <m/>
    <m/>
    <m/>
  </r>
  <r>
    <n v="2585"/>
    <n v="52931"/>
    <d v="1985-09-15T00:00:00"/>
    <n v="40"/>
    <x v="0"/>
    <x v="1"/>
    <d v="2024-05-12T00:00:00"/>
    <n v="1.1041095890410959"/>
    <x v="58"/>
    <x v="1"/>
    <x v="6"/>
    <x v="1"/>
    <n v="23.78"/>
    <m/>
    <m/>
    <m/>
    <m/>
    <m/>
    <m/>
    <x v="4"/>
    <n v="7"/>
    <n v="6"/>
    <m/>
    <m/>
    <m/>
    <m/>
    <m/>
    <m/>
    <m/>
    <m/>
    <m/>
    <m/>
    <m/>
    <m/>
    <m/>
    <m/>
  </r>
  <r>
    <n v="2586"/>
    <n v="52932"/>
    <d v="2003-12-09T00:00:00"/>
    <n v="22"/>
    <x v="1"/>
    <x v="1"/>
    <d v="2024-11-23T00:00:00"/>
    <n v="1.1589041095890411"/>
    <x v="103"/>
    <x v="1"/>
    <x v="2"/>
    <x v="1"/>
    <n v="14.23"/>
    <m/>
    <m/>
    <m/>
    <m/>
    <m/>
    <m/>
    <x v="1"/>
    <n v="0"/>
    <n v="5"/>
    <m/>
    <m/>
    <m/>
    <m/>
    <m/>
    <m/>
    <m/>
    <m/>
    <m/>
    <m/>
    <m/>
    <m/>
    <m/>
    <m/>
  </r>
  <r>
    <n v="2587"/>
    <n v="52933"/>
    <d v="2004-06-26T00:00:00"/>
    <n v="21"/>
    <x v="1"/>
    <x v="0"/>
    <d v="2024-11-03T00:00:00"/>
    <n v="1.3945205479452054"/>
    <x v="119"/>
    <x v="1"/>
    <x v="1"/>
    <x v="1"/>
    <n v="16.37"/>
    <m/>
    <m/>
    <m/>
    <m/>
    <m/>
    <m/>
    <x v="1"/>
    <n v="1"/>
    <n v="5"/>
    <m/>
    <m/>
    <m/>
    <m/>
    <m/>
    <m/>
    <m/>
    <m/>
    <m/>
    <m/>
    <m/>
    <m/>
    <m/>
    <m/>
  </r>
  <r>
    <n v="2588"/>
    <n v="52934"/>
    <d v="2006-11-18T00:00:00"/>
    <n v="19"/>
    <x v="1"/>
    <x v="1"/>
    <d v="2024-08-09T00:00:00"/>
    <n v="1.2273972602739727"/>
    <x v="94"/>
    <x v="1"/>
    <x v="8"/>
    <x v="1"/>
    <n v="8.4700000000000006"/>
    <m/>
    <m/>
    <m/>
    <m/>
    <m/>
    <m/>
    <x v="4"/>
    <n v="4"/>
    <n v="4"/>
    <m/>
    <m/>
    <m/>
    <m/>
    <m/>
    <m/>
    <m/>
    <m/>
    <m/>
    <m/>
    <m/>
    <m/>
    <m/>
    <m/>
  </r>
  <r>
    <n v="2589"/>
    <n v="52935"/>
    <d v="1996-12-12T00:00:00"/>
    <n v="29"/>
    <x v="1"/>
    <x v="1"/>
    <d v="2024-10-09T00:00:00"/>
    <n v="1.6027397260273972"/>
    <x v="103"/>
    <x v="1"/>
    <x v="8"/>
    <x v="1"/>
    <n v="8.4700000000000006"/>
    <m/>
    <m/>
    <m/>
    <m/>
    <m/>
    <m/>
    <x v="1"/>
    <n v="2"/>
    <n v="7"/>
    <m/>
    <m/>
    <m/>
    <m/>
    <m/>
    <m/>
    <m/>
    <m/>
    <m/>
    <m/>
    <m/>
    <m/>
    <m/>
    <m/>
  </r>
  <r>
    <n v="2590"/>
    <n v="52936"/>
    <d v="2000-04-08T00:00:00"/>
    <n v="25"/>
    <x v="1"/>
    <x v="1"/>
    <d v="2024-05-25T00:00:00"/>
    <n v="1.6438356164383561"/>
    <x v="139"/>
    <x v="0"/>
    <x v="1"/>
    <x v="1"/>
    <n v="16.37"/>
    <m/>
    <m/>
    <m/>
    <m/>
    <m/>
    <m/>
    <x v="1"/>
    <n v="1"/>
    <n v="6"/>
    <m/>
    <m/>
    <m/>
    <m/>
    <m/>
    <m/>
    <m/>
    <m/>
    <m/>
    <m/>
    <m/>
    <m/>
    <m/>
    <m/>
  </r>
  <r>
    <n v="2591"/>
    <n v="52937"/>
    <d v="2004-05-08T00:00:00"/>
    <n v="21"/>
    <x v="1"/>
    <x v="1"/>
    <d v="2024-05-10T00:00:00"/>
    <n v="1.1972602739726028"/>
    <x v="92"/>
    <x v="1"/>
    <x v="8"/>
    <x v="1"/>
    <n v="8.4700000000000006"/>
    <m/>
    <m/>
    <m/>
    <m/>
    <m/>
    <m/>
    <x v="2"/>
    <n v="3"/>
    <n v="7"/>
    <m/>
    <m/>
    <m/>
    <m/>
    <m/>
    <m/>
    <m/>
    <m/>
    <m/>
    <m/>
    <m/>
    <m/>
    <m/>
    <m/>
  </r>
  <r>
    <n v="2592"/>
    <n v="52938"/>
    <d v="2005-12-13T00:00:00"/>
    <n v="20"/>
    <x v="1"/>
    <x v="1"/>
    <d v="2024-10-20T00:00:00"/>
    <n v="1.3616438356164384"/>
    <x v="24"/>
    <x v="0"/>
    <x v="9"/>
    <x v="1"/>
    <n v="14.07"/>
    <m/>
    <m/>
    <m/>
    <m/>
    <m/>
    <m/>
    <x v="3"/>
    <n v="0"/>
    <n v="6"/>
    <m/>
    <m/>
    <m/>
    <m/>
    <m/>
    <m/>
    <m/>
    <m/>
    <m/>
    <m/>
    <m/>
    <m/>
    <m/>
    <m/>
  </r>
  <r>
    <n v="2593"/>
    <n v="52939"/>
    <d v="2002-02-15T00:00:00"/>
    <n v="23"/>
    <x v="1"/>
    <x v="1"/>
    <d v="2024-08-21T00:00:00"/>
    <n v="1.3178082191780822"/>
    <x v="31"/>
    <x v="0"/>
    <x v="7"/>
    <x v="1"/>
    <n v="17.59"/>
    <m/>
    <m/>
    <m/>
    <m/>
    <m/>
    <m/>
    <x v="2"/>
    <n v="2"/>
    <n v="7"/>
    <m/>
    <m/>
    <m/>
    <m/>
    <m/>
    <m/>
    <m/>
    <m/>
    <m/>
    <m/>
    <m/>
    <m/>
    <m/>
    <m/>
  </r>
  <r>
    <n v="2594"/>
    <n v="52940"/>
    <d v="2005-10-22T00:00:00"/>
    <n v="20"/>
    <x v="1"/>
    <x v="1"/>
    <d v="2024-09-06T00:00:00"/>
    <n v="1.0383561643835617"/>
    <x v="90"/>
    <x v="1"/>
    <x v="8"/>
    <x v="1"/>
    <n v="8.4700000000000006"/>
    <m/>
    <m/>
    <m/>
    <m/>
    <m/>
    <m/>
    <x v="2"/>
    <n v="2"/>
    <n v="6"/>
    <m/>
    <m/>
    <m/>
    <m/>
    <m/>
    <m/>
    <m/>
    <m/>
    <m/>
    <m/>
    <m/>
    <m/>
    <m/>
    <m/>
  </r>
  <r>
    <n v="2595"/>
    <n v="52941"/>
    <d v="2004-10-06T00:00:00"/>
    <n v="21"/>
    <x v="1"/>
    <x v="0"/>
    <d v="2024-12-17T00:00:00"/>
    <n v="1.2410958904109588"/>
    <x v="51"/>
    <x v="1"/>
    <x v="8"/>
    <x v="1"/>
    <n v="8.4700000000000006"/>
    <m/>
    <m/>
    <m/>
    <m/>
    <m/>
    <m/>
    <x v="4"/>
    <n v="1"/>
    <n v="5"/>
    <m/>
    <m/>
    <m/>
    <m/>
    <m/>
    <m/>
    <m/>
    <m/>
    <m/>
    <m/>
    <m/>
    <m/>
    <m/>
    <m/>
  </r>
  <r>
    <n v="2596"/>
    <n v="52942"/>
    <d v="2001-10-27T00:00:00"/>
    <n v="24"/>
    <x v="1"/>
    <x v="1"/>
    <d v="2024-10-04T00:00:00"/>
    <n v="1.1205479452054794"/>
    <x v="10"/>
    <x v="0"/>
    <x v="8"/>
    <x v="1"/>
    <n v="8.4700000000000006"/>
    <m/>
    <m/>
    <m/>
    <m/>
    <m/>
    <m/>
    <x v="1"/>
    <n v="3"/>
    <n v="6"/>
    <m/>
    <m/>
    <m/>
    <m/>
    <m/>
    <m/>
    <m/>
    <m/>
    <m/>
    <m/>
    <m/>
    <m/>
    <m/>
    <m/>
  </r>
  <r>
    <n v="2597"/>
    <n v="52943"/>
    <d v="2002-04-17T00:00:00"/>
    <n v="23"/>
    <x v="1"/>
    <x v="1"/>
    <d v="2024-11-17T00:00:00"/>
    <n v="1.4657534246575343"/>
    <x v="45"/>
    <x v="0"/>
    <x v="8"/>
    <x v="1"/>
    <n v="8.4700000000000006"/>
    <m/>
    <m/>
    <m/>
    <m/>
    <m/>
    <m/>
    <x v="2"/>
    <n v="2"/>
    <n v="6"/>
    <m/>
    <m/>
    <m/>
    <m/>
    <m/>
    <m/>
    <m/>
    <m/>
    <m/>
    <m/>
    <m/>
    <m/>
    <m/>
    <m/>
  </r>
  <r>
    <n v="2598"/>
    <n v="52944"/>
    <d v="2002-12-06T00:00:00"/>
    <n v="23"/>
    <x v="0"/>
    <x v="1"/>
    <d v="2024-07-14T00:00:00"/>
    <n v="1.1835616438356165"/>
    <x v="16"/>
    <x v="0"/>
    <x v="10"/>
    <x v="1"/>
    <n v="10.64"/>
    <m/>
    <m/>
    <m/>
    <m/>
    <m/>
    <m/>
    <x v="2"/>
    <n v="0"/>
    <n v="4"/>
    <m/>
    <m/>
    <m/>
    <m/>
    <m/>
    <m/>
    <m/>
    <m/>
    <m/>
    <m/>
    <m/>
    <m/>
    <m/>
    <m/>
  </r>
  <r>
    <n v="2599"/>
    <n v="52945"/>
    <d v="1993-03-05T00:00:00"/>
    <n v="32"/>
    <x v="1"/>
    <x v="0"/>
    <d v="2024-10-25T00:00:00"/>
    <n v="1.8547945205479452"/>
    <x v="22"/>
    <x v="0"/>
    <x v="7"/>
    <x v="1"/>
    <n v="17.59"/>
    <m/>
    <m/>
    <m/>
    <m/>
    <m/>
    <m/>
    <x v="3"/>
    <n v="4"/>
    <n v="5"/>
    <m/>
    <m/>
    <m/>
    <m/>
    <m/>
    <m/>
    <m/>
    <m/>
    <m/>
    <m/>
    <m/>
    <m/>
    <m/>
    <m/>
  </r>
  <r>
    <n v="2600"/>
    <n v="52946"/>
    <d v="2004-10-26T00:00:00"/>
    <n v="21"/>
    <x v="1"/>
    <x v="0"/>
    <d v="2024-02-23T00:00:00"/>
    <n v="1.7589041095890412"/>
    <x v="22"/>
    <x v="0"/>
    <x v="8"/>
    <x v="1"/>
    <n v="8.4700000000000006"/>
    <m/>
    <m/>
    <m/>
    <m/>
    <m/>
    <m/>
    <x v="3"/>
    <n v="2"/>
    <n v="6"/>
    <m/>
    <m/>
    <m/>
    <m/>
    <m/>
    <m/>
    <m/>
    <m/>
    <m/>
    <m/>
    <m/>
    <m/>
    <m/>
    <m/>
  </r>
  <r>
    <n v="2601"/>
    <n v="52947"/>
    <d v="2004-02-09T00:00:00"/>
    <n v="21"/>
    <x v="1"/>
    <x v="1"/>
    <d v="2024-03-29T00:00:00"/>
    <n v="1.6328767123287671"/>
    <x v="26"/>
    <x v="0"/>
    <x v="8"/>
    <x v="1"/>
    <n v="8.4700000000000006"/>
    <m/>
    <m/>
    <m/>
    <m/>
    <m/>
    <m/>
    <x v="3"/>
    <n v="2"/>
    <n v="6"/>
    <m/>
    <m/>
    <m/>
    <m/>
    <m/>
    <m/>
    <m/>
    <m/>
    <m/>
    <m/>
    <m/>
    <m/>
    <m/>
    <m/>
  </r>
  <r>
    <n v="2602"/>
    <n v="52948"/>
    <d v="2000-09-27T00:00:00"/>
    <n v="25"/>
    <x v="0"/>
    <x v="1"/>
    <d v="2024-05-14T00:00:00"/>
    <n v="1.6082191780821917"/>
    <x v="78"/>
    <x v="0"/>
    <x v="2"/>
    <x v="1"/>
    <n v="14.23"/>
    <m/>
    <m/>
    <m/>
    <m/>
    <m/>
    <m/>
    <x v="1"/>
    <n v="0"/>
    <n v="3"/>
    <m/>
    <m/>
    <m/>
    <m/>
    <m/>
    <m/>
    <m/>
    <m/>
    <m/>
    <m/>
    <m/>
    <m/>
    <m/>
    <m/>
  </r>
  <r>
    <n v="2603"/>
    <n v="52949"/>
    <d v="1999-03-27T00:00:00"/>
    <n v="26"/>
    <x v="0"/>
    <x v="0"/>
    <d v="2024-05-23T00:00:00"/>
    <n v="1.1643835616438356"/>
    <x v="50"/>
    <x v="0"/>
    <x v="8"/>
    <x v="1"/>
    <n v="8.4700000000000006"/>
    <m/>
    <m/>
    <m/>
    <m/>
    <m/>
    <m/>
    <x v="3"/>
    <n v="4"/>
    <n v="5"/>
    <m/>
    <m/>
    <m/>
    <m/>
    <m/>
    <m/>
    <m/>
    <m/>
    <m/>
    <m/>
    <m/>
    <m/>
    <m/>
    <m/>
  </r>
  <r>
    <n v="2604"/>
    <n v="52950"/>
    <d v="2002-11-16T00:00:00"/>
    <n v="23"/>
    <x v="0"/>
    <x v="0"/>
    <d v="2024-11-01T00:00:00"/>
    <n v="1.8493150684931507"/>
    <x v="136"/>
    <x v="0"/>
    <x v="7"/>
    <x v="1"/>
    <n v="17.59"/>
    <m/>
    <m/>
    <m/>
    <m/>
    <m/>
    <m/>
    <x v="1"/>
    <n v="2"/>
    <n v="4"/>
    <m/>
    <m/>
    <m/>
    <m/>
    <m/>
    <m/>
    <m/>
    <m/>
    <m/>
    <m/>
    <m/>
    <m/>
    <m/>
    <m/>
  </r>
  <r>
    <n v="2605"/>
    <n v="52951"/>
    <d v="1999-11-25T00:00:00"/>
    <n v="26"/>
    <x v="0"/>
    <x v="1"/>
    <d v="2024-02-25T00:00:00"/>
    <n v="1.1698630136986301"/>
    <x v="36"/>
    <x v="0"/>
    <x v="7"/>
    <x v="1"/>
    <n v="17.59"/>
    <m/>
    <m/>
    <m/>
    <m/>
    <m/>
    <m/>
    <x v="2"/>
    <n v="2"/>
    <n v="5"/>
    <m/>
    <m/>
    <m/>
    <m/>
    <m/>
    <m/>
    <m/>
    <m/>
    <m/>
    <m/>
    <m/>
    <m/>
    <m/>
    <m/>
  </r>
  <r>
    <n v="2606"/>
    <n v="52952"/>
    <d v="2001-08-02T00:00:00"/>
    <n v="24"/>
    <x v="0"/>
    <x v="1"/>
    <d v="2024-10-30T00:00:00"/>
    <n v="1.515068493150685"/>
    <x v="106"/>
    <x v="1"/>
    <x v="10"/>
    <x v="1"/>
    <n v="10.64"/>
    <m/>
    <m/>
    <m/>
    <m/>
    <m/>
    <m/>
    <x v="1"/>
    <n v="0"/>
    <n v="3"/>
    <m/>
    <m/>
    <m/>
    <m/>
    <m/>
    <m/>
    <m/>
    <m/>
    <m/>
    <m/>
    <m/>
    <m/>
    <m/>
    <m/>
  </r>
  <r>
    <n v="2607"/>
    <n v="52953"/>
    <d v="1998-08-10T00:00:00"/>
    <n v="27"/>
    <x v="1"/>
    <x v="1"/>
    <d v="2024-06-26T00:00:00"/>
    <n v="1.452054794520548"/>
    <x v="106"/>
    <x v="1"/>
    <x v="8"/>
    <x v="1"/>
    <n v="8.4700000000000006"/>
    <m/>
    <m/>
    <m/>
    <m/>
    <m/>
    <m/>
    <x v="4"/>
    <n v="2"/>
    <n v="5"/>
    <m/>
    <m/>
    <m/>
    <m/>
    <m/>
    <m/>
    <m/>
    <m/>
    <m/>
    <m/>
    <m/>
    <m/>
    <m/>
    <m/>
  </r>
  <r>
    <n v="2608"/>
    <n v="52954"/>
    <d v="2003-10-20T00:00:00"/>
    <n v="22"/>
    <x v="1"/>
    <x v="0"/>
    <d v="2024-07-19T00:00:00"/>
    <n v="1.5397260273972602"/>
    <x v="9"/>
    <x v="1"/>
    <x v="8"/>
    <x v="1"/>
    <n v="8.4700000000000006"/>
    <m/>
    <m/>
    <m/>
    <m/>
    <m/>
    <m/>
    <x v="4"/>
    <n v="2"/>
    <n v="5"/>
    <m/>
    <m/>
    <m/>
    <m/>
    <m/>
    <m/>
    <m/>
    <m/>
    <m/>
    <m/>
    <m/>
    <m/>
    <m/>
    <m/>
  </r>
  <r>
    <n v="2609"/>
    <n v="52955"/>
    <d v="2004-09-11T00:00:00"/>
    <n v="21"/>
    <x v="1"/>
    <x v="0"/>
    <d v="2024-06-17T00:00:00"/>
    <n v="1.3643835616438356"/>
    <x v="119"/>
    <x v="1"/>
    <x v="8"/>
    <x v="1"/>
    <n v="8.4700000000000006"/>
    <m/>
    <m/>
    <m/>
    <m/>
    <m/>
    <m/>
    <x v="1"/>
    <n v="4"/>
    <n v="6"/>
    <m/>
    <m/>
    <m/>
    <m/>
    <m/>
    <m/>
    <m/>
    <m/>
    <m/>
    <m/>
    <m/>
    <m/>
    <m/>
    <m/>
  </r>
  <r>
    <n v="2610"/>
    <n v="52956"/>
    <d v="2006-05-03T00:00:00"/>
    <n v="19"/>
    <x v="1"/>
    <x v="1"/>
    <d v="2024-08-20T00:00:00"/>
    <n v="1.1561643835616437"/>
    <x v="64"/>
    <x v="1"/>
    <x v="10"/>
    <x v="1"/>
    <n v="10.64"/>
    <m/>
    <m/>
    <m/>
    <m/>
    <m/>
    <m/>
    <x v="4"/>
    <n v="0"/>
    <n v="5"/>
    <m/>
    <m/>
    <m/>
    <m/>
    <m/>
    <m/>
    <m/>
    <m/>
    <m/>
    <m/>
    <m/>
    <m/>
    <m/>
    <m/>
  </r>
  <r>
    <n v="2611"/>
    <n v="52957"/>
    <d v="2005-06-21T00:00:00"/>
    <n v="20"/>
    <x v="1"/>
    <x v="1"/>
    <d v="2024-11-04T00:00:00"/>
    <n v="1.4931506849315068"/>
    <x v="64"/>
    <x v="1"/>
    <x v="10"/>
    <x v="1"/>
    <n v="10.64"/>
    <m/>
    <m/>
    <m/>
    <m/>
    <m/>
    <m/>
    <x v="1"/>
    <n v="1"/>
    <n v="5"/>
    <m/>
    <m/>
    <m/>
    <m/>
    <m/>
    <m/>
    <m/>
    <m/>
    <m/>
    <m/>
    <m/>
    <m/>
    <m/>
    <m/>
  </r>
  <r>
    <n v="2612"/>
    <n v="52958"/>
    <d v="2006-04-04T00:00:00"/>
    <n v="19"/>
    <x v="1"/>
    <x v="1"/>
    <d v="2024-07-04T00:00:00"/>
    <n v="1.6931506849315068"/>
    <x v="129"/>
    <x v="1"/>
    <x v="1"/>
    <x v="1"/>
    <n v="16.37"/>
    <m/>
    <m/>
    <m/>
    <m/>
    <m/>
    <m/>
    <x v="3"/>
    <n v="0"/>
    <n v="6"/>
    <m/>
    <m/>
    <m/>
    <m/>
    <m/>
    <m/>
    <m/>
    <m/>
    <m/>
    <m/>
    <m/>
    <m/>
    <m/>
    <m/>
  </r>
  <r>
    <n v="2613"/>
    <n v="52959"/>
    <d v="2003-10-17T00:00:00"/>
    <n v="22"/>
    <x v="1"/>
    <x v="0"/>
    <d v="2024-04-22T00:00:00"/>
    <n v="1.8410958904109589"/>
    <x v="81"/>
    <x v="1"/>
    <x v="8"/>
    <x v="1"/>
    <n v="8.4700000000000006"/>
    <m/>
    <m/>
    <m/>
    <m/>
    <m/>
    <m/>
    <x v="2"/>
    <n v="2"/>
    <n v="4"/>
    <m/>
    <m/>
    <m/>
    <m/>
    <m/>
    <m/>
    <m/>
    <m/>
    <m/>
    <m/>
    <m/>
    <m/>
    <m/>
    <m/>
  </r>
  <r>
    <n v="2614"/>
    <n v="52961"/>
    <d v="2003-03-06T00:00:00"/>
    <n v="22"/>
    <x v="0"/>
    <x v="1"/>
    <d v="2024-02-28T00:00:00"/>
    <n v="1.3479452054794521"/>
    <x v="84"/>
    <x v="1"/>
    <x v="10"/>
    <x v="1"/>
    <n v="10.64"/>
    <m/>
    <m/>
    <m/>
    <m/>
    <m/>
    <m/>
    <x v="3"/>
    <n v="1"/>
    <n v="4"/>
    <m/>
    <m/>
    <m/>
    <m/>
    <m/>
    <m/>
    <m/>
    <m/>
    <m/>
    <m/>
    <m/>
    <m/>
    <m/>
    <m/>
  </r>
  <r>
    <n v="2615"/>
    <n v="52962"/>
    <d v="2005-05-12T00:00:00"/>
    <n v="20"/>
    <x v="1"/>
    <x v="0"/>
    <d v="2024-08-26T00:00:00"/>
    <n v="1.7178082191780821"/>
    <x v="57"/>
    <x v="0"/>
    <x v="3"/>
    <x v="1"/>
    <n v="17.899999999999999"/>
    <m/>
    <m/>
    <m/>
    <m/>
    <m/>
    <m/>
    <x v="3"/>
    <n v="1"/>
    <n v="5"/>
    <m/>
    <m/>
    <m/>
    <m/>
    <m/>
    <m/>
    <m/>
    <m/>
    <m/>
    <m/>
    <m/>
    <m/>
    <m/>
    <m/>
  </r>
  <r>
    <n v="2616"/>
    <n v="52963"/>
    <d v="2004-09-12T00:00:00"/>
    <n v="21"/>
    <x v="0"/>
    <x v="1"/>
    <d v="2024-04-13T00:00:00"/>
    <n v="1.7726027397260273"/>
    <x v="103"/>
    <x v="1"/>
    <x v="8"/>
    <x v="1"/>
    <n v="8.4700000000000006"/>
    <m/>
    <m/>
    <m/>
    <m/>
    <m/>
    <m/>
    <x v="2"/>
    <n v="3"/>
    <n v="5"/>
    <m/>
    <m/>
    <m/>
    <m/>
    <m/>
    <m/>
    <m/>
    <m/>
    <m/>
    <m/>
    <m/>
    <m/>
    <m/>
    <m/>
  </r>
  <r>
    <n v="2617"/>
    <n v="52964"/>
    <d v="1998-06-11T00:00:00"/>
    <n v="27"/>
    <x v="0"/>
    <x v="1"/>
    <d v="2024-03-24T00:00:00"/>
    <n v="1.2301369863013698"/>
    <x v="1"/>
    <x v="1"/>
    <x v="2"/>
    <x v="1"/>
    <n v="14.23"/>
    <m/>
    <m/>
    <m/>
    <m/>
    <m/>
    <m/>
    <x v="3"/>
    <n v="0"/>
    <n v="3"/>
    <m/>
    <m/>
    <m/>
    <m/>
    <m/>
    <m/>
    <m/>
    <m/>
    <m/>
    <m/>
    <m/>
    <m/>
    <m/>
    <m/>
  </r>
  <r>
    <n v="2618"/>
    <n v="52965"/>
    <d v="2000-05-08T00:00:00"/>
    <n v="25"/>
    <x v="1"/>
    <x v="1"/>
    <d v="2024-10-08T00:00:00"/>
    <n v="1.7013698630136986"/>
    <x v="72"/>
    <x v="1"/>
    <x v="7"/>
    <x v="1"/>
    <n v="17.59"/>
    <m/>
    <m/>
    <m/>
    <m/>
    <m/>
    <m/>
    <x v="4"/>
    <n v="2"/>
    <n v="6"/>
    <m/>
    <m/>
    <m/>
    <m/>
    <m/>
    <m/>
    <m/>
    <m/>
    <m/>
    <m/>
    <m/>
    <m/>
    <m/>
    <m/>
  </r>
  <r>
    <n v="2619"/>
    <n v="52966"/>
    <d v="1985-07-23T00:00:00"/>
    <n v="40"/>
    <x v="0"/>
    <x v="0"/>
    <d v="2024-04-19T00:00:00"/>
    <n v="1.2876712328767124"/>
    <x v="101"/>
    <x v="1"/>
    <x v="6"/>
    <x v="1"/>
    <n v="23.78"/>
    <m/>
    <m/>
    <m/>
    <m/>
    <m/>
    <m/>
    <x v="1"/>
    <n v="6"/>
    <n v="6"/>
    <m/>
    <m/>
    <m/>
    <m/>
    <m/>
    <m/>
    <m/>
    <m/>
    <m/>
    <m/>
    <m/>
    <m/>
    <m/>
    <m/>
  </r>
  <r>
    <n v="2620"/>
    <n v="52967"/>
    <d v="2001-12-02T00:00:00"/>
    <n v="24"/>
    <x v="0"/>
    <x v="0"/>
    <d v="2024-09-17T00:00:00"/>
    <n v="1"/>
    <x v="124"/>
    <x v="0"/>
    <x v="10"/>
    <x v="1"/>
    <n v="10.64"/>
    <m/>
    <m/>
    <m/>
    <m/>
    <m/>
    <m/>
    <x v="2"/>
    <n v="0"/>
    <n v="1"/>
    <m/>
    <m/>
    <m/>
    <m/>
    <m/>
    <m/>
    <m/>
    <m/>
    <m/>
    <m/>
    <m/>
    <m/>
    <m/>
    <m/>
  </r>
  <r>
    <n v="2621"/>
    <n v="52968"/>
    <d v="2003-07-17T00:00:00"/>
    <n v="22"/>
    <x v="1"/>
    <x v="1"/>
    <d v="2024-12-31T00:00:00"/>
    <n v="1.7068493150684931"/>
    <x v="61"/>
    <x v="0"/>
    <x v="8"/>
    <x v="1"/>
    <n v="8.4700000000000006"/>
    <m/>
    <m/>
    <m/>
    <m/>
    <m/>
    <m/>
    <x v="3"/>
    <n v="2"/>
    <n v="6"/>
    <m/>
    <m/>
    <m/>
    <m/>
    <m/>
    <m/>
    <m/>
    <m/>
    <m/>
    <m/>
    <m/>
    <m/>
    <m/>
    <m/>
  </r>
  <r>
    <n v="2622"/>
    <n v="52969"/>
    <d v="2005-09-12T00:00:00"/>
    <n v="20"/>
    <x v="1"/>
    <x v="1"/>
    <d v="2024-04-17T00:00:00"/>
    <n v="1.2712328767123289"/>
    <x v="24"/>
    <x v="0"/>
    <x v="8"/>
    <x v="1"/>
    <n v="8.4700000000000006"/>
    <m/>
    <m/>
    <m/>
    <m/>
    <m/>
    <m/>
    <x v="2"/>
    <n v="1"/>
    <n v="6"/>
    <m/>
    <m/>
    <m/>
    <m/>
    <m/>
    <m/>
    <m/>
    <m/>
    <m/>
    <m/>
    <m/>
    <m/>
    <m/>
    <m/>
  </r>
  <r>
    <n v="2623"/>
    <n v="52970"/>
    <d v="1999-03-01T00:00:00"/>
    <n v="27"/>
    <x v="1"/>
    <x v="1"/>
    <d v="2024-09-23T00:00:00"/>
    <n v="1.7506849315068493"/>
    <x v="80"/>
    <x v="1"/>
    <x v="1"/>
    <x v="1"/>
    <n v="16.37"/>
    <m/>
    <m/>
    <m/>
    <m/>
    <m/>
    <m/>
    <x v="4"/>
    <n v="2"/>
    <n v="6"/>
    <m/>
    <m/>
    <m/>
    <m/>
    <m/>
    <m/>
    <m/>
    <m/>
    <m/>
    <m/>
    <m/>
    <m/>
    <m/>
    <m/>
  </r>
  <r>
    <n v="2624"/>
    <n v="52971"/>
    <d v="2001-11-02T00:00:00"/>
    <n v="24"/>
    <x v="1"/>
    <x v="1"/>
    <d v="2024-04-01T00:00:00"/>
    <n v="1.4794520547945205"/>
    <x v="134"/>
    <x v="1"/>
    <x v="1"/>
    <x v="1"/>
    <n v="16.37"/>
    <m/>
    <m/>
    <m/>
    <m/>
    <m/>
    <m/>
    <x v="1"/>
    <n v="2"/>
    <n v="4"/>
    <m/>
    <m/>
    <m/>
    <m/>
    <m/>
    <m/>
    <m/>
    <m/>
    <m/>
    <m/>
    <m/>
    <m/>
    <m/>
    <m/>
  </r>
  <r>
    <n v="2625"/>
    <n v="52972"/>
    <d v="2004-02-19T00:00:00"/>
    <n v="21"/>
    <x v="1"/>
    <x v="0"/>
    <d v="2024-07-09T00:00:00"/>
    <n v="1.6301369863013699"/>
    <x v="3"/>
    <x v="0"/>
    <x v="10"/>
    <x v="1"/>
    <n v="10.64"/>
    <m/>
    <m/>
    <m/>
    <m/>
    <m/>
    <m/>
    <x v="1"/>
    <n v="1"/>
    <n v="5"/>
    <m/>
    <m/>
    <m/>
    <m/>
    <m/>
    <m/>
    <m/>
    <m/>
    <m/>
    <m/>
    <m/>
    <m/>
    <m/>
    <m/>
  </r>
  <r>
    <n v="2626"/>
    <n v="52973"/>
    <d v="2003-07-08T00:00:00"/>
    <n v="22"/>
    <x v="0"/>
    <x v="0"/>
    <d v="2024-05-15T00:00:00"/>
    <n v="1.095890410958904"/>
    <x v="10"/>
    <x v="0"/>
    <x v="8"/>
    <x v="1"/>
    <n v="8.4700000000000006"/>
    <m/>
    <m/>
    <m/>
    <m/>
    <m/>
    <m/>
    <x v="4"/>
    <n v="2"/>
    <n v="4"/>
    <m/>
    <m/>
    <m/>
    <m/>
    <m/>
    <m/>
    <m/>
    <m/>
    <m/>
    <m/>
    <m/>
    <m/>
    <m/>
    <m/>
  </r>
  <r>
    <n v="2627"/>
    <n v="52974"/>
    <d v="1998-08-12T00:00:00"/>
    <n v="27"/>
    <x v="1"/>
    <x v="0"/>
    <d v="2024-11-26T00:00:00"/>
    <n v="1.7808219178082192"/>
    <x v="16"/>
    <x v="0"/>
    <x v="8"/>
    <x v="1"/>
    <n v="8.4700000000000006"/>
    <m/>
    <m/>
    <m/>
    <m/>
    <m/>
    <m/>
    <x v="3"/>
    <n v="3"/>
    <n v="6"/>
    <m/>
    <m/>
    <m/>
    <m/>
    <m/>
    <m/>
    <m/>
    <m/>
    <m/>
    <m/>
    <m/>
    <m/>
    <m/>
    <m/>
  </r>
  <r>
    <n v="2628"/>
    <n v="52975"/>
    <d v="2004-12-20T00:00:00"/>
    <n v="21"/>
    <x v="0"/>
    <x v="1"/>
    <d v="2024-03-21T00:00:00"/>
    <n v="1.1260273972602739"/>
    <x v="57"/>
    <x v="0"/>
    <x v="10"/>
    <x v="1"/>
    <n v="10.64"/>
    <m/>
    <m/>
    <m/>
    <m/>
    <m/>
    <m/>
    <x v="1"/>
    <n v="1"/>
    <n v="4"/>
    <m/>
    <m/>
    <m/>
    <m/>
    <m/>
    <m/>
    <m/>
    <m/>
    <m/>
    <m/>
    <m/>
    <m/>
    <m/>
    <m/>
  </r>
  <r>
    <n v="2629"/>
    <n v="52976"/>
    <d v="1997-11-13T00:00:00"/>
    <n v="28"/>
    <x v="1"/>
    <x v="1"/>
    <d v="2024-11-15T00:00:00"/>
    <n v="1.1178082191780823"/>
    <x v="64"/>
    <x v="1"/>
    <x v="8"/>
    <x v="1"/>
    <n v="8.4700000000000006"/>
    <m/>
    <m/>
    <m/>
    <m/>
    <m/>
    <m/>
    <x v="4"/>
    <n v="1"/>
    <n v="6"/>
    <m/>
    <m/>
    <m/>
    <m/>
    <m/>
    <m/>
    <m/>
    <m/>
    <m/>
    <m/>
    <m/>
    <m/>
    <m/>
    <m/>
  </r>
  <r>
    <n v="2630"/>
    <n v="52977"/>
    <d v="2000-11-14T00:00:00"/>
    <n v="25"/>
    <x v="0"/>
    <x v="1"/>
    <d v="2024-11-18T00:00:00"/>
    <n v="1.3506849315068492"/>
    <x v="15"/>
    <x v="0"/>
    <x v="7"/>
    <x v="1"/>
    <n v="17.59"/>
    <m/>
    <m/>
    <m/>
    <m/>
    <m/>
    <m/>
    <x v="4"/>
    <n v="1"/>
    <n v="3"/>
    <m/>
    <m/>
    <m/>
    <m/>
    <m/>
    <m/>
    <m/>
    <m/>
    <m/>
    <m/>
    <m/>
    <m/>
    <m/>
    <m/>
  </r>
  <r>
    <n v="2631"/>
    <n v="52978"/>
    <d v="2005-08-03T00:00:00"/>
    <n v="20"/>
    <x v="1"/>
    <x v="1"/>
    <d v="2024-08-25T00:00:00"/>
    <n v="1.0082191780821919"/>
    <x v="133"/>
    <x v="1"/>
    <x v="3"/>
    <x v="1"/>
    <n v="8.4700000000000006"/>
    <m/>
    <m/>
    <m/>
    <m/>
    <m/>
    <m/>
    <x v="4"/>
    <n v="2"/>
    <n v="6"/>
    <m/>
    <m/>
    <m/>
    <m/>
    <m/>
    <m/>
    <m/>
    <m/>
    <m/>
    <m/>
    <m/>
    <m/>
    <m/>
    <m/>
  </r>
  <r>
    <n v="2632"/>
    <n v="52979"/>
    <d v="1998-03-22T00:00:00"/>
    <n v="27"/>
    <x v="1"/>
    <x v="1"/>
    <d v="2024-12-28T00:00:00"/>
    <n v="1.5780821917808219"/>
    <x v="91"/>
    <x v="1"/>
    <x v="8"/>
    <x v="1"/>
    <n v="8.4700000000000006"/>
    <m/>
    <m/>
    <m/>
    <m/>
    <m/>
    <m/>
    <x v="4"/>
    <n v="2"/>
    <n v="7"/>
    <m/>
    <m/>
    <m/>
    <m/>
    <m/>
    <m/>
    <m/>
    <m/>
    <m/>
    <m/>
    <m/>
    <m/>
    <m/>
    <m/>
  </r>
  <r>
    <n v="2633"/>
    <n v="52980"/>
    <d v="2005-06-16T00:00:00"/>
    <n v="20"/>
    <x v="1"/>
    <x v="1"/>
    <d v="2024-06-03T00:00:00"/>
    <n v="1.5232876712328767"/>
    <x v="119"/>
    <x v="1"/>
    <x v="2"/>
    <x v="1"/>
    <n v="14.23"/>
    <m/>
    <m/>
    <m/>
    <m/>
    <m/>
    <m/>
    <x v="1"/>
    <n v="1"/>
    <n v="4"/>
    <m/>
    <m/>
    <m/>
    <m/>
    <m/>
    <m/>
    <m/>
    <m/>
    <m/>
    <m/>
    <m/>
    <m/>
    <m/>
    <m/>
  </r>
  <r>
    <n v="2634"/>
    <n v="52981"/>
    <d v="2000-07-11T00:00:00"/>
    <n v="25"/>
    <x v="1"/>
    <x v="1"/>
    <d v="2024-06-23T00:00:00"/>
    <n v="1.5945205479452054"/>
    <x v="80"/>
    <x v="1"/>
    <x v="11"/>
    <x v="1"/>
    <n v="17"/>
    <m/>
    <m/>
    <m/>
    <m/>
    <m/>
    <m/>
    <x v="1"/>
    <n v="2"/>
    <n v="6"/>
    <m/>
    <m/>
    <m/>
    <m/>
    <m/>
    <m/>
    <m/>
    <m/>
    <m/>
    <m/>
    <m/>
    <m/>
    <m/>
    <m/>
  </r>
  <r>
    <n v="2635"/>
    <n v="52982"/>
    <d v="2006-11-12T00:00:00"/>
    <n v="19"/>
    <x v="1"/>
    <x v="1"/>
    <d v="2024-05-28T00:00:00"/>
    <n v="1.6191780821917807"/>
    <x v="116"/>
    <x v="1"/>
    <x v="8"/>
    <x v="1"/>
    <n v="8.4700000000000006"/>
    <m/>
    <m/>
    <m/>
    <m/>
    <m/>
    <m/>
    <x v="2"/>
    <n v="0"/>
    <n v="6"/>
    <m/>
    <m/>
    <m/>
    <m/>
    <m/>
    <m/>
    <m/>
    <m/>
    <m/>
    <m/>
    <m/>
    <m/>
    <m/>
    <m/>
  </r>
  <r>
    <n v="2636"/>
    <n v="52983"/>
    <d v="2007-08-12T00:00:00"/>
    <n v="18"/>
    <x v="0"/>
    <x v="1"/>
    <d v="2024-05-19T00:00:00"/>
    <n v="1.4164383561643836"/>
    <x v="26"/>
    <x v="0"/>
    <x v="8"/>
    <x v="1"/>
    <n v="8.4700000000000006"/>
    <m/>
    <m/>
    <m/>
    <m/>
    <m/>
    <m/>
    <x v="2"/>
    <n v="2"/>
    <n v="5"/>
    <m/>
    <m/>
    <m/>
    <m/>
    <m/>
    <m/>
    <m/>
    <m/>
    <m/>
    <m/>
    <m/>
    <m/>
    <m/>
    <m/>
  </r>
  <r>
    <n v="2637"/>
    <n v="52985"/>
    <d v="2006-09-30T00:00:00"/>
    <n v="19"/>
    <x v="1"/>
    <x v="0"/>
    <d v="2024-08-01T00:00:00"/>
    <n v="1.3452054794520547"/>
    <x v="3"/>
    <x v="0"/>
    <x v="8"/>
    <x v="1"/>
    <n v="8.4700000000000006"/>
    <m/>
    <m/>
    <m/>
    <m/>
    <m/>
    <m/>
    <x v="4"/>
    <n v="1"/>
    <n v="5"/>
    <m/>
    <m/>
    <m/>
    <m/>
    <m/>
    <m/>
    <m/>
    <m/>
    <m/>
    <m/>
    <m/>
    <m/>
    <m/>
    <m/>
  </r>
  <r>
    <n v="2638"/>
    <n v="52986"/>
    <d v="2000-09-04T00:00:00"/>
    <n v="25"/>
    <x v="0"/>
    <x v="1"/>
    <d v="2024-08-27T00:00:00"/>
    <n v="1.4767123287671233"/>
    <x v="45"/>
    <x v="0"/>
    <x v="7"/>
    <x v="1"/>
    <n v="17.59"/>
    <m/>
    <m/>
    <m/>
    <m/>
    <m/>
    <m/>
    <x v="3"/>
    <n v="4"/>
    <n v="5"/>
    <m/>
    <m/>
    <m/>
    <m/>
    <m/>
    <m/>
    <m/>
    <m/>
    <m/>
    <m/>
    <m/>
    <m/>
    <m/>
    <m/>
  </r>
  <r>
    <n v="2639"/>
    <n v="52987"/>
    <d v="2000-06-19T00:00:00"/>
    <n v="25"/>
    <x v="0"/>
    <x v="0"/>
    <d v="2024-07-10T00:00:00"/>
    <n v="1.4986301369863013"/>
    <x v="49"/>
    <x v="0"/>
    <x v="6"/>
    <x v="1"/>
    <n v="23.78"/>
    <m/>
    <m/>
    <m/>
    <m/>
    <m/>
    <m/>
    <x v="2"/>
    <n v="6"/>
    <n v="5"/>
    <m/>
    <m/>
    <m/>
    <m/>
    <m/>
    <m/>
    <m/>
    <m/>
    <m/>
    <m/>
    <m/>
    <m/>
    <m/>
    <m/>
  </r>
  <r>
    <n v="2640"/>
    <n v="52988"/>
    <d v="2005-12-29T00:00:00"/>
    <n v="20"/>
    <x v="0"/>
    <x v="1"/>
    <d v="2024-07-02T00:00:00"/>
    <n v="1.4547945205479451"/>
    <x v="40"/>
    <x v="1"/>
    <x v="9"/>
    <x v="1"/>
    <n v="14.07"/>
    <m/>
    <m/>
    <m/>
    <m/>
    <m/>
    <m/>
    <x v="1"/>
    <n v="0"/>
    <n v="3"/>
    <m/>
    <m/>
    <m/>
    <m/>
    <m/>
    <m/>
    <m/>
    <m/>
    <m/>
    <m/>
    <m/>
    <m/>
    <m/>
    <m/>
  </r>
  <r>
    <n v="2641"/>
    <n v="52989"/>
    <d v="2001-07-11T00:00:00"/>
    <n v="24"/>
    <x v="1"/>
    <x v="1"/>
    <d v="2024-07-18T00:00:00"/>
    <n v="1.2493150684931507"/>
    <x v="134"/>
    <x v="1"/>
    <x v="8"/>
    <x v="1"/>
    <n v="8.4700000000000006"/>
    <m/>
    <m/>
    <m/>
    <m/>
    <m/>
    <m/>
    <x v="1"/>
    <n v="1"/>
    <n v="4"/>
    <m/>
    <m/>
    <m/>
    <m/>
    <m/>
    <m/>
    <m/>
    <m/>
    <m/>
    <m/>
    <m/>
    <m/>
    <m/>
    <m/>
  </r>
  <r>
    <n v="2642"/>
    <n v="52990"/>
    <d v="2003-12-23T00:00:00"/>
    <n v="22"/>
    <x v="0"/>
    <x v="1"/>
    <d v="2024-10-01T00:00:00"/>
    <n v="1.3095890410958904"/>
    <x v="16"/>
    <x v="0"/>
    <x v="9"/>
    <x v="1"/>
    <n v="14.07"/>
    <m/>
    <m/>
    <m/>
    <m/>
    <m/>
    <m/>
    <x v="4"/>
    <n v="1"/>
    <n v="4"/>
    <m/>
    <m/>
    <m/>
    <m/>
    <m/>
    <m/>
    <m/>
    <m/>
    <m/>
    <m/>
    <m/>
    <m/>
    <m/>
    <m/>
  </r>
  <r>
    <n v="2643"/>
    <n v="52991"/>
    <d v="2007-06-18T00:00:00"/>
    <n v="18"/>
    <x v="1"/>
    <x v="1"/>
    <d v="2024-09-09T00:00:00"/>
    <n v="1.2136986301369863"/>
    <x v="16"/>
    <x v="0"/>
    <x v="8"/>
    <x v="1"/>
    <n v="8.4700000000000006"/>
    <m/>
    <m/>
    <m/>
    <m/>
    <m/>
    <m/>
    <x v="1"/>
    <n v="2"/>
    <n v="6"/>
    <m/>
    <m/>
    <m/>
    <m/>
    <m/>
    <m/>
    <m/>
    <m/>
    <m/>
    <m/>
    <m/>
    <m/>
    <m/>
    <m/>
  </r>
  <r>
    <n v="2644"/>
    <n v="52992"/>
    <d v="2004-07-15T00:00:00"/>
    <n v="21"/>
    <x v="1"/>
    <x v="1"/>
    <d v="2024-10-14T00:00:00"/>
    <n v="1.4082191780821918"/>
    <x v="22"/>
    <x v="0"/>
    <x v="1"/>
    <x v="1"/>
    <n v="16.37"/>
    <m/>
    <m/>
    <m/>
    <m/>
    <m/>
    <m/>
    <x v="1"/>
    <n v="1"/>
    <n v="6"/>
    <m/>
    <m/>
    <m/>
    <m/>
    <m/>
    <m/>
    <m/>
    <m/>
    <m/>
    <m/>
    <m/>
    <m/>
    <m/>
    <m/>
  </r>
  <r>
    <n v="2645"/>
    <n v="52993"/>
    <d v="2004-10-18T00:00:00"/>
    <n v="21"/>
    <x v="0"/>
    <x v="1"/>
    <d v="2024-08-04T00:00:00"/>
    <n v="1.441095890410959"/>
    <x v="22"/>
    <x v="0"/>
    <x v="2"/>
    <x v="1"/>
    <n v="14.23"/>
    <m/>
    <m/>
    <m/>
    <m/>
    <m/>
    <m/>
    <x v="2"/>
    <n v="1"/>
    <n v="5"/>
    <m/>
    <m/>
    <m/>
    <m/>
    <m/>
    <m/>
    <m/>
    <m/>
    <m/>
    <m/>
    <m/>
    <m/>
    <m/>
    <m/>
  </r>
  <r>
    <n v="2646"/>
    <n v="52994"/>
    <d v="2007-02-26T00:00:00"/>
    <n v="18"/>
    <x v="1"/>
    <x v="0"/>
    <d v="2024-07-23T00:00:00"/>
    <n v="1.6849315068493151"/>
    <x v="24"/>
    <x v="0"/>
    <x v="8"/>
    <x v="1"/>
    <n v="8.4700000000000006"/>
    <m/>
    <m/>
    <m/>
    <m/>
    <m/>
    <m/>
    <x v="3"/>
    <n v="2"/>
    <n v="6"/>
    <m/>
    <m/>
    <m/>
    <m/>
    <m/>
    <m/>
    <m/>
    <m/>
    <m/>
    <m/>
    <m/>
    <m/>
    <m/>
    <m/>
  </r>
  <r>
    <n v="2647"/>
    <n v="52995"/>
    <d v="1995-12-31T00:00:00"/>
    <n v="30"/>
    <x v="0"/>
    <x v="1"/>
    <d v="2024-04-25T00:00:00"/>
    <n v="1.0931506849315069"/>
    <x v="83"/>
    <x v="0"/>
    <x v="7"/>
    <x v="1"/>
    <n v="17.59"/>
    <m/>
    <m/>
    <m/>
    <m/>
    <m/>
    <m/>
    <x v="4"/>
    <n v="4"/>
    <n v="5"/>
    <m/>
    <m/>
    <m/>
    <m/>
    <m/>
    <m/>
    <m/>
    <m/>
    <m/>
    <m/>
    <m/>
    <m/>
    <m/>
    <m/>
  </r>
  <r>
    <n v="2648"/>
    <n v="52996"/>
    <d v="2002-08-30T00:00:00"/>
    <n v="23"/>
    <x v="1"/>
    <x v="1"/>
    <d v="2024-11-27T00:00:00"/>
    <n v="1.3041095890410959"/>
    <x v="73"/>
    <x v="0"/>
    <x v="8"/>
    <x v="1"/>
    <n v="8.4700000000000006"/>
    <m/>
    <m/>
    <m/>
    <m/>
    <m/>
    <m/>
    <x v="2"/>
    <n v="3"/>
    <n v="7"/>
    <m/>
    <m/>
    <m/>
    <m/>
    <m/>
    <m/>
    <m/>
    <m/>
    <m/>
    <m/>
    <m/>
    <m/>
    <m/>
    <m/>
  </r>
  <r>
    <n v="2649"/>
    <n v="52997"/>
    <d v="2006-05-07T00:00:00"/>
    <n v="19"/>
    <x v="1"/>
    <x v="1"/>
    <d v="2024-09-11T00:00:00"/>
    <n v="1.3671232876712329"/>
    <x v="44"/>
    <x v="1"/>
    <x v="8"/>
    <x v="1"/>
    <n v="8.4700000000000006"/>
    <m/>
    <m/>
    <m/>
    <m/>
    <m/>
    <m/>
    <x v="1"/>
    <n v="3"/>
    <n v="7"/>
    <m/>
    <m/>
    <m/>
    <m/>
    <m/>
    <m/>
    <m/>
    <m/>
    <m/>
    <m/>
    <m/>
    <m/>
    <m/>
    <m/>
  </r>
  <r>
    <n v="2650"/>
    <n v="52998"/>
    <d v="2004-12-11T00:00:00"/>
    <n v="21"/>
    <x v="1"/>
    <x v="1"/>
    <d v="2024-08-19T00:00:00"/>
    <n v="1.0136986301369864"/>
    <x v="110"/>
    <x v="1"/>
    <x v="9"/>
    <x v="1"/>
    <n v="14.07"/>
    <m/>
    <m/>
    <m/>
    <m/>
    <m/>
    <m/>
    <x v="2"/>
    <n v="0"/>
    <n v="5"/>
    <m/>
    <m/>
    <m/>
    <m/>
    <m/>
    <m/>
    <m/>
    <m/>
    <m/>
    <m/>
    <m/>
    <m/>
    <m/>
    <m/>
  </r>
  <r>
    <n v="2651"/>
    <n v="53000"/>
    <d v="1999-03-26T00:00:00"/>
    <n v="26"/>
    <x v="1"/>
    <x v="1"/>
    <d v="2024-12-26T00:00:00"/>
    <n v="1.8246575342465754"/>
    <x v="2"/>
    <x v="0"/>
    <x v="3"/>
    <x v="1"/>
    <n v="8.4700000000000006"/>
    <m/>
    <m/>
    <m/>
    <m/>
    <m/>
    <m/>
    <x v="2"/>
    <n v="1"/>
    <n v="7"/>
    <m/>
    <m/>
    <m/>
    <m/>
    <m/>
    <m/>
    <m/>
    <m/>
    <m/>
    <m/>
    <m/>
    <m/>
    <m/>
    <m/>
  </r>
  <r>
    <n v="2652"/>
    <n v="53001"/>
    <d v="2001-02-19T00:00:00"/>
    <n v="24"/>
    <x v="1"/>
    <x v="1"/>
    <d v="2024-03-05T00:00:00"/>
    <n v="1.4246575342465753"/>
    <x v="4"/>
    <x v="0"/>
    <x v="8"/>
    <x v="1"/>
    <n v="8.4700000000000006"/>
    <m/>
    <m/>
    <m/>
    <m/>
    <m/>
    <m/>
    <x v="4"/>
    <n v="3"/>
    <n v="5"/>
    <m/>
    <m/>
    <m/>
    <m/>
    <m/>
    <m/>
    <m/>
    <m/>
    <m/>
    <m/>
    <m/>
    <m/>
    <m/>
    <m/>
  </r>
  <r>
    <n v="2653"/>
    <n v="53002"/>
    <d v="2004-08-02T00:00:00"/>
    <n v="21"/>
    <x v="1"/>
    <x v="1"/>
    <d v="2024-07-29T00:00:00"/>
    <n v="1.3917808219178083"/>
    <x v="5"/>
    <x v="0"/>
    <x v="8"/>
    <x v="1"/>
    <n v="8.4700000000000006"/>
    <m/>
    <m/>
    <m/>
    <m/>
    <m/>
    <m/>
    <x v="4"/>
    <n v="2"/>
    <n v="6"/>
    <m/>
    <m/>
    <m/>
    <m/>
    <m/>
    <m/>
    <m/>
    <m/>
    <m/>
    <m/>
    <m/>
    <m/>
    <m/>
    <m/>
  </r>
  <r>
    <n v="2654"/>
    <n v="53003"/>
    <d v="2001-02-21T00:00:00"/>
    <n v="24"/>
    <x v="1"/>
    <x v="0"/>
    <d v="2024-08-10T00:00:00"/>
    <n v="1.0739726027397261"/>
    <x v="5"/>
    <x v="0"/>
    <x v="8"/>
    <x v="1"/>
    <n v="8.4700000000000006"/>
    <m/>
    <m/>
    <m/>
    <m/>
    <m/>
    <m/>
    <x v="4"/>
    <n v="1"/>
    <n v="6"/>
    <m/>
    <m/>
    <m/>
    <m/>
    <m/>
    <m/>
    <m/>
    <m/>
    <m/>
    <m/>
    <m/>
    <m/>
    <m/>
    <m/>
  </r>
  <r>
    <n v="2655"/>
    <n v="53004"/>
    <d v="2006-05-01T00:00:00"/>
    <n v="20"/>
    <x v="1"/>
    <x v="1"/>
    <d v="2024-12-04T00:00:00"/>
    <n v="1.8821917808219177"/>
    <x v="124"/>
    <x v="0"/>
    <x v="8"/>
    <x v="1"/>
    <n v="8.4700000000000006"/>
    <m/>
    <m/>
    <m/>
    <m/>
    <m/>
    <m/>
    <x v="3"/>
    <n v="1"/>
    <n v="6"/>
    <m/>
    <m/>
    <m/>
    <m/>
    <m/>
    <m/>
    <m/>
    <m/>
    <m/>
    <m/>
    <m/>
    <m/>
    <m/>
    <m/>
  </r>
  <r>
    <n v="2656"/>
    <n v="53005"/>
    <d v="2005-07-24T00:00:00"/>
    <n v="20"/>
    <x v="0"/>
    <x v="1"/>
    <d v="2024-02-13T00:00:00"/>
    <n v="1.3452054794520547"/>
    <x v="11"/>
    <x v="0"/>
    <x v="10"/>
    <x v="1"/>
    <n v="10.64"/>
    <m/>
    <m/>
    <m/>
    <m/>
    <m/>
    <m/>
    <x v="1"/>
    <n v="0"/>
    <n v="4"/>
    <m/>
    <m/>
    <m/>
    <m/>
    <m/>
    <m/>
    <m/>
    <m/>
    <m/>
    <m/>
    <m/>
    <m/>
    <m/>
    <m/>
  </r>
  <r>
    <n v="2657"/>
    <n v="53006"/>
    <d v="2003-01-17T00:00:00"/>
    <n v="22"/>
    <x v="0"/>
    <x v="1"/>
    <d v="2024-08-27T00:00:00"/>
    <n v="1.7726027397260273"/>
    <x v="45"/>
    <x v="0"/>
    <x v="2"/>
    <x v="1"/>
    <n v="14.23"/>
    <m/>
    <m/>
    <m/>
    <m/>
    <m/>
    <m/>
    <x v="3"/>
    <n v="0"/>
    <n v="3"/>
    <m/>
    <m/>
    <m/>
    <m/>
    <m/>
    <m/>
    <m/>
    <m/>
    <m/>
    <m/>
    <m/>
    <m/>
    <m/>
    <m/>
  </r>
  <r>
    <n v="2658"/>
    <n v="53007"/>
    <d v="2004-10-22T00:00:00"/>
    <n v="21"/>
    <x v="1"/>
    <x v="0"/>
    <d v="2024-03-24T00:00:00"/>
    <n v="1.0301369863013699"/>
    <x v="45"/>
    <x v="0"/>
    <x v="8"/>
    <x v="1"/>
    <n v="8.4700000000000006"/>
    <m/>
    <m/>
    <m/>
    <m/>
    <m/>
    <m/>
    <x v="4"/>
    <n v="1"/>
    <n v="5"/>
    <m/>
    <m/>
    <m/>
    <m/>
    <m/>
    <m/>
    <m/>
    <m/>
    <m/>
    <m/>
    <m/>
    <m/>
    <m/>
    <m/>
  </r>
  <r>
    <n v="2659"/>
    <n v="53008"/>
    <d v="2003-04-13T00:00:00"/>
    <n v="22"/>
    <x v="1"/>
    <x v="1"/>
    <d v="2024-12-20T00:00:00"/>
    <n v="1.7698630136986302"/>
    <x v="17"/>
    <x v="0"/>
    <x v="10"/>
    <x v="1"/>
    <n v="10.64"/>
    <m/>
    <m/>
    <m/>
    <m/>
    <m/>
    <m/>
    <x v="1"/>
    <n v="0"/>
    <n v="6"/>
    <m/>
    <m/>
    <m/>
    <m/>
    <m/>
    <m/>
    <m/>
    <m/>
    <m/>
    <m/>
    <m/>
    <m/>
    <m/>
    <m/>
  </r>
  <r>
    <n v="2660"/>
    <n v="53009"/>
    <d v="2000-01-04T00:00:00"/>
    <n v="25"/>
    <x v="1"/>
    <x v="1"/>
    <d v="2024-03-25T00:00:00"/>
    <n v="1.704109589041096"/>
    <x v="20"/>
    <x v="0"/>
    <x v="2"/>
    <x v="1"/>
    <n v="14.23"/>
    <m/>
    <m/>
    <m/>
    <m/>
    <m/>
    <m/>
    <x v="1"/>
    <n v="1"/>
    <n v="6"/>
    <m/>
    <m/>
    <m/>
    <m/>
    <m/>
    <m/>
    <m/>
    <m/>
    <m/>
    <m/>
    <m/>
    <m/>
    <m/>
    <m/>
  </r>
  <r>
    <n v="2661"/>
    <n v="53010"/>
    <d v="2001-12-23T00:00:00"/>
    <n v="24"/>
    <x v="1"/>
    <x v="1"/>
    <d v="2024-04-18T00:00:00"/>
    <n v="1.6547945205479453"/>
    <x v="27"/>
    <x v="0"/>
    <x v="8"/>
    <x v="1"/>
    <n v="8.4700000000000006"/>
    <m/>
    <m/>
    <m/>
    <m/>
    <m/>
    <m/>
    <x v="4"/>
    <n v="3"/>
    <n v="6"/>
    <m/>
    <m/>
    <m/>
    <m/>
    <m/>
    <m/>
    <m/>
    <m/>
    <m/>
    <m/>
    <m/>
    <m/>
    <m/>
    <m/>
  </r>
  <r>
    <n v="2662"/>
    <n v="53011"/>
    <d v="2004-03-20T00:00:00"/>
    <n v="21"/>
    <x v="1"/>
    <x v="1"/>
    <d v="2024-05-06T00:00:00"/>
    <n v="1.4273972602739726"/>
    <x v="22"/>
    <x v="0"/>
    <x v="8"/>
    <x v="1"/>
    <n v="8.4700000000000006"/>
    <m/>
    <m/>
    <m/>
    <m/>
    <m/>
    <m/>
    <x v="4"/>
    <n v="1"/>
    <n v="5"/>
    <m/>
    <m/>
    <m/>
    <m/>
    <m/>
    <m/>
    <m/>
    <m/>
    <m/>
    <m/>
    <m/>
    <m/>
    <m/>
    <m/>
  </r>
  <r>
    <n v="2663"/>
    <n v="53012"/>
    <d v="2002-03-11T00:00:00"/>
    <n v="23"/>
    <x v="0"/>
    <x v="1"/>
    <d v="2024-07-28T00:00:00"/>
    <n v="1.0410958904109588"/>
    <x v="61"/>
    <x v="0"/>
    <x v="2"/>
    <x v="1"/>
    <n v="14.23"/>
    <m/>
    <m/>
    <m/>
    <m/>
    <m/>
    <m/>
    <x v="1"/>
    <n v="0"/>
    <n v="4"/>
    <m/>
    <m/>
    <m/>
    <m/>
    <m/>
    <m/>
    <m/>
    <m/>
    <m/>
    <m/>
    <m/>
    <m/>
    <m/>
    <m/>
  </r>
  <r>
    <n v="2664"/>
    <n v="53014"/>
    <d v="1999-04-02T00:00:00"/>
    <n v="26"/>
    <x v="1"/>
    <x v="1"/>
    <d v="2024-12-16T00:00:00"/>
    <n v="1.2"/>
    <x v="31"/>
    <x v="0"/>
    <x v="8"/>
    <x v="1"/>
    <n v="8.4700000000000006"/>
    <m/>
    <m/>
    <m/>
    <m/>
    <m/>
    <m/>
    <x v="2"/>
    <n v="2"/>
    <n v="6"/>
    <m/>
    <m/>
    <m/>
    <m/>
    <m/>
    <m/>
    <m/>
    <m/>
    <m/>
    <m/>
    <m/>
    <m/>
    <m/>
    <m/>
  </r>
  <r>
    <n v="2665"/>
    <n v="53015"/>
    <d v="2004-10-16T00:00:00"/>
    <n v="21"/>
    <x v="1"/>
    <x v="1"/>
    <d v="2024-10-19T00:00:00"/>
    <n v="1.5835616438356164"/>
    <x v="33"/>
    <x v="0"/>
    <x v="8"/>
    <x v="1"/>
    <n v="8.4700000000000006"/>
    <m/>
    <m/>
    <m/>
    <m/>
    <m/>
    <m/>
    <x v="4"/>
    <n v="1"/>
    <n v="6"/>
    <m/>
    <m/>
    <m/>
    <m/>
    <m/>
    <m/>
    <m/>
    <m/>
    <m/>
    <m/>
    <m/>
    <m/>
    <m/>
    <m/>
  </r>
  <r>
    <n v="2666"/>
    <n v="53016"/>
    <d v="2003-12-15T00:00:00"/>
    <n v="22"/>
    <x v="1"/>
    <x v="1"/>
    <d v="2024-06-01T00:00:00"/>
    <n v="1.4301369863013698"/>
    <x v="83"/>
    <x v="0"/>
    <x v="8"/>
    <x v="1"/>
    <n v="8.4700000000000006"/>
    <m/>
    <m/>
    <m/>
    <m/>
    <m/>
    <m/>
    <x v="1"/>
    <n v="2"/>
    <n v="7"/>
    <m/>
    <m/>
    <m/>
    <m/>
    <m/>
    <m/>
    <m/>
    <m/>
    <m/>
    <m/>
    <m/>
    <m/>
    <m/>
    <m/>
  </r>
  <r>
    <n v="2667"/>
    <n v="53017"/>
    <d v="2004-06-07T00:00:00"/>
    <n v="21"/>
    <x v="0"/>
    <x v="1"/>
    <d v="2024-07-27T00:00:00"/>
    <n v="1.3561643835616439"/>
    <x v="57"/>
    <x v="0"/>
    <x v="3"/>
    <x v="1"/>
    <n v="8.4700000000000006"/>
    <m/>
    <m/>
    <m/>
    <m/>
    <m/>
    <m/>
    <x v="4"/>
    <n v="2"/>
    <n v="3"/>
    <m/>
    <m/>
    <m/>
    <m/>
    <m/>
    <m/>
    <m/>
    <m/>
    <m/>
    <m/>
    <m/>
    <m/>
    <m/>
    <m/>
  </r>
  <r>
    <n v="2668"/>
    <n v="53018"/>
    <d v="2004-11-09T00:00:00"/>
    <n v="21"/>
    <x v="1"/>
    <x v="1"/>
    <d v="2024-08-23T00:00:00"/>
    <n v="1.4301369863013698"/>
    <x v="55"/>
    <x v="0"/>
    <x v="8"/>
    <x v="1"/>
    <n v="8.4700000000000006"/>
    <m/>
    <m/>
    <m/>
    <m/>
    <m/>
    <m/>
    <x v="4"/>
    <n v="1"/>
    <n v="5"/>
    <m/>
    <m/>
    <m/>
    <m/>
    <m/>
    <m/>
    <m/>
    <m/>
    <m/>
    <m/>
    <m/>
    <m/>
    <m/>
    <m/>
  </r>
  <r>
    <n v="2669"/>
    <n v="53019"/>
    <d v="2004-02-11T00:00:00"/>
    <n v="21"/>
    <x v="1"/>
    <x v="1"/>
    <d v="2024-07-27T00:00:00"/>
    <n v="1.5561643835616439"/>
    <x v="144"/>
    <x v="0"/>
    <x v="1"/>
    <x v="1"/>
    <n v="16.37"/>
    <m/>
    <m/>
    <m/>
    <m/>
    <m/>
    <m/>
    <x v="2"/>
    <n v="1"/>
    <n v="5"/>
    <m/>
    <m/>
    <m/>
    <m/>
    <m/>
    <m/>
    <m/>
    <m/>
    <m/>
    <m/>
    <m/>
    <m/>
    <m/>
    <m/>
  </r>
  <r>
    <n v="2670"/>
    <n v="53021"/>
    <d v="2006-10-06T00:00:00"/>
    <n v="19"/>
    <x v="1"/>
    <x v="0"/>
    <d v="2024-06-11T00:00:00"/>
    <n v="1.2356164383561643"/>
    <x v="77"/>
    <x v="0"/>
    <x v="8"/>
    <x v="1"/>
    <n v="8.4700000000000006"/>
    <m/>
    <m/>
    <m/>
    <m/>
    <m/>
    <m/>
    <x v="2"/>
    <n v="4"/>
    <n v="6"/>
    <m/>
    <m/>
    <m/>
    <m/>
    <m/>
    <m/>
    <m/>
    <m/>
    <m/>
    <m/>
    <m/>
    <m/>
    <m/>
    <m/>
  </r>
  <r>
    <n v="2671"/>
    <n v="53022"/>
    <d v="2003-12-18T00:00:00"/>
    <n v="22"/>
    <x v="0"/>
    <x v="1"/>
    <d v="2024-10-06T00:00:00"/>
    <n v="1.9260273972602739"/>
    <x v="39"/>
    <x v="1"/>
    <x v="8"/>
    <x v="1"/>
    <n v="8.4700000000000006"/>
    <m/>
    <m/>
    <m/>
    <m/>
    <m/>
    <m/>
    <x v="4"/>
    <n v="1"/>
    <n v="4"/>
    <m/>
    <m/>
    <m/>
    <m/>
    <m/>
    <m/>
    <m/>
    <m/>
    <m/>
    <m/>
    <m/>
    <m/>
    <m/>
    <m/>
  </r>
  <r>
    <n v="2672"/>
    <n v="53023"/>
    <d v="1994-08-06T00:00:00"/>
    <n v="31"/>
    <x v="1"/>
    <x v="1"/>
    <d v="2024-01-28T00:00:00"/>
    <n v="1.1095890410958904"/>
    <x v="44"/>
    <x v="1"/>
    <x v="6"/>
    <x v="1"/>
    <n v="23.78"/>
    <m/>
    <m/>
    <m/>
    <m/>
    <m/>
    <m/>
    <x v="1"/>
    <n v="4"/>
    <n v="7"/>
    <m/>
    <m/>
    <m/>
    <m/>
    <m/>
    <m/>
    <m/>
    <m/>
    <m/>
    <m/>
    <m/>
    <m/>
    <m/>
    <m/>
  </r>
  <r>
    <n v="2673"/>
    <n v="53024"/>
    <d v="2004-12-27T00:00:00"/>
    <n v="21"/>
    <x v="1"/>
    <x v="1"/>
    <d v="2024-11-21T00:00:00"/>
    <n v="1.5123287671232877"/>
    <x v="46"/>
    <x v="1"/>
    <x v="8"/>
    <x v="1"/>
    <n v="8.4700000000000006"/>
    <m/>
    <m/>
    <m/>
    <m/>
    <m/>
    <m/>
    <x v="3"/>
    <n v="2"/>
    <n v="6"/>
    <m/>
    <m/>
    <m/>
    <m/>
    <m/>
    <m/>
    <m/>
    <m/>
    <m/>
    <m/>
    <m/>
    <m/>
    <m/>
    <m/>
  </r>
  <r>
    <n v="2674"/>
    <n v="53025"/>
    <d v="1994-10-22T00:00:00"/>
    <n v="31"/>
    <x v="1"/>
    <x v="1"/>
    <d v="2024-06-27T00:00:00"/>
    <n v="1.4301369863013698"/>
    <x v="46"/>
    <x v="1"/>
    <x v="8"/>
    <x v="1"/>
    <n v="8.4700000000000006"/>
    <m/>
    <m/>
    <m/>
    <m/>
    <m/>
    <m/>
    <x v="4"/>
    <n v="2"/>
    <n v="5"/>
    <m/>
    <m/>
    <m/>
    <m/>
    <m/>
    <m/>
    <m/>
    <m/>
    <m/>
    <m/>
    <m/>
    <m/>
    <m/>
    <m/>
  </r>
  <r>
    <n v="2675"/>
    <n v="53026"/>
    <d v="2004-08-22T00:00:00"/>
    <n v="21"/>
    <x v="1"/>
    <x v="1"/>
    <d v="2024-07-27T00:00:00"/>
    <n v="1.7452054794520548"/>
    <x v="29"/>
    <x v="1"/>
    <x v="3"/>
    <x v="1"/>
    <n v="8.4700000000000006"/>
    <m/>
    <m/>
    <m/>
    <m/>
    <m/>
    <m/>
    <x v="2"/>
    <n v="2"/>
    <n v="5"/>
    <m/>
    <m/>
    <m/>
    <m/>
    <m/>
    <m/>
    <m/>
    <m/>
    <m/>
    <m/>
    <m/>
    <m/>
    <m/>
    <m/>
  </r>
  <r>
    <n v="2676"/>
    <n v="53027"/>
    <d v="2006-08-30T00:00:00"/>
    <n v="19"/>
    <x v="1"/>
    <x v="1"/>
    <d v="2024-04-03T00:00:00"/>
    <n v="1.7671232876712328"/>
    <x v="30"/>
    <x v="1"/>
    <x v="8"/>
    <x v="1"/>
    <n v="8.4700000000000006"/>
    <m/>
    <m/>
    <m/>
    <m/>
    <m/>
    <m/>
    <x v="4"/>
    <n v="2"/>
    <n v="6"/>
    <m/>
    <m/>
    <m/>
    <m/>
    <m/>
    <m/>
    <m/>
    <m/>
    <m/>
    <m/>
    <m/>
    <m/>
    <m/>
    <m/>
  </r>
  <r>
    <n v="2677"/>
    <n v="53028"/>
    <d v="2003-04-28T00:00:00"/>
    <n v="22"/>
    <x v="1"/>
    <x v="1"/>
    <d v="2024-03-26T00:00:00"/>
    <n v="1.0602739726027397"/>
    <x v="133"/>
    <x v="1"/>
    <x v="8"/>
    <x v="1"/>
    <n v="8.4700000000000006"/>
    <m/>
    <m/>
    <m/>
    <m/>
    <m/>
    <m/>
    <x v="2"/>
    <n v="2"/>
    <n v="6"/>
    <m/>
    <m/>
    <m/>
    <m/>
    <m/>
    <m/>
    <m/>
    <m/>
    <m/>
    <m/>
    <m/>
    <m/>
    <m/>
    <m/>
  </r>
  <r>
    <n v="2678"/>
    <n v="53029"/>
    <d v="2000-09-29T00:00:00"/>
    <n v="25"/>
    <x v="0"/>
    <x v="1"/>
    <d v="2024-12-09T00:00:00"/>
    <n v="1.2904109589041095"/>
    <x v="113"/>
    <x v="1"/>
    <x v="7"/>
    <x v="1"/>
    <n v="17.59"/>
    <m/>
    <m/>
    <m/>
    <m/>
    <m/>
    <m/>
    <x v="1"/>
    <n v="1"/>
    <n v="5"/>
    <m/>
    <m/>
    <m/>
    <m/>
    <m/>
    <m/>
    <m/>
    <m/>
    <m/>
    <m/>
    <m/>
    <m/>
    <m/>
    <m/>
  </r>
  <r>
    <n v="2679"/>
    <n v="53030"/>
    <d v="1996-10-14T00:00:00"/>
    <n v="29"/>
    <x v="1"/>
    <x v="1"/>
    <d v="2024-09-16T00:00:00"/>
    <n v="1.7534246575342465"/>
    <x v="62"/>
    <x v="1"/>
    <x v="8"/>
    <x v="1"/>
    <n v="8.4700000000000006"/>
    <m/>
    <m/>
    <m/>
    <m/>
    <m/>
    <m/>
    <x v="4"/>
    <n v="4"/>
    <n v="6"/>
    <m/>
    <m/>
    <m/>
    <m/>
    <m/>
    <m/>
    <m/>
    <m/>
    <m/>
    <m/>
    <m/>
    <m/>
    <m/>
    <m/>
  </r>
  <r>
    <n v="2680"/>
    <n v="53031"/>
    <d v="2007-08-02T00:00:00"/>
    <n v="18"/>
    <x v="1"/>
    <x v="0"/>
    <d v="2024-03-31T00:00:00"/>
    <n v="1.273972602739726"/>
    <x v="91"/>
    <x v="1"/>
    <x v="3"/>
    <x v="1"/>
    <n v="8.4700000000000006"/>
    <m/>
    <m/>
    <m/>
    <m/>
    <m/>
    <m/>
    <x v="4"/>
    <n v="4"/>
    <n v="6"/>
    <m/>
    <m/>
    <m/>
    <m/>
    <m/>
    <m/>
    <m/>
    <m/>
    <m/>
    <m/>
    <m/>
    <m/>
    <m/>
    <m/>
  </r>
  <r>
    <n v="2681"/>
    <n v="53032"/>
    <d v="2002-06-03T00:00:00"/>
    <n v="23"/>
    <x v="1"/>
    <x v="0"/>
    <d v="2024-09-22T00:00:00"/>
    <n v="1.8493150684931507"/>
    <x v="111"/>
    <x v="1"/>
    <x v="8"/>
    <x v="1"/>
    <n v="8.4700000000000006"/>
    <m/>
    <m/>
    <m/>
    <m/>
    <m/>
    <m/>
    <x v="1"/>
    <n v="2"/>
    <n v="6"/>
    <m/>
    <m/>
    <m/>
    <m/>
    <m/>
    <m/>
    <m/>
    <m/>
    <m/>
    <m/>
    <m/>
    <m/>
    <m/>
    <m/>
  </r>
  <r>
    <n v="2682"/>
    <n v="53033"/>
    <d v="2003-02-17T00:00:00"/>
    <n v="22"/>
    <x v="1"/>
    <x v="1"/>
    <d v="2024-02-25T00:00:00"/>
    <n v="1.3780821917808219"/>
    <x v="66"/>
    <x v="1"/>
    <x v="8"/>
    <x v="1"/>
    <n v="8.4700000000000006"/>
    <m/>
    <m/>
    <m/>
    <m/>
    <m/>
    <m/>
    <x v="3"/>
    <n v="2"/>
    <n v="7"/>
    <m/>
    <m/>
    <m/>
    <m/>
    <m/>
    <m/>
    <m/>
    <m/>
    <m/>
    <m/>
    <m/>
    <m/>
    <m/>
    <m/>
  </r>
  <r>
    <n v="2683"/>
    <n v="53034"/>
    <d v="2004-12-14T00:00:00"/>
    <n v="21"/>
    <x v="1"/>
    <x v="1"/>
    <d v="2024-08-15T00:00:00"/>
    <n v="1.2904109589041095"/>
    <x v="135"/>
    <x v="1"/>
    <x v="8"/>
    <x v="1"/>
    <n v="8.4700000000000006"/>
    <m/>
    <m/>
    <m/>
    <m/>
    <m/>
    <m/>
    <x v="1"/>
    <n v="4"/>
    <n v="6"/>
    <m/>
    <m/>
    <m/>
    <m/>
    <m/>
    <m/>
    <m/>
    <m/>
    <m/>
    <m/>
    <m/>
    <m/>
    <m/>
    <m/>
  </r>
  <r>
    <n v="2684"/>
    <n v="53035"/>
    <d v="2001-12-22T00:00:00"/>
    <n v="24"/>
    <x v="1"/>
    <x v="0"/>
    <d v="2024-09-16T00:00:00"/>
    <n v="1.6465753424657534"/>
    <x v="70"/>
    <x v="1"/>
    <x v="8"/>
    <x v="1"/>
    <n v="8.4700000000000006"/>
    <m/>
    <m/>
    <m/>
    <m/>
    <m/>
    <m/>
    <x v="2"/>
    <n v="1"/>
    <n v="7"/>
    <m/>
    <m/>
    <m/>
    <m/>
    <m/>
    <m/>
    <m/>
    <m/>
    <m/>
    <m/>
    <m/>
    <m/>
    <m/>
    <m/>
  </r>
  <r>
    <n v="2685"/>
    <n v="53036"/>
    <d v="2000-03-14T00:00:00"/>
    <n v="25"/>
    <x v="1"/>
    <x v="1"/>
    <d v="2024-05-09T00:00:00"/>
    <n v="1.5123287671232877"/>
    <x v="72"/>
    <x v="1"/>
    <x v="1"/>
    <x v="1"/>
    <n v="16.37"/>
    <m/>
    <m/>
    <m/>
    <m/>
    <m/>
    <m/>
    <x v="1"/>
    <n v="1"/>
    <n v="6"/>
    <m/>
    <m/>
    <m/>
    <m/>
    <m/>
    <m/>
    <m/>
    <m/>
    <m/>
    <m/>
    <m/>
    <m/>
    <m/>
    <m/>
  </r>
  <r>
    <n v="2686"/>
    <n v="53037"/>
    <d v="2004-12-21T00:00:00"/>
    <n v="21"/>
    <x v="1"/>
    <x v="1"/>
    <d v="2024-06-27T00:00:00"/>
    <n v="1.2136986301369863"/>
    <x v="74"/>
    <x v="1"/>
    <x v="8"/>
    <x v="1"/>
    <n v="8.4700000000000006"/>
    <m/>
    <m/>
    <m/>
    <m/>
    <m/>
    <m/>
    <x v="2"/>
    <n v="0"/>
    <n v="4"/>
    <m/>
    <m/>
    <m/>
    <m/>
    <m/>
    <m/>
    <m/>
    <m/>
    <m/>
    <m/>
    <m/>
    <m/>
    <m/>
    <m/>
  </r>
  <r>
    <n v="2687"/>
    <n v="53038"/>
    <d v="2005-05-02T00:00:00"/>
    <n v="20"/>
    <x v="1"/>
    <x v="1"/>
    <d v="2024-10-14T00:00:00"/>
    <n v="1.7534246575342465"/>
    <x v="75"/>
    <x v="1"/>
    <x v="8"/>
    <x v="1"/>
    <n v="8.4700000000000006"/>
    <m/>
    <m/>
    <m/>
    <m/>
    <m/>
    <m/>
    <x v="1"/>
    <n v="1"/>
    <n v="7"/>
    <m/>
    <m/>
    <m/>
    <m/>
    <m/>
    <m/>
    <m/>
    <m/>
    <m/>
    <m/>
    <m/>
    <m/>
    <m/>
    <m/>
  </r>
  <r>
    <n v="2688"/>
    <n v="53039"/>
    <d v="2004-11-15T00:00:00"/>
    <n v="21"/>
    <x v="1"/>
    <x v="1"/>
    <d v="2024-03-31T00:00:00"/>
    <n v="1.515068493150685"/>
    <x v="79"/>
    <x v="1"/>
    <x v="8"/>
    <x v="1"/>
    <n v="8.4700000000000006"/>
    <m/>
    <m/>
    <m/>
    <m/>
    <m/>
    <m/>
    <x v="1"/>
    <n v="3"/>
    <n v="7"/>
    <m/>
    <m/>
    <m/>
    <m/>
    <m/>
    <m/>
    <m/>
    <m/>
    <m/>
    <m/>
    <m/>
    <m/>
    <m/>
    <m/>
  </r>
  <r>
    <n v="2689"/>
    <n v="53040"/>
    <d v="1985-04-07T00:00:00"/>
    <n v="40"/>
    <x v="0"/>
    <x v="0"/>
    <d v="2024-06-26T00:00:00"/>
    <n v="1.7808219178082192"/>
    <x v="129"/>
    <x v="1"/>
    <x v="6"/>
    <x v="1"/>
    <n v="23.78"/>
    <m/>
    <m/>
    <m/>
    <m/>
    <m/>
    <m/>
    <x v="4"/>
    <n v="7"/>
    <n v="5"/>
    <m/>
    <m/>
    <m/>
    <m/>
    <m/>
    <m/>
    <m/>
    <m/>
    <m/>
    <m/>
    <m/>
    <m/>
    <m/>
    <m/>
  </r>
  <r>
    <n v="2690"/>
    <n v="53041"/>
    <d v="2003-03-19T00:00:00"/>
    <n v="22"/>
    <x v="1"/>
    <x v="1"/>
    <d v="2024-03-21T00:00:00"/>
    <n v="1.4301369863013698"/>
    <x v="129"/>
    <x v="1"/>
    <x v="8"/>
    <x v="1"/>
    <n v="8.4700000000000006"/>
    <m/>
    <m/>
    <m/>
    <m/>
    <m/>
    <m/>
    <x v="4"/>
    <n v="3"/>
    <n v="7"/>
    <m/>
    <m/>
    <m/>
    <m/>
    <m/>
    <m/>
    <m/>
    <m/>
    <m/>
    <m/>
    <m/>
    <m/>
    <m/>
    <m/>
  </r>
  <r>
    <n v="2691"/>
    <n v="53042"/>
    <d v="1999-08-17T00:00:00"/>
    <n v="26"/>
    <x v="1"/>
    <x v="0"/>
    <d v="2024-07-27T00:00:00"/>
    <n v="1.7342465753424658"/>
    <x v="129"/>
    <x v="1"/>
    <x v="8"/>
    <x v="1"/>
    <n v="8.4700000000000006"/>
    <m/>
    <m/>
    <m/>
    <m/>
    <m/>
    <m/>
    <x v="4"/>
    <n v="2"/>
    <n v="5"/>
    <m/>
    <m/>
    <m/>
    <m/>
    <m/>
    <m/>
    <m/>
    <m/>
    <m/>
    <m/>
    <m/>
    <m/>
    <m/>
    <m/>
  </r>
  <r>
    <n v="2692"/>
    <n v="53043"/>
    <d v="2004-06-11T00:00:00"/>
    <n v="21"/>
    <x v="1"/>
    <x v="1"/>
    <d v="2024-04-07T00:00:00"/>
    <n v="1.4219178082191781"/>
    <x v="112"/>
    <x v="1"/>
    <x v="8"/>
    <x v="1"/>
    <n v="8.4700000000000006"/>
    <m/>
    <m/>
    <m/>
    <m/>
    <m/>
    <m/>
    <x v="3"/>
    <n v="2"/>
    <n v="6"/>
    <m/>
    <m/>
    <m/>
    <m/>
    <m/>
    <m/>
    <m/>
    <m/>
    <m/>
    <m/>
    <m/>
    <m/>
    <m/>
    <m/>
  </r>
  <r>
    <n v="2693"/>
    <n v="53044"/>
    <d v="2002-01-05T00:00:00"/>
    <n v="23"/>
    <x v="1"/>
    <x v="1"/>
    <d v="2024-07-30T00:00:00"/>
    <n v="1.2246575342465753"/>
    <x v="92"/>
    <x v="1"/>
    <x v="8"/>
    <x v="1"/>
    <n v="8.4700000000000006"/>
    <m/>
    <m/>
    <m/>
    <m/>
    <m/>
    <m/>
    <x v="4"/>
    <n v="2"/>
    <n v="7"/>
    <m/>
    <m/>
    <m/>
    <m/>
    <m/>
    <m/>
    <m/>
    <m/>
    <m/>
    <m/>
    <m/>
    <m/>
    <m/>
    <m/>
  </r>
  <r>
    <n v="2694"/>
    <n v="53045"/>
    <d v="2003-07-12T00:00:00"/>
    <n v="22"/>
    <x v="1"/>
    <x v="1"/>
    <d v="2024-10-10T00:00:00"/>
    <n v="1.0465753424657533"/>
    <x v="103"/>
    <x v="1"/>
    <x v="8"/>
    <x v="1"/>
    <n v="8.4700000000000006"/>
    <m/>
    <m/>
    <m/>
    <m/>
    <m/>
    <m/>
    <x v="4"/>
    <n v="0"/>
    <n v="6"/>
    <m/>
    <m/>
    <m/>
    <m/>
    <m/>
    <m/>
    <m/>
    <m/>
    <m/>
    <m/>
    <m/>
    <m/>
    <m/>
    <m/>
  </r>
  <r>
    <n v="2695"/>
    <n v="53046"/>
    <d v="1996-02-24T00:00:00"/>
    <n v="29"/>
    <x v="0"/>
    <x v="1"/>
    <d v="2024-12-14T00:00:00"/>
    <n v="1.8273972602739725"/>
    <x v="27"/>
    <x v="0"/>
    <x v="7"/>
    <x v="1"/>
    <n v="17.59"/>
    <m/>
    <m/>
    <m/>
    <m/>
    <m/>
    <m/>
    <x v="1"/>
    <n v="4"/>
    <n v="5"/>
    <m/>
    <m/>
    <m/>
    <m/>
    <m/>
    <m/>
    <m/>
    <m/>
    <m/>
    <m/>
    <m/>
    <m/>
    <m/>
    <m/>
  </r>
  <r>
    <n v="2696"/>
    <n v="53047"/>
    <d v="2002-12-02T00:00:00"/>
    <n v="23"/>
    <x v="1"/>
    <x v="1"/>
    <d v="2024-03-04T00:00:00"/>
    <n v="1.5863013698630137"/>
    <x v="32"/>
    <x v="0"/>
    <x v="10"/>
    <x v="1"/>
    <n v="10.64"/>
    <m/>
    <m/>
    <m/>
    <m/>
    <m/>
    <m/>
    <x v="3"/>
    <n v="0"/>
    <n v="5"/>
    <m/>
    <m/>
    <m/>
    <m/>
    <m/>
    <m/>
    <m/>
    <m/>
    <m/>
    <m/>
    <m/>
    <m/>
    <m/>
    <m/>
  </r>
  <r>
    <n v="2697"/>
    <n v="53048"/>
    <d v="2004-06-13T00:00:00"/>
    <n v="21"/>
    <x v="0"/>
    <x v="1"/>
    <d v="2024-05-31T00:00:00"/>
    <n v="1.8027397260273972"/>
    <x v="37"/>
    <x v="0"/>
    <x v="10"/>
    <x v="1"/>
    <n v="10.64"/>
    <m/>
    <m/>
    <m/>
    <m/>
    <m/>
    <m/>
    <x v="2"/>
    <n v="1"/>
    <n v="4"/>
    <m/>
    <m/>
    <m/>
    <m/>
    <m/>
    <m/>
    <m/>
    <m/>
    <m/>
    <m/>
    <m/>
    <m/>
    <m/>
    <m/>
  </r>
  <r>
    <n v="2698"/>
    <n v="53049"/>
    <d v="1998-08-08T00:00:00"/>
    <n v="27"/>
    <x v="0"/>
    <x v="0"/>
    <d v="2024-03-13T00:00:00"/>
    <n v="1.6821917808219178"/>
    <x v="11"/>
    <x v="0"/>
    <x v="2"/>
    <x v="1"/>
    <n v="14.23"/>
    <m/>
    <m/>
    <m/>
    <m/>
    <m/>
    <m/>
    <x v="3"/>
    <n v="1"/>
    <n v="4"/>
    <m/>
    <m/>
    <m/>
    <m/>
    <m/>
    <m/>
    <m/>
    <m/>
    <m/>
    <m/>
    <m/>
    <m/>
    <m/>
    <m/>
  </r>
  <r>
    <n v="2699"/>
    <n v="53050"/>
    <d v="1994-02-10T00:00:00"/>
    <n v="31"/>
    <x v="0"/>
    <x v="0"/>
    <d v="2024-04-26T00:00:00"/>
    <n v="1.4547945205479451"/>
    <x v="77"/>
    <x v="0"/>
    <x v="7"/>
    <x v="1"/>
    <n v="17.59"/>
    <m/>
    <m/>
    <m/>
    <m/>
    <m/>
    <m/>
    <x v="3"/>
    <n v="2"/>
    <n v="4"/>
    <m/>
    <m/>
    <m/>
    <m/>
    <m/>
    <m/>
    <m/>
    <m/>
    <m/>
    <m/>
    <m/>
    <m/>
    <m/>
    <m/>
  </r>
  <r>
    <n v="2700"/>
    <n v="53051"/>
    <d v="2001-08-09T00:00:00"/>
    <n v="24"/>
    <x v="0"/>
    <x v="1"/>
    <d v="2024-07-18T00:00:00"/>
    <n v="1.6438356164383561"/>
    <x v="56"/>
    <x v="1"/>
    <x v="7"/>
    <x v="1"/>
    <n v="17.59"/>
    <m/>
    <m/>
    <m/>
    <m/>
    <m/>
    <m/>
    <x v="1"/>
    <n v="2"/>
    <n v="4"/>
    <m/>
    <m/>
    <m/>
    <m/>
    <m/>
    <m/>
    <m/>
    <m/>
    <m/>
    <m/>
    <m/>
    <m/>
    <m/>
    <m/>
  </r>
  <r>
    <n v="2701"/>
    <n v="53052"/>
    <d v="2002-07-31T00:00:00"/>
    <n v="23"/>
    <x v="1"/>
    <x v="1"/>
    <d v="2024-05-10T00:00:00"/>
    <n v="1.0684931506849316"/>
    <x v="104"/>
    <x v="1"/>
    <x v="2"/>
    <x v="1"/>
    <n v="14.23"/>
    <m/>
    <m/>
    <m/>
    <m/>
    <m/>
    <m/>
    <x v="2"/>
    <n v="0"/>
    <n v="6"/>
    <m/>
    <m/>
    <m/>
    <m/>
    <m/>
    <m/>
    <m/>
    <m/>
    <m/>
    <m/>
    <m/>
    <m/>
    <m/>
    <m/>
  </r>
  <r>
    <n v="2702"/>
    <n v="53054"/>
    <d v="2003-05-04T00:00:00"/>
    <n v="22"/>
    <x v="1"/>
    <x v="1"/>
    <d v="2024-12-06T00:00:00"/>
    <n v="1.0054794520547945"/>
    <x v="98"/>
    <x v="1"/>
    <x v="8"/>
    <x v="1"/>
    <n v="8.4700000000000006"/>
    <m/>
    <m/>
    <m/>
    <m/>
    <m/>
    <m/>
    <x v="4"/>
    <n v="4"/>
    <n v="7"/>
    <m/>
    <m/>
    <m/>
    <m/>
    <m/>
    <m/>
    <m/>
    <m/>
    <m/>
    <m/>
    <m/>
    <m/>
    <m/>
    <m/>
  </r>
  <r>
    <n v="2703"/>
    <n v="53055"/>
    <d v="2005-12-28T00:00:00"/>
    <n v="20"/>
    <x v="0"/>
    <x v="0"/>
    <d v="2024-12-29T00:00:00"/>
    <n v="1.0630136986301371"/>
    <x v="61"/>
    <x v="0"/>
    <x v="10"/>
    <x v="1"/>
    <n v="10.64"/>
    <m/>
    <m/>
    <m/>
    <m/>
    <m/>
    <m/>
    <x v="1"/>
    <n v="0"/>
    <n v="4"/>
    <m/>
    <m/>
    <m/>
    <m/>
    <m/>
    <m/>
    <m/>
    <m/>
    <m/>
    <m/>
    <m/>
    <m/>
    <m/>
    <m/>
  </r>
  <r>
    <n v="2704"/>
    <n v="53056"/>
    <d v="1999-03-10T00:00:00"/>
    <n v="26"/>
    <x v="0"/>
    <x v="1"/>
    <d v="2024-12-08T00:00:00"/>
    <n v="1.1260273972602739"/>
    <x v="7"/>
    <x v="0"/>
    <x v="7"/>
    <x v="1"/>
    <n v="17.59"/>
    <m/>
    <m/>
    <m/>
    <m/>
    <m/>
    <m/>
    <x v="4"/>
    <n v="2"/>
    <n v="3"/>
    <m/>
    <m/>
    <m/>
    <m/>
    <m/>
    <m/>
    <m/>
    <m/>
    <m/>
    <m/>
    <m/>
    <m/>
    <m/>
    <m/>
  </r>
  <r>
    <n v="2705"/>
    <n v="53057"/>
    <d v="2005-12-02T00:00:00"/>
    <n v="20"/>
    <x v="0"/>
    <x v="1"/>
    <d v="2024-11-15T00:00:00"/>
    <n v="1.0794520547945206"/>
    <x v="42"/>
    <x v="0"/>
    <x v="8"/>
    <x v="1"/>
    <n v="8.4700000000000006"/>
    <m/>
    <m/>
    <m/>
    <m/>
    <m/>
    <m/>
    <x v="3"/>
    <n v="1"/>
    <n v="3"/>
    <m/>
    <m/>
    <m/>
    <m/>
    <m/>
    <m/>
    <m/>
    <m/>
    <m/>
    <m/>
    <m/>
    <m/>
    <m/>
    <m/>
  </r>
  <r>
    <n v="2706"/>
    <n v="53058"/>
    <d v="2006-10-26T00:00:00"/>
    <n v="19"/>
    <x v="0"/>
    <x v="1"/>
    <d v="2024-12-02T00:00:00"/>
    <n v="1.4356164383561645"/>
    <x v="129"/>
    <x v="1"/>
    <x v="2"/>
    <x v="1"/>
    <n v="14.23"/>
    <m/>
    <m/>
    <m/>
    <m/>
    <m/>
    <m/>
    <x v="3"/>
    <n v="1"/>
    <n v="4"/>
    <m/>
    <m/>
    <m/>
    <m/>
    <m/>
    <m/>
    <m/>
    <m/>
    <m/>
    <m/>
    <m/>
    <m/>
    <m/>
    <m/>
  </r>
  <r>
    <n v="2707"/>
    <n v="53059"/>
    <d v="2004-10-23T00:00:00"/>
    <n v="21"/>
    <x v="0"/>
    <x v="1"/>
    <d v="2024-07-25T00:00:00"/>
    <n v="1.2164383561643837"/>
    <x v="80"/>
    <x v="1"/>
    <x v="8"/>
    <x v="1"/>
    <n v="8.4700000000000006"/>
    <m/>
    <m/>
    <m/>
    <m/>
    <m/>
    <m/>
    <x v="1"/>
    <n v="4"/>
    <n v="4"/>
    <m/>
    <m/>
    <m/>
    <m/>
    <m/>
    <m/>
    <m/>
    <m/>
    <m/>
    <m/>
    <m/>
    <m/>
    <m/>
    <m/>
  </r>
  <r>
    <n v="2708"/>
    <n v="53061"/>
    <d v="2001-03-26T00:00:00"/>
    <n v="24"/>
    <x v="1"/>
    <x v="1"/>
    <d v="2024-10-13T00:00:00"/>
    <n v="1.7534246575342465"/>
    <x v="25"/>
    <x v="0"/>
    <x v="7"/>
    <x v="1"/>
    <n v="17.59"/>
    <m/>
    <m/>
    <m/>
    <m/>
    <m/>
    <m/>
    <x v="2"/>
    <n v="2"/>
    <n v="6"/>
    <m/>
    <m/>
    <m/>
    <m/>
    <m/>
    <m/>
    <m/>
    <m/>
    <m/>
    <m/>
    <m/>
    <m/>
    <m/>
    <m/>
  </r>
  <r>
    <n v="2709"/>
    <n v="53063"/>
    <d v="1997-10-10T00:00:00"/>
    <n v="28"/>
    <x v="0"/>
    <x v="1"/>
    <d v="2024-03-31T00:00:00"/>
    <n v="1.0767123287671232"/>
    <x v="12"/>
    <x v="0"/>
    <x v="6"/>
    <x v="1"/>
    <n v="23.78"/>
    <m/>
    <m/>
    <m/>
    <m/>
    <m/>
    <m/>
    <x v="3"/>
    <n v="7"/>
    <n v="5"/>
    <m/>
    <m/>
    <m/>
    <m/>
    <m/>
    <m/>
    <m/>
    <m/>
    <m/>
    <m/>
    <m/>
    <m/>
    <m/>
    <m/>
  </r>
  <r>
    <n v="2710"/>
    <n v="53064"/>
    <d v="1995-01-26T00:00:00"/>
    <n v="30"/>
    <x v="1"/>
    <x v="1"/>
    <d v="2024-12-03T00:00:00"/>
    <n v="1.4493150684931506"/>
    <x v="8"/>
    <x v="1"/>
    <x v="1"/>
    <x v="1"/>
    <n v="16.37"/>
    <m/>
    <m/>
    <m/>
    <m/>
    <m/>
    <m/>
    <x v="3"/>
    <n v="1"/>
    <n v="6"/>
    <m/>
    <m/>
    <m/>
    <m/>
    <m/>
    <m/>
    <m/>
    <m/>
    <m/>
    <m/>
    <m/>
    <m/>
    <m/>
    <m/>
  </r>
  <r>
    <n v="2711"/>
    <n v="53065"/>
    <d v="2003-07-01T00:00:00"/>
    <n v="23"/>
    <x v="0"/>
    <x v="0"/>
    <d v="2024-07-20T00:00:00"/>
    <n v="1.1424657534246576"/>
    <x v="116"/>
    <x v="1"/>
    <x v="8"/>
    <x v="1"/>
    <n v="8.4700000000000006"/>
    <m/>
    <m/>
    <m/>
    <m/>
    <m/>
    <m/>
    <x v="1"/>
    <n v="4"/>
    <n v="6"/>
    <m/>
    <m/>
    <m/>
    <m/>
    <m/>
    <m/>
    <m/>
    <m/>
    <m/>
    <m/>
    <m/>
    <m/>
    <m/>
    <m/>
  </r>
  <r>
    <n v="2712"/>
    <n v="53066"/>
    <d v="2001-04-21T00:00:00"/>
    <n v="24"/>
    <x v="0"/>
    <x v="1"/>
    <d v="2024-11-09T00:00:00"/>
    <n v="1.6136986301369862"/>
    <x v="135"/>
    <x v="1"/>
    <x v="7"/>
    <x v="1"/>
    <n v="17.59"/>
    <m/>
    <m/>
    <m/>
    <m/>
    <m/>
    <m/>
    <x v="4"/>
    <n v="0"/>
    <n v="2"/>
    <m/>
    <m/>
    <m/>
    <m/>
    <m/>
    <m/>
    <m/>
    <m/>
    <m/>
    <m/>
    <m/>
    <m/>
    <m/>
    <m/>
  </r>
  <r>
    <n v="2713"/>
    <n v="53067"/>
    <d v="1996-08-06T00:00:00"/>
    <n v="29"/>
    <x v="1"/>
    <x v="1"/>
    <d v="2024-05-21T00:00:00"/>
    <n v="1.0328767123287672"/>
    <x v="139"/>
    <x v="0"/>
    <x v="2"/>
    <x v="1"/>
    <n v="14.23"/>
    <m/>
    <m/>
    <m/>
    <m/>
    <m/>
    <m/>
    <x v="3"/>
    <n v="0"/>
    <n v="5"/>
    <m/>
    <m/>
    <m/>
    <m/>
    <m/>
    <m/>
    <m/>
    <m/>
    <m/>
    <m/>
    <m/>
    <m/>
    <m/>
    <m/>
  </r>
  <r>
    <n v="2714"/>
    <n v="53068"/>
    <d v="2002-08-25T00:00:00"/>
    <n v="23"/>
    <x v="1"/>
    <x v="0"/>
    <d v="2024-12-19T00:00:00"/>
    <n v="1.0027397260273974"/>
    <x v="1"/>
    <x v="1"/>
    <x v="8"/>
    <x v="1"/>
    <n v="8.4700000000000006"/>
    <m/>
    <m/>
    <m/>
    <m/>
    <m/>
    <m/>
    <x v="1"/>
    <n v="2"/>
    <n v="6"/>
    <m/>
    <m/>
    <m/>
    <m/>
    <m/>
    <m/>
    <m/>
    <m/>
    <m/>
    <m/>
    <m/>
    <m/>
    <m/>
    <m/>
  </r>
  <r>
    <n v="2715"/>
    <n v="53069"/>
    <d v="2002-02-09T00:00:00"/>
    <n v="23"/>
    <x v="0"/>
    <x v="1"/>
    <d v="2024-12-30T00:00:00"/>
    <n v="1.7068493150684931"/>
    <x v="113"/>
    <x v="1"/>
    <x v="7"/>
    <x v="1"/>
    <n v="17.59"/>
    <m/>
    <m/>
    <m/>
    <m/>
    <m/>
    <m/>
    <x v="2"/>
    <n v="3"/>
    <n v="4"/>
    <m/>
    <m/>
    <m/>
    <m/>
    <m/>
    <m/>
    <m/>
    <m/>
    <m/>
    <m/>
    <m/>
    <m/>
    <m/>
    <m/>
  </r>
  <r>
    <n v="2716"/>
    <n v="53070"/>
    <d v="1997-10-28T00:00:00"/>
    <n v="28"/>
    <x v="0"/>
    <x v="1"/>
    <d v="2024-04-17T00:00:00"/>
    <n v="1.3698630136986301"/>
    <x v="80"/>
    <x v="1"/>
    <x v="2"/>
    <x v="1"/>
    <n v="14.23"/>
    <m/>
    <m/>
    <m/>
    <m/>
    <m/>
    <m/>
    <x v="2"/>
    <n v="0"/>
    <n v="4"/>
    <m/>
    <m/>
    <m/>
    <m/>
    <m/>
    <m/>
    <m/>
    <m/>
    <m/>
    <m/>
    <m/>
    <m/>
    <m/>
    <m/>
  </r>
  <r>
    <n v="2717"/>
    <n v="53071"/>
    <d v="1998-07-23T00:00:00"/>
    <n v="27"/>
    <x v="1"/>
    <x v="0"/>
    <d v="2024-08-18T00:00:00"/>
    <n v="1.484931506849315"/>
    <x v="143"/>
    <x v="0"/>
    <x v="2"/>
    <x v="1"/>
    <n v="14.23"/>
    <m/>
    <m/>
    <m/>
    <m/>
    <m/>
    <m/>
    <x v="4"/>
    <n v="1"/>
    <n v="5"/>
    <m/>
    <m/>
    <m/>
    <m/>
    <m/>
    <m/>
    <m/>
    <m/>
    <m/>
    <m/>
    <m/>
    <m/>
    <m/>
    <m/>
  </r>
  <r>
    <n v="2718"/>
    <n v="53072"/>
    <d v="1998-03-26T00:00:00"/>
    <n v="27"/>
    <x v="0"/>
    <x v="1"/>
    <d v="2024-07-07T00:00:00"/>
    <n v="1.8602739726027397"/>
    <x v="1"/>
    <x v="1"/>
    <x v="7"/>
    <x v="1"/>
    <n v="17.59"/>
    <m/>
    <m/>
    <m/>
    <m/>
    <m/>
    <m/>
    <x v="4"/>
    <n v="3"/>
    <n v="5"/>
    <m/>
    <m/>
    <m/>
    <m/>
    <m/>
    <m/>
    <m/>
    <m/>
    <m/>
    <m/>
    <m/>
    <m/>
    <m/>
    <m/>
  </r>
  <r>
    <n v="2719"/>
    <n v="53073"/>
    <d v="1998-08-07T00:00:00"/>
    <n v="27"/>
    <x v="0"/>
    <x v="1"/>
    <d v="2024-02-21T00:00:00"/>
    <n v="1.4"/>
    <x v="102"/>
    <x v="0"/>
    <x v="8"/>
    <x v="1"/>
    <n v="8.4700000000000006"/>
    <m/>
    <m/>
    <m/>
    <m/>
    <m/>
    <m/>
    <x v="2"/>
    <n v="3"/>
    <n v="4"/>
    <m/>
    <m/>
    <m/>
    <m/>
    <m/>
    <m/>
    <m/>
    <m/>
    <m/>
    <m/>
    <m/>
    <m/>
    <m/>
    <m/>
  </r>
  <r>
    <n v="2720"/>
    <n v="53074"/>
    <d v="1996-02-18T00:00:00"/>
    <n v="29"/>
    <x v="1"/>
    <x v="1"/>
    <d v="2024-08-07T00:00:00"/>
    <n v="1.0465753424657533"/>
    <x v="87"/>
    <x v="0"/>
    <x v="11"/>
    <x v="1"/>
    <n v="17"/>
    <m/>
    <m/>
    <m/>
    <m/>
    <m/>
    <m/>
    <x v="3"/>
    <n v="4"/>
    <n v="7"/>
    <m/>
    <m/>
    <m/>
    <m/>
    <m/>
    <m/>
    <m/>
    <m/>
    <m/>
    <m/>
    <m/>
    <m/>
    <m/>
    <m/>
  </r>
  <r>
    <n v="2721"/>
    <n v="53075"/>
    <d v="2002-12-06T00:00:00"/>
    <n v="23"/>
    <x v="0"/>
    <x v="1"/>
    <d v="2024-12-14T00:00:00"/>
    <n v="1.4246575342465753"/>
    <x v="59"/>
    <x v="0"/>
    <x v="10"/>
    <x v="1"/>
    <n v="10.64"/>
    <m/>
    <m/>
    <m/>
    <m/>
    <m/>
    <m/>
    <x v="3"/>
    <n v="0"/>
    <n v="4"/>
    <m/>
    <m/>
    <m/>
    <m/>
    <m/>
    <m/>
    <m/>
    <m/>
    <m/>
    <m/>
    <m/>
    <m/>
    <m/>
    <m/>
  </r>
  <r>
    <n v="2722"/>
    <n v="53076"/>
    <d v="2004-08-07T00:00:00"/>
    <n v="21"/>
    <x v="1"/>
    <x v="1"/>
    <d v="2024-07-29T00:00:00"/>
    <n v="1.295890410958904"/>
    <x v="119"/>
    <x v="1"/>
    <x v="9"/>
    <x v="1"/>
    <n v="14.07"/>
    <m/>
    <m/>
    <m/>
    <m/>
    <m/>
    <m/>
    <x v="1"/>
    <n v="0"/>
    <n v="7"/>
    <m/>
    <m/>
    <m/>
    <m/>
    <m/>
    <m/>
    <m/>
    <m/>
    <m/>
    <m/>
    <m/>
    <m/>
    <m/>
    <m/>
  </r>
  <r>
    <n v="2723"/>
    <n v="53077"/>
    <d v="1999-06-03T00:00:00"/>
    <n v="26"/>
    <x v="1"/>
    <x v="1"/>
    <d v="2024-09-14T00:00:00"/>
    <n v="1.8"/>
    <x v="101"/>
    <x v="1"/>
    <x v="8"/>
    <x v="1"/>
    <n v="8.4700000000000006"/>
    <m/>
    <m/>
    <m/>
    <m/>
    <m/>
    <m/>
    <x v="4"/>
    <n v="2"/>
    <n v="7"/>
    <m/>
    <m/>
    <m/>
    <m/>
    <m/>
    <m/>
    <m/>
    <m/>
    <m/>
    <m/>
    <m/>
    <m/>
    <m/>
    <m/>
  </r>
  <r>
    <n v="2724"/>
    <n v="53078"/>
    <d v="2001-02-25T00:00:00"/>
    <n v="24"/>
    <x v="1"/>
    <x v="1"/>
    <d v="2024-03-14T00:00:00"/>
    <n v="1.7671232876712328"/>
    <x v="12"/>
    <x v="0"/>
    <x v="11"/>
    <x v="1"/>
    <n v="17"/>
    <m/>
    <m/>
    <m/>
    <m/>
    <m/>
    <m/>
    <x v="3"/>
    <n v="1"/>
    <n v="6"/>
    <m/>
    <m/>
    <m/>
    <m/>
    <m/>
    <m/>
    <m/>
    <m/>
    <m/>
    <m/>
    <m/>
    <m/>
    <m/>
    <m/>
  </r>
  <r>
    <n v="2725"/>
    <n v="53079"/>
    <d v="1995-08-06T00:00:00"/>
    <n v="30"/>
    <x v="0"/>
    <x v="0"/>
    <d v="2024-03-26T00:00:00"/>
    <n v="1.5972602739726027"/>
    <x v="88"/>
    <x v="0"/>
    <x v="2"/>
    <x v="1"/>
    <n v="14.23"/>
    <m/>
    <m/>
    <m/>
    <m/>
    <m/>
    <m/>
    <x v="2"/>
    <n v="0"/>
    <n v="5"/>
    <m/>
    <m/>
    <m/>
    <m/>
    <m/>
    <m/>
    <m/>
    <m/>
    <m/>
    <m/>
    <m/>
    <m/>
    <m/>
    <m/>
  </r>
  <r>
    <n v="2726"/>
    <n v="53080"/>
    <d v="2003-12-03T00:00:00"/>
    <n v="22"/>
    <x v="1"/>
    <x v="1"/>
    <d v="2024-05-27T00:00:00"/>
    <n v="1.4219178082191781"/>
    <x v="43"/>
    <x v="1"/>
    <x v="8"/>
    <x v="1"/>
    <n v="8.4700000000000006"/>
    <m/>
    <m/>
    <m/>
    <m/>
    <m/>
    <m/>
    <x v="4"/>
    <n v="1"/>
    <n v="5"/>
    <m/>
    <m/>
    <m/>
    <m/>
    <m/>
    <m/>
    <m/>
    <m/>
    <m/>
    <m/>
    <m/>
    <m/>
    <m/>
    <m/>
  </r>
  <r>
    <n v="2727"/>
    <n v="53082"/>
    <d v="1999-04-15T00:00:00"/>
    <n v="26"/>
    <x v="1"/>
    <x v="1"/>
    <d v="2024-07-30T00:00:00"/>
    <n v="1.547945205479452"/>
    <x v="64"/>
    <x v="1"/>
    <x v="8"/>
    <x v="1"/>
    <n v="8.4700000000000006"/>
    <m/>
    <m/>
    <m/>
    <m/>
    <m/>
    <m/>
    <x v="3"/>
    <n v="1"/>
    <n v="6"/>
    <m/>
    <m/>
    <m/>
    <m/>
    <m/>
    <m/>
    <m/>
    <m/>
    <m/>
    <m/>
    <m/>
    <m/>
    <m/>
    <m/>
  </r>
  <r>
    <n v="2728"/>
    <n v="53083"/>
    <d v="2001-06-28T00:00:00"/>
    <n v="24"/>
    <x v="1"/>
    <x v="1"/>
    <d v="2024-06-14T00:00:00"/>
    <n v="1.1643835616438356"/>
    <x v="65"/>
    <x v="1"/>
    <x v="11"/>
    <x v="1"/>
    <n v="17"/>
    <m/>
    <m/>
    <m/>
    <m/>
    <m/>
    <m/>
    <x v="4"/>
    <n v="2"/>
    <n v="5"/>
    <m/>
    <m/>
    <m/>
    <m/>
    <m/>
    <m/>
    <m/>
    <m/>
    <m/>
    <m/>
    <m/>
    <m/>
    <m/>
    <m/>
  </r>
  <r>
    <n v="2729"/>
    <n v="53084"/>
    <d v="2002-09-28T00:00:00"/>
    <n v="23"/>
    <x v="1"/>
    <x v="1"/>
    <d v="2024-11-01T00:00:00"/>
    <n v="1.1808219178082191"/>
    <x v="116"/>
    <x v="1"/>
    <x v="8"/>
    <x v="1"/>
    <n v="8.4700000000000006"/>
    <m/>
    <m/>
    <m/>
    <m/>
    <m/>
    <m/>
    <x v="4"/>
    <n v="2"/>
    <n v="7"/>
    <m/>
    <m/>
    <m/>
    <m/>
    <m/>
    <m/>
    <m/>
    <m/>
    <m/>
    <m/>
    <m/>
    <m/>
    <m/>
    <m/>
  </r>
  <r>
    <n v="2730"/>
    <n v="53085"/>
    <d v="1999-11-27T00:00:00"/>
    <n v="26"/>
    <x v="0"/>
    <x v="0"/>
    <d v="2024-10-26T00:00:00"/>
    <n v="1.2438356164383562"/>
    <x v="12"/>
    <x v="0"/>
    <x v="7"/>
    <x v="1"/>
    <n v="17.59"/>
    <m/>
    <m/>
    <m/>
    <m/>
    <m/>
    <m/>
    <x v="4"/>
    <n v="1"/>
    <n v="4"/>
    <m/>
    <m/>
    <m/>
    <m/>
    <m/>
    <m/>
    <m/>
    <m/>
    <m/>
    <m/>
    <m/>
    <m/>
    <m/>
    <m/>
  </r>
  <r>
    <n v="2731"/>
    <n v="53086"/>
    <d v="2001-06-10T00:00:00"/>
    <n v="24"/>
    <x v="0"/>
    <x v="1"/>
    <d v="2024-10-03T00:00:00"/>
    <n v="1.5506849315068494"/>
    <x v="135"/>
    <x v="1"/>
    <x v="7"/>
    <x v="1"/>
    <n v="17.59"/>
    <m/>
    <m/>
    <m/>
    <m/>
    <m/>
    <m/>
    <x v="1"/>
    <n v="0"/>
    <n v="5"/>
    <m/>
    <m/>
    <m/>
    <m/>
    <m/>
    <m/>
    <m/>
    <m/>
    <m/>
    <m/>
    <m/>
    <m/>
    <m/>
    <m/>
  </r>
  <r>
    <n v="2732"/>
    <n v="53087"/>
    <d v="1993-03-30T00:00:00"/>
    <n v="32"/>
    <x v="0"/>
    <x v="0"/>
    <d v="2024-06-13T00:00:00"/>
    <n v="1.4493150684931506"/>
    <x v="79"/>
    <x v="1"/>
    <x v="2"/>
    <x v="1"/>
    <n v="14.23"/>
    <m/>
    <m/>
    <m/>
    <m/>
    <m/>
    <m/>
    <x v="3"/>
    <n v="1"/>
    <n v="5"/>
    <m/>
    <m/>
    <m/>
    <m/>
    <m/>
    <m/>
    <m/>
    <m/>
    <m/>
    <m/>
    <m/>
    <m/>
    <m/>
    <m/>
  </r>
  <r>
    <n v="2733"/>
    <n v="53088"/>
    <d v="2005-11-29T00:00:00"/>
    <n v="20"/>
    <x v="1"/>
    <x v="0"/>
    <d v="2024-07-20T00:00:00"/>
    <n v="1.5123287671232877"/>
    <x v="12"/>
    <x v="0"/>
    <x v="8"/>
    <x v="1"/>
    <n v="8.4700000000000006"/>
    <m/>
    <m/>
    <m/>
    <m/>
    <m/>
    <m/>
    <x v="4"/>
    <n v="1"/>
    <n v="4"/>
    <m/>
    <m/>
    <m/>
    <m/>
    <m/>
    <m/>
    <m/>
    <m/>
    <m/>
    <m/>
    <m/>
    <m/>
    <m/>
    <m/>
  </r>
  <r>
    <n v="2734"/>
    <n v="53089"/>
    <d v="1998-07-28T00:00:00"/>
    <n v="27"/>
    <x v="0"/>
    <x v="1"/>
    <d v="2024-06-27T00:00:00"/>
    <n v="1.5835616438356164"/>
    <x v="1"/>
    <x v="1"/>
    <x v="7"/>
    <x v="1"/>
    <n v="17.59"/>
    <m/>
    <m/>
    <m/>
    <m/>
    <m/>
    <m/>
    <x v="2"/>
    <n v="0"/>
    <n v="4"/>
    <m/>
    <m/>
    <m/>
    <m/>
    <m/>
    <m/>
    <m/>
    <m/>
    <m/>
    <m/>
    <m/>
    <m/>
    <m/>
    <m/>
  </r>
  <r>
    <n v="2735"/>
    <n v="53090"/>
    <d v="1993-08-09T00:00:00"/>
    <n v="32"/>
    <x v="1"/>
    <x v="1"/>
    <d v="2024-06-01T00:00:00"/>
    <n v="1.7534246575342465"/>
    <x v="72"/>
    <x v="1"/>
    <x v="7"/>
    <x v="1"/>
    <n v="17.59"/>
    <m/>
    <m/>
    <m/>
    <m/>
    <m/>
    <m/>
    <x v="4"/>
    <n v="2"/>
    <n v="7"/>
    <m/>
    <m/>
    <m/>
    <m/>
    <m/>
    <m/>
    <m/>
    <m/>
    <m/>
    <m/>
    <m/>
    <m/>
    <m/>
    <m/>
  </r>
  <r>
    <n v="2736"/>
    <n v="53091"/>
    <d v="2002-10-08T00:00:00"/>
    <n v="23"/>
    <x v="1"/>
    <x v="0"/>
    <d v="2024-03-31T00:00:00"/>
    <n v="1.0876712328767124"/>
    <x v="25"/>
    <x v="0"/>
    <x v="11"/>
    <x v="1"/>
    <n v="17"/>
    <m/>
    <m/>
    <m/>
    <m/>
    <m/>
    <m/>
    <x v="4"/>
    <n v="3"/>
    <n v="7"/>
    <m/>
    <m/>
    <m/>
    <m/>
    <m/>
    <m/>
    <m/>
    <m/>
    <m/>
    <m/>
    <m/>
    <m/>
    <m/>
    <m/>
  </r>
  <r>
    <n v="2737"/>
    <n v="53092"/>
    <d v="1999-09-25T00:00:00"/>
    <n v="26"/>
    <x v="0"/>
    <x v="1"/>
    <d v="2024-11-29T00:00:00"/>
    <n v="1.2602739726027397"/>
    <x v="118"/>
    <x v="1"/>
    <x v="7"/>
    <x v="1"/>
    <n v="17.59"/>
    <m/>
    <m/>
    <m/>
    <m/>
    <m/>
    <m/>
    <x v="4"/>
    <n v="4"/>
    <n v="5"/>
    <m/>
    <m/>
    <m/>
    <m/>
    <m/>
    <m/>
    <m/>
    <m/>
    <m/>
    <m/>
    <m/>
    <m/>
    <m/>
    <m/>
  </r>
  <r>
    <n v="2738"/>
    <n v="53093"/>
    <d v="2005-06-23T00:00:00"/>
    <n v="20"/>
    <x v="0"/>
    <x v="1"/>
    <d v="2024-09-27T00:00:00"/>
    <n v="1.6465753424657534"/>
    <x v="128"/>
    <x v="1"/>
    <x v="10"/>
    <x v="1"/>
    <n v="10.64"/>
    <m/>
    <m/>
    <m/>
    <m/>
    <m/>
    <m/>
    <x v="4"/>
    <n v="0"/>
    <n v="3"/>
    <m/>
    <m/>
    <m/>
    <m/>
    <m/>
    <m/>
    <m/>
    <m/>
    <m/>
    <m/>
    <m/>
    <m/>
    <m/>
    <m/>
  </r>
  <r>
    <n v="2739"/>
    <n v="53094"/>
    <d v="2003-07-03T00:00:00"/>
    <n v="22"/>
    <x v="1"/>
    <x v="1"/>
    <d v="2024-05-09T00:00:00"/>
    <n v="1.1095890410958904"/>
    <x v="18"/>
    <x v="0"/>
    <x v="8"/>
    <x v="1"/>
    <n v="8.4700000000000006"/>
    <m/>
    <m/>
    <m/>
    <m/>
    <m/>
    <m/>
    <x v="3"/>
    <n v="4"/>
    <n v="6"/>
    <m/>
    <m/>
    <m/>
    <m/>
    <m/>
    <m/>
    <m/>
    <m/>
    <m/>
    <m/>
    <m/>
    <m/>
    <m/>
    <m/>
  </r>
  <r>
    <n v="2740"/>
    <n v="53095"/>
    <d v="1997-07-06T00:00:00"/>
    <n v="28"/>
    <x v="1"/>
    <x v="1"/>
    <d v="2024-11-21T00:00:00"/>
    <n v="1.1013698630136985"/>
    <x v="49"/>
    <x v="0"/>
    <x v="11"/>
    <x v="1"/>
    <n v="17"/>
    <m/>
    <m/>
    <m/>
    <m/>
    <m/>
    <m/>
    <x v="2"/>
    <n v="2"/>
    <n v="6"/>
    <m/>
    <m/>
    <m/>
    <m/>
    <m/>
    <m/>
    <m/>
    <m/>
    <m/>
    <m/>
    <m/>
    <m/>
    <m/>
    <m/>
  </r>
  <r>
    <n v="2741"/>
    <n v="53096"/>
    <d v="1999-10-10T00:00:00"/>
    <n v="26"/>
    <x v="0"/>
    <x v="0"/>
    <d v="2024-11-24T00:00:00"/>
    <n v="1.7095890410958905"/>
    <x v="36"/>
    <x v="0"/>
    <x v="7"/>
    <x v="1"/>
    <n v="17.59"/>
    <m/>
    <m/>
    <m/>
    <m/>
    <m/>
    <m/>
    <x v="2"/>
    <n v="4"/>
    <n v="5"/>
    <m/>
    <m/>
    <m/>
    <m/>
    <m/>
    <m/>
    <m/>
    <m/>
    <m/>
    <m/>
    <m/>
    <m/>
    <m/>
    <m/>
  </r>
  <r>
    <n v="2742"/>
    <n v="53097"/>
    <d v="2004-07-27T00:00:00"/>
    <n v="21"/>
    <x v="1"/>
    <x v="1"/>
    <d v="2024-04-16T00:00:00"/>
    <n v="1.7315068493150685"/>
    <x v="1"/>
    <x v="1"/>
    <x v="8"/>
    <x v="1"/>
    <n v="8.4700000000000006"/>
    <m/>
    <m/>
    <m/>
    <m/>
    <m/>
    <m/>
    <x v="4"/>
    <n v="4"/>
    <n v="7"/>
    <m/>
    <m/>
    <m/>
    <m/>
    <m/>
    <m/>
    <m/>
    <m/>
    <m/>
    <m/>
    <m/>
    <m/>
    <m/>
    <m/>
  </r>
  <r>
    <n v="2743"/>
    <n v="53098"/>
    <d v="1997-01-04T00:00:00"/>
    <n v="28"/>
    <x v="1"/>
    <x v="1"/>
    <d v="2024-04-08T00:00:00"/>
    <n v="1.0876712328767124"/>
    <x v="120"/>
    <x v="1"/>
    <x v="1"/>
    <x v="1"/>
    <n v="16.37"/>
    <m/>
    <m/>
    <m/>
    <m/>
    <m/>
    <m/>
    <x v="4"/>
    <n v="0"/>
    <n v="5"/>
    <m/>
    <m/>
    <m/>
    <m/>
    <m/>
    <m/>
    <m/>
    <m/>
    <m/>
    <m/>
    <m/>
    <m/>
    <m/>
    <m/>
  </r>
  <r>
    <n v="2744"/>
    <n v="53099"/>
    <d v="1998-01-16T00:00:00"/>
    <n v="27"/>
    <x v="0"/>
    <x v="0"/>
    <d v="2024-11-29T00:00:00"/>
    <n v="1.1287671232876713"/>
    <x v="64"/>
    <x v="1"/>
    <x v="7"/>
    <x v="1"/>
    <n v="17.59"/>
    <m/>
    <m/>
    <m/>
    <m/>
    <m/>
    <m/>
    <x v="1"/>
    <n v="4"/>
    <n v="4"/>
    <m/>
    <m/>
    <m/>
    <m/>
    <m/>
    <m/>
    <m/>
    <m/>
    <m/>
    <m/>
    <m/>
    <m/>
    <m/>
    <m/>
  </r>
  <r>
    <n v="2745"/>
    <n v="53100"/>
    <d v="2002-08-20T00:00:00"/>
    <n v="23"/>
    <x v="0"/>
    <x v="0"/>
    <d v="2024-11-14T00:00:00"/>
    <n v="1.0054794520547945"/>
    <x v="17"/>
    <x v="0"/>
    <x v="11"/>
    <x v="1"/>
    <n v="17"/>
    <m/>
    <m/>
    <m/>
    <m/>
    <m/>
    <m/>
    <x v="4"/>
    <n v="2"/>
    <n v="4"/>
    <m/>
    <m/>
    <m/>
    <m/>
    <m/>
    <m/>
    <m/>
    <m/>
    <m/>
    <m/>
    <m/>
    <m/>
    <m/>
    <m/>
  </r>
  <r>
    <n v="2746"/>
    <n v="53102"/>
    <d v="2003-08-19T00:00:00"/>
    <n v="22"/>
    <x v="0"/>
    <x v="1"/>
    <d v="2024-12-29T00:00:00"/>
    <n v="1.6630136986301369"/>
    <x v="63"/>
    <x v="0"/>
    <x v="10"/>
    <x v="1"/>
    <n v="10.64"/>
    <m/>
    <m/>
    <m/>
    <m/>
    <m/>
    <m/>
    <x v="1"/>
    <n v="0"/>
    <n v="4"/>
    <m/>
    <m/>
    <m/>
    <m/>
    <m/>
    <m/>
    <m/>
    <m/>
    <m/>
    <m/>
    <m/>
    <m/>
    <m/>
    <m/>
  </r>
  <r>
    <n v="2747"/>
    <n v="53103"/>
    <d v="2002-01-07T00:00:00"/>
    <n v="23"/>
    <x v="1"/>
    <x v="1"/>
    <d v="2024-05-03T00:00:00"/>
    <n v="1.6767123287671233"/>
    <x v="50"/>
    <x v="0"/>
    <x v="2"/>
    <x v="1"/>
    <n v="14.23"/>
    <m/>
    <m/>
    <m/>
    <m/>
    <m/>
    <m/>
    <x v="2"/>
    <n v="0"/>
    <n v="5"/>
    <m/>
    <m/>
    <m/>
    <m/>
    <m/>
    <m/>
    <m/>
    <m/>
    <m/>
    <m/>
    <m/>
    <m/>
    <m/>
    <m/>
  </r>
  <r>
    <n v="2748"/>
    <n v="53104"/>
    <d v="2006-07-21T00:00:00"/>
    <n v="19"/>
    <x v="1"/>
    <x v="0"/>
    <d v="2024-04-28T00:00:00"/>
    <n v="1.4602739726027398"/>
    <x v="101"/>
    <x v="1"/>
    <x v="8"/>
    <x v="1"/>
    <n v="8.4700000000000006"/>
    <m/>
    <m/>
    <m/>
    <m/>
    <m/>
    <m/>
    <x v="4"/>
    <n v="0"/>
    <n v="5"/>
    <m/>
    <m/>
    <m/>
    <m/>
    <m/>
    <m/>
    <m/>
    <m/>
    <m/>
    <m/>
    <m/>
    <m/>
    <m/>
    <m/>
  </r>
  <r>
    <n v="2749"/>
    <n v="53105"/>
    <d v="2005-07-30T00:00:00"/>
    <n v="20"/>
    <x v="1"/>
    <x v="1"/>
    <d v="2024-07-16T00:00:00"/>
    <n v="1.726027397260274"/>
    <x v="101"/>
    <x v="1"/>
    <x v="8"/>
    <x v="1"/>
    <n v="8.4700000000000006"/>
    <m/>
    <m/>
    <m/>
    <m/>
    <m/>
    <m/>
    <x v="2"/>
    <n v="2"/>
    <n v="7"/>
    <m/>
    <m/>
    <m/>
    <m/>
    <m/>
    <m/>
    <m/>
    <m/>
    <m/>
    <m/>
    <m/>
    <m/>
    <m/>
    <m/>
  </r>
  <r>
    <n v="2750"/>
    <n v="53106"/>
    <d v="2003-09-02T00:00:00"/>
    <n v="22"/>
    <x v="1"/>
    <x v="1"/>
    <d v="2024-04-10T00:00:00"/>
    <n v="1.4767123287671233"/>
    <x v="128"/>
    <x v="1"/>
    <x v="8"/>
    <x v="1"/>
    <n v="8.4700000000000006"/>
    <m/>
    <m/>
    <m/>
    <m/>
    <m/>
    <m/>
    <x v="2"/>
    <n v="1"/>
    <n v="7"/>
    <m/>
    <m/>
    <m/>
    <m/>
    <m/>
    <m/>
    <m/>
    <m/>
    <m/>
    <m/>
    <m/>
    <m/>
    <m/>
    <m/>
  </r>
  <r>
    <n v="2751"/>
    <n v="53107"/>
    <d v="2005-04-01T00:00:00"/>
    <n v="21"/>
    <x v="1"/>
    <x v="0"/>
    <d v="2024-07-10T00:00:00"/>
    <n v="1.5506849315068494"/>
    <x v="116"/>
    <x v="1"/>
    <x v="8"/>
    <x v="1"/>
    <n v="8.4700000000000006"/>
    <m/>
    <m/>
    <m/>
    <m/>
    <m/>
    <m/>
    <x v="4"/>
    <n v="4"/>
    <n v="7"/>
    <m/>
    <m/>
    <m/>
    <m/>
    <m/>
    <m/>
    <m/>
    <m/>
    <m/>
    <m/>
    <m/>
    <m/>
    <m/>
    <m/>
  </r>
  <r>
    <n v="2752"/>
    <n v="53108"/>
    <d v="2004-12-11T00:00:00"/>
    <n v="21"/>
    <x v="1"/>
    <x v="0"/>
    <d v="2024-06-13T00:00:00"/>
    <n v="1.4191780821917808"/>
    <x v="59"/>
    <x v="0"/>
    <x v="3"/>
    <x v="1"/>
    <n v="8.4700000000000006"/>
    <m/>
    <m/>
    <m/>
    <m/>
    <m/>
    <m/>
    <x v="4"/>
    <n v="2"/>
    <n v="5"/>
    <m/>
    <m/>
    <m/>
    <m/>
    <m/>
    <m/>
    <m/>
    <m/>
    <m/>
    <m/>
    <m/>
    <m/>
    <m/>
    <m/>
  </r>
  <r>
    <n v="2753"/>
    <n v="53109"/>
    <d v="1995-11-15T00:00:00"/>
    <n v="30"/>
    <x v="0"/>
    <x v="1"/>
    <d v="2024-07-31T00:00:00"/>
    <n v="1.7452054794520548"/>
    <x v="4"/>
    <x v="0"/>
    <x v="7"/>
    <x v="1"/>
    <n v="17.59"/>
    <m/>
    <m/>
    <m/>
    <m/>
    <m/>
    <m/>
    <x v="3"/>
    <n v="2"/>
    <n v="5"/>
    <m/>
    <m/>
    <m/>
    <m/>
    <m/>
    <m/>
    <m/>
    <m/>
    <m/>
    <m/>
    <m/>
    <m/>
    <m/>
    <m/>
  </r>
  <r>
    <n v="2754"/>
    <n v="53110"/>
    <d v="2002-07-29T00:00:00"/>
    <n v="23"/>
    <x v="1"/>
    <x v="1"/>
    <d v="2024-04-03T00:00:00"/>
    <n v="1.6739726027397259"/>
    <x v="16"/>
    <x v="0"/>
    <x v="11"/>
    <x v="1"/>
    <n v="17"/>
    <m/>
    <m/>
    <m/>
    <m/>
    <m/>
    <m/>
    <x v="3"/>
    <n v="1"/>
    <n v="6"/>
    <m/>
    <m/>
    <m/>
    <m/>
    <m/>
    <m/>
    <m/>
    <m/>
    <m/>
    <m/>
    <m/>
    <m/>
    <m/>
    <m/>
  </r>
  <r>
    <n v="2755"/>
    <n v="53111"/>
    <d v="2006-10-22T00:00:00"/>
    <n v="19"/>
    <x v="0"/>
    <x v="1"/>
    <d v="2024-04-29T00:00:00"/>
    <n v="1.4328767123287671"/>
    <x v="28"/>
    <x v="0"/>
    <x v="3"/>
    <x v="1"/>
    <n v="17.899999999999999"/>
    <m/>
    <m/>
    <m/>
    <m/>
    <m/>
    <m/>
    <x v="1"/>
    <n v="4"/>
    <n v="4"/>
    <m/>
    <m/>
    <m/>
    <m/>
    <m/>
    <m/>
    <m/>
    <m/>
    <m/>
    <m/>
    <m/>
    <m/>
    <m/>
    <m/>
  </r>
  <r>
    <n v="2756"/>
    <n v="53112"/>
    <d v="2004-03-01T00:00:00"/>
    <n v="22"/>
    <x v="0"/>
    <x v="1"/>
    <d v="2024-07-26T00:00:00"/>
    <n v="1.473972602739726"/>
    <x v="61"/>
    <x v="0"/>
    <x v="1"/>
    <x v="1"/>
    <n v="16.37"/>
    <m/>
    <m/>
    <m/>
    <m/>
    <m/>
    <m/>
    <x v="3"/>
    <n v="1"/>
    <n v="3"/>
    <m/>
    <m/>
    <m/>
    <m/>
    <m/>
    <m/>
    <m/>
    <m/>
    <m/>
    <m/>
    <m/>
    <m/>
    <m/>
    <m/>
  </r>
  <r>
    <n v="2757"/>
    <n v="53114"/>
    <d v="2004-01-05T00:00:00"/>
    <n v="21"/>
    <x v="0"/>
    <x v="1"/>
    <d v="2024-07-11T00:00:00"/>
    <n v="1.5315068493150685"/>
    <x v="116"/>
    <x v="1"/>
    <x v="6"/>
    <x v="1"/>
    <n v="23.78"/>
    <m/>
    <m/>
    <m/>
    <m/>
    <m/>
    <m/>
    <x v="3"/>
    <n v="3"/>
    <n v="6"/>
    <m/>
    <m/>
    <m/>
    <m/>
    <m/>
    <m/>
    <m/>
    <m/>
    <m/>
    <m/>
    <m/>
    <m/>
    <m/>
    <m/>
  </r>
  <r>
    <n v="2758"/>
    <n v="53115"/>
    <d v="2003-12-17T00:00:00"/>
    <n v="22"/>
    <x v="1"/>
    <x v="1"/>
    <d v="2024-06-20T00:00:00"/>
    <n v="1.1698630136986301"/>
    <x v="138"/>
    <x v="0"/>
    <x v="9"/>
    <x v="1"/>
    <n v="14.07"/>
    <m/>
    <m/>
    <m/>
    <m/>
    <m/>
    <m/>
    <x v="2"/>
    <n v="1"/>
    <n v="5"/>
    <m/>
    <m/>
    <m/>
    <m/>
    <m/>
    <m/>
    <m/>
    <m/>
    <m/>
    <m/>
    <m/>
    <m/>
    <m/>
    <m/>
  </r>
  <r>
    <n v="2759"/>
    <n v="53116"/>
    <d v="2000-05-05T00:00:00"/>
    <n v="25"/>
    <x v="1"/>
    <x v="1"/>
    <d v="2024-10-30T00:00:00"/>
    <n v="1.3561643835616439"/>
    <x v="119"/>
    <x v="1"/>
    <x v="11"/>
    <x v="1"/>
    <n v="17"/>
    <m/>
    <m/>
    <m/>
    <m/>
    <m/>
    <m/>
    <x v="4"/>
    <n v="3"/>
    <n v="7"/>
    <m/>
    <m/>
    <m/>
    <m/>
    <m/>
    <m/>
    <m/>
    <m/>
    <m/>
    <m/>
    <m/>
    <m/>
    <m/>
    <m/>
  </r>
  <r>
    <n v="2760"/>
    <n v="53117"/>
    <d v="2005-06-10T00:00:00"/>
    <n v="20"/>
    <x v="0"/>
    <x v="1"/>
    <d v="2024-08-23T00:00:00"/>
    <n v="1.1013698630136985"/>
    <x v="16"/>
    <x v="0"/>
    <x v="2"/>
    <x v="1"/>
    <n v="14.23"/>
    <m/>
    <m/>
    <m/>
    <m/>
    <m/>
    <m/>
    <x v="2"/>
    <n v="1"/>
    <n v="3"/>
    <m/>
    <m/>
    <m/>
    <m/>
    <m/>
    <m/>
    <m/>
    <m/>
    <m/>
    <m/>
    <m/>
    <m/>
    <m/>
    <m/>
  </r>
  <r>
    <n v="2761"/>
    <n v="53118"/>
    <d v="2002-12-24T00:00:00"/>
    <n v="23"/>
    <x v="1"/>
    <x v="1"/>
    <d v="2024-11-24T00:00:00"/>
    <n v="1.7863013698630137"/>
    <x v="138"/>
    <x v="0"/>
    <x v="8"/>
    <x v="1"/>
    <n v="8.4700000000000006"/>
    <m/>
    <m/>
    <m/>
    <m/>
    <m/>
    <m/>
    <x v="4"/>
    <n v="1"/>
    <n v="5"/>
    <m/>
    <m/>
    <m/>
    <m/>
    <m/>
    <m/>
    <m/>
    <m/>
    <m/>
    <m/>
    <m/>
    <m/>
    <m/>
    <m/>
  </r>
  <r>
    <n v="2762"/>
    <n v="53119"/>
    <d v="2004-12-24T00:00:00"/>
    <n v="21"/>
    <x v="0"/>
    <x v="0"/>
    <d v="2024-03-19T00:00:00"/>
    <n v="1.6109589041095891"/>
    <x v="142"/>
    <x v="0"/>
    <x v="10"/>
    <x v="1"/>
    <n v="10.64"/>
    <m/>
    <m/>
    <m/>
    <m/>
    <m/>
    <m/>
    <x v="4"/>
    <n v="0"/>
    <n v="3"/>
    <m/>
    <m/>
    <m/>
    <m/>
    <m/>
    <m/>
    <m/>
    <m/>
    <m/>
    <m/>
    <m/>
    <m/>
    <m/>
    <m/>
  </r>
  <r>
    <n v="2763"/>
    <n v="53120"/>
    <d v="2004-01-19T00:00:00"/>
    <n v="21"/>
    <x v="0"/>
    <x v="1"/>
    <d v="2024-05-22T00:00:00"/>
    <n v="1.7698630136986302"/>
    <x v="42"/>
    <x v="0"/>
    <x v="10"/>
    <x v="1"/>
    <n v="10.64"/>
    <m/>
    <m/>
    <m/>
    <m/>
    <m/>
    <m/>
    <x v="2"/>
    <n v="0"/>
    <n v="3"/>
    <m/>
    <m/>
    <m/>
    <m/>
    <m/>
    <m/>
    <m/>
    <m/>
    <m/>
    <m/>
    <m/>
    <m/>
    <m/>
    <m/>
  </r>
  <r>
    <n v="2764"/>
    <n v="53121"/>
    <d v="2007-10-08T00:00:00"/>
    <n v="18"/>
    <x v="1"/>
    <x v="1"/>
    <d v="2024-03-25T00:00:00"/>
    <n v="1.7452054794520548"/>
    <x v="106"/>
    <x v="1"/>
    <x v="8"/>
    <x v="1"/>
    <n v="8.4700000000000006"/>
    <m/>
    <m/>
    <m/>
    <m/>
    <m/>
    <m/>
    <x v="3"/>
    <n v="0"/>
    <n v="6"/>
    <m/>
    <m/>
    <m/>
    <m/>
    <m/>
    <m/>
    <m/>
    <m/>
    <m/>
    <m/>
    <m/>
    <m/>
    <m/>
    <m/>
  </r>
  <r>
    <n v="2765"/>
    <n v="53122"/>
    <d v="2006-04-18T00:00:00"/>
    <n v="19"/>
    <x v="1"/>
    <x v="1"/>
    <d v="2024-04-03T00:00:00"/>
    <n v="1.295890410958904"/>
    <x v="130"/>
    <x v="1"/>
    <x v="8"/>
    <x v="1"/>
    <n v="8.4700000000000006"/>
    <m/>
    <m/>
    <m/>
    <m/>
    <m/>
    <m/>
    <x v="2"/>
    <n v="4"/>
    <n v="7"/>
    <m/>
    <m/>
    <m/>
    <m/>
    <m/>
    <m/>
    <m/>
    <m/>
    <m/>
    <m/>
    <m/>
    <m/>
    <m/>
    <m/>
  </r>
  <r>
    <n v="2766"/>
    <n v="53123"/>
    <d v="2004-08-16T00:00:00"/>
    <n v="21"/>
    <x v="1"/>
    <x v="0"/>
    <d v="2024-09-14T00:00:00"/>
    <n v="1.2438356164383562"/>
    <x v="128"/>
    <x v="1"/>
    <x v="8"/>
    <x v="1"/>
    <n v="8.4700000000000006"/>
    <m/>
    <m/>
    <m/>
    <m/>
    <m/>
    <m/>
    <x v="1"/>
    <n v="0"/>
    <n v="6"/>
    <m/>
    <m/>
    <m/>
    <m/>
    <m/>
    <m/>
    <m/>
    <m/>
    <m/>
    <m/>
    <m/>
    <m/>
    <m/>
    <m/>
  </r>
  <r>
    <n v="2767"/>
    <n v="53124"/>
    <d v="1997-09-04T00:00:00"/>
    <n v="28"/>
    <x v="0"/>
    <x v="1"/>
    <d v="2024-10-03T00:00:00"/>
    <n v="1.3068493150684932"/>
    <x v="12"/>
    <x v="0"/>
    <x v="3"/>
    <x v="1"/>
    <n v="8.4700000000000006"/>
    <m/>
    <m/>
    <m/>
    <m/>
    <m/>
    <m/>
    <x v="1"/>
    <n v="3"/>
    <n v="5"/>
    <m/>
    <m/>
    <m/>
    <m/>
    <m/>
    <m/>
    <m/>
    <m/>
    <m/>
    <m/>
    <m/>
    <m/>
    <m/>
    <m/>
  </r>
  <r>
    <n v="2768"/>
    <n v="53125"/>
    <d v="2004-12-03T00:00:00"/>
    <n v="21"/>
    <x v="1"/>
    <x v="1"/>
    <d v="2024-09-10T00:00:00"/>
    <n v="1.0767123287671232"/>
    <x v="66"/>
    <x v="1"/>
    <x v="9"/>
    <x v="1"/>
    <n v="14.07"/>
    <m/>
    <m/>
    <m/>
    <m/>
    <m/>
    <m/>
    <x v="1"/>
    <n v="1"/>
    <n v="7"/>
    <m/>
    <m/>
    <m/>
    <m/>
    <m/>
    <m/>
    <m/>
    <m/>
    <m/>
    <m/>
    <m/>
    <m/>
    <m/>
    <m/>
  </r>
  <r>
    <n v="2769"/>
    <n v="53126"/>
    <d v="2002-02-26T00:00:00"/>
    <n v="23"/>
    <x v="0"/>
    <x v="0"/>
    <d v="2024-12-03T00:00:00"/>
    <n v="1.0493150684931507"/>
    <x v="125"/>
    <x v="1"/>
    <x v="10"/>
    <x v="1"/>
    <n v="10.64"/>
    <m/>
    <m/>
    <m/>
    <m/>
    <m/>
    <m/>
    <x v="3"/>
    <n v="0"/>
    <n v="4"/>
    <m/>
    <m/>
    <m/>
    <m/>
    <m/>
    <m/>
    <m/>
    <m/>
    <m/>
    <m/>
    <m/>
    <m/>
    <m/>
    <m/>
  </r>
  <r>
    <n v="2770"/>
    <n v="53127"/>
    <d v="2004-06-18T00:00:00"/>
    <n v="21"/>
    <x v="1"/>
    <x v="1"/>
    <d v="2024-12-13T00:00:00"/>
    <n v="1.1945205479452055"/>
    <x v="125"/>
    <x v="1"/>
    <x v="8"/>
    <x v="1"/>
    <n v="8.4700000000000006"/>
    <m/>
    <m/>
    <m/>
    <m/>
    <m/>
    <m/>
    <x v="2"/>
    <n v="2"/>
    <n v="7"/>
    <m/>
    <m/>
    <m/>
    <m/>
    <m/>
    <m/>
    <m/>
    <m/>
    <m/>
    <m/>
    <m/>
    <m/>
    <m/>
    <m/>
  </r>
  <r>
    <n v="2771"/>
    <n v="53128"/>
    <d v="2005-10-20T00:00:00"/>
    <n v="20"/>
    <x v="1"/>
    <x v="0"/>
    <d v="2024-10-21T00:00:00"/>
    <n v="1.4931506849315068"/>
    <x v="104"/>
    <x v="1"/>
    <x v="1"/>
    <x v="1"/>
    <n v="16.37"/>
    <m/>
    <m/>
    <m/>
    <m/>
    <m/>
    <m/>
    <x v="2"/>
    <n v="0"/>
    <n v="6"/>
    <m/>
    <m/>
    <m/>
    <m/>
    <m/>
    <m/>
    <m/>
    <m/>
    <m/>
    <m/>
    <m/>
    <m/>
    <m/>
    <m/>
  </r>
  <r>
    <n v="2772"/>
    <n v="53129"/>
    <d v="1996-12-22T00:00:00"/>
    <n v="29"/>
    <x v="1"/>
    <x v="1"/>
    <d v="2024-07-04T00:00:00"/>
    <n v="1.7835616438356163"/>
    <x v="6"/>
    <x v="1"/>
    <x v="11"/>
    <x v="1"/>
    <n v="17"/>
    <m/>
    <m/>
    <m/>
    <m/>
    <m/>
    <m/>
    <x v="3"/>
    <n v="1"/>
    <n v="7"/>
    <m/>
    <m/>
    <m/>
    <m/>
    <m/>
    <m/>
    <m/>
    <m/>
    <m/>
    <m/>
    <m/>
    <m/>
    <m/>
    <m/>
  </r>
  <r>
    <n v="2773"/>
    <n v="53130"/>
    <d v="1997-07-11T00:00:00"/>
    <n v="28"/>
    <x v="1"/>
    <x v="1"/>
    <d v="2024-03-20T00:00:00"/>
    <n v="1.2821917808219179"/>
    <x v="101"/>
    <x v="1"/>
    <x v="8"/>
    <x v="1"/>
    <n v="8.4700000000000006"/>
    <m/>
    <m/>
    <m/>
    <m/>
    <m/>
    <m/>
    <x v="1"/>
    <n v="0"/>
    <n v="7"/>
    <m/>
    <m/>
    <m/>
    <m/>
    <m/>
    <m/>
    <m/>
    <m/>
    <m/>
    <m/>
    <m/>
    <m/>
    <m/>
    <m/>
  </r>
  <r>
    <n v="2774"/>
    <n v="53131"/>
    <d v="2004-12-28T00:00:00"/>
    <n v="21"/>
    <x v="0"/>
    <x v="1"/>
    <d v="2024-09-19T00:00:00"/>
    <n v="1.8054794520547945"/>
    <x v="4"/>
    <x v="0"/>
    <x v="1"/>
    <x v="1"/>
    <n v="16.37"/>
    <m/>
    <m/>
    <m/>
    <m/>
    <m/>
    <m/>
    <x v="2"/>
    <n v="1"/>
    <n v="5"/>
    <m/>
    <m/>
    <m/>
    <m/>
    <m/>
    <m/>
    <m/>
    <m/>
    <m/>
    <m/>
    <m/>
    <m/>
    <m/>
    <m/>
  </r>
  <r>
    <n v="2775"/>
    <n v="53132"/>
    <d v="2003-10-26T00:00:00"/>
    <n v="22"/>
    <x v="1"/>
    <x v="1"/>
    <d v="2024-03-12T00:00:00"/>
    <n v="1.3095890410958904"/>
    <x v="20"/>
    <x v="0"/>
    <x v="8"/>
    <x v="1"/>
    <n v="8.4700000000000006"/>
    <m/>
    <m/>
    <m/>
    <m/>
    <m/>
    <m/>
    <x v="1"/>
    <n v="1"/>
    <n v="7"/>
    <m/>
    <m/>
    <m/>
    <m/>
    <m/>
    <m/>
    <m/>
    <m/>
    <m/>
    <m/>
    <m/>
    <m/>
    <m/>
    <m/>
  </r>
  <r>
    <n v="2776"/>
    <n v="53133"/>
    <d v="2005-05-20T00:00:00"/>
    <n v="20"/>
    <x v="1"/>
    <x v="1"/>
    <d v="2024-09-09T00:00:00"/>
    <n v="1.7835616438356163"/>
    <x v="25"/>
    <x v="0"/>
    <x v="8"/>
    <x v="1"/>
    <n v="8.4700000000000006"/>
    <m/>
    <m/>
    <m/>
    <m/>
    <m/>
    <m/>
    <x v="2"/>
    <n v="1"/>
    <n v="6"/>
    <m/>
    <m/>
    <m/>
    <m/>
    <m/>
    <m/>
    <m/>
    <m/>
    <m/>
    <m/>
    <m/>
    <m/>
    <m/>
    <m/>
  </r>
  <r>
    <n v="2777"/>
    <n v="53134"/>
    <d v="1996-11-26T00:00:00"/>
    <n v="29"/>
    <x v="1"/>
    <x v="1"/>
    <d v="2024-03-20T00:00:00"/>
    <n v="1.021917808219178"/>
    <x v="32"/>
    <x v="0"/>
    <x v="8"/>
    <x v="1"/>
    <n v="8.4700000000000006"/>
    <m/>
    <m/>
    <m/>
    <m/>
    <m/>
    <m/>
    <x v="4"/>
    <n v="1"/>
    <n v="6"/>
    <m/>
    <m/>
    <m/>
    <m/>
    <m/>
    <m/>
    <m/>
    <m/>
    <m/>
    <m/>
    <m/>
    <m/>
    <m/>
    <m/>
  </r>
  <r>
    <n v="2778"/>
    <n v="53135"/>
    <d v="2002-10-09T00:00:00"/>
    <n v="23"/>
    <x v="1"/>
    <x v="0"/>
    <d v="2024-12-23T00:00:00"/>
    <n v="1.0684931506849316"/>
    <x v="83"/>
    <x v="0"/>
    <x v="8"/>
    <x v="1"/>
    <n v="8.4700000000000006"/>
    <m/>
    <m/>
    <m/>
    <m/>
    <m/>
    <m/>
    <x v="3"/>
    <n v="2"/>
    <n v="5"/>
    <m/>
    <m/>
    <m/>
    <m/>
    <m/>
    <m/>
    <m/>
    <m/>
    <m/>
    <m/>
    <m/>
    <m/>
    <m/>
    <m/>
  </r>
  <r>
    <n v="2779"/>
    <n v="53136"/>
    <d v="1998-12-07T00:00:00"/>
    <n v="27"/>
    <x v="0"/>
    <x v="0"/>
    <d v="2024-12-06T00:00:00"/>
    <n v="1.6602739726027398"/>
    <x v="143"/>
    <x v="0"/>
    <x v="9"/>
    <x v="1"/>
    <n v="14.07"/>
    <m/>
    <m/>
    <m/>
    <m/>
    <m/>
    <m/>
    <x v="4"/>
    <n v="0"/>
    <n v="3"/>
    <m/>
    <m/>
    <m/>
    <m/>
    <m/>
    <m/>
    <m/>
    <m/>
    <m/>
    <m/>
    <m/>
    <m/>
    <m/>
    <m/>
  </r>
  <r>
    <n v="2780"/>
    <n v="53138"/>
    <d v="2005-03-27T00:00:00"/>
    <n v="20"/>
    <x v="1"/>
    <x v="0"/>
    <d v="2024-05-04T00:00:00"/>
    <n v="1.2575342465753425"/>
    <x v="1"/>
    <x v="1"/>
    <x v="8"/>
    <x v="1"/>
    <n v="8.4700000000000006"/>
    <m/>
    <m/>
    <m/>
    <m/>
    <m/>
    <m/>
    <x v="2"/>
    <n v="2"/>
    <n v="6"/>
    <m/>
    <m/>
    <m/>
    <m/>
    <m/>
    <m/>
    <m/>
    <m/>
    <m/>
    <m/>
    <m/>
    <m/>
    <m/>
    <m/>
  </r>
  <r>
    <n v="2781"/>
    <n v="53139"/>
    <d v="1999-08-17T00:00:00"/>
    <n v="26"/>
    <x v="0"/>
    <x v="1"/>
    <d v="2024-09-28T00:00:00"/>
    <n v="1.3041095890410959"/>
    <x v="43"/>
    <x v="1"/>
    <x v="11"/>
    <x v="1"/>
    <n v="17"/>
    <m/>
    <m/>
    <m/>
    <m/>
    <m/>
    <m/>
    <x v="2"/>
    <n v="2"/>
    <n v="3"/>
    <m/>
    <m/>
    <m/>
    <m/>
    <m/>
    <m/>
    <m/>
    <m/>
    <m/>
    <m/>
    <m/>
    <m/>
    <m/>
    <m/>
  </r>
  <r>
    <n v="2782"/>
    <n v="53140"/>
    <d v="1997-05-06T00:00:00"/>
    <n v="28"/>
    <x v="0"/>
    <x v="1"/>
    <d v="2024-09-11T00:00:00"/>
    <n v="1.2767123287671234"/>
    <x v="131"/>
    <x v="1"/>
    <x v="6"/>
    <x v="1"/>
    <n v="23.78"/>
    <m/>
    <m/>
    <m/>
    <m/>
    <m/>
    <m/>
    <x v="4"/>
    <n v="6"/>
    <n v="6"/>
    <m/>
    <m/>
    <m/>
    <m/>
    <m/>
    <m/>
    <m/>
    <m/>
    <m/>
    <m/>
    <m/>
    <m/>
    <m/>
    <m/>
  </r>
  <r>
    <n v="2783"/>
    <n v="53141"/>
    <d v="2001-02-12T00:00:00"/>
    <n v="24"/>
    <x v="1"/>
    <x v="1"/>
    <d v="2024-09-21T00:00:00"/>
    <n v="1.452054794520548"/>
    <x v="79"/>
    <x v="1"/>
    <x v="11"/>
    <x v="1"/>
    <n v="17"/>
    <m/>
    <m/>
    <m/>
    <m/>
    <m/>
    <m/>
    <x v="2"/>
    <n v="4"/>
    <n v="5"/>
    <m/>
    <m/>
    <m/>
    <m/>
    <m/>
    <m/>
    <m/>
    <m/>
    <m/>
    <m/>
    <m/>
    <m/>
    <m/>
    <m/>
  </r>
  <r>
    <n v="2784"/>
    <n v="53142"/>
    <d v="1999-12-03T00:00:00"/>
    <n v="26"/>
    <x v="0"/>
    <x v="0"/>
    <d v="2024-07-19T00:00:00"/>
    <n v="1.3013698630136987"/>
    <x v="129"/>
    <x v="1"/>
    <x v="10"/>
    <x v="1"/>
    <n v="10.64"/>
    <m/>
    <m/>
    <m/>
    <m/>
    <m/>
    <m/>
    <x v="3"/>
    <n v="0"/>
    <n v="3"/>
    <m/>
    <m/>
    <m/>
    <m/>
    <m/>
    <m/>
    <m/>
    <m/>
    <m/>
    <m/>
    <m/>
    <m/>
    <m/>
    <m/>
  </r>
  <r>
    <n v="2785"/>
    <n v="53143"/>
    <d v="2001-04-18T00:00:00"/>
    <n v="24"/>
    <x v="1"/>
    <x v="1"/>
    <d v="2024-09-12T00:00:00"/>
    <n v="1.2383561643835617"/>
    <x v="94"/>
    <x v="1"/>
    <x v="8"/>
    <x v="1"/>
    <n v="8.4700000000000006"/>
    <m/>
    <m/>
    <m/>
    <m/>
    <m/>
    <m/>
    <x v="4"/>
    <n v="1"/>
    <n v="6"/>
    <m/>
    <m/>
    <m/>
    <m/>
    <m/>
    <m/>
    <m/>
    <m/>
    <m/>
    <m/>
    <m/>
    <m/>
    <m/>
    <m/>
  </r>
  <r>
    <n v="2786"/>
    <n v="53144"/>
    <d v="2001-01-28T00:00:00"/>
    <n v="24"/>
    <x v="1"/>
    <x v="1"/>
    <d v="2024-10-05T00:00:00"/>
    <n v="1.4136986301369863"/>
    <x v="13"/>
    <x v="0"/>
    <x v="11"/>
    <x v="1"/>
    <n v="17"/>
    <m/>
    <m/>
    <m/>
    <m/>
    <m/>
    <m/>
    <x v="3"/>
    <n v="4"/>
    <n v="7"/>
    <m/>
    <m/>
    <m/>
    <m/>
    <m/>
    <m/>
    <m/>
    <m/>
    <m/>
    <m/>
    <m/>
    <m/>
    <m/>
    <m/>
  </r>
  <r>
    <n v="2787"/>
    <n v="53145"/>
    <d v="2002-03-30T00:00:00"/>
    <n v="23"/>
    <x v="1"/>
    <x v="0"/>
    <d v="2024-08-02T00:00:00"/>
    <n v="1.5397260273972602"/>
    <x v="100"/>
    <x v="1"/>
    <x v="3"/>
    <x v="1"/>
    <n v="8.4700000000000006"/>
    <m/>
    <m/>
    <m/>
    <m/>
    <m/>
    <m/>
    <x v="3"/>
    <n v="1"/>
    <n v="5"/>
    <m/>
    <m/>
    <m/>
    <m/>
    <m/>
    <m/>
    <m/>
    <m/>
    <m/>
    <m/>
    <m/>
    <m/>
    <m/>
    <m/>
  </r>
  <r>
    <n v="2788"/>
    <n v="53146"/>
    <d v="1998-07-10T00:00:00"/>
    <n v="27"/>
    <x v="1"/>
    <x v="1"/>
    <d v="2024-06-17T00:00:00"/>
    <n v="1.484931506849315"/>
    <x v="89"/>
    <x v="1"/>
    <x v="1"/>
    <x v="1"/>
    <n v="16.37"/>
    <m/>
    <m/>
    <m/>
    <m/>
    <m/>
    <m/>
    <x v="4"/>
    <n v="1"/>
    <n v="7"/>
    <m/>
    <m/>
    <m/>
    <m/>
    <m/>
    <m/>
    <m/>
    <m/>
    <m/>
    <m/>
    <m/>
    <m/>
    <m/>
    <m/>
  </r>
  <r>
    <n v="2789"/>
    <n v="53147"/>
    <d v="2002-02-13T00:00:00"/>
    <n v="23"/>
    <x v="0"/>
    <x v="1"/>
    <d v="2024-07-07T00:00:00"/>
    <n v="1.6821917808219178"/>
    <x v="10"/>
    <x v="0"/>
    <x v="7"/>
    <x v="1"/>
    <n v="17.59"/>
    <m/>
    <m/>
    <m/>
    <m/>
    <m/>
    <m/>
    <x v="2"/>
    <n v="2"/>
    <n v="5"/>
    <m/>
    <m/>
    <m/>
    <m/>
    <m/>
    <m/>
    <m/>
    <m/>
    <m/>
    <m/>
    <m/>
    <m/>
    <m/>
    <m/>
  </r>
  <r>
    <n v="2790"/>
    <n v="53148"/>
    <d v="2003-08-15T00:00:00"/>
    <n v="22"/>
    <x v="1"/>
    <x v="1"/>
    <d v="2024-04-26T00:00:00"/>
    <n v="1.8739726027397261"/>
    <x v="10"/>
    <x v="0"/>
    <x v="8"/>
    <x v="1"/>
    <n v="8.4700000000000006"/>
    <m/>
    <m/>
    <m/>
    <m/>
    <m/>
    <m/>
    <x v="3"/>
    <n v="4"/>
    <n v="7"/>
    <m/>
    <m/>
    <m/>
    <m/>
    <m/>
    <m/>
    <m/>
    <m/>
    <m/>
    <m/>
    <m/>
    <m/>
    <m/>
    <m/>
  </r>
  <r>
    <n v="2791"/>
    <n v="53149"/>
    <d v="2005-12-08T00:00:00"/>
    <n v="20"/>
    <x v="1"/>
    <x v="1"/>
    <d v="2024-02-16T00:00:00"/>
    <n v="1.5424657534246575"/>
    <x v="17"/>
    <x v="0"/>
    <x v="10"/>
    <x v="1"/>
    <n v="10.64"/>
    <m/>
    <m/>
    <m/>
    <m/>
    <m/>
    <m/>
    <x v="4"/>
    <n v="0"/>
    <n v="5"/>
    <m/>
    <m/>
    <m/>
    <m/>
    <m/>
    <m/>
    <m/>
    <m/>
    <m/>
    <m/>
    <m/>
    <m/>
    <m/>
    <m/>
  </r>
  <r>
    <n v="2792"/>
    <n v="53150"/>
    <d v="2004-06-30T00:00:00"/>
    <n v="21"/>
    <x v="0"/>
    <x v="1"/>
    <d v="2024-06-16T00:00:00"/>
    <n v="1.8630136986301369"/>
    <x v="17"/>
    <x v="0"/>
    <x v="10"/>
    <x v="1"/>
    <n v="10.64"/>
    <m/>
    <m/>
    <m/>
    <m/>
    <m/>
    <m/>
    <x v="2"/>
    <n v="0"/>
    <n v="4"/>
    <m/>
    <m/>
    <m/>
    <m/>
    <m/>
    <m/>
    <m/>
    <m/>
    <m/>
    <m/>
    <m/>
    <m/>
    <m/>
    <m/>
  </r>
  <r>
    <n v="2793"/>
    <n v="53152"/>
    <d v="1992-06-27T00:00:00"/>
    <n v="33"/>
    <x v="1"/>
    <x v="1"/>
    <d v="2024-02-20T00:00:00"/>
    <n v="1.6"/>
    <x v="63"/>
    <x v="0"/>
    <x v="1"/>
    <x v="1"/>
    <n v="16.37"/>
    <m/>
    <m/>
    <m/>
    <m/>
    <m/>
    <m/>
    <x v="4"/>
    <n v="1"/>
    <n v="4"/>
    <m/>
    <m/>
    <m/>
    <m/>
    <m/>
    <m/>
    <m/>
    <m/>
    <m/>
    <m/>
    <m/>
    <m/>
    <m/>
    <m/>
  </r>
  <r>
    <n v="2794"/>
    <n v="53153"/>
    <d v="1995-02-03T00:00:00"/>
    <n v="30"/>
    <x v="0"/>
    <x v="0"/>
    <d v="2024-05-26T00:00:00"/>
    <n v="1.704109589041096"/>
    <x v="140"/>
    <x v="0"/>
    <x v="10"/>
    <x v="1"/>
    <n v="10.64"/>
    <m/>
    <m/>
    <m/>
    <m/>
    <m/>
    <m/>
    <x v="2"/>
    <n v="0"/>
    <n v="4"/>
    <m/>
    <m/>
    <m/>
    <m/>
    <m/>
    <m/>
    <m/>
    <m/>
    <m/>
    <m/>
    <m/>
    <m/>
    <m/>
    <m/>
  </r>
  <r>
    <n v="2795"/>
    <n v="53154"/>
    <d v="2005-06-19T00:00:00"/>
    <n v="20"/>
    <x v="1"/>
    <x v="1"/>
    <d v="2024-04-18T00:00:00"/>
    <n v="1.284931506849315"/>
    <x v="41"/>
    <x v="0"/>
    <x v="8"/>
    <x v="1"/>
    <n v="8.4700000000000006"/>
    <m/>
    <m/>
    <m/>
    <m/>
    <m/>
    <m/>
    <x v="1"/>
    <n v="2"/>
    <n v="6"/>
    <m/>
    <m/>
    <m/>
    <m/>
    <m/>
    <m/>
    <m/>
    <m/>
    <m/>
    <m/>
    <m/>
    <m/>
    <m/>
    <m/>
  </r>
  <r>
    <n v="2796"/>
    <n v="53155"/>
    <d v="2006-04-10T00:00:00"/>
    <n v="19"/>
    <x v="1"/>
    <x v="0"/>
    <d v="2024-09-18T00:00:00"/>
    <n v="1.263013698630137"/>
    <x v="1"/>
    <x v="1"/>
    <x v="8"/>
    <x v="1"/>
    <n v="8.4700000000000006"/>
    <m/>
    <m/>
    <m/>
    <m/>
    <m/>
    <m/>
    <x v="1"/>
    <n v="3"/>
    <n v="6"/>
    <m/>
    <m/>
    <m/>
    <m/>
    <m/>
    <m/>
    <m/>
    <m/>
    <m/>
    <m/>
    <m/>
    <m/>
    <m/>
    <m/>
  </r>
  <r>
    <n v="2797"/>
    <n v="53156"/>
    <d v="1994-01-09T00:00:00"/>
    <n v="31"/>
    <x v="1"/>
    <x v="1"/>
    <d v="2024-09-26T00:00:00"/>
    <n v="1.0465753424657533"/>
    <x v="29"/>
    <x v="1"/>
    <x v="1"/>
    <x v="1"/>
    <n v="16.37"/>
    <m/>
    <m/>
    <m/>
    <m/>
    <m/>
    <m/>
    <x v="3"/>
    <n v="1"/>
    <n v="6"/>
    <m/>
    <m/>
    <m/>
    <m/>
    <m/>
    <m/>
    <m/>
    <m/>
    <m/>
    <m/>
    <m/>
    <m/>
    <m/>
    <m/>
  </r>
  <r>
    <n v="2798"/>
    <n v="53158"/>
    <d v="1998-09-01T00:00:00"/>
    <n v="28"/>
    <x v="1"/>
    <x v="0"/>
    <d v="2024-12-14T00:00:00"/>
    <n v="1.1506849315068493"/>
    <x v="82"/>
    <x v="0"/>
    <x v="8"/>
    <x v="1"/>
    <n v="8.4700000000000006"/>
    <m/>
    <m/>
    <m/>
    <m/>
    <m/>
    <m/>
    <x v="3"/>
    <n v="2"/>
    <n v="6"/>
    <m/>
    <m/>
    <m/>
    <m/>
    <m/>
    <m/>
    <m/>
    <m/>
    <m/>
    <m/>
    <m/>
    <m/>
    <m/>
    <m/>
  </r>
  <r>
    <n v="2799"/>
    <n v="53159"/>
    <d v="2000-04-15T00:00:00"/>
    <n v="25"/>
    <x v="1"/>
    <x v="1"/>
    <d v="2024-11-06T00:00:00"/>
    <n v="1.5945205479452054"/>
    <x v="87"/>
    <x v="0"/>
    <x v="8"/>
    <x v="1"/>
    <n v="8.4700000000000006"/>
    <m/>
    <m/>
    <m/>
    <m/>
    <m/>
    <m/>
    <x v="1"/>
    <n v="1"/>
    <n v="6"/>
    <m/>
    <m/>
    <m/>
    <m/>
    <m/>
    <m/>
    <m/>
    <m/>
    <m/>
    <m/>
    <m/>
    <m/>
    <m/>
    <m/>
  </r>
  <r>
    <n v="2800"/>
    <n v="53160"/>
    <d v="2003-05-19T00:00:00"/>
    <n v="22"/>
    <x v="1"/>
    <x v="0"/>
    <d v="2024-05-28T00:00:00"/>
    <n v="1.5397260273972602"/>
    <x v="140"/>
    <x v="0"/>
    <x v="8"/>
    <x v="1"/>
    <n v="8.4700000000000006"/>
    <m/>
    <m/>
    <m/>
    <m/>
    <m/>
    <m/>
    <x v="2"/>
    <n v="2"/>
    <n v="6"/>
    <m/>
    <m/>
    <m/>
    <m/>
    <m/>
    <m/>
    <m/>
    <m/>
    <m/>
    <m/>
    <m/>
    <m/>
    <m/>
    <m/>
  </r>
  <r>
    <n v="2801"/>
    <n v="53162"/>
    <d v="1990-02-12T00:00:00"/>
    <n v="35"/>
    <x v="1"/>
    <x v="1"/>
    <d v="2024-06-17T00:00:00"/>
    <n v="1.2054794520547945"/>
    <x v="108"/>
    <x v="1"/>
    <x v="1"/>
    <x v="1"/>
    <n v="16.37"/>
    <m/>
    <m/>
    <m/>
    <m/>
    <m/>
    <m/>
    <x v="1"/>
    <n v="1"/>
    <n v="7"/>
    <m/>
    <m/>
    <m/>
    <m/>
    <m/>
    <m/>
    <m/>
    <m/>
    <m/>
    <m/>
    <m/>
    <m/>
    <m/>
    <m/>
  </r>
  <r>
    <n v="2802"/>
    <n v="53163"/>
    <d v="2003-12-02T00:00:00"/>
    <n v="22"/>
    <x v="0"/>
    <x v="1"/>
    <d v="2024-10-17T00:00:00"/>
    <n v="1.5342465753424657"/>
    <x v="74"/>
    <x v="1"/>
    <x v="2"/>
    <x v="1"/>
    <n v="14.23"/>
    <m/>
    <m/>
    <m/>
    <m/>
    <m/>
    <m/>
    <x v="1"/>
    <n v="1"/>
    <n v="5"/>
    <m/>
    <m/>
    <m/>
    <m/>
    <m/>
    <m/>
    <m/>
    <m/>
    <m/>
    <m/>
    <m/>
    <m/>
    <m/>
    <m/>
  </r>
  <r>
    <n v="2803"/>
    <n v="53164"/>
    <d v="2006-07-26T00:00:00"/>
    <n v="19"/>
    <x v="0"/>
    <x v="1"/>
    <d v="2024-06-19T00:00:00"/>
    <n v="1.526027397260274"/>
    <x v="93"/>
    <x v="1"/>
    <x v="8"/>
    <x v="1"/>
    <n v="8.4700000000000006"/>
    <m/>
    <m/>
    <m/>
    <m/>
    <m/>
    <m/>
    <x v="2"/>
    <n v="2"/>
    <n v="5"/>
    <m/>
    <m/>
    <m/>
    <m/>
    <m/>
    <m/>
    <m/>
    <m/>
    <m/>
    <m/>
    <m/>
    <m/>
    <m/>
    <m/>
  </r>
  <r>
    <n v="2804"/>
    <n v="53165"/>
    <d v="1998-08-04T00:00:00"/>
    <n v="27"/>
    <x v="1"/>
    <x v="1"/>
    <d v="2024-06-22T00:00:00"/>
    <n v="1.6027397260273972"/>
    <x v="94"/>
    <x v="1"/>
    <x v="8"/>
    <x v="1"/>
    <n v="8.4700000000000006"/>
    <m/>
    <m/>
    <m/>
    <m/>
    <m/>
    <m/>
    <x v="1"/>
    <n v="0"/>
    <n v="5"/>
    <m/>
    <m/>
    <m/>
    <m/>
    <m/>
    <m/>
    <m/>
    <m/>
    <m/>
    <m/>
    <m/>
    <m/>
    <m/>
    <m/>
  </r>
  <r>
    <n v="2805"/>
    <n v="53166"/>
    <d v="1999-02-05T00:00:00"/>
    <n v="26"/>
    <x v="1"/>
    <x v="1"/>
    <d v="2024-05-25T00:00:00"/>
    <n v="1.4931506849315068"/>
    <x v="99"/>
    <x v="1"/>
    <x v="7"/>
    <x v="1"/>
    <n v="17.59"/>
    <m/>
    <m/>
    <m/>
    <m/>
    <m/>
    <m/>
    <x v="4"/>
    <n v="2"/>
    <n v="6"/>
    <m/>
    <m/>
    <m/>
    <m/>
    <m/>
    <m/>
    <m/>
    <m/>
    <m/>
    <m/>
    <m/>
    <m/>
    <m/>
    <m/>
  </r>
  <r>
    <n v="2806"/>
    <n v="53168"/>
    <d v="2000-05-27T00:00:00"/>
    <n v="25"/>
    <x v="0"/>
    <x v="1"/>
    <d v="2024-07-04T00:00:00"/>
    <n v="1.5068493150684932"/>
    <x v="116"/>
    <x v="1"/>
    <x v="7"/>
    <x v="1"/>
    <n v="17.59"/>
    <m/>
    <m/>
    <m/>
    <m/>
    <m/>
    <m/>
    <x v="3"/>
    <n v="2"/>
    <n v="4"/>
    <m/>
    <m/>
    <m/>
    <m/>
    <m/>
    <m/>
    <m/>
    <m/>
    <m/>
    <m/>
    <m/>
    <m/>
    <m/>
    <m/>
  </r>
  <r>
    <n v="2807"/>
    <n v="53169"/>
    <d v="2004-12-01T00:00:00"/>
    <n v="22"/>
    <x v="1"/>
    <x v="0"/>
    <d v="2024-06-29T00:00:00"/>
    <n v="1.7561643835616438"/>
    <x v="0"/>
    <x v="0"/>
    <x v="8"/>
    <x v="1"/>
    <n v="8.4700000000000006"/>
    <m/>
    <m/>
    <m/>
    <m/>
    <m/>
    <m/>
    <x v="1"/>
    <n v="2"/>
    <n v="5"/>
    <m/>
    <m/>
    <m/>
    <m/>
    <m/>
    <m/>
    <m/>
    <m/>
    <m/>
    <m/>
    <m/>
    <m/>
    <m/>
    <m/>
  </r>
  <r>
    <n v="2808"/>
    <n v="53170"/>
    <d v="1996-09-04T00:00:00"/>
    <n v="29"/>
    <x v="1"/>
    <x v="1"/>
    <d v="2024-03-30T00:00:00"/>
    <n v="1.263013698630137"/>
    <x v="3"/>
    <x v="0"/>
    <x v="8"/>
    <x v="1"/>
    <n v="8.4700000000000006"/>
    <m/>
    <m/>
    <m/>
    <m/>
    <m/>
    <m/>
    <x v="1"/>
    <n v="2"/>
    <n v="6"/>
    <m/>
    <m/>
    <m/>
    <m/>
    <m/>
    <m/>
    <m/>
    <m/>
    <m/>
    <m/>
    <m/>
    <m/>
    <m/>
    <m/>
  </r>
  <r>
    <n v="2809"/>
    <n v="53171"/>
    <d v="2003-12-10T00:00:00"/>
    <n v="22"/>
    <x v="1"/>
    <x v="0"/>
    <d v="2024-09-26T00:00:00"/>
    <n v="1.463013698630137"/>
    <x v="7"/>
    <x v="0"/>
    <x v="10"/>
    <x v="1"/>
    <n v="10.64"/>
    <m/>
    <m/>
    <m/>
    <m/>
    <m/>
    <m/>
    <x v="1"/>
    <n v="0"/>
    <n v="6"/>
    <m/>
    <m/>
    <m/>
    <m/>
    <m/>
    <m/>
    <m/>
    <m/>
    <m/>
    <m/>
    <m/>
    <m/>
    <m/>
    <m/>
  </r>
  <r>
    <n v="2810"/>
    <n v="53172"/>
    <d v="1998-04-05T00:00:00"/>
    <n v="27"/>
    <x v="1"/>
    <x v="0"/>
    <d v="2024-07-15T00:00:00"/>
    <n v="1.1808219178082191"/>
    <x v="7"/>
    <x v="0"/>
    <x v="8"/>
    <x v="1"/>
    <n v="8.4700000000000006"/>
    <m/>
    <m/>
    <m/>
    <m/>
    <m/>
    <m/>
    <x v="4"/>
    <n v="2"/>
    <n v="6"/>
    <m/>
    <m/>
    <m/>
    <m/>
    <m/>
    <m/>
    <m/>
    <m/>
    <m/>
    <m/>
    <m/>
    <m/>
    <m/>
    <m/>
  </r>
  <r>
    <n v="2811"/>
    <n v="53173"/>
    <d v="2003-02-05T00:00:00"/>
    <n v="22"/>
    <x v="1"/>
    <x v="1"/>
    <d v="2024-10-26T00:00:00"/>
    <n v="1.1424657534246576"/>
    <x v="124"/>
    <x v="0"/>
    <x v="8"/>
    <x v="1"/>
    <n v="8.4700000000000006"/>
    <m/>
    <m/>
    <m/>
    <m/>
    <m/>
    <m/>
    <x v="1"/>
    <n v="1"/>
    <n v="6"/>
    <m/>
    <m/>
    <m/>
    <m/>
    <m/>
    <m/>
    <m/>
    <m/>
    <m/>
    <m/>
    <m/>
    <m/>
    <m/>
    <m/>
  </r>
  <r>
    <n v="2812"/>
    <n v="53175"/>
    <d v="2004-02-25T00:00:00"/>
    <n v="21"/>
    <x v="1"/>
    <x v="0"/>
    <d v="2024-11-09T00:00:00"/>
    <n v="1.704109589041096"/>
    <x v="45"/>
    <x v="0"/>
    <x v="10"/>
    <x v="1"/>
    <n v="10.64"/>
    <m/>
    <m/>
    <m/>
    <m/>
    <m/>
    <m/>
    <x v="3"/>
    <n v="0"/>
    <n v="4"/>
    <m/>
    <m/>
    <m/>
    <m/>
    <m/>
    <m/>
    <m/>
    <m/>
    <m/>
    <m/>
    <m/>
    <m/>
    <m/>
    <m/>
  </r>
  <r>
    <n v="2813"/>
    <n v="53176"/>
    <d v="1993-10-09T00:00:00"/>
    <n v="32"/>
    <x v="1"/>
    <x v="0"/>
    <d v="2024-04-18T00:00:00"/>
    <n v="1.6410958904109589"/>
    <x v="45"/>
    <x v="0"/>
    <x v="8"/>
    <x v="1"/>
    <n v="8.4700000000000006"/>
    <m/>
    <m/>
    <m/>
    <m/>
    <m/>
    <m/>
    <x v="3"/>
    <n v="4"/>
    <n v="5"/>
    <m/>
    <m/>
    <m/>
    <m/>
    <m/>
    <m/>
    <m/>
    <m/>
    <m/>
    <m/>
    <m/>
    <m/>
    <m/>
    <m/>
  </r>
  <r>
    <n v="2814"/>
    <n v="53177"/>
    <d v="2006-11-27T00:00:00"/>
    <n v="19"/>
    <x v="1"/>
    <x v="1"/>
    <d v="2024-05-11T00:00:00"/>
    <n v="1.0136986301369864"/>
    <x v="45"/>
    <x v="0"/>
    <x v="8"/>
    <x v="1"/>
    <n v="8.4700000000000006"/>
    <m/>
    <m/>
    <m/>
    <m/>
    <m/>
    <m/>
    <x v="4"/>
    <n v="2"/>
    <n v="6"/>
    <m/>
    <m/>
    <m/>
    <m/>
    <m/>
    <m/>
    <m/>
    <m/>
    <m/>
    <m/>
    <m/>
    <m/>
    <m/>
    <m/>
  </r>
  <r>
    <n v="2815"/>
    <n v="53178"/>
    <d v="2001-02-23T00:00:00"/>
    <n v="24"/>
    <x v="0"/>
    <x v="1"/>
    <d v="2024-12-26T00:00:00"/>
    <n v="1.1945205479452055"/>
    <x v="82"/>
    <x v="0"/>
    <x v="8"/>
    <x v="1"/>
    <n v="8.4700000000000006"/>
    <m/>
    <m/>
    <m/>
    <m/>
    <m/>
    <m/>
    <x v="3"/>
    <n v="4"/>
    <n v="5"/>
    <m/>
    <m/>
    <m/>
    <m/>
    <m/>
    <m/>
    <m/>
    <m/>
    <m/>
    <m/>
    <m/>
    <m/>
    <m/>
    <m/>
  </r>
  <r>
    <n v="2816"/>
    <n v="53179"/>
    <d v="1999-08-17T00:00:00"/>
    <n v="26"/>
    <x v="1"/>
    <x v="1"/>
    <d v="2024-10-21T00:00:00"/>
    <n v="1.3424657534246576"/>
    <x v="82"/>
    <x v="0"/>
    <x v="8"/>
    <x v="1"/>
    <n v="8.4700000000000006"/>
    <m/>
    <m/>
    <m/>
    <m/>
    <m/>
    <m/>
    <x v="4"/>
    <n v="2"/>
    <n v="7"/>
    <m/>
    <m/>
    <m/>
    <m/>
    <m/>
    <m/>
    <m/>
    <m/>
    <m/>
    <m/>
    <m/>
    <m/>
    <m/>
    <m/>
  </r>
  <r>
    <n v="2817"/>
    <n v="53180"/>
    <d v="2001-09-21T00:00:00"/>
    <n v="24"/>
    <x v="1"/>
    <x v="1"/>
    <d v="2024-08-28T00:00:00"/>
    <n v="1.5863013698630137"/>
    <x v="13"/>
    <x v="0"/>
    <x v="11"/>
    <x v="1"/>
    <n v="17"/>
    <m/>
    <m/>
    <m/>
    <m/>
    <m/>
    <m/>
    <x v="1"/>
    <n v="2"/>
    <n v="7"/>
    <m/>
    <m/>
    <m/>
    <m/>
    <m/>
    <m/>
    <m/>
    <m/>
    <m/>
    <m/>
    <m/>
    <m/>
    <m/>
    <m/>
  </r>
  <r>
    <n v="2818"/>
    <n v="53181"/>
    <d v="2004-07-29T00:00:00"/>
    <n v="21"/>
    <x v="1"/>
    <x v="1"/>
    <d v="2024-05-31T00:00:00"/>
    <n v="1.8246575342465754"/>
    <x v="13"/>
    <x v="0"/>
    <x v="8"/>
    <x v="1"/>
    <n v="8.4700000000000006"/>
    <m/>
    <m/>
    <m/>
    <m/>
    <m/>
    <m/>
    <x v="1"/>
    <n v="2"/>
    <n v="6"/>
    <m/>
    <m/>
    <m/>
    <m/>
    <m/>
    <m/>
    <m/>
    <m/>
    <m/>
    <m/>
    <m/>
    <m/>
    <m/>
    <m/>
  </r>
  <r>
    <n v="2819"/>
    <n v="53182"/>
    <d v="2003-10-29T00:00:00"/>
    <n v="22"/>
    <x v="0"/>
    <x v="1"/>
    <d v="2024-03-05T00:00:00"/>
    <n v="1.2164383561643837"/>
    <x v="13"/>
    <x v="0"/>
    <x v="8"/>
    <x v="1"/>
    <n v="8.4700000000000006"/>
    <m/>
    <m/>
    <m/>
    <m/>
    <m/>
    <m/>
    <x v="2"/>
    <n v="2"/>
    <n v="5"/>
    <m/>
    <m/>
    <m/>
    <m/>
    <m/>
    <m/>
    <m/>
    <m/>
    <m/>
    <m/>
    <m/>
    <m/>
    <m/>
    <m/>
  </r>
  <r>
    <n v="2820"/>
    <n v="53183"/>
    <d v="2004-10-01T00:00:00"/>
    <n v="22"/>
    <x v="1"/>
    <x v="0"/>
    <d v="2024-10-13T00:00:00"/>
    <n v="1.3178082191780822"/>
    <x v="14"/>
    <x v="0"/>
    <x v="8"/>
    <x v="1"/>
    <n v="8.4700000000000006"/>
    <m/>
    <m/>
    <m/>
    <m/>
    <m/>
    <m/>
    <x v="2"/>
    <n v="1"/>
    <n v="5"/>
    <m/>
    <m/>
    <m/>
    <m/>
    <m/>
    <m/>
    <m/>
    <m/>
    <m/>
    <m/>
    <m/>
    <m/>
    <m/>
    <m/>
  </r>
  <r>
    <n v="2821"/>
    <n v="53184"/>
    <d v="2002-04-21T00:00:00"/>
    <n v="23"/>
    <x v="1"/>
    <x v="0"/>
    <d v="2024-09-06T00:00:00"/>
    <n v="1.3205479452054794"/>
    <x v="16"/>
    <x v="0"/>
    <x v="11"/>
    <x v="1"/>
    <n v="17"/>
    <m/>
    <m/>
    <m/>
    <m/>
    <m/>
    <m/>
    <x v="2"/>
    <n v="3"/>
    <n v="6"/>
    <m/>
    <m/>
    <m/>
    <m/>
    <m/>
    <m/>
    <m/>
    <m/>
    <m/>
    <m/>
    <m/>
    <m/>
    <m/>
    <m/>
  </r>
  <r>
    <n v="2822"/>
    <n v="53185"/>
    <d v="2002-02-23T00:00:00"/>
    <n v="23"/>
    <x v="0"/>
    <x v="1"/>
    <d v="2024-09-05T00:00:00"/>
    <n v="1.1835616438356165"/>
    <x v="16"/>
    <x v="0"/>
    <x v="11"/>
    <x v="1"/>
    <n v="17"/>
    <m/>
    <m/>
    <m/>
    <m/>
    <m/>
    <m/>
    <x v="4"/>
    <n v="2"/>
    <n v="3"/>
    <m/>
    <m/>
    <m/>
    <m/>
    <m/>
    <m/>
    <m/>
    <m/>
    <m/>
    <m/>
    <m/>
    <m/>
    <m/>
    <m/>
  </r>
  <r>
    <n v="2823"/>
    <n v="53186"/>
    <d v="2001-11-20T00:00:00"/>
    <n v="24"/>
    <x v="1"/>
    <x v="1"/>
    <d v="2024-10-25T00:00:00"/>
    <n v="1.7013698630136986"/>
    <x v="16"/>
    <x v="0"/>
    <x v="8"/>
    <x v="1"/>
    <n v="8.4700000000000006"/>
    <m/>
    <m/>
    <m/>
    <m/>
    <m/>
    <m/>
    <x v="3"/>
    <n v="2"/>
    <n v="6"/>
    <m/>
    <m/>
    <m/>
    <m/>
    <m/>
    <m/>
    <m/>
    <m/>
    <m/>
    <m/>
    <m/>
    <m/>
    <m/>
    <m/>
  </r>
  <r>
    <n v="2824"/>
    <n v="53187"/>
    <d v="1999-12-06T00:00:00"/>
    <n v="26"/>
    <x v="0"/>
    <x v="0"/>
    <d v="2024-04-19T00:00:00"/>
    <n v="1.0246575342465754"/>
    <x v="88"/>
    <x v="0"/>
    <x v="9"/>
    <x v="1"/>
    <n v="14.07"/>
    <m/>
    <m/>
    <m/>
    <m/>
    <m/>
    <m/>
    <x v="3"/>
    <n v="1"/>
    <n v="3"/>
    <m/>
    <m/>
    <m/>
    <m/>
    <m/>
    <m/>
    <m/>
    <m/>
    <m/>
    <m/>
    <m/>
    <m/>
    <m/>
    <m/>
  </r>
  <r>
    <n v="2825"/>
    <n v="53188"/>
    <d v="2003-03-05T00:00:00"/>
    <n v="22"/>
    <x v="0"/>
    <x v="1"/>
    <d v="2024-12-22T00:00:00"/>
    <n v="1.8438356164383563"/>
    <x v="20"/>
    <x v="0"/>
    <x v="8"/>
    <x v="1"/>
    <n v="8.4700000000000006"/>
    <m/>
    <m/>
    <m/>
    <m/>
    <m/>
    <m/>
    <x v="1"/>
    <n v="4"/>
    <n v="3"/>
    <m/>
    <m/>
    <m/>
    <m/>
    <m/>
    <m/>
    <m/>
    <m/>
    <m/>
    <m/>
    <m/>
    <m/>
    <m/>
    <m/>
  </r>
  <r>
    <n v="2826"/>
    <n v="53189"/>
    <d v="2003-02-26T00:00:00"/>
    <n v="22"/>
    <x v="1"/>
    <x v="0"/>
    <d v="2024-02-27T00:00:00"/>
    <n v="1.7534246575342465"/>
    <x v="24"/>
    <x v="0"/>
    <x v="8"/>
    <x v="1"/>
    <n v="8.4700000000000006"/>
    <m/>
    <m/>
    <m/>
    <m/>
    <m/>
    <m/>
    <x v="1"/>
    <n v="4"/>
    <n v="7"/>
    <m/>
    <m/>
    <m/>
    <m/>
    <m/>
    <m/>
    <m/>
    <m/>
    <m/>
    <m/>
    <m/>
    <m/>
    <m/>
    <m/>
  </r>
  <r>
    <n v="2827"/>
    <n v="53190"/>
    <d v="2007-06-14T00:00:00"/>
    <n v="18"/>
    <x v="1"/>
    <x v="1"/>
    <d v="2024-03-31T00:00:00"/>
    <n v="1.1150684931506849"/>
    <x v="24"/>
    <x v="0"/>
    <x v="8"/>
    <x v="1"/>
    <n v="8.4700000000000006"/>
    <m/>
    <m/>
    <m/>
    <m/>
    <m/>
    <m/>
    <x v="4"/>
    <n v="2"/>
    <n v="6"/>
    <m/>
    <m/>
    <m/>
    <m/>
    <m/>
    <m/>
    <m/>
    <m/>
    <m/>
    <m/>
    <m/>
    <m/>
    <m/>
    <m/>
  </r>
  <r>
    <n v="2828"/>
    <n v="53191"/>
    <d v="1999-09-02T00:00:00"/>
    <n v="26"/>
    <x v="1"/>
    <x v="1"/>
    <d v="2024-11-19T00:00:00"/>
    <n v="1.3945205479452054"/>
    <x v="87"/>
    <x v="0"/>
    <x v="8"/>
    <x v="1"/>
    <n v="8.4700000000000006"/>
    <m/>
    <m/>
    <m/>
    <m/>
    <m/>
    <m/>
    <x v="1"/>
    <n v="2"/>
    <n v="6"/>
    <m/>
    <m/>
    <m/>
    <m/>
    <m/>
    <m/>
    <m/>
    <m/>
    <m/>
    <m/>
    <m/>
    <m/>
    <m/>
    <m/>
  </r>
  <r>
    <n v="2829"/>
    <n v="53192"/>
    <d v="2003-02-27T00:00:00"/>
    <n v="22"/>
    <x v="0"/>
    <x v="0"/>
    <d v="2024-08-09T00:00:00"/>
    <n v="1.7972602739726027"/>
    <x v="87"/>
    <x v="0"/>
    <x v="8"/>
    <x v="1"/>
    <n v="8.4700000000000006"/>
    <m/>
    <m/>
    <m/>
    <m/>
    <m/>
    <m/>
    <x v="4"/>
    <n v="2"/>
    <n v="4"/>
    <m/>
    <m/>
    <m/>
    <m/>
    <m/>
    <m/>
    <m/>
    <m/>
    <m/>
    <m/>
    <m/>
    <m/>
    <m/>
    <m/>
  </r>
  <r>
    <n v="2830"/>
    <n v="53193"/>
    <d v="2006-07-04T00:00:00"/>
    <n v="19"/>
    <x v="1"/>
    <x v="1"/>
    <d v="2024-03-15T00:00:00"/>
    <n v="1.1452054794520548"/>
    <x v="87"/>
    <x v="0"/>
    <x v="8"/>
    <x v="1"/>
    <n v="8.4700000000000006"/>
    <m/>
    <m/>
    <m/>
    <m/>
    <m/>
    <m/>
    <x v="4"/>
    <n v="2"/>
    <n v="7"/>
    <m/>
    <m/>
    <m/>
    <m/>
    <m/>
    <m/>
    <m/>
    <m/>
    <m/>
    <m/>
    <m/>
    <m/>
    <m/>
    <m/>
  </r>
  <r>
    <n v="2831"/>
    <n v="53195"/>
    <d v="1994-09-04T00:00:00"/>
    <n v="31"/>
    <x v="1"/>
    <x v="0"/>
    <d v="2024-11-08T00:00:00"/>
    <n v="1"/>
    <x v="25"/>
    <x v="0"/>
    <x v="8"/>
    <x v="1"/>
    <n v="8.4700000000000006"/>
    <m/>
    <m/>
    <m/>
    <m/>
    <m/>
    <m/>
    <x v="4"/>
    <n v="0"/>
    <n v="6"/>
    <m/>
    <m/>
    <m/>
    <m/>
    <m/>
    <m/>
    <m/>
    <m/>
    <m/>
    <m/>
    <m/>
    <m/>
    <m/>
    <m/>
  </r>
  <r>
    <n v="2832"/>
    <n v="53196"/>
    <d v="2004-06-13T00:00:00"/>
    <n v="21"/>
    <x v="1"/>
    <x v="1"/>
    <d v="2024-12-31T00:00:00"/>
    <n v="1.1013698630136985"/>
    <x v="26"/>
    <x v="0"/>
    <x v="8"/>
    <x v="1"/>
    <n v="8.4700000000000006"/>
    <m/>
    <m/>
    <m/>
    <m/>
    <m/>
    <m/>
    <x v="1"/>
    <n v="3"/>
    <n v="7"/>
    <m/>
    <m/>
    <m/>
    <m/>
    <m/>
    <m/>
    <m/>
    <m/>
    <m/>
    <m/>
    <m/>
    <m/>
    <m/>
    <m/>
  </r>
  <r>
    <n v="2833"/>
    <n v="53197"/>
    <d v="2007-12-27T00:00:00"/>
    <n v="18"/>
    <x v="0"/>
    <x v="0"/>
    <d v="2024-11-24T00:00:00"/>
    <n v="1.1917808219178083"/>
    <x v="139"/>
    <x v="0"/>
    <x v="8"/>
    <x v="1"/>
    <n v="8.4700000000000006"/>
    <m/>
    <m/>
    <m/>
    <m/>
    <m/>
    <m/>
    <x v="4"/>
    <n v="1"/>
    <n v="2"/>
    <m/>
    <m/>
    <m/>
    <m/>
    <m/>
    <m/>
    <m/>
    <m/>
    <m/>
    <m/>
    <m/>
    <m/>
    <m/>
    <m/>
  </r>
  <r>
    <n v="2834"/>
    <n v="53198"/>
    <d v="2005-11-14T00:00:00"/>
    <n v="20"/>
    <x v="1"/>
    <x v="1"/>
    <d v="2024-10-22T00:00:00"/>
    <n v="1.484931506849315"/>
    <x v="49"/>
    <x v="0"/>
    <x v="8"/>
    <x v="1"/>
    <n v="8.4700000000000006"/>
    <m/>
    <m/>
    <m/>
    <m/>
    <m/>
    <m/>
    <x v="3"/>
    <n v="1"/>
    <n v="5"/>
    <m/>
    <m/>
    <m/>
    <m/>
    <m/>
    <m/>
    <m/>
    <m/>
    <m/>
    <m/>
    <m/>
    <m/>
    <m/>
    <m/>
  </r>
  <r>
    <n v="2835"/>
    <n v="53199"/>
    <d v="1996-07-15T00:00:00"/>
    <n v="29"/>
    <x v="1"/>
    <x v="1"/>
    <d v="2024-07-07T00:00:00"/>
    <n v="1.8794520547945206"/>
    <x v="49"/>
    <x v="0"/>
    <x v="8"/>
    <x v="1"/>
    <n v="8.4700000000000006"/>
    <m/>
    <m/>
    <m/>
    <m/>
    <m/>
    <m/>
    <x v="4"/>
    <n v="2"/>
    <n v="6"/>
    <m/>
    <m/>
    <m/>
    <m/>
    <m/>
    <m/>
    <m/>
    <m/>
    <m/>
    <m/>
    <m/>
    <m/>
    <m/>
    <m/>
  </r>
  <r>
    <n v="2836"/>
    <n v="53200"/>
    <d v="2000-01-24T00:00:00"/>
    <n v="25"/>
    <x v="1"/>
    <x v="1"/>
    <d v="2024-02-14T00:00:00"/>
    <n v="1.3260273972602741"/>
    <x v="49"/>
    <x v="0"/>
    <x v="8"/>
    <x v="1"/>
    <n v="8.4700000000000006"/>
    <m/>
    <m/>
    <m/>
    <m/>
    <m/>
    <m/>
    <x v="4"/>
    <n v="2"/>
    <n v="6"/>
    <m/>
    <m/>
    <m/>
    <m/>
    <m/>
    <m/>
    <m/>
    <m/>
    <m/>
    <m/>
    <m/>
    <m/>
    <m/>
    <m/>
  </r>
  <r>
    <n v="2837"/>
    <n v="53201"/>
    <d v="2001-12-04T00:00:00"/>
    <n v="24"/>
    <x v="1"/>
    <x v="1"/>
    <d v="2024-09-03T00:00:00"/>
    <n v="1.6904109589041096"/>
    <x v="47"/>
    <x v="0"/>
    <x v="8"/>
    <x v="1"/>
    <n v="8.4700000000000006"/>
    <m/>
    <m/>
    <m/>
    <m/>
    <m/>
    <m/>
    <x v="2"/>
    <n v="2"/>
    <n v="6"/>
    <m/>
    <m/>
    <m/>
    <m/>
    <m/>
    <m/>
    <m/>
    <m/>
    <m/>
    <m/>
    <m/>
    <m/>
    <m/>
    <m/>
  </r>
  <r>
    <n v="2838"/>
    <n v="53202"/>
    <d v="2005-12-05T00:00:00"/>
    <n v="20"/>
    <x v="0"/>
    <x v="1"/>
    <d v="2024-04-23T00:00:00"/>
    <n v="1.6328767123287671"/>
    <x v="61"/>
    <x v="0"/>
    <x v="2"/>
    <x v="1"/>
    <n v="14.23"/>
    <m/>
    <m/>
    <m/>
    <m/>
    <m/>
    <m/>
    <x v="1"/>
    <n v="1"/>
    <n v="4"/>
    <m/>
    <m/>
    <m/>
    <m/>
    <m/>
    <m/>
    <m/>
    <m/>
    <m/>
    <m/>
    <m/>
    <m/>
    <m/>
    <m/>
  </r>
  <r>
    <n v="2839"/>
    <n v="53203"/>
    <d v="1998-10-01T00:00:00"/>
    <n v="28"/>
    <x v="0"/>
    <x v="1"/>
    <d v="2024-05-14T00:00:00"/>
    <n v="1.0136986301369864"/>
    <x v="63"/>
    <x v="0"/>
    <x v="2"/>
    <x v="1"/>
    <n v="14.23"/>
    <m/>
    <m/>
    <m/>
    <m/>
    <m/>
    <m/>
    <x v="1"/>
    <n v="0"/>
    <n v="3"/>
    <m/>
    <m/>
    <m/>
    <m/>
    <m/>
    <m/>
    <m/>
    <m/>
    <m/>
    <m/>
    <m/>
    <m/>
    <m/>
    <m/>
  </r>
  <r>
    <n v="2840"/>
    <n v="53204"/>
    <d v="2005-01-01T00:00:00"/>
    <n v="21"/>
    <x v="1"/>
    <x v="0"/>
    <d v="2024-12-26T00:00:00"/>
    <n v="1.3780821917808219"/>
    <x v="63"/>
    <x v="0"/>
    <x v="8"/>
    <x v="1"/>
    <n v="8.4700000000000006"/>
    <m/>
    <m/>
    <m/>
    <m/>
    <m/>
    <m/>
    <x v="2"/>
    <n v="2"/>
    <n v="7"/>
    <m/>
    <m/>
    <m/>
    <m/>
    <m/>
    <m/>
    <m/>
    <m/>
    <m/>
    <m/>
    <m/>
    <m/>
    <m/>
    <m/>
  </r>
  <r>
    <n v="2841"/>
    <n v="53205"/>
    <d v="2000-12-08T00:00:00"/>
    <n v="25"/>
    <x v="0"/>
    <x v="0"/>
    <d v="2024-08-15T00:00:00"/>
    <n v="1.2465753424657535"/>
    <x v="33"/>
    <x v="0"/>
    <x v="8"/>
    <x v="1"/>
    <n v="8.4700000000000006"/>
    <m/>
    <m/>
    <m/>
    <m/>
    <m/>
    <m/>
    <x v="2"/>
    <n v="1"/>
    <n v="4"/>
    <m/>
    <m/>
    <m/>
    <m/>
    <m/>
    <m/>
    <m/>
    <m/>
    <m/>
    <m/>
    <m/>
    <m/>
    <m/>
    <m/>
  </r>
  <r>
    <n v="2842"/>
    <n v="53206"/>
    <d v="1999-06-19T00:00:00"/>
    <n v="26"/>
    <x v="0"/>
    <x v="1"/>
    <d v="2024-10-02T00:00:00"/>
    <n v="1.6986301369863013"/>
    <x v="33"/>
    <x v="0"/>
    <x v="8"/>
    <x v="1"/>
    <n v="8.4700000000000006"/>
    <m/>
    <m/>
    <m/>
    <m/>
    <m/>
    <m/>
    <x v="1"/>
    <n v="1"/>
    <n v="3"/>
    <m/>
    <m/>
    <m/>
    <m/>
    <m/>
    <m/>
    <m/>
    <m/>
    <m/>
    <m/>
    <m/>
    <m/>
    <m/>
    <m/>
  </r>
  <r>
    <n v="2843"/>
    <n v="53207"/>
    <d v="1997-02-18T00:00:00"/>
    <n v="28"/>
    <x v="0"/>
    <x v="1"/>
    <d v="2024-04-20T00:00:00"/>
    <n v="1.5342465753424657"/>
    <x v="50"/>
    <x v="0"/>
    <x v="8"/>
    <x v="1"/>
    <n v="8.4700000000000006"/>
    <m/>
    <m/>
    <m/>
    <m/>
    <m/>
    <m/>
    <x v="1"/>
    <n v="4"/>
    <n v="5"/>
    <m/>
    <m/>
    <m/>
    <m/>
    <m/>
    <m/>
    <m/>
    <m/>
    <m/>
    <m/>
    <m/>
    <m/>
    <m/>
    <m/>
  </r>
  <r>
    <n v="2844"/>
    <n v="53208"/>
    <d v="2005-10-23T00:00:00"/>
    <n v="20"/>
    <x v="1"/>
    <x v="1"/>
    <d v="2024-06-19T00:00:00"/>
    <n v="1.5178082191780822"/>
    <x v="138"/>
    <x v="0"/>
    <x v="1"/>
    <x v="1"/>
    <n v="16.37"/>
    <m/>
    <m/>
    <m/>
    <m/>
    <m/>
    <m/>
    <x v="4"/>
    <n v="1"/>
    <n v="7"/>
    <m/>
    <m/>
    <m/>
    <m/>
    <m/>
    <m/>
    <m/>
    <m/>
    <m/>
    <m/>
    <m/>
    <m/>
    <m/>
    <m/>
  </r>
  <r>
    <n v="2845"/>
    <n v="53209"/>
    <d v="2001-05-23T00:00:00"/>
    <n v="24"/>
    <x v="1"/>
    <x v="1"/>
    <d v="2024-06-25T00:00:00"/>
    <n v="1.6931506849315068"/>
    <x v="143"/>
    <x v="0"/>
    <x v="8"/>
    <x v="1"/>
    <n v="8.4700000000000006"/>
    <m/>
    <m/>
    <m/>
    <m/>
    <m/>
    <m/>
    <x v="4"/>
    <n v="2"/>
    <n v="6"/>
    <m/>
    <m/>
    <m/>
    <m/>
    <m/>
    <m/>
    <m/>
    <m/>
    <m/>
    <m/>
    <m/>
    <m/>
    <m/>
    <m/>
  </r>
  <r>
    <n v="2846"/>
    <n v="53210"/>
    <d v="2004-08-23T00:00:00"/>
    <n v="21"/>
    <x v="1"/>
    <x v="0"/>
    <d v="2024-04-22T00:00:00"/>
    <n v="1.6136986301369862"/>
    <x v="140"/>
    <x v="0"/>
    <x v="8"/>
    <x v="1"/>
    <n v="8.4700000000000006"/>
    <m/>
    <m/>
    <m/>
    <m/>
    <m/>
    <m/>
    <x v="1"/>
    <n v="2"/>
    <n v="5"/>
    <m/>
    <m/>
    <m/>
    <m/>
    <m/>
    <m/>
    <m/>
    <m/>
    <m/>
    <m/>
    <m/>
    <m/>
    <m/>
    <m/>
  </r>
  <r>
    <n v="2847"/>
    <n v="53211"/>
    <d v="2002-05-14T00:00:00"/>
    <n v="23"/>
    <x v="1"/>
    <x v="1"/>
    <d v="2024-05-21T00:00:00"/>
    <n v="1.7643835616438357"/>
    <x v="35"/>
    <x v="0"/>
    <x v="11"/>
    <x v="1"/>
    <n v="17"/>
    <m/>
    <m/>
    <m/>
    <m/>
    <m/>
    <m/>
    <x v="1"/>
    <n v="2"/>
    <n v="7"/>
    <m/>
    <m/>
    <m/>
    <m/>
    <m/>
    <m/>
    <m/>
    <m/>
    <m/>
    <m/>
    <m/>
    <m/>
    <m/>
    <m/>
  </r>
  <r>
    <n v="2848"/>
    <n v="53212"/>
    <d v="2004-10-21T00:00:00"/>
    <n v="21"/>
    <x v="1"/>
    <x v="1"/>
    <d v="2024-03-27T00:00:00"/>
    <n v="1.5315068493150685"/>
    <x v="35"/>
    <x v="0"/>
    <x v="10"/>
    <x v="1"/>
    <n v="10.64"/>
    <m/>
    <m/>
    <m/>
    <m/>
    <m/>
    <m/>
    <x v="1"/>
    <n v="1"/>
    <n v="5"/>
    <m/>
    <m/>
    <m/>
    <m/>
    <m/>
    <m/>
    <m/>
    <m/>
    <m/>
    <m/>
    <m/>
    <m/>
    <m/>
    <m/>
  </r>
  <r>
    <n v="2849"/>
    <n v="53213"/>
    <d v="1996-03-29T00:00:00"/>
    <n v="29"/>
    <x v="0"/>
    <x v="0"/>
    <d v="2024-06-20T00:00:00"/>
    <n v="1.0273972602739727"/>
    <x v="35"/>
    <x v="0"/>
    <x v="7"/>
    <x v="1"/>
    <n v="17.59"/>
    <m/>
    <m/>
    <m/>
    <m/>
    <m/>
    <m/>
    <x v="1"/>
    <n v="0"/>
    <n v="4"/>
    <m/>
    <m/>
    <m/>
    <m/>
    <m/>
    <m/>
    <m/>
    <m/>
    <m/>
    <m/>
    <m/>
    <m/>
    <m/>
    <m/>
  </r>
  <r>
    <n v="2850"/>
    <n v="53214"/>
    <d v="2003-04-29T00:00:00"/>
    <n v="22"/>
    <x v="0"/>
    <x v="1"/>
    <d v="2024-12-21T00:00:00"/>
    <n v="1.7643835616438357"/>
    <x v="141"/>
    <x v="0"/>
    <x v="9"/>
    <x v="1"/>
    <n v="14.07"/>
    <m/>
    <m/>
    <m/>
    <m/>
    <m/>
    <m/>
    <x v="1"/>
    <n v="0"/>
    <n v="3"/>
    <m/>
    <m/>
    <m/>
    <m/>
    <m/>
    <m/>
    <m/>
    <m/>
    <m/>
    <m/>
    <m/>
    <m/>
    <m/>
    <m/>
  </r>
  <r>
    <n v="2851"/>
    <n v="53215"/>
    <d v="1990-11-26T00:00:00"/>
    <n v="35"/>
    <x v="0"/>
    <x v="1"/>
    <d v="2024-03-27T00:00:00"/>
    <n v="1.2657534246575342"/>
    <x v="144"/>
    <x v="0"/>
    <x v="7"/>
    <x v="1"/>
    <n v="17.59"/>
    <m/>
    <m/>
    <m/>
    <m/>
    <m/>
    <m/>
    <x v="2"/>
    <n v="4"/>
    <n v="5"/>
    <m/>
    <m/>
    <m/>
    <m/>
    <m/>
    <m/>
    <m/>
    <m/>
    <m/>
    <m/>
    <m/>
    <m/>
    <m/>
    <m/>
  </r>
  <r>
    <n v="2852"/>
    <n v="53217"/>
    <d v="2006-12-16T00:00:00"/>
    <n v="19"/>
    <x v="1"/>
    <x v="0"/>
    <d v="2024-09-25T00:00:00"/>
    <n v="1.5397260273972602"/>
    <x v="41"/>
    <x v="0"/>
    <x v="8"/>
    <x v="1"/>
    <n v="8.4700000000000006"/>
    <m/>
    <m/>
    <m/>
    <m/>
    <m/>
    <m/>
    <x v="4"/>
    <n v="2"/>
    <n v="6"/>
    <m/>
    <m/>
    <m/>
    <m/>
    <m/>
    <m/>
    <m/>
    <m/>
    <m/>
    <m/>
    <m/>
    <m/>
    <m/>
    <m/>
  </r>
  <r>
    <n v="2853"/>
    <n v="53218"/>
    <d v="1999-07-16T00:00:00"/>
    <n v="26"/>
    <x v="0"/>
    <x v="1"/>
    <d v="2024-06-17T00:00:00"/>
    <n v="1.8657534246575342"/>
    <x v="73"/>
    <x v="0"/>
    <x v="10"/>
    <x v="1"/>
    <n v="10.64"/>
    <m/>
    <m/>
    <m/>
    <m/>
    <m/>
    <m/>
    <x v="4"/>
    <n v="1"/>
    <n v="3"/>
    <m/>
    <m/>
    <m/>
    <m/>
    <m/>
    <m/>
    <m/>
    <m/>
    <m/>
    <m/>
    <m/>
    <m/>
    <m/>
    <m/>
  </r>
  <r>
    <n v="2854"/>
    <n v="53219"/>
    <d v="2003-11-28T00:00:00"/>
    <n v="22"/>
    <x v="0"/>
    <x v="1"/>
    <d v="2024-02-19T00:00:00"/>
    <n v="1.6684931506849314"/>
    <x v="142"/>
    <x v="0"/>
    <x v="3"/>
    <x v="1"/>
    <n v="8.4700000000000006"/>
    <m/>
    <m/>
    <m/>
    <m/>
    <m/>
    <m/>
    <x v="1"/>
    <n v="2"/>
    <n v="6"/>
    <m/>
    <m/>
    <m/>
    <m/>
    <m/>
    <m/>
    <m/>
    <m/>
    <m/>
    <m/>
    <m/>
    <m/>
    <m/>
    <m/>
  </r>
  <r>
    <n v="2855"/>
    <n v="53220"/>
    <d v="1997-06-28T00:00:00"/>
    <n v="28"/>
    <x v="1"/>
    <x v="1"/>
    <d v="2024-05-01T00:00:00"/>
    <n v="1.6520547945205479"/>
    <x v="59"/>
    <x v="0"/>
    <x v="11"/>
    <x v="1"/>
    <n v="17"/>
    <m/>
    <m/>
    <m/>
    <m/>
    <m/>
    <m/>
    <x v="4"/>
    <n v="0"/>
    <n v="6"/>
    <m/>
    <m/>
    <m/>
    <m/>
    <m/>
    <m/>
    <m/>
    <m/>
    <m/>
    <m/>
    <m/>
    <m/>
    <m/>
    <m/>
  </r>
  <r>
    <n v="2856"/>
    <n v="53221"/>
    <d v="2002-07-09T00:00:00"/>
    <n v="23"/>
    <x v="1"/>
    <x v="1"/>
    <d v="2024-05-07T00:00:00"/>
    <n v="1.5835616438356164"/>
    <x v="59"/>
    <x v="0"/>
    <x v="8"/>
    <x v="1"/>
    <n v="8.4700000000000006"/>
    <m/>
    <m/>
    <m/>
    <m/>
    <m/>
    <m/>
    <x v="1"/>
    <n v="3"/>
    <n v="6"/>
    <m/>
    <m/>
    <m/>
    <m/>
    <m/>
    <m/>
    <m/>
    <m/>
    <m/>
    <m/>
    <m/>
    <m/>
    <m/>
    <m/>
  </r>
  <r>
    <n v="2857"/>
    <n v="53222"/>
    <d v="2002-07-11T00:00:00"/>
    <n v="23"/>
    <x v="0"/>
    <x v="0"/>
    <d v="2024-06-01T00:00:00"/>
    <n v="1.2904109589041095"/>
    <x v="77"/>
    <x v="0"/>
    <x v="11"/>
    <x v="1"/>
    <n v="17"/>
    <m/>
    <m/>
    <m/>
    <m/>
    <m/>
    <m/>
    <x v="3"/>
    <n v="1"/>
    <n v="5"/>
    <m/>
    <m/>
    <m/>
    <m/>
    <m/>
    <m/>
    <m/>
    <m/>
    <m/>
    <m/>
    <m/>
    <m/>
    <m/>
    <m/>
  </r>
  <r>
    <n v="2858"/>
    <n v="53223"/>
    <d v="2004-09-21T00:00:00"/>
    <n v="21"/>
    <x v="0"/>
    <x v="1"/>
    <d v="2024-09-16T00:00:00"/>
    <n v="1.3424657534246576"/>
    <x v="38"/>
    <x v="0"/>
    <x v="9"/>
    <x v="1"/>
    <n v="14.07"/>
    <m/>
    <m/>
    <m/>
    <m/>
    <m/>
    <m/>
    <x v="4"/>
    <n v="0"/>
    <n v="4"/>
    <m/>
    <m/>
    <m/>
    <m/>
    <m/>
    <m/>
    <m/>
    <m/>
    <m/>
    <m/>
    <m/>
    <m/>
    <m/>
    <m/>
  </r>
  <r>
    <n v="2859"/>
    <n v="53224"/>
    <d v="2000-07-05T00:00:00"/>
    <n v="25"/>
    <x v="1"/>
    <x v="1"/>
    <d v="2024-08-28T00:00:00"/>
    <n v="1.1534246575342466"/>
    <x v="42"/>
    <x v="0"/>
    <x v="1"/>
    <x v="1"/>
    <n v="16.37"/>
    <m/>
    <m/>
    <m/>
    <m/>
    <m/>
    <m/>
    <x v="1"/>
    <n v="0"/>
    <n v="5"/>
    <m/>
    <m/>
    <m/>
    <m/>
    <m/>
    <m/>
    <m/>
    <m/>
    <m/>
    <m/>
    <m/>
    <m/>
    <m/>
    <m/>
  </r>
  <r>
    <n v="2860"/>
    <n v="53225"/>
    <d v="2006-05-15T00:00:00"/>
    <n v="19"/>
    <x v="1"/>
    <x v="1"/>
    <d v="2024-11-05T00:00:00"/>
    <n v="1.5726027397260274"/>
    <x v="39"/>
    <x v="1"/>
    <x v="10"/>
    <x v="1"/>
    <n v="10.64"/>
    <m/>
    <m/>
    <m/>
    <m/>
    <m/>
    <m/>
    <x v="4"/>
    <n v="0"/>
    <n v="7"/>
    <m/>
    <m/>
    <m/>
    <m/>
    <m/>
    <m/>
    <m/>
    <m/>
    <m/>
    <m/>
    <m/>
    <m/>
    <m/>
    <m/>
  </r>
  <r>
    <n v="2861"/>
    <n v="53226"/>
    <d v="2003-12-05T00:00:00"/>
    <n v="22"/>
    <x v="1"/>
    <x v="1"/>
    <d v="2024-06-05T00:00:00"/>
    <n v="1.3260273972602741"/>
    <x v="39"/>
    <x v="1"/>
    <x v="8"/>
    <x v="1"/>
    <n v="8.4700000000000006"/>
    <m/>
    <m/>
    <m/>
    <m/>
    <m/>
    <m/>
    <x v="4"/>
    <n v="2"/>
    <n v="5"/>
    <m/>
    <m/>
    <m/>
    <m/>
    <m/>
    <m/>
    <m/>
    <m/>
    <m/>
    <m/>
    <m/>
    <m/>
    <m/>
    <m/>
  </r>
  <r>
    <n v="2862"/>
    <n v="53227"/>
    <d v="2006-12-24T00:00:00"/>
    <n v="19"/>
    <x v="1"/>
    <x v="1"/>
    <d v="2024-09-03T00:00:00"/>
    <n v="1.5287671232876712"/>
    <x v="39"/>
    <x v="1"/>
    <x v="8"/>
    <x v="1"/>
    <n v="8.4700000000000006"/>
    <m/>
    <m/>
    <m/>
    <m/>
    <m/>
    <m/>
    <x v="4"/>
    <n v="2"/>
    <n v="5"/>
    <m/>
    <m/>
    <m/>
    <m/>
    <m/>
    <m/>
    <m/>
    <m/>
    <m/>
    <m/>
    <m/>
    <m/>
    <m/>
    <m/>
  </r>
  <r>
    <n v="2863"/>
    <n v="53228"/>
    <d v="2004-08-28T00:00:00"/>
    <n v="21"/>
    <x v="1"/>
    <x v="1"/>
    <d v="2024-06-21T00:00:00"/>
    <n v="1.0356164383561643"/>
    <x v="106"/>
    <x v="1"/>
    <x v="8"/>
    <x v="1"/>
    <n v="8.4700000000000006"/>
    <m/>
    <m/>
    <m/>
    <m/>
    <m/>
    <m/>
    <x v="2"/>
    <n v="1"/>
    <n v="6"/>
    <m/>
    <m/>
    <m/>
    <m/>
    <m/>
    <m/>
    <m/>
    <m/>
    <m/>
    <m/>
    <m/>
    <m/>
    <m/>
    <m/>
  </r>
  <r>
    <n v="2864"/>
    <n v="53229"/>
    <d v="1997-12-09T00:00:00"/>
    <n v="28"/>
    <x v="1"/>
    <x v="1"/>
    <d v="2024-12-18T00:00:00"/>
    <n v="1.7424657534246575"/>
    <x v="1"/>
    <x v="1"/>
    <x v="8"/>
    <x v="1"/>
    <n v="8.4700000000000006"/>
    <m/>
    <m/>
    <m/>
    <m/>
    <m/>
    <m/>
    <x v="4"/>
    <n v="1"/>
    <n v="6"/>
    <m/>
    <m/>
    <m/>
    <m/>
    <m/>
    <m/>
    <m/>
    <m/>
    <m/>
    <m/>
    <m/>
    <m/>
    <m/>
    <m/>
  </r>
  <r>
    <n v="2865"/>
    <n v="53230"/>
    <d v="2001-04-24T00:00:00"/>
    <n v="24"/>
    <x v="1"/>
    <x v="1"/>
    <d v="2024-04-04T00:00:00"/>
    <n v="1.3863013698630138"/>
    <x v="43"/>
    <x v="1"/>
    <x v="8"/>
    <x v="1"/>
    <n v="8.4700000000000006"/>
    <m/>
    <m/>
    <m/>
    <m/>
    <m/>
    <m/>
    <x v="2"/>
    <n v="2"/>
    <n v="7"/>
    <m/>
    <m/>
    <m/>
    <m/>
    <m/>
    <m/>
    <m/>
    <m/>
    <m/>
    <m/>
    <m/>
    <m/>
    <m/>
    <m/>
  </r>
  <r>
    <n v="2866"/>
    <n v="53231"/>
    <d v="2001-09-21T00:00:00"/>
    <n v="24"/>
    <x v="1"/>
    <x v="0"/>
    <d v="2024-08-12T00:00:00"/>
    <n v="1.6602739726027398"/>
    <x v="114"/>
    <x v="1"/>
    <x v="8"/>
    <x v="1"/>
    <n v="8.4700000000000006"/>
    <m/>
    <m/>
    <m/>
    <m/>
    <m/>
    <m/>
    <x v="1"/>
    <n v="1"/>
    <n v="4"/>
    <m/>
    <m/>
    <m/>
    <m/>
    <m/>
    <m/>
    <m/>
    <m/>
    <m/>
    <m/>
    <m/>
    <m/>
    <m/>
    <m/>
  </r>
  <r>
    <n v="2867"/>
    <n v="53232"/>
    <d v="2004-10-25T00:00:00"/>
    <n v="21"/>
    <x v="1"/>
    <x v="1"/>
    <d v="2024-05-04T00:00:00"/>
    <n v="1.3013698630136987"/>
    <x v="9"/>
    <x v="1"/>
    <x v="10"/>
    <x v="1"/>
    <n v="10.64"/>
    <m/>
    <m/>
    <m/>
    <m/>
    <m/>
    <m/>
    <x v="3"/>
    <n v="0"/>
    <n v="5"/>
    <m/>
    <m/>
    <m/>
    <m/>
    <m/>
    <m/>
    <m/>
    <m/>
    <m/>
    <m/>
    <m/>
    <m/>
    <m/>
    <m/>
  </r>
  <r>
    <n v="2868"/>
    <n v="53233"/>
    <d v="2004-04-10T00:00:00"/>
    <n v="21"/>
    <x v="1"/>
    <x v="1"/>
    <d v="2024-09-12T00:00:00"/>
    <n v="1.7315068493150685"/>
    <x v="105"/>
    <x v="1"/>
    <x v="8"/>
    <x v="1"/>
    <n v="8.4700000000000006"/>
    <m/>
    <m/>
    <m/>
    <m/>
    <m/>
    <m/>
    <x v="4"/>
    <n v="3"/>
    <n v="7"/>
    <m/>
    <m/>
    <m/>
    <m/>
    <m/>
    <m/>
    <m/>
    <m/>
    <m/>
    <m/>
    <m/>
    <m/>
    <m/>
    <m/>
  </r>
  <r>
    <n v="2869"/>
    <n v="53234"/>
    <d v="2006-07-06T00:00:00"/>
    <n v="19"/>
    <x v="1"/>
    <x v="1"/>
    <d v="2024-04-08T00:00:00"/>
    <n v="1.1095890410958904"/>
    <x v="29"/>
    <x v="1"/>
    <x v="8"/>
    <x v="1"/>
    <n v="8.4700000000000006"/>
    <m/>
    <m/>
    <m/>
    <m/>
    <m/>
    <m/>
    <x v="3"/>
    <n v="3"/>
    <n v="7"/>
    <m/>
    <m/>
    <m/>
    <m/>
    <m/>
    <m/>
    <m/>
    <m/>
    <m/>
    <m/>
    <m/>
    <m/>
    <m/>
    <m/>
  </r>
  <r>
    <n v="2870"/>
    <n v="53235"/>
    <d v="1999-03-01T00:00:00"/>
    <n v="27"/>
    <x v="1"/>
    <x v="1"/>
    <d v="2024-11-21T00:00:00"/>
    <n v="1.1369863013698631"/>
    <x v="29"/>
    <x v="1"/>
    <x v="8"/>
    <x v="1"/>
    <n v="8.4700000000000006"/>
    <m/>
    <m/>
    <m/>
    <m/>
    <m/>
    <m/>
    <x v="2"/>
    <n v="4"/>
    <n v="7"/>
    <m/>
    <m/>
    <m/>
    <m/>
    <m/>
    <m/>
    <m/>
    <m/>
    <m/>
    <m/>
    <m/>
    <m/>
    <m/>
    <m/>
  </r>
  <r>
    <n v="2871"/>
    <n v="53236"/>
    <d v="2007-12-27T00:00:00"/>
    <n v="18"/>
    <x v="0"/>
    <x v="1"/>
    <d v="2024-11-11T00:00:00"/>
    <n v="1.106849315068493"/>
    <x v="30"/>
    <x v="1"/>
    <x v="8"/>
    <x v="1"/>
    <n v="8.4700000000000006"/>
    <m/>
    <m/>
    <m/>
    <m/>
    <m/>
    <m/>
    <x v="2"/>
    <n v="2"/>
    <n v="4"/>
    <m/>
    <m/>
    <m/>
    <m/>
    <m/>
    <m/>
    <m/>
    <m/>
    <m/>
    <m/>
    <m/>
    <m/>
    <m/>
    <m/>
  </r>
  <r>
    <n v="2872"/>
    <n v="53237"/>
    <d v="2006-05-11T00:00:00"/>
    <n v="19"/>
    <x v="1"/>
    <x v="0"/>
    <d v="2024-11-22T00:00:00"/>
    <n v="1.8301369863013699"/>
    <x v="48"/>
    <x v="1"/>
    <x v="8"/>
    <x v="1"/>
    <n v="8.4700000000000006"/>
    <m/>
    <m/>
    <m/>
    <m/>
    <m/>
    <m/>
    <x v="3"/>
    <n v="2"/>
    <n v="4"/>
    <m/>
    <m/>
    <m/>
    <m/>
    <m/>
    <m/>
    <m/>
    <m/>
    <m/>
    <m/>
    <m/>
    <m/>
    <m/>
    <m/>
  </r>
  <r>
    <n v="2873"/>
    <n v="53238"/>
    <d v="2006-10-28T00:00:00"/>
    <n v="19"/>
    <x v="1"/>
    <x v="1"/>
    <d v="2024-03-03T00:00:00"/>
    <n v="1.0712328767123287"/>
    <x v="115"/>
    <x v="1"/>
    <x v="8"/>
    <x v="1"/>
    <n v="8.4700000000000006"/>
    <m/>
    <m/>
    <m/>
    <m/>
    <m/>
    <m/>
    <x v="1"/>
    <n v="2"/>
    <n v="7"/>
    <m/>
    <m/>
    <m/>
    <m/>
    <m/>
    <m/>
    <m/>
    <m/>
    <m/>
    <m/>
    <m/>
    <m/>
    <m/>
    <m/>
  </r>
  <r>
    <n v="2874"/>
    <n v="53239"/>
    <d v="2003-06-15T00:00:00"/>
    <n v="22"/>
    <x v="1"/>
    <x v="1"/>
    <d v="2024-12-05T00:00:00"/>
    <n v="1.484931506849315"/>
    <x v="115"/>
    <x v="1"/>
    <x v="8"/>
    <x v="1"/>
    <n v="8.4700000000000006"/>
    <m/>
    <m/>
    <m/>
    <m/>
    <m/>
    <m/>
    <x v="4"/>
    <n v="1"/>
    <n v="6"/>
    <m/>
    <m/>
    <m/>
    <m/>
    <m/>
    <m/>
    <m/>
    <m/>
    <m/>
    <m/>
    <m/>
    <m/>
    <m/>
    <m/>
  </r>
  <r>
    <n v="2875"/>
    <n v="53240"/>
    <d v="2006-01-16T00:00:00"/>
    <n v="19"/>
    <x v="1"/>
    <x v="1"/>
    <d v="2024-07-07T00:00:00"/>
    <n v="1.6"/>
    <x v="133"/>
    <x v="1"/>
    <x v="8"/>
    <x v="1"/>
    <n v="8.4700000000000006"/>
    <m/>
    <m/>
    <m/>
    <m/>
    <m/>
    <m/>
    <x v="3"/>
    <n v="2"/>
    <n v="6"/>
    <m/>
    <m/>
    <m/>
    <m/>
    <m/>
    <m/>
    <m/>
    <m/>
    <m/>
    <m/>
    <m/>
    <m/>
    <m/>
    <m/>
  </r>
  <r>
    <n v="2876"/>
    <n v="53241"/>
    <d v="2001-01-22T00:00:00"/>
    <n v="24"/>
    <x v="0"/>
    <x v="1"/>
    <d v="2024-05-26T00:00:00"/>
    <n v="1.2328767123287672"/>
    <x v="58"/>
    <x v="1"/>
    <x v="10"/>
    <x v="1"/>
    <n v="10.64"/>
    <m/>
    <m/>
    <m/>
    <m/>
    <m/>
    <m/>
    <x v="2"/>
    <n v="0"/>
    <n v="3"/>
    <m/>
    <m/>
    <m/>
    <m/>
    <m/>
    <m/>
    <m/>
    <m/>
    <m/>
    <m/>
    <m/>
    <m/>
    <m/>
    <m/>
  </r>
  <r>
    <n v="2877"/>
    <n v="53242"/>
    <d v="1999-05-10T00:00:00"/>
    <n v="26"/>
    <x v="0"/>
    <x v="1"/>
    <d v="2024-10-07T00:00:00"/>
    <n v="1.1534246575342466"/>
    <x v="58"/>
    <x v="1"/>
    <x v="8"/>
    <x v="1"/>
    <n v="8.4700000000000006"/>
    <m/>
    <m/>
    <m/>
    <m/>
    <m/>
    <m/>
    <x v="1"/>
    <n v="0"/>
    <n v="5"/>
    <m/>
    <m/>
    <m/>
    <m/>
    <m/>
    <m/>
    <m/>
    <m/>
    <m/>
    <m/>
    <m/>
    <m/>
    <m/>
    <m/>
  </r>
  <r>
    <n v="2878"/>
    <n v="53243"/>
    <d v="2005-08-12T00:00:00"/>
    <n v="20"/>
    <x v="1"/>
    <x v="1"/>
    <d v="2024-11-05T00:00:00"/>
    <n v="1.3945205479452054"/>
    <x v="113"/>
    <x v="1"/>
    <x v="8"/>
    <x v="1"/>
    <n v="8.4700000000000006"/>
    <m/>
    <m/>
    <m/>
    <m/>
    <m/>
    <m/>
    <x v="4"/>
    <n v="1"/>
    <n v="5"/>
    <m/>
    <m/>
    <m/>
    <m/>
    <m/>
    <m/>
    <m/>
    <m/>
    <m/>
    <m/>
    <m/>
    <m/>
    <m/>
    <m/>
  </r>
  <r>
    <n v="2879"/>
    <n v="53244"/>
    <d v="2000-02-08T00:00:00"/>
    <n v="25"/>
    <x v="1"/>
    <x v="1"/>
    <d v="2024-08-09T00:00:00"/>
    <n v="1.5917808219178082"/>
    <x v="111"/>
    <x v="1"/>
    <x v="11"/>
    <x v="1"/>
    <n v="17"/>
    <m/>
    <m/>
    <m/>
    <m/>
    <m/>
    <m/>
    <x v="4"/>
    <n v="3"/>
    <n v="7"/>
    <m/>
    <m/>
    <m/>
    <m/>
    <m/>
    <m/>
    <m/>
    <m/>
    <m/>
    <m/>
    <m/>
    <m/>
    <m/>
    <m/>
  </r>
  <r>
    <n v="2880"/>
    <n v="53245"/>
    <d v="2005-09-16T00:00:00"/>
    <n v="20"/>
    <x v="1"/>
    <x v="0"/>
    <d v="2024-05-29T00:00:00"/>
    <n v="1.5178082191780822"/>
    <x v="111"/>
    <x v="1"/>
    <x v="8"/>
    <x v="1"/>
    <n v="8.4700000000000006"/>
    <m/>
    <m/>
    <m/>
    <m/>
    <m/>
    <m/>
    <x v="2"/>
    <n v="2"/>
    <n v="6"/>
    <m/>
    <m/>
    <m/>
    <m/>
    <m/>
    <m/>
    <m/>
    <m/>
    <m/>
    <m/>
    <m/>
    <m/>
    <m/>
    <m/>
  </r>
  <r>
    <n v="2881"/>
    <n v="53246"/>
    <d v="2005-05-29T00:00:00"/>
    <n v="20"/>
    <x v="0"/>
    <x v="1"/>
    <d v="2024-06-25T00:00:00"/>
    <n v="1.0794520547945206"/>
    <x v="117"/>
    <x v="1"/>
    <x v="6"/>
    <x v="1"/>
    <n v="23.78"/>
    <m/>
    <m/>
    <m/>
    <m/>
    <m/>
    <m/>
    <x v="1"/>
    <n v="4"/>
    <n v="6"/>
    <m/>
    <m/>
    <m/>
    <m/>
    <m/>
    <m/>
    <m/>
    <m/>
    <m/>
    <m/>
    <m/>
    <m/>
    <m/>
    <m/>
  </r>
  <r>
    <n v="2882"/>
    <n v="53247"/>
    <d v="1991-08-10T00:00:00"/>
    <n v="34"/>
    <x v="0"/>
    <x v="1"/>
    <d v="2024-12-02T00:00:00"/>
    <n v="1.7643835616438357"/>
    <x v="119"/>
    <x v="1"/>
    <x v="2"/>
    <x v="1"/>
    <n v="14.23"/>
    <m/>
    <m/>
    <m/>
    <m/>
    <m/>
    <m/>
    <x v="4"/>
    <n v="0"/>
    <n v="5"/>
    <m/>
    <m/>
    <m/>
    <m/>
    <m/>
    <m/>
    <m/>
    <m/>
    <m/>
    <m/>
    <m/>
    <m/>
    <m/>
    <m/>
  </r>
  <r>
    <n v="2883"/>
    <n v="53248"/>
    <d v="2005-05-03T00:00:00"/>
    <n v="20"/>
    <x v="1"/>
    <x v="0"/>
    <d v="2024-03-27T00:00:00"/>
    <n v="1.5890410958904109"/>
    <x v="119"/>
    <x v="1"/>
    <x v="8"/>
    <x v="1"/>
    <n v="8.4700000000000006"/>
    <m/>
    <m/>
    <m/>
    <m/>
    <m/>
    <m/>
    <x v="4"/>
    <n v="4"/>
    <n v="7"/>
    <m/>
    <m/>
    <m/>
    <m/>
    <m/>
    <m/>
    <m/>
    <m/>
    <m/>
    <m/>
    <m/>
    <m/>
    <m/>
    <m/>
  </r>
  <r>
    <n v="2884"/>
    <n v="53249"/>
    <d v="2000-10-26T00:00:00"/>
    <n v="25"/>
    <x v="0"/>
    <x v="0"/>
    <d v="2024-05-30T00:00:00"/>
    <n v="1.7753424657534247"/>
    <x v="72"/>
    <x v="1"/>
    <x v="10"/>
    <x v="1"/>
    <n v="10.64"/>
    <m/>
    <m/>
    <m/>
    <m/>
    <m/>
    <m/>
    <x v="1"/>
    <n v="0"/>
    <n v="3"/>
    <m/>
    <m/>
    <m/>
    <m/>
    <m/>
    <m/>
    <m/>
    <m/>
    <m/>
    <m/>
    <m/>
    <m/>
    <m/>
    <m/>
  </r>
  <r>
    <n v="2885"/>
    <n v="53250"/>
    <d v="1994-09-21T00:00:00"/>
    <n v="31"/>
    <x v="1"/>
    <x v="0"/>
    <d v="2024-03-23T00:00:00"/>
    <n v="1.1835616438356165"/>
    <x v="72"/>
    <x v="1"/>
    <x v="8"/>
    <x v="1"/>
    <n v="8.4700000000000006"/>
    <m/>
    <m/>
    <m/>
    <m/>
    <m/>
    <m/>
    <x v="4"/>
    <n v="2"/>
    <n v="6"/>
    <m/>
    <m/>
    <m/>
    <m/>
    <m/>
    <m/>
    <m/>
    <m/>
    <m/>
    <m/>
    <m/>
    <m/>
    <m/>
    <m/>
  </r>
  <r>
    <n v="2886"/>
    <n v="53251"/>
    <d v="2003-10-22T00:00:00"/>
    <n v="22"/>
    <x v="1"/>
    <x v="1"/>
    <d v="2024-10-25T00:00:00"/>
    <n v="1.0767123287671232"/>
    <x v="74"/>
    <x v="1"/>
    <x v="3"/>
    <x v="1"/>
    <n v="8.4700000000000006"/>
    <m/>
    <m/>
    <m/>
    <m/>
    <m/>
    <m/>
    <x v="1"/>
    <n v="2"/>
    <n v="7"/>
    <m/>
    <m/>
    <m/>
    <m/>
    <m/>
    <m/>
    <m/>
    <m/>
    <m/>
    <m/>
    <m/>
    <m/>
    <m/>
    <m/>
  </r>
  <r>
    <n v="2887"/>
    <n v="53252"/>
    <d v="2003-07-22T00:00:00"/>
    <n v="22"/>
    <x v="0"/>
    <x v="1"/>
    <d v="2024-12-03T00:00:00"/>
    <n v="1.4328767123287671"/>
    <x v="93"/>
    <x v="1"/>
    <x v="10"/>
    <x v="1"/>
    <n v="10.64"/>
    <m/>
    <m/>
    <m/>
    <m/>
    <m/>
    <m/>
    <x v="4"/>
    <n v="0"/>
    <n v="4"/>
    <m/>
    <m/>
    <m/>
    <m/>
    <m/>
    <m/>
    <m/>
    <m/>
    <m/>
    <m/>
    <m/>
    <m/>
    <m/>
    <m/>
  </r>
  <r>
    <n v="2888"/>
    <n v="53253"/>
    <d v="2005-03-12T00:00:00"/>
    <n v="20"/>
    <x v="1"/>
    <x v="0"/>
    <d v="2024-07-26T00:00:00"/>
    <n v="1.7534246575342465"/>
    <x v="80"/>
    <x v="1"/>
    <x v="8"/>
    <x v="1"/>
    <n v="8.4700000000000006"/>
    <m/>
    <m/>
    <m/>
    <m/>
    <m/>
    <m/>
    <x v="3"/>
    <n v="2"/>
    <n v="4"/>
    <m/>
    <m/>
    <m/>
    <m/>
    <m/>
    <m/>
    <m/>
    <m/>
    <m/>
    <m/>
    <m/>
    <m/>
    <m/>
    <m/>
  </r>
  <r>
    <n v="2889"/>
    <n v="53254"/>
    <d v="2003-08-03T00:00:00"/>
    <n v="22"/>
    <x v="1"/>
    <x v="0"/>
    <d v="2024-03-31T00:00:00"/>
    <n v="1.6219178082191781"/>
    <x v="107"/>
    <x v="1"/>
    <x v="8"/>
    <x v="1"/>
    <n v="8.4700000000000006"/>
    <m/>
    <m/>
    <m/>
    <m/>
    <m/>
    <m/>
    <x v="3"/>
    <n v="2"/>
    <n v="6"/>
    <m/>
    <m/>
    <m/>
    <m/>
    <m/>
    <m/>
    <m/>
    <m/>
    <m/>
    <m/>
    <m/>
    <m/>
    <m/>
    <m/>
  </r>
  <r>
    <n v="2890"/>
    <n v="53255"/>
    <d v="2002-05-31T00:00:00"/>
    <n v="23"/>
    <x v="1"/>
    <x v="0"/>
    <d v="2024-05-18T00:00:00"/>
    <n v="1.8164383561643835"/>
    <x v="107"/>
    <x v="1"/>
    <x v="8"/>
    <x v="1"/>
    <n v="8.4700000000000006"/>
    <m/>
    <m/>
    <m/>
    <m/>
    <m/>
    <m/>
    <x v="3"/>
    <n v="0"/>
    <n v="6"/>
    <m/>
    <m/>
    <m/>
    <m/>
    <m/>
    <m/>
    <m/>
    <m/>
    <m/>
    <m/>
    <m/>
    <m/>
    <m/>
    <m/>
  </r>
  <r>
    <n v="2891"/>
    <n v="53256"/>
    <d v="2000-12-18T00:00:00"/>
    <n v="25"/>
    <x v="1"/>
    <x v="1"/>
    <d v="2024-03-08T00:00:00"/>
    <n v="1.2054794520547945"/>
    <x v="134"/>
    <x v="1"/>
    <x v="11"/>
    <x v="1"/>
    <n v="17"/>
    <m/>
    <m/>
    <m/>
    <m/>
    <m/>
    <m/>
    <x v="3"/>
    <n v="1"/>
    <n v="6"/>
    <m/>
    <m/>
    <m/>
    <m/>
    <m/>
    <m/>
    <m/>
    <m/>
    <m/>
    <m/>
    <m/>
    <m/>
    <m/>
    <m/>
  </r>
  <r>
    <n v="2892"/>
    <n v="53257"/>
    <d v="2004-02-25T00:00:00"/>
    <n v="21"/>
    <x v="1"/>
    <x v="1"/>
    <d v="2024-10-17T00:00:00"/>
    <n v="1.7232876712328766"/>
    <x v="134"/>
    <x v="1"/>
    <x v="2"/>
    <x v="1"/>
    <n v="14.23"/>
    <m/>
    <m/>
    <m/>
    <m/>
    <m/>
    <m/>
    <x v="4"/>
    <n v="1"/>
    <n v="5"/>
    <m/>
    <m/>
    <m/>
    <m/>
    <m/>
    <m/>
    <m/>
    <m/>
    <m/>
    <m/>
    <m/>
    <m/>
    <m/>
    <m/>
  </r>
  <r>
    <n v="2893"/>
    <n v="53258"/>
    <d v="2004-06-02T00:00:00"/>
    <n v="21"/>
    <x v="1"/>
    <x v="1"/>
    <d v="2024-04-11T00:00:00"/>
    <n v="1.8876712328767122"/>
    <x v="134"/>
    <x v="1"/>
    <x v="8"/>
    <x v="1"/>
    <n v="8.4700000000000006"/>
    <m/>
    <m/>
    <m/>
    <m/>
    <m/>
    <m/>
    <x v="4"/>
    <n v="2"/>
    <n v="6"/>
    <m/>
    <m/>
    <m/>
    <m/>
    <m/>
    <m/>
    <m/>
    <m/>
    <m/>
    <m/>
    <m/>
    <m/>
    <m/>
    <m/>
  </r>
  <r>
    <n v="2894"/>
    <n v="53259"/>
    <d v="2007-08-02T00:00:00"/>
    <n v="18"/>
    <x v="1"/>
    <x v="1"/>
    <d v="2024-02-11T00:00:00"/>
    <n v="1.6191780821917807"/>
    <x v="94"/>
    <x v="1"/>
    <x v="8"/>
    <x v="1"/>
    <n v="8.4700000000000006"/>
    <m/>
    <m/>
    <m/>
    <m/>
    <m/>
    <m/>
    <x v="1"/>
    <n v="4"/>
    <n v="7"/>
    <m/>
    <m/>
    <m/>
    <m/>
    <m/>
    <m/>
    <m/>
    <m/>
    <m/>
    <m/>
    <m/>
    <m/>
    <m/>
    <m/>
  </r>
  <r>
    <n v="2895"/>
    <n v="53260"/>
    <d v="2004-05-11T00:00:00"/>
    <n v="21"/>
    <x v="1"/>
    <x v="0"/>
    <d v="2024-05-19T00:00:00"/>
    <n v="1.6657534246575343"/>
    <x v="99"/>
    <x v="1"/>
    <x v="8"/>
    <x v="1"/>
    <n v="8.4700000000000006"/>
    <m/>
    <m/>
    <m/>
    <m/>
    <m/>
    <m/>
    <x v="1"/>
    <n v="2"/>
    <n v="5"/>
    <m/>
    <m/>
    <m/>
    <m/>
    <m/>
    <m/>
    <m/>
    <m/>
    <m/>
    <m/>
    <m/>
    <m/>
    <m/>
    <m/>
  </r>
  <r>
    <n v="2896"/>
    <n v="53261"/>
    <d v="2003-03-11T00:00:00"/>
    <n v="22"/>
    <x v="1"/>
    <x v="0"/>
    <d v="2024-05-02T00:00:00"/>
    <n v="1.1863013698630136"/>
    <x v="99"/>
    <x v="1"/>
    <x v="8"/>
    <x v="1"/>
    <n v="8.4700000000000006"/>
    <m/>
    <m/>
    <m/>
    <m/>
    <m/>
    <m/>
    <x v="4"/>
    <n v="1"/>
    <n v="5"/>
    <m/>
    <m/>
    <m/>
    <m/>
    <m/>
    <m/>
    <m/>
    <m/>
    <m/>
    <m/>
    <m/>
    <m/>
    <m/>
    <m/>
  </r>
  <r>
    <n v="2897"/>
    <n v="53262"/>
    <d v="2003-10-15T00:00:00"/>
    <n v="22"/>
    <x v="1"/>
    <x v="0"/>
    <d v="2024-10-24T00:00:00"/>
    <n v="1.1041095890410959"/>
    <x v="101"/>
    <x v="1"/>
    <x v="8"/>
    <x v="1"/>
    <n v="8.4700000000000006"/>
    <m/>
    <m/>
    <m/>
    <m/>
    <m/>
    <m/>
    <x v="1"/>
    <n v="2"/>
    <n v="5"/>
    <m/>
    <m/>
    <m/>
    <m/>
    <m/>
    <m/>
    <m/>
    <m/>
    <m/>
    <m/>
    <m/>
    <m/>
    <m/>
    <m/>
  </r>
  <r>
    <n v="2898"/>
    <n v="53263"/>
    <d v="1997-02-26T00:00:00"/>
    <n v="28"/>
    <x v="0"/>
    <x v="1"/>
    <d v="2024-11-23T00:00:00"/>
    <n v="1.5232876712328767"/>
    <x v="86"/>
    <x v="1"/>
    <x v="7"/>
    <x v="1"/>
    <n v="17.59"/>
    <m/>
    <m/>
    <m/>
    <m/>
    <m/>
    <m/>
    <x v="4"/>
    <n v="2"/>
    <n v="5"/>
    <m/>
    <m/>
    <m/>
    <m/>
    <m/>
    <m/>
    <m/>
    <m/>
    <m/>
    <m/>
    <m/>
    <m/>
    <m/>
    <m/>
  </r>
  <r>
    <n v="2899"/>
    <n v="53264"/>
    <d v="2006-02-02T00:00:00"/>
    <n v="19"/>
    <x v="1"/>
    <x v="0"/>
    <d v="2024-06-23T00:00:00"/>
    <n v="1.8273972602739725"/>
    <x v="132"/>
    <x v="1"/>
    <x v="8"/>
    <x v="1"/>
    <n v="8.4700000000000006"/>
    <m/>
    <m/>
    <m/>
    <m/>
    <m/>
    <m/>
    <x v="3"/>
    <n v="4"/>
    <n v="7"/>
    <m/>
    <m/>
    <m/>
    <m/>
    <m/>
    <m/>
    <m/>
    <m/>
    <m/>
    <m/>
    <m/>
    <m/>
    <m/>
    <m/>
  </r>
  <r>
    <n v="2900"/>
    <n v="53265"/>
    <d v="1998-02-14T00:00:00"/>
    <n v="27"/>
    <x v="1"/>
    <x v="1"/>
    <d v="2024-03-04T00:00:00"/>
    <n v="1.0493150684931507"/>
    <x v="112"/>
    <x v="1"/>
    <x v="11"/>
    <x v="1"/>
    <n v="17"/>
    <m/>
    <m/>
    <m/>
    <m/>
    <m/>
    <m/>
    <x v="3"/>
    <n v="1"/>
    <n v="6"/>
    <m/>
    <m/>
    <m/>
    <m/>
    <m/>
    <m/>
    <m/>
    <m/>
    <m/>
    <m/>
    <m/>
    <m/>
    <m/>
    <m/>
  </r>
  <r>
    <n v="2901"/>
    <n v="53266"/>
    <d v="2005-12-08T00:00:00"/>
    <n v="20"/>
    <x v="1"/>
    <x v="1"/>
    <d v="2024-12-13T00:00:00"/>
    <n v="1.5671232876712329"/>
    <x v="103"/>
    <x v="1"/>
    <x v="8"/>
    <x v="1"/>
    <n v="8.4700000000000006"/>
    <m/>
    <m/>
    <m/>
    <m/>
    <m/>
    <m/>
    <x v="4"/>
    <n v="2"/>
    <n v="6"/>
    <m/>
    <m/>
    <m/>
    <m/>
    <m/>
    <m/>
    <m/>
    <m/>
    <m/>
    <m/>
    <m/>
    <m/>
    <m/>
    <m/>
  </r>
  <r>
    <n v="2902"/>
    <n v="53267"/>
    <d v="2003-01-17T00:00:00"/>
    <n v="22"/>
    <x v="1"/>
    <x v="1"/>
    <d v="2024-06-07T00:00:00"/>
    <n v="1.4493150684931506"/>
    <x v="103"/>
    <x v="1"/>
    <x v="8"/>
    <x v="1"/>
    <n v="8.4700000000000006"/>
    <m/>
    <m/>
    <m/>
    <m/>
    <m/>
    <m/>
    <x v="4"/>
    <n v="1"/>
    <n v="4"/>
    <m/>
    <m/>
    <m/>
    <m/>
    <m/>
    <m/>
    <m/>
    <m/>
    <m/>
    <m/>
    <m/>
    <m/>
    <m/>
    <m/>
  </r>
  <r>
    <n v="2903"/>
    <n v="53268"/>
    <d v="2001-03-25T00:00:00"/>
    <n v="24"/>
    <x v="0"/>
    <x v="1"/>
    <d v="2024-07-20T00:00:00"/>
    <n v="1.3479452054794521"/>
    <x v="0"/>
    <x v="0"/>
    <x v="7"/>
    <x v="1"/>
    <n v="17.59"/>
    <m/>
    <m/>
    <m/>
    <m/>
    <m/>
    <m/>
    <x v="3"/>
    <n v="4"/>
    <n v="6"/>
    <m/>
    <m/>
    <m/>
    <m/>
    <m/>
    <m/>
    <m/>
    <m/>
    <m/>
    <m/>
    <m/>
    <m/>
    <m/>
    <m/>
  </r>
  <r>
    <n v="2904"/>
    <n v="53269"/>
    <d v="2005-02-27T00:00:00"/>
    <n v="20"/>
    <x v="1"/>
    <x v="0"/>
    <d v="2024-08-26T00:00:00"/>
    <n v="1.2684931506849315"/>
    <x v="28"/>
    <x v="0"/>
    <x v="3"/>
    <x v="1"/>
    <n v="17.899999999999999"/>
    <m/>
    <m/>
    <m/>
    <m/>
    <m/>
    <m/>
    <x v="1"/>
    <n v="0"/>
    <n v="6"/>
    <m/>
    <m/>
    <m/>
    <m/>
    <m/>
    <m/>
    <m/>
    <m/>
    <m/>
    <m/>
    <m/>
    <m/>
    <m/>
    <m/>
  </r>
  <r>
    <n v="2905"/>
    <n v="53270"/>
    <d v="2004-03-03T00:00:00"/>
    <n v="21"/>
    <x v="1"/>
    <x v="1"/>
    <d v="2024-09-24T00:00:00"/>
    <n v="1.2383561643835617"/>
    <x v="61"/>
    <x v="0"/>
    <x v="8"/>
    <x v="1"/>
    <n v="8.4700000000000006"/>
    <m/>
    <m/>
    <m/>
    <m/>
    <m/>
    <m/>
    <x v="1"/>
    <n v="2"/>
    <n v="7"/>
    <m/>
    <m/>
    <m/>
    <m/>
    <m/>
    <m/>
    <m/>
    <m/>
    <m/>
    <m/>
    <m/>
    <m/>
    <m/>
    <m/>
  </r>
  <r>
    <n v="2906"/>
    <n v="53271"/>
    <d v="1998-02-25T00:00:00"/>
    <n v="27"/>
    <x v="1"/>
    <x v="1"/>
    <d v="2024-10-05T00:00:00"/>
    <n v="1.1123287671232878"/>
    <x v="1"/>
    <x v="1"/>
    <x v="10"/>
    <x v="1"/>
    <n v="10.64"/>
    <m/>
    <m/>
    <m/>
    <m/>
    <m/>
    <m/>
    <x v="1"/>
    <n v="0"/>
    <n v="6"/>
    <m/>
    <m/>
    <m/>
    <m/>
    <m/>
    <m/>
    <m/>
    <m/>
    <m/>
    <m/>
    <m/>
    <m/>
    <m/>
    <m/>
  </r>
  <r>
    <n v="2907"/>
    <n v="53272"/>
    <d v="1998-04-04T00:00:00"/>
    <n v="27"/>
    <x v="1"/>
    <x v="1"/>
    <d v="2024-11-20T00:00:00"/>
    <n v="1.6465753424657534"/>
    <x v="53"/>
    <x v="1"/>
    <x v="7"/>
    <x v="1"/>
    <n v="17.59"/>
    <m/>
    <m/>
    <m/>
    <m/>
    <m/>
    <m/>
    <x v="2"/>
    <n v="1"/>
    <n v="7"/>
    <m/>
    <m/>
    <m/>
    <m/>
    <m/>
    <m/>
    <m/>
    <m/>
    <m/>
    <m/>
    <m/>
    <m/>
    <m/>
    <m/>
  </r>
  <r>
    <n v="2908"/>
    <n v="53273"/>
    <d v="1996-03-29T00:00:00"/>
    <n v="29"/>
    <x v="0"/>
    <x v="1"/>
    <d v="2024-05-09T00:00:00"/>
    <n v="1.5397260273972602"/>
    <x v="68"/>
    <x v="1"/>
    <x v="7"/>
    <x v="1"/>
    <n v="17.59"/>
    <m/>
    <m/>
    <m/>
    <m/>
    <m/>
    <m/>
    <x v="3"/>
    <n v="4"/>
    <n v="5"/>
    <m/>
    <m/>
    <m/>
    <m/>
    <m/>
    <m/>
    <m/>
    <m/>
    <m/>
    <m/>
    <m/>
    <m/>
    <m/>
    <m/>
  </r>
  <r>
    <n v="2909"/>
    <n v="53274"/>
    <d v="1992-03-27T00:00:00"/>
    <n v="33"/>
    <x v="1"/>
    <x v="1"/>
    <d v="2024-06-17T00:00:00"/>
    <n v="1.5863013698630137"/>
    <x v="70"/>
    <x v="1"/>
    <x v="7"/>
    <x v="1"/>
    <n v="17.59"/>
    <m/>
    <m/>
    <m/>
    <m/>
    <m/>
    <m/>
    <x v="4"/>
    <n v="2"/>
    <n v="5"/>
    <m/>
    <m/>
    <m/>
    <m/>
    <m/>
    <m/>
    <m/>
    <m/>
    <m/>
    <m/>
    <m/>
    <m/>
    <m/>
    <m/>
  </r>
  <r>
    <n v="2910"/>
    <n v="53275"/>
    <d v="1992-01-01T00:00:00"/>
    <n v="34"/>
    <x v="1"/>
    <x v="1"/>
    <d v="2024-05-31T00:00:00"/>
    <n v="1.3671232876712329"/>
    <x v="125"/>
    <x v="1"/>
    <x v="1"/>
    <x v="1"/>
    <n v="16.37"/>
    <m/>
    <m/>
    <m/>
    <m/>
    <m/>
    <m/>
    <x v="4"/>
    <n v="1"/>
    <n v="5"/>
    <m/>
    <m/>
    <m/>
    <m/>
    <m/>
    <m/>
    <m/>
    <m/>
    <m/>
    <m/>
    <m/>
    <m/>
    <m/>
    <m/>
  </r>
  <r>
    <n v="2911"/>
    <n v="53276"/>
    <d v="2003-12-08T00:00:00"/>
    <n v="22"/>
    <x v="1"/>
    <x v="1"/>
    <d v="2024-08-19T00:00:00"/>
    <n v="1.8246575342465754"/>
    <x v="125"/>
    <x v="1"/>
    <x v="2"/>
    <x v="1"/>
    <n v="14.23"/>
    <m/>
    <m/>
    <m/>
    <m/>
    <m/>
    <m/>
    <x v="3"/>
    <n v="0"/>
    <n v="5"/>
    <m/>
    <m/>
    <m/>
    <m/>
    <m/>
    <m/>
    <m/>
    <m/>
    <m/>
    <m/>
    <m/>
    <m/>
    <m/>
    <m/>
  </r>
  <r>
    <n v="2912"/>
    <n v="53277"/>
    <d v="1998-08-22T00:00:00"/>
    <n v="27"/>
    <x v="1"/>
    <x v="0"/>
    <d v="2024-03-05T00:00:00"/>
    <n v="1.6356164383561644"/>
    <x v="118"/>
    <x v="1"/>
    <x v="3"/>
    <x v="1"/>
    <n v="8.4700000000000006"/>
    <m/>
    <m/>
    <m/>
    <m/>
    <m/>
    <m/>
    <x v="2"/>
    <n v="0"/>
    <n v="4"/>
    <m/>
    <m/>
    <m/>
    <m/>
    <m/>
    <m/>
    <m/>
    <m/>
    <m/>
    <m/>
    <m/>
    <m/>
    <m/>
    <m/>
  </r>
  <r>
    <n v="2913"/>
    <n v="53278"/>
    <d v="2003-11-28T00:00:00"/>
    <n v="22"/>
    <x v="1"/>
    <x v="1"/>
    <d v="2024-05-13T00:00:00"/>
    <n v="1.7397260273972603"/>
    <x v="11"/>
    <x v="0"/>
    <x v="7"/>
    <x v="1"/>
    <n v="17.59"/>
    <m/>
    <m/>
    <m/>
    <m/>
    <m/>
    <m/>
    <x v="2"/>
    <n v="0"/>
    <n v="6"/>
    <m/>
    <m/>
    <m/>
    <m/>
    <m/>
    <m/>
    <m/>
    <m/>
    <m/>
    <m/>
    <m/>
    <m/>
    <m/>
    <m/>
  </r>
  <r>
    <n v="2914"/>
    <n v="53279"/>
    <d v="1998-04-10T00:00:00"/>
    <n v="27"/>
    <x v="0"/>
    <x v="1"/>
    <d v="2024-04-05T00:00:00"/>
    <n v="1.5917808219178082"/>
    <x v="14"/>
    <x v="0"/>
    <x v="10"/>
    <x v="1"/>
    <n v="10.64"/>
    <m/>
    <m/>
    <m/>
    <m/>
    <m/>
    <m/>
    <x v="1"/>
    <n v="1"/>
    <n v="4"/>
    <m/>
    <m/>
    <m/>
    <m/>
    <m/>
    <m/>
    <m/>
    <m/>
    <m/>
    <m/>
    <m/>
    <m/>
    <m/>
    <m/>
  </r>
  <r>
    <n v="2915"/>
    <n v="53281"/>
    <d v="1999-08-15T00:00:00"/>
    <n v="26"/>
    <x v="1"/>
    <x v="1"/>
    <d v="2024-05-29T00:00:00"/>
    <n v="1.7561643835616438"/>
    <x v="85"/>
    <x v="1"/>
    <x v="8"/>
    <x v="1"/>
    <n v="8.4700000000000006"/>
    <m/>
    <m/>
    <m/>
    <m/>
    <m/>
    <m/>
    <x v="1"/>
    <n v="1"/>
    <n v="5"/>
    <m/>
    <m/>
    <m/>
    <m/>
    <m/>
    <m/>
    <m/>
    <m/>
    <m/>
    <m/>
    <m/>
    <m/>
    <m/>
    <m/>
  </r>
  <r>
    <n v="2916"/>
    <n v="53282"/>
    <d v="1999-05-01T00:00:00"/>
    <n v="27"/>
    <x v="1"/>
    <x v="1"/>
    <d v="2024-03-30T00:00:00"/>
    <n v="1.2438356164383562"/>
    <x v="94"/>
    <x v="1"/>
    <x v="7"/>
    <x v="1"/>
    <n v="17.59"/>
    <m/>
    <m/>
    <m/>
    <m/>
    <m/>
    <m/>
    <x v="3"/>
    <n v="0"/>
    <n v="6"/>
    <m/>
    <m/>
    <m/>
    <m/>
    <m/>
    <m/>
    <m/>
    <m/>
    <m/>
    <m/>
    <m/>
    <m/>
    <m/>
    <m/>
  </r>
  <r>
    <n v="2917"/>
    <n v="53283"/>
    <d v="2002-02-16T00:00:00"/>
    <n v="23"/>
    <x v="0"/>
    <x v="1"/>
    <d v="2024-10-03T00:00:00"/>
    <n v="1.0383561643835617"/>
    <x v="99"/>
    <x v="1"/>
    <x v="10"/>
    <x v="1"/>
    <n v="10.64"/>
    <m/>
    <m/>
    <m/>
    <m/>
    <m/>
    <m/>
    <x v="2"/>
    <n v="1"/>
    <n v="4"/>
    <m/>
    <m/>
    <m/>
    <m/>
    <m/>
    <m/>
    <m/>
    <m/>
    <m/>
    <m/>
    <m/>
    <m/>
    <m/>
    <m/>
  </r>
  <r>
    <n v="2918"/>
    <n v="53284"/>
    <d v="1996-02-19T00:00:00"/>
    <n v="29"/>
    <x v="1"/>
    <x v="1"/>
    <d v="2024-12-17T00:00:00"/>
    <n v="1.5835616438356164"/>
    <x v="140"/>
    <x v="0"/>
    <x v="7"/>
    <x v="1"/>
    <n v="17.59"/>
    <m/>
    <m/>
    <m/>
    <m/>
    <m/>
    <m/>
    <x v="3"/>
    <n v="2"/>
    <n v="6"/>
    <m/>
    <m/>
    <m/>
    <m/>
    <m/>
    <m/>
    <m/>
    <m/>
    <m/>
    <m/>
    <m/>
    <m/>
    <m/>
    <m/>
  </r>
  <r>
    <n v="2919"/>
    <n v="53285"/>
    <d v="2001-02-21T00:00:00"/>
    <n v="24"/>
    <x v="0"/>
    <x v="1"/>
    <d v="2024-06-01T00:00:00"/>
    <n v="1.3095890410958904"/>
    <x v="36"/>
    <x v="0"/>
    <x v="1"/>
    <x v="1"/>
    <n v="16.37"/>
    <m/>
    <m/>
    <m/>
    <m/>
    <m/>
    <m/>
    <x v="3"/>
    <n v="0"/>
    <n v="4"/>
    <m/>
    <m/>
    <m/>
    <m/>
    <m/>
    <m/>
    <m/>
    <m/>
    <m/>
    <m/>
    <m/>
    <m/>
    <m/>
    <m/>
  </r>
  <r>
    <n v="2920"/>
    <n v="53286"/>
    <d v="1995-12-05T00:00:00"/>
    <n v="30"/>
    <x v="1"/>
    <x v="0"/>
    <d v="2024-09-09T00:00:00"/>
    <n v="1.3780821917808219"/>
    <x v="115"/>
    <x v="1"/>
    <x v="2"/>
    <x v="1"/>
    <n v="14.23"/>
    <m/>
    <m/>
    <m/>
    <m/>
    <m/>
    <m/>
    <x v="4"/>
    <n v="1"/>
    <n v="5"/>
    <m/>
    <m/>
    <m/>
    <m/>
    <m/>
    <m/>
    <m/>
    <m/>
    <m/>
    <m/>
    <m/>
    <m/>
    <m/>
    <m/>
  </r>
  <r>
    <n v="2921"/>
    <n v="53287"/>
    <d v="2001-06-01T00:00:00"/>
    <n v="25"/>
    <x v="1"/>
    <x v="1"/>
    <d v="2024-08-15T00:00:00"/>
    <n v="1.7315068493150685"/>
    <x v="60"/>
    <x v="1"/>
    <x v="7"/>
    <x v="1"/>
    <n v="17.59"/>
    <m/>
    <m/>
    <m/>
    <m/>
    <m/>
    <m/>
    <x v="4"/>
    <n v="0"/>
    <n v="5"/>
    <m/>
    <m/>
    <m/>
    <m/>
    <m/>
    <m/>
    <m/>
    <m/>
    <m/>
    <m/>
    <m/>
    <m/>
    <m/>
    <m/>
  </r>
  <r>
    <n v="2922"/>
    <n v="53288"/>
    <d v="2005-11-29T00:00:00"/>
    <n v="20"/>
    <x v="1"/>
    <x v="1"/>
    <d v="2024-04-08T00:00:00"/>
    <n v="1.3506849315068492"/>
    <x v="93"/>
    <x v="1"/>
    <x v="8"/>
    <x v="1"/>
    <n v="8.4700000000000006"/>
    <m/>
    <m/>
    <m/>
    <m/>
    <m/>
    <m/>
    <x v="1"/>
    <n v="2"/>
    <n v="6"/>
    <m/>
    <m/>
    <m/>
    <m/>
    <m/>
    <m/>
    <m/>
    <m/>
    <m/>
    <m/>
    <m/>
    <m/>
    <m/>
    <m/>
  </r>
  <r>
    <n v="2923"/>
    <n v="53289"/>
    <d v="2002-11-13T00:00:00"/>
    <n v="23"/>
    <x v="1"/>
    <x v="1"/>
    <d v="2024-08-25T00:00:00"/>
    <n v="1.8164383561643835"/>
    <x v="128"/>
    <x v="1"/>
    <x v="1"/>
    <x v="1"/>
    <n v="16.37"/>
    <m/>
    <m/>
    <m/>
    <m/>
    <m/>
    <m/>
    <x v="4"/>
    <n v="2"/>
    <n v="5"/>
    <m/>
    <m/>
    <m/>
    <m/>
    <m/>
    <m/>
    <m/>
    <m/>
    <m/>
    <m/>
    <m/>
    <m/>
    <m/>
    <m/>
  </r>
  <r>
    <n v="2924"/>
    <n v="53290"/>
    <d v="2002-05-13T00:00:00"/>
    <n v="23"/>
    <x v="1"/>
    <x v="1"/>
    <d v="2024-03-08T00:00:00"/>
    <n v="1.2767123287671234"/>
    <x v="50"/>
    <x v="0"/>
    <x v="8"/>
    <x v="1"/>
    <n v="8.4700000000000006"/>
    <m/>
    <m/>
    <m/>
    <m/>
    <m/>
    <m/>
    <x v="4"/>
    <n v="3"/>
    <n v="7"/>
    <m/>
    <m/>
    <m/>
    <m/>
    <m/>
    <m/>
    <m/>
    <m/>
    <m/>
    <m/>
    <m/>
    <m/>
    <m/>
    <m/>
  </r>
  <r>
    <n v="2925"/>
    <n v="53291"/>
    <d v="2003-10-30T00:00:00"/>
    <n v="22"/>
    <x v="1"/>
    <x v="1"/>
    <d v="2024-09-21T00:00:00"/>
    <n v="1.6"/>
    <x v="41"/>
    <x v="0"/>
    <x v="1"/>
    <x v="1"/>
    <n v="16.37"/>
    <m/>
    <m/>
    <m/>
    <m/>
    <m/>
    <m/>
    <x v="4"/>
    <n v="1"/>
    <n v="6"/>
    <m/>
    <m/>
    <m/>
    <m/>
    <m/>
    <m/>
    <m/>
    <m/>
    <m/>
    <m/>
    <m/>
    <m/>
    <m/>
    <m/>
  </r>
  <r>
    <n v="2926"/>
    <n v="53292"/>
    <d v="2006-06-08T00:00:00"/>
    <n v="19"/>
    <x v="1"/>
    <x v="0"/>
    <d v="2024-05-26T00:00:00"/>
    <n v="1.0383561643835617"/>
    <x v="123"/>
    <x v="1"/>
    <x v="8"/>
    <x v="1"/>
    <n v="8.4700000000000006"/>
    <m/>
    <m/>
    <m/>
    <m/>
    <m/>
    <m/>
    <x v="2"/>
    <n v="0"/>
    <n v="5"/>
    <m/>
    <m/>
    <m/>
    <m/>
    <m/>
    <m/>
    <m/>
    <m/>
    <m/>
    <m/>
    <m/>
    <m/>
    <m/>
    <m/>
  </r>
  <r>
    <n v="2927"/>
    <n v="53293"/>
    <d v="1999-12-22T00:00:00"/>
    <n v="26"/>
    <x v="1"/>
    <x v="1"/>
    <d v="2024-12-17T00:00:00"/>
    <n v="1.0684931506849316"/>
    <x v="81"/>
    <x v="1"/>
    <x v="7"/>
    <x v="1"/>
    <n v="17.59"/>
    <m/>
    <m/>
    <m/>
    <m/>
    <m/>
    <m/>
    <x v="2"/>
    <n v="0"/>
    <n v="4"/>
    <m/>
    <m/>
    <m/>
    <m/>
    <m/>
    <m/>
    <m/>
    <m/>
    <m/>
    <m/>
    <m/>
    <m/>
    <m/>
    <m/>
  </r>
  <r>
    <n v="2928"/>
    <n v="53294"/>
    <d v="2004-03-10T00:00:00"/>
    <n v="21"/>
    <x v="0"/>
    <x v="1"/>
    <d v="2024-12-06T00:00:00"/>
    <n v="1.4082191780821918"/>
    <x v="84"/>
    <x v="1"/>
    <x v="9"/>
    <x v="1"/>
    <n v="14.07"/>
    <m/>
    <m/>
    <m/>
    <m/>
    <m/>
    <m/>
    <x v="4"/>
    <n v="0"/>
    <n v="3"/>
    <m/>
    <m/>
    <m/>
    <m/>
    <m/>
    <m/>
    <m/>
    <m/>
    <m/>
    <m/>
    <m/>
    <m/>
    <m/>
    <m/>
  </r>
  <r>
    <n v="2929"/>
    <n v="53295"/>
    <d v="2004-07-12T00:00:00"/>
    <n v="21"/>
    <x v="0"/>
    <x v="1"/>
    <d v="2024-08-04T00:00:00"/>
    <n v="1.1863013698630136"/>
    <x v="128"/>
    <x v="1"/>
    <x v="6"/>
    <x v="1"/>
    <n v="23.78"/>
    <m/>
    <m/>
    <m/>
    <m/>
    <m/>
    <m/>
    <x v="2"/>
    <n v="6"/>
    <n v="5"/>
    <m/>
    <m/>
    <m/>
    <m/>
    <m/>
    <m/>
    <m/>
    <m/>
    <m/>
    <m/>
    <m/>
    <m/>
    <m/>
    <m/>
  </r>
  <r>
    <n v="2930"/>
    <n v="53296"/>
    <d v="2000-07-15T00:00:00"/>
    <n v="25"/>
    <x v="1"/>
    <x v="1"/>
    <d v="2024-10-24T00:00:00"/>
    <n v="1.7095890410958905"/>
    <x v="140"/>
    <x v="0"/>
    <x v="2"/>
    <x v="1"/>
    <n v="14.23"/>
    <m/>
    <m/>
    <m/>
    <m/>
    <m/>
    <m/>
    <x v="1"/>
    <n v="0"/>
    <n v="5"/>
    <m/>
    <m/>
    <m/>
    <m/>
    <m/>
    <m/>
    <m/>
    <m/>
    <m/>
    <m/>
    <m/>
    <m/>
    <m/>
    <m/>
  </r>
  <r>
    <n v="2931"/>
    <n v="53297"/>
    <d v="2002-10-18T00:00:00"/>
    <n v="23"/>
    <x v="0"/>
    <x v="1"/>
    <d v="2024-04-16T00:00:00"/>
    <n v="1.3671232876712329"/>
    <x v="72"/>
    <x v="1"/>
    <x v="6"/>
    <x v="1"/>
    <n v="23.78"/>
    <m/>
    <m/>
    <m/>
    <m/>
    <m/>
    <m/>
    <x v="2"/>
    <n v="6"/>
    <n v="6"/>
    <m/>
    <m/>
    <m/>
    <m/>
    <m/>
    <m/>
    <m/>
    <m/>
    <m/>
    <m/>
    <m/>
    <m/>
    <m/>
    <m/>
  </r>
  <r>
    <n v="2932"/>
    <n v="53298"/>
    <d v="2000-12-09T00:00:00"/>
    <n v="25"/>
    <x v="0"/>
    <x v="1"/>
    <d v="2024-08-19T00:00:00"/>
    <n v="1.7013698630136986"/>
    <x v="111"/>
    <x v="1"/>
    <x v="7"/>
    <x v="1"/>
    <n v="17.59"/>
    <m/>
    <m/>
    <m/>
    <m/>
    <m/>
    <m/>
    <x v="4"/>
    <n v="2"/>
    <n v="5"/>
    <m/>
    <m/>
    <m/>
    <m/>
    <m/>
    <m/>
    <m/>
    <m/>
    <m/>
    <m/>
    <m/>
    <m/>
    <m/>
    <m/>
  </r>
  <r>
    <n v="2933"/>
    <n v="53299"/>
    <d v="2005-10-12T00:00:00"/>
    <n v="20"/>
    <x v="0"/>
    <x v="1"/>
    <d v="2024-04-19T00:00:00"/>
    <n v="1.1863013698630136"/>
    <x v="0"/>
    <x v="0"/>
    <x v="10"/>
    <x v="1"/>
    <n v="10.64"/>
    <m/>
    <m/>
    <m/>
    <m/>
    <m/>
    <m/>
    <x v="3"/>
    <n v="0"/>
    <n v="4"/>
    <m/>
    <m/>
    <m/>
    <m/>
    <m/>
    <m/>
    <m/>
    <m/>
    <m/>
    <m/>
    <m/>
    <m/>
    <m/>
    <m/>
  </r>
  <r>
    <n v="2934"/>
    <n v="53300"/>
    <d v="2007-06-21T00:00:00"/>
    <n v="18"/>
    <x v="1"/>
    <x v="0"/>
    <d v="2024-10-24T00:00:00"/>
    <n v="1.0054794520547945"/>
    <x v="10"/>
    <x v="0"/>
    <x v="8"/>
    <x v="1"/>
    <n v="8.4700000000000006"/>
    <m/>
    <m/>
    <m/>
    <m/>
    <m/>
    <m/>
    <x v="4"/>
    <n v="3"/>
    <n v="6"/>
    <m/>
    <m/>
    <m/>
    <m/>
    <m/>
    <m/>
    <m/>
    <m/>
    <m/>
    <m/>
    <m/>
    <m/>
    <m/>
    <m/>
  </r>
  <r>
    <n v="2935"/>
    <n v="53301"/>
    <d v="2003-11-05T00:00:00"/>
    <n v="22"/>
    <x v="0"/>
    <x v="1"/>
    <d v="2024-12-29T00:00:00"/>
    <n v="1.6575342465753424"/>
    <x v="24"/>
    <x v="0"/>
    <x v="10"/>
    <x v="1"/>
    <n v="10.64"/>
    <m/>
    <m/>
    <m/>
    <m/>
    <m/>
    <m/>
    <x v="1"/>
    <n v="0"/>
    <n v="5"/>
    <m/>
    <m/>
    <m/>
    <m/>
    <m/>
    <m/>
    <m/>
    <m/>
    <m/>
    <m/>
    <m/>
    <m/>
    <m/>
    <m/>
  </r>
  <r>
    <n v="2936"/>
    <n v="53302"/>
    <d v="2000-12-13T00:00:00"/>
    <n v="25"/>
    <x v="0"/>
    <x v="1"/>
    <d v="2024-05-05T00:00:00"/>
    <n v="1.8246575342465754"/>
    <x v="6"/>
    <x v="1"/>
    <x v="7"/>
    <x v="1"/>
    <n v="17.59"/>
    <m/>
    <m/>
    <m/>
    <m/>
    <m/>
    <m/>
    <x v="4"/>
    <n v="2"/>
    <n v="3"/>
    <m/>
    <m/>
    <m/>
    <m/>
    <m/>
    <m/>
    <m/>
    <m/>
    <m/>
    <m/>
    <m/>
    <m/>
    <m/>
    <m/>
  </r>
  <r>
    <n v="2937"/>
    <n v="53303"/>
    <d v="1997-11-06T00:00:00"/>
    <n v="28"/>
    <x v="1"/>
    <x v="1"/>
    <d v="2024-03-05T00:00:00"/>
    <n v="1.7178082191780821"/>
    <x v="92"/>
    <x v="1"/>
    <x v="8"/>
    <x v="1"/>
    <n v="8.4700000000000006"/>
    <m/>
    <m/>
    <m/>
    <m/>
    <m/>
    <m/>
    <x v="3"/>
    <n v="2"/>
    <n v="6"/>
    <m/>
    <m/>
    <m/>
    <m/>
    <m/>
    <m/>
    <m/>
    <m/>
    <m/>
    <m/>
    <m/>
    <m/>
    <m/>
    <m/>
  </r>
  <r>
    <n v="2938"/>
    <n v="53304"/>
    <d v="2003-07-19T00:00:00"/>
    <n v="22"/>
    <x v="1"/>
    <x v="0"/>
    <d v="2024-04-13T00:00:00"/>
    <n v="1.5506849315068494"/>
    <x v="0"/>
    <x v="0"/>
    <x v="8"/>
    <x v="1"/>
    <n v="8.4700000000000006"/>
    <m/>
    <m/>
    <m/>
    <m/>
    <m/>
    <m/>
    <x v="4"/>
    <n v="2"/>
    <n v="4"/>
    <m/>
    <m/>
    <m/>
    <m/>
    <m/>
    <m/>
    <m/>
    <m/>
    <m/>
    <m/>
    <m/>
    <m/>
    <m/>
    <m/>
  </r>
  <r>
    <n v="2939"/>
    <n v="53305"/>
    <d v="2001-07-26T00:00:00"/>
    <n v="24"/>
    <x v="1"/>
    <x v="0"/>
    <d v="2024-06-13T00:00:00"/>
    <n v="1.6684931506849314"/>
    <x v="3"/>
    <x v="0"/>
    <x v="11"/>
    <x v="1"/>
    <n v="17"/>
    <m/>
    <m/>
    <m/>
    <m/>
    <m/>
    <m/>
    <x v="4"/>
    <n v="3"/>
    <n v="6"/>
    <m/>
    <m/>
    <m/>
    <m/>
    <m/>
    <m/>
    <m/>
    <m/>
    <m/>
    <m/>
    <m/>
    <m/>
    <m/>
    <m/>
  </r>
  <r>
    <n v="2940"/>
    <n v="53306"/>
    <d v="2002-04-10T00:00:00"/>
    <n v="23"/>
    <x v="1"/>
    <x v="1"/>
    <d v="2024-05-01T00:00:00"/>
    <n v="1.4438356164383561"/>
    <x v="88"/>
    <x v="0"/>
    <x v="8"/>
    <x v="1"/>
    <n v="8.4700000000000006"/>
    <m/>
    <m/>
    <m/>
    <m/>
    <m/>
    <m/>
    <x v="4"/>
    <n v="4"/>
    <n v="7"/>
    <m/>
    <m/>
    <m/>
    <m/>
    <m/>
    <m/>
    <m/>
    <m/>
    <m/>
    <m/>
    <m/>
    <m/>
    <m/>
    <m/>
  </r>
  <r>
    <n v="2941"/>
    <n v="53307"/>
    <d v="2005-07-24T00:00:00"/>
    <n v="20"/>
    <x v="1"/>
    <x v="0"/>
    <d v="2024-07-22T00:00:00"/>
    <n v="1.526027397260274"/>
    <x v="23"/>
    <x v="0"/>
    <x v="9"/>
    <x v="1"/>
    <n v="14.07"/>
    <m/>
    <m/>
    <m/>
    <m/>
    <m/>
    <m/>
    <x v="1"/>
    <n v="1"/>
    <n v="6"/>
    <m/>
    <m/>
    <m/>
    <m/>
    <m/>
    <m/>
    <m/>
    <m/>
    <m/>
    <m/>
    <m/>
    <m/>
    <m/>
    <m/>
  </r>
  <r>
    <n v="2942"/>
    <n v="53308"/>
    <d v="2006-09-11T00:00:00"/>
    <n v="19"/>
    <x v="1"/>
    <x v="1"/>
    <d v="2024-06-22T00:00:00"/>
    <n v="1.7397260273972603"/>
    <x v="52"/>
    <x v="0"/>
    <x v="8"/>
    <x v="1"/>
    <n v="8.4700000000000006"/>
    <m/>
    <m/>
    <m/>
    <m/>
    <m/>
    <m/>
    <x v="4"/>
    <n v="4"/>
    <n v="7"/>
    <m/>
    <m/>
    <m/>
    <m/>
    <m/>
    <m/>
    <m/>
    <m/>
    <m/>
    <m/>
    <m/>
    <m/>
    <m/>
    <m/>
  </r>
  <r>
    <n v="2943"/>
    <n v="53309"/>
    <d v="2006-07-03T00:00:00"/>
    <n v="19"/>
    <x v="1"/>
    <x v="0"/>
    <d v="2024-04-05T00:00:00"/>
    <n v="1.4383561643835616"/>
    <x v="61"/>
    <x v="0"/>
    <x v="1"/>
    <x v="1"/>
    <n v="16.37"/>
    <m/>
    <m/>
    <m/>
    <m/>
    <m/>
    <m/>
    <x v="2"/>
    <n v="0"/>
    <n v="5"/>
    <m/>
    <m/>
    <m/>
    <m/>
    <m/>
    <m/>
    <m/>
    <m/>
    <m/>
    <m/>
    <m/>
    <m/>
    <m/>
    <m/>
  </r>
  <r>
    <n v="2944"/>
    <n v="53310"/>
    <d v="2002-03-15T00:00:00"/>
    <n v="23"/>
    <x v="1"/>
    <x v="0"/>
    <d v="2024-07-24T00:00:00"/>
    <n v="1.0739726027397261"/>
    <x v="63"/>
    <x v="0"/>
    <x v="8"/>
    <x v="1"/>
    <n v="8.4700000000000006"/>
    <m/>
    <m/>
    <m/>
    <m/>
    <m/>
    <m/>
    <x v="3"/>
    <n v="2"/>
    <n v="7"/>
    <m/>
    <m/>
    <m/>
    <m/>
    <m/>
    <m/>
    <m/>
    <m/>
    <m/>
    <m/>
    <m/>
    <m/>
    <m/>
    <m/>
  </r>
  <r>
    <n v="2945"/>
    <n v="53311"/>
    <d v="1999-09-19T00:00:00"/>
    <n v="26"/>
    <x v="1"/>
    <x v="1"/>
    <d v="2024-12-04T00:00:00"/>
    <n v="1.2136986301369863"/>
    <x v="37"/>
    <x v="0"/>
    <x v="8"/>
    <x v="1"/>
    <n v="8.4700000000000006"/>
    <m/>
    <m/>
    <m/>
    <m/>
    <m/>
    <m/>
    <x v="1"/>
    <n v="3"/>
    <n v="5"/>
    <m/>
    <m/>
    <m/>
    <m/>
    <m/>
    <m/>
    <m/>
    <m/>
    <m/>
    <m/>
    <m/>
    <m/>
    <m/>
    <m/>
  </r>
  <r>
    <n v="2946"/>
    <n v="53312"/>
    <d v="2004-05-09T00:00:00"/>
    <n v="21"/>
    <x v="1"/>
    <x v="1"/>
    <d v="2024-10-14T00:00:00"/>
    <n v="1.1808219178082191"/>
    <x v="105"/>
    <x v="1"/>
    <x v="2"/>
    <x v="1"/>
    <n v="14.23"/>
    <m/>
    <m/>
    <m/>
    <m/>
    <m/>
    <m/>
    <x v="4"/>
    <n v="0"/>
    <n v="5"/>
    <m/>
    <m/>
    <m/>
    <m/>
    <m/>
    <m/>
    <m/>
    <m/>
    <m/>
    <m/>
    <m/>
    <m/>
    <m/>
    <m/>
  </r>
  <r>
    <n v="2947"/>
    <n v="53315"/>
    <d v="1997-03-04T00:00:00"/>
    <n v="28"/>
    <x v="0"/>
    <x v="1"/>
    <d v="2024-10-26T00:00:00"/>
    <n v="1.1342465753424658"/>
    <x v="118"/>
    <x v="1"/>
    <x v="6"/>
    <x v="1"/>
    <n v="23.78"/>
    <m/>
    <m/>
    <m/>
    <m/>
    <m/>
    <m/>
    <x v="3"/>
    <n v="5"/>
    <n v="5"/>
    <m/>
    <m/>
    <m/>
    <m/>
    <m/>
    <m/>
    <m/>
    <m/>
    <m/>
    <m/>
    <m/>
    <m/>
    <m/>
    <m/>
  </r>
  <r>
    <n v="2948"/>
    <n v="53317"/>
    <d v="2001-03-17T00:00:00"/>
    <n v="24"/>
    <x v="0"/>
    <x v="1"/>
    <d v="2024-11-12T00:00:00"/>
    <n v="1.4082191780821918"/>
    <x v="110"/>
    <x v="1"/>
    <x v="7"/>
    <x v="1"/>
    <n v="17.59"/>
    <m/>
    <m/>
    <m/>
    <m/>
    <m/>
    <m/>
    <x v="3"/>
    <n v="2"/>
    <n v="4"/>
    <m/>
    <m/>
    <m/>
    <m/>
    <m/>
    <m/>
    <m/>
    <m/>
    <m/>
    <m/>
    <m/>
    <m/>
    <m/>
    <m/>
  </r>
  <r>
    <n v="2949"/>
    <n v="53318"/>
    <d v="1999-04-06T00:00:00"/>
    <n v="26"/>
    <x v="1"/>
    <x v="0"/>
    <d v="2024-08-04T00:00:00"/>
    <n v="1.5506849315068494"/>
    <x v="84"/>
    <x v="1"/>
    <x v="7"/>
    <x v="1"/>
    <n v="17.59"/>
    <m/>
    <m/>
    <m/>
    <m/>
    <m/>
    <m/>
    <x v="1"/>
    <n v="2"/>
    <n v="5"/>
    <m/>
    <m/>
    <m/>
    <m/>
    <m/>
    <m/>
    <m/>
    <m/>
    <m/>
    <m/>
    <m/>
    <m/>
    <m/>
    <m/>
  </r>
  <r>
    <n v="2950"/>
    <n v="53319"/>
    <d v="1997-12-23T00:00:00"/>
    <n v="28"/>
    <x v="1"/>
    <x v="1"/>
    <d v="2024-06-13T00:00:00"/>
    <n v="1.2164383561643837"/>
    <x v="128"/>
    <x v="1"/>
    <x v="8"/>
    <x v="1"/>
    <n v="8.4700000000000006"/>
    <m/>
    <m/>
    <m/>
    <m/>
    <m/>
    <m/>
    <x v="1"/>
    <n v="1"/>
    <n v="6"/>
    <m/>
    <m/>
    <m/>
    <m/>
    <m/>
    <m/>
    <m/>
    <m/>
    <m/>
    <m/>
    <m/>
    <m/>
    <m/>
    <m/>
  </r>
  <r>
    <n v="2951"/>
    <n v="53320"/>
    <d v="2001-04-08T00:00:00"/>
    <n v="24"/>
    <x v="0"/>
    <x v="1"/>
    <d v="2024-10-13T00:00:00"/>
    <n v="1.7123287671232876"/>
    <x v="136"/>
    <x v="0"/>
    <x v="7"/>
    <x v="1"/>
    <n v="17.59"/>
    <m/>
    <m/>
    <m/>
    <m/>
    <m/>
    <m/>
    <x v="1"/>
    <n v="2"/>
    <n v="3"/>
    <m/>
    <m/>
    <m/>
    <m/>
    <m/>
    <m/>
    <m/>
    <m/>
    <m/>
    <m/>
    <m/>
    <m/>
    <m/>
    <m/>
  </r>
  <r>
    <n v="2952"/>
    <n v="53321"/>
    <d v="1995-04-12T00:00:00"/>
    <n v="30"/>
    <x v="0"/>
    <x v="1"/>
    <d v="2024-04-15T00:00:00"/>
    <n v="1.6246575342465754"/>
    <x v="70"/>
    <x v="1"/>
    <x v="2"/>
    <x v="1"/>
    <n v="14.23"/>
    <m/>
    <m/>
    <m/>
    <m/>
    <m/>
    <m/>
    <x v="4"/>
    <n v="0"/>
    <n v="4"/>
    <m/>
    <m/>
    <m/>
    <m/>
    <m/>
    <m/>
    <m/>
    <m/>
    <m/>
    <m/>
    <m/>
    <m/>
    <m/>
    <m/>
  </r>
  <r>
    <n v="2953"/>
    <n v="53322"/>
    <d v="1995-04-18T00:00:00"/>
    <n v="30"/>
    <x v="0"/>
    <x v="0"/>
    <d v="2024-05-17T00:00:00"/>
    <n v="1.7068493150684931"/>
    <x v="106"/>
    <x v="1"/>
    <x v="2"/>
    <x v="1"/>
    <n v="14.23"/>
    <m/>
    <m/>
    <m/>
    <m/>
    <m/>
    <m/>
    <x v="2"/>
    <n v="0"/>
    <n v="2"/>
    <m/>
    <m/>
    <m/>
    <m/>
    <m/>
    <m/>
    <m/>
    <m/>
    <m/>
    <m/>
    <m/>
    <m/>
    <m/>
    <m/>
  </r>
  <r>
    <n v="2954"/>
    <n v="53323"/>
    <d v="2001-03-21T00:00:00"/>
    <n v="24"/>
    <x v="1"/>
    <x v="0"/>
    <d v="2024-04-17T00:00:00"/>
    <n v="1.8904109589041096"/>
    <x v="115"/>
    <x v="1"/>
    <x v="1"/>
    <x v="1"/>
    <n v="16.37"/>
    <m/>
    <m/>
    <m/>
    <m/>
    <m/>
    <m/>
    <x v="3"/>
    <n v="2"/>
    <n v="6"/>
    <m/>
    <m/>
    <m/>
    <m/>
    <m/>
    <m/>
    <m/>
    <m/>
    <m/>
    <m/>
    <m/>
    <m/>
    <m/>
    <m/>
  </r>
  <r>
    <n v="2955"/>
    <n v="53324"/>
    <d v="2004-04-15T00:00:00"/>
    <n v="21"/>
    <x v="1"/>
    <x v="0"/>
    <d v="2024-02-10T00:00:00"/>
    <n v="1.3835616438356164"/>
    <x v="60"/>
    <x v="1"/>
    <x v="3"/>
    <x v="1"/>
    <n v="8.4700000000000006"/>
    <m/>
    <m/>
    <m/>
    <m/>
    <m/>
    <m/>
    <x v="4"/>
    <n v="2"/>
    <n v="5"/>
    <m/>
    <m/>
    <m/>
    <m/>
    <m/>
    <m/>
    <m/>
    <m/>
    <m/>
    <m/>
    <m/>
    <m/>
    <m/>
    <m/>
  </r>
  <r>
    <n v="2956"/>
    <n v="53325"/>
    <d v="2004-03-12T00:00:00"/>
    <n v="21"/>
    <x v="1"/>
    <x v="1"/>
    <d v="2024-08-13T00:00:00"/>
    <n v="1.3369863013698631"/>
    <x v="68"/>
    <x v="1"/>
    <x v="3"/>
    <x v="1"/>
    <n v="8.4700000000000006"/>
    <m/>
    <m/>
    <m/>
    <m/>
    <m/>
    <m/>
    <x v="1"/>
    <n v="4"/>
    <n v="5"/>
    <m/>
    <m/>
    <m/>
    <m/>
    <m/>
    <m/>
    <m/>
    <m/>
    <m/>
    <m/>
    <m/>
    <m/>
    <m/>
    <m/>
  </r>
  <r>
    <n v="2957"/>
    <n v="53326"/>
    <d v="2000-02-01T00:00:00"/>
    <n v="26"/>
    <x v="1"/>
    <x v="1"/>
    <d v="2024-08-30T00:00:00"/>
    <n v="1.7452054794520548"/>
    <x v="3"/>
    <x v="0"/>
    <x v="9"/>
    <x v="1"/>
    <n v="14.07"/>
    <m/>
    <m/>
    <m/>
    <m/>
    <m/>
    <m/>
    <x v="1"/>
    <n v="0"/>
    <n v="6"/>
    <m/>
    <m/>
    <m/>
    <m/>
    <m/>
    <m/>
    <m/>
    <m/>
    <m/>
    <m/>
    <m/>
    <m/>
    <m/>
    <m/>
  </r>
  <r>
    <n v="2958"/>
    <n v="53327"/>
    <d v="2001-10-11T00:00:00"/>
    <n v="24"/>
    <x v="0"/>
    <x v="1"/>
    <d v="2024-04-03T00:00:00"/>
    <n v="1.3287671232876712"/>
    <x v="112"/>
    <x v="1"/>
    <x v="2"/>
    <x v="1"/>
    <n v="14.23"/>
    <m/>
    <m/>
    <m/>
    <m/>
    <m/>
    <m/>
    <x v="2"/>
    <n v="1"/>
    <n v="4"/>
    <m/>
    <m/>
    <m/>
    <m/>
    <m/>
    <m/>
    <m/>
    <m/>
    <m/>
    <m/>
    <m/>
    <m/>
    <m/>
    <m/>
  </r>
  <r>
    <n v="2959"/>
    <n v="53328"/>
    <d v="1998-03-03T00:00:00"/>
    <n v="27"/>
    <x v="0"/>
    <x v="1"/>
    <d v="2024-09-02T00:00:00"/>
    <n v="1.010958904109589"/>
    <x v="112"/>
    <x v="1"/>
    <x v="7"/>
    <x v="1"/>
    <n v="17.59"/>
    <m/>
    <m/>
    <m/>
    <m/>
    <m/>
    <m/>
    <x v="1"/>
    <n v="2"/>
    <n v="5"/>
    <m/>
    <m/>
    <m/>
    <m/>
    <m/>
    <m/>
    <m/>
    <m/>
    <m/>
    <m/>
    <m/>
    <m/>
    <m/>
    <m/>
  </r>
  <r>
    <n v="2960"/>
    <n v="53329"/>
    <d v="1998-05-13T00:00:00"/>
    <n v="27"/>
    <x v="1"/>
    <x v="1"/>
    <d v="2024-12-27T00:00:00"/>
    <n v="1.441095890410959"/>
    <x v="0"/>
    <x v="0"/>
    <x v="8"/>
    <x v="1"/>
    <n v="8.4700000000000006"/>
    <m/>
    <m/>
    <m/>
    <m/>
    <m/>
    <m/>
    <x v="4"/>
    <n v="4"/>
    <n v="7"/>
    <m/>
    <m/>
    <m/>
    <m/>
    <m/>
    <m/>
    <m/>
    <m/>
    <m/>
    <m/>
    <m/>
    <m/>
    <m/>
    <m/>
  </r>
  <r>
    <n v="2961"/>
    <n v="53330"/>
    <d v="2000-03-17T00:00:00"/>
    <n v="25"/>
    <x v="0"/>
    <x v="1"/>
    <d v="2024-07-23T00:00:00"/>
    <n v="1.4602739726027398"/>
    <x v="111"/>
    <x v="1"/>
    <x v="10"/>
    <x v="1"/>
    <n v="10.64"/>
    <m/>
    <m/>
    <m/>
    <m/>
    <m/>
    <m/>
    <x v="1"/>
    <n v="1"/>
    <n v="4"/>
    <m/>
    <m/>
    <m/>
    <m/>
    <m/>
    <m/>
    <m/>
    <m/>
    <m/>
    <m/>
    <m/>
    <m/>
    <m/>
    <m/>
  </r>
  <r>
    <n v="2962"/>
    <n v="53331"/>
    <d v="2004-11-03T00:00:00"/>
    <n v="21"/>
    <x v="1"/>
    <x v="1"/>
    <d v="2024-07-16T00:00:00"/>
    <n v="1.452054794520548"/>
    <x v="118"/>
    <x v="1"/>
    <x v="9"/>
    <x v="1"/>
    <n v="14.07"/>
    <m/>
    <m/>
    <m/>
    <m/>
    <m/>
    <m/>
    <x v="2"/>
    <n v="0"/>
    <n v="5"/>
    <m/>
    <m/>
    <m/>
    <m/>
    <m/>
    <m/>
    <m/>
    <m/>
    <m/>
    <m/>
    <m/>
    <m/>
    <m/>
    <m/>
  </r>
  <r>
    <n v="2963"/>
    <n v="53332"/>
    <d v="2005-03-18T00:00:00"/>
    <n v="20"/>
    <x v="0"/>
    <x v="1"/>
    <d v="2024-07-19T00:00:00"/>
    <n v="1.536986301369863"/>
    <x v="97"/>
    <x v="1"/>
    <x v="1"/>
    <x v="1"/>
    <n v="16.37"/>
    <m/>
    <m/>
    <m/>
    <m/>
    <m/>
    <m/>
    <x v="2"/>
    <n v="1"/>
    <n v="4"/>
    <m/>
    <m/>
    <m/>
    <m/>
    <m/>
    <m/>
    <m/>
    <m/>
    <m/>
    <m/>
    <m/>
    <m/>
    <m/>
    <m/>
  </r>
  <r>
    <n v="2964"/>
    <n v="53333"/>
    <d v="2002-09-23T00:00:00"/>
    <n v="23"/>
    <x v="0"/>
    <x v="1"/>
    <d v="2024-06-18T00:00:00"/>
    <n v="1.7753424657534247"/>
    <x v="137"/>
    <x v="0"/>
    <x v="7"/>
    <x v="1"/>
    <n v="17.59"/>
    <m/>
    <m/>
    <m/>
    <m/>
    <m/>
    <m/>
    <x v="4"/>
    <n v="2"/>
    <n v="4"/>
    <m/>
    <m/>
    <m/>
    <m/>
    <m/>
    <m/>
    <m/>
    <m/>
    <m/>
    <m/>
    <m/>
    <m/>
    <m/>
    <m/>
  </r>
  <r>
    <n v="2965"/>
    <n v="53334"/>
    <d v="2004-05-26T00:00:00"/>
    <n v="21"/>
    <x v="1"/>
    <x v="0"/>
    <d v="2024-03-23T00:00:00"/>
    <n v="1.6136986301369862"/>
    <x v="31"/>
    <x v="0"/>
    <x v="10"/>
    <x v="1"/>
    <n v="10.64"/>
    <m/>
    <m/>
    <m/>
    <m/>
    <m/>
    <m/>
    <x v="3"/>
    <n v="0"/>
    <n v="3"/>
    <m/>
    <m/>
    <m/>
    <m/>
    <m/>
    <m/>
    <m/>
    <m/>
    <m/>
    <m/>
    <m/>
    <m/>
    <m/>
    <m/>
  </r>
  <r>
    <n v="2966"/>
    <n v="53335"/>
    <d v="2003-12-24T00:00:00"/>
    <n v="22"/>
    <x v="1"/>
    <x v="0"/>
    <d v="2024-05-21T00:00:00"/>
    <n v="1.6082191780821917"/>
    <x v="42"/>
    <x v="0"/>
    <x v="8"/>
    <x v="1"/>
    <n v="8.4700000000000006"/>
    <m/>
    <m/>
    <m/>
    <m/>
    <m/>
    <m/>
    <x v="4"/>
    <n v="1"/>
    <n v="5"/>
    <m/>
    <m/>
    <m/>
    <m/>
    <m/>
    <m/>
    <m/>
    <m/>
    <m/>
    <m/>
    <m/>
    <m/>
    <m/>
    <m/>
  </r>
  <r>
    <n v="2967"/>
    <n v="53336"/>
    <d v="2000-05-22T00:00:00"/>
    <n v="25"/>
    <x v="1"/>
    <x v="1"/>
    <d v="2024-05-23T00:00:00"/>
    <n v="1.5287671232876712"/>
    <x v="46"/>
    <x v="1"/>
    <x v="8"/>
    <x v="1"/>
    <n v="8.4700000000000006"/>
    <m/>
    <m/>
    <m/>
    <m/>
    <m/>
    <m/>
    <x v="2"/>
    <n v="3"/>
    <n v="7"/>
    <m/>
    <m/>
    <m/>
    <m/>
    <m/>
    <m/>
    <m/>
    <m/>
    <m/>
    <m/>
    <m/>
    <m/>
    <m/>
    <m/>
  </r>
  <r>
    <n v="2968"/>
    <n v="53337"/>
    <d v="1991-10-02T00:00:00"/>
    <n v="34"/>
    <x v="1"/>
    <x v="1"/>
    <d v="2024-06-21T00:00:00"/>
    <n v="1.789041095890411"/>
    <x v="93"/>
    <x v="1"/>
    <x v="1"/>
    <x v="1"/>
    <n v="16.37"/>
    <m/>
    <m/>
    <m/>
    <m/>
    <m/>
    <m/>
    <x v="1"/>
    <n v="1"/>
    <n v="4"/>
    <m/>
    <m/>
    <m/>
    <m/>
    <m/>
    <m/>
    <m/>
    <m/>
    <m/>
    <m/>
    <m/>
    <m/>
    <m/>
    <m/>
  </r>
  <r>
    <n v="2969"/>
    <n v="53338"/>
    <d v="2002-03-07T00:00:00"/>
    <n v="23"/>
    <x v="1"/>
    <x v="1"/>
    <d v="2024-03-18T00:00:00"/>
    <n v="1.6027397260273972"/>
    <x v="100"/>
    <x v="1"/>
    <x v="7"/>
    <x v="1"/>
    <n v="17.59"/>
    <m/>
    <m/>
    <m/>
    <m/>
    <m/>
    <m/>
    <x v="4"/>
    <n v="2"/>
    <n v="6"/>
    <m/>
    <m/>
    <m/>
    <m/>
    <m/>
    <m/>
    <m/>
    <m/>
    <m/>
    <m/>
    <m/>
    <m/>
    <m/>
    <m/>
  </r>
  <r>
    <n v="2970"/>
    <n v="53339"/>
    <d v="1997-06-03T00:00:00"/>
    <n v="28"/>
    <x v="1"/>
    <x v="1"/>
    <d v="2024-05-25T00:00:00"/>
    <n v="1.8547945205479452"/>
    <x v="110"/>
    <x v="1"/>
    <x v="11"/>
    <x v="1"/>
    <n v="17"/>
    <m/>
    <m/>
    <m/>
    <m/>
    <m/>
    <m/>
    <x v="1"/>
    <n v="0"/>
    <n v="7"/>
    <m/>
    <m/>
    <m/>
    <m/>
    <m/>
    <m/>
    <m/>
    <m/>
    <m/>
    <m/>
    <m/>
    <m/>
    <m/>
    <m/>
  </r>
  <r>
    <n v="2971"/>
    <n v="53340"/>
    <d v="1998-02-06T00:00:00"/>
    <n v="27"/>
    <x v="1"/>
    <x v="0"/>
    <d v="2024-02-23T00:00:00"/>
    <n v="1.0438356164383562"/>
    <x v="98"/>
    <x v="1"/>
    <x v="8"/>
    <x v="1"/>
    <n v="8.4700000000000006"/>
    <m/>
    <m/>
    <m/>
    <m/>
    <m/>
    <m/>
    <x v="1"/>
    <n v="2"/>
    <n v="5"/>
    <m/>
    <m/>
    <m/>
    <m/>
    <m/>
    <m/>
    <m/>
    <m/>
    <m/>
    <m/>
    <m/>
    <m/>
    <m/>
    <m/>
  </r>
  <r>
    <n v="2972"/>
    <n v="53341"/>
    <d v="2002-07-14T00:00:00"/>
    <n v="23"/>
    <x v="0"/>
    <x v="1"/>
    <d v="2024-12-15T00:00:00"/>
    <n v="1.5616438356164384"/>
    <x v="97"/>
    <x v="1"/>
    <x v="10"/>
    <x v="1"/>
    <n v="10.64"/>
    <m/>
    <m/>
    <m/>
    <m/>
    <m/>
    <m/>
    <x v="3"/>
    <n v="1"/>
    <n v="3"/>
    <m/>
    <m/>
    <m/>
    <m/>
    <m/>
    <m/>
    <m/>
    <m/>
    <m/>
    <m/>
    <m/>
    <m/>
    <m/>
    <m/>
  </r>
  <r>
    <n v="2973"/>
    <n v="53342"/>
    <d v="1995-06-01T00:00:00"/>
    <n v="31"/>
    <x v="0"/>
    <x v="1"/>
    <d v="2024-06-09T00:00:00"/>
    <n v="1.3753424657534246"/>
    <x v="10"/>
    <x v="0"/>
    <x v="1"/>
    <x v="1"/>
    <n v="16.37"/>
    <m/>
    <m/>
    <m/>
    <m/>
    <m/>
    <m/>
    <x v="3"/>
    <n v="1"/>
    <n v="5"/>
    <m/>
    <m/>
    <m/>
    <m/>
    <m/>
    <m/>
    <m/>
    <m/>
    <m/>
    <m/>
    <m/>
    <m/>
    <m/>
    <m/>
  </r>
  <r>
    <n v="2974"/>
    <n v="53343"/>
    <d v="2003-10-15T00:00:00"/>
    <n v="22"/>
    <x v="1"/>
    <x v="1"/>
    <d v="2024-08-16T00:00:00"/>
    <n v="1.0931506849315069"/>
    <x v="43"/>
    <x v="1"/>
    <x v="2"/>
    <x v="1"/>
    <n v="14.23"/>
    <m/>
    <m/>
    <m/>
    <m/>
    <m/>
    <m/>
    <x v="4"/>
    <n v="1"/>
    <n v="7"/>
    <m/>
    <m/>
    <m/>
    <m/>
    <m/>
    <m/>
    <m/>
    <m/>
    <m/>
    <m/>
    <m/>
    <m/>
    <m/>
    <m/>
  </r>
  <r>
    <n v="2975"/>
    <n v="53344"/>
    <d v="2005-10-31T00:00:00"/>
    <n v="20"/>
    <x v="1"/>
    <x v="0"/>
    <d v="2024-11-27T00:00:00"/>
    <n v="1.8054794520547945"/>
    <x v="46"/>
    <x v="1"/>
    <x v="3"/>
    <x v="1"/>
    <n v="8.4700000000000006"/>
    <m/>
    <m/>
    <m/>
    <m/>
    <m/>
    <m/>
    <x v="4"/>
    <n v="0"/>
    <n v="7"/>
    <m/>
    <m/>
    <m/>
    <m/>
    <m/>
    <m/>
    <m/>
    <m/>
    <m/>
    <m/>
    <m/>
    <m/>
    <m/>
    <m/>
  </r>
  <r>
    <n v="2976"/>
    <n v="53345"/>
    <d v="2000-06-07T00:00:00"/>
    <n v="25"/>
    <x v="1"/>
    <x v="1"/>
    <d v="2024-03-12T00:00:00"/>
    <n v="1.0876712328767124"/>
    <x v="101"/>
    <x v="1"/>
    <x v="10"/>
    <x v="1"/>
    <n v="10.64"/>
    <m/>
    <m/>
    <m/>
    <m/>
    <m/>
    <m/>
    <x v="3"/>
    <n v="1"/>
    <n v="5"/>
    <m/>
    <m/>
    <m/>
    <m/>
    <m/>
    <m/>
    <m/>
    <m/>
    <m/>
    <m/>
    <m/>
    <m/>
    <m/>
    <m/>
  </r>
  <r>
    <n v="2977"/>
    <n v="53346"/>
    <d v="2001-11-01T00:00:00"/>
    <n v="25"/>
    <x v="1"/>
    <x v="0"/>
    <d v="2024-11-29T00:00:00"/>
    <n v="1.5643835616438355"/>
    <x v="28"/>
    <x v="0"/>
    <x v="6"/>
    <x v="1"/>
    <n v="23.78"/>
    <m/>
    <m/>
    <m/>
    <m/>
    <m/>
    <m/>
    <x v="1"/>
    <n v="7"/>
    <n v="6"/>
    <m/>
    <m/>
    <m/>
    <m/>
    <m/>
    <m/>
    <m/>
    <m/>
    <m/>
    <m/>
    <m/>
    <m/>
    <m/>
    <m/>
  </r>
  <r>
    <n v="2978"/>
    <n v="53347"/>
    <d v="2004-12-09T00:00:00"/>
    <n v="21"/>
    <x v="1"/>
    <x v="1"/>
    <d v="2024-06-08T00:00:00"/>
    <n v="1.3589041095890411"/>
    <x v="61"/>
    <x v="0"/>
    <x v="8"/>
    <x v="1"/>
    <n v="8.4700000000000006"/>
    <m/>
    <m/>
    <m/>
    <m/>
    <m/>
    <m/>
    <x v="1"/>
    <n v="1"/>
    <n v="5"/>
    <m/>
    <m/>
    <m/>
    <m/>
    <m/>
    <m/>
    <m/>
    <m/>
    <m/>
    <m/>
    <m/>
    <m/>
    <m/>
    <m/>
  </r>
  <r>
    <n v="2979"/>
    <n v="53348"/>
    <d v="2005-12-19T00:00:00"/>
    <n v="20"/>
    <x v="0"/>
    <x v="0"/>
    <d v="2024-08-22T00:00:00"/>
    <n v="1.5123287671232877"/>
    <x v="63"/>
    <x v="0"/>
    <x v="10"/>
    <x v="1"/>
    <n v="10.64"/>
    <m/>
    <m/>
    <m/>
    <m/>
    <m/>
    <m/>
    <x v="3"/>
    <n v="0"/>
    <n v="4"/>
    <m/>
    <m/>
    <m/>
    <m/>
    <m/>
    <m/>
    <m/>
    <m/>
    <m/>
    <m/>
    <m/>
    <m/>
    <m/>
    <m/>
  </r>
  <r>
    <n v="2980"/>
    <n v="53349"/>
    <d v="2005-02-10T00:00:00"/>
    <n v="20"/>
    <x v="1"/>
    <x v="1"/>
    <d v="2024-06-27T00:00:00"/>
    <n v="1.5753424657534247"/>
    <x v="34"/>
    <x v="0"/>
    <x v="8"/>
    <x v="1"/>
    <n v="8.4700000000000006"/>
    <m/>
    <m/>
    <m/>
    <m/>
    <m/>
    <m/>
    <x v="1"/>
    <n v="1"/>
    <n v="6"/>
    <m/>
    <m/>
    <m/>
    <m/>
    <m/>
    <m/>
    <m/>
    <m/>
    <m/>
    <m/>
    <m/>
    <m/>
    <m/>
    <m/>
  </r>
  <r>
    <n v="2981"/>
    <n v="53350"/>
    <d v="2006-09-02T00:00:00"/>
    <n v="19"/>
    <x v="1"/>
    <x v="1"/>
    <d v="2024-06-04T00:00:00"/>
    <n v="1.6986301369863013"/>
    <x v="46"/>
    <x v="1"/>
    <x v="8"/>
    <x v="1"/>
    <n v="8.4700000000000006"/>
    <m/>
    <m/>
    <m/>
    <m/>
    <m/>
    <m/>
    <x v="1"/>
    <n v="1"/>
    <n v="6"/>
    <m/>
    <m/>
    <m/>
    <m/>
    <m/>
    <m/>
    <m/>
    <m/>
    <m/>
    <m/>
    <m/>
    <m/>
    <m/>
    <m/>
  </r>
  <r>
    <n v="2982"/>
    <n v="53351"/>
    <d v="2003-06-06T00:00:00"/>
    <n v="22"/>
    <x v="1"/>
    <x v="1"/>
    <d v="2024-04-20T00:00:00"/>
    <n v="1.8356164383561644"/>
    <x v="40"/>
    <x v="1"/>
    <x v="8"/>
    <x v="1"/>
    <n v="8.4700000000000006"/>
    <m/>
    <m/>
    <m/>
    <m/>
    <m/>
    <m/>
    <x v="4"/>
    <n v="0"/>
    <n v="5"/>
    <m/>
    <m/>
    <m/>
    <m/>
    <m/>
    <m/>
    <m/>
    <m/>
    <m/>
    <m/>
    <m/>
    <m/>
    <m/>
    <m/>
  </r>
  <r>
    <n v="2983"/>
    <n v="53352"/>
    <d v="1994-12-07T00:00:00"/>
    <n v="31"/>
    <x v="0"/>
    <x v="0"/>
    <d v="2024-03-01T00:00:00"/>
    <n v="1.5534246575342465"/>
    <x v="34"/>
    <x v="0"/>
    <x v="8"/>
    <x v="1"/>
    <n v="8.4700000000000006"/>
    <m/>
    <m/>
    <m/>
    <m/>
    <m/>
    <m/>
    <x v="2"/>
    <n v="1"/>
    <n v="4"/>
    <m/>
    <m/>
    <m/>
    <m/>
    <m/>
    <m/>
    <m/>
    <m/>
    <m/>
    <m/>
    <m/>
    <m/>
    <m/>
    <m/>
  </r>
  <r>
    <n v="2984"/>
    <n v="53353"/>
    <d v="1993-01-16T00:00:00"/>
    <n v="32"/>
    <x v="0"/>
    <x v="1"/>
    <d v="2024-06-12T00:00:00"/>
    <n v="1.1698630136986301"/>
    <x v="115"/>
    <x v="1"/>
    <x v="7"/>
    <x v="1"/>
    <n v="17.59"/>
    <m/>
    <m/>
    <m/>
    <m/>
    <m/>
    <m/>
    <x v="3"/>
    <n v="4"/>
    <n v="4"/>
    <m/>
    <m/>
    <m/>
    <m/>
    <m/>
    <m/>
    <m/>
    <m/>
    <m/>
    <m/>
    <m/>
    <m/>
    <m/>
    <m/>
  </r>
  <r>
    <n v="2985"/>
    <n v="53354"/>
    <d v="2001-06-04T00:00:00"/>
    <n v="24"/>
    <x v="1"/>
    <x v="1"/>
    <d v="2024-10-30T00:00:00"/>
    <n v="1.252054794520548"/>
    <x v="124"/>
    <x v="0"/>
    <x v="3"/>
    <x v="1"/>
    <n v="8.4700000000000006"/>
    <m/>
    <m/>
    <m/>
    <m/>
    <m/>
    <m/>
    <x v="2"/>
    <n v="1"/>
    <n v="6"/>
    <m/>
    <m/>
    <m/>
    <m/>
    <m/>
    <m/>
    <m/>
    <m/>
    <m/>
    <m/>
    <m/>
    <m/>
    <m/>
    <m/>
  </r>
  <r>
    <n v="2986"/>
    <n v="53355"/>
    <d v="2001-04-08T00:00:00"/>
    <n v="24"/>
    <x v="1"/>
    <x v="0"/>
    <d v="2024-09-30T00:00:00"/>
    <n v="1.6027397260273972"/>
    <x v="98"/>
    <x v="1"/>
    <x v="7"/>
    <x v="1"/>
    <n v="17.59"/>
    <m/>
    <m/>
    <m/>
    <m/>
    <m/>
    <m/>
    <x v="4"/>
    <n v="2"/>
    <n v="5"/>
    <m/>
    <m/>
    <m/>
    <m/>
    <m/>
    <m/>
    <m/>
    <m/>
    <m/>
    <m/>
    <m/>
    <m/>
    <m/>
    <m/>
  </r>
  <r>
    <n v="2987"/>
    <n v="53357"/>
    <d v="1999-09-17T00:00:00"/>
    <n v="26"/>
    <x v="0"/>
    <x v="1"/>
    <d v="2024-05-25T00:00:00"/>
    <n v="1.3890410958904109"/>
    <x v="136"/>
    <x v="0"/>
    <x v="8"/>
    <x v="1"/>
    <n v="8.4700000000000006"/>
    <m/>
    <m/>
    <m/>
    <m/>
    <m/>
    <m/>
    <x v="1"/>
    <n v="1"/>
    <n v="5"/>
    <m/>
    <m/>
    <m/>
    <m/>
    <m/>
    <m/>
    <m/>
    <m/>
    <m/>
    <m/>
    <m/>
    <m/>
    <m/>
    <m/>
  </r>
  <r>
    <n v="2988"/>
    <n v="53358"/>
    <d v="2000-09-02T00:00:00"/>
    <n v="25"/>
    <x v="1"/>
    <x v="1"/>
    <d v="2024-08-11T00:00:00"/>
    <n v="1.7123287671232876"/>
    <x v="107"/>
    <x v="1"/>
    <x v="3"/>
    <x v="1"/>
    <n v="8.4700000000000006"/>
    <m/>
    <m/>
    <m/>
    <m/>
    <m/>
    <m/>
    <x v="3"/>
    <n v="0"/>
    <n v="6"/>
    <m/>
    <m/>
    <m/>
    <m/>
    <m/>
    <m/>
    <m/>
    <m/>
    <m/>
    <m/>
    <m/>
    <m/>
    <m/>
    <m/>
  </r>
  <r>
    <n v="2989"/>
    <n v="53359"/>
    <d v="2002-02-09T00:00:00"/>
    <n v="23"/>
    <x v="1"/>
    <x v="1"/>
    <d v="2024-04-15T00:00:00"/>
    <n v="1.7753424657534247"/>
    <x v="128"/>
    <x v="1"/>
    <x v="2"/>
    <x v="1"/>
    <n v="14.23"/>
    <m/>
    <m/>
    <m/>
    <m/>
    <m/>
    <m/>
    <x v="4"/>
    <n v="1"/>
    <n v="5"/>
    <m/>
    <m/>
    <m/>
    <m/>
    <m/>
    <m/>
    <m/>
    <m/>
    <m/>
    <m/>
    <m/>
    <m/>
    <m/>
    <m/>
  </r>
  <r>
    <n v="2990"/>
    <n v="53360"/>
    <d v="2005-12-01T00:00:00"/>
    <n v="21"/>
    <x v="0"/>
    <x v="1"/>
    <d v="2024-03-23T00:00:00"/>
    <n v="1.1561643835616437"/>
    <x v="0"/>
    <x v="0"/>
    <x v="9"/>
    <x v="1"/>
    <n v="14.07"/>
    <m/>
    <m/>
    <m/>
    <m/>
    <m/>
    <m/>
    <x v="2"/>
    <n v="0"/>
    <n v="4"/>
    <m/>
    <m/>
    <m/>
    <m/>
    <m/>
    <m/>
    <m/>
    <m/>
    <m/>
    <m/>
    <m/>
    <m/>
    <m/>
    <m/>
  </r>
  <r>
    <n v="2991"/>
    <n v="53361"/>
    <d v="2001-12-28T00:00:00"/>
    <n v="24"/>
    <x v="1"/>
    <x v="0"/>
    <d v="2024-11-04T00:00:00"/>
    <n v="1.5863013698630137"/>
    <x v="36"/>
    <x v="0"/>
    <x v="8"/>
    <x v="1"/>
    <n v="8.4700000000000006"/>
    <m/>
    <m/>
    <m/>
    <m/>
    <m/>
    <m/>
    <x v="4"/>
    <n v="2"/>
    <n v="6"/>
    <m/>
    <m/>
    <m/>
    <m/>
    <m/>
    <m/>
    <m/>
    <m/>
    <m/>
    <m/>
    <m/>
    <m/>
    <m/>
    <m/>
  </r>
  <r>
    <n v="2992"/>
    <n v="53362"/>
    <d v="2001-04-19T00:00:00"/>
    <n v="24"/>
    <x v="1"/>
    <x v="1"/>
    <d v="2024-05-31T00:00:00"/>
    <n v="1.6082191780821917"/>
    <x v="122"/>
    <x v="1"/>
    <x v="1"/>
    <x v="1"/>
    <n v="16.37"/>
    <m/>
    <m/>
    <m/>
    <m/>
    <m/>
    <m/>
    <x v="1"/>
    <n v="1"/>
    <n v="5"/>
    <m/>
    <m/>
    <m/>
    <m/>
    <m/>
    <m/>
    <m/>
    <m/>
    <m/>
    <m/>
    <m/>
    <m/>
    <m/>
    <m/>
  </r>
  <r>
    <n v="2993"/>
    <n v="53363"/>
    <d v="1998-12-23T00:00:00"/>
    <n v="27"/>
    <x v="1"/>
    <x v="1"/>
    <d v="2024-05-23T00:00:00"/>
    <n v="1.2986301369863014"/>
    <x v="118"/>
    <x v="1"/>
    <x v="8"/>
    <x v="1"/>
    <n v="8.4700000000000006"/>
    <m/>
    <m/>
    <m/>
    <m/>
    <m/>
    <m/>
    <x v="4"/>
    <n v="0"/>
    <n v="6"/>
    <m/>
    <m/>
    <m/>
    <m/>
    <m/>
    <m/>
    <m/>
    <m/>
    <m/>
    <m/>
    <m/>
    <m/>
    <m/>
    <m/>
  </r>
  <r>
    <n v="2994"/>
    <n v="53364"/>
    <d v="2003-06-22T00:00:00"/>
    <n v="22"/>
    <x v="1"/>
    <x v="0"/>
    <d v="2024-09-13T00:00:00"/>
    <n v="1.2821917808219179"/>
    <x v="4"/>
    <x v="0"/>
    <x v="8"/>
    <x v="1"/>
    <n v="8.4700000000000006"/>
    <m/>
    <m/>
    <m/>
    <m/>
    <m/>
    <m/>
    <x v="4"/>
    <n v="2"/>
    <n v="6"/>
    <m/>
    <m/>
    <m/>
    <m/>
    <m/>
    <m/>
    <m/>
    <m/>
    <m/>
    <m/>
    <m/>
    <m/>
    <m/>
    <m/>
  </r>
  <r>
    <n v="2995"/>
    <n v="53365"/>
    <d v="2006-10-07T00:00:00"/>
    <n v="19"/>
    <x v="0"/>
    <x v="1"/>
    <d v="2024-09-19T00:00:00"/>
    <n v="1.1041095890410959"/>
    <x v="57"/>
    <x v="0"/>
    <x v="10"/>
    <x v="1"/>
    <n v="10.64"/>
    <m/>
    <m/>
    <m/>
    <m/>
    <m/>
    <m/>
    <x v="4"/>
    <n v="0"/>
    <n v="5"/>
    <m/>
    <m/>
    <m/>
    <m/>
    <m/>
    <m/>
    <m/>
    <m/>
    <m/>
    <m/>
    <m/>
    <m/>
    <m/>
    <m/>
  </r>
  <r>
    <n v="2996"/>
    <n v="53366"/>
    <d v="2002-12-26T00:00:00"/>
    <n v="23"/>
    <x v="0"/>
    <x v="1"/>
    <d v="2024-11-23T00:00:00"/>
    <n v="1.515068493150685"/>
    <x v="55"/>
    <x v="0"/>
    <x v="7"/>
    <x v="1"/>
    <n v="17.59"/>
    <m/>
    <m/>
    <m/>
    <m/>
    <m/>
    <m/>
    <x v="4"/>
    <n v="1"/>
    <n v="4"/>
    <m/>
    <m/>
    <m/>
    <m/>
    <m/>
    <m/>
    <m/>
    <m/>
    <m/>
    <m/>
    <m/>
    <m/>
    <m/>
    <m/>
  </r>
  <r>
    <n v="2997"/>
    <n v="53368"/>
    <d v="2003-10-23T00:00:00"/>
    <n v="22"/>
    <x v="1"/>
    <x v="1"/>
    <d v="2024-06-26T00:00:00"/>
    <n v="1.0520547945205478"/>
    <x v="121"/>
    <x v="1"/>
    <x v="1"/>
    <x v="1"/>
    <n v="16.37"/>
    <m/>
    <m/>
    <m/>
    <m/>
    <m/>
    <m/>
    <x v="2"/>
    <n v="0"/>
    <n v="5"/>
    <m/>
    <m/>
    <m/>
    <m/>
    <m/>
    <m/>
    <m/>
    <m/>
    <m/>
    <m/>
    <m/>
    <m/>
    <m/>
    <m/>
  </r>
  <r>
    <n v="2998"/>
    <n v="53369"/>
    <d v="2003-04-06T00:00:00"/>
    <n v="22"/>
    <x v="0"/>
    <x v="1"/>
    <d v="2024-12-12T00:00:00"/>
    <n v="1.5780821917808219"/>
    <x v="128"/>
    <x v="1"/>
    <x v="7"/>
    <x v="1"/>
    <n v="17.59"/>
    <m/>
    <m/>
    <m/>
    <m/>
    <m/>
    <m/>
    <x v="1"/>
    <n v="2"/>
    <n v="4"/>
    <m/>
    <m/>
    <m/>
    <m/>
    <m/>
    <m/>
    <m/>
    <m/>
    <m/>
    <m/>
    <m/>
    <m/>
    <m/>
    <m/>
  </r>
  <r>
    <n v="2999"/>
    <n v="53370"/>
    <d v="1999-04-12T00:00:00"/>
    <n v="26"/>
    <x v="1"/>
    <x v="1"/>
    <d v="2024-06-03T00:00:00"/>
    <n v="1.6602739726027398"/>
    <x v="5"/>
    <x v="0"/>
    <x v="8"/>
    <x v="1"/>
    <n v="8.4700000000000006"/>
    <m/>
    <m/>
    <m/>
    <m/>
    <m/>
    <m/>
    <x v="4"/>
    <n v="3"/>
    <n v="6"/>
    <m/>
    <m/>
    <m/>
    <m/>
    <m/>
    <m/>
    <m/>
    <m/>
    <m/>
    <m/>
    <m/>
    <m/>
    <m/>
    <m/>
  </r>
  <r>
    <n v="3000"/>
    <n v="53373"/>
    <d v="1999-08-11T00:00:00"/>
    <n v="26"/>
    <x v="1"/>
    <x v="1"/>
    <d v="2024-05-04T00:00:00"/>
    <n v="1.1835616438356165"/>
    <x v="127"/>
    <x v="0"/>
    <x v="8"/>
    <x v="1"/>
    <n v="8.4700000000000006"/>
    <m/>
    <m/>
    <m/>
    <m/>
    <m/>
    <m/>
    <x v="1"/>
    <n v="4"/>
    <n v="7"/>
    <m/>
    <m/>
    <m/>
    <m/>
    <m/>
    <m/>
    <m/>
    <m/>
    <m/>
    <m/>
    <m/>
    <m/>
    <m/>
    <m/>
  </r>
  <r>
    <n v="3001"/>
    <n v="53374"/>
    <d v="1995-09-21T00:00:00"/>
    <n v="30"/>
    <x v="1"/>
    <x v="1"/>
    <d v="2024-10-25T00:00:00"/>
    <n v="1.1397260273972603"/>
    <x v="82"/>
    <x v="0"/>
    <x v="7"/>
    <x v="1"/>
    <n v="17.59"/>
    <m/>
    <m/>
    <m/>
    <m/>
    <m/>
    <m/>
    <x v="1"/>
    <n v="0"/>
    <n v="5"/>
    <m/>
    <m/>
    <m/>
    <m/>
    <m/>
    <m/>
    <m/>
    <m/>
    <m/>
    <m/>
    <m/>
    <m/>
    <m/>
    <m/>
  </r>
  <r>
    <n v="3002"/>
    <n v="53376"/>
    <d v="2003-03-07T00:00:00"/>
    <n v="22"/>
    <x v="1"/>
    <x v="0"/>
    <d v="2024-11-10T00:00:00"/>
    <n v="1.1424657534246576"/>
    <x v="88"/>
    <x v="0"/>
    <x v="8"/>
    <x v="1"/>
    <n v="8.4700000000000006"/>
    <m/>
    <m/>
    <m/>
    <m/>
    <m/>
    <m/>
    <x v="2"/>
    <n v="4"/>
    <n v="6"/>
    <m/>
    <m/>
    <m/>
    <m/>
    <m/>
    <m/>
    <m/>
    <m/>
    <m/>
    <m/>
    <m/>
    <m/>
    <m/>
    <m/>
  </r>
  <r>
    <n v="3003"/>
    <n v="53377"/>
    <d v="2006-04-09T00:00:00"/>
    <n v="19"/>
    <x v="0"/>
    <x v="1"/>
    <d v="2024-11-09T00:00:00"/>
    <n v="1.0712328767123287"/>
    <x v="21"/>
    <x v="0"/>
    <x v="8"/>
    <x v="1"/>
    <n v="8.4700000000000006"/>
    <m/>
    <m/>
    <m/>
    <m/>
    <m/>
    <m/>
    <x v="2"/>
    <n v="2"/>
    <n v="4"/>
    <m/>
    <m/>
    <m/>
    <m/>
    <m/>
    <m/>
    <m/>
    <m/>
    <m/>
    <m/>
    <m/>
    <m/>
    <m/>
    <m/>
  </r>
  <r>
    <n v="3004"/>
    <n v="53378"/>
    <d v="2004-06-24T00:00:00"/>
    <n v="21"/>
    <x v="0"/>
    <x v="1"/>
    <d v="2024-12-05T00:00:00"/>
    <n v="1.747945205479452"/>
    <x v="52"/>
    <x v="0"/>
    <x v="10"/>
    <x v="1"/>
    <n v="10.64"/>
    <m/>
    <m/>
    <m/>
    <m/>
    <m/>
    <m/>
    <x v="2"/>
    <n v="1"/>
    <n v="3"/>
    <m/>
    <m/>
    <m/>
    <m/>
    <m/>
    <m/>
    <m/>
    <m/>
    <m/>
    <m/>
    <m/>
    <m/>
    <m/>
    <m/>
  </r>
  <r>
    <n v="3005"/>
    <n v="53379"/>
    <d v="2004-06-19T00:00:00"/>
    <n v="21"/>
    <x v="1"/>
    <x v="1"/>
    <d v="2024-04-02T00:00:00"/>
    <n v="1.0082191780821919"/>
    <x v="24"/>
    <x v="0"/>
    <x v="3"/>
    <x v="1"/>
    <n v="8.4700000000000006"/>
    <m/>
    <m/>
    <m/>
    <m/>
    <m/>
    <m/>
    <x v="1"/>
    <n v="3"/>
    <n v="6"/>
    <m/>
    <m/>
    <m/>
    <m/>
    <m/>
    <m/>
    <m/>
    <m/>
    <m/>
    <m/>
    <m/>
    <m/>
    <m/>
    <m/>
  </r>
  <r>
    <n v="3006"/>
    <n v="53381"/>
    <d v="2003-03-07T00:00:00"/>
    <n v="22"/>
    <x v="1"/>
    <x v="0"/>
    <d v="2024-12-28T00:00:00"/>
    <n v="1.9452054794520548"/>
    <x v="33"/>
    <x v="0"/>
    <x v="8"/>
    <x v="1"/>
    <n v="8.4700000000000006"/>
    <m/>
    <m/>
    <m/>
    <m/>
    <m/>
    <m/>
    <x v="3"/>
    <n v="2"/>
    <n v="6"/>
    <m/>
    <m/>
    <m/>
    <m/>
    <m/>
    <m/>
    <m/>
    <m/>
    <m/>
    <m/>
    <m/>
    <m/>
    <m/>
    <m/>
  </r>
  <r>
    <n v="3007"/>
    <n v="53382"/>
    <d v="2006-03-16T00:00:00"/>
    <n v="19"/>
    <x v="1"/>
    <x v="1"/>
    <d v="2024-01-21T00:00:00"/>
    <n v="1.5397260273972602"/>
    <x v="34"/>
    <x v="0"/>
    <x v="8"/>
    <x v="1"/>
    <n v="8.4700000000000006"/>
    <m/>
    <m/>
    <m/>
    <m/>
    <m/>
    <m/>
    <x v="4"/>
    <n v="2"/>
    <n v="5"/>
    <m/>
    <m/>
    <m/>
    <m/>
    <m/>
    <m/>
    <m/>
    <m/>
    <m/>
    <m/>
    <m/>
    <m/>
    <m/>
    <m/>
  </r>
  <r>
    <n v="3008"/>
    <n v="53383"/>
    <d v="2004-04-01T00:00:00"/>
    <n v="22"/>
    <x v="1"/>
    <x v="1"/>
    <d v="2024-06-17T00:00:00"/>
    <n v="1.7616438356164383"/>
    <x v="143"/>
    <x v="0"/>
    <x v="10"/>
    <x v="1"/>
    <n v="10.64"/>
    <m/>
    <m/>
    <m/>
    <m/>
    <m/>
    <m/>
    <x v="4"/>
    <n v="0"/>
    <n v="5"/>
    <m/>
    <m/>
    <m/>
    <m/>
    <m/>
    <m/>
    <m/>
    <m/>
    <m/>
    <m/>
    <m/>
    <m/>
    <m/>
    <m/>
  </r>
  <r>
    <n v="3009"/>
    <n v="53384"/>
    <d v="1997-10-17T00:00:00"/>
    <n v="28"/>
    <x v="1"/>
    <x v="1"/>
    <d v="2024-03-28T00:00:00"/>
    <n v="1.0739726027397261"/>
    <x v="140"/>
    <x v="0"/>
    <x v="7"/>
    <x v="1"/>
    <n v="17.59"/>
    <m/>
    <m/>
    <m/>
    <m/>
    <m/>
    <m/>
    <x v="3"/>
    <n v="1"/>
    <n v="7"/>
    <m/>
    <m/>
    <m/>
    <m/>
    <m/>
    <m/>
    <m/>
    <m/>
    <m/>
    <m/>
    <m/>
    <m/>
    <m/>
    <m/>
  </r>
  <r>
    <n v="3010"/>
    <n v="53385"/>
    <d v="1999-12-28T00:00:00"/>
    <n v="26"/>
    <x v="0"/>
    <x v="1"/>
    <d v="2024-12-04T00:00:00"/>
    <n v="1.3123287671232877"/>
    <x v="55"/>
    <x v="0"/>
    <x v="10"/>
    <x v="1"/>
    <n v="10.64"/>
    <m/>
    <m/>
    <m/>
    <m/>
    <m/>
    <m/>
    <x v="2"/>
    <n v="0"/>
    <n v="3"/>
    <m/>
    <m/>
    <m/>
    <m/>
    <m/>
    <m/>
    <m/>
    <m/>
    <m/>
    <m/>
    <m/>
    <m/>
    <m/>
    <m/>
  </r>
  <r>
    <n v="3011"/>
    <n v="53386"/>
    <d v="2006-02-06T00:00:00"/>
    <n v="19"/>
    <x v="0"/>
    <x v="1"/>
    <d v="2024-09-08T00:00:00"/>
    <n v="1.6246575342465754"/>
    <x v="38"/>
    <x v="0"/>
    <x v="8"/>
    <x v="1"/>
    <n v="8.4700000000000006"/>
    <m/>
    <m/>
    <m/>
    <m/>
    <m/>
    <m/>
    <x v="4"/>
    <n v="2"/>
    <n v="4"/>
    <m/>
    <m/>
    <m/>
    <m/>
    <m/>
    <m/>
    <m/>
    <m/>
    <m/>
    <m/>
    <m/>
    <m/>
    <m/>
    <m/>
  </r>
  <r>
    <n v="3012"/>
    <n v="53387"/>
    <d v="2007-03-22T00:00:00"/>
    <n v="18"/>
    <x v="1"/>
    <x v="1"/>
    <d v="2024-05-17T00:00:00"/>
    <n v="1.5397260273972602"/>
    <x v="40"/>
    <x v="1"/>
    <x v="8"/>
    <x v="1"/>
    <n v="8.4700000000000006"/>
    <m/>
    <m/>
    <m/>
    <m/>
    <m/>
    <m/>
    <x v="4"/>
    <n v="3"/>
    <n v="5"/>
    <m/>
    <m/>
    <m/>
    <m/>
    <m/>
    <m/>
    <m/>
    <m/>
    <m/>
    <m/>
    <m/>
    <m/>
    <m/>
    <m/>
  </r>
  <r>
    <n v="3013"/>
    <n v="53388"/>
    <d v="2002-10-19T00:00:00"/>
    <n v="23"/>
    <x v="1"/>
    <x v="0"/>
    <d v="2024-06-17T00:00:00"/>
    <n v="1.021917808219178"/>
    <x v="40"/>
    <x v="1"/>
    <x v="8"/>
    <x v="1"/>
    <n v="8.4700000000000006"/>
    <m/>
    <m/>
    <m/>
    <m/>
    <m/>
    <m/>
    <x v="1"/>
    <n v="2"/>
    <n v="4"/>
    <m/>
    <m/>
    <m/>
    <m/>
    <m/>
    <m/>
    <m/>
    <m/>
    <m/>
    <m/>
    <m/>
    <m/>
    <m/>
    <m/>
  </r>
  <r>
    <n v="3014"/>
    <n v="53389"/>
    <d v="2004-02-02T00:00:00"/>
    <n v="21"/>
    <x v="1"/>
    <x v="0"/>
    <d v="2024-12-23T00:00:00"/>
    <n v="1.4657534246575343"/>
    <x v="97"/>
    <x v="1"/>
    <x v="8"/>
    <x v="1"/>
    <n v="8.4700000000000006"/>
    <m/>
    <m/>
    <m/>
    <m/>
    <m/>
    <m/>
    <x v="3"/>
    <n v="2"/>
    <n v="6"/>
    <m/>
    <m/>
    <m/>
    <m/>
    <m/>
    <m/>
    <m/>
    <m/>
    <m/>
    <m/>
    <m/>
    <m/>
    <m/>
    <m/>
  </r>
  <r>
    <n v="3015"/>
    <n v="53392"/>
    <d v="2000-01-18T00:00:00"/>
    <n v="25"/>
    <x v="1"/>
    <x v="0"/>
    <d v="2024-07-14T00:00:00"/>
    <n v="1.2602739726027397"/>
    <x v="48"/>
    <x v="1"/>
    <x v="8"/>
    <x v="1"/>
    <n v="8.4700000000000006"/>
    <m/>
    <m/>
    <m/>
    <m/>
    <m/>
    <m/>
    <x v="4"/>
    <n v="2"/>
    <n v="6"/>
    <m/>
    <m/>
    <m/>
    <m/>
    <m/>
    <m/>
    <m/>
    <m/>
    <m/>
    <m/>
    <m/>
    <m/>
    <m/>
    <m/>
  </r>
  <r>
    <n v="3016"/>
    <n v="53394"/>
    <d v="1997-12-02T00:00:00"/>
    <n v="28"/>
    <x v="0"/>
    <x v="1"/>
    <d v="2024-09-27T00:00:00"/>
    <n v="1.2438356164383562"/>
    <x v="56"/>
    <x v="1"/>
    <x v="6"/>
    <x v="1"/>
    <n v="23.78"/>
    <m/>
    <m/>
    <m/>
    <m/>
    <m/>
    <m/>
    <x v="1"/>
    <n v="7"/>
    <n v="4"/>
    <m/>
    <m/>
    <m/>
    <m/>
    <m/>
    <m/>
    <m/>
    <m/>
    <m/>
    <m/>
    <m/>
    <m/>
    <m/>
    <m/>
  </r>
  <r>
    <n v="3017"/>
    <n v="53395"/>
    <d v="2005-12-17T00:00:00"/>
    <n v="20"/>
    <x v="0"/>
    <x v="1"/>
    <d v="2024-10-03T00:00:00"/>
    <n v="1.4493150684931506"/>
    <x v="64"/>
    <x v="1"/>
    <x v="8"/>
    <x v="1"/>
    <n v="8.4700000000000006"/>
    <m/>
    <m/>
    <m/>
    <m/>
    <m/>
    <m/>
    <x v="1"/>
    <n v="4"/>
    <n v="3"/>
    <m/>
    <m/>
    <m/>
    <m/>
    <m/>
    <m/>
    <m/>
    <m/>
    <m/>
    <m/>
    <m/>
    <m/>
    <m/>
    <m/>
  </r>
  <r>
    <n v="3018"/>
    <n v="53397"/>
    <d v="2000-11-18T00:00:00"/>
    <n v="25"/>
    <x v="1"/>
    <x v="1"/>
    <d v="2024-07-20T00:00:00"/>
    <n v="1.1808219178082191"/>
    <x v="96"/>
    <x v="1"/>
    <x v="11"/>
    <x v="1"/>
    <n v="17"/>
    <m/>
    <m/>
    <m/>
    <m/>
    <m/>
    <m/>
    <x v="3"/>
    <n v="1"/>
    <n v="7"/>
    <m/>
    <m/>
    <m/>
    <m/>
    <m/>
    <m/>
    <m/>
    <m/>
    <m/>
    <m/>
    <m/>
    <m/>
    <m/>
    <m/>
  </r>
  <r>
    <n v="3019"/>
    <n v="53398"/>
    <d v="2004-05-29T00:00:00"/>
    <n v="21"/>
    <x v="1"/>
    <x v="1"/>
    <d v="2024-10-26T00:00:00"/>
    <n v="1.5123287671232877"/>
    <x v="110"/>
    <x v="1"/>
    <x v="8"/>
    <x v="1"/>
    <n v="8.4700000000000006"/>
    <m/>
    <m/>
    <m/>
    <m/>
    <m/>
    <m/>
    <x v="3"/>
    <n v="2"/>
    <n v="5"/>
    <m/>
    <m/>
    <m/>
    <m/>
    <m/>
    <m/>
    <m/>
    <m/>
    <m/>
    <m/>
    <m/>
    <m/>
    <m/>
    <m/>
  </r>
  <r>
    <n v="3020"/>
    <n v="53399"/>
    <d v="1995-11-24T00:00:00"/>
    <n v="30"/>
    <x v="0"/>
    <x v="0"/>
    <d v="2024-06-27T00:00:00"/>
    <n v="1.3726027397260274"/>
    <x v="99"/>
    <x v="1"/>
    <x v="11"/>
    <x v="1"/>
    <n v="17"/>
    <m/>
    <m/>
    <m/>
    <m/>
    <m/>
    <m/>
    <x v="1"/>
    <n v="4"/>
    <n v="5"/>
    <m/>
    <m/>
    <m/>
    <m/>
    <m/>
    <m/>
    <m/>
    <m/>
    <m/>
    <m/>
    <m/>
    <m/>
    <m/>
    <m/>
  </r>
  <r>
    <n v="3021"/>
    <n v="53400"/>
    <d v="2003-09-30T00:00:00"/>
    <n v="22"/>
    <x v="1"/>
    <x v="1"/>
    <d v="2024-08-17T00:00:00"/>
    <n v="1.1315068493150684"/>
    <x v="99"/>
    <x v="1"/>
    <x v="1"/>
    <x v="1"/>
    <n v="16.37"/>
    <m/>
    <m/>
    <m/>
    <m/>
    <m/>
    <m/>
    <x v="4"/>
    <n v="1"/>
    <n v="6"/>
    <m/>
    <m/>
    <m/>
    <m/>
    <m/>
    <m/>
    <m/>
    <m/>
    <m/>
    <m/>
    <m/>
    <m/>
    <m/>
    <m/>
  </r>
  <r>
    <n v="3022"/>
    <n v="53401"/>
    <d v="2002-01-22T00:00:00"/>
    <n v="23"/>
    <x v="1"/>
    <x v="0"/>
    <d v="2024-11-13T00:00:00"/>
    <n v="1.0712328767123287"/>
    <x v="99"/>
    <x v="1"/>
    <x v="7"/>
    <x v="1"/>
    <n v="17.59"/>
    <m/>
    <m/>
    <m/>
    <m/>
    <m/>
    <m/>
    <x v="4"/>
    <n v="2"/>
    <n v="5"/>
    <m/>
    <m/>
    <m/>
    <m/>
    <m/>
    <m/>
    <m/>
    <m/>
    <m/>
    <m/>
    <m/>
    <m/>
    <m/>
    <m/>
  </r>
  <r>
    <n v="3023"/>
    <n v="53402"/>
    <d v="2005-04-24T00:00:00"/>
    <n v="20"/>
    <x v="1"/>
    <x v="1"/>
    <d v="2024-12-05T00:00:00"/>
    <n v="1.1506849315068493"/>
    <x v="132"/>
    <x v="1"/>
    <x v="8"/>
    <x v="1"/>
    <n v="8.4700000000000006"/>
    <m/>
    <m/>
    <m/>
    <m/>
    <m/>
    <m/>
    <x v="2"/>
    <n v="1"/>
    <n v="7"/>
    <m/>
    <m/>
    <m/>
    <m/>
    <m/>
    <m/>
    <m/>
    <m/>
    <m/>
    <m/>
    <m/>
    <m/>
    <m/>
    <m/>
  </r>
  <r>
    <n v="3024"/>
    <n v="53403"/>
    <d v="1991-02-21T00:00:00"/>
    <n v="34"/>
    <x v="1"/>
    <x v="1"/>
    <d v="2024-11-06T00:00:00"/>
    <n v="1.0684931506849316"/>
    <x v="112"/>
    <x v="1"/>
    <x v="7"/>
    <x v="1"/>
    <n v="17.59"/>
    <m/>
    <m/>
    <m/>
    <m/>
    <m/>
    <m/>
    <x v="2"/>
    <n v="3"/>
    <n v="6"/>
    <m/>
    <m/>
    <m/>
    <m/>
    <m/>
    <m/>
    <m/>
    <m/>
    <m/>
    <m/>
    <m/>
    <m/>
    <m/>
    <m/>
  </r>
  <r>
    <n v="3025"/>
    <n v="53404"/>
    <d v="2002-03-20T00:00:00"/>
    <n v="23"/>
    <x v="1"/>
    <x v="0"/>
    <d v="2024-12-06T00:00:00"/>
    <n v="1.2657534246575342"/>
    <x v="41"/>
    <x v="0"/>
    <x v="3"/>
    <x v="1"/>
    <n v="8.4700000000000006"/>
    <m/>
    <m/>
    <m/>
    <m/>
    <m/>
    <m/>
    <x v="4"/>
    <n v="1"/>
    <n v="4"/>
    <m/>
    <m/>
    <m/>
    <m/>
    <m/>
    <m/>
    <m/>
    <m/>
    <m/>
    <m/>
    <m/>
    <m/>
    <m/>
    <m/>
  </r>
  <r>
    <n v="3026"/>
    <n v="53405"/>
    <d v="2005-06-12T00:00:00"/>
    <n v="20"/>
    <x v="1"/>
    <x v="1"/>
    <d v="2024-09-25T00:00:00"/>
    <n v="1.0493150684931507"/>
    <x v="128"/>
    <x v="1"/>
    <x v="8"/>
    <x v="1"/>
    <n v="8.4700000000000006"/>
    <m/>
    <m/>
    <m/>
    <m/>
    <m/>
    <m/>
    <x v="2"/>
    <n v="2"/>
    <n v="7"/>
    <m/>
    <m/>
    <m/>
    <m/>
    <m/>
    <m/>
    <m/>
    <m/>
    <m/>
    <m/>
    <m/>
    <m/>
    <m/>
    <m/>
  </r>
  <r>
    <n v="3027"/>
    <n v="53407"/>
    <d v="2002-10-07T00:00:00"/>
    <n v="23"/>
    <x v="0"/>
    <x v="1"/>
    <d v="2024-12-13T00:00:00"/>
    <n v="1.4904109589041097"/>
    <x v="1"/>
    <x v="1"/>
    <x v="7"/>
    <x v="1"/>
    <n v="17.59"/>
    <m/>
    <m/>
    <m/>
    <m/>
    <m/>
    <m/>
    <x v="3"/>
    <n v="3"/>
    <n v="5"/>
    <m/>
    <m/>
    <m/>
    <m/>
    <m/>
    <m/>
    <m/>
    <m/>
    <m/>
    <m/>
    <m/>
    <m/>
    <m/>
    <m/>
  </r>
  <r>
    <n v="3028"/>
    <n v="53408"/>
    <d v="2002-12-01T00:00:00"/>
    <n v="24"/>
    <x v="1"/>
    <x v="1"/>
    <d v="2024-07-05T00:00:00"/>
    <n v="1.8630136986301369"/>
    <x v="72"/>
    <x v="1"/>
    <x v="2"/>
    <x v="1"/>
    <n v="14.23"/>
    <m/>
    <m/>
    <m/>
    <m/>
    <m/>
    <m/>
    <x v="3"/>
    <n v="0"/>
    <n v="6"/>
    <m/>
    <m/>
    <m/>
    <m/>
    <m/>
    <m/>
    <m/>
    <m/>
    <m/>
    <m/>
    <m/>
    <m/>
    <m/>
    <m/>
  </r>
  <r>
    <n v="3029"/>
    <n v="53409"/>
    <d v="2007-05-15T00:00:00"/>
    <n v="18"/>
    <x v="1"/>
    <x v="0"/>
    <d v="2024-02-20T00:00:00"/>
    <n v="1.4547945205479451"/>
    <x v="76"/>
    <x v="1"/>
    <x v="8"/>
    <x v="1"/>
    <n v="8.4700000000000006"/>
    <m/>
    <m/>
    <m/>
    <m/>
    <m/>
    <m/>
    <x v="1"/>
    <n v="0"/>
    <n v="6"/>
    <m/>
    <m/>
    <m/>
    <m/>
    <m/>
    <m/>
    <m/>
    <m/>
    <m/>
    <m/>
    <m/>
    <m/>
    <m/>
    <m/>
  </r>
  <r>
    <n v="3030"/>
    <n v="53410"/>
    <d v="2003-07-12T00:00:00"/>
    <n v="22"/>
    <x v="1"/>
    <x v="1"/>
    <d v="2024-07-18T00:00:00"/>
    <n v="1.7561643835616438"/>
    <x v="94"/>
    <x v="1"/>
    <x v="8"/>
    <x v="1"/>
    <n v="8.4700000000000006"/>
    <m/>
    <m/>
    <m/>
    <m/>
    <m/>
    <m/>
    <x v="1"/>
    <n v="2"/>
    <n v="7"/>
    <m/>
    <m/>
    <m/>
    <m/>
    <m/>
    <m/>
    <m/>
    <m/>
    <m/>
    <m/>
    <m/>
    <m/>
    <m/>
    <m/>
  </r>
  <r>
    <n v="3031"/>
    <n v="53411"/>
    <d v="2002-11-18T00:00:00"/>
    <n v="23"/>
    <x v="1"/>
    <x v="1"/>
    <d v="2024-03-30T00:00:00"/>
    <n v="1.4191780821917808"/>
    <x v="63"/>
    <x v="0"/>
    <x v="1"/>
    <x v="1"/>
    <n v="16.37"/>
    <m/>
    <m/>
    <m/>
    <m/>
    <m/>
    <m/>
    <x v="1"/>
    <n v="2"/>
    <n v="6"/>
    <m/>
    <m/>
    <m/>
    <m/>
    <m/>
    <m/>
    <m/>
    <m/>
    <m/>
    <m/>
    <m/>
    <m/>
    <m/>
    <m/>
  </r>
  <r>
    <n v="3032"/>
    <n v="53412"/>
    <d v="2004-09-01T00:00:00"/>
    <n v="22"/>
    <x v="1"/>
    <x v="1"/>
    <d v="2024-07-31T00:00:00"/>
    <n v="1.7945205479452055"/>
    <x v="116"/>
    <x v="1"/>
    <x v="10"/>
    <x v="1"/>
    <n v="10.64"/>
    <m/>
    <m/>
    <m/>
    <m/>
    <m/>
    <m/>
    <x v="2"/>
    <n v="0"/>
    <n v="6"/>
    <m/>
    <m/>
    <m/>
    <m/>
    <m/>
    <m/>
    <m/>
    <m/>
    <m/>
    <m/>
    <m/>
    <m/>
    <m/>
    <m/>
  </r>
  <r>
    <n v="3033"/>
    <n v="53413"/>
    <d v="2001-12-28T00:00:00"/>
    <n v="24"/>
    <x v="0"/>
    <x v="1"/>
    <d v="2024-03-16T00:00:00"/>
    <n v="1.1369863013698631"/>
    <x v="11"/>
    <x v="0"/>
    <x v="8"/>
    <x v="1"/>
    <n v="8.4700000000000006"/>
    <m/>
    <m/>
    <m/>
    <m/>
    <m/>
    <m/>
    <x v="2"/>
    <n v="2"/>
    <n v="5"/>
    <m/>
    <m/>
    <m/>
    <m/>
    <m/>
    <m/>
    <m/>
    <m/>
    <m/>
    <m/>
    <m/>
    <m/>
    <m/>
    <m/>
  </r>
  <r>
    <n v="3034"/>
    <n v="53414"/>
    <d v="2003-07-01T00:00:00"/>
    <n v="23"/>
    <x v="0"/>
    <x v="1"/>
    <d v="2024-11-11T00:00:00"/>
    <n v="1.2712328767123289"/>
    <x v="61"/>
    <x v="0"/>
    <x v="9"/>
    <x v="1"/>
    <n v="14.07"/>
    <m/>
    <m/>
    <m/>
    <m/>
    <m/>
    <m/>
    <x v="1"/>
    <n v="0"/>
    <n v="5"/>
    <m/>
    <m/>
    <m/>
    <m/>
    <m/>
    <m/>
    <m/>
    <m/>
    <m/>
    <m/>
    <m/>
    <m/>
    <m/>
    <m/>
  </r>
  <r>
    <n v="3035"/>
    <n v="53415"/>
    <d v="2005-11-24T00:00:00"/>
    <n v="20"/>
    <x v="1"/>
    <x v="1"/>
    <d v="2024-09-23T00:00:00"/>
    <n v="1.2273972602739727"/>
    <x v="140"/>
    <x v="0"/>
    <x v="8"/>
    <x v="1"/>
    <n v="8.4700000000000006"/>
    <m/>
    <m/>
    <m/>
    <m/>
    <m/>
    <m/>
    <x v="2"/>
    <n v="2"/>
    <n v="6"/>
    <m/>
    <m/>
    <m/>
    <m/>
    <m/>
    <m/>
    <m/>
    <m/>
    <m/>
    <m/>
    <m/>
    <m/>
    <m/>
    <m/>
  </r>
  <r>
    <n v="3036"/>
    <n v="53416"/>
    <d v="2003-05-26T00:00:00"/>
    <n v="22"/>
    <x v="1"/>
    <x v="1"/>
    <d v="2024-10-09T00:00:00"/>
    <n v="1.1150684931506849"/>
    <x v="57"/>
    <x v="0"/>
    <x v="8"/>
    <x v="1"/>
    <n v="8.4700000000000006"/>
    <m/>
    <m/>
    <m/>
    <m/>
    <m/>
    <m/>
    <x v="4"/>
    <n v="0"/>
    <n v="6"/>
    <m/>
    <m/>
    <m/>
    <m/>
    <m/>
    <m/>
    <m/>
    <m/>
    <m/>
    <m/>
    <m/>
    <m/>
    <m/>
    <m/>
  </r>
  <r>
    <n v="3037"/>
    <n v="53417"/>
    <d v="2005-12-03T00:00:00"/>
    <n v="20"/>
    <x v="0"/>
    <x v="1"/>
    <d v="2024-11-19T00:00:00"/>
    <n v="1.4986301369863013"/>
    <x v="61"/>
    <x v="0"/>
    <x v="10"/>
    <x v="1"/>
    <n v="10.64"/>
    <m/>
    <m/>
    <m/>
    <m/>
    <m/>
    <m/>
    <x v="1"/>
    <n v="0"/>
    <n v="3"/>
    <m/>
    <m/>
    <m/>
    <m/>
    <m/>
    <m/>
    <m/>
    <m/>
    <m/>
    <m/>
    <m/>
    <m/>
    <m/>
    <m/>
  </r>
  <r>
    <n v="3038"/>
    <n v="53418"/>
    <d v="1995-07-21T00:00:00"/>
    <n v="30"/>
    <x v="0"/>
    <x v="1"/>
    <d v="2024-07-02T00:00:00"/>
    <n v="1.1260273972602739"/>
    <x v="63"/>
    <x v="0"/>
    <x v="7"/>
    <x v="1"/>
    <n v="17.59"/>
    <m/>
    <m/>
    <m/>
    <m/>
    <m/>
    <m/>
    <x v="4"/>
    <n v="0"/>
    <n v="4"/>
    <m/>
    <m/>
    <m/>
    <m/>
    <m/>
    <m/>
    <m/>
    <m/>
    <m/>
    <m/>
    <m/>
    <m/>
    <m/>
    <m/>
  </r>
  <r>
    <n v="3039"/>
    <n v="53419"/>
    <d v="2004-12-27T00:00:00"/>
    <n v="21"/>
    <x v="0"/>
    <x v="0"/>
    <d v="2024-11-15T00:00:00"/>
    <n v="1.5506849315068494"/>
    <x v="18"/>
    <x v="0"/>
    <x v="10"/>
    <x v="1"/>
    <n v="10.64"/>
    <m/>
    <m/>
    <m/>
    <m/>
    <m/>
    <m/>
    <x v="4"/>
    <n v="0"/>
    <n v="4"/>
    <m/>
    <m/>
    <m/>
    <m/>
    <m/>
    <m/>
    <m/>
    <m/>
    <m/>
    <m/>
    <m/>
    <m/>
    <m/>
    <m/>
  </r>
  <r>
    <n v="3040"/>
    <n v="53420"/>
    <d v="2003-09-22T00:00:00"/>
    <n v="22"/>
    <x v="1"/>
    <x v="1"/>
    <d v="2024-06-13T00:00:00"/>
    <n v="1.0712328767123287"/>
    <x v="63"/>
    <x v="0"/>
    <x v="8"/>
    <x v="1"/>
    <n v="8.4700000000000006"/>
    <m/>
    <m/>
    <m/>
    <m/>
    <m/>
    <m/>
    <x v="3"/>
    <n v="2"/>
    <n v="7"/>
    <m/>
    <m/>
    <m/>
    <m/>
    <m/>
    <m/>
    <m/>
    <m/>
    <m/>
    <m/>
    <m/>
    <m/>
    <m/>
    <m/>
  </r>
  <r>
    <n v="3041"/>
    <n v="53421"/>
    <d v="1995-04-13T00:00:00"/>
    <n v="30"/>
    <x v="0"/>
    <x v="1"/>
    <d v="2024-12-05T00:00:00"/>
    <n v="1.0273972602739727"/>
    <x v="77"/>
    <x v="0"/>
    <x v="6"/>
    <x v="1"/>
    <n v="23.78"/>
    <m/>
    <m/>
    <m/>
    <m/>
    <m/>
    <m/>
    <x v="1"/>
    <n v="5"/>
    <n v="5"/>
    <m/>
    <m/>
    <m/>
    <m/>
    <m/>
    <m/>
    <m/>
    <m/>
    <m/>
    <m/>
    <m/>
    <m/>
    <m/>
    <m/>
  </r>
  <r>
    <n v="3042"/>
    <n v="53422"/>
    <d v="2002-06-17T00:00:00"/>
    <n v="23"/>
    <x v="0"/>
    <x v="0"/>
    <d v="2024-12-21T00:00:00"/>
    <n v="1.2465753424657535"/>
    <x v="18"/>
    <x v="0"/>
    <x v="2"/>
    <x v="1"/>
    <n v="14.23"/>
    <m/>
    <m/>
    <m/>
    <m/>
    <m/>
    <m/>
    <x v="2"/>
    <n v="1"/>
    <n v="4"/>
    <m/>
    <m/>
    <m/>
    <m/>
    <m/>
    <m/>
    <m/>
    <m/>
    <m/>
    <m/>
    <m/>
    <m/>
    <m/>
    <m/>
  </r>
  <r>
    <n v="3043"/>
    <n v="53424"/>
    <d v="2004-08-13T00:00:00"/>
    <n v="21"/>
    <x v="1"/>
    <x v="1"/>
    <d v="2024-10-02T00:00:00"/>
    <n v="1.3315068493150686"/>
    <x v="24"/>
    <x v="0"/>
    <x v="8"/>
    <x v="1"/>
    <n v="8.4700000000000006"/>
    <m/>
    <m/>
    <m/>
    <m/>
    <m/>
    <m/>
    <x v="3"/>
    <n v="3"/>
    <n v="5"/>
    <m/>
    <m/>
    <m/>
    <m/>
    <m/>
    <m/>
    <m/>
    <m/>
    <m/>
    <m/>
    <m/>
    <m/>
    <m/>
    <m/>
  </r>
  <r>
    <n v="3044"/>
    <n v="53425"/>
    <d v="2006-04-29T00:00:00"/>
    <n v="19"/>
    <x v="1"/>
    <x v="1"/>
    <d v="2024-09-01T00:00:00"/>
    <n v="1.4712328767123288"/>
    <x v="25"/>
    <x v="0"/>
    <x v="8"/>
    <x v="1"/>
    <n v="8.4700000000000006"/>
    <m/>
    <m/>
    <m/>
    <m/>
    <m/>
    <m/>
    <x v="3"/>
    <n v="1"/>
    <n v="7"/>
    <m/>
    <m/>
    <m/>
    <m/>
    <m/>
    <m/>
    <m/>
    <m/>
    <m/>
    <m/>
    <m/>
    <m/>
    <m/>
    <m/>
  </r>
  <r>
    <n v="3045"/>
    <n v="53426"/>
    <d v="2006-07-07T00:00:00"/>
    <n v="19"/>
    <x v="1"/>
    <x v="1"/>
    <d v="2024-07-12T00:00:00"/>
    <n v="1.1534246575342466"/>
    <x v="26"/>
    <x v="0"/>
    <x v="8"/>
    <x v="1"/>
    <n v="8.4700000000000006"/>
    <m/>
    <m/>
    <m/>
    <m/>
    <m/>
    <m/>
    <x v="1"/>
    <n v="4"/>
    <n v="7"/>
    <m/>
    <m/>
    <m/>
    <m/>
    <m/>
    <m/>
    <m/>
    <m/>
    <m/>
    <m/>
    <m/>
    <m/>
    <m/>
    <m/>
  </r>
  <r>
    <n v="3046"/>
    <n v="53427"/>
    <d v="2007-02-24T00:00:00"/>
    <n v="18"/>
    <x v="1"/>
    <x v="1"/>
    <d v="2024-11-05T00:00:00"/>
    <n v="1.3506849315068492"/>
    <x v="139"/>
    <x v="0"/>
    <x v="8"/>
    <x v="1"/>
    <n v="8.4700000000000006"/>
    <m/>
    <m/>
    <m/>
    <m/>
    <m/>
    <m/>
    <x v="1"/>
    <n v="2"/>
    <n v="5"/>
    <m/>
    <m/>
    <m/>
    <m/>
    <m/>
    <m/>
    <m/>
    <m/>
    <m/>
    <m/>
    <m/>
    <m/>
    <m/>
    <m/>
  </r>
  <r>
    <n v="3047"/>
    <n v="53428"/>
    <d v="2005-03-01T00:00:00"/>
    <n v="21"/>
    <x v="1"/>
    <x v="0"/>
    <d v="2024-08-25T00:00:00"/>
    <n v="1.4958904109589042"/>
    <x v="61"/>
    <x v="0"/>
    <x v="8"/>
    <x v="1"/>
    <n v="8.4700000000000006"/>
    <m/>
    <m/>
    <m/>
    <m/>
    <m/>
    <m/>
    <x v="2"/>
    <n v="0"/>
    <n v="5"/>
    <m/>
    <m/>
    <m/>
    <m/>
    <m/>
    <m/>
    <m/>
    <m/>
    <m/>
    <m/>
    <m/>
    <m/>
    <m/>
    <m/>
  </r>
  <r>
    <n v="3048"/>
    <n v="53430"/>
    <d v="2004-03-30T00:00:00"/>
    <n v="21"/>
    <x v="1"/>
    <x v="1"/>
    <d v="2024-07-03T00:00:00"/>
    <n v="1.3506849315068492"/>
    <x v="102"/>
    <x v="0"/>
    <x v="8"/>
    <x v="1"/>
    <n v="8.4700000000000006"/>
    <m/>
    <m/>
    <m/>
    <m/>
    <m/>
    <m/>
    <x v="2"/>
    <n v="2"/>
    <n v="6"/>
    <m/>
    <m/>
    <m/>
    <m/>
    <m/>
    <m/>
    <m/>
    <m/>
    <m/>
    <m/>
    <m/>
    <m/>
    <m/>
    <m/>
  </r>
  <r>
    <n v="3049"/>
    <n v="53431"/>
    <d v="2005-04-09T00:00:00"/>
    <n v="20"/>
    <x v="1"/>
    <x v="1"/>
    <d v="2024-08-25T00:00:00"/>
    <n v="1.3123287671232877"/>
    <x v="42"/>
    <x v="0"/>
    <x v="8"/>
    <x v="1"/>
    <n v="8.4700000000000006"/>
    <m/>
    <m/>
    <m/>
    <m/>
    <m/>
    <m/>
    <x v="1"/>
    <n v="1"/>
    <n v="6"/>
    <m/>
    <m/>
    <m/>
    <m/>
    <m/>
    <m/>
    <m/>
    <m/>
    <m/>
    <m/>
    <m/>
    <m/>
    <m/>
    <m/>
  </r>
  <r>
    <n v="3050"/>
    <n v="53432"/>
    <d v="1993-12-04T00:00:00"/>
    <n v="32"/>
    <x v="1"/>
    <x v="1"/>
    <d v="2024-09-08T00:00:00"/>
    <n v="1.1013698630136985"/>
    <x v="90"/>
    <x v="1"/>
    <x v="7"/>
    <x v="1"/>
    <n v="17.59"/>
    <m/>
    <m/>
    <m/>
    <m/>
    <m/>
    <m/>
    <x v="3"/>
    <n v="0"/>
    <n v="6"/>
    <m/>
    <m/>
    <m/>
    <m/>
    <m/>
    <m/>
    <m/>
    <m/>
    <m/>
    <m/>
    <m/>
    <m/>
    <m/>
    <m/>
  </r>
  <r>
    <n v="3051"/>
    <n v="53433"/>
    <d v="2005-02-10T00:00:00"/>
    <n v="20"/>
    <x v="1"/>
    <x v="1"/>
    <d v="2024-11-24T00:00:00"/>
    <n v="1.4794520547945205"/>
    <x v="30"/>
    <x v="1"/>
    <x v="8"/>
    <x v="1"/>
    <n v="8.4700000000000006"/>
    <m/>
    <m/>
    <m/>
    <m/>
    <m/>
    <m/>
    <x v="4"/>
    <n v="4"/>
    <n v="5"/>
    <m/>
    <m/>
    <m/>
    <m/>
    <m/>
    <m/>
    <m/>
    <m/>
    <m/>
    <m/>
    <m/>
    <m/>
    <m/>
    <m/>
  </r>
  <r>
    <n v="3052"/>
    <n v="53434"/>
    <d v="2004-03-12T00:00:00"/>
    <n v="21"/>
    <x v="1"/>
    <x v="1"/>
    <d v="2024-07-09T00:00:00"/>
    <n v="1.0356164383561643"/>
    <x v="60"/>
    <x v="1"/>
    <x v="8"/>
    <x v="1"/>
    <n v="8.4700000000000006"/>
    <m/>
    <m/>
    <m/>
    <m/>
    <m/>
    <m/>
    <x v="3"/>
    <n v="2"/>
    <n v="5"/>
    <m/>
    <m/>
    <m/>
    <m/>
    <m/>
    <m/>
    <m/>
    <m/>
    <m/>
    <m/>
    <m/>
    <m/>
    <m/>
    <m/>
  </r>
  <r>
    <n v="3053"/>
    <n v="53435"/>
    <d v="1997-04-11T00:00:00"/>
    <n v="28"/>
    <x v="1"/>
    <x v="1"/>
    <d v="2024-12-18T00:00:00"/>
    <n v="1.095890410958904"/>
    <x v="68"/>
    <x v="1"/>
    <x v="8"/>
    <x v="1"/>
    <n v="8.4700000000000006"/>
    <m/>
    <m/>
    <m/>
    <m/>
    <m/>
    <m/>
    <x v="1"/>
    <n v="1"/>
    <n v="7"/>
    <m/>
    <m/>
    <m/>
    <m/>
    <m/>
    <m/>
    <m/>
    <m/>
    <m/>
    <m/>
    <m/>
    <m/>
    <m/>
    <m/>
  </r>
  <r>
    <n v="3054"/>
    <n v="53436"/>
    <d v="2004-09-28T00:00:00"/>
    <n v="21"/>
    <x v="1"/>
    <x v="1"/>
    <d v="2024-11-26T00:00:00"/>
    <n v="1.7095890410958905"/>
    <x v="116"/>
    <x v="1"/>
    <x v="8"/>
    <x v="1"/>
    <n v="8.4700000000000006"/>
    <m/>
    <m/>
    <m/>
    <m/>
    <m/>
    <m/>
    <x v="2"/>
    <n v="1"/>
    <n v="6"/>
    <m/>
    <m/>
    <m/>
    <m/>
    <m/>
    <m/>
    <m/>
    <m/>
    <m/>
    <m/>
    <m/>
    <m/>
    <m/>
    <m/>
  </r>
  <r>
    <n v="3055"/>
    <n v="53437"/>
    <d v="2004-02-02T00:00:00"/>
    <n v="21"/>
    <x v="1"/>
    <x v="1"/>
    <d v="2024-04-16T00:00:00"/>
    <n v="1.3589041095890411"/>
    <x v="70"/>
    <x v="1"/>
    <x v="1"/>
    <x v="1"/>
    <n v="16.37"/>
    <m/>
    <m/>
    <m/>
    <m/>
    <m/>
    <m/>
    <x v="1"/>
    <n v="1"/>
    <n v="6"/>
    <m/>
    <m/>
    <m/>
    <m/>
    <m/>
    <m/>
    <m/>
    <m/>
    <m/>
    <m/>
    <m/>
    <m/>
    <m/>
    <m/>
  </r>
  <r>
    <n v="3056"/>
    <n v="53438"/>
    <d v="2003-06-26T00:00:00"/>
    <n v="22"/>
    <x v="1"/>
    <x v="1"/>
    <d v="2024-08-22T00:00:00"/>
    <n v="1.5452054794520549"/>
    <x v="0"/>
    <x v="0"/>
    <x v="8"/>
    <x v="1"/>
    <n v="8.4700000000000006"/>
    <m/>
    <m/>
    <m/>
    <m/>
    <m/>
    <m/>
    <x v="1"/>
    <n v="4"/>
    <n v="7"/>
    <m/>
    <m/>
    <m/>
    <m/>
    <m/>
    <m/>
    <m/>
    <m/>
    <m/>
    <m/>
    <m/>
    <m/>
    <m/>
    <m/>
  </r>
  <r>
    <n v="3057"/>
    <n v="53439"/>
    <d v="2005-02-16T00:00:00"/>
    <n v="20"/>
    <x v="1"/>
    <x v="1"/>
    <d v="2024-06-15T00:00:00"/>
    <n v="1.6821917808219178"/>
    <x v="110"/>
    <x v="1"/>
    <x v="1"/>
    <x v="1"/>
    <n v="16.37"/>
    <m/>
    <m/>
    <m/>
    <m/>
    <m/>
    <m/>
    <x v="1"/>
    <n v="1"/>
    <n v="6"/>
    <m/>
    <m/>
    <m/>
    <m/>
    <m/>
    <m/>
    <m/>
    <m/>
    <m/>
    <m/>
    <m/>
    <m/>
    <m/>
    <m/>
  </r>
  <r>
    <n v="3058"/>
    <n v="53440"/>
    <d v="2001-05-26T00:00:00"/>
    <n v="24"/>
    <x v="0"/>
    <x v="1"/>
    <d v="2024-04-26T00:00:00"/>
    <n v="1.6712328767123288"/>
    <x v="84"/>
    <x v="1"/>
    <x v="1"/>
    <x v="1"/>
    <n v="16.37"/>
    <m/>
    <m/>
    <m/>
    <m/>
    <m/>
    <m/>
    <x v="4"/>
    <n v="1"/>
    <n v="4"/>
    <m/>
    <m/>
    <m/>
    <m/>
    <m/>
    <m/>
    <m/>
    <m/>
    <m/>
    <m/>
    <m/>
    <m/>
    <m/>
    <m/>
  </r>
  <r>
    <n v="3059"/>
    <n v="53441"/>
    <d v="1998-11-26T00:00:00"/>
    <n v="27"/>
    <x v="0"/>
    <x v="1"/>
    <d v="2024-04-30T00:00:00"/>
    <n v="1.6602739726027398"/>
    <x v="59"/>
    <x v="0"/>
    <x v="2"/>
    <x v="1"/>
    <n v="14.23"/>
    <m/>
    <m/>
    <m/>
    <m/>
    <m/>
    <m/>
    <x v="1"/>
    <n v="0"/>
    <n v="4"/>
    <m/>
    <m/>
    <m/>
    <m/>
    <m/>
    <m/>
    <m/>
    <m/>
    <m/>
    <m/>
    <m/>
    <m/>
    <m/>
    <m/>
  </r>
  <r>
    <n v="3060"/>
    <n v="53443"/>
    <d v="2007-09-17T00:00:00"/>
    <n v="18"/>
    <x v="1"/>
    <x v="1"/>
    <d v="2024-05-04T00:00:00"/>
    <n v="1.4301369863013698"/>
    <x v="64"/>
    <x v="1"/>
    <x v="8"/>
    <x v="1"/>
    <n v="8.4700000000000006"/>
    <m/>
    <m/>
    <m/>
    <m/>
    <m/>
    <m/>
    <x v="1"/>
    <n v="1"/>
    <n v="4"/>
    <m/>
    <m/>
    <m/>
    <m/>
    <m/>
    <m/>
    <m/>
    <m/>
    <m/>
    <m/>
    <m/>
    <m/>
    <m/>
    <m/>
  </r>
  <r>
    <n v="3061"/>
    <n v="53444"/>
    <d v="1998-06-02T00:00:00"/>
    <n v="27"/>
    <x v="1"/>
    <x v="1"/>
    <d v="2024-07-27T00:00:00"/>
    <n v="1.526027397260274"/>
    <x v="3"/>
    <x v="0"/>
    <x v="3"/>
    <x v="1"/>
    <n v="8.4700000000000006"/>
    <m/>
    <m/>
    <m/>
    <m/>
    <m/>
    <m/>
    <x v="4"/>
    <n v="1"/>
    <n v="7"/>
    <m/>
    <m/>
    <m/>
    <m/>
    <m/>
    <m/>
    <m/>
    <m/>
    <m/>
    <m/>
    <m/>
    <m/>
    <m/>
    <m/>
  </r>
  <r>
    <n v="3062"/>
    <n v="53445"/>
    <d v="1999-06-27T00:00:00"/>
    <n v="26"/>
    <x v="0"/>
    <x v="1"/>
    <d v="2024-06-22T00:00:00"/>
    <n v="1.0739726027397261"/>
    <x v="43"/>
    <x v="1"/>
    <x v="11"/>
    <x v="1"/>
    <n v="17"/>
    <m/>
    <m/>
    <m/>
    <m/>
    <m/>
    <m/>
    <x v="4"/>
    <n v="3"/>
    <n v="6"/>
    <m/>
    <m/>
    <m/>
    <m/>
    <m/>
    <m/>
    <m/>
    <m/>
    <m/>
    <m/>
    <m/>
    <m/>
    <m/>
    <m/>
  </r>
  <r>
    <n v="3063"/>
    <n v="53446"/>
    <d v="1998-04-28T00:00:00"/>
    <n v="27"/>
    <x v="0"/>
    <x v="1"/>
    <d v="2024-12-04T00:00:00"/>
    <n v="1.1616438356164382"/>
    <x v="4"/>
    <x v="0"/>
    <x v="10"/>
    <x v="1"/>
    <n v="10.64"/>
    <m/>
    <m/>
    <m/>
    <m/>
    <m/>
    <m/>
    <x v="3"/>
    <n v="0"/>
    <n v="4"/>
    <m/>
    <m/>
    <m/>
    <m/>
    <m/>
    <m/>
    <m/>
    <m/>
    <m/>
    <m/>
    <m/>
    <m/>
    <m/>
    <m/>
  </r>
  <r>
    <n v="3064"/>
    <n v="53447"/>
    <d v="2002-06-09T00:00:00"/>
    <n v="23"/>
    <x v="1"/>
    <x v="0"/>
    <d v="2024-11-02T00:00:00"/>
    <n v="1.3479452054794521"/>
    <x v="5"/>
    <x v="0"/>
    <x v="8"/>
    <x v="1"/>
    <n v="8.4700000000000006"/>
    <m/>
    <m/>
    <m/>
    <m/>
    <m/>
    <m/>
    <x v="1"/>
    <n v="1"/>
    <n v="6"/>
    <m/>
    <m/>
    <m/>
    <m/>
    <m/>
    <m/>
    <m/>
    <m/>
    <m/>
    <m/>
    <m/>
    <m/>
    <m/>
    <m/>
  </r>
  <r>
    <n v="3065"/>
    <n v="53448"/>
    <d v="2002-02-15T00:00:00"/>
    <n v="23"/>
    <x v="1"/>
    <x v="0"/>
    <d v="2024-08-26T00:00:00"/>
    <n v="1.0575342465753426"/>
    <x v="10"/>
    <x v="0"/>
    <x v="8"/>
    <x v="1"/>
    <n v="8.4700000000000006"/>
    <m/>
    <m/>
    <m/>
    <m/>
    <m/>
    <m/>
    <x v="1"/>
    <n v="2"/>
    <n v="6"/>
    <m/>
    <m/>
    <m/>
    <m/>
    <m/>
    <m/>
    <m/>
    <m/>
    <m/>
    <m/>
    <m/>
    <m/>
    <m/>
    <m/>
  </r>
  <r>
    <n v="3066"/>
    <n v="53449"/>
    <d v="2003-05-22T00:00:00"/>
    <n v="22"/>
    <x v="1"/>
    <x v="1"/>
    <d v="2024-12-10T00:00:00"/>
    <n v="1.1616438356164382"/>
    <x v="82"/>
    <x v="0"/>
    <x v="10"/>
    <x v="1"/>
    <n v="10.64"/>
    <m/>
    <m/>
    <m/>
    <m/>
    <m/>
    <m/>
    <x v="4"/>
    <n v="0"/>
    <n v="6"/>
    <m/>
    <m/>
    <m/>
    <m/>
    <m/>
    <m/>
    <m/>
    <m/>
    <m/>
    <m/>
    <m/>
    <m/>
    <m/>
    <m/>
  </r>
  <r>
    <n v="3067"/>
    <n v="53450"/>
    <d v="1995-03-20T00:00:00"/>
    <n v="30"/>
    <x v="1"/>
    <x v="0"/>
    <d v="2024-11-02T00:00:00"/>
    <n v="1.810958904109589"/>
    <x v="24"/>
    <x v="0"/>
    <x v="8"/>
    <x v="1"/>
    <n v="8.4700000000000006"/>
    <m/>
    <m/>
    <m/>
    <m/>
    <m/>
    <m/>
    <x v="2"/>
    <n v="2"/>
    <n v="5"/>
    <m/>
    <m/>
    <m/>
    <m/>
    <m/>
    <m/>
    <m/>
    <m/>
    <m/>
    <m/>
    <m/>
    <m/>
    <m/>
    <m/>
  </r>
  <r>
    <n v="3068"/>
    <n v="53451"/>
    <d v="2002-05-12T00:00:00"/>
    <n v="23"/>
    <x v="1"/>
    <x v="1"/>
    <d v="2024-03-10T00:00:00"/>
    <n v="1.0054794520547945"/>
    <x v="139"/>
    <x v="0"/>
    <x v="10"/>
    <x v="1"/>
    <n v="10.64"/>
    <m/>
    <m/>
    <m/>
    <m/>
    <m/>
    <m/>
    <x v="1"/>
    <n v="0"/>
    <n v="5"/>
    <m/>
    <m/>
    <m/>
    <m/>
    <m/>
    <m/>
    <m/>
    <m/>
    <m/>
    <m/>
    <m/>
    <m/>
    <m/>
    <m/>
  </r>
  <r>
    <n v="3069"/>
    <n v="53452"/>
    <d v="2005-06-20T00:00:00"/>
    <n v="20"/>
    <x v="1"/>
    <x v="1"/>
    <d v="2024-12-29T00:00:00"/>
    <n v="1.5972602739726027"/>
    <x v="33"/>
    <x v="0"/>
    <x v="8"/>
    <x v="1"/>
    <n v="8.4700000000000006"/>
    <m/>
    <m/>
    <m/>
    <m/>
    <m/>
    <m/>
    <x v="2"/>
    <n v="1"/>
    <n v="6"/>
    <m/>
    <m/>
    <m/>
    <m/>
    <m/>
    <m/>
    <m/>
    <m/>
    <m/>
    <m/>
    <m/>
    <m/>
    <m/>
    <m/>
  </r>
  <r>
    <n v="3070"/>
    <n v="53453"/>
    <d v="2002-09-01T00:00:00"/>
    <n v="24"/>
    <x v="1"/>
    <x v="0"/>
    <d v="2024-05-27T00:00:00"/>
    <n v="1.3397260273972602"/>
    <x v="102"/>
    <x v="0"/>
    <x v="8"/>
    <x v="1"/>
    <n v="8.4700000000000006"/>
    <m/>
    <m/>
    <m/>
    <m/>
    <m/>
    <m/>
    <x v="2"/>
    <n v="4"/>
    <n v="7"/>
    <m/>
    <m/>
    <m/>
    <m/>
    <m/>
    <m/>
    <m/>
    <m/>
    <m/>
    <m/>
    <m/>
    <m/>
    <m/>
    <m/>
  </r>
  <r>
    <n v="3071"/>
    <n v="53454"/>
    <d v="2004-11-29T00:00:00"/>
    <n v="21"/>
    <x v="0"/>
    <x v="1"/>
    <d v="2024-08-29T00:00:00"/>
    <n v="1.6246575342465754"/>
    <x v="59"/>
    <x v="0"/>
    <x v="2"/>
    <x v="1"/>
    <n v="14.23"/>
    <m/>
    <m/>
    <m/>
    <m/>
    <m/>
    <m/>
    <x v="2"/>
    <n v="1"/>
    <n v="4"/>
    <m/>
    <m/>
    <m/>
    <m/>
    <m/>
    <m/>
    <m/>
    <m/>
    <m/>
    <m/>
    <m/>
    <m/>
    <m/>
    <m/>
  </r>
  <r>
    <n v="3072"/>
    <n v="53455"/>
    <d v="1997-03-18T00:00:00"/>
    <n v="28"/>
    <x v="1"/>
    <x v="1"/>
    <d v="2024-05-17T00:00:00"/>
    <n v="1.452054794520548"/>
    <x v="30"/>
    <x v="1"/>
    <x v="8"/>
    <x v="1"/>
    <n v="8.4700000000000006"/>
    <m/>
    <m/>
    <m/>
    <m/>
    <m/>
    <m/>
    <x v="3"/>
    <n v="2"/>
    <n v="5"/>
    <m/>
    <m/>
    <m/>
    <m/>
    <m/>
    <m/>
    <m/>
    <m/>
    <m/>
    <m/>
    <m/>
    <m/>
    <m/>
    <m/>
  </r>
  <r>
    <n v="3073"/>
    <n v="53457"/>
    <d v="2003-12-26T00:00:00"/>
    <n v="22"/>
    <x v="0"/>
    <x v="0"/>
    <d v="2024-07-19T00:00:00"/>
    <n v="1.2986301369863014"/>
    <x v="72"/>
    <x v="1"/>
    <x v="8"/>
    <x v="1"/>
    <n v="8.4700000000000006"/>
    <m/>
    <m/>
    <m/>
    <m/>
    <m/>
    <m/>
    <x v="4"/>
    <n v="3"/>
    <n v="4"/>
    <m/>
    <m/>
    <m/>
    <m/>
    <m/>
    <m/>
    <m/>
    <m/>
    <m/>
    <m/>
    <m/>
    <m/>
    <m/>
    <m/>
  </r>
  <r>
    <n v="3074"/>
    <n v="53458"/>
    <d v="2006-06-09T00:00:00"/>
    <n v="19"/>
    <x v="1"/>
    <x v="1"/>
    <d v="2024-09-13T00:00:00"/>
    <n v="1.0602739726027397"/>
    <x v="110"/>
    <x v="1"/>
    <x v="8"/>
    <x v="1"/>
    <n v="8.4700000000000006"/>
    <m/>
    <m/>
    <m/>
    <m/>
    <m/>
    <m/>
    <x v="4"/>
    <n v="2"/>
    <n v="6"/>
    <m/>
    <m/>
    <m/>
    <m/>
    <m/>
    <m/>
    <m/>
    <m/>
    <m/>
    <m/>
    <m/>
    <m/>
    <m/>
    <m/>
  </r>
  <r>
    <n v="3075"/>
    <n v="53459"/>
    <d v="1999-02-20T00:00:00"/>
    <n v="26"/>
    <x v="1"/>
    <x v="1"/>
    <d v="2024-12-09T00:00:00"/>
    <n v="1.2767123287671234"/>
    <x v="84"/>
    <x v="1"/>
    <x v="8"/>
    <x v="1"/>
    <n v="8.4700000000000006"/>
    <m/>
    <m/>
    <m/>
    <m/>
    <m/>
    <m/>
    <x v="3"/>
    <n v="2"/>
    <n v="6"/>
    <m/>
    <m/>
    <m/>
    <m/>
    <m/>
    <m/>
    <m/>
    <m/>
    <m/>
    <m/>
    <m/>
    <m/>
    <m/>
    <m/>
  </r>
  <r>
    <n v="3076"/>
    <n v="53461"/>
    <d v="2000-07-19T00:00:00"/>
    <n v="25"/>
    <x v="0"/>
    <x v="0"/>
    <d v="2024-09-21T00:00:00"/>
    <n v="1.6356164383561644"/>
    <x v="125"/>
    <x v="1"/>
    <x v="2"/>
    <x v="1"/>
    <n v="14.23"/>
    <m/>
    <m/>
    <m/>
    <m/>
    <m/>
    <m/>
    <x v="2"/>
    <n v="1"/>
    <n v="4"/>
    <m/>
    <m/>
    <m/>
    <m/>
    <m/>
    <m/>
    <m/>
    <m/>
    <m/>
    <m/>
    <m/>
    <m/>
    <m/>
    <m/>
  </r>
  <r>
    <n v="3077"/>
    <n v="53462"/>
    <d v="2001-08-18T00:00:00"/>
    <n v="24"/>
    <x v="1"/>
    <x v="1"/>
    <d v="2024-05-13T00:00:00"/>
    <n v="1.5753424657534247"/>
    <x v="32"/>
    <x v="0"/>
    <x v="11"/>
    <x v="1"/>
    <n v="17"/>
    <m/>
    <m/>
    <m/>
    <m/>
    <m/>
    <m/>
    <x v="1"/>
    <n v="1"/>
    <n v="6"/>
    <m/>
    <m/>
    <m/>
    <m/>
    <m/>
    <m/>
    <m/>
    <m/>
    <m/>
    <m/>
    <m/>
    <m/>
    <m/>
    <m/>
  </r>
  <r>
    <n v="3078"/>
    <n v="53463"/>
    <d v="2004-07-23T00:00:00"/>
    <n v="21"/>
    <x v="1"/>
    <x v="1"/>
    <d v="2024-06-04T00:00:00"/>
    <n v="1.6630136986301369"/>
    <x v="102"/>
    <x v="0"/>
    <x v="8"/>
    <x v="1"/>
    <n v="8.4700000000000006"/>
    <m/>
    <m/>
    <m/>
    <m/>
    <m/>
    <m/>
    <x v="1"/>
    <n v="2"/>
    <n v="6"/>
    <m/>
    <m/>
    <m/>
    <m/>
    <m/>
    <m/>
    <m/>
    <m/>
    <m/>
    <m/>
    <m/>
    <m/>
    <m/>
    <m/>
  </r>
  <r>
    <n v="3079"/>
    <n v="53464"/>
    <d v="1996-05-27T00:00:00"/>
    <n v="29"/>
    <x v="1"/>
    <x v="1"/>
    <d v="2024-05-03T00:00:00"/>
    <n v="1.7972602739726027"/>
    <x v="73"/>
    <x v="0"/>
    <x v="8"/>
    <x v="1"/>
    <n v="8.4700000000000006"/>
    <m/>
    <m/>
    <m/>
    <m/>
    <m/>
    <m/>
    <x v="4"/>
    <n v="1"/>
    <n v="5"/>
    <m/>
    <m/>
    <m/>
    <m/>
    <m/>
    <m/>
    <m/>
    <m/>
    <m/>
    <m/>
    <m/>
    <m/>
    <m/>
    <m/>
  </r>
  <r>
    <n v="3080"/>
    <n v="53465"/>
    <d v="2005-11-29T00:00:00"/>
    <n v="20"/>
    <x v="1"/>
    <x v="1"/>
    <d v="2024-03-15T00:00:00"/>
    <n v="1.6657534246575343"/>
    <x v="93"/>
    <x v="1"/>
    <x v="9"/>
    <x v="1"/>
    <n v="14.07"/>
    <m/>
    <m/>
    <m/>
    <m/>
    <m/>
    <m/>
    <x v="4"/>
    <n v="0"/>
    <n v="5"/>
    <m/>
    <m/>
    <m/>
    <m/>
    <m/>
    <m/>
    <m/>
    <m/>
    <m/>
    <m/>
    <m/>
    <m/>
    <m/>
    <m/>
  </r>
  <r>
    <n v="3081"/>
    <n v="53467"/>
    <d v="2001-09-20T00:00:00"/>
    <n v="24"/>
    <x v="0"/>
    <x v="1"/>
    <d v="2024-05-02T00:00:00"/>
    <n v="1.4575342465753425"/>
    <x v="9"/>
    <x v="1"/>
    <x v="7"/>
    <x v="1"/>
    <n v="17.59"/>
    <m/>
    <m/>
    <m/>
    <m/>
    <m/>
    <m/>
    <x v="1"/>
    <n v="1"/>
    <n v="5"/>
    <m/>
    <m/>
    <m/>
    <m/>
    <m/>
    <m/>
    <m/>
    <m/>
    <m/>
    <m/>
    <m/>
    <m/>
    <m/>
    <m/>
  </r>
  <r>
    <n v="3082"/>
    <n v="53468"/>
    <d v="2006-06-29T00:00:00"/>
    <n v="19"/>
    <x v="1"/>
    <x v="0"/>
    <d v="2024-07-17T00:00:00"/>
    <n v="1.8575342465753424"/>
    <x v="7"/>
    <x v="0"/>
    <x v="8"/>
    <x v="1"/>
    <n v="8.4700000000000006"/>
    <m/>
    <m/>
    <m/>
    <m/>
    <m/>
    <m/>
    <x v="4"/>
    <n v="2"/>
    <n v="6"/>
    <m/>
    <m/>
    <m/>
    <m/>
    <m/>
    <m/>
    <m/>
    <m/>
    <m/>
    <m/>
    <m/>
    <m/>
    <m/>
    <m/>
  </r>
  <r>
    <n v="3083"/>
    <n v="53469"/>
    <d v="1999-12-31T00:00:00"/>
    <n v="26"/>
    <x v="1"/>
    <x v="0"/>
    <d v="2024-02-22T00:00:00"/>
    <n v="1.0684931506849316"/>
    <x v="27"/>
    <x v="0"/>
    <x v="8"/>
    <x v="1"/>
    <n v="8.4700000000000006"/>
    <m/>
    <m/>
    <m/>
    <m/>
    <m/>
    <m/>
    <x v="2"/>
    <n v="4"/>
    <n v="6"/>
    <m/>
    <m/>
    <m/>
    <m/>
    <m/>
    <m/>
    <m/>
    <m/>
    <m/>
    <m/>
    <m/>
    <m/>
    <m/>
    <m/>
  </r>
  <r>
    <n v="3084"/>
    <n v="53470"/>
    <d v="2002-12-15T00:00:00"/>
    <n v="23"/>
    <x v="1"/>
    <x v="0"/>
    <d v="2024-12-06T00:00:00"/>
    <n v="1.7780821917808218"/>
    <x v="27"/>
    <x v="0"/>
    <x v="8"/>
    <x v="1"/>
    <n v="8.4700000000000006"/>
    <m/>
    <m/>
    <m/>
    <m/>
    <m/>
    <m/>
    <x v="4"/>
    <n v="4"/>
    <n v="6"/>
    <m/>
    <m/>
    <m/>
    <m/>
    <m/>
    <m/>
    <m/>
    <m/>
    <m/>
    <m/>
    <m/>
    <m/>
    <m/>
    <m/>
  </r>
  <r>
    <n v="3085"/>
    <n v="53471"/>
    <d v="1999-07-18T00:00:00"/>
    <n v="26"/>
    <x v="1"/>
    <x v="1"/>
    <d v="2024-03-22T00:00:00"/>
    <n v="1.715068493150685"/>
    <x v="25"/>
    <x v="0"/>
    <x v="2"/>
    <x v="1"/>
    <n v="14.23"/>
    <m/>
    <m/>
    <m/>
    <m/>
    <m/>
    <m/>
    <x v="2"/>
    <n v="0"/>
    <n v="5"/>
    <m/>
    <m/>
    <m/>
    <m/>
    <m/>
    <m/>
    <m/>
    <m/>
    <m/>
    <m/>
    <m/>
    <m/>
    <m/>
    <m/>
  </r>
  <r>
    <n v="3086"/>
    <n v="53473"/>
    <d v="2003-09-27T00:00:00"/>
    <n v="22"/>
    <x v="1"/>
    <x v="0"/>
    <d v="2024-04-14T00:00:00"/>
    <n v="1.5972602739726027"/>
    <x v="49"/>
    <x v="0"/>
    <x v="8"/>
    <x v="1"/>
    <n v="8.4700000000000006"/>
    <m/>
    <m/>
    <m/>
    <m/>
    <m/>
    <m/>
    <x v="4"/>
    <n v="2"/>
    <n v="4"/>
    <m/>
    <m/>
    <m/>
    <m/>
    <m/>
    <m/>
    <m/>
    <m/>
    <m/>
    <m/>
    <m/>
    <m/>
    <m/>
    <m/>
  </r>
  <r>
    <n v="3087"/>
    <n v="53474"/>
    <d v="2003-11-01T00:00:00"/>
    <n v="23"/>
    <x v="0"/>
    <x v="1"/>
    <d v="2024-05-27T00:00:00"/>
    <n v="1.3890410958904109"/>
    <x v="141"/>
    <x v="0"/>
    <x v="6"/>
    <x v="1"/>
    <n v="23.78"/>
    <m/>
    <m/>
    <m/>
    <m/>
    <m/>
    <m/>
    <x v="3"/>
    <n v="7"/>
    <n v="5"/>
    <m/>
    <m/>
    <m/>
    <m/>
    <m/>
    <m/>
    <m/>
    <m/>
    <m/>
    <m/>
    <m/>
    <m/>
    <m/>
    <m/>
  </r>
  <r>
    <n v="3088"/>
    <n v="53476"/>
    <d v="2003-11-01T00:00:00"/>
    <n v="23"/>
    <x v="1"/>
    <x v="1"/>
    <d v="2024-08-11T00:00:00"/>
    <n v="1.5123287671232877"/>
    <x v="119"/>
    <x v="1"/>
    <x v="3"/>
    <x v="1"/>
    <n v="8.4700000000000006"/>
    <m/>
    <m/>
    <m/>
    <m/>
    <m/>
    <m/>
    <x v="3"/>
    <n v="3"/>
    <n v="6"/>
    <m/>
    <m/>
    <m/>
    <m/>
    <m/>
    <m/>
    <m/>
    <m/>
    <m/>
    <m/>
    <m/>
    <m/>
    <m/>
    <m/>
  </r>
  <r>
    <n v="3089"/>
    <n v="53477"/>
    <d v="2003-01-11T00:00:00"/>
    <n v="22"/>
    <x v="1"/>
    <x v="1"/>
    <d v="2024-06-27T00:00:00"/>
    <n v="1.0246575342465754"/>
    <x v="66"/>
    <x v="1"/>
    <x v="3"/>
    <x v="1"/>
    <n v="8.4700000000000006"/>
    <m/>
    <m/>
    <m/>
    <m/>
    <m/>
    <m/>
    <x v="1"/>
    <n v="0"/>
    <n v="6"/>
    <m/>
    <m/>
    <m/>
    <m/>
    <m/>
    <m/>
    <m/>
    <m/>
    <m/>
    <m/>
    <m/>
    <m/>
    <m/>
    <m/>
  </r>
  <r>
    <n v="3090"/>
    <n v="53478"/>
    <d v="1999-12-14T00:00:00"/>
    <n v="26"/>
    <x v="1"/>
    <x v="1"/>
    <d v="2024-12-22T00:00:00"/>
    <n v="1.0136986301369864"/>
    <x v="125"/>
    <x v="1"/>
    <x v="8"/>
    <x v="1"/>
    <n v="8.4700000000000006"/>
    <m/>
    <m/>
    <m/>
    <m/>
    <m/>
    <m/>
    <x v="1"/>
    <n v="0"/>
    <n v="5"/>
    <m/>
    <m/>
    <m/>
    <m/>
    <m/>
    <m/>
    <m/>
    <m/>
    <m/>
    <m/>
    <m/>
    <m/>
    <m/>
    <m/>
  </r>
  <r>
    <n v="3091"/>
    <n v="53479"/>
    <d v="1999-05-11T00:00:00"/>
    <n v="26"/>
    <x v="1"/>
    <x v="1"/>
    <d v="2024-12-26T00:00:00"/>
    <n v="1.0547945205479452"/>
    <x v="96"/>
    <x v="1"/>
    <x v="11"/>
    <x v="1"/>
    <n v="17"/>
    <m/>
    <m/>
    <m/>
    <m/>
    <m/>
    <m/>
    <x v="3"/>
    <n v="1"/>
    <n v="6"/>
    <m/>
    <m/>
    <m/>
    <m/>
    <m/>
    <m/>
    <m/>
    <m/>
    <m/>
    <m/>
    <m/>
    <m/>
    <m/>
    <m/>
  </r>
  <r>
    <n v="3092"/>
    <n v="53480"/>
    <d v="2000-01-02T00:00:00"/>
    <n v="25"/>
    <x v="1"/>
    <x v="0"/>
    <d v="2024-12-11T00:00:00"/>
    <n v="1.4547945205479451"/>
    <x v="110"/>
    <x v="1"/>
    <x v="11"/>
    <x v="1"/>
    <n v="17"/>
    <m/>
    <m/>
    <m/>
    <m/>
    <m/>
    <m/>
    <x v="4"/>
    <n v="2"/>
    <n v="5"/>
    <m/>
    <m/>
    <m/>
    <m/>
    <m/>
    <m/>
    <m/>
    <m/>
    <m/>
    <m/>
    <m/>
    <m/>
    <m/>
    <m/>
  </r>
  <r>
    <n v="3093"/>
    <n v="53481"/>
    <d v="2000-11-25T00:00:00"/>
    <n v="25"/>
    <x v="0"/>
    <x v="0"/>
    <d v="2024-07-18T00:00:00"/>
    <n v="1.210958904109589"/>
    <x v="28"/>
    <x v="0"/>
    <x v="1"/>
    <x v="1"/>
    <n v="16.37"/>
    <m/>
    <m/>
    <m/>
    <m/>
    <m/>
    <m/>
    <x v="4"/>
    <n v="1"/>
    <n v="3"/>
    <m/>
    <m/>
    <m/>
    <m/>
    <m/>
    <m/>
    <m/>
    <m/>
    <m/>
    <m/>
    <m/>
    <m/>
    <m/>
    <m/>
  </r>
  <r>
    <n v="3094"/>
    <n v="53482"/>
    <d v="2004-12-21T00:00:00"/>
    <n v="21"/>
    <x v="1"/>
    <x v="0"/>
    <d v="2024-10-15T00:00:00"/>
    <n v="1.3424657534246576"/>
    <x v="33"/>
    <x v="0"/>
    <x v="3"/>
    <x v="1"/>
    <n v="8.4700000000000006"/>
    <m/>
    <m/>
    <m/>
    <m/>
    <m/>
    <m/>
    <x v="2"/>
    <n v="4"/>
    <n v="6"/>
    <m/>
    <m/>
    <m/>
    <m/>
    <m/>
    <m/>
    <m/>
    <m/>
    <m/>
    <m/>
    <m/>
    <m/>
    <m/>
    <m/>
  </r>
  <r>
    <n v="3095"/>
    <n v="53483"/>
    <d v="2003-09-24T00:00:00"/>
    <n v="22"/>
    <x v="1"/>
    <x v="1"/>
    <d v="2024-08-28T00:00:00"/>
    <n v="1.6273972602739726"/>
    <x v="119"/>
    <x v="1"/>
    <x v="8"/>
    <x v="1"/>
    <n v="8.4700000000000006"/>
    <m/>
    <m/>
    <m/>
    <m/>
    <m/>
    <m/>
    <x v="4"/>
    <n v="2"/>
    <n v="7"/>
    <m/>
    <m/>
    <m/>
    <m/>
    <m/>
    <m/>
    <m/>
    <m/>
    <m/>
    <m/>
    <m/>
    <m/>
    <m/>
    <m/>
  </r>
  <r>
    <n v="3096"/>
    <n v="53484"/>
    <d v="2004-07-17T00:00:00"/>
    <n v="21"/>
    <x v="1"/>
    <x v="1"/>
    <d v="2024-05-16T00:00:00"/>
    <n v="1.6109589041095891"/>
    <x v="119"/>
    <x v="1"/>
    <x v="8"/>
    <x v="1"/>
    <n v="8.4700000000000006"/>
    <m/>
    <m/>
    <m/>
    <m/>
    <m/>
    <m/>
    <x v="2"/>
    <n v="4"/>
    <n v="7"/>
    <m/>
    <m/>
    <m/>
    <m/>
    <m/>
    <m/>
    <m/>
    <m/>
    <m/>
    <m/>
    <m/>
    <m/>
    <m/>
    <m/>
  </r>
  <r>
    <n v="3097"/>
    <n v="53485"/>
    <d v="2007-07-05T00:00:00"/>
    <n v="18"/>
    <x v="1"/>
    <x v="1"/>
    <d v="2024-05-22T00:00:00"/>
    <n v="1.6904109589041096"/>
    <x v="0"/>
    <x v="0"/>
    <x v="8"/>
    <x v="1"/>
    <n v="8.4700000000000006"/>
    <m/>
    <m/>
    <m/>
    <m/>
    <m/>
    <m/>
    <x v="3"/>
    <n v="4"/>
    <n v="7"/>
    <m/>
    <m/>
    <m/>
    <m/>
    <m/>
    <m/>
    <m/>
    <m/>
    <m/>
    <m/>
    <m/>
    <m/>
    <m/>
    <m/>
  </r>
  <r>
    <n v="3098"/>
    <n v="53486"/>
    <d v="1999-11-12T00:00:00"/>
    <n v="26"/>
    <x v="0"/>
    <x v="1"/>
    <d v="2024-04-23T00:00:00"/>
    <n v="1.3397260273972602"/>
    <x v="10"/>
    <x v="0"/>
    <x v="9"/>
    <x v="1"/>
    <n v="14.07"/>
    <m/>
    <m/>
    <m/>
    <m/>
    <m/>
    <m/>
    <x v="3"/>
    <n v="0"/>
    <n v="2"/>
    <m/>
    <m/>
    <m/>
    <m/>
    <m/>
    <m/>
    <m/>
    <m/>
    <m/>
    <m/>
    <m/>
    <m/>
    <m/>
    <m/>
  </r>
  <r>
    <n v="3099"/>
    <n v="53487"/>
    <d v="2003-09-09T00:00:00"/>
    <n v="22"/>
    <x v="1"/>
    <x v="0"/>
    <d v="2024-08-29T00:00:00"/>
    <n v="1.6136986301369862"/>
    <x v="124"/>
    <x v="0"/>
    <x v="8"/>
    <x v="1"/>
    <n v="8.4700000000000006"/>
    <m/>
    <m/>
    <m/>
    <m/>
    <m/>
    <m/>
    <x v="2"/>
    <n v="2"/>
    <n v="7"/>
    <m/>
    <m/>
    <m/>
    <m/>
    <m/>
    <m/>
    <m/>
    <m/>
    <m/>
    <m/>
    <m/>
    <m/>
    <m/>
    <m/>
  </r>
  <r>
    <n v="3100"/>
    <n v="53488"/>
    <d v="2002-03-28T00:00:00"/>
    <n v="23"/>
    <x v="1"/>
    <x v="1"/>
    <d v="2024-05-21T00:00:00"/>
    <n v="1.2986301369863014"/>
    <x v="88"/>
    <x v="0"/>
    <x v="10"/>
    <x v="1"/>
    <n v="10.64"/>
    <m/>
    <m/>
    <m/>
    <m/>
    <m/>
    <m/>
    <x v="3"/>
    <n v="0"/>
    <n v="5"/>
    <m/>
    <m/>
    <m/>
    <m/>
    <m/>
    <m/>
    <m/>
    <m/>
    <m/>
    <m/>
    <m/>
    <m/>
    <m/>
    <m/>
  </r>
  <r>
    <n v="3101"/>
    <n v="53489"/>
    <d v="2002-04-20T00:00:00"/>
    <n v="23"/>
    <x v="1"/>
    <x v="1"/>
    <d v="2024-09-13T00:00:00"/>
    <n v="1.1479452054794521"/>
    <x v="25"/>
    <x v="0"/>
    <x v="8"/>
    <x v="1"/>
    <n v="8.4700000000000006"/>
    <m/>
    <m/>
    <m/>
    <m/>
    <m/>
    <m/>
    <x v="4"/>
    <n v="2"/>
    <n v="7"/>
    <m/>
    <m/>
    <m/>
    <m/>
    <m/>
    <m/>
    <m/>
    <m/>
    <m/>
    <m/>
    <m/>
    <m/>
    <m/>
    <m/>
  </r>
  <r>
    <n v="3102"/>
    <n v="53490"/>
    <d v="2000-06-04T00:00:00"/>
    <n v="25"/>
    <x v="0"/>
    <x v="1"/>
    <d v="2024-11-07T00:00:00"/>
    <n v="1.6684931506849314"/>
    <x v="26"/>
    <x v="0"/>
    <x v="11"/>
    <x v="1"/>
    <n v="17"/>
    <m/>
    <m/>
    <m/>
    <m/>
    <m/>
    <m/>
    <x v="3"/>
    <n v="4"/>
    <n v="6"/>
    <m/>
    <m/>
    <m/>
    <m/>
    <m/>
    <m/>
    <m/>
    <m/>
    <m/>
    <m/>
    <m/>
    <m/>
    <m/>
    <m/>
  </r>
  <r>
    <n v="3103"/>
    <n v="53491"/>
    <d v="1997-12-18T00:00:00"/>
    <n v="28"/>
    <x v="1"/>
    <x v="1"/>
    <d v="2024-05-01T00:00:00"/>
    <n v="1.4575342465753425"/>
    <x v="78"/>
    <x v="0"/>
    <x v="6"/>
    <x v="1"/>
    <n v="23.78"/>
    <m/>
    <m/>
    <m/>
    <m/>
    <m/>
    <m/>
    <x v="4"/>
    <n v="7"/>
    <n v="7"/>
    <m/>
    <m/>
    <m/>
    <m/>
    <m/>
    <m/>
    <m/>
    <m/>
    <m/>
    <m/>
    <m/>
    <m/>
    <m/>
    <m/>
  </r>
  <r>
    <n v="3104"/>
    <n v="53492"/>
    <d v="2002-07-29T00:00:00"/>
    <n v="23"/>
    <x v="1"/>
    <x v="0"/>
    <d v="2024-07-17T00:00:00"/>
    <n v="1.6328767123287671"/>
    <x v="136"/>
    <x v="0"/>
    <x v="8"/>
    <x v="1"/>
    <n v="8.4700000000000006"/>
    <m/>
    <m/>
    <m/>
    <m/>
    <m/>
    <m/>
    <x v="4"/>
    <n v="4"/>
    <n v="5"/>
    <m/>
    <m/>
    <m/>
    <m/>
    <m/>
    <m/>
    <m/>
    <m/>
    <m/>
    <m/>
    <m/>
    <m/>
    <m/>
    <m/>
  </r>
  <r>
    <n v="3105"/>
    <n v="53493"/>
    <d v="2006-03-04T00:00:00"/>
    <n v="19"/>
    <x v="1"/>
    <x v="0"/>
    <d v="2024-05-14T00:00:00"/>
    <n v="1.4986301369863013"/>
    <x v="42"/>
    <x v="0"/>
    <x v="8"/>
    <x v="1"/>
    <n v="8.4700000000000006"/>
    <m/>
    <m/>
    <m/>
    <m/>
    <m/>
    <m/>
    <x v="1"/>
    <n v="2"/>
    <n v="5"/>
    <m/>
    <m/>
    <m/>
    <m/>
    <m/>
    <m/>
    <m/>
    <m/>
    <m/>
    <m/>
    <m/>
    <m/>
    <m/>
    <m/>
  </r>
  <r>
    <n v="3106"/>
    <n v="53494"/>
    <d v="2005-04-19T00:00:00"/>
    <n v="20"/>
    <x v="1"/>
    <x v="1"/>
    <d v="2024-07-02T00:00:00"/>
    <n v="1.5013698630136987"/>
    <x v="43"/>
    <x v="1"/>
    <x v="8"/>
    <x v="1"/>
    <n v="8.4700000000000006"/>
    <m/>
    <m/>
    <m/>
    <m/>
    <m/>
    <m/>
    <x v="3"/>
    <n v="1"/>
    <n v="5"/>
    <m/>
    <m/>
    <m/>
    <m/>
    <m/>
    <m/>
    <m/>
    <m/>
    <m/>
    <m/>
    <m/>
    <m/>
    <m/>
    <m/>
  </r>
  <r>
    <n v="3107"/>
    <n v="53495"/>
    <d v="2004-12-19T00:00:00"/>
    <n v="21"/>
    <x v="1"/>
    <x v="0"/>
    <d v="2024-07-01T00:00:00"/>
    <n v="1.3315068493150686"/>
    <x v="46"/>
    <x v="1"/>
    <x v="3"/>
    <x v="1"/>
    <n v="8.4700000000000006"/>
    <m/>
    <m/>
    <m/>
    <m/>
    <m/>
    <m/>
    <x v="3"/>
    <n v="4"/>
    <n v="5"/>
    <m/>
    <m/>
    <m/>
    <m/>
    <m/>
    <m/>
    <m/>
    <m/>
    <m/>
    <m/>
    <m/>
    <m/>
    <m/>
    <m/>
  </r>
  <r>
    <n v="3108"/>
    <n v="53496"/>
    <d v="2003-04-01T00:00:00"/>
    <n v="23"/>
    <x v="1"/>
    <x v="1"/>
    <d v="2024-09-01T00:00:00"/>
    <n v="1.6602739726027398"/>
    <x v="51"/>
    <x v="1"/>
    <x v="3"/>
    <x v="1"/>
    <n v="8.4700000000000006"/>
    <m/>
    <m/>
    <m/>
    <m/>
    <m/>
    <m/>
    <x v="4"/>
    <n v="2"/>
    <n v="6"/>
    <m/>
    <m/>
    <m/>
    <m/>
    <m/>
    <m/>
    <m/>
    <m/>
    <m/>
    <m/>
    <m/>
    <m/>
    <m/>
    <m/>
  </r>
  <r>
    <n v="3109"/>
    <n v="53497"/>
    <d v="2004-06-20T00:00:00"/>
    <n v="21"/>
    <x v="0"/>
    <x v="1"/>
    <d v="2024-05-04T00:00:00"/>
    <n v="1.2438356164383562"/>
    <x v="91"/>
    <x v="1"/>
    <x v="8"/>
    <x v="1"/>
    <n v="8.4700000000000006"/>
    <m/>
    <m/>
    <m/>
    <m/>
    <m/>
    <m/>
    <x v="4"/>
    <n v="3"/>
    <n v="5"/>
    <m/>
    <m/>
    <m/>
    <m/>
    <m/>
    <m/>
    <m/>
    <m/>
    <m/>
    <m/>
    <m/>
    <m/>
    <m/>
    <m/>
  </r>
  <r>
    <n v="3110"/>
    <n v="53498"/>
    <d v="2002-06-05T00:00:00"/>
    <n v="23"/>
    <x v="1"/>
    <x v="1"/>
    <d v="2024-10-03T00:00:00"/>
    <n v="1.210958904109589"/>
    <x v="68"/>
    <x v="1"/>
    <x v="8"/>
    <x v="1"/>
    <n v="8.4700000000000006"/>
    <m/>
    <m/>
    <m/>
    <m/>
    <m/>
    <m/>
    <x v="3"/>
    <n v="0"/>
    <n v="6"/>
    <m/>
    <m/>
    <m/>
    <m/>
    <m/>
    <m/>
    <m/>
    <m/>
    <m/>
    <m/>
    <m/>
    <m/>
    <m/>
    <m/>
  </r>
  <r>
    <n v="3111"/>
    <n v="53499"/>
    <d v="2001-05-22T00:00:00"/>
    <n v="24"/>
    <x v="0"/>
    <x v="0"/>
    <d v="2024-10-15T00:00:00"/>
    <n v="1.3205479452054794"/>
    <x v="132"/>
    <x v="1"/>
    <x v="10"/>
    <x v="1"/>
    <n v="10.64"/>
    <m/>
    <m/>
    <m/>
    <m/>
    <m/>
    <m/>
    <x v="1"/>
    <n v="1"/>
    <n v="4"/>
    <m/>
    <m/>
    <m/>
    <m/>
    <m/>
    <m/>
    <m/>
    <m/>
    <m/>
    <m/>
    <m/>
    <m/>
    <m/>
    <m/>
  </r>
  <r>
    <n v="3112"/>
    <n v="53501"/>
    <d v="2004-12-24T00:00:00"/>
    <n v="21"/>
    <x v="1"/>
    <x v="0"/>
    <d v="2024-09-05T00:00:00"/>
    <n v="1.4191780821917808"/>
    <x v="4"/>
    <x v="0"/>
    <x v="8"/>
    <x v="1"/>
    <n v="8.4700000000000006"/>
    <m/>
    <m/>
    <m/>
    <m/>
    <m/>
    <m/>
    <x v="4"/>
    <n v="2"/>
    <n v="7"/>
    <m/>
    <m/>
    <m/>
    <m/>
    <m/>
    <m/>
    <m/>
    <m/>
    <m/>
    <m/>
    <m/>
    <m/>
    <m/>
    <m/>
  </r>
  <r>
    <n v="3113"/>
    <n v="53502"/>
    <d v="2004-03-15T00:00:00"/>
    <n v="21"/>
    <x v="1"/>
    <x v="0"/>
    <d v="2024-07-31T00:00:00"/>
    <n v="1.178082191780822"/>
    <x v="5"/>
    <x v="0"/>
    <x v="8"/>
    <x v="1"/>
    <n v="8.4700000000000006"/>
    <m/>
    <m/>
    <m/>
    <m/>
    <m/>
    <m/>
    <x v="1"/>
    <n v="2"/>
    <n v="6"/>
    <m/>
    <m/>
    <m/>
    <m/>
    <m/>
    <m/>
    <m/>
    <m/>
    <m/>
    <m/>
    <m/>
    <m/>
    <m/>
    <m/>
  </r>
  <r>
    <n v="3114"/>
    <n v="53503"/>
    <d v="2004-02-13T00:00:00"/>
    <n v="21"/>
    <x v="1"/>
    <x v="0"/>
    <d v="2024-10-27T00:00:00"/>
    <n v="1.484931506849315"/>
    <x v="5"/>
    <x v="0"/>
    <x v="8"/>
    <x v="1"/>
    <n v="8.4700000000000006"/>
    <m/>
    <m/>
    <m/>
    <m/>
    <m/>
    <m/>
    <x v="1"/>
    <n v="2"/>
    <n v="6"/>
    <m/>
    <m/>
    <m/>
    <m/>
    <m/>
    <m/>
    <m/>
    <m/>
    <m/>
    <m/>
    <m/>
    <m/>
    <m/>
    <m/>
  </r>
  <r>
    <n v="3115"/>
    <n v="53504"/>
    <d v="1997-03-17T00:00:00"/>
    <n v="28"/>
    <x v="0"/>
    <x v="0"/>
    <d v="2024-07-07T00:00:00"/>
    <n v="1.2301369863013698"/>
    <x v="10"/>
    <x v="0"/>
    <x v="8"/>
    <x v="1"/>
    <n v="8.4700000000000006"/>
    <m/>
    <m/>
    <m/>
    <m/>
    <m/>
    <m/>
    <x v="2"/>
    <n v="2"/>
    <n v="3"/>
    <m/>
    <m/>
    <m/>
    <m/>
    <m/>
    <m/>
    <m/>
    <m/>
    <m/>
    <m/>
    <m/>
    <m/>
    <m/>
    <m/>
  </r>
  <r>
    <n v="3116"/>
    <n v="53505"/>
    <d v="2005-10-11T00:00:00"/>
    <n v="20"/>
    <x v="1"/>
    <x v="1"/>
    <d v="2024-10-08T00:00:00"/>
    <n v="1.5863013698630137"/>
    <x v="124"/>
    <x v="0"/>
    <x v="8"/>
    <x v="1"/>
    <n v="8.4700000000000006"/>
    <m/>
    <m/>
    <m/>
    <m/>
    <m/>
    <m/>
    <x v="1"/>
    <n v="1"/>
    <n v="5"/>
    <m/>
    <m/>
    <m/>
    <m/>
    <m/>
    <m/>
    <m/>
    <m/>
    <m/>
    <m/>
    <m/>
    <m/>
    <m/>
    <m/>
  </r>
  <r>
    <n v="3117"/>
    <n v="53506"/>
    <d v="2003-12-30T00:00:00"/>
    <n v="22"/>
    <x v="0"/>
    <x v="1"/>
    <d v="2024-05-31T00:00:00"/>
    <n v="1.5808219178082192"/>
    <x v="52"/>
    <x v="0"/>
    <x v="10"/>
    <x v="1"/>
    <n v="10.64"/>
    <m/>
    <m/>
    <m/>
    <m/>
    <m/>
    <m/>
    <x v="1"/>
    <n v="0"/>
    <n v="4"/>
    <m/>
    <m/>
    <m/>
    <m/>
    <m/>
    <m/>
    <m/>
    <m/>
    <m/>
    <m/>
    <m/>
    <m/>
    <m/>
    <m/>
  </r>
  <r>
    <n v="3118"/>
    <n v="53507"/>
    <d v="2007-02-26T00:00:00"/>
    <n v="18"/>
    <x v="1"/>
    <x v="1"/>
    <d v="2024-06-02T00:00:00"/>
    <n v="1.1287671232876713"/>
    <x v="25"/>
    <x v="0"/>
    <x v="8"/>
    <x v="1"/>
    <n v="8.4700000000000006"/>
    <m/>
    <m/>
    <m/>
    <m/>
    <m/>
    <m/>
    <x v="2"/>
    <n v="2"/>
    <n v="5"/>
    <m/>
    <m/>
    <m/>
    <m/>
    <m/>
    <m/>
    <m/>
    <m/>
    <m/>
    <m/>
    <m/>
    <m/>
    <m/>
    <m/>
  </r>
  <r>
    <n v="3119"/>
    <n v="53508"/>
    <d v="1993-10-03T00:00:00"/>
    <n v="32"/>
    <x v="1"/>
    <x v="1"/>
    <d v="2024-11-14T00:00:00"/>
    <n v="1.3342465753424657"/>
    <x v="139"/>
    <x v="0"/>
    <x v="8"/>
    <x v="1"/>
    <n v="8.4700000000000006"/>
    <m/>
    <m/>
    <m/>
    <m/>
    <m/>
    <m/>
    <x v="1"/>
    <n v="1"/>
    <n v="5"/>
    <m/>
    <m/>
    <m/>
    <m/>
    <m/>
    <m/>
    <m/>
    <m/>
    <m/>
    <m/>
    <m/>
    <m/>
    <m/>
    <m/>
  </r>
  <r>
    <n v="3120"/>
    <n v="53509"/>
    <d v="2005-07-13T00:00:00"/>
    <n v="20"/>
    <x v="1"/>
    <x v="0"/>
    <d v="2024-08-31T00:00:00"/>
    <n v="1.2301369863013698"/>
    <x v="63"/>
    <x v="0"/>
    <x v="8"/>
    <x v="1"/>
    <n v="8.4700000000000006"/>
    <m/>
    <m/>
    <m/>
    <m/>
    <m/>
    <m/>
    <x v="2"/>
    <n v="1"/>
    <n v="6"/>
    <m/>
    <m/>
    <m/>
    <m/>
    <m/>
    <m/>
    <m/>
    <m/>
    <m/>
    <m/>
    <m/>
    <m/>
    <m/>
    <m/>
  </r>
  <r>
    <n v="3121"/>
    <n v="53510"/>
    <d v="2002-12-30T00:00:00"/>
    <n v="23"/>
    <x v="0"/>
    <x v="1"/>
    <d v="2024-10-08T00:00:00"/>
    <n v="1.4547945205479451"/>
    <x v="143"/>
    <x v="0"/>
    <x v="10"/>
    <x v="1"/>
    <n v="10.64"/>
    <m/>
    <m/>
    <m/>
    <m/>
    <m/>
    <m/>
    <x v="1"/>
    <n v="1"/>
    <n v="5"/>
    <m/>
    <m/>
    <m/>
    <m/>
    <m/>
    <m/>
    <m/>
    <m/>
    <m/>
    <m/>
    <m/>
    <m/>
    <m/>
    <m/>
  </r>
  <r>
    <n v="3122"/>
    <n v="53511"/>
    <d v="2001-06-01T00:00:00"/>
    <n v="25"/>
    <x v="1"/>
    <x v="1"/>
    <d v="2024-07-18T00:00:00"/>
    <n v="1.2684931506849315"/>
    <x v="67"/>
    <x v="0"/>
    <x v="3"/>
    <x v="1"/>
    <n v="8.4700000000000006"/>
    <m/>
    <m/>
    <m/>
    <m/>
    <m/>
    <m/>
    <x v="3"/>
    <n v="2"/>
    <n v="6"/>
    <m/>
    <m/>
    <m/>
    <m/>
    <m/>
    <m/>
    <m/>
    <m/>
    <m/>
    <m/>
    <m/>
    <m/>
    <m/>
    <m/>
  </r>
  <r>
    <n v="3123"/>
    <n v="53512"/>
    <d v="1997-03-08T00:00:00"/>
    <n v="28"/>
    <x v="1"/>
    <x v="0"/>
    <d v="2024-09-24T00:00:00"/>
    <n v="1.5232876712328767"/>
    <x v="36"/>
    <x v="0"/>
    <x v="3"/>
    <x v="1"/>
    <n v="8.4700000000000006"/>
    <m/>
    <m/>
    <m/>
    <m/>
    <m/>
    <m/>
    <x v="1"/>
    <n v="3"/>
    <n v="5"/>
    <m/>
    <m/>
    <m/>
    <m/>
    <m/>
    <m/>
    <m/>
    <m/>
    <m/>
    <m/>
    <m/>
    <m/>
    <m/>
    <m/>
  </r>
  <r>
    <n v="3124"/>
    <n v="53513"/>
    <d v="2003-06-20T00:00:00"/>
    <n v="22"/>
    <x v="0"/>
    <x v="1"/>
    <d v="2024-06-23T00:00:00"/>
    <n v="1.1945205479452055"/>
    <x v="59"/>
    <x v="0"/>
    <x v="8"/>
    <x v="1"/>
    <n v="8.4700000000000006"/>
    <m/>
    <m/>
    <m/>
    <m/>
    <m/>
    <m/>
    <x v="1"/>
    <n v="2"/>
    <n v="5"/>
    <m/>
    <m/>
    <m/>
    <m/>
    <m/>
    <m/>
    <m/>
    <m/>
    <m/>
    <m/>
    <m/>
    <m/>
    <m/>
    <m/>
  </r>
  <r>
    <n v="3125"/>
    <n v="53514"/>
    <d v="1997-12-11T00:00:00"/>
    <n v="28"/>
    <x v="1"/>
    <x v="0"/>
    <d v="2024-10-21T00:00:00"/>
    <n v="1.3205479452054794"/>
    <x v="37"/>
    <x v="0"/>
    <x v="8"/>
    <x v="1"/>
    <n v="8.4700000000000006"/>
    <m/>
    <m/>
    <m/>
    <m/>
    <m/>
    <m/>
    <x v="3"/>
    <n v="2"/>
    <n v="5"/>
    <m/>
    <m/>
    <m/>
    <m/>
    <m/>
    <m/>
    <m/>
    <m/>
    <m/>
    <m/>
    <m/>
    <m/>
    <m/>
    <m/>
  </r>
  <r>
    <n v="3126"/>
    <n v="53515"/>
    <d v="2002-08-06T00:00:00"/>
    <n v="23"/>
    <x v="1"/>
    <x v="1"/>
    <d v="2024-09-05T00:00:00"/>
    <n v="1.1479452054794521"/>
    <x v="9"/>
    <x v="1"/>
    <x v="11"/>
    <x v="1"/>
    <n v="17"/>
    <m/>
    <m/>
    <m/>
    <m/>
    <m/>
    <m/>
    <x v="4"/>
    <n v="2"/>
    <n v="7"/>
    <m/>
    <m/>
    <m/>
    <m/>
    <m/>
    <m/>
    <m/>
    <m/>
    <m/>
    <m/>
    <m/>
    <m/>
    <m/>
    <m/>
  </r>
  <r>
    <n v="3127"/>
    <n v="53516"/>
    <d v="2006-11-27T00:00:00"/>
    <n v="19"/>
    <x v="1"/>
    <x v="0"/>
    <d v="2024-11-07T00:00:00"/>
    <n v="1.4876712328767123"/>
    <x v="62"/>
    <x v="1"/>
    <x v="3"/>
    <x v="1"/>
    <n v="8.4700000000000006"/>
    <m/>
    <m/>
    <m/>
    <m/>
    <m/>
    <m/>
    <x v="3"/>
    <n v="2"/>
    <n v="6"/>
    <m/>
    <m/>
    <m/>
    <m/>
    <m/>
    <m/>
    <m/>
    <m/>
    <m/>
    <m/>
    <m/>
    <m/>
    <m/>
    <m/>
  </r>
  <r>
    <n v="3128"/>
    <n v="53517"/>
    <d v="2003-05-01T00:00:00"/>
    <n v="23"/>
    <x v="1"/>
    <x v="0"/>
    <d v="2024-07-06T00:00:00"/>
    <n v="1.106849315068493"/>
    <x v="71"/>
    <x v="1"/>
    <x v="10"/>
    <x v="1"/>
    <n v="10.64"/>
    <m/>
    <m/>
    <m/>
    <m/>
    <m/>
    <m/>
    <x v="3"/>
    <n v="1"/>
    <n v="5"/>
    <m/>
    <m/>
    <m/>
    <m/>
    <m/>
    <m/>
    <m/>
    <m/>
    <m/>
    <m/>
    <m/>
    <m/>
    <m/>
    <m/>
  </r>
  <r>
    <n v="3129"/>
    <n v="53518"/>
    <d v="2006-12-20T00:00:00"/>
    <n v="19"/>
    <x v="1"/>
    <x v="0"/>
    <d v="2024-11-22T00:00:00"/>
    <n v="1.8356164383561644"/>
    <x v="81"/>
    <x v="1"/>
    <x v="8"/>
    <x v="1"/>
    <n v="8.4700000000000006"/>
    <m/>
    <m/>
    <m/>
    <m/>
    <m/>
    <m/>
    <x v="2"/>
    <n v="4"/>
    <n v="6"/>
    <m/>
    <m/>
    <m/>
    <m/>
    <m/>
    <m/>
    <m/>
    <m/>
    <m/>
    <m/>
    <m/>
    <m/>
    <m/>
    <m/>
  </r>
  <r>
    <n v="3130"/>
    <n v="53519"/>
    <d v="2004-02-18T00:00:00"/>
    <n v="21"/>
    <x v="0"/>
    <x v="0"/>
    <d v="2024-03-01T00:00:00"/>
    <n v="1.7315068493150685"/>
    <x v="99"/>
    <x v="1"/>
    <x v="10"/>
    <x v="1"/>
    <n v="10.64"/>
    <m/>
    <m/>
    <m/>
    <m/>
    <m/>
    <m/>
    <x v="4"/>
    <n v="1"/>
    <n v="3"/>
    <m/>
    <m/>
    <m/>
    <m/>
    <m/>
    <m/>
    <m/>
    <m/>
    <m/>
    <m/>
    <m/>
    <m/>
    <m/>
    <m/>
  </r>
  <r>
    <n v="3131"/>
    <n v="53520"/>
    <d v="2002-08-02T00:00:00"/>
    <n v="23"/>
    <x v="1"/>
    <x v="1"/>
    <d v="2024-04-08T00:00:00"/>
    <n v="1.3123287671232877"/>
    <x v="0"/>
    <x v="0"/>
    <x v="8"/>
    <x v="1"/>
    <n v="8.4700000000000006"/>
    <m/>
    <m/>
    <m/>
    <m/>
    <m/>
    <m/>
    <x v="4"/>
    <n v="1"/>
    <n v="7"/>
    <m/>
    <m/>
    <m/>
    <m/>
    <m/>
    <m/>
    <m/>
    <m/>
    <m/>
    <m/>
    <m/>
    <m/>
    <m/>
    <m/>
  </r>
  <r>
    <n v="3132"/>
    <n v="53521"/>
    <d v="2005-08-14T00:00:00"/>
    <n v="20"/>
    <x v="1"/>
    <x v="1"/>
    <d v="2024-09-08T00:00:00"/>
    <n v="1.2438356164383562"/>
    <x v="0"/>
    <x v="0"/>
    <x v="8"/>
    <x v="1"/>
    <n v="8.4700000000000006"/>
    <m/>
    <m/>
    <m/>
    <m/>
    <m/>
    <m/>
    <x v="3"/>
    <n v="1"/>
    <n v="6"/>
    <m/>
    <m/>
    <m/>
    <m/>
    <m/>
    <m/>
    <m/>
    <m/>
    <m/>
    <m/>
    <m/>
    <m/>
    <m/>
    <m/>
  </r>
  <r>
    <n v="3133"/>
    <n v="53522"/>
    <d v="2003-03-05T00:00:00"/>
    <n v="22"/>
    <x v="0"/>
    <x v="1"/>
    <d v="2024-10-03T00:00:00"/>
    <n v="1.1917808219178083"/>
    <x v="2"/>
    <x v="0"/>
    <x v="8"/>
    <x v="1"/>
    <n v="8.4700000000000006"/>
    <m/>
    <m/>
    <m/>
    <m/>
    <m/>
    <m/>
    <x v="1"/>
    <n v="2"/>
    <n v="5"/>
    <m/>
    <m/>
    <m/>
    <m/>
    <m/>
    <m/>
    <m/>
    <m/>
    <m/>
    <m/>
    <m/>
    <m/>
    <m/>
    <m/>
  </r>
  <r>
    <n v="3134"/>
    <n v="53523"/>
    <d v="2007-09-09T00:00:00"/>
    <n v="18"/>
    <x v="0"/>
    <x v="1"/>
    <d v="2024-10-22T00:00:00"/>
    <n v="1.6246575342465754"/>
    <x v="3"/>
    <x v="0"/>
    <x v="8"/>
    <x v="1"/>
    <n v="8.4700000000000006"/>
    <m/>
    <m/>
    <m/>
    <m/>
    <m/>
    <m/>
    <x v="4"/>
    <n v="4"/>
    <n v="5"/>
    <m/>
    <m/>
    <m/>
    <m/>
    <m/>
    <m/>
    <m/>
    <m/>
    <m/>
    <m/>
    <m/>
    <m/>
    <m/>
    <m/>
  </r>
  <r>
    <n v="3135"/>
    <n v="53524"/>
    <d v="2002-12-28T00:00:00"/>
    <n v="23"/>
    <x v="1"/>
    <x v="1"/>
    <d v="2024-05-17T00:00:00"/>
    <n v="1.4657534246575343"/>
    <x v="3"/>
    <x v="0"/>
    <x v="8"/>
    <x v="1"/>
    <n v="8.4700000000000006"/>
    <m/>
    <m/>
    <m/>
    <m/>
    <m/>
    <m/>
    <x v="3"/>
    <n v="4"/>
    <n v="6"/>
    <m/>
    <m/>
    <m/>
    <m/>
    <m/>
    <m/>
    <m/>
    <m/>
    <m/>
    <m/>
    <m/>
    <m/>
    <m/>
    <m/>
  </r>
  <r>
    <n v="3136"/>
    <n v="53525"/>
    <d v="2003-07-01T00:00:00"/>
    <n v="23"/>
    <x v="1"/>
    <x v="1"/>
    <d v="2024-07-14T00:00:00"/>
    <n v="1.7068493150684931"/>
    <x v="4"/>
    <x v="0"/>
    <x v="11"/>
    <x v="1"/>
    <n v="17"/>
    <m/>
    <m/>
    <m/>
    <m/>
    <m/>
    <m/>
    <x v="1"/>
    <n v="2"/>
    <n v="6"/>
    <m/>
    <m/>
    <m/>
    <m/>
    <m/>
    <m/>
    <m/>
    <m/>
    <m/>
    <m/>
    <m/>
    <m/>
    <m/>
    <m/>
  </r>
  <r>
    <n v="3137"/>
    <n v="53526"/>
    <d v="2004-09-02T00:00:00"/>
    <n v="21"/>
    <x v="1"/>
    <x v="1"/>
    <d v="2024-04-17T00:00:00"/>
    <n v="1.6876712328767123"/>
    <x v="4"/>
    <x v="0"/>
    <x v="8"/>
    <x v="1"/>
    <n v="8.4700000000000006"/>
    <m/>
    <m/>
    <m/>
    <m/>
    <m/>
    <m/>
    <x v="2"/>
    <n v="2"/>
    <n v="6"/>
    <m/>
    <m/>
    <m/>
    <m/>
    <m/>
    <m/>
    <m/>
    <m/>
    <m/>
    <m/>
    <m/>
    <m/>
    <m/>
    <m/>
  </r>
  <r>
    <n v="3138"/>
    <n v="53527"/>
    <d v="2003-02-27T00:00:00"/>
    <n v="22"/>
    <x v="1"/>
    <x v="0"/>
    <d v="2024-04-24T00:00:00"/>
    <n v="1.2136986301369863"/>
    <x v="4"/>
    <x v="0"/>
    <x v="8"/>
    <x v="1"/>
    <n v="8.4700000000000006"/>
    <m/>
    <m/>
    <m/>
    <m/>
    <m/>
    <m/>
    <x v="1"/>
    <n v="0"/>
    <n v="5"/>
    <m/>
    <m/>
    <m/>
    <m/>
    <m/>
    <m/>
    <m/>
    <m/>
    <m/>
    <m/>
    <m/>
    <m/>
    <m/>
    <m/>
  </r>
  <r>
    <n v="3139"/>
    <n v="53528"/>
    <d v="2006-03-18T00:00:00"/>
    <n v="19"/>
    <x v="1"/>
    <x v="1"/>
    <d v="2024-10-14T00:00:00"/>
    <n v="1.8191780821917809"/>
    <x v="4"/>
    <x v="0"/>
    <x v="8"/>
    <x v="1"/>
    <n v="8.4700000000000006"/>
    <m/>
    <m/>
    <m/>
    <m/>
    <m/>
    <m/>
    <x v="1"/>
    <n v="1"/>
    <n v="6"/>
    <m/>
    <m/>
    <m/>
    <m/>
    <m/>
    <m/>
    <m/>
    <m/>
    <m/>
    <m/>
    <m/>
    <m/>
    <m/>
    <m/>
  </r>
  <r>
    <n v="3140"/>
    <n v="53529"/>
    <d v="2004-03-24T00:00:00"/>
    <n v="21"/>
    <x v="1"/>
    <x v="1"/>
    <d v="2024-03-07T00:00:00"/>
    <n v="1.2876712328767124"/>
    <x v="4"/>
    <x v="0"/>
    <x v="8"/>
    <x v="1"/>
    <n v="8.4700000000000006"/>
    <m/>
    <m/>
    <m/>
    <m/>
    <m/>
    <m/>
    <x v="1"/>
    <n v="2"/>
    <n v="6"/>
    <m/>
    <m/>
    <m/>
    <m/>
    <m/>
    <m/>
    <m/>
    <m/>
    <m/>
    <m/>
    <m/>
    <m/>
    <m/>
    <m/>
  </r>
  <r>
    <n v="3141"/>
    <n v="53530"/>
    <d v="2003-08-17T00:00:00"/>
    <n v="22"/>
    <x v="1"/>
    <x v="0"/>
    <d v="2024-09-17T00:00:00"/>
    <n v="1.7589041095890412"/>
    <x v="5"/>
    <x v="0"/>
    <x v="8"/>
    <x v="1"/>
    <n v="8.4700000000000006"/>
    <m/>
    <m/>
    <m/>
    <m/>
    <m/>
    <m/>
    <x v="4"/>
    <n v="2"/>
    <n v="7"/>
    <m/>
    <m/>
    <m/>
    <m/>
    <m/>
    <m/>
    <m/>
    <m/>
    <m/>
    <m/>
    <m/>
    <m/>
    <m/>
    <m/>
  </r>
  <r>
    <n v="3142"/>
    <n v="53531"/>
    <d v="2007-05-18T00:00:00"/>
    <n v="18"/>
    <x v="1"/>
    <x v="1"/>
    <d v="2024-03-29T00:00:00"/>
    <n v="1.8684931506849316"/>
    <x v="5"/>
    <x v="0"/>
    <x v="8"/>
    <x v="1"/>
    <n v="8.4700000000000006"/>
    <m/>
    <m/>
    <m/>
    <m/>
    <m/>
    <m/>
    <x v="4"/>
    <n v="3"/>
    <n v="6"/>
    <m/>
    <m/>
    <m/>
    <m/>
    <m/>
    <m/>
    <m/>
    <m/>
    <m/>
    <m/>
    <m/>
    <m/>
    <m/>
    <m/>
  </r>
  <r>
    <n v="3143"/>
    <n v="53532"/>
    <d v="2001-05-17T00:00:00"/>
    <n v="24"/>
    <x v="1"/>
    <x v="1"/>
    <d v="2024-02-18T00:00:00"/>
    <n v="1.3726027397260274"/>
    <x v="7"/>
    <x v="0"/>
    <x v="11"/>
    <x v="1"/>
    <n v="17"/>
    <m/>
    <m/>
    <m/>
    <m/>
    <m/>
    <m/>
    <x v="1"/>
    <n v="4"/>
    <n v="6"/>
    <m/>
    <m/>
    <m/>
    <m/>
    <m/>
    <m/>
    <m/>
    <m/>
    <m/>
    <m/>
    <m/>
    <m/>
    <m/>
    <m/>
  </r>
  <r>
    <n v="3144"/>
    <n v="53533"/>
    <d v="2002-01-10T00:00:00"/>
    <n v="23"/>
    <x v="1"/>
    <x v="1"/>
    <d v="2024-08-17T00:00:00"/>
    <n v="1.2821917808219179"/>
    <x v="7"/>
    <x v="0"/>
    <x v="3"/>
    <x v="1"/>
    <n v="8.4700000000000006"/>
    <m/>
    <m/>
    <m/>
    <m/>
    <m/>
    <m/>
    <x v="2"/>
    <n v="1"/>
    <n v="6"/>
    <m/>
    <m/>
    <m/>
    <m/>
    <m/>
    <m/>
    <m/>
    <m/>
    <m/>
    <m/>
    <m/>
    <m/>
    <m/>
    <m/>
  </r>
  <r>
    <n v="3145"/>
    <n v="53534"/>
    <d v="2005-11-01T00:00:00"/>
    <n v="21"/>
    <x v="1"/>
    <x v="1"/>
    <d v="2024-09-19T00:00:00"/>
    <n v="1.4958904109589042"/>
    <x v="7"/>
    <x v="0"/>
    <x v="8"/>
    <x v="1"/>
    <n v="8.4700000000000006"/>
    <m/>
    <m/>
    <m/>
    <m/>
    <m/>
    <m/>
    <x v="1"/>
    <n v="2"/>
    <n v="5"/>
    <m/>
    <m/>
    <m/>
    <m/>
    <m/>
    <m/>
    <m/>
    <m/>
    <m/>
    <m/>
    <m/>
    <m/>
    <m/>
    <m/>
  </r>
  <r>
    <n v="3146"/>
    <n v="53535"/>
    <d v="2006-03-01T00:00:00"/>
    <n v="20"/>
    <x v="1"/>
    <x v="0"/>
    <d v="2024-07-03T00:00:00"/>
    <n v="1.4438356164383561"/>
    <x v="7"/>
    <x v="0"/>
    <x v="8"/>
    <x v="1"/>
    <n v="8.4700000000000006"/>
    <m/>
    <m/>
    <m/>
    <m/>
    <m/>
    <m/>
    <x v="3"/>
    <n v="2"/>
    <n v="5"/>
    <m/>
    <m/>
    <m/>
    <m/>
    <m/>
    <m/>
    <m/>
    <m/>
    <m/>
    <m/>
    <m/>
    <m/>
    <m/>
    <m/>
  </r>
  <r>
    <n v="3147"/>
    <n v="53536"/>
    <d v="2003-08-06T00:00:00"/>
    <n v="22"/>
    <x v="1"/>
    <x v="1"/>
    <d v="2024-07-22T00:00:00"/>
    <n v="1.7452054794520548"/>
    <x v="7"/>
    <x v="0"/>
    <x v="8"/>
    <x v="1"/>
    <n v="8.4700000000000006"/>
    <m/>
    <m/>
    <m/>
    <m/>
    <m/>
    <m/>
    <x v="3"/>
    <n v="2"/>
    <n v="7"/>
    <m/>
    <m/>
    <m/>
    <m/>
    <m/>
    <m/>
    <m/>
    <m/>
    <m/>
    <m/>
    <m/>
    <m/>
    <m/>
    <m/>
  </r>
  <r>
    <n v="3148"/>
    <n v="53537"/>
    <d v="2004-01-19T00:00:00"/>
    <n v="21"/>
    <x v="1"/>
    <x v="0"/>
    <d v="2024-04-03T00:00:00"/>
    <n v="1.6465753424657534"/>
    <x v="7"/>
    <x v="0"/>
    <x v="8"/>
    <x v="1"/>
    <n v="8.4700000000000006"/>
    <m/>
    <m/>
    <m/>
    <m/>
    <m/>
    <m/>
    <x v="4"/>
    <n v="2"/>
    <n v="6"/>
    <m/>
    <m/>
    <m/>
    <m/>
    <m/>
    <m/>
    <m/>
    <m/>
    <m/>
    <m/>
    <m/>
    <m/>
    <m/>
    <m/>
  </r>
  <r>
    <n v="3149"/>
    <n v="53538"/>
    <d v="1998-07-26T00:00:00"/>
    <n v="27"/>
    <x v="1"/>
    <x v="1"/>
    <d v="2024-05-09T00:00:00"/>
    <n v="1.3260273972602741"/>
    <x v="7"/>
    <x v="0"/>
    <x v="8"/>
    <x v="1"/>
    <n v="8.4700000000000006"/>
    <m/>
    <m/>
    <m/>
    <m/>
    <m/>
    <m/>
    <x v="4"/>
    <n v="2"/>
    <n v="7"/>
    <m/>
    <m/>
    <m/>
    <m/>
    <m/>
    <m/>
    <m/>
    <m/>
    <m/>
    <m/>
    <m/>
    <m/>
    <m/>
    <m/>
  </r>
  <r>
    <n v="3150"/>
    <n v="53540"/>
    <d v="2005-09-01T00:00:00"/>
    <n v="21"/>
    <x v="0"/>
    <x v="1"/>
    <d v="2024-09-03T00:00:00"/>
    <n v="1.3095890410958904"/>
    <x v="127"/>
    <x v="0"/>
    <x v="10"/>
    <x v="1"/>
    <n v="10.64"/>
    <m/>
    <m/>
    <m/>
    <m/>
    <m/>
    <m/>
    <x v="2"/>
    <n v="0"/>
    <n v="4"/>
    <m/>
    <m/>
    <m/>
    <m/>
    <m/>
    <m/>
    <m/>
    <m/>
    <m/>
    <m/>
    <m/>
    <m/>
    <m/>
    <m/>
  </r>
  <r>
    <n v="3151"/>
    <n v="53541"/>
    <d v="2000-03-06T00:00:00"/>
    <n v="25"/>
    <x v="1"/>
    <x v="0"/>
    <d v="2024-09-09T00:00:00"/>
    <n v="1.704109589041096"/>
    <x v="10"/>
    <x v="0"/>
    <x v="11"/>
    <x v="1"/>
    <n v="17"/>
    <m/>
    <m/>
    <m/>
    <m/>
    <m/>
    <m/>
    <x v="3"/>
    <n v="1"/>
    <n v="6"/>
    <m/>
    <m/>
    <m/>
    <m/>
    <m/>
    <m/>
    <m/>
    <m/>
    <m/>
    <m/>
    <m/>
    <m/>
    <m/>
    <m/>
  </r>
  <r>
    <n v="3152"/>
    <n v="53542"/>
    <d v="2003-02-24T00:00:00"/>
    <n v="22"/>
    <x v="1"/>
    <x v="1"/>
    <d v="2024-04-18T00:00:00"/>
    <n v="1.7068493150684931"/>
    <x v="124"/>
    <x v="0"/>
    <x v="8"/>
    <x v="1"/>
    <n v="8.4700000000000006"/>
    <m/>
    <m/>
    <m/>
    <m/>
    <m/>
    <m/>
    <x v="2"/>
    <n v="4"/>
    <n v="6"/>
    <m/>
    <m/>
    <m/>
    <m/>
    <m/>
    <m/>
    <m/>
    <m/>
    <m/>
    <m/>
    <m/>
    <m/>
    <m/>
    <m/>
  </r>
  <r>
    <n v="3153"/>
    <n v="53543"/>
    <d v="2003-06-28T00:00:00"/>
    <n v="22"/>
    <x v="1"/>
    <x v="0"/>
    <d v="2024-04-17T00:00:00"/>
    <n v="1.3178082191780822"/>
    <x v="11"/>
    <x v="0"/>
    <x v="8"/>
    <x v="1"/>
    <n v="8.4700000000000006"/>
    <m/>
    <m/>
    <m/>
    <m/>
    <m/>
    <m/>
    <x v="4"/>
    <n v="2"/>
    <n v="6"/>
    <m/>
    <m/>
    <m/>
    <m/>
    <m/>
    <m/>
    <m/>
    <m/>
    <m/>
    <m/>
    <m/>
    <m/>
    <m/>
    <m/>
  </r>
  <r>
    <n v="3154"/>
    <n v="53544"/>
    <d v="2002-11-15T00:00:00"/>
    <n v="23"/>
    <x v="1"/>
    <x v="1"/>
    <d v="2024-09-06T00:00:00"/>
    <n v="1.6356164383561644"/>
    <x v="11"/>
    <x v="0"/>
    <x v="8"/>
    <x v="1"/>
    <n v="8.4700000000000006"/>
    <m/>
    <m/>
    <m/>
    <m/>
    <m/>
    <m/>
    <x v="1"/>
    <n v="2"/>
    <n v="6"/>
    <m/>
    <m/>
    <m/>
    <m/>
    <m/>
    <m/>
    <m/>
    <m/>
    <m/>
    <m/>
    <m/>
    <m/>
    <m/>
    <m/>
  </r>
  <r>
    <n v="3155"/>
    <n v="53545"/>
    <d v="2006-10-23T00:00:00"/>
    <n v="19"/>
    <x v="1"/>
    <x v="1"/>
    <d v="2024-05-13T00:00:00"/>
    <n v="1.5561643835616439"/>
    <x v="11"/>
    <x v="0"/>
    <x v="8"/>
    <x v="1"/>
    <n v="8.4700000000000006"/>
    <m/>
    <m/>
    <m/>
    <m/>
    <m/>
    <m/>
    <x v="3"/>
    <n v="2"/>
    <n v="6"/>
    <m/>
    <m/>
    <m/>
    <m/>
    <m/>
    <m/>
    <m/>
    <m/>
    <m/>
    <m/>
    <m/>
    <m/>
    <m/>
    <m/>
  </r>
  <r>
    <n v="3156"/>
    <n v="53546"/>
    <d v="1999-12-22T00:00:00"/>
    <n v="26"/>
    <x v="0"/>
    <x v="1"/>
    <d v="2024-06-11T00:00:00"/>
    <n v="1.1479452054794521"/>
    <x v="82"/>
    <x v="0"/>
    <x v="7"/>
    <x v="1"/>
    <n v="17.59"/>
    <m/>
    <m/>
    <m/>
    <m/>
    <m/>
    <m/>
    <x v="3"/>
    <n v="2"/>
    <n v="5"/>
    <m/>
    <m/>
    <m/>
    <m/>
    <m/>
    <m/>
    <m/>
    <m/>
    <m/>
    <m/>
    <m/>
    <m/>
    <m/>
    <m/>
  </r>
  <r>
    <n v="3157"/>
    <n v="53547"/>
    <d v="2000-05-01T00:00:00"/>
    <n v="26"/>
    <x v="1"/>
    <x v="1"/>
    <d v="2024-11-07T00:00:00"/>
    <n v="1.3150684931506849"/>
    <x v="13"/>
    <x v="0"/>
    <x v="8"/>
    <x v="1"/>
    <n v="8.4700000000000006"/>
    <m/>
    <m/>
    <m/>
    <m/>
    <m/>
    <m/>
    <x v="2"/>
    <n v="4"/>
    <n v="7"/>
    <m/>
    <m/>
    <m/>
    <m/>
    <m/>
    <m/>
    <m/>
    <m/>
    <m/>
    <m/>
    <m/>
    <m/>
    <m/>
    <m/>
  </r>
  <r>
    <n v="3158"/>
    <n v="53548"/>
    <d v="2004-05-12T00:00:00"/>
    <n v="21"/>
    <x v="1"/>
    <x v="0"/>
    <d v="2024-09-07T00:00:00"/>
    <n v="1.3780821917808219"/>
    <x v="13"/>
    <x v="0"/>
    <x v="8"/>
    <x v="1"/>
    <n v="8.4700000000000006"/>
    <m/>
    <m/>
    <m/>
    <m/>
    <m/>
    <m/>
    <x v="1"/>
    <n v="4"/>
    <n v="6"/>
    <m/>
    <m/>
    <m/>
    <m/>
    <m/>
    <m/>
    <m/>
    <m/>
    <m/>
    <m/>
    <m/>
    <m/>
    <m/>
    <m/>
  </r>
  <r>
    <n v="3159"/>
    <n v="53549"/>
    <d v="1998-06-14T00:00:00"/>
    <n v="27"/>
    <x v="1"/>
    <x v="1"/>
    <d v="2024-08-15T00:00:00"/>
    <n v="1.252054794520548"/>
    <x v="14"/>
    <x v="0"/>
    <x v="8"/>
    <x v="1"/>
    <n v="8.4700000000000006"/>
    <m/>
    <m/>
    <m/>
    <m/>
    <m/>
    <m/>
    <x v="1"/>
    <n v="1"/>
    <n v="5"/>
    <m/>
    <m/>
    <m/>
    <m/>
    <m/>
    <m/>
    <m/>
    <m/>
    <m/>
    <m/>
    <m/>
    <m/>
    <m/>
    <m/>
  </r>
  <r>
    <n v="3160"/>
    <n v="53550"/>
    <d v="2002-03-09T00:00:00"/>
    <n v="23"/>
    <x v="1"/>
    <x v="1"/>
    <d v="2024-09-30T00:00:00"/>
    <n v="1.3726027397260274"/>
    <x v="14"/>
    <x v="0"/>
    <x v="8"/>
    <x v="1"/>
    <n v="8.4700000000000006"/>
    <m/>
    <m/>
    <m/>
    <m/>
    <m/>
    <m/>
    <x v="3"/>
    <n v="1"/>
    <n v="4"/>
    <m/>
    <m/>
    <m/>
    <m/>
    <m/>
    <m/>
    <m/>
    <m/>
    <m/>
    <m/>
    <m/>
    <m/>
    <m/>
    <m/>
  </r>
  <r>
    <n v="3161"/>
    <n v="53551"/>
    <d v="1996-11-03T00:00:00"/>
    <n v="29"/>
    <x v="1"/>
    <x v="1"/>
    <d v="2024-08-17T00:00:00"/>
    <n v="1.3424657534246576"/>
    <x v="14"/>
    <x v="0"/>
    <x v="8"/>
    <x v="1"/>
    <n v="8.4700000000000006"/>
    <m/>
    <m/>
    <m/>
    <m/>
    <m/>
    <m/>
    <x v="2"/>
    <n v="0"/>
    <n v="6"/>
    <m/>
    <m/>
    <m/>
    <m/>
    <m/>
    <m/>
    <m/>
    <m/>
    <m/>
    <m/>
    <m/>
    <m/>
    <m/>
    <m/>
  </r>
  <r>
    <n v="3162"/>
    <n v="53552"/>
    <d v="1993-08-24T00:00:00"/>
    <n v="32"/>
    <x v="1"/>
    <x v="1"/>
    <d v="2024-08-28T00:00:00"/>
    <n v="1.6712328767123288"/>
    <x v="14"/>
    <x v="0"/>
    <x v="8"/>
    <x v="1"/>
    <n v="8.4700000000000006"/>
    <m/>
    <m/>
    <m/>
    <m/>
    <m/>
    <m/>
    <x v="4"/>
    <n v="1"/>
    <n v="7"/>
    <m/>
    <m/>
    <m/>
    <m/>
    <m/>
    <m/>
    <m/>
    <m/>
    <m/>
    <m/>
    <m/>
    <m/>
    <m/>
    <m/>
  </r>
  <r>
    <n v="3163"/>
    <n v="53553"/>
    <d v="2004-08-27T00:00:00"/>
    <n v="21"/>
    <x v="1"/>
    <x v="0"/>
    <d v="2024-04-30T00:00:00"/>
    <n v="1.3589041095890411"/>
    <x v="14"/>
    <x v="0"/>
    <x v="8"/>
    <x v="1"/>
    <n v="8.4700000000000006"/>
    <m/>
    <m/>
    <m/>
    <m/>
    <m/>
    <m/>
    <x v="4"/>
    <n v="2"/>
    <n v="5"/>
    <m/>
    <m/>
    <m/>
    <m/>
    <m/>
    <m/>
    <m/>
    <m/>
    <m/>
    <m/>
    <m/>
    <m/>
    <m/>
    <m/>
  </r>
  <r>
    <n v="3164"/>
    <n v="53554"/>
    <d v="2006-12-13T00:00:00"/>
    <n v="19"/>
    <x v="1"/>
    <x v="1"/>
    <d v="2024-08-22T00:00:00"/>
    <n v="1.3041095890410959"/>
    <x v="15"/>
    <x v="0"/>
    <x v="8"/>
    <x v="1"/>
    <n v="8.4700000000000006"/>
    <m/>
    <m/>
    <m/>
    <m/>
    <m/>
    <m/>
    <x v="1"/>
    <n v="0"/>
    <n v="6"/>
    <m/>
    <m/>
    <m/>
    <m/>
    <m/>
    <m/>
    <m/>
    <m/>
    <m/>
    <m/>
    <m/>
    <m/>
    <m/>
    <m/>
  </r>
  <r>
    <n v="3165"/>
    <n v="53555"/>
    <d v="2003-12-03T00:00:00"/>
    <n v="22"/>
    <x v="1"/>
    <x v="1"/>
    <d v="2024-09-11T00:00:00"/>
    <n v="1.3589041095890411"/>
    <x v="15"/>
    <x v="0"/>
    <x v="8"/>
    <x v="1"/>
    <n v="8.4700000000000006"/>
    <m/>
    <m/>
    <m/>
    <m/>
    <m/>
    <m/>
    <x v="4"/>
    <n v="2"/>
    <n v="7"/>
    <m/>
    <m/>
    <m/>
    <m/>
    <m/>
    <m/>
    <m/>
    <m/>
    <m/>
    <m/>
    <m/>
    <m/>
    <m/>
    <m/>
  </r>
  <r>
    <n v="3166"/>
    <n v="53556"/>
    <d v="2002-09-09T00:00:00"/>
    <n v="23"/>
    <x v="1"/>
    <x v="1"/>
    <d v="2024-08-22T00:00:00"/>
    <n v="1.3068493150684932"/>
    <x v="16"/>
    <x v="0"/>
    <x v="11"/>
    <x v="1"/>
    <n v="17"/>
    <m/>
    <m/>
    <m/>
    <m/>
    <m/>
    <m/>
    <x v="2"/>
    <n v="3"/>
    <n v="7"/>
    <m/>
    <m/>
    <m/>
    <m/>
    <m/>
    <m/>
    <m/>
    <m/>
    <m/>
    <m/>
    <m/>
    <m/>
    <m/>
    <m/>
  </r>
  <r>
    <n v="3167"/>
    <n v="53557"/>
    <d v="1996-10-29T00:00:00"/>
    <n v="29"/>
    <x v="1"/>
    <x v="0"/>
    <d v="2024-09-10T00:00:00"/>
    <n v="1.4082191780821918"/>
    <x v="16"/>
    <x v="0"/>
    <x v="8"/>
    <x v="1"/>
    <n v="8.4700000000000006"/>
    <m/>
    <m/>
    <m/>
    <m/>
    <m/>
    <m/>
    <x v="1"/>
    <n v="1"/>
    <n v="7"/>
    <m/>
    <m/>
    <m/>
    <m/>
    <m/>
    <m/>
    <m/>
    <m/>
    <m/>
    <m/>
    <m/>
    <m/>
    <m/>
    <m/>
  </r>
  <r>
    <n v="3168"/>
    <n v="53558"/>
    <d v="2004-01-18T00:00:00"/>
    <n v="21"/>
    <x v="1"/>
    <x v="1"/>
    <d v="2024-08-04T00:00:00"/>
    <n v="1.4684931506849315"/>
    <x v="16"/>
    <x v="0"/>
    <x v="8"/>
    <x v="1"/>
    <n v="8.4700000000000006"/>
    <m/>
    <m/>
    <m/>
    <m/>
    <m/>
    <m/>
    <x v="4"/>
    <n v="2"/>
    <n v="6"/>
    <m/>
    <m/>
    <m/>
    <m/>
    <m/>
    <m/>
    <m/>
    <m/>
    <m/>
    <m/>
    <m/>
    <m/>
    <m/>
    <m/>
  </r>
  <r>
    <n v="3169"/>
    <n v="53559"/>
    <d v="2003-02-27T00:00:00"/>
    <n v="22"/>
    <x v="1"/>
    <x v="1"/>
    <d v="2024-07-13T00:00:00"/>
    <n v="1.5013698630136987"/>
    <x v="18"/>
    <x v="0"/>
    <x v="8"/>
    <x v="1"/>
    <n v="8.4700000000000006"/>
    <m/>
    <m/>
    <m/>
    <m/>
    <m/>
    <m/>
    <x v="3"/>
    <n v="4"/>
    <n v="6"/>
    <m/>
    <m/>
    <m/>
    <m/>
    <m/>
    <m/>
    <m/>
    <m/>
    <m/>
    <m/>
    <m/>
    <m/>
    <m/>
    <m/>
  </r>
  <r>
    <n v="3170"/>
    <n v="53560"/>
    <d v="2005-12-29T00:00:00"/>
    <n v="20"/>
    <x v="0"/>
    <x v="1"/>
    <d v="2024-07-01T00:00:00"/>
    <n v="1.6794520547945206"/>
    <x v="18"/>
    <x v="0"/>
    <x v="8"/>
    <x v="1"/>
    <n v="8.4700000000000006"/>
    <m/>
    <m/>
    <m/>
    <m/>
    <m/>
    <m/>
    <x v="1"/>
    <n v="4"/>
    <n v="4"/>
    <m/>
    <m/>
    <m/>
    <m/>
    <m/>
    <m/>
    <m/>
    <m/>
    <m/>
    <m/>
    <m/>
    <m/>
    <m/>
    <m/>
  </r>
  <r>
    <n v="3171"/>
    <n v="53561"/>
    <d v="2003-07-07T00:00:00"/>
    <n v="22"/>
    <x v="1"/>
    <x v="1"/>
    <d v="2024-04-27T00:00:00"/>
    <n v="1.2657534246575342"/>
    <x v="88"/>
    <x v="0"/>
    <x v="8"/>
    <x v="1"/>
    <n v="8.4700000000000006"/>
    <m/>
    <m/>
    <m/>
    <m/>
    <m/>
    <m/>
    <x v="4"/>
    <n v="2"/>
    <n v="6"/>
    <m/>
    <m/>
    <m/>
    <m/>
    <m/>
    <m/>
    <m/>
    <m/>
    <m/>
    <m/>
    <m/>
    <m/>
    <m/>
    <m/>
  </r>
  <r>
    <n v="3172"/>
    <n v="53562"/>
    <d v="2006-05-12T00:00:00"/>
    <n v="19"/>
    <x v="1"/>
    <x v="1"/>
    <d v="2024-09-25T00:00:00"/>
    <n v="1.4383561643835616"/>
    <x v="27"/>
    <x v="0"/>
    <x v="8"/>
    <x v="1"/>
    <n v="8.4700000000000006"/>
    <m/>
    <m/>
    <m/>
    <m/>
    <m/>
    <m/>
    <x v="3"/>
    <n v="2"/>
    <n v="7"/>
    <m/>
    <m/>
    <m/>
    <m/>
    <m/>
    <m/>
    <m/>
    <m/>
    <m/>
    <m/>
    <m/>
    <m/>
    <m/>
    <m/>
  </r>
  <r>
    <n v="3173"/>
    <n v="53563"/>
    <d v="1998-05-03T00:00:00"/>
    <n v="27"/>
    <x v="1"/>
    <x v="0"/>
    <d v="2024-07-24T00:00:00"/>
    <n v="1.0986301369863014"/>
    <x v="27"/>
    <x v="0"/>
    <x v="8"/>
    <x v="1"/>
    <n v="8.4700000000000006"/>
    <m/>
    <m/>
    <m/>
    <m/>
    <m/>
    <m/>
    <x v="3"/>
    <n v="1"/>
    <n v="5"/>
    <m/>
    <m/>
    <m/>
    <m/>
    <m/>
    <m/>
    <m/>
    <m/>
    <m/>
    <m/>
    <m/>
    <m/>
    <m/>
    <m/>
  </r>
  <r>
    <n v="3174"/>
    <n v="53564"/>
    <d v="2005-07-15T00:00:00"/>
    <n v="20"/>
    <x v="1"/>
    <x v="1"/>
    <d v="2024-11-25T00:00:00"/>
    <n v="1.4821917808219178"/>
    <x v="27"/>
    <x v="0"/>
    <x v="8"/>
    <x v="1"/>
    <n v="8.4700000000000006"/>
    <m/>
    <m/>
    <m/>
    <m/>
    <m/>
    <m/>
    <x v="2"/>
    <n v="2"/>
    <n v="5"/>
    <m/>
    <m/>
    <m/>
    <m/>
    <m/>
    <m/>
    <m/>
    <m/>
    <m/>
    <m/>
    <m/>
    <m/>
    <m/>
    <m/>
  </r>
  <r>
    <n v="3175"/>
    <n v="53565"/>
    <d v="2002-05-27T00:00:00"/>
    <n v="23"/>
    <x v="1"/>
    <x v="0"/>
    <d v="2024-07-08T00:00:00"/>
    <n v="1.7726027397260273"/>
    <x v="27"/>
    <x v="0"/>
    <x v="8"/>
    <x v="1"/>
    <n v="8.4700000000000006"/>
    <m/>
    <m/>
    <m/>
    <m/>
    <m/>
    <m/>
    <x v="2"/>
    <n v="2"/>
    <n v="5"/>
    <m/>
    <m/>
    <m/>
    <m/>
    <m/>
    <m/>
    <m/>
    <m/>
    <m/>
    <m/>
    <m/>
    <m/>
    <m/>
    <m/>
  </r>
  <r>
    <n v="3176"/>
    <n v="53566"/>
    <d v="2005-06-05T00:00:00"/>
    <n v="20"/>
    <x v="1"/>
    <x v="1"/>
    <d v="2024-03-24T00:00:00"/>
    <n v="1.4602739726027398"/>
    <x v="27"/>
    <x v="0"/>
    <x v="8"/>
    <x v="1"/>
    <n v="8.4700000000000006"/>
    <m/>
    <m/>
    <m/>
    <m/>
    <m/>
    <m/>
    <x v="4"/>
    <n v="2"/>
    <n v="6"/>
    <m/>
    <m/>
    <m/>
    <m/>
    <m/>
    <m/>
    <m/>
    <m/>
    <m/>
    <m/>
    <m/>
    <m/>
    <m/>
    <m/>
  </r>
  <r>
    <n v="3177"/>
    <n v="53567"/>
    <d v="2004-08-28T00:00:00"/>
    <n v="21"/>
    <x v="1"/>
    <x v="1"/>
    <d v="2024-07-16T00:00:00"/>
    <n v="1.3972602739726028"/>
    <x v="21"/>
    <x v="0"/>
    <x v="8"/>
    <x v="1"/>
    <n v="8.4700000000000006"/>
    <m/>
    <m/>
    <m/>
    <m/>
    <m/>
    <m/>
    <x v="1"/>
    <n v="2"/>
    <n v="6"/>
    <m/>
    <m/>
    <m/>
    <m/>
    <m/>
    <m/>
    <m/>
    <m/>
    <m/>
    <m/>
    <m/>
    <m/>
    <m/>
    <m/>
  </r>
  <r>
    <n v="3178"/>
    <n v="53568"/>
    <d v="2000-05-05T00:00:00"/>
    <n v="25"/>
    <x v="1"/>
    <x v="1"/>
    <d v="2024-08-08T00:00:00"/>
    <n v="1.547945205479452"/>
    <x v="23"/>
    <x v="0"/>
    <x v="10"/>
    <x v="1"/>
    <n v="10.64"/>
    <m/>
    <m/>
    <m/>
    <m/>
    <m/>
    <m/>
    <x v="2"/>
    <n v="0"/>
    <n v="7"/>
    <m/>
    <m/>
    <m/>
    <m/>
    <m/>
    <m/>
    <m/>
    <m/>
    <m/>
    <m/>
    <m/>
    <m/>
    <m/>
    <m/>
  </r>
  <r>
    <n v="3179"/>
    <n v="53569"/>
    <d v="2006-04-21T00:00:00"/>
    <n v="19"/>
    <x v="1"/>
    <x v="1"/>
    <d v="2024-06-14T00:00:00"/>
    <n v="1.452054794520548"/>
    <x v="23"/>
    <x v="0"/>
    <x v="8"/>
    <x v="1"/>
    <n v="8.4700000000000006"/>
    <m/>
    <m/>
    <m/>
    <m/>
    <m/>
    <m/>
    <x v="3"/>
    <n v="2"/>
    <n v="6"/>
    <m/>
    <m/>
    <m/>
    <m/>
    <m/>
    <m/>
    <m/>
    <m/>
    <m/>
    <m/>
    <m/>
    <m/>
    <m/>
    <m/>
  </r>
  <r>
    <n v="3180"/>
    <n v="53570"/>
    <d v="2005-09-30T00:00:00"/>
    <n v="20"/>
    <x v="1"/>
    <x v="1"/>
    <d v="2024-07-19T00:00:00"/>
    <n v="1.3753424657534246"/>
    <x v="23"/>
    <x v="0"/>
    <x v="8"/>
    <x v="1"/>
    <n v="8.4700000000000006"/>
    <m/>
    <m/>
    <m/>
    <m/>
    <m/>
    <m/>
    <x v="2"/>
    <n v="1"/>
    <n v="6"/>
    <m/>
    <m/>
    <m/>
    <m/>
    <m/>
    <m/>
    <m/>
    <m/>
    <m/>
    <m/>
    <m/>
    <m/>
    <m/>
    <m/>
  </r>
  <r>
    <n v="3181"/>
    <n v="53571"/>
    <d v="2004-02-23T00:00:00"/>
    <n v="21"/>
    <x v="1"/>
    <x v="1"/>
    <d v="2024-08-16T00:00:00"/>
    <n v="1.9150684931506849"/>
    <x v="28"/>
    <x v="0"/>
    <x v="10"/>
    <x v="1"/>
    <n v="10.64"/>
    <m/>
    <m/>
    <m/>
    <m/>
    <m/>
    <m/>
    <x v="1"/>
    <n v="0"/>
    <n v="7"/>
    <m/>
    <m/>
    <m/>
    <m/>
    <m/>
    <m/>
    <m/>
    <m/>
    <m/>
    <m/>
    <m/>
    <m/>
    <m/>
    <m/>
  </r>
  <r>
    <n v="3182"/>
    <n v="53572"/>
    <d v="2000-07-29T00:00:00"/>
    <n v="25"/>
    <x v="1"/>
    <x v="1"/>
    <d v="2024-02-01T00:00:00"/>
    <n v="1.0821917808219179"/>
    <x v="28"/>
    <x v="0"/>
    <x v="10"/>
    <x v="1"/>
    <n v="10.64"/>
    <m/>
    <m/>
    <m/>
    <m/>
    <m/>
    <m/>
    <x v="4"/>
    <n v="1"/>
    <n v="5"/>
    <m/>
    <m/>
    <m/>
    <m/>
    <m/>
    <m/>
    <m/>
    <m/>
    <m/>
    <m/>
    <m/>
    <m/>
    <m/>
    <m/>
  </r>
  <r>
    <n v="3183"/>
    <n v="53573"/>
    <d v="2004-06-29T00:00:00"/>
    <n v="21"/>
    <x v="1"/>
    <x v="1"/>
    <d v="2024-12-01T00:00:00"/>
    <n v="1.5013698630136987"/>
    <x v="28"/>
    <x v="0"/>
    <x v="8"/>
    <x v="1"/>
    <n v="8.4700000000000006"/>
    <m/>
    <m/>
    <m/>
    <m/>
    <m/>
    <m/>
    <x v="1"/>
    <n v="2"/>
    <n v="6"/>
    <m/>
    <m/>
    <m/>
    <m/>
    <m/>
    <m/>
    <m/>
    <m/>
    <m/>
    <m/>
    <m/>
    <m/>
    <m/>
    <m/>
  </r>
  <r>
    <n v="3184"/>
    <n v="53574"/>
    <d v="2002-04-20T00:00:00"/>
    <n v="23"/>
    <x v="1"/>
    <x v="1"/>
    <d v="2024-07-01T00:00:00"/>
    <n v="1.3068493150684932"/>
    <x v="24"/>
    <x v="0"/>
    <x v="8"/>
    <x v="1"/>
    <n v="8.4700000000000006"/>
    <m/>
    <m/>
    <m/>
    <m/>
    <m/>
    <m/>
    <x v="4"/>
    <n v="1"/>
    <n v="6"/>
    <m/>
    <m/>
    <m/>
    <m/>
    <m/>
    <m/>
    <m/>
    <m/>
    <m/>
    <m/>
    <m/>
    <m/>
    <m/>
    <m/>
  </r>
  <r>
    <n v="3185"/>
    <n v="53575"/>
    <d v="2007-10-08T00:00:00"/>
    <n v="18"/>
    <x v="1"/>
    <x v="1"/>
    <d v="2024-09-10T00:00:00"/>
    <n v="1.2575342465753425"/>
    <x v="24"/>
    <x v="0"/>
    <x v="8"/>
    <x v="1"/>
    <n v="8.4700000000000006"/>
    <m/>
    <m/>
    <m/>
    <m/>
    <m/>
    <m/>
    <x v="1"/>
    <n v="4"/>
    <n v="7"/>
    <m/>
    <m/>
    <m/>
    <m/>
    <m/>
    <m/>
    <m/>
    <m/>
    <m/>
    <m/>
    <m/>
    <m/>
    <m/>
    <m/>
  </r>
  <r>
    <n v="3186"/>
    <n v="53576"/>
    <d v="2006-05-18T00:00:00"/>
    <n v="19"/>
    <x v="1"/>
    <x v="1"/>
    <d v="2024-09-28T00:00:00"/>
    <n v="1.1808219178082191"/>
    <x v="24"/>
    <x v="0"/>
    <x v="8"/>
    <x v="1"/>
    <n v="8.4700000000000006"/>
    <m/>
    <m/>
    <m/>
    <m/>
    <m/>
    <m/>
    <x v="3"/>
    <n v="1"/>
    <n v="6"/>
    <m/>
    <m/>
    <m/>
    <m/>
    <m/>
    <m/>
    <m/>
    <m/>
    <m/>
    <m/>
    <m/>
    <m/>
    <m/>
    <m/>
  </r>
  <r>
    <n v="3187"/>
    <n v="53577"/>
    <d v="2005-06-29T00:00:00"/>
    <n v="20"/>
    <x v="1"/>
    <x v="0"/>
    <d v="2024-10-26T00:00:00"/>
    <n v="1.178082191780822"/>
    <x v="24"/>
    <x v="0"/>
    <x v="8"/>
    <x v="1"/>
    <n v="8.4700000000000006"/>
    <m/>
    <m/>
    <m/>
    <m/>
    <m/>
    <m/>
    <x v="4"/>
    <n v="0"/>
    <n v="3"/>
    <m/>
    <m/>
    <m/>
    <m/>
    <m/>
    <m/>
    <m/>
    <m/>
    <m/>
    <m/>
    <m/>
    <m/>
    <m/>
    <m/>
  </r>
  <r>
    <n v="3188"/>
    <n v="53578"/>
    <d v="1996-12-17T00:00:00"/>
    <n v="29"/>
    <x v="1"/>
    <x v="0"/>
    <d v="2024-10-27T00:00:00"/>
    <n v="1.1945205479452055"/>
    <x v="24"/>
    <x v="0"/>
    <x v="8"/>
    <x v="1"/>
    <n v="8.4700000000000006"/>
    <m/>
    <m/>
    <m/>
    <m/>
    <m/>
    <m/>
    <x v="4"/>
    <n v="0"/>
    <n v="5"/>
    <m/>
    <m/>
    <m/>
    <m/>
    <m/>
    <m/>
    <m/>
    <m/>
    <m/>
    <m/>
    <m/>
    <m/>
    <m/>
    <m/>
  </r>
  <r>
    <n v="3189"/>
    <n v="53580"/>
    <d v="2005-11-14T00:00:00"/>
    <n v="20"/>
    <x v="0"/>
    <x v="1"/>
    <d v="2024-10-21T00:00:00"/>
    <n v="1.3205479452054794"/>
    <x v="87"/>
    <x v="0"/>
    <x v="2"/>
    <x v="1"/>
    <n v="14.23"/>
    <m/>
    <m/>
    <m/>
    <m/>
    <m/>
    <m/>
    <x v="3"/>
    <n v="1"/>
    <n v="4"/>
    <m/>
    <m/>
    <m/>
    <m/>
    <m/>
    <m/>
    <m/>
    <m/>
    <m/>
    <m/>
    <m/>
    <m/>
    <m/>
    <m/>
  </r>
  <r>
    <n v="3190"/>
    <n v="53581"/>
    <d v="2005-12-10T00:00:00"/>
    <n v="20"/>
    <x v="0"/>
    <x v="1"/>
    <d v="2024-09-05T00:00:00"/>
    <n v="1.2821917808219179"/>
    <x v="25"/>
    <x v="0"/>
    <x v="8"/>
    <x v="1"/>
    <n v="8.4700000000000006"/>
    <m/>
    <m/>
    <m/>
    <m/>
    <m/>
    <m/>
    <x v="4"/>
    <n v="2"/>
    <n v="4"/>
    <m/>
    <m/>
    <m/>
    <m/>
    <m/>
    <m/>
    <m/>
    <m/>
    <m/>
    <m/>
    <m/>
    <m/>
    <m/>
    <m/>
  </r>
  <r>
    <n v="3191"/>
    <n v="53582"/>
    <d v="2004-04-18T00:00:00"/>
    <n v="21"/>
    <x v="1"/>
    <x v="1"/>
    <d v="2024-09-19T00:00:00"/>
    <n v="1.0383561643835617"/>
    <x v="25"/>
    <x v="0"/>
    <x v="8"/>
    <x v="1"/>
    <n v="8.4700000000000006"/>
    <m/>
    <m/>
    <m/>
    <m/>
    <m/>
    <m/>
    <x v="1"/>
    <n v="2"/>
    <n v="7"/>
    <m/>
    <m/>
    <m/>
    <m/>
    <m/>
    <m/>
    <m/>
    <m/>
    <m/>
    <m/>
    <m/>
    <m/>
    <m/>
    <m/>
  </r>
  <r>
    <n v="3192"/>
    <n v="53583"/>
    <d v="2001-10-24T00:00:00"/>
    <n v="24"/>
    <x v="1"/>
    <x v="1"/>
    <d v="2024-12-17T00:00:00"/>
    <n v="1.095890410958904"/>
    <x v="25"/>
    <x v="0"/>
    <x v="8"/>
    <x v="1"/>
    <n v="8.4700000000000006"/>
    <m/>
    <m/>
    <m/>
    <m/>
    <m/>
    <m/>
    <x v="4"/>
    <n v="2"/>
    <n v="6"/>
    <m/>
    <m/>
    <m/>
    <m/>
    <m/>
    <m/>
    <m/>
    <m/>
    <m/>
    <m/>
    <m/>
    <m/>
    <m/>
    <m/>
  </r>
  <r>
    <n v="3193"/>
    <n v="53585"/>
    <d v="1993-05-19T00:00:00"/>
    <n v="32"/>
    <x v="0"/>
    <x v="1"/>
    <d v="2024-11-26T00:00:00"/>
    <n v="1.6438356164383561"/>
    <x v="49"/>
    <x v="0"/>
    <x v="8"/>
    <x v="1"/>
    <n v="8.4700000000000006"/>
    <m/>
    <m/>
    <m/>
    <m/>
    <m/>
    <m/>
    <x v="4"/>
    <n v="0"/>
    <n v="4"/>
    <m/>
    <m/>
    <m/>
    <m/>
    <m/>
    <m/>
    <m/>
    <m/>
    <m/>
    <m/>
    <m/>
    <m/>
    <m/>
    <m/>
  </r>
  <r>
    <n v="3194"/>
    <n v="53586"/>
    <d v="2003-10-22T00:00:00"/>
    <n v="22"/>
    <x v="1"/>
    <x v="1"/>
    <d v="2024-05-10T00:00:00"/>
    <n v="1.6109589041095891"/>
    <x v="49"/>
    <x v="0"/>
    <x v="8"/>
    <x v="1"/>
    <n v="8.4700000000000006"/>
    <m/>
    <m/>
    <m/>
    <m/>
    <m/>
    <m/>
    <x v="4"/>
    <n v="0"/>
    <n v="6"/>
    <m/>
    <m/>
    <m/>
    <m/>
    <m/>
    <m/>
    <m/>
    <m/>
    <m/>
    <m/>
    <m/>
    <m/>
    <m/>
    <m/>
  </r>
  <r>
    <n v="3195"/>
    <n v="53587"/>
    <d v="2006-07-09T00:00:00"/>
    <n v="19"/>
    <x v="1"/>
    <x v="1"/>
    <d v="2024-05-22T00:00:00"/>
    <n v="1.2438356164383562"/>
    <x v="47"/>
    <x v="0"/>
    <x v="8"/>
    <x v="1"/>
    <n v="8.4700000000000006"/>
    <m/>
    <m/>
    <m/>
    <m/>
    <m/>
    <m/>
    <x v="4"/>
    <n v="2"/>
    <n v="6"/>
    <m/>
    <m/>
    <m/>
    <m/>
    <m/>
    <m/>
    <m/>
    <m/>
    <m/>
    <m/>
    <m/>
    <m/>
    <m/>
    <m/>
  </r>
  <r>
    <n v="3196"/>
    <n v="53588"/>
    <d v="1998-11-27T00:00:00"/>
    <n v="27"/>
    <x v="1"/>
    <x v="0"/>
    <d v="2024-10-03T00:00:00"/>
    <n v="1.2027397260273973"/>
    <x v="47"/>
    <x v="0"/>
    <x v="8"/>
    <x v="1"/>
    <n v="8.4700000000000006"/>
    <m/>
    <m/>
    <m/>
    <m/>
    <m/>
    <m/>
    <x v="2"/>
    <n v="2"/>
    <n v="3"/>
    <m/>
    <m/>
    <m/>
    <m/>
    <m/>
    <m/>
    <m/>
    <m/>
    <m/>
    <m/>
    <m/>
    <m/>
    <m/>
    <m/>
  </r>
  <r>
    <n v="3197"/>
    <n v="53589"/>
    <d v="1995-02-06T00:00:00"/>
    <n v="30"/>
    <x v="1"/>
    <x v="1"/>
    <d v="2024-10-18T00:00:00"/>
    <n v="1.6904109589041096"/>
    <x v="61"/>
    <x v="0"/>
    <x v="7"/>
    <x v="1"/>
    <n v="17.59"/>
    <m/>
    <m/>
    <m/>
    <m/>
    <m/>
    <m/>
    <x v="1"/>
    <n v="4"/>
    <n v="6"/>
    <m/>
    <m/>
    <m/>
    <m/>
    <m/>
    <m/>
    <m/>
    <m/>
    <m/>
    <m/>
    <m/>
    <m/>
    <m/>
    <m/>
  </r>
  <r>
    <n v="3198"/>
    <n v="53590"/>
    <d v="1990-09-24T00:00:00"/>
    <n v="35"/>
    <x v="0"/>
    <x v="1"/>
    <d v="2024-04-23T00:00:00"/>
    <n v="1.021917808219178"/>
    <x v="32"/>
    <x v="0"/>
    <x v="2"/>
    <x v="1"/>
    <n v="14.23"/>
    <m/>
    <m/>
    <m/>
    <m/>
    <m/>
    <m/>
    <x v="1"/>
    <n v="1"/>
    <n v="4"/>
    <m/>
    <m/>
    <m/>
    <m/>
    <m/>
    <m/>
    <m/>
    <m/>
    <m/>
    <m/>
    <m/>
    <m/>
    <m/>
    <m/>
  </r>
  <r>
    <n v="3199"/>
    <n v="53591"/>
    <d v="2006-10-29T00:00:00"/>
    <n v="19"/>
    <x v="1"/>
    <x v="1"/>
    <d v="2024-12-23T00:00:00"/>
    <n v="1.3561643835616439"/>
    <x v="32"/>
    <x v="0"/>
    <x v="8"/>
    <x v="1"/>
    <n v="8.4700000000000006"/>
    <m/>
    <m/>
    <m/>
    <m/>
    <m/>
    <m/>
    <x v="2"/>
    <n v="0"/>
    <n v="5"/>
    <m/>
    <m/>
    <m/>
    <m/>
    <m/>
    <m/>
    <m/>
    <m/>
    <m/>
    <m/>
    <m/>
    <m/>
    <m/>
    <m/>
  </r>
  <r>
    <n v="3200"/>
    <n v="53592"/>
    <d v="2006-09-14T00:00:00"/>
    <n v="19"/>
    <x v="1"/>
    <x v="0"/>
    <d v="2024-08-23T00:00:00"/>
    <n v="1.0027397260273974"/>
    <x v="33"/>
    <x v="0"/>
    <x v="8"/>
    <x v="1"/>
    <n v="8.4700000000000006"/>
    <m/>
    <m/>
    <m/>
    <m/>
    <m/>
    <m/>
    <x v="1"/>
    <n v="3"/>
    <n v="6"/>
    <m/>
    <m/>
    <m/>
    <m/>
    <m/>
    <m/>
    <m/>
    <m/>
    <m/>
    <m/>
    <m/>
    <m/>
    <m/>
    <m/>
  </r>
  <r>
    <n v="3201"/>
    <n v="53593"/>
    <d v="2003-02-26T00:00:00"/>
    <n v="22"/>
    <x v="1"/>
    <x v="1"/>
    <d v="2024-12-30T00:00:00"/>
    <n v="1.0575342465753426"/>
    <x v="33"/>
    <x v="0"/>
    <x v="8"/>
    <x v="1"/>
    <n v="8.4700000000000006"/>
    <m/>
    <m/>
    <m/>
    <m/>
    <m/>
    <m/>
    <x v="1"/>
    <n v="2"/>
    <n v="6"/>
    <m/>
    <m/>
    <m/>
    <m/>
    <m/>
    <m/>
    <m/>
    <m/>
    <m/>
    <m/>
    <m/>
    <m/>
    <m/>
    <m/>
  </r>
  <r>
    <n v="3202"/>
    <n v="53594"/>
    <d v="2003-12-11T00:00:00"/>
    <n v="22"/>
    <x v="1"/>
    <x v="1"/>
    <d v="2024-12-10T00:00:00"/>
    <n v="1.2273972602739727"/>
    <x v="33"/>
    <x v="0"/>
    <x v="8"/>
    <x v="1"/>
    <n v="8.4700000000000006"/>
    <m/>
    <m/>
    <m/>
    <m/>
    <m/>
    <m/>
    <x v="4"/>
    <n v="4"/>
    <n v="7"/>
    <m/>
    <m/>
    <m/>
    <m/>
    <m/>
    <m/>
    <m/>
    <m/>
    <m/>
    <m/>
    <m/>
    <m/>
    <m/>
    <m/>
  </r>
  <r>
    <n v="3203"/>
    <n v="53595"/>
    <d v="2005-12-13T00:00:00"/>
    <n v="20"/>
    <x v="1"/>
    <x v="0"/>
    <d v="2024-10-09T00:00:00"/>
    <n v="1.3780821917808219"/>
    <x v="33"/>
    <x v="0"/>
    <x v="8"/>
    <x v="1"/>
    <n v="8.4700000000000006"/>
    <m/>
    <m/>
    <m/>
    <m/>
    <m/>
    <m/>
    <x v="2"/>
    <n v="2"/>
    <n v="6"/>
    <m/>
    <m/>
    <m/>
    <m/>
    <m/>
    <m/>
    <m/>
    <m/>
    <m/>
    <m/>
    <m/>
    <m/>
    <m/>
    <m/>
  </r>
  <r>
    <n v="3204"/>
    <n v="53596"/>
    <d v="1999-02-13T00:00:00"/>
    <n v="26"/>
    <x v="0"/>
    <x v="0"/>
    <d v="2024-08-15T00:00:00"/>
    <n v="1.4794520547945205"/>
    <x v="33"/>
    <x v="0"/>
    <x v="8"/>
    <x v="1"/>
    <n v="8.4700000000000006"/>
    <m/>
    <m/>
    <m/>
    <m/>
    <m/>
    <m/>
    <x v="3"/>
    <n v="3"/>
    <n v="3"/>
    <m/>
    <m/>
    <m/>
    <m/>
    <m/>
    <m/>
    <m/>
    <m/>
    <m/>
    <m/>
    <m/>
    <m/>
    <m/>
    <m/>
  </r>
  <r>
    <n v="3205"/>
    <n v="53597"/>
    <d v="2001-12-20T00:00:00"/>
    <n v="24"/>
    <x v="0"/>
    <x v="1"/>
    <d v="2024-07-09T00:00:00"/>
    <n v="1.3698630136986301"/>
    <x v="33"/>
    <x v="0"/>
    <x v="8"/>
    <x v="1"/>
    <n v="8.4700000000000006"/>
    <m/>
    <m/>
    <m/>
    <m/>
    <m/>
    <m/>
    <x v="2"/>
    <n v="1"/>
    <n v="5"/>
    <m/>
    <m/>
    <m/>
    <m/>
    <m/>
    <m/>
    <m/>
    <m/>
    <m/>
    <m/>
    <m/>
    <m/>
    <m/>
    <m/>
  </r>
  <r>
    <n v="3206"/>
    <n v="53598"/>
    <d v="2004-04-01T00:00:00"/>
    <n v="22"/>
    <x v="1"/>
    <x v="1"/>
    <d v="2024-08-18T00:00:00"/>
    <n v="1.7095890410958905"/>
    <x v="83"/>
    <x v="0"/>
    <x v="1"/>
    <x v="1"/>
    <n v="16.37"/>
    <m/>
    <m/>
    <m/>
    <m/>
    <m/>
    <m/>
    <x v="1"/>
    <n v="1"/>
    <n v="7"/>
    <m/>
    <m/>
    <m/>
    <m/>
    <m/>
    <m/>
    <m/>
    <m/>
    <m/>
    <m/>
    <m/>
    <m/>
    <m/>
    <m/>
  </r>
  <r>
    <n v="3207"/>
    <n v="53600"/>
    <d v="2006-02-15T00:00:00"/>
    <n v="19"/>
    <x v="0"/>
    <x v="1"/>
    <d v="2024-04-16T00:00:00"/>
    <n v="1.1287671232876713"/>
    <x v="34"/>
    <x v="0"/>
    <x v="8"/>
    <x v="1"/>
    <n v="8.4700000000000006"/>
    <m/>
    <m/>
    <m/>
    <m/>
    <m/>
    <m/>
    <x v="1"/>
    <n v="1"/>
    <n v="4"/>
    <m/>
    <m/>
    <m/>
    <m/>
    <m/>
    <m/>
    <m/>
    <m/>
    <m/>
    <m/>
    <m/>
    <m/>
    <m/>
    <m/>
  </r>
  <r>
    <n v="3208"/>
    <n v="53601"/>
    <d v="2003-08-30T00:00:00"/>
    <n v="22"/>
    <x v="1"/>
    <x v="0"/>
    <d v="2024-11-14T00:00:00"/>
    <n v="1.7123287671232876"/>
    <x v="138"/>
    <x v="0"/>
    <x v="10"/>
    <x v="1"/>
    <n v="10.64"/>
    <m/>
    <m/>
    <m/>
    <m/>
    <m/>
    <m/>
    <x v="1"/>
    <n v="0"/>
    <n v="5"/>
    <m/>
    <m/>
    <m/>
    <m/>
    <m/>
    <m/>
    <m/>
    <m/>
    <m/>
    <m/>
    <m/>
    <m/>
    <m/>
    <m/>
  </r>
  <r>
    <n v="3209"/>
    <n v="53602"/>
    <d v="2002-03-22T00:00:00"/>
    <n v="23"/>
    <x v="1"/>
    <x v="1"/>
    <d v="2024-04-15T00:00:00"/>
    <n v="1.2931506849315069"/>
    <x v="138"/>
    <x v="0"/>
    <x v="8"/>
    <x v="1"/>
    <n v="8.4700000000000006"/>
    <m/>
    <m/>
    <m/>
    <m/>
    <m/>
    <m/>
    <x v="4"/>
    <n v="2"/>
    <n v="6"/>
    <m/>
    <m/>
    <m/>
    <m/>
    <m/>
    <m/>
    <m/>
    <m/>
    <m/>
    <m/>
    <m/>
    <m/>
    <m/>
    <m/>
  </r>
  <r>
    <n v="3210"/>
    <n v="53603"/>
    <d v="1998-04-12T00:00:00"/>
    <n v="27"/>
    <x v="1"/>
    <x v="0"/>
    <d v="2024-09-15T00:00:00"/>
    <n v="1.789041095890411"/>
    <x v="138"/>
    <x v="0"/>
    <x v="8"/>
    <x v="1"/>
    <n v="8.4700000000000006"/>
    <m/>
    <m/>
    <m/>
    <m/>
    <m/>
    <m/>
    <x v="3"/>
    <n v="1"/>
    <n v="6"/>
    <m/>
    <m/>
    <m/>
    <m/>
    <m/>
    <m/>
    <m/>
    <m/>
    <m/>
    <m/>
    <m/>
    <m/>
    <m/>
    <m/>
  </r>
  <r>
    <n v="3211"/>
    <n v="53604"/>
    <d v="2002-03-29T00:00:00"/>
    <n v="23"/>
    <x v="0"/>
    <x v="1"/>
    <d v="2024-03-18T00:00:00"/>
    <n v="1.010958904109589"/>
    <x v="138"/>
    <x v="0"/>
    <x v="8"/>
    <x v="1"/>
    <n v="8.4700000000000006"/>
    <m/>
    <m/>
    <m/>
    <m/>
    <m/>
    <m/>
    <x v="2"/>
    <n v="2"/>
    <n v="5"/>
    <m/>
    <m/>
    <m/>
    <m/>
    <m/>
    <m/>
    <m/>
    <m/>
    <m/>
    <m/>
    <m/>
    <m/>
    <m/>
    <m/>
  </r>
  <r>
    <n v="3212"/>
    <n v="53605"/>
    <d v="2006-02-23T00:00:00"/>
    <n v="19"/>
    <x v="1"/>
    <x v="0"/>
    <d v="2024-12-27T00:00:00"/>
    <n v="1.0876712328767124"/>
    <x v="138"/>
    <x v="0"/>
    <x v="8"/>
    <x v="1"/>
    <n v="8.4700000000000006"/>
    <m/>
    <m/>
    <m/>
    <m/>
    <m/>
    <m/>
    <x v="1"/>
    <n v="4"/>
    <n v="5"/>
    <m/>
    <m/>
    <m/>
    <m/>
    <m/>
    <m/>
    <m/>
    <m/>
    <m/>
    <m/>
    <m/>
    <m/>
    <m/>
    <m/>
  </r>
  <r>
    <n v="3213"/>
    <n v="53606"/>
    <d v="1998-02-03T00:00:00"/>
    <n v="27"/>
    <x v="1"/>
    <x v="1"/>
    <d v="2024-11-29T00:00:00"/>
    <n v="1.5808219178082192"/>
    <x v="138"/>
    <x v="0"/>
    <x v="8"/>
    <x v="1"/>
    <n v="8.4700000000000006"/>
    <m/>
    <m/>
    <m/>
    <m/>
    <m/>
    <m/>
    <x v="1"/>
    <n v="2"/>
    <n v="7"/>
    <m/>
    <m/>
    <m/>
    <m/>
    <m/>
    <m/>
    <m/>
    <m/>
    <m/>
    <m/>
    <m/>
    <m/>
    <m/>
    <m/>
  </r>
  <r>
    <n v="3214"/>
    <n v="53607"/>
    <d v="2004-02-02T00:00:00"/>
    <n v="21"/>
    <x v="1"/>
    <x v="0"/>
    <d v="2024-06-02T00:00:00"/>
    <n v="1.3205479452054794"/>
    <x v="138"/>
    <x v="0"/>
    <x v="8"/>
    <x v="1"/>
    <n v="8.4700000000000006"/>
    <m/>
    <m/>
    <m/>
    <m/>
    <m/>
    <m/>
    <x v="3"/>
    <n v="2"/>
    <n v="5"/>
    <m/>
    <m/>
    <m/>
    <m/>
    <m/>
    <m/>
    <m/>
    <m/>
    <m/>
    <m/>
    <m/>
    <m/>
    <m/>
    <m/>
  </r>
  <r>
    <n v="3215"/>
    <n v="53608"/>
    <d v="2005-04-08T00:00:00"/>
    <n v="20"/>
    <x v="1"/>
    <x v="1"/>
    <d v="2024-09-05T00:00:00"/>
    <n v="1.747945205479452"/>
    <x v="102"/>
    <x v="0"/>
    <x v="3"/>
    <x v="1"/>
    <n v="8.4700000000000006"/>
    <m/>
    <m/>
    <m/>
    <m/>
    <m/>
    <m/>
    <x v="1"/>
    <n v="4"/>
    <n v="7"/>
    <m/>
    <m/>
    <m/>
    <m/>
    <m/>
    <m/>
    <m/>
    <m/>
    <m/>
    <m/>
    <m/>
    <m/>
    <m/>
    <m/>
  </r>
  <r>
    <n v="3216"/>
    <n v="53609"/>
    <d v="2005-12-14T00:00:00"/>
    <n v="20"/>
    <x v="1"/>
    <x v="1"/>
    <d v="2024-04-02T00:00:00"/>
    <n v="1.0465753424657533"/>
    <x v="102"/>
    <x v="0"/>
    <x v="8"/>
    <x v="1"/>
    <n v="8.4700000000000006"/>
    <m/>
    <m/>
    <m/>
    <m/>
    <m/>
    <m/>
    <x v="4"/>
    <n v="1"/>
    <n v="6"/>
    <m/>
    <m/>
    <m/>
    <m/>
    <m/>
    <m/>
    <m/>
    <m/>
    <m/>
    <m/>
    <m/>
    <m/>
    <m/>
    <m/>
  </r>
  <r>
    <n v="3217"/>
    <n v="53610"/>
    <d v="2005-02-20T00:00:00"/>
    <n v="20"/>
    <x v="1"/>
    <x v="1"/>
    <d v="2024-12-14T00:00:00"/>
    <n v="1.736986301369863"/>
    <x v="67"/>
    <x v="0"/>
    <x v="8"/>
    <x v="1"/>
    <n v="8.4700000000000006"/>
    <m/>
    <m/>
    <m/>
    <m/>
    <m/>
    <m/>
    <x v="3"/>
    <n v="4"/>
    <n v="7"/>
    <m/>
    <m/>
    <m/>
    <m/>
    <m/>
    <m/>
    <m/>
    <m/>
    <m/>
    <m/>
    <m/>
    <m/>
    <m/>
    <m/>
  </r>
  <r>
    <n v="3218"/>
    <n v="53611"/>
    <d v="2003-04-04T00:00:00"/>
    <n v="22"/>
    <x v="1"/>
    <x v="1"/>
    <d v="2024-04-06T00:00:00"/>
    <n v="1.4575342465753425"/>
    <x v="67"/>
    <x v="0"/>
    <x v="8"/>
    <x v="1"/>
    <n v="8.4700000000000006"/>
    <m/>
    <m/>
    <m/>
    <m/>
    <m/>
    <m/>
    <x v="2"/>
    <n v="0"/>
    <n v="4"/>
    <m/>
    <m/>
    <m/>
    <m/>
    <m/>
    <m/>
    <m/>
    <m/>
    <m/>
    <m/>
    <m/>
    <m/>
    <m/>
    <m/>
  </r>
  <r>
    <n v="3219"/>
    <n v="53612"/>
    <d v="2001-08-23T00:00:00"/>
    <n v="24"/>
    <x v="1"/>
    <x v="0"/>
    <d v="2024-07-17T00:00:00"/>
    <n v="1.4821917808219178"/>
    <x v="67"/>
    <x v="0"/>
    <x v="8"/>
    <x v="1"/>
    <n v="8.4700000000000006"/>
    <m/>
    <m/>
    <m/>
    <m/>
    <m/>
    <m/>
    <x v="1"/>
    <n v="3"/>
    <n v="6"/>
    <m/>
    <m/>
    <m/>
    <m/>
    <m/>
    <m/>
    <m/>
    <m/>
    <m/>
    <m/>
    <m/>
    <m/>
    <m/>
    <m/>
  </r>
  <r>
    <n v="3220"/>
    <n v="53613"/>
    <d v="2003-12-28T00:00:00"/>
    <n v="22"/>
    <x v="1"/>
    <x v="1"/>
    <d v="2024-07-08T00:00:00"/>
    <n v="1.8465753424657534"/>
    <x v="67"/>
    <x v="0"/>
    <x v="8"/>
    <x v="1"/>
    <n v="8.4700000000000006"/>
    <m/>
    <m/>
    <m/>
    <m/>
    <m/>
    <m/>
    <x v="1"/>
    <n v="4"/>
    <n v="7"/>
    <m/>
    <m/>
    <m/>
    <m/>
    <m/>
    <m/>
    <m/>
    <m/>
    <m/>
    <m/>
    <m/>
    <m/>
    <m/>
    <m/>
  </r>
  <r>
    <n v="3221"/>
    <n v="53614"/>
    <d v="2006-07-30T00:00:00"/>
    <n v="19"/>
    <x v="1"/>
    <x v="1"/>
    <d v="2024-02-26T00:00:00"/>
    <n v="1.0054794520547945"/>
    <x v="140"/>
    <x v="0"/>
    <x v="3"/>
    <x v="1"/>
    <n v="8.4700000000000006"/>
    <m/>
    <m/>
    <m/>
    <m/>
    <m/>
    <m/>
    <x v="4"/>
    <n v="2"/>
    <n v="6"/>
    <m/>
    <m/>
    <m/>
    <m/>
    <m/>
    <m/>
    <m/>
    <m/>
    <m/>
    <m/>
    <m/>
    <m/>
    <m/>
    <m/>
  </r>
  <r>
    <n v="3222"/>
    <n v="53615"/>
    <d v="1997-07-30T00:00:00"/>
    <n v="28"/>
    <x v="0"/>
    <x v="0"/>
    <d v="2024-12-29T00:00:00"/>
    <n v="1.6904109589041096"/>
    <x v="140"/>
    <x v="0"/>
    <x v="8"/>
    <x v="1"/>
    <n v="8.4700000000000006"/>
    <m/>
    <m/>
    <m/>
    <m/>
    <m/>
    <m/>
    <x v="1"/>
    <n v="2"/>
    <n v="4"/>
    <m/>
    <m/>
    <m/>
    <m/>
    <m/>
    <m/>
    <m/>
    <m/>
    <m/>
    <m/>
    <m/>
    <m/>
    <m/>
    <m/>
  </r>
  <r>
    <n v="3223"/>
    <n v="53616"/>
    <d v="2005-10-01T00:00:00"/>
    <n v="21"/>
    <x v="1"/>
    <x v="1"/>
    <d v="2024-04-23T00:00:00"/>
    <n v="1.6438356164383561"/>
    <x v="36"/>
    <x v="0"/>
    <x v="8"/>
    <x v="1"/>
    <n v="8.4700000000000006"/>
    <m/>
    <m/>
    <m/>
    <m/>
    <m/>
    <m/>
    <x v="4"/>
    <n v="2"/>
    <n v="6"/>
    <m/>
    <m/>
    <m/>
    <m/>
    <m/>
    <m/>
    <m/>
    <m/>
    <m/>
    <m/>
    <m/>
    <m/>
    <m/>
    <m/>
  </r>
  <r>
    <n v="3224"/>
    <n v="53617"/>
    <d v="2003-01-18T00:00:00"/>
    <n v="22"/>
    <x v="1"/>
    <x v="0"/>
    <d v="2024-05-10T00:00:00"/>
    <n v="1.7205479452054795"/>
    <x v="57"/>
    <x v="0"/>
    <x v="10"/>
    <x v="1"/>
    <n v="10.64"/>
    <m/>
    <m/>
    <m/>
    <m/>
    <m/>
    <m/>
    <x v="2"/>
    <n v="0"/>
    <n v="5"/>
    <m/>
    <m/>
    <m/>
    <m/>
    <m/>
    <m/>
    <m/>
    <m/>
    <m/>
    <m/>
    <m/>
    <m/>
    <m/>
    <m/>
  </r>
  <r>
    <n v="3225"/>
    <n v="53618"/>
    <d v="2003-05-12T00:00:00"/>
    <n v="22"/>
    <x v="1"/>
    <x v="1"/>
    <d v="2024-04-12T00:00:00"/>
    <n v="1.3260273972602741"/>
    <x v="57"/>
    <x v="0"/>
    <x v="8"/>
    <x v="1"/>
    <n v="8.4700000000000006"/>
    <m/>
    <m/>
    <m/>
    <m/>
    <m/>
    <m/>
    <x v="2"/>
    <n v="4"/>
    <n v="7"/>
    <m/>
    <m/>
    <m/>
    <m/>
    <m/>
    <m/>
    <m/>
    <m/>
    <m/>
    <m/>
    <m/>
    <m/>
    <m/>
    <m/>
  </r>
  <r>
    <n v="3226"/>
    <n v="53619"/>
    <d v="2007-06-01T00:00:00"/>
    <n v="19"/>
    <x v="1"/>
    <x v="1"/>
    <d v="2024-09-03T00:00:00"/>
    <n v="1.2931506849315069"/>
    <x v="57"/>
    <x v="0"/>
    <x v="8"/>
    <x v="1"/>
    <n v="8.4700000000000006"/>
    <m/>
    <m/>
    <m/>
    <m/>
    <m/>
    <m/>
    <x v="2"/>
    <n v="2"/>
    <n v="6"/>
    <m/>
    <m/>
    <m/>
    <m/>
    <m/>
    <m/>
    <m/>
    <m/>
    <m/>
    <m/>
    <m/>
    <m/>
    <m/>
    <m/>
  </r>
  <r>
    <n v="3227"/>
    <n v="53620"/>
    <d v="2004-07-18T00:00:00"/>
    <n v="21"/>
    <x v="1"/>
    <x v="1"/>
    <d v="2024-09-15T00:00:00"/>
    <n v="1.8465753424657534"/>
    <x v="57"/>
    <x v="0"/>
    <x v="8"/>
    <x v="1"/>
    <n v="8.4700000000000006"/>
    <m/>
    <m/>
    <m/>
    <m/>
    <m/>
    <m/>
    <x v="4"/>
    <n v="2"/>
    <n v="6"/>
    <m/>
    <m/>
    <m/>
    <m/>
    <m/>
    <m/>
    <m/>
    <m/>
    <m/>
    <m/>
    <m/>
    <m/>
    <m/>
    <m/>
  </r>
  <r>
    <n v="3228"/>
    <n v="53621"/>
    <d v="2005-10-13T00:00:00"/>
    <n v="20"/>
    <x v="0"/>
    <x v="1"/>
    <d v="2024-02-26T00:00:00"/>
    <n v="1.0136986301369864"/>
    <x v="141"/>
    <x v="0"/>
    <x v="10"/>
    <x v="1"/>
    <n v="10.64"/>
    <m/>
    <m/>
    <m/>
    <m/>
    <m/>
    <m/>
    <x v="4"/>
    <n v="1"/>
    <n v="4"/>
    <m/>
    <m/>
    <m/>
    <m/>
    <m/>
    <m/>
    <m/>
    <m/>
    <m/>
    <m/>
    <m/>
    <m/>
    <m/>
    <m/>
  </r>
  <r>
    <n v="3229"/>
    <n v="53622"/>
    <d v="2006-09-27T00:00:00"/>
    <n v="19"/>
    <x v="0"/>
    <x v="0"/>
    <d v="2024-12-26T00:00:00"/>
    <n v="1.3424657534246576"/>
    <x v="141"/>
    <x v="0"/>
    <x v="8"/>
    <x v="1"/>
    <n v="8.4700000000000006"/>
    <m/>
    <m/>
    <m/>
    <m/>
    <m/>
    <m/>
    <x v="1"/>
    <n v="4"/>
    <n v="4"/>
    <m/>
    <m/>
    <m/>
    <m/>
    <m/>
    <m/>
    <m/>
    <m/>
    <m/>
    <m/>
    <m/>
    <m/>
    <m/>
    <m/>
  </r>
  <r>
    <n v="3230"/>
    <n v="53624"/>
    <d v="2003-10-09T00:00:00"/>
    <n v="22"/>
    <x v="1"/>
    <x v="0"/>
    <d v="2024-08-28T00:00:00"/>
    <n v="1.0904109589041096"/>
    <x v="55"/>
    <x v="0"/>
    <x v="8"/>
    <x v="1"/>
    <n v="8.4700000000000006"/>
    <m/>
    <m/>
    <m/>
    <m/>
    <m/>
    <m/>
    <x v="1"/>
    <n v="4"/>
    <n v="5"/>
    <m/>
    <m/>
    <m/>
    <m/>
    <m/>
    <m/>
    <m/>
    <m/>
    <m/>
    <m/>
    <m/>
    <m/>
    <m/>
    <m/>
  </r>
  <r>
    <n v="3231"/>
    <n v="53625"/>
    <d v="2004-08-01T00:00:00"/>
    <n v="22"/>
    <x v="1"/>
    <x v="0"/>
    <d v="2024-11-28T00:00:00"/>
    <n v="1.515068493150685"/>
    <x v="144"/>
    <x v="0"/>
    <x v="8"/>
    <x v="1"/>
    <n v="8.4700000000000006"/>
    <m/>
    <m/>
    <m/>
    <m/>
    <m/>
    <m/>
    <x v="2"/>
    <n v="2"/>
    <n v="6"/>
    <m/>
    <m/>
    <m/>
    <m/>
    <m/>
    <m/>
    <m/>
    <m/>
    <m/>
    <m/>
    <m/>
    <m/>
    <m/>
    <m/>
  </r>
  <r>
    <n v="3232"/>
    <n v="53626"/>
    <d v="1994-06-25T00:00:00"/>
    <n v="31"/>
    <x v="0"/>
    <x v="1"/>
    <d v="2024-06-26T00:00:00"/>
    <n v="1.4794520547945205"/>
    <x v="41"/>
    <x v="0"/>
    <x v="8"/>
    <x v="1"/>
    <n v="8.4700000000000006"/>
    <m/>
    <m/>
    <m/>
    <m/>
    <m/>
    <m/>
    <x v="3"/>
    <n v="0"/>
    <n v="5"/>
    <m/>
    <m/>
    <m/>
    <m/>
    <m/>
    <m/>
    <m/>
    <m/>
    <m/>
    <m/>
    <m/>
    <m/>
    <m/>
    <m/>
  </r>
  <r>
    <n v="3233"/>
    <n v="53627"/>
    <d v="2002-12-20T00:00:00"/>
    <n v="23"/>
    <x v="1"/>
    <x v="1"/>
    <d v="2024-07-09T00:00:00"/>
    <n v="1.8493150684931507"/>
    <x v="73"/>
    <x v="0"/>
    <x v="8"/>
    <x v="1"/>
    <n v="8.4700000000000006"/>
    <m/>
    <m/>
    <m/>
    <m/>
    <m/>
    <m/>
    <x v="2"/>
    <n v="1"/>
    <n v="7"/>
    <m/>
    <m/>
    <m/>
    <m/>
    <m/>
    <m/>
    <m/>
    <m/>
    <m/>
    <m/>
    <m/>
    <m/>
    <m/>
    <m/>
  </r>
  <r>
    <n v="3234"/>
    <n v="53628"/>
    <d v="2003-08-30T00:00:00"/>
    <n v="22"/>
    <x v="1"/>
    <x v="1"/>
    <d v="2024-02-25T00:00:00"/>
    <n v="1.7863013698630137"/>
    <x v="142"/>
    <x v="0"/>
    <x v="8"/>
    <x v="1"/>
    <n v="8.4700000000000006"/>
    <m/>
    <m/>
    <m/>
    <m/>
    <m/>
    <m/>
    <x v="4"/>
    <n v="4"/>
    <n v="7"/>
    <m/>
    <m/>
    <m/>
    <m/>
    <m/>
    <m/>
    <m/>
    <m/>
    <m/>
    <m/>
    <m/>
    <m/>
    <m/>
    <m/>
  </r>
  <r>
    <n v="3235"/>
    <n v="53629"/>
    <d v="2006-12-25T00:00:00"/>
    <n v="19"/>
    <x v="1"/>
    <x v="1"/>
    <d v="2024-03-19T00:00:00"/>
    <n v="1.1232876712328768"/>
    <x v="37"/>
    <x v="0"/>
    <x v="8"/>
    <x v="1"/>
    <n v="8.4700000000000006"/>
    <m/>
    <m/>
    <m/>
    <m/>
    <m/>
    <m/>
    <x v="2"/>
    <n v="2"/>
    <n v="6"/>
    <m/>
    <m/>
    <m/>
    <m/>
    <m/>
    <m/>
    <m/>
    <m/>
    <m/>
    <m/>
    <m/>
    <m/>
    <m/>
    <m/>
  </r>
  <r>
    <n v="3236"/>
    <n v="53630"/>
    <d v="1998-07-10T00:00:00"/>
    <n v="27"/>
    <x v="1"/>
    <x v="1"/>
    <d v="2024-11-16T00:00:00"/>
    <n v="1.2767123287671234"/>
    <x v="37"/>
    <x v="0"/>
    <x v="8"/>
    <x v="1"/>
    <n v="8.4700000000000006"/>
    <m/>
    <m/>
    <m/>
    <m/>
    <m/>
    <m/>
    <x v="1"/>
    <n v="4"/>
    <n v="7"/>
    <m/>
    <m/>
    <m/>
    <m/>
    <m/>
    <m/>
    <m/>
    <m/>
    <m/>
    <m/>
    <m/>
    <m/>
    <m/>
    <m/>
  </r>
  <r>
    <n v="3237"/>
    <n v="53631"/>
    <d v="1998-11-28T00:00:00"/>
    <n v="27"/>
    <x v="1"/>
    <x v="1"/>
    <d v="2024-09-21T00:00:00"/>
    <n v="1.3835616438356164"/>
    <x v="77"/>
    <x v="0"/>
    <x v="8"/>
    <x v="1"/>
    <n v="8.4700000000000006"/>
    <m/>
    <m/>
    <m/>
    <m/>
    <m/>
    <m/>
    <x v="1"/>
    <n v="3"/>
    <n v="6"/>
    <m/>
    <m/>
    <m/>
    <m/>
    <m/>
    <m/>
    <m/>
    <m/>
    <m/>
    <m/>
    <m/>
    <m/>
    <m/>
    <m/>
  </r>
  <r>
    <n v="3238"/>
    <n v="53632"/>
    <d v="2003-11-04T00:00:00"/>
    <n v="22"/>
    <x v="1"/>
    <x v="1"/>
    <d v="2024-08-13T00:00:00"/>
    <n v="1.5780821917808219"/>
    <x v="38"/>
    <x v="0"/>
    <x v="2"/>
    <x v="1"/>
    <n v="14.23"/>
    <m/>
    <m/>
    <m/>
    <m/>
    <m/>
    <m/>
    <x v="2"/>
    <n v="1"/>
    <n v="6"/>
    <m/>
    <m/>
    <m/>
    <m/>
    <m/>
    <m/>
    <m/>
    <m/>
    <m/>
    <m/>
    <m/>
    <m/>
    <m/>
    <m/>
  </r>
  <r>
    <n v="3239"/>
    <n v="53634"/>
    <d v="2005-06-07T00:00:00"/>
    <n v="20"/>
    <x v="1"/>
    <x v="1"/>
    <d v="2024-06-03T00:00:00"/>
    <n v="1.7178082191780821"/>
    <x v="39"/>
    <x v="1"/>
    <x v="8"/>
    <x v="1"/>
    <n v="8.4700000000000006"/>
    <m/>
    <m/>
    <m/>
    <m/>
    <m/>
    <m/>
    <x v="3"/>
    <n v="3"/>
    <n v="7"/>
    <m/>
    <m/>
    <m/>
    <m/>
    <m/>
    <m/>
    <m/>
    <m/>
    <m/>
    <m/>
    <m/>
    <m/>
    <m/>
    <m/>
  </r>
  <r>
    <n v="3240"/>
    <n v="53635"/>
    <d v="2003-07-19T00:00:00"/>
    <n v="22"/>
    <x v="1"/>
    <x v="0"/>
    <d v="2024-04-13T00:00:00"/>
    <n v="1.5808219178082192"/>
    <x v="39"/>
    <x v="1"/>
    <x v="8"/>
    <x v="1"/>
    <n v="8.4700000000000006"/>
    <m/>
    <m/>
    <m/>
    <m/>
    <m/>
    <m/>
    <x v="4"/>
    <n v="3"/>
    <n v="5"/>
    <m/>
    <m/>
    <m/>
    <m/>
    <m/>
    <m/>
    <m/>
    <m/>
    <m/>
    <m/>
    <m/>
    <m/>
    <m/>
    <m/>
  </r>
  <r>
    <n v="3241"/>
    <n v="53636"/>
    <d v="2001-05-31T00:00:00"/>
    <n v="24"/>
    <x v="0"/>
    <x v="0"/>
    <d v="2024-06-02T00:00:00"/>
    <n v="1.3698630136986301"/>
    <x v="106"/>
    <x v="1"/>
    <x v="7"/>
    <x v="1"/>
    <n v="17.59"/>
    <m/>
    <m/>
    <m/>
    <m/>
    <m/>
    <m/>
    <x v="4"/>
    <n v="4"/>
    <n v="4"/>
    <m/>
    <m/>
    <m/>
    <m/>
    <m/>
    <m/>
    <m/>
    <m/>
    <m/>
    <m/>
    <m/>
    <m/>
    <m/>
    <m/>
  </r>
  <r>
    <n v="3242"/>
    <n v="53637"/>
    <d v="1989-10-19T00:00:00"/>
    <n v="36"/>
    <x v="0"/>
    <x v="1"/>
    <d v="2024-08-18T00:00:00"/>
    <n v="1.167123287671233"/>
    <x v="43"/>
    <x v="1"/>
    <x v="7"/>
    <x v="1"/>
    <n v="17.59"/>
    <m/>
    <m/>
    <m/>
    <m/>
    <m/>
    <m/>
    <x v="4"/>
    <n v="3"/>
    <n v="4"/>
    <m/>
    <m/>
    <m/>
    <m/>
    <m/>
    <m/>
    <m/>
    <m/>
    <m/>
    <m/>
    <m/>
    <m/>
    <m/>
    <m/>
  </r>
  <r>
    <n v="3243"/>
    <n v="53638"/>
    <d v="1999-03-20T00:00:00"/>
    <n v="26"/>
    <x v="1"/>
    <x v="0"/>
    <d v="2024-10-31T00:00:00"/>
    <n v="1.1232876712328768"/>
    <x v="43"/>
    <x v="1"/>
    <x v="7"/>
    <x v="1"/>
    <n v="17.59"/>
    <m/>
    <m/>
    <m/>
    <m/>
    <m/>
    <m/>
    <x v="1"/>
    <n v="0"/>
    <n v="6"/>
    <m/>
    <m/>
    <m/>
    <m/>
    <m/>
    <m/>
    <m/>
    <m/>
    <m/>
    <m/>
    <m/>
    <m/>
    <m/>
    <m/>
  </r>
  <r>
    <n v="3244"/>
    <n v="53639"/>
    <d v="2005-05-25T00:00:00"/>
    <n v="20"/>
    <x v="1"/>
    <x v="0"/>
    <d v="2024-11-16T00:00:00"/>
    <n v="1.3095890410958904"/>
    <x v="43"/>
    <x v="1"/>
    <x v="8"/>
    <x v="1"/>
    <n v="8.4700000000000006"/>
    <m/>
    <m/>
    <m/>
    <m/>
    <m/>
    <m/>
    <x v="4"/>
    <n v="2"/>
    <n v="6"/>
    <m/>
    <m/>
    <m/>
    <m/>
    <m/>
    <m/>
    <m/>
    <m/>
    <m/>
    <m/>
    <m/>
    <m/>
    <m/>
    <m/>
  </r>
  <r>
    <n v="3245"/>
    <n v="53640"/>
    <d v="2005-06-03T00:00:00"/>
    <n v="20"/>
    <x v="1"/>
    <x v="1"/>
    <d v="2024-09-09T00:00:00"/>
    <n v="1.2191780821917808"/>
    <x v="104"/>
    <x v="1"/>
    <x v="8"/>
    <x v="1"/>
    <n v="8.4700000000000006"/>
    <m/>
    <m/>
    <m/>
    <m/>
    <m/>
    <m/>
    <x v="3"/>
    <n v="4"/>
    <n v="7"/>
    <m/>
    <m/>
    <m/>
    <m/>
    <m/>
    <m/>
    <m/>
    <m/>
    <m/>
    <m/>
    <m/>
    <m/>
    <m/>
    <m/>
  </r>
  <r>
    <n v="3246"/>
    <n v="53641"/>
    <d v="2003-12-21T00:00:00"/>
    <n v="22"/>
    <x v="1"/>
    <x v="1"/>
    <d v="2024-10-12T00:00:00"/>
    <n v="1.5972602739726027"/>
    <x v="120"/>
    <x v="1"/>
    <x v="8"/>
    <x v="1"/>
    <n v="8.4700000000000006"/>
    <m/>
    <m/>
    <m/>
    <m/>
    <m/>
    <m/>
    <x v="4"/>
    <n v="0"/>
    <n v="5"/>
    <m/>
    <m/>
    <m/>
    <m/>
    <m/>
    <m/>
    <m/>
    <m/>
    <m/>
    <m/>
    <m/>
    <m/>
    <m/>
    <m/>
  </r>
  <r>
    <n v="3247"/>
    <n v="53642"/>
    <d v="2005-03-25T00:00:00"/>
    <n v="20"/>
    <x v="1"/>
    <x v="0"/>
    <d v="2024-05-27T00:00:00"/>
    <n v="1.6794520547945206"/>
    <x v="120"/>
    <x v="1"/>
    <x v="8"/>
    <x v="1"/>
    <n v="8.4700000000000006"/>
    <m/>
    <m/>
    <m/>
    <m/>
    <m/>
    <m/>
    <x v="3"/>
    <n v="2"/>
    <n v="6"/>
    <m/>
    <m/>
    <m/>
    <m/>
    <m/>
    <m/>
    <m/>
    <m/>
    <m/>
    <m/>
    <m/>
    <m/>
    <m/>
    <m/>
  </r>
  <r>
    <n v="3248"/>
    <n v="53644"/>
    <d v="2005-12-15T00:00:00"/>
    <n v="20"/>
    <x v="1"/>
    <x v="1"/>
    <d v="2024-04-27T00:00:00"/>
    <n v="1.7424657534246575"/>
    <x v="6"/>
    <x v="1"/>
    <x v="8"/>
    <x v="1"/>
    <n v="8.4700000000000006"/>
    <m/>
    <m/>
    <m/>
    <m/>
    <m/>
    <m/>
    <x v="1"/>
    <n v="2"/>
    <n v="5"/>
    <m/>
    <m/>
    <m/>
    <m/>
    <m/>
    <m/>
    <m/>
    <m/>
    <m/>
    <m/>
    <m/>
    <m/>
    <m/>
    <m/>
  </r>
  <r>
    <n v="3249"/>
    <n v="53645"/>
    <d v="2004-03-26T00:00:00"/>
    <n v="21"/>
    <x v="1"/>
    <x v="0"/>
    <d v="2024-04-04T00:00:00"/>
    <n v="1.3589041095890411"/>
    <x v="6"/>
    <x v="1"/>
    <x v="8"/>
    <x v="1"/>
    <n v="8.4700000000000006"/>
    <m/>
    <m/>
    <m/>
    <m/>
    <m/>
    <m/>
    <x v="4"/>
    <n v="0"/>
    <n v="4"/>
    <m/>
    <m/>
    <m/>
    <m/>
    <m/>
    <m/>
    <m/>
    <m/>
    <m/>
    <m/>
    <m/>
    <m/>
    <m/>
    <m/>
  </r>
  <r>
    <n v="3250"/>
    <n v="53646"/>
    <d v="2005-11-08T00:00:00"/>
    <n v="20"/>
    <x v="1"/>
    <x v="0"/>
    <d v="2024-08-22T00:00:00"/>
    <n v="1.7698630136986302"/>
    <x v="6"/>
    <x v="1"/>
    <x v="8"/>
    <x v="1"/>
    <n v="8.4700000000000006"/>
    <m/>
    <m/>
    <m/>
    <m/>
    <m/>
    <m/>
    <x v="4"/>
    <n v="2"/>
    <n v="5"/>
    <m/>
    <m/>
    <m/>
    <m/>
    <m/>
    <m/>
    <m/>
    <m/>
    <m/>
    <m/>
    <m/>
    <m/>
    <m/>
    <m/>
  </r>
  <r>
    <n v="3251"/>
    <n v="53647"/>
    <d v="2000-06-02T00:00:00"/>
    <n v="25"/>
    <x v="0"/>
    <x v="1"/>
    <d v="2024-03-25T00:00:00"/>
    <n v="1.2657534246575342"/>
    <x v="46"/>
    <x v="1"/>
    <x v="11"/>
    <x v="1"/>
    <n v="17"/>
    <m/>
    <m/>
    <m/>
    <m/>
    <m/>
    <m/>
    <x v="3"/>
    <n v="2"/>
    <n v="5"/>
    <m/>
    <m/>
    <m/>
    <m/>
    <m/>
    <m/>
    <m/>
    <m/>
    <m/>
    <m/>
    <m/>
    <m/>
    <m/>
    <m/>
  </r>
  <r>
    <n v="3252"/>
    <n v="53648"/>
    <d v="2005-02-13T00:00:00"/>
    <n v="20"/>
    <x v="1"/>
    <x v="1"/>
    <d v="2024-09-25T00:00:00"/>
    <n v="1.2082191780821918"/>
    <x v="46"/>
    <x v="1"/>
    <x v="8"/>
    <x v="1"/>
    <n v="8.4700000000000006"/>
    <m/>
    <m/>
    <m/>
    <m/>
    <m/>
    <m/>
    <x v="2"/>
    <n v="2"/>
    <n v="7"/>
    <m/>
    <m/>
    <m/>
    <m/>
    <m/>
    <m/>
    <m/>
    <m/>
    <m/>
    <m/>
    <m/>
    <m/>
    <m/>
    <m/>
  </r>
  <r>
    <n v="3253"/>
    <n v="53649"/>
    <d v="1995-03-27T00:00:00"/>
    <n v="30"/>
    <x v="1"/>
    <x v="0"/>
    <d v="2024-10-16T00:00:00"/>
    <n v="1.7808219178082192"/>
    <x v="105"/>
    <x v="1"/>
    <x v="8"/>
    <x v="1"/>
    <n v="8.4700000000000006"/>
    <m/>
    <m/>
    <m/>
    <m/>
    <m/>
    <m/>
    <x v="1"/>
    <n v="3"/>
    <n v="7"/>
    <m/>
    <m/>
    <m/>
    <m/>
    <m/>
    <m/>
    <m/>
    <m/>
    <m/>
    <m/>
    <m/>
    <m/>
    <m/>
    <m/>
  </r>
  <r>
    <n v="3254"/>
    <n v="53650"/>
    <d v="2001-12-22T00:00:00"/>
    <n v="24"/>
    <x v="1"/>
    <x v="1"/>
    <d v="2024-03-21T00:00:00"/>
    <n v="1.7068493150684931"/>
    <x v="29"/>
    <x v="1"/>
    <x v="8"/>
    <x v="1"/>
    <n v="8.4700000000000006"/>
    <m/>
    <m/>
    <m/>
    <m/>
    <m/>
    <m/>
    <x v="2"/>
    <n v="2"/>
    <n v="5"/>
    <m/>
    <m/>
    <m/>
    <m/>
    <m/>
    <m/>
    <m/>
    <m/>
    <m/>
    <m/>
    <m/>
    <m/>
    <m/>
    <m/>
  </r>
  <r>
    <n v="3255"/>
    <n v="53651"/>
    <d v="1998-09-05T00:00:00"/>
    <n v="27"/>
    <x v="1"/>
    <x v="1"/>
    <d v="2024-04-17T00:00:00"/>
    <n v="1.6849315068493151"/>
    <x v="29"/>
    <x v="1"/>
    <x v="8"/>
    <x v="1"/>
    <n v="8.4700000000000006"/>
    <m/>
    <m/>
    <m/>
    <m/>
    <m/>
    <m/>
    <x v="4"/>
    <n v="1"/>
    <n v="6"/>
    <m/>
    <m/>
    <m/>
    <m/>
    <m/>
    <m/>
    <m/>
    <m/>
    <m/>
    <m/>
    <m/>
    <m/>
    <m/>
    <m/>
  </r>
  <r>
    <n v="3256"/>
    <n v="53652"/>
    <d v="2005-03-07T00:00:00"/>
    <n v="20"/>
    <x v="1"/>
    <x v="1"/>
    <d v="2024-04-25T00:00:00"/>
    <n v="1.5780821917808219"/>
    <x v="29"/>
    <x v="1"/>
    <x v="8"/>
    <x v="1"/>
    <n v="8.4700000000000006"/>
    <m/>
    <m/>
    <m/>
    <m/>
    <m/>
    <m/>
    <x v="4"/>
    <n v="3"/>
    <n v="6"/>
    <m/>
    <m/>
    <m/>
    <m/>
    <m/>
    <m/>
    <m/>
    <m/>
    <m/>
    <m/>
    <m/>
    <m/>
    <m/>
    <m/>
  </r>
  <r>
    <n v="3257"/>
    <n v="53653"/>
    <d v="2005-09-27T00:00:00"/>
    <n v="20"/>
    <x v="1"/>
    <x v="0"/>
    <d v="2024-06-03T00:00:00"/>
    <n v="1.7616438356164383"/>
    <x v="48"/>
    <x v="1"/>
    <x v="8"/>
    <x v="1"/>
    <n v="8.4700000000000006"/>
    <m/>
    <m/>
    <m/>
    <m/>
    <m/>
    <m/>
    <x v="2"/>
    <n v="4"/>
    <n v="7"/>
    <m/>
    <m/>
    <m/>
    <m/>
    <m/>
    <m/>
    <m/>
    <m/>
    <m/>
    <m/>
    <m/>
    <m/>
    <m/>
    <m/>
  </r>
  <r>
    <n v="3258"/>
    <n v="53654"/>
    <d v="1999-12-23T00:00:00"/>
    <n v="26"/>
    <x v="1"/>
    <x v="0"/>
    <d v="2024-03-28T00:00:00"/>
    <n v="1.6219178082191781"/>
    <x v="48"/>
    <x v="1"/>
    <x v="8"/>
    <x v="1"/>
    <n v="8.4700000000000006"/>
    <m/>
    <m/>
    <m/>
    <m/>
    <m/>
    <m/>
    <x v="2"/>
    <n v="2"/>
    <n v="6"/>
    <m/>
    <m/>
    <m/>
    <m/>
    <m/>
    <m/>
    <m/>
    <m/>
    <m/>
    <m/>
    <m/>
    <m/>
    <m/>
    <m/>
  </r>
  <r>
    <n v="3259"/>
    <n v="53655"/>
    <d v="1995-11-16T00:00:00"/>
    <n v="30"/>
    <x v="1"/>
    <x v="1"/>
    <d v="2024-05-18T00:00:00"/>
    <n v="1.7808219178082192"/>
    <x v="48"/>
    <x v="1"/>
    <x v="8"/>
    <x v="1"/>
    <n v="8.4700000000000006"/>
    <m/>
    <m/>
    <m/>
    <m/>
    <m/>
    <m/>
    <x v="4"/>
    <n v="1"/>
    <n v="6"/>
    <m/>
    <m/>
    <m/>
    <m/>
    <m/>
    <m/>
    <m/>
    <m/>
    <m/>
    <m/>
    <m/>
    <m/>
    <m/>
    <m/>
  </r>
  <r>
    <n v="3260"/>
    <n v="53656"/>
    <d v="1998-03-12T00:00:00"/>
    <n v="27"/>
    <x v="1"/>
    <x v="0"/>
    <d v="2024-03-21T00:00:00"/>
    <n v="1.2794520547945205"/>
    <x v="48"/>
    <x v="1"/>
    <x v="8"/>
    <x v="1"/>
    <n v="8.4700000000000006"/>
    <m/>
    <m/>
    <m/>
    <m/>
    <m/>
    <m/>
    <x v="1"/>
    <n v="1"/>
    <n v="7"/>
    <m/>
    <m/>
    <m/>
    <m/>
    <m/>
    <m/>
    <m/>
    <m/>
    <m/>
    <m/>
    <m/>
    <m/>
    <m/>
    <m/>
  </r>
  <r>
    <n v="3261"/>
    <n v="53657"/>
    <d v="1997-04-12T00:00:00"/>
    <n v="28"/>
    <x v="1"/>
    <x v="1"/>
    <d v="2024-09-20T00:00:00"/>
    <n v="1.3479452054794521"/>
    <x v="115"/>
    <x v="1"/>
    <x v="8"/>
    <x v="1"/>
    <n v="8.4700000000000006"/>
    <m/>
    <m/>
    <m/>
    <m/>
    <m/>
    <m/>
    <x v="1"/>
    <n v="0"/>
    <n v="5"/>
    <m/>
    <m/>
    <m/>
    <m/>
    <m/>
    <m/>
    <m/>
    <m/>
    <m/>
    <m/>
    <m/>
    <m/>
    <m/>
    <m/>
  </r>
  <r>
    <n v="3262"/>
    <n v="53658"/>
    <d v="2007-03-13T00:00:00"/>
    <n v="18"/>
    <x v="1"/>
    <x v="0"/>
    <d v="2024-08-26T00:00:00"/>
    <n v="1.7315068493150685"/>
    <x v="108"/>
    <x v="1"/>
    <x v="8"/>
    <x v="1"/>
    <n v="8.4700000000000006"/>
    <m/>
    <m/>
    <m/>
    <m/>
    <m/>
    <m/>
    <x v="4"/>
    <n v="3"/>
    <n v="6"/>
    <m/>
    <m/>
    <m/>
    <m/>
    <m/>
    <m/>
    <m/>
    <m/>
    <m/>
    <m/>
    <m/>
    <m/>
    <m/>
    <m/>
  </r>
  <r>
    <n v="3263"/>
    <n v="53659"/>
    <d v="1997-12-10T00:00:00"/>
    <n v="28"/>
    <x v="0"/>
    <x v="1"/>
    <d v="2024-04-08T00:00:00"/>
    <n v="1.6520547945205479"/>
    <x v="95"/>
    <x v="1"/>
    <x v="9"/>
    <x v="1"/>
    <n v="14.07"/>
    <m/>
    <m/>
    <m/>
    <m/>
    <m/>
    <m/>
    <x v="3"/>
    <n v="0"/>
    <n v="3"/>
    <m/>
    <m/>
    <m/>
    <m/>
    <m/>
    <m/>
    <m/>
    <m/>
    <m/>
    <m/>
    <m/>
    <m/>
    <m/>
    <m/>
  </r>
  <r>
    <n v="3264"/>
    <n v="53661"/>
    <d v="2000-04-27T00:00:00"/>
    <n v="25"/>
    <x v="1"/>
    <x v="1"/>
    <d v="2024-05-07T00:00:00"/>
    <n v="1.3589041095890411"/>
    <x v="123"/>
    <x v="1"/>
    <x v="11"/>
    <x v="1"/>
    <n v="17"/>
    <m/>
    <m/>
    <m/>
    <m/>
    <m/>
    <m/>
    <x v="4"/>
    <n v="3"/>
    <n v="6"/>
    <m/>
    <m/>
    <m/>
    <m/>
    <m/>
    <m/>
    <m/>
    <m/>
    <m/>
    <m/>
    <m/>
    <m/>
    <m/>
    <m/>
  </r>
  <r>
    <n v="3265"/>
    <n v="53662"/>
    <d v="2002-12-22T00:00:00"/>
    <n v="23"/>
    <x v="0"/>
    <x v="1"/>
    <d v="2024-08-22T00:00:00"/>
    <n v="1.7561643835616438"/>
    <x v="51"/>
    <x v="1"/>
    <x v="8"/>
    <x v="1"/>
    <n v="8.4700000000000006"/>
    <m/>
    <m/>
    <m/>
    <m/>
    <m/>
    <m/>
    <x v="1"/>
    <n v="1"/>
    <n v="3"/>
    <m/>
    <m/>
    <m/>
    <m/>
    <m/>
    <m/>
    <m/>
    <m/>
    <m/>
    <m/>
    <m/>
    <m/>
    <m/>
    <m/>
  </r>
  <r>
    <n v="3266"/>
    <n v="53664"/>
    <d v="2007-10-03T00:00:00"/>
    <n v="18"/>
    <x v="1"/>
    <x v="1"/>
    <d v="2024-03-30T00:00:00"/>
    <n v="1.7561643835616438"/>
    <x v="133"/>
    <x v="1"/>
    <x v="8"/>
    <x v="1"/>
    <n v="8.4700000000000006"/>
    <m/>
    <m/>
    <m/>
    <m/>
    <m/>
    <m/>
    <x v="3"/>
    <n v="2"/>
    <n v="5"/>
    <m/>
    <m/>
    <m/>
    <m/>
    <m/>
    <m/>
    <m/>
    <m/>
    <m/>
    <m/>
    <m/>
    <m/>
    <m/>
    <m/>
  </r>
  <r>
    <n v="3267"/>
    <n v="53665"/>
    <d v="2003-01-10T00:00:00"/>
    <n v="22"/>
    <x v="1"/>
    <x v="1"/>
    <d v="2024-03-30T00:00:00"/>
    <n v="1.6493150684931508"/>
    <x v="130"/>
    <x v="1"/>
    <x v="8"/>
    <x v="1"/>
    <n v="8.4700000000000006"/>
    <m/>
    <m/>
    <m/>
    <m/>
    <m/>
    <m/>
    <x v="3"/>
    <n v="2"/>
    <n v="5"/>
    <m/>
    <m/>
    <m/>
    <m/>
    <m/>
    <m/>
    <m/>
    <m/>
    <m/>
    <m/>
    <m/>
    <m/>
    <m/>
    <m/>
  </r>
  <r>
    <n v="3268"/>
    <n v="53666"/>
    <d v="2003-11-09T00:00:00"/>
    <n v="22"/>
    <x v="1"/>
    <x v="0"/>
    <d v="2024-05-08T00:00:00"/>
    <n v="1.4328767123287671"/>
    <x v="53"/>
    <x v="1"/>
    <x v="8"/>
    <x v="1"/>
    <n v="8.4700000000000006"/>
    <m/>
    <m/>
    <m/>
    <m/>
    <m/>
    <m/>
    <x v="3"/>
    <n v="4"/>
    <n v="7"/>
    <m/>
    <m/>
    <m/>
    <m/>
    <m/>
    <m/>
    <m/>
    <m/>
    <m/>
    <m/>
    <m/>
    <m/>
    <m/>
    <m/>
  </r>
  <r>
    <n v="3269"/>
    <n v="53667"/>
    <d v="2004-08-21T00:00:00"/>
    <n v="21"/>
    <x v="0"/>
    <x v="0"/>
    <d v="2024-07-26T00:00:00"/>
    <n v="1.2931506849315069"/>
    <x v="54"/>
    <x v="1"/>
    <x v="8"/>
    <x v="1"/>
    <n v="8.4700000000000006"/>
    <m/>
    <m/>
    <m/>
    <m/>
    <m/>
    <m/>
    <x v="4"/>
    <n v="2"/>
    <n v="5"/>
    <m/>
    <m/>
    <m/>
    <m/>
    <m/>
    <m/>
    <m/>
    <m/>
    <m/>
    <m/>
    <m/>
    <m/>
    <m/>
    <m/>
  </r>
  <r>
    <n v="3270"/>
    <n v="53668"/>
    <d v="2003-03-28T00:00:00"/>
    <n v="22"/>
    <x v="1"/>
    <x v="1"/>
    <d v="2024-09-15T00:00:00"/>
    <n v="1.4684931506849315"/>
    <x v="56"/>
    <x v="1"/>
    <x v="8"/>
    <x v="1"/>
    <n v="8.4700000000000006"/>
    <m/>
    <m/>
    <m/>
    <m/>
    <m/>
    <m/>
    <x v="1"/>
    <n v="2"/>
    <n v="6"/>
    <m/>
    <m/>
    <m/>
    <m/>
    <m/>
    <m/>
    <m/>
    <m/>
    <m/>
    <m/>
    <m/>
    <m/>
    <m/>
    <m/>
  </r>
  <r>
    <n v="3271"/>
    <n v="53670"/>
    <d v="2006-04-11T00:00:00"/>
    <n v="19"/>
    <x v="1"/>
    <x v="0"/>
    <d v="2024-07-13T00:00:00"/>
    <n v="1.1424657534246576"/>
    <x v="56"/>
    <x v="1"/>
    <x v="8"/>
    <x v="1"/>
    <n v="8.4700000000000006"/>
    <m/>
    <m/>
    <m/>
    <m/>
    <m/>
    <m/>
    <x v="3"/>
    <n v="1"/>
    <n v="5"/>
    <m/>
    <m/>
    <m/>
    <m/>
    <m/>
    <m/>
    <m/>
    <m/>
    <m/>
    <m/>
    <m/>
    <m/>
    <m/>
    <m/>
  </r>
  <r>
    <n v="3272"/>
    <n v="53671"/>
    <d v="2003-03-15T00:00:00"/>
    <n v="22"/>
    <x v="0"/>
    <x v="0"/>
    <d v="2024-11-09T00:00:00"/>
    <n v="1.3232876712328767"/>
    <x v="58"/>
    <x v="1"/>
    <x v="3"/>
    <x v="1"/>
    <n v="8.4700000000000006"/>
    <m/>
    <m/>
    <m/>
    <m/>
    <m/>
    <m/>
    <x v="2"/>
    <n v="1"/>
    <n v="4"/>
    <m/>
    <m/>
    <m/>
    <m/>
    <m/>
    <m/>
    <m/>
    <m/>
    <m/>
    <m/>
    <m/>
    <m/>
    <m/>
    <m/>
  </r>
  <r>
    <n v="3273"/>
    <n v="53672"/>
    <d v="2004-05-13T00:00:00"/>
    <n v="21"/>
    <x v="1"/>
    <x v="0"/>
    <d v="2024-09-04T00:00:00"/>
    <n v="1.5506849315068494"/>
    <x v="58"/>
    <x v="1"/>
    <x v="8"/>
    <x v="1"/>
    <n v="8.4700000000000006"/>
    <m/>
    <m/>
    <m/>
    <m/>
    <m/>
    <m/>
    <x v="1"/>
    <n v="3"/>
    <n v="5"/>
    <m/>
    <m/>
    <m/>
    <m/>
    <m/>
    <m/>
    <m/>
    <m/>
    <m/>
    <m/>
    <m/>
    <m/>
    <m/>
    <m/>
  </r>
  <r>
    <n v="3274"/>
    <n v="53673"/>
    <d v="1998-12-29T00:00:00"/>
    <n v="27"/>
    <x v="0"/>
    <x v="1"/>
    <d v="2024-06-13T00:00:00"/>
    <n v="1.4383561643835616"/>
    <x v="58"/>
    <x v="1"/>
    <x v="8"/>
    <x v="1"/>
    <n v="8.4700000000000006"/>
    <m/>
    <m/>
    <m/>
    <m/>
    <m/>
    <m/>
    <x v="1"/>
    <n v="4"/>
    <n v="5"/>
    <m/>
    <m/>
    <m/>
    <m/>
    <m/>
    <m/>
    <m/>
    <m/>
    <m/>
    <m/>
    <m/>
    <m/>
    <m/>
    <m/>
  </r>
  <r>
    <n v="3275"/>
    <n v="53674"/>
    <d v="2004-09-21T00:00:00"/>
    <n v="21"/>
    <x v="1"/>
    <x v="0"/>
    <d v="2024-07-24T00:00:00"/>
    <n v="1.4794520547945205"/>
    <x v="60"/>
    <x v="1"/>
    <x v="8"/>
    <x v="1"/>
    <n v="8.4700000000000006"/>
    <m/>
    <m/>
    <m/>
    <m/>
    <m/>
    <m/>
    <x v="3"/>
    <n v="2"/>
    <n v="6"/>
    <m/>
    <m/>
    <m/>
    <m/>
    <m/>
    <m/>
    <m/>
    <m/>
    <m/>
    <m/>
    <m/>
    <m/>
    <m/>
    <m/>
  </r>
  <r>
    <n v="3276"/>
    <n v="53675"/>
    <d v="2003-04-18T00:00:00"/>
    <n v="22"/>
    <x v="1"/>
    <x v="1"/>
    <d v="2024-07-09T00:00:00"/>
    <n v="1.3890410958904109"/>
    <x v="60"/>
    <x v="1"/>
    <x v="8"/>
    <x v="1"/>
    <n v="8.4700000000000006"/>
    <m/>
    <m/>
    <m/>
    <m/>
    <m/>
    <m/>
    <x v="2"/>
    <n v="2"/>
    <n v="6"/>
    <m/>
    <m/>
    <m/>
    <m/>
    <m/>
    <m/>
    <m/>
    <m/>
    <m/>
    <m/>
    <m/>
    <m/>
    <m/>
    <m/>
  </r>
  <r>
    <n v="3277"/>
    <n v="53676"/>
    <d v="2001-06-20T00:00:00"/>
    <n v="24"/>
    <x v="1"/>
    <x v="1"/>
    <d v="2024-08-11T00:00:00"/>
    <n v="1.2219178082191782"/>
    <x v="62"/>
    <x v="1"/>
    <x v="8"/>
    <x v="1"/>
    <n v="8.4700000000000006"/>
    <m/>
    <m/>
    <m/>
    <m/>
    <m/>
    <m/>
    <x v="1"/>
    <n v="3"/>
    <n v="6"/>
    <m/>
    <m/>
    <m/>
    <m/>
    <m/>
    <m/>
    <m/>
    <m/>
    <m/>
    <m/>
    <m/>
    <m/>
    <m/>
    <m/>
  </r>
  <r>
    <n v="3278"/>
    <n v="53677"/>
    <d v="2004-05-08T00:00:00"/>
    <n v="21"/>
    <x v="1"/>
    <x v="1"/>
    <d v="2024-10-11T00:00:00"/>
    <n v="1.7561643835616438"/>
    <x v="62"/>
    <x v="1"/>
    <x v="8"/>
    <x v="1"/>
    <n v="8.4700000000000006"/>
    <m/>
    <m/>
    <m/>
    <m/>
    <m/>
    <m/>
    <x v="3"/>
    <n v="4"/>
    <n v="7"/>
    <m/>
    <m/>
    <m/>
    <m/>
    <m/>
    <m/>
    <m/>
    <m/>
    <m/>
    <m/>
    <m/>
    <m/>
    <m/>
    <m/>
  </r>
  <r>
    <n v="3279"/>
    <n v="53678"/>
    <d v="2006-03-01T00:00:00"/>
    <n v="20"/>
    <x v="0"/>
    <x v="1"/>
    <d v="2024-03-30T00:00:00"/>
    <n v="1.2164383561643837"/>
    <x v="91"/>
    <x v="1"/>
    <x v="8"/>
    <x v="1"/>
    <n v="8.4700000000000006"/>
    <m/>
    <m/>
    <m/>
    <m/>
    <m/>
    <m/>
    <x v="2"/>
    <n v="4"/>
    <n v="4"/>
    <m/>
    <m/>
    <m/>
    <m/>
    <m/>
    <m/>
    <m/>
    <m/>
    <m/>
    <m/>
    <m/>
    <m/>
    <m/>
    <m/>
  </r>
  <r>
    <n v="3280"/>
    <n v="53679"/>
    <d v="2003-08-04T00:00:00"/>
    <n v="22"/>
    <x v="1"/>
    <x v="1"/>
    <d v="2024-10-13T00:00:00"/>
    <n v="1.3150684931506849"/>
    <x v="91"/>
    <x v="1"/>
    <x v="8"/>
    <x v="1"/>
    <n v="8.4700000000000006"/>
    <m/>
    <m/>
    <m/>
    <m/>
    <m/>
    <m/>
    <x v="1"/>
    <n v="3"/>
    <n v="6"/>
    <m/>
    <m/>
    <m/>
    <m/>
    <m/>
    <m/>
    <m/>
    <m/>
    <m/>
    <m/>
    <m/>
    <m/>
    <m/>
    <m/>
  </r>
  <r>
    <n v="3281"/>
    <n v="53680"/>
    <d v="2003-01-17T00:00:00"/>
    <n v="22"/>
    <x v="1"/>
    <x v="1"/>
    <d v="2024-09-07T00:00:00"/>
    <n v="1.4"/>
    <x v="111"/>
    <x v="1"/>
    <x v="8"/>
    <x v="1"/>
    <n v="8.4700000000000006"/>
    <m/>
    <m/>
    <m/>
    <m/>
    <m/>
    <m/>
    <x v="1"/>
    <n v="1"/>
    <n v="7"/>
    <m/>
    <m/>
    <m/>
    <m/>
    <m/>
    <m/>
    <m/>
    <m/>
    <m/>
    <m/>
    <m/>
    <m/>
    <m/>
    <m/>
  </r>
  <r>
    <n v="3282"/>
    <n v="53681"/>
    <d v="2003-11-25T00:00:00"/>
    <n v="22"/>
    <x v="0"/>
    <x v="1"/>
    <d v="2024-08-07T00:00:00"/>
    <n v="1.6520547945205479"/>
    <x v="64"/>
    <x v="1"/>
    <x v="8"/>
    <x v="1"/>
    <n v="8.4700000000000006"/>
    <m/>
    <m/>
    <m/>
    <m/>
    <m/>
    <m/>
    <x v="4"/>
    <n v="1"/>
    <n v="4"/>
    <m/>
    <m/>
    <m/>
    <m/>
    <m/>
    <m/>
    <m/>
    <m/>
    <m/>
    <m/>
    <m/>
    <m/>
    <m/>
    <m/>
  </r>
  <r>
    <n v="3283"/>
    <n v="53682"/>
    <d v="2000-04-11T00:00:00"/>
    <n v="25"/>
    <x v="1"/>
    <x v="1"/>
    <d v="2024-05-07T00:00:00"/>
    <n v="1.3260273972602741"/>
    <x v="64"/>
    <x v="1"/>
    <x v="8"/>
    <x v="1"/>
    <n v="8.4700000000000006"/>
    <m/>
    <m/>
    <m/>
    <m/>
    <m/>
    <m/>
    <x v="2"/>
    <n v="1"/>
    <n v="6"/>
    <m/>
    <m/>
    <m/>
    <m/>
    <m/>
    <m/>
    <m/>
    <m/>
    <m/>
    <m/>
    <m/>
    <m/>
    <m/>
    <m/>
  </r>
  <r>
    <n v="3284"/>
    <n v="53683"/>
    <d v="2007-11-20T00:00:00"/>
    <n v="18"/>
    <x v="1"/>
    <x v="1"/>
    <d v="2024-09-03T00:00:00"/>
    <n v="1.526027397260274"/>
    <x v="65"/>
    <x v="1"/>
    <x v="8"/>
    <x v="1"/>
    <n v="8.4700000000000006"/>
    <m/>
    <m/>
    <m/>
    <m/>
    <m/>
    <m/>
    <x v="4"/>
    <n v="0"/>
    <n v="6"/>
    <m/>
    <m/>
    <m/>
    <m/>
    <m/>
    <m/>
    <m/>
    <m/>
    <m/>
    <m/>
    <m/>
    <m/>
    <m/>
    <m/>
  </r>
  <r>
    <n v="3285"/>
    <n v="53684"/>
    <d v="2003-07-02T00:00:00"/>
    <n v="22"/>
    <x v="1"/>
    <x v="0"/>
    <d v="2024-06-22T00:00:00"/>
    <n v="1.178082191780822"/>
    <x v="65"/>
    <x v="1"/>
    <x v="8"/>
    <x v="1"/>
    <n v="8.4700000000000006"/>
    <m/>
    <m/>
    <m/>
    <m/>
    <m/>
    <m/>
    <x v="4"/>
    <n v="2"/>
    <n v="5"/>
    <m/>
    <m/>
    <m/>
    <m/>
    <m/>
    <m/>
    <m/>
    <m/>
    <m/>
    <m/>
    <m/>
    <m/>
    <m/>
    <m/>
  </r>
  <r>
    <n v="3286"/>
    <n v="53685"/>
    <d v="2005-05-08T00:00:00"/>
    <n v="20"/>
    <x v="1"/>
    <x v="1"/>
    <d v="2024-10-27T00:00:00"/>
    <n v="1.1753424657534246"/>
    <x v="68"/>
    <x v="1"/>
    <x v="8"/>
    <x v="1"/>
    <n v="8.4700000000000006"/>
    <m/>
    <m/>
    <m/>
    <m/>
    <m/>
    <m/>
    <x v="4"/>
    <n v="4"/>
    <n v="7"/>
    <m/>
    <m/>
    <m/>
    <m/>
    <m/>
    <m/>
    <m/>
    <m/>
    <m/>
    <m/>
    <m/>
    <m/>
    <m/>
    <m/>
  </r>
  <r>
    <n v="3287"/>
    <n v="53686"/>
    <d v="2006-02-11T00:00:00"/>
    <n v="19"/>
    <x v="1"/>
    <x v="1"/>
    <d v="2024-10-28T00:00:00"/>
    <n v="1.5178082191780822"/>
    <x v="68"/>
    <x v="1"/>
    <x v="8"/>
    <x v="1"/>
    <n v="8.4700000000000006"/>
    <m/>
    <m/>
    <m/>
    <m/>
    <m/>
    <m/>
    <x v="2"/>
    <n v="4"/>
    <n v="7"/>
    <m/>
    <m/>
    <m/>
    <m/>
    <m/>
    <m/>
    <m/>
    <m/>
    <m/>
    <m/>
    <m/>
    <m/>
    <m/>
    <m/>
  </r>
  <r>
    <n v="3288"/>
    <n v="53687"/>
    <d v="2005-06-18T00:00:00"/>
    <n v="20"/>
    <x v="1"/>
    <x v="1"/>
    <d v="2024-06-25T00:00:00"/>
    <n v="1.1342465753424658"/>
    <x v="68"/>
    <x v="1"/>
    <x v="8"/>
    <x v="1"/>
    <n v="8.4700000000000006"/>
    <m/>
    <m/>
    <m/>
    <m/>
    <m/>
    <m/>
    <x v="4"/>
    <n v="2"/>
    <n v="6"/>
    <m/>
    <m/>
    <m/>
    <m/>
    <m/>
    <m/>
    <m/>
    <m/>
    <m/>
    <m/>
    <m/>
    <m/>
    <m/>
    <m/>
  </r>
  <r>
    <n v="3289"/>
    <n v="53688"/>
    <d v="2000-02-16T00:00:00"/>
    <n v="25"/>
    <x v="1"/>
    <x v="1"/>
    <d v="2024-11-12T00:00:00"/>
    <n v="1.6301369863013699"/>
    <x v="131"/>
    <x v="1"/>
    <x v="7"/>
    <x v="1"/>
    <n v="17.59"/>
    <m/>
    <m/>
    <m/>
    <m/>
    <m/>
    <m/>
    <x v="1"/>
    <n v="2"/>
    <n v="6"/>
    <m/>
    <m/>
    <m/>
    <m/>
    <m/>
    <m/>
    <m/>
    <m/>
    <m/>
    <m/>
    <m/>
    <m/>
    <m/>
    <m/>
  </r>
  <r>
    <n v="3290"/>
    <n v="53689"/>
    <d v="2005-08-24T00:00:00"/>
    <n v="20"/>
    <x v="0"/>
    <x v="1"/>
    <d v="2024-05-15T00:00:00"/>
    <n v="1.7178082191780821"/>
    <x v="131"/>
    <x v="1"/>
    <x v="8"/>
    <x v="1"/>
    <n v="8.4700000000000006"/>
    <m/>
    <m/>
    <m/>
    <m/>
    <m/>
    <m/>
    <x v="4"/>
    <n v="4"/>
    <n v="5"/>
    <m/>
    <m/>
    <m/>
    <m/>
    <m/>
    <m/>
    <m/>
    <m/>
    <m/>
    <m/>
    <m/>
    <m/>
    <m/>
    <m/>
  </r>
  <r>
    <n v="3291"/>
    <n v="53690"/>
    <d v="2002-07-11T00:00:00"/>
    <n v="23"/>
    <x v="1"/>
    <x v="1"/>
    <d v="2024-04-13T00:00:00"/>
    <n v="1.7287671232876711"/>
    <x v="131"/>
    <x v="1"/>
    <x v="8"/>
    <x v="1"/>
    <n v="8.4700000000000006"/>
    <m/>
    <m/>
    <m/>
    <m/>
    <m/>
    <m/>
    <x v="4"/>
    <n v="1"/>
    <n v="6"/>
    <m/>
    <m/>
    <m/>
    <m/>
    <m/>
    <m/>
    <m/>
    <m/>
    <m/>
    <m/>
    <m/>
    <m/>
    <m/>
    <m/>
  </r>
  <r>
    <n v="3292"/>
    <n v="53691"/>
    <d v="2005-10-13T00:00:00"/>
    <n v="20"/>
    <x v="1"/>
    <x v="0"/>
    <d v="2024-04-09T00:00:00"/>
    <n v="1.0136986301369864"/>
    <x v="72"/>
    <x v="1"/>
    <x v="8"/>
    <x v="1"/>
    <n v="8.4700000000000006"/>
    <m/>
    <m/>
    <m/>
    <m/>
    <m/>
    <m/>
    <x v="1"/>
    <n v="4"/>
    <n v="5"/>
    <m/>
    <m/>
    <m/>
    <m/>
    <m/>
    <m/>
    <m/>
    <m/>
    <m/>
    <m/>
    <m/>
    <m/>
    <m/>
    <m/>
  </r>
  <r>
    <n v="3293"/>
    <n v="53693"/>
    <d v="2000-06-24T00:00:00"/>
    <n v="25"/>
    <x v="1"/>
    <x v="0"/>
    <d v="2024-12-26T00:00:00"/>
    <n v="1.8191780821917809"/>
    <x v="75"/>
    <x v="1"/>
    <x v="11"/>
    <x v="1"/>
    <n v="17"/>
    <m/>
    <m/>
    <m/>
    <m/>
    <m/>
    <m/>
    <x v="4"/>
    <n v="3"/>
    <n v="6"/>
    <m/>
    <m/>
    <m/>
    <m/>
    <m/>
    <m/>
    <m/>
    <m/>
    <m/>
    <m/>
    <m/>
    <m/>
    <m/>
    <m/>
  </r>
  <r>
    <n v="3294"/>
    <n v="53694"/>
    <d v="2004-02-15T00:00:00"/>
    <n v="21"/>
    <x v="1"/>
    <x v="0"/>
    <d v="2024-03-07T00:00:00"/>
    <n v="1.8410958904109589"/>
    <x v="125"/>
    <x v="1"/>
    <x v="8"/>
    <x v="1"/>
    <n v="8.4700000000000006"/>
    <m/>
    <m/>
    <m/>
    <m/>
    <m/>
    <m/>
    <x v="1"/>
    <n v="4"/>
    <n v="6"/>
    <m/>
    <m/>
    <m/>
    <m/>
    <m/>
    <m/>
    <m/>
    <m/>
    <m/>
    <m/>
    <m/>
    <m/>
    <m/>
    <m/>
  </r>
  <r>
    <n v="3295"/>
    <n v="53695"/>
    <d v="1999-08-09T00:00:00"/>
    <n v="26"/>
    <x v="1"/>
    <x v="0"/>
    <d v="2024-02-28T00:00:00"/>
    <n v="1.8767123287671232"/>
    <x v="125"/>
    <x v="1"/>
    <x v="8"/>
    <x v="1"/>
    <n v="8.4700000000000006"/>
    <m/>
    <m/>
    <m/>
    <m/>
    <m/>
    <m/>
    <x v="2"/>
    <n v="3"/>
    <n v="5"/>
    <m/>
    <m/>
    <m/>
    <m/>
    <m/>
    <m/>
    <m/>
    <m/>
    <m/>
    <m/>
    <m/>
    <m/>
    <m/>
    <m/>
  </r>
  <r>
    <n v="3296"/>
    <n v="53696"/>
    <d v="2007-03-12T00:00:00"/>
    <n v="18"/>
    <x v="1"/>
    <x v="1"/>
    <d v="2024-02-15T00:00:00"/>
    <n v="1.6493150684931508"/>
    <x v="125"/>
    <x v="1"/>
    <x v="8"/>
    <x v="1"/>
    <n v="8.4700000000000006"/>
    <m/>
    <m/>
    <m/>
    <m/>
    <m/>
    <m/>
    <x v="1"/>
    <n v="0"/>
    <n v="6"/>
    <m/>
    <m/>
    <m/>
    <m/>
    <m/>
    <m/>
    <m/>
    <m/>
    <m/>
    <m/>
    <m/>
    <m/>
    <m/>
    <m/>
  </r>
  <r>
    <n v="3297"/>
    <n v="53697"/>
    <d v="2004-08-29T00:00:00"/>
    <n v="21"/>
    <x v="1"/>
    <x v="1"/>
    <d v="2024-05-08T00:00:00"/>
    <n v="1.1150684931506849"/>
    <x v="93"/>
    <x v="1"/>
    <x v="2"/>
    <x v="1"/>
    <n v="14.23"/>
    <m/>
    <m/>
    <m/>
    <m/>
    <m/>
    <m/>
    <x v="3"/>
    <n v="0"/>
    <n v="7"/>
    <m/>
    <m/>
    <m/>
    <m/>
    <m/>
    <m/>
    <m/>
    <m/>
    <m/>
    <m/>
    <m/>
    <m/>
    <m/>
    <m/>
  </r>
  <r>
    <n v="3298"/>
    <n v="53698"/>
    <d v="2002-08-15T00:00:00"/>
    <n v="23"/>
    <x v="0"/>
    <x v="0"/>
    <d v="2024-11-19T00:00:00"/>
    <n v="1.2712328767123289"/>
    <x v="109"/>
    <x v="1"/>
    <x v="8"/>
    <x v="1"/>
    <n v="8.4700000000000006"/>
    <m/>
    <m/>
    <m/>
    <m/>
    <m/>
    <m/>
    <x v="1"/>
    <n v="1"/>
    <n v="3"/>
    <m/>
    <m/>
    <m/>
    <m/>
    <m/>
    <m/>
    <m/>
    <m/>
    <m/>
    <m/>
    <m/>
    <m/>
    <m/>
    <m/>
  </r>
  <r>
    <n v="3299"/>
    <n v="53699"/>
    <d v="2006-08-09T00:00:00"/>
    <n v="19"/>
    <x v="1"/>
    <x v="0"/>
    <d v="2024-09-23T00:00:00"/>
    <n v="1.189041095890411"/>
    <x v="129"/>
    <x v="1"/>
    <x v="10"/>
    <x v="1"/>
    <n v="10.64"/>
    <m/>
    <m/>
    <m/>
    <m/>
    <m/>
    <m/>
    <x v="1"/>
    <n v="1"/>
    <n v="6"/>
    <m/>
    <m/>
    <m/>
    <m/>
    <m/>
    <m/>
    <m/>
    <m/>
    <m/>
    <m/>
    <m/>
    <m/>
    <m/>
    <m/>
  </r>
  <r>
    <n v="3300"/>
    <n v="53700"/>
    <d v="2003-12-03T00:00:00"/>
    <n v="22"/>
    <x v="1"/>
    <x v="1"/>
    <d v="2024-10-23T00:00:00"/>
    <n v="1.6876712328767123"/>
    <x v="80"/>
    <x v="1"/>
    <x v="8"/>
    <x v="1"/>
    <n v="8.4700000000000006"/>
    <m/>
    <m/>
    <m/>
    <m/>
    <m/>
    <m/>
    <x v="1"/>
    <n v="0"/>
    <n v="6"/>
    <m/>
    <m/>
    <m/>
    <m/>
    <m/>
    <m/>
    <m/>
    <m/>
    <m/>
    <m/>
    <m/>
    <m/>
    <m/>
    <m/>
  </r>
  <r>
    <n v="3301"/>
    <n v="53701"/>
    <d v="2006-10-10T00:00:00"/>
    <n v="19"/>
    <x v="0"/>
    <x v="0"/>
    <d v="2024-04-24T00:00:00"/>
    <n v="1.3397260273972602"/>
    <x v="107"/>
    <x v="1"/>
    <x v="10"/>
    <x v="1"/>
    <n v="10.64"/>
    <m/>
    <m/>
    <m/>
    <m/>
    <m/>
    <m/>
    <x v="1"/>
    <n v="1"/>
    <n v="4"/>
    <m/>
    <m/>
    <m/>
    <m/>
    <m/>
    <m/>
    <m/>
    <m/>
    <m/>
    <m/>
    <m/>
    <m/>
    <m/>
    <m/>
  </r>
  <r>
    <n v="3302"/>
    <n v="53703"/>
    <d v="2006-12-07T00:00:00"/>
    <n v="19"/>
    <x v="1"/>
    <x v="1"/>
    <d v="2024-08-29T00:00:00"/>
    <n v="1.8465753424657534"/>
    <x v="107"/>
    <x v="1"/>
    <x v="8"/>
    <x v="1"/>
    <n v="8.4700000000000006"/>
    <m/>
    <m/>
    <m/>
    <m/>
    <m/>
    <m/>
    <x v="3"/>
    <n v="2"/>
    <n v="7"/>
    <m/>
    <m/>
    <m/>
    <m/>
    <m/>
    <m/>
    <m/>
    <m/>
    <m/>
    <m/>
    <m/>
    <m/>
    <m/>
    <m/>
  </r>
  <r>
    <n v="3303"/>
    <n v="53704"/>
    <d v="2007-08-18T00:00:00"/>
    <n v="18"/>
    <x v="1"/>
    <x v="0"/>
    <d v="2024-02-26T00:00:00"/>
    <n v="1.3835616438356164"/>
    <x v="107"/>
    <x v="1"/>
    <x v="8"/>
    <x v="1"/>
    <n v="8.4700000000000006"/>
    <m/>
    <m/>
    <m/>
    <m/>
    <m/>
    <m/>
    <x v="2"/>
    <n v="2"/>
    <n v="5"/>
    <m/>
    <m/>
    <m/>
    <m/>
    <m/>
    <m/>
    <m/>
    <m/>
    <m/>
    <m/>
    <m/>
    <m/>
    <m/>
    <m/>
  </r>
  <r>
    <n v="3304"/>
    <n v="53705"/>
    <d v="2003-03-17T00:00:00"/>
    <n v="22"/>
    <x v="0"/>
    <x v="1"/>
    <d v="2024-08-13T00:00:00"/>
    <n v="1.7123287671232876"/>
    <x v="107"/>
    <x v="1"/>
    <x v="8"/>
    <x v="1"/>
    <n v="8.4700000000000006"/>
    <m/>
    <m/>
    <m/>
    <m/>
    <m/>
    <m/>
    <x v="2"/>
    <n v="4"/>
    <n v="5"/>
    <m/>
    <m/>
    <m/>
    <m/>
    <m/>
    <m/>
    <m/>
    <m/>
    <m/>
    <m/>
    <m/>
    <m/>
    <m/>
    <m/>
  </r>
  <r>
    <n v="3305"/>
    <n v="53706"/>
    <d v="2006-07-28T00:00:00"/>
    <n v="19"/>
    <x v="1"/>
    <x v="1"/>
    <d v="2024-04-15T00:00:00"/>
    <n v="1.463013698630137"/>
    <x v="107"/>
    <x v="1"/>
    <x v="8"/>
    <x v="1"/>
    <n v="8.4700000000000006"/>
    <m/>
    <m/>
    <m/>
    <m/>
    <m/>
    <m/>
    <x v="3"/>
    <n v="2"/>
    <n v="5"/>
    <m/>
    <m/>
    <m/>
    <m/>
    <m/>
    <m/>
    <m/>
    <m/>
    <m/>
    <m/>
    <m/>
    <m/>
    <m/>
    <m/>
  </r>
  <r>
    <n v="3306"/>
    <n v="53707"/>
    <d v="2002-03-21T00:00:00"/>
    <n v="23"/>
    <x v="1"/>
    <x v="1"/>
    <d v="2024-07-15T00:00:00"/>
    <n v="1.7095890410958905"/>
    <x v="134"/>
    <x v="1"/>
    <x v="8"/>
    <x v="1"/>
    <n v="8.4700000000000006"/>
    <m/>
    <m/>
    <m/>
    <m/>
    <m/>
    <m/>
    <x v="4"/>
    <n v="2"/>
    <n v="6"/>
    <m/>
    <m/>
    <m/>
    <m/>
    <m/>
    <m/>
    <m/>
    <m/>
    <m/>
    <m/>
    <m/>
    <m/>
    <m/>
    <m/>
  </r>
  <r>
    <n v="3307"/>
    <n v="53708"/>
    <d v="2006-05-05T00:00:00"/>
    <n v="19"/>
    <x v="1"/>
    <x v="0"/>
    <d v="2024-04-16T00:00:00"/>
    <n v="1.6712328767123288"/>
    <x v="134"/>
    <x v="1"/>
    <x v="8"/>
    <x v="1"/>
    <n v="8.4700000000000006"/>
    <m/>
    <m/>
    <m/>
    <m/>
    <m/>
    <m/>
    <x v="4"/>
    <n v="2"/>
    <n v="5"/>
    <m/>
    <m/>
    <m/>
    <m/>
    <m/>
    <m/>
    <m/>
    <m/>
    <m/>
    <m/>
    <m/>
    <m/>
    <m/>
    <m/>
  </r>
  <r>
    <n v="3308"/>
    <n v="53709"/>
    <d v="2005-02-19T00:00:00"/>
    <n v="20"/>
    <x v="1"/>
    <x v="0"/>
    <d v="2024-04-30T00:00:00"/>
    <n v="1.0630136986301371"/>
    <x v="134"/>
    <x v="1"/>
    <x v="8"/>
    <x v="1"/>
    <n v="8.4700000000000006"/>
    <m/>
    <m/>
    <m/>
    <m/>
    <m/>
    <m/>
    <x v="2"/>
    <n v="2"/>
    <n v="5"/>
    <m/>
    <m/>
    <m/>
    <m/>
    <m/>
    <m/>
    <m/>
    <m/>
    <m/>
    <m/>
    <m/>
    <m/>
    <m/>
    <m/>
  </r>
  <r>
    <n v="3309"/>
    <n v="53710"/>
    <d v="1999-01-23T00:00:00"/>
    <n v="26"/>
    <x v="1"/>
    <x v="1"/>
    <d v="2024-12-08T00:00:00"/>
    <n v="1.095890410958904"/>
    <x v="81"/>
    <x v="1"/>
    <x v="8"/>
    <x v="1"/>
    <n v="8.4700000000000006"/>
    <m/>
    <m/>
    <m/>
    <m/>
    <m/>
    <m/>
    <x v="1"/>
    <n v="3"/>
    <n v="5"/>
    <m/>
    <m/>
    <m/>
    <m/>
    <m/>
    <m/>
    <m/>
    <m/>
    <m/>
    <m/>
    <m/>
    <m/>
    <m/>
    <m/>
  </r>
  <r>
    <n v="3310"/>
    <n v="53711"/>
    <d v="2001-10-10T00:00:00"/>
    <n v="24"/>
    <x v="1"/>
    <x v="1"/>
    <d v="2024-11-26T00:00:00"/>
    <n v="1.4246575342465753"/>
    <x v="81"/>
    <x v="1"/>
    <x v="8"/>
    <x v="1"/>
    <n v="8.4700000000000006"/>
    <m/>
    <m/>
    <m/>
    <m/>
    <m/>
    <m/>
    <x v="1"/>
    <n v="3"/>
    <n v="7"/>
    <m/>
    <m/>
    <m/>
    <m/>
    <m/>
    <m/>
    <m/>
    <m/>
    <m/>
    <m/>
    <m/>
    <m/>
    <m/>
    <m/>
  </r>
  <r>
    <n v="3311"/>
    <n v="53712"/>
    <d v="2001-12-05T00:00:00"/>
    <n v="24"/>
    <x v="1"/>
    <x v="1"/>
    <d v="2024-07-29T00:00:00"/>
    <n v="1.2301369863013698"/>
    <x v="100"/>
    <x v="1"/>
    <x v="8"/>
    <x v="1"/>
    <n v="8.4700000000000006"/>
    <m/>
    <m/>
    <m/>
    <m/>
    <m/>
    <m/>
    <x v="2"/>
    <n v="1"/>
    <n v="6"/>
    <m/>
    <m/>
    <m/>
    <m/>
    <m/>
    <m/>
    <m/>
    <m/>
    <m/>
    <m/>
    <m/>
    <m/>
    <m/>
    <m/>
  </r>
  <r>
    <n v="3312"/>
    <n v="53713"/>
    <d v="2006-10-27T00:00:00"/>
    <n v="19"/>
    <x v="1"/>
    <x v="1"/>
    <d v="2024-10-08T00:00:00"/>
    <n v="1.3534246575342466"/>
    <x v="96"/>
    <x v="1"/>
    <x v="8"/>
    <x v="1"/>
    <n v="8.4700000000000006"/>
    <m/>
    <m/>
    <m/>
    <m/>
    <m/>
    <m/>
    <x v="1"/>
    <n v="4"/>
    <n v="7"/>
    <m/>
    <m/>
    <m/>
    <m/>
    <m/>
    <m/>
    <m/>
    <m/>
    <m/>
    <m/>
    <m/>
    <m/>
    <m/>
    <m/>
  </r>
  <r>
    <n v="3313"/>
    <n v="53714"/>
    <d v="1999-03-13T00:00:00"/>
    <n v="26"/>
    <x v="1"/>
    <x v="1"/>
    <d v="2024-08-24T00:00:00"/>
    <n v="1.5945205479452054"/>
    <x v="110"/>
    <x v="1"/>
    <x v="8"/>
    <x v="1"/>
    <n v="8.4700000000000006"/>
    <m/>
    <m/>
    <m/>
    <m/>
    <m/>
    <m/>
    <x v="1"/>
    <n v="3"/>
    <n v="6"/>
    <m/>
    <m/>
    <m/>
    <m/>
    <m/>
    <m/>
    <m/>
    <m/>
    <m/>
    <m/>
    <m/>
    <m/>
    <m/>
    <m/>
  </r>
  <r>
    <n v="3314"/>
    <n v="53715"/>
    <d v="2004-01-27T00:00:00"/>
    <n v="21"/>
    <x v="1"/>
    <x v="1"/>
    <d v="2024-05-28T00:00:00"/>
    <n v="1.4712328767123288"/>
    <x v="110"/>
    <x v="1"/>
    <x v="8"/>
    <x v="1"/>
    <n v="8.4700000000000006"/>
    <m/>
    <m/>
    <m/>
    <m/>
    <m/>
    <m/>
    <x v="4"/>
    <n v="2"/>
    <n v="6"/>
    <m/>
    <m/>
    <m/>
    <m/>
    <m/>
    <m/>
    <m/>
    <m/>
    <m/>
    <m/>
    <m/>
    <m/>
    <m/>
    <m/>
  </r>
  <r>
    <n v="3315"/>
    <n v="53716"/>
    <d v="2007-08-16T00:00:00"/>
    <n v="18"/>
    <x v="1"/>
    <x v="0"/>
    <d v="2024-07-12T00:00:00"/>
    <n v="1.7397260273972603"/>
    <x v="84"/>
    <x v="1"/>
    <x v="8"/>
    <x v="1"/>
    <n v="8.4700000000000006"/>
    <m/>
    <m/>
    <m/>
    <m/>
    <m/>
    <m/>
    <x v="1"/>
    <n v="1"/>
    <n v="6"/>
    <m/>
    <m/>
    <m/>
    <m/>
    <m/>
    <m/>
    <m/>
    <m/>
    <m/>
    <m/>
    <m/>
    <m/>
    <m/>
    <m/>
  </r>
  <r>
    <n v="3316"/>
    <n v="53717"/>
    <d v="2003-06-15T00:00:00"/>
    <n v="22"/>
    <x v="1"/>
    <x v="1"/>
    <d v="2024-04-05T00:00:00"/>
    <n v="1.4"/>
    <x v="84"/>
    <x v="1"/>
    <x v="8"/>
    <x v="1"/>
    <n v="8.4700000000000006"/>
    <m/>
    <m/>
    <m/>
    <m/>
    <m/>
    <m/>
    <x v="4"/>
    <n v="2"/>
    <n v="5"/>
    <m/>
    <m/>
    <m/>
    <m/>
    <m/>
    <m/>
    <m/>
    <m/>
    <m/>
    <m/>
    <m/>
    <m/>
    <m/>
    <m/>
  </r>
  <r>
    <n v="3317"/>
    <n v="53718"/>
    <d v="2002-04-01T00:00:00"/>
    <n v="24"/>
    <x v="1"/>
    <x v="1"/>
    <d v="2024-08-07T00:00:00"/>
    <n v="1.6"/>
    <x v="101"/>
    <x v="1"/>
    <x v="11"/>
    <x v="1"/>
    <n v="17"/>
    <m/>
    <m/>
    <m/>
    <m/>
    <m/>
    <m/>
    <x v="4"/>
    <n v="2"/>
    <n v="7"/>
    <m/>
    <m/>
    <m/>
    <m/>
    <m/>
    <m/>
    <m/>
    <m/>
    <m/>
    <m/>
    <m/>
    <m/>
    <m/>
    <m/>
  </r>
  <r>
    <n v="3318"/>
    <n v="53719"/>
    <d v="2005-11-09T00:00:00"/>
    <n v="20"/>
    <x v="1"/>
    <x v="0"/>
    <d v="2024-05-26T00:00:00"/>
    <n v="1.7698630136986302"/>
    <x v="86"/>
    <x v="1"/>
    <x v="8"/>
    <x v="1"/>
    <n v="8.4700000000000006"/>
    <m/>
    <m/>
    <m/>
    <m/>
    <m/>
    <m/>
    <x v="4"/>
    <n v="4"/>
    <n v="5"/>
    <m/>
    <m/>
    <m/>
    <m/>
    <m/>
    <m/>
    <m/>
    <m/>
    <m/>
    <m/>
    <m/>
    <m/>
    <m/>
    <m/>
  </r>
  <r>
    <n v="3319"/>
    <n v="53720"/>
    <d v="2004-03-26T00:00:00"/>
    <n v="21"/>
    <x v="1"/>
    <x v="1"/>
    <d v="2024-03-25T00:00:00"/>
    <n v="1.7945205479452055"/>
    <x v="86"/>
    <x v="1"/>
    <x v="8"/>
    <x v="1"/>
    <n v="8.4700000000000006"/>
    <m/>
    <m/>
    <m/>
    <m/>
    <m/>
    <m/>
    <x v="1"/>
    <n v="2"/>
    <n v="6"/>
    <m/>
    <m/>
    <m/>
    <m/>
    <m/>
    <m/>
    <m/>
    <m/>
    <m/>
    <m/>
    <m/>
    <m/>
    <m/>
    <m/>
  </r>
  <r>
    <n v="3320"/>
    <n v="53721"/>
    <d v="1998-02-03T00:00:00"/>
    <n v="27"/>
    <x v="1"/>
    <x v="1"/>
    <d v="2024-03-16T00:00:00"/>
    <n v="1.6383561643835616"/>
    <x v="112"/>
    <x v="1"/>
    <x v="8"/>
    <x v="1"/>
    <n v="8.4700000000000006"/>
    <m/>
    <m/>
    <m/>
    <m/>
    <m/>
    <m/>
    <x v="4"/>
    <n v="2"/>
    <n v="7"/>
    <m/>
    <m/>
    <m/>
    <m/>
    <m/>
    <m/>
    <m/>
    <m/>
    <m/>
    <m/>
    <m/>
    <m/>
    <m/>
    <m/>
  </r>
  <r>
    <n v="3321"/>
    <n v="53722"/>
    <d v="2005-08-28T00:00:00"/>
    <n v="20"/>
    <x v="1"/>
    <x v="0"/>
    <d v="2024-05-12T00:00:00"/>
    <n v="1.2410958904109588"/>
    <x v="112"/>
    <x v="1"/>
    <x v="8"/>
    <x v="1"/>
    <n v="8.4700000000000006"/>
    <m/>
    <m/>
    <m/>
    <m/>
    <m/>
    <m/>
    <x v="3"/>
    <n v="2"/>
    <n v="6"/>
    <m/>
    <m/>
    <m/>
    <m/>
    <m/>
    <m/>
    <m/>
    <m/>
    <m/>
    <m/>
    <m/>
    <m/>
    <m/>
    <m/>
  </r>
  <r>
    <n v="3322"/>
    <n v="53723"/>
    <d v="2003-08-20T00:00:00"/>
    <n v="22"/>
    <x v="0"/>
    <x v="1"/>
    <d v="2024-10-04T00:00:00"/>
    <n v="1.3397260273972602"/>
    <x v="98"/>
    <x v="1"/>
    <x v="8"/>
    <x v="1"/>
    <n v="8.4700000000000006"/>
    <m/>
    <m/>
    <m/>
    <m/>
    <m/>
    <m/>
    <x v="4"/>
    <n v="4"/>
    <n v="4"/>
    <m/>
    <m/>
    <m/>
    <m/>
    <m/>
    <m/>
    <m/>
    <m/>
    <m/>
    <m/>
    <m/>
    <m/>
    <m/>
    <m/>
  </r>
  <r>
    <n v="3323"/>
    <n v="53724"/>
    <d v="2005-11-29T00:00:00"/>
    <n v="20"/>
    <x v="1"/>
    <x v="0"/>
    <d v="2024-08-29T00:00:00"/>
    <n v="1.4191780821917808"/>
    <x v="92"/>
    <x v="1"/>
    <x v="3"/>
    <x v="1"/>
    <n v="8.4700000000000006"/>
    <m/>
    <m/>
    <m/>
    <m/>
    <m/>
    <m/>
    <x v="4"/>
    <n v="2"/>
    <n v="4"/>
    <m/>
    <m/>
    <m/>
    <m/>
    <m/>
    <m/>
    <m/>
    <m/>
    <m/>
    <m/>
    <m/>
    <m/>
    <m/>
    <m/>
  </r>
  <r>
    <n v="3324"/>
    <n v="53725"/>
    <d v="2007-06-25T00:00:00"/>
    <n v="18"/>
    <x v="1"/>
    <x v="1"/>
    <d v="2024-07-31T00:00:00"/>
    <n v="1.5397260273972602"/>
    <x v="92"/>
    <x v="1"/>
    <x v="8"/>
    <x v="1"/>
    <n v="8.4700000000000006"/>
    <m/>
    <m/>
    <m/>
    <m/>
    <m/>
    <m/>
    <x v="4"/>
    <n v="0"/>
    <n v="6"/>
    <m/>
    <m/>
    <m/>
    <m/>
    <m/>
    <m/>
    <m/>
    <m/>
    <m/>
    <m/>
    <m/>
    <m/>
    <m/>
    <m/>
  </r>
  <r>
    <n v="3325"/>
    <n v="53726"/>
    <d v="1995-04-29T00:00:00"/>
    <n v="30"/>
    <x v="1"/>
    <x v="0"/>
    <d v="2024-06-17T00:00:00"/>
    <n v="1.284931506849315"/>
    <x v="128"/>
    <x v="1"/>
    <x v="8"/>
    <x v="1"/>
    <n v="8.4700000000000006"/>
    <m/>
    <m/>
    <m/>
    <m/>
    <m/>
    <m/>
    <x v="2"/>
    <n v="1"/>
    <n v="6"/>
    <m/>
    <m/>
    <m/>
    <m/>
    <m/>
    <m/>
    <m/>
    <m/>
    <m/>
    <m/>
    <m/>
    <m/>
    <m/>
    <m/>
  </r>
  <r>
    <n v="3326"/>
    <n v="53727"/>
    <d v="2002-12-30T00:00:00"/>
    <n v="23"/>
    <x v="1"/>
    <x v="1"/>
    <d v="2024-09-18T00:00:00"/>
    <n v="1.4328767123287671"/>
    <x v="116"/>
    <x v="1"/>
    <x v="11"/>
    <x v="1"/>
    <n v="17"/>
    <m/>
    <m/>
    <m/>
    <m/>
    <m/>
    <m/>
    <x v="1"/>
    <n v="4"/>
    <n v="7"/>
    <m/>
    <m/>
    <m/>
    <m/>
    <m/>
    <m/>
    <m/>
    <m/>
    <m/>
    <m/>
    <m/>
    <m/>
    <m/>
    <m/>
  </r>
  <r>
    <n v="3327"/>
    <n v="53728"/>
    <d v="2006-09-23T00:00:00"/>
    <n v="19"/>
    <x v="1"/>
    <x v="1"/>
    <d v="2024-07-26T00:00:00"/>
    <n v="1.7643835616438357"/>
    <x v="116"/>
    <x v="1"/>
    <x v="8"/>
    <x v="1"/>
    <n v="8.4700000000000006"/>
    <m/>
    <m/>
    <m/>
    <m/>
    <m/>
    <m/>
    <x v="1"/>
    <n v="2"/>
    <n v="7"/>
    <m/>
    <m/>
    <m/>
    <m/>
    <m/>
    <m/>
    <m/>
    <m/>
    <m/>
    <m/>
    <m/>
    <m/>
    <m/>
    <m/>
  </r>
  <r>
    <n v="3328"/>
    <n v="53730"/>
    <d v="2007-04-03T00:00:00"/>
    <n v="18"/>
    <x v="1"/>
    <x v="0"/>
    <d v="2024-03-27T00:00:00"/>
    <n v="1.4657534246575343"/>
    <x v="116"/>
    <x v="1"/>
    <x v="8"/>
    <x v="1"/>
    <n v="8.4700000000000006"/>
    <m/>
    <m/>
    <m/>
    <m/>
    <m/>
    <m/>
    <x v="1"/>
    <n v="2"/>
    <n v="7"/>
    <m/>
    <m/>
    <m/>
    <m/>
    <m/>
    <m/>
    <m/>
    <m/>
    <m/>
    <m/>
    <m/>
    <m/>
    <m/>
    <m/>
  </r>
  <r>
    <n v="3329"/>
    <n v="53731"/>
    <d v="2002-05-10T00:00:00"/>
    <n v="23"/>
    <x v="1"/>
    <x v="1"/>
    <d v="2024-07-14T00:00:00"/>
    <n v="1.6876712328767123"/>
    <x v="5"/>
    <x v="0"/>
    <x v="7"/>
    <x v="1"/>
    <n v="17.59"/>
    <m/>
    <m/>
    <m/>
    <m/>
    <m/>
    <m/>
    <x v="2"/>
    <n v="3"/>
    <n v="6"/>
    <m/>
    <m/>
    <m/>
    <m/>
    <m/>
    <m/>
    <m/>
    <m/>
    <m/>
    <m/>
    <m/>
    <m/>
    <m/>
    <m/>
  </r>
  <r>
    <n v="3330"/>
    <n v="53732"/>
    <d v="2007-07-27T00:00:00"/>
    <n v="18"/>
    <x v="1"/>
    <x v="1"/>
    <d v="2024-04-24T00:00:00"/>
    <n v="1.0273972602739727"/>
    <x v="11"/>
    <x v="0"/>
    <x v="3"/>
    <x v="1"/>
    <n v="8.4700000000000006"/>
    <m/>
    <m/>
    <m/>
    <m/>
    <m/>
    <m/>
    <x v="2"/>
    <n v="0"/>
    <n v="6"/>
    <m/>
    <m/>
    <m/>
    <m/>
    <m/>
    <m/>
    <m/>
    <m/>
    <m/>
    <m/>
    <m/>
    <m/>
    <m/>
    <m/>
  </r>
  <r>
    <n v="3331"/>
    <n v="53733"/>
    <d v="2006-12-01T00:00:00"/>
    <n v="20"/>
    <x v="1"/>
    <x v="1"/>
    <d v="2024-12-21T00:00:00"/>
    <n v="1.3397260273972602"/>
    <x v="13"/>
    <x v="0"/>
    <x v="3"/>
    <x v="1"/>
    <n v="8.4700000000000006"/>
    <m/>
    <m/>
    <m/>
    <m/>
    <m/>
    <m/>
    <x v="3"/>
    <n v="2"/>
    <n v="5"/>
    <m/>
    <m/>
    <m/>
    <m/>
    <m/>
    <m/>
    <m/>
    <m/>
    <m/>
    <m/>
    <m/>
    <m/>
    <m/>
    <m/>
  </r>
  <r>
    <n v="3332"/>
    <n v="53734"/>
    <d v="2006-02-10T00:00:00"/>
    <n v="19"/>
    <x v="1"/>
    <x v="0"/>
    <d v="2024-08-29T00:00:00"/>
    <n v="1.189041095890411"/>
    <x v="14"/>
    <x v="0"/>
    <x v="3"/>
    <x v="1"/>
    <n v="17.899999999999999"/>
    <m/>
    <m/>
    <m/>
    <m/>
    <m/>
    <m/>
    <x v="4"/>
    <n v="0"/>
    <n v="5"/>
    <m/>
    <m/>
    <m/>
    <m/>
    <m/>
    <m/>
    <m/>
    <m/>
    <m/>
    <m/>
    <m/>
    <m/>
    <m/>
    <m/>
  </r>
  <r>
    <n v="3333"/>
    <n v="53735"/>
    <d v="2001-07-04T00:00:00"/>
    <n v="24"/>
    <x v="1"/>
    <x v="0"/>
    <d v="2024-10-23T00:00:00"/>
    <n v="1.0630136986301371"/>
    <x v="35"/>
    <x v="0"/>
    <x v="7"/>
    <x v="1"/>
    <n v="17.59"/>
    <m/>
    <m/>
    <m/>
    <m/>
    <m/>
    <m/>
    <x v="2"/>
    <n v="1"/>
    <n v="6"/>
    <m/>
    <m/>
    <m/>
    <m/>
    <m/>
    <m/>
    <m/>
    <m/>
    <m/>
    <m/>
    <m/>
    <m/>
    <m/>
    <m/>
  </r>
  <r>
    <n v="3334"/>
    <n v="53736"/>
    <d v="2004-04-20T00:00:00"/>
    <n v="21"/>
    <x v="1"/>
    <x v="1"/>
    <d v="2024-12-08T00:00:00"/>
    <n v="1.0767123287671232"/>
    <x v="35"/>
    <x v="0"/>
    <x v="8"/>
    <x v="1"/>
    <n v="8.4700000000000006"/>
    <m/>
    <m/>
    <m/>
    <m/>
    <m/>
    <m/>
    <x v="2"/>
    <n v="0"/>
    <n v="7"/>
    <m/>
    <m/>
    <m/>
    <m/>
    <m/>
    <m/>
    <m/>
    <m/>
    <m/>
    <m/>
    <m/>
    <m/>
    <m/>
    <m/>
  </r>
  <r>
    <n v="3335"/>
    <n v="53737"/>
    <d v="1997-08-06T00:00:00"/>
    <n v="28"/>
    <x v="0"/>
    <x v="1"/>
    <d v="2024-12-03T00:00:00"/>
    <n v="1.6356164383561644"/>
    <x v="37"/>
    <x v="0"/>
    <x v="7"/>
    <x v="1"/>
    <n v="17.59"/>
    <m/>
    <m/>
    <m/>
    <m/>
    <m/>
    <m/>
    <x v="1"/>
    <n v="2"/>
    <n v="4"/>
    <m/>
    <m/>
    <m/>
    <m/>
    <m/>
    <m/>
    <m/>
    <m/>
    <m/>
    <m/>
    <m/>
    <m/>
    <m/>
    <m/>
  </r>
  <r>
    <n v="3336"/>
    <n v="53738"/>
    <d v="2005-02-26T00:00:00"/>
    <n v="20"/>
    <x v="1"/>
    <x v="0"/>
    <d v="2024-05-13T00:00:00"/>
    <n v="1.2410958904109588"/>
    <x v="38"/>
    <x v="0"/>
    <x v="3"/>
    <x v="1"/>
    <n v="8.4700000000000006"/>
    <m/>
    <m/>
    <m/>
    <m/>
    <m/>
    <m/>
    <x v="4"/>
    <n v="1"/>
    <n v="6"/>
    <m/>
    <m/>
    <m/>
    <m/>
    <m/>
    <m/>
    <m/>
    <m/>
    <m/>
    <m/>
    <m/>
    <m/>
    <m/>
    <m/>
  </r>
  <r>
    <n v="3337"/>
    <n v="53739"/>
    <d v="2004-10-13T00:00:00"/>
    <n v="21"/>
    <x v="1"/>
    <x v="1"/>
    <d v="2024-10-04T00:00:00"/>
    <n v="1.3260273972602741"/>
    <x v="43"/>
    <x v="1"/>
    <x v="3"/>
    <x v="1"/>
    <n v="8.4700000000000006"/>
    <m/>
    <m/>
    <m/>
    <m/>
    <m/>
    <m/>
    <x v="1"/>
    <n v="2"/>
    <n v="5"/>
    <m/>
    <m/>
    <m/>
    <m/>
    <m/>
    <m/>
    <m/>
    <m/>
    <m/>
    <m/>
    <m/>
    <m/>
    <m/>
    <m/>
  </r>
  <r>
    <n v="3338"/>
    <n v="53740"/>
    <d v="1998-12-02T00:00:00"/>
    <n v="27"/>
    <x v="1"/>
    <x v="1"/>
    <d v="2024-09-03T00:00:00"/>
    <n v="1.1452054794520548"/>
    <x v="105"/>
    <x v="1"/>
    <x v="7"/>
    <x v="1"/>
    <n v="17.59"/>
    <m/>
    <m/>
    <m/>
    <m/>
    <m/>
    <m/>
    <x v="1"/>
    <n v="1"/>
    <n v="5"/>
    <m/>
    <m/>
    <m/>
    <m/>
    <m/>
    <m/>
    <m/>
    <m/>
    <m/>
    <m/>
    <m/>
    <m/>
    <m/>
    <m/>
  </r>
  <r>
    <n v="3339"/>
    <n v="53741"/>
    <d v="1999-06-20T00:00:00"/>
    <n v="26"/>
    <x v="0"/>
    <x v="1"/>
    <d v="2024-11-08T00:00:00"/>
    <n v="1.0301369863013699"/>
    <x v="68"/>
    <x v="1"/>
    <x v="7"/>
    <x v="1"/>
    <n v="17.59"/>
    <m/>
    <m/>
    <m/>
    <m/>
    <m/>
    <m/>
    <x v="1"/>
    <n v="2"/>
    <n v="5"/>
    <m/>
    <m/>
    <m/>
    <m/>
    <m/>
    <m/>
    <m/>
    <m/>
    <m/>
    <m/>
    <m/>
    <m/>
    <m/>
    <m/>
  </r>
  <r>
    <n v="3340"/>
    <n v="53742"/>
    <d v="2005-12-02T00:00:00"/>
    <n v="20"/>
    <x v="0"/>
    <x v="0"/>
    <d v="2024-12-20T00:00:00"/>
    <n v="1.0410958904109588"/>
    <x v="3"/>
    <x v="0"/>
    <x v="10"/>
    <x v="1"/>
    <n v="10.64"/>
    <m/>
    <m/>
    <m/>
    <m/>
    <m/>
    <m/>
    <x v="2"/>
    <n v="0"/>
    <n v="4"/>
    <m/>
    <m/>
    <m/>
    <m/>
    <m/>
    <m/>
    <m/>
    <m/>
    <m/>
    <m/>
    <m/>
    <m/>
    <m/>
    <m/>
  </r>
  <r>
    <n v="3341"/>
    <n v="53743"/>
    <d v="2004-10-30T00:00:00"/>
    <n v="21"/>
    <x v="1"/>
    <x v="1"/>
    <d v="2024-12-16T00:00:00"/>
    <n v="1.6054794520547946"/>
    <x v="27"/>
    <x v="0"/>
    <x v="3"/>
    <x v="1"/>
    <n v="8.4700000000000006"/>
    <m/>
    <m/>
    <m/>
    <m/>
    <m/>
    <m/>
    <x v="1"/>
    <n v="4"/>
    <n v="7"/>
    <m/>
    <m/>
    <m/>
    <m/>
    <m/>
    <m/>
    <m/>
    <m/>
    <m/>
    <m/>
    <m/>
    <m/>
    <m/>
    <m/>
  </r>
  <r>
    <n v="3342"/>
    <n v="53744"/>
    <d v="1995-07-21T00:00:00"/>
    <n v="30"/>
    <x v="0"/>
    <x v="1"/>
    <d v="2024-05-24T00:00:00"/>
    <n v="1.7808219178082192"/>
    <x v="27"/>
    <x v="0"/>
    <x v="6"/>
    <x v="1"/>
    <n v="23.78"/>
    <m/>
    <m/>
    <m/>
    <m/>
    <m/>
    <m/>
    <x v="2"/>
    <n v="5"/>
    <n v="5"/>
    <m/>
    <m/>
    <m/>
    <m/>
    <m/>
    <m/>
    <m/>
    <m/>
    <m/>
    <m/>
    <m/>
    <m/>
    <m/>
    <m/>
  </r>
  <r>
    <n v="3343"/>
    <n v="53745"/>
    <d v="2001-03-05T00:00:00"/>
    <n v="24"/>
    <x v="0"/>
    <x v="1"/>
    <d v="2024-03-21T00:00:00"/>
    <n v="1.789041095890411"/>
    <x v="52"/>
    <x v="0"/>
    <x v="2"/>
    <x v="1"/>
    <n v="14.23"/>
    <m/>
    <m/>
    <m/>
    <m/>
    <m/>
    <m/>
    <x v="4"/>
    <n v="1"/>
    <n v="4"/>
    <m/>
    <m/>
    <m/>
    <m/>
    <m/>
    <m/>
    <m/>
    <m/>
    <m/>
    <m/>
    <m/>
    <m/>
    <m/>
    <m/>
  </r>
  <r>
    <n v="3344"/>
    <n v="53746"/>
    <d v="2006-12-21T00:00:00"/>
    <n v="19"/>
    <x v="0"/>
    <x v="0"/>
    <d v="2024-03-18T00:00:00"/>
    <n v="1.7205479452054795"/>
    <x v="78"/>
    <x v="0"/>
    <x v="1"/>
    <x v="1"/>
    <n v="16.37"/>
    <m/>
    <m/>
    <m/>
    <m/>
    <m/>
    <m/>
    <x v="1"/>
    <n v="0"/>
    <n v="3"/>
    <m/>
    <m/>
    <m/>
    <m/>
    <m/>
    <m/>
    <m/>
    <m/>
    <m/>
    <m/>
    <m/>
    <m/>
    <m/>
    <m/>
  </r>
  <r>
    <n v="3345"/>
    <n v="53747"/>
    <d v="1999-11-27T00:00:00"/>
    <n v="26"/>
    <x v="1"/>
    <x v="1"/>
    <d v="2024-04-12T00:00:00"/>
    <n v="1.6520547945205479"/>
    <x v="41"/>
    <x v="0"/>
    <x v="10"/>
    <x v="1"/>
    <n v="10.64"/>
    <m/>
    <m/>
    <m/>
    <m/>
    <m/>
    <m/>
    <x v="1"/>
    <n v="0"/>
    <n v="6"/>
    <m/>
    <m/>
    <m/>
    <m/>
    <m/>
    <m/>
    <m/>
    <m/>
    <m/>
    <m/>
    <m/>
    <m/>
    <m/>
    <m/>
  </r>
  <r>
    <n v="3346"/>
    <n v="53748"/>
    <d v="1999-04-15T00:00:00"/>
    <n v="26"/>
    <x v="1"/>
    <x v="1"/>
    <d v="2024-05-07T00:00:00"/>
    <n v="1.2136986301369863"/>
    <x v="44"/>
    <x v="1"/>
    <x v="7"/>
    <x v="1"/>
    <n v="17.59"/>
    <m/>
    <m/>
    <m/>
    <m/>
    <m/>
    <m/>
    <x v="2"/>
    <n v="2"/>
    <n v="5"/>
    <m/>
    <m/>
    <m/>
    <m/>
    <m/>
    <m/>
    <m/>
    <m/>
    <m/>
    <m/>
    <m/>
    <m/>
    <m/>
    <m/>
  </r>
  <r>
    <n v="3347"/>
    <n v="53749"/>
    <d v="1992-04-27T00:00:00"/>
    <n v="33"/>
    <x v="1"/>
    <x v="1"/>
    <d v="2024-10-14T00:00:00"/>
    <n v="1.0821917808219179"/>
    <x v="115"/>
    <x v="1"/>
    <x v="3"/>
    <x v="1"/>
    <n v="8.4700000000000006"/>
    <m/>
    <m/>
    <m/>
    <m/>
    <m/>
    <m/>
    <x v="1"/>
    <n v="1"/>
    <n v="5"/>
    <m/>
    <m/>
    <m/>
    <m/>
    <m/>
    <m/>
    <m/>
    <m/>
    <m/>
    <m/>
    <m/>
    <m/>
    <m/>
    <m/>
  </r>
  <r>
    <n v="3348"/>
    <n v="53750"/>
    <d v="2004-02-18T00:00:00"/>
    <n v="21"/>
    <x v="0"/>
    <x v="1"/>
    <d v="2024-12-01T00:00:00"/>
    <n v="1.9561643835616438"/>
    <x v="76"/>
    <x v="1"/>
    <x v="1"/>
    <x v="1"/>
    <n v="16.37"/>
    <m/>
    <m/>
    <m/>
    <m/>
    <m/>
    <m/>
    <x v="3"/>
    <n v="1"/>
    <n v="5"/>
    <m/>
    <m/>
    <m/>
    <m/>
    <m/>
    <m/>
    <m/>
    <m/>
    <m/>
    <m/>
    <m/>
    <m/>
    <m/>
    <m/>
  </r>
  <r>
    <n v="3349"/>
    <n v="53751"/>
    <d v="2003-09-10T00:00:00"/>
    <n v="22"/>
    <x v="1"/>
    <x v="1"/>
    <d v="2024-01-17T00:00:00"/>
    <n v="1.095890410958904"/>
    <x v="3"/>
    <x v="0"/>
    <x v="3"/>
    <x v="1"/>
    <n v="8.4700000000000006"/>
    <m/>
    <m/>
    <m/>
    <m/>
    <m/>
    <m/>
    <x v="2"/>
    <n v="2"/>
    <n v="7"/>
    <m/>
    <m/>
    <m/>
    <m/>
    <m/>
    <m/>
    <m/>
    <m/>
    <m/>
    <m/>
    <m/>
    <m/>
    <m/>
    <m/>
  </r>
  <r>
    <n v="3350"/>
    <n v="53752"/>
    <d v="2002-02-01T00:00:00"/>
    <n v="24"/>
    <x v="0"/>
    <x v="0"/>
    <d v="2024-11-26T00:00:00"/>
    <n v="1.2794520547945205"/>
    <x v="24"/>
    <x v="0"/>
    <x v="7"/>
    <x v="1"/>
    <n v="17.59"/>
    <m/>
    <m/>
    <m/>
    <m/>
    <m/>
    <m/>
    <x v="1"/>
    <n v="1"/>
    <n v="5"/>
    <m/>
    <m/>
    <m/>
    <m/>
    <m/>
    <m/>
    <m/>
    <m/>
    <m/>
    <m/>
    <m/>
    <m/>
    <m/>
    <m/>
  </r>
  <r>
    <n v="3351"/>
    <n v="53753"/>
    <d v="2006-07-09T00:00:00"/>
    <n v="19"/>
    <x v="1"/>
    <x v="1"/>
    <d v="2024-09-20T00:00:00"/>
    <n v="1.1150684931506849"/>
    <x v="67"/>
    <x v="0"/>
    <x v="3"/>
    <x v="1"/>
    <n v="8.4700000000000006"/>
    <m/>
    <m/>
    <m/>
    <m/>
    <m/>
    <m/>
    <x v="1"/>
    <n v="0"/>
    <n v="5"/>
    <m/>
    <m/>
    <m/>
    <m/>
    <m/>
    <m/>
    <m/>
    <m/>
    <m/>
    <m/>
    <m/>
    <m/>
    <m/>
    <m/>
  </r>
  <r>
    <n v="3352"/>
    <n v="53754"/>
    <d v="1998-11-26T00:00:00"/>
    <n v="27"/>
    <x v="0"/>
    <x v="1"/>
    <d v="2024-11-19T00:00:00"/>
    <n v="1.0876712328767124"/>
    <x v="38"/>
    <x v="0"/>
    <x v="7"/>
    <x v="1"/>
    <n v="17.59"/>
    <m/>
    <m/>
    <m/>
    <m/>
    <m/>
    <m/>
    <x v="2"/>
    <n v="3"/>
    <n v="4"/>
    <m/>
    <m/>
    <m/>
    <m/>
    <m/>
    <m/>
    <m/>
    <m/>
    <m/>
    <m/>
    <m/>
    <m/>
    <m/>
    <m/>
  </r>
  <r>
    <n v="3353"/>
    <n v="53755"/>
    <d v="1999-09-04T00:00:00"/>
    <n v="26"/>
    <x v="1"/>
    <x v="1"/>
    <d v="2024-11-29T00:00:00"/>
    <n v="1.6027397260273972"/>
    <x v="114"/>
    <x v="1"/>
    <x v="2"/>
    <x v="1"/>
    <n v="14.23"/>
    <m/>
    <m/>
    <m/>
    <m/>
    <m/>
    <m/>
    <x v="4"/>
    <n v="0"/>
    <n v="5"/>
    <m/>
    <m/>
    <m/>
    <m/>
    <m/>
    <m/>
    <m/>
    <m/>
    <m/>
    <m/>
    <m/>
    <m/>
    <m/>
    <m/>
  </r>
  <r>
    <n v="3354"/>
    <n v="53756"/>
    <d v="2001-11-01T00:00:00"/>
    <n v="25"/>
    <x v="0"/>
    <x v="0"/>
    <d v="2024-05-25T00:00:00"/>
    <n v="1.4328767123287671"/>
    <x v="14"/>
    <x v="0"/>
    <x v="7"/>
    <x v="1"/>
    <n v="17.59"/>
    <m/>
    <m/>
    <m/>
    <m/>
    <m/>
    <m/>
    <x v="1"/>
    <n v="3"/>
    <n v="5"/>
    <m/>
    <m/>
    <m/>
    <m/>
    <m/>
    <m/>
    <m/>
    <m/>
    <m/>
    <m/>
    <m/>
    <m/>
    <m/>
    <m/>
  </r>
  <r>
    <n v="3355"/>
    <n v="53757"/>
    <d v="1999-03-11T00:00:00"/>
    <n v="26"/>
    <x v="0"/>
    <x v="1"/>
    <d v="2024-07-26T00:00:00"/>
    <n v="1.3726027397260274"/>
    <x v="14"/>
    <x v="0"/>
    <x v="7"/>
    <x v="1"/>
    <n v="17.59"/>
    <m/>
    <m/>
    <m/>
    <m/>
    <m/>
    <m/>
    <x v="3"/>
    <n v="2"/>
    <n v="5"/>
    <m/>
    <m/>
    <m/>
    <m/>
    <m/>
    <m/>
    <m/>
    <m/>
    <m/>
    <m/>
    <m/>
    <m/>
    <m/>
    <m/>
  </r>
  <r>
    <n v="3356"/>
    <n v="53758"/>
    <d v="2007-12-10T00:00:00"/>
    <n v="18"/>
    <x v="1"/>
    <x v="1"/>
    <d v="2024-08-17T00:00:00"/>
    <n v="1.1945205479452055"/>
    <x v="18"/>
    <x v="0"/>
    <x v="8"/>
    <x v="1"/>
    <n v="8.4700000000000006"/>
    <m/>
    <m/>
    <m/>
    <m/>
    <m/>
    <m/>
    <x v="3"/>
    <n v="1"/>
    <n v="5"/>
    <m/>
    <m/>
    <m/>
    <m/>
    <m/>
    <m/>
    <m/>
    <m/>
    <m/>
    <m/>
    <m/>
    <m/>
    <m/>
    <m/>
  </r>
  <r>
    <n v="3357"/>
    <n v="53759"/>
    <d v="2001-12-01T00:00:00"/>
    <n v="25"/>
    <x v="0"/>
    <x v="0"/>
    <d v="2024-10-21T00:00:00"/>
    <n v="1.6027397260273972"/>
    <x v="27"/>
    <x v="0"/>
    <x v="10"/>
    <x v="1"/>
    <n v="10.64"/>
    <m/>
    <m/>
    <m/>
    <m/>
    <m/>
    <m/>
    <x v="1"/>
    <n v="1"/>
    <n v="4"/>
    <m/>
    <m/>
    <m/>
    <m/>
    <m/>
    <m/>
    <m/>
    <m/>
    <m/>
    <m/>
    <m/>
    <m/>
    <m/>
    <m/>
  </r>
  <r>
    <n v="3358"/>
    <n v="53760"/>
    <d v="2001-05-14T00:00:00"/>
    <n v="24"/>
    <x v="1"/>
    <x v="1"/>
    <d v="2024-05-25T00:00:00"/>
    <n v="1.526027397260274"/>
    <x v="27"/>
    <x v="0"/>
    <x v="7"/>
    <x v="1"/>
    <n v="17.59"/>
    <m/>
    <m/>
    <m/>
    <m/>
    <m/>
    <m/>
    <x v="2"/>
    <n v="3"/>
    <n v="5"/>
    <m/>
    <m/>
    <m/>
    <m/>
    <m/>
    <m/>
    <m/>
    <m/>
    <m/>
    <m/>
    <m/>
    <m/>
    <m/>
    <m/>
  </r>
  <r>
    <n v="3359"/>
    <n v="53761"/>
    <d v="2005-02-03T00:00:00"/>
    <n v="20"/>
    <x v="0"/>
    <x v="1"/>
    <d v="2024-06-22T00:00:00"/>
    <n v="1.5698630136986302"/>
    <x v="23"/>
    <x v="0"/>
    <x v="10"/>
    <x v="1"/>
    <n v="10.64"/>
    <m/>
    <m/>
    <m/>
    <m/>
    <m/>
    <m/>
    <x v="4"/>
    <n v="1"/>
    <n v="4"/>
    <m/>
    <m/>
    <m/>
    <m/>
    <m/>
    <m/>
    <m/>
    <m/>
    <m/>
    <m/>
    <m/>
    <m/>
    <m/>
    <m/>
  </r>
  <r>
    <n v="3360"/>
    <n v="53762"/>
    <d v="1994-07-07T00:00:00"/>
    <n v="31"/>
    <x v="1"/>
    <x v="1"/>
    <d v="2024-06-06T00:00:00"/>
    <n v="1.2164383561643837"/>
    <x v="28"/>
    <x v="0"/>
    <x v="8"/>
    <x v="1"/>
    <n v="8.4700000000000006"/>
    <m/>
    <m/>
    <m/>
    <m/>
    <m/>
    <m/>
    <x v="4"/>
    <n v="2"/>
    <n v="5"/>
    <m/>
    <m/>
    <m/>
    <m/>
    <m/>
    <m/>
    <m/>
    <m/>
    <m/>
    <m/>
    <m/>
    <m/>
    <m/>
    <m/>
  </r>
  <r>
    <n v="3361"/>
    <n v="53763"/>
    <d v="1999-12-27T00:00:00"/>
    <n v="26"/>
    <x v="0"/>
    <x v="1"/>
    <d v="2024-10-13T00:00:00"/>
    <n v="1.8739726027397261"/>
    <x v="52"/>
    <x v="0"/>
    <x v="7"/>
    <x v="1"/>
    <n v="17.59"/>
    <m/>
    <m/>
    <m/>
    <m/>
    <m/>
    <m/>
    <x v="3"/>
    <n v="1"/>
    <n v="4"/>
    <m/>
    <m/>
    <m/>
    <m/>
    <m/>
    <m/>
    <m/>
    <m/>
    <m/>
    <m/>
    <m/>
    <m/>
    <m/>
    <m/>
  </r>
  <r>
    <n v="3362"/>
    <n v="53764"/>
    <d v="2004-12-28T00:00:00"/>
    <n v="21"/>
    <x v="0"/>
    <x v="1"/>
    <d v="2024-02-16T00:00:00"/>
    <n v="1.0246575342465754"/>
    <x v="41"/>
    <x v="0"/>
    <x v="2"/>
    <x v="1"/>
    <n v="14.23"/>
    <m/>
    <m/>
    <m/>
    <m/>
    <m/>
    <m/>
    <x v="4"/>
    <n v="1"/>
    <n v="4"/>
    <m/>
    <m/>
    <m/>
    <m/>
    <m/>
    <m/>
    <m/>
    <m/>
    <m/>
    <m/>
    <m/>
    <m/>
    <m/>
    <m/>
  </r>
  <r>
    <n v="3363"/>
    <n v="53765"/>
    <d v="2003-01-02T00:00:00"/>
    <n v="22"/>
    <x v="0"/>
    <x v="0"/>
    <d v="2024-12-22T00:00:00"/>
    <n v="1.0273972602739727"/>
    <x v="37"/>
    <x v="0"/>
    <x v="10"/>
    <x v="1"/>
    <n v="10.64"/>
    <m/>
    <m/>
    <m/>
    <m/>
    <m/>
    <m/>
    <x v="2"/>
    <n v="1"/>
    <n v="5"/>
    <m/>
    <m/>
    <m/>
    <m/>
    <m/>
    <m/>
    <m/>
    <m/>
    <m/>
    <m/>
    <m/>
    <m/>
    <m/>
    <m/>
  </r>
  <r>
    <n v="3364"/>
    <n v="53767"/>
    <d v="1995-09-09T00:00:00"/>
    <n v="30"/>
    <x v="0"/>
    <x v="1"/>
    <d v="2024-12-21T00:00:00"/>
    <n v="1.7534246575342465"/>
    <x v="114"/>
    <x v="1"/>
    <x v="6"/>
    <x v="1"/>
    <n v="23.78"/>
    <m/>
    <m/>
    <m/>
    <m/>
    <m/>
    <m/>
    <x v="4"/>
    <n v="6"/>
    <n v="7"/>
    <m/>
    <m/>
    <m/>
    <m/>
    <m/>
    <m/>
    <m/>
    <m/>
    <m/>
    <m/>
    <m/>
    <m/>
    <m/>
    <m/>
  </r>
  <r>
    <n v="3365"/>
    <n v="53768"/>
    <d v="2002-10-27T00:00:00"/>
    <n v="23"/>
    <x v="0"/>
    <x v="0"/>
    <d v="2024-03-31T00:00:00"/>
    <n v="1.3232876712328767"/>
    <x v="114"/>
    <x v="1"/>
    <x v="7"/>
    <x v="1"/>
    <n v="17.59"/>
    <m/>
    <m/>
    <m/>
    <m/>
    <m/>
    <m/>
    <x v="4"/>
    <n v="2"/>
    <n v="5"/>
    <m/>
    <m/>
    <m/>
    <m/>
    <m/>
    <m/>
    <m/>
    <m/>
    <m/>
    <m/>
    <m/>
    <m/>
    <m/>
    <m/>
  </r>
  <r>
    <n v="3366"/>
    <n v="53769"/>
    <d v="1993-04-04T00:00:00"/>
    <n v="32"/>
    <x v="1"/>
    <x v="1"/>
    <d v="2024-09-04T00:00:00"/>
    <n v="1.263013698630137"/>
    <x v="5"/>
    <x v="0"/>
    <x v="7"/>
    <x v="1"/>
    <n v="17.59"/>
    <m/>
    <m/>
    <m/>
    <m/>
    <m/>
    <m/>
    <x v="2"/>
    <n v="1"/>
    <n v="5"/>
    <m/>
    <m/>
    <m/>
    <m/>
    <m/>
    <m/>
    <m/>
    <m/>
    <m/>
    <m/>
    <m/>
    <m/>
    <m/>
    <m/>
  </r>
  <r>
    <n v="3367"/>
    <n v="53770"/>
    <d v="2006-04-17T00:00:00"/>
    <n v="19"/>
    <x v="1"/>
    <x v="1"/>
    <d v="2024-09-26T00:00:00"/>
    <n v="1.6109589041095891"/>
    <x v="27"/>
    <x v="0"/>
    <x v="9"/>
    <x v="1"/>
    <n v="14.07"/>
    <m/>
    <m/>
    <m/>
    <m/>
    <m/>
    <m/>
    <x v="1"/>
    <n v="1"/>
    <n v="5"/>
    <m/>
    <m/>
    <m/>
    <m/>
    <m/>
    <m/>
    <m/>
    <m/>
    <m/>
    <m/>
    <m/>
    <m/>
    <m/>
    <m/>
  </r>
  <r>
    <n v="3368"/>
    <n v="53771"/>
    <d v="2004-11-22T00:00:00"/>
    <n v="21"/>
    <x v="1"/>
    <x v="1"/>
    <d v="2024-05-22T00:00:00"/>
    <n v="1.3369863013698631"/>
    <x v="32"/>
    <x v="0"/>
    <x v="9"/>
    <x v="1"/>
    <n v="14.07"/>
    <m/>
    <m/>
    <m/>
    <m/>
    <m/>
    <m/>
    <x v="1"/>
    <n v="1"/>
    <n v="5"/>
    <m/>
    <m/>
    <m/>
    <m/>
    <m/>
    <m/>
    <m/>
    <m/>
    <m/>
    <m/>
    <m/>
    <m/>
    <m/>
    <m/>
  </r>
  <r>
    <n v="3369"/>
    <n v="53773"/>
    <d v="2001-07-12T00:00:00"/>
    <n v="24"/>
    <x v="1"/>
    <x v="0"/>
    <d v="2024-08-30T00:00:00"/>
    <n v="1.6931506849315068"/>
    <x v="112"/>
    <x v="1"/>
    <x v="7"/>
    <x v="1"/>
    <n v="17.59"/>
    <m/>
    <m/>
    <m/>
    <m/>
    <m/>
    <m/>
    <x v="3"/>
    <n v="0"/>
    <n v="5"/>
    <m/>
    <m/>
    <m/>
    <m/>
    <m/>
    <m/>
    <m/>
    <m/>
    <m/>
    <m/>
    <m/>
    <m/>
    <m/>
    <m/>
  </r>
  <r>
    <n v="3370"/>
    <n v="53774"/>
    <d v="2006-12-30T00:00:00"/>
    <n v="19"/>
    <x v="1"/>
    <x v="1"/>
    <d v="2024-04-22T00:00:00"/>
    <n v="1.4219178082191781"/>
    <x v="137"/>
    <x v="0"/>
    <x v="10"/>
    <x v="1"/>
    <n v="10.64"/>
    <m/>
    <m/>
    <m/>
    <m/>
    <m/>
    <m/>
    <x v="4"/>
    <n v="1"/>
    <n v="5"/>
    <m/>
    <m/>
    <m/>
    <m/>
    <m/>
    <m/>
    <m/>
    <m/>
    <m/>
    <m/>
    <m/>
    <m/>
    <m/>
    <m/>
  </r>
  <r>
    <n v="3371"/>
    <n v="53775"/>
    <d v="2001-12-07T00:00:00"/>
    <n v="24"/>
    <x v="1"/>
    <x v="1"/>
    <d v="2024-07-30T00:00:00"/>
    <n v="1.284931506849315"/>
    <x v="59"/>
    <x v="0"/>
    <x v="7"/>
    <x v="1"/>
    <n v="17.59"/>
    <m/>
    <m/>
    <m/>
    <m/>
    <m/>
    <m/>
    <x v="1"/>
    <n v="2"/>
    <n v="6"/>
    <m/>
    <m/>
    <m/>
    <m/>
    <m/>
    <m/>
    <m/>
    <m/>
    <m/>
    <m/>
    <m/>
    <m/>
    <m/>
    <m/>
  </r>
  <r>
    <n v="3372"/>
    <n v="53776"/>
    <d v="1990-04-20T00:00:00"/>
    <n v="35"/>
    <x v="0"/>
    <x v="1"/>
    <d v="2024-09-18T00:00:00"/>
    <n v="1.6191780821917807"/>
    <x v="2"/>
    <x v="0"/>
    <x v="7"/>
    <x v="1"/>
    <n v="17.59"/>
    <m/>
    <m/>
    <m/>
    <m/>
    <m/>
    <m/>
    <x v="4"/>
    <n v="0"/>
    <n v="5"/>
    <m/>
    <m/>
    <m/>
    <m/>
    <m/>
    <m/>
    <m/>
    <m/>
    <m/>
    <m/>
    <m/>
    <m/>
    <m/>
    <m/>
  </r>
  <r>
    <n v="3373"/>
    <n v="53777"/>
    <d v="1994-05-07T00:00:00"/>
    <n v="31"/>
    <x v="1"/>
    <x v="1"/>
    <d v="2024-05-19T00:00:00"/>
    <n v="1.021917808219178"/>
    <x v="7"/>
    <x v="0"/>
    <x v="8"/>
    <x v="1"/>
    <n v="8.4700000000000006"/>
    <m/>
    <m/>
    <m/>
    <m/>
    <m/>
    <m/>
    <x v="1"/>
    <n v="4"/>
    <n v="7"/>
    <m/>
    <m/>
    <m/>
    <m/>
    <m/>
    <m/>
    <m/>
    <m/>
    <m/>
    <m/>
    <m/>
    <m/>
    <m/>
    <m/>
  </r>
  <r>
    <n v="3374"/>
    <n v="53778"/>
    <d v="2003-03-13T00:00:00"/>
    <n v="22"/>
    <x v="1"/>
    <x v="0"/>
    <d v="2024-12-23T00:00:00"/>
    <n v="1.4684931506849315"/>
    <x v="24"/>
    <x v="0"/>
    <x v="9"/>
    <x v="1"/>
    <n v="14.07"/>
    <m/>
    <m/>
    <m/>
    <m/>
    <m/>
    <m/>
    <x v="1"/>
    <n v="1"/>
    <n v="5"/>
    <m/>
    <m/>
    <m/>
    <m/>
    <m/>
    <m/>
    <m/>
    <m/>
    <m/>
    <m/>
    <m/>
    <m/>
    <m/>
    <m/>
  </r>
  <r>
    <n v="3375"/>
    <n v="53779"/>
    <d v="2005-07-26T00:00:00"/>
    <n v="20"/>
    <x v="1"/>
    <x v="1"/>
    <d v="2024-07-13T00:00:00"/>
    <n v="1.3287671232876712"/>
    <x v="32"/>
    <x v="0"/>
    <x v="8"/>
    <x v="1"/>
    <n v="8.4700000000000006"/>
    <m/>
    <m/>
    <m/>
    <m/>
    <m/>
    <m/>
    <x v="2"/>
    <n v="2"/>
    <n v="6"/>
    <m/>
    <m/>
    <m/>
    <m/>
    <m/>
    <m/>
    <m/>
    <m/>
    <m/>
    <m/>
    <m/>
    <m/>
    <m/>
    <m/>
  </r>
  <r>
    <n v="3376"/>
    <n v="53781"/>
    <d v="2000-12-24T00:00:00"/>
    <n v="25"/>
    <x v="1"/>
    <x v="0"/>
    <d v="2024-09-02T00:00:00"/>
    <n v="1.7397260273972603"/>
    <x v="136"/>
    <x v="0"/>
    <x v="2"/>
    <x v="1"/>
    <n v="14.23"/>
    <m/>
    <m/>
    <m/>
    <m/>
    <m/>
    <m/>
    <x v="2"/>
    <n v="0"/>
    <n v="5"/>
    <m/>
    <m/>
    <m/>
    <m/>
    <m/>
    <m/>
    <m/>
    <m/>
    <m/>
    <m/>
    <m/>
    <m/>
    <m/>
    <m/>
  </r>
  <r>
    <n v="3377"/>
    <n v="53782"/>
    <d v="2004-01-06T00:00:00"/>
    <n v="21"/>
    <x v="0"/>
    <x v="1"/>
    <d v="2024-04-05T00:00:00"/>
    <n v="1.5917808219178082"/>
    <x v="67"/>
    <x v="0"/>
    <x v="10"/>
    <x v="1"/>
    <n v="10.64"/>
    <m/>
    <m/>
    <m/>
    <m/>
    <m/>
    <m/>
    <x v="4"/>
    <n v="0"/>
    <n v="4"/>
    <m/>
    <m/>
    <m/>
    <m/>
    <m/>
    <m/>
    <m/>
    <m/>
    <m/>
    <m/>
    <m/>
    <m/>
    <m/>
    <m/>
  </r>
  <r>
    <n v="3378"/>
    <n v="53783"/>
    <d v="2003-08-14T00:00:00"/>
    <n v="22"/>
    <x v="1"/>
    <x v="1"/>
    <d v="2024-05-29T00:00:00"/>
    <n v="1.263013698630137"/>
    <x v="67"/>
    <x v="0"/>
    <x v="8"/>
    <x v="1"/>
    <n v="8.4700000000000006"/>
    <m/>
    <m/>
    <m/>
    <m/>
    <m/>
    <m/>
    <x v="4"/>
    <n v="2"/>
    <n v="7"/>
    <m/>
    <m/>
    <m/>
    <m/>
    <m/>
    <m/>
    <m/>
    <m/>
    <m/>
    <m/>
    <m/>
    <m/>
    <m/>
    <m/>
  </r>
  <r>
    <n v="3379"/>
    <n v="53784"/>
    <d v="2001-12-30T00:00:00"/>
    <n v="24"/>
    <x v="1"/>
    <x v="1"/>
    <d v="2024-09-26T00:00:00"/>
    <n v="1.0410958904109588"/>
    <x v="55"/>
    <x v="0"/>
    <x v="7"/>
    <x v="1"/>
    <n v="17.59"/>
    <m/>
    <m/>
    <m/>
    <m/>
    <m/>
    <m/>
    <x v="1"/>
    <n v="3"/>
    <n v="5"/>
    <m/>
    <m/>
    <m/>
    <m/>
    <m/>
    <m/>
    <m/>
    <m/>
    <m/>
    <m/>
    <m/>
    <m/>
    <m/>
    <m/>
  </r>
  <r>
    <n v="3380"/>
    <n v="53785"/>
    <d v="2005-07-02T00:00:00"/>
    <n v="20"/>
    <x v="1"/>
    <x v="1"/>
    <d v="2024-12-16T00:00:00"/>
    <n v="1.3260273972602741"/>
    <x v="59"/>
    <x v="0"/>
    <x v="8"/>
    <x v="1"/>
    <n v="8.4700000000000006"/>
    <m/>
    <m/>
    <m/>
    <m/>
    <m/>
    <m/>
    <x v="2"/>
    <n v="2"/>
    <n v="7"/>
    <m/>
    <m/>
    <m/>
    <m/>
    <m/>
    <m/>
    <m/>
    <m/>
    <m/>
    <m/>
    <m/>
    <m/>
    <m/>
    <m/>
  </r>
  <r>
    <n v="3381"/>
    <n v="53786"/>
    <d v="1999-05-14T00:00:00"/>
    <n v="26"/>
    <x v="1"/>
    <x v="0"/>
    <d v="2024-09-03T00:00:00"/>
    <n v="1.6849315068493151"/>
    <x v="38"/>
    <x v="0"/>
    <x v="10"/>
    <x v="1"/>
    <n v="10.64"/>
    <m/>
    <m/>
    <m/>
    <m/>
    <m/>
    <m/>
    <x v="4"/>
    <n v="0"/>
    <n v="5"/>
    <m/>
    <m/>
    <m/>
    <m/>
    <m/>
    <m/>
    <m/>
    <m/>
    <m/>
    <m/>
    <m/>
    <m/>
    <m/>
    <m/>
  </r>
  <r>
    <n v="3382"/>
    <n v="53787"/>
    <d v="2007-12-09T00:00:00"/>
    <n v="18"/>
    <x v="0"/>
    <x v="1"/>
    <d v="2024-04-25T00:00:00"/>
    <n v="1.1534246575342466"/>
    <x v="1"/>
    <x v="1"/>
    <x v="8"/>
    <x v="1"/>
    <n v="8.4700000000000006"/>
    <m/>
    <m/>
    <m/>
    <m/>
    <m/>
    <m/>
    <x v="2"/>
    <n v="4"/>
    <n v="6"/>
    <m/>
    <m/>
    <m/>
    <m/>
    <m/>
    <m/>
    <m/>
    <m/>
    <m/>
    <m/>
    <m/>
    <m/>
    <m/>
    <m/>
  </r>
  <r>
    <n v="3383"/>
    <n v="53789"/>
    <d v="2003-03-22T00:00:00"/>
    <n v="22"/>
    <x v="1"/>
    <x v="0"/>
    <d v="2024-11-05T00:00:00"/>
    <n v="1.7424657534246575"/>
    <x v="108"/>
    <x v="1"/>
    <x v="2"/>
    <x v="1"/>
    <n v="14.23"/>
    <m/>
    <m/>
    <m/>
    <m/>
    <m/>
    <m/>
    <x v="1"/>
    <n v="1"/>
    <n v="6"/>
    <m/>
    <m/>
    <m/>
    <m/>
    <m/>
    <m/>
    <m/>
    <m/>
    <m/>
    <m/>
    <m/>
    <m/>
    <m/>
    <m/>
  </r>
  <r>
    <n v="3384"/>
    <n v="53790"/>
    <d v="2004-07-19T00:00:00"/>
    <n v="21"/>
    <x v="1"/>
    <x v="1"/>
    <d v="2024-04-04T00:00:00"/>
    <n v="1.4328767123287671"/>
    <x v="122"/>
    <x v="1"/>
    <x v="8"/>
    <x v="1"/>
    <n v="8.4700000000000006"/>
    <m/>
    <m/>
    <m/>
    <m/>
    <m/>
    <m/>
    <x v="2"/>
    <n v="2"/>
    <n v="7"/>
    <m/>
    <m/>
    <m/>
    <m/>
    <m/>
    <m/>
    <m/>
    <m/>
    <m/>
    <m/>
    <m/>
    <m/>
    <m/>
    <m/>
  </r>
  <r>
    <n v="3385"/>
    <n v="53791"/>
    <d v="2004-12-10T00:00:00"/>
    <n v="21"/>
    <x v="1"/>
    <x v="1"/>
    <d v="2024-07-26T00:00:00"/>
    <n v="1.5808219178082192"/>
    <x v="93"/>
    <x v="1"/>
    <x v="8"/>
    <x v="1"/>
    <n v="8.4700000000000006"/>
    <m/>
    <m/>
    <m/>
    <m/>
    <m/>
    <m/>
    <x v="4"/>
    <n v="0"/>
    <n v="6"/>
    <m/>
    <m/>
    <m/>
    <m/>
    <m/>
    <m/>
    <m/>
    <m/>
    <m/>
    <m/>
    <m/>
    <m/>
    <m/>
    <m/>
  </r>
  <r>
    <n v="3386"/>
    <n v="53792"/>
    <d v="2002-05-01T00:00:00"/>
    <n v="24"/>
    <x v="0"/>
    <x v="0"/>
    <d v="2024-06-02T00:00:00"/>
    <n v="1.2876712328767124"/>
    <x v="129"/>
    <x v="1"/>
    <x v="11"/>
    <x v="1"/>
    <n v="17"/>
    <m/>
    <m/>
    <m/>
    <m/>
    <m/>
    <m/>
    <x v="1"/>
    <n v="4"/>
    <n v="5"/>
    <m/>
    <m/>
    <m/>
    <m/>
    <m/>
    <m/>
    <m/>
    <m/>
    <m/>
    <m/>
    <m/>
    <m/>
    <m/>
    <m/>
  </r>
  <r>
    <n v="3387"/>
    <n v="53793"/>
    <d v="1989-04-26T00:00:00"/>
    <n v="36"/>
    <x v="0"/>
    <x v="0"/>
    <d v="2024-09-17T00:00:00"/>
    <n v="1.4054794520547946"/>
    <x v="110"/>
    <x v="1"/>
    <x v="7"/>
    <x v="1"/>
    <n v="17.59"/>
    <m/>
    <m/>
    <m/>
    <m/>
    <m/>
    <m/>
    <x v="1"/>
    <n v="0"/>
    <n v="4"/>
    <m/>
    <m/>
    <m/>
    <m/>
    <m/>
    <m/>
    <m/>
    <m/>
    <m/>
    <m/>
    <m/>
    <m/>
    <m/>
    <m/>
  </r>
  <r>
    <n v="3388"/>
    <n v="53794"/>
    <d v="2003-01-29T00:00:00"/>
    <n v="22"/>
    <x v="0"/>
    <x v="1"/>
    <d v="2024-08-05T00:00:00"/>
    <n v="1.7780821917808218"/>
    <x v="112"/>
    <x v="1"/>
    <x v="6"/>
    <x v="1"/>
    <n v="23.78"/>
    <m/>
    <m/>
    <m/>
    <m/>
    <m/>
    <m/>
    <x v="3"/>
    <n v="4"/>
    <n v="5"/>
    <m/>
    <m/>
    <m/>
    <m/>
    <m/>
    <m/>
    <m/>
    <m/>
    <m/>
    <m/>
    <m/>
    <m/>
    <m/>
    <m/>
  </r>
  <r>
    <n v="3389"/>
    <n v="53795"/>
    <d v="2000-04-07T00:00:00"/>
    <n v="25"/>
    <x v="0"/>
    <x v="0"/>
    <d v="2024-03-22T00:00:00"/>
    <n v="1.0191780821917809"/>
    <x v="27"/>
    <x v="0"/>
    <x v="7"/>
    <x v="1"/>
    <n v="17.59"/>
    <m/>
    <m/>
    <m/>
    <m/>
    <m/>
    <m/>
    <x v="3"/>
    <n v="4"/>
    <n v="6"/>
    <m/>
    <m/>
    <m/>
    <m/>
    <m/>
    <m/>
    <m/>
    <m/>
    <m/>
    <m/>
    <m/>
    <m/>
    <m/>
    <m/>
  </r>
  <r>
    <n v="3390"/>
    <n v="53796"/>
    <d v="2005-04-29T00:00:00"/>
    <n v="20"/>
    <x v="1"/>
    <x v="0"/>
    <d v="2024-12-24T00:00:00"/>
    <n v="1.1013698630136985"/>
    <x v="63"/>
    <x v="0"/>
    <x v="8"/>
    <x v="1"/>
    <n v="8.4700000000000006"/>
    <m/>
    <m/>
    <m/>
    <m/>
    <m/>
    <m/>
    <x v="2"/>
    <n v="1"/>
    <n v="5"/>
    <m/>
    <m/>
    <m/>
    <m/>
    <m/>
    <m/>
    <m/>
    <m/>
    <m/>
    <m/>
    <m/>
    <m/>
    <m/>
    <m/>
  </r>
  <r>
    <n v="3391"/>
    <n v="53797"/>
    <d v="2006-04-22T00:00:00"/>
    <n v="19"/>
    <x v="0"/>
    <x v="1"/>
    <d v="2024-11-24T00:00:00"/>
    <n v="1.6712328767123288"/>
    <x v="98"/>
    <x v="1"/>
    <x v="10"/>
    <x v="1"/>
    <n v="10.64"/>
    <m/>
    <m/>
    <m/>
    <m/>
    <m/>
    <m/>
    <x v="1"/>
    <n v="1"/>
    <n v="4"/>
    <m/>
    <m/>
    <m/>
    <m/>
    <m/>
    <m/>
    <m/>
    <m/>
    <m/>
    <m/>
    <m/>
    <m/>
    <m/>
    <m/>
  </r>
  <r>
    <n v="3392"/>
    <n v="53798"/>
    <d v="2002-02-01T00:00:00"/>
    <n v="24"/>
    <x v="1"/>
    <x v="1"/>
    <d v="2024-04-30T00:00:00"/>
    <n v="1.4356164383561645"/>
    <x v="3"/>
    <x v="0"/>
    <x v="8"/>
    <x v="1"/>
    <n v="8.4700000000000006"/>
    <m/>
    <m/>
    <m/>
    <m/>
    <m/>
    <m/>
    <x v="1"/>
    <n v="1"/>
    <n v="6"/>
    <m/>
    <m/>
    <m/>
    <m/>
    <m/>
    <m/>
    <m/>
    <m/>
    <m/>
    <m/>
    <m/>
    <m/>
    <m/>
    <m/>
  </r>
  <r>
    <n v="3393"/>
    <n v="53799"/>
    <d v="2002-04-04T00:00:00"/>
    <n v="23"/>
    <x v="0"/>
    <x v="1"/>
    <d v="2024-07-25T00:00:00"/>
    <n v="1.6438356164383561"/>
    <x v="124"/>
    <x v="0"/>
    <x v="7"/>
    <x v="1"/>
    <n v="17.59"/>
    <m/>
    <m/>
    <m/>
    <m/>
    <m/>
    <m/>
    <x v="4"/>
    <n v="4"/>
    <n v="3"/>
    <m/>
    <m/>
    <m/>
    <m/>
    <m/>
    <m/>
    <m/>
    <m/>
    <m/>
    <m/>
    <m/>
    <m/>
    <m/>
    <m/>
  </r>
  <r>
    <n v="3394"/>
    <n v="53800"/>
    <d v="2004-07-07T00:00:00"/>
    <n v="21"/>
    <x v="0"/>
    <x v="1"/>
    <d v="2024-05-10T00:00:00"/>
    <n v="1.715068493150685"/>
    <x v="136"/>
    <x v="0"/>
    <x v="10"/>
    <x v="1"/>
    <n v="10.64"/>
    <m/>
    <m/>
    <m/>
    <m/>
    <m/>
    <m/>
    <x v="2"/>
    <n v="0"/>
    <n v="4"/>
    <m/>
    <m/>
    <m/>
    <m/>
    <m/>
    <m/>
    <m/>
    <m/>
    <m/>
    <m/>
    <m/>
    <m/>
    <m/>
    <m/>
  </r>
  <r>
    <n v="3395"/>
    <n v="53802"/>
    <d v="2005-02-11T00:00:00"/>
    <n v="20"/>
    <x v="0"/>
    <x v="1"/>
    <d v="2024-04-14T00:00:00"/>
    <n v="1.4657534246575343"/>
    <x v="113"/>
    <x v="1"/>
    <x v="6"/>
    <x v="1"/>
    <n v="23.78"/>
    <m/>
    <m/>
    <m/>
    <m/>
    <m/>
    <m/>
    <x v="1"/>
    <n v="4"/>
    <n v="6"/>
    <m/>
    <m/>
    <m/>
    <m/>
    <m/>
    <m/>
    <m/>
    <m/>
    <m/>
    <m/>
    <m/>
    <m/>
    <m/>
    <m/>
  </r>
  <r>
    <n v="3396"/>
    <n v="53803"/>
    <d v="2003-08-18T00:00:00"/>
    <n v="22"/>
    <x v="1"/>
    <x v="1"/>
    <d v="2024-07-14T00:00:00"/>
    <n v="1.3260273972602741"/>
    <x v="125"/>
    <x v="1"/>
    <x v="8"/>
    <x v="1"/>
    <n v="8.4700000000000006"/>
    <m/>
    <m/>
    <m/>
    <m/>
    <m/>
    <m/>
    <x v="3"/>
    <n v="0"/>
    <n v="6"/>
    <m/>
    <m/>
    <m/>
    <m/>
    <m/>
    <m/>
    <m/>
    <m/>
    <m/>
    <m/>
    <m/>
    <m/>
    <m/>
    <m/>
  </r>
  <r>
    <n v="3397"/>
    <n v="53804"/>
    <d v="1998-01-28T00:00:00"/>
    <n v="27"/>
    <x v="0"/>
    <x v="1"/>
    <d v="2024-09-03T00:00:00"/>
    <n v="1.8739726027397261"/>
    <x v="10"/>
    <x v="0"/>
    <x v="2"/>
    <x v="1"/>
    <n v="14.23"/>
    <m/>
    <m/>
    <m/>
    <m/>
    <m/>
    <m/>
    <x v="1"/>
    <n v="0"/>
    <n v="4"/>
    <m/>
    <m/>
    <m/>
    <m/>
    <m/>
    <m/>
    <m/>
    <m/>
    <m/>
    <m/>
    <m/>
    <m/>
    <m/>
    <m/>
  </r>
  <r>
    <n v="3398"/>
    <n v="53805"/>
    <d v="1993-12-09T00:00:00"/>
    <n v="32"/>
    <x v="0"/>
    <x v="1"/>
    <d v="2024-02-16T00:00:00"/>
    <n v="1.6684931506849314"/>
    <x v="56"/>
    <x v="1"/>
    <x v="7"/>
    <x v="1"/>
    <n v="17.59"/>
    <m/>
    <m/>
    <m/>
    <m/>
    <m/>
    <m/>
    <x v="2"/>
    <n v="2"/>
    <n v="5"/>
    <m/>
    <m/>
    <m/>
    <m/>
    <m/>
    <m/>
    <m/>
    <m/>
    <m/>
    <m/>
    <m/>
    <m/>
    <m/>
    <m/>
  </r>
  <r>
    <n v="3399"/>
    <n v="53806"/>
    <d v="2005-12-05T00:00:00"/>
    <n v="20"/>
    <x v="0"/>
    <x v="1"/>
    <d v="2024-05-01T00:00:00"/>
    <n v="1.7726027397260273"/>
    <x v="100"/>
    <x v="1"/>
    <x v="2"/>
    <x v="1"/>
    <n v="14.23"/>
    <m/>
    <m/>
    <m/>
    <m/>
    <m/>
    <m/>
    <x v="2"/>
    <n v="1"/>
    <n v="4"/>
    <m/>
    <m/>
    <m/>
    <m/>
    <m/>
    <m/>
    <m/>
    <m/>
    <m/>
    <m/>
    <m/>
    <m/>
    <m/>
    <m/>
  </r>
  <r>
    <n v="3400"/>
    <n v="53807"/>
    <d v="2002-06-08T00:00:00"/>
    <n v="23"/>
    <x v="0"/>
    <x v="0"/>
    <d v="2024-03-24T00:00:00"/>
    <n v="1.2219178082191782"/>
    <x v="88"/>
    <x v="0"/>
    <x v="2"/>
    <x v="1"/>
    <n v="14.23"/>
    <m/>
    <m/>
    <m/>
    <m/>
    <m/>
    <m/>
    <x v="4"/>
    <n v="1"/>
    <n v="4"/>
    <m/>
    <m/>
    <m/>
    <m/>
    <m/>
    <m/>
    <m/>
    <m/>
    <m/>
    <m/>
    <m/>
    <m/>
    <m/>
    <m/>
  </r>
  <r>
    <n v="3401"/>
    <n v="53808"/>
    <d v="2000-02-15T00:00:00"/>
    <n v="25"/>
    <x v="0"/>
    <x v="1"/>
    <d v="2024-10-11T00:00:00"/>
    <n v="1.0876712328767124"/>
    <x v="139"/>
    <x v="0"/>
    <x v="7"/>
    <x v="1"/>
    <n v="17.59"/>
    <m/>
    <m/>
    <m/>
    <m/>
    <m/>
    <m/>
    <x v="4"/>
    <n v="0"/>
    <n v="5"/>
    <m/>
    <m/>
    <m/>
    <m/>
    <m/>
    <m/>
    <m/>
    <m/>
    <m/>
    <m/>
    <m/>
    <m/>
    <m/>
    <m/>
  </r>
  <r>
    <n v="3402"/>
    <n v="53809"/>
    <d v="2005-10-23T00:00:00"/>
    <n v="20"/>
    <x v="0"/>
    <x v="1"/>
    <d v="2024-11-29T00:00:00"/>
    <n v="1.2767123287671234"/>
    <x v="42"/>
    <x v="0"/>
    <x v="2"/>
    <x v="1"/>
    <n v="14.23"/>
    <m/>
    <m/>
    <m/>
    <m/>
    <m/>
    <m/>
    <x v="1"/>
    <n v="1"/>
    <n v="4"/>
    <m/>
    <m/>
    <m/>
    <m/>
    <m/>
    <m/>
    <m/>
    <m/>
    <m/>
    <m/>
    <m/>
    <m/>
    <m/>
    <m/>
  </r>
  <r>
    <n v="3403"/>
    <n v="53810"/>
    <d v="2002-06-03T00:00:00"/>
    <n v="23"/>
    <x v="1"/>
    <x v="0"/>
    <d v="2024-09-21T00:00:00"/>
    <n v="1.0027397260273974"/>
    <x v="1"/>
    <x v="1"/>
    <x v="8"/>
    <x v="1"/>
    <n v="8.4700000000000006"/>
    <m/>
    <m/>
    <m/>
    <m/>
    <m/>
    <m/>
    <x v="1"/>
    <n v="2"/>
    <n v="6"/>
    <m/>
    <m/>
    <m/>
    <m/>
    <m/>
    <m/>
    <m/>
    <m/>
    <m/>
    <m/>
    <m/>
    <m/>
    <m/>
    <m/>
  </r>
  <r>
    <n v="3404"/>
    <n v="53811"/>
    <d v="2004-01-24T00:00:00"/>
    <n v="21"/>
    <x v="1"/>
    <x v="1"/>
    <d v="2024-12-30T00:00:00"/>
    <n v="1.7561643835616438"/>
    <x v="1"/>
    <x v="1"/>
    <x v="8"/>
    <x v="1"/>
    <n v="8.4700000000000006"/>
    <m/>
    <m/>
    <m/>
    <m/>
    <m/>
    <m/>
    <x v="1"/>
    <n v="3"/>
    <n v="7"/>
    <m/>
    <m/>
    <m/>
    <m/>
    <m/>
    <m/>
    <m/>
    <m/>
    <m/>
    <m/>
    <m/>
    <m/>
    <m/>
    <m/>
  </r>
  <r>
    <n v="3405"/>
    <n v="53812"/>
    <d v="1999-09-19T00:00:00"/>
    <n v="26"/>
    <x v="1"/>
    <x v="1"/>
    <d v="2024-03-30T00:00:00"/>
    <n v="1.2301369863013698"/>
    <x v="121"/>
    <x v="1"/>
    <x v="8"/>
    <x v="1"/>
    <n v="8.4700000000000006"/>
    <m/>
    <m/>
    <m/>
    <m/>
    <m/>
    <m/>
    <x v="1"/>
    <n v="2"/>
    <n v="6"/>
    <m/>
    <m/>
    <m/>
    <m/>
    <m/>
    <m/>
    <m/>
    <m/>
    <m/>
    <m/>
    <m/>
    <m/>
    <m/>
    <m/>
  </r>
  <r>
    <n v="3406"/>
    <n v="53813"/>
    <d v="1996-10-28T00:00:00"/>
    <n v="29"/>
    <x v="0"/>
    <x v="0"/>
    <d v="2024-10-08T00:00:00"/>
    <n v="1.1863013698630136"/>
    <x v="56"/>
    <x v="1"/>
    <x v="2"/>
    <x v="1"/>
    <n v="14.23"/>
    <m/>
    <m/>
    <m/>
    <m/>
    <m/>
    <m/>
    <x v="1"/>
    <n v="0"/>
    <n v="3"/>
    <m/>
    <m/>
    <m/>
    <m/>
    <m/>
    <m/>
    <m/>
    <m/>
    <m/>
    <m/>
    <m/>
    <m/>
    <m/>
    <m/>
  </r>
  <r>
    <n v="3407"/>
    <n v="53814"/>
    <d v="2002-03-20T00:00:00"/>
    <n v="23"/>
    <x v="1"/>
    <x v="1"/>
    <d v="2024-10-24T00:00:00"/>
    <n v="1.2904109589041095"/>
    <x v="85"/>
    <x v="1"/>
    <x v="3"/>
    <x v="1"/>
    <n v="8.4700000000000006"/>
    <m/>
    <m/>
    <m/>
    <m/>
    <m/>
    <m/>
    <x v="4"/>
    <n v="3"/>
    <n v="7"/>
    <m/>
    <m/>
    <m/>
    <m/>
    <m/>
    <m/>
    <m/>
    <m/>
    <m/>
    <m/>
    <m/>
    <m/>
    <m/>
    <m/>
  </r>
  <r>
    <n v="3408"/>
    <n v="53815"/>
    <d v="2004-07-28T00:00:00"/>
    <n v="21"/>
    <x v="1"/>
    <x v="1"/>
    <d v="2024-09-16T00:00:00"/>
    <n v="1.273972602739726"/>
    <x v="100"/>
    <x v="1"/>
    <x v="8"/>
    <x v="1"/>
    <n v="8.4700000000000006"/>
    <m/>
    <m/>
    <m/>
    <m/>
    <m/>
    <m/>
    <x v="2"/>
    <n v="2"/>
    <n v="7"/>
    <m/>
    <m/>
    <m/>
    <m/>
    <m/>
    <m/>
    <m/>
    <m/>
    <m/>
    <m/>
    <m/>
    <m/>
    <m/>
    <m/>
  </r>
  <r>
    <n v="3409"/>
    <n v="53816"/>
    <d v="2003-12-17T00:00:00"/>
    <n v="22"/>
    <x v="0"/>
    <x v="1"/>
    <d v="2024-09-22T00:00:00"/>
    <n v="1.821917808219178"/>
    <x v="127"/>
    <x v="0"/>
    <x v="10"/>
    <x v="1"/>
    <n v="10.64"/>
    <m/>
    <m/>
    <m/>
    <m/>
    <m/>
    <m/>
    <x v="1"/>
    <n v="0"/>
    <n v="3"/>
    <m/>
    <m/>
    <m/>
    <m/>
    <m/>
    <m/>
    <m/>
    <m/>
    <m/>
    <m/>
    <m/>
    <m/>
    <m/>
    <m/>
  </r>
  <r>
    <n v="3410"/>
    <n v="53817"/>
    <d v="2005-03-27T00:00:00"/>
    <n v="20"/>
    <x v="0"/>
    <x v="1"/>
    <d v="2024-03-06T00:00:00"/>
    <n v="1.1452054794520548"/>
    <x v="14"/>
    <x v="0"/>
    <x v="10"/>
    <x v="1"/>
    <n v="10.64"/>
    <m/>
    <m/>
    <m/>
    <m/>
    <m/>
    <m/>
    <x v="1"/>
    <n v="0"/>
    <n v="4"/>
    <m/>
    <m/>
    <m/>
    <m/>
    <m/>
    <m/>
    <m/>
    <m/>
    <m/>
    <m/>
    <m/>
    <m/>
    <m/>
    <m/>
  </r>
  <r>
    <n v="3411"/>
    <n v="53818"/>
    <d v="2003-06-06T00:00:00"/>
    <n v="22"/>
    <x v="0"/>
    <x v="1"/>
    <d v="2024-11-08T00:00:00"/>
    <n v="1.189041095890411"/>
    <x v="15"/>
    <x v="0"/>
    <x v="10"/>
    <x v="1"/>
    <n v="10.64"/>
    <m/>
    <m/>
    <m/>
    <m/>
    <m/>
    <m/>
    <x v="2"/>
    <n v="0"/>
    <n v="3"/>
    <m/>
    <m/>
    <m/>
    <m/>
    <m/>
    <m/>
    <m/>
    <m/>
    <m/>
    <m/>
    <m/>
    <m/>
    <m/>
    <m/>
  </r>
  <r>
    <n v="3412"/>
    <n v="53819"/>
    <d v="1999-01-13T00:00:00"/>
    <n v="26"/>
    <x v="0"/>
    <x v="1"/>
    <d v="2024-10-23T00:00:00"/>
    <n v="1.3780821917808219"/>
    <x v="88"/>
    <x v="0"/>
    <x v="7"/>
    <x v="1"/>
    <n v="17.59"/>
    <m/>
    <m/>
    <m/>
    <m/>
    <m/>
    <m/>
    <x v="4"/>
    <n v="2"/>
    <n v="5"/>
    <m/>
    <m/>
    <m/>
    <m/>
    <m/>
    <m/>
    <m/>
    <m/>
    <m/>
    <m/>
    <m/>
    <m/>
    <m/>
    <m/>
  </r>
  <r>
    <n v="3413"/>
    <n v="53820"/>
    <d v="2002-05-23T00:00:00"/>
    <n v="23"/>
    <x v="1"/>
    <x v="1"/>
    <d v="2024-08-15T00:00:00"/>
    <n v="1.4082191780821918"/>
    <x v="88"/>
    <x v="0"/>
    <x v="8"/>
    <x v="1"/>
    <n v="8.4700000000000006"/>
    <m/>
    <m/>
    <m/>
    <m/>
    <m/>
    <m/>
    <x v="1"/>
    <n v="2"/>
    <n v="7"/>
    <m/>
    <m/>
    <m/>
    <m/>
    <m/>
    <m/>
    <m/>
    <m/>
    <m/>
    <m/>
    <m/>
    <m/>
    <m/>
    <m/>
  </r>
  <r>
    <n v="3414"/>
    <n v="53821"/>
    <d v="2006-12-13T00:00:00"/>
    <n v="19"/>
    <x v="0"/>
    <x v="1"/>
    <d v="2024-08-04T00:00:00"/>
    <n v="1.547945205479452"/>
    <x v="20"/>
    <x v="0"/>
    <x v="10"/>
    <x v="1"/>
    <n v="10.64"/>
    <m/>
    <m/>
    <m/>
    <m/>
    <m/>
    <m/>
    <x v="1"/>
    <n v="1"/>
    <n v="4"/>
    <m/>
    <m/>
    <m/>
    <m/>
    <m/>
    <m/>
    <m/>
    <m/>
    <m/>
    <m/>
    <m/>
    <m/>
    <m/>
    <m/>
  </r>
  <r>
    <n v="3415"/>
    <n v="53822"/>
    <d v="2000-12-24T00:00:00"/>
    <n v="25"/>
    <x v="0"/>
    <x v="0"/>
    <d v="2024-06-14T00:00:00"/>
    <n v="1.6712328767123288"/>
    <x v="20"/>
    <x v="0"/>
    <x v="7"/>
    <x v="1"/>
    <n v="17.59"/>
    <m/>
    <m/>
    <m/>
    <m/>
    <m/>
    <m/>
    <x v="4"/>
    <n v="0"/>
    <n v="3"/>
    <m/>
    <m/>
    <m/>
    <m/>
    <m/>
    <m/>
    <m/>
    <m/>
    <m/>
    <m/>
    <m/>
    <m/>
    <m/>
    <m/>
  </r>
  <r>
    <n v="3416"/>
    <n v="53823"/>
    <d v="2003-09-20T00:00:00"/>
    <n v="22"/>
    <x v="0"/>
    <x v="1"/>
    <d v="2024-04-30T00:00:00"/>
    <n v="1.3068493150684932"/>
    <x v="137"/>
    <x v="0"/>
    <x v="10"/>
    <x v="1"/>
    <n v="10.64"/>
    <m/>
    <m/>
    <m/>
    <m/>
    <m/>
    <m/>
    <x v="1"/>
    <n v="1"/>
    <n v="4"/>
    <m/>
    <m/>
    <m/>
    <m/>
    <m/>
    <m/>
    <m/>
    <m/>
    <m/>
    <m/>
    <m/>
    <m/>
    <m/>
    <m/>
  </r>
  <r>
    <n v="3417"/>
    <n v="53824"/>
    <d v="2002-09-07T00:00:00"/>
    <n v="23"/>
    <x v="1"/>
    <x v="1"/>
    <d v="2024-09-10T00:00:00"/>
    <n v="1.4191780821917808"/>
    <x v="137"/>
    <x v="0"/>
    <x v="8"/>
    <x v="1"/>
    <n v="8.4700000000000006"/>
    <m/>
    <m/>
    <m/>
    <m/>
    <m/>
    <m/>
    <x v="4"/>
    <n v="2"/>
    <n v="7"/>
    <m/>
    <m/>
    <m/>
    <m/>
    <m/>
    <m/>
    <m/>
    <m/>
    <m/>
    <m/>
    <m/>
    <m/>
    <m/>
    <m/>
  </r>
  <r>
    <n v="3418"/>
    <n v="53825"/>
    <d v="2003-04-16T00:00:00"/>
    <n v="22"/>
    <x v="0"/>
    <x v="1"/>
    <d v="2024-07-31T00:00:00"/>
    <n v="1.6520547945205479"/>
    <x v="25"/>
    <x v="0"/>
    <x v="2"/>
    <x v="1"/>
    <n v="14.23"/>
    <m/>
    <m/>
    <m/>
    <m/>
    <m/>
    <m/>
    <x v="4"/>
    <n v="0"/>
    <n v="3"/>
    <m/>
    <m/>
    <m/>
    <m/>
    <m/>
    <m/>
    <m/>
    <m/>
    <m/>
    <m/>
    <m/>
    <m/>
    <m/>
    <m/>
  </r>
  <r>
    <n v="3419"/>
    <n v="53826"/>
    <d v="2003-11-10T00:00:00"/>
    <n v="22"/>
    <x v="1"/>
    <x v="1"/>
    <d v="2024-05-07T00:00:00"/>
    <n v="1.2904109589041095"/>
    <x v="26"/>
    <x v="0"/>
    <x v="8"/>
    <x v="1"/>
    <n v="8.4700000000000006"/>
    <m/>
    <m/>
    <m/>
    <m/>
    <m/>
    <m/>
    <x v="4"/>
    <n v="2"/>
    <n v="6"/>
    <m/>
    <m/>
    <m/>
    <m/>
    <m/>
    <m/>
    <m/>
    <m/>
    <m/>
    <m/>
    <m/>
    <m/>
    <m/>
    <m/>
  </r>
  <r>
    <n v="3420"/>
    <n v="53827"/>
    <d v="1999-08-06T00:00:00"/>
    <n v="26"/>
    <x v="1"/>
    <x v="1"/>
    <d v="2024-09-16T00:00:00"/>
    <n v="1.5041095890410958"/>
    <x v="61"/>
    <x v="0"/>
    <x v="9"/>
    <x v="1"/>
    <n v="14.07"/>
    <m/>
    <m/>
    <m/>
    <m/>
    <m/>
    <m/>
    <x v="2"/>
    <n v="1"/>
    <n v="5"/>
    <m/>
    <m/>
    <m/>
    <m/>
    <m/>
    <m/>
    <m/>
    <m/>
    <m/>
    <m/>
    <m/>
    <m/>
    <m/>
    <m/>
  </r>
  <r>
    <n v="3421"/>
    <n v="53828"/>
    <d v="2003-02-13T00:00:00"/>
    <n v="22"/>
    <x v="1"/>
    <x v="0"/>
    <d v="2024-06-30T00:00:00"/>
    <n v="1.3150684931506849"/>
    <x v="61"/>
    <x v="0"/>
    <x v="8"/>
    <x v="1"/>
    <n v="8.4700000000000006"/>
    <m/>
    <m/>
    <m/>
    <m/>
    <m/>
    <m/>
    <x v="2"/>
    <n v="2"/>
    <n v="4"/>
    <m/>
    <m/>
    <m/>
    <m/>
    <m/>
    <m/>
    <m/>
    <m/>
    <m/>
    <m/>
    <m/>
    <m/>
    <m/>
    <m/>
  </r>
  <r>
    <n v="3422"/>
    <n v="53829"/>
    <d v="2005-05-14T00:00:00"/>
    <n v="20"/>
    <x v="1"/>
    <x v="1"/>
    <d v="2024-09-07T00:00:00"/>
    <n v="1.3561643835616439"/>
    <x v="31"/>
    <x v="0"/>
    <x v="8"/>
    <x v="1"/>
    <n v="8.4700000000000006"/>
    <m/>
    <m/>
    <m/>
    <m/>
    <m/>
    <m/>
    <x v="1"/>
    <n v="4"/>
    <n v="7"/>
    <m/>
    <m/>
    <m/>
    <m/>
    <m/>
    <m/>
    <m/>
    <m/>
    <m/>
    <m/>
    <m/>
    <m/>
    <m/>
    <m/>
  </r>
  <r>
    <n v="3423"/>
    <n v="53830"/>
    <d v="2000-04-20T00:00:00"/>
    <n v="25"/>
    <x v="1"/>
    <x v="1"/>
    <d v="2024-08-23T00:00:00"/>
    <n v="1.7506849315068493"/>
    <x v="32"/>
    <x v="0"/>
    <x v="8"/>
    <x v="1"/>
    <n v="8.4700000000000006"/>
    <m/>
    <m/>
    <m/>
    <m/>
    <m/>
    <m/>
    <x v="1"/>
    <n v="2"/>
    <n v="6"/>
    <m/>
    <m/>
    <m/>
    <m/>
    <m/>
    <m/>
    <m/>
    <m/>
    <m/>
    <m/>
    <m/>
    <m/>
    <m/>
    <m/>
  </r>
  <r>
    <n v="3424"/>
    <n v="53831"/>
    <d v="2005-02-06T00:00:00"/>
    <n v="20"/>
    <x v="0"/>
    <x v="1"/>
    <d v="2024-04-01T00:00:00"/>
    <n v="1.547945205479452"/>
    <x v="63"/>
    <x v="0"/>
    <x v="10"/>
    <x v="1"/>
    <n v="10.64"/>
    <m/>
    <m/>
    <m/>
    <m/>
    <m/>
    <m/>
    <x v="1"/>
    <n v="1"/>
    <n v="4"/>
    <m/>
    <m/>
    <m/>
    <m/>
    <m/>
    <m/>
    <m/>
    <m/>
    <m/>
    <m/>
    <m/>
    <m/>
    <m/>
    <m/>
  </r>
  <r>
    <n v="3425"/>
    <n v="53832"/>
    <d v="2002-12-07T00:00:00"/>
    <n v="23"/>
    <x v="1"/>
    <x v="1"/>
    <d v="2024-06-14T00:00:00"/>
    <n v="1.0356164383561643"/>
    <x v="78"/>
    <x v="0"/>
    <x v="8"/>
    <x v="1"/>
    <n v="8.4700000000000006"/>
    <m/>
    <m/>
    <m/>
    <m/>
    <m/>
    <m/>
    <x v="4"/>
    <n v="1"/>
    <n v="7"/>
    <m/>
    <m/>
    <m/>
    <m/>
    <m/>
    <m/>
    <m/>
    <m/>
    <m/>
    <m/>
    <m/>
    <m/>
    <m/>
    <m/>
  </r>
  <r>
    <n v="3426"/>
    <n v="53833"/>
    <d v="1983-05-04T00:00:00"/>
    <n v="42"/>
    <x v="0"/>
    <x v="1"/>
    <d v="2024-12-18T00:00:00"/>
    <n v="1.0054794520547945"/>
    <x v="102"/>
    <x v="0"/>
    <x v="2"/>
    <x v="1"/>
    <n v="14.23"/>
    <m/>
    <m/>
    <m/>
    <m/>
    <m/>
    <m/>
    <x v="2"/>
    <n v="1"/>
    <n v="4"/>
    <m/>
    <m/>
    <m/>
    <m/>
    <m/>
    <m/>
    <m/>
    <m/>
    <m/>
    <m/>
    <m/>
    <m/>
    <m/>
    <m/>
  </r>
  <r>
    <n v="3427"/>
    <n v="53834"/>
    <d v="2007-09-25T00:00:00"/>
    <n v="18"/>
    <x v="1"/>
    <x v="0"/>
    <d v="2024-12-29T00:00:00"/>
    <n v="1.5753424657534247"/>
    <x v="37"/>
    <x v="0"/>
    <x v="8"/>
    <x v="1"/>
    <n v="8.4700000000000006"/>
    <m/>
    <m/>
    <m/>
    <m/>
    <m/>
    <m/>
    <x v="1"/>
    <n v="2"/>
    <n v="5"/>
    <m/>
    <m/>
    <m/>
    <m/>
    <m/>
    <m/>
    <m/>
    <m/>
    <m/>
    <m/>
    <m/>
    <m/>
    <m/>
    <m/>
  </r>
  <r>
    <n v="3428"/>
    <n v="53835"/>
    <d v="1995-04-14T00:00:00"/>
    <n v="30"/>
    <x v="0"/>
    <x v="0"/>
    <d v="2024-06-04T00:00:00"/>
    <n v="1.6739726027397259"/>
    <x v="38"/>
    <x v="0"/>
    <x v="7"/>
    <x v="1"/>
    <n v="17.59"/>
    <m/>
    <m/>
    <m/>
    <m/>
    <m/>
    <m/>
    <x v="3"/>
    <n v="1"/>
    <n v="3"/>
    <m/>
    <m/>
    <m/>
    <m/>
    <m/>
    <m/>
    <m/>
    <m/>
    <m/>
    <m/>
    <m/>
    <m/>
    <m/>
    <m/>
  </r>
  <r>
    <n v="3429"/>
    <n v="53836"/>
    <d v="2002-11-20T00:00:00"/>
    <n v="23"/>
    <x v="0"/>
    <x v="1"/>
    <d v="2024-04-29T00:00:00"/>
    <n v="1.7726027397260273"/>
    <x v="42"/>
    <x v="0"/>
    <x v="6"/>
    <x v="1"/>
    <n v="23.78"/>
    <m/>
    <m/>
    <m/>
    <m/>
    <m/>
    <m/>
    <x v="3"/>
    <n v="5"/>
    <n v="6"/>
    <m/>
    <m/>
    <m/>
    <m/>
    <m/>
    <m/>
    <m/>
    <m/>
    <m/>
    <m/>
    <m/>
    <m/>
    <m/>
    <m/>
  </r>
  <r>
    <n v="3430"/>
    <n v="53837"/>
    <d v="2005-04-13T00:00:00"/>
    <n v="20"/>
    <x v="0"/>
    <x v="1"/>
    <d v="2024-03-24T00:00:00"/>
    <n v="1.5397260273972602"/>
    <x v="42"/>
    <x v="0"/>
    <x v="8"/>
    <x v="1"/>
    <n v="8.4700000000000006"/>
    <m/>
    <m/>
    <m/>
    <m/>
    <m/>
    <m/>
    <x v="4"/>
    <n v="4"/>
    <n v="5"/>
    <m/>
    <m/>
    <m/>
    <m/>
    <m/>
    <m/>
    <m/>
    <m/>
    <m/>
    <m/>
    <m/>
    <m/>
    <m/>
    <m/>
  </r>
  <r>
    <n v="3431"/>
    <n v="53838"/>
    <d v="2003-10-14T00:00:00"/>
    <n v="22"/>
    <x v="1"/>
    <x v="1"/>
    <d v="2024-06-17T00:00:00"/>
    <n v="1.6465753424657534"/>
    <x v="8"/>
    <x v="1"/>
    <x v="8"/>
    <x v="1"/>
    <n v="8.4700000000000006"/>
    <m/>
    <m/>
    <m/>
    <m/>
    <m/>
    <m/>
    <x v="4"/>
    <n v="2"/>
    <n v="5"/>
    <m/>
    <m/>
    <m/>
    <m/>
    <m/>
    <m/>
    <m/>
    <m/>
    <m/>
    <m/>
    <m/>
    <m/>
    <m/>
    <m/>
  </r>
  <r>
    <n v="3432"/>
    <n v="53839"/>
    <d v="2007-04-20T00:00:00"/>
    <n v="18"/>
    <x v="1"/>
    <x v="1"/>
    <d v="2024-05-09T00:00:00"/>
    <n v="1.2876712328767124"/>
    <x v="46"/>
    <x v="1"/>
    <x v="8"/>
    <x v="1"/>
    <n v="8.4700000000000006"/>
    <m/>
    <m/>
    <m/>
    <m/>
    <m/>
    <m/>
    <x v="2"/>
    <n v="0"/>
    <n v="6"/>
    <m/>
    <m/>
    <m/>
    <m/>
    <m/>
    <m/>
    <m/>
    <m/>
    <m/>
    <m/>
    <m/>
    <m/>
    <m/>
    <m/>
  </r>
  <r>
    <n v="3433"/>
    <n v="53840"/>
    <d v="2005-12-04T00:00:00"/>
    <n v="20"/>
    <x v="1"/>
    <x v="1"/>
    <d v="2024-09-17T00:00:00"/>
    <n v="1.473972602739726"/>
    <x v="115"/>
    <x v="1"/>
    <x v="8"/>
    <x v="1"/>
    <n v="8.4700000000000006"/>
    <m/>
    <m/>
    <m/>
    <m/>
    <m/>
    <m/>
    <x v="1"/>
    <n v="3"/>
    <n v="7"/>
    <m/>
    <m/>
    <m/>
    <m/>
    <m/>
    <m/>
    <m/>
    <m/>
    <m/>
    <m/>
    <m/>
    <m/>
    <m/>
    <m/>
  </r>
  <r>
    <n v="3434"/>
    <n v="53841"/>
    <d v="2002-04-20T00:00:00"/>
    <n v="23"/>
    <x v="0"/>
    <x v="1"/>
    <d v="2024-07-11T00:00:00"/>
    <n v="1.5643835616438355"/>
    <x v="130"/>
    <x v="1"/>
    <x v="2"/>
    <x v="1"/>
    <n v="14.23"/>
    <m/>
    <m/>
    <m/>
    <m/>
    <m/>
    <m/>
    <x v="1"/>
    <n v="0"/>
    <n v="3"/>
    <m/>
    <m/>
    <m/>
    <m/>
    <m/>
    <m/>
    <m/>
    <m/>
    <m/>
    <m/>
    <m/>
    <m/>
    <m/>
    <m/>
  </r>
  <r>
    <n v="3435"/>
    <n v="53842"/>
    <d v="2005-08-15T00:00:00"/>
    <n v="20"/>
    <x v="1"/>
    <x v="0"/>
    <d v="2024-06-08T00:00:00"/>
    <n v="1.6958904109589041"/>
    <x v="85"/>
    <x v="1"/>
    <x v="8"/>
    <x v="1"/>
    <n v="8.4700000000000006"/>
    <m/>
    <m/>
    <m/>
    <m/>
    <m/>
    <m/>
    <x v="1"/>
    <n v="1"/>
    <n v="6"/>
    <m/>
    <m/>
    <m/>
    <m/>
    <m/>
    <m/>
    <m/>
    <m/>
    <m/>
    <m/>
    <m/>
    <m/>
    <m/>
    <m/>
  </r>
  <r>
    <n v="3436"/>
    <n v="53843"/>
    <d v="1996-08-02T00:00:00"/>
    <n v="29"/>
    <x v="0"/>
    <x v="1"/>
    <d v="2024-04-21T00:00:00"/>
    <n v="1.8438356164383563"/>
    <x v="91"/>
    <x v="1"/>
    <x v="7"/>
    <x v="1"/>
    <n v="17.59"/>
    <m/>
    <m/>
    <m/>
    <m/>
    <m/>
    <m/>
    <x v="1"/>
    <n v="0"/>
    <n v="5"/>
    <m/>
    <m/>
    <m/>
    <m/>
    <m/>
    <m/>
    <m/>
    <m/>
    <m/>
    <m/>
    <m/>
    <m/>
    <m/>
    <m/>
  </r>
  <r>
    <n v="3437"/>
    <n v="53844"/>
    <d v="2000-05-28T00:00:00"/>
    <n v="25"/>
    <x v="1"/>
    <x v="0"/>
    <d v="2024-02-27T00:00:00"/>
    <n v="1.441095890410959"/>
    <x v="66"/>
    <x v="1"/>
    <x v="8"/>
    <x v="1"/>
    <n v="8.4700000000000006"/>
    <m/>
    <m/>
    <m/>
    <m/>
    <m/>
    <m/>
    <x v="4"/>
    <n v="1"/>
    <n v="7"/>
    <m/>
    <m/>
    <m/>
    <m/>
    <m/>
    <m/>
    <m/>
    <m/>
    <m/>
    <m/>
    <m/>
    <m/>
    <m/>
    <m/>
  </r>
  <r>
    <n v="3438"/>
    <n v="53845"/>
    <d v="2003-03-02T00:00:00"/>
    <n v="22"/>
    <x v="0"/>
    <x v="0"/>
    <d v="2024-07-23T00:00:00"/>
    <n v="1.1260273972602739"/>
    <x v="69"/>
    <x v="1"/>
    <x v="8"/>
    <x v="1"/>
    <n v="8.4700000000000006"/>
    <m/>
    <m/>
    <m/>
    <m/>
    <m/>
    <m/>
    <x v="4"/>
    <n v="2"/>
    <n v="5"/>
    <m/>
    <m/>
    <m/>
    <m/>
    <m/>
    <m/>
    <m/>
    <m/>
    <m/>
    <m/>
    <m/>
    <m/>
    <m/>
    <m/>
  </r>
  <r>
    <n v="3439"/>
    <n v="53846"/>
    <d v="2001-11-21T00:00:00"/>
    <n v="24"/>
    <x v="1"/>
    <x v="1"/>
    <d v="2024-11-15T00:00:00"/>
    <n v="1.6136986301369862"/>
    <x v="69"/>
    <x v="1"/>
    <x v="8"/>
    <x v="1"/>
    <n v="8.4700000000000006"/>
    <m/>
    <m/>
    <m/>
    <m/>
    <m/>
    <m/>
    <x v="3"/>
    <n v="1"/>
    <n v="5"/>
    <m/>
    <m/>
    <m/>
    <m/>
    <m/>
    <m/>
    <m/>
    <m/>
    <m/>
    <m/>
    <m/>
    <m/>
    <m/>
    <m/>
  </r>
  <r>
    <n v="3440"/>
    <n v="53847"/>
    <d v="2002-06-16T00:00:00"/>
    <n v="23"/>
    <x v="1"/>
    <x v="0"/>
    <d v="2024-05-21T00:00:00"/>
    <n v="1.3616438356164384"/>
    <x v="70"/>
    <x v="1"/>
    <x v="8"/>
    <x v="1"/>
    <n v="8.4700000000000006"/>
    <m/>
    <m/>
    <m/>
    <m/>
    <m/>
    <m/>
    <x v="2"/>
    <n v="4"/>
    <n v="6"/>
    <m/>
    <m/>
    <m/>
    <m/>
    <m/>
    <m/>
    <m/>
    <m/>
    <m/>
    <m/>
    <m/>
    <m/>
    <m/>
    <m/>
  </r>
  <r>
    <n v="3441"/>
    <n v="53848"/>
    <d v="2003-08-15T00:00:00"/>
    <n v="22"/>
    <x v="1"/>
    <x v="0"/>
    <d v="2024-08-21T00:00:00"/>
    <n v="1.7287671232876711"/>
    <x v="122"/>
    <x v="1"/>
    <x v="8"/>
    <x v="1"/>
    <n v="8.4700000000000006"/>
    <m/>
    <m/>
    <m/>
    <m/>
    <m/>
    <m/>
    <x v="4"/>
    <n v="3"/>
    <n v="6"/>
    <m/>
    <m/>
    <m/>
    <m/>
    <m/>
    <m/>
    <m/>
    <m/>
    <m/>
    <m/>
    <m/>
    <m/>
    <m/>
    <m/>
  </r>
  <r>
    <n v="3442"/>
    <n v="53849"/>
    <d v="1998-10-16T00:00:00"/>
    <n v="27"/>
    <x v="1"/>
    <x v="1"/>
    <d v="2024-04-09T00:00:00"/>
    <n v="1.1205479452054794"/>
    <x v="93"/>
    <x v="1"/>
    <x v="8"/>
    <x v="1"/>
    <n v="8.4700000000000006"/>
    <m/>
    <m/>
    <m/>
    <m/>
    <m/>
    <m/>
    <x v="3"/>
    <n v="0"/>
    <n v="5"/>
    <m/>
    <m/>
    <m/>
    <m/>
    <m/>
    <m/>
    <m/>
    <m/>
    <m/>
    <m/>
    <m/>
    <m/>
    <m/>
    <m/>
  </r>
  <r>
    <n v="3443"/>
    <n v="53850"/>
    <d v="2005-06-01T00:00:00"/>
    <n v="21"/>
    <x v="1"/>
    <x v="0"/>
    <d v="2024-11-17T00:00:00"/>
    <n v="1.0082191780821919"/>
    <x v="112"/>
    <x v="1"/>
    <x v="8"/>
    <x v="1"/>
    <n v="8.4700000000000006"/>
    <m/>
    <m/>
    <m/>
    <m/>
    <m/>
    <m/>
    <x v="2"/>
    <n v="0"/>
    <n v="5"/>
    <m/>
    <m/>
    <m/>
    <m/>
    <m/>
    <m/>
    <m/>
    <m/>
    <m/>
    <m/>
    <m/>
    <m/>
    <m/>
    <m/>
  </r>
  <r>
    <n v="3444"/>
    <n v="53851"/>
    <d v="1999-10-12T00:00:00"/>
    <n v="26"/>
    <x v="1"/>
    <x v="0"/>
    <d v="2024-12-28T00:00:00"/>
    <n v="1.2712328767123289"/>
    <x v="98"/>
    <x v="1"/>
    <x v="8"/>
    <x v="1"/>
    <n v="8.4700000000000006"/>
    <m/>
    <m/>
    <m/>
    <m/>
    <m/>
    <m/>
    <x v="3"/>
    <n v="3"/>
    <n v="6"/>
    <m/>
    <m/>
    <m/>
    <m/>
    <m/>
    <m/>
    <m/>
    <m/>
    <m/>
    <m/>
    <m/>
    <m/>
    <m/>
    <m/>
  </r>
  <r>
    <n v="3445"/>
    <n v="53852"/>
    <d v="2005-05-02T00:00:00"/>
    <n v="20"/>
    <x v="1"/>
    <x v="1"/>
    <d v="2024-09-23T00:00:00"/>
    <n v="1.3342465753424657"/>
    <x v="103"/>
    <x v="1"/>
    <x v="10"/>
    <x v="1"/>
    <n v="10.64"/>
    <m/>
    <m/>
    <m/>
    <m/>
    <m/>
    <m/>
    <x v="1"/>
    <n v="0"/>
    <n v="5"/>
    <m/>
    <m/>
    <m/>
    <m/>
    <m/>
    <m/>
    <m/>
    <m/>
    <m/>
    <m/>
    <m/>
    <m/>
    <m/>
    <m/>
  </r>
  <r>
    <n v="3446"/>
    <n v="53853"/>
    <d v="1991-02-02T00:00:00"/>
    <n v="34"/>
    <x v="1"/>
    <x v="1"/>
    <d v="2024-08-31T00:00:00"/>
    <n v="1.1452054794520548"/>
    <x v="106"/>
    <x v="1"/>
    <x v="7"/>
    <x v="1"/>
    <n v="17.59"/>
    <m/>
    <m/>
    <m/>
    <m/>
    <m/>
    <m/>
    <x v="3"/>
    <n v="2"/>
    <n v="7"/>
    <m/>
    <m/>
    <m/>
    <m/>
    <m/>
    <m/>
    <m/>
    <m/>
    <m/>
    <m/>
    <m/>
    <m/>
    <m/>
    <m/>
  </r>
  <r>
    <n v="3447"/>
    <n v="53854"/>
    <d v="2006-10-08T00:00:00"/>
    <n v="19"/>
    <x v="1"/>
    <x v="0"/>
    <d v="2024-11-08T00:00:00"/>
    <n v="1.3479452054794521"/>
    <x v="16"/>
    <x v="0"/>
    <x v="9"/>
    <x v="1"/>
    <n v="14.07"/>
    <m/>
    <m/>
    <m/>
    <m/>
    <m/>
    <m/>
    <x v="2"/>
    <n v="1"/>
    <n v="7"/>
    <m/>
    <m/>
    <m/>
    <m/>
    <m/>
    <m/>
    <m/>
    <m/>
    <m/>
    <m/>
    <m/>
    <m/>
    <m/>
    <m/>
  </r>
  <r>
    <n v="3448"/>
    <n v="53855"/>
    <d v="2000-08-26T00:00:00"/>
    <n v="25"/>
    <x v="0"/>
    <x v="0"/>
    <d v="2024-08-26T00:00:00"/>
    <n v="1.0410958904109588"/>
    <x v="63"/>
    <x v="0"/>
    <x v="7"/>
    <x v="1"/>
    <n v="17.59"/>
    <m/>
    <m/>
    <m/>
    <m/>
    <m/>
    <m/>
    <x v="4"/>
    <n v="2"/>
    <n v="3"/>
    <m/>
    <m/>
    <m/>
    <m/>
    <m/>
    <m/>
    <m/>
    <m/>
    <m/>
    <m/>
    <m/>
    <m/>
    <m/>
    <m/>
  </r>
  <r>
    <n v="3449"/>
    <n v="53856"/>
    <d v="2000-10-31T00:00:00"/>
    <n v="25"/>
    <x v="1"/>
    <x v="1"/>
    <d v="2024-12-16T00:00:00"/>
    <n v="1.6356164383561644"/>
    <x v="70"/>
    <x v="1"/>
    <x v="7"/>
    <x v="1"/>
    <n v="17.59"/>
    <m/>
    <m/>
    <m/>
    <m/>
    <m/>
    <m/>
    <x v="3"/>
    <n v="2"/>
    <n v="6"/>
    <m/>
    <m/>
    <m/>
    <m/>
    <m/>
    <m/>
    <m/>
    <m/>
    <m/>
    <m/>
    <m/>
    <m/>
    <m/>
    <m/>
  </r>
  <r>
    <n v="3450"/>
    <n v="53857"/>
    <d v="2002-06-22T00:00:00"/>
    <n v="23"/>
    <x v="1"/>
    <x v="0"/>
    <d v="2024-05-13T00:00:00"/>
    <n v="1.3671232876712329"/>
    <x v="16"/>
    <x v="0"/>
    <x v="7"/>
    <x v="1"/>
    <n v="17.59"/>
    <m/>
    <m/>
    <m/>
    <m/>
    <m/>
    <m/>
    <x v="4"/>
    <n v="3"/>
    <n v="6"/>
    <m/>
    <m/>
    <m/>
    <m/>
    <m/>
    <m/>
    <m/>
    <m/>
    <m/>
    <m/>
    <m/>
    <m/>
    <m/>
    <m/>
  </r>
  <r>
    <n v="3451"/>
    <n v="53858"/>
    <d v="2001-08-05T00:00:00"/>
    <n v="24"/>
    <x v="1"/>
    <x v="1"/>
    <d v="2024-08-19T00:00:00"/>
    <n v="1.4657534246575343"/>
    <x v="24"/>
    <x v="0"/>
    <x v="7"/>
    <x v="1"/>
    <n v="17.59"/>
    <m/>
    <m/>
    <m/>
    <m/>
    <m/>
    <m/>
    <x v="2"/>
    <n v="2"/>
    <n v="5"/>
    <m/>
    <m/>
    <m/>
    <m/>
    <m/>
    <m/>
    <m/>
    <m/>
    <m/>
    <m/>
    <m/>
    <m/>
    <m/>
    <m/>
  </r>
  <r>
    <n v="3452"/>
    <n v="53859"/>
    <d v="2001-05-04T00:00:00"/>
    <n v="24"/>
    <x v="0"/>
    <x v="1"/>
    <d v="2024-07-14T00:00:00"/>
    <n v="1.7123287671232876"/>
    <x v="108"/>
    <x v="1"/>
    <x v="6"/>
    <x v="1"/>
    <n v="23.78"/>
    <m/>
    <m/>
    <m/>
    <m/>
    <m/>
    <m/>
    <x v="4"/>
    <n v="5"/>
    <n v="6"/>
    <m/>
    <m/>
    <m/>
    <m/>
    <m/>
    <m/>
    <m/>
    <m/>
    <m/>
    <m/>
    <m/>
    <m/>
    <m/>
    <m/>
  </r>
  <r>
    <n v="3453"/>
    <n v="53860"/>
    <d v="1997-09-19T00:00:00"/>
    <n v="28"/>
    <x v="1"/>
    <x v="1"/>
    <d v="2024-04-15T00:00:00"/>
    <n v="1.1013698630136985"/>
    <x v="58"/>
    <x v="1"/>
    <x v="1"/>
    <x v="1"/>
    <n v="16.37"/>
    <m/>
    <m/>
    <m/>
    <m/>
    <m/>
    <m/>
    <x v="1"/>
    <n v="2"/>
    <n v="7"/>
    <m/>
    <m/>
    <m/>
    <m/>
    <m/>
    <m/>
    <m/>
    <m/>
    <m/>
    <m/>
    <m/>
    <m/>
    <m/>
    <m/>
  </r>
  <r>
    <n v="3454"/>
    <n v="53861"/>
    <d v="1990-08-25T00:00:00"/>
    <n v="35"/>
    <x v="0"/>
    <x v="1"/>
    <d v="2024-11-24T00:00:00"/>
    <n v="1.3205479452054794"/>
    <x v="96"/>
    <x v="1"/>
    <x v="6"/>
    <x v="1"/>
    <n v="23.78"/>
    <m/>
    <m/>
    <m/>
    <m/>
    <m/>
    <m/>
    <x v="4"/>
    <n v="4"/>
    <n v="4"/>
    <m/>
    <m/>
    <m/>
    <m/>
    <m/>
    <m/>
    <m/>
    <m/>
    <m/>
    <m/>
    <m/>
    <m/>
    <m/>
    <m/>
  </r>
  <r>
    <n v="3455"/>
    <n v="53864"/>
    <d v="1996-02-06T00:00:00"/>
    <n v="29"/>
    <x v="1"/>
    <x v="1"/>
    <d v="2024-09-05T00:00:00"/>
    <n v="1.0383561643835617"/>
    <x v="136"/>
    <x v="0"/>
    <x v="8"/>
    <x v="1"/>
    <n v="8.4700000000000006"/>
    <m/>
    <m/>
    <m/>
    <m/>
    <m/>
    <m/>
    <x v="4"/>
    <n v="2"/>
    <n v="6"/>
    <m/>
    <m/>
    <m/>
    <m/>
    <m/>
    <m/>
    <m/>
    <m/>
    <m/>
    <m/>
    <m/>
    <m/>
    <m/>
    <m/>
  </r>
  <r>
    <n v="3456"/>
    <n v="53865"/>
    <d v="1999-04-05T00:00:00"/>
    <n v="26"/>
    <x v="1"/>
    <x v="1"/>
    <d v="2024-12-17T00:00:00"/>
    <n v="1.484931506849315"/>
    <x v="37"/>
    <x v="0"/>
    <x v="7"/>
    <x v="1"/>
    <n v="17.59"/>
    <m/>
    <m/>
    <m/>
    <m/>
    <m/>
    <m/>
    <x v="2"/>
    <n v="2"/>
    <n v="6"/>
    <m/>
    <m/>
    <m/>
    <m/>
    <m/>
    <m/>
    <m/>
    <m/>
    <m/>
    <m/>
    <m/>
    <m/>
    <m/>
    <m/>
  </r>
  <r>
    <n v="3457"/>
    <n v="53866"/>
    <d v="1993-07-09T00:00:00"/>
    <n v="32"/>
    <x v="1"/>
    <x v="1"/>
    <d v="2024-07-07T00:00:00"/>
    <n v="1.6493150684931508"/>
    <x v="122"/>
    <x v="1"/>
    <x v="8"/>
    <x v="1"/>
    <n v="8.4700000000000006"/>
    <m/>
    <m/>
    <m/>
    <m/>
    <m/>
    <m/>
    <x v="2"/>
    <n v="4"/>
    <n v="6"/>
    <m/>
    <m/>
    <m/>
    <m/>
    <m/>
    <m/>
    <m/>
    <m/>
    <m/>
    <m/>
    <m/>
    <m/>
    <m/>
    <m/>
  </r>
  <r>
    <n v="3458"/>
    <n v="53868"/>
    <d v="2000-08-21T00:00:00"/>
    <n v="25"/>
    <x v="0"/>
    <x v="0"/>
    <d v="2024-05-08T00:00:00"/>
    <n v="1.021917808219178"/>
    <x v="92"/>
    <x v="1"/>
    <x v="10"/>
    <x v="1"/>
    <n v="10.64"/>
    <m/>
    <m/>
    <m/>
    <m/>
    <m/>
    <m/>
    <x v="1"/>
    <n v="1"/>
    <n v="4"/>
    <m/>
    <m/>
    <m/>
    <m/>
    <m/>
    <m/>
    <m/>
    <m/>
    <m/>
    <m/>
    <m/>
    <m/>
    <m/>
    <m/>
  </r>
  <r>
    <n v="3459"/>
    <n v="53869"/>
    <d v="1996-02-19T00:00:00"/>
    <n v="29"/>
    <x v="0"/>
    <x v="1"/>
    <d v="2024-12-23T00:00:00"/>
    <n v="1.5863013698630137"/>
    <x v="2"/>
    <x v="0"/>
    <x v="7"/>
    <x v="1"/>
    <n v="17.59"/>
    <m/>
    <m/>
    <m/>
    <m/>
    <m/>
    <m/>
    <x v="2"/>
    <n v="2"/>
    <n v="4"/>
    <m/>
    <m/>
    <m/>
    <m/>
    <m/>
    <m/>
    <m/>
    <m/>
    <m/>
    <m/>
    <m/>
    <m/>
    <m/>
    <m/>
  </r>
  <r>
    <n v="3460"/>
    <n v="53870"/>
    <d v="2003-03-03T00:00:00"/>
    <n v="22"/>
    <x v="1"/>
    <x v="1"/>
    <d v="2024-05-31T00:00:00"/>
    <n v="1.7506849315068493"/>
    <x v="41"/>
    <x v="0"/>
    <x v="8"/>
    <x v="1"/>
    <n v="8.4700000000000006"/>
    <m/>
    <m/>
    <m/>
    <m/>
    <m/>
    <m/>
    <x v="3"/>
    <n v="3"/>
    <n v="6"/>
    <m/>
    <m/>
    <m/>
    <m/>
    <m/>
    <m/>
    <m/>
    <m/>
    <m/>
    <m/>
    <m/>
    <m/>
    <m/>
    <m/>
  </r>
  <r>
    <n v="3461"/>
    <n v="53871"/>
    <d v="2004-04-22T00:00:00"/>
    <n v="21"/>
    <x v="1"/>
    <x v="1"/>
    <d v="2024-04-01T00:00:00"/>
    <n v="1.1397260273972603"/>
    <x v="115"/>
    <x v="1"/>
    <x v="9"/>
    <x v="1"/>
    <n v="14.07"/>
    <m/>
    <m/>
    <m/>
    <m/>
    <m/>
    <m/>
    <x v="1"/>
    <n v="0"/>
    <n v="5"/>
    <m/>
    <m/>
    <m/>
    <m/>
    <m/>
    <m/>
    <m/>
    <m/>
    <m/>
    <m/>
    <m/>
    <m/>
    <m/>
    <m/>
  </r>
  <r>
    <n v="3462"/>
    <n v="53872"/>
    <d v="2004-10-21T00:00:00"/>
    <n v="21"/>
    <x v="0"/>
    <x v="1"/>
    <d v="2024-11-10T00:00:00"/>
    <n v="1.0602739726027397"/>
    <x v="2"/>
    <x v="0"/>
    <x v="10"/>
    <x v="1"/>
    <n v="10.64"/>
    <m/>
    <m/>
    <m/>
    <m/>
    <m/>
    <m/>
    <x v="2"/>
    <n v="0"/>
    <n v="5"/>
    <m/>
    <m/>
    <m/>
    <m/>
    <m/>
    <m/>
    <m/>
    <m/>
    <m/>
    <m/>
    <m/>
    <m/>
    <m/>
    <m/>
  </r>
  <r>
    <n v="3463"/>
    <n v="53873"/>
    <d v="2001-09-02T00:00:00"/>
    <n v="24"/>
    <x v="1"/>
    <x v="0"/>
    <d v="2024-12-09T00:00:00"/>
    <n v="1.2547945205479452"/>
    <x v="27"/>
    <x v="0"/>
    <x v="7"/>
    <x v="1"/>
    <n v="17.59"/>
    <m/>
    <m/>
    <m/>
    <m/>
    <m/>
    <m/>
    <x v="3"/>
    <n v="1"/>
    <n v="6"/>
    <m/>
    <m/>
    <m/>
    <m/>
    <m/>
    <m/>
    <m/>
    <m/>
    <m/>
    <m/>
    <m/>
    <m/>
    <m/>
    <m/>
  </r>
  <r>
    <n v="3464"/>
    <n v="53874"/>
    <d v="2003-06-06T00:00:00"/>
    <n v="22"/>
    <x v="1"/>
    <x v="1"/>
    <d v="2024-09-29T00:00:00"/>
    <n v="1.021917808219178"/>
    <x v="24"/>
    <x v="0"/>
    <x v="8"/>
    <x v="1"/>
    <n v="8.4700000000000006"/>
    <m/>
    <m/>
    <m/>
    <m/>
    <m/>
    <m/>
    <x v="2"/>
    <n v="1"/>
    <n v="5"/>
    <m/>
    <m/>
    <m/>
    <m/>
    <m/>
    <m/>
    <m/>
    <m/>
    <m/>
    <m/>
    <m/>
    <m/>
    <m/>
    <m/>
  </r>
  <r>
    <n v="3465"/>
    <n v="53875"/>
    <d v="1986-08-24T00:00:00"/>
    <n v="39"/>
    <x v="0"/>
    <x v="0"/>
    <d v="2024-12-23T00:00:00"/>
    <n v="1.2246575342465753"/>
    <x v="91"/>
    <x v="1"/>
    <x v="6"/>
    <x v="1"/>
    <n v="23.78"/>
    <m/>
    <m/>
    <m/>
    <m/>
    <m/>
    <m/>
    <x v="1"/>
    <n v="7"/>
    <n v="5"/>
    <m/>
    <m/>
    <m/>
    <m/>
    <m/>
    <m/>
    <m/>
    <m/>
    <m/>
    <m/>
    <m/>
    <m/>
    <m/>
    <m/>
  </r>
  <r>
    <n v="3466"/>
    <n v="53876"/>
    <d v="2000-07-31T00:00:00"/>
    <n v="25"/>
    <x v="1"/>
    <x v="0"/>
    <d v="2024-10-10T00:00:00"/>
    <n v="1.6136986301369862"/>
    <x v="101"/>
    <x v="1"/>
    <x v="11"/>
    <x v="1"/>
    <n v="17"/>
    <m/>
    <m/>
    <m/>
    <m/>
    <m/>
    <m/>
    <x v="1"/>
    <n v="2"/>
    <n v="6"/>
    <m/>
    <m/>
    <m/>
    <m/>
    <m/>
    <m/>
    <m/>
    <m/>
    <m/>
    <m/>
    <m/>
    <m/>
    <m/>
    <m/>
  </r>
  <r>
    <n v="3467"/>
    <n v="53877"/>
    <d v="2000-10-04T00:00:00"/>
    <n v="25"/>
    <x v="0"/>
    <x v="1"/>
    <d v="2024-05-21T00:00:00"/>
    <n v="1.4602739726027398"/>
    <x v="17"/>
    <x v="0"/>
    <x v="7"/>
    <x v="1"/>
    <n v="17.59"/>
    <m/>
    <m/>
    <m/>
    <m/>
    <m/>
    <m/>
    <x v="4"/>
    <n v="1"/>
    <n v="4"/>
    <m/>
    <m/>
    <m/>
    <m/>
    <m/>
    <m/>
    <m/>
    <m/>
    <m/>
    <m/>
    <m/>
    <m/>
    <m/>
    <m/>
  </r>
  <r>
    <n v="3468"/>
    <n v="53878"/>
    <d v="1994-11-13T00:00:00"/>
    <n v="31"/>
    <x v="0"/>
    <x v="1"/>
    <d v="2024-07-16T00:00:00"/>
    <n v="1.0657534246575342"/>
    <x v="87"/>
    <x v="0"/>
    <x v="7"/>
    <x v="1"/>
    <n v="17.59"/>
    <m/>
    <m/>
    <m/>
    <m/>
    <m/>
    <m/>
    <x v="3"/>
    <n v="1"/>
    <n v="4"/>
    <m/>
    <m/>
    <m/>
    <m/>
    <m/>
    <m/>
    <m/>
    <m/>
    <m/>
    <m/>
    <m/>
    <m/>
    <m/>
    <m/>
  </r>
  <r>
    <n v="3469"/>
    <n v="53879"/>
    <d v="2002-10-24T00:00:00"/>
    <n v="23"/>
    <x v="0"/>
    <x v="1"/>
    <d v="2024-12-07T00:00:00"/>
    <n v="1.463013698630137"/>
    <x v="138"/>
    <x v="0"/>
    <x v="9"/>
    <x v="1"/>
    <n v="14.07"/>
    <m/>
    <m/>
    <m/>
    <m/>
    <m/>
    <m/>
    <x v="3"/>
    <n v="1"/>
    <n v="4"/>
    <m/>
    <m/>
    <m/>
    <m/>
    <m/>
    <m/>
    <m/>
    <m/>
    <m/>
    <m/>
    <m/>
    <m/>
    <m/>
    <m/>
  </r>
  <r>
    <n v="3470"/>
    <n v="53880"/>
    <d v="1993-02-13T00:00:00"/>
    <n v="32"/>
    <x v="0"/>
    <x v="1"/>
    <d v="2024-07-15T00:00:00"/>
    <n v="1.178082191780822"/>
    <x v="104"/>
    <x v="1"/>
    <x v="7"/>
    <x v="1"/>
    <n v="17.59"/>
    <m/>
    <m/>
    <m/>
    <m/>
    <m/>
    <m/>
    <x v="3"/>
    <n v="1"/>
    <n v="5"/>
    <m/>
    <m/>
    <m/>
    <m/>
    <m/>
    <m/>
    <m/>
    <m/>
    <m/>
    <m/>
    <m/>
    <m/>
    <m/>
    <m/>
  </r>
  <r>
    <n v="3471"/>
    <n v="53881"/>
    <d v="1991-01-10T00:00:00"/>
    <n v="34"/>
    <x v="0"/>
    <x v="1"/>
    <d v="2024-10-27T00:00:00"/>
    <n v="1.2904109589041095"/>
    <x v="115"/>
    <x v="1"/>
    <x v="7"/>
    <x v="1"/>
    <n v="17.59"/>
    <m/>
    <m/>
    <m/>
    <m/>
    <m/>
    <m/>
    <x v="4"/>
    <n v="4"/>
    <n v="6"/>
    <m/>
    <m/>
    <m/>
    <m/>
    <m/>
    <m/>
    <m/>
    <m/>
    <m/>
    <m/>
    <m/>
    <m/>
    <m/>
    <m/>
  </r>
  <r>
    <n v="3472"/>
    <n v="53882"/>
    <d v="2005-03-10T00:00:00"/>
    <n v="20"/>
    <x v="1"/>
    <x v="0"/>
    <d v="2024-09-16T00:00:00"/>
    <n v="1.0794520547945206"/>
    <x v="85"/>
    <x v="1"/>
    <x v="1"/>
    <x v="1"/>
    <n v="16.37"/>
    <m/>
    <m/>
    <m/>
    <m/>
    <m/>
    <m/>
    <x v="1"/>
    <n v="2"/>
    <n v="7"/>
    <m/>
    <m/>
    <m/>
    <m/>
    <m/>
    <m/>
    <m/>
    <m/>
    <m/>
    <m/>
    <m/>
    <m/>
    <m/>
    <m/>
  </r>
  <r>
    <n v="3473"/>
    <n v="53884"/>
    <d v="2004-06-06T00:00:00"/>
    <n v="21"/>
    <x v="1"/>
    <x v="0"/>
    <d v="2024-12-02T00:00:00"/>
    <n v="1.2054794520547945"/>
    <x v="125"/>
    <x v="1"/>
    <x v="3"/>
    <x v="1"/>
    <n v="8.4700000000000006"/>
    <m/>
    <m/>
    <m/>
    <m/>
    <m/>
    <m/>
    <x v="4"/>
    <n v="1"/>
    <n v="6"/>
    <m/>
    <m/>
    <m/>
    <m/>
    <m/>
    <m/>
    <m/>
    <m/>
    <m/>
    <m/>
    <m/>
    <m/>
    <m/>
    <m/>
  </r>
  <r>
    <n v="3474"/>
    <n v="53885"/>
    <d v="2000-06-29T00:00:00"/>
    <n v="25"/>
    <x v="1"/>
    <x v="0"/>
    <d v="2024-10-17T00:00:00"/>
    <n v="1.0410958904109588"/>
    <x v="10"/>
    <x v="0"/>
    <x v="8"/>
    <x v="1"/>
    <n v="8.4700000000000006"/>
    <m/>
    <m/>
    <m/>
    <m/>
    <m/>
    <m/>
    <x v="4"/>
    <n v="4"/>
    <n v="5"/>
    <m/>
    <m/>
    <m/>
    <m/>
    <m/>
    <m/>
    <m/>
    <m/>
    <m/>
    <m/>
    <m/>
    <m/>
    <m/>
    <m/>
  </r>
  <r>
    <n v="3475"/>
    <n v="53886"/>
    <d v="1999-08-09T00:00:00"/>
    <n v="26"/>
    <x v="0"/>
    <x v="0"/>
    <d v="2024-12-16T00:00:00"/>
    <n v="1.6986301369863013"/>
    <x v="70"/>
    <x v="1"/>
    <x v="10"/>
    <x v="1"/>
    <n v="10.64"/>
    <m/>
    <m/>
    <m/>
    <m/>
    <m/>
    <m/>
    <x v="2"/>
    <n v="0"/>
    <n v="4"/>
    <m/>
    <m/>
    <m/>
    <m/>
    <m/>
    <m/>
    <m/>
    <m/>
    <m/>
    <m/>
    <m/>
    <m/>
    <m/>
    <m/>
  </r>
  <r>
    <n v="3476"/>
    <n v="53888"/>
    <d v="2004-09-27T00:00:00"/>
    <n v="21"/>
    <x v="0"/>
    <x v="1"/>
    <d v="2024-04-20T00:00:00"/>
    <n v="1.0356164383561643"/>
    <x v="101"/>
    <x v="1"/>
    <x v="2"/>
    <x v="1"/>
    <n v="14.23"/>
    <m/>
    <m/>
    <m/>
    <m/>
    <m/>
    <m/>
    <x v="2"/>
    <n v="0"/>
    <n v="3"/>
    <m/>
    <m/>
    <m/>
    <m/>
    <m/>
    <m/>
    <m/>
    <m/>
    <m/>
    <m/>
    <m/>
    <m/>
    <m/>
    <m/>
  </r>
  <r>
    <n v="3477"/>
    <n v="53889"/>
    <d v="2001-09-26T00:00:00"/>
    <n v="24"/>
    <x v="0"/>
    <x v="1"/>
    <d v="2024-12-18T00:00:00"/>
    <n v="1.4273972602739726"/>
    <x v="10"/>
    <x v="0"/>
    <x v="8"/>
    <x v="1"/>
    <n v="8.4700000000000006"/>
    <m/>
    <m/>
    <m/>
    <m/>
    <m/>
    <m/>
    <x v="2"/>
    <n v="2"/>
    <n v="5"/>
    <m/>
    <m/>
    <m/>
    <m/>
    <m/>
    <m/>
    <m/>
    <m/>
    <m/>
    <m/>
    <m/>
    <m/>
    <m/>
    <m/>
  </r>
  <r>
    <n v="3478"/>
    <n v="53890"/>
    <d v="2001-12-16T00:00:00"/>
    <n v="24"/>
    <x v="1"/>
    <x v="1"/>
    <d v="2024-07-28T00:00:00"/>
    <n v="1.1589041095890411"/>
    <x v="87"/>
    <x v="0"/>
    <x v="10"/>
    <x v="1"/>
    <n v="10.64"/>
    <m/>
    <m/>
    <m/>
    <m/>
    <m/>
    <m/>
    <x v="4"/>
    <n v="1"/>
    <n v="4"/>
    <m/>
    <m/>
    <m/>
    <m/>
    <m/>
    <m/>
    <m/>
    <m/>
    <m/>
    <m/>
    <m/>
    <m/>
    <m/>
    <m/>
  </r>
  <r>
    <n v="3479"/>
    <n v="53891"/>
    <d v="2002-02-07T00:00:00"/>
    <n v="23"/>
    <x v="0"/>
    <x v="0"/>
    <d v="2024-11-03T00:00:00"/>
    <n v="1.3835616438356164"/>
    <x v="95"/>
    <x v="1"/>
    <x v="7"/>
    <x v="1"/>
    <n v="17.59"/>
    <m/>
    <m/>
    <m/>
    <m/>
    <m/>
    <m/>
    <x v="3"/>
    <n v="3"/>
    <n v="6"/>
    <m/>
    <m/>
    <m/>
    <m/>
    <m/>
    <m/>
    <m/>
    <m/>
    <m/>
    <m/>
    <m/>
    <m/>
    <m/>
    <m/>
  </r>
  <r>
    <n v="3480"/>
    <n v="53892"/>
    <d v="1989-11-04T00:00:00"/>
    <n v="36"/>
    <x v="1"/>
    <x v="1"/>
    <d v="2024-08-13T00:00:00"/>
    <n v="1.6520547945205479"/>
    <x v="74"/>
    <x v="1"/>
    <x v="7"/>
    <x v="1"/>
    <n v="17.59"/>
    <m/>
    <m/>
    <m/>
    <m/>
    <m/>
    <m/>
    <x v="1"/>
    <n v="0"/>
    <n v="6"/>
    <m/>
    <m/>
    <m/>
    <m/>
    <m/>
    <m/>
    <m/>
    <m/>
    <m/>
    <m/>
    <m/>
    <m/>
    <m/>
    <m/>
  </r>
  <r>
    <n v="3481"/>
    <n v="53893"/>
    <d v="2007-03-03T00:00:00"/>
    <n v="18"/>
    <x v="0"/>
    <x v="1"/>
    <d v="2024-05-07T00:00:00"/>
    <n v="1.0328767123287672"/>
    <x v="128"/>
    <x v="1"/>
    <x v="8"/>
    <x v="1"/>
    <n v="8.4700000000000006"/>
    <m/>
    <m/>
    <m/>
    <m/>
    <m/>
    <m/>
    <x v="2"/>
    <n v="1"/>
    <n v="3"/>
    <m/>
    <m/>
    <m/>
    <m/>
    <m/>
    <m/>
    <m/>
    <m/>
    <m/>
    <m/>
    <m/>
    <m/>
    <m/>
    <m/>
  </r>
  <r>
    <n v="3482"/>
    <n v="53894"/>
    <d v="2004-02-03T00:00:00"/>
    <n v="21"/>
    <x v="1"/>
    <x v="1"/>
    <d v="2024-12-19T00:00:00"/>
    <n v="1.6520547945205479"/>
    <x v="18"/>
    <x v="0"/>
    <x v="8"/>
    <x v="1"/>
    <n v="8.4700000000000006"/>
    <m/>
    <m/>
    <m/>
    <m/>
    <m/>
    <m/>
    <x v="1"/>
    <n v="2"/>
    <n v="6"/>
    <m/>
    <m/>
    <m/>
    <m/>
    <m/>
    <m/>
    <m/>
    <m/>
    <m/>
    <m/>
    <m/>
    <m/>
    <m/>
    <m/>
  </r>
  <r>
    <n v="3483"/>
    <n v="53896"/>
    <d v="1997-12-04T00:00:00"/>
    <n v="28"/>
    <x v="1"/>
    <x v="1"/>
    <d v="2024-05-07T00:00:00"/>
    <n v="1.0821917808219179"/>
    <x v="63"/>
    <x v="0"/>
    <x v="8"/>
    <x v="1"/>
    <n v="8.4700000000000006"/>
    <m/>
    <m/>
    <m/>
    <m/>
    <m/>
    <m/>
    <x v="2"/>
    <n v="4"/>
    <n v="7"/>
    <m/>
    <m/>
    <m/>
    <m/>
    <m/>
    <m/>
    <m/>
    <m/>
    <m/>
    <m/>
    <m/>
    <m/>
    <m/>
    <m/>
  </r>
  <r>
    <n v="3484"/>
    <n v="53897"/>
    <d v="2005-01-29T00:00:00"/>
    <n v="20"/>
    <x v="0"/>
    <x v="1"/>
    <d v="2024-12-01T00:00:00"/>
    <n v="1.3890410958904109"/>
    <x v="67"/>
    <x v="0"/>
    <x v="10"/>
    <x v="1"/>
    <n v="10.64"/>
    <m/>
    <m/>
    <m/>
    <m/>
    <m/>
    <m/>
    <x v="4"/>
    <n v="0"/>
    <n v="3"/>
    <m/>
    <m/>
    <m/>
    <m/>
    <m/>
    <m/>
    <m/>
    <m/>
    <m/>
    <m/>
    <m/>
    <m/>
    <m/>
    <m/>
  </r>
  <r>
    <n v="3485"/>
    <n v="53898"/>
    <d v="1998-05-24T00:00:00"/>
    <n v="27"/>
    <x v="0"/>
    <x v="1"/>
    <d v="2024-08-11T00:00:00"/>
    <n v="1.2575342465753425"/>
    <x v="59"/>
    <x v="0"/>
    <x v="9"/>
    <x v="1"/>
    <n v="14.07"/>
    <m/>
    <m/>
    <m/>
    <m/>
    <m/>
    <m/>
    <x v="4"/>
    <n v="1"/>
    <n v="5"/>
    <m/>
    <m/>
    <m/>
    <m/>
    <m/>
    <m/>
    <m/>
    <m/>
    <m/>
    <m/>
    <m/>
    <m/>
    <m/>
    <m/>
  </r>
  <r>
    <n v="3486"/>
    <n v="53899"/>
    <d v="2004-12-23T00:00:00"/>
    <n v="21"/>
    <x v="1"/>
    <x v="1"/>
    <d v="2024-09-28T00:00:00"/>
    <n v="1.7095890410958905"/>
    <x v="91"/>
    <x v="1"/>
    <x v="2"/>
    <x v="1"/>
    <n v="14.23"/>
    <m/>
    <m/>
    <m/>
    <m/>
    <m/>
    <m/>
    <x v="1"/>
    <n v="0"/>
    <n v="5"/>
    <m/>
    <m/>
    <m/>
    <m/>
    <m/>
    <m/>
    <m/>
    <m/>
    <m/>
    <m/>
    <m/>
    <m/>
    <m/>
    <m/>
  </r>
  <r>
    <n v="3487"/>
    <n v="53900"/>
    <d v="2003-06-29T00:00:00"/>
    <n v="22"/>
    <x v="0"/>
    <x v="1"/>
    <d v="2024-04-16T00:00:00"/>
    <n v="1.1534246575342466"/>
    <x v="68"/>
    <x v="1"/>
    <x v="2"/>
    <x v="1"/>
    <n v="14.23"/>
    <m/>
    <m/>
    <m/>
    <m/>
    <m/>
    <m/>
    <x v="4"/>
    <n v="1"/>
    <n v="4"/>
    <m/>
    <m/>
    <m/>
    <m/>
    <m/>
    <m/>
    <m/>
    <m/>
    <m/>
    <m/>
    <m/>
    <m/>
    <m/>
    <m/>
  </r>
  <r>
    <n v="3488"/>
    <n v="53901"/>
    <d v="2003-07-30T00:00:00"/>
    <n v="22"/>
    <x v="0"/>
    <x v="1"/>
    <d v="2024-11-05T00:00:00"/>
    <n v="1.3698630136986301"/>
    <x v="80"/>
    <x v="1"/>
    <x v="7"/>
    <x v="1"/>
    <n v="17.59"/>
    <m/>
    <m/>
    <m/>
    <m/>
    <m/>
    <m/>
    <x v="4"/>
    <n v="1"/>
    <n v="3"/>
    <m/>
    <m/>
    <m/>
    <m/>
    <m/>
    <m/>
    <m/>
    <m/>
    <m/>
    <m/>
    <m/>
    <m/>
    <m/>
    <m/>
  </r>
  <r>
    <n v="3489"/>
    <n v="53902"/>
    <d v="2001-11-10T00:00:00"/>
    <n v="24"/>
    <x v="0"/>
    <x v="1"/>
    <d v="2024-08-18T00:00:00"/>
    <n v="1.2904109589041095"/>
    <x v="134"/>
    <x v="1"/>
    <x v="7"/>
    <x v="1"/>
    <n v="17.59"/>
    <m/>
    <m/>
    <m/>
    <m/>
    <m/>
    <m/>
    <x v="4"/>
    <n v="1"/>
    <n v="4"/>
    <m/>
    <m/>
    <m/>
    <m/>
    <m/>
    <m/>
    <m/>
    <m/>
    <m/>
    <m/>
    <m/>
    <m/>
    <m/>
    <m/>
  </r>
  <r>
    <n v="3490"/>
    <n v="53903"/>
    <d v="2006-08-09T00:00:00"/>
    <n v="19"/>
    <x v="1"/>
    <x v="0"/>
    <d v="2024-09-16T00:00:00"/>
    <n v="1.4246575342465753"/>
    <x v="99"/>
    <x v="1"/>
    <x v="8"/>
    <x v="1"/>
    <n v="8.4700000000000006"/>
    <m/>
    <m/>
    <m/>
    <m/>
    <m/>
    <m/>
    <x v="1"/>
    <n v="3"/>
    <n v="6"/>
    <m/>
    <m/>
    <m/>
    <m/>
    <m/>
    <m/>
    <m/>
    <m/>
    <m/>
    <m/>
    <m/>
    <m/>
    <m/>
    <m/>
  </r>
  <r>
    <n v="3491"/>
    <n v="53905"/>
    <d v="2003-05-16T00:00:00"/>
    <n v="22"/>
    <x v="1"/>
    <x v="1"/>
    <d v="2024-07-29T00:00:00"/>
    <n v="1.5232876712328767"/>
    <x v="13"/>
    <x v="0"/>
    <x v="10"/>
    <x v="1"/>
    <n v="10.64"/>
    <m/>
    <m/>
    <m/>
    <m/>
    <m/>
    <m/>
    <x v="1"/>
    <n v="0"/>
    <n v="5"/>
    <m/>
    <m/>
    <m/>
    <m/>
    <m/>
    <m/>
    <m/>
    <m/>
    <m/>
    <m/>
    <m/>
    <m/>
    <m/>
    <m/>
  </r>
  <r>
    <n v="3492"/>
    <n v="53906"/>
    <d v="2003-05-02T00:00:00"/>
    <n v="22"/>
    <x v="1"/>
    <x v="0"/>
    <d v="2024-06-23T00:00:00"/>
    <n v="1.6767123287671233"/>
    <x v="139"/>
    <x v="0"/>
    <x v="9"/>
    <x v="1"/>
    <n v="14.07"/>
    <m/>
    <m/>
    <m/>
    <m/>
    <m/>
    <m/>
    <x v="4"/>
    <n v="0"/>
    <n v="5"/>
    <m/>
    <m/>
    <m/>
    <m/>
    <m/>
    <m/>
    <m/>
    <m/>
    <m/>
    <m/>
    <m/>
    <m/>
    <m/>
    <m/>
  </r>
  <r>
    <n v="3493"/>
    <n v="53907"/>
    <d v="1992-11-25T00:00:00"/>
    <n v="33"/>
    <x v="0"/>
    <x v="0"/>
    <d v="2024-04-28T00:00:00"/>
    <n v="1.0273972602739727"/>
    <x v="41"/>
    <x v="0"/>
    <x v="7"/>
    <x v="1"/>
    <n v="17.59"/>
    <m/>
    <m/>
    <m/>
    <m/>
    <m/>
    <m/>
    <x v="4"/>
    <n v="2"/>
    <n v="5"/>
    <m/>
    <m/>
    <m/>
    <m/>
    <m/>
    <m/>
    <m/>
    <m/>
    <m/>
    <m/>
    <m/>
    <m/>
    <m/>
    <m/>
  </r>
  <r>
    <n v="3494"/>
    <n v="53908"/>
    <d v="1999-12-02T00:00:00"/>
    <n v="26"/>
    <x v="1"/>
    <x v="0"/>
    <d v="2024-12-21T00:00:00"/>
    <n v="1.4"/>
    <x v="39"/>
    <x v="1"/>
    <x v="7"/>
    <x v="1"/>
    <n v="17.59"/>
    <m/>
    <m/>
    <m/>
    <m/>
    <m/>
    <m/>
    <x v="3"/>
    <n v="2"/>
    <n v="5"/>
    <m/>
    <m/>
    <m/>
    <m/>
    <m/>
    <m/>
    <m/>
    <m/>
    <m/>
    <m/>
    <m/>
    <m/>
    <m/>
    <m/>
  </r>
  <r>
    <n v="3495"/>
    <n v="53909"/>
    <d v="2000-10-08T00:00:00"/>
    <n v="25"/>
    <x v="1"/>
    <x v="1"/>
    <d v="2024-08-07T00:00:00"/>
    <n v="1.3068493150684932"/>
    <x v="106"/>
    <x v="1"/>
    <x v="3"/>
    <x v="1"/>
    <n v="8.4700000000000006"/>
    <m/>
    <m/>
    <m/>
    <m/>
    <m/>
    <m/>
    <x v="4"/>
    <n v="2"/>
    <n v="6"/>
    <m/>
    <m/>
    <m/>
    <m/>
    <m/>
    <m/>
    <m/>
    <m/>
    <m/>
    <m/>
    <m/>
    <m/>
    <m/>
    <m/>
  </r>
  <r>
    <n v="3496"/>
    <n v="53910"/>
    <d v="2003-10-28T00:00:00"/>
    <n v="22"/>
    <x v="1"/>
    <x v="1"/>
    <d v="2024-09-10T00:00:00"/>
    <n v="1.2136986301369863"/>
    <x v="109"/>
    <x v="1"/>
    <x v="1"/>
    <x v="1"/>
    <n v="16.37"/>
    <m/>
    <m/>
    <m/>
    <m/>
    <m/>
    <m/>
    <x v="1"/>
    <n v="1"/>
    <n v="5"/>
    <m/>
    <m/>
    <m/>
    <m/>
    <m/>
    <m/>
    <m/>
    <m/>
    <m/>
    <m/>
    <m/>
    <m/>
    <m/>
    <m/>
  </r>
  <r>
    <n v="3497"/>
    <n v="53911"/>
    <d v="1998-04-11T00:00:00"/>
    <n v="27"/>
    <x v="1"/>
    <x v="1"/>
    <d v="2024-10-14T00:00:00"/>
    <n v="1.6712328767123288"/>
    <x v="20"/>
    <x v="0"/>
    <x v="10"/>
    <x v="1"/>
    <n v="10.64"/>
    <m/>
    <m/>
    <m/>
    <m/>
    <m/>
    <m/>
    <x v="4"/>
    <n v="0"/>
    <n v="5"/>
    <m/>
    <m/>
    <m/>
    <m/>
    <m/>
    <m/>
    <m/>
    <m/>
    <m/>
    <m/>
    <m/>
    <m/>
    <m/>
    <m/>
  </r>
  <r>
    <n v="3498"/>
    <n v="53912"/>
    <d v="2005-06-17T00:00:00"/>
    <n v="20"/>
    <x v="1"/>
    <x v="1"/>
    <d v="2024-04-30T00:00:00"/>
    <n v="1.5287671232876712"/>
    <x v="78"/>
    <x v="0"/>
    <x v="8"/>
    <x v="1"/>
    <n v="8.4700000000000006"/>
    <m/>
    <m/>
    <m/>
    <m/>
    <m/>
    <m/>
    <x v="4"/>
    <n v="3"/>
    <n v="6"/>
    <m/>
    <m/>
    <m/>
    <m/>
    <m/>
    <m/>
    <m/>
    <m/>
    <m/>
    <m/>
    <m/>
    <m/>
    <m/>
    <m/>
  </r>
  <r>
    <n v="3499"/>
    <n v="53913"/>
    <d v="2005-12-12T00:00:00"/>
    <n v="20"/>
    <x v="0"/>
    <x v="1"/>
    <d v="2024-06-21T00:00:00"/>
    <n v="1.3315068493150686"/>
    <x v="138"/>
    <x v="0"/>
    <x v="10"/>
    <x v="1"/>
    <n v="10.64"/>
    <m/>
    <m/>
    <m/>
    <m/>
    <m/>
    <m/>
    <x v="2"/>
    <n v="1"/>
    <n v="5"/>
    <m/>
    <m/>
    <m/>
    <m/>
    <m/>
    <m/>
    <m/>
    <m/>
    <m/>
    <m/>
    <m/>
    <m/>
    <m/>
    <m/>
  </r>
  <r>
    <n v="3500"/>
    <n v="53914"/>
    <d v="2004-03-01T00:00:00"/>
    <n v="22"/>
    <x v="0"/>
    <x v="0"/>
    <d v="2024-09-01T00:00:00"/>
    <n v="1.6246575342465754"/>
    <x v="140"/>
    <x v="0"/>
    <x v="6"/>
    <x v="1"/>
    <n v="23.78"/>
    <m/>
    <m/>
    <m/>
    <m/>
    <m/>
    <m/>
    <x v="1"/>
    <n v="6"/>
    <n v="5"/>
    <m/>
    <m/>
    <m/>
    <m/>
    <m/>
    <m/>
    <m/>
    <m/>
    <m/>
    <m/>
    <m/>
    <m/>
    <m/>
    <m/>
  </r>
  <r>
    <n v="3501"/>
    <n v="53915"/>
    <d v="2004-12-19T00:00:00"/>
    <n v="21"/>
    <x v="0"/>
    <x v="1"/>
    <d v="2024-05-17T00:00:00"/>
    <n v="1.1698630136986301"/>
    <x v="130"/>
    <x v="1"/>
    <x v="8"/>
    <x v="1"/>
    <n v="8.4700000000000006"/>
    <m/>
    <m/>
    <m/>
    <m/>
    <m/>
    <m/>
    <x v="1"/>
    <n v="2"/>
    <n v="5"/>
    <m/>
    <m/>
    <m/>
    <m/>
    <m/>
    <m/>
    <m/>
    <m/>
    <m/>
    <m/>
    <m/>
    <m/>
    <m/>
    <m/>
  </r>
  <r>
    <n v="3502"/>
    <n v="53916"/>
    <d v="2003-02-01T00:00:00"/>
    <n v="23"/>
    <x v="0"/>
    <x v="0"/>
    <d v="2024-10-30T00:00:00"/>
    <n v="1.3397260273972602"/>
    <x v="58"/>
    <x v="1"/>
    <x v="7"/>
    <x v="1"/>
    <n v="17.59"/>
    <m/>
    <m/>
    <m/>
    <m/>
    <m/>
    <m/>
    <x v="1"/>
    <n v="0"/>
    <n v="3"/>
    <m/>
    <m/>
    <m/>
    <m/>
    <m/>
    <m/>
    <m/>
    <m/>
    <m/>
    <m/>
    <m/>
    <m/>
    <m/>
    <m/>
  </r>
  <r>
    <n v="3503"/>
    <n v="53917"/>
    <d v="1992-10-23T00:00:00"/>
    <n v="33"/>
    <x v="0"/>
    <x v="1"/>
    <d v="2024-08-29T00:00:00"/>
    <n v="1.0575342465753426"/>
    <x v="117"/>
    <x v="1"/>
    <x v="1"/>
    <x v="1"/>
    <n v="16.37"/>
    <m/>
    <m/>
    <m/>
    <m/>
    <m/>
    <m/>
    <x v="3"/>
    <n v="2"/>
    <n v="5"/>
    <m/>
    <m/>
    <m/>
    <m/>
    <m/>
    <m/>
    <m/>
    <m/>
    <m/>
    <m/>
    <m/>
    <m/>
    <m/>
    <m/>
  </r>
  <r>
    <n v="3504"/>
    <n v="53918"/>
    <d v="2005-04-03T00:00:00"/>
    <n v="20"/>
    <x v="0"/>
    <x v="1"/>
    <d v="2024-12-10T00:00:00"/>
    <n v="1.8082191780821917"/>
    <x v="11"/>
    <x v="0"/>
    <x v="10"/>
    <x v="1"/>
    <n v="10.64"/>
    <m/>
    <m/>
    <m/>
    <m/>
    <m/>
    <m/>
    <x v="1"/>
    <n v="1"/>
    <n v="3"/>
    <m/>
    <m/>
    <m/>
    <m/>
    <m/>
    <m/>
    <m/>
    <m/>
    <m/>
    <m/>
    <m/>
    <m/>
    <m/>
    <m/>
  </r>
  <r>
    <n v="3505"/>
    <n v="53919"/>
    <d v="2005-08-18T00:00:00"/>
    <n v="20"/>
    <x v="0"/>
    <x v="1"/>
    <d v="2024-03-11T00:00:00"/>
    <n v="1.4356164383561645"/>
    <x v="27"/>
    <x v="0"/>
    <x v="8"/>
    <x v="1"/>
    <n v="8.4700000000000006"/>
    <m/>
    <m/>
    <m/>
    <m/>
    <m/>
    <m/>
    <x v="2"/>
    <n v="3"/>
    <n v="4"/>
    <m/>
    <m/>
    <m/>
    <m/>
    <m/>
    <m/>
    <m/>
    <m/>
    <m/>
    <m/>
    <m/>
    <m/>
    <m/>
    <m/>
  </r>
  <r>
    <n v="3506"/>
    <n v="53920"/>
    <d v="2004-07-25T00:00:00"/>
    <n v="21"/>
    <x v="0"/>
    <x v="1"/>
    <d v="2024-07-25T00:00:00"/>
    <n v="1.1808219178082191"/>
    <x v="25"/>
    <x v="0"/>
    <x v="10"/>
    <x v="1"/>
    <n v="10.64"/>
    <m/>
    <m/>
    <m/>
    <m/>
    <m/>
    <m/>
    <x v="2"/>
    <n v="0"/>
    <n v="4"/>
    <m/>
    <m/>
    <m/>
    <m/>
    <m/>
    <m/>
    <m/>
    <m/>
    <m/>
    <m/>
    <m/>
    <m/>
    <m/>
    <m/>
  </r>
  <r>
    <n v="3507"/>
    <n v="53921"/>
    <d v="2003-12-31T00:00:00"/>
    <n v="22"/>
    <x v="1"/>
    <x v="1"/>
    <d v="2024-10-26T00:00:00"/>
    <n v="1.7506849315068493"/>
    <x v="26"/>
    <x v="0"/>
    <x v="8"/>
    <x v="1"/>
    <n v="8.4700000000000006"/>
    <m/>
    <m/>
    <m/>
    <m/>
    <m/>
    <m/>
    <x v="4"/>
    <n v="0"/>
    <n v="5"/>
    <m/>
    <m/>
    <m/>
    <m/>
    <m/>
    <m/>
    <m/>
    <m/>
    <m/>
    <m/>
    <m/>
    <m/>
    <m/>
    <m/>
  </r>
  <r>
    <n v="3508"/>
    <n v="53922"/>
    <d v="1999-05-18T00:00:00"/>
    <n v="26"/>
    <x v="1"/>
    <x v="1"/>
    <d v="2024-04-01T00:00:00"/>
    <n v="1.5616438356164384"/>
    <x v="139"/>
    <x v="0"/>
    <x v="7"/>
    <x v="1"/>
    <n v="17.59"/>
    <m/>
    <m/>
    <m/>
    <m/>
    <m/>
    <m/>
    <x v="3"/>
    <n v="4"/>
    <n v="7"/>
    <m/>
    <m/>
    <m/>
    <m/>
    <m/>
    <m/>
    <m/>
    <m/>
    <m/>
    <m/>
    <m/>
    <m/>
    <m/>
    <m/>
  </r>
  <r>
    <n v="3509"/>
    <n v="53924"/>
    <d v="2006-10-15T00:00:00"/>
    <n v="19"/>
    <x v="0"/>
    <x v="1"/>
    <d v="2024-06-09T00:00:00"/>
    <n v="1.0054794520547945"/>
    <x v="143"/>
    <x v="0"/>
    <x v="2"/>
    <x v="1"/>
    <n v="14.23"/>
    <m/>
    <m/>
    <m/>
    <m/>
    <m/>
    <m/>
    <x v="1"/>
    <n v="0"/>
    <n v="5"/>
    <m/>
    <m/>
    <m/>
    <m/>
    <m/>
    <m/>
    <m/>
    <m/>
    <m/>
    <m/>
    <m/>
    <m/>
    <m/>
    <m/>
  </r>
  <r>
    <n v="3510"/>
    <n v="53925"/>
    <d v="2004-02-03T00:00:00"/>
    <n v="21"/>
    <x v="1"/>
    <x v="1"/>
    <d v="2024-12-29T00:00:00"/>
    <n v="1.5945205479452054"/>
    <x v="67"/>
    <x v="0"/>
    <x v="9"/>
    <x v="1"/>
    <n v="14.07"/>
    <m/>
    <m/>
    <m/>
    <m/>
    <m/>
    <m/>
    <x v="4"/>
    <n v="1"/>
    <n v="6"/>
    <m/>
    <m/>
    <m/>
    <m/>
    <m/>
    <m/>
    <m/>
    <m/>
    <m/>
    <m/>
    <m/>
    <m/>
    <m/>
    <m/>
  </r>
  <r>
    <n v="3511"/>
    <n v="53926"/>
    <d v="2000-10-17T00:00:00"/>
    <n v="25"/>
    <x v="1"/>
    <x v="1"/>
    <d v="2024-05-28T00:00:00"/>
    <n v="1.7616438356164383"/>
    <x v="41"/>
    <x v="0"/>
    <x v="11"/>
    <x v="1"/>
    <n v="17"/>
    <m/>
    <m/>
    <m/>
    <m/>
    <m/>
    <m/>
    <x v="1"/>
    <n v="3"/>
    <n v="6"/>
    <m/>
    <m/>
    <m/>
    <m/>
    <m/>
    <m/>
    <m/>
    <m/>
    <m/>
    <m/>
    <m/>
    <m/>
    <m/>
    <m/>
  </r>
  <r>
    <n v="3512"/>
    <n v="53927"/>
    <d v="2004-03-16T00:00:00"/>
    <n v="21"/>
    <x v="1"/>
    <x v="0"/>
    <d v="2024-03-28T00:00:00"/>
    <n v="1.7753424657534247"/>
    <x v="59"/>
    <x v="0"/>
    <x v="8"/>
    <x v="1"/>
    <n v="8.4700000000000006"/>
    <m/>
    <m/>
    <m/>
    <m/>
    <m/>
    <m/>
    <x v="1"/>
    <n v="4"/>
    <n v="6"/>
    <m/>
    <m/>
    <m/>
    <m/>
    <m/>
    <m/>
    <m/>
    <m/>
    <m/>
    <m/>
    <m/>
    <m/>
    <m/>
    <m/>
  </r>
  <r>
    <n v="3513"/>
    <n v="53928"/>
    <d v="2001-09-23T00:00:00"/>
    <n v="24"/>
    <x v="1"/>
    <x v="1"/>
    <d v="2024-03-23T00:00:00"/>
    <n v="1.2931506849315069"/>
    <x v="1"/>
    <x v="1"/>
    <x v="11"/>
    <x v="1"/>
    <n v="17"/>
    <m/>
    <m/>
    <m/>
    <m/>
    <m/>
    <m/>
    <x v="2"/>
    <n v="2"/>
    <n v="6"/>
    <m/>
    <m/>
    <m/>
    <m/>
    <m/>
    <m/>
    <m/>
    <m/>
    <m/>
    <m/>
    <m/>
    <m/>
    <m/>
    <m/>
  </r>
  <r>
    <n v="3514"/>
    <n v="53929"/>
    <d v="2006-02-11T00:00:00"/>
    <n v="19"/>
    <x v="1"/>
    <x v="1"/>
    <d v="2024-09-15T00:00:00"/>
    <n v="1.0821917808219179"/>
    <x v="105"/>
    <x v="1"/>
    <x v="8"/>
    <x v="1"/>
    <n v="8.4700000000000006"/>
    <m/>
    <m/>
    <m/>
    <m/>
    <m/>
    <m/>
    <x v="1"/>
    <n v="2"/>
    <n v="5"/>
    <m/>
    <m/>
    <m/>
    <m/>
    <m/>
    <m/>
    <m/>
    <m/>
    <m/>
    <m/>
    <m/>
    <m/>
    <m/>
    <m/>
  </r>
  <r>
    <n v="3515"/>
    <n v="53930"/>
    <d v="2005-12-10T00:00:00"/>
    <n v="20"/>
    <x v="0"/>
    <x v="1"/>
    <d v="2024-12-01T00:00:00"/>
    <n v="1.0575342465753426"/>
    <x v="130"/>
    <x v="1"/>
    <x v="10"/>
    <x v="1"/>
    <n v="10.64"/>
    <m/>
    <m/>
    <m/>
    <m/>
    <m/>
    <m/>
    <x v="3"/>
    <n v="0"/>
    <n v="4"/>
    <m/>
    <m/>
    <m/>
    <m/>
    <m/>
    <m/>
    <m/>
    <m/>
    <m/>
    <m/>
    <m/>
    <m/>
    <m/>
    <m/>
  </r>
  <r>
    <n v="3516"/>
    <n v="53931"/>
    <d v="1997-02-01T00:00:00"/>
    <n v="29"/>
    <x v="0"/>
    <x v="1"/>
    <d v="2024-12-10T00:00:00"/>
    <n v="1.5424657534246575"/>
    <x v="121"/>
    <x v="1"/>
    <x v="2"/>
    <x v="1"/>
    <n v="14.23"/>
    <m/>
    <m/>
    <m/>
    <m/>
    <m/>
    <m/>
    <x v="2"/>
    <n v="1"/>
    <n v="4"/>
    <m/>
    <m/>
    <m/>
    <m/>
    <m/>
    <m/>
    <m/>
    <m/>
    <m/>
    <m/>
    <m/>
    <m/>
    <m/>
    <m/>
  </r>
  <r>
    <n v="3517"/>
    <n v="53932"/>
    <d v="2005-12-22T00:00:00"/>
    <n v="20"/>
    <x v="1"/>
    <x v="0"/>
    <d v="2024-06-16T00:00:00"/>
    <n v="1.5287671232876712"/>
    <x v="60"/>
    <x v="1"/>
    <x v="8"/>
    <x v="1"/>
    <n v="8.4700000000000006"/>
    <m/>
    <m/>
    <m/>
    <m/>
    <m/>
    <m/>
    <x v="3"/>
    <n v="4"/>
    <n v="6"/>
    <m/>
    <m/>
    <m/>
    <m/>
    <m/>
    <m/>
    <m/>
    <m/>
    <m/>
    <m/>
    <m/>
    <m/>
    <m/>
    <m/>
  </r>
  <r>
    <n v="3518"/>
    <n v="53933"/>
    <d v="2002-07-09T00:00:00"/>
    <n v="23"/>
    <x v="1"/>
    <x v="1"/>
    <d v="2024-06-21T00:00:00"/>
    <n v="1.747945205479452"/>
    <x v="122"/>
    <x v="1"/>
    <x v="7"/>
    <x v="1"/>
    <n v="17.59"/>
    <m/>
    <m/>
    <m/>
    <m/>
    <m/>
    <m/>
    <x v="4"/>
    <n v="2"/>
    <n v="7"/>
    <m/>
    <m/>
    <m/>
    <m/>
    <m/>
    <m/>
    <m/>
    <m/>
    <m/>
    <m/>
    <m/>
    <m/>
    <m/>
    <m/>
  </r>
  <r>
    <n v="3519"/>
    <n v="53934"/>
    <d v="2007-02-08T00:00:00"/>
    <n v="18"/>
    <x v="1"/>
    <x v="0"/>
    <d v="2024-04-02T00:00:00"/>
    <n v="1.189041095890411"/>
    <x v="93"/>
    <x v="1"/>
    <x v="8"/>
    <x v="1"/>
    <n v="8.4700000000000006"/>
    <m/>
    <m/>
    <m/>
    <m/>
    <m/>
    <m/>
    <x v="1"/>
    <n v="2"/>
    <n v="6"/>
    <m/>
    <m/>
    <m/>
    <m/>
    <m/>
    <m/>
    <m/>
    <m/>
    <m/>
    <m/>
    <m/>
    <m/>
    <m/>
    <m/>
  </r>
  <r>
    <n v="3520"/>
    <n v="53935"/>
    <d v="2001-11-16T00:00:00"/>
    <n v="24"/>
    <x v="1"/>
    <x v="1"/>
    <d v="2024-10-23T00:00:00"/>
    <n v="1.2082191780821918"/>
    <x v="96"/>
    <x v="1"/>
    <x v="8"/>
    <x v="1"/>
    <n v="8.4700000000000006"/>
    <m/>
    <m/>
    <m/>
    <m/>
    <m/>
    <m/>
    <x v="2"/>
    <n v="1"/>
    <n v="5"/>
    <m/>
    <m/>
    <m/>
    <m/>
    <m/>
    <m/>
    <m/>
    <m/>
    <m/>
    <m/>
    <m/>
    <m/>
    <m/>
    <m/>
  </r>
  <r>
    <n v="3521"/>
    <n v="53936"/>
    <d v="2004-03-17T00:00:00"/>
    <n v="21"/>
    <x v="1"/>
    <x v="1"/>
    <d v="2024-10-16T00:00:00"/>
    <n v="1.7945205479452055"/>
    <x v="110"/>
    <x v="1"/>
    <x v="10"/>
    <x v="1"/>
    <n v="10.64"/>
    <m/>
    <m/>
    <m/>
    <m/>
    <m/>
    <m/>
    <x v="4"/>
    <n v="0"/>
    <n v="7"/>
    <m/>
    <m/>
    <m/>
    <m/>
    <m/>
    <m/>
    <m/>
    <m/>
    <m/>
    <m/>
    <m/>
    <m/>
    <m/>
    <m/>
  </r>
  <r>
    <n v="3522"/>
    <n v="53937"/>
    <d v="2004-01-28T00:00:00"/>
    <n v="21"/>
    <x v="0"/>
    <x v="1"/>
    <d v="2024-03-16T00:00:00"/>
    <n v="1.3013698630136987"/>
    <x v="92"/>
    <x v="1"/>
    <x v="2"/>
    <x v="1"/>
    <n v="14.23"/>
    <m/>
    <m/>
    <m/>
    <m/>
    <m/>
    <m/>
    <x v="3"/>
    <n v="0"/>
    <n v="4"/>
    <m/>
    <m/>
    <m/>
    <m/>
    <m/>
    <m/>
    <m/>
    <m/>
    <m/>
    <m/>
    <m/>
    <m/>
    <m/>
    <m/>
  </r>
  <r>
    <n v="3523"/>
    <n v="53938"/>
    <d v="2001-05-27T00:00:00"/>
    <n v="24"/>
    <x v="0"/>
    <x v="1"/>
    <d v="2024-09-12T00:00:00"/>
    <n v="1.5178082191780822"/>
    <x v="126"/>
    <x v="1"/>
    <x v="7"/>
    <x v="1"/>
    <n v="17.59"/>
    <m/>
    <m/>
    <m/>
    <m/>
    <m/>
    <m/>
    <x v="3"/>
    <n v="1"/>
    <n v="4"/>
    <m/>
    <m/>
    <m/>
    <m/>
    <m/>
    <m/>
    <m/>
    <m/>
    <m/>
    <m/>
    <m/>
    <m/>
    <m/>
    <m/>
  </r>
  <r>
    <n v="3524"/>
    <n v="53939"/>
    <d v="2003-08-30T00:00:00"/>
    <n v="22"/>
    <x v="1"/>
    <x v="1"/>
    <d v="2024-06-25T00:00:00"/>
    <n v="1.3260273972602741"/>
    <x v="3"/>
    <x v="0"/>
    <x v="8"/>
    <x v="1"/>
    <n v="8.4700000000000006"/>
    <m/>
    <m/>
    <m/>
    <m/>
    <m/>
    <m/>
    <x v="4"/>
    <n v="0"/>
    <n v="5"/>
    <m/>
    <m/>
    <m/>
    <m/>
    <m/>
    <m/>
    <m/>
    <m/>
    <m/>
    <m/>
    <m/>
    <m/>
    <m/>
    <m/>
  </r>
  <r>
    <n v="3525"/>
    <n v="53940"/>
    <d v="2006-09-24T00:00:00"/>
    <n v="19"/>
    <x v="1"/>
    <x v="1"/>
    <d v="2024-09-03T00:00:00"/>
    <n v="1.5780821917808219"/>
    <x v="5"/>
    <x v="0"/>
    <x v="8"/>
    <x v="1"/>
    <n v="8.4700000000000006"/>
    <m/>
    <m/>
    <m/>
    <m/>
    <m/>
    <m/>
    <x v="3"/>
    <n v="2"/>
    <n v="5"/>
    <m/>
    <m/>
    <m/>
    <m/>
    <m/>
    <m/>
    <m/>
    <m/>
    <m/>
    <m/>
    <m/>
    <m/>
    <m/>
    <m/>
  </r>
  <r>
    <n v="3526"/>
    <n v="53941"/>
    <d v="2001-03-24T00:00:00"/>
    <n v="24"/>
    <x v="1"/>
    <x v="0"/>
    <d v="2024-06-03T00:00:00"/>
    <n v="1.7808219178082192"/>
    <x v="127"/>
    <x v="0"/>
    <x v="11"/>
    <x v="1"/>
    <n v="17"/>
    <m/>
    <m/>
    <m/>
    <m/>
    <m/>
    <m/>
    <x v="4"/>
    <n v="4"/>
    <n v="5"/>
    <m/>
    <m/>
    <m/>
    <m/>
    <m/>
    <m/>
    <m/>
    <m/>
    <m/>
    <m/>
    <m/>
    <m/>
    <m/>
    <m/>
  </r>
  <r>
    <n v="3527"/>
    <n v="53942"/>
    <d v="2006-08-01T00:00:00"/>
    <n v="20"/>
    <x v="1"/>
    <x v="1"/>
    <d v="2024-03-21T00:00:00"/>
    <n v="1.6931506849315068"/>
    <x v="127"/>
    <x v="0"/>
    <x v="8"/>
    <x v="1"/>
    <n v="8.4700000000000006"/>
    <m/>
    <m/>
    <m/>
    <m/>
    <m/>
    <m/>
    <x v="2"/>
    <n v="3"/>
    <n v="6"/>
    <m/>
    <m/>
    <m/>
    <m/>
    <m/>
    <m/>
    <m/>
    <m/>
    <m/>
    <m/>
    <m/>
    <m/>
    <m/>
    <m/>
  </r>
  <r>
    <n v="3528"/>
    <n v="53943"/>
    <d v="2005-08-03T00:00:00"/>
    <n v="20"/>
    <x v="1"/>
    <x v="1"/>
    <d v="2024-04-22T00:00:00"/>
    <n v="1.021917808219178"/>
    <x v="12"/>
    <x v="0"/>
    <x v="10"/>
    <x v="1"/>
    <n v="10.64"/>
    <m/>
    <m/>
    <m/>
    <m/>
    <m/>
    <m/>
    <x v="1"/>
    <n v="1"/>
    <n v="5"/>
    <m/>
    <m/>
    <m/>
    <m/>
    <m/>
    <m/>
    <m/>
    <m/>
    <m/>
    <m/>
    <m/>
    <m/>
    <m/>
    <m/>
  </r>
  <r>
    <n v="3529"/>
    <n v="53944"/>
    <d v="2003-04-13T00:00:00"/>
    <n v="22"/>
    <x v="1"/>
    <x v="1"/>
    <d v="2024-12-23T00:00:00"/>
    <n v="1.7232876712328766"/>
    <x v="82"/>
    <x v="0"/>
    <x v="9"/>
    <x v="1"/>
    <n v="14.07"/>
    <m/>
    <m/>
    <m/>
    <m/>
    <m/>
    <m/>
    <x v="4"/>
    <n v="0"/>
    <n v="5"/>
    <m/>
    <m/>
    <m/>
    <m/>
    <m/>
    <m/>
    <m/>
    <m/>
    <m/>
    <m/>
    <m/>
    <m/>
    <m/>
    <m/>
  </r>
  <r>
    <n v="3530"/>
    <n v="53945"/>
    <d v="2005-10-12T00:00:00"/>
    <n v="20"/>
    <x v="1"/>
    <x v="0"/>
    <d v="2024-04-11T00:00:00"/>
    <n v="1.1287671232876713"/>
    <x v="88"/>
    <x v="0"/>
    <x v="8"/>
    <x v="1"/>
    <n v="8.4700000000000006"/>
    <m/>
    <m/>
    <m/>
    <m/>
    <m/>
    <m/>
    <x v="1"/>
    <n v="2"/>
    <n v="6"/>
    <m/>
    <m/>
    <m/>
    <m/>
    <m/>
    <m/>
    <m/>
    <m/>
    <m/>
    <m/>
    <m/>
    <m/>
    <m/>
    <m/>
  </r>
  <r>
    <n v="3531"/>
    <n v="53946"/>
    <d v="2002-11-25T00:00:00"/>
    <n v="23"/>
    <x v="1"/>
    <x v="0"/>
    <d v="2024-11-14T00:00:00"/>
    <n v="1.484931506849315"/>
    <x v="19"/>
    <x v="0"/>
    <x v="7"/>
    <x v="1"/>
    <n v="17.59"/>
    <m/>
    <m/>
    <m/>
    <m/>
    <m/>
    <m/>
    <x v="1"/>
    <n v="2"/>
    <n v="5"/>
    <m/>
    <m/>
    <m/>
    <m/>
    <m/>
    <m/>
    <m/>
    <m/>
    <m/>
    <m/>
    <m/>
    <m/>
    <m/>
    <m/>
  </r>
  <r>
    <n v="3532"/>
    <n v="53947"/>
    <d v="2002-12-23T00:00:00"/>
    <n v="23"/>
    <x v="1"/>
    <x v="1"/>
    <d v="2024-07-07T00:00:00"/>
    <n v="1.0246575342465754"/>
    <x v="20"/>
    <x v="0"/>
    <x v="11"/>
    <x v="1"/>
    <n v="17"/>
    <m/>
    <m/>
    <m/>
    <m/>
    <m/>
    <m/>
    <x v="2"/>
    <n v="2"/>
    <n v="5"/>
    <m/>
    <m/>
    <m/>
    <m/>
    <m/>
    <m/>
    <m/>
    <m/>
    <m/>
    <m/>
    <m/>
    <m/>
    <m/>
    <m/>
  </r>
  <r>
    <n v="3533"/>
    <n v="53948"/>
    <d v="2005-03-23T00:00:00"/>
    <n v="20"/>
    <x v="1"/>
    <x v="1"/>
    <d v="2024-12-22T00:00:00"/>
    <n v="1.5945205479452054"/>
    <x v="20"/>
    <x v="0"/>
    <x v="1"/>
    <x v="1"/>
    <n v="16.37"/>
    <m/>
    <m/>
    <m/>
    <m/>
    <m/>
    <m/>
    <x v="2"/>
    <n v="1"/>
    <n v="6"/>
    <m/>
    <m/>
    <m/>
    <m/>
    <m/>
    <m/>
    <m/>
    <m/>
    <m/>
    <m/>
    <m/>
    <m/>
    <m/>
    <m/>
  </r>
  <r>
    <n v="3534"/>
    <n v="53949"/>
    <d v="2004-12-29T00:00:00"/>
    <n v="21"/>
    <x v="1"/>
    <x v="0"/>
    <d v="2024-05-28T00:00:00"/>
    <n v="1.7835616438356163"/>
    <x v="20"/>
    <x v="0"/>
    <x v="8"/>
    <x v="1"/>
    <n v="8.4700000000000006"/>
    <m/>
    <m/>
    <m/>
    <m/>
    <m/>
    <m/>
    <x v="2"/>
    <n v="0"/>
    <n v="6"/>
    <m/>
    <m/>
    <m/>
    <m/>
    <m/>
    <m/>
    <m/>
    <m/>
    <m/>
    <m/>
    <m/>
    <m/>
    <m/>
    <m/>
  </r>
  <r>
    <n v="3535"/>
    <n v="53950"/>
    <d v="2007-04-06T00:00:00"/>
    <n v="18"/>
    <x v="1"/>
    <x v="1"/>
    <d v="2024-03-20T00:00:00"/>
    <n v="1.3589041095890411"/>
    <x v="20"/>
    <x v="0"/>
    <x v="8"/>
    <x v="1"/>
    <n v="8.4700000000000006"/>
    <m/>
    <m/>
    <m/>
    <m/>
    <m/>
    <m/>
    <x v="2"/>
    <n v="1"/>
    <n v="5"/>
    <m/>
    <m/>
    <m/>
    <m/>
    <m/>
    <m/>
    <m/>
    <m/>
    <m/>
    <m/>
    <m/>
    <m/>
    <m/>
    <m/>
  </r>
  <r>
    <n v="3536"/>
    <n v="53951"/>
    <d v="2004-09-20T00:00:00"/>
    <n v="21"/>
    <x v="1"/>
    <x v="0"/>
    <d v="2024-08-22T00:00:00"/>
    <n v="1.904109589041096"/>
    <x v="20"/>
    <x v="0"/>
    <x v="8"/>
    <x v="1"/>
    <n v="8.4700000000000006"/>
    <m/>
    <m/>
    <m/>
    <m/>
    <m/>
    <m/>
    <x v="1"/>
    <n v="4"/>
    <n v="6"/>
    <m/>
    <m/>
    <m/>
    <m/>
    <m/>
    <m/>
    <m/>
    <m/>
    <m/>
    <m/>
    <m/>
    <m/>
    <m/>
    <m/>
  </r>
  <r>
    <n v="3537"/>
    <n v="53952"/>
    <d v="2005-12-31T00:00:00"/>
    <n v="20"/>
    <x v="1"/>
    <x v="0"/>
    <d v="2024-02-05T00:00:00"/>
    <n v="1.5945205479452054"/>
    <x v="27"/>
    <x v="0"/>
    <x v="8"/>
    <x v="1"/>
    <n v="8.4700000000000006"/>
    <m/>
    <m/>
    <m/>
    <m/>
    <m/>
    <m/>
    <x v="3"/>
    <n v="1"/>
    <n v="6"/>
    <m/>
    <m/>
    <m/>
    <m/>
    <m/>
    <m/>
    <m/>
    <m/>
    <m/>
    <m/>
    <m/>
    <m/>
    <m/>
    <m/>
  </r>
  <r>
    <n v="3538"/>
    <n v="53953"/>
    <d v="2003-11-17T00:00:00"/>
    <n v="22"/>
    <x v="1"/>
    <x v="1"/>
    <d v="2024-05-28T00:00:00"/>
    <n v="1.273972602739726"/>
    <x v="22"/>
    <x v="0"/>
    <x v="8"/>
    <x v="1"/>
    <n v="8.4700000000000006"/>
    <m/>
    <m/>
    <m/>
    <m/>
    <m/>
    <m/>
    <x v="4"/>
    <n v="2"/>
    <n v="6"/>
    <m/>
    <m/>
    <m/>
    <m/>
    <m/>
    <m/>
    <m/>
    <m/>
    <m/>
    <m/>
    <m/>
    <m/>
    <m/>
    <m/>
  </r>
  <r>
    <n v="3539"/>
    <n v="53954"/>
    <d v="2000-05-17T00:00:00"/>
    <n v="25"/>
    <x v="0"/>
    <x v="1"/>
    <d v="2024-09-22T00:00:00"/>
    <n v="1.6849315068493151"/>
    <x v="23"/>
    <x v="0"/>
    <x v="7"/>
    <x v="1"/>
    <n v="17.59"/>
    <m/>
    <m/>
    <m/>
    <m/>
    <m/>
    <m/>
    <x v="3"/>
    <n v="1"/>
    <n v="4"/>
    <m/>
    <m/>
    <m/>
    <m/>
    <m/>
    <m/>
    <m/>
    <m/>
    <m/>
    <m/>
    <m/>
    <m/>
    <m/>
    <m/>
  </r>
  <r>
    <n v="3540"/>
    <n v="53955"/>
    <d v="2005-10-03T00:00:00"/>
    <n v="20"/>
    <x v="1"/>
    <x v="1"/>
    <d v="2024-04-25T00:00:00"/>
    <n v="1.2465753424657535"/>
    <x v="23"/>
    <x v="0"/>
    <x v="8"/>
    <x v="1"/>
    <n v="8.4700000000000006"/>
    <m/>
    <m/>
    <m/>
    <m/>
    <m/>
    <m/>
    <x v="1"/>
    <n v="3"/>
    <n v="6"/>
    <m/>
    <m/>
    <m/>
    <m/>
    <m/>
    <m/>
    <m/>
    <m/>
    <m/>
    <m/>
    <m/>
    <m/>
    <m/>
    <m/>
  </r>
  <r>
    <n v="3541"/>
    <n v="53956"/>
    <d v="2001-06-19T00:00:00"/>
    <n v="24"/>
    <x v="1"/>
    <x v="0"/>
    <d v="2024-10-02T00:00:00"/>
    <n v="1.3808219178082193"/>
    <x v="137"/>
    <x v="0"/>
    <x v="3"/>
    <x v="1"/>
    <n v="8.4700000000000006"/>
    <m/>
    <m/>
    <m/>
    <m/>
    <m/>
    <m/>
    <x v="4"/>
    <n v="1"/>
    <n v="6"/>
    <m/>
    <m/>
    <m/>
    <m/>
    <m/>
    <m/>
    <m/>
    <m/>
    <m/>
    <m/>
    <m/>
    <m/>
    <m/>
    <m/>
  </r>
  <r>
    <n v="3542"/>
    <n v="53957"/>
    <d v="1998-06-22T00:00:00"/>
    <n v="27"/>
    <x v="0"/>
    <x v="0"/>
    <d v="2024-08-14T00:00:00"/>
    <n v="1.2356164383561643"/>
    <x v="137"/>
    <x v="0"/>
    <x v="8"/>
    <x v="1"/>
    <n v="8.4700000000000006"/>
    <m/>
    <m/>
    <m/>
    <m/>
    <m/>
    <m/>
    <x v="2"/>
    <n v="1"/>
    <n v="4"/>
    <m/>
    <m/>
    <m/>
    <m/>
    <m/>
    <m/>
    <m/>
    <m/>
    <m/>
    <m/>
    <m/>
    <m/>
    <m/>
    <m/>
  </r>
  <r>
    <n v="3543"/>
    <n v="53958"/>
    <d v="2004-05-08T00:00:00"/>
    <n v="21"/>
    <x v="1"/>
    <x v="1"/>
    <d v="2024-10-06T00:00:00"/>
    <n v="1.189041095890411"/>
    <x v="52"/>
    <x v="0"/>
    <x v="9"/>
    <x v="1"/>
    <n v="14.07"/>
    <m/>
    <m/>
    <m/>
    <m/>
    <m/>
    <m/>
    <x v="3"/>
    <n v="1"/>
    <n v="6"/>
    <m/>
    <m/>
    <m/>
    <m/>
    <m/>
    <m/>
    <m/>
    <m/>
    <m/>
    <m/>
    <m/>
    <m/>
    <m/>
    <m/>
  </r>
  <r>
    <n v="3544"/>
    <n v="53959"/>
    <d v="2002-03-16T00:00:00"/>
    <n v="23"/>
    <x v="0"/>
    <x v="1"/>
    <d v="2024-10-23T00:00:00"/>
    <n v="1.6136986301369862"/>
    <x v="52"/>
    <x v="0"/>
    <x v="7"/>
    <x v="1"/>
    <n v="17.59"/>
    <m/>
    <m/>
    <m/>
    <m/>
    <m/>
    <m/>
    <x v="1"/>
    <n v="0"/>
    <n v="4"/>
    <m/>
    <m/>
    <m/>
    <m/>
    <m/>
    <m/>
    <m/>
    <m/>
    <m/>
    <m/>
    <m/>
    <m/>
    <m/>
    <m/>
  </r>
  <r>
    <n v="3545"/>
    <n v="53961"/>
    <d v="2006-12-30T00:00:00"/>
    <n v="19"/>
    <x v="0"/>
    <x v="1"/>
    <d v="2024-05-21T00:00:00"/>
    <n v="1.0794520547945206"/>
    <x v="24"/>
    <x v="0"/>
    <x v="8"/>
    <x v="1"/>
    <n v="8.4700000000000006"/>
    <m/>
    <m/>
    <m/>
    <m/>
    <m/>
    <m/>
    <x v="3"/>
    <n v="1"/>
    <n v="4"/>
    <m/>
    <m/>
    <m/>
    <m/>
    <m/>
    <m/>
    <m/>
    <m/>
    <m/>
    <m/>
    <m/>
    <m/>
    <m/>
    <m/>
  </r>
  <r>
    <n v="3546"/>
    <n v="53962"/>
    <d v="1999-08-18T00:00:00"/>
    <n v="26"/>
    <x v="0"/>
    <x v="1"/>
    <d v="2024-12-02T00:00:00"/>
    <n v="1.295890410958904"/>
    <x v="87"/>
    <x v="0"/>
    <x v="8"/>
    <x v="1"/>
    <n v="8.4700000000000006"/>
    <m/>
    <m/>
    <m/>
    <m/>
    <m/>
    <m/>
    <x v="2"/>
    <n v="3"/>
    <n v="6"/>
    <m/>
    <m/>
    <m/>
    <m/>
    <m/>
    <m/>
    <m/>
    <m/>
    <m/>
    <m/>
    <m/>
    <m/>
    <m/>
    <m/>
  </r>
  <r>
    <n v="3547"/>
    <n v="53963"/>
    <d v="2005-04-05T00:00:00"/>
    <n v="20"/>
    <x v="1"/>
    <x v="0"/>
    <d v="2024-09-14T00:00:00"/>
    <n v="1.7945205479452055"/>
    <x v="25"/>
    <x v="0"/>
    <x v="8"/>
    <x v="1"/>
    <n v="8.4700000000000006"/>
    <m/>
    <m/>
    <m/>
    <m/>
    <m/>
    <m/>
    <x v="3"/>
    <n v="3"/>
    <n v="6"/>
    <m/>
    <m/>
    <m/>
    <m/>
    <m/>
    <m/>
    <m/>
    <m/>
    <m/>
    <m/>
    <m/>
    <m/>
    <m/>
    <m/>
  </r>
  <r>
    <n v="3548"/>
    <n v="53966"/>
    <d v="2003-12-18T00:00:00"/>
    <n v="22"/>
    <x v="0"/>
    <x v="0"/>
    <d v="2024-03-16T00:00:00"/>
    <n v="1.0657534246575342"/>
    <x v="139"/>
    <x v="0"/>
    <x v="9"/>
    <x v="1"/>
    <n v="14.07"/>
    <m/>
    <m/>
    <m/>
    <m/>
    <m/>
    <m/>
    <x v="1"/>
    <n v="1"/>
    <n v="4"/>
    <m/>
    <m/>
    <m/>
    <m/>
    <m/>
    <m/>
    <m/>
    <m/>
    <m/>
    <m/>
    <m/>
    <m/>
    <m/>
    <m/>
  </r>
  <r>
    <n v="3549"/>
    <n v="53967"/>
    <d v="1996-09-03T00:00:00"/>
    <n v="29"/>
    <x v="1"/>
    <x v="1"/>
    <d v="2024-12-07T00:00:00"/>
    <n v="1.2794520547945205"/>
    <x v="49"/>
    <x v="0"/>
    <x v="11"/>
    <x v="1"/>
    <n v="17"/>
    <m/>
    <m/>
    <m/>
    <m/>
    <m/>
    <m/>
    <x v="2"/>
    <n v="1"/>
    <n v="7"/>
    <m/>
    <m/>
    <m/>
    <m/>
    <m/>
    <m/>
    <m/>
    <m/>
    <m/>
    <m/>
    <m/>
    <m/>
    <m/>
    <m/>
  </r>
  <r>
    <n v="3550"/>
    <n v="53968"/>
    <d v="2006-01-01T00:00:00"/>
    <n v="20"/>
    <x v="0"/>
    <x v="1"/>
    <d v="2024-09-20T00:00:00"/>
    <n v="1.1397260273972603"/>
    <x v="49"/>
    <x v="0"/>
    <x v="10"/>
    <x v="1"/>
    <n v="10.64"/>
    <m/>
    <m/>
    <m/>
    <m/>
    <m/>
    <m/>
    <x v="3"/>
    <n v="1"/>
    <n v="5"/>
    <m/>
    <m/>
    <m/>
    <m/>
    <m/>
    <m/>
    <m/>
    <m/>
    <m/>
    <m/>
    <m/>
    <m/>
    <m/>
    <m/>
  </r>
  <r>
    <n v="3551"/>
    <n v="53969"/>
    <d v="2004-04-03T00:00:00"/>
    <n v="21"/>
    <x v="0"/>
    <x v="1"/>
    <d v="2024-11-10T00:00:00"/>
    <n v="1.2876712328767124"/>
    <x v="47"/>
    <x v="0"/>
    <x v="10"/>
    <x v="1"/>
    <n v="10.64"/>
    <m/>
    <m/>
    <m/>
    <m/>
    <m/>
    <m/>
    <x v="2"/>
    <n v="1"/>
    <n v="4"/>
    <m/>
    <m/>
    <m/>
    <m/>
    <m/>
    <m/>
    <m/>
    <m/>
    <m/>
    <m/>
    <m/>
    <m/>
    <m/>
    <m/>
  </r>
  <r>
    <n v="3552"/>
    <n v="53970"/>
    <d v="1993-04-11T00:00:00"/>
    <n v="32"/>
    <x v="1"/>
    <x v="1"/>
    <d v="2024-09-17T00:00:00"/>
    <n v="1.5890410958904109"/>
    <x v="61"/>
    <x v="0"/>
    <x v="8"/>
    <x v="1"/>
    <n v="8.4700000000000006"/>
    <m/>
    <m/>
    <m/>
    <m/>
    <m/>
    <m/>
    <x v="3"/>
    <n v="0"/>
    <n v="7"/>
    <m/>
    <m/>
    <m/>
    <m/>
    <m/>
    <m/>
    <m/>
    <m/>
    <m/>
    <m/>
    <m/>
    <m/>
    <m/>
    <m/>
  </r>
  <r>
    <n v="3553"/>
    <n v="53971"/>
    <d v="2007-12-29T00:00:00"/>
    <n v="18"/>
    <x v="1"/>
    <x v="1"/>
    <d v="2024-05-30T00:00:00"/>
    <n v="1.8849315068493151"/>
    <x v="61"/>
    <x v="0"/>
    <x v="8"/>
    <x v="1"/>
    <n v="8.4700000000000006"/>
    <m/>
    <m/>
    <m/>
    <m/>
    <m/>
    <m/>
    <x v="4"/>
    <n v="3"/>
    <n v="6"/>
    <m/>
    <m/>
    <m/>
    <m/>
    <m/>
    <m/>
    <m/>
    <m/>
    <m/>
    <m/>
    <m/>
    <m/>
    <m/>
    <m/>
  </r>
  <r>
    <n v="3554"/>
    <n v="53972"/>
    <d v="1997-09-15T00:00:00"/>
    <n v="28"/>
    <x v="1"/>
    <x v="1"/>
    <d v="2024-02-12T00:00:00"/>
    <n v="1.3232876712328767"/>
    <x v="31"/>
    <x v="0"/>
    <x v="8"/>
    <x v="1"/>
    <n v="8.4700000000000006"/>
    <m/>
    <m/>
    <m/>
    <m/>
    <m/>
    <m/>
    <x v="2"/>
    <n v="4"/>
    <n v="7"/>
    <m/>
    <m/>
    <m/>
    <m/>
    <m/>
    <m/>
    <m/>
    <m/>
    <m/>
    <m/>
    <m/>
    <m/>
    <m/>
    <m/>
  </r>
  <r>
    <n v="3555"/>
    <n v="53973"/>
    <d v="2002-05-21T00:00:00"/>
    <n v="23"/>
    <x v="0"/>
    <x v="1"/>
    <d v="2024-09-04T00:00:00"/>
    <n v="1.1287671232876713"/>
    <x v="63"/>
    <x v="0"/>
    <x v="11"/>
    <x v="1"/>
    <n v="17"/>
    <m/>
    <m/>
    <m/>
    <m/>
    <m/>
    <m/>
    <x v="3"/>
    <n v="2"/>
    <n v="5"/>
    <m/>
    <m/>
    <m/>
    <m/>
    <m/>
    <m/>
    <m/>
    <m/>
    <m/>
    <m/>
    <m/>
    <m/>
    <m/>
    <m/>
  </r>
  <r>
    <n v="3556"/>
    <n v="53974"/>
    <d v="2005-05-09T00:00:00"/>
    <n v="20"/>
    <x v="1"/>
    <x v="1"/>
    <d v="2024-11-14T00:00:00"/>
    <n v="1.6465753424657534"/>
    <x v="63"/>
    <x v="0"/>
    <x v="8"/>
    <x v="1"/>
    <n v="8.4700000000000006"/>
    <m/>
    <m/>
    <m/>
    <m/>
    <m/>
    <m/>
    <x v="1"/>
    <n v="3"/>
    <n v="6"/>
    <m/>
    <m/>
    <m/>
    <m/>
    <m/>
    <m/>
    <m/>
    <m/>
    <m/>
    <m/>
    <m/>
    <m/>
    <m/>
    <m/>
  </r>
  <r>
    <n v="3557"/>
    <n v="53975"/>
    <d v="2004-04-15T00:00:00"/>
    <n v="21"/>
    <x v="0"/>
    <x v="1"/>
    <d v="2024-05-09T00:00:00"/>
    <n v="1.7972602739726027"/>
    <x v="63"/>
    <x v="0"/>
    <x v="8"/>
    <x v="1"/>
    <n v="8.4700000000000006"/>
    <m/>
    <m/>
    <m/>
    <m/>
    <m/>
    <m/>
    <x v="3"/>
    <n v="1"/>
    <n v="6"/>
    <m/>
    <m/>
    <m/>
    <m/>
    <m/>
    <m/>
    <m/>
    <m/>
    <m/>
    <m/>
    <m/>
    <m/>
    <m/>
    <m/>
  </r>
  <r>
    <n v="3558"/>
    <n v="53976"/>
    <d v="2003-02-12T00:00:00"/>
    <n v="22"/>
    <x v="0"/>
    <x v="1"/>
    <d v="2024-03-15T00:00:00"/>
    <n v="1.6410958904109589"/>
    <x v="33"/>
    <x v="0"/>
    <x v="10"/>
    <x v="1"/>
    <n v="10.64"/>
    <m/>
    <m/>
    <m/>
    <m/>
    <m/>
    <m/>
    <x v="4"/>
    <n v="0"/>
    <n v="3"/>
    <m/>
    <m/>
    <m/>
    <m/>
    <m/>
    <m/>
    <m/>
    <m/>
    <m/>
    <m/>
    <m/>
    <m/>
    <m/>
    <m/>
  </r>
  <r>
    <n v="3559"/>
    <n v="53977"/>
    <d v="2000-06-01T00:00:00"/>
    <n v="26"/>
    <x v="1"/>
    <x v="1"/>
    <d v="2024-05-11T00:00:00"/>
    <n v="1.2"/>
    <x v="78"/>
    <x v="0"/>
    <x v="11"/>
    <x v="1"/>
    <n v="17"/>
    <m/>
    <m/>
    <m/>
    <m/>
    <m/>
    <m/>
    <x v="3"/>
    <n v="0"/>
    <n v="6"/>
    <m/>
    <m/>
    <m/>
    <m/>
    <m/>
    <m/>
    <m/>
    <m/>
    <m/>
    <m/>
    <m/>
    <m/>
    <m/>
    <m/>
  </r>
  <r>
    <n v="3560"/>
    <n v="53978"/>
    <d v="2004-06-15T00:00:00"/>
    <n v="21"/>
    <x v="0"/>
    <x v="1"/>
    <d v="2024-10-19T00:00:00"/>
    <n v="1.2767123287671234"/>
    <x v="78"/>
    <x v="0"/>
    <x v="10"/>
    <x v="1"/>
    <n v="10.64"/>
    <m/>
    <m/>
    <m/>
    <m/>
    <m/>
    <m/>
    <x v="1"/>
    <n v="0"/>
    <n v="5"/>
    <m/>
    <m/>
    <m/>
    <m/>
    <m/>
    <m/>
    <m/>
    <m/>
    <m/>
    <m/>
    <m/>
    <m/>
    <m/>
    <m/>
  </r>
  <r>
    <n v="3561"/>
    <n v="53979"/>
    <d v="1999-02-02T00:00:00"/>
    <n v="26"/>
    <x v="1"/>
    <x v="1"/>
    <d v="2024-09-21T00:00:00"/>
    <n v="1.8849315068493151"/>
    <x v="78"/>
    <x v="0"/>
    <x v="3"/>
    <x v="1"/>
    <n v="8.4700000000000006"/>
    <m/>
    <m/>
    <m/>
    <m/>
    <m/>
    <m/>
    <x v="4"/>
    <n v="2"/>
    <n v="5"/>
    <m/>
    <m/>
    <m/>
    <m/>
    <m/>
    <m/>
    <m/>
    <m/>
    <m/>
    <m/>
    <m/>
    <m/>
    <m/>
    <m/>
  </r>
  <r>
    <n v="3562"/>
    <n v="53980"/>
    <d v="1996-02-20T00:00:00"/>
    <n v="29"/>
    <x v="1"/>
    <x v="1"/>
    <d v="2024-02-12T00:00:00"/>
    <n v="1.1369863013698631"/>
    <x v="83"/>
    <x v="0"/>
    <x v="11"/>
    <x v="1"/>
    <n v="17"/>
    <m/>
    <m/>
    <m/>
    <m/>
    <m/>
    <m/>
    <x v="3"/>
    <n v="3"/>
    <n v="6"/>
    <m/>
    <m/>
    <m/>
    <m/>
    <m/>
    <m/>
    <m/>
    <m/>
    <m/>
    <m/>
    <m/>
    <m/>
    <m/>
    <m/>
  </r>
  <r>
    <n v="3563"/>
    <n v="53981"/>
    <d v="2005-05-22T00:00:00"/>
    <n v="20"/>
    <x v="1"/>
    <x v="1"/>
    <d v="2024-11-11T00:00:00"/>
    <n v="1.6328767123287671"/>
    <x v="83"/>
    <x v="0"/>
    <x v="9"/>
    <x v="1"/>
    <n v="14.07"/>
    <m/>
    <m/>
    <m/>
    <m/>
    <m/>
    <m/>
    <x v="2"/>
    <n v="0"/>
    <n v="5"/>
    <m/>
    <m/>
    <m/>
    <m/>
    <m/>
    <m/>
    <m/>
    <m/>
    <m/>
    <m/>
    <m/>
    <m/>
    <m/>
    <m/>
  </r>
  <r>
    <n v="3564"/>
    <n v="53982"/>
    <d v="2007-07-10T00:00:00"/>
    <n v="18"/>
    <x v="1"/>
    <x v="0"/>
    <d v="2024-05-14T00:00:00"/>
    <n v="1.0027397260273974"/>
    <x v="83"/>
    <x v="0"/>
    <x v="8"/>
    <x v="1"/>
    <n v="8.4700000000000006"/>
    <m/>
    <m/>
    <m/>
    <m/>
    <m/>
    <m/>
    <x v="1"/>
    <n v="2"/>
    <n v="5"/>
    <m/>
    <m/>
    <m/>
    <m/>
    <m/>
    <m/>
    <m/>
    <m/>
    <m/>
    <m/>
    <m/>
    <m/>
    <m/>
    <m/>
  </r>
  <r>
    <n v="3565"/>
    <n v="53983"/>
    <d v="2002-09-25T00:00:00"/>
    <n v="23"/>
    <x v="0"/>
    <x v="1"/>
    <d v="2024-12-30T00:00:00"/>
    <n v="1.021917808219178"/>
    <x v="143"/>
    <x v="0"/>
    <x v="10"/>
    <x v="1"/>
    <n v="10.64"/>
    <m/>
    <m/>
    <m/>
    <m/>
    <m/>
    <m/>
    <x v="4"/>
    <n v="1"/>
    <n v="5"/>
    <m/>
    <m/>
    <m/>
    <m/>
    <m/>
    <m/>
    <m/>
    <m/>
    <m/>
    <m/>
    <m/>
    <m/>
    <m/>
    <m/>
  </r>
  <r>
    <n v="3566"/>
    <n v="53984"/>
    <d v="2007-11-22T00:00:00"/>
    <n v="18"/>
    <x v="1"/>
    <x v="1"/>
    <d v="2024-12-23T00:00:00"/>
    <n v="1.7013698630136986"/>
    <x v="102"/>
    <x v="0"/>
    <x v="8"/>
    <x v="1"/>
    <n v="8.4700000000000006"/>
    <m/>
    <m/>
    <m/>
    <m/>
    <m/>
    <m/>
    <x v="2"/>
    <n v="2"/>
    <n v="6"/>
    <m/>
    <m/>
    <m/>
    <m/>
    <m/>
    <m/>
    <m/>
    <m/>
    <m/>
    <m/>
    <m/>
    <m/>
    <m/>
    <m/>
  </r>
  <r>
    <n v="3567"/>
    <n v="53985"/>
    <d v="2002-06-03T00:00:00"/>
    <n v="23"/>
    <x v="0"/>
    <x v="1"/>
    <d v="2024-04-19T00:00:00"/>
    <n v="1.0794520547945206"/>
    <x v="140"/>
    <x v="0"/>
    <x v="11"/>
    <x v="1"/>
    <n v="17"/>
    <m/>
    <m/>
    <m/>
    <m/>
    <m/>
    <m/>
    <x v="4"/>
    <n v="4"/>
    <n v="5"/>
    <m/>
    <m/>
    <m/>
    <m/>
    <m/>
    <m/>
    <m/>
    <m/>
    <m/>
    <m/>
    <m/>
    <m/>
    <m/>
    <m/>
  </r>
  <r>
    <n v="3568"/>
    <n v="53986"/>
    <d v="2006-11-23T00:00:00"/>
    <n v="19"/>
    <x v="1"/>
    <x v="1"/>
    <d v="2024-12-02T00:00:00"/>
    <n v="1.0191780821917809"/>
    <x v="141"/>
    <x v="0"/>
    <x v="3"/>
    <x v="1"/>
    <n v="17.899999999999999"/>
    <m/>
    <m/>
    <m/>
    <m/>
    <m/>
    <m/>
    <x v="3"/>
    <n v="1"/>
    <n v="6"/>
    <m/>
    <m/>
    <m/>
    <m/>
    <m/>
    <m/>
    <m/>
    <m/>
    <m/>
    <m/>
    <m/>
    <m/>
    <m/>
    <m/>
  </r>
  <r>
    <n v="3569"/>
    <n v="53988"/>
    <d v="2004-11-24T00:00:00"/>
    <n v="21"/>
    <x v="1"/>
    <x v="1"/>
    <d v="2024-12-24T00:00:00"/>
    <n v="1.5095890410958903"/>
    <x v="141"/>
    <x v="0"/>
    <x v="8"/>
    <x v="1"/>
    <n v="8.4700000000000006"/>
    <m/>
    <m/>
    <m/>
    <m/>
    <m/>
    <m/>
    <x v="2"/>
    <n v="2"/>
    <n v="5"/>
    <m/>
    <m/>
    <m/>
    <m/>
    <m/>
    <m/>
    <m/>
    <m/>
    <m/>
    <m/>
    <m/>
    <m/>
    <m/>
    <m/>
  </r>
  <r>
    <n v="3570"/>
    <n v="53989"/>
    <d v="2003-01-24T00:00:00"/>
    <n v="22"/>
    <x v="1"/>
    <x v="1"/>
    <d v="2024-06-28T00:00:00"/>
    <n v="1.2054794520547945"/>
    <x v="41"/>
    <x v="0"/>
    <x v="8"/>
    <x v="1"/>
    <n v="8.4700000000000006"/>
    <m/>
    <m/>
    <m/>
    <m/>
    <m/>
    <m/>
    <x v="2"/>
    <n v="4"/>
    <n v="5"/>
    <m/>
    <m/>
    <m/>
    <m/>
    <m/>
    <m/>
    <m/>
    <m/>
    <m/>
    <m/>
    <m/>
    <m/>
    <m/>
    <m/>
  </r>
  <r>
    <n v="3571"/>
    <n v="53990"/>
    <d v="2002-04-02T00:00:00"/>
    <n v="23"/>
    <x v="1"/>
    <x v="1"/>
    <d v="2024-10-17T00:00:00"/>
    <n v="1.7068493150684931"/>
    <x v="142"/>
    <x v="0"/>
    <x v="7"/>
    <x v="1"/>
    <n v="17.59"/>
    <m/>
    <m/>
    <m/>
    <m/>
    <m/>
    <m/>
    <x v="1"/>
    <n v="2"/>
    <n v="5"/>
    <m/>
    <m/>
    <m/>
    <m/>
    <m/>
    <m/>
    <m/>
    <m/>
    <m/>
    <m/>
    <m/>
    <m/>
    <m/>
    <m/>
  </r>
  <r>
    <n v="3572"/>
    <n v="53991"/>
    <d v="2002-08-19T00:00:00"/>
    <n v="23"/>
    <x v="1"/>
    <x v="1"/>
    <d v="2024-04-17T00:00:00"/>
    <n v="1.4931506849315068"/>
    <x v="59"/>
    <x v="0"/>
    <x v="11"/>
    <x v="1"/>
    <n v="17"/>
    <m/>
    <m/>
    <m/>
    <m/>
    <m/>
    <m/>
    <x v="3"/>
    <n v="1"/>
    <n v="6"/>
    <m/>
    <m/>
    <m/>
    <m/>
    <m/>
    <m/>
    <m/>
    <m/>
    <m/>
    <m/>
    <m/>
    <m/>
    <m/>
    <m/>
  </r>
  <r>
    <n v="3573"/>
    <n v="53992"/>
    <d v="1994-12-25T00:00:00"/>
    <n v="31"/>
    <x v="1"/>
    <x v="1"/>
    <d v="2024-07-04T00:00:00"/>
    <n v="1.3808219178082193"/>
    <x v="59"/>
    <x v="0"/>
    <x v="1"/>
    <x v="1"/>
    <n v="16.37"/>
    <m/>
    <m/>
    <m/>
    <m/>
    <m/>
    <m/>
    <x v="2"/>
    <n v="1"/>
    <n v="6"/>
    <m/>
    <m/>
    <m/>
    <m/>
    <m/>
    <m/>
    <m/>
    <m/>
    <m/>
    <m/>
    <m/>
    <m/>
    <m/>
    <m/>
  </r>
  <r>
    <n v="3574"/>
    <n v="53994"/>
    <d v="1999-09-03T00:00:00"/>
    <n v="26"/>
    <x v="1"/>
    <x v="1"/>
    <d v="2024-08-14T00:00:00"/>
    <n v="1.5561643835616439"/>
    <x v="38"/>
    <x v="0"/>
    <x v="11"/>
    <x v="1"/>
    <n v="17"/>
    <m/>
    <m/>
    <m/>
    <m/>
    <m/>
    <m/>
    <x v="2"/>
    <n v="2"/>
    <n v="7"/>
    <m/>
    <m/>
    <m/>
    <m/>
    <m/>
    <m/>
    <m/>
    <m/>
    <m/>
    <m/>
    <m/>
    <m/>
    <m/>
    <m/>
  </r>
  <r>
    <n v="3575"/>
    <n v="53995"/>
    <d v="2002-10-13T00:00:00"/>
    <n v="23"/>
    <x v="1"/>
    <x v="1"/>
    <d v="2024-06-11T00:00:00"/>
    <n v="1.3945205479452054"/>
    <x v="42"/>
    <x v="0"/>
    <x v="9"/>
    <x v="1"/>
    <n v="14.07"/>
    <m/>
    <m/>
    <m/>
    <m/>
    <m/>
    <m/>
    <x v="3"/>
    <n v="1"/>
    <n v="6"/>
    <m/>
    <m/>
    <m/>
    <m/>
    <m/>
    <m/>
    <m/>
    <m/>
    <m/>
    <m/>
    <m/>
    <m/>
    <m/>
    <m/>
  </r>
  <r>
    <n v="3576"/>
    <n v="53996"/>
    <d v="1998-08-01T00:00:00"/>
    <n v="28"/>
    <x v="1"/>
    <x v="1"/>
    <d v="2024-08-09T00:00:00"/>
    <n v="1.7863013698630137"/>
    <x v="42"/>
    <x v="0"/>
    <x v="7"/>
    <x v="1"/>
    <n v="17.59"/>
    <m/>
    <m/>
    <m/>
    <m/>
    <m/>
    <m/>
    <x v="1"/>
    <n v="2"/>
    <n v="6"/>
    <m/>
    <m/>
    <m/>
    <m/>
    <m/>
    <m/>
    <m/>
    <m/>
    <m/>
    <m/>
    <m/>
    <m/>
    <m/>
    <m/>
  </r>
  <r>
    <n v="3577"/>
    <n v="53997"/>
    <d v="1999-11-06T00:00:00"/>
    <n v="26"/>
    <x v="0"/>
    <x v="1"/>
    <d v="2024-03-19T00:00:00"/>
    <n v="1.2054794520547945"/>
    <x v="42"/>
    <x v="0"/>
    <x v="7"/>
    <x v="1"/>
    <n v="17.59"/>
    <m/>
    <m/>
    <m/>
    <m/>
    <m/>
    <m/>
    <x v="4"/>
    <n v="4"/>
    <n v="5"/>
    <m/>
    <m/>
    <m/>
    <m/>
    <m/>
    <m/>
    <m/>
    <m/>
    <m/>
    <m/>
    <m/>
    <m/>
    <m/>
    <m/>
  </r>
  <r>
    <n v="3578"/>
    <n v="53998"/>
    <d v="2003-01-06T00:00:00"/>
    <n v="22"/>
    <x v="1"/>
    <x v="1"/>
    <d v="2024-10-17T00:00:00"/>
    <n v="1.547945205479452"/>
    <x v="42"/>
    <x v="0"/>
    <x v="8"/>
    <x v="1"/>
    <n v="8.4700000000000006"/>
    <m/>
    <m/>
    <m/>
    <m/>
    <m/>
    <m/>
    <x v="4"/>
    <n v="4"/>
    <n v="7"/>
    <m/>
    <m/>
    <m/>
    <m/>
    <m/>
    <m/>
    <m/>
    <m/>
    <m/>
    <m/>
    <m/>
    <m/>
    <m/>
    <m/>
  </r>
  <r>
    <n v="3579"/>
    <n v="53999"/>
    <d v="2006-05-26T00:00:00"/>
    <n v="19"/>
    <x v="0"/>
    <x v="1"/>
    <d v="2024-06-14T00:00:00"/>
    <n v="1.3232876712328767"/>
    <x v="42"/>
    <x v="0"/>
    <x v="8"/>
    <x v="1"/>
    <n v="8.4700000000000006"/>
    <m/>
    <m/>
    <m/>
    <m/>
    <m/>
    <m/>
    <x v="2"/>
    <n v="1"/>
    <n v="5"/>
    <m/>
    <m/>
    <m/>
    <m/>
    <m/>
    <m/>
    <m/>
    <m/>
    <m/>
    <m/>
    <m/>
    <m/>
    <m/>
    <m/>
  </r>
  <r>
    <n v="3580"/>
    <n v="54000"/>
    <d v="2004-10-17T00:00:00"/>
    <n v="21"/>
    <x v="1"/>
    <x v="0"/>
    <d v="2024-09-04T00:00:00"/>
    <n v="1.0082191780821919"/>
    <x v="106"/>
    <x v="1"/>
    <x v="8"/>
    <x v="1"/>
    <n v="8.4700000000000006"/>
    <m/>
    <m/>
    <m/>
    <m/>
    <m/>
    <m/>
    <x v="4"/>
    <n v="2"/>
    <n v="6"/>
    <m/>
    <m/>
    <m/>
    <m/>
    <m/>
    <m/>
    <m/>
    <m/>
    <m/>
    <m/>
    <m/>
    <m/>
    <m/>
    <m/>
  </r>
  <r>
    <n v="3581"/>
    <n v="54001"/>
    <d v="1996-03-24T00:00:00"/>
    <n v="29"/>
    <x v="1"/>
    <x v="0"/>
    <d v="2024-12-28T00:00:00"/>
    <n v="1.2164383561643837"/>
    <x v="43"/>
    <x v="1"/>
    <x v="11"/>
    <x v="1"/>
    <n v="17"/>
    <m/>
    <m/>
    <m/>
    <m/>
    <m/>
    <m/>
    <x v="1"/>
    <n v="1"/>
    <n v="7"/>
    <m/>
    <m/>
    <m/>
    <m/>
    <m/>
    <m/>
    <m/>
    <m/>
    <m/>
    <m/>
    <m/>
    <m/>
    <m/>
    <m/>
  </r>
  <r>
    <n v="3582"/>
    <n v="54002"/>
    <d v="1999-02-26T00:00:00"/>
    <n v="26"/>
    <x v="0"/>
    <x v="1"/>
    <d v="2024-10-13T00:00:00"/>
    <n v="1.3835616438356164"/>
    <x v="104"/>
    <x v="1"/>
    <x v="2"/>
    <x v="1"/>
    <n v="14.23"/>
    <m/>
    <m/>
    <m/>
    <m/>
    <m/>
    <m/>
    <x v="3"/>
    <n v="1"/>
    <n v="4"/>
    <m/>
    <m/>
    <m/>
    <m/>
    <m/>
    <m/>
    <m/>
    <m/>
    <m/>
    <m/>
    <m/>
    <m/>
    <m/>
    <m/>
  </r>
  <r>
    <n v="3583"/>
    <n v="54003"/>
    <d v="2002-12-06T00:00:00"/>
    <n v="23"/>
    <x v="1"/>
    <x v="0"/>
    <d v="2024-08-13T00:00:00"/>
    <n v="1.4191780821917808"/>
    <x v="104"/>
    <x v="1"/>
    <x v="8"/>
    <x v="1"/>
    <n v="8.4700000000000006"/>
    <m/>
    <m/>
    <m/>
    <m/>
    <m/>
    <m/>
    <x v="4"/>
    <n v="2"/>
    <n v="6"/>
    <m/>
    <m/>
    <m/>
    <m/>
    <m/>
    <m/>
    <m/>
    <m/>
    <m/>
    <m/>
    <m/>
    <m/>
    <m/>
    <m/>
  </r>
  <r>
    <n v="3584"/>
    <n v="54004"/>
    <d v="2005-03-14T00:00:00"/>
    <n v="20"/>
    <x v="1"/>
    <x v="1"/>
    <d v="2024-07-31T00:00:00"/>
    <n v="1.1424657534246576"/>
    <x v="105"/>
    <x v="1"/>
    <x v="8"/>
    <x v="1"/>
    <n v="8.4700000000000006"/>
    <m/>
    <m/>
    <m/>
    <m/>
    <m/>
    <m/>
    <x v="3"/>
    <n v="4"/>
    <n v="7"/>
    <m/>
    <m/>
    <m/>
    <m/>
    <m/>
    <m/>
    <m/>
    <m/>
    <m/>
    <m/>
    <m/>
    <m/>
    <m/>
    <m/>
  </r>
  <r>
    <n v="3585"/>
    <n v="54005"/>
    <d v="2000-09-07T00:00:00"/>
    <n v="25"/>
    <x v="1"/>
    <x v="1"/>
    <d v="2024-11-09T00:00:00"/>
    <n v="1.7643835616438357"/>
    <x v="105"/>
    <x v="1"/>
    <x v="8"/>
    <x v="1"/>
    <n v="8.4700000000000006"/>
    <m/>
    <m/>
    <m/>
    <m/>
    <m/>
    <m/>
    <x v="2"/>
    <n v="0"/>
    <n v="5"/>
    <m/>
    <m/>
    <m/>
    <m/>
    <m/>
    <m/>
    <m/>
    <m/>
    <m/>
    <m/>
    <m/>
    <m/>
    <m/>
    <m/>
  </r>
  <r>
    <n v="3586"/>
    <n v="54006"/>
    <d v="1997-05-03T00:00:00"/>
    <n v="28"/>
    <x v="1"/>
    <x v="1"/>
    <d v="2024-03-27T00:00:00"/>
    <n v="1.3479452054794521"/>
    <x v="108"/>
    <x v="1"/>
    <x v="3"/>
    <x v="1"/>
    <n v="8.4700000000000006"/>
    <m/>
    <m/>
    <m/>
    <m/>
    <m/>
    <m/>
    <x v="4"/>
    <n v="2"/>
    <n v="6"/>
    <m/>
    <m/>
    <m/>
    <m/>
    <m/>
    <m/>
    <m/>
    <m/>
    <m/>
    <m/>
    <m/>
    <m/>
    <m/>
    <m/>
  </r>
  <r>
    <n v="3587"/>
    <n v="54007"/>
    <d v="2003-09-15T00:00:00"/>
    <n v="22"/>
    <x v="1"/>
    <x v="1"/>
    <d v="2024-08-26T00:00:00"/>
    <n v="1.5287671232876712"/>
    <x v="108"/>
    <x v="1"/>
    <x v="8"/>
    <x v="1"/>
    <n v="8.4700000000000006"/>
    <m/>
    <m/>
    <m/>
    <m/>
    <m/>
    <m/>
    <x v="2"/>
    <n v="2"/>
    <n v="7"/>
    <m/>
    <m/>
    <m/>
    <m/>
    <m/>
    <m/>
    <m/>
    <m/>
    <m/>
    <m/>
    <m/>
    <m/>
    <m/>
    <m/>
  </r>
  <r>
    <n v="3588"/>
    <n v="54008"/>
    <d v="1998-08-25T00:00:00"/>
    <n v="27"/>
    <x v="0"/>
    <x v="1"/>
    <d v="2024-06-21T00:00:00"/>
    <n v="1.6082191780821917"/>
    <x v="108"/>
    <x v="1"/>
    <x v="8"/>
    <x v="1"/>
    <n v="8.4700000000000006"/>
    <m/>
    <m/>
    <m/>
    <m/>
    <m/>
    <m/>
    <x v="2"/>
    <n v="3"/>
    <n v="5"/>
    <m/>
    <m/>
    <m/>
    <m/>
    <m/>
    <m/>
    <m/>
    <m/>
    <m/>
    <m/>
    <m/>
    <m/>
    <m/>
    <m/>
  </r>
  <r>
    <n v="3589"/>
    <n v="54009"/>
    <d v="2005-06-11T00:00:00"/>
    <n v="20"/>
    <x v="0"/>
    <x v="0"/>
    <d v="2024-05-23T00:00:00"/>
    <n v="1.0821917808219179"/>
    <x v="95"/>
    <x v="1"/>
    <x v="10"/>
    <x v="1"/>
    <n v="10.64"/>
    <m/>
    <m/>
    <m/>
    <m/>
    <m/>
    <m/>
    <x v="4"/>
    <n v="1"/>
    <n v="3"/>
    <m/>
    <m/>
    <m/>
    <m/>
    <m/>
    <m/>
    <m/>
    <m/>
    <m/>
    <m/>
    <m/>
    <m/>
    <m/>
    <m/>
  </r>
  <r>
    <n v="3590"/>
    <n v="54010"/>
    <d v="2005-10-06T00:00:00"/>
    <n v="20"/>
    <x v="1"/>
    <x v="1"/>
    <d v="2024-12-01T00:00:00"/>
    <n v="1.189041095890411"/>
    <x v="56"/>
    <x v="1"/>
    <x v="8"/>
    <x v="1"/>
    <n v="8.4700000000000006"/>
    <m/>
    <m/>
    <m/>
    <m/>
    <m/>
    <m/>
    <x v="2"/>
    <n v="4"/>
    <n v="7"/>
    <m/>
    <m/>
    <m/>
    <m/>
    <m/>
    <m/>
    <m/>
    <m/>
    <m/>
    <m/>
    <m/>
    <m/>
    <m/>
    <m/>
  </r>
  <r>
    <n v="3591"/>
    <n v="54011"/>
    <d v="1999-05-18T00:00:00"/>
    <n v="26"/>
    <x v="1"/>
    <x v="1"/>
    <d v="2024-10-23T00:00:00"/>
    <n v="1.5123287671232877"/>
    <x v="56"/>
    <x v="1"/>
    <x v="8"/>
    <x v="1"/>
    <n v="8.4700000000000006"/>
    <m/>
    <m/>
    <m/>
    <m/>
    <m/>
    <m/>
    <x v="3"/>
    <n v="3"/>
    <n v="4"/>
    <m/>
    <m/>
    <m/>
    <m/>
    <m/>
    <m/>
    <m/>
    <m/>
    <m/>
    <m/>
    <m/>
    <m/>
    <m/>
    <m/>
  </r>
  <r>
    <n v="3592"/>
    <n v="54012"/>
    <d v="1999-07-07T00:00:00"/>
    <n v="26"/>
    <x v="1"/>
    <x v="1"/>
    <d v="2024-06-27T00:00:00"/>
    <n v="1.6383561643835616"/>
    <x v="113"/>
    <x v="1"/>
    <x v="11"/>
    <x v="1"/>
    <n v="17"/>
    <m/>
    <m/>
    <m/>
    <m/>
    <m/>
    <m/>
    <x v="3"/>
    <n v="1"/>
    <n v="6"/>
    <m/>
    <m/>
    <m/>
    <m/>
    <m/>
    <m/>
    <m/>
    <m/>
    <m/>
    <m/>
    <m/>
    <m/>
    <m/>
    <m/>
  </r>
  <r>
    <n v="3593"/>
    <n v="54013"/>
    <d v="1999-10-15T00:00:00"/>
    <n v="26"/>
    <x v="1"/>
    <x v="1"/>
    <d v="2024-05-12T00:00:00"/>
    <n v="1.4904109589041097"/>
    <x v="113"/>
    <x v="1"/>
    <x v="2"/>
    <x v="1"/>
    <n v="14.23"/>
    <m/>
    <m/>
    <m/>
    <m/>
    <m/>
    <m/>
    <x v="3"/>
    <n v="0"/>
    <n v="5"/>
    <m/>
    <m/>
    <m/>
    <m/>
    <m/>
    <m/>
    <m/>
    <m/>
    <m/>
    <m/>
    <m/>
    <m/>
    <m/>
    <m/>
  </r>
  <r>
    <n v="3594"/>
    <n v="54014"/>
    <d v="2006-08-16T00:00:00"/>
    <n v="19"/>
    <x v="1"/>
    <x v="1"/>
    <d v="2024-07-05T00:00:00"/>
    <n v="1.0301369863013699"/>
    <x v="113"/>
    <x v="1"/>
    <x v="3"/>
    <x v="1"/>
    <n v="8.4700000000000006"/>
    <m/>
    <m/>
    <m/>
    <m/>
    <m/>
    <m/>
    <x v="1"/>
    <n v="2"/>
    <n v="7"/>
    <m/>
    <m/>
    <m/>
    <m/>
    <m/>
    <m/>
    <m/>
    <m/>
    <m/>
    <m/>
    <m/>
    <m/>
    <m/>
    <m/>
  </r>
  <r>
    <n v="3595"/>
    <n v="54015"/>
    <d v="2007-04-25T00:00:00"/>
    <n v="18"/>
    <x v="1"/>
    <x v="0"/>
    <d v="2024-12-20T00:00:00"/>
    <n v="1.1287671232876713"/>
    <x v="113"/>
    <x v="1"/>
    <x v="8"/>
    <x v="1"/>
    <n v="8.4700000000000006"/>
    <m/>
    <m/>
    <m/>
    <m/>
    <m/>
    <m/>
    <x v="4"/>
    <n v="2"/>
    <n v="6"/>
    <m/>
    <m/>
    <m/>
    <m/>
    <m/>
    <m/>
    <m/>
    <m/>
    <m/>
    <m/>
    <m/>
    <m/>
    <m/>
    <m/>
  </r>
  <r>
    <n v="3596"/>
    <n v="54016"/>
    <d v="2005-05-08T00:00:00"/>
    <n v="20"/>
    <x v="0"/>
    <x v="1"/>
    <d v="2024-11-14T00:00:00"/>
    <n v="1.7808219178082192"/>
    <x v="117"/>
    <x v="1"/>
    <x v="8"/>
    <x v="1"/>
    <n v="8.4700000000000006"/>
    <m/>
    <m/>
    <m/>
    <m/>
    <m/>
    <m/>
    <x v="1"/>
    <n v="3"/>
    <n v="5"/>
    <m/>
    <m/>
    <m/>
    <m/>
    <m/>
    <m/>
    <m/>
    <m/>
    <m/>
    <m/>
    <m/>
    <m/>
    <m/>
    <m/>
  </r>
  <r>
    <n v="3597"/>
    <n v="54017"/>
    <d v="2005-11-23T00:00:00"/>
    <n v="20"/>
    <x v="1"/>
    <x v="0"/>
    <d v="2024-03-21T00:00:00"/>
    <n v="1.0684931506849316"/>
    <x v="117"/>
    <x v="1"/>
    <x v="8"/>
    <x v="1"/>
    <n v="8.4700000000000006"/>
    <m/>
    <m/>
    <m/>
    <m/>
    <m/>
    <m/>
    <x v="2"/>
    <n v="4"/>
    <n v="6"/>
    <m/>
    <m/>
    <m/>
    <m/>
    <m/>
    <m/>
    <m/>
    <m/>
    <m/>
    <m/>
    <m/>
    <m/>
    <m/>
    <m/>
  </r>
  <r>
    <n v="3598"/>
    <n v="54018"/>
    <d v="2003-12-29T00:00:00"/>
    <n v="22"/>
    <x v="1"/>
    <x v="1"/>
    <d v="2024-12-06T00:00:00"/>
    <n v="1.1013698630136985"/>
    <x v="66"/>
    <x v="1"/>
    <x v="8"/>
    <x v="1"/>
    <n v="8.4700000000000006"/>
    <m/>
    <m/>
    <m/>
    <m/>
    <m/>
    <m/>
    <x v="4"/>
    <n v="2"/>
    <n v="6"/>
    <m/>
    <m/>
    <m/>
    <m/>
    <m/>
    <m/>
    <m/>
    <m/>
    <m/>
    <m/>
    <m/>
    <m/>
    <m/>
    <m/>
  </r>
  <r>
    <n v="3599"/>
    <n v="54019"/>
    <d v="1998-12-05T00:00:00"/>
    <n v="27"/>
    <x v="1"/>
    <x v="1"/>
    <d v="2024-11-24T00:00:00"/>
    <n v="1.789041095890411"/>
    <x v="68"/>
    <x v="1"/>
    <x v="8"/>
    <x v="1"/>
    <n v="8.4700000000000006"/>
    <m/>
    <m/>
    <m/>
    <m/>
    <m/>
    <m/>
    <x v="3"/>
    <n v="2"/>
    <n v="7"/>
    <m/>
    <m/>
    <m/>
    <m/>
    <m/>
    <m/>
    <m/>
    <m/>
    <m/>
    <m/>
    <m/>
    <m/>
    <m/>
    <m/>
  </r>
  <r>
    <n v="3600"/>
    <n v="54020"/>
    <d v="2006-12-08T00:00:00"/>
    <n v="19"/>
    <x v="1"/>
    <x v="1"/>
    <d v="2024-03-18T00:00:00"/>
    <n v="1.2136986301369863"/>
    <x v="72"/>
    <x v="1"/>
    <x v="3"/>
    <x v="1"/>
    <n v="8.4700000000000006"/>
    <m/>
    <m/>
    <m/>
    <m/>
    <m/>
    <m/>
    <x v="1"/>
    <n v="1"/>
    <n v="6"/>
    <m/>
    <m/>
    <m/>
    <m/>
    <m/>
    <m/>
    <m/>
    <m/>
    <m/>
    <m/>
    <m/>
    <m/>
    <m/>
    <m/>
  </r>
  <r>
    <n v="3601"/>
    <n v="54021"/>
    <d v="1998-06-13T00:00:00"/>
    <n v="27"/>
    <x v="1"/>
    <x v="1"/>
    <d v="2024-10-14T00:00:00"/>
    <n v="1.558904109589041"/>
    <x v="72"/>
    <x v="1"/>
    <x v="8"/>
    <x v="1"/>
    <n v="8.4700000000000006"/>
    <m/>
    <m/>
    <m/>
    <m/>
    <m/>
    <m/>
    <x v="1"/>
    <n v="4"/>
    <n v="7"/>
    <m/>
    <m/>
    <m/>
    <m/>
    <m/>
    <m/>
    <m/>
    <m/>
    <m/>
    <m/>
    <m/>
    <m/>
    <m/>
    <m/>
  </r>
  <r>
    <n v="3602"/>
    <n v="54022"/>
    <d v="2000-03-31T00:00:00"/>
    <n v="25"/>
    <x v="0"/>
    <x v="1"/>
    <d v="2024-06-10T00:00:00"/>
    <n v="1.7068493150684931"/>
    <x v="125"/>
    <x v="1"/>
    <x v="7"/>
    <x v="1"/>
    <n v="17.59"/>
    <m/>
    <m/>
    <m/>
    <m/>
    <m/>
    <m/>
    <x v="2"/>
    <n v="2"/>
    <n v="3"/>
    <m/>
    <m/>
    <m/>
    <m/>
    <m/>
    <m/>
    <m/>
    <m/>
    <m/>
    <m/>
    <m/>
    <m/>
    <m/>
    <m/>
  </r>
  <r>
    <n v="3603"/>
    <n v="54024"/>
    <d v="1999-08-07T00:00:00"/>
    <n v="26"/>
    <x v="1"/>
    <x v="1"/>
    <d v="2024-04-17T00:00:00"/>
    <n v="1.6136986301369862"/>
    <x v="129"/>
    <x v="1"/>
    <x v="9"/>
    <x v="1"/>
    <n v="14.07"/>
    <m/>
    <m/>
    <m/>
    <m/>
    <m/>
    <m/>
    <x v="1"/>
    <n v="0"/>
    <n v="6"/>
    <m/>
    <m/>
    <m/>
    <m/>
    <m/>
    <m/>
    <m/>
    <m/>
    <m/>
    <m/>
    <m/>
    <m/>
    <m/>
    <m/>
  </r>
  <r>
    <n v="3604"/>
    <n v="54025"/>
    <d v="2006-09-05T00:00:00"/>
    <n v="19"/>
    <x v="1"/>
    <x v="1"/>
    <d v="2024-05-21T00:00:00"/>
    <n v="1.2493150684931507"/>
    <x v="129"/>
    <x v="1"/>
    <x v="8"/>
    <x v="1"/>
    <n v="8.4700000000000006"/>
    <m/>
    <m/>
    <m/>
    <m/>
    <m/>
    <m/>
    <x v="3"/>
    <n v="0"/>
    <n v="6"/>
    <m/>
    <m/>
    <m/>
    <m/>
    <m/>
    <m/>
    <m/>
    <m/>
    <m/>
    <m/>
    <m/>
    <m/>
    <m/>
    <m/>
  </r>
  <r>
    <n v="3605"/>
    <n v="54026"/>
    <d v="2004-02-17T00:00:00"/>
    <n v="21"/>
    <x v="0"/>
    <x v="1"/>
    <d v="2024-10-01T00:00:00"/>
    <n v="1.1835616438356165"/>
    <x v="107"/>
    <x v="1"/>
    <x v="8"/>
    <x v="1"/>
    <n v="8.4700000000000006"/>
    <m/>
    <m/>
    <m/>
    <m/>
    <m/>
    <m/>
    <x v="3"/>
    <n v="2"/>
    <n v="6"/>
    <m/>
    <m/>
    <m/>
    <m/>
    <m/>
    <m/>
    <m/>
    <m/>
    <m/>
    <m/>
    <m/>
    <m/>
    <m/>
    <m/>
  </r>
  <r>
    <n v="3606"/>
    <n v="54027"/>
    <d v="1998-03-09T00:00:00"/>
    <n v="27"/>
    <x v="0"/>
    <x v="1"/>
    <d v="2024-10-25T00:00:00"/>
    <n v="1.3397260273972602"/>
    <x v="134"/>
    <x v="1"/>
    <x v="8"/>
    <x v="1"/>
    <n v="8.4700000000000006"/>
    <m/>
    <m/>
    <m/>
    <m/>
    <m/>
    <m/>
    <x v="1"/>
    <n v="2"/>
    <n v="4"/>
    <m/>
    <m/>
    <m/>
    <m/>
    <m/>
    <m/>
    <m/>
    <m/>
    <m/>
    <m/>
    <m/>
    <m/>
    <m/>
    <m/>
  </r>
  <r>
    <n v="3607"/>
    <n v="54028"/>
    <d v="2003-11-14T00:00:00"/>
    <n v="22"/>
    <x v="0"/>
    <x v="1"/>
    <d v="2024-08-29T00:00:00"/>
    <n v="1.0520547945205478"/>
    <x v="100"/>
    <x v="1"/>
    <x v="1"/>
    <x v="1"/>
    <n v="16.37"/>
    <m/>
    <m/>
    <m/>
    <m/>
    <m/>
    <m/>
    <x v="1"/>
    <n v="0"/>
    <n v="4"/>
    <m/>
    <m/>
    <m/>
    <m/>
    <m/>
    <m/>
    <m/>
    <m/>
    <m/>
    <m/>
    <m/>
    <m/>
    <m/>
    <m/>
  </r>
  <r>
    <n v="3608"/>
    <n v="54029"/>
    <d v="1992-02-28T00:00:00"/>
    <n v="33"/>
    <x v="1"/>
    <x v="0"/>
    <d v="2024-12-12T00:00:00"/>
    <n v="1.1479452054794521"/>
    <x v="110"/>
    <x v="1"/>
    <x v="8"/>
    <x v="1"/>
    <n v="8.4700000000000006"/>
    <m/>
    <m/>
    <m/>
    <m/>
    <m/>
    <m/>
    <x v="4"/>
    <n v="1"/>
    <n v="6"/>
    <m/>
    <m/>
    <m/>
    <m/>
    <m/>
    <m/>
    <m/>
    <m/>
    <m/>
    <m/>
    <m/>
    <m/>
    <m/>
    <m/>
  </r>
  <r>
    <n v="3609"/>
    <n v="54030"/>
    <d v="2004-05-30T00:00:00"/>
    <n v="21"/>
    <x v="1"/>
    <x v="1"/>
    <d v="2024-11-07T00:00:00"/>
    <n v="1.8739726027397261"/>
    <x v="99"/>
    <x v="1"/>
    <x v="8"/>
    <x v="1"/>
    <n v="8.4700000000000006"/>
    <m/>
    <m/>
    <m/>
    <m/>
    <m/>
    <m/>
    <x v="2"/>
    <n v="1"/>
    <n v="7"/>
    <m/>
    <m/>
    <m/>
    <m/>
    <m/>
    <m/>
    <m/>
    <m/>
    <m/>
    <m/>
    <m/>
    <m/>
    <m/>
    <m/>
  </r>
  <r>
    <n v="3610"/>
    <n v="54031"/>
    <d v="2002-07-28T00:00:00"/>
    <n v="23"/>
    <x v="1"/>
    <x v="1"/>
    <d v="2024-02-16T00:00:00"/>
    <n v="1.1616438356164382"/>
    <x v="101"/>
    <x v="1"/>
    <x v="8"/>
    <x v="1"/>
    <n v="8.4700000000000006"/>
    <m/>
    <m/>
    <m/>
    <m/>
    <m/>
    <m/>
    <x v="4"/>
    <n v="2"/>
    <n v="7"/>
    <m/>
    <m/>
    <m/>
    <m/>
    <m/>
    <m/>
    <m/>
    <m/>
    <m/>
    <m/>
    <m/>
    <m/>
    <m/>
    <m/>
  </r>
  <r>
    <n v="3611"/>
    <n v="54032"/>
    <d v="2004-02-12T00:00:00"/>
    <n v="21"/>
    <x v="1"/>
    <x v="1"/>
    <d v="2024-11-02T00:00:00"/>
    <n v="1.5671232876712329"/>
    <x v="132"/>
    <x v="1"/>
    <x v="8"/>
    <x v="1"/>
    <n v="8.4700000000000006"/>
    <m/>
    <m/>
    <m/>
    <m/>
    <m/>
    <m/>
    <x v="4"/>
    <n v="0"/>
    <n v="6"/>
    <m/>
    <m/>
    <m/>
    <m/>
    <m/>
    <m/>
    <m/>
    <m/>
    <m/>
    <m/>
    <m/>
    <m/>
    <m/>
    <m/>
  </r>
  <r>
    <n v="3612"/>
    <n v="54033"/>
    <d v="2003-02-23T00:00:00"/>
    <n v="22"/>
    <x v="1"/>
    <x v="1"/>
    <d v="2024-06-07T00:00:00"/>
    <n v="1.2273972602739727"/>
    <x v="98"/>
    <x v="1"/>
    <x v="9"/>
    <x v="1"/>
    <n v="14.07"/>
    <m/>
    <m/>
    <m/>
    <m/>
    <m/>
    <m/>
    <x v="1"/>
    <n v="0"/>
    <n v="5"/>
    <m/>
    <m/>
    <m/>
    <m/>
    <m/>
    <m/>
    <m/>
    <m/>
    <m/>
    <m/>
    <m/>
    <m/>
    <m/>
    <m/>
  </r>
  <r>
    <n v="3613"/>
    <n v="54034"/>
    <d v="2006-06-28T00:00:00"/>
    <n v="19"/>
    <x v="1"/>
    <x v="0"/>
    <d v="2024-10-09T00:00:00"/>
    <n v="1.0684931506849316"/>
    <x v="128"/>
    <x v="1"/>
    <x v="3"/>
    <x v="1"/>
    <n v="8.4700000000000006"/>
    <m/>
    <m/>
    <m/>
    <m/>
    <m/>
    <m/>
    <x v="4"/>
    <n v="2"/>
    <n v="6"/>
    <m/>
    <m/>
    <m/>
    <m/>
    <m/>
    <m/>
    <m/>
    <m/>
    <m/>
    <m/>
    <m/>
    <m/>
    <m/>
    <m/>
  </r>
  <r>
    <n v="3614"/>
    <n v="54035"/>
    <d v="2007-06-11T00:00:00"/>
    <n v="18"/>
    <x v="0"/>
    <x v="1"/>
    <d v="2024-12-06T00:00:00"/>
    <n v="1.8082191780821917"/>
    <x v="128"/>
    <x v="1"/>
    <x v="8"/>
    <x v="1"/>
    <n v="8.4700000000000006"/>
    <m/>
    <m/>
    <m/>
    <m/>
    <m/>
    <m/>
    <x v="3"/>
    <n v="2"/>
    <n v="5"/>
    <m/>
    <m/>
    <m/>
    <m/>
    <m/>
    <m/>
    <m/>
    <m/>
    <m/>
    <m/>
    <m/>
    <m/>
    <m/>
    <m/>
  </r>
  <r>
    <n v="3615"/>
    <n v="54036"/>
    <d v="2006-08-08T00:00:00"/>
    <n v="19"/>
    <x v="1"/>
    <x v="0"/>
    <d v="2024-03-11T00:00:00"/>
    <n v="1.2712328767123289"/>
    <x v="128"/>
    <x v="1"/>
    <x v="8"/>
    <x v="1"/>
    <n v="8.4700000000000006"/>
    <m/>
    <m/>
    <m/>
    <m/>
    <m/>
    <m/>
    <x v="3"/>
    <n v="1"/>
    <n v="4"/>
    <m/>
    <m/>
    <m/>
    <m/>
    <m/>
    <m/>
    <m/>
    <m/>
    <m/>
    <m/>
    <m/>
    <m/>
    <m/>
    <m/>
  </r>
  <r>
    <n v="3616"/>
    <n v="54037"/>
    <d v="1996-07-18T00:00:00"/>
    <n v="29"/>
    <x v="1"/>
    <x v="1"/>
    <d v="2024-09-23T00:00:00"/>
    <n v="1.0273972602739727"/>
    <x v="5"/>
    <x v="0"/>
    <x v="3"/>
    <x v="1"/>
    <n v="8.4700000000000006"/>
    <m/>
    <m/>
    <m/>
    <m/>
    <m/>
    <m/>
    <x v="3"/>
    <n v="2"/>
    <n v="4"/>
    <m/>
    <m/>
    <m/>
    <m/>
    <m/>
    <m/>
    <m/>
    <m/>
    <m/>
    <m/>
    <m/>
    <m/>
    <m/>
    <m/>
  </r>
  <r>
    <n v="3617"/>
    <n v="54038"/>
    <d v="2002-01-03T00:00:00"/>
    <n v="23"/>
    <x v="0"/>
    <x v="1"/>
    <d v="2024-12-21T00:00:00"/>
    <n v="1.5643835616438355"/>
    <x v="26"/>
    <x v="0"/>
    <x v="3"/>
    <x v="1"/>
    <n v="17.899999999999999"/>
    <m/>
    <m/>
    <m/>
    <m/>
    <m/>
    <m/>
    <x v="2"/>
    <n v="2"/>
    <n v="4"/>
    <m/>
    <m/>
    <m/>
    <m/>
    <m/>
    <m/>
    <m/>
    <m/>
    <m/>
    <m/>
    <m/>
    <m/>
    <m/>
    <m/>
  </r>
  <r>
    <n v="3618"/>
    <n v="54039"/>
    <d v="2006-06-09T00:00:00"/>
    <n v="19"/>
    <x v="1"/>
    <x v="1"/>
    <d v="2024-06-08T00:00:00"/>
    <n v="1.3726027397260274"/>
    <x v="57"/>
    <x v="0"/>
    <x v="9"/>
    <x v="1"/>
    <n v="14.07"/>
    <m/>
    <m/>
    <m/>
    <m/>
    <m/>
    <m/>
    <x v="2"/>
    <n v="0"/>
    <n v="4"/>
    <m/>
    <m/>
    <m/>
    <m/>
    <m/>
    <m/>
    <m/>
    <m/>
    <m/>
    <m/>
    <m/>
    <m/>
    <m/>
    <m/>
  </r>
  <r>
    <n v="3619"/>
    <n v="54040"/>
    <d v="2006-08-09T00:00:00"/>
    <n v="19"/>
    <x v="0"/>
    <x v="0"/>
    <d v="2024-08-17T00:00:00"/>
    <n v="1.2191780821917808"/>
    <x v="41"/>
    <x v="0"/>
    <x v="2"/>
    <x v="1"/>
    <n v="14.23"/>
    <m/>
    <m/>
    <m/>
    <m/>
    <m/>
    <m/>
    <x v="3"/>
    <n v="1"/>
    <n v="3"/>
    <m/>
    <m/>
    <m/>
    <m/>
    <m/>
    <m/>
    <m/>
    <m/>
    <m/>
    <m/>
    <m/>
    <m/>
    <m/>
    <m/>
  </r>
  <r>
    <n v="3620"/>
    <n v="54041"/>
    <d v="1999-07-01T00:00:00"/>
    <n v="27"/>
    <x v="0"/>
    <x v="1"/>
    <d v="2024-10-12T00:00:00"/>
    <n v="1.4931506849315068"/>
    <x v="41"/>
    <x v="0"/>
    <x v="7"/>
    <x v="1"/>
    <n v="17.59"/>
    <m/>
    <m/>
    <m/>
    <m/>
    <m/>
    <m/>
    <x v="1"/>
    <n v="4"/>
    <n v="5"/>
    <m/>
    <m/>
    <m/>
    <m/>
    <m/>
    <m/>
    <m/>
    <m/>
    <m/>
    <m/>
    <m/>
    <m/>
    <m/>
    <m/>
  </r>
  <r>
    <n v="3621"/>
    <n v="54042"/>
    <d v="1998-02-08T00:00:00"/>
    <n v="27"/>
    <x v="1"/>
    <x v="1"/>
    <d v="2024-07-04T00:00:00"/>
    <n v="1.2273972602739727"/>
    <x v="106"/>
    <x v="1"/>
    <x v="3"/>
    <x v="1"/>
    <n v="8.4700000000000006"/>
    <m/>
    <m/>
    <m/>
    <m/>
    <m/>
    <m/>
    <x v="4"/>
    <n v="2"/>
    <n v="7"/>
    <m/>
    <m/>
    <m/>
    <m/>
    <m/>
    <m/>
    <m/>
    <m/>
    <m/>
    <m/>
    <m/>
    <m/>
    <m/>
    <m/>
  </r>
  <r>
    <n v="3622"/>
    <n v="54043"/>
    <d v="2002-09-15T00:00:00"/>
    <n v="23"/>
    <x v="1"/>
    <x v="1"/>
    <d v="2024-10-09T00:00:00"/>
    <n v="1.2904109589041095"/>
    <x v="90"/>
    <x v="1"/>
    <x v="1"/>
    <x v="1"/>
    <n v="16.37"/>
    <m/>
    <m/>
    <m/>
    <m/>
    <m/>
    <m/>
    <x v="3"/>
    <n v="0"/>
    <n v="6"/>
    <m/>
    <m/>
    <m/>
    <m/>
    <m/>
    <m/>
    <m/>
    <m/>
    <m/>
    <m/>
    <m/>
    <m/>
    <m/>
    <m/>
  </r>
  <r>
    <n v="3623"/>
    <n v="54044"/>
    <d v="2007-06-18T00:00:00"/>
    <n v="18"/>
    <x v="1"/>
    <x v="0"/>
    <d v="2024-09-16T00:00:00"/>
    <n v="1.6246575342465754"/>
    <x v="48"/>
    <x v="1"/>
    <x v="3"/>
    <x v="1"/>
    <n v="8.4700000000000006"/>
    <m/>
    <m/>
    <m/>
    <m/>
    <m/>
    <m/>
    <x v="1"/>
    <n v="1"/>
    <n v="5"/>
    <m/>
    <m/>
    <m/>
    <m/>
    <m/>
    <m/>
    <m/>
    <m/>
    <m/>
    <m/>
    <m/>
    <m/>
    <m/>
    <m/>
  </r>
  <r>
    <n v="3624"/>
    <n v="54045"/>
    <d v="2003-04-30T00:00:00"/>
    <n v="22"/>
    <x v="0"/>
    <x v="1"/>
    <d v="2024-05-17T00:00:00"/>
    <n v="1.1561643835616437"/>
    <x v="76"/>
    <x v="1"/>
    <x v="10"/>
    <x v="1"/>
    <n v="10.64"/>
    <m/>
    <m/>
    <m/>
    <m/>
    <m/>
    <m/>
    <x v="3"/>
    <n v="0"/>
    <n v="4"/>
    <m/>
    <m/>
    <m/>
    <m/>
    <m/>
    <m/>
    <m/>
    <m/>
    <m/>
    <m/>
    <m/>
    <m/>
    <m/>
    <m/>
  </r>
  <r>
    <n v="3625"/>
    <n v="54046"/>
    <d v="2007-09-05T00:00:00"/>
    <n v="18"/>
    <x v="1"/>
    <x v="1"/>
    <d v="2024-11-04T00:00:00"/>
    <n v="1.3945205479452054"/>
    <x v="76"/>
    <x v="1"/>
    <x v="3"/>
    <x v="1"/>
    <n v="8.4700000000000006"/>
    <m/>
    <m/>
    <m/>
    <m/>
    <m/>
    <m/>
    <x v="1"/>
    <n v="2"/>
    <n v="5"/>
    <m/>
    <m/>
    <m/>
    <m/>
    <m/>
    <m/>
    <m/>
    <m/>
    <m/>
    <m/>
    <m/>
    <m/>
    <m/>
    <m/>
  </r>
  <r>
    <n v="3626"/>
    <n v="54047"/>
    <d v="2006-05-27T00:00:00"/>
    <n v="19"/>
    <x v="1"/>
    <x v="1"/>
    <d v="2024-08-09T00:00:00"/>
    <n v="1.0410958904109588"/>
    <x v="76"/>
    <x v="1"/>
    <x v="3"/>
    <x v="1"/>
    <n v="8.4700000000000006"/>
    <m/>
    <m/>
    <m/>
    <m/>
    <m/>
    <m/>
    <x v="3"/>
    <n v="4"/>
    <n v="7"/>
    <m/>
    <m/>
    <m/>
    <m/>
    <m/>
    <m/>
    <m/>
    <m/>
    <m/>
    <m/>
    <m/>
    <m/>
    <m/>
    <m/>
  </r>
  <r>
    <n v="3627"/>
    <n v="54048"/>
    <d v="2002-12-09T00:00:00"/>
    <n v="23"/>
    <x v="0"/>
    <x v="1"/>
    <d v="2024-12-16T00:00:00"/>
    <n v="1.3972602739726028"/>
    <x v="125"/>
    <x v="1"/>
    <x v="10"/>
    <x v="1"/>
    <n v="10.64"/>
    <m/>
    <m/>
    <m/>
    <m/>
    <m/>
    <m/>
    <x v="3"/>
    <n v="1"/>
    <n v="4"/>
    <m/>
    <m/>
    <m/>
    <m/>
    <m/>
    <m/>
    <m/>
    <m/>
    <m/>
    <m/>
    <m/>
    <m/>
    <m/>
    <m/>
  </r>
  <r>
    <n v="3628"/>
    <n v="54049"/>
    <d v="1999-08-12T00:00:00"/>
    <n v="26"/>
    <x v="0"/>
    <x v="1"/>
    <d v="2024-08-08T00:00:00"/>
    <n v="1.1534246575342466"/>
    <x v="125"/>
    <x v="1"/>
    <x v="7"/>
    <x v="1"/>
    <n v="17.59"/>
    <m/>
    <m/>
    <m/>
    <m/>
    <m/>
    <m/>
    <x v="1"/>
    <n v="1"/>
    <n v="3"/>
    <m/>
    <m/>
    <m/>
    <m/>
    <m/>
    <m/>
    <m/>
    <m/>
    <m/>
    <m/>
    <m/>
    <m/>
    <m/>
    <m/>
  </r>
  <r>
    <n v="3629"/>
    <n v="54050"/>
    <d v="2000-08-04T00:00:00"/>
    <n v="25"/>
    <x v="0"/>
    <x v="0"/>
    <d v="2024-11-05T00:00:00"/>
    <n v="1.0027397260273974"/>
    <x v="82"/>
    <x v="0"/>
    <x v="2"/>
    <x v="1"/>
    <n v="14.23"/>
    <m/>
    <m/>
    <m/>
    <m/>
    <m/>
    <m/>
    <x v="4"/>
    <n v="0"/>
    <n v="4"/>
    <m/>
    <m/>
    <m/>
    <m/>
    <m/>
    <m/>
    <m/>
    <m/>
    <m/>
    <m/>
    <m/>
    <m/>
    <m/>
    <m/>
  </r>
  <r>
    <n v="3630"/>
    <n v="54051"/>
    <d v="2005-09-17T00:00:00"/>
    <n v="20"/>
    <x v="1"/>
    <x v="1"/>
    <d v="2024-12-30T00:00:00"/>
    <n v="1.7616438356164383"/>
    <x v="88"/>
    <x v="0"/>
    <x v="8"/>
    <x v="1"/>
    <n v="8.4700000000000006"/>
    <m/>
    <m/>
    <m/>
    <m/>
    <m/>
    <m/>
    <x v="3"/>
    <n v="4"/>
    <n v="6"/>
    <m/>
    <m/>
    <m/>
    <m/>
    <m/>
    <m/>
    <m/>
    <m/>
    <m/>
    <m/>
    <m/>
    <m/>
    <m/>
    <m/>
  </r>
  <r>
    <n v="3631"/>
    <n v="54052"/>
    <d v="2004-03-05T00:00:00"/>
    <n v="21"/>
    <x v="1"/>
    <x v="1"/>
    <d v="2024-03-28T00:00:00"/>
    <n v="1.1369863013698631"/>
    <x v="49"/>
    <x v="0"/>
    <x v="3"/>
    <x v="1"/>
    <n v="8.4700000000000006"/>
    <m/>
    <m/>
    <m/>
    <m/>
    <m/>
    <m/>
    <x v="1"/>
    <n v="0"/>
    <n v="5"/>
    <m/>
    <m/>
    <m/>
    <m/>
    <m/>
    <m/>
    <m/>
    <m/>
    <m/>
    <m/>
    <m/>
    <m/>
    <m/>
    <m/>
  </r>
  <r>
    <n v="3632"/>
    <n v="54053"/>
    <d v="2004-09-09T00:00:00"/>
    <n v="21"/>
    <x v="0"/>
    <x v="1"/>
    <d v="2024-11-11T00:00:00"/>
    <n v="1.6547945205479453"/>
    <x v="41"/>
    <x v="0"/>
    <x v="8"/>
    <x v="1"/>
    <n v="8.4700000000000006"/>
    <m/>
    <m/>
    <m/>
    <m/>
    <m/>
    <m/>
    <x v="1"/>
    <n v="4"/>
    <n v="3"/>
    <m/>
    <m/>
    <m/>
    <m/>
    <m/>
    <m/>
    <m/>
    <m/>
    <m/>
    <m/>
    <m/>
    <m/>
    <m/>
    <m/>
  </r>
  <r>
    <n v="3633"/>
    <n v="54054"/>
    <d v="2005-08-05T00:00:00"/>
    <n v="20"/>
    <x v="1"/>
    <x v="1"/>
    <d v="2024-05-06T00:00:00"/>
    <n v="1.8054794520547945"/>
    <x v="104"/>
    <x v="1"/>
    <x v="3"/>
    <x v="1"/>
    <n v="8.4700000000000006"/>
    <m/>
    <m/>
    <m/>
    <m/>
    <m/>
    <m/>
    <x v="2"/>
    <n v="2"/>
    <n v="5"/>
    <m/>
    <m/>
    <m/>
    <m/>
    <m/>
    <m/>
    <m/>
    <m/>
    <m/>
    <m/>
    <m/>
    <m/>
    <m/>
    <m/>
  </r>
  <r>
    <n v="3634"/>
    <n v="54055"/>
    <d v="2005-06-09T00:00:00"/>
    <n v="20"/>
    <x v="1"/>
    <x v="0"/>
    <d v="2024-03-12T00:00:00"/>
    <n v="1.1643835616438356"/>
    <x v="90"/>
    <x v="1"/>
    <x v="3"/>
    <x v="1"/>
    <n v="8.4700000000000006"/>
    <m/>
    <m/>
    <m/>
    <m/>
    <m/>
    <m/>
    <x v="3"/>
    <n v="0"/>
    <n v="5"/>
    <m/>
    <m/>
    <m/>
    <m/>
    <m/>
    <m/>
    <m/>
    <m/>
    <m/>
    <m/>
    <m/>
    <m/>
    <m/>
    <m/>
  </r>
  <r>
    <n v="3635"/>
    <n v="54056"/>
    <d v="1996-09-27T00:00:00"/>
    <n v="29"/>
    <x v="0"/>
    <x v="1"/>
    <d v="2024-11-01T00:00:00"/>
    <n v="1.4109589041095891"/>
    <x v="93"/>
    <x v="1"/>
    <x v="2"/>
    <x v="1"/>
    <n v="14.23"/>
    <m/>
    <m/>
    <m/>
    <m/>
    <m/>
    <m/>
    <x v="1"/>
    <n v="0"/>
    <n v="4"/>
    <m/>
    <m/>
    <m/>
    <m/>
    <m/>
    <m/>
    <m/>
    <m/>
    <m/>
    <m/>
    <m/>
    <m/>
    <m/>
    <m/>
  </r>
  <r>
    <n v="3636"/>
    <n v="54057"/>
    <d v="2007-01-17T00:00:00"/>
    <n v="18"/>
    <x v="1"/>
    <x v="1"/>
    <d v="2024-08-03T00:00:00"/>
    <n v="1.189041095890411"/>
    <x v="18"/>
    <x v="0"/>
    <x v="8"/>
    <x v="1"/>
    <n v="8.4700000000000006"/>
    <m/>
    <m/>
    <m/>
    <m/>
    <m/>
    <m/>
    <x v="4"/>
    <n v="2"/>
    <n v="7"/>
    <m/>
    <m/>
    <m/>
    <m/>
    <m/>
    <m/>
    <m/>
    <m/>
    <m/>
    <m/>
    <m/>
    <m/>
    <m/>
    <m/>
  </r>
  <r>
    <n v="3637"/>
    <n v="54058"/>
    <d v="2000-03-28T00:00:00"/>
    <n v="25"/>
    <x v="0"/>
    <x v="1"/>
    <d v="2024-10-23T00:00:00"/>
    <n v="1.5945205479452054"/>
    <x v="73"/>
    <x v="0"/>
    <x v="7"/>
    <x v="1"/>
    <n v="17.59"/>
    <m/>
    <m/>
    <m/>
    <m/>
    <m/>
    <m/>
    <x v="2"/>
    <n v="2"/>
    <n v="4"/>
    <m/>
    <m/>
    <m/>
    <m/>
    <m/>
    <m/>
    <m/>
    <m/>
    <m/>
    <m/>
    <m/>
    <m/>
    <m/>
    <m/>
  </r>
  <r>
    <n v="3638"/>
    <n v="54059"/>
    <d v="1989-07-18T00:00:00"/>
    <n v="36"/>
    <x v="0"/>
    <x v="1"/>
    <d v="2024-05-28T00:00:00"/>
    <n v="1.6876712328767123"/>
    <x v="60"/>
    <x v="1"/>
    <x v="6"/>
    <x v="1"/>
    <n v="23.78"/>
    <m/>
    <m/>
    <m/>
    <m/>
    <m/>
    <m/>
    <x v="2"/>
    <n v="7"/>
    <n v="6"/>
    <m/>
    <m/>
    <m/>
    <m/>
    <m/>
    <m/>
    <m/>
    <m/>
    <m/>
    <m/>
    <m/>
    <m/>
    <m/>
    <m/>
  </r>
  <r>
    <n v="3639"/>
    <n v="54060"/>
    <d v="1998-12-26T00:00:00"/>
    <n v="27"/>
    <x v="1"/>
    <x v="1"/>
    <d v="2024-04-24T00:00:00"/>
    <n v="1.6082191780821917"/>
    <x v="93"/>
    <x v="1"/>
    <x v="3"/>
    <x v="1"/>
    <n v="8.4700000000000006"/>
    <m/>
    <m/>
    <m/>
    <m/>
    <m/>
    <m/>
    <x v="3"/>
    <n v="3"/>
    <n v="7"/>
    <m/>
    <m/>
    <m/>
    <m/>
    <m/>
    <m/>
    <m/>
    <m/>
    <m/>
    <m/>
    <m/>
    <m/>
    <m/>
    <m/>
  </r>
  <r>
    <n v="3640"/>
    <n v="54061"/>
    <d v="2002-11-01T00:00:00"/>
    <n v="24"/>
    <x v="1"/>
    <x v="1"/>
    <d v="2024-05-23T00:00:00"/>
    <n v="1.1643835616438356"/>
    <x v="10"/>
    <x v="0"/>
    <x v="11"/>
    <x v="1"/>
    <n v="17"/>
    <m/>
    <m/>
    <m/>
    <m/>
    <m/>
    <m/>
    <x v="4"/>
    <n v="2"/>
    <n v="6"/>
    <m/>
    <m/>
    <m/>
    <m/>
    <m/>
    <m/>
    <m/>
    <m/>
    <m/>
    <m/>
    <m/>
    <m/>
    <m/>
    <m/>
  </r>
  <r>
    <n v="3641"/>
    <n v="54062"/>
    <d v="2005-05-16T00:00:00"/>
    <n v="20"/>
    <x v="0"/>
    <x v="1"/>
    <d v="2024-11-01T00:00:00"/>
    <n v="1.7424657534246575"/>
    <x v="78"/>
    <x v="0"/>
    <x v="10"/>
    <x v="1"/>
    <n v="10.64"/>
    <m/>
    <m/>
    <m/>
    <m/>
    <m/>
    <m/>
    <x v="3"/>
    <n v="0"/>
    <n v="5"/>
    <m/>
    <m/>
    <m/>
    <m/>
    <m/>
    <m/>
    <m/>
    <m/>
    <m/>
    <m/>
    <m/>
    <m/>
    <m/>
    <m/>
  </r>
  <r>
    <n v="3642"/>
    <n v="54063"/>
    <d v="2000-04-19T00:00:00"/>
    <n v="25"/>
    <x v="1"/>
    <x v="1"/>
    <d v="2024-04-04T00:00:00"/>
    <n v="1.4"/>
    <x v="67"/>
    <x v="0"/>
    <x v="8"/>
    <x v="1"/>
    <n v="8.4700000000000006"/>
    <m/>
    <m/>
    <m/>
    <m/>
    <m/>
    <m/>
    <x v="1"/>
    <n v="4"/>
    <n v="6"/>
    <m/>
    <m/>
    <m/>
    <m/>
    <m/>
    <m/>
    <m/>
    <m/>
    <m/>
    <m/>
    <m/>
    <m/>
    <m/>
    <m/>
  </r>
  <r>
    <n v="3643"/>
    <n v="54064"/>
    <d v="2000-09-24T00:00:00"/>
    <n v="25"/>
    <x v="1"/>
    <x v="1"/>
    <d v="2024-08-07T00:00:00"/>
    <n v="1.2876712328767124"/>
    <x v="36"/>
    <x v="0"/>
    <x v="8"/>
    <x v="1"/>
    <n v="8.4700000000000006"/>
    <m/>
    <m/>
    <m/>
    <m/>
    <m/>
    <m/>
    <x v="4"/>
    <n v="1"/>
    <n v="6"/>
    <m/>
    <m/>
    <m/>
    <m/>
    <m/>
    <m/>
    <m/>
    <m/>
    <m/>
    <m/>
    <m/>
    <m/>
    <m/>
    <m/>
  </r>
  <r>
    <n v="3644"/>
    <n v="54065"/>
    <d v="1988-10-30T00:00:00"/>
    <n v="37"/>
    <x v="1"/>
    <x v="1"/>
    <d v="2024-09-17T00:00:00"/>
    <n v="1.7972602739726027"/>
    <x v="41"/>
    <x v="0"/>
    <x v="1"/>
    <x v="1"/>
    <n v="16.37"/>
    <m/>
    <m/>
    <m/>
    <m/>
    <m/>
    <m/>
    <x v="4"/>
    <n v="1"/>
    <n v="6"/>
    <m/>
    <m/>
    <m/>
    <m/>
    <m/>
    <m/>
    <m/>
    <m/>
    <m/>
    <m/>
    <m/>
    <m/>
    <m/>
    <m/>
  </r>
  <r>
    <n v="3645"/>
    <n v="54066"/>
    <d v="1999-12-04T00:00:00"/>
    <n v="26"/>
    <x v="0"/>
    <x v="1"/>
    <d v="2024-03-15T00:00:00"/>
    <n v="1.6712328767123288"/>
    <x v="106"/>
    <x v="1"/>
    <x v="7"/>
    <x v="1"/>
    <n v="17.59"/>
    <m/>
    <m/>
    <m/>
    <m/>
    <m/>
    <m/>
    <x v="1"/>
    <n v="2"/>
    <n v="4"/>
    <m/>
    <m/>
    <m/>
    <m/>
    <m/>
    <m/>
    <m/>
    <m/>
    <m/>
    <m/>
    <m/>
    <m/>
    <m/>
    <m/>
  </r>
  <r>
    <n v="3646"/>
    <n v="54067"/>
    <d v="2005-12-14T00:00:00"/>
    <n v="20"/>
    <x v="0"/>
    <x v="1"/>
    <d v="2024-04-30T00:00:00"/>
    <n v="1.5013698630136987"/>
    <x v="1"/>
    <x v="1"/>
    <x v="8"/>
    <x v="1"/>
    <n v="8.4700000000000006"/>
    <m/>
    <m/>
    <m/>
    <m/>
    <m/>
    <m/>
    <x v="1"/>
    <n v="4"/>
    <n v="5"/>
    <m/>
    <m/>
    <m/>
    <m/>
    <m/>
    <m/>
    <m/>
    <m/>
    <m/>
    <m/>
    <m/>
    <m/>
    <m/>
    <m/>
  </r>
  <r>
    <n v="3647"/>
    <n v="54068"/>
    <d v="2005-11-13T00:00:00"/>
    <n v="20"/>
    <x v="1"/>
    <x v="1"/>
    <d v="2024-07-01T00:00:00"/>
    <n v="1.4493150684931506"/>
    <x v="64"/>
    <x v="1"/>
    <x v="9"/>
    <x v="1"/>
    <n v="14.07"/>
    <m/>
    <m/>
    <m/>
    <m/>
    <m/>
    <m/>
    <x v="1"/>
    <n v="0"/>
    <n v="5"/>
    <m/>
    <m/>
    <m/>
    <m/>
    <m/>
    <m/>
    <m/>
    <m/>
    <m/>
    <m/>
    <m/>
    <m/>
    <m/>
    <m/>
  </r>
  <r>
    <n v="3648"/>
    <n v="54069"/>
    <d v="2001-09-19T00:00:00"/>
    <n v="24"/>
    <x v="1"/>
    <x v="1"/>
    <d v="2024-07-20T00:00:00"/>
    <n v="1.0986301369863014"/>
    <x v="65"/>
    <x v="1"/>
    <x v="8"/>
    <x v="1"/>
    <n v="8.4700000000000006"/>
    <m/>
    <m/>
    <m/>
    <m/>
    <m/>
    <m/>
    <x v="1"/>
    <n v="2"/>
    <n v="5"/>
    <m/>
    <m/>
    <m/>
    <m/>
    <m/>
    <m/>
    <m/>
    <m/>
    <m/>
    <m/>
    <m/>
    <m/>
    <m/>
    <m/>
  </r>
  <r>
    <n v="3649"/>
    <n v="54070"/>
    <d v="2000-07-04T00:00:00"/>
    <n v="25"/>
    <x v="1"/>
    <x v="1"/>
    <d v="2024-11-25T00:00:00"/>
    <n v="1.6931506849315068"/>
    <x v="136"/>
    <x v="0"/>
    <x v="11"/>
    <x v="1"/>
    <n v="17"/>
    <m/>
    <m/>
    <m/>
    <m/>
    <m/>
    <m/>
    <x v="1"/>
    <n v="0"/>
    <n v="7"/>
    <m/>
    <m/>
    <m/>
    <m/>
    <m/>
    <m/>
    <m/>
    <m/>
    <m/>
    <m/>
    <m/>
    <m/>
    <m/>
    <m/>
  </r>
  <r>
    <n v="3650"/>
    <n v="54071"/>
    <d v="2003-03-08T00:00:00"/>
    <n v="22"/>
    <x v="1"/>
    <x v="1"/>
    <d v="2024-04-22T00:00:00"/>
    <n v="1.1369863013698631"/>
    <x v="92"/>
    <x v="1"/>
    <x v="8"/>
    <x v="1"/>
    <n v="8.4700000000000006"/>
    <m/>
    <m/>
    <m/>
    <m/>
    <m/>
    <m/>
    <x v="4"/>
    <n v="2"/>
    <n v="4"/>
    <m/>
    <m/>
    <m/>
    <m/>
    <m/>
    <m/>
    <m/>
    <m/>
    <m/>
    <m/>
    <m/>
    <m/>
    <m/>
    <m/>
  </r>
  <r>
    <n v="3651"/>
    <n v="54072"/>
    <d v="2003-04-25T00:00:00"/>
    <n v="22"/>
    <x v="1"/>
    <x v="1"/>
    <d v="2024-11-11T00:00:00"/>
    <n v="1.3397260273972602"/>
    <x v="11"/>
    <x v="0"/>
    <x v="8"/>
    <x v="1"/>
    <n v="8.4700000000000006"/>
    <m/>
    <m/>
    <m/>
    <m/>
    <m/>
    <m/>
    <x v="4"/>
    <n v="4"/>
    <n v="7"/>
    <m/>
    <m/>
    <m/>
    <m/>
    <m/>
    <m/>
    <m/>
    <m/>
    <m/>
    <m/>
    <m/>
    <m/>
    <m/>
    <m/>
  </r>
  <r>
    <n v="3652"/>
    <n v="54073"/>
    <d v="2000-03-24T00:00:00"/>
    <n v="25"/>
    <x v="0"/>
    <x v="1"/>
    <d v="2024-08-29T00:00:00"/>
    <n v="1.4191780821917808"/>
    <x v="33"/>
    <x v="0"/>
    <x v="9"/>
    <x v="1"/>
    <n v="14.07"/>
    <m/>
    <m/>
    <m/>
    <m/>
    <m/>
    <m/>
    <x v="4"/>
    <n v="1"/>
    <n v="4"/>
    <m/>
    <m/>
    <m/>
    <m/>
    <m/>
    <m/>
    <m/>
    <m/>
    <m/>
    <m/>
    <m/>
    <m/>
    <m/>
    <m/>
  </r>
  <r>
    <n v="3653"/>
    <n v="54074"/>
    <d v="2001-05-27T00:00:00"/>
    <n v="24"/>
    <x v="1"/>
    <x v="1"/>
    <d v="2024-07-31T00:00:00"/>
    <n v="1.7095890410958905"/>
    <x v="136"/>
    <x v="0"/>
    <x v="8"/>
    <x v="1"/>
    <n v="8.4700000000000006"/>
    <m/>
    <m/>
    <m/>
    <m/>
    <m/>
    <m/>
    <x v="3"/>
    <n v="4"/>
    <n v="6"/>
    <m/>
    <m/>
    <m/>
    <m/>
    <m/>
    <m/>
    <m/>
    <m/>
    <m/>
    <m/>
    <m/>
    <m/>
    <m/>
    <m/>
  </r>
  <r>
    <n v="3654"/>
    <n v="54075"/>
    <d v="2005-02-10T00:00:00"/>
    <n v="20"/>
    <x v="0"/>
    <x v="1"/>
    <d v="2024-04-16T00:00:00"/>
    <n v="1.4301369863013698"/>
    <x v="123"/>
    <x v="1"/>
    <x v="9"/>
    <x v="1"/>
    <n v="14.07"/>
    <m/>
    <m/>
    <m/>
    <m/>
    <m/>
    <m/>
    <x v="3"/>
    <n v="0"/>
    <n v="4"/>
    <m/>
    <m/>
    <m/>
    <m/>
    <m/>
    <m/>
    <m/>
    <m/>
    <m/>
    <m/>
    <m/>
    <m/>
    <m/>
    <m/>
  </r>
  <r>
    <n v="3655"/>
    <n v="54078"/>
    <d v="1997-07-17T00:00:00"/>
    <n v="28"/>
    <x v="1"/>
    <x v="0"/>
    <d v="2024-07-27T00:00:00"/>
    <n v="1.6082191780821917"/>
    <x v="41"/>
    <x v="0"/>
    <x v="3"/>
    <x v="1"/>
    <n v="8.4700000000000006"/>
    <m/>
    <m/>
    <m/>
    <m/>
    <m/>
    <m/>
    <x v="3"/>
    <n v="1"/>
    <n v="5"/>
    <m/>
    <m/>
    <m/>
    <m/>
    <m/>
    <m/>
    <m/>
    <m/>
    <m/>
    <m/>
    <m/>
    <m/>
    <m/>
    <m/>
  </r>
  <r>
    <n v="3656"/>
    <n v="54079"/>
    <d v="2004-10-24T00:00:00"/>
    <n v="21"/>
    <x v="1"/>
    <x v="1"/>
    <d v="2024-05-23T00:00:00"/>
    <n v="1.7698630136986302"/>
    <x v="0"/>
    <x v="0"/>
    <x v="3"/>
    <x v="1"/>
    <n v="8.4700000000000006"/>
    <m/>
    <m/>
    <m/>
    <m/>
    <m/>
    <m/>
    <x v="4"/>
    <n v="0"/>
    <n v="6"/>
    <m/>
    <m/>
    <m/>
    <m/>
    <m/>
    <m/>
    <m/>
    <m/>
    <m/>
    <m/>
    <m/>
    <m/>
    <m/>
    <m/>
  </r>
  <r>
    <n v="3657"/>
    <n v="54080"/>
    <d v="1990-07-04T00:00:00"/>
    <n v="35"/>
    <x v="0"/>
    <x v="1"/>
    <d v="2024-03-25T00:00:00"/>
    <n v="1.0465753424657533"/>
    <x v="2"/>
    <x v="0"/>
    <x v="7"/>
    <x v="1"/>
    <n v="17.59"/>
    <m/>
    <m/>
    <m/>
    <m/>
    <m/>
    <m/>
    <x v="4"/>
    <n v="2"/>
    <n v="5"/>
    <m/>
    <m/>
    <m/>
    <m/>
    <m/>
    <m/>
    <m/>
    <m/>
    <m/>
    <m/>
    <m/>
    <m/>
    <m/>
    <m/>
  </r>
  <r>
    <n v="3658"/>
    <n v="54081"/>
    <d v="2004-02-16T00:00:00"/>
    <n v="21"/>
    <x v="1"/>
    <x v="1"/>
    <d v="2024-12-14T00:00:00"/>
    <n v="1.5808219178082192"/>
    <x v="5"/>
    <x v="0"/>
    <x v="10"/>
    <x v="1"/>
    <n v="10.64"/>
    <m/>
    <m/>
    <m/>
    <m/>
    <m/>
    <m/>
    <x v="4"/>
    <n v="0"/>
    <n v="4"/>
    <m/>
    <m/>
    <m/>
    <m/>
    <m/>
    <m/>
    <m/>
    <m/>
    <m/>
    <m/>
    <m/>
    <m/>
    <m/>
    <m/>
  </r>
  <r>
    <n v="3659"/>
    <n v="54082"/>
    <d v="1999-05-24T00:00:00"/>
    <n v="26"/>
    <x v="1"/>
    <x v="1"/>
    <d v="2024-06-02T00:00:00"/>
    <n v="1.6054794520547946"/>
    <x v="10"/>
    <x v="0"/>
    <x v="8"/>
    <x v="1"/>
    <n v="8.4700000000000006"/>
    <m/>
    <m/>
    <m/>
    <m/>
    <m/>
    <m/>
    <x v="4"/>
    <n v="2"/>
    <n v="6"/>
    <m/>
    <m/>
    <m/>
    <m/>
    <m/>
    <m/>
    <m/>
    <m/>
    <m/>
    <m/>
    <m/>
    <m/>
    <m/>
    <m/>
  </r>
  <r>
    <n v="3660"/>
    <n v="54083"/>
    <d v="1995-11-16T00:00:00"/>
    <n v="30"/>
    <x v="1"/>
    <x v="1"/>
    <d v="2024-05-24T00:00:00"/>
    <n v="1.9123287671232876"/>
    <x v="45"/>
    <x v="0"/>
    <x v="8"/>
    <x v="1"/>
    <n v="8.4700000000000006"/>
    <m/>
    <m/>
    <m/>
    <m/>
    <m/>
    <m/>
    <x v="2"/>
    <n v="2"/>
    <n v="7"/>
    <m/>
    <m/>
    <m/>
    <m/>
    <m/>
    <m/>
    <m/>
    <m/>
    <m/>
    <m/>
    <m/>
    <m/>
    <m/>
    <m/>
  </r>
  <r>
    <n v="3661"/>
    <n v="54084"/>
    <d v="1999-09-12T00:00:00"/>
    <n v="26"/>
    <x v="1"/>
    <x v="0"/>
    <d v="2024-02-02T00:00:00"/>
    <n v="1.6054794520547946"/>
    <x v="12"/>
    <x v="0"/>
    <x v="8"/>
    <x v="1"/>
    <n v="8.4700000000000006"/>
    <m/>
    <m/>
    <m/>
    <m/>
    <m/>
    <m/>
    <x v="3"/>
    <n v="2"/>
    <n v="5"/>
    <m/>
    <m/>
    <m/>
    <m/>
    <m/>
    <m/>
    <m/>
    <m/>
    <m/>
    <m/>
    <m/>
    <m/>
    <m/>
    <m/>
  </r>
  <r>
    <n v="3662"/>
    <n v="54085"/>
    <d v="1998-10-22T00:00:00"/>
    <n v="27"/>
    <x v="1"/>
    <x v="1"/>
    <d v="2024-05-24T00:00:00"/>
    <n v="1.1452054794520548"/>
    <x v="20"/>
    <x v="0"/>
    <x v="8"/>
    <x v="1"/>
    <n v="8.4700000000000006"/>
    <m/>
    <m/>
    <m/>
    <m/>
    <m/>
    <m/>
    <x v="1"/>
    <n v="2"/>
    <n v="7"/>
    <m/>
    <m/>
    <m/>
    <m/>
    <m/>
    <m/>
    <m/>
    <m/>
    <m/>
    <m/>
    <m/>
    <m/>
    <m/>
    <m/>
  </r>
  <r>
    <n v="3663"/>
    <n v="54086"/>
    <d v="2000-10-27T00:00:00"/>
    <n v="25"/>
    <x v="0"/>
    <x v="0"/>
    <d v="2024-11-08T00:00:00"/>
    <n v="1.7506849315068493"/>
    <x v="27"/>
    <x v="0"/>
    <x v="10"/>
    <x v="1"/>
    <n v="10.64"/>
    <m/>
    <m/>
    <m/>
    <m/>
    <m/>
    <m/>
    <x v="1"/>
    <n v="0"/>
    <n v="3"/>
    <m/>
    <m/>
    <m/>
    <m/>
    <m/>
    <m/>
    <m/>
    <m/>
    <m/>
    <m/>
    <m/>
    <m/>
    <m/>
    <m/>
  </r>
  <r>
    <n v="3664"/>
    <n v="54087"/>
    <d v="1995-02-08T00:00:00"/>
    <n v="30"/>
    <x v="0"/>
    <x v="1"/>
    <d v="2024-04-01T00:00:00"/>
    <n v="1.6602739726027398"/>
    <x v="52"/>
    <x v="0"/>
    <x v="11"/>
    <x v="1"/>
    <n v="17"/>
    <m/>
    <m/>
    <m/>
    <m/>
    <m/>
    <m/>
    <x v="2"/>
    <n v="4"/>
    <n v="6"/>
    <m/>
    <m/>
    <m/>
    <m/>
    <m/>
    <m/>
    <m/>
    <m/>
    <m/>
    <m/>
    <m/>
    <m/>
    <m/>
    <m/>
  </r>
  <r>
    <n v="3665"/>
    <n v="54088"/>
    <d v="1998-11-14T00:00:00"/>
    <n v="27"/>
    <x v="0"/>
    <x v="1"/>
    <d v="2024-05-04T00:00:00"/>
    <n v="1.0191780821917809"/>
    <x v="47"/>
    <x v="0"/>
    <x v="8"/>
    <x v="1"/>
    <n v="8.4700000000000006"/>
    <m/>
    <m/>
    <m/>
    <m/>
    <m/>
    <m/>
    <x v="1"/>
    <n v="1"/>
    <n v="5"/>
    <m/>
    <m/>
    <m/>
    <m/>
    <m/>
    <m/>
    <m/>
    <m/>
    <m/>
    <m/>
    <m/>
    <m/>
    <m/>
    <m/>
  </r>
  <r>
    <n v="3666"/>
    <n v="54089"/>
    <d v="2005-11-09T00:00:00"/>
    <n v="20"/>
    <x v="1"/>
    <x v="1"/>
    <d v="2024-12-24T00:00:00"/>
    <n v="1.1150684931506849"/>
    <x v="63"/>
    <x v="0"/>
    <x v="8"/>
    <x v="1"/>
    <n v="8.4700000000000006"/>
    <m/>
    <m/>
    <m/>
    <m/>
    <m/>
    <m/>
    <x v="2"/>
    <n v="2"/>
    <n v="5"/>
    <m/>
    <m/>
    <m/>
    <m/>
    <m/>
    <m/>
    <m/>
    <m/>
    <m/>
    <m/>
    <m/>
    <m/>
    <m/>
    <m/>
  </r>
  <r>
    <n v="3667"/>
    <n v="54090"/>
    <d v="2006-01-02T00:00:00"/>
    <n v="19"/>
    <x v="1"/>
    <x v="1"/>
    <d v="2024-11-19T00:00:00"/>
    <n v="1.2986301369863014"/>
    <x v="50"/>
    <x v="0"/>
    <x v="8"/>
    <x v="1"/>
    <n v="8.4700000000000006"/>
    <m/>
    <m/>
    <m/>
    <m/>
    <m/>
    <m/>
    <x v="1"/>
    <n v="1"/>
    <n v="7"/>
    <m/>
    <m/>
    <m/>
    <m/>
    <m/>
    <m/>
    <m/>
    <m/>
    <m/>
    <m/>
    <m/>
    <m/>
    <m/>
    <m/>
  </r>
  <r>
    <n v="3668"/>
    <n v="54091"/>
    <d v="2002-06-01T00:00:00"/>
    <n v="24"/>
    <x v="0"/>
    <x v="0"/>
    <d v="2024-09-13T00:00:00"/>
    <n v="1.3506849315068492"/>
    <x v="41"/>
    <x v="0"/>
    <x v="8"/>
    <x v="1"/>
    <n v="8.4700000000000006"/>
    <m/>
    <m/>
    <m/>
    <m/>
    <m/>
    <m/>
    <x v="4"/>
    <n v="2"/>
    <n v="5"/>
    <m/>
    <m/>
    <m/>
    <m/>
    <m/>
    <m/>
    <m/>
    <m/>
    <m/>
    <m/>
    <m/>
    <m/>
    <m/>
    <m/>
  </r>
  <r>
    <n v="3669"/>
    <n v="54092"/>
    <d v="2005-02-17T00:00:00"/>
    <n v="20"/>
    <x v="1"/>
    <x v="1"/>
    <d v="2024-08-25T00:00:00"/>
    <n v="1.7506849315068493"/>
    <x v="77"/>
    <x v="0"/>
    <x v="8"/>
    <x v="1"/>
    <n v="8.4700000000000006"/>
    <m/>
    <m/>
    <m/>
    <m/>
    <m/>
    <m/>
    <x v="4"/>
    <n v="3"/>
    <n v="6"/>
    <m/>
    <m/>
    <m/>
    <m/>
    <m/>
    <m/>
    <m/>
    <m/>
    <m/>
    <m/>
    <m/>
    <m/>
    <m/>
    <m/>
  </r>
  <r>
    <n v="3670"/>
    <n v="54093"/>
    <d v="2003-06-16T00:00:00"/>
    <n v="22"/>
    <x v="1"/>
    <x v="1"/>
    <d v="2024-04-01T00:00:00"/>
    <n v="1.0876712328767124"/>
    <x v="40"/>
    <x v="1"/>
    <x v="7"/>
    <x v="1"/>
    <n v="17.59"/>
    <m/>
    <m/>
    <m/>
    <m/>
    <m/>
    <m/>
    <x v="2"/>
    <n v="1"/>
    <n v="7"/>
    <m/>
    <m/>
    <m/>
    <m/>
    <m/>
    <m/>
    <m/>
    <m/>
    <m/>
    <m/>
    <m/>
    <m/>
    <m/>
    <m/>
  </r>
  <r>
    <n v="3671"/>
    <n v="54094"/>
    <d v="2004-03-29T00:00:00"/>
    <n v="21"/>
    <x v="1"/>
    <x v="1"/>
    <d v="2024-11-29T00:00:00"/>
    <n v="1.726027397260274"/>
    <x v="40"/>
    <x v="1"/>
    <x v="8"/>
    <x v="1"/>
    <n v="8.4700000000000006"/>
    <m/>
    <m/>
    <m/>
    <m/>
    <m/>
    <m/>
    <x v="4"/>
    <n v="3"/>
    <n v="6"/>
    <m/>
    <m/>
    <m/>
    <m/>
    <m/>
    <m/>
    <m/>
    <m/>
    <m/>
    <m/>
    <m/>
    <m/>
    <m/>
    <m/>
  </r>
  <r>
    <n v="3672"/>
    <n v="54095"/>
    <d v="2005-06-21T00:00:00"/>
    <n v="20"/>
    <x v="0"/>
    <x v="1"/>
    <d v="2024-04-10T00:00:00"/>
    <n v="1.3452054794520547"/>
    <x v="97"/>
    <x v="1"/>
    <x v="10"/>
    <x v="1"/>
    <n v="10.64"/>
    <m/>
    <m/>
    <m/>
    <m/>
    <m/>
    <m/>
    <x v="2"/>
    <n v="1"/>
    <n v="5"/>
    <m/>
    <m/>
    <m/>
    <m/>
    <m/>
    <m/>
    <m/>
    <m/>
    <m/>
    <m/>
    <m/>
    <m/>
    <m/>
    <m/>
  </r>
  <r>
    <n v="3673"/>
    <n v="54096"/>
    <d v="2004-08-06T00:00:00"/>
    <n v="21"/>
    <x v="1"/>
    <x v="0"/>
    <d v="2024-08-27T00:00:00"/>
    <n v="1.5643835616438355"/>
    <x v="46"/>
    <x v="1"/>
    <x v="8"/>
    <x v="1"/>
    <n v="8.4700000000000006"/>
    <m/>
    <m/>
    <m/>
    <m/>
    <m/>
    <m/>
    <x v="2"/>
    <n v="0"/>
    <n v="6"/>
    <m/>
    <m/>
    <m/>
    <m/>
    <m/>
    <m/>
    <m/>
    <m/>
    <m/>
    <m/>
    <m/>
    <m/>
    <m/>
    <m/>
  </r>
  <r>
    <n v="3674"/>
    <n v="54097"/>
    <d v="2001-12-07T00:00:00"/>
    <n v="24"/>
    <x v="0"/>
    <x v="1"/>
    <d v="2024-06-08T00:00:00"/>
    <n v="1.010958904109589"/>
    <x v="105"/>
    <x v="1"/>
    <x v="11"/>
    <x v="1"/>
    <n v="17"/>
    <m/>
    <m/>
    <m/>
    <m/>
    <m/>
    <m/>
    <x v="1"/>
    <n v="1"/>
    <n v="4"/>
    <m/>
    <m/>
    <m/>
    <m/>
    <m/>
    <m/>
    <m/>
    <m/>
    <m/>
    <m/>
    <m/>
    <m/>
    <m/>
    <m/>
  </r>
  <r>
    <n v="3675"/>
    <n v="54098"/>
    <d v="1996-05-18T00:00:00"/>
    <n v="29"/>
    <x v="1"/>
    <x v="1"/>
    <d v="2024-12-27T00:00:00"/>
    <n v="1.1616438356164382"/>
    <x v="85"/>
    <x v="1"/>
    <x v="8"/>
    <x v="1"/>
    <n v="8.4700000000000006"/>
    <m/>
    <m/>
    <m/>
    <m/>
    <m/>
    <m/>
    <x v="2"/>
    <n v="4"/>
    <n v="7"/>
    <m/>
    <m/>
    <m/>
    <m/>
    <m/>
    <m/>
    <m/>
    <m/>
    <m/>
    <m/>
    <m/>
    <m/>
    <m/>
    <m/>
  </r>
  <r>
    <n v="3676"/>
    <n v="54099"/>
    <d v="1997-06-25T00:00:00"/>
    <n v="28"/>
    <x v="1"/>
    <x v="1"/>
    <d v="2024-11-02T00:00:00"/>
    <n v="1.536986301369863"/>
    <x v="60"/>
    <x v="1"/>
    <x v="8"/>
    <x v="1"/>
    <n v="8.4700000000000006"/>
    <m/>
    <m/>
    <m/>
    <m/>
    <m/>
    <m/>
    <x v="2"/>
    <n v="0"/>
    <n v="6"/>
    <m/>
    <m/>
    <m/>
    <m/>
    <m/>
    <m/>
    <m/>
    <m/>
    <m/>
    <m/>
    <m/>
    <m/>
    <m/>
    <m/>
  </r>
  <r>
    <n v="3677"/>
    <n v="54100"/>
    <d v="1996-03-27T00:00:00"/>
    <n v="29"/>
    <x v="1"/>
    <x v="1"/>
    <d v="2024-06-18T00:00:00"/>
    <n v="1.3452054794520547"/>
    <x v="60"/>
    <x v="1"/>
    <x v="8"/>
    <x v="1"/>
    <n v="8.4700000000000006"/>
    <m/>
    <m/>
    <m/>
    <m/>
    <m/>
    <m/>
    <x v="1"/>
    <n v="0"/>
    <n v="6"/>
    <m/>
    <m/>
    <m/>
    <m/>
    <m/>
    <m/>
    <m/>
    <m/>
    <m/>
    <m/>
    <m/>
    <m/>
    <m/>
    <m/>
  </r>
  <r>
    <n v="3678"/>
    <n v="54101"/>
    <d v="2005-05-25T00:00:00"/>
    <n v="20"/>
    <x v="0"/>
    <x v="1"/>
    <d v="2024-08-27T00:00:00"/>
    <n v="1.4712328767123288"/>
    <x v="65"/>
    <x v="1"/>
    <x v="10"/>
    <x v="1"/>
    <n v="10.64"/>
    <m/>
    <m/>
    <m/>
    <m/>
    <m/>
    <m/>
    <x v="4"/>
    <n v="0"/>
    <n v="4"/>
    <m/>
    <m/>
    <m/>
    <m/>
    <m/>
    <m/>
    <m/>
    <m/>
    <m/>
    <m/>
    <m/>
    <m/>
    <m/>
    <m/>
  </r>
  <r>
    <n v="3679"/>
    <n v="54102"/>
    <d v="2005-12-31T00:00:00"/>
    <n v="20"/>
    <x v="1"/>
    <x v="1"/>
    <d v="2024-07-12T00:00:00"/>
    <n v="1.0027397260273974"/>
    <x v="131"/>
    <x v="1"/>
    <x v="8"/>
    <x v="1"/>
    <n v="8.4700000000000006"/>
    <m/>
    <m/>
    <m/>
    <m/>
    <m/>
    <m/>
    <x v="4"/>
    <n v="2"/>
    <n v="6"/>
    <m/>
    <m/>
    <m/>
    <m/>
    <m/>
    <m/>
    <m/>
    <m/>
    <m/>
    <m/>
    <m/>
    <m/>
    <m/>
    <m/>
  </r>
  <r>
    <n v="3680"/>
    <n v="54103"/>
    <d v="2002-08-02T00:00:00"/>
    <n v="23"/>
    <x v="0"/>
    <x v="1"/>
    <d v="2024-12-30T00:00:00"/>
    <n v="1.6027397260273972"/>
    <x v="125"/>
    <x v="1"/>
    <x v="10"/>
    <x v="1"/>
    <n v="10.64"/>
    <m/>
    <m/>
    <m/>
    <m/>
    <m/>
    <m/>
    <x v="4"/>
    <n v="0"/>
    <n v="3"/>
    <m/>
    <m/>
    <m/>
    <m/>
    <m/>
    <m/>
    <m/>
    <m/>
    <m/>
    <m/>
    <m/>
    <m/>
    <m/>
    <m/>
  </r>
  <r>
    <n v="3681"/>
    <n v="54104"/>
    <d v="2001-04-26T00:00:00"/>
    <n v="24"/>
    <x v="1"/>
    <x v="1"/>
    <d v="2024-05-25T00:00:00"/>
    <n v="1.8"/>
    <x v="79"/>
    <x v="1"/>
    <x v="8"/>
    <x v="1"/>
    <n v="8.4700000000000006"/>
    <m/>
    <m/>
    <m/>
    <m/>
    <m/>
    <m/>
    <x v="1"/>
    <n v="3"/>
    <n v="7"/>
    <m/>
    <m/>
    <m/>
    <m/>
    <m/>
    <m/>
    <m/>
    <m/>
    <m/>
    <m/>
    <m/>
    <m/>
    <m/>
    <m/>
  </r>
  <r>
    <n v="3682"/>
    <n v="54105"/>
    <d v="1992-06-05T00:00:00"/>
    <n v="33"/>
    <x v="0"/>
    <x v="1"/>
    <d v="2024-03-14T00:00:00"/>
    <n v="1.6712328767123288"/>
    <x v="134"/>
    <x v="1"/>
    <x v="2"/>
    <x v="1"/>
    <n v="14.23"/>
    <m/>
    <m/>
    <m/>
    <m/>
    <m/>
    <m/>
    <x v="4"/>
    <n v="0"/>
    <n v="3"/>
    <m/>
    <m/>
    <m/>
    <m/>
    <m/>
    <m/>
    <m/>
    <m/>
    <m/>
    <m/>
    <m/>
    <m/>
    <m/>
    <m/>
  </r>
  <r>
    <n v="3683"/>
    <n v="54106"/>
    <d v="1994-03-21T00:00:00"/>
    <n v="31"/>
    <x v="1"/>
    <x v="0"/>
    <d v="2024-04-30T00:00:00"/>
    <n v="1.7671232876712328"/>
    <x v="81"/>
    <x v="1"/>
    <x v="8"/>
    <x v="1"/>
    <n v="8.4700000000000006"/>
    <m/>
    <m/>
    <m/>
    <m/>
    <m/>
    <m/>
    <x v="2"/>
    <n v="4"/>
    <n v="6"/>
    <m/>
    <m/>
    <m/>
    <m/>
    <m/>
    <m/>
    <m/>
    <m/>
    <m/>
    <m/>
    <m/>
    <m/>
    <m/>
    <m/>
  </r>
  <r>
    <n v="3684"/>
    <n v="54108"/>
    <d v="2001-08-09T00:00:00"/>
    <n v="24"/>
    <x v="1"/>
    <x v="1"/>
    <d v="2024-03-26T00:00:00"/>
    <n v="1.6904109589041096"/>
    <x v="92"/>
    <x v="1"/>
    <x v="2"/>
    <x v="1"/>
    <n v="14.23"/>
    <m/>
    <m/>
    <m/>
    <m/>
    <m/>
    <m/>
    <x v="1"/>
    <n v="1"/>
    <n v="6"/>
    <m/>
    <m/>
    <m/>
    <m/>
    <m/>
    <m/>
    <m/>
    <m/>
    <m/>
    <m/>
    <m/>
    <m/>
    <m/>
    <m/>
  </r>
  <r>
    <n v="3685"/>
    <n v="54109"/>
    <d v="2000-04-23T00:00:00"/>
    <n v="25"/>
    <x v="0"/>
    <x v="1"/>
    <d v="2024-04-23T00:00:00"/>
    <n v="1.7698630136986302"/>
    <x v="57"/>
    <x v="0"/>
    <x v="2"/>
    <x v="1"/>
    <n v="14.23"/>
    <m/>
    <m/>
    <m/>
    <m/>
    <m/>
    <m/>
    <x v="2"/>
    <n v="0"/>
    <n v="4"/>
    <m/>
    <m/>
    <m/>
    <m/>
    <m/>
    <m/>
    <m/>
    <m/>
    <m/>
    <m/>
    <m/>
    <m/>
    <m/>
    <m/>
  </r>
  <r>
    <n v="3686"/>
    <n v="54110"/>
    <d v="1996-01-24T00:00:00"/>
    <n v="29"/>
    <x v="1"/>
    <x v="1"/>
    <d v="2024-03-25T00:00:00"/>
    <n v="1.6"/>
    <x v="51"/>
    <x v="1"/>
    <x v="7"/>
    <x v="1"/>
    <n v="17.59"/>
    <m/>
    <m/>
    <m/>
    <m/>
    <m/>
    <m/>
    <x v="1"/>
    <n v="2"/>
    <n v="6"/>
    <m/>
    <m/>
    <m/>
    <m/>
    <m/>
    <m/>
    <m/>
    <m/>
    <m/>
    <m/>
    <m/>
    <m/>
    <m/>
    <m/>
  </r>
  <r>
    <n v="3687"/>
    <n v="54112"/>
    <d v="1998-12-13T00:00:00"/>
    <n v="27"/>
    <x v="1"/>
    <x v="1"/>
    <d v="2024-05-26T00:00:00"/>
    <n v="1.0328767123287672"/>
    <x v="74"/>
    <x v="1"/>
    <x v="1"/>
    <x v="1"/>
    <n v="16.37"/>
    <m/>
    <m/>
    <m/>
    <m/>
    <m/>
    <m/>
    <x v="4"/>
    <n v="1"/>
    <n v="5"/>
    <m/>
    <m/>
    <m/>
    <m/>
    <m/>
    <m/>
    <m/>
    <m/>
    <m/>
    <m/>
    <m/>
    <m/>
    <m/>
    <m/>
  </r>
  <r>
    <n v="3688"/>
    <n v="54114"/>
    <d v="2002-12-20T00:00:00"/>
    <n v="23"/>
    <x v="1"/>
    <x v="1"/>
    <d v="2024-12-19T00:00:00"/>
    <n v="1.2465753424657535"/>
    <x v="136"/>
    <x v="0"/>
    <x v="8"/>
    <x v="1"/>
    <n v="8.4700000000000006"/>
    <m/>
    <m/>
    <m/>
    <m/>
    <m/>
    <m/>
    <x v="2"/>
    <n v="3"/>
    <n v="6"/>
    <m/>
    <m/>
    <m/>
    <m/>
    <m/>
    <m/>
    <m/>
    <m/>
    <m/>
    <m/>
    <m/>
    <m/>
    <m/>
    <m/>
  </r>
  <r>
    <n v="3689"/>
    <n v="54115"/>
    <d v="1994-06-12T00:00:00"/>
    <n v="31"/>
    <x v="0"/>
    <x v="1"/>
    <d v="2024-10-02T00:00:00"/>
    <n v="1.0547945205479452"/>
    <x v="1"/>
    <x v="1"/>
    <x v="8"/>
    <x v="1"/>
    <n v="8.4700000000000006"/>
    <m/>
    <m/>
    <m/>
    <m/>
    <m/>
    <m/>
    <x v="1"/>
    <n v="2"/>
    <n v="4"/>
    <m/>
    <m/>
    <m/>
    <m/>
    <m/>
    <m/>
    <m/>
    <m/>
    <m/>
    <m/>
    <m/>
    <m/>
    <m/>
    <m/>
  </r>
  <r>
    <n v="3690"/>
    <n v="54116"/>
    <d v="1996-07-08T00:00:00"/>
    <n v="29"/>
    <x v="0"/>
    <x v="1"/>
    <d v="2024-12-11T00:00:00"/>
    <n v="1.0383561643835617"/>
    <x v="44"/>
    <x v="1"/>
    <x v="7"/>
    <x v="1"/>
    <n v="17.59"/>
    <m/>
    <m/>
    <m/>
    <m/>
    <m/>
    <m/>
    <x v="1"/>
    <n v="1"/>
    <n v="4"/>
    <m/>
    <m/>
    <m/>
    <m/>
    <m/>
    <m/>
    <m/>
    <m/>
    <m/>
    <m/>
    <m/>
    <m/>
    <m/>
    <m/>
  </r>
  <r>
    <n v="3691"/>
    <n v="54117"/>
    <d v="2000-10-15T00:00:00"/>
    <n v="25"/>
    <x v="0"/>
    <x v="1"/>
    <d v="2024-12-17T00:00:00"/>
    <n v="1.0136986301369864"/>
    <x v="125"/>
    <x v="1"/>
    <x v="7"/>
    <x v="1"/>
    <n v="17.59"/>
    <m/>
    <m/>
    <m/>
    <m/>
    <m/>
    <m/>
    <x v="1"/>
    <n v="3"/>
    <n v="4"/>
    <m/>
    <m/>
    <m/>
    <m/>
    <m/>
    <m/>
    <m/>
    <m/>
    <m/>
    <m/>
    <m/>
    <m/>
    <m/>
    <m/>
  </r>
  <r>
    <n v="3692"/>
    <n v="54118"/>
    <d v="2003-02-03T00:00:00"/>
    <n v="22"/>
    <x v="0"/>
    <x v="1"/>
    <d v="2024-12-26T00:00:00"/>
    <n v="1.2465753424657535"/>
    <x v="89"/>
    <x v="1"/>
    <x v="7"/>
    <x v="1"/>
    <n v="17.59"/>
    <m/>
    <m/>
    <m/>
    <m/>
    <m/>
    <m/>
    <x v="1"/>
    <n v="1"/>
    <n v="5"/>
    <m/>
    <m/>
    <m/>
    <m/>
    <m/>
    <m/>
    <m/>
    <m/>
    <m/>
    <m/>
    <m/>
    <m/>
    <m/>
    <m/>
  </r>
  <r>
    <n v="3693"/>
    <n v="54119"/>
    <d v="2003-03-14T00:00:00"/>
    <n v="22"/>
    <x v="1"/>
    <x v="0"/>
    <d v="2024-10-02T00:00:00"/>
    <n v="1.3726027397260274"/>
    <x v="120"/>
    <x v="1"/>
    <x v="3"/>
    <x v="1"/>
    <n v="8.4700000000000006"/>
    <m/>
    <m/>
    <m/>
    <m/>
    <m/>
    <m/>
    <x v="1"/>
    <n v="2"/>
    <n v="6"/>
    <m/>
    <m/>
    <m/>
    <m/>
    <m/>
    <m/>
    <m/>
    <m/>
    <m/>
    <m/>
    <m/>
    <m/>
    <m/>
    <m/>
  </r>
  <r>
    <n v="3694"/>
    <n v="54120"/>
    <d v="2003-12-29T00:00:00"/>
    <n v="22"/>
    <x v="1"/>
    <x v="1"/>
    <d v="2024-08-17T00:00:00"/>
    <n v="1.6904109589041096"/>
    <x v="105"/>
    <x v="1"/>
    <x v="8"/>
    <x v="1"/>
    <n v="8.4700000000000006"/>
    <m/>
    <m/>
    <m/>
    <m/>
    <m/>
    <m/>
    <x v="3"/>
    <n v="2"/>
    <n v="6"/>
    <m/>
    <m/>
    <m/>
    <m/>
    <m/>
    <m/>
    <m/>
    <m/>
    <m/>
    <m/>
    <m/>
    <m/>
    <m/>
    <m/>
  </r>
  <r>
    <n v="3695"/>
    <n v="54121"/>
    <d v="2002-08-01T00:00:00"/>
    <n v="24"/>
    <x v="0"/>
    <x v="1"/>
    <d v="2024-04-23T00:00:00"/>
    <n v="1.4931506849315068"/>
    <x v="60"/>
    <x v="1"/>
    <x v="7"/>
    <x v="1"/>
    <n v="17.59"/>
    <m/>
    <m/>
    <m/>
    <m/>
    <m/>
    <m/>
    <x v="4"/>
    <n v="1"/>
    <n v="5"/>
    <m/>
    <m/>
    <m/>
    <m/>
    <m/>
    <m/>
    <m/>
    <m/>
    <m/>
    <m/>
    <m/>
    <m/>
    <m/>
    <m/>
  </r>
  <r>
    <n v="3696"/>
    <n v="54123"/>
    <d v="2005-12-24T00:00:00"/>
    <n v="20"/>
    <x v="1"/>
    <x v="1"/>
    <d v="2024-07-04T00:00:00"/>
    <n v="1.6712328767123288"/>
    <x v="45"/>
    <x v="0"/>
    <x v="1"/>
    <x v="1"/>
    <n v="16.37"/>
    <m/>
    <m/>
    <m/>
    <m/>
    <m/>
    <m/>
    <x v="2"/>
    <n v="0"/>
    <n v="6"/>
    <m/>
    <m/>
    <m/>
    <m/>
    <m/>
    <m/>
    <m/>
    <m/>
    <m/>
    <m/>
    <m/>
    <m/>
    <m/>
    <m/>
  </r>
  <r>
    <n v="3697"/>
    <n v="54124"/>
    <d v="2005-03-16T00:00:00"/>
    <n v="20"/>
    <x v="0"/>
    <x v="1"/>
    <d v="2024-04-30T00:00:00"/>
    <n v="1.5424657534246575"/>
    <x v="88"/>
    <x v="0"/>
    <x v="8"/>
    <x v="1"/>
    <n v="8.4700000000000006"/>
    <m/>
    <m/>
    <m/>
    <m/>
    <m/>
    <m/>
    <x v="4"/>
    <n v="3"/>
    <n v="6"/>
    <m/>
    <m/>
    <m/>
    <m/>
    <m/>
    <m/>
    <m/>
    <m/>
    <m/>
    <m/>
    <m/>
    <m/>
    <m/>
    <m/>
  </r>
  <r>
    <n v="3698"/>
    <n v="54125"/>
    <d v="2004-07-16T00:00:00"/>
    <n v="21"/>
    <x v="0"/>
    <x v="1"/>
    <d v="2024-06-16T00:00:00"/>
    <n v="1.7753424657534247"/>
    <x v="24"/>
    <x v="0"/>
    <x v="10"/>
    <x v="1"/>
    <n v="10.64"/>
    <m/>
    <m/>
    <m/>
    <m/>
    <m/>
    <m/>
    <x v="3"/>
    <n v="1"/>
    <n v="4"/>
    <m/>
    <m/>
    <m/>
    <m/>
    <m/>
    <m/>
    <m/>
    <m/>
    <m/>
    <m/>
    <m/>
    <m/>
    <m/>
    <m/>
  </r>
  <r>
    <n v="3699"/>
    <n v="54126"/>
    <d v="2001-01-19T00:00:00"/>
    <n v="24"/>
    <x v="1"/>
    <x v="1"/>
    <d v="2024-03-23T00:00:00"/>
    <n v="1.0465753424657533"/>
    <x v="26"/>
    <x v="0"/>
    <x v="8"/>
    <x v="1"/>
    <n v="8.4700000000000006"/>
    <m/>
    <m/>
    <m/>
    <m/>
    <m/>
    <m/>
    <x v="4"/>
    <n v="0"/>
    <n v="6"/>
    <m/>
    <m/>
    <m/>
    <m/>
    <m/>
    <m/>
    <m/>
    <m/>
    <m/>
    <m/>
    <m/>
    <m/>
    <m/>
    <m/>
  </r>
  <r>
    <n v="3700"/>
    <n v="54127"/>
    <d v="1995-11-06T00:00:00"/>
    <n v="30"/>
    <x v="0"/>
    <x v="0"/>
    <d v="2024-12-14T00:00:00"/>
    <n v="1.4684931506849315"/>
    <x v="136"/>
    <x v="0"/>
    <x v="1"/>
    <x v="1"/>
    <n v="16.37"/>
    <m/>
    <m/>
    <m/>
    <m/>
    <m/>
    <m/>
    <x v="3"/>
    <n v="2"/>
    <n v="4"/>
    <m/>
    <m/>
    <m/>
    <m/>
    <m/>
    <m/>
    <m/>
    <m/>
    <m/>
    <m/>
    <m/>
    <m/>
    <m/>
    <m/>
  </r>
  <r>
    <n v="3701"/>
    <n v="54129"/>
    <d v="2005-09-06T00:00:00"/>
    <n v="20"/>
    <x v="0"/>
    <x v="1"/>
    <d v="2024-07-13T00:00:00"/>
    <n v="1.1205479452054794"/>
    <x v="57"/>
    <x v="0"/>
    <x v="9"/>
    <x v="1"/>
    <n v="14.07"/>
    <m/>
    <m/>
    <m/>
    <m/>
    <m/>
    <m/>
    <x v="4"/>
    <n v="1"/>
    <n v="4"/>
    <m/>
    <m/>
    <m/>
    <m/>
    <m/>
    <m/>
    <m/>
    <m/>
    <m/>
    <m/>
    <m/>
    <m/>
    <m/>
    <m/>
  </r>
  <r>
    <n v="3702"/>
    <n v="54131"/>
    <d v="2006-11-16T00:00:00"/>
    <n v="19"/>
    <x v="1"/>
    <x v="1"/>
    <d v="2024-11-17T00:00:00"/>
    <n v="1.6575342465753424"/>
    <x v="59"/>
    <x v="0"/>
    <x v="8"/>
    <x v="1"/>
    <n v="8.4700000000000006"/>
    <m/>
    <m/>
    <m/>
    <m/>
    <m/>
    <m/>
    <x v="4"/>
    <n v="1"/>
    <n v="7"/>
    <m/>
    <m/>
    <m/>
    <m/>
    <m/>
    <m/>
    <m/>
    <m/>
    <m/>
    <m/>
    <m/>
    <m/>
    <m/>
    <m/>
  </r>
  <r>
    <n v="3703"/>
    <n v="54132"/>
    <d v="2007-04-01T00:00:00"/>
    <n v="19"/>
    <x v="1"/>
    <x v="1"/>
    <d v="2024-05-05T00:00:00"/>
    <n v="1.8136986301369864"/>
    <x v="106"/>
    <x v="1"/>
    <x v="8"/>
    <x v="1"/>
    <n v="8.4700000000000006"/>
    <m/>
    <m/>
    <m/>
    <m/>
    <m/>
    <m/>
    <x v="2"/>
    <n v="1"/>
    <n v="7"/>
    <m/>
    <m/>
    <m/>
    <m/>
    <m/>
    <m/>
    <m/>
    <m/>
    <m/>
    <m/>
    <m/>
    <m/>
    <m/>
    <m/>
  </r>
  <r>
    <n v="3704"/>
    <n v="54133"/>
    <d v="2003-12-15T00:00:00"/>
    <n v="22"/>
    <x v="1"/>
    <x v="0"/>
    <d v="2024-03-09T00:00:00"/>
    <n v="1.1835616438356165"/>
    <x v="85"/>
    <x v="1"/>
    <x v="10"/>
    <x v="1"/>
    <n v="10.64"/>
    <m/>
    <m/>
    <m/>
    <m/>
    <m/>
    <m/>
    <x v="1"/>
    <n v="1"/>
    <n v="4"/>
    <m/>
    <m/>
    <m/>
    <m/>
    <m/>
    <m/>
    <m/>
    <m/>
    <m/>
    <m/>
    <m/>
    <m/>
    <m/>
    <m/>
  </r>
  <r>
    <n v="3705"/>
    <n v="54134"/>
    <d v="1998-06-20T00:00:00"/>
    <n v="27"/>
    <x v="1"/>
    <x v="0"/>
    <d v="2024-10-25T00:00:00"/>
    <n v="1.2219178082191782"/>
    <x v="58"/>
    <x v="1"/>
    <x v="1"/>
    <x v="1"/>
    <n v="16.37"/>
    <m/>
    <m/>
    <m/>
    <m/>
    <m/>
    <m/>
    <x v="3"/>
    <n v="1"/>
    <n v="7"/>
    <m/>
    <m/>
    <m/>
    <m/>
    <m/>
    <m/>
    <m/>
    <m/>
    <m/>
    <m/>
    <m/>
    <m/>
    <m/>
    <m/>
  </r>
  <r>
    <n v="3706"/>
    <n v="54135"/>
    <d v="2005-11-06T00:00:00"/>
    <n v="20"/>
    <x v="1"/>
    <x v="1"/>
    <d v="2024-10-11T00:00:00"/>
    <n v="1.2082191780821918"/>
    <x v="125"/>
    <x v="1"/>
    <x v="8"/>
    <x v="1"/>
    <n v="8.4700000000000006"/>
    <m/>
    <m/>
    <m/>
    <m/>
    <m/>
    <m/>
    <x v="1"/>
    <n v="3"/>
    <n v="7"/>
    <m/>
    <m/>
    <m/>
    <m/>
    <m/>
    <m/>
    <m/>
    <m/>
    <m/>
    <m/>
    <m/>
    <m/>
    <m/>
    <m/>
  </r>
  <r>
    <n v="3707"/>
    <n v="54137"/>
    <d v="1996-01-03T00:00:00"/>
    <n v="29"/>
    <x v="0"/>
    <x v="1"/>
    <d v="2024-10-16T00:00:00"/>
    <n v="1.263013698630137"/>
    <x v="94"/>
    <x v="1"/>
    <x v="7"/>
    <x v="1"/>
    <n v="17.59"/>
    <m/>
    <m/>
    <m/>
    <m/>
    <m/>
    <m/>
    <x v="4"/>
    <n v="0"/>
    <n v="3"/>
    <m/>
    <m/>
    <m/>
    <m/>
    <m/>
    <m/>
    <m/>
    <m/>
    <m/>
    <m/>
    <m/>
    <m/>
    <m/>
    <m/>
  </r>
  <r>
    <n v="3708"/>
    <n v="54138"/>
    <d v="2002-11-14T00:00:00"/>
    <n v="23"/>
    <x v="1"/>
    <x v="0"/>
    <d v="2024-09-26T00:00:00"/>
    <n v="1.6082191780821917"/>
    <x v="110"/>
    <x v="1"/>
    <x v="8"/>
    <x v="1"/>
    <n v="8.4700000000000006"/>
    <m/>
    <m/>
    <m/>
    <m/>
    <m/>
    <m/>
    <x v="4"/>
    <n v="1"/>
    <n v="6"/>
    <m/>
    <m/>
    <m/>
    <m/>
    <m/>
    <m/>
    <m/>
    <m/>
    <m/>
    <m/>
    <m/>
    <m/>
    <m/>
    <m/>
  </r>
  <r>
    <n v="3709"/>
    <n v="54139"/>
    <d v="2004-12-10T00:00:00"/>
    <n v="21"/>
    <x v="0"/>
    <x v="0"/>
    <d v="2024-05-23T00:00:00"/>
    <n v="1.3260273972602741"/>
    <x v="98"/>
    <x v="1"/>
    <x v="8"/>
    <x v="1"/>
    <n v="8.4700000000000006"/>
    <m/>
    <m/>
    <m/>
    <m/>
    <m/>
    <m/>
    <x v="2"/>
    <n v="2"/>
    <n v="5"/>
    <m/>
    <m/>
    <m/>
    <m/>
    <m/>
    <m/>
    <m/>
    <m/>
    <m/>
    <m/>
    <m/>
    <m/>
    <m/>
    <m/>
  </r>
  <r>
    <n v="3710"/>
    <n v="54140"/>
    <d v="2001-11-14T00:00:00"/>
    <n v="24"/>
    <x v="1"/>
    <x v="1"/>
    <d v="2024-09-03T00:00:00"/>
    <n v="1.2767123287671234"/>
    <x v="126"/>
    <x v="1"/>
    <x v="11"/>
    <x v="1"/>
    <n v="17"/>
    <m/>
    <m/>
    <m/>
    <m/>
    <m/>
    <m/>
    <x v="3"/>
    <n v="1"/>
    <n v="5"/>
    <m/>
    <m/>
    <m/>
    <m/>
    <m/>
    <m/>
    <m/>
    <m/>
    <m/>
    <m/>
    <m/>
    <m/>
    <m/>
    <m/>
  </r>
  <r>
    <n v="3711"/>
    <n v="54141"/>
    <d v="2002-05-27T00:00:00"/>
    <n v="23"/>
    <x v="1"/>
    <x v="1"/>
    <d v="2024-09-21T00:00:00"/>
    <n v="1.8136986301369864"/>
    <x v="45"/>
    <x v="0"/>
    <x v="1"/>
    <x v="1"/>
    <n v="16.37"/>
    <m/>
    <m/>
    <m/>
    <m/>
    <m/>
    <m/>
    <x v="1"/>
    <n v="1"/>
    <n v="6"/>
    <m/>
    <m/>
    <m/>
    <m/>
    <m/>
    <m/>
    <m/>
    <m/>
    <m/>
    <m/>
    <m/>
    <m/>
    <m/>
    <m/>
  </r>
  <r>
    <n v="3712"/>
    <n v="54142"/>
    <d v="2000-02-26T00:00:00"/>
    <n v="25"/>
    <x v="1"/>
    <x v="1"/>
    <d v="2024-03-09T00:00:00"/>
    <n v="1.6301369863013699"/>
    <x v="24"/>
    <x v="0"/>
    <x v="8"/>
    <x v="1"/>
    <n v="8.4700000000000006"/>
    <m/>
    <m/>
    <m/>
    <m/>
    <m/>
    <m/>
    <x v="1"/>
    <n v="3"/>
    <n v="7"/>
    <m/>
    <m/>
    <m/>
    <m/>
    <m/>
    <m/>
    <m/>
    <m/>
    <m/>
    <m/>
    <m/>
    <m/>
    <m/>
    <m/>
  </r>
  <r>
    <n v="3713"/>
    <n v="54143"/>
    <d v="2006-03-10T00:00:00"/>
    <n v="19"/>
    <x v="1"/>
    <x v="1"/>
    <d v="2024-05-15T00:00:00"/>
    <n v="1.3643835616438356"/>
    <x v="61"/>
    <x v="0"/>
    <x v="3"/>
    <x v="1"/>
    <n v="8.4700000000000006"/>
    <m/>
    <m/>
    <m/>
    <m/>
    <m/>
    <m/>
    <x v="3"/>
    <n v="4"/>
    <n v="7"/>
    <m/>
    <m/>
    <m/>
    <m/>
    <m/>
    <m/>
    <m/>
    <m/>
    <m/>
    <m/>
    <m/>
    <m/>
    <m/>
    <m/>
  </r>
  <r>
    <n v="3714"/>
    <n v="54144"/>
    <d v="1996-06-25T00:00:00"/>
    <n v="29"/>
    <x v="0"/>
    <x v="1"/>
    <d v="2024-08-20T00:00:00"/>
    <n v="1.7917808219178082"/>
    <x v="43"/>
    <x v="1"/>
    <x v="9"/>
    <x v="1"/>
    <n v="14.07"/>
    <m/>
    <m/>
    <m/>
    <m/>
    <m/>
    <m/>
    <x v="2"/>
    <n v="0"/>
    <n v="5"/>
    <m/>
    <m/>
    <m/>
    <m/>
    <m/>
    <m/>
    <m/>
    <m/>
    <m/>
    <m/>
    <m/>
    <m/>
    <m/>
    <m/>
  </r>
  <r>
    <n v="3715"/>
    <n v="54145"/>
    <d v="2003-12-07T00:00:00"/>
    <n v="22"/>
    <x v="0"/>
    <x v="1"/>
    <d v="2024-03-17T00:00:00"/>
    <n v="1.6931506849315068"/>
    <x v="120"/>
    <x v="1"/>
    <x v="2"/>
    <x v="1"/>
    <n v="14.23"/>
    <m/>
    <m/>
    <m/>
    <m/>
    <m/>
    <m/>
    <x v="4"/>
    <n v="0"/>
    <n v="4"/>
    <m/>
    <m/>
    <m/>
    <m/>
    <m/>
    <m/>
    <m/>
    <m/>
    <m/>
    <m/>
    <m/>
    <m/>
    <m/>
    <m/>
  </r>
  <r>
    <n v="3716"/>
    <n v="54146"/>
    <d v="2001-04-13T00:00:00"/>
    <n v="24"/>
    <x v="0"/>
    <x v="1"/>
    <d v="2024-04-22T00:00:00"/>
    <n v="1.5753424657534247"/>
    <x v="133"/>
    <x v="1"/>
    <x v="2"/>
    <x v="1"/>
    <n v="14.23"/>
    <m/>
    <m/>
    <m/>
    <m/>
    <m/>
    <m/>
    <x v="1"/>
    <n v="1"/>
    <n v="3"/>
    <m/>
    <m/>
    <m/>
    <m/>
    <m/>
    <m/>
    <m/>
    <m/>
    <m/>
    <m/>
    <m/>
    <m/>
    <m/>
    <m/>
  </r>
  <r>
    <n v="3717"/>
    <n v="54147"/>
    <d v="1995-02-13T00:00:00"/>
    <n v="30"/>
    <x v="0"/>
    <x v="1"/>
    <d v="2024-06-04T00:00:00"/>
    <n v="1.2"/>
    <x v="122"/>
    <x v="1"/>
    <x v="7"/>
    <x v="1"/>
    <n v="17.59"/>
    <m/>
    <m/>
    <m/>
    <m/>
    <m/>
    <m/>
    <x v="3"/>
    <n v="3"/>
    <n v="5"/>
    <m/>
    <m/>
    <m/>
    <m/>
    <m/>
    <m/>
    <m/>
    <m/>
    <m/>
    <m/>
    <m/>
    <m/>
    <m/>
    <m/>
  </r>
  <r>
    <n v="3718"/>
    <n v="54148"/>
    <d v="2001-06-18T00:00:00"/>
    <n v="24"/>
    <x v="0"/>
    <x v="1"/>
    <d v="2024-10-19T00:00:00"/>
    <n v="1.0575342465753426"/>
    <x v="109"/>
    <x v="1"/>
    <x v="7"/>
    <x v="1"/>
    <n v="17.59"/>
    <m/>
    <m/>
    <m/>
    <m/>
    <m/>
    <m/>
    <x v="4"/>
    <n v="0"/>
    <n v="2"/>
    <m/>
    <m/>
    <m/>
    <m/>
    <m/>
    <m/>
    <m/>
    <m/>
    <m/>
    <m/>
    <m/>
    <m/>
    <m/>
    <m/>
  </r>
  <r>
    <n v="3719"/>
    <n v="54149"/>
    <d v="1999-02-25T00:00:00"/>
    <n v="26"/>
    <x v="1"/>
    <x v="1"/>
    <d v="2024-12-10T00:00:00"/>
    <n v="1.5452054794520549"/>
    <x v="10"/>
    <x v="0"/>
    <x v="8"/>
    <x v="1"/>
    <n v="8.4700000000000006"/>
    <m/>
    <m/>
    <m/>
    <m/>
    <m/>
    <m/>
    <x v="3"/>
    <n v="1"/>
    <n v="6"/>
    <m/>
    <m/>
    <m/>
    <m/>
    <m/>
    <m/>
    <m/>
    <m/>
    <m/>
    <m/>
    <m/>
    <m/>
    <m/>
    <m/>
  </r>
  <r>
    <n v="3720"/>
    <n v="54150"/>
    <d v="2001-04-06T00:00:00"/>
    <n v="24"/>
    <x v="0"/>
    <x v="1"/>
    <d v="2024-06-15T00:00:00"/>
    <n v="1.6410958904109589"/>
    <x v="124"/>
    <x v="0"/>
    <x v="7"/>
    <x v="1"/>
    <n v="17.59"/>
    <m/>
    <m/>
    <m/>
    <m/>
    <m/>
    <m/>
    <x v="2"/>
    <n v="1"/>
    <n v="5"/>
    <m/>
    <m/>
    <m/>
    <m/>
    <m/>
    <m/>
    <m/>
    <m/>
    <m/>
    <m/>
    <m/>
    <m/>
    <m/>
    <m/>
  </r>
  <r>
    <n v="3721"/>
    <n v="54151"/>
    <d v="2000-11-07T00:00:00"/>
    <n v="25"/>
    <x v="1"/>
    <x v="1"/>
    <d v="2024-05-11T00:00:00"/>
    <n v="1.1315068493150684"/>
    <x v="137"/>
    <x v="0"/>
    <x v="1"/>
    <x v="1"/>
    <n v="16.37"/>
    <m/>
    <m/>
    <m/>
    <m/>
    <m/>
    <m/>
    <x v="4"/>
    <n v="1"/>
    <n v="5"/>
    <m/>
    <m/>
    <m/>
    <m/>
    <m/>
    <m/>
    <m/>
    <m/>
    <m/>
    <m/>
    <m/>
    <m/>
    <m/>
    <m/>
  </r>
  <r>
    <n v="3722"/>
    <n v="54152"/>
    <d v="2005-10-13T00:00:00"/>
    <n v="20"/>
    <x v="1"/>
    <x v="1"/>
    <d v="2024-11-13T00:00:00"/>
    <n v="1.189041095890411"/>
    <x v="63"/>
    <x v="0"/>
    <x v="8"/>
    <x v="1"/>
    <n v="8.4700000000000006"/>
    <m/>
    <m/>
    <m/>
    <m/>
    <m/>
    <m/>
    <x v="1"/>
    <n v="0"/>
    <n v="6"/>
    <m/>
    <m/>
    <m/>
    <m/>
    <m/>
    <m/>
    <m/>
    <m/>
    <m/>
    <m/>
    <m/>
    <m/>
    <m/>
    <m/>
  </r>
  <r>
    <n v="3723"/>
    <n v="54153"/>
    <d v="2005-10-10T00:00:00"/>
    <n v="20"/>
    <x v="1"/>
    <x v="1"/>
    <d v="2024-10-23T00:00:00"/>
    <n v="1.8767123287671232"/>
    <x v="43"/>
    <x v="1"/>
    <x v="10"/>
    <x v="1"/>
    <n v="10.64"/>
    <m/>
    <m/>
    <m/>
    <m/>
    <m/>
    <m/>
    <x v="2"/>
    <n v="0"/>
    <n v="7"/>
    <m/>
    <m/>
    <m/>
    <m/>
    <m/>
    <m/>
    <m/>
    <m/>
    <m/>
    <m/>
    <m/>
    <m/>
    <m/>
    <m/>
  </r>
  <r>
    <n v="3724"/>
    <n v="54154"/>
    <d v="2003-05-11T00:00:00"/>
    <n v="22"/>
    <x v="0"/>
    <x v="1"/>
    <d v="2024-02-15T00:00:00"/>
    <n v="1.4136986301369863"/>
    <x v="105"/>
    <x v="1"/>
    <x v="8"/>
    <x v="1"/>
    <n v="8.4700000000000006"/>
    <m/>
    <m/>
    <m/>
    <m/>
    <m/>
    <m/>
    <x v="2"/>
    <n v="2"/>
    <n v="4"/>
    <m/>
    <m/>
    <m/>
    <m/>
    <m/>
    <m/>
    <m/>
    <m/>
    <m/>
    <m/>
    <m/>
    <m/>
    <m/>
    <m/>
  </r>
  <r>
    <n v="3725"/>
    <n v="54155"/>
    <d v="1994-07-01T00:00:00"/>
    <n v="32"/>
    <x v="0"/>
    <x v="1"/>
    <d v="2024-08-02T00:00:00"/>
    <n v="1.8684931506849316"/>
    <x v="30"/>
    <x v="1"/>
    <x v="7"/>
    <x v="1"/>
    <n v="17.59"/>
    <m/>
    <m/>
    <m/>
    <m/>
    <m/>
    <m/>
    <x v="1"/>
    <n v="4"/>
    <n v="5"/>
    <m/>
    <m/>
    <m/>
    <m/>
    <m/>
    <m/>
    <m/>
    <m/>
    <m/>
    <m/>
    <m/>
    <m/>
    <m/>
    <m/>
  </r>
  <r>
    <n v="3726"/>
    <n v="54156"/>
    <d v="2005-11-08T00:00:00"/>
    <n v="20"/>
    <x v="1"/>
    <x v="1"/>
    <d v="2024-02-18T00:00:00"/>
    <n v="1.526027397260274"/>
    <x v="123"/>
    <x v="1"/>
    <x v="10"/>
    <x v="1"/>
    <n v="10.64"/>
    <m/>
    <m/>
    <m/>
    <m/>
    <m/>
    <m/>
    <x v="4"/>
    <n v="1"/>
    <n v="6"/>
    <m/>
    <m/>
    <m/>
    <m/>
    <m/>
    <m/>
    <m/>
    <m/>
    <m/>
    <m/>
    <m/>
    <m/>
    <m/>
    <m/>
  </r>
  <r>
    <n v="3727"/>
    <n v="54157"/>
    <d v="1992-03-23T00:00:00"/>
    <n v="33"/>
    <x v="1"/>
    <x v="0"/>
    <d v="2024-06-22T00:00:00"/>
    <n v="1.1178082191780823"/>
    <x v="51"/>
    <x v="1"/>
    <x v="8"/>
    <x v="1"/>
    <n v="8.4700000000000006"/>
    <m/>
    <m/>
    <m/>
    <m/>
    <m/>
    <m/>
    <x v="1"/>
    <n v="1"/>
    <n v="4"/>
    <m/>
    <m/>
    <m/>
    <m/>
    <m/>
    <m/>
    <m/>
    <m/>
    <m/>
    <m/>
    <m/>
    <m/>
    <m/>
    <m/>
  </r>
  <r>
    <n v="3728"/>
    <n v="54158"/>
    <d v="2005-08-26T00:00:00"/>
    <n v="20"/>
    <x v="0"/>
    <x v="1"/>
    <d v="2024-11-18T00:00:00"/>
    <n v="1.715068493150685"/>
    <x v="58"/>
    <x v="1"/>
    <x v="10"/>
    <x v="1"/>
    <n v="10.64"/>
    <m/>
    <m/>
    <m/>
    <m/>
    <m/>
    <m/>
    <x v="2"/>
    <n v="1"/>
    <n v="4"/>
    <m/>
    <m/>
    <m/>
    <m/>
    <m/>
    <m/>
    <m/>
    <m/>
    <m/>
    <m/>
    <m/>
    <m/>
    <m/>
    <m/>
  </r>
  <r>
    <n v="3729"/>
    <n v="54159"/>
    <d v="1993-07-31T00:00:00"/>
    <n v="32"/>
    <x v="1"/>
    <x v="0"/>
    <d v="2024-04-14T00:00:00"/>
    <n v="1.789041095890411"/>
    <x v="119"/>
    <x v="1"/>
    <x v="8"/>
    <x v="1"/>
    <n v="8.4700000000000006"/>
    <m/>
    <m/>
    <m/>
    <m/>
    <m/>
    <m/>
    <x v="4"/>
    <n v="4"/>
    <n v="6"/>
    <m/>
    <m/>
    <m/>
    <m/>
    <m/>
    <m/>
    <m/>
    <m/>
    <m/>
    <m/>
    <m/>
    <m/>
    <m/>
    <m/>
  </r>
  <r>
    <n v="3730"/>
    <n v="54160"/>
    <d v="2001-06-16T00:00:00"/>
    <n v="24"/>
    <x v="0"/>
    <x v="1"/>
    <d v="2024-03-18T00:00:00"/>
    <n v="1.5945205479452054"/>
    <x v="118"/>
    <x v="1"/>
    <x v="7"/>
    <x v="1"/>
    <n v="17.59"/>
    <m/>
    <m/>
    <m/>
    <m/>
    <m/>
    <m/>
    <x v="3"/>
    <n v="3"/>
    <n v="3"/>
    <m/>
    <m/>
    <m/>
    <m/>
    <m/>
    <m/>
    <m/>
    <m/>
    <m/>
    <m/>
    <m/>
    <m/>
    <m/>
    <m/>
  </r>
  <r>
    <n v="3731"/>
    <n v="54161"/>
    <d v="1985-12-21T00:00:00"/>
    <n v="40"/>
    <x v="0"/>
    <x v="1"/>
    <d v="2024-05-28T00:00:00"/>
    <n v="1.1726027397260275"/>
    <x v="112"/>
    <x v="1"/>
    <x v="2"/>
    <x v="1"/>
    <n v="14.23"/>
    <m/>
    <m/>
    <m/>
    <m/>
    <m/>
    <m/>
    <x v="2"/>
    <n v="0"/>
    <n v="4"/>
    <m/>
    <m/>
    <m/>
    <m/>
    <m/>
    <m/>
    <m/>
    <m/>
    <m/>
    <m/>
    <m/>
    <m/>
    <m/>
    <m/>
  </r>
  <r>
    <n v="3732"/>
    <n v="54162"/>
    <d v="2005-01-17T00:00:00"/>
    <n v="20"/>
    <x v="1"/>
    <x v="1"/>
    <d v="2024-10-29T00:00:00"/>
    <n v="1.9095890410958904"/>
    <x v="0"/>
    <x v="0"/>
    <x v="8"/>
    <x v="1"/>
    <n v="8.4700000000000006"/>
    <m/>
    <m/>
    <m/>
    <m/>
    <m/>
    <m/>
    <x v="1"/>
    <n v="1"/>
    <n v="6"/>
    <m/>
    <m/>
    <m/>
    <m/>
    <m/>
    <m/>
    <m/>
    <m/>
    <m/>
    <m/>
    <m/>
    <m/>
    <m/>
    <m/>
  </r>
  <r>
    <n v="3733"/>
    <n v="54163"/>
    <d v="2002-03-15T00:00:00"/>
    <n v="23"/>
    <x v="1"/>
    <x v="1"/>
    <d v="2024-02-03T00:00:00"/>
    <n v="1.4164383561643836"/>
    <x v="4"/>
    <x v="0"/>
    <x v="8"/>
    <x v="1"/>
    <n v="8.4700000000000006"/>
    <m/>
    <m/>
    <m/>
    <m/>
    <m/>
    <m/>
    <x v="3"/>
    <n v="2"/>
    <n v="7"/>
    <m/>
    <m/>
    <m/>
    <m/>
    <m/>
    <m/>
    <m/>
    <m/>
    <m/>
    <m/>
    <m/>
    <m/>
    <m/>
    <m/>
  </r>
  <r>
    <n v="3734"/>
    <n v="54164"/>
    <d v="2004-11-16T00:00:00"/>
    <n v="21"/>
    <x v="1"/>
    <x v="0"/>
    <d v="2024-08-01T00:00:00"/>
    <n v="1.6767123287671233"/>
    <x v="5"/>
    <x v="0"/>
    <x v="3"/>
    <x v="1"/>
    <n v="8.4700000000000006"/>
    <m/>
    <m/>
    <m/>
    <m/>
    <m/>
    <m/>
    <x v="2"/>
    <n v="2"/>
    <n v="7"/>
    <m/>
    <m/>
    <m/>
    <m/>
    <m/>
    <m/>
    <m/>
    <m/>
    <m/>
    <m/>
    <m/>
    <m/>
    <m/>
    <m/>
  </r>
  <r>
    <n v="3735"/>
    <n v="54165"/>
    <d v="2005-03-24T00:00:00"/>
    <n v="20"/>
    <x v="1"/>
    <x v="1"/>
    <d v="2024-04-28T00:00:00"/>
    <n v="1.2082191780821918"/>
    <x v="10"/>
    <x v="0"/>
    <x v="8"/>
    <x v="1"/>
    <n v="8.4700000000000006"/>
    <m/>
    <m/>
    <m/>
    <m/>
    <m/>
    <m/>
    <x v="3"/>
    <n v="4"/>
    <n v="7"/>
    <m/>
    <m/>
    <m/>
    <m/>
    <m/>
    <m/>
    <m/>
    <m/>
    <m/>
    <m/>
    <m/>
    <m/>
    <m/>
    <m/>
  </r>
  <r>
    <n v="3736"/>
    <n v="54166"/>
    <d v="2000-11-01T00:00:00"/>
    <n v="26"/>
    <x v="1"/>
    <x v="0"/>
    <d v="2024-10-16T00:00:00"/>
    <n v="1.1616438356164382"/>
    <x v="12"/>
    <x v="0"/>
    <x v="7"/>
    <x v="1"/>
    <n v="17.59"/>
    <m/>
    <m/>
    <m/>
    <m/>
    <m/>
    <m/>
    <x v="1"/>
    <n v="1"/>
    <n v="4"/>
    <m/>
    <m/>
    <m/>
    <m/>
    <m/>
    <m/>
    <m/>
    <m/>
    <m/>
    <m/>
    <m/>
    <m/>
    <m/>
    <m/>
  </r>
  <r>
    <n v="3737"/>
    <n v="54167"/>
    <d v="2000-08-17T00:00:00"/>
    <n v="25"/>
    <x v="0"/>
    <x v="1"/>
    <d v="2024-11-02T00:00:00"/>
    <n v="1.1397260273972603"/>
    <x v="20"/>
    <x v="0"/>
    <x v="7"/>
    <x v="1"/>
    <n v="17.59"/>
    <m/>
    <m/>
    <m/>
    <m/>
    <m/>
    <m/>
    <x v="4"/>
    <n v="2"/>
    <n v="4"/>
    <m/>
    <m/>
    <m/>
    <m/>
    <m/>
    <m/>
    <m/>
    <m/>
    <m/>
    <m/>
    <m/>
    <m/>
    <m/>
    <m/>
  </r>
  <r>
    <n v="3738"/>
    <n v="54168"/>
    <d v="2003-11-07T00:00:00"/>
    <n v="22"/>
    <x v="1"/>
    <x v="1"/>
    <d v="2024-11-10T00:00:00"/>
    <n v="1.726027397260274"/>
    <x v="61"/>
    <x v="0"/>
    <x v="8"/>
    <x v="1"/>
    <n v="8.4700000000000006"/>
    <m/>
    <m/>
    <m/>
    <m/>
    <m/>
    <m/>
    <x v="2"/>
    <n v="1"/>
    <n v="7"/>
    <m/>
    <m/>
    <m/>
    <m/>
    <m/>
    <m/>
    <m/>
    <m/>
    <m/>
    <m/>
    <m/>
    <m/>
    <m/>
    <m/>
  </r>
  <r>
    <n v="3739"/>
    <n v="54169"/>
    <d v="1996-04-22T00:00:00"/>
    <n v="29"/>
    <x v="0"/>
    <x v="1"/>
    <d v="2024-04-10T00:00:00"/>
    <n v="1.010958904109589"/>
    <x v="31"/>
    <x v="0"/>
    <x v="7"/>
    <x v="1"/>
    <n v="17.59"/>
    <m/>
    <m/>
    <m/>
    <m/>
    <m/>
    <m/>
    <x v="4"/>
    <n v="2"/>
    <n v="5"/>
    <m/>
    <m/>
    <m/>
    <m/>
    <m/>
    <m/>
    <m/>
    <m/>
    <m/>
    <m/>
    <m/>
    <m/>
    <m/>
    <m/>
  </r>
  <r>
    <n v="3740"/>
    <n v="54170"/>
    <d v="2002-11-25T00:00:00"/>
    <n v="23"/>
    <x v="1"/>
    <x v="1"/>
    <d v="2024-12-27T00:00:00"/>
    <n v="1.7013698630136986"/>
    <x v="77"/>
    <x v="0"/>
    <x v="3"/>
    <x v="1"/>
    <n v="8.4700000000000006"/>
    <m/>
    <m/>
    <m/>
    <m/>
    <m/>
    <m/>
    <x v="4"/>
    <n v="2"/>
    <n v="6"/>
    <m/>
    <m/>
    <m/>
    <m/>
    <m/>
    <m/>
    <m/>
    <m/>
    <m/>
    <m/>
    <m/>
    <m/>
    <m/>
    <m/>
  </r>
  <r>
    <n v="3741"/>
    <n v="54171"/>
    <d v="2006-08-26T00:00:00"/>
    <n v="19"/>
    <x v="1"/>
    <x v="1"/>
    <d v="2024-04-19T00:00:00"/>
    <n v="1.3369863013698631"/>
    <x v="97"/>
    <x v="1"/>
    <x v="8"/>
    <x v="1"/>
    <n v="8.4700000000000006"/>
    <m/>
    <m/>
    <m/>
    <m/>
    <m/>
    <m/>
    <x v="2"/>
    <n v="4"/>
    <n v="6"/>
    <m/>
    <m/>
    <m/>
    <m/>
    <m/>
    <m/>
    <m/>
    <m/>
    <m/>
    <m/>
    <m/>
    <m/>
    <m/>
    <m/>
  </r>
  <r>
    <n v="3742"/>
    <n v="54172"/>
    <d v="2005-08-15T00:00:00"/>
    <n v="20"/>
    <x v="1"/>
    <x v="1"/>
    <d v="2024-08-30T00:00:00"/>
    <n v="1.5917808219178082"/>
    <x v="133"/>
    <x v="1"/>
    <x v="3"/>
    <x v="1"/>
    <n v="8.4700000000000006"/>
    <m/>
    <m/>
    <m/>
    <m/>
    <m/>
    <m/>
    <x v="3"/>
    <n v="1"/>
    <n v="7"/>
    <m/>
    <m/>
    <m/>
    <m/>
    <m/>
    <m/>
    <m/>
    <m/>
    <m/>
    <m/>
    <m/>
    <m/>
    <m/>
    <m/>
  </r>
  <r>
    <n v="3743"/>
    <n v="54173"/>
    <d v="2002-04-09T00:00:00"/>
    <n v="23"/>
    <x v="1"/>
    <x v="1"/>
    <d v="2024-05-29T00:00:00"/>
    <n v="1.0931506849315069"/>
    <x v="130"/>
    <x v="1"/>
    <x v="11"/>
    <x v="1"/>
    <n v="17"/>
    <m/>
    <m/>
    <m/>
    <m/>
    <m/>
    <m/>
    <x v="3"/>
    <n v="4"/>
    <n v="6"/>
    <m/>
    <m/>
    <m/>
    <m/>
    <m/>
    <m/>
    <m/>
    <m/>
    <m/>
    <m/>
    <m/>
    <m/>
    <m/>
    <m/>
  </r>
  <r>
    <n v="3744"/>
    <n v="54174"/>
    <d v="1999-10-01T00:00:00"/>
    <n v="27"/>
    <x v="0"/>
    <x v="1"/>
    <d v="2024-11-27T00:00:00"/>
    <n v="1.3671232876712329"/>
    <x v="121"/>
    <x v="1"/>
    <x v="7"/>
    <x v="1"/>
    <n v="17.59"/>
    <m/>
    <m/>
    <m/>
    <m/>
    <m/>
    <m/>
    <x v="4"/>
    <n v="2"/>
    <n v="5"/>
    <m/>
    <m/>
    <m/>
    <m/>
    <m/>
    <m/>
    <m/>
    <m/>
    <m/>
    <m/>
    <m/>
    <m/>
    <m/>
    <m/>
  </r>
  <r>
    <n v="3745"/>
    <n v="54175"/>
    <d v="1998-10-19T00:00:00"/>
    <n v="27"/>
    <x v="1"/>
    <x v="1"/>
    <d v="2024-08-19T00:00:00"/>
    <n v="1.4876712328767123"/>
    <x v="121"/>
    <x v="1"/>
    <x v="7"/>
    <x v="1"/>
    <n v="17.59"/>
    <m/>
    <m/>
    <m/>
    <m/>
    <m/>
    <m/>
    <x v="2"/>
    <n v="1"/>
    <n v="7"/>
    <m/>
    <m/>
    <m/>
    <m/>
    <m/>
    <m/>
    <m/>
    <m/>
    <m/>
    <m/>
    <m/>
    <m/>
    <m/>
    <m/>
  </r>
  <r>
    <n v="3746"/>
    <n v="54176"/>
    <d v="1998-07-21T00:00:00"/>
    <n v="27"/>
    <x v="0"/>
    <x v="1"/>
    <d v="2024-07-06T00:00:00"/>
    <n v="1.4575342465753425"/>
    <x v="135"/>
    <x v="1"/>
    <x v="6"/>
    <x v="1"/>
    <n v="23.78"/>
    <m/>
    <m/>
    <m/>
    <m/>
    <m/>
    <m/>
    <x v="2"/>
    <n v="6"/>
    <n v="5"/>
    <m/>
    <m/>
    <m/>
    <m/>
    <m/>
    <m/>
    <m/>
    <m/>
    <m/>
    <m/>
    <m/>
    <m/>
    <m/>
    <m/>
  </r>
  <r>
    <n v="3747"/>
    <n v="54177"/>
    <d v="1993-12-11T00:00:00"/>
    <n v="32"/>
    <x v="1"/>
    <x v="1"/>
    <d v="2024-07-17T00:00:00"/>
    <n v="1.2164383561643837"/>
    <x v="110"/>
    <x v="1"/>
    <x v="8"/>
    <x v="1"/>
    <n v="8.4700000000000006"/>
    <m/>
    <m/>
    <m/>
    <m/>
    <m/>
    <m/>
    <x v="1"/>
    <n v="2"/>
    <n v="7"/>
    <m/>
    <m/>
    <m/>
    <m/>
    <m/>
    <m/>
    <m/>
    <m/>
    <m/>
    <m/>
    <m/>
    <m/>
    <m/>
    <m/>
  </r>
  <r>
    <n v="3748"/>
    <n v="54178"/>
    <d v="2005-07-31T00:00:00"/>
    <n v="20"/>
    <x v="1"/>
    <x v="1"/>
    <d v="2024-10-13T00:00:00"/>
    <n v="1.1589041095890411"/>
    <x v="99"/>
    <x v="1"/>
    <x v="3"/>
    <x v="1"/>
    <n v="8.4700000000000006"/>
    <m/>
    <m/>
    <m/>
    <m/>
    <m/>
    <m/>
    <x v="3"/>
    <n v="4"/>
    <n v="7"/>
    <m/>
    <m/>
    <m/>
    <m/>
    <m/>
    <m/>
    <m/>
    <m/>
    <m/>
    <m/>
    <m/>
    <m/>
    <m/>
    <m/>
  </r>
  <r>
    <n v="3749"/>
    <n v="54179"/>
    <d v="2006-06-29T00:00:00"/>
    <n v="19"/>
    <x v="1"/>
    <x v="1"/>
    <d v="2024-11-03T00:00:00"/>
    <n v="1.821917808219178"/>
    <x v="128"/>
    <x v="1"/>
    <x v="8"/>
    <x v="1"/>
    <n v="8.4700000000000006"/>
    <m/>
    <m/>
    <m/>
    <m/>
    <m/>
    <m/>
    <x v="1"/>
    <n v="2"/>
    <n v="6"/>
    <m/>
    <m/>
    <m/>
    <m/>
    <m/>
    <m/>
    <m/>
    <m/>
    <m/>
    <m/>
    <m/>
    <m/>
    <m/>
    <m/>
  </r>
  <r>
    <n v="3750"/>
    <n v="54180"/>
    <d v="1999-04-06T00:00:00"/>
    <n v="26"/>
    <x v="1"/>
    <x v="1"/>
    <d v="2024-03-06T00:00:00"/>
    <n v="1.2876712328767124"/>
    <x v="0"/>
    <x v="0"/>
    <x v="8"/>
    <x v="1"/>
    <n v="8.4700000000000006"/>
    <m/>
    <m/>
    <m/>
    <m/>
    <m/>
    <m/>
    <x v="4"/>
    <n v="2"/>
    <n v="6"/>
    <m/>
    <m/>
    <m/>
    <m/>
    <m/>
    <m/>
    <m/>
    <m/>
    <m/>
    <m/>
    <m/>
    <m/>
    <m/>
    <m/>
  </r>
  <r>
    <n v="3751"/>
    <n v="54181"/>
    <d v="2006-04-15T00:00:00"/>
    <n v="19"/>
    <x v="1"/>
    <x v="1"/>
    <d v="2024-09-17T00:00:00"/>
    <n v="1.0575342465753426"/>
    <x v="2"/>
    <x v="0"/>
    <x v="10"/>
    <x v="1"/>
    <n v="10.64"/>
    <m/>
    <m/>
    <m/>
    <m/>
    <m/>
    <m/>
    <x v="2"/>
    <n v="0"/>
    <n v="4"/>
    <m/>
    <m/>
    <m/>
    <m/>
    <m/>
    <m/>
    <m/>
    <m/>
    <m/>
    <m/>
    <m/>
    <m/>
    <m/>
    <m/>
  </r>
  <r>
    <n v="3752"/>
    <n v="54182"/>
    <d v="1999-05-20T00:00:00"/>
    <n v="26"/>
    <x v="0"/>
    <x v="1"/>
    <d v="2024-12-10T00:00:00"/>
    <n v="1.0904109589041096"/>
    <x v="3"/>
    <x v="0"/>
    <x v="10"/>
    <x v="1"/>
    <n v="10.64"/>
    <m/>
    <m/>
    <m/>
    <m/>
    <m/>
    <m/>
    <x v="4"/>
    <n v="0"/>
    <n v="4"/>
    <m/>
    <m/>
    <m/>
    <m/>
    <m/>
    <m/>
    <m/>
    <m/>
    <m/>
    <m/>
    <m/>
    <m/>
    <m/>
    <m/>
  </r>
  <r>
    <n v="3753"/>
    <n v="54183"/>
    <d v="2004-07-12T00:00:00"/>
    <n v="21"/>
    <x v="1"/>
    <x v="1"/>
    <d v="2024-11-28T00:00:00"/>
    <n v="1.0383561643835617"/>
    <x v="4"/>
    <x v="0"/>
    <x v="8"/>
    <x v="1"/>
    <n v="8.4700000000000006"/>
    <m/>
    <m/>
    <m/>
    <m/>
    <m/>
    <m/>
    <x v="4"/>
    <n v="3"/>
    <n v="6"/>
    <m/>
    <m/>
    <m/>
    <m/>
    <m/>
    <m/>
    <m/>
    <m/>
    <m/>
    <m/>
    <m/>
    <m/>
    <m/>
    <m/>
  </r>
  <r>
    <n v="3754"/>
    <n v="54184"/>
    <d v="2005-02-23T00:00:00"/>
    <n v="20"/>
    <x v="1"/>
    <x v="0"/>
    <d v="2024-12-17T00:00:00"/>
    <n v="1.8739726027397261"/>
    <x v="5"/>
    <x v="0"/>
    <x v="8"/>
    <x v="1"/>
    <n v="8.4700000000000006"/>
    <m/>
    <m/>
    <m/>
    <m/>
    <m/>
    <m/>
    <x v="3"/>
    <n v="2"/>
    <n v="6"/>
    <m/>
    <m/>
    <m/>
    <m/>
    <m/>
    <m/>
    <m/>
    <m/>
    <m/>
    <m/>
    <m/>
    <m/>
    <m/>
    <m/>
  </r>
  <r>
    <n v="3755"/>
    <n v="54185"/>
    <d v="2003-08-16T00:00:00"/>
    <n v="22"/>
    <x v="0"/>
    <x v="1"/>
    <d v="2024-02-16T00:00:00"/>
    <n v="1.6986301369863013"/>
    <x v="5"/>
    <x v="0"/>
    <x v="8"/>
    <x v="1"/>
    <n v="8.4700000000000006"/>
    <m/>
    <m/>
    <m/>
    <m/>
    <m/>
    <m/>
    <x v="4"/>
    <n v="2"/>
    <n v="4"/>
    <m/>
    <m/>
    <m/>
    <m/>
    <m/>
    <m/>
    <m/>
    <m/>
    <m/>
    <m/>
    <m/>
    <m/>
    <m/>
    <m/>
  </r>
  <r>
    <n v="3756"/>
    <n v="54186"/>
    <d v="2006-09-26T00:00:00"/>
    <n v="19"/>
    <x v="1"/>
    <x v="1"/>
    <d v="2024-04-20T00:00:00"/>
    <n v="1.1452054794520548"/>
    <x v="7"/>
    <x v="0"/>
    <x v="8"/>
    <x v="1"/>
    <n v="8.4700000000000006"/>
    <m/>
    <m/>
    <m/>
    <m/>
    <m/>
    <m/>
    <x v="3"/>
    <n v="2"/>
    <n v="7"/>
    <m/>
    <m/>
    <m/>
    <m/>
    <m/>
    <m/>
    <m/>
    <m/>
    <m/>
    <m/>
    <m/>
    <m/>
    <m/>
    <m/>
  </r>
  <r>
    <n v="3757"/>
    <n v="54187"/>
    <d v="2006-03-30T00:00:00"/>
    <n v="19"/>
    <x v="1"/>
    <x v="1"/>
    <d v="2024-11-08T00:00:00"/>
    <n v="1.263013698630137"/>
    <x v="127"/>
    <x v="0"/>
    <x v="8"/>
    <x v="1"/>
    <n v="8.4700000000000006"/>
    <m/>
    <m/>
    <m/>
    <m/>
    <m/>
    <m/>
    <x v="3"/>
    <n v="3"/>
    <n v="5"/>
    <m/>
    <m/>
    <m/>
    <m/>
    <m/>
    <m/>
    <m/>
    <m/>
    <m/>
    <m/>
    <m/>
    <m/>
    <m/>
    <m/>
  </r>
  <r>
    <n v="3758"/>
    <n v="54188"/>
    <d v="1998-03-09T00:00:00"/>
    <n v="27"/>
    <x v="1"/>
    <x v="1"/>
    <d v="2024-09-26T00:00:00"/>
    <n v="1.6027397260273972"/>
    <x v="127"/>
    <x v="0"/>
    <x v="8"/>
    <x v="1"/>
    <n v="8.4700000000000006"/>
    <m/>
    <m/>
    <m/>
    <m/>
    <m/>
    <m/>
    <x v="2"/>
    <n v="3"/>
    <n v="6"/>
    <m/>
    <m/>
    <m/>
    <m/>
    <m/>
    <m/>
    <m/>
    <m/>
    <m/>
    <m/>
    <m/>
    <m/>
    <m/>
    <m/>
  </r>
  <r>
    <n v="3759"/>
    <n v="54189"/>
    <d v="2004-08-09T00:00:00"/>
    <n v="21"/>
    <x v="1"/>
    <x v="1"/>
    <d v="2024-05-25T00:00:00"/>
    <n v="1.0328767123287672"/>
    <x v="11"/>
    <x v="0"/>
    <x v="8"/>
    <x v="1"/>
    <n v="8.4700000000000006"/>
    <m/>
    <m/>
    <m/>
    <m/>
    <m/>
    <m/>
    <x v="2"/>
    <n v="1"/>
    <n v="6"/>
    <m/>
    <m/>
    <m/>
    <m/>
    <m/>
    <m/>
    <m/>
    <m/>
    <m/>
    <m/>
    <m/>
    <m/>
    <m/>
    <m/>
  </r>
  <r>
    <n v="3760"/>
    <n v="54190"/>
    <d v="2004-06-01T00:00:00"/>
    <n v="22"/>
    <x v="0"/>
    <x v="1"/>
    <d v="2024-12-19T00:00:00"/>
    <n v="1.010958904109589"/>
    <x v="45"/>
    <x v="0"/>
    <x v="10"/>
    <x v="1"/>
    <n v="10.64"/>
    <m/>
    <m/>
    <m/>
    <m/>
    <m/>
    <m/>
    <x v="3"/>
    <n v="1"/>
    <n v="4"/>
    <m/>
    <m/>
    <m/>
    <m/>
    <m/>
    <m/>
    <m/>
    <m/>
    <m/>
    <m/>
    <m/>
    <m/>
    <m/>
    <m/>
  </r>
  <r>
    <n v="3761"/>
    <n v="54191"/>
    <d v="2003-06-20T00:00:00"/>
    <n v="22"/>
    <x v="0"/>
    <x v="1"/>
    <d v="2024-12-27T00:00:00"/>
    <n v="1.6383561643835616"/>
    <x v="12"/>
    <x v="0"/>
    <x v="10"/>
    <x v="1"/>
    <n v="10.64"/>
    <m/>
    <m/>
    <m/>
    <m/>
    <m/>
    <m/>
    <x v="3"/>
    <n v="0"/>
    <n v="5"/>
    <m/>
    <m/>
    <m/>
    <m/>
    <m/>
    <m/>
    <m/>
    <m/>
    <m/>
    <m/>
    <m/>
    <m/>
    <m/>
    <m/>
  </r>
  <r>
    <n v="3762"/>
    <n v="54192"/>
    <d v="2004-01-31T00:00:00"/>
    <n v="21"/>
    <x v="1"/>
    <x v="1"/>
    <d v="2024-05-12T00:00:00"/>
    <n v="1.3589041095890411"/>
    <x v="12"/>
    <x v="0"/>
    <x v="8"/>
    <x v="1"/>
    <n v="8.4700000000000006"/>
    <m/>
    <m/>
    <m/>
    <m/>
    <m/>
    <m/>
    <x v="4"/>
    <n v="2"/>
    <n v="5"/>
    <m/>
    <m/>
    <m/>
    <m/>
    <m/>
    <m/>
    <m/>
    <m/>
    <m/>
    <m/>
    <m/>
    <m/>
    <m/>
    <m/>
  </r>
  <r>
    <n v="3763"/>
    <n v="54193"/>
    <d v="2006-12-30T00:00:00"/>
    <n v="19"/>
    <x v="1"/>
    <x v="0"/>
    <d v="2024-08-22T00:00:00"/>
    <n v="1.7671232876712328"/>
    <x v="82"/>
    <x v="0"/>
    <x v="2"/>
    <x v="1"/>
    <n v="14.23"/>
    <m/>
    <m/>
    <m/>
    <m/>
    <m/>
    <m/>
    <x v="3"/>
    <n v="0"/>
    <n v="4"/>
    <m/>
    <m/>
    <m/>
    <m/>
    <m/>
    <m/>
    <m/>
    <m/>
    <m/>
    <m/>
    <m/>
    <m/>
    <m/>
    <m/>
  </r>
  <r>
    <n v="3764"/>
    <n v="54194"/>
    <d v="2003-06-07T00:00:00"/>
    <n v="22"/>
    <x v="1"/>
    <x v="1"/>
    <d v="2024-03-26T00:00:00"/>
    <n v="1.1534246575342466"/>
    <x v="15"/>
    <x v="0"/>
    <x v="10"/>
    <x v="1"/>
    <n v="10.64"/>
    <m/>
    <m/>
    <m/>
    <m/>
    <m/>
    <m/>
    <x v="3"/>
    <n v="0"/>
    <n v="6"/>
    <m/>
    <m/>
    <m/>
    <m/>
    <m/>
    <m/>
    <m/>
    <m/>
    <m/>
    <m/>
    <m/>
    <m/>
    <m/>
    <m/>
  </r>
  <r>
    <n v="3765"/>
    <n v="54195"/>
    <d v="2003-01-18T00:00:00"/>
    <n v="22"/>
    <x v="0"/>
    <x v="1"/>
    <d v="2024-11-05T00:00:00"/>
    <n v="1.6082191780821917"/>
    <x v="17"/>
    <x v="0"/>
    <x v="11"/>
    <x v="1"/>
    <n v="17"/>
    <m/>
    <m/>
    <m/>
    <m/>
    <m/>
    <m/>
    <x v="4"/>
    <n v="2"/>
    <n v="5"/>
    <m/>
    <m/>
    <m/>
    <m/>
    <m/>
    <m/>
    <m/>
    <m/>
    <m/>
    <m/>
    <m/>
    <m/>
    <m/>
    <m/>
  </r>
  <r>
    <n v="3766"/>
    <n v="54196"/>
    <d v="2006-11-11T00:00:00"/>
    <n v="19"/>
    <x v="0"/>
    <x v="1"/>
    <d v="2024-05-23T00:00:00"/>
    <n v="1.4383561643835616"/>
    <x v="17"/>
    <x v="0"/>
    <x v="8"/>
    <x v="1"/>
    <n v="8.4700000000000006"/>
    <m/>
    <m/>
    <m/>
    <m/>
    <m/>
    <m/>
    <x v="4"/>
    <n v="3"/>
    <n v="5"/>
    <m/>
    <m/>
    <m/>
    <m/>
    <m/>
    <m/>
    <m/>
    <m/>
    <m/>
    <m/>
    <m/>
    <m/>
    <m/>
    <m/>
  </r>
  <r>
    <n v="3767"/>
    <n v="54197"/>
    <d v="2007-01-27T00:00:00"/>
    <n v="18"/>
    <x v="1"/>
    <x v="0"/>
    <d v="2024-07-24T00:00:00"/>
    <n v="1.2986301369863014"/>
    <x v="17"/>
    <x v="0"/>
    <x v="8"/>
    <x v="1"/>
    <n v="8.4700000000000006"/>
    <m/>
    <m/>
    <m/>
    <m/>
    <m/>
    <m/>
    <x v="2"/>
    <n v="2"/>
    <n v="5"/>
    <m/>
    <m/>
    <m/>
    <m/>
    <m/>
    <m/>
    <m/>
    <m/>
    <m/>
    <m/>
    <m/>
    <m/>
    <m/>
    <m/>
  </r>
  <r>
    <n v="3768"/>
    <n v="54198"/>
    <d v="2003-05-25T00:00:00"/>
    <n v="22"/>
    <x v="1"/>
    <x v="1"/>
    <d v="2024-09-13T00:00:00"/>
    <n v="1.6273972602739726"/>
    <x v="88"/>
    <x v="0"/>
    <x v="11"/>
    <x v="1"/>
    <n v="17"/>
    <m/>
    <m/>
    <m/>
    <m/>
    <m/>
    <m/>
    <x v="2"/>
    <n v="2"/>
    <n v="6"/>
    <m/>
    <m/>
    <m/>
    <m/>
    <m/>
    <m/>
    <m/>
    <m/>
    <m/>
    <m/>
    <m/>
    <m/>
    <m/>
    <m/>
  </r>
  <r>
    <n v="3769"/>
    <n v="54199"/>
    <d v="2005-12-01T00:00:00"/>
    <n v="21"/>
    <x v="1"/>
    <x v="1"/>
    <d v="2024-05-16T00:00:00"/>
    <n v="1.7616438356164383"/>
    <x v="88"/>
    <x v="0"/>
    <x v="9"/>
    <x v="1"/>
    <n v="14.07"/>
    <m/>
    <m/>
    <m/>
    <m/>
    <m/>
    <m/>
    <x v="3"/>
    <n v="1"/>
    <n v="5"/>
    <m/>
    <m/>
    <m/>
    <m/>
    <m/>
    <m/>
    <m/>
    <m/>
    <m/>
    <m/>
    <m/>
    <m/>
    <m/>
    <m/>
  </r>
  <r>
    <n v="3770"/>
    <n v="54200"/>
    <d v="2006-07-17T00:00:00"/>
    <n v="19"/>
    <x v="1"/>
    <x v="1"/>
    <d v="2024-03-28T00:00:00"/>
    <n v="1.1095890410958904"/>
    <x v="19"/>
    <x v="0"/>
    <x v="8"/>
    <x v="1"/>
    <n v="8.4700000000000006"/>
    <m/>
    <m/>
    <m/>
    <m/>
    <m/>
    <m/>
    <x v="1"/>
    <n v="1"/>
    <n v="6"/>
    <m/>
    <m/>
    <m/>
    <m/>
    <m/>
    <m/>
    <m/>
    <m/>
    <m/>
    <m/>
    <m/>
    <m/>
    <m/>
    <m/>
  </r>
  <r>
    <n v="3771"/>
    <n v="54201"/>
    <d v="2006-12-23T00:00:00"/>
    <n v="19"/>
    <x v="0"/>
    <x v="1"/>
    <d v="2024-11-21T00:00:00"/>
    <n v="1.0849315068493151"/>
    <x v="27"/>
    <x v="0"/>
    <x v="8"/>
    <x v="1"/>
    <n v="8.4700000000000006"/>
    <m/>
    <m/>
    <m/>
    <m/>
    <m/>
    <m/>
    <x v="3"/>
    <n v="2"/>
    <n v="5"/>
    <m/>
    <m/>
    <m/>
    <m/>
    <m/>
    <m/>
    <m/>
    <m/>
    <m/>
    <m/>
    <m/>
    <m/>
    <m/>
    <m/>
  </r>
  <r>
    <n v="3772"/>
    <n v="54202"/>
    <d v="2003-10-03T00:00:00"/>
    <n v="22"/>
    <x v="1"/>
    <x v="1"/>
    <d v="2024-11-30T00:00:00"/>
    <n v="1.210958904109589"/>
    <x v="21"/>
    <x v="0"/>
    <x v="8"/>
    <x v="1"/>
    <n v="8.4700000000000006"/>
    <m/>
    <m/>
    <m/>
    <m/>
    <m/>
    <m/>
    <x v="4"/>
    <n v="4"/>
    <n v="7"/>
    <m/>
    <m/>
    <m/>
    <m/>
    <m/>
    <m/>
    <m/>
    <m/>
    <m/>
    <m/>
    <m/>
    <m/>
    <m/>
    <m/>
  </r>
  <r>
    <n v="3773"/>
    <n v="54203"/>
    <d v="2004-12-17T00:00:00"/>
    <n v="21"/>
    <x v="1"/>
    <x v="1"/>
    <d v="2024-10-15T00:00:00"/>
    <n v="1.5643835616438355"/>
    <x v="21"/>
    <x v="0"/>
    <x v="8"/>
    <x v="1"/>
    <n v="8.4700000000000006"/>
    <m/>
    <m/>
    <m/>
    <m/>
    <m/>
    <m/>
    <x v="4"/>
    <n v="1"/>
    <n v="7"/>
    <m/>
    <m/>
    <m/>
    <m/>
    <m/>
    <m/>
    <m/>
    <m/>
    <m/>
    <m/>
    <m/>
    <m/>
    <m/>
    <m/>
  </r>
  <r>
    <n v="3774"/>
    <n v="54204"/>
    <d v="1995-11-10T00:00:00"/>
    <n v="30"/>
    <x v="1"/>
    <x v="0"/>
    <d v="2024-06-08T00:00:00"/>
    <n v="1.2082191780821918"/>
    <x v="22"/>
    <x v="0"/>
    <x v="8"/>
    <x v="1"/>
    <n v="8.4700000000000006"/>
    <m/>
    <m/>
    <m/>
    <m/>
    <m/>
    <m/>
    <x v="1"/>
    <n v="3"/>
    <n v="6"/>
    <m/>
    <m/>
    <m/>
    <m/>
    <m/>
    <m/>
    <m/>
    <m/>
    <m/>
    <m/>
    <m/>
    <m/>
    <m/>
    <m/>
  </r>
  <r>
    <n v="3775"/>
    <n v="54205"/>
    <d v="2003-04-29T00:00:00"/>
    <n v="22"/>
    <x v="1"/>
    <x v="0"/>
    <d v="2024-10-16T00:00:00"/>
    <n v="1.1506849315068493"/>
    <x v="28"/>
    <x v="0"/>
    <x v="8"/>
    <x v="1"/>
    <n v="8.4700000000000006"/>
    <m/>
    <m/>
    <m/>
    <m/>
    <m/>
    <m/>
    <x v="3"/>
    <n v="0"/>
    <n v="4"/>
    <m/>
    <m/>
    <m/>
    <m/>
    <m/>
    <m/>
    <m/>
    <m/>
    <m/>
    <m/>
    <m/>
    <m/>
    <m/>
    <m/>
  </r>
  <r>
    <n v="3776"/>
    <n v="54206"/>
    <d v="2004-06-07T00:00:00"/>
    <n v="21"/>
    <x v="1"/>
    <x v="0"/>
    <d v="2024-11-06T00:00:00"/>
    <n v="1.3260273972602741"/>
    <x v="52"/>
    <x v="0"/>
    <x v="8"/>
    <x v="1"/>
    <n v="8.4700000000000006"/>
    <m/>
    <m/>
    <m/>
    <m/>
    <m/>
    <m/>
    <x v="1"/>
    <n v="2"/>
    <n v="4"/>
    <m/>
    <m/>
    <m/>
    <m/>
    <m/>
    <m/>
    <m/>
    <m/>
    <m/>
    <m/>
    <m/>
    <m/>
    <m/>
    <m/>
  </r>
  <r>
    <n v="3777"/>
    <n v="54207"/>
    <d v="2000-05-29T00:00:00"/>
    <n v="25"/>
    <x v="1"/>
    <x v="1"/>
    <d v="2024-09-03T00:00:00"/>
    <n v="1.6876712328767123"/>
    <x v="26"/>
    <x v="0"/>
    <x v="8"/>
    <x v="1"/>
    <n v="8.4700000000000006"/>
    <m/>
    <m/>
    <m/>
    <m/>
    <m/>
    <m/>
    <x v="2"/>
    <n v="2"/>
    <n v="6"/>
    <m/>
    <m/>
    <m/>
    <m/>
    <m/>
    <m/>
    <m/>
    <m/>
    <m/>
    <m/>
    <m/>
    <m/>
    <m/>
    <m/>
  </r>
  <r>
    <n v="3778"/>
    <n v="54208"/>
    <d v="1997-06-10T00:00:00"/>
    <n v="28"/>
    <x v="1"/>
    <x v="1"/>
    <d v="2024-04-24T00:00:00"/>
    <n v="1.6986301369863013"/>
    <x v="26"/>
    <x v="0"/>
    <x v="8"/>
    <x v="1"/>
    <n v="8.4700000000000006"/>
    <m/>
    <m/>
    <m/>
    <m/>
    <m/>
    <m/>
    <x v="4"/>
    <n v="0"/>
    <n v="5"/>
    <m/>
    <m/>
    <m/>
    <m/>
    <m/>
    <m/>
    <m/>
    <m/>
    <m/>
    <m/>
    <m/>
    <m/>
    <m/>
    <m/>
  </r>
  <r>
    <n v="3779"/>
    <n v="54209"/>
    <d v="2002-12-17T00:00:00"/>
    <n v="23"/>
    <x v="1"/>
    <x v="1"/>
    <d v="2024-04-20T00:00:00"/>
    <n v="1.0630136986301371"/>
    <x v="139"/>
    <x v="0"/>
    <x v="3"/>
    <x v="1"/>
    <n v="8.4700000000000006"/>
    <m/>
    <m/>
    <m/>
    <m/>
    <m/>
    <m/>
    <x v="4"/>
    <n v="1"/>
    <n v="6"/>
    <m/>
    <m/>
    <m/>
    <m/>
    <m/>
    <m/>
    <m/>
    <m/>
    <m/>
    <m/>
    <m/>
    <m/>
    <m/>
    <m/>
  </r>
  <r>
    <n v="3780"/>
    <n v="54210"/>
    <d v="1998-08-23T00:00:00"/>
    <n v="27"/>
    <x v="1"/>
    <x v="1"/>
    <d v="2024-12-08T00:00:00"/>
    <n v="1.7972602739726027"/>
    <x v="139"/>
    <x v="0"/>
    <x v="8"/>
    <x v="1"/>
    <n v="8.4700000000000006"/>
    <m/>
    <m/>
    <m/>
    <m/>
    <m/>
    <m/>
    <x v="2"/>
    <n v="4"/>
    <n v="7"/>
    <m/>
    <m/>
    <m/>
    <m/>
    <m/>
    <m/>
    <m/>
    <m/>
    <m/>
    <m/>
    <m/>
    <m/>
    <m/>
    <m/>
  </r>
  <r>
    <n v="3781"/>
    <n v="54212"/>
    <d v="2007-02-24T00:00:00"/>
    <n v="18"/>
    <x v="1"/>
    <x v="0"/>
    <d v="2024-03-15T00:00:00"/>
    <n v="1.3808219178082193"/>
    <x v="63"/>
    <x v="0"/>
    <x v="8"/>
    <x v="1"/>
    <n v="8.4700000000000006"/>
    <m/>
    <m/>
    <m/>
    <m/>
    <m/>
    <m/>
    <x v="4"/>
    <n v="1"/>
    <n v="5"/>
    <m/>
    <m/>
    <m/>
    <m/>
    <m/>
    <m/>
    <m/>
    <m/>
    <m/>
    <m/>
    <m/>
    <m/>
    <m/>
    <m/>
  </r>
  <r>
    <n v="3782"/>
    <n v="54213"/>
    <d v="2005-11-23T00:00:00"/>
    <n v="20"/>
    <x v="1"/>
    <x v="1"/>
    <d v="2024-08-14T00:00:00"/>
    <n v="1.4246575342465753"/>
    <x v="33"/>
    <x v="0"/>
    <x v="10"/>
    <x v="1"/>
    <n v="10.64"/>
    <m/>
    <m/>
    <m/>
    <m/>
    <m/>
    <m/>
    <x v="4"/>
    <n v="0"/>
    <n v="7"/>
    <m/>
    <m/>
    <m/>
    <m/>
    <m/>
    <m/>
    <m/>
    <m/>
    <m/>
    <m/>
    <m/>
    <m/>
    <m/>
    <m/>
  </r>
  <r>
    <n v="3783"/>
    <n v="54214"/>
    <d v="1998-05-18T00:00:00"/>
    <n v="27"/>
    <x v="0"/>
    <x v="1"/>
    <d v="2024-07-29T00:00:00"/>
    <n v="1.441095890410959"/>
    <x v="78"/>
    <x v="0"/>
    <x v="2"/>
    <x v="1"/>
    <n v="14.23"/>
    <m/>
    <m/>
    <m/>
    <m/>
    <m/>
    <m/>
    <x v="4"/>
    <n v="0"/>
    <n v="5"/>
    <m/>
    <m/>
    <m/>
    <m/>
    <m/>
    <m/>
    <m/>
    <m/>
    <m/>
    <m/>
    <m/>
    <m/>
    <m/>
    <m/>
  </r>
  <r>
    <n v="3784"/>
    <n v="54215"/>
    <d v="2005-01-15T00:00:00"/>
    <n v="20"/>
    <x v="1"/>
    <x v="1"/>
    <d v="2024-07-23T00:00:00"/>
    <n v="1.7534246575342465"/>
    <x v="83"/>
    <x v="0"/>
    <x v="8"/>
    <x v="1"/>
    <n v="8.4700000000000006"/>
    <m/>
    <m/>
    <m/>
    <m/>
    <m/>
    <m/>
    <x v="4"/>
    <n v="2"/>
    <n v="4"/>
    <m/>
    <m/>
    <m/>
    <m/>
    <m/>
    <m/>
    <m/>
    <m/>
    <m/>
    <m/>
    <m/>
    <m/>
    <m/>
    <m/>
  </r>
  <r>
    <n v="3785"/>
    <n v="54216"/>
    <d v="1993-10-14T00:00:00"/>
    <n v="32"/>
    <x v="1"/>
    <x v="1"/>
    <d v="2024-03-31T00:00:00"/>
    <n v="1.2383561643835617"/>
    <x v="83"/>
    <x v="0"/>
    <x v="8"/>
    <x v="1"/>
    <n v="8.4700000000000006"/>
    <m/>
    <m/>
    <m/>
    <m/>
    <m/>
    <m/>
    <x v="4"/>
    <n v="4"/>
    <n v="7"/>
    <m/>
    <m/>
    <m/>
    <m/>
    <m/>
    <m/>
    <m/>
    <m/>
    <m/>
    <m/>
    <m/>
    <m/>
    <m/>
    <m/>
  </r>
  <r>
    <n v="3786"/>
    <n v="54217"/>
    <d v="2004-08-06T00:00:00"/>
    <n v="21"/>
    <x v="1"/>
    <x v="0"/>
    <d v="2024-10-05T00:00:00"/>
    <n v="1.6438356164383561"/>
    <x v="50"/>
    <x v="0"/>
    <x v="8"/>
    <x v="1"/>
    <n v="8.4700000000000006"/>
    <m/>
    <m/>
    <m/>
    <m/>
    <m/>
    <m/>
    <x v="3"/>
    <n v="0"/>
    <n v="6"/>
    <m/>
    <m/>
    <m/>
    <m/>
    <m/>
    <m/>
    <m/>
    <m/>
    <m/>
    <m/>
    <m/>
    <m/>
    <m/>
    <m/>
  </r>
  <r>
    <n v="3787"/>
    <n v="54218"/>
    <d v="2004-07-12T00:00:00"/>
    <n v="21"/>
    <x v="1"/>
    <x v="0"/>
    <d v="2024-05-10T00:00:00"/>
    <n v="1.0849315068493151"/>
    <x v="136"/>
    <x v="0"/>
    <x v="9"/>
    <x v="1"/>
    <n v="14.07"/>
    <m/>
    <m/>
    <m/>
    <m/>
    <m/>
    <m/>
    <x v="3"/>
    <n v="1"/>
    <n v="5"/>
    <m/>
    <m/>
    <m/>
    <m/>
    <m/>
    <m/>
    <m/>
    <m/>
    <m/>
    <m/>
    <m/>
    <m/>
    <m/>
    <m/>
  </r>
  <r>
    <n v="3788"/>
    <n v="54219"/>
    <d v="2003-09-03T00:00:00"/>
    <n v="22"/>
    <x v="1"/>
    <x v="1"/>
    <d v="2024-11-30T00:00:00"/>
    <n v="1.6191780821917807"/>
    <x v="136"/>
    <x v="0"/>
    <x v="3"/>
    <x v="1"/>
    <n v="8.4700000000000006"/>
    <m/>
    <m/>
    <m/>
    <m/>
    <m/>
    <m/>
    <x v="4"/>
    <n v="1"/>
    <n v="5"/>
    <m/>
    <m/>
    <m/>
    <m/>
    <m/>
    <m/>
    <m/>
    <m/>
    <m/>
    <m/>
    <m/>
    <m/>
    <m/>
    <m/>
  </r>
  <r>
    <n v="3789"/>
    <n v="54220"/>
    <d v="2005-01-16T00:00:00"/>
    <n v="20"/>
    <x v="1"/>
    <x v="1"/>
    <d v="2024-05-19T00:00:00"/>
    <n v="1.2164383561643837"/>
    <x v="136"/>
    <x v="0"/>
    <x v="8"/>
    <x v="1"/>
    <n v="8.4700000000000006"/>
    <m/>
    <m/>
    <m/>
    <m/>
    <m/>
    <m/>
    <x v="1"/>
    <n v="4"/>
    <n v="7"/>
    <m/>
    <m/>
    <m/>
    <m/>
    <m/>
    <m/>
    <m/>
    <m/>
    <m/>
    <m/>
    <m/>
    <m/>
    <m/>
    <m/>
  </r>
  <r>
    <n v="3790"/>
    <n v="54221"/>
    <d v="2005-12-24T00:00:00"/>
    <n v="20"/>
    <x v="1"/>
    <x v="1"/>
    <d v="2024-10-13T00:00:00"/>
    <n v="1.6054794520547946"/>
    <x v="136"/>
    <x v="0"/>
    <x v="8"/>
    <x v="1"/>
    <n v="8.4700000000000006"/>
    <m/>
    <m/>
    <m/>
    <m/>
    <m/>
    <m/>
    <x v="1"/>
    <n v="2"/>
    <n v="7"/>
    <m/>
    <m/>
    <m/>
    <m/>
    <m/>
    <m/>
    <m/>
    <m/>
    <m/>
    <m/>
    <m/>
    <m/>
    <m/>
    <m/>
  </r>
  <r>
    <n v="3791"/>
    <n v="54222"/>
    <d v="2005-11-19T00:00:00"/>
    <n v="20"/>
    <x v="1"/>
    <x v="1"/>
    <d v="2024-05-24T00:00:00"/>
    <n v="1.5753424657534247"/>
    <x v="143"/>
    <x v="0"/>
    <x v="1"/>
    <x v="1"/>
    <n v="16.37"/>
    <m/>
    <m/>
    <m/>
    <m/>
    <m/>
    <m/>
    <x v="3"/>
    <n v="2"/>
    <n v="5"/>
    <m/>
    <m/>
    <m/>
    <m/>
    <m/>
    <m/>
    <m/>
    <m/>
    <m/>
    <m/>
    <m/>
    <m/>
    <m/>
    <m/>
  </r>
  <r>
    <n v="3792"/>
    <n v="54223"/>
    <d v="1989-05-11T00:00:00"/>
    <n v="36"/>
    <x v="1"/>
    <x v="0"/>
    <d v="2024-06-04T00:00:00"/>
    <n v="1.5232876712328767"/>
    <x v="67"/>
    <x v="0"/>
    <x v="6"/>
    <x v="1"/>
    <n v="23.78"/>
    <m/>
    <m/>
    <m/>
    <m/>
    <m/>
    <m/>
    <x v="3"/>
    <n v="6"/>
    <n v="6"/>
    <m/>
    <m/>
    <m/>
    <m/>
    <m/>
    <m/>
    <m/>
    <m/>
    <m/>
    <m/>
    <m/>
    <m/>
    <m/>
    <m/>
  </r>
  <r>
    <n v="3793"/>
    <n v="54224"/>
    <d v="1994-05-26T00:00:00"/>
    <n v="31"/>
    <x v="0"/>
    <x v="0"/>
    <d v="2024-06-23T00:00:00"/>
    <n v="1.1479452054794521"/>
    <x v="67"/>
    <x v="0"/>
    <x v="7"/>
    <x v="1"/>
    <n v="17.59"/>
    <m/>
    <m/>
    <m/>
    <m/>
    <m/>
    <m/>
    <x v="1"/>
    <n v="2"/>
    <n v="4"/>
    <m/>
    <m/>
    <m/>
    <m/>
    <m/>
    <m/>
    <m/>
    <m/>
    <m/>
    <m/>
    <m/>
    <m/>
    <m/>
    <m/>
  </r>
  <r>
    <n v="3794"/>
    <n v="54225"/>
    <d v="2005-03-08T00:00:00"/>
    <n v="20"/>
    <x v="1"/>
    <x v="1"/>
    <d v="2024-11-07T00:00:00"/>
    <n v="1.1698630136986301"/>
    <x v="67"/>
    <x v="0"/>
    <x v="8"/>
    <x v="1"/>
    <n v="8.4700000000000006"/>
    <m/>
    <m/>
    <m/>
    <m/>
    <m/>
    <m/>
    <x v="4"/>
    <n v="3"/>
    <n v="6"/>
    <m/>
    <m/>
    <m/>
    <m/>
    <m/>
    <m/>
    <m/>
    <m/>
    <m/>
    <m/>
    <m/>
    <m/>
    <m/>
    <m/>
  </r>
  <r>
    <n v="3795"/>
    <n v="54226"/>
    <d v="2001-09-28T00:00:00"/>
    <n v="24"/>
    <x v="0"/>
    <x v="1"/>
    <d v="2024-10-30T00:00:00"/>
    <n v="1.3972602739726028"/>
    <x v="140"/>
    <x v="0"/>
    <x v="11"/>
    <x v="1"/>
    <n v="17"/>
    <m/>
    <m/>
    <m/>
    <m/>
    <m/>
    <m/>
    <x v="3"/>
    <n v="2"/>
    <n v="4"/>
    <m/>
    <m/>
    <m/>
    <m/>
    <m/>
    <m/>
    <m/>
    <m/>
    <m/>
    <m/>
    <m/>
    <m/>
    <m/>
    <m/>
  </r>
  <r>
    <n v="3796"/>
    <n v="54227"/>
    <d v="2006-12-23T00:00:00"/>
    <n v="19"/>
    <x v="0"/>
    <x v="1"/>
    <d v="2024-08-08T00:00:00"/>
    <n v="1.4438356164383561"/>
    <x v="140"/>
    <x v="0"/>
    <x v="10"/>
    <x v="1"/>
    <n v="10.64"/>
    <m/>
    <m/>
    <m/>
    <m/>
    <m/>
    <m/>
    <x v="4"/>
    <n v="1"/>
    <n v="4"/>
    <m/>
    <m/>
    <m/>
    <m/>
    <m/>
    <m/>
    <m/>
    <m/>
    <m/>
    <m/>
    <m/>
    <m/>
    <m/>
    <m/>
  </r>
  <r>
    <n v="3797"/>
    <n v="54228"/>
    <d v="2006-01-23T00:00:00"/>
    <n v="19"/>
    <x v="0"/>
    <x v="0"/>
    <d v="2024-07-22T00:00:00"/>
    <n v="1.2136986301369863"/>
    <x v="140"/>
    <x v="0"/>
    <x v="10"/>
    <x v="1"/>
    <n v="10.64"/>
    <m/>
    <m/>
    <m/>
    <m/>
    <m/>
    <m/>
    <x v="1"/>
    <n v="0"/>
    <n v="5"/>
    <m/>
    <m/>
    <m/>
    <m/>
    <m/>
    <m/>
    <m/>
    <m/>
    <m/>
    <m/>
    <m/>
    <m/>
    <m/>
    <m/>
  </r>
  <r>
    <n v="3798"/>
    <n v="54229"/>
    <d v="2004-04-17T00:00:00"/>
    <n v="21"/>
    <x v="1"/>
    <x v="1"/>
    <d v="2024-10-14T00:00:00"/>
    <n v="1.3643835616438356"/>
    <x v="35"/>
    <x v="0"/>
    <x v="8"/>
    <x v="1"/>
    <n v="8.4700000000000006"/>
    <m/>
    <m/>
    <m/>
    <m/>
    <m/>
    <m/>
    <x v="3"/>
    <n v="4"/>
    <n v="6"/>
    <m/>
    <m/>
    <m/>
    <m/>
    <m/>
    <m/>
    <m/>
    <m/>
    <m/>
    <m/>
    <m/>
    <m/>
    <m/>
    <m/>
  </r>
  <r>
    <n v="3799"/>
    <n v="54230"/>
    <d v="2006-10-20T00:00:00"/>
    <n v="19"/>
    <x v="1"/>
    <x v="0"/>
    <d v="2024-08-20T00:00:00"/>
    <n v="1.8082191780821917"/>
    <x v="57"/>
    <x v="0"/>
    <x v="8"/>
    <x v="1"/>
    <n v="8.4700000000000006"/>
    <m/>
    <m/>
    <m/>
    <m/>
    <m/>
    <m/>
    <x v="4"/>
    <n v="2"/>
    <n v="6"/>
    <m/>
    <m/>
    <m/>
    <m/>
    <m/>
    <m/>
    <m/>
    <m/>
    <m/>
    <m/>
    <m/>
    <m/>
    <m/>
    <m/>
  </r>
  <r>
    <n v="3800"/>
    <n v="54231"/>
    <d v="1999-10-02T00:00:00"/>
    <n v="26"/>
    <x v="0"/>
    <x v="1"/>
    <d v="2024-03-11T00:00:00"/>
    <n v="1.4054794520547946"/>
    <x v="141"/>
    <x v="0"/>
    <x v="2"/>
    <x v="1"/>
    <n v="14.23"/>
    <m/>
    <m/>
    <m/>
    <m/>
    <m/>
    <m/>
    <x v="4"/>
    <n v="0"/>
    <n v="4"/>
    <m/>
    <m/>
    <m/>
    <m/>
    <m/>
    <m/>
    <m/>
    <m/>
    <m/>
    <m/>
    <m/>
    <m/>
    <m/>
    <m/>
  </r>
  <r>
    <n v="3801"/>
    <n v="54232"/>
    <d v="2006-12-26T00:00:00"/>
    <n v="19"/>
    <x v="1"/>
    <x v="1"/>
    <d v="2024-08-05T00:00:00"/>
    <n v="1.0602739726027397"/>
    <x v="55"/>
    <x v="0"/>
    <x v="8"/>
    <x v="1"/>
    <n v="8.4700000000000006"/>
    <m/>
    <m/>
    <m/>
    <m/>
    <m/>
    <m/>
    <x v="3"/>
    <n v="4"/>
    <n v="7"/>
    <m/>
    <m/>
    <m/>
    <m/>
    <m/>
    <m/>
    <m/>
    <m/>
    <m/>
    <m/>
    <m/>
    <m/>
    <m/>
    <m/>
  </r>
  <r>
    <n v="3802"/>
    <n v="54233"/>
    <d v="1999-09-23T00:00:00"/>
    <n v="26"/>
    <x v="1"/>
    <x v="0"/>
    <d v="2024-12-09T00:00:00"/>
    <n v="1.3287671232876712"/>
    <x v="144"/>
    <x v="0"/>
    <x v="3"/>
    <x v="1"/>
    <n v="8.4700000000000006"/>
    <m/>
    <m/>
    <m/>
    <m/>
    <m/>
    <m/>
    <x v="1"/>
    <n v="2"/>
    <n v="5"/>
    <m/>
    <m/>
    <m/>
    <m/>
    <m/>
    <m/>
    <m/>
    <m/>
    <m/>
    <m/>
    <m/>
    <m/>
    <m/>
    <m/>
  </r>
  <r>
    <n v="3803"/>
    <n v="54234"/>
    <d v="2004-01-28T00:00:00"/>
    <n v="21"/>
    <x v="1"/>
    <x v="0"/>
    <d v="2024-09-02T00:00:00"/>
    <n v="1.6301369863013699"/>
    <x v="41"/>
    <x v="0"/>
    <x v="8"/>
    <x v="1"/>
    <n v="8.4700000000000006"/>
    <m/>
    <m/>
    <m/>
    <m/>
    <m/>
    <m/>
    <x v="1"/>
    <n v="4"/>
    <n v="6"/>
    <m/>
    <m/>
    <m/>
    <m/>
    <m/>
    <m/>
    <m/>
    <m/>
    <m/>
    <m/>
    <m/>
    <m/>
    <m/>
    <m/>
  </r>
  <r>
    <n v="3804"/>
    <n v="54235"/>
    <d v="1999-12-18T00:00:00"/>
    <n v="26"/>
    <x v="0"/>
    <x v="1"/>
    <d v="2024-05-15T00:00:00"/>
    <n v="1.7068493150684931"/>
    <x v="73"/>
    <x v="0"/>
    <x v="2"/>
    <x v="1"/>
    <n v="14.23"/>
    <m/>
    <m/>
    <m/>
    <m/>
    <m/>
    <m/>
    <x v="2"/>
    <n v="0"/>
    <n v="4"/>
    <m/>
    <m/>
    <m/>
    <m/>
    <m/>
    <m/>
    <m/>
    <m/>
    <m/>
    <m/>
    <m/>
    <m/>
    <m/>
    <m/>
  </r>
  <r>
    <n v="3805"/>
    <n v="54236"/>
    <d v="2000-04-04T00:00:00"/>
    <n v="25"/>
    <x v="1"/>
    <x v="1"/>
    <d v="2024-04-17T00:00:00"/>
    <n v="1.5068493150684932"/>
    <x v="73"/>
    <x v="0"/>
    <x v="7"/>
    <x v="1"/>
    <n v="17.59"/>
    <m/>
    <m/>
    <m/>
    <m/>
    <m/>
    <m/>
    <x v="2"/>
    <n v="2"/>
    <n v="5"/>
    <m/>
    <m/>
    <m/>
    <m/>
    <m/>
    <m/>
    <m/>
    <m/>
    <m/>
    <m/>
    <m/>
    <m/>
    <m/>
    <m/>
  </r>
  <r>
    <n v="3806"/>
    <n v="54237"/>
    <d v="2006-10-24T00:00:00"/>
    <n v="19"/>
    <x v="0"/>
    <x v="0"/>
    <d v="2024-06-29T00:00:00"/>
    <n v="1.2164383561643837"/>
    <x v="37"/>
    <x v="0"/>
    <x v="10"/>
    <x v="1"/>
    <n v="10.64"/>
    <m/>
    <m/>
    <m/>
    <m/>
    <m/>
    <m/>
    <x v="2"/>
    <n v="1"/>
    <n v="5"/>
    <m/>
    <m/>
    <m/>
    <m/>
    <m/>
    <m/>
    <m/>
    <m/>
    <m/>
    <m/>
    <m/>
    <m/>
    <m/>
    <m/>
  </r>
  <r>
    <n v="3807"/>
    <n v="54238"/>
    <d v="2001-03-04T00:00:00"/>
    <n v="24"/>
    <x v="1"/>
    <x v="1"/>
    <d v="2024-10-13T00:00:00"/>
    <n v="1.0849315068493151"/>
    <x v="37"/>
    <x v="0"/>
    <x v="8"/>
    <x v="1"/>
    <n v="8.4700000000000006"/>
    <m/>
    <m/>
    <m/>
    <m/>
    <m/>
    <m/>
    <x v="4"/>
    <n v="3"/>
    <n v="6"/>
    <m/>
    <m/>
    <m/>
    <m/>
    <m/>
    <m/>
    <m/>
    <m/>
    <m/>
    <m/>
    <m/>
    <m/>
    <m/>
    <m/>
  </r>
  <r>
    <n v="3808"/>
    <n v="54239"/>
    <d v="2002-02-01T00:00:00"/>
    <n v="24"/>
    <x v="1"/>
    <x v="1"/>
    <d v="2024-11-30T00:00:00"/>
    <n v="1.4383561643835616"/>
    <x v="37"/>
    <x v="0"/>
    <x v="8"/>
    <x v="1"/>
    <n v="8.4700000000000006"/>
    <m/>
    <m/>
    <m/>
    <m/>
    <m/>
    <m/>
    <x v="1"/>
    <n v="4"/>
    <n v="7"/>
    <m/>
    <m/>
    <m/>
    <m/>
    <m/>
    <m/>
    <m/>
    <m/>
    <m/>
    <m/>
    <m/>
    <m/>
    <m/>
    <m/>
  </r>
  <r>
    <n v="3809"/>
    <n v="54240"/>
    <d v="1999-08-01T00:00:00"/>
    <n v="27"/>
    <x v="1"/>
    <x v="1"/>
    <d v="2024-07-24T00:00:00"/>
    <n v="1.0849315068493151"/>
    <x v="77"/>
    <x v="0"/>
    <x v="8"/>
    <x v="1"/>
    <n v="8.4700000000000006"/>
    <m/>
    <m/>
    <m/>
    <m/>
    <m/>
    <m/>
    <x v="1"/>
    <n v="2"/>
    <n v="5"/>
    <m/>
    <m/>
    <m/>
    <m/>
    <m/>
    <m/>
    <m/>
    <m/>
    <m/>
    <m/>
    <m/>
    <m/>
    <m/>
    <m/>
  </r>
  <r>
    <n v="3810"/>
    <n v="54241"/>
    <d v="2004-06-06T00:00:00"/>
    <n v="21"/>
    <x v="1"/>
    <x v="1"/>
    <d v="2024-11-30T00:00:00"/>
    <n v="1.1479452054794521"/>
    <x v="77"/>
    <x v="0"/>
    <x v="8"/>
    <x v="1"/>
    <n v="8.4700000000000006"/>
    <m/>
    <m/>
    <m/>
    <m/>
    <m/>
    <m/>
    <x v="1"/>
    <n v="2"/>
    <n v="7"/>
    <m/>
    <m/>
    <m/>
    <m/>
    <m/>
    <m/>
    <m/>
    <m/>
    <m/>
    <m/>
    <m/>
    <m/>
    <m/>
    <m/>
  </r>
  <r>
    <n v="3811"/>
    <n v="54242"/>
    <d v="2004-01-28T00:00:00"/>
    <n v="21"/>
    <x v="1"/>
    <x v="1"/>
    <d v="2024-11-07T00:00:00"/>
    <n v="1.5835616438356164"/>
    <x v="40"/>
    <x v="1"/>
    <x v="8"/>
    <x v="1"/>
    <n v="8.4700000000000006"/>
    <m/>
    <m/>
    <m/>
    <m/>
    <m/>
    <m/>
    <x v="1"/>
    <n v="2"/>
    <n v="7"/>
    <m/>
    <m/>
    <m/>
    <m/>
    <m/>
    <m/>
    <m/>
    <m/>
    <m/>
    <m/>
    <m/>
    <m/>
    <m/>
    <m/>
  </r>
  <r>
    <n v="3812"/>
    <n v="54243"/>
    <d v="2005-04-14T00:00:00"/>
    <n v="20"/>
    <x v="1"/>
    <x v="1"/>
    <d v="2024-06-01T00:00:00"/>
    <n v="1.3013698630136987"/>
    <x v="40"/>
    <x v="1"/>
    <x v="8"/>
    <x v="1"/>
    <n v="8.4700000000000006"/>
    <m/>
    <m/>
    <m/>
    <m/>
    <m/>
    <m/>
    <x v="1"/>
    <n v="3"/>
    <n v="6"/>
    <m/>
    <m/>
    <m/>
    <m/>
    <m/>
    <m/>
    <m/>
    <m/>
    <m/>
    <m/>
    <m/>
    <m/>
    <m/>
    <m/>
  </r>
  <r>
    <n v="3813"/>
    <n v="54244"/>
    <d v="2005-09-11T00:00:00"/>
    <n v="20"/>
    <x v="0"/>
    <x v="1"/>
    <d v="2024-09-12T00:00:00"/>
    <n v="1.8"/>
    <x v="40"/>
    <x v="1"/>
    <x v="8"/>
    <x v="1"/>
    <n v="8.4700000000000006"/>
    <m/>
    <m/>
    <m/>
    <m/>
    <m/>
    <m/>
    <x v="3"/>
    <n v="2"/>
    <n v="6"/>
    <m/>
    <m/>
    <m/>
    <m/>
    <m/>
    <m/>
    <m/>
    <m/>
    <m/>
    <m/>
    <m/>
    <m/>
    <m/>
    <m/>
  </r>
  <r>
    <n v="3814"/>
    <n v="54245"/>
    <d v="2002-06-11T00:00:00"/>
    <n v="23"/>
    <x v="1"/>
    <x v="1"/>
    <d v="2024-03-14T00:00:00"/>
    <n v="1.6712328767123288"/>
    <x v="106"/>
    <x v="1"/>
    <x v="11"/>
    <x v="1"/>
    <n v="17"/>
    <m/>
    <m/>
    <m/>
    <m/>
    <m/>
    <m/>
    <x v="4"/>
    <n v="2"/>
    <n v="5"/>
    <m/>
    <m/>
    <m/>
    <m/>
    <m/>
    <m/>
    <m/>
    <m/>
    <m/>
    <m/>
    <m/>
    <m/>
    <m/>
    <m/>
  </r>
  <r>
    <n v="3815"/>
    <n v="54246"/>
    <d v="2002-01-21T00:00:00"/>
    <n v="23"/>
    <x v="1"/>
    <x v="1"/>
    <d v="2024-04-30T00:00:00"/>
    <n v="1.0273972602739727"/>
    <x v="1"/>
    <x v="1"/>
    <x v="11"/>
    <x v="1"/>
    <n v="17"/>
    <m/>
    <m/>
    <m/>
    <m/>
    <m/>
    <m/>
    <x v="1"/>
    <n v="1"/>
    <n v="7"/>
    <m/>
    <m/>
    <m/>
    <m/>
    <m/>
    <m/>
    <m/>
    <m/>
    <m/>
    <m/>
    <m/>
    <m/>
    <m/>
    <m/>
  </r>
  <r>
    <n v="3816"/>
    <n v="54247"/>
    <d v="2002-03-07T00:00:00"/>
    <n v="23"/>
    <x v="0"/>
    <x v="1"/>
    <d v="2024-12-21T00:00:00"/>
    <n v="1.295890410958904"/>
    <x v="104"/>
    <x v="1"/>
    <x v="9"/>
    <x v="1"/>
    <n v="14.07"/>
    <m/>
    <m/>
    <m/>
    <m/>
    <m/>
    <m/>
    <x v="2"/>
    <n v="1"/>
    <n v="4"/>
    <m/>
    <m/>
    <m/>
    <m/>
    <m/>
    <m/>
    <m/>
    <m/>
    <m/>
    <m/>
    <m/>
    <m/>
    <m/>
    <m/>
  </r>
  <r>
    <n v="3817"/>
    <n v="54248"/>
    <d v="2005-03-23T00:00:00"/>
    <n v="20"/>
    <x v="1"/>
    <x v="0"/>
    <d v="2024-09-14T00:00:00"/>
    <n v="1.5890410958904109"/>
    <x v="97"/>
    <x v="1"/>
    <x v="8"/>
    <x v="1"/>
    <n v="8.4700000000000006"/>
    <m/>
    <m/>
    <m/>
    <m/>
    <m/>
    <m/>
    <x v="4"/>
    <n v="1"/>
    <n v="5"/>
    <m/>
    <m/>
    <m/>
    <m/>
    <m/>
    <m/>
    <m/>
    <m/>
    <m/>
    <m/>
    <m/>
    <m/>
    <m/>
    <m/>
  </r>
  <r>
    <n v="3818"/>
    <n v="54249"/>
    <d v="2001-05-16T00:00:00"/>
    <n v="24"/>
    <x v="0"/>
    <x v="0"/>
    <d v="2024-05-30T00:00:00"/>
    <n v="1.0575342465753426"/>
    <x v="120"/>
    <x v="1"/>
    <x v="10"/>
    <x v="1"/>
    <n v="10.64"/>
    <m/>
    <m/>
    <m/>
    <m/>
    <m/>
    <m/>
    <x v="1"/>
    <n v="0"/>
    <n v="3"/>
    <m/>
    <m/>
    <m/>
    <m/>
    <m/>
    <m/>
    <m/>
    <m/>
    <m/>
    <m/>
    <m/>
    <m/>
    <m/>
    <m/>
  </r>
  <r>
    <n v="3819"/>
    <n v="54250"/>
    <d v="1999-12-11T00:00:00"/>
    <n v="26"/>
    <x v="1"/>
    <x v="1"/>
    <d v="2024-12-10T00:00:00"/>
    <n v="1.3095890410958904"/>
    <x v="114"/>
    <x v="1"/>
    <x v="8"/>
    <x v="1"/>
    <n v="8.4700000000000006"/>
    <m/>
    <m/>
    <m/>
    <m/>
    <m/>
    <m/>
    <x v="2"/>
    <n v="1"/>
    <n v="6"/>
    <m/>
    <m/>
    <m/>
    <m/>
    <m/>
    <m/>
    <m/>
    <m/>
    <m/>
    <m/>
    <m/>
    <m/>
    <m/>
    <m/>
  </r>
  <r>
    <n v="3820"/>
    <n v="54251"/>
    <d v="2006-05-05T00:00:00"/>
    <n v="19"/>
    <x v="1"/>
    <x v="1"/>
    <d v="2024-09-09T00:00:00"/>
    <n v="1.2767123287671234"/>
    <x v="114"/>
    <x v="1"/>
    <x v="8"/>
    <x v="1"/>
    <n v="8.4700000000000006"/>
    <m/>
    <m/>
    <m/>
    <m/>
    <m/>
    <m/>
    <x v="3"/>
    <n v="2"/>
    <n v="6"/>
    <m/>
    <m/>
    <m/>
    <m/>
    <m/>
    <m/>
    <m/>
    <m/>
    <m/>
    <m/>
    <m/>
    <m/>
    <m/>
    <m/>
  </r>
  <r>
    <n v="3821"/>
    <n v="54252"/>
    <d v="2005-05-05T00:00:00"/>
    <n v="20"/>
    <x v="0"/>
    <x v="0"/>
    <d v="2024-09-21T00:00:00"/>
    <n v="1.2246575342465753"/>
    <x v="8"/>
    <x v="1"/>
    <x v="8"/>
    <x v="1"/>
    <n v="8.4700000000000006"/>
    <m/>
    <m/>
    <m/>
    <m/>
    <m/>
    <m/>
    <x v="1"/>
    <n v="1"/>
    <n v="5"/>
    <m/>
    <m/>
    <m/>
    <m/>
    <m/>
    <m/>
    <m/>
    <m/>
    <m/>
    <m/>
    <m/>
    <m/>
    <m/>
    <m/>
  </r>
  <r>
    <n v="3822"/>
    <n v="54254"/>
    <d v="1997-02-16T00:00:00"/>
    <n v="28"/>
    <x v="0"/>
    <x v="0"/>
    <d v="2024-10-10T00:00:00"/>
    <n v="1.4821917808219178"/>
    <x v="105"/>
    <x v="1"/>
    <x v="8"/>
    <x v="1"/>
    <n v="8.4700000000000006"/>
    <m/>
    <m/>
    <m/>
    <m/>
    <m/>
    <m/>
    <x v="4"/>
    <n v="2"/>
    <n v="4"/>
    <m/>
    <m/>
    <m/>
    <m/>
    <m/>
    <m/>
    <m/>
    <m/>
    <m/>
    <m/>
    <m/>
    <m/>
    <m/>
    <m/>
  </r>
  <r>
    <n v="3823"/>
    <n v="54255"/>
    <d v="2001-07-15T00:00:00"/>
    <n v="24"/>
    <x v="1"/>
    <x v="1"/>
    <d v="2024-07-08T00:00:00"/>
    <n v="1.4904109589041097"/>
    <x v="48"/>
    <x v="1"/>
    <x v="8"/>
    <x v="1"/>
    <n v="8.4700000000000006"/>
    <m/>
    <m/>
    <m/>
    <m/>
    <m/>
    <m/>
    <x v="2"/>
    <n v="1"/>
    <n v="7"/>
    <m/>
    <m/>
    <m/>
    <m/>
    <m/>
    <m/>
    <m/>
    <m/>
    <m/>
    <m/>
    <m/>
    <m/>
    <m/>
    <m/>
  </r>
  <r>
    <n v="3824"/>
    <n v="54256"/>
    <d v="2002-05-31T00:00:00"/>
    <n v="23"/>
    <x v="1"/>
    <x v="1"/>
    <d v="2024-07-05T00:00:00"/>
    <n v="1.1123287671232878"/>
    <x v="115"/>
    <x v="1"/>
    <x v="8"/>
    <x v="1"/>
    <n v="8.4700000000000006"/>
    <m/>
    <m/>
    <m/>
    <m/>
    <m/>
    <m/>
    <x v="1"/>
    <n v="4"/>
    <n v="7"/>
    <m/>
    <m/>
    <m/>
    <m/>
    <m/>
    <m/>
    <m/>
    <m/>
    <m/>
    <m/>
    <m/>
    <m/>
    <m/>
    <m/>
  </r>
  <r>
    <n v="3825"/>
    <n v="54257"/>
    <d v="2001-05-22T00:00:00"/>
    <n v="24"/>
    <x v="1"/>
    <x v="1"/>
    <d v="2024-11-20T00:00:00"/>
    <n v="1.5342465753424657"/>
    <x v="95"/>
    <x v="1"/>
    <x v="8"/>
    <x v="1"/>
    <n v="8.4700000000000006"/>
    <m/>
    <m/>
    <m/>
    <m/>
    <m/>
    <m/>
    <x v="2"/>
    <n v="2"/>
    <n v="6"/>
    <m/>
    <m/>
    <m/>
    <m/>
    <m/>
    <m/>
    <m/>
    <m/>
    <m/>
    <m/>
    <m/>
    <m/>
    <m/>
    <m/>
  </r>
  <r>
    <n v="3826"/>
    <n v="54259"/>
    <d v="2002-06-14T00:00:00"/>
    <n v="23"/>
    <x v="0"/>
    <x v="0"/>
    <d v="2024-06-19T00:00:00"/>
    <n v="1.6082191780821917"/>
    <x v="56"/>
    <x v="1"/>
    <x v="8"/>
    <x v="1"/>
    <n v="8.4700000000000006"/>
    <m/>
    <m/>
    <m/>
    <m/>
    <m/>
    <m/>
    <x v="4"/>
    <n v="0"/>
    <n v="4"/>
    <m/>
    <m/>
    <m/>
    <m/>
    <m/>
    <m/>
    <m/>
    <m/>
    <m/>
    <m/>
    <m/>
    <m/>
    <m/>
    <m/>
  </r>
  <r>
    <n v="3827"/>
    <n v="54260"/>
    <d v="2003-09-07T00:00:00"/>
    <n v="22"/>
    <x v="1"/>
    <x v="0"/>
    <d v="2024-05-23T00:00:00"/>
    <n v="1.2054794520547945"/>
    <x v="85"/>
    <x v="1"/>
    <x v="8"/>
    <x v="1"/>
    <n v="8.4700000000000006"/>
    <m/>
    <m/>
    <m/>
    <m/>
    <m/>
    <m/>
    <x v="3"/>
    <n v="3"/>
    <n v="5"/>
    <m/>
    <m/>
    <m/>
    <m/>
    <m/>
    <m/>
    <m/>
    <m/>
    <m/>
    <m/>
    <m/>
    <m/>
    <m/>
    <m/>
  </r>
  <r>
    <n v="3828"/>
    <n v="54261"/>
    <d v="2001-02-01T00:00:00"/>
    <n v="25"/>
    <x v="1"/>
    <x v="1"/>
    <d v="2024-10-17T00:00:00"/>
    <n v="1.484931506849315"/>
    <x v="60"/>
    <x v="1"/>
    <x v="8"/>
    <x v="1"/>
    <n v="8.4700000000000006"/>
    <m/>
    <m/>
    <m/>
    <m/>
    <m/>
    <m/>
    <x v="4"/>
    <n v="2"/>
    <n v="7"/>
    <m/>
    <m/>
    <m/>
    <m/>
    <m/>
    <m/>
    <m/>
    <m/>
    <m/>
    <m/>
    <m/>
    <m/>
    <m/>
    <m/>
  </r>
  <r>
    <n v="3829"/>
    <n v="54262"/>
    <d v="2001-09-07T00:00:00"/>
    <n v="24"/>
    <x v="1"/>
    <x v="1"/>
    <d v="2024-07-07T00:00:00"/>
    <n v="1.2356164383561643"/>
    <x v="119"/>
    <x v="1"/>
    <x v="1"/>
    <x v="1"/>
    <n v="16.37"/>
    <m/>
    <m/>
    <m/>
    <m/>
    <m/>
    <m/>
    <x v="1"/>
    <n v="0"/>
    <n v="3"/>
    <m/>
    <m/>
    <m/>
    <m/>
    <m/>
    <m/>
    <m/>
    <m/>
    <m/>
    <m/>
    <m/>
    <m/>
    <m/>
    <m/>
  </r>
  <r>
    <n v="3830"/>
    <n v="54263"/>
    <d v="2002-12-31T00:00:00"/>
    <n v="23"/>
    <x v="1"/>
    <x v="0"/>
    <d v="2024-10-06T00:00:00"/>
    <n v="1.6493150684931508"/>
    <x v="119"/>
    <x v="1"/>
    <x v="8"/>
    <x v="1"/>
    <n v="8.4700000000000006"/>
    <m/>
    <m/>
    <m/>
    <m/>
    <m/>
    <m/>
    <x v="3"/>
    <n v="4"/>
    <n v="5"/>
    <m/>
    <m/>
    <m/>
    <m/>
    <m/>
    <m/>
    <m/>
    <m/>
    <m/>
    <m/>
    <m/>
    <m/>
    <m/>
    <m/>
  </r>
  <r>
    <n v="3831"/>
    <n v="54264"/>
    <d v="2000-11-29T00:00:00"/>
    <n v="25"/>
    <x v="1"/>
    <x v="1"/>
    <d v="2024-05-08T00:00:00"/>
    <n v="1.5561643835616439"/>
    <x v="65"/>
    <x v="1"/>
    <x v="11"/>
    <x v="1"/>
    <n v="17"/>
    <m/>
    <m/>
    <m/>
    <m/>
    <m/>
    <m/>
    <x v="1"/>
    <n v="2"/>
    <n v="6"/>
    <m/>
    <m/>
    <m/>
    <m/>
    <m/>
    <m/>
    <m/>
    <m/>
    <m/>
    <m/>
    <m/>
    <m/>
    <m/>
    <m/>
  </r>
  <r>
    <n v="3832"/>
    <n v="54265"/>
    <d v="1995-08-12T00:00:00"/>
    <n v="30"/>
    <x v="0"/>
    <x v="1"/>
    <d v="2024-06-11T00:00:00"/>
    <n v="1.6958904109589041"/>
    <x v="65"/>
    <x v="1"/>
    <x v="7"/>
    <x v="1"/>
    <n v="17.59"/>
    <m/>
    <m/>
    <m/>
    <m/>
    <m/>
    <m/>
    <x v="4"/>
    <n v="1"/>
    <n v="3"/>
    <m/>
    <m/>
    <m/>
    <m/>
    <m/>
    <m/>
    <m/>
    <m/>
    <m/>
    <m/>
    <m/>
    <m/>
    <m/>
    <m/>
  </r>
  <r>
    <n v="3833"/>
    <n v="54266"/>
    <d v="2002-12-20T00:00:00"/>
    <n v="23"/>
    <x v="1"/>
    <x v="1"/>
    <d v="2024-04-21T00:00:00"/>
    <n v="1.5452054794520549"/>
    <x v="135"/>
    <x v="1"/>
    <x v="8"/>
    <x v="1"/>
    <n v="8.4700000000000006"/>
    <m/>
    <m/>
    <m/>
    <m/>
    <m/>
    <m/>
    <x v="1"/>
    <n v="1"/>
    <n v="5"/>
    <m/>
    <m/>
    <m/>
    <m/>
    <m/>
    <m/>
    <m/>
    <m/>
    <m/>
    <m/>
    <m/>
    <m/>
    <m/>
    <m/>
  </r>
  <r>
    <n v="3834"/>
    <n v="54267"/>
    <d v="2004-04-15T00:00:00"/>
    <n v="21"/>
    <x v="1"/>
    <x v="1"/>
    <d v="2024-06-15T00:00:00"/>
    <n v="1.5123287671232877"/>
    <x v="74"/>
    <x v="1"/>
    <x v="8"/>
    <x v="1"/>
    <n v="8.4700000000000006"/>
    <m/>
    <m/>
    <m/>
    <m/>
    <m/>
    <m/>
    <x v="4"/>
    <n v="0"/>
    <n v="7"/>
    <m/>
    <m/>
    <m/>
    <m/>
    <m/>
    <m/>
    <m/>
    <m/>
    <m/>
    <m/>
    <m/>
    <m/>
    <m/>
    <m/>
  </r>
  <r>
    <n v="3835"/>
    <n v="54268"/>
    <d v="2004-07-01T00:00:00"/>
    <n v="22"/>
    <x v="1"/>
    <x v="1"/>
    <d v="2024-06-27T00:00:00"/>
    <n v="1.5397260273972602"/>
    <x v="79"/>
    <x v="1"/>
    <x v="8"/>
    <x v="1"/>
    <n v="8.4700000000000006"/>
    <m/>
    <m/>
    <m/>
    <m/>
    <m/>
    <m/>
    <x v="2"/>
    <n v="1"/>
    <n v="6"/>
    <m/>
    <m/>
    <m/>
    <m/>
    <m/>
    <m/>
    <m/>
    <m/>
    <m/>
    <m/>
    <m/>
    <m/>
    <m/>
    <m/>
  </r>
  <r>
    <n v="3836"/>
    <n v="54269"/>
    <d v="1998-02-09T00:00:00"/>
    <n v="27"/>
    <x v="0"/>
    <x v="1"/>
    <d v="2024-06-17T00:00:00"/>
    <n v="1.1342465753424658"/>
    <x v="93"/>
    <x v="1"/>
    <x v="7"/>
    <x v="1"/>
    <n v="17.59"/>
    <m/>
    <m/>
    <m/>
    <m/>
    <m/>
    <m/>
    <x v="3"/>
    <n v="1"/>
    <n v="4"/>
    <m/>
    <m/>
    <m/>
    <m/>
    <m/>
    <m/>
    <m/>
    <m/>
    <m/>
    <m/>
    <m/>
    <m/>
    <m/>
    <m/>
  </r>
  <r>
    <n v="3837"/>
    <n v="54270"/>
    <d v="1997-06-13T00:00:00"/>
    <n v="28"/>
    <x v="1"/>
    <x v="1"/>
    <d v="2024-11-12T00:00:00"/>
    <n v="1.5232876712328767"/>
    <x v="93"/>
    <x v="1"/>
    <x v="8"/>
    <x v="1"/>
    <n v="8.4700000000000006"/>
    <m/>
    <m/>
    <m/>
    <m/>
    <m/>
    <m/>
    <x v="1"/>
    <n v="4"/>
    <n v="7"/>
    <m/>
    <m/>
    <m/>
    <m/>
    <m/>
    <m/>
    <m/>
    <m/>
    <m/>
    <m/>
    <m/>
    <m/>
    <m/>
    <m/>
  </r>
  <r>
    <n v="3838"/>
    <n v="54272"/>
    <d v="2001-10-16T00:00:00"/>
    <n v="24"/>
    <x v="1"/>
    <x v="0"/>
    <d v="2024-06-23T00:00:00"/>
    <n v="1.5342465753424657"/>
    <x v="80"/>
    <x v="1"/>
    <x v="9"/>
    <x v="1"/>
    <n v="14.07"/>
    <m/>
    <m/>
    <m/>
    <m/>
    <m/>
    <m/>
    <x v="1"/>
    <n v="1"/>
    <n v="5"/>
    <m/>
    <m/>
    <m/>
    <m/>
    <m/>
    <m/>
    <m/>
    <m/>
    <m/>
    <m/>
    <m/>
    <m/>
    <m/>
    <m/>
  </r>
  <r>
    <n v="3839"/>
    <n v="54273"/>
    <d v="1996-07-02T00:00:00"/>
    <n v="29"/>
    <x v="1"/>
    <x v="0"/>
    <d v="2024-06-19T00:00:00"/>
    <n v="1.0136986301369864"/>
    <x v="80"/>
    <x v="1"/>
    <x v="8"/>
    <x v="1"/>
    <n v="8.4700000000000006"/>
    <m/>
    <m/>
    <m/>
    <m/>
    <m/>
    <m/>
    <x v="2"/>
    <n v="4"/>
    <n v="5"/>
    <m/>
    <m/>
    <m/>
    <m/>
    <m/>
    <m/>
    <m/>
    <m/>
    <m/>
    <m/>
    <m/>
    <m/>
    <m/>
    <m/>
  </r>
  <r>
    <n v="3840"/>
    <n v="54274"/>
    <d v="1994-03-17T00:00:00"/>
    <n v="31"/>
    <x v="0"/>
    <x v="1"/>
    <d v="2024-12-26T00:00:00"/>
    <n v="1.1945205479452055"/>
    <x v="107"/>
    <x v="1"/>
    <x v="10"/>
    <x v="1"/>
    <n v="10.64"/>
    <m/>
    <m/>
    <m/>
    <m/>
    <m/>
    <m/>
    <x v="4"/>
    <n v="1"/>
    <n v="3"/>
    <m/>
    <m/>
    <m/>
    <m/>
    <m/>
    <m/>
    <m/>
    <m/>
    <m/>
    <m/>
    <m/>
    <m/>
    <m/>
    <m/>
  </r>
  <r>
    <n v="3841"/>
    <n v="54275"/>
    <d v="2006-11-01T00:00:00"/>
    <n v="20"/>
    <x v="1"/>
    <x v="1"/>
    <d v="2024-10-21T00:00:00"/>
    <n v="1.7671232876712328"/>
    <x v="96"/>
    <x v="1"/>
    <x v="8"/>
    <x v="1"/>
    <n v="8.4700000000000006"/>
    <m/>
    <m/>
    <m/>
    <m/>
    <m/>
    <m/>
    <x v="3"/>
    <n v="1"/>
    <n v="6"/>
    <m/>
    <m/>
    <m/>
    <m/>
    <m/>
    <m/>
    <m/>
    <m/>
    <m/>
    <m/>
    <m/>
    <m/>
    <m/>
    <m/>
  </r>
  <r>
    <n v="3842"/>
    <n v="54277"/>
    <d v="1999-02-26T00:00:00"/>
    <n v="26"/>
    <x v="1"/>
    <x v="1"/>
    <d v="2024-03-26T00:00:00"/>
    <n v="1.3369863013698631"/>
    <x v="94"/>
    <x v="1"/>
    <x v="8"/>
    <x v="1"/>
    <n v="8.4700000000000006"/>
    <m/>
    <m/>
    <m/>
    <m/>
    <m/>
    <m/>
    <x v="3"/>
    <n v="2"/>
    <n v="7"/>
    <m/>
    <m/>
    <m/>
    <m/>
    <m/>
    <m/>
    <m/>
    <m/>
    <m/>
    <m/>
    <m/>
    <m/>
    <m/>
    <m/>
  </r>
  <r>
    <n v="3843"/>
    <n v="54278"/>
    <d v="2002-07-11T00:00:00"/>
    <n v="23"/>
    <x v="1"/>
    <x v="1"/>
    <d v="2024-08-30T00:00:00"/>
    <n v="1.273972602739726"/>
    <x v="110"/>
    <x v="1"/>
    <x v="8"/>
    <x v="1"/>
    <n v="8.4700000000000006"/>
    <m/>
    <m/>
    <m/>
    <m/>
    <m/>
    <m/>
    <x v="2"/>
    <n v="2"/>
    <n v="7"/>
    <m/>
    <m/>
    <m/>
    <m/>
    <m/>
    <m/>
    <m/>
    <m/>
    <m/>
    <m/>
    <m/>
    <m/>
    <m/>
    <m/>
  </r>
  <r>
    <n v="3844"/>
    <n v="54279"/>
    <d v="2006-09-05T00:00:00"/>
    <n v="19"/>
    <x v="0"/>
    <x v="1"/>
    <d v="2024-09-22T00:00:00"/>
    <n v="1.7835616438356163"/>
    <x v="110"/>
    <x v="1"/>
    <x v="8"/>
    <x v="1"/>
    <n v="8.4700000000000006"/>
    <m/>
    <m/>
    <m/>
    <m/>
    <m/>
    <m/>
    <x v="4"/>
    <n v="2"/>
    <n v="5"/>
    <m/>
    <m/>
    <m/>
    <m/>
    <m/>
    <m/>
    <m/>
    <m/>
    <m/>
    <m/>
    <m/>
    <m/>
    <m/>
    <m/>
  </r>
  <r>
    <n v="3845"/>
    <n v="54280"/>
    <d v="2006-03-15T00:00:00"/>
    <n v="19"/>
    <x v="1"/>
    <x v="1"/>
    <d v="2024-03-20T00:00:00"/>
    <n v="1.1479452054794521"/>
    <x v="99"/>
    <x v="1"/>
    <x v="8"/>
    <x v="1"/>
    <n v="8.4700000000000006"/>
    <m/>
    <m/>
    <m/>
    <m/>
    <m/>
    <m/>
    <x v="2"/>
    <n v="0"/>
    <n v="6"/>
    <m/>
    <m/>
    <m/>
    <m/>
    <m/>
    <m/>
    <m/>
    <m/>
    <m/>
    <m/>
    <m/>
    <m/>
    <m/>
    <m/>
  </r>
  <r>
    <n v="3846"/>
    <n v="54281"/>
    <d v="2002-08-11T00:00:00"/>
    <n v="23"/>
    <x v="1"/>
    <x v="0"/>
    <d v="2024-11-07T00:00:00"/>
    <n v="1.8301369863013699"/>
    <x v="99"/>
    <x v="1"/>
    <x v="8"/>
    <x v="1"/>
    <n v="8.4700000000000006"/>
    <m/>
    <m/>
    <m/>
    <m/>
    <m/>
    <m/>
    <x v="3"/>
    <n v="1"/>
    <n v="6"/>
    <m/>
    <m/>
    <m/>
    <m/>
    <m/>
    <m/>
    <m/>
    <m/>
    <m/>
    <m/>
    <m/>
    <m/>
    <m/>
    <m/>
  </r>
  <r>
    <n v="3847"/>
    <n v="54282"/>
    <d v="2001-10-21T00:00:00"/>
    <n v="24"/>
    <x v="1"/>
    <x v="1"/>
    <d v="2024-03-03T00:00:00"/>
    <n v="1.5753424657534247"/>
    <x v="84"/>
    <x v="1"/>
    <x v="8"/>
    <x v="1"/>
    <n v="8.4700000000000006"/>
    <m/>
    <m/>
    <m/>
    <m/>
    <m/>
    <m/>
    <x v="4"/>
    <n v="1"/>
    <n v="5"/>
    <m/>
    <m/>
    <m/>
    <m/>
    <m/>
    <m/>
    <m/>
    <m/>
    <m/>
    <m/>
    <m/>
    <m/>
    <m/>
    <m/>
  </r>
  <r>
    <n v="3848"/>
    <n v="54283"/>
    <d v="1998-03-24T00:00:00"/>
    <n v="27"/>
    <x v="1"/>
    <x v="1"/>
    <d v="2024-06-04T00:00:00"/>
    <n v="1.295890410958904"/>
    <x v="101"/>
    <x v="1"/>
    <x v="11"/>
    <x v="1"/>
    <n v="17"/>
    <m/>
    <m/>
    <m/>
    <m/>
    <m/>
    <m/>
    <x v="4"/>
    <n v="1"/>
    <n v="5"/>
    <m/>
    <m/>
    <m/>
    <m/>
    <m/>
    <m/>
    <m/>
    <m/>
    <m/>
    <m/>
    <m/>
    <m/>
    <m/>
    <m/>
  </r>
  <r>
    <n v="3849"/>
    <n v="54284"/>
    <d v="2007-03-20T00:00:00"/>
    <n v="18"/>
    <x v="1"/>
    <x v="0"/>
    <d v="2024-09-14T00:00:00"/>
    <n v="1.3863013698630138"/>
    <x v="101"/>
    <x v="1"/>
    <x v="8"/>
    <x v="1"/>
    <n v="8.4700000000000006"/>
    <m/>
    <m/>
    <m/>
    <m/>
    <m/>
    <m/>
    <x v="3"/>
    <n v="1"/>
    <n v="6"/>
    <m/>
    <m/>
    <m/>
    <m/>
    <m/>
    <m/>
    <m/>
    <m/>
    <m/>
    <m/>
    <m/>
    <m/>
    <m/>
    <m/>
  </r>
  <r>
    <n v="3850"/>
    <n v="54285"/>
    <d v="2005-10-29T00:00:00"/>
    <n v="20"/>
    <x v="1"/>
    <x v="1"/>
    <d v="2024-08-12T00:00:00"/>
    <n v="1.5205479452054795"/>
    <x v="101"/>
    <x v="1"/>
    <x v="8"/>
    <x v="1"/>
    <n v="8.4700000000000006"/>
    <m/>
    <m/>
    <m/>
    <m/>
    <m/>
    <m/>
    <x v="2"/>
    <n v="1"/>
    <n v="5"/>
    <m/>
    <m/>
    <m/>
    <m/>
    <m/>
    <m/>
    <m/>
    <m/>
    <m/>
    <m/>
    <m/>
    <m/>
    <m/>
    <m/>
  </r>
  <r>
    <n v="3851"/>
    <n v="54286"/>
    <d v="2003-08-09T00:00:00"/>
    <n v="22"/>
    <x v="1"/>
    <x v="1"/>
    <d v="2024-06-24T00:00:00"/>
    <n v="1.2410958904109588"/>
    <x v="86"/>
    <x v="1"/>
    <x v="8"/>
    <x v="1"/>
    <n v="8.4700000000000006"/>
    <m/>
    <m/>
    <m/>
    <m/>
    <m/>
    <m/>
    <x v="1"/>
    <n v="3"/>
    <n v="7"/>
    <m/>
    <m/>
    <m/>
    <m/>
    <m/>
    <m/>
    <m/>
    <m/>
    <m/>
    <m/>
    <m/>
    <m/>
    <m/>
    <m/>
  </r>
  <r>
    <n v="3852"/>
    <n v="54287"/>
    <d v="1995-04-01T00:00:00"/>
    <n v="31"/>
    <x v="1"/>
    <x v="1"/>
    <d v="2024-10-04T00:00:00"/>
    <n v="1.4438356164383561"/>
    <x v="132"/>
    <x v="1"/>
    <x v="7"/>
    <x v="1"/>
    <n v="17.59"/>
    <m/>
    <m/>
    <m/>
    <m/>
    <m/>
    <m/>
    <x v="4"/>
    <n v="2"/>
    <n v="6"/>
    <m/>
    <m/>
    <m/>
    <m/>
    <m/>
    <m/>
    <m/>
    <m/>
    <m/>
    <m/>
    <m/>
    <m/>
    <m/>
    <m/>
  </r>
  <r>
    <n v="3853"/>
    <n v="54288"/>
    <d v="1997-02-17T00:00:00"/>
    <n v="28"/>
    <x v="1"/>
    <x v="1"/>
    <d v="2024-07-22T00:00:00"/>
    <n v="1.2082191780821918"/>
    <x v="132"/>
    <x v="1"/>
    <x v="7"/>
    <x v="1"/>
    <n v="17.59"/>
    <m/>
    <m/>
    <m/>
    <m/>
    <m/>
    <m/>
    <x v="3"/>
    <n v="1"/>
    <n v="6"/>
    <m/>
    <m/>
    <m/>
    <m/>
    <m/>
    <m/>
    <m/>
    <m/>
    <m/>
    <m/>
    <m/>
    <m/>
    <m/>
    <m/>
  </r>
  <r>
    <n v="3854"/>
    <n v="54289"/>
    <d v="1999-02-02T00:00:00"/>
    <n v="26"/>
    <x v="1"/>
    <x v="1"/>
    <d v="2024-10-16T00:00:00"/>
    <n v="1.7698630136986302"/>
    <x v="132"/>
    <x v="1"/>
    <x v="8"/>
    <x v="1"/>
    <n v="8.4700000000000006"/>
    <m/>
    <m/>
    <m/>
    <m/>
    <m/>
    <m/>
    <x v="4"/>
    <n v="2"/>
    <n v="5"/>
    <m/>
    <m/>
    <m/>
    <m/>
    <m/>
    <m/>
    <m/>
    <m/>
    <m/>
    <m/>
    <m/>
    <m/>
    <m/>
    <m/>
  </r>
  <r>
    <n v="3855"/>
    <n v="54290"/>
    <d v="1999-10-18T00:00:00"/>
    <n v="26"/>
    <x v="1"/>
    <x v="1"/>
    <d v="2024-03-25T00:00:00"/>
    <n v="1.8767123287671232"/>
    <x v="98"/>
    <x v="1"/>
    <x v="11"/>
    <x v="1"/>
    <n v="17"/>
    <m/>
    <m/>
    <m/>
    <m/>
    <m/>
    <m/>
    <x v="3"/>
    <n v="2"/>
    <n v="7"/>
    <m/>
    <m/>
    <m/>
    <m/>
    <m/>
    <m/>
    <m/>
    <m/>
    <m/>
    <m/>
    <m/>
    <m/>
    <m/>
    <m/>
  </r>
  <r>
    <n v="3856"/>
    <n v="54291"/>
    <d v="2007-10-30T00:00:00"/>
    <n v="18"/>
    <x v="1"/>
    <x v="1"/>
    <d v="2024-02-15T00:00:00"/>
    <n v="1.4438356164383561"/>
    <x v="98"/>
    <x v="1"/>
    <x v="8"/>
    <x v="1"/>
    <n v="8.4700000000000006"/>
    <m/>
    <m/>
    <m/>
    <m/>
    <m/>
    <m/>
    <x v="4"/>
    <n v="2"/>
    <n v="5"/>
    <m/>
    <m/>
    <m/>
    <m/>
    <m/>
    <m/>
    <m/>
    <m/>
    <m/>
    <m/>
    <m/>
    <m/>
    <m/>
    <m/>
  </r>
  <r>
    <n v="3857"/>
    <n v="54292"/>
    <d v="2004-09-05T00:00:00"/>
    <n v="21"/>
    <x v="0"/>
    <x v="0"/>
    <d v="2024-07-22T00:00:00"/>
    <n v="1.4876712328767123"/>
    <x v="92"/>
    <x v="1"/>
    <x v="8"/>
    <x v="1"/>
    <n v="8.4700000000000006"/>
    <m/>
    <m/>
    <m/>
    <m/>
    <m/>
    <m/>
    <x v="1"/>
    <n v="1"/>
    <n v="4"/>
    <m/>
    <m/>
    <m/>
    <m/>
    <m/>
    <m/>
    <m/>
    <m/>
    <m/>
    <m/>
    <m/>
    <m/>
    <m/>
    <m/>
  </r>
  <r>
    <n v="3858"/>
    <n v="54293"/>
    <d v="2000-01-07T00:00:00"/>
    <n v="25"/>
    <x v="1"/>
    <x v="1"/>
    <d v="2024-07-06T00:00:00"/>
    <n v="1.2246575342465753"/>
    <x v="126"/>
    <x v="1"/>
    <x v="8"/>
    <x v="1"/>
    <n v="8.4700000000000006"/>
    <m/>
    <m/>
    <m/>
    <m/>
    <m/>
    <m/>
    <x v="4"/>
    <n v="0"/>
    <n v="5"/>
    <m/>
    <m/>
    <m/>
    <m/>
    <m/>
    <m/>
    <m/>
    <m/>
    <m/>
    <m/>
    <m/>
    <m/>
    <m/>
    <m/>
  </r>
  <r>
    <n v="3859"/>
    <n v="54294"/>
    <d v="2001-08-15T00:00:00"/>
    <n v="24"/>
    <x v="1"/>
    <x v="1"/>
    <d v="2024-10-10T00:00:00"/>
    <n v="1.5698630136986302"/>
    <x v="116"/>
    <x v="1"/>
    <x v="11"/>
    <x v="1"/>
    <n v="17"/>
    <m/>
    <m/>
    <m/>
    <m/>
    <m/>
    <m/>
    <x v="2"/>
    <n v="2"/>
    <n v="5"/>
    <m/>
    <m/>
    <m/>
    <m/>
    <m/>
    <m/>
    <m/>
    <m/>
    <m/>
    <m/>
    <m/>
    <m/>
    <m/>
    <m/>
  </r>
  <r>
    <n v="3860"/>
    <n v="54295"/>
    <d v="2002-12-03T00:00:00"/>
    <n v="23"/>
    <x v="0"/>
    <x v="1"/>
    <d v="2024-06-06T00:00:00"/>
    <n v="1.4657534246575343"/>
    <x v="103"/>
    <x v="1"/>
    <x v="11"/>
    <x v="1"/>
    <n v="17"/>
    <m/>
    <m/>
    <m/>
    <m/>
    <m/>
    <m/>
    <x v="2"/>
    <n v="2"/>
    <n v="5"/>
    <m/>
    <m/>
    <m/>
    <m/>
    <m/>
    <m/>
    <m/>
    <m/>
    <m/>
    <m/>
    <m/>
    <m/>
    <m/>
    <m/>
  </r>
  <r>
    <n v="3861"/>
    <n v="54296"/>
    <d v="2001-11-13T00:00:00"/>
    <n v="24"/>
    <x v="1"/>
    <x v="1"/>
    <d v="2024-07-14T00:00:00"/>
    <n v="1.1013698630136985"/>
    <x v="11"/>
    <x v="0"/>
    <x v="3"/>
    <x v="1"/>
    <n v="8.4700000000000006"/>
    <m/>
    <m/>
    <m/>
    <m/>
    <m/>
    <m/>
    <x v="2"/>
    <n v="2"/>
    <n v="6"/>
    <m/>
    <m/>
    <m/>
    <m/>
    <m/>
    <m/>
    <m/>
    <m/>
    <m/>
    <m/>
    <m/>
    <m/>
    <m/>
    <m/>
  </r>
  <r>
    <n v="3862"/>
    <n v="54297"/>
    <d v="2007-06-07T00:00:00"/>
    <n v="18"/>
    <x v="1"/>
    <x v="1"/>
    <d v="2024-11-24T00:00:00"/>
    <n v="1.558904109589041"/>
    <x v="87"/>
    <x v="0"/>
    <x v="3"/>
    <x v="1"/>
    <n v="8.4700000000000006"/>
    <m/>
    <m/>
    <m/>
    <m/>
    <m/>
    <m/>
    <x v="4"/>
    <n v="0"/>
    <n v="5"/>
    <m/>
    <m/>
    <m/>
    <m/>
    <m/>
    <m/>
    <m/>
    <m/>
    <m/>
    <m/>
    <m/>
    <m/>
    <m/>
    <m/>
  </r>
  <r>
    <n v="3863"/>
    <n v="54298"/>
    <d v="2001-07-09T00:00:00"/>
    <n v="24"/>
    <x v="1"/>
    <x v="1"/>
    <d v="2024-06-10T00:00:00"/>
    <n v="1.2054794520547945"/>
    <x v="34"/>
    <x v="0"/>
    <x v="8"/>
    <x v="1"/>
    <n v="8.4700000000000006"/>
    <m/>
    <m/>
    <m/>
    <m/>
    <m/>
    <m/>
    <x v="1"/>
    <n v="0"/>
    <n v="7"/>
    <m/>
    <m/>
    <m/>
    <m/>
    <m/>
    <m/>
    <m/>
    <m/>
    <m/>
    <m/>
    <m/>
    <m/>
    <m/>
    <m/>
  </r>
  <r>
    <n v="3864"/>
    <n v="54300"/>
    <d v="2004-04-29T00:00:00"/>
    <n v="21"/>
    <x v="1"/>
    <x v="0"/>
    <d v="2024-10-17T00:00:00"/>
    <n v="1.5753424657534247"/>
    <x v="9"/>
    <x v="1"/>
    <x v="3"/>
    <x v="1"/>
    <n v="8.4700000000000006"/>
    <m/>
    <m/>
    <m/>
    <m/>
    <m/>
    <m/>
    <x v="3"/>
    <n v="2"/>
    <n v="4"/>
    <m/>
    <m/>
    <m/>
    <m/>
    <m/>
    <m/>
    <m/>
    <m/>
    <m/>
    <m/>
    <m/>
    <m/>
    <m/>
    <m/>
  </r>
  <r>
    <n v="3865"/>
    <n v="54301"/>
    <d v="2003-10-17T00:00:00"/>
    <n v="22"/>
    <x v="0"/>
    <x v="1"/>
    <d v="2024-06-04T00:00:00"/>
    <n v="1.5068493150684932"/>
    <x v="9"/>
    <x v="1"/>
    <x v="7"/>
    <x v="1"/>
    <n v="17.59"/>
    <m/>
    <m/>
    <m/>
    <m/>
    <m/>
    <m/>
    <x v="2"/>
    <n v="4"/>
    <n v="5"/>
    <m/>
    <m/>
    <m/>
    <m/>
    <m/>
    <m/>
    <m/>
    <m/>
    <m/>
    <m/>
    <m/>
    <m/>
    <m/>
    <m/>
  </r>
  <r>
    <n v="3866"/>
    <n v="54302"/>
    <d v="2005-02-12T00:00:00"/>
    <n v="20"/>
    <x v="0"/>
    <x v="1"/>
    <d v="2024-06-29T00:00:00"/>
    <n v="1.2904109589041095"/>
    <x v="53"/>
    <x v="1"/>
    <x v="10"/>
    <x v="1"/>
    <n v="10.64"/>
    <m/>
    <m/>
    <m/>
    <m/>
    <m/>
    <m/>
    <x v="1"/>
    <n v="0"/>
    <n v="4"/>
    <m/>
    <m/>
    <m/>
    <m/>
    <m/>
    <m/>
    <m/>
    <m/>
    <m/>
    <m/>
    <m/>
    <m/>
    <m/>
    <m/>
  </r>
  <r>
    <n v="3867"/>
    <n v="54303"/>
    <d v="2004-02-01T00:00:00"/>
    <n v="22"/>
    <x v="1"/>
    <x v="1"/>
    <d v="2024-09-16T00:00:00"/>
    <n v="1.3589041095890411"/>
    <x v="80"/>
    <x v="1"/>
    <x v="3"/>
    <x v="1"/>
    <n v="8.4700000000000006"/>
    <m/>
    <m/>
    <m/>
    <m/>
    <m/>
    <m/>
    <x v="3"/>
    <n v="2"/>
    <n v="5"/>
    <m/>
    <m/>
    <m/>
    <m/>
    <m/>
    <m/>
    <m/>
    <m/>
    <m/>
    <m/>
    <m/>
    <m/>
    <m/>
    <m/>
  </r>
  <r>
    <n v="3868"/>
    <n v="54304"/>
    <d v="2003-02-23T00:00:00"/>
    <n v="22"/>
    <x v="1"/>
    <x v="0"/>
    <d v="2024-08-22T00:00:00"/>
    <n v="1.2027397260273973"/>
    <x v="96"/>
    <x v="1"/>
    <x v="3"/>
    <x v="1"/>
    <n v="8.4700000000000006"/>
    <m/>
    <m/>
    <m/>
    <m/>
    <m/>
    <m/>
    <x v="1"/>
    <n v="3"/>
    <n v="6"/>
    <m/>
    <m/>
    <m/>
    <m/>
    <m/>
    <m/>
    <m/>
    <m/>
    <m/>
    <m/>
    <m/>
    <m/>
    <m/>
    <m/>
  </r>
  <r>
    <n v="3869"/>
    <n v="54305"/>
    <d v="1996-07-13T00:00:00"/>
    <n v="29"/>
    <x v="1"/>
    <x v="1"/>
    <d v="2024-10-18T00:00:00"/>
    <n v="1.6054794520547946"/>
    <x v="45"/>
    <x v="0"/>
    <x v="8"/>
    <x v="1"/>
    <n v="8.4700000000000006"/>
    <m/>
    <m/>
    <m/>
    <m/>
    <m/>
    <m/>
    <x v="2"/>
    <n v="2"/>
    <n v="5"/>
    <m/>
    <m/>
    <m/>
    <m/>
    <m/>
    <m/>
    <m/>
    <m/>
    <m/>
    <m/>
    <m/>
    <m/>
    <m/>
    <m/>
  </r>
  <r>
    <n v="3870"/>
    <n v="54306"/>
    <d v="2004-12-25T00:00:00"/>
    <n v="21"/>
    <x v="1"/>
    <x v="1"/>
    <d v="2024-05-24T00:00:00"/>
    <n v="1.5205479452054795"/>
    <x v="18"/>
    <x v="0"/>
    <x v="8"/>
    <x v="1"/>
    <n v="8.4700000000000006"/>
    <m/>
    <m/>
    <m/>
    <m/>
    <m/>
    <m/>
    <x v="4"/>
    <n v="1"/>
    <n v="7"/>
    <m/>
    <m/>
    <m/>
    <m/>
    <m/>
    <m/>
    <m/>
    <m/>
    <m/>
    <m/>
    <m/>
    <m/>
    <m/>
    <m/>
  </r>
  <r>
    <n v="3871"/>
    <n v="54307"/>
    <d v="2004-11-15T00:00:00"/>
    <n v="21"/>
    <x v="1"/>
    <x v="0"/>
    <d v="2024-06-24T00:00:00"/>
    <n v="1.1479452054794521"/>
    <x v="22"/>
    <x v="0"/>
    <x v="8"/>
    <x v="1"/>
    <n v="8.4700000000000006"/>
    <m/>
    <m/>
    <m/>
    <m/>
    <m/>
    <m/>
    <x v="4"/>
    <n v="4"/>
    <n v="6"/>
    <m/>
    <m/>
    <m/>
    <m/>
    <m/>
    <m/>
    <m/>
    <m/>
    <m/>
    <m/>
    <m/>
    <m/>
    <m/>
    <m/>
  </r>
  <r>
    <n v="3872"/>
    <n v="54308"/>
    <d v="2004-03-13T00:00:00"/>
    <n v="21"/>
    <x v="1"/>
    <x v="0"/>
    <d v="2024-11-07T00:00:00"/>
    <n v="1.3342465753424657"/>
    <x v="25"/>
    <x v="0"/>
    <x v="10"/>
    <x v="1"/>
    <n v="10.64"/>
    <m/>
    <m/>
    <m/>
    <m/>
    <m/>
    <m/>
    <x v="4"/>
    <n v="1"/>
    <n v="5"/>
    <m/>
    <m/>
    <m/>
    <m/>
    <m/>
    <m/>
    <m/>
    <m/>
    <m/>
    <m/>
    <m/>
    <m/>
    <m/>
    <m/>
  </r>
  <r>
    <n v="3873"/>
    <n v="54309"/>
    <d v="2004-12-13T00:00:00"/>
    <n v="21"/>
    <x v="1"/>
    <x v="1"/>
    <d v="2024-08-31T00:00:00"/>
    <n v="1.547945205479452"/>
    <x v="31"/>
    <x v="0"/>
    <x v="8"/>
    <x v="1"/>
    <n v="8.4700000000000006"/>
    <m/>
    <m/>
    <m/>
    <m/>
    <m/>
    <m/>
    <x v="2"/>
    <n v="1"/>
    <n v="7"/>
    <m/>
    <m/>
    <m/>
    <m/>
    <m/>
    <m/>
    <m/>
    <m/>
    <m/>
    <m/>
    <m/>
    <m/>
    <m/>
    <m/>
  </r>
  <r>
    <n v="3874"/>
    <n v="54310"/>
    <d v="2006-04-13T00:00:00"/>
    <n v="19"/>
    <x v="0"/>
    <x v="1"/>
    <d v="2024-06-14T00:00:00"/>
    <n v="1.263013698630137"/>
    <x v="50"/>
    <x v="0"/>
    <x v="9"/>
    <x v="1"/>
    <n v="14.07"/>
    <m/>
    <m/>
    <m/>
    <m/>
    <m/>
    <m/>
    <x v="2"/>
    <n v="0"/>
    <n v="4"/>
    <m/>
    <m/>
    <m/>
    <m/>
    <m/>
    <m/>
    <m/>
    <m/>
    <m/>
    <m/>
    <m/>
    <m/>
    <m/>
    <m/>
  </r>
  <r>
    <n v="3875"/>
    <n v="54312"/>
    <d v="1995-02-07T00:00:00"/>
    <n v="30"/>
    <x v="0"/>
    <x v="1"/>
    <d v="2024-09-26T00:00:00"/>
    <n v="1.441095890410959"/>
    <x v="55"/>
    <x v="0"/>
    <x v="2"/>
    <x v="1"/>
    <n v="14.23"/>
    <m/>
    <m/>
    <m/>
    <m/>
    <m/>
    <m/>
    <x v="1"/>
    <n v="1"/>
    <n v="4"/>
    <m/>
    <m/>
    <m/>
    <m/>
    <m/>
    <m/>
    <m/>
    <m/>
    <m/>
    <m/>
    <m/>
    <m/>
    <m/>
    <m/>
  </r>
  <r>
    <n v="3876"/>
    <n v="54313"/>
    <d v="2004-04-03T00:00:00"/>
    <n v="21"/>
    <x v="0"/>
    <x v="1"/>
    <d v="2024-07-23T00:00:00"/>
    <n v="1.5232876712328767"/>
    <x v="41"/>
    <x v="0"/>
    <x v="2"/>
    <x v="1"/>
    <n v="14.23"/>
    <m/>
    <m/>
    <m/>
    <m/>
    <m/>
    <m/>
    <x v="1"/>
    <n v="0"/>
    <n v="3"/>
    <m/>
    <m/>
    <m/>
    <m/>
    <m/>
    <m/>
    <m/>
    <m/>
    <m/>
    <m/>
    <m/>
    <m/>
    <m/>
    <m/>
  </r>
  <r>
    <n v="3877"/>
    <n v="54314"/>
    <d v="2001-10-22T00:00:00"/>
    <n v="24"/>
    <x v="0"/>
    <x v="1"/>
    <d v="2024-06-23T00:00:00"/>
    <n v="1.3698630136986301"/>
    <x v="41"/>
    <x v="0"/>
    <x v="7"/>
    <x v="1"/>
    <n v="17.59"/>
    <m/>
    <m/>
    <m/>
    <m/>
    <m/>
    <m/>
    <x v="4"/>
    <n v="1"/>
    <n v="4"/>
    <m/>
    <m/>
    <m/>
    <m/>
    <m/>
    <m/>
    <m/>
    <m/>
    <m/>
    <m/>
    <m/>
    <m/>
    <m/>
    <m/>
  </r>
  <r>
    <n v="3878"/>
    <n v="54315"/>
    <d v="2004-07-17T00:00:00"/>
    <n v="21"/>
    <x v="1"/>
    <x v="1"/>
    <d v="2024-08-18T00:00:00"/>
    <n v="1.3753424657534246"/>
    <x v="41"/>
    <x v="0"/>
    <x v="8"/>
    <x v="1"/>
    <n v="8.4700000000000006"/>
    <m/>
    <m/>
    <m/>
    <m/>
    <m/>
    <m/>
    <x v="1"/>
    <n v="3"/>
    <n v="6"/>
    <m/>
    <m/>
    <m/>
    <m/>
    <m/>
    <m/>
    <m/>
    <m/>
    <m/>
    <m/>
    <m/>
    <m/>
    <m/>
    <m/>
  </r>
  <r>
    <n v="3879"/>
    <n v="54316"/>
    <d v="2002-03-30T00:00:00"/>
    <n v="23"/>
    <x v="1"/>
    <x v="1"/>
    <d v="2024-08-16T00:00:00"/>
    <n v="1.3506849315068492"/>
    <x v="37"/>
    <x v="0"/>
    <x v="8"/>
    <x v="1"/>
    <n v="8.4700000000000006"/>
    <m/>
    <m/>
    <m/>
    <m/>
    <m/>
    <m/>
    <x v="4"/>
    <n v="2"/>
    <n v="6"/>
    <m/>
    <m/>
    <m/>
    <m/>
    <m/>
    <m/>
    <m/>
    <m/>
    <m/>
    <m/>
    <m/>
    <m/>
    <m/>
    <m/>
  </r>
  <r>
    <n v="3880"/>
    <n v="54317"/>
    <d v="2000-04-07T00:00:00"/>
    <n v="25"/>
    <x v="0"/>
    <x v="0"/>
    <d v="2024-08-25T00:00:00"/>
    <n v="1.558904109589041"/>
    <x v="106"/>
    <x v="1"/>
    <x v="11"/>
    <x v="1"/>
    <n v="17"/>
    <m/>
    <m/>
    <m/>
    <m/>
    <m/>
    <m/>
    <x v="1"/>
    <n v="1"/>
    <n v="5"/>
    <m/>
    <m/>
    <m/>
    <m/>
    <m/>
    <m/>
    <m/>
    <m/>
    <m/>
    <m/>
    <m/>
    <m/>
    <m/>
    <m/>
  </r>
  <r>
    <n v="3881"/>
    <n v="54318"/>
    <d v="2005-12-10T00:00:00"/>
    <n v="20"/>
    <x v="1"/>
    <x v="1"/>
    <d v="2024-06-10T00:00:00"/>
    <n v="1.0630136986301371"/>
    <x v="1"/>
    <x v="1"/>
    <x v="8"/>
    <x v="1"/>
    <n v="8.4700000000000006"/>
    <m/>
    <m/>
    <m/>
    <m/>
    <m/>
    <m/>
    <x v="2"/>
    <n v="2"/>
    <n v="6"/>
    <m/>
    <m/>
    <m/>
    <m/>
    <m/>
    <m/>
    <m/>
    <m/>
    <m/>
    <m/>
    <m/>
    <m/>
    <m/>
    <m/>
  </r>
  <r>
    <n v="3882"/>
    <n v="54319"/>
    <d v="2000-03-25T00:00:00"/>
    <n v="25"/>
    <x v="1"/>
    <x v="1"/>
    <d v="2024-12-08T00:00:00"/>
    <n v="1.5041095890410958"/>
    <x v="43"/>
    <x v="1"/>
    <x v="8"/>
    <x v="1"/>
    <n v="8.4700000000000006"/>
    <m/>
    <m/>
    <m/>
    <m/>
    <m/>
    <m/>
    <x v="1"/>
    <n v="2"/>
    <n v="6"/>
    <m/>
    <m/>
    <m/>
    <m/>
    <m/>
    <m/>
    <m/>
    <m/>
    <m/>
    <m/>
    <m/>
    <m/>
    <m/>
    <m/>
  </r>
  <r>
    <n v="3883"/>
    <n v="54320"/>
    <d v="2001-05-23T00:00:00"/>
    <n v="24"/>
    <x v="1"/>
    <x v="0"/>
    <d v="2024-06-30T00:00:00"/>
    <n v="1.5698630136986302"/>
    <x v="97"/>
    <x v="1"/>
    <x v="1"/>
    <x v="1"/>
    <n v="16.37"/>
    <m/>
    <m/>
    <m/>
    <m/>
    <m/>
    <m/>
    <x v="2"/>
    <n v="1"/>
    <n v="5"/>
    <m/>
    <m/>
    <m/>
    <m/>
    <m/>
    <m/>
    <m/>
    <m/>
    <m/>
    <m/>
    <m/>
    <m/>
    <m/>
    <m/>
  </r>
  <r>
    <n v="3884"/>
    <n v="54321"/>
    <d v="2001-12-27T00:00:00"/>
    <n v="24"/>
    <x v="0"/>
    <x v="0"/>
    <d v="2024-06-06T00:00:00"/>
    <n v="1.1643835616438356"/>
    <x v="9"/>
    <x v="1"/>
    <x v="8"/>
    <x v="1"/>
    <n v="8.4700000000000006"/>
    <m/>
    <m/>
    <m/>
    <m/>
    <m/>
    <m/>
    <x v="2"/>
    <n v="1"/>
    <n v="4"/>
    <m/>
    <m/>
    <m/>
    <m/>
    <m/>
    <m/>
    <m/>
    <m/>
    <m/>
    <m/>
    <m/>
    <m/>
    <m/>
    <m/>
  </r>
  <r>
    <n v="3885"/>
    <n v="54322"/>
    <d v="2005-06-25T00:00:00"/>
    <n v="20"/>
    <x v="1"/>
    <x v="1"/>
    <d v="2024-11-01T00:00:00"/>
    <n v="1.1917808219178083"/>
    <x v="54"/>
    <x v="1"/>
    <x v="10"/>
    <x v="1"/>
    <n v="10.64"/>
    <m/>
    <m/>
    <m/>
    <m/>
    <m/>
    <m/>
    <x v="1"/>
    <n v="1"/>
    <n v="5"/>
    <m/>
    <m/>
    <m/>
    <m/>
    <m/>
    <m/>
    <m/>
    <m/>
    <m/>
    <m/>
    <m/>
    <m/>
    <m/>
    <m/>
  </r>
  <r>
    <n v="3886"/>
    <n v="54323"/>
    <d v="2007-06-05T00:00:00"/>
    <n v="18"/>
    <x v="1"/>
    <x v="1"/>
    <d v="2024-10-22T00:00:00"/>
    <n v="1.7095890410958905"/>
    <x v="58"/>
    <x v="1"/>
    <x v="8"/>
    <x v="1"/>
    <n v="8.4700000000000006"/>
    <m/>
    <m/>
    <m/>
    <m/>
    <m/>
    <m/>
    <x v="1"/>
    <n v="1"/>
    <n v="6"/>
    <m/>
    <m/>
    <m/>
    <m/>
    <m/>
    <m/>
    <m/>
    <m/>
    <m/>
    <m/>
    <m/>
    <m/>
    <m/>
    <m/>
  </r>
  <r>
    <n v="3887"/>
    <n v="54324"/>
    <d v="2002-10-11T00:00:00"/>
    <n v="23"/>
    <x v="1"/>
    <x v="0"/>
    <d v="2024-04-16T00:00:00"/>
    <n v="1.6767123287671233"/>
    <x v="55"/>
    <x v="0"/>
    <x v="1"/>
    <x v="1"/>
    <n v="16.37"/>
    <m/>
    <m/>
    <m/>
    <m/>
    <m/>
    <m/>
    <x v="3"/>
    <n v="1"/>
    <n v="6"/>
    <m/>
    <m/>
    <m/>
    <m/>
    <m/>
    <m/>
    <m/>
    <m/>
    <m/>
    <m/>
    <m/>
    <m/>
    <m/>
    <m/>
  </r>
  <r>
    <n v="3888"/>
    <n v="54325"/>
    <d v="2006-12-26T00:00:00"/>
    <n v="19"/>
    <x v="1"/>
    <x v="1"/>
    <d v="2024-04-28T00:00:00"/>
    <n v="1.3917808219178083"/>
    <x v="59"/>
    <x v="0"/>
    <x v="3"/>
    <x v="1"/>
    <n v="8.4700000000000006"/>
    <m/>
    <m/>
    <m/>
    <m/>
    <m/>
    <m/>
    <x v="2"/>
    <n v="2"/>
    <n v="7"/>
    <m/>
    <m/>
    <m/>
    <m/>
    <m/>
    <m/>
    <m/>
    <m/>
    <m/>
    <m/>
    <m/>
    <m/>
    <m/>
    <m/>
  </r>
  <r>
    <n v="3889"/>
    <n v="54326"/>
    <d v="2002-09-03T00:00:00"/>
    <n v="23"/>
    <x v="0"/>
    <x v="1"/>
    <d v="2024-08-10T00:00:00"/>
    <n v="1.3205479452054794"/>
    <x v="39"/>
    <x v="1"/>
    <x v="11"/>
    <x v="1"/>
    <n v="17"/>
    <m/>
    <m/>
    <m/>
    <m/>
    <m/>
    <m/>
    <x v="4"/>
    <n v="4"/>
    <n v="7"/>
    <m/>
    <m/>
    <m/>
    <m/>
    <m/>
    <m/>
    <m/>
    <m/>
    <m/>
    <m/>
    <m/>
    <m/>
    <m/>
    <m/>
  </r>
  <r>
    <n v="3890"/>
    <n v="54327"/>
    <d v="2002-06-14T00:00:00"/>
    <n v="23"/>
    <x v="0"/>
    <x v="1"/>
    <d v="2024-09-05T00:00:00"/>
    <n v="1.0246575342465754"/>
    <x v="69"/>
    <x v="1"/>
    <x v="6"/>
    <x v="1"/>
    <n v="23.78"/>
    <m/>
    <m/>
    <m/>
    <m/>
    <m/>
    <m/>
    <x v="1"/>
    <n v="3"/>
    <n v="6"/>
    <m/>
    <m/>
    <m/>
    <m/>
    <m/>
    <m/>
    <m/>
    <m/>
    <m/>
    <m/>
    <m/>
    <m/>
    <m/>
    <m/>
  </r>
  <r>
    <n v="3891"/>
    <n v="54328"/>
    <d v="1999-03-13T00:00:00"/>
    <n v="26"/>
    <x v="1"/>
    <x v="1"/>
    <d v="2024-12-22T00:00:00"/>
    <n v="1.0136986301369864"/>
    <x v="76"/>
    <x v="1"/>
    <x v="2"/>
    <x v="1"/>
    <n v="14.23"/>
    <m/>
    <m/>
    <m/>
    <m/>
    <m/>
    <m/>
    <x v="1"/>
    <n v="0"/>
    <n v="4"/>
    <m/>
    <m/>
    <m/>
    <m/>
    <m/>
    <m/>
    <m/>
    <m/>
    <m/>
    <m/>
    <m/>
    <m/>
    <m/>
    <m/>
  </r>
  <r>
    <n v="3892"/>
    <n v="54329"/>
    <d v="2004-12-08T00:00:00"/>
    <n v="21"/>
    <x v="0"/>
    <x v="1"/>
    <d v="2024-12-26T00:00:00"/>
    <n v="1.6602739726027398"/>
    <x v="2"/>
    <x v="0"/>
    <x v="2"/>
    <x v="1"/>
    <n v="14.23"/>
    <m/>
    <m/>
    <m/>
    <m/>
    <m/>
    <m/>
    <x v="4"/>
    <n v="1"/>
    <n v="4"/>
    <m/>
    <m/>
    <m/>
    <m/>
    <m/>
    <m/>
    <m/>
    <m/>
    <m/>
    <m/>
    <m/>
    <m/>
    <m/>
    <m/>
  </r>
  <r>
    <n v="3893"/>
    <n v="54330"/>
    <d v="2001-06-18T00:00:00"/>
    <n v="24"/>
    <x v="1"/>
    <x v="1"/>
    <d v="2024-05-04T00:00:00"/>
    <n v="1.2986301369863014"/>
    <x v="2"/>
    <x v="0"/>
    <x v="8"/>
    <x v="1"/>
    <n v="8.4700000000000006"/>
    <m/>
    <m/>
    <m/>
    <m/>
    <m/>
    <m/>
    <x v="4"/>
    <n v="4"/>
    <n v="7"/>
    <m/>
    <m/>
    <m/>
    <m/>
    <m/>
    <m/>
    <m/>
    <m/>
    <m/>
    <m/>
    <m/>
    <m/>
    <m/>
    <m/>
  </r>
  <r>
    <n v="3894"/>
    <n v="54332"/>
    <d v="2003-08-23T00:00:00"/>
    <n v="22"/>
    <x v="1"/>
    <x v="1"/>
    <d v="2024-09-13T00:00:00"/>
    <n v="1.8684931506849316"/>
    <x v="7"/>
    <x v="0"/>
    <x v="8"/>
    <x v="1"/>
    <n v="8.4700000000000006"/>
    <m/>
    <m/>
    <m/>
    <m/>
    <m/>
    <m/>
    <x v="1"/>
    <n v="2"/>
    <n v="7"/>
    <m/>
    <m/>
    <m/>
    <m/>
    <m/>
    <m/>
    <m/>
    <m/>
    <m/>
    <m/>
    <m/>
    <m/>
    <m/>
    <m/>
  </r>
  <r>
    <n v="3895"/>
    <n v="54333"/>
    <d v="2005-09-07T00:00:00"/>
    <n v="20"/>
    <x v="0"/>
    <x v="1"/>
    <d v="2024-02-18T00:00:00"/>
    <n v="1.1041095890410959"/>
    <x v="10"/>
    <x v="0"/>
    <x v="9"/>
    <x v="1"/>
    <n v="14.07"/>
    <m/>
    <m/>
    <m/>
    <m/>
    <m/>
    <m/>
    <x v="2"/>
    <n v="0"/>
    <n v="4"/>
    <m/>
    <m/>
    <m/>
    <m/>
    <m/>
    <m/>
    <m/>
    <m/>
    <m/>
    <m/>
    <m/>
    <m/>
    <m/>
    <m/>
  </r>
  <r>
    <n v="3896"/>
    <n v="54334"/>
    <d v="2005-06-06T00:00:00"/>
    <n v="20"/>
    <x v="1"/>
    <x v="0"/>
    <d v="2024-11-23T00:00:00"/>
    <n v="1.7123287671232876"/>
    <x v="11"/>
    <x v="0"/>
    <x v="8"/>
    <x v="1"/>
    <n v="8.4700000000000006"/>
    <m/>
    <m/>
    <m/>
    <m/>
    <m/>
    <m/>
    <x v="4"/>
    <n v="4"/>
    <n v="5"/>
    <m/>
    <m/>
    <m/>
    <m/>
    <m/>
    <m/>
    <m/>
    <m/>
    <m/>
    <m/>
    <m/>
    <m/>
    <m/>
    <m/>
  </r>
  <r>
    <n v="3897"/>
    <n v="54335"/>
    <d v="2000-08-08T00:00:00"/>
    <n v="25"/>
    <x v="0"/>
    <x v="1"/>
    <d v="2024-04-15T00:00:00"/>
    <n v="1.7753424657534247"/>
    <x v="45"/>
    <x v="0"/>
    <x v="7"/>
    <x v="1"/>
    <n v="17.59"/>
    <m/>
    <m/>
    <m/>
    <m/>
    <m/>
    <m/>
    <x v="4"/>
    <n v="1"/>
    <n v="5"/>
    <m/>
    <m/>
    <m/>
    <m/>
    <m/>
    <m/>
    <m/>
    <m/>
    <m/>
    <m/>
    <m/>
    <m/>
    <m/>
    <m/>
  </r>
  <r>
    <n v="3898"/>
    <n v="54336"/>
    <d v="2005-07-18T00:00:00"/>
    <n v="20"/>
    <x v="0"/>
    <x v="1"/>
    <d v="2024-03-23T00:00:00"/>
    <n v="1.0767123287671232"/>
    <x v="16"/>
    <x v="0"/>
    <x v="10"/>
    <x v="1"/>
    <n v="10.64"/>
    <m/>
    <m/>
    <m/>
    <m/>
    <m/>
    <m/>
    <x v="1"/>
    <n v="0"/>
    <n v="4"/>
    <m/>
    <m/>
    <m/>
    <m/>
    <m/>
    <m/>
    <m/>
    <m/>
    <m/>
    <m/>
    <m/>
    <m/>
    <m/>
    <m/>
  </r>
  <r>
    <n v="3899"/>
    <n v="54337"/>
    <d v="2004-01-19T00:00:00"/>
    <n v="21"/>
    <x v="1"/>
    <x v="0"/>
    <d v="2024-12-03T00:00:00"/>
    <n v="1.5643835616438355"/>
    <x v="16"/>
    <x v="0"/>
    <x v="8"/>
    <x v="1"/>
    <n v="8.4700000000000006"/>
    <m/>
    <m/>
    <m/>
    <m/>
    <m/>
    <m/>
    <x v="1"/>
    <n v="2"/>
    <n v="6"/>
    <m/>
    <m/>
    <m/>
    <m/>
    <m/>
    <m/>
    <m/>
    <m/>
    <m/>
    <m/>
    <m/>
    <m/>
    <m/>
    <m/>
  </r>
  <r>
    <n v="3900"/>
    <n v="54338"/>
    <d v="2003-11-07T00:00:00"/>
    <n v="22"/>
    <x v="1"/>
    <x v="1"/>
    <d v="2024-06-08T00:00:00"/>
    <n v="1.515068493150685"/>
    <x v="18"/>
    <x v="0"/>
    <x v="3"/>
    <x v="1"/>
    <n v="8.4700000000000006"/>
    <m/>
    <m/>
    <m/>
    <m/>
    <m/>
    <m/>
    <x v="3"/>
    <n v="2"/>
    <n v="7"/>
    <m/>
    <m/>
    <m/>
    <m/>
    <m/>
    <m/>
    <m/>
    <m/>
    <m/>
    <m/>
    <m/>
    <m/>
    <m/>
    <m/>
  </r>
  <r>
    <n v="3901"/>
    <n v="54339"/>
    <d v="1998-03-16T00:00:00"/>
    <n v="27"/>
    <x v="0"/>
    <x v="0"/>
    <d v="2024-06-26T00:00:00"/>
    <n v="1.3205479452054794"/>
    <x v="88"/>
    <x v="0"/>
    <x v="7"/>
    <x v="1"/>
    <n v="17.59"/>
    <m/>
    <m/>
    <m/>
    <m/>
    <m/>
    <m/>
    <x v="3"/>
    <n v="2"/>
    <n v="5"/>
    <m/>
    <m/>
    <m/>
    <m/>
    <m/>
    <m/>
    <m/>
    <m/>
    <m/>
    <m/>
    <m/>
    <m/>
    <m/>
    <m/>
  </r>
  <r>
    <n v="3902"/>
    <n v="54340"/>
    <d v="2001-09-05T00:00:00"/>
    <n v="24"/>
    <x v="1"/>
    <x v="0"/>
    <d v="2024-09-05T00:00:00"/>
    <n v="1.2767123287671234"/>
    <x v="88"/>
    <x v="0"/>
    <x v="8"/>
    <x v="1"/>
    <n v="8.4700000000000006"/>
    <m/>
    <m/>
    <m/>
    <m/>
    <m/>
    <m/>
    <x v="2"/>
    <n v="4"/>
    <n v="5"/>
    <m/>
    <m/>
    <m/>
    <m/>
    <m/>
    <m/>
    <m/>
    <m/>
    <m/>
    <m/>
    <m/>
    <m/>
    <m/>
    <m/>
  </r>
  <r>
    <n v="3903"/>
    <n v="54341"/>
    <d v="2002-01-04T00:00:00"/>
    <n v="23"/>
    <x v="1"/>
    <x v="0"/>
    <d v="2024-09-21T00:00:00"/>
    <n v="1.3835616438356164"/>
    <x v="19"/>
    <x v="0"/>
    <x v="9"/>
    <x v="1"/>
    <n v="14.07"/>
    <m/>
    <m/>
    <m/>
    <m/>
    <m/>
    <m/>
    <x v="4"/>
    <n v="1"/>
    <n v="6"/>
    <m/>
    <m/>
    <m/>
    <m/>
    <m/>
    <m/>
    <m/>
    <m/>
    <m/>
    <m/>
    <m/>
    <m/>
    <m/>
    <m/>
  </r>
  <r>
    <n v="3904"/>
    <n v="54342"/>
    <d v="2003-02-17T00:00:00"/>
    <n v="22"/>
    <x v="1"/>
    <x v="1"/>
    <d v="2024-08-13T00:00:00"/>
    <n v="1.6219178082191781"/>
    <x v="28"/>
    <x v="0"/>
    <x v="7"/>
    <x v="1"/>
    <n v="17.59"/>
    <m/>
    <m/>
    <m/>
    <m/>
    <m/>
    <m/>
    <x v="4"/>
    <n v="2"/>
    <n v="6"/>
    <m/>
    <m/>
    <m/>
    <m/>
    <m/>
    <m/>
    <m/>
    <m/>
    <m/>
    <m/>
    <m/>
    <m/>
    <m/>
    <m/>
  </r>
  <r>
    <n v="3905"/>
    <n v="54343"/>
    <d v="1993-05-12T00:00:00"/>
    <n v="32"/>
    <x v="1"/>
    <x v="1"/>
    <d v="2024-05-18T00:00:00"/>
    <n v="1.5945205479452054"/>
    <x v="24"/>
    <x v="0"/>
    <x v="2"/>
    <x v="1"/>
    <n v="14.23"/>
    <m/>
    <m/>
    <m/>
    <m/>
    <m/>
    <m/>
    <x v="3"/>
    <n v="0"/>
    <n v="6"/>
    <m/>
    <m/>
    <m/>
    <m/>
    <m/>
    <m/>
    <m/>
    <m/>
    <m/>
    <m/>
    <m/>
    <m/>
    <m/>
    <m/>
  </r>
  <r>
    <n v="3906"/>
    <n v="54344"/>
    <d v="2002-06-11T00:00:00"/>
    <n v="23"/>
    <x v="0"/>
    <x v="0"/>
    <d v="2024-05-28T00:00:00"/>
    <n v="1.3506849315068492"/>
    <x v="139"/>
    <x v="0"/>
    <x v="7"/>
    <x v="1"/>
    <n v="17.59"/>
    <m/>
    <m/>
    <m/>
    <m/>
    <m/>
    <m/>
    <x v="2"/>
    <n v="2"/>
    <n v="3"/>
    <m/>
    <m/>
    <m/>
    <m/>
    <m/>
    <m/>
    <m/>
    <m/>
    <m/>
    <m/>
    <m/>
    <m/>
    <m/>
    <m/>
  </r>
  <r>
    <n v="3907"/>
    <n v="54345"/>
    <d v="1996-12-26T00:00:00"/>
    <n v="29"/>
    <x v="1"/>
    <x v="0"/>
    <d v="2024-08-25T00:00:00"/>
    <n v="1.0767123287671232"/>
    <x v="61"/>
    <x v="0"/>
    <x v="8"/>
    <x v="1"/>
    <n v="8.4700000000000006"/>
    <m/>
    <m/>
    <m/>
    <m/>
    <m/>
    <m/>
    <x v="1"/>
    <n v="0"/>
    <n v="6"/>
    <m/>
    <m/>
    <m/>
    <m/>
    <m/>
    <m/>
    <m/>
    <m/>
    <m/>
    <m/>
    <m/>
    <m/>
    <m/>
    <m/>
  </r>
  <r>
    <n v="3908"/>
    <n v="54347"/>
    <d v="2000-11-12T00:00:00"/>
    <n v="25"/>
    <x v="1"/>
    <x v="1"/>
    <d v="2024-12-03T00:00:00"/>
    <n v="1.8164383561643835"/>
    <x v="50"/>
    <x v="0"/>
    <x v="11"/>
    <x v="1"/>
    <n v="17"/>
    <m/>
    <m/>
    <m/>
    <m/>
    <m/>
    <m/>
    <x v="1"/>
    <n v="1"/>
    <n v="6"/>
    <m/>
    <m/>
    <m/>
    <m/>
    <m/>
    <m/>
    <m/>
    <m/>
    <m/>
    <m/>
    <m/>
    <m/>
    <m/>
    <m/>
  </r>
  <r>
    <n v="3909"/>
    <n v="54348"/>
    <d v="2003-08-08T00:00:00"/>
    <n v="22"/>
    <x v="1"/>
    <x v="1"/>
    <d v="2024-03-08T00:00:00"/>
    <n v="1.7780821917808218"/>
    <x v="50"/>
    <x v="0"/>
    <x v="10"/>
    <x v="1"/>
    <n v="10.64"/>
    <m/>
    <m/>
    <m/>
    <m/>
    <m/>
    <m/>
    <x v="2"/>
    <n v="1"/>
    <n v="6"/>
    <m/>
    <m/>
    <m/>
    <m/>
    <m/>
    <m/>
    <m/>
    <m/>
    <m/>
    <m/>
    <m/>
    <m/>
    <m/>
    <m/>
  </r>
  <r>
    <n v="3910"/>
    <n v="54349"/>
    <d v="2005-02-01T00:00:00"/>
    <n v="21"/>
    <x v="0"/>
    <x v="1"/>
    <d v="2024-03-22T00:00:00"/>
    <n v="1.1506849315068493"/>
    <x v="138"/>
    <x v="0"/>
    <x v="10"/>
    <x v="1"/>
    <n v="10.64"/>
    <m/>
    <m/>
    <m/>
    <m/>
    <m/>
    <m/>
    <x v="3"/>
    <n v="0"/>
    <n v="4"/>
    <m/>
    <m/>
    <m/>
    <m/>
    <m/>
    <m/>
    <m/>
    <m/>
    <m/>
    <m/>
    <m/>
    <m/>
    <m/>
    <m/>
  </r>
  <r>
    <n v="3911"/>
    <n v="54350"/>
    <d v="2002-09-06T00:00:00"/>
    <n v="23"/>
    <x v="1"/>
    <x v="1"/>
    <d v="2024-11-06T00:00:00"/>
    <n v="1.4904109589041097"/>
    <x v="102"/>
    <x v="0"/>
    <x v="11"/>
    <x v="1"/>
    <n v="17"/>
    <m/>
    <m/>
    <m/>
    <m/>
    <m/>
    <m/>
    <x v="3"/>
    <n v="1"/>
    <n v="5"/>
    <m/>
    <m/>
    <m/>
    <m/>
    <m/>
    <m/>
    <m/>
    <m/>
    <m/>
    <m/>
    <m/>
    <m/>
    <m/>
    <m/>
  </r>
  <r>
    <n v="3912"/>
    <n v="54351"/>
    <d v="2004-09-14T00:00:00"/>
    <n v="21"/>
    <x v="1"/>
    <x v="1"/>
    <d v="2024-07-05T00:00:00"/>
    <n v="1.8712328767123287"/>
    <x v="36"/>
    <x v="0"/>
    <x v="8"/>
    <x v="1"/>
    <n v="8.4700000000000006"/>
    <m/>
    <m/>
    <m/>
    <m/>
    <m/>
    <m/>
    <x v="4"/>
    <n v="2"/>
    <n v="7"/>
    <m/>
    <m/>
    <m/>
    <m/>
    <m/>
    <m/>
    <m/>
    <m/>
    <m/>
    <m/>
    <m/>
    <m/>
    <m/>
    <m/>
  </r>
  <r>
    <n v="3913"/>
    <n v="54352"/>
    <d v="1992-07-18T00:00:00"/>
    <n v="33"/>
    <x v="0"/>
    <x v="0"/>
    <d v="2024-02-17T00:00:00"/>
    <n v="1.3808219178082193"/>
    <x v="144"/>
    <x v="0"/>
    <x v="2"/>
    <x v="1"/>
    <n v="14.23"/>
    <m/>
    <m/>
    <m/>
    <m/>
    <m/>
    <m/>
    <x v="4"/>
    <n v="1"/>
    <n v="4"/>
    <m/>
    <m/>
    <m/>
    <m/>
    <m/>
    <m/>
    <m/>
    <m/>
    <m/>
    <m/>
    <m/>
    <m/>
    <m/>
    <m/>
  </r>
  <r>
    <n v="3914"/>
    <n v="54353"/>
    <d v="1999-03-02T00:00:00"/>
    <n v="26"/>
    <x v="1"/>
    <x v="1"/>
    <d v="2024-08-14T00:00:00"/>
    <n v="1.2712328767123289"/>
    <x v="77"/>
    <x v="0"/>
    <x v="7"/>
    <x v="1"/>
    <n v="17.59"/>
    <m/>
    <m/>
    <m/>
    <m/>
    <m/>
    <m/>
    <x v="1"/>
    <n v="2"/>
    <n v="5"/>
    <m/>
    <m/>
    <m/>
    <m/>
    <m/>
    <m/>
    <m/>
    <m/>
    <m/>
    <m/>
    <m/>
    <m/>
    <m/>
    <m/>
  </r>
  <r>
    <n v="3915"/>
    <n v="54354"/>
    <d v="2001-11-03T00:00:00"/>
    <n v="24"/>
    <x v="1"/>
    <x v="1"/>
    <d v="2024-09-23T00:00:00"/>
    <n v="1.4164383561643836"/>
    <x v="106"/>
    <x v="1"/>
    <x v="8"/>
    <x v="1"/>
    <n v="8.4700000000000006"/>
    <m/>
    <m/>
    <m/>
    <m/>
    <m/>
    <m/>
    <x v="2"/>
    <n v="0"/>
    <n v="6"/>
    <m/>
    <m/>
    <m/>
    <m/>
    <m/>
    <m/>
    <m/>
    <m/>
    <m/>
    <m/>
    <m/>
    <m/>
    <m/>
    <m/>
  </r>
  <r>
    <n v="3916"/>
    <n v="54355"/>
    <d v="1992-12-27T00:00:00"/>
    <n v="33"/>
    <x v="0"/>
    <x v="1"/>
    <d v="2024-08-01T00:00:00"/>
    <n v="1.0410958904109588"/>
    <x v="8"/>
    <x v="1"/>
    <x v="11"/>
    <x v="1"/>
    <n v="17"/>
    <m/>
    <m/>
    <m/>
    <m/>
    <m/>
    <m/>
    <x v="1"/>
    <n v="2"/>
    <n v="6"/>
    <m/>
    <m/>
    <m/>
    <m/>
    <m/>
    <m/>
    <m/>
    <m/>
    <m/>
    <m/>
    <m/>
    <m/>
    <m/>
    <m/>
  </r>
  <r>
    <n v="3917"/>
    <n v="54356"/>
    <d v="2003-04-01T00:00:00"/>
    <n v="23"/>
    <x v="1"/>
    <x v="1"/>
    <d v="2024-12-16T00:00:00"/>
    <n v="1.2164383561643837"/>
    <x v="8"/>
    <x v="1"/>
    <x v="10"/>
    <x v="1"/>
    <n v="10.64"/>
    <m/>
    <m/>
    <m/>
    <m/>
    <m/>
    <m/>
    <x v="1"/>
    <n v="0"/>
    <n v="6"/>
    <m/>
    <m/>
    <m/>
    <m/>
    <m/>
    <m/>
    <m/>
    <m/>
    <m/>
    <m/>
    <m/>
    <m/>
    <m/>
    <m/>
  </r>
  <r>
    <n v="3918"/>
    <n v="54357"/>
    <d v="1993-09-16T00:00:00"/>
    <n v="32"/>
    <x v="0"/>
    <x v="1"/>
    <d v="2024-10-13T00:00:00"/>
    <n v="1.5013698630136987"/>
    <x v="54"/>
    <x v="1"/>
    <x v="2"/>
    <x v="1"/>
    <n v="14.23"/>
    <m/>
    <m/>
    <m/>
    <m/>
    <m/>
    <m/>
    <x v="2"/>
    <n v="1"/>
    <n v="4"/>
    <m/>
    <m/>
    <m/>
    <m/>
    <m/>
    <m/>
    <m/>
    <m/>
    <m/>
    <m/>
    <m/>
    <m/>
    <m/>
    <m/>
  </r>
  <r>
    <n v="3919"/>
    <n v="54358"/>
    <d v="2004-03-12T00:00:00"/>
    <n v="21"/>
    <x v="1"/>
    <x v="0"/>
    <d v="2024-07-01T00:00:00"/>
    <n v="1.5452054794520549"/>
    <x v="117"/>
    <x v="1"/>
    <x v="10"/>
    <x v="1"/>
    <n v="10.64"/>
    <m/>
    <m/>
    <m/>
    <m/>
    <m/>
    <m/>
    <x v="2"/>
    <n v="1"/>
    <n v="6"/>
    <m/>
    <m/>
    <m/>
    <m/>
    <m/>
    <m/>
    <m/>
    <m/>
    <m/>
    <m/>
    <m/>
    <m/>
    <m/>
    <m/>
  </r>
  <r>
    <n v="3920"/>
    <n v="54359"/>
    <d v="2003-04-22T00:00:00"/>
    <n v="22"/>
    <x v="1"/>
    <x v="0"/>
    <d v="2024-06-15T00:00:00"/>
    <n v="1.4082191780821918"/>
    <x v="65"/>
    <x v="1"/>
    <x v="8"/>
    <x v="1"/>
    <n v="8.4700000000000006"/>
    <m/>
    <m/>
    <m/>
    <m/>
    <m/>
    <m/>
    <x v="4"/>
    <n v="3"/>
    <n v="6"/>
    <m/>
    <m/>
    <m/>
    <m/>
    <m/>
    <m/>
    <m/>
    <m/>
    <m/>
    <m/>
    <m/>
    <m/>
    <m/>
    <m/>
  </r>
  <r>
    <n v="3921"/>
    <n v="54360"/>
    <d v="1998-11-26T00:00:00"/>
    <n v="27"/>
    <x v="0"/>
    <x v="1"/>
    <d v="2024-08-04T00:00:00"/>
    <n v="1.5534246575342465"/>
    <x v="70"/>
    <x v="1"/>
    <x v="11"/>
    <x v="1"/>
    <n v="17"/>
    <m/>
    <m/>
    <m/>
    <m/>
    <m/>
    <m/>
    <x v="2"/>
    <n v="2"/>
    <n v="3"/>
    <m/>
    <m/>
    <m/>
    <m/>
    <m/>
    <m/>
    <m/>
    <m/>
    <m/>
    <m/>
    <m/>
    <m/>
    <m/>
    <m/>
  </r>
  <r>
    <n v="3922"/>
    <n v="54361"/>
    <d v="2006-02-25T00:00:00"/>
    <n v="19"/>
    <x v="0"/>
    <x v="1"/>
    <d v="2024-06-12T00:00:00"/>
    <n v="1.2986301369863014"/>
    <x v="134"/>
    <x v="1"/>
    <x v="8"/>
    <x v="1"/>
    <n v="8.4700000000000006"/>
    <m/>
    <m/>
    <m/>
    <m/>
    <m/>
    <m/>
    <x v="1"/>
    <n v="4"/>
    <n v="3"/>
    <m/>
    <m/>
    <m/>
    <m/>
    <m/>
    <m/>
    <m/>
    <m/>
    <m/>
    <m/>
    <m/>
    <m/>
    <m/>
    <m/>
  </r>
  <r>
    <n v="3923"/>
    <n v="54362"/>
    <d v="2001-10-10T00:00:00"/>
    <n v="24"/>
    <x v="1"/>
    <x v="1"/>
    <d v="2024-09-13T00:00:00"/>
    <n v="1.189041095890411"/>
    <x v="101"/>
    <x v="1"/>
    <x v="8"/>
    <x v="1"/>
    <n v="8.4700000000000006"/>
    <m/>
    <m/>
    <m/>
    <m/>
    <m/>
    <m/>
    <x v="2"/>
    <n v="3"/>
    <n v="6"/>
    <m/>
    <m/>
    <m/>
    <m/>
    <m/>
    <m/>
    <m/>
    <m/>
    <m/>
    <m/>
    <m/>
    <m/>
    <m/>
    <m/>
  </r>
  <r>
    <n v="3924"/>
    <n v="54363"/>
    <d v="2004-07-08T00:00:00"/>
    <n v="21"/>
    <x v="1"/>
    <x v="0"/>
    <d v="2024-10-23T00:00:00"/>
    <n v="1.6684931506849314"/>
    <x v="33"/>
    <x v="0"/>
    <x v="8"/>
    <x v="1"/>
    <n v="8.4700000000000006"/>
    <m/>
    <m/>
    <m/>
    <m/>
    <m/>
    <m/>
    <x v="4"/>
    <n v="4"/>
    <n v="6"/>
    <m/>
    <m/>
    <m/>
    <m/>
    <m/>
    <m/>
    <m/>
    <m/>
    <m/>
    <m/>
    <m/>
    <m/>
    <m/>
    <m/>
  </r>
  <r>
    <n v="3925"/>
    <n v="54364"/>
    <d v="2001-09-27T00:00:00"/>
    <n v="24"/>
    <x v="0"/>
    <x v="1"/>
    <d v="2024-05-01T00:00:00"/>
    <n v="1.0438356164383562"/>
    <x v="50"/>
    <x v="0"/>
    <x v="11"/>
    <x v="1"/>
    <n v="17"/>
    <m/>
    <m/>
    <m/>
    <m/>
    <m/>
    <m/>
    <x v="3"/>
    <n v="2"/>
    <n v="4"/>
    <m/>
    <m/>
    <m/>
    <m/>
    <m/>
    <m/>
    <m/>
    <m/>
    <m/>
    <m/>
    <m/>
    <m/>
    <m/>
    <m/>
  </r>
  <r>
    <n v="3926"/>
    <n v="54366"/>
    <d v="2007-11-06T00:00:00"/>
    <n v="18"/>
    <x v="1"/>
    <x v="0"/>
    <d v="2024-12-15T00:00:00"/>
    <n v="1.5424657534246575"/>
    <x v="138"/>
    <x v="0"/>
    <x v="3"/>
    <x v="1"/>
    <n v="8.4700000000000006"/>
    <m/>
    <m/>
    <m/>
    <m/>
    <m/>
    <m/>
    <x v="2"/>
    <n v="1"/>
    <n v="5"/>
    <m/>
    <m/>
    <m/>
    <m/>
    <m/>
    <m/>
    <m/>
    <m/>
    <m/>
    <m/>
    <m/>
    <m/>
    <m/>
    <m/>
  </r>
  <r>
    <n v="3927"/>
    <n v="54367"/>
    <d v="1984-12-26T00:00:00"/>
    <n v="41"/>
    <x v="1"/>
    <x v="1"/>
    <d v="2024-06-16T00:00:00"/>
    <n v="1.1534246575342466"/>
    <x v="8"/>
    <x v="1"/>
    <x v="6"/>
    <x v="1"/>
    <n v="23.78"/>
    <m/>
    <m/>
    <m/>
    <m/>
    <m/>
    <m/>
    <x v="3"/>
    <n v="5"/>
    <n v="7"/>
    <m/>
    <m/>
    <m/>
    <m/>
    <m/>
    <m/>
    <m/>
    <m/>
    <m/>
    <m/>
    <m/>
    <m/>
    <m/>
    <m/>
  </r>
  <r>
    <n v="3928"/>
    <n v="54368"/>
    <d v="2003-06-07T00:00:00"/>
    <n v="22"/>
    <x v="0"/>
    <x v="1"/>
    <d v="2024-11-05T00:00:00"/>
    <n v="1.1397260273972603"/>
    <x v="91"/>
    <x v="1"/>
    <x v="2"/>
    <x v="1"/>
    <n v="14.23"/>
    <m/>
    <m/>
    <m/>
    <m/>
    <m/>
    <m/>
    <x v="2"/>
    <n v="0"/>
    <n v="4"/>
    <m/>
    <m/>
    <m/>
    <m/>
    <m/>
    <m/>
    <m/>
    <m/>
    <m/>
    <m/>
    <m/>
    <m/>
    <m/>
    <m/>
  </r>
  <r>
    <n v="3929"/>
    <n v="54370"/>
    <d v="1995-09-27T00:00:00"/>
    <n v="30"/>
    <x v="1"/>
    <x v="1"/>
    <d v="2024-11-10T00:00:00"/>
    <n v="1.7643835616438357"/>
    <x v="82"/>
    <x v="0"/>
    <x v="7"/>
    <x v="1"/>
    <n v="17.59"/>
    <m/>
    <m/>
    <m/>
    <m/>
    <m/>
    <m/>
    <x v="2"/>
    <n v="2"/>
    <n v="5"/>
    <m/>
    <m/>
    <m/>
    <m/>
    <m/>
    <m/>
    <m/>
    <m/>
    <m/>
    <m/>
    <m/>
    <m/>
    <m/>
    <m/>
  </r>
  <r>
    <n v="3930"/>
    <n v="54371"/>
    <d v="1996-10-04T00:00:00"/>
    <n v="29"/>
    <x v="1"/>
    <x v="1"/>
    <d v="2024-03-27T00:00:00"/>
    <n v="1.5534246575342465"/>
    <x v="18"/>
    <x v="0"/>
    <x v="11"/>
    <x v="1"/>
    <n v="17"/>
    <m/>
    <m/>
    <m/>
    <m/>
    <m/>
    <m/>
    <x v="1"/>
    <n v="0"/>
    <n v="5"/>
    <m/>
    <m/>
    <m/>
    <m/>
    <m/>
    <m/>
    <m/>
    <m/>
    <m/>
    <m/>
    <m/>
    <m/>
    <m/>
    <m/>
  </r>
  <r>
    <n v="3931"/>
    <n v="54372"/>
    <d v="2004-05-26T00:00:00"/>
    <n v="21"/>
    <x v="0"/>
    <x v="0"/>
    <d v="2024-06-12T00:00:00"/>
    <n v="1.2301369863013698"/>
    <x v="27"/>
    <x v="0"/>
    <x v="10"/>
    <x v="1"/>
    <n v="10.64"/>
    <m/>
    <m/>
    <m/>
    <m/>
    <m/>
    <m/>
    <x v="2"/>
    <n v="1"/>
    <n v="3"/>
    <m/>
    <m/>
    <m/>
    <m/>
    <m/>
    <m/>
    <m/>
    <m/>
    <m/>
    <m/>
    <m/>
    <m/>
    <m/>
    <m/>
  </r>
  <r>
    <n v="3932"/>
    <n v="54373"/>
    <d v="2002-05-06T00:00:00"/>
    <n v="23"/>
    <x v="1"/>
    <x v="1"/>
    <d v="2024-10-08T00:00:00"/>
    <n v="1.2794520547945205"/>
    <x v="49"/>
    <x v="0"/>
    <x v="3"/>
    <x v="1"/>
    <n v="8.4700000000000006"/>
    <m/>
    <m/>
    <m/>
    <m/>
    <m/>
    <m/>
    <x v="4"/>
    <n v="4"/>
    <n v="7"/>
    <m/>
    <m/>
    <m/>
    <m/>
    <m/>
    <m/>
    <m/>
    <m/>
    <m/>
    <m/>
    <m/>
    <m/>
    <m/>
    <m/>
  </r>
  <r>
    <n v="3933"/>
    <n v="54374"/>
    <d v="2000-05-06T00:00:00"/>
    <n v="25"/>
    <x v="1"/>
    <x v="1"/>
    <d v="2024-09-20T00:00:00"/>
    <n v="1.0904109589041096"/>
    <x v="33"/>
    <x v="0"/>
    <x v="8"/>
    <x v="1"/>
    <n v="8.4700000000000006"/>
    <m/>
    <m/>
    <m/>
    <m/>
    <m/>
    <m/>
    <x v="3"/>
    <n v="0"/>
    <n v="6"/>
    <m/>
    <m/>
    <m/>
    <m/>
    <m/>
    <m/>
    <m/>
    <m/>
    <m/>
    <m/>
    <m/>
    <m/>
    <m/>
    <m/>
  </r>
  <r>
    <n v="3934"/>
    <n v="54375"/>
    <d v="2001-04-12T00:00:00"/>
    <n v="24"/>
    <x v="1"/>
    <x v="1"/>
    <d v="2024-11-28T00:00:00"/>
    <n v="1.2904109589041095"/>
    <x v="143"/>
    <x v="0"/>
    <x v="2"/>
    <x v="1"/>
    <n v="14.23"/>
    <m/>
    <m/>
    <m/>
    <m/>
    <m/>
    <m/>
    <x v="2"/>
    <n v="0"/>
    <n v="5"/>
    <m/>
    <m/>
    <m/>
    <m/>
    <m/>
    <m/>
    <m/>
    <m/>
    <m/>
    <m/>
    <m/>
    <m/>
    <m/>
    <m/>
  </r>
  <r>
    <n v="3935"/>
    <n v="54376"/>
    <d v="1996-04-25T00:00:00"/>
    <n v="29"/>
    <x v="1"/>
    <x v="1"/>
    <d v="2024-09-16T00:00:00"/>
    <n v="1.4712328767123288"/>
    <x v="77"/>
    <x v="0"/>
    <x v="7"/>
    <x v="1"/>
    <n v="17.59"/>
    <m/>
    <m/>
    <m/>
    <m/>
    <m/>
    <m/>
    <x v="3"/>
    <n v="2"/>
    <n v="5"/>
    <m/>
    <m/>
    <m/>
    <m/>
    <m/>
    <m/>
    <m/>
    <m/>
    <m/>
    <m/>
    <m/>
    <m/>
    <m/>
    <m/>
  </r>
  <r>
    <n v="3936"/>
    <n v="54377"/>
    <d v="1992-09-27T00:00:00"/>
    <n v="33"/>
    <x v="0"/>
    <x v="1"/>
    <d v="2024-07-12T00:00:00"/>
    <n v="1.5561643835616439"/>
    <x v="97"/>
    <x v="1"/>
    <x v="7"/>
    <x v="1"/>
    <n v="17.59"/>
    <m/>
    <m/>
    <m/>
    <m/>
    <m/>
    <m/>
    <x v="4"/>
    <n v="2"/>
    <n v="4"/>
    <m/>
    <m/>
    <m/>
    <m/>
    <m/>
    <m/>
    <m/>
    <m/>
    <m/>
    <m/>
    <m/>
    <m/>
    <m/>
    <m/>
  </r>
  <r>
    <n v="3937"/>
    <n v="54378"/>
    <d v="1990-12-17T00:00:00"/>
    <n v="35"/>
    <x v="0"/>
    <x v="1"/>
    <d v="2024-06-11T00:00:00"/>
    <n v="1.5890410958904109"/>
    <x v="62"/>
    <x v="1"/>
    <x v="7"/>
    <x v="1"/>
    <n v="17.59"/>
    <m/>
    <m/>
    <m/>
    <m/>
    <m/>
    <m/>
    <x v="4"/>
    <n v="4"/>
    <n v="4"/>
    <m/>
    <m/>
    <m/>
    <m/>
    <m/>
    <m/>
    <m/>
    <m/>
    <m/>
    <m/>
    <m/>
    <m/>
    <m/>
    <m/>
  </r>
  <r>
    <n v="3938"/>
    <n v="54379"/>
    <d v="2004-06-16T00:00:00"/>
    <n v="21"/>
    <x v="1"/>
    <x v="1"/>
    <d v="2024-05-30T00:00:00"/>
    <n v="1.3589041095890411"/>
    <x v="117"/>
    <x v="1"/>
    <x v="1"/>
    <x v="1"/>
    <n v="16.37"/>
    <m/>
    <m/>
    <m/>
    <m/>
    <m/>
    <m/>
    <x v="3"/>
    <n v="2"/>
    <n v="7"/>
    <m/>
    <m/>
    <m/>
    <m/>
    <m/>
    <m/>
    <m/>
    <m/>
    <m/>
    <m/>
    <m/>
    <m/>
    <m/>
    <m/>
  </r>
  <r>
    <n v="3939"/>
    <n v="54380"/>
    <d v="2007-12-16T00:00:00"/>
    <n v="18"/>
    <x v="1"/>
    <x v="1"/>
    <d v="2024-08-22T00:00:00"/>
    <n v="1.810958904109589"/>
    <x v="64"/>
    <x v="1"/>
    <x v="8"/>
    <x v="1"/>
    <n v="8.4700000000000006"/>
    <m/>
    <m/>
    <m/>
    <m/>
    <m/>
    <m/>
    <x v="3"/>
    <n v="4"/>
    <n v="7"/>
    <m/>
    <m/>
    <m/>
    <m/>
    <m/>
    <m/>
    <m/>
    <m/>
    <m/>
    <m/>
    <m/>
    <m/>
    <m/>
    <m/>
  </r>
  <r>
    <n v="3940"/>
    <n v="54381"/>
    <d v="2004-12-28T00:00:00"/>
    <n v="21"/>
    <x v="1"/>
    <x v="1"/>
    <d v="2024-03-10T00:00:00"/>
    <n v="1.6904109589041096"/>
    <x v="66"/>
    <x v="1"/>
    <x v="1"/>
    <x v="1"/>
    <n v="16.37"/>
    <m/>
    <m/>
    <m/>
    <m/>
    <m/>
    <m/>
    <x v="2"/>
    <n v="0"/>
    <n v="6"/>
    <m/>
    <m/>
    <m/>
    <m/>
    <m/>
    <m/>
    <m/>
    <m/>
    <m/>
    <m/>
    <m/>
    <m/>
    <m/>
    <m/>
  </r>
  <r>
    <n v="3941"/>
    <n v="54382"/>
    <d v="2003-12-10T00:00:00"/>
    <n v="22"/>
    <x v="1"/>
    <x v="1"/>
    <d v="2024-04-23T00:00:00"/>
    <n v="1.2383561643835617"/>
    <x v="101"/>
    <x v="1"/>
    <x v="1"/>
    <x v="1"/>
    <n v="16.37"/>
    <m/>
    <m/>
    <m/>
    <m/>
    <m/>
    <m/>
    <x v="1"/>
    <n v="1"/>
    <n v="7"/>
    <m/>
    <m/>
    <m/>
    <m/>
    <m/>
    <m/>
    <m/>
    <m/>
    <m/>
    <m/>
    <m/>
    <m/>
    <m/>
    <m/>
  </r>
  <r>
    <n v="3942"/>
    <n v="54383"/>
    <d v="1996-10-30T00:00:00"/>
    <n v="29"/>
    <x v="0"/>
    <x v="1"/>
    <d v="2024-10-05T00:00:00"/>
    <n v="1.5643835616438355"/>
    <x v="98"/>
    <x v="1"/>
    <x v="11"/>
    <x v="1"/>
    <n v="17"/>
    <m/>
    <m/>
    <m/>
    <m/>
    <m/>
    <m/>
    <x v="4"/>
    <n v="4"/>
    <n v="5"/>
    <m/>
    <m/>
    <m/>
    <m/>
    <m/>
    <m/>
    <m/>
    <m/>
    <m/>
    <m/>
    <m/>
    <m/>
    <m/>
    <m/>
  </r>
  <r>
    <n v="3943"/>
    <n v="54384"/>
    <d v="1999-12-28T00:00:00"/>
    <n v="26"/>
    <x v="1"/>
    <x v="1"/>
    <d v="2024-06-08T00:00:00"/>
    <n v="1.1150684931506849"/>
    <x v="4"/>
    <x v="0"/>
    <x v="7"/>
    <x v="1"/>
    <n v="17.59"/>
    <m/>
    <m/>
    <m/>
    <m/>
    <m/>
    <m/>
    <x v="1"/>
    <n v="2"/>
    <n v="6"/>
    <m/>
    <m/>
    <m/>
    <m/>
    <m/>
    <m/>
    <m/>
    <m/>
    <m/>
    <m/>
    <m/>
    <m/>
    <m/>
    <m/>
  </r>
  <r>
    <n v="3944"/>
    <n v="54385"/>
    <d v="2005-01-28T00:00:00"/>
    <n v="20"/>
    <x v="1"/>
    <x v="0"/>
    <d v="2024-11-19T00:00:00"/>
    <n v="1.6383561643835616"/>
    <x v="7"/>
    <x v="0"/>
    <x v="10"/>
    <x v="1"/>
    <n v="10.64"/>
    <m/>
    <m/>
    <m/>
    <m/>
    <m/>
    <m/>
    <x v="2"/>
    <n v="0"/>
    <n v="5"/>
    <m/>
    <m/>
    <m/>
    <m/>
    <m/>
    <m/>
    <m/>
    <m/>
    <m/>
    <m/>
    <m/>
    <m/>
    <m/>
    <m/>
  </r>
  <r>
    <n v="3945"/>
    <n v="54386"/>
    <d v="2003-04-10T00:00:00"/>
    <n v="22"/>
    <x v="1"/>
    <x v="1"/>
    <d v="2024-05-12T00:00:00"/>
    <n v="1.1945205479452055"/>
    <x v="124"/>
    <x v="0"/>
    <x v="3"/>
    <x v="1"/>
    <n v="8.4700000000000006"/>
    <m/>
    <m/>
    <m/>
    <m/>
    <m/>
    <m/>
    <x v="2"/>
    <n v="3"/>
    <n v="6"/>
    <m/>
    <m/>
    <m/>
    <m/>
    <m/>
    <m/>
    <m/>
    <m/>
    <m/>
    <m/>
    <m/>
    <m/>
    <m/>
    <m/>
  </r>
  <r>
    <n v="3946"/>
    <n v="54389"/>
    <d v="1998-04-29T00:00:00"/>
    <n v="27"/>
    <x v="1"/>
    <x v="1"/>
    <d v="2024-10-21T00:00:00"/>
    <n v="1.8246575342465754"/>
    <x v="25"/>
    <x v="0"/>
    <x v="7"/>
    <x v="1"/>
    <n v="17.59"/>
    <m/>
    <m/>
    <m/>
    <m/>
    <m/>
    <m/>
    <x v="1"/>
    <n v="2"/>
    <n v="5"/>
    <m/>
    <m/>
    <m/>
    <m/>
    <m/>
    <m/>
    <m/>
    <m/>
    <m/>
    <m/>
    <m/>
    <m/>
    <m/>
    <m/>
  </r>
  <r>
    <n v="3947"/>
    <n v="54390"/>
    <d v="2006-05-01T00:00:00"/>
    <n v="20"/>
    <x v="0"/>
    <x v="1"/>
    <d v="2024-03-05T00:00:00"/>
    <n v="1.5178082191780822"/>
    <x v="63"/>
    <x v="0"/>
    <x v="10"/>
    <x v="1"/>
    <n v="10.64"/>
    <m/>
    <m/>
    <m/>
    <m/>
    <m/>
    <m/>
    <x v="2"/>
    <n v="0"/>
    <n v="4"/>
    <m/>
    <m/>
    <m/>
    <m/>
    <m/>
    <m/>
    <m/>
    <m/>
    <m/>
    <m/>
    <m/>
    <m/>
    <m/>
    <m/>
  </r>
  <r>
    <n v="3948"/>
    <n v="54391"/>
    <d v="2001-05-24T00:00:00"/>
    <n v="24"/>
    <x v="1"/>
    <x v="1"/>
    <d v="2024-06-25T00:00:00"/>
    <n v="1.8547945205479452"/>
    <x v="63"/>
    <x v="0"/>
    <x v="7"/>
    <x v="1"/>
    <n v="17.59"/>
    <m/>
    <m/>
    <m/>
    <m/>
    <m/>
    <m/>
    <x v="1"/>
    <n v="0"/>
    <n v="6"/>
    <m/>
    <m/>
    <m/>
    <m/>
    <m/>
    <m/>
    <m/>
    <m/>
    <m/>
    <m/>
    <m/>
    <m/>
    <m/>
    <m/>
  </r>
  <r>
    <n v="3949"/>
    <n v="54392"/>
    <d v="2003-03-12T00:00:00"/>
    <n v="22"/>
    <x v="0"/>
    <x v="1"/>
    <d v="2024-02-23T00:00:00"/>
    <n v="1.726027397260274"/>
    <x v="136"/>
    <x v="0"/>
    <x v="10"/>
    <x v="1"/>
    <n v="10.64"/>
    <m/>
    <m/>
    <m/>
    <m/>
    <m/>
    <m/>
    <x v="1"/>
    <n v="0"/>
    <n v="3"/>
    <m/>
    <m/>
    <m/>
    <m/>
    <m/>
    <m/>
    <m/>
    <m/>
    <m/>
    <m/>
    <m/>
    <m/>
    <m/>
    <m/>
  </r>
  <r>
    <n v="3950"/>
    <n v="54393"/>
    <d v="2007-08-14T00:00:00"/>
    <n v="18"/>
    <x v="1"/>
    <x v="1"/>
    <d v="2024-04-10T00:00:00"/>
    <n v="1.5808219178082192"/>
    <x v="136"/>
    <x v="0"/>
    <x v="3"/>
    <x v="1"/>
    <n v="8.4700000000000006"/>
    <m/>
    <m/>
    <m/>
    <m/>
    <m/>
    <m/>
    <x v="1"/>
    <n v="4"/>
    <n v="7"/>
    <m/>
    <m/>
    <m/>
    <m/>
    <m/>
    <m/>
    <m/>
    <m/>
    <m/>
    <m/>
    <m/>
    <m/>
    <m/>
    <m/>
  </r>
  <r>
    <n v="3951"/>
    <n v="54394"/>
    <d v="2007-06-20T00:00:00"/>
    <n v="18"/>
    <x v="1"/>
    <x v="1"/>
    <d v="2024-06-02T00:00:00"/>
    <n v="1.7095890410958905"/>
    <x v="136"/>
    <x v="0"/>
    <x v="8"/>
    <x v="1"/>
    <n v="8.4700000000000006"/>
    <m/>
    <m/>
    <m/>
    <m/>
    <m/>
    <m/>
    <x v="1"/>
    <n v="2"/>
    <n v="7"/>
    <m/>
    <m/>
    <m/>
    <m/>
    <m/>
    <m/>
    <m/>
    <m/>
    <m/>
    <m/>
    <m/>
    <m/>
    <m/>
    <m/>
  </r>
  <r>
    <n v="3952"/>
    <n v="54395"/>
    <d v="1999-02-17T00:00:00"/>
    <n v="26"/>
    <x v="0"/>
    <x v="1"/>
    <d v="2024-04-16T00:00:00"/>
    <n v="1.0082191780821919"/>
    <x v="143"/>
    <x v="0"/>
    <x v="7"/>
    <x v="1"/>
    <n v="17.59"/>
    <m/>
    <m/>
    <m/>
    <m/>
    <m/>
    <m/>
    <x v="1"/>
    <n v="2"/>
    <n v="6"/>
    <m/>
    <m/>
    <m/>
    <m/>
    <m/>
    <m/>
    <m/>
    <m/>
    <m/>
    <m/>
    <m/>
    <m/>
    <m/>
    <m/>
  </r>
  <r>
    <n v="3953"/>
    <n v="54396"/>
    <d v="2006-06-20T00:00:00"/>
    <n v="19"/>
    <x v="1"/>
    <x v="1"/>
    <d v="2024-12-28T00:00:00"/>
    <n v="1.6219178082191781"/>
    <x v="90"/>
    <x v="1"/>
    <x v="8"/>
    <x v="1"/>
    <n v="8.4700000000000006"/>
    <m/>
    <m/>
    <m/>
    <m/>
    <m/>
    <m/>
    <x v="3"/>
    <n v="2"/>
    <n v="7"/>
    <m/>
    <m/>
    <m/>
    <m/>
    <m/>
    <m/>
    <m/>
    <m/>
    <m/>
    <m/>
    <m/>
    <m/>
    <m/>
    <m/>
  </r>
  <r>
    <n v="3954"/>
    <n v="54397"/>
    <d v="1997-02-03T00:00:00"/>
    <n v="28"/>
    <x v="0"/>
    <x v="1"/>
    <d v="2024-05-18T00:00:00"/>
    <n v="1.3917808219178083"/>
    <x v="120"/>
    <x v="1"/>
    <x v="6"/>
    <x v="1"/>
    <n v="23.78"/>
    <m/>
    <m/>
    <m/>
    <m/>
    <m/>
    <m/>
    <x v="4"/>
    <n v="4"/>
    <n v="4"/>
    <m/>
    <m/>
    <m/>
    <m/>
    <m/>
    <m/>
    <m/>
    <m/>
    <m/>
    <m/>
    <m/>
    <m/>
    <m/>
    <m/>
  </r>
  <r>
    <n v="3955"/>
    <n v="54398"/>
    <d v="1995-08-01T00:00:00"/>
    <n v="31"/>
    <x v="0"/>
    <x v="1"/>
    <d v="2024-08-10T00:00:00"/>
    <n v="1.7397260273972603"/>
    <x v="9"/>
    <x v="1"/>
    <x v="7"/>
    <x v="1"/>
    <n v="17.59"/>
    <m/>
    <m/>
    <m/>
    <m/>
    <m/>
    <m/>
    <x v="3"/>
    <n v="2"/>
    <n v="4"/>
    <m/>
    <m/>
    <m/>
    <m/>
    <m/>
    <m/>
    <m/>
    <m/>
    <m/>
    <m/>
    <m/>
    <m/>
    <m/>
    <m/>
  </r>
  <r>
    <n v="3956"/>
    <n v="54399"/>
    <d v="2007-04-02T00:00:00"/>
    <n v="18"/>
    <x v="0"/>
    <x v="1"/>
    <d v="2024-04-05T00:00:00"/>
    <n v="1.7863013698630137"/>
    <x v="105"/>
    <x v="1"/>
    <x v="8"/>
    <x v="1"/>
    <n v="8.4700000000000006"/>
    <m/>
    <m/>
    <m/>
    <m/>
    <m/>
    <m/>
    <x v="2"/>
    <n v="2"/>
    <n v="5"/>
    <m/>
    <m/>
    <m/>
    <m/>
    <m/>
    <m/>
    <m/>
    <m/>
    <m/>
    <m/>
    <m/>
    <m/>
    <m/>
    <m/>
  </r>
  <r>
    <n v="3957"/>
    <n v="54400"/>
    <d v="2005-04-22T00:00:00"/>
    <n v="20"/>
    <x v="1"/>
    <x v="1"/>
    <d v="2024-03-19T00:00:00"/>
    <n v="1.5698630136986302"/>
    <x v="119"/>
    <x v="1"/>
    <x v="8"/>
    <x v="1"/>
    <n v="8.4700000000000006"/>
    <m/>
    <m/>
    <m/>
    <m/>
    <m/>
    <m/>
    <x v="4"/>
    <n v="1"/>
    <n v="4"/>
    <m/>
    <m/>
    <m/>
    <m/>
    <m/>
    <m/>
    <m/>
    <m/>
    <m/>
    <m/>
    <m/>
    <m/>
    <m/>
    <m/>
  </r>
  <r>
    <n v="3958"/>
    <n v="54401"/>
    <d v="1997-12-10T00:00:00"/>
    <n v="28"/>
    <x v="1"/>
    <x v="0"/>
    <d v="2024-06-06T00:00:00"/>
    <n v="1.4821917808219178"/>
    <x v="122"/>
    <x v="1"/>
    <x v="11"/>
    <x v="1"/>
    <n v="17"/>
    <m/>
    <m/>
    <m/>
    <m/>
    <m/>
    <m/>
    <x v="4"/>
    <n v="2"/>
    <n v="5"/>
    <m/>
    <m/>
    <m/>
    <m/>
    <m/>
    <m/>
    <m/>
    <m/>
    <m/>
    <m/>
    <m/>
    <m/>
    <m/>
    <m/>
  </r>
  <r>
    <n v="3959"/>
    <n v="54402"/>
    <d v="2002-07-17T00:00:00"/>
    <n v="23"/>
    <x v="0"/>
    <x v="1"/>
    <d v="2024-07-08T00:00:00"/>
    <n v="1.2164383561643837"/>
    <x v="118"/>
    <x v="1"/>
    <x v="2"/>
    <x v="1"/>
    <n v="14.23"/>
    <m/>
    <m/>
    <m/>
    <m/>
    <m/>
    <m/>
    <x v="3"/>
    <n v="1"/>
    <n v="4"/>
    <m/>
    <m/>
    <m/>
    <m/>
    <m/>
    <m/>
    <m/>
    <m/>
    <m/>
    <m/>
    <m/>
    <m/>
    <m/>
    <m/>
  </r>
  <r>
    <n v="3960"/>
    <n v="54404"/>
    <d v="2006-07-11T00:00:00"/>
    <n v="19"/>
    <x v="0"/>
    <x v="1"/>
    <d v="2024-10-13T00:00:00"/>
    <n v="1.2821917808219179"/>
    <x v="2"/>
    <x v="0"/>
    <x v="10"/>
    <x v="1"/>
    <n v="10.64"/>
    <m/>
    <m/>
    <m/>
    <m/>
    <m/>
    <m/>
    <x v="1"/>
    <n v="0"/>
    <n v="5"/>
    <m/>
    <m/>
    <m/>
    <m/>
    <m/>
    <m/>
    <m/>
    <m/>
    <m/>
    <m/>
    <m/>
    <m/>
    <m/>
    <m/>
  </r>
  <r>
    <n v="3961"/>
    <n v="54405"/>
    <d v="1992-09-20T00:00:00"/>
    <n v="33"/>
    <x v="0"/>
    <x v="1"/>
    <d v="2024-09-19T00:00:00"/>
    <n v="1.1342465753424658"/>
    <x v="3"/>
    <x v="0"/>
    <x v="7"/>
    <x v="1"/>
    <n v="17.59"/>
    <m/>
    <m/>
    <m/>
    <m/>
    <m/>
    <m/>
    <x v="4"/>
    <n v="3"/>
    <n v="5"/>
    <m/>
    <m/>
    <m/>
    <m/>
    <m/>
    <m/>
    <m/>
    <m/>
    <m/>
    <m/>
    <m/>
    <m/>
    <m/>
    <m/>
  </r>
  <r>
    <n v="3962"/>
    <n v="54407"/>
    <d v="1999-09-10T00:00:00"/>
    <n v="26"/>
    <x v="1"/>
    <x v="0"/>
    <d v="2024-11-12T00:00:00"/>
    <n v="1.4712328767123288"/>
    <x v="5"/>
    <x v="0"/>
    <x v="11"/>
    <x v="1"/>
    <n v="17"/>
    <m/>
    <m/>
    <m/>
    <m/>
    <m/>
    <m/>
    <x v="1"/>
    <n v="3"/>
    <n v="6"/>
    <m/>
    <m/>
    <m/>
    <m/>
    <m/>
    <m/>
    <m/>
    <m/>
    <m/>
    <m/>
    <m/>
    <m/>
    <m/>
    <m/>
  </r>
  <r>
    <n v="3963"/>
    <n v="54408"/>
    <d v="1996-01-23T00:00:00"/>
    <n v="29"/>
    <x v="1"/>
    <x v="1"/>
    <d v="2024-07-12T00:00:00"/>
    <n v="1.747945205479452"/>
    <x v="5"/>
    <x v="0"/>
    <x v="10"/>
    <x v="1"/>
    <n v="10.64"/>
    <m/>
    <m/>
    <m/>
    <m/>
    <m/>
    <m/>
    <x v="4"/>
    <n v="0"/>
    <n v="5"/>
    <m/>
    <m/>
    <m/>
    <m/>
    <m/>
    <m/>
    <m/>
    <m/>
    <m/>
    <m/>
    <m/>
    <m/>
    <m/>
    <m/>
  </r>
  <r>
    <n v="3964"/>
    <n v="54409"/>
    <d v="2003-02-19T00:00:00"/>
    <n v="22"/>
    <x v="1"/>
    <x v="1"/>
    <d v="2024-04-02T00:00:00"/>
    <n v="1.6"/>
    <x v="5"/>
    <x v="0"/>
    <x v="8"/>
    <x v="1"/>
    <n v="8.4700000000000006"/>
    <m/>
    <m/>
    <m/>
    <m/>
    <m/>
    <m/>
    <x v="4"/>
    <n v="3"/>
    <n v="6"/>
    <m/>
    <m/>
    <m/>
    <m/>
    <m/>
    <m/>
    <m/>
    <m/>
    <m/>
    <m/>
    <m/>
    <m/>
    <m/>
    <m/>
  </r>
  <r>
    <n v="3965"/>
    <n v="54410"/>
    <d v="2000-02-16T00:00:00"/>
    <n v="25"/>
    <x v="1"/>
    <x v="0"/>
    <d v="2024-05-26T00:00:00"/>
    <n v="1.3863013698630138"/>
    <x v="7"/>
    <x v="0"/>
    <x v="11"/>
    <x v="1"/>
    <n v="17"/>
    <m/>
    <m/>
    <m/>
    <m/>
    <m/>
    <m/>
    <x v="1"/>
    <n v="3"/>
    <n v="7"/>
    <m/>
    <m/>
    <m/>
    <m/>
    <m/>
    <m/>
    <m/>
    <m/>
    <m/>
    <m/>
    <m/>
    <m/>
    <m/>
    <m/>
  </r>
  <r>
    <n v="3966"/>
    <n v="54411"/>
    <d v="2001-08-08T00:00:00"/>
    <n v="24"/>
    <x v="1"/>
    <x v="1"/>
    <d v="2024-08-12T00:00:00"/>
    <n v="1.558904109589041"/>
    <x v="124"/>
    <x v="0"/>
    <x v="8"/>
    <x v="1"/>
    <n v="8.4700000000000006"/>
    <m/>
    <m/>
    <m/>
    <m/>
    <m/>
    <m/>
    <x v="1"/>
    <n v="2"/>
    <n v="6"/>
    <m/>
    <m/>
    <m/>
    <m/>
    <m/>
    <m/>
    <m/>
    <m/>
    <m/>
    <m/>
    <m/>
    <m/>
    <m/>
    <m/>
  </r>
  <r>
    <n v="3967"/>
    <n v="54412"/>
    <d v="2000-12-26T00:00:00"/>
    <n v="25"/>
    <x v="1"/>
    <x v="1"/>
    <d v="2024-06-10T00:00:00"/>
    <n v="1.2767123287671234"/>
    <x v="11"/>
    <x v="0"/>
    <x v="8"/>
    <x v="1"/>
    <n v="8.4700000000000006"/>
    <m/>
    <m/>
    <m/>
    <m/>
    <m/>
    <m/>
    <x v="4"/>
    <n v="1"/>
    <n v="7"/>
    <m/>
    <m/>
    <m/>
    <m/>
    <m/>
    <m/>
    <m/>
    <m/>
    <m/>
    <m/>
    <m/>
    <m/>
    <m/>
    <m/>
  </r>
  <r>
    <n v="3968"/>
    <n v="54413"/>
    <d v="2003-11-19T00:00:00"/>
    <n v="22"/>
    <x v="1"/>
    <x v="1"/>
    <d v="2024-09-21T00:00:00"/>
    <n v="1.3287671232876712"/>
    <x v="45"/>
    <x v="0"/>
    <x v="8"/>
    <x v="1"/>
    <n v="8.4700000000000006"/>
    <m/>
    <m/>
    <m/>
    <m/>
    <m/>
    <m/>
    <x v="1"/>
    <n v="3"/>
    <n v="6"/>
    <m/>
    <m/>
    <m/>
    <m/>
    <m/>
    <m/>
    <m/>
    <m/>
    <m/>
    <m/>
    <m/>
    <m/>
    <m/>
    <m/>
  </r>
  <r>
    <n v="3969"/>
    <n v="54414"/>
    <d v="1996-04-01T00:00:00"/>
    <n v="30"/>
    <x v="0"/>
    <x v="0"/>
    <d v="2024-09-02T00:00:00"/>
    <n v="1.5835616438356164"/>
    <x v="82"/>
    <x v="0"/>
    <x v="6"/>
    <x v="1"/>
    <n v="23.78"/>
    <m/>
    <m/>
    <m/>
    <m/>
    <m/>
    <m/>
    <x v="3"/>
    <n v="3"/>
    <n v="6"/>
    <m/>
    <m/>
    <m/>
    <m/>
    <m/>
    <m/>
    <m/>
    <m/>
    <m/>
    <m/>
    <m/>
    <m/>
    <m/>
    <m/>
  </r>
  <r>
    <n v="3970"/>
    <n v="54415"/>
    <d v="1995-03-11T00:00:00"/>
    <n v="30"/>
    <x v="1"/>
    <x v="0"/>
    <d v="2024-06-01T00:00:00"/>
    <n v="1.5315068493150685"/>
    <x v="17"/>
    <x v="0"/>
    <x v="8"/>
    <x v="1"/>
    <n v="8.4700000000000006"/>
    <m/>
    <m/>
    <m/>
    <m/>
    <m/>
    <m/>
    <x v="1"/>
    <n v="2"/>
    <n v="7"/>
    <m/>
    <m/>
    <m/>
    <m/>
    <m/>
    <m/>
    <m/>
    <m/>
    <m/>
    <m/>
    <m/>
    <m/>
    <m/>
    <m/>
  </r>
  <r>
    <n v="3971"/>
    <n v="54416"/>
    <d v="2003-10-24T00:00:00"/>
    <n v="22"/>
    <x v="0"/>
    <x v="1"/>
    <d v="2024-06-20T00:00:00"/>
    <n v="1.1917808219178083"/>
    <x v="16"/>
    <x v="0"/>
    <x v="10"/>
    <x v="1"/>
    <n v="10.64"/>
    <m/>
    <m/>
    <m/>
    <m/>
    <m/>
    <m/>
    <x v="1"/>
    <n v="0"/>
    <n v="3"/>
    <m/>
    <m/>
    <m/>
    <m/>
    <m/>
    <m/>
    <m/>
    <m/>
    <m/>
    <m/>
    <m/>
    <m/>
    <m/>
    <m/>
  </r>
  <r>
    <n v="3972"/>
    <n v="54417"/>
    <d v="2002-03-11T00:00:00"/>
    <n v="23"/>
    <x v="1"/>
    <x v="0"/>
    <d v="2024-10-22T00:00:00"/>
    <n v="1.484931506849315"/>
    <x v="16"/>
    <x v="0"/>
    <x v="8"/>
    <x v="1"/>
    <n v="8.4700000000000006"/>
    <m/>
    <m/>
    <m/>
    <m/>
    <m/>
    <m/>
    <x v="1"/>
    <n v="4"/>
    <n v="6"/>
    <m/>
    <m/>
    <m/>
    <m/>
    <m/>
    <m/>
    <m/>
    <m/>
    <m/>
    <m/>
    <m/>
    <m/>
    <m/>
    <m/>
  </r>
  <r>
    <n v="3973"/>
    <n v="54418"/>
    <d v="1998-10-18T00:00:00"/>
    <n v="27"/>
    <x v="1"/>
    <x v="1"/>
    <d v="2024-07-07T00:00:00"/>
    <n v="1"/>
    <x v="16"/>
    <x v="0"/>
    <x v="8"/>
    <x v="1"/>
    <n v="8.4700000000000006"/>
    <m/>
    <m/>
    <m/>
    <m/>
    <m/>
    <m/>
    <x v="4"/>
    <n v="1"/>
    <n v="5"/>
    <m/>
    <m/>
    <m/>
    <m/>
    <m/>
    <m/>
    <m/>
    <m/>
    <m/>
    <m/>
    <m/>
    <m/>
    <m/>
    <m/>
  </r>
  <r>
    <n v="3974"/>
    <n v="54419"/>
    <d v="2001-05-04T00:00:00"/>
    <n v="24"/>
    <x v="1"/>
    <x v="1"/>
    <d v="2024-12-31T00:00:00"/>
    <n v="1.3890410958904109"/>
    <x v="18"/>
    <x v="0"/>
    <x v="8"/>
    <x v="1"/>
    <n v="8.4700000000000006"/>
    <m/>
    <m/>
    <m/>
    <m/>
    <m/>
    <m/>
    <x v="4"/>
    <n v="1"/>
    <n v="6"/>
    <m/>
    <m/>
    <m/>
    <m/>
    <m/>
    <m/>
    <m/>
    <m/>
    <m/>
    <m/>
    <m/>
    <m/>
    <m/>
    <m/>
  </r>
  <r>
    <n v="3975"/>
    <n v="54420"/>
    <d v="2004-10-19T00:00:00"/>
    <n v="21"/>
    <x v="1"/>
    <x v="1"/>
    <d v="2024-08-11T00:00:00"/>
    <n v="1.5205479452054795"/>
    <x v="88"/>
    <x v="0"/>
    <x v="8"/>
    <x v="1"/>
    <n v="8.4700000000000006"/>
    <m/>
    <m/>
    <m/>
    <m/>
    <m/>
    <m/>
    <x v="3"/>
    <n v="0"/>
    <n v="5"/>
    <m/>
    <m/>
    <m/>
    <m/>
    <m/>
    <m/>
    <m/>
    <m/>
    <m/>
    <m/>
    <m/>
    <m/>
    <m/>
    <m/>
  </r>
  <r>
    <n v="3976"/>
    <n v="54421"/>
    <d v="2002-05-30T00:00:00"/>
    <n v="23"/>
    <x v="1"/>
    <x v="1"/>
    <d v="2024-06-24T00:00:00"/>
    <n v="1.7424657534246575"/>
    <x v="19"/>
    <x v="0"/>
    <x v="10"/>
    <x v="1"/>
    <n v="10.64"/>
    <m/>
    <m/>
    <m/>
    <m/>
    <m/>
    <m/>
    <x v="1"/>
    <n v="1"/>
    <n v="5"/>
    <m/>
    <m/>
    <m/>
    <m/>
    <m/>
    <m/>
    <m/>
    <m/>
    <m/>
    <m/>
    <m/>
    <m/>
    <m/>
    <m/>
  </r>
  <r>
    <n v="3977"/>
    <n v="54422"/>
    <d v="1993-12-19T00:00:00"/>
    <n v="32"/>
    <x v="1"/>
    <x v="1"/>
    <d v="2024-04-04T00:00:00"/>
    <n v="1.0520547945205478"/>
    <x v="20"/>
    <x v="0"/>
    <x v="11"/>
    <x v="1"/>
    <n v="17"/>
    <m/>
    <m/>
    <m/>
    <m/>
    <m/>
    <m/>
    <x v="1"/>
    <n v="0"/>
    <n v="5"/>
    <m/>
    <m/>
    <m/>
    <m/>
    <m/>
    <m/>
    <m/>
    <m/>
    <m/>
    <m/>
    <m/>
    <m/>
    <m/>
    <m/>
  </r>
  <r>
    <n v="3978"/>
    <n v="54423"/>
    <d v="2004-12-23T00:00:00"/>
    <n v="21"/>
    <x v="1"/>
    <x v="1"/>
    <d v="2024-12-12T00:00:00"/>
    <n v="1.3013698630136987"/>
    <x v="22"/>
    <x v="0"/>
    <x v="8"/>
    <x v="1"/>
    <n v="8.4700000000000006"/>
    <m/>
    <m/>
    <m/>
    <m/>
    <m/>
    <m/>
    <x v="4"/>
    <n v="4"/>
    <n v="7"/>
    <m/>
    <m/>
    <m/>
    <m/>
    <m/>
    <m/>
    <m/>
    <m/>
    <m/>
    <m/>
    <m/>
    <m/>
    <m/>
    <m/>
  </r>
  <r>
    <n v="3979"/>
    <n v="54424"/>
    <d v="2003-03-28T00:00:00"/>
    <n v="22"/>
    <x v="0"/>
    <x v="1"/>
    <d v="2024-09-12T00:00:00"/>
    <n v="1.1123287671232878"/>
    <x v="137"/>
    <x v="0"/>
    <x v="10"/>
    <x v="1"/>
    <n v="10.64"/>
    <m/>
    <m/>
    <m/>
    <m/>
    <m/>
    <m/>
    <x v="1"/>
    <n v="1"/>
    <n v="4"/>
    <m/>
    <m/>
    <m/>
    <m/>
    <m/>
    <m/>
    <m/>
    <m/>
    <m/>
    <m/>
    <m/>
    <m/>
    <m/>
    <m/>
  </r>
  <r>
    <n v="3980"/>
    <n v="54425"/>
    <d v="1997-08-12T00:00:00"/>
    <n v="28"/>
    <x v="0"/>
    <x v="0"/>
    <d v="2024-11-20T00:00:00"/>
    <n v="1.7287671232876711"/>
    <x v="28"/>
    <x v="0"/>
    <x v="11"/>
    <x v="1"/>
    <n v="17"/>
    <m/>
    <m/>
    <m/>
    <m/>
    <m/>
    <m/>
    <x v="4"/>
    <n v="0"/>
    <n v="2"/>
    <m/>
    <m/>
    <m/>
    <m/>
    <m/>
    <m/>
    <m/>
    <m/>
    <m/>
    <m/>
    <m/>
    <m/>
    <m/>
    <m/>
  </r>
  <r>
    <n v="3981"/>
    <n v="54426"/>
    <d v="2007-03-05T00:00:00"/>
    <n v="18"/>
    <x v="0"/>
    <x v="1"/>
    <d v="2024-04-09T00:00:00"/>
    <n v="1.1917808219178083"/>
    <x v="28"/>
    <x v="0"/>
    <x v="8"/>
    <x v="1"/>
    <n v="8.4700000000000006"/>
    <m/>
    <m/>
    <m/>
    <m/>
    <m/>
    <m/>
    <x v="2"/>
    <n v="0"/>
    <n v="6"/>
    <m/>
    <m/>
    <m/>
    <m/>
    <m/>
    <m/>
    <m/>
    <m/>
    <m/>
    <m/>
    <m/>
    <m/>
    <m/>
    <m/>
  </r>
  <r>
    <n v="3982"/>
    <n v="54427"/>
    <d v="1989-06-01T00:00:00"/>
    <n v="37"/>
    <x v="0"/>
    <x v="1"/>
    <d v="2024-10-22T00:00:00"/>
    <n v="1.2986301369863014"/>
    <x v="52"/>
    <x v="0"/>
    <x v="7"/>
    <x v="1"/>
    <n v="17.59"/>
    <m/>
    <m/>
    <m/>
    <m/>
    <m/>
    <m/>
    <x v="1"/>
    <n v="4"/>
    <n v="4"/>
    <m/>
    <m/>
    <m/>
    <m/>
    <m/>
    <m/>
    <m/>
    <m/>
    <m/>
    <m/>
    <m/>
    <m/>
    <m/>
    <m/>
  </r>
  <r>
    <n v="3983"/>
    <n v="54428"/>
    <d v="2004-01-01T00:00:00"/>
    <n v="22"/>
    <x v="1"/>
    <x v="1"/>
    <d v="2024-09-13T00:00:00"/>
    <n v="1.3315068493150686"/>
    <x v="24"/>
    <x v="0"/>
    <x v="10"/>
    <x v="1"/>
    <n v="10.64"/>
    <m/>
    <m/>
    <m/>
    <m/>
    <m/>
    <m/>
    <x v="4"/>
    <n v="1"/>
    <n v="5"/>
    <m/>
    <m/>
    <m/>
    <m/>
    <m/>
    <m/>
    <m/>
    <m/>
    <m/>
    <m/>
    <m/>
    <m/>
    <m/>
    <m/>
  </r>
  <r>
    <n v="3984"/>
    <n v="54429"/>
    <d v="2002-04-16T00:00:00"/>
    <n v="23"/>
    <x v="1"/>
    <x v="0"/>
    <d v="2024-09-01T00:00:00"/>
    <n v="1.3068493150684932"/>
    <x v="87"/>
    <x v="0"/>
    <x v="1"/>
    <x v="1"/>
    <n v="16.37"/>
    <m/>
    <m/>
    <m/>
    <m/>
    <m/>
    <m/>
    <x v="3"/>
    <n v="1"/>
    <n v="5"/>
    <m/>
    <m/>
    <m/>
    <m/>
    <m/>
    <m/>
    <m/>
    <m/>
    <m/>
    <m/>
    <m/>
    <m/>
    <m/>
    <m/>
  </r>
  <r>
    <n v="3985"/>
    <n v="54430"/>
    <d v="2000-06-27T00:00:00"/>
    <n v="25"/>
    <x v="0"/>
    <x v="0"/>
    <d v="2024-09-10T00:00:00"/>
    <n v="1.7534246575342465"/>
    <x v="25"/>
    <x v="0"/>
    <x v="10"/>
    <x v="1"/>
    <n v="10.64"/>
    <m/>
    <m/>
    <m/>
    <m/>
    <m/>
    <m/>
    <x v="2"/>
    <n v="0"/>
    <n v="4"/>
    <m/>
    <m/>
    <m/>
    <m/>
    <m/>
    <m/>
    <m/>
    <m/>
    <m/>
    <m/>
    <m/>
    <m/>
    <m/>
    <m/>
  </r>
  <r>
    <n v="3986"/>
    <n v="54431"/>
    <d v="2006-07-04T00:00:00"/>
    <n v="19"/>
    <x v="0"/>
    <x v="0"/>
    <d v="2024-03-31T00:00:00"/>
    <n v="1.0465753424657533"/>
    <x v="25"/>
    <x v="0"/>
    <x v="8"/>
    <x v="1"/>
    <n v="8.4700000000000006"/>
    <m/>
    <m/>
    <m/>
    <m/>
    <m/>
    <m/>
    <x v="2"/>
    <n v="4"/>
    <n v="5"/>
    <m/>
    <m/>
    <m/>
    <m/>
    <m/>
    <m/>
    <m/>
    <m/>
    <m/>
    <m/>
    <m/>
    <m/>
    <m/>
    <m/>
  </r>
  <r>
    <n v="3987"/>
    <n v="54432"/>
    <d v="2006-06-02T00:00:00"/>
    <n v="19"/>
    <x v="0"/>
    <x v="1"/>
    <d v="2024-12-14T00:00:00"/>
    <n v="1.6684931506849314"/>
    <x v="26"/>
    <x v="0"/>
    <x v="8"/>
    <x v="1"/>
    <n v="8.4700000000000006"/>
    <m/>
    <m/>
    <m/>
    <m/>
    <m/>
    <m/>
    <x v="1"/>
    <n v="2"/>
    <n v="4"/>
    <m/>
    <m/>
    <m/>
    <m/>
    <m/>
    <m/>
    <m/>
    <m/>
    <m/>
    <m/>
    <m/>
    <m/>
    <m/>
    <m/>
  </r>
  <r>
    <n v="3988"/>
    <n v="54433"/>
    <d v="1997-05-02T00:00:00"/>
    <n v="28"/>
    <x v="1"/>
    <x v="1"/>
    <d v="2024-05-01T00:00:00"/>
    <n v="1.4191780821917808"/>
    <x v="47"/>
    <x v="0"/>
    <x v="8"/>
    <x v="1"/>
    <n v="8.4700000000000006"/>
    <m/>
    <m/>
    <m/>
    <m/>
    <m/>
    <m/>
    <x v="3"/>
    <n v="4"/>
    <n v="6"/>
    <m/>
    <m/>
    <m/>
    <m/>
    <m/>
    <m/>
    <m/>
    <m/>
    <m/>
    <m/>
    <m/>
    <m/>
    <m/>
    <m/>
  </r>
  <r>
    <n v="3989"/>
    <n v="54434"/>
    <d v="2002-04-22T00:00:00"/>
    <n v="23"/>
    <x v="0"/>
    <x v="0"/>
    <d v="2024-07-31T00:00:00"/>
    <n v="1.2027397260273973"/>
    <x v="61"/>
    <x v="0"/>
    <x v="2"/>
    <x v="1"/>
    <n v="14.23"/>
    <m/>
    <m/>
    <m/>
    <m/>
    <m/>
    <m/>
    <x v="3"/>
    <n v="1"/>
    <n v="3"/>
    <m/>
    <m/>
    <m/>
    <m/>
    <m/>
    <m/>
    <m/>
    <m/>
    <m/>
    <m/>
    <m/>
    <m/>
    <m/>
    <m/>
  </r>
  <r>
    <n v="3990"/>
    <n v="54435"/>
    <d v="2006-12-29T00:00:00"/>
    <n v="19"/>
    <x v="1"/>
    <x v="1"/>
    <d v="2024-10-18T00:00:00"/>
    <n v="1.4931506849315068"/>
    <x v="61"/>
    <x v="0"/>
    <x v="3"/>
    <x v="1"/>
    <n v="8.4700000000000006"/>
    <m/>
    <m/>
    <m/>
    <m/>
    <m/>
    <m/>
    <x v="2"/>
    <n v="2"/>
    <n v="6"/>
    <m/>
    <m/>
    <m/>
    <m/>
    <m/>
    <m/>
    <m/>
    <m/>
    <m/>
    <m/>
    <m/>
    <m/>
    <m/>
    <m/>
  </r>
  <r>
    <n v="3991"/>
    <n v="54436"/>
    <d v="2005-10-03T00:00:00"/>
    <n v="20"/>
    <x v="1"/>
    <x v="1"/>
    <d v="2024-07-04T00:00:00"/>
    <n v="1.8986301369863015"/>
    <x v="61"/>
    <x v="0"/>
    <x v="8"/>
    <x v="1"/>
    <n v="8.4700000000000006"/>
    <m/>
    <m/>
    <m/>
    <m/>
    <m/>
    <m/>
    <x v="2"/>
    <n v="3"/>
    <n v="7"/>
    <m/>
    <m/>
    <m/>
    <m/>
    <m/>
    <m/>
    <m/>
    <m/>
    <m/>
    <m/>
    <m/>
    <m/>
    <m/>
    <m/>
  </r>
  <r>
    <n v="3992"/>
    <n v="54437"/>
    <d v="2006-07-16T00:00:00"/>
    <n v="19"/>
    <x v="0"/>
    <x v="1"/>
    <d v="2024-02-07T00:00:00"/>
    <n v="1.2082191780821918"/>
    <x v="32"/>
    <x v="0"/>
    <x v="9"/>
    <x v="1"/>
    <n v="14.07"/>
    <m/>
    <m/>
    <m/>
    <m/>
    <m/>
    <m/>
    <x v="4"/>
    <n v="0"/>
    <n v="4"/>
    <m/>
    <m/>
    <m/>
    <m/>
    <m/>
    <m/>
    <m/>
    <m/>
    <m/>
    <m/>
    <m/>
    <m/>
    <m/>
    <m/>
  </r>
  <r>
    <n v="3993"/>
    <n v="54438"/>
    <d v="1999-10-10T00:00:00"/>
    <n v="26"/>
    <x v="0"/>
    <x v="1"/>
    <d v="2024-10-16T00:00:00"/>
    <n v="1.1150684931506849"/>
    <x v="136"/>
    <x v="0"/>
    <x v="11"/>
    <x v="1"/>
    <n v="17"/>
    <m/>
    <m/>
    <m/>
    <m/>
    <m/>
    <m/>
    <x v="1"/>
    <n v="3"/>
    <n v="5"/>
    <m/>
    <m/>
    <m/>
    <m/>
    <m/>
    <m/>
    <m/>
    <m/>
    <m/>
    <m/>
    <m/>
    <m/>
    <m/>
    <m/>
  </r>
  <r>
    <n v="3994"/>
    <n v="54439"/>
    <d v="2005-10-25T00:00:00"/>
    <n v="20"/>
    <x v="1"/>
    <x v="0"/>
    <d v="2024-11-19T00:00:00"/>
    <n v="1.3726027397260274"/>
    <x v="136"/>
    <x v="0"/>
    <x v="8"/>
    <x v="1"/>
    <n v="8.4700000000000006"/>
    <m/>
    <m/>
    <m/>
    <m/>
    <m/>
    <m/>
    <x v="4"/>
    <n v="2"/>
    <n v="6"/>
    <m/>
    <m/>
    <m/>
    <m/>
    <m/>
    <m/>
    <m/>
    <m/>
    <m/>
    <m/>
    <m/>
    <m/>
    <m/>
    <m/>
  </r>
  <r>
    <n v="3995"/>
    <n v="54440"/>
    <d v="1998-06-28T00:00:00"/>
    <n v="27"/>
    <x v="1"/>
    <x v="1"/>
    <d v="2024-08-17T00:00:00"/>
    <n v="1.3287671232876712"/>
    <x v="138"/>
    <x v="0"/>
    <x v="8"/>
    <x v="1"/>
    <n v="8.4700000000000006"/>
    <m/>
    <m/>
    <m/>
    <m/>
    <m/>
    <m/>
    <x v="3"/>
    <n v="2"/>
    <n v="5"/>
    <m/>
    <m/>
    <m/>
    <m/>
    <m/>
    <m/>
    <m/>
    <m/>
    <m/>
    <m/>
    <m/>
    <m/>
    <m/>
    <m/>
  </r>
  <r>
    <n v="3996"/>
    <n v="54441"/>
    <d v="1993-11-25T00:00:00"/>
    <n v="32"/>
    <x v="1"/>
    <x v="1"/>
    <d v="2024-09-02T00:00:00"/>
    <n v="1.189041095890411"/>
    <x v="143"/>
    <x v="0"/>
    <x v="11"/>
    <x v="1"/>
    <n v="17"/>
    <m/>
    <m/>
    <m/>
    <m/>
    <m/>
    <m/>
    <x v="4"/>
    <n v="2"/>
    <n v="7"/>
    <m/>
    <m/>
    <m/>
    <m/>
    <m/>
    <m/>
    <m/>
    <m/>
    <m/>
    <m/>
    <m/>
    <m/>
    <m/>
    <m/>
  </r>
  <r>
    <n v="3997"/>
    <n v="54442"/>
    <d v="2006-08-02T00:00:00"/>
    <n v="19"/>
    <x v="1"/>
    <x v="1"/>
    <d v="2024-10-23T00:00:00"/>
    <n v="1.1369863013698631"/>
    <x v="143"/>
    <x v="0"/>
    <x v="8"/>
    <x v="1"/>
    <n v="8.4700000000000006"/>
    <m/>
    <m/>
    <m/>
    <m/>
    <m/>
    <m/>
    <x v="4"/>
    <n v="2"/>
    <n v="5"/>
    <m/>
    <m/>
    <m/>
    <m/>
    <m/>
    <m/>
    <m/>
    <m/>
    <m/>
    <m/>
    <m/>
    <m/>
    <m/>
    <m/>
  </r>
  <r>
    <n v="3998"/>
    <n v="54444"/>
    <d v="1999-05-07T00:00:00"/>
    <n v="26"/>
    <x v="1"/>
    <x v="0"/>
    <d v="2024-11-11T00:00:00"/>
    <n v="1.3726027397260274"/>
    <x v="141"/>
    <x v="0"/>
    <x v="8"/>
    <x v="1"/>
    <n v="8.4700000000000006"/>
    <m/>
    <m/>
    <m/>
    <m/>
    <m/>
    <m/>
    <x v="4"/>
    <n v="2"/>
    <n v="5"/>
    <m/>
    <m/>
    <m/>
    <m/>
    <m/>
    <m/>
    <m/>
    <m/>
    <m/>
    <m/>
    <m/>
    <m/>
    <m/>
    <m/>
  </r>
  <r>
    <n v="3999"/>
    <n v="54446"/>
    <d v="2006-11-29T00:00:00"/>
    <n v="19"/>
    <x v="1"/>
    <x v="1"/>
    <d v="2024-08-17T00:00:00"/>
    <n v="1.5095890410958903"/>
    <x v="55"/>
    <x v="0"/>
    <x v="8"/>
    <x v="1"/>
    <n v="8.4700000000000006"/>
    <m/>
    <m/>
    <m/>
    <m/>
    <m/>
    <m/>
    <x v="4"/>
    <n v="2"/>
    <n v="6"/>
    <m/>
    <m/>
    <m/>
    <m/>
    <m/>
    <m/>
    <m/>
    <m/>
    <m/>
    <m/>
    <m/>
    <m/>
    <m/>
    <m/>
  </r>
  <r>
    <n v="4000"/>
    <n v="54447"/>
    <d v="2006-05-09T00:00:00"/>
    <n v="19"/>
    <x v="0"/>
    <x v="1"/>
    <d v="2024-06-28T00:00:00"/>
    <n v="1.1342465753424658"/>
    <x v="144"/>
    <x v="0"/>
    <x v="10"/>
    <x v="1"/>
    <n v="10.64"/>
    <m/>
    <m/>
    <m/>
    <m/>
    <m/>
    <m/>
    <x v="4"/>
    <n v="0"/>
    <n v="4"/>
    <m/>
    <m/>
    <m/>
    <m/>
    <m/>
    <m/>
    <m/>
    <m/>
    <m/>
    <m/>
    <m/>
    <m/>
    <m/>
    <m/>
  </r>
  <r>
    <n v="4001"/>
    <n v="54448"/>
    <d v="2000-09-11T00:00:00"/>
    <n v="25"/>
    <x v="1"/>
    <x v="1"/>
    <d v="2024-11-12T00:00:00"/>
    <n v="1.1013698630136985"/>
    <x v="73"/>
    <x v="0"/>
    <x v="11"/>
    <x v="1"/>
    <n v="17"/>
    <m/>
    <m/>
    <m/>
    <m/>
    <m/>
    <m/>
    <x v="4"/>
    <n v="2"/>
    <n v="5"/>
    <m/>
    <m/>
    <m/>
    <m/>
    <m/>
    <m/>
    <m/>
    <m/>
    <m/>
    <m/>
    <m/>
    <m/>
    <m/>
    <m/>
  </r>
  <r>
    <n v="4002"/>
    <n v="54449"/>
    <d v="2001-04-29T00:00:00"/>
    <n v="24"/>
    <x v="1"/>
    <x v="1"/>
    <d v="2024-11-24T00:00:00"/>
    <n v="1.726027397260274"/>
    <x v="142"/>
    <x v="0"/>
    <x v="8"/>
    <x v="1"/>
    <n v="8.4700000000000006"/>
    <m/>
    <m/>
    <m/>
    <m/>
    <m/>
    <m/>
    <x v="1"/>
    <n v="1"/>
    <n v="7"/>
    <m/>
    <m/>
    <m/>
    <m/>
    <m/>
    <m/>
    <m/>
    <m/>
    <m/>
    <m/>
    <m/>
    <m/>
    <m/>
    <m/>
  </r>
  <r>
    <n v="4003"/>
    <n v="54450"/>
    <d v="2006-05-25T00:00:00"/>
    <n v="19"/>
    <x v="1"/>
    <x v="1"/>
    <d v="2024-04-10T00:00:00"/>
    <n v="1.5890410958904109"/>
    <x v="37"/>
    <x v="0"/>
    <x v="8"/>
    <x v="1"/>
    <n v="8.4700000000000006"/>
    <m/>
    <m/>
    <m/>
    <m/>
    <m/>
    <m/>
    <x v="1"/>
    <n v="1"/>
    <n v="6"/>
    <m/>
    <m/>
    <m/>
    <m/>
    <m/>
    <m/>
    <m/>
    <m/>
    <m/>
    <m/>
    <m/>
    <m/>
    <m/>
    <m/>
  </r>
  <r>
    <n v="4004"/>
    <n v="54451"/>
    <d v="1992-02-03T00:00:00"/>
    <n v="33"/>
    <x v="1"/>
    <x v="1"/>
    <d v="2024-05-30T00:00:00"/>
    <n v="1.6575342465753424"/>
    <x v="77"/>
    <x v="0"/>
    <x v="3"/>
    <x v="1"/>
    <n v="8.4700000000000006"/>
    <m/>
    <m/>
    <m/>
    <m/>
    <m/>
    <m/>
    <x v="2"/>
    <n v="2"/>
    <n v="7"/>
    <m/>
    <m/>
    <m/>
    <m/>
    <m/>
    <m/>
    <m/>
    <m/>
    <m/>
    <m/>
    <m/>
    <m/>
    <m/>
    <m/>
  </r>
  <r>
    <n v="4005"/>
    <n v="54452"/>
    <d v="2001-07-01T00:00:00"/>
    <n v="25"/>
    <x v="1"/>
    <x v="1"/>
    <d v="2024-05-05T00:00:00"/>
    <n v="1.4794520547945205"/>
    <x v="1"/>
    <x v="1"/>
    <x v="11"/>
    <x v="1"/>
    <n v="17"/>
    <m/>
    <m/>
    <m/>
    <m/>
    <m/>
    <m/>
    <x v="1"/>
    <n v="2"/>
    <n v="7"/>
    <m/>
    <m/>
    <m/>
    <m/>
    <m/>
    <m/>
    <m/>
    <m/>
    <m/>
    <m/>
    <m/>
    <m/>
    <m/>
    <m/>
  </r>
  <r>
    <n v="4006"/>
    <n v="54453"/>
    <d v="2005-02-01T00:00:00"/>
    <n v="21"/>
    <x v="1"/>
    <x v="0"/>
    <d v="2024-07-09T00:00:00"/>
    <n v="1.4931506849315068"/>
    <x v="1"/>
    <x v="1"/>
    <x v="8"/>
    <x v="1"/>
    <n v="8.4700000000000006"/>
    <m/>
    <m/>
    <m/>
    <m/>
    <m/>
    <m/>
    <x v="1"/>
    <n v="1"/>
    <n v="5"/>
    <m/>
    <m/>
    <m/>
    <m/>
    <m/>
    <m/>
    <m/>
    <m/>
    <m/>
    <m/>
    <m/>
    <m/>
    <m/>
    <m/>
  </r>
  <r>
    <n v="4007"/>
    <n v="54454"/>
    <d v="2005-11-30T00:00:00"/>
    <n v="20"/>
    <x v="1"/>
    <x v="1"/>
    <d v="2024-07-04T00:00:00"/>
    <n v="1.2191780821917808"/>
    <x v="104"/>
    <x v="1"/>
    <x v="8"/>
    <x v="1"/>
    <n v="8.4700000000000006"/>
    <m/>
    <m/>
    <m/>
    <m/>
    <m/>
    <m/>
    <x v="2"/>
    <n v="1"/>
    <n v="6"/>
    <m/>
    <m/>
    <m/>
    <m/>
    <m/>
    <m/>
    <m/>
    <m/>
    <m/>
    <m/>
    <m/>
    <m/>
    <m/>
    <m/>
  </r>
  <r>
    <n v="4008"/>
    <n v="54455"/>
    <d v="1998-03-22T00:00:00"/>
    <n v="27"/>
    <x v="1"/>
    <x v="1"/>
    <d v="2024-10-12T00:00:00"/>
    <n v="1.1397260273972603"/>
    <x v="44"/>
    <x v="1"/>
    <x v="9"/>
    <x v="1"/>
    <n v="14.07"/>
    <m/>
    <m/>
    <m/>
    <m/>
    <m/>
    <m/>
    <x v="1"/>
    <n v="0"/>
    <n v="7"/>
    <m/>
    <m/>
    <m/>
    <m/>
    <m/>
    <m/>
    <m/>
    <m/>
    <m/>
    <m/>
    <m/>
    <m/>
    <m/>
    <m/>
  </r>
  <r>
    <n v="4009"/>
    <n v="54456"/>
    <d v="2002-10-19T00:00:00"/>
    <n v="23"/>
    <x v="1"/>
    <x v="1"/>
    <d v="2024-11-10T00:00:00"/>
    <n v="1.4657534246575343"/>
    <x v="90"/>
    <x v="1"/>
    <x v="8"/>
    <x v="1"/>
    <n v="8.4700000000000006"/>
    <m/>
    <m/>
    <m/>
    <m/>
    <m/>
    <m/>
    <x v="2"/>
    <n v="0"/>
    <n v="6"/>
    <m/>
    <m/>
    <m/>
    <m/>
    <m/>
    <m/>
    <m/>
    <m/>
    <m/>
    <m/>
    <m/>
    <m/>
    <m/>
    <m/>
  </r>
  <r>
    <n v="4010"/>
    <n v="54458"/>
    <d v="2003-03-21T00:00:00"/>
    <n v="22"/>
    <x v="0"/>
    <x v="1"/>
    <d v="2024-07-14T00:00:00"/>
    <n v="1.4821917808219178"/>
    <x v="97"/>
    <x v="1"/>
    <x v="3"/>
    <x v="1"/>
    <n v="8.4700000000000006"/>
    <m/>
    <m/>
    <m/>
    <m/>
    <m/>
    <m/>
    <x v="2"/>
    <n v="1"/>
    <n v="4"/>
    <m/>
    <m/>
    <m/>
    <m/>
    <m/>
    <m/>
    <m/>
    <m/>
    <m/>
    <m/>
    <m/>
    <m/>
    <m/>
    <m/>
  </r>
  <r>
    <n v="4011"/>
    <n v="54459"/>
    <d v="1996-07-05T00:00:00"/>
    <n v="29"/>
    <x v="1"/>
    <x v="1"/>
    <d v="2024-07-08T00:00:00"/>
    <n v="1.4219178082191781"/>
    <x v="97"/>
    <x v="1"/>
    <x v="7"/>
    <x v="1"/>
    <n v="17.59"/>
    <m/>
    <m/>
    <m/>
    <m/>
    <m/>
    <m/>
    <x v="2"/>
    <n v="4"/>
    <n v="7"/>
    <m/>
    <m/>
    <m/>
    <m/>
    <m/>
    <m/>
    <m/>
    <m/>
    <m/>
    <m/>
    <m/>
    <m/>
    <m/>
    <m/>
  </r>
  <r>
    <n v="4012"/>
    <n v="54460"/>
    <d v="2005-02-02T00:00:00"/>
    <n v="20"/>
    <x v="0"/>
    <x v="1"/>
    <d v="2024-07-30T00:00:00"/>
    <n v="1.484931506849315"/>
    <x v="97"/>
    <x v="1"/>
    <x v="8"/>
    <x v="1"/>
    <n v="8.4700000000000006"/>
    <m/>
    <m/>
    <m/>
    <m/>
    <m/>
    <m/>
    <x v="2"/>
    <n v="2"/>
    <n v="4"/>
    <m/>
    <m/>
    <m/>
    <m/>
    <m/>
    <m/>
    <m/>
    <m/>
    <m/>
    <m/>
    <m/>
    <m/>
    <m/>
    <m/>
  </r>
  <r>
    <n v="4013"/>
    <n v="54461"/>
    <d v="2006-12-29T00:00:00"/>
    <n v="19"/>
    <x v="1"/>
    <x v="1"/>
    <d v="2024-07-07T00:00:00"/>
    <n v="1.2986301369863014"/>
    <x v="120"/>
    <x v="1"/>
    <x v="8"/>
    <x v="1"/>
    <n v="8.4700000000000006"/>
    <m/>
    <m/>
    <m/>
    <m/>
    <m/>
    <m/>
    <x v="3"/>
    <n v="2"/>
    <n v="5"/>
    <m/>
    <m/>
    <m/>
    <m/>
    <m/>
    <m/>
    <m/>
    <m/>
    <m/>
    <m/>
    <m/>
    <m/>
    <m/>
    <m/>
  </r>
  <r>
    <n v="4014"/>
    <n v="54462"/>
    <d v="2002-07-12T00:00:00"/>
    <n v="23"/>
    <x v="1"/>
    <x v="1"/>
    <d v="2024-09-13T00:00:00"/>
    <n v="1.6191780821917807"/>
    <x v="6"/>
    <x v="1"/>
    <x v="8"/>
    <x v="1"/>
    <n v="8.4700000000000006"/>
    <m/>
    <m/>
    <m/>
    <m/>
    <m/>
    <m/>
    <x v="4"/>
    <n v="2"/>
    <n v="6"/>
    <m/>
    <m/>
    <m/>
    <m/>
    <m/>
    <m/>
    <m/>
    <m/>
    <m/>
    <m/>
    <m/>
    <m/>
    <m/>
    <m/>
  </r>
  <r>
    <n v="4015"/>
    <n v="54463"/>
    <d v="2005-09-24T00:00:00"/>
    <n v="20"/>
    <x v="1"/>
    <x v="1"/>
    <d v="2024-05-19T00:00:00"/>
    <n v="1.4356164383561645"/>
    <x v="105"/>
    <x v="1"/>
    <x v="8"/>
    <x v="1"/>
    <n v="8.4700000000000006"/>
    <m/>
    <m/>
    <m/>
    <m/>
    <m/>
    <m/>
    <x v="2"/>
    <n v="0"/>
    <n v="5"/>
    <m/>
    <m/>
    <m/>
    <m/>
    <m/>
    <m/>
    <m/>
    <m/>
    <m/>
    <m/>
    <m/>
    <m/>
    <m/>
    <m/>
  </r>
  <r>
    <n v="4016"/>
    <n v="54464"/>
    <d v="2004-02-19T00:00:00"/>
    <n v="21"/>
    <x v="1"/>
    <x v="0"/>
    <d v="2024-07-25T00:00:00"/>
    <n v="1.189041095890411"/>
    <x v="115"/>
    <x v="1"/>
    <x v="8"/>
    <x v="1"/>
    <n v="8.4700000000000006"/>
    <m/>
    <m/>
    <m/>
    <m/>
    <m/>
    <m/>
    <x v="2"/>
    <n v="2"/>
    <n v="5"/>
    <m/>
    <m/>
    <m/>
    <m/>
    <m/>
    <m/>
    <m/>
    <m/>
    <m/>
    <m/>
    <m/>
    <m/>
    <m/>
    <m/>
  </r>
  <r>
    <n v="4017"/>
    <n v="54465"/>
    <d v="1998-01-19T00:00:00"/>
    <n v="27"/>
    <x v="1"/>
    <x v="0"/>
    <d v="2024-10-23T00:00:00"/>
    <n v="1.7123287671232876"/>
    <x v="95"/>
    <x v="1"/>
    <x v="8"/>
    <x v="1"/>
    <n v="8.4700000000000006"/>
    <m/>
    <m/>
    <m/>
    <m/>
    <m/>
    <m/>
    <x v="4"/>
    <n v="2"/>
    <n v="6"/>
    <m/>
    <m/>
    <m/>
    <m/>
    <m/>
    <m/>
    <m/>
    <m/>
    <m/>
    <m/>
    <m/>
    <m/>
    <m/>
    <m/>
  </r>
  <r>
    <n v="4018"/>
    <n v="54466"/>
    <d v="2000-04-01T00:00:00"/>
    <n v="26"/>
    <x v="1"/>
    <x v="0"/>
    <d v="2024-04-15T00:00:00"/>
    <n v="1.2465753424657535"/>
    <x v="51"/>
    <x v="1"/>
    <x v="8"/>
    <x v="1"/>
    <n v="8.4700000000000006"/>
    <m/>
    <m/>
    <m/>
    <m/>
    <m/>
    <m/>
    <x v="2"/>
    <n v="4"/>
    <n v="6"/>
    <m/>
    <m/>
    <m/>
    <m/>
    <m/>
    <m/>
    <m/>
    <m/>
    <m/>
    <m/>
    <m/>
    <m/>
    <m/>
    <m/>
  </r>
  <r>
    <n v="4019"/>
    <n v="54467"/>
    <d v="1995-09-10T00:00:00"/>
    <n v="30"/>
    <x v="1"/>
    <x v="1"/>
    <d v="2024-10-02T00:00:00"/>
    <n v="1.6328767123287671"/>
    <x v="130"/>
    <x v="1"/>
    <x v="1"/>
    <x v="1"/>
    <n v="16.37"/>
    <m/>
    <m/>
    <m/>
    <m/>
    <m/>
    <m/>
    <x v="4"/>
    <n v="0"/>
    <n v="5"/>
    <m/>
    <m/>
    <m/>
    <m/>
    <m/>
    <m/>
    <m/>
    <m/>
    <m/>
    <m/>
    <m/>
    <m/>
    <m/>
    <m/>
  </r>
  <r>
    <n v="4020"/>
    <n v="54468"/>
    <d v="1998-11-20T00:00:00"/>
    <n v="27"/>
    <x v="1"/>
    <x v="1"/>
    <d v="2024-05-14T00:00:00"/>
    <n v="1.5287671232876712"/>
    <x v="130"/>
    <x v="1"/>
    <x v="3"/>
    <x v="1"/>
    <n v="17.899999999999999"/>
    <m/>
    <m/>
    <m/>
    <m/>
    <m/>
    <m/>
    <x v="4"/>
    <n v="2"/>
    <n v="5"/>
    <m/>
    <m/>
    <m/>
    <m/>
    <m/>
    <m/>
    <m/>
    <m/>
    <m/>
    <m/>
    <m/>
    <m/>
    <m/>
    <m/>
  </r>
  <r>
    <n v="4021"/>
    <n v="54469"/>
    <d v="1996-11-20T00:00:00"/>
    <n v="29"/>
    <x v="1"/>
    <x v="1"/>
    <d v="2024-06-21T00:00:00"/>
    <n v="1.8794520547945206"/>
    <x v="130"/>
    <x v="1"/>
    <x v="8"/>
    <x v="1"/>
    <n v="8.4700000000000006"/>
    <m/>
    <m/>
    <m/>
    <m/>
    <m/>
    <m/>
    <x v="4"/>
    <n v="1"/>
    <n v="5"/>
    <m/>
    <m/>
    <m/>
    <m/>
    <m/>
    <m/>
    <m/>
    <m/>
    <m/>
    <m/>
    <m/>
    <m/>
    <m/>
    <m/>
  </r>
  <r>
    <n v="4022"/>
    <n v="54470"/>
    <d v="1998-10-08T00:00:00"/>
    <n v="27"/>
    <x v="1"/>
    <x v="0"/>
    <d v="2024-02-14T00:00:00"/>
    <n v="1.5698630136986302"/>
    <x v="53"/>
    <x v="1"/>
    <x v="8"/>
    <x v="1"/>
    <n v="8.4700000000000006"/>
    <m/>
    <m/>
    <m/>
    <m/>
    <m/>
    <m/>
    <x v="1"/>
    <n v="0"/>
    <n v="6"/>
    <m/>
    <m/>
    <m/>
    <m/>
    <m/>
    <m/>
    <m/>
    <m/>
    <m/>
    <m/>
    <m/>
    <m/>
    <m/>
    <m/>
  </r>
  <r>
    <n v="4023"/>
    <n v="54471"/>
    <d v="1999-06-24T00:00:00"/>
    <n v="26"/>
    <x v="1"/>
    <x v="1"/>
    <d v="2024-06-06T00:00:00"/>
    <n v="1.1041095890410959"/>
    <x v="56"/>
    <x v="1"/>
    <x v="8"/>
    <x v="1"/>
    <n v="8.4700000000000006"/>
    <m/>
    <m/>
    <m/>
    <m/>
    <m/>
    <m/>
    <x v="4"/>
    <n v="1"/>
    <n v="6"/>
    <m/>
    <m/>
    <m/>
    <m/>
    <m/>
    <m/>
    <m/>
    <m/>
    <m/>
    <m/>
    <m/>
    <m/>
    <m/>
    <m/>
  </r>
  <r>
    <n v="4024"/>
    <n v="54472"/>
    <d v="1999-10-05T00:00:00"/>
    <n v="26"/>
    <x v="0"/>
    <x v="0"/>
    <d v="2024-11-23T00:00:00"/>
    <n v="1.7753424657534247"/>
    <x v="85"/>
    <x v="1"/>
    <x v="8"/>
    <x v="1"/>
    <n v="8.4700000000000006"/>
    <m/>
    <m/>
    <m/>
    <m/>
    <m/>
    <m/>
    <x v="2"/>
    <n v="4"/>
    <n v="4"/>
    <m/>
    <m/>
    <m/>
    <m/>
    <m/>
    <m/>
    <m/>
    <m/>
    <m/>
    <m/>
    <m/>
    <m/>
    <m/>
    <m/>
  </r>
  <r>
    <n v="4025"/>
    <n v="54473"/>
    <d v="1997-08-28T00:00:00"/>
    <n v="28"/>
    <x v="1"/>
    <x v="0"/>
    <d v="2024-03-23T00:00:00"/>
    <n v="1.2356164383561643"/>
    <x v="85"/>
    <x v="1"/>
    <x v="8"/>
    <x v="1"/>
    <n v="8.4700000000000006"/>
    <m/>
    <m/>
    <m/>
    <m/>
    <m/>
    <m/>
    <x v="2"/>
    <n v="2"/>
    <n v="5"/>
    <m/>
    <m/>
    <m/>
    <m/>
    <m/>
    <m/>
    <m/>
    <m/>
    <m/>
    <m/>
    <m/>
    <m/>
    <m/>
    <m/>
  </r>
  <r>
    <n v="4026"/>
    <n v="54474"/>
    <d v="2002-07-07T00:00:00"/>
    <n v="23"/>
    <x v="0"/>
    <x v="1"/>
    <d v="2024-10-06T00:00:00"/>
    <n v="1.7232876712328766"/>
    <x v="113"/>
    <x v="1"/>
    <x v="10"/>
    <x v="1"/>
    <n v="10.64"/>
    <m/>
    <m/>
    <m/>
    <m/>
    <m/>
    <m/>
    <x v="3"/>
    <n v="1"/>
    <n v="4"/>
    <m/>
    <m/>
    <m/>
    <m/>
    <m/>
    <m/>
    <m/>
    <m/>
    <m/>
    <m/>
    <m/>
    <m/>
    <m/>
    <m/>
  </r>
  <r>
    <n v="4027"/>
    <n v="54475"/>
    <d v="2005-03-06T00:00:00"/>
    <n v="20"/>
    <x v="0"/>
    <x v="1"/>
    <d v="2024-04-11T00:00:00"/>
    <n v="1.4986301369863013"/>
    <x v="113"/>
    <x v="1"/>
    <x v="8"/>
    <x v="1"/>
    <n v="8.4700000000000006"/>
    <m/>
    <m/>
    <m/>
    <m/>
    <m/>
    <m/>
    <x v="2"/>
    <n v="1"/>
    <n v="4"/>
    <m/>
    <m/>
    <m/>
    <m/>
    <m/>
    <m/>
    <m/>
    <m/>
    <m/>
    <m/>
    <m/>
    <m/>
    <m/>
    <m/>
  </r>
  <r>
    <n v="4028"/>
    <n v="54476"/>
    <d v="2000-09-29T00:00:00"/>
    <n v="25"/>
    <x v="1"/>
    <x v="0"/>
    <d v="2024-07-02T00:00:00"/>
    <n v="1.536986301369863"/>
    <x v="113"/>
    <x v="1"/>
    <x v="8"/>
    <x v="1"/>
    <n v="8.4700000000000006"/>
    <m/>
    <m/>
    <m/>
    <m/>
    <m/>
    <m/>
    <x v="1"/>
    <n v="3"/>
    <n v="7"/>
    <m/>
    <m/>
    <m/>
    <m/>
    <m/>
    <m/>
    <m/>
    <m/>
    <m/>
    <m/>
    <m/>
    <m/>
    <m/>
    <m/>
  </r>
  <r>
    <n v="4029"/>
    <n v="54477"/>
    <d v="2002-08-10T00:00:00"/>
    <n v="23"/>
    <x v="0"/>
    <x v="1"/>
    <d v="2024-06-18T00:00:00"/>
    <n v="1.2575342465753425"/>
    <x v="66"/>
    <x v="1"/>
    <x v="10"/>
    <x v="1"/>
    <n v="10.64"/>
    <m/>
    <m/>
    <m/>
    <m/>
    <m/>
    <m/>
    <x v="1"/>
    <n v="0"/>
    <n v="4"/>
    <m/>
    <m/>
    <m/>
    <m/>
    <m/>
    <m/>
    <m/>
    <m/>
    <m/>
    <m/>
    <m/>
    <m/>
    <m/>
    <m/>
  </r>
  <r>
    <n v="4030"/>
    <n v="54478"/>
    <d v="2005-03-20T00:00:00"/>
    <n v="20"/>
    <x v="1"/>
    <x v="1"/>
    <d v="2024-09-28T00:00:00"/>
    <n v="1.6986301369863013"/>
    <x v="68"/>
    <x v="1"/>
    <x v="8"/>
    <x v="1"/>
    <n v="8.4700000000000006"/>
    <m/>
    <m/>
    <m/>
    <m/>
    <m/>
    <m/>
    <x v="4"/>
    <n v="1"/>
    <n v="6"/>
    <m/>
    <m/>
    <m/>
    <m/>
    <m/>
    <m/>
    <m/>
    <m/>
    <m/>
    <m/>
    <m/>
    <m/>
    <m/>
    <m/>
  </r>
  <r>
    <n v="4031"/>
    <n v="54479"/>
    <d v="2004-04-22T00:00:00"/>
    <n v="21"/>
    <x v="1"/>
    <x v="1"/>
    <d v="2024-04-20T00:00:00"/>
    <n v="1.3671232876712329"/>
    <x v="69"/>
    <x v="1"/>
    <x v="10"/>
    <x v="1"/>
    <n v="10.64"/>
    <m/>
    <m/>
    <m/>
    <m/>
    <m/>
    <m/>
    <x v="2"/>
    <n v="0"/>
    <n v="4"/>
    <m/>
    <m/>
    <m/>
    <m/>
    <m/>
    <m/>
    <m/>
    <m/>
    <m/>
    <m/>
    <m/>
    <m/>
    <m/>
    <m/>
  </r>
  <r>
    <n v="4032"/>
    <n v="54480"/>
    <d v="2007-05-22T00:00:00"/>
    <n v="18"/>
    <x v="1"/>
    <x v="1"/>
    <d v="2024-08-19T00:00:00"/>
    <n v="1.3726027397260274"/>
    <x v="70"/>
    <x v="1"/>
    <x v="3"/>
    <x v="1"/>
    <n v="8.4700000000000006"/>
    <m/>
    <m/>
    <m/>
    <m/>
    <m/>
    <m/>
    <x v="2"/>
    <n v="4"/>
    <n v="7"/>
    <m/>
    <m/>
    <m/>
    <m/>
    <m/>
    <m/>
    <m/>
    <m/>
    <m/>
    <m/>
    <m/>
    <m/>
    <m/>
    <m/>
  </r>
  <r>
    <n v="4033"/>
    <n v="54481"/>
    <d v="2002-12-13T00:00:00"/>
    <n v="23"/>
    <x v="1"/>
    <x v="1"/>
    <d v="2024-08-17T00:00:00"/>
    <n v="1.3232876712328767"/>
    <x v="70"/>
    <x v="1"/>
    <x v="8"/>
    <x v="1"/>
    <n v="8.4700000000000006"/>
    <m/>
    <m/>
    <m/>
    <m/>
    <m/>
    <m/>
    <x v="4"/>
    <n v="0"/>
    <n v="5"/>
    <m/>
    <m/>
    <m/>
    <m/>
    <m/>
    <m/>
    <m/>
    <m/>
    <m/>
    <m/>
    <m/>
    <m/>
    <m/>
    <m/>
  </r>
  <r>
    <n v="4034"/>
    <n v="54482"/>
    <d v="2003-02-02T00:00:00"/>
    <n v="22"/>
    <x v="0"/>
    <x v="1"/>
    <d v="2024-09-04T00:00:00"/>
    <n v="1.3863013698630138"/>
    <x v="75"/>
    <x v="1"/>
    <x v="10"/>
    <x v="1"/>
    <n v="10.64"/>
    <m/>
    <m/>
    <m/>
    <m/>
    <m/>
    <m/>
    <x v="1"/>
    <n v="1"/>
    <n v="3"/>
    <m/>
    <m/>
    <m/>
    <m/>
    <m/>
    <m/>
    <m/>
    <m/>
    <m/>
    <m/>
    <m/>
    <m/>
    <m/>
    <m/>
  </r>
  <r>
    <n v="4035"/>
    <n v="54483"/>
    <d v="2006-03-05T00:00:00"/>
    <n v="19"/>
    <x v="1"/>
    <x v="1"/>
    <d v="2024-08-12T00:00:00"/>
    <n v="1.1041095890410959"/>
    <x v="75"/>
    <x v="1"/>
    <x v="8"/>
    <x v="1"/>
    <n v="8.4700000000000006"/>
    <m/>
    <m/>
    <m/>
    <m/>
    <m/>
    <m/>
    <x v="2"/>
    <n v="1"/>
    <n v="6"/>
    <m/>
    <m/>
    <m/>
    <m/>
    <m/>
    <m/>
    <m/>
    <m/>
    <m/>
    <m/>
    <m/>
    <m/>
    <m/>
    <m/>
  </r>
  <r>
    <n v="4036"/>
    <n v="54484"/>
    <d v="2001-06-20T00:00:00"/>
    <n v="24"/>
    <x v="0"/>
    <x v="1"/>
    <d v="2024-11-23T00:00:00"/>
    <n v="1.1424657534246576"/>
    <x v="125"/>
    <x v="1"/>
    <x v="11"/>
    <x v="1"/>
    <n v="17"/>
    <m/>
    <m/>
    <m/>
    <m/>
    <m/>
    <m/>
    <x v="3"/>
    <n v="4"/>
    <n v="7"/>
    <m/>
    <m/>
    <m/>
    <m/>
    <m/>
    <m/>
    <m/>
    <m/>
    <m/>
    <m/>
    <m/>
    <m/>
    <m/>
    <m/>
  </r>
  <r>
    <n v="4037"/>
    <n v="54485"/>
    <d v="2006-03-12T00:00:00"/>
    <n v="19"/>
    <x v="0"/>
    <x v="0"/>
    <d v="2024-11-09T00:00:00"/>
    <n v="1.4657534246575343"/>
    <x v="79"/>
    <x v="1"/>
    <x v="10"/>
    <x v="1"/>
    <n v="10.64"/>
    <m/>
    <m/>
    <m/>
    <m/>
    <m/>
    <m/>
    <x v="2"/>
    <n v="1"/>
    <n v="5"/>
    <m/>
    <m/>
    <m/>
    <m/>
    <m/>
    <m/>
    <m/>
    <m/>
    <m/>
    <m/>
    <m/>
    <m/>
    <m/>
    <m/>
  </r>
  <r>
    <n v="4038"/>
    <n v="54486"/>
    <d v="2003-02-24T00:00:00"/>
    <n v="22"/>
    <x v="1"/>
    <x v="1"/>
    <d v="2024-07-14T00:00:00"/>
    <n v="1.3753424657534246"/>
    <x v="79"/>
    <x v="1"/>
    <x v="8"/>
    <x v="1"/>
    <n v="8.4700000000000006"/>
    <m/>
    <m/>
    <m/>
    <m/>
    <m/>
    <m/>
    <x v="2"/>
    <n v="1"/>
    <n v="6"/>
    <m/>
    <m/>
    <m/>
    <m/>
    <m/>
    <m/>
    <m/>
    <m/>
    <m/>
    <m/>
    <m/>
    <m/>
    <m/>
    <m/>
  </r>
  <r>
    <n v="4039"/>
    <n v="54487"/>
    <d v="2003-12-16T00:00:00"/>
    <n v="22"/>
    <x v="1"/>
    <x v="0"/>
    <d v="2024-08-16T00:00:00"/>
    <n v="1.5561643835616439"/>
    <x v="79"/>
    <x v="1"/>
    <x v="8"/>
    <x v="1"/>
    <n v="8.4700000000000006"/>
    <m/>
    <m/>
    <m/>
    <m/>
    <m/>
    <m/>
    <x v="4"/>
    <n v="0"/>
    <n v="5"/>
    <m/>
    <m/>
    <m/>
    <m/>
    <m/>
    <m/>
    <m/>
    <m/>
    <m/>
    <m/>
    <m/>
    <m/>
    <m/>
    <m/>
  </r>
  <r>
    <n v="4040"/>
    <n v="54488"/>
    <d v="2002-01-15T00:00:00"/>
    <n v="23"/>
    <x v="1"/>
    <x v="1"/>
    <d v="2024-06-11T00:00:00"/>
    <n v="1.7013698630136986"/>
    <x v="93"/>
    <x v="1"/>
    <x v="8"/>
    <x v="1"/>
    <n v="8.4700000000000006"/>
    <m/>
    <m/>
    <m/>
    <m/>
    <m/>
    <m/>
    <x v="4"/>
    <n v="2"/>
    <n v="6"/>
    <m/>
    <m/>
    <m/>
    <m/>
    <m/>
    <m/>
    <m/>
    <m/>
    <m/>
    <m/>
    <m/>
    <m/>
    <m/>
    <m/>
  </r>
  <r>
    <n v="4041"/>
    <n v="54489"/>
    <d v="2004-08-16T00:00:00"/>
    <n v="21"/>
    <x v="0"/>
    <x v="0"/>
    <d v="2024-04-19T00:00:00"/>
    <n v="1.0657534246575342"/>
    <x v="93"/>
    <x v="1"/>
    <x v="8"/>
    <x v="1"/>
    <n v="8.4700000000000006"/>
    <m/>
    <m/>
    <m/>
    <m/>
    <m/>
    <m/>
    <x v="1"/>
    <n v="3"/>
    <n v="4"/>
    <m/>
    <m/>
    <m/>
    <m/>
    <m/>
    <m/>
    <m/>
    <m/>
    <m/>
    <m/>
    <m/>
    <m/>
    <m/>
    <m/>
  </r>
  <r>
    <n v="4042"/>
    <n v="54490"/>
    <d v="1987-05-01T00:00:00"/>
    <n v="39"/>
    <x v="0"/>
    <x v="0"/>
    <d v="2024-12-07T00:00:00"/>
    <n v="1.5863013698630137"/>
    <x v="109"/>
    <x v="1"/>
    <x v="6"/>
    <x v="1"/>
    <n v="23.78"/>
    <m/>
    <m/>
    <m/>
    <m/>
    <m/>
    <m/>
    <x v="1"/>
    <n v="7"/>
    <n v="5"/>
    <m/>
    <m/>
    <m/>
    <m/>
    <m/>
    <m/>
    <m/>
    <m/>
    <m/>
    <m/>
    <m/>
    <m/>
    <m/>
    <m/>
  </r>
  <r>
    <n v="4043"/>
    <n v="54491"/>
    <d v="1997-10-21T00:00:00"/>
    <n v="28"/>
    <x v="1"/>
    <x v="0"/>
    <d v="2024-05-31T00:00:00"/>
    <n v="1.6712328767123288"/>
    <x v="109"/>
    <x v="1"/>
    <x v="7"/>
    <x v="1"/>
    <n v="17.59"/>
    <m/>
    <m/>
    <m/>
    <m/>
    <m/>
    <m/>
    <x v="4"/>
    <n v="0"/>
    <n v="4"/>
    <m/>
    <m/>
    <m/>
    <m/>
    <m/>
    <m/>
    <m/>
    <m/>
    <m/>
    <m/>
    <m/>
    <m/>
    <m/>
    <m/>
  </r>
  <r>
    <n v="4044"/>
    <n v="54492"/>
    <d v="2000-08-15T00:00:00"/>
    <n v="25"/>
    <x v="0"/>
    <x v="1"/>
    <d v="2024-04-30T00:00:00"/>
    <n v="1.2191780821917808"/>
    <x v="129"/>
    <x v="1"/>
    <x v="7"/>
    <x v="1"/>
    <n v="17.59"/>
    <m/>
    <m/>
    <m/>
    <m/>
    <m/>
    <m/>
    <x v="1"/>
    <n v="2"/>
    <n v="5"/>
    <m/>
    <m/>
    <m/>
    <m/>
    <m/>
    <m/>
    <m/>
    <m/>
    <m/>
    <m/>
    <m/>
    <m/>
    <m/>
    <m/>
  </r>
  <r>
    <n v="4045"/>
    <n v="54493"/>
    <d v="2002-06-05T00:00:00"/>
    <n v="23"/>
    <x v="1"/>
    <x v="0"/>
    <d v="2024-10-12T00:00:00"/>
    <n v="1.6630136986301369"/>
    <x v="129"/>
    <x v="1"/>
    <x v="8"/>
    <x v="1"/>
    <n v="8.4700000000000006"/>
    <m/>
    <m/>
    <m/>
    <m/>
    <m/>
    <m/>
    <x v="1"/>
    <n v="1"/>
    <n v="6"/>
    <m/>
    <m/>
    <m/>
    <m/>
    <m/>
    <m/>
    <m/>
    <m/>
    <m/>
    <m/>
    <m/>
    <m/>
    <m/>
    <m/>
  </r>
  <r>
    <n v="4046"/>
    <n v="54494"/>
    <d v="2004-08-27T00:00:00"/>
    <n v="21"/>
    <x v="1"/>
    <x v="0"/>
    <d v="2024-05-03T00:00:00"/>
    <n v="1.1013698630136985"/>
    <x v="129"/>
    <x v="1"/>
    <x v="8"/>
    <x v="1"/>
    <n v="8.4700000000000006"/>
    <m/>
    <m/>
    <m/>
    <m/>
    <m/>
    <m/>
    <x v="4"/>
    <n v="2"/>
    <n v="6"/>
    <m/>
    <m/>
    <m/>
    <m/>
    <m/>
    <m/>
    <m/>
    <m/>
    <m/>
    <m/>
    <m/>
    <m/>
    <m/>
    <m/>
  </r>
  <r>
    <n v="4047"/>
    <n v="54495"/>
    <d v="2006-03-28T00:00:00"/>
    <n v="19"/>
    <x v="1"/>
    <x v="1"/>
    <d v="2024-11-24T00:00:00"/>
    <n v="1.0876712328767124"/>
    <x v="80"/>
    <x v="1"/>
    <x v="8"/>
    <x v="1"/>
    <n v="8.4700000000000006"/>
    <m/>
    <m/>
    <m/>
    <m/>
    <m/>
    <m/>
    <x v="3"/>
    <n v="2"/>
    <n v="5"/>
    <m/>
    <m/>
    <m/>
    <m/>
    <m/>
    <m/>
    <m/>
    <m/>
    <m/>
    <m/>
    <m/>
    <m/>
    <m/>
    <m/>
  </r>
  <r>
    <n v="4048"/>
    <n v="54496"/>
    <d v="2002-07-11T00:00:00"/>
    <n v="23"/>
    <x v="1"/>
    <x v="1"/>
    <d v="2024-11-29T00:00:00"/>
    <n v="1.0136986301369864"/>
    <x v="80"/>
    <x v="1"/>
    <x v="8"/>
    <x v="1"/>
    <n v="8.4700000000000006"/>
    <m/>
    <m/>
    <m/>
    <m/>
    <m/>
    <m/>
    <x v="1"/>
    <n v="0"/>
    <n v="7"/>
    <m/>
    <m/>
    <m/>
    <m/>
    <m/>
    <m/>
    <m/>
    <m/>
    <m/>
    <m/>
    <m/>
    <m/>
    <m/>
    <m/>
  </r>
  <r>
    <n v="4049"/>
    <n v="54497"/>
    <d v="2003-03-13T00:00:00"/>
    <n v="22"/>
    <x v="1"/>
    <x v="1"/>
    <d v="2024-12-26T00:00:00"/>
    <n v="1.1452054794520548"/>
    <x v="134"/>
    <x v="1"/>
    <x v="10"/>
    <x v="1"/>
    <n v="10.64"/>
    <m/>
    <m/>
    <m/>
    <m/>
    <m/>
    <m/>
    <x v="1"/>
    <n v="1"/>
    <n v="6"/>
    <m/>
    <m/>
    <m/>
    <m/>
    <m/>
    <m/>
    <m/>
    <m/>
    <m/>
    <m/>
    <m/>
    <m/>
    <m/>
    <m/>
  </r>
  <r>
    <n v="4050"/>
    <n v="54498"/>
    <d v="2005-05-27T00:00:00"/>
    <n v="20"/>
    <x v="1"/>
    <x v="1"/>
    <d v="2024-11-08T00:00:00"/>
    <n v="1.6931506849315068"/>
    <x v="100"/>
    <x v="1"/>
    <x v="10"/>
    <x v="1"/>
    <n v="10.64"/>
    <m/>
    <m/>
    <m/>
    <m/>
    <m/>
    <m/>
    <x v="4"/>
    <n v="0"/>
    <n v="5"/>
    <m/>
    <m/>
    <m/>
    <m/>
    <m/>
    <m/>
    <m/>
    <m/>
    <m/>
    <m/>
    <m/>
    <m/>
    <m/>
    <m/>
  </r>
  <r>
    <n v="4051"/>
    <n v="54499"/>
    <d v="2001-06-06T00:00:00"/>
    <n v="24"/>
    <x v="1"/>
    <x v="1"/>
    <d v="2024-04-22T00:00:00"/>
    <n v="1.1917808219178083"/>
    <x v="96"/>
    <x v="1"/>
    <x v="8"/>
    <x v="1"/>
    <n v="8.4700000000000006"/>
    <m/>
    <m/>
    <m/>
    <m/>
    <m/>
    <m/>
    <x v="2"/>
    <n v="2"/>
    <n v="7"/>
    <m/>
    <m/>
    <m/>
    <m/>
    <m/>
    <m/>
    <m/>
    <m/>
    <m/>
    <m/>
    <m/>
    <m/>
    <m/>
    <m/>
  </r>
  <r>
    <n v="4052"/>
    <n v="54500"/>
    <d v="2000-02-19T00:00:00"/>
    <n v="25"/>
    <x v="0"/>
    <x v="1"/>
    <d v="2024-10-22T00:00:00"/>
    <n v="1.1534246575342466"/>
    <x v="96"/>
    <x v="1"/>
    <x v="8"/>
    <x v="1"/>
    <n v="8.4700000000000006"/>
    <m/>
    <m/>
    <m/>
    <m/>
    <m/>
    <m/>
    <x v="4"/>
    <n v="0"/>
    <n v="5"/>
    <m/>
    <m/>
    <m/>
    <m/>
    <m/>
    <m/>
    <m/>
    <m/>
    <m/>
    <m/>
    <m/>
    <m/>
    <m/>
    <m/>
  </r>
  <r>
    <n v="4053"/>
    <n v="54501"/>
    <d v="2004-08-14T00:00:00"/>
    <n v="21"/>
    <x v="1"/>
    <x v="1"/>
    <d v="2024-11-05T00:00:00"/>
    <n v="1.7780821917808218"/>
    <x v="96"/>
    <x v="1"/>
    <x v="8"/>
    <x v="1"/>
    <n v="8.4700000000000006"/>
    <m/>
    <m/>
    <m/>
    <m/>
    <m/>
    <m/>
    <x v="2"/>
    <n v="4"/>
    <n v="7"/>
    <m/>
    <m/>
    <m/>
    <m/>
    <m/>
    <m/>
    <m/>
    <m/>
    <m/>
    <m/>
    <m/>
    <m/>
    <m/>
    <m/>
  </r>
  <r>
    <n v="4054"/>
    <n v="54502"/>
    <d v="2000-11-03T00:00:00"/>
    <n v="25"/>
    <x v="1"/>
    <x v="1"/>
    <d v="2024-03-22T00:00:00"/>
    <n v="1.7780821917808218"/>
    <x v="110"/>
    <x v="1"/>
    <x v="2"/>
    <x v="1"/>
    <n v="14.23"/>
    <m/>
    <m/>
    <m/>
    <m/>
    <m/>
    <m/>
    <x v="4"/>
    <n v="0"/>
    <n v="5"/>
    <m/>
    <m/>
    <m/>
    <m/>
    <m/>
    <m/>
    <m/>
    <m/>
    <m/>
    <m/>
    <m/>
    <m/>
    <m/>
    <m/>
  </r>
  <r>
    <n v="4055"/>
    <n v="54503"/>
    <d v="1999-10-01T00:00:00"/>
    <n v="27"/>
    <x v="1"/>
    <x v="1"/>
    <d v="2024-03-22T00:00:00"/>
    <n v="1.0876712328767124"/>
    <x v="110"/>
    <x v="1"/>
    <x v="8"/>
    <x v="1"/>
    <n v="8.4700000000000006"/>
    <m/>
    <m/>
    <m/>
    <m/>
    <m/>
    <m/>
    <x v="3"/>
    <n v="4"/>
    <n v="7"/>
    <m/>
    <m/>
    <m/>
    <m/>
    <m/>
    <m/>
    <m/>
    <m/>
    <m/>
    <m/>
    <m/>
    <m/>
    <m/>
    <m/>
  </r>
  <r>
    <n v="4056"/>
    <n v="54504"/>
    <d v="1999-04-12T00:00:00"/>
    <n v="26"/>
    <x v="1"/>
    <x v="0"/>
    <d v="2024-11-29T00:00:00"/>
    <n v="1.4191780821917808"/>
    <x v="101"/>
    <x v="1"/>
    <x v="8"/>
    <x v="1"/>
    <n v="8.4700000000000006"/>
    <m/>
    <m/>
    <m/>
    <m/>
    <m/>
    <m/>
    <x v="1"/>
    <n v="4"/>
    <n v="7"/>
    <m/>
    <m/>
    <m/>
    <m/>
    <m/>
    <m/>
    <m/>
    <m/>
    <m/>
    <m/>
    <m/>
    <m/>
    <m/>
    <m/>
  </r>
  <r>
    <n v="4057"/>
    <n v="54505"/>
    <d v="2003-04-27T00:00:00"/>
    <n v="22"/>
    <x v="0"/>
    <x v="1"/>
    <d v="2024-07-31T00:00:00"/>
    <n v="1.1150684931506849"/>
    <x v="112"/>
    <x v="1"/>
    <x v="11"/>
    <x v="1"/>
    <n v="17"/>
    <m/>
    <m/>
    <m/>
    <m/>
    <m/>
    <m/>
    <x v="4"/>
    <n v="1"/>
    <n v="3"/>
    <m/>
    <m/>
    <m/>
    <m/>
    <m/>
    <m/>
    <m/>
    <m/>
    <m/>
    <m/>
    <m/>
    <m/>
    <m/>
    <m/>
  </r>
  <r>
    <n v="4058"/>
    <n v="54506"/>
    <d v="2002-12-25T00:00:00"/>
    <n v="23"/>
    <x v="1"/>
    <x v="0"/>
    <d v="2024-11-19T00:00:00"/>
    <n v="1.2136986301369863"/>
    <x v="98"/>
    <x v="1"/>
    <x v="8"/>
    <x v="1"/>
    <n v="8.4700000000000006"/>
    <m/>
    <m/>
    <m/>
    <m/>
    <m/>
    <m/>
    <x v="2"/>
    <n v="2"/>
    <n v="5"/>
    <m/>
    <m/>
    <m/>
    <m/>
    <m/>
    <m/>
    <m/>
    <m/>
    <m/>
    <m/>
    <m/>
    <m/>
    <m/>
    <m/>
  </r>
  <r>
    <n v="4059"/>
    <n v="54507"/>
    <d v="1997-07-13T00:00:00"/>
    <n v="28"/>
    <x v="0"/>
    <x v="0"/>
    <d v="2024-10-14T00:00:00"/>
    <n v="1.8465753424657534"/>
    <x v="10"/>
    <x v="0"/>
    <x v="8"/>
    <x v="1"/>
    <n v="8.4700000000000006"/>
    <m/>
    <m/>
    <m/>
    <m/>
    <m/>
    <m/>
    <x v="1"/>
    <n v="3"/>
    <n v="5"/>
    <m/>
    <m/>
    <m/>
    <m/>
    <m/>
    <m/>
    <m/>
    <m/>
    <m/>
    <m/>
    <m/>
    <m/>
    <m/>
    <m/>
  </r>
  <r>
    <n v="4060"/>
    <n v="54508"/>
    <d v="1994-02-18T00:00:00"/>
    <n v="31"/>
    <x v="1"/>
    <x v="0"/>
    <d v="2024-02-26T00:00:00"/>
    <n v="1.0602739726027397"/>
    <x v="10"/>
    <x v="0"/>
    <x v="8"/>
    <x v="1"/>
    <n v="8.4700000000000006"/>
    <m/>
    <m/>
    <m/>
    <m/>
    <m/>
    <m/>
    <x v="1"/>
    <n v="2"/>
    <n v="6"/>
    <m/>
    <m/>
    <m/>
    <m/>
    <m/>
    <m/>
    <m/>
    <m/>
    <m/>
    <m/>
    <m/>
    <m/>
    <m/>
    <m/>
  </r>
  <r>
    <n v="4061"/>
    <n v="54509"/>
    <d v="2002-03-26T00:00:00"/>
    <n v="23"/>
    <x v="0"/>
    <x v="1"/>
    <d v="2024-12-09T00:00:00"/>
    <n v="1.4657534246575343"/>
    <x v="15"/>
    <x v="0"/>
    <x v="3"/>
    <x v="1"/>
    <n v="8.4700000000000006"/>
    <m/>
    <m/>
    <m/>
    <m/>
    <m/>
    <m/>
    <x v="3"/>
    <n v="2"/>
    <n v="4"/>
    <m/>
    <m/>
    <m/>
    <m/>
    <m/>
    <m/>
    <m/>
    <m/>
    <m/>
    <m/>
    <m/>
    <m/>
    <m/>
    <m/>
  </r>
  <r>
    <n v="4062"/>
    <n v="54511"/>
    <d v="1997-08-31T00:00:00"/>
    <n v="28"/>
    <x v="1"/>
    <x v="0"/>
    <d v="2024-07-14T00:00:00"/>
    <n v="1.6356164383561644"/>
    <x v="28"/>
    <x v="0"/>
    <x v="8"/>
    <x v="1"/>
    <n v="8.4700000000000006"/>
    <m/>
    <m/>
    <m/>
    <m/>
    <m/>
    <m/>
    <x v="4"/>
    <n v="2"/>
    <n v="6"/>
    <m/>
    <m/>
    <m/>
    <m/>
    <m/>
    <m/>
    <m/>
    <m/>
    <m/>
    <m/>
    <m/>
    <m/>
    <m/>
    <m/>
  </r>
  <r>
    <n v="4063"/>
    <n v="54512"/>
    <d v="2006-03-01T00:00:00"/>
    <n v="20"/>
    <x v="1"/>
    <x v="1"/>
    <d v="2024-05-13T00:00:00"/>
    <n v="1.4465753424657535"/>
    <x v="26"/>
    <x v="0"/>
    <x v="3"/>
    <x v="1"/>
    <n v="8.4700000000000006"/>
    <m/>
    <m/>
    <m/>
    <m/>
    <m/>
    <m/>
    <x v="4"/>
    <n v="2"/>
    <n v="5"/>
    <m/>
    <m/>
    <m/>
    <m/>
    <m/>
    <m/>
    <m/>
    <m/>
    <m/>
    <m/>
    <m/>
    <m/>
    <m/>
    <m/>
  </r>
  <r>
    <n v="4064"/>
    <n v="54513"/>
    <d v="1995-02-17T00:00:00"/>
    <n v="30"/>
    <x v="0"/>
    <x v="1"/>
    <d v="2024-07-21T00:00:00"/>
    <n v="1.2356164383561643"/>
    <x v="26"/>
    <x v="0"/>
    <x v="7"/>
    <x v="1"/>
    <n v="17.59"/>
    <m/>
    <m/>
    <m/>
    <m/>
    <m/>
    <m/>
    <x v="1"/>
    <n v="4"/>
    <n v="4"/>
    <m/>
    <m/>
    <m/>
    <m/>
    <m/>
    <m/>
    <m/>
    <m/>
    <m/>
    <m/>
    <m/>
    <m/>
    <m/>
    <m/>
  </r>
  <r>
    <n v="4065"/>
    <n v="54514"/>
    <d v="1998-11-03T00:00:00"/>
    <n v="27"/>
    <x v="1"/>
    <x v="1"/>
    <d v="2024-10-06T00:00:00"/>
    <n v="1.6410958904109589"/>
    <x v="26"/>
    <x v="0"/>
    <x v="8"/>
    <x v="1"/>
    <n v="8.4700000000000006"/>
    <m/>
    <m/>
    <m/>
    <m/>
    <m/>
    <m/>
    <x v="3"/>
    <n v="2"/>
    <n v="7"/>
    <m/>
    <m/>
    <m/>
    <m/>
    <m/>
    <m/>
    <m/>
    <m/>
    <m/>
    <m/>
    <m/>
    <m/>
    <m/>
    <m/>
  </r>
  <r>
    <n v="4066"/>
    <n v="54515"/>
    <d v="2003-04-01T00:00:00"/>
    <n v="23"/>
    <x v="1"/>
    <x v="1"/>
    <d v="2024-05-11T00:00:00"/>
    <n v="1.6712328767123288"/>
    <x v="138"/>
    <x v="0"/>
    <x v="3"/>
    <x v="1"/>
    <n v="8.4700000000000006"/>
    <m/>
    <m/>
    <m/>
    <m/>
    <m/>
    <m/>
    <x v="4"/>
    <n v="0"/>
    <n v="4"/>
    <m/>
    <m/>
    <m/>
    <m/>
    <m/>
    <m/>
    <m/>
    <m/>
    <m/>
    <m/>
    <m/>
    <m/>
    <m/>
    <m/>
  </r>
  <r>
    <n v="4067"/>
    <n v="54516"/>
    <d v="2002-07-20T00:00:00"/>
    <n v="23"/>
    <x v="1"/>
    <x v="1"/>
    <d v="2024-04-30T00:00:00"/>
    <n v="1.7698630136986302"/>
    <x v="144"/>
    <x v="0"/>
    <x v="10"/>
    <x v="1"/>
    <n v="10.64"/>
    <m/>
    <m/>
    <m/>
    <m/>
    <m/>
    <m/>
    <x v="4"/>
    <n v="0"/>
    <n v="5"/>
    <m/>
    <m/>
    <m/>
    <m/>
    <m/>
    <m/>
    <m/>
    <m/>
    <m/>
    <m/>
    <m/>
    <m/>
    <m/>
    <m/>
  </r>
  <r>
    <n v="4068"/>
    <n v="54518"/>
    <d v="2002-08-12T00:00:00"/>
    <n v="23"/>
    <x v="0"/>
    <x v="1"/>
    <d v="2024-03-25T00:00:00"/>
    <n v="1.5890410958904109"/>
    <x v="48"/>
    <x v="1"/>
    <x v="2"/>
    <x v="1"/>
    <n v="14.23"/>
    <m/>
    <m/>
    <m/>
    <m/>
    <m/>
    <m/>
    <x v="4"/>
    <n v="1"/>
    <n v="6"/>
    <m/>
    <m/>
    <m/>
    <m/>
    <m/>
    <m/>
    <m/>
    <m/>
    <m/>
    <m/>
    <m/>
    <m/>
    <m/>
    <m/>
  </r>
  <r>
    <n v="4069"/>
    <n v="54519"/>
    <d v="1994-06-08T00:00:00"/>
    <n v="31"/>
    <x v="0"/>
    <x v="1"/>
    <d v="2024-05-30T00:00:00"/>
    <n v="1.6712328767123288"/>
    <x v="54"/>
    <x v="1"/>
    <x v="3"/>
    <x v="1"/>
    <n v="8.4700000000000006"/>
    <m/>
    <m/>
    <m/>
    <m/>
    <m/>
    <m/>
    <x v="1"/>
    <n v="4"/>
    <n v="5"/>
    <m/>
    <m/>
    <m/>
    <m/>
    <m/>
    <m/>
    <m/>
    <m/>
    <m/>
    <m/>
    <m/>
    <m/>
    <m/>
    <m/>
  </r>
  <r>
    <n v="4070"/>
    <n v="54520"/>
    <d v="2000-11-20T00:00:00"/>
    <n v="25"/>
    <x v="1"/>
    <x v="0"/>
    <d v="2024-04-30T00:00:00"/>
    <n v="1.0547945205479452"/>
    <x v="111"/>
    <x v="1"/>
    <x v="9"/>
    <x v="1"/>
    <n v="14.07"/>
    <m/>
    <m/>
    <m/>
    <m/>
    <m/>
    <m/>
    <x v="3"/>
    <n v="0"/>
    <n v="6"/>
    <m/>
    <m/>
    <m/>
    <m/>
    <m/>
    <m/>
    <m/>
    <m/>
    <m/>
    <m/>
    <m/>
    <m/>
    <m/>
    <m/>
  </r>
  <r>
    <n v="4071"/>
    <n v="54521"/>
    <d v="2003-12-26T00:00:00"/>
    <n v="22"/>
    <x v="0"/>
    <x v="0"/>
    <d v="2024-12-11T00:00:00"/>
    <n v="1.5890410958904109"/>
    <x v="111"/>
    <x v="1"/>
    <x v="7"/>
    <x v="1"/>
    <n v="17.59"/>
    <m/>
    <m/>
    <m/>
    <m/>
    <m/>
    <m/>
    <x v="4"/>
    <n v="2"/>
    <n v="5"/>
    <m/>
    <m/>
    <m/>
    <m/>
    <m/>
    <m/>
    <m/>
    <m/>
    <m/>
    <m/>
    <m/>
    <m/>
    <m/>
    <m/>
  </r>
  <r>
    <n v="4072"/>
    <n v="54522"/>
    <d v="2005-02-28T00:00:00"/>
    <n v="20"/>
    <x v="1"/>
    <x v="1"/>
    <d v="2024-05-30T00:00:00"/>
    <n v="1.4219178082191781"/>
    <x v="111"/>
    <x v="1"/>
    <x v="8"/>
    <x v="1"/>
    <n v="8.4700000000000006"/>
    <m/>
    <m/>
    <m/>
    <m/>
    <m/>
    <m/>
    <x v="4"/>
    <n v="1"/>
    <n v="4"/>
    <m/>
    <m/>
    <m/>
    <m/>
    <m/>
    <m/>
    <m/>
    <m/>
    <m/>
    <m/>
    <m/>
    <m/>
    <m/>
    <m/>
  </r>
  <r>
    <n v="4073"/>
    <n v="54523"/>
    <d v="1996-02-12T00:00:00"/>
    <n v="29"/>
    <x v="0"/>
    <x v="1"/>
    <d v="2024-07-30T00:00:00"/>
    <n v="1.3095890410958904"/>
    <x v="131"/>
    <x v="1"/>
    <x v="2"/>
    <x v="1"/>
    <n v="14.23"/>
    <m/>
    <m/>
    <m/>
    <m/>
    <m/>
    <m/>
    <x v="2"/>
    <n v="0"/>
    <n v="2"/>
    <m/>
    <m/>
    <m/>
    <m/>
    <m/>
    <m/>
    <m/>
    <m/>
    <m/>
    <m/>
    <m/>
    <m/>
    <m/>
    <m/>
  </r>
  <r>
    <n v="4074"/>
    <n v="54524"/>
    <d v="2005-05-01T00:00:00"/>
    <n v="21"/>
    <x v="1"/>
    <x v="1"/>
    <d v="2024-09-09T00:00:00"/>
    <n v="1.7342465753424658"/>
    <x v="72"/>
    <x v="1"/>
    <x v="3"/>
    <x v="1"/>
    <n v="8.4700000000000006"/>
    <m/>
    <m/>
    <m/>
    <m/>
    <m/>
    <m/>
    <x v="1"/>
    <n v="1"/>
    <n v="6"/>
    <m/>
    <m/>
    <m/>
    <m/>
    <m/>
    <m/>
    <m/>
    <m/>
    <m/>
    <m/>
    <m/>
    <m/>
    <m/>
    <m/>
  </r>
  <r>
    <n v="4075"/>
    <n v="54526"/>
    <d v="2006-12-01T00:00:00"/>
    <n v="20"/>
    <x v="1"/>
    <x v="0"/>
    <d v="2024-04-07T00:00:00"/>
    <n v="1.2273972602739727"/>
    <x v="74"/>
    <x v="1"/>
    <x v="8"/>
    <x v="1"/>
    <n v="8.4700000000000006"/>
    <m/>
    <m/>
    <m/>
    <m/>
    <m/>
    <m/>
    <x v="3"/>
    <n v="2"/>
    <n v="6"/>
    <m/>
    <m/>
    <m/>
    <m/>
    <m/>
    <m/>
    <m/>
    <m/>
    <m/>
    <m/>
    <m/>
    <m/>
    <m/>
    <m/>
  </r>
  <r>
    <n v="4076"/>
    <n v="54527"/>
    <d v="1993-01-02T00:00:00"/>
    <n v="32"/>
    <x v="0"/>
    <x v="1"/>
    <d v="2024-10-09T00:00:00"/>
    <n v="1.3835616438356164"/>
    <x v="129"/>
    <x v="1"/>
    <x v="2"/>
    <x v="1"/>
    <n v="14.23"/>
    <m/>
    <m/>
    <m/>
    <m/>
    <m/>
    <m/>
    <x v="4"/>
    <n v="0"/>
    <n v="5"/>
    <m/>
    <m/>
    <m/>
    <m/>
    <m/>
    <m/>
    <m/>
    <m/>
    <m/>
    <m/>
    <m/>
    <m/>
    <m/>
    <m/>
  </r>
  <r>
    <n v="4077"/>
    <n v="54528"/>
    <d v="2004-02-21T00:00:00"/>
    <n v="21"/>
    <x v="0"/>
    <x v="0"/>
    <d v="2024-08-13T00:00:00"/>
    <n v="1.2328767123287672"/>
    <x v="80"/>
    <x v="1"/>
    <x v="10"/>
    <x v="1"/>
    <n v="10.64"/>
    <m/>
    <m/>
    <m/>
    <m/>
    <m/>
    <m/>
    <x v="4"/>
    <n v="0"/>
    <n v="3"/>
    <m/>
    <m/>
    <m/>
    <m/>
    <m/>
    <m/>
    <m/>
    <m/>
    <m/>
    <m/>
    <m/>
    <m/>
    <m/>
    <m/>
  </r>
  <r>
    <n v="4078"/>
    <n v="54529"/>
    <d v="2003-05-30T00:00:00"/>
    <n v="22"/>
    <x v="0"/>
    <x v="1"/>
    <d v="2024-10-07T00:00:00"/>
    <n v="1.8547945205479452"/>
    <x v="89"/>
    <x v="1"/>
    <x v="8"/>
    <x v="1"/>
    <n v="8.4700000000000006"/>
    <m/>
    <m/>
    <m/>
    <m/>
    <m/>
    <m/>
    <x v="1"/>
    <n v="2"/>
    <n v="4"/>
    <m/>
    <m/>
    <m/>
    <m/>
    <m/>
    <m/>
    <m/>
    <m/>
    <m/>
    <m/>
    <m/>
    <m/>
    <m/>
    <m/>
  </r>
  <r>
    <n v="4079"/>
    <n v="54530"/>
    <d v="2005-03-07T00:00:00"/>
    <n v="20"/>
    <x v="1"/>
    <x v="1"/>
    <d v="2024-02-23T00:00:00"/>
    <n v="1.6794520547945206"/>
    <x v="13"/>
    <x v="0"/>
    <x v="8"/>
    <x v="1"/>
    <n v="8.4700000000000006"/>
    <m/>
    <m/>
    <m/>
    <m/>
    <m/>
    <m/>
    <x v="3"/>
    <n v="2"/>
    <n v="6"/>
    <m/>
    <m/>
    <m/>
    <m/>
    <m/>
    <m/>
    <m/>
    <m/>
    <m/>
    <m/>
    <m/>
    <m/>
    <m/>
    <m/>
  </r>
  <r>
    <n v="4080"/>
    <n v="54531"/>
    <d v="2000-08-24T00:00:00"/>
    <n v="25"/>
    <x v="0"/>
    <x v="1"/>
    <d v="2024-04-27T00:00:00"/>
    <n v="1.6082191780821917"/>
    <x v="27"/>
    <x v="0"/>
    <x v="10"/>
    <x v="1"/>
    <n v="10.64"/>
    <m/>
    <m/>
    <m/>
    <m/>
    <m/>
    <m/>
    <x v="2"/>
    <n v="1"/>
    <n v="5"/>
    <m/>
    <m/>
    <m/>
    <m/>
    <m/>
    <m/>
    <m/>
    <m/>
    <m/>
    <m/>
    <m/>
    <m/>
    <m/>
    <m/>
  </r>
  <r>
    <n v="4081"/>
    <n v="54532"/>
    <d v="2007-06-29T00:00:00"/>
    <n v="18"/>
    <x v="1"/>
    <x v="1"/>
    <d v="2024-05-23T00:00:00"/>
    <n v="1.1013698630136985"/>
    <x v="31"/>
    <x v="0"/>
    <x v="3"/>
    <x v="1"/>
    <n v="8.4700000000000006"/>
    <m/>
    <m/>
    <m/>
    <m/>
    <m/>
    <m/>
    <x v="4"/>
    <n v="2"/>
    <n v="7"/>
    <m/>
    <m/>
    <m/>
    <m/>
    <m/>
    <m/>
    <m/>
    <m/>
    <m/>
    <m/>
    <m/>
    <m/>
    <m/>
    <m/>
  </r>
  <r>
    <n v="4082"/>
    <n v="54533"/>
    <d v="2007-02-22T00:00:00"/>
    <n v="18"/>
    <x v="1"/>
    <x v="1"/>
    <d v="2024-11-24T00:00:00"/>
    <n v="1.1863013698630136"/>
    <x v="32"/>
    <x v="0"/>
    <x v="8"/>
    <x v="1"/>
    <n v="8.4700000000000006"/>
    <m/>
    <m/>
    <m/>
    <m/>
    <m/>
    <m/>
    <x v="3"/>
    <n v="4"/>
    <n v="6"/>
    <m/>
    <m/>
    <m/>
    <m/>
    <m/>
    <m/>
    <m/>
    <m/>
    <m/>
    <m/>
    <m/>
    <m/>
    <m/>
    <m/>
  </r>
  <r>
    <n v="4083"/>
    <n v="54534"/>
    <d v="2004-02-02T00:00:00"/>
    <n v="21"/>
    <x v="1"/>
    <x v="1"/>
    <d v="2024-10-24T00:00:00"/>
    <n v="1.0849315068493151"/>
    <x v="78"/>
    <x v="0"/>
    <x v="8"/>
    <x v="1"/>
    <n v="8.4700000000000006"/>
    <m/>
    <m/>
    <m/>
    <m/>
    <m/>
    <m/>
    <x v="3"/>
    <n v="0"/>
    <n v="6"/>
    <m/>
    <m/>
    <m/>
    <m/>
    <m/>
    <m/>
    <m/>
    <m/>
    <m/>
    <m/>
    <m/>
    <m/>
    <m/>
    <m/>
  </r>
  <r>
    <n v="4084"/>
    <n v="54535"/>
    <d v="1997-08-06T00:00:00"/>
    <n v="28"/>
    <x v="1"/>
    <x v="1"/>
    <d v="2024-11-30T00:00:00"/>
    <n v="1.0520547945205478"/>
    <x v="50"/>
    <x v="0"/>
    <x v="3"/>
    <x v="1"/>
    <n v="8.4700000000000006"/>
    <m/>
    <m/>
    <m/>
    <m/>
    <m/>
    <m/>
    <x v="4"/>
    <n v="4"/>
    <n v="7"/>
    <m/>
    <m/>
    <m/>
    <m/>
    <m/>
    <m/>
    <m/>
    <m/>
    <m/>
    <m/>
    <m/>
    <m/>
    <m/>
    <m/>
  </r>
  <r>
    <n v="4085"/>
    <n v="54536"/>
    <d v="2005-10-20T00:00:00"/>
    <n v="20"/>
    <x v="1"/>
    <x v="1"/>
    <d v="2024-12-12T00:00:00"/>
    <n v="1.6356164383561644"/>
    <x v="34"/>
    <x v="0"/>
    <x v="8"/>
    <x v="1"/>
    <n v="8.4700000000000006"/>
    <m/>
    <m/>
    <m/>
    <m/>
    <m/>
    <m/>
    <x v="3"/>
    <n v="4"/>
    <n v="7"/>
    <m/>
    <m/>
    <m/>
    <m/>
    <m/>
    <m/>
    <m/>
    <m/>
    <m/>
    <m/>
    <m/>
    <m/>
    <m/>
    <m/>
  </r>
  <r>
    <n v="4086"/>
    <n v="54537"/>
    <d v="2004-12-19T00:00:00"/>
    <n v="21"/>
    <x v="0"/>
    <x v="1"/>
    <d v="2024-05-13T00:00:00"/>
    <n v="1.463013698630137"/>
    <x v="55"/>
    <x v="0"/>
    <x v="3"/>
    <x v="1"/>
    <n v="8.4700000000000006"/>
    <m/>
    <m/>
    <m/>
    <m/>
    <m/>
    <m/>
    <x v="4"/>
    <n v="2"/>
    <n v="4"/>
    <m/>
    <m/>
    <m/>
    <m/>
    <m/>
    <m/>
    <m/>
    <m/>
    <m/>
    <m/>
    <m/>
    <m/>
    <m/>
    <m/>
  </r>
  <r>
    <n v="4087"/>
    <n v="54539"/>
    <d v="1999-04-28T00:00:00"/>
    <n v="26"/>
    <x v="1"/>
    <x v="1"/>
    <d v="2024-07-15T00:00:00"/>
    <n v="1.6630136986301369"/>
    <x v="73"/>
    <x v="0"/>
    <x v="8"/>
    <x v="1"/>
    <n v="8.4700000000000006"/>
    <m/>
    <m/>
    <m/>
    <m/>
    <m/>
    <m/>
    <x v="1"/>
    <n v="2"/>
    <n v="6"/>
    <m/>
    <m/>
    <m/>
    <m/>
    <m/>
    <m/>
    <m/>
    <m/>
    <m/>
    <m/>
    <m/>
    <m/>
    <m/>
    <m/>
  </r>
  <r>
    <n v="4088"/>
    <n v="54540"/>
    <d v="1994-11-25T00:00:00"/>
    <n v="31"/>
    <x v="1"/>
    <x v="1"/>
    <d v="2024-05-03T00:00:00"/>
    <n v="1.106849315068493"/>
    <x v="37"/>
    <x v="0"/>
    <x v="8"/>
    <x v="1"/>
    <n v="8.4700000000000006"/>
    <m/>
    <m/>
    <m/>
    <m/>
    <m/>
    <m/>
    <x v="2"/>
    <n v="2"/>
    <n v="4"/>
    <m/>
    <m/>
    <m/>
    <m/>
    <m/>
    <m/>
    <m/>
    <m/>
    <m/>
    <m/>
    <m/>
    <m/>
    <m/>
    <m/>
  </r>
  <r>
    <n v="4089"/>
    <n v="54541"/>
    <d v="1996-08-21T00:00:00"/>
    <n v="29"/>
    <x v="1"/>
    <x v="1"/>
    <d v="2024-11-22T00:00:00"/>
    <n v="1.0520547945205478"/>
    <x v="40"/>
    <x v="1"/>
    <x v="3"/>
    <x v="1"/>
    <n v="8.4700000000000006"/>
    <m/>
    <m/>
    <m/>
    <m/>
    <m/>
    <m/>
    <x v="4"/>
    <n v="2"/>
    <n v="6"/>
    <m/>
    <m/>
    <m/>
    <m/>
    <m/>
    <m/>
    <m/>
    <m/>
    <m/>
    <m/>
    <m/>
    <m/>
    <m/>
    <m/>
  </r>
  <r>
    <n v="4090"/>
    <n v="54542"/>
    <d v="2006-12-17T00:00:00"/>
    <n v="19"/>
    <x v="1"/>
    <x v="1"/>
    <d v="2024-12-12T00:00:00"/>
    <n v="1.2054794520547945"/>
    <x v="90"/>
    <x v="1"/>
    <x v="8"/>
    <x v="1"/>
    <n v="8.4700000000000006"/>
    <m/>
    <m/>
    <m/>
    <m/>
    <m/>
    <m/>
    <x v="4"/>
    <n v="2"/>
    <n v="6"/>
    <m/>
    <m/>
    <m/>
    <m/>
    <m/>
    <m/>
    <m/>
    <m/>
    <m/>
    <m/>
    <m/>
    <m/>
    <m/>
    <m/>
  </r>
  <r>
    <n v="4091"/>
    <n v="54543"/>
    <d v="2003-01-26T00:00:00"/>
    <n v="22"/>
    <x v="1"/>
    <x v="0"/>
    <d v="2024-10-17T00:00:00"/>
    <n v="1.1506849315068493"/>
    <x v="6"/>
    <x v="1"/>
    <x v="8"/>
    <x v="1"/>
    <n v="8.4700000000000006"/>
    <m/>
    <m/>
    <m/>
    <m/>
    <m/>
    <m/>
    <x v="2"/>
    <n v="2"/>
    <n v="6"/>
    <m/>
    <m/>
    <m/>
    <m/>
    <m/>
    <m/>
    <m/>
    <m/>
    <m/>
    <m/>
    <m/>
    <m/>
    <m/>
    <m/>
  </r>
  <r>
    <n v="4092"/>
    <n v="54544"/>
    <d v="2003-03-03T00:00:00"/>
    <n v="22"/>
    <x v="1"/>
    <x v="1"/>
    <d v="2024-11-06T00:00:00"/>
    <n v="1.4027397260273973"/>
    <x v="85"/>
    <x v="1"/>
    <x v="8"/>
    <x v="1"/>
    <n v="8.4700000000000006"/>
    <m/>
    <m/>
    <m/>
    <m/>
    <m/>
    <m/>
    <x v="3"/>
    <n v="2"/>
    <n v="7"/>
    <m/>
    <m/>
    <m/>
    <m/>
    <m/>
    <m/>
    <m/>
    <m/>
    <m/>
    <m/>
    <m/>
    <m/>
    <m/>
    <m/>
  </r>
  <r>
    <n v="4093"/>
    <n v="54545"/>
    <d v="2004-04-24T00:00:00"/>
    <n v="21"/>
    <x v="1"/>
    <x v="1"/>
    <d v="2024-08-06T00:00:00"/>
    <n v="1.7178082191780821"/>
    <x v="85"/>
    <x v="1"/>
    <x v="8"/>
    <x v="1"/>
    <n v="8.4700000000000006"/>
    <m/>
    <m/>
    <m/>
    <m/>
    <m/>
    <m/>
    <x v="4"/>
    <n v="4"/>
    <n v="6"/>
    <m/>
    <m/>
    <m/>
    <m/>
    <m/>
    <m/>
    <m/>
    <m/>
    <m/>
    <m/>
    <m/>
    <m/>
    <m/>
    <m/>
  </r>
  <r>
    <n v="4094"/>
    <n v="54546"/>
    <d v="1999-09-28T00:00:00"/>
    <n v="26"/>
    <x v="1"/>
    <x v="0"/>
    <d v="2024-04-13T00:00:00"/>
    <n v="1.0876712328767124"/>
    <x v="70"/>
    <x v="1"/>
    <x v="9"/>
    <x v="1"/>
    <n v="14.07"/>
    <m/>
    <m/>
    <m/>
    <m/>
    <m/>
    <m/>
    <x v="4"/>
    <n v="0"/>
    <n v="5"/>
    <m/>
    <m/>
    <m/>
    <m/>
    <m/>
    <m/>
    <m/>
    <m/>
    <m/>
    <m/>
    <m/>
    <m/>
    <m/>
    <m/>
  </r>
  <r>
    <n v="4095"/>
    <n v="54547"/>
    <d v="2006-01-12T00:00:00"/>
    <n v="19"/>
    <x v="1"/>
    <x v="0"/>
    <d v="2024-11-29T00:00:00"/>
    <n v="1.7972602739726027"/>
    <x v="74"/>
    <x v="1"/>
    <x v="8"/>
    <x v="1"/>
    <n v="8.4700000000000006"/>
    <m/>
    <m/>
    <m/>
    <m/>
    <m/>
    <m/>
    <x v="4"/>
    <n v="1"/>
    <n v="7"/>
    <m/>
    <m/>
    <m/>
    <m/>
    <m/>
    <m/>
    <m/>
    <m/>
    <m/>
    <m/>
    <m/>
    <m/>
    <m/>
    <m/>
  </r>
  <r>
    <n v="4096"/>
    <n v="54548"/>
    <d v="2006-12-01T00:00:00"/>
    <n v="20"/>
    <x v="0"/>
    <x v="1"/>
    <d v="2024-03-15T00:00:00"/>
    <n v="1.3726027397260274"/>
    <x v="122"/>
    <x v="1"/>
    <x v="10"/>
    <x v="1"/>
    <n v="10.64"/>
    <m/>
    <m/>
    <m/>
    <m/>
    <m/>
    <m/>
    <x v="4"/>
    <n v="1"/>
    <n v="4"/>
    <m/>
    <m/>
    <m/>
    <m/>
    <m/>
    <m/>
    <m/>
    <m/>
    <m/>
    <m/>
    <m/>
    <m/>
    <m/>
    <m/>
  </r>
  <r>
    <n v="4097"/>
    <n v="54549"/>
    <d v="2007-03-09T00:00:00"/>
    <n v="18"/>
    <x v="1"/>
    <x v="1"/>
    <d v="2024-08-17T00:00:00"/>
    <n v="1.8630136986301369"/>
    <x v="122"/>
    <x v="1"/>
    <x v="8"/>
    <x v="1"/>
    <n v="8.4700000000000006"/>
    <m/>
    <m/>
    <m/>
    <m/>
    <m/>
    <m/>
    <x v="1"/>
    <n v="2"/>
    <n v="6"/>
    <m/>
    <m/>
    <m/>
    <m/>
    <m/>
    <m/>
    <m/>
    <m/>
    <m/>
    <m/>
    <m/>
    <m/>
    <m/>
    <m/>
  </r>
  <r>
    <n v="4098"/>
    <n v="54550"/>
    <d v="2004-02-18T00:00:00"/>
    <n v="21"/>
    <x v="1"/>
    <x v="1"/>
    <d v="2024-02-20T00:00:00"/>
    <n v="1.7205479452054795"/>
    <x v="122"/>
    <x v="1"/>
    <x v="8"/>
    <x v="1"/>
    <n v="8.4700000000000006"/>
    <m/>
    <m/>
    <m/>
    <m/>
    <m/>
    <m/>
    <x v="1"/>
    <n v="2"/>
    <n v="7"/>
    <m/>
    <m/>
    <m/>
    <m/>
    <m/>
    <m/>
    <m/>
    <m/>
    <m/>
    <m/>
    <m/>
    <m/>
    <m/>
    <m/>
  </r>
  <r>
    <n v="4099"/>
    <n v="54551"/>
    <d v="2002-11-21T00:00:00"/>
    <n v="23"/>
    <x v="1"/>
    <x v="0"/>
    <d v="2024-04-12T00:00:00"/>
    <n v="1.6410958904109589"/>
    <x v="129"/>
    <x v="1"/>
    <x v="8"/>
    <x v="1"/>
    <n v="8.4700000000000006"/>
    <m/>
    <m/>
    <m/>
    <m/>
    <m/>
    <m/>
    <x v="3"/>
    <n v="1"/>
    <n v="6"/>
    <m/>
    <m/>
    <m/>
    <m/>
    <m/>
    <m/>
    <m/>
    <m/>
    <m/>
    <m/>
    <m/>
    <m/>
    <m/>
    <m/>
  </r>
  <r>
    <n v="4100"/>
    <n v="54552"/>
    <d v="2002-07-10T00:00:00"/>
    <n v="23"/>
    <x v="0"/>
    <x v="1"/>
    <d v="2024-05-11T00:00:00"/>
    <n v="1.0575342465753426"/>
    <x v="99"/>
    <x v="1"/>
    <x v="10"/>
    <x v="1"/>
    <n v="10.64"/>
    <m/>
    <m/>
    <m/>
    <m/>
    <m/>
    <m/>
    <x v="4"/>
    <n v="0"/>
    <n v="3"/>
    <m/>
    <m/>
    <m/>
    <m/>
    <m/>
    <m/>
    <m/>
    <m/>
    <m/>
    <m/>
    <m/>
    <m/>
    <m/>
    <m/>
  </r>
  <r>
    <n v="4101"/>
    <n v="54553"/>
    <d v="2006-09-19T00:00:00"/>
    <n v="19"/>
    <x v="1"/>
    <x v="1"/>
    <d v="2024-12-10T00:00:00"/>
    <n v="1.284931506849315"/>
    <x v="99"/>
    <x v="1"/>
    <x v="8"/>
    <x v="1"/>
    <n v="8.4700000000000006"/>
    <m/>
    <m/>
    <m/>
    <m/>
    <m/>
    <m/>
    <x v="1"/>
    <n v="0"/>
    <n v="5"/>
    <m/>
    <m/>
    <m/>
    <m/>
    <m/>
    <m/>
    <m/>
    <m/>
    <m/>
    <m/>
    <m/>
    <m/>
    <m/>
    <m/>
  </r>
  <r>
    <n v="4102"/>
    <n v="54554"/>
    <d v="2002-03-06T00:00:00"/>
    <n v="23"/>
    <x v="1"/>
    <x v="1"/>
    <d v="2024-09-18T00:00:00"/>
    <n v="1.4465753424657535"/>
    <x v="98"/>
    <x v="1"/>
    <x v="8"/>
    <x v="1"/>
    <n v="8.4700000000000006"/>
    <m/>
    <m/>
    <m/>
    <m/>
    <m/>
    <m/>
    <x v="4"/>
    <n v="2"/>
    <n v="6"/>
    <m/>
    <m/>
    <m/>
    <m/>
    <m/>
    <m/>
    <m/>
    <m/>
    <m/>
    <m/>
    <m/>
    <m/>
    <m/>
    <m/>
  </r>
  <r>
    <n v="4103"/>
    <n v="54555"/>
    <d v="2000-03-12T00:00:00"/>
    <n v="25"/>
    <x v="0"/>
    <x v="1"/>
    <d v="2024-07-21T00:00:00"/>
    <n v="1.5342465753424657"/>
    <x v="10"/>
    <x v="0"/>
    <x v="8"/>
    <x v="1"/>
    <n v="8.4700000000000006"/>
    <m/>
    <m/>
    <m/>
    <m/>
    <m/>
    <m/>
    <x v="2"/>
    <n v="2"/>
    <n v="4"/>
    <m/>
    <m/>
    <m/>
    <m/>
    <m/>
    <m/>
    <m/>
    <m/>
    <m/>
    <m/>
    <m/>
    <m/>
    <m/>
    <m/>
  </r>
  <r>
    <n v="4104"/>
    <n v="54556"/>
    <d v="2004-02-22T00:00:00"/>
    <n v="21"/>
    <x v="1"/>
    <x v="0"/>
    <d v="2024-06-19T00:00:00"/>
    <n v="1.1972602739726028"/>
    <x v="63"/>
    <x v="0"/>
    <x v="8"/>
    <x v="1"/>
    <n v="8.4700000000000006"/>
    <m/>
    <m/>
    <m/>
    <m/>
    <m/>
    <m/>
    <x v="2"/>
    <n v="2"/>
    <n v="5"/>
    <m/>
    <m/>
    <m/>
    <m/>
    <m/>
    <m/>
    <m/>
    <m/>
    <m/>
    <m/>
    <m/>
    <m/>
    <m/>
    <m/>
  </r>
  <r>
    <n v="4105"/>
    <n v="54557"/>
    <d v="2006-11-29T00:00:00"/>
    <n v="19"/>
    <x v="1"/>
    <x v="1"/>
    <d v="2024-10-20T00:00:00"/>
    <n v="1.3917808219178083"/>
    <x v="55"/>
    <x v="0"/>
    <x v="9"/>
    <x v="1"/>
    <n v="14.07"/>
    <m/>
    <m/>
    <m/>
    <m/>
    <m/>
    <m/>
    <x v="3"/>
    <n v="0"/>
    <n v="6"/>
    <m/>
    <m/>
    <m/>
    <m/>
    <m/>
    <m/>
    <m/>
    <m/>
    <m/>
    <m/>
    <m/>
    <m/>
    <m/>
    <m/>
  </r>
  <r>
    <n v="4106"/>
    <n v="54558"/>
    <d v="1993-11-03T00:00:00"/>
    <n v="32"/>
    <x v="0"/>
    <x v="1"/>
    <d v="2024-08-10T00:00:00"/>
    <n v="1.5671232876712329"/>
    <x v="144"/>
    <x v="0"/>
    <x v="7"/>
    <x v="1"/>
    <n v="17.59"/>
    <m/>
    <m/>
    <m/>
    <m/>
    <m/>
    <m/>
    <x v="4"/>
    <n v="2"/>
    <n v="4"/>
    <m/>
    <m/>
    <m/>
    <m/>
    <m/>
    <m/>
    <m/>
    <m/>
    <m/>
    <m/>
    <m/>
    <m/>
    <m/>
    <m/>
  </r>
  <r>
    <n v="4107"/>
    <n v="54559"/>
    <d v="2003-08-14T00:00:00"/>
    <n v="22"/>
    <x v="1"/>
    <x v="1"/>
    <d v="2024-06-07T00:00:00"/>
    <n v="1.263013698630137"/>
    <x v="114"/>
    <x v="1"/>
    <x v="8"/>
    <x v="1"/>
    <n v="8.4700000000000006"/>
    <m/>
    <m/>
    <m/>
    <m/>
    <m/>
    <m/>
    <x v="1"/>
    <n v="2"/>
    <n v="5"/>
    <m/>
    <m/>
    <m/>
    <m/>
    <m/>
    <m/>
    <m/>
    <m/>
    <m/>
    <m/>
    <m/>
    <m/>
    <m/>
    <m/>
  </r>
  <r>
    <n v="4108"/>
    <n v="54560"/>
    <d v="2004-12-14T00:00:00"/>
    <n v="21"/>
    <x v="0"/>
    <x v="1"/>
    <d v="2024-09-26T00:00:00"/>
    <n v="1.1643835616438356"/>
    <x v="8"/>
    <x v="1"/>
    <x v="3"/>
    <x v="1"/>
    <n v="8.4700000000000006"/>
    <m/>
    <m/>
    <m/>
    <m/>
    <m/>
    <m/>
    <x v="1"/>
    <n v="4"/>
    <n v="5"/>
    <m/>
    <m/>
    <m/>
    <m/>
    <m/>
    <m/>
    <m/>
    <m/>
    <m/>
    <m/>
    <m/>
    <m/>
    <m/>
    <m/>
  </r>
  <r>
    <n v="4109"/>
    <n v="54561"/>
    <d v="2001-05-10T00:00:00"/>
    <n v="24"/>
    <x v="1"/>
    <x v="0"/>
    <d v="2024-11-01T00:00:00"/>
    <n v="1.252054794520548"/>
    <x v="30"/>
    <x v="1"/>
    <x v="11"/>
    <x v="1"/>
    <n v="17"/>
    <m/>
    <m/>
    <m/>
    <m/>
    <m/>
    <m/>
    <x v="2"/>
    <n v="2"/>
    <n v="5"/>
    <m/>
    <m/>
    <m/>
    <m/>
    <m/>
    <m/>
    <m/>
    <m/>
    <m/>
    <m/>
    <m/>
    <m/>
    <m/>
    <m/>
  </r>
  <r>
    <n v="4110"/>
    <n v="54562"/>
    <d v="2002-09-24T00:00:00"/>
    <n v="23"/>
    <x v="1"/>
    <x v="1"/>
    <d v="2024-09-30T00:00:00"/>
    <n v="1.0547945205479452"/>
    <x v="133"/>
    <x v="1"/>
    <x v="1"/>
    <x v="1"/>
    <n v="16.37"/>
    <m/>
    <m/>
    <m/>
    <m/>
    <m/>
    <m/>
    <x v="4"/>
    <n v="0"/>
    <n v="5"/>
    <m/>
    <m/>
    <m/>
    <m/>
    <m/>
    <m/>
    <m/>
    <m/>
    <m/>
    <m/>
    <m/>
    <m/>
    <m/>
    <m/>
  </r>
  <r>
    <n v="4111"/>
    <n v="54563"/>
    <d v="1999-05-07T00:00:00"/>
    <n v="26"/>
    <x v="0"/>
    <x v="1"/>
    <d v="2024-12-11T00:00:00"/>
    <n v="1.5095890410958903"/>
    <x v="60"/>
    <x v="1"/>
    <x v="8"/>
    <x v="1"/>
    <n v="8.4700000000000006"/>
    <m/>
    <m/>
    <m/>
    <m/>
    <m/>
    <m/>
    <x v="1"/>
    <n v="3"/>
    <n v="5"/>
    <m/>
    <m/>
    <m/>
    <m/>
    <m/>
    <m/>
    <m/>
    <m/>
    <m/>
    <m/>
    <m/>
    <m/>
    <m/>
    <m/>
  </r>
  <r>
    <n v="4112"/>
    <n v="54564"/>
    <d v="2005-04-04T00:00:00"/>
    <n v="20"/>
    <x v="1"/>
    <x v="1"/>
    <d v="2024-06-28T00:00:00"/>
    <n v="1.210958904109589"/>
    <x v="117"/>
    <x v="1"/>
    <x v="3"/>
    <x v="1"/>
    <n v="8.4700000000000006"/>
    <m/>
    <m/>
    <m/>
    <m/>
    <m/>
    <m/>
    <x v="3"/>
    <n v="4"/>
    <n v="7"/>
    <m/>
    <m/>
    <m/>
    <m/>
    <m/>
    <m/>
    <m/>
    <m/>
    <m/>
    <m/>
    <m/>
    <m/>
    <m/>
    <m/>
  </r>
  <r>
    <n v="4113"/>
    <n v="54565"/>
    <d v="2003-07-29T00:00:00"/>
    <n v="22"/>
    <x v="0"/>
    <x v="1"/>
    <d v="2024-10-15T00:00:00"/>
    <n v="1.5726027397260274"/>
    <x v="72"/>
    <x v="1"/>
    <x v="8"/>
    <x v="1"/>
    <n v="8.4700000000000006"/>
    <m/>
    <m/>
    <m/>
    <m/>
    <m/>
    <m/>
    <x v="2"/>
    <n v="2"/>
    <n v="5"/>
    <m/>
    <m/>
    <m/>
    <m/>
    <m/>
    <m/>
    <m/>
    <m/>
    <m/>
    <m/>
    <m/>
    <m/>
    <m/>
    <m/>
  </r>
  <r>
    <n v="4114"/>
    <n v="54566"/>
    <d v="2001-08-21T00:00:00"/>
    <n v="24"/>
    <x v="1"/>
    <x v="1"/>
    <d v="2024-06-05T00:00:00"/>
    <n v="1.4575342465753425"/>
    <x v="74"/>
    <x v="1"/>
    <x v="8"/>
    <x v="1"/>
    <n v="8.4700000000000006"/>
    <m/>
    <m/>
    <m/>
    <m/>
    <m/>
    <m/>
    <x v="3"/>
    <n v="0"/>
    <n v="7"/>
    <m/>
    <m/>
    <m/>
    <m/>
    <m/>
    <m/>
    <m/>
    <m/>
    <m/>
    <m/>
    <m/>
    <m/>
    <m/>
    <m/>
  </r>
  <r>
    <n v="4115"/>
    <n v="54567"/>
    <d v="2003-06-19T00:00:00"/>
    <n v="22"/>
    <x v="0"/>
    <x v="1"/>
    <d v="2024-07-17T00:00:00"/>
    <n v="1.4246575342465753"/>
    <x v="100"/>
    <x v="1"/>
    <x v="6"/>
    <x v="1"/>
    <n v="23.78"/>
    <m/>
    <m/>
    <m/>
    <m/>
    <m/>
    <m/>
    <x v="3"/>
    <n v="5"/>
    <n v="5"/>
    <m/>
    <m/>
    <m/>
    <m/>
    <m/>
    <m/>
    <m/>
    <m/>
    <m/>
    <m/>
    <m/>
    <m/>
    <m/>
    <m/>
  </r>
  <r>
    <n v="4116"/>
    <n v="54568"/>
    <d v="2007-05-13T00:00:00"/>
    <n v="18"/>
    <x v="1"/>
    <x v="0"/>
    <d v="2024-07-29T00:00:00"/>
    <n v="1.704109589041096"/>
    <x v="96"/>
    <x v="1"/>
    <x v="3"/>
    <x v="1"/>
    <n v="8.4700000000000006"/>
    <m/>
    <m/>
    <m/>
    <m/>
    <m/>
    <m/>
    <x v="3"/>
    <n v="2"/>
    <n v="6"/>
    <m/>
    <m/>
    <m/>
    <m/>
    <m/>
    <m/>
    <m/>
    <m/>
    <m/>
    <m/>
    <m/>
    <m/>
    <m/>
    <m/>
  </r>
  <r>
    <n v="4117"/>
    <n v="54569"/>
    <d v="1999-07-01T00:00:00"/>
    <n v="27"/>
    <x v="1"/>
    <x v="0"/>
    <d v="2024-04-18T00:00:00"/>
    <n v="1.284931506849315"/>
    <x v="0"/>
    <x v="0"/>
    <x v="8"/>
    <x v="1"/>
    <n v="8.4700000000000006"/>
    <m/>
    <m/>
    <m/>
    <m/>
    <m/>
    <m/>
    <x v="1"/>
    <n v="2"/>
    <n v="6"/>
    <m/>
    <m/>
    <m/>
    <m/>
    <m/>
    <m/>
    <m/>
    <m/>
    <m/>
    <m/>
    <m/>
    <m/>
    <m/>
    <m/>
  </r>
  <r>
    <n v="4118"/>
    <n v="54570"/>
    <d v="2000-04-08T00:00:00"/>
    <n v="25"/>
    <x v="0"/>
    <x v="1"/>
    <d v="2024-09-18T00:00:00"/>
    <n v="1.5534246575342465"/>
    <x v="3"/>
    <x v="0"/>
    <x v="10"/>
    <x v="1"/>
    <n v="10.64"/>
    <m/>
    <m/>
    <m/>
    <m/>
    <m/>
    <m/>
    <x v="4"/>
    <n v="1"/>
    <n v="4"/>
    <m/>
    <m/>
    <m/>
    <m/>
    <m/>
    <m/>
    <m/>
    <m/>
    <m/>
    <m/>
    <m/>
    <m/>
    <m/>
    <m/>
  </r>
  <r>
    <n v="4119"/>
    <n v="54571"/>
    <d v="2006-09-07T00:00:00"/>
    <n v="19"/>
    <x v="1"/>
    <x v="1"/>
    <d v="2024-06-12T00:00:00"/>
    <n v="1.7315068493150685"/>
    <x v="7"/>
    <x v="0"/>
    <x v="8"/>
    <x v="1"/>
    <n v="8.4700000000000006"/>
    <m/>
    <m/>
    <m/>
    <m/>
    <m/>
    <m/>
    <x v="4"/>
    <n v="4"/>
    <n v="6"/>
    <m/>
    <m/>
    <m/>
    <m/>
    <m/>
    <m/>
    <m/>
    <m/>
    <m/>
    <m/>
    <m/>
    <m/>
    <m/>
    <m/>
  </r>
  <r>
    <n v="4120"/>
    <n v="54572"/>
    <d v="2005-07-17T00:00:00"/>
    <n v="20"/>
    <x v="1"/>
    <x v="0"/>
    <d v="2024-04-08T00:00:00"/>
    <n v="1.0493150684931507"/>
    <x v="127"/>
    <x v="0"/>
    <x v="8"/>
    <x v="1"/>
    <n v="8.4700000000000006"/>
    <m/>
    <m/>
    <m/>
    <m/>
    <m/>
    <m/>
    <x v="1"/>
    <n v="3"/>
    <n v="6"/>
    <m/>
    <m/>
    <m/>
    <m/>
    <m/>
    <m/>
    <m/>
    <m/>
    <m/>
    <m/>
    <m/>
    <m/>
    <m/>
    <m/>
  </r>
  <r>
    <n v="4121"/>
    <n v="54574"/>
    <d v="2006-05-19T00:00:00"/>
    <n v="19"/>
    <x v="1"/>
    <x v="1"/>
    <d v="2024-12-13T00:00:00"/>
    <n v="1.7589041095890412"/>
    <x v="82"/>
    <x v="0"/>
    <x v="10"/>
    <x v="1"/>
    <n v="10.64"/>
    <m/>
    <m/>
    <m/>
    <m/>
    <m/>
    <m/>
    <x v="1"/>
    <n v="0"/>
    <n v="5"/>
    <m/>
    <m/>
    <m/>
    <m/>
    <m/>
    <m/>
    <m/>
    <m/>
    <m/>
    <m/>
    <m/>
    <m/>
    <m/>
    <m/>
  </r>
  <r>
    <n v="4122"/>
    <n v="54575"/>
    <d v="2001-05-28T00:00:00"/>
    <n v="24"/>
    <x v="1"/>
    <x v="0"/>
    <d v="2024-03-29T00:00:00"/>
    <n v="1"/>
    <x v="82"/>
    <x v="0"/>
    <x v="8"/>
    <x v="1"/>
    <n v="8.4700000000000006"/>
    <m/>
    <m/>
    <m/>
    <m/>
    <m/>
    <m/>
    <x v="3"/>
    <n v="2"/>
    <n v="5"/>
    <m/>
    <m/>
    <m/>
    <m/>
    <m/>
    <m/>
    <m/>
    <m/>
    <m/>
    <m/>
    <m/>
    <m/>
    <m/>
    <m/>
  </r>
  <r>
    <n v="4123"/>
    <n v="54576"/>
    <d v="2004-12-07T00:00:00"/>
    <n v="21"/>
    <x v="1"/>
    <x v="1"/>
    <d v="2024-12-31T00:00:00"/>
    <n v="1.0136986301369864"/>
    <x v="14"/>
    <x v="0"/>
    <x v="10"/>
    <x v="1"/>
    <n v="10.64"/>
    <m/>
    <m/>
    <m/>
    <m/>
    <m/>
    <m/>
    <x v="2"/>
    <n v="0"/>
    <n v="6"/>
    <m/>
    <m/>
    <m/>
    <m/>
    <m/>
    <m/>
    <m/>
    <m/>
    <m/>
    <m/>
    <m/>
    <m/>
    <m/>
    <m/>
  </r>
  <r>
    <n v="4124"/>
    <n v="54577"/>
    <d v="2004-01-07T00:00:00"/>
    <n v="21"/>
    <x v="0"/>
    <x v="0"/>
    <d v="2024-12-26T00:00:00"/>
    <n v="1.6849315068493151"/>
    <x v="17"/>
    <x v="0"/>
    <x v="3"/>
    <x v="1"/>
    <n v="8.4700000000000006"/>
    <m/>
    <m/>
    <m/>
    <m/>
    <m/>
    <m/>
    <x v="1"/>
    <n v="2"/>
    <n v="4"/>
    <m/>
    <m/>
    <m/>
    <m/>
    <m/>
    <m/>
    <m/>
    <m/>
    <m/>
    <m/>
    <m/>
    <m/>
    <m/>
    <m/>
  </r>
  <r>
    <n v="4125"/>
    <n v="54578"/>
    <d v="1994-07-23T00:00:00"/>
    <n v="31"/>
    <x v="1"/>
    <x v="0"/>
    <d v="2024-04-25T00:00:00"/>
    <n v="1.3452054794520547"/>
    <x v="19"/>
    <x v="0"/>
    <x v="6"/>
    <x v="1"/>
    <n v="23.78"/>
    <m/>
    <m/>
    <m/>
    <m/>
    <m/>
    <m/>
    <x v="3"/>
    <n v="5"/>
    <n v="7"/>
    <m/>
    <m/>
    <m/>
    <m/>
    <m/>
    <m/>
    <m/>
    <m/>
    <m/>
    <m/>
    <m/>
    <m/>
    <m/>
    <m/>
  </r>
  <r>
    <n v="4126"/>
    <n v="54579"/>
    <d v="2002-08-03T00:00:00"/>
    <n v="23"/>
    <x v="1"/>
    <x v="1"/>
    <d v="2024-08-27T00:00:00"/>
    <n v="1.5753424657534247"/>
    <x v="27"/>
    <x v="0"/>
    <x v="11"/>
    <x v="1"/>
    <n v="17"/>
    <m/>
    <m/>
    <m/>
    <m/>
    <m/>
    <m/>
    <x v="3"/>
    <n v="4"/>
    <n v="7"/>
    <m/>
    <m/>
    <m/>
    <m/>
    <m/>
    <m/>
    <m/>
    <m/>
    <m/>
    <m/>
    <m/>
    <m/>
    <m/>
    <m/>
  </r>
  <r>
    <n v="4127"/>
    <n v="54581"/>
    <d v="1998-12-05T00:00:00"/>
    <n v="27"/>
    <x v="0"/>
    <x v="0"/>
    <d v="2024-06-04T00:00:00"/>
    <n v="1.4794520547945205"/>
    <x v="137"/>
    <x v="0"/>
    <x v="3"/>
    <x v="1"/>
    <n v="8.4700000000000006"/>
    <m/>
    <m/>
    <m/>
    <m/>
    <m/>
    <m/>
    <x v="3"/>
    <n v="2"/>
    <n v="4"/>
    <m/>
    <m/>
    <m/>
    <m/>
    <m/>
    <m/>
    <m/>
    <m/>
    <m/>
    <m/>
    <m/>
    <m/>
    <m/>
    <m/>
  </r>
  <r>
    <n v="4128"/>
    <n v="54582"/>
    <d v="1996-03-21T00:00:00"/>
    <n v="29"/>
    <x v="0"/>
    <x v="1"/>
    <d v="2024-07-09T00:00:00"/>
    <n v="1.1013698630136985"/>
    <x v="52"/>
    <x v="0"/>
    <x v="6"/>
    <x v="1"/>
    <n v="23.78"/>
    <m/>
    <m/>
    <m/>
    <m/>
    <m/>
    <m/>
    <x v="4"/>
    <n v="7"/>
    <n v="6"/>
    <m/>
    <m/>
    <m/>
    <m/>
    <m/>
    <m/>
    <m/>
    <m/>
    <m/>
    <m/>
    <m/>
    <m/>
    <m/>
    <m/>
  </r>
  <r>
    <n v="4129"/>
    <n v="54583"/>
    <d v="2003-12-25T00:00:00"/>
    <n v="22"/>
    <x v="1"/>
    <x v="1"/>
    <d v="2024-11-24T00:00:00"/>
    <n v="1.4054794520547946"/>
    <x v="52"/>
    <x v="0"/>
    <x v="8"/>
    <x v="1"/>
    <n v="8.4700000000000006"/>
    <m/>
    <m/>
    <m/>
    <m/>
    <m/>
    <m/>
    <x v="2"/>
    <n v="1"/>
    <n v="5"/>
    <m/>
    <m/>
    <m/>
    <m/>
    <m/>
    <m/>
    <m/>
    <m/>
    <m/>
    <m/>
    <m/>
    <m/>
    <m/>
    <m/>
  </r>
  <r>
    <n v="4130"/>
    <n v="54584"/>
    <d v="1999-08-21T00:00:00"/>
    <n v="26"/>
    <x v="0"/>
    <x v="1"/>
    <d v="2024-08-05T00:00:00"/>
    <n v="1.7068493150684931"/>
    <x v="24"/>
    <x v="0"/>
    <x v="11"/>
    <x v="1"/>
    <n v="17"/>
    <m/>
    <m/>
    <m/>
    <m/>
    <m/>
    <m/>
    <x v="4"/>
    <n v="3"/>
    <n v="4"/>
    <m/>
    <m/>
    <m/>
    <m/>
    <m/>
    <m/>
    <m/>
    <m/>
    <m/>
    <m/>
    <m/>
    <m/>
    <m/>
    <m/>
  </r>
  <r>
    <n v="4131"/>
    <n v="54585"/>
    <d v="1999-03-15T00:00:00"/>
    <n v="26"/>
    <x v="1"/>
    <x v="1"/>
    <d v="2024-04-17T00:00:00"/>
    <n v="1.6849315068493151"/>
    <x v="87"/>
    <x v="0"/>
    <x v="11"/>
    <x v="1"/>
    <n v="17"/>
    <m/>
    <m/>
    <m/>
    <m/>
    <m/>
    <m/>
    <x v="2"/>
    <n v="3"/>
    <n v="7"/>
    <m/>
    <m/>
    <m/>
    <m/>
    <m/>
    <m/>
    <m/>
    <m/>
    <m/>
    <m/>
    <m/>
    <m/>
    <m/>
    <m/>
  </r>
  <r>
    <n v="4132"/>
    <n v="54586"/>
    <d v="2002-09-08T00:00:00"/>
    <n v="23"/>
    <x v="0"/>
    <x v="1"/>
    <d v="2024-04-25T00:00:00"/>
    <n v="1.2301369863013698"/>
    <x v="87"/>
    <x v="0"/>
    <x v="8"/>
    <x v="1"/>
    <n v="8.4700000000000006"/>
    <m/>
    <m/>
    <m/>
    <m/>
    <m/>
    <m/>
    <x v="4"/>
    <n v="2"/>
    <n v="6"/>
    <m/>
    <m/>
    <m/>
    <m/>
    <m/>
    <m/>
    <m/>
    <m/>
    <m/>
    <m/>
    <m/>
    <m/>
    <m/>
    <m/>
  </r>
  <r>
    <n v="4133"/>
    <n v="54587"/>
    <d v="1994-02-23T00:00:00"/>
    <n v="31"/>
    <x v="0"/>
    <x v="1"/>
    <d v="2024-10-08T00:00:00"/>
    <n v="1.0438356164383562"/>
    <x v="25"/>
    <x v="0"/>
    <x v="7"/>
    <x v="1"/>
    <n v="17.59"/>
    <m/>
    <m/>
    <m/>
    <m/>
    <m/>
    <m/>
    <x v="4"/>
    <n v="2"/>
    <n v="3"/>
    <m/>
    <m/>
    <m/>
    <m/>
    <m/>
    <m/>
    <m/>
    <m/>
    <m/>
    <m/>
    <m/>
    <m/>
    <m/>
    <m/>
  </r>
  <r>
    <n v="4134"/>
    <n v="54588"/>
    <d v="2002-10-10T00:00:00"/>
    <n v="23"/>
    <x v="0"/>
    <x v="1"/>
    <d v="2024-12-15T00:00:00"/>
    <n v="1.1561643835616437"/>
    <x v="25"/>
    <x v="0"/>
    <x v="8"/>
    <x v="1"/>
    <n v="8.4700000000000006"/>
    <m/>
    <m/>
    <m/>
    <m/>
    <m/>
    <m/>
    <x v="4"/>
    <n v="2"/>
    <n v="3"/>
    <m/>
    <m/>
    <m/>
    <m/>
    <m/>
    <m/>
    <m/>
    <m/>
    <m/>
    <m/>
    <m/>
    <m/>
    <m/>
    <m/>
  </r>
  <r>
    <n v="4135"/>
    <n v="54589"/>
    <d v="2005-09-07T00:00:00"/>
    <n v="20"/>
    <x v="1"/>
    <x v="1"/>
    <d v="2024-11-04T00:00:00"/>
    <n v="1.0986301369863014"/>
    <x v="26"/>
    <x v="0"/>
    <x v="8"/>
    <x v="1"/>
    <n v="8.4700000000000006"/>
    <m/>
    <m/>
    <m/>
    <m/>
    <m/>
    <m/>
    <x v="4"/>
    <n v="4"/>
    <n v="7"/>
    <m/>
    <m/>
    <m/>
    <m/>
    <m/>
    <m/>
    <m/>
    <m/>
    <m/>
    <m/>
    <m/>
    <m/>
    <m/>
    <m/>
  </r>
  <r>
    <n v="4136"/>
    <n v="54590"/>
    <d v="2006-05-17T00:00:00"/>
    <n v="19"/>
    <x v="1"/>
    <x v="1"/>
    <d v="2024-11-25T00:00:00"/>
    <n v="1.1589041095890411"/>
    <x v="49"/>
    <x v="0"/>
    <x v="8"/>
    <x v="1"/>
    <n v="8.4700000000000006"/>
    <m/>
    <m/>
    <m/>
    <m/>
    <m/>
    <m/>
    <x v="3"/>
    <n v="4"/>
    <n v="7"/>
    <m/>
    <m/>
    <m/>
    <m/>
    <m/>
    <m/>
    <m/>
    <m/>
    <m/>
    <m/>
    <m/>
    <m/>
    <m/>
    <m/>
  </r>
  <r>
    <n v="4137"/>
    <n v="54591"/>
    <d v="2001-10-10T00:00:00"/>
    <n v="24"/>
    <x v="1"/>
    <x v="1"/>
    <d v="2024-11-03T00:00:00"/>
    <n v="1.3671232876712329"/>
    <x v="47"/>
    <x v="0"/>
    <x v="8"/>
    <x v="1"/>
    <n v="8.4700000000000006"/>
    <m/>
    <m/>
    <m/>
    <m/>
    <m/>
    <m/>
    <x v="3"/>
    <n v="2"/>
    <n v="6"/>
    <m/>
    <m/>
    <m/>
    <m/>
    <m/>
    <m/>
    <m/>
    <m/>
    <m/>
    <m/>
    <m/>
    <m/>
    <m/>
    <m/>
  </r>
  <r>
    <n v="4138"/>
    <n v="54592"/>
    <d v="2003-01-17T00:00:00"/>
    <n v="22"/>
    <x v="1"/>
    <x v="1"/>
    <d v="2024-08-19T00:00:00"/>
    <n v="1.4931506849315068"/>
    <x v="47"/>
    <x v="0"/>
    <x v="8"/>
    <x v="1"/>
    <n v="8.4700000000000006"/>
    <m/>
    <m/>
    <m/>
    <m/>
    <m/>
    <m/>
    <x v="1"/>
    <n v="4"/>
    <n v="6"/>
    <m/>
    <m/>
    <m/>
    <m/>
    <m/>
    <m/>
    <m/>
    <m/>
    <m/>
    <m/>
    <m/>
    <m/>
    <m/>
    <m/>
  </r>
  <r>
    <n v="4139"/>
    <n v="54593"/>
    <d v="2003-07-28T00:00:00"/>
    <n v="22"/>
    <x v="1"/>
    <x v="1"/>
    <d v="2024-07-04T00:00:00"/>
    <n v="1.0630136986301371"/>
    <x v="61"/>
    <x v="0"/>
    <x v="8"/>
    <x v="1"/>
    <n v="8.4700000000000006"/>
    <m/>
    <m/>
    <m/>
    <m/>
    <m/>
    <m/>
    <x v="1"/>
    <n v="1"/>
    <n v="6"/>
    <m/>
    <m/>
    <m/>
    <m/>
    <m/>
    <m/>
    <m/>
    <m/>
    <m/>
    <m/>
    <m/>
    <m/>
    <m/>
    <m/>
  </r>
  <r>
    <n v="4140"/>
    <n v="54594"/>
    <d v="2001-09-22T00:00:00"/>
    <n v="24"/>
    <x v="1"/>
    <x v="1"/>
    <d v="2024-12-08T00:00:00"/>
    <n v="1.5780821917808219"/>
    <x v="61"/>
    <x v="0"/>
    <x v="8"/>
    <x v="1"/>
    <n v="8.4700000000000006"/>
    <m/>
    <m/>
    <m/>
    <m/>
    <m/>
    <m/>
    <x v="2"/>
    <n v="1"/>
    <n v="7"/>
    <m/>
    <m/>
    <m/>
    <m/>
    <m/>
    <m/>
    <m/>
    <m/>
    <m/>
    <m/>
    <m/>
    <m/>
    <m/>
    <m/>
  </r>
  <r>
    <n v="4141"/>
    <n v="54595"/>
    <d v="2003-12-12T00:00:00"/>
    <n v="22"/>
    <x v="1"/>
    <x v="1"/>
    <d v="2024-06-03T00:00:00"/>
    <n v="1.832876712328767"/>
    <x v="31"/>
    <x v="0"/>
    <x v="8"/>
    <x v="1"/>
    <n v="8.4700000000000006"/>
    <m/>
    <m/>
    <m/>
    <m/>
    <m/>
    <m/>
    <x v="2"/>
    <n v="2"/>
    <n v="6"/>
    <m/>
    <m/>
    <m/>
    <m/>
    <m/>
    <m/>
    <m/>
    <m/>
    <m/>
    <m/>
    <m/>
    <m/>
    <m/>
    <m/>
  </r>
  <r>
    <n v="4142"/>
    <n v="54596"/>
    <d v="2005-01-26T00:00:00"/>
    <n v="20"/>
    <x v="1"/>
    <x v="1"/>
    <d v="2024-03-02T00:00:00"/>
    <n v="1.2493150684931507"/>
    <x v="63"/>
    <x v="0"/>
    <x v="8"/>
    <x v="1"/>
    <n v="8.4700000000000006"/>
    <m/>
    <m/>
    <m/>
    <m/>
    <m/>
    <m/>
    <x v="4"/>
    <n v="1"/>
    <n v="6"/>
    <m/>
    <m/>
    <m/>
    <m/>
    <m/>
    <m/>
    <m/>
    <m/>
    <m/>
    <m/>
    <m/>
    <m/>
    <m/>
    <m/>
  </r>
  <r>
    <n v="4143"/>
    <n v="54597"/>
    <d v="2001-08-27T00:00:00"/>
    <n v="24"/>
    <x v="0"/>
    <x v="1"/>
    <d v="2024-10-01T00:00:00"/>
    <n v="1.5452054794520549"/>
    <x v="33"/>
    <x v="0"/>
    <x v="11"/>
    <x v="1"/>
    <n v="17"/>
    <m/>
    <m/>
    <m/>
    <m/>
    <m/>
    <m/>
    <x v="4"/>
    <n v="2"/>
    <n v="5"/>
    <m/>
    <m/>
    <m/>
    <m/>
    <m/>
    <m/>
    <m/>
    <m/>
    <m/>
    <m/>
    <m/>
    <m/>
    <m/>
    <m/>
  </r>
  <r>
    <n v="4144"/>
    <n v="54598"/>
    <d v="2006-07-08T00:00:00"/>
    <n v="19"/>
    <x v="1"/>
    <x v="1"/>
    <d v="2024-06-15T00:00:00"/>
    <n v="1.8"/>
    <x v="33"/>
    <x v="0"/>
    <x v="8"/>
    <x v="1"/>
    <n v="8.4700000000000006"/>
    <m/>
    <m/>
    <m/>
    <m/>
    <m/>
    <m/>
    <x v="3"/>
    <n v="4"/>
    <n v="7"/>
    <m/>
    <m/>
    <m/>
    <m/>
    <m/>
    <m/>
    <m/>
    <m/>
    <m/>
    <m/>
    <m/>
    <m/>
    <m/>
    <m/>
  </r>
  <r>
    <n v="4145"/>
    <n v="54599"/>
    <d v="2004-04-09T00:00:00"/>
    <n v="21"/>
    <x v="1"/>
    <x v="1"/>
    <d v="2024-03-14T00:00:00"/>
    <n v="1.284931506849315"/>
    <x v="78"/>
    <x v="0"/>
    <x v="8"/>
    <x v="1"/>
    <n v="8.4700000000000006"/>
    <m/>
    <m/>
    <m/>
    <m/>
    <m/>
    <m/>
    <x v="4"/>
    <n v="1"/>
    <n v="5"/>
    <m/>
    <m/>
    <m/>
    <m/>
    <m/>
    <m/>
    <m/>
    <m/>
    <m/>
    <m/>
    <m/>
    <m/>
    <m/>
    <m/>
  </r>
  <r>
    <n v="4146"/>
    <n v="54600"/>
    <d v="1999-07-22T00:00:00"/>
    <n v="26"/>
    <x v="1"/>
    <x v="1"/>
    <d v="2024-09-18T00:00:00"/>
    <n v="1.2712328767123289"/>
    <x v="78"/>
    <x v="0"/>
    <x v="8"/>
    <x v="1"/>
    <n v="8.4700000000000006"/>
    <m/>
    <m/>
    <m/>
    <m/>
    <m/>
    <m/>
    <x v="3"/>
    <n v="3"/>
    <n v="6"/>
    <m/>
    <m/>
    <m/>
    <m/>
    <m/>
    <m/>
    <m/>
    <m/>
    <m/>
    <m/>
    <m/>
    <m/>
    <m/>
    <m/>
  </r>
  <r>
    <n v="4147"/>
    <n v="54601"/>
    <d v="2002-02-05T00:00:00"/>
    <n v="23"/>
    <x v="1"/>
    <x v="0"/>
    <d v="2024-09-23T00:00:00"/>
    <n v="1.2054794520547945"/>
    <x v="78"/>
    <x v="0"/>
    <x v="8"/>
    <x v="1"/>
    <n v="8.4700000000000006"/>
    <m/>
    <m/>
    <m/>
    <m/>
    <m/>
    <m/>
    <x v="2"/>
    <n v="1"/>
    <n v="6"/>
    <m/>
    <m/>
    <m/>
    <m/>
    <m/>
    <m/>
    <m/>
    <m/>
    <m/>
    <m/>
    <m/>
    <m/>
    <m/>
    <m/>
  </r>
  <r>
    <n v="4148"/>
    <n v="54602"/>
    <d v="2003-01-01T00:00:00"/>
    <n v="23"/>
    <x v="0"/>
    <x v="0"/>
    <d v="2024-10-17T00:00:00"/>
    <n v="1.6904109589041096"/>
    <x v="83"/>
    <x v="0"/>
    <x v="10"/>
    <x v="1"/>
    <n v="10.64"/>
    <m/>
    <m/>
    <m/>
    <m/>
    <m/>
    <m/>
    <x v="1"/>
    <n v="1"/>
    <n v="3"/>
    <m/>
    <m/>
    <m/>
    <m/>
    <m/>
    <m/>
    <m/>
    <m/>
    <m/>
    <m/>
    <m/>
    <m/>
    <m/>
    <m/>
  </r>
  <r>
    <n v="4149"/>
    <n v="54603"/>
    <d v="2002-04-27T00:00:00"/>
    <n v="23"/>
    <x v="1"/>
    <x v="1"/>
    <d v="2024-04-23T00:00:00"/>
    <n v="1.6904109589041096"/>
    <x v="83"/>
    <x v="0"/>
    <x v="2"/>
    <x v="1"/>
    <n v="14.23"/>
    <m/>
    <m/>
    <m/>
    <m/>
    <m/>
    <m/>
    <x v="2"/>
    <n v="0"/>
    <n v="5"/>
    <m/>
    <m/>
    <m/>
    <m/>
    <m/>
    <m/>
    <m/>
    <m/>
    <m/>
    <m/>
    <m/>
    <m/>
    <m/>
    <m/>
  </r>
  <r>
    <n v="4150"/>
    <n v="54604"/>
    <d v="2006-04-05T00:00:00"/>
    <n v="19"/>
    <x v="1"/>
    <x v="0"/>
    <d v="2024-04-23T00:00:00"/>
    <n v="1.1506849315068493"/>
    <x v="83"/>
    <x v="0"/>
    <x v="8"/>
    <x v="1"/>
    <n v="8.4700000000000006"/>
    <m/>
    <m/>
    <m/>
    <m/>
    <m/>
    <m/>
    <x v="4"/>
    <n v="1"/>
    <n v="4"/>
    <m/>
    <m/>
    <m/>
    <m/>
    <m/>
    <m/>
    <m/>
    <m/>
    <m/>
    <m/>
    <m/>
    <m/>
    <m/>
    <m/>
  </r>
  <r>
    <n v="4151"/>
    <n v="54605"/>
    <d v="2000-06-17T00:00:00"/>
    <n v="25"/>
    <x v="1"/>
    <x v="0"/>
    <d v="2024-11-06T00:00:00"/>
    <n v="1.295890410958904"/>
    <x v="50"/>
    <x v="0"/>
    <x v="8"/>
    <x v="1"/>
    <n v="8.4700000000000006"/>
    <m/>
    <m/>
    <m/>
    <m/>
    <m/>
    <m/>
    <x v="1"/>
    <n v="3"/>
    <n v="6"/>
    <m/>
    <m/>
    <m/>
    <m/>
    <m/>
    <m/>
    <m/>
    <m/>
    <m/>
    <m/>
    <m/>
    <m/>
    <m/>
    <m/>
  </r>
  <r>
    <n v="4152"/>
    <n v="54606"/>
    <d v="2006-02-11T00:00:00"/>
    <n v="19"/>
    <x v="1"/>
    <x v="1"/>
    <d v="2024-09-14T00:00:00"/>
    <n v="1.3972602739726028"/>
    <x v="50"/>
    <x v="0"/>
    <x v="8"/>
    <x v="1"/>
    <n v="8.4700000000000006"/>
    <m/>
    <m/>
    <m/>
    <m/>
    <m/>
    <m/>
    <x v="4"/>
    <n v="1"/>
    <n v="5"/>
    <m/>
    <m/>
    <m/>
    <m/>
    <m/>
    <m/>
    <m/>
    <m/>
    <m/>
    <m/>
    <m/>
    <m/>
    <m/>
    <m/>
  </r>
  <r>
    <n v="4153"/>
    <n v="54607"/>
    <d v="2004-02-27T00:00:00"/>
    <n v="21"/>
    <x v="1"/>
    <x v="1"/>
    <d v="2024-08-08T00:00:00"/>
    <n v="1.7123287671232876"/>
    <x v="143"/>
    <x v="0"/>
    <x v="3"/>
    <x v="1"/>
    <n v="8.4700000000000006"/>
    <m/>
    <m/>
    <m/>
    <m/>
    <m/>
    <m/>
    <x v="1"/>
    <n v="3"/>
    <n v="6"/>
    <m/>
    <m/>
    <m/>
    <m/>
    <m/>
    <m/>
    <m/>
    <m/>
    <m/>
    <m/>
    <m/>
    <m/>
    <m/>
    <m/>
  </r>
  <r>
    <n v="4154"/>
    <n v="54608"/>
    <d v="2006-08-07T00:00:00"/>
    <n v="19"/>
    <x v="1"/>
    <x v="1"/>
    <d v="2024-04-15T00:00:00"/>
    <n v="1.3616438356164384"/>
    <x v="143"/>
    <x v="0"/>
    <x v="8"/>
    <x v="1"/>
    <n v="8.4700000000000006"/>
    <m/>
    <m/>
    <m/>
    <m/>
    <m/>
    <m/>
    <x v="4"/>
    <n v="4"/>
    <n v="7"/>
    <m/>
    <m/>
    <m/>
    <m/>
    <m/>
    <m/>
    <m/>
    <m/>
    <m/>
    <m/>
    <m/>
    <m/>
    <m/>
    <m/>
  </r>
  <r>
    <n v="4155"/>
    <n v="54609"/>
    <d v="2005-05-14T00:00:00"/>
    <n v="20"/>
    <x v="1"/>
    <x v="1"/>
    <d v="2024-08-21T00:00:00"/>
    <n v="1.2301369863013698"/>
    <x v="143"/>
    <x v="0"/>
    <x v="8"/>
    <x v="1"/>
    <n v="8.4700000000000006"/>
    <m/>
    <m/>
    <m/>
    <m/>
    <m/>
    <m/>
    <x v="1"/>
    <n v="1"/>
    <n v="6"/>
    <m/>
    <m/>
    <m/>
    <m/>
    <m/>
    <m/>
    <m/>
    <m/>
    <m/>
    <m/>
    <m/>
    <m/>
    <m/>
    <m/>
  </r>
  <r>
    <n v="4156"/>
    <n v="54610"/>
    <d v="1995-07-30T00:00:00"/>
    <n v="30"/>
    <x v="1"/>
    <x v="1"/>
    <d v="2024-10-08T00:00:00"/>
    <n v="1.5068493150684932"/>
    <x v="102"/>
    <x v="0"/>
    <x v="9"/>
    <x v="1"/>
    <n v="14.07"/>
    <m/>
    <m/>
    <m/>
    <m/>
    <m/>
    <m/>
    <x v="1"/>
    <n v="0"/>
    <n v="5"/>
    <m/>
    <m/>
    <m/>
    <m/>
    <m/>
    <m/>
    <m/>
    <m/>
    <m/>
    <m/>
    <m/>
    <m/>
    <m/>
    <m/>
  </r>
  <r>
    <n v="4157"/>
    <n v="54612"/>
    <d v="2002-12-07T00:00:00"/>
    <n v="23"/>
    <x v="1"/>
    <x v="1"/>
    <d v="2024-06-29T00:00:00"/>
    <n v="1.2027397260273973"/>
    <x v="140"/>
    <x v="0"/>
    <x v="8"/>
    <x v="1"/>
    <n v="8.4700000000000006"/>
    <m/>
    <m/>
    <m/>
    <m/>
    <m/>
    <m/>
    <x v="4"/>
    <n v="2"/>
    <n v="6"/>
    <m/>
    <m/>
    <m/>
    <m/>
    <m/>
    <m/>
    <m/>
    <m/>
    <m/>
    <m/>
    <m/>
    <m/>
    <m/>
    <m/>
  </r>
  <r>
    <n v="4158"/>
    <n v="54613"/>
    <d v="2004-07-01T00:00:00"/>
    <n v="22"/>
    <x v="1"/>
    <x v="1"/>
    <d v="2024-10-18T00:00:00"/>
    <n v="1.5095890410958903"/>
    <x v="140"/>
    <x v="0"/>
    <x v="8"/>
    <x v="1"/>
    <n v="8.4700000000000006"/>
    <m/>
    <m/>
    <m/>
    <m/>
    <m/>
    <m/>
    <x v="4"/>
    <n v="1"/>
    <n v="6"/>
    <m/>
    <m/>
    <m/>
    <m/>
    <m/>
    <m/>
    <m/>
    <m/>
    <m/>
    <m/>
    <m/>
    <m/>
    <m/>
    <m/>
  </r>
  <r>
    <n v="4159"/>
    <n v="54614"/>
    <d v="2006-12-19T00:00:00"/>
    <n v="19"/>
    <x v="1"/>
    <x v="1"/>
    <d v="2024-06-28T00:00:00"/>
    <n v="1.6027397260273972"/>
    <x v="35"/>
    <x v="0"/>
    <x v="9"/>
    <x v="1"/>
    <n v="14.07"/>
    <m/>
    <m/>
    <m/>
    <m/>
    <m/>
    <m/>
    <x v="1"/>
    <n v="0"/>
    <n v="5"/>
    <m/>
    <m/>
    <m/>
    <m/>
    <m/>
    <m/>
    <m/>
    <m/>
    <m/>
    <m/>
    <m/>
    <m/>
    <m/>
    <m/>
  </r>
  <r>
    <n v="4160"/>
    <n v="54615"/>
    <d v="1999-03-26T00:00:00"/>
    <n v="26"/>
    <x v="0"/>
    <x v="1"/>
    <d v="2024-05-25T00:00:00"/>
    <n v="1.5452054794520549"/>
    <x v="35"/>
    <x v="0"/>
    <x v="7"/>
    <x v="1"/>
    <n v="17.59"/>
    <m/>
    <m/>
    <m/>
    <m/>
    <m/>
    <m/>
    <x v="4"/>
    <n v="2"/>
    <n v="5"/>
    <m/>
    <m/>
    <m/>
    <m/>
    <m/>
    <m/>
    <m/>
    <m/>
    <m/>
    <m/>
    <m/>
    <m/>
    <m/>
    <m/>
  </r>
  <r>
    <n v="4161"/>
    <n v="54616"/>
    <d v="2003-08-25T00:00:00"/>
    <n v="22"/>
    <x v="1"/>
    <x v="1"/>
    <d v="2024-06-15T00:00:00"/>
    <n v="1.2904109589041095"/>
    <x v="141"/>
    <x v="0"/>
    <x v="8"/>
    <x v="1"/>
    <n v="8.4700000000000006"/>
    <m/>
    <m/>
    <m/>
    <m/>
    <m/>
    <m/>
    <x v="1"/>
    <n v="2"/>
    <n v="5"/>
    <m/>
    <m/>
    <m/>
    <m/>
    <m/>
    <m/>
    <m/>
    <m/>
    <m/>
    <m/>
    <m/>
    <m/>
    <m/>
    <m/>
  </r>
  <r>
    <n v="4162"/>
    <n v="54617"/>
    <d v="2006-09-27T00:00:00"/>
    <n v="19"/>
    <x v="1"/>
    <x v="1"/>
    <d v="2024-09-16T00:00:00"/>
    <n v="1.6136986301369862"/>
    <x v="55"/>
    <x v="0"/>
    <x v="1"/>
    <x v="1"/>
    <n v="16.37"/>
    <m/>
    <m/>
    <m/>
    <m/>
    <m/>
    <m/>
    <x v="4"/>
    <n v="1"/>
    <n v="6"/>
    <m/>
    <m/>
    <m/>
    <m/>
    <m/>
    <m/>
    <m/>
    <m/>
    <m/>
    <m/>
    <m/>
    <m/>
    <m/>
    <m/>
  </r>
  <r>
    <n v="4163"/>
    <n v="54618"/>
    <d v="1998-03-19T00:00:00"/>
    <n v="27"/>
    <x v="1"/>
    <x v="1"/>
    <d v="2024-05-21T00:00:00"/>
    <n v="1.5397260273972602"/>
    <x v="55"/>
    <x v="0"/>
    <x v="8"/>
    <x v="1"/>
    <n v="8.4700000000000006"/>
    <m/>
    <m/>
    <m/>
    <m/>
    <m/>
    <m/>
    <x v="4"/>
    <n v="2"/>
    <n v="5"/>
    <m/>
    <m/>
    <m/>
    <m/>
    <m/>
    <m/>
    <m/>
    <m/>
    <m/>
    <m/>
    <m/>
    <m/>
    <m/>
    <m/>
  </r>
  <r>
    <n v="4164"/>
    <n v="54619"/>
    <d v="2002-11-11T00:00:00"/>
    <n v="23"/>
    <x v="0"/>
    <x v="1"/>
    <d v="2024-06-17T00:00:00"/>
    <n v="1.6767123287671233"/>
    <x v="144"/>
    <x v="0"/>
    <x v="10"/>
    <x v="1"/>
    <n v="10.64"/>
    <m/>
    <m/>
    <m/>
    <m/>
    <m/>
    <m/>
    <x v="3"/>
    <n v="1"/>
    <n v="3"/>
    <m/>
    <m/>
    <m/>
    <m/>
    <m/>
    <m/>
    <m/>
    <m/>
    <m/>
    <m/>
    <m/>
    <m/>
    <m/>
    <m/>
  </r>
  <r>
    <n v="4165"/>
    <n v="54620"/>
    <d v="2004-10-26T00:00:00"/>
    <n v="21"/>
    <x v="0"/>
    <x v="0"/>
    <d v="2024-04-28T00:00:00"/>
    <n v="1.0986301369863014"/>
    <x v="144"/>
    <x v="0"/>
    <x v="10"/>
    <x v="1"/>
    <n v="10.64"/>
    <m/>
    <m/>
    <m/>
    <m/>
    <m/>
    <m/>
    <x v="3"/>
    <n v="0"/>
    <n v="3"/>
    <m/>
    <m/>
    <m/>
    <m/>
    <m/>
    <m/>
    <m/>
    <m/>
    <m/>
    <m/>
    <m/>
    <m/>
    <m/>
    <m/>
  </r>
  <r>
    <n v="4166"/>
    <n v="54621"/>
    <d v="2004-12-20T00:00:00"/>
    <n v="21"/>
    <x v="1"/>
    <x v="0"/>
    <d v="2024-11-25T00:00:00"/>
    <n v="1.0520547945205478"/>
    <x v="144"/>
    <x v="0"/>
    <x v="8"/>
    <x v="1"/>
    <n v="8.4700000000000006"/>
    <m/>
    <m/>
    <m/>
    <m/>
    <m/>
    <m/>
    <x v="1"/>
    <n v="2"/>
    <n v="6"/>
    <m/>
    <m/>
    <m/>
    <m/>
    <m/>
    <m/>
    <m/>
    <m/>
    <m/>
    <m/>
    <m/>
    <m/>
    <m/>
    <m/>
  </r>
  <r>
    <n v="4167"/>
    <n v="54622"/>
    <d v="2004-02-14T00:00:00"/>
    <n v="21"/>
    <x v="0"/>
    <x v="1"/>
    <d v="2024-12-12T00:00:00"/>
    <n v="1.5917808219178082"/>
    <x v="142"/>
    <x v="0"/>
    <x v="2"/>
    <x v="1"/>
    <n v="14.23"/>
    <m/>
    <m/>
    <m/>
    <m/>
    <m/>
    <m/>
    <x v="3"/>
    <n v="0"/>
    <n v="4"/>
    <m/>
    <m/>
    <m/>
    <m/>
    <m/>
    <m/>
    <m/>
    <m/>
    <m/>
    <m/>
    <m/>
    <m/>
    <m/>
    <m/>
  </r>
  <r>
    <n v="4168"/>
    <n v="54623"/>
    <d v="2003-10-09T00:00:00"/>
    <n v="22"/>
    <x v="1"/>
    <x v="0"/>
    <d v="2024-05-29T00:00:00"/>
    <n v="1.284931506849315"/>
    <x v="142"/>
    <x v="0"/>
    <x v="8"/>
    <x v="1"/>
    <n v="8.4700000000000006"/>
    <m/>
    <m/>
    <m/>
    <m/>
    <m/>
    <m/>
    <x v="2"/>
    <n v="3"/>
    <n v="6"/>
    <m/>
    <m/>
    <m/>
    <m/>
    <m/>
    <m/>
    <m/>
    <m/>
    <m/>
    <m/>
    <m/>
    <m/>
    <m/>
    <m/>
  </r>
  <r>
    <n v="4169"/>
    <n v="54624"/>
    <d v="1997-03-21T00:00:00"/>
    <n v="28"/>
    <x v="1"/>
    <x v="1"/>
    <d v="2024-09-18T00:00:00"/>
    <n v="1.3315068493150686"/>
    <x v="59"/>
    <x v="0"/>
    <x v="8"/>
    <x v="1"/>
    <n v="8.4700000000000006"/>
    <m/>
    <m/>
    <m/>
    <m/>
    <m/>
    <m/>
    <x v="2"/>
    <n v="4"/>
    <n v="5"/>
    <m/>
    <m/>
    <m/>
    <m/>
    <m/>
    <m/>
    <m/>
    <m/>
    <m/>
    <m/>
    <m/>
    <m/>
    <m/>
    <m/>
  </r>
  <r>
    <n v="4170"/>
    <n v="54625"/>
    <d v="2002-11-18T00:00:00"/>
    <n v="23"/>
    <x v="1"/>
    <x v="0"/>
    <d v="2024-09-01T00:00:00"/>
    <n v="1.8273972602739725"/>
    <x v="106"/>
    <x v="1"/>
    <x v="8"/>
    <x v="1"/>
    <n v="8.4700000000000006"/>
    <m/>
    <m/>
    <m/>
    <m/>
    <m/>
    <m/>
    <x v="3"/>
    <n v="3"/>
    <n v="6"/>
    <m/>
    <m/>
    <m/>
    <m/>
    <m/>
    <m/>
    <m/>
    <m/>
    <m/>
    <m/>
    <m/>
    <m/>
    <m/>
    <m/>
  </r>
  <r>
    <n v="4171"/>
    <n v="54626"/>
    <d v="2000-04-15T00:00:00"/>
    <n v="25"/>
    <x v="1"/>
    <x v="1"/>
    <d v="2024-03-04T00:00:00"/>
    <n v="1.6246575342465754"/>
    <x v="1"/>
    <x v="1"/>
    <x v="3"/>
    <x v="1"/>
    <n v="8.4700000000000006"/>
    <m/>
    <m/>
    <m/>
    <m/>
    <m/>
    <m/>
    <x v="3"/>
    <n v="0"/>
    <n v="6"/>
    <m/>
    <m/>
    <m/>
    <m/>
    <m/>
    <m/>
    <m/>
    <m/>
    <m/>
    <m/>
    <m/>
    <m/>
    <m/>
    <m/>
  </r>
  <r>
    <n v="4172"/>
    <n v="54627"/>
    <d v="2006-12-11T00:00:00"/>
    <n v="19"/>
    <x v="1"/>
    <x v="0"/>
    <d v="2024-05-17T00:00:00"/>
    <n v="1.1534246575342466"/>
    <x v="43"/>
    <x v="1"/>
    <x v="8"/>
    <x v="1"/>
    <n v="8.4700000000000006"/>
    <m/>
    <m/>
    <m/>
    <m/>
    <m/>
    <m/>
    <x v="4"/>
    <n v="2"/>
    <n v="4"/>
    <m/>
    <m/>
    <m/>
    <m/>
    <m/>
    <m/>
    <m/>
    <m/>
    <m/>
    <m/>
    <m/>
    <m/>
    <m/>
    <m/>
  </r>
  <r>
    <n v="4173"/>
    <n v="54628"/>
    <d v="2005-03-26T00:00:00"/>
    <n v="20"/>
    <x v="1"/>
    <x v="1"/>
    <d v="2024-11-05T00:00:00"/>
    <n v="1.4328767123287671"/>
    <x v="104"/>
    <x v="1"/>
    <x v="3"/>
    <x v="1"/>
    <n v="8.4700000000000006"/>
    <m/>
    <m/>
    <m/>
    <m/>
    <m/>
    <m/>
    <x v="3"/>
    <n v="2"/>
    <n v="6"/>
    <m/>
    <m/>
    <m/>
    <m/>
    <m/>
    <m/>
    <m/>
    <m/>
    <m/>
    <m/>
    <m/>
    <m/>
    <m/>
    <m/>
  </r>
  <r>
    <n v="4174"/>
    <n v="54629"/>
    <d v="2002-03-06T00:00:00"/>
    <n v="23"/>
    <x v="0"/>
    <x v="1"/>
    <d v="2024-07-26T00:00:00"/>
    <n v="1.0383561643835617"/>
    <x v="90"/>
    <x v="1"/>
    <x v="10"/>
    <x v="1"/>
    <n v="10.64"/>
    <m/>
    <m/>
    <m/>
    <m/>
    <m/>
    <m/>
    <x v="2"/>
    <n v="0"/>
    <n v="3"/>
    <m/>
    <m/>
    <m/>
    <m/>
    <m/>
    <m/>
    <m/>
    <m/>
    <m/>
    <m/>
    <m/>
    <m/>
    <m/>
    <m/>
  </r>
  <r>
    <n v="4175"/>
    <n v="54630"/>
    <d v="2001-09-15T00:00:00"/>
    <n v="24"/>
    <x v="0"/>
    <x v="1"/>
    <d v="2024-12-17T00:00:00"/>
    <n v="1.4986301369863013"/>
    <x v="120"/>
    <x v="1"/>
    <x v="7"/>
    <x v="1"/>
    <n v="17.59"/>
    <m/>
    <m/>
    <m/>
    <m/>
    <m/>
    <m/>
    <x v="4"/>
    <n v="3"/>
    <n v="4"/>
    <m/>
    <m/>
    <m/>
    <m/>
    <m/>
    <m/>
    <m/>
    <m/>
    <m/>
    <m/>
    <m/>
    <m/>
    <m/>
    <m/>
  </r>
  <r>
    <n v="4176"/>
    <n v="54631"/>
    <d v="2006-03-10T00:00:00"/>
    <n v="19"/>
    <x v="1"/>
    <x v="1"/>
    <d v="2024-07-02T00:00:00"/>
    <n v="1.0301369863013699"/>
    <x v="114"/>
    <x v="1"/>
    <x v="10"/>
    <x v="1"/>
    <n v="10.64"/>
    <m/>
    <m/>
    <m/>
    <m/>
    <m/>
    <m/>
    <x v="1"/>
    <n v="0"/>
    <n v="6"/>
    <m/>
    <m/>
    <m/>
    <m/>
    <m/>
    <m/>
    <m/>
    <m/>
    <m/>
    <m/>
    <m/>
    <m/>
    <m/>
    <m/>
  </r>
  <r>
    <n v="4177"/>
    <n v="54632"/>
    <d v="2003-09-09T00:00:00"/>
    <n v="22"/>
    <x v="1"/>
    <x v="1"/>
    <d v="2024-12-20T00:00:00"/>
    <n v="1.3315068493150686"/>
    <x v="46"/>
    <x v="1"/>
    <x v="8"/>
    <x v="1"/>
    <n v="8.4700000000000006"/>
    <m/>
    <m/>
    <m/>
    <m/>
    <m/>
    <m/>
    <x v="4"/>
    <n v="2"/>
    <n v="6"/>
    <m/>
    <m/>
    <m/>
    <m/>
    <m/>
    <m/>
    <m/>
    <m/>
    <m/>
    <m/>
    <m/>
    <m/>
    <m/>
    <m/>
  </r>
  <r>
    <n v="4178"/>
    <n v="54633"/>
    <d v="2006-01-03T00:00:00"/>
    <n v="19"/>
    <x v="1"/>
    <x v="1"/>
    <d v="2024-09-01T00:00:00"/>
    <n v="1.3424657534246576"/>
    <x v="9"/>
    <x v="1"/>
    <x v="8"/>
    <x v="1"/>
    <n v="8.4700000000000006"/>
    <m/>
    <m/>
    <m/>
    <m/>
    <m/>
    <m/>
    <x v="1"/>
    <n v="2"/>
    <n v="6"/>
    <m/>
    <m/>
    <m/>
    <m/>
    <m/>
    <m/>
    <m/>
    <m/>
    <m/>
    <m/>
    <m/>
    <m/>
    <m/>
    <m/>
  </r>
  <r>
    <n v="4179"/>
    <n v="54634"/>
    <d v="2005-02-27T00:00:00"/>
    <n v="20"/>
    <x v="1"/>
    <x v="0"/>
    <d v="2024-08-28T00:00:00"/>
    <n v="1.284931506849315"/>
    <x v="105"/>
    <x v="1"/>
    <x v="8"/>
    <x v="1"/>
    <n v="8.4700000000000006"/>
    <m/>
    <m/>
    <m/>
    <m/>
    <m/>
    <m/>
    <x v="3"/>
    <n v="3"/>
    <n v="6"/>
    <m/>
    <m/>
    <m/>
    <m/>
    <m/>
    <m/>
    <m/>
    <m/>
    <m/>
    <m/>
    <m/>
    <m/>
    <m/>
    <m/>
  </r>
  <r>
    <n v="4180"/>
    <n v="54635"/>
    <d v="2002-03-10T00:00:00"/>
    <n v="23"/>
    <x v="1"/>
    <x v="0"/>
    <d v="2024-09-18T00:00:00"/>
    <n v="1.7123287671232876"/>
    <x v="29"/>
    <x v="1"/>
    <x v="8"/>
    <x v="1"/>
    <n v="8.4700000000000006"/>
    <m/>
    <m/>
    <m/>
    <m/>
    <m/>
    <m/>
    <x v="4"/>
    <n v="0"/>
    <n v="6"/>
    <m/>
    <m/>
    <m/>
    <m/>
    <m/>
    <m/>
    <m/>
    <m/>
    <m/>
    <m/>
    <m/>
    <m/>
    <m/>
    <m/>
  </r>
  <r>
    <n v="4181"/>
    <n v="54636"/>
    <d v="2003-06-04T00:00:00"/>
    <n v="22"/>
    <x v="0"/>
    <x v="0"/>
    <d v="2024-04-15T00:00:00"/>
    <n v="1.3698630136986301"/>
    <x v="29"/>
    <x v="1"/>
    <x v="8"/>
    <x v="1"/>
    <n v="8.4700000000000006"/>
    <m/>
    <m/>
    <m/>
    <m/>
    <m/>
    <m/>
    <x v="4"/>
    <n v="4"/>
    <n v="4"/>
    <m/>
    <m/>
    <m/>
    <m/>
    <m/>
    <m/>
    <m/>
    <m/>
    <m/>
    <m/>
    <m/>
    <m/>
    <m/>
    <m/>
  </r>
  <r>
    <n v="4182"/>
    <n v="54637"/>
    <d v="2004-02-01T00:00:00"/>
    <n v="22"/>
    <x v="1"/>
    <x v="1"/>
    <d v="2024-08-18T00:00:00"/>
    <n v="1.1917808219178083"/>
    <x v="30"/>
    <x v="1"/>
    <x v="8"/>
    <x v="1"/>
    <n v="8.4700000000000006"/>
    <m/>
    <m/>
    <m/>
    <m/>
    <m/>
    <m/>
    <x v="3"/>
    <n v="3"/>
    <n v="5"/>
    <m/>
    <m/>
    <m/>
    <m/>
    <m/>
    <m/>
    <m/>
    <m/>
    <m/>
    <m/>
    <m/>
    <m/>
    <m/>
    <m/>
  </r>
  <r>
    <n v="4183"/>
    <n v="54638"/>
    <d v="2001-12-19T00:00:00"/>
    <n v="24"/>
    <x v="1"/>
    <x v="1"/>
    <d v="2024-10-22T00:00:00"/>
    <n v="1.0575342465753426"/>
    <x v="48"/>
    <x v="1"/>
    <x v="11"/>
    <x v="1"/>
    <n v="17"/>
    <m/>
    <m/>
    <m/>
    <m/>
    <m/>
    <m/>
    <x v="3"/>
    <n v="3"/>
    <n v="6"/>
    <m/>
    <m/>
    <m/>
    <m/>
    <m/>
    <m/>
    <m/>
    <m/>
    <m/>
    <m/>
    <m/>
    <m/>
    <m/>
    <m/>
  </r>
  <r>
    <n v="4184"/>
    <n v="54639"/>
    <d v="2006-10-19T00:00:00"/>
    <n v="19"/>
    <x v="1"/>
    <x v="1"/>
    <d v="2024-12-10T00:00:00"/>
    <n v="1.6219178082191781"/>
    <x v="115"/>
    <x v="1"/>
    <x v="8"/>
    <x v="1"/>
    <n v="8.4700000000000006"/>
    <m/>
    <m/>
    <m/>
    <m/>
    <m/>
    <m/>
    <x v="1"/>
    <n v="2"/>
    <n v="6"/>
    <m/>
    <m/>
    <m/>
    <m/>
    <m/>
    <m/>
    <m/>
    <m/>
    <m/>
    <m/>
    <m/>
    <m/>
    <m/>
    <m/>
  </r>
  <r>
    <n v="4185"/>
    <n v="54640"/>
    <d v="2006-04-26T00:00:00"/>
    <n v="19"/>
    <x v="1"/>
    <x v="0"/>
    <d v="2024-05-18T00:00:00"/>
    <n v="1.6328767123287671"/>
    <x v="123"/>
    <x v="1"/>
    <x v="8"/>
    <x v="1"/>
    <n v="8.4700000000000006"/>
    <m/>
    <m/>
    <m/>
    <m/>
    <m/>
    <m/>
    <x v="4"/>
    <n v="3"/>
    <n v="6"/>
    <m/>
    <m/>
    <m/>
    <m/>
    <m/>
    <m/>
    <m/>
    <m/>
    <m/>
    <m/>
    <m/>
    <m/>
    <m/>
    <m/>
  </r>
  <r>
    <n v="4186"/>
    <n v="54641"/>
    <d v="2006-04-03T00:00:00"/>
    <n v="19"/>
    <x v="1"/>
    <x v="0"/>
    <d v="2024-05-14T00:00:00"/>
    <n v="1.0986301369863014"/>
    <x v="130"/>
    <x v="1"/>
    <x v="8"/>
    <x v="1"/>
    <n v="8.4700000000000006"/>
    <m/>
    <m/>
    <m/>
    <m/>
    <m/>
    <m/>
    <x v="4"/>
    <n v="0"/>
    <n v="5"/>
    <m/>
    <m/>
    <m/>
    <m/>
    <m/>
    <m/>
    <m/>
    <m/>
    <m/>
    <m/>
    <m/>
    <m/>
    <m/>
    <m/>
  </r>
  <r>
    <n v="4187"/>
    <n v="54642"/>
    <d v="2003-06-24T00:00:00"/>
    <n v="22"/>
    <x v="1"/>
    <x v="1"/>
    <d v="2024-11-25T00:00:00"/>
    <n v="1.1835616438356165"/>
    <x v="85"/>
    <x v="1"/>
    <x v="11"/>
    <x v="1"/>
    <n v="17"/>
    <m/>
    <m/>
    <m/>
    <m/>
    <m/>
    <m/>
    <x v="4"/>
    <n v="2"/>
    <n v="7"/>
    <m/>
    <m/>
    <m/>
    <m/>
    <m/>
    <m/>
    <m/>
    <m/>
    <m/>
    <m/>
    <m/>
    <m/>
    <m/>
    <m/>
  </r>
  <r>
    <n v="4188"/>
    <n v="54643"/>
    <d v="2005-04-28T00:00:00"/>
    <n v="20"/>
    <x v="0"/>
    <x v="1"/>
    <d v="2024-10-25T00:00:00"/>
    <n v="1.4931506849315068"/>
    <x v="58"/>
    <x v="1"/>
    <x v="8"/>
    <x v="1"/>
    <n v="8.4700000000000006"/>
    <m/>
    <m/>
    <m/>
    <m/>
    <m/>
    <m/>
    <x v="4"/>
    <n v="4"/>
    <n v="5"/>
    <m/>
    <m/>
    <m/>
    <m/>
    <m/>
    <m/>
    <m/>
    <m/>
    <m/>
    <m/>
    <m/>
    <m/>
    <m/>
    <m/>
  </r>
  <r>
    <n v="4189"/>
    <n v="54644"/>
    <d v="2005-01-02T00:00:00"/>
    <n v="20"/>
    <x v="1"/>
    <x v="1"/>
    <d v="2024-07-04T00:00:00"/>
    <n v="1.726027397260274"/>
    <x v="58"/>
    <x v="1"/>
    <x v="8"/>
    <x v="1"/>
    <n v="8.4700000000000006"/>
    <m/>
    <m/>
    <m/>
    <m/>
    <m/>
    <m/>
    <x v="1"/>
    <n v="1"/>
    <n v="7"/>
    <m/>
    <m/>
    <m/>
    <m/>
    <m/>
    <m/>
    <m/>
    <m/>
    <m/>
    <m/>
    <m/>
    <m/>
    <m/>
    <m/>
  </r>
  <r>
    <n v="4190"/>
    <n v="54645"/>
    <d v="2003-02-21T00:00:00"/>
    <n v="22"/>
    <x v="1"/>
    <x v="1"/>
    <d v="2024-04-10T00:00:00"/>
    <n v="1.726027397260274"/>
    <x v="117"/>
    <x v="1"/>
    <x v="2"/>
    <x v="1"/>
    <n v="14.23"/>
    <m/>
    <m/>
    <m/>
    <m/>
    <m/>
    <m/>
    <x v="4"/>
    <n v="0"/>
    <n v="4"/>
    <m/>
    <m/>
    <m/>
    <m/>
    <m/>
    <m/>
    <m/>
    <m/>
    <m/>
    <m/>
    <m/>
    <m/>
    <m/>
    <m/>
  </r>
  <r>
    <n v="4191"/>
    <n v="54646"/>
    <d v="2007-06-03T00:00:00"/>
    <n v="18"/>
    <x v="1"/>
    <x v="0"/>
    <d v="2024-04-10T00:00:00"/>
    <n v="1.0383561643835617"/>
    <x v="66"/>
    <x v="1"/>
    <x v="8"/>
    <x v="1"/>
    <n v="8.4700000000000006"/>
    <m/>
    <m/>
    <m/>
    <m/>
    <m/>
    <m/>
    <x v="3"/>
    <n v="3"/>
    <n v="5"/>
    <m/>
    <m/>
    <m/>
    <m/>
    <m/>
    <m/>
    <m/>
    <m/>
    <m/>
    <m/>
    <m/>
    <m/>
    <m/>
    <m/>
  </r>
  <r>
    <n v="4192"/>
    <n v="54648"/>
    <d v="1998-10-16T00:00:00"/>
    <n v="27"/>
    <x v="0"/>
    <x v="1"/>
    <d v="2024-12-17T00:00:00"/>
    <n v="1.0520547945205478"/>
    <x v="68"/>
    <x v="1"/>
    <x v="6"/>
    <x v="1"/>
    <n v="23.78"/>
    <m/>
    <m/>
    <m/>
    <m/>
    <m/>
    <m/>
    <x v="3"/>
    <n v="3"/>
    <n v="4"/>
    <m/>
    <m/>
    <m/>
    <m/>
    <m/>
    <m/>
    <m/>
    <m/>
    <m/>
    <m/>
    <m/>
    <m/>
    <m/>
    <m/>
  </r>
  <r>
    <n v="4193"/>
    <n v="54649"/>
    <d v="2003-10-16T00:00:00"/>
    <n v="22"/>
    <x v="1"/>
    <x v="1"/>
    <d v="2024-12-12T00:00:00"/>
    <n v="1.6684931506849314"/>
    <x v="69"/>
    <x v="1"/>
    <x v="8"/>
    <x v="1"/>
    <n v="8.4700000000000006"/>
    <m/>
    <m/>
    <m/>
    <m/>
    <m/>
    <m/>
    <x v="4"/>
    <n v="4"/>
    <n v="7"/>
    <m/>
    <m/>
    <m/>
    <m/>
    <m/>
    <m/>
    <m/>
    <m/>
    <m/>
    <m/>
    <m/>
    <m/>
    <m/>
    <m/>
  </r>
  <r>
    <n v="4194"/>
    <n v="54650"/>
    <d v="1999-04-29T00:00:00"/>
    <n v="26"/>
    <x v="1"/>
    <x v="1"/>
    <d v="2024-05-01T00:00:00"/>
    <n v="1.2164383561643837"/>
    <x v="131"/>
    <x v="1"/>
    <x v="11"/>
    <x v="1"/>
    <n v="17"/>
    <m/>
    <m/>
    <m/>
    <m/>
    <m/>
    <m/>
    <x v="4"/>
    <n v="2"/>
    <n v="4"/>
    <m/>
    <m/>
    <m/>
    <m/>
    <m/>
    <m/>
    <m/>
    <m/>
    <m/>
    <m/>
    <m/>
    <m/>
    <m/>
    <m/>
  </r>
  <r>
    <n v="4195"/>
    <n v="54651"/>
    <d v="2003-07-13T00:00:00"/>
    <n v="22"/>
    <x v="1"/>
    <x v="1"/>
    <d v="2024-10-13T00:00:00"/>
    <n v="1.2246575342465753"/>
    <x v="131"/>
    <x v="1"/>
    <x v="9"/>
    <x v="1"/>
    <n v="14.07"/>
    <m/>
    <m/>
    <m/>
    <m/>
    <m/>
    <m/>
    <x v="1"/>
    <n v="0"/>
    <n v="6"/>
    <m/>
    <m/>
    <m/>
    <m/>
    <m/>
    <m/>
    <m/>
    <m/>
    <m/>
    <m/>
    <m/>
    <m/>
    <m/>
    <m/>
  </r>
  <r>
    <n v="4196"/>
    <n v="54652"/>
    <d v="2005-05-18T00:00:00"/>
    <n v="20"/>
    <x v="1"/>
    <x v="1"/>
    <d v="2024-10-10T00:00:00"/>
    <n v="1.4712328767123288"/>
    <x v="72"/>
    <x v="1"/>
    <x v="8"/>
    <x v="1"/>
    <n v="8.4700000000000006"/>
    <m/>
    <m/>
    <m/>
    <m/>
    <m/>
    <m/>
    <x v="4"/>
    <n v="1"/>
    <n v="6"/>
    <m/>
    <m/>
    <m/>
    <m/>
    <m/>
    <m/>
    <m/>
    <m/>
    <m/>
    <m/>
    <m/>
    <m/>
    <m/>
    <m/>
  </r>
  <r>
    <n v="4197"/>
    <n v="54653"/>
    <d v="2003-03-25T00:00:00"/>
    <n v="22"/>
    <x v="1"/>
    <x v="1"/>
    <d v="2024-07-12T00:00:00"/>
    <n v="1.5205479452054795"/>
    <x v="72"/>
    <x v="1"/>
    <x v="8"/>
    <x v="1"/>
    <n v="8.4700000000000006"/>
    <m/>
    <m/>
    <m/>
    <m/>
    <m/>
    <m/>
    <x v="2"/>
    <n v="1"/>
    <n v="6"/>
    <m/>
    <m/>
    <m/>
    <m/>
    <m/>
    <m/>
    <m/>
    <m/>
    <m/>
    <m/>
    <m/>
    <m/>
    <m/>
    <m/>
  </r>
  <r>
    <n v="4198"/>
    <n v="54654"/>
    <d v="1999-04-02T00:00:00"/>
    <n v="26"/>
    <x v="0"/>
    <x v="1"/>
    <d v="2024-06-24T00:00:00"/>
    <n v="1.4602739726027398"/>
    <x v="75"/>
    <x v="1"/>
    <x v="8"/>
    <x v="1"/>
    <n v="8.4700000000000006"/>
    <m/>
    <m/>
    <m/>
    <m/>
    <m/>
    <m/>
    <x v="4"/>
    <n v="3"/>
    <n v="5"/>
    <m/>
    <m/>
    <m/>
    <m/>
    <m/>
    <m/>
    <m/>
    <m/>
    <m/>
    <m/>
    <m/>
    <m/>
    <m/>
    <m/>
  </r>
  <r>
    <n v="4199"/>
    <n v="54655"/>
    <d v="2004-09-02T00:00:00"/>
    <n v="21"/>
    <x v="1"/>
    <x v="0"/>
    <d v="2024-07-16T00:00:00"/>
    <n v="1.5972602739726027"/>
    <x v="122"/>
    <x v="1"/>
    <x v="8"/>
    <x v="1"/>
    <n v="8.4700000000000006"/>
    <m/>
    <m/>
    <m/>
    <m/>
    <m/>
    <m/>
    <x v="3"/>
    <n v="3"/>
    <n v="7"/>
    <m/>
    <m/>
    <m/>
    <m/>
    <m/>
    <m/>
    <m/>
    <m/>
    <m/>
    <m/>
    <m/>
    <m/>
    <m/>
    <m/>
  </r>
  <r>
    <n v="4200"/>
    <n v="54656"/>
    <d v="2006-04-23T00:00:00"/>
    <n v="19"/>
    <x v="1"/>
    <x v="1"/>
    <d v="2024-05-27T00:00:00"/>
    <n v="1.6273972602739726"/>
    <x v="125"/>
    <x v="1"/>
    <x v="8"/>
    <x v="1"/>
    <n v="8.4700000000000006"/>
    <m/>
    <m/>
    <m/>
    <m/>
    <m/>
    <m/>
    <x v="3"/>
    <n v="1"/>
    <n v="7"/>
    <m/>
    <m/>
    <m/>
    <m/>
    <m/>
    <m/>
    <m/>
    <m/>
    <m/>
    <m/>
    <m/>
    <m/>
    <m/>
    <m/>
  </r>
  <r>
    <n v="4201"/>
    <n v="54657"/>
    <d v="1982-12-17T00:00:00"/>
    <n v="43"/>
    <x v="0"/>
    <x v="1"/>
    <d v="2024-05-16T00:00:00"/>
    <n v="1.0794520547945206"/>
    <x v="118"/>
    <x v="1"/>
    <x v="2"/>
    <x v="1"/>
    <n v="14.23"/>
    <m/>
    <m/>
    <m/>
    <m/>
    <m/>
    <m/>
    <x v="4"/>
    <n v="0"/>
    <n v="4"/>
    <m/>
    <m/>
    <m/>
    <m/>
    <m/>
    <m/>
    <m/>
    <m/>
    <m/>
    <m/>
    <m/>
    <m/>
    <m/>
    <m/>
  </r>
  <r>
    <n v="4202"/>
    <n v="54658"/>
    <d v="1998-09-05T00:00:00"/>
    <n v="27"/>
    <x v="1"/>
    <x v="0"/>
    <d v="2024-12-02T00:00:00"/>
    <n v="1.0602739726027397"/>
    <x v="118"/>
    <x v="1"/>
    <x v="8"/>
    <x v="1"/>
    <n v="8.4700000000000006"/>
    <m/>
    <m/>
    <m/>
    <m/>
    <m/>
    <m/>
    <x v="2"/>
    <n v="2"/>
    <n v="6"/>
    <m/>
    <m/>
    <m/>
    <m/>
    <m/>
    <m/>
    <m/>
    <m/>
    <m/>
    <m/>
    <m/>
    <m/>
    <m/>
    <m/>
  </r>
  <r>
    <n v="4203"/>
    <n v="54659"/>
    <d v="2000-12-24T00:00:00"/>
    <n v="25"/>
    <x v="1"/>
    <x v="0"/>
    <d v="2024-12-09T00:00:00"/>
    <n v="1.6246575342465754"/>
    <x v="79"/>
    <x v="1"/>
    <x v="7"/>
    <x v="1"/>
    <n v="17.59"/>
    <m/>
    <m/>
    <m/>
    <m/>
    <m/>
    <m/>
    <x v="1"/>
    <n v="2"/>
    <n v="6"/>
    <m/>
    <m/>
    <m/>
    <m/>
    <m/>
    <m/>
    <m/>
    <m/>
    <m/>
    <m/>
    <m/>
    <m/>
    <m/>
    <m/>
  </r>
  <r>
    <n v="4204"/>
    <n v="54660"/>
    <d v="2005-06-26T00:00:00"/>
    <n v="20"/>
    <x v="1"/>
    <x v="1"/>
    <d v="2024-05-17T00:00:00"/>
    <n v="1.6794520547945206"/>
    <x v="93"/>
    <x v="1"/>
    <x v="8"/>
    <x v="1"/>
    <n v="8.4700000000000006"/>
    <m/>
    <m/>
    <m/>
    <m/>
    <m/>
    <m/>
    <x v="4"/>
    <n v="2"/>
    <n v="7"/>
    <m/>
    <m/>
    <m/>
    <m/>
    <m/>
    <m/>
    <m/>
    <m/>
    <m/>
    <m/>
    <m/>
    <m/>
    <m/>
    <m/>
  </r>
  <r>
    <n v="4205"/>
    <n v="54661"/>
    <d v="2006-06-12T00:00:00"/>
    <n v="19"/>
    <x v="1"/>
    <x v="1"/>
    <d v="2024-04-27T00:00:00"/>
    <n v="1.2465753424657535"/>
    <x v="129"/>
    <x v="1"/>
    <x v="8"/>
    <x v="1"/>
    <n v="8.4700000000000006"/>
    <m/>
    <m/>
    <m/>
    <m/>
    <m/>
    <m/>
    <x v="4"/>
    <n v="0"/>
    <n v="6"/>
    <m/>
    <m/>
    <m/>
    <m/>
    <m/>
    <m/>
    <m/>
    <m/>
    <m/>
    <m/>
    <m/>
    <m/>
    <m/>
    <m/>
  </r>
  <r>
    <n v="4206"/>
    <n v="54662"/>
    <d v="1999-01-15T00:00:00"/>
    <n v="26"/>
    <x v="1"/>
    <x v="1"/>
    <d v="2024-10-02T00:00:00"/>
    <n v="1.7917808219178082"/>
    <x v="81"/>
    <x v="1"/>
    <x v="8"/>
    <x v="1"/>
    <n v="8.4700000000000006"/>
    <m/>
    <m/>
    <m/>
    <m/>
    <m/>
    <m/>
    <x v="4"/>
    <n v="2"/>
    <n v="6"/>
    <m/>
    <m/>
    <m/>
    <m/>
    <m/>
    <m/>
    <m/>
    <m/>
    <m/>
    <m/>
    <m/>
    <m/>
    <m/>
    <m/>
  </r>
  <r>
    <n v="4207"/>
    <n v="54663"/>
    <d v="2001-11-27T00:00:00"/>
    <n v="24"/>
    <x v="1"/>
    <x v="0"/>
    <d v="2024-03-17T00:00:00"/>
    <n v="1.6876712328767123"/>
    <x v="100"/>
    <x v="1"/>
    <x v="11"/>
    <x v="1"/>
    <n v="17"/>
    <m/>
    <m/>
    <m/>
    <m/>
    <m/>
    <m/>
    <x v="3"/>
    <n v="4"/>
    <n v="6"/>
    <m/>
    <m/>
    <m/>
    <m/>
    <m/>
    <m/>
    <m/>
    <m/>
    <m/>
    <m/>
    <m/>
    <m/>
    <m/>
    <m/>
  </r>
  <r>
    <n v="4208"/>
    <n v="54664"/>
    <d v="2006-06-13T00:00:00"/>
    <n v="19"/>
    <x v="1"/>
    <x v="0"/>
    <d v="2024-04-24T00:00:00"/>
    <n v="1.0328767123287672"/>
    <x v="96"/>
    <x v="1"/>
    <x v="8"/>
    <x v="1"/>
    <n v="8.4700000000000006"/>
    <m/>
    <m/>
    <m/>
    <m/>
    <m/>
    <m/>
    <x v="4"/>
    <n v="2"/>
    <n v="5"/>
    <m/>
    <m/>
    <m/>
    <m/>
    <m/>
    <m/>
    <m/>
    <m/>
    <m/>
    <m/>
    <m/>
    <m/>
    <m/>
    <m/>
  </r>
  <r>
    <n v="4209"/>
    <n v="54665"/>
    <d v="1996-04-20T00:00:00"/>
    <n v="29"/>
    <x v="0"/>
    <x v="1"/>
    <d v="2024-12-19T00:00:00"/>
    <n v="1.1589041095890411"/>
    <x v="89"/>
    <x v="1"/>
    <x v="10"/>
    <x v="1"/>
    <n v="10.64"/>
    <m/>
    <m/>
    <m/>
    <m/>
    <m/>
    <m/>
    <x v="3"/>
    <n v="0"/>
    <n v="3"/>
    <m/>
    <m/>
    <m/>
    <m/>
    <m/>
    <m/>
    <m/>
    <m/>
    <m/>
    <m/>
    <m/>
    <m/>
    <m/>
    <m/>
  </r>
  <r>
    <n v="4210"/>
    <n v="54666"/>
    <d v="2006-07-31T00:00:00"/>
    <n v="19"/>
    <x v="0"/>
    <x v="0"/>
    <d v="2024-11-03T00:00:00"/>
    <n v="1.6"/>
    <x v="89"/>
    <x v="1"/>
    <x v="2"/>
    <x v="1"/>
    <n v="14.23"/>
    <m/>
    <m/>
    <m/>
    <m/>
    <m/>
    <m/>
    <x v="3"/>
    <n v="1"/>
    <n v="4"/>
    <m/>
    <m/>
    <m/>
    <m/>
    <m/>
    <m/>
    <m/>
    <m/>
    <m/>
    <m/>
    <m/>
    <m/>
    <m/>
    <m/>
  </r>
  <r>
    <n v="4211"/>
    <n v="54667"/>
    <d v="2003-12-05T00:00:00"/>
    <n v="22"/>
    <x v="0"/>
    <x v="1"/>
    <d v="2024-05-26T00:00:00"/>
    <n v="1.441095890410959"/>
    <x v="89"/>
    <x v="1"/>
    <x v="8"/>
    <x v="1"/>
    <n v="8.4700000000000006"/>
    <m/>
    <m/>
    <m/>
    <m/>
    <m/>
    <m/>
    <x v="2"/>
    <n v="0"/>
    <n v="4"/>
    <m/>
    <m/>
    <m/>
    <m/>
    <m/>
    <m/>
    <m/>
    <m/>
    <m/>
    <m/>
    <m/>
    <m/>
    <m/>
    <m/>
  </r>
  <r>
    <n v="4212"/>
    <n v="54668"/>
    <d v="2000-06-24T00:00:00"/>
    <n v="25"/>
    <x v="1"/>
    <x v="1"/>
    <d v="2024-07-23T00:00:00"/>
    <n v="1.6246575342465754"/>
    <x v="89"/>
    <x v="1"/>
    <x v="8"/>
    <x v="1"/>
    <n v="8.4700000000000006"/>
    <m/>
    <m/>
    <m/>
    <m/>
    <m/>
    <m/>
    <x v="2"/>
    <n v="2"/>
    <n v="6"/>
    <m/>
    <m/>
    <m/>
    <m/>
    <m/>
    <m/>
    <m/>
    <m/>
    <m/>
    <m/>
    <m/>
    <m/>
    <m/>
    <m/>
  </r>
  <r>
    <n v="4213"/>
    <n v="54669"/>
    <d v="2004-10-12T00:00:00"/>
    <n v="21"/>
    <x v="1"/>
    <x v="1"/>
    <d v="2024-05-17T00:00:00"/>
    <n v="1.263013698630137"/>
    <x v="86"/>
    <x v="1"/>
    <x v="8"/>
    <x v="1"/>
    <n v="8.4700000000000006"/>
    <m/>
    <m/>
    <m/>
    <m/>
    <m/>
    <m/>
    <x v="4"/>
    <n v="4"/>
    <n v="6"/>
    <m/>
    <m/>
    <m/>
    <m/>
    <m/>
    <m/>
    <m/>
    <m/>
    <m/>
    <m/>
    <m/>
    <m/>
    <m/>
    <m/>
  </r>
  <r>
    <n v="4214"/>
    <n v="54670"/>
    <d v="1996-07-15T00:00:00"/>
    <n v="29"/>
    <x v="1"/>
    <x v="0"/>
    <d v="2024-09-26T00:00:00"/>
    <n v="1.8"/>
    <x v="112"/>
    <x v="1"/>
    <x v="8"/>
    <x v="1"/>
    <n v="8.4700000000000006"/>
    <m/>
    <m/>
    <m/>
    <m/>
    <m/>
    <m/>
    <x v="4"/>
    <n v="2"/>
    <n v="5"/>
    <m/>
    <m/>
    <m/>
    <m/>
    <m/>
    <m/>
    <m/>
    <m/>
    <m/>
    <m/>
    <m/>
    <m/>
    <m/>
    <m/>
  </r>
  <r>
    <n v="4215"/>
    <n v="54672"/>
    <d v="2003-11-01T00:00:00"/>
    <n v="23"/>
    <x v="1"/>
    <x v="1"/>
    <d v="2024-03-14T00:00:00"/>
    <n v="1.8684931506849316"/>
    <x v="2"/>
    <x v="0"/>
    <x v="11"/>
    <x v="1"/>
    <n v="17"/>
    <m/>
    <m/>
    <m/>
    <m/>
    <m/>
    <m/>
    <x v="2"/>
    <n v="2"/>
    <n v="7"/>
    <m/>
    <m/>
    <m/>
    <m/>
    <m/>
    <m/>
    <m/>
    <m/>
    <m/>
    <m/>
    <m/>
    <m/>
    <m/>
    <m/>
  </r>
  <r>
    <n v="4216"/>
    <n v="54673"/>
    <d v="2004-07-17T00:00:00"/>
    <n v="21"/>
    <x v="1"/>
    <x v="1"/>
    <d v="2024-02-18T00:00:00"/>
    <n v="1.0054794520547945"/>
    <x v="4"/>
    <x v="0"/>
    <x v="9"/>
    <x v="1"/>
    <n v="14.07"/>
    <m/>
    <m/>
    <m/>
    <m/>
    <m/>
    <m/>
    <x v="2"/>
    <n v="0"/>
    <n v="6"/>
    <m/>
    <m/>
    <m/>
    <m/>
    <m/>
    <m/>
    <m/>
    <m/>
    <m/>
    <m/>
    <m/>
    <m/>
    <m/>
    <m/>
  </r>
  <r>
    <n v="4217"/>
    <n v="54674"/>
    <d v="2003-03-03T00:00:00"/>
    <n v="22"/>
    <x v="1"/>
    <x v="0"/>
    <d v="2024-12-29T00:00:00"/>
    <n v="1.9232876712328768"/>
    <x v="4"/>
    <x v="0"/>
    <x v="3"/>
    <x v="1"/>
    <n v="8.4700000000000006"/>
    <m/>
    <m/>
    <m/>
    <m/>
    <m/>
    <m/>
    <x v="3"/>
    <n v="4"/>
    <n v="7"/>
    <m/>
    <m/>
    <m/>
    <m/>
    <m/>
    <m/>
    <m/>
    <m/>
    <m/>
    <m/>
    <m/>
    <m/>
    <m/>
    <m/>
  </r>
  <r>
    <n v="4218"/>
    <n v="54675"/>
    <d v="2000-10-21T00:00:00"/>
    <n v="25"/>
    <x v="1"/>
    <x v="0"/>
    <d v="2024-01-29T00:00:00"/>
    <n v="1.1287671232876713"/>
    <x v="12"/>
    <x v="0"/>
    <x v="3"/>
    <x v="1"/>
    <n v="8.4700000000000006"/>
    <m/>
    <m/>
    <m/>
    <m/>
    <m/>
    <m/>
    <x v="1"/>
    <n v="2"/>
    <n v="6"/>
    <m/>
    <m/>
    <m/>
    <m/>
    <m/>
    <m/>
    <m/>
    <m/>
    <m/>
    <m/>
    <m/>
    <m/>
    <m/>
    <m/>
  </r>
  <r>
    <n v="4219"/>
    <n v="54676"/>
    <d v="1998-09-27T00:00:00"/>
    <n v="27"/>
    <x v="0"/>
    <x v="0"/>
    <d v="2024-11-14T00:00:00"/>
    <n v="1.4273972602739726"/>
    <x v="12"/>
    <x v="0"/>
    <x v="8"/>
    <x v="1"/>
    <n v="8.4700000000000006"/>
    <m/>
    <m/>
    <m/>
    <m/>
    <m/>
    <m/>
    <x v="1"/>
    <n v="2"/>
    <n v="4"/>
    <m/>
    <m/>
    <m/>
    <m/>
    <m/>
    <m/>
    <m/>
    <m/>
    <m/>
    <m/>
    <m/>
    <m/>
    <m/>
    <m/>
  </r>
  <r>
    <n v="4220"/>
    <n v="54677"/>
    <d v="2004-03-30T00:00:00"/>
    <n v="21"/>
    <x v="0"/>
    <x v="0"/>
    <d v="2024-07-28T00:00:00"/>
    <n v="1.284931506849315"/>
    <x v="82"/>
    <x v="0"/>
    <x v="10"/>
    <x v="1"/>
    <n v="10.64"/>
    <m/>
    <m/>
    <m/>
    <m/>
    <m/>
    <m/>
    <x v="4"/>
    <n v="1"/>
    <n v="2"/>
    <m/>
    <m/>
    <m/>
    <m/>
    <m/>
    <m/>
    <m/>
    <m/>
    <m/>
    <m/>
    <m/>
    <m/>
    <m/>
    <m/>
  </r>
  <r>
    <n v="4221"/>
    <n v="54678"/>
    <d v="2003-12-14T00:00:00"/>
    <n v="22"/>
    <x v="1"/>
    <x v="1"/>
    <d v="2024-09-18T00:00:00"/>
    <n v="1.2273972602739727"/>
    <x v="82"/>
    <x v="0"/>
    <x v="3"/>
    <x v="1"/>
    <n v="8.4700000000000006"/>
    <m/>
    <m/>
    <m/>
    <m/>
    <m/>
    <m/>
    <x v="3"/>
    <n v="2"/>
    <n v="6"/>
    <m/>
    <m/>
    <m/>
    <m/>
    <m/>
    <m/>
    <m/>
    <m/>
    <m/>
    <m/>
    <m/>
    <m/>
    <m/>
    <m/>
  </r>
  <r>
    <n v="4222"/>
    <n v="54679"/>
    <d v="2006-05-06T00:00:00"/>
    <n v="19"/>
    <x v="1"/>
    <x v="1"/>
    <d v="2024-10-09T00:00:00"/>
    <n v="1.5315068493150685"/>
    <x v="13"/>
    <x v="0"/>
    <x v="8"/>
    <x v="1"/>
    <n v="8.4700000000000006"/>
    <m/>
    <m/>
    <m/>
    <m/>
    <m/>
    <m/>
    <x v="1"/>
    <n v="2"/>
    <n v="6"/>
    <m/>
    <m/>
    <m/>
    <m/>
    <m/>
    <m/>
    <m/>
    <m/>
    <m/>
    <m/>
    <m/>
    <m/>
    <m/>
    <m/>
  </r>
  <r>
    <n v="4223"/>
    <n v="54680"/>
    <d v="2003-08-22T00:00:00"/>
    <n v="22"/>
    <x v="0"/>
    <x v="1"/>
    <d v="2024-06-20T00:00:00"/>
    <n v="1.2246575342465753"/>
    <x v="15"/>
    <x v="0"/>
    <x v="10"/>
    <x v="1"/>
    <n v="10.64"/>
    <m/>
    <m/>
    <m/>
    <m/>
    <m/>
    <m/>
    <x v="4"/>
    <n v="0"/>
    <n v="3"/>
    <m/>
    <m/>
    <m/>
    <m/>
    <m/>
    <m/>
    <m/>
    <m/>
    <m/>
    <m/>
    <m/>
    <m/>
    <m/>
    <m/>
  </r>
  <r>
    <n v="4224"/>
    <n v="54681"/>
    <d v="2004-06-03T00:00:00"/>
    <n v="21"/>
    <x v="1"/>
    <x v="0"/>
    <d v="2024-10-10T00:00:00"/>
    <n v="1.3534246575342466"/>
    <x v="15"/>
    <x v="0"/>
    <x v="8"/>
    <x v="1"/>
    <n v="8.4700000000000006"/>
    <m/>
    <m/>
    <m/>
    <m/>
    <m/>
    <m/>
    <x v="3"/>
    <n v="2"/>
    <n v="6"/>
    <m/>
    <m/>
    <m/>
    <m/>
    <m/>
    <m/>
    <m/>
    <m/>
    <m/>
    <m/>
    <m/>
    <m/>
    <m/>
    <m/>
  </r>
  <r>
    <n v="4225"/>
    <n v="54682"/>
    <d v="2003-10-29T00:00:00"/>
    <n v="22"/>
    <x v="1"/>
    <x v="1"/>
    <d v="2024-08-24T00:00:00"/>
    <n v="1.8739726027397261"/>
    <x v="17"/>
    <x v="0"/>
    <x v="3"/>
    <x v="1"/>
    <n v="8.4700000000000006"/>
    <m/>
    <m/>
    <m/>
    <m/>
    <m/>
    <m/>
    <x v="2"/>
    <n v="2"/>
    <n v="6"/>
    <m/>
    <m/>
    <m/>
    <m/>
    <m/>
    <m/>
    <m/>
    <m/>
    <m/>
    <m/>
    <m/>
    <m/>
    <m/>
    <m/>
  </r>
  <r>
    <n v="4226"/>
    <n v="54683"/>
    <d v="2005-11-02T00:00:00"/>
    <n v="20"/>
    <x v="1"/>
    <x v="0"/>
    <d v="2024-02-16T00:00:00"/>
    <n v="1.7698630136986302"/>
    <x v="18"/>
    <x v="0"/>
    <x v="9"/>
    <x v="1"/>
    <n v="14.07"/>
    <m/>
    <m/>
    <m/>
    <m/>
    <m/>
    <m/>
    <x v="1"/>
    <n v="1"/>
    <n v="6"/>
    <m/>
    <m/>
    <m/>
    <m/>
    <m/>
    <m/>
    <m/>
    <m/>
    <m/>
    <m/>
    <m/>
    <m/>
    <m/>
    <m/>
  </r>
  <r>
    <n v="4227"/>
    <n v="54684"/>
    <d v="2006-03-18T00:00:00"/>
    <n v="19"/>
    <x v="1"/>
    <x v="1"/>
    <d v="2024-03-25T00:00:00"/>
    <n v="1.515068493150685"/>
    <x v="88"/>
    <x v="0"/>
    <x v="3"/>
    <x v="1"/>
    <n v="8.4700000000000006"/>
    <m/>
    <m/>
    <m/>
    <m/>
    <m/>
    <m/>
    <x v="4"/>
    <n v="2"/>
    <n v="7"/>
    <m/>
    <m/>
    <m/>
    <m/>
    <m/>
    <m/>
    <m/>
    <m/>
    <m/>
    <m/>
    <m/>
    <m/>
    <m/>
    <m/>
  </r>
  <r>
    <n v="4228"/>
    <n v="54685"/>
    <d v="2004-11-05T00:00:00"/>
    <n v="21"/>
    <x v="1"/>
    <x v="1"/>
    <d v="2024-06-26T00:00:00"/>
    <n v="1.4"/>
    <x v="19"/>
    <x v="0"/>
    <x v="8"/>
    <x v="1"/>
    <n v="8.4700000000000006"/>
    <m/>
    <m/>
    <m/>
    <m/>
    <m/>
    <m/>
    <x v="1"/>
    <n v="4"/>
    <n v="7"/>
    <m/>
    <m/>
    <m/>
    <m/>
    <m/>
    <m/>
    <m/>
    <m/>
    <m/>
    <m/>
    <m/>
    <m/>
    <m/>
    <m/>
  </r>
  <r>
    <n v="4229"/>
    <n v="54687"/>
    <d v="2002-10-12T00:00:00"/>
    <n v="23"/>
    <x v="1"/>
    <x v="1"/>
    <d v="2024-08-07T00:00:00"/>
    <n v="1.4054794520547946"/>
    <x v="139"/>
    <x v="0"/>
    <x v="10"/>
    <x v="1"/>
    <n v="10.64"/>
    <m/>
    <m/>
    <m/>
    <m/>
    <m/>
    <m/>
    <x v="1"/>
    <n v="0"/>
    <n v="5"/>
    <m/>
    <m/>
    <m/>
    <m/>
    <m/>
    <m/>
    <m/>
    <m/>
    <m/>
    <m/>
    <m/>
    <m/>
    <m/>
    <m/>
  </r>
  <r>
    <n v="4230"/>
    <n v="54688"/>
    <d v="2001-11-25T00:00:00"/>
    <n v="24"/>
    <x v="1"/>
    <x v="0"/>
    <d v="2024-08-05T00:00:00"/>
    <n v="1.1369863013698631"/>
    <x v="33"/>
    <x v="0"/>
    <x v="3"/>
    <x v="1"/>
    <n v="8.4700000000000006"/>
    <m/>
    <m/>
    <m/>
    <m/>
    <m/>
    <m/>
    <x v="3"/>
    <n v="1"/>
    <n v="4"/>
    <m/>
    <m/>
    <m/>
    <m/>
    <m/>
    <m/>
    <m/>
    <m/>
    <m/>
    <m/>
    <m/>
    <m/>
    <m/>
    <m/>
  </r>
  <r>
    <n v="4231"/>
    <n v="54689"/>
    <d v="2007-09-26T00:00:00"/>
    <n v="18"/>
    <x v="1"/>
    <x v="1"/>
    <d v="2024-11-11T00:00:00"/>
    <n v="1.6767123287671233"/>
    <x v="83"/>
    <x v="0"/>
    <x v="3"/>
    <x v="1"/>
    <n v="8.4700000000000006"/>
    <m/>
    <m/>
    <m/>
    <m/>
    <m/>
    <m/>
    <x v="1"/>
    <n v="2"/>
    <n v="7"/>
    <m/>
    <m/>
    <m/>
    <m/>
    <m/>
    <m/>
    <m/>
    <m/>
    <m/>
    <m/>
    <m/>
    <m/>
    <m/>
    <m/>
  </r>
  <r>
    <n v="4232"/>
    <n v="54690"/>
    <d v="2005-04-18T00:00:00"/>
    <n v="20"/>
    <x v="1"/>
    <x v="1"/>
    <d v="2024-04-28T00:00:00"/>
    <n v="1.5013698630136987"/>
    <x v="136"/>
    <x v="0"/>
    <x v="10"/>
    <x v="1"/>
    <n v="10.64"/>
    <m/>
    <m/>
    <m/>
    <m/>
    <m/>
    <m/>
    <x v="3"/>
    <n v="1"/>
    <n v="5"/>
    <m/>
    <m/>
    <m/>
    <m/>
    <m/>
    <m/>
    <m/>
    <m/>
    <m/>
    <m/>
    <m/>
    <m/>
    <m/>
    <m/>
  </r>
  <r>
    <n v="4233"/>
    <n v="54691"/>
    <d v="1998-09-27T00:00:00"/>
    <n v="27"/>
    <x v="1"/>
    <x v="0"/>
    <d v="2024-07-01T00:00:00"/>
    <n v="1.7780821917808218"/>
    <x v="136"/>
    <x v="0"/>
    <x v="3"/>
    <x v="1"/>
    <n v="8.4700000000000006"/>
    <m/>
    <m/>
    <m/>
    <m/>
    <m/>
    <m/>
    <x v="2"/>
    <n v="1"/>
    <n v="6"/>
    <m/>
    <m/>
    <m/>
    <m/>
    <m/>
    <m/>
    <m/>
    <m/>
    <m/>
    <m/>
    <m/>
    <m/>
    <m/>
    <m/>
  </r>
  <r>
    <n v="4234"/>
    <n v="54692"/>
    <d v="2005-11-18T00:00:00"/>
    <n v="20"/>
    <x v="1"/>
    <x v="0"/>
    <d v="2024-03-22T00:00:00"/>
    <n v="1.558904109589041"/>
    <x v="136"/>
    <x v="0"/>
    <x v="8"/>
    <x v="1"/>
    <n v="8.4700000000000006"/>
    <m/>
    <m/>
    <m/>
    <m/>
    <m/>
    <m/>
    <x v="1"/>
    <n v="1"/>
    <n v="6"/>
    <m/>
    <m/>
    <m/>
    <m/>
    <m/>
    <m/>
    <m/>
    <m/>
    <m/>
    <m/>
    <m/>
    <m/>
    <m/>
    <m/>
  </r>
  <r>
    <n v="4235"/>
    <n v="54693"/>
    <d v="2005-10-01T00:00:00"/>
    <n v="21"/>
    <x v="1"/>
    <x v="1"/>
    <d v="2024-06-10T00:00:00"/>
    <n v="1.4493150684931506"/>
    <x v="136"/>
    <x v="0"/>
    <x v="8"/>
    <x v="1"/>
    <n v="8.4700000000000006"/>
    <m/>
    <m/>
    <m/>
    <m/>
    <m/>
    <m/>
    <x v="4"/>
    <n v="2"/>
    <n v="6"/>
    <m/>
    <m/>
    <m/>
    <m/>
    <m/>
    <m/>
    <m/>
    <m/>
    <m/>
    <m/>
    <m/>
    <m/>
    <m/>
    <m/>
  </r>
  <r>
    <n v="4236"/>
    <n v="54694"/>
    <d v="2003-09-21T00:00:00"/>
    <n v="22"/>
    <x v="1"/>
    <x v="0"/>
    <d v="2024-07-20T00:00:00"/>
    <n v="1.6739726027397259"/>
    <x v="67"/>
    <x v="0"/>
    <x v="3"/>
    <x v="1"/>
    <n v="8.4700000000000006"/>
    <m/>
    <m/>
    <m/>
    <m/>
    <m/>
    <m/>
    <x v="1"/>
    <n v="4"/>
    <n v="5"/>
    <m/>
    <m/>
    <m/>
    <m/>
    <m/>
    <m/>
    <m/>
    <m/>
    <m/>
    <m/>
    <m/>
    <m/>
    <m/>
    <m/>
  </r>
  <r>
    <n v="4237"/>
    <n v="54695"/>
    <d v="2004-03-25T00:00:00"/>
    <n v="21"/>
    <x v="0"/>
    <x v="1"/>
    <d v="2024-04-29T00:00:00"/>
    <n v="1.4273972602739726"/>
    <x v="142"/>
    <x v="0"/>
    <x v="10"/>
    <x v="1"/>
    <n v="10.64"/>
    <m/>
    <m/>
    <m/>
    <m/>
    <m/>
    <m/>
    <x v="2"/>
    <n v="0"/>
    <n v="4"/>
    <m/>
    <m/>
    <m/>
    <m/>
    <m/>
    <m/>
    <m/>
    <m/>
    <m/>
    <m/>
    <m/>
    <m/>
    <m/>
    <m/>
  </r>
  <r>
    <n v="4238"/>
    <n v="54697"/>
    <d v="2005-08-03T00:00:00"/>
    <n v="20"/>
    <x v="1"/>
    <x v="0"/>
    <d v="2024-07-28T00:00:00"/>
    <n v="1.4684931506849315"/>
    <x v="37"/>
    <x v="0"/>
    <x v="8"/>
    <x v="1"/>
    <n v="8.4700000000000006"/>
    <m/>
    <m/>
    <m/>
    <m/>
    <m/>
    <m/>
    <x v="1"/>
    <n v="0"/>
    <n v="6"/>
    <m/>
    <m/>
    <m/>
    <m/>
    <m/>
    <m/>
    <m/>
    <m/>
    <m/>
    <m/>
    <m/>
    <m/>
    <m/>
    <m/>
  </r>
  <r>
    <n v="4239"/>
    <n v="54698"/>
    <d v="2001-05-15T00:00:00"/>
    <n v="24"/>
    <x v="0"/>
    <x v="1"/>
    <d v="2024-07-13T00:00:00"/>
    <n v="1.7972602739726027"/>
    <x v="77"/>
    <x v="0"/>
    <x v="10"/>
    <x v="1"/>
    <n v="10.64"/>
    <m/>
    <m/>
    <m/>
    <m/>
    <m/>
    <m/>
    <x v="3"/>
    <n v="1"/>
    <n v="4"/>
    <m/>
    <m/>
    <m/>
    <m/>
    <m/>
    <m/>
    <m/>
    <m/>
    <m/>
    <m/>
    <m/>
    <m/>
    <m/>
    <m/>
  </r>
  <r>
    <n v="4240"/>
    <n v="54699"/>
    <d v="2007-04-09T00:00:00"/>
    <n v="18"/>
    <x v="1"/>
    <x v="1"/>
    <d v="2024-03-15T00:00:00"/>
    <n v="1.1041095890410959"/>
    <x v="42"/>
    <x v="0"/>
    <x v="3"/>
    <x v="1"/>
    <n v="8.4700000000000006"/>
    <m/>
    <m/>
    <m/>
    <m/>
    <m/>
    <m/>
    <x v="3"/>
    <n v="2"/>
    <n v="7"/>
    <m/>
    <m/>
    <m/>
    <m/>
    <m/>
    <m/>
    <m/>
    <m/>
    <m/>
    <m/>
    <m/>
    <m/>
    <m/>
    <m/>
  </r>
  <r>
    <n v="4241"/>
    <n v="54700"/>
    <d v="1999-07-01T00:00:00"/>
    <n v="27"/>
    <x v="1"/>
    <x v="1"/>
    <d v="2024-11-23T00:00:00"/>
    <n v="1.7123287671232876"/>
    <x v="42"/>
    <x v="0"/>
    <x v="8"/>
    <x v="1"/>
    <n v="8.4700000000000006"/>
    <m/>
    <m/>
    <m/>
    <m/>
    <m/>
    <m/>
    <x v="2"/>
    <n v="1"/>
    <n v="6"/>
    <m/>
    <m/>
    <m/>
    <m/>
    <m/>
    <m/>
    <m/>
    <m/>
    <m/>
    <m/>
    <m/>
    <m/>
    <m/>
    <m/>
  </r>
  <r>
    <n v="4242"/>
    <n v="54701"/>
    <d v="2003-06-06T00:00:00"/>
    <n v="22"/>
    <x v="1"/>
    <x v="1"/>
    <d v="2024-04-15T00:00:00"/>
    <n v="1.1726027397260275"/>
    <x v="106"/>
    <x v="1"/>
    <x v="1"/>
    <x v="1"/>
    <n v="16.37"/>
    <m/>
    <m/>
    <m/>
    <m/>
    <m/>
    <m/>
    <x v="4"/>
    <n v="0"/>
    <n v="6"/>
    <m/>
    <m/>
    <m/>
    <m/>
    <m/>
    <m/>
    <m/>
    <m/>
    <m/>
    <m/>
    <m/>
    <m/>
    <m/>
    <m/>
  </r>
  <r>
    <n v="4243"/>
    <n v="54702"/>
    <d v="2004-08-26T00:00:00"/>
    <n v="21"/>
    <x v="1"/>
    <x v="1"/>
    <d v="2024-10-29T00:00:00"/>
    <n v="1.4164383561643836"/>
    <x v="1"/>
    <x v="1"/>
    <x v="8"/>
    <x v="1"/>
    <n v="8.4700000000000006"/>
    <m/>
    <m/>
    <m/>
    <m/>
    <m/>
    <m/>
    <x v="1"/>
    <n v="1"/>
    <n v="5"/>
    <m/>
    <m/>
    <m/>
    <m/>
    <m/>
    <m/>
    <m/>
    <m/>
    <m/>
    <m/>
    <m/>
    <m/>
    <m/>
    <m/>
  </r>
  <r>
    <n v="4244"/>
    <n v="54703"/>
    <d v="1999-09-26T00:00:00"/>
    <n v="26"/>
    <x v="0"/>
    <x v="1"/>
    <d v="2024-08-01T00:00:00"/>
    <n v="1.0438356164383562"/>
    <x v="90"/>
    <x v="1"/>
    <x v="10"/>
    <x v="1"/>
    <n v="10.64"/>
    <m/>
    <m/>
    <m/>
    <m/>
    <m/>
    <m/>
    <x v="1"/>
    <n v="1"/>
    <n v="3"/>
    <m/>
    <m/>
    <m/>
    <m/>
    <m/>
    <m/>
    <m/>
    <m/>
    <m/>
    <m/>
    <m/>
    <m/>
    <m/>
    <m/>
  </r>
  <r>
    <n v="4245"/>
    <n v="54704"/>
    <d v="2002-04-17T00:00:00"/>
    <n v="23"/>
    <x v="1"/>
    <x v="1"/>
    <d v="2024-12-15T00:00:00"/>
    <n v="1.0328767123287672"/>
    <x v="105"/>
    <x v="1"/>
    <x v="3"/>
    <x v="1"/>
    <n v="8.4700000000000006"/>
    <m/>
    <m/>
    <m/>
    <m/>
    <m/>
    <m/>
    <x v="1"/>
    <n v="1"/>
    <n v="5"/>
    <m/>
    <m/>
    <m/>
    <m/>
    <m/>
    <m/>
    <m/>
    <m/>
    <m/>
    <m/>
    <m/>
    <m/>
    <m/>
    <m/>
  </r>
  <r>
    <n v="4246"/>
    <n v="54705"/>
    <d v="2003-04-29T00:00:00"/>
    <n v="22"/>
    <x v="0"/>
    <x v="0"/>
    <d v="2024-12-19T00:00:00"/>
    <n v="1.6931506849315068"/>
    <x v="30"/>
    <x v="1"/>
    <x v="2"/>
    <x v="1"/>
    <n v="14.23"/>
    <m/>
    <m/>
    <m/>
    <m/>
    <m/>
    <m/>
    <x v="2"/>
    <n v="0"/>
    <n v="4"/>
    <m/>
    <m/>
    <m/>
    <m/>
    <m/>
    <m/>
    <m/>
    <m/>
    <m/>
    <m/>
    <m/>
    <m/>
    <m/>
    <m/>
  </r>
  <r>
    <n v="4247"/>
    <n v="54706"/>
    <d v="2006-06-24T00:00:00"/>
    <n v="19"/>
    <x v="1"/>
    <x v="1"/>
    <d v="2024-04-22T00:00:00"/>
    <n v="1.1808219178082191"/>
    <x v="48"/>
    <x v="1"/>
    <x v="8"/>
    <x v="1"/>
    <n v="8.4700000000000006"/>
    <m/>
    <m/>
    <m/>
    <m/>
    <m/>
    <m/>
    <x v="4"/>
    <n v="1"/>
    <n v="6"/>
    <m/>
    <m/>
    <m/>
    <m/>
    <m/>
    <m/>
    <m/>
    <m/>
    <m/>
    <m/>
    <m/>
    <m/>
    <m/>
    <m/>
  </r>
  <r>
    <n v="4248"/>
    <n v="54707"/>
    <d v="2007-08-12T00:00:00"/>
    <n v="18"/>
    <x v="0"/>
    <x v="0"/>
    <d v="2024-10-26T00:00:00"/>
    <n v="1.8082191780821917"/>
    <x v="108"/>
    <x v="1"/>
    <x v="8"/>
    <x v="1"/>
    <n v="8.4700000000000006"/>
    <m/>
    <m/>
    <m/>
    <m/>
    <m/>
    <m/>
    <x v="3"/>
    <n v="0"/>
    <n v="5"/>
    <m/>
    <m/>
    <m/>
    <m/>
    <m/>
    <m/>
    <m/>
    <m/>
    <m/>
    <m/>
    <m/>
    <m/>
    <m/>
    <m/>
  </r>
  <r>
    <n v="4249"/>
    <n v="54708"/>
    <d v="2002-08-18T00:00:00"/>
    <n v="23"/>
    <x v="1"/>
    <x v="1"/>
    <d v="2024-03-11T00:00:00"/>
    <n v="1.4547945205479451"/>
    <x v="95"/>
    <x v="1"/>
    <x v="11"/>
    <x v="1"/>
    <n v="17"/>
    <m/>
    <m/>
    <m/>
    <m/>
    <m/>
    <m/>
    <x v="1"/>
    <n v="3"/>
    <n v="6"/>
    <m/>
    <m/>
    <m/>
    <m/>
    <m/>
    <m/>
    <m/>
    <m/>
    <m/>
    <m/>
    <m/>
    <m/>
    <m/>
    <m/>
  </r>
  <r>
    <n v="4250"/>
    <n v="54709"/>
    <d v="2005-04-25T00:00:00"/>
    <n v="20"/>
    <x v="0"/>
    <x v="1"/>
    <d v="2024-07-18T00:00:00"/>
    <n v="1.1287671232876713"/>
    <x v="53"/>
    <x v="1"/>
    <x v="8"/>
    <x v="1"/>
    <n v="8.4700000000000006"/>
    <m/>
    <m/>
    <m/>
    <m/>
    <m/>
    <m/>
    <x v="2"/>
    <n v="1"/>
    <n v="2"/>
    <m/>
    <m/>
    <m/>
    <m/>
    <m/>
    <m/>
    <m/>
    <m/>
    <m/>
    <m/>
    <m/>
    <m/>
    <m/>
    <m/>
  </r>
  <r>
    <n v="4251"/>
    <n v="54710"/>
    <d v="2002-06-03T00:00:00"/>
    <n v="23"/>
    <x v="0"/>
    <x v="0"/>
    <d v="2024-11-14T00:00:00"/>
    <n v="1.6164383561643836"/>
    <x v="113"/>
    <x v="1"/>
    <x v="7"/>
    <x v="1"/>
    <n v="17.59"/>
    <m/>
    <m/>
    <m/>
    <m/>
    <m/>
    <m/>
    <x v="1"/>
    <n v="0"/>
    <n v="5"/>
    <m/>
    <m/>
    <m/>
    <m/>
    <m/>
    <m/>
    <m/>
    <m/>
    <m/>
    <m/>
    <m/>
    <m/>
    <m/>
    <m/>
  </r>
  <r>
    <n v="4252"/>
    <n v="54711"/>
    <d v="2003-07-09T00:00:00"/>
    <n v="22"/>
    <x v="1"/>
    <x v="1"/>
    <d v="2024-05-20T00:00:00"/>
    <n v="1.8356164383561644"/>
    <x v="62"/>
    <x v="1"/>
    <x v="8"/>
    <x v="1"/>
    <n v="8.4700000000000006"/>
    <m/>
    <m/>
    <m/>
    <m/>
    <m/>
    <m/>
    <x v="1"/>
    <n v="2"/>
    <n v="6"/>
    <m/>
    <m/>
    <m/>
    <m/>
    <m/>
    <m/>
    <m/>
    <m/>
    <m/>
    <m/>
    <m/>
    <m/>
    <m/>
    <m/>
  </r>
  <r>
    <n v="4253"/>
    <n v="54712"/>
    <d v="2002-09-16T00:00:00"/>
    <n v="23"/>
    <x v="0"/>
    <x v="1"/>
    <d v="2024-03-01T00:00:00"/>
    <n v="1.2493150684931507"/>
    <x v="111"/>
    <x v="1"/>
    <x v="10"/>
    <x v="1"/>
    <n v="10.64"/>
    <m/>
    <m/>
    <m/>
    <m/>
    <m/>
    <m/>
    <x v="1"/>
    <n v="1"/>
    <n v="4"/>
    <m/>
    <m/>
    <m/>
    <m/>
    <m/>
    <m/>
    <m/>
    <m/>
    <m/>
    <m/>
    <m/>
    <m/>
    <m/>
    <m/>
  </r>
  <r>
    <n v="4254"/>
    <n v="54713"/>
    <d v="1996-11-17T00:00:00"/>
    <n v="29"/>
    <x v="1"/>
    <x v="0"/>
    <d v="2024-10-01T00:00:00"/>
    <n v="1.4958904109589042"/>
    <x v="119"/>
    <x v="1"/>
    <x v="8"/>
    <x v="1"/>
    <n v="8.4700000000000006"/>
    <m/>
    <m/>
    <m/>
    <m/>
    <m/>
    <m/>
    <x v="4"/>
    <n v="0"/>
    <n v="5"/>
    <m/>
    <m/>
    <m/>
    <m/>
    <m/>
    <m/>
    <m/>
    <m/>
    <m/>
    <m/>
    <m/>
    <m/>
    <m/>
    <m/>
  </r>
  <r>
    <n v="4255"/>
    <n v="54714"/>
    <d v="2002-02-11T00:00:00"/>
    <n v="23"/>
    <x v="1"/>
    <x v="1"/>
    <d v="2024-07-03T00:00:00"/>
    <n v="1.0082191780821919"/>
    <x v="93"/>
    <x v="1"/>
    <x v="8"/>
    <x v="1"/>
    <n v="8.4700000000000006"/>
    <m/>
    <m/>
    <m/>
    <m/>
    <m/>
    <m/>
    <x v="1"/>
    <n v="1"/>
    <n v="5"/>
    <m/>
    <m/>
    <m/>
    <m/>
    <m/>
    <m/>
    <m/>
    <m/>
    <m/>
    <m/>
    <m/>
    <m/>
    <m/>
    <m/>
  </r>
  <r>
    <n v="4256"/>
    <n v="54715"/>
    <d v="2002-07-17T00:00:00"/>
    <n v="23"/>
    <x v="0"/>
    <x v="1"/>
    <d v="2024-12-28T00:00:00"/>
    <n v="1.7726027397260273"/>
    <x v="89"/>
    <x v="1"/>
    <x v="9"/>
    <x v="1"/>
    <n v="14.07"/>
    <m/>
    <m/>
    <m/>
    <m/>
    <m/>
    <m/>
    <x v="4"/>
    <n v="0"/>
    <n v="4"/>
    <m/>
    <m/>
    <m/>
    <m/>
    <m/>
    <m/>
    <m/>
    <m/>
    <m/>
    <m/>
    <m/>
    <m/>
    <m/>
    <m/>
  </r>
  <r>
    <n v="4257"/>
    <n v="54716"/>
    <d v="1998-07-26T00:00:00"/>
    <n v="27"/>
    <x v="1"/>
    <x v="1"/>
    <d v="2024-03-24T00:00:00"/>
    <n v="1.0849315068493151"/>
    <x v="101"/>
    <x v="1"/>
    <x v="8"/>
    <x v="1"/>
    <n v="8.4700000000000006"/>
    <m/>
    <m/>
    <m/>
    <m/>
    <m/>
    <m/>
    <x v="3"/>
    <n v="4"/>
    <n v="6"/>
    <m/>
    <m/>
    <m/>
    <m/>
    <m/>
    <m/>
    <m/>
    <m/>
    <m/>
    <m/>
    <m/>
    <m/>
    <m/>
    <m/>
  </r>
  <r>
    <n v="4258"/>
    <n v="54717"/>
    <d v="1998-11-03T00:00:00"/>
    <n v="27"/>
    <x v="1"/>
    <x v="1"/>
    <d v="2024-11-30T00:00:00"/>
    <n v="1.8027397260273972"/>
    <x v="112"/>
    <x v="1"/>
    <x v="3"/>
    <x v="1"/>
    <n v="8.4700000000000006"/>
    <m/>
    <m/>
    <m/>
    <m/>
    <m/>
    <m/>
    <x v="1"/>
    <n v="0"/>
    <n v="6"/>
    <m/>
    <m/>
    <m/>
    <m/>
    <m/>
    <m/>
    <m/>
    <m/>
    <m/>
    <m/>
    <m/>
    <m/>
    <m/>
    <m/>
  </r>
  <r>
    <n v="4259"/>
    <n v="54718"/>
    <d v="2000-09-23T00:00:00"/>
    <n v="25"/>
    <x v="0"/>
    <x v="1"/>
    <d v="2024-03-13T00:00:00"/>
    <n v="1.9123287671232876"/>
    <x v="128"/>
    <x v="1"/>
    <x v="2"/>
    <x v="1"/>
    <n v="14.23"/>
    <m/>
    <m/>
    <m/>
    <m/>
    <m/>
    <m/>
    <x v="3"/>
    <n v="1"/>
    <n v="3"/>
    <m/>
    <m/>
    <m/>
    <m/>
    <m/>
    <m/>
    <m/>
    <m/>
    <m/>
    <m/>
    <m/>
    <m/>
    <m/>
    <m/>
  </r>
  <r>
    <n v="4260"/>
    <n v="54719"/>
    <d v="2000-04-08T00:00:00"/>
    <n v="25"/>
    <x v="0"/>
    <x v="0"/>
    <d v="2024-02-02T00:00:00"/>
    <n v="1.5205479452054795"/>
    <x v="2"/>
    <x v="0"/>
    <x v="9"/>
    <x v="1"/>
    <n v="14.07"/>
    <m/>
    <m/>
    <m/>
    <m/>
    <m/>
    <m/>
    <x v="3"/>
    <n v="1"/>
    <n v="4"/>
    <m/>
    <m/>
    <m/>
    <m/>
    <m/>
    <m/>
    <m/>
    <m/>
    <m/>
    <m/>
    <m/>
    <m/>
    <m/>
    <m/>
  </r>
  <r>
    <n v="4261"/>
    <n v="54720"/>
    <d v="1990-05-01T00:00:00"/>
    <n v="36"/>
    <x v="0"/>
    <x v="1"/>
    <d v="2024-06-24T00:00:00"/>
    <n v="1.7780821917808218"/>
    <x v="3"/>
    <x v="0"/>
    <x v="2"/>
    <x v="1"/>
    <n v="14.23"/>
    <m/>
    <m/>
    <m/>
    <m/>
    <m/>
    <m/>
    <x v="3"/>
    <n v="0"/>
    <n v="3"/>
    <m/>
    <m/>
    <m/>
    <m/>
    <m/>
    <m/>
    <m/>
    <m/>
    <m/>
    <m/>
    <m/>
    <m/>
    <m/>
    <m/>
  </r>
  <r>
    <n v="4262"/>
    <n v="54721"/>
    <d v="1997-11-30T00:00:00"/>
    <n v="28"/>
    <x v="1"/>
    <x v="1"/>
    <d v="2024-03-22T00:00:00"/>
    <n v="1.4438356164383561"/>
    <x v="3"/>
    <x v="0"/>
    <x v="8"/>
    <x v="1"/>
    <n v="8.4700000000000006"/>
    <m/>
    <m/>
    <m/>
    <m/>
    <m/>
    <m/>
    <x v="3"/>
    <n v="2"/>
    <n v="6"/>
    <m/>
    <m/>
    <m/>
    <m/>
    <m/>
    <m/>
    <m/>
    <m/>
    <m/>
    <m/>
    <m/>
    <m/>
    <m/>
    <m/>
  </r>
  <r>
    <n v="4263"/>
    <n v="54722"/>
    <d v="2001-07-30T00:00:00"/>
    <n v="24"/>
    <x v="1"/>
    <x v="1"/>
    <d v="2024-07-22T00:00:00"/>
    <n v="1.7315068493150685"/>
    <x v="3"/>
    <x v="0"/>
    <x v="8"/>
    <x v="1"/>
    <n v="8.4700000000000006"/>
    <m/>
    <m/>
    <m/>
    <m/>
    <m/>
    <m/>
    <x v="4"/>
    <n v="2"/>
    <n v="6"/>
    <m/>
    <m/>
    <m/>
    <m/>
    <m/>
    <m/>
    <m/>
    <m/>
    <m/>
    <m/>
    <m/>
    <m/>
    <m/>
    <m/>
  </r>
  <r>
    <n v="4264"/>
    <n v="54723"/>
    <d v="2005-03-24T00:00:00"/>
    <n v="20"/>
    <x v="1"/>
    <x v="1"/>
    <d v="2024-04-08T00:00:00"/>
    <n v="1.6273972602739726"/>
    <x v="3"/>
    <x v="0"/>
    <x v="8"/>
    <x v="1"/>
    <n v="8.4700000000000006"/>
    <m/>
    <m/>
    <m/>
    <m/>
    <m/>
    <m/>
    <x v="1"/>
    <n v="2"/>
    <n v="6"/>
    <m/>
    <m/>
    <m/>
    <m/>
    <m/>
    <m/>
    <m/>
    <m/>
    <m/>
    <m/>
    <m/>
    <m/>
    <m/>
    <m/>
  </r>
  <r>
    <n v="4265"/>
    <n v="54724"/>
    <d v="2006-08-02T00:00:00"/>
    <n v="19"/>
    <x v="1"/>
    <x v="1"/>
    <d v="2024-05-16T00:00:00"/>
    <n v="1.2054794520547945"/>
    <x v="5"/>
    <x v="0"/>
    <x v="8"/>
    <x v="1"/>
    <n v="8.4700000000000006"/>
    <m/>
    <m/>
    <m/>
    <m/>
    <m/>
    <m/>
    <x v="3"/>
    <n v="1"/>
    <n v="6"/>
    <m/>
    <m/>
    <m/>
    <m/>
    <m/>
    <m/>
    <m/>
    <m/>
    <m/>
    <m/>
    <m/>
    <m/>
    <m/>
    <m/>
  </r>
  <r>
    <n v="4266"/>
    <n v="54725"/>
    <d v="2005-12-27T00:00:00"/>
    <n v="20"/>
    <x v="1"/>
    <x v="1"/>
    <d v="2024-10-17T00:00:00"/>
    <n v="1.6328767123287671"/>
    <x v="127"/>
    <x v="0"/>
    <x v="8"/>
    <x v="1"/>
    <n v="8.4700000000000006"/>
    <m/>
    <m/>
    <m/>
    <m/>
    <m/>
    <m/>
    <x v="2"/>
    <n v="2"/>
    <n v="7"/>
    <m/>
    <m/>
    <m/>
    <m/>
    <m/>
    <m/>
    <m/>
    <m/>
    <m/>
    <m/>
    <m/>
    <m/>
    <m/>
    <m/>
  </r>
  <r>
    <n v="4267"/>
    <n v="54726"/>
    <d v="2003-05-30T00:00:00"/>
    <n v="22"/>
    <x v="0"/>
    <x v="1"/>
    <d v="2024-05-14T00:00:00"/>
    <n v="1.3452054794520547"/>
    <x v="10"/>
    <x v="0"/>
    <x v="3"/>
    <x v="1"/>
    <n v="8.4700000000000006"/>
    <m/>
    <m/>
    <m/>
    <m/>
    <m/>
    <m/>
    <x v="4"/>
    <n v="0"/>
    <n v="3"/>
    <m/>
    <m/>
    <m/>
    <m/>
    <m/>
    <m/>
    <m/>
    <m/>
    <m/>
    <m/>
    <m/>
    <m/>
    <m/>
    <m/>
  </r>
  <r>
    <n v="4268"/>
    <n v="54727"/>
    <d v="1994-12-16T00:00:00"/>
    <n v="31"/>
    <x v="1"/>
    <x v="1"/>
    <d v="2024-08-27T00:00:00"/>
    <n v="1.3452054794520547"/>
    <x v="10"/>
    <x v="0"/>
    <x v="7"/>
    <x v="1"/>
    <n v="17.59"/>
    <m/>
    <m/>
    <m/>
    <m/>
    <m/>
    <m/>
    <x v="3"/>
    <n v="2"/>
    <n v="6"/>
    <m/>
    <m/>
    <m/>
    <m/>
    <m/>
    <m/>
    <m/>
    <m/>
    <m/>
    <m/>
    <m/>
    <m/>
    <m/>
    <m/>
  </r>
  <r>
    <n v="4269"/>
    <n v="54728"/>
    <d v="2004-03-08T00:00:00"/>
    <n v="21"/>
    <x v="0"/>
    <x v="1"/>
    <d v="2024-08-27T00:00:00"/>
    <n v="1.4246575342465753"/>
    <x v="45"/>
    <x v="0"/>
    <x v="10"/>
    <x v="1"/>
    <n v="10.64"/>
    <m/>
    <m/>
    <m/>
    <m/>
    <m/>
    <m/>
    <x v="1"/>
    <n v="0"/>
    <n v="3"/>
    <m/>
    <m/>
    <m/>
    <m/>
    <m/>
    <m/>
    <m/>
    <m/>
    <m/>
    <m/>
    <m/>
    <m/>
    <m/>
    <m/>
  </r>
  <r>
    <n v="4270"/>
    <n v="54729"/>
    <d v="2003-08-12T00:00:00"/>
    <n v="22"/>
    <x v="0"/>
    <x v="1"/>
    <d v="2024-07-29T00:00:00"/>
    <n v="1.1178082191780823"/>
    <x v="45"/>
    <x v="0"/>
    <x v="2"/>
    <x v="1"/>
    <n v="14.23"/>
    <m/>
    <m/>
    <m/>
    <m/>
    <m/>
    <m/>
    <x v="1"/>
    <n v="1"/>
    <n v="4"/>
    <m/>
    <m/>
    <m/>
    <m/>
    <m/>
    <m/>
    <m/>
    <m/>
    <m/>
    <m/>
    <m/>
    <m/>
    <m/>
    <m/>
  </r>
  <r>
    <n v="4271"/>
    <n v="54730"/>
    <d v="2002-07-23T00:00:00"/>
    <n v="23"/>
    <x v="0"/>
    <x v="0"/>
    <d v="2024-11-18T00:00:00"/>
    <n v="1.7123287671232876"/>
    <x v="45"/>
    <x v="0"/>
    <x v="7"/>
    <x v="1"/>
    <n v="17.59"/>
    <m/>
    <m/>
    <m/>
    <m/>
    <m/>
    <m/>
    <x v="1"/>
    <n v="2"/>
    <n v="4"/>
    <m/>
    <m/>
    <m/>
    <m/>
    <m/>
    <m/>
    <m/>
    <m/>
    <m/>
    <m/>
    <m/>
    <m/>
    <m/>
    <m/>
  </r>
  <r>
    <n v="4272"/>
    <n v="54731"/>
    <d v="2006-06-08T00:00:00"/>
    <n v="19"/>
    <x v="1"/>
    <x v="1"/>
    <d v="2024-04-15T00:00:00"/>
    <n v="1.1452054794520548"/>
    <x v="12"/>
    <x v="0"/>
    <x v="8"/>
    <x v="1"/>
    <n v="8.4700000000000006"/>
    <m/>
    <m/>
    <m/>
    <m/>
    <m/>
    <m/>
    <x v="1"/>
    <n v="1"/>
    <n v="7"/>
    <m/>
    <m/>
    <m/>
    <m/>
    <m/>
    <m/>
    <m/>
    <m/>
    <m/>
    <m/>
    <m/>
    <m/>
    <m/>
    <m/>
  </r>
  <r>
    <n v="4273"/>
    <n v="54733"/>
    <d v="2004-04-16T00:00:00"/>
    <n v="21"/>
    <x v="1"/>
    <x v="1"/>
    <d v="2024-11-08T00:00:00"/>
    <n v="1.2"/>
    <x v="12"/>
    <x v="0"/>
    <x v="8"/>
    <x v="1"/>
    <n v="8.4700000000000006"/>
    <m/>
    <m/>
    <m/>
    <m/>
    <m/>
    <m/>
    <x v="4"/>
    <n v="0"/>
    <n v="5"/>
    <m/>
    <m/>
    <m/>
    <m/>
    <m/>
    <m/>
    <m/>
    <m/>
    <m/>
    <m/>
    <m/>
    <m/>
    <m/>
    <m/>
  </r>
  <r>
    <n v="4274"/>
    <n v="54734"/>
    <d v="1995-04-18T00:00:00"/>
    <n v="30"/>
    <x v="0"/>
    <x v="0"/>
    <d v="2024-10-19T00:00:00"/>
    <n v="1.7917808219178082"/>
    <x v="13"/>
    <x v="0"/>
    <x v="6"/>
    <x v="1"/>
    <n v="23.78"/>
    <m/>
    <m/>
    <m/>
    <m/>
    <m/>
    <m/>
    <x v="3"/>
    <n v="3"/>
    <n v="4"/>
    <m/>
    <m/>
    <m/>
    <m/>
    <m/>
    <m/>
    <m/>
    <m/>
    <m/>
    <m/>
    <m/>
    <m/>
    <m/>
    <m/>
  </r>
  <r>
    <n v="4275"/>
    <n v="54735"/>
    <d v="2002-11-10T00:00:00"/>
    <n v="23"/>
    <x v="1"/>
    <x v="1"/>
    <d v="2024-03-17T00:00:00"/>
    <n v="1.2136986301369863"/>
    <x v="14"/>
    <x v="0"/>
    <x v="10"/>
    <x v="1"/>
    <n v="10.64"/>
    <m/>
    <m/>
    <m/>
    <m/>
    <m/>
    <m/>
    <x v="1"/>
    <n v="0"/>
    <n v="5"/>
    <m/>
    <m/>
    <m/>
    <m/>
    <m/>
    <m/>
    <m/>
    <m/>
    <m/>
    <m/>
    <m/>
    <m/>
    <m/>
    <m/>
  </r>
  <r>
    <n v="4276"/>
    <n v="54736"/>
    <d v="2006-04-24T00:00:00"/>
    <n v="19"/>
    <x v="1"/>
    <x v="1"/>
    <d v="2024-10-14T00:00:00"/>
    <n v="1.3452054794520547"/>
    <x v="17"/>
    <x v="0"/>
    <x v="10"/>
    <x v="1"/>
    <n v="10.64"/>
    <m/>
    <m/>
    <m/>
    <m/>
    <m/>
    <m/>
    <x v="3"/>
    <n v="1"/>
    <n v="5"/>
    <m/>
    <m/>
    <m/>
    <m/>
    <m/>
    <m/>
    <m/>
    <m/>
    <m/>
    <m/>
    <m/>
    <m/>
    <m/>
    <m/>
  </r>
  <r>
    <n v="4277"/>
    <n v="54737"/>
    <d v="2003-11-11T00:00:00"/>
    <n v="22"/>
    <x v="1"/>
    <x v="1"/>
    <d v="2024-08-27T00:00:00"/>
    <n v="1.3808219178082193"/>
    <x v="18"/>
    <x v="0"/>
    <x v="8"/>
    <x v="1"/>
    <n v="8.4700000000000006"/>
    <m/>
    <m/>
    <m/>
    <m/>
    <m/>
    <m/>
    <x v="2"/>
    <n v="2"/>
    <n v="6"/>
    <m/>
    <m/>
    <m/>
    <m/>
    <m/>
    <m/>
    <m/>
    <m/>
    <m/>
    <m/>
    <m/>
    <m/>
    <m/>
    <m/>
  </r>
  <r>
    <n v="4278"/>
    <n v="54738"/>
    <d v="2004-01-10T00:00:00"/>
    <n v="21"/>
    <x v="0"/>
    <x v="1"/>
    <d v="2024-08-14T00:00:00"/>
    <n v="1.2356164383561643"/>
    <x v="88"/>
    <x v="0"/>
    <x v="10"/>
    <x v="1"/>
    <n v="10.64"/>
    <m/>
    <m/>
    <m/>
    <m/>
    <m/>
    <m/>
    <x v="4"/>
    <n v="1"/>
    <n v="4"/>
    <m/>
    <m/>
    <m/>
    <m/>
    <m/>
    <m/>
    <m/>
    <m/>
    <m/>
    <m/>
    <m/>
    <m/>
    <m/>
    <m/>
  </r>
  <r>
    <n v="4279"/>
    <n v="54739"/>
    <d v="2001-04-17T00:00:00"/>
    <n v="24"/>
    <x v="1"/>
    <x v="0"/>
    <d v="2024-10-06T00:00:00"/>
    <n v="1.5315068493150685"/>
    <x v="19"/>
    <x v="0"/>
    <x v="8"/>
    <x v="1"/>
    <n v="8.4700000000000006"/>
    <m/>
    <m/>
    <m/>
    <m/>
    <m/>
    <m/>
    <x v="1"/>
    <n v="2"/>
    <n v="6"/>
    <m/>
    <m/>
    <m/>
    <m/>
    <m/>
    <m/>
    <m/>
    <m/>
    <m/>
    <m/>
    <m/>
    <m/>
    <m/>
    <m/>
  </r>
  <r>
    <n v="4280"/>
    <n v="54740"/>
    <d v="2003-02-28T00:00:00"/>
    <n v="22"/>
    <x v="1"/>
    <x v="1"/>
    <d v="2024-06-20T00:00:00"/>
    <n v="1.4931506849315068"/>
    <x v="27"/>
    <x v="0"/>
    <x v="11"/>
    <x v="1"/>
    <n v="17"/>
    <m/>
    <m/>
    <m/>
    <m/>
    <m/>
    <m/>
    <x v="1"/>
    <n v="2"/>
    <n v="6"/>
    <m/>
    <m/>
    <m/>
    <m/>
    <m/>
    <m/>
    <m/>
    <m/>
    <m/>
    <m/>
    <m/>
    <m/>
    <m/>
    <m/>
  </r>
  <r>
    <n v="4281"/>
    <n v="54741"/>
    <d v="1999-03-30T00:00:00"/>
    <n v="26"/>
    <x v="0"/>
    <x v="1"/>
    <d v="2024-07-04T00:00:00"/>
    <n v="1.8246575342465754"/>
    <x v="21"/>
    <x v="0"/>
    <x v="7"/>
    <x v="1"/>
    <n v="17.59"/>
    <m/>
    <m/>
    <m/>
    <m/>
    <m/>
    <m/>
    <x v="3"/>
    <n v="1"/>
    <n v="4"/>
    <m/>
    <m/>
    <m/>
    <m/>
    <m/>
    <m/>
    <m/>
    <m/>
    <m/>
    <m/>
    <m/>
    <m/>
    <m/>
    <m/>
  </r>
  <r>
    <n v="4282"/>
    <n v="54742"/>
    <d v="2002-10-11T00:00:00"/>
    <n v="23"/>
    <x v="1"/>
    <x v="1"/>
    <d v="2024-03-05T00:00:00"/>
    <n v="1.5342465753424657"/>
    <x v="28"/>
    <x v="0"/>
    <x v="10"/>
    <x v="1"/>
    <n v="10.64"/>
    <m/>
    <m/>
    <m/>
    <m/>
    <m/>
    <m/>
    <x v="2"/>
    <n v="1"/>
    <n v="6"/>
    <m/>
    <m/>
    <m/>
    <m/>
    <m/>
    <m/>
    <m/>
    <m/>
    <m/>
    <m/>
    <m/>
    <m/>
    <m/>
    <m/>
  </r>
  <r>
    <n v="4283"/>
    <n v="54743"/>
    <d v="2002-06-10T00:00:00"/>
    <n v="23"/>
    <x v="0"/>
    <x v="1"/>
    <d v="2024-06-19T00:00:00"/>
    <n v="1.6904109589041096"/>
    <x v="28"/>
    <x v="0"/>
    <x v="2"/>
    <x v="1"/>
    <n v="14.23"/>
    <m/>
    <m/>
    <m/>
    <m/>
    <m/>
    <m/>
    <x v="1"/>
    <n v="0"/>
    <n v="5"/>
    <m/>
    <m/>
    <m/>
    <m/>
    <m/>
    <m/>
    <m/>
    <m/>
    <m/>
    <m/>
    <m/>
    <m/>
    <m/>
    <m/>
  </r>
  <r>
    <n v="4284"/>
    <n v="54744"/>
    <d v="2006-11-23T00:00:00"/>
    <n v="19"/>
    <x v="1"/>
    <x v="1"/>
    <d v="2024-04-23T00:00:00"/>
    <n v="1.3232876712328767"/>
    <x v="52"/>
    <x v="0"/>
    <x v="8"/>
    <x v="1"/>
    <n v="8.4700000000000006"/>
    <m/>
    <m/>
    <m/>
    <m/>
    <m/>
    <m/>
    <x v="2"/>
    <n v="3"/>
    <n v="6"/>
    <m/>
    <m/>
    <m/>
    <m/>
    <m/>
    <m/>
    <m/>
    <m/>
    <m/>
    <m/>
    <m/>
    <m/>
    <m/>
    <m/>
  </r>
  <r>
    <n v="4285"/>
    <n v="54745"/>
    <d v="1997-12-08T00:00:00"/>
    <n v="28"/>
    <x v="1"/>
    <x v="1"/>
    <d v="2024-09-04T00:00:00"/>
    <n v="1.3095890410958904"/>
    <x v="24"/>
    <x v="0"/>
    <x v="3"/>
    <x v="1"/>
    <n v="8.4700000000000006"/>
    <m/>
    <m/>
    <m/>
    <m/>
    <m/>
    <m/>
    <x v="1"/>
    <n v="2"/>
    <n v="7"/>
    <m/>
    <m/>
    <m/>
    <m/>
    <m/>
    <m/>
    <m/>
    <m/>
    <m/>
    <m/>
    <m/>
    <m/>
    <m/>
    <m/>
  </r>
  <r>
    <n v="4286"/>
    <n v="54746"/>
    <d v="1991-12-20T00:00:00"/>
    <n v="34"/>
    <x v="1"/>
    <x v="1"/>
    <d v="2024-09-09T00:00:00"/>
    <n v="1.4136986301369863"/>
    <x v="87"/>
    <x v="0"/>
    <x v="2"/>
    <x v="1"/>
    <n v="14.23"/>
    <m/>
    <m/>
    <m/>
    <m/>
    <m/>
    <m/>
    <x v="3"/>
    <n v="0"/>
    <n v="5"/>
    <m/>
    <m/>
    <m/>
    <m/>
    <m/>
    <m/>
    <m/>
    <m/>
    <m/>
    <m/>
    <m/>
    <m/>
    <m/>
    <m/>
  </r>
  <r>
    <n v="4287"/>
    <n v="54747"/>
    <d v="2005-12-16T00:00:00"/>
    <n v="20"/>
    <x v="1"/>
    <x v="0"/>
    <d v="2024-08-02T00:00:00"/>
    <n v="1.295890410958904"/>
    <x v="139"/>
    <x v="0"/>
    <x v="8"/>
    <x v="1"/>
    <n v="8.4700000000000006"/>
    <m/>
    <m/>
    <m/>
    <m/>
    <m/>
    <m/>
    <x v="4"/>
    <n v="2"/>
    <n v="6"/>
    <m/>
    <m/>
    <m/>
    <m/>
    <m/>
    <m/>
    <m/>
    <m/>
    <m/>
    <m/>
    <m/>
    <m/>
    <m/>
    <m/>
  </r>
  <r>
    <n v="4288"/>
    <n v="54748"/>
    <d v="2004-08-25T00:00:00"/>
    <n v="21"/>
    <x v="1"/>
    <x v="1"/>
    <d v="2024-09-14T00:00:00"/>
    <n v="1.0191780821917809"/>
    <x v="47"/>
    <x v="0"/>
    <x v="8"/>
    <x v="1"/>
    <n v="8.4700000000000006"/>
    <m/>
    <m/>
    <m/>
    <m/>
    <m/>
    <m/>
    <x v="2"/>
    <n v="2"/>
    <n v="7"/>
    <m/>
    <m/>
    <m/>
    <m/>
    <m/>
    <m/>
    <m/>
    <m/>
    <m/>
    <m/>
    <m/>
    <m/>
    <m/>
    <m/>
  </r>
  <r>
    <n v="4289"/>
    <n v="54749"/>
    <d v="2004-10-19T00:00:00"/>
    <n v="21"/>
    <x v="1"/>
    <x v="1"/>
    <d v="2024-12-24T00:00:00"/>
    <n v="1.0246575342465754"/>
    <x v="61"/>
    <x v="0"/>
    <x v="8"/>
    <x v="1"/>
    <n v="8.4700000000000006"/>
    <m/>
    <m/>
    <m/>
    <m/>
    <m/>
    <m/>
    <x v="1"/>
    <n v="2"/>
    <n v="6"/>
    <m/>
    <m/>
    <m/>
    <m/>
    <m/>
    <m/>
    <m/>
    <m/>
    <m/>
    <m/>
    <m/>
    <m/>
    <m/>
    <m/>
  </r>
  <r>
    <n v="4290"/>
    <n v="54750"/>
    <d v="2004-09-16T00:00:00"/>
    <n v="21"/>
    <x v="0"/>
    <x v="1"/>
    <d v="2024-12-22T00:00:00"/>
    <n v="1.3260273972602741"/>
    <x v="63"/>
    <x v="0"/>
    <x v="9"/>
    <x v="1"/>
    <n v="14.07"/>
    <m/>
    <m/>
    <m/>
    <m/>
    <m/>
    <m/>
    <x v="1"/>
    <n v="1"/>
    <n v="6"/>
    <m/>
    <m/>
    <m/>
    <m/>
    <m/>
    <m/>
    <m/>
    <m/>
    <m/>
    <m/>
    <m/>
    <m/>
    <m/>
    <m/>
  </r>
  <r>
    <n v="4291"/>
    <n v="54751"/>
    <d v="2005-08-19T00:00:00"/>
    <n v="20"/>
    <x v="1"/>
    <x v="1"/>
    <d v="2024-09-03T00:00:00"/>
    <n v="1.3452054794520547"/>
    <x v="63"/>
    <x v="0"/>
    <x v="3"/>
    <x v="1"/>
    <n v="8.4700000000000006"/>
    <m/>
    <m/>
    <m/>
    <m/>
    <m/>
    <m/>
    <x v="4"/>
    <n v="2"/>
    <n v="7"/>
    <m/>
    <m/>
    <m/>
    <m/>
    <m/>
    <m/>
    <m/>
    <m/>
    <m/>
    <m/>
    <m/>
    <m/>
    <m/>
    <m/>
  </r>
  <r>
    <n v="4292"/>
    <n v="54752"/>
    <d v="1996-11-13T00:00:00"/>
    <n v="29"/>
    <x v="1"/>
    <x v="1"/>
    <d v="2024-08-27T00:00:00"/>
    <n v="1.5808219178082192"/>
    <x v="63"/>
    <x v="0"/>
    <x v="8"/>
    <x v="1"/>
    <n v="8.4700000000000006"/>
    <m/>
    <m/>
    <m/>
    <m/>
    <m/>
    <m/>
    <x v="4"/>
    <n v="2"/>
    <n v="7"/>
    <m/>
    <m/>
    <m/>
    <m/>
    <m/>
    <m/>
    <m/>
    <m/>
    <m/>
    <m/>
    <m/>
    <m/>
    <m/>
    <m/>
  </r>
  <r>
    <n v="4293"/>
    <n v="54753"/>
    <d v="1998-10-15T00:00:00"/>
    <n v="27"/>
    <x v="0"/>
    <x v="1"/>
    <d v="2024-06-02T00:00:00"/>
    <n v="1.1917808219178083"/>
    <x v="33"/>
    <x v="0"/>
    <x v="11"/>
    <x v="1"/>
    <n v="17"/>
    <m/>
    <m/>
    <m/>
    <m/>
    <m/>
    <m/>
    <x v="1"/>
    <n v="3"/>
    <n v="6"/>
    <m/>
    <m/>
    <m/>
    <m/>
    <m/>
    <m/>
    <m/>
    <m/>
    <m/>
    <m/>
    <m/>
    <m/>
    <m/>
    <m/>
  </r>
  <r>
    <n v="4294"/>
    <n v="54754"/>
    <d v="2004-04-19T00:00:00"/>
    <n v="21"/>
    <x v="1"/>
    <x v="1"/>
    <d v="2024-10-22T00:00:00"/>
    <n v="1.0383561643835617"/>
    <x v="33"/>
    <x v="0"/>
    <x v="8"/>
    <x v="1"/>
    <n v="8.4700000000000006"/>
    <m/>
    <m/>
    <m/>
    <m/>
    <m/>
    <m/>
    <x v="4"/>
    <n v="2"/>
    <n v="6"/>
    <m/>
    <m/>
    <m/>
    <m/>
    <m/>
    <m/>
    <m/>
    <m/>
    <m/>
    <m/>
    <m/>
    <m/>
    <m/>
    <m/>
  </r>
  <r>
    <n v="4295"/>
    <n v="54755"/>
    <d v="2001-10-21T00:00:00"/>
    <n v="24"/>
    <x v="1"/>
    <x v="1"/>
    <d v="2024-12-17T00:00:00"/>
    <n v="1.4712328767123288"/>
    <x v="138"/>
    <x v="0"/>
    <x v="2"/>
    <x v="1"/>
    <n v="14.23"/>
    <m/>
    <m/>
    <m/>
    <m/>
    <m/>
    <m/>
    <x v="3"/>
    <n v="1"/>
    <n v="6"/>
    <m/>
    <m/>
    <m/>
    <m/>
    <m/>
    <m/>
    <m/>
    <m/>
    <m/>
    <m/>
    <m/>
    <m/>
    <m/>
    <m/>
  </r>
  <r>
    <n v="4296"/>
    <n v="54756"/>
    <d v="2004-01-29T00:00:00"/>
    <n v="21"/>
    <x v="1"/>
    <x v="1"/>
    <d v="2024-07-12T00:00:00"/>
    <n v="1.5315068493150685"/>
    <x v="138"/>
    <x v="0"/>
    <x v="3"/>
    <x v="1"/>
    <n v="8.4700000000000006"/>
    <m/>
    <m/>
    <m/>
    <m/>
    <m/>
    <m/>
    <x v="4"/>
    <n v="1"/>
    <n v="7"/>
    <m/>
    <m/>
    <m/>
    <m/>
    <m/>
    <m/>
    <m/>
    <m/>
    <m/>
    <m/>
    <m/>
    <m/>
    <m/>
    <m/>
  </r>
  <r>
    <n v="4297"/>
    <n v="54757"/>
    <d v="1999-01-02T00:00:00"/>
    <n v="26"/>
    <x v="1"/>
    <x v="1"/>
    <d v="2024-06-20T00:00:00"/>
    <n v="1.5753424657534247"/>
    <x v="143"/>
    <x v="0"/>
    <x v="11"/>
    <x v="1"/>
    <n v="17"/>
    <m/>
    <m/>
    <m/>
    <m/>
    <m/>
    <m/>
    <x v="1"/>
    <n v="4"/>
    <n v="7"/>
    <m/>
    <m/>
    <m/>
    <m/>
    <m/>
    <m/>
    <m/>
    <m/>
    <m/>
    <m/>
    <m/>
    <m/>
    <m/>
    <m/>
  </r>
  <r>
    <n v="4298"/>
    <n v="54758"/>
    <d v="2003-09-20T00:00:00"/>
    <n v="22"/>
    <x v="1"/>
    <x v="1"/>
    <d v="2024-06-04T00:00:00"/>
    <n v="1.547945205479452"/>
    <x v="143"/>
    <x v="0"/>
    <x v="8"/>
    <x v="1"/>
    <n v="8.4700000000000006"/>
    <m/>
    <m/>
    <m/>
    <m/>
    <m/>
    <m/>
    <x v="2"/>
    <n v="1"/>
    <n v="6"/>
    <m/>
    <m/>
    <m/>
    <m/>
    <m/>
    <m/>
    <m/>
    <m/>
    <m/>
    <m/>
    <m/>
    <m/>
    <m/>
    <m/>
  </r>
  <r>
    <n v="4299"/>
    <n v="54759"/>
    <d v="2004-06-01T00:00:00"/>
    <n v="22"/>
    <x v="1"/>
    <x v="1"/>
    <d v="2024-06-14T00:00:00"/>
    <n v="1.3041095890410959"/>
    <x v="143"/>
    <x v="0"/>
    <x v="8"/>
    <x v="1"/>
    <n v="8.4700000000000006"/>
    <m/>
    <m/>
    <m/>
    <m/>
    <m/>
    <m/>
    <x v="2"/>
    <n v="1"/>
    <n v="5"/>
    <m/>
    <m/>
    <m/>
    <m/>
    <m/>
    <m/>
    <m/>
    <m/>
    <m/>
    <m/>
    <m/>
    <m/>
    <m/>
    <m/>
  </r>
  <r>
    <n v="4300"/>
    <n v="54760"/>
    <d v="2004-08-12T00:00:00"/>
    <n v="21"/>
    <x v="1"/>
    <x v="1"/>
    <d v="2024-09-11T00:00:00"/>
    <n v="1.484931506849315"/>
    <x v="143"/>
    <x v="0"/>
    <x v="8"/>
    <x v="1"/>
    <n v="8.4700000000000006"/>
    <m/>
    <m/>
    <m/>
    <m/>
    <m/>
    <m/>
    <x v="4"/>
    <n v="0"/>
    <n v="6"/>
    <m/>
    <m/>
    <m/>
    <m/>
    <m/>
    <m/>
    <m/>
    <m/>
    <m/>
    <m/>
    <m/>
    <m/>
    <m/>
    <m/>
  </r>
  <r>
    <n v="4301"/>
    <n v="54761"/>
    <d v="2004-06-02T00:00:00"/>
    <n v="21"/>
    <x v="0"/>
    <x v="1"/>
    <d v="2024-07-07T00:00:00"/>
    <n v="1.0273972602739727"/>
    <x v="102"/>
    <x v="0"/>
    <x v="8"/>
    <x v="1"/>
    <n v="8.4700000000000006"/>
    <m/>
    <m/>
    <m/>
    <m/>
    <m/>
    <m/>
    <x v="4"/>
    <n v="2"/>
    <n v="6"/>
    <m/>
    <m/>
    <m/>
    <m/>
    <m/>
    <m/>
    <m/>
    <m/>
    <m/>
    <m/>
    <m/>
    <m/>
    <m/>
    <m/>
  </r>
  <r>
    <n v="4302"/>
    <n v="54762"/>
    <d v="2005-12-13T00:00:00"/>
    <n v="20"/>
    <x v="1"/>
    <x v="1"/>
    <d v="2024-12-21T00:00:00"/>
    <n v="1.4493150684931506"/>
    <x v="102"/>
    <x v="0"/>
    <x v="8"/>
    <x v="1"/>
    <n v="8.4700000000000006"/>
    <m/>
    <m/>
    <m/>
    <m/>
    <m/>
    <m/>
    <x v="3"/>
    <n v="2"/>
    <n v="7"/>
    <m/>
    <m/>
    <m/>
    <m/>
    <m/>
    <m/>
    <m/>
    <m/>
    <m/>
    <m/>
    <m/>
    <m/>
    <m/>
    <m/>
  </r>
  <r>
    <n v="4303"/>
    <n v="54763"/>
    <d v="2001-03-11T00:00:00"/>
    <n v="24"/>
    <x v="1"/>
    <x v="0"/>
    <d v="2024-07-20T00:00:00"/>
    <n v="1.2438356164383562"/>
    <x v="140"/>
    <x v="0"/>
    <x v="3"/>
    <x v="1"/>
    <n v="8.4700000000000006"/>
    <m/>
    <m/>
    <m/>
    <m/>
    <m/>
    <m/>
    <x v="2"/>
    <n v="2"/>
    <n v="6"/>
    <m/>
    <m/>
    <m/>
    <m/>
    <m/>
    <m/>
    <m/>
    <m/>
    <m/>
    <m/>
    <m/>
    <m/>
    <m/>
    <m/>
  </r>
  <r>
    <n v="4304"/>
    <n v="54765"/>
    <d v="2000-06-28T00:00:00"/>
    <n v="25"/>
    <x v="1"/>
    <x v="1"/>
    <d v="2024-10-03T00:00:00"/>
    <n v="1.4657534246575343"/>
    <x v="144"/>
    <x v="0"/>
    <x v="11"/>
    <x v="1"/>
    <n v="17"/>
    <m/>
    <m/>
    <m/>
    <m/>
    <m/>
    <m/>
    <x v="3"/>
    <n v="1"/>
    <n v="6"/>
    <m/>
    <m/>
    <m/>
    <m/>
    <m/>
    <m/>
    <m/>
    <m/>
    <m/>
    <m/>
    <m/>
    <m/>
    <m/>
    <m/>
  </r>
  <r>
    <n v="4305"/>
    <n v="54766"/>
    <d v="2002-09-18T00:00:00"/>
    <n v="23"/>
    <x v="1"/>
    <x v="1"/>
    <d v="2024-07-14T00:00:00"/>
    <n v="1.6383561643835616"/>
    <x v="144"/>
    <x v="0"/>
    <x v="8"/>
    <x v="1"/>
    <n v="8.4700000000000006"/>
    <m/>
    <m/>
    <m/>
    <m/>
    <m/>
    <m/>
    <x v="1"/>
    <n v="0"/>
    <n v="6"/>
    <m/>
    <m/>
    <m/>
    <m/>
    <m/>
    <m/>
    <m/>
    <m/>
    <m/>
    <m/>
    <m/>
    <m/>
    <m/>
    <m/>
  </r>
  <r>
    <n v="4306"/>
    <n v="54767"/>
    <d v="2002-03-30T00:00:00"/>
    <n v="23"/>
    <x v="1"/>
    <x v="0"/>
    <d v="2024-05-12T00:00:00"/>
    <n v="1.3698630136986301"/>
    <x v="144"/>
    <x v="0"/>
    <x v="8"/>
    <x v="1"/>
    <n v="8.4700000000000006"/>
    <m/>
    <m/>
    <m/>
    <m/>
    <m/>
    <m/>
    <x v="4"/>
    <n v="1"/>
    <n v="7"/>
    <m/>
    <m/>
    <m/>
    <m/>
    <m/>
    <m/>
    <m/>
    <m/>
    <m/>
    <m/>
    <m/>
    <m/>
    <m/>
    <m/>
  </r>
  <r>
    <n v="4307"/>
    <n v="54768"/>
    <d v="2006-07-05T00:00:00"/>
    <n v="19"/>
    <x v="1"/>
    <x v="1"/>
    <d v="2024-08-18T00:00:00"/>
    <n v="1.3780821917808219"/>
    <x v="41"/>
    <x v="0"/>
    <x v="9"/>
    <x v="1"/>
    <n v="14.07"/>
    <m/>
    <m/>
    <m/>
    <m/>
    <m/>
    <m/>
    <x v="4"/>
    <n v="0"/>
    <n v="7"/>
    <m/>
    <m/>
    <m/>
    <m/>
    <m/>
    <m/>
    <m/>
    <m/>
    <m/>
    <m/>
    <m/>
    <m/>
    <m/>
    <m/>
  </r>
  <r>
    <n v="4308"/>
    <n v="54769"/>
    <d v="2000-06-05T00:00:00"/>
    <n v="25"/>
    <x v="0"/>
    <x v="1"/>
    <d v="2024-08-15T00:00:00"/>
    <n v="1.6904109589041096"/>
    <x v="142"/>
    <x v="0"/>
    <x v="7"/>
    <x v="1"/>
    <n v="17.59"/>
    <m/>
    <m/>
    <m/>
    <m/>
    <m/>
    <m/>
    <x v="1"/>
    <n v="2"/>
    <n v="5"/>
    <m/>
    <m/>
    <m/>
    <m/>
    <m/>
    <m/>
    <m/>
    <m/>
    <m/>
    <m/>
    <m/>
    <m/>
    <m/>
    <m/>
  </r>
  <r>
    <n v="4309"/>
    <n v="54770"/>
    <d v="2005-09-15T00:00:00"/>
    <n v="20"/>
    <x v="1"/>
    <x v="1"/>
    <d v="2024-04-23T00:00:00"/>
    <n v="1.2328767123287672"/>
    <x v="142"/>
    <x v="0"/>
    <x v="8"/>
    <x v="1"/>
    <n v="8.4700000000000006"/>
    <m/>
    <m/>
    <m/>
    <m/>
    <m/>
    <m/>
    <x v="4"/>
    <n v="2"/>
    <n v="6"/>
    <m/>
    <m/>
    <m/>
    <m/>
    <m/>
    <m/>
    <m/>
    <m/>
    <m/>
    <m/>
    <m/>
    <m/>
    <m/>
    <m/>
  </r>
  <r>
    <n v="4310"/>
    <n v="54771"/>
    <d v="2007-07-05T00:00:00"/>
    <n v="18"/>
    <x v="0"/>
    <x v="1"/>
    <d v="2024-10-07T00:00:00"/>
    <n v="1.6794520547945206"/>
    <x v="59"/>
    <x v="0"/>
    <x v="3"/>
    <x v="1"/>
    <n v="8.4700000000000006"/>
    <m/>
    <m/>
    <m/>
    <m/>
    <m/>
    <m/>
    <x v="1"/>
    <n v="3"/>
    <n v="3"/>
    <m/>
    <m/>
    <m/>
    <m/>
    <m/>
    <m/>
    <m/>
    <m/>
    <m/>
    <m/>
    <m/>
    <m/>
    <m/>
    <m/>
  </r>
  <r>
    <n v="4311"/>
    <n v="54773"/>
    <d v="1995-11-28T00:00:00"/>
    <n v="30"/>
    <x v="1"/>
    <x v="1"/>
    <d v="2024-04-27T00:00:00"/>
    <n v="1.1123287671232878"/>
    <x v="77"/>
    <x v="0"/>
    <x v="8"/>
    <x v="1"/>
    <n v="8.4700000000000006"/>
    <m/>
    <m/>
    <m/>
    <m/>
    <m/>
    <m/>
    <x v="2"/>
    <n v="3"/>
    <n v="7"/>
    <m/>
    <m/>
    <m/>
    <m/>
    <m/>
    <m/>
    <m/>
    <m/>
    <m/>
    <m/>
    <m/>
    <m/>
    <m/>
    <m/>
  </r>
  <r>
    <n v="4312"/>
    <n v="54775"/>
    <d v="2002-11-21T00:00:00"/>
    <n v="23"/>
    <x v="1"/>
    <x v="1"/>
    <d v="2024-11-20T00:00:00"/>
    <n v="1.832876712328767"/>
    <x v="40"/>
    <x v="1"/>
    <x v="8"/>
    <x v="1"/>
    <n v="8.4700000000000006"/>
    <m/>
    <m/>
    <m/>
    <m/>
    <m/>
    <m/>
    <x v="1"/>
    <n v="2"/>
    <n v="6"/>
    <m/>
    <m/>
    <m/>
    <m/>
    <m/>
    <m/>
    <m/>
    <m/>
    <m/>
    <m/>
    <m/>
    <m/>
    <m/>
    <m/>
  </r>
  <r>
    <n v="4313"/>
    <n v="54776"/>
    <d v="2006-03-21T00:00:00"/>
    <n v="19"/>
    <x v="1"/>
    <x v="0"/>
    <d v="2024-03-02T00:00:00"/>
    <n v="1.6712328767123288"/>
    <x v="106"/>
    <x v="1"/>
    <x v="8"/>
    <x v="1"/>
    <n v="8.4700000000000006"/>
    <m/>
    <m/>
    <m/>
    <m/>
    <m/>
    <m/>
    <x v="4"/>
    <n v="1"/>
    <n v="5"/>
    <m/>
    <m/>
    <m/>
    <m/>
    <m/>
    <m/>
    <m/>
    <m/>
    <m/>
    <m/>
    <m/>
    <m/>
    <m/>
    <m/>
  </r>
  <r>
    <n v="4314"/>
    <n v="54777"/>
    <d v="2006-08-27T00:00:00"/>
    <n v="19"/>
    <x v="1"/>
    <x v="0"/>
    <d v="2024-04-30T00:00:00"/>
    <n v="1.5287671232876712"/>
    <x v="106"/>
    <x v="1"/>
    <x v="8"/>
    <x v="1"/>
    <n v="8.4700000000000006"/>
    <m/>
    <m/>
    <m/>
    <m/>
    <m/>
    <m/>
    <x v="1"/>
    <n v="4"/>
    <n v="6"/>
    <m/>
    <m/>
    <m/>
    <m/>
    <m/>
    <m/>
    <m/>
    <m/>
    <m/>
    <m/>
    <m/>
    <m/>
    <m/>
    <m/>
  </r>
  <r>
    <n v="4315"/>
    <n v="54778"/>
    <d v="2006-02-01T00:00:00"/>
    <n v="20"/>
    <x v="1"/>
    <x v="1"/>
    <d v="2024-06-21T00:00:00"/>
    <n v="1.7205479452054795"/>
    <x v="106"/>
    <x v="1"/>
    <x v="8"/>
    <x v="1"/>
    <n v="8.4700000000000006"/>
    <m/>
    <m/>
    <m/>
    <m/>
    <m/>
    <m/>
    <x v="2"/>
    <n v="1"/>
    <n v="6"/>
    <m/>
    <m/>
    <m/>
    <m/>
    <m/>
    <m/>
    <m/>
    <m/>
    <m/>
    <m/>
    <m/>
    <m/>
    <m/>
    <m/>
  </r>
  <r>
    <n v="4316"/>
    <n v="54779"/>
    <d v="2005-09-26T00:00:00"/>
    <n v="20"/>
    <x v="1"/>
    <x v="1"/>
    <d v="2024-04-12T00:00:00"/>
    <n v="1.1945205479452055"/>
    <x v="120"/>
    <x v="1"/>
    <x v="8"/>
    <x v="1"/>
    <n v="8.4700000000000006"/>
    <m/>
    <m/>
    <m/>
    <m/>
    <m/>
    <m/>
    <x v="2"/>
    <n v="2"/>
    <n v="7"/>
    <m/>
    <m/>
    <m/>
    <m/>
    <m/>
    <m/>
    <m/>
    <m/>
    <m/>
    <m/>
    <m/>
    <m/>
    <m/>
    <m/>
  </r>
  <r>
    <n v="4317"/>
    <n v="54780"/>
    <d v="2004-06-21T00:00:00"/>
    <n v="21"/>
    <x v="0"/>
    <x v="0"/>
    <d v="2024-10-21T00:00:00"/>
    <n v="1.3452054794520547"/>
    <x v="6"/>
    <x v="1"/>
    <x v="8"/>
    <x v="1"/>
    <n v="8.4700000000000006"/>
    <m/>
    <m/>
    <m/>
    <m/>
    <m/>
    <m/>
    <x v="4"/>
    <n v="3"/>
    <n v="3"/>
    <m/>
    <m/>
    <m/>
    <m/>
    <m/>
    <m/>
    <m/>
    <m/>
    <m/>
    <m/>
    <m/>
    <m/>
    <m/>
    <m/>
  </r>
  <r>
    <n v="4318"/>
    <n v="54782"/>
    <d v="2001-05-08T00:00:00"/>
    <n v="24"/>
    <x v="0"/>
    <x v="0"/>
    <d v="2024-08-27T00:00:00"/>
    <n v="1.4794520547945205"/>
    <x v="8"/>
    <x v="1"/>
    <x v="7"/>
    <x v="1"/>
    <n v="17.59"/>
    <m/>
    <m/>
    <m/>
    <m/>
    <m/>
    <m/>
    <x v="3"/>
    <n v="2"/>
    <n v="4"/>
    <m/>
    <m/>
    <m/>
    <m/>
    <m/>
    <m/>
    <m/>
    <m/>
    <m/>
    <m/>
    <m/>
    <m/>
    <m/>
    <m/>
  </r>
  <r>
    <n v="4319"/>
    <n v="54783"/>
    <d v="2004-05-01T00:00:00"/>
    <n v="22"/>
    <x v="1"/>
    <x v="0"/>
    <d v="2024-07-09T00:00:00"/>
    <n v="1.2164383561643837"/>
    <x v="8"/>
    <x v="1"/>
    <x v="8"/>
    <x v="1"/>
    <n v="8.4700000000000006"/>
    <m/>
    <m/>
    <m/>
    <m/>
    <m/>
    <m/>
    <x v="3"/>
    <n v="2"/>
    <n v="5"/>
    <m/>
    <m/>
    <m/>
    <m/>
    <m/>
    <m/>
    <m/>
    <m/>
    <m/>
    <m/>
    <m/>
    <m/>
    <m/>
    <m/>
  </r>
  <r>
    <n v="4320"/>
    <n v="54784"/>
    <d v="2003-12-07T00:00:00"/>
    <n v="22"/>
    <x v="0"/>
    <x v="0"/>
    <d v="2024-10-13T00:00:00"/>
    <n v="1.2684931506849315"/>
    <x v="46"/>
    <x v="1"/>
    <x v="7"/>
    <x v="1"/>
    <n v="17.59"/>
    <m/>
    <m/>
    <m/>
    <m/>
    <m/>
    <m/>
    <x v="2"/>
    <n v="2"/>
    <n v="4"/>
    <m/>
    <m/>
    <m/>
    <m/>
    <m/>
    <m/>
    <m/>
    <m/>
    <m/>
    <m/>
    <m/>
    <m/>
    <m/>
    <m/>
  </r>
  <r>
    <n v="4321"/>
    <n v="54785"/>
    <d v="2003-05-10T00:00:00"/>
    <n v="22"/>
    <x v="1"/>
    <x v="1"/>
    <d v="2024-09-24T00:00:00"/>
    <n v="1.1726027397260275"/>
    <x v="9"/>
    <x v="1"/>
    <x v="2"/>
    <x v="1"/>
    <n v="14.23"/>
    <m/>
    <m/>
    <m/>
    <m/>
    <m/>
    <m/>
    <x v="2"/>
    <n v="0"/>
    <n v="6"/>
    <m/>
    <m/>
    <m/>
    <m/>
    <m/>
    <m/>
    <m/>
    <m/>
    <m/>
    <m/>
    <m/>
    <m/>
    <m/>
    <m/>
  </r>
  <r>
    <n v="4322"/>
    <n v="54786"/>
    <d v="2006-06-30T00:00:00"/>
    <n v="19"/>
    <x v="1"/>
    <x v="0"/>
    <d v="2024-10-29T00:00:00"/>
    <n v="1.0301369863013699"/>
    <x v="29"/>
    <x v="1"/>
    <x v="8"/>
    <x v="1"/>
    <n v="8.4700000000000006"/>
    <m/>
    <m/>
    <m/>
    <m/>
    <m/>
    <m/>
    <x v="4"/>
    <n v="4"/>
    <n v="7"/>
    <m/>
    <m/>
    <m/>
    <m/>
    <m/>
    <m/>
    <m/>
    <m/>
    <m/>
    <m/>
    <m/>
    <m/>
    <m/>
    <m/>
  </r>
  <r>
    <n v="4323"/>
    <n v="54787"/>
    <d v="1995-10-01T00:00:00"/>
    <n v="31"/>
    <x v="1"/>
    <x v="0"/>
    <d v="2024-12-20T00:00:00"/>
    <n v="1.5808219178082192"/>
    <x v="30"/>
    <x v="1"/>
    <x v="8"/>
    <x v="1"/>
    <n v="8.4700000000000006"/>
    <m/>
    <m/>
    <m/>
    <m/>
    <m/>
    <m/>
    <x v="4"/>
    <n v="1"/>
    <n v="5"/>
    <m/>
    <m/>
    <m/>
    <m/>
    <m/>
    <m/>
    <m/>
    <m/>
    <m/>
    <m/>
    <m/>
    <m/>
    <m/>
    <m/>
  </r>
  <r>
    <n v="4324"/>
    <n v="54788"/>
    <d v="1998-06-11T00:00:00"/>
    <n v="27"/>
    <x v="1"/>
    <x v="1"/>
    <d v="2024-06-02T00:00:00"/>
    <n v="1.8273972602739725"/>
    <x v="115"/>
    <x v="1"/>
    <x v="8"/>
    <x v="1"/>
    <n v="8.4700000000000006"/>
    <m/>
    <m/>
    <m/>
    <m/>
    <m/>
    <m/>
    <x v="4"/>
    <n v="2"/>
    <n v="7"/>
    <m/>
    <m/>
    <m/>
    <m/>
    <m/>
    <m/>
    <m/>
    <m/>
    <m/>
    <m/>
    <m/>
    <m/>
    <m/>
    <m/>
  </r>
  <r>
    <n v="4325"/>
    <n v="54789"/>
    <d v="2004-06-21T00:00:00"/>
    <n v="21"/>
    <x v="1"/>
    <x v="1"/>
    <d v="2024-03-04T00:00:00"/>
    <n v="1.3917808219178083"/>
    <x v="108"/>
    <x v="1"/>
    <x v="8"/>
    <x v="1"/>
    <n v="8.4700000000000006"/>
    <m/>
    <m/>
    <m/>
    <m/>
    <m/>
    <m/>
    <x v="3"/>
    <n v="4"/>
    <n v="6"/>
    <m/>
    <m/>
    <m/>
    <m/>
    <m/>
    <m/>
    <m/>
    <m/>
    <m/>
    <m/>
    <m/>
    <m/>
    <m/>
    <m/>
  </r>
  <r>
    <n v="4326"/>
    <n v="54790"/>
    <d v="2005-03-01T00:00:00"/>
    <n v="21"/>
    <x v="1"/>
    <x v="1"/>
    <d v="2024-08-10T00:00:00"/>
    <n v="1.9095890410958904"/>
    <x v="108"/>
    <x v="1"/>
    <x v="8"/>
    <x v="1"/>
    <n v="8.4700000000000006"/>
    <m/>
    <m/>
    <m/>
    <m/>
    <m/>
    <m/>
    <x v="1"/>
    <n v="2"/>
    <n v="7"/>
    <m/>
    <m/>
    <m/>
    <m/>
    <m/>
    <m/>
    <m/>
    <m/>
    <m/>
    <m/>
    <m/>
    <m/>
    <m/>
    <m/>
  </r>
  <r>
    <n v="4327"/>
    <n v="54791"/>
    <d v="2005-08-02T00:00:00"/>
    <n v="20"/>
    <x v="1"/>
    <x v="1"/>
    <d v="2024-02-03T00:00:00"/>
    <n v="1.5671232876712329"/>
    <x v="95"/>
    <x v="1"/>
    <x v="8"/>
    <x v="1"/>
    <n v="8.4700000000000006"/>
    <m/>
    <m/>
    <m/>
    <m/>
    <m/>
    <m/>
    <x v="1"/>
    <n v="2"/>
    <n v="6"/>
    <m/>
    <m/>
    <m/>
    <m/>
    <m/>
    <m/>
    <m/>
    <m/>
    <m/>
    <m/>
    <m/>
    <m/>
    <m/>
    <m/>
  </r>
  <r>
    <n v="4328"/>
    <n v="54792"/>
    <d v="2006-04-14T00:00:00"/>
    <n v="19"/>
    <x v="0"/>
    <x v="1"/>
    <d v="2024-06-07T00:00:00"/>
    <n v="1.5671232876712329"/>
    <x v="51"/>
    <x v="1"/>
    <x v="9"/>
    <x v="1"/>
    <n v="14.07"/>
    <m/>
    <m/>
    <m/>
    <m/>
    <m/>
    <m/>
    <x v="2"/>
    <n v="0"/>
    <n v="4"/>
    <m/>
    <m/>
    <m/>
    <m/>
    <m/>
    <m/>
    <m/>
    <m/>
    <m/>
    <m/>
    <m/>
    <m/>
    <m/>
    <m/>
  </r>
  <r>
    <n v="4329"/>
    <n v="54793"/>
    <d v="1992-05-03T00:00:00"/>
    <n v="33"/>
    <x v="1"/>
    <x v="0"/>
    <d v="2024-06-07T00:00:00"/>
    <n v="1.1205479452054794"/>
    <x v="51"/>
    <x v="1"/>
    <x v="3"/>
    <x v="1"/>
    <n v="8.4700000000000006"/>
    <m/>
    <m/>
    <m/>
    <m/>
    <m/>
    <m/>
    <x v="3"/>
    <n v="2"/>
    <n v="5"/>
    <m/>
    <m/>
    <m/>
    <m/>
    <m/>
    <m/>
    <m/>
    <m/>
    <m/>
    <m/>
    <m/>
    <m/>
    <m/>
    <m/>
  </r>
  <r>
    <n v="4330"/>
    <n v="54794"/>
    <d v="1992-11-29T00:00:00"/>
    <n v="33"/>
    <x v="1"/>
    <x v="0"/>
    <d v="2024-11-17T00:00:00"/>
    <n v="1.5534246575342465"/>
    <x v="51"/>
    <x v="1"/>
    <x v="8"/>
    <x v="1"/>
    <n v="8.4700000000000006"/>
    <m/>
    <m/>
    <m/>
    <m/>
    <m/>
    <m/>
    <x v="4"/>
    <n v="1"/>
    <n v="6"/>
    <m/>
    <m/>
    <m/>
    <m/>
    <m/>
    <m/>
    <m/>
    <m/>
    <m/>
    <m/>
    <m/>
    <m/>
    <m/>
    <m/>
  </r>
  <r>
    <n v="4331"/>
    <n v="54795"/>
    <d v="1999-02-18T00:00:00"/>
    <n v="26"/>
    <x v="1"/>
    <x v="1"/>
    <d v="2024-06-12T00:00:00"/>
    <n v="1.7589041095890412"/>
    <x v="130"/>
    <x v="1"/>
    <x v="11"/>
    <x v="1"/>
    <n v="17"/>
    <m/>
    <m/>
    <m/>
    <m/>
    <m/>
    <m/>
    <x v="3"/>
    <n v="2"/>
    <n v="6"/>
    <m/>
    <m/>
    <m/>
    <m/>
    <m/>
    <m/>
    <m/>
    <m/>
    <m/>
    <m/>
    <m/>
    <m/>
    <m/>
    <m/>
  </r>
  <r>
    <n v="4332"/>
    <n v="54796"/>
    <d v="2002-10-22T00:00:00"/>
    <n v="23"/>
    <x v="0"/>
    <x v="1"/>
    <d v="2024-03-29T00:00:00"/>
    <n v="1.6904109589041096"/>
    <x v="130"/>
    <x v="1"/>
    <x v="9"/>
    <x v="1"/>
    <n v="14.07"/>
    <m/>
    <m/>
    <m/>
    <m/>
    <m/>
    <m/>
    <x v="2"/>
    <n v="1"/>
    <n v="4"/>
    <m/>
    <m/>
    <m/>
    <m/>
    <m/>
    <m/>
    <m/>
    <m/>
    <m/>
    <m/>
    <m/>
    <m/>
    <m/>
    <m/>
  </r>
  <r>
    <n v="4333"/>
    <n v="54797"/>
    <d v="2006-05-29T00:00:00"/>
    <n v="19"/>
    <x v="1"/>
    <x v="0"/>
    <d v="2024-04-23T00:00:00"/>
    <n v="1.4438356164383561"/>
    <x v="130"/>
    <x v="1"/>
    <x v="8"/>
    <x v="1"/>
    <n v="8.4700000000000006"/>
    <m/>
    <m/>
    <m/>
    <m/>
    <m/>
    <m/>
    <x v="1"/>
    <n v="2"/>
    <n v="7"/>
    <m/>
    <m/>
    <m/>
    <m/>
    <m/>
    <m/>
    <m/>
    <m/>
    <m/>
    <m/>
    <m/>
    <m/>
    <m/>
    <m/>
  </r>
  <r>
    <n v="4334"/>
    <n v="54798"/>
    <d v="2006-12-18T00:00:00"/>
    <n v="19"/>
    <x v="1"/>
    <x v="1"/>
    <d v="2024-07-22T00:00:00"/>
    <n v="1.8520547945205479"/>
    <x v="113"/>
    <x v="1"/>
    <x v="8"/>
    <x v="1"/>
    <n v="8.4700000000000006"/>
    <m/>
    <m/>
    <m/>
    <m/>
    <m/>
    <m/>
    <x v="4"/>
    <n v="4"/>
    <n v="5"/>
    <m/>
    <m/>
    <m/>
    <m/>
    <m/>
    <m/>
    <m/>
    <m/>
    <m/>
    <m/>
    <m/>
    <m/>
    <m/>
    <m/>
  </r>
  <r>
    <n v="4335"/>
    <n v="54799"/>
    <d v="2004-09-25T00:00:00"/>
    <n v="21"/>
    <x v="1"/>
    <x v="0"/>
    <d v="2024-02-24T00:00:00"/>
    <n v="1.5972602739726027"/>
    <x v="113"/>
    <x v="1"/>
    <x v="8"/>
    <x v="1"/>
    <n v="8.4700000000000006"/>
    <m/>
    <m/>
    <m/>
    <m/>
    <m/>
    <m/>
    <x v="1"/>
    <n v="2"/>
    <n v="5"/>
    <m/>
    <m/>
    <m/>
    <m/>
    <m/>
    <m/>
    <m/>
    <m/>
    <m/>
    <m/>
    <m/>
    <m/>
    <m/>
    <m/>
  </r>
  <r>
    <n v="4336"/>
    <n v="54800"/>
    <d v="2006-06-27T00:00:00"/>
    <n v="19"/>
    <x v="1"/>
    <x v="0"/>
    <d v="2024-05-27T00:00:00"/>
    <n v="1.0739726027397261"/>
    <x v="113"/>
    <x v="1"/>
    <x v="8"/>
    <x v="1"/>
    <n v="8.4700000000000006"/>
    <m/>
    <m/>
    <m/>
    <m/>
    <m/>
    <m/>
    <x v="3"/>
    <n v="2"/>
    <n v="4"/>
    <m/>
    <m/>
    <m/>
    <m/>
    <m/>
    <m/>
    <m/>
    <m/>
    <m/>
    <m/>
    <m/>
    <m/>
    <m/>
    <m/>
  </r>
  <r>
    <n v="4337"/>
    <n v="54801"/>
    <d v="2006-08-09T00:00:00"/>
    <n v="19"/>
    <x v="1"/>
    <x v="1"/>
    <d v="2024-12-04T00:00:00"/>
    <n v="1.5068493150684932"/>
    <x v="62"/>
    <x v="1"/>
    <x v="8"/>
    <x v="1"/>
    <n v="8.4700000000000006"/>
    <m/>
    <m/>
    <m/>
    <m/>
    <m/>
    <m/>
    <x v="2"/>
    <n v="2"/>
    <n v="6"/>
    <m/>
    <m/>
    <m/>
    <m/>
    <m/>
    <m/>
    <m/>
    <m/>
    <m/>
    <m/>
    <m/>
    <m/>
    <m/>
    <m/>
  </r>
  <r>
    <n v="4338"/>
    <n v="54802"/>
    <d v="2005-12-17T00:00:00"/>
    <n v="20"/>
    <x v="1"/>
    <x v="0"/>
    <d v="2024-06-29T00:00:00"/>
    <n v="1.6520547945205479"/>
    <x v="91"/>
    <x v="1"/>
    <x v="3"/>
    <x v="1"/>
    <n v="8.4700000000000006"/>
    <m/>
    <m/>
    <m/>
    <m/>
    <m/>
    <m/>
    <x v="1"/>
    <n v="4"/>
    <n v="7"/>
    <m/>
    <m/>
    <m/>
    <m/>
    <m/>
    <m/>
    <m/>
    <m/>
    <m/>
    <m/>
    <m/>
    <m/>
    <m/>
    <m/>
  </r>
  <r>
    <n v="4339"/>
    <n v="54803"/>
    <d v="2004-05-11T00:00:00"/>
    <n v="21"/>
    <x v="1"/>
    <x v="1"/>
    <d v="2024-05-07T00:00:00"/>
    <n v="1.3150684931506849"/>
    <x v="91"/>
    <x v="1"/>
    <x v="8"/>
    <x v="1"/>
    <n v="8.4700000000000006"/>
    <m/>
    <m/>
    <m/>
    <m/>
    <m/>
    <m/>
    <x v="4"/>
    <n v="1"/>
    <n v="6"/>
    <m/>
    <m/>
    <m/>
    <m/>
    <m/>
    <m/>
    <m/>
    <m/>
    <m/>
    <m/>
    <m/>
    <m/>
    <m/>
    <m/>
  </r>
  <r>
    <n v="4340"/>
    <n v="54805"/>
    <d v="2002-12-02T00:00:00"/>
    <n v="23"/>
    <x v="1"/>
    <x v="1"/>
    <d v="2024-09-07T00:00:00"/>
    <n v="1.3369863013698631"/>
    <x v="117"/>
    <x v="1"/>
    <x v="3"/>
    <x v="1"/>
    <n v="8.4700000000000006"/>
    <m/>
    <m/>
    <m/>
    <m/>
    <m/>
    <m/>
    <x v="2"/>
    <n v="2"/>
    <n v="7"/>
    <m/>
    <m/>
    <m/>
    <m/>
    <m/>
    <m/>
    <m/>
    <m/>
    <m/>
    <m/>
    <m/>
    <m/>
    <m/>
    <m/>
  </r>
  <r>
    <n v="4341"/>
    <n v="54806"/>
    <d v="1997-04-08T00:00:00"/>
    <n v="28"/>
    <x v="1"/>
    <x v="0"/>
    <d v="2024-08-30T00:00:00"/>
    <n v="1.484931506849315"/>
    <x v="119"/>
    <x v="1"/>
    <x v="11"/>
    <x v="1"/>
    <n v="17"/>
    <m/>
    <m/>
    <m/>
    <m/>
    <m/>
    <m/>
    <x v="4"/>
    <n v="0"/>
    <n v="4"/>
    <m/>
    <m/>
    <m/>
    <m/>
    <m/>
    <m/>
    <m/>
    <m/>
    <m/>
    <m/>
    <m/>
    <m/>
    <m/>
    <m/>
  </r>
  <r>
    <n v="4342"/>
    <n v="54807"/>
    <d v="2003-07-21T00:00:00"/>
    <n v="22"/>
    <x v="0"/>
    <x v="1"/>
    <d v="2024-07-07T00:00:00"/>
    <n v="1.2027397260273973"/>
    <x v="119"/>
    <x v="1"/>
    <x v="10"/>
    <x v="1"/>
    <n v="10.64"/>
    <m/>
    <m/>
    <m/>
    <m/>
    <m/>
    <m/>
    <x v="1"/>
    <n v="0"/>
    <n v="4"/>
    <m/>
    <m/>
    <m/>
    <m/>
    <m/>
    <m/>
    <m/>
    <m/>
    <m/>
    <m/>
    <m/>
    <m/>
    <m/>
    <m/>
  </r>
  <r>
    <n v="4343"/>
    <n v="54809"/>
    <d v="2006-03-07T00:00:00"/>
    <n v="19"/>
    <x v="1"/>
    <x v="1"/>
    <d v="2024-10-18T00:00:00"/>
    <n v="1.1013698630136985"/>
    <x v="64"/>
    <x v="1"/>
    <x v="8"/>
    <x v="1"/>
    <n v="8.4700000000000006"/>
    <m/>
    <m/>
    <m/>
    <m/>
    <m/>
    <m/>
    <x v="4"/>
    <n v="4"/>
    <n v="6"/>
    <m/>
    <m/>
    <m/>
    <m/>
    <m/>
    <m/>
    <m/>
    <m/>
    <m/>
    <m/>
    <m/>
    <m/>
    <m/>
    <m/>
  </r>
  <r>
    <n v="4344"/>
    <n v="54810"/>
    <d v="2001-03-14T00:00:00"/>
    <n v="24"/>
    <x v="1"/>
    <x v="1"/>
    <d v="2024-11-24T00:00:00"/>
    <n v="1.6301369863013699"/>
    <x v="68"/>
    <x v="1"/>
    <x v="11"/>
    <x v="1"/>
    <n v="17"/>
    <m/>
    <m/>
    <m/>
    <m/>
    <m/>
    <m/>
    <x v="1"/>
    <n v="3"/>
    <n v="6"/>
    <m/>
    <m/>
    <m/>
    <m/>
    <m/>
    <m/>
    <m/>
    <m/>
    <m/>
    <m/>
    <m/>
    <m/>
    <m/>
    <m/>
  </r>
  <r>
    <n v="4345"/>
    <n v="54812"/>
    <d v="2003-04-20T00:00:00"/>
    <n v="22"/>
    <x v="0"/>
    <x v="1"/>
    <d v="2024-05-15T00:00:00"/>
    <n v="1.2821917808219179"/>
    <x v="135"/>
    <x v="1"/>
    <x v="10"/>
    <x v="1"/>
    <n v="10.64"/>
    <m/>
    <m/>
    <m/>
    <m/>
    <m/>
    <m/>
    <x v="1"/>
    <n v="1"/>
    <n v="5"/>
    <m/>
    <m/>
    <m/>
    <m/>
    <m/>
    <m/>
    <m/>
    <m/>
    <m/>
    <m/>
    <m/>
    <m/>
    <m/>
    <m/>
  </r>
  <r>
    <n v="4346"/>
    <n v="54813"/>
    <d v="2003-06-10T00:00:00"/>
    <n v="22"/>
    <x v="1"/>
    <x v="1"/>
    <d v="2024-09-19T00:00:00"/>
    <n v="1.189041095890411"/>
    <x v="135"/>
    <x v="1"/>
    <x v="2"/>
    <x v="1"/>
    <n v="14.23"/>
    <m/>
    <m/>
    <m/>
    <m/>
    <m/>
    <m/>
    <x v="1"/>
    <n v="1"/>
    <n v="6"/>
    <m/>
    <m/>
    <m/>
    <m/>
    <m/>
    <m/>
    <m/>
    <m/>
    <m/>
    <m/>
    <m/>
    <m/>
    <m/>
    <m/>
  </r>
  <r>
    <n v="4347"/>
    <n v="54814"/>
    <d v="2006-04-26T00:00:00"/>
    <n v="19"/>
    <x v="1"/>
    <x v="1"/>
    <d v="2024-10-23T00:00:00"/>
    <n v="1.1616438356164382"/>
    <x v="71"/>
    <x v="1"/>
    <x v="8"/>
    <x v="1"/>
    <n v="8.4700000000000006"/>
    <m/>
    <m/>
    <m/>
    <m/>
    <m/>
    <m/>
    <x v="3"/>
    <n v="2"/>
    <n v="5"/>
    <m/>
    <m/>
    <m/>
    <m/>
    <m/>
    <m/>
    <m/>
    <m/>
    <m/>
    <m/>
    <m/>
    <m/>
    <m/>
    <m/>
  </r>
  <r>
    <n v="4348"/>
    <n v="54815"/>
    <d v="2000-01-13T00:00:00"/>
    <n v="25"/>
    <x v="1"/>
    <x v="0"/>
    <d v="2024-11-02T00:00:00"/>
    <n v="1.2027397260273973"/>
    <x v="72"/>
    <x v="1"/>
    <x v="11"/>
    <x v="1"/>
    <n v="17"/>
    <m/>
    <m/>
    <m/>
    <m/>
    <m/>
    <m/>
    <x v="1"/>
    <n v="2"/>
    <n v="6"/>
    <m/>
    <m/>
    <m/>
    <m/>
    <m/>
    <m/>
    <m/>
    <m/>
    <m/>
    <m/>
    <m/>
    <m/>
    <m/>
    <m/>
  </r>
  <r>
    <n v="4349"/>
    <n v="54816"/>
    <d v="1999-12-12T00:00:00"/>
    <n v="26"/>
    <x v="0"/>
    <x v="0"/>
    <d v="2024-10-18T00:00:00"/>
    <n v="1.4794520547945205"/>
    <x v="122"/>
    <x v="1"/>
    <x v="11"/>
    <x v="1"/>
    <n v="17"/>
    <m/>
    <m/>
    <m/>
    <m/>
    <m/>
    <m/>
    <x v="1"/>
    <n v="2"/>
    <n v="5"/>
    <m/>
    <m/>
    <m/>
    <m/>
    <m/>
    <m/>
    <m/>
    <m/>
    <m/>
    <m/>
    <m/>
    <m/>
    <m/>
    <m/>
  </r>
  <r>
    <n v="4350"/>
    <n v="54817"/>
    <d v="2006-03-11T00:00:00"/>
    <n v="19"/>
    <x v="1"/>
    <x v="1"/>
    <d v="2024-07-09T00:00:00"/>
    <n v="1.452054794520548"/>
    <x v="122"/>
    <x v="1"/>
    <x v="8"/>
    <x v="1"/>
    <n v="8.4700000000000006"/>
    <m/>
    <m/>
    <m/>
    <m/>
    <m/>
    <m/>
    <x v="2"/>
    <n v="2"/>
    <n v="7"/>
    <m/>
    <m/>
    <m/>
    <m/>
    <m/>
    <m/>
    <m/>
    <m/>
    <m/>
    <m/>
    <m/>
    <m/>
    <m/>
    <m/>
  </r>
  <r>
    <n v="4351"/>
    <n v="54818"/>
    <d v="2001-02-18T00:00:00"/>
    <n v="24"/>
    <x v="1"/>
    <x v="0"/>
    <d v="2024-07-19T00:00:00"/>
    <n v="1.2767123287671234"/>
    <x v="122"/>
    <x v="1"/>
    <x v="8"/>
    <x v="1"/>
    <n v="8.4700000000000006"/>
    <m/>
    <m/>
    <m/>
    <m/>
    <m/>
    <m/>
    <x v="1"/>
    <n v="3"/>
    <n v="6"/>
    <m/>
    <m/>
    <m/>
    <m/>
    <m/>
    <m/>
    <m/>
    <m/>
    <m/>
    <m/>
    <m/>
    <m/>
    <m/>
    <m/>
  </r>
  <r>
    <n v="4352"/>
    <n v="54819"/>
    <d v="2002-12-26T00:00:00"/>
    <n v="23"/>
    <x v="1"/>
    <x v="1"/>
    <d v="2024-09-21T00:00:00"/>
    <n v="1.4657534246575343"/>
    <x v="122"/>
    <x v="1"/>
    <x v="8"/>
    <x v="1"/>
    <n v="8.4700000000000006"/>
    <m/>
    <m/>
    <m/>
    <m/>
    <m/>
    <m/>
    <x v="4"/>
    <n v="2"/>
    <n v="7"/>
    <m/>
    <m/>
    <m/>
    <m/>
    <m/>
    <m/>
    <m/>
    <m/>
    <m/>
    <m/>
    <m/>
    <m/>
    <m/>
    <m/>
  </r>
  <r>
    <n v="4353"/>
    <n v="54820"/>
    <d v="2005-05-13T00:00:00"/>
    <n v="20"/>
    <x v="1"/>
    <x v="1"/>
    <d v="2024-07-14T00:00:00"/>
    <n v="1.1205479452054794"/>
    <x v="125"/>
    <x v="1"/>
    <x v="8"/>
    <x v="1"/>
    <n v="8.4700000000000006"/>
    <m/>
    <m/>
    <m/>
    <m/>
    <m/>
    <m/>
    <x v="4"/>
    <n v="4"/>
    <n v="7"/>
    <m/>
    <m/>
    <m/>
    <m/>
    <m/>
    <m/>
    <m/>
    <m/>
    <m/>
    <m/>
    <m/>
    <m/>
    <m/>
    <m/>
  </r>
  <r>
    <n v="4354"/>
    <n v="54821"/>
    <d v="1998-12-11T00:00:00"/>
    <n v="27"/>
    <x v="0"/>
    <x v="1"/>
    <d v="2024-11-17T00:00:00"/>
    <n v="1.0136986301369864"/>
    <x v="79"/>
    <x v="1"/>
    <x v="2"/>
    <x v="1"/>
    <n v="14.23"/>
    <m/>
    <m/>
    <m/>
    <m/>
    <m/>
    <m/>
    <x v="3"/>
    <n v="1"/>
    <n v="4"/>
    <m/>
    <m/>
    <m/>
    <m/>
    <m/>
    <m/>
    <m/>
    <m/>
    <m/>
    <m/>
    <m/>
    <m/>
    <m/>
    <m/>
  </r>
  <r>
    <n v="4355"/>
    <n v="54822"/>
    <d v="2001-12-09T00:00:00"/>
    <n v="24"/>
    <x v="1"/>
    <x v="1"/>
    <d v="2024-12-26T00:00:00"/>
    <n v="1.3452054794520547"/>
    <x v="93"/>
    <x v="1"/>
    <x v="8"/>
    <x v="1"/>
    <n v="8.4700000000000006"/>
    <m/>
    <m/>
    <m/>
    <m/>
    <m/>
    <m/>
    <x v="4"/>
    <n v="3"/>
    <n v="7"/>
    <m/>
    <m/>
    <m/>
    <m/>
    <m/>
    <m/>
    <m/>
    <m/>
    <m/>
    <m/>
    <m/>
    <m/>
    <m/>
    <m/>
  </r>
  <r>
    <n v="4356"/>
    <n v="54823"/>
    <d v="2007-11-10T00:00:00"/>
    <n v="18"/>
    <x v="1"/>
    <x v="1"/>
    <d v="2024-08-27T00:00:00"/>
    <n v="1.0493150684931507"/>
    <x v="93"/>
    <x v="1"/>
    <x v="8"/>
    <x v="1"/>
    <n v="8.4700000000000006"/>
    <m/>
    <m/>
    <m/>
    <m/>
    <m/>
    <m/>
    <x v="3"/>
    <n v="2"/>
    <n v="6"/>
    <m/>
    <m/>
    <m/>
    <m/>
    <m/>
    <m/>
    <m/>
    <m/>
    <m/>
    <m/>
    <m/>
    <m/>
    <m/>
    <m/>
  </r>
  <r>
    <n v="4357"/>
    <n v="54824"/>
    <d v="2002-03-29T00:00:00"/>
    <n v="23"/>
    <x v="1"/>
    <x v="1"/>
    <d v="2024-12-13T00:00:00"/>
    <n v="1.4328767123287671"/>
    <x v="93"/>
    <x v="1"/>
    <x v="8"/>
    <x v="1"/>
    <n v="8.4700000000000006"/>
    <m/>
    <m/>
    <m/>
    <m/>
    <m/>
    <m/>
    <x v="2"/>
    <n v="0"/>
    <n v="6"/>
    <m/>
    <m/>
    <m/>
    <m/>
    <m/>
    <m/>
    <m/>
    <m/>
    <m/>
    <m/>
    <m/>
    <m/>
    <m/>
    <m/>
  </r>
  <r>
    <n v="4358"/>
    <n v="54825"/>
    <d v="2006-09-03T00:00:00"/>
    <n v="19"/>
    <x v="1"/>
    <x v="0"/>
    <d v="2024-07-26T00:00:00"/>
    <n v="1.547945205479452"/>
    <x v="129"/>
    <x v="1"/>
    <x v="8"/>
    <x v="1"/>
    <n v="8.4700000000000006"/>
    <m/>
    <m/>
    <m/>
    <m/>
    <m/>
    <m/>
    <x v="2"/>
    <n v="1"/>
    <n v="5"/>
    <m/>
    <m/>
    <m/>
    <m/>
    <m/>
    <m/>
    <m/>
    <m/>
    <m/>
    <m/>
    <m/>
    <m/>
    <m/>
    <m/>
  </r>
  <r>
    <n v="4359"/>
    <n v="54826"/>
    <d v="1989-09-20T00:00:00"/>
    <n v="36"/>
    <x v="1"/>
    <x v="1"/>
    <d v="2024-06-14T00:00:00"/>
    <n v="1.1561643835616437"/>
    <x v="80"/>
    <x v="1"/>
    <x v="2"/>
    <x v="1"/>
    <n v="14.23"/>
    <m/>
    <m/>
    <m/>
    <m/>
    <m/>
    <m/>
    <x v="2"/>
    <n v="1"/>
    <n v="4"/>
    <m/>
    <m/>
    <m/>
    <m/>
    <m/>
    <m/>
    <m/>
    <m/>
    <m/>
    <m/>
    <m/>
    <m/>
    <m/>
    <m/>
  </r>
  <r>
    <n v="4360"/>
    <n v="54829"/>
    <d v="1994-10-21T00:00:00"/>
    <n v="31"/>
    <x v="0"/>
    <x v="1"/>
    <d v="2024-11-04T00:00:00"/>
    <n v="1.7506849315068493"/>
    <x v="100"/>
    <x v="1"/>
    <x v="10"/>
    <x v="1"/>
    <n v="10.64"/>
    <m/>
    <m/>
    <m/>
    <m/>
    <m/>
    <m/>
    <x v="4"/>
    <n v="0"/>
    <n v="4"/>
    <m/>
    <m/>
    <m/>
    <m/>
    <m/>
    <m/>
    <m/>
    <m/>
    <m/>
    <m/>
    <m/>
    <m/>
    <m/>
    <m/>
  </r>
  <r>
    <n v="4361"/>
    <n v="54830"/>
    <d v="1998-08-04T00:00:00"/>
    <n v="27"/>
    <x v="0"/>
    <x v="0"/>
    <d v="2024-04-01T00:00:00"/>
    <n v="1.4465753424657535"/>
    <x v="100"/>
    <x v="1"/>
    <x v="8"/>
    <x v="1"/>
    <n v="8.4700000000000006"/>
    <m/>
    <m/>
    <m/>
    <m/>
    <m/>
    <m/>
    <x v="1"/>
    <n v="1"/>
    <n v="4"/>
    <m/>
    <m/>
    <m/>
    <m/>
    <m/>
    <m/>
    <m/>
    <m/>
    <m/>
    <m/>
    <m/>
    <m/>
    <m/>
    <m/>
  </r>
  <r>
    <n v="4362"/>
    <n v="54831"/>
    <d v="2004-03-20T00:00:00"/>
    <n v="21"/>
    <x v="0"/>
    <x v="1"/>
    <d v="2024-07-21T00:00:00"/>
    <n v="1.5616438356164384"/>
    <x v="96"/>
    <x v="1"/>
    <x v="2"/>
    <x v="1"/>
    <n v="14.23"/>
    <m/>
    <m/>
    <m/>
    <m/>
    <m/>
    <m/>
    <x v="3"/>
    <n v="0"/>
    <n v="2"/>
    <m/>
    <m/>
    <m/>
    <m/>
    <m/>
    <m/>
    <m/>
    <m/>
    <m/>
    <m/>
    <m/>
    <m/>
    <m/>
    <m/>
  </r>
  <r>
    <n v="4363"/>
    <n v="54832"/>
    <d v="2006-11-08T00:00:00"/>
    <n v="19"/>
    <x v="1"/>
    <x v="0"/>
    <d v="2024-06-09T00:00:00"/>
    <n v="1.6"/>
    <x v="96"/>
    <x v="1"/>
    <x v="8"/>
    <x v="1"/>
    <n v="8.4700000000000006"/>
    <m/>
    <m/>
    <m/>
    <m/>
    <m/>
    <m/>
    <x v="1"/>
    <n v="0"/>
    <n v="6"/>
    <m/>
    <m/>
    <m/>
    <m/>
    <m/>
    <m/>
    <m/>
    <m/>
    <m/>
    <m/>
    <m/>
    <m/>
    <m/>
    <m/>
  </r>
  <r>
    <n v="4364"/>
    <n v="54833"/>
    <d v="2003-10-14T00:00:00"/>
    <n v="22"/>
    <x v="1"/>
    <x v="1"/>
    <d v="2024-05-26T00:00:00"/>
    <n v="1.3369863013698631"/>
    <x v="89"/>
    <x v="1"/>
    <x v="10"/>
    <x v="1"/>
    <n v="10.64"/>
    <m/>
    <m/>
    <m/>
    <m/>
    <m/>
    <m/>
    <x v="3"/>
    <n v="1"/>
    <n v="6"/>
    <m/>
    <m/>
    <m/>
    <m/>
    <m/>
    <m/>
    <m/>
    <m/>
    <m/>
    <m/>
    <m/>
    <m/>
    <m/>
    <m/>
  </r>
  <r>
    <n v="4365"/>
    <n v="54834"/>
    <d v="2004-10-31T00:00:00"/>
    <n v="21"/>
    <x v="1"/>
    <x v="1"/>
    <d v="2024-08-30T00:00:00"/>
    <n v="1.7013698630136986"/>
    <x v="89"/>
    <x v="1"/>
    <x v="8"/>
    <x v="1"/>
    <n v="8.4700000000000006"/>
    <m/>
    <m/>
    <m/>
    <m/>
    <m/>
    <m/>
    <x v="2"/>
    <n v="1"/>
    <n v="6"/>
    <m/>
    <m/>
    <m/>
    <m/>
    <m/>
    <m/>
    <m/>
    <m/>
    <m/>
    <m/>
    <m/>
    <m/>
    <m/>
    <m/>
  </r>
  <r>
    <n v="4366"/>
    <n v="54835"/>
    <d v="1999-04-28T00:00:00"/>
    <n v="26"/>
    <x v="0"/>
    <x v="1"/>
    <d v="2024-04-19T00:00:00"/>
    <n v="1.2301369863013698"/>
    <x v="110"/>
    <x v="1"/>
    <x v="10"/>
    <x v="1"/>
    <n v="10.64"/>
    <m/>
    <m/>
    <m/>
    <m/>
    <m/>
    <m/>
    <x v="1"/>
    <n v="1"/>
    <n v="4"/>
    <m/>
    <m/>
    <m/>
    <m/>
    <m/>
    <m/>
    <m/>
    <m/>
    <m/>
    <m/>
    <m/>
    <m/>
    <m/>
    <m/>
  </r>
  <r>
    <n v="4367"/>
    <n v="54836"/>
    <d v="1998-03-02T00:00:00"/>
    <n v="27"/>
    <x v="0"/>
    <x v="1"/>
    <d v="2024-10-08T00:00:00"/>
    <n v="1.2054794520547945"/>
    <x v="132"/>
    <x v="1"/>
    <x v="8"/>
    <x v="1"/>
    <n v="8.4700000000000006"/>
    <m/>
    <m/>
    <m/>
    <m/>
    <m/>
    <m/>
    <x v="3"/>
    <n v="3"/>
    <n v="5"/>
    <m/>
    <m/>
    <m/>
    <m/>
    <m/>
    <m/>
    <m/>
    <m/>
    <m/>
    <m/>
    <m/>
    <m/>
    <m/>
    <m/>
  </r>
  <r>
    <n v="4368"/>
    <n v="54837"/>
    <d v="2003-09-29T00:00:00"/>
    <n v="22"/>
    <x v="1"/>
    <x v="1"/>
    <d v="2024-10-17T00:00:00"/>
    <n v="1.0684931506849316"/>
    <x v="92"/>
    <x v="1"/>
    <x v="8"/>
    <x v="1"/>
    <n v="8.4700000000000006"/>
    <m/>
    <m/>
    <m/>
    <m/>
    <m/>
    <m/>
    <x v="1"/>
    <n v="2"/>
    <n v="6"/>
    <m/>
    <m/>
    <m/>
    <m/>
    <m/>
    <m/>
    <m/>
    <m/>
    <m/>
    <m/>
    <m/>
    <m/>
    <m/>
    <m/>
  </r>
  <r>
    <n v="4369"/>
    <n v="54838"/>
    <d v="2000-12-17T00:00:00"/>
    <n v="25"/>
    <x v="1"/>
    <x v="1"/>
    <d v="2024-12-06T00:00:00"/>
    <n v="1.0575342465753426"/>
    <x v="126"/>
    <x v="1"/>
    <x v="11"/>
    <x v="1"/>
    <n v="17"/>
    <m/>
    <m/>
    <m/>
    <m/>
    <m/>
    <m/>
    <x v="4"/>
    <n v="0"/>
    <n v="6"/>
    <m/>
    <m/>
    <m/>
    <m/>
    <m/>
    <m/>
    <m/>
    <m/>
    <m/>
    <m/>
    <m/>
    <m/>
    <m/>
    <m/>
  </r>
  <r>
    <n v="4370"/>
    <n v="54839"/>
    <d v="1999-07-24T00:00:00"/>
    <n v="26"/>
    <x v="0"/>
    <x v="1"/>
    <d v="2024-12-10T00:00:00"/>
    <n v="1.0821917808219179"/>
    <x v="126"/>
    <x v="1"/>
    <x v="7"/>
    <x v="1"/>
    <n v="17.59"/>
    <m/>
    <m/>
    <m/>
    <m/>
    <m/>
    <m/>
    <x v="2"/>
    <n v="1"/>
    <n v="6"/>
    <m/>
    <m/>
    <m/>
    <m/>
    <m/>
    <m/>
    <m/>
    <m/>
    <m/>
    <m/>
    <m/>
    <m/>
    <m/>
    <m/>
  </r>
  <r>
    <n v="4371"/>
    <n v="54840"/>
    <d v="1986-12-23T00:00:00"/>
    <n v="39"/>
    <x v="1"/>
    <x v="0"/>
    <d v="2024-12-01T00:00:00"/>
    <n v="1.0273972602739727"/>
    <x v="116"/>
    <x v="1"/>
    <x v="2"/>
    <x v="1"/>
    <n v="14.23"/>
    <m/>
    <m/>
    <m/>
    <m/>
    <m/>
    <m/>
    <x v="3"/>
    <n v="0"/>
    <n v="5"/>
    <m/>
    <m/>
    <m/>
    <m/>
    <m/>
    <m/>
    <m/>
    <m/>
    <m/>
    <m/>
    <m/>
    <m/>
    <m/>
    <m/>
  </r>
  <r>
    <n v="4372"/>
    <n v="54841"/>
    <d v="2006-10-06T00:00:00"/>
    <n v="19"/>
    <x v="1"/>
    <x v="0"/>
    <d v="2024-12-21T00:00:00"/>
    <n v="1.6821917808219178"/>
    <x v="2"/>
    <x v="0"/>
    <x v="8"/>
    <x v="1"/>
    <n v="8.4700000000000006"/>
    <m/>
    <m/>
    <m/>
    <m/>
    <m/>
    <m/>
    <x v="3"/>
    <n v="0"/>
    <n v="4"/>
    <m/>
    <m/>
    <m/>
    <m/>
    <m/>
    <m/>
    <m/>
    <m/>
    <m/>
    <m/>
    <m/>
    <m/>
    <m/>
    <m/>
  </r>
  <r>
    <n v="4373"/>
    <n v="54842"/>
    <d v="2002-09-08T00:00:00"/>
    <n v="23"/>
    <x v="0"/>
    <x v="1"/>
    <d v="2024-04-26T00:00:00"/>
    <n v="1.3260273972602741"/>
    <x v="4"/>
    <x v="0"/>
    <x v="11"/>
    <x v="1"/>
    <n v="17"/>
    <m/>
    <m/>
    <m/>
    <m/>
    <m/>
    <m/>
    <x v="1"/>
    <n v="3"/>
    <n v="5"/>
    <m/>
    <m/>
    <m/>
    <m/>
    <m/>
    <m/>
    <m/>
    <m/>
    <m/>
    <m/>
    <m/>
    <m/>
    <m/>
    <m/>
  </r>
  <r>
    <n v="4374"/>
    <n v="54843"/>
    <d v="1995-05-04T00:00:00"/>
    <n v="30"/>
    <x v="0"/>
    <x v="1"/>
    <d v="2024-09-03T00:00:00"/>
    <n v="1.1835616438356165"/>
    <x v="4"/>
    <x v="0"/>
    <x v="2"/>
    <x v="1"/>
    <n v="14.23"/>
    <m/>
    <m/>
    <m/>
    <m/>
    <m/>
    <m/>
    <x v="1"/>
    <n v="1"/>
    <n v="5"/>
    <m/>
    <m/>
    <m/>
    <m/>
    <m/>
    <m/>
    <m/>
    <m/>
    <m/>
    <m/>
    <m/>
    <m/>
    <m/>
    <m/>
  </r>
  <r>
    <n v="4375"/>
    <n v="54844"/>
    <d v="1996-08-28T00:00:00"/>
    <n v="29"/>
    <x v="1"/>
    <x v="1"/>
    <d v="2024-10-25T00:00:00"/>
    <n v="1.6602739726027398"/>
    <x v="7"/>
    <x v="0"/>
    <x v="10"/>
    <x v="1"/>
    <n v="10.64"/>
    <m/>
    <m/>
    <m/>
    <m/>
    <m/>
    <m/>
    <x v="1"/>
    <n v="0"/>
    <n v="6"/>
    <m/>
    <m/>
    <m/>
    <m/>
    <m/>
    <m/>
    <m/>
    <m/>
    <m/>
    <m/>
    <m/>
    <m/>
    <m/>
    <m/>
  </r>
  <r>
    <n v="4376"/>
    <n v="54845"/>
    <d v="2004-10-05T00:00:00"/>
    <n v="21"/>
    <x v="0"/>
    <x v="1"/>
    <d v="2024-05-04T00:00:00"/>
    <n v="1.6493150684931508"/>
    <x v="7"/>
    <x v="0"/>
    <x v="3"/>
    <x v="1"/>
    <n v="8.4700000000000006"/>
    <m/>
    <m/>
    <m/>
    <m/>
    <m/>
    <m/>
    <x v="3"/>
    <n v="0"/>
    <n v="3"/>
    <m/>
    <m/>
    <m/>
    <m/>
    <m/>
    <m/>
    <m/>
    <m/>
    <m/>
    <m/>
    <m/>
    <m/>
    <m/>
    <m/>
  </r>
  <r>
    <n v="4377"/>
    <n v="54846"/>
    <d v="2004-06-20T00:00:00"/>
    <n v="21"/>
    <x v="1"/>
    <x v="0"/>
    <d v="2024-05-08T00:00:00"/>
    <n v="1.704109589041096"/>
    <x v="127"/>
    <x v="0"/>
    <x v="1"/>
    <x v="1"/>
    <n v="16.37"/>
    <m/>
    <m/>
    <m/>
    <m/>
    <m/>
    <m/>
    <x v="1"/>
    <n v="1"/>
    <n v="6"/>
    <m/>
    <m/>
    <m/>
    <m/>
    <m/>
    <m/>
    <m/>
    <m/>
    <m/>
    <m/>
    <m/>
    <m/>
    <m/>
    <m/>
  </r>
  <r>
    <n v="4378"/>
    <n v="54847"/>
    <d v="1993-06-28T00:00:00"/>
    <n v="32"/>
    <x v="0"/>
    <x v="1"/>
    <d v="2024-04-18T00:00:00"/>
    <n v="1.3315068493150686"/>
    <x v="127"/>
    <x v="0"/>
    <x v="2"/>
    <x v="1"/>
    <n v="14.23"/>
    <m/>
    <m/>
    <m/>
    <m/>
    <m/>
    <m/>
    <x v="3"/>
    <n v="0"/>
    <n v="2"/>
    <m/>
    <m/>
    <m/>
    <m/>
    <m/>
    <m/>
    <m/>
    <m/>
    <m/>
    <m/>
    <m/>
    <m/>
    <m/>
    <m/>
  </r>
  <r>
    <n v="4379"/>
    <n v="54848"/>
    <d v="2004-10-05T00:00:00"/>
    <n v="21"/>
    <x v="1"/>
    <x v="1"/>
    <d v="2024-09-01T00:00:00"/>
    <n v="1.1506849315068493"/>
    <x v="10"/>
    <x v="0"/>
    <x v="8"/>
    <x v="1"/>
    <n v="8.4700000000000006"/>
    <m/>
    <m/>
    <m/>
    <m/>
    <m/>
    <m/>
    <x v="2"/>
    <n v="3"/>
    <n v="7"/>
    <m/>
    <m/>
    <m/>
    <m/>
    <m/>
    <m/>
    <m/>
    <m/>
    <m/>
    <m/>
    <m/>
    <m/>
    <m/>
    <m/>
  </r>
  <r>
    <n v="4380"/>
    <n v="54849"/>
    <d v="2005-04-28T00:00:00"/>
    <n v="20"/>
    <x v="1"/>
    <x v="1"/>
    <d v="2024-11-06T00:00:00"/>
    <n v="1.5095890410958903"/>
    <x v="11"/>
    <x v="0"/>
    <x v="8"/>
    <x v="1"/>
    <n v="8.4700000000000006"/>
    <m/>
    <m/>
    <m/>
    <m/>
    <m/>
    <m/>
    <x v="4"/>
    <n v="3"/>
    <n v="7"/>
    <m/>
    <m/>
    <m/>
    <m/>
    <m/>
    <m/>
    <m/>
    <m/>
    <m/>
    <m/>
    <m/>
    <m/>
    <m/>
    <m/>
  </r>
  <r>
    <n v="4381"/>
    <n v="54850"/>
    <d v="2005-02-19T00:00:00"/>
    <n v="20"/>
    <x v="1"/>
    <x v="1"/>
    <d v="2024-06-28T00:00:00"/>
    <n v="1.5534246575342465"/>
    <x v="45"/>
    <x v="0"/>
    <x v="8"/>
    <x v="1"/>
    <n v="8.4700000000000006"/>
    <m/>
    <m/>
    <m/>
    <m/>
    <m/>
    <m/>
    <x v="2"/>
    <n v="3"/>
    <n v="6"/>
    <m/>
    <m/>
    <m/>
    <m/>
    <m/>
    <m/>
    <m/>
    <m/>
    <m/>
    <m/>
    <m/>
    <m/>
    <m/>
    <m/>
  </r>
  <r>
    <n v="4382"/>
    <n v="54851"/>
    <d v="2007-01-10T00:00:00"/>
    <n v="18"/>
    <x v="1"/>
    <x v="1"/>
    <d v="2024-06-12T00:00:00"/>
    <n v="1.4767123287671233"/>
    <x v="12"/>
    <x v="0"/>
    <x v="8"/>
    <x v="1"/>
    <n v="8.4700000000000006"/>
    <m/>
    <m/>
    <m/>
    <m/>
    <m/>
    <m/>
    <x v="1"/>
    <n v="0"/>
    <n v="6"/>
    <m/>
    <m/>
    <m/>
    <m/>
    <m/>
    <m/>
    <m/>
    <m/>
    <m/>
    <m/>
    <m/>
    <m/>
    <m/>
    <m/>
  </r>
  <r>
    <n v="4383"/>
    <n v="54852"/>
    <d v="2002-03-24T00:00:00"/>
    <n v="23"/>
    <x v="0"/>
    <x v="0"/>
    <d v="2024-07-10T00:00:00"/>
    <n v="1.4191780821917808"/>
    <x v="82"/>
    <x v="0"/>
    <x v="11"/>
    <x v="1"/>
    <n v="17"/>
    <m/>
    <m/>
    <m/>
    <m/>
    <m/>
    <m/>
    <x v="4"/>
    <n v="4"/>
    <n v="6"/>
    <m/>
    <m/>
    <m/>
    <m/>
    <m/>
    <m/>
    <m/>
    <m/>
    <m/>
    <m/>
    <m/>
    <m/>
    <m/>
    <m/>
  </r>
  <r>
    <n v="4384"/>
    <n v="54853"/>
    <d v="1992-02-03T00:00:00"/>
    <n v="33"/>
    <x v="1"/>
    <x v="1"/>
    <d v="2024-07-31T00:00:00"/>
    <n v="1.484931506849315"/>
    <x v="82"/>
    <x v="0"/>
    <x v="8"/>
    <x v="1"/>
    <n v="8.4700000000000006"/>
    <m/>
    <m/>
    <m/>
    <m/>
    <m/>
    <m/>
    <x v="3"/>
    <n v="3"/>
    <n v="6"/>
    <m/>
    <m/>
    <m/>
    <m/>
    <m/>
    <m/>
    <m/>
    <m/>
    <m/>
    <m/>
    <m/>
    <m/>
    <m/>
    <m/>
  </r>
  <r>
    <n v="4385"/>
    <n v="54854"/>
    <d v="2004-05-13T00:00:00"/>
    <n v="21"/>
    <x v="1"/>
    <x v="1"/>
    <d v="2024-07-07T00:00:00"/>
    <n v="1.0630136986301371"/>
    <x v="14"/>
    <x v="0"/>
    <x v="3"/>
    <x v="1"/>
    <n v="8.4700000000000006"/>
    <m/>
    <m/>
    <m/>
    <m/>
    <m/>
    <m/>
    <x v="4"/>
    <n v="2"/>
    <n v="6"/>
    <m/>
    <m/>
    <m/>
    <m/>
    <m/>
    <m/>
    <m/>
    <m/>
    <m/>
    <m/>
    <m/>
    <m/>
    <m/>
    <m/>
  </r>
  <r>
    <n v="4386"/>
    <n v="54855"/>
    <d v="2000-03-23T00:00:00"/>
    <n v="25"/>
    <x v="1"/>
    <x v="0"/>
    <d v="2024-12-08T00:00:00"/>
    <n v="1.4109589041095891"/>
    <x v="17"/>
    <x v="0"/>
    <x v="10"/>
    <x v="1"/>
    <n v="10.64"/>
    <m/>
    <m/>
    <m/>
    <m/>
    <m/>
    <m/>
    <x v="3"/>
    <n v="0"/>
    <n v="4"/>
    <m/>
    <m/>
    <m/>
    <m/>
    <m/>
    <m/>
    <m/>
    <m/>
    <m/>
    <m/>
    <m/>
    <m/>
    <m/>
    <m/>
  </r>
  <r>
    <n v="4387"/>
    <n v="54856"/>
    <d v="1993-12-03T00:00:00"/>
    <n v="32"/>
    <x v="0"/>
    <x v="1"/>
    <d v="2024-08-03T00:00:00"/>
    <n v="1.3013698630136987"/>
    <x v="17"/>
    <x v="0"/>
    <x v="2"/>
    <x v="1"/>
    <n v="14.23"/>
    <m/>
    <m/>
    <m/>
    <m/>
    <m/>
    <m/>
    <x v="4"/>
    <n v="1"/>
    <n v="4"/>
    <m/>
    <m/>
    <m/>
    <m/>
    <m/>
    <m/>
    <m/>
    <m/>
    <m/>
    <m/>
    <m/>
    <m/>
    <m/>
    <m/>
  </r>
  <r>
    <n v="4388"/>
    <n v="54857"/>
    <d v="2004-03-15T00:00:00"/>
    <n v="21"/>
    <x v="0"/>
    <x v="1"/>
    <d v="2024-09-12T00:00:00"/>
    <n v="1.2986301369863014"/>
    <x v="17"/>
    <x v="0"/>
    <x v="9"/>
    <x v="1"/>
    <n v="14.07"/>
    <m/>
    <m/>
    <m/>
    <m/>
    <m/>
    <m/>
    <x v="4"/>
    <n v="1"/>
    <n v="3"/>
    <m/>
    <m/>
    <m/>
    <m/>
    <m/>
    <m/>
    <m/>
    <m/>
    <m/>
    <m/>
    <m/>
    <m/>
    <m/>
    <m/>
  </r>
  <r>
    <n v="4389"/>
    <n v="54858"/>
    <d v="1997-11-19T00:00:00"/>
    <n v="28"/>
    <x v="1"/>
    <x v="0"/>
    <d v="2024-09-13T00:00:00"/>
    <n v="1.4465753424657535"/>
    <x v="16"/>
    <x v="0"/>
    <x v="3"/>
    <x v="1"/>
    <n v="8.4700000000000006"/>
    <m/>
    <m/>
    <m/>
    <m/>
    <m/>
    <m/>
    <x v="2"/>
    <n v="1"/>
    <n v="5"/>
    <m/>
    <m/>
    <m/>
    <m/>
    <m/>
    <m/>
    <m/>
    <m/>
    <m/>
    <m/>
    <m/>
    <m/>
    <m/>
    <m/>
  </r>
  <r>
    <n v="4390"/>
    <n v="54859"/>
    <d v="2000-12-27T00:00:00"/>
    <n v="25"/>
    <x v="0"/>
    <x v="1"/>
    <d v="2024-07-21T00:00:00"/>
    <n v="1.3013698630136987"/>
    <x v="18"/>
    <x v="0"/>
    <x v="8"/>
    <x v="1"/>
    <n v="8.4700000000000006"/>
    <m/>
    <m/>
    <m/>
    <m/>
    <m/>
    <m/>
    <x v="3"/>
    <n v="4"/>
    <n v="5"/>
    <m/>
    <m/>
    <m/>
    <m/>
    <m/>
    <m/>
    <m/>
    <m/>
    <m/>
    <m/>
    <m/>
    <m/>
    <m/>
    <m/>
  </r>
  <r>
    <n v="4391"/>
    <n v="54860"/>
    <d v="2006-11-27T00:00:00"/>
    <n v="19"/>
    <x v="1"/>
    <x v="1"/>
    <d v="2024-09-12T00:00:00"/>
    <n v="1.5041095890410958"/>
    <x v="18"/>
    <x v="0"/>
    <x v="8"/>
    <x v="1"/>
    <n v="8.4700000000000006"/>
    <m/>
    <m/>
    <m/>
    <m/>
    <m/>
    <m/>
    <x v="2"/>
    <n v="0"/>
    <n v="6"/>
    <m/>
    <m/>
    <m/>
    <m/>
    <m/>
    <m/>
    <m/>
    <m/>
    <m/>
    <m/>
    <m/>
    <m/>
    <m/>
    <m/>
  </r>
  <r>
    <n v="4392"/>
    <n v="54861"/>
    <d v="1994-06-22T00:00:00"/>
    <n v="31"/>
    <x v="0"/>
    <x v="0"/>
    <d v="2024-06-30T00:00:00"/>
    <n v="1.6575342465753424"/>
    <x v="18"/>
    <x v="0"/>
    <x v="8"/>
    <x v="1"/>
    <n v="8.4700000000000006"/>
    <m/>
    <m/>
    <m/>
    <m/>
    <m/>
    <m/>
    <x v="2"/>
    <n v="1"/>
    <n v="4"/>
    <m/>
    <m/>
    <m/>
    <m/>
    <m/>
    <m/>
    <m/>
    <m/>
    <m/>
    <m/>
    <m/>
    <m/>
    <m/>
    <m/>
  </r>
  <r>
    <n v="4393"/>
    <n v="54862"/>
    <d v="1998-02-18T00:00:00"/>
    <n v="27"/>
    <x v="1"/>
    <x v="0"/>
    <d v="2024-05-05T00:00:00"/>
    <n v="1.6739726027397259"/>
    <x v="88"/>
    <x v="0"/>
    <x v="1"/>
    <x v="1"/>
    <n v="16.37"/>
    <m/>
    <m/>
    <m/>
    <m/>
    <m/>
    <m/>
    <x v="1"/>
    <n v="0"/>
    <n v="4"/>
    <m/>
    <m/>
    <m/>
    <m/>
    <m/>
    <m/>
    <m/>
    <m/>
    <m/>
    <m/>
    <m/>
    <m/>
    <m/>
    <m/>
  </r>
  <r>
    <n v="4394"/>
    <n v="54863"/>
    <d v="2004-12-22T00:00:00"/>
    <n v="21"/>
    <x v="1"/>
    <x v="1"/>
    <d v="2024-04-29T00:00:00"/>
    <n v="1.2602739726027397"/>
    <x v="88"/>
    <x v="0"/>
    <x v="2"/>
    <x v="1"/>
    <n v="14.23"/>
    <m/>
    <m/>
    <m/>
    <m/>
    <m/>
    <m/>
    <x v="4"/>
    <n v="1"/>
    <n v="5"/>
    <m/>
    <m/>
    <m/>
    <m/>
    <m/>
    <m/>
    <m/>
    <m/>
    <m/>
    <m/>
    <m/>
    <m/>
    <m/>
    <m/>
  </r>
  <r>
    <n v="4395"/>
    <n v="54864"/>
    <d v="2005-12-12T00:00:00"/>
    <n v="20"/>
    <x v="1"/>
    <x v="1"/>
    <d v="2024-09-27T00:00:00"/>
    <n v="1.4219178082191781"/>
    <x v="88"/>
    <x v="0"/>
    <x v="8"/>
    <x v="1"/>
    <n v="8.4700000000000006"/>
    <m/>
    <m/>
    <m/>
    <m/>
    <m/>
    <m/>
    <x v="1"/>
    <n v="2"/>
    <n v="7"/>
    <m/>
    <m/>
    <m/>
    <m/>
    <m/>
    <m/>
    <m/>
    <m/>
    <m/>
    <m/>
    <m/>
    <m/>
    <m/>
    <m/>
  </r>
  <r>
    <n v="4396"/>
    <n v="54865"/>
    <d v="2007-09-10T00:00:00"/>
    <n v="18"/>
    <x v="1"/>
    <x v="1"/>
    <d v="2024-07-30T00:00:00"/>
    <n v="1.3452054794520547"/>
    <x v="88"/>
    <x v="0"/>
    <x v="8"/>
    <x v="1"/>
    <n v="8.4700000000000006"/>
    <m/>
    <m/>
    <m/>
    <m/>
    <m/>
    <m/>
    <x v="4"/>
    <n v="1"/>
    <n v="5"/>
    <m/>
    <m/>
    <m/>
    <m/>
    <m/>
    <m/>
    <m/>
    <m/>
    <m/>
    <m/>
    <m/>
    <m/>
    <m/>
    <m/>
  </r>
  <r>
    <n v="4397"/>
    <n v="54866"/>
    <d v="2005-07-20T00:00:00"/>
    <n v="20"/>
    <x v="1"/>
    <x v="1"/>
    <d v="2024-08-27T00:00:00"/>
    <n v="1.0191780821917809"/>
    <x v="88"/>
    <x v="0"/>
    <x v="8"/>
    <x v="1"/>
    <n v="8.4700000000000006"/>
    <m/>
    <m/>
    <m/>
    <m/>
    <m/>
    <m/>
    <x v="2"/>
    <n v="2"/>
    <n v="6"/>
    <m/>
    <m/>
    <m/>
    <m/>
    <m/>
    <m/>
    <m/>
    <m/>
    <m/>
    <m/>
    <m/>
    <m/>
    <m/>
    <m/>
  </r>
  <r>
    <n v="4398"/>
    <n v="54867"/>
    <d v="2003-06-18T00:00:00"/>
    <n v="22"/>
    <x v="1"/>
    <x v="1"/>
    <d v="2024-12-24T00:00:00"/>
    <n v="1.8054794520547945"/>
    <x v="88"/>
    <x v="0"/>
    <x v="8"/>
    <x v="1"/>
    <n v="8.4700000000000006"/>
    <m/>
    <m/>
    <m/>
    <m/>
    <m/>
    <m/>
    <x v="4"/>
    <n v="1"/>
    <n v="6"/>
    <m/>
    <m/>
    <m/>
    <m/>
    <m/>
    <m/>
    <m/>
    <m/>
    <m/>
    <m/>
    <m/>
    <m/>
    <m/>
    <m/>
  </r>
  <r>
    <n v="4399"/>
    <n v="54868"/>
    <d v="2004-08-06T00:00:00"/>
    <n v="21"/>
    <x v="1"/>
    <x v="1"/>
    <d v="2024-03-12T00:00:00"/>
    <n v="1.6191780821917807"/>
    <x v="19"/>
    <x v="0"/>
    <x v="3"/>
    <x v="1"/>
    <n v="8.4700000000000006"/>
    <m/>
    <m/>
    <m/>
    <m/>
    <m/>
    <m/>
    <x v="1"/>
    <n v="0"/>
    <n v="5"/>
    <m/>
    <m/>
    <m/>
    <m/>
    <m/>
    <m/>
    <m/>
    <m/>
    <m/>
    <m/>
    <m/>
    <m/>
    <m/>
    <m/>
  </r>
  <r>
    <n v="4400"/>
    <n v="54869"/>
    <d v="2007-06-17T00:00:00"/>
    <n v="18"/>
    <x v="1"/>
    <x v="1"/>
    <d v="2024-05-19T00:00:00"/>
    <n v="1.3945205479452054"/>
    <x v="19"/>
    <x v="0"/>
    <x v="8"/>
    <x v="1"/>
    <n v="8.4700000000000006"/>
    <m/>
    <m/>
    <m/>
    <m/>
    <m/>
    <m/>
    <x v="2"/>
    <n v="3"/>
    <n v="6"/>
    <m/>
    <m/>
    <m/>
    <m/>
    <m/>
    <m/>
    <m/>
    <m/>
    <m/>
    <m/>
    <m/>
    <m/>
    <m/>
    <m/>
  </r>
  <r>
    <n v="4401"/>
    <n v="54870"/>
    <d v="1992-04-23T00:00:00"/>
    <n v="33"/>
    <x v="1"/>
    <x v="1"/>
    <d v="2024-08-09T00:00:00"/>
    <n v="1.1616438356164382"/>
    <x v="20"/>
    <x v="0"/>
    <x v="11"/>
    <x v="1"/>
    <n v="17"/>
    <m/>
    <m/>
    <m/>
    <m/>
    <m/>
    <m/>
    <x v="4"/>
    <n v="2"/>
    <n v="6"/>
    <m/>
    <m/>
    <m/>
    <m/>
    <m/>
    <m/>
    <m/>
    <m/>
    <m/>
    <m/>
    <m/>
    <m/>
    <m/>
    <m/>
  </r>
  <r>
    <n v="4402"/>
    <n v="54871"/>
    <d v="2002-04-25T00:00:00"/>
    <n v="23"/>
    <x v="1"/>
    <x v="1"/>
    <d v="2024-11-02T00:00:00"/>
    <n v="1.2575342465753425"/>
    <x v="27"/>
    <x v="0"/>
    <x v="3"/>
    <x v="1"/>
    <n v="8.4700000000000006"/>
    <m/>
    <m/>
    <m/>
    <m/>
    <m/>
    <m/>
    <x v="1"/>
    <n v="4"/>
    <n v="6"/>
    <m/>
    <m/>
    <m/>
    <m/>
    <m/>
    <m/>
    <m/>
    <m/>
    <m/>
    <m/>
    <m/>
    <m/>
    <m/>
    <m/>
  </r>
  <r>
    <n v="4403"/>
    <n v="54872"/>
    <d v="2004-10-05T00:00:00"/>
    <n v="21"/>
    <x v="1"/>
    <x v="0"/>
    <d v="2024-09-28T00:00:00"/>
    <n v="1.6109589041095891"/>
    <x v="27"/>
    <x v="0"/>
    <x v="3"/>
    <x v="1"/>
    <n v="8.4700000000000006"/>
    <m/>
    <m/>
    <m/>
    <m/>
    <m/>
    <m/>
    <x v="1"/>
    <n v="2"/>
    <n v="6"/>
    <m/>
    <m/>
    <m/>
    <m/>
    <m/>
    <m/>
    <m/>
    <m/>
    <m/>
    <m/>
    <m/>
    <m/>
    <m/>
    <m/>
  </r>
  <r>
    <n v="4404"/>
    <n v="54873"/>
    <d v="1995-03-03T00:00:00"/>
    <n v="30"/>
    <x v="1"/>
    <x v="1"/>
    <d v="2024-05-22T00:00:00"/>
    <n v="1.3232876712328767"/>
    <x v="27"/>
    <x v="0"/>
    <x v="8"/>
    <x v="1"/>
    <n v="8.4700000000000006"/>
    <m/>
    <m/>
    <m/>
    <m/>
    <m/>
    <m/>
    <x v="2"/>
    <n v="2"/>
    <n v="7"/>
    <m/>
    <m/>
    <m/>
    <m/>
    <m/>
    <m/>
    <m/>
    <m/>
    <m/>
    <m/>
    <m/>
    <m/>
    <m/>
    <m/>
  </r>
  <r>
    <n v="4405"/>
    <n v="54874"/>
    <d v="1999-07-27T00:00:00"/>
    <n v="26"/>
    <x v="0"/>
    <x v="1"/>
    <d v="2024-09-04T00:00:00"/>
    <n v="1.7917808219178082"/>
    <x v="21"/>
    <x v="0"/>
    <x v="11"/>
    <x v="1"/>
    <n v="17"/>
    <m/>
    <m/>
    <m/>
    <m/>
    <m/>
    <m/>
    <x v="4"/>
    <n v="1"/>
    <n v="3"/>
    <m/>
    <m/>
    <m/>
    <m/>
    <m/>
    <m/>
    <m/>
    <m/>
    <m/>
    <m/>
    <m/>
    <m/>
    <m/>
    <m/>
  </r>
  <r>
    <n v="4406"/>
    <n v="54875"/>
    <d v="2007-07-30T00:00:00"/>
    <n v="18"/>
    <x v="0"/>
    <x v="1"/>
    <d v="2024-03-17T00:00:00"/>
    <n v="1.0301369863013699"/>
    <x v="21"/>
    <x v="0"/>
    <x v="3"/>
    <x v="1"/>
    <n v="8.4700000000000006"/>
    <m/>
    <m/>
    <m/>
    <m/>
    <m/>
    <m/>
    <x v="4"/>
    <n v="2"/>
    <n v="6"/>
    <m/>
    <m/>
    <m/>
    <m/>
    <m/>
    <m/>
    <m/>
    <m/>
    <m/>
    <m/>
    <m/>
    <m/>
    <m/>
    <m/>
  </r>
  <r>
    <n v="4407"/>
    <n v="54876"/>
    <d v="2003-10-09T00:00:00"/>
    <n v="22"/>
    <x v="1"/>
    <x v="1"/>
    <d v="2024-12-20T00:00:00"/>
    <n v="1.2547945205479452"/>
    <x v="21"/>
    <x v="0"/>
    <x v="8"/>
    <x v="1"/>
    <n v="8.4700000000000006"/>
    <m/>
    <m/>
    <m/>
    <m/>
    <m/>
    <m/>
    <x v="3"/>
    <n v="1"/>
    <n v="6"/>
    <m/>
    <m/>
    <m/>
    <m/>
    <m/>
    <m/>
    <m/>
    <m/>
    <m/>
    <m/>
    <m/>
    <m/>
    <m/>
    <m/>
  </r>
  <r>
    <n v="4408"/>
    <n v="54877"/>
    <d v="2004-05-28T00:00:00"/>
    <n v="21"/>
    <x v="1"/>
    <x v="0"/>
    <d v="2024-09-29T00:00:00"/>
    <n v="1.5287671232876712"/>
    <x v="22"/>
    <x v="0"/>
    <x v="10"/>
    <x v="1"/>
    <n v="10.64"/>
    <m/>
    <m/>
    <m/>
    <m/>
    <m/>
    <m/>
    <x v="4"/>
    <n v="0"/>
    <n v="4"/>
    <m/>
    <m/>
    <m/>
    <m/>
    <m/>
    <m/>
    <m/>
    <m/>
    <m/>
    <m/>
    <m/>
    <m/>
    <m/>
    <m/>
  </r>
  <r>
    <n v="4409"/>
    <n v="54878"/>
    <d v="2004-08-19T00:00:00"/>
    <n v="21"/>
    <x v="1"/>
    <x v="1"/>
    <d v="2024-06-21T00:00:00"/>
    <n v="1.6986301369863013"/>
    <x v="23"/>
    <x v="0"/>
    <x v="10"/>
    <x v="1"/>
    <n v="10.64"/>
    <m/>
    <m/>
    <m/>
    <m/>
    <m/>
    <m/>
    <x v="1"/>
    <n v="1"/>
    <n v="5"/>
    <m/>
    <m/>
    <m/>
    <m/>
    <m/>
    <m/>
    <m/>
    <m/>
    <m/>
    <m/>
    <m/>
    <m/>
    <m/>
    <m/>
  </r>
  <r>
    <n v="4410"/>
    <n v="54879"/>
    <d v="1995-12-12T00:00:00"/>
    <n v="30"/>
    <x v="1"/>
    <x v="1"/>
    <d v="2024-04-20T00:00:00"/>
    <n v="1.2054794520547945"/>
    <x v="137"/>
    <x v="0"/>
    <x v="2"/>
    <x v="1"/>
    <n v="14.23"/>
    <m/>
    <m/>
    <m/>
    <m/>
    <m/>
    <m/>
    <x v="3"/>
    <n v="1"/>
    <n v="7"/>
    <m/>
    <m/>
    <m/>
    <m/>
    <m/>
    <m/>
    <m/>
    <m/>
    <m/>
    <m/>
    <m/>
    <m/>
    <m/>
    <m/>
  </r>
  <r>
    <n v="4411"/>
    <n v="54880"/>
    <d v="1998-07-15T00:00:00"/>
    <n v="27"/>
    <x v="1"/>
    <x v="0"/>
    <d v="2024-10-17T00:00:00"/>
    <n v="1.3150684931506849"/>
    <x v="137"/>
    <x v="0"/>
    <x v="8"/>
    <x v="1"/>
    <n v="8.4700000000000006"/>
    <m/>
    <m/>
    <m/>
    <m/>
    <m/>
    <m/>
    <x v="1"/>
    <n v="4"/>
    <n v="4"/>
    <m/>
    <m/>
    <m/>
    <m/>
    <m/>
    <m/>
    <m/>
    <m/>
    <m/>
    <m/>
    <m/>
    <m/>
    <m/>
    <m/>
  </r>
  <r>
    <n v="4412"/>
    <n v="54881"/>
    <d v="2004-04-16T00:00:00"/>
    <n v="21"/>
    <x v="1"/>
    <x v="1"/>
    <d v="2024-09-07T00:00:00"/>
    <n v="1.5397260273972602"/>
    <x v="28"/>
    <x v="0"/>
    <x v="9"/>
    <x v="1"/>
    <n v="14.07"/>
    <m/>
    <m/>
    <m/>
    <m/>
    <m/>
    <m/>
    <x v="1"/>
    <n v="0"/>
    <n v="5"/>
    <m/>
    <m/>
    <m/>
    <m/>
    <m/>
    <m/>
    <m/>
    <m/>
    <m/>
    <m/>
    <m/>
    <m/>
    <m/>
    <m/>
  </r>
  <r>
    <n v="4413"/>
    <n v="54882"/>
    <d v="1995-05-04T00:00:00"/>
    <n v="30"/>
    <x v="1"/>
    <x v="0"/>
    <d v="2024-06-17T00:00:00"/>
    <n v="1.2356164383561643"/>
    <x v="28"/>
    <x v="0"/>
    <x v="8"/>
    <x v="1"/>
    <n v="8.4700000000000006"/>
    <m/>
    <m/>
    <m/>
    <m/>
    <m/>
    <m/>
    <x v="1"/>
    <n v="2"/>
    <n v="6"/>
    <m/>
    <m/>
    <m/>
    <m/>
    <m/>
    <m/>
    <m/>
    <m/>
    <m/>
    <m/>
    <m/>
    <m/>
    <m/>
    <m/>
  </r>
  <r>
    <n v="4414"/>
    <n v="54883"/>
    <d v="1997-11-25T00:00:00"/>
    <n v="28"/>
    <x v="1"/>
    <x v="1"/>
    <d v="2024-10-06T00:00:00"/>
    <n v="1.4383561643835616"/>
    <x v="28"/>
    <x v="0"/>
    <x v="8"/>
    <x v="1"/>
    <n v="8.4700000000000006"/>
    <m/>
    <m/>
    <m/>
    <m/>
    <m/>
    <m/>
    <x v="4"/>
    <n v="1"/>
    <n v="6"/>
    <m/>
    <m/>
    <m/>
    <m/>
    <m/>
    <m/>
    <m/>
    <m/>
    <m/>
    <m/>
    <m/>
    <m/>
    <m/>
    <m/>
  </r>
  <r>
    <n v="4415"/>
    <n v="54884"/>
    <d v="1999-07-25T00:00:00"/>
    <n v="26"/>
    <x v="1"/>
    <x v="1"/>
    <d v="2024-07-24T00:00:00"/>
    <n v="1.3068493150684932"/>
    <x v="52"/>
    <x v="0"/>
    <x v="3"/>
    <x v="1"/>
    <n v="8.4700000000000006"/>
    <m/>
    <m/>
    <m/>
    <m/>
    <m/>
    <m/>
    <x v="3"/>
    <n v="1"/>
    <n v="5"/>
    <m/>
    <m/>
    <m/>
    <m/>
    <m/>
    <m/>
    <m/>
    <m/>
    <m/>
    <m/>
    <m/>
    <m/>
    <m/>
    <m/>
  </r>
  <r>
    <n v="4416"/>
    <n v="54885"/>
    <d v="2005-04-29T00:00:00"/>
    <n v="20"/>
    <x v="1"/>
    <x v="1"/>
    <d v="2024-09-10T00:00:00"/>
    <n v="1.2054794520547945"/>
    <x v="87"/>
    <x v="0"/>
    <x v="8"/>
    <x v="1"/>
    <n v="8.4700000000000006"/>
    <m/>
    <m/>
    <m/>
    <m/>
    <m/>
    <m/>
    <x v="1"/>
    <n v="2"/>
    <n v="6"/>
    <m/>
    <m/>
    <m/>
    <m/>
    <m/>
    <m/>
    <m/>
    <m/>
    <m/>
    <m/>
    <m/>
    <m/>
    <m/>
    <m/>
  </r>
  <r>
    <n v="4417"/>
    <n v="54886"/>
    <d v="2000-12-11T00:00:00"/>
    <n v="25"/>
    <x v="1"/>
    <x v="0"/>
    <d v="2024-10-17T00:00:00"/>
    <n v="1.4219178082191781"/>
    <x v="25"/>
    <x v="0"/>
    <x v="11"/>
    <x v="1"/>
    <n v="17"/>
    <m/>
    <m/>
    <m/>
    <m/>
    <m/>
    <m/>
    <x v="3"/>
    <n v="2"/>
    <n v="5"/>
    <m/>
    <m/>
    <m/>
    <m/>
    <m/>
    <m/>
    <m/>
    <m/>
    <m/>
    <m/>
    <m/>
    <m/>
    <m/>
    <m/>
  </r>
  <r>
    <n v="4418"/>
    <n v="54887"/>
    <d v="2006-12-14T00:00:00"/>
    <n v="19"/>
    <x v="1"/>
    <x v="1"/>
    <d v="2024-07-30T00:00:00"/>
    <n v="1.5917808219178082"/>
    <x v="25"/>
    <x v="0"/>
    <x v="3"/>
    <x v="1"/>
    <n v="8.4700000000000006"/>
    <m/>
    <m/>
    <m/>
    <m/>
    <m/>
    <m/>
    <x v="4"/>
    <n v="1"/>
    <n v="6"/>
    <m/>
    <m/>
    <m/>
    <m/>
    <m/>
    <m/>
    <m/>
    <m/>
    <m/>
    <m/>
    <m/>
    <m/>
    <m/>
    <m/>
  </r>
  <r>
    <n v="4419"/>
    <n v="54888"/>
    <d v="1997-09-30T00:00:00"/>
    <n v="28"/>
    <x v="1"/>
    <x v="1"/>
    <d v="2024-05-29T00:00:00"/>
    <n v="1.3287671232876712"/>
    <x v="25"/>
    <x v="0"/>
    <x v="3"/>
    <x v="1"/>
    <n v="8.4700000000000006"/>
    <m/>
    <m/>
    <m/>
    <m/>
    <m/>
    <m/>
    <x v="1"/>
    <n v="1"/>
    <n v="6"/>
    <m/>
    <m/>
    <m/>
    <m/>
    <m/>
    <m/>
    <m/>
    <m/>
    <m/>
    <m/>
    <m/>
    <m/>
    <m/>
    <m/>
  </r>
  <r>
    <n v="4420"/>
    <n v="54889"/>
    <d v="2004-08-08T00:00:00"/>
    <n v="21"/>
    <x v="1"/>
    <x v="1"/>
    <d v="2024-09-02T00:00:00"/>
    <n v="1.3972602739726028"/>
    <x v="25"/>
    <x v="0"/>
    <x v="8"/>
    <x v="1"/>
    <n v="8.4700000000000006"/>
    <m/>
    <m/>
    <m/>
    <m/>
    <m/>
    <m/>
    <x v="2"/>
    <n v="2"/>
    <n v="6"/>
    <m/>
    <m/>
    <m/>
    <m/>
    <m/>
    <m/>
    <m/>
    <m/>
    <m/>
    <m/>
    <m/>
    <m/>
    <m/>
    <m/>
  </r>
  <r>
    <n v="4421"/>
    <n v="54890"/>
    <d v="2002-09-01T00:00:00"/>
    <n v="24"/>
    <x v="1"/>
    <x v="0"/>
    <d v="2024-08-08T00:00:00"/>
    <n v="1.273972602739726"/>
    <x v="139"/>
    <x v="0"/>
    <x v="3"/>
    <x v="1"/>
    <n v="8.4700000000000006"/>
    <m/>
    <m/>
    <m/>
    <m/>
    <m/>
    <m/>
    <x v="3"/>
    <n v="4"/>
    <n v="6"/>
    <m/>
    <m/>
    <m/>
    <m/>
    <m/>
    <m/>
    <m/>
    <m/>
    <m/>
    <m/>
    <m/>
    <m/>
    <m/>
    <m/>
  </r>
  <r>
    <n v="4422"/>
    <n v="54891"/>
    <d v="1999-04-07T00:00:00"/>
    <n v="26"/>
    <x v="1"/>
    <x v="1"/>
    <d v="2024-09-22T00:00:00"/>
    <n v="1.7205479452054795"/>
    <x v="139"/>
    <x v="0"/>
    <x v="7"/>
    <x v="1"/>
    <n v="17.59"/>
    <m/>
    <m/>
    <m/>
    <m/>
    <m/>
    <m/>
    <x v="2"/>
    <n v="3"/>
    <n v="5"/>
    <m/>
    <m/>
    <m/>
    <m/>
    <m/>
    <m/>
    <m/>
    <m/>
    <m/>
    <m/>
    <m/>
    <m/>
    <m/>
    <m/>
  </r>
  <r>
    <n v="4423"/>
    <n v="54892"/>
    <d v="2005-12-24T00:00:00"/>
    <n v="20"/>
    <x v="1"/>
    <x v="1"/>
    <d v="2024-04-12T00:00:00"/>
    <n v="1.4465753424657535"/>
    <x v="139"/>
    <x v="0"/>
    <x v="8"/>
    <x v="1"/>
    <n v="8.4700000000000006"/>
    <m/>
    <m/>
    <m/>
    <m/>
    <m/>
    <m/>
    <x v="1"/>
    <n v="2"/>
    <n v="7"/>
    <m/>
    <m/>
    <m/>
    <m/>
    <m/>
    <m/>
    <m/>
    <m/>
    <m/>
    <m/>
    <m/>
    <m/>
    <m/>
    <m/>
  </r>
  <r>
    <n v="4424"/>
    <n v="54893"/>
    <d v="2003-10-02T00:00:00"/>
    <n v="22"/>
    <x v="1"/>
    <x v="1"/>
    <d v="2024-07-21T00:00:00"/>
    <n v="1.6794520547945206"/>
    <x v="139"/>
    <x v="0"/>
    <x v="8"/>
    <x v="1"/>
    <n v="8.4700000000000006"/>
    <m/>
    <m/>
    <m/>
    <m/>
    <m/>
    <m/>
    <x v="4"/>
    <n v="0"/>
    <n v="5"/>
    <m/>
    <m/>
    <m/>
    <m/>
    <m/>
    <m/>
    <m/>
    <m/>
    <m/>
    <m/>
    <m/>
    <m/>
    <m/>
    <m/>
  </r>
  <r>
    <n v="4425"/>
    <n v="54894"/>
    <d v="2005-04-20T00:00:00"/>
    <n v="20"/>
    <x v="0"/>
    <x v="0"/>
    <d v="2024-04-27T00:00:00"/>
    <n v="1.7068493150684931"/>
    <x v="49"/>
    <x v="0"/>
    <x v="8"/>
    <x v="1"/>
    <n v="8.4700000000000006"/>
    <m/>
    <m/>
    <m/>
    <m/>
    <m/>
    <m/>
    <x v="4"/>
    <n v="2"/>
    <n v="2"/>
    <m/>
    <m/>
    <m/>
    <m/>
    <m/>
    <m/>
    <m/>
    <m/>
    <m/>
    <m/>
    <m/>
    <m/>
    <m/>
    <m/>
  </r>
  <r>
    <n v="4426"/>
    <n v="54895"/>
    <d v="2005-10-15T00:00:00"/>
    <n v="20"/>
    <x v="1"/>
    <x v="1"/>
    <d v="2024-04-17T00:00:00"/>
    <n v="1.2054794520547945"/>
    <x v="49"/>
    <x v="0"/>
    <x v="8"/>
    <x v="1"/>
    <n v="8.4700000000000006"/>
    <m/>
    <m/>
    <m/>
    <m/>
    <m/>
    <m/>
    <x v="1"/>
    <n v="4"/>
    <n v="7"/>
    <m/>
    <m/>
    <m/>
    <m/>
    <m/>
    <m/>
    <m/>
    <m/>
    <m/>
    <m/>
    <m/>
    <m/>
    <m/>
    <m/>
  </r>
  <r>
    <n v="4427"/>
    <n v="54896"/>
    <d v="2002-09-22T00:00:00"/>
    <n v="23"/>
    <x v="1"/>
    <x v="1"/>
    <d v="2024-10-17T00:00:00"/>
    <n v="1.1397260273972603"/>
    <x v="47"/>
    <x v="0"/>
    <x v="11"/>
    <x v="1"/>
    <n v="17"/>
    <m/>
    <m/>
    <m/>
    <m/>
    <m/>
    <m/>
    <x v="1"/>
    <n v="2"/>
    <n v="4"/>
    <m/>
    <m/>
    <m/>
    <m/>
    <m/>
    <m/>
    <m/>
    <m/>
    <m/>
    <m/>
    <m/>
    <m/>
    <m/>
    <m/>
  </r>
  <r>
    <n v="4428"/>
    <n v="54897"/>
    <d v="2005-01-02T00:00:00"/>
    <n v="20"/>
    <x v="1"/>
    <x v="1"/>
    <d v="2024-11-10T00:00:00"/>
    <n v="1.1424657534246576"/>
    <x v="47"/>
    <x v="0"/>
    <x v="8"/>
    <x v="1"/>
    <n v="8.4700000000000006"/>
    <m/>
    <m/>
    <m/>
    <m/>
    <m/>
    <m/>
    <x v="2"/>
    <n v="1"/>
    <n v="5"/>
    <m/>
    <m/>
    <m/>
    <m/>
    <m/>
    <m/>
    <m/>
    <m/>
    <m/>
    <m/>
    <m/>
    <m/>
    <m/>
    <m/>
  </r>
  <r>
    <n v="4429"/>
    <n v="54898"/>
    <d v="1998-06-26T00:00:00"/>
    <n v="27"/>
    <x v="1"/>
    <x v="0"/>
    <d v="2024-11-09T00:00:00"/>
    <n v="1.1232876712328768"/>
    <x v="61"/>
    <x v="0"/>
    <x v="3"/>
    <x v="1"/>
    <n v="8.4700000000000006"/>
    <m/>
    <m/>
    <m/>
    <m/>
    <m/>
    <m/>
    <x v="1"/>
    <n v="1"/>
    <n v="6"/>
    <m/>
    <m/>
    <m/>
    <m/>
    <m/>
    <m/>
    <m/>
    <m/>
    <m/>
    <m/>
    <m/>
    <m/>
    <m/>
    <m/>
  </r>
  <r>
    <n v="4430"/>
    <n v="54899"/>
    <d v="2003-10-19T00:00:00"/>
    <n v="22"/>
    <x v="0"/>
    <x v="0"/>
    <d v="2024-11-16T00:00:00"/>
    <n v="1.4082191780821918"/>
    <x v="31"/>
    <x v="0"/>
    <x v="10"/>
    <x v="1"/>
    <n v="10.64"/>
    <m/>
    <m/>
    <m/>
    <m/>
    <m/>
    <m/>
    <x v="4"/>
    <n v="0"/>
    <n v="4"/>
    <m/>
    <m/>
    <m/>
    <m/>
    <m/>
    <m/>
    <m/>
    <m/>
    <m/>
    <m/>
    <m/>
    <m/>
    <m/>
    <m/>
  </r>
  <r>
    <n v="4431"/>
    <n v="54900"/>
    <d v="2000-04-08T00:00:00"/>
    <n v="25"/>
    <x v="1"/>
    <x v="1"/>
    <d v="2024-08-04T00:00:00"/>
    <n v="1.7972602739726027"/>
    <x v="31"/>
    <x v="0"/>
    <x v="3"/>
    <x v="1"/>
    <n v="8.4700000000000006"/>
    <m/>
    <m/>
    <m/>
    <m/>
    <m/>
    <m/>
    <x v="2"/>
    <n v="1"/>
    <n v="6"/>
    <m/>
    <m/>
    <m/>
    <m/>
    <m/>
    <m/>
    <m/>
    <m/>
    <m/>
    <m/>
    <m/>
    <m/>
    <m/>
    <m/>
  </r>
  <r>
    <n v="4432"/>
    <n v="54901"/>
    <d v="2004-12-05T00:00:00"/>
    <n v="21"/>
    <x v="1"/>
    <x v="1"/>
    <d v="2024-03-15T00:00:00"/>
    <n v="1.5561643835616439"/>
    <x v="31"/>
    <x v="0"/>
    <x v="8"/>
    <x v="1"/>
    <n v="8.4700000000000006"/>
    <m/>
    <m/>
    <m/>
    <m/>
    <m/>
    <m/>
    <x v="2"/>
    <n v="0"/>
    <n v="6"/>
    <m/>
    <m/>
    <m/>
    <m/>
    <m/>
    <m/>
    <m/>
    <m/>
    <m/>
    <m/>
    <m/>
    <m/>
    <m/>
    <m/>
  </r>
  <r>
    <n v="4433"/>
    <n v="54902"/>
    <d v="2002-06-19T00:00:00"/>
    <n v="23"/>
    <x v="0"/>
    <x v="0"/>
    <d v="2024-06-11T00:00:00"/>
    <n v="1.0246575342465754"/>
    <x v="32"/>
    <x v="0"/>
    <x v="2"/>
    <x v="1"/>
    <n v="14.23"/>
    <m/>
    <m/>
    <m/>
    <m/>
    <m/>
    <m/>
    <x v="4"/>
    <n v="0"/>
    <n v="4"/>
    <m/>
    <m/>
    <m/>
    <m/>
    <m/>
    <m/>
    <m/>
    <m/>
    <m/>
    <m/>
    <m/>
    <m/>
    <m/>
    <m/>
  </r>
  <r>
    <n v="4434"/>
    <n v="54903"/>
    <d v="1997-07-28T00:00:00"/>
    <n v="28"/>
    <x v="0"/>
    <x v="1"/>
    <d v="2024-12-22T00:00:00"/>
    <n v="1.6027397260273972"/>
    <x v="63"/>
    <x v="0"/>
    <x v="11"/>
    <x v="1"/>
    <n v="17"/>
    <m/>
    <m/>
    <m/>
    <m/>
    <m/>
    <m/>
    <x v="4"/>
    <n v="2"/>
    <n v="5"/>
    <m/>
    <m/>
    <m/>
    <m/>
    <m/>
    <m/>
    <m/>
    <m/>
    <m/>
    <m/>
    <m/>
    <m/>
    <m/>
    <m/>
  </r>
  <r>
    <n v="4435"/>
    <n v="54904"/>
    <d v="2001-09-06T00:00:00"/>
    <n v="24"/>
    <x v="1"/>
    <x v="1"/>
    <d v="2024-05-25T00:00:00"/>
    <n v="1.9068493150684931"/>
    <x v="63"/>
    <x v="0"/>
    <x v="3"/>
    <x v="1"/>
    <n v="8.4700000000000006"/>
    <m/>
    <m/>
    <m/>
    <m/>
    <m/>
    <m/>
    <x v="4"/>
    <n v="3"/>
    <n v="6"/>
    <m/>
    <m/>
    <m/>
    <m/>
    <m/>
    <m/>
    <m/>
    <m/>
    <m/>
    <m/>
    <m/>
    <m/>
    <m/>
    <m/>
  </r>
  <r>
    <n v="4436"/>
    <n v="54905"/>
    <d v="2000-12-22T00:00:00"/>
    <n v="25"/>
    <x v="1"/>
    <x v="0"/>
    <d v="2024-02-04T00:00:00"/>
    <n v="1.4657534246575343"/>
    <x v="63"/>
    <x v="0"/>
    <x v="8"/>
    <x v="1"/>
    <n v="8.4700000000000006"/>
    <m/>
    <m/>
    <m/>
    <m/>
    <m/>
    <m/>
    <x v="4"/>
    <n v="3"/>
    <n v="6"/>
    <m/>
    <m/>
    <m/>
    <m/>
    <m/>
    <m/>
    <m/>
    <m/>
    <m/>
    <m/>
    <m/>
    <m/>
    <m/>
    <m/>
  </r>
  <r>
    <n v="4437"/>
    <n v="54906"/>
    <d v="2004-06-23T00:00:00"/>
    <n v="21"/>
    <x v="0"/>
    <x v="1"/>
    <d v="2024-07-14T00:00:00"/>
    <n v="1.6356164383561644"/>
    <x v="33"/>
    <x v="0"/>
    <x v="10"/>
    <x v="1"/>
    <n v="10.64"/>
    <m/>
    <m/>
    <m/>
    <m/>
    <m/>
    <m/>
    <x v="3"/>
    <n v="0"/>
    <n v="2"/>
    <m/>
    <m/>
    <m/>
    <m/>
    <m/>
    <m/>
    <m/>
    <m/>
    <m/>
    <m/>
    <m/>
    <m/>
    <m/>
    <m/>
  </r>
  <r>
    <n v="4438"/>
    <n v="54907"/>
    <d v="1997-11-06T00:00:00"/>
    <n v="28"/>
    <x v="1"/>
    <x v="1"/>
    <d v="2024-05-13T00:00:00"/>
    <n v="1.4438356164383561"/>
    <x v="78"/>
    <x v="0"/>
    <x v="11"/>
    <x v="1"/>
    <n v="17"/>
    <m/>
    <m/>
    <m/>
    <m/>
    <m/>
    <m/>
    <x v="1"/>
    <n v="1"/>
    <n v="6"/>
    <m/>
    <m/>
    <m/>
    <m/>
    <m/>
    <m/>
    <m/>
    <m/>
    <m/>
    <m/>
    <m/>
    <m/>
    <m/>
    <m/>
  </r>
  <r>
    <n v="4439"/>
    <n v="54908"/>
    <d v="2001-09-21T00:00:00"/>
    <n v="24"/>
    <x v="1"/>
    <x v="0"/>
    <d v="2024-07-22T00:00:00"/>
    <n v="1.210958904109589"/>
    <x v="78"/>
    <x v="0"/>
    <x v="7"/>
    <x v="1"/>
    <n v="17.59"/>
    <m/>
    <m/>
    <m/>
    <m/>
    <m/>
    <m/>
    <x v="1"/>
    <n v="2"/>
    <n v="6"/>
    <m/>
    <m/>
    <m/>
    <m/>
    <m/>
    <m/>
    <m/>
    <m/>
    <m/>
    <m/>
    <m/>
    <m/>
    <m/>
    <m/>
  </r>
  <r>
    <n v="4440"/>
    <n v="54909"/>
    <d v="2003-11-05T00:00:00"/>
    <n v="22"/>
    <x v="0"/>
    <x v="1"/>
    <d v="2024-10-15T00:00:00"/>
    <n v="1.2684931506849315"/>
    <x v="83"/>
    <x v="0"/>
    <x v="2"/>
    <x v="1"/>
    <n v="14.23"/>
    <m/>
    <m/>
    <m/>
    <m/>
    <m/>
    <m/>
    <x v="3"/>
    <n v="1"/>
    <n v="5"/>
    <m/>
    <m/>
    <m/>
    <m/>
    <m/>
    <m/>
    <m/>
    <m/>
    <m/>
    <m/>
    <m/>
    <m/>
    <m/>
    <m/>
  </r>
  <r>
    <n v="4441"/>
    <n v="54910"/>
    <d v="1993-11-10T00:00:00"/>
    <n v="32"/>
    <x v="1"/>
    <x v="1"/>
    <d v="2024-09-24T00:00:00"/>
    <n v="1.3178082191780822"/>
    <x v="83"/>
    <x v="0"/>
    <x v="7"/>
    <x v="1"/>
    <n v="17.59"/>
    <m/>
    <m/>
    <m/>
    <m/>
    <m/>
    <m/>
    <x v="3"/>
    <n v="4"/>
    <n v="6"/>
    <m/>
    <m/>
    <m/>
    <m/>
    <m/>
    <m/>
    <m/>
    <m/>
    <m/>
    <m/>
    <m/>
    <m/>
    <m/>
    <m/>
  </r>
  <r>
    <n v="4442"/>
    <n v="54911"/>
    <d v="2004-09-09T00:00:00"/>
    <n v="21"/>
    <x v="1"/>
    <x v="1"/>
    <d v="2024-09-06T00:00:00"/>
    <n v="1.3041095890410959"/>
    <x v="50"/>
    <x v="0"/>
    <x v="8"/>
    <x v="1"/>
    <n v="8.4700000000000006"/>
    <m/>
    <m/>
    <m/>
    <m/>
    <m/>
    <m/>
    <x v="2"/>
    <n v="2"/>
    <n v="6"/>
    <m/>
    <m/>
    <m/>
    <m/>
    <m/>
    <m/>
    <m/>
    <m/>
    <m/>
    <m/>
    <m/>
    <m/>
    <m/>
    <m/>
  </r>
  <r>
    <n v="4443"/>
    <n v="54912"/>
    <d v="1999-03-08T00:00:00"/>
    <n v="26"/>
    <x v="0"/>
    <x v="0"/>
    <d v="2024-09-11T00:00:00"/>
    <n v="1.5424657534246575"/>
    <x v="34"/>
    <x v="0"/>
    <x v="10"/>
    <x v="1"/>
    <n v="10.64"/>
    <m/>
    <m/>
    <m/>
    <m/>
    <m/>
    <m/>
    <x v="1"/>
    <n v="0"/>
    <n v="4"/>
    <m/>
    <m/>
    <m/>
    <m/>
    <m/>
    <m/>
    <m/>
    <m/>
    <m/>
    <m/>
    <m/>
    <m/>
    <m/>
    <m/>
  </r>
  <r>
    <n v="4444"/>
    <n v="54913"/>
    <d v="2003-07-18T00:00:00"/>
    <n v="22"/>
    <x v="1"/>
    <x v="0"/>
    <d v="2024-06-16T00:00:00"/>
    <n v="1.3095890410958904"/>
    <x v="34"/>
    <x v="0"/>
    <x v="8"/>
    <x v="1"/>
    <n v="8.4700000000000006"/>
    <m/>
    <m/>
    <m/>
    <m/>
    <m/>
    <m/>
    <x v="4"/>
    <n v="2"/>
    <n v="5"/>
    <m/>
    <m/>
    <m/>
    <m/>
    <m/>
    <m/>
    <m/>
    <m/>
    <m/>
    <m/>
    <m/>
    <m/>
    <m/>
    <m/>
  </r>
  <r>
    <n v="4445"/>
    <n v="54914"/>
    <d v="2003-05-26T00:00:00"/>
    <n v="22"/>
    <x v="0"/>
    <x v="1"/>
    <d v="2024-09-09T00:00:00"/>
    <n v="1.0602739726027397"/>
    <x v="34"/>
    <x v="0"/>
    <x v="8"/>
    <x v="1"/>
    <n v="8.4700000000000006"/>
    <m/>
    <m/>
    <m/>
    <m/>
    <m/>
    <m/>
    <x v="4"/>
    <n v="0"/>
    <n v="3"/>
    <m/>
    <m/>
    <m/>
    <m/>
    <m/>
    <m/>
    <m/>
    <m/>
    <m/>
    <m/>
    <m/>
    <m/>
    <m/>
    <m/>
  </r>
  <r>
    <n v="4446"/>
    <n v="54915"/>
    <d v="2003-09-07T00:00:00"/>
    <n v="22"/>
    <x v="1"/>
    <x v="0"/>
    <d v="2024-12-09T00:00:00"/>
    <n v="1.6136986301369862"/>
    <x v="136"/>
    <x v="0"/>
    <x v="8"/>
    <x v="1"/>
    <n v="8.4700000000000006"/>
    <m/>
    <m/>
    <m/>
    <m/>
    <m/>
    <m/>
    <x v="4"/>
    <n v="0"/>
    <n v="5"/>
    <m/>
    <m/>
    <m/>
    <m/>
    <m/>
    <m/>
    <m/>
    <m/>
    <m/>
    <m/>
    <m/>
    <m/>
    <m/>
    <m/>
  </r>
  <r>
    <n v="4447"/>
    <n v="54916"/>
    <d v="2000-10-23T00:00:00"/>
    <n v="25"/>
    <x v="1"/>
    <x v="1"/>
    <d v="2024-05-21T00:00:00"/>
    <n v="1.0794520547945206"/>
    <x v="143"/>
    <x v="0"/>
    <x v="11"/>
    <x v="1"/>
    <n v="17"/>
    <m/>
    <m/>
    <m/>
    <m/>
    <m/>
    <m/>
    <x v="4"/>
    <n v="3"/>
    <n v="5"/>
    <m/>
    <m/>
    <m/>
    <m/>
    <m/>
    <m/>
    <m/>
    <m/>
    <m/>
    <m/>
    <m/>
    <m/>
    <m/>
    <m/>
  </r>
  <r>
    <n v="4448"/>
    <n v="54917"/>
    <d v="1996-10-06T00:00:00"/>
    <n v="29"/>
    <x v="0"/>
    <x v="1"/>
    <d v="2024-12-02T00:00:00"/>
    <n v="1.789041095890411"/>
    <x v="143"/>
    <x v="0"/>
    <x v="6"/>
    <x v="1"/>
    <n v="23.78"/>
    <m/>
    <m/>
    <m/>
    <m/>
    <m/>
    <m/>
    <x v="1"/>
    <n v="7"/>
    <n v="3"/>
    <m/>
    <m/>
    <m/>
    <m/>
    <m/>
    <m/>
    <m/>
    <m/>
    <m/>
    <m/>
    <m/>
    <m/>
    <m/>
    <m/>
  </r>
  <r>
    <n v="4449"/>
    <n v="54918"/>
    <d v="2007-06-20T00:00:00"/>
    <n v="18"/>
    <x v="1"/>
    <x v="0"/>
    <d v="2024-03-18T00:00:00"/>
    <n v="1.2821917808219179"/>
    <x v="143"/>
    <x v="0"/>
    <x v="8"/>
    <x v="1"/>
    <n v="8.4700000000000006"/>
    <m/>
    <m/>
    <m/>
    <m/>
    <m/>
    <m/>
    <x v="4"/>
    <n v="2"/>
    <n v="5"/>
    <m/>
    <m/>
    <m/>
    <m/>
    <m/>
    <m/>
    <m/>
    <m/>
    <m/>
    <m/>
    <m/>
    <m/>
    <m/>
    <m/>
  </r>
  <r>
    <n v="4450"/>
    <n v="54919"/>
    <d v="2006-08-24T00:00:00"/>
    <n v="19"/>
    <x v="1"/>
    <x v="1"/>
    <d v="2024-09-19T00:00:00"/>
    <n v="1.210958904109589"/>
    <x v="143"/>
    <x v="0"/>
    <x v="8"/>
    <x v="1"/>
    <n v="8.4700000000000006"/>
    <m/>
    <m/>
    <m/>
    <m/>
    <m/>
    <m/>
    <x v="3"/>
    <n v="1"/>
    <n v="6"/>
    <m/>
    <m/>
    <m/>
    <m/>
    <m/>
    <m/>
    <m/>
    <m/>
    <m/>
    <m/>
    <m/>
    <m/>
    <m/>
    <m/>
  </r>
  <r>
    <n v="4451"/>
    <n v="54921"/>
    <d v="2003-02-18T00:00:00"/>
    <n v="22"/>
    <x v="1"/>
    <x v="1"/>
    <d v="2024-10-15T00:00:00"/>
    <n v="1.0356164383561643"/>
    <x v="35"/>
    <x v="0"/>
    <x v="8"/>
    <x v="1"/>
    <n v="8.4700000000000006"/>
    <m/>
    <m/>
    <m/>
    <m/>
    <m/>
    <m/>
    <x v="4"/>
    <n v="3"/>
    <n v="7"/>
    <m/>
    <m/>
    <m/>
    <m/>
    <m/>
    <m/>
    <m/>
    <m/>
    <m/>
    <m/>
    <m/>
    <m/>
    <m/>
    <m/>
  </r>
  <r>
    <n v="4452"/>
    <n v="54922"/>
    <d v="2000-12-19T00:00:00"/>
    <n v="25"/>
    <x v="1"/>
    <x v="1"/>
    <d v="2024-12-18T00:00:00"/>
    <n v="1.5123287671232877"/>
    <x v="35"/>
    <x v="0"/>
    <x v="8"/>
    <x v="1"/>
    <n v="8.4700000000000006"/>
    <m/>
    <m/>
    <m/>
    <m/>
    <m/>
    <m/>
    <x v="4"/>
    <n v="2"/>
    <n v="6"/>
    <m/>
    <m/>
    <m/>
    <m/>
    <m/>
    <m/>
    <m/>
    <m/>
    <m/>
    <m/>
    <m/>
    <m/>
    <m/>
    <m/>
  </r>
  <r>
    <n v="4453"/>
    <n v="54923"/>
    <d v="2005-10-28T00:00:00"/>
    <n v="20"/>
    <x v="1"/>
    <x v="0"/>
    <d v="2024-06-27T00:00:00"/>
    <n v="1.4575342465753425"/>
    <x v="35"/>
    <x v="0"/>
    <x v="8"/>
    <x v="1"/>
    <n v="8.4700000000000006"/>
    <m/>
    <m/>
    <m/>
    <m/>
    <m/>
    <m/>
    <x v="1"/>
    <n v="4"/>
    <n v="7"/>
    <m/>
    <m/>
    <m/>
    <m/>
    <m/>
    <m/>
    <m/>
    <m/>
    <m/>
    <m/>
    <m/>
    <m/>
    <m/>
    <m/>
  </r>
  <r>
    <n v="4454"/>
    <n v="54924"/>
    <d v="2006-04-09T00:00:00"/>
    <n v="19"/>
    <x v="1"/>
    <x v="0"/>
    <d v="2024-07-17T00:00:00"/>
    <n v="1.3095890410958904"/>
    <x v="36"/>
    <x v="0"/>
    <x v="8"/>
    <x v="1"/>
    <n v="8.4700000000000006"/>
    <m/>
    <m/>
    <m/>
    <m/>
    <m/>
    <m/>
    <x v="2"/>
    <n v="0"/>
    <n v="5"/>
    <m/>
    <m/>
    <m/>
    <m/>
    <m/>
    <m/>
    <m/>
    <m/>
    <m/>
    <m/>
    <m/>
    <m/>
    <m/>
    <m/>
  </r>
  <r>
    <n v="4455"/>
    <n v="54925"/>
    <d v="2003-07-07T00:00:00"/>
    <n v="22"/>
    <x v="1"/>
    <x v="1"/>
    <d v="2024-09-09T00:00:00"/>
    <n v="1"/>
    <x v="57"/>
    <x v="0"/>
    <x v="10"/>
    <x v="1"/>
    <n v="10.64"/>
    <m/>
    <m/>
    <m/>
    <m/>
    <m/>
    <m/>
    <x v="3"/>
    <n v="0"/>
    <n v="5"/>
    <m/>
    <m/>
    <m/>
    <m/>
    <m/>
    <m/>
    <m/>
    <m/>
    <m/>
    <m/>
    <m/>
    <m/>
    <m/>
    <m/>
  </r>
  <r>
    <n v="4456"/>
    <n v="54926"/>
    <d v="2000-05-24T00:00:00"/>
    <n v="25"/>
    <x v="1"/>
    <x v="0"/>
    <d v="2024-12-31T00:00:00"/>
    <n v="1.726027397260274"/>
    <x v="57"/>
    <x v="0"/>
    <x v="3"/>
    <x v="1"/>
    <n v="8.4700000000000006"/>
    <m/>
    <m/>
    <m/>
    <m/>
    <m/>
    <m/>
    <x v="2"/>
    <n v="2"/>
    <n v="5"/>
    <m/>
    <m/>
    <m/>
    <m/>
    <m/>
    <m/>
    <m/>
    <m/>
    <m/>
    <m/>
    <m/>
    <m/>
    <m/>
    <m/>
  </r>
  <r>
    <n v="4457"/>
    <n v="54927"/>
    <d v="2005-10-23T00:00:00"/>
    <n v="20"/>
    <x v="1"/>
    <x v="1"/>
    <d v="2024-04-10T00:00:00"/>
    <n v="1.7808219178082192"/>
    <x v="141"/>
    <x v="0"/>
    <x v="10"/>
    <x v="1"/>
    <n v="10.64"/>
    <m/>
    <m/>
    <m/>
    <m/>
    <m/>
    <m/>
    <x v="4"/>
    <n v="0"/>
    <n v="5"/>
    <m/>
    <m/>
    <m/>
    <m/>
    <m/>
    <m/>
    <m/>
    <m/>
    <m/>
    <m/>
    <m/>
    <m/>
    <m/>
    <m/>
  </r>
  <r>
    <n v="4458"/>
    <n v="54928"/>
    <d v="1999-09-29T00:00:00"/>
    <n v="26"/>
    <x v="0"/>
    <x v="0"/>
    <d v="2024-03-21T00:00:00"/>
    <n v="1.2410958904109588"/>
    <x v="141"/>
    <x v="0"/>
    <x v="2"/>
    <x v="1"/>
    <n v="14.23"/>
    <m/>
    <m/>
    <m/>
    <m/>
    <m/>
    <m/>
    <x v="3"/>
    <n v="0"/>
    <n v="4"/>
    <m/>
    <m/>
    <m/>
    <m/>
    <m/>
    <m/>
    <m/>
    <m/>
    <m/>
    <m/>
    <m/>
    <m/>
    <m/>
    <m/>
  </r>
  <r>
    <n v="4459"/>
    <n v="54929"/>
    <d v="1996-05-21T00:00:00"/>
    <n v="29"/>
    <x v="0"/>
    <x v="1"/>
    <d v="2024-10-04T00:00:00"/>
    <n v="1.1041095890410959"/>
    <x v="141"/>
    <x v="0"/>
    <x v="7"/>
    <x v="1"/>
    <n v="17.59"/>
    <m/>
    <m/>
    <m/>
    <m/>
    <m/>
    <m/>
    <x v="1"/>
    <n v="4"/>
    <n v="6"/>
    <m/>
    <m/>
    <m/>
    <m/>
    <m/>
    <m/>
    <m/>
    <m/>
    <m/>
    <m/>
    <m/>
    <m/>
    <m/>
    <m/>
  </r>
  <r>
    <n v="4460"/>
    <n v="54930"/>
    <d v="1999-01-21T00:00:00"/>
    <n v="26"/>
    <x v="1"/>
    <x v="1"/>
    <d v="2024-11-23T00:00:00"/>
    <n v="1.3808219178082193"/>
    <x v="55"/>
    <x v="0"/>
    <x v="3"/>
    <x v="1"/>
    <n v="8.4700000000000006"/>
    <m/>
    <m/>
    <m/>
    <m/>
    <m/>
    <m/>
    <x v="4"/>
    <n v="2"/>
    <n v="5"/>
    <m/>
    <m/>
    <m/>
    <m/>
    <m/>
    <m/>
    <m/>
    <m/>
    <m/>
    <m/>
    <m/>
    <m/>
    <m/>
    <m/>
  </r>
  <r>
    <n v="4461"/>
    <n v="54931"/>
    <d v="2006-01-09T00:00:00"/>
    <n v="19"/>
    <x v="1"/>
    <x v="0"/>
    <d v="2024-08-14T00:00:00"/>
    <n v="1.8027397260273972"/>
    <x v="55"/>
    <x v="0"/>
    <x v="3"/>
    <x v="1"/>
    <n v="8.4700000000000006"/>
    <m/>
    <m/>
    <m/>
    <m/>
    <m/>
    <m/>
    <x v="4"/>
    <n v="4"/>
    <n v="6"/>
    <m/>
    <m/>
    <m/>
    <m/>
    <m/>
    <m/>
    <m/>
    <m/>
    <m/>
    <m/>
    <m/>
    <m/>
    <m/>
    <m/>
  </r>
  <r>
    <n v="4462"/>
    <n v="54932"/>
    <d v="2004-11-15T00:00:00"/>
    <n v="21"/>
    <x v="1"/>
    <x v="1"/>
    <d v="2024-03-13T00:00:00"/>
    <n v="1.558904109589041"/>
    <x v="55"/>
    <x v="0"/>
    <x v="8"/>
    <x v="1"/>
    <n v="8.4700000000000006"/>
    <m/>
    <m/>
    <m/>
    <m/>
    <m/>
    <m/>
    <x v="1"/>
    <n v="1"/>
    <n v="6"/>
    <m/>
    <m/>
    <m/>
    <m/>
    <m/>
    <m/>
    <m/>
    <m/>
    <m/>
    <m/>
    <m/>
    <m/>
    <m/>
    <m/>
  </r>
  <r>
    <n v="4463"/>
    <n v="54933"/>
    <d v="1995-08-22T00:00:00"/>
    <n v="30"/>
    <x v="0"/>
    <x v="1"/>
    <d v="2024-06-10T00:00:00"/>
    <n v="1.2301369863013698"/>
    <x v="144"/>
    <x v="0"/>
    <x v="6"/>
    <x v="1"/>
    <n v="23.78"/>
    <m/>
    <m/>
    <m/>
    <m/>
    <m/>
    <m/>
    <x v="4"/>
    <n v="7"/>
    <n v="6"/>
    <m/>
    <m/>
    <m/>
    <m/>
    <m/>
    <m/>
    <m/>
    <m/>
    <m/>
    <m/>
    <m/>
    <m/>
    <m/>
    <m/>
  </r>
  <r>
    <n v="4464"/>
    <n v="54935"/>
    <d v="2006-01-07T00:00:00"/>
    <n v="19"/>
    <x v="1"/>
    <x v="1"/>
    <d v="2024-10-08T00:00:00"/>
    <n v="1.4054794520547946"/>
    <x v="41"/>
    <x v="0"/>
    <x v="8"/>
    <x v="1"/>
    <n v="8.4700000000000006"/>
    <m/>
    <m/>
    <m/>
    <m/>
    <m/>
    <m/>
    <x v="3"/>
    <n v="2"/>
    <n v="6"/>
    <m/>
    <m/>
    <m/>
    <m/>
    <m/>
    <m/>
    <m/>
    <m/>
    <m/>
    <m/>
    <m/>
    <m/>
    <m/>
    <m/>
  </r>
  <r>
    <n v="4465"/>
    <n v="54936"/>
    <d v="2002-12-16T00:00:00"/>
    <n v="23"/>
    <x v="1"/>
    <x v="1"/>
    <d v="2024-08-05T00:00:00"/>
    <n v="1.3178082191780822"/>
    <x v="41"/>
    <x v="0"/>
    <x v="8"/>
    <x v="1"/>
    <n v="8.4700000000000006"/>
    <m/>
    <m/>
    <m/>
    <m/>
    <m/>
    <m/>
    <x v="1"/>
    <n v="2"/>
    <n v="7"/>
    <m/>
    <m/>
    <m/>
    <m/>
    <m/>
    <m/>
    <m/>
    <m/>
    <m/>
    <m/>
    <m/>
    <m/>
    <m/>
    <m/>
  </r>
  <r>
    <n v="4466"/>
    <n v="54937"/>
    <d v="2005-01-30T00:00:00"/>
    <n v="20"/>
    <x v="0"/>
    <x v="1"/>
    <d v="2024-09-06T00:00:00"/>
    <n v="1.2219178082191782"/>
    <x v="41"/>
    <x v="0"/>
    <x v="8"/>
    <x v="1"/>
    <n v="8.4700000000000006"/>
    <m/>
    <m/>
    <m/>
    <m/>
    <m/>
    <m/>
    <x v="4"/>
    <n v="4"/>
    <n v="5"/>
    <m/>
    <m/>
    <m/>
    <m/>
    <m/>
    <m/>
    <m/>
    <m/>
    <m/>
    <m/>
    <m/>
    <m/>
    <m/>
    <m/>
  </r>
  <r>
    <n v="4467"/>
    <n v="54938"/>
    <d v="2001-12-28T00:00:00"/>
    <n v="24"/>
    <x v="0"/>
    <x v="1"/>
    <d v="2024-10-11T00:00:00"/>
    <n v="1.0821917808219179"/>
    <x v="73"/>
    <x v="0"/>
    <x v="7"/>
    <x v="1"/>
    <n v="17.59"/>
    <m/>
    <m/>
    <m/>
    <m/>
    <m/>
    <m/>
    <x v="2"/>
    <n v="0"/>
    <n v="4"/>
    <m/>
    <m/>
    <m/>
    <m/>
    <m/>
    <m/>
    <m/>
    <m/>
    <m/>
    <m/>
    <m/>
    <m/>
    <m/>
    <m/>
  </r>
  <r>
    <n v="4468"/>
    <n v="54939"/>
    <d v="2002-06-26T00:00:00"/>
    <n v="23"/>
    <x v="1"/>
    <x v="1"/>
    <d v="2024-12-01T00:00:00"/>
    <n v="1.1698630136986301"/>
    <x v="73"/>
    <x v="0"/>
    <x v="8"/>
    <x v="1"/>
    <n v="8.4700000000000006"/>
    <m/>
    <m/>
    <m/>
    <m/>
    <m/>
    <m/>
    <x v="4"/>
    <n v="2"/>
    <n v="7"/>
    <m/>
    <m/>
    <m/>
    <m/>
    <m/>
    <m/>
    <m/>
    <m/>
    <m/>
    <m/>
    <m/>
    <m/>
    <m/>
    <m/>
  </r>
  <r>
    <n v="4469"/>
    <n v="54941"/>
    <d v="2004-09-30T00:00:00"/>
    <n v="21"/>
    <x v="0"/>
    <x v="1"/>
    <d v="2024-10-30T00:00:00"/>
    <n v="1.0602739726027397"/>
    <x v="142"/>
    <x v="0"/>
    <x v="10"/>
    <x v="1"/>
    <n v="10.64"/>
    <m/>
    <m/>
    <m/>
    <m/>
    <m/>
    <m/>
    <x v="1"/>
    <n v="0"/>
    <n v="4"/>
    <m/>
    <m/>
    <m/>
    <m/>
    <m/>
    <m/>
    <m/>
    <m/>
    <m/>
    <m/>
    <m/>
    <m/>
    <m/>
    <m/>
  </r>
  <r>
    <n v="4470"/>
    <n v="54942"/>
    <d v="2004-01-18T00:00:00"/>
    <n v="21"/>
    <x v="0"/>
    <x v="1"/>
    <d v="2024-12-09T00:00:00"/>
    <n v="1.0054794520547945"/>
    <x v="59"/>
    <x v="0"/>
    <x v="8"/>
    <x v="1"/>
    <n v="8.4700000000000006"/>
    <m/>
    <m/>
    <m/>
    <m/>
    <m/>
    <m/>
    <x v="2"/>
    <n v="4"/>
    <n v="6"/>
    <m/>
    <m/>
    <m/>
    <m/>
    <m/>
    <m/>
    <m/>
    <m/>
    <m/>
    <m/>
    <m/>
    <m/>
    <m/>
    <m/>
  </r>
  <r>
    <n v="4471"/>
    <n v="54943"/>
    <d v="2005-08-20T00:00:00"/>
    <n v="20"/>
    <x v="1"/>
    <x v="1"/>
    <d v="2024-12-29T00:00:00"/>
    <n v="1.8958904109589041"/>
    <x v="37"/>
    <x v="0"/>
    <x v="8"/>
    <x v="1"/>
    <n v="8.4700000000000006"/>
    <m/>
    <m/>
    <m/>
    <m/>
    <m/>
    <m/>
    <x v="4"/>
    <n v="0"/>
    <n v="5"/>
    <m/>
    <m/>
    <m/>
    <m/>
    <m/>
    <m/>
    <m/>
    <m/>
    <m/>
    <m/>
    <m/>
    <m/>
    <m/>
    <m/>
  </r>
  <r>
    <n v="4472"/>
    <n v="54944"/>
    <d v="2004-06-22T00:00:00"/>
    <n v="21"/>
    <x v="1"/>
    <x v="1"/>
    <d v="2024-02-08T00:00:00"/>
    <n v="1.3863013698630138"/>
    <x v="77"/>
    <x v="0"/>
    <x v="8"/>
    <x v="1"/>
    <n v="8.4700000000000006"/>
    <m/>
    <m/>
    <m/>
    <m/>
    <m/>
    <m/>
    <x v="1"/>
    <n v="2"/>
    <n v="7"/>
    <m/>
    <m/>
    <m/>
    <m/>
    <m/>
    <m/>
    <m/>
    <m/>
    <m/>
    <m/>
    <m/>
    <m/>
    <m/>
    <m/>
  </r>
  <r>
    <n v="4473"/>
    <n v="54945"/>
    <d v="1998-12-21T00:00:00"/>
    <n v="27"/>
    <x v="1"/>
    <x v="1"/>
    <d v="2024-08-12T00:00:00"/>
    <n v="1.4575342465753425"/>
    <x v="38"/>
    <x v="0"/>
    <x v="3"/>
    <x v="1"/>
    <n v="8.4700000000000006"/>
    <m/>
    <m/>
    <m/>
    <m/>
    <m/>
    <m/>
    <x v="4"/>
    <n v="1"/>
    <n v="6"/>
    <m/>
    <m/>
    <m/>
    <m/>
    <m/>
    <m/>
    <m/>
    <m/>
    <m/>
    <m/>
    <m/>
    <m/>
    <m/>
    <m/>
  </r>
  <r>
    <n v="4474"/>
    <n v="54946"/>
    <d v="1984-05-02T00:00:00"/>
    <n v="41"/>
    <x v="1"/>
    <x v="1"/>
    <d v="2024-07-17T00:00:00"/>
    <n v="1.0547945205479452"/>
    <x v="40"/>
    <x v="1"/>
    <x v="2"/>
    <x v="1"/>
    <n v="14.23"/>
    <m/>
    <m/>
    <m/>
    <m/>
    <m/>
    <m/>
    <x v="1"/>
    <n v="0"/>
    <n v="5"/>
    <m/>
    <m/>
    <m/>
    <m/>
    <m/>
    <m/>
    <m/>
    <m/>
    <m/>
    <m/>
    <m/>
    <m/>
    <m/>
    <m/>
  </r>
  <r>
    <n v="4475"/>
    <n v="54947"/>
    <d v="2004-03-13T00:00:00"/>
    <n v="21"/>
    <x v="0"/>
    <x v="1"/>
    <d v="2024-12-11T00:00:00"/>
    <n v="1.5315068493150685"/>
    <x v="43"/>
    <x v="1"/>
    <x v="10"/>
    <x v="1"/>
    <n v="10.64"/>
    <m/>
    <m/>
    <m/>
    <m/>
    <m/>
    <m/>
    <x v="4"/>
    <n v="1"/>
    <n v="5"/>
    <m/>
    <m/>
    <m/>
    <m/>
    <m/>
    <m/>
    <m/>
    <m/>
    <m/>
    <m/>
    <m/>
    <m/>
    <m/>
    <m/>
  </r>
  <r>
    <n v="4476"/>
    <n v="54948"/>
    <d v="2004-08-07T00:00:00"/>
    <n v="21"/>
    <x v="1"/>
    <x v="1"/>
    <d v="2024-06-20T00:00:00"/>
    <n v="1.0465753424657533"/>
    <x v="43"/>
    <x v="1"/>
    <x v="8"/>
    <x v="1"/>
    <n v="8.4700000000000006"/>
    <m/>
    <m/>
    <m/>
    <m/>
    <m/>
    <m/>
    <x v="1"/>
    <n v="1"/>
    <n v="6"/>
    <m/>
    <m/>
    <m/>
    <m/>
    <m/>
    <m/>
    <m/>
    <m/>
    <m/>
    <m/>
    <m/>
    <m/>
    <m/>
    <m/>
  </r>
  <r>
    <n v="4477"/>
    <n v="54949"/>
    <d v="2002-05-13T00:00:00"/>
    <n v="23"/>
    <x v="1"/>
    <x v="1"/>
    <d v="2024-12-14T00:00:00"/>
    <n v="1.7698630136986302"/>
    <x v="43"/>
    <x v="1"/>
    <x v="8"/>
    <x v="1"/>
    <n v="8.4700000000000006"/>
    <m/>
    <m/>
    <m/>
    <m/>
    <m/>
    <m/>
    <x v="1"/>
    <n v="3"/>
    <n v="7"/>
    <m/>
    <m/>
    <m/>
    <m/>
    <m/>
    <m/>
    <m/>
    <m/>
    <m/>
    <m/>
    <m/>
    <m/>
    <m/>
    <m/>
  </r>
  <r>
    <n v="4478"/>
    <n v="54950"/>
    <d v="2002-01-18T00:00:00"/>
    <n v="23"/>
    <x v="1"/>
    <x v="1"/>
    <d v="2024-03-25T00:00:00"/>
    <n v="1.6301369863013699"/>
    <x v="104"/>
    <x v="1"/>
    <x v="8"/>
    <x v="1"/>
    <n v="8.4700000000000006"/>
    <m/>
    <m/>
    <m/>
    <m/>
    <m/>
    <m/>
    <x v="3"/>
    <n v="0"/>
    <n v="6"/>
    <m/>
    <m/>
    <m/>
    <m/>
    <m/>
    <m/>
    <m/>
    <m/>
    <m/>
    <m/>
    <m/>
    <m/>
    <m/>
    <m/>
  </r>
  <r>
    <n v="4479"/>
    <n v="54951"/>
    <d v="2004-06-12T00:00:00"/>
    <n v="21"/>
    <x v="1"/>
    <x v="1"/>
    <d v="2024-05-15T00:00:00"/>
    <n v="1.6465753424657534"/>
    <x v="104"/>
    <x v="1"/>
    <x v="8"/>
    <x v="1"/>
    <n v="8.4700000000000006"/>
    <m/>
    <m/>
    <m/>
    <m/>
    <m/>
    <m/>
    <x v="4"/>
    <n v="1"/>
    <n v="5"/>
    <m/>
    <m/>
    <m/>
    <m/>
    <m/>
    <m/>
    <m/>
    <m/>
    <m/>
    <m/>
    <m/>
    <m/>
    <m/>
    <m/>
  </r>
  <r>
    <n v="4480"/>
    <n v="54952"/>
    <d v="2006-09-26T00:00:00"/>
    <n v="19"/>
    <x v="1"/>
    <x v="1"/>
    <d v="2024-05-09T00:00:00"/>
    <n v="1.5232876712328767"/>
    <x v="104"/>
    <x v="1"/>
    <x v="8"/>
    <x v="1"/>
    <n v="8.4700000000000006"/>
    <m/>
    <m/>
    <m/>
    <m/>
    <m/>
    <m/>
    <x v="4"/>
    <n v="1"/>
    <n v="5"/>
    <m/>
    <m/>
    <m/>
    <m/>
    <m/>
    <m/>
    <m/>
    <m/>
    <m/>
    <m/>
    <m/>
    <m/>
    <m/>
    <m/>
  </r>
  <r>
    <n v="4481"/>
    <n v="54953"/>
    <d v="1997-04-06T00:00:00"/>
    <n v="28"/>
    <x v="1"/>
    <x v="1"/>
    <d v="2024-06-23T00:00:00"/>
    <n v="1.7780821917808218"/>
    <x v="104"/>
    <x v="1"/>
    <x v="8"/>
    <x v="1"/>
    <n v="8.4700000000000006"/>
    <m/>
    <m/>
    <m/>
    <m/>
    <m/>
    <m/>
    <x v="1"/>
    <n v="2"/>
    <n v="6"/>
    <m/>
    <m/>
    <m/>
    <m/>
    <m/>
    <m/>
    <m/>
    <m/>
    <m/>
    <m/>
    <m/>
    <m/>
    <m/>
    <m/>
  </r>
  <r>
    <n v="4482"/>
    <n v="54954"/>
    <d v="2002-04-29T00:00:00"/>
    <n v="23"/>
    <x v="1"/>
    <x v="1"/>
    <d v="2024-03-22T00:00:00"/>
    <n v="1.7068493150684931"/>
    <x v="44"/>
    <x v="1"/>
    <x v="8"/>
    <x v="1"/>
    <n v="8.4700000000000006"/>
    <m/>
    <m/>
    <m/>
    <m/>
    <m/>
    <m/>
    <x v="1"/>
    <n v="1"/>
    <n v="5"/>
    <m/>
    <m/>
    <m/>
    <m/>
    <m/>
    <m/>
    <m/>
    <m/>
    <m/>
    <m/>
    <m/>
    <m/>
    <m/>
    <m/>
  </r>
  <r>
    <n v="4483"/>
    <n v="54955"/>
    <d v="2000-06-30T00:00:00"/>
    <n v="25"/>
    <x v="1"/>
    <x v="1"/>
    <d v="2024-04-17T00:00:00"/>
    <n v="1.3698630136986301"/>
    <x v="90"/>
    <x v="1"/>
    <x v="11"/>
    <x v="1"/>
    <n v="17"/>
    <m/>
    <m/>
    <m/>
    <m/>
    <m/>
    <m/>
    <x v="1"/>
    <n v="2"/>
    <n v="6"/>
    <m/>
    <m/>
    <m/>
    <m/>
    <m/>
    <m/>
    <m/>
    <m/>
    <m/>
    <m/>
    <m/>
    <m/>
    <m/>
    <m/>
  </r>
  <r>
    <n v="4484"/>
    <n v="54956"/>
    <d v="2002-10-28T00:00:00"/>
    <n v="23"/>
    <x v="1"/>
    <x v="0"/>
    <d v="2024-08-18T00:00:00"/>
    <n v="1.7534246575342465"/>
    <x v="90"/>
    <x v="1"/>
    <x v="8"/>
    <x v="1"/>
    <n v="8.4700000000000006"/>
    <m/>
    <m/>
    <m/>
    <m/>
    <m/>
    <m/>
    <x v="4"/>
    <n v="2"/>
    <n v="5"/>
    <m/>
    <m/>
    <m/>
    <m/>
    <m/>
    <m/>
    <m/>
    <m/>
    <m/>
    <m/>
    <m/>
    <m/>
    <m/>
    <m/>
  </r>
  <r>
    <n v="4485"/>
    <n v="54957"/>
    <d v="2002-05-09T00:00:00"/>
    <n v="23"/>
    <x v="1"/>
    <x v="1"/>
    <d v="2024-03-31T00:00:00"/>
    <n v="1.6246575342465754"/>
    <x v="97"/>
    <x v="1"/>
    <x v="8"/>
    <x v="1"/>
    <n v="8.4700000000000006"/>
    <m/>
    <m/>
    <m/>
    <m/>
    <m/>
    <m/>
    <x v="2"/>
    <n v="3"/>
    <n v="6"/>
    <m/>
    <m/>
    <m/>
    <m/>
    <m/>
    <m/>
    <m/>
    <m/>
    <m/>
    <m/>
    <m/>
    <m/>
    <m/>
    <m/>
  </r>
  <r>
    <n v="4486"/>
    <n v="54959"/>
    <d v="1995-12-24T00:00:00"/>
    <n v="30"/>
    <x v="0"/>
    <x v="1"/>
    <d v="2024-05-17T00:00:00"/>
    <n v="1.3232876712328767"/>
    <x v="120"/>
    <x v="1"/>
    <x v="10"/>
    <x v="1"/>
    <n v="10.64"/>
    <m/>
    <m/>
    <m/>
    <m/>
    <m/>
    <m/>
    <x v="1"/>
    <n v="1"/>
    <n v="4"/>
    <m/>
    <m/>
    <m/>
    <m/>
    <m/>
    <m/>
    <m/>
    <m/>
    <m/>
    <m/>
    <m/>
    <m/>
    <m/>
    <m/>
  </r>
  <r>
    <n v="4487"/>
    <n v="54960"/>
    <d v="1999-08-19T00:00:00"/>
    <n v="26"/>
    <x v="1"/>
    <x v="1"/>
    <d v="2024-09-04T00:00:00"/>
    <n v="1.0410958904109588"/>
    <x v="120"/>
    <x v="1"/>
    <x v="3"/>
    <x v="1"/>
    <n v="8.4700000000000006"/>
    <m/>
    <m/>
    <m/>
    <m/>
    <m/>
    <m/>
    <x v="4"/>
    <n v="1"/>
    <n v="7"/>
    <m/>
    <m/>
    <m/>
    <m/>
    <m/>
    <m/>
    <m/>
    <m/>
    <m/>
    <m/>
    <m/>
    <m/>
    <m/>
    <m/>
  </r>
  <r>
    <n v="4488"/>
    <n v="54961"/>
    <d v="2000-09-03T00:00:00"/>
    <n v="25"/>
    <x v="0"/>
    <x v="0"/>
    <d v="2024-12-16T00:00:00"/>
    <n v="1.4219178082191781"/>
    <x v="8"/>
    <x v="1"/>
    <x v="1"/>
    <x v="1"/>
    <n v="16.37"/>
    <m/>
    <m/>
    <m/>
    <m/>
    <m/>
    <m/>
    <x v="1"/>
    <n v="0"/>
    <n v="4"/>
    <m/>
    <m/>
    <m/>
    <m/>
    <m/>
    <m/>
    <m/>
    <m/>
    <m/>
    <m/>
    <m/>
    <m/>
    <m/>
    <m/>
  </r>
  <r>
    <n v="4489"/>
    <n v="54962"/>
    <d v="2006-08-16T00:00:00"/>
    <n v="19"/>
    <x v="1"/>
    <x v="1"/>
    <d v="2024-07-30T00:00:00"/>
    <n v="1.6739726027397259"/>
    <x v="105"/>
    <x v="1"/>
    <x v="10"/>
    <x v="1"/>
    <n v="10.64"/>
    <m/>
    <m/>
    <m/>
    <m/>
    <m/>
    <m/>
    <x v="3"/>
    <n v="0"/>
    <n v="5"/>
    <m/>
    <m/>
    <m/>
    <m/>
    <m/>
    <m/>
    <m/>
    <m/>
    <m/>
    <m/>
    <m/>
    <m/>
    <m/>
    <m/>
  </r>
  <r>
    <n v="4490"/>
    <n v="54963"/>
    <d v="2002-05-29T00:00:00"/>
    <n v="23"/>
    <x v="0"/>
    <x v="1"/>
    <d v="2024-04-29T00:00:00"/>
    <n v="1.1753424657534246"/>
    <x v="29"/>
    <x v="1"/>
    <x v="7"/>
    <x v="1"/>
    <n v="17.59"/>
    <m/>
    <m/>
    <m/>
    <m/>
    <m/>
    <m/>
    <x v="4"/>
    <n v="1"/>
    <n v="4"/>
    <m/>
    <m/>
    <m/>
    <m/>
    <m/>
    <m/>
    <m/>
    <m/>
    <m/>
    <m/>
    <m/>
    <m/>
    <m/>
    <m/>
  </r>
  <r>
    <n v="4491"/>
    <n v="54964"/>
    <d v="2004-09-07T00:00:00"/>
    <n v="21"/>
    <x v="1"/>
    <x v="1"/>
    <d v="2024-10-28T00:00:00"/>
    <n v="1.2904109589041095"/>
    <x v="30"/>
    <x v="1"/>
    <x v="3"/>
    <x v="1"/>
    <n v="8.4700000000000006"/>
    <m/>
    <m/>
    <m/>
    <m/>
    <m/>
    <m/>
    <x v="4"/>
    <n v="3"/>
    <n v="5"/>
    <m/>
    <m/>
    <m/>
    <m/>
    <m/>
    <m/>
    <m/>
    <m/>
    <m/>
    <m/>
    <m/>
    <m/>
    <m/>
    <m/>
  </r>
  <r>
    <n v="4492"/>
    <n v="54965"/>
    <d v="2007-08-14T00:00:00"/>
    <n v="18"/>
    <x v="1"/>
    <x v="1"/>
    <d v="2024-09-16T00:00:00"/>
    <n v="1.5232876712328767"/>
    <x v="30"/>
    <x v="1"/>
    <x v="8"/>
    <x v="1"/>
    <n v="8.4700000000000006"/>
    <m/>
    <m/>
    <m/>
    <m/>
    <m/>
    <m/>
    <x v="4"/>
    <n v="2"/>
    <n v="5"/>
    <m/>
    <m/>
    <m/>
    <m/>
    <m/>
    <m/>
    <m/>
    <m/>
    <m/>
    <m/>
    <m/>
    <m/>
    <m/>
    <m/>
  </r>
  <r>
    <n v="4493"/>
    <n v="54966"/>
    <d v="2002-05-24T00:00:00"/>
    <n v="23"/>
    <x v="1"/>
    <x v="0"/>
    <d v="2024-06-23T00:00:00"/>
    <n v="1.3342465753424657"/>
    <x v="115"/>
    <x v="1"/>
    <x v="10"/>
    <x v="1"/>
    <n v="10.64"/>
    <m/>
    <m/>
    <m/>
    <m/>
    <m/>
    <m/>
    <x v="2"/>
    <n v="1"/>
    <n v="6"/>
    <m/>
    <m/>
    <m/>
    <m/>
    <m/>
    <m/>
    <m/>
    <m/>
    <m/>
    <m/>
    <m/>
    <m/>
    <m/>
    <m/>
  </r>
  <r>
    <n v="4494"/>
    <n v="54967"/>
    <d v="1999-04-19T00:00:00"/>
    <n v="26"/>
    <x v="1"/>
    <x v="1"/>
    <d v="2024-08-31T00:00:00"/>
    <n v="1.1150684931506849"/>
    <x v="95"/>
    <x v="1"/>
    <x v="3"/>
    <x v="1"/>
    <n v="8.4700000000000006"/>
    <m/>
    <m/>
    <m/>
    <m/>
    <m/>
    <m/>
    <x v="1"/>
    <n v="0"/>
    <n v="6"/>
    <m/>
    <m/>
    <m/>
    <m/>
    <m/>
    <m/>
    <m/>
    <m/>
    <m/>
    <m/>
    <m/>
    <m/>
    <m/>
    <m/>
  </r>
  <r>
    <n v="4495"/>
    <n v="54968"/>
    <d v="2006-09-20T00:00:00"/>
    <n v="19"/>
    <x v="1"/>
    <x v="1"/>
    <d v="2024-11-19T00:00:00"/>
    <n v="1.1534246575342466"/>
    <x v="95"/>
    <x v="1"/>
    <x v="8"/>
    <x v="1"/>
    <n v="8.4700000000000006"/>
    <m/>
    <m/>
    <m/>
    <m/>
    <m/>
    <m/>
    <x v="2"/>
    <n v="1"/>
    <n v="6"/>
    <m/>
    <m/>
    <m/>
    <m/>
    <m/>
    <m/>
    <m/>
    <m/>
    <m/>
    <m/>
    <m/>
    <m/>
    <m/>
    <m/>
  </r>
  <r>
    <n v="4496"/>
    <n v="54969"/>
    <d v="2004-04-15T00:00:00"/>
    <n v="21"/>
    <x v="0"/>
    <x v="1"/>
    <d v="2024-11-05T00:00:00"/>
    <n v="1.5342465753424657"/>
    <x v="123"/>
    <x v="1"/>
    <x v="10"/>
    <x v="1"/>
    <n v="10.64"/>
    <m/>
    <m/>
    <m/>
    <m/>
    <m/>
    <m/>
    <x v="4"/>
    <n v="0"/>
    <n v="4"/>
    <m/>
    <m/>
    <m/>
    <m/>
    <m/>
    <m/>
    <m/>
    <m/>
    <m/>
    <m/>
    <m/>
    <m/>
    <m/>
    <m/>
  </r>
  <r>
    <n v="4497"/>
    <n v="54970"/>
    <d v="2003-07-25T00:00:00"/>
    <n v="22"/>
    <x v="0"/>
    <x v="1"/>
    <d v="2024-06-19T00:00:00"/>
    <n v="1.6027397260273972"/>
    <x v="123"/>
    <x v="1"/>
    <x v="2"/>
    <x v="1"/>
    <n v="14.23"/>
    <m/>
    <m/>
    <m/>
    <m/>
    <m/>
    <m/>
    <x v="3"/>
    <n v="1"/>
    <n v="4"/>
    <m/>
    <m/>
    <m/>
    <m/>
    <m/>
    <m/>
    <m/>
    <m/>
    <m/>
    <m/>
    <m/>
    <m/>
    <m/>
    <m/>
  </r>
  <r>
    <n v="4498"/>
    <n v="54971"/>
    <d v="2004-02-22T00:00:00"/>
    <n v="21"/>
    <x v="1"/>
    <x v="1"/>
    <d v="2024-05-25T00:00:00"/>
    <n v="1.8"/>
    <x v="123"/>
    <x v="1"/>
    <x v="8"/>
    <x v="1"/>
    <n v="8.4700000000000006"/>
    <m/>
    <m/>
    <m/>
    <m/>
    <m/>
    <m/>
    <x v="3"/>
    <n v="0"/>
    <n v="6"/>
    <m/>
    <m/>
    <m/>
    <m/>
    <m/>
    <m/>
    <m/>
    <m/>
    <m/>
    <m/>
    <m/>
    <m/>
    <m/>
    <m/>
  </r>
  <r>
    <n v="4499"/>
    <n v="54972"/>
    <d v="2002-03-14T00:00:00"/>
    <n v="23"/>
    <x v="0"/>
    <x v="1"/>
    <d v="2024-03-14T00:00:00"/>
    <n v="1.7232876712328766"/>
    <x v="133"/>
    <x v="1"/>
    <x v="11"/>
    <x v="1"/>
    <n v="17"/>
    <m/>
    <m/>
    <m/>
    <m/>
    <m/>
    <m/>
    <x v="1"/>
    <n v="2"/>
    <n v="4"/>
    <m/>
    <m/>
    <m/>
    <m/>
    <m/>
    <m/>
    <m/>
    <m/>
    <m/>
    <m/>
    <m/>
    <m/>
    <m/>
    <m/>
  </r>
  <r>
    <n v="4500"/>
    <n v="54973"/>
    <d v="1999-11-13T00:00:00"/>
    <n v="26"/>
    <x v="1"/>
    <x v="0"/>
    <d v="2024-04-11T00:00:00"/>
    <n v="1.5397260273972602"/>
    <x v="133"/>
    <x v="1"/>
    <x v="10"/>
    <x v="1"/>
    <n v="10.64"/>
    <m/>
    <m/>
    <m/>
    <m/>
    <m/>
    <m/>
    <x v="1"/>
    <n v="0"/>
    <n v="6"/>
    <m/>
    <m/>
    <m/>
    <m/>
    <m/>
    <m/>
    <m/>
    <m/>
    <m/>
    <m/>
    <m/>
    <m/>
    <m/>
    <m/>
  </r>
  <r>
    <n v="4501"/>
    <n v="54974"/>
    <d v="2007-12-06T00:00:00"/>
    <n v="18"/>
    <x v="1"/>
    <x v="0"/>
    <d v="2024-06-17T00:00:00"/>
    <n v="1.2246575342465753"/>
    <x v="133"/>
    <x v="1"/>
    <x v="8"/>
    <x v="1"/>
    <n v="8.4700000000000006"/>
    <m/>
    <m/>
    <m/>
    <m/>
    <m/>
    <m/>
    <x v="4"/>
    <n v="1"/>
    <n v="5"/>
    <m/>
    <m/>
    <m/>
    <m/>
    <m/>
    <m/>
    <m/>
    <m/>
    <m/>
    <m/>
    <m/>
    <m/>
    <m/>
    <m/>
  </r>
  <r>
    <n v="4502"/>
    <n v="54975"/>
    <d v="1992-02-22T00:00:00"/>
    <n v="33"/>
    <x v="0"/>
    <x v="1"/>
    <d v="2024-10-10T00:00:00"/>
    <n v="1.5890410958904109"/>
    <x v="130"/>
    <x v="1"/>
    <x v="7"/>
    <x v="1"/>
    <n v="17.59"/>
    <m/>
    <m/>
    <m/>
    <m/>
    <m/>
    <m/>
    <x v="4"/>
    <n v="1"/>
    <n v="4"/>
    <m/>
    <m/>
    <m/>
    <m/>
    <m/>
    <m/>
    <m/>
    <m/>
    <m/>
    <m/>
    <m/>
    <m/>
    <m/>
    <m/>
  </r>
  <r>
    <n v="4503"/>
    <n v="54976"/>
    <d v="2004-08-26T00:00:00"/>
    <n v="21"/>
    <x v="1"/>
    <x v="0"/>
    <d v="2024-05-30T00:00:00"/>
    <n v="1.4438356164383561"/>
    <x v="130"/>
    <x v="1"/>
    <x v="8"/>
    <x v="1"/>
    <n v="8.4700000000000006"/>
    <m/>
    <m/>
    <m/>
    <m/>
    <m/>
    <m/>
    <x v="4"/>
    <n v="1"/>
    <n v="5"/>
    <m/>
    <m/>
    <m/>
    <m/>
    <m/>
    <m/>
    <m/>
    <m/>
    <m/>
    <m/>
    <m/>
    <m/>
    <m/>
    <m/>
  </r>
  <r>
    <n v="4504"/>
    <n v="54977"/>
    <d v="2001-12-06T00:00:00"/>
    <n v="24"/>
    <x v="1"/>
    <x v="0"/>
    <d v="2024-07-22T00:00:00"/>
    <n v="1.3452054794520547"/>
    <x v="121"/>
    <x v="1"/>
    <x v="3"/>
    <x v="1"/>
    <n v="8.4700000000000006"/>
    <m/>
    <m/>
    <m/>
    <m/>
    <m/>
    <m/>
    <x v="4"/>
    <n v="4"/>
    <n v="6"/>
    <m/>
    <m/>
    <m/>
    <m/>
    <m/>
    <m/>
    <m/>
    <m/>
    <m/>
    <m/>
    <m/>
    <m/>
    <m/>
    <m/>
  </r>
  <r>
    <n v="4505"/>
    <n v="54978"/>
    <d v="2002-09-28T00:00:00"/>
    <n v="23"/>
    <x v="1"/>
    <x v="1"/>
    <d v="2024-08-27T00:00:00"/>
    <n v="1.2"/>
    <x v="121"/>
    <x v="1"/>
    <x v="8"/>
    <x v="1"/>
    <n v="8.4700000000000006"/>
    <m/>
    <m/>
    <m/>
    <m/>
    <m/>
    <m/>
    <x v="2"/>
    <n v="2"/>
    <n v="6"/>
    <m/>
    <m/>
    <m/>
    <m/>
    <m/>
    <m/>
    <m/>
    <m/>
    <m/>
    <m/>
    <m/>
    <m/>
    <m/>
    <m/>
  </r>
  <r>
    <n v="4506"/>
    <n v="54979"/>
    <d v="2003-01-22T00:00:00"/>
    <n v="22"/>
    <x v="1"/>
    <x v="0"/>
    <d v="2024-10-19T00:00:00"/>
    <n v="1.5726027397260274"/>
    <x v="121"/>
    <x v="1"/>
    <x v="8"/>
    <x v="1"/>
    <n v="8.4700000000000006"/>
    <m/>
    <m/>
    <m/>
    <m/>
    <m/>
    <m/>
    <x v="2"/>
    <n v="4"/>
    <n v="6"/>
    <m/>
    <m/>
    <m/>
    <m/>
    <m/>
    <m/>
    <m/>
    <m/>
    <m/>
    <m/>
    <m/>
    <m/>
    <m/>
    <m/>
  </r>
  <r>
    <n v="4507"/>
    <n v="54980"/>
    <d v="1998-03-08T00:00:00"/>
    <n v="27"/>
    <x v="0"/>
    <x v="1"/>
    <d v="2024-06-05T00:00:00"/>
    <n v="1.0493150684931507"/>
    <x v="56"/>
    <x v="1"/>
    <x v="11"/>
    <x v="1"/>
    <n v="17"/>
    <m/>
    <m/>
    <m/>
    <m/>
    <m/>
    <m/>
    <x v="1"/>
    <n v="4"/>
    <n v="4"/>
    <m/>
    <m/>
    <m/>
    <m/>
    <m/>
    <m/>
    <m/>
    <m/>
    <m/>
    <m/>
    <m/>
    <m/>
    <m/>
    <m/>
  </r>
  <r>
    <n v="4508"/>
    <n v="54981"/>
    <d v="1994-07-13T00:00:00"/>
    <n v="31"/>
    <x v="1"/>
    <x v="1"/>
    <d v="2024-12-13T00:00:00"/>
    <n v="1.0876712328767124"/>
    <x v="56"/>
    <x v="1"/>
    <x v="3"/>
    <x v="1"/>
    <n v="8.4700000000000006"/>
    <m/>
    <m/>
    <m/>
    <m/>
    <m/>
    <m/>
    <x v="1"/>
    <n v="1"/>
    <n v="6"/>
    <m/>
    <m/>
    <m/>
    <m/>
    <m/>
    <m/>
    <m/>
    <m/>
    <m/>
    <m/>
    <m/>
    <m/>
    <m/>
    <m/>
  </r>
  <r>
    <n v="4509"/>
    <n v="54982"/>
    <d v="2006-05-06T00:00:00"/>
    <n v="19"/>
    <x v="1"/>
    <x v="1"/>
    <d v="2024-11-29T00:00:00"/>
    <n v="1.5671232876712329"/>
    <x v="56"/>
    <x v="1"/>
    <x v="8"/>
    <x v="1"/>
    <n v="8.4700000000000006"/>
    <m/>
    <m/>
    <m/>
    <m/>
    <m/>
    <m/>
    <x v="1"/>
    <n v="1"/>
    <n v="5"/>
    <m/>
    <m/>
    <m/>
    <m/>
    <m/>
    <m/>
    <m/>
    <m/>
    <m/>
    <m/>
    <m/>
    <m/>
    <m/>
    <m/>
  </r>
  <r>
    <n v="4510"/>
    <n v="54983"/>
    <d v="2005-06-13T00:00:00"/>
    <n v="20"/>
    <x v="0"/>
    <x v="1"/>
    <d v="2024-06-07T00:00:00"/>
    <n v="1.178082191780822"/>
    <x v="85"/>
    <x v="1"/>
    <x v="2"/>
    <x v="1"/>
    <n v="14.23"/>
    <m/>
    <m/>
    <m/>
    <m/>
    <m/>
    <m/>
    <x v="1"/>
    <n v="1"/>
    <n v="4"/>
    <m/>
    <m/>
    <m/>
    <m/>
    <m/>
    <m/>
    <m/>
    <m/>
    <m/>
    <m/>
    <m/>
    <m/>
    <m/>
    <m/>
  </r>
  <r>
    <n v="4511"/>
    <n v="54984"/>
    <d v="1999-02-19T00:00:00"/>
    <n v="26"/>
    <x v="1"/>
    <x v="1"/>
    <d v="2024-10-27T00:00:00"/>
    <n v="1.7424657534246575"/>
    <x v="60"/>
    <x v="1"/>
    <x v="3"/>
    <x v="1"/>
    <n v="8.4700000000000006"/>
    <m/>
    <m/>
    <m/>
    <m/>
    <m/>
    <m/>
    <x v="3"/>
    <n v="2"/>
    <n v="6"/>
    <m/>
    <m/>
    <m/>
    <m/>
    <m/>
    <m/>
    <m/>
    <m/>
    <m/>
    <m/>
    <m/>
    <m/>
    <m/>
    <m/>
  </r>
  <r>
    <n v="4512"/>
    <n v="54985"/>
    <d v="2007-12-01T00:00:00"/>
    <n v="19"/>
    <x v="1"/>
    <x v="1"/>
    <d v="2024-04-04T00:00:00"/>
    <n v="1.6657534246575343"/>
    <x v="60"/>
    <x v="1"/>
    <x v="8"/>
    <x v="1"/>
    <n v="8.4700000000000006"/>
    <m/>
    <m/>
    <m/>
    <m/>
    <m/>
    <m/>
    <x v="4"/>
    <n v="2"/>
    <n v="7"/>
    <m/>
    <m/>
    <m/>
    <m/>
    <m/>
    <m/>
    <m/>
    <m/>
    <m/>
    <m/>
    <m/>
    <m/>
    <m/>
    <m/>
  </r>
  <r>
    <n v="4513"/>
    <n v="54986"/>
    <d v="2005-07-03T00:00:00"/>
    <n v="20"/>
    <x v="1"/>
    <x v="1"/>
    <d v="2024-05-02T00:00:00"/>
    <n v="1.1863013698630136"/>
    <x v="62"/>
    <x v="1"/>
    <x v="3"/>
    <x v="1"/>
    <n v="8.4700000000000006"/>
    <m/>
    <m/>
    <m/>
    <m/>
    <m/>
    <m/>
    <x v="3"/>
    <n v="2"/>
    <n v="6"/>
    <m/>
    <m/>
    <m/>
    <m/>
    <m/>
    <m/>
    <m/>
    <m/>
    <m/>
    <m/>
    <m/>
    <m/>
    <m/>
    <m/>
  </r>
  <r>
    <n v="4514"/>
    <n v="54988"/>
    <d v="2004-12-16T00:00:00"/>
    <n v="21"/>
    <x v="1"/>
    <x v="1"/>
    <d v="2024-10-24T00:00:00"/>
    <n v="1.0904109589041096"/>
    <x v="62"/>
    <x v="1"/>
    <x v="8"/>
    <x v="1"/>
    <n v="8.4700000000000006"/>
    <m/>
    <m/>
    <m/>
    <m/>
    <m/>
    <m/>
    <x v="1"/>
    <n v="1"/>
    <n v="5"/>
    <m/>
    <m/>
    <m/>
    <m/>
    <m/>
    <m/>
    <m/>
    <m/>
    <m/>
    <m/>
    <m/>
    <m/>
    <m/>
    <m/>
  </r>
  <r>
    <n v="4515"/>
    <n v="54989"/>
    <d v="2004-03-09T00:00:00"/>
    <n v="21"/>
    <x v="1"/>
    <x v="0"/>
    <d v="2024-11-28T00:00:00"/>
    <n v="1.8273972602739725"/>
    <x v="62"/>
    <x v="1"/>
    <x v="8"/>
    <x v="1"/>
    <n v="8.4700000000000006"/>
    <m/>
    <m/>
    <m/>
    <m/>
    <m/>
    <m/>
    <x v="1"/>
    <n v="1"/>
    <n v="4"/>
    <m/>
    <m/>
    <m/>
    <m/>
    <m/>
    <m/>
    <m/>
    <m/>
    <m/>
    <m/>
    <m/>
    <m/>
    <m/>
    <m/>
  </r>
  <r>
    <n v="4516"/>
    <n v="54990"/>
    <d v="1984-07-28T00:00:00"/>
    <n v="41"/>
    <x v="1"/>
    <x v="0"/>
    <d v="2024-03-04T00:00:00"/>
    <n v="1.4"/>
    <x v="117"/>
    <x v="1"/>
    <x v="2"/>
    <x v="1"/>
    <n v="14.23"/>
    <m/>
    <m/>
    <m/>
    <m/>
    <m/>
    <m/>
    <x v="4"/>
    <n v="0"/>
    <n v="4"/>
    <m/>
    <m/>
    <m/>
    <m/>
    <m/>
    <m/>
    <m/>
    <m/>
    <m/>
    <m/>
    <m/>
    <m/>
    <m/>
    <m/>
  </r>
  <r>
    <n v="4517"/>
    <n v="54991"/>
    <d v="2001-06-11T00:00:00"/>
    <n v="24"/>
    <x v="0"/>
    <x v="0"/>
    <d v="2024-08-07T00:00:00"/>
    <n v="1.6849315068493151"/>
    <x v="117"/>
    <x v="1"/>
    <x v="7"/>
    <x v="1"/>
    <n v="17.59"/>
    <m/>
    <m/>
    <m/>
    <m/>
    <m/>
    <m/>
    <x v="4"/>
    <n v="3"/>
    <n v="5"/>
    <m/>
    <m/>
    <m/>
    <m/>
    <m/>
    <m/>
    <m/>
    <m/>
    <m/>
    <m/>
    <m/>
    <m/>
    <m/>
    <m/>
  </r>
  <r>
    <n v="4518"/>
    <n v="54992"/>
    <d v="2005-07-06T00:00:00"/>
    <n v="20"/>
    <x v="1"/>
    <x v="1"/>
    <d v="2024-04-25T00:00:00"/>
    <n v="1.2383561643835617"/>
    <x v="117"/>
    <x v="1"/>
    <x v="8"/>
    <x v="1"/>
    <n v="8.4700000000000006"/>
    <m/>
    <m/>
    <m/>
    <m/>
    <m/>
    <m/>
    <x v="3"/>
    <n v="2"/>
    <n v="5"/>
    <m/>
    <m/>
    <m/>
    <m/>
    <m/>
    <m/>
    <m/>
    <m/>
    <m/>
    <m/>
    <m/>
    <m/>
    <m/>
    <m/>
  </r>
  <r>
    <n v="4519"/>
    <n v="54993"/>
    <d v="2005-07-12T00:00:00"/>
    <n v="20"/>
    <x v="1"/>
    <x v="0"/>
    <d v="2024-10-05T00:00:00"/>
    <n v="1.5287671232876712"/>
    <x v="117"/>
    <x v="1"/>
    <x v="8"/>
    <x v="1"/>
    <n v="8.4700000000000006"/>
    <m/>
    <m/>
    <m/>
    <m/>
    <m/>
    <m/>
    <x v="1"/>
    <n v="4"/>
    <n v="5"/>
    <m/>
    <m/>
    <m/>
    <m/>
    <m/>
    <m/>
    <m/>
    <m/>
    <m/>
    <m/>
    <m/>
    <m/>
    <m/>
    <m/>
  </r>
  <r>
    <n v="4520"/>
    <n v="54994"/>
    <d v="2005-03-27T00:00:00"/>
    <n v="20"/>
    <x v="1"/>
    <x v="0"/>
    <d v="2024-06-21T00:00:00"/>
    <n v="1.7945205479452055"/>
    <x v="117"/>
    <x v="1"/>
    <x v="8"/>
    <x v="1"/>
    <n v="8.4700000000000006"/>
    <m/>
    <m/>
    <m/>
    <m/>
    <m/>
    <m/>
    <x v="4"/>
    <n v="0"/>
    <n v="5"/>
    <m/>
    <m/>
    <m/>
    <m/>
    <m/>
    <m/>
    <m/>
    <m/>
    <m/>
    <m/>
    <m/>
    <m/>
    <m/>
    <m/>
  </r>
  <r>
    <n v="4521"/>
    <n v="54995"/>
    <d v="1996-08-25T00:00:00"/>
    <n v="29"/>
    <x v="1"/>
    <x v="1"/>
    <d v="2024-03-16T00:00:00"/>
    <n v="1.2986301369863014"/>
    <x v="117"/>
    <x v="1"/>
    <x v="8"/>
    <x v="1"/>
    <n v="8.4700000000000006"/>
    <m/>
    <m/>
    <m/>
    <m/>
    <m/>
    <m/>
    <x v="1"/>
    <n v="0"/>
    <n v="5"/>
    <m/>
    <m/>
    <m/>
    <m/>
    <m/>
    <m/>
    <m/>
    <m/>
    <m/>
    <m/>
    <m/>
    <m/>
    <m/>
    <m/>
  </r>
  <r>
    <n v="4522"/>
    <n v="54996"/>
    <d v="1999-02-09T00:00:00"/>
    <n v="26"/>
    <x v="1"/>
    <x v="1"/>
    <d v="2024-09-13T00:00:00"/>
    <n v="1.726027397260274"/>
    <x v="117"/>
    <x v="1"/>
    <x v="8"/>
    <x v="1"/>
    <n v="8.4700000000000006"/>
    <m/>
    <m/>
    <m/>
    <m/>
    <m/>
    <m/>
    <x v="1"/>
    <n v="2"/>
    <n v="5"/>
    <m/>
    <m/>
    <m/>
    <m/>
    <m/>
    <m/>
    <m/>
    <m/>
    <m/>
    <m/>
    <m/>
    <m/>
    <m/>
    <m/>
  </r>
  <r>
    <n v="4523"/>
    <n v="54997"/>
    <d v="2006-01-27T00:00:00"/>
    <n v="19"/>
    <x v="1"/>
    <x v="1"/>
    <d v="2024-04-10T00:00:00"/>
    <n v="1.1835616438356165"/>
    <x v="119"/>
    <x v="1"/>
    <x v="8"/>
    <x v="1"/>
    <n v="8.4700000000000006"/>
    <m/>
    <m/>
    <m/>
    <m/>
    <m/>
    <m/>
    <x v="4"/>
    <n v="0"/>
    <n v="6"/>
    <m/>
    <m/>
    <m/>
    <m/>
    <m/>
    <m/>
    <m/>
    <m/>
    <m/>
    <m/>
    <m/>
    <m/>
    <m/>
    <m/>
  </r>
  <r>
    <n v="4524"/>
    <n v="54998"/>
    <d v="2004-04-30T00:00:00"/>
    <n v="21"/>
    <x v="1"/>
    <x v="1"/>
    <d v="2024-10-25T00:00:00"/>
    <n v="1.6657534246575343"/>
    <x v="64"/>
    <x v="1"/>
    <x v="8"/>
    <x v="1"/>
    <n v="8.4700000000000006"/>
    <m/>
    <m/>
    <m/>
    <m/>
    <m/>
    <m/>
    <x v="4"/>
    <n v="2"/>
    <n v="5"/>
    <m/>
    <m/>
    <m/>
    <m/>
    <m/>
    <m/>
    <m/>
    <m/>
    <m/>
    <m/>
    <m/>
    <m/>
    <m/>
    <m/>
  </r>
  <r>
    <n v="4525"/>
    <n v="54999"/>
    <d v="1997-03-08T00:00:00"/>
    <n v="28"/>
    <x v="1"/>
    <x v="0"/>
    <d v="2024-05-02T00:00:00"/>
    <n v="1.704109589041096"/>
    <x v="65"/>
    <x v="1"/>
    <x v="3"/>
    <x v="1"/>
    <n v="8.4700000000000006"/>
    <m/>
    <m/>
    <m/>
    <m/>
    <m/>
    <m/>
    <x v="2"/>
    <n v="4"/>
    <n v="7"/>
    <m/>
    <m/>
    <m/>
    <m/>
    <m/>
    <m/>
    <m/>
    <m/>
    <m/>
    <m/>
    <m/>
    <m/>
    <m/>
    <m/>
  </r>
  <r>
    <n v="4526"/>
    <n v="55000"/>
    <d v="2006-12-21T00:00:00"/>
    <n v="19"/>
    <x v="0"/>
    <x v="1"/>
    <d v="2024-04-18T00:00:00"/>
    <n v="1.8465753424657534"/>
    <x v="68"/>
    <x v="1"/>
    <x v="10"/>
    <x v="1"/>
    <n v="10.64"/>
    <m/>
    <m/>
    <m/>
    <m/>
    <m/>
    <m/>
    <x v="2"/>
    <n v="0"/>
    <n v="5"/>
    <m/>
    <m/>
    <m/>
    <m/>
    <m/>
    <m/>
    <m/>
    <m/>
    <m/>
    <m/>
    <m/>
    <m/>
    <m/>
    <m/>
  </r>
  <r>
    <n v="4527"/>
    <n v="55001"/>
    <d v="2005-09-02T00:00:00"/>
    <n v="20"/>
    <x v="1"/>
    <x v="1"/>
    <d v="2024-02-26T00:00:00"/>
    <n v="1.6876712328767123"/>
    <x v="68"/>
    <x v="1"/>
    <x v="8"/>
    <x v="1"/>
    <n v="8.4700000000000006"/>
    <m/>
    <m/>
    <m/>
    <m/>
    <m/>
    <m/>
    <x v="1"/>
    <n v="3"/>
    <n v="7"/>
    <m/>
    <m/>
    <m/>
    <m/>
    <m/>
    <m/>
    <m/>
    <m/>
    <m/>
    <m/>
    <m/>
    <m/>
    <m/>
    <m/>
  </r>
  <r>
    <n v="4528"/>
    <n v="55002"/>
    <d v="2000-11-02T00:00:00"/>
    <n v="25"/>
    <x v="1"/>
    <x v="1"/>
    <d v="2024-04-24T00:00:00"/>
    <n v="1.536986301369863"/>
    <x v="69"/>
    <x v="1"/>
    <x v="8"/>
    <x v="1"/>
    <n v="8.4700000000000006"/>
    <m/>
    <m/>
    <m/>
    <m/>
    <m/>
    <m/>
    <x v="4"/>
    <n v="2"/>
    <n v="5"/>
    <m/>
    <m/>
    <m/>
    <m/>
    <m/>
    <m/>
    <m/>
    <m/>
    <m/>
    <m/>
    <m/>
    <m/>
    <m/>
    <m/>
  </r>
  <r>
    <n v="4529"/>
    <n v="55003"/>
    <d v="2006-06-22T00:00:00"/>
    <n v="19"/>
    <x v="0"/>
    <x v="0"/>
    <d v="2024-06-18T00:00:00"/>
    <n v="1.2383561643835617"/>
    <x v="135"/>
    <x v="1"/>
    <x v="10"/>
    <x v="1"/>
    <n v="10.64"/>
    <m/>
    <m/>
    <m/>
    <m/>
    <m/>
    <m/>
    <x v="1"/>
    <n v="1"/>
    <n v="4"/>
    <m/>
    <m/>
    <m/>
    <m/>
    <m/>
    <m/>
    <m/>
    <m/>
    <m/>
    <m/>
    <m/>
    <m/>
    <m/>
    <m/>
  </r>
  <r>
    <n v="4530"/>
    <n v="55004"/>
    <d v="2003-11-23T00:00:00"/>
    <n v="22"/>
    <x v="1"/>
    <x v="1"/>
    <d v="2024-10-05T00:00:00"/>
    <n v="1.2328767123287672"/>
    <x v="135"/>
    <x v="1"/>
    <x v="8"/>
    <x v="1"/>
    <n v="8.4700000000000006"/>
    <m/>
    <m/>
    <m/>
    <m/>
    <m/>
    <m/>
    <x v="1"/>
    <n v="1"/>
    <n v="6"/>
    <m/>
    <m/>
    <m/>
    <m/>
    <m/>
    <m/>
    <m/>
    <m/>
    <m/>
    <m/>
    <m/>
    <m/>
    <m/>
    <m/>
  </r>
  <r>
    <n v="4531"/>
    <n v="55005"/>
    <d v="2002-04-17T00:00:00"/>
    <n v="23"/>
    <x v="1"/>
    <x v="1"/>
    <d v="2024-10-07T00:00:00"/>
    <n v="1.263013698630137"/>
    <x v="71"/>
    <x v="1"/>
    <x v="8"/>
    <x v="1"/>
    <n v="8.4700000000000006"/>
    <m/>
    <m/>
    <m/>
    <m/>
    <m/>
    <m/>
    <x v="4"/>
    <n v="1"/>
    <n v="6"/>
    <m/>
    <m/>
    <m/>
    <m/>
    <m/>
    <m/>
    <m/>
    <m/>
    <m/>
    <m/>
    <m/>
    <m/>
    <m/>
    <m/>
  </r>
  <r>
    <n v="4532"/>
    <n v="55006"/>
    <d v="2006-09-26T00:00:00"/>
    <n v="19"/>
    <x v="1"/>
    <x v="1"/>
    <d v="2024-09-26T00:00:00"/>
    <n v="1.6739726027397259"/>
    <x v="71"/>
    <x v="1"/>
    <x v="8"/>
    <x v="1"/>
    <n v="8.4700000000000006"/>
    <m/>
    <m/>
    <m/>
    <m/>
    <m/>
    <m/>
    <x v="3"/>
    <n v="1"/>
    <n v="7"/>
    <m/>
    <m/>
    <m/>
    <m/>
    <m/>
    <m/>
    <m/>
    <m/>
    <m/>
    <m/>
    <m/>
    <m/>
    <m/>
    <m/>
  </r>
  <r>
    <n v="4533"/>
    <n v="55007"/>
    <d v="2001-12-06T00:00:00"/>
    <n v="24"/>
    <x v="1"/>
    <x v="1"/>
    <d v="2024-04-29T00:00:00"/>
    <n v="1.6246575342465754"/>
    <x v="131"/>
    <x v="1"/>
    <x v="1"/>
    <x v="1"/>
    <n v="16.37"/>
    <m/>
    <m/>
    <m/>
    <m/>
    <m/>
    <m/>
    <x v="4"/>
    <n v="1"/>
    <n v="6"/>
    <m/>
    <m/>
    <m/>
    <m/>
    <m/>
    <m/>
    <m/>
    <m/>
    <m/>
    <m/>
    <m/>
    <m/>
    <m/>
    <m/>
  </r>
  <r>
    <n v="4534"/>
    <n v="55008"/>
    <d v="2003-06-19T00:00:00"/>
    <n v="22"/>
    <x v="0"/>
    <x v="1"/>
    <d v="2024-05-17T00:00:00"/>
    <n v="1.3178082191780822"/>
    <x v="131"/>
    <x v="1"/>
    <x v="2"/>
    <x v="1"/>
    <n v="14.23"/>
    <m/>
    <m/>
    <m/>
    <m/>
    <m/>
    <m/>
    <x v="1"/>
    <n v="0"/>
    <n v="3"/>
    <m/>
    <m/>
    <m/>
    <m/>
    <m/>
    <m/>
    <m/>
    <m/>
    <m/>
    <m/>
    <m/>
    <m/>
    <m/>
    <m/>
  </r>
  <r>
    <n v="4535"/>
    <n v="55009"/>
    <d v="1997-09-01T00:00:00"/>
    <n v="29"/>
    <x v="1"/>
    <x v="1"/>
    <d v="2024-09-06T00:00:00"/>
    <n v="1.2191780821917808"/>
    <x v="72"/>
    <x v="1"/>
    <x v="10"/>
    <x v="1"/>
    <n v="10.64"/>
    <m/>
    <m/>
    <m/>
    <m/>
    <m/>
    <m/>
    <x v="1"/>
    <n v="0"/>
    <n v="5"/>
    <m/>
    <m/>
    <m/>
    <m/>
    <m/>
    <m/>
    <m/>
    <m/>
    <m/>
    <m/>
    <m/>
    <m/>
    <m/>
    <m/>
  </r>
  <r>
    <n v="4536"/>
    <n v="55010"/>
    <d v="2000-06-19T00:00:00"/>
    <n v="25"/>
    <x v="1"/>
    <x v="1"/>
    <d v="2024-10-12T00:00:00"/>
    <n v="1.2493150684931507"/>
    <x v="72"/>
    <x v="1"/>
    <x v="8"/>
    <x v="1"/>
    <n v="8.4700000000000006"/>
    <m/>
    <m/>
    <m/>
    <m/>
    <m/>
    <m/>
    <x v="1"/>
    <n v="1"/>
    <n v="5"/>
    <m/>
    <m/>
    <m/>
    <m/>
    <m/>
    <m/>
    <m/>
    <m/>
    <m/>
    <m/>
    <m/>
    <m/>
    <m/>
    <m/>
  </r>
  <r>
    <n v="4537"/>
    <n v="55011"/>
    <d v="1998-07-18T00:00:00"/>
    <n v="27"/>
    <x v="1"/>
    <x v="1"/>
    <d v="2024-10-01T00:00:00"/>
    <n v="1.6794520547945206"/>
    <x v="72"/>
    <x v="1"/>
    <x v="8"/>
    <x v="1"/>
    <n v="8.4700000000000006"/>
    <m/>
    <m/>
    <m/>
    <m/>
    <m/>
    <m/>
    <x v="4"/>
    <n v="1"/>
    <n v="6"/>
    <m/>
    <m/>
    <m/>
    <m/>
    <m/>
    <m/>
    <m/>
    <m/>
    <m/>
    <m/>
    <m/>
    <m/>
    <m/>
    <m/>
  </r>
  <r>
    <n v="4538"/>
    <n v="55012"/>
    <d v="2005-05-03T00:00:00"/>
    <n v="20"/>
    <x v="1"/>
    <x v="1"/>
    <d v="2024-04-27T00:00:00"/>
    <n v="1.3041095890410959"/>
    <x v="74"/>
    <x v="1"/>
    <x v="10"/>
    <x v="1"/>
    <n v="10.64"/>
    <m/>
    <m/>
    <m/>
    <m/>
    <m/>
    <m/>
    <x v="1"/>
    <n v="0"/>
    <n v="5"/>
    <m/>
    <m/>
    <m/>
    <m/>
    <m/>
    <m/>
    <m/>
    <m/>
    <m/>
    <m/>
    <m/>
    <m/>
    <m/>
    <m/>
  </r>
  <r>
    <n v="4539"/>
    <n v="55013"/>
    <d v="2000-03-18T00:00:00"/>
    <n v="25"/>
    <x v="0"/>
    <x v="1"/>
    <d v="2024-09-11T00:00:00"/>
    <n v="1.2931506849315069"/>
    <x v="75"/>
    <x v="1"/>
    <x v="7"/>
    <x v="1"/>
    <n v="17.59"/>
    <m/>
    <m/>
    <m/>
    <m/>
    <m/>
    <m/>
    <x v="2"/>
    <n v="4"/>
    <n v="3"/>
    <m/>
    <m/>
    <m/>
    <m/>
    <m/>
    <m/>
    <m/>
    <m/>
    <m/>
    <m/>
    <m/>
    <m/>
    <m/>
    <m/>
  </r>
  <r>
    <n v="4540"/>
    <n v="55014"/>
    <d v="2006-07-02T00:00:00"/>
    <n v="19"/>
    <x v="0"/>
    <x v="0"/>
    <d v="2024-09-15T00:00:00"/>
    <n v="1.526027397260274"/>
    <x v="122"/>
    <x v="1"/>
    <x v="8"/>
    <x v="1"/>
    <n v="8.4700000000000006"/>
    <m/>
    <m/>
    <m/>
    <m/>
    <m/>
    <m/>
    <x v="1"/>
    <n v="1"/>
    <n v="5"/>
    <m/>
    <m/>
    <m/>
    <m/>
    <m/>
    <m/>
    <m/>
    <m/>
    <m/>
    <m/>
    <m/>
    <m/>
    <m/>
    <m/>
  </r>
  <r>
    <n v="4541"/>
    <n v="55015"/>
    <d v="2006-04-20T00:00:00"/>
    <n v="19"/>
    <x v="1"/>
    <x v="0"/>
    <d v="2024-06-22T00:00:00"/>
    <n v="1.5643835616438355"/>
    <x v="76"/>
    <x v="1"/>
    <x v="8"/>
    <x v="1"/>
    <n v="8.4700000000000006"/>
    <m/>
    <m/>
    <m/>
    <m/>
    <m/>
    <m/>
    <x v="1"/>
    <n v="2"/>
    <n v="5"/>
    <m/>
    <m/>
    <m/>
    <m/>
    <m/>
    <m/>
    <m/>
    <m/>
    <m/>
    <m/>
    <m/>
    <m/>
    <m/>
    <m/>
  </r>
  <r>
    <n v="4542"/>
    <n v="55016"/>
    <d v="1993-08-09T00:00:00"/>
    <n v="32"/>
    <x v="0"/>
    <x v="1"/>
    <d v="2024-06-08T00:00:00"/>
    <n v="1.4876712328767123"/>
    <x v="125"/>
    <x v="1"/>
    <x v="6"/>
    <x v="1"/>
    <n v="23.78"/>
    <m/>
    <m/>
    <m/>
    <m/>
    <m/>
    <m/>
    <x v="1"/>
    <n v="6"/>
    <n v="6"/>
    <m/>
    <m/>
    <m/>
    <m/>
    <m/>
    <m/>
    <m/>
    <m/>
    <m/>
    <m/>
    <m/>
    <m/>
    <m/>
    <m/>
  </r>
  <r>
    <n v="4543"/>
    <n v="55017"/>
    <d v="2006-10-11T00:00:00"/>
    <n v="19"/>
    <x v="1"/>
    <x v="1"/>
    <d v="2024-07-06T00:00:00"/>
    <n v="1.2328767123287672"/>
    <x v="79"/>
    <x v="1"/>
    <x v="8"/>
    <x v="1"/>
    <n v="8.4700000000000006"/>
    <m/>
    <m/>
    <m/>
    <m/>
    <m/>
    <m/>
    <x v="3"/>
    <n v="1"/>
    <n v="6"/>
    <m/>
    <m/>
    <m/>
    <m/>
    <m/>
    <m/>
    <m/>
    <m/>
    <m/>
    <m/>
    <m/>
    <m/>
    <m/>
    <m/>
  </r>
  <r>
    <n v="4544"/>
    <n v="55018"/>
    <d v="2004-05-02T00:00:00"/>
    <n v="21"/>
    <x v="0"/>
    <x v="1"/>
    <d v="2024-10-07T00:00:00"/>
    <n v="1.3726027397260274"/>
    <x v="109"/>
    <x v="1"/>
    <x v="10"/>
    <x v="1"/>
    <n v="10.64"/>
    <m/>
    <m/>
    <m/>
    <m/>
    <m/>
    <m/>
    <x v="1"/>
    <n v="1"/>
    <n v="3"/>
    <m/>
    <m/>
    <m/>
    <m/>
    <m/>
    <m/>
    <m/>
    <m/>
    <m/>
    <m/>
    <m/>
    <m/>
    <m/>
    <m/>
  </r>
  <r>
    <n v="4545"/>
    <n v="55019"/>
    <d v="2000-05-16T00:00:00"/>
    <n v="25"/>
    <x v="1"/>
    <x v="0"/>
    <d v="2024-08-17T00:00:00"/>
    <n v="1.6657534246575343"/>
    <x v="109"/>
    <x v="1"/>
    <x v="3"/>
    <x v="1"/>
    <n v="8.4700000000000006"/>
    <m/>
    <m/>
    <m/>
    <m/>
    <m/>
    <m/>
    <x v="2"/>
    <n v="2"/>
    <n v="6"/>
    <m/>
    <m/>
    <m/>
    <m/>
    <m/>
    <m/>
    <m/>
    <m/>
    <m/>
    <m/>
    <m/>
    <m/>
    <m/>
    <m/>
  </r>
  <r>
    <n v="4546"/>
    <n v="55020"/>
    <d v="2002-07-01T00:00:00"/>
    <n v="24"/>
    <x v="1"/>
    <x v="1"/>
    <d v="2024-05-02T00:00:00"/>
    <n v="1.7698630136986302"/>
    <x v="129"/>
    <x v="1"/>
    <x v="7"/>
    <x v="1"/>
    <n v="17.59"/>
    <m/>
    <m/>
    <m/>
    <m/>
    <m/>
    <m/>
    <x v="2"/>
    <n v="2"/>
    <n v="6"/>
    <m/>
    <m/>
    <m/>
    <m/>
    <m/>
    <m/>
    <m/>
    <m/>
    <m/>
    <m/>
    <m/>
    <m/>
    <m/>
    <m/>
  </r>
  <r>
    <n v="4547"/>
    <n v="55021"/>
    <d v="2004-12-22T00:00:00"/>
    <n v="21"/>
    <x v="0"/>
    <x v="0"/>
    <d v="2024-03-25T00:00:00"/>
    <n v="1.0191780821917809"/>
    <x v="134"/>
    <x v="1"/>
    <x v="10"/>
    <x v="1"/>
    <n v="10.64"/>
    <m/>
    <m/>
    <m/>
    <m/>
    <m/>
    <m/>
    <x v="2"/>
    <n v="1"/>
    <n v="4"/>
    <m/>
    <m/>
    <m/>
    <m/>
    <m/>
    <m/>
    <m/>
    <m/>
    <m/>
    <m/>
    <m/>
    <m/>
    <m/>
    <m/>
  </r>
  <r>
    <n v="4548"/>
    <n v="55022"/>
    <d v="2006-10-28T00:00:00"/>
    <n v="19"/>
    <x v="1"/>
    <x v="1"/>
    <d v="2024-12-24T00:00:00"/>
    <n v="1.5917808219178082"/>
    <x v="134"/>
    <x v="1"/>
    <x v="3"/>
    <x v="1"/>
    <n v="8.4700000000000006"/>
    <m/>
    <m/>
    <m/>
    <m/>
    <m/>
    <m/>
    <x v="2"/>
    <n v="2"/>
    <n v="7"/>
    <m/>
    <m/>
    <m/>
    <m/>
    <m/>
    <m/>
    <m/>
    <m/>
    <m/>
    <m/>
    <m/>
    <m/>
    <m/>
    <m/>
  </r>
  <r>
    <n v="4549"/>
    <n v="55023"/>
    <d v="1997-10-06T00:00:00"/>
    <n v="28"/>
    <x v="1"/>
    <x v="0"/>
    <d v="2024-05-29T00:00:00"/>
    <n v="1.0684931506849316"/>
    <x v="81"/>
    <x v="1"/>
    <x v="8"/>
    <x v="1"/>
    <n v="8.4700000000000006"/>
    <m/>
    <m/>
    <m/>
    <m/>
    <m/>
    <m/>
    <x v="1"/>
    <n v="1"/>
    <n v="7"/>
    <m/>
    <m/>
    <m/>
    <m/>
    <m/>
    <m/>
    <m/>
    <m/>
    <m/>
    <m/>
    <m/>
    <m/>
    <m/>
    <m/>
  </r>
  <r>
    <n v="4550"/>
    <n v="55024"/>
    <d v="2006-02-21T00:00:00"/>
    <n v="19"/>
    <x v="1"/>
    <x v="1"/>
    <d v="2024-12-06T00:00:00"/>
    <n v="1.6958904109589041"/>
    <x v="100"/>
    <x v="1"/>
    <x v="3"/>
    <x v="1"/>
    <n v="8.4700000000000006"/>
    <m/>
    <m/>
    <m/>
    <m/>
    <m/>
    <m/>
    <x v="2"/>
    <n v="2"/>
    <n v="7"/>
    <m/>
    <m/>
    <m/>
    <m/>
    <m/>
    <m/>
    <m/>
    <m/>
    <m/>
    <m/>
    <m/>
    <m/>
    <m/>
    <m/>
  </r>
  <r>
    <n v="4551"/>
    <n v="55025"/>
    <d v="2000-12-11T00:00:00"/>
    <n v="25"/>
    <x v="1"/>
    <x v="1"/>
    <d v="2024-04-21T00:00:00"/>
    <n v="1.1589041095890411"/>
    <x v="96"/>
    <x v="1"/>
    <x v="11"/>
    <x v="1"/>
    <n v="17"/>
    <m/>
    <m/>
    <m/>
    <m/>
    <m/>
    <m/>
    <x v="3"/>
    <n v="4"/>
    <n v="6"/>
    <m/>
    <m/>
    <m/>
    <m/>
    <m/>
    <m/>
    <m/>
    <m/>
    <m/>
    <m/>
    <m/>
    <m/>
    <m/>
    <m/>
  </r>
  <r>
    <n v="4552"/>
    <n v="55026"/>
    <d v="2003-09-04T00:00:00"/>
    <n v="22"/>
    <x v="1"/>
    <x v="1"/>
    <d v="2024-11-03T00:00:00"/>
    <n v="1.2410958904109588"/>
    <x v="96"/>
    <x v="1"/>
    <x v="10"/>
    <x v="1"/>
    <n v="10.64"/>
    <m/>
    <m/>
    <m/>
    <m/>
    <m/>
    <m/>
    <x v="4"/>
    <n v="1"/>
    <n v="7"/>
    <m/>
    <m/>
    <m/>
    <m/>
    <m/>
    <m/>
    <m/>
    <m/>
    <m/>
    <m/>
    <m/>
    <m/>
    <m/>
    <m/>
  </r>
  <r>
    <n v="4553"/>
    <n v="55027"/>
    <d v="2004-01-19T00:00:00"/>
    <n v="21"/>
    <x v="1"/>
    <x v="0"/>
    <d v="2024-10-04T00:00:00"/>
    <n v="1.4931506849315068"/>
    <x v="96"/>
    <x v="1"/>
    <x v="8"/>
    <x v="1"/>
    <n v="8.4700000000000006"/>
    <m/>
    <m/>
    <m/>
    <m/>
    <m/>
    <m/>
    <x v="4"/>
    <n v="1"/>
    <n v="7"/>
    <m/>
    <m/>
    <m/>
    <m/>
    <m/>
    <m/>
    <m/>
    <m/>
    <m/>
    <m/>
    <m/>
    <m/>
    <m/>
    <m/>
  </r>
  <r>
    <n v="4554"/>
    <n v="55028"/>
    <d v="1999-09-01T00:00:00"/>
    <n v="27"/>
    <x v="1"/>
    <x v="1"/>
    <d v="2024-07-04T00:00:00"/>
    <n v="1.4547945205479451"/>
    <x v="89"/>
    <x v="1"/>
    <x v="11"/>
    <x v="1"/>
    <n v="17"/>
    <m/>
    <m/>
    <m/>
    <m/>
    <m/>
    <m/>
    <x v="4"/>
    <n v="4"/>
    <n v="6"/>
    <m/>
    <m/>
    <m/>
    <m/>
    <m/>
    <m/>
    <m/>
    <m/>
    <m/>
    <m/>
    <m/>
    <m/>
    <m/>
    <m/>
  </r>
  <r>
    <n v="4555"/>
    <n v="55029"/>
    <d v="2005-01-21T00:00:00"/>
    <n v="20"/>
    <x v="0"/>
    <x v="0"/>
    <d v="2024-07-18T00:00:00"/>
    <n v="1.3068493150684932"/>
    <x v="89"/>
    <x v="1"/>
    <x v="3"/>
    <x v="1"/>
    <n v="8.4700000000000006"/>
    <m/>
    <m/>
    <m/>
    <m/>
    <m/>
    <m/>
    <x v="1"/>
    <n v="0"/>
    <n v="4"/>
    <m/>
    <m/>
    <m/>
    <m/>
    <m/>
    <m/>
    <m/>
    <m/>
    <m/>
    <m/>
    <m/>
    <m/>
    <m/>
    <m/>
  </r>
  <r>
    <n v="4556"/>
    <n v="55031"/>
    <d v="1997-05-09T00:00:00"/>
    <n v="28"/>
    <x v="1"/>
    <x v="1"/>
    <d v="2024-09-10T00:00:00"/>
    <n v="1.5972602739726027"/>
    <x v="94"/>
    <x v="1"/>
    <x v="10"/>
    <x v="1"/>
    <n v="10.64"/>
    <m/>
    <m/>
    <m/>
    <m/>
    <m/>
    <m/>
    <x v="2"/>
    <n v="0"/>
    <n v="5"/>
    <m/>
    <m/>
    <m/>
    <m/>
    <m/>
    <m/>
    <m/>
    <m/>
    <m/>
    <m/>
    <m/>
    <m/>
    <m/>
    <m/>
  </r>
  <r>
    <n v="4557"/>
    <n v="55032"/>
    <d v="2007-10-01T00:00:00"/>
    <n v="19"/>
    <x v="1"/>
    <x v="0"/>
    <d v="2024-05-27T00:00:00"/>
    <n v="1.3671232876712329"/>
    <x v="94"/>
    <x v="1"/>
    <x v="3"/>
    <x v="1"/>
    <n v="8.4700000000000006"/>
    <m/>
    <m/>
    <m/>
    <m/>
    <m/>
    <m/>
    <x v="3"/>
    <n v="3"/>
    <n v="6"/>
    <m/>
    <m/>
    <m/>
    <m/>
    <m/>
    <m/>
    <m/>
    <m/>
    <m/>
    <m/>
    <m/>
    <m/>
    <m/>
    <m/>
  </r>
  <r>
    <n v="4558"/>
    <n v="55033"/>
    <d v="2000-03-22T00:00:00"/>
    <n v="25"/>
    <x v="1"/>
    <x v="1"/>
    <d v="2024-08-19T00:00:00"/>
    <n v="1.4876712328767123"/>
    <x v="84"/>
    <x v="1"/>
    <x v="11"/>
    <x v="1"/>
    <n v="17"/>
    <m/>
    <m/>
    <m/>
    <m/>
    <m/>
    <m/>
    <x v="1"/>
    <n v="4"/>
    <n v="7"/>
    <m/>
    <m/>
    <m/>
    <m/>
    <m/>
    <m/>
    <m/>
    <m/>
    <m/>
    <m/>
    <m/>
    <m/>
    <m/>
    <m/>
  </r>
  <r>
    <n v="4559"/>
    <n v="55035"/>
    <d v="1999-03-15T00:00:00"/>
    <n v="26"/>
    <x v="0"/>
    <x v="1"/>
    <d v="2024-07-06T00:00:00"/>
    <n v="1.7178082191780821"/>
    <x v="132"/>
    <x v="1"/>
    <x v="7"/>
    <x v="1"/>
    <n v="17.59"/>
    <m/>
    <m/>
    <m/>
    <m/>
    <m/>
    <m/>
    <x v="2"/>
    <n v="3"/>
    <n v="5"/>
    <m/>
    <m/>
    <m/>
    <m/>
    <m/>
    <m/>
    <m/>
    <m/>
    <m/>
    <m/>
    <m/>
    <m/>
    <m/>
    <m/>
  </r>
  <r>
    <n v="4560"/>
    <n v="55036"/>
    <d v="1995-10-23T00:00:00"/>
    <n v="30"/>
    <x v="1"/>
    <x v="1"/>
    <d v="2024-04-13T00:00:00"/>
    <n v="1.3945205479452054"/>
    <x v="98"/>
    <x v="1"/>
    <x v="10"/>
    <x v="1"/>
    <n v="10.64"/>
    <m/>
    <m/>
    <m/>
    <m/>
    <m/>
    <m/>
    <x v="2"/>
    <n v="0"/>
    <n v="4"/>
    <m/>
    <m/>
    <m/>
    <m/>
    <m/>
    <m/>
    <m/>
    <m/>
    <m/>
    <m/>
    <m/>
    <m/>
    <m/>
    <m/>
  </r>
  <r>
    <n v="4561"/>
    <n v="55037"/>
    <d v="2006-07-29T00:00:00"/>
    <n v="19"/>
    <x v="1"/>
    <x v="1"/>
    <d v="2024-08-09T00:00:00"/>
    <n v="1.1013698630136985"/>
    <x v="92"/>
    <x v="1"/>
    <x v="8"/>
    <x v="1"/>
    <n v="8.4700000000000006"/>
    <m/>
    <m/>
    <m/>
    <m/>
    <m/>
    <m/>
    <x v="3"/>
    <n v="2"/>
    <n v="5"/>
    <m/>
    <m/>
    <m/>
    <m/>
    <m/>
    <m/>
    <m/>
    <m/>
    <m/>
    <m/>
    <m/>
    <m/>
    <m/>
    <m/>
  </r>
  <r>
    <n v="4562"/>
    <n v="55038"/>
    <d v="2004-03-05T00:00:00"/>
    <n v="21"/>
    <x v="1"/>
    <x v="0"/>
    <d v="2024-11-24T00:00:00"/>
    <n v="1.7397260273972603"/>
    <x v="126"/>
    <x v="1"/>
    <x v="10"/>
    <x v="1"/>
    <n v="10.64"/>
    <m/>
    <m/>
    <m/>
    <m/>
    <m/>
    <m/>
    <x v="3"/>
    <n v="1"/>
    <n v="7"/>
    <m/>
    <m/>
    <m/>
    <m/>
    <m/>
    <m/>
    <m/>
    <m/>
    <m/>
    <m/>
    <m/>
    <m/>
    <m/>
    <m/>
  </r>
  <r>
    <n v="4563"/>
    <n v="55039"/>
    <d v="2002-11-26T00:00:00"/>
    <n v="23"/>
    <x v="0"/>
    <x v="1"/>
    <d v="2024-04-05T00:00:00"/>
    <n v="1.0767123287671232"/>
    <x v="128"/>
    <x v="1"/>
    <x v="8"/>
    <x v="1"/>
    <n v="8.4700000000000006"/>
    <m/>
    <m/>
    <m/>
    <m/>
    <m/>
    <m/>
    <x v="2"/>
    <n v="2"/>
    <n v="4"/>
    <m/>
    <m/>
    <m/>
    <m/>
    <m/>
    <m/>
    <m/>
    <m/>
    <m/>
    <m/>
    <m/>
    <m/>
    <m/>
    <m/>
  </r>
  <r>
    <n v="4564"/>
    <n v="55040"/>
    <d v="2004-02-01T00:00:00"/>
    <n v="22"/>
    <x v="1"/>
    <x v="1"/>
    <d v="2024-12-03T00:00:00"/>
    <n v="1.0191780821917809"/>
    <x v="128"/>
    <x v="1"/>
    <x v="8"/>
    <x v="1"/>
    <n v="8.4700000000000006"/>
    <m/>
    <m/>
    <m/>
    <m/>
    <m/>
    <m/>
    <x v="1"/>
    <n v="0"/>
    <n v="5"/>
    <m/>
    <m/>
    <m/>
    <m/>
    <m/>
    <m/>
    <m/>
    <m/>
    <m/>
    <m/>
    <m/>
    <m/>
    <m/>
    <m/>
  </r>
  <r>
    <n v="4565"/>
    <n v="55041"/>
    <d v="2005-06-16T00:00:00"/>
    <n v="20"/>
    <x v="1"/>
    <x v="1"/>
    <d v="2024-12-24T00:00:00"/>
    <n v="1.5315068493150685"/>
    <x v="116"/>
    <x v="1"/>
    <x v="8"/>
    <x v="1"/>
    <n v="8.4700000000000006"/>
    <m/>
    <m/>
    <m/>
    <m/>
    <m/>
    <m/>
    <x v="3"/>
    <n v="2"/>
    <n v="6"/>
    <m/>
    <m/>
    <m/>
    <m/>
    <m/>
    <m/>
    <m/>
    <m/>
    <m/>
    <m/>
    <m/>
    <m/>
    <m/>
    <m/>
  </r>
  <r>
    <n v="4566"/>
    <n v="55043"/>
    <d v="2003-02-19T00:00:00"/>
    <n v="22"/>
    <x v="1"/>
    <x v="1"/>
    <d v="2024-06-20T00:00:00"/>
    <n v="1.2602739726027397"/>
    <x v="0"/>
    <x v="0"/>
    <x v="11"/>
    <x v="1"/>
    <n v="17"/>
    <m/>
    <m/>
    <m/>
    <m/>
    <m/>
    <m/>
    <x v="1"/>
    <n v="1"/>
    <n v="6"/>
    <m/>
    <m/>
    <m/>
    <m/>
    <m/>
    <m/>
    <m/>
    <m/>
    <m/>
    <m/>
    <m/>
    <m/>
    <m/>
    <m/>
  </r>
  <r>
    <n v="4567"/>
    <n v="55044"/>
    <d v="2000-12-20T00:00:00"/>
    <n v="25"/>
    <x v="1"/>
    <x v="1"/>
    <d v="2024-09-27T00:00:00"/>
    <n v="1.8027397260273972"/>
    <x v="0"/>
    <x v="0"/>
    <x v="11"/>
    <x v="1"/>
    <n v="17"/>
    <m/>
    <m/>
    <m/>
    <m/>
    <m/>
    <m/>
    <x v="2"/>
    <n v="1"/>
    <n v="6"/>
    <m/>
    <m/>
    <m/>
    <m/>
    <m/>
    <m/>
    <m/>
    <m/>
    <m/>
    <m/>
    <m/>
    <m/>
    <m/>
    <m/>
  </r>
  <r>
    <n v="4568"/>
    <n v="55045"/>
    <d v="2003-09-06T00:00:00"/>
    <n v="22"/>
    <x v="1"/>
    <x v="1"/>
    <d v="2024-03-13T00:00:00"/>
    <n v="1.1260273972602739"/>
    <x v="0"/>
    <x v="0"/>
    <x v="10"/>
    <x v="1"/>
    <n v="10.64"/>
    <m/>
    <m/>
    <m/>
    <m/>
    <m/>
    <m/>
    <x v="4"/>
    <n v="1"/>
    <n v="5"/>
    <m/>
    <m/>
    <m/>
    <m/>
    <m/>
    <m/>
    <m/>
    <m/>
    <m/>
    <m/>
    <m/>
    <m/>
    <m/>
    <m/>
  </r>
  <r>
    <n v="4569"/>
    <n v="55046"/>
    <d v="2006-08-22T00:00:00"/>
    <n v="19"/>
    <x v="1"/>
    <x v="0"/>
    <d v="2024-11-15T00:00:00"/>
    <n v="1.6547945205479453"/>
    <x v="0"/>
    <x v="0"/>
    <x v="8"/>
    <x v="1"/>
    <n v="8.4700000000000006"/>
    <m/>
    <m/>
    <m/>
    <m/>
    <m/>
    <m/>
    <x v="4"/>
    <n v="2"/>
    <n v="7"/>
    <m/>
    <m/>
    <m/>
    <m/>
    <m/>
    <m/>
    <m/>
    <m/>
    <m/>
    <m/>
    <m/>
    <m/>
    <m/>
    <m/>
  </r>
  <r>
    <n v="4570"/>
    <n v="55047"/>
    <d v="2004-02-16T00:00:00"/>
    <n v="21"/>
    <x v="1"/>
    <x v="1"/>
    <d v="2024-05-06T00:00:00"/>
    <n v="1.7013698630136986"/>
    <x v="0"/>
    <x v="0"/>
    <x v="8"/>
    <x v="1"/>
    <n v="8.4700000000000006"/>
    <m/>
    <m/>
    <m/>
    <m/>
    <m/>
    <m/>
    <x v="4"/>
    <n v="2"/>
    <n v="6"/>
    <m/>
    <m/>
    <m/>
    <m/>
    <m/>
    <m/>
    <m/>
    <m/>
    <m/>
    <m/>
    <m/>
    <m/>
    <m/>
    <m/>
  </r>
  <r>
    <n v="4571"/>
    <n v="55048"/>
    <d v="2003-08-03T00:00:00"/>
    <n v="22"/>
    <x v="1"/>
    <x v="1"/>
    <d v="2024-04-19T00:00:00"/>
    <n v="1.0986301369863014"/>
    <x v="0"/>
    <x v="0"/>
    <x v="8"/>
    <x v="1"/>
    <n v="8.4700000000000006"/>
    <m/>
    <m/>
    <m/>
    <m/>
    <m/>
    <m/>
    <x v="3"/>
    <n v="2"/>
    <n v="5"/>
    <m/>
    <m/>
    <m/>
    <m/>
    <m/>
    <m/>
    <m/>
    <m/>
    <m/>
    <m/>
    <m/>
    <m/>
    <m/>
    <m/>
  </r>
  <r>
    <n v="4572"/>
    <n v="55049"/>
    <d v="2004-02-05T00:00:00"/>
    <n v="21"/>
    <x v="1"/>
    <x v="1"/>
    <d v="2024-11-25T00:00:00"/>
    <n v="1.2328767123287672"/>
    <x v="0"/>
    <x v="0"/>
    <x v="8"/>
    <x v="1"/>
    <n v="8.4700000000000006"/>
    <m/>
    <m/>
    <m/>
    <m/>
    <m/>
    <m/>
    <x v="2"/>
    <n v="1"/>
    <n v="5"/>
    <m/>
    <m/>
    <m/>
    <m/>
    <m/>
    <m/>
    <m/>
    <m/>
    <m/>
    <m/>
    <m/>
    <m/>
    <m/>
    <m/>
  </r>
  <r>
    <n v="4573"/>
    <n v="55050"/>
    <d v="2003-09-25T00:00:00"/>
    <n v="22"/>
    <x v="1"/>
    <x v="1"/>
    <d v="2024-10-07T00:00:00"/>
    <n v="1.1342465753424658"/>
    <x v="0"/>
    <x v="0"/>
    <x v="8"/>
    <x v="1"/>
    <n v="8.4700000000000006"/>
    <m/>
    <m/>
    <m/>
    <m/>
    <m/>
    <m/>
    <x v="1"/>
    <n v="1"/>
    <n v="5"/>
    <m/>
    <m/>
    <m/>
    <m/>
    <m/>
    <m/>
    <m/>
    <m/>
    <m/>
    <m/>
    <m/>
    <m/>
    <m/>
    <m/>
  </r>
  <r>
    <n v="4574"/>
    <n v="55052"/>
    <d v="2004-03-14T00:00:00"/>
    <n v="21"/>
    <x v="1"/>
    <x v="0"/>
    <d v="2024-11-12T00:00:00"/>
    <n v="1.2712328767123289"/>
    <x v="0"/>
    <x v="0"/>
    <x v="8"/>
    <x v="1"/>
    <n v="8.4700000000000006"/>
    <m/>
    <m/>
    <m/>
    <m/>
    <m/>
    <m/>
    <x v="3"/>
    <n v="2"/>
    <n v="6"/>
    <m/>
    <m/>
    <m/>
    <m/>
    <m/>
    <m/>
    <m/>
    <m/>
    <m/>
    <m/>
    <m/>
    <m/>
    <m/>
    <m/>
  </r>
  <r>
    <n v="4575"/>
    <n v="55053"/>
    <d v="1996-10-16T00:00:00"/>
    <n v="29"/>
    <x v="0"/>
    <x v="1"/>
    <d v="2024-09-23T00:00:00"/>
    <n v="1.6301369863013699"/>
    <x v="2"/>
    <x v="0"/>
    <x v="11"/>
    <x v="1"/>
    <n v="17"/>
    <m/>
    <m/>
    <m/>
    <m/>
    <m/>
    <m/>
    <x v="4"/>
    <n v="4"/>
    <n v="6"/>
    <m/>
    <m/>
    <m/>
    <m/>
    <m/>
    <m/>
    <m/>
    <m/>
    <m/>
    <m/>
    <m/>
    <m/>
    <m/>
    <m/>
  </r>
  <r>
    <n v="4576"/>
    <n v="55054"/>
    <d v="2002-12-05T00:00:00"/>
    <n v="23"/>
    <x v="0"/>
    <x v="1"/>
    <d v="2024-05-15T00:00:00"/>
    <n v="1.0356164383561643"/>
    <x v="2"/>
    <x v="0"/>
    <x v="10"/>
    <x v="1"/>
    <n v="10.64"/>
    <m/>
    <m/>
    <m/>
    <m/>
    <m/>
    <m/>
    <x v="1"/>
    <n v="0"/>
    <n v="4"/>
    <m/>
    <m/>
    <m/>
    <m/>
    <m/>
    <m/>
    <m/>
    <m/>
    <m/>
    <m/>
    <m/>
    <m/>
    <m/>
    <m/>
  </r>
  <r>
    <n v="4577"/>
    <n v="55055"/>
    <d v="2001-05-22T00:00:00"/>
    <n v="24"/>
    <x v="1"/>
    <x v="1"/>
    <d v="2024-12-18T00:00:00"/>
    <n v="1.4986301369863013"/>
    <x v="2"/>
    <x v="0"/>
    <x v="1"/>
    <x v="1"/>
    <n v="16.37"/>
    <m/>
    <m/>
    <m/>
    <m/>
    <m/>
    <m/>
    <x v="1"/>
    <n v="1"/>
    <n v="7"/>
    <m/>
    <m/>
    <m/>
    <m/>
    <m/>
    <m/>
    <m/>
    <m/>
    <m/>
    <m/>
    <m/>
    <m/>
    <m/>
    <m/>
  </r>
  <r>
    <n v="4578"/>
    <n v="55056"/>
    <d v="2005-03-18T00:00:00"/>
    <n v="20"/>
    <x v="1"/>
    <x v="1"/>
    <d v="2024-07-02T00:00:00"/>
    <n v="1.263013698630137"/>
    <x v="2"/>
    <x v="0"/>
    <x v="8"/>
    <x v="1"/>
    <n v="8.4700000000000006"/>
    <m/>
    <m/>
    <m/>
    <m/>
    <m/>
    <m/>
    <x v="1"/>
    <n v="2"/>
    <n v="6"/>
    <m/>
    <m/>
    <m/>
    <m/>
    <m/>
    <m/>
    <m/>
    <m/>
    <m/>
    <m/>
    <m/>
    <m/>
    <m/>
    <m/>
  </r>
  <r>
    <n v="4579"/>
    <n v="55057"/>
    <d v="1998-04-21T00:00:00"/>
    <n v="27"/>
    <x v="0"/>
    <x v="1"/>
    <d v="2024-09-26T00:00:00"/>
    <n v="1.0301369863013699"/>
    <x v="2"/>
    <x v="0"/>
    <x v="8"/>
    <x v="1"/>
    <n v="8.4700000000000006"/>
    <m/>
    <m/>
    <m/>
    <m/>
    <m/>
    <m/>
    <x v="2"/>
    <n v="3"/>
    <n v="6"/>
    <m/>
    <m/>
    <m/>
    <m/>
    <m/>
    <m/>
    <m/>
    <m/>
    <m/>
    <m/>
    <m/>
    <m/>
    <m/>
    <m/>
  </r>
  <r>
    <n v="4580"/>
    <n v="55058"/>
    <d v="1993-02-03T00:00:00"/>
    <n v="32"/>
    <x v="1"/>
    <x v="1"/>
    <d v="2024-12-20T00:00:00"/>
    <n v="1.5561643835616439"/>
    <x v="2"/>
    <x v="0"/>
    <x v="8"/>
    <x v="1"/>
    <n v="8.4700000000000006"/>
    <m/>
    <m/>
    <m/>
    <m/>
    <m/>
    <m/>
    <x v="3"/>
    <n v="2"/>
    <n v="5"/>
    <m/>
    <m/>
    <m/>
    <m/>
    <m/>
    <m/>
    <m/>
    <m/>
    <m/>
    <m/>
    <m/>
    <m/>
    <m/>
    <m/>
  </r>
  <r>
    <n v="4581"/>
    <n v="55059"/>
    <d v="2003-06-05T00:00:00"/>
    <n v="22"/>
    <x v="1"/>
    <x v="1"/>
    <d v="2024-06-11T00:00:00"/>
    <n v="1.5397260273972602"/>
    <x v="2"/>
    <x v="0"/>
    <x v="8"/>
    <x v="1"/>
    <n v="8.4700000000000006"/>
    <m/>
    <m/>
    <m/>
    <m/>
    <m/>
    <m/>
    <x v="4"/>
    <n v="4"/>
    <n v="6"/>
    <m/>
    <m/>
    <m/>
    <m/>
    <m/>
    <m/>
    <m/>
    <m/>
    <m/>
    <m/>
    <m/>
    <m/>
    <m/>
    <m/>
  </r>
  <r>
    <n v="4582"/>
    <n v="55060"/>
    <d v="2005-09-18T00:00:00"/>
    <n v="20"/>
    <x v="1"/>
    <x v="1"/>
    <d v="2024-06-17T00:00:00"/>
    <n v="1.4684931506849315"/>
    <x v="2"/>
    <x v="0"/>
    <x v="8"/>
    <x v="1"/>
    <n v="8.4700000000000006"/>
    <m/>
    <m/>
    <m/>
    <m/>
    <m/>
    <m/>
    <x v="1"/>
    <n v="0"/>
    <n v="5"/>
    <m/>
    <m/>
    <m/>
    <m/>
    <m/>
    <m/>
    <m/>
    <m/>
    <m/>
    <m/>
    <m/>
    <m/>
    <m/>
    <m/>
  </r>
  <r>
    <n v="4583"/>
    <n v="55061"/>
    <d v="2001-02-18T00:00:00"/>
    <n v="24"/>
    <x v="1"/>
    <x v="0"/>
    <d v="2024-07-13T00:00:00"/>
    <n v="1.441095890410959"/>
    <x v="2"/>
    <x v="0"/>
    <x v="8"/>
    <x v="1"/>
    <n v="8.4700000000000006"/>
    <m/>
    <m/>
    <m/>
    <m/>
    <m/>
    <m/>
    <x v="2"/>
    <n v="4"/>
    <n v="7"/>
    <m/>
    <m/>
    <m/>
    <m/>
    <m/>
    <m/>
    <m/>
    <m/>
    <m/>
    <m/>
    <m/>
    <m/>
    <m/>
    <m/>
  </r>
  <r>
    <n v="4584"/>
    <n v="55062"/>
    <d v="2005-05-23T00:00:00"/>
    <n v="20"/>
    <x v="1"/>
    <x v="0"/>
    <d v="2024-07-23T00:00:00"/>
    <n v="1.8273972602739725"/>
    <x v="2"/>
    <x v="0"/>
    <x v="8"/>
    <x v="1"/>
    <n v="8.4700000000000006"/>
    <m/>
    <m/>
    <m/>
    <m/>
    <m/>
    <m/>
    <x v="3"/>
    <n v="3"/>
    <n v="5"/>
    <m/>
    <m/>
    <m/>
    <m/>
    <m/>
    <m/>
    <m/>
    <m/>
    <m/>
    <m/>
    <m/>
    <m/>
    <m/>
    <m/>
  </r>
  <r>
    <n v="4585"/>
    <n v="55063"/>
    <d v="2002-11-28T00:00:00"/>
    <n v="23"/>
    <x v="0"/>
    <x v="1"/>
    <d v="2024-03-04T00:00:00"/>
    <n v="1.5287671232876712"/>
    <x v="2"/>
    <x v="0"/>
    <x v="8"/>
    <x v="1"/>
    <n v="8.4700000000000006"/>
    <m/>
    <m/>
    <m/>
    <m/>
    <m/>
    <m/>
    <x v="3"/>
    <n v="2"/>
    <n v="4"/>
    <m/>
    <m/>
    <m/>
    <m/>
    <m/>
    <m/>
    <m/>
    <m/>
    <m/>
    <m/>
    <m/>
    <m/>
    <m/>
    <m/>
  </r>
  <r>
    <n v="4586"/>
    <n v="55064"/>
    <d v="2000-12-19T00:00:00"/>
    <n v="25"/>
    <x v="0"/>
    <x v="1"/>
    <d v="2024-06-21T00:00:00"/>
    <n v="1.3753424657534246"/>
    <x v="2"/>
    <x v="0"/>
    <x v="8"/>
    <x v="1"/>
    <n v="8.4700000000000006"/>
    <m/>
    <m/>
    <m/>
    <m/>
    <m/>
    <m/>
    <x v="3"/>
    <n v="2"/>
    <n v="4"/>
    <m/>
    <m/>
    <m/>
    <m/>
    <m/>
    <m/>
    <m/>
    <m/>
    <m/>
    <m/>
    <m/>
    <m/>
    <m/>
    <m/>
  </r>
  <r>
    <n v="4587"/>
    <n v="55065"/>
    <d v="2006-02-27T00:00:00"/>
    <n v="19"/>
    <x v="1"/>
    <x v="0"/>
    <d v="2024-08-16T00:00:00"/>
    <n v="1.189041095890411"/>
    <x v="2"/>
    <x v="0"/>
    <x v="8"/>
    <x v="1"/>
    <n v="8.4700000000000006"/>
    <m/>
    <m/>
    <m/>
    <m/>
    <m/>
    <m/>
    <x v="4"/>
    <n v="2"/>
    <n v="5"/>
    <m/>
    <m/>
    <m/>
    <m/>
    <m/>
    <m/>
    <m/>
    <m/>
    <m/>
    <m/>
    <m/>
    <m/>
    <m/>
    <m/>
  </r>
  <r>
    <n v="4588"/>
    <n v="55066"/>
    <d v="2003-06-19T00:00:00"/>
    <n v="22"/>
    <x v="0"/>
    <x v="1"/>
    <d v="2024-10-23T00:00:00"/>
    <n v="1.0246575342465754"/>
    <x v="2"/>
    <x v="0"/>
    <x v="8"/>
    <x v="1"/>
    <n v="8.4700000000000006"/>
    <m/>
    <m/>
    <m/>
    <m/>
    <m/>
    <m/>
    <x v="2"/>
    <n v="4"/>
    <n v="6"/>
    <m/>
    <m/>
    <m/>
    <m/>
    <m/>
    <m/>
    <m/>
    <m/>
    <m/>
    <m/>
    <m/>
    <m/>
    <m/>
    <m/>
  </r>
  <r>
    <n v="4589"/>
    <n v="55067"/>
    <d v="2004-02-25T00:00:00"/>
    <n v="21"/>
    <x v="1"/>
    <x v="1"/>
    <d v="2024-12-22T00:00:00"/>
    <n v="1.704109589041096"/>
    <x v="2"/>
    <x v="0"/>
    <x v="8"/>
    <x v="1"/>
    <n v="8.4700000000000006"/>
    <m/>
    <m/>
    <m/>
    <m/>
    <m/>
    <m/>
    <x v="4"/>
    <n v="2"/>
    <n v="7"/>
    <m/>
    <m/>
    <m/>
    <m/>
    <m/>
    <m/>
    <m/>
    <m/>
    <m/>
    <m/>
    <m/>
    <m/>
    <m/>
    <m/>
  </r>
  <r>
    <n v="4590"/>
    <n v="55068"/>
    <d v="2007-05-22T00:00:00"/>
    <n v="18"/>
    <x v="1"/>
    <x v="1"/>
    <d v="2024-04-18T00:00:00"/>
    <n v="1.2054794520547945"/>
    <x v="2"/>
    <x v="0"/>
    <x v="8"/>
    <x v="1"/>
    <n v="8.4700000000000006"/>
    <m/>
    <m/>
    <m/>
    <m/>
    <m/>
    <m/>
    <x v="1"/>
    <n v="2"/>
    <n v="7"/>
    <m/>
    <m/>
    <m/>
    <m/>
    <m/>
    <m/>
    <m/>
    <m/>
    <m/>
    <m/>
    <m/>
    <m/>
    <m/>
    <m/>
  </r>
  <r>
    <n v="4591"/>
    <n v="55069"/>
    <d v="2003-04-28T00:00:00"/>
    <n v="22"/>
    <x v="1"/>
    <x v="0"/>
    <d v="2024-10-17T00:00:00"/>
    <n v="1.1315068493150684"/>
    <x v="2"/>
    <x v="0"/>
    <x v="8"/>
    <x v="1"/>
    <n v="8.4700000000000006"/>
    <m/>
    <m/>
    <m/>
    <m/>
    <m/>
    <m/>
    <x v="3"/>
    <n v="2"/>
    <n v="4"/>
    <m/>
    <m/>
    <m/>
    <m/>
    <m/>
    <m/>
    <m/>
    <m/>
    <m/>
    <m/>
    <m/>
    <m/>
    <m/>
    <m/>
  </r>
  <r>
    <n v="4592"/>
    <n v="55070"/>
    <d v="1999-06-26T00:00:00"/>
    <n v="26"/>
    <x v="1"/>
    <x v="0"/>
    <d v="2024-11-13T00:00:00"/>
    <n v="1.5095890410958903"/>
    <x v="2"/>
    <x v="0"/>
    <x v="8"/>
    <x v="1"/>
    <n v="8.4700000000000006"/>
    <m/>
    <m/>
    <m/>
    <m/>
    <m/>
    <m/>
    <x v="1"/>
    <n v="2"/>
    <n v="5"/>
    <m/>
    <m/>
    <m/>
    <m/>
    <m/>
    <m/>
    <m/>
    <m/>
    <m/>
    <m/>
    <m/>
    <m/>
    <m/>
    <m/>
  </r>
  <r>
    <n v="4593"/>
    <n v="55071"/>
    <d v="2004-06-25T00:00:00"/>
    <n v="21"/>
    <x v="1"/>
    <x v="1"/>
    <d v="2024-06-28T00:00:00"/>
    <n v="1.4493150684931506"/>
    <x v="2"/>
    <x v="0"/>
    <x v="8"/>
    <x v="1"/>
    <n v="8.4700000000000006"/>
    <m/>
    <m/>
    <m/>
    <m/>
    <m/>
    <m/>
    <x v="3"/>
    <n v="0"/>
    <n v="5"/>
    <m/>
    <m/>
    <m/>
    <m/>
    <m/>
    <m/>
    <m/>
    <m/>
    <m/>
    <m/>
    <m/>
    <m/>
    <m/>
    <m/>
  </r>
  <r>
    <n v="4594"/>
    <n v="55072"/>
    <d v="1998-06-26T00:00:00"/>
    <n v="27"/>
    <x v="1"/>
    <x v="1"/>
    <d v="2024-07-20T00:00:00"/>
    <n v="1.7643835616438357"/>
    <x v="2"/>
    <x v="0"/>
    <x v="8"/>
    <x v="1"/>
    <n v="8.4700000000000006"/>
    <m/>
    <m/>
    <m/>
    <m/>
    <m/>
    <m/>
    <x v="4"/>
    <n v="3"/>
    <n v="6"/>
    <m/>
    <m/>
    <m/>
    <m/>
    <m/>
    <m/>
    <m/>
    <m/>
    <m/>
    <m/>
    <m/>
    <m/>
    <m/>
    <m/>
  </r>
  <r>
    <n v="4595"/>
    <n v="55073"/>
    <d v="2005-03-18T00:00:00"/>
    <n v="20"/>
    <x v="1"/>
    <x v="1"/>
    <d v="2024-03-27T00:00:00"/>
    <n v="1.6219178082191781"/>
    <x v="2"/>
    <x v="0"/>
    <x v="8"/>
    <x v="1"/>
    <n v="8.4700000000000006"/>
    <m/>
    <m/>
    <m/>
    <m/>
    <m/>
    <m/>
    <x v="4"/>
    <n v="2"/>
    <n v="5"/>
    <m/>
    <m/>
    <m/>
    <m/>
    <m/>
    <m/>
    <m/>
    <m/>
    <m/>
    <m/>
    <m/>
    <m/>
    <m/>
    <m/>
  </r>
  <r>
    <n v="4596"/>
    <n v="55074"/>
    <d v="1996-07-18T00:00:00"/>
    <n v="29"/>
    <x v="1"/>
    <x v="0"/>
    <d v="2024-05-18T00:00:00"/>
    <n v="1.4136986301369863"/>
    <x v="2"/>
    <x v="0"/>
    <x v="8"/>
    <x v="1"/>
    <n v="8.4700000000000006"/>
    <m/>
    <m/>
    <m/>
    <m/>
    <m/>
    <m/>
    <x v="1"/>
    <n v="4"/>
    <n v="5"/>
    <m/>
    <m/>
    <m/>
    <m/>
    <m/>
    <m/>
    <m/>
    <m/>
    <m/>
    <m/>
    <m/>
    <m/>
    <m/>
    <m/>
  </r>
  <r>
    <n v="4597"/>
    <n v="55075"/>
    <d v="1998-05-16T00:00:00"/>
    <n v="27"/>
    <x v="1"/>
    <x v="1"/>
    <d v="2024-08-02T00:00:00"/>
    <n v="1.1589041095890411"/>
    <x v="2"/>
    <x v="0"/>
    <x v="8"/>
    <x v="1"/>
    <n v="8.4700000000000006"/>
    <m/>
    <m/>
    <m/>
    <m/>
    <m/>
    <m/>
    <x v="4"/>
    <n v="2"/>
    <n v="7"/>
    <m/>
    <m/>
    <m/>
    <m/>
    <m/>
    <m/>
    <m/>
    <m/>
    <m/>
    <m/>
    <m/>
    <m/>
    <m/>
    <m/>
  </r>
  <r>
    <n v="4598"/>
    <n v="55076"/>
    <d v="2000-02-28T00:00:00"/>
    <n v="25"/>
    <x v="1"/>
    <x v="1"/>
    <d v="2024-11-03T00:00:00"/>
    <n v="1.1561643835616437"/>
    <x v="3"/>
    <x v="0"/>
    <x v="11"/>
    <x v="1"/>
    <n v="17"/>
    <m/>
    <m/>
    <m/>
    <m/>
    <m/>
    <m/>
    <x v="3"/>
    <n v="1"/>
    <n v="5"/>
    <m/>
    <m/>
    <m/>
    <m/>
    <m/>
    <m/>
    <m/>
    <m/>
    <m/>
    <m/>
    <m/>
    <m/>
    <m/>
    <m/>
  </r>
  <r>
    <n v="4599"/>
    <n v="55077"/>
    <d v="2000-08-19T00:00:00"/>
    <n v="25"/>
    <x v="1"/>
    <x v="1"/>
    <d v="2024-11-04T00:00:00"/>
    <n v="1.6273972602739726"/>
    <x v="3"/>
    <x v="0"/>
    <x v="11"/>
    <x v="1"/>
    <n v="17"/>
    <m/>
    <m/>
    <m/>
    <m/>
    <m/>
    <m/>
    <x v="4"/>
    <n v="4"/>
    <n v="6"/>
    <m/>
    <m/>
    <m/>
    <m/>
    <m/>
    <m/>
    <m/>
    <m/>
    <m/>
    <m/>
    <m/>
    <m/>
    <m/>
    <m/>
  </r>
  <r>
    <n v="4600"/>
    <n v="55078"/>
    <d v="2002-07-08T00:00:00"/>
    <n v="23"/>
    <x v="1"/>
    <x v="1"/>
    <d v="2024-05-16T00:00:00"/>
    <n v="1.8904109589041096"/>
    <x v="3"/>
    <x v="0"/>
    <x v="10"/>
    <x v="1"/>
    <n v="10.64"/>
    <m/>
    <m/>
    <m/>
    <m/>
    <m/>
    <m/>
    <x v="4"/>
    <n v="0"/>
    <n v="5"/>
    <m/>
    <m/>
    <m/>
    <m/>
    <m/>
    <m/>
    <m/>
    <m/>
    <m/>
    <m/>
    <m/>
    <m/>
    <m/>
    <m/>
  </r>
  <r>
    <n v="4601"/>
    <n v="55079"/>
    <d v="2006-01-07T00:00:00"/>
    <n v="19"/>
    <x v="1"/>
    <x v="0"/>
    <d v="2024-02-10T00:00:00"/>
    <n v="1.0438356164383562"/>
    <x v="3"/>
    <x v="0"/>
    <x v="8"/>
    <x v="1"/>
    <n v="8.4700000000000006"/>
    <m/>
    <m/>
    <m/>
    <m/>
    <m/>
    <m/>
    <x v="3"/>
    <n v="1"/>
    <n v="5"/>
    <m/>
    <m/>
    <m/>
    <m/>
    <m/>
    <m/>
    <m/>
    <m/>
    <m/>
    <m/>
    <m/>
    <m/>
    <m/>
    <m/>
  </r>
  <r>
    <n v="4602"/>
    <n v="55080"/>
    <d v="2000-06-07T00:00:00"/>
    <n v="25"/>
    <x v="1"/>
    <x v="1"/>
    <d v="2024-12-15T00:00:00"/>
    <n v="1.2273972602739727"/>
    <x v="3"/>
    <x v="0"/>
    <x v="8"/>
    <x v="1"/>
    <n v="8.4700000000000006"/>
    <m/>
    <m/>
    <m/>
    <m/>
    <m/>
    <m/>
    <x v="4"/>
    <n v="1"/>
    <n v="7"/>
    <m/>
    <m/>
    <m/>
    <m/>
    <m/>
    <m/>
    <m/>
    <m/>
    <m/>
    <m/>
    <m/>
    <m/>
    <m/>
    <m/>
  </r>
  <r>
    <n v="4603"/>
    <n v="55081"/>
    <d v="2005-09-08T00:00:00"/>
    <n v="20"/>
    <x v="1"/>
    <x v="1"/>
    <d v="2024-10-09T00:00:00"/>
    <n v="1.4931506849315068"/>
    <x v="3"/>
    <x v="0"/>
    <x v="8"/>
    <x v="1"/>
    <n v="8.4700000000000006"/>
    <m/>
    <m/>
    <m/>
    <m/>
    <m/>
    <m/>
    <x v="4"/>
    <n v="2"/>
    <n v="6"/>
    <m/>
    <m/>
    <m/>
    <m/>
    <m/>
    <m/>
    <m/>
    <m/>
    <m/>
    <m/>
    <m/>
    <m/>
    <m/>
    <m/>
  </r>
  <r>
    <n v="4604"/>
    <n v="55082"/>
    <d v="2006-06-14T00:00:00"/>
    <n v="19"/>
    <x v="1"/>
    <x v="1"/>
    <d v="2024-07-04T00:00:00"/>
    <n v="1.284931506849315"/>
    <x v="3"/>
    <x v="0"/>
    <x v="8"/>
    <x v="1"/>
    <n v="8.4700000000000006"/>
    <m/>
    <m/>
    <m/>
    <m/>
    <m/>
    <m/>
    <x v="1"/>
    <n v="2"/>
    <n v="6"/>
    <m/>
    <m/>
    <m/>
    <m/>
    <m/>
    <m/>
    <m/>
    <m/>
    <m/>
    <m/>
    <m/>
    <m/>
    <m/>
    <m/>
  </r>
  <r>
    <n v="4605"/>
    <n v="55083"/>
    <d v="2003-12-20T00:00:00"/>
    <n v="22"/>
    <x v="1"/>
    <x v="0"/>
    <d v="2024-09-18T00:00:00"/>
    <n v="1.0082191780821919"/>
    <x v="3"/>
    <x v="0"/>
    <x v="8"/>
    <x v="1"/>
    <n v="8.4700000000000006"/>
    <m/>
    <m/>
    <m/>
    <m/>
    <m/>
    <m/>
    <x v="3"/>
    <n v="2"/>
    <n v="6"/>
    <m/>
    <m/>
    <m/>
    <m/>
    <m/>
    <m/>
    <m/>
    <m/>
    <m/>
    <m/>
    <m/>
    <m/>
    <m/>
    <m/>
  </r>
  <r>
    <n v="4606"/>
    <n v="55084"/>
    <d v="1997-04-28T00:00:00"/>
    <n v="28"/>
    <x v="1"/>
    <x v="1"/>
    <d v="2024-12-28T00:00:00"/>
    <n v="1.3917808219178083"/>
    <x v="3"/>
    <x v="0"/>
    <x v="8"/>
    <x v="1"/>
    <n v="8.4700000000000006"/>
    <m/>
    <m/>
    <m/>
    <m/>
    <m/>
    <m/>
    <x v="3"/>
    <n v="1"/>
    <n v="5"/>
    <m/>
    <m/>
    <m/>
    <m/>
    <m/>
    <m/>
    <m/>
    <m/>
    <m/>
    <m/>
    <m/>
    <m/>
    <m/>
    <m/>
  </r>
  <r>
    <n v="4607"/>
    <n v="55085"/>
    <d v="2005-11-04T00:00:00"/>
    <n v="20"/>
    <x v="1"/>
    <x v="1"/>
    <d v="2024-08-10T00:00:00"/>
    <n v="1.0684931506849316"/>
    <x v="3"/>
    <x v="0"/>
    <x v="8"/>
    <x v="1"/>
    <n v="8.4700000000000006"/>
    <m/>
    <m/>
    <m/>
    <m/>
    <m/>
    <m/>
    <x v="4"/>
    <n v="2"/>
    <n v="7"/>
    <m/>
    <m/>
    <m/>
    <m/>
    <m/>
    <m/>
    <m/>
    <m/>
    <m/>
    <m/>
    <m/>
    <m/>
    <m/>
    <m/>
  </r>
  <r>
    <n v="4608"/>
    <n v="55086"/>
    <d v="2003-03-25T00:00:00"/>
    <n v="22"/>
    <x v="1"/>
    <x v="1"/>
    <d v="2024-12-06T00:00:00"/>
    <n v="1.6739726027397259"/>
    <x v="3"/>
    <x v="0"/>
    <x v="8"/>
    <x v="1"/>
    <n v="8.4700000000000006"/>
    <m/>
    <m/>
    <m/>
    <m/>
    <m/>
    <m/>
    <x v="1"/>
    <n v="0"/>
    <n v="6"/>
    <m/>
    <m/>
    <m/>
    <m/>
    <m/>
    <m/>
    <m/>
    <m/>
    <m/>
    <m/>
    <m/>
    <m/>
    <m/>
    <m/>
  </r>
  <r>
    <n v="4609"/>
    <n v="55087"/>
    <d v="2001-03-14T00:00:00"/>
    <n v="24"/>
    <x v="1"/>
    <x v="1"/>
    <d v="2024-04-29T00:00:00"/>
    <n v="1.5123287671232877"/>
    <x v="3"/>
    <x v="0"/>
    <x v="8"/>
    <x v="1"/>
    <n v="8.4700000000000006"/>
    <m/>
    <m/>
    <m/>
    <m/>
    <m/>
    <m/>
    <x v="1"/>
    <n v="2"/>
    <n v="7"/>
    <m/>
    <m/>
    <m/>
    <m/>
    <m/>
    <m/>
    <m/>
    <m/>
    <m/>
    <m/>
    <m/>
    <m/>
    <m/>
    <m/>
  </r>
  <r>
    <n v="4610"/>
    <n v="55088"/>
    <d v="2002-08-06T00:00:00"/>
    <n v="23"/>
    <x v="1"/>
    <x v="1"/>
    <d v="2024-06-27T00:00:00"/>
    <n v="1.4767123287671233"/>
    <x v="3"/>
    <x v="0"/>
    <x v="8"/>
    <x v="1"/>
    <n v="8.4700000000000006"/>
    <m/>
    <m/>
    <m/>
    <m/>
    <m/>
    <m/>
    <x v="1"/>
    <n v="0"/>
    <n v="7"/>
    <m/>
    <m/>
    <m/>
    <m/>
    <m/>
    <m/>
    <m/>
    <m/>
    <m/>
    <m/>
    <m/>
    <m/>
    <m/>
    <m/>
  </r>
  <r>
    <n v="4611"/>
    <n v="55090"/>
    <d v="1995-02-08T00:00:00"/>
    <n v="30"/>
    <x v="1"/>
    <x v="1"/>
    <d v="2024-07-10T00:00:00"/>
    <n v="1.2876712328767124"/>
    <x v="3"/>
    <x v="0"/>
    <x v="8"/>
    <x v="1"/>
    <n v="8.4700000000000006"/>
    <m/>
    <m/>
    <m/>
    <m/>
    <m/>
    <m/>
    <x v="2"/>
    <n v="3"/>
    <n v="6"/>
    <m/>
    <m/>
    <m/>
    <m/>
    <m/>
    <m/>
    <m/>
    <m/>
    <m/>
    <m/>
    <m/>
    <m/>
    <m/>
    <m/>
  </r>
  <r>
    <n v="4612"/>
    <n v="55091"/>
    <d v="2002-07-04T00:00:00"/>
    <n v="23"/>
    <x v="1"/>
    <x v="1"/>
    <d v="2024-09-17T00:00:00"/>
    <n v="1.3424657534246576"/>
    <x v="4"/>
    <x v="0"/>
    <x v="11"/>
    <x v="1"/>
    <n v="17"/>
    <m/>
    <m/>
    <m/>
    <m/>
    <m/>
    <m/>
    <x v="4"/>
    <n v="3"/>
    <n v="6"/>
    <m/>
    <m/>
    <m/>
    <m/>
    <m/>
    <m/>
    <m/>
    <m/>
    <m/>
    <m/>
    <m/>
    <m/>
    <m/>
    <m/>
  </r>
  <r>
    <n v="4613"/>
    <n v="55092"/>
    <d v="2005-10-10T00:00:00"/>
    <n v="20"/>
    <x v="1"/>
    <x v="0"/>
    <d v="2024-08-28T00:00:00"/>
    <n v="1.4493150684931506"/>
    <x v="4"/>
    <x v="0"/>
    <x v="10"/>
    <x v="1"/>
    <n v="10.64"/>
    <m/>
    <m/>
    <m/>
    <m/>
    <m/>
    <m/>
    <x v="2"/>
    <n v="1"/>
    <n v="6"/>
    <m/>
    <m/>
    <m/>
    <m/>
    <m/>
    <m/>
    <m/>
    <m/>
    <m/>
    <m/>
    <m/>
    <m/>
    <m/>
    <m/>
  </r>
  <r>
    <n v="4614"/>
    <n v="55093"/>
    <d v="2005-11-14T00:00:00"/>
    <n v="20"/>
    <x v="1"/>
    <x v="1"/>
    <d v="2024-07-20T00:00:00"/>
    <n v="1.178082191780822"/>
    <x v="4"/>
    <x v="0"/>
    <x v="8"/>
    <x v="1"/>
    <n v="8.4700000000000006"/>
    <m/>
    <m/>
    <m/>
    <m/>
    <m/>
    <m/>
    <x v="2"/>
    <n v="2"/>
    <n v="5"/>
    <m/>
    <m/>
    <m/>
    <m/>
    <m/>
    <m/>
    <m/>
    <m/>
    <m/>
    <m/>
    <m/>
    <m/>
    <m/>
    <m/>
  </r>
  <r>
    <n v="4615"/>
    <n v="55094"/>
    <d v="1993-01-01T00:00:00"/>
    <n v="33"/>
    <x v="1"/>
    <x v="1"/>
    <d v="2024-10-27T00:00:00"/>
    <n v="1.3041095890410959"/>
    <x v="4"/>
    <x v="0"/>
    <x v="8"/>
    <x v="1"/>
    <n v="8.4700000000000006"/>
    <m/>
    <m/>
    <m/>
    <m/>
    <m/>
    <m/>
    <x v="1"/>
    <n v="2"/>
    <n v="7"/>
    <m/>
    <m/>
    <m/>
    <m/>
    <m/>
    <m/>
    <m/>
    <m/>
    <m/>
    <m/>
    <m/>
    <m/>
    <m/>
    <m/>
  </r>
  <r>
    <n v="4616"/>
    <n v="55095"/>
    <d v="2000-04-19T00:00:00"/>
    <n v="25"/>
    <x v="0"/>
    <x v="1"/>
    <d v="2024-09-11T00:00:00"/>
    <n v="1.4301369863013698"/>
    <x v="4"/>
    <x v="0"/>
    <x v="8"/>
    <x v="1"/>
    <n v="8.4700000000000006"/>
    <m/>
    <m/>
    <m/>
    <m/>
    <m/>
    <m/>
    <x v="4"/>
    <n v="0"/>
    <n v="3"/>
    <m/>
    <m/>
    <m/>
    <m/>
    <m/>
    <m/>
    <m/>
    <m/>
    <m/>
    <m/>
    <m/>
    <m/>
    <m/>
    <m/>
  </r>
  <r>
    <n v="4617"/>
    <n v="55096"/>
    <d v="2002-02-11T00:00:00"/>
    <n v="23"/>
    <x v="1"/>
    <x v="0"/>
    <d v="2024-07-27T00:00:00"/>
    <n v="1.6"/>
    <x v="4"/>
    <x v="0"/>
    <x v="8"/>
    <x v="1"/>
    <n v="8.4700000000000006"/>
    <m/>
    <m/>
    <m/>
    <m/>
    <m/>
    <m/>
    <x v="4"/>
    <n v="2"/>
    <n v="5"/>
    <m/>
    <m/>
    <m/>
    <m/>
    <m/>
    <m/>
    <m/>
    <m/>
    <m/>
    <m/>
    <m/>
    <m/>
    <m/>
    <m/>
  </r>
  <r>
    <n v="4618"/>
    <n v="55097"/>
    <d v="2003-07-23T00:00:00"/>
    <n v="22"/>
    <x v="0"/>
    <x v="1"/>
    <d v="2024-05-26T00:00:00"/>
    <n v="1.2493150684931507"/>
    <x v="4"/>
    <x v="0"/>
    <x v="8"/>
    <x v="1"/>
    <n v="8.4700000000000006"/>
    <m/>
    <m/>
    <m/>
    <m/>
    <m/>
    <m/>
    <x v="1"/>
    <n v="2"/>
    <n v="5"/>
    <m/>
    <m/>
    <m/>
    <m/>
    <m/>
    <m/>
    <m/>
    <m/>
    <m/>
    <m/>
    <m/>
    <m/>
    <m/>
    <m/>
  </r>
  <r>
    <n v="4619"/>
    <n v="55098"/>
    <d v="2005-07-07T00:00:00"/>
    <n v="20"/>
    <x v="1"/>
    <x v="1"/>
    <d v="2024-10-01T00:00:00"/>
    <n v="1.3835616438356164"/>
    <x v="4"/>
    <x v="0"/>
    <x v="8"/>
    <x v="1"/>
    <n v="8.4700000000000006"/>
    <m/>
    <m/>
    <m/>
    <m/>
    <m/>
    <m/>
    <x v="3"/>
    <n v="0"/>
    <n v="6"/>
    <m/>
    <m/>
    <m/>
    <m/>
    <m/>
    <m/>
    <m/>
    <m/>
    <m/>
    <m/>
    <m/>
    <m/>
    <m/>
    <m/>
  </r>
  <r>
    <n v="4620"/>
    <n v="55099"/>
    <d v="1993-06-07T00:00:00"/>
    <n v="32"/>
    <x v="1"/>
    <x v="1"/>
    <d v="2024-08-13T00:00:00"/>
    <n v="1.010958904109589"/>
    <x v="4"/>
    <x v="0"/>
    <x v="8"/>
    <x v="1"/>
    <n v="8.4700000000000006"/>
    <m/>
    <m/>
    <m/>
    <m/>
    <m/>
    <m/>
    <x v="2"/>
    <n v="1"/>
    <n v="5"/>
    <m/>
    <m/>
    <m/>
    <m/>
    <m/>
    <m/>
    <m/>
    <m/>
    <m/>
    <m/>
    <m/>
    <m/>
    <m/>
    <m/>
  </r>
  <r>
    <n v="4621"/>
    <n v="55100"/>
    <d v="2006-11-24T00:00:00"/>
    <n v="19"/>
    <x v="1"/>
    <x v="1"/>
    <d v="2024-12-27T00:00:00"/>
    <n v="1.8849315068493151"/>
    <x v="4"/>
    <x v="0"/>
    <x v="8"/>
    <x v="1"/>
    <n v="8.4700000000000006"/>
    <m/>
    <m/>
    <m/>
    <m/>
    <m/>
    <m/>
    <x v="3"/>
    <n v="1"/>
    <n v="7"/>
    <m/>
    <m/>
    <m/>
    <m/>
    <m/>
    <m/>
    <m/>
    <m/>
    <m/>
    <m/>
    <m/>
    <m/>
    <m/>
    <m/>
  </r>
  <r>
    <n v="4622"/>
    <n v="55101"/>
    <d v="2004-11-21T00:00:00"/>
    <n v="21"/>
    <x v="1"/>
    <x v="1"/>
    <d v="2024-02-12T00:00:00"/>
    <n v="1.5178082191780822"/>
    <x v="4"/>
    <x v="0"/>
    <x v="8"/>
    <x v="1"/>
    <n v="8.4700000000000006"/>
    <m/>
    <m/>
    <m/>
    <m/>
    <m/>
    <m/>
    <x v="3"/>
    <n v="2"/>
    <n v="7"/>
    <m/>
    <m/>
    <m/>
    <m/>
    <m/>
    <m/>
    <m/>
    <m/>
    <m/>
    <m/>
    <m/>
    <m/>
    <m/>
    <m/>
  </r>
  <r>
    <n v="4623"/>
    <n v="55102"/>
    <d v="2002-08-31T00:00:00"/>
    <n v="23"/>
    <x v="1"/>
    <x v="0"/>
    <d v="2024-06-25T00:00:00"/>
    <n v="1.0136986301369864"/>
    <x v="5"/>
    <x v="0"/>
    <x v="11"/>
    <x v="1"/>
    <n v="17"/>
    <m/>
    <m/>
    <m/>
    <m/>
    <m/>
    <m/>
    <x v="2"/>
    <n v="4"/>
    <n v="6"/>
    <m/>
    <m/>
    <m/>
    <m/>
    <m/>
    <m/>
    <m/>
    <m/>
    <m/>
    <m/>
    <m/>
    <m/>
    <m/>
    <m/>
  </r>
  <r>
    <n v="4624"/>
    <n v="55103"/>
    <d v="2002-09-16T00:00:00"/>
    <n v="23"/>
    <x v="0"/>
    <x v="1"/>
    <d v="2024-12-26T00:00:00"/>
    <n v="1.5561643835616439"/>
    <x v="5"/>
    <x v="0"/>
    <x v="3"/>
    <x v="1"/>
    <n v="8.4700000000000006"/>
    <m/>
    <m/>
    <m/>
    <m/>
    <m/>
    <m/>
    <x v="2"/>
    <n v="2"/>
    <n v="4"/>
    <m/>
    <m/>
    <m/>
    <m/>
    <m/>
    <m/>
    <m/>
    <m/>
    <m/>
    <m/>
    <m/>
    <m/>
    <m/>
    <m/>
  </r>
  <r>
    <n v="4625"/>
    <n v="55105"/>
    <d v="1998-09-19T00:00:00"/>
    <n v="27"/>
    <x v="0"/>
    <x v="1"/>
    <d v="2024-06-11T00:00:00"/>
    <n v="1.5808219178082192"/>
    <x v="5"/>
    <x v="0"/>
    <x v="8"/>
    <x v="1"/>
    <n v="8.4700000000000006"/>
    <m/>
    <m/>
    <m/>
    <m/>
    <m/>
    <m/>
    <x v="1"/>
    <n v="0"/>
    <n v="3"/>
    <m/>
    <m/>
    <m/>
    <m/>
    <m/>
    <m/>
    <m/>
    <m/>
    <m/>
    <m/>
    <m/>
    <m/>
    <m/>
    <m/>
  </r>
  <r>
    <n v="4626"/>
    <n v="55106"/>
    <d v="2005-04-07T00:00:00"/>
    <n v="20"/>
    <x v="1"/>
    <x v="1"/>
    <d v="2024-06-02T00:00:00"/>
    <n v="1.021917808219178"/>
    <x v="5"/>
    <x v="0"/>
    <x v="8"/>
    <x v="1"/>
    <n v="8.4700000000000006"/>
    <m/>
    <m/>
    <m/>
    <m/>
    <m/>
    <m/>
    <x v="2"/>
    <n v="1"/>
    <n v="5"/>
    <m/>
    <m/>
    <m/>
    <m/>
    <m/>
    <m/>
    <m/>
    <m/>
    <m/>
    <m/>
    <m/>
    <m/>
    <m/>
    <m/>
  </r>
  <r>
    <n v="4627"/>
    <n v="55107"/>
    <d v="2003-03-22T00:00:00"/>
    <n v="22"/>
    <x v="1"/>
    <x v="1"/>
    <d v="2024-12-23T00:00:00"/>
    <n v="1.1917808219178083"/>
    <x v="5"/>
    <x v="0"/>
    <x v="8"/>
    <x v="1"/>
    <n v="8.4700000000000006"/>
    <m/>
    <m/>
    <m/>
    <m/>
    <m/>
    <m/>
    <x v="3"/>
    <n v="4"/>
    <n v="5"/>
    <m/>
    <m/>
    <m/>
    <m/>
    <m/>
    <m/>
    <m/>
    <m/>
    <m/>
    <m/>
    <m/>
    <m/>
    <m/>
    <m/>
  </r>
  <r>
    <n v="4628"/>
    <n v="55108"/>
    <d v="2005-08-11T00:00:00"/>
    <n v="20"/>
    <x v="1"/>
    <x v="1"/>
    <d v="2024-10-22T00:00:00"/>
    <n v="1.4904109589041097"/>
    <x v="5"/>
    <x v="0"/>
    <x v="8"/>
    <x v="1"/>
    <n v="8.4700000000000006"/>
    <m/>
    <m/>
    <m/>
    <m/>
    <m/>
    <m/>
    <x v="4"/>
    <n v="2"/>
    <n v="6"/>
    <m/>
    <m/>
    <m/>
    <m/>
    <m/>
    <m/>
    <m/>
    <m/>
    <m/>
    <m/>
    <m/>
    <m/>
    <m/>
    <m/>
  </r>
  <r>
    <n v="4629"/>
    <n v="55110"/>
    <d v="2002-11-17T00:00:00"/>
    <n v="23"/>
    <x v="1"/>
    <x v="1"/>
    <d v="2024-07-05T00:00:00"/>
    <n v="1.4931506849315068"/>
    <x v="5"/>
    <x v="0"/>
    <x v="8"/>
    <x v="1"/>
    <n v="8.4700000000000006"/>
    <m/>
    <m/>
    <m/>
    <m/>
    <m/>
    <m/>
    <x v="3"/>
    <n v="1"/>
    <n v="7"/>
    <m/>
    <m/>
    <m/>
    <m/>
    <m/>
    <m/>
    <m/>
    <m/>
    <m/>
    <m/>
    <m/>
    <m/>
    <m/>
    <m/>
  </r>
  <r>
    <n v="4630"/>
    <n v="55111"/>
    <d v="2006-12-16T00:00:00"/>
    <n v="19"/>
    <x v="1"/>
    <x v="0"/>
    <d v="2024-07-04T00:00:00"/>
    <n v="1.4493150684931506"/>
    <x v="5"/>
    <x v="0"/>
    <x v="8"/>
    <x v="1"/>
    <n v="8.4700000000000006"/>
    <m/>
    <m/>
    <m/>
    <m/>
    <m/>
    <m/>
    <x v="1"/>
    <n v="4"/>
    <n v="5"/>
    <m/>
    <m/>
    <m/>
    <m/>
    <m/>
    <m/>
    <m/>
    <m/>
    <m/>
    <m/>
    <m/>
    <m/>
    <m/>
    <m/>
  </r>
  <r>
    <n v="4631"/>
    <n v="55112"/>
    <d v="1993-02-07T00:00:00"/>
    <n v="32"/>
    <x v="1"/>
    <x v="1"/>
    <d v="2024-07-20T00:00:00"/>
    <n v="1.6328767123287671"/>
    <x v="5"/>
    <x v="0"/>
    <x v="8"/>
    <x v="1"/>
    <n v="8.4700000000000006"/>
    <m/>
    <m/>
    <m/>
    <m/>
    <m/>
    <m/>
    <x v="4"/>
    <n v="2"/>
    <n v="7"/>
    <m/>
    <m/>
    <m/>
    <m/>
    <m/>
    <m/>
    <m/>
    <m/>
    <m/>
    <m/>
    <m/>
    <m/>
    <m/>
    <m/>
  </r>
  <r>
    <n v="4632"/>
    <n v="55113"/>
    <d v="2002-05-16T00:00:00"/>
    <n v="23"/>
    <x v="1"/>
    <x v="1"/>
    <d v="2024-05-14T00:00:00"/>
    <n v="1.6794520547945206"/>
    <x v="7"/>
    <x v="0"/>
    <x v="11"/>
    <x v="1"/>
    <n v="17"/>
    <m/>
    <m/>
    <m/>
    <m/>
    <m/>
    <m/>
    <x v="1"/>
    <n v="1"/>
    <n v="6"/>
    <m/>
    <m/>
    <m/>
    <m/>
    <m/>
    <m/>
    <m/>
    <m/>
    <m/>
    <m/>
    <m/>
    <m/>
    <m/>
    <m/>
  </r>
  <r>
    <n v="4633"/>
    <n v="55114"/>
    <d v="2006-09-03T00:00:00"/>
    <n v="19"/>
    <x v="1"/>
    <x v="1"/>
    <d v="2024-04-27T00:00:00"/>
    <n v="1.6191780821917807"/>
    <x v="7"/>
    <x v="0"/>
    <x v="8"/>
    <x v="1"/>
    <n v="8.4700000000000006"/>
    <m/>
    <m/>
    <m/>
    <m/>
    <m/>
    <m/>
    <x v="1"/>
    <n v="3"/>
    <n v="7"/>
    <m/>
    <m/>
    <m/>
    <m/>
    <m/>
    <m/>
    <m/>
    <m/>
    <m/>
    <m/>
    <m/>
    <m/>
    <m/>
    <m/>
  </r>
  <r>
    <n v="4634"/>
    <n v="55116"/>
    <d v="2004-10-06T00:00:00"/>
    <n v="21"/>
    <x v="0"/>
    <x v="1"/>
    <d v="2024-05-19T00:00:00"/>
    <n v="1.7808219178082192"/>
    <x v="7"/>
    <x v="0"/>
    <x v="8"/>
    <x v="1"/>
    <n v="8.4700000000000006"/>
    <m/>
    <m/>
    <m/>
    <m/>
    <m/>
    <m/>
    <x v="4"/>
    <n v="4"/>
    <n v="4"/>
    <m/>
    <m/>
    <m/>
    <m/>
    <m/>
    <m/>
    <m/>
    <m/>
    <m/>
    <m/>
    <m/>
    <m/>
    <m/>
    <m/>
  </r>
  <r>
    <n v="4635"/>
    <n v="55117"/>
    <d v="2000-04-28T00:00:00"/>
    <n v="25"/>
    <x v="1"/>
    <x v="1"/>
    <d v="2024-03-21T00:00:00"/>
    <n v="1.7863013698630137"/>
    <x v="7"/>
    <x v="0"/>
    <x v="8"/>
    <x v="1"/>
    <n v="8.4700000000000006"/>
    <m/>
    <m/>
    <m/>
    <m/>
    <m/>
    <m/>
    <x v="4"/>
    <n v="1"/>
    <n v="6"/>
    <m/>
    <m/>
    <m/>
    <m/>
    <m/>
    <m/>
    <m/>
    <m/>
    <m/>
    <m/>
    <m/>
    <m/>
    <m/>
    <m/>
  </r>
  <r>
    <n v="4636"/>
    <n v="55118"/>
    <d v="2007-08-03T00:00:00"/>
    <n v="18"/>
    <x v="1"/>
    <x v="1"/>
    <d v="2024-03-19T00:00:00"/>
    <n v="1.210958904109589"/>
    <x v="7"/>
    <x v="0"/>
    <x v="8"/>
    <x v="1"/>
    <n v="8.4700000000000006"/>
    <m/>
    <m/>
    <m/>
    <m/>
    <m/>
    <m/>
    <x v="1"/>
    <n v="2"/>
    <n v="7"/>
    <m/>
    <m/>
    <m/>
    <m/>
    <m/>
    <m/>
    <m/>
    <m/>
    <m/>
    <m/>
    <m/>
    <m/>
    <m/>
    <m/>
  </r>
  <r>
    <n v="4637"/>
    <n v="55119"/>
    <d v="1996-04-13T00:00:00"/>
    <n v="29"/>
    <x v="1"/>
    <x v="1"/>
    <d v="2024-10-15T00:00:00"/>
    <n v="1.1506849315068493"/>
    <x v="7"/>
    <x v="0"/>
    <x v="8"/>
    <x v="1"/>
    <n v="8.4700000000000006"/>
    <m/>
    <m/>
    <m/>
    <m/>
    <m/>
    <m/>
    <x v="4"/>
    <n v="2"/>
    <n v="6"/>
    <m/>
    <m/>
    <m/>
    <m/>
    <m/>
    <m/>
    <m/>
    <m/>
    <m/>
    <m/>
    <m/>
    <m/>
    <m/>
    <m/>
  </r>
  <r>
    <n v="4638"/>
    <n v="55120"/>
    <d v="1999-04-27T00:00:00"/>
    <n v="26"/>
    <x v="1"/>
    <x v="1"/>
    <d v="2024-11-06T00:00:00"/>
    <n v="1.0602739726027397"/>
    <x v="7"/>
    <x v="0"/>
    <x v="8"/>
    <x v="1"/>
    <n v="8.4700000000000006"/>
    <m/>
    <m/>
    <m/>
    <m/>
    <m/>
    <m/>
    <x v="2"/>
    <n v="2"/>
    <n v="5"/>
    <m/>
    <m/>
    <m/>
    <m/>
    <m/>
    <m/>
    <m/>
    <m/>
    <m/>
    <m/>
    <m/>
    <m/>
    <m/>
    <m/>
  </r>
  <r>
    <n v="4639"/>
    <n v="55121"/>
    <d v="1997-08-19T00:00:00"/>
    <n v="28"/>
    <x v="1"/>
    <x v="1"/>
    <d v="2024-12-09T00:00:00"/>
    <n v="1.5917808219178082"/>
    <x v="7"/>
    <x v="0"/>
    <x v="8"/>
    <x v="1"/>
    <n v="8.4700000000000006"/>
    <m/>
    <m/>
    <m/>
    <m/>
    <m/>
    <m/>
    <x v="1"/>
    <n v="4"/>
    <n v="6"/>
    <m/>
    <m/>
    <m/>
    <m/>
    <m/>
    <m/>
    <m/>
    <m/>
    <m/>
    <m/>
    <m/>
    <m/>
    <m/>
    <m/>
  </r>
  <r>
    <n v="4640"/>
    <n v="55122"/>
    <d v="2000-01-11T00:00:00"/>
    <n v="25"/>
    <x v="1"/>
    <x v="0"/>
    <d v="2024-05-29T00:00:00"/>
    <n v="1.5890410958904109"/>
    <x v="127"/>
    <x v="0"/>
    <x v="11"/>
    <x v="1"/>
    <n v="17"/>
    <m/>
    <m/>
    <m/>
    <m/>
    <m/>
    <m/>
    <x v="1"/>
    <n v="4"/>
    <n v="5"/>
    <m/>
    <m/>
    <m/>
    <m/>
    <m/>
    <m/>
    <m/>
    <m/>
    <m/>
    <m/>
    <m/>
    <m/>
    <m/>
    <m/>
  </r>
  <r>
    <n v="4641"/>
    <n v="55123"/>
    <d v="2000-02-10T00:00:00"/>
    <n v="25"/>
    <x v="1"/>
    <x v="1"/>
    <d v="2024-05-30T00:00:00"/>
    <n v="1.4383561643835616"/>
    <x v="127"/>
    <x v="0"/>
    <x v="11"/>
    <x v="1"/>
    <n v="17"/>
    <m/>
    <m/>
    <m/>
    <m/>
    <m/>
    <m/>
    <x v="1"/>
    <n v="2"/>
    <n v="7"/>
    <m/>
    <m/>
    <m/>
    <m/>
    <m/>
    <m/>
    <m/>
    <m/>
    <m/>
    <m/>
    <m/>
    <m/>
    <m/>
    <m/>
  </r>
  <r>
    <n v="4642"/>
    <n v="55124"/>
    <d v="2005-12-06T00:00:00"/>
    <n v="20"/>
    <x v="0"/>
    <x v="1"/>
    <d v="2024-07-24T00:00:00"/>
    <n v="1.3424657534246576"/>
    <x v="127"/>
    <x v="0"/>
    <x v="10"/>
    <x v="1"/>
    <n v="10.64"/>
    <m/>
    <m/>
    <m/>
    <m/>
    <m/>
    <m/>
    <x v="3"/>
    <n v="0"/>
    <n v="4"/>
    <m/>
    <m/>
    <m/>
    <m/>
    <m/>
    <m/>
    <m/>
    <m/>
    <m/>
    <m/>
    <m/>
    <m/>
    <m/>
    <m/>
  </r>
  <r>
    <n v="4643"/>
    <n v="55125"/>
    <d v="2000-03-30T00:00:00"/>
    <n v="25"/>
    <x v="0"/>
    <x v="1"/>
    <d v="2024-08-28T00:00:00"/>
    <n v="1.6767123287671233"/>
    <x v="127"/>
    <x v="0"/>
    <x v="10"/>
    <x v="1"/>
    <n v="10.64"/>
    <m/>
    <m/>
    <m/>
    <m/>
    <m/>
    <m/>
    <x v="3"/>
    <n v="0"/>
    <n v="4"/>
    <m/>
    <m/>
    <m/>
    <m/>
    <m/>
    <m/>
    <m/>
    <m/>
    <m/>
    <m/>
    <m/>
    <m/>
    <m/>
    <m/>
  </r>
  <r>
    <n v="4644"/>
    <n v="55126"/>
    <d v="1995-12-11T00:00:00"/>
    <n v="30"/>
    <x v="0"/>
    <x v="1"/>
    <d v="2024-04-28T00:00:00"/>
    <n v="1.4191780821917808"/>
    <x v="127"/>
    <x v="0"/>
    <x v="1"/>
    <x v="1"/>
    <n v="16.37"/>
    <m/>
    <m/>
    <m/>
    <m/>
    <m/>
    <m/>
    <x v="2"/>
    <n v="1"/>
    <n v="5"/>
    <m/>
    <m/>
    <m/>
    <m/>
    <m/>
    <m/>
    <m/>
    <m/>
    <m/>
    <m/>
    <m/>
    <m/>
    <m/>
    <m/>
  </r>
  <r>
    <n v="4645"/>
    <n v="55127"/>
    <d v="2000-12-30T00:00:00"/>
    <n v="25"/>
    <x v="0"/>
    <x v="1"/>
    <d v="2024-07-31T00:00:00"/>
    <n v="1.6109589041095891"/>
    <x v="127"/>
    <x v="0"/>
    <x v="2"/>
    <x v="1"/>
    <n v="14.23"/>
    <m/>
    <m/>
    <m/>
    <m/>
    <m/>
    <m/>
    <x v="4"/>
    <n v="0"/>
    <n v="5"/>
    <m/>
    <m/>
    <m/>
    <m/>
    <m/>
    <m/>
    <m/>
    <m/>
    <m/>
    <m/>
    <m/>
    <m/>
    <m/>
    <m/>
  </r>
  <r>
    <n v="4646"/>
    <n v="55128"/>
    <d v="2005-02-07T00:00:00"/>
    <n v="20"/>
    <x v="1"/>
    <x v="1"/>
    <d v="2024-05-22T00:00:00"/>
    <n v="1.2027397260273973"/>
    <x v="127"/>
    <x v="0"/>
    <x v="9"/>
    <x v="1"/>
    <n v="14.07"/>
    <m/>
    <m/>
    <m/>
    <m/>
    <m/>
    <m/>
    <x v="1"/>
    <n v="0"/>
    <n v="5"/>
    <m/>
    <m/>
    <m/>
    <m/>
    <m/>
    <m/>
    <m/>
    <m/>
    <m/>
    <m/>
    <m/>
    <m/>
    <m/>
    <m/>
  </r>
  <r>
    <n v="4647"/>
    <n v="55129"/>
    <d v="2005-10-13T00:00:00"/>
    <n v="20"/>
    <x v="1"/>
    <x v="1"/>
    <d v="2024-10-18T00:00:00"/>
    <n v="1.5205479452054795"/>
    <x v="127"/>
    <x v="0"/>
    <x v="3"/>
    <x v="1"/>
    <n v="8.4700000000000006"/>
    <m/>
    <m/>
    <m/>
    <m/>
    <m/>
    <m/>
    <x v="3"/>
    <n v="0"/>
    <n v="6"/>
    <m/>
    <m/>
    <m/>
    <m/>
    <m/>
    <m/>
    <m/>
    <m/>
    <m/>
    <m/>
    <m/>
    <m/>
    <m/>
    <m/>
  </r>
  <r>
    <n v="4648"/>
    <n v="55131"/>
    <d v="2002-10-14T00:00:00"/>
    <n v="23"/>
    <x v="0"/>
    <x v="0"/>
    <d v="2024-06-24T00:00:00"/>
    <n v="1.1753424657534246"/>
    <x v="127"/>
    <x v="0"/>
    <x v="6"/>
    <x v="1"/>
    <n v="23.78"/>
    <m/>
    <m/>
    <m/>
    <m/>
    <m/>
    <m/>
    <x v="2"/>
    <n v="5"/>
    <n v="5"/>
    <m/>
    <m/>
    <m/>
    <m/>
    <m/>
    <m/>
    <m/>
    <m/>
    <m/>
    <m/>
    <m/>
    <m/>
    <m/>
    <m/>
  </r>
  <r>
    <n v="4649"/>
    <n v="55132"/>
    <d v="1999-05-25T00:00:00"/>
    <n v="26"/>
    <x v="0"/>
    <x v="1"/>
    <d v="2024-10-28T00:00:00"/>
    <n v="1.6191780821917807"/>
    <x v="127"/>
    <x v="0"/>
    <x v="7"/>
    <x v="1"/>
    <n v="17.59"/>
    <m/>
    <m/>
    <m/>
    <m/>
    <m/>
    <m/>
    <x v="4"/>
    <n v="1"/>
    <n v="5"/>
    <m/>
    <m/>
    <m/>
    <m/>
    <m/>
    <m/>
    <m/>
    <m/>
    <m/>
    <m/>
    <m/>
    <m/>
    <m/>
    <m/>
  </r>
  <r>
    <n v="4650"/>
    <n v="55134"/>
    <d v="2005-11-12T00:00:00"/>
    <n v="20"/>
    <x v="1"/>
    <x v="0"/>
    <d v="2024-05-19T00:00:00"/>
    <n v="1.0876712328767124"/>
    <x v="127"/>
    <x v="0"/>
    <x v="8"/>
    <x v="1"/>
    <n v="8.4700000000000006"/>
    <m/>
    <m/>
    <m/>
    <m/>
    <m/>
    <m/>
    <x v="1"/>
    <n v="1"/>
    <n v="6"/>
    <m/>
    <m/>
    <m/>
    <m/>
    <m/>
    <m/>
    <m/>
    <m/>
    <m/>
    <m/>
    <m/>
    <m/>
    <m/>
    <m/>
  </r>
  <r>
    <n v="4651"/>
    <n v="55135"/>
    <d v="2006-07-24T00:00:00"/>
    <n v="19"/>
    <x v="1"/>
    <x v="1"/>
    <d v="2024-11-29T00:00:00"/>
    <n v="1.5178082191780822"/>
    <x v="127"/>
    <x v="0"/>
    <x v="8"/>
    <x v="1"/>
    <n v="8.4700000000000006"/>
    <m/>
    <m/>
    <m/>
    <m/>
    <m/>
    <m/>
    <x v="3"/>
    <n v="1"/>
    <n v="6"/>
    <m/>
    <m/>
    <m/>
    <m/>
    <m/>
    <m/>
    <m/>
    <m/>
    <m/>
    <m/>
    <m/>
    <m/>
    <m/>
    <m/>
  </r>
  <r>
    <n v="4652"/>
    <n v="55136"/>
    <d v="1992-12-22T00:00:00"/>
    <n v="33"/>
    <x v="1"/>
    <x v="0"/>
    <d v="2024-06-25T00:00:00"/>
    <n v="1.0547945205479452"/>
    <x v="127"/>
    <x v="0"/>
    <x v="8"/>
    <x v="1"/>
    <n v="8.4700000000000006"/>
    <m/>
    <m/>
    <m/>
    <m/>
    <m/>
    <m/>
    <x v="2"/>
    <n v="2"/>
    <n v="7"/>
    <m/>
    <m/>
    <m/>
    <m/>
    <m/>
    <m/>
    <m/>
    <m/>
    <m/>
    <m/>
    <m/>
    <m/>
    <m/>
    <m/>
  </r>
  <r>
    <n v="4653"/>
    <n v="55137"/>
    <d v="2005-10-20T00:00:00"/>
    <n v="20"/>
    <x v="1"/>
    <x v="0"/>
    <d v="2024-12-11T00:00:00"/>
    <n v="1.106849315068493"/>
    <x v="127"/>
    <x v="0"/>
    <x v="8"/>
    <x v="1"/>
    <n v="8.4700000000000006"/>
    <m/>
    <m/>
    <m/>
    <m/>
    <m/>
    <m/>
    <x v="1"/>
    <n v="3"/>
    <n v="5"/>
    <m/>
    <m/>
    <m/>
    <m/>
    <m/>
    <m/>
    <m/>
    <m/>
    <m/>
    <m/>
    <m/>
    <m/>
    <m/>
    <m/>
  </r>
  <r>
    <n v="4654"/>
    <n v="55138"/>
    <d v="2005-12-28T00:00:00"/>
    <n v="20"/>
    <x v="1"/>
    <x v="1"/>
    <d v="2024-11-22T00:00:00"/>
    <n v="1.4328767123287671"/>
    <x v="127"/>
    <x v="0"/>
    <x v="8"/>
    <x v="1"/>
    <n v="8.4700000000000006"/>
    <m/>
    <m/>
    <m/>
    <m/>
    <m/>
    <m/>
    <x v="1"/>
    <n v="2"/>
    <n v="6"/>
    <m/>
    <m/>
    <m/>
    <m/>
    <m/>
    <m/>
    <m/>
    <m/>
    <m/>
    <m/>
    <m/>
    <m/>
    <m/>
    <m/>
  </r>
  <r>
    <n v="4655"/>
    <n v="55139"/>
    <d v="2002-04-25T00:00:00"/>
    <n v="23"/>
    <x v="1"/>
    <x v="1"/>
    <d v="2024-07-26T00:00:00"/>
    <n v="1.6219178082191781"/>
    <x v="127"/>
    <x v="0"/>
    <x v="8"/>
    <x v="1"/>
    <n v="8.4700000000000006"/>
    <m/>
    <m/>
    <m/>
    <m/>
    <m/>
    <m/>
    <x v="4"/>
    <n v="2"/>
    <n v="6"/>
    <m/>
    <m/>
    <m/>
    <m/>
    <m/>
    <m/>
    <m/>
    <m/>
    <m/>
    <m/>
    <m/>
    <m/>
    <m/>
    <m/>
  </r>
  <r>
    <n v="4656"/>
    <n v="55140"/>
    <d v="2002-06-22T00:00:00"/>
    <n v="23"/>
    <x v="0"/>
    <x v="0"/>
    <d v="2024-05-18T00:00:00"/>
    <n v="1.7726027397260273"/>
    <x v="127"/>
    <x v="0"/>
    <x v="8"/>
    <x v="1"/>
    <n v="8.4700000000000006"/>
    <m/>
    <m/>
    <m/>
    <m/>
    <m/>
    <m/>
    <x v="4"/>
    <n v="2"/>
    <n v="5"/>
    <m/>
    <m/>
    <m/>
    <m/>
    <m/>
    <m/>
    <m/>
    <m/>
    <m/>
    <m/>
    <m/>
    <m/>
    <m/>
    <m/>
  </r>
  <r>
    <n v="4657"/>
    <n v="55141"/>
    <d v="2004-05-06T00:00:00"/>
    <n v="21"/>
    <x v="0"/>
    <x v="1"/>
    <d v="2024-03-24T00:00:00"/>
    <n v="1.3342465753424657"/>
    <x v="127"/>
    <x v="0"/>
    <x v="8"/>
    <x v="1"/>
    <n v="8.4700000000000006"/>
    <m/>
    <m/>
    <m/>
    <m/>
    <m/>
    <m/>
    <x v="2"/>
    <n v="2"/>
    <n v="5"/>
    <m/>
    <m/>
    <m/>
    <m/>
    <m/>
    <m/>
    <m/>
    <m/>
    <m/>
    <m/>
    <m/>
    <m/>
    <m/>
    <m/>
  </r>
  <r>
    <n v="4658"/>
    <n v="55142"/>
    <d v="2005-10-14T00:00:00"/>
    <n v="20"/>
    <x v="1"/>
    <x v="1"/>
    <d v="2024-08-31T00:00:00"/>
    <n v="1.2821917808219179"/>
    <x v="127"/>
    <x v="0"/>
    <x v="8"/>
    <x v="1"/>
    <n v="8.4700000000000006"/>
    <m/>
    <m/>
    <m/>
    <m/>
    <m/>
    <m/>
    <x v="1"/>
    <n v="0"/>
    <n v="5"/>
    <m/>
    <m/>
    <m/>
    <m/>
    <m/>
    <m/>
    <m/>
    <m/>
    <m/>
    <m/>
    <m/>
    <m/>
    <m/>
    <m/>
  </r>
  <r>
    <n v="4659"/>
    <n v="55143"/>
    <d v="1998-08-07T00:00:00"/>
    <n v="27"/>
    <x v="1"/>
    <x v="0"/>
    <d v="2024-09-19T00:00:00"/>
    <n v="1.5534246575342465"/>
    <x v="127"/>
    <x v="0"/>
    <x v="8"/>
    <x v="1"/>
    <n v="8.4700000000000006"/>
    <m/>
    <m/>
    <m/>
    <m/>
    <m/>
    <m/>
    <x v="4"/>
    <n v="3"/>
    <n v="5"/>
    <m/>
    <m/>
    <m/>
    <m/>
    <m/>
    <m/>
    <m/>
    <m/>
    <m/>
    <m/>
    <m/>
    <m/>
    <m/>
    <m/>
  </r>
  <r>
    <n v="4660"/>
    <n v="55144"/>
    <d v="1995-11-05T00:00:00"/>
    <n v="30"/>
    <x v="1"/>
    <x v="1"/>
    <d v="2024-06-12T00:00:00"/>
    <n v="1.3863013698630138"/>
    <x v="127"/>
    <x v="0"/>
    <x v="8"/>
    <x v="1"/>
    <n v="8.4700000000000006"/>
    <m/>
    <m/>
    <m/>
    <m/>
    <m/>
    <m/>
    <x v="4"/>
    <n v="0"/>
    <n v="6"/>
    <m/>
    <m/>
    <m/>
    <m/>
    <m/>
    <m/>
    <m/>
    <m/>
    <m/>
    <m/>
    <m/>
    <m/>
    <m/>
    <m/>
  </r>
  <r>
    <n v="4661"/>
    <n v="55145"/>
    <d v="1992-07-01T00:00:00"/>
    <n v="34"/>
    <x v="1"/>
    <x v="1"/>
    <d v="2024-08-12T00:00:00"/>
    <n v="1.2164383561643837"/>
    <x v="10"/>
    <x v="0"/>
    <x v="8"/>
    <x v="1"/>
    <n v="8.4700000000000006"/>
    <m/>
    <m/>
    <m/>
    <m/>
    <m/>
    <m/>
    <x v="4"/>
    <n v="3"/>
    <n v="6"/>
    <m/>
    <m/>
    <m/>
    <m/>
    <m/>
    <m/>
    <m/>
    <m/>
    <m/>
    <m/>
    <m/>
    <m/>
    <m/>
    <m/>
  </r>
  <r>
    <n v="4662"/>
    <n v="55146"/>
    <d v="2005-06-05T00:00:00"/>
    <n v="20"/>
    <x v="1"/>
    <x v="1"/>
    <d v="2024-10-13T00:00:00"/>
    <n v="1.3835616438356164"/>
    <x v="10"/>
    <x v="0"/>
    <x v="8"/>
    <x v="1"/>
    <n v="8.4700000000000006"/>
    <m/>
    <m/>
    <m/>
    <m/>
    <m/>
    <m/>
    <x v="4"/>
    <n v="2"/>
    <n v="5"/>
    <m/>
    <m/>
    <m/>
    <m/>
    <m/>
    <m/>
    <m/>
    <m/>
    <m/>
    <m/>
    <m/>
    <m/>
    <m/>
    <m/>
  </r>
  <r>
    <n v="4663"/>
    <n v="55147"/>
    <d v="2000-01-18T00:00:00"/>
    <n v="25"/>
    <x v="1"/>
    <x v="0"/>
    <d v="2024-08-13T00:00:00"/>
    <n v="1.4986301369863013"/>
    <x v="10"/>
    <x v="0"/>
    <x v="8"/>
    <x v="1"/>
    <n v="8.4700000000000006"/>
    <m/>
    <m/>
    <m/>
    <m/>
    <m/>
    <m/>
    <x v="2"/>
    <n v="1"/>
    <n v="5"/>
    <m/>
    <m/>
    <m/>
    <m/>
    <m/>
    <m/>
    <m/>
    <m/>
    <m/>
    <m/>
    <m/>
    <m/>
    <m/>
    <m/>
  </r>
  <r>
    <n v="4664"/>
    <n v="55148"/>
    <d v="2002-09-07T00:00:00"/>
    <n v="23"/>
    <x v="1"/>
    <x v="1"/>
    <d v="2024-07-02T00:00:00"/>
    <n v="1.0547945205479452"/>
    <x v="124"/>
    <x v="0"/>
    <x v="11"/>
    <x v="1"/>
    <n v="17"/>
    <m/>
    <m/>
    <m/>
    <m/>
    <m/>
    <m/>
    <x v="3"/>
    <n v="1"/>
    <n v="6"/>
    <m/>
    <m/>
    <m/>
    <m/>
    <m/>
    <m/>
    <m/>
    <m/>
    <m/>
    <m/>
    <m/>
    <m/>
    <m/>
    <m/>
  </r>
  <r>
    <n v="4665"/>
    <n v="55149"/>
    <d v="2002-10-01T00:00:00"/>
    <n v="24"/>
    <x v="0"/>
    <x v="0"/>
    <d v="2024-12-11T00:00:00"/>
    <n v="1.1232876712328768"/>
    <x v="124"/>
    <x v="0"/>
    <x v="11"/>
    <x v="1"/>
    <n v="17"/>
    <m/>
    <m/>
    <m/>
    <m/>
    <m/>
    <m/>
    <x v="1"/>
    <n v="2"/>
    <n v="4"/>
    <m/>
    <m/>
    <m/>
    <m/>
    <m/>
    <m/>
    <m/>
    <m/>
    <m/>
    <m/>
    <m/>
    <m/>
    <m/>
    <m/>
  </r>
  <r>
    <n v="4666"/>
    <n v="55151"/>
    <d v="2001-11-14T00:00:00"/>
    <n v="24"/>
    <x v="1"/>
    <x v="0"/>
    <d v="2024-11-16T00:00:00"/>
    <n v="1.2712328767123289"/>
    <x v="124"/>
    <x v="0"/>
    <x v="8"/>
    <x v="1"/>
    <n v="8.4700000000000006"/>
    <m/>
    <m/>
    <m/>
    <m/>
    <m/>
    <m/>
    <x v="1"/>
    <n v="2"/>
    <n v="5"/>
    <m/>
    <m/>
    <m/>
    <m/>
    <m/>
    <m/>
    <m/>
    <m/>
    <m/>
    <m/>
    <m/>
    <m/>
    <m/>
    <m/>
  </r>
  <r>
    <n v="4667"/>
    <n v="55152"/>
    <d v="2004-04-06T00:00:00"/>
    <n v="21"/>
    <x v="1"/>
    <x v="1"/>
    <d v="2024-09-23T00:00:00"/>
    <n v="1.2876712328767124"/>
    <x v="124"/>
    <x v="0"/>
    <x v="8"/>
    <x v="1"/>
    <n v="8.4700000000000006"/>
    <m/>
    <m/>
    <m/>
    <m/>
    <m/>
    <m/>
    <x v="3"/>
    <n v="1"/>
    <n v="5"/>
    <m/>
    <m/>
    <m/>
    <m/>
    <m/>
    <m/>
    <m/>
    <m/>
    <m/>
    <m/>
    <m/>
    <m/>
    <m/>
    <m/>
  </r>
  <r>
    <n v="4668"/>
    <n v="55153"/>
    <d v="1999-02-10T00:00:00"/>
    <n v="26"/>
    <x v="0"/>
    <x v="1"/>
    <d v="2024-09-17T00:00:00"/>
    <n v="1.3315068493150686"/>
    <x v="124"/>
    <x v="0"/>
    <x v="8"/>
    <x v="1"/>
    <n v="8.4700000000000006"/>
    <m/>
    <m/>
    <m/>
    <m/>
    <m/>
    <m/>
    <x v="1"/>
    <n v="0"/>
    <n v="5"/>
    <m/>
    <m/>
    <m/>
    <m/>
    <m/>
    <m/>
    <m/>
    <m/>
    <m/>
    <m/>
    <m/>
    <m/>
    <m/>
    <m/>
  </r>
  <r>
    <n v="4669"/>
    <n v="55154"/>
    <d v="2003-08-09T00:00:00"/>
    <n v="22"/>
    <x v="1"/>
    <x v="1"/>
    <d v="2024-09-01T00:00:00"/>
    <n v="1.6767123287671233"/>
    <x v="124"/>
    <x v="0"/>
    <x v="8"/>
    <x v="1"/>
    <n v="8.4700000000000006"/>
    <m/>
    <m/>
    <m/>
    <m/>
    <m/>
    <m/>
    <x v="3"/>
    <n v="2"/>
    <n v="5"/>
    <m/>
    <m/>
    <m/>
    <m/>
    <m/>
    <m/>
    <m/>
    <m/>
    <m/>
    <m/>
    <m/>
    <m/>
    <m/>
    <m/>
  </r>
  <r>
    <n v="4670"/>
    <n v="55155"/>
    <d v="2006-12-07T00:00:00"/>
    <n v="19"/>
    <x v="0"/>
    <x v="1"/>
    <d v="2024-04-28T00:00:00"/>
    <n v="1.4054794520547946"/>
    <x v="124"/>
    <x v="0"/>
    <x v="8"/>
    <x v="1"/>
    <n v="8.4700000000000006"/>
    <m/>
    <m/>
    <m/>
    <m/>
    <m/>
    <m/>
    <x v="2"/>
    <n v="3"/>
    <n v="4"/>
    <m/>
    <m/>
    <m/>
    <m/>
    <m/>
    <m/>
    <m/>
    <m/>
    <m/>
    <m/>
    <m/>
    <m/>
    <m/>
    <m/>
  </r>
  <r>
    <n v="4671"/>
    <n v="55156"/>
    <d v="2005-05-28T00:00:00"/>
    <n v="20"/>
    <x v="0"/>
    <x v="1"/>
    <d v="2024-08-05T00:00:00"/>
    <n v="1.2191780821917808"/>
    <x v="124"/>
    <x v="0"/>
    <x v="8"/>
    <x v="1"/>
    <n v="8.4700000000000006"/>
    <m/>
    <m/>
    <m/>
    <m/>
    <m/>
    <m/>
    <x v="3"/>
    <n v="4"/>
    <n v="3"/>
    <m/>
    <m/>
    <m/>
    <m/>
    <m/>
    <m/>
    <m/>
    <m/>
    <m/>
    <m/>
    <m/>
    <m/>
    <m/>
    <m/>
  </r>
  <r>
    <n v="4672"/>
    <n v="55157"/>
    <d v="2004-08-08T00:00:00"/>
    <n v="21"/>
    <x v="1"/>
    <x v="1"/>
    <d v="2024-10-12T00:00:00"/>
    <n v="1.1095890410958904"/>
    <x v="124"/>
    <x v="0"/>
    <x v="8"/>
    <x v="1"/>
    <n v="8.4700000000000006"/>
    <m/>
    <m/>
    <m/>
    <m/>
    <m/>
    <m/>
    <x v="1"/>
    <n v="1"/>
    <n v="5"/>
    <m/>
    <m/>
    <m/>
    <m/>
    <m/>
    <m/>
    <m/>
    <m/>
    <m/>
    <m/>
    <m/>
    <m/>
    <m/>
    <m/>
  </r>
  <r>
    <n v="4673"/>
    <n v="55158"/>
    <d v="2006-04-20T00:00:00"/>
    <n v="19"/>
    <x v="1"/>
    <x v="1"/>
    <d v="2024-11-21T00:00:00"/>
    <n v="1.5232876712328767"/>
    <x v="124"/>
    <x v="0"/>
    <x v="8"/>
    <x v="1"/>
    <n v="8.4700000000000006"/>
    <m/>
    <m/>
    <m/>
    <m/>
    <m/>
    <m/>
    <x v="4"/>
    <n v="3"/>
    <n v="7"/>
    <m/>
    <m/>
    <m/>
    <m/>
    <m/>
    <m/>
    <m/>
    <m/>
    <m/>
    <m/>
    <m/>
    <m/>
    <m/>
    <m/>
  </r>
  <r>
    <n v="4674"/>
    <n v="55159"/>
    <d v="2003-04-27T00:00:00"/>
    <n v="22"/>
    <x v="1"/>
    <x v="1"/>
    <d v="2024-06-23T00:00:00"/>
    <n v="1.8465753424657534"/>
    <x v="124"/>
    <x v="0"/>
    <x v="8"/>
    <x v="1"/>
    <n v="8.4700000000000006"/>
    <m/>
    <m/>
    <m/>
    <m/>
    <m/>
    <m/>
    <x v="1"/>
    <n v="4"/>
    <n v="7"/>
    <m/>
    <m/>
    <m/>
    <m/>
    <m/>
    <m/>
    <m/>
    <m/>
    <m/>
    <m/>
    <m/>
    <m/>
    <m/>
    <m/>
  </r>
  <r>
    <n v="4675"/>
    <n v="55160"/>
    <d v="2000-12-01T00:00:00"/>
    <n v="26"/>
    <x v="0"/>
    <x v="1"/>
    <d v="2024-02-26T00:00:00"/>
    <n v="1.7534246575342465"/>
    <x v="11"/>
    <x v="0"/>
    <x v="11"/>
    <x v="1"/>
    <n v="17"/>
    <m/>
    <m/>
    <m/>
    <m/>
    <m/>
    <m/>
    <x v="3"/>
    <n v="2"/>
    <n v="3"/>
    <m/>
    <m/>
    <m/>
    <m/>
    <m/>
    <m/>
    <m/>
    <m/>
    <m/>
    <m/>
    <m/>
    <m/>
    <m/>
    <m/>
  </r>
  <r>
    <n v="4676"/>
    <n v="55161"/>
    <d v="2003-04-26T00:00:00"/>
    <n v="22"/>
    <x v="1"/>
    <x v="1"/>
    <d v="2024-03-31T00:00:00"/>
    <n v="1.3917808219178083"/>
    <x v="11"/>
    <x v="0"/>
    <x v="11"/>
    <x v="1"/>
    <n v="17"/>
    <m/>
    <m/>
    <m/>
    <m/>
    <m/>
    <m/>
    <x v="3"/>
    <n v="4"/>
    <n v="7"/>
    <m/>
    <m/>
    <m/>
    <m/>
    <m/>
    <m/>
    <m/>
    <m/>
    <m/>
    <m/>
    <m/>
    <m/>
    <m/>
    <m/>
  </r>
  <r>
    <n v="4677"/>
    <n v="55162"/>
    <d v="2004-12-29T00:00:00"/>
    <n v="21"/>
    <x v="0"/>
    <x v="0"/>
    <d v="2024-08-10T00:00:00"/>
    <n v="1.3260273972602741"/>
    <x v="11"/>
    <x v="0"/>
    <x v="10"/>
    <x v="1"/>
    <n v="10.64"/>
    <m/>
    <m/>
    <m/>
    <m/>
    <m/>
    <m/>
    <x v="1"/>
    <n v="0"/>
    <n v="3"/>
    <m/>
    <m/>
    <m/>
    <m/>
    <m/>
    <m/>
    <m/>
    <m/>
    <m/>
    <m/>
    <m/>
    <m/>
    <m/>
    <m/>
  </r>
  <r>
    <n v="4678"/>
    <n v="55163"/>
    <d v="2004-09-16T00:00:00"/>
    <n v="21"/>
    <x v="1"/>
    <x v="1"/>
    <d v="2024-09-03T00:00:00"/>
    <n v="1.295890410958904"/>
    <x v="11"/>
    <x v="0"/>
    <x v="8"/>
    <x v="1"/>
    <n v="8.4700000000000006"/>
    <m/>
    <m/>
    <m/>
    <m/>
    <m/>
    <m/>
    <x v="2"/>
    <n v="0"/>
    <n v="5"/>
    <m/>
    <m/>
    <m/>
    <m/>
    <m/>
    <m/>
    <m/>
    <m/>
    <m/>
    <m/>
    <m/>
    <m/>
    <m/>
    <m/>
  </r>
  <r>
    <n v="4679"/>
    <n v="55164"/>
    <d v="1993-11-18T00:00:00"/>
    <n v="32"/>
    <x v="1"/>
    <x v="1"/>
    <d v="2024-09-14T00:00:00"/>
    <n v="1.7506849315068493"/>
    <x v="11"/>
    <x v="0"/>
    <x v="8"/>
    <x v="1"/>
    <n v="8.4700000000000006"/>
    <m/>
    <m/>
    <m/>
    <m/>
    <m/>
    <m/>
    <x v="2"/>
    <n v="4"/>
    <n v="5"/>
    <m/>
    <m/>
    <m/>
    <m/>
    <m/>
    <m/>
    <m/>
    <m/>
    <m/>
    <m/>
    <m/>
    <m/>
    <m/>
    <m/>
  </r>
  <r>
    <n v="4680"/>
    <n v="55165"/>
    <d v="2002-09-27T00:00:00"/>
    <n v="23"/>
    <x v="1"/>
    <x v="0"/>
    <d v="2024-04-01T00:00:00"/>
    <n v="1.2356164383561643"/>
    <x v="11"/>
    <x v="0"/>
    <x v="8"/>
    <x v="1"/>
    <n v="8.4700000000000006"/>
    <m/>
    <m/>
    <m/>
    <m/>
    <m/>
    <m/>
    <x v="4"/>
    <n v="4"/>
    <n v="7"/>
    <m/>
    <m/>
    <m/>
    <m/>
    <m/>
    <m/>
    <m/>
    <m/>
    <m/>
    <m/>
    <m/>
    <m/>
    <m/>
    <m/>
  </r>
  <r>
    <n v="4681"/>
    <n v="55166"/>
    <d v="2004-09-02T00:00:00"/>
    <n v="21"/>
    <x v="0"/>
    <x v="1"/>
    <d v="2024-10-06T00:00:00"/>
    <n v="1.3917808219178083"/>
    <x v="11"/>
    <x v="0"/>
    <x v="8"/>
    <x v="1"/>
    <n v="8.4700000000000006"/>
    <m/>
    <m/>
    <m/>
    <m/>
    <m/>
    <m/>
    <x v="1"/>
    <n v="3"/>
    <n v="3"/>
    <m/>
    <m/>
    <m/>
    <m/>
    <m/>
    <m/>
    <m/>
    <m/>
    <m/>
    <m/>
    <m/>
    <m/>
    <m/>
    <m/>
  </r>
  <r>
    <n v="4682"/>
    <n v="55167"/>
    <d v="2005-04-18T00:00:00"/>
    <n v="20"/>
    <x v="0"/>
    <x v="1"/>
    <d v="2024-08-10T00:00:00"/>
    <n v="1.2246575342465753"/>
    <x v="11"/>
    <x v="0"/>
    <x v="8"/>
    <x v="1"/>
    <n v="8.4700000000000006"/>
    <m/>
    <m/>
    <m/>
    <m/>
    <m/>
    <m/>
    <x v="3"/>
    <n v="4"/>
    <n v="5"/>
    <m/>
    <m/>
    <m/>
    <m/>
    <m/>
    <m/>
    <m/>
    <m/>
    <m/>
    <m/>
    <m/>
    <m/>
    <m/>
    <m/>
  </r>
  <r>
    <n v="4683"/>
    <n v="55168"/>
    <d v="2005-06-16T00:00:00"/>
    <n v="20"/>
    <x v="1"/>
    <x v="1"/>
    <d v="2024-10-10T00:00:00"/>
    <n v="1.4136986301369863"/>
    <x v="11"/>
    <x v="0"/>
    <x v="8"/>
    <x v="1"/>
    <n v="8.4700000000000006"/>
    <m/>
    <m/>
    <m/>
    <m/>
    <m/>
    <m/>
    <x v="4"/>
    <n v="2"/>
    <n v="6"/>
    <m/>
    <m/>
    <m/>
    <m/>
    <m/>
    <m/>
    <m/>
    <m/>
    <m/>
    <m/>
    <m/>
    <m/>
    <m/>
    <m/>
  </r>
  <r>
    <n v="4684"/>
    <n v="55169"/>
    <d v="1992-10-22T00:00:00"/>
    <n v="33"/>
    <x v="1"/>
    <x v="1"/>
    <d v="2024-08-02T00:00:00"/>
    <n v="1.736986301369863"/>
    <x v="11"/>
    <x v="0"/>
    <x v="8"/>
    <x v="1"/>
    <n v="8.4700000000000006"/>
    <m/>
    <m/>
    <m/>
    <m/>
    <m/>
    <m/>
    <x v="4"/>
    <n v="4"/>
    <n v="6"/>
    <m/>
    <m/>
    <m/>
    <m/>
    <m/>
    <m/>
    <m/>
    <m/>
    <m/>
    <m/>
    <m/>
    <m/>
    <m/>
    <m/>
  </r>
  <r>
    <n v="4685"/>
    <n v="55170"/>
    <d v="2006-07-01T00:00:00"/>
    <n v="20"/>
    <x v="1"/>
    <x v="1"/>
    <d v="2024-04-06T00:00:00"/>
    <n v="1.6410958904109589"/>
    <x v="11"/>
    <x v="0"/>
    <x v="8"/>
    <x v="1"/>
    <n v="8.4700000000000006"/>
    <m/>
    <m/>
    <m/>
    <m/>
    <m/>
    <m/>
    <x v="2"/>
    <n v="2"/>
    <n v="4"/>
    <m/>
    <m/>
    <m/>
    <m/>
    <m/>
    <m/>
    <m/>
    <m/>
    <m/>
    <m/>
    <m/>
    <m/>
    <m/>
    <m/>
  </r>
  <r>
    <n v="4686"/>
    <n v="55171"/>
    <d v="2003-03-10T00:00:00"/>
    <n v="22"/>
    <x v="1"/>
    <x v="1"/>
    <d v="2024-05-11T00:00:00"/>
    <n v="1.4465753424657535"/>
    <x v="11"/>
    <x v="0"/>
    <x v="8"/>
    <x v="1"/>
    <n v="8.4700000000000006"/>
    <m/>
    <m/>
    <m/>
    <m/>
    <m/>
    <m/>
    <x v="3"/>
    <n v="2"/>
    <n v="6"/>
    <m/>
    <m/>
    <m/>
    <m/>
    <m/>
    <m/>
    <m/>
    <m/>
    <m/>
    <m/>
    <m/>
    <m/>
    <m/>
    <m/>
  </r>
  <r>
    <n v="4687"/>
    <n v="55173"/>
    <d v="1997-02-19T00:00:00"/>
    <n v="28"/>
    <x v="0"/>
    <x v="1"/>
    <d v="2024-07-21T00:00:00"/>
    <n v="1.0986301369863014"/>
    <x v="45"/>
    <x v="0"/>
    <x v="11"/>
    <x v="1"/>
    <n v="17"/>
    <m/>
    <m/>
    <m/>
    <m/>
    <m/>
    <m/>
    <x v="3"/>
    <n v="4"/>
    <n v="6"/>
    <m/>
    <m/>
    <m/>
    <m/>
    <m/>
    <m/>
    <m/>
    <m/>
    <m/>
    <m/>
    <m/>
    <m/>
    <m/>
    <m/>
  </r>
  <r>
    <n v="4688"/>
    <n v="55174"/>
    <d v="2000-12-10T00:00:00"/>
    <n v="25"/>
    <x v="1"/>
    <x v="1"/>
    <d v="2024-11-25T00:00:00"/>
    <n v="1.2356164383561643"/>
    <x v="45"/>
    <x v="0"/>
    <x v="11"/>
    <x v="1"/>
    <n v="17"/>
    <m/>
    <m/>
    <m/>
    <m/>
    <m/>
    <m/>
    <x v="3"/>
    <n v="2"/>
    <n v="6"/>
    <m/>
    <m/>
    <m/>
    <m/>
    <m/>
    <m/>
    <m/>
    <m/>
    <m/>
    <m/>
    <m/>
    <m/>
    <m/>
    <m/>
  </r>
  <r>
    <n v="4689"/>
    <n v="55176"/>
    <d v="2001-10-29T00:00:00"/>
    <n v="24"/>
    <x v="0"/>
    <x v="0"/>
    <d v="2024-10-06T00:00:00"/>
    <n v="1.4109589041095891"/>
    <x v="45"/>
    <x v="0"/>
    <x v="9"/>
    <x v="1"/>
    <n v="14.07"/>
    <m/>
    <m/>
    <m/>
    <m/>
    <m/>
    <m/>
    <x v="4"/>
    <n v="1"/>
    <n v="3"/>
    <m/>
    <m/>
    <m/>
    <m/>
    <m/>
    <m/>
    <m/>
    <m/>
    <m/>
    <m/>
    <m/>
    <m/>
    <m/>
    <m/>
  </r>
  <r>
    <n v="4690"/>
    <n v="55177"/>
    <d v="2006-05-21T00:00:00"/>
    <n v="19"/>
    <x v="1"/>
    <x v="1"/>
    <d v="2024-08-03T00:00:00"/>
    <n v="1.2712328767123289"/>
    <x v="45"/>
    <x v="0"/>
    <x v="3"/>
    <x v="1"/>
    <n v="8.4700000000000006"/>
    <m/>
    <m/>
    <m/>
    <m/>
    <m/>
    <m/>
    <x v="1"/>
    <n v="2"/>
    <n v="5"/>
    <m/>
    <m/>
    <m/>
    <m/>
    <m/>
    <m/>
    <m/>
    <m/>
    <m/>
    <m/>
    <m/>
    <m/>
    <m/>
    <m/>
  </r>
  <r>
    <n v="4691"/>
    <n v="55178"/>
    <d v="2007-09-08T00:00:00"/>
    <n v="18"/>
    <x v="1"/>
    <x v="1"/>
    <d v="2024-09-23T00:00:00"/>
    <n v="1.3424657534246576"/>
    <x v="45"/>
    <x v="0"/>
    <x v="3"/>
    <x v="1"/>
    <n v="8.4700000000000006"/>
    <m/>
    <m/>
    <m/>
    <m/>
    <m/>
    <m/>
    <x v="2"/>
    <n v="1"/>
    <n v="6"/>
    <m/>
    <m/>
    <m/>
    <m/>
    <m/>
    <m/>
    <m/>
    <m/>
    <m/>
    <m/>
    <m/>
    <m/>
    <m/>
    <m/>
  </r>
  <r>
    <n v="4692"/>
    <n v="55179"/>
    <d v="2005-12-28T00:00:00"/>
    <n v="20"/>
    <x v="1"/>
    <x v="1"/>
    <d v="2024-08-28T00:00:00"/>
    <n v="1.3561643835616439"/>
    <x v="45"/>
    <x v="0"/>
    <x v="8"/>
    <x v="1"/>
    <n v="8.4700000000000006"/>
    <m/>
    <m/>
    <m/>
    <m/>
    <m/>
    <m/>
    <x v="1"/>
    <n v="4"/>
    <n v="6"/>
    <m/>
    <m/>
    <m/>
    <m/>
    <m/>
    <m/>
    <m/>
    <m/>
    <m/>
    <m/>
    <m/>
    <m/>
    <m/>
    <m/>
  </r>
  <r>
    <n v="4693"/>
    <n v="55180"/>
    <d v="2000-09-21T00:00:00"/>
    <n v="25"/>
    <x v="1"/>
    <x v="1"/>
    <d v="2024-08-23T00:00:00"/>
    <n v="1.9452054794520548"/>
    <x v="45"/>
    <x v="0"/>
    <x v="8"/>
    <x v="1"/>
    <n v="8.4700000000000006"/>
    <m/>
    <m/>
    <m/>
    <m/>
    <m/>
    <m/>
    <x v="1"/>
    <n v="2"/>
    <n v="7"/>
    <m/>
    <m/>
    <m/>
    <m/>
    <m/>
    <m/>
    <m/>
    <m/>
    <m/>
    <m/>
    <m/>
    <m/>
    <m/>
    <m/>
  </r>
  <r>
    <n v="4694"/>
    <n v="55181"/>
    <d v="1997-01-02T00:00:00"/>
    <n v="28"/>
    <x v="1"/>
    <x v="1"/>
    <d v="2024-01-21T00:00:00"/>
    <n v="1.0904109589041096"/>
    <x v="45"/>
    <x v="0"/>
    <x v="8"/>
    <x v="1"/>
    <n v="8.4700000000000006"/>
    <m/>
    <m/>
    <m/>
    <m/>
    <m/>
    <m/>
    <x v="1"/>
    <n v="2"/>
    <n v="5"/>
    <m/>
    <m/>
    <m/>
    <m/>
    <m/>
    <m/>
    <m/>
    <m/>
    <m/>
    <m/>
    <m/>
    <m/>
    <m/>
    <m/>
  </r>
  <r>
    <n v="4695"/>
    <n v="55182"/>
    <d v="2007-06-15T00:00:00"/>
    <n v="18"/>
    <x v="1"/>
    <x v="0"/>
    <d v="2024-11-28T00:00:00"/>
    <n v="1.3178082191780822"/>
    <x v="45"/>
    <x v="0"/>
    <x v="8"/>
    <x v="1"/>
    <n v="8.4700000000000006"/>
    <m/>
    <m/>
    <m/>
    <m/>
    <m/>
    <m/>
    <x v="1"/>
    <n v="2"/>
    <n v="5"/>
    <m/>
    <m/>
    <m/>
    <m/>
    <m/>
    <m/>
    <m/>
    <m/>
    <m/>
    <m/>
    <m/>
    <m/>
    <m/>
    <m/>
  </r>
  <r>
    <n v="4696"/>
    <n v="55183"/>
    <d v="1994-04-25T00:00:00"/>
    <n v="31"/>
    <x v="1"/>
    <x v="1"/>
    <d v="2024-09-06T00:00:00"/>
    <n v="1.6136986301369862"/>
    <x v="45"/>
    <x v="0"/>
    <x v="8"/>
    <x v="1"/>
    <n v="8.4700000000000006"/>
    <m/>
    <m/>
    <m/>
    <m/>
    <m/>
    <m/>
    <x v="3"/>
    <n v="2"/>
    <n v="7"/>
    <m/>
    <m/>
    <m/>
    <m/>
    <m/>
    <m/>
    <m/>
    <m/>
    <m/>
    <m/>
    <m/>
    <m/>
    <m/>
    <m/>
  </r>
  <r>
    <n v="4697"/>
    <n v="55185"/>
    <d v="2000-10-20T00:00:00"/>
    <n v="25"/>
    <x v="1"/>
    <x v="1"/>
    <d v="2024-05-21T00:00:00"/>
    <n v="1.4547945205479451"/>
    <x v="45"/>
    <x v="0"/>
    <x v="8"/>
    <x v="1"/>
    <n v="8.4700000000000006"/>
    <m/>
    <m/>
    <m/>
    <m/>
    <m/>
    <m/>
    <x v="4"/>
    <n v="2"/>
    <n v="7"/>
    <m/>
    <m/>
    <m/>
    <m/>
    <m/>
    <m/>
    <m/>
    <m/>
    <m/>
    <m/>
    <m/>
    <m/>
    <m/>
    <m/>
  </r>
  <r>
    <n v="4698"/>
    <n v="55186"/>
    <d v="2004-07-27T00:00:00"/>
    <n v="21"/>
    <x v="1"/>
    <x v="0"/>
    <d v="2024-07-18T00:00:00"/>
    <n v="1.3232876712328767"/>
    <x v="45"/>
    <x v="0"/>
    <x v="8"/>
    <x v="1"/>
    <n v="8.4700000000000006"/>
    <m/>
    <m/>
    <m/>
    <m/>
    <m/>
    <m/>
    <x v="4"/>
    <n v="2"/>
    <n v="5"/>
    <m/>
    <m/>
    <m/>
    <m/>
    <m/>
    <m/>
    <m/>
    <m/>
    <m/>
    <m/>
    <m/>
    <m/>
    <m/>
    <m/>
  </r>
  <r>
    <n v="4699"/>
    <n v="55187"/>
    <d v="2003-09-27T00:00:00"/>
    <n v="22"/>
    <x v="1"/>
    <x v="1"/>
    <d v="2024-09-04T00:00:00"/>
    <n v="1.5123287671232877"/>
    <x v="45"/>
    <x v="0"/>
    <x v="8"/>
    <x v="1"/>
    <n v="8.4700000000000006"/>
    <m/>
    <m/>
    <m/>
    <m/>
    <m/>
    <m/>
    <x v="2"/>
    <n v="4"/>
    <n v="7"/>
    <m/>
    <m/>
    <m/>
    <m/>
    <m/>
    <m/>
    <m/>
    <m/>
    <m/>
    <m/>
    <m/>
    <m/>
    <m/>
    <m/>
  </r>
  <r>
    <n v="4700"/>
    <n v="55188"/>
    <d v="2003-05-20T00:00:00"/>
    <n v="22"/>
    <x v="1"/>
    <x v="0"/>
    <d v="2024-06-27T00:00:00"/>
    <n v="1.2986301369863014"/>
    <x v="45"/>
    <x v="0"/>
    <x v="8"/>
    <x v="1"/>
    <n v="8.4700000000000006"/>
    <m/>
    <m/>
    <m/>
    <m/>
    <m/>
    <m/>
    <x v="1"/>
    <n v="3"/>
    <n v="5"/>
    <m/>
    <m/>
    <m/>
    <m/>
    <m/>
    <m/>
    <m/>
    <m/>
    <m/>
    <m/>
    <m/>
    <m/>
    <m/>
    <m/>
  </r>
  <r>
    <n v="4701"/>
    <n v="55189"/>
    <d v="1998-03-11T00:00:00"/>
    <n v="27"/>
    <x v="0"/>
    <x v="0"/>
    <d v="2024-09-13T00:00:00"/>
    <n v="1.167123287671233"/>
    <x v="45"/>
    <x v="0"/>
    <x v="8"/>
    <x v="1"/>
    <n v="8.4700000000000006"/>
    <m/>
    <m/>
    <m/>
    <m/>
    <m/>
    <m/>
    <x v="2"/>
    <n v="2"/>
    <n v="3"/>
    <m/>
    <m/>
    <m/>
    <m/>
    <m/>
    <m/>
    <m/>
    <m/>
    <m/>
    <m/>
    <m/>
    <m/>
    <m/>
    <m/>
  </r>
  <r>
    <n v="4702"/>
    <n v="55190"/>
    <d v="2002-08-04T00:00:00"/>
    <n v="23"/>
    <x v="1"/>
    <x v="1"/>
    <d v="2024-10-31T00:00:00"/>
    <n v="1.0493150684931507"/>
    <x v="45"/>
    <x v="0"/>
    <x v="8"/>
    <x v="1"/>
    <n v="8.4700000000000006"/>
    <m/>
    <m/>
    <m/>
    <m/>
    <m/>
    <m/>
    <x v="1"/>
    <n v="3"/>
    <n v="7"/>
    <m/>
    <m/>
    <m/>
    <m/>
    <m/>
    <m/>
    <m/>
    <m/>
    <m/>
    <m/>
    <m/>
    <m/>
    <m/>
    <m/>
  </r>
  <r>
    <n v="4703"/>
    <n v="55191"/>
    <d v="2006-12-30T00:00:00"/>
    <n v="19"/>
    <x v="1"/>
    <x v="1"/>
    <d v="2024-12-13T00:00:00"/>
    <n v="1.1561643835616437"/>
    <x v="45"/>
    <x v="0"/>
    <x v="8"/>
    <x v="1"/>
    <n v="8.4700000000000006"/>
    <m/>
    <m/>
    <m/>
    <m/>
    <m/>
    <m/>
    <x v="1"/>
    <n v="2"/>
    <n v="6"/>
    <m/>
    <m/>
    <m/>
    <m/>
    <m/>
    <m/>
    <m/>
    <m/>
    <m/>
    <m/>
    <m/>
    <m/>
    <m/>
    <m/>
  </r>
  <r>
    <n v="4704"/>
    <n v="55192"/>
    <d v="2003-03-12T00:00:00"/>
    <n v="22"/>
    <x v="1"/>
    <x v="1"/>
    <d v="2024-11-04T00:00:00"/>
    <n v="1.8520547945205479"/>
    <x v="12"/>
    <x v="0"/>
    <x v="11"/>
    <x v="1"/>
    <n v="17"/>
    <m/>
    <m/>
    <m/>
    <m/>
    <m/>
    <m/>
    <x v="3"/>
    <n v="0"/>
    <n v="7"/>
    <m/>
    <m/>
    <m/>
    <m/>
    <m/>
    <m/>
    <m/>
    <m/>
    <m/>
    <m/>
    <m/>
    <m/>
    <m/>
    <m/>
  </r>
  <r>
    <n v="4705"/>
    <n v="55193"/>
    <d v="2000-04-03T00:00:00"/>
    <n v="25"/>
    <x v="1"/>
    <x v="0"/>
    <d v="2024-02-24T00:00:00"/>
    <n v="1.5287671232876712"/>
    <x v="12"/>
    <x v="0"/>
    <x v="11"/>
    <x v="1"/>
    <n v="17"/>
    <m/>
    <m/>
    <m/>
    <m/>
    <m/>
    <m/>
    <x v="4"/>
    <n v="0"/>
    <n v="4"/>
    <m/>
    <m/>
    <m/>
    <m/>
    <m/>
    <m/>
    <m/>
    <m/>
    <m/>
    <m/>
    <m/>
    <m/>
    <m/>
    <m/>
  </r>
  <r>
    <n v="4706"/>
    <n v="55194"/>
    <d v="2003-08-14T00:00:00"/>
    <n v="22"/>
    <x v="1"/>
    <x v="1"/>
    <d v="2024-06-21T00:00:00"/>
    <n v="1.6767123287671233"/>
    <x v="12"/>
    <x v="0"/>
    <x v="10"/>
    <x v="1"/>
    <n v="10.64"/>
    <m/>
    <m/>
    <m/>
    <m/>
    <m/>
    <m/>
    <x v="4"/>
    <n v="1"/>
    <n v="6"/>
    <m/>
    <m/>
    <m/>
    <m/>
    <m/>
    <m/>
    <m/>
    <m/>
    <m/>
    <m/>
    <m/>
    <m/>
    <m/>
    <m/>
  </r>
  <r>
    <n v="4707"/>
    <n v="55195"/>
    <d v="2005-03-03T00:00:00"/>
    <n v="20"/>
    <x v="1"/>
    <x v="0"/>
    <d v="2024-04-28T00:00:00"/>
    <n v="1.5041095890410958"/>
    <x v="12"/>
    <x v="0"/>
    <x v="10"/>
    <x v="1"/>
    <n v="10.64"/>
    <m/>
    <m/>
    <m/>
    <m/>
    <m/>
    <m/>
    <x v="2"/>
    <n v="1"/>
    <n v="6"/>
    <m/>
    <m/>
    <m/>
    <m/>
    <m/>
    <m/>
    <m/>
    <m/>
    <m/>
    <m/>
    <m/>
    <m/>
    <m/>
    <m/>
  </r>
  <r>
    <n v="4708"/>
    <n v="55196"/>
    <d v="1998-03-20T00:00:00"/>
    <n v="27"/>
    <x v="1"/>
    <x v="1"/>
    <d v="2024-06-30T00:00:00"/>
    <n v="1.704109589041096"/>
    <x v="12"/>
    <x v="0"/>
    <x v="8"/>
    <x v="1"/>
    <n v="8.4700000000000006"/>
    <m/>
    <m/>
    <m/>
    <m/>
    <m/>
    <m/>
    <x v="4"/>
    <n v="2"/>
    <n v="6"/>
    <m/>
    <m/>
    <m/>
    <m/>
    <m/>
    <m/>
    <m/>
    <m/>
    <m/>
    <m/>
    <m/>
    <m/>
    <m/>
    <m/>
  </r>
  <r>
    <n v="4709"/>
    <n v="55197"/>
    <d v="2002-08-20T00:00:00"/>
    <n v="23"/>
    <x v="1"/>
    <x v="1"/>
    <d v="2024-04-18T00:00:00"/>
    <n v="1.0657534246575342"/>
    <x v="12"/>
    <x v="0"/>
    <x v="8"/>
    <x v="1"/>
    <n v="8.4700000000000006"/>
    <m/>
    <m/>
    <m/>
    <m/>
    <m/>
    <m/>
    <x v="1"/>
    <n v="2"/>
    <n v="5"/>
    <m/>
    <m/>
    <m/>
    <m/>
    <m/>
    <m/>
    <m/>
    <m/>
    <m/>
    <m/>
    <m/>
    <m/>
    <m/>
    <m/>
  </r>
  <r>
    <n v="4710"/>
    <n v="55198"/>
    <d v="2006-06-05T00:00:00"/>
    <n v="19"/>
    <x v="1"/>
    <x v="1"/>
    <d v="2024-12-07T00:00:00"/>
    <n v="1.2794520547945205"/>
    <x v="12"/>
    <x v="0"/>
    <x v="8"/>
    <x v="1"/>
    <n v="8.4700000000000006"/>
    <m/>
    <m/>
    <m/>
    <m/>
    <m/>
    <m/>
    <x v="1"/>
    <n v="2"/>
    <n v="7"/>
    <m/>
    <m/>
    <m/>
    <m/>
    <m/>
    <m/>
    <m/>
    <m/>
    <m/>
    <m/>
    <m/>
    <m/>
    <m/>
    <m/>
  </r>
  <r>
    <n v="4711"/>
    <n v="55199"/>
    <d v="2006-03-01T00:00:00"/>
    <n v="20"/>
    <x v="1"/>
    <x v="1"/>
    <d v="2024-09-20T00:00:00"/>
    <n v="1.9287671232876713"/>
    <x v="12"/>
    <x v="0"/>
    <x v="8"/>
    <x v="1"/>
    <n v="8.4700000000000006"/>
    <m/>
    <m/>
    <m/>
    <m/>
    <m/>
    <m/>
    <x v="4"/>
    <n v="2"/>
    <n v="7"/>
    <m/>
    <m/>
    <m/>
    <m/>
    <m/>
    <m/>
    <m/>
    <m/>
    <m/>
    <m/>
    <m/>
    <m/>
    <m/>
    <m/>
  </r>
  <r>
    <n v="4712"/>
    <n v="55200"/>
    <d v="1999-08-07T00:00:00"/>
    <n v="26"/>
    <x v="1"/>
    <x v="1"/>
    <d v="2024-01-27T00:00:00"/>
    <n v="1.0383561643835617"/>
    <x v="12"/>
    <x v="0"/>
    <x v="8"/>
    <x v="1"/>
    <n v="8.4700000000000006"/>
    <m/>
    <m/>
    <m/>
    <m/>
    <m/>
    <m/>
    <x v="4"/>
    <n v="4"/>
    <n v="7"/>
    <m/>
    <m/>
    <m/>
    <m/>
    <m/>
    <m/>
    <m/>
    <m/>
    <m/>
    <m/>
    <m/>
    <m/>
    <m/>
    <m/>
  </r>
  <r>
    <n v="4713"/>
    <n v="55201"/>
    <d v="2005-12-30T00:00:00"/>
    <n v="20"/>
    <x v="1"/>
    <x v="1"/>
    <d v="2024-12-17T00:00:00"/>
    <n v="1.2"/>
    <x v="12"/>
    <x v="0"/>
    <x v="8"/>
    <x v="1"/>
    <n v="8.4700000000000006"/>
    <m/>
    <m/>
    <m/>
    <m/>
    <m/>
    <m/>
    <x v="2"/>
    <n v="4"/>
    <n v="6"/>
    <m/>
    <m/>
    <m/>
    <m/>
    <m/>
    <m/>
    <m/>
    <m/>
    <m/>
    <m/>
    <m/>
    <m/>
    <m/>
    <m/>
  </r>
  <r>
    <n v="4714"/>
    <n v="55202"/>
    <d v="2003-07-05T00:00:00"/>
    <n v="22"/>
    <x v="1"/>
    <x v="1"/>
    <d v="2024-10-19T00:00:00"/>
    <n v="1.3205479452054794"/>
    <x v="12"/>
    <x v="0"/>
    <x v="8"/>
    <x v="1"/>
    <n v="8.4700000000000006"/>
    <m/>
    <m/>
    <m/>
    <m/>
    <m/>
    <m/>
    <x v="4"/>
    <n v="3"/>
    <n v="6"/>
    <m/>
    <m/>
    <m/>
    <m/>
    <m/>
    <m/>
    <m/>
    <m/>
    <m/>
    <m/>
    <m/>
    <m/>
    <m/>
    <m/>
  </r>
  <r>
    <n v="4715"/>
    <n v="55203"/>
    <d v="2005-06-21T00:00:00"/>
    <n v="20"/>
    <x v="0"/>
    <x v="0"/>
    <d v="2024-09-05T00:00:00"/>
    <n v="1.7452054794520548"/>
    <x v="12"/>
    <x v="0"/>
    <x v="8"/>
    <x v="1"/>
    <n v="8.4700000000000006"/>
    <m/>
    <m/>
    <m/>
    <m/>
    <m/>
    <m/>
    <x v="1"/>
    <n v="2"/>
    <n v="4"/>
    <m/>
    <m/>
    <m/>
    <m/>
    <m/>
    <m/>
    <m/>
    <m/>
    <m/>
    <m/>
    <m/>
    <m/>
    <m/>
    <m/>
  </r>
  <r>
    <n v="4716"/>
    <n v="55204"/>
    <d v="2001-11-21T00:00:00"/>
    <n v="24"/>
    <x v="1"/>
    <x v="1"/>
    <d v="2024-04-03T00:00:00"/>
    <n v="1.3589041095890411"/>
    <x v="12"/>
    <x v="0"/>
    <x v="8"/>
    <x v="1"/>
    <n v="8.4700000000000006"/>
    <m/>
    <m/>
    <m/>
    <m/>
    <m/>
    <m/>
    <x v="3"/>
    <n v="1"/>
    <n v="6"/>
    <m/>
    <m/>
    <m/>
    <m/>
    <m/>
    <m/>
    <m/>
    <m/>
    <m/>
    <m/>
    <m/>
    <m/>
    <m/>
    <m/>
  </r>
  <r>
    <n v="4717"/>
    <n v="55205"/>
    <d v="2000-03-05T00:00:00"/>
    <n v="25"/>
    <x v="1"/>
    <x v="1"/>
    <d v="2024-08-22T00:00:00"/>
    <n v="1.7616438356164383"/>
    <x v="12"/>
    <x v="0"/>
    <x v="8"/>
    <x v="1"/>
    <n v="8.4700000000000006"/>
    <m/>
    <m/>
    <m/>
    <m/>
    <m/>
    <m/>
    <x v="1"/>
    <n v="1"/>
    <n v="6"/>
    <m/>
    <m/>
    <m/>
    <m/>
    <m/>
    <m/>
    <m/>
    <m/>
    <m/>
    <m/>
    <m/>
    <m/>
    <m/>
    <m/>
  </r>
  <r>
    <n v="4718"/>
    <n v="55206"/>
    <d v="2005-07-26T00:00:00"/>
    <n v="20"/>
    <x v="1"/>
    <x v="0"/>
    <d v="2024-03-28T00:00:00"/>
    <n v="1.2465753424657535"/>
    <x v="12"/>
    <x v="0"/>
    <x v="8"/>
    <x v="1"/>
    <n v="8.4700000000000006"/>
    <m/>
    <m/>
    <m/>
    <m/>
    <m/>
    <m/>
    <x v="3"/>
    <n v="2"/>
    <n v="5"/>
    <m/>
    <m/>
    <m/>
    <m/>
    <m/>
    <m/>
    <m/>
    <m/>
    <m/>
    <m/>
    <m/>
    <m/>
    <m/>
    <m/>
  </r>
  <r>
    <n v="4719"/>
    <n v="55207"/>
    <d v="1996-04-28T00:00:00"/>
    <n v="29"/>
    <x v="1"/>
    <x v="0"/>
    <d v="2024-10-02T00:00:00"/>
    <n v="1.0465753424657533"/>
    <x v="12"/>
    <x v="0"/>
    <x v="8"/>
    <x v="1"/>
    <n v="8.4700000000000006"/>
    <m/>
    <m/>
    <m/>
    <m/>
    <m/>
    <m/>
    <x v="1"/>
    <n v="4"/>
    <n v="5"/>
    <m/>
    <m/>
    <m/>
    <m/>
    <m/>
    <m/>
    <m/>
    <m/>
    <m/>
    <m/>
    <m/>
    <m/>
    <m/>
    <m/>
  </r>
  <r>
    <n v="4720"/>
    <n v="55208"/>
    <d v="1994-07-01T00:00:00"/>
    <n v="32"/>
    <x v="1"/>
    <x v="1"/>
    <d v="2024-12-14T00:00:00"/>
    <n v="1.536986301369863"/>
    <x v="12"/>
    <x v="0"/>
    <x v="8"/>
    <x v="1"/>
    <n v="8.4700000000000006"/>
    <m/>
    <m/>
    <m/>
    <m/>
    <m/>
    <m/>
    <x v="1"/>
    <n v="2"/>
    <n v="6"/>
    <m/>
    <m/>
    <m/>
    <m/>
    <m/>
    <m/>
    <m/>
    <m/>
    <m/>
    <m/>
    <m/>
    <m/>
    <m/>
    <m/>
  </r>
  <r>
    <n v="4721"/>
    <n v="55209"/>
    <d v="2006-11-06T00:00:00"/>
    <n v="19"/>
    <x v="1"/>
    <x v="0"/>
    <d v="2024-06-18T00:00:00"/>
    <n v="1.2301369863013698"/>
    <x v="12"/>
    <x v="0"/>
    <x v="8"/>
    <x v="1"/>
    <n v="8.4700000000000006"/>
    <m/>
    <m/>
    <m/>
    <m/>
    <m/>
    <m/>
    <x v="1"/>
    <n v="2"/>
    <n v="6"/>
    <m/>
    <m/>
    <m/>
    <m/>
    <m/>
    <m/>
    <m/>
    <m/>
    <m/>
    <m/>
    <m/>
    <m/>
    <m/>
    <m/>
  </r>
  <r>
    <n v="4722"/>
    <n v="55210"/>
    <d v="2002-03-23T00:00:00"/>
    <n v="23"/>
    <x v="0"/>
    <x v="1"/>
    <d v="2024-10-08T00:00:00"/>
    <n v="1.6109589041095891"/>
    <x v="82"/>
    <x v="0"/>
    <x v="11"/>
    <x v="1"/>
    <n v="17"/>
    <m/>
    <m/>
    <m/>
    <m/>
    <m/>
    <m/>
    <x v="2"/>
    <n v="4"/>
    <n v="5"/>
    <m/>
    <m/>
    <m/>
    <m/>
    <m/>
    <m/>
    <m/>
    <m/>
    <m/>
    <m/>
    <m/>
    <m/>
    <m/>
    <m/>
  </r>
  <r>
    <n v="4723"/>
    <n v="55211"/>
    <d v="2002-10-04T00:00:00"/>
    <n v="23"/>
    <x v="1"/>
    <x v="0"/>
    <d v="2024-05-22T00:00:00"/>
    <n v="1.1726027397260275"/>
    <x v="82"/>
    <x v="0"/>
    <x v="11"/>
    <x v="1"/>
    <n v="17"/>
    <m/>
    <m/>
    <m/>
    <m/>
    <m/>
    <m/>
    <x v="1"/>
    <n v="3"/>
    <n v="6"/>
    <m/>
    <m/>
    <m/>
    <m/>
    <m/>
    <m/>
    <m/>
    <m/>
    <m/>
    <m/>
    <m/>
    <m/>
    <m/>
    <m/>
  </r>
  <r>
    <n v="4724"/>
    <n v="55212"/>
    <d v="2004-03-30T00:00:00"/>
    <n v="21"/>
    <x v="0"/>
    <x v="1"/>
    <d v="2024-10-29T00:00:00"/>
    <n v="1.189041095890411"/>
    <x v="82"/>
    <x v="0"/>
    <x v="10"/>
    <x v="1"/>
    <n v="10.64"/>
    <m/>
    <m/>
    <m/>
    <m/>
    <m/>
    <m/>
    <x v="3"/>
    <n v="0"/>
    <n v="4"/>
    <m/>
    <m/>
    <m/>
    <m/>
    <m/>
    <m/>
    <m/>
    <m/>
    <m/>
    <m/>
    <m/>
    <m/>
    <m/>
    <m/>
  </r>
  <r>
    <n v="4725"/>
    <n v="55213"/>
    <d v="2003-01-26T00:00:00"/>
    <n v="22"/>
    <x v="1"/>
    <x v="1"/>
    <d v="2024-10-23T00:00:00"/>
    <n v="1.7315068493150685"/>
    <x v="82"/>
    <x v="0"/>
    <x v="1"/>
    <x v="1"/>
    <n v="16.37"/>
    <m/>
    <m/>
    <m/>
    <m/>
    <m/>
    <m/>
    <x v="3"/>
    <n v="1"/>
    <n v="7"/>
    <m/>
    <m/>
    <m/>
    <m/>
    <m/>
    <m/>
    <m/>
    <m/>
    <m/>
    <m/>
    <m/>
    <m/>
    <m/>
    <m/>
  </r>
  <r>
    <n v="4726"/>
    <n v="55214"/>
    <d v="1995-02-11T00:00:00"/>
    <n v="30"/>
    <x v="1"/>
    <x v="0"/>
    <d v="2024-04-08T00:00:00"/>
    <n v="1.6"/>
    <x v="82"/>
    <x v="0"/>
    <x v="1"/>
    <x v="1"/>
    <n v="16.37"/>
    <m/>
    <m/>
    <m/>
    <m/>
    <m/>
    <m/>
    <x v="1"/>
    <n v="2"/>
    <n v="6"/>
    <m/>
    <m/>
    <m/>
    <m/>
    <m/>
    <m/>
    <m/>
    <m/>
    <m/>
    <m/>
    <m/>
    <m/>
    <m/>
    <m/>
  </r>
  <r>
    <n v="4727"/>
    <n v="55215"/>
    <d v="2000-10-11T00:00:00"/>
    <n v="25"/>
    <x v="0"/>
    <x v="1"/>
    <d v="2024-05-26T00:00:00"/>
    <n v="1.7068493150684931"/>
    <x v="82"/>
    <x v="0"/>
    <x v="2"/>
    <x v="1"/>
    <n v="14.23"/>
    <m/>
    <m/>
    <m/>
    <m/>
    <m/>
    <m/>
    <x v="2"/>
    <n v="1"/>
    <n v="5"/>
    <m/>
    <m/>
    <m/>
    <m/>
    <m/>
    <m/>
    <m/>
    <m/>
    <m/>
    <m/>
    <m/>
    <m/>
    <m/>
    <m/>
  </r>
  <r>
    <n v="4728"/>
    <n v="55217"/>
    <d v="2003-08-05T00:00:00"/>
    <n v="22"/>
    <x v="1"/>
    <x v="1"/>
    <d v="2024-04-17T00:00:00"/>
    <n v="1.4821917808219178"/>
    <x v="82"/>
    <x v="0"/>
    <x v="3"/>
    <x v="1"/>
    <n v="8.4700000000000006"/>
    <m/>
    <m/>
    <m/>
    <m/>
    <m/>
    <m/>
    <x v="4"/>
    <n v="1"/>
    <n v="7"/>
    <m/>
    <m/>
    <m/>
    <m/>
    <m/>
    <m/>
    <m/>
    <m/>
    <m/>
    <m/>
    <m/>
    <m/>
    <m/>
    <m/>
  </r>
  <r>
    <n v="4729"/>
    <n v="55218"/>
    <d v="2000-04-21T00:00:00"/>
    <n v="25"/>
    <x v="1"/>
    <x v="1"/>
    <d v="2024-07-08T00:00:00"/>
    <n v="1.7671232876712328"/>
    <x v="82"/>
    <x v="0"/>
    <x v="3"/>
    <x v="1"/>
    <n v="8.4700000000000006"/>
    <m/>
    <m/>
    <m/>
    <m/>
    <m/>
    <m/>
    <x v="4"/>
    <n v="2"/>
    <n v="7"/>
    <m/>
    <m/>
    <m/>
    <m/>
    <m/>
    <m/>
    <m/>
    <m/>
    <m/>
    <m/>
    <m/>
    <m/>
    <m/>
    <m/>
  </r>
  <r>
    <n v="4730"/>
    <n v="55219"/>
    <d v="2005-07-30T00:00:00"/>
    <n v="20"/>
    <x v="1"/>
    <x v="1"/>
    <d v="2024-03-26T00:00:00"/>
    <n v="1.6602739726027398"/>
    <x v="82"/>
    <x v="0"/>
    <x v="8"/>
    <x v="1"/>
    <n v="8.4700000000000006"/>
    <m/>
    <m/>
    <m/>
    <m/>
    <m/>
    <m/>
    <x v="4"/>
    <n v="4"/>
    <n v="7"/>
    <m/>
    <m/>
    <m/>
    <m/>
    <m/>
    <m/>
    <m/>
    <m/>
    <m/>
    <m/>
    <m/>
    <m/>
    <m/>
    <m/>
  </r>
  <r>
    <n v="4731"/>
    <n v="55220"/>
    <d v="2005-11-24T00:00:00"/>
    <n v="20"/>
    <x v="1"/>
    <x v="1"/>
    <d v="2024-05-04T00:00:00"/>
    <n v="1.3726027397260274"/>
    <x v="82"/>
    <x v="0"/>
    <x v="8"/>
    <x v="1"/>
    <n v="8.4700000000000006"/>
    <m/>
    <m/>
    <m/>
    <m/>
    <m/>
    <m/>
    <x v="2"/>
    <n v="2"/>
    <n v="4"/>
    <m/>
    <m/>
    <m/>
    <m/>
    <m/>
    <m/>
    <m/>
    <m/>
    <m/>
    <m/>
    <m/>
    <m/>
    <m/>
    <m/>
  </r>
  <r>
    <n v="4732"/>
    <n v="55221"/>
    <d v="2004-03-21T00:00:00"/>
    <n v="21"/>
    <x v="1"/>
    <x v="0"/>
    <d v="2024-08-17T00:00:00"/>
    <n v="1.2602739726027397"/>
    <x v="82"/>
    <x v="0"/>
    <x v="8"/>
    <x v="1"/>
    <n v="8.4700000000000006"/>
    <m/>
    <m/>
    <m/>
    <m/>
    <m/>
    <m/>
    <x v="3"/>
    <n v="3"/>
    <n v="6"/>
    <m/>
    <m/>
    <m/>
    <m/>
    <m/>
    <m/>
    <m/>
    <m/>
    <m/>
    <m/>
    <m/>
    <m/>
    <m/>
    <m/>
  </r>
  <r>
    <n v="4733"/>
    <n v="55222"/>
    <d v="2004-08-17T00:00:00"/>
    <n v="21"/>
    <x v="1"/>
    <x v="1"/>
    <d v="2024-09-27T00:00:00"/>
    <n v="1.189041095890411"/>
    <x v="82"/>
    <x v="0"/>
    <x v="8"/>
    <x v="1"/>
    <n v="8.4700000000000006"/>
    <m/>
    <m/>
    <m/>
    <m/>
    <m/>
    <m/>
    <x v="3"/>
    <n v="2"/>
    <n v="5"/>
    <m/>
    <m/>
    <m/>
    <m/>
    <m/>
    <m/>
    <m/>
    <m/>
    <m/>
    <m/>
    <m/>
    <m/>
    <m/>
    <m/>
  </r>
  <r>
    <n v="4734"/>
    <n v="55223"/>
    <d v="1994-09-11T00:00:00"/>
    <n v="31"/>
    <x v="1"/>
    <x v="1"/>
    <d v="2024-10-23T00:00:00"/>
    <n v="1.2356164383561643"/>
    <x v="82"/>
    <x v="0"/>
    <x v="8"/>
    <x v="1"/>
    <n v="8.4700000000000006"/>
    <m/>
    <m/>
    <m/>
    <m/>
    <m/>
    <m/>
    <x v="3"/>
    <n v="2"/>
    <n v="7"/>
    <m/>
    <m/>
    <m/>
    <m/>
    <m/>
    <m/>
    <m/>
    <m/>
    <m/>
    <m/>
    <m/>
    <m/>
    <m/>
    <m/>
  </r>
  <r>
    <n v="4735"/>
    <n v="55224"/>
    <d v="2005-01-03T00:00:00"/>
    <n v="20"/>
    <x v="1"/>
    <x v="1"/>
    <d v="2024-10-06T00:00:00"/>
    <n v="1.8164383561643835"/>
    <x v="82"/>
    <x v="0"/>
    <x v="8"/>
    <x v="1"/>
    <n v="8.4700000000000006"/>
    <m/>
    <m/>
    <m/>
    <m/>
    <m/>
    <m/>
    <x v="2"/>
    <n v="2"/>
    <n v="7"/>
    <m/>
    <m/>
    <m/>
    <m/>
    <m/>
    <m/>
    <m/>
    <m/>
    <m/>
    <m/>
    <m/>
    <m/>
    <m/>
    <m/>
  </r>
  <r>
    <n v="4736"/>
    <n v="55225"/>
    <d v="2005-08-23T00:00:00"/>
    <n v="20"/>
    <x v="1"/>
    <x v="0"/>
    <d v="2024-03-08T00:00:00"/>
    <n v="1.1150684931506849"/>
    <x v="82"/>
    <x v="0"/>
    <x v="8"/>
    <x v="1"/>
    <n v="8.4700000000000006"/>
    <m/>
    <m/>
    <m/>
    <m/>
    <m/>
    <m/>
    <x v="3"/>
    <n v="2"/>
    <n v="5"/>
    <m/>
    <m/>
    <m/>
    <m/>
    <m/>
    <m/>
    <m/>
    <m/>
    <m/>
    <m/>
    <m/>
    <m/>
    <m/>
    <m/>
  </r>
  <r>
    <n v="4737"/>
    <n v="55226"/>
    <d v="1993-07-05T00:00:00"/>
    <n v="32"/>
    <x v="1"/>
    <x v="0"/>
    <d v="2024-11-19T00:00:00"/>
    <n v="1.3863013698630138"/>
    <x v="82"/>
    <x v="0"/>
    <x v="8"/>
    <x v="1"/>
    <n v="8.4700000000000006"/>
    <m/>
    <m/>
    <m/>
    <m/>
    <m/>
    <m/>
    <x v="3"/>
    <n v="4"/>
    <n v="7"/>
    <m/>
    <m/>
    <m/>
    <m/>
    <m/>
    <m/>
    <m/>
    <m/>
    <m/>
    <m/>
    <m/>
    <m/>
    <m/>
    <m/>
  </r>
  <r>
    <n v="4738"/>
    <n v="55227"/>
    <d v="2007-12-17T00:00:00"/>
    <n v="18"/>
    <x v="1"/>
    <x v="1"/>
    <d v="2024-08-12T00:00:00"/>
    <n v="1.4301369863013698"/>
    <x v="82"/>
    <x v="0"/>
    <x v="8"/>
    <x v="1"/>
    <n v="8.4700000000000006"/>
    <m/>
    <m/>
    <m/>
    <m/>
    <m/>
    <m/>
    <x v="4"/>
    <n v="1"/>
    <n v="6"/>
    <m/>
    <m/>
    <m/>
    <m/>
    <m/>
    <m/>
    <m/>
    <m/>
    <m/>
    <m/>
    <m/>
    <m/>
    <m/>
    <m/>
  </r>
  <r>
    <n v="4739"/>
    <n v="55228"/>
    <d v="2003-09-17T00:00:00"/>
    <n v="22"/>
    <x v="1"/>
    <x v="1"/>
    <d v="2024-07-27T00:00:00"/>
    <n v="1.0027397260273974"/>
    <x v="82"/>
    <x v="0"/>
    <x v="8"/>
    <x v="1"/>
    <n v="8.4700000000000006"/>
    <m/>
    <m/>
    <m/>
    <m/>
    <m/>
    <m/>
    <x v="1"/>
    <n v="1"/>
    <n v="5"/>
    <m/>
    <m/>
    <m/>
    <m/>
    <m/>
    <m/>
    <m/>
    <m/>
    <m/>
    <m/>
    <m/>
    <m/>
    <m/>
    <m/>
  </r>
  <r>
    <n v="4740"/>
    <n v="55229"/>
    <d v="2002-03-05T00:00:00"/>
    <n v="23"/>
    <x v="1"/>
    <x v="1"/>
    <d v="2024-12-30T00:00:00"/>
    <n v="1.3945205479452054"/>
    <x v="82"/>
    <x v="0"/>
    <x v="8"/>
    <x v="1"/>
    <n v="8.4700000000000006"/>
    <m/>
    <m/>
    <m/>
    <m/>
    <m/>
    <m/>
    <x v="4"/>
    <n v="1"/>
    <n v="6"/>
    <m/>
    <m/>
    <m/>
    <m/>
    <m/>
    <m/>
    <m/>
    <m/>
    <m/>
    <m/>
    <m/>
    <m/>
    <m/>
    <m/>
  </r>
  <r>
    <n v="4741"/>
    <n v="55230"/>
    <d v="2006-05-11T00:00:00"/>
    <n v="19"/>
    <x v="1"/>
    <x v="1"/>
    <d v="2024-08-09T00:00:00"/>
    <n v="1.441095890410959"/>
    <x v="82"/>
    <x v="0"/>
    <x v="8"/>
    <x v="1"/>
    <n v="8.4700000000000006"/>
    <m/>
    <m/>
    <m/>
    <m/>
    <m/>
    <m/>
    <x v="1"/>
    <n v="2"/>
    <n v="6"/>
    <m/>
    <m/>
    <m/>
    <m/>
    <m/>
    <m/>
    <m/>
    <m/>
    <m/>
    <m/>
    <m/>
    <m/>
    <m/>
    <m/>
  </r>
  <r>
    <n v="4742"/>
    <n v="55231"/>
    <d v="1998-12-10T00:00:00"/>
    <n v="27"/>
    <x v="0"/>
    <x v="1"/>
    <d v="2024-07-23T00:00:00"/>
    <n v="1.5205479452054795"/>
    <x v="82"/>
    <x v="0"/>
    <x v="8"/>
    <x v="1"/>
    <n v="8.4700000000000006"/>
    <m/>
    <m/>
    <m/>
    <m/>
    <m/>
    <m/>
    <x v="2"/>
    <n v="2"/>
    <n v="3"/>
    <m/>
    <m/>
    <m/>
    <m/>
    <m/>
    <m/>
    <m/>
    <m/>
    <m/>
    <m/>
    <m/>
    <m/>
    <m/>
    <m/>
  </r>
  <r>
    <n v="4743"/>
    <n v="55232"/>
    <d v="2001-05-20T00:00:00"/>
    <n v="24"/>
    <x v="1"/>
    <x v="1"/>
    <d v="2024-06-24T00:00:00"/>
    <n v="1.452054794520548"/>
    <x v="82"/>
    <x v="0"/>
    <x v="8"/>
    <x v="1"/>
    <n v="8.4700000000000006"/>
    <m/>
    <m/>
    <m/>
    <m/>
    <m/>
    <m/>
    <x v="2"/>
    <n v="1"/>
    <n v="6"/>
    <m/>
    <m/>
    <m/>
    <m/>
    <m/>
    <m/>
    <m/>
    <m/>
    <m/>
    <m/>
    <m/>
    <m/>
    <m/>
    <m/>
  </r>
  <r>
    <n v="4744"/>
    <n v="55233"/>
    <d v="2005-10-01T00:00:00"/>
    <n v="21"/>
    <x v="1"/>
    <x v="1"/>
    <d v="2024-07-19T00:00:00"/>
    <n v="1.4931506849315068"/>
    <x v="82"/>
    <x v="0"/>
    <x v="8"/>
    <x v="1"/>
    <n v="8.4700000000000006"/>
    <m/>
    <m/>
    <m/>
    <m/>
    <m/>
    <m/>
    <x v="2"/>
    <n v="1"/>
    <n v="6"/>
    <m/>
    <m/>
    <m/>
    <m/>
    <m/>
    <m/>
    <m/>
    <m/>
    <m/>
    <m/>
    <m/>
    <m/>
    <m/>
    <m/>
  </r>
  <r>
    <n v="4745"/>
    <n v="55234"/>
    <d v="1999-02-14T00:00:00"/>
    <n v="26"/>
    <x v="1"/>
    <x v="0"/>
    <d v="2024-07-04T00:00:00"/>
    <n v="1.6931506849315068"/>
    <x v="82"/>
    <x v="0"/>
    <x v="8"/>
    <x v="1"/>
    <n v="8.4700000000000006"/>
    <m/>
    <m/>
    <m/>
    <m/>
    <m/>
    <m/>
    <x v="4"/>
    <n v="3"/>
    <n v="5"/>
    <m/>
    <m/>
    <m/>
    <m/>
    <m/>
    <m/>
    <m/>
    <m/>
    <m/>
    <m/>
    <m/>
    <m/>
    <m/>
    <m/>
  </r>
  <r>
    <n v="4746"/>
    <n v="55235"/>
    <d v="1997-02-11T00:00:00"/>
    <n v="28"/>
    <x v="1"/>
    <x v="1"/>
    <d v="2024-04-22T00:00:00"/>
    <n v="1.7342465753424658"/>
    <x v="82"/>
    <x v="0"/>
    <x v="8"/>
    <x v="1"/>
    <n v="8.4700000000000006"/>
    <m/>
    <m/>
    <m/>
    <m/>
    <m/>
    <m/>
    <x v="4"/>
    <n v="2"/>
    <n v="6"/>
    <m/>
    <m/>
    <m/>
    <m/>
    <m/>
    <m/>
    <m/>
    <m/>
    <m/>
    <m/>
    <m/>
    <m/>
    <m/>
    <m/>
  </r>
  <r>
    <n v="4747"/>
    <n v="55236"/>
    <d v="1996-12-18T00:00:00"/>
    <n v="29"/>
    <x v="1"/>
    <x v="1"/>
    <d v="2024-04-07T00:00:00"/>
    <n v="1.2438356164383562"/>
    <x v="13"/>
    <x v="0"/>
    <x v="11"/>
    <x v="1"/>
    <n v="17"/>
    <m/>
    <m/>
    <m/>
    <m/>
    <m/>
    <m/>
    <x v="4"/>
    <n v="2"/>
    <n v="5"/>
    <m/>
    <m/>
    <m/>
    <m/>
    <m/>
    <m/>
    <m/>
    <m/>
    <m/>
    <m/>
    <m/>
    <m/>
    <m/>
    <m/>
  </r>
  <r>
    <n v="4748"/>
    <n v="55237"/>
    <d v="2002-07-15T00:00:00"/>
    <n v="23"/>
    <x v="0"/>
    <x v="1"/>
    <d v="2024-10-03T00:00:00"/>
    <n v="1.1150684931506849"/>
    <x v="13"/>
    <x v="0"/>
    <x v="10"/>
    <x v="1"/>
    <n v="10.64"/>
    <m/>
    <m/>
    <m/>
    <m/>
    <m/>
    <m/>
    <x v="4"/>
    <n v="0"/>
    <n v="4"/>
    <m/>
    <m/>
    <m/>
    <m/>
    <m/>
    <m/>
    <m/>
    <m/>
    <m/>
    <m/>
    <m/>
    <m/>
    <m/>
    <m/>
  </r>
  <r>
    <n v="4749"/>
    <n v="55238"/>
    <d v="2003-04-07T00:00:00"/>
    <n v="22"/>
    <x v="1"/>
    <x v="1"/>
    <d v="2024-11-19T00:00:00"/>
    <n v="1.0931506849315069"/>
    <x v="13"/>
    <x v="0"/>
    <x v="9"/>
    <x v="1"/>
    <n v="14.07"/>
    <m/>
    <m/>
    <m/>
    <m/>
    <m/>
    <m/>
    <x v="3"/>
    <n v="0"/>
    <n v="7"/>
    <m/>
    <m/>
    <m/>
    <m/>
    <m/>
    <m/>
    <m/>
    <m/>
    <m/>
    <m/>
    <m/>
    <m/>
    <m/>
    <m/>
  </r>
  <r>
    <n v="4750"/>
    <n v="55239"/>
    <d v="2003-11-26T00:00:00"/>
    <n v="22"/>
    <x v="1"/>
    <x v="1"/>
    <d v="2024-11-27T00:00:00"/>
    <n v="1.3205479452054794"/>
    <x v="13"/>
    <x v="0"/>
    <x v="3"/>
    <x v="1"/>
    <n v="8.4700000000000006"/>
    <m/>
    <m/>
    <m/>
    <m/>
    <m/>
    <m/>
    <x v="4"/>
    <n v="4"/>
    <n v="7"/>
    <m/>
    <m/>
    <m/>
    <m/>
    <m/>
    <m/>
    <m/>
    <m/>
    <m/>
    <m/>
    <m/>
    <m/>
    <m/>
    <m/>
  </r>
  <r>
    <n v="4751"/>
    <n v="55240"/>
    <d v="2003-04-18T00:00:00"/>
    <n v="22"/>
    <x v="1"/>
    <x v="1"/>
    <d v="2024-09-05T00:00:00"/>
    <n v="1.1945205479452055"/>
    <x v="13"/>
    <x v="0"/>
    <x v="3"/>
    <x v="1"/>
    <n v="8.4700000000000006"/>
    <m/>
    <m/>
    <m/>
    <m/>
    <m/>
    <m/>
    <x v="3"/>
    <n v="1"/>
    <n v="6"/>
    <m/>
    <m/>
    <m/>
    <m/>
    <m/>
    <m/>
    <m/>
    <m/>
    <m/>
    <m/>
    <m/>
    <m/>
    <m/>
    <m/>
  </r>
  <r>
    <n v="4752"/>
    <n v="55241"/>
    <d v="2004-09-24T00:00:00"/>
    <n v="21"/>
    <x v="1"/>
    <x v="1"/>
    <d v="2024-10-21T00:00:00"/>
    <n v="1.0794520547945206"/>
    <x v="13"/>
    <x v="0"/>
    <x v="8"/>
    <x v="1"/>
    <n v="8.4700000000000006"/>
    <m/>
    <m/>
    <m/>
    <m/>
    <m/>
    <m/>
    <x v="1"/>
    <n v="3"/>
    <n v="6"/>
    <m/>
    <m/>
    <m/>
    <m/>
    <m/>
    <m/>
    <m/>
    <m/>
    <m/>
    <m/>
    <m/>
    <m/>
    <m/>
    <m/>
  </r>
  <r>
    <n v="4753"/>
    <n v="55242"/>
    <d v="1999-11-08T00:00:00"/>
    <n v="26"/>
    <x v="1"/>
    <x v="1"/>
    <d v="2024-12-02T00:00:00"/>
    <n v="1.4821917808219178"/>
    <x v="13"/>
    <x v="0"/>
    <x v="8"/>
    <x v="1"/>
    <n v="8.4700000000000006"/>
    <m/>
    <m/>
    <m/>
    <m/>
    <m/>
    <m/>
    <x v="3"/>
    <n v="1"/>
    <n v="7"/>
    <m/>
    <m/>
    <m/>
    <m/>
    <m/>
    <m/>
    <m/>
    <m/>
    <m/>
    <m/>
    <m/>
    <m/>
    <m/>
    <m/>
  </r>
  <r>
    <n v="4754"/>
    <n v="55243"/>
    <d v="1994-10-18T00:00:00"/>
    <n v="31"/>
    <x v="1"/>
    <x v="1"/>
    <d v="2024-07-08T00:00:00"/>
    <n v="1.3890410958904109"/>
    <x v="13"/>
    <x v="0"/>
    <x v="8"/>
    <x v="1"/>
    <n v="8.4700000000000006"/>
    <m/>
    <m/>
    <m/>
    <m/>
    <m/>
    <m/>
    <x v="2"/>
    <n v="2"/>
    <n v="7"/>
    <m/>
    <m/>
    <m/>
    <m/>
    <m/>
    <m/>
    <m/>
    <m/>
    <m/>
    <m/>
    <m/>
    <m/>
    <m/>
    <m/>
  </r>
  <r>
    <n v="4755"/>
    <n v="55244"/>
    <d v="2006-10-04T00:00:00"/>
    <n v="19"/>
    <x v="1"/>
    <x v="0"/>
    <d v="2024-08-11T00:00:00"/>
    <n v="1.5123287671232877"/>
    <x v="13"/>
    <x v="0"/>
    <x v="8"/>
    <x v="1"/>
    <n v="8.4700000000000006"/>
    <m/>
    <m/>
    <m/>
    <m/>
    <m/>
    <m/>
    <x v="3"/>
    <n v="4"/>
    <n v="5"/>
    <m/>
    <m/>
    <m/>
    <m/>
    <m/>
    <m/>
    <m/>
    <m/>
    <m/>
    <m/>
    <m/>
    <m/>
    <m/>
    <m/>
  </r>
  <r>
    <n v="4756"/>
    <n v="55245"/>
    <d v="1998-01-26T00:00:00"/>
    <n v="27"/>
    <x v="1"/>
    <x v="1"/>
    <d v="2024-06-27T00:00:00"/>
    <n v="1.6273972602739726"/>
    <x v="13"/>
    <x v="0"/>
    <x v="8"/>
    <x v="1"/>
    <n v="8.4700000000000006"/>
    <m/>
    <m/>
    <m/>
    <m/>
    <m/>
    <m/>
    <x v="2"/>
    <n v="1"/>
    <n v="7"/>
    <m/>
    <m/>
    <m/>
    <m/>
    <m/>
    <m/>
    <m/>
    <m/>
    <m/>
    <m/>
    <m/>
    <m/>
    <m/>
    <m/>
  </r>
  <r>
    <n v="4757"/>
    <n v="55246"/>
    <d v="2002-06-09T00:00:00"/>
    <n v="23"/>
    <x v="0"/>
    <x v="1"/>
    <d v="2024-05-16T00:00:00"/>
    <n v="1.6876712328767123"/>
    <x v="13"/>
    <x v="0"/>
    <x v="8"/>
    <x v="1"/>
    <n v="8.4700000000000006"/>
    <m/>
    <m/>
    <m/>
    <m/>
    <m/>
    <m/>
    <x v="1"/>
    <n v="1"/>
    <n v="5"/>
    <m/>
    <m/>
    <m/>
    <m/>
    <m/>
    <m/>
    <m/>
    <m/>
    <m/>
    <m/>
    <m/>
    <m/>
    <m/>
    <m/>
  </r>
  <r>
    <n v="4758"/>
    <n v="55247"/>
    <d v="2004-08-14T00:00:00"/>
    <n v="21"/>
    <x v="1"/>
    <x v="1"/>
    <d v="2024-04-24T00:00:00"/>
    <n v="1.6739726027397259"/>
    <x v="13"/>
    <x v="0"/>
    <x v="8"/>
    <x v="1"/>
    <n v="8.4700000000000006"/>
    <m/>
    <m/>
    <m/>
    <m/>
    <m/>
    <m/>
    <x v="4"/>
    <n v="4"/>
    <n v="6"/>
    <m/>
    <m/>
    <m/>
    <m/>
    <m/>
    <m/>
    <m/>
    <m/>
    <m/>
    <m/>
    <m/>
    <m/>
    <m/>
    <m/>
  </r>
  <r>
    <n v="4759"/>
    <n v="55248"/>
    <d v="2004-10-30T00:00:00"/>
    <n v="21"/>
    <x v="1"/>
    <x v="1"/>
    <d v="2024-04-29T00:00:00"/>
    <n v="1.6136986301369862"/>
    <x v="13"/>
    <x v="0"/>
    <x v="8"/>
    <x v="1"/>
    <n v="8.4700000000000006"/>
    <m/>
    <m/>
    <m/>
    <m/>
    <m/>
    <m/>
    <x v="4"/>
    <n v="2"/>
    <n v="7"/>
    <m/>
    <m/>
    <m/>
    <m/>
    <m/>
    <m/>
    <m/>
    <m/>
    <m/>
    <m/>
    <m/>
    <m/>
    <m/>
    <m/>
  </r>
  <r>
    <n v="4760"/>
    <n v="55249"/>
    <d v="2007-12-16T00:00:00"/>
    <n v="18"/>
    <x v="1"/>
    <x v="1"/>
    <d v="2024-05-21T00:00:00"/>
    <n v="1.6547945205479453"/>
    <x v="13"/>
    <x v="0"/>
    <x v="8"/>
    <x v="1"/>
    <n v="8.4700000000000006"/>
    <m/>
    <m/>
    <m/>
    <m/>
    <m/>
    <m/>
    <x v="4"/>
    <n v="4"/>
    <n v="5"/>
    <m/>
    <m/>
    <m/>
    <m/>
    <m/>
    <m/>
    <m/>
    <m/>
    <m/>
    <m/>
    <m/>
    <m/>
    <m/>
    <m/>
  </r>
  <r>
    <n v="4761"/>
    <n v="55250"/>
    <d v="2002-08-08T00:00:00"/>
    <n v="23"/>
    <x v="1"/>
    <x v="1"/>
    <d v="2024-05-06T00:00:00"/>
    <n v="1.189041095890411"/>
    <x v="13"/>
    <x v="0"/>
    <x v="8"/>
    <x v="1"/>
    <n v="8.4700000000000006"/>
    <m/>
    <m/>
    <m/>
    <m/>
    <m/>
    <m/>
    <x v="4"/>
    <n v="1"/>
    <n v="6"/>
    <m/>
    <m/>
    <m/>
    <m/>
    <m/>
    <m/>
    <m/>
    <m/>
    <m/>
    <m/>
    <m/>
    <m/>
    <m/>
    <m/>
  </r>
  <r>
    <n v="4762"/>
    <n v="55251"/>
    <d v="2000-12-25T00:00:00"/>
    <n v="25"/>
    <x v="0"/>
    <x v="1"/>
    <d v="2024-10-23T00:00:00"/>
    <n v="1.3534246575342466"/>
    <x v="13"/>
    <x v="0"/>
    <x v="8"/>
    <x v="1"/>
    <n v="8.4700000000000006"/>
    <m/>
    <m/>
    <m/>
    <m/>
    <m/>
    <m/>
    <x v="1"/>
    <n v="2"/>
    <n v="5"/>
    <m/>
    <m/>
    <m/>
    <m/>
    <m/>
    <m/>
    <m/>
    <m/>
    <m/>
    <m/>
    <m/>
    <m/>
    <m/>
    <m/>
  </r>
  <r>
    <n v="4763"/>
    <n v="55252"/>
    <d v="2005-02-02T00:00:00"/>
    <n v="20"/>
    <x v="1"/>
    <x v="1"/>
    <d v="2024-08-24T00:00:00"/>
    <n v="1.8712328767123287"/>
    <x v="13"/>
    <x v="0"/>
    <x v="8"/>
    <x v="1"/>
    <n v="8.4700000000000006"/>
    <m/>
    <m/>
    <m/>
    <m/>
    <m/>
    <m/>
    <x v="2"/>
    <n v="1"/>
    <n v="5"/>
    <m/>
    <m/>
    <m/>
    <m/>
    <m/>
    <m/>
    <m/>
    <m/>
    <m/>
    <m/>
    <m/>
    <m/>
    <m/>
    <m/>
  </r>
  <r>
    <n v="4764"/>
    <n v="55253"/>
    <d v="2000-01-11T00:00:00"/>
    <n v="25"/>
    <x v="1"/>
    <x v="1"/>
    <d v="2024-02-17T00:00:00"/>
    <n v="1.4136986301369863"/>
    <x v="13"/>
    <x v="0"/>
    <x v="8"/>
    <x v="1"/>
    <n v="8.4700000000000006"/>
    <m/>
    <m/>
    <m/>
    <m/>
    <m/>
    <m/>
    <x v="4"/>
    <n v="4"/>
    <n v="6"/>
    <m/>
    <m/>
    <m/>
    <m/>
    <m/>
    <m/>
    <m/>
    <m/>
    <m/>
    <m/>
    <m/>
    <m/>
    <m/>
    <m/>
  </r>
  <r>
    <n v="4765"/>
    <n v="55254"/>
    <d v="2006-07-07T00:00:00"/>
    <n v="19"/>
    <x v="1"/>
    <x v="1"/>
    <d v="2024-08-02T00:00:00"/>
    <n v="1.0767123287671232"/>
    <x v="13"/>
    <x v="0"/>
    <x v="8"/>
    <x v="1"/>
    <n v="8.4700000000000006"/>
    <m/>
    <m/>
    <m/>
    <m/>
    <m/>
    <m/>
    <x v="1"/>
    <n v="4"/>
    <n v="7"/>
    <m/>
    <m/>
    <m/>
    <m/>
    <m/>
    <m/>
    <m/>
    <m/>
    <m/>
    <m/>
    <m/>
    <m/>
    <m/>
    <m/>
  </r>
  <r>
    <n v="4766"/>
    <n v="55255"/>
    <d v="2005-02-06T00:00:00"/>
    <n v="20"/>
    <x v="1"/>
    <x v="1"/>
    <d v="2024-12-03T00:00:00"/>
    <n v="1.6712328767123288"/>
    <x v="13"/>
    <x v="0"/>
    <x v="8"/>
    <x v="1"/>
    <n v="8.4700000000000006"/>
    <m/>
    <m/>
    <m/>
    <m/>
    <m/>
    <m/>
    <x v="1"/>
    <n v="0"/>
    <n v="4"/>
    <m/>
    <m/>
    <m/>
    <m/>
    <m/>
    <m/>
    <m/>
    <m/>
    <m/>
    <m/>
    <m/>
    <m/>
    <m/>
    <m/>
  </r>
  <r>
    <n v="4767"/>
    <n v="55256"/>
    <d v="2000-06-01T00:00:00"/>
    <n v="26"/>
    <x v="1"/>
    <x v="1"/>
    <d v="2024-04-30T00:00:00"/>
    <n v="1.1123287671232878"/>
    <x v="13"/>
    <x v="0"/>
    <x v="8"/>
    <x v="1"/>
    <n v="8.4700000000000006"/>
    <m/>
    <m/>
    <m/>
    <m/>
    <m/>
    <m/>
    <x v="4"/>
    <n v="4"/>
    <n v="7"/>
    <m/>
    <m/>
    <m/>
    <m/>
    <m/>
    <m/>
    <m/>
    <m/>
    <m/>
    <m/>
    <m/>
    <m/>
    <m/>
    <m/>
  </r>
  <r>
    <n v="4768"/>
    <n v="55257"/>
    <d v="2006-05-27T00:00:00"/>
    <n v="19"/>
    <x v="1"/>
    <x v="1"/>
    <d v="2024-11-20T00:00:00"/>
    <n v="1.5835616438356164"/>
    <x v="13"/>
    <x v="0"/>
    <x v="8"/>
    <x v="1"/>
    <n v="8.4700000000000006"/>
    <m/>
    <m/>
    <m/>
    <m/>
    <m/>
    <m/>
    <x v="1"/>
    <n v="0"/>
    <n v="5"/>
    <m/>
    <m/>
    <m/>
    <m/>
    <m/>
    <m/>
    <m/>
    <m/>
    <m/>
    <m/>
    <m/>
    <m/>
    <m/>
    <m/>
  </r>
  <r>
    <n v="4769"/>
    <n v="55258"/>
    <d v="1998-02-26T00:00:00"/>
    <n v="27"/>
    <x v="1"/>
    <x v="1"/>
    <d v="2024-06-01T00:00:00"/>
    <n v="1.5424657534246575"/>
    <x v="14"/>
    <x v="0"/>
    <x v="11"/>
    <x v="1"/>
    <n v="17"/>
    <m/>
    <m/>
    <m/>
    <m/>
    <m/>
    <m/>
    <x v="4"/>
    <n v="2"/>
    <n v="6"/>
    <m/>
    <m/>
    <m/>
    <m/>
    <m/>
    <m/>
    <m/>
    <m/>
    <m/>
    <m/>
    <m/>
    <m/>
    <m/>
    <m/>
  </r>
  <r>
    <n v="4770"/>
    <n v="55259"/>
    <d v="2002-12-15T00:00:00"/>
    <n v="23"/>
    <x v="1"/>
    <x v="0"/>
    <d v="2024-06-16T00:00:00"/>
    <n v="1.252054794520548"/>
    <x v="14"/>
    <x v="0"/>
    <x v="11"/>
    <x v="1"/>
    <n v="17"/>
    <m/>
    <m/>
    <m/>
    <m/>
    <m/>
    <m/>
    <x v="4"/>
    <n v="4"/>
    <n v="6"/>
    <m/>
    <m/>
    <m/>
    <m/>
    <m/>
    <m/>
    <m/>
    <m/>
    <m/>
    <m/>
    <m/>
    <m/>
    <m/>
    <m/>
  </r>
  <r>
    <n v="4771"/>
    <n v="55260"/>
    <d v="2004-12-12T00:00:00"/>
    <n v="21"/>
    <x v="0"/>
    <x v="1"/>
    <d v="2024-09-30T00:00:00"/>
    <n v="1.8273972602739725"/>
    <x v="14"/>
    <x v="0"/>
    <x v="10"/>
    <x v="1"/>
    <n v="10.64"/>
    <m/>
    <m/>
    <m/>
    <m/>
    <m/>
    <m/>
    <x v="3"/>
    <n v="1"/>
    <n v="3"/>
    <m/>
    <m/>
    <m/>
    <m/>
    <m/>
    <m/>
    <m/>
    <m/>
    <m/>
    <m/>
    <m/>
    <m/>
    <m/>
    <m/>
  </r>
  <r>
    <n v="4772"/>
    <n v="55262"/>
    <d v="2005-09-10T00:00:00"/>
    <n v="20"/>
    <x v="1"/>
    <x v="1"/>
    <d v="2024-03-04T00:00:00"/>
    <n v="1.3123287671232877"/>
    <x v="14"/>
    <x v="0"/>
    <x v="8"/>
    <x v="1"/>
    <n v="8.4700000000000006"/>
    <m/>
    <m/>
    <m/>
    <m/>
    <m/>
    <m/>
    <x v="4"/>
    <n v="2"/>
    <n v="5"/>
    <m/>
    <m/>
    <m/>
    <m/>
    <m/>
    <m/>
    <m/>
    <m/>
    <m/>
    <m/>
    <m/>
    <m/>
    <m/>
    <m/>
  </r>
  <r>
    <n v="4773"/>
    <n v="55263"/>
    <d v="2001-10-22T00:00:00"/>
    <n v="24"/>
    <x v="1"/>
    <x v="0"/>
    <d v="2024-09-08T00:00:00"/>
    <n v="1.010958904109589"/>
    <x v="14"/>
    <x v="0"/>
    <x v="8"/>
    <x v="1"/>
    <n v="8.4700000000000006"/>
    <m/>
    <m/>
    <m/>
    <m/>
    <m/>
    <m/>
    <x v="4"/>
    <n v="0"/>
    <n v="4"/>
    <m/>
    <m/>
    <m/>
    <m/>
    <m/>
    <m/>
    <m/>
    <m/>
    <m/>
    <m/>
    <m/>
    <m/>
    <m/>
    <m/>
  </r>
  <r>
    <n v="4774"/>
    <n v="55264"/>
    <d v="2002-11-19T00:00:00"/>
    <n v="23"/>
    <x v="1"/>
    <x v="1"/>
    <d v="2024-12-27T00:00:00"/>
    <n v="1.3972602739726028"/>
    <x v="14"/>
    <x v="0"/>
    <x v="8"/>
    <x v="1"/>
    <n v="8.4700000000000006"/>
    <m/>
    <m/>
    <m/>
    <m/>
    <m/>
    <m/>
    <x v="1"/>
    <n v="2"/>
    <n v="6"/>
    <m/>
    <m/>
    <m/>
    <m/>
    <m/>
    <m/>
    <m/>
    <m/>
    <m/>
    <m/>
    <m/>
    <m/>
    <m/>
    <m/>
  </r>
  <r>
    <n v="4775"/>
    <n v="55265"/>
    <d v="2003-05-03T00:00:00"/>
    <n v="22"/>
    <x v="1"/>
    <x v="1"/>
    <d v="2024-08-08T00:00:00"/>
    <n v="1.747945205479452"/>
    <x v="14"/>
    <x v="0"/>
    <x v="8"/>
    <x v="1"/>
    <n v="8.4700000000000006"/>
    <m/>
    <m/>
    <m/>
    <m/>
    <m/>
    <m/>
    <x v="1"/>
    <n v="0"/>
    <n v="6"/>
    <m/>
    <m/>
    <m/>
    <m/>
    <m/>
    <m/>
    <m/>
    <m/>
    <m/>
    <m/>
    <m/>
    <m/>
    <m/>
    <m/>
  </r>
  <r>
    <n v="4776"/>
    <n v="55266"/>
    <d v="2004-09-14T00:00:00"/>
    <n v="21"/>
    <x v="1"/>
    <x v="0"/>
    <d v="2024-04-02T00:00:00"/>
    <n v="1.0904109589041096"/>
    <x v="14"/>
    <x v="0"/>
    <x v="8"/>
    <x v="1"/>
    <n v="8.4700000000000006"/>
    <m/>
    <m/>
    <m/>
    <m/>
    <m/>
    <m/>
    <x v="1"/>
    <n v="4"/>
    <n v="7"/>
    <m/>
    <m/>
    <m/>
    <m/>
    <m/>
    <m/>
    <m/>
    <m/>
    <m/>
    <m/>
    <m/>
    <m/>
    <m/>
    <m/>
  </r>
  <r>
    <n v="4777"/>
    <n v="55267"/>
    <d v="2003-12-09T00:00:00"/>
    <n v="22"/>
    <x v="1"/>
    <x v="1"/>
    <d v="2024-11-28T00:00:00"/>
    <n v="1.0273972602739727"/>
    <x v="14"/>
    <x v="0"/>
    <x v="8"/>
    <x v="1"/>
    <n v="8.4700000000000006"/>
    <m/>
    <m/>
    <m/>
    <m/>
    <m/>
    <m/>
    <x v="1"/>
    <n v="1"/>
    <n v="5"/>
    <m/>
    <m/>
    <m/>
    <m/>
    <m/>
    <m/>
    <m/>
    <m/>
    <m/>
    <m/>
    <m/>
    <m/>
    <m/>
    <m/>
  </r>
  <r>
    <n v="4778"/>
    <n v="55268"/>
    <d v="2001-05-08T00:00:00"/>
    <n v="24"/>
    <x v="1"/>
    <x v="0"/>
    <d v="2024-12-21T00:00:00"/>
    <n v="1.4986301369863013"/>
    <x v="14"/>
    <x v="0"/>
    <x v="8"/>
    <x v="1"/>
    <n v="8.4700000000000006"/>
    <m/>
    <m/>
    <m/>
    <m/>
    <m/>
    <m/>
    <x v="1"/>
    <n v="2"/>
    <n v="4"/>
    <m/>
    <m/>
    <m/>
    <m/>
    <m/>
    <m/>
    <m/>
    <m/>
    <m/>
    <m/>
    <m/>
    <m/>
    <m/>
    <m/>
  </r>
  <r>
    <n v="4779"/>
    <n v="55269"/>
    <d v="2001-05-03T00:00:00"/>
    <n v="24"/>
    <x v="1"/>
    <x v="0"/>
    <d v="2024-07-02T00:00:00"/>
    <n v="1.4986301369863013"/>
    <x v="14"/>
    <x v="0"/>
    <x v="8"/>
    <x v="1"/>
    <n v="8.4700000000000006"/>
    <m/>
    <m/>
    <m/>
    <m/>
    <m/>
    <m/>
    <x v="2"/>
    <n v="2"/>
    <n v="6"/>
    <m/>
    <m/>
    <m/>
    <m/>
    <m/>
    <m/>
    <m/>
    <m/>
    <m/>
    <m/>
    <m/>
    <m/>
    <m/>
    <m/>
  </r>
  <r>
    <n v="4780"/>
    <n v="55270"/>
    <d v="2003-07-20T00:00:00"/>
    <n v="22"/>
    <x v="1"/>
    <x v="1"/>
    <d v="2024-07-02T00:00:00"/>
    <n v="1.6712328767123288"/>
    <x v="14"/>
    <x v="0"/>
    <x v="8"/>
    <x v="1"/>
    <n v="8.4700000000000006"/>
    <m/>
    <m/>
    <m/>
    <m/>
    <m/>
    <m/>
    <x v="1"/>
    <n v="3"/>
    <n v="6"/>
    <m/>
    <m/>
    <m/>
    <m/>
    <m/>
    <m/>
    <m/>
    <m/>
    <m/>
    <m/>
    <m/>
    <m/>
    <m/>
    <m/>
  </r>
  <r>
    <n v="4781"/>
    <n v="55271"/>
    <d v="2005-07-19T00:00:00"/>
    <n v="20"/>
    <x v="0"/>
    <x v="1"/>
    <d v="2024-04-30T00:00:00"/>
    <n v="1.726027397260274"/>
    <x v="14"/>
    <x v="0"/>
    <x v="8"/>
    <x v="1"/>
    <n v="8.4700000000000006"/>
    <m/>
    <m/>
    <m/>
    <m/>
    <m/>
    <m/>
    <x v="1"/>
    <n v="4"/>
    <n v="5"/>
    <m/>
    <m/>
    <m/>
    <m/>
    <m/>
    <m/>
    <m/>
    <m/>
    <m/>
    <m/>
    <m/>
    <m/>
    <m/>
    <m/>
  </r>
  <r>
    <n v="4782"/>
    <n v="55272"/>
    <d v="2003-06-25T00:00:00"/>
    <n v="22"/>
    <x v="0"/>
    <x v="0"/>
    <d v="2024-04-10T00:00:00"/>
    <n v="1.5452054794520549"/>
    <x v="14"/>
    <x v="0"/>
    <x v="8"/>
    <x v="1"/>
    <n v="8.4700000000000006"/>
    <m/>
    <m/>
    <m/>
    <m/>
    <m/>
    <m/>
    <x v="4"/>
    <n v="1"/>
    <n v="4"/>
    <m/>
    <m/>
    <m/>
    <m/>
    <m/>
    <m/>
    <m/>
    <m/>
    <m/>
    <m/>
    <m/>
    <m/>
    <m/>
    <m/>
  </r>
  <r>
    <n v="4783"/>
    <n v="55273"/>
    <d v="2005-04-20T00:00:00"/>
    <n v="20"/>
    <x v="1"/>
    <x v="0"/>
    <d v="2024-06-15T00:00:00"/>
    <n v="1.8493150684931507"/>
    <x v="14"/>
    <x v="0"/>
    <x v="8"/>
    <x v="1"/>
    <n v="8.4700000000000006"/>
    <m/>
    <m/>
    <m/>
    <m/>
    <m/>
    <m/>
    <x v="3"/>
    <n v="3"/>
    <n v="5"/>
    <m/>
    <m/>
    <m/>
    <m/>
    <m/>
    <m/>
    <m/>
    <m/>
    <m/>
    <m/>
    <m/>
    <m/>
    <m/>
    <m/>
  </r>
  <r>
    <n v="4784"/>
    <n v="55274"/>
    <d v="1997-03-17T00:00:00"/>
    <n v="28"/>
    <x v="1"/>
    <x v="1"/>
    <d v="2024-02-25T00:00:00"/>
    <n v="1.3041095890410959"/>
    <x v="15"/>
    <x v="0"/>
    <x v="11"/>
    <x v="1"/>
    <n v="17"/>
    <m/>
    <m/>
    <m/>
    <m/>
    <m/>
    <m/>
    <x v="1"/>
    <n v="2"/>
    <n v="6"/>
    <m/>
    <m/>
    <m/>
    <m/>
    <m/>
    <m/>
    <m/>
    <m/>
    <m/>
    <m/>
    <m/>
    <m/>
    <m/>
    <m/>
  </r>
  <r>
    <n v="4785"/>
    <n v="55275"/>
    <d v="2002-11-22T00:00:00"/>
    <n v="23"/>
    <x v="1"/>
    <x v="1"/>
    <d v="2024-09-11T00:00:00"/>
    <n v="1.3808219178082193"/>
    <x v="15"/>
    <x v="0"/>
    <x v="11"/>
    <x v="1"/>
    <n v="17"/>
    <m/>
    <m/>
    <m/>
    <m/>
    <m/>
    <m/>
    <x v="1"/>
    <n v="4"/>
    <n v="5"/>
    <m/>
    <m/>
    <m/>
    <m/>
    <m/>
    <m/>
    <m/>
    <m/>
    <m/>
    <m/>
    <m/>
    <m/>
    <m/>
    <m/>
  </r>
  <r>
    <n v="4786"/>
    <n v="55276"/>
    <d v="2001-07-12T00:00:00"/>
    <n v="24"/>
    <x v="1"/>
    <x v="1"/>
    <d v="2024-08-14T00:00:00"/>
    <n v="1.2219178082191782"/>
    <x v="15"/>
    <x v="0"/>
    <x v="11"/>
    <x v="1"/>
    <n v="17"/>
    <m/>
    <m/>
    <m/>
    <m/>
    <m/>
    <m/>
    <x v="3"/>
    <n v="2"/>
    <n v="7"/>
    <m/>
    <m/>
    <m/>
    <m/>
    <m/>
    <m/>
    <m/>
    <m/>
    <m/>
    <m/>
    <m/>
    <m/>
    <m/>
    <m/>
  </r>
  <r>
    <n v="4787"/>
    <n v="55277"/>
    <d v="1997-11-15T00:00:00"/>
    <n v="28"/>
    <x v="1"/>
    <x v="1"/>
    <d v="2024-10-11T00:00:00"/>
    <n v="1.2438356164383562"/>
    <x v="15"/>
    <x v="0"/>
    <x v="11"/>
    <x v="1"/>
    <n v="17"/>
    <m/>
    <m/>
    <m/>
    <m/>
    <m/>
    <m/>
    <x v="4"/>
    <n v="2"/>
    <n v="6"/>
    <m/>
    <m/>
    <m/>
    <m/>
    <m/>
    <m/>
    <m/>
    <m/>
    <m/>
    <m/>
    <m/>
    <m/>
    <m/>
    <m/>
  </r>
  <r>
    <n v="4788"/>
    <n v="55278"/>
    <d v="2002-05-12T00:00:00"/>
    <n v="23"/>
    <x v="0"/>
    <x v="1"/>
    <d v="2024-10-03T00:00:00"/>
    <n v="1.7780821917808218"/>
    <x v="15"/>
    <x v="0"/>
    <x v="10"/>
    <x v="1"/>
    <n v="10.64"/>
    <m/>
    <m/>
    <m/>
    <m/>
    <m/>
    <m/>
    <x v="4"/>
    <n v="0"/>
    <n v="3"/>
    <m/>
    <m/>
    <m/>
    <m/>
    <m/>
    <m/>
    <m/>
    <m/>
    <m/>
    <m/>
    <m/>
    <m/>
    <m/>
    <m/>
  </r>
  <r>
    <n v="4789"/>
    <n v="55279"/>
    <d v="2003-04-25T00:00:00"/>
    <n v="22"/>
    <x v="0"/>
    <x v="1"/>
    <d v="2024-03-22T00:00:00"/>
    <n v="1.3150684931506849"/>
    <x v="15"/>
    <x v="0"/>
    <x v="10"/>
    <x v="1"/>
    <n v="10.64"/>
    <m/>
    <m/>
    <m/>
    <m/>
    <m/>
    <m/>
    <x v="3"/>
    <n v="0"/>
    <n v="5"/>
    <m/>
    <m/>
    <m/>
    <m/>
    <m/>
    <m/>
    <m/>
    <m/>
    <m/>
    <m/>
    <m/>
    <m/>
    <m/>
    <m/>
  </r>
  <r>
    <n v="4790"/>
    <n v="55280"/>
    <d v="1997-12-18T00:00:00"/>
    <n v="28"/>
    <x v="1"/>
    <x v="1"/>
    <d v="2024-09-07T00:00:00"/>
    <n v="1.821917808219178"/>
    <x v="15"/>
    <x v="0"/>
    <x v="3"/>
    <x v="1"/>
    <n v="8.4700000000000006"/>
    <m/>
    <m/>
    <m/>
    <m/>
    <m/>
    <m/>
    <x v="3"/>
    <n v="1"/>
    <n v="5"/>
    <m/>
    <m/>
    <m/>
    <m/>
    <m/>
    <m/>
    <m/>
    <m/>
    <m/>
    <m/>
    <m/>
    <m/>
    <m/>
    <m/>
  </r>
  <r>
    <n v="4791"/>
    <n v="55281"/>
    <d v="2005-10-19T00:00:00"/>
    <n v="20"/>
    <x v="0"/>
    <x v="1"/>
    <d v="2024-03-06T00:00:00"/>
    <n v="1.5041095890410958"/>
    <x v="15"/>
    <x v="0"/>
    <x v="8"/>
    <x v="1"/>
    <n v="8.4700000000000006"/>
    <m/>
    <m/>
    <m/>
    <m/>
    <m/>
    <m/>
    <x v="3"/>
    <n v="2"/>
    <n v="4"/>
    <m/>
    <m/>
    <m/>
    <m/>
    <m/>
    <m/>
    <m/>
    <m/>
    <m/>
    <m/>
    <m/>
    <m/>
    <m/>
    <m/>
  </r>
  <r>
    <n v="4792"/>
    <n v="55282"/>
    <d v="2006-03-26T00:00:00"/>
    <n v="19"/>
    <x v="1"/>
    <x v="1"/>
    <d v="2024-06-30T00:00:00"/>
    <n v="1.7315068493150685"/>
    <x v="15"/>
    <x v="0"/>
    <x v="8"/>
    <x v="1"/>
    <n v="8.4700000000000006"/>
    <m/>
    <m/>
    <m/>
    <m/>
    <m/>
    <m/>
    <x v="1"/>
    <n v="0"/>
    <n v="6"/>
    <m/>
    <m/>
    <m/>
    <m/>
    <m/>
    <m/>
    <m/>
    <m/>
    <m/>
    <m/>
    <m/>
    <m/>
    <m/>
    <m/>
  </r>
  <r>
    <n v="4793"/>
    <n v="55283"/>
    <d v="2005-02-21T00:00:00"/>
    <n v="20"/>
    <x v="0"/>
    <x v="0"/>
    <d v="2024-04-08T00:00:00"/>
    <n v="1.2493150684931507"/>
    <x v="15"/>
    <x v="0"/>
    <x v="8"/>
    <x v="1"/>
    <n v="8.4700000000000006"/>
    <m/>
    <m/>
    <m/>
    <m/>
    <m/>
    <m/>
    <x v="1"/>
    <n v="4"/>
    <n v="5"/>
    <m/>
    <m/>
    <m/>
    <m/>
    <m/>
    <m/>
    <m/>
    <m/>
    <m/>
    <m/>
    <m/>
    <m/>
    <m/>
    <m/>
  </r>
  <r>
    <n v="4794"/>
    <n v="55284"/>
    <d v="2000-01-13T00:00:00"/>
    <n v="25"/>
    <x v="1"/>
    <x v="1"/>
    <d v="2024-10-01T00:00:00"/>
    <n v="1.7534246575342465"/>
    <x v="15"/>
    <x v="0"/>
    <x v="8"/>
    <x v="1"/>
    <n v="8.4700000000000006"/>
    <m/>
    <m/>
    <m/>
    <m/>
    <m/>
    <m/>
    <x v="2"/>
    <n v="4"/>
    <n v="6"/>
    <m/>
    <m/>
    <m/>
    <m/>
    <m/>
    <m/>
    <m/>
    <m/>
    <m/>
    <m/>
    <m/>
    <m/>
    <m/>
    <m/>
  </r>
  <r>
    <n v="4795"/>
    <n v="55285"/>
    <d v="2006-08-23T00:00:00"/>
    <n v="19"/>
    <x v="0"/>
    <x v="1"/>
    <d v="2024-03-31T00:00:00"/>
    <n v="1.7506849315068493"/>
    <x v="15"/>
    <x v="0"/>
    <x v="8"/>
    <x v="1"/>
    <n v="8.4700000000000006"/>
    <m/>
    <m/>
    <m/>
    <m/>
    <m/>
    <m/>
    <x v="4"/>
    <n v="2"/>
    <n v="5"/>
    <m/>
    <m/>
    <m/>
    <m/>
    <m/>
    <m/>
    <m/>
    <m/>
    <m/>
    <m/>
    <m/>
    <m/>
    <m/>
    <m/>
  </r>
  <r>
    <n v="4796"/>
    <n v="55286"/>
    <d v="2007-01-22T00:00:00"/>
    <n v="18"/>
    <x v="1"/>
    <x v="1"/>
    <d v="2024-04-01T00:00:00"/>
    <n v="1.5671232876712329"/>
    <x v="15"/>
    <x v="0"/>
    <x v="8"/>
    <x v="1"/>
    <n v="8.4700000000000006"/>
    <m/>
    <m/>
    <m/>
    <m/>
    <m/>
    <m/>
    <x v="3"/>
    <n v="4"/>
    <n v="7"/>
    <m/>
    <m/>
    <m/>
    <m/>
    <m/>
    <m/>
    <m/>
    <m/>
    <m/>
    <m/>
    <m/>
    <m/>
    <m/>
    <m/>
  </r>
  <r>
    <n v="4797"/>
    <n v="55287"/>
    <d v="1995-07-20T00:00:00"/>
    <n v="30"/>
    <x v="1"/>
    <x v="1"/>
    <d v="2024-06-07T00:00:00"/>
    <n v="1.6821917808219178"/>
    <x v="15"/>
    <x v="0"/>
    <x v="8"/>
    <x v="1"/>
    <n v="8.4700000000000006"/>
    <m/>
    <m/>
    <m/>
    <m/>
    <m/>
    <m/>
    <x v="2"/>
    <n v="1"/>
    <n v="6"/>
    <m/>
    <m/>
    <m/>
    <m/>
    <m/>
    <m/>
    <m/>
    <m/>
    <m/>
    <m/>
    <m/>
    <m/>
    <m/>
    <m/>
  </r>
  <r>
    <n v="4798"/>
    <n v="55288"/>
    <d v="2003-04-20T00:00:00"/>
    <n v="22"/>
    <x v="1"/>
    <x v="1"/>
    <d v="2024-04-26T00:00:00"/>
    <n v="1.4465753424657535"/>
    <x v="15"/>
    <x v="0"/>
    <x v="8"/>
    <x v="1"/>
    <n v="8.4700000000000006"/>
    <m/>
    <m/>
    <m/>
    <m/>
    <m/>
    <m/>
    <x v="1"/>
    <n v="2"/>
    <n v="5"/>
    <m/>
    <m/>
    <m/>
    <m/>
    <m/>
    <m/>
    <m/>
    <m/>
    <m/>
    <m/>
    <m/>
    <m/>
    <m/>
    <m/>
  </r>
  <r>
    <n v="4799"/>
    <n v="55289"/>
    <d v="2004-05-05T00:00:00"/>
    <n v="21"/>
    <x v="1"/>
    <x v="1"/>
    <d v="2024-07-21T00:00:00"/>
    <n v="1.0191780821917809"/>
    <x v="15"/>
    <x v="0"/>
    <x v="8"/>
    <x v="1"/>
    <n v="8.4700000000000006"/>
    <m/>
    <m/>
    <m/>
    <m/>
    <m/>
    <m/>
    <x v="1"/>
    <n v="2"/>
    <n v="5"/>
    <m/>
    <m/>
    <m/>
    <m/>
    <m/>
    <m/>
    <m/>
    <m/>
    <m/>
    <m/>
    <m/>
    <m/>
    <m/>
    <m/>
  </r>
  <r>
    <n v="4800"/>
    <n v="55290"/>
    <d v="1996-10-29T00:00:00"/>
    <n v="29"/>
    <x v="1"/>
    <x v="1"/>
    <d v="2024-12-24T00:00:00"/>
    <n v="1.4164383561643836"/>
    <x v="15"/>
    <x v="0"/>
    <x v="8"/>
    <x v="1"/>
    <n v="8.4700000000000006"/>
    <m/>
    <m/>
    <m/>
    <m/>
    <m/>
    <m/>
    <x v="4"/>
    <n v="2"/>
    <n v="7"/>
    <m/>
    <m/>
    <m/>
    <m/>
    <m/>
    <m/>
    <m/>
    <m/>
    <m/>
    <m/>
    <m/>
    <m/>
    <m/>
    <m/>
  </r>
  <r>
    <n v="4801"/>
    <n v="55291"/>
    <d v="2003-11-26T00:00:00"/>
    <n v="22"/>
    <x v="1"/>
    <x v="1"/>
    <d v="2024-08-01T00:00:00"/>
    <n v="1.484931506849315"/>
    <x v="15"/>
    <x v="0"/>
    <x v="8"/>
    <x v="1"/>
    <n v="8.4700000000000006"/>
    <m/>
    <m/>
    <m/>
    <m/>
    <m/>
    <m/>
    <x v="4"/>
    <n v="3"/>
    <n v="6"/>
    <m/>
    <m/>
    <m/>
    <m/>
    <m/>
    <m/>
    <m/>
    <m/>
    <m/>
    <m/>
    <m/>
    <m/>
    <m/>
    <m/>
  </r>
  <r>
    <n v="4802"/>
    <n v="55292"/>
    <d v="2005-03-06T00:00:00"/>
    <n v="20"/>
    <x v="1"/>
    <x v="0"/>
    <d v="2024-07-07T00:00:00"/>
    <n v="1.6493150684931508"/>
    <x v="15"/>
    <x v="0"/>
    <x v="8"/>
    <x v="1"/>
    <n v="8.4700000000000006"/>
    <m/>
    <m/>
    <m/>
    <m/>
    <m/>
    <m/>
    <x v="3"/>
    <n v="1"/>
    <n v="5"/>
    <m/>
    <m/>
    <m/>
    <m/>
    <m/>
    <m/>
    <m/>
    <m/>
    <m/>
    <m/>
    <m/>
    <m/>
    <m/>
    <m/>
  </r>
  <r>
    <n v="4803"/>
    <n v="55293"/>
    <d v="1999-04-08T00:00:00"/>
    <n v="26"/>
    <x v="1"/>
    <x v="1"/>
    <d v="2024-05-08T00:00:00"/>
    <n v="1.4657534246575343"/>
    <x v="15"/>
    <x v="0"/>
    <x v="8"/>
    <x v="1"/>
    <n v="8.4700000000000006"/>
    <m/>
    <m/>
    <m/>
    <m/>
    <m/>
    <m/>
    <x v="4"/>
    <n v="2"/>
    <n v="7"/>
    <m/>
    <m/>
    <m/>
    <m/>
    <m/>
    <m/>
    <m/>
    <m/>
    <m/>
    <m/>
    <m/>
    <m/>
    <m/>
    <m/>
  </r>
  <r>
    <n v="4804"/>
    <n v="55294"/>
    <d v="2001-12-06T00:00:00"/>
    <n v="24"/>
    <x v="1"/>
    <x v="1"/>
    <d v="2024-07-14T00:00:00"/>
    <n v="1.1808219178082191"/>
    <x v="15"/>
    <x v="0"/>
    <x v="8"/>
    <x v="1"/>
    <n v="8.4700000000000006"/>
    <m/>
    <m/>
    <m/>
    <m/>
    <m/>
    <m/>
    <x v="1"/>
    <n v="2"/>
    <n v="7"/>
    <m/>
    <m/>
    <m/>
    <m/>
    <m/>
    <m/>
    <m/>
    <m/>
    <m/>
    <m/>
    <m/>
    <m/>
    <m/>
    <m/>
  </r>
  <r>
    <n v="4805"/>
    <n v="55295"/>
    <d v="1994-06-18T00:00:00"/>
    <n v="31"/>
    <x v="1"/>
    <x v="1"/>
    <d v="2024-10-26T00:00:00"/>
    <n v="1.7726027397260273"/>
    <x v="17"/>
    <x v="0"/>
    <x v="11"/>
    <x v="1"/>
    <n v="17"/>
    <m/>
    <m/>
    <m/>
    <m/>
    <m/>
    <m/>
    <x v="4"/>
    <n v="4"/>
    <n v="5"/>
    <m/>
    <m/>
    <m/>
    <m/>
    <m/>
    <m/>
    <m/>
    <m/>
    <m/>
    <m/>
    <m/>
    <m/>
    <m/>
    <m/>
  </r>
  <r>
    <n v="4806"/>
    <n v="55296"/>
    <d v="1997-04-03T00:00:00"/>
    <n v="28"/>
    <x v="1"/>
    <x v="1"/>
    <d v="2024-03-24T00:00:00"/>
    <n v="1.3041095890410959"/>
    <x v="17"/>
    <x v="0"/>
    <x v="11"/>
    <x v="1"/>
    <n v="17"/>
    <m/>
    <m/>
    <m/>
    <m/>
    <m/>
    <m/>
    <x v="1"/>
    <n v="2"/>
    <n v="7"/>
    <m/>
    <m/>
    <m/>
    <m/>
    <m/>
    <m/>
    <m/>
    <m/>
    <m/>
    <m/>
    <m/>
    <m/>
    <m/>
    <m/>
  </r>
  <r>
    <n v="4807"/>
    <n v="55297"/>
    <d v="1983-05-14T00:00:00"/>
    <n v="42"/>
    <x v="0"/>
    <x v="1"/>
    <d v="2024-09-11T00:00:00"/>
    <n v="1.6657534246575343"/>
    <x v="17"/>
    <x v="0"/>
    <x v="2"/>
    <x v="1"/>
    <n v="14.23"/>
    <m/>
    <m/>
    <m/>
    <m/>
    <m/>
    <m/>
    <x v="2"/>
    <n v="1"/>
    <n v="5"/>
    <m/>
    <m/>
    <m/>
    <m/>
    <m/>
    <m/>
    <m/>
    <m/>
    <m/>
    <m/>
    <m/>
    <m/>
    <m/>
    <m/>
  </r>
  <r>
    <n v="4808"/>
    <n v="55299"/>
    <d v="2005-08-30T00:00:00"/>
    <n v="20"/>
    <x v="1"/>
    <x v="1"/>
    <d v="2024-05-02T00:00:00"/>
    <n v="1.4931506849315068"/>
    <x v="17"/>
    <x v="0"/>
    <x v="8"/>
    <x v="1"/>
    <n v="8.4700000000000006"/>
    <m/>
    <m/>
    <m/>
    <m/>
    <m/>
    <m/>
    <x v="4"/>
    <n v="4"/>
    <n v="6"/>
    <m/>
    <m/>
    <m/>
    <m/>
    <m/>
    <m/>
    <m/>
    <m/>
    <m/>
    <m/>
    <m/>
    <m/>
    <m/>
    <m/>
  </r>
  <r>
    <n v="4809"/>
    <n v="55300"/>
    <d v="2003-11-27T00:00:00"/>
    <n v="22"/>
    <x v="1"/>
    <x v="1"/>
    <d v="2024-07-04T00:00:00"/>
    <n v="1.7671232876712328"/>
    <x v="17"/>
    <x v="0"/>
    <x v="8"/>
    <x v="1"/>
    <n v="8.4700000000000006"/>
    <m/>
    <m/>
    <m/>
    <m/>
    <m/>
    <m/>
    <x v="3"/>
    <n v="2"/>
    <n v="6"/>
    <m/>
    <m/>
    <m/>
    <m/>
    <m/>
    <m/>
    <m/>
    <m/>
    <m/>
    <m/>
    <m/>
    <m/>
    <m/>
    <m/>
  </r>
  <r>
    <n v="4810"/>
    <n v="55301"/>
    <d v="2006-01-15T00:00:00"/>
    <n v="19"/>
    <x v="1"/>
    <x v="1"/>
    <d v="2024-03-26T00:00:00"/>
    <n v="1.2246575342465753"/>
    <x v="17"/>
    <x v="0"/>
    <x v="8"/>
    <x v="1"/>
    <n v="8.4700000000000006"/>
    <m/>
    <m/>
    <m/>
    <m/>
    <m/>
    <m/>
    <x v="1"/>
    <n v="4"/>
    <n v="6"/>
    <m/>
    <m/>
    <m/>
    <m/>
    <m/>
    <m/>
    <m/>
    <m/>
    <m/>
    <m/>
    <m/>
    <m/>
    <m/>
    <m/>
  </r>
  <r>
    <n v="4811"/>
    <n v="55302"/>
    <d v="1998-07-27T00:00:00"/>
    <n v="27"/>
    <x v="0"/>
    <x v="1"/>
    <d v="2024-10-10T00:00:00"/>
    <n v="1.7917808219178082"/>
    <x v="17"/>
    <x v="0"/>
    <x v="8"/>
    <x v="1"/>
    <n v="8.4700000000000006"/>
    <m/>
    <m/>
    <m/>
    <m/>
    <m/>
    <m/>
    <x v="1"/>
    <n v="4"/>
    <n v="6"/>
    <m/>
    <m/>
    <m/>
    <m/>
    <m/>
    <m/>
    <m/>
    <m/>
    <m/>
    <m/>
    <m/>
    <m/>
    <m/>
    <m/>
  </r>
  <r>
    <n v="4812"/>
    <n v="55303"/>
    <d v="2007-03-16T00:00:00"/>
    <n v="18"/>
    <x v="1"/>
    <x v="0"/>
    <d v="2024-03-17T00:00:00"/>
    <n v="1.2219178082191782"/>
    <x v="17"/>
    <x v="0"/>
    <x v="8"/>
    <x v="1"/>
    <n v="8.4700000000000006"/>
    <m/>
    <m/>
    <m/>
    <m/>
    <m/>
    <m/>
    <x v="3"/>
    <n v="2"/>
    <n v="5"/>
    <m/>
    <m/>
    <m/>
    <m/>
    <m/>
    <m/>
    <m/>
    <m/>
    <m/>
    <m/>
    <m/>
    <m/>
    <m/>
    <m/>
  </r>
  <r>
    <n v="4813"/>
    <n v="55304"/>
    <d v="2005-12-25T00:00:00"/>
    <n v="20"/>
    <x v="0"/>
    <x v="1"/>
    <d v="2024-10-11T00:00:00"/>
    <n v="1.4054794520547946"/>
    <x v="17"/>
    <x v="0"/>
    <x v="8"/>
    <x v="1"/>
    <n v="8.4700000000000006"/>
    <m/>
    <m/>
    <m/>
    <m/>
    <m/>
    <m/>
    <x v="2"/>
    <n v="0"/>
    <n v="3"/>
    <m/>
    <m/>
    <m/>
    <m/>
    <m/>
    <m/>
    <m/>
    <m/>
    <m/>
    <m/>
    <m/>
    <m/>
    <m/>
    <m/>
  </r>
  <r>
    <n v="4814"/>
    <n v="55305"/>
    <d v="2004-03-06T00:00:00"/>
    <n v="21"/>
    <x v="1"/>
    <x v="1"/>
    <d v="2024-08-05T00:00:00"/>
    <n v="1.1452054794520548"/>
    <x v="17"/>
    <x v="0"/>
    <x v="8"/>
    <x v="1"/>
    <n v="8.4700000000000006"/>
    <m/>
    <m/>
    <m/>
    <m/>
    <m/>
    <m/>
    <x v="4"/>
    <n v="3"/>
    <n v="5"/>
    <m/>
    <m/>
    <m/>
    <m/>
    <m/>
    <m/>
    <m/>
    <m/>
    <m/>
    <m/>
    <m/>
    <m/>
    <m/>
    <m/>
  </r>
  <r>
    <n v="4815"/>
    <n v="55306"/>
    <d v="2005-11-14T00:00:00"/>
    <n v="20"/>
    <x v="1"/>
    <x v="1"/>
    <d v="2024-11-08T00:00:00"/>
    <n v="1.3232876712328767"/>
    <x v="17"/>
    <x v="0"/>
    <x v="8"/>
    <x v="1"/>
    <n v="8.4700000000000006"/>
    <m/>
    <m/>
    <m/>
    <m/>
    <m/>
    <m/>
    <x v="1"/>
    <n v="2"/>
    <n v="6"/>
    <m/>
    <m/>
    <m/>
    <m/>
    <m/>
    <m/>
    <m/>
    <m/>
    <m/>
    <m/>
    <m/>
    <m/>
    <m/>
    <m/>
  </r>
  <r>
    <n v="4816"/>
    <n v="55307"/>
    <d v="2003-04-05T00:00:00"/>
    <n v="22"/>
    <x v="1"/>
    <x v="0"/>
    <d v="2024-09-04T00:00:00"/>
    <n v="1.0493150684931507"/>
    <x v="17"/>
    <x v="0"/>
    <x v="8"/>
    <x v="1"/>
    <n v="8.4700000000000006"/>
    <m/>
    <m/>
    <m/>
    <m/>
    <m/>
    <m/>
    <x v="2"/>
    <n v="1"/>
    <n v="5"/>
    <m/>
    <m/>
    <m/>
    <m/>
    <m/>
    <m/>
    <m/>
    <m/>
    <m/>
    <m/>
    <m/>
    <m/>
    <m/>
    <m/>
  </r>
  <r>
    <n v="4817"/>
    <n v="55308"/>
    <d v="2005-04-15T00:00:00"/>
    <n v="20"/>
    <x v="1"/>
    <x v="1"/>
    <d v="2024-12-13T00:00:00"/>
    <n v="1.0630136986301371"/>
    <x v="17"/>
    <x v="0"/>
    <x v="8"/>
    <x v="1"/>
    <n v="8.4700000000000006"/>
    <m/>
    <m/>
    <m/>
    <m/>
    <m/>
    <m/>
    <x v="4"/>
    <n v="0"/>
    <n v="6"/>
    <m/>
    <m/>
    <m/>
    <m/>
    <m/>
    <m/>
    <m/>
    <m/>
    <m/>
    <m/>
    <m/>
    <m/>
    <m/>
    <m/>
  </r>
  <r>
    <n v="4818"/>
    <n v="55309"/>
    <d v="2003-08-25T00:00:00"/>
    <n v="22"/>
    <x v="1"/>
    <x v="1"/>
    <d v="2024-12-08T00:00:00"/>
    <n v="1.6054794520547946"/>
    <x v="17"/>
    <x v="0"/>
    <x v="8"/>
    <x v="1"/>
    <n v="8.4700000000000006"/>
    <m/>
    <m/>
    <m/>
    <m/>
    <m/>
    <m/>
    <x v="2"/>
    <n v="1"/>
    <n v="5"/>
    <m/>
    <m/>
    <m/>
    <m/>
    <m/>
    <m/>
    <m/>
    <m/>
    <m/>
    <m/>
    <m/>
    <m/>
    <m/>
    <m/>
  </r>
  <r>
    <n v="4819"/>
    <n v="55310"/>
    <d v="2004-08-01T00:00:00"/>
    <n v="22"/>
    <x v="1"/>
    <x v="1"/>
    <d v="2024-05-24T00:00:00"/>
    <n v="1.2602739726027397"/>
    <x v="17"/>
    <x v="0"/>
    <x v="8"/>
    <x v="1"/>
    <n v="8.4700000000000006"/>
    <m/>
    <m/>
    <m/>
    <m/>
    <m/>
    <m/>
    <x v="1"/>
    <n v="3"/>
    <n v="6"/>
    <m/>
    <m/>
    <m/>
    <m/>
    <m/>
    <m/>
    <m/>
    <m/>
    <m/>
    <m/>
    <m/>
    <m/>
    <m/>
    <m/>
  </r>
  <r>
    <n v="4820"/>
    <n v="55311"/>
    <d v="1996-06-24T00:00:00"/>
    <n v="29"/>
    <x v="1"/>
    <x v="1"/>
    <d v="2024-09-27T00:00:00"/>
    <n v="1.3643835616438356"/>
    <x v="17"/>
    <x v="0"/>
    <x v="8"/>
    <x v="1"/>
    <n v="8.4700000000000006"/>
    <m/>
    <m/>
    <m/>
    <m/>
    <m/>
    <m/>
    <x v="1"/>
    <n v="2"/>
    <n v="4"/>
    <m/>
    <m/>
    <m/>
    <m/>
    <m/>
    <m/>
    <m/>
    <m/>
    <m/>
    <m/>
    <m/>
    <m/>
    <m/>
    <m/>
  </r>
  <r>
    <n v="4821"/>
    <n v="55312"/>
    <d v="2003-10-14T00:00:00"/>
    <n v="22"/>
    <x v="1"/>
    <x v="1"/>
    <d v="2024-08-20T00:00:00"/>
    <n v="1.547945205479452"/>
    <x v="17"/>
    <x v="0"/>
    <x v="8"/>
    <x v="1"/>
    <n v="8.4700000000000006"/>
    <m/>
    <m/>
    <m/>
    <m/>
    <m/>
    <m/>
    <x v="3"/>
    <n v="4"/>
    <n v="7"/>
    <m/>
    <m/>
    <m/>
    <m/>
    <m/>
    <m/>
    <m/>
    <m/>
    <m/>
    <m/>
    <m/>
    <m/>
    <m/>
    <m/>
  </r>
  <r>
    <n v="4822"/>
    <n v="55313"/>
    <d v="1999-11-22T00:00:00"/>
    <n v="26"/>
    <x v="1"/>
    <x v="1"/>
    <d v="2024-06-14T00:00:00"/>
    <n v="1.8164383561643835"/>
    <x v="17"/>
    <x v="0"/>
    <x v="8"/>
    <x v="1"/>
    <n v="8.4700000000000006"/>
    <m/>
    <m/>
    <m/>
    <m/>
    <m/>
    <m/>
    <x v="2"/>
    <n v="2"/>
    <n v="5"/>
    <m/>
    <m/>
    <m/>
    <m/>
    <m/>
    <m/>
    <m/>
    <m/>
    <m/>
    <m/>
    <m/>
    <m/>
    <m/>
    <m/>
  </r>
  <r>
    <n v="4823"/>
    <n v="55315"/>
    <d v="1998-12-20T00:00:00"/>
    <n v="27"/>
    <x v="0"/>
    <x v="1"/>
    <d v="2024-03-08T00:00:00"/>
    <n v="1.0876712328767124"/>
    <x v="16"/>
    <x v="0"/>
    <x v="6"/>
    <x v="1"/>
    <n v="23.78"/>
    <m/>
    <m/>
    <m/>
    <m/>
    <m/>
    <m/>
    <x v="2"/>
    <n v="4"/>
    <n v="4"/>
    <m/>
    <m/>
    <m/>
    <m/>
    <m/>
    <m/>
    <m/>
    <m/>
    <m/>
    <m/>
    <m/>
    <m/>
    <m/>
    <m/>
  </r>
  <r>
    <n v="4824"/>
    <n v="55316"/>
    <d v="2001-01-29T00:00:00"/>
    <n v="24"/>
    <x v="0"/>
    <x v="1"/>
    <d v="2024-11-29T00:00:00"/>
    <n v="1.4328767123287671"/>
    <x v="16"/>
    <x v="0"/>
    <x v="8"/>
    <x v="1"/>
    <n v="8.4700000000000006"/>
    <m/>
    <m/>
    <m/>
    <m/>
    <m/>
    <m/>
    <x v="3"/>
    <n v="4"/>
    <n v="6"/>
    <m/>
    <m/>
    <m/>
    <m/>
    <m/>
    <m/>
    <m/>
    <m/>
    <m/>
    <m/>
    <m/>
    <m/>
    <m/>
    <m/>
  </r>
  <r>
    <n v="4825"/>
    <n v="55317"/>
    <d v="2006-03-03T00:00:00"/>
    <n v="19"/>
    <x v="0"/>
    <x v="0"/>
    <d v="2024-07-26T00:00:00"/>
    <n v="1.7561643835616438"/>
    <x v="16"/>
    <x v="0"/>
    <x v="8"/>
    <x v="1"/>
    <n v="8.4700000000000006"/>
    <m/>
    <m/>
    <m/>
    <m/>
    <m/>
    <m/>
    <x v="1"/>
    <n v="2"/>
    <n v="5"/>
    <m/>
    <m/>
    <m/>
    <m/>
    <m/>
    <m/>
    <m/>
    <m/>
    <m/>
    <m/>
    <m/>
    <m/>
    <m/>
    <m/>
  </r>
  <r>
    <n v="4826"/>
    <n v="55318"/>
    <d v="2005-09-13T00:00:00"/>
    <n v="20"/>
    <x v="1"/>
    <x v="1"/>
    <d v="2024-03-30T00:00:00"/>
    <n v="1.5123287671232877"/>
    <x v="16"/>
    <x v="0"/>
    <x v="8"/>
    <x v="1"/>
    <n v="8.4700000000000006"/>
    <m/>
    <m/>
    <m/>
    <m/>
    <m/>
    <m/>
    <x v="2"/>
    <n v="2"/>
    <n v="5"/>
    <m/>
    <m/>
    <m/>
    <m/>
    <m/>
    <m/>
    <m/>
    <m/>
    <m/>
    <m/>
    <m/>
    <m/>
    <m/>
    <m/>
  </r>
  <r>
    <n v="4827"/>
    <n v="55319"/>
    <d v="1998-02-15T00:00:00"/>
    <n v="27"/>
    <x v="1"/>
    <x v="1"/>
    <d v="2024-06-27T00:00:00"/>
    <n v="1.284931506849315"/>
    <x v="16"/>
    <x v="0"/>
    <x v="8"/>
    <x v="1"/>
    <n v="8.4700000000000006"/>
    <m/>
    <m/>
    <m/>
    <m/>
    <m/>
    <m/>
    <x v="2"/>
    <n v="2"/>
    <n v="6"/>
    <m/>
    <m/>
    <m/>
    <m/>
    <m/>
    <m/>
    <m/>
    <m/>
    <m/>
    <m/>
    <m/>
    <m/>
    <m/>
    <m/>
  </r>
  <r>
    <n v="4828"/>
    <n v="55320"/>
    <d v="2005-08-11T00:00:00"/>
    <n v="20"/>
    <x v="1"/>
    <x v="0"/>
    <d v="2024-09-18T00:00:00"/>
    <n v="1.8575342465753424"/>
    <x v="16"/>
    <x v="0"/>
    <x v="8"/>
    <x v="1"/>
    <n v="8.4700000000000006"/>
    <m/>
    <m/>
    <m/>
    <m/>
    <m/>
    <m/>
    <x v="1"/>
    <n v="2"/>
    <n v="4"/>
    <m/>
    <m/>
    <m/>
    <m/>
    <m/>
    <m/>
    <m/>
    <m/>
    <m/>
    <m/>
    <m/>
    <m/>
    <m/>
    <m/>
  </r>
  <r>
    <n v="4829"/>
    <n v="55322"/>
    <d v="2001-06-15T00:00:00"/>
    <n v="24"/>
    <x v="1"/>
    <x v="0"/>
    <d v="2024-02-22T00:00:00"/>
    <n v="1.5753424657534247"/>
    <x v="16"/>
    <x v="0"/>
    <x v="8"/>
    <x v="1"/>
    <n v="8.4700000000000006"/>
    <m/>
    <m/>
    <m/>
    <m/>
    <m/>
    <m/>
    <x v="1"/>
    <n v="2"/>
    <n v="6"/>
    <m/>
    <m/>
    <m/>
    <m/>
    <m/>
    <m/>
    <m/>
    <m/>
    <m/>
    <m/>
    <m/>
    <m/>
    <m/>
    <m/>
  </r>
  <r>
    <n v="4830"/>
    <n v="55323"/>
    <d v="2005-12-24T00:00:00"/>
    <n v="20"/>
    <x v="0"/>
    <x v="0"/>
    <d v="2024-06-04T00:00:00"/>
    <n v="1.8630136986301369"/>
    <x v="16"/>
    <x v="0"/>
    <x v="8"/>
    <x v="1"/>
    <n v="8.4700000000000006"/>
    <m/>
    <m/>
    <m/>
    <m/>
    <m/>
    <m/>
    <x v="1"/>
    <n v="1"/>
    <n v="4"/>
    <m/>
    <m/>
    <m/>
    <m/>
    <m/>
    <m/>
    <m/>
    <m/>
    <m/>
    <m/>
    <m/>
    <m/>
    <m/>
    <m/>
  </r>
  <r>
    <n v="4831"/>
    <n v="55324"/>
    <d v="2004-07-02T00:00:00"/>
    <n v="21"/>
    <x v="0"/>
    <x v="1"/>
    <d v="2024-02-20T00:00:00"/>
    <n v="1.2219178082191782"/>
    <x v="16"/>
    <x v="0"/>
    <x v="8"/>
    <x v="1"/>
    <n v="8.4700000000000006"/>
    <m/>
    <m/>
    <m/>
    <m/>
    <m/>
    <m/>
    <x v="3"/>
    <n v="2"/>
    <n v="4"/>
    <m/>
    <m/>
    <m/>
    <m/>
    <m/>
    <m/>
    <m/>
    <m/>
    <m/>
    <m/>
    <m/>
    <m/>
    <m/>
    <m/>
  </r>
  <r>
    <n v="4832"/>
    <n v="55326"/>
    <d v="2005-05-06T00:00:00"/>
    <n v="20"/>
    <x v="0"/>
    <x v="1"/>
    <d v="2024-10-11T00:00:00"/>
    <n v="1.7506849315068493"/>
    <x v="16"/>
    <x v="0"/>
    <x v="8"/>
    <x v="1"/>
    <n v="8.4700000000000006"/>
    <m/>
    <m/>
    <m/>
    <m/>
    <m/>
    <m/>
    <x v="3"/>
    <n v="2"/>
    <n v="5"/>
    <m/>
    <m/>
    <m/>
    <m/>
    <m/>
    <m/>
    <m/>
    <m/>
    <m/>
    <m/>
    <m/>
    <m/>
    <m/>
    <m/>
  </r>
  <r>
    <n v="4833"/>
    <n v="55327"/>
    <d v="2001-12-12T00:00:00"/>
    <n v="24"/>
    <x v="1"/>
    <x v="0"/>
    <d v="2024-04-01T00:00:00"/>
    <n v="1.2328767123287672"/>
    <x v="16"/>
    <x v="0"/>
    <x v="8"/>
    <x v="1"/>
    <n v="8.4700000000000006"/>
    <m/>
    <m/>
    <m/>
    <m/>
    <m/>
    <m/>
    <x v="1"/>
    <n v="4"/>
    <n v="6"/>
    <m/>
    <m/>
    <m/>
    <m/>
    <m/>
    <m/>
    <m/>
    <m/>
    <m/>
    <m/>
    <m/>
    <m/>
    <m/>
    <m/>
  </r>
  <r>
    <n v="4834"/>
    <n v="55328"/>
    <d v="2006-03-27T00:00:00"/>
    <n v="19"/>
    <x v="1"/>
    <x v="1"/>
    <d v="2024-10-07T00:00:00"/>
    <n v="1.5753424657534247"/>
    <x v="16"/>
    <x v="0"/>
    <x v="8"/>
    <x v="1"/>
    <n v="8.4700000000000006"/>
    <m/>
    <m/>
    <m/>
    <m/>
    <m/>
    <m/>
    <x v="1"/>
    <n v="2"/>
    <n v="5"/>
    <m/>
    <m/>
    <m/>
    <m/>
    <m/>
    <m/>
    <m/>
    <m/>
    <m/>
    <m/>
    <m/>
    <m/>
    <m/>
    <m/>
  </r>
  <r>
    <n v="4835"/>
    <n v="55329"/>
    <d v="1999-12-18T00:00:00"/>
    <n v="26"/>
    <x v="1"/>
    <x v="0"/>
    <d v="2024-06-04T00:00:00"/>
    <n v="1.5561643835616439"/>
    <x v="18"/>
    <x v="0"/>
    <x v="11"/>
    <x v="1"/>
    <n v="17"/>
    <m/>
    <m/>
    <m/>
    <m/>
    <m/>
    <m/>
    <x v="3"/>
    <n v="4"/>
    <n v="6"/>
    <m/>
    <m/>
    <m/>
    <m/>
    <m/>
    <m/>
    <m/>
    <m/>
    <m/>
    <m/>
    <m/>
    <m/>
    <m/>
    <m/>
  </r>
  <r>
    <n v="4836"/>
    <n v="55330"/>
    <d v="1999-03-19T00:00:00"/>
    <n v="26"/>
    <x v="0"/>
    <x v="0"/>
    <d v="2024-06-11T00:00:00"/>
    <n v="1.0438356164383562"/>
    <x v="18"/>
    <x v="0"/>
    <x v="7"/>
    <x v="1"/>
    <n v="17.59"/>
    <m/>
    <m/>
    <m/>
    <m/>
    <m/>
    <m/>
    <x v="1"/>
    <n v="4"/>
    <n v="4"/>
    <m/>
    <m/>
    <m/>
    <m/>
    <m/>
    <m/>
    <m/>
    <m/>
    <m/>
    <m/>
    <m/>
    <m/>
    <m/>
    <m/>
  </r>
  <r>
    <n v="4837"/>
    <n v="55331"/>
    <d v="2004-06-18T00:00:00"/>
    <n v="21"/>
    <x v="1"/>
    <x v="1"/>
    <d v="2024-12-15T00:00:00"/>
    <n v="1.3506849315068492"/>
    <x v="18"/>
    <x v="0"/>
    <x v="8"/>
    <x v="1"/>
    <n v="8.4700000000000006"/>
    <m/>
    <m/>
    <m/>
    <m/>
    <m/>
    <m/>
    <x v="4"/>
    <n v="2"/>
    <n v="5"/>
    <m/>
    <m/>
    <m/>
    <m/>
    <m/>
    <m/>
    <m/>
    <m/>
    <m/>
    <m/>
    <m/>
    <m/>
    <m/>
    <m/>
  </r>
  <r>
    <n v="4838"/>
    <n v="55332"/>
    <d v="2005-03-03T00:00:00"/>
    <n v="20"/>
    <x v="1"/>
    <x v="0"/>
    <d v="2024-08-25T00:00:00"/>
    <n v="1.2164383561643837"/>
    <x v="18"/>
    <x v="0"/>
    <x v="8"/>
    <x v="1"/>
    <n v="8.4700000000000006"/>
    <m/>
    <m/>
    <m/>
    <m/>
    <m/>
    <m/>
    <x v="4"/>
    <n v="4"/>
    <n v="6"/>
    <m/>
    <m/>
    <m/>
    <m/>
    <m/>
    <m/>
    <m/>
    <m/>
    <m/>
    <m/>
    <m/>
    <m/>
    <m/>
    <m/>
  </r>
  <r>
    <n v="4839"/>
    <n v="55333"/>
    <d v="2007-07-14T00:00:00"/>
    <n v="18"/>
    <x v="0"/>
    <x v="1"/>
    <d v="2024-10-13T00:00:00"/>
    <n v="1.5315068493150685"/>
    <x v="18"/>
    <x v="0"/>
    <x v="8"/>
    <x v="1"/>
    <n v="8.4700000000000006"/>
    <m/>
    <m/>
    <m/>
    <m/>
    <m/>
    <m/>
    <x v="2"/>
    <n v="3"/>
    <n v="5"/>
    <m/>
    <m/>
    <m/>
    <m/>
    <m/>
    <m/>
    <m/>
    <m/>
    <m/>
    <m/>
    <m/>
    <m/>
    <m/>
    <m/>
  </r>
  <r>
    <n v="4840"/>
    <n v="55334"/>
    <d v="2002-09-30T00:00:00"/>
    <n v="23"/>
    <x v="1"/>
    <x v="1"/>
    <d v="2024-06-20T00:00:00"/>
    <n v="1.1616438356164382"/>
    <x v="88"/>
    <x v="0"/>
    <x v="11"/>
    <x v="1"/>
    <n v="17"/>
    <m/>
    <m/>
    <m/>
    <m/>
    <m/>
    <m/>
    <x v="2"/>
    <n v="2"/>
    <n v="6"/>
    <m/>
    <m/>
    <m/>
    <m/>
    <m/>
    <m/>
    <m/>
    <m/>
    <m/>
    <m/>
    <m/>
    <m/>
    <m/>
    <m/>
  </r>
  <r>
    <n v="4841"/>
    <n v="55335"/>
    <d v="1999-11-09T00:00:00"/>
    <n v="26"/>
    <x v="1"/>
    <x v="1"/>
    <d v="2024-11-02T00:00:00"/>
    <n v="1.8410958904109589"/>
    <x v="88"/>
    <x v="0"/>
    <x v="11"/>
    <x v="1"/>
    <n v="17"/>
    <m/>
    <m/>
    <m/>
    <m/>
    <m/>
    <m/>
    <x v="1"/>
    <n v="4"/>
    <n v="6"/>
    <m/>
    <m/>
    <m/>
    <m/>
    <m/>
    <m/>
    <m/>
    <m/>
    <m/>
    <m/>
    <m/>
    <m/>
    <m/>
    <m/>
  </r>
  <r>
    <n v="4842"/>
    <n v="55336"/>
    <d v="1996-09-26T00:00:00"/>
    <n v="29"/>
    <x v="0"/>
    <x v="0"/>
    <d v="2024-02-28T00:00:00"/>
    <n v="1.4136986301369863"/>
    <x v="88"/>
    <x v="0"/>
    <x v="10"/>
    <x v="1"/>
    <n v="10.64"/>
    <m/>
    <m/>
    <m/>
    <m/>
    <m/>
    <m/>
    <x v="4"/>
    <n v="1"/>
    <n v="5"/>
    <m/>
    <m/>
    <m/>
    <m/>
    <m/>
    <m/>
    <m/>
    <m/>
    <m/>
    <m/>
    <m/>
    <m/>
    <m/>
    <m/>
  </r>
  <r>
    <n v="4843"/>
    <n v="55337"/>
    <d v="2001-09-17T00:00:00"/>
    <n v="24"/>
    <x v="0"/>
    <x v="1"/>
    <d v="2024-08-02T00:00:00"/>
    <n v="1.5506849315068494"/>
    <x v="88"/>
    <x v="0"/>
    <x v="1"/>
    <x v="1"/>
    <n v="16.37"/>
    <m/>
    <m/>
    <m/>
    <m/>
    <m/>
    <m/>
    <x v="4"/>
    <n v="1"/>
    <n v="3"/>
    <m/>
    <m/>
    <m/>
    <m/>
    <m/>
    <m/>
    <m/>
    <m/>
    <m/>
    <m/>
    <m/>
    <m/>
    <m/>
    <m/>
  </r>
  <r>
    <n v="4844"/>
    <n v="55338"/>
    <d v="2003-10-29T00:00:00"/>
    <n v="22"/>
    <x v="1"/>
    <x v="1"/>
    <d v="2024-06-13T00:00:00"/>
    <n v="1.5698630136986302"/>
    <x v="88"/>
    <x v="0"/>
    <x v="3"/>
    <x v="1"/>
    <n v="8.4700000000000006"/>
    <m/>
    <m/>
    <m/>
    <m/>
    <m/>
    <m/>
    <x v="3"/>
    <n v="2"/>
    <n v="7"/>
    <m/>
    <m/>
    <m/>
    <m/>
    <m/>
    <m/>
    <m/>
    <m/>
    <m/>
    <m/>
    <m/>
    <m/>
    <m/>
    <m/>
  </r>
  <r>
    <n v="4845"/>
    <n v="55339"/>
    <d v="2006-08-13T00:00:00"/>
    <n v="19"/>
    <x v="1"/>
    <x v="1"/>
    <d v="2024-06-06T00:00:00"/>
    <n v="1.4876712328767123"/>
    <x v="88"/>
    <x v="0"/>
    <x v="8"/>
    <x v="1"/>
    <n v="8.4700000000000006"/>
    <m/>
    <m/>
    <m/>
    <m/>
    <m/>
    <m/>
    <x v="1"/>
    <n v="2"/>
    <n v="5"/>
    <m/>
    <m/>
    <m/>
    <m/>
    <m/>
    <m/>
    <m/>
    <m/>
    <m/>
    <m/>
    <m/>
    <m/>
    <m/>
    <m/>
  </r>
  <r>
    <n v="4846"/>
    <n v="55341"/>
    <d v="2004-09-27T00:00:00"/>
    <n v="21"/>
    <x v="1"/>
    <x v="1"/>
    <d v="2024-07-06T00:00:00"/>
    <n v="1.0273972602739727"/>
    <x v="88"/>
    <x v="0"/>
    <x v="8"/>
    <x v="1"/>
    <n v="8.4700000000000006"/>
    <m/>
    <m/>
    <m/>
    <m/>
    <m/>
    <m/>
    <x v="1"/>
    <n v="2"/>
    <n v="7"/>
    <m/>
    <m/>
    <m/>
    <m/>
    <m/>
    <m/>
    <m/>
    <m/>
    <m/>
    <m/>
    <m/>
    <m/>
    <m/>
    <m/>
  </r>
  <r>
    <n v="4847"/>
    <n v="55342"/>
    <d v="2006-08-10T00:00:00"/>
    <n v="19"/>
    <x v="0"/>
    <x v="1"/>
    <d v="2024-12-21T00:00:00"/>
    <n v="1.189041095890411"/>
    <x v="88"/>
    <x v="0"/>
    <x v="8"/>
    <x v="1"/>
    <n v="8.4700000000000006"/>
    <m/>
    <m/>
    <m/>
    <m/>
    <m/>
    <m/>
    <x v="1"/>
    <n v="3"/>
    <n v="5"/>
    <m/>
    <m/>
    <m/>
    <m/>
    <m/>
    <m/>
    <m/>
    <m/>
    <m/>
    <m/>
    <m/>
    <m/>
    <m/>
    <m/>
  </r>
  <r>
    <n v="4848"/>
    <n v="55344"/>
    <d v="1997-10-18T00:00:00"/>
    <n v="28"/>
    <x v="1"/>
    <x v="1"/>
    <d v="2024-10-23T00:00:00"/>
    <n v="1.0383561643835617"/>
    <x v="88"/>
    <x v="0"/>
    <x v="8"/>
    <x v="1"/>
    <n v="8.4700000000000006"/>
    <m/>
    <m/>
    <m/>
    <m/>
    <m/>
    <m/>
    <x v="1"/>
    <n v="1"/>
    <n v="5"/>
    <m/>
    <m/>
    <m/>
    <m/>
    <m/>
    <m/>
    <m/>
    <m/>
    <m/>
    <m/>
    <m/>
    <m/>
    <m/>
    <m/>
  </r>
  <r>
    <n v="4849"/>
    <n v="55345"/>
    <d v="2000-10-07T00:00:00"/>
    <n v="25"/>
    <x v="1"/>
    <x v="1"/>
    <d v="2024-12-17T00:00:00"/>
    <n v="1.3534246575342466"/>
    <x v="19"/>
    <x v="0"/>
    <x v="11"/>
    <x v="1"/>
    <n v="17"/>
    <m/>
    <m/>
    <m/>
    <m/>
    <m/>
    <m/>
    <x v="4"/>
    <n v="2"/>
    <n v="5"/>
    <m/>
    <m/>
    <m/>
    <m/>
    <m/>
    <m/>
    <m/>
    <m/>
    <m/>
    <m/>
    <m/>
    <m/>
    <m/>
    <m/>
  </r>
  <r>
    <n v="4850"/>
    <n v="55346"/>
    <d v="1998-09-22T00:00:00"/>
    <n v="27"/>
    <x v="0"/>
    <x v="0"/>
    <d v="2024-08-24T00:00:00"/>
    <n v="1.3643835616438356"/>
    <x v="19"/>
    <x v="0"/>
    <x v="10"/>
    <x v="1"/>
    <n v="10.64"/>
    <m/>
    <m/>
    <m/>
    <m/>
    <m/>
    <m/>
    <x v="2"/>
    <n v="0"/>
    <n v="3"/>
    <m/>
    <m/>
    <m/>
    <m/>
    <m/>
    <m/>
    <m/>
    <m/>
    <m/>
    <m/>
    <m/>
    <m/>
    <m/>
    <m/>
  </r>
  <r>
    <n v="4851"/>
    <n v="55347"/>
    <d v="2004-10-27T00:00:00"/>
    <n v="21"/>
    <x v="1"/>
    <x v="0"/>
    <d v="2024-08-20T00:00:00"/>
    <n v="1.547945205479452"/>
    <x v="19"/>
    <x v="0"/>
    <x v="3"/>
    <x v="1"/>
    <n v="8.4700000000000006"/>
    <m/>
    <m/>
    <m/>
    <m/>
    <m/>
    <m/>
    <x v="3"/>
    <n v="1"/>
    <n v="5"/>
    <m/>
    <m/>
    <m/>
    <m/>
    <m/>
    <m/>
    <m/>
    <m/>
    <m/>
    <m/>
    <m/>
    <m/>
    <m/>
    <m/>
  </r>
  <r>
    <n v="4852"/>
    <n v="55349"/>
    <d v="2003-11-07T00:00:00"/>
    <n v="22"/>
    <x v="1"/>
    <x v="1"/>
    <d v="2024-06-14T00:00:00"/>
    <n v="1.1479452054794521"/>
    <x v="19"/>
    <x v="0"/>
    <x v="8"/>
    <x v="1"/>
    <n v="8.4700000000000006"/>
    <m/>
    <m/>
    <m/>
    <m/>
    <m/>
    <m/>
    <x v="3"/>
    <n v="2"/>
    <n v="7"/>
    <m/>
    <m/>
    <m/>
    <m/>
    <m/>
    <m/>
    <m/>
    <m/>
    <m/>
    <m/>
    <m/>
    <m/>
    <m/>
    <m/>
  </r>
  <r>
    <n v="4853"/>
    <n v="55351"/>
    <d v="2002-10-23T00:00:00"/>
    <n v="23"/>
    <x v="1"/>
    <x v="1"/>
    <d v="2024-11-07T00:00:00"/>
    <n v="1.2082191780821918"/>
    <x v="19"/>
    <x v="0"/>
    <x v="8"/>
    <x v="1"/>
    <n v="8.4700000000000006"/>
    <m/>
    <m/>
    <m/>
    <m/>
    <m/>
    <m/>
    <x v="3"/>
    <n v="1"/>
    <n v="7"/>
    <m/>
    <m/>
    <m/>
    <m/>
    <m/>
    <m/>
    <m/>
    <m/>
    <m/>
    <m/>
    <m/>
    <m/>
    <m/>
    <m/>
  </r>
  <r>
    <n v="4854"/>
    <n v="55352"/>
    <d v="2003-09-07T00:00:00"/>
    <n v="22"/>
    <x v="0"/>
    <x v="1"/>
    <d v="2024-10-16T00:00:00"/>
    <n v="1.7178082191780821"/>
    <x v="19"/>
    <x v="0"/>
    <x v="8"/>
    <x v="1"/>
    <n v="8.4700000000000006"/>
    <m/>
    <m/>
    <m/>
    <m/>
    <m/>
    <m/>
    <x v="3"/>
    <n v="1"/>
    <n v="5"/>
    <m/>
    <m/>
    <m/>
    <m/>
    <m/>
    <m/>
    <m/>
    <m/>
    <m/>
    <m/>
    <m/>
    <m/>
    <m/>
    <m/>
  </r>
  <r>
    <n v="4855"/>
    <n v="55353"/>
    <d v="2007-11-13T00:00:00"/>
    <n v="18"/>
    <x v="1"/>
    <x v="1"/>
    <d v="2024-04-13T00:00:00"/>
    <n v="1.4465753424657535"/>
    <x v="19"/>
    <x v="0"/>
    <x v="8"/>
    <x v="1"/>
    <n v="8.4700000000000006"/>
    <m/>
    <m/>
    <m/>
    <m/>
    <m/>
    <m/>
    <x v="4"/>
    <n v="0"/>
    <n v="6"/>
    <m/>
    <m/>
    <m/>
    <m/>
    <m/>
    <m/>
    <m/>
    <m/>
    <m/>
    <m/>
    <m/>
    <m/>
    <m/>
    <m/>
  </r>
  <r>
    <n v="4856"/>
    <n v="55354"/>
    <d v="2002-11-01T00:00:00"/>
    <n v="24"/>
    <x v="1"/>
    <x v="0"/>
    <d v="2024-07-21T00:00:00"/>
    <n v="1"/>
    <x v="19"/>
    <x v="0"/>
    <x v="8"/>
    <x v="1"/>
    <n v="8.4700000000000006"/>
    <m/>
    <m/>
    <m/>
    <m/>
    <m/>
    <m/>
    <x v="4"/>
    <n v="4"/>
    <n v="6"/>
    <m/>
    <m/>
    <m/>
    <m/>
    <m/>
    <m/>
    <m/>
    <m/>
    <m/>
    <m/>
    <m/>
    <m/>
    <m/>
    <m/>
  </r>
  <r>
    <n v="4857"/>
    <n v="55355"/>
    <d v="1998-10-22T00:00:00"/>
    <n v="27"/>
    <x v="1"/>
    <x v="1"/>
    <d v="2024-12-31T00:00:00"/>
    <n v="1.4547945205479451"/>
    <x v="19"/>
    <x v="0"/>
    <x v="8"/>
    <x v="1"/>
    <n v="8.4700000000000006"/>
    <m/>
    <m/>
    <m/>
    <m/>
    <m/>
    <m/>
    <x v="1"/>
    <n v="2"/>
    <n v="7"/>
    <m/>
    <m/>
    <m/>
    <m/>
    <m/>
    <m/>
    <m/>
    <m/>
    <m/>
    <m/>
    <m/>
    <m/>
    <m/>
    <m/>
  </r>
  <r>
    <n v="4858"/>
    <n v="55356"/>
    <d v="2004-08-02T00:00:00"/>
    <n v="21"/>
    <x v="1"/>
    <x v="1"/>
    <d v="2024-07-18T00:00:00"/>
    <n v="1.0630136986301371"/>
    <x v="19"/>
    <x v="0"/>
    <x v="8"/>
    <x v="1"/>
    <n v="8.4700000000000006"/>
    <m/>
    <m/>
    <m/>
    <m/>
    <m/>
    <m/>
    <x v="4"/>
    <n v="2"/>
    <n v="7"/>
    <m/>
    <m/>
    <m/>
    <m/>
    <m/>
    <m/>
    <m/>
    <m/>
    <m/>
    <m/>
    <m/>
    <m/>
    <m/>
    <m/>
  </r>
  <r>
    <n v="4859"/>
    <n v="55357"/>
    <d v="2005-11-15T00:00:00"/>
    <n v="20"/>
    <x v="1"/>
    <x v="0"/>
    <d v="2024-12-08T00:00:00"/>
    <n v="1.4219178082191781"/>
    <x v="19"/>
    <x v="0"/>
    <x v="8"/>
    <x v="1"/>
    <n v="8.4700000000000006"/>
    <m/>
    <m/>
    <m/>
    <m/>
    <m/>
    <m/>
    <x v="1"/>
    <n v="4"/>
    <n v="6"/>
    <m/>
    <m/>
    <m/>
    <m/>
    <m/>
    <m/>
    <m/>
    <m/>
    <m/>
    <m/>
    <m/>
    <m/>
    <m/>
    <m/>
  </r>
  <r>
    <n v="4860"/>
    <n v="55358"/>
    <d v="1993-12-26T00:00:00"/>
    <n v="32"/>
    <x v="1"/>
    <x v="1"/>
    <d v="2024-07-30T00:00:00"/>
    <n v="1.6821917808219178"/>
    <x v="19"/>
    <x v="0"/>
    <x v="8"/>
    <x v="1"/>
    <n v="8.4700000000000006"/>
    <m/>
    <m/>
    <m/>
    <m/>
    <m/>
    <m/>
    <x v="1"/>
    <n v="4"/>
    <n v="7"/>
    <m/>
    <m/>
    <m/>
    <m/>
    <m/>
    <m/>
    <m/>
    <m/>
    <m/>
    <m/>
    <m/>
    <m/>
    <m/>
    <m/>
  </r>
  <r>
    <n v="4861"/>
    <n v="55359"/>
    <d v="1999-11-15T00:00:00"/>
    <n v="26"/>
    <x v="1"/>
    <x v="0"/>
    <d v="2024-04-26T00:00:00"/>
    <n v="1.726027397260274"/>
    <x v="19"/>
    <x v="0"/>
    <x v="8"/>
    <x v="1"/>
    <n v="8.4700000000000006"/>
    <m/>
    <m/>
    <m/>
    <m/>
    <m/>
    <m/>
    <x v="4"/>
    <n v="1"/>
    <n v="4"/>
    <m/>
    <m/>
    <m/>
    <m/>
    <m/>
    <m/>
    <m/>
    <m/>
    <m/>
    <m/>
    <m/>
    <m/>
    <m/>
    <m/>
  </r>
  <r>
    <n v="4862"/>
    <n v="55360"/>
    <d v="2003-06-09T00:00:00"/>
    <n v="22"/>
    <x v="0"/>
    <x v="1"/>
    <d v="2024-04-10T00:00:00"/>
    <n v="1.4684931506849315"/>
    <x v="19"/>
    <x v="0"/>
    <x v="8"/>
    <x v="1"/>
    <n v="8.4700000000000006"/>
    <m/>
    <m/>
    <m/>
    <m/>
    <m/>
    <m/>
    <x v="4"/>
    <n v="1"/>
    <n v="3"/>
    <m/>
    <m/>
    <m/>
    <m/>
    <m/>
    <m/>
    <m/>
    <m/>
    <m/>
    <m/>
    <m/>
    <m/>
    <m/>
    <m/>
  </r>
  <r>
    <n v="4863"/>
    <n v="55361"/>
    <d v="2002-05-28T00:00:00"/>
    <n v="23"/>
    <x v="1"/>
    <x v="1"/>
    <d v="2024-07-13T00:00:00"/>
    <n v="1.1041095890410959"/>
    <x v="19"/>
    <x v="0"/>
    <x v="8"/>
    <x v="1"/>
    <n v="8.4700000000000006"/>
    <m/>
    <m/>
    <m/>
    <m/>
    <m/>
    <m/>
    <x v="1"/>
    <n v="4"/>
    <n v="5"/>
    <m/>
    <m/>
    <m/>
    <m/>
    <m/>
    <m/>
    <m/>
    <m/>
    <m/>
    <m/>
    <m/>
    <m/>
    <m/>
    <m/>
  </r>
  <r>
    <n v="4864"/>
    <n v="55362"/>
    <d v="2000-03-04T00:00:00"/>
    <n v="25"/>
    <x v="1"/>
    <x v="0"/>
    <d v="2024-11-23T00:00:00"/>
    <n v="1.4712328767123288"/>
    <x v="19"/>
    <x v="0"/>
    <x v="8"/>
    <x v="1"/>
    <n v="8.4700000000000006"/>
    <m/>
    <m/>
    <m/>
    <m/>
    <m/>
    <m/>
    <x v="2"/>
    <n v="1"/>
    <n v="6"/>
    <m/>
    <m/>
    <m/>
    <m/>
    <m/>
    <m/>
    <m/>
    <m/>
    <m/>
    <m/>
    <m/>
    <m/>
    <m/>
    <m/>
  </r>
  <r>
    <n v="4865"/>
    <n v="55363"/>
    <d v="2006-10-23T00:00:00"/>
    <n v="19"/>
    <x v="1"/>
    <x v="1"/>
    <d v="2024-07-12T00:00:00"/>
    <n v="1.021917808219178"/>
    <x v="19"/>
    <x v="0"/>
    <x v="8"/>
    <x v="1"/>
    <n v="8.4700000000000006"/>
    <m/>
    <m/>
    <m/>
    <m/>
    <m/>
    <m/>
    <x v="2"/>
    <n v="2"/>
    <n v="7"/>
    <m/>
    <m/>
    <m/>
    <m/>
    <m/>
    <m/>
    <m/>
    <m/>
    <m/>
    <m/>
    <m/>
    <m/>
    <m/>
    <m/>
  </r>
  <r>
    <n v="4866"/>
    <n v="55364"/>
    <d v="2006-12-27T00:00:00"/>
    <n v="19"/>
    <x v="1"/>
    <x v="0"/>
    <d v="2024-12-23T00:00:00"/>
    <n v="1.6931506849315068"/>
    <x v="19"/>
    <x v="0"/>
    <x v="8"/>
    <x v="1"/>
    <n v="8.4700000000000006"/>
    <m/>
    <m/>
    <m/>
    <m/>
    <m/>
    <m/>
    <x v="4"/>
    <n v="2"/>
    <n v="5"/>
    <m/>
    <m/>
    <m/>
    <m/>
    <m/>
    <m/>
    <m/>
    <m/>
    <m/>
    <m/>
    <m/>
    <m/>
    <m/>
    <m/>
  </r>
  <r>
    <n v="4867"/>
    <n v="55365"/>
    <d v="2005-12-10T00:00:00"/>
    <n v="20"/>
    <x v="1"/>
    <x v="1"/>
    <d v="2024-04-22T00:00:00"/>
    <n v="1.1616438356164382"/>
    <x v="19"/>
    <x v="0"/>
    <x v="8"/>
    <x v="1"/>
    <n v="8.4700000000000006"/>
    <m/>
    <m/>
    <m/>
    <m/>
    <m/>
    <m/>
    <x v="1"/>
    <n v="0"/>
    <n v="5"/>
    <m/>
    <m/>
    <m/>
    <m/>
    <m/>
    <m/>
    <m/>
    <m/>
    <m/>
    <m/>
    <m/>
    <m/>
    <m/>
    <m/>
  </r>
  <r>
    <n v="4868"/>
    <n v="55366"/>
    <d v="2003-12-21T00:00:00"/>
    <n v="22"/>
    <x v="1"/>
    <x v="1"/>
    <d v="2024-11-02T00:00:00"/>
    <n v="1.8082191780821917"/>
    <x v="20"/>
    <x v="0"/>
    <x v="11"/>
    <x v="1"/>
    <n v="17"/>
    <m/>
    <m/>
    <m/>
    <m/>
    <m/>
    <m/>
    <x v="4"/>
    <n v="4"/>
    <n v="7"/>
    <m/>
    <m/>
    <m/>
    <m/>
    <m/>
    <m/>
    <m/>
    <m/>
    <m/>
    <m/>
    <m/>
    <m/>
    <m/>
    <m/>
  </r>
  <r>
    <n v="4869"/>
    <n v="55367"/>
    <d v="2005-08-21T00:00:00"/>
    <n v="20"/>
    <x v="1"/>
    <x v="1"/>
    <d v="2024-03-11T00:00:00"/>
    <n v="1.5013698630136987"/>
    <x v="20"/>
    <x v="0"/>
    <x v="10"/>
    <x v="1"/>
    <n v="10.64"/>
    <m/>
    <m/>
    <m/>
    <m/>
    <m/>
    <m/>
    <x v="3"/>
    <n v="0"/>
    <n v="7"/>
    <m/>
    <m/>
    <m/>
    <m/>
    <m/>
    <m/>
    <m/>
    <m/>
    <m/>
    <m/>
    <m/>
    <m/>
    <m/>
    <m/>
  </r>
  <r>
    <n v="4870"/>
    <n v="55368"/>
    <d v="1993-09-23T00:00:00"/>
    <n v="32"/>
    <x v="1"/>
    <x v="1"/>
    <d v="2024-07-01T00:00:00"/>
    <n v="1.2301369863013698"/>
    <x v="20"/>
    <x v="0"/>
    <x v="2"/>
    <x v="1"/>
    <n v="14.23"/>
    <m/>
    <m/>
    <m/>
    <m/>
    <m/>
    <m/>
    <x v="2"/>
    <n v="1"/>
    <n v="4"/>
    <m/>
    <m/>
    <m/>
    <m/>
    <m/>
    <m/>
    <m/>
    <m/>
    <m/>
    <m/>
    <m/>
    <m/>
    <m/>
    <m/>
  </r>
  <r>
    <n v="4871"/>
    <n v="55369"/>
    <d v="2005-02-01T00:00:00"/>
    <n v="21"/>
    <x v="0"/>
    <x v="1"/>
    <d v="2024-10-08T00:00:00"/>
    <n v="1.0657534246575342"/>
    <x v="20"/>
    <x v="0"/>
    <x v="9"/>
    <x v="1"/>
    <n v="14.07"/>
    <m/>
    <m/>
    <m/>
    <m/>
    <m/>
    <m/>
    <x v="4"/>
    <n v="0"/>
    <n v="3"/>
    <m/>
    <m/>
    <m/>
    <m/>
    <m/>
    <m/>
    <m/>
    <m/>
    <m/>
    <m/>
    <m/>
    <m/>
    <m/>
    <m/>
  </r>
  <r>
    <n v="4872"/>
    <n v="55370"/>
    <d v="2002-09-12T00:00:00"/>
    <n v="23"/>
    <x v="1"/>
    <x v="1"/>
    <d v="2024-12-07T00:00:00"/>
    <n v="1.6465753424657534"/>
    <x v="20"/>
    <x v="0"/>
    <x v="9"/>
    <x v="1"/>
    <n v="14.07"/>
    <m/>
    <m/>
    <m/>
    <m/>
    <m/>
    <m/>
    <x v="2"/>
    <n v="0"/>
    <n v="5"/>
    <m/>
    <m/>
    <m/>
    <m/>
    <m/>
    <m/>
    <m/>
    <m/>
    <m/>
    <m/>
    <m/>
    <m/>
    <m/>
    <m/>
  </r>
  <r>
    <n v="4873"/>
    <n v="55371"/>
    <d v="2002-03-11T00:00:00"/>
    <n v="23"/>
    <x v="1"/>
    <x v="0"/>
    <d v="2024-05-09T00:00:00"/>
    <n v="1.7726027397260273"/>
    <x v="20"/>
    <x v="0"/>
    <x v="3"/>
    <x v="1"/>
    <n v="8.4700000000000006"/>
    <m/>
    <m/>
    <m/>
    <m/>
    <m/>
    <m/>
    <x v="1"/>
    <n v="4"/>
    <n v="6"/>
    <m/>
    <m/>
    <m/>
    <m/>
    <m/>
    <m/>
    <m/>
    <m/>
    <m/>
    <m/>
    <m/>
    <m/>
    <m/>
    <m/>
  </r>
  <r>
    <n v="4874"/>
    <n v="55372"/>
    <d v="2006-11-29T00:00:00"/>
    <n v="19"/>
    <x v="1"/>
    <x v="1"/>
    <d v="2024-03-24T00:00:00"/>
    <n v="1.0273972602739727"/>
    <x v="20"/>
    <x v="0"/>
    <x v="3"/>
    <x v="1"/>
    <n v="8.4700000000000006"/>
    <m/>
    <m/>
    <m/>
    <m/>
    <m/>
    <m/>
    <x v="1"/>
    <n v="1"/>
    <n v="5"/>
    <m/>
    <m/>
    <m/>
    <m/>
    <m/>
    <m/>
    <m/>
    <m/>
    <m/>
    <m/>
    <m/>
    <m/>
    <m/>
    <m/>
  </r>
  <r>
    <n v="4875"/>
    <n v="55373"/>
    <d v="2001-12-21T00:00:00"/>
    <n v="24"/>
    <x v="0"/>
    <x v="1"/>
    <d v="2024-12-21T00:00:00"/>
    <n v="1.106849315068493"/>
    <x v="20"/>
    <x v="0"/>
    <x v="7"/>
    <x v="1"/>
    <n v="17.59"/>
    <m/>
    <m/>
    <m/>
    <m/>
    <m/>
    <m/>
    <x v="1"/>
    <n v="2"/>
    <n v="6"/>
    <m/>
    <m/>
    <m/>
    <m/>
    <m/>
    <m/>
    <m/>
    <m/>
    <m/>
    <m/>
    <m/>
    <m/>
    <m/>
    <m/>
  </r>
  <r>
    <n v="4876"/>
    <n v="55374"/>
    <d v="2003-09-02T00:00:00"/>
    <n v="22"/>
    <x v="1"/>
    <x v="1"/>
    <d v="2024-11-22T00:00:00"/>
    <n v="1.295890410958904"/>
    <x v="20"/>
    <x v="0"/>
    <x v="8"/>
    <x v="1"/>
    <n v="8.4700000000000006"/>
    <m/>
    <m/>
    <m/>
    <m/>
    <m/>
    <m/>
    <x v="1"/>
    <n v="2"/>
    <n v="6"/>
    <m/>
    <m/>
    <m/>
    <m/>
    <m/>
    <m/>
    <m/>
    <m/>
    <m/>
    <m/>
    <m/>
    <m/>
    <m/>
    <m/>
  </r>
  <r>
    <n v="4877"/>
    <n v="55376"/>
    <d v="2006-04-26T00:00:00"/>
    <n v="19"/>
    <x v="0"/>
    <x v="1"/>
    <d v="2024-09-14T00:00:00"/>
    <n v="1.3753424657534246"/>
    <x v="20"/>
    <x v="0"/>
    <x v="8"/>
    <x v="1"/>
    <n v="8.4700000000000006"/>
    <m/>
    <m/>
    <m/>
    <m/>
    <m/>
    <m/>
    <x v="4"/>
    <n v="2"/>
    <n v="3"/>
    <m/>
    <m/>
    <m/>
    <m/>
    <m/>
    <m/>
    <m/>
    <m/>
    <m/>
    <m/>
    <m/>
    <m/>
    <m/>
    <m/>
  </r>
  <r>
    <n v="4878"/>
    <n v="55377"/>
    <d v="2007-10-21T00:00:00"/>
    <n v="18"/>
    <x v="1"/>
    <x v="1"/>
    <d v="2024-08-16T00:00:00"/>
    <n v="1.7780821917808218"/>
    <x v="20"/>
    <x v="0"/>
    <x v="8"/>
    <x v="1"/>
    <n v="8.4700000000000006"/>
    <m/>
    <m/>
    <m/>
    <m/>
    <m/>
    <m/>
    <x v="3"/>
    <n v="3"/>
    <n v="7"/>
    <m/>
    <m/>
    <m/>
    <m/>
    <m/>
    <m/>
    <m/>
    <m/>
    <m/>
    <m/>
    <m/>
    <m/>
    <m/>
    <m/>
  </r>
  <r>
    <n v="4879"/>
    <n v="55378"/>
    <d v="2004-11-19T00:00:00"/>
    <n v="21"/>
    <x v="1"/>
    <x v="1"/>
    <d v="2024-03-22T00:00:00"/>
    <n v="1.7972602739726027"/>
    <x v="20"/>
    <x v="0"/>
    <x v="8"/>
    <x v="1"/>
    <n v="8.4700000000000006"/>
    <m/>
    <m/>
    <m/>
    <m/>
    <m/>
    <m/>
    <x v="4"/>
    <n v="2"/>
    <n v="6"/>
    <m/>
    <m/>
    <m/>
    <m/>
    <m/>
    <m/>
    <m/>
    <m/>
    <m/>
    <m/>
    <m/>
    <m/>
    <m/>
    <m/>
  </r>
  <r>
    <n v="4880"/>
    <n v="55379"/>
    <d v="2002-05-19T00:00:00"/>
    <n v="23"/>
    <x v="1"/>
    <x v="1"/>
    <d v="2024-03-15T00:00:00"/>
    <n v="1.6027397260273972"/>
    <x v="20"/>
    <x v="0"/>
    <x v="8"/>
    <x v="1"/>
    <n v="8.4700000000000006"/>
    <m/>
    <m/>
    <m/>
    <m/>
    <m/>
    <m/>
    <x v="2"/>
    <n v="2"/>
    <n v="5"/>
    <m/>
    <m/>
    <m/>
    <m/>
    <m/>
    <m/>
    <m/>
    <m/>
    <m/>
    <m/>
    <m/>
    <m/>
    <m/>
    <m/>
  </r>
  <r>
    <n v="4881"/>
    <n v="55380"/>
    <d v="1996-12-18T00:00:00"/>
    <n v="29"/>
    <x v="1"/>
    <x v="0"/>
    <d v="2024-05-25T00:00:00"/>
    <n v="1.747945205479452"/>
    <x v="20"/>
    <x v="0"/>
    <x v="8"/>
    <x v="1"/>
    <n v="8.4700000000000006"/>
    <m/>
    <m/>
    <m/>
    <m/>
    <m/>
    <m/>
    <x v="1"/>
    <n v="2"/>
    <n v="6"/>
    <m/>
    <m/>
    <m/>
    <m/>
    <m/>
    <m/>
    <m/>
    <m/>
    <m/>
    <m/>
    <m/>
    <m/>
    <m/>
    <m/>
  </r>
  <r>
    <n v="4882"/>
    <n v="55381"/>
    <d v="2004-05-08T00:00:00"/>
    <n v="21"/>
    <x v="1"/>
    <x v="1"/>
    <d v="2024-04-02T00:00:00"/>
    <n v="1.3424657534246576"/>
    <x v="20"/>
    <x v="0"/>
    <x v="8"/>
    <x v="1"/>
    <n v="8.4700000000000006"/>
    <m/>
    <m/>
    <m/>
    <m/>
    <m/>
    <m/>
    <x v="2"/>
    <n v="2"/>
    <n v="6"/>
    <m/>
    <m/>
    <m/>
    <m/>
    <m/>
    <m/>
    <m/>
    <m/>
    <m/>
    <m/>
    <m/>
    <m/>
    <m/>
    <m/>
  </r>
  <r>
    <n v="4883"/>
    <n v="55382"/>
    <d v="2004-05-26T00:00:00"/>
    <n v="21"/>
    <x v="1"/>
    <x v="0"/>
    <d v="2024-08-28T00:00:00"/>
    <n v="1.1397260273972603"/>
    <x v="20"/>
    <x v="0"/>
    <x v="8"/>
    <x v="1"/>
    <n v="8.4700000000000006"/>
    <m/>
    <m/>
    <m/>
    <m/>
    <m/>
    <m/>
    <x v="3"/>
    <n v="2"/>
    <n v="4"/>
    <m/>
    <m/>
    <m/>
    <m/>
    <m/>
    <m/>
    <m/>
    <m/>
    <m/>
    <m/>
    <m/>
    <m/>
    <m/>
    <m/>
  </r>
  <r>
    <n v="4884"/>
    <n v="55383"/>
    <d v="2001-03-28T00:00:00"/>
    <n v="24"/>
    <x v="0"/>
    <x v="1"/>
    <d v="2024-11-10T00:00:00"/>
    <n v="1.2986301369863014"/>
    <x v="20"/>
    <x v="0"/>
    <x v="8"/>
    <x v="1"/>
    <n v="8.4700000000000006"/>
    <m/>
    <m/>
    <m/>
    <m/>
    <m/>
    <m/>
    <x v="4"/>
    <n v="2"/>
    <n v="5"/>
    <m/>
    <m/>
    <m/>
    <m/>
    <m/>
    <m/>
    <m/>
    <m/>
    <m/>
    <m/>
    <m/>
    <m/>
    <m/>
    <m/>
  </r>
  <r>
    <n v="4885"/>
    <n v="55384"/>
    <d v="2006-03-04T00:00:00"/>
    <n v="19"/>
    <x v="1"/>
    <x v="0"/>
    <d v="2024-09-13T00:00:00"/>
    <n v="1.810958904109589"/>
    <x v="20"/>
    <x v="0"/>
    <x v="8"/>
    <x v="1"/>
    <n v="8.4700000000000006"/>
    <m/>
    <m/>
    <m/>
    <m/>
    <m/>
    <m/>
    <x v="4"/>
    <n v="1"/>
    <n v="4"/>
    <m/>
    <m/>
    <m/>
    <m/>
    <m/>
    <m/>
    <m/>
    <m/>
    <m/>
    <m/>
    <m/>
    <m/>
    <m/>
    <m/>
  </r>
  <r>
    <n v="4886"/>
    <n v="55385"/>
    <d v="2004-06-09T00:00:00"/>
    <n v="21"/>
    <x v="1"/>
    <x v="0"/>
    <d v="2024-03-10T00:00:00"/>
    <n v="1.1369863013698631"/>
    <x v="20"/>
    <x v="0"/>
    <x v="8"/>
    <x v="1"/>
    <n v="8.4700000000000006"/>
    <m/>
    <m/>
    <m/>
    <m/>
    <m/>
    <m/>
    <x v="4"/>
    <n v="1"/>
    <n v="6"/>
    <m/>
    <m/>
    <m/>
    <m/>
    <m/>
    <m/>
    <m/>
    <m/>
    <m/>
    <m/>
    <m/>
    <m/>
    <m/>
    <m/>
  </r>
  <r>
    <n v="4887"/>
    <n v="55386"/>
    <d v="2004-09-20T00:00:00"/>
    <n v="21"/>
    <x v="1"/>
    <x v="1"/>
    <d v="2024-11-11T00:00:00"/>
    <n v="1.0767123287671232"/>
    <x v="20"/>
    <x v="0"/>
    <x v="8"/>
    <x v="1"/>
    <n v="8.4700000000000006"/>
    <m/>
    <m/>
    <m/>
    <m/>
    <m/>
    <m/>
    <x v="3"/>
    <n v="1"/>
    <n v="6"/>
    <m/>
    <m/>
    <m/>
    <m/>
    <m/>
    <m/>
    <m/>
    <m/>
    <m/>
    <m/>
    <m/>
    <m/>
    <m/>
    <m/>
  </r>
  <r>
    <n v="4888"/>
    <n v="55387"/>
    <d v="2005-02-27T00:00:00"/>
    <n v="20"/>
    <x v="1"/>
    <x v="1"/>
    <d v="2024-12-03T00:00:00"/>
    <n v="1.3342465753424657"/>
    <x v="20"/>
    <x v="0"/>
    <x v="8"/>
    <x v="1"/>
    <n v="8.4700000000000006"/>
    <m/>
    <m/>
    <m/>
    <m/>
    <m/>
    <m/>
    <x v="3"/>
    <n v="0"/>
    <n v="7"/>
    <m/>
    <m/>
    <m/>
    <m/>
    <m/>
    <m/>
    <m/>
    <m/>
    <m/>
    <m/>
    <m/>
    <m/>
    <m/>
    <m/>
  </r>
  <r>
    <n v="4889"/>
    <n v="55388"/>
    <d v="2001-09-28T00:00:00"/>
    <n v="24"/>
    <x v="0"/>
    <x v="1"/>
    <d v="2024-08-31T00:00:00"/>
    <n v="1.2493150684931507"/>
    <x v="20"/>
    <x v="0"/>
    <x v="8"/>
    <x v="1"/>
    <n v="8.4700000000000006"/>
    <m/>
    <m/>
    <m/>
    <m/>
    <m/>
    <m/>
    <x v="1"/>
    <n v="2"/>
    <n v="4"/>
    <m/>
    <m/>
    <m/>
    <m/>
    <m/>
    <m/>
    <m/>
    <m/>
    <m/>
    <m/>
    <m/>
    <m/>
    <m/>
    <m/>
  </r>
  <r>
    <n v="4890"/>
    <n v="55389"/>
    <d v="2005-11-01T00:00:00"/>
    <n v="21"/>
    <x v="1"/>
    <x v="0"/>
    <d v="2024-10-01T00:00:00"/>
    <n v="1.0520547945205478"/>
    <x v="20"/>
    <x v="0"/>
    <x v="8"/>
    <x v="1"/>
    <n v="8.4700000000000006"/>
    <m/>
    <m/>
    <m/>
    <m/>
    <m/>
    <m/>
    <x v="4"/>
    <n v="1"/>
    <n v="4"/>
    <m/>
    <m/>
    <m/>
    <m/>
    <m/>
    <m/>
    <m/>
    <m/>
    <m/>
    <m/>
    <m/>
    <m/>
    <m/>
    <m/>
  </r>
  <r>
    <n v="4891"/>
    <n v="55390"/>
    <d v="1999-08-25T00:00:00"/>
    <n v="26"/>
    <x v="0"/>
    <x v="1"/>
    <d v="2024-12-12T00:00:00"/>
    <n v="1.3041095890410959"/>
    <x v="20"/>
    <x v="0"/>
    <x v="8"/>
    <x v="1"/>
    <n v="8.4700000000000006"/>
    <m/>
    <m/>
    <m/>
    <m/>
    <m/>
    <m/>
    <x v="2"/>
    <n v="4"/>
    <n v="4"/>
    <m/>
    <m/>
    <m/>
    <m/>
    <m/>
    <m/>
    <m/>
    <m/>
    <m/>
    <m/>
    <m/>
    <m/>
    <m/>
    <m/>
  </r>
  <r>
    <n v="4892"/>
    <n v="55391"/>
    <d v="2002-03-05T00:00:00"/>
    <n v="23"/>
    <x v="1"/>
    <x v="1"/>
    <d v="2024-09-11T00:00:00"/>
    <n v="1.1835616438356165"/>
    <x v="27"/>
    <x v="0"/>
    <x v="11"/>
    <x v="1"/>
    <n v="17"/>
    <m/>
    <m/>
    <m/>
    <m/>
    <m/>
    <m/>
    <x v="2"/>
    <n v="1"/>
    <n v="7"/>
    <m/>
    <m/>
    <m/>
    <m/>
    <m/>
    <m/>
    <m/>
    <m/>
    <m/>
    <m/>
    <m/>
    <m/>
    <m/>
    <m/>
  </r>
  <r>
    <n v="4893"/>
    <n v="55392"/>
    <d v="2005-12-20T00:00:00"/>
    <n v="20"/>
    <x v="0"/>
    <x v="0"/>
    <d v="2024-10-25T00:00:00"/>
    <n v="1.1013698630136985"/>
    <x v="27"/>
    <x v="0"/>
    <x v="10"/>
    <x v="1"/>
    <n v="10.64"/>
    <m/>
    <m/>
    <m/>
    <m/>
    <m/>
    <m/>
    <x v="1"/>
    <n v="1"/>
    <n v="4"/>
    <m/>
    <m/>
    <m/>
    <m/>
    <m/>
    <m/>
    <m/>
    <m/>
    <m/>
    <m/>
    <m/>
    <m/>
    <m/>
    <m/>
  </r>
  <r>
    <n v="4894"/>
    <n v="55393"/>
    <d v="2002-04-27T00:00:00"/>
    <n v="23"/>
    <x v="1"/>
    <x v="0"/>
    <d v="2024-11-24T00:00:00"/>
    <n v="1.8547945205479452"/>
    <x v="27"/>
    <x v="0"/>
    <x v="8"/>
    <x v="1"/>
    <n v="8.4700000000000006"/>
    <m/>
    <m/>
    <m/>
    <m/>
    <m/>
    <m/>
    <x v="3"/>
    <n v="2"/>
    <n v="5"/>
    <m/>
    <m/>
    <m/>
    <m/>
    <m/>
    <m/>
    <m/>
    <m/>
    <m/>
    <m/>
    <m/>
    <m/>
    <m/>
    <m/>
  </r>
  <r>
    <n v="4895"/>
    <n v="55394"/>
    <d v="2004-10-22T00:00:00"/>
    <n v="21"/>
    <x v="0"/>
    <x v="1"/>
    <d v="2024-02-23T00:00:00"/>
    <n v="1.1342465753424658"/>
    <x v="27"/>
    <x v="0"/>
    <x v="8"/>
    <x v="1"/>
    <n v="8.4700000000000006"/>
    <m/>
    <m/>
    <m/>
    <m/>
    <m/>
    <m/>
    <x v="2"/>
    <n v="2"/>
    <n v="3"/>
    <m/>
    <m/>
    <m/>
    <m/>
    <m/>
    <m/>
    <m/>
    <m/>
    <m/>
    <m/>
    <m/>
    <m/>
    <m/>
    <m/>
  </r>
  <r>
    <n v="4896"/>
    <n v="55395"/>
    <d v="2004-03-12T00:00:00"/>
    <n v="21"/>
    <x v="1"/>
    <x v="1"/>
    <d v="2024-11-12T00:00:00"/>
    <n v="1.4931506849315068"/>
    <x v="27"/>
    <x v="0"/>
    <x v="8"/>
    <x v="1"/>
    <n v="8.4700000000000006"/>
    <m/>
    <m/>
    <m/>
    <m/>
    <m/>
    <m/>
    <x v="2"/>
    <n v="4"/>
    <n v="7"/>
    <m/>
    <m/>
    <m/>
    <m/>
    <m/>
    <m/>
    <m/>
    <m/>
    <m/>
    <m/>
    <m/>
    <m/>
    <m/>
    <m/>
  </r>
  <r>
    <n v="4897"/>
    <n v="55396"/>
    <d v="2006-11-08T00:00:00"/>
    <n v="19"/>
    <x v="1"/>
    <x v="1"/>
    <d v="2024-07-04T00:00:00"/>
    <n v="1.4027397260273973"/>
    <x v="27"/>
    <x v="0"/>
    <x v="8"/>
    <x v="1"/>
    <n v="8.4700000000000006"/>
    <m/>
    <m/>
    <m/>
    <m/>
    <m/>
    <m/>
    <x v="4"/>
    <n v="0"/>
    <n v="5"/>
    <m/>
    <m/>
    <m/>
    <m/>
    <m/>
    <m/>
    <m/>
    <m/>
    <m/>
    <m/>
    <m/>
    <m/>
    <m/>
    <m/>
  </r>
  <r>
    <n v="4898"/>
    <n v="55397"/>
    <d v="2005-02-17T00:00:00"/>
    <n v="20"/>
    <x v="1"/>
    <x v="1"/>
    <d v="2024-08-06T00:00:00"/>
    <n v="1.6164383561643836"/>
    <x v="27"/>
    <x v="0"/>
    <x v="8"/>
    <x v="1"/>
    <n v="8.4700000000000006"/>
    <m/>
    <m/>
    <m/>
    <m/>
    <m/>
    <m/>
    <x v="3"/>
    <n v="2"/>
    <n v="6"/>
    <m/>
    <m/>
    <m/>
    <m/>
    <m/>
    <m/>
    <m/>
    <m/>
    <m/>
    <m/>
    <m/>
    <m/>
    <m/>
    <m/>
  </r>
  <r>
    <n v="4899"/>
    <n v="55398"/>
    <d v="2007-11-29T00:00:00"/>
    <n v="18"/>
    <x v="1"/>
    <x v="1"/>
    <d v="2024-05-20T00:00:00"/>
    <n v="1.5753424657534247"/>
    <x v="27"/>
    <x v="0"/>
    <x v="8"/>
    <x v="1"/>
    <n v="8.4700000000000006"/>
    <m/>
    <m/>
    <m/>
    <m/>
    <m/>
    <m/>
    <x v="4"/>
    <n v="3"/>
    <n v="7"/>
    <m/>
    <m/>
    <m/>
    <m/>
    <m/>
    <m/>
    <m/>
    <m/>
    <m/>
    <m/>
    <m/>
    <m/>
    <m/>
    <m/>
  </r>
  <r>
    <n v="4900"/>
    <n v="55399"/>
    <d v="1997-06-24T00:00:00"/>
    <n v="28"/>
    <x v="1"/>
    <x v="0"/>
    <d v="2024-06-04T00:00:00"/>
    <n v="1.2410958904109588"/>
    <x v="27"/>
    <x v="0"/>
    <x v="8"/>
    <x v="1"/>
    <n v="8.4700000000000006"/>
    <m/>
    <m/>
    <m/>
    <m/>
    <m/>
    <m/>
    <x v="4"/>
    <n v="2"/>
    <n v="5"/>
    <m/>
    <m/>
    <m/>
    <m/>
    <m/>
    <m/>
    <m/>
    <m/>
    <m/>
    <m/>
    <m/>
    <m/>
    <m/>
    <m/>
  </r>
  <r>
    <n v="4901"/>
    <n v="55400"/>
    <d v="2006-05-25T00:00:00"/>
    <n v="19"/>
    <x v="1"/>
    <x v="1"/>
    <d v="2024-10-04T00:00:00"/>
    <n v="1.6191780821917807"/>
    <x v="27"/>
    <x v="0"/>
    <x v="8"/>
    <x v="1"/>
    <n v="8.4700000000000006"/>
    <m/>
    <m/>
    <m/>
    <m/>
    <m/>
    <m/>
    <x v="2"/>
    <n v="1"/>
    <n v="6"/>
    <m/>
    <m/>
    <m/>
    <m/>
    <m/>
    <m/>
    <m/>
    <m/>
    <m/>
    <m/>
    <m/>
    <m/>
    <m/>
    <m/>
  </r>
  <r>
    <n v="4902"/>
    <n v="55401"/>
    <d v="2001-08-29T00:00:00"/>
    <n v="24"/>
    <x v="1"/>
    <x v="0"/>
    <d v="2024-05-19T00:00:00"/>
    <n v="1.5123287671232877"/>
    <x v="21"/>
    <x v="0"/>
    <x v="11"/>
    <x v="1"/>
    <n v="17"/>
    <m/>
    <m/>
    <m/>
    <m/>
    <m/>
    <m/>
    <x v="1"/>
    <n v="2"/>
    <n v="6"/>
    <m/>
    <m/>
    <m/>
    <m/>
    <m/>
    <m/>
    <m/>
    <m/>
    <m/>
    <m/>
    <m/>
    <m/>
    <m/>
    <m/>
  </r>
  <r>
    <n v="4903"/>
    <n v="55402"/>
    <d v="2002-07-20T00:00:00"/>
    <n v="23"/>
    <x v="1"/>
    <x v="1"/>
    <d v="2024-06-27T00:00:00"/>
    <n v="1.3150684931506849"/>
    <x v="21"/>
    <x v="0"/>
    <x v="11"/>
    <x v="1"/>
    <n v="17"/>
    <m/>
    <m/>
    <m/>
    <m/>
    <m/>
    <m/>
    <x v="4"/>
    <n v="2"/>
    <n v="6"/>
    <m/>
    <m/>
    <m/>
    <m/>
    <m/>
    <m/>
    <m/>
    <m/>
    <m/>
    <m/>
    <m/>
    <m/>
    <m/>
    <m/>
  </r>
  <r>
    <n v="4904"/>
    <n v="55403"/>
    <d v="1999-03-10T00:00:00"/>
    <n v="26"/>
    <x v="1"/>
    <x v="1"/>
    <d v="2024-09-07T00:00:00"/>
    <n v="1.5205479452054795"/>
    <x v="21"/>
    <x v="0"/>
    <x v="10"/>
    <x v="1"/>
    <n v="10.64"/>
    <m/>
    <m/>
    <m/>
    <m/>
    <m/>
    <m/>
    <x v="4"/>
    <n v="1"/>
    <n v="6"/>
    <m/>
    <m/>
    <m/>
    <m/>
    <m/>
    <m/>
    <m/>
    <m/>
    <m/>
    <m/>
    <m/>
    <m/>
    <m/>
    <m/>
  </r>
  <r>
    <n v="4905"/>
    <n v="55404"/>
    <d v="2006-11-27T00:00:00"/>
    <n v="19"/>
    <x v="0"/>
    <x v="1"/>
    <d v="2024-06-24T00:00:00"/>
    <n v="1.6575342465753424"/>
    <x v="21"/>
    <x v="0"/>
    <x v="3"/>
    <x v="1"/>
    <n v="8.4700000000000006"/>
    <m/>
    <m/>
    <m/>
    <m/>
    <m/>
    <m/>
    <x v="1"/>
    <n v="0"/>
    <n v="1"/>
    <m/>
    <m/>
    <m/>
    <m/>
    <m/>
    <m/>
    <m/>
    <m/>
    <m/>
    <m/>
    <m/>
    <m/>
    <m/>
    <m/>
  </r>
  <r>
    <n v="4906"/>
    <n v="55406"/>
    <d v="2003-02-02T00:00:00"/>
    <n v="22"/>
    <x v="0"/>
    <x v="1"/>
    <d v="2024-05-05T00:00:00"/>
    <n v="1.1150684931506849"/>
    <x v="21"/>
    <x v="0"/>
    <x v="8"/>
    <x v="1"/>
    <n v="8.4700000000000006"/>
    <m/>
    <m/>
    <m/>
    <m/>
    <m/>
    <m/>
    <x v="4"/>
    <n v="2"/>
    <n v="4"/>
    <m/>
    <m/>
    <m/>
    <m/>
    <m/>
    <m/>
    <m/>
    <m/>
    <m/>
    <m/>
    <m/>
    <m/>
    <m/>
    <m/>
  </r>
  <r>
    <n v="4907"/>
    <n v="55407"/>
    <d v="2004-11-27T00:00:00"/>
    <n v="21"/>
    <x v="1"/>
    <x v="1"/>
    <d v="2024-11-19T00:00:00"/>
    <n v="1.5863013698630137"/>
    <x v="21"/>
    <x v="0"/>
    <x v="8"/>
    <x v="1"/>
    <n v="8.4700000000000006"/>
    <m/>
    <m/>
    <m/>
    <m/>
    <m/>
    <m/>
    <x v="4"/>
    <n v="2"/>
    <n v="6"/>
    <m/>
    <m/>
    <m/>
    <m/>
    <m/>
    <m/>
    <m/>
    <m/>
    <m/>
    <m/>
    <m/>
    <m/>
    <m/>
    <m/>
  </r>
  <r>
    <n v="4908"/>
    <n v="55408"/>
    <d v="2004-12-09T00:00:00"/>
    <n v="21"/>
    <x v="1"/>
    <x v="1"/>
    <d v="2024-05-31T00:00:00"/>
    <n v="1.0027397260273974"/>
    <x v="21"/>
    <x v="0"/>
    <x v="8"/>
    <x v="1"/>
    <n v="8.4700000000000006"/>
    <m/>
    <m/>
    <m/>
    <m/>
    <m/>
    <m/>
    <x v="1"/>
    <n v="2"/>
    <n v="6"/>
    <m/>
    <m/>
    <m/>
    <m/>
    <m/>
    <m/>
    <m/>
    <m/>
    <m/>
    <m/>
    <m/>
    <m/>
    <m/>
    <m/>
  </r>
  <r>
    <n v="4909"/>
    <n v="55409"/>
    <d v="2004-05-02T00:00:00"/>
    <n v="21"/>
    <x v="1"/>
    <x v="1"/>
    <d v="2024-12-30T00:00:00"/>
    <n v="1.4602739726027398"/>
    <x v="21"/>
    <x v="0"/>
    <x v="8"/>
    <x v="1"/>
    <n v="8.4700000000000006"/>
    <m/>
    <m/>
    <m/>
    <m/>
    <m/>
    <m/>
    <x v="3"/>
    <n v="2"/>
    <n v="6"/>
    <m/>
    <m/>
    <m/>
    <m/>
    <m/>
    <m/>
    <m/>
    <m/>
    <m/>
    <m/>
    <m/>
    <m/>
    <m/>
    <m/>
  </r>
  <r>
    <n v="4910"/>
    <n v="55410"/>
    <d v="2004-08-25T00:00:00"/>
    <n v="21"/>
    <x v="1"/>
    <x v="0"/>
    <d v="2024-07-16T00:00:00"/>
    <n v="1.2575342465753425"/>
    <x v="21"/>
    <x v="0"/>
    <x v="8"/>
    <x v="1"/>
    <n v="8.4700000000000006"/>
    <m/>
    <m/>
    <m/>
    <m/>
    <m/>
    <m/>
    <x v="1"/>
    <n v="1"/>
    <n v="5"/>
    <m/>
    <m/>
    <m/>
    <m/>
    <m/>
    <m/>
    <m/>
    <m/>
    <m/>
    <m/>
    <m/>
    <m/>
    <m/>
    <m/>
  </r>
  <r>
    <n v="4911"/>
    <n v="55411"/>
    <d v="2003-05-13T00:00:00"/>
    <n v="22"/>
    <x v="1"/>
    <x v="1"/>
    <d v="2024-09-28T00:00:00"/>
    <n v="1.0876712328767124"/>
    <x v="21"/>
    <x v="0"/>
    <x v="8"/>
    <x v="1"/>
    <n v="8.4700000000000006"/>
    <m/>
    <m/>
    <m/>
    <m/>
    <m/>
    <m/>
    <x v="1"/>
    <n v="2"/>
    <n v="7"/>
    <m/>
    <m/>
    <m/>
    <m/>
    <m/>
    <m/>
    <m/>
    <m/>
    <m/>
    <m/>
    <m/>
    <m/>
    <m/>
    <m/>
  </r>
  <r>
    <n v="4912"/>
    <n v="55412"/>
    <d v="2004-08-12T00:00:00"/>
    <n v="21"/>
    <x v="1"/>
    <x v="0"/>
    <d v="2024-11-29T00:00:00"/>
    <n v="1.8054794520547945"/>
    <x v="21"/>
    <x v="0"/>
    <x v="8"/>
    <x v="1"/>
    <n v="8.4700000000000006"/>
    <m/>
    <m/>
    <m/>
    <m/>
    <m/>
    <m/>
    <x v="3"/>
    <n v="1"/>
    <n v="5"/>
    <m/>
    <m/>
    <m/>
    <m/>
    <m/>
    <m/>
    <m/>
    <m/>
    <m/>
    <m/>
    <m/>
    <m/>
    <m/>
    <m/>
  </r>
  <r>
    <n v="4913"/>
    <n v="55413"/>
    <d v="1998-06-06T00:00:00"/>
    <n v="27"/>
    <x v="0"/>
    <x v="0"/>
    <d v="2024-03-12T00:00:00"/>
    <n v="1.2301369863013698"/>
    <x v="21"/>
    <x v="0"/>
    <x v="8"/>
    <x v="1"/>
    <n v="8.4700000000000006"/>
    <m/>
    <m/>
    <m/>
    <m/>
    <m/>
    <m/>
    <x v="1"/>
    <n v="2"/>
    <n v="5"/>
    <m/>
    <m/>
    <m/>
    <m/>
    <m/>
    <m/>
    <m/>
    <m/>
    <m/>
    <m/>
    <m/>
    <m/>
    <m/>
    <m/>
  </r>
  <r>
    <n v="4914"/>
    <n v="55414"/>
    <d v="2002-10-30T00:00:00"/>
    <n v="23"/>
    <x v="1"/>
    <x v="1"/>
    <d v="2024-10-08T00:00:00"/>
    <n v="1.5808219178082192"/>
    <x v="21"/>
    <x v="0"/>
    <x v="8"/>
    <x v="1"/>
    <n v="8.4700000000000006"/>
    <m/>
    <m/>
    <m/>
    <m/>
    <m/>
    <m/>
    <x v="2"/>
    <n v="2"/>
    <n v="7"/>
    <m/>
    <m/>
    <m/>
    <m/>
    <m/>
    <m/>
    <m/>
    <m/>
    <m/>
    <m/>
    <m/>
    <m/>
    <m/>
    <m/>
  </r>
  <r>
    <n v="4915"/>
    <n v="55415"/>
    <d v="2002-06-22T00:00:00"/>
    <n v="23"/>
    <x v="1"/>
    <x v="1"/>
    <d v="2024-06-02T00:00:00"/>
    <n v="1.452054794520548"/>
    <x v="21"/>
    <x v="0"/>
    <x v="8"/>
    <x v="1"/>
    <n v="8.4700000000000006"/>
    <m/>
    <m/>
    <m/>
    <m/>
    <m/>
    <m/>
    <x v="1"/>
    <n v="3"/>
    <n v="7"/>
    <m/>
    <m/>
    <m/>
    <m/>
    <m/>
    <m/>
    <m/>
    <m/>
    <m/>
    <m/>
    <m/>
    <m/>
    <m/>
    <m/>
  </r>
  <r>
    <n v="4916"/>
    <n v="55417"/>
    <d v="2002-12-26T00:00:00"/>
    <n v="23"/>
    <x v="0"/>
    <x v="1"/>
    <d v="2024-07-19T00:00:00"/>
    <n v="1.8520547945205479"/>
    <x v="21"/>
    <x v="0"/>
    <x v="8"/>
    <x v="1"/>
    <n v="8.4700000000000006"/>
    <m/>
    <m/>
    <m/>
    <m/>
    <m/>
    <m/>
    <x v="3"/>
    <n v="3"/>
    <n v="4"/>
    <m/>
    <m/>
    <m/>
    <m/>
    <m/>
    <m/>
    <m/>
    <m/>
    <m/>
    <m/>
    <m/>
    <m/>
    <m/>
    <m/>
  </r>
  <r>
    <n v="4917"/>
    <n v="55418"/>
    <d v="2005-03-25T00:00:00"/>
    <n v="20"/>
    <x v="0"/>
    <x v="1"/>
    <d v="2024-02-24T00:00:00"/>
    <n v="1.0136986301369864"/>
    <x v="21"/>
    <x v="0"/>
    <x v="8"/>
    <x v="1"/>
    <n v="8.4700000000000006"/>
    <m/>
    <m/>
    <m/>
    <m/>
    <m/>
    <m/>
    <x v="3"/>
    <n v="3"/>
    <n v="3"/>
    <m/>
    <m/>
    <m/>
    <m/>
    <m/>
    <m/>
    <m/>
    <m/>
    <m/>
    <m/>
    <m/>
    <m/>
    <m/>
    <m/>
  </r>
  <r>
    <n v="4918"/>
    <n v="55419"/>
    <d v="2007-05-08T00:00:00"/>
    <n v="18"/>
    <x v="1"/>
    <x v="0"/>
    <d v="2024-12-26T00:00:00"/>
    <n v="1.4191780821917808"/>
    <x v="21"/>
    <x v="0"/>
    <x v="8"/>
    <x v="1"/>
    <n v="8.4700000000000006"/>
    <m/>
    <m/>
    <m/>
    <m/>
    <m/>
    <m/>
    <x v="4"/>
    <n v="2"/>
    <n v="6"/>
    <m/>
    <m/>
    <m/>
    <m/>
    <m/>
    <m/>
    <m/>
    <m/>
    <m/>
    <m/>
    <m/>
    <m/>
    <m/>
    <m/>
  </r>
  <r>
    <n v="4919"/>
    <n v="55420"/>
    <d v="2004-09-08T00:00:00"/>
    <n v="21"/>
    <x v="1"/>
    <x v="1"/>
    <d v="2024-07-31T00:00:00"/>
    <n v="1.441095890410959"/>
    <x v="21"/>
    <x v="0"/>
    <x v="8"/>
    <x v="1"/>
    <n v="8.4700000000000006"/>
    <m/>
    <m/>
    <m/>
    <m/>
    <m/>
    <m/>
    <x v="3"/>
    <n v="2"/>
    <n v="6"/>
    <m/>
    <m/>
    <m/>
    <m/>
    <m/>
    <m/>
    <m/>
    <m/>
    <m/>
    <m/>
    <m/>
    <m/>
    <m/>
    <m/>
  </r>
  <r>
    <n v="4920"/>
    <n v="55421"/>
    <d v="1999-01-24T00:00:00"/>
    <n v="26"/>
    <x v="0"/>
    <x v="1"/>
    <d v="2024-07-23T00:00:00"/>
    <n v="1.6630136986301369"/>
    <x v="22"/>
    <x v="0"/>
    <x v="11"/>
    <x v="1"/>
    <n v="17"/>
    <m/>
    <m/>
    <m/>
    <m/>
    <m/>
    <m/>
    <x v="2"/>
    <n v="0"/>
    <n v="4"/>
    <m/>
    <m/>
    <m/>
    <m/>
    <m/>
    <m/>
    <m/>
    <m/>
    <m/>
    <m/>
    <m/>
    <m/>
    <m/>
    <m/>
  </r>
  <r>
    <n v="4921"/>
    <n v="55422"/>
    <d v="2002-04-10T00:00:00"/>
    <n v="23"/>
    <x v="0"/>
    <x v="1"/>
    <d v="2024-05-03T00:00:00"/>
    <n v="1.0356164383561643"/>
    <x v="22"/>
    <x v="0"/>
    <x v="11"/>
    <x v="1"/>
    <n v="17"/>
    <m/>
    <m/>
    <m/>
    <m/>
    <m/>
    <m/>
    <x v="4"/>
    <n v="2"/>
    <n v="5"/>
    <m/>
    <m/>
    <m/>
    <m/>
    <m/>
    <m/>
    <m/>
    <m/>
    <m/>
    <m/>
    <m/>
    <m/>
    <m/>
    <m/>
  </r>
  <r>
    <n v="4922"/>
    <n v="55423"/>
    <d v="2000-05-08T00:00:00"/>
    <n v="25"/>
    <x v="1"/>
    <x v="0"/>
    <d v="2024-12-18T00:00:00"/>
    <n v="1.1945205479452055"/>
    <x v="22"/>
    <x v="0"/>
    <x v="11"/>
    <x v="1"/>
    <n v="17"/>
    <m/>
    <m/>
    <m/>
    <m/>
    <m/>
    <m/>
    <x v="3"/>
    <n v="2"/>
    <n v="7"/>
    <m/>
    <m/>
    <m/>
    <m/>
    <m/>
    <m/>
    <m/>
    <m/>
    <m/>
    <m/>
    <m/>
    <m/>
    <m/>
    <m/>
  </r>
  <r>
    <n v="4923"/>
    <n v="55424"/>
    <d v="2003-02-17T00:00:00"/>
    <n v="22"/>
    <x v="0"/>
    <x v="1"/>
    <d v="2024-10-21T00:00:00"/>
    <n v="1.2931506849315069"/>
    <x v="22"/>
    <x v="0"/>
    <x v="10"/>
    <x v="1"/>
    <n v="10.64"/>
    <m/>
    <m/>
    <m/>
    <m/>
    <m/>
    <m/>
    <x v="1"/>
    <n v="0"/>
    <n v="3"/>
    <m/>
    <m/>
    <m/>
    <m/>
    <m/>
    <m/>
    <m/>
    <m/>
    <m/>
    <m/>
    <m/>
    <m/>
    <m/>
    <m/>
  </r>
  <r>
    <n v="4924"/>
    <n v="55425"/>
    <d v="2005-12-28T00:00:00"/>
    <n v="20"/>
    <x v="0"/>
    <x v="1"/>
    <d v="2024-09-15T00:00:00"/>
    <n v="1.6328767123287671"/>
    <x v="22"/>
    <x v="0"/>
    <x v="10"/>
    <x v="1"/>
    <n v="10.64"/>
    <m/>
    <m/>
    <m/>
    <m/>
    <m/>
    <m/>
    <x v="1"/>
    <n v="1"/>
    <n v="4"/>
    <m/>
    <m/>
    <m/>
    <m/>
    <m/>
    <m/>
    <m/>
    <m/>
    <m/>
    <m/>
    <m/>
    <m/>
    <m/>
    <m/>
  </r>
  <r>
    <n v="4925"/>
    <n v="55426"/>
    <d v="2001-02-16T00:00:00"/>
    <n v="24"/>
    <x v="1"/>
    <x v="0"/>
    <d v="2024-05-14T00:00:00"/>
    <n v="1.7561643835616438"/>
    <x v="22"/>
    <x v="0"/>
    <x v="2"/>
    <x v="1"/>
    <n v="14.23"/>
    <m/>
    <m/>
    <m/>
    <m/>
    <m/>
    <m/>
    <x v="4"/>
    <n v="0"/>
    <n v="4"/>
    <m/>
    <m/>
    <m/>
    <m/>
    <m/>
    <m/>
    <m/>
    <m/>
    <m/>
    <m/>
    <m/>
    <m/>
    <m/>
    <m/>
  </r>
  <r>
    <n v="4926"/>
    <n v="55427"/>
    <d v="2003-06-15T00:00:00"/>
    <n v="22"/>
    <x v="1"/>
    <x v="1"/>
    <d v="2024-03-30T00:00:00"/>
    <n v="1.6438356164383561"/>
    <x v="22"/>
    <x v="0"/>
    <x v="9"/>
    <x v="1"/>
    <n v="14.07"/>
    <m/>
    <m/>
    <m/>
    <m/>
    <m/>
    <m/>
    <x v="4"/>
    <n v="1"/>
    <n v="7"/>
    <m/>
    <m/>
    <m/>
    <m/>
    <m/>
    <m/>
    <m/>
    <m/>
    <m/>
    <m/>
    <m/>
    <m/>
    <m/>
    <m/>
  </r>
  <r>
    <n v="4927"/>
    <n v="55428"/>
    <d v="2007-05-02T00:00:00"/>
    <n v="18"/>
    <x v="1"/>
    <x v="1"/>
    <d v="2024-05-10T00:00:00"/>
    <n v="1.6684931506849314"/>
    <x v="22"/>
    <x v="0"/>
    <x v="3"/>
    <x v="1"/>
    <n v="8.4700000000000006"/>
    <m/>
    <m/>
    <m/>
    <m/>
    <m/>
    <m/>
    <x v="2"/>
    <n v="0"/>
    <n v="6"/>
    <m/>
    <m/>
    <m/>
    <m/>
    <m/>
    <m/>
    <m/>
    <m/>
    <m/>
    <m/>
    <m/>
    <m/>
    <m/>
    <m/>
  </r>
  <r>
    <n v="4928"/>
    <n v="55429"/>
    <d v="1999-08-14T00:00:00"/>
    <n v="26"/>
    <x v="1"/>
    <x v="1"/>
    <d v="2024-05-01T00:00:00"/>
    <n v="1.3287671232876712"/>
    <x v="22"/>
    <x v="0"/>
    <x v="3"/>
    <x v="1"/>
    <n v="8.4700000000000006"/>
    <m/>
    <m/>
    <m/>
    <m/>
    <m/>
    <m/>
    <x v="4"/>
    <n v="4"/>
    <n v="6"/>
    <m/>
    <m/>
    <m/>
    <m/>
    <m/>
    <m/>
    <m/>
    <m/>
    <m/>
    <m/>
    <m/>
    <m/>
    <m/>
    <m/>
  </r>
  <r>
    <n v="4929"/>
    <n v="55430"/>
    <d v="2000-07-18T00:00:00"/>
    <n v="25"/>
    <x v="1"/>
    <x v="1"/>
    <d v="2024-09-02T00:00:00"/>
    <n v="1.3452054794520547"/>
    <x v="22"/>
    <x v="0"/>
    <x v="8"/>
    <x v="1"/>
    <n v="8.4700000000000006"/>
    <m/>
    <m/>
    <m/>
    <m/>
    <m/>
    <m/>
    <x v="2"/>
    <n v="2"/>
    <n v="5"/>
    <m/>
    <m/>
    <m/>
    <m/>
    <m/>
    <m/>
    <m/>
    <m/>
    <m/>
    <m/>
    <m/>
    <m/>
    <m/>
    <m/>
  </r>
  <r>
    <n v="4930"/>
    <n v="55431"/>
    <d v="1997-09-17T00:00:00"/>
    <n v="28"/>
    <x v="1"/>
    <x v="1"/>
    <d v="2024-08-27T00:00:00"/>
    <n v="1.4328767123287671"/>
    <x v="22"/>
    <x v="0"/>
    <x v="8"/>
    <x v="1"/>
    <n v="8.4700000000000006"/>
    <m/>
    <m/>
    <m/>
    <m/>
    <m/>
    <m/>
    <x v="4"/>
    <n v="2"/>
    <n v="6"/>
    <m/>
    <m/>
    <m/>
    <m/>
    <m/>
    <m/>
    <m/>
    <m/>
    <m/>
    <m/>
    <m/>
    <m/>
    <m/>
    <m/>
  </r>
  <r>
    <n v="4931"/>
    <n v="55432"/>
    <d v="2002-03-05T00:00:00"/>
    <n v="23"/>
    <x v="1"/>
    <x v="1"/>
    <d v="2024-07-26T00:00:00"/>
    <n v="1.1945205479452055"/>
    <x v="22"/>
    <x v="0"/>
    <x v="8"/>
    <x v="1"/>
    <n v="8.4700000000000006"/>
    <m/>
    <m/>
    <m/>
    <m/>
    <m/>
    <m/>
    <x v="4"/>
    <n v="0"/>
    <n v="4"/>
    <m/>
    <m/>
    <m/>
    <m/>
    <m/>
    <m/>
    <m/>
    <m/>
    <m/>
    <m/>
    <m/>
    <m/>
    <m/>
    <m/>
  </r>
  <r>
    <n v="4932"/>
    <n v="55434"/>
    <d v="1995-01-27T00:00:00"/>
    <n v="30"/>
    <x v="1"/>
    <x v="1"/>
    <d v="2024-10-21T00:00:00"/>
    <n v="1.0438356164383562"/>
    <x v="22"/>
    <x v="0"/>
    <x v="8"/>
    <x v="1"/>
    <n v="8.4700000000000006"/>
    <m/>
    <m/>
    <m/>
    <m/>
    <m/>
    <m/>
    <x v="1"/>
    <n v="3"/>
    <n v="5"/>
    <m/>
    <m/>
    <m/>
    <m/>
    <m/>
    <m/>
    <m/>
    <m/>
    <m/>
    <m/>
    <m/>
    <m/>
    <m/>
    <m/>
  </r>
  <r>
    <n v="4933"/>
    <n v="55435"/>
    <d v="2007-01-22T00:00:00"/>
    <n v="18"/>
    <x v="1"/>
    <x v="0"/>
    <d v="2024-12-15T00:00:00"/>
    <n v="1.4328767123287671"/>
    <x v="22"/>
    <x v="0"/>
    <x v="8"/>
    <x v="1"/>
    <n v="8.4700000000000006"/>
    <m/>
    <m/>
    <m/>
    <m/>
    <m/>
    <m/>
    <x v="2"/>
    <n v="4"/>
    <n v="5"/>
    <m/>
    <m/>
    <m/>
    <m/>
    <m/>
    <m/>
    <m/>
    <m/>
    <m/>
    <m/>
    <m/>
    <m/>
    <m/>
    <m/>
  </r>
  <r>
    <n v="4934"/>
    <n v="55436"/>
    <d v="2005-08-21T00:00:00"/>
    <n v="20"/>
    <x v="1"/>
    <x v="1"/>
    <d v="2024-07-26T00:00:00"/>
    <n v="1.6958904109589041"/>
    <x v="22"/>
    <x v="0"/>
    <x v="8"/>
    <x v="1"/>
    <n v="8.4700000000000006"/>
    <m/>
    <m/>
    <m/>
    <m/>
    <m/>
    <m/>
    <x v="1"/>
    <n v="2"/>
    <n v="7"/>
    <m/>
    <m/>
    <m/>
    <m/>
    <m/>
    <m/>
    <m/>
    <m/>
    <m/>
    <m/>
    <m/>
    <m/>
    <m/>
    <m/>
  </r>
  <r>
    <n v="4935"/>
    <n v="55437"/>
    <d v="2005-09-08T00:00:00"/>
    <n v="20"/>
    <x v="1"/>
    <x v="0"/>
    <d v="2024-04-21T00:00:00"/>
    <n v="1.6054794520547946"/>
    <x v="22"/>
    <x v="0"/>
    <x v="8"/>
    <x v="1"/>
    <n v="8.4700000000000006"/>
    <m/>
    <m/>
    <m/>
    <m/>
    <m/>
    <m/>
    <x v="1"/>
    <n v="2"/>
    <n v="6"/>
    <m/>
    <m/>
    <m/>
    <m/>
    <m/>
    <m/>
    <m/>
    <m/>
    <m/>
    <m/>
    <m/>
    <m/>
    <m/>
    <m/>
  </r>
  <r>
    <n v="4936"/>
    <n v="55438"/>
    <d v="2003-09-10T00:00:00"/>
    <n v="22"/>
    <x v="1"/>
    <x v="0"/>
    <d v="2024-05-24T00:00:00"/>
    <n v="1.2383561643835617"/>
    <x v="22"/>
    <x v="0"/>
    <x v="8"/>
    <x v="1"/>
    <n v="8.4700000000000006"/>
    <m/>
    <m/>
    <m/>
    <m/>
    <m/>
    <m/>
    <x v="1"/>
    <n v="1"/>
    <n v="6"/>
    <m/>
    <m/>
    <m/>
    <m/>
    <m/>
    <m/>
    <m/>
    <m/>
    <m/>
    <m/>
    <m/>
    <m/>
    <m/>
    <m/>
  </r>
  <r>
    <n v="4937"/>
    <n v="55439"/>
    <d v="2004-09-19T00:00:00"/>
    <n v="21"/>
    <x v="1"/>
    <x v="1"/>
    <d v="2024-10-05T00:00:00"/>
    <n v="1.5972602739726027"/>
    <x v="22"/>
    <x v="0"/>
    <x v="8"/>
    <x v="1"/>
    <n v="8.4700000000000006"/>
    <m/>
    <m/>
    <m/>
    <m/>
    <m/>
    <m/>
    <x v="1"/>
    <n v="2"/>
    <n v="7"/>
    <m/>
    <m/>
    <m/>
    <m/>
    <m/>
    <m/>
    <m/>
    <m/>
    <m/>
    <m/>
    <m/>
    <m/>
    <m/>
    <m/>
  </r>
  <r>
    <n v="4938"/>
    <n v="55440"/>
    <d v="2006-04-16T00:00:00"/>
    <n v="19"/>
    <x v="1"/>
    <x v="1"/>
    <d v="2024-05-27T00:00:00"/>
    <n v="1.4547945205479451"/>
    <x v="22"/>
    <x v="0"/>
    <x v="8"/>
    <x v="1"/>
    <n v="8.4700000000000006"/>
    <m/>
    <m/>
    <m/>
    <m/>
    <m/>
    <m/>
    <x v="2"/>
    <n v="4"/>
    <n v="7"/>
    <m/>
    <m/>
    <m/>
    <m/>
    <m/>
    <m/>
    <m/>
    <m/>
    <m/>
    <m/>
    <m/>
    <m/>
    <m/>
    <m/>
  </r>
  <r>
    <n v="4939"/>
    <n v="55441"/>
    <d v="2001-08-08T00:00:00"/>
    <n v="24"/>
    <x v="1"/>
    <x v="1"/>
    <d v="2024-07-18T00:00:00"/>
    <n v="1.6684931506849314"/>
    <x v="22"/>
    <x v="0"/>
    <x v="8"/>
    <x v="1"/>
    <n v="8.4700000000000006"/>
    <m/>
    <m/>
    <m/>
    <m/>
    <m/>
    <m/>
    <x v="4"/>
    <n v="4"/>
    <n v="7"/>
    <m/>
    <m/>
    <m/>
    <m/>
    <m/>
    <m/>
    <m/>
    <m/>
    <m/>
    <m/>
    <m/>
    <m/>
    <m/>
    <m/>
  </r>
  <r>
    <n v="4940"/>
    <n v="55442"/>
    <d v="2002-03-23T00:00:00"/>
    <n v="23"/>
    <x v="1"/>
    <x v="1"/>
    <d v="2024-05-01T00:00:00"/>
    <n v="1.6328767123287671"/>
    <x v="22"/>
    <x v="0"/>
    <x v="8"/>
    <x v="1"/>
    <n v="8.4700000000000006"/>
    <m/>
    <m/>
    <m/>
    <m/>
    <m/>
    <m/>
    <x v="4"/>
    <n v="0"/>
    <n v="7"/>
    <m/>
    <m/>
    <m/>
    <m/>
    <m/>
    <m/>
    <m/>
    <m/>
    <m/>
    <m/>
    <m/>
    <m/>
    <m/>
    <m/>
  </r>
  <r>
    <n v="4941"/>
    <n v="55443"/>
    <d v="2006-03-27T00:00:00"/>
    <n v="19"/>
    <x v="1"/>
    <x v="1"/>
    <d v="2024-05-14T00:00:00"/>
    <n v="1.4136986301369863"/>
    <x v="22"/>
    <x v="0"/>
    <x v="8"/>
    <x v="1"/>
    <n v="8.4700000000000006"/>
    <m/>
    <m/>
    <m/>
    <m/>
    <m/>
    <m/>
    <x v="1"/>
    <n v="2"/>
    <n v="6"/>
    <m/>
    <m/>
    <m/>
    <m/>
    <m/>
    <m/>
    <m/>
    <m/>
    <m/>
    <m/>
    <m/>
    <m/>
    <m/>
    <m/>
  </r>
  <r>
    <n v="4942"/>
    <n v="55444"/>
    <d v="1998-05-28T00:00:00"/>
    <n v="27"/>
    <x v="0"/>
    <x v="1"/>
    <d v="2024-08-02T00:00:00"/>
    <n v="1.1863013698630136"/>
    <x v="23"/>
    <x v="0"/>
    <x v="11"/>
    <x v="1"/>
    <n v="17"/>
    <m/>
    <m/>
    <m/>
    <m/>
    <m/>
    <m/>
    <x v="3"/>
    <n v="3"/>
    <n v="3"/>
    <m/>
    <m/>
    <m/>
    <m/>
    <m/>
    <m/>
    <m/>
    <m/>
    <m/>
    <m/>
    <m/>
    <m/>
    <m/>
    <m/>
  </r>
  <r>
    <n v="4943"/>
    <n v="55445"/>
    <d v="1997-07-07T00:00:00"/>
    <n v="28"/>
    <x v="1"/>
    <x v="1"/>
    <d v="2024-10-24T00:00:00"/>
    <n v="1.4219178082191781"/>
    <x v="23"/>
    <x v="0"/>
    <x v="11"/>
    <x v="1"/>
    <n v="17"/>
    <m/>
    <m/>
    <m/>
    <m/>
    <m/>
    <m/>
    <x v="4"/>
    <n v="0"/>
    <n v="4"/>
    <m/>
    <m/>
    <m/>
    <m/>
    <m/>
    <m/>
    <m/>
    <m/>
    <m/>
    <m/>
    <m/>
    <m/>
    <m/>
    <m/>
  </r>
  <r>
    <n v="4944"/>
    <n v="55446"/>
    <d v="2003-11-21T00:00:00"/>
    <n v="22"/>
    <x v="0"/>
    <x v="0"/>
    <d v="2024-07-30T00:00:00"/>
    <n v="1.0493150684931507"/>
    <x v="23"/>
    <x v="0"/>
    <x v="11"/>
    <x v="1"/>
    <n v="17"/>
    <m/>
    <m/>
    <m/>
    <m/>
    <m/>
    <m/>
    <x v="4"/>
    <n v="1"/>
    <n v="5"/>
    <m/>
    <m/>
    <m/>
    <m/>
    <m/>
    <m/>
    <m/>
    <m/>
    <m/>
    <m/>
    <m/>
    <m/>
    <m/>
    <m/>
  </r>
  <r>
    <n v="4945"/>
    <n v="55447"/>
    <d v="2003-06-21T00:00:00"/>
    <n v="22"/>
    <x v="0"/>
    <x v="1"/>
    <d v="2024-12-13T00:00:00"/>
    <n v="1.3945205479452054"/>
    <x v="23"/>
    <x v="0"/>
    <x v="10"/>
    <x v="1"/>
    <n v="10.64"/>
    <m/>
    <m/>
    <m/>
    <m/>
    <m/>
    <m/>
    <x v="3"/>
    <n v="1"/>
    <n v="3"/>
    <m/>
    <m/>
    <m/>
    <m/>
    <m/>
    <m/>
    <m/>
    <m/>
    <m/>
    <m/>
    <m/>
    <m/>
    <m/>
    <m/>
  </r>
  <r>
    <n v="4946"/>
    <n v="55448"/>
    <d v="2003-04-19T00:00:00"/>
    <n v="22"/>
    <x v="0"/>
    <x v="0"/>
    <d v="2024-08-09T00:00:00"/>
    <n v="1.5315068493150685"/>
    <x v="23"/>
    <x v="0"/>
    <x v="2"/>
    <x v="1"/>
    <n v="14.23"/>
    <m/>
    <m/>
    <m/>
    <m/>
    <m/>
    <m/>
    <x v="4"/>
    <n v="1"/>
    <n v="3"/>
    <m/>
    <m/>
    <m/>
    <m/>
    <m/>
    <m/>
    <m/>
    <m/>
    <m/>
    <m/>
    <m/>
    <m/>
    <m/>
    <m/>
  </r>
  <r>
    <n v="4947"/>
    <n v="55449"/>
    <d v="2000-09-20T00:00:00"/>
    <n v="25"/>
    <x v="0"/>
    <x v="1"/>
    <d v="2024-06-20T00:00:00"/>
    <n v="1.2301369863013698"/>
    <x v="23"/>
    <x v="0"/>
    <x v="9"/>
    <x v="1"/>
    <n v="14.07"/>
    <m/>
    <m/>
    <m/>
    <m/>
    <m/>
    <m/>
    <x v="3"/>
    <n v="0"/>
    <n v="3"/>
    <m/>
    <m/>
    <m/>
    <m/>
    <m/>
    <m/>
    <m/>
    <m/>
    <m/>
    <m/>
    <m/>
    <m/>
    <m/>
    <m/>
  </r>
  <r>
    <n v="4948"/>
    <n v="55450"/>
    <d v="1999-11-12T00:00:00"/>
    <n v="26"/>
    <x v="1"/>
    <x v="1"/>
    <d v="2024-10-08T00:00:00"/>
    <n v="1.0136986301369864"/>
    <x v="23"/>
    <x v="0"/>
    <x v="3"/>
    <x v="1"/>
    <n v="8.4700000000000006"/>
    <m/>
    <m/>
    <m/>
    <m/>
    <m/>
    <m/>
    <x v="3"/>
    <n v="2"/>
    <n v="6"/>
    <m/>
    <m/>
    <m/>
    <m/>
    <m/>
    <m/>
    <m/>
    <m/>
    <m/>
    <m/>
    <m/>
    <m/>
    <m/>
    <m/>
  </r>
  <r>
    <n v="4949"/>
    <n v="55451"/>
    <d v="2003-06-04T00:00:00"/>
    <n v="22"/>
    <x v="1"/>
    <x v="1"/>
    <d v="2024-12-26T00:00:00"/>
    <n v="1.8493150684931507"/>
    <x v="23"/>
    <x v="0"/>
    <x v="8"/>
    <x v="1"/>
    <n v="8.4700000000000006"/>
    <m/>
    <m/>
    <m/>
    <m/>
    <m/>
    <m/>
    <x v="2"/>
    <n v="1"/>
    <n v="6"/>
    <m/>
    <m/>
    <m/>
    <m/>
    <m/>
    <m/>
    <m/>
    <m/>
    <m/>
    <m/>
    <m/>
    <m/>
    <m/>
    <m/>
  </r>
  <r>
    <n v="4950"/>
    <n v="55452"/>
    <d v="2002-04-23T00:00:00"/>
    <n v="23"/>
    <x v="1"/>
    <x v="1"/>
    <d v="2024-02-25T00:00:00"/>
    <n v="1.0767123287671232"/>
    <x v="23"/>
    <x v="0"/>
    <x v="8"/>
    <x v="1"/>
    <n v="8.4700000000000006"/>
    <m/>
    <m/>
    <m/>
    <m/>
    <m/>
    <m/>
    <x v="3"/>
    <n v="2"/>
    <n v="6"/>
    <m/>
    <m/>
    <m/>
    <m/>
    <m/>
    <m/>
    <m/>
    <m/>
    <m/>
    <m/>
    <m/>
    <m/>
    <m/>
    <m/>
  </r>
  <r>
    <n v="4951"/>
    <n v="55453"/>
    <d v="2005-12-10T00:00:00"/>
    <n v="20"/>
    <x v="1"/>
    <x v="1"/>
    <d v="2024-12-03T00:00:00"/>
    <n v="1.0712328767123287"/>
    <x v="23"/>
    <x v="0"/>
    <x v="8"/>
    <x v="1"/>
    <n v="8.4700000000000006"/>
    <m/>
    <m/>
    <m/>
    <m/>
    <m/>
    <m/>
    <x v="2"/>
    <n v="3"/>
    <n v="6"/>
    <m/>
    <m/>
    <m/>
    <m/>
    <m/>
    <m/>
    <m/>
    <m/>
    <m/>
    <m/>
    <m/>
    <m/>
    <m/>
    <m/>
  </r>
  <r>
    <n v="4952"/>
    <n v="55454"/>
    <d v="2002-06-04T00:00:00"/>
    <n v="23"/>
    <x v="0"/>
    <x v="1"/>
    <d v="2024-12-05T00:00:00"/>
    <n v="1.6958904109589041"/>
    <x v="23"/>
    <x v="0"/>
    <x v="8"/>
    <x v="1"/>
    <n v="8.4700000000000006"/>
    <m/>
    <m/>
    <m/>
    <m/>
    <m/>
    <m/>
    <x v="3"/>
    <n v="1"/>
    <n v="3"/>
    <m/>
    <m/>
    <m/>
    <m/>
    <m/>
    <m/>
    <m/>
    <m/>
    <m/>
    <m/>
    <m/>
    <m/>
    <m/>
    <m/>
  </r>
  <r>
    <n v="4953"/>
    <n v="55455"/>
    <d v="2003-05-06T00:00:00"/>
    <n v="22"/>
    <x v="1"/>
    <x v="0"/>
    <d v="2024-04-21T00:00:00"/>
    <n v="1.4876712328767123"/>
    <x v="23"/>
    <x v="0"/>
    <x v="8"/>
    <x v="1"/>
    <n v="8.4700000000000006"/>
    <m/>
    <m/>
    <m/>
    <m/>
    <m/>
    <m/>
    <x v="3"/>
    <n v="2"/>
    <n v="7"/>
    <m/>
    <m/>
    <m/>
    <m/>
    <m/>
    <m/>
    <m/>
    <m/>
    <m/>
    <m/>
    <m/>
    <m/>
    <m/>
    <m/>
  </r>
  <r>
    <n v="4954"/>
    <n v="55456"/>
    <d v="2001-10-20T00:00:00"/>
    <n v="24"/>
    <x v="1"/>
    <x v="1"/>
    <d v="2024-07-06T00:00:00"/>
    <n v="1.7178082191780821"/>
    <x v="23"/>
    <x v="0"/>
    <x v="8"/>
    <x v="1"/>
    <n v="8.4700000000000006"/>
    <m/>
    <m/>
    <m/>
    <m/>
    <m/>
    <m/>
    <x v="1"/>
    <n v="2"/>
    <n v="7"/>
    <m/>
    <m/>
    <m/>
    <m/>
    <m/>
    <m/>
    <m/>
    <m/>
    <m/>
    <m/>
    <m/>
    <m/>
    <m/>
    <m/>
  </r>
  <r>
    <n v="4955"/>
    <n v="55457"/>
    <d v="2005-03-15T00:00:00"/>
    <n v="20"/>
    <x v="1"/>
    <x v="1"/>
    <d v="2024-04-13T00:00:00"/>
    <n v="1.1041095890410959"/>
    <x v="23"/>
    <x v="0"/>
    <x v="8"/>
    <x v="1"/>
    <n v="8.4700000000000006"/>
    <m/>
    <m/>
    <m/>
    <m/>
    <m/>
    <m/>
    <x v="4"/>
    <n v="4"/>
    <n v="6"/>
    <m/>
    <m/>
    <m/>
    <m/>
    <m/>
    <m/>
    <m/>
    <m/>
    <m/>
    <m/>
    <m/>
    <m/>
    <m/>
    <m/>
  </r>
  <r>
    <n v="4956"/>
    <n v="55458"/>
    <d v="2000-02-09T00:00:00"/>
    <n v="25"/>
    <x v="1"/>
    <x v="1"/>
    <d v="2024-11-23T00:00:00"/>
    <n v="1.7123287671232876"/>
    <x v="23"/>
    <x v="0"/>
    <x v="8"/>
    <x v="1"/>
    <n v="8.4700000000000006"/>
    <m/>
    <m/>
    <m/>
    <m/>
    <m/>
    <m/>
    <x v="4"/>
    <n v="2"/>
    <n v="6"/>
    <m/>
    <m/>
    <m/>
    <m/>
    <m/>
    <m/>
    <m/>
    <m/>
    <m/>
    <m/>
    <m/>
    <m/>
    <m/>
    <m/>
  </r>
  <r>
    <n v="4957"/>
    <n v="55459"/>
    <d v="2007-03-31T00:00:00"/>
    <n v="18"/>
    <x v="1"/>
    <x v="1"/>
    <d v="2024-04-15T00:00:00"/>
    <n v="1.5917808219178082"/>
    <x v="23"/>
    <x v="0"/>
    <x v="8"/>
    <x v="1"/>
    <n v="8.4700000000000006"/>
    <m/>
    <m/>
    <m/>
    <m/>
    <m/>
    <m/>
    <x v="3"/>
    <n v="0"/>
    <n v="4"/>
    <m/>
    <m/>
    <m/>
    <m/>
    <m/>
    <m/>
    <m/>
    <m/>
    <m/>
    <m/>
    <m/>
    <m/>
    <m/>
    <m/>
  </r>
  <r>
    <n v="4958"/>
    <n v="55460"/>
    <d v="2006-07-17T00:00:00"/>
    <n v="19"/>
    <x v="1"/>
    <x v="0"/>
    <d v="2024-05-29T00:00:00"/>
    <n v="1.1287671232876713"/>
    <x v="23"/>
    <x v="0"/>
    <x v="8"/>
    <x v="1"/>
    <n v="8.4700000000000006"/>
    <m/>
    <m/>
    <m/>
    <m/>
    <m/>
    <m/>
    <x v="4"/>
    <n v="2"/>
    <n v="6"/>
    <m/>
    <m/>
    <m/>
    <m/>
    <m/>
    <m/>
    <m/>
    <m/>
    <m/>
    <m/>
    <m/>
    <m/>
    <m/>
    <m/>
  </r>
  <r>
    <n v="4959"/>
    <n v="55462"/>
    <d v="2006-03-01T00:00:00"/>
    <n v="20"/>
    <x v="0"/>
    <x v="0"/>
    <d v="2024-11-14T00:00:00"/>
    <n v="1.0630136986301371"/>
    <x v="23"/>
    <x v="0"/>
    <x v="8"/>
    <x v="1"/>
    <n v="8.4700000000000006"/>
    <m/>
    <m/>
    <m/>
    <m/>
    <m/>
    <m/>
    <x v="2"/>
    <n v="3"/>
    <n v="4"/>
    <m/>
    <m/>
    <m/>
    <m/>
    <m/>
    <m/>
    <m/>
    <m/>
    <m/>
    <m/>
    <m/>
    <m/>
    <m/>
    <m/>
  </r>
  <r>
    <n v="4960"/>
    <n v="55463"/>
    <d v="2006-01-02T00:00:00"/>
    <n v="19"/>
    <x v="1"/>
    <x v="1"/>
    <d v="2024-12-08T00:00:00"/>
    <n v="1.3917808219178083"/>
    <x v="23"/>
    <x v="0"/>
    <x v="8"/>
    <x v="1"/>
    <n v="8.4700000000000006"/>
    <m/>
    <m/>
    <m/>
    <m/>
    <m/>
    <m/>
    <x v="4"/>
    <n v="2"/>
    <n v="6"/>
    <m/>
    <m/>
    <m/>
    <m/>
    <m/>
    <m/>
    <m/>
    <m/>
    <m/>
    <m/>
    <m/>
    <m/>
    <m/>
    <m/>
  </r>
  <r>
    <n v="4961"/>
    <n v="55464"/>
    <d v="2004-02-13T00:00:00"/>
    <n v="21"/>
    <x v="0"/>
    <x v="1"/>
    <d v="2024-08-10T00:00:00"/>
    <n v="1.6904109589041096"/>
    <x v="23"/>
    <x v="0"/>
    <x v="8"/>
    <x v="1"/>
    <n v="8.4700000000000006"/>
    <m/>
    <m/>
    <m/>
    <m/>
    <m/>
    <m/>
    <x v="1"/>
    <n v="1"/>
    <n v="4"/>
    <m/>
    <m/>
    <m/>
    <m/>
    <m/>
    <m/>
    <m/>
    <m/>
    <m/>
    <m/>
    <m/>
    <m/>
    <m/>
    <m/>
  </r>
  <r>
    <n v="4962"/>
    <n v="55465"/>
    <d v="2005-05-13T00:00:00"/>
    <n v="20"/>
    <x v="1"/>
    <x v="1"/>
    <d v="2024-04-23T00:00:00"/>
    <n v="1.1095890410958904"/>
    <x v="23"/>
    <x v="0"/>
    <x v="8"/>
    <x v="1"/>
    <n v="8.4700000000000006"/>
    <m/>
    <m/>
    <m/>
    <m/>
    <m/>
    <m/>
    <x v="2"/>
    <n v="0"/>
    <n v="5"/>
    <m/>
    <m/>
    <m/>
    <m/>
    <m/>
    <m/>
    <m/>
    <m/>
    <m/>
    <m/>
    <m/>
    <m/>
    <m/>
    <m/>
  </r>
  <r>
    <n v="4963"/>
    <n v="55466"/>
    <d v="2000-06-22T00:00:00"/>
    <n v="25"/>
    <x v="1"/>
    <x v="1"/>
    <d v="2024-11-21T00:00:00"/>
    <n v="1.4273972602739726"/>
    <x v="137"/>
    <x v="0"/>
    <x v="11"/>
    <x v="1"/>
    <n v="17"/>
    <m/>
    <m/>
    <m/>
    <m/>
    <m/>
    <m/>
    <x v="1"/>
    <n v="2"/>
    <n v="7"/>
    <m/>
    <m/>
    <m/>
    <m/>
    <m/>
    <m/>
    <m/>
    <m/>
    <m/>
    <m/>
    <m/>
    <m/>
    <m/>
    <m/>
  </r>
  <r>
    <n v="4964"/>
    <n v="55467"/>
    <d v="1999-12-27T00:00:00"/>
    <n v="26"/>
    <x v="1"/>
    <x v="0"/>
    <d v="2024-07-28T00:00:00"/>
    <n v="1.5753424657534247"/>
    <x v="137"/>
    <x v="0"/>
    <x v="11"/>
    <x v="1"/>
    <n v="17"/>
    <m/>
    <m/>
    <m/>
    <m/>
    <m/>
    <m/>
    <x v="1"/>
    <n v="2"/>
    <n v="5"/>
    <m/>
    <m/>
    <m/>
    <m/>
    <m/>
    <m/>
    <m/>
    <m/>
    <m/>
    <m/>
    <m/>
    <m/>
    <m/>
    <m/>
  </r>
  <r>
    <n v="4965"/>
    <n v="55468"/>
    <d v="1996-03-06T00:00:00"/>
    <n v="29"/>
    <x v="1"/>
    <x v="1"/>
    <d v="2024-06-04T00:00:00"/>
    <n v="1.515068493150685"/>
    <x v="137"/>
    <x v="0"/>
    <x v="11"/>
    <x v="1"/>
    <n v="17"/>
    <m/>
    <m/>
    <m/>
    <m/>
    <m/>
    <m/>
    <x v="2"/>
    <n v="2"/>
    <n v="7"/>
    <m/>
    <m/>
    <m/>
    <m/>
    <m/>
    <m/>
    <m/>
    <m/>
    <m/>
    <m/>
    <m/>
    <m/>
    <m/>
    <m/>
  </r>
  <r>
    <n v="4966"/>
    <n v="55469"/>
    <d v="2004-01-23T00:00:00"/>
    <n v="21"/>
    <x v="0"/>
    <x v="1"/>
    <d v="2024-06-26T00:00:00"/>
    <n v="1.273972602739726"/>
    <x v="137"/>
    <x v="0"/>
    <x v="10"/>
    <x v="1"/>
    <n v="10.64"/>
    <m/>
    <m/>
    <m/>
    <m/>
    <m/>
    <m/>
    <x v="1"/>
    <n v="1"/>
    <n v="4"/>
    <m/>
    <m/>
    <m/>
    <m/>
    <m/>
    <m/>
    <m/>
    <m/>
    <m/>
    <m/>
    <m/>
    <m/>
    <m/>
    <m/>
  </r>
  <r>
    <n v="4967"/>
    <n v="55470"/>
    <d v="2002-02-08T00:00:00"/>
    <n v="23"/>
    <x v="0"/>
    <x v="1"/>
    <d v="2024-09-22T00:00:00"/>
    <n v="1.4054794520547946"/>
    <x v="137"/>
    <x v="0"/>
    <x v="10"/>
    <x v="1"/>
    <n v="10.64"/>
    <m/>
    <m/>
    <m/>
    <m/>
    <m/>
    <m/>
    <x v="4"/>
    <n v="1"/>
    <n v="4"/>
    <m/>
    <m/>
    <m/>
    <m/>
    <m/>
    <m/>
    <m/>
    <m/>
    <m/>
    <m/>
    <m/>
    <m/>
    <m/>
    <m/>
  </r>
  <r>
    <n v="4968"/>
    <n v="55471"/>
    <d v="1999-07-15T00:00:00"/>
    <n v="26"/>
    <x v="0"/>
    <x v="0"/>
    <d v="2024-08-05T00:00:00"/>
    <n v="1.736986301369863"/>
    <x v="137"/>
    <x v="0"/>
    <x v="1"/>
    <x v="1"/>
    <n v="16.37"/>
    <m/>
    <m/>
    <m/>
    <m/>
    <m/>
    <m/>
    <x v="3"/>
    <n v="0"/>
    <n v="4"/>
    <m/>
    <m/>
    <m/>
    <m/>
    <m/>
    <m/>
    <m/>
    <m/>
    <m/>
    <m/>
    <m/>
    <m/>
    <m/>
    <m/>
  </r>
  <r>
    <n v="4969"/>
    <n v="55472"/>
    <d v="2005-08-05T00:00:00"/>
    <n v="20"/>
    <x v="0"/>
    <x v="1"/>
    <d v="2024-04-06T00:00:00"/>
    <n v="1.5808219178082192"/>
    <x v="137"/>
    <x v="0"/>
    <x v="2"/>
    <x v="1"/>
    <n v="14.23"/>
    <m/>
    <m/>
    <m/>
    <m/>
    <m/>
    <m/>
    <x v="2"/>
    <n v="0"/>
    <n v="5"/>
    <m/>
    <m/>
    <m/>
    <m/>
    <m/>
    <m/>
    <m/>
    <m/>
    <m/>
    <m/>
    <m/>
    <m/>
    <m/>
    <m/>
  </r>
  <r>
    <n v="4970"/>
    <n v="55473"/>
    <d v="1995-09-28T00:00:00"/>
    <n v="30"/>
    <x v="1"/>
    <x v="1"/>
    <d v="2024-06-02T00:00:00"/>
    <n v="1.2383561643835617"/>
    <x v="137"/>
    <x v="0"/>
    <x v="9"/>
    <x v="1"/>
    <n v="14.07"/>
    <m/>
    <m/>
    <m/>
    <m/>
    <m/>
    <m/>
    <x v="4"/>
    <n v="0"/>
    <n v="6"/>
    <m/>
    <m/>
    <m/>
    <m/>
    <m/>
    <m/>
    <m/>
    <m/>
    <m/>
    <m/>
    <m/>
    <m/>
    <m/>
    <m/>
  </r>
  <r>
    <n v="4971"/>
    <n v="55474"/>
    <d v="2001-08-11T00:00:00"/>
    <n v="24"/>
    <x v="1"/>
    <x v="1"/>
    <d v="2024-10-05T00:00:00"/>
    <n v="1.0301369863013699"/>
    <x v="137"/>
    <x v="0"/>
    <x v="9"/>
    <x v="1"/>
    <n v="14.07"/>
    <m/>
    <m/>
    <m/>
    <m/>
    <m/>
    <m/>
    <x v="4"/>
    <n v="0"/>
    <n v="5"/>
    <m/>
    <m/>
    <m/>
    <m/>
    <m/>
    <m/>
    <m/>
    <m/>
    <m/>
    <m/>
    <m/>
    <m/>
    <m/>
    <m/>
  </r>
  <r>
    <n v="4972"/>
    <n v="55475"/>
    <d v="2002-11-11T00:00:00"/>
    <n v="23"/>
    <x v="1"/>
    <x v="1"/>
    <d v="2024-12-20T00:00:00"/>
    <n v="1.0684931506849316"/>
    <x v="137"/>
    <x v="0"/>
    <x v="3"/>
    <x v="1"/>
    <n v="8.4700000000000006"/>
    <m/>
    <m/>
    <m/>
    <m/>
    <m/>
    <m/>
    <x v="3"/>
    <n v="3"/>
    <n v="6"/>
    <m/>
    <m/>
    <m/>
    <m/>
    <m/>
    <m/>
    <m/>
    <m/>
    <m/>
    <m/>
    <m/>
    <m/>
    <m/>
    <m/>
  </r>
  <r>
    <n v="4973"/>
    <n v="55476"/>
    <d v="1995-08-17T00:00:00"/>
    <n v="30"/>
    <x v="0"/>
    <x v="0"/>
    <d v="2024-12-06T00:00:00"/>
    <n v="1.3698630136986301"/>
    <x v="137"/>
    <x v="0"/>
    <x v="7"/>
    <x v="1"/>
    <n v="17.59"/>
    <m/>
    <m/>
    <m/>
    <m/>
    <m/>
    <m/>
    <x v="3"/>
    <n v="1"/>
    <n v="4"/>
    <m/>
    <m/>
    <m/>
    <m/>
    <m/>
    <m/>
    <m/>
    <m/>
    <m/>
    <m/>
    <m/>
    <m/>
    <m/>
    <m/>
  </r>
  <r>
    <n v="4974"/>
    <n v="55477"/>
    <d v="1997-07-30T00:00:00"/>
    <n v="28"/>
    <x v="0"/>
    <x v="1"/>
    <d v="2024-08-18T00:00:00"/>
    <n v="1.7178082191780821"/>
    <x v="137"/>
    <x v="0"/>
    <x v="7"/>
    <x v="1"/>
    <n v="17.59"/>
    <m/>
    <m/>
    <m/>
    <m/>
    <m/>
    <m/>
    <x v="3"/>
    <n v="4"/>
    <n v="4"/>
    <m/>
    <m/>
    <m/>
    <m/>
    <m/>
    <m/>
    <m/>
    <m/>
    <m/>
    <m/>
    <m/>
    <m/>
    <m/>
    <m/>
  </r>
  <r>
    <n v="4975"/>
    <n v="55478"/>
    <d v="1996-08-03T00:00:00"/>
    <n v="29"/>
    <x v="0"/>
    <x v="1"/>
    <d v="2024-04-13T00:00:00"/>
    <n v="1.4109589041095891"/>
    <x v="137"/>
    <x v="0"/>
    <x v="7"/>
    <x v="1"/>
    <n v="17.59"/>
    <m/>
    <m/>
    <m/>
    <m/>
    <m/>
    <m/>
    <x v="2"/>
    <n v="2"/>
    <n v="5"/>
    <m/>
    <m/>
    <m/>
    <m/>
    <m/>
    <m/>
    <m/>
    <m/>
    <m/>
    <m/>
    <m/>
    <m/>
    <m/>
    <m/>
  </r>
  <r>
    <n v="4976"/>
    <n v="55479"/>
    <d v="2001-05-09T00:00:00"/>
    <n v="24"/>
    <x v="1"/>
    <x v="1"/>
    <d v="2024-08-03T00:00:00"/>
    <n v="1.8164383561643835"/>
    <x v="137"/>
    <x v="0"/>
    <x v="8"/>
    <x v="1"/>
    <n v="8.4700000000000006"/>
    <m/>
    <m/>
    <m/>
    <m/>
    <m/>
    <m/>
    <x v="1"/>
    <n v="1"/>
    <n v="7"/>
    <m/>
    <m/>
    <m/>
    <m/>
    <m/>
    <m/>
    <m/>
    <m/>
    <m/>
    <m/>
    <m/>
    <m/>
    <m/>
    <m/>
  </r>
  <r>
    <n v="4977"/>
    <n v="55480"/>
    <d v="2007-11-11T00:00:00"/>
    <n v="18"/>
    <x v="0"/>
    <x v="1"/>
    <d v="2024-03-08T00:00:00"/>
    <n v="1.3150684931506849"/>
    <x v="137"/>
    <x v="0"/>
    <x v="8"/>
    <x v="1"/>
    <n v="8.4700000000000006"/>
    <m/>
    <m/>
    <m/>
    <m/>
    <m/>
    <m/>
    <x v="4"/>
    <n v="0"/>
    <n v="5"/>
    <m/>
    <m/>
    <m/>
    <m/>
    <m/>
    <m/>
    <m/>
    <m/>
    <m/>
    <m/>
    <m/>
    <m/>
    <m/>
    <m/>
  </r>
  <r>
    <n v="4978"/>
    <n v="55481"/>
    <d v="1999-06-17T00:00:00"/>
    <n v="26"/>
    <x v="1"/>
    <x v="1"/>
    <d v="2024-09-07T00:00:00"/>
    <n v="1.6849315068493151"/>
    <x v="137"/>
    <x v="0"/>
    <x v="8"/>
    <x v="1"/>
    <n v="8.4700000000000006"/>
    <m/>
    <m/>
    <m/>
    <m/>
    <m/>
    <m/>
    <x v="2"/>
    <n v="2"/>
    <n v="7"/>
    <m/>
    <m/>
    <m/>
    <m/>
    <m/>
    <m/>
    <m/>
    <m/>
    <m/>
    <m/>
    <m/>
    <m/>
    <m/>
    <m/>
  </r>
  <r>
    <n v="4979"/>
    <n v="55482"/>
    <d v="2002-12-12T00:00:00"/>
    <n v="23"/>
    <x v="1"/>
    <x v="1"/>
    <d v="2024-04-25T00:00:00"/>
    <n v="1.3397260273972602"/>
    <x v="137"/>
    <x v="0"/>
    <x v="8"/>
    <x v="1"/>
    <n v="8.4700000000000006"/>
    <m/>
    <m/>
    <m/>
    <m/>
    <m/>
    <m/>
    <x v="4"/>
    <n v="0"/>
    <n v="7"/>
    <m/>
    <m/>
    <m/>
    <m/>
    <m/>
    <m/>
    <m/>
    <m/>
    <m/>
    <m/>
    <m/>
    <m/>
    <m/>
    <m/>
  </r>
  <r>
    <n v="4980"/>
    <n v="55483"/>
    <d v="2002-06-11T00:00:00"/>
    <n v="23"/>
    <x v="1"/>
    <x v="0"/>
    <d v="2024-08-29T00:00:00"/>
    <n v="1.263013698630137"/>
    <x v="137"/>
    <x v="0"/>
    <x v="8"/>
    <x v="1"/>
    <n v="8.4700000000000006"/>
    <m/>
    <m/>
    <m/>
    <m/>
    <m/>
    <m/>
    <x v="4"/>
    <n v="1"/>
    <n v="7"/>
    <m/>
    <m/>
    <m/>
    <m/>
    <m/>
    <m/>
    <m/>
    <m/>
    <m/>
    <m/>
    <m/>
    <m/>
    <m/>
    <m/>
  </r>
  <r>
    <n v="4981"/>
    <n v="55484"/>
    <d v="2006-01-11T00:00:00"/>
    <n v="19"/>
    <x v="1"/>
    <x v="1"/>
    <d v="2024-09-26T00:00:00"/>
    <n v="1.4767123287671233"/>
    <x v="137"/>
    <x v="0"/>
    <x v="8"/>
    <x v="1"/>
    <n v="8.4700000000000006"/>
    <m/>
    <m/>
    <m/>
    <m/>
    <m/>
    <m/>
    <x v="4"/>
    <n v="1"/>
    <n v="4"/>
    <m/>
    <m/>
    <m/>
    <m/>
    <m/>
    <m/>
    <m/>
    <m/>
    <m/>
    <m/>
    <m/>
    <m/>
    <m/>
    <m/>
  </r>
  <r>
    <n v="4982"/>
    <n v="55485"/>
    <d v="2003-07-11T00:00:00"/>
    <n v="22"/>
    <x v="1"/>
    <x v="1"/>
    <d v="2024-07-10T00:00:00"/>
    <n v="1.4493150684931506"/>
    <x v="137"/>
    <x v="0"/>
    <x v="8"/>
    <x v="1"/>
    <n v="8.4700000000000006"/>
    <m/>
    <m/>
    <m/>
    <m/>
    <m/>
    <m/>
    <x v="4"/>
    <n v="3"/>
    <n v="5"/>
    <m/>
    <m/>
    <m/>
    <m/>
    <m/>
    <m/>
    <m/>
    <m/>
    <m/>
    <m/>
    <m/>
    <m/>
    <m/>
    <m/>
  </r>
  <r>
    <n v="4983"/>
    <n v="55486"/>
    <d v="2004-02-07T00:00:00"/>
    <n v="21"/>
    <x v="1"/>
    <x v="1"/>
    <d v="2024-07-20T00:00:00"/>
    <n v="1.0273972602739727"/>
    <x v="137"/>
    <x v="0"/>
    <x v="8"/>
    <x v="1"/>
    <n v="8.4700000000000006"/>
    <m/>
    <m/>
    <m/>
    <m/>
    <m/>
    <m/>
    <x v="1"/>
    <n v="1"/>
    <n v="7"/>
    <m/>
    <m/>
    <m/>
    <m/>
    <m/>
    <m/>
    <m/>
    <m/>
    <m/>
    <m/>
    <m/>
    <m/>
    <m/>
    <m/>
  </r>
  <r>
    <n v="4984"/>
    <n v="55487"/>
    <d v="2006-06-15T00:00:00"/>
    <n v="19"/>
    <x v="1"/>
    <x v="1"/>
    <d v="2024-12-21T00:00:00"/>
    <n v="1.2410958904109588"/>
    <x v="137"/>
    <x v="0"/>
    <x v="8"/>
    <x v="1"/>
    <n v="8.4700000000000006"/>
    <m/>
    <m/>
    <m/>
    <m/>
    <m/>
    <m/>
    <x v="2"/>
    <n v="2"/>
    <n v="6"/>
    <m/>
    <m/>
    <m/>
    <m/>
    <m/>
    <m/>
    <m/>
    <m/>
    <m/>
    <m/>
    <m/>
    <m/>
    <m/>
    <m/>
  </r>
  <r>
    <n v="4985"/>
    <n v="55488"/>
    <d v="2005-06-02T00:00:00"/>
    <n v="20"/>
    <x v="0"/>
    <x v="1"/>
    <d v="2024-10-04T00:00:00"/>
    <n v="1.2328767123287672"/>
    <x v="137"/>
    <x v="0"/>
    <x v="8"/>
    <x v="1"/>
    <n v="8.4700000000000006"/>
    <m/>
    <m/>
    <m/>
    <m/>
    <m/>
    <m/>
    <x v="3"/>
    <n v="3"/>
    <n v="4"/>
    <m/>
    <m/>
    <m/>
    <m/>
    <m/>
    <m/>
    <m/>
    <m/>
    <m/>
    <m/>
    <m/>
    <m/>
    <m/>
    <m/>
  </r>
  <r>
    <n v="4986"/>
    <n v="55489"/>
    <d v="2006-04-02T00:00:00"/>
    <n v="19"/>
    <x v="1"/>
    <x v="1"/>
    <d v="2024-10-07T00:00:00"/>
    <n v="1.7013698630136986"/>
    <x v="137"/>
    <x v="0"/>
    <x v="8"/>
    <x v="1"/>
    <n v="8.4700000000000006"/>
    <m/>
    <m/>
    <m/>
    <m/>
    <m/>
    <m/>
    <x v="3"/>
    <n v="3"/>
    <n v="6"/>
    <m/>
    <m/>
    <m/>
    <m/>
    <m/>
    <m/>
    <m/>
    <m/>
    <m/>
    <m/>
    <m/>
    <m/>
    <m/>
    <m/>
  </r>
  <r>
    <n v="4987"/>
    <n v="55490"/>
    <d v="2006-12-02T00:00:00"/>
    <n v="19"/>
    <x v="1"/>
    <x v="0"/>
    <d v="2024-04-19T00:00:00"/>
    <n v="1"/>
    <x v="137"/>
    <x v="0"/>
    <x v="8"/>
    <x v="1"/>
    <n v="8.4700000000000006"/>
    <m/>
    <m/>
    <m/>
    <m/>
    <m/>
    <m/>
    <x v="1"/>
    <n v="3"/>
    <n v="6"/>
    <m/>
    <m/>
    <m/>
    <m/>
    <m/>
    <m/>
    <m/>
    <m/>
    <m/>
    <m/>
    <m/>
    <m/>
    <m/>
    <m/>
  </r>
  <r>
    <n v="4988"/>
    <n v="55491"/>
    <d v="1997-09-05T00:00:00"/>
    <n v="28"/>
    <x v="1"/>
    <x v="0"/>
    <d v="2024-12-31T00:00:00"/>
    <n v="1.1917808219178083"/>
    <x v="137"/>
    <x v="0"/>
    <x v="8"/>
    <x v="1"/>
    <n v="8.4700000000000006"/>
    <m/>
    <m/>
    <m/>
    <m/>
    <m/>
    <m/>
    <x v="3"/>
    <n v="2"/>
    <n v="4"/>
    <m/>
    <m/>
    <m/>
    <m/>
    <m/>
    <m/>
    <m/>
    <m/>
    <m/>
    <m/>
    <m/>
    <m/>
    <m/>
    <m/>
  </r>
  <r>
    <n v="4989"/>
    <n v="55492"/>
    <d v="2006-01-03T00:00:00"/>
    <n v="19"/>
    <x v="1"/>
    <x v="1"/>
    <d v="2024-10-22T00:00:00"/>
    <n v="1.7232876712328766"/>
    <x v="137"/>
    <x v="0"/>
    <x v="8"/>
    <x v="1"/>
    <n v="8.4700000000000006"/>
    <m/>
    <m/>
    <m/>
    <m/>
    <m/>
    <m/>
    <x v="2"/>
    <n v="4"/>
    <n v="5"/>
    <m/>
    <m/>
    <m/>
    <m/>
    <m/>
    <m/>
    <m/>
    <m/>
    <m/>
    <m/>
    <m/>
    <m/>
    <m/>
    <m/>
  </r>
  <r>
    <n v="4990"/>
    <n v="55493"/>
    <d v="2002-03-25T00:00:00"/>
    <n v="23"/>
    <x v="1"/>
    <x v="1"/>
    <d v="2024-04-11T00:00:00"/>
    <n v="1.8356164383561644"/>
    <x v="137"/>
    <x v="0"/>
    <x v="8"/>
    <x v="1"/>
    <n v="8.4700000000000006"/>
    <m/>
    <m/>
    <m/>
    <m/>
    <m/>
    <m/>
    <x v="1"/>
    <n v="0"/>
    <n v="6"/>
    <m/>
    <m/>
    <m/>
    <m/>
    <m/>
    <m/>
    <m/>
    <m/>
    <m/>
    <m/>
    <m/>
    <m/>
    <m/>
    <m/>
  </r>
  <r>
    <n v="4991"/>
    <n v="55494"/>
    <d v="1999-12-03T00:00:00"/>
    <n v="26"/>
    <x v="1"/>
    <x v="1"/>
    <d v="2024-03-01T00:00:00"/>
    <n v="1.5972602739726027"/>
    <x v="137"/>
    <x v="0"/>
    <x v="8"/>
    <x v="1"/>
    <n v="8.4700000000000006"/>
    <m/>
    <m/>
    <m/>
    <m/>
    <m/>
    <m/>
    <x v="4"/>
    <n v="2"/>
    <n v="6"/>
    <m/>
    <m/>
    <m/>
    <m/>
    <m/>
    <m/>
    <m/>
    <m/>
    <m/>
    <m/>
    <m/>
    <m/>
    <m/>
    <m/>
  </r>
  <r>
    <n v="4992"/>
    <n v="55496"/>
    <d v="2004-08-07T00:00:00"/>
    <n v="21"/>
    <x v="1"/>
    <x v="1"/>
    <d v="2024-05-27T00:00:00"/>
    <n v="1.441095890410959"/>
    <x v="137"/>
    <x v="0"/>
    <x v="8"/>
    <x v="1"/>
    <n v="8.4700000000000006"/>
    <m/>
    <m/>
    <m/>
    <m/>
    <m/>
    <m/>
    <x v="2"/>
    <n v="2"/>
    <n v="6"/>
    <m/>
    <m/>
    <m/>
    <m/>
    <m/>
    <m/>
    <m/>
    <m/>
    <m/>
    <m/>
    <m/>
    <m/>
    <m/>
    <m/>
  </r>
  <r>
    <n v="4993"/>
    <n v="55497"/>
    <d v="1997-11-19T00:00:00"/>
    <n v="28"/>
    <x v="1"/>
    <x v="1"/>
    <d v="2024-07-23T00:00:00"/>
    <n v="1.1315068493150684"/>
    <x v="28"/>
    <x v="0"/>
    <x v="11"/>
    <x v="1"/>
    <n v="17"/>
    <m/>
    <m/>
    <m/>
    <m/>
    <m/>
    <m/>
    <x v="1"/>
    <n v="3"/>
    <n v="6"/>
    <m/>
    <m/>
    <m/>
    <m/>
    <m/>
    <m/>
    <m/>
    <m/>
    <m/>
    <m/>
    <m/>
    <m/>
    <m/>
    <m/>
  </r>
  <r>
    <n v="4994"/>
    <n v="55498"/>
    <d v="1999-09-08T00:00:00"/>
    <n v="26"/>
    <x v="1"/>
    <x v="1"/>
    <d v="2024-11-13T00:00:00"/>
    <n v="1.832876712328767"/>
    <x v="28"/>
    <x v="0"/>
    <x v="11"/>
    <x v="1"/>
    <n v="17"/>
    <m/>
    <m/>
    <m/>
    <m/>
    <m/>
    <m/>
    <x v="4"/>
    <n v="1"/>
    <n v="5"/>
    <m/>
    <m/>
    <m/>
    <m/>
    <m/>
    <m/>
    <m/>
    <m/>
    <m/>
    <m/>
    <m/>
    <m/>
    <m/>
    <m/>
  </r>
  <r>
    <n v="4995"/>
    <n v="55500"/>
    <d v="1998-01-06T00:00:00"/>
    <n v="27"/>
    <x v="0"/>
    <x v="1"/>
    <d v="2024-03-02T00:00:00"/>
    <n v="1.3863013698630138"/>
    <x v="28"/>
    <x v="0"/>
    <x v="10"/>
    <x v="1"/>
    <n v="10.64"/>
    <m/>
    <m/>
    <m/>
    <m/>
    <m/>
    <m/>
    <x v="4"/>
    <n v="0"/>
    <n v="3"/>
    <m/>
    <m/>
    <m/>
    <m/>
    <m/>
    <m/>
    <m/>
    <m/>
    <m/>
    <m/>
    <m/>
    <m/>
    <m/>
    <m/>
  </r>
  <r>
    <n v="4996"/>
    <n v="55501"/>
    <d v="2004-11-06T00:00:00"/>
    <n v="21"/>
    <x v="0"/>
    <x v="1"/>
    <d v="2024-08-12T00:00:00"/>
    <n v="1.263013698630137"/>
    <x v="28"/>
    <x v="0"/>
    <x v="2"/>
    <x v="1"/>
    <n v="14.23"/>
    <m/>
    <m/>
    <m/>
    <m/>
    <m/>
    <m/>
    <x v="2"/>
    <n v="0"/>
    <n v="6"/>
    <m/>
    <m/>
    <m/>
    <m/>
    <m/>
    <m/>
    <m/>
    <m/>
    <m/>
    <m/>
    <m/>
    <m/>
    <m/>
    <m/>
  </r>
  <r>
    <n v="4997"/>
    <n v="55502"/>
    <d v="2004-10-06T00:00:00"/>
    <n v="21"/>
    <x v="0"/>
    <x v="1"/>
    <d v="2024-09-26T00:00:00"/>
    <n v="1.2931506849315069"/>
    <x v="28"/>
    <x v="0"/>
    <x v="2"/>
    <x v="1"/>
    <n v="14.23"/>
    <m/>
    <m/>
    <m/>
    <m/>
    <m/>
    <m/>
    <x v="3"/>
    <n v="0"/>
    <n v="5"/>
    <m/>
    <m/>
    <m/>
    <m/>
    <m/>
    <m/>
    <m/>
    <m/>
    <m/>
    <m/>
    <m/>
    <m/>
    <m/>
    <m/>
  </r>
  <r>
    <n v="4998"/>
    <n v="55503"/>
    <d v="2005-04-12T00:00:00"/>
    <n v="20"/>
    <x v="1"/>
    <x v="1"/>
    <d v="2024-09-15T00:00:00"/>
    <n v="1.1123287671232878"/>
    <x v="28"/>
    <x v="0"/>
    <x v="9"/>
    <x v="1"/>
    <n v="14.07"/>
    <m/>
    <m/>
    <m/>
    <m/>
    <m/>
    <m/>
    <x v="1"/>
    <n v="0"/>
    <n v="6"/>
    <m/>
    <m/>
    <m/>
    <m/>
    <m/>
    <m/>
    <m/>
    <m/>
    <m/>
    <m/>
    <m/>
    <m/>
    <m/>
    <m/>
  </r>
  <r>
    <n v="4999"/>
    <n v="55504"/>
    <d v="2004-05-30T00:00:00"/>
    <n v="21"/>
    <x v="1"/>
    <x v="1"/>
    <d v="2024-11-20T00:00:00"/>
    <n v="1.7698630136986302"/>
    <x v="28"/>
    <x v="0"/>
    <x v="3"/>
    <x v="1"/>
    <n v="8.4700000000000006"/>
    <m/>
    <m/>
    <m/>
    <m/>
    <m/>
    <m/>
    <x v="3"/>
    <n v="2"/>
    <n v="6"/>
    <m/>
    <m/>
    <m/>
    <m/>
    <m/>
    <m/>
    <m/>
    <m/>
    <m/>
    <m/>
    <m/>
    <m/>
    <m/>
    <m/>
  </r>
  <r>
    <n v="5000"/>
    <n v="55505"/>
    <d v="1996-08-27T00:00:00"/>
    <n v="29"/>
    <x v="0"/>
    <x v="0"/>
    <d v="2024-03-25T00:00:00"/>
    <n v="1.8602739726027397"/>
    <x v="28"/>
    <x v="0"/>
    <x v="7"/>
    <x v="1"/>
    <n v="17.59"/>
    <m/>
    <m/>
    <m/>
    <m/>
    <m/>
    <m/>
    <x v="2"/>
    <n v="1"/>
    <n v="2"/>
    <m/>
    <m/>
    <m/>
    <m/>
    <m/>
    <m/>
    <m/>
    <m/>
    <m/>
    <m/>
    <m/>
    <m/>
    <m/>
    <m/>
  </r>
  <r>
    <n v="5001"/>
    <n v="55506"/>
    <d v="1994-06-17T00:00:00"/>
    <n v="31"/>
    <x v="0"/>
    <x v="1"/>
    <d v="2024-02-21T00:00:00"/>
    <n v="1.1561643835616437"/>
    <x v="28"/>
    <x v="0"/>
    <x v="8"/>
    <x v="1"/>
    <n v="8.4700000000000006"/>
    <m/>
    <m/>
    <m/>
    <m/>
    <m/>
    <m/>
    <x v="4"/>
    <n v="2"/>
    <n v="5"/>
    <m/>
    <m/>
    <m/>
    <m/>
    <m/>
    <m/>
    <m/>
    <m/>
    <m/>
    <m/>
    <m/>
    <m/>
    <m/>
    <m/>
  </r>
  <r>
    <n v="5002"/>
    <n v="55507"/>
    <d v="1997-10-28T00:00:00"/>
    <n v="28"/>
    <x v="1"/>
    <x v="0"/>
    <d v="2024-11-04T00:00:00"/>
    <n v="1.6191780821917807"/>
    <x v="28"/>
    <x v="0"/>
    <x v="8"/>
    <x v="1"/>
    <n v="8.4700000000000006"/>
    <m/>
    <m/>
    <m/>
    <m/>
    <m/>
    <m/>
    <x v="1"/>
    <n v="1"/>
    <n v="5"/>
    <m/>
    <m/>
    <m/>
    <m/>
    <m/>
    <m/>
    <m/>
    <m/>
    <m/>
    <m/>
    <m/>
    <m/>
    <m/>
    <m/>
  </r>
  <r>
    <n v="5003"/>
    <n v="55509"/>
    <d v="2005-08-26T00:00:00"/>
    <n v="20"/>
    <x v="0"/>
    <x v="0"/>
    <d v="2024-05-19T00:00:00"/>
    <n v="1.263013698630137"/>
    <x v="28"/>
    <x v="0"/>
    <x v="8"/>
    <x v="1"/>
    <n v="8.4700000000000006"/>
    <m/>
    <m/>
    <m/>
    <m/>
    <m/>
    <m/>
    <x v="3"/>
    <n v="4"/>
    <n v="6"/>
    <m/>
    <m/>
    <m/>
    <m/>
    <m/>
    <m/>
    <m/>
    <m/>
    <m/>
    <m/>
    <m/>
    <m/>
    <m/>
    <m/>
  </r>
  <r>
    <n v="5004"/>
    <n v="55510"/>
    <d v="2005-07-28T00:00:00"/>
    <n v="20"/>
    <x v="1"/>
    <x v="1"/>
    <d v="2024-09-26T00:00:00"/>
    <n v="1.1753424657534246"/>
    <x v="28"/>
    <x v="0"/>
    <x v="8"/>
    <x v="1"/>
    <n v="8.4700000000000006"/>
    <m/>
    <m/>
    <m/>
    <m/>
    <m/>
    <m/>
    <x v="3"/>
    <n v="2"/>
    <n v="6"/>
    <m/>
    <m/>
    <m/>
    <m/>
    <m/>
    <m/>
    <m/>
    <m/>
    <m/>
    <m/>
    <m/>
    <m/>
    <m/>
    <m/>
  </r>
  <r>
    <n v="5005"/>
    <n v="55511"/>
    <d v="2003-04-28T00:00:00"/>
    <n v="22"/>
    <x v="1"/>
    <x v="1"/>
    <d v="2024-10-28T00:00:00"/>
    <n v="1.0794520547945206"/>
    <x v="28"/>
    <x v="0"/>
    <x v="8"/>
    <x v="1"/>
    <n v="8.4700000000000006"/>
    <m/>
    <m/>
    <m/>
    <m/>
    <m/>
    <m/>
    <x v="2"/>
    <n v="2"/>
    <n v="6"/>
    <m/>
    <m/>
    <m/>
    <m/>
    <m/>
    <m/>
    <m/>
    <m/>
    <m/>
    <m/>
    <m/>
    <m/>
    <m/>
    <m/>
  </r>
  <r>
    <n v="5006"/>
    <n v="55512"/>
    <d v="1998-02-27T00:00:00"/>
    <n v="27"/>
    <x v="1"/>
    <x v="0"/>
    <d v="2024-12-02T00:00:00"/>
    <n v="1.2547945205479452"/>
    <x v="28"/>
    <x v="0"/>
    <x v="8"/>
    <x v="1"/>
    <n v="8.4700000000000006"/>
    <m/>
    <m/>
    <m/>
    <m/>
    <m/>
    <m/>
    <x v="3"/>
    <n v="1"/>
    <n v="6"/>
    <m/>
    <m/>
    <m/>
    <m/>
    <m/>
    <m/>
    <m/>
    <m/>
    <m/>
    <m/>
    <m/>
    <m/>
    <m/>
    <m/>
  </r>
  <r>
    <n v="5007"/>
    <n v="55513"/>
    <d v="2006-04-02T00:00:00"/>
    <n v="19"/>
    <x v="0"/>
    <x v="1"/>
    <d v="2024-09-29T00:00:00"/>
    <n v="1.263013698630137"/>
    <x v="28"/>
    <x v="0"/>
    <x v="8"/>
    <x v="1"/>
    <n v="8.4700000000000006"/>
    <m/>
    <m/>
    <m/>
    <m/>
    <m/>
    <m/>
    <x v="1"/>
    <n v="2"/>
    <n v="6"/>
    <m/>
    <m/>
    <m/>
    <m/>
    <m/>
    <m/>
    <m/>
    <m/>
    <m/>
    <m/>
    <m/>
    <m/>
    <m/>
    <m/>
  </r>
  <r>
    <n v="5008"/>
    <n v="55514"/>
    <d v="1998-10-12T00:00:00"/>
    <n v="27"/>
    <x v="1"/>
    <x v="1"/>
    <d v="2024-09-26T00:00:00"/>
    <n v="1.4054794520547946"/>
    <x v="28"/>
    <x v="0"/>
    <x v="8"/>
    <x v="1"/>
    <n v="8.4700000000000006"/>
    <m/>
    <m/>
    <m/>
    <m/>
    <m/>
    <m/>
    <x v="4"/>
    <n v="4"/>
    <n v="7"/>
    <m/>
    <m/>
    <m/>
    <m/>
    <m/>
    <m/>
    <m/>
    <m/>
    <m/>
    <m/>
    <m/>
    <m/>
    <m/>
    <m/>
  </r>
  <r>
    <n v="5009"/>
    <n v="55515"/>
    <d v="1993-05-07T00:00:00"/>
    <n v="32"/>
    <x v="1"/>
    <x v="1"/>
    <d v="2024-08-05T00:00:00"/>
    <n v="1.3095890410958904"/>
    <x v="28"/>
    <x v="0"/>
    <x v="8"/>
    <x v="1"/>
    <n v="8.4700000000000006"/>
    <m/>
    <m/>
    <m/>
    <m/>
    <m/>
    <m/>
    <x v="2"/>
    <n v="2"/>
    <n v="6"/>
    <m/>
    <m/>
    <m/>
    <m/>
    <m/>
    <m/>
    <m/>
    <m/>
    <m/>
    <m/>
    <m/>
    <m/>
    <m/>
    <m/>
  </r>
  <r>
    <n v="5010"/>
    <n v="55516"/>
    <d v="2004-06-06T00:00:00"/>
    <n v="21"/>
    <x v="1"/>
    <x v="0"/>
    <d v="2024-09-09T00:00:00"/>
    <n v="1.2602739726027397"/>
    <x v="28"/>
    <x v="0"/>
    <x v="8"/>
    <x v="1"/>
    <n v="8.4700000000000006"/>
    <m/>
    <m/>
    <m/>
    <m/>
    <m/>
    <m/>
    <x v="1"/>
    <n v="2"/>
    <n v="6"/>
    <m/>
    <m/>
    <m/>
    <m/>
    <m/>
    <m/>
    <m/>
    <m/>
    <m/>
    <m/>
    <m/>
    <m/>
    <m/>
    <m/>
  </r>
  <r>
    <n v="5011"/>
    <n v="55517"/>
    <d v="2001-07-10T00:00:00"/>
    <n v="24"/>
    <x v="1"/>
    <x v="0"/>
    <d v="2024-09-27T00:00:00"/>
    <n v="1.8191780821917809"/>
    <x v="28"/>
    <x v="0"/>
    <x v="8"/>
    <x v="1"/>
    <n v="8.4700000000000006"/>
    <m/>
    <m/>
    <m/>
    <m/>
    <m/>
    <m/>
    <x v="1"/>
    <n v="2"/>
    <n v="6"/>
    <m/>
    <m/>
    <m/>
    <m/>
    <m/>
    <m/>
    <m/>
    <m/>
    <m/>
    <m/>
    <m/>
    <m/>
    <m/>
    <m/>
  </r>
  <r>
    <n v="5012"/>
    <n v="55518"/>
    <d v="2006-12-14T00:00:00"/>
    <n v="19"/>
    <x v="1"/>
    <x v="0"/>
    <d v="2024-03-07T00:00:00"/>
    <n v="1.1808219178082191"/>
    <x v="28"/>
    <x v="0"/>
    <x v="8"/>
    <x v="1"/>
    <n v="8.4700000000000006"/>
    <m/>
    <m/>
    <m/>
    <m/>
    <m/>
    <m/>
    <x v="3"/>
    <n v="1"/>
    <n v="5"/>
    <m/>
    <m/>
    <m/>
    <m/>
    <m/>
    <m/>
    <m/>
    <m/>
    <m/>
    <m/>
    <m/>
    <m/>
    <m/>
    <m/>
  </r>
  <r>
    <n v="5013"/>
    <n v="55519"/>
    <d v="2003-02-13T00:00:00"/>
    <n v="22"/>
    <x v="1"/>
    <x v="1"/>
    <d v="2024-10-26T00:00:00"/>
    <n v="1.2876712328767124"/>
    <x v="28"/>
    <x v="0"/>
    <x v="8"/>
    <x v="1"/>
    <n v="8.4700000000000006"/>
    <m/>
    <m/>
    <m/>
    <m/>
    <m/>
    <m/>
    <x v="4"/>
    <n v="2"/>
    <n v="6"/>
    <m/>
    <m/>
    <m/>
    <m/>
    <m/>
    <m/>
    <m/>
    <m/>
    <m/>
    <m/>
    <m/>
    <m/>
    <m/>
    <m/>
  </r>
  <r>
    <n v="5014"/>
    <n v="55520"/>
    <d v="2002-10-07T00:00:00"/>
    <n v="23"/>
    <x v="1"/>
    <x v="0"/>
    <d v="2024-09-17T00:00:00"/>
    <n v="1.4931506849315068"/>
    <x v="52"/>
    <x v="0"/>
    <x v="11"/>
    <x v="1"/>
    <n v="17"/>
    <m/>
    <m/>
    <m/>
    <m/>
    <m/>
    <m/>
    <x v="1"/>
    <n v="4"/>
    <n v="7"/>
    <m/>
    <m/>
    <m/>
    <m/>
    <m/>
    <m/>
    <m/>
    <m/>
    <m/>
    <m/>
    <m/>
    <m/>
    <m/>
    <m/>
  </r>
  <r>
    <n v="5015"/>
    <n v="55521"/>
    <d v="1997-04-20T00:00:00"/>
    <n v="28"/>
    <x v="1"/>
    <x v="0"/>
    <d v="2024-07-04T00:00:00"/>
    <n v="1.6849315068493151"/>
    <x v="52"/>
    <x v="0"/>
    <x v="11"/>
    <x v="1"/>
    <n v="17"/>
    <m/>
    <m/>
    <m/>
    <m/>
    <m/>
    <m/>
    <x v="3"/>
    <n v="3"/>
    <n v="6"/>
    <m/>
    <m/>
    <m/>
    <m/>
    <m/>
    <m/>
    <m/>
    <m/>
    <m/>
    <m/>
    <m/>
    <m/>
    <m/>
    <m/>
  </r>
  <r>
    <n v="5016"/>
    <n v="55522"/>
    <d v="1995-12-27T00:00:00"/>
    <n v="30"/>
    <x v="1"/>
    <x v="1"/>
    <d v="2024-04-25T00:00:00"/>
    <n v="1.3835616438356164"/>
    <x v="52"/>
    <x v="0"/>
    <x v="11"/>
    <x v="1"/>
    <n v="17"/>
    <m/>
    <m/>
    <m/>
    <m/>
    <m/>
    <m/>
    <x v="1"/>
    <n v="2"/>
    <n v="7"/>
    <m/>
    <m/>
    <m/>
    <m/>
    <m/>
    <m/>
    <m/>
    <m/>
    <m/>
    <m/>
    <m/>
    <m/>
    <m/>
    <m/>
  </r>
  <r>
    <n v="5017"/>
    <n v="55523"/>
    <d v="2000-06-06T00:00:00"/>
    <n v="25"/>
    <x v="0"/>
    <x v="1"/>
    <d v="2024-08-13T00:00:00"/>
    <n v="1.3205479452054794"/>
    <x v="52"/>
    <x v="0"/>
    <x v="10"/>
    <x v="1"/>
    <n v="10.64"/>
    <m/>
    <m/>
    <m/>
    <m/>
    <m/>
    <m/>
    <x v="1"/>
    <n v="0"/>
    <n v="4"/>
    <m/>
    <m/>
    <m/>
    <m/>
    <m/>
    <m/>
    <m/>
    <m/>
    <m/>
    <m/>
    <m/>
    <m/>
    <m/>
    <m/>
  </r>
  <r>
    <n v="5018"/>
    <n v="55524"/>
    <d v="1999-09-21T00:00:00"/>
    <n v="26"/>
    <x v="1"/>
    <x v="0"/>
    <d v="2024-09-05T00:00:00"/>
    <n v="1.747945205479452"/>
    <x v="52"/>
    <x v="0"/>
    <x v="2"/>
    <x v="1"/>
    <n v="14.23"/>
    <m/>
    <m/>
    <m/>
    <m/>
    <m/>
    <m/>
    <x v="4"/>
    <n v="1"/>
    <n v="5"/>
    <m/>
    <m/>
    <m/>
    <m/>
    <m/>
    <m/>
    <m/>
    <m/>
    <m/>
    <m/>
    <m/>
    <m/>
    <m/>
    <m/>
  </r>
  <r>
    <n v="5019"/>
    <n v="55525"/>
    <d v="2003-09-07T00:00:00"/>
    <n v="22"/>
    <x v="1"/>
    <x v="1"/>
    <d v="2024-04-02T00:00:00"/>
    <n v="1.7917808219178082"/>
    <x v="52"/>
    <x v="0"/>
    <x v="2"/>
    <x v="1"/>
    <n v="14.23"/>
    <m/>
    <m/>
    <m/>
    <m/>
    <m/>
    <m/>
    <x v="1"/>
    <n v="1"/>
    <n v="4"/>
    <m/>
    <m/>
    <m/>
    <m/>
    <m/>
    <m/>
    <m/>
    <m/>
    <m/>
    <m/>
    <m/>
    <m/>
    <m/>
    <m/>
  </r>
  <r>
    <n v="5020"/>
    <n v="55527"/>
    <d v="2003-08-28T00:00:00"/>
    <n v="22"/>
    <x v="1"/>
    <x v="1"/>
    <d v="2024-03-17T00:00:00"/>
    <n v="1.1452054794520548"/>
    <x v="52"/>
    <x v="0"/>
    <x v="3"/>
    <x v="1"/>
    <n v="8.4700000000000006"/>
    <m/>
    <m/>
    <m/>
    <m/>
    <m/>
    <m/>
    <x v="2"/>
    <n v="2"/>
    <n v="6"/>
    <m/>
    <m/>
    <m/>
    <m/>
    <m/>
    <m/>
    <m/>
    <m/>
    <m/>
    <m/>
    <m/>
    <m/>
    <m/>
    <m/>
  </r>
  <r>
    <n v="5021"/>
    <n v="55528"/>
    <d v="2005-08-25T00:00:00"/>
    <n v="20"/>
    <x v="1"/>
    <x v="1"/>
    <d v="2024-11-08T00:00:00"/>
    <n v="1.7643835616438357"/>
    <x v="52"/>
    <x v="0"/>
    <x v="3"/>
    <x v="1"/>
    <n v="8.4700000000000006"/>
    <m/>
    <m/>
    <m/>
    <m/>
    <m/>
    <m/>
    <x v="4"/>
    <n v="1"/>
    <n v="6"/>
    <m/>
    <m/>
    <m/>
    <m/>
    <m/>
    <m/>
    <m/>
    <m/>
    <m/>
    <m/>
    <m/>
    <m/>
    <m/>
    <m/>
  </r>
  <r>
    <n v="5022"/>
    <n v="55529"/>
    <d v="1998-09-05T00:00:00"/>
    <n v="27"/>
    <x v="1"/>
    <x v="1"/>
    <d v="2024-03-27T00:00:00"/>
    <n v="1.2054794520547945"/>
    <x v="52"/>
    <x v="0"/>
    <x v="7"/>
    <x v="1"/>
    <n v="17.59"/>
    <m/>
    <m/>
    <m/>
    <m/>
    <m/>
    <m/>
    <x v="2"/>
    <n v="0"/>
    <n v="6"/>
    <m/>
    <m/>
    <m/>
    <m/>
    <m/>
    <m/>
    <m/>
    <m/>
    <m/>
    <m/>
    <m/>
    <m/>
    <m/>
    <m/>
  </r>
  <r>
    <n v="5023"/>
    <n v="55530"/>
    <d v="2005-04-15T00:00:00"/>
    <n v="20"/>
    <x v="1"/>
    <x v="1"/>
    <d v="2024-10-17T00:00:00"/>
    <n v="1.452054794520548"/>
    <x v="52"/>
    <x v="0"/>
    <x v="8"/>
    <x v="1"/>
    <n v="8.4700000000000006"/>
    <m/>
    <m/>
    <m/>
    <m/>
    <m/>
    <m/>
    <x v="4"/>
    <n v="0"/>
    <n v="6"/>
    <m/>
    <m/>
    <m/>
    <m/>
    <m/>
    <m/>
    <m/>
    <m/>
    <m/>
    <m/>
    <m/>
    <m/>
    <m/>
    <m/>
  </r>
  <r>
    <n v="5024"/>
    <n v="55531"/>
    <d v="2006-04-12T00:00:00"/>
    <n v="19"/>
    <x v="1"/>
    <x v="1"/>
    <d v="2024-07-19T00:00:00"/>
    <n v="1.1726027397260275"/>
    <x v="52"/>
    <x v="0"/>
    <x v="8"/>
    <x v="1"/>
    <n v="8.4700000000000006"/>
    <m/>
    <m/>
    <m/>
    <m/>
    <m/>
    <m/>
    <x v="4"/>
    <n v="2"/>
    <n v="7"/>
    <m/>
    <m/>
    <m/>
    <m/>
    <m/>
    <m/>
    <m/>
    <m/>
    <m/>
    <m/>
    <m/>
    <m/>
    <m/>
    <m/>
  </r>
  <r>
    <n v="5025"/>
    <n v="55532"/>
    <d v="2003-09-08T00:00:00"/>
    <n v="22"/>
    <x v="1"/>
    <x v="1"/>
    <d v="2024-10-29T00:00:00"/>
    <n v="1.1041095890410959"/>
    <x v="52"/>
    <x v="0"/>
    <x v="8"/>
    <x v="1"/>
    <n v="8.4700000000000006"/>
    <m/>
    <m/>
    <m/>
    <m/>
    <m/>
    <m/>
    <x v="3"/>
    <n v="1"/>
    <n v="7"/>
    <m/>
    <m/>
    <m/>
    <m/>
    <m/>
    <m/>
    <m/>
    <m/>
    <m/>
    <m/>
    <m/>
    <m/>
    <m/>
    <m/>
  </r>
  <r>
    <n v="5026"/>
    <n v="55533"/>
    <d v="1998-06-24T00:00:00"/>
    <n v="27"/>
    <x v="0"/>
    <x v="1"/>
    <d v="2024-11-23T00:00:00"/>
    <n v="1.547945205479452"/>
    <x v="52"/>
    <x v="0"/>
    <x v="8"/>
    <x v="1"/>
    <n v="8.4700000000000006"/>
    <m/>
    <m/>
    <m/>
    <m/>
    <m/>
    <m/>
    <x v="2"/>
    <n v="2"/>
    <n v="5"/>
    <m/>
    <m/>
    <m/>
    <m/>
    <m/>
    <m/>
    <m/>
    <m/>
    <m/>
    <m/>
    <m/>
    <m/>
    <m/>
    <m/>
  </r>
  <r>
    <n v="5027"/>
    <n v="55534"/>
    <d v="2005-10-30T00:00:00"/>
    <n v="20"/>
    <x v="1"/>
    <x v="0"/>
    <d v="2024-06-14T00:00:00"/>
    <n v="1.7808219178082192"/>
    <x v="52"/>
    <x v="0"/>
    <x v="8"/>
    <x v="1"/>
    <n v="8.4700000000000006"/>
    <m/>
    <m/>
    <m/>
    <m/>
    <m/>
    <m/>
    <x v="4"/>
    <n v="2"/>
    <n v="7"/>
    <m/>
    <m/>
    <m/>
    <m/>
    <m/>
    <m/>
    <m/>
    <m/>
    <m/>
    <m/>
    <m/>
    <m/>
    <m/>
    <m/>
  </r>
  <r>
    <n v="5028"/>
    <n v="55536"/>
    <d v="2001-12-26T00:00:00"/>
    <n v="24"/>
    <x v="1"/>
    <x v="1"/>
    <d v="2024-03-21T00:00:00"/>
    <n v="1.0273972602739727"/>
    <x v="52"/>
    <x v="0"/>
    <x v="8"/>
    <x v="1"/>
    <n v="8.4700000000000006"/>
    <m/>
    <m/>
    <m/>
    <m/>
    <m/>
    <m/>
    <x v="1"/>
    <n v="2"/>
    <n v="5"/>
    <m/>
    <m/>
    <m/>
    <m/>
    <m/>
    <m/>
    <m/>
    <m/>
    <m/>
    <m/>
    <m/>
    <m/>
    <m/>
    <m/>
  </r>
  <r>
    <n v="5029"/>
    <n v="55537"/>
    <d v="2002-05-30T00:00:00"/>
    <n v="23"/>
    <x v="1"/>
    <x v="0"/>
    <d v="2024-12-21T00:00:00"/>
    <n v="1.0246575342465754"/>
    <x v="52"/>
    <x v="0"/>
    <x v="8"/>
    <x v="1"/>
    <n v="8.4700000000000006"/>
    <m/>
    <m/>
    <m/>
    <m/>
    <m/>
    <m/>
    <x v="4"/>
    <n v="1"/>
    <n v="5"/>
    <m/>
    <m/>
    <m/>
    <m/>
    <m/>
    <m/>
    <m/>
    <m/>
    <m/>
    <m/>
    <m/>
    <m/>
    <m/>
    <m/>
  </r>
  <r>
    <n v="5030"/>
    <n v="55538"/>
    <d v="1999-08-05T00:00:00"/>
    <n v="26"/>
    <x v="1"/>
    <x v="1"/>
    <d v="2024-12-22T00:00:00"/>
    <n v="1.5972602739726027"/>
    <x v="52"/>
    <x v="0"/>
    <x v="8"/>
    <x v="1"/>
    <n v="8.4700000000000006"/>
    <m/>
    <m/>
    <m/>
    <m/>
    <m/>
    <m/>
    <x v="1"/>
    <n v="1"/>
    <n v="6"/>
    <m/>
    <m/>
    <m/>
    <m/>
    <m/>
    <m/>
    <m/>
    <m/>
    <m/>
    <m/>
    <m/>
    <m/>
    <m/>
    <m/>
  </r>
  <r>
    <n v="5031"/>
    <n v="55539"/>
    <d v="2003-02-11T00:00:00"/>
    <n v="22"/>
    <x v="1"/>
    <x v="1"/>
    <d v="2024-05-27T00:00:00"/>
    <n v="1.4246575342465753"/>
    <x v="52"/>
    <x v="0"/>
    <x v="8"/>
    <x v="1"/>
    <n v="8.4700000000000006"/>
    <m/>
    <m/>
    <m/>
    <m/>
    <m/>
    <m/>
    <x v="2"/>
    <n v="2"/>
    <n v="5"/>
    <m/>
    <m/>
    <m/>
    <m/>
    <m/>
    <m/>
    <m/>
    <m/>
    <m/>
    <m/>
    <m/>
    <m/>
    <m/>
    <m/>
  </r>
  <r>
    <n v="5032"/>
    <n v="55540"/>
    <d v="2002-03-04T00:00:00"/>
    <n v="23"/>
    <x v="1"/>
    <x v="1"/>
    <d v="2024-07-29T00:00:00"/>
    <n v="1.0027397260273974"/>
    <x v="52"/>
    <x v="0"/>
    <x v="8"/>
    <x v="1"/>
    <n v="8.4700000000000006"/>
    <m/>
    <m/>
    <m/>
    <m/>
    <m/>
    <m/>
    <x v="4"/>
    <n v="3"/>
    <n v="5"/>
    <m/>
    <m/>
    <m/>
    <m/>
    <m/>
    <m/>
    <m/>
    <m/>
    <m/>
    <m/>
    <m/>
    <m/>
    <m/>
    <m/>
  </r>
  <r>
    <n v="5033"/>
    <n v="55542"/>
    <d v="1999-09-22T00:00:00"/>
    <n v="26"/>
    <x v="1"/>
    <x v="1"/>
    <d v="2024-12-30T00:00:00"/>
    <n v="1.6931506849315068"/>
    <x v="52"/>
    <x v="0"/>
    <x v="8"/>
    <x v="1"/>
    <n v="8.4700000000000006"/>
    <m/>
    <m/>
    <m/>
    <m/>
    <m/>
    <m/>
    <x v="3"/>
    <n v="2"/>
    <n v="6"/>
    <m/>
    <m/>
    <m/>
    <m/>
    <m/>
    <m/>
    <m/>
    <m/>
    <m/>
    <m/>
    <m/>
    <m/>
    <m/>
    <m/>
  </r>
  <r>
    <n v="5034"/>
    <n v="55543"/>
    <d v="2005-05-29T00:00:00"/>
    <n v="20"/>
    <x v="1"/>
    <x v="1"/>
    <d v="2024-04-22T00:00:00"/>
    <n v="1.5205479452054795"/>
    <x v="52"/>
    <x v="0"/>
    <x v="8"/>
    <x v="1"/>
    <n v="8.4700000000000006"/>
    <m/>
    <m/>
    <m/>
    <m/>
    <m/>
    <m/>
    <x v="3"/>
    <n v="0"/>
    <n v="5"/>
    <m/>
    <m/>
    <m/>
    <m/>
    <m/>
    <m/>
    <m/>
    <m/>
    <m/>
    <m/>
    <m/>
    <m/>
    <m/>
    <m/>
  </r>
  <r>
    <n v="5035"/>
    <n v="55544"/>
    <d v="1998-12-06T00:00:00"/>
    <n v="27"/>
    <x v="1"/>
    <x v="1"/>
    <d v="2024-06-24T00:00:00"/>
    <n v="1.4575342465753425"/>
    <x v="52"/>
    <x v="0"/>
    <x v="8"/>
    <x v="1"/>
    <n v="8.4700000000000006"/>
    <m/>
    <m/>
    <m/>
    <m/>
    <m/>
    <m/>
    <x v="1"/>
    <n v="2"/>
    <n v="6"/>
    <m/>
    <m/>
    <m/>
    <m/>
    <m/>
    <m/>
    <m/>
    <m/>
    <m/>
    <m/>
    <m/>
    <m/>
    <m/>
    <m/>
  </r>
  <r>
    <n v="5036"/>
    <n v="55545"/>
    <d v="2004-09-27T00:00:00"/>
    <n v="21"/>
    <x v="1"/>
    <x v="0"/>
    <d v="2024-07-17T00:00:00"/>
    <n v="1.9397260273972603"/>
    <x v="52"/>
    <x v="0"/>
    <x v="8"/>
    <x v="1"/>
    <n v="8.4700000000000006"/>
    <m/>
    <m/>
    <m/>
    <m/>
    <m/>
    <m/>
    <x v="1"/>
    <n v="2"/>
    <n v="5"/>
    <m/>
    <m/>
    <m/>
    <m/>
    <m/>
    <m/>
    <m/>
    <m/>
    <m/>
    <m/>
    <m/>
    <m/>
    <m/>
    <m/>
  </r>
  <r>
    <n v="5037"/>
    <n v="55546"/>
    <d v="2007-01-27T00:00:00"/>
    <n v="18"/>
    <x v="1"/>
    <x v="1"/>
    <d v="2024-01-23T00:00:00"/>
    <n v="1.273972602739726"/>
    <x v="52"/>
    <x v="0"/>
    <x v="8"/>
    <x v="1"/>
    <n v="8.4700000000000006"/>
    <m/>
    <m/>
    <m/>
    <m/>
    <m/>
    <m/>
    <x v="3"/>
    <n v="3"/>
    <n v="5"/>
    <m/>
    <m/>
    <m/>
    <m/>
    <m/>
    <m/>
    <m/>
    <m/>
    <m/>
    <m/>
    <m/>
    <m/>
    <m/>
    <m/>
  </r>
  <r>
    <n v="5038"/>
    <n v="55547"/>
    <d v="2007-06-28T00:00:00"/>
    <n v="18"/>
    <x v="1"/>
    <x v="1"/>
    <d v="2024-09-22T00:00:00"/>
    <n v="1.263013698630137"/>
    <x v="52"/>
    <x v="0"/>
    <x v="8"/>
    <x v="1"/>
    <n v="8.4700000000000006"/>
    <m/>
    <m/>
    <m/>
    <m/>
    <m/>
    <m/>
    <x v="3"/>
    <n v="2"/>
    <n v="5"/>
    <m/>
    <m/>
    <m/>
    <m/>
    <m/>
    <m/>
    <m/>
    <m/>
    <m/>
    <m/>
    <m/>
    <m/>
    <m/>
    <m/>
  </r>
  <r>
    <n v="5039"/>
    <n v="55548"/>
    <d v="2001-02-25T00:00:00"/>
    <n v="24"/>
    <x v="1"/>
    <x v="0"/>
    <d v="2024-09-26T00:00:00"/>
    <n v="1.5643835616438355"/>
    <x v="24"/>
    <x v="0"/>
    <x v="11"/>
    <x v="1"/>
    <n v="17"/>
    <m/>
    <m/>
    <m/>
    <m/>
    <m/>
    <m/>
    <x v="1"/>
    <n v="2"/>
    <n v="5"/>
    <m/>
    <m/>
    <m/>
    <m/>
    <m/>
    <m/>
    <m/>
    <m/>
    <m/>
    <m/>
    <m/>
    <m/>
    <m/>
    <m/>
  </r>
  <r>
    <n v="5040"/>
    <n v="55549"/>
    <d v="2006-10-29T00:00:00"/>
    <n v="19"/>
    <x v="1"/>
    <x v="0"/>
    <d v="2024-06-08T00:00:00"/>
    <n v="1.1095890410958904"/>
    <x v="24"/>
    <x v="0"/>
    <x v="3"/>
    <x v="1"/>
    <n v="8.4700000000000006"/>
    <m/>
    <m/>
    <m/>
    <m/>
    <m/>
    <m/>
    <x v="4"/>
    <n v="1"/>
    <n v="6"/>
    <m/>
    <m/>
    <m/>
    <m/>
    <m/>
    <m/>
    <m/>
    <m/>
    <m/>
    <m/>
    <m/>
    <m/>
    <m/>
    <m/>
  </r>
  <r>
    <n v="5041"/>
    <n v="55550"/>
    <d v="2006-06-06T00:00:00"/>
    <n v="19"/>
    <x v="1"/>
    <x v="1"/>
    <d v="2024-11-21T00:00:00"/>
    <n v="1.4493150684931506"/>
    <x v="24"/>
    <x v="0"/>
    <x v="8"/>
    <x v="1"/>
    <n v="8.4700000000000006"/>
    <m/>
    <m/>
    <m/>
    <m/>
    <m/>
    <m/>
    <x v="1"/>
    <n v="1"/>
    <n v="5"/>
    <m/>
    <m/>
    <m/>
    <m/>
    <m/>
    <m/>
    <m/>
    <m/>
    <m/>
    <m/>
    <m/>
    <m/>
    <m/>
    <m/>
  </r>
  <r>
    <n v="5042"/>
    <n v="55551"/>
    <d v="1998-12-06T00:00:00"/>
    <n v="27"/>
    <x v="1"/>
    <x v="1"/>
    <d v="2024-07-20T00:00:00"/>
    <n v="1.2328767123287672"/>
    <x v="24"/>
    <x v="0"/>
    <x v="8"/>
    <x v="1"/>
    <n v="8.4700000000000006"/>
    <m/>
    <m/>
    <m/>
    <m/>
    <m/>
    <m/>
    <x v="4"/>
    <n v="1"/>
    <n v="6"/>
    <m/>
    <m/>
    <m/>
    <m/>
    <m/>
    <m/>
    <m/>
    <m/>
    <m/>
    <m/>
    <m/>
    <m/>
    <m/>
    <m/>
  </r>
  <r>
    <n v="5043"/>
    <n v="55552"/>
    <d v="2004-10-30T00:00:00"/>
    <n v="21"/>
    <x v="0"/>
    <x v="1"/>
    <d v="2024-10-07T00:00:00"/>
    <n v="1.893150684931507"/>
    <x v="24"/>
    <x v="0"/>
    <x v="8"/>
    <x v="1"/>
    <n v="8.4700000000000006"/>
    <m/>
    <m/>
    <m/>
    <m/>
    <m/>
    <m/>
    <x v="1"/>
    <n v="2"/>
    <n v="6"/>
    <m/>
    <m/>
    <m/>
    <m/>
    <m/>
    <m/>
    <m/>
    <m/>
    <m/>
    <m/>
    <m/>
    <m/>
    <m/>
    <m/>
  </r>
  <r>
    <n v="5044"/>
    <n v="55553"/>
    <d v="2001-06-29T00:00:00"/>
    <n v="24"/>
    <x v="1"/>
    <x v="1"/>
    <d v="2024-02-09T00:00:00"/>
    <n v="1.5397260273972602"/>
    <x v="24"/>
    <x v="0"/>
    <x v="8"/>
    <x v="1"/>
    <n v="8.4700000000000006"/>
    <m/>
    <m/>
    <m/>
    <m/>
    <m/>
    <m/>
    <x v="1"/>
    <n v="0"/>
    <n v="6"/>
    <m/>
    <m/>
    <m/>
    <m/>
    <m/>
    <m/>
    <m/>
    <m/>
    <m/>
    <m/>
    <m/>
    <m/>
    <m/>
    <m/>
  </r>
  <r>
    <n v="5045"/>
    <n v="55554"/>
    <d v="1998-03-17T00:00:00"/>
    <n v="27"/>
    <x v="1"/>
    <x v="1"/>
    <d v="2024-06-17T00:00:00"/>
    <n v="1.6356164383561644"/>
    <x v="87"/>
    <x v="0"/>
    <x v="11"/>
    <x v="1"/>
    <n v="17"/>
    <m/>
    <m/>
    <m/>
    <m/>
    <m/>
    <m/>
    <x v="1"/>
    <n v="3"/>
    <n v="5"/>
    <m/>
    <m/>
    <m/>
    <m/>
    <m/>
    <m/>
    <m/>
    <m/>
    <m/>
    <m/>
    <m/>
    <m/>
    <m/>
    <m/>
  </r>
  <r>
    <n v="5046"/>
    <n v="55555"/>
    <d v="2004-07-15T00:00:00"/>
    <n v="21"/>
    <x v="1"/>
    <x v="1"/>
    <d v="2024-05-13T00:00:00"/>
    <n v="1.5178082191780822"/>
    <x v="87"/>
    <x v="0"/>
    <x v="10"/>
    <x v="1"/>
    <n v="10.64"/>
    <m/>
    <m/>
    <m/>
    <m/>
    <m/>
    <m/>
    <x v="1"/>
    <n v="1"/>
    <n v="5"/>
    <m/>
    <m/>
    <m/>
    <m/>
    <m/>
    <m/>
    <m/>
    <m/>
    <m/>
    <m/>
    <m/>
    <m/>
    <m/>
    <m/>
  </r>
  <r>
    <n v="5047"/>
    <n v="55556"/>
    <d v="1999-07-20T00:00:00"/>
    <n v="26"/>
    <x v="1"/>
    <x v="1"/>
    <d v="2024-06-25T00:00:00"/>
    <n v="1.0136986301369864"/>
    <x v="87"/>
    <x v="0"/>
    <x v="10"/>
    <x v="1"/>
    <n v="10.64"/>
    <m/>
    <m/>
    <m/>
    <m/>
    <m/>
    <m/>
    <x v="2"/>
    <n v="0"/>
    <n v="6"/>
    <m/>
    <m/>
    <m/>
    <m/>
    <m/>
    <m/>
    <m/>
    <m/>
    <m/>
    <m/>
    <m/>
    <m/>
    <m/>
    <m/>
  </r>
  <r>
    <n v="5048"/>
    <n v="55558"/>
    <d v="2005-06-08T00:00:00"/>
    <n v="20"/>
    <x v="1"/>
    <x v="1"/>
    <d v="2024-12-26T00:00:00"/>
    <n v="1.8082191780821917"/>
    <x v="87"/>
    <x v="0"/>
    <x v="9"/>
    <x v="1"/>
    <n v="14.07"/>
    <m/>
    <m/>
    <m/>
    <m/>
    <m/>
    <m/>
    <x v="1"/>
    <n v="0"/>
    <n v="6"/>
    <m/>
    <m/>
    <m/>
    <m/>
    <m/>
    <m/>
    <m/>
    <m/>
    <m/>
    <m/>
    <m/>
    <m/>
    <m/>
    <m/>
  </r>
  <r>
    <n v="5049"/>
    <n v="55559"/>
    <d v="2005-04-13T00:00:00"/>
    <n v="20"/>
    <x v="1"/>
    <x v="1"/>
    <d v="2024-03-11T00:00:00"/>
    <n v="1.452054794520548"/>
    <x v="87"/>
    <x v="0"/>
    <x v="9"/>
    <x v="1"/>
    <n v="14.07"/>
    <m/>
    <m/>
    <m/>
    <m/>
    <m/>
    <m/>
    <x v="2"/>
    <n v="1"/>
    <n v="4"/>
    <m/>
    <m/>
    <m/>
    <m/>
    <m/>
    <m/>
    <m/>
    <m/>
    <m/>
    <m/>
    <m/>
    <m/>
    <m/>
    <m/>
  </r>
  <r>
    <n v="5050"/>
    <n v="55560"/>
    <d v="2003-05-16T00:00:00"/>
    <n v="22"/>
    <x v="1"/>
    <x v="1"/>
    <d v="2024-07-19T00:00:00"/>
    <n v="1.3232876712328767"/>
    <x v="87"/>
    <x v="0"/>
    <x v="3"/>
    <x v="1"/>
    <n v="8.4700000000000006"/>
    <m/>
    <m/>
    <m/>
    <m/>
    <m/>
    <m/>
    <x v="3"/>
    <n v="1"/>
    <n v="5"/>
    <m/>
    <m/>
    <m/>
    <m/>
    <m/>
    <m/>
    <m/>
    <m/>
    <m/>
    <m/>
    <m/>
    <m/>
    <m/>
    <m/>
  </r>
  <r>
    <n v="5051"/>
    <n v="55561"/>
    <d v="2006-04-02T00:00:00"/>
    <n v="19"/>
    <x v="1"/>
    <x v="1"/>
    <d v="2024-09-04T00:00:00"/>
    <n v="1.6136986301369862"/>
    <x v="87"/>
    <x v="0"/>
    <x v="8"/>
    <x v="1"/>
    <n v="8.4700000000000006"/>
    <m/>
    <m/>
    <m/>
    <m/>
    <m/>
    <m/>
    <x v="1"/>
    <n v="1"/>
    <n v="5"/>
    <m/>
    <m/>
    <m/>
    <m/>
    <m/>
    <m/>
    <m/>
    <m/>
    <m/>
    <m/>
    <m/>
    <m/>
    <m/>
    <m/>
  </r>
  <r>
    <n v="5052"/>
    <n v="55562"/>
    <d v="2003-04-15T00:00:00"/>
    <n v="22"/>
    <x v="1"/>
    <x v="1"/>
    <d v="2024-05-21T00:00:00"/>
    <n v="1.7315068493150685"/>
    <x v="87"/>
    <x v="0"/>
    <x v="8"/>
    <x v="1"/>
    <n v="8.4700000000000006"/>
    <m/>
    <m/>
    <m/>
    <m/>
    <m/>
    <m/>
    <x v="1"/>
    <n v="2"/>
    <n v="7"/>
    <m/>
    <m/>
    <m/>
    <m/>
    <m/>
    <m/>
    <m/>
    <m/>
    <m/>
    <m/>
    <m/>
    <m/>
    <m/>
    <m/>
  </r>
  <r>
    <n v="5053"/>
    <n v="55563"/>
    <d v="2002-04-02T00:00:00"/>
    <n v="23"/>
    <x v="1"/>
    <x v="1"/>
    <d v="2024-04-08T00:00:00"/>
    <n v="1.4109589041095891"/>
    <x v="87"/>
    <x v="0"/>
    <x v="8"/>
    <x v="1"/>
    <n v="8.4700000000000006"/>
    <m/>
    <m/>
    <m/>
    <m/>
    <m/>
    <m/>
    <x v="3"/>
    <n v="1"/>
    <n v="5"/>
    <m/>
    <m/>
    <m/>
    <m/>
    <m/>
    <m/>
    <m/>
    <m/>
    <m/>
    <m/>
    <m/>
    <m/>
    <m/>
    <m/>
  </r>
  <r>
    <n v="5054"/>
    <n v="55564"/>
    <d v="1996-12-02T00:00:00"/>
    <n v="29"/>
    <x v="0"/>
    <x v="0"/>
    <d v="2024-08-03T00:00:00"/>
    <n v="1.1506849315068493"/>
    <x v="87"/>
    <x v="0"/>
    <x v="8"/>
    <x v="1"/>
    <n v="8.4700000000000006"/>
    <m/>
    <m/>
    <m/>
    <m/>
    <m/>
    <m/>
    <x v="3"/>
    <n v="1"/>
    <n v="3"/>
    <m/>
    <m/>
    <m/>
    <m/>
    <m/>
    <m/>
    <m/>
    <m/>
    <m/>
    <m/>
    <m/>
    <m/>
    <m/>
    <m/>
  </r>
  <r>
    <n v="5055"/>
    <n v="55565"/>
    <d v="2006-06-17T00:00:00"/>
    <n v="19"/>
    <x v="1"/>
    <x v="1"/>
    <d v="2024-11-06T00:00:00"/>
    <n v="1.8465753424657534"/>
    <x v="87"/>
    <x v="0"/>
    <x v="8"/>
    <x v="1"/>
    <n v="8.4700000000000006"/>
    <m/>
    <m/>
    <m/>
    <m/>
    <m/>
    <m/>
    <x v="1"/>
    <n v="1"/>
    <n v="5"/>
    <m/>
    <m/>
    <m/>
    <m/>
    <m/>
    <m/>
    <m/>
    <m/>
    <m/>
    <m/>
    <m/>
    <m/>
    <m/>
    <m/>
  </r>
  <r>
    <n v="5056"/>
    <n v="55566"/>
    <d v="2004-04-12T00:00:00"/>
    <n v="21"/>
    <x v="0"/>
    <x v="1"/>
    <d v="2024-02-26T00:00:00"/>
    <n v="1.2465753424657535"/>
    <x v="87"/>
    <x v="0"/>
    <x v="8"/>
    <x v="1"/>
    <n v="8.4700000000000006"/>
    <m/>
    <m/>
    <m/>
    <m/>
    <m/>
    <m/>
    <x v="3"/>
    <n v="2"/>
    <n v="5"/>
    <m/>
    <m/>
    <m/>
    <m/>
    <m/>
    <m/>
    <m/>
    <m/>
    <m/>
    <m/>
    <m/>
    <m/>
    <m/>
    <m/>
  </r>
  <r>
    <n v="5057"/>
    <n v="55567"/>
    <d v="2004-03-09T00:00:00"/>
    <n v="21"/>
    <x v="1"/>
    <x v="1"/>
    <d v="2024-10-02T00:00:00"/>
    <n v="1.7972602739726027"/>
    <x v="87"/>
    <x v="0"/>
    <x v="8"/>
    <x v="1"/>
    <n v="8.4700000000000006"/>
    <m/>
    <m/>
    <m/>
    <m/>
    <m/>
    <m/>
    <x v="3"/>
    <n v="2"/>
    <n v="5"/>
    <m/>
    <m/>
    <m/>
    <m/>
    <m/>
    <m/>
    <m/>
    <m/>
    <m/>
    <m/>
    <m/>
    <m/>
    <m/>
    <m/>
  </r>
  <r>
    <n v="5058"/>
    <n v="55568"/>
    <d v="2003-02-01T00:00:00"/>
    <n v="23"/>
    <x v="0"/>
    <x v="0"/>
    <d v="2024-03-15T00:00:00"/>
    <n v="1.0082191780821919"/>
    <x v="87"/>
    <x v="0"/>
    <x v="8"/>
    <x v="1"/>
    <n v="8.4700000000000006"/>
    <m/>
    <m/>
    <m/>
    <m/>
    <m/>
    <m/>
    <x v="2"/>
    <n v="4"/>
    <n v="4"/>
    <m/>
    <m/>
    <m/>
    <m/>
    <m/>
    <m/>
    <m/>
    <m/>
    <m/>
    <m/>
    <m/>
    <m/>
    <m/>
    <m/>
  </r>
  <r>
    <n v="5059"/>
    <n v="55569"/>
    <d v="1992-12-08T00:00:00"/>
    <n v="33"/>
    <x v="1"/>
    <x v="0"/>
    <d v="2024-12-28T00:00:00"/>
    <n v="1.4684931506849315"/>
    <x v="87"/>
    <x v="0"/>
    <x v="8"/>
    <x v="1"/>
    <n v="8.4700000000000006"/>
    <m/>
    <m/>
    <m/>
    <m/>
    <m/>
    <m/>
    <x v="1"/>
    <n v="3"/>
    <n v="5"/>
    <m/>
    <m/>
    <m/>
    <m/>
    <m/>
    <m/>
    <m/>
    <m/>
    <m/>
    <m/>
    <m/>
    <m/>
    <m/>
    <m/>
  </r>
  <r>
    <n v="5060"/>
    <n v="55570"/>
    <d v="2006-04-17T00:00:00"/>
    <n v="19"/>
    <x v="1"/>
    <x v="1"/>
    <d v="2024-07-13T00:00:00"/>
    <n v="1.7972602739726027"/>
    <x v="87"/>
    <x v="0"/>
    <x v="8"/>
    <x v="1"/>
    <n v="8.4700000000000006"/>
    <m/>
    <m/>
    <m/>
    <m/>
    <m/>
    <m/>
    <x v="3"/>
    <n v="3"/>
    <n v="6"/>
    <m/>
    <m/>
    <m/>
    <m/>
    <m/>
    <m/>
    <m/>
    <m/>
    <m/>
    <m/>
    <m/>
    <m/>
    <m/>
    <m/>
  </r>
  <r>
    <n v="5061"/>
    <n v="55571"/>
    <d v="2002-07-02T00:00:00"/>
    <n v="23"/>
    <x v="1"/>
    <x v="0"/>
    <d v="2024-03-15T00:00:00"/>
    <n v="1.6082191780821917"/>
    <x v="87"/>
    <x v="0"/>
    <x v="8"/>
    <x v="1"/>
    <n v="8.4700000000000006"/>
    <m/>
    <m/>
    <m/>
    <m/>
    <m/>
    <m/>
    <x v="1"/>
    <n v="3"/>
    <n v="5"/>
    <m/>
    <m/>
    <m/>
    <m/>
    <m/>
    <m/>
    <m/>
    <m/>
    <m/>
    <m/>
    <m/>
    <m/>
    <m/>
    <m/>
  </r>
  <r>
    <n v="5062"/>
    <n v="55572"/>
    <d v="2004-09-29T00:00:00"/>
    <n v="21"/>
    <x v="1"/>
    <x v="1"/>
    <d v="2024-05-23T00:00:00"/>
    <n v="1.295890410958904"/>
    <x v="87"/>
    <x v="0"/>
    <x v="8"/>
    <x v="1"/>
    <n v="8.4700000000000006"/>
    <m/>
    <m/>
    <m/>
    <m/>
    <m/>
    <m/>
    <x v="3"/>
    <n v="1"/>
    <n v="6"/>
    <m/>
    <m/>
    <m/>
    <m/>
    <m/>
    <m/>
    <m/>
    <m/>
    <m/>
    <m/>
    <m/>
    <m/>
    <m/>
    <m/>
  </r>
  <r>
    <n v="5063"/>
    <n v="55573"/>
    <d v="2001-04-19T00:00:00"/>
    <n v="24"/>
    <x v="0"/>
    <x v="1"/>
    <d v="2024-09-14T00:00:00"/>
    <n v="1.0821917808219179"/>
    <x v="87"/>
    <x v="0"/>
    <x v="8"/>
    <x v="1"/>
    <n v="8.4700000000000006"/>
    <m/>
    <m/>
    <m/>
    <m/>
    <m/>
    <m/>
    <x v="1"/>
    <n v="4"/>
    <n v="5"/>
    <m/>
    <m/>
    <m/>
    <m/>
    <m/>
    <m/>
    <m/>
    <m/>
    <m/>
    <m/>
    <m/>
    <m/>
    <m/>
    <m/>
  </r>
  <r>
    <n v="5064"/>
    <n v="55575"/>
    <d v="2003-08-05T00:00:00"/>
    <n v="22"/>
    <x v="1"/>
    <x v="0"/>
    <d v="2024-12-01T00:00:00"/>
    <n v="1.4684931506849315"/>
    <x v="25"/>
    <x v="0"/>
    <x v="8"/>
    <x v="1"/>
    <n v="8.4700000000000006"/>
    <m/>
    <m/>
    <m/>
    <m/>
    <m/>
    <m/>
    <x v="3"/>
    <n v="2"/>
    <n v="6"/>
    <m/>
    <m/>
    <m/>
    <m/>
    <m/>
    <m/>
    <m/>
    <m/>
    <m/>
    <m/>
    <m/>
    <m/>
    <m/>
    <m/>
  </r>
  <r>
    <n v="5065"/>
    <n v="55576"/>
    <d v="1997-05-21T00:00:00"/>
    <n v="28"/>
    <x v="1"/>
    <x v="1"/>
    <d v="2024-07-13T00:00:00"/>
    <n v="1.5917808219178082"/>
    <x v="25"/>
    <x v="0"/>
    <x v="8"/>
    <x v="1"/>
    <n v="8.4700000000000006"/>
    <m/>
    <m/>
    <m/>
    <m/>
    <m/>
    <m/>
    <x v="2"/>
    <n v="0"/>
    <n v="6"/>
    <m/>
    <m/>
    <m/>
    <m/>
    <m/>
    <m/>
    <m/>
    <m/>
    <m/>
    <m/>
    <m/>
    <m/>
    <m/>
    <m/>
  </r>
  <r>
    <n v="5066"/>
    <n v="55577"/>
    <d v="1997-06-27T00:00:00"/>
    <n v="28"/>
    <x v="1"/>
    <x v="0"/>
    <d v="2024-05-29T00:00:00"/>
    <n v="1.6219178082191781"/>
    <x v="25"/>
    <x v="0"/>
    <x v="8"/>
    <x v="1"/>
    <n v="8.4700000000000006"/>
    <m/>
    <m/>
    <m/>
    <m/>
    <m/>
    <m/>
    <x v="3"/>
    <n v="1"/>
    <n v="5"/>
    <m/>
    <m/>
    <m/>
    <m/>
    <m/>
    <m/>
    <m/>
    <m/>
    <m/>
    <m/>
    <m/>
    <m/>
    <m/>
    <m/>
  </r>
  <r>
    <n v="5067"/>
    <n v="55578"/>
    <d v="2005-12-27T00:00:00"/>
    <n v="20"/>
    <x v="1"/>
    <x v="1"/>
    <d v="2024-05-18T00:00:00"/>
    <n v="1.1287671232876713"/>
    <x v="25"/>
    <x v="0"/>
    <x v="8"/>
    <x v="1"/>
    <n v="8.4700000000000006"/>
    <m/>
    <m/>
    <m/>
    <m/>
    <m/>
    <m/>
    <x v="4"/>
    <n v="4"/>
    <n v="5"/>
    <m/>
    <m/>
    <m/>
    <m/>
    <m/>
    <m/>
    <m/>
    <m/>
    <m/>
    <m/>
    <m/>
    <m/>
    <m/>
    <m/>
  </r>
  <r>
    <n v="5068"/>
    <n v="55579"/>
    <d v="2002-11-27T00:00:00"/>
    <n v="23"/>
    <x v="1"/>
    <x v="1"/>
    <d v="2024-11-14T00:00:00"/>
    <n v="1.3808219178082193"/>
    <x v="25"/>
    <x v="0"/>
    <x v="8"/>
    <x v="1"/>
    <n v="8.4700000000000006"/>
    <m/>
    <m/>
    <m/>
    <m/>
    <m/>
    <m/>
    <x v="4"/>
    <n v="2"/>
    <n v="7"/>
    <m/>
    <m/>
    <m/>
    <m/>
    <m/>
    <m/>
    <m/>
    <m/>
    <m/>
    <m/>
    <m/>
    <m/>
    <m/>
    <m/>
  </r>
  <r>
    <n v="5069"/>
    <n v="55580"/>
    <d v="2004-04-15T00:00:00"/>
    <n v="21"/>
    <x v="1"/>
    <x v="1"/>
    <d v="2024-08-14T00:00:00"/>
    <n v="1.2410958904109588"/>
    <x v="25"/>
    <x v="0"/>
    <x v="8"/>
    <x v="1"/>
    <n v="8.4700000000000006"/>
    <m/>
    <m/>
    <m/>
    <m/>
    <m/>
    <m/>
    <x v="3"/>
    <n v="0"/>
    <n v="5"/>
    <m/>
    <m/>
    <m/>
    <m/>
    <m/>
    <m/>
    <m/>
    <m/>
    <m/>
    <m/>
    <m/>
    <m/>
    <m/>
    <m/>
  </r>
  <r>
    <n v="5070"/>
    <n v="55581"/>
    <d v="2000-06-24T00:00:00"/>
    <n v="25"/>
    <x v="0"/>
    <x v="0"/>
    <d v="2024-10-04T00:00:00"/>
    <n v="1.8739726027397261"/>
    <x v="25"/>
    <x v="0"/>
    <x v="8"/>
    <x v="1"/>
    <n v="8.4700000000000006"/>
    <m/>
    <m/>
    <m/>
    <m/>
    <m/>
    <m/>
    <x v="1"/>
    <n v="4"/>
    <n v="5"/>
    <m/>
    <m/>
    <m/>
    <m/>
    <m/>
    <m/>
    <m/>
    <m/>
    <m/>
    <m/>
    <m/>
    <m/>
    <m/>
    <m/>
  </r>
  <r>
    <n v="5071"/>
    <n v="55582"/>
    <d v="2000-08-14T00:00:00"/>
    <n v="25"/>
    <x v="0"/>
    <x v="1"/>
    <d v="2024-02-16T00:00:00"/>
    <n v="1.3561643835616439"/>
    <x v="26"/>
    <x v="0"/>
    <x v="11"/>
    <x v="1"/>
    <n v="17"/>
    <m/>
    <m/>
    <m/>
    <m/>
    <m/>
    <m/>
    <x v="1"/>
    <n v="2"/>
    <n v="5"/>
    <m/>
    <m/>
    <m/>
    <m/>
    <m/>
    <m/>
    <m/>
    <m/>
    <m/>
    <m/>
    <m/>
    <m/>
    <m/>
    <m/>
  </r>
  <r>
    <n v="5072"/>
    <n v="55584"/>
    <d v="1992-03-05T00:00:00"/>
    <n v="33"/>
    <x v="0"/>
    <x v="1"/>
    <d v="2024-08-23T00:00:00"/>
    <n v="1.3452054794520547"/>
    <x v="26"/>
    <x v="0"/>
    <x v="8"/>
    <x v="1"/>
    <n v="8.4700000000000006"/>
    <m/>
    <m/>
    <m/>
    <m/>
    <m/>
    <m/>
    <x v="3"/>
    <n v="4"/>
    <n v="5"/>
    <m/>
    <m/>
    <m/>
    <m/>
    <m/>
    <m/>
    <m/>
    <m/>
    <m/>
    <m/>
    <m/>
    <m/>
    <m/>
    <m/>
  </r>
  <r>
    <n v="5073"/>
    <n v="55585"/>
    <d v="2006-08-27T00:00:00"/>
    <n v="19"/>
    <x v="1"/>
    <x v="1"/>
    <d v="2024-08-27T00:00:00"/>
    <n v="1.1589041095890411"/>
    <x v="26"/>
    <x v="0"/>
    <x v="8"/>
    <x v="1"/>
    <n v="8.4700000000000006"/>
    <m/>
    <m/>
    <m/>
    <m/>
    <m/>
    <m/>
    <x v="3"/>
    <n v="0"/>
    <n v="6"/>
    <m/>
    <m/>
    <m/>
    <m/>
    <m/>
    <m/>
    <m/>
    <m/>
    <m/>
    <m/>
    <m/>
    <m/>
    <m/>
    <m/>
  </r>
  <r>
    <n v="5074"/>
    <n v="55586"/>
    <d v="2003-12-19T00:00:00"/>
    <n v="22"/>
    <x v="1"/>
    <x v="0"/>
    <d v="2024-11-03T00:00:00"/>
    <n v="1.5671232876712329"/>
    <x v="26"/>
    <x v="0"/>
    <x v="8"/>
    <x v="1"/>
    <n v="8.4700000000000006"/>
    <m/>
    <m/>
    <m/>
    <m/>
    <m/>
    <m/>
    <x v="3"/>
    <n v="3"/>
    <n v="7"/>
    <m/>
    <m/>
    <m/>
    <m/>
    <m/>
    <m/>
    <m/>
    <m/>
    <m/>
    <m/>
    <m/>
    <m/>
    <m/>
    <m/>
  </r>
  <r>
    <n v="5075"/>
    <n v="55587"/>
    <d v="2002-03-19T00:00:00"/>
    <n v="23"/>
    <x v="1"/>
    <x v="1"/>
    <d v="2024-06-07T00:00:00"/>
    <n v="1.5452054794520549"/>
    <x v="139"/>
    <x v="0"/>
    <x v="11"/>
    <x v="1"/>
    <n v="17"/>
    <m/>
    <m/>
    <m/>
    <m/>
    <m/>
    <m/>
    <x v="1"/>
    <n v="0"/>
    <n v="6"/>
    <m/>
    <m/>
    <m/>
    <m/>
    <m/>
    <m/>
    <m/>
    <m/>
    <m/>
    <m/>
    <m/>
    <m/>
    <m/>
    <m/>
  </r>
  <r>
    <n v="5076"/>
    <n v="55588"/>
    <d v="1998-07-23T00:00:00"/>
    <n v="27"/>
    <x v="1"/>
    <x v="1"/>
    <d v="2024-06-15T00:00:00"/>
    <n v="1.1178082191780823"/>
    <x v="139"/>
    <x v="0"/>
    <x v="11"/>
    <x v="1"/>
    <n v="17"/>
    <m/>
    <m/>
    <m/>
    <m/>
    <m/>
    <m/>
    <x v="2"/>
    <n v="2"/>
    <n v="5"/>
    <m/>
    <m/>
    <m/>
    <m/>
    <m/>
    <m/>
    <m/>
    <m/>
    <m/>
    <m/>
    <m/>
    <m/>
    <m/>
    <m/>
  </r>
  <r>
    <n v="5077"/>
    <n v="55589"/>
    <d v="2000-03-17T00:00:00"/>
    <n v="25"/>
    <x v="1"/>
    <x v="0"/>
    <d v="2024-11-18T00:00:00"/>
    <n v="1.7232876712328766"/>
    <x v="139"/>
    <x v="0"/>
    <x v="11"/>
    <x v="1"/>
    <n v="17"/>
    <m/>
    <m/>
    <m/>
    <m/>
    <m/>
    <m/>
    <x v="1"/>
    <n v="2"/>
    <n v="5"/>
    <m/>
    <m/>
    <m/>
    <m/>
    <m/>
    <m/>
    <m/>
    <m/>
    <m/>
    <m/>
    <m/>
    <m/>
    <m/>
    <m/>
  </r>
  <r>
    <n v="5078"/>
    <n v="55590"/>
    <d v="2004-12-31T00:00:00"/>
    <n v="21"/>
    <x v="1"/>
    <x v="1"/>
    <d v="2024-04-11T00:00:00"/>
    <n v="1.2136986301369863"/>
    <x v="139"/>
    <x v="0"/>
    <x v="10"/>
    <x v="1"/>
    <n v="10.64"/>
    <m/>
    <m/>
    <m/>
    <m/>
    <m/>
    <m/>
    <x v="4"/>
    <n v="0"/>
    <n v="5"/>
    <m/>
    <m/>
    <m/>
    <m/>
    <m/>
    <m/>
    <m/>
    <m/>
    <m/>
    <m/>
    <m/>
    <m/>
    <m/>
    <m/>
  </r>
  <r>
    <n v="5079"/>
    <n v="55591"/>
    <d v="2007-09-13T00:00:00"/>
    <n v="18"/>
    <x v="0"/>
    <x v="1"/>
    <d v="2024-10-14T00:00:00"/>
    <n v="1.1753424657534246"/>
    <x v="139"/>
    <x v="0"/>
    <x v="8"/>
    <x v="1"/>
    <n v="8.4700000000000006"/>
    <m/>
    <m/>
    <m/>
    <m/>
    <m/>
    <m/>
    <x v="1"/>
    <n v="4"/>
    <n v="4"/>
    <m/>
    <m/>
    <m/>
    <m/>
    <m/>
    <m/>
    <m/>
    <m/>
    <m/>
    <m/>
    <m/>
    <m/>
    <m/>
    <m/>
  </r>
  <r>
    <n v="5080"/>
    <n v="55592"/>
    <d v="2005-07-15T00:00:00"/>
    <n v="20"/>
    <x v="1"/>
    <x v="0"/>
    <d v="2024-10-28T00:00:00"/>
    <n v="1.210958904109589"/>
    <x v="139"/>
    <x v="0"/>
    <x v="8"/>
    <x v="1"/>
    <n v="8.4700000000000006"/>
    <m/>
    <m/>
    <m/>
    <m/>
    <m/>
    <m/>
    <x v="4"/>
    <n v="4"/>
    <n v="4"/>
    <m/>
    <m/>
    <m/>
    <m/>
    <m/>
    <m/>
    <m/>
    <m/>
    <m/>
    <m/>
    <m/>
    <m/>
    <m/>
    <m/>
  </r>
  <r>
    <n v="5081"/>
    <n v="55593"/>
    <d v="2005-09-16T00:00:00"/>
    <n v="20"/>
    <x v="1"/>
    <x v="0"/>
    <d v="2024-10-15T00:00:00"/>
    <n v="1.3561643835616439"/>
    <x v="139"/>
    <x v="0"/>
    <x v="8"/>
    <x v="1"/>
    <n v="8.4700000000000006"/>
    <m/>
    <m/>
    <m/>
    <m/>
    <m/>
    <m/>
    <x v="4"/>
    <n v="1"/>
    <n v="5"/>
    <m/>
    <m/>
    <m/>
    <m/>
    <m/>
    <m/>
    <m/>
    <m/>
    <m/>
    <m/>
    <m/>
    <m/>
    <m/>
    <m/>
  </r>
  <r>
    <n v="5082"/>
    <n v="55594"/>
    <d v="2005-01-06T00:00:00"/>
    <n v="20"/>
    <x v="1"/>
    <x v="1"/>
    <d v="2024-08-23T00:00:00"/>
    <n v="1.2821917808219179"/>
    <x v="139"/>
    <x v="0"/>
    <x v="8"/>
    <x v="1"/>
    <n v="8.4700000000000006"/>
    <m/>
    <m/>
    <m/>
    <m/>
    <m/>
    <m/>
    <x v="2"/>
    <n v="0"/>
    <n v="6"/>
    <m/>
    <m/>
    <m/>
    <m/>
    <m/>
    <m/>
    <m/>
    <m/>
    <m/>
    <m/>
    <m/>
    <m/>
    <m/>
    <m/>
  </r>
  <r>
    <n v="5083"/>
    <n v="55595"/>
    <d v="2003-12-02T00:00:00"/>
    <n v="22"/>
    <x v="1"/>
    <x v="1"/>
    <d v="2024-09-19T00:00:00"/>
    <n v="1.5863013698630137"/>
    <x v="139"/>
    <x v="0"/>
    <x v="8"/>
    <x v="1"/>
    <n v="8.4700000000000006"/>
    <m/>
    <m/>
    <m/>
    <m/>
    <m/>
    <m/>
    <x v="1"/>
    <n v="1"/>
    <n v="4"/>
    <m/>
    <m/>
    <m/>
    <m/>
    <m/>
    <m/>
    <m/>
    <m/>
    <m/>
    <m/>
    <m/>
    <m/>
    <m/>
    <m/>
  </r>
  <r>
    <n v="5084"/>
    <n v="55596"/>
    <d v="2006-11-07T00:00:00"/>
    <n v="19"/>
    <x v="1"/>
    <x v="0"/>
    <d v="2024-05-31T00:00:00"/>
    <n v="1.273972602739726"/>
    <x v="139"/>
    <x v="0"/>
    <x v="8"/>
    <x v="1"/>
    <n v="8.4700000000000006"/>
    <m/>
    <m/>
    <m/>
    <m/>
    <m/>
    <m/>
    <x v="1"/>
    <n v="1"/>
    <n v="5"/>
    <m/>
    <m/>
    <m/>
    <m/>
    <m/>
    <m/>
    <m/>
    <m/>
    <m/>
    <m/>
    <m/>
    <m/>
    <m/>
    <m/>
  </r>
  <r>
    <n v="5085"/>
    <n v="55597"/>
    <d v="2005-07-16T00:00:00"/>
    <n v="20"/>
    <x v="1"/>
    <x v="1"/>
    <d v="2024-09-22T00:00:00"/>
    <n v="1.8082191780821917"/>
    <x v="139"/>
    <x v="0"/>
    <x v="8"/>
    <x v="1"/>
    <n v="8.4700000000000006"/>
    <m/>
    <m/>
    <m/>
    <m/>
    <m/>
    <m/>
    <x v="1"/>
    <n v="2"/>
    <n v="6"/>
    <m/>
    <m/>
    <m/>
    <m/>
    <m/>
    <m/>
    <m/>
    <m/>
    <m/>
    <m/>
    <m/>
    <m/>
    <m/>
    <m/>
  </r>
  <r>
    <n v="5086"/>
    <n v="55598"/>
    <d v="2004-03-19T00:00:00"/>
    <n v="21"/>
    <x v="1"/>
    <x v="1"/>
    <d v="2024-03-11T00:00:00"/>
    <n v="1.1808219178082191"/>
    <x v="139"/>
    <x v="0"/>
    <x v="8"/>
    <x v="1"/>
    <n v="8.4700000000000006"/>
    <m/>
    <m/>
    <m/>
    <m/>
    <m/>
    <m/>
    <x v="4"/>
    <n v="2"/>
    <n v="6"/>
    <m/>
    <m/>
    <m/>
    <m/>
    <m/>
    <m/>
    <m/>
    <m/>
    <m/>
    <m/>
    <m/>
    <m/>
    <m/>
    <m/>
  </r>
  <r>
    <n v="5087"/>
    <n v="55600"/>
    <d v="1993-08-26T00:00:00"/>
    <n v="32"/>
    <x v="1"/>
    <x v="1"/>
    <d v="2024-10-26T00:00:00"/>
    <n v="1.2356164383561643"/>
    <x v="139"/>
    <x v="0"/>
    <x v="8"/>
    <x v="1"/>
    <n v="8.4700000000000006"/>
    <m/>
    <m/>
    <m/>
    <m/>
    <m/>
    <m/>
    <x v="1"/>
    <n v="0"/>
    <n v="7"/>
    <m/>
    <m/>
    <m/>
    <m/>
    <m/>
    <m/>
    <m/>
    <m/>
    <m/>
    <m/>
    <m/>
    <m/>
    <m/>
    <m/>
  </r>
  <r>
    <n v="5088"/>
    <n v="55601"/>
    <d v="2003-06-16T00:00:00"/>
    <n v="22"/>
    <x v="1"/>
    <x v="1"/>
    <d v="2024-10-06T00:00:00"/>
    <n v="1.6493150684931508"/>
    <x v="139"/>
    <x v="0"/>
    <x v="8"/>
    <x v="1"/>
    <n v="8.4700000000000006"/>
    <m/>
    <m/>
    <m/>
    <m/>
    <m/>
    <m/>
    <x v="3"/>
    <n v="0"/>
    <n v="4"/>
    <m/>
    <m/>
    <m/>
    <m/>
    <m/>
    <m/>
    <m/>
    <m/>
    <m/>
    <m/>
    <m/>
    <m/>
    <m/>
    <m/>
  </r>
  <r>
    <n v="5089"/>
    <n v="55602"/>
    <d v="2004-05-25T00:00:00"/>
    <n v="21"/>
    <x v="1"/>
    <x v="1"/>
    <d v="2024-05-08T00:00:00"/>
    <n v="1.4164383561643836"/>
    <x v="139"/>
    <x v="0"/>
    <x v="8"/>
    <x v="1"/>
    <n v="8.4700000000000006"/>
    <m/>
    <m/>
    <m/>
    <m/>
    <m/>
    <m/>
    <x v="4"/>
    <n v="2"/>
    <n v="7"/>
    <m/>
    <m/>
    <m/>
    <m/>
    <m/>
    <m/>
    <m/>
    <m/>
    <m/>
    <m/>
    <m/>
    <m/>
    <m/>
    <m/>
  </r>
  <r>
    <n v="5090"/>
    <n v="55603"/>
    <d v="2002-05-11T00:00:00"/>
    <n v="23"/>
    <x v="1"/>
    <x v="1"/>
    <d v="2024-08-01T00:00:00"/>
    <n v="1"/>
    <x v="139"/>
    <x v="0"/>
    <x v="8"/>
    <x v="1"/>
    <n v="8.4700000000000006"/>
    <m/>
    <m/>
    <m/>
    <m/>
    <m/>
    <m/>
    <x v="1"/>
    <n v="4"/>
    <n v="7"/>
    <m/>
    <m/>
    <m/>
    <m/>
    <m/>
    <m/>
    <m/>
    <m/>
    <m/>
    <m/>
    <m/>
    <m/>
    <m/>
    <m/>
  </r>
  <r>
    <n v="5091"/>
    <n v="55605"/>
    <d v="2003-03-03T00:00:00"/>
    <n v="22"/>
    <x v="1"/>
    <x v="0"/>
    <d v="2024-12-31T00:00:00"/>
    <n v="1.7205479452054795"/>
    <x v="139"/>
    <x v="0"/>
    <x v="8"/>
    <x v="1"/>
    <n v="8.4700000000000006"/>
    <m/>
    <m/>
    <m/>
    <m/>
    <m/>
    <m/>
    <x v="4"/>
    <n v="2"/>
    <n v="5"/>
    <m/>
    <m/>
    <m/>
    <m/>
    <m/>
    <m/>
    <m/>
    <m/>
    <m/>
    <m/>
    <m/>
    <m/>
    <m/>
    <m/>
  </r>
  <r>
    <n v="5092"/>
    <n v="55606"/>
    <d v="2003-02-01T00:00:00"/>
    <n v="23"/>
    <x v="1"/>
    <x v="1"/>
    <d v="2024-04-12T00:00:00"/>
    <n v="1.4109589041095891"/>
    <x v="49"/>
    <x v="0"/>
    <x v="8"/>
    <x v="1"/>
    <n v="8.4700000000000006"/>
    <m/>
    <m/>
    <m/>
    <m/>
    <m/>
    <m/>
    <x v="3"/>
    <n v="2"/>
    <n v="6"/>
    <m/>
    <m/>
    <m/>
    <m/>
    <m/>
    <m/>
    <m/>
    <m/>
    <m/>
    <m/>
    <m/>
    <m/>
    <m/>
    <m/>
  </r>
  <r>
    <n v="5093"/>
    <n v="55607"/>
    <d v="2005-12-30T00:00:00"/>
    <n v="20"/>
    <x v="1"/>
    <x v="1"/>
    <d v="2024-08-03T00:00:00"/>
    <n v="1.515068493150685"/>
    <x v="49"/>
    <x v="0"/>
    <x v="8"/>
    <x v="1"/>
    <n v="8.4700000000000006"/>
    <m/>
    <m/>
    <m/>
    <m/>
    <m/>
    <m/>
    <x v="4"/>
    <n v="1"/>
    <n v="6"/>
    <m/>
    <m/>
    <m/>
    <m/>
    <m/>
    <m/>
    <m/>
    <m/>
    <m/>
    <m/>
    <m/>
    <m/>
    <m/>
    <m/>
  </r>
  <r>
    <n v="5094"/>
    <n v="55608"/>
    <d v="1996-04-15T00:00:00"/>
    <n v="29"/>
    <x v="1"/>
    <x v="0"/>
    <d v="2024-06-26T00:00:00"/>
    <n v="1.2602739726027397"/>
    <x v="49"/>
    <x v="0"/>
    <x v="8"/>
    <x v="1"/>
    <n v="8.4700000000000006"/>
    <m/>
    <m/>
    <m/>
    <m/>
    <m/>
    <m/>
    <x v="2"/>
    <n v="2"/>
    <n v="5"/>
    <m/>
    <m/>
    <m/>
    <m/>
    <m/>
    <m/>
    <m/>
    <m/>
    <m/>
    <m/>
    <m/>
    <m/>
    <m/>
    <m/>
  </r>
  <r>
    <n v="5095"/>
    <n v="55609"/>
    <d v="2004-01-20T00:00:00"/>
    <n v="21"/>
    <x v="1"/>
    <x v="1"/>
    <d v="2024-09-27T00:00:00"/>
    <n v="1.3945205479452054"/>
    <x v="49"/>
    <x v="0"/>
    <x v="8"/>
    <x v="1"/>
    <n v="8.4700000000000006"/>
    <m/>
    <m/>
    <m/>
    <m/>
    <m/>
    <m/>
    <x v="4"/>
    <n v="1"/>
    <n v="5"/>
    <m/>
    <m/>
    <m/>
    <m/>
    <m/>
    <m/>
    <m/>
    <m/>
    <m/>
    <m/>
    <m/>
    <m/>
    <m/>
    <m/>
  </r>
  <r>
    <n v="5096"/>
    <n v="55610"/>
    <d v="2004-10-19T00:00:00"/>
    <n v="21"/>
    <x v="0"/>
    <x v="0"/>
    <d v="2024-08-09T00:00:00"/>
    <n v="1.4876712328767123"/>
    <x v="49"/>
    <x v="0"/>
    <x v="8"/>
    <x v="1"/>
    <n v="8.4700000000000006"/>
    <m/>
    <m/>
    <m/>
    <m/>
    <m/>
    <m/>
    <x v="4"/>
    <n v="3"/>
    <n v="5"/>
    <m/>
    <m/>
    <m/>
    <m/>
    <m/>
    <m/>
    <m/>
    <m/>
    <m/>
    <m/>
    <m/>
    <m/>
    <m/>
    <m/>
  </r>
  <r>
    <n v="5097"/>
    <n v="55611"/>
    <d v="2002-12-29T00:00:00"/>
    <n v="23"/>
    <x v="0"/>
    <x v="1"/>
    <d v="2024-07-06T00:00:00"/>
    <n v="1.1178082191780823"/>
    <x v="49"/>
    <x v="0"/>
    <x v="8"/>
    <x v="1"/>
    <n v="8.4700000000000006"/>
    <m/>
    <m/>
    <m/>
    <m/>
    <m/>
    <m/>
    <x v="3"/>
    <n v="2"/>
    <n v="5"/>
    <m/>
    <m/>
    <m/>
    <m/>
    <m/>
    <m/>
    <m/>
    <m/>
    <m/>
    <m/>
    <m/>
    <m/>
    <m/>
    <m/>
  </r>
  <r>
    <n v="5098"/>
    <n v="55612"/>
    <d v="2000-05-25T00:00:00"/>
    <n v="25"/>
    <x v="0"/>
    <x v="1"/>
    <d v="2024-11-18T00:00:00"/>
    <n v="1.2575342465753425"/>
    <x v="49"/>
    <x v="0"/>
    <x v="8"/>
    <x v="1"/>
    <n v="8.4700000000000006"/>
    <m/>
    <m/>
    <m/>
    <m/>
    <m/>
    <m/>
    <x v="4"/>
    <n v="2"/>
    <n v="5"/>
    <m/>
    <m/>
    <m/>
    <m/>
    <m/>
    <m/>
    <m/>
    <m/>
    <m/>
    <m/>
    <m/>
    <m/>
    <m/>
    <m/>
  </r>
  <r>
    <n v="5099"/>
    <n v="55613"/>
    <d v="2002-06-20T00:00:00"/>
    <n v="23"/>
    <x v="1"/>
    <x v="1"/>
    <d v="2024-09-28T00:00:00"/>
    <n v="1.726027397260274"/>
    <x v="49"/>
    <x v="0"/>
    <x v="8"/>
    <x v="1"/>
    <n v="8.4700000000000006"/>
    <m/>
    <m/>
    <m/>
    <m/>
    <m/>
    <m/>
    <x v="3"/>
    <n v="2"/>
    <n v="6"/>
    <m/>
    <m/>
    <m/>
    <m/>
    <m/>
    <m/>
    <m/>
    <m/>
    <m/>
    <m/>
    <m/>
    <m/>
    <m/>
    <m/>
  </r>
  <r>
    <n v="5100"/>
    <n v="55614"/>
    <d v="2002-07-13T00:00:00"/>
    <n v="23"/>
    <x v="0"/>
    <x v="0"/>
    <d v="2024-04-10T00:00:00"/>
    <n v="1.4136986301369863"/>
    <x v="47"/>
    <x v="0"/>
    <x v="11"/>
    <x v="1"/>
    <n v="17"/>
    <m/>
    <m/>
    <m/>
    <m/>
    <m/>
    <m/>
    <x v="4"/>
    <n v="4"/>
    <n v="3"/>
    <m/>
    <m/>
    <m/>
    <m/>
    <m/>
    <m/>
    <m/>
    <m/>
    <m/>
    <m/>
    <m/>
    <m/>
    <m/>
    <m/>
  </r>
  <r>
    <n v="5101"/>
    <n v="55615"/>
    <d v="1992-04-07T00:00:00"/>
    <n v="33"/>
    <x v="1"/>
    <x v="1"/>
    <d v="2024-08-02T00:00:00"/>
    <n v="1.6219178082191781"/>
    <x v="47"/>
    <x v="0"/>
    <x v="11"/>
    <x v="1"/>
    <n v="17"/>
    <m/>
    <m/>
    <m/>
    <m/>
    <m/>
    <m/>
    <x v="1"/>
    <n v="1"/>
    <n v="7"/>
    <m/>
    <m/>
    <m/>
    <m/>
    <m/>
    <m/>
    <m/>
    <m/>
    <m/>
    <m/>
    <m/>
    <m/>
    <m/>
    <m/>
  </r>
  <r>
    <n v="5102"/>
    <n v="55616"/>
    <d v="2001-09-02T00:00:00"/>
    <n v="24"/>
    <x v="1"/>
    <x v="0"/>
    <d v="2024-05-18T00:00:00"/>
    <n v="1.2027397260273973"/>
    <x v="47"/>
    <x v="0"/>
    <x v="10"/>
    <x v="1"/>
    <n v="10.64"/>
    <m/>
    <m/>
    <m/>
    <m/>
    <m/>
    <m/>
    <x v="4"/>
    <n v="1"/>
    <n v="5"/>
    <m/>
    <m/>
    <m/>
    <m/>
    <m/>
    <m/>
    <m/>
    <m/>
    <m/>
    <m/>
    <m/>
    <m/>
    <m/>
    <m/>
  </r>
  <r>
    <n v="5103"/>
    <n v="55617"/>
    <d v="1999-11-01T00:00:00"/>
    <n v="27"/>
    <x v="1"/>
    <x v="0"/>
    <d v="2024-10-18T00:00:00"/>
    <n v="1.2027397260273973"/>
    <x v="47"/>
    <x v="0"/>
    <x v="10"/>
    <x v="1"/>
    <n v="10.64"/>
    <m/>
    <m/>
    <m/>
    <m/>
    <m/>
    <m/>
    <x v="2"/>
    <n v="1"/>
    <n v="6"/>
    <m/>
    <m/>
    <m/>
    <m/>
    <m/>
    <m/>
    <m/>
    <m/>
    <m/>
    <m/>
    <m/>
    <m/>
    <m/>
    <m/>
  </r>
  <r>
    <n v="5104"/>
    <n v="55618"/>
    <d v="2006-12-23T00:00:00"/>
    <n v="19"/>
    <x v="0"/>
    <x v="1"/>
    <d v="2024-10-18T00:00:00"/>
    <n v="1.2767123287671234"/>
    <x v="47"/>
    <x v="0"/>
    <x v="10"/>
    <x v="1"/>
    <n v="10.64"/>
    <m/>
    <m/>
    <m/>
    <m/>
    <m/>
    <m/>
    <x v="1"/>
    <n v="1"/>
    <n v="4"/>
    <m/>
    <m/>
    <m/>
    <m/>
    <m/>
    <m/>
    <m/>
    <m/>
    <m/>
    <m/>
    <m/>
    <m/>
    <m/>
    <m/>
  </r>
  <r>
    <n v="5105"/>
    <n v="55620"/>
    <d v="2004-08-09T00:00:00"/>
    <n v="21"/>
    <x v="1"/>
    <x v="1"/>
    <d v="2024-09-21T00:00:00"/>
    <n v="1.3205479452054794"/>
    <x v="47"/>
    <x v="0"/>
    <x v="3"/>
    <x v="1"/>
    <n v="8.4700000000000006"/>
    <m/>
    <m/>
    <m/>
    <m/>
    <m/>
    <m/>
    <x v="4"/>
    <n v="0"/>
    <n v="5"/>
    <m/>
    <m/>
    <m/>
    <m/>
    <m/>
    <m/>
    <m/>
    <m/>
    <m/>
    <m/>
    <m/>
    <m/>
    <m/>
    <m/>
  </r>
  <r>
    <n v="5106"/>
    <n v="55621"/>
    <d v="2004-08-23T00:00:00"/>
    <n v="21"/>
    <x v="1"/>
    <x v="1"/>
    <d v="2024-09-05T00:00:00"/>
    <n v="1.1424657534246576"/>
    <x v="47"/>
    <x v="0"/>
    <x v="8"/>
    <x v="1"/>
    <n v="8.4700000000000006"/>
    <m/>
    <m/>
    <m/>
    <m/>
    <m/>
    <m/>
    <x v="1"/>
    <n v="1"/>
    <n v="5"/>
    <m/>
    <m/>
    <m/>
    <m/>
    <m/>
    <m/>
    <m/>
    <m/>
    <m/>
    <m/>
    <m/>
    <m/>
    <m/>
    <m/>
  </r>
  <r>
    <n v="5107"/>
    <n v="55622"/>
    <d v="2003-09-08T00:00:00"/>
    <n v="22"/>
    <x v="1"/>
    <x v="1"/>
    <d v="2024-11-09T00:00:00"/>
    <n v="1.3232876712328767"/>
    <x v="47"/>
    <x v="0"/>
    <x v="8"/>
    <x v="1"/>
    <n v="8.4700000000000006"/>
    <m/>
    <m/>
    <m/>
    <m/>
    <m/>
    <m/>
    <x v="4"/>
    <n v="2"/>
    <n v="5"/>
    <m/>
    <m/>
    <m/>
    <m/>
    <m/>
    <m/>
    <m/>
    <m/>
    <m/>
    <m/>
    <m/>
    <m/>
    <m/>
    <m/>
  </r>
  <r>
    <n v="5108"/>
    <n v="55623"/>
    <d v="2004-11-26T00:00:00"/>
    <n v="21"/>
    <x v="1"/>
    <x v="1"/>
    <d v="2024-09-04T00:00:00"/>
    <n v="1.7123287671232876"/>
    <x v="47"/>
    <x v="0"/>
    <x v="8"/>
    <x v="1"/>
    <n v="8.4700000000000006"/>
    <m/>
    <m/>
    <m/>
    <m/>
    <m/>
    <m/>
    <x v="1"/>
    <n v="2"/>
    <n v="4"/>
    <m/>
    <m/>
    <m/>
    <m/>
    <m/>
    <m/>
    <m/>
    <m/>
    <m/>
    <m/>
    <m/>
    <m/>
    <m/>
    <m/>
  </r>
  <r>
    <n v="5109"/>
    <n v="55624"/>
    <d v="2000-10-12T00:00:00"/>
    <n v="25"/>
    <x v="0"/>
    <x v="1"/>
    <d v="2024-04-15T00:00:00"/>
    <n v="1.3260273972602741"/>
    <x v="47"/>
    <x v="0"/>
    <x v="8"/>
    <x v="1"/>
    <n v="8.4700000000000006"/>
    <m/>
    <m/>
    <m/>
    <m/>
    <m/>
    <m/>
    <x v="2"/>
    <n v="1"/>
    <n v="6"/>
    <m/>
    <m/>
    <m/>
    <m/>
    <m/>
    <m/>
    <m/>
    <m/>
    <m/>
    <m/>
    <m/>
    <m/>
    <m/>
    <m/>
  </r>
  <r>
    <n v="5110"/>
    <n v="55625"/>
    <d v="2000-04-05T00:00:00"/>
    <n v="25"/>
    <x v="1"/>
    <x v="0"/>
    <d v="2024-09-03T00:00:00"/>
    <n v="1.263013698630137"/>
    <x v="47"/>
    <x v="0"/>
    <x v="8"/>
    <x v="1"/>
    <n v="8.4700000000000006"/>
    <m/>
    <m/>
    <m/>
    <m/>
    <m/>
    <m/>
    <x v="2"/>
    <n v="3"/>
    <n v="6"/>
    <m/>
    <m/>
    <m/>
    <m/>
    <m/>
    <m/>
    <m/>
    <m/>
    <m/>
    <m/>
    <m/>
    <m/>
    <m/>
    <m/>
  </r>
  <r>
    <n v="5111"/>
    <n v="55626"/>
    <d v="2007-05-01T00:00:00"/>
    <n v="19"/>
    <x v="1"/>
    <x v="1"/>
    <d v="2024-09-26T00:00:00"/>
    <n v="1.536986301369863"/>
    <x v="47"/>
    <x v="0"/>
    <x v="8"/>
    <x v="1"/>
    <n v="8.4700000000000006"/>
    <m/>
    <m/>
    <m/>
    <m/>
    <m/>
    <m/>
    <x v="2"/>
    <n v="4"/>
    <n v="6"/>
    <m/>
    <m/>
    <m/>
    <m/>
    <m/>
    <m/>
    <m/>
    <m/>
    <m/>
    <m/>
    <m/>
    <m/>
    <m/>
    <m/>
  </r>
  <r>
    <n v="5112"/>
    <n v="55627"/>
    <d v="2004-05-14T00:00:00"/>
    <n v="21"/>
    <x v="1"/>
    <x v="0"/>
    <d v="2024-06-18T00:00:00"/>
    <n v="1.1945205479452055"/>
    <x v="47"/>
    <x v="0"/>
    <x v="8"/>
    <x v="1"/>
    <n v="8.4700000000000006"/>
    <m/>
    <m/>
    <m/>
    <m/>
    <m/>
    <m/>
    <x v="4"/>
    <n v="2"/>
    <n v="5"/>
    <m/>
    <m/>
    <m/>
    <m/>
    <m/>
    <m/>
    <m/>
    <m/>
    <m/>
    <m/>
    <m/>
    <m/>
    <m/>
    <m/>
  </r>
  <r>
    <n v="5113"/>
    <n v="55628"/>
    <d v="1996-09-03T00:00:00"/>
    <n v="29"/>
    <x v="1"/>
    <x v="1"/>
    <d v="2024-10-21T00:00:00"/>
    <n v="1.3287671232876712"/>
    <x v="47"/>
    <x v="0"/>
    <x v="8"/>
    <x v="1"/>
    <n v="8.4700000000000006"/>
    <m/>
    <m/>
    <m/>
    <m/>
    <m/>
    <m/>
    <x v="3"/>
    <n v="1"/>
    <n v="5"/>
    <m/>
    <m/>
    <m/>
    <m/>
    <m/>
    <m/>
    <m/>
    <m/>
    <m/>
    <m/>
    <m/>
    <m/>
    <m/>
    <m/>
  </r>
  <r>
    <n v="5114"/>
    <n v="55629"/>
    <d v="2005-07-02T00:00:00"/>
    <n v="20"/>
    <x v="0"/>
    <x v="1"/>
    <d v="2024-09-02T00:00:00"/>
    <n v="1.2191780821917808"/>
    <x v="47"/>
    <x v="0"/>
    <x v="8"/>
    <x v="1"/>
    <n v="8.4700000000000006"/>
    <m/>
    <m/>
    <m/>
    <m/>
    <m/>
    <m/>
    <x v="2"/>
    <n v="4"/>
    <n v="5"/>
    <m/>
    <m/>
    <m/>
    <m/>
    <m/>
    <m/>
    <m/>
    <m/>
    <m/>
    <m/>
    <m/>
    <m/>
    <m/>
    <m/>
  </r>
  <r>
    <n v="5115"/>
    <n v="55630"/>
    <d v="2004-02-04T00:00:00"/>
    <n v="21"/>
    <x v="1"/>
    <x v="1"/>
    <d v="2024-10-12T00:00:00"/>
    <n v="1.4904109589041097"/>
    <x v="47"/>
    <x v="0"/>
    <x v="8"/>
    <x v="1"/>
    <n v="8.4700000000000006"/>
    <m/>
    <m/>
    <m/>
    <m/>
    <m/>
    <m/>
    <x v="1"/>
    <n v="2"/>
    <n v="7"/>
    <m/>
    <m/>
    <m/>
    <m/>
    <m/>
    <m/>
    <m/>
    <m/>
    <m/>
    <m/>
    <m/>
    <m/>
    <m/>
    <m/>
  </r>
  <r>
    <n v="5116"/>
    <n v="55631"/>
    <d v="2006-02-11T00:00:00"/>
    <n v="19"/>
    <x v="1"/>
    <x v="0"/>
    <d v="2024-07-05T00:00:00"/>
    <n v="1.4986301369863013"/>
    <x v="47"/>
    <x v="0"/>
    <x v="8"/>
    <x v="1"/>
    <n v="8.4700000000000006"/>
    <m/>
    <m/>
    <m/>
    <m/>
    <m/>
    <m/>
    <x v="1"/>
    <n v="4"/>
    <n v="6"/>
    <m/>
    <m/>
    <m/>
    <m/>
    <m/>
    <m/>
    <m/>
    <m/>
    <m/>
    <m/>
    <m/>
    <m/>
    <m/>
    <m/>
  </r>
  <r>
    <n v="5117"/>
    <n v="55632"/>
    <d v="2002-04-23T00:00:00"/>
    <n v="23"/>
    <x v="1"/>
    <x v="1"/>
    <d v="2024-07-02T00:00:00"/>
    <n v="1.7698630136986302"/>
    <x v="61"/>
    <x v="0"/>
    <x v="11"/>
    <x v="1"/>
    <n v="17"/>
    <m/>
    <m/>
    <m/>
    <m/>
    <m/>
    <m/>
    <x v="4"/>
    <n v="4"/>
    <n v="6"/>
    <m/>
    <m/>
    <m/>
    <m/>
    <m/>
    <m/>
    <m/>
    <m/>
    <m/>
    <m/>
    <m/>
    <m/>
    <m/>
    <m/>
  </r>
  <r>
    <n v="5118"/>
    <n v="55633"/>
    <d v="2000-10-17T00:00:00"/>
    <n v="25"/>
    <x v="1"/>
    <x v="1"/>
    <d v="2024-03-25T00:00:00"/>
    <n v="1.5945205479452054"/>
    <x v="61"/>
    <x v="0"/>
    <x v="8"/>
    <x v="1"/>
    <n v="8.4700000000000006"/>
    <m/>
    <m/>
    <m/>
    <m/>
    <m/>
    <m/>
    <x v="1"/>
    <n v="2"/>
    <n v="6"/>
    <m/>
    <m/>
    <m/>
    <m/>
    <m/>
    <m/>
    <m/>
    <m/>
    <m/>
    <m/>
    <m/>
    <m/>
    <m/>
    <m/>
  </r>
  <r>
    <n v="5119"/>
    <n v="55634"/>
    <d v="2000-07-08T00:00:00"/>
    <n v="25"/>
    <x v="1"/>
    <x v="0"/>
    <d v="2024-05-28T00:00:00"/>
    <n v="1.3753424657534246"/>
    <x v="61"/>
    <x v="0"/>
    <x v="8"/>
    <x v="1"/>
    <n v="8.4700000000000006"/>
    <m/>
    <m/>
    <m/>
    <m/>
    <m/>
    <m/>
    <x v="2"/>
    <n v="1"/>
    <n v="5"/>
    <m/>
    <m/>
    <m/>
    <m/>
    <m/>
    <m/>
    <m/>
    <m/>
    <m/>
    <m/>
    <m/>
    <m/>
    <m/>
    <m/>
  </r>
  <r>
    <n v="5120"/>
    <n v="55635"/>
    <d v="1998-05-28T00:00:00"/>
    <n v="27"/>
    <x v="1"/>
    <x v="1"/>
    <d v="2024-08-16T00:00:00"/>
    <n v="1.747945205479452"/>
    <x v="61"/>
    <x v="0"/>
    <x v="8"/>
    <x v="1"/>
    <n v="8.4700000000000006"/>
    <m/>
    <m/>
    <m/>
    <m/>
    <m/>
    <m/>
    <x v="4"/>
    <n v="3"/>
    <n v="5"/>
    <m/>
    <m/>
    <m/>
    <m/>
    <m/>
    <m/>
    <m/>
    <m/>
    <m/>
    <m/>
    <m/>
    <m/>
    <m/>
    <m/>
  </r>
  <r>
    <n v="5121"/>
    <n v="55636"/>
    <d v="1998-03-23T00:00:00"/>
    <n v="27"/>
    <x v="0"/>
    <x v="1"/>
    <d v="2024-04-02T00:00:00"/>
    <n v="1.536986301369863"/>
    <x v="61"/>
    <x v="0"/>
    <x v="8"/>
    <x v="1"/>
    <n v="8.4700000000000006"/>
    <m/>
    <m/>
    <m/>
    <m/>
    <m/>
    <m/>
    <x v="2"/>
    <n v="1"/>
    <n v="4"/>
    <m/>
    <m/>
    <m/>
    <m/>
    <m/>
    <m/>
    <m/>
    <m/>
    <m/>
    <m/>
    <m/>
    <m/>
    <m/>
    <m/>
  </r>
  <r>
    <n v="5122"/>
    <n v="55637"/>
    <d v="2002-03-27T00:00:00"/>
    <n v="23"/>
    <x v="0"/>
    <x v="1"/>
    <d v="2024-06-18T00:00:00"/>
    <n v="1.558904109589041"/>
    <x v="31"/>
    <x v="0"/>
    <x v="11"/>
    <x v="1"/>
    <n v="17"/>
    <m/>
    <m/>
    <m/>
    <m/>
    <m/>
    <m/>
    <x v="2"/>
    <n v="4"/>
    <n v="4"/>
    <m/>
    <m/>
    <m/>
    <m/>
    <m/>
    <m/>
    <m/>
    <m/>
    <m/>
    <m/>
    <m/>
    <m/>
    <m/>
    <m/>
  </r>
  <r>
    <n v="5123"/>
    <n v="55638"/>
    <d v="1999-10-10T00:00:00"/>
    <n v="26"/>
    <x v="1"/>
    <x v="1"/>
    <d v="2024-06-10T00:00:00"/>
    <n v="1.0712328767123287"/>
    <x v="31"/>
    <x v="0"/>
    <x v="11"/>
    <x v="1"/>
    <n v="17"/>
    <m/>
    <m/>
    <m/>
    <m/>
    <m/>
    <m/>
    <x v="1"/>
    <n v="3"/>
    <n v="7"/>
    <m/>
    <m/>
    <m/>
    <m/>
    <m/>
    <m/>
    <m/>
    <m/>
    <m/>
    <m/>
    <m/>
    <m/>
    <m/>
    <m/>
  </r>
  <r>
    <n v="5124"/>
    <n v="55639"/>
    <d v="2003-08-01T00:00:00"/>
    <n v="23"/>
    <x v="1"/>
    <x v="1"/>
    <d v="2024-12-05T00:00:00"/>
    <n v="1.526027397260274"/>
    <x v="31"/>
    <x v="0"/>
    <x v="11"/>
    <x v="1"/>
    <n v="17"/>
    <m/>
    <m/>
    <m/>
    <m/>
    <m/>
    <m/>
    <x v="3"/>
    <n v="2"/>
    <n v="5"/>
    <m/>
    <m/>
    <m/>
    <m/>
    <m/>
    <m/>
    <m/>
    <m/>
    <m/>
    <m/>
    <m/>
    <m/>
    <m/>
    <m/>
  </r>
  <r>
    <n v="5125"/>
    <n v="55640"/>
    <d v="2002-10-22T00:00:00"/>
    <n v="23"/>
    <x v="0"/>
    <x v="1"/>
    <d v="2024-06-22T00:00:00"/>
    <n v="1.0082191780821919"/>
    <x v="31"/>
    <x v="0"/>
    <x v="10"/>
    <x v="1"/>
    <n v="10.64"/>
    <m/>
    <m/>
    <m/>
    <m/>
    <m/>
    <m/>
    <x v="3"/>
    <n v="0"/>
    <n v="5"/>
    <m/>
    <m/>
    <m/>
    <m/>
    <m/>
    <m/>
    <m/>
    <m/>
    <m/>
    <m/>
    <m/>
    <m/>
    <m/>
    <m/>
  </r>
  <r>
    <n v="5126"/>
    <n v="55641"/>
    <d v="2003-04-03T00:00:00"/>
    <n v="22"/>
    <x v="1"/>
    <x v="1"/>
    <d v="2024-12-28T00:00:00"/>
    <n v="1.252054794520548"/>
    <x v="31"/>
    <x v="0"/>
    <x v="8"/>
    <x v="1"/>
    <n v="8.4700000000000006"/>
    <m/>
    <m/>
    <m/>
    <m/>
    <m/>
    <m/>
    <x v="1"/>
    <n v="0"/>
    <n v="6"/>
    <m/>
    <m/>
    <m/>
    <m/>
    <m/>
    <m/>
    <m/>
    <m/>
    <m/>
    <m/>
    <m/>
    <m/>
    <m/>
    <m/>
  </r>
  <r>
    <n v="5127"/>
    <n v="55642"/>
    <d v="2006-10-29T00:00:00"/>
    <n v="19"/>
    <x v="1"/>
    <x v="1"/>
    <d v="2024-09-30T00:00:00"/>
    <n v="1.6356164383561644"/>
    <x v="31"/>
    <x v="0"/>
    <x v="8"/>
    <x v="1"/>
    <n v="8.4700000000000006"/>
    <m/>
    <m/>
    <m/>
    <m/>
    <m/>
    <m/>
    <x v="4"/>
    <n v="4"/>
    <n v="6"/>
    <m/>
    <m/>
    <m/>
    <m/>
    <m/>
    <m/>
    <m/>
    <m/>
    <m/>
    <m/>
    <m/>
    <m/>
    <m/>
    <m/>
  </r>
  <r>
    <n v="5128"/>
    <n v="55643"/>
    <d v="2005-04-29T00:00:00"/>
    <n v="20"/>
    <x v="1"/>
    <x v="1"/>
    <d v="2024-05-13T00:00:00"/>
    <n v="1.1397260273972603"/>
    <x v="31"/>
    <x v="0"/>
    <x v="8"/>
    <x v="1"/>
    <n v="8.4700000000000006"/>
    <m/>
    <m/>
    <m/>
    <m/>
    <m/>
    <m/>
    <x v="1"/>
    <n v="1"/>
    <n v="6"/>
    <m/>
    <m/>
    <m/>
    <m/>
    <m/>
    <m/>
    <m/>
    <m/>
    <m/>
    <m/>
    <m/>
    <m/>
    <m/>
    <m/>
  </r>
  <r>
    <n v="5129"/>
    <n v="55644"/>
    <d v="2006-08-11T00:00:00"/>
    <n v="19"/>
    <x v="1"/>
    <x v="0"/>
    <d v="2024-11-10T00:00:00"/>
    <n v="1.5616438356164384"/>
    <x v="31"/>
    <x v="0"/>
    <x v="8"/>
    <x v="1"/>
    <n v="8.4700000000000006"/>
    <m/>
    <m/>
    <m/>
    <m/>
    <m/>
    <m/>
    <x v="3"/>
    <n v="2"/>
    <n v="5"/>
    <m/>
    <m/>
    <m/>
    <m/>
    <m/>
    <m/>
    <m/>
    <m/>
    <m/>
    <m/>
    <m/>
    <m/>
    <m/>
    <m/>
  </r>
  <r>
    <n v="5130"/>
    <n v="55645"/>
    <d v="2003-04-18T00:00:00"/>
    <n v="22"/>
    <x v="1"/>
    <x v="0"/>
    <d v="2024-06-09T00:00:00"/>
    <n v="1.4136986301369863"/>
    <x v="31"/>
    <x v="0"/>
    <x v="8"/>
    <x v="1"/>
    <n v="8.4700000000000006"/>
    <m/>
    <m/>
    <m/>
    <m/>
    <m/>
    <m/>
    <x v="1"/>
    <n v="2"/>
    <n v="5"/>
    <m/>
    <m/>
    <m/>
    <m/>
    <m/>
    <m/>
    <m/>
    <m/>
    <m/>
    <m/>
    <m/>
    <m/>
    <m/>
    <m/>
  </r>
  <r>
    <n v="5131"/>
    <n v="55646"/>
    <d v="1997-06-01T00:00:00"/>
    <n v="29"/>
    <x v="1"/>
    <x v="1"/>
    <d v="2024-08-02T00:00:00"/>
    <n v="1.7917808219178082"/>
    <x v="31"/>
    <x v="0"/>
    <x v="8"/>
    <x v="1"/>
    <n v="8.4700000000000006"/>
    <m/>
    <m/>
    <m/>
    <m/>
    <m/>
    <m/>
    <x v="1"/>
    <n v="2"/>
    <n v="7"/>
    <m/>
    <m/>
    <m/>
    <m/>
    <m/>
    <m/>
    <m/>
    <m/>
    <m/>
    <m/>
    <m/>
    <m/>
    <m/>
    <m/>
  </r>
  <r>
    <n v="5132"/>
    <n v="55647"/>
    <d v="1999-03-25T00:00:00"/>
    <n v="26"/>
    <x v="1"/>
    <x v="1"/>
    <d v="2024-03-17T00:00:00"/>
    <n v="1.8356164383561644"/>
    <x v="31"/>
    <x v="0"/>
    <x v="8"/>
    <x v="1"/>
    <n v="8.4700000000000006"/>
    <m/>
    <m/>
    <m/>
    <m/>
    <m/>
    <m/>
    <x v="2"/>
    <n v="4"/>
    <n v="7"/>
    <m/>
    <m/>
    <m/>
    <m/>
    <m/>
    <m/>
    <m/>
    <m/>
    <m/>
    <m/>
    <m/>
    <m/>
    <m/>
    <m/>
  </r>
  <r>
    <n v="5133"/>
    <n v="55648"/>
    <d v="2000-09-01T00:00:00"/>
    <n v="26"/>
    <x v="1"/>
    <x v="1"/>
    <d v="2024-03-01T00:00:00"/>
    <n v="1.4273972602739726"/>
    <x v="31"/>
    <x v="0"/>
    <x v="8"/>
    <x v="1"/>
    <n v="8.4700000000000006"/>
    <m/>
    <m/>
    <m/>
    <m/>
    <m/>
    <m/>
    <x v="1"/>
    <n v="4"/>
    <n v="6"/>
    <m/>
    <m/>
    <m/>
    <m/>
    <m/>
    <m/>
    <m/>
    <m/>
    <m/>
    <m/>
    <m/>
    <m/>
    <m/>
    <m/>
  </r>
  <r>
    <n v="5134"/>
    <n v="55649"/>
    <d v="2003-07-27T00:00:00"/>
    <n v="22"/>
    <x v="1"/>
    <x v="1"/>
    <d v="2024-07-28T00:00:00"/>
    <n v="1.5342465753424657"/>
    <x v="31"/>
    <x v="0"/>
    <x v="8"/>
    <x v="1"/>
    <n v="8.4700000000000006"/>
    <m/>
    <m/>
    <m/>
    <m/>
    <m/>
    <m/>
    <x v="3"/>
    <n v="2"/>
    <n v="5"/>
    <m/>
    <m/>
    <m/>
    <m/>
    <m/>
    <m/>
    <m/>
    <m/>
    <m/>
    <m/>
    <m/>
    <m/>
    <m/>
    <m/>
  </r>
  <r>
    <n v="5135"/>
    <n v="55650"/>
    <d v="2005-01-09T00:00:00"/>
    <n v="20"/>
    <x v="1"/>
    <x v="0"/>
    <d v="2024-06-19T00:00:00"/>
    <n v="1.5890410958904109"/>
    <x v="31"/>
    <x v="0"/>
    <x v="8"/>
    <x v="1"/>
    <n v="8.4700000000000006"/>
    <m/>
    <m/>
    <m/>
    <m/>
    <m/>
    <m/>
    <x v="3"/>
    <n v="2"/>
    <n v="6"/>
    <m/>
    <m/>
    <m/>
    <m/>
    <m/>
    <m/>
    <m/>
    <m/>
    <m/>
    <m/>
    <m/>
    <m/>
    <m/>
    <m/>
  </r>
  <r>
    <n v="5136"/>
    <n v="55651"/>
    <d v="2003-02-11T00:00:00"/>
    <n v="22"/>
    <x v="1"/>
    <x v="1"/>
    <d v="2024-05-30T00:00:00"/>
    <n v="1.0136986301369864"/>
    <x v="31"/>
    <x v="0"/>
    <x v="8"/>
    <x v="1"/>
    <n v="8.4700000000000006"/>
    <m/>
    <m/>
    <m/>
    <m/>
    <m/>
    <m/>
    <x v="2"/>
    <n v="1"/>
    <n v="5"/>
    <m/>
    <m/>
    <m/>
    <m/>
    <m/>
    <m/>
    <m/>
    <m/>
    <m/>
    <m/>
    <m/>
    <m/>
    <m/>
    <m/>
  </r>
  <r>
    <n v="5137"/>
    <n v="55652"/>
    <d v="2004-03-02T00:00:00"/>
    <n v="21"/>
    <x v="1"/>
    <x v="1"/>
    <d v="2024-12-26T00:00:00"/>
    <n v="1.2575342465753425"/>
    <x v="31"/>
    <x v="0"/>
    <x v="8"/>
    <x v="1"/>
    <n v="8.4700000000000006"/>
    <m/>
    <m/>
    <m/>
    <m/>
    <m/>
    <m/>
    <x v="1"/>
    <n v="2"/>
    <n v="5"/>
    <m/>
    <m/>
    <m/>
    <m/>
    <m/>
    <m/>
    <m/>
    <m/>
    <m/>
    <m/>
    <m/>
    <m/>
    <m/>
    <m/>
  </r>
  <r>
    <n v="5138"/>
    <n v="55653"/>
    <d v="2006-08-03T00:00:00"/>
    <n v="19"/>
    <x v="1"/>
    <x v="1"/>
    <d v="2024-09-28T00:00:00"/>
    <n v="1.484931506849315"/>
    <x v="31"/>
    <x v="0"/>
    <x v="8"/>
    <x v="1"/>
    <n v="8.4700000000000006"/>
    <m/>
    <m/>
    <m/>
    <m/>
    <m/>
    <m/>
    <x v="3"/>
    <n v="2"/>
    <n v="5"/>
    <m/>
    <m/>
    <m/>
    <m/>
    <m/>
    <m/>
    <m/>
    <m/>
    <m/>
    <m/>
    <m/>
    <m/>
    <m/>
    <m/>
  </r>
  <r>
    <n v="5139"/>
    <n v="55654"/>
    <d v="2005-12-08T00:00:00"/>
    <n v="20"/>
    <x v="0"/>
    <x v="1"/>
    <d v="2024-07-07T00:00:00"/>
    <n v="1.6684931506849314"/>
    <x v="32"/>
    <x v="0"/>
    <x v="10"/>
    <x v="1"/>
    <n v="10.64"/>
    <m/>
    <m/>
    <m/>
    <m/>
    <m/>
    <m/>
    <x v="2"/>
    <n v="1"/>
    <n v="4"/>
    <m/>
    <m/>
    <m/>
    <m/>
    <m/>
    <m/>
    <m/>
    <m/>
    <m/>
    <m/>
    <m/>
    <m/>
    <m/>
    <m/>
  </r>
  <r>
    <n v="5140"/>
    <n v="55655"/>
    <d v="2004-06-22T00:00:00"/>
    <n v="21"/>
    <x v="1"/>
    <x v="1"/>
    <d v="2024-05-01T00:00:00"/>
    <n v="1.1397260273972603"/>
    <x v="32"/>
    <x v="0"/>
    <x v="3"/>
    <x v="1"/>
    <n v="8.4700000000000006"/>
    <m/>
    <m/>
    <m/>
    <m/>
    <m/>
    <m/>
    <x v="1"/>
    <n v="2"/>
    <n v="6"/>
    <m/>
    <m/>
    <m/>
    <m/>
    <m/>
    <m/>
    <m/>
    <m/>
    <m/>
    <m/>
    <m/>
    <m/>
    <m/>
    <m/>
  </r>
  <r>
    <n v="5141"/>
    <n v="55656"/>
    <d v="2005-10-07T00:00:00"/>
    <n v="20"/>
    <x v="1"/>
    <x v="0"/>
    <d v="2024-11-10T00:00:00"/>
    <n v="1.7424657534246575"/>
    <x v="32"/>
    <x v="0"/>
    <x v="8"/>
    <x v="1"/>
    <n v="8.4700000000000006"/>
    <m/>
    <m/>
    <m/>
    <m/>
    <m/>
    <m/>
    <x v="2"/>
    <n v="2"/>
    <n v="5"/>
    <m/>
    <m/>
    <m/>
    <m/>
    <m/>
    <m/>
    <m/>
    <m/>
    <m/>
    <m/>
    <m/>
    <m/>
    <m/>
    <m/>
  </r>
  <r>
    <n v="5142"/>
    <n v="55657"/>
    <d v="2005-08-20T00:00:00"/>
    <n v="20"/>
    <x v="1"/>
    <x v="0"/>
    <d v="2024-04-04T00:00:00"/>
    <n v="1.0328767123287672"/>
    <x v="32"/>
    <x v="0"/>
    <x v="8"/>
    <x v="1"/>
    <n v="8.4700000000000006"/>
    <m/>
    <m/>
    <m/>
    <m/>
    <m/>
    <m/>
    <x v="4"/>
    <n v="4"/>
    <n v="6"/>
    <m/>
    <m/>
    <m/>
    <m/>
    <m/>
    <m/>
    <m/>
    <m/>
    <m/>
    <m/>
    <m/>
    <m/>
    <m/>
    <m/>
  </r>
  <r>
    <n v="5143"/>
    <n v="55658"/>
    <d v="2001-08-05T00:00:00"/>
    <n v="24"/>
    <x v="1"/>
    <x v="1"/>
    <d v="2024-12-19T00:00:00"/>
    <n v="1.6410958904109589"/>
    <x v="32"/>
    <x v="0"/>
    <x v="8"/>
    <x v="1"/>
    <n v="8.4700000000000006"/>
    <m/>
    <m/>
    <m/>
    <m/>
    <m/>
    <m/>
    <x v="3"/>
    <n v="2"/>
    <n v="7"/>
    <m/>
    <m/>
    <m/>
    <m/>
    <m/>
    <m/>
    <m/>
    <m/>
    <m/>
    <m/>
    <m/>
    <m/>
    <m/>
    <m/>
  </r>
  <r>
    <n v="5144"/>
    <n v="55659"/>
    <d v="2006-03-17T00:00:00"/>
    <n v="19"/>
    <x v="1"/>
    <x v="1"/>
    <d v="2024-05-11T00:00:00"/>
    <n v="1.4684931506849315"/>
    <x v="32"/>
    <x v="0"/>
    <x v="8"/>
    <x v="1"/>
    <n v="8.4700000000000006"/>
    <m/>
    <m/>
    <m/>
    <m/>
    <m/>
    <m/>
    <x v="4"/>
    <n v="2"/>
    <n v="6"/>
    <m/>
    <m/>
    <m/>
    <m/>
    <m/>
    <m/>
    <m/>
    <m/>
    <m/>
    <m/>
    <m/>
    <m/>
    <m/>
    <m/>
  </r>
  <r>
    <n v="5145"/>
    <n v="55660"/>
    <d v="2005-03-28T00:00:00"/>
    <n v="20"/>
    <x v="1"/>
    <x v="1"/>
    <d v="2024-07-13T00:00:00"/>
    <n v="1.2684931506849315"/>
    <x v="32"/>
    <x v="0"/>
    <x v="8"/>
    <x v="1"/>
    <n v="8.4700000000000006"/>
    <m/>
    <m/>
    <m/>
    <m/>
    <m/>
    <m/>
    <x v="3"/>
    <n v="1"/>
    <n v="7"/>
    <m/>
    <m/>
    <m/>
    <m/>
    <m/>
    <m/>
    <m/>
    <m/>
    <m/>
    <m/>
    <m/>
    <m/>
    <m/>
    <m/>
  </r>
  <r>
    <n v="5146"/>
    <n v="55661"/>
    <d v="1997-05-18T00:00:00"/>
    <n v="28"/>
    <x v="1"/>
    <x v="0"/>
    <d v="2024-09-24T00:00:00"/>
    <n v="1.2712328767123289"/>
    <x v="32"/>
    <x v="0"/>
    <x v="8"/>
    <x v="1"/>
    <n v="8.4700000000000006"/>
    <m/>
    <m/>
    <m/>
    <m/>
    <m/>
    <m/>
    <x v="2"/>
    <n v="4"/>
    <n v="6"/>
    <m/>
    <m/>
    <m/>
    <m/>
    <m/>
    <m/>
    <m/>
    <m/>
    <m/>
    <m/>
    <m/>
    <m/>
    <m/>
    <m/>
  </r>
  <r>
    <n v="5147"/>
    <n v="55662"/>
    <d v="1999-06-13T00:00:00"/>
    <n v="26"/>
    <x v="1"/>
    <x v="1"/>
    <d v="2024-09-23T00:00:00"/>
    <n v="1.8136986301369864"/>
    <x v="32"/>
    <x v="0"/>
    <x v="8"/>
    <x v="1"/>
    <n v="8.4700000000000006"/>
    <m/>
    <m/>
    <m/>
    <m/>
    <m/>
    <m/>
    <x v="2"/>
    <n v="0"/>
    <n v="5"/>
    <m/>
    <m/>
    <m/>
    <m/>
    <m/>
    <m/>
    <m/>
    <m/>
    <m/>
    <m/>
    <m/>
    <m/>
    <m/>
    <m/>
  </r>
  <r>
    <n v="5148"/>
    <n v="55663"/>
    <d v="1994-12-17T00:00:00"/>
    <n v="31"/>
    <x v="1"/>
    <x v="1"/>
    <d v="2024-03-09T00:00:00"/>
    <n v="1.0986301369863014"/>
    <x v="32"/>
    <x v="0"/>
    <x v="8"/>
    <x v="1"/>
    <n v="8.4700000000000006"/>
    <m/>
    <m/>
    <m/>
    <m/>
    <m/>
    <m/>
    <x v="1"/>
    <n v="4"/>
    <n v="6"/>
    <m/>
    <m/>
    <m/>
    <m/>
    <m/>
    <m/>
    <m/>
    <m/>
    <m/>
    <m/>
    <m/>
    <m/>
    <m/>
    <m/>
  </r>
  <r>
    <n v="5149"/>
    <n v="55664"/>
    <d v="2005-04-22T00:00:00"/>
    <n v="20"/>
    <x v="1"/>
    <x v="1"/>
    <d v="2024-11-25T00:00:00"/>
    <n v="1.6383561643835616"/>
    <x v="32"/>
    <x v="0"/>
    <x v="8"/>
    <x v="1"/>
    <n v="8.4700000000000006"/>
    <m/>
    <m/>
    <m/>
    <m/>
    <m/>
    <m/>
    <x v="2"/>
    <n v="2"/>
    <n v="6"/>
    <m/>
    <m/>
    <m/>
    <m/>
    <m/>
    <m/>
    <m/>
    <m/>
    <m/>
    <m/>
    <m/>
    <m/>
    <m/>
    <m/>
  </r>
  <r>
    <n v="5150"/>
    <n v="55665"/>
    <d v="1998-10-07T00:00:00"/>
    <n v="27"/>
    <x v="1"/>
    <x v="1"/>
    <d v="2024-05-12T00:00:00"/>
    <n v="1.1972602739726028"/>
    <x v="32"/>
    <x v="0"/>
    <x v="8"/>
    <x v="1"/>
    <n v="8.4700000000000006"/>
    <m/>
    <m/>
    <m/>
    <m/>
    <m/>
    <m/>
    <x v="3"/>
    <n v="2"/>
    <n v="6"/>
    <m/>
    <m/>
    <m/>
    <m/>
    <m/>
    <m/>
    <m/>
    <m/>
    <m/>
    <m/>
    <m/>
    <m/>
    <m/>
    <m/>
  </r>
  <r>
    <n v="5151"/>
    <n v="55666"/>
    <d v="2006-10-11T00:00:00"/>
    <n v="19"/>
    <x v="1"/>
    <x v="1"/>
    <d v="2024-10-20T00:00:00"/>
    <n v="1.3205479452054794"/>
    <x v="32"/>
    <x v="0"/>
    <x v="8"/>
    <x v="1"/>
    <n v="8.4700000000000006"/>
    <m/>
    <m/>
    <m/>
    <m/>
    <m/>
    <m/>
    <x v="4"/>
    <n v="3"/>
    <n v="7"/>
    <m/>
    <m/>
    <m/>
    <m/>
    <m/>
    <m/>
    <m/>
    <m/>
    <m/>
    <m/>
    <m/>
    <m/>
    <m/>
    <m/>
  </r>
  <r>
    <n v="5152"/>
    <n v="55667"/>
    <d v="1998-07-03T00:00:00"/>
    <n v="27"/>
    <x v="1"/>
    <x v="1"/>
    <d v="2024-09-05T00:00:00"/>
    <n v="1.4328767123287671"/>
    <x v="63"/>
    <x v="0"/>
    <x v="11"/>
    <x v="1"/>
    <n v="17"/>
    <m/>
    <m/>
    <m/>
    <m/>
    <m/>
    <m/>
    <x v="3"/>
    <n v="2"/>
    <n v="7"/>
    <m/>
    <m/>
    <m/>
    <m/>
    <m/>
    <m/>
    <m/>
    <m/>
    <m/>
    <m/>
    <m/>
    <m/>
    <m/>
    <m/>
  </r>
  <r>
    <n v="5153"/>
    <n v="55668"/>
    <d v="2003-09-25T00:00:00"/>
    <n v="22"/>
    <x v="1"/>
    <x v="1"/>
    <d v="2024-07-26T00:00:00"/>
    <n v="1.2794520547945205"/>
    <x v="63"/>
    <x v="0"/>
    <x v="11"/>
    <x v="1"/>
    <n v="17"/>
    <m/>
    <m/>
    <m/>
    <m/>
    <m/>
    <m/>
    <x v="4"/>
    <n v="1"/>
    <n v="5"/>
    <m/>
    <m/>
    <m/>
    <m/>
    <m/>
    <m/>
    <m/>
    <m/>
    <m/>
    <m/>
    <m/>
    <m/>
    <m/>
    <m/>
  </r>
  <r>
    <n v="5154"/>
    <n v="55669"/>
    <d v="1995-05-15T00:00:00"/>
    <n v="30"/>
    <x v="1"/>
    <x v="0"/>
    <d v="2024-09-20T00:00:00"/>
    <n v="1.5890410958904109"/>
    <x v="63"/>
    <x v="0"/>
    <x v="8"/>
    <x v="1"/>
    <n v="8.4700000000000006"/>
    <m/>
    <m/>
    <m/>
    <m/>
    <m/>
    <m/>
    <x v="2"/>
    <n v="0"/>
    <n v="4"/>
    <m/>
    <m/>
    <m/>
    <m/>
    <m/>
    <m/>
    <m/>
    <m/>
    <m/>
    <m/>
    <m/>
    <m/>
    <m/>
    <m/>
  </r>
  <r>
    <n v="5155"/>
    <n v="55670"/>
    <d v="2003-12-14T00:00:00"/>
    <n v="22"/>
    <x v="1"/>
    <x v="1"/>
    <d v="2024-05-30T00:00:00"/>
    <n v="1.2082191780821918"/>
    <x v="63"/>
    <x v="0"/>
    <x v="8"/>
    <x v="1"/>
    <n v="8.4700000000000006"/>
    <m/>
    <m/>
    <m/>
    <m/>
    <m/>
    <m/>
    <x v="2"/>
    <n v="4"/>
    <n v="6"/>
    <m/>
    <m/>
    <m/>
    <m/>
    <m/>
    <m/>
    <m/>
    <m/>
    <m/>
    <m/>
    <m/>
    <m/>
    <m/>
    <m/>
  </r>
  <r>
    <n v="5156"/>
    <n v="55672"/>
    <d v="2004-12-19T00:00:00"/>
    <n v="21"/>
    <x v="1"/>
    <x v="1"/>
    <d v="2024-10-16T00:00:00"/>
    <n v="1.3726027397260274"/>
    <x v="63"/>
    <x v="0"/>
    <x v="8"/>
    <x v="1"/>
    <n v="8.4700000000000006"/>
    <m/>
    <m/>
    <m/>
    <m/>
    <m/>
    <m/>
    <x v="2"/>
    <n v="2"/>
    <n v="6"/>
    <m/>
    <m/>
    <m/>
    <m/>
    <m/>
    <m/>
    <m/>
    <m/>
    <m/>
    <m/>
    <m/>
    <m/>
    <m/>
    <m/>
  </r>
  <r>
    <n v="5157"/>
    <n v="55673"/>
    <d v="2003-12-06T00:00:00"/>
    <n v="22"/>
    <x v="1"/>
    <x v="0"/>
    <d v="2024-08-17T00:00:00"/>
    <n v="1.284931506849315"/>
    <x v="63"/>
    <x v="0"/>
    <x v="8"/>
    <x v="1"/>
    <n v="8.4700000000000006"/>
    <m/>
    <m/>
    <m/>
    <m/>
    <m/>
    <m/>
    <x v="2"/>
    <n v="3"/>
    <n v="5"/>
    <m/>
    <m/>
    <m/>
    <m/>
    <m/>
    <m/>
    <m/>
    <m/>
    <m/>
    <m/>
    <m/>
    <m/>
    <m/>
    <m/>
  </r>
  <r>
    <n v="5158"/>
    <n v="55674"/>
    <d v="2002-07-26T00:00:00"/>
    <n v="23"/>
    <x v="1"/>
    <x v="1"/>
    <d v="2024-09-18T00:00:00"/>
    <n v="1.295890410958904"/>
    <x v="33"/>
    <x v="0"/>
    <x v="11"/>
    <x v="1"/>
    <n v="17"/>
    <m/>
    <m/>
    <m/>
    <m/>
    <m/>
    <m/>
    <x v="3"/>
    <n v="4"/>
    <n v="7"/>
    <m/>
    <m/>
    <m/>
    <m/>
    <m/>
    <m/>
    <m/>
    <m/>
    <m/>
    <m/>
    <m/>
    <m/>
    <m/>
    <m/>
  </r>
  <r>
    <n v="5159"/>
    <n v="55675"/>
    <d v="1999-10-24T00:00:00"/>
    <n v="26"/>
    <x v="1"/>
    <x v="1"/>
    <d v="2024-09-14T00:00:00"/>
    <n v="1.8"/>
    <x v="33"/>
    <x v="0"/>
    <x v="10"/>
    <x v="1"/>
    <n v="10.64"/>
    <m/>
    <m/>
    <m/>
    <m/>
    <m/>
    <m/>
    <x v="4"/>
    <n v="1"/>
    <n v="6"/>
    <m/>
    <m/>
    <m/>
    <m/>
    <m/>
    <m/>
    <m/>
    <m/>
    <m/>
    <m/>
    <m/>
    <m/>
    <m/>
    <m/>
  </r>
  <r>
    <n v="5160"/>
    <n v="55676"/>
    <d v="2005-05-15T00:00:00"/>
    <n v="20"/>
    <x v="1"/>
    <x v="1"/>
    <d v="2024-03-14T00:00:00"/>
    <n v="1.0328767123287672"/>
    <x v="33"/>
    <x v="0"/>
    <x v="10"/>
    <x v="1"/>
    <n v="10.64"/>
    <m/>
    <m/>
    <m/>
    <m/>
    <m/>
    <m/>
    <x v="4"/>
    <n v="0"/>
    <n v="4"/>
    <m/>
    <m/>
    <m/>
    <m/>
    <m/>
    <m/>
    <m/>
    <m/>
    <m/>
    <m/>
    <m/>
    <m/>
    <m/>
    <m/>
  </r>
  <r>
    <n v="5161"/>
    <n v="55677"/>
    <d v="2003-09-27T00:00:00"/>
    <n v="22"/>
    <x v="1"/>
    <x v="1"/>
    <d v="2024-12-19T00:00:00"/>
    <n v="1.3917808219178083"/>
    <x v="33"/>
    <x v="0"/>
    <x v="3"/>
    <x v="1"/>
    <n v="8.4700000000000006"/>
    <m/>
    <m/>
    <m/>
    <m/>
    <m/>
    <m/>
    <x v="4"/>
    <n v="0"/>
    <n v="5"/>
    <m/>
    <m/>
    <m/>
    <m/>
    <m/>
    <m/>
    <m/>
    <m/>
    <m/>
    <m/>
    <m/>
    <m/>
    <m/>
    <m/>
  </r>
  <r>
    <n v="5162"/>
    <n v="55678"/>
    <d v="1994-04-13T00:00:00"/>
    <n v="31"/>
    <x v="1"/>
    <x v="1"/>
    <d v="2024-08-10T00:00:00"/>
    <n v="1.2712328767123289"/>
    <x v="33"/>
    <x v="0"/>
    <x v="8"/>
    <x v="1"/>
    <n v="8.4700000000000006"/>
    <m/>
    <m/>
    <m/>
    <m/>
    <m/>
    <m/>
    <x v="4"/>
    <n v="2"/>
    <n v="7"/>
    <m/>
    <m/>
    <m/>
    <m/>
    <m/>
    <m/>
    <m/>
    <m/>
    <m/>
    <m/>
    <m/>
    <m/>
    <m/>
    <m/>
  </r>
  <r>
    <n v="5163"/>
    <n v="55679"/>
    <d v="2001-02-10T00:00:00"/>
    <n v="24"/>
    <x v="1"/>
    <x v="1"/>
    <d v="2024-09-23T00:00:00"/>
    <n v="1.4712328767123288"/>
    <x v="33"/>
    <x v="0"/>
    <x v="8"/>
    <x v="1"/>
    <n v="8.4700000000000006"/>
    <m/>
    <m/>
    <m/>
    <m/>
    <m/>
    <m/>
    <x v="4"/>
    <n v="2"/>
    <n v="6"/>
    <m/>
    <m/>
    <m/>
    <m/>
    <m/>
    <m/>
    <m/>
    <m/>
    <m/>
    <m/>
    <m/>
    <m/>
    <m/>
    <m/>
  </r>
  <r>
    <n v="5164"/>
    <n v="55680"/>
    <d v="1999-10-01T00:00:00"/>
    <n v="27"/>
    <x v="1"/>
    <x v="1"/>
    <d v="2024-07-12T00:00:00"/>
    <n v="1.0328767123287672"/>
    <x v="33"/>
    <x v="0"/>
    <x v="8"/>
    <x v="1"/>
    <n v="8.4700000000000006"/>
    <m/>
    <m/>
    <m/>
    <m/>
    <m/>
    <m/>
    <x v="4"/>
    <n v="1"/>
    <n v="6"/>
    <m/>
    <m/>
    <m/>
    <m/>
    <m/>
    <m/>
    <m/>
    <m/>
    <m/>
    <m/>
    <m/>
    <m/>
    <m/>
    <m/>
  </r>
  <r>
    <n v="5165"/>
    <n v="55681"/>
    <d v="2007-03-05T00:00:00"/>
    <n v="18"/>
    <x v="1"/>
    <x v="1"/>
    <d v="2024-12-19T00:00:00"/>
    <n v="1.1863013698630136"/>
    <x v="33"/>
    <x v="0"/>
    <x v="8"/>
    <x v="1"/>
    <n v="8.4700000000000006"/>
    <m/>
    <m/>
    <m/>
    <m/>
    <m/>
    <m/>
    <x v="4"/>
    <n v="4"/>
    <n v="6"/>
    <m/>
    <m/>
    <m/>
    <m/>
    <m/>
    <m/>
    <m/>
    <m/>
    <m/>
    <m/>
    <m/>
    <m/>
    <m/>
    <m/>
  </r>
  <r>
    <n v="5166"/>
    <n v="55682"/>
    <d v="2000-12-03T00:00:00"/>
    <n v="25"/>
    <x v="0"/>
    <x v="0"/>
    <d v="2024-10-24T00:00:00"/>
    <n v="1.6904109589041096"/>
    <x v="78"/>
    <x v="0"/>
    <x v="11"/>
    <x v="1"/>
    <n v="17"/>
    <m/>
    <m/>
    <m/>
    <m/>
    <m/>
    <m/>
    <x v="4"/>
    <n v="4"/>
    <n v="4"/>
    <m/>
    <m/>
    <m/>
    <m/>
    <m/>
    <m/>
    <m/>
    <m/>
    <m/>
    <m/>
    <m/>
    <m/>
    <m/>
    <m/>
  </r>
  <r>
    <n v="5167"/>
    <n v="55683"/>
    <d v="2002-08-06T00:00:00"/>
    <n v="23"/>
    <x v="0"/>
    <x v="1"/>
    <d v="2024-04-23T00:00:00"/>
    <n v="1.2767123287671234"/>
    <x v="78"/>
    <x v="0"/>
    <x v="10"/>
    <x v="1"/>
    <n v="10.64"/>
    <m/>
    <m/>
    <m/>
    <m/>
    <m/>
    <m/>
    <x v="4"/>
    <n v="0"/>
    <n v="3"/>
    <m/>
    <m/>
    <m/>
    <m/>
    <m/>
    <m/>
    <m/>
    <m/>
    <m/>
    <m/>
    <m/>
    <m/>
    <m/>
    <m/>
  </r>
  <r>
    <n v="5168"/>
    <n v="55684"/>
    <d v="1990-06-25T00:00:00"/>
    <n v="35"/>
    <x v="1"/>
    <x v="1"/>
    <d v="2024-09-21T00:00:00"/>
    <n v="1.2054794520547945"/>
    <x v="78"/>
    <x v="0"/>
    <x v="2"/>
    <x v="1"/>
    <n v="14.23"/>
    <m/>
    <m/>
    <m/>
    <m/>
    <m/>
    <m/>
    <x v="1"/>
    <n v="1"/>
    <n v="6"/>
    <m/>
    <m/>
    <m/>
    <m/>
    <m/>
    <m/>
    <m/>
    <m/>
    <m/>
    <m/>
    <m/>
    <m/>
    <m/>
    <m/>
  </r>
  <r>
    <n v="5169"/>
    <n v="55685"/>
    <d v="2001-05-09T00:00:00"/>
    <n v="24"/>
    <x v="1"/>
    <x v="1"/>
    <d v="2024-10-17T00:00:00"/>
    <n v="1.2712328767123289"/>
    <x v="78"/>
    <x v="0"/>
    <x v="3"/>
    <x v="1"/>
    <n v="8.4700000000000006"/>
    <m/>
    <m/>
    <m/>
    <m/>
    <m/>
    <m/>
    <x v="3"/>
    <n v="1"/>
    <n v="7"/>
    <m/>
    <m/>
    <m/>
    <m/>
    <m/>
    <m/>
    <m/>
    <m/>
    <m/>
    <m/>
    <m/>
    <m/>
    <m/>
    <m/>
  </r>
  <r>
    <n v="5170"/>
    <n v="55686"/>
    <d v="1992-01-20T00:00:00"/>
    <n v="33"/>
    <x v="0"/>
    <x v="1"/>
    <d v="2024-09-23T00:00:00"/>
    <n v="1.1315068493150684"/>
    <x v="78"/>
    <x v="0"/>
    <x v="7"/>
    <x v="1"/>
    <n v="17.59"/>
    <m/>
    <m/>
    <m/>
    <m/>
    <m/>
    <m/>
    <x v="1"/>
    <n v="4"/>
    <n v="6"/>
    <m/>
    <m/>
    <m/>
    <m/>
    <m/>
    <m/>
    <m/>
    <m/>
    <m/>
    <m/>
    <m/>
    <m/>
    <m/>
    <m/>
  </r>
  <r>
    <n v="5171"/>
    <n v="55687"/>
    <d v="2000-11-05T00:00:00"/>
    <n v="25"/>
    <x v="0"/>
    <x v="1"/>
    <d v="2024-11-13T00:00:00"/>
    <n v="1.6136986301369862"/>
    <x v="78"/>
    <x v="0"/>
    <x v="8"/>
    <x v="1"/>
    <n v="8.4700000000000006"/>
    <m/>
    <m/>
    <m/>
    <m/>
    <m/>
    <m/>
    <x v="4"/>
    <n v="2"/>
    <n v="6"/>
    <m/>
    <m/>
    <m/>
    <m/>
    <m/>
    <m/>
    <m/>
    <m/>
    <m/>
    <m/>
    <m/>
    <m/>
    <m/>
    <m/>
  </r>
  <r>
    <n v="5172"/>
    <n v="55688"/>
    <d v="2006-04-29T00:00:00"/>
    <n v="19"/>
    <x v="1"/>
    <x v="1"/>
    <d v="2024-05-21T00:00:00"/>
    <n v="1.7561643835616438"/>
    <x v="78"/>
    <x v="0"/>
    <x v="8"/>
    <x v="1"/>
    <n v="8.4700000000000006"/>
    <m/>
    <m/>
    <m/>
    <m/>
    <m/>
    <m/>
    <x v="1"/>
    <n v="2"/>
    <n v="6"/>
    <m/>
    <m/>
    <m/>
    <m/>
    <m/>
    <m/>
    <m/>
    <m/>
    <m/>
    <m/>
    <m/>
    <m/>
    <m/>
    <m/>
  </r>
  <r>
    <n v="5173"/>
    <n v="55689"/>
    <d v="2005-04-06T00:00:00"/>
    <n v="20"/>
    <x v="1"/>
    <x v="0"/>
    <d v="2024-03-30T00:00:00"/>
    <n v="1.4931506849315068"/>
    <x v="78"/>
    <x v="0"/>
    <x v="8"/>
    <x v="1"/>
    <n v="8.4700000000000006"/>
    <m/>
    <m/>
    <m/>
    <m/>
    <m/>
    <m/>
    <x v="3"/>
    <n v="2"/>
    <n v="5"/>
    <m/>
    <m/>
    <m/>
    <m/>
    <m/>
    <m/>
    <m/>
    <m/>
    <m/>
    <m/>
    <m/>
    <m/>
    <m/>
    <m/>
  </r>
  <r>
    <n v="5174"/>
    <n v="55690"/>
    <d v="2002-04-20T00:00:00"/>
    <n v="23"/>
    <x v="1"/>
    <x v="1"/>
    <d v="2024-07-04T00:00:00"/>
    <n v="1.9452054794520548"/>
    <x v="78"/>
    <x v="0"/>
    <x v="8"/>
    <x v="1"/>
    <n v="8.4700000000000006"/>
    <m/>
    <m/>
    <m/>
    <m/>
    <m/>
    <m/>
    <x v="2"/>
    <n v="0"/>
    <n v="7"/>
    <m/>
    <m/>
    <m/>
    <m/>
    <m/>
    <m/>
    <m/>
    <m/>
    <m/>
    <m/>
    <m/>
    <m/>
    <m/>
    <m/>
  </r>
  <r>
    <n v="5175"/>
    <n v="55691"/>
    <d v="1996-09-05T00:00:00"/>
    <n v="29"/>
    <x v="1"/>
    <x v="1"/>
    <d v="2024-01-21T00:00:00"/>
    <n v="1.1726027397260275"/>
    <x v="78"/>
    <x v="0"/>
    <x v="8"/>
    <x v="1"/>
    <n v="8.4700000000000006"/>
    <m/>
    <m/>
    <m/>
    <m/>
    <m/>
    <m/>
    <x v="2"/>
    <n v="2"/>
    <n v="7"/>
    <m/>
    <m/>
    <m/>
    <m/>
    <m/>
    <m/>
    <m/>
    <m/>
    <m/>
    <m/>
    <m/>
    <m/>
    <m/>
    <m/>
  </r>
  <r>
    <n v="5176"/>
    <n v="55692"/>
    <d v="2005-12-23T00:00:00"/>
    <n v="20"/>
    <x v="1"/>
    <x v="0"/>
    <d v="2024-10-29T00:00:00"/>
    <n v="1.7397260273972603"/>
    <x v="78"/>
    <x v="0"/>
    <x v="8"/>
    <x v="1"/>
    <n v="8.4700000000000006"/>
    <m/>
    <m/>
    <m/>
    <m/>
    <m/>
    <m/>
    <x v="2"/>
    <n v="4"/>
    <n v="5"/>
    <m/>
    <m/>
    <m/>
    <m/>
    <m/>
    <m/>
    <m/>
    <m/>
    <m/>
    <m/>
    <m/>
    <m/>
    <m/>
    <m/>
  </r>
  <r>
    <n v="5177"/>
    <n v="55693"/>
    <d v="2007-10-30T00:00:00"/>
    <n v="18"/>
    <x v="1"/>
    <x v="1"/>
    <d v="2024-04-05T00:00:00"/>
    <n v="1.4712328767123288"/>
    <x v="78"/>
    <x v="0"/>
    <x v="8"/>
    <x v="1"/>
    <n v="8.4700000000000006"/>
    <m/>
    <m/>
    <m/>
    <m/>
    <m/>
    <m/>
    <x v="1"/>
    <n v="4"/>
    <n v="6"/>
    <m/>
    <m/>
    <m/>
    <m/>
    <m/>
    <m/>
    <m/>
    <m/>
    <m/>
    <m/>
    <m/>
    <m/>
    <m/>
    <m/>
  </r>
  <r>
    <n v="5178"/>
    <n v="55694"/>
    <d v="1992-12-14T00:00:00"/>
    <n v="33"/>
    <x v="1"/>
    <x v="1"/>
    <d v="2024-07-12T00:00:00"/>
    <n v="1.1369863013698631"/>
    <x v="78"/>
    <x v="0"/>
    <x v="8"/>
    <x v="1"/>
    <n v="8.4700000000000006"/>
    <m/>
    <m/>
    <m/>
    <m/>
    <m/>
    <m/>
    <x v="2"/>
    <n v="2"/>
    <n v="5"/>
    <m/>
    <m/>
    <m/>
    <m/>
    <m/>
    <m/>
    <m/>
    <m/>
    <m/>
    <m/>
    <m/>
    <m/>
    <m/>
    <m/>
  </r>
  <r>
    <n v="5179"/>
    <n v="55695"/>
    <d v="1997-02-19T00:00:00"/>
    <n v="28"/>
    <x v="1"/>
    <x v="1"/>
    <d v="2024-11-11T00:00:00"/>
    <n v="1.2602739726027397"/>
    <x v="78"/>
    <x v="0"/>
    <x v="8"/>
    <x v="1"/>
    <n v="8.4700000000000006"/>
    <m/>
    <m/>
    <m/>
    <m/>
    <m/>
    <m/>
    <x v="1"/>
    <n v="2"/>
    <n v="6"/>
    <m/>
    <m/>
    <m/>
    <m/>
    <m/>
    <m/>
    <m/>
    <m/>
    <m/>
    <m/>
    <m/>
    <m/>
    <m/>
    <m/>
  </r>
  <r>
    <n v="5180"/>
    <n v="55696"/>
    <d v="2006-05-11T00:00:00"/>
    <n v="19"/>
    <x v="1"/>
    <x v="1"/>
    <d v="2024-09-27T00:00:00"/>
    <n v="1.4219178082191781"/>
    <x v="78"/>
    <x v="0"/>
    <x v="8"/>
    <x v="1"/>
    <n v="8.4700000000000006"/>
    <m/>
    <m/>
    <m/>
    <m/>
    <m/>
    <m/>
    <x v="1"/>
    <n v="2"/>
    <n v="5"/>
    <m/>
    <m/>
    <m/>
    <m/>
    <m/>
    <m/>
    <m/>
    <m/>
    <m/>
    <m/>
    <m/>
    <m/>
    <m/>
    <m/>
  </r>
  <r>
    <n v="5181"/>
    <n v="55697"/>
    <d v="2001-07-05T00:00:00"/>
    <n v="24"/>
    <x v="1"/>
    <x v="1"/>
    <d v="2024-07-30T00:00:00"/>
    <n v="1.1835616438356165"/>
    <x v="78"/>
    <x v="0"/>
    <x v="8"/>
    <x v="1"/>
    <n v="8.4700000000000006"/>
    <m/>
    <m/>
    <m/>
    <m/>
    <m/>
    <m/>
    <x v="2"/>
    <n v="2"/>
    <n v="6"/>
    <m/>
    <m/>
    <m/>
    <m/>
    <m/>
    <m/>
    <m/>
    <m/>
    <m/>
    <m/>
    <m/>
    <m/>
    <m/>
    <m/>
  </r>
  <r>
    <n v="5182"/>
    <n v="55699"/>
    <d v="2002-03-19T00:00:00"/>
    <n v="23"/>
    <x v="1"/>
    <x v="1"/>
    <d v="2024-10-25T00:00:00"/>
    <n v="1.0794520547945206"/>
    <x v="78"/>
    <x v="0"/>
    <x v="8"/>
    <x v="1"/>
    <n v="8.4700000000000006"/>
    <m/>
    <m/>
    <m/>
    <m/>
    <m/>
    <m/>
    <x v="4"/>
    <n v="3"/>
    <n v="6"/>
    <m/>
    <m/>
    <m/>
    <m/>
    <m/>
    <m/>
    <m/>
    <m/>
    <m/>
    <m/>
    <m/>
    <m/>
    <m/>
    <m/>
  </r>
  <r>
    <n v="5183"/>
    <n v="55700"/>
    <d v="2002-04-25T00:00:00"/>
    <n v="23"/>
    <x v="1"/>
    <x v="0"/>
    <d v="2024-12-02T00:00:00"/>
    <n v="1.0794520547945206"/>
    <x v="78"/>
    <x v="0"/>
    <x v="8"/>
    <x v="1"/>
    <n v="8.4700000000000006"/>
    <m/>
    <m/>
    <m/>
    <m/>
    <m/>
    <m/>
    <x v="2"/>
    <n v="2"/>
    <n v="6"/>
    <m/>
    <m/>
    <m/>
    <m/>
    <m/>
    <m/>
    <m/>
    <m/>
    <m/>
    <m/>
    <m/>
    <m/>
    <m/>
    <m/>
  </r>
  <r>
    <n v="5184"/>
    <n v="55701"/>
    <d v="1997-09-04T00:00:00"/>
    <n v="28"/>
    <x v="1"/>
    <x v="0"/>
    <d v="2024-12-02T00:00:00"/>
    <n v="1.1534246575342466"/>
    <x v="78"/>
    <x v="0"/>
    <x v="8"/>
    <x v="1"/>
    <n v="8.4700000000000006"/>
    <m/>
    <m/>
    <m/>
    <m/>
    <m/>
    <m/>
    <x v="1"/>
    <n v="4"/>
    <n v="5"/>
    <m/>
    <m/>
    <m/>
    <m/>
    <m/>
    <m/>
    <m/>
    <m/>
    <m/>
    <m/>
    <m/>
    <m/>
    <m/>
    <m/>
  </r>
  <r>
    <n v="5185"/>
    <n v="55703"/>
    <d v="2002-02-17T00:00:00"/>
    <n v="23"/>
    <x v="1"/>
    <x v="1"/>
    <d v="2024-11-05T00:00:00"/>
    <n v="1.3835616438356164"/>
    <x v="83"/>
    <x v="0"/>
    <x v="11"/>
    <x v="1"/>
    <n v="17"/>
    <m/>
    <m/>
    <m/>
    <m/>
    <m/>
    <m/>
    <x v="2"/>
    <n v="1"/>
    <n v="6"/>
    <m/>
    <m/>
    <m/>
    <m/>
    <m/>
    <m/>
    <m/>
    <m/>
    <m/>
    <m/>
    <m/>
    <m/>
    <m/>
    <m/>
  </r>
  <r>
    <n v="5186"/>
    <n v="55704"/>
    <d v="1999-03-30T00:00:00"/>
    <n v="26"/>
    <x v="1"/>
    <x v="1"/>
    <d v="2024-08-13T00:00:00"/>
    <n v="1.6547945205479453"/>
    <x v="83"/>
    <x v="0"/>
    <x v="11"/>
    <x v="1"/>
    <n v="17"/>
    <m/>
    <m/>
    <m/>
    <m/>
    <m/>
    <m/>
    <x v="2"/>
    <n v="2"/>
    <n v="6"/>
    <m/>
    <m/>
    <m/>
    <m/>
    <m/>
    <m/>
    <m/>
    <m/>
    <m/>
    <m/>
    <m/>
    <m/>
    <m/>
    <m/>
  </r>
  <r>
    <n v="5187"/>
    <n v="55705"/>
    <d v="2000-11-14T00:00:00"/>
    <n v="25"/>
    <x v="0"/>
    <x v="1"/>
    <d v="2024-05-06T00:00:00"/>
    <n v="1.452054794520548"/>
    <x v="83"/>
    <x v="0"/>
    <x v="2"/>
    <x v="1"/>
    <n v="14.23"/>
    <m/>
    <m/>
    <m/>
    <m/>
    <m/>
    <m/>
    <x v="3"/>
    <n v="0"/>
    <n v="4"/>
    <m/>
    <m/>
    <m/>
    <m/>
    <m/>
    <m/>
    <m/>
    <m/>
    <m/>
    <m/>
    <m/>
    <m/>
    <m/>
    <m/>
  </r>
  <r>
    <n v="5188"/>
    <n v="55706"/>
    <d v="2003-09-22T00:00:00"/>
    <n v="22"/>
    <x v="1"/>
    <x v="1"/>
    <d v="2024-07-19T00:00:00"/>
    <n v="1.4383561643835616"/>
    <x v="83"/>
    <x v="0"/>
    <x v="3"/>
    <x v="1"/>
    <n v="8.4700000000000006"/>
    <m/>
    <m/>
    <m/>
    <m/>
    <m/>
    <m/>
    <x v="2"/>
    <n v="2"/>
    <n v="7"/>
    <m/>
    <m/>
    <m/>
    <m/>
    <m/>
    <m/>
    <m/>
    <m/>
    <m/>
    <m/>
    <m/>
    <m/>
    <m/>
    <m/>
  </r>
  <r>
    <n v="5189"/>
    <n v="55707"/>
    <d v="2005-08-06T00:00:00"/>
    <n v="20"/>
    <x v="1"/>
    <x v="1"/>
    <d v="2024-07-24T00:00:00"/>
    <n v="1.0356164383561643"/>
    <x v="83"/>
    <x v="0"/>
    <x v="3"/>
    <x v="1"/>
    <n v="8.4700000000000006"/>
    <m/>
    <m/>
    <m/>
    <m/>
    <m/>
    <m/>
    <x v="1"/>
    <n v="1"/>
    <n v="5"/>
    <m/>
    <m/>
    <m/>
    <m/>
    <m/>
    <m/>
    <m/>
    <m/>
    <m/>
    <m/>
    <m/>
    <m/>
    <m/>
    <m/>
  </r>
  <r>
    <n v="5190"/>
    <n v="55708"/>
    <d v="1998-09-03T00:00:00"/>
    <n v="27"/>
    <x v="0"/>
    <x v="1"/>
    <d v="2024-12-18T00:00:00"/>
    <n v="1.2301369863013698"/>
    <x v="83"/>
    <x v="0"/>
    <x v="7"/>
    <x v="1"/>
    <n v="17.59"/>
    <m/>
    <m/>
    <m/>
    <m/>
    <m/>
    <m/>
    <x v="4"/>
    <n v="2"/>
    <n v="5"/>
    <m/>
    <m/>
    <m/>
    <m/>
    <m/>
    <m/>
    <m/>
    <m/>
    <m/>
    <m/>
    <m/>
    <m/>
    <m/>
    <m/>
  </r>
  <r>
    <n v="5191"/>
    <n v="55709"/>
    <d v="2006-02-28T00:00:00"/>
    <n v="19"/>
    <x v="1"/>
    <x v="0"/>
    <d v="2024-10-08T00:00:00"/>
    <n v="1.6273972602739726"/>
    <x v="83"/>
    <x v="0"/>
    <x v="8"/>
    <x v="1"/>
    <n v="8.4700000000000006"/>
    <m/>
    <m/>
    <m/>
    <m/>
    <m/>
    <m/>
    <x v="3"/>
    <n v="2"/>
    <n v="6"/>
    <m/>
    <m/>
    <m/>
    <m/>
    <m/>
    <m/>
    <m/>
    <m/>
    <m/>
    <m/>
    <m/>
    <m/>
    <m/>
    <m/>
  </r>
  <r>
    <n v="5192"/>
    <n v="55710"/>
    <d v="2003-02-17T00:00:00"/>
    <n v="22"/>
    <x v="1"/>
    <x v="0"/>
    <d v="2024-05-16T00:00:00"/>
    <n v="1.726027397260274"/>
    <x v="83"/>
    <x v="0"/>
    <x v="8"/>
    <x v="1"/>
    <n v="8.4700000000000006"/>
    <m/>
    <m/>
    <m/>
    <m/>
    <m/>
    <m/>
    <x v="2"/>
    <n v="1"/>
    <n v="5"/>
    <m/>
    <m/>
    <m/>
    <m/>
    <m/>
    <m/>
    <m/>
    <m/>
    <m/>
    <m/>
    <m/>
    <m/>
    <m/>
    <m/>
  </r>
  <r>
    <n v="5193"/>
    <n v="55712"/>
    <d v="1996-08-08T00:00:00"/>
    <n v="29"/>
    <x v="1"/>
    <x v="1"/>
    <d v="2024-04-10T00:00:00"/>
    <n v="1.3671232876712329"/>
    <x v="83"/>
    <x v="0"/>
    <x v="8"/>
    <x v="1"/>
    <n v="8.4700000000000006"/>
    <m/>
    <m/>
    <m/>
    <m/>
    <m/>
    <m/>
    <x v="3"/>
    <n v="2"/>
    <n v="7"/>
    <m/>
    <m/>
    <m/>
    <m/>
    <m/>
    <m/>
    <m/>
    <m/>
    <m/>
    <m/>
    <m/>
    <m/>
    <m/>
    <m/>
  </r>
  <r>
    <n v="5194"/>
    <n v="55713"/>
    <d v="2005-11-10T00:00:00"/>
    <n v="20"/>
    <x v="0"/>
    <x v="0"/>
    <d v="2024-08-19T00:00:00"/>
    <n v="1.3890410958904109"/>
    <x v="83"/>
    <x v="0"/>
    <x v="8"/>
    <x v="1"/>
    <n v="8.4700000000000006"/>
    <m/>
    <m/>
    <m/>
    <m/>
    <m/>
    <m/>
    <x v="1"/>
    <n v="2"/>
    <n v="3"/>
    <m/>
    <m/>
    <m/>
    <m/>
    <m/>
    <m/>
    <m/>
    <m/>
    <m/>
    <m/>
    <m/>
    <m/>
    <m/>
    <m/>
  </r>
  <r>
    <n v="5195"/>
    <n v="55714"/>
    <d v="1998-08-10T00:00:00"/>
    <n v="27"/>
    <x v="1"/>
    <x v="1"/>
    <d v="2024-08-11T00:00:00"/>
    <n v="1.484931506849315"/>
    <x v="83"/>
    <x v="0"/>
    <x v="8"/>
    <x v="1"/>
    <n v="8.4700000000000006"/>
    <m/>
    <m/>
    <m/>
    <m/>
    <m/>
    <m/>
    <x v="4"/>
    <n v="2"/>
    <n v="6"/>
    <m/>
    <m/>
    <m/>
    <m/>
    <m/>
    <m/>
    <m/>
    <m/>
    <m/>
    <m/>
    <m/>
    <m/>
    <m/>
    <m/>
  </r>
  <r>
    <n v="5196"/>
    <n v="55715"/>
    <d v="2003-04-26T00:00:00"/>
    <n v="22"/>
    <x v="1"/>
    <x v="0"/>
    <d v="2024-07-07T00:00:00"/>
    <n v="1.6493150684931508"/>
    <x v="83"/>
    <x v="0"/>
    <x v="8"/>
    <x v="1"/>
    <n v="8.4700000000000006"/>
    <m/>
    <m/>
    <m/>
    <m/>
    <m/>
    <m/>
    <x v="3"/>
    <n v="1"/>
    <n v="6"/>
    <m/>
    <m/>
    <m/>
    <m/>
    <m/>
    <m/>
    <m/>
    <m/>
    <m/>
    <m/>
    <m/>
    <m/>
    <m/>
    <m/>
  </r>
  <r>
    <n v="5197"/>
    <n v="55716"/>
    <d v="2004-07-30T00:00:00"/>
    <n v="21"/>
    <x v="1"/>
    <x v="0"/>
    <d v="2024-05-08T00:00:00"/>
    <n v="1.1616438356164382"/>
    <x v="83"/>
    <x v="0"/>
    <x v="8"/>
    <x v="1"/>
    <n v="8.4700000000000006"/>
    <m/>
    <m/>
    <m/>
    <m/>
    <m/>
    <m/>
    <x v="2"/>
    <n v="2"/>
    <n v="7"/>
    <m/>
    <m/>
    <m/>
    <m/>
    <m/>
    <m/>
    <m/>
    <m/>
    <m/>
    <m/>
    <m/>
    <m/>
    <m/>
    <m/>
  </r>
  <r>
    <n v="5198"/>
    <n v="55717"/>
    <d v="2005-12-25T00:00:00"/>
    <n v="20"/>
    <x v="1"/>
    <x v="1"/>
    <d v="2024-11-02T00:00:00"/>
    <n v="1.6575342465753424"/>
    <x v="83"/>
    <x v="0"/>
    <x v="8"/>
    <x v="1"/>
    <n v="8.4700000000000006"/>
    <m/>
    <m/>
    <m/>
    <m/>
    <m/>
    <m/>
    <x v="2"/>
    <n v="1"/>
    <n v="6"/>
    <m/>
    <m/>
    <m/>
    <m/>
    <m/>
    <m/>
    <m/>
    <m/>
    <m/>
    <m/>
    <m/>
    <m/>
    <m/>
    <m/>
  </r>
  <r>
    <n v="5199"/>
    <n v="55718"/>
    <d v="2000-09-08T00:00:00"/>
    <n v="25"/>
    <x v="1"/>
    <x v="0"/>
    <d v="2024-05-05T00:00:00"/>
    <n v="1.2082191780821918"/>
    <x v="83"/>
    <x v="0"/>
    <x v="8"/>
    <x v="1"/>
    <n v="8.4700000000000006"/>
    <m/>
    <m/>
    <m/>
    <m/>
    <m/>
    <m/>
    <x v="4"/>
    <n v="2"/>
    <n v="6"/>
    <m/>
    <m/>
    <m/>
    <m/>
    <m/>
    <m/>
    <m/>
    <m/>
    <m/>
    <m/>
    <m/>
    <m/>
    <m/>
    <m/>
  </r>
  <r>
    <n v="5200"/>
    <n v="55719"/>
    <d v="2004-05-09T00:00:00"/>
    <n v="21"/>
    <x v="1"/>
    <x v="1"/>
    <d v="2024-10-16T00:00:00"/>
    <n v="1.3452054794520547"/>
    <x v="83"/>
    <x v="0"/>
    <x v="8"/>
    <x v="1"/>
    <n v="8.4700000000000006"/>
    <m/>
    <m/>
    <m/>
    <m/>
    <m/>
    <m/>
    <x v="1"/>
    <n v="2"/>
    <n v="6"/>
    <m/>
    <m/>
    <m/>
    <m/>
    <m/>
    <m/>
    <m/>
    <m/>
    <m/>
    <m/>
    <m/>
    <m/>
    <m/>
    <m/>
  </r>
  <r>
    <n v="5201"/>
    <n v="55720"/>
    <d v="2004-04-17T00:00:00"/>
    <n v="21"/>
    <x v="1"/>
    <x v="0"/>
    <d v="2024-08-27T00:00:00"/>
    <n v="1.284931506849315"/>
    <x v="83"/>
    <x v="0"/>
    <x v="8"/>
    <x v="1"/>
    <n v="8.4700000000000006"/>
    <m/>
    <m/>
    <m/>
    <m/>
    <m/>
    <m/>
    <x v="2"/>
    <n v="1"/>
    <n v="5"/>
    <m/>
    <m/>
    <m/>
    <m/>
    <m/>
    <m/>
    <m/>
    <m/>
    <m/>
    <m/>
    <m/>
    <m/>
    <m/>
    <m/>
  </r>
  <r>
    <n v="5202"/>
    <n v="55721"/>
    <d v="2003-09-03T00:00:00"/>
    <n v="22"/>
    <x v="1"/>
    <x v="0"/>
    <d v="2024-09-18T00:00:00"/>
    <n v="1.2219178082191782"/>
    <x v="83"/>
    <x v="0"/>
    <x v="8"/>
    <x v="1"/>
    <n v="8.4700000000000006"/>
    <m/>
    <m/>
    <m/>
    <m/>
    <m/>
    <m/>
    <x v="4"/>
    <n v="0"/>
    <n v="4"/>
    <m/>
    <m/>
    <m/>
    <m/>
    <m/>
    <m/>
    <m/>
    <m/>
    <m/>
    <m/>
    <m/>
    <m/>
    <m/>
    <m/>
  </r>
  <r>
    <n v="5203"/>
    <n v="55724"/>
    <d v="2003-08-13T00:00:00"/>
    <n v="22"/>
    <x v="1"/>
    <x v="0"/>
    <d v="2024-10-11T00:00:00"/>
    <n v="1.2712328767123289"/>
    <x v="83"/>
    <x v="0"/>
    <x v="8"/>
    <x v="1"/>
    <n v="8.4700000000000006"/>
    <m/>
    <m/>
    <m/>
    <m/>
    <m/>
    <m/>
    <x v="3"/>
    <n v="2"/>
    <n v="6"/>
    <m/>
    <m/>
    <m/>
    <m/>
    <m/>
    <m/>
    <m/>
    <m/>
    <m/>
    <m/>
    <m/>
    <m/>
    <m/>
    <m/>
  </r>
  <r>
    <n v="5204"/>
    <n v="55725"/>
    <d v="2005-01-30T00:00:00"/>
    <n v="20"/>
    <x v="1"/>
    <x v="1"/>
    <d v="2024-09-23T00:00:00"/>
    <n v="1.5698630136986302"/>
    <x v="83"/>
    <x v="0"/>
    <x v="8"/>
    <x v="1"/>
    <n v="8.4700000000000006"/>
    <m/>
    <m/>
    <m/>
    <m/>
    <m/>
    <m/>
    <x v="3"/>
    <n v="2"/>
    <n v="6"/>
    <m/>
    <m/>
    <m/>
    <m/>
    <m/>
    <m/>
    <m/>
    <m/>
    <m/>
    <m/>
    <m/>
    <m/>
    <m/>
    <m/>
  </r>
  <r>
    <n v="5205"/>
    <n v="55726"/>
    <d v="1993-12-18T00:00:00"/>
    <n v="32"/>
    <x v="1"/>
    <x v="1"/>
    <d v="2024-06-06T00:00:00"/>
    <n v="1.1123287671232878"/>
    <x v="50"/>
    <x v="0"/>
    <x v="11"/>
    <x v="1"/>
    <n v="17"/>
    <m/>
    <m/>
    <m/>
    <m/>
    <m/>
    <m/>
    <x v="2"/>
    <n v="1"/>
    <n v="5"/>
    <m/>
    <m/>
    <m/>
    <m/>
    <m/>
    <m/>
    <m/>
    <m/>
    <m/>
    <m/>
    <m/>
    <m/>
    <m/>
    <m/>
  </r>
  <r>
    <n v="5206"/>
    <n v="55727"/>
    <d v="2000-12-14T00:00:00"/>
    <n v="25"/>
    <x v="1"/>
    <x v="1"/>
    <d v="2024-11-20T00:00:00"/>
    <n v="1.821917808219178"/>
    <x v="50"/>
    <x v="0"/>
    <x v="11"/>
    <x v="1"/>
    <n v="17"/>
    <m/>
    <m/>
    <m/>
    <m/>
    <m/>
    <m/>
    <x v="4"/>
    <n v="2"/>
    <n v="7"/>
    <m/>
    <m/>
    <m/>
    <m/>
    <m/>
    <m/>
    <m/>
    <m/>
    <m/>
    <m/>
    <m/>
    <m/>
    <m/>
    <m/>
  </r>
  <r>
    <n v="5207"/>
    <n v="55728"/>
    <d v="2003-02-28T00:00:00"/>
    <n v="22"/>
    <x v="1"/>
    <x v="0"/>
    <d v="2024-03-06T00:00:00"/>
    <n v="1.0438356164383562"/>
    <x v="50"/>
    <x v="0"/>
    <x v="1"/>
    <x v="1"/>
    <n v="16.37"/>
    <m/>
    <m/>
    <m/>
    <m/>
    <m/>
    <m/>
    <x v="4"/>
    <n v="1"/>
    <n v="4"/>
    <m/>
    <m/>
    <m/>
    <m/>
    <m/>
    <m/>
    <m/>
    <m/>
    <m/>
    <m/>
    <m/>
    <m/>
    <m/>
    <m/>
  </r>
  <r>
    <n v="5208"/>
    <n v="55729"/>
    <d v="2004-11-20T00:00:00"/>
    <n v="21"/>
    <x v="0"/>
    <x v="1"/>
    <d v="2024-12-15T00:00:00"/>
    <n v="1.3452054794520547"/>
    <x v="50"/>
    <x v="0"/>
    <x v="9"/>
    <x v="1"/>
    <n v="14.07"/>
    <m/>
    <m/>
    <m/>
    <m/>
    <m/>
    <m/>
    <x v="4"/>
    <n v="0"/>
    <n v="4"/>
    <m/>
    <m/>
    <m/>
    <m/>
    <m/>
    <m/>
    <m/>
    <m/>
    <m/>
    <m/>
    <m/>
    <m/>
    <m/>
    <m/>
  </r>
  <r>
    <n v="5209"/>
    <n v="55730"/>
    <d v="1998-04-15T00:00:00"/>
    <n v="27"/>
    <x v="1"/>
    <x v="0"/>
    <d v="2024-08-27T00:00:00"/>
    <n v="1.4356164383561645"/>
    <x v="50"/>
    <x v="0"/>
    <x v="3"/>
    <x v="1"/>
    <n v="8.4700000000000006"/>
    <m/>
    <m/>
    <m/>
    <m/>
    <m/>
    <m/>
    <x v="4"/>
    <n v="1"/>
    <n v="5"/>
    <m/>
    <m/>
    <m/>
    <m/>
    <m/>
    <m/>
    <m/>
    <m/>
    <m/>
    <m/>
    <m/>
    <m/>
    <m/>
    <m/>
  </r>
  <r>
    <n v="5210"/>
    <n v="55731"/>
    <d v="2006-02-04T00:00:00"/>
    <n v="19"/>
    <x v="1"/>
    <x v="0"/>
    <d v="2024-07-25T00:00:00"/>
    <n v="1.4602739726027398"/>
    <x v="50"/>
    <x v="0"/>
    <x v="3"/>
    <x v="1"/>
    <n v="8.4700000000000006"/>
    <m/>
    <m/>
    <m/>
    <m/>
    <m/>
    <m/>
    <x v="3"/>
    <n v="0"/>
    <n v="5"/>
    <m/>
    <m/>
    <m/>
    <m/>
    <m/>
    <m/>
    <m/>
    <m/>
    <m/>
    <m/>
    <m/>
    <m/>
    <m/>
    <m/>
  </r>
  <r>
    <n v="5211"/>
    <n v="55732"/>
    <d v="1995-11-29T00:00:00"/>
    <n v="30"/>
    <x v="0"/>
    <x v="1"/>
    <d v="2024-07-16T00:00:00"/>
    <n v="1.6191780821917807"/>
    <x v="50"/>
    <x v="0"/>
    <x v="7"/>
    <x v="1"/>
    <n v="17.59"/>
    <m/>
    <m/>
    <m/>
    <m/>
    <m/>
    <m/>
    <x v="1"/>
    <n v="0"/>
    <n v="3"/>
    <m/>
    <m/>
    <m/>
    <m/>
    <m/>
    <m/>
    <m/>
    <m/>
    <m/>
    <m/>
    <m/>
    <m/>
    <m/>
    <m/>
  </r>
  <r>
    <n v="5212"/>
    <n v="55733"/>
    <d v="2001-03-24T00:00:00"/>
    <n v="24"/>
    <x v="0"/>
    <x v="1"/>
    <d v="2024-05-19T00:00:00"/>
    <n v="1.5287671232876712"/>
    <x v="50"/>
    <x v="0"/>
    <x v="7"/>
    <x v="1"/>
    <n v="17.59"/>
    <m/>
    <m/>
    <m/>
    <m/>
    <m/>
    <m/>
    <x v="4"/>
    <n v="3"/>
    <n v="5"/>
    <m/>
    <m/>
    <m/>
    <m/>
    <m/>
    <m/>
    <m/>
    <m/>
    <m/>
    <m/>
    <m/>
    <m/>
    <m/>
    <m/>
  </r>
  <r>
    <n v="5213"/>
    <n v="55734"/>
    <d v="1996-12-06T00:00:00"/>
    <n v="29"/>
    <x v="0"/>
    <x v="1"/>
    <d v="2024-06-21T00:00:00"/>
    <n v="1.3643835616438356"/>
    <x v="50"/>
    <x v="0"/>
    <x v="7"/>
    <x v="1"/>
    <n v="17.59"/>
    <m/>
    <m/>
    <m/>
    <m/>
    <m/>
    <m/>
    <x v="2"/>
    <n v="1"/>
    <n v="4"/>
    <m/>
    <m/>
    <m/>
    <m/>
    <m/>
    <m/>
    <m/>
    <m/>
    <m/>
    <m/>
    <m/>
    <m/>
    <m/>
    <m/>
  </r>
  <r>
    <n v="5214"/>
    <n v="55735"/>
    <d v="1998-12-21T00:00:00"/>
    <n v="27"/>
    <x v="1"/>
    <x v="1"/>
    <d v="2024-08-20T00:00:00"/>
    <n v="1.5726027397260274"/>
    <x v="50"/>
    <x v="0"/>
    <x v="7"/>
    <x v="1"/>
    <n v="17.59"/>
    <m/>
    <m/>
    <m/>
    <m/>
    <m/>
    <m/>
    <x v="1"/>
    <n v="2"/>
    <n v="6"/>
    <m/>
    <m/>
    <m/>
    <m/>
    <m/>
    <m/>
    <m/>
    <m/>
    <m/>
    <m/>
    <m/>
    <m/>
    <m/>
    <m/>
  </r>
  <r>
    <n v="5215"/>
    <n v="55736"/>
    <d v="2005-03-15T00:00:00"/>
    <n v="20"/>
    <x v="0"/>
    <x v="1"/>
    <d v="2024-06-05T00:00:00"/>
    <n v="1.4027397260273973"/>
    <x v="50"/>
    <x v="0"/>
    <x v="8"/>
    <x v="1"/>
    <n v="8.4700000000000006"/>
    <m/>
    <m/>
    <m/>
    <m/>
    <m/>
    <m/>
    <x v="1"/>
    <n v="0"/>
    <n v="3"/>
    <m/>
    <m/>
    <m/>
    <m/>
    <m/>
    <m/>
    <m/>
    <m/>
    <m/>
    <m/>
    <m/>
    <m/>
    <m/>
    <m/>
  </r>
  <r>
    <n v="5216"/>
    <n v="55737"/>
    <d v="2000-03-24T00:00:00"/>
    <n v="25"/>
    <x v="1"/>
    <x v="1"/>
    <d v="2024-08-06T00:00:00"/>
    <n v="1.1863013698630136"/>
    <x v="50"/>
    <x v="0"/>
    <x v="8"/>
    <x v="1"/>
    <n v="8.4700000000000006"/>
    <m/>
    <m/>
    <m/>
    <m/>
    <m/>
    <m/>
    <x v="4"/>
    <n v="4"/>
    <n v="6"/>
    <m/>
    <m/>
    <m/>
    <m/>
    <m/>
    <m/>
    <m/>
    <m/>
    <m/>
    <m/>
    <m/>
    <m/>
    <m/>
    <m/>
  </r>
  <r>
    <n v="5217"/>
    <n v="55738"/>
    <d v="2002-01-01T00:00:00"/>
    <n v="24"/>
    <x v="1"/>
    <x v="1"/>
    <d v="2024-10-24T00:00:00"/>
    <n v="1.0931506849315069"/>
    <x v="50"/>
    <x v="0"/>
    <x v="8"/>
    <x v="1"/>
    <n v="8.4700000000000006"/>
    <m/>
    <m/>
    <m/>
    <m/>
    <m/>
    <m/>
    <x v="2"/>
    <n v="1"/>
    <n v="6"/>
    <m/>
    <m/>
    <m/>
    <m/>
    <m/>
    <m/>
    <m/>
    <m/>
    <m/>
    <m/>
    <m/>
    <m/>
    <m/>
    <m/>
  </r>
  <r>
    <n v="5218"/>
    <n v="55739"/>
    <d v="2002-10-10T00:00:00"/>
    <n v="23"/>
    <x v="1"/>
    <x v="0"/>
    <d v="2024-11-27T00:00:00"/>
    <n v="1.3506849315068492"/>
    <x v="50"/>
    <x v="0"/>
    <x v="8"/>
    <x v="1"/>
    <n v="8.4700000000000006"/>
    <m/>
    <m/>
    <m/>
    <m/>
    <m/>
    <m/>
    <x v="4"/>
    <n v="4"/>
    <n v="5"/>
    <m/>
    <m/>
    <m/>
    <m/>
    <m/>
    <m/>
    <m/>
    <m/>
    <m/>
    <m/>
    <m/>
    <m/>
    <m/>
    <m/>
  </r>
  <r>
    <n v="5219"/>
    <n v="55740"/>
    <d v="1998-02-06T00:00:00"/>
    <n v="27"/>
    <x v="1"/>
    <x v="1"/>
    <d v="2024-08-25T00:00:00"/>
    <n v="1.1013698630136985"/>
    <x v="50"/>
    <x v="0"/>
    <x v="8"/>
    <x v="1"/>
    <n v="8.4700000000000006"/>
    <m/>
    <m/>
    <m/>
    <m/>
    <m/>
    <m/>
    <x v="2"/>
    <n v="0"/>
    <n v="4"/>
    <m/>
    <m/>
    <m/>
    <m/>
    <m/>
    <m/>
    <m/>
    <m/>
    <m/>
    <m/>
    <m/>
    <m/>
    <m/>
    <m/>
  </r>
  <r>
    <n v="5220"/>
    <n v="55741"/>
    <d v="2007-03-24T00:00:00"/>
    <n v="18"/>
    <x v="0"/>
    <x v="1"/>
    <d v="2024-11-24T00:00:00"/>
    <n v="1.3561643835616439"/>
    <x v="50"/>
    <x v="0"/>
    <x v="8"/>
    <x v="1"/>
    <n v="8.4700000000000006"/>
    <m/>
    <m/>
    <m/>
    <m/>
    <m/>
    <m/>
    <x v="4"/>
    <n v="2"/>
    <n v="5"/>
    <m/>
    <m/>
    <m/>
    <m/>
    <m/>
    <m/>
    <m/>
    <m/>
    <m/>
    <m/>
    <m/>
    <m/>
    <m/>
    <m/>
  </r>
  <r>
    <n v="5221"/>
    <n v="55742"/>
    <d v="2006-11-19T00:00:00"/>
    <n v="19"/>
    <x v="1"/>
    <x v="1"/>
    <d v="2024-08-23T00:00:00"/>
    <n v="1.789041095890411"/>
    <x v="50"/>
    <x v="0"/>
    <x v="8"/>
    <x v="1"/>
    <n v="8.4700000000000006"/>
    <m/>
    <m/>
    <m/>
    <m/>
    <m/>
    <m/>
    <x v="1"/>
    <n v="1"/>
    <n v="5"/>
    <m/>
    <m/>
    <m/>
    <m/>
    <m/>
    <m/>
    <m/>
    <m/>
    <m/>
    <m/>
    <m/>
    <m/>
    <m/>
    <m/>
  </r>
  <r>
    <n v="5222"/>
    <n v="55743"/>
    <d v="2003-10-16T00:00:00"/>
    <n v="22"/>
    <x v="1"/>
    <x v="1"/>
    <d v="2024-03-18T00:00:00"/>
    <n v="1.2410958904109588"/>
    <x v="50"/>
    <x v="0"/>
    <x v="8"/>
    <x v="1"/>
    <n v="8.4700000000000006"/>
    <m/>
    <m/>
    <m/>
    <m/>
    <m/>
    <m/>
    <x v="1"/>
    <n v="2"/>
    <n v="5"/>
    <m/>
    <m/>
    <m/>
    <m/>
    <m/>
    <m/>
    <m/>
    <m/>
    <m/>
    <m/>
    <m/>
    <m/>
    <m/>
    <m/>
  </r>
  <r>
    <n v="5223"/>
    <n v="55744"/>
    <d v="2007-09-19T00:00:00"/>
    <n v="18"/>
    <x v="1"/>
    <x v="1"/>
    <d v="2024-10-04T00:00:00"/>
    <n v="1.1315068493150684"/>
    <x v="50"/>
    <x v="0"/>
    <x v="8"/>
    <x v="1"/>
    <n v="8.4700000000000006"/>
    <m/>
    <m/>
    <m/>
    <m/>
    <m/>
    <m/>
    <x v="1"/>
    <n v="4"/>
    <n v="6"/>
    <m/>
    <m/>
    <m/>
    <m/>
    <m/>
    <m/>
    <m/>
    <m/>
    <m/>
    <m/>
    <m/>
    <m/>
    <m/>
    <m/>
  </r>
  <r>
    <n v="5224"/>
    <n v="55745"/>
    <d v="2000-03-03T00:00:00"/>
    <n v="25"/>
    <x v="1"/>
    <x v="0"/>
    <d v="2024-11-13T00:00:00"/>
    <n v="1.747945205479452"/>
    <x v="50"/>
    <x v="0"/>
    <x v="8"/>
    <x v="1"/>
    <n v="8.4700000000000006"/>
    <m/>
    <m/>
    <m/>
    <m/>
    <m/>
    <m/>
    <x v="4"/>
    <n v="2"/>
    <n v="6"/>
    <m/>
    <m/>
    <m/>
    <m/>
    <m/>
    <m/>
    <m/>
    <m/>
    <m/>
    <m/>
    <m/>
    <m/>
    <m/>
    <m/>
  </r>
  <r>
    <n v="5225"/>
    <n v="55746"/>
    <d v="2003-07-23T00:00:00"/>
    <n v="22"/>
    <x v="0"/>
    <x v="1"/>
    <d v="2024-04-02T00:00:00"/>
    <n v="1.7095890410958905"/>
    <x v="50"/>
    <x v="0"/>
    <x v="8"/>
    <x v="1"/>
    <n v="8.4700000000000006"/>
    <m/>
    <m/>
    <m/>
    <m/>
    <m/>
    <m/>
    <x v="2"/>
    <n v="2"/>
    <n v="5"/>
    <m/>
    <m/>
    <m/>
    <m/>
    <m/>
    <m/>
    <m/>
    <m/>
    <m/>
    <m/>
    <m/>
    <m/>
    <m/>
    <m/>
  </r>
  <r>
    <n v="5226"/>
    <n v="55747"/>
    <d v="2004-03-30T00:00:00"/>
    <n v="21"/>
    <x v="1"/>
    <x v="0"/>
    <d v="2024-04-16T00:00:00"/>
    <n v="1.1424657534246576"/>
    <x v="50"/>
    <x v="0"/>
    <x v="8"/>
    <x v="1"/>
    <n v="8.4700000000000006"/>
    <m/>
    <m/>
    <m/>
    <m/>
    <m/>
    <m/>
    <x v="3"/>
    <n v="2"/>
    <n v="5"/>
    <m/>
    <m/>
    <m/>
    <m/>
    <m/>
    <m/>
    <m/>
    <m/>
    <m/>
    <m/>
    <m/>
    <m/>
    <m/>
    <m/>
  </r>
  <r>
    <n v="5227"/>
    <n v="55748"/>
    <d v="1992-09-28T00:00:00"/>
    <n v="33"/>
    <x v="1"/>
    <x v="0"/>
    <d v="2024-11-09T00:00:00"/>
    <n v="1.2219178082191782"/>
    <x v="50"/>
    <x v="0"/>
    <x v="8"/>
    <x v="1"/>
    <n v="8.4700000000000006"/>
    <m/>
    <m/>
    <m/>
    <m/>
    <m/>
    <m/>
    <x v="4"/>
    <n v="2"/>
    <n v="5"/>
    <m/>
    <m/>
    <m/>
    <m/>
    <m/>
    <m/>
    <m/>
    <m/>
    <m/>
    <m/>
    <m/>
    <m/>
    <m/>
    <m/>
  </r>
  <r>
    <n v="5228"/>
    <n v="55749"/>
    <d v="2002-06-07T00:00:00"/>
    <n v="23"/>
    <x v="1"/>
    <x v="1"/>
    <d v="2024-10-11T00:00:00"/>
    <n v="1.167123287671233"/>
    <x v="50"/>
    <x v="0"/>
    <x v="8"/>
    <x v="1"/>
    <n v="8.4700000000000006"/>
    <m/>
    <m/>
    <m/>
    <m/>
    <m/>
    <m/>
    <x v="3"/>
    <n v="2"/>
    <n v="6"/>
    <m/>
    <m/>
    <m/>
    <m/>
    <m/>
    <m/>
    <m/>
    <m/>
    <m/>
    <m/>
    <m/>
    <m/>
    <m/>
    <m/>
  </r>
  <r>
    <n v="5229"/>
    <n v="55750"/>
    <d v="2004-10-12T00:00:00"/>
    <n v="21"/>
    <x v="0"/>
    <x v="1"/>
    <d v="2024-10-31T00:00:00"/>
    <n v="1.3315068493150686"/>
    <x v="34"/>
    <x v="0"/>
    <x v="10"/>
    <x v="1"/>
    <n v="10.64"/>
    <m/>
    <m/>
    <m/>
    <m/>
    <m/>
    <m/>
    <x v="4"/>
    <n v="1"/>
    <n v="3"/>
    <m/>
    <m/>
    <m/>
    <m/>
    <m/>
    <m/>
    <m/>
    <m/>
    <m/>
    <m/>
    <m/>
    <m/>
    <m/>
    <m/>
  </r>
  <r>
    <n v="5230"/>
    <n v="55751"/>
    <d v="2002-12-28T00:00:00"/>
    <n v="23"/>
    <x v="0"/>
    <x v="0"/>
    <d v="2024-09-01T00:00:00"/>
    <n v="1.526027397260274"/>
    <x v="34"/>
    <x v="0"/>
    <x v="10"/>
    <x v="1"/>
    <n v="10.64"/>
    <m/>
    <m/>
    <m/>
    <m/>
    <m/>
    <m/>
    <x v="4"/>
    <n v="0"/>
    <n v="4"/>
    <m/>
    <m/>
    <m/>
    <m/>
    <m/>
    <m/>
    <m/>
    <m/>
    <m/>
    <m/>
    <m/>
    <m/>
    <m/>
    <m/>
  </r>
  <r>
    <n v="5231"/>
    <n v="55752"/>
    <d v="1994-03-17T00:00:00"/>
    <n v="31"/>
    <x v="1"/>
    <x v="0"/>
    <d v="2024-06-22T00:00:00"/>
    <n v="1.106849315068493"/>
    <x v="34"/>
    <x v="0"/>
    <x v="6"/>
    <x v="1"/>
    <n v="23.78"/>
    <m/>
    <m/>
    <m/>
    <m/>
    <m/>
    <m/>
    <x v="1"/>
    <n v="5"/>
    <n v="7"/>
    <m/>
    <m/>
    <m/>
    <m/>
    <m/>
    <m/>
    <m/>
    <m/>
    <m/>
    <m/>
    <m/>
    <m/>
    <m/>
    <m/>
  </r>
  <r>
    <n v="5232"/>
    <n v="55753"/>
    <d v="2006-09-26T00:00:00"/>
    <n v="19"/>
    <x v="1"/>
    <x v="0"/>
    <d v="2024-11-22T00:00:00"/>
    <n v="1.3917808219178083"/>
    <x v="34"/>
    <x v="0"/>
    <x v="8"/>
    <x v="1"/>
    <n v="8.4700000000000006"/>
    <m/>
    <m/>
    <m/>
    <m/>
    <m/>
    <m/>
    <x v="4"/>
    <n v="0"/>
    <n v="4"/>
    <m/>
    <m/>
    <m/>
    <m/>
    <m/>
    <m/>
    <m/>
    <m/>
    <m/>
    <m/>
    <m/>
    <m/>
    <m/>
    <m/>
  </r>
  <r>
    <n v="5233"/>
    <n v="55754"/>
    <d v="2001-11-28T00:00:00"/>
    <n v="24"/>
    <x v="1"/>
    <x v="1"/>
    <d v="2024-08-10T00:00:00"/>
    <n v="1.295890410958904"/>
    <x v="34"/>
    <x v="0"/>
    <x v="8"/>
    <x v="1"/>
    <n v="8.4700000000000006"/>
    <m/>
    <m/>
    <m/>
    <m/>
    <m/>
    <m/>
    <x v="3"/>
    <n v="1"/>
    <n v="7"/>
    <m/>
    <m/>
    <m/>
    <m/>
    <m/>
    <m/>
    <m/>
    <m/>
    <m/>
    <m/>
    <m/>
    <m/>
    <m/>
    <m/>
  </r>
  <r>
    <n v="5234"/>
    <n v="55755"/>
    <d v="2004-06-03T00:00:00"/>
    <n v="21"/>
    <x v="1"/>
    <x v="0"/>
    <d v="2024-09-14T00:00:00"/>
    <n v="1.5917808219178082"/>
    <x v="34"/>
    <x v="0"/>
    <x v="8"/>
    <x v="1"/>
    <n v="8.4700000000000006"/>
    <m/>
    <m/>
    <m/>
    <m/>
    <m/>
    <m/>
    <x v="3"/>
    <n v="0"/>
    <n v="4"/>
    <m/>
    <m/>
    <m/>
    <m/>
    <m/>
    <m/>
    <m/>
    <m/>
    <m/>
    <m/>
    <m/>
    <m/>
    <m/>
    <m/>
  </r>
  <r>
    <n v="5235"/>
    <n v="55756"/>
    <d v="1999-04-15T00:00:00"/>
    <n v="26"/>
    <x v="1"/>
    <x v="0"/>
    <d v="2024-05-29T00:00:00"/>
    <n v="1.0136986301369864"/>
    <x v="34"/>
    <x v="0"/>
    <x v="8"/>
    <x v="1"/>
    <n v="8.4700000000000006"/>
    <m/>
    <m/>
    <m/>
    <m/>
    <m/>
    <m/>
    <x v="2"/>
    <n v="1"/>
    <n v="5"/>
    <m/>
    <m/>
    <m/>
    <m/>
    <m/>
    <m/>
    <m/>
    <m/>
    <m/>
    <m/>
    <m/>
    <m/>
    <m/>
    <m/>
  </r>
  <r>
    <n v="5236"/>
    <n v="55757"/>
    <d v="1997-07-08T00:00:00"/>
    <n v="28"/>
    <x v="1"/>
    <x v="0"/>
    <d v="2024-12-26T00:00:00"/>
    <n v="1.2027397260273973"/>
    <x v="34"/>
    <x v="0"/>
    <x v="8"/>
    <x v="1"/>
    <n v="8.4700000000000006"/>
    <m/>
    <m/>
    <m/>
    <m/>
    <m/>
    <m/>
    <x v="3"/>
    <n v="4"/>
    <n v="5"/>
    <m/>
    <m/>
    <m/>
    <m/>
    <m/>
    <m/>
    <m/>
    <m/>
    <m/>
    <m/>
    <m/>
    <m/>
    <m/>
    <m/>
  </r>
  <r>
    <n v="5237"/>
    <n v="55758"/>
    <d v="2003-07-26T00:00:00"/>
    <n v="22"/>
    <x v="1"/>
    <x v="1"/>
    <d v="2024-10-18T00:00:00"/>
    <n v="1.6109589041095891"/>
    <x v="34"/>
    <x v="0"/>
    <x v="8"/>
    <x v="1"/>
    <n v="8.4700000000000006"/>
    <m/>
    <m/>
    <m/>
    <m/>
    <m/>
    <m/>
    <x v="4"/>
    <n v="2"/>
    <n v="5"/>
    <m/>
    <m/>
    <m/>
    <m/>
    <m/>
    <m/>
    <m/>
    <m/>
    <m/>
    <m/>
    <m/>
    <m/>
    <m/>
    <m/>
  </r>
  <r>
    <n v="5238"/>
    <n v="55759"/>
    <d v="2007-12-29T00:00:00"/>
    <n v="18"/>
    <x v="1"/>
    <x v="0"/>
    <d v="2024-05-22T00:00:00"/>
    <n v="1.6383561643835616"/>
    <x v="34"/>
    <x v="0"/>
    <x v="8"/>
    <x v="1"/>
    <n v="8.4700000000000006"/>
    <m/>
    <m/>
    <m/>
    <m/>
    <m/>
    <m/>
    <x v="4"/>
    <n v="4"/>
    <n v="5"/>
    <m/>
    <m/>
    <m/>
    <m/>
    <m/>
    <m/>
    <m/>
    <m/>
    <m/>
    <m/>
    <m/>
    <m/>
    <m/>
    <m/>
  </r>
  <r>
    <n v="5239"/>
    <n v="55760"/>
    <d v="2007-08-20T00:00:00"/>
    <n v="18"/>
    <x v="1"/>
    <x v="1"/>
    <d v="2024-05-12T00:00:00"/>
    <n v="1.6191780821917807"/>
    <x v="34"/>
    <x v="0"/>
    <x v="8"/>
    <x v="1"/>
    <n v="8.4700000000000006"/>
    <m/>
    <m/>
    <m/>
    <m/>
    <m/>
    <m/>
    <x v="1"/>
    <n v="1"/>
    <n v="5"/>
    <m/>
    <m/>
    <m/>
    <m/>
    <m/>
    <m/>
    <m/>
    <m/>
    <m/>
    <m/>
    <m/>
    <m/>
    <m/>
    <m/>
  </r>
  <r>
    <n v="5240"/>
    <n v="55761"/>
    <d v="2002-11-18T00:00:00"/>
    <n v="23"/>
    <x v="1"/>
    <x v="1"/>
    <d v="2024-05-19T00:00:00"/>
    <n v="1.9315068493150684"/>
    <x v="34"/>
    <x v="0"/>
    <x v="8"/>
    <x v="1"/>
    <n v="8.4700000000000006"/>
    <m/>
    <m/>
    <m/>
    <m/>
    <m/>
    <m/>
    <x v="1"/>
    <n v="4"/>
    <n v="7"/>
    <m/>
    <m/>
    <m/>
    <m/>
    <m/>
    <m/>
    <m/>
    <m/>
    <m/>
    <m/>
    <m/>
    <m/>
    <m/>
    <m/>
  </r>
  <r>
    <n v="5241"/>
    <n v="55762"/>
    <d v="2002-10-17T00:00:00"/>
    <n v="23"/>
    <x v="1"/>
    <x v="1"/>
    <d v="2024-01-26T00:00:00"/>
    <n v="1.0273972602739727"/>
    <x v="136"/>
    <x v="0"/>
    <x v="11"/>
    <x v="1"/>
    <n v="17"/>
    <m/>
    <m/>
    <m/>
    <m/>
    <m/>
    <m/>
    <x v="1"/>
    <n v="2"/>
    <n v="6"/>
    <m/>
    <m/>
    <m/>
    <m/>
    <m/>
    <m/>
    <m/>
    <m/>
    <m/>
    <m/>
    <m/>
    <m/>
    <m/>
    <m/>
  </r>
  <r>
    <n v="5242"/>
    <n v="55763"/>
    <d v="2003-12-29T00:00:00"/>
    <n v="22"/>
    <x v="0"/>
    <x v="1"/>
    <d v="2024-12-21T00:00:00"/>
    <n v="1.0438356164383562"/>
    <x v="136"/>
    <x v="0"/>
    <x v="11"/>
    <x v="1"/>
    <n v="17"/>
    <m/>
    <m/>
    <m/>
    <m/>
    <m/>
    <m/>
    <x v="4"/>
    <n v="3"/>
    <n v="6"/>
    <m/>
    <m/>
    <m/>
    <m/>
    <m/>
    <m/>
    <m/>
    <m/>
    <m/>
    <m/>
    <m/>
    <m/>
    <m/>
    <m/>
  </r>
  <r>
    <n v="5243"/>
    <n v="55764"/>
    <d v="1994-03-24T00:00:00"/>
    <n v="31"/>
    <x v="0"/>
    <x v="0"/>
    <d v="2024-12-15T00:00:00"/>
    <n v="1.6301369863013699"/>
    <x v="136"/>
    <x v="0"/>
    <x v="9"/>
    <x v="1"/>
    <n v="14.07"/>
    <m/>
    <m/>
    <m/>
    <m/>
    <m/>
    <m/>
    <x v="1"/>
    <n v="1"/>
    <n v="3"/>
    <m/>
    <m/>
    <m/>
    <m/>
    <m/>
    <m/>
    <m/>
    <m/>
    <m/>
    <m/>
    <m/>
    <m/>
    <m/>
    <m/>
  </r>
  <r>
    <n v="5244"/>
    <n v="55765"/>
    <d v="2003-12-15T00:00:00"/>
    <n v="22"/>
    <x v="1"/>
    <x v="1"/>
    <d v="2024-05-15T00:00:00"/>
    <n v="1.284931506849315"/>
    <x v="136"/>
    <x v="0"/>
    <x v="8"/>
    <x v="1"/>
    <n v="8.4700000000000006"/>
    <m/>
    <m/>
    <m/>
    <m/>
    <m/>
    <m/>
    <x v="1"/>
    <n v="2"/>
    <n v="6"/>
    <m/>
    <m/>
    <m/>
    <m/>
    <m/>
    <m/>
    <m/>
    <m/>
    <m/>
    <m/>
    <m/>
    <m/>
    <m/>
    <m/>
  </r>
  <r>
    <n v="5245"/>
    <n v="55766"/>
    <d v="2001-03-09T00:00:00"/>
    <n v="24"/>
    <x v="1"/>
    <x v="1"/>
    <d v="2024-09-18T00:00:00"/>
    <n v="1.4273972602739726"/>
    <x v="136"/>
    <x v="0"/>
    <x v="8"/>
    <x v="1"/>
    <n v="8.4700000000000006"/>
    <m/>
    <m/>
    <m/>
    <m/>
    <m/>
    <m/>
    <x v="4"/>
    <n v="2"/>
    <n v="7"/>
    <m/>
    <m/>
    <m/>
    <m/>
    <m/>
    <m/>
    <m/>
    <m/>
    <m/>
    <m/>
    <m/>
    <m/>
    <m/>
    <m/>
  </r>
  <r>
    <n v="5246"/>
    <n v="55767"/>
    <d v="2004-02-08T00:00:00"/>
    <n v="21"/>
    <x v="1"/>
    <x v="0"/>
    <d v="2024-07-28T00:00:00"/>
    <n v="1.5095890410958903"/>
    <x v="136"/>
    <x v="0"/>
    <x v="8"/>
    <x v="1"/>
    <n v="8.4700000000000006"/>
    <m/>
    <m/>
    <m/>
    <m/>
    <m/>
    <m/>
    <x v="3"/>
    <n v="1"/>
    <n v="6"/>
    <m/>
    <m/>
    <m/>
    <m/>
    <m/>
    <m/>
    <m/>
    <m/>
    <m/>
    <m/>
    <m/>
    <m/>
    <m/>
    <m/>
  </r>
  <r>
    <n v="5247"/>
    <n v="55768"/>
    <d v="2001-07-22T00:00:00"/>
    <n v="24"/>
    <x v="1"/>
    <x v="1"/>
    <d v="2024-06-28T00:00:00"/>
    <n v="1.0054794520547945"/>
    <x v="136"/>
    <x v="0"/>
    <x v="8"/>
    <x v="1"/>
    <n v="8.4700000000000006"/>
    <m/>
    <m/>
    <m/>
    <m/>
    <m/>
    <m/>
    <x v="2"/>
    <n v="1"/>
    <n v="6"/>
    <m/>
    <m/>
    <m/>
    <m/>
    <m/>
    <m/>
    <m/>
    <m/>
    <m/>
    <m/>
    <m/>
    <m/>
    <m/>
    <m/>
  </r>
  <r>
    <n v="5248"/>
    <n v="55769"/>
    <d v="2001-05-05T00:00:00"/>
    <n v="24"/>
    <x v="1"/>
    <x v="1"/>
    <d v="2024-12-29T00:00:00"/>
    <n v="1.5780821917808219"/>
    <x v="136"/>
    <x v="0"/>
    <x v="8"/>
    <x v="1"/>
    <n v="8.4700000000000006"/>
    <m/>
    <m/>
    <m/>
    <m/>
    <m/>
    <m/>
    <x v="3"/>
    <n v="2"/>
    <n v="6"/>
    <m/>
    <m/>
    <m/>
    <m/>
    <m/>
    <m/>
    <m/>
    <m/>
    <m/>
    <m/>
    <m/>
    <m/>
    <m/>
    <m/>
  </r>
  <r>
    <n v="5249"/>
    <n v="55770"/>
    <d v="2003-10-24T00:00:00"/>
    <n v="22"/>
    <x v="1"/>
    <x v="0"/>
    <d v="2024-06-03T00:00:00"/>
    <n v="1.7178082191780821"/>
    <x v="136"/>
    <x v="0"/>
    <x v="8"/>
    <x v="1"/>
    <n v="8.4700000000000006"/>
    <m/>
    <m/>
    <m/>
    <m/>
    <m/>
    <m/>
    <x v="4"/>
    <n v="1"/>
    <n v="5"/>
    <m/>
    <m/>
    <m/>
    <m/>
    <m/>
    <m/>
    <m/>
    <m/>
    <m/>
    <m/>
    <m/>
    <m/>
    <m/>
    <m/>
  </r>
  <r>
    <n v="5250"/>
    <n v="55772"/>
    <d v="2004-09-22T00:00:00"/>
    <n v="21"/>
    <x v="1"/>
    <x v="1"/>
    <d v="2024-04-13T00:00:00"/>
    <n v="1.3616438356164384"/>
    <x v="138"/>
    <x v="0"/>
    <x v="10"/>
    <x v="1"/>
    <n v="10.64"/>
    <m/>
    <m/>
    <m/>
    <m/>
    <m/>
    <m/>
    <x v="2"/>
    <n v="1"/>
    <n v="6"/>
    <m/>
    <m/>
    <m/>
    <m/>
    <m/>
    <m/>
    <m/>
    <m/>
    <m/>
    <m/>
    <m/>
    <m/>
    <m/>
    <m/>
  </r>
  <r>
    <n v="5251"/>
    <n v="55773"/>
    <d v="1997-08-21T00:00:00"/>
    <n v="28"/>
    <x v="0"/>
    <x v="1"/>
    <d v="2024-08-21T00:00:00"/>
    <n v="1.2684931506849315"/>
    <x v="138"/>
    <x v="0"/>
    <x v="10"/>
    <x v="1"/>
    <n v="10.64"/>
    <m/>
    <m/>
    <m/>
    <m/>
    <m/>
    <m/>
    <x v="1"/>
    <n v="0"/>
    <n v="5"/>
    <m/>
    <m/>
    <m/>
    <m/>
    <m/>
    <m/>
    <m/>
    <m/>
    <m/>
    <m/>
    <m/>
    <m/>
    <m/>
    <m/>
  </r>
  <r>
    <n v="5252"/>
    <n v="55774"/>
    <d v="2006-10-27T00:00:00"/>
    <n v="19"/>
    <x v="1"/>
    <x v="1"/>
    <d v="2024-09-24T00:00:00"/>
    <n v="1.2547945205479452"/>
    <x v="138"/>
    <x v="0"/>
    <x v="8"/>
    <x v="1"/>
    <n v="8.4700000000000006"/>
    <m/>
    <m/>
    <m/>
    <m/>
    <m/>
    <m/>
    <x v="2"/>
    <n v="2"/>
    <n v="7"/>
    <m/>
    <m/>
    <m/>
    <m/>
    <m/>
    <m/>
    <m/>
    <m/>
    <m/>
    <m/>
    <m/>
    <m/>
    <m/>
    <m/>
  </r>
  <r>
    <n v="5253"/>
    <n v="55775"/>
    <d v="2005-12-10T00:00:00"/>
    <n v="20"/>
    <x v="1"/>
    <x v="1"/>
    <d v="2024-09-29T00:00:00"/>
    <n v="1.1808219178082191"/>
    <x v="138"/>
    <x v="0"/>
    <x v="8"/>
    <x v="1"/>
    <n v="8.4700000000000006"/>
    <m/>
    <m/>
    <m/>
    <m/>
    <m/>
    <m/>
    <x v="1"/>
    <n v="2"/>
    <n v="6"/>
    <m/>
    <m/>
    <m/>
    <m/>
    <m/>
    <m/>
    <m/>
    <m/>
    <m/>
    <m/>
    <m/>
    <m/>
    <m/>
    <m/>
  </r>
  <r>
    <n v="5254"/>
    <n v="55776"/>
    <d v="1995-12-15T00:00:00"/>
    <n v="30"/>
    <x v="1"/>
    <x v="1"/>
    <d v="2024-10-26T00:00:00"/>
    <n v="1.1863013698630136"/>
    <x v="138"/>
    <x v="0"/>
    <x v="8"/>
    <x v="1"/>
    <n v="8.4700000000000006"/>
    <m/>
    <m/>
    <m/>
    <m/>
    <m/>
    <m/>
    <x v="3"/>
    <n v="2"/>
    <n v="7"/>
    <m/>
    <m/>
    <m/>
    <m/>
    <m/>
    <m/>
    <m/>
    <m/>
    <m/>
    <m/>
    <m/>
    <m/>
    <m/>
    <m/>
  </r>
  <r>
    <n v="5255"/>
    <n v="55777"/>
    <d v="2003-02-10T00:00:00"/>
    <n v="22"/>
    <x v="1"/>
    <x v="0"/>
    <d v="2024-10-24T00:00:00"/>
    <n v="1.0027397260273974"/>
    <x v="138"/>
    <x v="0"/>
    <x v="8"/>
    <x v="1"/>
    <n v="8.4700000000000006"/>
    <m/>
    <m/>
    <m/>
    <m/>
    <m/>
    <m/>
    <x v="1"/>
    <n v="2"/>
    <n v="7"/>
    <m/>
    <m/>
    <m/>
    <m/>
    <m/>
    <m/>
    <m/>
    <m/>
    <m/>
    <m/>
    <m/>
    <m/>
    <m/>
    <m/>
  </r>
  <r>
    <n v="5256"/>
    <n v="55778"/>
    <d v="2002-02-13T00:00:00"/>
    <n v="23"/>
    <x v="1"/>
    <x v="1"/>
    <d v="2024-12-30T00:00:00"/>
    <n v="1.0328767123287672"/>
    <x v="138"/>
    <x v="0"/>
    <x v="8"/>
    <x v="1"/>
    <n v="8.4700000000000006"/>
    <m/>
    <m/>
    <m/>
    <m/>
    <m/>
    <m/>
    <x v="2"/>
    <n v="4"/>
    <n v="6"/>
    <m/>
    <m/>
    <m/>
    <m/>
    <m/>
    <m/>
    <m/>
    <m/>
    <m/>
    <m/>
    <m/>
    <m/>
    <m/>
    <m/>
  </r>
  <r>
    <n v="5257"/>
    <n v="55779"/>
    <d v="2006-03-29T00:00:00"/>
    <n v="19"/>
    <x v="1"/>
    <x v="1"/>
    <d v="2024-12-19T00:00:00"/>
    <n v="1.0575342465753426"/>
    <x v="138"/>
    <x v="0"/>
    <x v="8"/>
    <x v="1"/>
    <n v="8.4700000000000006"/>
    <m/>
    <m/>
    <m/>
    <m/>
    <m/>
    <m/>
    <x v="4"/>
    <n v="1"/>
    <n v="6"/>
    <m/>
    <m/>
    <m/>
    <m/>
    <m/>
    <m/>
    <m/>
    <m/>
    <m/>
    <m/>
    <m/>
    <m/>
    <m/>
    <m/>
  </r>
  <r>
    <n v="5258"/>
    <n v="55780"/>
    <d v="2002-12-27T00:00:00"/>
    <n v="23"/>
    <x v="1"/>
    <x v="1"/>
    <d v="2024-12-10T00:00:00"/>
    <n v="1.3424657534246576"/>
    <x v="138"/>
    <x v="0"/>
    <x v="8"/>
    <x v="1"/>
    <n v="8.4700000000000006"/>
    <m/>
    <m/>
    <m/>
    <m/>
    <m/>
    <m/>
    <x v="4"/>
    <n v="4"/>
    <n v="5"/>
    <m/>
    <m/>
    <m/>
    <m/>
    <m/>
    <m/>
    <m/>
    <m/>
    <m/>
    <m/>
    <m/>
    <m/>
    <m/>
    <m/>
  </r>
  <r>
    <n v="5259"/>
    <n v="55781"/>
    <d v="2002-04-26T00:00:00"/>
    <n v="23"/>
    <x v="1"/>
    <x v="1"/>
    <d v="2024-08-28T00:00:00"/>
    <n v="1.6027397260273972"/>
    <x v="138"/>
    <x v="0"/>
    <x v="8"/>
    <x v="1"/>
    <n v="8.4700000000000006"/>
    <m/>
    <m/>
    <m/>
    <m/>
    <m/>
    <m/>
    <x v="1"/>
    <n v="2"/>
    <n v="7"/>
    <m/>
    <m/>
    <m/>
    <m/>
    <m/>
    <m/>
    <m/>
    <m/>
    <m/>
    <m/>
    <m/>
    <m/>
    <m/>
    <m/>
  </r>
  <r>
    <n v="5260"/>
    <n v="55782"/>
    <d v="2000-08-09T00:00:00"/>
    <n v="25"/>
    <x v="1"/>
    <x v="1"/>
    <d v="2024-05-25T00:00:00"/>
    <n v="1.4246575342465753"/>
    <x v="138"/>
    <x v="0"/>
    <x v="8"/>
    <x v="1"/>
    <n v="8.4700000000000006"/>
    <m/>
    <m/>
    <m/>
    <m/>
    <m/>
    <m/>
    <x v="3"/>
    <n v="4"/>
    <n v="7"/>
    <m/>
    <m/>
    <m/>
    <m/>
    <m/>
    <m/>
    <m/>
    <m/>
    <m/>
    <m/>
    <m/>
    <m/>
    <m/>
    <m/>
  </r>
  <r>
    <n v="5261"/>
    <n v="55783"/>
    <d v="2002-09-24T00:00:00"/>
    <n v="23"/>
    <x v="1"/>
    <x v="1"/>
    <d v="2024-07-29T00:00:00"/>
    <n v="1.6136986301369862"/>
    <x v="138"/>
    <x v="0"/>
    <x v="8"/>
    <x v="1"/>
    <n v="8.4700000000000006"/>
    <m/>
    <m/>
    <m/>
    <m/>
    <m/>
    <m/>
    <x v="3"/>
    <n v="4"/>
    <n v="7"/>
    <m/>
    <m/>
    <m/>
    <m/>
    <m/>
    <m/>
    <m/>
    <m/>
    <m/>
    <m/>
    <m/>
    <m/>
    <m/>
    <m/>
  </r>
  <r>
    <n v="5262"/>
    <n v="55784"/>
    <d v="2006-06-20T00:00:00"/>
    <n v="19"/>
    <x v="1"/>
    <x v="1"/>
    <d v="2024-05-21T00:00:00"/>
    <n v="1.5917808219178082"/>
    <x v="138"/>
    <x v="0"/>
    <x v="8"/>
    <x v="1"/>
    <n v="8.4700000000000006"/>
    <m/>
    <m/>
    <m/>
    <m/>
    <m/>
    <m/>
    <x v="2"/>
    <n v="2"/>
    <n v="6"/>
    <m/>
    <m/>
    <m/>
    <m/>
    <m/>
    <m/>
    <m/>
    <m/>
    <m/>
    <m/>
    <m/>
    <m/>
    <m/>
    <m/>
  </r>
  <r>
    <n v="5263"/>
    <n v="55785"/>
    <d v="2003-07-20T00:00:00"/>
    <n v="22"/>
    <x v="1"/>
    <x v="1"/>
    <d v="2024-05-29T00:00:00"/>
    <n v="1.2191780821917808"/>
    <x v="138"/>
    <x v="0"/>
    <x v="8"/>
    <x v="1"/>
    <n v="8.4700000000000006"/>
    <m/>
    <m/>
    <m/>
    <m/>
    <m/>
    <m/>
    <x v="3"/>
    <n v="2"/>
    <n v="6"/>
    <m/>
    <m/>
    <m/>
    <m/>
    <m/>
    <m/>
    <m/>
    <m/>
    <m/>
    <m/>
    <m/>
    <m/>
    <m/>
    <m/>
  </r>
  <r>
    <n v="5264"/>
    <n v="55786"/>
    <d v="2006-02-18T00:00:00"/>
    <n v="19"/>
    <x v="1"/>
    <x v="0"/>
    <d v="2024-10-12T00:00:00"/>
    <n v="1.904109589041096"/>
    <x v="138"/>
    <x v="0"/>
    <x v="8"/>
    <x v="1"/>
    <n v="8.4700000000000006"/>
    <m/>
    <m/>
    <m/>
    <m/>
    <m/>
    <m/>
    <x v="3"/>
    <n v="2"/>
    <n v="5"/>
    <m/>
    <m/>
    <m/>
    <m/>
    <m/>
    <m/>
    <m/>
    <m/>
    <m/>
    <m/>
    <m/>
    <m/>
    <m/>
    <m/>
  </r>
  <r>
    <n v="5265"/>
    <n v="55787"/>
    <d v="2001-04-27T00:00:00"/>
    <n v="24"/>
    <x v="1"/>
    <x v="1"/>
    <d v="2024-02-05T00:00:00"/>
    <n v="1.3972602739726028"/>
    <x v="138"/>
    <x v="0"/>
    <x v="8"/>
    <x v="1"/>
    <n v="8.4700000000000006"/>
    <m/>
    <m/>
    <m/>
    <m/>
    <m/>
    <m/>
    <x v="2"/>
    <n v="4"/>
    <n v="6"/>
    <m/>
    <m/>
    <m/>
    <m/>
    <m/>
    <m/>
    <m/>
    <m/>
    <m/>
    <m/>
    <m/>
    <m/>
    <m/>
    <m/>
  </r>
  <r>
    <n v="5266"/>
    <n v="55788"/>
    <d v="2003-09-26T00:00:00"/>
    <n v="22"/>
    <x v="1"/>
    <x v="1"/>
    <d v="2024-08-08T00:00:00"/>
    <n v="1.7945205479452055"/>
    <x v="138"/>
    <x v="0"/>
    <x v="8"/>
    <x v="1"/>
    <n v="8.4700000000000006"/>
    <m/>
    <m/>
    <m/>
    <m/>
    <m/>
    <m/>
    <x v="2"/>
    <n v="4"/>
    <n v="7"/>
    <m/>
    <m/>
    <m/>
    <m/>
    <m/>
    <m/>
    <m/>
    <m/>
    <m/>
    <m/>
    <m/>
    <m/>
    <m/>
    <m/>
  </r>
  <r>
    <n v="5267"/>
    <n v="55789"/>
    <d v="2000-08-30T00:00:00"/>
    <n v="25"/>
    <x v="0"/>
    <x v="1"/>
    <d v="2024-03-16T00:00:00"/>
    <n v="1.3041095890410959"/>
    <x v="143"/>
    <x v="0"/>
    <x v="11"/>
    <x v="1"/>
    <n v="17"/>
    <m/>
    <m/>
    <m/>
    <m/>
    <m/>
    <m/>
    <x v="3"/>
    <n v="2"/>
    <n v="5"/>
    <m/>
    <m/>
    <m/>
    <m/>
    <m/>
    <m/>
    <m/>
    <m/>
    <m/>
    <m/>
    <m/>
    <m/>
    <m/>
    <m/>
  </r>
  <r>
    <n v="5268"/>
    <n v="55790"/>
    <d v="2003-12-01T00:00:00"/>
    <n v="23"/>
    <x v="0"/>
    <x v="1"/>
    <d v="2024-09-11T00:00:00"/>
    <n v="1.4082191780821918"/>
    <x v="143"/>
    <x v="0"/>
    <x v="10"/>
    <x v="1"/>
    <n v="10.64"/>
    <m/>
    <m/>
    <m/>
    <m/>
    <m/>
    <m/>
    <x v="3"/>
    <n v="1"/>
    <n v="4"/>
    <m/>
    <m/>
    <m/>
    <m/>
    <m/>
    <m/>
    <m/>
    <m/>
    <m/>
    <m/>
    <m/>
    <m/>
    <m/>
    <m/>
  </r>
  <r>
    <n v="5269"/>
    <n v="55791"/>
    <d v="1993-10-05T00:00:00"/>
    <n v="32"/>
    <x v="1"/>
    <x v="1"/>
    <d v="2024-08-04T00:00:00"/>
    <n v="1.0054794520547945"/>
    <x v="143"/>
    <x v="0"/>
    <x v="1"/>
    <x v="1"/>
    <n v="16.37"/>
    <m/>
    <m/>
    <m/>
    <m/>
    <m/>
    <m/>
    <x v="2"/>
    <n v="0"/>
    <n v="5"/>
    <m/>
    <m/>
    <m/>
    <m/>
    <m/>
    <m/>
    <m/>
    <m/>
    <m/>
    <m/>
    <m/>
    <m/>
    <m/>
    <m/>
  </r>
  <r>
    <n v="5270"/>
    <n v="55792"/>
    <d v="2006-10-01T00:00:00"/>
    <n v="20"/>
    <x v="1"/>
    <x v="1"/>
    <d v="2024-12-29T00:00:00"/>
    <n v="1.2493150684931507"/>
    <x v="143"/>
    <x v="0"/>
    <x v="3"/>
    <x v="1"/>
    <n v="8.4700000000000006"/>
    <m/>
    <m/>
    <m/>
    <m/>
    <m/>
    <m/>
    <x v="2"/>
    <n v="2"/>
    <n v="6"/>
    <m/>
    <m/>
    <m/>
    <m/>
    <m/>
    <m/>
    <m/>
    <m/>
    <m/>
    <m/>
    <m/>
    <m/>
    <m/>
    <m/>
  </r>
  <r>
    <n v="5271"/>
    <n v="55793"/>
    <d v="2003-06-22T00:00:00"/>
    <n v="22"/>
    <x v="1"/>
    <x v="1"/>
    <d v="2024-10-01T00:00:00"/>
    <n v="1.4383561643835616"/>
    <x v="143"/>
    <x v="0"/>
    <x v="3"/>
    <x v="1"/>
    <n v="8.4700000000000006"/>
    <m/>
    <m/>
    <m/>
    <m/>
    <m/>
    <m/>
    <x v="4"/>
    <n v="1"/>
    <n v="7"/>
    <m/>
    <m/>
    <m/>
    <m/>
    <m/>
    <m/>
    <m/>
    <m/>
    <m/>
    <m/>
    <m/>
    <m/>
    <m/>
    <m/>
  </r>
  <r>
    <n v="5272"/>
    <n v="55794"/>
    <d v="1998-06-01T00:00:00"/>
    <n v="28"/>
    <x v="0"/>
    <x v="1"/>
    <d v="2024-07-24T00:00:00"/>
    <n v="1.7726027397260273"/>
    <x v="143"/>
    <x v="0"/>
    <x v="7"/>
    <x v="1"/>
    <n v="17.59"/>
    <m/>
    <m/>
    <m/>
    <m/>
    <m/>
    <m/>
    <x v="1"/>
    <n v="3"/>
    <n v="7"/>
    <m/>
    <m/>
    <m/>
    <m/>
    <m/>
    <m/>
    <m/>
    <m/>
    <m/>
    <m/>
    <m/>
    <m/>
    <m/>
    <m/>
  </r>
  <r>
    <n v="5273"/>
    <n v="55795"/>
    <d v="2003-06-02T00:00:00"/>
    <n v="22"/>
    <x v="1"/>
    <x v="0"/>
    <d v="2024-03-24T00:00:00"/>
    <n v="1.515068493150685"/>
    <x v="143"/>
    <x v="0"/>
    <x v="8"/>
    <x v="1"/>
    <n v="8.4700000000000006"/>
    <m/>
    <m/>
    <m/>
    <m/>
    <m/>
    <m/>
    <x v="1"/>
    <n v="2"/>
    <n v="6"/>
    <m/>
    <m/>
    <m/>
    <m/>
    <m/>
    <m/>
    <m/>
    <m/>
    <m/>
    <m/>
    <m/>
    <m/>
    <m/>
    <m/>
  </r>
  <r>
    <n v="5274"/>
    <n v="55796"/>
    <d v="2005-06-18T00:00:00"/>
    <n v="20"/>
    <x v="1"/>
    <x v="1"/>
    <d v="2024-06-26T00:00:00"/>
    <n v="1.1808219178082191"/>
    <x v="143"/>
    <x v="0"/>
    <x v="8"/>
    <x v="1"/>
    <n v="8.4700000000000006"/>
    <m/>
    <m/>
    <m/>
    <m/>
    <m/>
    <m/>
    <x v="3"/>
    <n v="4"/>
    <n v="6"/>
    <m/>
    <m/>
    <m/>
    <m/>
    <m/>
    <m/>
    <m/>
    <m/>
    <m/>
    <m/>
    <m/>
    <m/>
    <m/>
    <m/>
  </r>
  <r>
    <n v="5275"/>
    <n v="55797"/>
    <d v="2004-02-11T00:00:00"/>
    <n v="21"/>
    <x v="1"/>
    <x v="1"/>
    <d v="2024-10-26T00:00:00"/>
    <n v="1.0712328767123287"/>
    <x v="143"/>
    <x v="0"/>
    <x v="8"/>
    <x v="1"/>
    <n v="8.4700000000000006"/>
    <m/>
    <m/>
    <m/>
    <m/>
    <m/>
    <m/>
    <x v="3"/>
    <n v="2"/>
    <n v="6"/>
    <m/>
    <m/>
    <m/>
    <m/>
    <m/>
    <m/>
    <m/>
    <m/>
    <m/>
    <m/>
    <m/>
    <m/>
    <m/>
    <m/>
  </r>
  <r>
    <n v="5276"/>
    <n v="55798"/>
    <d v="2003-02-24T00:00:00"/>
    <n v="22"/>
    <x v="1"/>
    <x v="1"/>
    <d v="2024-12-05T00:00:00"/>
    <n v="1.0136986301369864"/>
    <x v="143"/>
    <x v="0"/>
    <x v="8"/>
    <x v="1"/>
    <n v="8.4700000000000006"/>
    <m/>
    <m/>
    <m/>
    <m/>
    <m/>
    <m/>
    <x v="4"/>
    <n v="2"/>
    <n v="7"/>
    <m/>
    <m/>
    <m/>
    <m/>
    <m/>
    <m/>
    <m/>
    <m/>
    <m/>
    <m/>
    <m/>
    <m/>
    <m/>
    <m/>
  </r>
  <r>
    <n v="5277"/>
    <n v="55799"/>
    <d v="2007-08-11T00:00:00"/>
    <n v="18"/>
    <x v="1"/>
    <x v="1"/>
    <d v="2024-12-26T00:00:00"/>
    <n v="1.3369863013698631"/>
    <x v="143"/>
    <x v="0"/>
    <x v="8"/>
    <x v="1"/>
    <n v="8.4700000000000006"/>
    <m/>
    <m/>
    <m/>
    <m/>
    <m/>
    <m/>
    <x v="1"/>
    <n v="4"/>
    <n v="7"/>
    <m/>
    <m/>
    <m/>
    <m/>
    <m/>
    <m/>
    <m/>
    <m/>
    <m/>
    <m/>
    <m/>
    <m/>
    <m/>
    <m/>
  </r>
  <r>
    <n v="5278"/>
    <n v="55800"/>
    <d v="1999-03-10T00:00:00"/>
    <n v="26"/>
    <x v="1"/>
    <x v="1"/>
    <d v="2024-08-30T00:00:00"/>
    <n v="1.5890410958904109"/>
    <x v="143"/>
    <x v="0"/>
    <x v="8"/>
    <x v="1"/>
    <n v="8.4700000000000006"/>
    <m/>
    <m/>
    <m/>
    <m/>
    <m/>
    <m/>
    <x v="1"/>
    <n v="0"/>
    <n v="6"/>
    <m/>
    <m/>
    <m/>
    <m/>
    <m/>
    <m/>
    <m/>
    <m/>
    <m/>
    <m/>
    <m/>
    <m/>
    <m/>
    <m/>
  </r>
  <r>
    <n v="5279"/>
    <n v="55801"/>
    <d v="2001-09-11T00:00:00"/>
    <n v="24"/>
    <x v="1"/>
    <x v="1"/>
    <d v="2024-05-30T00:00:00"/>
    <n v="1.7205479452054795"/>
    <x v="143"/>
    <x v="0"/>
    <x v="8"/>
    <x v="1"/>
    <n v="8.4700000000000006"/>
    <m/>
    <m/>
    <m/>
    <m/>
    <m/>
    <m/>
    <x v="1"/>
    <n v="4"/>
    <n v="7"/>
    <m/>
    <m/>
    <m/>
    <m/>
    <m/>
    <m/>
    <m/>
    <m/>
    <m/>
    <m/>
    <m/>
    <m/>
    <m/>
    <m/>
  </r>
  <r>
    <n v="5280"/>
    <n v="55802"/>
    <d v="2001-09-09T00:00:00"/>
    <n v="24"/>
    <x v="1"/>
    <x v="0"/>
    <d v="2024-04-12T00:00:00"/>
    <n v="1.6191780821917807"/>
    <x v="143"/>
    <x v="0"/>
    <x v="8"/>
    <x v="1"/>
    <n v="8.4700000000000006"/>
    <m/>
    <m/>
    <m/>
    <m/>
    <m/>
    <m/>
    <x v="1"/>
    <n v="4"/>
    <n v="6"/>
    <m/>
    <m/>
    <m/>
    <m/>
    <m/>
    <m/>
    <m/>
    <m/>
    <m/>
    <m/>
    <m/>
    <m/>
    <m/>
    <m/>
  </r>
  <r>
    <n v="5281"/>
    <n v="55803"/>
    <d v="2006-07-13T00:00:00"/>
    <n v="19"/>
    <x v="1"/>
    <x v="1"/>
    <d v="2024-05-19T00:00:00"/>
    <n v="1.0849315068493151"/>
    <x v="143"/>
    <x v="0"/>
    <x v="8"/>
    <x v="1"/>
    <n v="8.4700000000000006"/>
    <m/>
    <m/>
    <m/>
    <m/>
    <m/>
    <m/>
    <x v="4"/>
    <n v="4"/>
    <n v="5"/>
    <m/>
    <m/>
    <m/>
    <m/>
    <m/>
    <m/>
    <m/>
    <m/>
    <m/>
    <m/>
    <m/>
    <m/>
    <m/>
    <m/>
  </r>
  <r>
    <n v="5282"/>
    <n v="55804"/>
    <d v="1994-11-27T00:00:00"/>
    <n v="31"/>
    <x v="1"/>
    <x v="1"/>
    <d v="2024-11-30T00:00:00"/>
    <n v="1.6575342465753424"/>
    <x v="143"/>
    <x v="0"/>
    <x v="8"/>
    <x v="1"/>
    <n v="8.4700000000000006"/>
    <m/>
    <m/>
    <m/>
    <m/>
    <m/>
    <m/>
    <x v="2"/>
    <n v="3"/>
    <n v="6"/>
    <m/>
    <m/>
    <m/>
    <m/>
    <m/>
    <m/>
    <m/>
    <m/>
    <m/>
    <m/>
    <m/>
    <m/>
    <m/>
    <m/>
  </r>
  <r>
    <n v="5283"/>
    <n v="55805"/>
    <d v="2007-02-22T00:00:00"/>
    <n v="18"/>
    <x v="0"/>
    <x v="1"/>
    <d v="2024-05-05T00:00:00"/>
    <n v="1.263013698630137"/>
    <x v="143"/>
    <x v="0"/>
    <x v="8"/>
    <x v="1"/>
    <n v="8.4700000000000006"/>
    <m/>
    <m/>
    <m/>
    <m/>
    <m/>
    <m/>
    <x v="1"/>
    <n v="2"/>
    <n v="5"/>
    <m/>
    <m/>
    <m/>
    <m/>
    <m/>
    <m/>
    <m/>
    <m/>
    <m/>
    <m/>
    <m/>
    <m/>
    <m/>
    <m/>
  </r>
  <r>
    <n v="5284"/>
    <n v="55806"/>
    <d v="2003-06-12T00:00:00"/>
    <n v="22"/>
    <x v="0"/>
    <x v="1"/>
    <d v="2024-09-26T00:00:00"/>
    <n v="1.0821917808219179"/>
    <x v="143"/>
    <x v="0"/>
    <x v="8"/>
    <x v="1"/>
    <n v="8.4700000000000006"/>
    <m/>
    <m/>
    <m/>
    <m/>
    <m/>
    <m/>
    <x v="4"/>
    <n v="4"/>
    <n v="5"/>
    <m/>
    <m/>
    <m/>
    <m/>
    <m/>
    <m/>
    <m/>
    <m/>
    <m/>
    <m/>
    <m/>
    <m/>
    <m/>
    <m/>
  </r>
  <r>
    <n v="5285"/>
    <n v="55807"/>
    <d v="2002-06-12T00:00:00"/>
    <n v="23"/>
    <x v="1"/>
    <x v="0"/>
    <d v="2024-12-01T00:00:00"/>
    <n v="1.0575342465753426"/>
    <x v="143"/>
    <x v="0"/>
    <x v="8"/>
    <x v="1"/>
    <n v="8.4700000000000006"/>
    <m/>
    <m/>
    <m/>
    <m/>
    <m/>
    <m/>
    <x v="1"/>
    <n v="4"/>
    <n v="7"/>
    <m/>
    <m/>
    <m/>
    <m/>
    <m/>
    <m/>
    <m/>
    <m/>
    <m/>
    <m/>
    <m/>
    <m/>
    <m/>
    <m/>
  </r>
  <r>
    <n v="5286"/>
    <n v="55808"/>
    <d v="2000-11-16T00:00:00"/>
    <n v="25"/>
    <x v="1"/>
    <x v="1"/>
    <d v="2024-12-10T00:00:00"/>
    <n v="1.4712328767123288"/>
    <x v="102"/>
    <x v="0"/>
    <x v="11"/>
    <x v="1"/>
    <n v="17"/>
    <m/>
    <m/>
    <m/>
    <m/>
    <m/>
    <m/>
    <x v="4"/>
    <n v="2"/>
    <n v="6"/>
    <m/>
    <m/>
    <m/>
    <m/>
    <m/>
    <m/>
    <m/>
    <m/>
    <m/>
    <m/>
    <m/>
    <m/>
    <m/>
    <m/>
  </r>
  <r>
    <n v="5287"/>
    <n v="55809"/>
    <d v="2001-12-20T00:00:00"/>
    <n v="24"/>
    <x v="1"/>
    <x v="1"/>
    <d v="2024-07-12T00:00:00"/>
    <n v="1.4082191780821918"/>
    <x v="102"/>
    <x v="0"/>
    <x v="2"/>
    <x v="1"/>
    <n v="14.23"/>
    <m/>
    <m/>
    <m/>
    <m/>
    <m/>
    <m/>
    <x v="1"/>
    <n v="0"/>
    <n v="4"/>
    <m/>
    <m/>
    <m/>
    <m/>
    <m/>
    <m/>
    <m/>
    <m/>
    <m/>
    <m/>
    <m/>
    <m/>
    <m/>
    <m/>
  </r>
  <r>
    <n v="5288"/>
    <n v="55810"/>
    <d v="1999-03-04T00:00:00"/>
    <n v="26"/>
    <x v="1"/>
    <x v="1"/>
    <d v="2024-08-04T00:00:00"/>
    <n v="1.4493150684931506"/>
    <x v="102"/>
    <x v="0"/>
    <x v="8"/>
    <x v="1"/>
    <n v="8.4700000000000006"/>
    <m/>
    <m/>
    <m/>
    <m/>
    <m/>
    <m/>
    <x v="2"/>
    <n v="4"/>
    <n v="6"/>
    <m/>
    <m/>
    <m/>
    <m/>
    <m/>
    <m/>
    <m/>
    <m/>
    <m/>
    <m/>
    <m/>
    <m/>
    <m/>
    <m/>
  </r>
  <r>
    <n v="5289"/>
    <n v="55811"/>
    <d v="2007-09-24T00:00:00"/>
    <n v="18"/>
    <x v="0"/>
    <x v="0"/>
    <d v="2024-07-20T00:00:00"/>
    <n v="1.6410958904109589"/>
    <x v="102"/>
    <x v="0"/>
    <x v="8"/>
    <x v="1"/>
    <n v="8.4700000000000006"/>
    <m/>
    <m/>
    <m/>
    <m/>
    <m/>
    <m/>
    <x v="4"/>
    <n v="1"/>
    <n v="4"/>
    <m/>
    <m/>
    <m/>
    <m/>
    <m/>
    <m/>
    <m/>
    <m/>
    <m/>
    <m/>
    <m/>
    <m/>
    <m/>
    <m/>
  </r>
  <r>
    <n v="5290"/>
    <n v="55812"/>
    <d v="2006-05-29T00:00:00"/>
    <n v="19"/>
    <x v="1"/>
    <x v="1"/>
    <d v="2024-05-11T00:00:00"/>
    <n v="1.1726027397260275"/>
    <x v="102"/>
    <x v="0"/>
    <x v="8"/>
    <x v="1"/>
    <n v="8.4700000000000006"/>
    <m/>
    <m/>
    <m/>
    <m/>
    <m/>
    <m/>
    <x v="4"/>
    <n v="2"/>
    <n v="6"/>
    <m/>
    <m/>
    <m/>
    <m/>
    <m/>
    <m/>
    <m/>
    <m/>
    <m/>
    <m/>
    <m/>
    <m/>
    <m/>
    <m/>
  </r>
  <r>
    <n v="5291"/>
    <n v="55813"/>
    <d v="2005-08-13T00:00:00"/>
    <n v="20"/>
    <x v="1"/>
    <x v="0"/>
    <d v="2024-10-29T00:00:00"/>
    <n v="1.2547945205479452"/>
    <x v="102"/>
    <x v="0"/>
    <x v="8"/>
    <x v="1"/>
    <n v="8.4700000000000006"/>
    <m/>
    <m/>
    <m/>
    <m/>
    <m/>
    <m/>
    <x v="1"/>
    <n v="1"/>
    <n v="6"/>
    <m/>
    <m/>
    <m/>
    <m/>
    <m/>
    <m/>
    <m/>
    <m/>
    <m/>
    <m/>
    <m/>
    <m/>
    <m/>
    <m/>
  </r>
  <r>
    <n v="5292"/>
    <n v="55814"/>
    <d v="2002-09-01T00:00:00"/>
    <n v="24"/>
    <x v="1"/>
    <x v="1"/>
    <d v="2024-09-29T00:00:00"/>
    <n v="1.010958904109589"/>
    <x v="102"/>
    <x v="0"/>
    <x v="8"/>
    <x v="1"/>
    <n v="8.4700000000000006"/>
    <m/>
    <m/>
    <m/>
    <m/>
    <m/>
    <m/>
    <x v="2"/>
    <n v="0"/>
    <n v="7"/>
    <m/>
    <m/>
    <m/>
    <m/>
    <m/>
    <m/>
    <m/>
    <m/>
    <m/>
    <m/>
    <m/>
    <m/>
    <m/>
    <m/>
  </r>
  <r>
    <n v="5293"/>
    <n v="55815"/>
    <d v="1998-05-14T00:00:00"/>
    <n v="27"/>
    <x v="1"/>
    <x v="1"/>
    <d v="2024-12-27T00:00:00"/>
    <n v="1.4712328767123288"/>
    <x v="102"/>
    <x v="0"/>
    <x v="8"/>
    <x v="1"/>
    <n v="8.4700000000000006"/>
    <m/>
    <m/>
    <m/>
    <m/>
    <m/>
    <m/>
    <x v="1"/>
    <n v="3"/>
    <n v="5"/>
    <m/>
    <m/>
    <m/>
    <m/>
    <m/>
    <m/>
    <m/>
    <m/>
    <m/>
    <m/>
    <m/>
    <m/>
    <m/>
    <m/>
  </r>
  <r>
    <n v="5294"/>
    <n v="55816"/>
    <d v="2006-08-12T00:00:00"/>
    <n v="19"/>
    <x v="1"/>
    <x v="1"/>
    <d v="2024-07-12T00:00:00"/>
    <n v="1.4904109589041097"/>
    <x v="102"/>
    <x v="0"/>
    <x v="8"/>
    <x v="1"/>
    <n v="8.4700000000000006"/>
    <m/>
    <m/>
    <m/>
    <m/>
    <m/>
    <m/>
    <x v="2"/>
    <n v="1"/>
    <n v="5"/>
    <m/>
    <m/>
    <m/>
    <m/>
    <m/>
    <m/>
    <m/>
    <m/>
    <m/>
    <m/>
    <m/>
    <m/>
    <m/>
    <m/>
  </r>
  <r>
    <n v="5295"/>
    <n v="55817"/>
    <d v="2005-08-20T00:00:00"/>
    <n v="20"/>
    <x v="1"/>
    <x v="1"/>
    <d v="2024-07-05T00:00:00"/>
    <n v="1.5068493150684932"/>
    <x v="102"/>
    <x v="0"/>
    <x v="8"/>
    <x v="1"/>
    <n v="8.4700000000000006"/>
    <m/>
    <m/>
    <m/>
    <m/>
    <m/>
    <m/>
    <x v="4"/>
    <n v="2"/>
    <n v="7"/>
    <m/>
    <m/>
    <m/>
    <m/>
    <m/>
    <m/>
    <m/>
    <m/>
    <m/>
    <m/>
    <m/>
    <m/>
    <m/>
    <m/>
  </r>
  <r>
    <n v="5296"/>
    <n v="55818"/>
    <d v="2000-05-01T00:00:00"/>
    <n v="26"/>
    <x v="0"/>
    <x v="1"/>
    <d v="2024-06-29T00:00:00"/>
    <n v="1.6684931506849314"/>
    <x v="67"/>
    <x v="0"/>
    <x v="11"/>
    <x v="1"/>
    <n v="17"/>
    <m/>
    <m/>
    <m/>
    <m/>
    <m/>
    <m/>
    <x v="1"/>
    <n v="2"/>
    <n v="5"/>
    <m/>
    <m/>
    <m/>
    <m/>
    <m/>
    <m/>
    <m/>
    <m/>
    <m/>
    <m/>
    <m/>
    <m/>
    <m/>
    <m/>
  </r>
  <r>
    <n v="5297"/>
    <n v="55820"/>
    <d v="1999-12-07T00:00:00"/>
    <n v="26"/>
    <x v="1"/>
    <x v="0"/>
    <d v="2024-05-01T00:00:00"/>
    <n v="1.6602739726027398"/>
    <x v="67"/>
    <x v="0"/>
    <x v="11"/>
    <x v="1"/>
    <n v="17"/>
    <m/>
    <m/>
    <m/>
    <m/>
    <m/>
    <m/>
    <x v="4"/>
    <n v="1"/>
    <n v="5"/>
    <m/>
    <m/>
    <m/>
    <m/>
    <m/>
    <m/>
    <m/>
    <m/>
    <m/>
    <m/>
    <m/>
    <m/>
    <m/>
    <m/>
  </r>
  <r>
    <n v="5298"/>
    <n v="55821"/>
    <d v="2003-03-18T00:00:00"/>
    <n v="22"/>
    <x v="0"/>
    <x v="1"/>
    <d v="2024-05-04T00:00:00"/>
    <n v="1.189041095890411"/>
    <x v="67"/>
    <x v="0"/>
    <x v="10"/>
    <x v="1"/>
    <n v="10.64"/>
    <m/>
    <m/>
    <m/>
    <m/>
    <m/>
    <m/>
    <x v="3"/>
    <n v="1"/>
    <n v="4"/>
    <m/>
    <m/>
    <m/>
    <m/>
    <m/>
    <m/>
    <m/>
    <m/>
    <m/>
    <m/>
    <m/>
    <m/>
    <m/>
    <m/>
  </r>
  <r>
    <n v="5299"/>
    <n v="55822"/>
    <d v="2007-06-22T00:00:00"/>
    <n v="18"/>
    <x v="1"/>
    <x v="1"/>
    <d v="2024-10-23T00:00:00"/>
    <n v="1.8575342465753424"/>
    <x v="67"/>
    <x v="0"/>
    <x v="8"/>
    <x v="1"/>
    <n v="8.4700000000000006"/>
    <m/>
    <m/>
    <m/>
    <m/>
    <m/>
    <m/>
    <x v="2"/>
    <n v="4"/>
    <n v="5"/>
    <m/>
    <m/>
    <m/>
    <m/>
    <m/>
    <m/>
    <m/>
    <m/>
    <m/>
    <m/>
    <m/>
    <m/>
    <m/>
    <m/>
  </r>
  <r>
    <n v="5300"/>
    <n v="55823"/>
    <d v="2001-12-10T00:00:00"/>
    <n v="24"/>
    <x v="1"/>
    <x v="1"/>
    <d v="2024-02-22T00:00:00"/>
    <n v="1.3863013698630138"/>
    <x v="67"/>
    <x v="0"/>
    <x v="8"/>
    <x v="1"/>
    <n v="8.4700000000000006"/>
    <m/>
    <m/>
    <m/>
    <m/>
    <m/>
    <m/>
    <x v="4"/>
    <n v="2"/>
    <n v="5"/>
    <m/>
    <m/>
    <m/>
    <m/>
    <m/>
    <m/>
    <m/>
    <m/>
    <m/>
    <m/>
    <m/>
    <m/>
    <m/>
    <m/>
  </r>
  <r>
    <n v="5301"/>
    <n v="55824"/>
    <d v="1999-06-19T00:00:00"/>
    <n v="26"/>
    <x v="1"/>
    <x v="1"/>
    <d v="2024-08-12T00:00:00"/>
    <n v="1.5726027397260274"/>
    <x v="67"/>
    <x v="0"/>
    <x v="8"/>
    <x v="1"/>
    <n v="8.4700000000000006"/>
    <m/>
    <m/>
    <m/>
    <m/>
    <m/>
    <m/>
    <x v="2"/>
    <n v="2"/>
    <n v="6"/>
    <m/>
    <m/>
    <m/>
    <m/>
    <m/>
    <m/>
    <m/>
    <m/>
    <m/>
    <m/>
    <m/>
    <m/>
    <m/>
    <m/>
  </r>
  <r>
    <n v="5302"/>
    <n v="55825"/>
    <d v="2003-08-10T00:00:00"/>
    <n v="22"/>
    <x v="1"/>
    <x v="1"/>
    <d v="2024-06-05T00:00:00"/>
    <n v="1.3616438356164384"/>
    <x v="67"/>
    <x v="0"/>
    <x v="8"/>
    <x v="1"/>
    <n v="8.4700000000000006"/>
    <m/>
    <m/>
    <m/>
    <m/>
    <m/>
    <m/>
    <x v="4"/>
    <n v="2"/>
    <n v="5"/>
    <m/>
    <m/>
    <m/>
    <m/>
    <m/>
    <m/>
    <m/>
    <m/>
    <m/>
    <m/>
    <m/>
    <m/>
    <m/>
    <m/>
  </r>
  <r>
    <n v="5303"/>
    <n v="55826"/>
    <d v="2003-08-20T00:00:00"/>
    <n v="22"/>
    <x v="1"/>
    <x v="1"/>
    <d v="2024-08-21T00:00:00"/>
    <n v="1.832876712328767"/>
    <x v="67"/>
    <x v="0"/>
    <x v="8"/>
    <x v="1"/>
    <n v="8.4700000000000006"/>
    <m/>
    <m/>
    <m/>
    <m/>
    <m/>
    <m/>
    <x v="4"/>
    <n v="0"/>
    <n v="7"/>
    <m/>
    <m/>
    <m/>
    <m/>
    <m/>
    <m/>
    <m/>
    <m/>
    <m/>
    <m/>
    <m/>
    <m/>
    <m/>
    <m/>
  </r>
  <r>
    <n v="5304"/>
    <n v="55827"/>
    <d v="2003-04-13T00:00:00"/>
    <n v="22"/>
    <x v="1"/>
    <x v="1"/>
    <d v="2024-03-02T00:00:00"/>
    <n v="1.2246575342465753"/>
    <x v="67"/>
    <x v="0"/>
    <x v="8"/>
    <x v="1"/>
    <n v="8.4700000000000006"/>
    <m/>
    <m/>
    <m/>
    <m/>
    <m/>
    <m/>
    <x v="4"/>
    <n v="0"/>
    <n v="5"/>
    <m/>
    <m/>
    <m/>
    <m/>
    <m/>
    <m/>
    <m/>
    <m/>
    <m/>
    <m/>
    <m/>
    <m/>
    <m/>
    <m/>
  </r>
  <r>
    <n v="5305"/>
    <n v="55828"/>
    <d v="1993-01-31T00:00:00"/>
    <n v="32"/>
    <x v="1"/>
    <x v="1"/>
    <d v="2024-10-10T00:00:00"/>
    <n v="1.3041095890410959"/>
    <x v="67"/>
    <x v="0"/>
    <x v="8"/>
    <x v="1"/>
    <n v="8.4700000000000006"/>
    <m/>
    <m/>
    <m/>
    <m/>
    <m/>
    <m/>
    <x v="1"/>
    <n v="2"/>
    <n v="7"/>
    <m/>
    <m/>
    <m/>
    <m/>
    <m/>
    <m/>
    <m/>
    <m/>
    <m/>
    <m/>
    <m/>
    <m/>
    <m/>
    <m/>
  </r>
  <r>
    <n v="5306"/>
    <n v="55829"/>
    <d v="2004-02-06T00:00:00"/>
    <n v="21"/>
    <x v="1"/>
    <x v="0"/>
    <d v="2024-09-11T00:00:00"/>
    <n v="1.2575342465753425"/>
    <x v="67"/>
    <x v="0"/>
    <x v="8"/>
    <x v="1"/>
    <n v="8.4700000000000006"/>
    <m/>
    <m/>
    <m/>
    <m/>
    <m/>
    <m/>
    <x v="3"/>
    <n v="1"/>
    <n v="5"/>
    <m/>
    <m/>
    <m/>
    <m/>
    <m/>
    <m/>
    <m/>
    <m/>
    <m/>
    <m/>
    <m/>
    <m/>
    <m/>
    <m/>
  </r>
  <r>
    <n v="5307"/>
    <n v="55830"/>
    <d v="2006-04-28T00:00:00"/>
    <n v="19"/>
    <x v="1"/>
    <x v="1"/>
    <d v="2024-09-28T00:00:00"/>
    <n v="1.6876712328767123"/>
    <x v="140"/>
    <x v="0"/>
    <x v="10"/>
    <x v="1"/>
    <n v="10.64"/>
    <m/>
    <m/>
    <m/>
    <m/>
    <m/>
    <m/>
    <x v="1"/>
    <n v="0"/>
    <n v="5"/>
    <m/>
    <m/>
    <m/>
    <m/>
    <m/>
    <m/>
    <m/>
    <m/>
    <m/>
    <m/>
    <m/>
    <m/>
    <m/>
    <m/>
  </r>
  <r>
    <n v="5308"/>
    <n v="55831"/>
    <d v="2005-03-18T00:00:00"/>
    <n v="20"/>
    <x v="1"/>
    <x v="1"/>
    <d v="2024-04-24T00:00:00"/>
    <n v="1.7616438356164383"/>
    <x v="140"/>
    <x v="0"/>
    <x v="3"/>
    <x v="1"/>
    <n v="8.4700000000000006"/>
    <m/>
    <m/>
    <m/>
    <m/>
    <m/>
    <m/>
    <x v="1"/>
    <n v="3"/>
    <n v="7"/>
    <m/>
    <m/>
    <m/>
    <m/>
    <m/>
    <m/>
    <m/>
    <m/>
    <m/>
    <m/>
    <m/>
    <m/>
    <m/>
    <m/>
  </r>
  <r>
    <n v="5309"/>
    <n v="55832"/>
    <d v="1998-06-20T00:00:00"/>
    <n v="27"/>
    <x v="0"/>
    <x v="1"/>
    <d v="2024-03-28T00:00:00"/>
    <n v="1.6684931506849314"/>
    <x v="140"/>
    <x v="0"/>
    <x v="7"/>
    <x v="1"/>
    <n v="17.59"/>
    <m/>
    <m/>
    <m/>
    <m/>
    <m/>
    <m/>
    <x v="2"/>
    <n v="2"/>
    <n v="4"/>
    <m/>
    <m/>
    <m/>
    <m/>
    <m/>
    <m/>
    <m/>
    <m/>
    <m/>
    <m/>
    <m/>
    <m/>
    <m/>
    <m/>
  </r>
  <r>
    <n v="5310"/>
    <n v="55833"/>
    <d v="2005-07-17T00:00:00"/>
    <n v="20"/>
    <x v="1"/>
    <x v="1"/>
    <d v="2024-05-01T00:00:00"/>
    <n v="1.3315068493150686"/>
    <x v="140"/>
    <x v="0"/>
    <x v="8"/>
    <x v="1"/>
    <n v="8.4700000000000006"/>
    <m/>
    <m/>
    <m/>
    <m/>
    <m/>
    <m/>
    <x v="4"/>
    <n v="2"/>
    <n v="5"/>
    <m/>
    <m/>
    <m/>
    <m/>
    <m/>
    <m/>
    <m/>
    <m/>
    <m/>
    <m/>
    <m/>
    <m/>
    <m/>
    <m/>
  </r>
  <r>
    <n v="5311"/>
    <n v="55834"/>
    <d v="1998-07-25T00:00:00"/>
    <n v="27"/>
    <x v="1"/>
    <x v="0"/>
    <d v="2024-09-01T00:00:00"/>
    <n v="1.715068493150685"/>
    <x v="140"/>
    <x v="0"/>
    <x v="8"/>
    <x v="1"/>
    <n v="8.4700000000000006"/>
    <m/>
    <m/>
    <m/>
    <m/>
    <m/>
    <m/>
    <x v="1"/>
    <n v="1"/>
    <n v="6"/>
    <m/>
    <m/>
    <m/>
    <m/>
    <m/>
    <m/>
    <m/>
    <m/>
    <m/>
    <m/>
    <m/>
    <m/>
    <m/>
    <m/>
  </r>
  <r>
    <n v="5312"/>
    <n v="55835"/>
    <d v="2004-05-22T00:00:00"/>
    <n v="21"/>
    <x v="1"/>
    <x v="1"/>
    <d v="2024-04-14T00:00:00"/>
    <n v="1.0739726027397261"/>
    <x v="140"/>
    <x v="0"/>
    <x v="8"/>
    <x v="1"/>
    <n v="8.4700000000000006"/>
    <m/>
    <m/>
    <m/>
    <m/>
    <m/>
    <m/>
    <x v="2"/>
    <n v="1"/>
    <n v="6"/>
    <m/>
    <m/>
    <m/>
    <m/>
    <m/>
    <m/>
    <m/>
    <m/>
    <m/>
    <m/>
    <m/>
    <m/>
    <m/>
    <m/>
  </r>
  <r>
    <n v="5313"/>
    <n v="55836"/>
    <d v="2006-04-13T00:00:00"/>
    <n v="19"/>
    <x v="1"/>
    <x v="0"/>
    <d v="2024-12-04T00:00:00"/>
    <n v="1.4493150684931506"/>
    <x v="140"/>
    <x v="0"/>
    <x v="8"/>
    <x v="1"/>
    <n v="8.4700000000000006"/>
    <m/>
    <m/>
    <m/>
    <m/>
    <m/>
    <m/>
    <x v="4"/>
    <n v="0"/>
    <n v="5"/>
    <m/>
    <m/>
    <m/>
    <m/>
    <m/>
    <m/>
    <m/>
    <m/>
    <m/>
    <m/>
    <m/>
    <m/>
    <m/>
    <m/>
  </r>
  <r>
    <n v="5314"/>
    <n v="55837"/>
    <d v="2006-04-23T00:00:00"/>
    <n v="19"/>
    <x v="1"/>
    <x v="0"/>
    <d v="2024-07-20T00:00:00"/>
    <n v="1.021917808219178"/>
    <x v="140"/>
    <x v="0"/>
    <x v="8"/>
    <x v="1"/>
    <n v="8.4700000000000006"/>
    <m/>
    <m/>
    <m/>
    <m/>
    <m/>
    <m/>
    <x v="3"/>
    <n v="4"/>
    <n v="6"/>
    <m/>
    <m/>
    <m/>
    <m/>
    <m/>
    <m/>
    <m/>
    <m/>
    <m/>
    <m/>
    <m/>
    <m/>
    <m/>
    <m/>
  </r>
  <r>
    <n v="5315"/>
    <n v="55838"/>
    <d v="2003-06-29T00:00:00"/>
    <n v="22"/>
    <x v="1"/>
    <x v="1"/>
    <d v="2024-12-23T00:00:00"/>
    <n v="1.4904109589041097"/>
    <x v="140"/>
    <x v="0"/>
    <x v="8"/>
    <x v="1"/>
    <n v="8.4700000000000006"/>
    <m/>
    <m/>
    <m/>
    <m/>
    <m/>
    <m/>
    <x v="4"/>
    <n v="2"/>
    <n v="6"/>
    <m/>
    <m/>
    <m/>
    <m/>
    <m/>
    <m/>
    <m/>
    <m/>
    <m/>
    <m/>
    <m/>
    <m/>
    <m/>
    <m/>
  </r>
  <r>
    <n v="5316"/>
    <n v="55839"/>
    <d v="2005-10-13T00:00:00"/>
    <n v="20"/>
    <x v="0"/>
    <x v="1"/>
    <d v="2024-07-05T00:00:00"/>
    <n v="1.3835616438356164"/>
    <x v="140"/>
    <x v="0"/>
    <x v="8"/>
    <x v="1"/>
    <n v="8.4700000000000006"/>
    <m/>
    <m/>
    <m/>
    <m/>
    <m/>
    <m/>
    <x v="1"/>
    <n v="0"/>
    <n v="4"/>
    <m/>
    <m/>
    <m/>
    <m/>
    <m/>
    <m/>
    <m/>
    <m/>
    <m/>
    <m/>
    <m/>
    <m/>
    <m/>
    <m/>
  </r>
  <r>
    <n v="5317"/>
    <n v="55840"/>
    <d v="2004-03-23T00:00:00"/>
    <n v="21"/>
    <x v="1"/>
    <x v="0"/>
    <d v="2024-08-13T00:00:00"/>
    <n v="1.0602739726027397"/>
    <x v="140"/>
    <x v="0"/>
    <x v="8"/>
    <x v="1"/>
    <n v="8.4700000000000006"/>
    <m/>
    <m/>
    <m/>
    <m/>
    <m/>
    <m/>
    <x v="4"/>
    <n v="2"/>
    <n v="6"/>
    <m/>
    <m/>
    <m/>
    <m/>
    <m/>
    <m/>
    <m/>
    <m/>
    <m/>
    <m/>
    <m/>
    <m/>
    <m/>
    <m/>
  </r>
  <r>
    <n v="5318"/>
    <n v="55841"/>
    <d v="2007-10-10T00:00:00"/>
    <n v="18"/>
    <x v="1"/>
    <x v="1"/>
    <d v="2024-12-09T00:00:00"/>
    <n v="1.2191780821917808"/>
    <x v="140"/>
    <x v="0"/>
    <x v="8"/>
    <x v="1"/>
    <n v="8.4700000000000006"/>
    <m/>
    <m/>
    <m/>
    <m/>
    <m/>
    <m/>
    <x v="2"/>
    <n v="3"/>
    <n v="6"/>
    <m/>
    <m/>
    <m/>
    <m/>
    <m/>
    <m/>
    <m/>
    <m/>
    <m/>
    <m/>
    <m/>
    <m/>
    <m/>
    <m/>
  </r>
  <r>
    <n v="5319"/>
    <n v="55842"/>
    <d v="2005-03-09T00:00:00"/>
    <n v="20"/>
    <x v="1"/>
    <x v="1"/>
    <d v="2024-10-12T00:00:00"/>
    <n v="1.5753424657534247"/>
    <x v="140"/>
    <x v="0"/>
    <x v="8"/>
    <x v="1"/>
    <n v="8.4700000000000006"/>
    <m/>
    <m/>
    <m/>
    <m/>
    <m/>
    <m/>
    <x v="4"/>
    <n v="2"/>
    <n v="5"/>
    <m/>
    <m/>
    <m/>
    <m/>
    <m/>
    <m/>
    <m/>
    <m/>
    <m/>
    <m/>
    <m/>
    <m/>
    <m/>
    <m/>
  </r>
  <r>
    <n v="5320"/>
    <n v="55843"/>
    <d v="1997-07-23T00:00:00"/>
    <n v="28"/>
    <x v="1"/>
    <x v="0"/>
    <d v="2024-06-04T00:00:00"/>
    <n v="1.0657534246575342"/>
    <x v="140"/>
    <x v="0"/>
    <x v="8"/>
    <x v="1"/>
    <n v="8.4700000000000006"/>
    <m/>
    <m/>
    <m/>
    <m/>
    <m/>
    <m/>
    <x v="1"/>
    <n v="4"/>
    <n v="6"/>
    <m/>
    <m/>
    <m/>
    <m/>
    <m/>
    <m/>
    <m/>
    <m/>
    <m/>
    <m/>
    <m/>
    <m/>
    <m/>
    <m/>
  </r>
  <r>
    <n v="5321"/>
    <n v="55844"/>
    <d v="1995-06-05T00:00:00"/>
    <n v="30"/>
    <x v="1"/>
    <x v="1"/>
    <d v="2024-12-07T00:00:00"/>
    <n v="1.747945205479452"/>
    <x v="140"/>
    <x v="0"/>
    <x v="8"/>
    <x v="1"/>
    <n v="8.4700000000000006"/>
    <m/>
    <m/>
    <m/>
    <m/>
    <m/>
    <m/>
    <x v="4"/>
    <n v="0"/>
    <n v="6"/>
    <m/>
    <m/>
    <m/>
    <m/>
    <m/>
    <m/>
    <m/>
    <m/>
    <m/>
    <m/>
    <m/>
    <m/>
    <m/>
    <m/>
  </r>
  <r>
    <n v="5322"/>
    <n v="55845"/>
    <d v="2007-12-17T00:00:00"/>
    <n v="18"/>
    <x v="1"/>
    <x v="1"/>
    <d v="2024-04-02T00:00:00"/>
    <n v="1.3616438356164384"/>
    <x v="140"/>
    <x v="0"/>
    <x v="8"/>
    <x v="1"/>
    <n v="8.4700000000000006"/>
    <m/>
    <m/>
    <m/>
    <m/>
    <m/>
    <m/>
    <x v="4"/>
    <n v="4"/>
    <n v="7"/>
    <m/>
    <m/>
    <m/>
    <m/>
    <m/>
    <m/>
    <m/>
    <m/>
    <m/>
    <m/>
    <m/>
    <m/>
    <m/>
    <m/>
  </r>
  <r>
    <n v="5323"/>
    <n v="55846"/>
    <d v="1998-02-23T00:00:00"/>
    <n v="27"/>
    <x v="1"/>
    <x v="1"/>
    <d v="2024-08-21T00:00:00"/>
    <n v="1.0191780821917809"/>
    <x v="140"/>
    <x v="0"/>
    <x v="8"/>
    <x v="1"/>
    <n v="8.4700000000000006"/>
    <m/>
    <m/>
    <m/>
    <m/>
    <m/>
    <m/>
    <x v="1"/>
    <n v="2"/>
    <n v="6"/>
    <m/>
    <m/>
    <m/>
    <m/>
    <m/>
    <m/>
    <m/>
    <m/>
    <m/>
    <m/>
    <m/>
    <m/>
    <m/>
    <m/>
  </r>
  <r>
    <n v="5324"/>
    <n v="55847"/>
    <d v="2000-12-17T00:00:00"/>
    <n v="25"/>
    <x v="1"/>
    <x v="0"/>
    <d v="2024-12-24T00:00:00"/>
    <n v="1.0301369863013699"/>
    <x v="140"/>
    <x v="0"/>
    <x v="8"/>
    <x v="1"/>
    <n v="8.4700000000000006"/>
    <m/>
    <m/>
    <m/>
    <m/>
    <m/>
    <m/>
    <x v="4"/>
    <n v="2"/>
    <n v="6"/>
    <m/>
    <m/>
    <m/>
    <m/>
    <m/>
    <m/>
    <m/>
    <m/>
    <m/>
    <m/>
    <m/>
    <m/>
    <m/>
    <m/>
  </r>
  <r>
    <n v="5325"/>
    <n v="55848"/>
    <d v="2005-05-15T00:00:00"/>
    <n v="20"/>
    <x v="1"/>
    <x v="1"/>
    <d v="2024-12-20T00:00:00"/>
    <n v="1.0657534246575342"/>
    <x v="140"/>
    <x v="0"/>
    <x v="8"/>
    <x v="1"/>
    <n v="8.4700000000000006"/>
    <m/>
    <m/>
    <m/>
    <m/>
    <m/>
    <m/>
    <x v="1"/>
    <n v="4"/>
    <n v="6"/>
    <m/>
    <m/>
    <m/>
    <m/>
    <m/>
    <m/>
    <m/>
    <m/>
    <m/>
    <m/>
    <m/>
    <m/>
    <m/>
    <m/>
  </r>
  <r>
    <n v="5326"/>
    <n v="55849"/>
    <d v="2003-12-28T00:00:00"/>
    <n v="22"/>
    <x v="1"/>
    <x v="1"/>
    <d v="2024-12-07T00:00:00"/>
    <n v="1.6465753424657534"/>
    <x v="35"/>
    <x v="0"/>
    <x v="11"/>
    <x v="1"/>
    <n v="17"/>
    <m/>
    <m/>
    <m/>
    <m/>
    <m/>
    <m/>
    <x v="1"/>
    <n v="2"/>
    <n v="7"/>
    <m/>
    <m/>
    <m/>
    <m/>
    <m/>
    <m/>
    <m/>
    <m/>
    <m/>
    <m/>
    <m/>
    <m/>
    <m/>
    <m/>
  </r>
  <r>
    <n v="5327"/>
    <n v="55850"/>
    <d v="2006-11-04T00:00:00"/>
    <n v="19"/>
    <x v="0"/>
    <x v="1"/>
    <d v="2024-05-09T00:00:00"/>
    <n v="1.3945205479452054"/>
    <x v="35"/>
    <x v="0"/>
    <x v="10"/>
    <x v="1"/>
    <n v="10.64"/>
    <m/>
    <m/>
    <m/>
    <m/>
    <m/>
    <m/>
    <x v="4"/>
    <n v="1"/>
    <n v="4"/>
    <m/>
    <m/>
    <m/>
    <m/>
    <m/>
    <m/>
    <m/>
    <m/>
    <m/>
    <m/>
    <m/>
    <m/>
    <m/>
    <m/>
  </r>
  <r>
    <n v="5328"/>
    <n v="55851"/>
    <d v="2004-11-30T00:00:00"/>
    <n v="21"/>
    <x v="0"/>
    <x v="1"/>
    <d v="2024-08-09T00:00:00"/>
    <n v="1.0301369863013699"/>
    <x v="35"/>
    <x v="0"/>
    <x v="10"/>
    <x v="1"/>
    <n v="10.64"/>
    <m/>
    <m/>
    <m/>
    <m/>
    <m/>
    <m/>
    <x v="4"/>
    <n v="1"/>
    <n v="4"/>
    <m/>
    <m/>
    <m/>
    <m/>
    <m/>
    <m/>
    <m/>
    <m/>
    <m/>
    <m/>
    <m/>
    <m/>
    <m/>
    <m/>
  </r>
  <r>
    <n v="5329"/>
    <n v="55853"/>
    <d v="1999-11-14T00:00:00"/>
    <n v="26"/>
    <x v="1"/>
    <x v="0"/>
    <d v="2024-12-20T00:00:00"/>
    <n v="1.4054794520547946"/>
    <x v="35"/>
    <x v="0"/>
    <x v="10"/>
    <x v="1"/>
    <n v="10.64"/>
    <m/>
    <m/>
    <m/>
    <m/>
    <m/>
    <m/>
    <x v="1"/>
    <n v="0"/>
    <n v="6"/>
    <m/>
    <m/>
    <m/>
    <m/>
    <m/>
    <m/>
    <m/>
    <m/>
    <m/>
    <m/>
    <m/>
    <m/>
    <m/>
    <m/>
  </r>
  <r>
    <n v="5330"/>
    <n v="55854"/>
    <d v="2000-02-09T00:00:00"/>
    <n v="25"/>
    <x v="0"/>
    <x v="0"/>
    <d v="2024-08-05T00:00:00"/>
    <n v="1.0876712328767124"/>
    <x v="35"/>
    <x v="0"/>
    <x v="3"/>
    <x v="1"/>
    <n v="8.4700000000000006"/>
    <m/>
    <m/>
    <m/>
    <m/>
    <m/>
    <m/>
    <x v="3"/>
    <n v="2"/>
    <n v="3"/>
    <m/>
    <m/>
    <m/>
    <m/>
    <m/>
    <m/>
    <m/>
    <m/>
    <m/>
    <m/>
    <m/>
    <m/>
    <m/>
    <m/>
  </r>
  <r>
    <n v="5331"/>
    <n v="55855"/>
    <d v="1998-03-22T00:00:00"/>
    <n v="27"/>
    <x v="0"/>
    <x v="1"/>
    <d v="2024-11-29T00:00:00"/>
    <n v="1.6465753424657534"/>
    <x v="35"/>
    <x v="0"/>
    <x v="7"/>
    <x v="1"/>
    <n v="17.59"/>
    <m/>
    <m/>
    <m/>
    <m/>
    <m/>
    <m/>
    <x v="1"/>
    <n v="2"/>
    <n v="4"/>
    <m/>
    <m/>
    <m/>
    <m/>
    <m/>
    <m/>
    <m/>
    <m/>
    <m/>
    <m/>
    <m/>
    <m/>
    <m/>
    <m/>
  </r>
  <r>
    <n v="5332"/>
    <n v="55856"/>
    <d v="2003-01-08T00:00:00"/>
    <n v="22"/>
    <x v="1"/>
    <x v="0"/>
    <d v="2024-05-09T00:00:00"/>
    <n v="1.6876712328767123"/>
    <x v="35"/>
    <x v="0"/>
    <x v="8"/>
    <x v="1"/>
    <n v="8.4700000000000006"/>
    <m/>
    <m/>
    <m/>
    <m/>
    <m/>
    <m/>
    <x v="1"/>
    <n v="4"/>
    <n v="6"/>
    <m/>
    <m/>
    <m/>
    <m/>
    <m/>
    <m/>
    <m/>
    <m/>
    <m/>
    <m/>
    <m/>
    <m/>
    <m/>
    <m/>
  </r>
  <r>
    <n v="5333"/>
    <n v="55857"/>
    <d v="1999-09-13T00:00:00"/>
    <n v="26"/>
    <x v="1"/>
    <x v="1"/>
    <d v="2024-04-24T00:00:00"/>
    <n v="1.0054794520547945"/>
    <x v="35"/>
    <x v="0"/>
    <x v="8"/>
    <x v="1"/>
    <n v="8.4700000000000006"/>
    <m/>
    <m/>
    <m/>
    <m/>
    <m/>
    <m/>
    <x v="4"/>
    <n v="1"/>
    <n v="6"/>
    <m/>
    <m/>
    <m/>
    <m/>
    <m/>
    <m/>
    <m/>
    <m/>
    <m/>
    <m/>
    <m/>
    <m/>
    <m/>
    <m/>
  </r>
  <r>
    <n v="5334"/>
    <n v="55858"/>
    <d v="2005-12-10T00:00:00"/>
    <n v="20"/>
    <x v="0"/>
    <x v="0"/>
    <d v="2024-12-29T00:00:00"/>
    <n v="1.1095890410958904"/>
    <x v="35"/>
    <x v="0"/>
    <x v="8"/>
    <x v="1"/>
    <n v="8.4700000000000006"/>
    <m/>
    <m/>
    <m/>
    <m/>
    <m/>
    <m/>
    <x v="2"/>
    <n v="4"/>
    <n v="3"/>
    <m/>
    <m/>
    <m/>
    <m/>
    <m/>
    <m/>
    <m/>
    <m/>
    <m/>
    <m/>
    <m/>
    <m/>
    <m/>
    <m/>
  </r>
  <r>
    <n v="5335"/>
    <n v="55859"/>
    <d v="2004-10-03T00:00:00"/>
    <n v="21"/>
    <x v="0"/>
    <x v="1"/>
    <d v="2024-11-21T00:00:00"/>
    <n v="1.2191780821917808"/>
    <x v="35"/>
    <x v="0"/>
    <x v="8"/>
    <x v="1"/>
    <n v="8.4700000000000006"/>
    <m/>
    <m/>
    <m/>
    <m/>
    <m/>
    <m/>
    <x v="4"/>
    <n v="1"/>
    <n v="5"/>
    <m/>
    <m/>
    <m/>
    <m/>
    <m/>
    <m/>
    <m/>
    <m/>
    <m/>
    <m/>
    <m/>
    <m/>
    <m/>
    <m/>
  </r>
  <r>
    <n v="5336"/>
    <n v="55860"/>
    <d v="1999-07-13T00:00:00"/>
    <n v="26"/>
    <x v="1"/>
    <x v="0"/>
    <d v="2024-10-12T00:00:00"/>
    <n v="1.0136986301369864"/>
    <x v="35"/>
    <x v="0"/>
    <x v="8"/>
    <x v="1"/>
    <n v="8.4700000000000006"/>
    <m/>
    <m/>
    <m/>
    <m/>
    <m/>
    <m/>
    <x v="4"/>
    <n v="3"/>
    <n v="5"/>
    <m/>
    <m/>
    <m/>
    <m/>
    <m/>
    <m/>
    <m/>
    <m/>
    <m/>
    <m/>
    <m/>
    <m/>
    <m/>
    <m/>
  </r>
  <r>
    <n v="5337"/>
    <n v="55861"/>
    <d v="2004-12-02T00:00:00"/>
    <n v="21"/>
    <x v="1"/>
    <x v="1"/>
    <d v="2024-12-26T00:00:00"/>
    <n v="1.4684931506849315"/>
    <x v="35"/>
    <x v="0"/>
    <x v="8"/>
    <x v="1"/>
    <n v="8.4700000000000006"/>
    <m/>
    <m/>
    <m/>
    <m/>
    <m/>
    <m/>
    <x v="3"/>
    <n v="0"/>
    <n v="6"/>
    <m/>
    <m/>
    <m/>
    <m/>
    <m/>
    <m/>
    <m/>
    <m/>
    <m/>
    <m/>
    <m/>
    <m/>
    <m/>
    <m/>
  </r>
  <r>
    <n v="5338"/>
    <n v="55862"/>
    <d v="2001-07-16T00:00:00"/>
    <n v="24"/>
    <x v="1"/>
    <x v="0"/>
    <d v="2024-07-13T00:00:00"/>
    <n v="1.1397260273972603"/>
    <x v="35"/>
    <x v="0"/>
    <x v="8"/>
    <x v="1"/>
    <n v="8.4700000000000006"/>
    <m/>
    <m/>
    <m/>
    <m/>
    <m/>
    <m/>
    <x v="4"/>
    <n v="3"/>
    <n v="6"/>
    <m/>
    <m/>
    <m/>
    <m/>
    <m/>
    <m/>
    <m/>
    <m/>
    <m/>
    <m/>
    <m/>
    <m/>
    <m/>
    <m/>
  </r>
  <r>
    <n v="5339"/>
    <n v="55863"/>
    <d v="2007-05-04T00:00:00"/>
    <n v="18"/>
    <x v="1"/>
    <x v="0"/>
    <d v="2024-11-10T00:00:00"/>
    <n v="1.747945205479452"/>
    <x v="35"/>
    <x v="0"/>
    <x v="8"/>
    <x v="1"/>
    <n v="8.4700000000000006"/>
    <m/>
    <m/>
    <m/>
    <m/>
    <m/>
    <m/>
    <x v="4"/>
    <n v="1"/>
    <n v="6"/>
    <m/>
    <m/>
    <m/>
    <m/>
    <m/>
    <m/>
    <m/>
    <m/>
    <m/>
    <m/>
    <m/>
    <m/>
    <m/>
    <m/>
  </r>
  <r>
    <n v="5340"/>
    <n v="55864"/>
    <d v="1998-10-26T00:00:00"/>
    <n v="27"/>
    <x v="1"/>
    <x v="1"/>
    <d v="2024-04-02T00:00:00"/>
    <n v="1.5452054794520549"/>
    <x v="35"/>
    <x v="0"/>
    <x v="8"/>
    <x v="1"/>
    <n v="8.4700000000000006"/>
    <m/>
    <m/>
    <m/>
    <m/>
    <m/>
    <m/>
    <x v="2"/>
    <n v="4"/>
    <n v="5"/>
    <m/>
    <m/>
    <m/>
    <m/>
    <m/>
    <m/>
    <m/>
    <m/>
    <m/>
    <m/>
    <m/>
    <m/>
    <m/>
    <m/>
  </r>
  <r>
    <n v="5341"/>
    <n v="55865"/>
    <d v="2003-05-18T00:00:00"/>
    <n v="22"/>
    <x v="1"/>
    <x v="1"/>
    <d v="2024-06-15T00:00:00"/>
    <n v="1.1013698630136985"/>
    <x v="35"/>
    <x v="0"/>
    <x v="8"/>
    <x v="1"/>
    <n v="8.4700000000000006"/>
    <m/>
    <m/>
    <m/>
    <m/>
    <m/>
    <m/>
    <x v="4"/>
    <n v="1"/>
    <n v="7"/>
    <m/>
    <m/>
    <m/>
    <m/>
    <m/>
    <m/>
    <m/>
    <m/>
    <m/>
    <m/>
    <m/>
    <m/>
    <m/>
    <m/>
  </r>
  <r>
    <n v="5342"/>
    <n v="55866"/>
    <d v="2004-03-27T00:00:00"/>
    <n v="21"/>
    <x v="1"/>
    <x v="1"/>
    <d v="2024-11-24T00:00:00"/>
    <n v="1.1123287671232878"/>
    <x v="35"/>
    <x v="0"/>
    <x v="8"/>
    <x v="1"/>
    <n v="8.4700000000000006"/>
    <m/>
    <m/>
    <m/>
    <m/>
    <m/>
    <m/>
    <x v="4"/>
    <n v="2"/>
    <n v="6"/>
    <m/>
    <m/>
    <m/>
    <m/>
    <m/>
    <m/>
    <m/>
    <m/>
    <m/>
    <m/>
    <m/>
    <m/>
    <m/>
    <m/>
  </r>
  <r>
    <n v="5343"/>
    <n v="55867"/>
    <d v="2001-08-29T00:00:00"/>
    <n v="24"/>
    <x v="1"/>
    <x v="1"/>
    <d v="2024-11-20T00:00:00"/>
    <n v="1.4356164383561645"/>
    <x v="35"/>
    <x v="0"/>
    <x v="8"/>
    <x v="1"/>
    <n v="8.4700000000000006"/>
    <m/>
    <m/>
    <m/>
    <m/>
    <m/>
    <m/>
    <x v="1"/>
    <n v="1"/>
    <n v="5"/>
    <m/>
    <m/>
    <m/>
    <m/>
    <m/>
    <m/>
    <m/>
    <m/>
    <m/>
    <m/>
    <m/>
    <m/>
    <m/>
    <m/>
  </r>
  <r>
    <n v="5344"/>
    <n v="55868"/>
    <d v="2004-07-12T00:00:00"/>
    <n v="21"/>
    <x v="1"/>
    <x v="0"/>
    <d v="2024-07-25T00:00:00"/>
    <n v="1.2931506849315069"/>
    <x v="35"/>
    <x v="0"/>
    <x v="8"/>
    <x v="1"/>
    <n v="8.4700000000000006"/>
    <m/>
    <m/>
    <m/>
    <m/>
    <m/>
    <m/>
    <x v="4"/>
    <n v="2"/>
    <n v="5"/>
    <m/>
    <m/>
    <m/>
    <m/>
    <m/>
    <m/>
    <m/>
    <m/>
    <m/>
    <m/>
    <m/>
    <m/>
    <m/>
    <m/>
  </r>
  <r>
    <n v="5345"/>
    <n v="55869"/>
    <d v="2006-08-14T00:00:00"/>
    <n v="19"/>
    <x v="1"/>
    <x v="1"/>
    <d v="2024-09-15T00:00:00"/>
    <n v="1.1561643835616437"/>
    <x v="35"/>
    <x v="0"/>
    <x v="8"/>
    <x v="1"/>
    <n v="8.4700000000000006"/>
    <m/>
    <m/>
    <m/>
    <m/>
    <m/>
    <m/>
    <x v="3"/>
    <n v="3"/>
    <n v="6"/>
    <m/>
    <m/>
    <m/>
    <m/>
    <m/>
    <m/>
    <m/>
    <m/>
    <m/>
    <m/>
    <m/>
    <m/>
    <m/>
    <m/>
  </r>
  <r>
    <n v="5346"/>
    <n v="55870"/>
    <d v="2006-09-29T00:00:00"/>
    <n v="19"/>
    <x v="0"/>
    <x v="0"/>
    <d v="2024-11-04T00:00:00"/>
    <n v="1.6876712328767123"/>
    <x v="35"/>
    <x v="0"/>
    <x v="8"/>
    <x v="1"/>
    <n v="8.4700000000000006"/>
    <m/>
    <m/>
    <m/>
    <m/>
    <m/>
    <m/>
    <x v="4"/>
    <n v="0"/>
    <n v="4"/>
    <m/>
    <m/>
    <m/>
    <m/>
    <m/>
    <m/>
    <m/>
    <m/>
    <m/>
    <m/>
    <m/>
    <m/>
    <m/>
    <m/>
  </r>
  <r>
    <n v="5347"/>
    <n v="55871"/>
    <d v="1997-12-24T00:00:00"/>
    <n v="28"/>
    <x v="1"/>
    <x v="1"/>
    <d v="2024-04-24T00:00:00"/>
    <n v="1.6684931506849314"/>
    <x v="36"/>
    <x v="0"/>
    <x v="11"/>
    <x v="1"/>
    <n v="17"/>
    <m/>
    <m/>
    <m/>
    <m/>
    <m/>
    <m/>
    <x v="1"/>
    <n v="1"/>
    <n v="7"/>
    <m/>
    <m/>
    <m/>
    <m/>
    <m/>
    <m/>
    <m/>
    <m/>
    <m/>
    <m/>
    <m/>
    <m/>
    <m/>
    <m/>
  </r>
  <r>
    <n v="5348"/>
    <n v="55872"/>
    <d v="2000-12-25T00:00:00"/>
    <n v="25"/>
    <x v="0"/>
    <x v="1"/>
    <d v="2024-05-01T00:00:00"/>
    <n v="1.0356164383561643"/>
    <x v="36"/>
    <x v="0"/>
    <x v="11"/>
    <x v="1"/>
    <n v="17"/>
    <m/>
    <m/>
    <m/>
    <m/>
    <m/>
    <m/>
    <x v="3"/>
    <n v="1"/>
    <n v="3"/>
    <m/>
    <m/>
    <m/>
    <m/>
    <m/>
    <m/>
    <m/>
    <m/>
    <m/>
    <m/>
    <m/>
    <m/>
    <m/>
    <m/>
  </r>
  <r>
    <n v="5349"/>
    <n v="55873"/>
    <d v="1992-11-20T00:00:00"/>
    <n v="33"/>
    <x v="1"/>
    <x v="0"/>
    <d v="2024-12-18T00:00:00"/>
    <n v="1.0547945205479452"/>
    <x v="36"/>
    <x v="0"/>
    <x v="11"/>
    <x v="1"/>
    <n v="17"/>
    <m/>
    <m/>
    <m/>
    <m/>
    <m/>
    <m/>
    <x v="4"/>
    <n v="4"/>
    <n v="6"/>
    <m/>
    <m/>
    <m/>
    <m/>
    <m/>
    <m/>
    <m/>
    <m/>
    <m/>
    <m/>
    <m/>
    <m/>
    <m/>
    <m/>
  </r>
  <r>
    <n v="5350"/>
    <n v="55874"/>
    <d v="1998-09-06T00:00:00"/>
    <n v="27"/>
    <x v="0"/>
    <x v="1"/>
    <d v="2024-12-11T00:00:00"/>
    <n v="1.452054794520548"/>
    <x v="36"/>
    <x v="0"/>
    <x v="10"/>
    <x v="1"/>
    <n v="10.64"/>
    <m/>
    <m/>
    <m/>
    <m/>
    <m/>
    <m/>
    <x v="4"/>
    <n v="0"/>
    <n v="3"/>
    <m/>
    <m/>
    <m/>
    <m/>
    <m/>
    <m/>
    <m/>
    <m/>
    <m/>
    <m/>
    <m/>
    <m/>
    <m/>
    <m/>
  </r>
  <r>
    <n v="5351"/>
    <n v="55875"/>
    <d v="2003-05-20T00:00:00"/>
    <n v="22"/>
    <x v="0"/>
    <x v="1"/>
    <d v="2024-07-19T00:00:00"/>
    <n v="1.6849315068493151"/>
    <x v="36"/>
    <x v="0"/>
    <x v="10"/>
    <x v="1"/>
    <n v="10.64"/>
    <m/>
    <m/>
    <m/>
    <m/>
    <m/>
    <m/>
    <x v="4"/>
    <n v="0"/>
    <n v="4"/>
    <m/>
    <m/>
    <m/>
    <m/>
    <m/>
    <m/>
    <m/>
    <m/>
    <m/>
    <m/>
    <m/>
    <m/>
    <m/>
    <m/>
  </r>
  <r>
    <n v="5352"/>
    <n v="55876"/>
    <d v="1995-09-01T00:00:00"/>
    <n v="31"/>
    <x v="1"/>
    <x v="1"/>
    <d v="2024-04-25T00:00:00"/>
    <n v="1.3095890410958904"/>
    <x v="36"/>
    <x v="0"/>
    <x v="3"/>
    <x v="1"/>
    <n v="8.4700000000000006"/>
    <m/>
    <m/>
    <m/>
    <m/>
    <m/>
    <m/>
    <x v="1"/>
    <n v="0"/>
    <n v="6"/>
    <m/>
    <m/>
    <m/>
    <m/>
    <m/>
    <m/>
    <m/>
    <m/>
    <m/>
    <m/>
    <m/>
    <m/>
    <m/>
    <m/>
  </r>
  <r>
    <n v="5353"/>
    <n v="55877"/>
    <d v="2005-05-02T00:00:00"/>
    <n v="20"/>
    <x v="1"/>
    <x v="1"/>
    <d v="2024-09-09T00:00:00"/>
    <n v="1.8465753424657534"/>
    <x v="36"/>
    <x v="0"/>
    <x v="3"/>
    <x v="1"/>
    <n v="8.4700000000000006"/>
    <m/>
    <m/>
    <m/>
    <m/>
    <m/>
    <m/>
    <x v="4"/>
    <n v="4"/>
    <n v="7"/>
    <m/>
    <m/>
    <m/>
    <m/>
    <m/>
    <m/>
    <m/>
    <m/>
    <m/>
    <m/>
    <m/>
    <m/>
    <m/>
    <m/>
  </r>
  <r>
    <n v="5354"/>
    <n v="55878"/>
    <d v="1998-12-22T00:00:00"/>
    <n v="27"/>
    <x v="1"/>
    <x v="0"/>
    <d v="2024-02-26T00:00:00"/>
    <n v="1.6"/>
    <x v="36"/>
    <x v="0"/>
    <x v="8"/>
    <x v="1"/>
    <n v="8.4700000000000006"/>
    <m/>
    <m/>
    <m/>
    <m/>
    <m/>
    <m/>
    <x v="1"/>
    <n v="2"/>
    <n v="6"/>
    <m/>
    <m/>
    <m/>
    <m/>
    <m/>
    <m/>
    <m/>
    <m/>
    <m/>
    <m/>
    <m/>
    <m/>
    <m/>
    <m/>
  </r>
  <r>
    <n v="5355"/>
    <n v="55879"/>
    <d v="2007-08-21T00:00:00"/>
    <n v="18"/>
    <x v="1"/>
    <x v="1"/>
    <d v="2024-05-26T00:00:00"/>
    <n v="1.4246575342465753"/>
    <x v="36"/>
    <x v="0"/>
    <x v="8"/>
    <x v="1"/>
    <n v="8.4700000000000006"/>
    <m/>
    <m/>
    <m/>
    <m/>
    <m/>
    <m/>
    <x v="4"/>
    <n v="4"/>
    <n v="7"/>
    <m/>
    <m/>
    <m/>
    <m/>
    <m/>
    <m/>
    <m/>
    <m/>
    <m/>
    <m/>
    <m/>
    <m/>
    <m/>
    <m/>
  </r>
  <r>
    <n v="5356"/>
    <n v="55880"/>
    <d v="1995-05-17T00:00:00"/>
    <n v="30"/>
    <x v="1"/>
    <x v="1"/>
    <d v="2024-07-29T00:00:00"/>
    <n v="1.9479452054794522"/>
    <x v="36"/>
    <x v="0"/>
    <x v="8"/>
    <x v="1"/>
    <n v="8.4700000000000006"/>
    <m/>
    <m/>
    <m/>
    <m/>
    <m/>
    <m/>
    <x v="2"/>
    <n v="0"/>
    <n v="6"/>
    <m/>
    <m/>
    <m/>
    <m/>
    <m/>
    <m/>
    <m/>
    <m/>
    <m/>
    <m/>
    <m/>
    <m/>
    <m/>
    <m/>
  </r>
  <r>
    <n v="5357"/>
    <n v="55881"/>
    <d v="2002-04-22T00:00:00"/>
    <n v="23"/>
    <x v="1"/>
    <x v="1"/>
    <d v="2024-01-20T00:00:00"/>
    <n v="1.263013698630137"/>
    <x v="36"/>
    <x v="0"/>
    <x v="8"/>
    <x v="1"/>
    <n v="8.4700000000000006"/>
    <m/>
    <m/>
    <m/>
    <m/>
    <m/>
    <m/>
    <x v="1"/>
    <n v="2"/>
    <n v="5"/>
    <m/>
    <m/>
    <m/>
    <m/>
    <m/>
    <m/>
    <m/>
    <m/>
    <m/>
    <m/>
    <m/>
    <m/>
    <m/>
    <m/>
  </r>
  <r>
    <n v="5358"/>
    <n v="55882"/>
    <d v="2004-12-27T00:00:00"/>
    <n v="21"/>
    <x v="1"/>
    <x v="0"/>
    <d v="2024-09-26T00:00:00"/>
    <n v="1.6493150684931508"/>
    <x v="36"/>
    <x v="0"/>
    <x v="8"/>
    <x v="1"/>
    <n v="8.4700000000000006"/>
    <m/>
    <m/>
    <m/>
    <m/>
    <m/>
    <m/>
    <x v="4"/>
    <n v="4"/>
    <n v="7"/>
    <m/>
    <m/>
    <m/>
    <m/>
    <m/>
    <m/>
    <m/>
    <m/>
    <m/>
    <m/>
    <m/>
    <m/>
    <m/>
    <m/>
  </r>
  <r>
    <n v="5359"/>
    <n v="55883"/>
    <d v="2007-08-06T00:00:00"/>
    <n v="18"/>
    <x v="1"/>
    <x v="1"/>
    <d v="2024-05-08T00:00:00"/>
    <n v="1.4136986301369863"/>
    <x v="36"/>
    <x v="0"/>
    <x v="8"/>
    <x v="1"/>
    <n v="8.4700000000000006"/>
    <m/>
    <m/>
    <m/>
    <m/>
    <m/>
    <m/>
    <x v="3"/>
    <n v="1"/>
    <n v="5"/>
    <m/>
    <m/>
    <m/>
    <m/>
    <m/>
    <m/>
    <m/>
    <m/>
    <m/>
    <m/>
    <m/>
    <m/>
    <m/>
    <m/>
  </r>
  <r>
    <n v="5360"/>
    <n v="55884"/>
    <d v="2004-10-20T00:00:00"/>
    <n v="21"/>
    <x v="1"/>
    <x v="1"/>
    <d v="2024-08-02T00:00:00"/>
    <n v="1.1424657534246576"/>
    <x v="36"/>
    <x v="0"/>
    <x v="8"/>
    <x v="1"/>
    <n v="8.4700000000000006"/>
    <m/>
    <m/>
    <m/>
    <m/>
    <m/>
    <m/>
    <x v="4"/>
    <n v="0"/>
    <n v="6"/>
    <m/>
    <m/>
    <m/>
    <m/>
    <m/>
    <m/>
    <m/>
    <m/>
    <m/>
    <m/>
    <m/>
    <m/>
    <m/>
    <m/>
  </r>
  <r>
    <n v="5361"/>
    <n v="55885"/>
    <d v="2004-06-04T00:00:00"/>
    <n v="21"/>
    <x v="1"/>
    <x v="1"/>
    <d v="2024-11-09T00:00:00"/>
    <n v="1.558904109589041"/>
    <x v="36"/>
    <x v="0"/>
    <x v="8"/>
    <x v="1"/>
    <n v="8.4700000000000006"/>
    <m/>
    <m/>
    <m/>
    <m/>
    <m/>
    <m/>
    <x v="1"/>
    <n v="1"/>
    <n v="6"/>
    <m/>
    <m/>
    <m/>
    <m/>
    <m/>
    <m/>
    <m/>
    <m/>
    <m/>
    <m/>
    <m/>
    <m/>
    <m/>
    <m/>
  </r>
  <r>
    <n v="5362"/>
    <n v="55886"/>
    <d v="2000-03-09T00:00:00"/>
    <n v="25"/>
    <x v="0"/>
    <x v="1"/>
    <d v="2024-06-10T00:00:00"/>
    <n v="1.6520547945205479"/>
    <x v="36"/>
    <x v="0"/>
    <x v="8"/>
    <x v="1"/>
    <n v="8.4700000000000006"/>
    <m/>
    <m/>
    <m/>
    <m/>
    <m/>
    <m/>
    <x v="4"/>
    <n v="2"/>
    <n v="5"/>
    <m/>
    <m/>
    <m/>
    <m/>
    <m/>
    <m/>
    <m/>
    <m/>
    <m/>
    <m/>
    <m/>
    <m/>
    <m/>
    <m/>
  </r>
  <r>
    <n v="5363"/>
    <n v="55887"/>
    <d v="2003-01-22T00:00:00"/>
    <n v="22"/>
    <x v="1"/>
    <x v="1"/>
    <d v="2024-05-07T00:00:00"/>
    <n v="1.5835616438356164"/>
    <x v="36"/>
    <x v="0"/>
    <x v="8"/>
    <x v="1"/>
    <n v="8.4700000000000006"/>
    <m/>
    <m/>
    <m/>
    <m/>
    <m/>
    <m/>
    <x v="1"/>
    <n v="2"/>
    <n v="6"/>
    <m/>
    <m/>
    <m/>
    <m/>
    <m/>
    <m/>
    <m/>
    <m/>
    <m/>
    <m/>
    <m/>
    <m/>
    <m/>
    <m/>
  </r>
  <r>
    <n v="5364"/>
    <n v="55888"/>
    <d v="2002-06-04T00:00:00"/>
    <n v="23"/>
    <x v="1"/>
    <x v="1"/>
    <d v="2024-06-01T00:00:00"/>
    <n v="1.0493150684931507"/>
    <x v="36"/>
    <x v="0"/>
    <x v="8"/>
    <x v="1"/>
    <n v="8.4700000000000006"/>
    <m/>
    <m/>
    <m/>
    <m/>
    <m/>
    <m/>
    <x v="3"/>
    <n v="0"/>
    <n v="5"/>
    <m/>
    <m/>
    <m/>
    <m/>
    <m/>
    <m/>
    <m/>
    <m/>
    <m/>
    <m/>
    <m/>
    <m/>
    <m/>
    <m/>
  </r>
  <r>
    <n v="5365"/>
    <n v="55889"/>
    <d v="1993-05-03T00:00:00"/>
    <n v="32"/>
    <x v="1"/>
    <x v="1"/>
    <d v="2024-12-13T00:00:00"/>
    <n v="1.2684931506849315"/>
    <x v="36"/>
    <x v="0"/>
    <x v="8"/>
    <x v="1"/>
    <n v="8.4700000000000006"/>
    <m/>
    <m/>
    <m/>
    <m/>
    <m/>
    <m/>
    <x v="3"/>
    <n v="1"/>
    <n v="6"/>
    <m/>
    <m/>
    <m/>
    <m/>
    <m/>
    <m/>
    <m/>
    <m/>
    <m/>
    <m/>
    <m/>
    <m/>
    <m/>
    <m/>
  </r>
  <r>
    <n v="5366"/>
    <n v="55890"/>
    <d v="2003-11-11T00:00:00"/>
    <n v="22"/>
    <x v="1"/>
    <x v="1"/>
    <d v="2024-09-24T00:00:00"/>
    <n v="1.4301369863013698"/>
    <x v="36"/>
    <x v="0"/>
    <x v="8"/>
    <x v="1"/>
    <n v="8.4700000000000006"/>
    <m/>
    <m/>
    <m/>
    <m/>
    <m/>
    <m/>
    <x v="4"/>
    <n v="1"/>
    <n v="7"/>
    <m/>
    <m/>
    <m/>
    <m/>
    <m/>
    <m/>
    <m/>
    <m/>
    <m/>
    <m/>
    <m/>
    <m/>
    <m/>
    <m/>
  </r>
  <r>
    <n v="5367"/>
    <n v="55891"/>
    <d v="2006-01-03T00:00:00"/>
    <n v="19"/>
    <x v="1"/>
    <x v="1"/>
    <d v="2024-07-27T00:00:00"/>
    <n v="1.4986301369863013"/>
    <x v="36"/>
    <x v="0"/>
    <x v="8"/>
    <x v="1"/>
    <n v="8.4700000000000006"/>
    <m/>
    <m/>
    <m/>
    <m/>
    <m/>
    <m/>
    <x v="3"/>
    <n v="1"/>
    <n v="4"/>
    <m/>
    <m/>
    <m/>
    <m/>
    <m/>
    <m/>
    <m/>
    <m/>
    <m/>
    <m/>
    <m/>
    <m/>
    <m/>
    <m/>
  </r>
  <r>
    <n v="5368"/>
    <n v="55892"/>
    <d v="2001-05-08T00:00:00"/>
    <n v="24"/>
    <x v="1"/>
    <x v="1"/>
    <d v="2024-07-02T00:00:00"/>
    <n v="1.5890410958904109"/>
    <x v="57"/>
    <x v="0"/>
    <x v="11"/>
    <x v="1"/>
    <n v="17"/>
    <m/>
    <m/>
    <m/>
    <m/>
    <m/>
    <m/>
    <x v="4"/>
    <n v="1"/>
    <n v="5"/>
    <m/>
    <m/>
    <m/>
    <m/>
    <m/>
    <m/>
    <m/>
    <m/>
    <m/>
    <m/>
    <m/>
    <m/>
    <m/>
    <m/>
  </r>
  <r>
    <n v="5369"/>
    <n v="55893"/>
    <d v="1998-10-03T00:00:00"/>
    <n v="27"/>
    <x v="0"/>
    <x v="0"/>
    <d v="2024-05-30T00:00:00"/>
    <n v="1.1260273972602739"/>
    <x v="57"/>
    <x v="0"/>
    <x v="11"/>
    <x v="1"/>
    <n v="17"/>
    <m/>
    <m/>
    <m/>
    <m/>
    <m/>
    <m/>
    <x v="3"/>
    <n v="0"/>
    <n v="3"/>
    <m/>
    <m/>
    <m/>
    <m/>
    <m/>
    <m/>
    <m/>
    <m/>
    <m/>
    <m/>
    <m/>
    <m/>
    <m/>
    <m/>
  </r>
  <r>
    <n v="5370"/>
    <n v="55894"/>
    <d v="2002-10-09T00:00:00"/>
    <n v="23"/>
    <x v="0"/>
    <x v="1"/>
    <d v="2024-11-15T00:00:00"/>
    <n v="1.284931506849315"/>
    <x v="57"/>
    <x v="0"/>
    <x v="10"/>
    <x v="1"/>
    <n v="10.64"/>
    <m/>
    <m/>
    <m/>
    <m/>
    <m/>
    <m/>
    <x v="2"/>
    <n v="0"/>
    <n v="4"/>
    <m/>
    <m/>
    <m/>
    <m/>
    <m/>
    <m/>
    <m/>
    <m/>
    <m/>
    <m/>
    <m/>
    <m/>
    <m/>
    <m/>
  </r>
  <r>
    <n v="5371"/>
    <n v="55895"/>
    <d v="2004-12-17T00:00:00"/>
    <n v="21"/>
    <x v="1"/>
    <x v="0"/>
    <d v="2024-09-18T00:00:00"/>
    <n v="1.7068493150684931"/>
    <x v="57"/>
    <x v="0"/>
    <x v="8"/>
    <x v="1"/>
    <n v="8.4700000000000006"/>
    <m/>
    <m/>
    <m/>
    <m/>
    <m/>
    <m/>
    <x v="3"/>
    <n v="2"/>
    <n v="6"/>
    <m/>
    <m/>
    <m/>
    <m/>
    <m/>
    <m/>
    <m/>
    <m/>
    <m/>
    <m/>
    <m/>
    <m/>
    <m/>
    <m/>
  </r>
  <r>
    <n v="5372"/>
    <n v="55896"/>
    <d v="2006-02-10T00:00:00"/>
    <n v="19"/>
    <x v="0"/>
    <x v="1"/>
    <d v="2024-04-17T00:00:00"/>
    <n v="1.4712328767123288"/>
    <x v="57"/>
    <x v="0"/>
    <x v="8"/>
    <x v="1"/>
    <n v="8.4700000000000006"/>
    <m/>
    <m/>
    <m/>
    <m/>
    <m/>
    <m/>
    <x v="1"/>
    <n v="2"/>
    <n v="6"/>
    <m/>
    <m/>
    <m/>
    <m/>
    <m/>
    <m/>
    <m/>
    <m/>
    <m/>
    <m/>
    <m/>
    <m/>
    <m/>
    <m/>
  </r>
  <r>
    <n v="5373"/>
    <n v="55897"/>
    <d v="2003-03-08T00:00:00"/>
    <n v="22"/>
    <x v="1"/>
    <x v="1"/>
    <d v="2024-07-12T00:00:00"/>
    <n v="1.6630136986301369"/>
    <x v="57"/>
    <x v="0"/>
    <x v="8"/>
    <x v="1"/>
    <n v="8.4700000000000006"/>
    <m/>
    <m/>
    <m/>
    <m/>
    <m/>
    <m/>
    <x v="4"/>
    <n v="2"/>
    <n v="7"/>
    <m/>
    <m/>
    <m/>
    <m/>
    <m/>
    <m/>
    <m/>
    <m/>
    <m/>
    <m/>
    <m/>
    <m/>
    <m/>
    <m/>
  </r>
  <r>
    <n v="5374"/>
    <n v="55898"/>
    <d v="2004-10-30T00:00:00"/>
    <n v="21"/>
    <x v="1"/>
    <x v="1"/>
    <d v="2024-05-03T00:00:00"/>
    <n v="1.5726027397260274"/>
    <x v="57"/>
    <x v="0"/>
    <x v="8"/>
    <x v="1"/>
    <n v="8.4700000000000006"/>
    <m/>
    <m/>
    <m/>
    <m/>
    <m/>
    <m/>
    <x v="4"/>
    <n v="3"/>
    <n v="7"/>
    <m/>
    <m/>
    <m/>
    <m/>
    <m/>
    <m/>
    <m/>
    <m/>
    <m/>
    <m/>
    <m/>
    <m/>
    <m/>
    <m/>
  </r>
  <r>
    <n v="5375"/>
    <n v="55899"/>
    <d v="1995-08-19T00:00:00"/>
    <n v="30"/>
    <x v="1"/>
    <x v="1"/>
    <d v="2024-06-05T00:00:00"/>
    <n v="1.4876712328767123"/>
    <x v="57"/>
    <x v="0"/>
    <x v="8"/>
    <x v="1"/>
    <n v="8.4700000000000006"/>
    <m/>
    <m/>
    <m/>
    <m/>
    <m/>
    <m/>
    <x v="3"/>
    <n v="2"/>
    <n v="7"/>
    <m/>
    <m/>
    <m/>
    <m/>
    <m/>
    <m/>
    <m/>
    <m/>
    <m/>
    <m/>
    <m/>
    <m/>
    <m/>
    <m/>
  </r>
  <r>
    <n v="5376"/>
    <n v="55900"/>
    <d v="2001-07-30T00:00:00"/>
    <n v="24"/>
    <x v="1"/>
    <x v="1"/>
    <d v="2024-07-06T00:00:00"/>
    <n v="1.9205479452054794"/>
    <x v="57"/>
    <x v="0"/>
    <x v="8"/>
    <x v="1"/>
    <n v="8.4700000000000006"/>
    <m/>
    <m/>
    <m/>
    <m/>
    <m/>
    <m/>
    <x v="2"/>
    <n v="1"/>
    <n v="6"/>
    <m/>
    <m/>
    <m/>
    <m/>
    <m/>
    <m/>
    <m/>
    <m/>
    <m/>
    <m/>
    <m/>
    <m/>
    <m/>
    <m/>
  </r>
  <r>
    <n v="5377"/>
    <n v="55901"/>
    <d v="2005-06-18T00:00:00"/>
    <n v="20"/>
    <x v="1"/>
    <x v="0"/>
    <d v="2024-01-30T00:00:00"/>
    <n v="1.7452054794520548"/>
    <x v="57"/>
    <x v="0"/>
    <x v="8"/>
    <x v="1"/>
    <n v="8.4700000000000006"/>
    <m/>
    <m/>
    <m/>
    <m/>
    <m/>
    <m/>
    <x v="2"/>
    <n v="3"/>
    <n v="6"/>
    <m/>
    <m/>
    <m/>
    <m/>
    <m/>
    <m/>
    <m/>
    <m/>
    <m/>
    <m/>
    <m/>
    <m/>
    <m/>
    <m/>
  </r>
  <r>
    <n v="5378"/>
    <n v="55902"/>
    <d v="2002-02-20T00:00:00"/>
    <n v="23"/>
    <x v="1"/>
    <x v="1"/>
    <d v="2024-04-03T00:00:00"/>
    <n v="1.2410958904109588"/>
    <x v="57"/>
    <x v="0"/>
    <x v="8"/>
    <x v="1"/>
    <n v="8.4700000000000006"/>
    <m/>
    <m/>
    <m/>
    <m/>
    <m/>
    <m/>
    <x v="1"/>
    <n v="4"/>
    <n v="7"/>
    <m/>
    <m/>
    <m/>
    <m/>
    <m/>
    <m/>
    <m/>
    <m/>
    <m/>
    <m/>
    <m/>
    <m/>
    <m/>
    <m/>
  </r>
  <r>
    <n v="5379"/>
    <n v="55903"/>
    <d v="2007-02-28T00:00:00"/>
    <n v="18"/>
    <x v="1"/>
    <x v="1"/>
    <d v="2024-10-04T00:00:00"/>
    <n v="1.8876712328767122"/>
    <x v="57"/>
    <x v="0"/>
    <x v="8"/>
    <x v="1"/>
    <n v="8.4700000000000006"/>
    <m/>
    <m/>
    <m/>
    <m/>
    <m/>
    <m/>
    <x v="2"/>
    <n v="0"/>
    <n v="4"/>
    <m/>
    <m/>
    <m/>
    <m/>
    <m/>
    <m/>
    <m/>
    <m/>
    <m/>
    <m/>
    <m/>
    <m/>
    <m/>
    <m/>
  </r>
  <r>
    <n v="5380"/>
    <n v="55904"/>
    <d v="2002-03-21T00:00:00"/>
    <n v="23"/>
    <x v="1"/>
    <x v="1"/>
    <d v="2024-02-11T00:00:00"/>
    <n v="1.5232876712328767"/>
    <x v="57"/>
    <x v="0"/>
    <x v="8"/>
    <x v="1"/>
    <n v="8.4700000000000006"/>
    <m/>
    <m/>
    <m/>
    <m/>
    <m/>
    <m/>
    <x v="3"/>
    <n v="1"/>
    <n v="7"/>
    <m/>
    <m/>
    <m/>
    <m/>
    <m/>
    <m/>
    <m/>
    <m/>
    <m/>
    <m/>
    <m/>
    <m/>
    <m/>
    <m/>
  </r>
  <r>
    <n v="5381"/>
    <n v="55905"/>
    <d v="1994-12-27T00:00:00"/>
    <n v="31"/>
    <x v="1"/>
    <x v="1"/>
    <d v="2024-06-23T00:00:00"/>
    <n v="1.1917808219178083"/>
    <x v="57"/>
    <x v="0"/>
    <x v="8"/>
    <x v="1"/>
    <n v="8.4700000000000006"/>
    <m/>
    <m/>
    <m/>
    <m/>
    <m/>
    <m/>
    <x v="4"/>
    <n v="2"/>
    <n v="7"/>
    <m/>
    <m/>
    <m/>
    <m/>
    <m/>
    <m/>
    <m/>
    <m/>
    <m/>
    <m/>
    <m/>
    <m/>
    <m/>
    <m/>
  </r>
  <r>
    <n v="5382"/>
    <n v="55906"/>
    <d v="2002-06-28T00:00:00"/>
    <n v="23"/>
    <x v="1"/>
    <x v="1"/>
    <d v="2024-10-22T00:00:00"/>
    <n v="1.7698630136986302"/>
    <x v="57"/>
    <x v="0"/>
    <x v="8"/>
    <x v="1"/>
    <n v="8.4700000000000006"/>
    <m/>
    <m/>
    <m/>
    <m/>
    <m/>
    <m/>
    <x v="4"/>
    <n v="2"/>
    <n v="6"/>
    <m/>
    <m/>
    <m/>
    <m/>
    <m/>
    <m/>
    <m/>
    <m/>
    <m/>
    <m/>
    <m/>
    <m/>
    <m/>
    <m/>
  </r>
  <r>
    <n v="5383"/>
    <n v="55907"/>
    <d v="2002-09-29T00:00:00"/>
    <n v="23"/>
    <x v="1"/>
    <x v="1"/>
    <d v="2024-03-25T00:00:00"/>
    <n v="1.3260273972602741"/>
    <x v="57"/>
    <x v="0"/>
    <x v="8"/>
    <x v="1"/>
    <n v="8.4700000000000006"/>
    <m/>
    <m/>
    <m/>
    <m/>
    <m/>
    <m/>
    <x v="2"/>
    <n v="3"/>
    <n v="7"/>
    <m/>
    <m/>
    <m/>
    <m/>
    <m/>
    <m/>
    <m/>
    <m/>
    <m/>
    <m/>
    <m/>
    <m/>
    <m/>
    <m/>
  </r>
  <r>
    <n v="5384"/>
    <n v="55908"/>
    <d v="2003-08-02T00:00:00"/>
    <n v="22"/>
    <x v="1"/>
    <x v="0"/>
    <d v="2024-09-03T00:00:00"/>
    <n v="1.4958904109589042"/>
    <x v="57"/>
    <x v="0"/>
    <x v="8"/>
    <x v="1"/>
    <n v="8.4700000000000006"/>
    <m/>
    <m/>
    <m/>
    <m/>
    <m/>
    <m/>
    <x v="4"/>
    <n v="2"/>
    <n v="5"/>
    <m/>
    <m/>
    <m/>
    <m/>
    <m/>
    <m/>
    <m/>
    <m/>
    <m/>
    <m/>
    <m/>
    <m/>
    <m/>
    <m/>
  </r>
  <r>
    <n v="5385"/>
    <n v="55909"/>
    <d v="2003-06-30T00:00:00"/>
    <n v="22"/>
    <x v="1"/>
    <x v="1"/>
    <d v="2024-07-03T00:00:00"/>
    <n v="1.473972602739726"/>
    <x v="57"/>
    <x v="0"/>
    <x v="8"/>
    <x v="1"/>
    <n v="8.4700000000000006"/>
    <m/>
    <m/>
    <m/>
    <m/>
    <m/>
    <m/>
    <x v="4"/>
    <n v="3"/>
    <n v="6"/>
    <m/>
    <m/>
    <m/>
    <m/>
    <m/>
    <m/>
    <m/>
    <m/>
    <m/>
    <m/>
    <m/>
    <m/>
    <m/>
    <m/>
  </r>
  <r>
    <n v="5386"/>
    <n v="55910"/>
    <d v="1996-12-28T00:00:00"/>
    <n v="29"/>
    <x v="1"/>
    <x v="0"/>
    <d v="2024-07-11T00:00:00"/>
    <n v="1.7506849315068493"/>
    <x v="57"/>
    <x v="0"/>
    <x v="8"/>
    <x v="1"/>
    <n v="8.4700000000000006"/>
    <m/>
    <m/>
    <m/>
    <m/>
    <m/>
    <m/>
    <x v="1"/>
    <n v="2"/>
    <n v="7"/>
    <m/>
    <m/>
    <m/>
    <m/>
    <m/>
    <m/>
    <m/>
    <m/>
    <m/>
    <m/>
    <m/>
    <m/>
    <m/>
    <m/>
  </r>
  <r>
    <n v="5387"/>
    <n v="55911"/>
    <d v="2000-08-20T00:00:00"/>
    <n v="25"/>
    <x v="1"/>
    <x v="1"/>
    <d v="2024-04-01T00:00:00"/>
    <n v="1.6684931506849314"/>
    <x v="141"/>
    <x v="0"/>
    <x v="11"/>
    <x v="1"/>
    <n v="17"/>
    <m/>
    <m/>
    <m/>
    <m/>
    <m/>
    <m/>
    <x v="4"/>
    <n v="3"/>
    <n v="7"/>
    <m/>
    <m/>
    <m/>
    <m/>
    <m/>
    <m/>
    <m/>
    <m/>
    <m/>
    <m/>
    <m/>
    <m/>
    <m/>
    <m/>
  </r>
  <r>
    <n v="5388"/>
    <n v="55912"/>
    <d v="2002-08-18T00:00:00"/>
    <n v="23"/>
    <x v="1"/>
    <x v="1"/>
    <d v="2024-05-01T00:00:00"/>
    <n v="1.5013698630136987"/>
    <x v="141"/>
    <x v="0"/>
    <x v="11"/>
    <x v="1"/>
    <n v="17"/>
    <m/>
    <m/>
    <m/>
    <m/>
    <m/>
    <m/>
    <x v="4"/>
    <n v="2"/>
    <n v="6"/>
    <m/>
    <m/>
    <m/>
    <m/>
    <m/>
    <m/>
    <m/>
    <m/>
    <m/>
    <m/>
    <m/>
    <m/>
    <m/>
    <m/>
  </r>
  <r>
    <n v="5389"/>
    <n v="55913"/>
    <d v="2002-05-07T00:00:00"/>
    <n v="23"/>
    <x v="0"/>
    <x v="0"/>
    <d v="2024-07-01T00:00:00"/>
    <n v="1.7452054794520548"/>
    <x v="141"/>
    <x v="0"/>
    <x v="11"/>
    <x v="1"/>
    <n v="17"/>
    <m/>
    <m/>
    <m/>
    <m/>
    <m/>
    <m/>
    <x v="4"/>
    <n v="2"/>
    <n v="4"/>
    <m/>
    <m/>
    <m/>
    <m/>
    <m/>
    <m/>
    <m/>
    <m/>
    <m/>
    <m/>
    <m/>
    <m/>
    <m/>
    <m/>
  </r>
  <r>
    <n v="5390"/>
    <n v="55914"/>
    <d v="2003-10-11T00:00:00"/>
    <n v="22"/>
    <x v="0"/>
    <x v="1"/>
    <d v="2024-04-03T00:00:00"/>
    <n v="1.6684931506849314"/>
    <x v="141"/>
    <x v="0"/>
    <x v="10"/>
    <x v="1"/>
    <n v="10.64"/>
    <m/>
    <m/>
    <m/>
    <m/>
    <m/>
    <m/>
    <x v="4"/>
    <n v="0"/>
    <n v="5"/>
    <m/>
    <m/>
    <m/>
    <m/>
    <m/>
    <m/>
    <m/>
    <m/>
    <m/>
    <m/>
    <m/>
    <m/>
    <m/>
    <m/>
  </r>
  <r>
    <n v="5391"/>
    <n v="55915"/>
    <d v="2002-08-15T00:00:00"/>
    <n v="23"/>
    <x v="0"/>
    <x v="1"/>
    <d v="2024-05-01T00:00:00"/>
    <n v="1.3863013698630138"/>
    <x v="141"/>
    <x v="0"/>
    <x v="10"/>
    <x v="1"/>
    <n v="10.64"/>
    <m/>
    <m/>
    <m/>
    <m/>
    <m/>
    <m/>
    <x v="2"/>
    <n v="0"/>
    <n v="3"/>
    <m/>
    <m/>
    <m/>
    <m/>
    <m/>
    <m/>
    <m/>
    <m/>
    <m/>
    <m/>
    <m/>
    <m/>
    <m/>
    <m/>
  </r>
  <r>
    <n v="5392"/>
    <n v="55916"/>
    <d v="2003-08-05T00:00:00"/>
    <n v="22"/>
    <x v="0"/>
    <x v="1"/>
    <d v="2024-08-12T00:00:00"/>
    <n v="1.7123287671232876"/>
    <x v="141"/>
    <x v="0"/>
    <x v="9"/>
    <x v="1"/>
    <n v="14.07"/>
    <m/>
    <m/>
    <m/>
    <m/>
    <m/>
    <m/>
    <x v="1"/>
    <n v="0"/>
    <n v="3"/>
    <m/>
    <m/>
    <m/>
    <m/>
    <m/>
    <m/>
    <m/>
    <m/>
    <m/>
    <m/>
    <m/>
    <m/>
    <m/>
    <m/>
  </r>
  <r>
    <n v="5393"/>
    <n v="55917"/>
    <d v="2006-02-11T00:00:00"/>
    <n v="19"/>
    <x v="1"/>
    <x v="1"/>
    <d v="2024-04-15T00:00:00"/>
    <n v="1.4164383561643836"/>
    <x v="141"/>
    <x v="0"/>
    <x v="3"/>
    <x v="1"/>
    <n v="8.4700000000000006"/>
    <m/>
    <m/>
    <m/>
    <m/>
    <m/>
    <m/>
    <x v="1"/>
    <n v="1"/>
    <n v="6"/>
    <m/>
    <m/>
    <m/>
    <m/>
    <m/>
    <m/>
    <m/>
    <m/>
    <m/>
    <m/>
    <m/>
    <m/>
    <m/>
    <m/>
  </r>
  <r>
    <n v="5394"/>
    <n v="55918"/>
    <d v="2007-12-02T00:00:00"/>
    <n v="18"/>
    <x v="1"/>
    <x v="0"/>
    <d v="2024-08-01T00:00:00"/>
    <n v="1.178082191780822"/>
    <x v="141"/>
    <x v="0"/>
    <x v="8"/>
    <x v="1"/>
    <n v="8.4700000000000006"/>
    <m/>
    <m/>
    <m/>
    <m/>
    <m/>
    <m/>
    <x v="3"/>
    <n v="1"/>
    <n v="5"/>
    <m/>
    <m/>
    <m/>
    <m/>
    <m/>
    <m/>
    <m/>
    <m/>
    <m/>
    <m/>
    <m/>
    <m/>
    <m/>
    <m/>
  </r>
  <r>
    <n v="5395"/>
    <n v="55919"/>
    <d v="2004-03-06T00:00:00"/>
    <n v="21"/>
    <x v="1"/>
    <x v="1"/>
    <d v="2024-10-27T00:00:00"/>
    <n v="1.6438356164383561"/>
    <x v="141"/>
    <x v="0"/>
    <x v="8"/>
    <x v="1"/>
    <n v="8.4700000000000006"/>
    <m/>
    <m/>
    <m/>
    <m/>
    <m/>
    <m/>
    <x v="3"/>
    <n v="3"/>
    <n v="6"/>
    <m/>
    <m/>
    <m/>
    <m/>
    <m/>
    <m/>
    <m/>
    <m/>
    <m/>
    <m/>
    <m/>
    <m/>
    <m/>
    <m/>
  </r>
  <r>
    <n v="5396"/>
    <n v="55920"/>
    <d v="2007-10-31T00:00:00"/>
    <n v="18"/>
    <x v="1"/>
    <x v="1"/>
    <d v="2024-05-10T00:00:00"/>
    <n v="1.7013698630136986"/>
    <x v="141"/>
    <x v="0"/>
    <x v="8"/>
    <x v="1"/>
    <n v="8.4700000000000006"/>
    <m/>
    <m/>
    <m/>
    <m/>
    <m/>
    <m/>
    <x v="2"/>
    <n v="2"/>
    <n v="6"/>
    <m/>
    <m/>
    <m/>
    <m/>
    <m/>
    <m/>
    <m/>
    <m/>
    <m/>
    <m/>
    <m/>
    <m/>
    <m/>
    <m/>
  </r>
  <r>
    <n v="5397"/>
    <n v="55921"/>
    <d v="2007-05-07T00:00:00"/>
    <n v="18"/>
    <x v="1"/>
    <x v="1"/>
    <d v="2024-04-19T00:00:00"/>
    <n v="1.2575342465753425"/>
    <x v="141"/>
    <x v="0"/>
    <x v="8"/>
    <x v="1"/>
    <n v="8.4700000000000006"/>
    <m/>
    <m/>
    <m/>
    <m/>
    <m/>
    <m/>
    <x v="2"/>
    <n v="2"/>
    <n v="7"/>
    <m/>
    <m/>
    <m/>
    <m/>
    <m/>
    <m/>
    <m/>
    <m/>
    <m/>
    <m/>
    <m/>
    <m/>
    <m/>
    <m/>
  </r>
  <r>
    <n v="5398"/>
    <n v="55922"/>
    <d v="2006-12-25T00:00:00"/>
    <n v="19"/>
    <x v="1"/>
    <x v="1"/>
    <d v="2024-09-28T00:00:00"/>
    <n v="1.2082191780821918"/>
    <x v="141"/>
    <x v="0"/>
    <x v="8"/>
    <x v="1"/>
    <n v="8.4700000000000006"/>
    <m/>
    <m/>
    <m/>
    <m/>
    <m/>
    <m/>
    <x v="4"/>
    <n v="1"/>
    <n v="5"/>
    <m/>
    <m/>
    <m/>
    <m/>
    <m/>
    <m/>
    <m/>
    <m/>
    <m/>
    <m/>
    <m/>
    <m/>
    <m/>
    <m/>
  </r>
  <r>
    <n v="5399"/>
    <n v="55923"/>
    <d v="1998-12-04T00:00:00"/>
    <n v="27"/>
    <x v="1"/>
    <x v="1"/>
    <d v="2024-10-16T00:00:00"/>
    <n v="1.1123287671232878"/>
    <x v="141"/>
    <x v="0"/>
    <x v="8"/>
    <x v="1"/>
    <n v="8.4700000000000006"/>
    <m/>
    <m/>
    <m/>
    <m/>
    <m/>
    <m/>
    <x v="4"/>
    <n v="0"/>
    <n v="6"/>
    <m/>
    <m/>
    <m/>
    <m/>
    <m/>
    <m/>
    <m/>
    <m/>
    <m/>
    <m/>
    <m/>
    <m/>
    <m/>
    <m/>
  </r>
  <r>
    <n v="5400"/>
    <n v="55924"/>
    <d v="2006-06-04T00:00:00"/>
    <n v="19"/>
    <x v="1"/>
    <x v="1"/>
    <d v="2024-11-20T00:00:00"/>
    <n v="1.5561643835616439"/>
    <x v="141"/>
    <x v="0"/>
    <x v="8"/>
    <x v="1"/>
    <n v="8.4700000000000006"/>
    <m/>
    <m/>
    <m/>
    <m/>
    <m/>
    <m/>
    <x v="3"/>
    <n v="2"/>
    <n v="5"/>
    <m/>
    <m/>
    <m/>
    <m/>
    <m/>
    <m/>
    <m/>
    <m/>
    <m/>
    <m/>
    <m/>
    <m/>
    <m/>
    <m/>
  </r>
  <r>
    <n v="5401"/>
    <n v="55925"/>
    <d v="2003-04-24T00:00:00"/>
    <n v="22"/>
    <x v="1"/>
    <x v="0"/>
    <d v="2024-06-11T00:00:00"/>
    <n v="1.3945205479452054"/>
    <x v="141"/>
    <x v="0"/>
    <x v="8"/>
    <x v="1"/>
    <n v="8.4700000000000006"/>
    <m/>
    <m/>
    <m/>
    <m/>
    <m/>
    <m/>
    <x v="1"/>
    <n v="3"/>
    <n v="7"/>
    <m/>
    <m/>
    <m/>
    <m/>
    <m/>
    <m/>
    <m/>
    <m/>
    <m/>
    <m/>
    <m/>
    <m/>
    <m/>
    <m/>
  </r>
  <r>
    <n v="5402"/>
    <n v="55926"/>
    <d v="2003-11-04T00:00:00"/>
    <n v="22"/>
    <x v="1"/>
    <x v="1"/>
    <d v="2024-08-09T00:00:00"/>
    <n v="1.4931506849315068"/>
    <x v="141"/>
    <x v="0"/>
    <x v="8"/>
    <x v="1"/>
    <n v="8.4700000000000006"/>
    <m/>
    <m/>
    <m/>
    <m/>
    <m/>
    <m/>
    <x v="4"/>
    <n v="0"/>
    <n v="6"/>
    <m/>
    <m/>
    <m/>
    <m/>
    <m/>
    <m/>
    <m/>
    <m/>
    <m/>
    <m/>
    <m/>
    <m/>
    <m/>
    <m/>
  </r>
  <r>
    <n v="5403"/>
    <n v="55927"/>
    <d v="2006-08-29T00:00:00"/>
    <n v="19"/>
    <x v="1"/>
    <x v="0"/>
    <d v="2024-07-04T00:00:00"/>
    <n v="1.3753424657534246"/>
    <x v="141"/>
    <x v="0"/>
    <x v="8"/>
    <x v="1"/>
    <n v="8.4700000000000006"/>
    <m/>
    <m/>
    <m/>
    <m/>
    <m/>
    <m/>
    <x v="1"/>
    <n v="2"/>
    <n v="5"/>
    <m/>
    <m/>
    <m/>
    <m/>
    <m/>
    <m/>
    <m/>
    <m/>
    <m/>
    <m/>
    <m/>
    <m/>
    <m/>
    <m/>
  </r>
  <r>
    <n v="5404"/>
    <n v="55928"/>
    <d v="2000-10-14T00:00:00"/>
    <n v="25"/>
    <x v="1"/>
    <x v="1"/>
    <d v="2024-08-16T00:00:00"/>
    <n v="1.3178082191780822"/>
    <x v="141"/>
    <x v="0"/>
    <x v="8"/>
    <x v="1"/>
    <n v="8.4700000000000006"/>
    <m/>
    <m/>
    <m/>
    <m/>
    <m/>
    <m/>
    <x v="2"/>
    <n v="4"/>
    <n v="6"/>
    <m/>
    <m/>
    <m/>
    <m/>
    <m/>
    <m/>
    <m/>
    <m/>
    <m/>
    <m/>
    <m/>
    <m/>
    <m/>
    <m/>
  </r>
  <r>
    <n v="5405"/>
    <n v="55929"/>
    <d v="2003-03-08T00:00:00"/>
    <n v="22"/>
    <x v="1"/>
    <x v="1"/>
    <d v="2024-09-06T00:00:00"/>
    <n v="1.0630136986301371"/>
    <x v="141"/>
    <x v="0"/>
    <x v="8"/>
    <x v="1"/>
    <n v="8.4700000000000006"/>
    <m/>
    <m/>
    <m/>
    <m/>
    <m/>
    <m/>
    <x v="4"/>
    <n v="1"/>
    <n v="5"/>
    <m/>
    <m/>
    <m/>
    <m/>
    <m/>
    <m/>
    <m/>
    <m/>
    <m/>
    <m/>
    <m/>
    <m/>
    <m/>
    <m/>
  </r>
  <r>
    <n v="5406"/>
    <n v="55930"/>
    <d v="1998-08-09T00:00:00"/>
    <n v="27"/>
    <x v="1"/>
    <x v="0"/>
    <d v="2024-12-08T00:00:00"/>
    <n v="1.2054794520547945"/>
    <x v="141"/>
    <x v="0"/>
    <x v="8"/>
    <x v="1"/>
    <n v="8.4700000000000006"/>
    <m/>
    <m/>
    <m/>
    <m/>
    <m/>
    <m/>
    <x v="1"/>
    <n v="2"/>
    <n v="7"/>
    <m/>
    <m/>
    <m/>
    <m/>
    <m/>
    <m/>
    <m/>
    <m/>
    <m/>
    <m/>
    <m/>
    <m/>
    <m/>
    <m/>
  </r>
  <r>
    <n v="5407"/>
    <n v="55931"/>
    <d v="2000-12-28T00:00:00"/>
    <n v="25"/>
    <x v="1"/>
    <x v="0"/>
    <d v="2024-10-17T00:00:00"/>
    <n v="1.5561643835616439"/>
    <x v="141"/>
    <x v="0"/>
    <x v="8"/>
    <x v="1"/>
    <n v="8.4700000000000006"/>
    <m/>
    <m/>
    <m/>
    <m/>
    <m/>
    <m/>
    <x v="2"/>
    <n v="1"/>
    <n v="5"/>
    <m/>
    <m/>
    <m/>
    <m/>
    <m/>
    <m/>
    <m/>
    <m/>
    <m/>
    <m/>
    <m/>
    <m/>
    <m/>
    <m/>
  </r>
  <r>
    <n v="5408"/>
    <n v="55932"/>
    <d v="2003-06-13T00:00:00"/>
    <n v="22"/>
    <x v="1"/>
    <x v="0"/>
    <d v="2024-06-11T00:00:00"/>
    <n v="1.1287671232876713"/>
    <x v="141"/>
    <x v="0"/>
    <x v="8"/>
    <x v="1"/>
    <n v="8.4700000000000006"/>
    <m/>
    <m/>
    <m/>
    <m/>
    <m/>
    <m/>
    <x v="2"/>
    <n v="1"/>
    <n v="6"/>
    <m/>
    <m/>
    <m/>
    <m/>
    <m/>
    <m/>
    <m/>
    <m/>
    <m/>
    <m/>
    <m/>
    <m/>
    <m/>
    <m/>
  </r>
  <r>
    <n v="5409"/>
    <n v="55933"/>
    <d v="2007-05-26T00:00:00"/>
    <n v="18"/>
    <x v="0"/>
    <x v="1"/>
    <d v="2024-11-14T00:00:00"/>
    <n v="1.4575342465753425"/>
    <x v="141"/>
    <x v="0"/>
    <x v="8"/>
    <x v="1"/>
    <n v="8.4700000000000006"/>
    <m/>
    <m/>
    <m/>
    <m/>
    <m/>
    <m/>
    <x v="4"/>
    <n v="4"/>
    <n v="5"/>
    <m/>
    <m/>
    <m/>
    <m/>
    <m/>
    <m/>
    <m/>
    <m/>
    <m/>
    <m/>
    <m/>
    <m/>
    <m/>
    <m/>
  </r>
  <r>
    <n v="5410"/>
    <n v="55934"/>
    <d v="2002-12-01T00:00:00"/>
    <n v="24"/>
    <x v="1"/>
    <x v="0"/>
    <d v="2024-07-17T00:00:00"/>
    <n v="1.3863013698630138"/>
    <x v="141"/>
    <x v="0"/>
    <x v="8"/>
    <x v="1"/>
    <n v="8.4700000000000006"/>
    <m/>
    <m/>
    <m/>
    <m/>
    <m/>
    <m/>
    <x v="1"/>
    <n v="2"/>
    <n v="6"/>
    <m/>
    <m/>
    <m/>
    <m/>
    <m/>
    <m/>
    <m/>
    <m/>
    <m/>
    <m/>
    <m/>
    <m/>
    <m/>
    <m/>
  </r>
  <r>
    <n v="5411"/>
    <n v="55936"/>
    <d v="2003-01-13T00:00:00"/>
    <n v="22"/>
    <x v="1"/>
    <x v="1"/>
    <d v="2024-08-12T00:00:00"/>
    <n v="1.5808219178082192"/>
    <x v="141"/>
    <x v="0"/>
    <x v="8"/>
    <x v="1"/>
    <n v="8.4700000000000006"/>
    <m/>
    <m/>
    <m/>
    <m/>
    <m/>
    <m/>
    <x v="4"/>
    <n v="1"/>
    <n v="5"/>
    <m/>
    <m/>
    <m/>
    <m/>
    <m/>
    <m/>
    <m/>
    <m/>
    <m/>
    <m/>
    <m/>
    <m/>
    <m/>
    <m/>
  </r>
  <r>
    <n v="5412"/>
    <n v="55937"/>
    <d v="2002-12-01T00:00:00"/>
    <n v="24"/>
    <x v="1"/>
    <x v="1"/>
    <d v="2024-06-02T00:00:00"/>
    <n v="1.7753424657534247"/>
    <x v="55"/>
    <x v="0"/>
    <x v="10"/>
    <x v="1"/>
    <n v="10.64"/>
    <m/>
    <m/>
    <m/>
    <m/>
    <m/>
    <m/>
    <x v="3"/>
    <n v="0"/>
    <n v="7"/>
    <m/>
    <m/>
    <m/>
    <m/>
    <m/>
    <m/>
    <m/>
    <m/>
    <m/>
    <m/>
    <m/>
    <m/>
    <m/>
    <m/>
  </r>
  <r>
    <n v="5413"/>
    <n v="55938"/>
    <d v="2004-06-12T00:00:00"/>
    <n v="21"/>
    <x v="1"/>
    <x v="0"/>
    <d v="2024-03-23T00:00:00"/>
    <n v="1.0438356164383562"/>
    <x v="55"/>
    <x v="0"/>
    <x v="8"/>
    <x v="1"/>
    <n v="8.4700000000000006"/>
    <m/>
    <m/>
    <m/>
    <m/>
    <m/>
    <m/>
    <x v="4"/>
    <n v="1"/>
    <n v="6"/>
    <m/>
    <m/>
    <m/>
    <m/>
    <m/>
    <m/>
    <m/>
    <m/>
    <m/>
    <m/>
    <m/>
    <m/>
    <m/>
    <m/>
  </r>
  <r>
    <n v="5414"/>
    <n v="55939"/>
    <d v="2005-07-24T00:00:00"/>
    <n v="20"/>
    <x v="0"/>
    <x v="1"/>
    <d v="2024-12-15T00:00:00"/>
    <n v="1.3041095890410959"/>
    <x v="55"/>
    <x v="0"/>
    <x v="8"/>
    <x v="1"/>
    <n v="8.4700000000000006"/>
    <m/>
    <m/>
    <m/>
    <m/>
    <m/>
    <m/>
    <x v="2"/>
    <n v="2"/>
    <n v="5"/>
    <m/>
    <m/>
    <m/>
    <m/>
    <m/>
    <m/>
    <m/>
    <m/>
    <m/>
    <m/>
    <m/>
    <m/>
    <m/>
    <m/>
  </r>
  <r>
    <n v="5415"/>
    <n v="55940"/>
    <d v="2003-02-20T00:00:00"/>
    <n v="22"/>
    <x v="1"/>
    <x v="0"/>
    <d v="2024-09-11T00:00:00"/>
    <n v="1.2027397260273973"/>
    <x v="55"/>
    <x v="0"/>
    <x v="8"/>
    <x v="1"/>
    <n v="8.4700000000000006"/>
    <m/>
    <m/>
    <m/>
    <m/>
    <m/>
    <m/>
    <x v="1"/>
    <n v="1"/>
    <n v="6"/>
    <m/>
    <m/>
    <m/>
    <m/>
    <m/>
    <m/>
    <m/>
    <m/>
    <m/>
    <m/>
    <m/>
    <m/>
    <m/>
    <m/>
  </r>
  <r>
    <n v="5416"/>
    <n v="55941"/>
    <d v="2001-05-27T00:00:00"/>
    <n v="24"/>
    <x v="1"/>
    <x v="1"/>
    <d v="2024-10-18T00:00:00"/>
    <n v="1.7726027397260273"/>
    <x v="55"/>
    <x v="0"/>
    <x v="8"/>
    <x v="1"/>
    <n v="8.4700000000000006"/>
    <m/>
    <m/>
    <m/>
    <m/>
    <m/>
    <m/>
    <x v="4"/>
    <n v="1"/>
    <n v="7"/>
    <m/>
    <m/>
    <m/>
    <m/>
    <m/>
    <m/>
    <m/>
    <m/>
    <m/>
    <m/>
    <m/>
    <m/>
    <m/>
    <m/>
  </r>
  <r>
    <n v="5417"/>
    <n v="55942"/>
    <d v="2005-12-19T00:00:00"/>
    <n v="20"/>
    <x v="1"/>
    <x v="1"/>
    <d v="2024-03-24T00:00:00"/>
    <n v="1.8136986301369864"/>
    <x v="55"/>
    <x v="0"/>
    <x v="8"/>
    <x v="1"/>
    <n v="8.4700000000000006"/>
    <m/>
    <m/>
    <m/>
    <m/>
    <m/>
    <m/>
    <x v="1"/>
    <n v="2"/>
    <n v="6"/>
    <m/>
    <m/>
    <m/>
    <m/>
    <m/>
    <m/>
    <m/>
    <m/>
    <m/>
    <m/>
    <m/>
    <m/>
    <m/>
    <m/>
  </r>
  <r>
    <n v="5418"/>
    <n v="55943"/>
    <d v="2003-04-27T00:00:00"/>
    <n v="22"/>
    <x v="1"/>
    <x v="1"/>
    <d v="2024-03-09T00:00:00"/>
    <n v="1.4876712328767123"/>
    <x v="55"/>
    <x v="0"/>
    <x v="8"/>
    <x v="1"/>
    <n v="8.4700000000000006"/>
    <m/>
    <m/>
    <m/>
    <m/>
    <m/>
    <m/>
    <x v="4"/>
    <n v="1"/>
    <n v="6"/>
    <m/>
    <m/>
    <m/>
    <m/>
    <m/>
    <m/>
    <m/>
    <m/>
    <m/>
    <m/>
    <m/>
    <m/>
    <m/>
    <m/>
  </r>
  <r>
    <n v="5419"/>
    <n v="55944"/>
    <d v="2004-03-06T00:00:00"/>
    <n v="21"/>
    <x v="1"/>
    <x v="0"/>
    <d v="2024-07-06T00:00:00"/>
    <n v="1.5726027397260274"/>
    <x v="55"/>
    <x v="0"/>
    <x v="8"/>
    <x v="1"/>
    <n v="8.4700000000000006"/>
    <m/>
    <m/>
    <m/>
    <m/>
    <m/>
    <m/>
    <x v="4"/>
    <n v="4"/>
    <n v="5"/>
    <m/>
    <m/>
    <m/>
    <m/>
    <m/>
    <m/>
    <m/>
    <m/>
    <m/>
    <m/>
    <m/>
    <m/>
    <m/>
    <m/>
  </r>
  <r>
    <n v="5420"/>
    <n v="55945"/>
    <d v="2006-08-31T00:00:00"/>
    <n v="19"/>
    <x v="0"/>
    <x v="1"/>
    <d v="2024-06-05T00:00:00"/>
    <n v="1.2136986301369863"/>
    <x v="55"/>
    <x v="0"/>
    <x v="8"/>
    <x v="1"/>
    <n v="8.4700000000000006"/>
    <m/>
    <m/>
    <m/>
    <m/>
    <m/>
    <m/>
    <x v="4"/>
    <n v="3"/>
    <n v="5"/>
    <m/>
    <m/>
    <m/>
    <m/>
    <m/>
    <m/>
    <m/>
    <m/>
    <m/>
    <m/>
    <m/>
    <m/>
    <m/>
    <m/>
  </r>
  <r>
    <n v="5421"/>
    <n v="55946"/>
    <d v="2003-02-20T00:00:00"/>
    <n v="22"/>
    <x v="1"/>
    <x v="1"/>
    <d v="2024-10-14T00:00:00"/>
    <n v="1.3150684931506849"/>
    <x v="55"/>
    <x v="0"/>
    <x v="8"/>
    <x v="1"/>
    <n v="8.4700000000000006"/>
    <m/>
    <m/>
    <m/>
    <m/>
    <m/>
    <m/>
    <x v="4"/>
    <n v="1"/>
    <n v="5"/>
    <m/>
    <m/>
    <m/>
    <m/>
    <m/>
    <m/>
    <m/>
    <m/>
    <m/>
    <m/>
    <m/>
    <m/>
    <m/>
    <m/>
  </r>
  <r>
    <n v="5422"/>
    <n v="55947"/>
    <d v="2007-09-14T00:00:00"/>
    <n v="18"/>
    <x v="1"/>
    <x v="0"/>
    <d v="2024-09-07T00:00:00"/>
    <n v="1.821917808219178"/>
    <x v="55"/>
    <x v="0"/>
    <x v="8"/>
    <x v="1"/>
    <n v="8.4700000000000006"/>
    <m/>
    <m/>
    <m/>
    <m/>
    <m/>
    <m/>
    <x v="1"/>
    <n v="4"/>
    <n v="6"/>
    <m/>
    <m/>
    <m/>
    <m/>
    <m/>
    <m/>
    <m/>
    <m/>
    <m/>
    <m/>
    <m/>
    <m/>
    <m/>
    <m/>
  </r>
  <r>
    <n v="5423"/>
    <n v="55948"/>
    <d v="2005-08-04T00:00:00"/>
    <n v="20"/>
    <x v="1"/>
    <x v="0"/>
    <d v="2024-03-06T00:00:00"/>
    <n v="1.2356164383561643"/>
    <x v="55"/>
    <x v="0"/>
    <x v="8"/>
    <x v="1"/>
    <n v="8.4700000000000006"/>
    <m/>
    <m/>
    <m/>
    <m/>
    <m/>
    <m/>
    <x v="1"/>
    <n v="2"/>
    <n v="5"/>
    <m/>
    <m/>
    <m/>
    <m/>
    <m/>
    <m/>
    <m/>
    <m/>
    <m/>
    <m/>
    <m/>
    <m/>
    <m/>
    <m/>
  </r>
  <r>
    <n v="5424"/>
    <n v="55949"/>
    <d v="1998-02-14T00:00:00"/>
    <n v="27"/>
    <x v="0"/>
    <x v="1"/>
    <d v="2024-10-06T00:00:00"/>
    <n v="1.2712328767123289"/>
    <x v="55"/>
    <x v="0"/>
    <x v="8"/>
    <x v="1"/>
    <n v="8.4700000000000006"/>
    <m/>
    <m/>
    <m/>
    <m/>
    <m/>
    <m/>
    <x v="4"/>
    <n v="1"/>
    <n v="5"/>
    <m/>
    <m/>
    <m/>
    <m/>
    <m/>
    <m/>
    <m/>
    <m/>
    <m/>
    <m/>
    <m/>
    <m/>
    <m/>
    <m/>
  </r>
  <r>
    <n v="5425"/>
    <n v="55950"/>
    <d v="2006-10-07T00:00:00"/>
    <n v="19"/>
    <x v="1"/>
    <x v="1"/>
    <d v="2024-09-23T00:00:00"/>
    <n v="1.0904109589041096"/>
    <x v="55"/>
    <x v="0"/>
    <x v="8"/>
    <x v="1"/>
    <n v="8.4700000000000006"/>
    <m/>
    <m/>
    <m/>
    <m/>
    <m/>
    <m/>
    <x v="1"/>
    <n v="3"/>
    <n v="6"/>
    <m/>
    <m/>
    <m/>
    <m/>
    <m/>
    <m/>
    <m/>
    <m/>
    <m/>
    <m/>
    <m/>
    <m/>
    <m/>
    <m/>
  </r>
  <r>
    <n v="5426"/>
    <n v="55951"/>
    <d v="1998-03-14T00:00:00"/>
    <n v="27"/>
    <x v="0"/>
    <x v="1"/>
    <d v="2024-11-28T00:00:00"/>
    <n v="1.3123287671232877"/>
    <x v="55"/>
    <x v="0"/>
    <x v="8"/>
    <x v="1"/>
    <n v="8.4700000000000006"/>
    <m/>
    <m/>
    <m/>
    <m/>
    <m/>
    <m/>
    <x v="4"/>
    <n v="2"/>
    <n v="4"/>
    <m/>
    <m/>
    <m/>
    <m/>
    <m/>
    <m/>
    <m/>
    <m/>
    <m/>
    <m/>
    <m/>
    <m/>
    <m/>
    <m/>
  </r>
  <r>
    <n v="5427"/>
    <n v="55953"/>
    <d v="2007-12-25T00:00:00"/>
    <n v="18"/>
    <x v="1"/>
    <x v="1"/>
    <d v="2024-09-08T00:00:00"/>
    <n v="1.3452054794520547"/>
    <x v="55"/>
    <x v="0"/>
    <x v="8"/>
    <x v="1"/>
    <n v="8.4700000000000006"/>
    <m/>
    <m/>
    <m/>
    <m/>
    <m/>
    <m/>
    <x v="4"/>
    <n v="4"/>
    <n v="7"/>
    <m/>
    <m/>
    <m/>
    <m/>
    <m/>
    <m/>
    <m/>
    <m/>
    <m/>
    <m/>
    <m/>
    <m/>
    <m/>
    <m/>
  </r>
  <r>
    <n v="5428"/>
    <n v="55954"/>
    <d v="2000-07-12T00:00:00"/>
    <n v="25"/>
    <x v="1"/>
    <x v="0"/>
    <d v="2024-08-27T00:00:00"/>
    <n v="1.7068493150684931"/>
    <x v="144"/>
    <x v="0"/>
    <x v="11"/>
    <x v="1"/>
    <n v="17"/>
    <m/>
    <m/>
    <m/>
    <m/>
    <m/>
    <m/>
    <x v="1"/>
    <n v="2"/>
    <n v="6"/>
    <m/>
    <m/>
    <m/>
    <m/>
    <m/>
    <m/>
    <m/>
    <m/>
    <m/>
    <m/>
    <m/>
    <m/>
    <m/>
    <m/>
  </r>
  <r>
    <n v="5429"/>
    <n v="55955"/>
    <d v="2002-05-14T00:00:00"/>
    <n v="23"/>
    <x v="1"/>
    <x v="0"/>
    <d v="2024-04-17T00:00:00"/>
    <n v="1.0767123287671232"/>
    <x v="144"/>
    <x v="0"/>
    <x v="11"/>
    <x v="1"/>
    <n v="17"/>
    <m/>
    <m/>
    <m/>
    <m/>
    <m/>
    <m/>
    <x v="2"/>
    <n v="4"/>
    <n v="6"/>
    <m/>
    <m/>
    <m/>
    <m/>
    <m/>
    <m/>
    <m/>
    <m/>
    <m/>
    <m/>
    <m/>
    <m/>
    <m/>
    <m/>
  </r>
  <r>
    <n v="5430"/>
    <n v="55956"/>
    <d v="2000-12-14T00:00:00"/>
    <n v="25"/>
    <x v="0"/>
    <x v="0"/>
    <d v="2024-12-03T00:00:00"/>
    <n v="1.2602739726027397"/>
    <x v="144"/>
    <x v="0"/>
    <x v="1"/>
    <x v="1"/>
    <n v="16.37"/>
    <m/>
    <m/>
    <m/>
    <m/>
    <m/>
    <m/>
    <x v="4"/>
    <n v="0"/>
    <n v="4"/>
    <m/>
    <m/>
    <m/>
    <m/>
    <m/>
    <m/>
    <m/>
    <m/>
    <m/>
    <m/>
    <m/>
    <m/>
    <m/>
    <m/>
  </r>
  <r>
    <n v="5431"/>
    <n v="55957"/>
    <d v="2005-04-15T00:00:00"/>
    <n v="20"/>
    <x v="0"/>
    <x v="1"/>
    <d v="2024-09-27T00:00:00"/>
    <n v="1.0767123287671232"/>
    <x v="144"/>
    <x v="0"/>
    <x v="2"/>
    <x v="1"/>
    <n v="14.23"/>
    <m/>
    <m/>
    <m/>
    <m/>
    <m/>
    <m/>
    <x v="1"/>
    <n v="1"/>
    <n v="4"/>
    <m/>
    <m/>
    <m/>
    <m/>
    <m/>
    <m/>
    <m/>
    <m/>
    <m/>
    <m/>
    <m/>
    <m/>
    <m/>
    <m/>
  </r>
  <r>
    <n v="5432"/>
    <n v="55958"/>
    <d v="2003-04-03T00:00:00"/>
    <n v="22"/>
    <x v="1"/>
    <x v="1"/>
    <d v="2024-12-03T00:00:00"/>
    <n v="1.5972602739726027"/>
    <x v="144"/>
    <x v="0"/>
    <x v="9"/>
    <x v="1"/>
    <n v="14.07"/>
    <m/>
    <m/>
    <m/>
    <m/>
    <m/>
    <m/>
    <x v="3"/>
    <n v="0"/>
    <n v="6"/>
    <m/>
    <m/>
    <m/>
    <m/>
    <m/>
    <m/>
    <m/>
    <m/>
    <m/>
    <m/>
    <m/>
    <m/>
    <m/>
    <m/>
  </r>
  <r>
    <n v="5433"/>
    <n v="55959"/>
    <d v="2004-11-20T00:00:00"/>
    <n v="21"/>
    <x v="1"/>
    <x v="1"/>
    <d v="2024-05-27T00:00:00"/>
    <n v="1.5863013698630137"/>
    <x v="144"/>
    <x v="0"/>
    <x v="9"/>
    <x v="1"/>
    <n v="14.07"/>
    <m/>
    <m/>
    <m/>
    <m/>
    <m/>
    <m/>
    <x v="4"/>
    <n v="0"/>
    <n v="5"/>
    <m/>
    <m/>
    <m/>
    <m/>
    <m/>
    <m/>
    <m/>
    <m/>
    <m/>
    <m/>
    <m/>
    <m/>
    <m/>
    <m/>
  </r>
  <r>
    <n v="5434"/>
    <n v="55960"/>
    <d v="1999-07-20T00:00:00"/>
    <n v="26"/>
    <x v="0"/>
    <x v="1"/>
    <d v="2024-05-31T00:00:00"/>
    <n v="1.4136986301369863"/>
    <x v="144"/>
    <x v="0"/>
    <x v="7"/>
    <x v="1"/>
    <n v="17.59"/>
    <m/>
    <m/>
    <m/>
    <m/>
    <m/>
    <m/>
    <x v="1"/>
    <n v="2"/>
    <n v="5"/>
    <m/>
    <m/>
    <m/>
    <m/>
    <m/>
    <m/>
    <m/>
    <m/>
    <m/>
    <m/>
    <m/>
    <m/>
    <m/>
    <m/>
  </r>
  <r>
    <n v="5435"/>
    <n v="55961"/>
    <d v="2007-02-02T00:00:00"/>
    <n v="18"/>
    <x v="0"/>
    <x v="0"/>
    <d v="2024-08-02T00:00:00"/>
    <n v="1.6684931506849314"/>
    <x v="144"/>
    <x v="0"/>
    <x v="8"/>
    <x v="1"/>
    <n v="8.4700000000000006"/>
    <m/>
    <m/>
    <m/>
    <m/>
    <m/>
    <m/>
    <x v="2"/>
    <n v="4"/>
    <n v="5"/>
    <m/>
    <m/>
    <m/>
    <m/>
    <m/>
    <m/>
    <m/>
    <m/>
    <m/>
    <m/>
    <m/>
    <m/>
    <m/>
    <m/>
  </r>
  <r>
    <n v="5436"/>
    <n v="55962"/>
    <d v="1998-12-13T00:00:00"/>
    <n v="27"/>
    <x v="1"/>
    <x v="1"/>
    <d v="2024-05-01T00:00:00"/>
    <n v="1.0547945205479452"/>
    <x v="144"/>
    <x v="0"/>
    <x v="8"/>
    <x v="1"/>
    <n v="8.4700000000000006"/>
    <m/>
    <m/>
    <m/>
    <m/>
    <m/>
    <m/>
    <x v="4"/>
    <n v="2"/>
    <n v="4"/>
    <m/>
    <m/>
    <m/>
    <m/>
    <m/>
    <m/>
    <m/>
    <m/>
    <m/>
    <m/>
    <m/>
    <m/>
    <m/>
    <m/>
  </r>
  <r>
    <n v="5437"/>
    <n v="55964"/>
    <d v="1997-03-24T00:00:00"/>
    <n v="28"/>
    <x v="0"/>
    <x v="0"/>
    <d v="2024-12-11T00:00:00"/>
    <n v="1.3726027397260274"/>
    <x v="144"/>
    <x v="0"/>
    <x v="8"/>
    <x v="1"/>
    <n v="8.4700000000000006"/>
    <m/>
    <m/>
    <m/>
    <m/>
    <m/>
    <m/>
    <x v="2"/>
    <n v="3"/>
    <n v="5"/>
    <m/>
    <m/>
    <m/>
    <m/>
    <m/>
    <m/>
    <m/>
    <m/>
    <m/>
    <m/>
    <m/>
    <m/>
    <m/>
    <m/>
  </r>
  <r>
    <n v="5438"/>
    <n v="55965"/>
    <d v="2004-12-08T00:00:00"/>
    <n v="21"/>
    <x v="0"/>
    <x v="1"/>
    <d v="2024-08-17T00:00:00"/>
    <n v="1.3972602739726028"/>
    <x v="144"/>
    <x v="0"/>
    <x v="8"/>
    <x v="1"/>
    <n v="8.4700000000000006"/>
    <m/>
    <m/>
    <m/>
    <m/>
    <m/>
    <m/>
    <x v="4"/>
    <n v="4"/>
    <n v="4"/>
    <m/>
    <m/>
    <m/>
    <m/>
    <m/>
    <m/>
    <m/>
    <m/>
    <m/>
    <m/>
    <m/>
    <m/>
    <m/>
    <m/>
  </r>
  <r>
    <n v="5439"/>
    <n v="55966"/>
    <d v="1999-05-24T00:00:00"/>
    <n v="26"/>
    <x v="1"/>
    <x v="0"/>
    <d v="2024-08-08T00:00:00"/>
    <n v="1.1150684931506849"/>
    <x v="144"/>
    <x v="0"/>
    <x v="8"/>
    <x v="1"/>
    <n v="8.4700000000000006"/>
    <m/>
    <m/>
    <m/>
    <m/>
    <m/>
    <m/>
    <x v="4"/>
    <n v="1"/>
    <n v="5"/>
    <m/>
    <m/>
    <m/>
    <m/>
    <m/>
    <m/>
    <m/>
    <m/>
    <m/>
    <m/>
    <m/>
    <m/>
    <m/>
    <m/>
  </r>
  <r>
    <n v="5440"/>
    <n v="55967"/>
    <d v="2005-10-04T00:00:00"/>
    <n v="20"/>
    <x v="1"/>
    <x v="0"/>
    <d v="2024-11-19T00:00:00"/>
    <n v="1.4136986301369863"/>
    <x v="144"/>
    <x v="0"/>
    <x v="8"/>
    <x v="1"/>
    <n v="8.4700000000000006"/>
    <m/>
    <m/>
    <m/>
    <m/>
    <m/>
    <m/>
    <x v="3"/>
    <n v="1"/>
    <n v="7"/>
    <m/>
    <m/>
    <m/>
    <m/>
    <m/>
    <m/>
    <m/>
    <m/>
    <m/>
    <m/>
    <m/>
    <m/>
    <m/>
    <m/>
  </r>
  <r>
    <n v="5441"/>
    <n v="55968"/>
    <d v="2003-02-06T00:00:00"/>
    <n v="22"/>
    <x v="1"/>
    <x v="1"/>
    <d v="2024-08-02T00:00:00"/>
    <n v="1.095890410958904"/>
    <x v="144"/>
    <x v="0"/>
    <x v="8"/>
    <x v="1"/>
    <n v="8.4700000000000006"/>
    <m/>
    <m/>
    <m/>
    <m/>
    <m/>
    <m/>
    <x v="2"/>
    <n v="1"/>
    <n v="7"/>
    <m/>
    <m/>
    <m/>
    <m/>
    <m/>
    <m/>
    <m/>
    <m/>
    <m/>
    <m/>
    <m/>
    <m/>
    <m/>
    <m/>
  </r>
  <r>
    <n v="5442"/>
    <n v="55969"/>
    <d v="2006-12-04T00:00:00"/>
    <n v="19"/>
    <x v="1"/>
    <x v="0"/>
    <d v="2024-11-26T00:00:00"/>
    <n v="1.5726027397260274"/>
    <x v="144"/>
    <x v="0"/>
    <x v="8"/>
    <x v="1"/>
    <n v="8.4700000000000006"/>
    <m/>
    <m/>
    <m/>
    <m/>
    <m/>
    <m/>
    <x v="1"/>
    <n v="2"/>
    <n v="6"/>
    <m/>
    <m/>
    <m/>
    <m/>
    <m/>
    <m/>
    <m/>
    <m/>
    <m/>
    <m/>
    <m/>
    <m/>
    <m/>
    <m/>
  </r>
  <r>
    <n v="5443"/>
    <n v="55970"/>
    <d v="2002-11-05T00:00:00"/>
    <n v="23"/>
    <x v="1"/>
    <x v="0"/>
    <d v="2024-06-05T00:00:00"/>
    <n v="1.7013698630136986"/>
    <x v="144"/>
    <x v="0"/>
    <x v="8"/>
    <x v="1"/>
    <n v="8.4700000000000006"/>
    <m/>
    <m/>
    <m/>
    <m/>
    <m/>
    <m/>
    <x v="1"/>
    <n v="4"/>
    <n v="7"/>
    <m/>
    <m/>
    <m/>
    <m/>
    <m/>
    <m/>
    <m/>
    <m/>
    <m/>
    <m/>
    <m/>
    <m/>
    <m/>
    <m/>
  </r>
  <r>
    <n v="5444"/>
    <n v="55971"/>
    <d v="1994-06-19T00:00:00"/>
    <n v="31"/>
    <x v="0"/>
    <x v="1"/>
    <d v="2024-04-19T00:00:00"/>
    <n v="1.3945205479452054"/>
    <x v="144"/>
    <x v="0"/>
    <x v="8"/>
    <x v="1"/>
    <n v="8.4700000000000006"/>
    <m/>
    <m/>
    <m/>
    <m/>
    <m/>
    <m/>
    <x v="4"/>
    <n v="1"/>
    <n v="5"/>
    <m/>
    <m/>
    <m/>
    <m/>
    <m/>
    <m/>
    <m/>
    <m/>
    <m/>
    <m/>
    <m/>
    <m/>
    <m/>
    <m/>
  </r>
  <r>
    <n v="5445"/>
    <n v="55973"/>
    <d v="2002-02-03T00:00:00"/>
    <n v="23"/>
    <x v="1"/>
    <x v="1"/>
    <d v="2024-08-09T00:00:00"/>
    <n v="1.8246575342465754"/>
    <x v="144"/>
    <x v="0"/>
    <x v="8"/>
    <x v="1"/>
    <n v="8.4700000000000006"/>
    <m/>
    <m/>
    <m/>
    <m/>
    <m/>
    <m/>
    <x v="1"/>
    <n v="2"/>
    <n v="6"/>
    <m/>
    <m/>
    <m/>
    <m/>
    <m/>
    <m/>
    <m/>
    <m/>
    <m/>
    <m/>
    <m/>
    <m/>
    <m/>
    <m/>
  </r>
  <r>
    <n v="5446"/>
    <n v="55974"/>
    <d v="2002-12-03T00:00:00"/>
    <n v="23"/>
    <x v="1"/>
    <x v="1"/>
    <d v="2024-03-05T00:00:00"/>
    <n v="1.4657534246575343"/>
    <x v="144"/>
    <x v="0"/>
    <x v="8"/>
    <x v="1"/>
    <n v="8.4700000000000006"/>
    <m/>
    <m/>
    <m/>
    <m/>
    <m/>
    <m/>
    <x v="1"/>
    <n v="4"/>
    <n v="7"/>
    <m/>
    <m/>
    <m/>
    <m/>
    <m/>
    <m/>
    <m/>
    <m/>
    <m/>
    <m/>
    <m/>
    <m/>
    <m/>
    <m/>
  </r>
  <r>
    <n v="5447"/>
    <n v="55975"/>
    <d v="2007-04-20T00:00:00"/>
    <n v="18"/>
    <x v="1"/>
    <x v="1"/>
    <d v="2024-07-14T00:00:00"/>
    <n v="1.6602739726027398"/>
    <x v="144"/>
    <x v="0"/>
    <x v="8"/>
    <x v="1"/>
    <n v="8.4700000000000006"/>
    <m/>
    <m/>
    <m/>
    <m/>
    <m/>
    <m/>
    <x v="3"/>
    <n v="2"/>
    <n v="7"/>
    <m/>
    <m/>
    <m/>
    <m/>
    <m/>
    <m/>
    <m/>
    <m/>
    <m/>
    <m/>
    <m/>
    <m/>
    <m/>
    <m/>
  </r>
  <r>
    <n v="5448"/>
    <n v="55976"/>
    <d v="2001-07-14T00:00:00"/>
    <n v="24"/>
    <x v="1"/>
    <x v="1"/>
    <d v="2024-05-04T00:00:00"/>
    <n v="1.736986301369863"/>
    <x v="41"/>
    <x v="0"/>
    <x v="11"/>
    <x v="1"/>
    <n v="17"/>
    <m/>
    <m/>
    <m/>
    <m/>
    <m/>
    <m/>
    <x v="2"/>
    <n v="0"/>
    <n v="5"/>
    <m/>
    <m/>
    <m/>
    <m/>
    <m/>
    <m/>
    <m/>
    <m/>
    <m/>
    <m/>
    <m/>
    <m/>
    <m/>
    <m/>
  </r>
  <r>
    <n v="5449"/>
    <n v="55977"/>
    <d v="2001-09-12T00:00:00"/>
    <n v="24"/>
    <x v="1"/>
    <x v="1"/>
    <d v="2024-04-06T00:00:00"/>
    <n v="1.7506849315068493"/>
    <x v="41"/>
    <x v="0"/>
    <x v="11"/>
    <x v="1"/>
    <n v="17"/>
    <m/>
    <m/>
    <m/>
    <m/>
    <m/>
    <m/>
    <x v="4"/>
    <n v="1"/>
    <n v="6"/>
    <m/>
    <m/>
    <m/>
    <m/>
    <m/>
    <m/>
    <m/>
    <m/>
    <m/>
    <m/>
    <m/>
    <m/>
    <m/>
    <m/>
  </r>
  <r>
    <n v="5450"/>
    <n v="55978"/>
    <d v="1999-09-03T00:00:00"/>
    <n v="26"/>
    <x v="1"/>
    <x v="1"/>
    <d v="2024-04-01T00:00:00"/>
    <n v="1.7808219178082192"/>
    <x v="41"/>
    <x v="0"/>
    <x v="10"/>
    <x v="1"/>
    <n v="10.64"/>
    <m/>
    <m/>
    <m/>
    <m/>
    <m/>
    <m/>
    <x v="2"/>
    <n v="0"/>
    <n v="5"/>
    <m/>
    <m/>
    <m/>
    <m/>
    <m/>
    <m/>
    <m/>
    <m/>
    <m/>
    <m/>
    <m/>
    <m/>
    <m/>
    <m/>
  </r>
  <r>
    <n v="5451"/>
    <n v="55979"/>
    <d v="1998-09-15T00:00:00"/>
    <n v="27"/>
    <x v="0"/>
    <x v="1"/>
    <d v="2024-03-21T00:00:00"/>
    <n v="1.5890410958904109"/>
    <x v="41"/>
    <x v="0"/>
    <x v="10"/>
    <x v="1"/>
    <n v="10.64"/>
    <m/>
    <m/>
    <m/>
    <m/>
    <m/>
    <m/>
    <x v="4"/>
    <n v="1"/>
    <n v="5"/>
    <m/>
    <m/>
    <m/>
    <m/>
    <m/>
    <m/>
    <m/>
    <m/>
    <m/>
    <m/>
    <m/>
    <m/>
    <m/>
    <m/>
  </r>
  <r>
    <n v="5452"/>
    <n v="55980"/>
    <d v="2003-04-10T00:00:00"/>
    <n v="22"/>
    <x v="1"/>
    <x v="1"/>
    <d v="2024-05-30T00:00:00"/>
    <n v="1.7397260273972603"/>
    <x v="41"/>
    <x v="0"/>
    <x v="8"/>
    <x v="1"/>
    <n v="8.4700000000000006"/>
    <m/>
    <m/>
    <m/>
    <m/>
    <m/>
    <m/>
    <x v="2"/>
    <n v="4"/>
    <n v="6"/>
    <m/>
    <m/>
    <m/>
    <m/>
    <m/>
    <m/>
    <m/>
    <m/>
    <m/>
    <m/>
    <m/>
    <m/>
    <m/>
    <m/>
  </r>
  <r>
    <n v="5453"/>
    <n v="55981"/>
    <d v="2004-04-16T00:00:00"/>
    <n v="21"/>
    <x v="1"/>
    <x v="1"/>
    <d v="2024-04-05T00:00:00"/>
    <n v="1.0657534246575342"/>
    <x v="41"/>
    <x v="0"/>
    <x v="8"/>
    <x v="1"/>
    <n v="8.4700000000000006"/>
    <m/>
    <m/>
    <m/>
    <m/>
    <m/>
    <m/>
    <x v="1"/>
    <n v="1"/>
    <n v="5"/>
    <m/>
    <m/>
    <m/>
    <m/>
    <m/>
    <m/>
    <m/>
    <m/>
    <m/>
    <m/>
    <m/>
    <m/>
    <m/>
    <m/>
  </r>
  <r>
    <n v="5454"/>
    <n v="55982"/>
    <d v="2005-05-25T00:00:00"/>
    <n v="20"/>
    <x v="1"/>
    <x v="0"/>
    <d v="2024-12-07T00:00:00"/>
    <n v="1.3150684931506849"/>
    <x v="41"/>
    <x v="0"/>
    <x v="8"/>
    <x v="1"/>
    <n v="8.4700000000000006"/>
    <m/>
    <m/>
    <m/>
    <m/>
    <m/>
    <m/>
    <x v="1"/>
    <n v="2"/>
    <n v="6"/>
    <m/>
    <m/>
    <m/>
    <m/>
    <m/>
    <m/>
    <m/>
    <m/>
    <m/>
    <m/>
    <m/>
    <m/>
    <m/>
    <m/>
  </r>
  <r>
    <n v="5455"/>
    <n v="55983"/>
    <d v="1997-02-24T00:00:00"/>
    <n v="28"/>
    <x v="1"/>
    <x v="1"/>
    <d v="2024-09-07T00:00:00"/>
    <n v="1"/>
    <x v="41"/>
    <x v="0"/>
    <x v="8"/>
    <x v="1"/>
    <n v="8.4700000000000006"/>
    <m/>
    <m/>
    <m/>
    <m/>
    <m/>
    <m/>
    <x v="3"/>
    <n v="1"/>
    <n v="7"/>
    <m/>
    <m/>
    <m/>
    <m/>
    <m/>
    <m/>
    <m/>
    <m/>
    <m/>
    <m/>
    <m/>
    <m/>
    <m/>
    <m/>
  </r>
  <r>
    <n v="5456"/>
    <n v="55984"/>
    <d v="2002-12-08T00:00:00"/>
    <n v="23"/>
    <x v="1"/>
    <x v="0"/>
    <d v="2024-12-31T00:00:00"/>
    <n v="1.3616438356164384"/>
    <x v="41"/>
    <x v="0"/>
    <x v="8"/>
    <x v="1"/>
    <n v="8.4700000000000006"/>
    <m/>
    <m/>
    <m/>
    <m/>
    <m/>
    <m/>
    <x v="2"/>
    <n v="2"/>
    <n v="6"/>
    <m/>
    <m/>
    <m/>
    <m/>
    <m/>
    <m/>
    <m/>
    <m/>
    <m/>
    <m/>
    <m/>
    <m/>
    <m/>
    <m/>
  </r>
  <r>
    <n v="5457"/>
    <n v="55985"/>
    <d v="2002-02-16T00:00:00"/>
    <n v="23"/>
    <x v="1"/>
    <x v="1"/>
    <d v="2024-08-21T00:00:00"/>
    <n v="1.1698630136986301"/>
    <x v="41"/>
    <x v="0"/>
    <x v="8"/>
    <x v="1"/>
    <n v="8.4700000000000006"/>
    <m/>
    <m/>
    <m/>
    <m/>
    <m/>
    <m/>
    <x v="4"/>
    <n v="2"/>
    <n v="7"/>
    <m/>
    <m/>
    <m/>
    <m/>
    <m/>
    <m/>
    <m/>
    <m/>
    <m/>
    <m/>
    <m/>
    <m/>
    <m/>
    <m/>
  </r>
  <r>
    <n v="5458"/>
    <n v="55986"/>
    <d v="2003-12-09T00:00:00"/>
    <n v="22"/>
    <x v="1"/>
    <x v="1"/>
    <d v="2024-10-30T00:00:00"/>
    <n v="1.0986301369863014"/>
    <x v="41"/>
    <x v="0"/>
    <x v="8"/>
    <x v="1"/>
    <n v="8.4700000000000006"/>
    <m/>
    <m/>
    <m/>
    <m/>
    <m/>
    <m/>
    <x v="2"/>
    <n v="3"/>
    <n v="7"/>
    <m/>
    <m/>
    <m/>
    <m/>
    <m/>
    <m/>
    <m/>
    <m/>
    <m/>
    <m/>
    <m/>
    <m/>
    <m/>
    <m/>
  </r>
  <r>
    <n v="5459"/>
    <n v="55987"/>
    <d v="2004-04-12T00:00:00"/>
    <n v="21"/>
    <x v="1"/>
    <x v="1"/>
    <d v="2024-11-25T00:00:00"/>
    <n v="1.7506849315068493"/>
    <x v="41"/>
    <x v="0"/>
    <x v="8"/>
    <x v="1"/>
    <n v="8.4700000000000006"/>
    <m/>
    <m/>
    <m/>
    <m/>
    <m/>
    <m/>
    <x v="2"/>
    <n v="2"/>
    <n v="6"/>
    <m/>
    <m/>
    <m/>
    <m/>
    <m/>
    <m/>
    <m/>
    <m/>
    <m/>
    <m/>
    <m/>
    <m/>
    <m/>
    <m/>
  </r>
  <r>
    <n v="5460"/>
    <n v="55988"/>
    <d v="2000-07-22T00:00:00"/>
    <n v="25"/>
    <x v="1"/>
    <x v="1"/>
    <d v="2024-04-01T00:00:00"/>
    <n v="1.4904109589041097"/>
    <x v="41"/>
    <x v="0"/>
    <x v="8"/>
    <x v="1"/>
    <n v="8.4700000000000006"/>
    <m/>
    <m/>
    <m/>
    <m/>
    <m/>
    <m/>
    <x v="2"/>
    <n v="1"/>
    <n v="5"/>
    <m/>
    <m/>
    <m/>
    <m/>
    <m/>
    <m/>
    <m/>
    <m/>
    <m/>
    <m/>
    <m/>
    <m/>
    <m/>
    <m/>
  </r>
  <r>
    <n v="5461"/>
    <n v="55989"/>
    <d v="2002-09-06T00:00:00"/>
    <n v="23"/>
    <x v="0"/>
    <x v="1"/>
    <d v="2024-07-05T00:00:00"/>
    <n v="1.0191780821917809"/>
    <x v="73"/>
    <x v="0"/>
    <x v="11"/>
    <x v="1"/>
    <n v="17"/>
    <m/>
    <m/>
    <m/>
    <m/>
    <m/>
    <m/>
    <x v="1"/>
    <n v="2"/>
    <n v="4"/>
    <m/>
    <m/>
    <m/>
    <m/>
    <m/>
    <m/>
    <m/>
    <m/>
    <m/>
    <m/>
    <m/>
    <m/>
    <m/>
    <m/>
  </r>
  <r>
    <n v="5462"/>
    <n v="55990"/>
    <d v="2003-11-01T00:00:00"/>
    <n v="23"/>
    <x v="1"/>
    <x v="0"/>
    <d v="2024-12-24T00:00:00"/>
    <n v="1.2684931506849315"/>
    <x v="73"/>
    <x v="0"/>
    <x v="10"/>
    <x v="1"/>
    <n v="10.64"/>
    <m/>
    <m/>
    <m/>
    <m/>
    <m/>
    <m/>
    <x v="1"/>
    <n v="1"/>
    <n v="5"/>
    <m/>
    <m/>
    <m/>
    <m/>
    <m/>
    <m/>
    <m/>
    <m/>
    <m/>
    <m/>
    <m/>
    <m/>
    <m/>
    <m/>
  </r>
  <r>
    <n v="5463"/>
    <n v="55991"/>
    <d v="2005-05-29T00:00:00"/>
    <n v="20"/>
    <x v="0"/>
    <x v="0"/>
    <d v="2024-09-24T00:00:00"/>
    <n v="1.8465753424657534"/>
    <x v="73"/>
    <x v="0"/>
    <x v="10"/>
    <x v="1"/>
    <n v="10.64"/>
    <m/>
    <m/>
    <m/>
    <m/>
    <m/>
    <m/>
    <x v="3"/>
    <n v="0"/>
    <n v="4"/>
    <m/>
    <m/>
    <m/>
    <m/>
    <m/>
    <m/>
    <m/>
    <m/>
    <m/>
    <m/>
    <m/>
    <m/>
    <m/>
    <m/>
  </r>
  <r>
    <n v="5464"/>
    <n v="55992"/>
    <d v="2004-08-31T00:00:00"/>
    <n v="21"/>
    <x v="0"/>
    <x v="1"/>
    <d v="2024-02-26T00:00:00"/>
    <n v="1.295890410958904"/>
    <x v="73"/>
    <x v="0"/>
    <x v="10"/>
    <x v="1"/>
    <n v="10.64"/>
    <m/>
    <m/>
    <m/>
    <m/>
    <m/>
    <m/>
    <x v="1"/>
    <n v="0"/>
    <n v="3"/>
    <m/>
    <m/>
    <m/>
    <m/>
    <m/>
    <m/>
    <m/>
    <m/>
    <m/>
    <m/>
    <m/>
    <m/>
    <m/>
    <m/>
  </r>
  <r>
    <n v="5465"/>
    <n v="55993"/>
    <d v="2001-03-11T00:00:00"/>
    <n v="24"/>
    <x v="1"/>
    <x v="0"/>
    <d v="2024-09-14T00:00:00"/>
    <n v="1.6328767123287671"/>
    <x v="73"/>
    <x v="0"/>
    <x v="8"/>
    <x v="1"/>
    <n v="8.4700000000000006"/>
    <m/>
    <m/>
    <m/>
    <m/>
    <m/>
    <m/>
    <x v="1"/>
    <n v="0"/>
    <n v="5"/>
    <m/>
    <m/>
    <m/>
    <m/>
    <m/>
    <m/>
    <m/>
    <m/>
    <m/>
    <m/>
    <m/>
    <m/>
    <m/>
    <m/>
  </r>
  <r>
    <n v="5466"/>
    <n v="55994"/>
    <d v="2007-08-16T00:00:00"/>
    <n v="18"/>
    <x v="0"/>
    <x v="1"/>
    <d v="2024-05-14T00:00:00"/>
    <n v="1.0136986301369864"/>
    <x v="73"/>
    <x v="0"/>
    <x v="8"/>
    <x v="1"/>
    <n v="8.4700000000000006"/>
    <m/>
    <m/>
    <m/>
    <m/>
    <m/>
    <m/>
    <x v="1"/>
    <n v="0"/>
    <n v="5"/>
    <m/>
    <m/>
    <m/>
    <m/>
    <m/>
    <m/>
    <m/>
    <m/>
    <m/>
    <m/>
    <m/>
    <m/>
    <m/>
    <m/>
  </r>
  <r>
    <n v="5467"/>
    <n v="55995"/>
    <d v="2001-03-04T00:00:00"/>
    <n v="24"/>
    <x v="1"/>
    <x v="1"/>
    <d v="2024-12-26T00:00:00"/>
    <n v="1.3178082191780822"/>
    <x v="73"/>
    <x v="0"/>
    <x v="8"/>
    <x v="1"/>
    <n v="8.4700000000000006"/>
    <m/>
    <m/>
    <m/>
    <m/>
    <m/>
    <m/>
    <x v="1"/>
    <n v="2"/>
    <n v="7"/>
    <m/>
    <m/>
    <m/>
    <m/>
    <m/>
    <m/>
    <m/>
    <m/>
    <m/>
    <m/>
    <m/>
    <m/>
    <m/>
    <m/>
  </r>
  <r>
    <n v="5468"/>
    <n v="55996"/>
    <d v="1998-02-18T00:00:00"/>
    <n v="27"/>
    <x v="1"/>
    <x v="1"/>
    <d v="2024-09-06T00:00:00"/>
    <n v="1.3890410958904109"/>
    <x v="73"/>
    <x v="0"/>
    <x v="8"/>
    <x v="1"/>
    <n v="8.4700000000000006"/>
    <m/>
    <m/>
    <m/>
    <m/>
    <m/>
    <m/>
    <x v="1"/>
    <n v="1"/>
    <n v="6"/>
    <m/>
    <m/>
    <m/>
    <m/>
    <m/>
    <m/>
    <m/>
    <m/>
    <m/>
    <m/>
    <m/>
    <m/>
    <m/>
    <m/>
  </r>
  <r>
    <n v="5469"/>
    <n v="55997"/>
    <d v="2002-10-08T00:00:00"/>
    <n v="23"/>
    <x v="1"/>
    <x v="0"/>
    <d v="2024-08-11T00:00:00"/>
    <n v="1.704109589041096"/>
    <x v="73"/>
    <x v="0"/>
    <x v="8"/>
    <x v="1"/>
    <n v="8.4700000000000006"/>
    <m/>
    <m/>
    <m/>
    <m/>
    <m/>
    <m/>
    <x v="4"/>
    <n v="2"/>
    <n v="6"/>
    <m/>
    <m/>
    <m/>
    <m/>
    <m/>
    <m/>
    <m/>
    <m/>
    <m/>
    <m/>
    <m/>
    <m/>
    <m/>
    <m/>
  </r>
  <r>
    <n v="5470"/>
    <n v="55998"/>
    <d v="2004-08-27T00:00:00"/>
    <n v="21"/>
    <x v="1"/>
    <x v="1"/>
    <d v="2024-04-18T00:00:00"/>
    <n v="1.295890410958904"/>
    <x v="73"/>
    <x v="0"/>
    <x v="8"/>
    <x v="1"/>
    <n v="8.4700000000000006"/>
    <m/>
    <m/>
    <m/>
    <m/>
    <m/>
    <m/>
    <x v="4"/>
    <n v="2"/>
    <n v="7"/>
    <m/>
    <m/>
    <m/>
    <m/>
    <m/>
    <m/>
    <m/>
    <m/>
    <m/>
    <m/>
    <m/>
    <m/>
    <m/>
    <m/>
  </r>
  <r>
    <n v="5471"/>
    <n v="55999"/>
    <d v="2005-12-03T00:00:00"/>
    <n v="20"/>
    <x v="0"/>
    <x v="1"/>
    <d v="2024-09-14T00:00:00"/>
    <n v="1.5534246575342465"/>
    <x v="73"/>
    <x v="0"/>
    <x v="8"/>
    <x v="1"/>
    <n v="8.4700000000000006"/>
    <m/>
    <m/>
    <m/>
    <m/>
    <m/>
    <m/>
    <x v="1"/>
    <n v="2"/>
    <n v="5"/>
    <m/>
    <m/>
    <m/>
    <m/>
    <m/>
    <m/>
    <m/>
    <m/>
    <m/>
    <m/>
    <m/>
    <m/>
    <m/>
    <m/>
  </r>
  <r>
    <n v="5472"/>
    <n v="56000"/>
    <d v="2005-08-27T00:00:00"/>
    <n v="20"/>
    <x v="1"/>
    <x v="0"/>
    <d v="2024-06-12T00:00:00"/>
    <n v="1.6739726027397259"/>
    <x v="73"/>
    <x v="0"/>
    <x v="8"/>
    <x v="1"/>
    <n v="8.4700000000000006"/>
    <m/>
    <m/>
    <m/>
    <m/>
    <m/>
    <m/>
    <x v="4"/>
    <n v="4"/>
    <n v="5"/>
    <m/>
    <m/>
    <m/>
    <m/>
    <m/>
    <m/>
    <m/>
    <m/>
    <m/>
    <m/>
    <m/>
    <m/>
    <m/>
    <m/>
  </r>
  <r>
    <n v="5473"/>
    <n v="56001"/>
    <d v="2004-03-09T00:00:00"/>
    <n v="21"/>
    <x v="1"/>
    <x v="1"/>
    <d v="2024-04-29T00:00:00"/>
    <n v="1.1260273972602739"/>
    <x v="73"/>
    <x v="0"/>
    <x v="8"/>
    <x v="1"/>
    <n v="8.4700000000000006"/>
    <m/>
    <m/>
    <m/>
    <m/>
    <m/>
    <m/>
    <x v="3"/>
    <n v="2"/>
    <n v="7"/>
    <m/>
    <m/>
    <m/>
    <m/>
    <m/>
    <m/>
    <m/>
    <m/>
    <m/>
    <m/>
    <m/>
    <m/>
    <m/>
    <m/>
  </r>
  <r>
    <n v="5474"/>
    <n v="56002"/>
    <d v="2005-08-24T00:00:00"/>
    <n v="20"/>
    <x v="0"/>
    <x v="1"/>
    <d v="2024-11-15T00:00:00"/>
    <n v="1.7342465753424658"/>
    <x v="73"/>
    <x v="0"/>
    <x v="8"/>
    <x v="1"/>
    <n v="8.4700000000000006"/>
    <m/>
    <m/>
    <m/>
    <m/>
    <m/>
    <m/>
    <x v="2"/>
    <n v="1"/>
    <n v="5"/>
    <m/>
    <m/>
    <m/>
    <m/>
    <m/>
    <m/>
    <m/>
    <m/>
    <m/>
    <m/>
    <m/>
    <m/>
    <m/>
    <m/>
  </r>
  <r>
    <n v="5475"/>
    <n v="56003"/>
    <d v="2006-06-11T00:00:00"/>
    <n v="19"/>
    <x v="0"/>
    <x v="1"/>
    <d v="2024-04-07T00:00:00"/>
    <n v="1.6630136986301369"/>
    <x v="73"/>
    <x v="0"/>
    <x v="8"/>
    <x v="1"/>
    <n v="8.4700000000000006"/>
    <m/>
    <m/>
    <m/>
    <m/>
    <m/>
    <m/>
    <x v="4"/>
    <n v="4"/>
    <n v="5"/>
    <m/>
    <m/>
    <m/>
    <m/>
    <m/>
    <m/>
    <m/>
    <m/>
    <m/>
    <m/>
    <m/>
    <m/>
    <m/>
    <m/>
  </r>
  <r>
    <n v="5476"/>
    <n v="56004"/>
    <d v="1993-04-09T00:00:00"/>
    <n v="32"/>
    <x v="1"/>
    <x v="1"/>
    <d v="2024-05-03T00:00:00"/>
    <n v="1.2821917808219179"/>
    <x v="73"/>
    <x v="0"/>
    <x v="8"/>
    <x v="1"/>
    <n v="8.4700000000000006"/>
    <m/>
    <m/>
    <m/>
    <m/>
    <m/>
    <m/>
    <x v="1"/>
    <n v="1"/>
    <n v="5"/>
    <m/>
    <m/>
    <m/>
    <m/>
    <m/>
    <m/>
    <m/>
    <m/>
    <m/>
    <m/>
    <m/>
    <m/>
    <m/>
    <m/>
  </r>
  <r>
    <n v="5477"/>
    <n v="56005"/>
    <d v="2005-04-20T00:00:00"/>
    <n v="20"/>
    <x v="1"/>
    <x v="1"/>
    <d v="2024-09-19T00:00:00"/>
    <n v="1.3835616438356164"/>
    <x v="73"/>
    <x v="0"/>
    <x v="8"/>
    <x v="1"/>
    <n v="8.4700000000000006"/>
    <m/>
    <m/>
    <m/>
    <m/>
    <m/>
    <m/>
    <x v="4"/>
    <n v="3"/>
    <n v="6"/>
    <m/>
    <m/>
    <m/>
    <m/>
    <m/>
    <m/>
    <m/>
    <m/>
    <m/>
    <m/>
    <m/>
    <m/>
    <m/>
    <m/>
  </r>
  <r>
    <n v="5478"/>
    <n v="56006"/>
    <d v="2005-05-07T00:00:00"/>
    <n v="20"/>
    <x v="1"/>
    <x v="1"/>
    <d v="2024-08-13T00:00:00"/>
    <n v="1.8356164383561644"/>
    <x v="73"/>
    <x v="0"/>
    <x v="8"/>
    <x v="1"/>
    <n v="8.4700000000000006"/>
    <m/>
    <m/>
    <m/>
    <m/>
    <m/>
    <m/>
    <x v="2"/>
    <n v="3"/>
    <n v="7"/>
    <m/>
    <m/>
    <m/>
    <m/>
    <m/>
    <m/>
    <m/>
    <m/>
    <m/>
    <m/>
    <m/>
    <m/>
    <m/>
    <m/>
  </r>
  <r>
    <n v="5479"/>
    <n v="56007"/>
    <d v="1996-02-08T00:00:00"/>
    <n v="29"/>
    <x v="0"/>
    <x v="1"/>
    <d v="2024-03-01T00:00:00"/>
    <n v="1.1232876712328768"/>
    <x v="142"/>
    <x v="0"/>
    <x v="11"/>
    <x v="1"/>
    <n v="17"/>
    <m/>
    <m/>
    <m/>
    <m/>
    <m/>
    <m/>
    <x v="3"/>
    <n v="2"/>
    <n v="4"/>
    <m/>
    <m/>
    <m/>
    <m/>
    <m/>
    <m/>
    <m/>
    <m/>
    <m/>
    <m/>
    <m/>
    <m/>
    <m/>
    <m/>
  </r>
  <r>
    <n v="5480"/>
    <n v="56008"/>
    <d v="1998-06-05T00:00:00"/>
    <n v="27"/>
    <x v="1"/>
    <x v="0"/>
    <d v="2024-11-16T00:00:00"/>
    <n v="1.0520547945205478"/>
    <x v="142"/>
    <x v="0"/>
    <x v="11"/>
    <x v="1"/>
    <n v="17"/>
    <m/>
    <m/>
    <m/>
    <m/>
    <m/>
    <m/>
    <x v="2"/>
    <n v="0"/>
    <n v="7"/>
    <m/>
    <m/>
    <m/>
    <m/>
    <m/>
    <m/>
    <m/>
    <m/>
    <m/>
    <m/>
    <m/>
    <m/>
    <m/>
    <m/>
  </r>
  <r>
    <n v="5481"/>
    <n v="56010"/>
    <d v="1995-12-20T00:00:00"/>
    <n v="30"/>
    <x v="1"/>
    <x v="1"/>
    <d v="2024-12-12T00:00:00"/>
    <n v="1.167123287671233"/>
    <x v="142"/>
    <x v="0"/>
    <x v="11"/>
    <x v="1"/>
    <n v="17"/>
    <m/>
    <m/>
    <m/>
    <m/>
    <m/>
    <m/>
    <x v="4"/>
    <n v="0"/>
    <n v="6"/>
    <m/>
    <m/>
    <m/>
    <m/>
    <m/>
    <m/>
    <m/>
    <m/>
    <m/>
    <m/>
    <m/>
    <m/>
    <m/>
    <m/>
  </r>
  <r>
    <n v="5482"/>
    <n v="56011"/>
    <d v="2005-03-10T00:00:00"/>
    <n v="20"/>
    <x v="0"/>
    <x v="0"/>
    <d v="2024-10-31T00:00:00"/>
    <n v="1.0301369863013699"/>
    <x v="142"/>
    <x v="0"/>
    <x v="10"/>
    <x v="1"/>
    <n v="10.64"/>
    <m/>
    <m/>
    <m/>
    <m/>
    <m/>
    <m/>
    <x v="4"/>
    <n v="1"/>
    <n v="2"/>
    <m/>
    <m/>
    <m/>
    <m/>
    <m/>
    <m/>
    <m/>
    <m/>
    <m/>
    <m/>
    <m/>
    <m/>
    <m/>
    <m/>
  </r>
  <r>
    <n v="5483"/>
    <n v="56012"/>
    <d v="2004-11-01T00:00:00"/>
    <n v="22"/>
    <x v="1"/>
    <x v="1"/>
    <d v="2024-12-20T00:00:00"/>
    <n v="1.4767123287671233"/>
    <x v="142"/>
    <x v="0"/>
    <x v="1"/>
    <x v="1"/>
    <n v="16.37"/>
    <m/>
    <m/>
    <m/>
    <m/>
    <m/>
    <m/>
    <x v="2"/>
    <n v="1"/>
    <n v="6"/>
    <m/>
    <m/>
    <m/>
    <m/>
    <m/>
    <m/>
    <m/>
    <m/>
    <m/>
    <m/>
    <m/>
    <m/>
    <m/>
    <m/>
  </r>
  <r>
    <n v="5484"/>
    <n v="56013"/>
    <d v="2000-10-20T00:00:00"/>
    <n v="25"/>
    <x v="0"/>
    <x v="1"/>
    <d v="2024-07-10T00:00:00"/>
    <n v="1.2164383561643837"/>
    <x v="142"/>
    <x v="0"/>
    <x v="2"/>
    <x v="1"/>
    <n v="14.23"/>
    <m/>
    <m/>
    <m/>
    <m/>
    <m/>
    <m/>
    <x v="4"/>
    <n v="0"/>
    <n v="4"/>
    <m/>
    <m/>
    <m/>
    <m/>
    <m/>
    <m/>
    <m/>
    <m/>
    <m/>
    <m/>
    <m/>
    <m/>
    <m/>
    <m/>
  </r>
  <r>
    <n v="5485"/>
    <n v="56014"/>
    <d v="1999-02-16T00:00:00"/>
    <n v="26"/>
    <x v="0"/>
    <x v="1"/>
    <d v="2024-10-13T00:00:00"/>
    <n v="1.0630136986301371"/>
    <x v="142"/>
    <x v="0"/>
    <x v="2"/>
    <x v="1"/>
    <n v="14.23"/>
    <m/>
    <m/>
    <m/>
    <m/>
    <m/>
    <m/>
    <x v="2"/>
    <n v="0"/>
    <n v="3"/>
    <m/>
    <m/>
    <m/>
    <m/>
    <m/>
    <m/>
    <m/>
    <m/>
    <m/>
    <m/>
    <m/>
    <m/>
    <m/>
    <m/>
  </r>
  <r>
    <n v="5486"/>
    <n v="56015"/>
    <d v="1998-09-25T00:00:00"/>
    <n v="27"/>
    <x v="1"/>
    <x v="0"/>
    <d v="2024-12-08T00:00:00"/>
    <n v="1.5068493150684932"/>
    <x v="142"/>
    <x v="0"/>
    <x v="9"/>
    <x v="1"/>
    <n v="14.07"/>
    <m/>
    <m/>
    <m/>
    <m/>
    <m/>
    <m/>
    <x v="3"/>
    <n v="0"/>
    <n v="6"/>
    <m/>
    <m/>
    <m/>
    <m/>
    <m/>
    <m/>
    <m/>
    <m/>
    <m/>
    <m/>
    <m/>
    <m/>
    <m/>
    <m/>
  </r>
  <r>
    <n v="5487"/>
    <n v="56016"/>
    <d v="2002-06-04T00:00:00"/>
    <n v="23"/>
    <x v="1"/>
    <x v="0"/>
    <d v="2024-06-29T00:00:00"/>
    <n v="1.526027397260274"/>
    <x v="142"/>
    <x v="0"/>
    <x v="3"/>
    <x v="1"/>
    <n v="8.4700000000000006"/>
    <m/>
    <m/>
    <m/>
    <m/>
    <m/>
    <m/>
    <x v="2"/>
    <n v="2"/>
    <n v="6"/>
    <m/>
    <m/>
    <m/>
    <m/>
    <m/>
    <m/>
    <m/>
    <m/>
    <m/>
    <m/>
    <m/>
    <m/>
    <m/>
    <m/>
  </r>
  <r>
    <n v="5488"/>
    <n v="56017"/>
    <d v="2001-08-24T00:00:00"/>
    <n v="24"/>
    <x v="1"/>
    <x v="0"/>
    <d v="2024-06-22T00:00:00"/>
    <n v="1.5561643835616439"/>
    <x v="142"/>
    <x v="0"/>
    <x v="8"/>
    <x v="1"/>
    <n v="8.4700000000000006"/>
    <m/>
    <m/>
    <m/>
    <m/>
    <m/>
    <m/>
    <x v="1"/>
    <n v="1"/>
    <n v="5"/>
    <m/>
    <m/>
    <m/>
    <m/>
    <m/>
    <m/>
    <m/>
    <m/>
    <m/>
    <m/>
    <m/>
    <m/>
    <m/>
    <m/>
  </r>
  <r>
    <n v="5489"/>
    <n v="56018"/>
    <d v="1999-08-16T00:00:00"/>
    <n v="26"/>
    <x v="0"/>
    <x v="1"/>
    <d v="2024-06-11T00:00:00"/>
    <n v="1.0931506849315069"/>
    <x v="142"/>
    <x v="0"/>
    <x v="8"/>
    <x v="1"/>
    <n v="8.4700000000000006"/>
    <m/>
    <m/>
    <m/>
    <m/>
    <m/>
    <m/>
    <x v="1"/>
    <n v="3"/>
    <n v="4"/>
    <m/>
    <m/>
    <m/>
    <m/>
    <m/>
    <m/>
    <m/>
    <m/>
    <m/>
    <m/>
    <m/>
    <m/>
    <m/>
    <m/>
  </r>
  <r>
    <n v="5490"/>
    <n v="56020"/>
    <d v="2006-11-04T00:00:00"/>
    <n v="19"/>
    <x v="1"/>
    <x v="1"/>
    <d v="2024-11-27T00:00:00"/>
    <n v="1.106849315068493"/>
    <x v="142"/>
    <x v="0"/>
    <x v="8"/>
    <x v="1"/>
    <n v="8.4700000000000006"/>
    <m/>
    <m/>
    <m/>
    <m/>
    <m/>
    <m/>
    <x v="4"/>
    <n v="2"/>
    <n v="6"/>
    <m/>
    <m/>
    <m/>
    <m/>
    <m/>
    <m/>
    <m/>
    <m/>
    <m/>
    <m/>
    <m/>
    <m/>
    <m/>
    <m/>
  </r>
  <r>
    <n v="5491"/>
    <n v="56021"/>
    <d v="1999-10-27T00:00:00"/>
    <n v="26"/>
    <x v="1"/>
    <x v="0"/>
    <d v="2024-11-22T00:00:00"/>
    <n v="1.1534246575342466"/>
    <x v="142"/>
    <x v="0"/>
    <x v="8"/>
    <x v="1"/>
    <n v="8.4700000000000006"/>
    <m/>
    <m/>
    <m/>
    <m/>
    <m/>
    <m/>
    <x v="4"/>
    <n v="3"/>
    <n v="4"/>
    <m/>
    <m/>
    <m/>
    <m/>
    <m/>
    <m/>
    <m/>
    <m/>
    <m/>
    <m/>
    <m/>
    <m/>
    <m/>
    <m/>
  </r>
  <r>
    <n v="5492"/>
    <n v="56022"/>
    <d v="2007-07-26T00:00:00"/>
    <n v="18"/>
    <x v="1"/>
    <x v="0"/>
    <d v="2024-11-05T00:00:00"/>
    <n v="1.7232876712328766"/>
    <x v="142"/>
    <x v="0"/>
    <x v="8"/>
    <x v="1"/>
    <n v="8.4700000000000006"/>
    <m/>
    <m/>
    <m/>
    <m/>
    <m/>
    <m/>
    <x v="1"/>
    <n v="2"/>
    <n v="5"/>
    <m/>
    <m/>
    <m/>
    <m/>
    <m/>
    <m/>
    <m/>
    <m/>
    <m/>
    <m/>
    <m/>
    <m/>
    <m/>
    <m/>
  </r>
  <r>
    <n v="5493"/>
    <n v="56023"/>
    <d v="2005-02-11T00:00:00"/>
    <n v="20"/>
    <x v="1"/>
    <x v="1"/>
    <d v="2024-04-11T00:00:00"/>
    <n v="1.2602739726027397"/>
    <x v="142"/>
    <x v="0"/>
    <x v="8"/>
    <x v="1"/>
    <n v="8.4700000000000006"/>
    <m/>
    <m/>
    <m/>
    <m/>
    <m/>
    <m/>
    <x v="3"/>
    <n v="1"/>
    <n v="6"/>
    <m/>
    <m/>
    <m/>
    <m/>
    <m/>
    <m/>
    <m/>
    <m/>
    <m/>
    <m/>
    <m/>
    <m/>
    <m/>
    <m/>
  </r>
  <r>
    <n v="5494"/>
    <n v="56024"/>
    <d v="1999-02-22T00:00:00"/>
    <n v="26"/>
    <x v="0"/>
    <x v="0"/>
    <d v="2024-09-27T00:00:00"/>
    <n v="1.2794520547945205"/>
    <x v="142"/>
    <x v="0"/>
    <x v="8"/>
    <x v="1"/>
    <n v="8.4700000000000006"/>
    <m/>
    <m/>
    <m/>
    <m/>
    <m/>
    <m/>
    <x v="3"/>
    <n v="2"/>
    <n v="6"/>
    <m/>
    <m/>
    <m/>
    <m/>
    <m/>
    <m/>
    <m/>
    <m/>
    <m/>
    <m/>
    <m/>
    <m/>
    <m/>
    <m/>
  </r>
  <r>
    <n v="5495"/>
    <n v="56025"/>
    <d v="2004-12-09T00:00:00"/>
    <n v="21"/>
    <x v="1"/>
    <x v="0"/>
    <d v="2024-09-20T00:00:00"/>
    <n v="1.2082191780821918"/>
    <x v="142"/>
    <x v="0"/>
    <x v="8"/>
    <x v="1"/>
    <n v="8.4700000000000006"/>
    <m/>
    <m/>
    <m/>
    <m/>
    <m/>
    <m/>
    <x v="1"/>
    <n v="4"/>
    <n v="5"/>
    <m/>
    <m/>
    <m/>
    <m/>
    <m/>
    <m/>
    <m/>
    <m/>
    <m/>
    <m/>
    <m/>
    <m/>
    <m/>
    <m/>
  </r>
  <r>
    <n v="5496"/>
    <n v="56026"/>
    <d v="2006-09-02T00:00:00"/>
    <n v="19"/>
    <x v="0"/>
    <x v="1"/>
    <d v="2024-10-16T00:00:00"/>
    <n v="1.7068493150684931"/>
    <x v="142"/>
    <x v="0"/>
    <x v="8"/>
    <x v="1"/>
    <n v="8.4700000000000006"/>
    <m/>
    <m/>
    <m/>
    <m/>
    <m/>
    <m/>
    <x v="2"/>
    <n v="3"/>
    <n v="5"/>
    <m/>
    <m/>
    <m/>
    <m/>
    <m/>
    <m/>
    <m/>
    <m/>
    <m/>
    <m/>
    <m/>
    <m/>
    <m/>
    <m/>
  </r>
  <r>
    <n v="5497"/>
    <n v="56028"/>
    <d v="2001-06-26T00:00:00"/>
    <n v="24"/>
    <x v="1"/>
    <x v="1"/>
    <d v="2024-04-17T00:00:00"/>
    <n v="1.3397260273972602"/>
    <x v="142"/>
    <x v="0"/>
    <x v="8"/>
    <x v="1"/>
    <n v="8.4700000000000006"/>
    <m/>
    <m/>
    <m/>
    <m/>
    <m/>
    <m/>
    <x v="4"/>
    <n v="0"/>
    <n v="3"/>
    <m/>
    <m/>
    <m/>
    <m/>
    <m/>
    <m/>
    <m/>
    <m/>
    <m/>
    <m/>
    <m/>
    <m/>
    <m/>
    <m/>
  </r>
  <r>
    <n v="5498"/>
    <n v="56029"/>
    <d v="1993-08-21T00:00:00"/>
    <n v="32"/>
    <x v="1"/>
    <x v="1"/>
    <d v="2024-08-29T00:00:00"/>
    <n v="1.4219178082191781"/>
    <x v="142"/>
    <x v="0"/>
    <x v="8"/>
    <x v="1"/>
    <n v="8.4700000000000006"/>
    <m/>
    <m/>
    <m/>
    <m/>
    <m/>
    <m/>
    <x v="4"/>
    <n v="3"/>
    <n v="6"/>
    <m/>
    <m/>
    <m/>
    <m/>
    <m/>
    <m/>
    <m/>
    <m/>
    <m/>
    <m/>
    <m/>
    <m/>
    <m/>
    <m/>
  </r>
  <r>
    <n v="5499"/>
    <n v="56030"/>
    <d v="1994-03-30T00:00:00"/>
    <n v="31"/>
    <x v="1"/>
    <x v="1"/>
    <d v="2024-07-30T00:00:00"/>
    <n v="1.0876712328767124"/>
    <x v="142"/>
    <x v="0"/>
    <x v="8"/>
    <x v="1"/>
    <n v="8.4700000000000006"/>
    <m/>
    <m/>
    <m/>
    <m/>
    <m/>
    <m/>
    <x v="2"/>
    <n v="2"/>
    <n v="5"/>
    <m/>
    <m/>
    <m/>
    <m/>
    <m/>
    <m/>
    <m/>
    <m/>
    <m/>
    <m/>
    <m/>
    <m/>
    <m/>
    <m/>
  </r>
  <r>
    <n v="5500"/>
    <n v="56031"/>
    <d v="2004-12-23T00:00:00"/>
    <n v="21"/>
    <x v="1"/>
    <x v="0"/>
    <d v="2024-11-29T00:00:00"/>
    <n v="1.6986301369863013"/>
    <x v="142"/>
    <x v="0"/>
    <x v="8"/>
    <x v="1"/>
    <n v="8.4700000000000006"/>
    <m/>
    <m/>
    <m/>
    <m/>
    <m/>
    <m/>
    <x v="1"/>
    <n v="1"/>
    <n v="6"/>
    <m/>
    <m/>
    <m/>
    <m/>
    <m/>
    <m/>
    <m/>
    <m/>
    <m/>
    <m/>
    <m/>
    <m/>
    <m/>
    <m/>
  </r>
  <r>
    <n v="5501"/>
    <n v="56032"/>
    <d v="2005-04-18T00:00:00"/>
    <n v="20"/>
    <x v="0"/>
    <x v="1"/>
    <d v="2024-04-20T00:00:00"/>
    <n v="1.0301369863013699"/>
    <x v="142"/>
    <x v="0"/>
    <x v="8"/>
    <x v="1"/>
    <n v="8.4700000000000006"/>
    <m/>
    <m/>
    <m/>
    <m/>
    <m/>
    <m/>
    <x v="3"/>
    <n v="1"/>
    <n v="5"/>
    <m/>
    <m/>
    <m/>
    <m/>
    <m/>
    <m/>
    <m/>
    <m/>
    <m/>
    <m/>
    <m/>
    <m/>
    <m/>
    <m/>
  </r>
  <r>
    <n v="5502"/>
    <n v="56033"/>
    <d v="2002-10-16T00:00:00"/>
    <n v="23"/>
    <x v="1"/>
    <x v="0"/>
    <d v="2024-12-20T00:00:00"/>
    <n v="1.5643835616438355"/>
    <x v="142"/>
    <x v="0"/>
    <x v="8"/>
    <x v="1"/>
    <n v="8.4700000000000006"/>
    <m/>
    <m/>
    <m/>
    <m/>
    <m/>
    <m/>
    <x v="4"/>
    <n v="1"/>
    <n v="5"/>
    <m/>
    <m/>
    <m/>
    <m/>
    <m/>
    <m/>
    <m/>
    <m/>
    <m/>
    <m/>
    <m/>
    <m/>
    <m/>
    <m/>
  </r>
  <r>
    <n v="5503"/>
    <n v="56034"/>
    <d v="2001-02-23T00:00:00"/>
    <n v="24"/>
    <x v="1"/>
    <x v="1"/>
    <d v="2024-06-08T00:00:00"/>
    <n v="1.1561643835616437"/>
    <x v="59"/>
    <x v="0"/>
    <x v="11"/>
    <x v="1"/>
    <n v="17"/>
    <m/>
    <m/>
    <m/>
    <m/>
    <m/>
    <m/>
    <x v="4"/>
    <n v="1"/>
    <n v="7"/>
    <m/>
    <m/>
    <m/>
    <m/>
    <m/>
    <m/>
    <m/>
    <m/>
    <m/>
    <m/>
    <m/>
    <m/>
    <m/>
    <m/>
  </r>
  <r>
    <n v="5504"/>
    <n v="56035"/>
    <d v="2006-05-28T00:00:00"/>
    <n v="19"/>
    <x v="0"/>
    <x v="0"/>
    <d v="2024-11-04T00:00:00"/>
    <n v="1.8739726027397261"/>
    <x v="59"/>
    <x v="0"/>
    <x v="10"/>
    <x v="1"/>
    <n v="10.64"/>
    <m/>
    <m/>
    <m/>
    <m/>
    <m/>
    <m/>
    <x v="4"/>
    <n v="0"/>
    <n v="3"/>
    <m/>
    <m/>
    <m/>
    <m/>
    <m/>
    <m/>
    <m/>
    <m/>
    <m/>
    <m/>
    <m/>
    <m/>
    <m/>
    <m/>
  </r>
  <r>
    <n v="5505"/>
    <n v="56037"/>
    <d v="2007-12-07T00:00:00"/>
    <n v="18"/>
    <x v="1"/>
    <x v="1"/>
    <d v="2024-02-16T00:00:00"/>
    <n v="1.0876712328767124"/>
    <x v="59"/>
    <x v="0"/>
    <x v="8"/>
    <x v="1"/>
    <n v="8.4700000000000006"/>
    <m/>
    <m/>
    <m/>
    <m/>
    <m/>
    <m/>
    <x v="1"/>
    <n v="4"/>
    <n v="7"/>
    <m/>
    <m/>
    <m/>
    <m/>
    <m/>
    <m/>
    <m/>
    <m/>
    <m/>
    <m/>
    <m/>
    <m/>
    <m/>
    <m/>
  </r>
  <r>
    <n v="5506"/>
    <n v="56038"/>
    <d v="2003-12-24T00:00:00"/>
    <n v="22"/>
    <x v="1"/>
    <x v="1"/>
    <d v="2024-11-29T00:00:00"/>
    <n v="1.2273972602739727"/>
    <x v="59"/>
    <x v="0"/>
    <x v="8"/>
    <x v="1"/>
    <n v="8.4700000000000006"/>
    <m/>
    <m/>
    <m/>
    <m/>
    <m/>
    <m/>
    <x v="1"/>
    <n v="1"/>
    <n v="5"/>
    <m/>
    <m/>
    <m/>
    <m/>
    <m/>
    <m/>
    <m/>
    <m/>
    <m/>
    <m/>
    <m/>
    <m/>
    <m/>
    <m/>
  </r>
  <r>
    <n v="5507"/>
    <n v="56039"/>
    <d v="2006-10-05T00:00:00"/>
    <n v="19"/>
    <x v="1"/>
    <x v="1"/>
    <d v="2024-10-09T00:00:00"/>
    <n v="1.0630136986301371"/>
    <x v="59"/>
    <x v="0"/>
    <x v="8"/>
    <x v="1"/>
    <n v="8.4700000000000006"/>
    <m/>
    <m/>
    <m/>
    <m/>
    <m/>
    <m/>
    <x v="2"/>
    <n v="4"/>
    <n v="6"/>
    <m/>
    <m/>
    <m/>
    <m/>
    <m/>
    <m/>
    <m/>
    <m/>
    <m/>
    <m/>
    <m/>
    <m/>
    <m/>
    <m/>
  </r>
  <r>
    <n v="5508"/>
    <n v="56040"/>
    <d v="2007-10-09T00:00:00"/>
    <n v="18"/>
    <x v="1"/>
    <x v="1"/>
    <d v="2024-12-08T00:00:00"/>
    <n v="1.6438356164383561"/>
    <x v="59"/>
    <x v="0"/>
    <x v="8"/>
    <x v="1"/>
    <n v="8.4700000000000006"/>
    <m/>
    <m/>
    <m/>
    <m/>
    <m/>
    <m/>
    <x v="3"/>
    <n v="0"/>
    <n v="7"/>
    <m/>
    <m/>
    <m/>
    <m/>
    <m/>
    <m/>
    <m/>
    <m/>
    <m/>
    <m/>
    <m/>
    <m/>
    <m/>
    <m/>
  </r>
  <r>
    <n v="5509"/>
    <n v="56041"/>
    <d v="2007-10-09T00:00:00"/>
    <n v="18"/>
    <x v="1"/>
    <x v="1"/>
    <d v="2024-05-10T00:00:00"/>
    <n v="1.3123287671232877"/>
    <x v="59"/>
    <x v="0"/>
    <x v="8"/>
    <x v="1"/>
    <n v="8.4700000000000006"/>
    <m/>
    <m/>
    <m/>
    <m/>
    <m/>
    <m/>
    <x v="1"/>
    <n v="0"/>
    <n v="6"/>
    <m/>
    <m/>
    <m/>
    <m/>
    <m/>
    <m/>
    <m/>
    <m/>
    <m/>
    <m/>
    <m/>
    <m/>
    <m/>
    <m/>
  </r>
  <r>
    <n v="5510"/>
    <n v="56042"/>
    <d v="2006-05-07T00:00:00"/>
    <n v="19"/>
    <x v="1"/>
    <x v="0"/>
    <d v="2024-09-08T00:00:00"/>
    <n v="1.7589041095890412"/>
    <x v="59"/>
    <x v="0"/>
    <x v="8"/>
    <x v="1"/>
    <n v="8.4700000000000006"/>
    <m/>
    <m/>
    <m/>
    <m/>
    <m/>
    <m/>
    <x v="1"/>
    <n v="1"/>
    <n v="6"/>
    <m/>
    <m/>
    <m/>
    <m/>
    <m/>
    <m/>
    <m/>
    <m/>
    <m/>
    <m/>
    <m/>
    <m/>
    <m/>
    <m/>
  </r>
  <r>
    <n v="5511"/>
    <n v="56043"/>
    <d v="1995-09-09T00:00:00"/>
    <n v="30"/>
    <x v="1"/>
    <x v="0"/>
    <d v="2024-03-29T00:00:00"/>
    <n v="1.6493150684931508"/>
    <x v="59"/>
    <x v="0"/>
    <x v="8"/>
    <x v="1"/>
    <n v="8.4700000000000006"/>
    <m/>
    <m/>
    <m/>
    <m/>
    <m/>
    <m/>
    <x v="4"/>
    <n v="2"/>
    <n v="6"/>
    <m/>
    <m/>
    <m/>
    <m/>
    <m/>
    <m/>
    <m/>
    <m/>
    <m/>
    <m/>
    <m/>
    <m/>
    <m/>
    <m/>
  </r>
  <r>
    <n v="5512"/>
    <n v="56045"/>
    <d v="2003-06-08T00:00:00"/>
    <n v="22"/>
    <x v="1"/>
    <x v="1"/>
    <d v="2024-05-08T00:00:00"/>
    <n v="1.1260273972602739"/>
    <x v="59"/>
    <x v="0"/>
    <x v="8"/>
    <x v="1"/>
    <n v="8.4700000000000006"/>
    <m/>
    <m/>
    <m/>
    <m/>
    <m/>
    <m/>
    <x v="3"/>
    <n v="0"/>
    <n v="6"/>
    <m/>
    <m/>
    <m/>
    <m/>
    <m/>
    <m/>
    <m/>
    <m/>
    <m/>
    <m/>
    <m/>
    <m/>
    <m/>
    <m/>
  </r>
  <r>
    <n v="5513"/>
    <n v="56046"/>
    <d v="2001-02-19T00:00:00"/>
    <n v="24"/>
    <x v="1"/>
    <x v="1"/>
    <d v="2024-11-15T00:00:00"/>
    <n v="1.1616438356164382"/>
    <x v="37"/>
    <x v="0"/>
    <x v="11"/>
    <x v="1"/>
    <n v="17"/>
    <m/>
    <m/>
    <m/>
    <m/>
    <m/>
    <m/>
    <x v="1"/>
    <n v="0"/>
    <n v="7"/>
    <m/>
    <m/>
    <m/>
    <m/>
    <m/>
    <m/>
    <m/>
    <m/>
    <m/>
    <m/>
    <m/>
    <m/>
    <m/>
    <m/>
  </r>
  <r>
    <n v="5514"/>
    <n v="56047"/>
    <d v="2000-06-21T00:00:00"/>
    <n v="25"/>
    <x v="0"/>
    <x v="1"/>
    <d v="2024-11-02T00:00:00"/>
    <n v="1.7095890410958905"/>
    <x v="37"/>
    <x v="0"/>
    <x v="11"/>
    <x v="1"/>
    <n v="17"/>
    <m/>
    <m/>
    <m/>
    <m/>
    <m/>
    <m/>
    <x v="1"/>
    <n v="2"/>
    <n v="3"/>
    <m/>
    <m/>
    <m/>
    <m/>
    <m/>
    <m/>
    <m/>
    <m/>
    <m/>
    <m/>
    <m/>
    <m/>
    <m/>
    <m/>
  </r>
  <r>
    <n v="5515"/>
    <n v="56048"/>
    <d v="2000-12-07T00:00:00"/>
    <n v="25"/>
    <x v="1"/>
    <x v="1"/>
    <d v="2024-04-16T00:00:00"/>
    <n v="1.2465753424657535"/>
    <x v="37"/>
    <x v="0"/>
    <x v="9"/>
    <x v="1"/>
    <n v="14.07"/>
    <m/>
    <m/>
    <m/>
    <m/>
    <m/>
    <m/>
    <x v="1"/>
    <n v="0"/>
    <n v="6"/>
    <m/>
    <m/>
    <m/>
    <m/>
    <m/>
    <m/>
    <m/>
    <m/>
    <m/>
    <m/>
    <m/>
    <m/>
    <m/>
    <m/>
  </r>
  <r>
    <n v="5516"/>
    <n v="56049"/>
    <d v="2007-06-25T00:00:00"/>
    <n v="18"/>
    <x v="1"/>
    <x v="1"/>
    <d v="2024-10-02T00:00:00"/>
    <n v="1.5232876712328767"/>
    <x v="37"/>
    <x v="0"/>
    <x v="3"/>
    <x v="1"/>
    <n v="8.4700000000000006"/>
    <m/>
    <m/>
    <m/>
    <m/>
    <m/>
    <m/>
    <x v="4"/>
    <n v="2"/>
    <n v="5"/>
    <m/>
    <m/>
    <m/>
    <m/>
    <m/>
    <m/>
    <m/>
    <m/>
    <m/>
    <m/>
    <m/>
    <m/>
    <m/>
    <m/>
  </r>
  <r>
    <n v="5517"/>
    <n v="56050"/>
    <d v="2004-12-30T00:00:00"/>
    <n v="21"/>
    <x v="1"/>
    <x v="1"/>
    <d v="2024-06-23T00:00:00"/>
    <n v="1.484931506849315"/>
    <x v="37"/>
    <x v="0"/>
    <x v="8"/>
    <x v="1"/>
    <n v="8.4700000000000006"/>
    <m/>
    <m/>
    <m/>
    <m/>
    <m/>
    <m/>
    <x v="1"/>
    <n v="1"/>
    <n v="6"/>
    <m/>
    <m/>
    <m/>
    <m/>
    <m/>
    <m/>
    <m/>
    <m/>
    <m/>
    <m/>
    <m/>
    <m/>
    <m/>
    <m/>
  </r>
  <r>
    <n v="5518"/>
    <n v="56051"/>
    <d v="2005-09-20T00:00:00"/>
    <n v="20"/>
    <x v="1"/>
    <x v="1"/>
    <d v="2024-07-07T00:00:00"/>
    <n v="1.9205479452054794"/>
    <x v="37"/>
    <x v="0"/>
    <x v="8"/>
    <x v="1"/>
    <n v="8.4700000000000006"/>
    <m/>
    <m/>
    <m/>
    <m/>
    <m/>
    <m/>
    <x v="4"/>
    <n v="2"/>
    <n v="7"/>
    <m/>
    <m/>
    <m/>
    <m/>
    <m/>
    <m/>
    <m/>
    <m/>
    <m/>
    <m/>
    <m/>
    <m/>
    <m/>
    <m/>
  </r>
  <r>
    <n v="5519"/>
    <n v="56053"/>
    <d v="2001-07-17T00:00:00"/>
    <n v="24"/>
    <x v="1"/>
    <x v="0"/>
    <d v="2024-01-30T00:00:00"/>
    <n v="1.4219178082191781"/>
    <x v="37"/>
    <x v="0"/>
    <x v="8"/>
    <x v="1"/>
    <n v="8.4700000000000006"/>
    <m/>
    <m/>
    <m/>
    <m/>
    <m/>
    <m/>
    <x v="1"/>
    <n v="2"/>
    <n v="6"/>
    <m/>
    <m/>
    <m/>
    <m/>
    <m/>
    <m/>
    <m/>
    <m/>
    <m/>
    <m/>
    <m/>
    <m/>
    <m/>
    <m/>
  </r>
  <r>
    <n v="5520"/>
    <n v="56054"/>
    <d v="2005-02-07T00:00:00"/>
    <n v="20"/>
    <x v="1"/>
    <x v="1"/>
    <d v="2024-07-30T00:00:00"/>
    <n v="1.536986301369863"/>
    <x v="37"/>
    <x v="0"/>
    <x v="8"/>
    <x v="1"/>
    <n v="8.4700000000000006"/>
    <m/>
    <m/>
    <m/>
    <m/>
    <m/>
    <m/>
    <x v="1"/>
    <n v="2"/>
    <n v="7"/>
    <m/>
    <m/>
    <m/>
    <m/>
    <m/>
    <m/>
    <m/>
    <m/>
    <m/>
    <m/>
    <m/>
    <m/>
    <m/>
    <m/>
  </r>
  <r>
    <n v="5521"/>
    <n v="56055"/>
    <d v="2003-10-02T00:00:00"/>
    <n v="22"/>
    <x v="1"/>
    <x v="1"/>
    <d v="2024-06-18T00:00:00"/>
    <n v="1.6328767123287671"/>
    <x v="37"/>
    <x v="0"/>
    <x v="8"/>
    <x v="1"/>
    <n v="8.4700000000000006"/>
    <m/>
    <m/>
    <m/>
    <m/>
    <m/>
    <m/>
    <x v="3"/>
    <n v="1"/>
    <n v="7"/>
    <m/>
    <m/>
    <m/>
    <m/>
    <m/>
    <m/>
    <m/>
    <m/>
    <m/>
    <m/>
    <m/>
    <m/>
    <m/>
    <m/>
  </r>
  <r>
    <n v="5522"/>
    <n v="56056"/>
    <d v="2005-11-24T00:00:00"/>
    <n v="20"/>
    <x v="1"/>
    <x v="0"/>
    <d v="2024-05-14T00:00:00"/>
    <n v="1.3041095890410959"/>
    <x v="37"/>
    <x v="0"/>
    <x v="8"/>
    <x v="1"/>
    <n v="8.4700000000000006"/>
    <m/>
    <m/>
    <m/>
    <m/>
    <m/>
    <m/>
    <x v="3"/>
    <n v="4"/>
    <n v="7"/>
    <m/>
    <m/>
    <m/>
    <m/>
    <m/>
    <m/>
    <m/>
    <m/>
    <m/>
    <m/>
    <m/>
    <m/>
    <m/>
    <m/>
  </r>
  <r>
    <n v="5523"/>
    <n v="56057"/>
    <d v="1993-07-10T00:00:00"/>
    <n v="32"/>
    <x v="1"/>
    <x v="1"/>
    <d v="2024-09-11T00:00:00"/>
    <n v="1.1315068493150684"/>
    <x v="37"/>
    <x v="0"/>
    <x v="8"/>
    <x v="1"/>
    <n v="8.4700000000000006"/>
    <m/>
    <m/>
    <m/>
    <m/>
    <m/>
    <m/>
    <x v="4"/>
    <n v="1"/>
    <n v="5"/>
    <m/>
    <m/>
    <m/>
    <m/>
    <m/>
    <m/>
    <m/>
    <m/>
    <m/>
    <m/>
    <m/>
    <m/>
    <m/>
    <m/>
  </r>
  <r>
    <n v="5524"/>
    <n v="56058"/>
    <d v="2003-03-29T00:00:00"/>
    <n v="22"/>
    <x v="0"/>
    <x v="0"/>
    <d v="2024-11-13T00:00:00"/>
    <n v="1.0136986301369864"/>
    <x v="37"/>
    <x v="0"/>
    <x v="8"/>
    <x v="1"/>
    <n v="8.4700000000000006"/>
    <m/>
    <m/>
    <m/>
    <m/>
    <m/>
    <m/>
    <x v="2"/>
    <n v="2"/>
    <n v="4"/>
    <m/>
    <m/>
    <m/>
    <m/>
    <m/>
    <m/>
    <m/>
    <m/>
    <m/>
    <m/>
    <m/>
    <m/>
    <m/>
    <m/>
  </r>
  <r>
    <n v="5525"/>
    <n v="56059"/>
    <d v="2001-11-28T00:00:00"/>
    <n v="24"/>
    <x v="1"/>
    <x v="1"/>
    <d v="2024-12-26T00:00:00"/>
    <n v="1.4082191780821918"/>
    <x v="77"/>
    <x v="0"/>
    <x v="11"/>
    <x v="1"/>
    <n v="17"/>
    <m/>
    <m/>
    <m/>
    <m/>
    <m/>
    <m/>
    <x v="1"/>
    <n v="4"/>
    <n v="5"/>
    <m/>
    <m/>
    <m/>
    <m/>
    <m/>
    <m/>
    <m/>
    <m/>
    <m/>
    <m/>
    <m/>
    <m/>
    <m/>
    <m/>
  </r>
  <r>
    <n v="5526"/>
    <n v="56060"/>
    <d v="2003-04-04T00:00:00"/>
    <n v="22"/>
    <x v="1"/>
    <x v="1"/>
    <d v="2024-08-04T00:00:00"/>
    <n v="1.6301369863013699"/>
    <x v="77"/>
    <x v="0"/>
    <x v="11"/>
    <x v="1"/>
    <n v="17"/>
    <m/>
    <m/>
    <m/>
    <m/>
    <m/>
    <m/>
    <x v="3"/>
    <n v="0"/>
    <n v="6"/>
    <m/>
    <m/>
    <m/>
    <m/>
    <m/>
    <m/>
    <m/>
    <m/>
    <m/>
    <m/>
    <m/>
    <m/>
    <m/>
    <m/>
  </r>
  <r>
    <n v="5527"/>
    <n v="56061"/>
    <d v="2002-01-04T00:00:00"/>
    <n v="23"/>
    <x v="0"/>
    <x v="0"/>
    <d v="2024-05-15T00:00:00"/>
    <n v="1.0684931506849316"/>
    <x v="77"/>
    <x v="0"/>
    <x v="10"/>
    <x v="1"/>
    <n v="10.64"/>
    <m/>
    <m/>
    <m/>
    <m/>
    <m/>
    <m/>
    <x v="4"/>
    <n v="1"/>
    <n v="6"/>
    <m/>
    <m/>
    <m/>
    <m/>
    <m/>
    <m/>
    <m/>
    <m/>
    <m/>
    <m/>
    <m/>
    <m/>
    <m/>
    <m/>
  </r>
  <r>
    <n v="5528"/>
    <n v="56062"/>
    <d v="2001-12-24T00:00:00"/>
    <n v="24"/>
    <x v="1"/>
    <x v="1"/>
    <d v="2024-12-06T00:00:00"/>
    <n v="1.2027397260273973"/>
    <x v="77"/>
    <x v="0"/>
    <x v="10"/>
    <x v="1"/>
    <n v="10.64"/>
    <m/>
    <m/>
    <m/>
    <m/>
    <m/>
    <m/>
    <x v="2"/>
    <n v="0"/>
    <n v="6"/>
    <m/>
    <m/>
    <m/>
    <m/>
    <m/>
    <m/>
    <m/>
    <m/>
    <m/>
    <m/>
    <m/>
    <m/>
    <m/>
    <m/>
  </r>
  <r>
    <n v="5529"/>
    <n v="56063"/>
    <d v="2004-06-05T00:00:00"/>
    <n v="21"/>
    <x v="1"/>
    <x v="0"/>
    <d v="2024-10-18T00:00:00"/>
    <n v="1.2136986301369863"/>
    <x v="77"/>
    <x v="0"/>
    <x v="8"/>
    <x v="1"/>
    <n v="8.4700000000000006"/>
    <m/>
    <m/>
    <m/>
    <m/>
    <m/>
    <m/>
    <x v="4"/>
    <n v="1"/>
    <n v="6"/>
    <m/>
    <m/>
    <m/>
    <m/>
    <m/>
    <m/>
    <m/>
    <m/>
    <m/>
    <m/>
    <m/>
    <m/>
    <m/>
    <m/>
  </r>
  <r>
    <n v="5530"/>
    <n v="56064"/>
    <d v="2004-12-02T00:00:00"/>
    <n v="21"/>
    <x v="1"/>
    <x v="1"/>
    <d v="2024-10-14T00:00:00"/>
    <n v="1.167123287671233"/>
    <x v="77"/>
    <x v="0"/>
    <x v="8"/>
    <x v="1"/>
    <n v="8.4700000000000006"/>
    <m/>
    <m/>
    <m/>
    <m/>
    <m/>
    <m/>
    <x v="3"/>
    <n v="2"/>
    <n v="6"/>
    <m/>
    <m/>
    <m/>
    <m/>
    <m/>
    <m/>
    <m/>
    <m/>
    <m/>
    <m/>
    <m/>
    <m/>
    <m/>
    <m/>
  </r>
  <r>
    <n v="5531"/>
    <n v="56065"/>
    <d v="2006-09-20T00:00:00"/>
    <n v="19"/>
    <x v="1"/>
    <x v="1"/>
    <d v="2024-10-31T00:00:00"/>
    <n v="1.0356164383561643"/>
    <x v="77"/>
    <x v="0"/>
    <x v="8"/>
    <x v="1"/>
    <n v="8.4700000000000006"/>
    <m/>
    <m/>
    <m/>
    <m/>
    <m/>
    <m/>
    <x v="3"/>
    <n v="1"/>
    <n v="5"/>
    <m/>
    <m/>
    <m/>
    <m/>
    <m/>
    <m/>
    <m/>
    <m/>
    <m/>
    <m/>
    <m/>
    <m/>
    <m/>
    <m/>
  </r>
  <r>
    <n v="5532"/>
    <n v="56066"/>
    <d v="2006-04-12T00:00:00"/>
    <n v="19"/>
    <x v="0"/>
    <x v="1"/>
    <d v="2024-12-18T00:00:00"/>
    <n v="1.6301369863013699"/>
    <x v="77"/>
    <x v="0"/>
    <x v="8"/>
    <x v="1"/>
    <n v="8.4700000000000006"/>
    <m/>
    <m/>
    <m/>
    <m/>
    <m/>
    <m/>
    <x v="4"/>
    <n v="2"/>
    <n v="5"/>
    <m/>
    <m/>
    <m/>
    <m/>
    <m/>
    <m/>
    <m/>
    <m/>
    <m/>
    <m/>
    <m/>
    <m/>
    <m/>
    <m/>
  </r>
  <r>
    <n v="5533"/>
    <n v="56067"/>
    <d v="2007-09-08T00:00:00"/>
    <n v="18"/>
    <x v="1"/>
    <x v="1"/>
    <d v="2024-05-15T00:00:00"/>
    <n v="1.3260273972602741"/>
    <x v="77"/>
    <x v="0"/>
    <x v="8"/>
    <x v="1"/>
    <n v="8.4700000000000006"/>
    <m/>
    <m/>
    <m/>
    <m/>
    <m/>
    <m/>
    <x v="4"/>
    <n v="2"/>
    <n v="5"/>
    <m/>
    <m/>
    <m/>
    <m/>
    <m/>
    <m/>
    <m/>
    <m/>
    <m/>
    <m/>
    <m/>
    <m/>
    <m/>
    <m/>
  </r>
  <r>
    <n v="5534"/>
    <n v="56068"/>
    <d v="1998-12-24T00:00:00"/>
    <n v="27"/>
    <x v="1"/>
    <x v="1"/>
    <d v="2024-09-03T00:00:00"/>
    <n v="1.2054794520547945"/>
    <x v="77"/>
    <x v="0"/>
    <x v="8"/>
    <x v="1"/>
    <n v="8.4700000000000006"/>
    <m/>
    <m/>
    <m/>
    <m/>
    <m/>
    <m/>
    <x v="4"/>
    <n v="0"/>
    <n v="6"/>
    <m/>
    <m/>
    <m/>
    <m/>
    <m/>
    <m/>
    <m/>
    <m/>
    <m/>
    <m/>
    <m/>
    <m/>
    <m/>
    <m/>
  </r>
  <r>
    <n v="5535"/>
    <n v="56069"/>
    <d v="2006-08-29T00:00:00"/>
    <n v="19"/>
    <x v="1"/>
    <x v="0"/>
    <d v="2024-10-17T00:00:00"/>
    <n v="1.4328767123287671"/>
    <x v="77"/>
    <x v="0"/>
    <x v="8"/>
    <x v="1"/>
    <n v="8.4700000000000006"/>
    <m/>
    <m/>
    <m/>
    <m/>
    <m/>
    <m/>
    <x v="1"/>
    <n v="2"/>
    <n v="6"/>
    <m/>
    <m/>
    <m/>
    <m/>
    <m/>
    <m/>
    <m/>
    <m/>
    <m/>
    <m/>
    <m/>
    <m/>
    <m/>
    <m/>
  </r>
  <r>
    <n v="5536"/>
    <n v="56070"/>
    <d v="2005-03-28T00:00:00"/>
    <n v="20"/>
    <x v="1"/>
    <x v="1"/>
    <d v="2024-07-26T00:00:00"/>
    <n v="1.7452054794520548"/>
    <x v="77"/>
    <x v="0"/>
    <x v="8"/>
    <x v="1"/>
    <n v="8.4700000000000006"/>
    <m/>
    <m/>
    <m/>
    <m/>
    <m/>
    <m/>
    <x v="2"/>
    <n v="2"/>
    <n v="5"/>
    <m/>
    <m/>
    <m/>
    <m/>
    <m/>
    <m/>
    <m/>
    <m/>
    <m/>
    <m/>
    <m/>
    <m/>
    <m/>
    <m/>
  </r>
  <r>
    <n v="5537"/>
    <n v="56071"/>
    <d v="1995-03-20T00:00:00"/>
    <n v="30"/>
    <x v="1"/>
    <x v="1"/>
    <d v="2024-04-03T00:00:00"/>
    <n v="1.4931506849315068"/>
    <x v="77"/>
    <x v="0"/>
    <x v="8"/>
    <x v="1"/>
    <n v="8.4700000000000006"/>
    <m/>
    <m/>
    <m/>
    <m/>
    <m/>
    <m/>
    <x v="4"/>
    <n v="2"/>
    <n v="5"/>
    <m/>
    <m/>
    <m/>
    <m/>
    <m/>
    <m/>
    <m/>
    <m/>
    <m/>
    <m/>
    <m/>
    <m/>
    <m/>
    <m/>
  </r>
  <r>
    <n v="5538"/>
    <n v="56072"/>
    <d v="2002-02-01T00:00:00"/>
    <n v="24"/>
    <x v="1"/>
    <x v="0"/>
    <d v="2024-07-04T00:00:00"/>
    <n v="1.558904109589041"/>
    <x v="77"/>
    <x v="0"/>
    <x v="8"/>
    <x v="1"/>
    <n v="8.4700000000000006"/>
    <m/>
    <m/>
    <m/>
    <m/>
    <m/>
    <m/>
    <x v="1"/>
    <n v="2"/>
    <n v="6"/>
    <m/>
    <m/>
    <m/>
    <m/>
    <m/>
    <m/>
    <m/>
    <m/>
    <m/>
    <m/>
    <m/>
    <m/>
    <m/>
    <m/>
  </r>
  <r>
    <n v="5539"/>
    <n v="56073"/>
    <d v="2004-12-13T00:00:00"/>
    <n v="21"/>
    <x v="0"/>
    <x v="1"/>
    <d v="2024-06-10T00:00:00"/>
    <n v="1.736986301369863"/>
    <x v="77"/>
    <x v="0"/>
    <x v="8"/>
    <x v="1"/>
    <n v="8.4700000000000006"/>
    <m/>
    <m/>
    <m/>
    <m/>
    <m/>
    <m/>
    <x v="1"/>
    <n v="4"/>
    <n v="5"/>
    <m/>
    <m/>
    <m/>
    <m/>
    <m/>
    <m/>
    <m/>
    <m/>
    <m/>
    <m/>
    <m/>
    <m/>
    <m/>
    <m/>
  </r>
  <r>
    <n v="5540"/>
    <n v="56074"/>
    <d v="2002-11-23T00:00:00"/>
    <n v="23"/>
    <x v="1"/>
    <x v="1"/>
    <d v="2024-04-06T00:00:00"/>
    <n v="1.2383561643835617"/>
    <x v="77"/>
    <x v="0"/>
    <x v="8"/>
    <x v="1"/>
    <n v="8.4700000000000006"/>
    <m/>
    <m/>
    <m/>
    <m/>
    <m/>
    <m/>
    <x v="3"/>
    <n v="1"/>
    <n v="5"/>
    <m/>
    <m/>
    <m/>
    <m/>
    <m/>
    <m/>
    <m/>
    <m/>
    <m/>
    <m/>
    <m/>
    <m/>
    <m/>
    <m/>
  </r>
  <r>
    <n v="5541"/>
    <n v="56076"/>
    <d v="2007-07-01T00:00:00"/>
    <n v="19"/>
    <x v="1"/>
    <x v="1"/>
    <d v="2024-10-05T00:00:00"/>
    <n v="1.1561643835616437"/>
    <x v="77"/>
    <x v="0"/>
    <x v="8"/>
    <x v="1"/>
    <n v="8.4700000000000006"/>
    <m/>
    <m/>
    <m/>
    <m/>
    <m/>
    <m/>
    <x v="3"/>
    <n v="2"/>
    <n v="6"/>
    <m/>
    <m/>
    <m/>
    <m/>
    <m/>
    <m/>
    <m/>
    <m/>
    <m/>
    <m/>
    <m/>
    <m/>
    <m/>
    <m/>
  </r>
  <r>
    <n v="5542"/>
    <n v="56077"/>
    <d v="2001-02-19T00:00:00"/>
    <n v="24"/>
    <x v="1"/>
    <x v="1"/>
    <d v="2024-11-04T00:00:00"/>
    <n v="1.3506849315068492"/>
    <x v="38"/>
    <x v="0"/>
    <x v="11"/>
    <x v="1"/>
    <n v="17"/>
    <m/>
    <m/>
    <m/>
    <m/>
    <m/>
    <m/>
    <x v="3"/>
    <n v="1"/>
    <n v="5"/>
    <m/>
    <m/>
    <m/>
    <m/>
    <m/>
    <m/>
    <m/>
    <m/>
    <m/>
    <m/>
    <m/>
    <m/>
    <m/>
    <m/>
  </r>
  <r>
    <n v="5543"/>
    <n v="56078"/>
    <d v="2000-05-24T00:00:00"/>
    <n v="25"/>
    <x v="1"/>
    <x v="0"/>
    <d v="2024-08-25T00:00:00"/>
    <n v="1.1863013698630136"/>
    <x v="38"/>
    <x v="0"/>
    <x v="11"/>
    <x v="1"/>
    <n v="17"/>
    <m/>
    <m/>
    <m/>
    <m/>
    <m/>
    <m/>
    <x v="1"/>
    <n v="2"/>
    <n v="6"/>
    <m/>
    <m/>
    <m/>
    <m/>
    <m/>
    <m/>
    <m/>
    <m/>
    <m/>
    <m/>
    <m/>
    <m/>
    <m/>
    <m/>
  </r>
  <r>
    <n v="5544"/>
    <n v="56079"/>
    <d v="2004-08-09T00:00:00"/>
    <n v="21"/>
    <x v="1"/>
    <x v="1"/>
    <d v="2024-10-24T00:00:00"/>
    <n v="1.6821917808219178"/>
    <x v="38"/>
    <x v="0"/>
    <x v="10"/>
    <x v="1"/>
    <n v="10.64"/>
    <m/>
    <m/>
    <m/>
    <m/>
    <m/>
    <m/>
    <x v="4"/>
    <n v="1"/>
    <n v="5"/>
    <m/>
    <m/>
    <m/>
    <m/>
    <m/>
    <m/>
    <m/>
    <m/>
    <m/>
    <m/>
    <m/>
    <m/>
    <m/>
    <m/>
  </r>
  <r>
    <n v="5545"/>
    <n v="56080"/>
    <d v="2003-12-10T00:00:00"/>
    <n v="22"/>
    <x v="1"/>
    <x v="0"/>
    <d v="2024-04-26T00:00:00"/>
    <n v="1.2493150684931507"/>
    <x v="38"/>
    <x v="0"/>
    <x v="8"/>
    <x v="1"/>
    <n v="8.4700000000000006"/>
    <m/>
    <m/>
    <m/>
    <m/>
    <m/>
    <m/>
    <x v="1"/>
    <n v="2"/>
    <n v="6"/>
    <m/>
    <m/>
    <m/>
    <m/>
    <m/>
    <m/>
    <m/>
    <m/>
    <m/>
    <m/>
    <m/>
    <m/>
    <m/>
    <m/>
  </r>
  <r>
    <n v="5546"/>
    <n v="56081"/>
    <d v="2006-07-14T00:00:00"/>
    <n v="19"/>
    <x v="1"/>
    <x v="1"/>
    <d v="2024-10-01T00:00:00"/>
    <n v="1.5424657534246575"/>
    <x v="38"/>
    <x v="0"/>
    <x v="8"/>
    <x v="1"/>
    <n v="8.4700000000000006"/>
    <m/>
    <m/>
    <m/>
    <m/>
    <m/>
    <m/>
    <x v="1"/>
    <n v="2"/>
    <n v="6"/>
    <m/>
    <m/>
    <m/>
    <m/>
    <m/>
    <m/>
    <m/>
    <m/>
    <m/>
    <m/>
    <m/>
    <m/>
    <m/>
    <m/>
  </r>
  <r>
    <n v="5547"/>
    <n v="56082"/>
    <d v="1999-02-07T00:00:00"/>
    <n v="26"/>
    <x v="1"/>
    <x v="1"/>
    <d v="2024-06-16T00:00:00"/>
    <n v="1.5315068493150685"/>
    <x v="38"/>
    <x v="0"/>
    <x v="8"/>
    <x v="1"/>
    <n v="8.4700000000000006"/>
    <m/>
    <m/>
    <m/>
    <m/>
    <m/>
    <m/>
    <x v="3"/>
    <n v="1"/>
    <n v="6"/>
    <m/>
    <m/>
    <m/>
    <m/>
    <m/>
    <m/>
    <m/>
    <m/>
    <m/>
    <m/>
    <m/>
    <m/>
    <m/>
    <m/>
  </r>
  <r>
    <n v="5548"/>
    <n v="56084"/>
    <d v="2006-03-16T00:00:00"/>
    <n v="19"/>
    <x v="1"/>
    <x v="0"/>
    <d v="2024-06-20T00:00:00"/>
    <n v="1.1835616438356165"/>
    <x v="38"/>
    <x v="0"/>
    <x v="8"/>
    <x v="1"/>
    <n v="8.4700000000000006"/>
    <m/>
    <m/>
    <m/>
    <m/>
    <m/>
    <m/>
    <x v="3"/>
    <n v="0"/>
    <n v="3"/>
    <m/>
    <m/>
    <m/>
    <m/>
    <m/>
    <m/>
    <m/>
    <m/>
    <m/>
    <m/>
    <m/>
    <m/>
    <m/>
    <m/>
  </r>
  <r>
    <n v="5549"/>
    <n v="56085"/>
    <d v="1996-12-22T00:00:00"/>
    <n v="29"/>
    <x v="0"/>
    <x v="1"/>
    <d v="2024-10-25T00:00:00"/>
    <n v="1.0739726027397261"/>
    <x v="38"/>
    <x v="0"/>
    <x v="8"/>
    <x v="1"/>
    <n v="8.4700000000000006"/>
    <m/>
    <m/>
    <m/>
    <m/>
    <m/>
    <m/>
    <x v="3"/>
    <n v="2"/>
    <n v="5"/>
    <m/>
    <m/>
    <m/>
    <m/>
    <m/>
    <m/>
    <m/>
    <m/>
    <m/>
    <m/>
    <m/>
    <m/>
    <m/>
    <m/>
  </r>
  <r>
    <n v="5550"/>
    <n v="56086"/>
    <d v="2004-11-02T00:00:00"/>
    <n v="21"/>
    <x v="1"/>
    <x v="1"/>
    <d v="2024-12-04T00:00:00"/>
    <n v="1.4191780821917808"/>
    <x v="38"/>
    <x v="0"/>
    <x v="8"/>
    <x v="1"/>
    <n v="8.4700000000000006"/>
    <m/>
    <m/>
    <m/>
    <m/>
    <m/>
    <m/>
    <x v="3"/>
    <n v="2"/>
    <n v="7"/>
    <m/>
    <m/>
    <m/>
    <m/>
    <m/>
    <m/>
    <m/>
    <m/>
    <m/>
    <m/>
    <m/>
    <m/>
    <m/>
    <m/>
  </r>
  <r>
    <n v="5551"/>
    <n v="56087"/>
    <d v="1999-02-04T00:00:00"/>
    <n v="26"/>
    <x v="1"/>
    <x v="1"/>
    <d v="2024-07-31T00:00:00"/>
    <n v="1.5780821917808219"/>
    <x v="38"/>
    <x v="0"/>
    <x v="8"/>
    <x v="1"/>
    <n v="8.4700000000000006"/>
    <m/>
    <m/>
    <m/>
    <m/>
    <m/>
    <m/>
    <x v="1"/>
    <n v="0"/>
    <n v="5"/>
    <m/>
    <m/>
    <m/>
    <m/>
    <m/>
    <m/>
    <m/>
    <m/>
    <m/>
    <m/>
    <m/>
    <m/>
    <m/>
    <m/>
  </r>
  <r>
    <n v="5552"/>
    <n v="56088"/>
    <d v="2004-09-14T00:00:00"/>
    <n v="21"/>
    <x v="1"/>
    <x v="0"/>
    <d v="2024-06-03T00:00:00"/>
    <n v="1.8054794520547945"/>
    <x v="38"/>
    <x v="0"/>
    <x v="8"/>
    <x v="1"/>
    <n v="8.4700000000000006"/>
    <m/>
    <m/>
    <m/>
    <m/>
    <m/>
    <m/>
    <x v="1"/>
    <n v="2"/>
    <n v="6"/>
    <m/>
    <m/>
    <m/>
    <m/>
    <m/>
    <m/>
    <m/>
    <m/>
    <m/>
    <m/>
    <m/>
    <m/>
    <m/>
    <m/>
  </r>
  <r>
    <n v="5553"/>
    <n v="56089"/>
    <d v="2005-10-07T00:00:00"/>
    <n v="20"/>
    <x v="1"/>
    <x v="1"/>
    <d v="2024-03-12T00:00:00"/>
    <n v="1.5397260273972602"/>
    <x v="38"/>
    <x v="0"/>
    <x v="8"/>
    <x v="1"/>
    <n v="8.4700000000000006"/>
    <m/>
    <m/>
    <m/>
    <m/>
    <m/>
    <m/>
    <x v="1"/>
    <n v="3"/>
    <n v="5"/>
    <m/>
    <m/>
    <m/>
    <m/>
    <m/>
    <m/>
    <m/>
    <m/>
    <m/>
    <m/>
    <m/>
    <m/>
    <m/>
    <m/>
  </r>
  <r>
    <n v="5554"/>
    <n v="56090"/>
    <d v="2005-05-08T00:00:00"/>
    <n v="20"/>
    <x v="1"/>
    <x v="1"/>
    <d v="2024-06-17T00:00:00"/>
    <n v="1.3780821917808219"/>
    <x v="38"/>
    <x v="0"/>
    <x v="8"/>
    <x v="1"/>
    <n v="8.4700000000000006"/>
    <m/>
    <m/>
    <m/>
    <m/>
    <m/>
    <m/>
    <x v="1"/>
    <n v="2"/>
    <n v="7"/>
    <m/>
    <m/>
    <m/>
    <m/>
    <m/>
    <m/>
    <m/>
    <m/>
    <m/>
    <m/>
    <m/>
    <m/>
    <m/>
    <m/>
  </r>
  <r>
    <n v="5555"/>
    <n v="56091"/>
    <d v="2003-12-29T00:00:00"/>
    <n v="22"/>
    <x v="1"/>
    <x v="1"/>
    <d v="2024-08-15T00:00:00"/>
    <n v="1.2493150684931507"/>
    <x v="38"/>
    <x v="0"/>
    <x v="8"/>
    <x v="1"/>
    <n v="8.4700000000000006"/>
    <m/>
    <m/>
    <m/>
    <m/>
    <m/>
    <m/>
    <x v="2"/>
    <n v="2"/>
    <n v="6"/>
    <m/>
    <m/>
    <m/>
    <m/>
    <m/>
    <m/>
    <m/>
    <m/>
    <m/>
    <m/>
    <m/>
    <m/>
    <m/>
    <m/>
  </r>
  <r>
    <n v="5556"/>
    <n v="56093"/>
    <d v="2002-06-04T00:00:00"/>
    <n v="23"/>
    <x v="1"/>
    <x v="1"/>
    <d v="2024-10-01T00:00:00"/>
    <n v="1.6602739726027398"/>
    <x v="38"/>
    <x v="0"/>
    <x v="8"/>
    <x v="1"/>
    <n v="8.4700000000000006"/>
    <m/>
    <m/>
    <m/>
    <m/>
    <m/>
    <m/>
    <x v="3"/>
    <n v="2"/>
    <n v="6"/>
    <m/>
    <m/>
    <m/>
    <m/>
    <m/>
    <m/>
    <m/>
    <m/>
    <m/>
    <m/>
    <m/>
    <m/>
    <m/>
    <m/>
  </r>
  <r>
    <n v="5557"/>
    <n v="56095"/>
    <d v="2002-07-05T00:00:00"/>
    <n v="23"/>
    <x v="1"/>
    <x v="1"/>
    <d v="2024-05-04T00:00:00"/>
    <n v="1.4027397260273973"/>
    <x v="42"/>
    <x v="0"/>
    <x v="11"/>
    <x v="1"/>
    <n v="17"/>
    <m/>
    <m/>
    <m/>
    <m/>
    <m/>
    <m/>
    <x v="1"/>
    <n v="2"/>
    <n v="7"/>
    <m/>
    <m/>
    <m/>
    <m/>
    <m/>
    <m/>
    <m/>
    <m/>
    <m/>
    <m/>
    <m/>
    <m/>
    <m/>
    <m/>
  </r>
  <r>
    <n v="5558"/>
    <n v="56096"/>
    <d v="1998-03-16T00:00:00"/>
    <n v="27"/>
    <x v="0"/>
    <x v="1"/>
    <d v="2024-08-06T00:00:00"/>
    <n v="1.6246575342465754"/>
    <x v="42"/>
    <x v="0"/>
    <x v="11"/>
    <x v="1"/>
    <n v="17"/>
    <m/>
    <m/>
    <m/>
    <m/>
    <m/>
    <m/>
    <x v="1"/>
    <n v="1"/>
    <n v="5"/>
    <m/>
    <m/>
    <m/>
    <m/>
    <m/>
    <m/>
    <m/>
    <m/>
    <m/>
    <m/>
    <m/>
    <m/>
    <m/>
    <m/>
  </r>
  <r>
    <n v="5559"/>
    <n v="56097"/>
    <d v="2006-12-21T00:00:00"/>
    <n v="19"/>
    <x v="1"/>
    <x v="1"/>
    <d v="2024-05-17T00:00:00"/>
    <n v="1.441095890410959"/>
    <x v="42"/>
    <x v="0"/>
    <x v="3"/>
    <x v="1"/>
    <n v="8.4700000000000006"/>
    <m/>
    <m/>
    <m/>
    <m/>
    <m/>
    <m/>
    <x v="1"/>
    <n v="3"/>
    <n v="6"/>
    <m/>
    <m/>
    <m/>
    <m/>
    <m/>
    <m/>
    <m/>
    <m/>
    <m/>
    <m/>
    <m/>
    <m/>
    <m/>
    <m/>
  </r>
  <r>
    <n v="5560"/>
    <n v="56098"/>
    <d v="2007-07-02T00:00:00"/>
    <n v="18"/>
    <x v="1"/>
    <x v="1"/>
    <d v="2024-07-23T00:00:00"/>
    <n v="1.536986301369863"/>
    <x v="42"/>
    <x v="0"/>
    <x v="3"/>
    <x v="1"/>
    <n v="8.4700000000000006"/>
    <m/>
    <m/>
    <m/>
    <m/>
    <m/>
    <m/>
    <x v="3"/>
    <n v="1"/>
    <n v="6"/>
    <m/>
    <m/>
    <m/>
    <m/>
    <m/>
    <m/>
    <m/>
    <m/>
    <m/>
    <m/>
    <m/>
    <m/>
    <m/>
    <m/>
  </r>
  <r>
    <n v="5561"/>
    <n v="56100"/>
    <d v="2006-04-13T00:00:00"/>
    <n v="19"/>
    <x v="1"/>
    <x v="1"/>
    <d v="2024-06-18T00:00:00"/>
    <n v="1.2356164383561643"/>
    <x v="42"/>
    <x v="0"/>
    <x v="8"/>
    <x v="1"/>
    <n v="8.4700000000000006"/>
    <m/>
    <m/>
    <m/>
    <m/>
    <m/>
    <m/>
    <x v="4"/>
    <n v="4"/>
    <n v="6"/>
    <m/>
    <m/>
    <m/>
    <m/>
    <m/>
    <m/>
    <m/>
    <m/>
    <m/>
    <m/>
    <m/>
    <m/>
    <m/>
    <m/>
  </r>
  <r>
    <n v="5562"/>
    <n v="56103"/>
    <d v="2006-12-15T00:00:00"/>
    <n v="19"/>
    <x v="0"/>
    <x v="0"/>
    <d v="2024-10-06T00:00:00"/>
    <n v="1.2657534246575342"/>
    <x v="42"/>
    <x v="0"/>
    <x v="8"/>
    <x v="1"/>
    <n v="8.4700000000000006"/>
    <m/>
    <m/>
    <m/>
    <m/>
    <m/>
    <m/>
    <x v="1"/>
    <n v="4"/>
    <n v="5"/>
    <m/>
    <m/>
    <m/>
    <m/>
    <m/>
    <m/>
    <m/>
    <m/>
    <m/>
    <m/>
    <m/>
    <m/>
    <m/>
    <m/>
  </r>
  <r>
    <n v="5563"/>
    <n v="56104"/>
    <d v="2007-10-21T00:00:00"/>
    <n v="18"/>
    <x v="1"/>
    <x v="1"/>
    <d v="2024-09-25T00:00:00"/>
    <n v="1.0465753424657533"/>
    <x v="42"/>
    <x v="0"/>
    <x v="8"/>
    <x v="1"/>
    <n v="8.4700000000000006"/>
    <m/>
    <m/>
    <m/>
    <m/>
    <m/>
    <m/>
    <x v="3"/>
    <n v="2"/>
    <n v="5"/>
    <m/>
    <m/>
    <m/>
    <m/>
    <m/>
    <m/>
    <m/>
    <m/>
    <m/>
    <m/>
    <m/>
    <m/>
    <m/>
    <m/>
  </r>
  <r>
    <n v="5564"/>
    <n v="56105"/>
    <d v="2004-08-13T00:00:00"/>
    <n v="21"/>
    <x v="1"/>
    <x v="1"/>
    <d v="2024-12-14T00:00:00"/>
    <n v="1.6986301369863013"/>
    <x v="42"/>
    <x v="0"/>
    <x v="8"/>
    <x v="1"/>
    <n v="8.4700000000000006"/>
    <m/>
    <m/>
    <m/>
    <m/>
    <m/>
    <m/>
    <x v="4"/>
    <n v="4"/>
    <n v="7"/>
    <m/>
    <m/>
    <m/>
    <m/>
    <m/>
    <m/>
    <m/>
    <m/>
    <m/>
    <m/>
    <m/>
    <m/>
    <m/>
    <m/>
  </r>
  <r>
    <n v="5565"/>
    <n v="56106"/>
    <d v="2006-09-23T00:00:00"/>
    <n v="19"/>
    <x v="1"/>
    <x v="1"/>
    <d v="2024-04-20T00:00:00"/>
    <n v="1.5917808219178082"/>
    <x v="42"/>
    <x v="0"/>
    <x v="8"/>
    <x v="1"/>
    <n v="8.4700000000000006"/>
    <m/>
    <m/>
    <m/>
    <m/>
    <m/>
    <m/>
    <x v="2"/>
    <n v="3"/>
    <n v="6"/>
    <m/>
    <m/>
    <m/>
    <m/>
    <m/>
    <m/>
    <m/>
    <m/>
    <m/>
    <m/>
    <m/>
    <m/>
    <m/>
    <m/>
  </r>
  <r>
    <n v="5566"/>
    <n v="56107"/>
    <d v="2003-05-12T00:00:00"/>
    <n v="22"/>
    <x v="1"/>
    <x v="1"/>
    <d v="2024-05-29T00:00:00"/>
    <n v="1.3315068493150686"/>
    <x v="42"/>
    <x v="0"/>
    <x v="8"/>
    <x v="1"/>
    <n v="8.4700000000000006"/>
    <m/>
    <m/>
    <m/>
    <m/>
    <m/>
    <m/>
    <x v="4"/>
    <n v="0"/>
    <n v="6"/>
    <m/>
    <m/>
    <m/>
    <m/>
    <m/>
    <m/>
    <m/>
    <m/>
    <m/>
    <m/>
    <m/>
    <m/>
    <m/>
    <m/>
  </r>
  <r>
    <n v="5567"/>
    <n v="56108"/>
    <d v="2003-03-06T00:00:00"/>
    <n v="22"/>
    <x v="1"/>
    <x v="1"/>
    <d v="2024-09-01T00:00:00"/>
    <n v="1.4684931506849315"/>
    <x v="42"/>
    <x v="0"/>
    <x v="8"/>
    <x v="1"/>
    <n v="8.4700000000000006"/>
    <m/>
    <m/>
    <m/>
    <m/>
    <m/>
    <m/>
    <x v="1"/>
    <n v="0"/>
    <n v="6"/>
    <m/>
    <m/>
    <m/>
    <m/>
    <m/>
    <m/>
    <m/>
    <m/>
    <m/>
    <m/>
    <m/>
    <m/>
    <m/>
    <m/>
  </r>
  <r>
    <n v="5568"/>
    <n v="56109"/>
    <d v="2007-07-29T00:00:00"/>
    <n v="18"/>
    <x v="1"/>
    <x v="1"/>
    <d v="2024-07-13T00:00:00"/>
    <n v="1.263013698630137"/>
    <x v="42"/>
    <x v="0"/>
    <x v="8"/>
    <x v="1"/>
    <n v="8.4700000000000006"/>
    <m/>
    <m/>
    <m/>
    <m/>
    <m/>
    <m/>
    <x v="4"/>
    <n v="3"/>
    <n v="7"/>
    <m/>
    <m/>
    <m/>
    <m/>
    <m/>
    <m/>
    <m/>
    <m/>
    <m/>
    <m/>
    <m/>
    <m/>
    <m/>
    <m/>
  </r>
  <r>
    <n v="5569"/>
    <n v="56110"/>
    <d v="2007-08-26T00:00:00"/>
    <n v="18"/>
    <x v="1"/>
    <x v="0"/>
    <d v="2024-09-26T00:00:00"/>
    <n v="1.5178082191780822"/>
    <x v="42"/>
    <x v="0"/>
    <x v="8"/>
    <x v="1"/>
    <n v="8.4700000000000006"/>
    <m/>
    <m/>
    <m/>
    <m/>
    <m/>
    <m/>
    <x v="4"/>
    <n v="3"/>
    <n v="7"/>
    <m/>
    <m/>
    <m/>
    <m/>
    <m/>
    <m/>
    <m/>
    <m/>
    <m/>
    <m/>
    <m/>
    <m/>
    <m/>
    <m/>
  </r>
  <r>
    <n v="5570"/>
    <n v="56111"/>
    <d v="1996-08-05T00:00:00"/>
    <n v="29"/>
    <x v="1"/>
    <x v="1"/>
    <d v="2024-06-25T00:00:00"/>
    <n v="1.4547945205479451"/>
    <x v="39"/>
    <x v="1"/>
    <x v="11"/>
    <x v="1"/>
    <n v="17"/>
    <m/>
    <m/>
    <m/>
    <m/>
    <m/>
    <m/>
    <x v="4"/>
    <n v="2"/>
    <n v="6"/>
    <m/>
    <m/>
    <m/>
    <m/>
    <m/>
    <m/>
    <m/>
    <m/>
    <m/>
    <m/>
    <m/>
    <m/>
    <m/>
    <m/>
  </r>
  <r>
    <n v="5571"/>
    <n v="56112"/>
    <d v="1995-02-21T00:00:00"/>
    <n v="30"/>
    <x v="1"/>
    <x v="0"/>
    <d v="2024-07-18T00:00:00"/>
    <n v="1.0082191780821919"/>
    <x v="39"/>
    <x v="1"/>
    <x v="10"/>
    <x v="1"/>
    <n v="10.64"/>
    <m/>
    <m/>
    <m/>
    <m/>
    <m/>
    <m/>
    <x v="1"/>
    <n v="0"/>
    <n v="5"/>
    <m/>
    <m/>
    <m/>
    <m/>
    <m/>
    <m/>
    <m/>
    <m/>
    <m/>
    <m/>
    <m/>
    <m/>
    <m/>
    <m/>
  </r>
  <r>
    <n v="5572"/>
    <n v="56113"/>
    <d v="2006-12-07T00:00:00"/>
    <n v="19"/>
    <x v="1"/>
    <x v="0"/>
    <d v="2024-12-28T00:00:00"/>
    <n v="1.1287671232876713"/>
    <x v="39"/>
    <x v="1"/>
    <x v="8"/>
    <x v="1"/>
    <n v="8.4700000000000006"/>
    <m/>
    <m/>
    <m/>
    <m/>
    <m/>
    <m/>
    <x v="4"/>
    <n v="3"/>
    <n v="6"/>
    <m/>
    <m/>
    <m/>
    <m/>
    <m/>
    <m/>
    <m/>
    <m/>
    <m/>
    <m/>
    <m/>
    <m/>
    <m/>
    <m/>
  </r>
  <r>
    <n v="5573"/>
    <n v="56114"/>
    <d v="1998-02-11T00:00:00"/>
    <n v="27"/>
    <x v="1"/>
    <x v="1"/>
    <d v="2024-11-14T00:00:00"/>
    <n v="1.8164383561643835"/>
    <x v="39"/>
    <x v="1"/>
    <x v="8"/>
    <x v="1"/>
    <n v="8.4700000000000006"/>
    <m/>
    <m/>
    <m/>
    <m/>
    <m/>
    <m/>
    <x v="4"/>
    <n v="0"/>
    <n v="5"/>
    <m/>
    <m/>
    <m/>
    <m/>
    <m/>
    <m/>
    <m/>
    <m/>
    <m/>
    <m/>
    <m/>
    <m/>
    <m/>
    <m/>
  </r>
  <r>
    <n v="5574"/>
    <n v="56115"/>
    <d v="2005-07-19T00:00:00"/>
    <n v="20"/>
    <x v="1"/>
    <x v="1"/>
    <d v="2024-03-08T00:00:00"/>
    <n v="1.4383561643835616"/>
    <x v="39"/>
    <x v="1"/>
    <x v="8"/>
    <x v="1"/>
    <n v="8.4700000000000006"/>
    <m/>
    <m/>
    <m/>
    <m/>
    <m/>
    <m/>
    <x v="4"/>
    <n v="3"/>
    <n v="7"/>
    <m/>
    <m/>
    <m/>
    <m/>
    <m/>
    <m/>
    <m/>
    <m/>
    <m/>
    <m/>
    <m/>
    <m/>
    <m/>
    <m/>
  </r>
  <r>
    <n v="5575"/>
    <n v="56116"/>
    <d v="2006-03-01T00:00:00"/>
    <n v="20"/>
    <x v="1"/>
    <x v="0"/>
    <d v="2024-07-24T00:00:00"/>
    <n v="1.3726027397260274"/>
    <x v="39"/>
    <x v="1"/>
    <x v="8"/>
    <x v="1"/>
    <n v="8.4700000000000006"/>
    <m/>
    <m/>
    <m/>
    <m/>
    <m/>
    <m/>
    <x v="1"/>
    <n v="4"/>
    <n v="6"/>
    <m/>
    <m/>
    <m/>
    <m/>
    <m/>
    <m/>
    <m/>
    <m/>
    <m/>
    <m/>
    <m/>
    <m/>
    <m/>
    <m/>
  </r>
  <r>
    <n v="5576"/>
    <n v="56117"/>
    <d v="2000-02-27T00:00:00"/>
    <n v="25"/>
    <x v="1"/>
    <x v="1"/>
    <d v="2024-08-17T00:00:00"/>
    <n v="1.6191780821917807"/>
    <x v="39"/>
    <x v="1"/>
    <x v="8"/>
    <x v="1"/>
    <n v="8.4700000000000006"/>
    <m/>
    <m/>
    <m/>
    <m/>
    <m/>
    <m/>
    <x v="1"/>
    <n v="2"/>
    <n v="5"/>
    <m/>
    <m/>
    <m/>
    <m/>
    <m/>
    <m/>
    <m/>
    <m/>
    <m/>
    <m/>
    <m/>
    <m/>
    <m/>
    <m/>
  </r>
  <r>
    <n v="5577"/>
    <n v="56118"/>
    <d v="2005-02-19T00:00:00"/>
    <n v="20"/>
    <x v="0"/>
    <x v="1"/>
    <d v="2024-05-19T00:00:00"/>
    <n v="1.273972602739726"/>
    <x v="39"/>
    <x v="1"/>
    <x v="8"/>
    <x v="1"/>
    <n v="8.4700000000000006"/>
    <m/>
    <m/>
    <m/>
    <m/>
    <m/>
    <m/>
    <x v="4"/>
    <n v="3"/>
    <n v="5"/>
    <m/>
    <m/>
    <m/>
    <m/>
    <m/>
    <m/>
    <m/>
    <m/>
    <m/>
    <m/>
    <m/>
    <m/>
    <m/>
    <m/>
  </r>
  <r>
    <n v="5578"/>
    <n v="56119"/>
    <d v="1998-02-01T00:00:00"/>
    <n v="28"/>
    <x v="1"/>
    <x v="1"/>
    <d v="2024-09-22T00:00:00"/>
    <n v="1.295890410958904"/>
    <x v="39"/>
    <x v="1"/>
    <x v="8"/>
    <x v="1"/>
    <n v="8.4700000000000006"/>
    <m/>
    <m/>
    <m/>
    <m/>
    <m/>
    <m/>
    <x v="1"/>
    <n v="2"/>
    <n v="6"/>
    <m/>
    <m/>
    <m/>
    <m/>
    <m/>
    <m/>
    <m/>
    <m/>
    <m/>
    <m/>
    <m/>
    <m/>
    <m/>
    <m/>
  </r>
  <r>
    <n v="5579"/>
    <n v="56120"/>
    <d v="2004-12-21T00:00:00"/>
    <n v="21"/>
    <x v="1"/>
    <x v="0"/>
    <d v="2024-09-14T00:00:00"/>
    <n v="1.7342465753424658"/>
    <x v="39"/>
    <x v="1"/>
    <x v="8"/>
    <x v="1"/>
    <n v="8.4700000000000006"/>
    <m/>
    <m/>
    <m/>
    <m/>
    <m/>
    <m/>
    <x v="2"/>
    <n v="2"/>
    <n v="5"/>
    <m/>
    <m/>
    <m/>
    <m/>
    <m/>
    <m/>
    <m/>
    <m/>
    <m/>
    <m/>
    <m/>
    <m/>
    <m/>
    <m/>
  </r>
  <r>
    <n v="5580"/>
    <n v="56121"/>
    <d v="2002-11-12T00:00:00"/>
    <n v="23"/>
    <x v="1"/>
    <x v="1"/>
    <d v="2024-04-07T00:00:00"/>
    <n v="1.4027397260273973"/>
    <x v="39"/>
    <x v="1"/>
    <x v="8"/>
    <x v="1"/>
    <n v="8.4700000000000006"/>
    <m/>
    <m/>
    <m/>
    <m/>
    <m/>
    <m/>
    <x v="4"/>
    <n v="4"/>
    <n v="6"/>
    <m/>
    <m/>
    <m/>
    <m/>
    <m/>
    <m/>
    <m/>
    <m/>
    <m/>
    <m/>
    <m/>
    <m/>
    <m/>
    <m/>
  </r>
  <r>
    <n v="5581"/>
    <n v="56122"/>
    <d v="2005-08-07T00:00:00"/>
    <n v="20"/>
    <x v="0"/>
    <x v="1"/>
    <d v="2024-08-06T00:00:00"/>
    <n v="1.0410958904109588"/>
    <x v="39"/>
    <x v="1"/>
    <x v="8"/>
    <x v="1"/>
    <n v="8.4700000000000006"/>
    <m/>
    <m/>
    <m/>
    <m/>
    <m/>
    <m/>
    <x v="4"/>
    <n v="2"/>
    <n v="5"/>
    <m/>
    <m/>
    <m/>
    <m/>
    <m/>
    <m/>
    <m/>
    <m/>
    <m/>
    <m/>
    <m/>
    <m/>
    <m/>
    <m/>
  </r>
  <r>
    <n v="5582"/>
    <n v="56123"/>
    <d v="2005-06-01T00:00:00"/>
    <n v="21"/>
    <x v="1"/>
    <x v="1"/>
    <d v="2024-12-16T00:00:00"/>
    <n v="1.6575342465753424"/>
    <x v="39"/>
    <x v="1"/>
    <x v="8"/>
    <x v="1"/>
    <n v="8.4700000000000006"/>
    <m/>
    <m/>
    <m/>
    <m/>
    <m/>
    <m/>
    <x v="2"/>
    <n v="0"/>
    <n v="5"/>
    <m/>
    <m/>
    <m/>
    <m/>
    <m/>
    <m/>
    <m/>
    <m/>
    <m/>
    <m/>
    <m/>
    <m/>
    <m/>
    <m/>
  </r>
  <r>
    <n v="5583"/>
    <n v="56124"/>
    <d v="2006-07-13T00:00:00"/>
    <n v="19"/>
    <x v="1"/>
    <x v="1"/>
    <d v="2024-05-05T00:00:00"/>
    <n v="1.5863013698630137"/>
    <x v="39"/>
    <x v="1"/>
    <x v="8"/>
    <x v="1"/>
    <n v="8.4700000000000006"/>
    <m/>
    <m/>
    <m/>
    <m/>
    <m/>
    <m/>
    <x v="1"/>
    <n v="2"/>
    <n v="7"/>
    <m/>
    <m/>
    <m/>
    <m/>
    <m/>
    <m/>
    <m/>
    <m/>
    <m/>
    <m/>
    <m/>
    <m/>
    <m/>
    <m/>
  </r>
  <r>
    <n v="5584"/>
    <n v="56125"/>
    <d v="2000-03-28T00:00:00"/>
    <n v="25"/>
    <x v="1"/>
    <x v="0"/>
    <d v="2024-05-31T00:00:00"/>
    <n v="1.3397260273972602"/>
    <x v="40"/>
    <x v="1"/>
    <x v="11"/>
    <x v="1"/>
    <n v="17"/>
    <m/>
    <m/>
    <m/>
    <m/>
    <m/>
    <m/>
    <x v="2"/>
    <n v="2"/>
    <n v="6"/>
    <m/>
    <m/>
    <m/>
    <m/>
    <m/>
    <m/>
    <m/>
    <m/>
    <m/>
    <m/>
    <m/>
    <m/>
    <m/>
    <m/>
  </r>
  <r>
    <n v="5585"/>
    <n v="56126"/>
    <d v="2006-08-22T00:00:00"/>
    <n v="19"/>
    <x v="1"/>
    <x v="0"/>
    <d v="2024-08-29T00:00:00"/>
    <n v="1.6410958904109589"/>
    <x v="40"/>
    <x v="1"/>
    <x v="1"/>
    <x v="1"/>
    <n v="16.37"/>
    <m/>
    <m/>
    <m/>
    <m/>
    <m/>
    <m/>
    <x v="2"/>
    <n v="1"/>
    <n v="6"/>
    <m/>
    <m/>
    <m/>
    <m/>
    <m/>
    <m/>
    <m/>
    <m/>
    <m/>
    <m/>
    <m/>
    <m/>
    <m/>
    <m/>
  </r>
  <r>
    <n v="5586"/>
    <n v="56127"/>
    <d v="1998-08-26T00:00:00"/>
    <n v="27"/>
    <x v="0"/>
    <x v="0"/>
    <d v="2024-05-11T00:00:00"/>
    <n v="1.4575342465753425"/>
    <x v="40"/>
    <x v="1"/>
    <x v="8"/>
    <x v="1"/>
    <n v="8.4700000000000006"/>
    <m/>
    <m/>
    <m/>
    <m/>
    <m/>
    <m/>
    <x v="2"/>
    <n v="3"/>
    <n v="5"/>
    <m/>
    <m/>
    <m/>
    <m/>
    <m/>
    <m/>
    <m/>
    <m/>
    <m/>
    <m/>
    <m/>
    <m/>
    <m/>
    <m/>
  </r>
  <r>
    <n v="5587"/>
    <n v="56128"/>
    <d v="2003-11-25T00:00:00"/>
    <n v="22"/>
    <x v="1"/>
    <x v="0"/>
    <d v="2024-07-17T00:00:00"/>
    <n v="1.8027397260273972"/>
    <x v="40"/>
    <x v="1"/>
    <x v="8"/>
    <x v="1"/>
    <n v="8.4700000000000006"/>
    <m/>
    <m/>
    <m/>
    <m/>
    <m/>
    <m/>
    <x v="4"/>
    <n v="3"/>
    <n v="5"/>
    <m/>
    <m/>
    <m/>
    <m/>
    <m/>
    <m/>
    <m/>
    <m/>
    <m/>
    <m/>
    <m/>
    <m/>
    <m/>
    <m/>
  </r>
  <r>
    <n v="5588"/>
    <n v="56129"/>
    <d v="2005-01-24T00:00:00"/>
    <n v="20"/>
    <x v="1"/>
    <x v="1"/>
    <d v="2024-03-13T00:00:00"/>
    <n v="1.6273972602739726"/>
    <x v="106"/>
    <x v="1"/>
    <x v="8"/>
    <x v="1"/>
    <n v="8.4700000000000006"/>
    <m/>
    <m/>
    <m/>
    <m/>
    <m/>
    <m/>
    <x v="1"/>
    <n v="2"/>
    <n v="6"/>
    <m/>
    <m/>
    <m/>
    <m/>
    <m/>
    <m/>
    <m/>
    <m/>
    <m/>
    <m/>
    <m/>
    <m/>
    <m/>
    <m/>
  </r>
  <r>
    <n v="5589"/>
    <n v="56130"/>
    <d v="1999-06-27T00:00:00"/>
    <n v="26"/>
    <x v="1"/>
    <x v="1"/>
    <d v="2024-05-16T00:00:00"/>
    <n v="1.0136986301369864"/>
    <x v="106"/>
    <x v="1"/>
    <x v="8"/>
    <x v="1"/>
    <n v="8.4700000000000006"/>
    <m/>
    <m/>
    <m/>
    <m/>
    <m/>
    <m/>
    <x v="3"/>
    <n v="2"/>
    <n v="7"/>
    <m/>
    <m/>
    <m/>
    <m/>
    <m/>
    <m/>
    <m/>
    <m/>
    <m/>
    <m/>
    <m/>
    <m/>
    <m/>
    <m/>
  </r>
  <r>
    <n v="5590"/>
    <n v="56131"/>
    <d v="2001-05-20T00:00:00"/>
    <n v="24"/>
    <x v="1"/>
    <x v="1"/>
    <d v="2024-12-26T00:00:00"/>
    <n v="1.0794520547945206"/>
    <x v="106"/>
    <x v="1"/>
    <x v="8"/>
    <x v="1"/>
    <n v="8.4700000000000006"/>
    <m/>
    <m/>
    <m/>
    <m/>
    <m/>
    <m/>
    <x v="3"/>
    <n v="2"/>
    <n v="6"/>
    <m/>
    <m/>
    <m/>
    <m/>
    <m/>
    <m/>
    <m/>
    <m/>
    <m/>
    <m/>
    <m/>
    <m/>
    <m/>
    <m/>
  </r>
  <r>
    <n v="5591"/>
    <n v="56133"/>
    <d v="2000-04-06T00:00:00"/>
    <n v="25"/>
    <x v="1"/>
    <x v="0"/>
    <d v="2024-12-02T00:00:00"/>
    <n v="1.5616438356164384"/>
    <x v="1"/>
    <x v="1"/>
    <x v="10"/>
    <x v="1"/>
    <n v="10.64"/>
    <m/>
    <m/>
    <m/>
    <m/>
    <m/>
    <m/>
    <x v="2"/>
    <n v="0"/>
    <n v="5"/>
    <m/>
    <m/>
    <m/>
    <m/>
    <m/>
    <m/>
    <m/>
    <m/>
    <m/>
    <m/>
    <m/>
    <m/>
    <m/>
    <m/>
  </r>
  <r>
    <n v="5592"/>
    <n v="56134"/>
    <d v="2003-09-19T00:00:00"/>
    <n v="22"/>
    <x v="1"/>
    <x v="1"/>
    <d v="2024-06-09T00:00:00"/>
    <n v="1.3260273972602741"/>
    <x v="1"/>
    <x v="1"/>
    <x v="8"/>
    <x v="1"/>
    <n v="8.4700000000000006"/>
    <m/>
    <m/>
    <m/>
    <m/>
    <m/>
    <m/>
    <x v="4"/>
    <n v="4"/>
    <n v="7"/>
    <m/>
    <m/>
    <m/>
    <m/>
    <m/>
    <m/>
    <m/>
    <m/>
    <m/>
    <m/>
    <m/>
    <m/>
    <m/>
    <m/>
  </r>
  <r>
    <n v="5593"/>
    <n v="56135"/>
    <d v="2000-11-06T00:00:00"/>
    <n v="25"/>
    <x v="1"/>
    <x v="1"/>
    <d v="2024-09-03T00:00:00"/>
    <n v="1.6054794520547946"/>
    <x v="43"/>
    <x v="1"/>
    <x v="8"/>
    <x v="1"/>
    <n v="8.4700000000000006"/>
    <m/>
    <m/>
    <m/>
    <m/>
    <m/>
    <m/>
    <x v="2"/>
    <n v="0"/>
    <n v="5"/>
    <m/>
    <m/>
    <m/>
    <m/>
    <m/>
    <m/>
    <m/>
    <m/>
    <m/>
    <m/>
    <m/>
    <m/>
    <m/>
    <m/>
  </r>
  <r>
    <n v="5594"/>
    <n v="56136"/>
    <d v="2003-12-21T00:00:00"/>
    <n v="22"/>
    <x v="1"/>
    <x v="1"/>
    <d v="2024-05-24T00:00:00"/>
    <n v="1.6821917808219178"/>
    <x v="43"/>
    <x v="1"/>
    <x v="8"/>
    <x v="1"/>
    <n v="8.4700000000000006"/>
    <m/>
    <m/>
    <m/>
    <m/>
    <m/>
    <m/>
    <x v="4"/>
    <n v="4"/>
    <n v="7"/>
    <m/>
    <m/>
    <m/>
    <m/>
    <m/>
    <m/>
    <m/>
    <m/>
    <m/>
    <m/>
    <m/>
    <m/>
    <m/>
    <m/>
  </r>
  <r>
    <n v="5595"/>
    <n v="56137"/>
    <d v="1998-04-13T00:00:00"/>
    <n v="27"/>
    <x v="1"/>
    <x v="1"/>
    <d v="2024-04-26T00:00:00"/>
    <n v="1.0136986301369864"/>
    <x v="43"/>
    <x v="1"/>
    <x v="8"/>
    <x v="1"/>
    <n v="8.4700000000000006"/>
    <m/>
    <m/>
    <m/>
    <m/>
    <m/>
    <m/>
    <x v="3"/>
    <n v="2"/>
    <n v="4"/>
    <m/>
    <m/>
    <m/>
    <m/>
    <m/>
    <m/>
    <m/>
    <m/>
    <m/>
    <m/>
    <m/>
    <m/>
    <m/>
    <m/>
  </r>
  <r>
    <n v="5596"/>
    <n v="56138"/>
    <d v="1997-03-24T00:00:00"/>
    <n v="28"/>
    <x v="0"/>
    <x v="1"/>
    <d v="2024-12-26T00:00:00"/>
    <n v="1.3780821917808219"/>
    <x v="43"/>
    <x v="1"/>
    <x v="8"/>
    <x v="1"/>
    <n v="8.4700000000000006"/>
    <m/>
    <m/>
    <m/>
    <m/>
    <m/>
    <m/>
    <x v="3"/>
    <n v="4"/>
    <n v="5"/>
    <m/>
    <m/>
    <m/>
    <m/>
    <m/>
    <m/>
    <m/>
    <m/>
    <m/>
    <m/>
    <m/>
    <m/>
    <m/>
    <m/>
  </r>
  <r>
    <n v="5597"/>
    <n v="56139"/>
    <d v="2005-03-01T00:00:00"/>
    <n v="21"/>
    <x v="1"/>
    <x v="1"/>
    <d v="2024-08-15T00:00:00"/>
    <n v="1.6547945205479453"/>
    <x v="43"/>
    <x v="1"/>
    <x v="8"/>
    <x v="1"/>
    <n v="8.4700000000000006"/>
    <m/>
    <m/>
    <m/>
    <m/>
    <m/>
    <m/>
    <x v="1"/>
    <n v="4"/>
    <n v="7"/>
    <m/>
    <m/>
    <m/>
    <m/>
    <m/>
    <m/>
    <m/>
    <m/>
    <m/>
    <m/>
    <m/>
    <m/>
    <m/>
    <m/>
  </r>
  <r>
    <n v="5598"/>
    <n v="56140"/>
    <d v="2000-03-22T00:00:00"/>
    <n v="25"/>
    <x v="1"/>
    <x v="1"/>
    <d v="2024-05-06T00:00:00"/>
    <n v="1.6164383561643836"/>
    <x v="43"/>
    <x v="1"/>
    <x v="8"/>
    <x v="1"/>
    <n v="8.4700000000000006"/>
    <m/>
    <m/>
    <m/>
    <m/>
    <m/>
    <m/>
    <x v="2"/>
    <n v="0"/>
    <n v="6"/>
    <m/>
    <m/>
    <m/>
    <m/>
    <m/>
    <m/>
    <m/>
    <m/>
    <m/>
    <m/>
    <m/>
    <m/>
    <m/>
    <m/>
  </r>
  <r>
    <n v="5599"/>
    <n v="56141"/>
    <d v="2003-12-11T00:00:00"/>
    <n v="22"/>
    <x v="1"/>
    <x v="1"/>
    <d v="2024-05-20T00:00:00"/>
    <n v="1.8410958904109589"/>
    <x v="104"/>
    <x v="1"/>
    <x v="11"/>
    <x v="1"/>
    <n v="17"/>
    <m/>
    <m/>
    <m/>
    <m/>
    <m/>
    <m/>
    <x v="3"/>
    <n v="2"/>
    <n v="6"/>
    <m/>
    <m/>
    <m/>
    <m/>
    <m/>
    <m/>
    <m/>
    <m/>
    <m/>
    <m/>
    <m/>
    <m/>
    <m/>
    <m/>
  </r>
  <r>
    <n v="5600"/>
    <n v="56142"/>
    <d v="1996-03-04T00:00:00"/>
    <n v="29"/>
    <x v="0"/>
    <x v="1"/>
    <d v="2024-02-28T00:00:00"/>
    <n v="1.6383561643835616"/>
    <x v="104"/>
    <x v="1"/>
    <x v="10"/>
    <x v="1"/>
    <n v="10.64"/>
    <m/>
    <m/>
    <m/>
    <m/>
    <m/>
    <m/>
    <x v="4"/>
    <n v="1"/>
    <n v="3"/>
    <m/>
    <m/>
    <m/>
    <m/>
    <m/>
    <m/>
    <m/>
    <m/>
    <m/>
    <m/>
    <m/>
    <m/>
    <m/>
    <m/>
  </r>
  <r>
    <n v="5601"/>
    <n v="56143"/>
    <d v="2001-12-28T00:00:00"/>
    <n v="24"/>
    <x v="0"/>
    <x v="1"/>
    <d v="2024-05-12T00:00:00"/>
    <n v="1.1013698630136985"/>
    <x v="104"/>
    <x v="1"/>
    <x v="10"/>
    <x v="1"/>
    <n v="10.64"/>
    <m/>
    <m/>
    <m/>
    <m/>
    <m/>
    <m/>
    <x v="1"/>
    <n v="0"/>
    <n v="3"/>
    <m/>
    <m/>
    <m/>
    <m/>
    <m/>
    <m/>
    <m/>
    <m/>
    <m/>
    <m/>
    <m/>
    <m/>
    <m/>
    <m/>
  </r>
  <r>
    <n v="5602"/>
    <n v="56144"/>
    <d v="1987-09-21T00:00:00"/>
    <n v="38"/>
    <x v="1"/>
    <x v="1"/>
    <d v="2024-11-24T00:00:00"/>
    <n v="1.7808219178082192"/>
    <x v="104"/>
    <x v="1"/>
    <x v="6"/>
    <x v="1"/>
    <n v="23.78"/>
    <m/>
    <m/>
    <m/>
    <m/>
    <m/>
    <m/>
    <x v="1"/>
    <n v="3"/>
    <n v="7"/>
    <m/>
    <m/>
    <m/>
    <m/>
    <m/>
    <m/>
    <m/>
    <m/>
    <m/>
    <m/>
    <m/>
    <m/>
    <m/>
    <m/>
  </r>
  <r>
    <n v="5603"/>
    <n v="56145"/>
    <d v="2003-07-19T00:00:00"/>
    <n v="22"/>
    <x v="1"/>
    <x v="1"/>
    <d v="2024-03-21T00:00:00"/>
    <n v="1.8082191780821917"/>
    <x v="104"/>
    <x v="1"/>
    <x v="8"/>
    <x v="1"/>
    <n v="8.4700000000000006"/>
    <m/>
    <m/>
    <m/>
    <m/>
    <m/>
    <m/>
    <x v="3"/>
    <n v="2"/>
    <n v="6"/>
    <m/>
    <m/>
    <m/>
    <m/>
    <m/>
    <m/>
    <m/>
    <m/>
    <m/>
    <m/>
    <m/>
    <m/>
    <m/>
    <m/>
  </r>
  <r>
    <n v="5604"/>
    <n v="56146"/>
    <d v="2003-08-30T00:00:00"/>
    <n v="22"/>
    <x v="1"/>
    <x v="0"/>
    <d v="2024-03-11T00:00:00"/>
    <n v="1.0356164383561643"/>
    <x v="104"/>
    <x v="1"/>
    <x v="8"/>
    <x v="1"/>
    <n v="8.4700000000000006"/>
    <m/>
    <m/>
    <m/>
    <m/>
    <m/>
    <m/>
    <x v="2"/>
    <n v="2"/>
    <n v="6"/>
    <m/>
    <m/>
    <m/>
    <m/>
    <m/>
    <m/>
    <m/>
    <m/>
    <m/>
    <m/>
    <m/>
    <m/>
    <m/>
    <m/>
  </r>
  <r>
    <n v="5605"/>
    <n v="56147"/>
    <d v="2002-10-28T00:00:00"/>
    <n v="23"/>
    <x v="1"/>
    <x v="1"/>
    <d v="2024-12-18T00:00:00"/>
    <n v="1.6767123287671233"/>
    <x v="104"/>
    <x v="1"/>
    <x v="8"/>
    <x v="1"/>
    <n v="8.4700000000000006"/>
    <m/>
    <m/>
    <m/>
    <m/>
    <m/>
    <m/>
    <x v="1"/>
    <n v="0"/>
    <n v="7"/>
    <m/>
    <m/>
    <m/>
    <m/>
    <m/>
    <m/>
    <m/>
    <m/>
    <m/>
    <m/>
    <m/>
    <m/>
    <m/>
    <m/>
  </r>
  <r>
    <n v="5606"/>
    <n v="56148"/>
    <d v="2005-02-19T00:00:00"/>
    <n v="20"/>
    <x v="1"/>
    <x v="1"/>
    <d v="2024-04-28T00:00:00"/>
    <n v="1.7315068493150685"/>
    <x v="104"/>
    <x v="1"/>
    <x v="8"/>
    <x v="1"/>
    <n v="8.4700000000000006"/>
    <m/>
    <m/>
    <m/>
    <m/>
    <m/>
    <m/>
    <x v="2"/>
    <n v="2"/>
    <n v="6"/>
    <m/>
    <m/>
    <m/>
    <m/>
    <m/>
    <m/>
    <m/>
    <m/>
    <m/>
    <m/>
    <m/>
    <m/>
    <m/>
    <m/>
  </r>
  <r>
    <n v="5607"/>
    <n v="56149"/>
    <d v="2005-02-05T00:00:00"/>
    <n v="20"/>
    <x v="1"/>
    <x v="1"/>
    <d v="2024-04-08T00:00:00"/>
    <n v="1.3452054794520547"/>
    <x v="104"/>
    <x v="1"/>
    <x v="8"/>
    <x v="1"/>
    <n v="8.4700000000000006"/>
    <m/>
    <m/>
    <m/>
    <m/>
    <m/>
    <m/>
    <x v="2"/>
    <n v="2"/>
    <n v="5"/>
    <m/>
    <m/>
    <m/>
    <m/>
    <m/>
    <m/>
    <m/>
    <m/>
    <m/>
    <m/>
    <m/>
    <m/>
    <m/>
    <m/>
  </r>
  <r>
    <n v="5608"/>
    <n v="56150"/>
    <d v="2007-07-19T00:00:00"/>
    <n v="18"/>
    <x v="1"/>
    <x v="1"/>
    <d v="2024-08-27T00:00:00"/>
    <n v="1.0383561643835617"/>
    <x v="104"/>
    <x v="1"/>
    <x v="8"/>
    <x v="1"/>
    <n v="8.4700000000000006"/>
    <m/>
    <m/>
    <m/>
    <m/>
    <m/>
    <m/>
    <x v="1"/>
    <n v="2"/>
    <n v="6"/>
    <m/>
    <m/>
    <m/>
    <m/>
    <m/>
    <m/>
    <m/>
    <m/>
    <m/>
    <m/>
    <m/>
    <m/>
    <m/>
    <m/>
  </r>
  <r>
    <n v="5609"/>
    <n v="56151"/>
    <d v="2002-09-28T00:00:00"/>
    <n v="23"/>
    <x v="1"/>
    <x v="0"/>
    <d v="2024-12-17T00:00:00"/>
    <n v="1.167123287671233"/>
    <x v="104"/>
    <x v="1"/>
    <x v="8"/>
    <x v="1"/>
    <n v="8.4700000000000006"/>
    <m/>
    <m/>
    <m/>
    <m/>
    <m/>
    <m/>
    <x v="4"/>
    <n v="1"/>
    <n v="5"/>
    <m/>
    <m/>
    <m/>
    <m/>
    <m/>
    <m/>
    <m/>
    <m/>
    <m/>
    <m/>
    <m/>
    <m/>
    <m/>
    <m/>
  </r>
  <r>
    <n v="5610"/>
    <n v="56152"/>
    <d v="2003-03-15T00:00:00"/>
    <n v="22"/>
    <x v="1"/>
    <x v="1"/>
    <d v="2024-10-31T00:00:00"/>
    <n v="1.6520547945205479"/>
    <x v="104"/>
    <x v="1"/>
    <x v="8"/>
    <x v="1"/>
    <n v="8.4700000000000006"/>
    <m/>
    <m/>
    <m/>
    <m/>
    <m/>
    <m/>
    <x v="4"/>
    <n v="2"/>
    <n v="7"/>
    <m/>
    <m/>
    <m/>
    <m/>
    <m/>
    <m/>
    <m/>
    <m/>
    <m/>
    <m/>
    <m/>
    <m/>
    <m/>
    <m/>
  </r>
  <r>
    <n v="5611"/>
    <n v="56153"/>
    <d v="2006-02-28T00:00:00"/>
    <n v="19"/>
    <x v="1"/>
    <x v="1"/>
    <d v="2024-05-07T00:00:00"/>
    <n v="1.1808219178082191"/>
    <x v="104"/>
    <x v="1"/>
    <x v="8"/>
    <x v="1"/>
    <n v="8.4700000000000006"/>
    <m/>
    <m/>
    <m/>
    <m/>
    <m/>
    <m/>
    <x v="1"/>
    <n v="4"/>
    <n v="7"/>
    <m/>
    <m/>
    <m/>
    <m/>
    <m/>
    <m/>
    <m/>
    <m/>
    <m/>
    <m/>
    <m/>
    <m/>
    <m/>
    <m/>
  </r>
  <r>
    <n v="5612"/>
    <n v="56154"/>
    <d v="1999-12-11T00:00:00"/>
    <n v="26"/>
    <x v="1"/>
    <x v="1"/>
    <d v="2024-10-26T00:00:00"/>
    <n v="1.0849315068493151"/>
    <x v="44"/>
    <x v="1"/>
    <x v="11"/>
    <x v="1"/>
    <n v="17"/>
    <m/>
    <m/>
    <m/>
    <m/>
    <m/>
    <m/>
    <x v="1"/>
    <n v="2"/>
    <n v="5"/>
    <m/>
    <m/>
    <m/>
    <m/>
    <m/>
    <m/>
    <m/>
    <m/>
    <m/>
    <m/>
    <m/>
    <m/>
    <m/>
    <m/>
  </r>
  <r>
    <n v="5613"/>
    <n v="56155"/>
    <d v="2002-02-17T00:00:00"/>
    <n v="23"/>
    <x v="0"/>
    <x v="1"/>
    <d v="2024-11-30T00:00:00"/>
    <n v="1.3397260273972602"/>
    <x v="44"/>
    <x v="1"/>
    <x v="10"/>
    <x v="1"/>
    <n v="10.64"/>
    <m/>
    <m/>
    <m/>
    <m/>
    <m/>
    <m/>
    <x v="1"/>
    <n v="0"/>
    <n v="4"/>
    <m/>
    <m/>
    <m/>
    <m/>
    <m/>
    <m/>
    <m/>
    <m/>
    <m/>
    <m/>
    <m/>
    <m/>
    <m/>
    <m/>
  </r>
  <r>
    <n v="5614"/>
    <n v="56156"/>
    <d v="2005-07-04T00:00:00"/>
    <n v="20"/>
    <x v="1"/>
    <x v="1"/>
    <d v="2024-08-29T00:00:00"/>
    <n v="1.4191780821917808"/>
    <x v="44"/>
    <x v="1"/>
    <x v="10"/>
    <x v="1"/>
    <n v="10.64"/>
    <m/>
    <m/>
    <m/>
    <m/>
    <m/>
    <m/>
    <x v="1"/>
    <n v="0"/>
    <n v="5"/>
    <m/>
    <m/>
    <m/>
    <m/>
    <m/>
    <m/>
    <m/>
    <m/>
    <m/>
    <m/>
    <m/>
    <m/>
    <m/>
    <m/>
  </r>
  <r>
    <n v="5615"/>
    <n v="56157"/>
    <d v="2005-05-01T00:00:00"/>
    <n v="21"/>
    <x v="0"/>
    <x v="1"/>
    <d v="2024-07-31T00:00:00"/>
    <n v="1.7780821917808218"/>
    <x v="44"/>
    <x v="1"/>
    <x v="10"/>
    <x v="1"/>
    <n v="10.64"/>
    <m/>
    <m/>
    <m/>
    <m/>
    <m/>
    <m/>
    <x v="2"/>
    <n v="0"/>
    <n v="3"/>
    <m/>
    <m/>
    <m/>
    <m/>
    <m/>
    <m/>
    <m/>
    <m/>
    <m/>
    <m/>
    <m/>
    <m/>
    <m/>
    <m/>
  </r>
  <r>
    <n v="5616"/>
    <n v="56159"/>
    <d v="1998-08-17T00:00:00"/>
    <n v="27"/>
    <x v="1"/>
    <x v="0"/>
    <d v="2024-03-22T00:00:00"/>
    <n v="1.189041095890411"/>
    <x v="44"/>
    <x v="1"/>
    <x v="8"/>
    <x v="1"/>
    <n v="8.4700000000000006"/>
    <m/>
    <m/>
    <m/>
    <m/>
    <m/>
    <m/>
    <x v="4"/>
    <n v="4"/>
    <n v="7"/>
    <m/>
    <m/>
    <m/>
    <m/>
    <m/>
    <m/>
    <m/>
    <m/>
    <m/>
    <m/>
    <m/>
    <m/>
    <m/>
    <m/>
  </r>
  <r>
    <n v="5617"/>
    <n v="56160"/>
    <d v="2006-07-13T00:00:00"/>
    <n v="19"/>
    <x v="1"/>
    <x v="1"/>
    <d v="2024-10-23T00:00:00"/>
    <n v="1.8547945205479452"/>
    <x v="44"/>
    <x v="1"/>
    <x v="8"/>
    <x v="1"/>
    <n v="8.4700000000000006"/>
    <m/>
    <m/>
    <m/>
    <m/>
    <m/>
    <m/>
    <x v="4"/>
    <n v="2"/>
    <n v="6"/>
    <m/>
    <m/>
    <m/>
    <m/>
    <m/>
    <m/>
    <m/>
    <m/>
    <m/>
    <m/>
    <m/>
    <m/>
    <m/>
    <m/>
  </r>
  <r>
    <n v="5618"/>
    <n v="56161"/>
    <d v="2004-04-12T00:00:00"/>
    <n v="21"/>
    <x v="1"/>
    <x v="1"/>
    <d v="2024-02-23T00:00:00"/>
    <n v="1.4219178082191781"/>
    <x v="44"/>
    <x v="1"/>
    <x v="8"/>
    <x v="1"/>
    <n v="8.4700000000000006"/>
    <m/>
    <m/>
    <m/>
    <m/>
    <m/>
    <m/>
    <x v="2"/>
    <n v="2"/>
    <n v="6"/>
    <m/>
    <m/>
    <m/>
    <m/>
    <m/>
    <m/>
    <m/>
    <m/>
    <m/>
    <m/>
    <m/>
    <m/>
    <m/>
    <m/>
  </r>
  <r>
    <n v="5619"/>
    <n v="56162"/>
    <d v="2006-05-18T00:00:00"/>
    <n v="19"/>
    <x v="1"/>
    <x v="1"/>
    <d v="2024-07-30T00:00:00"/>
    <n v="1.4821917808219178"/>
    <x v="44"/>
    <x v="1"/>
    <x v="8"/>
    <x v="1"/>
    <n v="8.4700000000000006"/>
    <m/>
    <m/>
    <m/>
    <m/>
    <m/>
    <m/>
    <x v="4"/>
    <n v="3"/>
    <n v="6"/>
    <m/>
    <m/>
    <m/>
    <m/>
    <m/>
    <m/>
    <m/>
    <m/>
    <m/>
    <m/>
    <m/>
    <m/>
    <m/>
    <m/>
  </r>
  <r>
    <n v="5620"/>
    <n v="56163"/>
    <d v="2007-08-10T00:00:00"/>
    <n v="18"/>
    <x v="1"/>
    <x v="1"/>
    <d v="2024-07-08T00:00:00"/>
    <n v="1.6712328767123288"/>
    <x v="44"/>
    <x v="1"/>
    <x v="8"/>
    <x v="1"/>
    <n v="8.4700000000000006"/>
    <m/>
    <m/>
    <m/>
    <m/>
    <m/>
    <m/>
    <x v="2"/>
    <n v="2"/>
    <n v="6"/>
    <m/>
    <m/>
    <m/>
    <m/>
    <m/>
    <m/>
    <m/>
    <m/>
    <m/>
    <m/>
    <m/>
    <m/>
    <m/>
    <m/>
  </r>
  <r>
    <n v="5621"/>
    <n v="56164"/>
    <d v="2002-09-13T00:00:00"/>
    <n v="23"/>
    <x v="1"/>
    <x v="1"/>
    <d v="2024-04-30T00:00:00"/>
    <n v="1.7424657534246575"/>
    <x v="44"/>
    <x v="1"/>
    <x v="8"/>
    <x v="1"/>
    <n v="8.4700000000000006"/>
    <m/>
    <m/>
    <m/>
    <m/>
    <m/>
    <m/>
    <x v="2"/>
    <n v="2"/>
    <n v="6"/>
    <m/>
    <m/>
    <m/>
    <m/>
    <m/>
    <m/>
    <m/>
    <m/>
    <m/>
    <m/>
    <m/>
    <m/>
    <m/>
    <m/>
  </r>
  <r>
    <n v="5622"/>
    <n v="56165"/>
    <d v="2007-03-10T00:00:00"/>
    <n v="18"/>
    <x v="1"/>
    <x v="1"/>
    <d v="2024-04-04T00:00:00"/>
    <n v="1.2575342465753425"/>
    <x v="44"/>
    <x v="1"/>
    <x v="8"/>
    <x v="1"/>
    <n v="8.4700000000000006"/>
    <m/>
    <m/>
    <m/>
    <m/>
    <m/>
    <m/>
    <x v="3"/>
    <n v="4"/>
    <n v="5"/>
    <m/>
    <m/>
    <m/>
    <m/>
    <m/>
    <m/>
    <m/>
    <m/>
    <m/>
    <m/>
    <m/>
    <m/>
    <m/>
    <m/>
  </r>
  <r>
    <n v="5623"/>
    <n v="56166"/>
    <d v="2004-01-09T00:00:00"/>
    <n v="21"/>
    <x v="1"/>
    <x v="0"/>
    <d v="2024-09-28T00:00:00"/>
    <n v="1.789041095890411"/>
    <x v="44"/>
    <x v="1"/>
    <x v="8"/>
    <x v="1"/>
    <n v="8.4700000000000006"/>
    <m/>
    <m/>
    <m/>
    <m/>
    <m/>
    <m/>
    <x v="4"/>
    <n v="1"/>
    <n v="5"/>
    <m/>
    <m/>
    <m/>
    <m/>
    <m/>
    <m/>
    <m/>
    <m/>
    <m/>
    <m/>
    <m/>
    <m/>
    <m/>
    <m/>
  </r>
  <r>
    <n v="5624"/>
    <n v="56167"/>
    <d v="2007-09-04T00:00:00"/>
    <n v="18"/>
    <x v="1"/>
    <x v="1"/>
    <d v="2024-03-18T00:00:00"/>
    <n v="1.6410958904109589"/>
    <x v="44"/>
    <x v="1"/>
    <x v="8"/>
    <x v="1"/>
    <n v="8.4700000000000006"/>
    <m/>
    <m/>
    <m/>
    <m/>
    <m/>
    <m/>
    <x v="4"/>
    <n v="0"/>
    <n v="6"/>
    <m/>
    <m/>
    <m/>
    <m/>
    <m/>
    <m/>
    <m/>
    <m/>
    <m/>
    <m/>
    <m/>
    <m/>
    <m/>
    <m/>
  </r>
  <r>
    <n v="5625"/>
    <n v="56168"/>
    <d v="1998-01-19T00:00:00"/>
    <n v="27"/>
    <x v="1"/>
    <x v="0"/>
    <d v="2024-05-11T00:00:00"/>
    <n v="1.7917808219178082"/>
    <x v="44"/>
    <x v="1"/>
    <x v="8"/>
    <x v="1"/>
    <n v="8.4700000000000006"/>
    <m/>
    <m/>
    <m/>
    <m/>
    <m/>
    <m/>
    <x v="4"/>
    <n v="1"/>
    <n v="6"/>
    <m/>
    <m/>
    <m/>
    <m/>
    <m/>
    <m/>
    <m/>
    <m/>
    <m/>
    <m/>
    <m/>
    <m/>
    <m/>
    <m/>
  </r>
  <r>
    <n v="5626"/>
    <n v="56169"/>
    <d v="2006-09-13T00:00:00"/>
    <n v="19"/>
    <x v="1"/>
    <x v="1"/>
    <d v="2024-03-17T00:00:00"/>
    <n v="1.6465753424657534"/>
    <x v="44"/>
    <x v="1"/>
    <x v="8"/>
    <x v="1"/>
    <n v="8.4700000000000006"/>
    <m/>
    <m/>
    <m/>
    <m/>
    <m/>
    <m/>
    <x v="3"/>
    <n v="2"/>
    <n v="7"/>
    <m/>
    <m/>
    <m/>
    <m/>
    <m/>
    <m/>
    <m/>
    <m/>
    <m/>
    <m/>
    <m/>
    <m/>
    <m/>
    <m/>
  </r>
  <r>
    <n v="5627"/>
    <n v="56170"/>
    <d v="1993-01-05T00:00:00"/>
    <n v="32"/>
    <x v="1"/>
    <x v="1"/>
    <d v="2024-05-09T00:00:00"/>
    <n v="1.6712328767123288"/>
    <x v="44"/>
    <x v="1"/>
    <x v="8"/>
    <x v="1"/>
    <n v="8.4700000000000006"/>
    <m/>
    <m/>
    <m/>
    <m/>
    <m/>
    <m/>
    <x v="4"/>
    <n v="1"/>
    <n v="5"/>
    <m/>
    <m/>
    <m/>
    <m/>
    <m/>
    <m/>
    <m/>
    <m/>
    <m/>
    <m/>
    <m/>
    <m/>
    <m/>
    <m/>
  </r>
  <r>
    <n v="5628"/>
    <n v="56171"/>
    <d v="2004-06-20T00:00:00"/>
    <n v="21"/>
    <x v="1"/>
    <x v="1"/>
    <d v="2024-04-30T00:00:00"/>
    <n v="1.6931506849315068"/>
    <x v="44"/>
    <x v="1"/>
    <x v="8"/>
    <x v="1"/>
    <n v="8.4700000000000006"/>
    <m/>
    <m/>
    <m/>
    <m/>
    <m/>
    <m/>
    <x v="4"/>
    <n v="2"/>
    <n v="6"/>
    <m/>
    <m/>
    <m/>
    <m/>
    <m/>
    <m/>
    <m/>
    <m/>
    <m/>
    <m/>
    <m/>
    <m/>
    <m/>
    <m/>
  </r>
  <r>
    <n v="5629"/>
    <n v="56172"/>
    <d v="2003-09-10T00:00:00"/>
    <n v="22"/>
    <x v="0"/>
    <x v="0"/>
    <d v="2024-04-22T00:00:00"/>
    <n v="1.2027397260273973"/>
    <x v="44"/>
    <x v="1"/>
    <x v="8"/>
    <x v="1"/>
    <n v="8.4700000000000006"/>
    <m/>
    <m/>
    <m/>
    <m/>
    <m/>
    <m/>
    <x v="1"/>
    <n v="0"/>
    <n v="3"/>
    <m/>
    <m/>
    <m/>
    <m/>
    <m/>
    <m/>
    <m/>
    <m/>
    <m/>
    <m/>
    <m/>
    <m/>
    <m/>
    <m/>
  </r>
  <r>
    <n v="5630"/>
    <n v="56173"/>
    <d v="2006-09-26T00:00:00"/>
    <n v="19"/>
    <x v="1"/>
    <x v="1"/>
    <d v="2024-10-18T00:00:00"/>
    <n v="1.6301369863013699"/>
    <x v="44"/>
    <x v="1"/>
    <x v="8"/>
    <x v="1"/>
    <n v="8.4700000000000006"/>
    <m/>
    <m/>
    <m/>
    <m/>
    <m/>
    <m/>
    <x v="3"/>
    <n v="1"/>
    <n v="5"/>
    <m/>
    <m/>
    <m/>
    <m/>
    <m/>
    <m/>
    <m/>
    <m/>
    <m/>
    <m/>
    <m/>
    <m/>
    <m/>
    <m/>
  </r>
  <r>
    <n v="5631"/>
    <n v="56174"/>
    <d v="2002-12-25T00:00:00"/>
    <n v="23"/>
    <x v="1"/>
    <x v="1"/>
    <d v="2024-05-15T00:00:00"/>
    <n v="1.8082191780821917"/>
    <x v="44"/>
    <x v="1"/>
    <x v="8"/>
    <x v="1"/>
    <n v="8.4700000000000006"/>
    <m/>
    <m/>
    <m/>
    <m/>
    <m/>
    <m/>
    <x v="1"/>
    <n v="2"/>
    <n v="6"/>
    <m/>
    <m/>
    <m/>
    <m/>
    <m/>
    <m/>
    <m/>
    <m/>
    <m/>
    <m/>
    <m/>
    <m/>
    <m/>
    <m/>
  </r>
  <r>
    <n v="5632"/>
    <n v="56176"/>
    <d v="2003-11-01T00:00:00"/>
    <n v="23"/>
    <x v="1"/>
    <x v="1"/>
    <d v="2024-03-11T00:00:00"/>
    <n v="1.6739726027397259"/>
    <x v="90"/>
    <x v="1"/>
    <x v="9"/>
    <x v="1"/>
    <n v="14.07"/>
    <m/>
    <m/>
    <m/>
    <m/>
    <m/>
    <m/>
    <x v="4"/>
    <n v="0"/>
    <n v="5"/>
    <m/>
    <m/>
    <m/>
    <m/>
    <m/>
    <m/>
    <m/>
    <m/>
    <m/>
    <m/>
    <m/>
    <m/>
    <m/>
    <m/>
  </r>
  <r>
    <n v="5633"/>
    <n v="56177"/>
    <d v="2000-02-20T00:00:00"/>
    <n v="25"/>
    <x v="1"/>
    <x v="1"/>
    <d v="2024-04-29T00:00:00"/>
    <n v="1.6876712328767123"/>
    <x v="90"/>
    <x v="1"/>
    <x v="8"/>
    <x v="1"/>
    <n v="8.4700000000000006"/>
    <m/>
    <m/>
    <m/>
    <m/>
    <m/>
    <m/>
    <x v="4"/>
    <n v="3"/>
    <n v="7"/>
    <m/>
    <m/>
    <m/>
    <m/>
    <m/>
    <m/>
    <m/>
    <m/>
    <m/>
    <m/>
    <m/>
    <m/>
    <m/>
    <m/>
  </r>
  <r>
    <n v="5634"/>
    <n v="56178"/>
    <d v="1997-03-30T00:00:00"/>
    <n v="28"/>
    <x v="1"/>
    <x v="1"/>
    <d v="2024-04-24T00:00:00"/>
    <n v="1.3890410958904109"/>
    <x v="90"/>
    <x v="1"/>
    <x v="8"/>
    <x v="1"/>
    <n v="8.4700000000000006"/>
    <m/>
    <m/>
    <m/>
    <m/>
    <m/>
    <m/>
    <x v="4"/>
    <n v="2"/>
    <n v="7"/>
    <m/>
    <m/>
    <m/>
    <m/>
    <m/>
    <m/>
    <m/>
    <m/>
    <m/>
    <m/>
    <m/>
    <m/>
    <m/>
    <m/>
  </r>
  <r>
    <n v="5635"/>
    <n v="56179"/>
    <d v="1996-06-23T00:00:00"/>
    <n v="29"/>
    <x v="0"/>
    <x v="1"/>
    <d v="2024-08-11T00:00:00"/>
    <n v="1.5123287671232877"/>
    <x v="90"/>
    <x v="1"/>
    <x v="8"/>
    <x v="1"/>
    <n v="8.4700000000000006"/>
    <m/>
    <m/>
    <m/>
    <m/>
    <m/>
    <m/>
    <x v="4"/>
    <n v="4"/>
    <n v="5"/>
    <m/>
    <m/>
    <m/>
    <m/>
    <m/>
    <m/>
    <m/>
    <m/>
    <m/>
    <m/>
    <m/>
    <m/>
    <m/>
    <m/>
  </r>
  <r>
    <n v="5636"/>
    <n v="56180"/>
    <d v="2006-09-14T00:00:00"/>
    <n v="19"/>
    <x v="1"/>
    <x v="1"/>
    <d v="2024-06-27T00:00:00"/>
    <n v="1"/>
    <x v="90"/>
    <x v="1"/>
    <x v="8"/>
    <x v="1"/>
    <n v="8.4700000000000006"/>
    <m/>
    <m/>
    <m/>
    <m/>
    <m/>
    <m/>
    <x v="4"/>
    <n v="3"/>
    <n v="6"/>
    <m/>
    <m/>
    <m/>
    <m/>
    <m/>
    <m/>
    <m/>
    <m/>
    <m/>
    <m/>
    <m/>
    <m/>
    <m/>
    <m/>
  </r>
  <r>
    <n v="5637"/>
    <n v="56181"/>
    <d v="2006-07-07T00:00:00"/>
    <n v="19"/>
    <x v="1"/>
    <x v="1"/>
    <d v="2024-12-31T00:00:00"/>
    <n v="1.7397260273972603"/>
    <x v="90"/>
    <x v="1"/>
    <x v="8"/>
    <x v="1"/>
    <n v="8.4700000000000006"/>
    <m/>
    <m/>
    <m/>
    <m/>
    <m/>
    <m/>
    <x v="1"/>
    <n v="3"/>
    <n v="6"/>
    <m/>
    <m/>
    <m/>
    <m/>
    <m/>
    <m/>
    <m/>
    <m/>
    <m/>
    <m/>
    <m/>
    <m/>
    <m/>
    <m/>
  </r>
  <r>
    <n v="5638"/>
    <n v="56182"/>
    <d v="2002-12-04T00:00:00"/>
    <n v="23"/>
    <x v="1"/>
    <x v="1"/>
    <d v="2024-04-05T00:00:00"/>
    <n v="1.3643835616438356"/>
    <x v="90"/>
    <x v="1"/>
    <x v="8"/>
    <x v="1"/>
    <n v="8.4700000000000006"/>
    <m/>
    <m/>
    <m/>
    <m/>
    <m/>
    <m/>
    <x v="2"/>
    <n v="2"/>
    <n v="5"/>
    <m/>
    <m/>
    <m/>
    <m/>
    <m/>
    <m/>
    <m/>
    <m/>
    <m/>
    <m/>
    <m/>
    <m/>
    <m/>
    <m/>
  </r>
  <r>
    <n v="5639"/>
    <n v="56183"/>
    <d v="2006-08-24T00:00:00"/>
    <n v="19"/>
    <x v="1"/>
    <x v="1"/>
    <d v="2024-08-20T00:00:00"/>
    <n v="1.8493150684931507"/>
    <x v="90"/>
    <x v="1"/>
    <x v="8"/>
    <x v="1"/>
    <n v="8.4700000000000006"/>
    <m/>
    <m/>
    <m/>
    <m/>
    <m/>
    <m/>
    <x v="1"/>
    <n v="1"/>
    <n v="7"/>
    <m/>
    <m/>
    <m/>
    <m/>
    <m/>
    <m/>
    <m/>
    <m/>
    <m/>
    <m/>
    <m/>
    <m/>
    <m/>
    <m/>
  </r>
  <r>
    <n v="5640"/>
    <n v="56184"/>
    <d v="2003-03-28T00:00:00"/>
    <n v="22"/>
    <x v="1"/>
    <x v="1"/>
    <d v="2024-02-25T00:00:00"/>
    <n v="1.3342465753424657"/>
    <x v="90"/>
    <x v="1"/>
    <x v="8"/>
    <x v="1"/>
    <n v="8.4700000000000006"/>
    <m/>
    <m/>
    <m/>
    <m/>
    <m/>
    <m/>
    <x v="4"/>
    <n v="4"/>
    <n v="5"/>
    <m/>
    <m/>
    <m/>
    <m/>
    <m/>
    <m/>
    <m/>
    <m/>
    <m/>
    <m/>
    <m/>
    <m/>
    <m/>
    <m/>
  </r>
  <r>
    <n v="5641"/>
    <n v="56185"/>
    <d v="2006-06-26T00:00:00"/>
    <n v="19"/>
    <x v="1"/>
    <x v="0"/>
    <d v="2024-08-31T00:00:00"/>
    <n v="1.6109589041095891"/>
    <x v="90"/>
    <x v="1"/>
    <x v="8"/>
    <x v="1"/>
    <n v="8.4700000000000006"/>
    <m/>
    <m/>
    <m/>
    <m/>
    <m/>
    <m/>
    <x v="1"/>
    <n v="1"/>
    <n v="5"/>
    <m/>
    <m/>
    <m/>
    <m/>
    <m/>
    <m/>
    <m/>
    <m/>
    <m/>
    <m/>
    <m/>
    <m/>
    <m/>
    <m/>
  </r>
  <r>
    <n v="5642"/>
    <n v="56186"/>
    <d v="1996-02-16T00:00:00"/>
    <n v="29"/>
    <x v="1"/>
    <x v="1"/>
    <d v="2024-05-22T00:00:00"/>
    <n v="1.167123287671233"/>
    <x v="90"/>
    <x v="1"/>
    <x v="8"/>
    <x v="1"/>
    <n v="8.4700000000000006"/>
    <m/>
    <m/>
    <m/>
    <m/>
    <m/>
    <m/>
    <x v="3"/>
    <n v="4"/>
    <n v="7"/>
    <m/>
    <m/>
    <m/>
    <m/>
    <m/>
    <m/>
    <m/>
    <m/>
    <m/>
    <m/>
    <m/>
    <m/>
    <m/>
    <m/>
  </r>
  <r>
    <n v="5643"/>
    <n v="56187"/>
    <d v="2003-12-10T00:00:00"/>
    <n v="22"/>
    <x v="0"/>
    <x v="0"/>
    <d v="2024-10-31T00:00:00"/>
    <n v="1.0657534246575342"/>
    <x v="97"/>
    <x v="1"/>
    <x v="11"/>
    <x v="1"/>
    <n v="17"/>
    <m/>
    <m/>
    <m/>
    <m/>
    <m/>
    <m/>
    <x v="1"/>
    <n v="3"/>
    <n v="4"/>
    <m/>
    <m/>
    <m/>
    <m/>
    <m/>
    <m/>
    <m/>
    <m/>
    <m/>
    <m/>
    <m/>
    <m/>
    <m/>
    <m/>
  </r>
  <r>
    <n v="5644"/>
    <n v="56188"/>
    <d v="2000-12-03T00:00:00"/>
    <n v="25"/>
    <x v="1"/>
    <x v="1"/>
    <d v="2024-12-07T00:00:00"/>
    <n v="1.6630136986301369"/>
    <x v="97"/>
    <x v="1"/>
    <x v="11"/>
    <x v="1"/>
    <n v="17"/>
    <m/>
    <m/>
    <m/>
    <m/>
    <m/>
    <m/>
    <x v="1"/>
    <n v="2"/>
    <n v="7"/>
    <m/>
    <m/>
    <m/>
    <m/>
    <m/>
    <m/>
    <m/>
    <m/>
    <m/>
    <m/>
    <m/>
    <m/>
    <m/>
    <m/>
  </r>
  <r>
    <n v="5645"/>
    <n v="56189"/>
    <d v="1994-01-06T00:00:00"/>
    <n v="31"/>
    <x v="1"/>
    <x v="0"/>
    <d v="2024-05-03T00:00:00"/>
    <n v="1.1041095890410959"/>
    <x v="97"/>
    <x v="1"/>
    <x v="11"/>
    <x v="1"/>
    <n v="17"/>
    <m/>
    <m/>
    <m/>
    <m/>
    <m/>
    <m/>
    <x v="4"/>
    <n v="2"/>
    <n v="6"/>
    <m/>
    <m/>
    <m/>
    <m/>
    <m/>
    <m/>
    <m/>
    <m/>
    <m/>
    <m/>
    <m/>
    <m/>
    <m/>
    <m/>
  </r>
  <r>
    <n v="5646"/>
    <n v="56190"/>
    <d v="1996-11-13T00:00:00"/>
    <n v="29"/>
    <x v="0"/>
    <x v="1"/>
    <d v="2024-11-23T00:00:00"/>
    <n v="1.6246575342465754"/>
    <x v="97"/>
    <x v="1"/>
    <x v="2"/>
    <x v="1"/>
    <n v="14.23"/>
    <m/>
    <m/>
    <m/>
    <m/>
    <m/>
    <m/>
    <x v="4"/>
    <n v="0"/>
    <n v="3"/>
    <m/>
    <m/>
    <m/>
    <m/>
    <m/>
    <m/>
    <m/>
    <m/>
    <m/>
    <m/>
    <m/>
    <m/>
    <m/>
    <m/>
  </r>
  <r>
    <n v="5647"/>
    <n v="56191"/>
    <d v="2000-10-24T00:00:00"/>
    <n v="25"/>
    <x v="1"/>
    <x v="1"/>
    <d v="2024-05-17T00:00:00"/>
    <n v="1.7287671232876711"/>
    <x v="97"/>
    <x v="1"/>
    <x v="2"/>
    <x v="1"/>
    <n v="14.23"/>
    <m/>
    <m/>
    <m/>
    <m/>
    <m/>
    <m/>
    <x v="4"/>
    <n v="1"/>
    <n v="5"/>
    <m/>
    <m/>
    <m/>
    <m/>
    <m/>
    <m/>
    <m/>
    <m/>
    <m/>
    <m/>
    <m/>
    <m/>
    <m/>
    <m/>
  </r>
  <r>
    <n v="5648"/>
    <n v="56192"/>
    <d v="2003-03-22T00:00:00"/>
    <n v="22"/>
    <x v="1"/>
    <x v="1"/>
    <d v="2024-04-09T00:00:00"/>
    <n v="1.2684931506849315"/>
    <x v="97"/>
    <x v="1"/>
    <x v="9"/>
    <x v="1"/>
    <n v="14.07"/>
    <m/>
    <m/>
    <m/>
    <m/>
    <m/>
    <m/>
    <x v="1"/>
    <n v="0"/>
    <n v="6"/>
    <m/>
    <m/>
    <m/>
    <m/>
    <m/>
    <m/>
    <m/>
    <m/>
    <m/>
    <m/>
    <m/>
    <m/>
    <m/>
    <m/>
  </r>
  <r>
    <n v="5649"/>
    <n v="56193"/>
    <d v="2005-08-10T00:00:00"/>
    <n v="20"/>
    <x v="1"/>
    <x v="0"/>
    <d v="2024-09-24T00:00:00"/>
    <n v="1.4054794520547946"/>
    <x v="97"/>
    <x v="1"/>
    <x v="3"/>
    <x v="1"/>
    <n v="8.4700000000000006"/>
    <m/>
    <m/>
    <m/>
    <m/>
    <m/>
    <m/>
    <x v="3"/>
    <n v="1"/>
    <n v="7"/>
    <m/>
    <m/>
    <m/>
    <m/>
    <m/>
    <m/>
    <m/>
    <m/>
    <m/>
    <m/>
    <m/>
    <m/>
    <m/>
    <m/>
  </r>
  <r>
    <n v="5650"/>
    <n v="56194"/>
    <d v="1999-03-01T00:00:00"/>
    <n v="27"/>
    <x v="0"/>
    <x v="1"/>
    <d v="2024-08-05T00:00:00"/>
    <n v="1.010958904109589"/>
    <x v="97"/>
    <x v="1"/>
    <x v="7"/>
    <x v="1"/>
    <n v="17.59"/>
    <m/>
    <m/>
    <m/>
    <m/>
    <m/>
    <m/>
    <x v="4"/>
    <n v="0"/>
    <n v="4"/>
    <m/>
    <m/>
    <m/>
    <m/>
    <m/>
    <m/>
    <m/>
    <m/>
    <m/>
    <m/>
    <m/>
    <m/>
    <m/>
    <m/>
  </r>
  <r>
    <n v="5651"/>
    <n v="56195"/>
    <d v="1996-11-25T00:00:00"/>
    <n v="29"/>
    <x v="1"/>
    <x v="1"/>
    <d v="2024-12-27T00:00:00"/>
    <n v="1.5342465753424657"/>
    <x v="97"/>
    <x v="1"/>
    <x v="8"/>
    <x v="1"/>
    <n v="8.4700000000000006"/>
    <m/>
    <m/>
    <m/>
    <m/>
    <m/>
    <m/>
    <x v="1"/>
    <n v="3"/>
    <n v="7"/>
    <m/>
    <m/>
    <m/>
    <m/>
    <m/>
    <m/>
    <m/>
    <m/>
    <m/>
    <m/>
    <m/>
    <m/>
    <m/>
    <m/>
  </r>
  <r>
    <n v="5652"/>
    <n v="56196"/>
    <d v="2006-10-09T00:00:00"/>
    <n v="19"/>
    <x v="1"/>
    <x v="0"/>
    <d v="2024-06-19T00:00:00"/>
    <n v="1.3863013698630138"/>
    <x v="97"/>
    <x v="1"/>
    <x v="8"/>
    <x v="1"/>
    <n v="8.4700000000000006"/>
    <m/>
    <m/>
    <m/>
    <m/>
    <m/>
    <m/>
    <x v="2"/>
    <n v="4"/>
    <n v="7"/>
    <m/>
    <m/>
    <m/>
    <m/>
    <m/>
    <m/>
    <m/>
    <m/>
    <m/>
    <m/>
    <m/>
    <m/>
    <m/>
    <m/>
  </r>
  <r>
    <n v="5653"/>
    <n v="56197"/>
    <d v="2006-12-31T00:00:00"/>
    <n v="19"/>
    <x v="1"/>
    <x v="1"/>
    <d v="2024-08-12T00:00:00"/>
    <n v="1.178082191780822"/>
    <x v="97"/>
    <x v="1"/>
    <x v="8"/>
    <x v="1"/>
    <n v="8.4700000000000006"/>
    <m/>
    <m/>
    <m/>
    <m/>
    <m/>
    <m/>
    <x v="4"/>
    <n v="2"/>
    <n v="7"/>
    <m/>
    <m/>
    <m/>
    <m/>
    <m/>
    <m/>
    <m/>
    <m/>
    <m/>
    <m/>
    <m/>
    <m/>
    <m/>
    <m/>
  </r>
  <r>
    <n v="5654"/>
    <n v="56198"/>
    <d v="2003-12-11T00:00:00"/>
    <n v="22"/>
    <x v="1"/>
    <x v="1"/>
    <d v="2024-10-27T00:00:00"/>
    <n v="1.2767123287671234"/>
    <x v="97"/>
    <x v="1"/>
    <x v="8"/>
    <x v="1"/>
    <n v="8.4700000000000006"/>
    <m/>
    <m/>
    <m/>
    <m/>
    <m/>
    <m/>
    <x v="4"/>
    <n v="4"/>
    <n v="6"/>
    <m/>
    <m/>
    <m/>
    <m/>
    <m/>
    <m/>
    <m/>
    <m/>
    <m/>
    <m/>
    <m/>
    <m/>
    <m/>
    <m/>
  </r>
  <r>
    <n v="5655"/>
    <n v="56199"/>
    <d v="2005-08-07T00:00:00"/>
    <n v="20"/>
    <x v="1"/>
    <x v="0"/>
    <d v="2024-09-21T00:00:00"/>
    <n v="1.2575342465753425"/>
    <x v="97"/>
    <x v="1"/>
    <x v="8"/>
    <x v="1"/>
    <n v="8.4700000000000006"/>
    <m/>
    <m/>
    <m/>
    <m/>
    <m/>
    <m/>
    <x v="1"/>
    <n v="0"/>
    <n v="5"/>
    <m/>
    <m/>
    <m/>
    <m/>
    <m/>
    <m/>
    <m/>
    <m/>
    <m/>
    <m/>
    <m/>
    <m/>
    <m/>
    <m/>
  </r>
  <r>
    <n v="5656"/>
    <n v="56201"/>
    <d v="2000-04-17T00:00:00"/>
    <n v="25"/>
    <x v="1"/>
    <x v="1"/>
    <d v="2024-09-28T00:00:00"/>
    <n v="1.210958904109589"/>
    <x v="97"/>
    <x v="1"/>
    <x v="8"/>
    <x v="1"/>
    <n v="8.4700000000000006"/>
    <m/>
    <m/>
    <m/>
    <m/>
    <m/>
    <m/>
    <x v="4"/>
    <n v="2"/>
    <n v="7"/>
    <m/>
    <m/>
    <m/>
    <m/>
    <m/>
    <m/>
    <m/>
    <m/>
    <m/>
    <m/>
    <m/>
    <m/>
    <m/>
    <m/>
  </r>
  <r>
    <n v="5657"/>
    <n v="56203"/>
    <d v="2006-07-07T00:00:00"/>
    <n v="19"/>
    <x v="1"/>
    <x v="1"/>
    <d v="2024-10-15T00:00:00"/>
    <n v="1.6410958904109589"/>
    <x v="97"/>
    <x v="1"/>
    <x v="8"/>
    <x v="1"/>
    <n v="8.4700000000000006"/>
    <m/>
    <m/>
    <m/>
    <m/>
    <m/>
    <m/>
    <x v="4"/>
    <n v="1"/>
    <n v="5"/>
    <m/>
    <m/>
    <m/>
    <m/>
    <m/>
    <m/>
    <m/>
    <m/>
    <m/>
    <m/>
    <m/>
    <m/>
    <m/>
    <m/>
  </r>
  <r>
    <n v="5658"/>
    <n v="56204"/>
    <d v="2006-03-20T00:00:00"/>
    <n v="19"/>
    <x v="0"/>
    <x v="1"/>
    <d v="2024-05-11T00:00:00"/>
    <n v="1.6712328767123288"/>
    <x v="97"/>
    <x v="1"/>
    <x v="8"/>
    <x v="1"/>
    <n v="8.4700000000000006"/>
    <m/>
    <m/>
    <m/>
    <m/>
    <m/>
    <m/>
    <x v="1"/>
    <n v="2"/>
    <n v="4"/>
    <m/>
    <m/>
    <m/>
    <m/>
    <m/>
    <m/>
    <m/>
    <m/>
    <m/>
    <m/>
    <m/>
    <m/>
    <m/>
    <m/>
  </r>
  <r>
    <n v="5659"/>
    <n v="56205"/>
    <d v="1999-09-09T00:00:00"/>
    <n v="26"/>
    <x v="1"/>
    <x v="1"/>
    <d v="2024-04-30T00:00:00"/>
    <n v="1.3534246575342466"/>
    <x v="97"/>
    <x v="1"/>
    <x v="8"/>
    <x v="1"/>
    <n v="8.4700000000000006"/>
    <m/>
    <m/>
    <m/>
    <m/>
    <m/>
    <m/>
    <x v="1"/>
    <n v="1"/>
    <n v="5"/>
    <m/>
    <m/>
    <m/>
    <m/>
    <m/>
    <m/>
    <m/>
    <m/>
    <m/>
    <m/>
    <m/>
    <m/>
    <m/>
    <m/>
  </r>
  <r>
    <n v="5660"/>
    <n v="56206"/>
    <d v="2007-09-29T00:00:00"/>
    <n v="18"/>
    <x v="1"/>
    <x v="1"/>
    <d v="2024-08-24T00:00:00"/>
    <n v="1.4493150684931506"/>
    <x v="97"/>
    <x v="1"/>
    <x v="8"/>
    <x v="1"/>
    <n v="8.4700000000000006"/>
    <m/>
    <m/>
    <m/>
    <m/>
    <m/>
    <m/>
    <x v="1"/>
    <n v="4"/>
    <n v="6"/>
    <m/>
    <m/>
    <m/>
    <m/>
    <m/>
    <m/>
    <m/>
    <m/>
    <m/>
    <m/>
    <m/>
    <m/>
    <m/>
    <m/>
  </r>
  <r>
    <n v="5661"/>
    <n v="56207"/>
    <d v="2001-11-04T00:00:00"/>
    <n v="24"/>
    <x v="1"/>
    <x v="1"/>
    <d v="2024-07-20T00:00:00"/>
    <n v="1.4356164383561645"/>
    <x v="120"/>
    <x v="1"/>
    <x v="11"/>
    <x v="1"/>
    <n v="17"/>
    <m/>
    <m/>
    <m/>
    <m/>
    <m/>
    <m/>
    <x v="2"/>
    <n v="3"/>
    <n v="7"/>
    <m/>
    <m/>
    <m/>
    <m/>
    <m/>
    <m/>
    <m/>
    <m/>
    <m/>
    <m/>
    <m/>
    <m/>
    <m/>
    <m/>
  </r>
  <r>
    <n v="5662"/>
    <n v="56209"/>
    <d v="2003-08-20T00:00:00"/>
    <n v="22"/>
    <x v="1"/>
    <x v="1"/>
    <d v="2024-07-25T00:00:00"/>
    <n v="1.2438356164383562"/>
    <x v="120"/>
    <x v="1"/>
    <x v="2"/>
    <x v="1"/>
    <n v="14.23"/>
    <m/>
    <m/>
    <m/>
    <m/>
    <m/>
    <m/>
    <x v="2"/>
    <n v="1"/>
    <n v="6"/>
    <m/>
    <m/>
    <m/>
    <m/>
    <m/>
    <m/>
    <m/>
    <m/>
    <m/>
    <m/>
    <m/>
    <m/>
    <m/>
    <m/>
  </r>
  <r>
    <n v="5663"/>
    <n v="56211"/>
    <d v="2004-04-29T00:00:00"/>
    <n v="21"/>
    <x v="1"/>
    <x v="0"/>
    <d v="2024-10-03T00:00:00"/>
    <n v="1.0986301369863014"/>
    <x v="120"/>
    <x v="1"/>
    <x v="8"/>
    <x v="1"/>
    <n v="8.4700000000000006"/>
    <m/>
    <m/>
    <m/>
    <m/>
    <m/>
    <m/>
    <x v="3"/>
    <n v="1"/>
    <n v="6"/>
    <m/>
    <m/>
    <m/>
    <m/>
    <m/>
    <m/>
    <m/>
    <m/>
    <m/>
    <m/>
    <m/>
    <m/>
    <m/>
    <m/>
  </r>
  <r>
    <n v="5664"/>
    <n v="56212"/>
    <d v="1997-12-17T00:00:00"/>
    <n v="28"/>
    <x v="1"/>
    <x v="1"/>
    <d v="2024-11-25T00:00:00"/>
    <n v="1.1863013698630136"/>
    <x v="120"/>
    <x v="1"/>
    <x v="8"/>
    <x v="1"/>
    <n v="8.4700000000000006"/>
    <m/>
    <m/>
    <m/>
    <m/>
    <m/>
    <m/>
    <x v="4"/>
    <n v="3"/>
    <n v="7"/>
    <m/>
    <m/>
    <m/>
    <m/>
    <m/>
    <m/>
    <m/>
    <m/>
    <m/>
    <m/>
    <m/>
    <m/>
    <m/>
    <m/>
  </r>
  <r>
    <n v="5665"/>
    <n v="56213"/>
    <d v="2006-01-06T00:00:00"/>
    <n v="19"/>
    <x v="0"/>
    <x v="1"/>
    <d v="2024-10-24T00:00:00"/>
    <n v="1.5945205479452054"/>
    <x v="120"/>
    <x v="1"/>
    <x v="8"/>
    <x v="1"/>
    <n v="8.4700000000000006"/>
    <m/>
    <m/>
    <m/>
    <m/>
    <m/>
    <m/>
    <x v="2"/>
    <n v="1"/>
    <n v="4"/>
    <m/>
    <m/>
    <m/>
    <m/>
    <m/>
    <m/>
    <m/>
    <m/>
    <m/>
    <m/>
    <m/>
    <m/>
    <m/>
    <m/>
  </r>
  <r>
    <n v="5666"/>
    <n v="56214"/>
    <d v="2007-08-13T00:00:00"/>
    <n v="18"/>
    <x v="0"/>
    <x v="0"/>
    <d v="2024-05-28T00:00:00"/>
    <n v="1.3698630136986301"/>
    <x v="120"/>
    <x v="1"/>
    <x v="8"/>
    <x v="1"/>
    <n v="8.4700000000000006"/>
    <m/>
    <m/>
    <m/>
    <m/>
    <m/>
    <m/>
    <x v="1"/>
    <n v="2"/>
    <n v="3"/>
    <m/>
    <m/>
    <m/>
    <m/>
    <m/>
    <m/>
    <m/>
    <m/>
    <m/>
    <m/>
    <m/>
    <m/>
    <m/>
    <m/>
  </r>
  <r>
    <n v="5667"/>
    <n v="56215"/>
    <d v="2003-02-15T00:00:00"/>
    <n v="22"/>
    <x v="1"/>
    <x v="1"/>
    <d v="2024-08-18T00:00:00"/>
    <n v="1.2904109589041095"/>
    <x v="120"/>
    <x v="1"/>
    <x v="8"/>
    <x v="1"/>
    <n v="8.4700000000000006"/>
    <m/>
    <m/>
    <m/>
    <m/>
    <m/>
    <m/>
    <x v="4"/>
    <n v="0"/>
    <n v="5"/>
    <m/>
    <m/>
    <m/>
    <m/>
    <m/>
    <m/>
    <m/>
    <m/>
    <m/>
    <m/>
    <m/>
    <m/>
    <m/>
    <m/>
  </r>
  <r>
    <n v="5668"/>
    <n v="56216"/>
    <d v="2003-12-09T00:00:00"/>
    <n v="22"/>
    <x v="1"/>
    <x v="1"/>
    <d v="2024-09-16T00:00:00"/>
    <n v="1.3534246575342466"/>
    <x v="120"/>
    <x v="1"/>
    <x v="8"/>
    <x v="1"/>
    <n v="8.4700000000000006"/>
    <m/>
    <m/>
    <m/>
    <m/>
    <m/>
    <m/>
    <x v="1"/>
    <n v="3"/>
    <n v="7"/>
    <m/>
    <m/>
    <m/>
    <m/>
    <m/>
    <m/>
    <m/>
    <m/>
    <m/>
    <m/>
    <m/>
    <m/>
    <m/>
    <m/>
  </r>
  <r>
    <n v="5669"/>
    <n v="56217"/>
    <d v="2002-10-14T00:00:00"/>
    <n v="23"/>
    <x v="1"/>
    <x v="1"/>
    <d v="2024-08-24T00:00:00"/>
    <n v="1.4767123287671233"/>
    <x v="120"/>
    <x v="1"/>
    <x v="8"/>
    <x v="1"/>
    <n v="8.4700000000000006"/>
    <m/>
    <m/>
    <m/>
    <m/>
    <m/>
    <m/>
    <x v="2"/>
    <n v="2"/>
    <n v="7"/>
    <m/>
    <m/>
    <m/>
    <m/>
    <m/>
    <m/>
    <m/>
    <m/>
    <m/>
    <m/>
    <m/>
    <m/>
    <m/>
    <m/>
  </r>
  <r>
    <n v="5670"/>
    <n v="56218"/>
    <d v="1997-04-24T00:00:00"/>
    <n v="28"/>
    <x v="1"/>
    <x v="1"/>
    <d v="2024-07-10T00:00:00"/>
    <n v="1.5123287671232877"/>
    <x v="120"/>
    <x v="1"/>
    <x v="8"/>
    <x v="1"/>
    <n v="8.4700000000000006"/>
    <m/>
    <m/>
    <m/>
    <m/>
    <m/>
    <m/>
    <x v="4"/>
    <n v="2"/>
    <n v="6"/>
    <m/>
    <m/>
    <m/>
    <m/>
    <m/>
    <m/>
    <m/>
    <m/>
    <m/>
    <m/>
    <m/>
    <m/>
    <m/>
    <m/>
  </r>
  <r>
    <n v="5671"/>
    <n v="56219"/>
    <d v="2004-10-04T00:00:00"/>
    <n v="21"/>
    <x v="1"/>
    <x v="0"/>
    <d v="2024-06-27T00:00:00"/>
    <n v="1.4958904109589042"/>
    <x v="120"/>
    <x v="1"/>
    <x v="8"/>
    <x v="1"/>
    <n v="8.4700000000000006"/>
    <m/>
    <m/>
    <m/>
    <m/>
    <m/>
    <m/>
    <x v="4"/>
    <n v="2"/>
    <n v="5"/>
    <m/>
    <m/>
    <m/>
    <m/>
    <m/>
    <m/>
    <m/>
    <m/>
    <m/>
    <m/>
    <m/>
    <m/>
    <m/>
    <m/>
  </r>
  <r>
    <n v="5672"/>
    <n v="56220"/>
    <d v="1998-06-24T00:00:00"/>
    <n v="27"/>
    <x v="1"/>
    <x v="1"/>
    <d v="2024-07-03T00:00:00"/>
    <n v="1.5863013698630137"/>
    <x v="120"/>
    <x v="1"/>
    <x v="8"/>
    <x v="1"/>
    <n v="8.4700000000000006"/>
    <m/>
    <m/>
    <m/>
    <m/>
    <m/>
    <m/>
    <x v="2"/>
    <n v="0"/>
    <n v="5"/>
    <m/>
    <m/>
    <m/>
    <m/>
    <m/>
    <m/>
    <m/>
    <m/>
    <m/>
    <m/>
    <m/>
    <m/>
    <m/>
    <m/>
  </r>
  <r>
    <n v="5673"/>
    <n v="56221"/>
    <d v="2004-10-10T00:00:00"/>
    <n v="21"/>
    <x v="1"/>
    <x v="0"/>
    <d v="2024-05-31T00:00:00"/>
    <n v="1.8054794520547945"/>
    <x v="120"/>
    <x v="1"/>
    <x v="8"/>
    <x v="1"/>
    <n v="8.4700000000000006"/>
    <m/>
    <m/>
    <m/>
    <m/>
    <m/>
    <m/>
    <x v="4"/>
    <n v="2"/>
    <n v="5"/>
    <m/>
    <m/>
    <m/>
    <m/>
    <m/>
    <m/>
    <m/>
    <m/>
    <m/>
    <m/>
    <m/>
    <m/>
    <m/>
    <m/>
  </r>
  <r>
    <n v="5674"/>
    <n v="56222"/>
    <d v="2004-08-16T00:00:00"/>
    <n v="21"/>
    <x v="0"/>
    <x v="1"/>
    <d v="2024-03-12T00:00:00"/>
    <n v="1.0712328767123287"/>
    <x v="120"/>
    <x v="1"/>
    <x v="8"/>
    <x v="1"/>
    <n v="8.4700000000000006"/>
    <m/>
    <m/>
    <m/>
    <m/>
    <m/>
    <m/>
    <x v="4"/>
    <n v="2"/>
    <n v="3"/>
    <m/>
    <m/>
    <m/>
    <m/>
    <m/>
    <m/>
    <m/>
    <m/>
    <m/>
    <m/>
    <m/>
    <m/>
    <m/>
    <m/>
  </r>
  <r>
    <n v="5675"/>
    <n v="56223"/>
    <d v="1999-12-10T00:00:00"/>
    <n v="26"/>
    <x v="1"/>
    <x v="1"/>
    <d v="2024-12-05T00:00:00"/>
    <n v="1.6273972602739726"/>
    <x v="114"/>
    <x v="1"/>
    <x v="11"/>
    <x v="1"/>
    <n v="17"/>
    <m/>
    <m/>
    <m/>
    <m/>
    <m/>
    <m/>
    <x v="4"/>
    <n v="4"/>
    <n v="7"/>
    <m/>
    <m/>
    <m/>
    <m/>
    <m/>
    <m/>
    <m/>
    <m/>
    <m/>
    <m/>
    <m/>
    <m/>
    <m/>
    <m/>
  </r>
  <r>
    <n v="5676"/>
    <n v="56224"/>
    <d v="2005-12-01T00:00:00"/>
    <n v="21"/>
    <x v="0"/>
    <x v="1"/>
    <d v="2024-05-16T00:00:00"/>
    <n v="1.6"/>
    <x v="114"/>
    <x v="1"/>
    <x v="10"/>
    <x v="1"/>
    <n v="10.64"/>
    <m/>
    <m/>
    <m/>
    <m/>
    <m/>
    <m/>
    <x v="1"/>
    <n v="0"/>
    <n v="3"/>
    <m/>
    <m/>
    <m/>
    <m/>
    <m/>
    <m/>
    <m/>
    <m/>
    <m/>
    <m/>
    <m/>
    <m/>
    <m/>
    <m/>
  </r>
  <r>
    <n v="5677"/>
    <n v="56225"/>
    <d v="2004-10-16T00:00:00"/>
    <n v="21"/>
    <x v="1"/>
    <x v="1"/>
    <d v="2024-05-26T00:00:00"/>
    <n v="1.6246575342465754"/>
    <x v="114"/>
    <x v="1"/>
    <x v="10"/>
    <x v="1"/>
    <n v="10.64"/>
    <m/>
    <m/>
    <m/>
    <m/>
    <m/>
    <m/>
    <x v="1"/>
    <n v="0"/>
    <n v="4"/>
    <m/>
    <m/>
    <m/>
    <m/>
    <m/>
    <m/>
    <m/>
    <m/>
    <m/>
    <m/>
    <m/>
    <m/>
    <m/>
    <m/>
  </r>
  <r>
    <n v="5678"/>
    <n v="56226"/>
    <d v="2007-09-03T00:00:00"/>
    <n v="18"/>
    <x v="1"/>
    <x v="1"/>
    <d v="2024-05-17T00:00:00"/>
    <n v="1.7835616438356163"/>
    <x v="114"/>
    <x v="1"/>
    <x v="3"/>
    <x v="1"/>
    <n v="8.4700000000000006"/>
    <m/>
    <m/>
    <m/>
    <m/>
    <m/>
    <m/>
    <x v="2"/>
    <n v="0"/>
    <n v="6"/>
    <m/>
    <m/>
    <m/>
    <m/>
    <m/>
    <m/>
    <m/>
    <m/>
    <m/>
    <m/>
    <m/>
    <m/>
    <m/>
    <m/>
  </r>
  <r>
    <n v="5679"/>
    <n v="56227"/>
    <d v="2003-12-11T00:00:00"/>
    <n v="22"/>
    <x v="1"/>
    <x v="1"/>
    <d v="2024-03-20T00:00:00"/>
    <n v="1.536986301369863"/>
    <x v="114"/>
    <x v="1"/>
    <x v="8"/>
    <x v="1"/>
    <n v="8.4700000000000006"/>
    <m/>
    <m/>
    <m/>
    <m/>
    <m/>
    <m/>
    <x v="1"/>
    <n v="4"/>
    <n v="7"/>
    <m/>
    <m/>
    <m/>
    <m/>
    <m/>
    <m/>
    <m/>
    <m/>
    <m/>
    <m/>
    <m/>
    <m/>
    <m/>
    <m/>
  </r>
  <r>
    <n v="5680"/>
    <n v="56228"/>
    <d v="1994-03-10T00:00:00"/>
    <n v="31"/>
    <x v="1"/>
    <x v="1"/>
    <d v="2024-06-18T00:00:00"/>
    <n v="1.5616438356164384"/>
    <x v="114"/>
    <x v="1"/>
    <x v="8"/>
    <x v="1"/>
    <n v="8.4700000000000006"/>
    <m/>
    <m/>
    <m/>
    <m/>
    <m/>
    <m/>
    <x v="3"/>
    <n v="2"/>
    <n v="6"/>
    <m/>
    <m/>
    <m/>
    <m/>
    <m/>
    <m/>
    <m/>
    <m/>
    <m/>
    <m/>
    <m/>
    <m/>
    <m/>
    <m/>
  </r>
  <r>
    <n v="5681"/>
    <n v="56229"/>
    <d v="2001-11-07T00:00:00"/>
    <n v="24"/>
    <x v="1"/>
    <x v="1"/>
    <d v="2024-06-09T00:00:00"/>
    <n v="1.7753424657534247"/>
    <x v="114"/>
    <x v="1"/>
    <x v="8"/>
    <x v="1"/>
    <n v="8.4700000000000006"/>
    <m/>
    <m/>
    <m/>
    <m/>
    <m/>
    <m/>
    <x v="1"/>
    <n v="2"/>
    <n v="5"/>
    <m/>
    <m/>
    <m/>
    <m/>
    <m/>
    <m/>
    <m/>
    <m/>
    <m/>
    <m/>
    <m/>
    <m/>
    <m/>
    <m/>
  </r>
  <r>
    <n v="5682"/>
    <n v="56230"/>
    <d v="2000-12-04T00:00:00"/>
    <n v="25"/>
    <x v="1"/>
    <x v="0"/>
    <d v="2024-03-23T00:00:00"/>
    <n v="1.526027397260274"/>
    <x v="114"/>
    <x v="1"/>
    <x v="8"/>
    <x v="1"/>
    <n v="8.4700000000000006"/>
    <m/>
    <m/>
    <m/>
    <m/>
    <m/>
    <m/>
    <x v="1"/>
    <n v="1"/>
    <n v="6"/>
    <m/>
    <m/>
    <m/>
    <m/>
    <m/>
    <m/>
    <m/>
    <m/>
    <m/>
    <m/>
    <m/>
    <m/>
    <m/>
    <m/>
  </r>
  <r>
    <n v="5683"/>
    <n v="56231"/>
    <d v="1997-07-14T00:00:00"/>
    <n v="28"/>
    <x v="1"/>
    <x v="0"/>
    <d v="2024-06-22T00:00:00"/>
    <n v="1.4767123287671233"/>
    <x v="114"/>
    <x v="1"/>
    <x v="8"/>
    <x v="1"/>
    <n v="8.4700000000000006"/>
    <m/>
    <m/>
    <m/>
    <m/>
    <m/>
    <m/>
    <x v="1"/>
    <n v="3"/>
    <n v="5"/>
    <m/>
    <m/>
    <m/>
    <m/>
    <m/>
    <m/>
    <m/>
    <m/>
    <m/>
    <m/>
    <m/>
    <m/>
    <m/>
    <m/>
  </r>
  <r>
    <n v="5684"/>
    <n v="56232"/>
    <d v="2002-04-20T00:00:00"/>
    <n v="23"/>
    <x v="0"/>
    <x v="1"/>
    <d v="2024-07-10T00:00:00"/>
    <n v="1.547945205479452"/>
    <x v="114"/>
    <x v="1"/>
    <x v="8"/>
    <x v="1"/>
    <n v="8.4700000000000006"/>
    <m/>
    <m/>
    <m/>
    <m/>
    <m/>
    <m/>
    <x v="4"/>
    <n v="2"/>
    <n v="4"/>
    <m/>
    <m/>
    <m/>
    <m/>
    <m/>
    <m/>
    <m/>
    <m/>
    <m/>
    <m/>
    <m/>
    <m/>
    <m/>
    <m/>
  </r>
  <r>
    <n v="5685"/>
    <n v="56233"/>
    <d v="2005-08-06T00:00:00"/>
    <n v="20"/>
    <x v="1"/>
    <x v="1"/>
    <d v="2024-06-14T00:00:00"/>
    <n v="1.1643835616438356"/>
    <x v="114"/>
    <x v="1"/>
    <x v="8"/>
    <x v="1"/>
    <n v="8.4700000000000006"/>
    <m/>
    <m/>
    <m/>
    <m/>
    <m/>
    <m/>
    <x v="2"/>
    <n v="1"/>
    <n v="5"/>
    <m/>
    <m/>
    <m/>
    <m/>
    <m/>
    <m/>
    <m/>
    <m/>
    <m/>
    <m/>
    <m/>
    <m/>
    <m/>
    <m/>
  </r>
  <r>
    <n v="5686"/>
    <n v="56234"/>
    <d v="1994-12-24T00:00:00"/>
    <n v="31"/>
    <x v="0"/>
    <x v="0"/>
    <d v="2024-11-01T00:00:00"/>
    <n v="1.5452054794520549"/>
    <x v="6"/>
    <x v="1"/>
    <x v="11"/>
    <x v="1"/>
    <n v="17"/>
    <m/>
    <m/>
    <m/>
    <m/>
    <m/>
    <m/>
    <x v="4"/>
    <n v="2"/>
    <n v="4"/>
    <m/>
    <m/>
    <m/>
    <m/>
    <m/>
    <m/>
    <m/>
    <m/>
    <m/>
    <m/>
    <m/>
    <m/>
    <m/>
    <m/>
  </r>
  <r>
    <n v="5687"/>
    <n v="56236"/>
    <d v="2005-09-15T00:00:00"/>
    <n v="20"/>
    <x v="1"/>
    <x v="0"/>
    <d v="2024-06-15T00:00:00"/>
    <n v="1.6273972602739726"/>
    <x v="6"/>
    <x v="1"/>
    <x v="8"/>
    <x v="1"/>
    <n v="8.4700000000000006"/>
    <m/>
    <m/>
    <m/>
    <m/>
    <m/>
    <m/>
    <x v="4"/>
    <n v="2"/>
    <n v="6"/>
    <m/>
    <m/>
    <m/>
    <m/>
    <m/>
    <m/>
    <m/>
    <m/>
    <m/>
    <m/>
    <m/>
    <m/>
    <m/>
    <m/>
  </r>
  <r>
    <n v="5688"/>
    <n v="56237"/>
    <d v="2005-03-04T00:00:00"/>
    <n v="20"/>
    <x v="1"/>
    <x v="1"/>
    <d v="2024-05-16T00:00:00"/>
    <n v="1.5972602739726027"/>
    <x v="6"/>
    <x v="1"/>
    <x v="8"/>
    <x v="1"/>
    <n v="8.4700000000000006"/>
    <m/>
    <m/>
    <m/>
    <m/>
    <m/>
    <m/>
    <x v="4"/>
    <n v="4"/>
    <n v="7"/>
    <m/>
    <m/>
    <m/>
    <m/>
    <m/>
    <m/>
    <m/>
    <m/>
    <m/>
    <m/>
    <m/>
    <m/>
    <m/>
    <m/>
  </r>
  <r>
    <n v="5689"/>
    <n v="56238"/>
    <d v="2003-05-18T00:00:00"/>
    <n v="22"/>
    <x v="1"/>
    <x v="0"/>
    <d v="2024-05-27T00:00:00"/>
    <n v="1.736986301369863"/>
    <x v="6"/>
    <x v="1"/>
    <x v="8"/>
    <x v="1"/>
    <n v="8.4700000000000006"/>
    <m/>
    <m/>
    <m/>
    <m/>
    <m/>
    <m/>
    <x v="1"/>
    <n v="0"/>
    <n v="6"/>
    <m/>
    <m/>
    <m/>
    <m/>
    <m/>
    <m/>
    <m/>
    <m/>
    <m/>
    <m/>
    <m/>
    <m/>
    <m/>
    <m/>
  </r>
  <r>
    <n v="5690"/>
    <n v="56239"/>
    <d v="1998-03-05T00:00:00"/>
    <n v="27"/>
    <x v="1"/>
    <x v="0"/>
    <d v="2024-04-06T00:00:00"/>
    <n v="1.295890410958904"/>
    <x v="6"/>
    <x v="1"/>
    <x v="8"/>
    <x v="1"/>
    <n v="8.4700000000000006"/>
    <m/>
    <m/>
    <m/>
    <m/>
    <m/>
    <m/>
    <x v="3"/>
    <n v="2"/>
    <n v="5"/>
    <m/>
    <m/>
    <m/>
    <m/>
    <m/>
    <m/>
    <m/>
    <m/>
    <m/>
    <m/>
    <m/>
    <m/>
    <m/>
    <m/>
  </r>
  <r>
    <n v="5691"/>
    <n v="56240"/>
    <d v="2002-08-04T00:00:00"/>
    <n v="23"/>
    <x v="1"/>
    <x v="1"/>
    <d v="2024-09-14T00:00:00"/>
    <n v="1.3972602739726028"/>
    <x v="6"/>
    <x v="1"/>
    <x v="8"/>
    <x v="1"/>
    <n v="8.4700000000000006"/>
    <m/>
    <m/>
    <m/>
    <m/>
    <m/>
    <m/>
    <x v="4"/>
    <n v="4"/>
    <n v="6"/>
    <m/>
    <m/>
    <m/>
    <m/>
    <m/>
    <m/>
    <m/>
    <m/>
    <m/>
    <m/>
    <m/>
    <m/>
    <m/>
    <m/>
  </r>
  <r>
    <n v="5692"/>
    <n v="56242"/>
    <d v="2003-07-08T00:00:00"/>
    <n v="22"/>
    <x v="1"/>
    <x v="0"/>
    <d v="2024-08-08T00:00:00"/>
    <n v="1.2575342465753425"/>
    <x v="6"/>
    <x v="1"/>
    <x v="8"/>
    <x v="1"/>
    <n v="8.4700000000000006"/>
    <m/>
    <m/>
    <m/>
    <m/>
    <m/>
    <m/>
    <x v="4"/>
    <n v="2"/>
    <n v="6"/>
    <m/>
    <m/>
    <m/>
    <m/>
    <m/>
    <m/>
    <m/>
    <m/>
    <m/>
    <m/>
    <m/>
    <m/>
    <m/>
    <m/>
  </r>
  <r>
    <n v="5693"/>
    <n v="56244"/>
    <d v="2000-06-11T00:00:00"/>
    <n v="25"/>
    <x v="1"/>
    <x v="1"/>
    <d v="2024-09-28T00:00:00"/>
    <n v="1.8712328767123287"/>
    <x v="8"/>
    <x v="1"/>
    <x v="11"/>
    <x v="1"/>
    <n v="17"/>
    <m/>
    <m/>
    <m/>
    <m/>
    <m/>
    <m/>
    <x v="2"/>
    <n v="1"/>
    <n v="5"/>
    <m/>
    <m/>
    <m/>
    <m/>
    <m/>
    <m/>
    <m/>
    <m/>
    <m/>
    <m/>
    <m/>
    <m/>
    <m/>
    <m/>
  </r>
  <r>
    <n v="5694"/>
    <n v="56245"/>
    <d v="1999-10-09T00:00:00"/>
    <n v="26"/>
    <x v="1"/>
    <x v="1"/>
    <d v="2024-02-17T00:00:00"/>
    <n v="1.1095890410958904"/>
    <x v="8"/>
    <x v="1"/>
    <x v="10"/>
    <x v="1"/>
    <n v="10.64"/>
    <m/>
    <m/>
    <m/>
    <m/>
    <m/>
    <m/>
    <x v="2"/>
    <n v="1"/>
    <n v="6"/>
    <m/>
    <m/>
    <m/>
    <m/>
    <m/>
    <m/>
    <m/>
    <m/>
    <m/>
    <m/>
    <m/>
    <m/>
    <m/>
    <m/>
  </r>
  <r>
    <n v="5695"/>
    <n v="56246"/>
    <d v="2001-12-29T00:00:00"/>
    <n v="24"/>
    <x v="0"/>
    <x v="1"/>
    <d v="2024-11-21T00:00:00"/>
    <n v="1.0657534246575342"/>
    <x v="8"/>
    <x v="1"/>
    <x v="2"/>
    <x v="1"/>
    <n v="14.23"/>
    <m/>
    <m/>
    <m/>
    <m/>
    <m/>
    <m/>
    <x v="3"/>
    <n v="0"/>
    <n v="6"/>
    <m/>
    <m/>
    <m/>
    <m/>
    <m/>
    <m/>
    <m/>
    <m/>
    <m/>
    <m/>
    <m/>
    <m/>
    <m/>
    <m/>
  </r>
  <r>
    <n v="5696"/>
    <n v="56247"/>
    <d v="2006-06-14T00:00:00"/>
    <n v="19"/>
    <x v="0"/>
    <x v="1"/>
    <d v="2024-12-07T00:00:00"/>
    <n v="1.4356164383561645"/>
    <x v="8"/>
    <x v="1"/>
    <x v="9"/>
    <x v="1"/>
    <n v="14.07"/>
    <m/>
    <m/>
    <m/>
    <m/>
    <m/>
    <m/>
    <x v="3"/>
    <n v="0"/>
    <n v="3"/>
    <m/>
    <m/>
    <m/>
    <m/>
    <m/>
    <m/>
    <m/>
    <m/>
    <m/>
    <m/>
    <m/>
    <m/>
    <m/>
    <m/>
  </r>
  <r>
    <n v="5697"/>
    <n v="56248"/>
    <d v="2001-04-24T00:00:00"/>
    <n v="24"/>
    <x v="0"/>
    <x v="1"/>
    <d v="2024-07-25T00:00:00"/>
    <n v="1.4164383561643836"/>
    <x v="8"/>
    <x v="1"/>
    <x v="3"/>
    <x v="1"/>
    <n v="8.4700000000000006"/>
    <m/>
    <m/>
    <m/>
    <m/>
    <m/>
    <m/>
    <x v="2"/>
    <n v="3"/>
    <n v="4"/>
    <m/>
    <m/>
    <m/>
    <m/>
    <m/>
    <m/>
    <m/>
    <m/>
    <m/>
    <m/>
    <m/>
    <m/>
    <m/>
    <m/>
  </r>
  <r>
    <n v="5698"/>
    <n v="56249"/>
    <d v="2002-11-03T00:00:00"/>
    <n v="23"/>
    <x v="1"/>
    <x v="1"/>
    <d v="2024-08-01T00:00:00"/>
    <n v="1.484931506849315"/>
    <x v="8"/>
    <x v="1"/>
    <x v="8"/>
    <x v="1"/>
    <n v="8.4700000000000006"/>
    <m/>
    <m/>
    <m/>
    <m/>
    <m/>
    <m/>
    <x v="1"/>
    <n v="2"/>
    <n v="7"/>
    <m/>
    <m/>
    <m/>
    <m/>
    <m/>
    <m/>
    <m/>
    <m/>
    <m/>
    <m/>
    <m/>
    <m/>
    <m/>
    <m/>
  </r>
  <r>
    <n v="5699"/>
    <n v="56250"/>
    <d v="1994-12-25T00:00:00"/>
    <n v="31"/>
    <x v="1"/>
    <x v="1"/>
    <d v="2024-07-07T00:00:00"/>
    <n v="1.4986301369863013"/>
    <x v="8"/>
    <x v="1"/>
    <x v="8"/>
    <x v="1"/>
    <n v="8.4700000000000006"/>
    <m/>
    <m/>
    <m/>
    <m/>
    <m/>
    <m/>
    <x v="1"/>
    <n v="3"/>
    <n v="6"/>
    <m/>
    <m/>
    <m/>
    <m/>
    <m/>
    <m/>
    <m/>
    <m/>
    <m/>
    <m/>
    <m/>
    <m/>
    <m/>
    <m/>
  </r>
  <r>
    <n v="5700"/>
    <n v="56251"/>
    <d v="1995-08-06T00:00:00"/>
    <n v="30"/>
    <x v="1"/>
    <x v="1"/>
    <d v="2024-07-02T00:00:00"/>
    <n v="1.5890410958904109"/>
    <x v="8"/>
    <x v="1"/>
    <x v="8"/>
    <x v="1"/>
    <n v="8.4700000000000006"/>
    <m/>
    <m/>
    <m/>
    <m/>
    <m/>
    <m/>
    <x v="2"/>
    <n v="1"/>
    <n v="5"/>
    <m/>
    <m/>
    <m/>
    <m/>
    <m/>
    <m/>
    <m/>
    <m/>
    <m/>
    <m/>
    <m/>
    <m/>
    <m/>
    <m/>
  </r>
  <r>
    <n v="5701"/>
    <n v="56252"/>
    <d v="2005-01-05T00:00:00"/>
    <n v="20"/>
    <x v="1"/>
    <x v="1"/>
    <d v="2024-05-30T00:00:00"/>
    <n v="1.6876712328767123"/>
    <x v="8"/>
    <x v="1"/>
    <x v="8"/>
    <x v="1"/>
    <n v="8.4700000000000006"/>
    <m/>
    <m/>
    <m/>
    <m/>
    <m/>
    <m/>
    <x v="2"/>
    <n v="4"/>
    <n v="7"/>
    <m/>
    <m/>
    <m/>
    <m/>
    <m/>
    <m/>
    <m/>
    <m/>
    <m/>
    <m/>
    <m/>
    <m/>
    <m/>
    <m/>
  </r>
  <r>
    <n v="5702"/>
    <n v="56253"/>
    <d v="2005-10-30T00:00:00"/>
    <n v="20"/>
    <x v="1"/>
    <x v="0"/>
    <d v="2024-04-24T00:00:00"/>
    <n v="1.4602739726027398"/>
    <x v="8"/>
    <x v="1"/>
    <x v="8"/>
    <x v="1"/>
    <n v="8.4700000000000006"/>
    <m/>
    <m/>
    <m/>
    <m/>
    <m/>
    <m/>
    <x v="1"/>
    <n v="4"/>
    <n v="6"/>
    <m/>
    <m/>
    <m/>
    <m/>
    <m/>
    <m/>
    <m/>
    <m/>
    <m/>
    <m/>
    <m/>
    <m/>
    <m/>
    <m/>
  </r>
  <r>
    <n v="5703"/>
    <n v="56254"/>
    <d v="2006-07-23T00:00:00"/>
    <n v="19"/>
    <x v="0"/>
    <x v="0"/>
    <d v="2024-07-16T00:00:00"/>
    <n v="1.5561643835616439"/>
    <x v="8"/>
    <x v="1"/>
    <x v="8"/>
    <x v="1"/>
    <n v="8.4700000000000006"/>
    <m/>
    <m/>
    <m/>
    <m/>
    <m/>
    <m/>
    <x v="2"/>
    <n v="0"/>
    <n v="5"/>
    <m/>
    <m/>
    <m/>
    <m/>
    <m/>
    <m/>
    <m/>
    <m/>
    <m/>
    <m/>
    <m/>
    <m/>
    <m/>
    <m/>
  </r>
  <r>
    <n v="5704"/>
    <n v="56255"/>
    <d v="2006-11-18T00:00:00"/>
    <n v="19"/>
    <x v="1"/>
    <x v="0"/>
    <d v="2024-06-11T00:00:00"/>
    <n v="1.1041095890410959"/>
    <x v="8"/>
    <x v="1"/>
    <x v="8"/>
    <x v="1"/>
    <n v="8.4700000000000006"/>
    <m/>
    <m/>
    <m/>
    <m/>
    <m/>
    <m/>
    <x v="1"/>
    <n v="2"/>
    <n v="5"/>
    <m/>
    <m/>
    <m/>
    <m/>
    <m/>
    <m/>
    <m/>
    <m/>
    <m/>
    <m/>
    <m/>
    <m/>
    <m/>
    <m/>
  </r>
  <r>
    <n v="5705"/>
    <n v="56257"/>
    <d v="2006-08-28T00:00:00"/>
    <n v="19"/>
    <x v="1"/>
    <x v="1"/>
    <d v="2024-11-23T00:00:00"/>
    <n v="1.4191780821917808"/>
    <x v="8"/>
    <x v="1"/>
    <x v="8"/>
    <x v="1"/>
    <n v="8.4700000000000006"/>
    <m/>
    <m/>
    <m/>
    <m/>
    <m/>
    <m/>
    <x v="2"/>
    <n v="2"/>
    <n v="6"/>
    <m/>
    <m/>
    <m/>
    <m/>
    <m/>
    <m/>
    <m/>
    <m/>
    <m/>
    <m/>
    <m/>
    <m/>
    <m/>
    <m/>
  </r>
  <r>
    <n v="5706"/>
    <n v="56258"/>
    <d v="1997-11-06T00:00:00"/>
    <n v="28"/>
    <x v="1"/>
    <x v="1"/>
    <d v="2024-07-31T00:00:00"/>
    <n v="1.7972602739726027"/>
    <x v="8"/>
    <x v="1"/>
    <x v="8"/>
    <x v="1"/>
    <n v="8.4700000000000006"/>
    <m/>
    <m/>
    <m/>
    <m/>
    <m/>
    <m/>
    <x v="2"/>
    <n v="1"/>
    <n v="7"/>
    <m/>
    <m/>
    <m/>
    <m/>
    <m/>
    <m/>
    <m/>
    <m/>
    <m/>
    <m/>
    <m/>
    <m/>
    <m/>
    <m/>
  </r>
  <r>
    <n v="5707"/>
    <n v="56259"/>
    <d v="1994-02-26T00:00:00"/>
    <n v="31"/>
    <x v="1"/>
    <x v="1"/>
    <d v="2024-03-15T00:00:00"/>
    <n v="1.4493150684931506"/>
    <x v="8"/>
    <x v="1"/>
    <x v="8"/>
    <x v="1"/>
    <n v="8.4700000000000006"/>
    <m/>
    <m/>
    <m/>
    <m/>
    <m/>
    <m/>
    <x v="4"/>
    <n v="1"/>
    <n v="6"/>
    <m/>
    <m/>
    <m/>
    <m/>
    <m/>
    <m/>
    <m/>
    <m/>
    <m/>
    <m/>
    <m/>
    <m/>
    <m/>
    <m/>
  </r>
  <r>
    <n v="5708"/>
    <n v="56260"/>
    <d v="2003-12-10T00:00:00"/>
    <n v="22"/>
    <x v="1"/>
    <x v="1"/>
    <d v="2024-07-20T00:00:00"/>
    <n v="1.0191780821917809"/>
    <x v="8"/>
    <x v="1"/>
    <x v="8"/>
    <x v="1"/>
    <n v="8.4700000000000006"/>
    <m/>
    <m/>
    <m/>
    <m/>
    <m/>
    <m/>
    <x v="2"/>
    <n v="2"/>
    <n v="6"/>
    <m/>
    <m/>
    <m/>
    <m/>
    <m/>
    <m/>
    <m/>
    <m/>
    <m/>
    <m/>
    <m/>
    <m/>
    <m/>
    <m/>
  </r>
  <r>
    <n v="5709"/>
    <n v="56261"/>
    <d v="1994-02-20T00:00:00"/>
    <n v="31"/>
    <x v="1"/>
    <x v="1"/>
    <d v="2024-12-24T00:00:00"/>
    <n v="1.1698630136986301"/>
    <x v="46"/>
    <x v="1"/>
    <x v="11"/>
    <x v="1"/>
    <n v="17"/>
    <m/>
    <m/>
    <m/>
    <m/>
    <m/>
    <m/>
    <x v="2"/>
    <n v="2"/>
    <n v="6"/>
    <m/>
    <m/>
    <m/>
    <m/>
    <m/>
    <m/>
    <m/>
    <m/>
    <m/>
    <m/>
    <m/>
    <m/>
    <m/>
    <m/>
  </r>
  <r>
    <n v="5710"/>
    <n v="56263"/>
    <d v="2007-05-18T00:00:00"/>
    <n v="18"/>
    <x v="1"/>
    <x v="1"/>
    <d v="2024-10-30T00:00:00"/>
    <n v="1.5232876712328767"/>
    <x v="46"/>
    <x v="1"/>
    <x v="8"/>
    <x v="1"/>
    <n v="8.4700000000000006"/>
    <m/>
    <m/>
    <m/>
    <m/>
    <m/>
    <m/>
    <x v="2"/>
    <n v="2"/>
    <n v="7"/>
    <m/>
    <m/>
    <m/>
    <m/>
    <m/>
    <m/>
    <m/>
    <m/>
    <m/>
    <m/>
    <m/>
    <m/>
    <m/>
    <m/>
  </r>
  <r>
    <n v="5711"/>
    <n v="56264"/>
    <d v="2004-10-12T00:00:00"/>
    <n v="21"/>
    <x v="1"/>
    <x v="1"/>
    <d v="2024-06-23T00:00:00"/>
    <n v="1.2328767123287672"/>
    <x v="46"/>
    <x v="1"/>
    <x v="8"/>
    <x v="1"/>
    <n v="8.4700000000000006"/>
    <m/>
    <m/>
    <m/>
    <m/>
    <m/>
    <m/>
    <x v="4"/>
    <n v="2"/>
    <n v="6"/>
    <m/>
    <m/>
    <m/>
    <m/>
    <m/>
    <m/>
    <m/>
    <m/>
    <m/>
    <m/>
    <m/>
    <m/>
    <m/>
    <m/>
  </r>
  <r>
    <n v="5712"/>
    <n v="56265"/>
    <d v="2006-12-05T00:00:00"/>
    <n v="19"/>
    <x v="1"/>
    <x v="1"/>
    <d v="2024-10-07T00:00:00"/>
    <n v="1.6739726027397259"/>
    <x v="46"/>
    <x v="1"/>
    <x v="8"/>
    <x v="1"/>
    <n v="8.4700000000000006"/>
    <m/>
    <m/>
    <m/>
    <m/>
    <m/>
    <m/>
    <x v="3"/>
    <n v="1"/>
    <n v="5"/>
    <m/>
    <m/>
    <m/>
    <m/>
    <m/>
    <m/>
    <m/>
    <m/>
    <m/>
    <m/>
    <m/>
    <m/>
    <m/>
    <m/>
  </r>
  <r>
    <n v="5713"/>
    <n v="56266"/>
    <d v="1993-04-01T00:00:00"/>
    <n v="33"/>
    <x v="1"/>
    <x v="1"/>
    <d v="2024-04-29T00:00:00"/>
    <n v="1.515068493150685"/>
    <x v="46"/>
    <x v="1"/>
    <x v="8"/>
    <x v="1"/>
    <n v="8.4700000000000006"/>
    <m/>
    <m/>
    <m/>
    <m/>
    <m/>
    <m/>
    <x v="1"/>
    <n v="1"/>
    <n v="5"/>
    <m/>
    <m/>
    <m/>
    <m/>
    <m/>
    <m/>
    <m/>
    <m/>
    <m/>
    <m/>
    <m/>
    <m/>
    <m/>
    <m/>
  </r>
  <r>
    <n v="5714"/>
    <n v="56267"/>
    <d v="2002-09-08T00:00:00"/>
    <n v="23"/>
    <x v="1"/>
    <x v="1"/>
    <d v="2024-06-26T00:00:00"/>
    <n v="1.2602739726027397"/>
    <x v="46"/>
    <x v="1"/>
    <x v="8"/>
    <x v="1"/>
    <n v="8.4700000000000006"/>
    <m/>
    <m/>
    <m/>
    <m/>
    <m/>
    <m/>
    <x v="4"/>
    <n v="1"/>
    <n v="5"/>
    <m/>
    <m/>
    <m/>
    <m/>
    <m/>
    <m/>
    <m/>
    <m/>
    <m/>
    <m/>
    <m/>
    <m/>
    <m/>
    <m/>
  </r>
  <r>
    <n v="5715"/>
    <n v="56268"/>
    <d v="2005-12-24T00:00:00"/>
    <n v="20"/>
    <x v="1"/>
    <x v="0"/>
    <d v="2024-09-27T00:00:00"/>
    <n v="1.8"/>
    <x v="46"/>
    <x v="1"/>
    <x v="8"/>
    <x v="1"/>
    <n v="8.4700000000000006"/>
    <m/>
    <m/>
    <m/>
    <m/>
    <m/>
    <m/>
    <x v="2"/>
    <n v="2"/>
    <n v="4"/>
    <m/>
    <m/>
    <m/>
    <m/>
    <m/>
    <m/>
    <m/>
    <m/>
    <m/>
    <m/>
    <m/>
    <m/>
    <m/>
    <m/>
  </r>
  <r>
    <n v="5716"/>
    <n v="56269"/>
    <d v="2003-12-21T00:00:00"/>
    <n v="22"/>
    <x v="1"/>
    <x v="0"/>
    <d v="2024-03-14T00:00:00"/>
    <n v="1.4438356164383561"/>
    <x v="46"/>
    <x v="1"/>
    <x v="8"/>
    <x v="1"/>
    <n v="8.4700000000000006"/>
    <m/>
    <m/>
    <m/>
    <m/>
    <m/>
    <m/>
    <x v="2"/>
    <n v="2"/>
    <n v="7"/>
    <m/>
    <m/>
    <m/>
    <m/>
    <m/>
    <m/>
    <m/>
    <m/>
    <m/>
    <m/>
    <m/>
    <m/>
    <m/>
    <m/>
  </r>
  <r>
    <n v="5717"/>
    <n v="56270"/>
    <d v="1992-08-30T00:00:00"/>
    <n v="33"/>
    <x v="1"/>
    <x v="0"/>
    <d v="2024-07-22T00:00:00"/>
    <n v="1.526027397260274"/>
    <x v="9"/>
    <x v="1"/>
    <x v="11"/>
    <x v="1"/>
    <n v="17"/>
    <m/>
    <m/>
    <m/>
    <m/>
    <m/>
    <m/>
    <x v="1"/>
    <n v="4"/>
    <n v="6"/>
    <m/>
    <m/>
    <m/>
    <m/>
    <m/>
    <m/>
    <m/>
    <m/>
    <m/>
    <m/>
    <m/>
    <m/>
    <m/>
    <m/>
  </r>
  <r>
    <n v="5718"/>
    <n v="56271"/>
    <d v="2000-11-12T00:00:00"/>
    <n v="25"/>
    <x v="1"/>
    <x v="0"/>
    <d v="2024-06-22T00:00:00"/>
    <n v="1.2246575342465753"/>
    <x v="9"/>
    <x v="1"/>
    <x v="11"/>
    <x v="1"/>
    <n v="17"/>
    <m/>
    <m/>
    <m/>
    <m/>
    <m/>
    <m/>
    <x v="3"/>
    <n v="1"/>
    <n v="6"/>
    <m/>
    <m/>
    <m/>
    <m/>
    <m/>
    <m/>
    <m/>
    <m/>
    <m/>
    <m/>
    <m/>
    <m/>
    <m/>
    <m/>
  </r>
  <r>
    <n v="5719"/>
    <n v="56272"/>
    <d v="2003-05-25T00:00:00"/>
    <n v="22"/>
    <x v="1"/>
    <x v="1"/>
    <d v="2024-10-10T00:00:00"/>
    <n v="1.3287671232876712"/>
    <x v="9"/>
    <x v="1"/>
    <x v="10"/>
    <x v="1"/>
    <n v="10.64"/>
    <m/>
    <m/>
    <m/>
    <m/>
    <m/>
    <m/>
    <x v="4"/>
    <n v="0"/>
    <n v="6"/>
    <m/>
    <m/>
    <m/>
    <m/>
    <m/>
    <m/>
    <m/>
    <m/>
    <m/>
    <m/>
    <m/>
    <m/>
    <m/>
    <m/>
  </r>
  <r>
    <n v="5720"/>
    <n v="56273"/>
    <d v="2005-04-15T00:00:00"/>
    <n v="20"/>
    <x v="1"/>
    <x v="1"/>
    <d v="2024-09-02T00:00:00"/>
    <n v="1.167123287671233"/>
    <x v="9"/>
    <x v="1"/>
    <x v="8"/>
    <x v="1"/>
    <n v="8.4700000000000006"/>
    <m/>
    <m/>
    <m/>
    <m/>
    <m/>
    <m/>
    <x v="3"/>
    <n v="1"/>
    <n v="6"/>
    <m/>
    <m/>
    <m/>
    <m/>
    <m/>
    <m/>
    <m/>
    <m/>
    <m/>
    <m/>
    <m/>
    <m/>
    <m/>
    <m/>
  </r>
  <r>
    <n v="5721"/>
    <n v="56274"/>
    <d v="2004-03-11T00:00:00"/>
    <n v="21"/>
    <x v="1"/>
    <x v="1"/>
    <d v="2024-10-31T00:00:00"/>
    <n v="1.6136986301369862"/>
    <x v="9"/>
    <x v="1"/>
    <x v="8"/>
    <x v="1"/>
    <n v="8.4700000000000006"/>
    <m/>
    <m/>
    <m/>
    <m/>
    <m/>
    <m/>
    <x v="3"/>
    <n v="4"/>
    <n v="5"/>
    <m/>
    <m/>
    <m/>
    <m/>
    <m/>
    <m/>
    <m/>
    <m/>
    <m/>
    <m/>
    <m/>
    <m/>
    <m/>
    <m/>
  </r>
  <r>
    <n v="5722"/>
    <n v="56275"/>
    <d v="2001-06-27T00:00:00"/>
    <n v="24"/>
    <x v="1"/>
    <x v="1"/>
    <d v="2024-05-21T00:00:00"/>
    <n v="1.8520547945205479"/>
    <x v="9"/>
    <x v="1"/>
    <x v="8"/>
    <x v="1"/>
    <n v="8.4700000000000006"/>
    <m/>
    <m/>
    <m/>
    <m/>
    <m/>
    <m/>
    <x v="4"/>
    <n v="1"/>
    <n v="6"/>
    <m/>
    <m/>
    <m/>
    <m/>
    <m/>
    <m/>
    <m/>
    <m/>
    <m/>
    <m/>
    <m/>
    <m/>
    <m/>
    <m/>
  </r>
  <r>
    <n v="5723"/>
    <n v="56276"/>
    <d v="2005-06-04T00:00:00"/>
    <n v="20"/>
    <x v="0"/>
    <x v="0"/>
    <d v="2024-02-24T00:00:00"/>
    <n v="1.0465753424657533"/>
    <x v="9"/>
    <x v="1"/>
    <x v="8"/>
    <x v="1"/>
    <n v="8.4700000000000006"/>
    <m/>
    <m/>
    <m/>
    <m/>
    <m/>
    <m/>
    <x v="4"/>
    <n v="4"/>
    <n v="5"/>
    <m/>
    <m/>
    <m/>
    <m/>
    <m/>
    <m/>
    <m/>
    <m/>
    <m/>
    <m/>
    <m/>
    <m/>
    <m/>
    <m/>
  </r>
  <r>
    <n v="5724"/>
    <n v="56277"/>
    <d v="2002-10-02T00:00:00"/>
    <n v="23"/>
    <x v="1"/>
    <x v="1"/>
    <d v="2024-12-14T00:00:00"/>
    <n v="1.5506849315068494"/>
    <x v="9"/>
    <x v="1"/>
    <x v="8"/>
    <x v="1"/>
    <n v="8.4700000000000006"/>
    <m/>
    <m/>
    <m/>
    <m/>
    <m/>
    <m/>
    <x v="1"/>
    <n v="2"/>
    <n v="7"/>
    <m/>
    <m/>
    <m/>
    <m/>
    <m/>
    <m/>
    <m/>
    <m/>
    <m/>
    <m/>
    <m/>
    <m/>
    <m/>
    <m/>
  </r>
  <r>
    <n v="5725"/>
    <n v="56278"/>
    <d v="2002-10-19T00:00:00"/>
    <n v="23"/>
    <x v="1"/>
    <x v="1"/>
    <d v="2024-06-13T00:00:00"/>
    <n v="1.1369863013698631"/>
    <x v="9"/>
    <x v="1"/>
    <x v="8"/>
    <x v="1"/>
    <n v="8.4700000000000006"/>
    <m/>
    <m/>
    <m/>
    <m/>
    <m/>
    <m/>
    <x v="4"/>
    <n v="3"/>
    <n v="6"/>
    <m/>
    <m/>
    <m/>
    <m/>
    <m/>
    <m/>
    <m/>
    <m/>
    <m/>
    <m/>
    <m/>
    <m/>
    <m/>
    <m/>
  </r>
  <r>
    <n v="5726"/>
    <n v="56279"/>
    <d v="2005-09-01T00:00:00"/>
    <n v="21"/>
    <x v="1"/>
    <x v="1"/>
    <d v="2024-11-11T00:00:00"/>
    <n v="1.4465753424657535"/>
    <x v="9"/>
    <x v="1"/>
    <x v="8"/>
    <x v="1"/>
    <n v="8.4700000000000006"/>
    <m/>
    <m/>
    <m/>
    <m/>
    <m/>
    <m/>
    <x v="3"/>
    <n v="2"/>
    <n v="7"/>
    <m/>
    <m/>
    <m/>
    <m/>
    <m/>
    <m/>
    <m/>
    <m/>
    <m/>
    <m/>
    <m/>
    <m/>
    <m/>
    <m/>
  </r>
  <r>
    <n v="5727"/>
    <n v="56280"/>
    <d v="2005-02-05T00:00:00"/>
    <n v="20"/>
    <x v="1"/>
    <x v="1"/>
    <d v="2024-07-21T00:00:00"/>
    <n v="1.8082191780821917"/>
    <x v="9"/>
    <x v="1"/>
    <x v="8"/>
    <x v="1"/>
    <n v="8.4700000000000006"/>
    <m/>
    <m/>
    <m/>
    <m/>
    <m/>
    <m/>
    <x v="2"/>
    <n v="1"/>
    <n v="7"/>
    <m/>
    <m/>
    <m/>
    <m/>
    <m/>
    <m/>
    <m/>
    <m/>
    <m/>
    <m/>
    <m/>
    <m/>
    <m/>
    <m/>
  </r>
  <r>
    <n v="5728"/>
    <n v="56281"/>
    <d v="2004-01-05T00:00:00"/>
    <n v="21"/>
    <x v="1"/>
    <x v="0"/>
    <d v="2024-03-11T00:00:00"/>
    <n v="1.5287671232876712"/>
    <x v="9"/>
    <x v="1"/>
    <x v="8"/>
    <x v="1"/>
    <n v="8.4700000000000006"/>
    <m/>
    <m/>
    <m/>
    <m/>
    <m/>
    <m/>
    <x v="4"/>
    <n v="2"/>
    <n v="6"/>
    <m/>
    <m/>
    <m/>
    <m/>
    <m/>
    <m/>
    <m/>
    <m/>
    <m/>
    <m/>
    <m/>
    <m/>
    <m/>
    <m/>
  </r>
  <r>
    <n v="5729"/>
    <n v="56282"/>
    <d v="2004-12-02T00:00:00"/>
    <n v="21"/>
    <x v="1"/>
    <x v="1"/>
    <d v="2024-06-21T00:00:00"/>
    <n v="1.2657534246575342"/>
    <x v="9"/>
    <x v="1"/>
    <x v="8"/>
    <x v="1"/>
    <n v="8.4700000000000006"/>
    <m/>
    <m/>
    <m/>
    <m/>
    <m/>
    <m/>
    <x v="3"/>
    <n v="2"/>
    <n v="7"/>
    <m/>
    <m/>
    <m/>
    <m/>
    <m/>
    <m/>
    <m/>
    <m/>
    <m/>
    <m/>
    <m/>
    <m/>
    <m/>
    <m/>
  </r>
  <r>
    <n v="5730"/>
    <n v="56283"/>
    <d v="2004-07-20T00:00:00"/>
    <n v="21"/>
    <x v="1"/>
    <x v="1"/>
    <d v="2024-09-25T00:00:00"/>
    <n v="1.6630136986301369"/>
    <x v="9"/>
    <x v="1"/>
    <x v="8"/>
    <x v="1"/>
    <n v="8.4700000000000006"/>
    <m/>
    <m/>
    <m/>
    <m/>
    <m/>
    <m/>
    <x v="1"/>
    <n v="1"/>
    <n v="5"/>
    <m/>
    <m/>
    <m/>
    <m/>
    <m/>
    <m/>
    <m/>
    <m/>
    <m/>
    <m/>
    <m/>
    <m/>
    <m/>
    <m/>
  </r>
  <r>
    <n v="5731"/>
    <n v="56284"/>
    <d v="2007-01-17T00:00:00"/>
    <n v="18"/>
    <x v="1"/>
    <x v="1"/>
    <d v="2024-05-03T00:00:00"/>
    <n v="1.1232876712328768"/>
    <x v="9"/>
    <x v="1"/>
    <x v="8"/>
    <x v="1"/>
    <n v="8.4700000000000006"/>
    <m/>
    <m/>
    <m/>
    <m/>
    <m/>
    <m/>
    <x v="1"/>
    <n v="2"/>
    <n v="7"/>
    <m/>
    <m/>
    <m/>
    <m/>
    <m/>
    <m/>
    <m/>
    <m/>
    <m/>
    <m/>
    <m/>
    <m/>
    <m/>
    <m/>
  </r>
  <r>
    <n v="5732"/>
    <n v="56285"/>
    <d v="2000-05-05T00:00:00"/>
    <n v="25"/>
    <x v="1"/>
    <x v="1"/>
    <d v="2024-11-16T00:00:00"/>
    <n v="1.473972602739726"/>
    <x v="105"/>
    <x v="1"/>
    <x v="11"/>
    <x v="1"/>
    <n v="17"/>
    <m/>
    <m/>
    <m/>
    <m/>
    <m/>
    <m/>
    <x v="4"/>
    <n v="2"/>
    <n v="7"/>
    <m/>
    <m/>
    <m/>
    <m/>
    <m/>
    <m/>
    <m/>
    <m/>
    <m/>
    <m/>
    <m/>
    <m/>
    <m/>
    <m/>
  </r>
  <r>
    <n v="5733"/>
    <n v="56286"/>
    <d v="2003-07-01T00:00:00"/>
    <n v="23"/>
    <x v="1"/>
    <x v="1"/>
    <d v="2024-07-11T00:00:00"/>
    <n v="1.6301369863013699"/>
    <x v="105"/>
    <x v="1"/>
    <x v="11"/>
    <x v="1"/>
    <n v="17"/>
    <m/>
    <m/>
    <m/>
    <m/>
    <m/>
    <m/>
    <x v="2"/>
    <n v="4"/>
    <n v="6"/>
    <m/>
    <m/>
    <m/>
    <m/>
    <m/>
    <m/>
    <m/>
    <m/>
    <m/>
    <m/>
    <m/>
    <m/>
    <m/>
    <m/>
  </r>
  <r>
    <n v="5734"/>
    <n v="56287"/>
    <d v="2005-05-04T00:00:00"/>
    <n v="20"/>
    <x v="1"/>
    <x v="1"/>
    <d v="2024-05-15T00:00:00"/>
    <n v="1.5780821917808219"/>
    <x v="105"/>
    <x v="1"/>
    <x v="10"/>
    <x v="1"/>
    <n v="10.64"/>
    <m/>
    <m/>
    <m/>
    <m/>
    <m/>
    <m/>
    <x v="3"/>
    <n v="0"/>
    <n v="6"/>
    <m/>
    <m/>
    <m/>
    <m/>
    <m/>
    <m/>
    <m/>
    <m/>
    <m/>
    <m/>
    <m/>
    <m/>
    <m/>
    <m/>
  </r>
  <r>
    <n v="5735"/>
    <n v="56288"/>
    <d v="2004-03-07T00:00:00"/>
    <n v="21"/>
    <x v="1"/>
    <x v="1"/>
    <d v="2024-06-03T00:00:00"/>
    <n v="1.1342465753424658"/>
    <x v="105"/>
    <x v="1"/>
    <x v="3"/>
    <x v="1"/>
    <n v="8.4700000000000006"/>
    <m/>
    <m/>
    <m/>
    <m/>
    <m/>
    <m/>
    <x v="2"/>
    <n v="3"/>
    <n v="7"/>
    <m/>
    <m/>
    <m/>
    <m/>
    <m/>
    <m/>
    <m/>
    <m/>
    <m/>
    <m/>
    <m/>
    <m/>
    <m/>
    <m/>
  </r>
  <r>
    <n v="5736"/>
    <n v="56289"/>
    <d v="2001-07-25T00:00:00"/>
    <n v="24"/>
    <x v="0"/>
    <x v="1"/>
    <d v="2024-11-12T00:00:00"/>
    <n v="1.2575342465753425"/>
    <x v="105"/>
    <x v="1"/>
    <x v="8"/>
    <x v="1"/>
    <n v="8.4700000000000006"/>
    <m/>
    <m/>
    <m/>
    <m/>
    <m/>
    <m/>
    <x v="4"/>
    <n v="2"/>
    <n v="4"/>
    <m/>
    <m/>
    <m/>
    <m/>
    <m/>
    <m/>
    <m/>
    <m/>
    <m/>
    <m/>
    <m/>
    <m/>
    <m/>
    <m/>
  </r>
  <r>
    <n v="5737"/>
    <n v="56290"/>
    <d v="2004-04-15T00:00:00"/>
    <n v="21"/>
    <x v="1"/>
    <x v="1"/>
    <d v="2024-09-28T00:00:00"/>
    <n v="1.7917808219178082"/>
    <x v="105"/>
    <x v="1"/>
    <x v="8"/>
    <x v="1"/>
    <n v="8.4700000000000006"/>
    <m/>
    <m/>
    <m/>
    <m/>
    <m/>
    <m/>
    <x v="2"/>
    <n v="3"/>
    <n v="7"/>
    <m/>
    <m/>
    <m/>
    <m/>
    <m/>
    <m/>
    <m/>
    <m/>
    <m/>
    <m/>
    <m/>
    <m/>
    <m/>
    <m/>
  </r>
  <r>
    <n v="5738"/>
    <n v="56291"/>
    <d v="2005-12-28T00:00:00"/>
    <n v="20"/>
    <x v="1"/>
    <x v="1"/>
    <d v="2024-03-17T00:00:00"/>
    <n v="1.1863013698630136"/>
    <x v="105"/>
    <x v="1"/>
    <x v="8"/>
    <x v="1"/>
    <n v="8.4700000000000006"/>
    <m/>
    <m/>
    <m/>
    <m/>
    <m/>
    <m/>
    <x v="2"/>
    <n v="2"/>
    <n v="6"/>
    <m/>
    <m/>
    <m/>
    <m/>
    <m/>
    <m/>
    <m/>
    <m/>
    <m/>
    <m/>
    <m/>
    <m/>
    <m/>
    <m/>
  </r>
  <r>
    <n v="5739"/>
    <n v="56292"/>
    <d v="1999-09-20T00:00:00"/>
    <n v="26"/>
    <x v="1"/>
    <x v="0"/>
    <d v="2024-10-24T00:00:00"/>
    <n v="1.4246575342465753"/>
    <x v="105"/>
    <x v="1"/>
    <x v="8"/>
    <x v="1"/>
    <n v="8.4700000000000006"/>
    <m/>
    <m/>
    <m/>
    <m/>
    <m/>
    <m/>
    <x v="1"/>
    <n v="1"/>
    <n v="5"/>
    <m/>
    <m/>
    <m/>
    <m/>
    <m/>
    <m/>
    <m/>
    <m/>
    <m/>
    <m/>
    <m/>
    <m/>
    <m/>
    <m/>
  </r>
  <r>
    <n v="5740"/>
    <n v="56293"/>
    <d v="1999-02-04T00:00:00"/>
    <n v="26"/>
    <x v="1"/>
    <x v="1"/>
    <d v="2024-07-29T00:00:00"/>
    <n v="1.4575342465753425"/>
    <x v="105"/>
    <x v="1"/>
    <x v="8"/>
    <x v="1"/>
    <n v="8.4700000000000006"/>
    <m/>
    <m/>
    <m/>
    <m/>
    <m/>
    <m/>
    <x v="2"/>
    <n v="2"/>
    <n v="6"/>
    <m/>
    <m/>
    <m/>
    <m/>
    <m/>
    <m/>
    <m/>
    <m/>
    <m/>
    <m/>
    <m/>
    <m/>
    <m/>
    <m/>
  </r>
  <r>
    <n v="5741"/>
    <n v="56294"/>
    <d v="2003-04-12T00:00:00"/>
    <n v="22"/>
    <x v="1"/>
    <x v="0"/>
    <d v="2024-07-17T00:00:00"/>
    <n v="1.7835616438356163"/>
    <x v="105"/>
    <x v="1"/>
    <x v="8"/>
    <x v="1"/>
    <n v="8.4700000000000006"/>
    <m/>
    <m/>
    <m/>
    <m/>
    <m/>
    <m/>
    <x v="2"/>
    <n v="2"/>
    <n v="5"/>
    <m/>
    <m/>
    <m/>
    <m/>
    <m/>
    <m/>
    <m/>
    <m/>
    <m/>
    <m/>
    <m/>
    <m/>
    <m/>
    <m/>
  </r>
  <r>
    <n v="5742"/>
    <n v="56295"/>
    <d v="2002-09-14T00:00:00"/>
    <n v="23"/>
    <x v="1"/>
    <x v="1"/>
    <d v="2024-03-20T00:00:00"/>
    <n v="1.0136986301369864"/>
    <x v="105"/>
    <x v="1"/>
    <x v="8"/>
    <x v="1"/>
    <n v="8.4700000000000006"/>
    <m/>
    <m/>
    <m/>
    <m/>
    <m/>
    <m/>
    <x v="4"/>
    <n v="4"/>
    <n v="7"/>
    <m/>
    <m/>
    <m/>
    <m/>
    <m/>
    <m/>
    <m/>
    <m/>
    <m/>
    <m/>
    <m/>
    <m/>
    <m/>
    <m/>
  </r>
  <r>
    <n v="5743"/>
    <n v="56296"/>
    <d v="2000-12-08T00:00:00"/>
    <n v="25"/>
    <x v="1"/>
    <x v="1"/>
    <d v="2024-12-26T00:00:00"/>
    <n v="1.189041095890411"/>
    <x v="29"/>
    <x v="1"/>
    <x v="11"/>
    <x v="1"/>
    <n v="17"/>
    <m/>
    <m/>
    <m/>
    <m/>
    <m/>
    <m/>
    <x v="2"/>
    <n v="4"/>
    <n v="7"/>
    <m/>
    <m/>
    <m/>
    <m/>
    <m/>
    <m/>
    <m/>
    <m/>
    <m/>
    <m/>
    <m/>
    <m/>
    <m/>
    <m/>
  </r>
  <r>
    <n v="5744"/>
    <n v="56297"/>
    <d v="1999-12-31T00:00:00"/>
    <n v="26"/>
    <x v="1"/>
    <x v="1"/>
    <d v="2024-10-23T00:00:00"/>
    <n v="1.3917808219178083"/>
    <x v="29"/>
    <x v="1"/>
    <x v="11"/>
    <x v="1"/>
    <n v="17"/>
    <m/>
    <m/>
    <m/>
    <m/>
    <m/>
    <m/>
    <x v="4"/>
    <n v="2"/>
    <n v="7"/>
    <m/>
    <m/>
    <m/>
    <m/>
    <m/>
    <m/>
    <m/>
    <m/>
    <m/>
    <m/>
    <m/>
    <m/>
    <m/>
    <m/>
  </r>
  <r>
    <n v="5745"/>
    <n v="56299"/>
    <d v="2001-04-27T00:00:00"/>
    <n v="24"/>
    <x v="1"/>
    <x v="1"/>
    <d v="2024-08-10T00:00:00"/>
    <n v="1.736986301369863"/>
    <x v="29"/>
    <x v="1"/>
    <x v="10"/>
    <x v="1"/>
    <n v="10.64"/>
    <m/>
    <m/>
    <m/>
    <m/>
    <m/>
    <m/>
    <x v="2"/>
    <n v="0"/>
    <n v="6"/>
    <m/>
    <m/>
    <m/>
    <m/>
    <m/>
    <m/>
    <m/>
    <m/>
    <m/>
    <m/>
    <m/>
    <m/>
    <m/>
    <m/>
  </r>
  <r>
    <n v="5746"/>
    <n v="56300"/>
    <d v="2000-07-29T00:00:00"/>
    <n v="25"/>
    <x v="0"/>
    <x v="0"/>
    <d v="2024-04-06T00:00:00"/>
    <n v="1.8410958904109589"/>
    <x v="29"/>
    <x v="1"/>
    <x v="10"/>
    <x v="1"/>
    <n v="10.64"/>
    <m/>
    <m/>
    <m/>
    <m/>
    <m/>
    <m/>
    <x v="3"/>
    <n v="0"/>
    <n v="4"/>
    <m/>
    <m/>
    <m/>
    <m/>
    <m/>
    <m/>
    <m/>
    <m/>
    <m/>
    <m/>
    <m/>
    <m/>
    <m/>
    <m/>
  </r>
  <r>
    <n v="5747"/>
    <n v="56301"/>
    <d v="2002-12-14T00:00:00"/>
    <n v="23"/>
    <x v="1"/>
    <x v="0"/>
    <d v="2024-02-28T00:00:00"/>
    <n v="1.210958904109589"/>
    <x v="29"/>
    <x v="1"/>
    <x v="8"/>
    <x v="1"/>
    <n v="8.4700000000000006"/>
    <m/>
    <m/>
    <m/>
    <m/>
    <m/>
    <m/>
    <x v="4"/>
    <n v="2"/>
    <n v="5"/>
    <m/>
    <m/>
    <m/>
    <m/>
    <m/>
    <m/>
    <m/>
    <m/>
    <m/>
    <m/>
    <m/>
    <m/>
    <m/>
    <m/>
  </r>
  <r>
    <n v="5748"/>
    <n v="56302"/>
    <d v="1997-07-27T00:00:00"/>
    <n v="28"/>
    <x v="1"/>
    <x v="1"/>
    <d v="2024-10-15T00:00:00"/>
    <n v="1.7698630136986302"/>
    <x v="29"/>
    <x v="1"/>
    <x v="8"/>
    <x v="1"/>
    <n v="8.4700000000000006"/>
    <m/>
    <m/>
    <m/>
    <m/>
    <m/>
    <m/>
    <x v="2"/>
    <n v="1"/>
    <n v="7"/>
    <m/>
    <m/>
    <m/>
    <m/>
    <m/>
    <m/>
    <m/>
    <m/>
    <m/>
    <m/>
    <m/>
    <m/>
    <m/>
    <m/>
  </r>
  <r>
    <n v="5749"/>
    <n v="56303"/>
    <d v="2005-11-24T00:00:00"/>
    <n v="20"/>
    <x v="0"/>
    <x v="1"/>
    <d v="2024-03-25T00:00:00"/>
    <n v="1.1643835616438356"/>
    <x v="29"/>
    <x v="1"/>
    <x v="8"/>
    <x v="1"/>
    <n v="8.4700000000000006"/>
    <m/>
    <m/>
    <m/>
    <m/>
    <m/>
    <m/>
    <x v="3"/>
    <n v="2"/>
    <n v="4"/>
    <m/>
    <m/>
    <m/>
    <m/>
    <m/>
    <m/>
    <m/>
    <m/>
    <m/>
    <m/>
    <m/>
    <m/>
    <m/>
    <m/>
  </r>
  <r>
    <n v="5750"/>
    <n v="56304"/>
    <d v="2004-12-03T00:00:00"/>
    <n v="21"/>
    <x v="1"/>
    <x v="1"/>
    <d v="2024-11-01T00:00:00"/>
    <n v="1.0876712328767124"/>
    <x v="29"/>
    <x v="1"/>
    <x v="8"/>
    <x v="1"/>
    <n v="8.4700000000000006"/>
    <m/>
    <m/>
    <m/>
    <m/>
    <m/>
    <m/>
    <x v="4"/>
    <n v="1"/>
    <n v="4"/>
    <m/>
    <m/>
    <m/>
    <m/>
    <m/>
    <m/>
    <m/>
    <m/>
    <m/>
    <m/>
    <m/>
    <m/>
    <m/>
    <m/>
  </r>
  <r>
    <n v="5751"/>
    <n v="56305"/>
    <d v="2006-08-14T00:00:00"/>
    <n v="19"/>
    <x v="1"/>
    <x v="1"/>
    <d v="2024-11-29T00:00:00"/>
    <n v="1.7068493150684931"/>
    <x v="29"/>
    <x v="1"/>
    <x v="8"/>
    <x v="1"/>
    <n v="8.4700000000000006"/>
    <m/>
    <m/>
    <m/>
    <m/>
    <m/>
    <m/>
    <x v="2"/>
    <n v="2"/>
    <n v="6"/>
    <m/>
    <m/>
    <m/>
    <m/>
    <m/>
    <m/>
    <m/>
    <m/>
    <m/>
    <m/>
    <m/>
    <m/>
    <m/>
    <m/>
  </r>
  <r>
    <n v="5752"/>
    <n v="56306"/>
    <d v="2005-12-30T00:00:00"/>
    <n v="20"/>
    <x v="1"/>
    <x v="1"/>
    <d v="2024-04-17T00:00:00"/>
    <n v="1.0657534246575342"/>
    <x v="29"/>
    <x v="1"/>
    <x v="8"/>
    <x v="1"/>
    <n v="8.4700000000000006"/>
    <m/>
    <m/>
    <m/>
    <m/>
    <m/>
    <m/>
    <x v="2"/>
    <n v="2"/>
    <n v="6"/>
    <m/>
    <m/>
    <m/>
    <m/>
    <m/>
    <m/>
    <m/>
    <m/>
    <m/>
    <m/>
    <m/>
    <m/>
    <m/>
    <m/>
  </r>
  <r>
    <n v="5753"/>
    <n v="56307"/>
    <d v="2005-10-14T00:00:00"/>
    <n v="20"/>
    <x v="0"/>
    <x v="1"/>
    <d v="2024-12-07T00:00:00"/>
    <n v="1.3534246575342466"/>
    <x v="29"/>
    <x v="1"/>
    <x v="8"/>
    <x v="1"/>
    <n v="8.4700000000000006"/>
    <m/>
    <m/>
    <m/>
    <m/>
    <m/>
    <m/>
    <x v="4"/>
    <n v="2"/>
    <n v="3"/>
    <m/>
    <m/>
    <m/>
    <m/>
    <m/>
    <m/>
    <m/>
    <m/>
    <m/>
    <m/>
    <m/>
    <m/>
    <m/>
    <m/>
  </r>
  <r>
    <n v="5754"/>
    <n v="56308"/>
    <d v="2005-11-12T00:00:00"/>
    <n v="20"/>
    <x v="1"/>
    <x v="0"/>
    <d v="2024-08-24T00:00:00"/>
    <n v="1.715068493150685"/>
    <x v="29"/>
    <x v="1"/>
    <x v="8"/>
    <x v="1"/>
    <n v="8.4700000000000006"/>
    <m/>
    <m/>
    <m/>
    <m/>
    <m/>
    <m/>
    <x v="2"/>
    <n v="2"/>
    <n v="5"/>
    <m/>
    <m/>
    <m/>
    <m/>
    <m/>
    <m/>
    <m/>
    <m/>
    <m/>
    <m/>
    <m/>
    <m/>
    <m/>
    <m/>
  </r>
  <r>
    <n v="5755"/>
    <n v="56310"/>
    <d v="2004-11-02T00:00:00"/>
    <n v="21"/>
    <x v="1"/>
    <x v="1"/>
    <d v="2024-04-14T00:00:00"/>
    <n v="1.0465753424657533"/>
    <x v="29"/>
    <x v="1"/>
    <x v="8"/>
    <x v="1"/>
    <n v="8.4700000000000006"/>
    <m/>
    <m/>
    <m/>
    <m/>
    <m/>
    <m/>
    <x v="2"/>
    <n v="2"/>
    <n v="5"/>
    <m/>
    <m/>
    <m/>
    <m/>
    <m/>
    <m/>
    <m/>
    <m/>
    <m/>
    <m/>
    <m/>
    <m/>
    <m/>
    <m/>
  </r>
  <r>
    <n v="5756"/>
    <n v="56311"/>
    <d v="2005-06-16T00:00:00"/>
    <n v="20"/>
    <x v="0"/>
    <x v="1"/>
    <d v="2024-12-14T00:00:00"/>
    <n v="1.5315068493150685"/>
    <x v="29"/>
    <x v="1"/>
    <x v="8"/>
    <x v="1"/>
    <n v="8.4700000000000006"/>
    <m/>
    <m/>
    <m/>
    <m/>
    <m/>
    <m/>
    <x v="1"/>
    <n v="2"/>
    <n v="3"/>
    <m/>
    <m/>
    <m/>
    <m/>
    <m/>
    <m/>
    <m/>
    <m/>
    <m/>
    <m/>
    <m/>
    <m/>
    <m/>
    <m/>
  </r>
  <r>
    <n v="5757"/>
    <n v="56312"/>
    <d v="2005-12-01T00:00:00"/>
    <n v="21"/>
    <x v="1"/>
    <x v="0"/>
    <d v="2024-06-20T00:00:00"/>
    <n v="1.178082191780822"/>
    <x v="29"/>
    <x v="1"/>
    <x v="8"/>
    <x v="1"/>
    <n v="8.4700000000000006"/>
    <m/>
    <m/>
    <m/>
    <m/>
    <m/>
    <m/>
    <x v="3"/>
    <n v="1"/>
    <n v="7"/>
    <m/>
    <m/>
    <m/>
    <m/>
    <m/>
    <m/>
    <m/>
    <m/>
    <m/>
    <m/>
    <m/>
    <m/>
    <m/>
    <m/>
  </r>
  <r>
    <n v="5758"/>
    <n v="56313"/>
    <d v="2006-08-24T00:00:00"/>
    <n v="19"/>
    <x v="0"/>
    <x v="0"/>
    <d v="2024-10-27T00:00:00"/>
    <n v="1.2410958904109588"/>
    <x v="30"/>
    <x v="1"/>
    <x v="8"/>
    <x v="1"/>
    <n v="8.4700000000000006"/>
    <m/>
    <m/>
    <m/>
    <m/>
    <m/>
    <m/>
    <x v="1"/>
    <n v="2"/>
    <n v="4"/>
    <m/>
    <m/>
    <m/>
    <m/>
    <m/>
    <m/>
    <m/>
    <m/>
    <m/>
    <m/>
    <m/>
    <m/>
    <m/>
    <m/>
  </r>
  <r>
    <n v="5759"/>
    <n v="56314"/>
    <d v="1998-08-30T00:00:00"/>
    <n v="27"/>
    <x v="1"/>
    <x v="1"/>
    <d v="2024-10-04T00:00:00"/>
    <n v="1.6273972602739726"/>
    <x v="30"/>
    <x v="1"/>
    <x v="8"/>
    <x v="1"/>
    <n v="8.4700000000000006"/>
    <m/>
    <m/>
    <m/>
    <m/>
    <m/>
    <m/>
    <x v="2"/>
    <n v="1"/>
    <n v="6"/>
    <m/>
    <m/>
    <m/>
    <m/>
    <m/>
    <m/>
    <m/>
    <m/>
    <m/>
    <m/>
    <m/>
    <m/>
    <m/>
    <m/>
  </r>
  <r>
    <n v="5760"/>
    <n v="56315"/>
    <d v="2005-07-25T00:00:00"/>
    <n v="20"/>
    <x v="1"/>
    <x v="1"/>
    <d v="2024-05-16T00:00:00"/>
    <n v="1.5945205479452054"/>
    <x v="30"/>
    <x v="1"/>
    <x v="8"/>
    <x v="1"/>
    <n v="8.4700000000000006"/>
    <m/>
    <m/>
    <m/>
    <m/>
    <m/>
    <m/>
    <x v="4"/>
    <n v="3"/>
    <n v="7"/>
    <m/>
    <m/>
    <m/>
    <m/>
    <m/>
    <m/>
    <m/>
    <m/>
    <m/>
    <m/>
    <m/>
    <m/>
    <m/>
    <m/>
  </r>
  <r>
    <n v="5761"/>
    <n v="56316"/>
    <d v="2005-12-07T00:00:00"/>
    <n v="20"/>
    <x v="1"/>
    <x v="1"/>
    <d v="2024-05-28T00:00:00"/>
    <n v="1.3643835616438356"/>
    <x v="30"/>
    <x v="1"/>
    <x v="8"/>
    <x v="1"/>
    <n v="8.4700000000000006"/>
    <m/>
    <m/>
    <m/>
    <m/>
    <m/>
    <m/>
    <x v="2"/>
    <n v="4"/>
    <n v="7"/>
    <m/>
    <m/>
    <m/>
    <m/>
    <m/>
    <m/>
    <m/>
    <m/>
    <m/>
    <m/>
    <m/>
    <m/>
    <m/>
    <m/>
  </r>
  <r>
    <n v="5762"/>
    <n v="56317"/>
    <d v="1998-04-17T00:00:00"/>
    <n v="27"/>
    <x v="1"/>
    <x v="1"/>
    <d v="2024-08-20T00:00:00"/>
    <n v="1.715068493150685"/>
    <x v="30"/>
    <x v="1"/>
    <x v="8"/>
    <x v="1"/>
    <n v="8.4700000000000006"/>
    <m/>
    <m/>
    <m/>
    <m/>
    <m/>
    <m/>
    <x v="1"/>
    <n v="3"/>
    <n v="5"/>
    <m/>
    <m/>
    <m/>
    <m/>
    <m/>
    <m/>
    <m/>
    <m/>
    <m/>
    <m/>
    <m/>
    <m/>
    <m/>
    <m/>
  </r>
  <r>
    <n v="5763"/>
    <n v="56318"/>
    <d v="2005-11-22T00:00:00"/>
    <n v="20"/>
    <x v="1"/>
    <x v="1"/>
    <d v="2024-04-14T00:00:00"/>
    <n v="1.3041095890410959"/>
    <x v="48"/>
    <x v="1"/>
    <x v="8"/>
    <x v="1"/>
    <n v="8.4700000000000006"/>
    <m/>
    <m/>
    <m/>
    <m/>
    <m/>
    <m/>
    <x v="2"/>
    <n v="0"/>
    <n v="6"/>
    <m/>
    <m/>
    <m/>
    <m/>
    <m/>
    <m/>
    <m/>
    <m/>
    <m/>
    <m/>
    <m/>
    <m/>
    <m/>
    <m/>
  </r>
  <r>
    <n v="5764"/>
    <n v="56319"/>
    <d v="2000-04-25T00:00:00"/>
    <n v="25"/>
    <x v="1"/>
    <x v="1"/>
    <d v="2024-09-11T00:00:00"/>
    <n v="1.4767123287671233"/>
    <x v="48"/>
    <x v="1"/>
    <x v="8"/>
    <x v="1"/>
    <n v="8.4700000000000006"/>
    <m/>
    <m/>
    <m/>
    <m/>
    <m/>
    <m/>
    <x v="1"/>
    <n v="1"/>
    <n v="5"/>
    <m/>
    <m/>
    <m/>
    <m/>
    <m/>
    <m/>
    <m/>
    <m/>
    <m/>
    <m/>
    <m/>
    <m/>
    <m/>
    <m/>
  </r>
  <r>
    <n v="5765"/>
    <n v="56320"/>
    <d v="1996-03-06T00:00:00"/>
    <n v="29"/>
    <x v="1"/>
    <x v="1"/>
    <d v="2024-07-10T00:00:00"/>
    <n v="1.6356164383561644"/>
    <x v="48"/>
    <x v="1"/>
    <x v="8"/>
    <x v="1"/>
    <n v="8.4700000000000006"/>
    <m/>
    <m/>
    <m/>
    <m/>
    <m/>
    <m/>
    <x v="4"/>
    <n v="1"/>
    <n v="5"/>
    <m/>
    <m/>
    <m/>
    <m/>
    <m/>
    <m/>
    <m/>
    <m/>
    <m/>
    <m/>
    <m/>
    <m/>
    <m/>
    <m/>
  </r>
  <r>
    <n v="5766"/>
    <n v="56321"/>
    <d v="2006-05-10T00:00:00"/>
    <n v="19"/>
    <x v="1"/>
    <x v="1"/>
    <d v="2024-05-13T00:00:00"/>
    <n v="1.3726027397260274"/>
    <x v="48"/>
    <x v="1"/>
    <x v="8"/>
    <x v="1"/>
    <n v="8.4700000000000006"/>
    <m/>
    <m/>
    <m/>
    <m/>
    <m/>
    <m/>
    <x v="2"/>
    <n v="2"/>
    <n v="5"/>
    <m/>
    <m/>
    <m/>
    <m/>
    <m/>
    <m/>
    <m/>
    <m/>
    <m/>
    <m/>
    <m/>
    <m/>
    <m/>
    <m/>
  </r>
  <r>
    <n v="5767"/>
    <n v="56323"/>
    <d v="2000-09-23T00:00:00"/>
    <n v="25"/>
    <x v="1"/>
    <x v="1"/>
    <d v="2024-08-17T00:00:00"/>
    <n v="1.263013698630137"/>
    <x v="48"/>
    <x v="1"/>
    <x v="8"/>
    <x v="1"/>
    <n v="8.4700000000000006"/>
    <m/>
    <m/>
    <m/>
    <m/>
    <m/>
    <m/>
    <x v="4"/>
    <n v="0"/>
    <n v="6"/>
    <m/>
    <m/>
    <m/>
    <m/>
    <m/>
    <m/>
    <m/>
    <m/>
    <m/>
    <m/>
    <m/>
    <m/>
    <m/>
    <m/>
  </r>
  <r>
    <n v="5768"/>
    <n v="56324"/>
    <d v="1998-11-04T00:00:00"/>
    <n v="27"/>
    <x v="1"/>
    <x v="1"/>
    <d v="2024-09-26T00:00:00"/>
    <n v="1.8465753424657534"/>
    <x v="48"/>
    <x v="1"/>
    <x v="8"/>
    <x v="1"/>
    <n v="8.4700000000000006"/>
    <m/>
    <m/>
    <m/>
    <m/>
    <m/>
    <m/>
    <x v="2"/>
    <n v="2"/>
    <n v="7"/>
    <m/>
    <m/>
    <m/>
    <m/>
    <m/>
    <m/>
    <m/>
    <m/>
    <m/>
    <m/>
    <m/>
    <m/>
    <m/>
    <m/>
  </r>
  <r>
    <n v="5769"/>
    <n v="56325"/>
    <d v="1998-03-20T00:00:00"/>
    <n v="27"/>
    <x v="0"/>
    <x v="1"/>
    <d v="2024-02-26T00:00:00"/>
    <n v="1.789041095890411"/>
    <x v="115"/>
    <x v="1"/>
    <x v="11"/>
    <x v="1"/>
    <n v="17"/>
    <m/>
    <m/>
    <m/>
    <m/>
    <m/>
    <m/>
    <x v="3"/>
    <n v="1"/>
    <n v="3"/>
    <m/>
    <m/>
    <m/>
    <m/>
    <m/>
    <m/>
    <m/>
    <m/>
    <m/>
    <m/>
    <m/>
    <m/>
    <m/>
    <m/>
  </r>
  <r>
    <n v="5770"/>
    <n v="56326"/>
    <d v="2001-05-16T00:00:00"/>
    <n v="24"/>
    <x v="1"/>
    <x v="1"/>
    <d v="2024-03-18T00:00:00"/>
    <n v="1.7726027397260273"/>
    <x v="115"/>
    <x v="1"/>
    <x v="11"/>
    <x v="1"/>
    <n v="17"/>
    <m/>
    <m/>
    <m/>
    <m/>
    <m/>
    <m/>
    <x v="4"/>
    <n v="4"/>
    <n v="7"/>
    <m/>
    <m/>
    <m/>
    <m/>
    <m/>
    <m/>
    <m/>
    <m/>
    <m/>
    <m/>
    <m/>
    <m/>
    <m/>
    <m/>
  </r>
  <r>
    <n v="5771"/>
    <n v="56328"/>
    <d v="2006-06-19T00:00:00"/>
    <n v="19"/>
    <x v="1"/>
    <x v="1"/>
    <d v="2024-03-24T00:00:00"/>
    <n v="1.4109589041095891"/>
    <x v="115"/>
    <x v="1"/>
    <x v="10"/>
    <x v="1"/>
    <n v="10.64"/>
    <m/>
    <m/>
    <m/>
    <m/>
    <m/>
    <m/>
    <x v="1"/>
    <n v="0"/>
    <n v="6"/>
    <m/>
    <m/>
    <m/>
    <m/>
    <m/>
    <m/>
    <m/>
    <m/>
    <m/>
    <m/>
    <m/>
    <m/>
    <m/>
    <m/>
  </r>
  <r>
    <n v="5772"/>
    <n v="56329"/>
    <d v="2005-12-14T00:00:00"/>
    <n v="20"/>
    <x v="1"/>
    <x v="1"/>
    <d v="2024-08-03T00:00:00"/>
    <n v="1.8027397260273972"/>
    <x v="115"/>
    <x v="1"/>
    <x v="3"/>
    <x v="1"/>
    <n v="8.4700000000000006"/>
    <m/>
    <m/>
    <m/>
    <m/>
    <m/>
    <m/>
    <x v="4"/>
    <n v="2"/>
    <n v="5"/>
    <m/>
    <m/>
    <m/>
    <m/>
    <m/>
    <m/>
    <m/>
    <m/>
    <m/>
    <m/>
    <m/>
    <m/>
    <m/>
    <m/>
  </r>
  <r>
    <n v="5773"/>
    <n v="56330"/>
    <d v="2003-08-24T00:00:00"/>
    <n v="22"/>
    <x v="1"/>
    <x v="0"/>
    <d v="2024-03-13T00:00:00"/>
    <n v="1.8082191780821917"/>
    <x v="115"/>
    <x v="1"/>
    <x v="8"/>
    <x v="1"/>
    <n v="8.4700000000000006"/>
    <m/>
    <m/>
    <m/>
    <m/>
    <m/>
    <m/>
    <x v="1"/>
    <n v="1"/>
    <n v="5"/>
    <m/>
    <m/>
    <m/>
    <m/>
    <m/>
    <m/>
    <m/>
    <m/>
    <m/>
    <m/>
    <m/>
    <m/>
    <m/>
    <m/>
  </r>
  <r>
    <n v="5774"/>
    <n v="56331"/>
    <d v="2003-06-08T00:00:00"/>
    <n v="22"/>
    <x v="1"/>
    <x v="1"/>
    <d v="2024-03-11T00:00:00"/>
    <n v="1.1397260273972603"/>
    <x v="115"/>
    <x v="1"/>
    <x v="8"/>
    <x v="1"/>
    <n v="8.4700000000000006"/>
    <m/>
    <m/>
    <m/>
    <m/>
    <m/>
    <m/>
    <x v="1"/>
    <n v="0"/>
    <n v="7"/>
    <m/>
    <m/>
    <m/>
    <m/>
    <m/>
    <m/>
    <m/>
    <m/>
    <m/>
    <m/>
    <m/>
    <m/>
    <m/>
    <m/>
  </r>
  <r>
    <n v="5775"/>
    <n v="56332"/>
    <d v="2004-12-01T00:00:00"/>
    <n v="22"/>
    <x v="1"/>
    <x v="1"/>
    <d v="2024-11-10T00:00:00"/>
    <n v="1.0931506849315069"/>
    <x v="115"/>
    <x v="1"/>
    <x v="8"/>
    <x v="1"/>
    <n v="8.4700000000000006"/>
    <m/>
    <m/>
    <m/>
    <m/>
    <m/>
    <m/>
    <x v="3"/>
    <n v="0"/>
    <n v="5"/>
    <m/>
    <m/>
    <m/>
    <m/>
    <m/>
    <m/>
    <m/>
    <m/>
    <m/>
    <m/>
    <m/>
    <m/>
    <m/>
    <m/>
  </r>
  <r>
    <n v="5776"/>
    <n v="56333"/>
    <d v="1999-03-24T00:00:00"/>
    <n v="26"/>
    <x v="1"/>
    <x v="0"/>
    <d v="2024-11-27T00:00:00"/>
    <n v="1.0136986301369864"/>
    <x v="115"/>
    <x v="1"/>
    <x v="8"/>
    <x v="1"/>
    <n v="8.4700000000000006"/>
    <m/>
    <m/>
    <m/>
    <m/>
    <m/>
    <m/>
    <x v="3"/>
    <n v="0"/>
    <n v="5"/>
    <m/>
    <m/>
    <m/>
    <m/>
    <m/>
    <m/>
    <m/>
    <m/>
    <m/>
    <m/>
    <m/>
    <m/>
    <m/>
    <m/>
  </r>
  <r>
    <n v="5777"/>
    <n v="56334"/>
    <d v="2006-12-08T00:00:00"/>
    <n v="19"/>
    <x v="1"/>
    <x v="0"/>
    <d v="2024-12-26T00:00:00"/>
    <n v="1.4164383561643836"/>
    <x v="115"/>
    <x v="1"/>
    <x v="8"/>
    <x v="1"/>
    <n v="8.4700000000000006"/>
    <m/>
    <m/>
    <m/>
    <m/>
    <m/>
    <m/>
    <x v="2"/>
    <n v="2"/>
    <n v="5"/>
    <m/>
    <m/>
    <m/>
    <m/>
    <m/>
    <m/>
    <m/>
    <m/>
    <m/>
    <m/>
    <m/>
    <m/>
    <m/>
    <m/>
  </r>
  <r>
    <n v="5778"/>
    <n v="56335"/>
    <d v="1999-06-20T00:00:00"/>
    <n v="26"/>
    <x v="1"/>
    <x v="1"/>
    <d v="2024-08-01T00:00:00"/>
    <n v="1.5561643835616439"/>
    <x v="115"/>
    <x v="1"/>
    <x v="8"/>
    <x v="1"/>
    <n v="8.4700000000000006"/>
    <m/>
    <m/>
    <m/>
    <m/>
    <m/>
    <m/>
    <x v="2"/>
    <n v="4"/>
    <n v="7"/>
    <m/>
    <m/>
    <m/>
    <m/>
    <m/>
    <m/>
    <m/>
    <m/>
    <m/>
    <m/>
    <m/>
    <m/>
    <m/>
    <m/>
  </r>
  <r>
    <n v="5779"/>
    <n v="56336"/>
    <d v="2002-02-25T00:00:00"/>
    <n v="23"/>
    <x v="1"/>
    <x v="0"/>
    <d v="2024-06-11T00:00:00"/>
    <n v="1.2547945205479452"/>
    <x v="115"/>
    <x v="1"/>
    <x v="8"/>
    <x v="1"/>
    <n v="8.4700000000000006"/>
    <m/>
    <m/>
    <m/>
    <m/>
    <m/>
    <m/>
    <x v="3"/>
    <n v="4"/>
    <n v="6"/>
    <m/>
    <m/>
    <m/>
    <m/>
    <m/>
    <m/>
    <m/>
    <m/>
    <m/>
    <m/>
    <m/>
    <m/>
    <m/>
    <m/>
  </r>
  <r>
    <n v="5780"/>
    <n v="56337"/>
    <d v="2002-06-05T00:00:00"/>
    <n v="23"/>
    <x v="1"/>
    <x v="1"/>
    <d v="2024-09-29T00:00:00"/>
    <n v="1.2684931506849315"/>
    <x v="115"/>
    <x v="1"/>
    <x v="8"/>
    <x v="1"/>
    <n v="8.4700000000000006"/>
    <m/>
    <m/>
    <m/>
    <m/>
    <m/>
    <m/>
    <x v="3"/>
    <n v="2"/>
    <n v="7"/>
    <m/>
    <m/>
    <m/>
    <m/>
    <m/>
    <m/>
    <m/>
    <m/>
    <m/>
    <m/>
    <m/>
    <m/>
    <m/>
    <m/>
  </r>
  <r>
    <n v="5781"/>
    <n v="56338"/>
    <d v="2004-03-22T00:00:00"/>
    <n v="21"/>
    <x v="1"/>
    <x v="1"/>
    <d v="2024-09-24T00:00:00"/>
    <n v="1.4246575342465753"/>
    <x v="115"/>
    <x v="1"/>
    <x v="8"/>
    <x v="1"/>
    <n v="8.4700000000000006"/>
    <m/>
    <m/>
    <m/>
    <m/>
    <m/>
    <m/>
    <x v="4"/>
    <n v="2"/>
    <n v="6"/>
    <m/>
    <m/>
    <m/>
    <m/>
    <m/>
    <m/>
    <m/>
    <m/>
    <m/>
    <m/>
    <m/>
    <m/>
    <m/>
    <m/>
  </r>
  <r>
    <n v="5782"/>
    <n v="56339"/>
    <d v="2006-10-16T00:00:00"/>
    <n v="19"/>
    <x v="1"/>
    <x v="1"/>
    <d v="2024-07-29T00:00:00"/>
    <n v="1.295890410958904"/>
    <x v="115"/>
    <x v="1"/>
    <x v="8"/>
    <x v="1"/>
    <n v="8.4700000000000006"/>
    <m/>
    <m/>
    <m/>
    <m/>
    <m/>
    <m/>
    <x v="4"/>
    <n v="2"/>
    <n v="6"/>
    <m/>
    <m/>
    <m/>
    <m/>
    <m/>
    <m/>
    <m/>
    <m/>
    <m/>
    <m/>
    <m/>
    <m/>
    <m/>
    <m/>
  </r>
  <r>
    <n v="5783"/>
    <n v="56340"/>
    <d v="2005-09-26T00:00:00"/>
    <n v="20"/>
    <x v="1"/>
    <x v="0"/>
    <d v="2024-09-14T00:00:00"/>
    <n v="1.5315068493150685"/>
    <x v="115"/>
    <x v="1"/>
    <x v="8"/>
    <x v="1"/>
    <n v="8.4700000000000006"/>
    <m/>
    <m/>
    <m/>
    <m/>
    <m/>
    <m/>
    <x v="4"/>
    <n v="2"/>
    <n v="7"/>
    <m/>
    <m/>
    <m/>
    <m/>
    <m/>
    <m/>
    <m/>
    <m/>
    <m/>
    <m/>
    <m/>
    <m/>
    <m/>
    <m/>
  </r>
  <r>
    <n v="5784"/>
    <n v="56341"/>
    <d v="1999-02-18T00:00:00"/>
    <n v="26"/>
    <x v="0"/>
    <x v="1"/>
    <d v="2024-06-20T00:00:00"/>
    <n v="1.3671232876712329"/>
    <x v="108"/>
    <x v="1"/>
    <x v="11"/>
    <x v="1"/>
    <n v="17"/>
    <m/>
    <m/>
    <m/>
    <m/>
    <m/>
    <m/>
    <x v="2"/>
    <n v="2"/>
    <n v="6"/>
    <m/>
    <m/>
    <m/>
    <m/>
    <m/>
    <m/>
    <m/>
    <m/>
    <m/>
    <m/>
    <m/>
    <m/>
    <m/>
    <m/>
  </r>
  <r>
    <n v="5785"/>
    <n v="56342"/>
    <d v="1994-06-28T00:00:00"/>
    <n v="31"/>
    <x v="1"/>
    <x v="1"/>
    <d v="2024-08-19T00:00:00"/>
    <n v="1.6054794520547946"/>
    <x v="108"/>
    <x v="1"/>
    <x v="11"/>
    <x v="1"/>
    <n v="17"/>
    <m/>
    <m/>
    <m/>
    <m/>
    <m/>
    <m/>
    <x v="2"/>
    <n v="4"/>
    <n v="6"/>
    <m/>
    <m/>
    <m/>
    <m/>
    <m/>
    <m/>
    <m/>
    <m/>
    <m/>
    <m/>
    <m/>
    <m/>
    <m/>
    <m/>
  </r>
  <r>
    <n v="5786"/>
    <n v="56343"/>
    <d v="1996-01-22T00:00:00"/>
    <n v="29"/>
    <x v="0"/>
    <x v="1"/>
    <d v="2024-05-24T00:00:00"/>
    <n v="1.5397260273972602"/>
    <x v="108"/>
    <x v="1"/>
    <x v="11"/>
    <x v="1"/>
    <n v="17"/>
    <m/>
    <m/>
    <m/>
    <m/>
    <m/>
    <m/>
    <x v="1"/>
    <n v="2"/>
    <n v="6"/>
    <m/>
    <m/>
    <m/>
    <m/>
    <m/>
    <m/>
    <m/>
    <m/>
    <m/>
    <m/>
    <m/>
    <m/>
    <m/>
    <m/>
  </r>
  <r>
    <n v="5787"/>
    <n v="56344"/>
    <d v="2005-03-24T00:00:00"/>
    <n v="20"/>
    <x v="0"/>
    <x v="1"/>
    <d v="2024-06-17T00:00:00"/>
    <n v="1.8767123287671232"/>
    <x v="108"/>
    <x v="1"/>
    <x v="10"/>
    <x v="1"/>
    <n v="10.64"/>
    <m/>
    <m/>
    <m/>
    <m/>
    <m/>
    <m/>
    <x v="2"/>
    <n v="0"/>
    <n v="5"/>
    <m/>
    <m/>
    <m/>
    <m/>
    <m/>
    <m/>
    <m/>
    <m/>
    <m/>
    <m/>
    <m/>
    <m/>
    <m/>
    <m/>
  </r>
  <r>
    <n v="5788"/>
    <n v="56345"/>
    <d v="1996-03-10T00:00:00"/>
    <n v="29"/>
    <x v="0"/>
    <x v="1"/>
    <d v="2024-02-15T00:00:00"/>
    <n v="1.2328767123287672"/>
    <x v="108"/>
    <x v="1"/>
    <x v="2"/>
    <x v="1"/>
    <n v="14.23"/>
    <m/>
    <m/>
    <m/>
    <m/>
    <m/>
    <m/>
    <x v="4"/>
    <n v="0"/>
    <n v="3"/>
    <m/>
    <m/>
    <m/>
    <m/>
    <m/>
    <m/>
    <m/>
    <m/>
    <m/>
    <m/>
    <m/>
    <m/>
    <m/>
    <m/>
  </r>
  <r>
    <n v="5789"/>
    <n v="56346"/>
    <d v="2003-08-20T00:00:00"/>
    <n v="22"/>
    <x v="1"/>
    <x v="1"/>
    <d v="2024-10-07T00:00:00"/>
    <n v="1.3260273972602741"/>
    <x v="108"/>
    <x v="1"/>
    <x v="9"/>
    <x v="1"/>
    <n v="14.07"/>
    <m/>
    <m/>
    <m/>
    <m/>
    <m/>
    <m/>
    <x v="4"/>
    <n v="0"/>
    <n v="4"/>
    <m/>
    <m/>
    <m/>
    <m/>
    <m/>
    <m/>
    <m/>
    <m/>
    <m/>
    <m/>
    <m/>
    <m/>
    <m/>
    <m/>
  </r>
  <r>
    <n v="5790"/>
    <n v="56347"/>
    <d v="2004-03-14T00:00:00"/>
    <n v="21"/>
    <x v="1"/>
    <x v="1"/>
    <d v="2024-09-03T00:00:00"/>
    <n v="1.5068493150684932"/>
    <x v="108"/>
    <x v="1"/>
    <x v="3"/>
    <x v="1"/>
    <n v="8.4700000000000006"/>
    <m/>
    <m/>
    <m/>
    <m/>
    <m/>
    <m/>
    <x v="4"/>
    <n v="4"/>
    <n v="6"/>
    <m/>
    <m/>
    <m/>
    <m/>
    <m/>
    <m/>
    <m/>
    <m/>
    <m/>
    <m/>
    <m/>
    <m/>
    <m/>
    <m/>
  </r>
  <r>
    <n v="5791"/>
    <n v="56348"/>
    <d v="2000-03-03T00:00:00"/>
    <n v="25"/>
    <x v="0"/>
    <x v="1"/>
    <d v="2024-06-29T00:00:00"/>
    <n v="1.4109589041095891"/>
    <x v="108"/>
    <x v="1"/>
    <x v="7"/>
    <x v="1"/>
    <n v="17.59"/>
    <m/>
    <m/>
    <m/>
    <m/>
    <m/>
    <m/>
    <x v="3"/>
    <n v="0"/>
    <n v="3"/>
    <m/>
    <m/>
    <m/>
    <m/>
    <m/>
    <m/>
    <m/>
    <m/>
    <m/>
    <m/>
    <m/>
    <m/>
    <m/>
    <m/>
  </r>
  <r>
    <n v="5792"/>
    <n v="56349"/>
    <d v="2000-03-13T00:00:00"/>
    <n v="25"/>
    <x v="0"/>
    <x v="0"/>
    <d v="2024-08-03T00:00:00"/>
    <n v="1.5780821917808219"/>
    <x v="108"/>
    <x v="1"/>
    <x v="7"/>
    <x v="1"/>
    <n v="17.59"/>
    <m/>
    <m/>
    <m/>
    <m/>
    <m/>
    <m/>
    <x v="3"/>
    <n v="4"/>
    <n v="5"/>
    <m/>
    <m/>
    <m/>
    <m/>
    <m/>
    <m/>
    <m/>
    <m/>
    <m/>
    <m/>
    <m/>
    <m/>
    <m/>
    <m/>
  </r>
  <r>
    <n v="5793"/>
    <n v="56350"/>
    <d v="1998-03-10T00:00:00"/>
    <n v="27"/>
    <x v="1"/>
    <x v="1"/>
    <d v="2024-06-03T00:00:00"/>
    <n v="1.2191780821917808"/>
    <x v="108"/>
    <x v="1"/>
    <x v="7"/>
    <x v="1"/>
    <n v="17.59"/>
    <m/>
    <m/>
    <m/>
    <m/>
    <m/>
    <m/>
    <x v="4"/>
    <n v="0"/>
    <n v="5"/>
    <m/>
    <m/>
    <m/>
    <m/>
    <m/>
    <m/>
    <m/>
    <m/>
    <m/>
    <m/>
    <m/>
    <m/>
    <m/>
    <m/>
  </r>
  <r>
    <n v="5794"/>
    <n v="56351"/>
    <d v="2000-09-18T00:00:00"/>
    <n v="25"/>
    <x v="0"/>
    <x v="1"/>
    <d v="2024-10-12T00:00:00"/>
    <n v="1.6109589041095891"/>
    <x v="108"/>
    <x v="1"/>
    <x v="8"/>
    <x v="1"/>
    <n v="8.4700000000000006"/>
    <m/>
    <m/>
    <m/>
    <m/>
    <m/>
    <m/>
    <x v="1"/>
    <n v="2"/>
    <n v="6"/>
    <m/>
    <m/>
    <m/>
    <m/>
    <m/>
    <m/>
    <m/>
    <m/>
    <m/>
    <m/>
    <m/>
    <m/>
    <m/>
    <m/>
  </r>
  <r>
    <n v="5795"/>
    <n v="56352"/>
    <d v="2004-05-18T00:00:00"/>
    <n v="21"/>
    <x v="1"/>
    <x v="0"/>
    <d v="2024-05-22T00:00:00"/>
    <n v="1.2904109589041095"/>
    <x v="108"/>
    <x v="1"/>
    <x v="8"/>
    <x v="1"/>
    <n v="8.4700000000000006"/>
    <m/>
    <m/>
    <m/>
    <m/>
    <m/>
    <m/>
    <x v="1"/>
    <n v="2"/>
    <n v="7"/>
    <m/>
    <m/>
    <m/>
    <m/>
    <m/>
    <m/>
    <m/>
    <m/>
    <m/>
    <m/>
    <m/>
    <m/>
    <m/>
    <m/>
  </r>
  <r>
    <n v="5796"/>
    <n v="56353"/>
    <d v="2002-12-14T00:00:00"/>
    <n v="23"/>
    <x v="1"/>
    <x v="1"/>
    <d v="2024-09-16T00:00:00"/>
    <n v="1.2027397260273973"/>
    <x v="108"/>
    <x v="1"/>
    <x v="8"/>
    <x v="1"/>
    <n v="8.4700000000000006"/>
    <m/>
    <m/>
    <m/>
    <m/>
    <m/>
    <m/>
    <x v="4"/>
    <n v="4"/>
    <n v="6"/>
    <m/>
    <m/>
    <m/>
    <m/>
    <m/>
    <m/>
    <m/>
    <m/>
    <m/>
    <m/>
    <m/>
    <m/>
    <m/>
    <m/>
  </r>
  <r>
    <n v="5797"/>
    <n v="56354"/>
    <d v="2005-05-26T00:00:00"/>
    <n v="20"/>
    <x v="1"/>
    <x v="0"/>
    <d v="2024-10-18T00:00:00"/>
    <n v="1.7095890410958905"/>
    <x v="108"/>
    <x v="1"/>
    <x v="8"/>
    <x v="1"/>
    <n v="8.4700000000000006"/>
    <m/>
    <m/>
    <m/>
    <m/>
    <m/>
    <m/>
    <x v="3"/>
    <n v="3"/>
    <n v="6"/>
    <m/>
    <m/>
    <m/>
    <m/>
    <m/>
    <m/>
    <m/>
    <m/>
    <m/>
    <m/>
    <m/>
    <m/>
    <m/>
    <m/>
  </r>
  <r>
    <n v="5798"/>
    <n v="56355"/>
    <d v="2004-06-10T00:00:00"/>
    <n v="21"/>
    <x v="1"/>
    <x v="0"/>
    <d v="2024-04-16T00:00:00"/>
    <n v="1.6082191780821917"/>
    <x v="108"/>
    <x v="1"/>
    <x v="8"/>
    <x v="1"/>
    <n v="8.4700000000000006"/>
    <m/>
    <m/>
    <m/>
    <m/>
    <m/>
    <m/>
    <x v="2"/>
    <n v="2"/>
    <n v="5"/>
    <m/>
    <m/>
    <m/>
    <m/>
    <m/>
    <m/>
    <m/>
    <m/>
    <m/>
    <m/>
    <m/>
    <m/>
    <m/>
    <m/>
  </r>
  <r>
    <n v="5799"/>
    <n v="56356"/>
    <d v="2007-04-19T00:00:00"/>
    <n v="18"/>
    <x v="0"/>
    <x v="1"/>
    <d v="2024-05-23T00:00:00"/>
    <n v="1.1369863013698631"/>
    <x v="108"/>
    <x v="1"/>
    <x v="8"/>
    <x v="1"/>
    <n v="8.4700000000000006"/>
    <m/>
    <m/>
    <m/>
    <m/>
    <m/>
    <m/>
    <x v="4"/>
    <n v="1"/>
    <n v="5"/>
    <m/>
    <m/>
    <m/>
    <m/>
    <m/>
    <m/>
    <m/>
    <m/>
    <m/>
    <m/>
    <m/>
    <m/>
    <m/>
    <m/>
  </r>
  <r>
    <n v="5800"/>
    <n v="56357"/>
    <d v="2006-04-16T00:00:00"/>
    <n v="19"/>
    <x v="1"/>
    <x v="1"/>
    <d v="2024-11-11T00:00:00"/>
    <n v="1.0904109589041096"/>
    <x v="108"/>
    <x v="1"/>
    <x v="8"/>
    <x v="1"/>
    <n v="8.4700000000000006"/>
    <m/>
    <m/>
    <m/>
    <m/>
    <m/>
    <m/>
    <x v="1"/>
    <n v="1"/>
    <n v="6"/>
    <m/>
    <m/>
    <m/>
    <m/>
    <m/>
    <m/>
    <m/>
    <m/>
    <m/>
    <m/>
    <m/>
    <m/>
    <m/>
    <m/>
  </r>
  <r>
    <n v="5801"/>
    <n v="56358"/>
    <d v="1997-01-04T00:00:00"/>
    <n v="28"/>
    <x v="1"/>
    <x v="0"/>
    <d v="2024-11-28T00:00:00"/>
    <n v="1.6493150684931508"/>
    <x v="108"/>
    <x v="1"/>
    <x v="8"/>
    <x v="1"/>
    <n v="8.4700000000000006"/>
    <m/>
    <m/>
    <m/>
    <m/>
    <m/>
    <m/>
    <x v="4"/>
    <n v="1"/>
    <n v="5"/>
    <m/>
    <m/>
    <m/>
    <m/>
    <m/>
    <m/>
    <m/>
    <m/>
    <m/>
    <m/>
    <m/>
    <m/>
    <m/>
    <m/>
  </r>
  <r>
    <n v="5802"/>
    <n v="56359"/>
    <d v="2003-12-27T00:00:00"/>
    <n v="22"/>
    <x v="1"/>
    <x v="0"/>
    <d v="2024-05-08T00:00:00"/>
    <n v="1.3424657534246576"/>
    <x v="108"/>
    <x v="1"/>
    <x v="8"/>
    <x v="1"/>
    <n v="8.4700000000000006"/>
    <m/>
    <m/>
    <m/>
    <m/>
    <m/>
    <m/>
    <x v="1"/>
    <n v="2"/>
    <n v="6"/>
    <m/>
    <m/>
    <m/>
    <m/>
    <m/>
    <m/>
    <m/>
    <m/>
    <m/>
    <m/>
    <m/>
    <m/>
    <m/>
    <m/>
  </r>
  <r>
    <n v="5803"/>
    <n v="56360"/>
    <d v="2000-10-20T00:00:00"/>
    <n v="25"/>
    <x v="1"/>
    <x v="1"/>
    <d v="2024-08-28T00:00:00"/>
    <n v="1.4904109589041097"/>
    <x v="108"/>
    <x v="1"/>
    <x v="8"/>
    <x v="1"/>
    <n v="8.4700000000000006"/>
    <m/>
    <m/>
    <m/>
    <m/>
    <m/>
    <m/>
    <x v="4"/>
    <n v="1"/>
    <n v="5"/>
    <m/>
    <m/>
    <m/>
    <m/>
    <m/>
    <m/>
    <m/>
    <m/>
    <m/>
    <m/>
    <m/>
    <m/>
    <m/>
    <m/>
  </r>
  <r>
    <n v="5804"/>
    <n v="56361"/>
    <d v="2003-10-04T00:00:00"/>
    <n v="22"/>
    <x v="1"/>
    <x v="1"/>
    <d v="2024-07-05T00:00:00"/>
    <n v="1.6164383561643836"/>
    <x v="108"/>
    <x v="1"/>
    <x v="8"/>
    <x v="1"/>
    <n v="8.4700000000000006"/>
    <m/>
    <m/>
    <m/>
    <m/>
    <m/>
    <m/>
    <x v="3"/>
    <n v="4"/>
    <n v="7"/>
    <m/>
    <m/>
    <m/>
    <m/>
    <m/>
    <m/>
    <m/>
    <m/>
    <m/>
    <m/>
    <m/>
    <m/>
    <m/>
    <m/>
  </r>
  <r>
    <n v="5805"/>
    <n v="56362"/>
    <d v="1993-05-17T00:00:00"/>
    <n v="32"/>
    <x v="1"/>
    <x v="0"/>
    <d v="2024-05-20T00:00:00"/>
    <n v="1.7780821917808218"/>
    <x v="108"/>
    <x v="1"/>
    <x v="8"/>
    <x v="1"/>
    <n v="8.4700000000000006"/>
    <m/>
    <m/>
    <m/>
    <m/>
    <m/>
    <m/>
    <x v="2"/>
    <n v="3"/>
    <n v="4"/>
    <m/>
    <m/>
    <m/>
    <m/>
    <m/>
    <m/>
    <m/>
    <m/>
    <m/>
    <m/>
    <m/>
    <m/>
    <m/>
    <m/>
  </r>
  <r>
    <n v="5806"/>
    <n v="56363"/>
    <d v="2005-09-18T00:00:00"/>
    <n v="20"/>
    <x v="1"/>
    <x v="0"/>
    <d v="2024-03-22T00:00:00"/>
    <n v="1.3534246575342466"/>
    <x v="108"/>
    <x v="1"/>
    <x v="8"/>
    <x v="1"/>
    <n v="8.4700000000000006"/>
    <m/>
    <m/>
    <m/>
    <m/>
    <m/>
    <m/>
    <x v="2"/>
    <n v="2"/>
    <n v="4"/>
    <m/>
    <m/>
    <m/>
    <m/>
    <m/>
    <m/>
    <m/>
    <m/>
    <m/>
    <m/>
    <m/>
    <m/>
    <m/>
    <m/>
  </r>
  <r>
    <n v="5807"/>
    <n v="56364"/>
    <d v="2000-09-05T00:00:00"/>
    <n v="25"/>
    <x v="1"/>
    <x v="0"/>
    <d v="2024-08-24T00:00:00"/>
    <n v="1.6054794520547946"/>
    <x v="95"/>
    <x v="1"/>
    <x v="11"/>
    <x v="1"/>
    <n v="17"/>
    <m/>
    <m/>
    <m/>
    <m/>
    <m/>
    <m/>
    <x v="1"/>
    <n v="1"/>
    <n v="6"/>
    <m/>
    <m/>
    <m/>
    <m/>
    <m/>
    <m/>
    <m/>
    <m/>
    <m/>
    <m/>
    <m/>
    <m/>
    <m/>
    <m/>
  </r>
  <r>
    <n v="5808"/>
    <n v="56365"/>
    <d v="1995-05-13T00:00:00"/>
    <n v="30"/>
    <x v="1"/>
    <x v="1"/>
    <d v="2024-05-24T00:00:00"/>
    <n v="1.6739726027397259"/>
    <x v="95"/>
    <x v="1"/>
    <x v="3"/>
    <x v="1"/>
    <n v="8.4700000000000006"/>
    <m/>
    <m/>
    <m/>
    <m/>
    <m/>
    <m/>
    <x v="1"/>
    <n v="2"/>
    <n v="6"/>
    <m/>
    <m/>
    <m/>
    <m/>
    <m/>
    <m/>
    <m/>
    <m/>
    <m/>
    <m/>
    <m/>
    <m/>
    <m/>
    <m/>
  </r>
  <r>
    <n v="5809"/>
    <n v="56366"/>
    <d v="2005-10-15T00:00:00"/>
    <n v="20"/>
    <x v="1"/>
    <x v="1"/>
    <d v="2024-04-29T00:00:00"/>
    <n v="1.5835616438356164"/>
    <x v="95"/>
    <x v="1"/>
    <x v="8"/>
    <x v="1"/>
    <n v="8.4700000000000006"/>
    <m/>
    <m/>
    <m/>
    <m/>
    <m/>
    <m/>
    <x v="1"/>
    <n v="1"/>
    <n v="6"/>
    <m/>
    <m/>
    <m/>
    <m/>
    <m/>
    <m/>
    <m/>
    <m/>
    <m/>
    <m/>
    <m/>
    <m/>
    <m/>
    <m/>
  </r>
  <r>
    <n v="5810"/>
    <n v="56367"/>
    <d v="2002-03-17T00:00:00"/>
    <n v="23"/>
    <x v="1"/>
    <x v="1"/>
    <d v="2024-06-01T00:00:00"/>
    <n v="1.6931506849315068"/>
    <x v="95"/>
    <x v="1"/>
    <x v="8"/>
    <x v="1"/>
    <n v="8.4700000000000006"/>
    <m/>
    <m/>
    <m/>
    <m/>
    <m/>
    <m/>
    <x v="4"/>
    <n v="4"/>
    <n v="6"/>
    <m/>
    <m/>
    <m/>
    <m/>
    <m/>
    <m/>
    <m/>
    <m/>
    <m/>
    <m/>
    <m/>
    <m/>
    <m/>
    <m/>
  </r>
  <r>
    <n v="5811"/>
    <n v="56368"/>
    <d v="2004-07-04T00:00:00"/>
    <n v="21"/>
    <x v="0"/>
    <x v="1"/>
    <d v="2024-04-22T00:00:00"/>
    <n v="1.7232876712328766"/>
    <x v="95"/>
    <x v="1"/>
    <x v="8"/>
    <x v="1"/>
    <n v="8.4700000000000006"/>
    <m/>
    <m/>
    <m/>
    <m/>
    <m/>
    <m/>
    <x v="4"/>
    <n v="1"/>
    <n v="5"/>
    <m/>
    <m/>
    <m/>
    <m/>
    <m/>
    <m/>
    <m/>
    <m/>
    <m/>
    <m/>
    <m/>
    <m/>
    <m/>
    <m/>
  </r>
  <r>
    <n v="5812"/>
    <n v="56369"/>
    <d v="2000-03-01T00:00:00"/>
    <n v="26"/>
    <x v="1"/>
    <x v="1"/>
    <d v="2024-04-11T00:00:00"/>
    <n v="1.0821917808219179"/>
    <x v="95"/>
    <x v="1"/>
    <x v="8"/>
    <x v="1"/>
    <n v="8.4700000000000006"/>
    <m/>
    <m/>
    <m/>
    <m/>
    <m/>
    <m/>
    <x v="2"/>
    <n v="4"/>
    <n v="6"/>
    <m/>
    <m/>
    <m/>
    <m/>
    <m/>
    <m/>
    <m/>
    <m/>
    <m/>
    <m/>
    <m/>
    <m/>
    <m/>
    <m/>
  </r>
  <r>
    <n v="5813"/>
    <n v="56370"/>
    <d v="1998-02-01T00:00:00"/>
    <n v="28"/>
    <x v="1"/>
    <x v="1"/>
    <d v="2024-12-01T00:00:00"/>
    <n v="1.273972602739726"/>
    <x v="95"/>
    <x v="1"/>
    <x v="8"/>
    <x v="1"/>
    <n v="8.4700000000000006"/>
    <m/>
    <m/>
    <m/>
    <m/>
    <m/>
    <m/>
    <x v="3"/>
    <n v="2"/>
    <n v="5"/>
    <m/>
    <m/>
    <m/>
    <m/>
    <m/>
    <m/>
    <m/>
    <m/>
    <m/>
    <m/>
    <m/>
    <m/>
    <m/>
    <m/>
  </r>
  <r>
    <n v="5814"/>
    <n v="56371"/>
    <d v="1998-11-27T00:00:00"/>
    <n v="27"/>
    <x v="1"/>
    <x v="1"/>
    <d v="2024-09-22T00:00:00"/>
    <n v="1.6520547945205479"/>
    <x v="95"/>
    <x v="1"/>
    <x v="8"/>
    <x v="1"/>
    <n v="8.4700000000000006"/>
    <m/>
    <m/>
    <m/>
    <m/>
    <m/>
    <m/>
    <x v="4"/>
    <n v="2"/>
    <n v="5"/>
    <m/>
    <m/>
    <m/>
    <m/>
    <m/>
    <m/>
    <m/>
    <m/>
    <m/>
    <m/>
    <m/>
    <m/>
    <m/>
    <m/>
  </r>
  <r>
    <n v="5815"/>
    <n v="56372"/>
    <d v="2006-09-14T00:00:00"/>
    <n v="19"/>
    <x v="0"/>
    <x v="1"/>
    <d v="2024-05-07T00:00:00"/>
    <n v="1.0986301369863014"/>
    <x v="95"/>
    <x v="1"/>
    <x v="8"/>
    <x v="1"/>
    <n v="8.4700000000000006"/>
    <m/>
    <m/>
    <m/>
    <m/>
    <m/>
    <m/>
    <x v="1"/>
    <n v="3"/>
    <n v="6"/>
    <m/>
    <m/>
    <m/>
    <m/>
    <m/>
    <m/>
    <m/>
    <m/>
    <m/>
    <m/>
    <m/>
    <m/>
    <m/>
    <m/>
  </r>
  <r>
    <n v="5816"/>
    <n v="56373"/>
    <d v="1995-02-27T00:00:00"/>
    <n v="30"/>
    <x v="1"/>
    <x v="1"/>
    <d v="2024-11-25T00:00:00"/>
    <n v="1.1534246575342466"/>
    <x v="95"/>
    <x v="1"/>
    <x v="8"/>
    <x v="1"/>
    <n v="8.4700000000000006"/>
    <m/>
    <m/>
    <m/>
    <m/>
    <m/>
    <m/>
    <x v="2"/>
    <n v="4"/>
    <n v="6"/>
    <m/>
    <m/>
    <m/>
    <m/>
    <m/>
    <m/>
    <m/>
    <m/>
    <m/>
    <m/>
    <m/>
    <m/>
    <m/>
    <m/>
  </r>
  <r>
    <n v="5817"/>
    <n v="56374"/>
    <d v="2004-08-23T00:00:00"/>
    <n v="21"/>
    <x v="1"/>
    <x v="1"/>
    <d v="2024-11-05T00:00:00"/>
    <n v="1.1397260273972603"/>
    <x v="95"/>
    <x v="1"/>
    <x v="8"/>
    <x v="1"/>
    <n v="8.4700000000000006"/>
    <m/>
    <m/>
    <m/>
    <m/>
    <m/>
    <m/>
    <x v="1"/>
    <n v="3"/>
    <n v="7"/>
    <m/>
    <m/>
    <m/>
    <m/>
    <m/>
    <m/>
    <m/>
    <m/>
    <m/>
    <m/>
    <m/>
    <m/>
    <m/>
    <m/>
  </r>
  <r>
    <n v="5818"/>
    <n v="56375"/>
    <d v="2002-02-14T00:00:00"/>
    <n v="23"/>
    <x v="1"/>
    <x v="1"/>
    <d v="2024-11-10T00:00:00"/>
    <n v="1.9397260273972603"/>
    <x v="95"/>
    <x v="1"/>
    <x v="8"/>
    <x v="1"/>
    <n v="8.4700000000000006"/>
    <m/>
    <m/>
    <m/>
    <m/>
    <m/>
    <m/>
    <x v="4"/>
    <n v="2"/>
    <n v="7"/>
    <m/>
    <m/>
    <m/>
    <m/>
    <m/>
    <m/>
    <m/>
    <m/>
    <m/>
    <m/>
    <m/>
    <m/>
    <m/>
    <m/>
  </r>
  <r>
    <n v="5819"/>
    <n v="56378"/>
    <d v="2002-03-25T00:00:00"/>
    <n v="23"/>
    <x v="1"/>
    <x v="0"/>
    <d v="2024-01-23T00:00:00"/>
    <n v="1.452054794520548"/>
    <x v="123"/>
    <x v="1"/>
    <x v="11"/>
    <x v="1"/>
    <n v="17"/>
    <m/>
    <m/>
    <m/>
    <m/>
    <m/>
    <m/>
    <x v="1"/>
    <n v="2"/>
    <n v="6"/>
    <m/>
    <m/>
    <m/>
    <m/>
    <m/>
    <m/>
    <m/>
    <m/>
    <m/>
    <m/>
    <m/>
    <m/>
    <m/>
    <m/>
  </r>
  <r>
    <n v="5820"/>
    <n v="56379"/>
    <d v="2000-06-17T00:00:00"/>
    <n v="25"/>
    <x v="1"/>
    <x v="1"/>
    <d v="2024-07-19T00:00:00"/>
    <n v="1.1287671232876713"/>
    <x v="123"/>
    <x v="1"/>
    <x v="1"/>
    <x v="1"/>
    <n v="16.37"/>
    <m/>
    <m/>
    <m/>
    <m/>
    <m/>
    <m/>
    <x v="1"/>
    <n v="0"/>
    <n v="7"/>
    <m/>
    <m/>
    <m/>
    <m/>
    <m/>
    <m/>
    <m/>
    <m/>
    <m/>
    <m/>
    <m/>
    <m/>
    <m/>
    <m/>
  </r>
  <r>
    <n v="5821"/>
    <n v="56380"/>
    <d v="2003-07-12T00:00:00"/>
    <n v="22"/>
    <x v="1"/>
    <x v="0"/>
    <d v="2024-11-14T00:00:00"/>
    <n v="1.3342465753424657"/>
    <x v="123"/>
    <x v="1"/>
    <x v="3"/>
    <x v="1"/>
    <n v="8.4700000000000006"/>
    <m/>
    <m/>
    <m/>
    <m/>
    <m/>
    <m/>
    <x v="4"/>
    <n v="2"/>
    <n v="6"/>
    <m/>
    <m/>
    <m/>
    <m/>
    <m/>
    <m/>
    <m/>
    <m/>
    <m/>
    <m/>
    <m/>
    <m/>
    <m/>
    <m/>
  </r>
  <r>
    <n v="5822"/>
    <n v="56381"/>
    <d v="2002-11-29T00:00:00"/>
    <n v="23"/>
    <x v="1"/>
    <x v="1"/>
    <d v="2024-08-31T00:00:00"/>
    <n v="1.7616438356164383"/>
    <x v="123"/>
    <x v="1"/>
    <x v="3"/>
    <x v="1"/>
    <n v="8.4700000000000006"/>
    <m/>
    <m/>
    <m/>
    <m/>
    <m/>
    <m/>
    <x v="2"/>
    <n v="4"/>
    <n v="6"/>
    <m/>
    <m/>
    <m/>
    <m/>
    <m/>
    <m/>
    <m/>
    <m/>
    <m/>
    <m/>
    <m/>
    <m/>
    <m/>
    <m/>
  </r>
  <r>
    <n v="5823"/>
    <n v="56382"/>
    <d v="1991-08-30T00:00:00"/>
    <n v="34"/>
    <x v="0"/>
    <x v="1"/>
    <d v="2024-03-28T00:00:00"/>
    <n v="1.2438356164383562"/>
    <x v="123"/>
    <x v="1"/>
    <x v="7"/>
    <x v="1"/>
    <n v="17.59"/>
    <m/>
    <m/>
    <m/>
    <m/>
    <m/>
    <m/>
    <x v="2"/>
    <n v="2"/>
    <n v="5"/>
    <m/>
    <m/>
    <m/>
    <m/>
    <m/>
    <m/>
    <m/>
    <m/>
    <m/>
    <m/>
    <m/>
    <m/>
    <m/>
    <m/>
  </r>
  <r>
    <n v="5824"/>
    <n v="56383"/>
    <d v="1995-12-24T00:00:00"/>
    <n v="30"/>
    <x v="0"/>
    <x v="1"/>
    <d v="2024-10-03T00:00:00"/>
    <n v="1.0027397260273974"/>
    <x v="123"/>
    <x v="1"/>
    <x v="8"/>
    <x v="1"/>
    <n v="8.4700000000000006"/>
    <m/>
    <m/>
    <m/>
    <m/>
    <m/>
    <m/>
    <x v="2"/>
    <n v="2"/>
    <n v="5"/>
    <m/>
    <m/>
    <m/>
    <m/>
    <m/>
    <m/>
    <m/>
    <m/>
    <m/>
    <m/>
    <m/>
    <m/>
    <m/>
    <m/>
  </r>
  <r>
    <n v="5825"/>
    <n v="56384"/>
    <d v="2005-09-10T00:00:00"/>
    <n v="20"/>
    <x v="1"/>
    <x v="0"/>
    <d v="2024-12-30T00:00:00"/>
    <n v="1.2301369863013698"/>
    <x v="123"/>
    <x v="1"/>
    <x v="8"/>
    <x v="1"/>
    <n v="8.4700000000000006"/>
    <m/>
    <m/>
    <m/>
    <m/>
    <m/>
    <m/>
    <x v="4"/>
    <n v="1"/>
    <n v="4"/>
    <m/>
    <m/>
    <m/>
    <m/>
    <m/>
    <m/>
    <m/>
    <m/>
    <m/>
    <m/>
    <m/>
    <m/>
    <m/>
    <m/>
  </r>
  <r>
    <n v="5826"/>
    <n v="56385"/>
    <d v="2002-06-21T00:00:00"/>
    <n v="23"/>
    <x v="1"/>
    <x v="0"/>
    <d v="2024-10-08T00:00:00"/>
    <n v="1.0246575342465754"/>
    <x v="123"/>
    <x v="1"/>
    <x v="8"/>
    <x v="1"/>
    <n v="8.4700000000000006"/>
    <m/>
    <m/>
    <m/>
    <m/>
    <m/>
    <m/>
    <x v="1"/>
    <n v="4"/>
    <n v="6"/>
    <m/>
    <m/>
    <m/>
    <m/>
    <m/>
    <m/>
    <m/>
    <m/>
    <m/>
    <m/>
    <m/>
    <m/>
    <m/>
    <m/>
  </r>
  <r>
    <n v="5827"/>
    <n v="56386"/>
    <d v="2004-02-15T00:00:00"/>
    <n v="21"/>
    <x v="1"/>
    <x v="0"/>
    <d v="2024-12-22T00:00:00"/>
    <n v="1.4684931506849315"/>
    <x v="123"/>
    <x v="1"/>
    <x v="8"/>
    <x v="1"/>
    <n v="8.4700000000000006"/>
    <m/>
    <m/>
    <m/>
    <m/>
    <m/>
    <m/>
    <x v="1"/>
    <n v="1"/>
    <n v="5"/>
    <m/>
    <m/>
    <m/>
    <m/>
    <m/>
    <m/>
    <m/>
    <m/>
    <m/>
    <m/>
    <m/>
    <m/>
    <m/>
    <m/>
  </r>
  <r>
    <n v="5828"/>
    <n v="56387"/>
    <d v="2004-07-02T00:00:00"/>
    <n v="21"/>
    <x v="1"/>
    <x v="0"/>
    <d v="2024-07-13T00:00:00"/>
    <n v="1.263013698630137"/>
    <x v="123"/>
    <x v="1"/>
    <x v="8"/>
    <x v="1"/>
    <n v="8.4700000000000006"/>
    <m/>
    <m/>
    <m/>
    <m/>
    <m/>
    <m/>
    <x v="2"/>
    <n v="2"/>
    <n v="5"/>
    <m/>
    <m/>
    <m/>
    <m/>
    <m/>
    <m/>
    <m/>
    <m/>
    <m/>
    <m/>
    <m/>
    <m/>
    <m/>
    <m/>
  </r>
  <r>
    <n v="5829"/>
    <n v="56388"/>
    <d v="2005-03-29T00:00:00"/>
    <n v="20"/>
    <x v="1"/>
    <x v="1"/>
    <d v="2024-09-26T00:00:00"/>
    <n v="1.5287671232876712"/>
    <x v="123"/>
    <x v="1"/>
    <x v="8"/>
    <x v="1"/>
    <n v="8.4700000000000006"/>
    <m/>
    <m/>
    <m/>
    <m/>
    <m/>
    <m/>
    <x v="4"/>
    <n v="2"/>
    <n v="6"/>
    <m/>
    <m/>
    <m/>
    <m/>
    <m/>
    <m/>
    <m/>
    <m/>
    <m/>
    <m/>
    <m/>
    <m/>
    <m/>
    <m/>
  </r>
  <r>
    <n v="5830"/>
    <n v="56389"/>
    <d v="1995-09-26T00:00:00"/>
    <n v="30"/>
    <x v="1"/>
    <x v="1"/>
    <d v="2024-06-21T00:00:00"/>
    <n v="1.295890410958904"/>
    <x v="123"/>
    <x v="1"/>
    <x v="8"/>
    <x v="1"/>
    <n v="8.4700000000000006"/>
    <m/>
    <m/>
    <m/>
    <m/>
    <m/>
    <m/>
    <x v="2"/>
    <n v="0"/>
    <n v="5"/>
    <m/>
    <m/>
    <m/>
    <m/>
    <m/>
    <m/>
    <m/>
    <m/>
    <m/>
    <m/>
    <m/>
    <m/>
    <m/>
    <m/>
  </r>
  <r>
    <n v="5831"/>
    <n v="56390"/>
    <d v="2006-08-26T00:00:00"/>
    <n v="19"/>
    <x v="1"/>
    <x v="1"/>
    <d v="2024-09-14T00:00:00"/>
    <n v="1.789041095890411"/>
    <x v="123"/>
    <x v="1"/>
    <x v="8"/>
    <x v="1"/>
    <n v="8.4700000000000006"/>
    <m/>
    <m/>
    <m/>
    <m/>
    <m/>
    <m/>
    <x v="2"/>
    <n v="0"/>
    <n v="5"/>
    <m/>
    <m/>
    <m/>
    <m/>
    <m/>
    <m/>
    <m/>
    <m/>
    <m/>
    <m/>
    <m/>
    <m/>
    <m/>
    <m/>
  </r>
  <r>
    <n v="5832"/>
    <n v="56391"/>
    <d v="2002-10-12T00:00:00"/>
    <n v="23"/>
    <x v="1"/>
    <x v="1"/>
    <d v="2024-03-18T00:00:00"/>
    <n v="1.1753424657534246"/>
    <x v="123"/>
    <x v="1"/>
    <x v="8"/>
    <x v="1"/>
    <n v="8.4700000000000006"/>
    <m/>
    <m/>
    <m/>
    <m/>
    <m/>
    <m/>
    <x v="1"/>
    <n v="2"/>
    <n v="6"/>
    <m/>
    <m/>
    <m/>
    <m/>
    <m/>
    <m/>
    <m/>
    <m/>
    <m/>
    <m/>
    <m/>
    <m/>
    <m/>
    <m/>
  </r>
  <r>
    <n v="5833"/>
    <n v="56392"/>
    <d v="2006-02-13T00:00:00"/>
    <n v="19"/>
    <x v="1"/>
    <x v="1"/>
    <d v="2024-10-28T00:00:00"/>
    <n v="1.178082191780822"/>
    <x v="123"/>
    <x v="1"/>
    <x v="8"/>
    <x v="1"/>
    <n v="8.4700000000000006"/>
    <m/>
    <m/>
    <m/>
    <m/>
    <m/>
    <m/>
    <x v="1"/>
    <n v="2"/>
    <n v="6"/>
    <m/>
    <m/>
    <m/>
    <m/>
    <m/>
    <m/>
    <m/>
    <m/>
    <m/>
    <m/>
    <m/>
    <m/>
    <m/>
    <m/>
  </r>
  <r>
    <n v="5834"/>
    <n v="56393"/>
    <d v="2003-07-14T00:00:00"/>
    <n v="22"/>
    <x v="1"/>
    <x v="1"/>
    <d v="2024-10-27T00:00:00"/>
    <n v="1.0602739726027397"/>
    <x v="123"/>
    <x v="1"/>
    <x v="8"/>
    <x v="1"/>
    <n v="8.4700000000000006"/>
    <m/>
    <m/>
    <m/>
    <m/>
    <m/>
    <m/>
    <x v="4"/>
    <n v="2"/>
    <n v="7"/>
    <m/>
    <m/>
    <m/>
    <m/>
    <m/>
    <m/>
    <m/>
    <m/>
    <m/>
    <m/>
    <m/>
    <m/>
    <m/>
    <m/>
  </r>
  <r>
    <n v="5835"/>
    <n v="56394"/>
    <d v="2007-04-06T00:00:00"/>
    <n v="18"/>
    <x v="1"/>
    <x v="1"/>
    <d v="2024-12-09T00:00:00"/>
    <n v="1.7698630136986302"/>
    <x v="123"/>
    <x v="1"/>
    <x v="8"/>
    <x v="1"/>
    <n v="8.4700000000000006"/>
    <m/>
    <m/>
    <m/>
    <m/>
    <m/>
    <m/>
    <x v="2"/>
    <n v="2"/>
    <n v="6"/>
    <m/>
    <m/>
    <m/>
    <m/>
    <m/>
    <m/>
    <m/>
    <m/>
    <m/>
    <m/>
    <m/>
    <m/>
    <m/>
    <m/>
  </r>
  <r>
    <n v="5836"/>
    <n v="56395"/>
    <d v="2004-11-27T00:00:00"/>
    <n v="21"/>
    <x v="1"/>
    <x v="0"/>
    <d v="2024-03-25T00:00:00"/>
    <n v="1.8493150684931507"/>
    <x v="123"/>
    <x v="1"/>
    <x v="8"/>
    <x v="1"/>
    <n v="8.4700000000000006"/>
    <m/>
    <m/>
    <m/>
    <m/>
    <m/>
    <m/>
    <x v="1"/>
    <n v="3"/>
    <n v="6"/>
    <m/>
    <m/>
    <m/>
    <m/>
    <m/>
    <m/>
    <m/>
    <m/>
    <m/>
    <m/>
    <m/>
    <m/>
    <m/>
    <m/>
  </r>
  <r>
    <n v="5837"/>
    <n v="56396"/>
    <d v="1993-06-24T00:00:00"/>
    <n v="32"/>
    <x v="1"/>
    <x v="1"/>
    <d v="2024-02-25T00:00:00"/>
    <n v="1.2493150684931507"/>
    <x v="123"/>
    <x v="1"/>
    <x v="8"/>
    <x v="1"/>
    <n v="8.4700000000000006"/>
    <m/>
    <m/>
    <m/>
    <m/>
    <m/>
    <m/>
    <x v="4"/>
    <n v="2"/>
    <n v="7"/>
    <m/>
    <m/>
    <m/>
    <m/>
    <m/>
    <m/>
    <m/>
    <m/>
    <m/>
    <m/>
    <m/>
    <m/>
    <m/>
    <m/>
  </r>
  <r>
    <n v="5838"/>
    <n v="56397"/>
    <d v="2004-09-13T00:00:00"/>
    <n v="21"/>
    <x v="1"/>
    <x v="0"/>
    <d v="2024-10-01T00:00:00"/>
    <n v="1.7726027397260273"/>
    <x v="123"/>
    <x v="1"/>
    <x v="8"/>
    <x v="1"/>
    <n v="8.4700000000000006"/>
    <m/>
    <m/>
    <m/>
    <m/>
    <m/>
    <m/>
    <x v="4"/>
    <n v="1"/>
    <n v="5"/>
    <m/>
    <m/>
    <m/>
    <m/>
    <m/>
    <m/>
    <m/>
    <m/>
    <m/>
    <m/>
    <m/>
    <m/>
    <m/>
    <m/>
  </r>
  <r>
    <n v="5839"/>
    <n v="56398"/>
    <d v="2006-10-18T00:00:00"/>
    <n v="19"/>
    <x v="1"/>
    <x v="1"/>
    <d v="2024-03-24T00:00:00"/>
    <n v="1.7753424657534247"/>
    <x v="123"/>
    <x v="1"/>
    <x v="8"/>
    <x v="1"/>
    <n v="8.4700000000000006"/>
    <m/>
    <m/>
    <m/>
    <m/>
    <m/>
    <m/>
    <x v="2"/>
    <n v="2"/>
    <n v="6"/>
    <m/>
    <m/>
    <m/>
    <m/>
    <m/>
    <m/>
    <m/>
    <m/>
    <m/>
    <m/>
    <m/>
    <m/>
    <m/>
    <m/>
  </r>
  <r>
    <n v="5840"/>
    <n v="56399"/>
    <d v="1996-07-28T00:00:00"/>
    <n v="29"/>
    <x v="1"/>
    <x v="1"/>
    <d v="2024-03-23T00:00:00"/>
    <n v="1.8027397260273972"/>
    <x v="51"/>
    <x v="1"/>
    <x v="11"/>
    <x v="1"/>
    <n v="17"/>
    <m/>
    <m/>
    <m/>
    <m/>
    <m/>
    <m/>
    <x v="4"/>
    <n v="1"/>
    <n v="7"/>
    <m/>
    <m/>
    <m/>
    <m/>
    <m/>
    <m/>
    <m/>
    <m/>
    <m/>
    <m/>
    <m/>
    <m/>
    <m/>
    <m/>
  </r>
  <r>
    <n v="5841"/>
    <n v="56400"/>
    <d v="1999-10-14T00:00:00"/>
    <n v="26"/>
    <x v="0"/>
    <x v="1"/>
    <d v="2024-03-13T00:00:00"/>
    <n v="1.2767123287671234"/>
    <x v="51"/>
    <x v="1"/>
    <x v="11"/>
    <x v="1"/>
    <n v="17"/>
    <m/>
    <m/>
    <m/>
    <m/>
    <m/>
    <m/>
    <x v="4"/>
    <n v="2"/>
    <n v="3"/>
    <m/>
    <m/>
    <m/>
    <m/>
    <m/>
    <m/>
    <m/>
    <m/>
    <m/>
    <m/>
    <m/>
    <m/>
    <m/>
    <m/>
  </r>
  <r>
    <n v="5842"/>
    <n v="56401"/>
    <d v="2002-09-25T00:00:00"/>
    <n v="23"/>
    <x v="1"/>
    <x v="1"/>
    <d v="2024-09-21T00:00:00"/>
    <n v="1.095890410958904"/>
    <x v="51"/>
    <x v="1"/>
    <x v="8"/>
    <x v="1"/>
    <n v="8.4700000000000006"/>
    <m/>
    <m/>
    <m/>
    <m/>
    <m/>
    <m/>
    <x v="2"/>
    <n v="4"/>
    <n v="4"/>
    <m/>
    <m/>
    <m/>
    <m/>
    <m/>
    <m/>
    <m/>
    <m/>
    <m/>
    <m/>
    <m/>
    <m/>
    <m/>
    <m/>
  </r>
  <r>
    <n v="5843"/>
    <n v="56402"/>
    <d v="2002-11-21T00:00:00"/>
    <n v="23"/>
    <x v="0"/>
    <x v="1"/>
    <d v="2024-11-26T00:00:00"/>
    <n v="1.6739726027397259"/>
    <x v="51"/>
    <x v="1"/>
    <x v="8"/>
    <x v="1"/>
    <n v="8.4700000000000006"/>
    <m/>
    <m/>
    <m/>
    <m/>
    <m/>
    <m/>
    <x v="3"/>
    <n v="3"/>
    <n v="5"/>
    <m/>
    <m/>
    <m/>
    <m/>
    <m/>
    <m/>
    <m/>
    <m/>
    <m/>
    <m/>
    <m/>
    <m/>
    <m/>
    <m/>
  </r>
  <r>
    <n v="5844"/>
    <n v="56403"/>
    <d v="2003-12-10T00:00:00"/>
    <n v="22"/>
    <x v="1"/>
    <x v="1"/>
    <d v="2024-04-29T00:00:00"/>
    <n v="1.0986301369863014"/>
    <x v="51"/>
    <x v="1"/>
    <x v="8"/>
    <x v="1"/>
    <n v="8.4700000000000006"/>
    <m/>
    <m/>
    <m/>
    <m/>
    <m/>
    <m/>
    <x v="3"/>
    <n v="1"/>
    <n v="5"/>
    <m/>
    <m/>
    <m/>
    <m/>
    <m/>
    <m/>
    <m/>
    <m/>
    <m/>
    <m/>
    <m/>
    <m/>
    <m/>
    <m/>
  </r>
  <r>
    <n v="5845"/>
    <n v="56404"/>
    <d v="1998-05-01T00:00:00"/>
    <n v="28"/>
    <x v="1"/>
    <x v="0"/>
    <d v="2024-11-25T00:00:00"/>
    <n v="1.6246575342465754"/>
    <x v="51"/>
    <x v="1"/>
    <x v="8"/>
    <x v="1"/>
    <n v="8.4700000000000006"/>
    <m/>
    <m/>
    <m/>
    <m/>
    <m/>
    <m/>
    <x v="4"/>
    <n v="4"/>
    <n v="6"/>
    <m/>
    <m/>
    <m/>
    <m/>
    <m/>
    <m/>
    <m/>
    <m/>
    <m/>
    <m/>
    <m/>
    <m/>
    <m/>
    <m/>
  </r>
  <r>
    <n v="5846"/>
    <n v="56405"/>
    <d v="2006-02-19T00:00:00"/>
    <n v="19"/>
    <x v="1"/>
    <x v="1"/>
    <d v="2024-05-17T00:00:00"/>
    <n v="1.0931506849315069"/>
    <x v="51"/>
    <x v="1"/>
    <x v="8"/>
    <x v="1"/>
    <n v="8.4700000000000006"/>
    <m/>
    <m/>
    <m/>
    <m/>
    <m/>
    <m/>
    <x v="1"/>
    <n v="1"/>
    <n v="6"/>
    <m/>
    <m/>
    <m/>
    <m/>
    <m/>
    <m/>
    <m/>
    <m/>
    <m/>
    <m/>
    <m/>
    <m/>
    <m/>
    <m/>
  </r>
  <r>
    <n v="5847"/>
    <n v="56406"/>
    <d v="2004-06-11T00:00:00"/>
    <n v="21"/>
    <x v="1"/>
    <x v="1"/>
    <d v="2024-11-27T00:00:00"/>
    <n v="1.1123287671232878"/>
    <x v="51"/>
    <x v="1"/>
    <x v="8"/>
    <x v="1"/>
    <n v="8.4700000000000006"/>
    <m/>
    <m/>
    <m/>
    <m/>
    <m/>
    <m/>
    <x v="1"/>
    <n v="1"/>
    <n v="6"/>
    <m/>
    <m/>
    <m/>
    <m/>
    <m/>
    <m/>
    <m/>
    <m/>
    <m/>
    <m/>
    <m/>
    <m/>
    <m/>
    <m/>
  </r>
  <r>
    <n v="5848"/>
    <n v="56407"/>
    <d v="2003-10-12T00:00:00"/>
    <n v="22"/>
    <x v="1"/>
    <x v="0"/>
    <d v="2024-11-20T00:00:00"/>
    <n v="1.3260273972602741"/>
    <x v="51"/>
    <x v="1"/>
    <x v="8"/>
    <x v="1"/>
    <n v="8.4700000000000006"/>
    <m/>
    <m/>
    <m/>
    <m/>
    <m/>
    <m/>
    <x v="4"/>
    <n v="4"/>
    <n v="6"/>
    <m/>
    <m/>
    <m/>
    <m/>
    <m/>
    <m/>
    <m/>
    <m/>
    <m/>
    <m/>
    <m/>
    <m/>
    <m/>
    <m/>
  </r>
  <r>
    <n v="5849"/>
    <n v="56409"/>
    <d v="2005-04-19T00:00:00"/>
    <n v="20"/>
    <x v="1"/>
    <x v="0"/>
    <d v="2024-09-03T00:00:00"/>
    <n v="1.1315068493150684"/>
    <x v="51"/>
    <x v="1"/>
    <x v="8"/>
    <x v="1"/>
    <n v="8.4700000000000006"/>
    <m/>
    <m/>
    <m/>
    <m/>
    <m/>
    <m/>
    <x v="4"/>
    <n v="2"/>
    <n v="7"/>
    <m/>
    <m/>
    <m/>
    <m/>
    <m/>
    <m/>
    <m/>
    <m/>
    <m/>
    <m/>
    <m/>
    <m/>
    <m/>
    <m/>
  </r>
  <r>
    <n v="5850"/>
    <n v="56410"/>
    <d v="1998-11-17T00:00:00"/>
    <n v="27"/>
    <x v="1"/>
    <x v="0"/>
    <d v="2024-11-13T00:00:00"/>
    <n v="1.6465753424657534"/>
    <x v="51"/>
    <x v="1"/>
    <x v="8"/>
    <x v="1"/>
    <n v="8.4700000000000006"/>
    <m/>
    <m/>
    <m/>
    <m/>
    <m/>
    <m/>
    <x v="3"/>
    <n v="0"/>
    <n v="5"/>
    <m/>
    <m/>
    <m/>
    <m/>
    <m/>
    <m/>
    <m/>
    <m/>
    <m/>
    <m/>
    <m/>
    <m/>
    <m/>
    <m/>
  </r>
  <r>
    <n v="5851"/>
    <n v="56412"/>
    <d v="2001-12-14T00:00:00"/>
    <n v="24"/>
    <x v="0"/>
    <x v="1"/>
    <d v="2024-05-09T00:00:00"/>
    <n v="1.558904109589041"/>
    <x v="133"/>
    <x v="1"/>
    <x v="11"/>
    <x v="1"/>
    <n v="17"/>
    <m/>
    <m/>
    <m/>
    <m/>
    <m/>
    <m/>
    <x v="1"/>
    <n v="0"/>
    <n v="5"/>
    <m/>
    <m/>
    <m/>
    <m/>
    <m/>
    <m/>
    <m/>
    <m/>
    <m/>
    <m/>
    <m/>
    <m/>
    <m/>
    <m/>
  </r>
  <r>
    <n v="5852"/>
    <n v="56413"/>
    <d v="2003-09-07T00:00:00"/>
    <n v="22"/>
    <x v="1"/>
    <x v="1"/>
    <d v="2024-06-10T00:00:00"/>
    <n v="1.5945205479452054"/>
    <x v="133"/>
    <x v="1"/>
    <x v="11"/>
    <x v="1"/>
    <n v="17"/>
    <m/>
    <m/>
    <m/>
    <m/>
    <m/>
    <m/>
    <x v="3"/>
    <n v="1"/>
    <n v="6"/>
    <m/>
    <m/>
    <m/>
    <m/>
    <m/>
    <m/>
    <m/>
    <m/>
    <m/>
    <m/>
    <m/>
    <m/>
    <m/>
    <m/>
  </r>
  <r>
    <n v="5853"/>
    <n v="56414"/>
    <d v="2002-12-08T00:00:00"/>
    <n v="23"/>
    <x v="0"/>
    <x v="1"/>
    <d v="2024-05-28T00:00:00"/>
    <n v="1.2054794520547945"/>
    <x v="133"/>
    <x v="1"/>
    <x v="10"/>
    <x v="1"/>
    <n v="10.64"/>
    <m/>
    <m/>
    <m/>
    <m/>
    <m/>
    <m/>
    <x v="4"/>
    <n v="1"/>
    <n v="4"/>
    <m/>
    <m/>
    <m/>
    <m/>
    <m/>
    <m/>
    <m/>
    <m/>
    <m/>
    <m/>
    <m/>
    <m/>
    <m/>
    <m/>
  </r>
  <r>
    <n v="5854"/>
    <n v="56415"/>
    <d v="2004-05-19T00:00:00"/>
    <n v="21"/>
    <x v="1"/>
    <x v="1"/>
    <d v="2024-10-17T00:00:00"/>
    <n v="1.8767123287671232"/>
    <x v="133"/>
    <x v="1"/>
    <x v="10"/>
    <x v="1"/>
    <n v="10.64"/>
    <m/>
    <m/>
    <m/>
    <m/>
    <m/>
    <m/>
    <x v="1"/>
    <n v="0"/>
    <n v="4"/>
    <m/>
    <m/>
    <m/>
    <m/>
    <m/>
    <m/>
    <m/>
    <m/>
    <m/>
    <m/>
    <m/>
    <m/>
    <m/>
    <m/>
  </r>
  <r>
    <n v="5855"/>
    <n v="56416"/>
    <d v="2001-09-09T00:00:00"/>
    <n v="24"/>
    <x v="0"/>
    <x v="0"/>
    <d v="2024-02-15T00:00:00"/>
    <n v="1.6986301369863013"/>
    <x v="133"/>
    <x v="1"/>
    <x v="2"/>
    <x v="1"/>
    <n v="14.23"/>
    <m/>
    <m/>
    <m/>
    <m/>
    <m/>
    <m/>
    <x v="3"/>
    <n v="1"/>
    <n v="4"/>
    <m/>
    <m/>
    <m/>
    <m/>
    <m/>
    <m/>
    <m/>
    <m/>
    <m/>
    <m/>
    <m/>
    <m/>
    <m/>
    <m/>
  </r>
  <r>
    <n v="5856"/>
    <n v="56417"/>
    <d v="1995-03-06T00:00:00"/>
    <n v="30"/>
    <x v="0"/>
    <x v="1"/>
    <d v="2024-04-20T00:00:00"/>
    <n v="1.7753424657534247"/>
    <x v="133"/>
    <x v="1"/>
    <x v="7"/>
    <x v="1"/>
    <n v="17.59"/>
    <m/>
    <m/>
    <m/>
    <m/>
    <m/>
    <m/>
    <x v="4"/>
    <n v="2"/>
    <n v="4"/>
    <m/>
    <m/>
    <m/>
    <m/>
    <m/>
    <m/>
    <m/>
    <m/>
    <m/>
    <m/>
    <m/>
    <m/>
    <m/>
    <m/>
  </r>
  <r>
    <n v="5857"/>
    <n v="56418"/>
    <d v="2005-09-12T00:00:00"/>
    <n v="20"/>
    <x v="1"/>
    <x v="1"/>
    <d v="2024-03-23T00:00:00"/>
    <n v="1.3808219178082193"/>
    <x v="133"/>
    <x v="1"/>
    <x v="8"/>
    <x v="1"/>
    <n v="8.4700000000000006"/>
    <m/>
    <m/>
    <m/>
    <m/>
    <m/>
    <m/>
    <x v="1"/>
    <n v="2"/>
    <n v="5"/>
    <m/>
    <m/>
    <m/>
    <m/>
    <m/>
    <m/>
    <m/>
    <m/>
    <m/>
    <m/>
    <m/>
    <m/>
    <m/>
    <m/>
  </r>
  <r>
    <n v="5858"/>
    <n v="56419"/>
    <d v="2004-04-20T00:00:00"/>
    <n v="21"/>
    <x v="1"/>
    <x v="1"/>
    <d v="2024-08-14T00:00:00"/>
    <n v="1.4465753424657535"/>
    <x v="133"/>
    <x v="1"/>
    <x v="8"/>
    <x v="1"/>
    <n v="8.4700000000000006"/>
    <m/>
    <m/>
    <m/>
    <m/>
    <m/>
    <m/>
    <x v="4"/>
    <n v="3"/>
    <n v="7"/>
    <m/>
    <m/>
    <m/>
    <m/>
    <m/>
    <m/>
    <m/>
    <m/>
    <m/>
    <m/>
    <m/>
    <m/>
    <m/>
    <m/>
  </r>
  <r>
    <n v="5859"/>
    <n v="56421"/>
    <d v="2005-06-22T00:00:00"/>
    <n v="20"/>
    <x v="1"/>
    <x v="1"/>
    <d v="2024-07-21T00:00:00"/>
    <n v="1.5287671232876712"/>
    <x v="133"/>
    <x v="1"/>
    <x v="8"/>
    <x v="1"/>
    <n v="8.4700000000000006"/>
    <m/>
    <m/>
    <m/>
    <m/>
    <m/>
    <m/>
    <x v="4"/>
    <n v="1"/>
    <n v="6"/>
    <m/>
    <m/>
    <m/>
    <m/>
    <m/>
    <m/>
    <m/>
    <m/>
    <m/>
    <m/>
    <m/>
    <m/>
    <m/>
    <m/>
  </r>
  <r>
    <n v="5860"/>
    <n v="56422"/>
    <d v="1997-11-23T00:00:00"/>
    <n v="28"/>
    <x v="0"/>
    <x v="0"/>
    <d v="2024-06-21T00:00:00"/>
    <n v="1.5726027397260274"/>
    <x v="133"/>
    <x v="1"/>
    <x v="8"/>
    <x v="1"/>
    <n v="8.4700000000000006"/>
    <m/>
    <m/>
    <m/>
    <m/>
    <m/>
    <m/>
    <x v="4"/>
    <n v="2"/>
    <n v="4"/>
    <m/>
    <m/>
    <m/>
    <m/>
    <m/>
    <m/>
    <m/>
    <m/>
    <m/>
    <m/>
    <m/>
    <m/>
    <m/>
    <m/>
  </r>
  <r>
    <n v="5861"/>
    <n v="56423"/>
    <d v="2005-01-18T00:00:00"/>
    <n v="20"/>
    <x v="1"/>
    <x v="1"/>
    <d v="2024-06-05T00:00:00"/>
    <n v="1.0904109589041096"/>
    <x v="133"/>
    <x v="1"/>
    <x v="8"/>
    <x v="1"/>
    <n v="8.4700000000000006"/>
    <m/>
    <m/>
    <m/>
    <m/>
    <m/>
    <m/>
    <x v="4"/>
    <n v="0"/>
    <n v="5"/>
    <m/>
    <m/>
    <m/>
    <m/>
    <m/>
    <m/>
    <m/>
    <m/>
    <m/>
    <m/>
    <m/>
    <m/>
    <m/>
    <m/>
  </r>
  <r>
    <n v="5862"/>
    <n v="56424"/>
    <d v="1996-08-04T00:00:00"/>
    <n v="29"/>
    <x v="1"/>
    <x v="0"/>
    <d v="2024-11-28T00:00:00"/>
    <n v="1.2465753424657535"/>
    <x v="133"/>
    <x v="1"/>
    <x v="8"/>
    <x v="1"/>
    <n v="8.4700000000000006"/>
    <m/>
    <m/>
    <m/>
    <m/>
    <m/>
    <m/>
    <x v="1"/>
    <n v="4"/>
    <n v="7"/>
    <m/>
    <m/>
    <m/>
    <m/>
    <m/>
    <m/>
    <m/>
    <m/>
    <m/>
    <m/>
    <m/>
    <m/>
    <m/>
    <m/>
  </r>
  <r>
    <n v="5863"/>
    <n v="56425"/>
    <d v="1993-05-27T00:00:00"/>
    <n v="32"/>
    <x v="1"/>
    <x v="0"/>
    <d v="2024-10-02T00:00:00"/>
    <n v="1.9095890410958904"/>
    <x v="133"/>
    <x v="1"/>
    <x v="8"/>
    <x v="1"/>
    <n v="8.4700000000000006"/>
    <m/>
    <m/>
    <m/>
    <m/>
    <m/>
    <m/>
    <x v="4"/>
    <n v="2"/>
    <n v="6"/>
    <m/>
    <m/>
    <m/>
    <m/>
    <m/>
    <m/>
    <m/>
    <m/>
    <m/>
    <m/>
    <m/>
    <m/>
    <m/>
    <m/>
  </r>
  <r>
    <n v="5864"/>
    <n v="56427"/>
    <d v="2002-08-26T00:00:00"/>
    <n v="23"/>
    <x v="1"/>
    <x v="1"/>
    <d v="2024-02-03T00:00:00"/>
    <n v="1.484931506849315"/>
    <x v="133"/>
    <x v="1"/>
    <x v="8"/>
    <x v="1"/>
    <n v="8.4700000000000006"/>
    <m/>
    <m/>
    <m/>
    <m/>
    <m/>
    <m/>
    <x v="4"/>
    <n v="2"/>
    <n v="7"/>
    <m/>
    <m/>
    <m/>
    <m/>
    <m/>
    <m/>
    <m/>
    <m/>
    <m/>
    <m/>
    <m/>
    <m/>
    <m/>
    <m/>
  </r>
  <r>
    <n v="5865"/>
    <n v="56428"/>
    <d v="2006-02-15T00:00:00"/>
    <n v="19"/>
    <x v="1"/>
    <x v="1"/>
    <d v="2024-07-07T00:00:00"/>
    <n v="1.7506849315068493"/>
    <x v="133"/>
    <x v="1"/>
    <x v="8"/>
    <x v="1"/>
    <n v="8.4700000000000006"/>
    <m/>
    <m/>
    <m/>
    <m/>
    <m/>
    <m/>
    <x v="3"/>
    <n v="1"/>
    <n v="6"/>
    <m/>
    <m/>
    <m/>
    <m/>
    <m/>
    <m/>
    <m/>
    <m/>
    <m/>
    <m/>
    <m/>
    <m/>
    <m/>
    <m/>
  </r>
  <r>
    <n v="5866"/>
    <n v="56429"/>
    <d v="2007-01-17T00:00:00"/>
    <n v="18"/>
    <x v="1"/>
    <x v="1"/>
    <d v="2024-04-01T00:00:00"/>
    <n v="1.2712328767123289"/>
    <x v="133"/>
    <x v="1"/>
    <x v="8"/>
    <x v="1"/>
    <n v="8.4700000000000006"/>
    <m/>
    <m/>
    <m/>
    <m/>
    <m/>
    <m/>
    <x v="2"/>
    <n v="0"/>
    <n v="6"/>
    <m/>
    <m/>
    <m/>
    <m/>
    <m/>
    <m/>
    <m/>
    <m/>
    <m/>
    <m/>
    <m/>
    <m/>
    <m/>
    <m/>
  </r>
  <r>
    <n v="5867"/>
    <n v="56430"/>
    <d v="2005-02-24T00:00:00"/>
    <n v="20"/>
    <x v="1"/>
    <x v="1"/>
    <d v="2024-09-23T00:00:00"/>
    <n v="1.5616438356164384"/>
    <x v="133"/>
    <x v="1"/>
    <x v="8"/>
    <x v="1"/>
    <n v="8.4700000000000006"/>
    <m/>
    <m/>
    <m/>
    <m/>
    <m/>
    <m/>
    <x v="1"/>
    <n v="1"/>
    <n v="7"/>
    <m/>
    <m/>
    <m/>
    <m/>
    <m/>
    <m/>
    <m/>
    <m/>
    <m/>
    <m/>
    <m/>
    <m/>
    <m/>
    <m/>
  </r>
  <r>
    <n v="5868"/>
    <n v="56431"/>
    <d v="2005-04-30T00:00:00"/>
    <n v="20"/>
    <x v="1"/>
    <x v="1"/>
    <d v="2024-06-09T00:00:00"/>
    <n v="1.2684931506849315"/>
    <x v="133"/>
    <x v="1"/>
    <x v="8"/>
    <x v="1"/>
    <n v="8.4700000000000006"/>
    <m/>
    <m/>
    <m/>
    <m/>
    <m/>
    <m/>
    <x v="3"/>
    <n v="4"/>
    <n v="7"/>
    <m/>
    <m/>
    <m/>
    <m/>
    <m/>
    <m/>
    <m/>
    <m/>
    <m/>
    <m/>
    <m/>
    <m/>
    <m/>
    <m/>
  </r>
  <r>
    <n v="5869"/>
    <n v="56432"/>
    <d v="2005-06-20T00:00:00"/>
    <n v="20"/>
    <x v="0"/>
    <x v="1"/>
    <d v="2024-09-24T00:00:00"/>
    <n v="1.5671232876712329"/>
    <x v="130"/>
    <x v="1"/>
    <x v="1"/>
    <x v="1"/>
    <n v="16.37"/>
    <m/>
    <m/>
    <m/>
    <m/>
    <m/>
    <m/>
    <x v="1"/>
    <n v="1"/>
    <n v="4"/>
    <m/>
    <m/>
    <m/>
    <m/>
    <m/>
    <m/>
    <m/>
    <m/>
    <m/>
    <m/>
    <m/>
    <m/>
    <m/>
    <m/>
  </r>
  <r>
    <n v="5870"/>
    <n v="56433"/>
    <d v="2002-06-09T00:00:00"/>
    <n v="23"/>
    <x v="0"/>
    <x v="1"/>
    <d v="2024-06-07T00:00:00"/>
    <n v="1.3452054794520547"/>
    <x v="130"/>
    <x v="1"/>
    <x v="2"/>
    <x v="1"/>
    <n v="14.23"/>
    <m/>
    <m/>
    <m/>
    <m/>
    <m/>
    <m/>
    <x v="3"/>
    <n v="1"/>
    <n v="4"/>
    <m/>
    <m/>
    <m/>
    <m/>
    <m/>
    <m/>
    <m/>
    <m/>
    <m/>
    <m/>
    <m/>
    <m/>
    <m/>
    <m/>
  </r>
  <r>
    <n v="5871"/>
    <n v="56434"/>
    <d v="2003-11-23T00:00:00"/>
    <n v="22"/>
    <x v="1"/>
    <x v="0"/>
    <d v="2024-08-27T00:00:00"/>
    <n v="1.2410958904109588"/>
    <x v="130"/>
    <x v="1"/>
    <x v="3"/>
    <x v="1"/>
    <n v="8.4700000000000006"/>
    <m/>
    <m/>
    <m/>
    <m/>
    <m/>
    <m/>
    <x v="4"/>
    <n v="1"/>
    <n v="6"/>
    <m/>
    <m/>
    <m/>
    <m/>
    <m/>
    <m/>
    <m/>
    <m/>
    <m/>
    <m/>
    <m/>
    <m/>
    <m/>
    <m/>
  </r>
  <r>
    <n v="5872"/>
    <n v="56435"/>
    <d v="1998-04-30T00:00:00"/>
    <n v="27"/>
    <x v="0"/>
    <x v="0"/>
    <d v="2024-10-04T00:00:00"/>
    <n v="1.0273972602739727"/>
    <x v="130"/>
    <x v="1"/>
    <x v="6"/>
    <x v="1"/>
    <n v="23.78"/>
    <m/>
    <m/>
    <m/>
    <m/>
    <m/>
    <m/>
    <x v="1"/>
    <n v="3"/>
    <n v="3"/>
    <m/>
    <m/>
    <m/>
    <m/>
    <m/>
    <m/>
    <m/>
    <m/>
    <m/>
    <m/>
    <m/>
    <m/>
    <m/>
    <m/>
  </r>
  <r>
    <n v="5873"/>
    <n v="56436"/>
    <d v="2005-07-23T00:00:00"/>
    <n v="20"/>
    <x v="1"/>
    <x v="0"/>
    <d v="2024-12-21T00:00:00"/>
    <n v="1.5972602739726027"/>
    <x v="130"/>
    <x v="1"/>
    <x v="8"/>
    <x v="1"/>
    <n v="8.4700000000000006"/>
    <m/>
    <m/>
    <m/>
    <m/>
    <m/>
    <m/>
    <x v="4"/>
    <n v="3"/>
    <n v="5"/>
    <m/>
    <m/>
    <m/>
    <m/>
    <m/>
    <m/>
    <m/>
    <m/>
    <m/>
    <m/>
    <m/>
    <m/>
    <m/>
    <m/>
  </r>
  <r>
    <n v="5874"/>
    <n v="56437"/>
    <d v="2007-08-21T00:00:00"/>
    <n v="18"/>
    <x v="1"/>
    <x v="0"/>
    <d v="2024-05-27T00:00:00"/>
    <n v="1.3068493150684932"/>
    <x v="130"/>
    <x v="1"/>
    <x v="8"/>
    <x v="1"/>
    <n v="8.4700000000000006"/>
    <m/>
    <m/>
    <m/>
    <m/>
    <m/>
    <m/>
    <x v="4"/>
    <n v="1"/>
    <n v="5"/>
    <m/>
    <m/>
    <m/>
    <m/>
    <m/>
    <m/>
    <m/>
    <m/>
    <m/>
    <m/>
    <m/>
    <m/>
    <m/>
    <m/>
  </r>
  <r>
    <n v="5875"/>
    <n v="56438"/>
    <d v="2002-04-27T00:00:00"/>
    <n v="23"/>
    <x v="1"/>
    <x v="0"/>
    <d v="2024-09-10T00:00:00"/>
    <n v="1.441095890410959"/>
    <x v="130"/>
    <x v="1"/>
    <x v="8"/>
    <x v="1"/>
    <n v="8.4700000000000006"/>
    <m/>
    <m/>
    <m/>
    <m/>
    <m/>
    <m/>
    <x v="1"/>
    <n v="1"/>
    <n v="6"/>
    <m/>
    <m/>
    <m/>
    <m/>
    <m/>
    <m/>
    <m/>
    <m/>
    <m/>
    <m/>
    <m/>
    <m/>
    <m/>
    <m/>
  </r>
  <r>
    <n v="5876"/>
    <n v="56439"/>
    <d v="2006-02-01T00:00:00"/>
    <n v="20"/>
    <x v="1"/>
    <x v="1"/>
    <d v="2024-07-23T00:00:00"/>
    <n v="1.0465753424657533"/>
    <x v="130"/>
    <x v="1"/>
    <x v="8"/>
    <x v="1"/>
    <n v="8.4700000000000006"/>
    <m/>
    <m/>
    <m/>
    <m/>
    <m/>
    <m/>
    <x v="3"/>
    <n v="1"/>
    <n v="5"/>
    <m/>
    <m/>
    <m/>
    <m/>
    <m/>
    <m/>
    <m/>
    <m/>
    <m/>
    <m/>
    <m/>
    <m/>
    <m/>
    <m/>
  </r>
  <r>
    <n v="5877"/>
    <n v="56440"/>
    <d v="2000-08-30T00:00:00"/>
    <n v="25"/>
    <x v="1"/>
    <x v="0"/>
    <d v="2024-12-14T00:00:00"/>
    <n v="1.3945205479452054"/>
    <x v="130"/>
    <x v="1"/>
    <x v="8"/>
    <x v="1"/>
    <n v="8.4700000000000006"/>
    <m/>
    <m/>
    <m/>
    <m/>
    <m/>
    <m/>
    <x v="1"/>
    <n v="2"/>
    <n v="7"/>
    <m/>
    <m/>
    <m/>
    <m/>
    <m/>
    <m/>
    <m/>
    <m/>
    <m/>
    <m/>
    <m/>
    <m/>
    <m/>
    <m/>
  </r>
  <r>
    <n v="5878"/>
    <n v="56441"/>
    <d v="2006-03-06T00:00:00"/>
    <n v="19"/>
    <x v="0"/>
    <x v="0"/>
    <d v="2024-08-09T00:00:00"/>
    <n v="1.5123287671232877"/>
    <x v="130"/>
    <x v="1"/>
    <x v="8"/>
    <x v="1"/>
    <n v="8.4700000000000006"/>
    <m/>
    <m/>
    <m/>
    <m/>
    <m/>
    <m/>
    <x v="3"/>
    <n v="1"/>
    <n v="4"/>
    <m/>
    <m/>
    <m/>
    <m/>
    <m/>
    <m/>
    <m/>
    <m/>
    <m/>
    <m/>
    <m/>
    <m/>
    <m/>
    <m/>
  </r>
  <r>
    <n v="5879"/>
    <n v="56442"/>
    <d v="1996-08-04T00:00:00"/>
    <n v="29"/>
    <x v="1"/>
    <x v="1"/>
    <d v="2024-06-27T00:00:00"/>
    <n v="1.2438356164383562"/>
    <x v="130"/>
    <x v="1"/>
    <x v="8"/>
    <x v="1"/>
    <n v="8.4700000000000006"/>
    <m/>
    <m/>
    <m/>
    <m/>
    <m/>
    <m/>
    <x v="4"/>
    <n v="2"/>
    <n v="4"/>
    <m/>
    <m/>
    <m/>
    <m/>
    <m/>
    <m/>
    <m/>
    <m/>
    <m/>
    <m/>
    <m/>
    <m/>
    <m/>
    <m/>
  </r>
  <r>
    <n v="5880"/>
    <n v="56443"/>
    <d v="2004-01-16T00:00:00"/>
    <n v="21"/>
    <x v="1"/>
    <x v="0"/>
    <d v="2024-10-03T00:00:00"/>
    <n v="1.0684931506849316"/>
    <x v="130"/>
    <x v="1"/>
    <x v="8"/>
    <x v="1"/>
    <n v="8.4700000000000006"/>
    <m/>
    <m/>
    <m/>
    <m/>
    <m/>
    <m/>
    <x v="2"/>
    <n v="4"/>
    <n v="7"/>
    <m/>
    <m/>
    <m/>
    <m/>
    <m/>
    <m/>
    <m/>
    <m/>
    <m/>
    <m/>
    <m/>
    <m/>
    <m/>
    <m/>
  </r>
  <r>
    <n v="5881"/>
    <n v="56444"/>
    <d v="2004-12-18T00:00:00"/>
    <n v="21"/>
    <x v="1"/>
    <x v="1"/>
    <d v="2024-12-06T00:00:00"/>
    <n v="1.704109589041096"/>
    <x v="130"/>
    <x v="1"/>
    <x v="8"/>
    <x v="1"/>
    <n v="8.4700000000000006"/>
    <m/>
    <m/>
    <m/>
    <m/>
    <m/>
    <m/>
    <x v="2"/>
    <n v="0"/>
    <n v="7"/>
    <m/>
    <m/>
    <m/>
    <m/>
    <m/>
    <m/>
    <m/>
    <m/>
    <m/>
    <m/>
    <m/>
    <m/>
    <m/>
    <m/>
  </r>
  <r>
    <n v="5882"/>
    <n v="56445"/>
    <d v="2002-06-29T00:00:00"/>
    <n v="23"/>
    <x v="1"/>
    <x v="1"/>
    <d v="2024-04-18T00:00:00"/>
    <n v="1.6219178082191781"/>
    <x v="130"/>
    <x v="1"/>
    <x v="8"/>
    <x v="1"/>
    <n v="8.4700000000000006"/>
    <m/>
    <m/>
    <m/>
    <m/>
    <m/>
    <m/>
    <x v="4"/>
    <n v="2"/>
    <n v="7"/>
    <m/>
    <m/>
    <m/>
    <m/>
    <m/>
    <m/>
    <m/>
    <m/>
    <m/>
    <m/>
    <m/>
    <m/>
    <m/>
    <m/>
  </r>
  <r>
    <n v="5883"/>
    <n v="56446"/>
    <d v="2005-06-05T00:00:00"/>
    <n v="20"/>
    <x v="1"/>
    <x v="1"/>
    <d v="2024-05-18T00:00:00"/>
    <n v="1.7561643835616438"/>
    <x v="130"/>
    <x v="1"/>
    <x v="8"/>
    <x v="1"/>
    <n v="8.4700000000000006"/>
    <m/>
    <m/>
    <m/>
    <m/>
    <m/>
    <m/>
    <x v="4"/>
    <n v="3"/>
    <n v="6"/>
    <m/>
    <m/>
    <m/>
    <m/>
    <m/>
    <m/>
    <m/>
    <m/>
    <m/>
    <m/>
    <m/>
    <m/>
    <m/>
    <m/>
  </r>
  <r>
    <n v="5884"/>
    <n v="56447"/>
    <d v="2001-08-14T00:00:00"/>
    <n v="24"/>
    <x v="1"/>
    <x v="1"/>
    <d v="2024-03-30T00:00:00"/>
    <n v="1.1945205479452055"/>
    <x v="121"/>
    <x v="1"/>
    <x v="11"/>
    <x v="1"/>
    <n v="17"/>
    <m/>
    <m/>
    <m/>
    <m/>
    <m/>
    <m/>
    <x v="2"/>
    <n v="2"/>
    <n v="7"/>
    <m/>
    <m/>
    <m/>
    <m/>
    <m/>
    <m/>
    <m/>
    <m/>
    <m/>
    <m/>
    <m/>
    <m/>
    <m/>
    <m/>
  </r>
  <r>
    <n v="5885"/>
    <n v="56448"/>
    <d v="2005-06-25T00:00:00"/>
    <n v="20"/>
    <x v="0"/>
    <x v="0"/>
    <d v="2024-10-21T00:00:00"/>
    <n v="1.6328767123287671"/>
    <x v="121"/>
    <x v="1"/>
    <x v="10"/>
    <x v="1"/>
    <n v="10.64"/>
    <m/>
    <m/>
    <m/>
    <m/>
    <m/>
    <m/>
    <x v="4"/>
    <n v="0"/>
    <n v="2"/>
    <m/>
    <m/>
    <m/>
    <m/>
    <m/>
    <m/>
    <m/>
    <m/>
    <m/>
    <m/>
    <m/>
    <m/>
    <m/>
    <m/>
  </r>
  <r>
    <n v="5886"/>
    <n v="56449"/>
    <d v="2004-12-27T00:00:00"/>
    <n v="21"/>
    <x v="0"/>
    <x v="1"/>
    <d v="2024-05-14T00:00:00"/>
    <n v="1.252054794520548"/>
    <x v="121"/>
    <x v="1"/>
    <x v="10"/>
    <x v="1"/>
    <n v="10.64"/>
    <m/>
    <m/>
    <m/>
    <m/>
    <m/>
    <m/>
    <x v="4"/>
    <n v="1"/>
    <n v="3"/>
    <m/>
    <m/>
    <m/>
    <m/>
    <m/>
    <m/>
    <m/>
    <m/>
    <m/>
    <m/>
    <m/>
    <m/>
    <m/>
    <m/>
  </r>
  <r>
    <n v="5887"/>
    <n v="56450"/>
    <d v="2004-11-11T00:00:00"/>
    <n v="21"/>
    <x v="1"/>
    <x v="1"/>
    <d v="2024-09-30T00:00:00"/>
    <n v="1.2547945205479452"/>
    <x v="121"/>
    <x v="1"/>
    <x v="8"/>
    <x v="1"/>
    <n v="8.4700000000000006"/>
    <m/>
    <m/>
    <m/>
    <m/>
    <m/>
    <m/>
    <x v="1"/>
    <n v="2"/>
    <n v="6"/>
    <m/>
    <m/>
    <m/>
    <m/>
    <m/>
    <m/>
    <m/>
    <m/>
    <m/>
    <m/>
    <m/>
    <m/>
    <m/>
    <m/>
  </r>
  <r>
    <n v="5888"/>
    <n v="56451"/>
    <d v="2001-09-21T00:00:00"/>
    <n v="24"/>
    <x v="0"/>
    <x v="1"/>
    <d v="2024-09-29T00:00:00"/>
    <n v="1.3041095890410959"/>
    <x v="121"/>
    <x v="1"/>
    <x v="8"/>
    <x v="1"/>
    <n v="8.4700000000000006"/>
    <m/>
    <m/>
    <m/>
    <m/>
    <m/>
    <m/>
    <x v="2"/>
    <n v="1"/>
    <n v="3"/>
    <m/>
    <m/>
    <m/>
    <m/>
    <m/>
    <m/>
    <m/>
    <m/>
    <m/>
    <m/>
    <m/>
    <m/>
    <m/>
    <m/>
  </r>
  <r>
    <n v="5889"/>
    <n v="56452"/>
    <d v="2006-07-04T00:00:00"/>
    <n v="19"/>
    <x v="1"/>
    <x v="0"/>
    <d v="2024-09-11T00:00:00"/>
    <n v="1.1232876712328768"/>
    <x v="121"/>
    <x v="1"/>
    <x v="8"/>
    <x v="1"/>
    <n v="8.4700000000000006"/>
    <m/>
    <m/>
    <m/>
    <m/>
    <m/>
    <m/>
    <x v="4"/>
    <n v="2"/>
    <n v="7"/>
    <m/>
    <m/>
    <m/>
    <m/>
    <m/>
    <m/>
    <m/>
    <m/>
    <m/>
    <m/>
    <m/>
    <m/>
    <m/>
    <m/>
  </r>
  <r>
    <n v="5890"/>
    <n v="56453"/>
    <d v="2005-12-18T00:00:00"/>
    <n v="20"/>
    <x v="1"/>
    <x v="1"/>
    <d v="2024-11-16T00:00:00"/>
    <n v="1.6493150684931508"/>
    <x v="121"/>
    <x v="1"/>
    <x v="8"/>
    <x v="1"/>
    <n v="8.4700000000000006"/>
    <m/>
    <m/>
    <m/>
    <m/>
    <m/>
    <m/>
    <x v="1"/>
    <n v="1"/>
    <n v="7"/>
    <m/>
    <m/>
    <m/>
    <m/>
    <m/>
    <m/>
    <m/>
    <m/>
    <m/>
    <m/>
    <m/>
    <m/>
    <m/>
    <m/>
  </r>
  <r>
    <n v="5891"/>
    <n v="56454"/>
    <d v="2004-05-13T00:00:00"/>
    <n v="21"/>
    <x v="1"/>
    <x v="0"/>
    <d v="2024-05-08T00:00:00"/>
    <n v="1.2794520547945205"/>
    <x v="121"/>
    <x v="1"/>
    <x v="8"/>
    <x v="1"/>
    <n v="8.4700000000000006"/>
    <m/>
    <m/>
    <m/>
    <m/>
    <m/>
    <m/>
    <x v="4"/>
    <n v="1"/>
    <n v="6"/>
    <m/>
    <m/>
    <m/>
    <m/>
    <m/>
    <m/>
    <m/>
    <m/>
    <m/>
    <m/>
    <m/>
    <m/>
    <m/>
    <m/>
  </r>
  <r>
    <n v="5892"/>
    <n v="56455"/>
    <d v="2003-05-05T00:00:00"/>
    <n v="22"/>
    <x v="1"/>
    <x v="1"/>
    <d v="2024-09-20T00:00:00"/>
    <n v="1.2876712328767124"/>
    <x v="121"/>
    <x v="1"/>
    <x v="8"/>
    <x v="1"/>
    <n v="8.4700000000000006"/>
    <m/>
    <m/>
    <m/>
    <m/>
    <m/>
    <m/>
    <x v="2"/>
    <n v="4"/>
    <n v="6"/>
    <m/>
    <m/>
    <m/>
    <m/>
    <m/>
    <m/>
    <m/>
    <m/>
    <m/>
    <m/>
    <m/>
    <m/>
    <m/>
    <m/>
  </r>
  <r>
    <n v="5893"/>
    <n v="56456"/>
    <d v="2006-05-24T00:00:00"/>
    <n v="19"/>
    <x v="1"/>
    <x v="1"/>
    <d v="2024-09-17T00:00:00"/>
    <n v="1.6712328767123288"/>
    <x v="121"/>
    <x v="1"/>
    <x v="8"/>
    <x v="1"/>
    <n v="8.4700000000000006"/>
    <m/>
    <m/>
    <m/>
    <m/>
    <m/>
    <m/>
    <x v="4"/>
    <n v="1"/>
    <n v="6"/>
    <m/>
    <m/>
    <m/>
    <m/>
    <m/>
    <m/>
    <m/>
    <m/>
    <m/>
    <m/>
    <m/>
    <m/>
    <m/>
    <m/>
  </r>
  <r>
    <n v="5894"/>
    <n v="56457"/>
    <d v="1995-04-28T00:00:00"/>
    <n v="30"/>
    <x v="1"/>
    <x v="0"/>
    <d v="2024-04-30T00:00:00"/>
    <n v="1.6904109589041096"/>
    <x v="121"/>
    <x v="1"/>
    <x v="8"/>
    <x v="1"/>
    <n v="8.4700000000000006"/>
    <m/>
    <m/>
    <m/>
    <m/>
    <m/>
    <m/>
    <x v="1"/>
    <n v="1"/>
    <n v="5"/>
    <m/>
    <m/>
    <m/>
    <m/>
    <m/>
    <m/>
    <m/>
    <m/>
    <m/>
    <m/>
    <m/>
    <m/>
    <m/>
    <m/>
  </r>
  <r>
    <n v="5895"/>
    <n v="56458"/>
    <d v="2003-08-05T00:00:00"/>
    <n v="22"/>
    <x v="0"/>
    <x v="1"/>
    <d v="2024-04-23T00:00:00"/>
    <n v="1.3561643835616439"/>
    <x v="121"/>
    <x v="1"/>
    <x v="8"/>
    <x v="1"/>
    <n v="8.4700000000000006"/>
    <m/>
    <m/>
    <m/>
    <m/>
    <m/>
    <m/>
    <x v="4"/>
    <n v="1"/>
    <n v="4"/>
    <m/>
    <m/>
    <m/>
    <m/>
    <m/>
    <m/>
    <m/>
    <m/>
    <m/>
    <m/>
    <m/>
    <m/>
    <m/>
    <m/>
  </r>
  <r>
    <n v="5896"/>
    <n v="56459"/>
    <d v="2006-02-09T00:00:00"/>
    <n v="19"/>
    <x v="1"/>
    <x v="0"/>
    <d v="2024-08-23T00:00:00"/>
    <n v="1.4136986301369863"/>
    <x v="121"/>
    <x v="1"/>
    <x v="8"/>
    <x v="1"/>
    <n v="8.4700000000000006"/>
    <m/>
    <m/>
    <m/>
    <m/>
    <m/>
    <m/>
    <x v="2"/>
    <n v="2"/>
    <n v="6"/>
    <m/>
    <m/>
    <m/>
    <m/>
    <m/>
    <m/>
    <m/>
    <m/>
    <m/>
    <m/>
    <m/>
    <m/>
    <m/>
    <m/>
  </r>
  <r>
    <n v="5897"/>
    <n v="56460"/>
    <d v="2002-06-24T00:00:00"/>
    <n v="23"/>
    <x v="0"/>
    <x v="1"/>
    <d v="2024-08-02T00:00:00"/>
    <n v="1.3178082191780822"/>
    <x v="121"/>
    <x v="1"/>
    <x v="8"/>
    <x v="1"/>
    <n v="8.4700000000000006"/>
    <m/>
    <m/>
    <m/>
    <m/>
    <m/>
    <m/>
    <x v="1"/>
    <n v="3"/>
    <n v="4"/>
    <m/>
    <m/>
    <m/>
    <m/>
    <m/>
    <m/>
    <m/>
    <m/>
    <m/>
    <m/>
    <m/>
    <m/>
    <m/>
    <m/>
  </r>
  <r>
    <n v="5898"/>
    <n v="56461"/>
    <d v="2000-07-02T00:00:00"/>
    <n v="25"/>
    <x v="1"/>
    <x v="1"/>
    <d v="2024-09-06T00:00:00"/>
    <n v="1.8027397260273972"/>
    <x v="53"/>
    <x v="1"/>
    <x v="11"/>
    <x v="1"/>
    <n v="17"/>
    <m/>
    <m/>
    <m/>
    <m/>
    <m/>
    <m/>
    <x v="3"/>
    <n v="2"/>
    <n v="6"/>
    <m/>
    <m/>
    <m/>
    <m/>
    <m/>
    <m/>
    <m/>
    <m/>
    <m/>
    <m/>
    <m/>
    <m/>
    <m/>
    <m/>
  </r>
  <r>
    <n v="5899"/>
    <n v="56462"/>
    <d v="2000-06-19T00:00:00"/>
    <n v="25"/>
    <x v="1"/>
    <x v="1"/>
    <d v="2024-03-13T00:00:00"/>
    <n v="1.0602739726027397"/>
    <x v="53"/>
    <x v="1"/>
    <x v="11"/>
    <x v="1"/>
    <n v="17"/>
    <m/>
    <m/>
    <m/>
    <m/>
    <m/>
    <m/>
    <x v="2"/>
    <n v="3"/>
    <n v="6"/>
    <m/>
    <m/>
    <m/>
    <m/>
    <m/>
    <m/>
    <m/>
    <m/>
    <m/>
    <m/>
    <m/>
    <m/>
    <m/>
    <m/>
  </r>
  <r>
    <n v="5900"/>
    <n v="56463"/>
    <d v="2004-09-24T00:00:00"/>
    <n v="21"/>
    <x v="0"/>
    <x v="1"/>
    <d v="2024-12-09T00:00:00"/>
    <n v="1.832876712328767"/>
    <x v="53"/>
    <x v="1"/>
    <x v="8"/>
    <x v="1"/>
    <n v="8.4700000000000006"/>
    <m/>
    <m/>
    <m/>
    <m/>
    <m/>
    <m/>
    <x v="1"/>
    <n v="4"/>
    <n v="5"/>
    <m/>
    <m/>
    <m/>
    <m/>
    <m/>
    <m/>
    <m/>
    <m/>
    <m/>
    <m/>
    <m/>
    <m/>
    <m/>
    <m/>
  </r>
  <r>
    <n v="5901"/>
    <n v="56464"/>
    <d v="2002-09-17T00:00:00"/>
    <n v="23"/>
    <x v="0"/>
    <x v="1"/>
    <d v="2024-03-02T00:00:00"/>
    <n v="1.6383561643835616"/>
    <x v="53"/>
    <x v="1"/>
    <x v="8"/>
    <x v="1"/>
    <n v="8.4700000000000006"/>
    <m/>
    <m/>
    <m/>
    <m/>
    <m/>
    <m/>
    <x v="4"/>
    <n v="2"/>
    <n v="4"/>
    <m/>
    <m/>
    <m/>
    <m/>
    <m/>
    <m/>
    <m/>
    <m/>
    <m/>
    <m/>
    <m/>
    <m/>
    <m/>
    <m/>
  </r>
  <r>
    <n v="5902"/>
    <n v="56465"/>
    <d v="1999-06-25T00:00:00"/>
    <n v="26"/>
    <x v="1"/>
    <x v="1"/>
    <d v="2024-05-12T00:00:00"/>
    <n v="1.8465753424657534"/>
    <x v="53"/>
    <x v="1"/>
    <x v="8"/>
    <x v="1"/>
    <n v="8.4700000000000006"/>
    <m/>
    <m/>
    <m/>
    <m/>
    <m/>
    <m/>
    <x v="2"/>
    <n v="2"/>
    <n v="5"/>
    <m/>
    <m/>
    <m/>
    <m/>
    <m/>
    <m/>
    <m/>
    <m/>
    <m/>
    <m/>
    <m/>
    <m/>
    <m/>
    <m/>
  </r>
  <r>
    <n v="5903"/>
    <n v="56466"/>
    <d v="1997-03-05T00:00:00"/>
    <n v="28"/>
    <x v="1"/>
    <x v="1"/>
    <d v="2024-02-26T00:00:00"/>
    <n v="1.7342465753424658"/>
    <x v="53"/>
    <x v="1"/>
    <x v="8"/>
    <x v="1"/>
    <n v="8.4700000000000006"/>
    <m/>
    <m/>
    <m/>
    <m/>
    <m/>
    <m/>
    <x v="1"/>
    <n v="2"/>
    <n v="6"/>
    <m/>
    <m/>
    <m/>
    <m/>
    <m/>
    <m/>
    <m/>
    <m/>
    <m/>
    <m/>
    <m/>
    <m/>
    <m/>
    <m/>
  </r>
  <r>
    <n v="5904"/>
    <n v="56467"/>
    <d v="1993-05-29T00:00:00"/>
    <n v="32"/>
    <x v="1"/>
    <x v="0"/>
    <d v="2024-04-07T00:00:00"/>
    <n v="1.0904109589041096"/>
    <x v="53"/>
    <x v="1"/>
    <x v="8"/>
    <x v="1"/>
    <n v="8.4700000000000006"/>
    <m/>
    <m/>
    <m/>
    <m/>
    <m/>
    <m/>
    <x v="4"/>
    <n v="0"/>
    <n v="5"/>
    <m/>
    <m/>
    <m/>
    <m/>
    <m/>
    <m/>
    <m/>
    <m/>
    <m/>
    <m/>
    <m/>
    <m/>
    <m/>
    <m/>
  </r>
  <r>
    <n v="5905"/>
    <n v="56468"/>
    <d v="2004-06-02T00:00:00"/>
    <n v="21"/>
    <x v="1"/>
    <x v="1"/>
    <d v="2024-11-28T00:00:00"/>
    <n v="1.5342465753424657"/>
    <x v="53"/>
    <x v="1"/>
    <x v="8"/>
    <x v="1"/>
    <n v="8.4700000000000006"/>
    <m/>
    <m/>
    <m/>
    <m/>
    <m/>
    <m/>
    <x v="3"/>
    <n v="2"/>
    <n v="6"/>
    <m/>
    <m/>
    <m/>
    <m/>
    <m/>
    <m/>
    <m/>
    <m/>
    <m/>
    <m/>
    <m/>
    <m/>
    <m/>
    <m/>
  </r>
  <r>
    <n v="5906"/>
    <n v="56469"/>
    <d v="2003-11-26T00:00:00"/>
    <n v="22"/>
    <x v="1"/>
    <x v="1"/>
    <d v="2024-06-19T00:00:00"/>
    <n v="1.4986301369863013"/>
    <x v="53"/>
    <x v="1"/>
    <x v="8"/>
    <x v="1"/>
    <n v="8.4700000000000006"/>
    <m/>
    <m/>
    <m/>
    <m/>
    <m/>
    <m/>
    <x v="1"/>
    <n v="2"/>
    <n v="6"/>
    <m/>
    <m/>
    <m/>
    <m/>
    <m/>
    <m/>
    <m/>
    <m/>
    <m/>
    <m/>
    <m/>
    <m/>
    <m/>
    <m/>
  </r>
  <r>
    <n v="5907"/>
    <n v="56470"/>
    <d v="2005-03-23T00:00:00"/>
    <n v="20"/>
    <x v="1"/>
    <x v="1"/>
    <d v="2024-07-02T00:00:00"/>
    <n v="1.5506849315068494"/>
    <x v="53"/>
    <x v="1"/>
    <x v="8"/>
    <x v="1"/>
    <n v="8.4700000000000006"/>
    <m/>
    <m/>
    <m/>
    <m/>
    <m/>
    <m/>
    <x v="1"/>
    <n v="2"/>
    <n v="7"/>
    <m/>
    <m/>
    <m/>
    <m/>
    <m/>
    <m/>
    <m/>
    <m/>
    <m/>
    <m/>
    <m/>
    <m/>
    <m/>
    <m/>
  </r>
  <r>
    <n v="5908"/>
    <n v="56471"/>
    <d v="2000-09-13T00:00:00"/>
    <n v="25"/>
    <x v="1"/>
    <x v="1"/>
    <d v="2024-06-13T00:00:00"/>
    <n v="1.263013698630137"/>
    <x v="53"/>
    <x v="1"/>
    <x v="8"/>
    <x v="1"/>
    <n v="8.4700000000000006"/>
    <m/>
    <m/>
    <m/>
    <m/>
    <m/>
    <m/>
    <x v="2"/>
    <n v="2"/>
    <n v="6"/>
    <m/>
    <m/>
    <m/>
    <m/>
    <m/>
    <m/>
    <m/>
    <m/>
    <m/>
    <m/>
    <m/>
    <m/>
    <m/>
    <m/>
  </r>
  <r>
    <n v="5909"/>
    <n v="56472"/>
    <d v="2004-12-16T00:00:00"/>
    <n v="21"/>
    <x v="1"/>
    <x v="0"/>
    <d v="2024-09-26T00:00:00"/>
    <n v="1.8602739726027397"/>
    <x v="53"/>
    <x v="1"/>
    <x v="8"/>
    <x v="1"/>
    <n v="8.4700000000000006"/>
    <m/>
    <m/>
    <m/>
    <m/>
    <m/>
    <m/>
    <x v="1"/>
    <n v="3"/>
    <n v="5"/>
    <m/>
    <m/>
    <m/>
    <m/>
    <m/>
    <m/>
    <m/>
    <m/>
    <m/>
    <m/>
    <m/>
    <m/>
    <m/>
    <m/>
  </r>
  <r>
    <n v="5910"/>
    <n v="56473"/>
    <d v="2002-09-08T00:00:00"/>
    <n v="23"/>
    <x v="1"/>
    <x v="0"/>
    <d v="2024-02-21T00:00:00"/>
    <n v="1.1232876712328768"/>
    <x v="53"/>
    <x v="1"/>
    <x v="8"/>
    <x v="1"/>
    <n v="8.4700000000000006"/>
    <m/>
    <m/>
    <m/>
    <m/>
    <m/>
    <m/>
    <x v="1"/>
    <n v="4"/>
    <n v="7"/>
    <m/>
    <m/>
    <m/>
    <m/>
    <m/>
    <m/>
    <m/>
    <m/>
    <m/>
    <m/>
    <m/>
    <m/>
    <m/>
    <m/>
  </r>
  <r>
    <n v="5911"/>
    <n v="56474"/>
    <d v="2003-02-24T00:00:00"/>
    <n v="22"/>
    <x v="1"/>
    <x v="1"/>
    <d v="2024-11-16T00:00:00"/>
    <n v="1.8547945205479452"/>
    <x v="53"/>
    <x v="1"/>
    <x v="8"/>
    <x v="1"/>
    <n v="8.4700000000000006"/>
    <m/>
    <m/>
    <m/>
    <m/>
    <m/>
    <m/>
    <x v="1"/>
    <n v="1"/>
    <n v="6"/>
    <m/>
    <m/>
    <m/>
    <m/>
    <m/>
    <m/>
    <m/>
    <m/>
    <m/>
    <m/>
    <m/>
    <m/>
    <m/>
    <m/>
  </r>
  <r>
    <n v="5912"/>
    <n v="56475"/>
    <d v="2005-05-15T00:00:00"/>
    <n v="20"/>
    <x v="1"/>
    <x v="1"/>
    <d v="2024-02-23T00:00:00"/>
    <n v="1.3178082191780822"/>
    <x v="53"/>
    <x v="1"/>
    <x v="8"/>
    <x v="1"/>
    <n v="8.4700000000000006"/>
    <m/>
    <m/>
    <m/>
    <m/>
    <m/>
    <m/>
    <x v="2"/>
    <n v="2"/>
    <n v="6"/>
    <m/>
    <m/>
    <m/>
    <m/>
    <m/>
    <m/>
    <m/>
    <m/>
    <m/>
    <m/>
    <m/>
    <m/>
    <m/>
    <m/>
  </r>
  <r>
    <n v="5913"/>
    <n v="56476"/>
    <d v="2001-02-23T00:00:00"/>
    <n v="24"/>
    <x v="1"/>
    <x v="1"/>
    <d v="2024-09-06T00:00:00"/>
    <n v="1.8027397260273972"/>
    <x v="54"/>
    <x v="1"/>
    <x v="11"/>
    <x v="1"/>
    <n v="17"/>
    <m/>
    <m/>
    <m/>
    <m/>
    <m/>
    <m/>
    <x v="2"/>
    <n v="2"/>
    <n v="7"/>
    <m/>
    <m/>
    <m/>
    <m/>
    <m/>
    <m/>
    <m/>
    <m/>
    <m/>
    <m/>
    <m/>
    <m/>
    <m/>
    <m/>
  </r>
  <r>
    <n v="5914"/>
    <n v="56477"/>
    <d v="2005-07-21T00:00:00"/>
    <n v="20"/>
    <x v="1"/>
    <x v="1"/>
    <d v="2024-03-13T00:00:00"/>
    <n v="1.5534246575342465"/>
    <x v="54"/>
    <x v="1"/>
    <x v="8"/>
    <x v="1"/>
    <n v="8.4700000000000006"/>
    <m/>
    <m/>
    <m/>
    <m/>
    <m/>
    <m/>
    <x v="3"/>
    <n v="0"/>
    <n v="6"/>
    <m/>
    <m/>
    <m/>
    <m/>
    <m/>
    <m/>
    <m/>
    <m/>
    <m/>
    <m/>
    <m/>
    <m/>
    <m/>
    <m/>
  </r>
  <r>
    <n v="5915"/>
    <n v="56478"/>
    <d v="2004-06-13T00:00:00"/>
    <n v="21"/>
    <x v="0"/>
    <x v="1"/>
    <d v="2024-06-12T00:00:00"/>
    <n v="1.2438356164383562"/>
    <x v="54"/>
    <x v="1"/>
    <x v="8"/>
    <x v="1"/>
    <n v="8.4700000000000006"/>
    <m/>
    <m/>
    <m/>
    <m/>
    <m/>
    <m/>
    <x v="3"/>
    <n v="4"/>
    <n v="4"/>
    <m/>
    <m/>
    <m/>
    <m/>
    <m/>
    <m/>
    <m/>
    <m/>
    <m/>
    <m/>
    <m/>
    <m/>
    <m/>
    <m/>
  </r>
  <r>
    <n v="5916"/>
    <n v="56479"/>
    <d v="2007-06-17T00:00:00"/>
    <n v="18"/>
    <x v="1"/>
    <x v="1"/>
    <d v="2024-10-03T00:00:00"/>
    <n v="1.1452054794520548"/>
    <x v="54"/>
    <x v="1"/>
    <x v="8"/>
    <x v="1"/>
    <n v="8.4700000000000006"/>
    <m/>
    <m/>
    <m/>
    <m/>
    <m/>
    <m/>
    <x v="2"/>
    <n v="3"/>
    <n v="7"/>
    <m/>
    <m/>
    <m/>
    <m/>
    <m/>
    <m/>
    <m/>
    <m/>
    <m/>
    <m/>
    <m/>
    <m/>
    <m/>
    <m/>
  </r>
  <r>
    <n v="5917"/>
    <n v="56480"/>
    <d v="2002-03-09T00:00:00"/>
    <n v="23"/>
    <x v="1"/>
    <x v="1"/>
    <d v="2024-11-08T00:00:00"/>
    <n v="1.0301369863013699"/>
    <x v="54"/>
    <x v="1"/>
    <x v="8"/>
    <x v="1"/>
    <n v="8.4700000000000006"/>
    <m/>
    <m/>
    <m/>
    <m/>
    <m/>
    <m/>
    <x v="4"/>
    <n v="1"/>
    <n v="5"/>
    <m/>
    <m/>
    <m/>
    <m/>
    <m/>
    <m/>
    <m/>
    <m/>
    <m/>
    <m/>
    <m/>
    <m/>
    <m/>
    <m/>
  </r>
  <r>
    <n v="5918"/>
    <n v="56481"/>
    <d v="2005-10-11T00:00:00"/>
    <n v="20"/>
    <x v="0"/>
    <x v="1"/>
    <d v="2024-12-20T00:00:00"/>
    <n v="1.5342465753424657"/>
    <x v="54"/>
    <x v="1"/>
    <x v="8"/>
    <x v="1"/>
    <n v="8.4700000000000006"/>
    <m/>
    <m/>
    <m/>
    <m/>
    <m/>
    <m/>
    <x v="1"/>
    <n v="4"/>
    <n v="4"/>
    <m/>
    <m/>
    <m/>
    <m/>
    <m/>
    <m/>
    <m/>
    <m/>
    <m/>
    <m/>
    <m/>
    <m/>
    <m/>
    <m/>
  </r>
  <r>
    <n v="5919"/>
    <n v="56482"/>
    <d v="1996-08-05T00:00:00"/>
    <n v="29"/>
    <x v="1"/>
    <x v="1"/>
    <d v="2024-06-19T00:00:00"/>
    <n v="1.6246575342465754"/>
    <x v="54"/>
    <x v="1"/>
    <x v="8"/>
    <x v="1"/>
    <n v="8.4700000000000006"/>
    <m/>
    <m/>
    <m/>
    <m/>
    <m/>
    <m/>
    <x v="4"/>
    <n v="2"/>
    <n v="6"/>
    <m/>
    <m/>
    <m/>
    <m/>
    <m/>
    <m/>
    <m/>
    <m/>
    <m/>
    <m/>
    <m/>
    <m/>
    <m/>
    <m/>
  </r>
  <r>
    <n v="5920"/>
    <n v="56483"/>
    <d v="2005-12-06T00:00:00"/>
    <n v="20"/>
    <x v="1"/>
    <x v="1"/>
    <d v="2024-05-17T00:00:00"/>
    <n v="1.5643835616438355"/>
    <x v="54"/>
    <x v="1"/>
    <x v="8"/>
    <x v="1"/>
    <n v="8.4700000000000006"/>
    <m/>
    <m/>
    <m/>
    <m/>
    <m/>
    <m/>
    <x v="3"/>
    <n v="2"/>
    <n v="6"/>
    <m/>
    <m/>
    <m/>
    <m/>
    <m/>
    <m/>
    <m/>
    <m/>
    <m/>
    <m/>
    <m/>
    <m/>
    <m/>
    <m/>
  </r>
  <r>
    <n v="5921"/>
    <n v="56484"/>
    <d v="2005-12-22T00:00:00"/>
    <n v="20"/>
    <x v="1"/>
    <x v="0"/>
    <d v="2024-06-08T00:00:00"/>
    <n v="1.3150684931506849"/>
    <x v="54"/>
    <x v="1"/>
    <x v="8"/>
    <x v="1"/>
    <n v="8.4700000000000006"/>
    <m/>
    <m/>
    <m/>
    <m/>
    <m/>
    <m/>
    <x v="2"/>
    <n v="0"/>
    <n v="6"/>
    <m/>
    <m/>
    <m/>
    <m/>
    <m/>
    <m/>
    <m/>
    <m/>
    <m/>
    <m/>
    <m/>
    <m/>
    <m/>
    <m/>
  </r>
  <r>
    <n v="5922"/>
    <n v="56485"/>
    <d v="2006-01-09T00:00:00"/>
    <n v="19"/>
    <x v="1"/>
    <x v="1"/>
    <d v="2024-09-07T00:00:00"/>
    <n v="1.3013698630136987"/>
    <x v="54"/>
    <x v="1"/>
    <x v="8"/>
    <x v="1"/>
    <n v="8.4700000000000006"/>
    <m/>
    <m/>
    <m/>
    <m/>
    <m/>
    <m/>
    <x v="4"/>
    <n v="1"/>
    <n v="6"/>
    <m/>
    <m/>
    <m/>
    <m/>
    <m/>
    <m/>
    <m/>
    <m/>
    <m/>
    <m/>
    <m/>
    <m/>
    <m/>
    <m/>
  </r>
  <r>
    <n v="5923"/>
    <n v="56486"/>
    <d v="2007-01-11T00:00:00"/>
    <n v="18"/>
    <x v="1"/>
    <x v="1"/>
    <d v="2024-09-12T00:00:00"/>
    <n v="1.3369863013698631"/>
    <x v="54"/>
    <x v="1"/>
    <x v="8"/>
    <x v="1"/>
    <n v="8.4700000000000006"/>
    <m/>
    <m/>
    <m/>
    <m/>
    <m/>
    <m/>
    <x v="3"/>
    <n v="4"/>
    <n v="7"/>
    <m/>
    <m/>
    <m/>
    <m/>
    <m/>
    <m/>
    <m/>
    <m/>
    <m/>
    <m/>
    <m/>
    <m/>
    <m/>
    <m/>
  </r>
  <r>
    <n v="5924"/>
    <n v="56487"/>
    <d v="1993-05-07T00:00:00"/>
    <n v="32"/>
    <x v="1"/>
    <x v="1"/>
    <d v="2024-08-30T00:00:00"/>
    <n v="1.3013698630136987"/>
    <x v="54"/>
    <x v="1"/>
    <x v="8"/>
    <x v="1"/>
    <n v="8.4700000000000006"/>
    <m/>
    <m/>
    <m/>
    <m/>
    <m/>
    <m/>
    <x v="3"/>
    <n v="1"/>
    <n v="6"/>
    <m/>
    <m/>
    <m/>
    <m/>
    <m/>
    <m/>
    <m/>
    <m/>
    <m/>
    <m/>
    <m/>
    <m/>
    <m/>
    <m/>
  </r>
  <r>
    <n v="5925"/>
    <n v="56488"/>
    <d v="2000-11-09T00:00:00"/>
    <n v="25"/>
    <x v="1"/>
    <x v="1"/>
    <d v="2024-09-12T00:00:00"/>
    <n v="1.4821917808219178"/>
    <x v="54"/>
    <x v="1"/>
    <x v="8"/>
    <x v="1"/>
    <n v="8.4700000000000006"/>
    <m/>
    <m/>
    <m/>
    <m/>
    <m/>
    <m/>
    <x v="4"/>
    <n v="0"/>
    <n v="7"/>
    <m/>
    <m/>
    <m/>
    <m/>
    <m/>
    <m/>
    <m/>
    <m/>
    <m/>
    <m/>
    <m/>
    <m/>
    <m/>
    <m/>
  </r>
  <r>
    <n v="5926"/>
    <n v="56489"/>
    <d v="2004-12-10T00:00:00"/>
    <n v="21"/>
    <x v="1"/>
    <x v="1"/>
    <d v="2024-07-08T00:00:00"/>
    <n v="1.2082191780821918"/>
    <x v="54"/>
    <x v="1"/>
    <x v="8"/>
    <x v="1"/>
    <n v="8.4700000000000006"/>
    <m/>
    <m/>
    <m/>
    <m/>
    <m/>
    <m/>
    <x v="3"/>
    <n v="3"/>
    <n v="7"/>
    <m/>
    <m/>
    <m/>
    <m/>
    <m/>
    <m/>
    <m/>
    <m/>
    <m/>
    <m/>
    <m/>
    <m/>
    <m/>
    <m/>
  </r>
  <r>
    <n v="5927"/>
    <n v="56490"/>
    <d v="2006-02-12T00:00:00"/>
    <n v="19"/>
    <x v="1"/>
    <x v="1"/>
    <d v="2024-10-16T00:00:00"/>
    <n v="1.7205479452054795"/>
    <x v="54"/>
    <x v="1"/>
    <x v="8"/>
    <x v="1"/>
    <n v="8.4700000000000006"/>
    <m/>
    <m/>
    <m/>
    <m/>
    <m/>
    <m/>
    <x v="1"/>
    <n v="1"/>
    <n v="5"/>
    <m/>
    <m/>
    <m/>
    <m/>
    <m/>
    <m/>
    <m/>
    <m/>
    <m/>
    <m/>
    <m/>
    <m/>
    <m/>
    <m/>
  </r>
  <r>
    <n v="5928"/>
    <n v="56492"/>
    <d v="2002-02-01T00:00:00"/>
    <n v="24"/>
    <x v="1"/>
    <x v="1"/>
    <d v="2024-04-12T00:00:00"/>
    <n v="1.0191780821917809"/>
    <x v="56"/>
    <x v="1"/>
    <x v="11"/>
    <x v="1"/>
    <n v="17"/>
    <m/>
    <m/>
    <m/>
    <m/>
    <m/>
    <m/>
    <x v="3"/>
    <n v="0"/>
    <n v="5"/>
    <m/>
    <m/>
    <m/>
    <m/>
    <m/>
    <m/>
    <m/>
    <m/>
    <m/>
    <m/>
    <m/>
    <m/>
    <m/>
    <m/>
  </r>
  <r>
    <n v="5929"/>
    <n v="56493"/>
    <d v="2000-03-05T00:00:00"/>
    <n v="25"/>
    <x v="1"/>
    <x v="1"/>
    <d v="2024-12-24T00:00:00"/>
    <n v="1.0136986301369864"/>
    <x v="56"/>
    <x v="1"/>
    <x v="11"/>
    <x v="1"/>
    <n v="17"/>
    <m/>
    <m/>
    <m/>
    <m/>
    <m/>
    <m/>
    <x v="3"/>
    <n v="2"/>
    <n v="6"/>
    <m/>
    <m/>
    <m/>
    <m/>
    <m/>
    <m/>
    <m/>
    <m/>
    <m/>
    <m/>
    <m/>
    <m/>
    <m/>
    <m/>
  </r>
  <r>
    <n v="5930"/>
    <n v="56494"/>
    <d v="2000-08-03T00:00:00"/>
    <n v="25"/>
    <x v="0"/>
    <x v="1"/>
    <d v="2024-12-26T00:00:00"/>
    <n v="1.3424657534246576"/>
    <x v="56"/>
    <x v="1"/>
    <x v="10"/>
    <x v="1"/>
    <n v="10.64"/>
    <m/>
    <m/>
    <m/>
    <m/>
    <m/>
    <m/>
    <x v="1"/>
    <n v="1"/>
    <n v="4"/>
    <m/>
    <m/>
    <m/>
    <m/>
    <m/>
    <m/>
    <m/>
    <m/>
    <m/>
    <m/>
    <m/>
    <m/>
    <m/>
    <m/>
  </r>
  <r>
    <n v="5931"/>
    <n v="56495"/>
    <d v="2006-08-12T00:00:00"/>
    <n v="19"/>
    <x v="1"/>
    <x v="0"/>
    <d v="2024-08-28T00:00:00"/>
    <n v="1.8547945205479452"/>
    <x v="56"/>
    <x v="1"/>
    <x v="3"/>
    <x v="1"/>
    <n v="8.4700000000000006"/>
    <m/>
    <m/>
    <m/>
    <m/>
    <m/>
    <m/>
    <x v="1"/>
    <n v="1"/>
    <n v="4"/>
    <m/>
    <m/>
    <m/>
    <m/>
    <m/>
    <m/>
    <m/>
    <m/>
    <m/>
    <m/>
    <m/>
    <m/>
    <m/>
    <m/>
  </r>
  <r>
    <n v="5932"/>
    <n v="56496"/>
    <d v="2002-07-30T00:00:00"/>
    <n v="23"/>
    <x v="1"/>
    <x v="1"/>
    <d v="2024-02-23T00:00:00"/>
    <n v="1.7452054794520548"/>
    <x v="56"/>
    <x v="1"/>
    <x v="8"/>
    <x v="1"/>
    <n v="8.4700000000000006"/>
    <m/>
    <m/>
    <m/>
    <m/>
    <m/>
    <m/>
    <x v="1"/>
    <n v="2"/>
    <n v="7"/>
    <m/>
    <m/>
    <m/>
    <m/>
    <m/>
    <m/>
    <m/>
    <m/>
    <m/>
    <m/>
    <m/>
    <m/>
    <m/>
    <m/>
  </r>
  <r>
    <n v="5933"/>
    <n v="56498"/>
    <d v="2004-03-03T00:00:00"/>
    <n v="21"/>
    <x v="1"/>
    <x v="1"/>
    <d v="2024-04-03T00:00:00"/>
    <n v="1.095890410958904"/>
    <x v="56"/>
    <x v="1"/>
    <x v="8"/>
    <x v="1"/>
    <n v="8.4700000000000006"/>
    <m/>
    <m/>
    <m/>
    <m/>
    <m/>
    <m/>
    <x v="3"/>
    <n v="2"/>
    <n v="5"/>
    <m/>
    <m/>
    <m/>
    <m/>
    <m/>
    <m/>
    <m/>
    <m/>
    <m/>
    <m/>
    <m/>
    <m/>
    <m/>
    <m/>
  </r>
  <r>
    <n v="5934"/>
    <n v="56499"/>
    <d v="2002-12-17T00:00:00"/>
    <n v="23"/>
    <x v="1"/>
    <x v="1"/>
    <d v="2024-11-26T00:00:00"/>
    <n v="1.8054794520547945"/>
    <x v="56"/>
    <x v="1"/>
    <x v="8"/>
    <x v="1"/>
    <n v="8.4700000000000006"/>
    <m/>
    <m/>
    <m/>
    <m/>
    <m/>
    <m/>
    <x v="2"/>
    <n v="2"/>
    <n v="7"/>
    <m/>
    <m/>
    <m/>
    <m/>
    <m/>
    <m/>
    <m/>
    <m/>
    <m/>
    <m/>
    <m/>
    <m/>
    <m/>
    <m/>
  </r>
  <r>
    <n v="5935"/>
    <n v="56500"/>
    <d v="2002-04-05T00:00:00"/>
    <n v="23"/>
    <x v="1"/>
    <x v="0"/>
    <d v="2024-03-12T00:00:00"/>
    <n v="1.6821917808219178"/>
    <x v="56"/>
    <x v="1"/>
    <x v="8"/>
    <x v="1"/>
    <n v="8.4700000000000006"/>
    <m/>
    <m/>
    <m/>
    <m/>
    <m/>
    <m/>
    <x v="4"/>
    <n v="1"/>
    <n v="6"/>
    <m/>
    <m/>
    <m/>
    <m/>
    <m/>
    <m/>
    <m/>
    <m/>
    <m/>
    <m/>
    <m/>
    <m/>
    <m/>
    <m/>
  </r>
  <r>
    <n v="5936"/>
    <n v="56501"/>
    <d v="2002-01-07T00:00:00"/>
    <n v="23"/>
    <x v="1"/>
    <x v="1"/>
    <d v="2024-04-26T00:00:00"/>
    <n v="1.3835616438356164"/>
    <x v="56"/>
    <x v="1"/>
    <x v="8"/>
    <x v="1"/>
    <n v="8.4700000000000006"/>
    <m/>
    <m/>
    <m/>
    <m/>
    <m/>
    <m/>
    <x v="3"/>
    <n v="2"/>
    <n v="6"/>
    <m/>
    <m/>
    <m/>
    <m/>
    <m/>
    <m/>
    <m/>
    <m/>
    <m/>
    <m/>
    <m/>
    <m/>
    <m/>
    <m/>
  </r>
  <r>
    <n v="5937"/>
    <n v="56502"/>
    <d v="2003-07-02T00:00:00"/>
    <n v="22"/>
    <x v="1"/>
    <x v="1"/>
    <d v="2024-08-13T00:00:00"/>
    <n v="1.4136986301369863"/>
    <x v="56"/>
    <x v="1"/>
    <x v="8"/>
    <x v="1"/>
    <n v="8.4700000000000006"/>
    <m/>
    <m/>
    <m/>
    <m/>
    <m/>
    <m/>
    <x v="4"/>
    <n v="2"/>
    <n v="6"/>
    <m/>
    <m/>
    <m/>
    <m/>
    <m/>
    <m/>
    <m/>
    <m/>
    <m/>
    <m/>
    <m/>
    <m/>
    <m/>
    <m/>
  </r>
  <r>
    <n v="5938"/>
    <n v="56503"/>
    <d v="1999-05-12T00:00:00"/>
    <n v="26"/>
    <x v="1"/>
    <x v="1"/>
    <d v="2024-08-02T00:00:00"/>
    <n v="1.3424657534246576"/>
    <x v="56"/>
    <x v="1"/>
    <x v="8"/>
    <x v="1"/>
    <n v="8.4700000000000006"/>
    <m/>
    <m/>
    <m/>
    <m/>
    <m/>
    <m/>
    <x v="1"/>
    <n v="4"/>
    <n v="6"/>
    <m/>
    <m/>
    <m/>
    <m/>
    <m/>
    <m/>
    <m/>
    <m/>
    <m/>
    <m/>
    <m/>
    <m/>
    <m/>
    <m/>
  </r>
  <r>
    <n v="5939"/>
    <n v="56504"/>
    <d v="2002-01-19T00:00:00"/>
    <n v="23"/>
    <x v="1"/>
    <x v="1"/>
    <d v="2024-08-28T00:00:00"/>
    <n v="1.7726027397260273"/>
    <x v="56"/>
    <x v="1"/>
    <x v="8"/>
    <x v="1"/>
    <n v="8.4700000000000006"/>
    <m/>
    <m/>
    <m/>
    <m/>
    <m/>
    <m/>
    <x v="4"/>
    <n v="2"/>
    <n v="6"/>
    <m/>
    <m/>
    <m/>
    <m/>
    <m/>
    <m/>
    <m/>
    <m/>
    <m/>
    <m/>
    <m/>
    <m/>
    <m/>
    <m/>
  </r>
  <r>
    <n v="5940"/>
    <n v="56505"/>
    <d v="2003-11-02T00:00:00"/>
    <n v="22"/>
    <x v="1"/>
    <x v="1"/>
    <d v="2024-03-24T00:00:00"/>
    <n v="1.252054794520548"/>
    <x v="85"/>
    <x v="1"/>
    <x v="2"/>
    <x v="1"/>
    <n v="14.23"/>
    <m/>
    <m/>
    <m/>
    <m/>
    <m/>
    <m/>
    <x v="2"/>
    <n v="0"/>
    <n v="5"/>
    <m/>
    <m/>
    <m/>
    <m/>
    <m/>
    <m/>
    <m/>
    <m/>
    <m/>
    <m/>
    <m/>
    <m/>
    <m/>
    <m/>
  </r>
  <r>
    <n v="5941"/>
    <n v="56506"/>
    <d v="1993-07-31T00:00:00"/>
    <n v="32"/>
    <x v="1"/>
    <x v="1"/>
    <d v="2024-09-30T00:00:00"/>
    <n v="1.4301369863013698"/>
    <x v="85"/>
    <x v="1"/>
    <x v="3"/>
    <x v="1"/>
    <n v="8.4700000000000006"/>
    <m/>
    <m/>
    <m/>
    <m/>
    <m/>
    <m/>
    <x v="4"/>
    <n v="2"/>
    <n v="5"/>
    <m/>
    <m/>
    <m/>
    <m/>
    <m/>
    <m/>
    <m/>
    <m/>
    <m/>
    <m/>
    <m/>
    <m/>
    <m/>
    <m/>
  </r>
  <r>
    <n v="5942"/>
    <n v="56507"/>
    <d v="2002-02-10T00:00:00"/>
    <n v="23"/>
    <x v="1"/>
    <x v="1"/>
    <d v="2024-07-27T00:00:00"/>
    <n v="1.6273972602739726"/>
    <x v="85"/>
    <x v="1"/>
    <x v="8"/>
    <x v="1"/>
    <n v="8.4700000000000006"/>
    <m/>
    <m/>
    <m/>
    <m/>
    <m/>
    <m/>
    <x v="1"/>
    <n v="1"/>
    <n v="5"/>
    <m/>
    <m/>
    <m/>
    <m/>
    <m/>
    <m/>
    <m/>
    <m/>
    <m/>
    <m/>
    <m/>
    <m/>
    <m/>
    <m/>
  </r>
  <r>
    <n v="5943"/>
    <n v="56508"/>
    <d v="1999-08-01T00:00:00"/>
    <n v="27"/>
    <x v="1"/>
    <x v="1"/>
    <d v="2024-05-16T00:00:00"/>
    <n v="1.0931506849315069"/>
    <x v="85"/>
    <x v="1"/>
    <x v="8"/>
    <x v="1"/>
    <n v="8.4700000000000006"/>
    <m/>
    <m/>
    <m/>
    <m/>
    <m/>
    <m/>
    <x v="3"/>
    <n v="4"/>
    <n v="7"/>
    <m/>
    <m/>
    <m/>
    <m/>
    <m/>
    <m/>
    <m/>
    <m/>
    <m/>
    <m/>
    <m/>
    <m/>
    <m/>
    <m/>
  </r>
  <r>
    <n v="5944"/>
    <n v="56509"/>
    <d v="2006-08-19T00:00:00"/>
    <n v="19"/>
    <x v="1"/>
    <x v="1"/>
    <d v="2024-11-27T00:00:00"/>
    <n v="1.2684931506849315"/>
    <x v="85"/>
    <x v="1"/>
    <x v="8"/>
    <x v="1"/>
    <n v="8.4700000000000006"/>
    <m/>
    <m/>
    <m/>
    <m/>
    <m/>
    <m/>
    <x v="4"/>
    <n v="0"/>
    <n v="6"/>
    <m/>
    <m/>
    <m/>
    <m/>
    <m/>
    <m/>
    <m/>
    <m/>
    <m/>
    <m/>
    <m/>
    <m/>
    <m/>
    <m/>
  </r>
  <r>
    <n v="5945"/>
    <n v="56510"/>
    <d v="2004-03-26T00:00:00"/>
    <n v="21"/>
    <x v="1"/>
    <x v="0"/>
    <d v="2024-09-24T00:00:00"/>
    <n v="1.4438356164383561"/>
    <x v="85"/>
    <x v="1"/>
    <x v="8"/>
    <x v="1"/>
    <n v="8.4700000000000006"/>
    <m/>
    <m/>
    <m/>
    <m/>
    <m/>
    <m/>
    <x v="4"/>
    <n v="4"/>
    <n v="6"/>
    <m/>
    <m/>
    <m/>
    <m/>
    <m/>
    <m/>
    <m/>
    <m/>
    <m/>
    <m/>
    <m/>
    <m/>
    <m/>
    <m/>
  </r>
  <r>
    <n v="5946"/>
    <n v="56511"/>
    <d v="2005-09-20T00:00:00"/>
    <n v="20"/>
    <x v="1"/>
    <x v="0"/>
    <d v="2024-07-22T00:00:00"/>
    <n v="1.3698630136986301"/>
    <x v="85"/>
    <x v="1"/>
    <x v="8"/>
    <x v="1"/>
    <n v="8.4700000000000006"/>
    <m/>
    <m/>
    <m/>
    <m/>
    <m/>
    <m/>
    <x v="4"/>
    <n v="3"/>
    <n v="5"/>
    <m/>
    <m/>
    <m/>
    <m/>
    <m/>
    <m/>
    <m/>
    <m/>
    <m/>
    <m/>
    <m/>
    <m/>
    <m/>
    <m/>
  </r>
  <r>
    <n v="5947"/>
    <n v="56512"/>
    <d v="2000-05-17T00:00:00"/>
    <n v="25"/>
    <x v="1"/>
    <x v="0"/>
    <d v="2024-08-18T00:00:00"/>
    <n v="1.832876712328767"/>
    <x v="85"/>
    <x v="1"/>
    <x v="8"/>
    <x v="1"/>
    <n v="8.4700000000000006"/>
    <m/>
    <m/>
    <m/>
    <m/>
    <m/>
    <m/>
    <x v="1"/>
    <n v="2"/>
    <n v="5"/>
    <m/>
    <m/>
    <m/>
    <m/>
    <m/>
    <m/>
    <m/>
    <m/>
    <m/>
    <m/>
    <m/>
    <m/>
    <m/>
    <m/>
  </r>
  <r>
    <n v="5948"/>
    <n v="56513"/>
    <d v="2006-12-27T00:00:00"/>
    <n v="19"/>
    <x v="0"/>
    <x v="1"/>
    <d v="2024-03-02T00:00:00"/>
    <n v="1.6328767123287671"/>
    <x v="85"/>
    <x v="1"/>
    <x v="8"/>
    <x v="1"/>
    <n v="8.4700000000000006"/>
    <m/>
    <m/>
    <m/>
    <m/>
    <m/>
    <m/>
    <x v="4"/>
    <n v="4"/>
    <n v="6"/>
    <m/>
    <m/>
    <m/>
    <m/>
    <m/>
    <m/>
    <m/>
    <m/>
    <m/>
    <m/>
    <m/>
    <m/>
    <m/>
    <m/>
  </r>
  <r>
    <n v="5949"/>
    <n v="56514"/>
    <d v="2002-11-05T00:00:00"/>
    <n v="23"/>
    <x v="1"/>
    <x v="0"/>
    <d v="2024-05-14T00:00:00"/>
    <n v="1.4958904109589042"/>
    <x v="85"/>
    <x v="1"/>
    <x v="8"/>
    <x v="1"/>
    <n v="8.4700000000000006"/>
    <m/>
    <m/>
    <m/>
    <m/>
    <m/>
    <m/>
    <x v="4"/>
    <n v="2"/>
    <n v="6"/>
    <m/>
    <m/>
    <m/>
    <m/>
    <m/>
    <m/>
    <m/>
    <m/>
    <m/>
    <m/>
    <m/>
    <m/>
    <m/>
    <m/>
  </r>
  <r>
    <n v="5950"/>
    <n v="56515"/>
    <d v="2003-06-16T00:00:00"/>
    <n v="22"/>
    <x v="1"/>
    <x v="1"/>
    <d v="2024-07-03T00:00:00"/>
    <n v="1.7287671232876711"/>
    <x v="58"/>
    <x v="1"/>
    <x v="11"/>
    <x v="1"/>
    <n v="17"/>
    <m/>
    <m/>
    <m/>
    <m/>
    <m/>
    <m/>
    <x v="2"/>
    <n v="4"/>
    <n v="6"/>
    <m/>
    <m/>
    <m/>
    <m/>
    <m/>
    <m/>
    <m/>
    <m/>
    <m/>
    <m/>
    <m/>
    <m/>
    <m/>
    <m/>
  </r>
  <r>
    <n v="5951"/>
    <n v="56516"/>
    <d v="1999-09-16T00:00:00"/>
    <n v="26"/>
    <x v="1"/>
    <x v="0"/>
    <d v="2024-04-09T00:00:00"/>
    <n v="1.4876712328767123"/>
    <x v="58"/>
    <x v="1"/>
    <x v="11"/>
    <x v="1"/>
    <n v="17"/>
    <m/>
    <m/>
    <m/>
    <m/>
    <m/>
    <m/>
    <x v="4"/>
    <n v="4"/>
    <n v="5"/>
    <m/>
    <m/>
    <m/>
    <m/>
    <m/>
    <m/>
    <m/>
    <m/>
    <m/>
    <m/>
    <m/>
    <m/>
    <m/>
    <m/>
  </r>
  <r>
    <n v="5952"/>
    <n v="56517"/>
    <d v="2004-09-24T00:00:00"/>
    <n v="21"/>
    <x v="0"/>
    <x v="1"/>
    <d v="2024-07-06T00:00:00"/>
    <n v="1.7589041095890412"/>
    <x v="58"/>
    <x v="1"/>
    <x v="9"/>
    <x v="1"/>
    <n v="14.07"/>
    <m/>
    <m/>
    <m/>
    <m/>
    <m/>
    <m/>
    <x v="2"/>
    <n v="0"/>
    <n v="3"/>
    <m/>
    <m/>
    <m/>
    <m/>
    <m/>
    <m/>
    <m/>
    <m/>
    <m/>
    <m/>
    <m/>
    <m/>
    <m/>
    <m/>
  </r>
  <r>
    <n v="5953"/>
    <n v="56518"/>
    <d v="2004-10-01T00:00:00"/>
    <n v="22"/>
    <x v="1"/>
    <x v="1"/>
    <d v="2024-03-29T00:00:00"/>
    <n v="1.7534246575342465"/>
    <x v="58"/>
    <x v="1"/>
    <x v="8"/>
    <x v="1"/>
    <n v="8.4700000000000006"/>
    <m/>
    <m/>
    <m/>
    <m/>
    <m/>
    <m/>
    <x v="4"/>
    <n v="2"/>
    <n v="6"/>
    <m/>
    <m/>
    <m/>
    <m/>
    <m/>
    <m/>
    <m/>
    <m/>
    <m/>
    <m/>
    <m/>
    <m/>
    <m/>
    <m/>
  </r>
  <r>
    <n v="5954"/>
    <n v="56519"/>
    <d v="2004-07-15T00:00:00"/>
    <n v="21"/>
    <x v="1"/>
    <x v="1"/>
    <d v="2024-03-31T00:00:00"/>
    <n v="1.3890410958904109"/>
    <x v="58"/>
    <x v="1"/>
    <x v="8"/>
    <x v="1"/>
    <n v="8.4700000000000006"/>
    <m/>
    <m/>
    <m/>
    <m/>
    <m/>
    <m/>
    <x v="1"/>
    <n v="2"/>
    <n v="6"/>
    <m/>
    <m/>
    <m/>
    <m/>
    <m/>
    <m/>
    <m/>
    <m/>
    <m/>
    <m/>
    <m/>
    <m/>
    <m/>
    <m/>
  </r>
  <r>
    <n v="5955"/>
    <n v="56520"/>
    <d v="2002-09-20T00:00:00"/>
    <n v="23"/>
    <x v="1"/>
    <x v="1"/>
    <d v="2024-08-11T00:00:00"/>
    <n v="1.4273972602739726"/>
    <x v="58"/>
    <x v="1"/>
    <x v="8"/>
    <x v="1"/>
    <n v="8.4700000000000006"/>
    <m/>
    <m/>
    <m/>
    <m/>
    <m/>
    <m/>
    <x v="4"/>
    <n v="4"/>
    <n v="6"/>
    <m/>
    <m/>
    <m/>
    <m/>
    <m/>
    <m/>
    <m/>
    <m/>
    <m/>
    <m/>
    <m/>
    <m/>
    <m/>
    <m/>
  </r>
  <r>
    <n v="5956"/>
    <n v="56521"/>
    <d v="1997-05-11T00:00:00"/>
    <n v="28"/>
    <x v="1"/>
    <x v="0"/>
    <d v="2024-07-28T00:00:00"/>
    <n v="1.3123287671232877"/>
    <x v="58"/>
    <x v="1"/>
    <x v="8"/>
    <x v="1"/>
    <n v="8.4700000000000006"/>
    <m/>
    <m/>
    <m/>
    <m/>
    <m/>
    <m/>
    <x v="2"/>
    <n v="1"/>
    <n v="5"/>
    <m/>
    <m/>
    <m/>
    <m/>
    <m/>
    <m/>
    <m/>
    <m/>
    <m/>
    <m/>
    <m/>
    <m/>
    <m/>
    <m/>
  </r>
  <r>
    <n v="5957"/>
    <n v="56522"/>
    <d v="2003-03-10T00:00:00"/>
    <n v="22"/>
    <x v="1"/>
    <x v="0"/>
    <d v="2024-09-08T00:00:00"/>
    <n v="1.0931506849315069"/>
    <x v="58"/>
    <x v="1"/>
    <x v="8"/>
    <x v="1"/>
    <n v="8.4700000000000006"/>
    <m/>
    <m/>
    <m/>
    <m/>
    <m/>
    <m/>
    <x v="2"/>
    <n v="2"/>
    <n v="5"/>
    <m/>
    <m/>
    <m/>
    <m/>
    <m/>
    <m/>
    <m/>
    <m/>
    <m/>
    <m/>
    <m/>
    <m/>
    <m/>
    <m/>
  </r>
  <r>
    <n v="5958"/>
    <n v="56523"/>
    <d v="1996-10-03T00:00:00"/>
    <n v="29"/>
    <x v="1"/>
    <x v="1"/>
    <d v="2024-11-27T00:00:00"/>
    <n v="1.295890410958904"/>
    <x v="58"/>
    <x v="1"/>
    <x v="8"/>
    <x v="1"/>
    <n v="8.4700000000000006"/>
    <m/>
    <m/>
    <m/>
    <m/>
    <m/>
    <m/>
    <x v="1"/>
    <n v="1"/>
    <n v="5"/>
    <m/>
    <m/>
    <m/>
    <m/>
    <m/>
    <m/>
    <m/>
    <m/>
    <m/>
    <m/>
    <m/>
    <m/>
    <m/>
    <m/>
  </r>
  <r>
    <n v="5959"/>
    <n v="56525"/>
    <d v="1995-03-04T00:00:00"/>
    <n v="30"/>
    <x v="1"/>
    <x v="1"/>
    <d v="2024-09-14T00:00:00"/>
    <n v="1.4575342465753425"/>
    <x v="113"/>
    <x v="1"/>
    <x v="11"/>
    <x v="1"/>
    <n v="17"/>
    <m/>
    <m/>
    <m/>
    <m/>
    <m/>
    <m/>
    <x v="2"/>
    <n v="4"/>
    <n v="7"/>
    <m/>
    <m/>
    <m/>
    <m/>
    <m/>
    <m/>
    <m/>
    <m/>
    <m/>
    <m/>
    <m/>
    <m/>
    <m/>
    <m/>
  </r>
  <r>
    <n v="5960"/>
    <n v="56526"/>
    <d v="2000-04-07T00:00:00"/>
    <n v="25"/>
    <x v="0"/>
    <x v="1"/>
    <d v="2024-07-17T00:00:00"/>
    <n v="1.1972602739726028"/>
    <x v="113"/>
    <x v="1"/>
    <x v="11"/>
    <x v="1"/>
    <n v="17"/>
    <m/>
    <m/>
    <m/>
    <m/>
    <m/>
    <m/>
    <x v="4"/>
    <n v="2"/>
    <n v="5"/>
    <m/>
    <m/>
    <m/>
    <m/>
    <m/>
    <m/>
    <m/>
    <m/>
    <m/>
    <m/>
    <m/>
    <m/>
    <m/>
    <m/>
  </r>
  <r>
    <n v="5961"/>
    <n v="56527"/>
    <d v="2001-01-16T00:00:00"/>
    <n v="24"/>
    <x v="1"/>
    <x v="1"/>
    <d v="2024-10-20T00:00:00"/>
    <n v="1.5945205479452054"/>
    <x v="113"/>
    <x v="1"/>
    <x v="10"/>
    <x v="1"/>
    <n v="10.64"/>
    <m/>
    <m/>
    <m/>
    <m/>
    <m/>
    <m/>
    <x v="1"/>
    <n v="1"/>
    <n v="5"/>
    <m/>
    <m/>
    <m/>
    <m/>
    <m/>
    <m/>
    <m/>
    <m/>
    <m/>
    <m/>
    <m/>
    <m/>
    <m/>
    <m/>
  </r>
  <r>
    <n v="5962"/>
    <n v="56528"/>
    <d v="2000-12-18T00:00:00"/>
    <n v="25"/>
    <x v="0"/>
    <x v="1"/>
    <d v="2024-05-28T00:00:00"/>
    <n v="1.6027397260273972"/>
    <x v="113"/>
    <x v="1"/>
    <x v="2"/>
    <x v="1"/>
    <n v="14.23"/>
    <m/>
    <m/>
    <m/>
    <m/>
    <m/>
    <m/>
    <x v="4"/>
    <n v="1"/>
    <n v="4"/>
    <m/>
    <m/>
    <m/>
    <m/>
    <m/>
    <m/>
    <m/>
    <m/>
    <m/>
    <m/>
    <m/>
    <m/>
    <m/>
    <m/>
  </r>
  <r>
    <n v="5963"/>
    <n v="56529"/>
    <d v="2001-10-16T00:00:00"/>
    <n v="24"/>
    <x v="1"/>
    <x v="1"/>
    <d v="2024-05-25T00:00:00"/>
    <n v="1.3342465753424657"/>
    <x v="113"/>
    <x v="1"/>
    <x v="3"/>
    <x v="1"/>
    <n v="8.4700000000000006"/>
    <m/>
    <m/>
    <m/>
    <m/>
    <m/>
    <m/>
    <x v="1"/>
    <n v="4"/>
    <n v="7"/>
    <m/>
    <m/>
    <m/>
    <m/>
    <m/>
    <m/>
    <m/>
    <m/>
    <m/>
    <m/>
    <m/>
    <m/>
    <m/>
    <m/>
  </r>
  <r>
    <n v="5964"/>
    <n v="56530"/>
    <d v="2006-09-16T00:00:00"/>
    <n v="19"/>
    <x v="1"/>
    <x v="1"/>
    <d v="2024-08-31T00:00:00"/>
    <n v="1.2575342465753425"/>
    <x v="113"/>
    <x v="1"/>
    <x v="8"/>
    <x v="1"/>
    <n v="8.4700000000000006"/>
    <m/>
    <m/>
    <m/>
    <m/>
    <m/>
    <m/>
    <x v="2"/>
    <n v="2"/>
    <n v="5"/>
    <m/>
    <m/>
    <m/>
    <m/>
    <m/>
    <m/>
    <m/>
    <m/>
    <m/>
    <m/>
    <m/>
    <m/>
    <m/>
    <m/>
  </r>
  <r>
    <n v="5965"/>
    <n v="56531"/>
    <d v="2005-02-16T00:00:00"/>
    <n v="20"/>
    <x v="1"/>
    <x v="1"/>
    <d v="2024-09-28T00:00:00"/>
    <n v="1.5315068493150685"/>
    <x v="113"/>
    <x v="1"/>
    <x v="8"/>
    <x v="1"/>
    <n v="8.4700000000000006"/>
    <m/>
    <m/>
    <m/>
    <m/>
    <m/>
    <m/>
    <x v="1"/>
    <n v="2"/>
    <n v="7"/>
    <m/>
    <m/>
    <m/>
    <m/>
    <m/>
    <m/>
    <m/>
    <m/>
    <m/>
    <m/>
    <m/>
    <m/>
    <m/>
    <m/>
  </r>
  <r>
    <n v="5966"/>
    <n v="56532"/>
    <d v="2004-11-02T00:00:00"/>
    <n v="21"/>
    <x v="1"/>
    <x v="0"/>
    <d v="2024-06-20T00:00:00"/>
    <n v="1.3315068493150686"/>
    <x v="113"/>
    <x v="1"/>
    <x v="8"/>
    <x v="1"/>
    <n v="8.4700000000000006"/>
    <m/>
    <m/>
    <m/>
    <m/>
    <m/>
    <m/>
    <x v="1"/>
    <n v="2"/>
    <n v="6"/>
    <m/>
    <m/>
    <m/>
    <m/>
    <m/>
    <m/>
    <m/>
    <m/>
    <m/>
    <m/>
    <m/>
    <m/>
    <m/>
    <m/>
  </r>
  <r>
    <n v="5967"/>
    <n v="56533"/>
    <d v="2003-07-14T00:00:00"/>
    <n v="22"/>
    <x v="0"/>
    <x v="1"/>
    <d v="2024-09-01T00:00:00"/>
    <n v="1.5726027397260274"/>
    <x v="113"/>
    <x v="1"/>
    <x v="8"/>
    <x v="1"/>
    <n v="8.4700000000000006"/>
    <m/>
    <m/>
    <m/>
    <m/>
    <m/>
    <m/>
    <x v="4"/>
    <n v="0"/>
    <n v="4"/>
    <m/>
    <m/>
    <m/>
    <m/>
    <m/>
    <m/>
    <m/>
    <m/>
    <m/>
    <m/>
    <m/>
    <m/>
    <m/>
    <m/>
  </r>
  <r>
    <n v="5968"/>
    <n v="56534"/>
    <d v="2003-10-26T00:00:00"/>
    <n v="22"/>
    <x v="1"/>
    <x v="1"/>
    <d v="2024-06-05T00:00:00"/>
    <n v="1.2547945205479452"/>
    <x v="113"/>
    <x v="1"/>
    <x v="8"/>
    <x v="1"/>
    <n v="8.4700000000000006"/>
    <m/>
    <m/>
    <m/>
    <m/>
    <m/>
    <m/>
    <x v="2"/>
    <n v="1"/>
    <n v="7"/>
    <m/>
    <m/>
    <m/>
    <m/>
    <m/>
    <m/>
    <m/>
    <m/>
    <m/>
    <m/>
    <m/>
    <m/>
    <m/>
    <m/>
  </r>
  <r>
    <n v="5969"/>
    <n v="56535"/>
    <d v="1999-03-30T00:00:00"/>
    <n v="26"/>
    <x v="1"/>
    <x v="1"/>
    <d v="2024-09-29T00:00:00"/>
    <n v="1.7726027397260273"/>
    <x v="113"/>
    <x v="1"/>
    <x v="8"/>
    <x v="1"/>
    <n v="8.4700000000000006"/>
    <m/>
    <m/>
    <m/>
    <m/>
    <m/>
    <m/>
    <x v="2"/>
    <n v="4"/>
    <n v="6"/>
    <m/>
    <m/>
    <m/>
    <m/>
    <m/>
    <m/>
    <m/>
    <m/>
    <m/>
    <m/>
    <m/>
    <m/>
    <m/>
    <m/>
  </r>
  <r>
    <n v="5970"/>
    <n v="56536"/>
    <d v="2002-09-06T00:00:00"/>
    <n v="23"/>
    <x v="1"/>
    <x v="1"/>
    <d v="2024-03-24T00:00:00"/>
    <n v="1.3753424657534246"/>
    <x v="113"/>
    <x v="1"/>
    <x v="8"/>
    <x v="1"/>
    <n v="8.4700000000000006"/>
    <m/>
    <m/>
    <m/>
    <m/>
    <m/>
    <m/>
    <x v="1"/>
    <n v="2"/>
    <n v="7"/>
    <m/>
    <m/>
    <m/>
    <m/>
    <m/>
    <m/>
    <m/>
    <m/>
    <m/>
    <m/>
    <m/>
    <m/>
    <m/>
    <m/>
  </r>
  <r>
    <n v="5971"/>
    <n v="56537"/>
    <d v="2002-04-17T00:00:00"/>
    <n v="23"/>
    <x v="0"/>
    <x v="0"/>
    <d v="2024-08-16T00:00:00"/>
    <n v="1.2219178082191782"/>
    <x v="113"/>
    <x v="1"/>
    <x v="8"/>
    <x v="1"/>
    <n v="8.4700000000000006"/>
    <m/>
    <m/>
    <m/>
    <m/>
    <m/>
    <m/>
    <x v="2"/>
    <n v="2"/>
    <n v="4"/>
    <m/>
    <m/>
    <m/>
    <m/>
    <m/>
    <m/>
    <m/>
    <m/>
    <m/>
    <m/>
    <m/>
    <m/>
    <m/>
    <m/>
  </r>
  <r>
    <n v="5972"/>
    <n v="56538"/>
    <d v="1998-11-11T00:00:00"/>
    <n v="27"/>
    <x v="1"/>
    <x v="1"/>
    <d v="2024-10-11T00:00:00"/>
    <n v="1.4356164383561645"/>
    <x v="113"/>
    <x v="1"/>
    <x v="8"/>
    <x v="1"/>
    <n v="8.4700000000000006"/>
    <m/>
    <m/>
    <m/>
    <m/>
    <m/>
    <m/>
    <x v="1"/>
    <n v="2"/>
    <n v="5"/>
    <m/>
    <m/>
    <m/>
    <m/>
    <m/>
    <m/>
    <m/>
    <m/>
    <m/>
    <m/>
    <m/>
    <m/>
    <m/>
    <m/>
  </r>
  <r>
    <n v="5973"/>
    <n v="56539"/>
    <d v="2000-07-03T00:00:00"/>
    <n v="25"/>
    <x v="0"/>
    <x v="1"/>
    <d v="2024-07-25T00:00:00"/>
    <n v="1.8054794520547945"/>
    <x v="113"/>
    <x v="1"/>
    <x v="8"/>
    <x v="1"/>
    <n v="8.4700000000000006"/>
    <m/>
    <m/>
    <m/>
    <m/>
    <m/>
    <m/>
    <x v="2"/>
    <n v="2"/>
    <n v="4"/>
    <m/>
    <m/>
    <m/>
    <m/>
    <m/>
    <m/>
    <m/>
    <m/>
    <m/>
    <m/>
    <m/>
    <m/>
    <m/>
    <m/>
  </r>
  <r>
    <n v="5974"/>
    <n v="56540"/>
    <d v="1999-09-09T00:00:00"/>
    <n v="26"/>
    <x v="1"/>
    <x v="1"/>
    <d v="2024-03-12T00:00:00"/>
    <n v="1.558904109589041"/>
    <x v="60"/>
    <x v="1"/>
    <x v="11"/>
    <x v="1"/>
    <n v="17"/>
    <m/>
    <m/>
    <m/>
    <m/>
    <m/>
    <m/>
    <x v="2"/>
    <n v="2"/>
    <n v="7"/>
    <m/>
    <m/>
    <m/>
    <m/>
    <m/>
    <m/>
    <m/>
    <m/>
    <m/>
    <m/>
    <m/>
    <m/>
    <m/>
    <m/>
  </r>
  <r>
    <n v="5975"/>
    <n v="56542"/>
    <d v="2003-11-17T00:00:00"/>
    <n v="22"/>
    <x v="1"/>
    <x v="0"/>
    <d v="2024-06-10T00:00:00"/>
    <n v="1.6520547945205479"/>
    <x v="60"/>
    <x v="1"/>
    <x v="8"/>
    <x v="1"/>
    <n v="8.4700000000000006"/>
    <m/>
    <m/>
    <m/>
    <m/>
    <m/>
    <m/>
    <x v="2"/>
    <n v="2"/>
    <n v="5"/>
    <m/>
    <m/>
    <m/>
    <m/>
    <m/>
    <m/>
    <m/>
    <m/>
    <m/>
    <m/>
    <m/>
    <m/>
    <m/>
    <m/>
  </r>
  <r>
    <n v="5976"/>
    <n v="56543"/>
    <d v="2003-04-08T00:00:00"/>
    <n v="22"/>
    <x v="1"/>
    <x v="0"/>
    <d v="2024-05-07T00:00:00"/>
    <n v="1.8027397260273972"/>
    <x v="60"/>
    <x v="1"/>
    <x v="8"/>
    <x v="1"/>
    <n v="8.4700000000000006"/>
    <m/>
    <m/>
    <m/>
    <m/>
    <m/>
    <m/>
    <x v="3"/>
    <n v="4"/>
    <n v="6"/>
    <m/>
    <m/>
    <m/>
    <m/>
    <m/>
    <m/>
    <m/>
    <m/>
    <m/>
    <m/>
    <m/>
    <m/>
    <m/>
    <m/>
  </r>
  <r>
    <n v="5977"/>
    <n v="56544"/>
    <d v="2006-12-04T00:00:00"/>
    <n v="19"/>
    <x v="1"/>
    <x v="1"/>
    <d v="2024-03-13T00:00:00"/>
    <n v="1.2164383561643837"/>
    <x v="60"/>
    <x v="1"/>
    <x v="8"/>
    <x v="1"/>
    <n v="8.4700000000000006"/>
    <m/>
    <m/>
    <m/>
    <m/>
    <m/>
    <m/>
    <x v="1"/>
    <n v="3"/>
    <n v="5"/>
    <m/>
    <m/>
    <m/>
    <m/>
    <m/>
    <m/>
    <m/>
    <m/>
    <m/>
    <m/>
    <m/>
    <m/>
    <m/>
    <m/>
  </r>
  <r>
    <n v="5978"/>
    <n v="56545"/>
    <d v="2006-01-01T00:00:00"/>
    <n v="20"/>
    <x v="1"/>
    <x v="0"/>
    <d v="2024-10-13T00:00:00"/>
    <n v="1.2136986301369863"/>
    <x v="60"/>
    <x v="1"/>
    <x v="8"/>
    <x v="1"/>
    <n v="8.4700000000000006"/>
    <m/>
    <m/>
    <m/>
    <m/>
    <m/>
    <m/>
    <x v="4"/>
    <n v="1"/>
    <n v="5"/>
    <m/>
    <m/>
    <m/>
    <m/>
    <m/>
    <m/>
    <m/>
    <m/>
    <m/>
    <m/>
    <m/>
    <m/>
    <m/>
    <m/>
  </r>
  <r>
    <n v="5979"/>
    <n v="56546"/>
    <d v="1997-06-25T00:00:00"/>
    <n v="28"/>
    <x v="1"/>
    <x v="1"/>
    <d v="2024-10-14T00:00:00"/>
    <n v="1.1643835616438356"/>
    <x v="60"/>
    <x v="1"/>
    <x v="8"/>
    <x v="1"/>
    <n v="8.4700000000000006"/>
    <m/>
    <m/>
    <m/>
    <m/>
    <m/>
    <m/>
    <x v="2"/>
    <n v="1"/>
    <n v="7"/>
    <m/>
    <m/>
    <m/>
    <m/>
    <m/>
    <m/>
    <m/>
    <m/>
    <m/>
    <m/>
    <m/>
    <m/>
    <m/>
    <m/>
  </r>
  <r>
    <n v="5980"/>
    <n v="56548"/>
    <d v="2004-02-12T00:00:00"/>
    <n v="21"/>
    <x v="1"/>
    <x v="0"/>
    <d v="2024-11-01T00:00:00"/>
    <n v="1.4109589041095891"/>
    <x v="60"/>
    <x v="1"/>
    <x v="8"/>
    <x v="1"/>
    <n v="8.4700000000000006"/>
    <m/>
    <m/>
    <m/>
    <m/>
    <m/>
    <m/>
    <x v="4"/>
    <n v="4"/>
    <n v="7"/>
    <m/>
    <m/>
    <m/>
    <m/>
    <m/>
    <m/>
    <m/>
    <m/>
    <m/>
    <m/>
    <m/>
    <m/>
    <m/>
    <m/>
  </r>
  <r>
    <n v="5981"/>
    <n v="56549"/>
    <d v="2000-01-08T00:00:00"/>
    <n v="25"/>
    <x v="1"/>
    <x v="1"/>
    <d v="2024-08-03T00:00:00"/>
    <n v="1.7726027397260273"/>
    <x v="62"/>
    <x v="1"/>
    <x v="11"/>
    <x v="1"/>
    <n v="17"/>
    <m/>
    <m/>
    <m/>
    <m/>
    <m/>
    <m/>
    <x v="3"/>
    <n v="1"/>
    <n v="6"/>
    <m/>
    <m/>
    <m/>
    <m/>
    <m/>
    <m/>
    <m/>
    <m/>
    <m/>
    <m/>
    <m/>
    <m/>
    <m/>
    <m/>
  </r>
  <r>
    <n v="5982"/>
    <n v="56550"/>
    <d v="2001-03-14T00:00:00"/>
    <n v="24"/>
    <x v="1"/>
    <x v="1"/>
    <d v="2024-03-24T00:00:00"/>
    <n v="1.2410958904109588"/>
    <x v="62"/>
    <x v="1"/>
    <x v="10"/>
    <x v="1"/>
    <n v="10.64"/>
    <m/>
    <m/>
    <m/>
    <m/>
    <m/>
    <m/>
    <x v="3"/>
    <n v="0"/>
    <n v="5"/>
    <m/>
    <m/>
    <m/>
    <m/>
    <m/>
    <m/>
    <m/>
    <m/>
    <m/>
    <m/>
    <m/>
    <m/>
    <m/>
    <m/>
  </r>
  <r>
    <n v="5983"/>
    <n v="56551"/>
    <d v="2005-04-26T00:00:00"/>
    <n v="20"/>
    <x v="0"/>
    <x v="1"/>
    <d v="2024-10-04T00:00:00"/>
    <n v="1.010958904109589"/>
    <x v="62"/>
    <x v="1"/>
    <x v="10"/>
    <x v="1"/>
    <n v="10.64"/>
    <m/>
    <m/>
    <m/>
    <m/>
    <m/>
    <m/>
    <x v="1"/>
    <n v="0"/>
    <n v="4"/>
    <m/>
    <m/>
    <m/>
    <m/>
    <m/>
    <m/>
    <m/>
    <m/>
    <m/>
    <m/>
    <m/>
    <m/>
    <m/>
    <m/>
  </r>
  <r>
    <n v="5984"/>
    <n v="56552"/>
    <d v="2004-05-25T00:00:00"/>
    <n v="21"/>
    <x v="1"/>
    <x v="1"/>
    <d v="2024-12-27T00:00:00"/>
    <n v="1.4191780821917808"/>
    <x v="62"/>
    <x v="1"/>
    <x v="8"/>
    <x v="1"/>
    <n v="8.4700000000000006"/>
    <m/>
    <m/>
    <m/>
    <m/>
    <m/>
    <m/>
    <x v="4"/>
    <n v="2"/>
    <n v="6"/>
    <m/>
    <m/>
    <m/>
    <m/>
    <m/>
    <m/>
    <m/>
    <m/>
    <m/>
    <m/>
    <m/>
    <m/>
    <m/>
    <m/>
  </r>
  <r>
    <n v="5985"/>
    <n v="56553"/>
    <d v="2005-11-24T00:00:00"/>
    <n v="20"/>
    <x v="1"/>
    <x v="0"/>
    <d v="2024-07-31T00:00:00"/>
    <n v="1.7616438356164383"/>
    <x v="62"/>
    <x v="1"/>
    <x v="8"/>
    <x v="1"/>
    <n v="8.4700000000000006"/>
    <m/>
    <m/>
    <m/>
    <m/>
    <m/>
    <m/>
    <x v="4"/>
    <n v="2"/>
    <n v="6"/>
    <m/>
    <m/>
    <m/>
    <m/>
    <m/>
    <m/>
    <m/>
    <m/>
    <m/>
    <m/>
    <m/>
    <m/>
    <m/>
    <m/>
  </r>
  <r>
    <n v="5986"/>
    <n v="56554"/>
    <d v="2006-03-19T00:00:00"/>
    <n v="19"/>
    <x v="0"/>
    <x v="1"/>
    <d v="2024-03-28T00:00:00"/>
    <n v="1.1013698630136985"/>
    <x v="62"/>
    <x v="1"/>
    <x v="8"/>
    <x v="1"/>
    <n v="8.4700000000000006"/>
    <m/>
    <m/>
    <m/>
    <m/>
    <m/>
    <m/>
    <x v="2"/>
    <n v="4"/>
    <n v="5"/>
    <m/>
    <m/>
    <m/>
    <m/>
    <m/>
    <m/>
    <m/>
    <m/>
    <m/>
    <m/>
    <m/>
    <m/>
    <m/>
    <m/>
  </r>
  <r>
    <n v="5987"/>
    <n v="56555"/>
    <d v="2003-09-18T00:00:00"/>
    <n v="22"/>
    <x v="1"/>
    <x v="1"/>
    <d v="2024-11-24T00:00:00"/>
    <n v="1"/>
    <x v="62"/>
    <x v="1"/>
    <x v="8"/>
    <x v="1"/>
    <n v="8.4700000000000006"/>
    <m/>
    <m/>
    <m/>
    <m/>
    <m/>
    <m/>
    <x v="4"/>
    <n v="1"/>
    <n v="7"/>
    <m/>
    <m/>
    <m/>
    <m/>
    <m/>
    <m/>
    <m/>
    <m/>
    <m/>
    <m/>
    <m/>
    <m/>
    <m/>
    <m/>
  </r>
  <r>
    <n v="5988"/>
    <n v="56556"/>
    <d v="2006-02-19T00:00:00"/>
    <n v="19"/>
    <x v="1"/>
    <x v="1"/>
    <d v="2024-12-31T00:00:00"/>
    <n v="1.558904109589041"/>
    <x v="62"/>
    <x v="1"/>
    <x v="8"/>
    <x v="1"/>
    <n v="8.4700000000000006"/>
    <m/>
    <m/>
    <m/>
    <m/>
    <m/>
    <m/>
    <x v="4"/>
    <n v="1"/>
    <n v="7"/>
    <m/>
    <m/>
    <m/>
    <m/>
    <m/>
    <m/>
    <m/>
    <m/>
    <m/>
    <m/>
    <m/>
    <m/>
    <m/>
    <m/>
  </r>
  <r>
    <n v="5989"/>
    <n v="56557"/>
    <d v="1992-12-19T00:00:00"/>
    <n v="33"/>
    <x v="1"/>
    <x v="1"/>
    <d v="2024-06-10T00:00:00"/>
    <n v="1.726027397260274"/>
    <x v="62"/>
    <x v="1"/>
    <x v="8"/>
    <x v="1"/>
    <n v="8.4700000000000006"/>
    <m/>
    <m/>
    <m/>
    <m/>
    <m/>
    <m/>
    <x v="2"/>
    <n v="2"/>
    <n v="5"/>
    <m/>
    <m/>
    <m/>
    <m/>
    <m/>
    <m/>
    <m/>
    <m/>
    <m/>
    <m/>
    <m/>
    <m/>
    <m/>
    <m/>
  </r>
  <r>
    <n v="5990"/>
    <n v="56558"/>
    <d v="2005-07-29T00:00:00"/>
    <n v="20"/>
    <x v="1"/>
    <x v="1"/>
    <d v="2024-04-10T00:00:00"/>
    <n v="1.0273972602739727"/>
    <x v="62"/>
    <x v="1"/>
    <x v="8"/>
    <x v="1"/>
    <n v="8.4700000000000006"/>
    <m/>
    <m/>
    <m/>
    <m/>
    <m/>
    <m/>
    <x v="3"/>
    <n v="2"/>
    <n v="6"/>
    <m/>
    <m/>
    <m/>
    <m/>
    <m/>
    <m/>
    <m/>
    <m/>
    <m/>
    <m/>
    <m/>
    <m/>
    <m/>
    <m/>
  </r>
  <r>
    <n v="5991"/>
    <n v="56559"/>
    <d v="1994-02-04T00:00:00"/>
    <n v="31"/>
    <x v="1"/>
    <x v="1"/>
    <d v="2024-12-21T00:00:00"/>
    <n v="1.6383561643835616"/>
    <x v="62"/>
    <x v="1"/>
    <x v="8"/>
    <x v="1"/>
    <n v="8.4700000000000006"/>
    <m/>
    <m/>
    <m/>
    <m/>
    <m/>
    <m/>
    <x v="1"/>
    <n v="3"/>
    <n v="6"/>
    <m/>
    <m/>
    <m/>
    <m/>
    <m/>
    <m/>
    <m/>
    <m/>
    <m/>
    <m/>
    <m/>
    <m/>
    <m/>
    <m/>
  </r>
  <r>
    <n v="5992"/>
    <n v="56560"/>
    <d v="2000-12-04T00:00:00"/>
    <n v="25"/>
    <x v="1"/>
    <x v="1"/>
    <d v="2024-05-12T00:00:00"/>
    <n v="1.7095890410958905"/>
    <x v="91"/>
    <x v="1"/>
    <x v="11"/>
    <x v="1"/>
    <n v="17"/>
    <m/>
    <m/>
    <m/>
    <m/>
    <m/>
    <m/>
    <x v="2"/>
    <n v="4"/>
    <n v="7"/>
    <m/>
    <m/>
    <m/>
    <m/>
    <m/>
    <m/>
    <m/>
    <m/>
    <m/>
    <m/>
    <m/>
    <m/>
    <m/>
    <m/>
  </r>
  <r>
    <n v="5993"/>
    <n v="56561"/>
    <d v="1994-10-01T00:00:00"/>
    <n v="32"/>
    <x v="1"/>
    <x v="1"/>
    <d v="2024-04-16T00:00:00"/>
    <n v="1.1178082191780823"/>
    <x v="91"/>
    <x v="1"/>
    <x v="11"/>
    <x v="1"/>
    <n v="17"/>
    <m/>
    <m/>
    <m/>
    <m/>
    <m/>
    <m/>
    <x v="3"/>
    <n v="4"/>
    <n v="7"/>
    <m/>
    <m/>
    <m/>
    <m/>
    <m/>
    <m/>
    <m/>
    <m/>
    <m/>
    <m/>
    <m/>
    <m/>
    <m/>
    <m/>
  </r>
  <r>
    <n v="5994"/>
    <n v="56562"/>
    <d v="2001-10-26T00:00:00"/>
    <n v="24"/>
    <x v="0"/>
    <x v="1"/>
    <d v="2024-11-18T00:00:00"/>
    <n v="1.2438356164383562"/>
    <x v="91"/>
    <x v="1"/>
    <x v="11"/>
    <x v="1"/>
    <n v="17"/>
    <m/>
    <m/>
    <m/>
    <m/>
    <m/>
    <m/>
    <x v="2"/>
    <n v="1"/>
    <n v="4"/>
    <m/>
    <m/>
    <m/>
    <m/>
    <m/>
    <m/>
    <m/>
    <m/>
    <m/>
    <m/>
    <m/>
    <m/>
    <m/>
    <m/>
  </r>
  <r>
    <n v="5995"/>
    <n v="56563"/>
    <d v="2003-04-17T00:00:00"/>
    <n v="22"/>
    <x v="1"/>
    <x v="1"/>
    <d v="2024-10-03T00:00:00"/>
    <n v="1.4109589041095891"/>
    <x v="91"/>
    <x v="1"/>
    <x v="10"/>
    <x v="1"/>
    <n v="10.64"/>
    <m/>
    <m/>
    <m/>
    <m/>
    <m/>
    <m/>
    <x v="4"/>
    <n v="1"/>
    <n v="5"/>
    <m/>
    <m/>
    <m/>
    <m/>
    <m/>
    <m/>
    <m/>
    <m/>
    <m/>
    <m/>
    <m/>
    <m/>
    <m/>
    <m/>
  </r>
  <r>
    <n v="5996"/>
    <n v="56564"/>
    <d v="2002-06-01T00:00:00"/>
    <n v="24"/>
    <x v="1"/>
    <x v="1"/>
    <d v="2024-08-03T00:00:00"/>
    <n v="1.0438356164383562"/>
    <x v="91"/>
    <x v="1"/>
    <x v="8"/>
    <x v="1"/>
    <n v="8.4700000000000006"/>
    <m/>
    <m/>
    <m/>
    <m/>
    <m/>
    <m/>
    <x v="1"/>
    <n v="2"/>
    <n v="7"/>
    <m/>
    <m/>
    <m/>
    <m/>
    <m/>
    <m/>
    <m/>
    <m/>
    <m/>
    <m/>
    <m/>
    <m/>
    <m/>
    <m/>
  </r>
  <r>
    <n v="5997"/>
    <n v="56565"/>
    <d v="2002-05-24T00:00:00"/>
    <n v="23"/>
    <x v="1"/>
    <x v="1"/>
    <d v="2024-12-15T00:00:00"/>
    <n v="1.704109589041096"/>
    <x v="91"/>
    <x v="1"/>
    <x v="8"/>
    <x v="1"/>
    <n v="8.4700000000000006"/>
    <m/>
    <m/>
    <m/>
    <m/>
    <m/>
    <m/>
    <x v="3"/>
    <n v="3"/>
    <n v="6"/>
    <m/>
    <m/>
    <m/>
    <m/>
    <m/>
    <m/>
    <m/>
    <m/>
    <m/>
    <m/>
    <m/>
    <m/>
    <m/>
    <m/>
  </r>
  <r>
    <n v="5998"/>
    <n v="56566"/>
    <d v="1999-04-08T00:00:00"/>
    <n v="26"/>
    <x v="1"/>
    <x v="1"/>
    <d v="2024-04-18T00:00:00"/>
    <n v="1.6493150684931508"/>
    <x v="91"/>
    <x v="1"/>
    <x v="8"/>
    <x v="1"/>
    <n v="8.4700000000000006"/>
    <m/>
    <m/>
    <m/>
    <m/>
    <m/>
    <m/>
    <x v="4"/>
    <n v="0"/>
    <n v="5"/>
    <m/>
    <m/>
    <m/>
    <m/>
    <m/>
    <m/>
    <m/>
    <m/>
    <m/>
    <m/>
    <m/>
    <m/>
    <m/>
    <m/>
  </r>
  <r>
    <n v="5999"/>
    <n v="56567"/>
    <d v="1992-06-12T00:00:00"/>
    <n v="33"/>
    <x v="1"/>
    <x v="1"/>
    <d v="2024-05-08T00:00:00"/>
    <n v="1.5424657534246575"/>
    <x v="91"/>
    <x v="1"/>
    <x v="8"/>
    <x v="1"/>
    <n v="8.4700000000000006"/>
    <m/>
    <m/>
    <m/>
    <m/>
    <m/>
    <m/>
    <x v="4"/>
    <n v="1"/>
    <n v="5"/>
    <m/>
    <m/>
    <m/>
    <m/>
    <m/>
    <m/>
    <m/>
    <m/>
    <m/>
    <m/>
    <m/>
    <m/>
    <m/>
    <m/>
  </r>
  <r>
    <n v="6000"/>
    <n v="56568"/>
    <d v="2003-02-25T00:00:00"/>
    <n v="22"/>
    <x v="0"/>
    <x v="1"/>
    <d v="2024-06-16T00:00:00"/>
    <n v="1.4904109589041097"/>
    <x v="91"/>
    <x v="1"/>
    <x v="8"/>
    <x v="1"/>
    <n v="8.4700000000000006"/>
    <m/>
    <m/>
    <m/>
    <m/>
    <m/>
    <m/>
    <x v="2"/>
    <n v="2"/>
    <n v="4"/>
    <m/>
    <m/>
    <m/>
    <m/>
    <m/>
    <m/>
    <m/>
    <m/>
    <m/>
    <m/>
    <m/>
    <m/>
    <m/>
    <m/>
  </r>
  <r>
    <n v="6001"/>
    <n v="56570"/>
    <d v="2001-05-02T00:00:00"/>
    <n v="24"/>
    <x v="1"/>
    <x v="1"/>
    <d v="2024-07-05T00:00:00"/>
    <n v="1.5890410958904109"/>
    <x v="91"/>
    <x v="1"/>
    <x v="8"/>
    <x v="1"/>
    <n v="8.4700000000000006"/>
    <m/>
    <m/>
    <m/>
    <m/>
    <m/>
    <m/>
    <x v="4"/>
    <n v="2"/>
    <n v="6"/>
    <m/>
    <m/>
    <m/>
    <m/>
    <m/>
    <m/>
    <m/>
    <m/>
    <m/>
    <m/>
    <m/>
    <m/>
    <m/>
    <m/>
  </r>
  <r>
    <n v="6002"/>
    <n v="56571"/>
    <d v="2003-12-08T00:00:00"/>
    <n v="22"/>
    <x v="1"/>
    <x v="1"/>
    <d v="2024-05-30T00:00:00"/>
    <n v="1.273972602739726"/>
    <x v="91"/>
    <x v="1"/>
    <x v="8"/>
    <x v="1"/>
    <n v="8.4700000000000006"/>
    <m/>
    <m/>
    <m/>
    <m/>
    <m/>
    <m/>
    <x v="4"/>
    <n v="0"/>
    <n v="5"/>
    <m/>
    <m/>
    <m/>
    <m/>
    <m/>
    <m/>
    <m/>
    <m/>
    <m/>
    <m/>
    <m/>
    <m/>
    <m/>
    <m/>
  </r>
  <r>
    <n v="6003"/>
    <n v="56572"/>
    <d v="2006-11-24T00:00:00"/>
    <n v="19"/>
    <x v="1"/>
    <x v="1"/>
    <d v="2024-09-22T00:00:00"/>
    <n v="1.0602739726027397"/>
    <x v="91"/>
    <x v="1"/>
    <x v="8"/>
    <x v="1"/>
    <n v="8.4700000000000006"/>
    <m/>
    <m/>
    <m/>
    <m/>
    <m/>
    <m/>
    <x v="3"/>
    <n v="0"/>
    <n v="6"/>
    <m/>
    <m/>
    <m/>
    <m/>
    <m/>
    <m/>
    <m/>
    <m/>
    <m/>
    <m/>
    <m/>
    <m/>
    <m/>
    <m/>
  </r>
  <r>
    <n v="6004"/>
    <n v="56573"/>
    <d v="2006-09-03T00:00:00"/>
    <n v="19"/>
    <x v="0"/>
    <x v="0"/>
    <d v="2024-12-09T00:00:00"/>
    <n v="1.2821917808219179"/>
    <x v="91"/>
    <x v="1"/>
    <x v="8"/>
    <x v="1"/>
    <n v="8.4700000000000006"/>
    <m/>
    <m/>
    <m/>
    <m/>
    <m/>
    <m/>
    <x v="1"/>
    <n v="2"/>
    <n v="3"/>
    <m/>
    <m/>
    <m/>
    <m/>
    <m/>
    <m/>
    <m/>
    <m/>
    <m/>
    <m/>
    <m/>
    <m/>
    <m/>
    <m/>
  </r>
  <r>
    <n v="6005"/>
    <n v="56574"/>
    <d v="2005-02-23T00:00:00"/>
    <n v="20"/>
    <x v="1"/>
    <x v="1"/>
    <d v="2024-09-19T00:00:00"/>
    <n v="1.4821917808219178"/>
    <x v="91"/>
    <x v="1"/>
    <x v="8"/>
    <x v="1"/>
    <n v="8.4700000000000006"/>
    <m/>
    <m/>
    <m/>
    <m/>
    <m/>
    <m/>
    <x v="2"/>
    <n v="1"/>
    <n v="6"/>
    <m/>
    <m/>
    <m/>
    <m/>
    <m/>
    <m/>
    <m/>
    <m/>
    <m/>
    <m/>
    <m/>
    <m/>
    <m/>
    <m/>
  </r>
  <r>
    <n v="6006"/>
    <n v="56575"/>
    <d v="2000-12-04T00:00:00"/>
    <n v="25"/>
    <x v="1"/>
    <x v="1"/>
    <d v="2024-07-08T00:00:00"/>
    <n v="1.452054794520548"/>
    <x v="111"/>
    <x v="1"/>
    <x v="11"/>
    <x v="1"/>
    <n v="17"/>
    <m/>
    <m/>
    <m/>
    <m/>
    <m/>
    <m/>
    <x v="4"/>
    <n v="4"/>
    <n v="7"/>
    <m/>
    <m/>
    <m/>
    <m/>
    <m/>
    <m/>
    <m/>
    <m/>
    <m/>
    <m/>
    <m/>
    <m/>
    <m/>
    <m/>
  </r>
  <r>
    <n v="6007"/>
    <n v="56576"/>
    <d v="2005-09-17T00:00:00"/>
    <n v="20"/>
    <x v="1"/>
    <x v="1"/>
    <d v="2024-07-19T00:00:00"/>
    <n v="1.6082191780821917"/>
    <x v="111"/>
    <x v="1"/>
    <x v="3"/>
    <x v="1"/>
    <n v="8.4700000000000006"/>
    <m/>
    <m/>
    <m/>
    <m/>
    <m/>
    <m/>
    <x v="4"/>
    <n v="1"/>
    <n v="5"/>
    <m/>
    <m/>
    <m/>
    <m/>
    <m/>
    <m/>
    <m/>
    <m/>
    <m/>
    <m/>
    <m/>
    <m/>
    <m/>
    <m/>
  </r>
  <r>
    <n v="6008"/>
    <n v="56577"/>
    <d v="2004-09-18T00:00:00"/>
    <n v="21"/>
    <x v="1"/>
    <x v="1"/>
    <d v="2024-05-23T00:00:00"/>
    <n v="1.5972602739726027"/>
    <x v="111"/>
    <x v="1"/>
    <x v="3"/>
    <x v="1"/>
    <n v="8.4700000000000006"/>
    <m/>
    <m/>
    <m/>
    <m/>
    <m/>
    <m/>
    <x v="2"/>
    <n v="1"/>
    <n v="6"/>
    <m/>
    <m/>
    <m/>
    <m/>
    <m/>
    <m/>
    <m/>
    <m/>
    <m/>
    <m/>
    <m/>
    <m/>
    <m/>
    <m/>
  </r>
  <r>
    <n v="6009"/>
    <n v="56578"/>
    <d v="1996-12-05T00:00:00"/>
    <n v="29"/>
    <x v="1"/>
    <x v="1"/>
    <d v="2024-05-27T00:00:00"/>
    <n v="1"/>
    <x v="111"/>
    <x v="1"/>
    <x v="8"/>
    <x v="1"/>
    <n v="8.4700000000000006"/>
    <m/>
    <m/>
    <m/>
    <m/>
    <m/>
    <m/>
    <x v="4"/>
    <n v="0"/>
    <n v="5"/>
    <m/>
    <m/>
    <m/>
    <m/>
    <m/>
    <m/>
    <m/>
    <m/>
    <m/>
    <m/>
    <m/>
    <m/>
    <m/>
    <m/>
  </r>
  <r>
    <n v="6010"/>
    <n v="56579"/>
    <d v="1994-02-28T00:00:00"/>
    <n v="31"/>
    <x v="0"/>
    <x v="1"/>
    <d v="2024-12-31T00:00:00"/>
    <n v="1.4904109589041097"/>
    <x v="111"/>
    <x v="1"/>
    <x v="8"/>
    <x v="1"/>
    <n v="8.4700000000000006"/>
    <m/>
    <m/>
    <m/>
    <m/>
    <m/>
    <m/>
    <x v="3"/>
    <n v="2"/>
    <n v="4"/>
    <m/>
    <m/>
    <m/>
    <m/>
    <m/>
    <m/>
    <m/>
    <m/>
    <m/>
    <m/>
    <m/>
    <m/>
    <m/>
    <m/>
  </r>
  <r>
    <n v="6011"/>
    <n v="56580"/>
    <d v="2002-03-13T00:00:00"/>
    <n v="23"/>
    <x v="1"/>
    <x v="0"/>
    <d v="2024-07-05T00:00:00"/>
    <n v="1.5945205479452054"/>
    <x v="111"/>
    <x v="1"/>
    <x v="8"/>
    <x v="1"/>
    <n v="8.4700000000000006"/>
    <m/>
    <m/>
    <m/>
    <m/>
    <m/>
    <m/>
    <x v="2"/>
    <n v="2"/>
    <n v="6"/>
    <m/>
    <m/>
    <m/>
    <m/>
    <m/>
    <m/>
    <m/>
    <m/>
    <m/>
    <m/>
    <m/>
    <m/>
    <m/>
    <m/>
  </r>
  <r>
    <n v="6012"/>
    <n v="56582"/>
    <d v="2007-10-02T00:00:00"/>
    <n v="18"/>
    <x v="1"/>
    <x v="1"/>
    <d v="2024-05-28T00:00:00"/>
    <n v="1.3150684931506849"/>
    <x v="111"/>
    <x v="1"/>
    <x v="8"/>
    <x v="1"/>
    <n v="8.4700000000000006"/>
    <m/>
    <m/>
    <m/>
    <m/>
    <m/>
    <m/>
    <x v="1"/>
    <n v="1"/>
    <n v="6"/>
    <m/>
    <m/>
    <m/>
    <m/>
    <m/>
    <m/>
    <m/>
    <m/>
    <m/>
    <m/>
    <m/>
    <m/>
    <m/>
    <m/>
  </r>
  <r>
    <n v="6013"/>
    <n v="56583"/>
    <d v="2007-10-29T00:00:00"/>
    <n v="18"/>
    <x v="1"/>
    <x v="1"/>
    <d v="2024-09-07T00:00:00"/>
    <n v="1.1424657534246576"/>
    <x v="111"/>
    <x v="1"/>
    <x v="8"/>
    <x v="1"/>
    <n v="8.4700000000000006"/>
    <m/>
    <m/>
    <m/>
    <m/>
    <m/>
    <m/>
    <x v="2"/>
    <n v="2"/>
    <n v="7"/>
    <m/>
    <m/>
    <m/>
    <m/>
    <m/>
    <m/>
    <m/>
    <m/>
    <m/>
    <m/>
    <m/>
    <m/>
    <m/>
    <m/>
  </r>
  <r>
    <n v="6014"/>
    <n v="56584"/>
    <d v="2003-04-25T00:00:00"/>
    <n v="22"/>
    <x v="1"/>
    <x v="0"/>
    <d v="2024-11-09T00:00:00"/>
    <n v="1.1479452054794521"/>
    <x v="111"/>
    <x v="1"/>
    <x v="8"/>
    <x v="1"/>
    <n v="8.4700000000000006"/>
    <m/>
    <m/>
    <m/>
    <m/>
    <m/>
    <m/>
    <x v="4"/>
    <n v="2"/>
    <n v="4"/>
    <m/>
    <m/>
    <m/>
    <m/>
    <m/>
    <m/>
    <m/>
    <m/>
    <m/>
    <m/>
    <m/>
    <m/>
    <m/>
    <m/>
  </r>
  <r>
    <n v="6015"/>
    <n v="56586"/>
    <d v="2007-08-04T00:00:00"/>
    <n v="18"/>
    <x v="1"/>
    <x v="1"/>
    <d v="2024-11-07T00:00:00"/>
    <n v="1.484931506849315"/>
    <x v="111"/>
    <x v="1"/>
    <x v="8"/>
    <x v="1"/>
    <n v="8.4700000000000006"/>
    <m/>
    <m/>
    <m/>
    <m/>
    <m/>
    <m/>
    <x v="3"/>
    <n v="2"/>
    <n v="6"/>
    <m/>
    <m/>
    <m/>
    <m/>
    <m/>
    <m/>
    <m/>
    <m/>
    <m/>
    <m/>
    <m/>
    <m/>
    <m/>
    <m/>
  </r>
  <r>
    <n v="6016"/>
    <n v="56587"/>
    <d v="1997-02-05T00:00:00"/>
    <n v="28"/>
    <x v="0"/>
    <x v="0"/>
    <d v="2024-07-07T00:00:00"/>
    <n v="1.6191780821917807"/>
    <x v="117"/>
    <x v="1"/>
    <x v="11"/>
    <x v="1"/>
    <n v="17"/>
    <m/>
    <m/>
    <m/>
    <m/>
    <m/>
    <m/>
    <x v="1"/>
    <n v="1"/>
    <n v="4"/>
    <m/>
    <m/>
    <m/>
    <m/>
    <m/>
    <m/>
    <m/>
    <m/>
    <m/>
    <m/>
    <m/>
    <m/>
    <m/>
    <m/>
  </r>
  <r>
    <n v="6017"/>
    <n v="56588"/>
    <d v="2003-12-28T00:00:00"/>
    <n v="22"/>
    <x v="0"/>
    <x v="1"/>
    <d v="2024-05-19T00:00:00"/>
    <n v="1.2027397260273973"/>
    <x v="117"/>
    <x v="1"/>
    <x v="10"/>
    <x v="1"/>
    <n v="10.64"/>
    <m/>
    <m/>
    <m/>
    <m/>
    <m/>
    <m/>
    <x v="1"/>
    <n v="1"/>
    <n v="4"/>
    <m/>
    <m/>
    <m/>
    <m/>
    <m/>
    <m/>
    <m/>
    <m/>
    <m/>
    <m/>
    <m/>
    <m/>
    <m/>
    <m/>
  </r>
  <r>
    <n v="6018"/>
    <n v="56589"/>
    <d v="2006-11-11T00:00:00"/>
    <n v="19"/>
    <x v="1"/>
    <x v="1"/>
    <d v="2024-10-18T00:00:00"/>
    <n v="1.0876712328767124"/>
    <x v="117"/>
    <x v="1"/>
    <x v="10"/>
    <x v="1"/>
    <n v="10.64"/>
    <m/>
    <m/>
    <m/>
    <m/>
    <m/>
    <m/>
    <x v="2"/>
    <n v="0"/>
    <n v="5"/>
    <m/>
    <m/>
    <m/>
    <m/>
    <m/>
    <m/>
    <m/>
    <m/>
    <m/>
    <m/>
    <m/>
    <m/>
    <m/>
    <m/>
  </r>
  <r>
    <n v="6019"/>
    <n v="56590"/>
    <d v="2004-12-08T00:00:00"/>
    <n v="21"/>
    <x v="0"/>
    <x v="1"/>
    <d v="2024-11-29T00:00:00"/>
    <n v="1.3424657534246576"/>
    <x v="117"/>
    <x v="1"/>
    <x v="9"/>
    <x v="1"/>
    <n v="14.07"/>
    <m/>
    <m/>
    <m/>
    <m/>
    <m/>
    <m/>
    <x v="1"/>
    <n v="0"/>
    <n v="5"/>
    <m/>
    <m/>
    <m/>
    <m/>
    <m/>
    <m/>
    <m/>
    <m/>
    <m/>
    <m/>
    <m/>
    <m/>
    <m/>
    <m/>
  </r>
  <r>
    <n v="6020"/>
    <n v="56591"/>
    <d v="2004-11-06T00:00:00"/>
    <n v="21"/>
    <x v="1"/>
    <x v="0"/>
    <d v="2024-08-28T00:00:00"/>
    <n v="1.4876712328767123"/>
    <x v="117"/>
    <x v="1"/>
    <x v="8"/>
    <x v="1"/>
    <n v="8.4700000000000006"/>
    <m/>
    <m/>
    <m/>
    <m/>
    <m/>
    <m/>
    <x v="2"/>
    <n v="2"/>
    <n v="6"/>
    <m/>
    <m/>
    <m/>
    <m/>
    <m/>
    <m/>
    <m/>
    <m/>
    <m/>
    <m/>
    <m/>
    <m/>
    <m/>
    <m/>
  </r>
  <r>
    <n v="6021"/>
    <n v="56592"/>
    <d v="2002-08-01T00:00:00"/>
    <n v="24"/>
    <x v="1"/>
    <x v="1"/>
    <d v="2024-07-06T00:00:00"/>
    <n v="1.4602739726027398"/>
    <x v="117"/>
    <x v="1"/>
    <x v="8"/>
    <x v="1"/>
    <n v="8.4700000000000006"/>
    <m/>
    <m/>
    <m/>
    <m/>
    <m/>
    <m/>
    <x v="4"/>
    <n v="2"/>
    <n v="7"/>
    <m/>
    <m/>
    <m/>
    <m/>
    <m/>
    <m/>
    <m/>
    <m/>
    <m/>
    <m/>
    <m/>
    <m/>
    <m/>
    <m/>
  </r>
  <r>
    <n v="6022"/>
    <n v="56594"/>
    <d v="2003-02-20T00:00:00"/>
    <n v="22"/>
    <x v="0"/>
    <x v="0"/>
    <d v="2024-07-16T00:00:00"/>
    <n v="1.4986301369863013"/>
    <x v="117"/>
    <x v="1"/>
    <x v="8"/>
    <x v="1"/>
    <n v="8.4700000000000006"/>
    <m/>
    <m/>
    <m/>
    <m/>
    <m/>
    <m/>
    <x v="2"/>
    <n v="4"/>
    <n v="5"/>
    <m/>
    <m/>
    <m/>
    <m/>
    <m/>
    <m/>
    <m/>
    <m/>
    <m/>
    <m/>
    <m/>
    <m/>
    <m/>
    <m/>
  </r>
  <r>
    <n v="6023"/>
    <n v="56595"/>
    <d v="2004-09-06T00:00:00"/>
    <n v="21"/>
    <x v="1"/>
    <x v="0"/>
    <d v="2024-07-02T00:00:00"/>
    <n v="1.5013698630136987"/>
    <x v="117"/>
    <x v="1"/>
    <x v="8"/>
    <x v="1"/>
    <n v="8.4700000000000006"/>
    <m/>
    <m/>
    <m/>
    <m/>
    <m/>
    <m/>
    <x v="3"/>
    <n v="0"/>
    <n v="5"/>
    <m/>
    <m/>
    <m/>
    <m/>
    <m/>
    <m/>
    <m/>
    <m/>
    <m/>
    <m/>
    <m/>
    <m/>
    <m/>
    <m/>
  </r>
  <r>
    <n v="6024"/>
    <n v="56596"/>
    <d v="2003-09-16T00:00:00"/>
    <n v="22"/>
    <x v="1"/>
    <x v="0"/>
    <d v="2024-07-01T00:00:00"/>
    <n v="1.4191780821917808"/>
    <x v="117"/>
    <x v="1"/>
    <x v="8"/>
    <x v="1"/>
    <n v="8.4700000000000006"/>
    <m/>
    <m/>
    <m/>
    <m/>
    <m/>
    <m/>
    <x v="4"/>
    <n v="2"/>
    <n v="5"/>
    <m/>
    <m/>
    <m/>
    <m/>
    <m/>
    <m/>
    <m/>
    <m/>
    <m/>
    <m/>
    <m/>
    <m/>
    <m/>
    <m/>
  </r>
  <r>
    <n v="6025"/>
    <n v="56597"/>
    <d v="2003-07-08T00:00:00"/>
    <n v="22"/>
    <x v="1"/>
    <x v="1"/>
    <d v="2024-07-31T00:00:00"/>
    <n v="1.1616438356164382"/>
    <x v="117"/>
    <x v="1"/>
    <x v="8"/>
    <x v="1"/>
    <n v="8.4700000000000006"/>
    <m/>
    <m/>
    <m/>
    <m/>
    <m/>
    <m/>
    <x v="1"/>
    <n v="1"/>
    <n v="7"/>
    <m/>
    <m/>
    <m/>
    <m/>
    <m/>
    <m/>
    <m/>
    <m/>
    <m/>
    <m/>
    <m/>
    <m/>
    <m/>
    <m/>
  </r>
  <r>
    <n v="6026"/>
    <n v="56598"/>
    <d v="2006-05-27T00:00:00"/>
    <n v="19"/>
    <x v="0"/>
    <x v="1"/>
    <d v="2024-11-02T00:00:00"/>
    <n v="1.4493150684931506"/>
    <x v="117"/>
    <x v="1"/>
    <x v="8"/>
    <x v="1"/>
    <n v="8.4700000000000006"/>
    <m/>
    <m/>
    <m/>
    <m/>
    <m/>
    <m/>
    <x v="3"/>
    <n v="2"/>
    <n v="5"/>
    <m/>
    <m/>
    <m/>
    <m/>
    <m/>
    <m/>
    <m/>
    <m/>
    <m/>
    <m/>
    <m/>
    <m/>
    <m/>
    <m/>
  </r>
  <r>
    <n v="6027"/>
    <n v="56599"/>
    <d v="2003-02-20T00:00:00"/>
    <n v="22"/>
    <x v="1"/>
    <x v="1"/>
    <d v="2024-07-20T00:00:00"/>
    <n v="1.810958904109589"/>
    <x v="117"/>
    <x v="1"/>
    <x v="8"/>
    <x v="1"/>
    <n v="8.4700000000000006"/>
    <m/>
    <m/>
    <m/>
    <m/>
    <m/>
    <m/>
    <x v="1"/>
    <n v="1"/>
    <n v="6"/>
    <m/>
    <m/>
    <m/>
    <m/>
    <m/>
    <m/>
    <m/>
    <m/>
    <m/>
    <m/>
    <m/>
    <m/>
    <m/>
    <m/>
  </r>
  <r>
    <n v="6028"/>
    <n v="56600"/>
    <d v="1997-03-30T00:00:00"/>
    <n v="28"/>
    <x v="1"/>
    <x v="1"/>
    <d v="2024-03-10T00:00:00"/>
    <n v="1.6958904109589041"/>
    <x v="117"/>
    <x v="1"/>
    <x v="8"/>
    <x v="1"/>
    <n v="8.4700000000000006"/>
    <m/>
    <m/>
    <m/>
    <m/>
    <m/>
    <m/>
    <x v="4"/>
    <n v="1"/>
    <n v="6"/>
    <m/>
    <m/>
    <m/>
    <m/>
    <m/>
    <m/>
    <m/>
    <m/>
    <m/>
    <m/>
    <m/>
    <m/>
    <m/>
    <m/>
  </r>
  <r>
    <n v="6029"/>
    <n v="56601"/>
    <d v="1997-01-26T00:00:00"/>
    <n v="28"/>
    <x v="1"/>
    <x v="1"/>
    <d v="2024-04-21T00:00:00"/>
    <n v="1.8191780821917809"/>
    <x v="117"/>
    <x v="1"/>
    <x v="8"/>
    <x v="1"/>
    <n v="8.4700000000000006"/>
    <m/>
    <m/>
    <m/>
    <m/>
    <m/>
    <m/>
    <x v="4"/>
    <n v="4"/>
    <n v="7"/>
    <m/>
    <m/>
    <m/>
    <m/>
    <m/>
    <m/>
    <m/>
    <m/>
    <m/>
    <m/>
    <m/>
    <m/>
    <m/>
    <m/>
  </r>
  <r>
    <n v="6030"/>
    <n v="56602"/>
    <d v="2001-05-13T00:00:00"/>
    <n v="24"/>
    <x v="1"/>
    <x v="1"/>
    <d v="2024-03-07T00:00:00"/>
    <n v="1.2356164383561643"/>
    <x v="119"/>
    <x v="1"/>
    <x v="11"/>
    <x v="1"/>
    <n v="17"/>
    <m/>
    <m/>
    <m/>
    <m/>
    <m/>
    <m/>
    <x v="1"/>
    <n v="3"/>
    <n v="7"/>
    <m/>
    <m/>
    <m/>
    <m/>
    <m/>
    <m/>
    <m/>
    <m/>
    <m/>
    <m/>
    <m/>
    <m/>
    <m/>
    <m/>
  </r>
  <r>
    <n v="6031"/>
    <n v="56603"/>
    <d v="1998-06-19T00:00:00"/>
    <n v="27"/>
    <x v="0"/>
    <x v="1"/>
    <d v="2024-10-06T00:00:00"/>
    <n v="1.515068493150685"/>
    <x v="119"/>
    <x v="1"/>
    <x v="10"/>
    <x v="1"/>
    <n v="10.64"/>
    <m/>
    <m/>
    <m/>
    <m/>
    <m/>
    <m/>
    <x v="4"/>
    <n v="0"/>
    <n v="4"/>
    <m/>
    <m/>
    <m/>
    <m/>
    <m/>
    <m/>
    <m/>
    <m/>
    <m/>
    <m/>
    <m/>
    <m/>
    <m/>
    <m/>
  </r>
  <r>
    <n v="6032"/>
    <n v="56604"/>
    <d v="1998-11-08T00:00:00"/>
    <n v="27"/>
    <x v="1"/>
    <x v="0"/>
    <d v="2024-06-26T00:00:00"/>
    <n v="1.0602739726027397"/>
    <x v="119"/>
    <x v="1"/>
    <x v="8"/>
    <x v="1"/>
    <n v="8.4700000000000006"/>
    <m/>
    <m/>
    <m/>
    <m/>
    <m/>
    <m/>
    <x v="1"/>
    <n v="2"/>
    <n v="7"/>
    <m/>
    <m/>
    <m/>
    <m/>
    <m/>
    <m/>
    <m/>
    <m/>
    <m/>
    <m/>
    <m/>
    <m/>
    <m/>
    <m/>
  </r>
  <r>
    <n v="6033"/>
    <n v="56605"/>
    <d v="2006-03-20T00:00:00"/>
    <n v="19"/>
    <x v="1"/>
    <x v="0"/>
    <d v="2024-12-09T00:00:00"/>
    <n v="1.3397260273972602"/>
    <x v="119"/>
    <x v="1"/>
    <x v="8"/>
    <x v="1"/>
    <n v="8.4700000000000006"/>
    <m/>
    <m/>
    <m/>
    <m/>
    <m/>
    <m/>
    <x v="2"/>
    <n v="0"/>
    <n v="6"/>
    <m/>
    <m/>
    <m/>
    <m/>
    <m/>
    <m/>
    <m/>
    <m/>
    <m/>
    <m/>
    <m/>
    <m/>
    <m/>
    <m/>
  </r>
  <r>
    <n v="6034"/>
    <n v="56606"/>
    <d v="2001-10-26T00:00:00"/>
    <n v="24"/>
    <x v="1"/>
    <x v="0"/>
    <d v="2024-08-29T00:00:00"/>
    <n v="1.5917808219178082"/>
    <x v="119"/>
    <x v="1"/>
    <x v="8"/>
    <x v="1"/>
    <n v="8.4700000000000006"/>
    <m/>
    <m/>
    <m/>
    <m/>
    <m/>
    <m/>
    <x v="4"/>
    <n v="1"/>
    <n v="6"/>
    <m/>
    <m/>
    <m/>
    <m/>
    <m/>
    <m/>
    <m/>
    <m/>
    <m/>
    <m/>
    <m/>
    <m/>
    <m/>
    <m/>
  </r>
  <r>
    <n v="6035"/>
    <n v="56607"/>
    <d v="2005-12-26T00:00:00"/>
    <n v="20"/>
    <x v="1"/>
    <x v="1"/>
    <d v="2024-05-29T00:00:00"/>
    <n v="1.0876712328767124"/>
    <x v="119"/>
    <x v="1"/>
    <x v="8"/>
    <x v="1"/>
    <n v="8.4700000000000006"/>
    <m/>
    <m/>
    <m/>
    <m/>
    <m/>
    <m/>
    <x v="4"/>
    <n v="3"/>
    <n v="7"/>
    <m/>
    <m/>
    <m/>
    <m/>
    <m/>
    <m/>
    <m/>
    <m/>
    <m/>
    <m/>
    <m/>
    <m/>
    <m/>
    <m/>
  </r>
  <r>
    <n v="6036"/>
    <n v="56608"/>
    <d v="2007-01-30T00:00:00"/>
    <n v="18"/>
    <x v="1"/>
    <x v="1"/>
    <d v="2024-11-29T00:00:00"/>
    <n v="1.3917808219178083"/>
    <x v="119"/>
    <x v="1"/>
    <x v="8"/>
    <x v="1"/>
    <n v="8.4700000000000006"/>
    <m/>
    <m/>
    <m/>
    <m/>
    <m/>
    <m/>
    <x v="1"/>
    <n v="3"/>
    <n v="6"/>
    <m/>
    <m/>
    <m/>
    <m/>
    <m/>
    <m/>
    <m/>
    <m/>
    <m/>
    <m/>
    <m/>
    <m/>
    <m/>
    <m/>
  </r>
  <r>
    <n v="6037"/>
    <n v="56609"/>
    <d v="2006-05-04T00:00:00"/>
    <n v="19"/>
    <x v="1"/>
    <x v="0"/>
    <d v="2024-08-10T00:00:00"/>
    <n v="1.3260273972602741"/>
    <x v="119"/>
    <x v="1"/>
    <x v="8"/>
    <x v="1"/>
    <n v="8.4700000000000006"/>
    <m/>
    <m/>
    <m/>
    <m/>
    <m/>
    <m/>
    <x v="1"/>
    <n v="4"/>
    <n v="7"/>
    <m/>
    <m/>
    <m/>
    <m/>
    <m/>
    <m/>
    <m/>
    <m/>
    <m/>
    <m/>
    <m/>
    <m/>
    <m/>
    <m/>
  </r>
  <r>
    <n v="6038"/>
    <n v="56610"/>
    <d v="2004-10-26T00:00:00"/>
    <n v="21"/>
    <x v="1"/>
    <x v="1"/>
    <d v="2024-09-03T00:00:00"/>
    <n v="1.0904109589041096"/>
    <x v="119"/>
    <x v="1"/>
    <x v="8"/>
    <x v="1"/>
    <n v="8.4700000000000006"/>
    <m/>
    <m/>
    <m/>
    <m/>
    <m/>
    <m/>
    <x v="2"/>
    <n v="1"/>
    <n v="6"/>
    <m/>
    <m/>
    <m/>
    <m/>
    <m/>
    <m/>
    <m/>
    <m/>
    <m/>
    <m/>
    <m/>
    <m/>
    <m/>
    <m/>
  </r>
  <r>
    <n v="6039"/>
    <n v="56612"/>
    <d v="2000-04-20T00:00:00"/>
    <n v="25"/>
    <x v="1"/>
    <x v="1"/>
    <d v="2024-11-28T00:00:00"/>
    <n v="1.6520547945205479"/>
    <x v="64"/>
    <x v="1"/>
    <x v="11"/>
    <x v="1"/>
    <n v="17"/>
    <m/>
    <m/>
    <m/>
    <m/>
    <m/>
    <m/>
    <x v="4"/>
    <n v="2"/>
    <n v="7"/>
    <m/>
    <m/>
    <m/>
    <m/>
    <m/>
    <m/>
    <m/>
    <m/>
    <m/>
    <m/>
    <m/>
    <m/>
    <m/>
    <m/>
  </r>
  <r>
    <n v="6040"/>
    <n v="56613"/>
    <d v="1994-10-15T00:00:00"/>
    <n v="31"/>
    <x v="1"/>
    <x v="0"/>
    <d v="2024-05-07T00:00:00"/>
    <n v="1.2328767123287672"/>
    <x v="64"/>
    <x v="1"/>
    <x v="11"/>
    <x v="1"/>
    <n v="17"/>
    <m/>
    <m/>
    <m/>
    <m/>
    <m/>
    <m/>
    <x v="4"/>
    <n v="2"/>
    <n v="5"/>
    <m/>
    <m/>
    <m/>
    <m/>
    <m/>
    <m/>
    <m/>
    <m/>
    <m/>
    <m/>
    <m/>
    <m/>
    <m/>
    <m/>
  </r>
  <r>
    <n v="6041"/>
    <n v="56614"/>
    <d v="1996-07-02T00:00:00"/>
    <n v="29"/>
    <x v="1"/>
    <x v="1"/>
    <d v="2024-10-07T00:00:00"/>
    <n v="1.095890410958904"/>
    <x v="64"/>
    <x v="1"/>
    <x v="3"/>
    <x v="1"/>
    <n v="8.4700000000000006"/>
    <m/>
    <m/>
    <m/>
    <m/>
    <m/>
    <m/>
    <x v="4"/>
    <n v="0"/>
    <n v="7"/>
    <m/>
    <m/>
    <m/>
    <m/>
    <m/>
    <m/>
    <m/>
    <m/>
    <m/>
    <m/>
    <m/>
    <m/>
    <m/>
    <m/>
  </r>
  <r>
    <n v="6042"/>
    <n v="56615"/>
    <d v="2006-06-13T00:00:00"/>
    <n v="19"/>
    <x v="1"/>
    <x v="0"/>
    <d v="2024-11-26T00:00:00"/>
    <n v="1.3698630136986301"/>
    <x v="64"/>
    <x v="1"/>
    <x v="8"/>
    <x v="1"/>
    <n v="8.4700000000000006"/>
    <m/>
    <m/>
    <m/>
    <m/>
    <m/>
    <m/>
    <x v="4"/>
    <n v="2"/>
    <n v="6"/>
    <m/>
    <m/>
    <m/>
    <m/>
    <m/>
    <m/>
    <m/>
    <m/>
    <m/>
    <m/>
    <m/>
    <m/>
    <m/>
    <m/>
  </r>
  <r>
    <n v="6043"/>
    <n v="56616"/>
    <d v="2003-09-01T00:00:00"/>
    <n v="23"/>
    <x v="0"/>
    <x v="1"/>
    <d v="2024-08-18T00:00:00"/>
    <n v="1.263013698630137"/>
    <x v="64"/>
    <x v="1"/>
    <x v="8"/>
    <x v="1"/>
    <n v="8.4700000000000006"/>
    <m/>
    <m/>
    <m/>
    <m/>
    <m/>
    <m/>
    <x v="2"/>
    <n v="1"/>
    <n v="6"/>
    <m/>
    <m/>
    <m/>
    <m/>
    <m/>
    <m/>
    <m/>
    <m/>
    <m/>
    <m/>
    <m/>
    <m/>
    <m/>
    <m/>
  </r>
  <r>
    <n v="6044"/>
    <n v="56617"/>
    <d v="2005-09-09T00:00:00"/>
    <n v="20"/>
    <x v="1"/>
    <x v="1"/>
    <d v="2024-09-26T00:00:00"/>
    <n v="1.178082191780822"/>
    <x v="64"/>
    <x v="1"/>
    <x v="8"/>
    <x v="1"/>
    <n v="8.4700000000000006"/>
    <m/>
    <m/>
    <m/>
    <m/>
    <m/>
    <m/>
    <x v="3"/>
    <n v="2"/>
    <n v="6"/>
    <m/>
    <m/>
    <m/>
    <m/>
    <m/>
    <m/>
    <m/>
    <m/>
    <m/>
    <m/>
    <m/>
    <m/>
    <m/>
    <m/>
  </r>
  <r>
    <n v="6045"/>
    <n v="56618"/>
    <d v="2001-02-10T00:00:00"/>
    <n v="24"/>
    <x v="1"/>
    <x v="1"/>
    <d v="2024-10-27T00:00:00"/>
    <n v="1.4958904109589042"/>
    <x v="64"/>
    <x v="1"/>
    <x v="8"/>
    <x v="1"/>
    <n v="8.4700000000000006"/>
    <m/>
    <m/>
    <m/>
    <m/>
    <m/>
    <m/>
    <x v="1"/>
    <n v="3"/>
    <n v="6"/>
    <m/>
    <m/>
    <m/>
    <m/>
    <m/>
    <m/>
    <m/>
    <m/>
    <m/>
    <m/>
    <m/>
    <m/>
    <m/>
    <m/>
  </r>
  <r>
    <n v="6046"/>
    <n v="56619"/>
    <d v="2002-08-21T00:00:00"/>
    <n v="23"/>
    <x v="1"/>
    <x v="1"/>
    <d v="2024-07-03T00:00:00"/>
    <n v="1.0986301369863014"/>
    <x v="64"/>
    <x v="1"/>
    <x v="8"/>
    <x v="1"/>
    <n v="8.4700000000000006"/>
    <m/>
    <m/>
    <m/>
    <m/>
    <m/>
    <m/>
    <x v="2"/>
    <n v="0"/>
    <n v="6"/>
    <m/>
    <m/>
    <m/>
    <m/>
    <m/>
    <m/>
    <m/>
    <m/>
    <m/>
    <m/>
    <m/>
    <m/>
    <m/>
    <m/>
  </r>
  <r>
    <n v="6047"/>
    <n v="56620"/>
    <d v="2004-04-01T00:00:00"/>
    <n v="22"/>
    <x v="1"/>
    <x v="1"/>
    <d v="2024-11-25T00:00:00"/>
    <n v="1.3397260273972602"/>
    <x v="64"/>
    <x v="1"/>
    <x v="8"/>
    <x v="1"/>
    <n v="8.4700000000000006"/>
    <m/>
    <m/>
    <m/>
    <m/>
    <m/>
    <m/>
    <x v="4"/>
    <n v="4"/>
    <n v="6"/>
    <m/>
    <m/>
    <m/>
    <m/>
    <m/>
    <m/>
    <m/>
    <m/>
    <m/>
    <m/>
    <m/>
    <m/>
    <m/>
    <m/>
  </r>
  <r>
    <n v="6048"/>
    <n v="56621"/>
    <d v="1994-01-10T00:00:00"/>
    <n v="31"/>
    <x v="1"/>
    <x v="1"/>
    <d v="2024-08-29T00:00:00"/>
    <n v="1.6383561643835616"/>
    <x v="65"/>
    <x v="1"/>
    <x v="3"/>
    <x v="1"/>
    <n v="8.4700000000000006"/>
    <m/>
    <m/>
    <m/>
    <m/>
    <m/>
    <m/>
    <x v="4"/>
    <n v="4"/>
    <n v="7"/>
    <m/>
    <m/>
    <m/>
    <m/>
    <m/>
    <m/>
    <m/>
    <m/>
    <m/>
    <m/>
    <m/>
    <m/>
    <m/>
    <m/>
  </r>
  <r>
    <n v="6049"/>
    <n v="56622"/>
    <d v="2006-08-21T00:00:00"/>
    <n v="19"/>
    <x v="1"/>
    <x v="1"/>
    <d v="2024-05-12T00:00:00"/>
    <n v="1.8794520547945206"/>
    <x v="65"/>
    <x v="1"/>
    <x v="8"/>
    <x v="1"/>
    <n v="8.4700000000000006"/>
    <m/>
    <m/>
    <m/>
    <m/>
    <m/>
    <m/>
    <x v="2"/>
    <n v="4"/>
    <n v="5"/>
    <m/>
    <m/>
    <m/>
    <m/>
    <m/>
    <m/>
    <m/>
    <m/>
    <m/>
    <m/>
    <m/>
    <m/>
    <m/>
    <m/>
  </r>
  <r>
    <n v="6050"/>
    <n v="56623"/>
    <d v="2002-10-09T00:00:00"/>
    <n v="23"/>
    <x v="0"/>
    <x v="1"/>
    <d v="2024-02-14T00:00:00"/>
    <n v="1.5315068493150685"/>
    <x v="65"/>
    <x v="1"/>
    <x v="8"/>
    <x v="1"/>
    <n v="8.4700000000000006"/>
    <m/>
    <m/>
    <m/>
    <m/>
    <m/>
    <m/>
    <x v="3"/>
    <n v="3"/>
    <n v="5"/>
    <m/>
    <m/>
    <m/>
    <m/>
    <m/>
    <m/>
    <m/>
    <m/>
    <m/>
    <m/>
    <m/>
    <m/>
    <m/>
    <m/>
  </r>
  <r>
    <n v="6051"/>
    <n v="56624"/>
    <d v="2005-01-17T00:00:00"/>
    <n v="20"/>
    <x v="1"/>
    <x v="0"/>
    <d v="2024-06-20T00:00:00"/>
    <n v="1.0684931506849316"/>
    <x v="65"/>
    <x v="1"/>
    <x v="8"/>
    <x v="1"/>
    <n v="8.4700000000000006"/>
    <m/>
    <m/>
    <m/>
    <m/>
    <m/>
    <m/>
    <x v="4"/>
    <n v="2"/>
    <n v="6"/>
    <m/>
    <m/>
    <m/>
    <m/>
    <m/>
    <m/>
    <m/>
    <m/>
    <m/>
    <m/>
    <m/>
    <m/>
    <m/>
    <m/>
  </r>
  <r>
    <n v="6052"/>
    <n v="56625"/>
    <d v="1996-06-19T00:00:00"/>
    <n v="29"/>
    <x v="1"/>
    <x v="0"/>
    <d v="2024-12-06T00:00:00"/>
    <n v="1.6821917808219178"/>
    <x v="65"/>
    <x v="1"/>
    <x v="8"/>
    <x v="1"/>
    <n v="8.4700000000000006"/>
    <m/>
    <m/>
    <m/>
    <m/>
    <m/>
    <m/>
    <x v="2"/>
    <n v="2"/>
    <n v="6"/>
    <m/>
    <m/>
    <m/>
    <m/>
    <m/>
    <m/>
    <m/>
    <m/>
    <m/>
    <m/>
    <m/>
    <m/>
    <m/>
    <m/>
  </r>
  <r>
    <n v="6053"/>
    <n v="56626"/>
    <d v="2002-06-06T00:00:00"/>
    <n v="23"/>
    <x v="1"/>
    <x v="0"/>
    <d v="2024-04-26T00:00:00"/>
    <n v="1.2465753424657535"/>
    <x v="65"/>
    <x v="1"/>
    <x v="8"/>
    <x v="1"/>
    <n v="8.4700000000000006"/>
    <m/>
    <m/>
    <m/>
    <m/>
    <m/>
    <m/>
    <x v="4"/>
    <n v="4"/>
    <n v="6"/>
    <m/>
    <m/>
    <m/>
    <m/>
    <m/>
    <m/>
    <m/>
    <m/>
    <m/>
    <m/>
    <m/>
    <m/>
    <m/>
    <m/>
  </r>
  <r>
    <n v="6054"/>
    <n v="56627"/>
    <d v="2005-04-22T00:00:00"/>
    <n v="20"/>
    <x v="1"/>
    <x v="1"/>
    <d v="2024-10-02T00:00:00"/>
    <n v="1.6027397260273972"/>
    <x v="65"/>
    <x v="1"/>
    <x v="8"/>
    <x v="1"/>
    <n v="8.4700000000000006"/>
    <m/>
    <m/>
    <m/>
    <m/>
    <m/>
    <m/>
    <x v="2"/>
    <n v="1"/>
    <n v="6"/>
    <m/>
    <m/>
    <m/>
    <m/>
    <m/>
    <m/>
    <m/>
    <m/>
    <m/>
    <m/>
    <m/>
    <m/>
    <m/>
    <m/>
  </r>
  <r>
    <n v="6055"/>
    <n v="56628"/>
    <d v="2002-10-17T00:00:00"/>
    <n v="23"/>
    <x v="0"/>
    <x v="0"/>
    <d v="2024-05-25T00:00:00"/>
    <n v="1.0547945205479452"/>
    <x v="65"/>
    <x v="1"/>
    <x v="8"/>
    <x v="1"/>
    <n v="8.4700000000000006"/>
    <m/>
    <m/>
    <m/>
    <m/>
    <m/>
    <m/>
    <x v="2"/>
    <n v="1"/>
    <n v="3"/>
    <m/>
    <m/>
    <m/>
    <m/>
    <m/>
    <m/>
    <m/>
    <m/>
    <m/>
    <m/>
    <m/>
    <m/>
    <m/>
    <m/>
  </r>
  <r>
    <n v="6056"/>
    <n v="56629"/>
    <d v="2006-07-14T00:00:00"/>
    <n v="19"/>
    <x v="1"/>
    <x v="1"/>
    <d v="2024-12-11T00:00:00"/>
    <n v="1.7013698630136986"/>
    <x v="65"/>
    <x v="1"/>
    <x v="8"/>
    <x v="1"/>
    <n v="8.4700000000000006"/>
    <m/>
    <m/>
    <m/>
    <m/>
    <m/>
    <m/>
    <x v="1"/>
    <n v="0"/>
    <n v="5"/>
    <m/>
    <m/>
    <m/>
    <m/>
    <m/>
    <m/>
    <m/>
    <m/>
    <m/>
    <m/>
    <m/>
    <m/>
    <m/>
    <m/>
  </r>
  <r>
    <n v="6057"/>
    <n v="56630"/>
    <d v="2002-07-07T00:00:00"/>
    <n v="23"/>
    <x v="1"/>
    <x v="1"/>
    <d v="2024-04-19T00:00:00"/>
    <n v="1.1369863013698631"/>
    <x v="65"/>
    <x v="1"/>
    <x v="8"/>
    <x v="1"/>
    <n v="8.4700000000000006"/>
    <m/>
    <m/>
    <m/>
    <m/>
    <m/>
    <m/>
    <x v="2"/>
    <n v="1"/>
    <n v="7"/>
    <m/>
    <m/>
    <m/>
    <m/>
    <m/>
    <m/>
    <m/>
    <m/>
    <m/>
    <m/>
    <m/>
    <m/>
    <m/>
    <m/>
  </r>
  <r>
    <n v="6058"/>
    <n v="56631"/>
    <d v="1994-08-07T00:00:00"/>
    <n v="31"/>
    <x v="0"/>
    <x v="1"/>
    <d v="2024-11-11T00:00:00"/>
    <n v="1.7095890410958905"/>
    <x v="65"/>
    <x v="1"/>
    <x v="8"/>
    <x v="1"/>
    <n v="8.4700000000000006"/>
    <m/>
    <m/>
    <m/>
    <m/>
    <m/>
    <m/>
    <x v="4"/>
    <n v="2"/>
    <n v="3"/>
    <m/>
    <m/>
    <m/>
    <m/>
    <m/>
    <m/>
    <m/>
    <m/>
    <m/>
    <m/>
    <m/>
    <m/>
    <m/>
    <m/>
  </r>
  <r>
    <n v="6059"/>
    <n v="56632"/>
    <d v="2003-08-20T00:00:00"/>
    <n v="22"/>
    <x v="1"/>
    <x v="0"/>
    <d v="2024-04-16T00:00:00"/>
    <n v="1.263013698630137"/>
    <x v="65"/>
    <x v="1"/>
    <x v="8"/>
    <x v="1"/>
    <n v="8.4700000000000006"/>
    <m/>
    <m/>
    <m/>
    <m/>
    <m/>
    <m/>
    <x v="2"/>
    <n v="1"/>
    <n v="6"/>
    <m/>
    <m/>
    <m/>
    <m/>
    <m/>
    <m/>
    <m/>
    <m/>
    <m/>
    <m/>
    <m/>
    <m/>
    <m/>
    <m/>
  </r>
  <r>
    <n v="6060"/>
    <n v="56633"/>
    <d v="2003-06-12T00:00:00"/>
    <n v="22"/>
    <x v="0"/>
    <x v="1"/>
    <d v="2024-09-26T00:00:00"/>
    <n v="1.6657534246575343"/>
    <x v="66"/>
    <x v="1"/>
    <x v="11"/>
    <x v="1"/>
    <n v="17"/>
    <m/>
    <m/>
    <m/>
    <m/>
    <m/>
    <m/>
    <x v="3"/>
    <n v="2"/>
    <n v="4"/>
    <m/>
    <m/>
    <m/>
    <m/>
    <m/>
    <m/>
    <m/>
    <m/>
    <m/>
    <m/>
    <m/>
    <m/>
    <m/>
    <m/>
  </r>
  <r>
    <n v="6061"/>
    <n v="56634"/>
    <d v="1996-11-16T00:00:00"/>
    <n v="29"/>
    <x v="0"/>
    <x v="1"/>
    <d v="2024-05-02T00:00:00"/>
    <n v="1.2465753424657535"/>
    <x v="66"/>
    <x v="1"/>
    <x v="11"/>
    <x v="1"/>
    <n v="17"/>
    <m/>
    <m/>
    <m/>
    <m/>
    <m/>
    <m/>
    <x v="4"/>
    <n v="4"/>
    <n v="6"/>
    <m/>
    <m/>
    <m/>
    <m/>
    <m/>
    <m/>
    <m/>
    <m/>
    <m/>
    <m/>
    <m/>
    <m/>
    <m/>
    <m/>
  </r>
  <r>
    <n v="6062"/>
    <n v="56635"/>
    <d v="2002-10-05T00:00:00"/>
    <n v="23"/>
    <x v="1"/>
    <x v="1"/>
    <d v="2024-10-02T00:00:00"/>
    <n v="1.2986301369863014"/>
    <x v="66"/>
    <x v="1"/>
    <x v="11"/>
    <x v="1"/>
    <n v="17"/>
    <m/>
    <m/>
    <m/>
    <m/>
    <m/>
    <m/>
    <x v="4"/>
    <n v="0"/>
    <n v="4"/>
    <m/>
    <m/>
    <m/>
    <m/>
    <m/>
    <m/>
    <m/>
    <m/>
    <m/>
    <m/>
    <m/>
    <m/>
    <m/>
    <m/>
  </r>
  <r>
    <n v="6063"/>
    <n v="56636"/>
    <d v="2004-12-22T00:00:00"/>
    <n v="21"/>
    <x v="0"/>
    <x v="1"/>
    <d v="2024-09-13T00:00:00"/>
    <n v="1.7671232876712328"/>
    <x v="66"/>
    <x v="1"/>
    <x v="6"/>
    <x v="1"/>
    <n v="23.78"/>
    <m/>
    <m/>
    <m/>
    <m/>
    <m/>
    <m/>
    <x v="4"/>
    <n v="4"/>
    <n v="6"/>
    <m/>
    <m/>
    <m/>
    <m/>
    <m/>
    <m/>
    <m/>
    <m/>
    <m/>
    <m/>
    <m/>
    <m/>
    <m/>
    <m/>
  </r>
  <r>
    <n v="6064"/>
    <n v="56637"/>
    <d v="2002-12-20T00:00:00"/>
    <n v="23"/>
    <x v="0"/>
    <x v="1"/>
    <d v="2024-03-26T00:00:00"/>
    <n v="1.6191780821917807"/>
    <x v="66"/>
    <x v="1"/>
    <x v="8"/>
    <x v="1"/>
    <n v="8.4700000000000006"/>
    <m/>
    <m/>
    <m/>
    <m/>
    <m/>
    <m/>
    <x v="1"/>
    <n v="4"/>
    <n v="5"/>
    <m/>
    <m/>
    <m/>
    <m/>
    <m/>
    <m/>
    <m/>
    <m/>
    <m/>
    <m/>
    <m/>
    <m/>
    <m/>
    <m/>
  </r>
  <r>
    <n v="6065"/>
    <n v="56638"/>
    <d v="2003-05-19T00:00:00"/>
    <n v="22"/>
    <x v="0"/>
    <x v="1"/>
    <d v="2024-05-19T00:00:00"/>
    <n v="1.2246575342465753"/>
    <x v="66"/>
    <x v="1"/>
    <x v="8"/>
    <x v="1"/>
    <n v="8.4700000000000006"/>
    <m/>
    <m/>
    <m/>
    <m/>
    <m/>
    <m/>
    <x v="2"/>
    <n v="2"/>
    <n v="5"/>
    <m/>
    <m/>
    <m/>
    <m/>
    <m/>
    <m/>
    <m/>
    <m/>
    <m/>
    <m/>
    <m/>
    <m/>
    <m/>
    <m/>
  </r>
  <r>
    <n v="6066"/>
    <n v="56639"/>
    <d v="2004-11-11T00:00:00"/>
    <n v="21"/>
    <x v="1"/>
    <x v="1"/>
    <d v="2024-10-10T00:00:00"/>
    <n v="1.7726027397260273"/>
    <x v="66"/>
    <x v="1"/>
    <x v="8"/>
    <x v="1"/>
    <n v="8.4700000000000006"/>
    <m/>
    <m/>
    <m/>
    <m/>
    <m/>
    <m/>
    <x v="1"/>
    <n v="4"/>
    <n v="7"/>
    <m/>
    <m/>
    <m/>
    <m/>
    <m/>
    <m/>
    <m/>
    <m/>
    <m/>
    <m/>
    <m/>
    <m/>
    <m/>
    <m/>
  </r>
  <r>
    <n v="6067"/>
    <n v="56640"/>
    <d v="1997-09-22T00:00:00"/>
    <n v="28"/>
    <x v="1"/>
    <x v="1"/>
    <d v="2024-03-24T00:00:00"/>
    <n v="1.452054794520548"/>
    <x v="66"/>
    <x v="1"/>
    <x v="8"/>
    <x v="1"/>
    <n v="8.4700000000000006"/>
    <m/>
    <m/>
    <m/>
    <m/>
    <m/>
    <m/>
    <x v="3"/>
    <n v="4"/>
    <n v="5"/>
    <m/>
    <m/>
    <m/>
    <m/>
    <m/>
    <m/>
    <m/>
    <m/>
    <m/>
    <m/>
    <m/>
    <m/>
    <m/>
    <m/>
  </r>
  <r>
    <n v="6068"/>
    <n v="56641"/>
    <d v="2000-11-21T00:00:00"/>
    <n v="25"/>
    <x v="1"/>
    <x v="0"/>
    <d v="2024-07-19T00:00:00"/>
    <n v="1.2219178082191782"/>
    <x v="66"/>
    <x v="1"/>
    <x v="8"/>
    <x v="1"/>
    <n v="8.4700000000000006"/>
    <m/>
    <m/>
    <m/>
    <m/>
    <m/>
    <m/>
    <x v="3"/>
    <n v="2"/>
    <n v="4"/>
    <m/>
    <m/>
    <m/>
    <m/>
    <m/>
    <m/>
    <m/>
    <m/>
    <m/>
    <m/>
    <m/>
    <m/>
    <m/>
    <m/>
  </r>
  <r>
    <n v="6069"/>
    <n v="56642"/>
    <d v="2007-05-27T00:00:00"/>
    <n v="18"/>
    <x v="1"/>
    <x v="1"/>
    <d v="2024-10-11T00:00:00"/>
    <n v="1.6383561643835616"/>
    <x v="66"/>
    <x v="1"/>
    <x v="8"/>
    <x v="1"/>
    <n v="8.4700000000000006"/>
    <m/>
    <m/>
    <m/>
    <m/>
    <m/>
    <m/>
    <x v="3"/>
    <n v="1"/>
    <n v="7"/>
    <m/>
    <m/>
    <m/>
    <m/>
    <m/>
    <m/>
    <m/>
    <m/>
    <m/>
    <m/>
    <m/>
    <m/>
    <m/>
    <m/>
  </r>
  <r>
    <n v="6070"/>
    <n v="56643"/>
    <d v="2005-09-13T00:00:00"/>
    <n v="20"/>
    <x v="1"/>
    <x v="0"/>
    <d v="2024-05-12T00:00:00"/>
    <n v="1.8191780821917809"/>
    <x v="66"/>
    <x v="1"/>
    <x v="8"/>
    <x v="1"/>
    <n v="8.4700000000000006"/>
    <m/>
    <m/>
    <m/>
    <m/>
    <m/>
    <m/>
    <x v="2"/>
    <n v="3"/>
    <n v="6"/>
    <m/>
    <m/>
    <m/>
    <m/>
    <m/>
    <m/>
    <m/>
    <m/>
    <m/>
    <m/>
    <m/>
    <m/>
    <m/>
    <m/>
  </r>
  <r>
    <n v="6071"/>
    <n v="56644"/>
    <d v="2004-03-07T00:00:00"/>
    <n v="21"/>
    <x v="1"/>
    <x v="1"/>
    <d v="2024-03-07T00:00:00"/>
    <n v="1.7780821917808218"/>
    <x v="66"/>
    <x v="1"/>
    <x v="8"/>
    <x v="1"/>
    <n v="8.4700000000000006"/>
    <m/>
    <m/>
    <m/>
    <m/>
    <m/>
    <m/>
    <x v="1"/>
    <n v="2"/>
    <n v="5"/>
    <m/>
    <m/>
    <m/>
    <m/>
    <m/>
    <m/>
    <m/>
    <m/>
    <m/>
    <m/>
    <m/>
    <m/>
    <m/>
    <m/>
  </r>
  <r>
    <n v="6072"/>
    <n v="56645"/>
    <d v="2005-02-01T00:00:00"/>
    <n v="21"/>
    <x v="1"/>
    <x v="1"/>
    <d v="2024-03-22T00:00:00"/>
    <n v="1.4493150684931506"/>
    <x v="66"/>
    <x v="1"/>
    <x v="8"/>
    <x v="1"/>
    <n v="8.4700000000000006"/>
    <m/>
    <m/>
    <m/>
    <m/>
    <m/>
    <m/>
    <x v="1"/>
    <n v="2"/>
    <n v="7"/>
    <m/>
    <m/>
    <m/>
    <m/>
    <m/>
    <m/>
    <m/>
    <m/>
    <m/>
    <m/>
    <m/>
    <m/>
    <m/>
    <m/>
  </r>
  <r>
    <n v="6073"/>
    <n v="56646"/>
    <d v="1993-03-28T00:00:00"/>
    <n v="32"/>
    <x v="1"/>
    <x v="1"/>
    <d v="2024-07-20T00:00:00"/>
    <n v="1.2328767123287672"/>
    <x v="66"/>
    <x v="1"/>
    <x v="8"/>
    <x v="1"/>
    <n v="8.4700000000000006"/>
    <m/>
    <m/>
    <m/>
    <m/>
    <m/>
    <m/>
    <x v="1"/>
    <n v="2"/>
    <n v="5"/>
    <m/>
    <m/>
    <m/>
    <m/>
    <m/>
    <m/>
    <m/>
    <m/>
    <m/>
    <m/>
    <m/>
    <m/>
    <m/>
    <m/>
  </r>
  <r>
    <n v="6074"/>
    <n v="56647"/>
    <d v="2005-01-10T00:00:00"/>
    <n v="20"/>
    <x v="1"/>
    <x v="0"/>
    <d v="2024-10-07T00:00:00"/>
    <n v="1.0520547945205478"/>
    <x v="66"/>
    <x v="1"/>
    <x v="8"/>
    <x v="1"/>
    <n v="8.4700000000000006"/>
    <m/>
    <m/>
    <m/>
    <m/>
    <m/>
    <m/>
    <x v="1"/>
    <n v="0"/>
    <n v="5"/>
    <m/>
    <m/>
    <m/>
    <m/>
    <m/>
    <m/>
    <m/>
    <m/>
    <m/>
    <m/>
    <m/>
    <m/>
    <m/>
    <m/>
  </r>
  <r>
    <n v="6075"/>
    <n v="56648"/>
    <d v="2001-09-01T00:00:00"/>
    <n v="25"/>
    <x v="1"/>
    <x v="0"/>
    <d v="2024-12-12T00:00:00"/>
    <n v="1.2931506849315069"/>
    <x v="66"/>
    <x v="1"/>
    <x v="8"/>
    <x v="1"/>
    <n v="8.4700000000000006"/>
    <m/>
    <m/>
    <m/>
    <m/>
    <m/>
    <m/>
    <x v="2"/>
    <n v="2"/>
    <n v="5"/>
    <m/>
    <m/>
    <m/>
    <m/>
    <m/>
    <m/>
    <m/>
    <m/>
    <m/>
    <m/>
    <m/>
    <m/>
    <m/>
    <m/>
  </r>
  <r>
    <n v="6076"/>
    <n v="56649"/>
    <d v="2000-11-01T00:00:00"/>
    <n v="26"/>
    <x v="0"/>
    <x v="1"/>
    <d v="2024-09-15T00:00:00"/>
    <n v="1.1972602739726028"/>
    <x v="68"/>
    <x v="1"/>
    <x v="11"/>
    <x v="1"/>
    <n v="17"/>
    <m/>
    <m/>
    <m/>
    <m/>
    <m/>
    <m/>
    <x v="1"/>
    <n v="4"/>
    <n v="5"/>
    <m/>
    <m/>
    <m/>
    <m/>
    <m/>
    <m/>
    <m/>
    <m/>
    <m/>
    <m/>
    <m/>
    <m/>
    <m/>
    <m/>
  </r>
  <r>
    <n v="6077"/>
    <n v="56650"/>
    <d v="1999-02-12T00:00:00"/>
    <n v="26"/>
    <x v="1"/>
    <x v="1"/>
    <d v="2024-10-20T00:00:00"/>
    <n v="1.1232876712328768"/>
    <x v="68"/>
    <x v="1"/>
    <x v="10"/>
    <x v="1"/>
    <n v="10.64"/>
    <m/>
    <m/>
    <m/>
    <m/>
    <m/>
    <m/>
    <x v="3"/>
    <n v="0"/>
    <n v="5"/>
    <m/>
    <m/>
    <m/>
    <m/>
    <m/>
    <m/>
    <m/>
    <m/>
    <m/>
    <m/>
    <m/>
    <m/>
    <m/>
    <m/>
  </r>
  <r>
    <n v="6078"/>
    <n v="56651"/>
    <d v="2002-01-21T00:00:00"/>
    <n v="23"/>
    <x v="1"/>
    <x v="1"/>
    <d v="2024-11-16T00:00:00"/>
    <n v="1.2684931506849315"/>
    <x v="68"/>
    <x v="1"/>
    <x v="9"/>
    <x v="1"/>
    <n v="14.07"/>
    <m/>
    <m/>
    <m/>
    <m/>
    <m/>
    <m/>
    <x v="2"/>
    <n v="0"/>
    <n v="5"/>
    <m/>
    <m/>
    <m/>
    <m/>
    <m/>
    <m/>
    <m/>
    <m/>
    <m/>
    <m/>
    <m/>
    <m/>
    <m/>
    <m/>
  </r>
  <r>
    <n v="6079"/>
    <n v="56652"/>
    <d v="2005-08-21T00:00:00"/>
    <n v="20"/>
    <x v="1"/>
    <x v="0"/>
    <d v="2024-09-24T00:00:00"/>
    <n v="1.3561643835616439"/>
    <x v="68"/>
    <x v="1"/>
    <x v="3"/>
    <x v="1"/>
    <n v="8.4700000000000006"/>
    <m/>
    <m/>
    <m/>
    <m/>
    <m/>
    <m/>
    <x v="3"/>
    <n v="1"/>
    <n v="5"/>
    <m/>
    <m/>
    <m/>
    <m/>
    <m/>
    <m/>
    <m/>
    <m/>
    <m/>
    <m/>
    <m/>
    <m/>
    <m/>
    <m/>
  </r>
  <r>
    <n v="6080"/>
    <n v="56654"/>
    <d v="1999-03-04T00:00:00"/>
    <n v="26"/>
    <x v="1"/>
    <x v="1"/>
    <d v="2024-08-23T00:00:00"/>
    <n v="1.2986301369863014"/>
    <x v="68"/>
    <x v="1"/>
    <x v="8"/>
    <x v="1"/>
    <n v="8.4700000000000006"/>
    <m/>
    <m/>
    <m/>
    <m/>
    <m/>
    <m/>
    <x v="2"/>
    <n v="1"/>
    <n v="6"/>
    <m/>
    <m/>
    <m/>
    <m/>
    <m/>
    <m/>
    <m/>
    <m/>
    <m/>
    <m/>
    <m/>
    <m/>
    <m/>
    <m/>
  </r>
  <r>
    <n v="6081"/>
    <n v="56655"/>
    <d v="2004-08-28T00:00:00"/>
    <n v="21"/>
    <x v="1"/>
    <x v="1"/>
    <d v="2024-09-13T00:00:00"/>
    <n v="1.3534246575342466"/>
    <x v="68"/>
    <x v="1"/>
    <x v="8"/>
    <x v="1"/>
    <n v="8.4700000000000006"/>
    <m/>
    <m/>
    <m/>
    <m/>
    <m/>
    <m/>
    <x v="1"/>
    <n v="4"/>
    <n v="6"/>
    <m/>
    <m/>
    <m/>
    <m/>
    <m/>
    <m/>
    <m/>
    <m/>
    <m/>
    <m/>
    <m/>
    <m/>
    <m/>
    <m/>
  </r>
  <r>
    <n v="6082"/>
    <n v="56656"/>
    <d v="2007-06-05T00:00:00"/>
    <n v="18"/>
    <x v="1"/>
    <x v="0"/>
    <d v="2024-08-24T00:00:00"/>
    <n v="1.3753424657534246"/>
    <x v="68"/>
    <x v="1"/>
    <x v="8"/>
    <x v="1"/>
    <n v="8.4700000000000006"/>
    <m/>
    <m/>
    <m/>
    <m/>
    <m/>
    <m/>
    <x v="4"/>
    <n v="2"/>
    <n v="6"/>
    <m/>
    <m/>
    <m/>
    <m/>
    <m/>
    <m/>
    <m/>
    <m/>
    <m/>
    <m/>
    <m/>
    <m/>
    <m/>
    <m/>
  </r>
  <r>
    <n v="6083"/>
    <n v="56657"/>
    <d v="2006-05-14T00:00:00"/>
    <n v="19"/>
    <x v="1"/>
    <x v="1"/>
    <d v="2024-08-16T00:00:00"/>
    <n v="1.4876712328767123"/>
    <x v="68"/>
    <x v="1"/>
    <x v="8"/>
    <x v="1"/>
    <n v="8.4700000000000006"/>
    <m/>
    <m/>
    <m/>
    <m/>
    <m/>
    <m/>
    <x v="4"/>
    <n v="0"/>
    <n v="6"/>
    <m/>
    <m/>
    <m/>
    <m/>
    <m/>
    <m/>
    <m/>
    <m/>
    <m/>
    <m/>
    <m/>
    <m/>
    <m/>
    <m/>
  </r>
  <r>
    <n v="6084"/>
    <n v="56658"/>
    <d v="1993-12-01T00:00:00"/>
    <n v="33"/>
    <x v="1"/>
    <x v="1"/>
    <d v="2024-07-06T00:00:00"/>
    <n v="1.1260273972602739"/>
    <x v="68"/>
    <x v="1"/>
    <x v="8"/>
    <x v="1"/>
    <n v="8.4700000000000006"/>
    <m/>
    <m/>
    <m/>
    <m/>
    <m/>
    <m/>
    <x v="1"/>
    <n v="1"/>
    <n v="6"/>
    <m/>
    <m/>
    <m/>
    <m/>
    <m/>
    <m/>
    <m/>
    <m/>
    <m/>
    <m/>
    <m/>
    <m/>
    <m/>
    <m/>
  </r>
  <r>
    <n v="6085"/>
    <n v="56659"/>
    <d v="2003-09-13T00:00:00"/>
    <n v="22"/>
    <x v="1"/>
    <x v="1"/>
    <d v="2024-11-15T00:00:00"/>
    <n v="1.5205479452054795"/>
    <x v="68"/>
    <x v="1"/>
    <x v="8"/>
    <x v="1"/>
    <n v="8.4700000000000006"/>
    <m/>
    <m/>
    <m/>
    <m/>
    <m/>
    <m/>
    <x v="2"/>
    <n v="2"/>
    <n v="7"/>
    <m/>
    <m/>
    <m/>
    <m/>
    <m/>
    <m/>
    <m/>
    <m/>
    <m/>
    <m/>
    <m/>
    <m/>
    <m/>
    <m/>
  </r>
  <r>
    <n v="6086"/>
    <n v="56660"/>
    <d v="1997-01-28T00:00:00"/>
    <n v="28"/>
    <x v="1"/>
    <x v="1"/>
    <d v="2024-06-24T00:00:00"/>
    <n v="1.5753424657534247"/>
    <x v="69"/>
    <x v="1"/>
    <x v="11"/>
    <x v="1"/>
    <n v="17"/>
    <m/>
    <m/>
    <m/>
    <m/>
    <m/>
    <m/>
    <x v="1"/>
    <n v="1"/>
    <n v="7"/>
    <m/>
    <m/>
    <m/>
    <m/>
    <m/>
    <m/>
    <m/>
    <m/>
    <m/>
    <m/>
    <m/>
    <m/>
    <m/>
    <m/>
  </r>
  <r>
    <n v="6087"/>
    <n v="56661"/>
    <d v="1999-04-01T00:00:00"/>
    <n v="27"/>
    <x v="0"/>
    <x v="0"/>
    <d v="2024-06-04T00:00:00"/>
    <n v="1.4575342465753425"/>
    <x v="69"/>
    <x v="1"/>
    <x v="11"/>
    <x v="1"/>
    <n v="17"/>
    <m/>
    <m/>
    <m/>
    <m/>
    <m/>
    <m/>
    <x v="4"/>
    <n v="2"/>
    <n v="5"/>
    <m/>
    <m/>
    <m/>
    <m/>
    <m/>
    <m/>
    <m/>
    <m/>
    <m/>
    <m/>
    <m/>
    <m/>
    <m/>
    <m/>
  </r>
  <r>
    <n v="6088"/>
    <n v="56662"/>
    <d v="2003-08-19T00:00:00"/>
    <n v="22"/>
    <x v="1"/>
    <x v="1"/>
    <d v="2024-07-17T00:00:00"/>
    <n v="1.5698630136986302"/>
    <x v="69"/>
    <x v="1"/>
    <x v="10"/>
    <x v="1"/>
    <n v="10.64"/>
    <m/>
    <m/>
    <m/>
    <m/>
    <m/>
    <m/>
    <x v="4"/>
    <n v="1"/>
    <n v="5"/>
    <m/>
    <m/>
    <m/>
    <m/>
    <m/>
    <m/>
    <m/>
    <m/>
    <m/>
    <m/>
    <m/>
    <m/>
    <m/>
    <m/>
  </r>
  <r>
    <n v="6089"/>
    <n v="56663"/>
    <d v="2006-08-10T00:00:00"/>
    <n v="19"/>
    <x v="1"/>
    <x v="1"/>
    <d v="2024-06-06T00:00:00"/>
    <n v="1.2191780821917808"/>
    <x v="69"/>
    <x v="1"/>
    <x v="3"/>
    <x v="1"/>
    <n v="8.4700000000000006"/>
    <m/>
    <m/>
    <m/>
    <m/>
    <m/>
    <m/>
    <x v="4"/>
    <n v="2"/>
    <n v="6"/>
    <m/>
    <m/>
    <m/>
    <m/>
    <m/>
    <m/>
    <m/>
    <m/>
    <m/>
    <m/>
    <m/>
    <m/>
    <m/>
    <m/>
  </r>
  <r>
    <n v="6090"/>
    <n v="56664"/>
    <d v="1997-09-24T00:00:00"/>
    <n v="28"/>
    <x v="1"/>
    <x v="1"/>
    <d v="2024-10-12T00:00:00"/>
    <n v="1.7068493150684931"/>
    <x v="69"/>
    <x v="1"/>
    <x v="8"/>
    <x v="1"/>
    <n v="8.4700000000000006"/>
    <m/>
    <m/>
    <m/>
    <m/>
    <m/>
    <m/>
    <x v="3"/>
    <n v="2"/>
    <n v="7"/>
    <m/>
    <m/>
    <m/>
    <m/>
    <m/>
    <m/>
    <m/>
    <m/>
    <m/>
    <m/>
    <m/>
    <m/>
    <m/>
    <m/>
  </r>
  <r>
    <n v="6091"/>
    <n v="56665"/>
    <d v="2004-03-27T00:00:00"/>
    <n v="21"/>
    <x v="1"/>
    <x v="0"/>
    <d v="2024-04-17T00:00:00"/>
    <n v="1.2986301369863014"/>
    <x v="69"/>
    <x v="1"/>
    <x v="8"/>
    <x v="1"/>
    <n v="8.4700000000000006"/>
    <m/>
    <m/>
    <m/>
    <m/>
    <m/>
    <m/>
    <x v="3"/>
    <n v="0"/>
    <n v="6"/>
    <m/>
    <m/>
    <m/>
    <m/>
    <m/>
    <m/>
    <m/>
    <m/>
    <m/>
    <m/>
    <m/>
    <m/>
    <m/>
    <m/>
  </r>
  <r>
    <n v="6092"/>
    <n v="56666"/>
    <d v="1998-06-17T00:00:00"/>
    <n v="27"/>
    <x v="1"/>
    <x v="1"/>
    <d v="2024-09-13T00:00:00"/>
    <n v="1.4301369863013698"/>
    <x v="69"/>
    <x v="1"/>
    <x v="8"/>
    <x v="1"/>
    <n v="8.4700000000000006"/>
    <m/>
    <m/>
    <m/>
    <m/>
    <m/>
    <m/>
    <x v="1"/>
    <n v="1"/>
    <n v="6"/>
    <m/>
    <m/>
    <m/>
    <m/>
    <m/>
    <m/>
    <m/>
    <m/>
    <m/>
    <m/>
    <m/>
    <m/>
    <m/>
    <m/>
  </r>
  <r>
    <n v="6093"/>
    <n v="56667"/>
    <d v="2006-08-03T00:00:00"/>
    <n v="19"/>
    <x v="1"/>
    <x v="0"/>
    <d v="2024-07-27T00:00:00"/>
    <n v="1.726027397260274"/>
    <x v="69"/>
    <x v="1"/>
    <x v="8"/>
    <x v="1"/>
    <n v="8.4700000000000006"/>
    <m/>
    <m/>
    <m/>
    <m/>
    <m/>
    <m/>
    <x v="1"/>
    <n v="2"/>
    <n v="5"/>
    <m/>
    <m/>
    <m/>
    <m/>
    <m/>
    <m/>
    <m/>
    <m/>
    <m/>
    <m/>
    <m/>
    <m/>
    <m/>
    <m/>
  </r>
  <r>
    <n v="6094"/>
    <n v="56669"/>
    <d v="2003-07-02T00:00:00"/>
    <n v="22"/>
    <x v="1"/>
    <x v="1"/>
    <d v="2024-04-10T00:00:00"/>
    <n v="1.0054794520547945"/>
    <x v="69"/>
    <x v="1"/>
    <x v="8"/>
    <x v="1"/>
    <n v="8.4700000000000006"/>
    <m/>
    <m/>
    <m/>
    <m/>
    <m/>
    <m/>
    <x v="1"/>
    <n v="2"/>
    <n v="6"/>
    <m/>
    <m/>
    <m/>
    <m/>
    <m/>
    <m/>
    <m/>
    <m/>
    <m/>
    <m/>
    <m/>
    <m/>
    <m/>
    <m/>
  </r>
  <r>
    <n v="6095"/>
    <n v="56670"/>
    <d v="1999-02-02T00:00:00"/>
    <n v="26"/>
    <x v="1"/>
    <x v="0"/>
    <d v="2024-12-29T00:00:00"/>
    <n v="1.4027397260273973"/>
    <x v="69"/>
    <x v="1"/>
    <x v="8"/>
    <x v="1"/>
    <n v="8.4700000000000006"/>
    <m/>
    <m/>
    <m/>
    <m/>
    <m/>
    <m/>
    <x v="2"/>
    <n v="4"/>
    <n v="5"/>
    <m/>
    <m/>
    <m/>
    <m/>
    <m/>
    <m/>
    <m/>
    <m/>
    <m/>
    <m/>
    <m/>
    <m/>
    <m/>
    <m/>
  </r>
  <r>
    <n v="6096"/>
    <n v="56671"/>
    <d v="2001-12-27T00:00:00"/>
    <n v="24"/>
    <x v="1"/>
    <x v="0"/>
    <d v="2024-08-06T00:00:00"/>
    <n v="1.4712328767123288"/>
    <x v="69"/>
    <x v="1"/>
    <x v="8"/>
    <x v="1"/>
    <n v="8.4700000000000006"/>
    <m/>
    <m/>
    <m/>
    <m/>
    <m/>
    <m/>
    <x v="3"/>
    <n v="1"/>
    <n v="7"/>
    <m/>
    <m/>
    <m/>
    <m/>
    <m/>
    <m/>
    <m/>
    <m/>
    <m/>
    <m/>
    <m/>
    <m/>
    <m/>
    <m/>
  </r>
  <r>
    <n v="6097"/>
    <n v="56672"/>
    <d v="2003-12-24T00:00:00"/>
    <n v="22"/>
    <x v="1"/>
    <x v="1"/>
    <d v="2024-07-12T00:00:00"/>
    <n v="1.021917808219178"/>
    <x v="69"/>
    <x v="1"/>
    <x v="8"/>
    <x v="1"/>
    <n v="8.4700000000000006"/>
    <m/>
    <m/>
    <m/>
    <m/>
    <m/>
    <m/>
    <x v="4"/>
    <n v="2"/>
    <n v="6"/>
    <m/>
    <m/>
    <m/>
    <m/>
    <m/>
    <m/>
    <m/>
    <m/>
    <m/>
    <m/>
    <m/>
    <m/>
    <m/>
    <m/>
  </r>
  <r>
    <n v="6098"/>
    <n v="56673"/>
    <d v="2007-12-23T00:00:00"/>
    <n v="18"/>
    <x v="1"/>
    <x v="1"/>
    <d v="2024-12-23T00:00:00"/>
    <n v="1.189041095890411"/>
    <x v="69"/>
    <x v="1"/>
    <x v="8"/>
    <x v="1"/>
    <n v="8.4700000000000006"/>
    <m/>
    <m/>
    <m/>
    <m/>
    <m/>
    <m/>
    <x v="3"/>
    <n v="4"/>
    <n v="7"/>
    <m/>
    <m/>
    <m/>
    <m/>
    <m/>
    <m/>
    <m/>
    <m/>
    <m/>
    <m/>
    <m/>
    <m/>
    <m/>
    <m/>
  </r>
  <r>
    <n v="6099"/>
    <n v="56674"/>
    <d v="2007-07-18T00:00:00"/>
    <n v="18"/>
    <x v="0"/>
    <x v="1"/>
    <d v="2024-10-23T00:00:00"/>
    <n v="1.0356164383561643"/>
    <x v="69"/>
    <x v="1"/>
    <x v="8"/>
    <x v="1"/>
    <n v="8.4700000000000006"/>
    <m/>
    <m/>
    <m/>
    <m/>
    <m/>
    <m/>
    <x v="2"/>
    <n v="1"/>
    <n v="4"/>
    <m/>
    <m/>
    <m/>
    <m/>
    <m/>
    <m/>
    <m/>
    <m/>
    <m/>
    <m/>
    <m/>
    <m/>
    <m/>
    <m/>
  </r>
  <r>
    <n v="6100"/>
    <n v="56675"/>
    <d v="2005-04-03T00:00:00"/>
    <n v="20"/>
    <x v="1"/>
    <x v="1"/>
    <d v="2024-12-18T00:00:00"/>
    <n v="1.0931506849315069"/>
    <x v="69"/>
    <x v="1"/>
    <x v="8"/>
    <x v="1"/>
    <n v="8.4700000000000006"/>
    <m/>
    <m/>
    <m/>
    <m/>
    <m/>
    <m/>
    <x v="4"/>
    <n v="2"/>
    <n v="7"/>
    <m/>
    <m/>
    <m/>
    <m/>
    <m/>
    <m/>
    <m/>
    <m/>
    <m/>
    <m/>
    <m/>
    <m/>
    <m/>
    <m/>
  </r>
  <r>
    <n v="6101"/>
    <n v="56676"/>
    <d v="2005-05-02T00:00:00"/>
    <n v="20"/>
    <x v="1"/>
    <x v="1"/>
    <d v="2024-11-27T00:00:00"/>
    <n v="1.5753424657534247"/>
    <x v="69"/>
    <x v="1"/>
    <x v="8"/>
    <x v="1"/>
    <n v="8.4700000000000006"/>
    <m/>
    <m/>
    <m/>
    <m/>
    <m/>
    <m/>
    <x v="2"/>
    <n v="3"/>
    <n v="5"/>
    <m/>
    <m/>
    <m/>
    <m/>
    <m/>
    <m/>
    <m/>
    <m/>
    <m/>
    <m/>
    <m/>
    <m/>
    <m/>
    <m/>
  </r>
  <r>
    <n v="6102"/>
    <n v="56677"/>
    <d v="2001-08-28T00:00:00"/>
    <n v="24"/>
    <x v="0"/>
    <x v="0"/>
    <d v="2024-06-04T00:00:00"/>
    <n v="1.189041095890411"/>
    <x v="135"/>
    <x v="1"/>
    <x v="11"/>
    <x v="1"/>
    <n v="17"/>
    <m/>
    <m/>
    <m/>
    <m/>
    <m/>
    <m/>
    <x v="1"/>
    <n v="2"/>
    <n v="5"/>
    <m/>
    <m/>
    <m/>
    <m/>
    <m/>
    <m/>
    <m/>
    <m/>
    <m/>
    <m/>
    <m/>
    <m/>
    <m/>
    <m/>
  </r>
  <r>
    <n v="6103"/>
    <n v="56678"/>
    <d v="2001-11-05T00:00:00"/>
    <n v="24"/>
    <x v="1"/>
    <x v="1"/>
    <d v="2024-10-23T00:00:00"/>
    <n v="1.736986301369863"/>
    <x v="135"/>
    <x v="1"/>
    <x v="11"/>
    <x v="1"/>
    <n v="17"/>
    <m/>
    <m/>
    <m/>
    <m/>
    <m/>
    <m/>
    <x v="2"/>
    <n v="4"/>
    <n v="7"/>
    <m/>
    <m/>
    <m/>
    <m/>
    <m/>
    <m/>
    <m/>
    <m/>
    <m/>
    <m/>
    <m/>
    <m/>
    <m/>
    <m/>
  </r>
  <r>
    <n v="6104"/>
    <n v="56679"/>
    <d v="1999-09-05T00:00:00"/>
    <n v="26"/>
    <x v="1"/>
    <x v="1"/>
    <d v="2024-04-06T00:00:00"/>
    <n v="1.4712328767123288"/>
    <x v="135"/>
    <x v="1"/>
    <x v="11"/>
    <x v="1"/>
    <n v="17"/>
    <m/>
    <m/>
    <m/>
    <m/>
    <m/>
    <m/>
    <x v="3"/>
    <n v="4"/>
    <n v="7"/>
    <m/>
    <m/>
    <m/>
    <m/>
    <m/>
    <m/>
    <m/>
    <m/>
    <m/>
    <m/>
    <m/>
    <m/>
    <m/>
    <m/>
  </r>
  <r>
    <n v="6105"/>
    <n v="56680"/>
    <d v="2005-10-02T00:00:00"/>
    <n v="20"/>
    <x v="0"/>
    <x v="1"/>
    <d v="2024-07-12T00:00:00"/>
    <n v="1.3917808219178083"/>
    <x v="135"/>
    <x v="1"/>
    <x v="1"/>
    <x v="1"/>
    <n v="16.37"/>
    <m/>
    <m/>
    <m/>
    <m/>
    <m/>
    <m/>
    <x v="4"/>
    <n v="1"/>
    <n v="4"/>
    <m/>
    <m/>
    <m/>
    <m/>
    <m/>
    <m/>
    <m/>
    <m/>
    <m/>
    <m/>
    <m/>
    <m/>
    <m/>
    <m/>
  </r>
  <r>
    <n v="6106"/>
    <n v="56681"/>
    <d v="2003-09-30T00:00:00"/>
    <n v="22"/>
    <x v="0"/>
    <x v="1"/>
    <d v="2024-08-10T00:00:00"/>
    <n v="1.5123287671232877"/>
    <x v="135"/>
    <x v="1"/>
    <x v="9"/>
    <x v="1"/>
    <n v="14.07"/>
    <m/>
    <m/>
    <m/>
    <m/>
    <m/>
    <m/>
    <x v="4"/>
    <n v="1"/>
    <n v="4"/>
    <m/>
    <m/>
    <m/>
    <m/>
    <m/>
    <m/>
    <m/>
    <m/>
    <m/>
    <m/>
    <m/>
    <m/>
    <m/>
    <m/>
  </r>
  <r>
    <n v="6107"/>
    <n v="56682"/>
    <d v="2004-02-02T00:00:00"/>
    <n v="21"/>
    <x v="1"/>
    <x v="1"/>
    <d v="2024-06-27T00:00:00"/>
    <n v="1.3178082191780822"/>
    <x v="135"/>
    <x v="1"/>
    <x v="3"/>
    <x v="1"/>
    <n v="8.4700000000000006"/>
    <m/>
    <m/>
    <m/>
    <m/>
    <m/>
    <m/>
    <x v="1"/>
    <n v="3"/>
    <n v="5"/>
    <m/>
    <m/>
    <m/>
    <m/>
    <m/>
    <m/>
    <m/>
    <m/>
    <m/>
    <m/>
    <m/>
    <m/>
    <m/>
    <m/>
  </r>
  <r>
    <n v="6108"/>
    <n v="56683"/>
    <d v="1999-11-29T00:00:00"/>
    <n v="26"/>
    <x v="1"/>
    <x v="0"/>
    <d v="2024-09-06T00:00:00"/>
    <n v="1.1424657534246576"/>
    <x v="135"/>
    <x v="1"/>
    <x v="3"/>
    <x v="1"/>
    <n v="8.4700000000000006"/>
    <m/>
    <m/>
    <m/>
    <m/>
    <m/>
    <m/>
    <x v="4"/>
    <n v="2"/>
    <n v="6"/>
    <m/>
    <m/>
    <m/>
    <m/>
    <m/>
    <m/>
    <m/>
    <m/>
    <m/>
    <m/>
    <m/>
    <m/>
    <m/>
    <m/>
  </r>
  <r>
    <n v="6109"/>
    <n v="56684"/>
    <d v="2002-01-13T00:00:00"/>
    <n v="23"/>
    <x v="1"/>
    <x v="0"/>
    <d v="2024-11-09T00:00:00"/>
    <n v="1.4"/>
    <x v="135"/>
    <x v="1"/>
    <x v="8"/>
    <x v="1"/>
    <n v="8.4700000000000006"/>
    <m/>
    <m/>
    <m/>
    <m/>
    <m/>
    <m/>
    <x v="2"/>
    <n v="1"/>
    <n v="6"/>
    <m/>
    <m/>
    <m/>
    <m/>
    <m/>
    <m/>
    <m/>
    <m/>
    <m/>
    <m/>
    <m/>
    <m/>
    <m/>
    <m/>
  </r>
  <r>
    <n v="6110"/>
    <n v="56685"/>
    <d v="1998-05-19T00:00:00"/>
    <n v="27"/>
    <x v="1"/>
    <x v="1"/>
    <d v="2024-08-07T00:00:00"/>
    <n v="1.1013698630136985"/>
    <x v="135"/>
    <x v="1"/>
    <x v="8"/>
    <x v="1"/>
    <n v="8.4700000000000006"/>
    <m/>
    <m/>
    <m/>
    <m/>
    <m/>
    <m/>
    <x v="2"/>
    <n v="3"/>
    <n v="6"/>
    <m/>
    <m/>
    <m/>
    <m/>
    <m/>
    <m/>
    <m/>
    <m/>
    <m/>
    <m/>
    <m/>
    <m/>
    <m/>
    <m/>
  </r>
  <r>
    <n v="6111"/>
    <n v="56686"/>
    <d v="1997-10-07T00:00:00"/>
    <n v="28"/>
    <x v="1"/>
    <x v="1"/>
    <d v="2024-11-24T00:00:00"/>
    <n v="1.0794520547945206"/>
    <x v="135"/>
    <x v="1"/>
    <x v="8"/>
    <x v="1"/>
    <n v="8.4700000000000006"/>
    <m/>
    <m/>
    <m/>
    <m/>
    <m/>
    <m/>
    <x v="3"/>
    <n v="2"/>
    <n v="5"/>
    <m/>
    <m/>
    <m/>
    <m/>
    <m/>
    <m/>
    <m/>
    <m/>
    <m/>
    <m/>
    <m/>
    <m/>
    <m/>
    <m/>
  </r>
  <r>
    <n v="6112"/>
    <n v="56687"/>
    <d v="1992-05-14T00:00:00"/>
    <n v="33"/>
    <x v="1"/>
    <x v="1"/>
    <d v="2024-12-02T00:00:00"/>
    <n v="1.3671232876712329"/>
    <x v="135"/>
    <x v="1"/>
    <x v="8"/>
    <x v="1"/>
    <n v="8.4700000000000006"/>
    <m/>
    <m/>
    <m/>
    <m/>
    <m/>
    <m/>
    <x v="2"/>
    <n v="2"/>
    <n v="7"/>
    <m/>
    <m/>
    <m/>
    <m/>
    <m/>
    <m/>
    <m/>
    <m/>
    <m/>
    <m/>
    <m/>
    <m/>
    <m/>
    <m/>
  </r>
  <r>
    <n v="6113"/>
    <n v="56688"/>
    <d v="2003-03-01T00:00:00"/>
    <n v="23"/>
    <x v="1"/>
    <x v="1"/>
    <d v="2024-08-19T00:00:00"/>
    <n v="1.3315068493150686"/>
    <x v="135"/>
    <x v="1"/>
    <x v="8"/>
    <x v="1"/>
    <n v="8.4700000000000006"/>
    <m/>
    <m/>
    <m/>
    <m/>
    <m/>
    <m/>
    <x v="1"/>
    <n v="0"/>
    <n v="6"/>
    <m/>
    <m/>
    <m/>
    <m/>
    <m/>
    <m/>
    <m/>
    <m/>
    <m/>
    <m/>
    <m/>
    <m/>
    <m/>
    <m/>
  </r>
  <r>
    <n v="6114"/>
    <n v="56689"/>
    <d v="2003-09-10T00:00:00"/>
    <n v="22"/>
    <x v="1"/>
    <x v="1"/>
    <d v="2024-09-01T00:00:00"/>
    <n v="1.6794520547945206"/>
    <x v="135"/>
    <x v="1"/>
    <x v="8"/>
    <x v="1"/>
    <n v="8.4700000000000006"/>
    <m/>
    <m/>
    <m/>
    <m/>
    <m/>
    <m/>
    <x v="2"/>
    <n v="2"/>
    <n v="5"/>
    <m/>
    <m/>
    <m/>
    <m/>
    <m/>
    <m/>
    <m/>
    <m/>
    <m/>
    <m/>
    <m/>
    <m/>
    <m/>
    <m/>
  </r>
  <r>
    <n v="6115"/>
    <n v="56690"/>
    <d v="1998-01-11T00:00:00"/>
    <n v="27"/>
    <x v="1"/>
    <x v="0"/>
    <d v="2024-04-27T00:00:00"/>
    <n v="1.5342465753424657"/>
    <x v="135"/>
    <x v="1"/>
    <x v="8"/>
    <x v="1"/>
    <n v="8.4700000000000006"/>
    <m/>
    <m/>
    <m/>
    <m/>
    <m/>
    <m/>
    <x v="1"/>
    <n v="2"/>
    <n v="6"/>
    <m/>
    <m/>
    <m/>
    <m/>
    <m/>
    <m/>
    <m/>
    <m/>
    <m/>
    <m/>
    <m/>
    <m/>
    <m/>
    <m/>
  </r>
  <r>
    <n v="6116"/>
    <n v="56691"/>
    <d v="2005-11-15T00:00:00"/>
    <n v="20"/>
    <x v="0"/>
    <x v="1"/>
    <d v="2024-06-19T00:00:00"/>
    <n v="1.7726027397260273"/>
    <x v="135"/>
    <x v="1"/>
    <x v="8"/>
    <x v="1"/>
    <n v="8.4700000000000006"/>
    <m/>
    <m/>
    <m/>
    <m/>
    <m/>
    <m/>
    <x v="1"/>
    <n v="2"/>
    <n v="5"/>
    <m/>
    <m/>
    <m/>
    <m/>
    <m/>
    <m/>
    <m/>
    <m/>
    <m/>
    <m/>
    <m/>
    <m/>
    <m/>
    <m/>
  </r>
  <r>
    <n v="6117"/>
    <n v="56692"/>
    <d v="2005-04-08T00:00:00"/>
    <n v="20"/>
    <x v="0"/>
    <x v="1"/>
    <d v="2024-03-24T00:00:00"/>
    <n v="1.3479452054794521"/>
    <x v="135"/>
    <x v="1"/>
    <x v="8"/>
    <x v="1"/>
    <n v="8.4700000000000006"/>
    <m/>
    <m/>
    <m/>
    <m/>
    <m/>
    <m/>
    <x v="2"/>
    <n v="1"/>
    <n v="4"/>
    <m/>
    <m/>
    <m/>
    <m/>
    <m/>
    <m/>
    <m/>
    <m/>
    <m/>
    <m/>
    <m/>
    <m/>
    <m/>
    <m/>
  </r>
  <r>
    <n v="6118"/>
    <n v="56693"/>
    <d v="2002-02-22T00:00:00"/>
    <n v="23"/>
    <x v="1"/>
    <x v="1"/>
    <d v="2024-08-26T00:00:00"/>
    <n v="1.0931506849315069"/>
    <x v="135"/>
    <x v="1"/>
    <x v="8"/>
    <x v="1"/>
    <n v="8.4700000000000006"/>
    <m/>
    <m/>
    <m/>
    <m/>
    <m/>
    <m/>
    <x v="4"/>
    <n v="2"/>
    <n v="6"/>
    <m/>
    <m/>
    <m/>
    <m/>
    <m/>
    <m/>
    <m/>
    <m/>
    <m/>
    <m/>
    <m/>
    <m/>
    <m/>
    <m/>
  </r>
  <r>
    <n v="6119"/>
    <n v="56694"/>
    <d v="2005-11-22T00:00:00"/>
    <n v="20"/>
    <x v="0"/>
    <x v="1"/>
    <d v="2024-11-27T00:00:00"/>
    <n v="1.0191780821917809"/>
    <x v="135"/>
    <x v="1"/>
    <x v="8"/>
    <x v="1"/>
    <n v="8.4700000000000006"/>
    <m/>
    <m/>
    <m/>
    <m/>
    <m/>
    <m/>
    <x v="2"/>
    <n v="1"/>
    <n v="5"/>
    <m/>
    <m/>
    <m/>
    <m/>
    <m/>
    <m/>
    <m/>
    <m/>
    <m/>
    <m/>
    <m/>
    <m/>
    <m/>
    <m/>
  </r>
  <r>
    <n v="6120"/>
    <n v="56695"/>
    <d v="2003-06-29T00:00:00"/>
    <n v="22"/>
    <x v="1"/>
    <x v="1"/>
    <d v="2024-12-24T00:00:00"/>
    <n v="1.8082191780821917"/>
    <x v="135"/>
    <x v="1"/>
    <x v="8"/>
    <x v="1"/>
    <n v="8.4700000000000006"/>
    <m/>
    <m/>
    <m/>
    <m/>
    <m/>
    <m/>
    <x v="1"/>
    <n v="2"/>
    <n v="6"/>
    <m/>
    <m/>
    <m/>
    <m/>
    <m/>
    <m/>
    <m/>
    <m/>
    <m/>
    <m/>
    <m/>
    <m/>
    <m/>
    <m/>
  </r>
  <r>
    <n v="6121"/>
    <n v="56696"/>
    <d v="2006-05-30T00:00:00"/>
    <n v="19"/>
    <x v="1"/>
    <x v="1"/>
    <d v="2024-03-11T00:00:00"/>
    <n v="1.2876712328767124"/>
    <x v="135"/>
    <x v="1"/>
    <x v="8"/>
    <x v="1"/>
    <n v="8.4700000000000006"/>
    <m/>
    <m/>
    <m/>
    <m/>
    <m/>
    <m/>
    <x v="2"/>
    <n v="3"/>
    <n v="6"/>
    <m/>
    <m/>
    <m/>
    <m/>
    <m/>
    <m/>
    <m/>
    <m/>
    <m/>
    <m/>
    <m/>
    <m/>
    <m/>
    <m/>
  </r>
  <r>
    <n v="6122"/>
    <n v="56697"/>
    <d v="2007-08-06T00:00:00"/>
    <n v="18"/>
    <x v="1"/>
    <x v="1"/>
    <d v="2024-09-17T00:00:00"/>
    <n v="1.106849315068493"/>
    <x v="135"/>
    <x v="1"/>
    <x v="8"/>
    <x v="1"/>
    <n v="8.4700000000000006"/>
    <m/>
    <m/>
    <m/>
    <m/>
    <m/>
    <m/>
    <x v="4"/>
    <n v="1"/>
    <n v="6"/>
    <m/>
    <m/>
    <m/>
    <m/>
    <m/>
    <m/>
    <m/>
    <m/>
    <m/>
    <m/>
    <m/>
    <m/>
    <m/>
    <m/>
  </r>
  <r>
    <n v="6123"/>
    <n v="56698"/>
    <d v="1997-10-10T00:00:00"/>
    <n v="28"/>
    <x v="0"/>
    <x v="1"/>
    <d v="2024-11-22T00:00:00"/>
    <n v="1.1041095890410959"/>
    <x v="70"/>
    <x v="1"/>
    <x v="11"/>
    <x v="1"/>
    <n v="17"/>
    <m/>
    <m/>
    <m/>
    <m/>
    <m/>
    <m/>
    <x v="3"/>
    <n v="4"/>
    <n v="5"/>
    <m/>
    <m/>
    <m/>
    <m/>
    <m/>
    <m/>
    <m/>
    <m/>
    <m/>
    <m/>
    <m/>
    <m/>
    <m/>
    <m/>
  </r>
  <r>
    <n v="6124"/>
    <n v="56699"/>
    <d v="2002-04-03T00:00:00"/>
    <n v="23"/>
    <x v="1"/>
    <x v="1"/>
    <d v="2024-11-23T00:00:00"/>
    <n v="1.7863013698630137"/>
    <x v="70"/>
    <x v="1"/>
    <x v="10"/>
    <x v="1"/>
    <n v="10.64"/>
    <m/>
    <m/>
    <m/>
    <m/>
    <m/>
    <m/>
    <x v="4"/>
    <n v="0"/>
    <n v="5"/>
    <m/>
    <m/>
    <m/>
    <m/>
    <m/>
    <m/>
    <m/>
    <m/>
    <m/>
    <m/>
    <m/>
    <m/>
    <m/>
    <m/>
  </r>
  <r>
    <n v="6125"/>
    <n v="56700"/>
    <d v="1993-05-02T00:00:00"/>
    <n v="32"/>
    <x v="0"/>
    <x v="1"/>
    <d v="2024-03-19T00:00:00"/>
    <n v="1.6219178082191781"/>
    <x v="70"/>
    <x v="1"/>
    <x v="6"/>
    <x v="1"/>
    <n v="23.78"/>
    <m/>
    <m/>
    <m/>
    <m/>
    <m/>
    <m/>
    <x v="4"/>
    <n v="7"/>
    <n v="7"/>
    <m/>
    <m/>
    <m/>
    <m/>
    <m/>
    <m/>
    <m/>
    <m/>
    <m/>
    <m/>
    <m/>
    <m/>
    <m/>
    <m/>
  </r>
  <r>
    <n v="6126"/>
    <n v="56701"/>
    <d v="2001-01-24T00:00:00"/>
    <n v="24"/>
    <x v="1"/>
    <x v="1"/>
    <d v="2024-05-18T00:00:00"/>
    <n v="1.7178082191780821"/>
    <x v="70"/>
    <x v="1"/>
    <x v="8"/>
    <x v="1"/>
    <n v="8.4700000000000006"/>
    <m/>
    <m/>
    <m/>
    <m/>
    <m/>
    <m/>
    <x v="4"/>
    <n v="2"/>
    <n v="6"/>
    <m/>
    <m/>
    <m/>
    <m/>
    <m/>
    <m/>
    <m/>
    <m/>
    <m/>
    <m/>
    <m/>
    <m/>
    <m/>
    <m/>
  </r>
  <r>
    <n v="6127"/>
    <n v="56702"/>
    <d v="1997-05-14T00:00:00"/>
    <n v="28"/>
    <x v="1"/>
    <x v="1"/>
    <d v="2024-04-13T00:00:00"/>
    <n v="1.5671232876712329"/>
    <x v="70"/>
    <x v="1"/>
    <x v="8"/>
    <x v="1"/>
    <n v="8.4700000000000006"/>
    <m/>
    <m/>
    <m/>
    <m/>
    <m/>
    <m/>
    <x v="1"/>
    <n v="4"/>
    <n v="7"/>
    <m/>
    <m/>
    <m/>
    <m/>
    <m/>
    <m/>
    <m/>
    <m/>
    <m/>
    <m/>
    <m/>
    <m/>
    <m/>
    <m/>
  </r>
  <r>
    <n v="6128"/>
    <n v="56703"/>
    <d v="2004-02-03T00:00:00"/>
    <n v="21"/>
    <x v="1"/>
    <x v="1"/>
    <d v="2024-06-07T00:00:00"/>
    <n v="1.6849315068493151"/>
    <x v="70"/>
    <x v="1"/>
    <x v="8"/>
    <x v="1"/>
    <n v="8.4700000000000006"/>
    <m/>
    <m/>
    <m/>
    <m/>
    <m/>
    <m/>
    <x v="2"/>
    <n v="0"/>
    <n v="6"/>
    <m/>
    <m/>
    <m/>
    <m/>
    <m/>
    <m/>
    <m/>
    <m/>
    <m/>
    <m/>
    <m/>
    <m/>
    <m/>
    <m/>
  </r>
  <r>
    <n v="6129"/>
    <n v="56704"/>
    <d v="2002-03-23T00:00:00"/>
    <n v="23"/>
    <x v="1"/>
    <x v="1"/>
    <d v="2024-04-25T00:00:00"/>
    <n v="1.4904109589041097"/>
    <x v="70"/>
    <x v="1"/>
    <x v="8"/>
    <x v="1"/>
    <n v="8.4700000000000006"/>
    <m/>
    <m/>
    <m/>
    <m/>
    <m/>
    <m/>
    <x v="2"/>
    <n v="2"/>
    <n v="7"/>
    <m/>
    <m/>
    <m/>
    <m/>
    <m/>
    <m/>
    <m/>
    <m/>
    <m/>
    <m/>
    <m/>
    <m/>
    <m/>
    <m/>
  </r>
  <r>
    <n v="6130"/>
    <n v="56705"/>
    <d v="2004-05-02T00:00:00"/>
    <n v="21"/>
    <x v="1"/>
    <x v="1"/>
    <d v="2024-07-05T00:00:00"/>
    <n v="1.1945205479452055"/>
    <x v="70"/>
    <x v="1"/>
    <x v="8"/>
    <x v="1"/>
    <n v="8.4700000000000006"/>
    <m/>
    <m/>
    <m/>
    <m/>
    <m/>
    <m/>
    <x v="1"/>
    <n v="1"/>
    <n v="6"/>
    <m/>
    <m/>
    <m/>
    <m/>
    <m/>
    <m/>
    <m/>
    <m/>
    <m/>
    <m/>
    <m/>
    <m/>
    <m/>
    <m/>
  </r>
  <r>
    <n v="6131"/>
    <n v="56707"/>
    <d v="2005-10-28T00:00:00"/>
    <n v="20"/>
    <x v="1"/>
    <x v="0"/>
    <d v="2024-10-21T00:00:00"/>
    <n v="1.7452054794520548"/>
    <x v="70"/>
    <x v="1"/>
    <x v="8"/>
    <x v="1"/>
    <n v="8.4700000000000006"/>
    <m/>
    <m/>
    <m/>
    <m/>
    <m/>
    <m/>
    <x v="2"/>
    <n v="2"/>
    <n v="6"/>
    <m/>
    <m/>
    <m/>
    <m/>
    <m/>
    <m/>
    <m/>
    <m/>
    <m/>
    <m/>
    <m/>
    <m/>
    <m/>
    <m/>
  </r>
  <r>
    <n v="6132"/>
    <n v="56708"/>
    <d v="2003-06-10T00:00:00"/>
    <n v="22"/>
    <x v="1"/>
    <x v="0"/>
    <d v="2024-04-03T00:00:00"/>
    <n v="1.6438356164383561"/>
    <x v="70"/>
    <x v="1"/>
    <x v="8"/>
    <x v="1"/>
    <n v="8.4700000000000006"/>
    <m/>
    <m/>
    <m/>
    <m/>
    <m/>
    <m/>
    <x v="4"/>
    <n v="1"/>
    <n v="6"/>
    <m/>
    <m/>
    <m/>
    <m/>
    <m/>
    <m/>
    <m/>
    <m/>
    <m/>
    <m/>
    <m/>
    <m/>
    <m/>
    <m/>
  </r>
  <r>
    <n v="6133"/>
    <n v="56709"/>
    <d v="2004-12-14T00:00:00"/>
    <n v="21"/>
    <x v="1"/>
    <x v="1"/>
    <d v="2024-05-10T00:00:00"/>
    <n v="1.526027397260274"/>
    <x v="70"/>
    <x v="1"/>
    <x v="8"/>
    <x v="1"/>
    <n v="8.4700000000000006"/>
    <m/>
    <m/>
    <m/>
    <m/>
    <m/>
    <m/>
    <x v="4"/>
    <n v="4"/>
    <n v="6"/>
    <m/>
    <m/>
    <m/>
    <m/>
    <m/>
    <m/>
    <m/>
    <m/>
    <m/>
    <m/>
    <m/>
    <m/>
    <m/>
    <m/>
  </r>
  <r>
    <n v="6134"/>
    <n v="56710"/>
    <d v="1998-03-26T00:00:00"/>
    <n v="27"/>
    <x v="0"/>
    <x v="1"/>
    <d v="2024-06-22T00:00:00"/>
    <n v="1.5534246575342465"/>
    <x v="70"/>
    <x v="1"/>
    <x v="8"/>
    <x v="1"/>
    <n v="8.4700000000000006"/>
    <m/>
    <m/>
    <m/>
    <m/>
    <m/>
    <m/>
    <x v="2"/>
    <n v="0"/>
    <n v="5"/>
    <m/>
    <m/>
    <m/>
    <m/>
    <m/>
    <m/>
    <m/>
    <m/>
    <m/>
    <m/>
    <m/>
    <m/>
    <m/>
    <m/>
  </r>
  <r>
    <n v="6135"/>
    <n v="56711"/>
    <d v="2005-11-26T00:00:00"/>
    <n v="20"/>
    <x v="0"/>
    <x v="1"/>
    <d v="2024-06-12T00:00:00"/>
    <n v="1.1123287671232878"/>
    <x v="70"/>
    <x v="1"/>
    <x v="8"/>
    <x v="1"/>
    <n v="8.4700000000000006"/>
    <m/>
    <m/>
    <m/>
    <m/>
    <m/>
    <m/>
    <x v="4"/>
    <n v="1"/>
    <n v="5"/>
    <m/>
    <m/>
    <m/>
    <m/>
    <m/>
    <m/>
    <m/>
    <m/>
    <m/>
    <m/>
    <m/>
    <m/>
    <m/>
    <m/>
  </r>
  <r>
    <n v="6136"/>
    <n v="56712"/>
    <d v="2000-11-29T00:00:00"/>
    <n v="25"/>
    <x v="1"/>
    <x v="1"/>
    <d v="2024-11-20T00:00:00"/>
    <n v="1.5205479452054795"/>
    <x v="71"/>
    <x v="1"/>
    <x v="11"/>
    <x v="1"/>
    <n v="17"/>
    <m/>
    <m/>
    <m/>
    <m/>
    <m/>
    <m/>
    <x v="4"/>
    <n v="3"/>
    <n v="6"/>
    <m/>
    <m/>
    <m/>
    <m/>
    <m/>
    <m/>
    <m/>
    <m/>
    <m/>
    <m/>
    <m/>
    <m/>
    <m/>
    <m/>
  </r>
  <r>
    <n v="6137"/>
    <n v="56713"/>
    <d v="1998-10-12T00:00:00"/>
    <n v="27"/>
    <x v="0"/>
    <x v="1"/>
    <d v="2024-06-24T00:00:00"/>
    <n v="1.4383561643835616"/>
    <x v="71"/>
    <x v="1"/>
    <x v="10"/>
    <x v="1"/>
    <n v="10.64"/>
    <m/>
    <m/>
    <m/>
    <m/>
    <m/>
    <m/>
    <x v="1"/>
    <n v="1"/>
    <n v="3"/>
    <m/>
    <m/>
    <m/>
    <m/>
    <m/>
    <m/>
    <m/>
    <m/>
    <m/>
    <m/>
    <m/>
    <m/>
    <m/>
    <m/>
  </r>
  <r>
    <n v="6138"/>
    <n v="56714"/>
    <d v="2001-12-24T00:00:00"/>
    <n v="24"/>
    <x v="1"/>
    <x v="1"/>
    <d v="2024-07-24T00:00:00"/>
    <n v="1.7068493150684931"/>
    <x v="71"/>
    <x v="1"/>
    <x v="8"/>
    <x v="1"/>
    <n v="8.4700000000000006"/>
    <m/>
    <m/>
    <m/>
    <m/>
    <m/>
    <m/>
    <x v="2"/>
    <n v="0"/>
    <n v="5"/>
    <m/>
    <m/>
    <m/>
    <m/>
    <m/>
    <m/>
    <m/>
    <m/>
    <m/>
    <m/>
    <m/>
    <m/>
    <m/>
    <m/>
  </r>
  <r>
    <n v="6139"/>
    <n v="56715"/>
    <d v="2001-04-29T00:00:00"/>
    <n v="24"/>
    <x v="1"/>
    <x v="1"/>
    <d v="2024-04-17T00:00:00"/>
    <n v="1.273972602739726"/>
    <x v="71"/>
    <x v="1"/>
    <x v="8"/>
    <x v="1"/>
    <n v="8.4700000000000006"/>
    <m/>
    <m/>
    <m/>
    <m/>
    <m/>
    <m/>
    <x v="1"/>
    <n v="2"/>
    <n v="6"/>
    <m/>
    <m/>
    <m/>
    <m/>
    <m/>
    <m/>
    <m/>
    <m/>
    <m/>
    <m/>
    <m/>
    <m/>
    <m/>
    <m/>
  </r>
  <r>
    <n v="6140"/>
    <n v="56716"/>
    <d v="2002-06-03T00:00:00"/>
    <n v="23"/>
    <x v="1"/>
    <x v="1"/>
    <d v="2024-09-22T00:00:00"/>
    <n v="1.0575342465753426"/>
    <x v="71"/>
    <x v="1"/>
    <x v="8"/>
    <x v="1"/>
    <n v="8.4700000000000006"/>
    <m/>
    <m/>
    <m/>
    <m/>
    <m/>
    <m/>
    <x v="4"/>
    <n v="4"/>
    <n v="7"/>
    <m/>
    <m/>
    <m/>
    <m/>
    <m/>
    <m/>
    <m/>
    <m/>
    <m/>
    <m/>
    <m/>
    <m/>
    <m/>
    <m/>
  </r>
  <r>
    <n v="6141"/>
    <n v="56717"/>
    <d v="2005-07-21T00:00:00"/>
    <n v="20"/>
    <x v="0"/>
    <x v="1"/>
    <d v="2024-12-10T00:00:00"/>
    <n v="1.8054794520547945"/>
    <x v="71"/>
    <x v="1"/>
    <x v="8"/>
    <x v="1"/>
    <n v="8.4700000000000006"/>
    <m/>
    <m/>
    <m/>
    <m/>
    <m/>
    <m/>
    <x v="3"/>
    <n v="2"/>
    <n v="5"/>
    <m/>
    <m/>
    <m/>
    <m/>
    <m/>
    <m/>
    <m/>
    <m/>
    <m/>
    <m/>
    <m/>
    <m/>
    <m/>
    <m/>
  </r>
  <r>
    <n v="6142"/>
    <n v="56718"/>
    <d v="2003-07-18T00:00:00"/>
    <n v="22"/>
    <x v="1"/>
    <x v="1"/>
    <d v="2024-03-12T00:00:00"/>
    <n v="1.6931506849315068"/>
    <x v="71"/>
    <x v="1"/>
    <x v="8"/>
    <x v="1"/>
    <n v="8.4700000000000006"/>
    <m/>
    <m/>
    <m/>
    <m/>
    <m/>
    <m/>
    <x v="3"/>
    <n v="1"/>
    <n v="4"/>
    <m/>
    <m/>
    <m/>
    <m/>
    <m/>
    <m/>
    <m/>
    <m/>
    <m/>
    <m/>
    <m/>
    <m/>
    <m/>
    <m/>
  </r>
  <r>
    <n v="6143"/>
    <n v="56719"/>
    <d v="2002-12-08T00:00:00"/>
    <n v="23"/>
    <x v="0"/>
    <x v="1"/>
    <d v="2024-04-22T00:00:00"/>
    <n v="1.2794520547945205"/>
    <x v="71"/>
    <x v="1"/>
    <x v="8"/>
    <x v="1"/>
    <n v="8.4700000000000006"/>
    <m/>
    <m/>
    <m/>
    <m/>
    <m/>
    <m/>
    <x v="4"/>
    <n v="2"/>
    <n v="4"/>
    <m/>
    <m/>
    <m/>
    <m/>
    <m/>
    <m/>
    <m/>
    <m/>
    <m/>
    <m/>
    <m/>
    <m/>
    <m/>
    <m/>
  </r>
  <r>
    <n v="6144"/>
    <n v="56720"/>
    <d v="2004-04-14T00:00:00"/>
    <n v="21"/>
    <x v="1"/>
    <x v="1"/>
    <d v="2024-09-20T00:00:00"/>
    <n v="1.6630136986301369"/>
    <x v="71"/>
    <x v="1"/>
    <x v="8"/>
    <x v="1"/>
    <n v="8.4700000000000006"/>
    <m/>
    <m/>
    <m/>
    <m/>
    <m/>
    <m/>
    <x v="2"/>
    <n v="3"/>
    <n v="7"/>
    <m/>
    <m/>
    <m/>
    <m/>
    <m/>
    <m/>
    <m/>
    <m/>
    <m/>
    <m/>
    <m/>
    <m/>
    <m/>
    <m/>
  </r>
  <r>
    <n v="6145"/>
    <n v="56721"/>
    <d v="2007-05-04T00:00:00"/>
    <n v="18"/>
    <x v="1"/>
    <x v="1"/>
    <d v="2024-05-03T00:00:00"/>
    <n v="1.6219178082191781"/>
    <x v="71"/>
    <x v="1"/>
    <x v="8"/>
    <x v="1"/>
    <n v="8.4700000000000006"/>
    <m/>
    <m/>
    <m/>
    <m/>
    <m/>
    <m/>
    <x v="1"/>
    <n v="3"/>
    <n v="6"/>
    <m/>
    <m/>
    <m/>
    <m/>
    <m/>
    <m/>
    <m/>
    <m/>
    <m/>
    <m/>
    <m/>
    <m/>
    <m/>
    <m/>
  </r>
  <r>
    <n v="6146"/>
    <n v="56722"/>
    <d v="2005-12-12T00:00:00"/>
    <n v="20"/>
    <x v="1"/>
    <x v="1"/>
    <d v="2024-05-18T00:00:00"/>
    <n v="1.1726027397260275"/>
    <x v="71"/>
    <x v="1"/>
    <x v="8"/>
    <x v="1"/>
    <n v="8.4700000000000006"/>
    <m/>
    <m/>
    <m/>
    <m/>
    <m/>
    <m/>
    <x v="3"/>
    <n v="4"/>
    <n v="7"/>
    <m/>
    <m/>
    <m/>
    <m/>
    <m/>
    <m/>
    <m/>
    <m/>
    <m/>
    <m/>
    <m/>
    <m/>
    <m/>
    <m/>
  </r>
  <r>
    <n v="6147"/>
    <n v="56723"/>
    <d v="2006-08-14T00:00:00"/>
    <n v="19"/>
    <x v="1"/>
    <x v="1"/>
    <d v="2024-10-29T00:00:00"/>
    <n v="1.0027397260273974"/>
    <x v="71"/>
    <x v="1"/>
    <x v="8"/>
    <x v="1"/>
    <n v="8.4700000000000006"/>
    <m/>
    <m/>
    <m/>
    <m/>
    <m/>
    <m/>
    <x v="1"/>
    <n v="2"/>
    <n v="6"/>
    <m/>
    <m/>
    <m/>
    <m/>
    <m/>
    <m/>
    <m/>
    <m/>
    <m/>
    <m/>
    <m/>
    <m/>
    <m/>
    <m/>
  </r>
  <r>
    <n v="6148"/>
    <n v="56724"/>
    <d v="1998-12-01T00:00:00"/>
    <n v="28"/>
    <x v="1"/>
    <x v="1"/>
    <d v="2024-12-30T00:00:00"/>
    <n v="1.0602739726027397"/>
    <x v="71"/>
    <x v="1"/>
    <x v="8"/>
    <x v="1"/>
    <n v="8.4700000000000006"/>
    <m/>
    <m/>
    <m/>
    <m/>
    <m/>
    <m/>
    <x v="1"/>
    <n v="2"/>
    <n v="5"/>
    <m/>
    <m/>
    <m/>
    <m/>
    <m/>
    <m/>
    <m/>
    <m/>
    <m/>
    <m/>
    <m/>
    <m/>
    <m/>
    <m/>
  </r>
  <r>
    <n v="6149"/>
    <n v="56725"/>
    <d v="1997-02-25T00:00:00"/>
    <n v="28"/>
    <x v="1"/>
    <x v="1"/>
    <d v="2024-12-09T00:00:00"/>
    <n v="1.2602739726027397"/>
    <x v="71"/>
    <x v="1"/>
    <x v="8"/>
    <x v="1"/>
    <n v="8.4700000000000006"/>
    <m/>
    <m/>
    <m/>
    <m/>
    <m/>
    <m/>
    <x v="1"/>
    <n v="4"/>
    <n v="6"/>
    <m/>
    <m/>
    <m/>
    <m/>
    <m/>
    <m/>
    <m/>
    <m/>
    <m/>
    <m/>
    <m/>
    <m/>
    <m/>
    <m/>
  </r>
  <r>
    <n v="6150"/>
    <n v="56726"/>
    <d v="2004-10-02T00:00:00"/>
    <n v="21"/>
    <x v="1"/>
    <x v="0"/>
    <d v="2024-09-27T00:00:00"/>
    <n v="1.5123287671232877"/>
    <x v="71"/>
    <x v="1"/>
    <x v="8"/>
    <x v="1"/>
    <n v="8.4700000000000006"/>
    <m/>
    <m/>
    <m/>
    <m/>
    <m/>
    <m/>
    <x v="1"/>
    <n v="2"/>
    <n v="5"/>
    <m/>
    <m/>
    <m/>
    <m/>
    <m/>
    <m/>
    <m/>
    <m/>
    <m/>
    <m/>
    <m/>
    <m/>
    <m/>
    <m/>
  </r>
  <r>
    <n v="6151"/>
    <n v="56727"/>
    <d v="1997-03-18T00:00:00"/>
    <n v="28"/>
    <x v="1"/>
    <x v="1"/>
    <d v="2024-06-27T00:00:00"/>
    <n v="1.3698630136986301"/>
    <x v="131"/>
    <x v="1"/>
    <x v="11"/>
    <x v="1"/>
    <n v="17"/>
    <m/>
    <m/>
    <m/>
    <m/>
    <m/>
    <m/>
    <x v="1"/>
    <n v="0"/>
    <n v="7"/>
    <m/>
    <m/>
    <m/>
    <m/>
    <m/>
    <m/>
    <m/>
    <m/>
    <m/>
    <m/>
    <m/>
    <m/>
    <m/>
    <m/>
  </r>
  <r>
    <n v="6152"/>
    <n v="56728"/>
    <d v="2000-08-31T00:00:00"/>
    <n v="25"/>
    <x v="1"/>
    <x v="0"/>
    <d v="2024-08-18T00:00:00"/>
    <n v="1.5315068493150685"/>
    <x v="131"/>
    <x v="1"/>
    <x v="11"/>
    <x v="1"/>
    <n v="17"/>
    <m/>
    <m/>
    <m/>
    <m/>
    <m/>
    <m/>
    <x v="1"/>
    <n v="2"/>
    <n v="5"/>
    <m/>
    <m/>
    <m/>
    <m/>
    <m/>
    <m/>
    <m/>
    <m/>
    <m/>
    <m/>
    <m/>
    <m/>
    <m/>
    <m/>
  </r>
  <r>
    <n v="6153"/>
    <n v="56729"/>
    <d v="2002-12-13T00:00:00"/>
    <n v="23"/>
    <x v="0"/>
    <x v="1"/>
    <d v="2024-06-20T00:00:00"/>
    <n v="1.0301369863013699"/>
    <x v="131"/>
    <x v="1"/>
    <x v="10"/>
    <x v="1"/>
    <n v="10.64"/>
    <m/>
    <m/>
    <m/>
    <m/>
    <m/>
    <m/>
    <x v="4"/>
    <n v="0"/>
    <n v="4"/>
    <m/>
    <m/>
    <m/>
    <m/>
    <m/>
    <m/>
    <m/>
    <m/>
    <m/>
    <m/>
    <m/>
    <m/>
    <m/>
    <m/>
  </r>
  <r>
    <n v="6154"/>
    <n v="56730"/>
    <d v="2005-05-15T00:00:00"/>
    <n v="20"/>
    <x v="0"/>
    <x v="1"/>
    <d v="2024-12-20T00:00:00"/>
    <n v="1.2876712328767124"/>
    <x v="131"/>
    <x v="1"/>
    <x v="1"/>
    <x v="1"/>
    <n v="16.37"/>
    <m/>
    <m/>
    <m/>
    <m/>
    <m/>
    <m/>
    <x v="1"/>
    <n v="1"/>
    <n v="6"/>
    <m/>
    <m/>
    <m/>
    <m/>
    <m/>
    <m/>
    <m/>
    <m/>
    <m/>
    <m/>
    <m/>
    <m/>
    <m/>
    <m/>
  </r>
  <r>
    <n v="6155"/>
    <n v="56731"/>
    <d v="1997-06-09T00:00:00"/>
    <n v="28"/>
    <x v="1"/>
    <x v="0"/>
    <d v="2024-09-17T00:00:00"/>
    <n v="1.2246575342465753"/>
    <x v="131"/>
    <x v="1"/>
    <x v="3"/>
    <x v="1"/>
    <n v="8.4700000000000006"/>
    <m/>
    <m/>
    <m/>
    <m/>
    <m/>
    <m/>
    <x v="4"/>
    <n v="1"/>
    <n v="5"/>
    <m/>
    <m/>
    <m/>
    <m/>
    <m/>
    <m/>
    <m/>
    <m/>
    <m/>
    <m/>
    <m/>
    <m/>
    <m/>
    <m/>
  </r>
  <r>
    <n v="6156"/>
    <n v="56732"/>
    <d v="2006-05-17T00:00:00"/>
    <n v="19"/>
    <x v="1"/>
    <x v="1"/>
    <d v="2024-10-10T00:00:00"/>
    <n v="1.0301369863013699"/>
    <x v="131"/>
    <x v="1"/>
    <x v="3"/>
    <x v="1"/>
    <n v="8.4700000000000006"/>
    <m/>
    <m/>
    <m/>
    <m/>
    <m/>
    <m/>
    <x v="2"/>
    <n v="2"/>
    <n v="5"/>
    <m/>
    <m/>
    <m/>
    <m/>
    <m/>
    <m/>
    <m/>
    <m/>
    <m/>
    <m/>
    <m/>
    <m/>
    <m/>
    <m/>
  </r>
  <r>
    <n v="6157"/>
    <n v="56733"/>
    <d v="1998-02-07T00:00:00"/>
    <n v="27"/>
    <x v="0"/>
    <x v="1"/>
    <d v="2024-12-20T00:00:00"/>
    <n v="1.0520547945205478"/>
    <x v="131"/>
    <x v="1"/>
    <x v="7"/>
    <x v="1"/>
    <n v="17.59"/>
    <m/>
    <m/>
    <m/>
    <m/>
    <m/>
    <m/>
    <x v="3"/>
    <n v="2"/>
    <n v="5"/>
    <m/>
    <m/>
    <m/>
    <m/>
    <m/>
    <m/>
    <m/>
    <m/>
    <m/>
    <m/>
    <m/>
    <m/>
    <m/>
    <m/>
  </r>
  <r>
    <n v="6158"/>
    <n v="56734"/>
    <d v="2003-12-12T00:00:00"/>
    <n v="22"/>
    <x v="1"/>
    <x v="1"/>
    <d v="2024-12-12T00:00:00"/>
    <n v="1.3041095890410959"/>
    <x v="131"/>
    <x v="1"/>
    <x v="8"/>
    <x v="1"/>
    <n v="8.4700000000000006"/>
    <m/>
    <m/>
    <m/>
    <m/>
    <m/>
    <m/>
    <x v="4"/>
    <n v="4"/>
    <n v="7"/>
    <m/>
    <m/>
    <m/>
    <m/>
    <m/>
    <m/>
    <m/>
    <m/>
    <m/>
    <m/>
    <m/>
    <m/>
    <m/>
    <m/>
  </r>
  <r>
    <n v="6159"/>
    <n v="56735"/>
    <d v="1998-03-24T00:00:00"/>
    <n v="27"/>
    <x v="1"/>
    <x v="1"/>
    <d v="2024-09-11T00:00:00"/>
    <n v="1.3123287671232877"/>
    <x v="131"/>
    <x v="1"/>
    <x v="8"/>
    <x v="1"/>
    <n v="8.4700000000000006"/>
    <m/>
    <m/>
    <m/>
    <m/>
    <m/>
    <m/>
    <x v="1"/>
    <n v="2"/>
    <n v="6"/>
    <m/>
    <m/>
    <m/>
    <m/>
    <m/>
    <m/>
    <m/>
    <m/>
    <m/>
    <m/>
    <m/>
    <m/>
    <m/>
    <m/>
  </r>
  <r>
    <n v="6160"/>
    <n v="56736"/>
    <d v="2007-12-29T00:00:00"/>
    <n v="18"/>
    <x v="1"/>
    <x v="1"/>
    <d v="2024-09-08T00:00:00"/>
    <n v="1.0383561643835617"/>
    <x v="131"/>
    <x v="1"/>
    <x v="8"/>
    <x v="1"/>
    <n v="8.4700000000000006"/>
    <m/>
    <m/>
    <m/>
    <m/>
    <m/>
    <m/>
    <x v="3"/>
    <n v="0"/>
    <n v="5"/>
    <m/>
    <m/>
    <m/>
    <m/>
    <m/>
    <m/>
    <m/>
    <m/>
    <m/>
    <m/>
    <m/>
    <m/>
    <m/>
    <m/>
  </r>
  <r>
    <n v="6161"/>
    <n v="56737"/>
    <d v="2003-05-13T00:00:00"/>
    <n v="22"/>
    <x v="1"/>
    <x v="1"/>
    <d v="2024-12-17T00:00:00"/>
    <n v="1.9095890410958904"/>
    <x v="131"/>
    <x v="1"/>
    <x v="8"/>
    <x v="1"/>
    <n v="8.4700000000000006"/>
    <m/>
    <m/>
    <m/>
    <m/>
    <m/>
    <m/>
    <x v="3"/>
    <n v="4"/>
    <n v="5"/>
    <m/>
    <m/>
    <m/>
    <m/>
    <m/>
    <m/>
    <m/>
    <m/>
    <m/>
    <m/>
    <m/>
    <m/>
    <m/>
    <m/>
  </r>
  <r>
    <n v="6162"/>
    <n v="56738"/>
    <d v="2003-05-24T00:00:00"/>
    <n v="22"/>
    <x v="1"/>
    <x v="1"/>
    <d v="2024-02-03T00:00:00"/>
    <n v="1.463013698630137"/>
    <x v="131"/>
    <x v="1"/>
    <x v="8"/>
    <x v="1"/>
    <n v="8.4700000000000006"/>
    <m/>
    <m/>
    <m/>
    <m/>
    <m/>
    <m/>
    <x v="2"/>
    <n v="2"/>
    <n v="5"/>
    <m/>
    <m/>
    <m/>
    <m/>
    <m/>
    <m/>
    <m/>
    <m/>
    <m/>
    <m/>
    <m/>
    <m/>
    <m/>
    <m/>
  </r>
  <r>
    <n v="6163"/>
    <n v="56739"/>
    <d v="2005-06-15T00:00:00"/>
    <n v="20"/>
    <x v="1"/>
    <x v="1"/>
    <d v="2024-07-15T00:00:00"/>
    <n v="1.3890410958904109"/>
    <x v="131"/>
    <x v="1"/>
    <x v="8"/>
    <x v="1"/>
    <n v="8.4700000000000006"/>
    <m/>
    <m/>
    <m/>
    <m/>
    <m/>
    <m/>
    <x v="3"/>
    <n v="2"/>
    <n v="7"/>
    <m/>
    <m/>
    <m/>
    <m/>
    <m/>
    <m/>
    <m/>
    <m/>
    <m/>
    <m/>
    <m/>
    <m/>
    <m/>
    <m/>
  </r>
  <r>
    <n v="6164"/>
    <n v="56741"/>
    <d v="2003-12-13T00:00:00"/>
    <n v="22"/>
    <x v="1"/>
    <x v="1"/>
    <d v="2024-08-11T00:00:00"/>
    <n v="1.2"/>
    <x v="131"/>
    <x v="1"/>
    <x v="8"/>
    <x v="1"/>
    <n v="8.4700000000000006"/>
    <m/>
    <m/>
    <m/>
    <m/>
    <m/>
    <m/>
    <x v="2"/>
    <n v="2"/>
    <n v="7"/>
    <m/>
    <m/>
    <m/>
    <m/>
    <m/>
    <m/>
    <m/>
    <m/>
    <m/>
    <m/>
    <m/>
    <m/>
    <m/>
    <m/>
  </r>
  <r>
    <n v="6165"/>
    <n v="56742"/>
    <d v="2005-04-19T00:00:00"/>
    <n v="20"/>
    <x v="1"/>
    <x v="1"/>
    <d v="2024-10-19T00:00:00"/>
    <n v="1.558904109589041"/>
    <x v="131"/>
    <x v="1"/>
    <x v="8"/>
    <x v="1"/>
    <n v="8.4700000000000006"/>
    <m/>
    <m/>
    <m/>
    <m/>
    <m/>
    <m/>
    <x v="1"/>
    <n v="3"/>
    <n v="7"/>
    <m/>
    <m/>
    <m/>
    <m/>
    <m/>
    <m/>
    <m/>
    <m/>
    <m/>
    <m/>
    <m/>
    <m/>
    <m/>
    <m/>
  </r>
  <r>
    <n v="6166"/>
    <n v="56743"/>
    <d v="2006-02-20T00:00:00"/>
    <n v="19"/>
    <x v="1"/>
    <x v="1"/>
    <d v="2024-06-10T00:00:00"/>
    <n v="1.5808219178082192"/>
    <x v="131"/>
    <x v="1"/>
    <x v="8"/>
    <x v="1"/>
    <n v="8.4700000000000006"/>
    <m/>
    <m/>
    <m/>
    <m/>
    <m/>
    <m/>
    <x v="4"/>
    <n v="2"/>
    <n v="6"/>
    <m/>
    <m/>
    <m/>
    <m/>
    <m/>
    <m/>
    <m/>
    <m/>
    <m/>
    <m/>
    <m/>
    <m/>
    <m/>
    <m/>
  </r>
  <r>
    <n v="6167"/>
    <n v="56744"/>
    <d v="2004-05-22T00:00:00"/>
    <n v="21"/>
    <x v="1"/>
    <x v="1"/>
    <d v="2024-06-02T00:00:00"/>
    <n v="1.2712328767123289"/>
    <x v="131"/>
    <x v="1"/>
    <x v="8"/>
    <x v="1"/>
    <n v="8.4700000000000006"/>
    <m/>
    <m/>
    <m/>
    <m/>
    <m/>
    <m/>
    <x v="2"/>
    <n v="1"/>
    <n v="6"/>
    <m/>
    <m/>
    <m/>
    <m/>
    <m/>
    <m/>
    <m/>
    <m/>
    <m/>
    <m/>
    <m/>
    <m/>
    <m/>
    <m/>
  </r>
  <r>
    <n v="6168"/>
    <n v="56745"/>
    <d v="2007-07-30T00:00:00"/>
    <n v="18"/>
    <x v="1"/>
    <x v="1"/>
    <d v="2024-09-23T00:00:00"/>
    <n v="1.1260273972602739"/>
    <x v="131"/>
    <x v="1"/>
    <x v="8"/>
    <x v="1"/>
    <n v="8.4700000000000006"/>
    <m/>
    <m/>
    <m/>
    <m/>
    <m/>
    <m/>
    <x v="2"/>
    <n v="0"/>
    <n v="5"/>
    <m/>
    <m/>
    <m/>
    <m/>
    <m/>
    <m/>
    <m/>
    <m/>
    <m/>
    <m/>
    <m/>
    <m/>
    <m/>
    <m/>
  </r>
  <r>
    <n v="6169"/>
    <n v="56746"/>
    <d v="2002-01-31T00:00:00"/>
    <n v="23"/>
    <x v="1"/>
    <x v="1"/>
    <d v="2024-11-15T00:00:00"/>
    <n v="1.5616438356164384"/>
    <x v="72"/>
    <x v="1"/>
    <x v="11"/>
    <x v="1"/>
    <n v="17"/>
    <m/>
    <m/>
    <m/>
    <m/>
    <m/>
    <m/>
    <x v="3"/>
    <n v="2"/>
    <n v="7"/>
    <m/>
    <m/>
    <m/>
    <m/>
    <m/>
    <m/>
    <m/>
    <m/>
    <m/>
    <m/>
    <m/>
    <m/>
    <m/>
    <m/>
  </r>
  <r>
    <n v="6170"/>
    <n v="56747"/>
    <d v="1999-03-02T00:00:00"/>
    <n v="26"/>
    <x v="0"/>
    <x v="1"/>
    <d v="2024-06-09T00:00:00"/>
    <n v="1.5452054794520549"/>
    <x v="72"/>
    <x v="1"/>
    <x v="11"/>
    <x v="1"/>
    <n v="17"/>
    <m/>
    <m/>
    <m/>
    <m/>
    <m/>
    <m/>
    <x v="2"/>
    <n v="4"/>
    <n v="4"/>
    <m/>
    <m/>
    <m/>
    <m/>
    <m/>
    <m/>
    <m/>
    <m/>
    <m/>
    <m/>
    <m/>
    <m/>
    <m/>
    <m/>
  </r>
  <r>
    <n v="6171"/>
    <n v="56748"/>
    <d v="2007-11-19T00:00:00"/>
    <n v="18"/>
    <x v="1"/>
    <x v="0"/>
    <d v="2024-06-15T00:00:00"/>
    <n v="1.8164383561643835"/>
    <x v="72"/>
    <x v="1"/>
    <x v="8"/>
    <x v="1"/>
    <n v="8.4700000000000006"/>
    <m/>
    <m/>
    <m/>
    <m/>
    <m/>
    <m/>
    <x v="1"/>
    <n v="2"/>
    <n v="4"/>
    <m/>
    <m/>
    <m/>
    <m/>
    <m/>
    <m/>
    <m/>
    <m/>
    <m/>
    <m/>
    <m/>
    <m/>
    <m/>
    <m/>
  </r>
  <r>
    <n v="6172"/>
    <n v="56750"/>
    <d v="2003-08-30T00:00:00"/>
    <n v="22"/>
    <x v="1"/>
    <x v="0"/>
    <d v="2024-03-08T00:00:00"/>
    <n v="1.6767123287671233"/>
    <x v="72"/>
    <x v="1"/>
    <x v="8"/>
    <x v="1"/>
    <n v="8.4700000000000006"/>
    <m/>
    <m/>
    <m/>
    <m/>
    <m/>
    <m/>
    <x v="4"/>
    <n v="3"/>
    <n v="6"/>
    <m/>
    <m/>
    <m/>
    <m/>
    <m/>
    <m/>
    <m/>
    <m/>
    <m/>
    <m/>
    <m/>
    <m/>
    <m/>
    <m/>
  </r>
  <r>
    <n v="6173"/>
    <n v="56753"/>
    <d v="2000-09-09T00:00:00"/>
    <n v="25"/>
    <x v="1"/>
    <x v="1"/>
    <d v="2024-04-28T00:00:00"/>
    <n v="1.7315068493150685"/>
    <x v="74"/>
    <x v="1"/>
    <x v="11"/>
    <x v="1"/>
    <n v="17"/>
    <m/>
    <m/>
    <m/>
    <m/>
    <m/>
    <m/>
    <x v="3"/>
    <n v="2"/>
    <n v="6"/>
    <m/>
    <m/>
    <m/>
    <m/>
    <m/>
    <m/>
    <m/>
    <m/>
    <m/>
    <m/>
    <m/>
    <m/>
    <m/>
    <m/>
  </r>
  <r>
    <n v="6174"/>
    <n v="56754"/>
    <d v="1997-07-01T00:00:00"/>
    <n v="29"/>
    <x v="1"/>
    <x v="0"/>
    <d v="2024-04-08T00:00:00"/>
    <n v="1.1178082191780823"/>
    <x v="74"/>
    <x v="1"/>
    <x v="11"/>
    <x v="1"/>
    <n v="17"/>
    <m/>
    <m/>
    <m/>
    <m/>
    <m/>
    <m/>
    <x v="1"/>
    <n v="2"/>
    <n v="5"/>
    <m/>
    <m/>
    <m/>
    <m/>
    <m/>
    <m/>
    <m/>
    <m/>
    <m/>
    <m/>
    <m/>
    <m/>
    <m/>
    <m/>
  </r>
  <r>
    <n v="6175"/>
    <n v="56755"/>
    <d v="2005-12-08T00:00:00"/>
    <n v="20"/>
    <x v="1"/>
    <x v="1"/>
    <d v="2024-11-18T00:00:00"/>
    <n v="1.3068493150684932"/>
    <x v="74"/>
    <x v="1"/>
    <x v="10"/>
    <x v="1"/>
    <n v="10.64"/>
    <m/>
    <m/>
    <m/>
    <m/>
    <m/>
    <m/>
    <x v="3"/>
    <n v="0"/>
    <n v="6"/>
    <m/>
    <m/>
    <m/>
    <m/>
    <m/>
    <m/>
    <m/>
    <m/>
    <m/>
    <m/>
    <m/>
    <m/>
    <m/>
    <m/>
  </r>
  <r>
    <n v="6176"/>
    <n v="56756"/>
    <d v="2004-06-08T00:00:00"/>
    <n v="21"/>
    <x v="1"/>
    <x v="1"/>
    <d v="2024-09-10T00:00:00"/>
    <n v="1.7534246575342465"/>
    <x v="74"/>
    <x v="1"/>
    <x v="8"/>
    <x v="1"/>
    <n v="8.4700000000000006"/>
    <m/>
    <m/>
    <m/>
    <m/>
    <m/>
    <m/>
    <x v="1"/>
    <n v="4"/>
    <n v="7"/>
    <m/>
    <m/>
    <m/>
    <m/>
    <m/>
    <m/>
    <m/>
    <m/>
    <m/>
    <m/>
    <m/>
    <m/>
    <m/>
    <m/>
  </r>
  <r>
    <n v="6177"/>
    <n v="56757"/>
    <d v="1993-06-19T00:00:00"/>
    <n v="32"/>
    <x v="1"/>
    <x v="1"/>
    <d v="2024-03-31T00:00:00"/>
    <n v="1.0027397260273974"/>
    <x v="74"/>
    <x v="1"/>
    <x v="8"/>
    <x v="1"/>
    <n v="8.4700000000000006"/>
    <m/>
    <m/>
    <m/>
    <m/>
    <m/>
    <m/>
    <x v="4"/>
    <n v="2"/>
    <n v="7"/>
    <m/>
    <m/>
    <m/>
    <m/>
    <m/>
    <m/>
    <m/>
    <m/>
    <m/>
    <m/>
    <m/>
    <m/>
    <m/>
    <m/>
  </r>
  <r>
    <n v="6178"/>
    <n v="56758"/>
    <d v="2006-07-19T00:00:00"/>
    <n v="19"/>
    <x v="1"/>
    <x v="1"/>
    <d v="2024-12-30T00:00:00"/>
    <n v="1.0876712328767124"/>
    <x v="74"/>
    <x v="1"/>
    <x v="8"/>
    <x v="1"/>
    <n v="8.4700000000000006"/>
    <m/>
    <m/>
    <m/>
    <m/>
    <m/>
    <m/>
    <x v="1"/>
    <n v="0"/>
    <n v="6"/>
    <m/>
    <m/>
    <m/>
    <m/>
    <m/>
    <m/>
    <m/>
    <m/>
    <m/>
    <m/>
    <m/>
    <m/>
    <m/>
    <m/>
  </r>
  <r>
    <n v="6179"/>
    <n v="56759"/>
    <d v="2004-02-28T00:00:00"/>
    <n v="21"/>
    <x v="1"/>
    <x v="0"/>
    <d v="2024-11-29T00:00:00"/>
    <n v="1.7863013698630137"/>
    <x v="74"/>
    <x v="1"/>
    <x v="8"/>
    <x v="1"/>
    <n v="8.4700000000000006"/>
    <m/>
    <m/>
    <m/>
    <m/>
    <m/>
    <m/>
    <x v="4"/>
    <n v="1"/>
    <n v="5"/>
    <m/>
    <m/>
    <m/>
    <m/>
    <m/>
    <m/>
    <m/>
    <m/>
    <m/>
    <m/>
    <m/>
    <m/>
    <m/>
    <m/>
  </r>
  <r>
    <n v="6180"/>
    <n v="56760"/>
    <d v="2001-05-15T00:00:00"/>
    <n v="24"/>
    <x v="1"/>
    <x v="1"/>
    <d v="2024-03-19T00:00:00"/>
    <n v="1.1178082191780823"/>
    <x v="74"/>
    <x v="1"/>
    <x v="8"/>
    <x v="1"/>
    <n v="8.4700000000000006"/>
    <m/>
    <m/>
    <m/>
    <m/>
    <m/>
    <m/>
    <x v="2"/>
    <n v="1"/>
    <n v="6"/>
    <m/>
    <m/>
    <m/>
    <m/>
    <m/>
    <m/>
    <m/>
    <m/>
    <m/>
    <m/>
    <m/>
    <m/>
    <m/>
    <m/>
  </r>
  <r>
    <n v="6181"/>
    <n v="56761"/>
    <d v="1993-12-12T00:00:00"/>
    <n v="32"/>
    <x v="1"/>
    <x v="1"/>
    <d v="2024-11-18T00:00:00"/>
    <n v="1.6657534246575343"/>
    <x v="74"/>
    <x v="1"/>
    <x v="8"/>
    <x v="1"/>
    <n v="8.4700000000000006"/>
    <m/>
    <m/>
    <m/>
    <m/>
    <m/>
    <m/>
    <x v="1"/>
    <n v="2"/>
    <n v="6"/>
    <m/>
    <m/>
    <m/>
    <m/>
    <m/>
    <m/>
    <m/>
    <m/>
    <m/>
    <m/>
    <m/>
    <m/>
    <m/>
    <m/>
  </r>
  <r>
    <n v="6182"/>
    <n v="56762"/>
    <d v="2001-07-08T00:00:00"/>
    <n v="24"/>
    <x v="1"/>
    <x v="0"/>
    <d v="2024-05-02T00:00:00"/>
    <n v="1.0602739726027397"/>
    <x v="74"/>
    <x v="1"/>
    <x v="8"/>
    <x v="1"/>
    <n v="8.4700000000000006"/>
    <m/>
    <m/>
    <m/>
    <m/>
    <m/>
    <m/>
    <x v="4"/>
    <n v="2"/>
    <n v="6"/>
    <m/>
    <m/>
    <m/>
    <m/>
    <m/>
    <m/>
    <m/>
    <m/>
    <m/>
    <m/>
    <m/>
    <m/>
    <m/>
    <m/>
  </r>
  <r>
    <n v="6183"/>
    <n v="56763"/>
    <d v="2005-07-14T00:00:00"/>
    <n v="20"/>
    <x v="1"/>
    <x v="1"/>
    <d v="2024-12-09T00:00:00"/>
    <n v="1.1205479452054794"/>
    <x v="74"/>
    <x v="1"/>
    <x v="8"/>
    <x v="1"/>
    <n v="8.4700000000000006"/>
    <m/>
    <m/>
    <m/>
    <m/>
    <m/>
    <m/>
    <x v="3"/>
    <n v="0"/>
    <n v="5"/>
    <m/>
    <m/>
    <m/>
    <m/>
    <m/>
    <m/>
    <m/>
    <m/>
    <m/>
    <m/>
    <m/>
    <m/>
    <m/>
    <m/>
  </r>
  <r>
    <n v="6184"/>
    <n v="56764"/>
    <d v="2000-02-22T00:00:00"/>
    <n v="25"/>
    <x v="0"/>
    <x v="1"/>
    <d v="2024-11-17T00:00:00"/>
    <n v="1.704109589041096"/>
    <x v="74"/>
    <x v="1"/>
    <x v="8"/>
    <x v="1"/>
    <n v="8.4700000000000006"/>
    <m/>
    <m/>
    <m/>
    <m/>
    <m/>
    <m/>
    <x v="2"/>
    <n v="4"/>
    <n v="4"/>
    <m/>
    <m/>
    <m/>
    <m/>
    <m/>
    <m/>
    <m/>
    <m/>
    <m/>
    <m/>
    <m/>
    <m/>
    <m/>
    <m/>
  </r>
  <r>
    <n v="6185"/>
    <n v="56765"/>
    <d v="2001-01-06T00:00:00"/>
    <n v="24"/>
    <x v="1"/>
    <x v="1"/>
    <d v="2024-04-18T00:00:00"/>
    <n v="1.7643835616438357"/>
    <x v="74"/>
    <x v="1"/>
    <x v="8"/>
    <x v="1"/>
    <n v="8.4700000000000006"/>
    <m/>
    <m/>
    <m/>
    <m/>
    <m/>
    <m/>
    <x v="4"/>
    <n v="2"/>
    <n v="7"/>
    <m/>
    <m/>
    <m/>
    <m/>
    <m/>
    <m/>
    <m/>
    <m/>
    <m/>
    <m/>
    <m/>
    <m/>
    <m/>
    <m/>
  </r>
  <r>
    <n v="6186"/>
    <n v="56766"/>
    <d v="2006-07-24T00:00:00"/>
    <n v="19"/>
    <x v="0"/>
    <x v="1"/>
    <d v="2024-03-27T00:00:00"/>
    <n v="1.9068493150684931"/>
    <x v="74"/>
    <x v="1"/>
    <x v="8"/>
    <x v="1"/>
    <n v="8.4700000000000006"/>
    <m/>
    <m/>
    <m/>
    <m/>
    <m/>
    <m/>
    <x v="1"/>
    <n v="0"/>
    <n v="3"/>
    <m/>
    <m/>
    <m/>
    <m/>
    <m/>
    <m/>
    <m/>
    <m/>
    <m/>
    <m/>
    <m/>
    <m/>
    <m/>
    <m/>
  </r>
  <r>
    <n v="6187"/>
    <n v="56767"/>
    <d v="1996-06-14T00:00:00"/>
    <n v="29"/>
    <x v="1"/>
    <x v="1"/>
    <d v="2024-02-04T00:00:00"/>
    <n v="1.5315068493150685"/>
    <x v="75"/>
    <x v="1"/>
    <x v="11"/>
    <x v="1"/>
    <n v="17"/>
    <m/>
    <m/>
    <m/>
    <m/>
    <m/>
    <m/>
    <x v="1"/>
    <n v="2"/>
    <n v="6"/>
    <m/>
    <m/>
    <m/>
    <m/>
    <m/>
    <m/>
    <m/>
    <m/>
    <m/>
    <m/>
    <m/>
    <m/>
    <m/>
    <m/>
  </r>
  <r>
    <n v="6188"/>
    <n v="56768"/>
    <d v="1999-04-16T00:00:00"/>
    <n v="26"/>
    <x v="1"/>
    <x v="0"/>
    <d v="2024-06-20T00:00:00"/>
    <n v="1.7342465753424658"/>
    <x v="75"/>
    <x v="1"/>
    <x v="11"/>
    <x v="1"/>
    <n v="17"/>
    <m/>
    <m/>
    <m/>
    <m/>
    <m/>
    <m/>
    <x v="1"/>
    <n v="2"/>
    <n v="3"/>
    <m/>
    <m/>
    <m/>
    <m/>
    <m/>
    <m/>
    <m/>
    <m/>
    <m/>
    <m/>
    <m/>
    <m/>
    <m/>
    <m/>
  </r>
  <r>
    <n v="6189"/>
    <n v="56769"/>
    <d v="2004-05-05T00:00:00"/>
    <n v="21"/>
    <x v="1"/>
    <x v="1"/>
    <d v="2024-04-07T00:00:00"/>
    <n v="1.5890410958904109"/>
    <x v="75"/>
    <x v="1"/>
    <x v="8"/>
    <x v="1"/>
    <n v="8.4700000000000006"/>
    <m/>
    <m/>
    <m/>
    <m/>
    <m/>
    <m/>
    <x v="1"/>
    <n v="4"/>
    <n v="7"/>
    <m/>
    <m/>
    <m/>
    <m/>
    <m/>
    <m/>
    <m/>
    <m/>
    <m/>
    <m/>
    <m/>
    <m/>
    <m/>
    <m/>
  </r>
  <r>
    <n v="6190"/>
    <n v="56770"/>
    <d v="1993-11-09T00:00:00"/>
    <n v="32"/>
    <x v="1"/>
    <x v="1"/>
    <d v="2024-05-30T00:00:00"/>
    <n v="1.178082191780822"/>
    <x v="75"/>
    <x v="1"/>
    <x v="8"/>
    <x v="1"/>
    <n v="8.4700000000000006"/>
    <m/>
    <m/>
    <m/>
    <m/>
    <m/>
    <m/>
    <x v="4"/>
    <n v="2"/>
    <n v="6"/>
    <m/>
    <m/>
    <m/>
    <m/>
    <m/>
    <m/>
    <m/>
    <m/>
    <m/>
    <m/>
    <m/>
    <m/>
    <m/>
    <m/>
  </r>
  <r>
    <n v="6191"/>
    <n v="56771"/>
    <d v="1999-04-22T00:00:00"/>
    <n v="26"/>
    <x v="0"/>
    <x v="1"/>
    <d v="2024-10-27T00:00:00"/>
    <n v="1.8520547945205479"/>
    <x v="75"/>
    <x v="1"/>
    <x v="8"/>
    <x v="1"/>
    <n v="8.4700000000000006"/>
    <m/>
    <m/>
    <m/>
    <m/>
    <m/>
    <m/>
    <x v="3"/>
    <n v="2"/>
    <n v="5"/>
    <m/>
    <m/>
    <m/>
    <m/>
    <m/>
    <m/>
    <m/>
    <m/>
    <m/>
    <m/>
    <m/>
    <m/>
    <m/>
    <m/>
  </r>
  <r>
    <n v="6192"/>
    <n v="56772"/>
    <d v="2006-02-02T00:00:00"/>
    <n v="19"/>
    <x v="1"/>
    <x v="1"/>
    <d v="2024-02-24T00:00:00"/>
    <n v="1.0602739726027397"/>
    <x v="75"/>
    <x v="1"/>
    <x v="8"/>
    <x v="1"/>
    <n v="8.4700000000000006"/>
    <m/>
    <m/>
    <m/>
    <m/>
    <m/>
    <m/>
    <x v="4"/>
    <n v="0"/>
    <n v="7"/>
    <m/>
    <m/>
    <m/>
    <m/>
    <m/>
    <m/>
    <m/>
    <m/>
    <m/>
    <m/>
    <m/>
    <m/>
    <m/>
    <m/>
  </r>
  <r>
    <n v="6193"/>
    <n v="56773"/>
    <d v="1993-04-01T00:00:00"/>
    <n v="33"/>
    <x v="1"/>
    <x v="1"/>
    <d v="2024-12-09T00:00:00"/>
    <n v="1.5753424657534247"/>
    <x v="75"/>
    <x v="1"/>
    <x v="8"/>
    <x v="1"/>
    <n v="8.4700000000000006"/>
    <m/>
    <m/>
    <m/>
    <m/>
    <m/>
    <m/>
    <x v="1"/>
    <n v="3"/>
    <n v="5"/>
    <m/>
    <m/>
    <m/>
    <m/>
    <m/>
    <m/>
    <m/>
    <m/>
    <m/>
    <m/>
    <m/>
    <m/>
    <m/>
    <m/>
  </r>
  <r>
    <n v="6194"/>
    <n v="56774"/>
    <d v="2006-06-02T00:00:00"/>
    <n v="19"/>
    <x v="1"/>
    <x v="1"/>
    <d v="2024-06-04T00:00:00"/>
    <n v="1.0082191780821919"/>
    <x v="75"/>
    <x v="1"/>
    <x v="8"/>
    <x v="1"/>
    <n v="8.4700000000000006"/>
    <m/>
    <m/>
    <m/>
    <m/>
    <m/>
    <m/>
    <x v="2"/>
    <n v="1"/>
    <n v="6"/>
    <m/>
    <m/>
    <m/>
    <m/>
    <m/>
    <m/>
    <m/>
    <m/>
    <m/>
    <m/>
    <m/>
    <m/>
    <m/>
    <m/>
  </r>
  <r>
    <n v="6195"/>
    <n v="56775"/>
    <d v="1998-05-16T00:00:00"/>
    <n v="27"/>
    <x v="1"/>
    <x v="1"/>
    <d v="2024-12-28T00:00:00"/>
    <n v="1.0849315068493151"/>
    <x v="75"/>
    <x v="1"/>
    <x v="8"/>
    <x v="1"/>
    <n v="8.4700000000000006"/>
    <m/>
    <m/>
    <m/>
    <m/>
    <m/>
    <m/>
    <x v="3"/>
    <n v="1"/>
    <n v="6"/>
    <m/>
    <m/>
    <m/>
    <m/>
    <m/>
    <m/>
    <m/>
    <m/>
    <m/>
    <m/>
    <m/>
    <m/>
    <m/>
    <m/>
  </r>
  <r>
    <n v="6196"/>
    <n v="56776"/>
    <d v="2003-09-06T00:00:00"/>
    <n v="22"/>
    <x v="1"/>
    <x v="1"/>
    <d v="2024-11-30T00:00:00"/>
    <n v="1.2383561643835617"/>
    <x v="75"/>
    <x v="1"/>
    <x v="8"/>
    <x v="1"/>
    <n v="8.4700000000000006"/>
    <m/>
    <m/>
    <m/>
    <m/>
    <m/>
    <m/>
    <x v="4"/>
    <n v="1"/>
    <n v="6"/>
    <m/>
    <m/>
    <m/>
    <m/>
    <m/>
    <m/>
    <m/>
    <m/>
    <m/>
    <m/>
    <m/>
    <m/>
    <m/>
    <m/>
  </r>
  <r>
    <n v="6197"/>
    <n v="56777"/>
    <d v="2005-05-30T00:00:00"/>
    <n v="20"/>
    <x v="1"/>
    <x v="1"/>
    <d v="2024-10-05T00:00:00"/>
    <n v="1.0191780821917809"/>
    <x v="75"/>
    <x v="1"/>
    <x v="8"/>
    <x v="1"/>
    <n v="8.4700000000000006"/>
    <m/>
    <m/>
    <m/>
    <m/>
    <m/>
    <m/>
    <x v="4"/>
    <n v="2"/>
    <n v="6"/>
    <m/>
    <m/>
    <m/>
    <m/>
    <m/>
    <m/>
    <m/>
    <m/>
    <m/>
    <m/>
    <m/>
    <m/>
    <m/>
    <m/>
  </r>
  <r>
    <n v="6198"/>
    <n v="56778"/>
    <d v="1996-06-30T00:00:00"/>
    <n v="29"/>
    <x v="0"/>
    <x v="1"/>
    <d v="2024-12-24T00:00:00"/>
    <n v="1.5232876712328767"/>
    <x v="75"/>
    <x v="1"/>
    <x v="8"/>
    <x v="1"/>
    <n v="8.4700000000000006"/>
    <m/>
    <m/>
    <m/>
    <m/>
    <m/>
    <m/>
    <x v="1"/>
    <n v="3"/>
    <n v="5"/>
    <m/>
    <m/>
    <m/>
    <m/>
    <m/>
    <m/>
    <m/>
    <m/>
    <m/>
    <m/>
    <m/>
    <m/>
    <m/>
    <m/>
  </r>
  <r>
    <n v="6199"/>
    <n v="56780"/>
    <d v="2003-07-30T00:00:00"/>
    <n v="22"/>
    <x v="0"/>
    <x v="1"/>
    <d v="2024-06-23T00:00:00"/>
    <n v="1.2027397260273973"/>
    <x v="122"/>
    <x v="1"/>
    <x v="2"/>
    <x v="1"/>
    <n v="14.23"/>
    <m/>
    <m/>
    <m/>
    <m/>
    <m/>
    <m/>
    <x v="1"/>
    <n v="1"/>
    <n v="3"/>
    <m/>
    <m/>
    <m/>
    <m/>
    <m/>
    <m/>
    <m/>
    <m/>
    <m/>
    <m/>
    <m/>
    <m/>
    <m/>
    <m/>
  </r>
  <r>
    <n v="6200"/>
    <n v="56781"/>
    <d v="2004-11-02T00:00:00"/>
    <n v="21"/>
    <x v="1"/>
    <x v="0"/>
    <d v="2024-10-18T00:00:00"/>
    <n v="1.8191780821917809"/>
    <x v="122"/>
    <x v="1"/>
    <x v="8"/>
    <x v="1"/>
    <n v="8.4700000000000006"/>
    <m/>
    <m/>
    <m/>
    <m/>
    <m/>
    <m/>
    <x v="1"/>
    <n v="2"/>
    <n v="6"/>
    <m/>
    <m/>
    <m/>
    <m/>
    <m/>
    <m/>
    <m/>
    <m/>
    <m/>
    <m/>
    <m/>
    <m/>
    <m/>
    <m/>
  </r>
  <r>
    <n v="6201"/>
    <n v="56782"/>
    <d v="2002-08-11T00:00:00"/>
    <n v="23"/>
    <x v="1"/>
    <x v="0"/>
    <d v="2024-03-07T00:00:00"/>
    <n v="1.2794520547945205"/>
    <x v="122"/>
    <x v="1"/>
    <x v="8"/>
    <x v="1"/>
    <n v="8.4700000000000006"/>
    <m/>
    <m/>
    <m/>
    <m/>
    <m/>
    <m/>
    <x v="2"/>
    <n v="4"/>
    <n v="6"/>
    <m/>
    <m/>
    <m/>
    <m/>
    <m/>
    <m/>
    <m/>
    <m/>
    <m/>
    <m/>
    <m/>
    <m/>
    <m/>
    <m/>
  </r>
  <r>
    <n v="6202"/>
    <n v="56783"/>
    <d v="2006-04-11T00:00:00"/>
    <n v="19"/>
    <x v="0"/>
    <x v="1"/>
    <d v="2024-09-20T00:00:00"/>
    <n v="1.6630136986301369"/>
    <x v="122"/>
    <x v="1"/>
    <x v="8"/>
    <x v="1"/>
    <n v="8.4700000000000006"/>
    <m/>
    <m/>
    <m/>
    <m/>
    <m/>
    <m/>
    <x v="1"/>
    <n v="1"/>
    <n v="4"/>
    <m/>
    <m/>
    <m/>
    <m/>
    <m/>
    <m/>
    <m/>
    <m/>
    <m/>
    <m/>
    <m/>
    <m/>
    <m/>
    <m/>
  </r>
  <r>
    <n v="6203"/>
    <n v="56784"/>
    <d v="1995-11-25T00:00:00"/>
    <n v="30"/>
    <x v="1"/>
    <x v="1"/>
    <d v="2024-05-03T00:00:00"/>
    <n v="1.3095890410958904"/>
    <x v="122"/>
    <x v="1"/>
    <x v="8"/>
    <x v="1"/>
    <n v="8.4700000000000006"/>
    <m/>
    <m/>
    <m/>
    <m/>
    <m/>
    <m/>
    <x v="1"/>
    <n v="1"/>
    <n v="5"/>
    <m/>
    <m/>
    <m/>
    <m/>
    <m/>
    <m/>
    <m/>
    <m/>
    <m/>
    <m/>
    <m/>
    <m/>
    <m/>
    <m/>
  </r>
  <r>
    <n v="6204"/>
    <n v="56785"/>
    <d v="1998-11-13T00:00:00"/>
    <n v="27"/>
    <x v="0"/>
    <x v="1"/>
    <d v="2024-09-09T00:00:00"/>
    <n v="1.3561643835616439"/>
    <x v="76"/>
    <x v="1"/>
    <x v="11"/>
    <x v="1"/>
    <n v="17"/>
    <m/>
    <m/>
    <m/>
    <m/>
    <m/>
    <m/>
    <x v="2"/>
    <n v="2"/>
    <n v="4"/>
    <m/>
    <m/>
    <m/>
    <m/>
    <m/>
    <m/>
    <m/>
    <m/>
    <m/>
    <m/>
    <m/>
    <m/>
    <m/>
    <m/>
  </r>
  <r>
    <n v="6205"/>
    <n v="56786"/>
    <d v="2005-03-12T00:00:00"/>
    <n v="20"/>
    <x v="0"/>
    <x v="1"/>
    <d v="2024-08-23T00:00:00"/>
    <n v="1.2876712328767124"/>
    <x v="76"/>
    <x v="1"/>
    <x v="10"/>
    <x v="1"/>
    <n v="10.64"/>
    <m/>
    <m/>
    <m/>
    <m/>
    <m/>
    <m/>
    <x v="3"/>
    <n v="0"/>
    <n v="4"/>
    <m/>
    <m/>
    <m/>
    <m/>
    <m/>
    <m/>
    <m/>
    <m/>
    <m/>
    <m/>
    <m/>
    <m/>
    <m/>
    <m/>
  </r>
  <r>
    <n v="6206"/>
    <n v="56787"/>
    <d v="2006-10-22T00:00:00"/>
    <n v="19"/>
    <x v="1"/>
    <x v="0"/>
    <d v="2024-09-17T00:00:00"/>
    <n v="1.3506849315068492"/>
    <x v="76"/>
    <x v="1"/>
    <x v="8"/>
    <x v="1"/>
    <n v="8.4700000000000006"/>
    <m/>
    <m/>
    <m/>
    <m/>
    <m/>
    <m/>
    <x v="4"/>
    <n v="4"/>
    <n v="7"/>
    <m/>
    <m/>
    <m/>
    <m/>
    <m/>
    <m/>
    <m/>
    <m/>
    <m/>
    <m/>
    <m/>
    <m/>
    <m/>
    <m/>
  </r>
  <r>
    <n v="6207"/>
    <n v="56788"/>
    <d v="1999-10-04T00:00:00"/>
    <n v="26"/>
    <x v="1"/>
    <x v="1"/>
    <d v="2024-08-25T00:00:00"/>
    <n v="1.0575342465753426"/>
    <x v="76"/>
    <x v="1"/>
    <x v="8"/>
    <x v="1"/>
    <n v="8.4700000000000006"/>
    <m/>
    <m/>
    <m/>
    <m/>
    <m/>
    <m/>
    <x v="1"/>
    <n v="3"/>
    <n v="6"/>
    <m/>
    <m/>
    <m/>
    <m/>
    <m/>
    <m/>
    <m/>
    <m/>
    <m/>
    <m/>
    <m/>
    <m/>
    <m/>
    <m/>
  </r>
  <r>
    <n v="6208"/>
    <n v="56789"/>
    <d v="2003-09-06T00:00:00"/>
    <n v="22"/>
    <x v="1"/>
    <x v="1"/>
    <d v="2024-12-10T00:00:00"/>
    <n v="1.2575342465753425"/>
    <x v="76"/>
    <x v="1"/>
    <x v="8"/>
    <x v="1"/>
    <n v="8.4700000000000006"/>
    <m/>
    <m/>
    <m/>
    <m/>
    <m/>
    <m/>
    <x v="4"/>
    <n v="1"/>
    <n v="4"/>
    <m/>
    <m/>
    <m/>
    <m/>
    <m/>
    <m/>
    <m/>
    <m/>
    <m/>
    <m/>
    <m/>
    <m/>
    <m/>
    <m/>
  </r>
  <r>
    <n v="6209"/>
    <n v="56790"/>
    <d v="2006-05-28T00:00:00"/>
    <n v="19"/>
    <x v="0"/>
    <x v="1"/>
    <d v="2024-09-28T00:00:00"/>
    <n v="1.2602739726027397"/>
    <x v="76"/>
    <x v="1"/>
    <x v="8"/>
    <x v="1"/>
    <n v="8.4700000000000006"/>
    <m/>
    <m/>
    <m/>
    <m/>
    <m/>
    <m/>
    <x v="1"/>
    <n v="4"/>
    <n v="6"/>
    <m/>
    <m/>
    <m/>
    <m/>
    <m/>
    <m/>
    <m/>
    <m/>
    <m/>
    <m/>
    <m/>
    <m/>
    <m/>
    <m/>
  </r>
  <r>
    <n v="6210"/>
    <n v="56791"/>
    <d v="2006-05-22T00:00:00"/>
    <n v="19"/>
    <x v="0"/>
    <x v="1"/>
    <d v="2024-09-27T00:00:00"/>
    <n v="1.1835616438356165"/>
    <x v="76"/>
    <x v="1"/>
    <x v="8"/>
    <x v="1"/>
    <n v="8.4700000000000006"/>
    <m/>
    <m/>
    <m/>
    <m/>
    <m/>
    <m/>
    <x v="3"/>
    <n v="2"/>
    <n v="4"/>
    <m/>
    <m/>
    <m/>
    <m/>
    <m/>
    <m/>
    <m/>
    <m/>
    <m/>
    <m/>
    <m/>
    <m/>
    <m/>
    <m/>
  </r>
  <r>
    <n v="6211"/>
    <n v="56792"/>
    <d v="2005-05-09T00:00:00"/>
    <n v="20"/>
    <x v="1"/>
    <x v="1"/>
    <d v="2024-10-25T00:00:00"/>
    <n v="1.7726027397260273"/>
    <x v="76"/>
    <x v="1"/>
    <x v="8"/>
    <x v="1"/>
    <n v="8.4700000000000006"/>
    <m/>
    <m/>
    <m/>
    <m/>
    <m/>
    <m/>
    <x v="2"/>
    <n v="2"/>
    <n v="6"/>
    <m/>
    <m/>
    <m/>
    <m/>
    <m/>
    <m/>
    <m/>
    <m/>
    <m/>
    <m/>
    <m/>
    <m/>
    <m/>
    <m/>
  </r>
  <r>
    <n v="6212"/>
    <n v="56793"/>
    <d v="2003-09-03T00:00:00"/>
    <n v="22"/>
    <x v="1"/>
    <x v="1"/>
    <d v="2024-03-24T00:00:00"/>
    <n v="1.5890410958904109"/>
    <x v="76"/>
    <x v="1"/>
    <x v="8"/>
    <x v="1"/>
    <n v="8.4700000000000006"/>
    <m/>
    <m/>
    <m/>
    <m/>
    <m/>
    <m/>
    <x v="3"/>
    <n v="0"/>
    <n v="5"/>
    <m/>
    <m/>
    <m/>
    <m/>
    <m/>
    <m/>
    <m/>
    <m/>
    <m/>
    <m/>
    <m/>
    <m/>
    <m/>
    <m/>
  </r>
  <r>
    <n v="6213"/>
    <n v="56794"/>
    <d v="2006-02-14T00:00:00"/>
    <n v="19"/>
    <x v="0"/>
    <x v="1"/>
    <d v="2024-05-30T00:00:00"/>
    <n v="1.0931506849315069"/>
    <x v="76"/>
    <x v="1"/>
    <x v="8"/>
    <x v="1"/>
    <n v="8.4700000000000006"/>
    <m/>
    <m/>
    <m/>
    <m/>
    <m/>
    <m/>
    <x v="3"/>
    <n v="1"/>
    <n v="5"/>
    <m/>
    <m/>
    <m/>
    <m/>
    <m/>
    <m/>
    <m/>
    <m/>
    <m/>
    <m/>
    <m/>
    <m/>
    <m/>
    <m/>
  </r>
  <r>
    <n v="6214"/>
    <n v="56795"/>
    <d v="2007-02-04T00:00:00"/>
    <n v="18"/>
    <x v="1"/>
    <x v="1"/>
    <d v="2024-11-27T00:00:00"/>
    <n v="1.1726027397260275"/>
    <x v="76"/>
    <x v="1"/>
    <x v="8"/>
    <x v="1"/>
    <n v="8.4700000000000006"/>
    <m/>
    <m/>
    <m/>
    <m/>
    <m/>
    <m/>
    <x v="3"/>
    <n v="4"/>
    <n v="6"/>
    <m/>
    <m/>
    <m/>
    <m/>
    <m/>
    <m/>
    <m/>
    <m/>
    <m/>
    <m/>
    <m/>
    <m/>
    <m/>
    <m/>
  </r>
  <r>
    <n v="6215"/>
    <n v="56796"/>
    <d v="2001-04-15T00:00:00"/>
    <n v="24"/>
    <x v="1"/>
    <x v="0"/>
    <d v="2024-10-29T00:00:00"/>
    <n v="1.4383561643835616"/>
    <x v="76"/>
    <x v="1"/>
    <x v="8"/>
    <x v="1"/>
    <n v="8.4700000000000006"/>
    <m/>
    <m/>
    <m/>
    <m/>
    <m/>
    <m/>
    <x v="2"/>
    <n v="4"/>
    <n v="6"/>
    <m/>
    <m/>
    <m/>
    <m/>
    <m/>
    <m/>
    <m/>
    <m/>
    <m/>
    <m/>
    <m/>
    <m/>
    <m/>
    <m/>
  </r>
  <r>
    <n v="6216"/>
    <n v="56797"/>
    <d v="2003-12-28T00:00:00"/>
    <n v="22"/>
    <x v="1"/>
    <x v="0"/>
    <d v="2024-07-24T00:00:00"/>
    <n v="1.4054794520547946"/>
    <x v="76"/>
    <x v="1"/>
    <x v="8"/>
    <x v="1"/>
    <n v="8.4700000000000006"/>
    <m/>
    <m/>
    <m/>
    <m/>
    <m/>
    <m/>
    <x v="2"/>
    <n v="1"/>
    <n v="5"/>
    <m/>
    <m/>
    <m/>
    <m/>
    <m/>
    <m/>
    <m/>
    <m/>
    <m/>
    <m/>
    <m/>
    <m/>
    <m/>
    <m/>
  </r>
  <r>
    <n v="6217"/>
    <n v="56798"/>
    <d v="1996-08-24T00:00:00"/>
    <n v="29"/>
    <x v="1"/>
    <x v="1"/>
    <d v="2024-08-05T00:00:00"/>
    <n v="1.0849315068493151"/>
    <x v="76"/>
    <x v="1"/>
    <x v="8"/>
    <x v="1"/>
    <n v="8.4700000000000006"/>
    <m/>
    <m/>
    <m/>
    <m/>
    <m/>
    <m/>
    <x v="4"/>
    <n v="1"/>
    <n v="6"/>
    <m/>
    <m/>
    <m/>
    <m/>
    <m/>
    <m/>
    <m/>
    <m/>
    <m/>
    <m/>
    <m/>
    <m/>
    <m/>
    <m/>
  </r>
  <r>
    <n v="6218"/>
    <n v="56799"/>
    <d v="2005-04-07T00:00:00"/>
    <n v="20"/>
    <x v="1"/>
    <x v="1"/>
    <d v="2024-11-30T00:00:00"/>
    <n v="1.1945205479452055"/>
    <x v="76"/>
    <x v="1"/>
    <x v="8"/>
    <x v="1"/>
    <n v="8.4700000000000006"/>
    <m/>
    <m/>
    <m/>
    <m/>
    <m/>
    <m/>
    <x v="4"/>
    <n v="2"/>
    <n v="5"/>
    <m/>
    <m/>
    <m/>
    <m/>
    <m/>
    <m/>
    <m/>
    <m/>
    <m/>
    <m/>
    <m/>
    <m/>
    <m/>
    <m/>
  </r>
  <r>
    <n v="6219"/>
    <n v="56800"/>
    <d v="2003-05-30T00:00:00"/>
    <n v="22"/>
    <x v="1"/>
    <x v="1"/>
    <d v="2024-10-21T00:00:00"/>
    <n v="1.4958904109589042"/>
    <x v="76"/>
    <x v="1"/>
    <x v="8"/>
    <x v="1"/>
    <n v="8.4700000000000006"/>
    <m/>
    <m/>
    <m/>
    <m/>
    <m/>
    <m/>
    <x v="1"/>
    <n v="1"/>
    <n v="5"/>
    <m/>
    <m/>
    <m/>
    <m/>
    <m/>
    <m/>
    <m/>
    <m/>
    <m/>
    <m/>
    <m/>
    <m/>
    <m/>
    <m/>
  </r>
  <r>
    <n v="6220"/>
    <n v="56801"/>
    <d v="2004-05-10T00:00:00"/>
    <n v="21"/>
    <x v="1"/>
    <x v="0"/>
    <d v="2024-07-03T00:00:00"/>
    <n v="1.3698630136986301"/>
    <x v="76"/>
    <x v="1"/>
    <x v="8"/>
    <x v="1"/>
    <n v="8.4700000000000006"/>
    <m/>
    <m/>
    <m/>
    <m/>
    <m/>
    <m/>
    <x v="3"/>
    <n v="4"/>
    <n v="7"/>
    <m/>
    <m/>
    <m/>
    <m/>
    <m/>
    <m/>
    <m/>
    <m/>
    <m/>
    <m/>
    <m/>
    <m/>
    <m/>
    <m/>
  </r>
  <r>
    <n v="6221"/>
    <n v="56802"/>
    <d v="1996-10-11T00:00:00"/>
    <n v="29"/>
    <x v="1"/>
    <x v="1"/>
    <d v="2024-08-18T00:00:00"/>
    <n v="1.3753424657534246"/>
    <x v="125"/>
    <x v="1"/>
    <x v="11"/>
    <x v="1"/>
    <n v="17"/>
    <m/>
    <m/>
    <m/>
    <m/>
    <m/>
    <m/>
    <x v="1"/>
    <n v="4"/>
    <n v="6"/>
    <m/>
    <m/>
    <m/>
    <m/>
    <m/>
    <m/>
    <m/>
    <m/>
    <m/>
    <m/>
    <m/>
    <m/>
    <m/>
    <m/>
  </r>
  <r>
    <n v="6222"/>
    <n v="56803"/>
    <d v="2001-12-31T00:00:00"/>
    <n v="24"/>
    <x v="1"/>
    <x v="1"/>
    <d v="2024-08-16T00:00:00"/>
    <n v="1.5671232876712329"/>
    <x v="125"/>
    <x v="1"/>
    <x v="3"/>
    <x v="1"/>
    <n v="8.4700000000000006"/>
    <m/>
    <m/>
    <m/>
    <m/>
    <m/>
    <m/>
    <x v="4"/>
    <n v="2"/>
    <n v="5"/>
    <m/>
    <m/>
    <m/>
    <m/>
    <m/>
    <m/>
    <m/>
    <m/>
    <m/>
    <m/>
    <m/>
    <m/>
    <m/>
    <m/>
  </r>
  <r>
    <n v="6223"/>
    <n v="56804"/>
    <d v="2005-02-09T00:00:00"/>
    <n v="20"/>
    <x v="1"/>
    <x v="1"/>
    <d v="2024-06-07T00:00:00"/>
    <n v="1.5315068493150685"/>
    <x v="125"/>
    <x v="1"/>
    <x v="8"/>
    <x v="1"/>
    <n v="8.4700000000000006"/>
    <m/>
    <m/>
    <m/>
    <m/>
    <m/>
    <m/>
    <x v="1"/>
    <n v="0"/>
    <n v="5"/>
    <m/>
    <m/>
    <m/>
    <m/>
    <m/>
    <m/>
    <m/>
    <m/>
    <m/>
    <m/>
    <m/>
    <m/>
    <m/>
    <m/>
  </r>
  <r>
    <n v="6224"/>
    <n v="56806"/>
    <d v="1998-03-19T00:00:00"/>
    <n v="27"/>
    <x v="0"/>
    <x v="1"/>
    <d v="2024-06-20T00:00:00"/>
    <n v="1.6328767123287671"/>
    <x v="125"/>
    <x v="1"/>
    <x v="8"/>
    <x v="1"/>
    <n v="8.4700000000000006"/>
    <m/>
    <m/>
    <m/>
    <m/>
    <m/>
    <m/>
    <x v="1"/>
    <n v="3"/>
    <n v="6"/>
    <m/>
    <m/>
    <m/>
    <m/>
    <m/>
    <m/>
    <m/>
    <m/>
    <m/>
    <m/>
    <m/>
    <m/>
    <m/>
    <m/>
  </r>
  <r>
    <n v="6225"/>
    <n v="56807"/>
    <d v="2004-08-01T00:00:00"/>
    <n v="22"/>
    <x v="1"/>
    <x v="1"/>
    <d v="2024-05-14T00:00:00"/>
    <n v="1.5808219178082192"/>
    <x v="125"/>
    <x v="1"/>
    <x v="8"/>
    <x v="1"/>
    <n v="8.4700000000000006"/>
    <m/>
    <m/>
    <m/>
    <m/>
    <m/>
    <m/>
    <x v="1"/>
    <n v="2"/>
    <n v="6"/>
    <m/>
    <m/>
    <m/>
    <m/>
    <m/>
    <m/>
    <m/>
    <m/>
    <m/>
    <m/>
    <m/>
    <m/>
    <m/>
    <m/>
  </r>
  <r>
    <n v="6226"/>
    <n v="56808"/>
    <d v="2003-08-14T00:00:00"/>
    <n v="22"/>
    <x v="1"/>
    <x v="0"/>
    <d v="2024-06-02T00:00:00"/>
    <n v="1.095890410958904"/>
    <x v="125"/>
    <x v="1"/>
    <x v="8"/>
    <x v="1"/>
    <n v="8.4700000000000006"/>
    <m/>
    <m/>
    <m/>
    <m/>
    <m/>
    <m/>
    <x v="3"/>
    <n v="2"/>
    <n v="6"/>
    <m/>
    <m/>
    <m/>
    <m/>
    <m/>
    <m/>
    <m/>
    <m/>
    <m/>
    <m/>
    <m/>
    <m/>
    <m/>
    <m/>
  </r>
  <r>
    <n v="6227"/>
    <n v="56810"/>
    <d v="2007-12-17T00:00:00"/>
    <n v="18"/>
    <x v="1"/>
    <x v="1"/>
    <d v="2024-11-26T00:00:00"/>
    <n v="1.7013698630136986"/>
    <x v="125"/>
    <x v="1"/>
    <x v="8"/>
    <x v="1"/>
    <n v="8.4700000000000006"/>
    <m/>
    <m/>
    <m/>
    <m/>
    <m/>
    <m/>
    <x v="1"/>
    <n v="2"/>
    <n v="6"/>
    <m/>
    <m/>
    <m/>
    <m/>
    <m/>
    <m/>
    <m/>
    <m/>
    <m/>
    <m/>
    <m/>
    <m/>
    <m/>
    <m/>
  </r>
  <r>
    <n v="6228"/>
    <n v="56811"/>
    <d v="2001-05-03T00:00:00"/>
    <n v="24"/>
    <x v="1"/>
    <x v="1"/>
    <d v="2024-04-19T00:00:00"/>
    <n v="1.1150684931506849"/>
    <x v="118"/>
    <x v="1"/>
    <x v="11"/>
    <x v="1"/>
    <n v="17"/>
    <m/>
    <m/>
    <m/>
    <m/>
    <m/>
    <m/>
    <x v="2"/>
    <n v="1"/>
    <n v="6"/>
    <m/>
    <m/>
    <m/>
    <m/>
    <m/>
    <m/>
    <m/>
    <m/>
    <m/>
    <m/>
    <m/>
    <m/>
    <m/>
    <m/>
  </r>
  <r>
    <n v="6229"/>
    <n v="56812"/>
    <d v="1999-01-16T00:00:00"/>
    <n v="26"/>
    <x v="0"/>
    <x v="1"/>
    <d v="2024-11-19T00:00:00"/>
    <n v="1.4"/>
    <x v="118"/>
    <x v="1"/>
    <x v="11"/>
    <x v="1"/>
    <n v="17"/>
    <m/>
    <m/>
    <m/>
    <m/>
    <m/>
    <m/>
    <x v="1"/>
    <n v="2"/>
    <n v="5"/>
    <m/>
    <m/>
    <m/>
    <m/>
    <m/>
    <m/>
    <m/>
    <m/>
    <m/>
    <m/>
    <m/>
    <m/>
    <m/>
    <m/>
  </r>
  <r>
    <n v="6230"/>
    <n v="56813"/>
    <d v="1992-11-17T00:00:00"/>
    <n v="33"/>
    <x v="1"/>
    <x v="1"/>
    <d v="2024-08-07T00:00:00"/>
    <n v="1.3178082191780822"/>
    <x v="118"/>
    <x v="1"/>
    <x v="11"/>
    <x v="1"/>
    <n v="17"/>
    <m/>
    <m/>
    <m/>
    <m/>
    <m/>
    <m/>
    <x v="3"/>
    <n v="2"/>
    <n v="5"/>
    <m/>
    <m/>
    <m/>
    <m/>
    <m/>
    <m/>
    <m/>
    <m/>
    <m/>
    <m/>
    <m/>
    <m/>
    <m/>
    <m/>
  </r>
  <r>
    <n v="6231"/>
    <n v="56814"/>
    <d v="2004-03-21T00:00:00"/>
    <n v="21"/>
    <x v="1"/>
    <x v="1"/>
    <d v="2024-09-06T00:00:00"/>
    <n v="1.747945205479452"/>
    <x v="118"/>
    <x v="1"/>
    <x v="10"/>
    <x v="1"/>
    <n v="10.64"/>
    <m/>
    <m/>
    <m/>
    <m/>
    <m/>
    <m/>
    <x v="3"/>
    <n v="0"/>
    <n v="6"/>
    <m/>
    <m/>
    <m/>
    <m/>
    <m/>
    <m/>
    <m/>
    <m/>
    <m/>
    <m/>
    <m/>
    <m/>
    <m/>
    <m/>
  </r>
  <r>
    <n v="6232"/>
    <n v="56815"/>
    <d v="2003-12-12T00:00:00"/>
    <n v="22"/>
    <x v="0"/>
    <x v="0"/>
    <d v="2024-04-02T00:00:00"/>
    <n v="1.1726027397260275"/>
    <x v="118"/>
    <x v="1"/>
    <x v="10"/>
    <x v="1"/>
    <n v="10.64"/>
    <m/>
    <m/>
    <m/>
    <m/>
    <m/>
    <m/>
    <x v="1"/>
    <n v="1"/>
    <n v="2"/>
    <m/>
    <m/>
    <m/>
    <m/>
    <m/>
    <m/>
    <m/>
    <m/>
    <m/>
    <m/>
    <m/>
    <m/>
    <m/>
    <m/>
  </r>
  <r>
    <n v="6233"/>
    <n v="56816"/>
    <d v="2005-12-10T00:00:00"/>
    <n v="20"/>
    <x v="1"/>
    <x v="0"/>
    <d v="2024-10-29T00:00:00"/>
    <n v="1.4273972602739726"/>
    <x v="118"/>
    <x v="1"/>
    <x v="10"/>
    <x v="1"/>
    <n v="10.64"/>
    <m/>
    <m/>
    <m/>
    <m/>
    <m/>
    <m/>
    <x v="1"/>
    <n v="0"/>
    <n v="3"/>
    <m/>
    <m/>
    <m/>
    <m/>
    <m/>
    <m/>
    <m/>
    <m/>
    <m/>
    <m/>
    <m/>
    <m/>
    <m/>
    <m/>
  </r>
  <r>
    <n v="6234"/>
    <n v="56817"/>
    <d v="2003-02-17T00:00:00"/>
    <n v="22"/>
    <x v="0"/>
    <x v="0"/>
    <d v="2024-07-28T00:00:00"/>
    <n v="1.1178082191780823"/>
    <x v="118"/>
    <x v="1"/>
    <x v="8"/>
    <x v="1"/>
    <n v="8.4700000000000006"/>
    <m/>
    <m/>
    <m/>
    <m/>
    <m/>
    <m/>
    <x v="1"/>
    <n v="1"/>
    <n v="4"/>
    <m/>
    <m/>
    <m/>
    <m/>
    <m/>
    <m/>
    <m/>
    <m/>
    <m/>
    <m/>
    <m/>
    <m/>
    <m/>
    <m/>
  </r>
  <r>
    <n v="6235"/>
    <n v="56819"/>
    <d v="1999-06-26T00:00:00"/>
    <n v="26"/>
    <x v="1"/>
    <x v="1"/>
    <d v="2024-11-18T00:00:00"/>
    <n v="1.0547945205479452"/>
    <x v="118"/>
    <x v="1"/>
    <x v="8"/>
    <x v="1"/>
    <n v="8.4700000000000006"/>
    <m/>
    <m/>
    <m/>
    <m/>
    <m/>
    <m/>
    <x v="4"/>
    <n v="1"/>
    <n v="6"/>
    <m/>
    <m/>
    <m/>
    <m/>
    <m/>
    <m/>
    <m/>
    <m/>
    <m/>
    <m/>
    <m/>
    <m/>
    <m/>
    <m/>
  </r>
  <r>
    <n v="6236"/>
    <n v="56820"/>
    <d v="2003-02-13T00:00:00"/>
    <n v="22"/>
    <x v="0"/>
    <x v="1"/>
    <d v="2024-12-11T00:00:00"/>
    <n v="1.3150684931506849"/>
    <x v="118"/>
    <x v="1"/>
    <x v="8"/>
    <x v="1"/>
    <n v="8.4700000000000006"/>
    <m/>
    <m/>
    <m/>
    <m/>
    <m/>
    <m/>
    <x v="3"/>
    <n v="4"/>
    <n v="6"/>
    <m/>
    <m/>
    <m/>
    <m/>
    <m/>
    <m/>
    <m/>
    <m/>
    <m/>
    <m/>
    <m/>
    <m/>
    <m/>
    <m/>
  </r>
  <r>
    <n v="6237"/>
    <n v="56821"/>
    <d v="2004-02-26T00:00:00"/>
    <n v="21"/>
    <x v="0"/>
    <x v="0"/>
    <d v="2024-09-07T00:00:00"/>
    <n v="1.7589041095890412"/>
    <x v="118"/>
    <x v="1"/>
    <x v="8"/>
    <x v="1"/>
    <n v="8.4700000000000006"/>
    <m/>
    <m/>
    <m/>
    <m/>
    <m/>
    <m/>
    <x v="1"/>
    <n v="2"/>
    <n v="4"/>
    <m/>
    <m/>
    <m/>
    <m/>
    <m/>
    <m/>
    <m/>
    <m/>
    <m/>
    <m/>
    <m/>
    <m/>
    <m/>
    <m/>
  </r>
  <r>
    <n v="6238"/>
    <n v="56822"/>
    <d v="2001-05-06T00:00:00"/>
    <n v="24"/>
    <x v="1"/>
    <x v="1"/>
    <d v="2024-03-29T00:00:00"/>
    <n v="1.4712328767123288"/>
    <x v="118"/>
    <x v="1"/>
    <x v="8"/>
    <x v="1"/>
    <n v="8.4700000000000006"/>
    <m/>
    <m/>
    <m/>
    <m/>
    <m/>
    <m/>
    <x v="1"/>
    <n v="4"/>
    <n v="6"/>
    <m/>
    <m/>
    <m/>
    <m/>
    <m/>
    <m/>
    <m/>
    <m/>
    <m/>
    <m/>
    <m/>
    <m/>
    <m/>
    <m/>
  </r>
  <r>
    <n v="6239"/>
    <n v="56823"/>
    <d v="2005-10-03T00:00:00"/>
    <n v="20"/>
    <x v="1"/>
    <x v="0"/>
    <d v="2024-07-12T00:00:00"/>
    <n v="1.4904109589041097"/>
    <x v="118"/>
    <x v="1"/>
    <x v="8"/>
    <x v="1"/>
    <n v="8.4700000000000006"/>
    <m/>
    <m/>
    <m/>
    <m/>
    <m/>
    <m/>
    <x v="4"/>
    <n v="2"/>
    <n v="5"/>
    <m/>
    <m/>
    <m/>
    <m/>
    <m/>
    <m/>
    <m/>
    <m/>
    <m/>
    <m/>
    <m/>
    <m/>
    <m/>
    <m/>
  </r>
  <r>
    <n v="6240"/>
    <n v="56824"/>
    <d v="2003-08-08T00:00:00"/>
    <n v="22"/>
    <x v="1"/>
    <x v="1"/>
    <d v="2024-07-05T00:00:00"/>
    <n v="1.715068493150685"/>
    <x v="118"/>
    <x v="1"/>
    <x v="8"/>
    <x v="1"/>
    <n v="8.4700000000000006"/>
    <m/>
    <m/>
    <m/>
    <m/>
    <m/>
    <m/>
    <x v="1"/>
    <n v="3"/>
    <n v="6"/>
    <m/>
    <m/>
    <m/>
    <m/>
    <m/>
    <m/>
    <m/>
    <m/>
    <m/>
    <m/>
    <m/>
    <m/>
    <m/>
    <m/>
  </r>
  <r>
    <n v="6241"/>
    <n v="56825"/>
    <d v="2005-11-18T00:00:00"/>
    <n v="20"/>
    <x v="1"/>
    <x v="1"/>
    <d v="2024-04-14T00:00:00"/>
    <n v="1.2301369863013698"/>
    <x v="118"/>
    <x v="1"/>
    <x v="8"/>
    <x v="1"/>
    <n v="8.4700000000000006"/>
    <m/>
    <m/>
    <m/>
    <m/>
    <m/>
    <m/>
    <x v="4"/>
    <n v="3"/>
    <n v="7"/>
    <m/>
    <m/>
    <m/>
    <m/>
    <m/>
    <m/>
    <m/>
    <m/>
    <m/>
    <m/>
    <m/>
    <m/>
    <m/>
    <m/>
  </r>
  <r>
    <n v="6242"/>
    <n v="56826"/>
    <d v="2001-11-05T00:00:00"/>
    <n v="24"/>
    <x v="1"/>
    <x v="0"/>
    <d v="2024-10-08T00:00:00"/>
    <n v="1.4383561643835616"/>
    <x v="118"/>
    <x v="1"/>
    <x v="8"/>
    <x v="1"/>
    <n v="8.4700000000000006"/>
    <m/>
    <m/>
    <m/>
    <m/>
    <m/>
    <m/>
    <x v="4"/>
    <n v="2"/>
    <n v="5"/>
    <m/>
    <m/>
    <m/>
    <m/>
    <m/>
    <m/>
    <m/>
    <m/>
    <m/>
    <m/>
    <m/>
    <m/>
    <m/>
    <m/>
  </r>
  <r>
    <n v="6243"/>
    <n v="56827"/>
    <d v="2007-08-03T00:00:00"/>
    <n v="18"/>
    <x v="1"/>
    <x v="1"/>
    <d v="2024-07-24T00:00:00"/>
    <n v="1.4958904109589042"/>
    <x v="118"/>
    <x v="1"/>
    <x v="8"/>
    <x v="1"/>
    <n v="8.4700000000000006"/>
    <m/>
    <m/>
    <m/>
    <m/>
    <m/>
    <m/>
    <x v="4"/>
    <n v="2"/>
    <n v="6"/>
    <m/>
    <m/>
    <m/>
    <m/>
    <m/>
    <m/>
    <m/>
    <m/>
    <m/>
    <m/>
    <m/>
    <m/>
    <m/>
    <m/>
  </r>
  <r>
    <n v="6244"/>
    <n v="56828"/>
    <d v="1999-11-09T00:00:00"/>
    <n v="26"/>
    <x v="1"/>
    <x v="0"/>
    <d v="2024-07-03T00:00:00"/>
    <n v="1.5424657534246575"/>
    <x v="118"/>
    <x v="1"/>
    <x v="8"/>
    <x v="1"/>
    <n v="8.4700000000000006"/>
    <m/>
    <m/>
    <m/>
    <m/>
    <m/>
    <m/>
    <x v="1"/>
    <n v="4"/>
    <n v="5"/>
    <m/>
    <m/>
    <m/>
    <m/>
    <m/>
    <m/>
    <m/>
    <m/>
    <m/>
    <m/>
    <m/>
    <m/>
    <m/>
    <m/>
  </r>
  <r>
    <n v="6245"/>
    <n v="56829"/>
    <d v="2004-06-10T00:00:00"/>
    <n v="21"/>
    <x v="1"/>
    <x v="0"/>
    <d v="2024-06-16T00:00:00"/>
    <n v="1.0054794520547945"/>
    <x v="118"/>
    <x v="1"/>
    <x v="8"/>
    <x v="1"/>
    <n v="8.4700000000000006"/>
    <m/>
    <m/>
    <m/>
    <m/>
    <m/>
    <m/>
    <x v="4"/>
    <n v="2"/>
    <n v="5"/>
    <m/>
    <m/>
    <m/>
    <m/>
    <m/>
    <m/>
    <m/>
    <m/>
    <m/>
    <m/>
    <m/>
    <m/>
    <m/>
    <m/>
  </r>
  <r>
    <n v="6246"/>
    <n v="56830"/>
    <d v="2005-12-08T00:00:00"/>
    <n v="20"/>
    <x v="0"/>
    <x v="0"/>
    <d v="2024-12-29T00:00:00"/>
    <n v="1.3205479452054794"/>
    <x v="118"/>
    <x v="1"/>
    <x v="8"/>
    <x v="1"/>
    <n v="8.4700000000000006"/>
    <m/>
    <m/>
    <m/>
    <m/>
    <m/>
    <m/>
    <x v="3"/>
    <n v="2"/>
    <n v="5"/>
    <m/>
    <m/>
    <m/>
    <m/>
    <m/>
    <m/>
    <m/>
    <m/>
    <m/>
    <m/>
    <m/>
    <m/>
    <m/>
    <m/>
  </r>
  <r>
    <n v="6247"/>
    <n v="56831"/>
    <d v="2005-06-18T00:00:00"/>
    <n v="20"/>
    <x v="1"/>
    <x v="1"/>
    <d v="2024-09-05T00:00:00"/>
    <n v="1.0191780821917809"/>
    <x v="118"/>
    <x v="1"/>
    <x v="8"/>
    <x v="1"/>
    <n v="8.4700000000000006"/>
    <m/>
    <m/>
    <m/>
    <m/>
    <m/>
    <m/>
    <x v="1"/>
    <n v="4"/>
    <n v="7"/>
    <m/>
    <m/>
    <m/>
    <m/>
    <m/>
    <m/>
    <m/>
    <m/>
    <m/>
    <m/>
    <m/>
    <m/>
    <m/>
    <m/>
  </r>
  <r>
    <n v="6248"/>
    <n v="56832"/>
    <d v="2005-11-04T00:00:00"/>
    <n v="20"/>
    <x v="1"/>
    <x v="1"/>
    <d v="2024-12-24T00:00:00"/>
    <n v="1.6054794520547946"/>
    <x v="118"/>
    <x v="1"/>
    <x v="8"/>
    <x v="1"/>
    <n v="8.4700000000000006"/>
    <m/>
    <m/>
    <m/>
    <m/>
    <m/>
    <m/>
    <x v="4"/>
    <n v="0"/>
    <n v="6"/>
    <m/>
    <m/>
    <m/>
    <m/>
    <m/>
    <m/>
    <m/>
    <m/>
    <m/>
    <m/>
    <m/>
    <m/>
    <m/>
    <m/>
  </r>
  <r>
    <n v="6249"/>
    <n v="56833"/>
    <d v="2001-05-19T00:00:00"/>
    <n v="24"/>
    <x v="1"/>
    <x v="1"/>
    <d v="2024-05-24T00:00:00"/>
    <n v="1.6273972602739726"/>
    <x v="79"/>
    <x v="1"/>
    <x v="10"/>
    <x v="1"/>
    <n v="10.64"/>
    <m/>
    <m/>
    <m/>
    <m/>
    <m/>
    <m/>
    <x v="4"/>
    <n v="0"/>
    <n v="7"/>
    <m/>
    <m/>
    <m/>
    <m/>
    <m/>
    <m/>
    <m/>
    <m/>
    <m/>
    <m/>
    <m/>
    <m/>
    <m/>
    <m/>
  </r>
  <r>
    <n v="6250"/>
    <n v="56834"/>
    <d v="2004-10-01T00:00:00"/>
    <n v="22"/>
    <x v="1"/>
    <x v="1"/>
    <d v="2024-05-16T00:00:00"/>
    <n v="1.167123287671233"/>
    <x v="79"/>
    <x v="1"/>
    <x v="9"/>
    <x v="1"/>
    <n v="14.07"/>
    <m/>
    <m/>
    <m/>
    <m/>
    <m/>
    <m/>
    <x v="1"/>
    <n v="0"/>
    <n v="6"/>
    <m/>
    <m/>
    <m/>
    <m/>
    <m/>
    <m/>
    <m/>
    <m/>
    <m/>
    <m/>
    <m/>
    <m/>
    <m/>
    <m/>
  </r>
  <r>
    <n v="6251"/>
    <n v="56835"/>
    <d v="2003-01-22T00:00:00"/>
    <n v="22"/>
    <x v="1"/>
    <x v="0"/>
    <d v="2024-10-31T00:00:00"/>
    <n v="1.5068493150684932"/>
    <x v="79"/>
    <x v="1"/>
    <x v="3"/>
    <x v="1"/>
    <n v="8.4700000000000006"/>
    <m/>
    <m/>
    <m/>
    <m/>
    <m/>
    <m/>
    <x v="4"/>
    <n v="2"/>
    <n v="7"/>
    <m/>
    <m/>
    <m/>
    <m/>
    <m/>
    <m/>
    <m/>
    <m/>
    <m/>
    <m/>
    <m/>
    <m/>
    <m/>
    <m/>
  </r>
  <r>
    <n v="6252"/>
    <n v="56837"/>
    <d v="2003-10-04T00:00:00"/>
    <n v="22"/>
    <x v="1"/>
    <x v="1"/>
    <d v="2024-06-29T00:00:00"/>
    <n v="1.452054794520548"/>
    <x v="79"/>
    <x v="1"/>
    <x v="8"/>
    <x v="1"/>
    <n v="8.4700000000000006"/>
    <m/>
    <m/>
    <m/>
    <m/>
    <m/>
    <m/>
    <x v="1"/>
    <n v="2"/>
    <n v="5"/>
    <m/>
    <m/>
    <m/>
    <m/>
    <m/>
    <m/>
    <m/>
    <m/>
    <m/>
    <m/>
    <m/>
    <m/>
    <m/>
    <m/>
  </r>
  <r>
    <n v="6253"/>
    <n v="56838"/>
    <d v="1996-10-01T00:00:00"/>
    <n v="30"/>
    <x v="1"/>
    <x v="1"/>
    <d v="2024-07-19T00:00:00"/>
    <n v="1.3452054794520547"/>
    <x v="79"/>
    <x v="1"/>
    <x v="8"/>
    <x v="1"/>
    <n v="8.4700000000000006"/>
    <m/>
    <m/>
    <m/>
    <m/>
    <m/>
    <m/>
    <x v="3"/>
    <n v="2"/>
    <n v="7"/>
    <m/>
    <m/>
    <m/>
    <m/>
    <m/>
    <m/>
    <m/>
    <m/>
    <m/>
    <m/>
    <m/>
    <m/>
    <m/>
    <m/>
  </r>
  <r>
    <n v="6254"/>
    <n v="56839"/>
    <d v="2004-05-15T00:00:00"/>
    <n v="21"/>
    <x v="1"/>
    <x v="0"/>
    <d v="2024-08-27T00:00:00"/>
    <n v="1.1972602739726028"/>
    <x v="79"/>
    <x v="1"/>
    <x v="8"/>
    <x v="1"/>
    <n v="8.4700000000000006"/>
    <m/>
    <m/>
    <m/>
    <m/>
    <m/>
    <m/>
    <x v="3"/>
    <n v="2"/>
    <n v="5"/>
    <m/>
    <m/>
    <m/>
    <m/>
    <m/>
    <m/>
    <m/>
    <m/>
    <m/>
    <m/>
    <m/>
    <m/>
    <m/>
    <m/>
  </r>
  <r>
    <n v="6255"/>
    <n v="56840"/>
    <d v="2005-09-09T00:00:00"/>
    <n v="20"/>
    <x v="1"/>
    <x v="1"/>
    <d v="2024-10-20T00:00:00"/>
    <n v="1.2027397260273973"/>
    <x v="79"/>
    <x v="1"/>
    <x v="8"/>
    <x v="1"/>
    <n v="8.4700000000000006"/>
    <m/>
    <m/>
    <m/>
    <m/>
    <m/>
    <m/>
    <x v="2"/>
    <n v="4"/>
    <n v="7"/>
    <m/>
    <m/>
    <m/>
    <m/>
    <m/>
    <m/>
    <m/>
    <m/>
    <m/>
    <m/>
    <m/>
    <m/>
    <m/>
    <m/>
  </r>
  <r>
    <n v="6256"/>
    <n v="56843"/>
    <d v="2006-10-01T00:00:00"/>
    <n v="20"/>
    <x v="0"/>
    <x v="1"/>
    <d v="2024-10-18T00:00:00"/>
    <n v="1.1397260273972603"/>
    <x v="79"/>
    <x v="1"/>
    <x v="8"/>
    <x v="1"/>
    <n v="8.4700000000000006"/>
    <m/>
    <m/>
    <m/>
    <m/>
    <m/>
    <m/>
    <x v="2"/>
    <n v="1"/>
    <n v="4"/>
    <m/>
    <m/>
    <m/>
    <m/>
    <m/>
    <m/>
    <m/>
    <m/>
    <m/>
    <m/>
    <m/>
    <m/>
    <m/>
    <m/>
  </r>
  <r>
    <n v="6257"/>
    <n v="56844"/>
    <d v="2001-12-10T00:00:00"/>
    <n v="24"/>
    <x v="1"/>
    <x v="1"/>
    <d v="2024-11-10T00:00:00"/>
    <n v="1.4438356164383561"/>
    <x v="93"/>
    <x v="1"/>
    <x v="11"/>
    <x v="1"/>
    <n v="17"/>
    <m/>
    <m/>
    <m/>
    <m/>
    <m/>
    <m/>
    <x v="1"/>
    <n v="1"/>
    <n v="6"/>
    <m/>
    <m/>
    <m/>
    <m/>
    <m/>
    <m/>
    <m/>
    <m/>
    <m/>
    <m/>
    <m/>
    <m/>
    <m/>
    <m/>
  </r>
  <r>
    <n v="6258"/>
    <n v="56845"/>
    <d v="2000-11-19T00:00:00"/>
    <n v="25"/>
    <x v="1"/>
    <x v="1"/>
    <d v="2024-07-22T00:00:00"/>
    <n v="1.5534246575342465"/>
    <x v="93"/>
    <x v="1"/>
    <x v="11"/>
    <x v="1"/>
    <n v="17"/>
    <m/>
    <m/>
    <m/>
    <m/>
    <m/>
    <m/>
    <x v="1"/>
    <n v="3"/>
    <n v="5"/>
    <m/>
    <m/>
    <m/>
    <m/>
    <m/>
    <m/>
    <m/>
    <m/>
    <m/>
    <m/>
    <m/>
    <m/>
    <m/>
    <m/>
  </r>
  <r>
    <n v="6259"/>
    <n v="56846"/>
    <d v="2001-10-06T00:00:00"/>
    <n v="24"/>
    <x v="1"/>
    <x v="1"/>
    <d v="2024-06-12T00:00:00"/>
    <n v="1.7671232876712328"/>
    <x v="93"/>
    <x v="1"/>
    <x v="11"/>
    <x v="1"/>
    <n v="17"/>
    <m/>
    <m/>
    <m/>
    <m/>
    <m/>
    <m/>
    <x v="4"/>
    <n v="3"/>
    <n v="5"/>
    <m/>
    <m/>
    <m/>
    <m/>
    <m/>
    <m/>
    <m/>
    <m/>
    <m/>
    <m/>
    <m/>
    <m/>
    <m/>
    <m/>
  </r>
  <r>
    <n v="6260"/>
    <n v="56847"/>
    <d v="1995-02-08T00:00:00"/>
    <n v="30"/>
    <x v="0"/>
    <x v="1"/>
    <d v="2024-03-26T00:00:00"/>
    <n v="1.1178082191780823"/>
    <x v="93"/>
    <x v="1"/>
    <x v="10"/>
    <x v="1"/>
    <n v="10.64"/>
    <m/>
    <m/>
    <m/>
    <m/>
    <m/>
    <m/>
    <x v="1"/>
    <n v="1"/>
    <n v="5"/>
    <m/>
    <m/>
    <m/>
    <m/>
    <m/>
    <m/>
    <m/>
    <m/>
    <m/>
    <m/>
    <m/>
    <m/>
    <m/>
    <m/>
  </r>
  <r>
    <n v="6261"/>
    <n v="56848"/>
    <d v="1999-07-17T00:00:00"/>
    <n v="26"/>
    <x v="1"/>
    <x v="1"/>
    <d v="2024-11-18T00:00:00"/>
    <n v="1.1095890410958904"/>
    <x v="93"/>
    <x v="1"/>
    <x v="8"/>
    <x v="1"/>
    <n v="8.4700000000000006"/>
    <m/>
    <m/>
    <m/>
    <m/>
    <m/>
    <m/>
    <x v="2"/>
    <n v="4"/>
    <n v="7"/>
    <m/>
    <m/>
    <m/>
    <m/>
    <m/>
    <m/>
    <m/>
    <m/>
    <m/>
    <m/>
    <m/>
    <m/>
    <m/>
    <m/>
  </r>
  <r>
    <n v="6262"/>
    <n v="56849"/>
    <d v="2000-01-14T00:00:00"/>
    <n v="25"/>
    <x v="0"/>
    <x v="1"/>
    <d v="2024-11-21T00:00:00"/>
    <n v="1.536986301369863"/>
    <x v="109"/>
    <x v="1"/>
    <x v="11"/>
    <x v="1"/>
    <n v="17"/>
    <m/>
    <m/>
    <m/>
    <m/>
    <m/>
    <m/>
    <x v="2"/>
    <n v="4"/>
    <n v="6"/>
    <m/>
    <m/>
    <m/>
    <m/>
    <m/>
    <m/>
    <m/>
    <m/>
    <m/>
    <m/>
    <m/>
    <m/>
    <m/>
    <m/>
  </r>
  <r>
    <n v="6263"/>
    <n v="56850"/>
    <d v="2004-09-26T00:00:00"/>
    <n v="21"/>
    <x v="1"/>
    <x v="1"/>
    <d v="2024-06-18T00:00:00"/>
    <n v="1.1178082191780823"/>
    <x v="109"/>
    <x v="1"/>
    <x v="10"/>
    <x v="1"/>
    <n v="10.64"/>
    <m/>
    <m/>
    <m/>
    <m/>
    <m/>
    <m/>
    <x v="1"/>
    <n v="0"/>
    <n v="7"/>
    <m/>
    <m/>
    <m/>
    <m/>
    <m/>
    <m/>
    <m/>
    <m/>
    <m/>
    <m/>
    <m/>
    <m/>
    <m/>
    <m/>
  </r>
  <r>
    <n v="6264"/>
    <n v="56851"/>
    <d v="2000-11-09T00:00:00"/>
    <n v="25"/>
    <x v="1"/>
    <x v="1"/>
    <d v="2024-11-18T00:00:00"/>
    <n v="1"/>
    <x v="109"/>
    <x v="1"/>
    <x v="3"/>
    <x v="1"/>
    <n v="8.4700000000000006"/>
    <m/>
    <m/>
    <m/>
    <m/>
    <m/>
    <m/>
    <x v="1"/>
    <n v="0"/>
    <n v="6"/>
    <m/>
    <m/>
    <m/>
    <m/>
    <m/>
    <m/>
    <m/>
    <m/>
    <m/>
    <m/>
    <m/>
    <m/>
    <m/>
    <m/>
  </r>
  <r>
    <n v="6265"/>
    <n v="56852"/>
    <d v="2001-11-02T00:00:00"/>
    <n v="24"/>
    <x v="1"/>
    <x v="1"/>
    <d v="2024-12-31T00:00:00"/>
    <n v="1.484931506849315"/>
    <x v="109"/>
    <x v="1"/>
    <x v="8"/>
    <x v="1"/>
    <n v="8.4700000000000006"/>
    <m/>
    <m/>
    <m/>
    <m/>
    <m/>
    <m/>
    <x v="4"/>
    <n v="2"/>
    <n v="5"/>
    <m/>
    <m/>
    <m/>
    <m/>
    <m/>
    <m/>
    <m/>
    <m/>
    <m/>
    <m/>
    <m/>
    <m/>
    <m/>
    <m/>
  </r>
  <r>
    <n v="6266"/>
    <n v="56853"/>
    <d v="1998-06-11T00:00:00"/>
    <n v="27"/>
    <x v="0"/>
    <x v="1"/>
    <d v="2024-07-07T00:00:00"/>
    <n v="1.095890410958904"/>
    <x v="109"/>
    <x v="1"/>
    <x v="8"/>
    <x v="1"/>
    <n v="8.4700000000000006"/>
    <m/>
    <m/>
    <m/>
    <m/>
    <m/>
    <m/>
    <x v="1"/>
    <n v="1"/>
    <n v="5"/>
    <m/>
    <m/>
    <m/>
    <m/>
    <m/>
    <m/>
    <m/>
    <m/>
    <m/>
    <m/>
    <m/>
    <m/>
    <m/>
    <m/>
  </r>
  <r>
    <n v="6267"/>
    <n v="56854"/>
    <d v="2005-08-06T00:00:00"/>
    <n v="20"/>
    <x v="1"/>
    <x v="1"/>
    <d v="2024-11-26T00:00:00"/>
    <n v="1.2301369863013698"/>
    <x v="109"/>
    <x v="1"/>
    <x v="8"/>
    <x v="1"/>
    <n v="8.4700000000000006"/>
    <m/>
    <m/>
    <m/>
    <m/>
    <m/>
    <m/>
    <x v="2"/>
    <n v="4"/>
    <n v="7"/>
    <m/>
    <m/>
    <m/>
    <m/>
    <m/>
    <m/>
    <m/>
    <m/>
    <m/>
    <m/>
    <m/>
    <m/>
    <m/>
    <m/>
  </r>
  <r>
    <n v="6268"/>
    <n v="56855"/>
    <d v="2005-02-16T00:00:00"/>
    <n v="20"/>
    <x v="1"/>
    <x v="1"/>
    <d v="2024-10-08T00:00:00"/>
    <n v="1.0465753424657533"/>
    <x v="109"/>
    <x v="1"/>
    <x v="8"/>
    <x v="1"/>
    <n v="8.4700000000000006"/>
    <m/>
    <m/>
    <m/>
    <m/>
    <m/>
    <m/>
    <x v="4"/>
    <n v="4"/>
    <n v="7"/>
    <m/>
    <m/>
    <m/>
    <m/>
    <m/>
    <m/>
    <m/>
    <m/>
    <m/>
    <m/>
    <m/>
    <m/>
    <m/>
    <m/>
  </r>
  <r>
    <n v="6269"/>
    <n v="56856"/>
    <d v="2004-02-12T00:00:00"/>
    <n v="21"/>
    <x v="1"/>
    <x v="0"/>
    <d v="2024-12-14T00:00:00"/>
    <n v="1.7972602739726027"/>
    <x v="109"/>
    <x v="1"/>
    <x v="8"/>
    <x v="1"/>
    <n v="8.4700000000000006"/>
    <m/>
    <m/>
    <m/>
    <m/>
    <m/>
    <m/>
    <x v="2"/>
    <n v="2"/>
    <n v="5"/>
    <m/>
    <m/>
    <m/>
    <m/>
    <m/>
    <m/>
    <m/>
    <m/>
    <m/>
    <m/>
    <m/>
    <m/>
    <m/>
    <m/>
  </r>
  <r>
    <n v="6270"/>
    <n v="56857"/>
    <d v="2002-09-05T00:00:00"/>
    <n v="23"/>
    <x v="1"/>
    <x v="0"/>
    <d v="2024-03-15T00:00:00"/>
    <n v="1.0136986301369864"/>
    <x v="109"/>
    <x v="1"/>
    <x v="8"/>
    <x v="1"/>
    <n v="8.4700000000000006"/>
    <m/>
    <m/>
    <m/>
    <m/>
    <m/>
    <m/>
    <x v="4"/>
    <n v="2"/>
    <n v="5"/>
    <m/>
    <m/>
    <m/>
    <m/>
    <m/>
    <m/>
    <m/>
    <m/>
    <m/>
    <m/>
    <m/>
    <m/>
    <m/>
    <m/>
  </r>
  <r>
    <n v="6271"/>
    <n v="56858"/>
    <d v="2003-12-21T00:00:00"/>
    <n v="22"/>
    <x v="0"/>
    <x v="0"/>
    <d v="2024-12-26T00:00:00"/>
    <n v="1.7232876712328766"/>
    <x v="109"/>
    <x v="1"/>
    <x v="8"/>
    <x v="1"/>
    <n v="8.4700000000000006"/>
    <m/>
    <m/>
    <m/>
    <m/>
    <m/>
    <m/>
    <x v="4"/>
    <n v="2"/>
    <n v="3"/>
    <m/>
    <m/>
    <m/>
    <m/>
    <m/>
    <m/>
    <m/>
    <m/>
    <m/>
    <m/>
    <m/>
    <m/>
    <m/>
    <m/>
  </r>
  <r>
    <n v="6272"/>
    <n v="56859"/>
    <d v="2007-09-28T00:00:00"/>
    <n v="18"/>
    <x v="1"/>
    <x v="1"/>
    <d v="2024-04-11T00:00:00"/>
    <n v="1.4986301369863013"/>
    <x v="109"/>
    <x v="1"/>
    <x v="8"/>
    <x v="1"/>
    <n v="8.4700000000000006"/>
    <m/>
    <m/>
    <m/>
    <m/>
    <m/>
    <m/>
    <x v="3"/>
    <n v="2"/>
    <n v="6"/>
    <m/>
    <m/>
    <m/>
    <m/>
    <m/>
    <m/>
    <m/>
    <m/>
    <m/>
    <m/>
    <m/>
    <m/>
    <m/>
    <m/>
  </r>
  <r>
    <n v="6273"/>
    <n v="56861"/>
    <d v="2004-04-23T00:00:00"/>
    <n v="21"/>
    <x v="0"/>
    <x v="0"/>
    <d v="2024-07-02T00:00:00"/>
    <n v="1.3643835616438356"/>
    <x v="109"/>
    <x v="1"/>
    <x v="8"/>
    <x v="1"/>
    <n v="8.4700000000000006"/>
    <m/>
    <m/>
    <m/>
    <m/>
    <m/>
    <m/>
    <x v="1"/>
    <n v="4"/>
    <n v="5"/>
    <m/>
    <m/>
    <m/>
    <m/>
    <m/>
    <m/>
    <m/>
    <m/>
    <m/>
    <m/>
    <m/>
    <m/>
    <m/>
    <m/>
  </r>
  <r>
    <n v="6274"/>
    <n v="56862"/>
    <d v="2004-11-16T00:00:00"/>
    <n v="21"/>
    <x v="1"/>
    <x v="1"/>
    <d v="2024-08-20T00:00:00"/>
    <n v="1.6876712328767123"/>
    <x v="109"/>
    <x v="1"/>
    <x v="8"/>
    <x v="1"/>
    <n v="8.4700000000000006"/>
    <m/>
    <m/>
    <m/>
    <m/>
    <m/>
    <m/>
    <x v="2"/>
    <n v="0"/>
    <n v="6"/>
    <m/>
    <m/>
    <m/>
    <m/>
    <m/>
    <m/>
    <m/>
    <m/>
    <m/>
    <m/>
    <m/>
    <m/>
    <m/>
    <m/>
  </r>
  <r>
    <n v="6275"/>
    <n v="56863"/>
    <d v="2004-11-01T00:00:00"/>
    <n v="22"/>
    <x v="1"/>
    <x v="1"/>
    <d v="2024-04-24T00:00:00"/>
    <n v="1.8575342465753424"/>
    <x v="109"/>
    <x v="1"/>
    <x v="8"/>
    <x v="1"/>
    <n v="8.4700000000000006"/>
    <m/>
    <m/>
    <m/>
    <m/>
    <m/>
    <m/>
    <x v="4"/>
    <n v="4"/>
    <n v="7"/>
    <m/>
    <m/>
    <m/>
    <m/>
    <m/>
    <m/>
    <m/>
    <m/>
    <m/>
    <m/>
    <m/>
    <m/>
    <m/>
    <m/>
  </r>
  <r>
    <n v="6276"/>
    <n v="56864"/>
    <d v="2003-10-05T00:00:00"/>
    <n v="22"/>
    <x v="0"/>
    <x v="0"/>
    <d v="2024-02-22T00:00:00"/>
    <n v="1.5561643835616439"/>
    <x v="109"/>
    <x v="1"/>
    <x v="8"/>
    <x v="1"/>
    <n v="8.4700000000000006"/>
    <m/>
    <m/>
    <m/>
    <m/>
    <m/>
    <m/>
    <x v="4"/>
    <n v="4"/>
    <n v="4"/>
    <m/>
    <m/>
    <m/>
    <m/>
    <m/>
    <m/>
    <m/>
    <m/>
    <m/>
    <m/>
    <m/>
    <m/>
    <m/>
    <m/>
  </r>
  <r>
    <n v="6277"/>
    <n v="56865"/>
    <d v="2005-01-02T00:00:00"/>
    <n v="20"/>
    <x v="1"/>
    <x v="1"/>
    <d v="2024-06-11T00:00:00"/>
    <n v="1.7643835616438357"/>
    <x v="109"/>
    <x v="1"/>
    <x v="8"/>
    <x v="1"/>
    <n v="8.4700000000000006"/>
    <m/>
    <m/>
    <m/>
    <m/>
    <m/>
    <m/>
    <x v="3"/>
    <n v="2"/>
    <n v="7"/>
    <m/>
    <m/>
    <m/>
    <m/>
    <m/>
    <m/>
    <m/>
    <m/>
    <m/>
    <m/>
    <m/>
    <m/>
    <m/>
    <m/>
  </r>
  <r>
    <n v="6278"/>
    <n v="56866"/>
    <d v="2006-06-06T00:00:00"/>
    <n v="19"/>
    <x v="1"/>
    <x v="1"/>
    <d v="2024-03-27T00:00:00"/>
    <n v="1.7424657534246575"/>
    <x v="109"/>
    <x v="1"/>
    <x v="8"/>
    <x v="1"/>
    <n v="8.4700000000000006"/>
    <m/>
    <m/>
    <m/>
    <m/>
    <m/>
    <m/>
    <x v="3"/>
    <n v="2"/>
    <n v="6"/>
    <m/>
    <m/>
    <m/>
    <m/>
    <m/>
    <m/>
    <m/>
    <m/>
    <m/>
    <m/>
    <m/>
    <m/>
    <m/>
    <m/>
  </r>
  <r>
    <n v="6279"/>
    <n v="56867"/>
    <d v="2000-09-17T00:00:00"/>
    <n v="25"/>
    <x v="0"/>
    <x v="1"/>
    <d v="2024-04-04T00:00:00"/>
    <n v="1.6219178082191781"/>
    <x v="129"/>
    <x v="1"/>
    <x v="11"/>
    <x v="1"/>
    <n v="17"/>
    <m/>
    <m/>
    <m/>
    <m/>
    <m/>
    <m/>
    <x v="4"/>
    <n v="1"/>
    <n v="4"/>
    <m/>
    <m/>
    <m/>
    <m/>
    <m/>
    <m/>
    <m/>
    <m/>
    <m/>
    <m/>
    <m/>
    <m/>
    <m/>
    <m/>
  </r>
  <r>
    <n v="6280"/>
    <n v="56868"/>
    <d v="1997-08-31T00:00:00"/>
    <n v="28"/>
    <x v="0"/>
    <x v="1"/>
    <d v="2024-05-18T00:00:00"/>
    <n v="1.5123287671232877"/>
    <x v="129"/>
    <x v="1"/>
    <x v="1"/>
    <x v="1"/>
    <n v="16.37"/>
    <m/>
    <m/>
    <m/>
    <m/>
    <m/>
    <m/>
    <x v="1"/>
    <n v="1"/>
    <n v="4"/>
    <m/>
    <m/>
    <m/>
    <m/>
    <m/>
    <m/>
    <m/>
    <m/>
    <m/>
    <m/>
    <m/>
    <m/>
    <m/>
    <m/>
  </r>
  <r>
    <n v="6281"/>
    <n v="56869"/>
    <d v="2004-07-02T00:00:00"/>
    <n v="21"/>
    <x v="0"/>
    <x v="1"/>
    <d v="2024-06-27T00:00:00"/>
    <n v="1.0712328767123287"/>
    <x v="129"/>
    <x v="1"/>
    <x v="3"/>
    <x v="1"/>
    <n v="8.4700000000000006"/>
    <m/>
    <m/>
    <m/>
    <m/>
    <m/>
    <m/>
    <x v="3"/>
    <n v="1"/>
    <n v="4"/>
    <m/>
    <m/>
    <m/>
    <m/>
    <m/>
    <m/>
    <m/>
    <m/>
    <m/>
    <m/>
    <m/>
    <m/>
    <m/>
    <m/>
  </r>
  <r>
    <n v="6282"/>
    <n v="56870"/>
    <d v="2006-10-27T00:00:00"/>
    <n v="19"/>
    <x v="1"/>
    <x v="1"/>
    <d v="2024-12-05T00:00:00"/>
    <n v="1.0082191780821919"/>
    <x v="129"/>
    <x v="1"/>
    <x v="3"/>
    <x v="1"/>
    <n v="8.4700000000000006"/>
    <m/>
    <m/>
    <m/>
    <m/>
    <m/>
    <m/>
    <x v="3"/>
    <n v="2"/>
    <n v="6"/>
    <m/>
    <m/>
    <m/>
    <m/>
    <m/>
    <m/>
    <m/>
    <m/>
    <m/>
    <m/>
    <m/>
    <m/>
    <m/>
    <m/>
  </r>
  <r>
    <n v="6283"/>
    <n v="56871"/>
    <d v="1994-07-29T00:00:00"/>
    <n v="31"/>
    <x v="1"/>
    <x v="0"/>
    <d v="2024-12-28T00:00:00"/>
    <n v="1.0630136986301371"/>
    <x v="129"/>
    <x v="1"/>
    <x v="8"/>
    <x v="1"/>
    <n v="8.4700000000000006"/>
    <m/>
    <m/>
    <m/>
    <m/>
    <m/>
    <m/>
    <x v="2"/>
    <n v="2"/>
    <n v="5"/>
    <m/>
    <m/>
    <m/>
    <m/>
    <m/>
    <m/>
    <m/>
    <m/>
    <m/>
    <m/>
    <m/>
    <m/>
    <m/>
    <m/>
  </r>
  <r>
    <n v="6284"/>
    <n v="56872"/>
    <d v="2000-06-12T00:00:00"/>
    <n v="25"/>
    <x v="1"/>
    <x v="0"/>
    <d v="2024-12-08T00:00:00"/>
    <n v="1.3232876712328767"/>
    <x v="129"/>
    <x v="1"/>
    <x v="8"/>
    <x v="1"/>
    <n v="8.4700000000000006"/>
    <m/>
    <m/>
    <m/>
    <m/>
    <m/>
    <m/>
    <x v="1"/>
    <n v="0"/>
    <n v="5"/>
    <m/>
    <m/>
    <m/>
    <m/>
    <m/>
    <m/>
    <m/>
    <m/>
    <m/>
    <m/>
    <m/>
    <m/>
    <m/>
    <m/>
  </r>
  <r>
    <n v="6285"/>
    <n v="56873"/>
    <d v="2003-02-04T00:00:00"/>
    <n v="22"/>
    <x v="1"/>
    <x v="0"/>
    <d v="2024-09-04T00:00:00"/>
    <n v="1.1561643835616437"/>
    <x v="129"/>
    <x v="1"/>
    <x v="8"/>
    <x v="1"/>
    <n v="8.4700000000000006"/>
    <m/>
    <m/>
    <m/>
    <m/>
    <m/>
    <m/>
    <x v="4"/>
    <n v="3"/>
    <n v="6"/>
    <m/>
    <m/>
    <m/>
    <m/>
    <m/>
    <m/>
    <m/>
    <m/>
    <m/>
    <m/>
    <m/>
    <m/>
    <m/>
    <m/>
  </r>
  <r>
    <n v="6286"/>
    <n v="56874"/>
    <d v="2004-04-22T00:00:00"/>
    <n v="21"/>
    <x v="1"/>
    <x v="1"/>
    <d v="2024-11-04T00:00:00"/>
    <n v="1.715068493150685"/>
    <x v="129"/>
    <x v="1"/>
    <x v="8"/>
    <x v="1"/>
    <n v="8.4700000000000006"/>
    <m/>
    <m/>
    <m/>
    <m/>
    <m/>
    <m/>
    <x v="1"/>
    <n v="2"/>
    <n v="6"/>
    <m/>
    <m/>
    <m/>
    <m/>
    <m/>
    <m/>
    <m/>
    <m/>
    <m/>
    <m/>
    <m/>
    <m/>
    <m/>
    <m/>
  </r>
  <r>
    <n v="6287"/>
    <n v="56875"/>
    <d v="2006-08-24T00:00:00"/>
    <n v="19"/>
    <x v="1"/>
    <x v="1"/>
    <d v="2024-04-14T00:00:00"/>
    <n v="1.6493150684931508"/>
    <x v="129"/>
    <x v="1"/>
    <x v="8"/>
    <x v="1"/>
    <n v="8.4700000000000006"/>
    <m/>
    <m/>
    <m/>
    <m/>
    <m/>
    <m/>
    <x v="2"/>
    <n v="2"/>
    <n v="6"/>
    <m/>
    <m/>
    <m/>
    <m/>
    <m/>
    <m/>
    <m/>
    <m/>
    <m/>
    <m/>
    <m/>
    <m/>
    <m/>
    <m/>
  </r>
  <r>
    <n v="6288"/>
    <n v="56877"/>
    <d v="2001-09-26T00:00:00"/>
    <n v="24"/>
    <x v="1"/>
    <x v="0"/>
    <d v="2024-05-08T00:00:00"/>
    <n v="1.5123287671232877"/>
    <x v="129"/>
    <x v="1"/>
    <x v="8"/>
    <x v="1"/>
    <n v="8.4700000000000006"/>
    <m/>
    <m/>
    <m/>
    <m/>
    <m/>
    <m/>
    <x v="1"/>
    <n v="2"/>
    <n v="4"/>
    <m/>
    <m/>
    <m/>
    <m/>
    <m/>
    <m/>
    <m/>
    <m/>
    <m/>
    <m/>
    <m/>
    <m/>
    <m/>
    <m/>
  </r>
  <r>
    <n v="6289"/>
    <n v="56878"/>
    <d v="2005-10-22T00:00:00"/>
    <n v="20"/>
    <x v="1"/>
    <x v="1"/>
    <d v="2024-06-27T00:00:00"/>
    <n v="1.3397260273972602"/>
    <x v="129"/>
    <x v="1"/>
    <x v="8"/>
    <x v="1"/>
    <n v="8.4700000000000006"/>
    <m/>
    <m/>
    <m/>
    <m/>
    <m/>
    <m/>
    <x v="2"/>
    <n v="4"/>
    <n v="6"/>
    <m/>
    <m/>
    <m/>
    <m/>
    <m/>
    <m/>
    <m/>
    <m/>
    <m/>
    <m/>
    <m/>
    <m/>
    <m/>
    <m/>
  </r>
  <r>
    <n v="6290"/>
    <n v="56879"/>
    <d v="2004-02-09T00:00:00"/>
    <n v="21"/>
    <x v="0"/>
    <x v="1"/>
    <d v="2024-08-29T00:00:00"/>
    <n v="1.6"/>
    <x v="129"/>
    <x v="1"/>
    <x v="8"/>
    <x v="1"/>
    <n v="8.4700000000000006"/>
    <m/>
    <m/>
    <m/>
    <m/>
    <m/>
    <m/>
    <x v="4"/>
    <n v="4"/>
    <n v="3"/>
    <m/>
    <m/>
    <m/>
    <m/>
    <m/>
    <m/>
    <m/>
    <m/>
    <m/>
    <m/>
    <m/>
    <m/>
    <m/>
    <m/>
  </r>
  <r>
    <n v="6291"/>
    <n v="56880"/>
    <d v="1995-12-25T00:00:00"/>
    <n v="30"/>
    <x v="0"/>
    <x v="0"/>
    <d v="2024-05-26T00:00:00"/>
    <n v="1.2136986301369863"/>
    <x v="129"/>
    <x v="1"/>
    <x v="8"/>
    <x v="1"/>
    <n v="8.4700000000000006"/>
    <m/>
    <m/>
    <m/>
    <m/>
    <m/>
    <m/>
    <x v="1"/>
    <n v="0"/>
    <n v="2"/>
    <m/>
    <m/>
    <m/>
    <m/>
    <m/>
    <m/>
    <m/>
    <m/>
    <m/>
    <m/>
    <m/>
    <m/>
    <m/>
    <m/>
  </r>
  <r>
    <n v="6292"/>
    <n v="56881"/>
    <d v="2005-12-14T00:00:00"/>
    <n v="20"/>
    <x v="1"/>
    <x v="1"/>
    <d v="2024-10-14T00:00:00"/>
    <n v="1.0684931506849316"/>
    <x v="129"/>
    <x v="1"/>
    <x v="8"/>
    <x v="1"/>
    <n v="8.4700000000000006"/>
    <m/>
    <m/>
    <m/>
    <m/>
    <m/>
    <m/>
    <x v="1"/>
    <n v="1"/>
    <n v="6"/>
    <m/>
    <m/>
    <m/>
    <m/>
    <m/>
    <m/>
    <m/>
    <m/>
    <m/>
    <m/>
    <m/>
    <m/>
    <m/>
    <m/>
  </r>
  <r>
    <n v="6293"/>
    <n v="56882"/>
    <d v="1996-04-28T00:00:00"/>
    <n v="29"/>
    <x v="0"/>
    <x v="0"/>
    <d v="2024-12-06T00:00:00"/>
    <n v="1.252054794520548"/>
    <x v="80"/>
    <x v="1"/>
    <x v="11"/>
    <x v="1"/>
    <n v="17"/>
    <m/>
    <m/>
    <m/>
    <m/>
    <m/>
    <m/>
    <x v="4"/>
    <n v="4"/>
    <n v="5"/>
    <m/>
    <m/>
    <m/>
    <m/>
    <m/>
    <m/>
    <m/>
    <m/>
    <m/>
    <m/>
    <m/>
    <m/>
    <m/>
    <m/>
  </r>
  <r>
    <n v="6294"/>
    <n v="56883"/>
    <d v="1999-05-07T00:00:00"/>
    <n v="26"/>
    <x v="0"/>
    <x v="1"/>
    <d v="2024-09-30T00:00:00"/>
    <n v="1.0410958904109588"/>
    <x v="80"/>
    <x v="1"/>
    <x v="10"/>
    <x v="1"/>
    <n v="10.64"/>
    <m/>
    <m/>
    <m/>
    <m/>
    <m/>
    <m/>
    <x v="3"/>
    <n v="0"/>
    <n v="3"/>
    <m/>
    <m/>
    <m/>
    <m/>
    <m/>
    <m/>
    <m/>
    <m/>
    <m/>
    <m/>
    <m/>
    <m/>
    <m/>
    <m/>
  </r>
  <r>
    <n v="6295"/>
    <n v="56884"/>
    <d v="2006-12-06T00:00:00"/>
    <n v="19"/>
    <x v="1"/>
    <x v="1"/>
    <d v="2024-12-16T00:00:00"/>
    <n v="1.2054794520547945"/>
    <x v="80"/>
    <x v="1"/>
    <x v="3"/>
    <x v="1"/>
    <n v="8.4700000000000006"/>
    <m/>
    <m/>
    <m/>
    <m/>
    <m/>
    <m/>
    <x v="1"/>
    <n v="2"/>
    <n v="7"/>
    <m/>
    <m/>
    <m/>
    <m/>
    <m/>
    <m/>
    <m/>
    <m/>
    <m/>
    <m/>
    <m/>
    <m/>
    <m/>
    <m/>
  </r>
  <r>
    <n v="6296"/>
    <n v="56885"/>
    <d v="1996-12-15T00:00:00"/>
    <n v="29"/>
    <x v="0"/>
    <x v="1"/>
    <d v="2024-10-17T00:00:00"/>
    <n v="1.4493150684931506"/>
    <x v="80"/>
    <x v="1"/>
    <x v="7"/>
    <x v="1"/>
    <n v="17.59"/>
    <m/>
    <m/>
    <m/>
    <m/>
    <m/>
    <m/>
    <x v="3"/>
    <n v="3"/>
    <n v="4"/>
    <m/>
    <m/>
    <m/>
    <m/>
    <m/>
    <m/>
    <m/>
    <m/>
    <m/>
    <m/>
    <m/>
    <m/>
    <m/>
    <m/>
  </r>
  <r>
    <n v="6297"/>
    <n v="56886"/>
    <d v="2005-04-25T00:00:00"/>
    <n v="20"/>
    <x v="1"/>
    <x v="1"/>
    <d v="2024-07-20T00:00:00"/>
    <n v="1.7506849315068493"/>
    <x v="80"/>
    <x v="1"/>
    <x v="8"/>
    <x v="1"/>
    <n v="8.4700000000000006"/>
    <m/>
    <m/>
    <m/>
    <m/>
    <m/>
    <m/>
    <x v="4"/>
    <n v="4"/>
    <n v="6"/>
    <m/>
    <m/>
    <m/>
    <m/>
    <m/>
    <m/>
    <m/>
    <m/>
    <m/>
    <m/>
    <m/>
    <m/>
    <m/>
    <m/>
  </r>
  <r>
    <n v="6298"/>
    <n v="56887"/>
    <d v="2006-04-15T00:00:00"/>
    <n v="19"/>
    <x v="1"/>
    <x v="1"/>
    <d v="2024-04-01T00:00:00"/>
    <n v="1.2082191780821918"/>
    <x v="80"/>
    <x v="1"/>
    <x v="8"/>
    <x v="1"/>
    <n v="8.4700000000000006"/>
    <m/>
    <m/>
    <m/>
    <m/>
    <m/>
    <m/>
    <x v="1"/>
    <n v="0"/>
    <n v="4"/>
    <m/>
    <m/>
    <m/>
    <m/>
    <m/>
    <m/>
    <m/>
    <m/>
    <m/>
    <m/>
    <m/>
    <m/>
    <m/>
    <m/>
  </r>
  <r>
    <n v="6299"/>
    <n v="56888"/>
    <d v="1996-05-19T00:00:00"/>
    <n v="29"/>
    <x v="1"/>
    <x v="1"/>
    <d v="2024-10-16T00:00:00"/>
    <n v="1.0082191780821919"/>
    <x v="80"/>
    <x v="1"/>
    <x v="8"/>
    <x v="1"/>
    <n v="8.4700000000000006"/>
    <m/>
    <m/>
    <m/>
    <m/>
    <m/>
    <m/>
    <x v="4"/>
    <n v="0"/>
    <n v="5"/>
    <m/>
    <m/>
    <m/>
    <m/>
    <m/>
    <m/>
    <m/>
    <m/>
    <m/>
    <m/>
    <m/>
    <m/>
    <m/>
    <m/>
  </r>
  <r>
    <n v="6300"/>
    <n v="56889"/>
    <d v="1998-04-18T00:00:00"/>
    <n v="27"/>
    <x v="1"/>
    <x v="0"/>
    <d v="2024-12-28T00:00:00"/>
    <n v="1.1945205479452055"/>
    <x v="80"/>
    <x v="1"/>
    <x v="8"/>
    <x v="1"/>
    <n v="8.4700000000000006"/>
    <m/>
    <m/>
    <m/>
    <m/>
    <m/>
    <m/>
    <x v="1"/>
    <n v="2"/>
    <n v="6"/>
    <m/>
    <m/>
    <m/>
    <m/>
    <m/>
    <m/>
    <m/>
    <m/>
    <m/>
    <m/>
    <m/>
    <m/>
    <m/>
    <m/>
  </r>
  <r>
    <n v="6301"/>
    <n v="56890"/>
    <d v="2005-10-10T00:00:00"/>
    <n v="20"/>
    <x v="0"/>
    <x v="1"/>
    <d v="2024-10-21T00:00:00"/>
    <n v="1.1041095890410959"/>
    <x v="80"/>
    <x v="1"/>
    <x v="8"/>
    <x v="1"/>
    <n v="8.4700000000000006"/>
    <m/>
    <m/>
    <m/>
    <m/>
    <m/>
    <m/>
    <x v="2"/>
    <n v="4"/>
    <n v="5"/>
    <m/>
    <m/>
    <m/>
    <m/>
    <m/>
    <m/>
    <m/>
    <m/>
    <m/>
    <m/>
    <m/>
    <m/>
    <m/>
    <m/>
  </r>
  <r>
    <n v="6302"/>
    <n v="56891"/>
    <d v="2007-06-02T00:00:00"/>
    <n v="18"/>
    <x v="1"/>
    <x v="1"/>
    <d v="2024-11-23T00:00:00"/>
    <n v="1.3917808219178083"/>
    <x v="80"/>
    <x v="1"/>
    <x v="8"/>
    <x v="1"/>
    <n v="8.4700000000000006"/>
    <m/>
    <m/>
    <m/>
    <m/>
    <m/>
    <m/>
    <x v="1"/>
    <n v="1"/>
    <n v="7"/>
    <m/>
    <m/>
    <m/>
    <m/>
    <m/>
    <m/>
    <m/>
    <m/>
    <m/>
    <m/>
    <m/>
    <m/>
    <m/>
    <m/>
  </r>
  <r>
    <n v="6303"/>
    <n v="56892"/>
    <d v="2006-04-08T00:00:00"/>
    <n v="19"/>
    <x v="1"/>
    <x v="1"/>
    <d v="2024-08-10T00:00:00"/>
    <n v="1.3753424657534246"/>
    <x v="80"/>
    <x v="1"/>
    <x v="8"/>
    <x v="1"/>
    <n v="8.4700000000000006"/>
    <m/>
    <m/>
    <m/>
    <m/>
    <m/>
    <m/>
    <x v="1"/>
    <n v="1"/>
    <n v="7"/>
    <m/>
    <m/>
    <m/>
    <m/>
    <m/>
    <m/>
    <m/>
    <m/>
    <m/>
    <m/>
    <m/>
    <m/>
    <m/>
    <m/>
  </r>
  <r>
    <n v="6304"/>
    <n v="56893"/>
    <d v="2002-11-11T00:00:00"/>
    <n v="23"/>
    <x v="0"/>
    <x v="0"/>
    <d v="2024-08-16T00:00:00"/>
    <n v="1.4082191780821918"/>
    <x v="80"/>
    <x v="1"/>
    <x v="8"/>
    <x v="1"/>
    <n v="8.4700000000000006"/>
    <m/>
    <m/>
    <m/>
    <m/>
    <m/>
    <m/>
    <x v="3"/>
    <n v="2"/>
    <n v="3"/>
    <m/>
    <m/>
    <m/>
    <m/>
    <m/>
    <m/>
    <m/>
    <m/>
    <m/>
    <m/>
    <m/>
    <m/>
    <m/>
    <m/>
  </r>
  <r>
    <n v="6305"/>
    <n v="56894"/>
    <d v="2004-09-23T00:00:00"/>
    <n v="21"/>
    <x v="1"/>
    <x v="1"/>
    <d v="2024-08-04T00:00:00"/>
    <n v="1.4547945205479451"/>
    <x v="80"/>
    <x v="1"/>
    <x v="8"/>
    <x v="1"/>
    <n v="8.4700000000000006"/>
    <m/>
    <m/>
    <m/>
    <m/>
    <m/>
    <m/>
    <x v="2"/>
    <n v="1"/>
    <n v="5"/>
    <m/>
    <m/>
    <m/>
    <m/>
    <m/>
    <m/>
    <m/>
    <m/>
    <m/>
    <m/>
    <m/>
    <m/>
    <m/>
    <m/>
  </r>
  <r>
    <n v="6306"/>
    <n v="56895"/>
    <d v="2003-04-14T00:00:00"/>
    <n v="22"/>
    <x v="0"/>
    <x v="1"/>
    <d v="2024-07-18T00:00:00"/>
    <n v="1.1534246575342466"/>
    <x v="80"/>
    <x v="1"/>
    <x v="8"/>
    <x v="1"/>
    <n v="8.4700000000000006"/>
    <m/>
    <m/>
    <m/>
    <m/>
    <m/>
    <m/>
    <x v="4"/>
    <n v="2"/>
    <n v="3"/>
    <m/>
    <m/>
    <m/>
    <m/>
    <m/>
    <m/>
    <m/>
    <m/>
    <m/>
    <m/>
    <m/>
    <m/>
    <m/>
    <m/>
  </r>
  <r>
    <n v="6307"/>
    <n v="56896"/>
    <d v="2003-06-26T00:00:00"/>
    <n v="22"/>
    <x v="1"/>
    <x v="1"/>
    <d v="2024-11-05T00:00:00"/>
    <n v="1.0191780821917809"/>
    <x v="80"/>
    <x v="1"/>
    <x v="8"/>
    <x v="1"/>
    <n v="8.4700000000000006"/>
    <m/>
    <m/>
    <m/>
    <m/>
    <m/>
    <m/>
    <x v="1"/>
    <n v="4"/>
    <n v="7"/>
    <m/>
    <m/>
    <m/>
    <m/>
    <m/>
    <m/>
    <m/>
    <m/>
    <m/>
    <m/>
    <m/>
    <m/>
    <m/>
    <m/>
  </r>
  <r>
    <n v="6308"/>
    <n v="56897"/>
    <d v="2001-03-24T00:00:00"/>
    <n v="24"/>
    <x v="1"/>
    <x v="1"/>
    <d v="2024-12-24T00:00:00"/>
    <n v="1.6767123287671233"/>
    <x v="80"/>
    <x v="1"/>
    <x v="8"/>
    <x v="1"/>
    <n v="8.4700000000000006"/>
    <m/>
    <m/>
    <m/>
    <m/>
    <m/>
    <m/>
    <x v="2"/>
    <n v="2"/>
    <n v="6"/>
    <m/>
    <m/>
    <m/>
    <m/>
    <m/>
    <m/>
    <m/>
    <m/>
    <m/>
    <m/>
    <m/>
    <m/>
    <m/>
    <m/>
  </r>
  <r>
    <n v="6309"/>
    <n v="56898"/>
    <d v="1992-12-10T00:00:00"/>
    <n v="33"/>
    <x v="1"/>
    <x v="0"/>
    <d v="2024-04-28T00:00:00"/>
    <n v="1.3643835616438356"/>
    <x v="107"/>
    <x v="1"/>
    <x v="11"/>
    <x v="1"/>
    <n v="17"/>
    <m/>
    <m/>
    <m/>
    <m/>
    <m/>
    <m/>
    <x v="2"/>
    <n v="2"/>
    <n v="6"/>
    <m/>
    <m/>
    <m/>
    <m/>
    <m/>
    <m/>
    <m/>
    <m/>
    <m/>
    <m/>
    <m/>
    <m/>
    <m/>
    <m/>
  </r>
  <r>
    <n v="6310"/>
    <n v="56899"/>
    <d v="2005-09-05T00:00:00"/>
    <n v="20"/>
    <x v="0"/>
    <x v="0"/>
    <d v="2024-08-20T00:00:00"/>
    <n v="1.4246575342465753"/>
    <x v="107"/>
    <x v="1"/>
    <x v="10"/>
    <x v="1"/>
    <n v="10.64"/>
    <m/>
    <m/>
    <m/>
    <m/>
    <m/>
    <m/>
    <x v="1"/>
    <n v="1"/>
    <n v="3"/>
    <m/>
    <m/>
    <m/>
    <m/>
    <m/>
    <m/>
    <m/>
    <m/>
    <m/>
    <m/>
    <m/>
    <m/>
    <m/>
    <m/>
  </r>
  <r>
    <n v="6311"/>
    <n v="56900"/>
    <d v="2005-03-10T00:00:00"/>
    <n v="20"/>
    <x v="1"/>
    <x v="1"/>
    <d v="2024-07-29T00:00:00"/>
    <n v="1.178082191780822"/>
    <x v="107"/>
    <x v="1"/>
    <x v="3"/>
    <x v="1"/>
    <n v="8.4700000000000006"/>
    <m/>
    <m/>
    <m/>
    <m/>
    <m/>
    <m/>
    <x v="2"/>
    <n v="1"/>
    <n v="6"/>
    <m/>
    <m/>
    <m/>
    <m/>
    <m/>
    <m/>
    <m/>
    <m/>
    <m/>
    <m/>
    <m/>
    <m/>
    <m/>
    <m/>
  </r>
  <r>
    <n v="6312"/>
    <n v="56901"/>
    <d v="2000-03-31T00:00:00"/>
    <n v="25"/>
    <x v="1"/>
    <x v="1"/>
    <d v="2024-10-27T00:00:00"/>
    <n v="1.0273972602739727"/>
    <x v="107"/>
    <x v="1"/>
    <x v="8"/>
    <x v="1"/>
    <n v="8.4700000000000006"/>
    <m/>
    <m/>
    <m/>
    <m/>
    <m/>
    <m/>
    <x v="1"/>
    <n v="1"/>
    <n v="6"/>
    <m/>
    <m/>
    <m/>
    <m/>
    <m/>
    <m/>
    <m/>
    <m/>
    <m/>
    <m/>
    <m/>
    <m/>
    <m/>
    <m/>
  </r>
  <r>
    <n v="6313"/>
    <n v="56902"/>
    <d v="2006-05-19T00:00:00"/>
    <n v="19"/>
    <x v="0"/>
    <x v="1"/>
    <d v="2024-12-21T00:00:00"/>
    <n v="1.2136986301369863"/>
    <x v="107"/>
    <x v="1"/>
    <x v="8"/>
    <x v="1"/>
    <n v="8.4700000000000006"/>
    <m/>
    <m/>
    <m/>
    <m/>
    <m/>
    <m/>
    <x v="2"/>
    <n v="1"/>
    <n v="4"/>
    <m/>
    <m/>
    <m/>
    <m/>
    <m/>
    <m/>
    <m/>
    <m/>
    <m/>
    <m/>
    <m/>
    <m/>
    <m/>
    <m/>
  </r>
  <r>
    <n v="6314"/>
    <n v="56903"/>
    <d v="2005-12-12T00:00:00"/>
    <n v="20"/>
    <x v="1"/>
    <x v="0"/>
    <d v="2024-10-14T00:00:00"/>
    <n v="1.7780821917808218"/>
    <x v="107"/>
    <x v="1"/>
    <x v="8"/>
    <x v="1"/>
    <n v="8.4700000000000006"/>
    <m/>
    <m/>
    <m/>
    <m/>
    <m/>
    <m/>
    <x v="2"/>
    <n v="1"/>
    <n v="7"/>
    <m/>
    <m/>
    <m/>
    <m/>
    <m/>
    <m/>
    <m/>
    <m/>
    <m/>
    <m/>
    <m/>
    <m/>
    <m/>
    <m/>
  </r>
  <r>
    <n v="6315"/>
    <n v="56904"/>
    <d v="2000-07-20T00:00:00"/>
    <n v="25"/>
    <x v="1"/>
    <x v="0"/>
    <d v="2024-03-22T00:00:00"/>
    <n v="1.5863013698630137"/>
    <x v="107"/>
    <x v="1"/>
    <x v="8"/>
    <x v="1"/>
    <n v="8.4700000000000006"/>
    <m/>
    <m/>
    <m/>
    <m/>
    <m/>
    <m/>
    <x v="1"/>
    <n v="2"/>
    <n v="5"/>
    <m/>
    <m/>
    <m/>
    <m/>
    <m/>
    <m/>
    <m/>
    <m/>
    <m/>
    <m/>
    <m/>
    <m/>
    <m/>
    <m/>
  </r>
  <r>
    <n v="6316"/>
    <n v="56905"/>
    <d v="2005-12-26T00:00:00"/>
    <n v="20"/>
    <x v="1"/>
    <x v="0"/>
    <d v="2024-05-31T00:00:00"/>
    <n v="1.7671232876712328"/>
    <x v="107"/>
    <x v="1"/>
    <x v="8"/>
    <x v="1"/>
    <n v="8.4700000000000006"/>
    <m/>
    <m/>
    <m/>
    <m/>
    <m/>
    <m/>
    <x v="4"/>
    <n v="1"/>
    <n v="4"/>
    <m/>
    <m/>
    <m/>
    <m/>
    <m/>
    <m/>
    <m/>
    <m/>
    <m/>
    <m/>
    <m/>
    <m/>
    <m/>
    <m/>
  </r>
  <r>
    <n v="6317"/>
    <n v="56906"/>
    <d v="2002-03-25T00:00:00"/>
    <n v="23"/>
    <x v="1"/>
    <x v="1"/>
    <d v="2024-03-26T00:00:00"/>
    <n v="1.7671232876712328"/>
    <x v="107"/>
    <x v="1"/>
    <x v="8"/>
    <x v="1"/>
    <n v="8.4700000000000006"/>
    <m/>
    <m/>
    <m/>
    <m/>
    <m/>
    <m/>
    <x v="4"/>
    <n v="2"/>
    <n v="6"/>
    <m/>
    <m/>
    <m/>
    <m/>
    <m/>
    <m/>
    <m/>
    <m/>
    <m/>
    <m/>
    <m/>
    <m/>
    <m/>
    <m/>
  </r>
  <r>
    <n v="6318"/>
    <n v="56907"/>
    <d v="1999-09-05T00:00:00"/>
    <n v="26"/>
    <x v="1"/>
    <x v="0"/>
    <d v="2024-03-26T00:00:00"/>
    <n v="1.2246575342465753"/>
    <x v="107"/>
    <x v="1"/>
    <x v="8"/>
    <x v="1"/>
    <n v="8.4700000000000006"/>
    <m/>
    <m/>
    <m/>
    <m/>
    <m/>
    <m/>
    <x v="2"/>
    <n v="2"/>
    <n v="6"/>
    <m/>
    <m/>
    <m/>
    <m/>
    <m/>
    <m/>
    <m/>
    <m/>
    <m/>
    <m/>
    <m/>
    <m/>
    <m/>
    <m/>
  </r>
  <r>
    <n v="6319"/>
    <n v="56908"/>
    <d v="2005-09-15T00:00:00"/>
    <n v="20"/>
    <x v="1"/>
    <x v="1"/>
    <d v="2024-10-10T00:00:00"/>
    <n v="1.295890410958904"/>
    <x v="107"/>
    <x v="1"/>
    <x v="8"/>
    <x v="1"/>
    <n v="8.4700000000000006"/>
    <m/>
    <m/>
    <m/>
    <m/>
    <m/>
    <m/>
    <x v="1"/>
    <n v="2"/>
    <n v="7"/>
    <m/>
    <m/>
    <m/>
    <m/>
    <m/>
    <m/>
    <m/>
    <m/>
    <m/>
    <m/>
    <m/>
    <m/>
    <m/>
    <m/>
  </r>
  <r>
    <n v="6320"/>
    <n v="56909"/>
    <d v="2004-02-03T00:00:00"/>
    <n v="21"/>
    <x v="1"/>
    <x v="1"/>
    <d v="2024-09-14T00:00:00"/>
    <n v="1.3561643835616439"/>
    <x v="107"/>
    <x v="1"/>
    <x v="8"/>
    <x v="1"/>
    <n v="8.4700000000000006"/>
    <m/>
    <m/>
    <m/>
    <m/>
    <m/>
    <m/>
    <x v="1"/>
    <n v="2"/>
    <n v="7"/>
    <m/>
    <m/>
    <m/>
    <m/>
    <m/>
    <m/>
    <m/>
    <m/>
    <m/>
    <m/>
    <m/>
    <m/>
    <m/>
    <m/>
  </r>
  <r>
    <n v="6321"/>
    <n v="56910"/>
    <d v="1995-02-11T00:00:00"/>
    <n v="30"/>
    <x v="1"/>
    <x v="1"/>
    <d v="2024-08-23T00:00:00"/>
    <n v="1.8520547945205479"/>
    <x v="107"/>
    <x v="1"/>
    <x v="8"/>
    <x v="1"/>
    <n v="8.4700000000000006"/>
    <m/>
    <m/>
    <m/>
    <m/>
    <m/>
    <m/>
    <x v="4"/>
    <n v="0"/>
    <n v="5"/>
    <m/>
    <m/>
    <m/>
    <m/>
    <m/>
    <m/>
    <m/>
    <m/>
    <m/>
    <m/>
    <m/>
    <m/>
    <m/>
    <m/>
  </r>
  <r>
    <n v="6322"/>
    <n v="56911"/>
    <d v="2001-10-25T00:00:00"/>
    <n v="24"/>
    <x v="1"/>
    <x v="1"/>
    <d v="2024-02-24T00:00:00"/>
    <n v="1.3780821917808219"/>
    <x v="107"/>
    <x v="1"/>
    <x v="8"/>
    <x v="1"/>
    <n v="8.4700000000000006"/>
    <m/>
    <m/>
    <m/>
    <m/>
    <m/>
    <m/>
    <x v="4"/>
    <n v="2"/>
    <n v="7"/>
    <m/>
    <m/>
    <m/>
    <m/>
    <m/>
    <m/>
    <m/>
    <m/>
    <m/>
    <m/>
    <m/>
    <m/>
    <m/>
    <m/>
  </r>
  <r>
    <n v="6323"/>
    <n v="56912"/>
    <d v="2004-05-10T00:00:00"/>
    <n v="21"/>
    <x v="0"/>
    <x v="0"/>
    <d v="2024-08-15T00:00:00"/>
    <n v="1.284931506849315"/>
    <x v="134"/>
    <x v="1"/>
    <x v="9"/>
    <x v="1"/>
    <n v="14.07"/>
    <m/>
    <m/>
    <m/>
    <m/>
    <m/>
    <m/>
    <x v="4"/>
    <n v="0"/>
    <n v="5"/>
    <m/>
    <m/>
    <m/>
    <m/>
    <m/>
    <m/>
    <m/>
    <m/>
    <m/>
    <m/>
    <m/>
    <m/>
    <m/>
    <m/>
  </r>
  <r>
    <n v="6324"/>
    <n v="56913"/>
    <d v="2007-03-02T00:00:00"/>
    <n v="18"/>
    <x v="1"/>
    <x v="1"/>
    <d v="2024-09-18T00:00:00"/>
    <n v="1.6794520547945206"/>
    <x v="134"/>
    <x v="1"/>
    <x v="3"/>
    <x v="1"/>
    <n v="8.4700000000000006"/>
    <m/>
    <m/>
    <m/>
    <m/>
    <m/>
    <m/>
    <x v="4"/>
    <n v="4"/>
    <n v="6"/>
    <m/>
    <m/>
    <m/>
    <m/>
    <m/>
    <m/>
    <m/>
    <m/>
    <m/>
    <m/>
    <m/>
    <m/>
    <m/>
    <m/>
  </r>
  <r>
    <n v="6325"/>
    <n v="56914"/>
    <d v="2002-02-04T00:00:00"/>
    <n v="23"/>
    <x v="1"/>
    <x v="1"/>
    <d v="2024-04-27T00:00:00"/>
    <n v="1.1506849315068493"/>
    <x v="134"/>
    <x v="1"/>
    <x v="7"/>
    <x v="1"/>
    <n v="17.59"/>
    <m/>
    <m/>
    <m/>
    <m/>
    <m/>
    <m/>
    <x v="3"/>
    <n v="2"/>
    <n v="7"/>
    <m/>
    <m/>
    <m/>
    <m/>
    <m/>
    <m/>
    <m/>
    <m/>
    <m/>
    <m/>
    <m/>
    <m/>
    <m/>
    <m/>
  </r>
  <r>
    <n v="6326"/>
    <n v="56915"/>
    <d v="2006-08-14T00:00:00"/>
    <n v="19"/>
    <x v="0"/>
    <x v="0"/>
    <d v="2024-11-06T00:00:00"/>
    <n v="1.5863013698630137"/>
    <x v="134"/>
    <x v="1"/>
    <x v="8"/>
    <x v="1"/>
    <n v="8.4700000000000006"/>
    <m/>
    <m/>
    <m/>
    <m/>
    <m/>
    <m/>
    <x v="2"/>
    <n v="2"/>
    <n v="4"/>
    <m/>
    <m/>
    <m/>
    <m/>
    <m/>
    <m/>
    <m/>
    <m/>
    <m/>
    <m/>
    <m/>
    <m/>
    <m/>
    <m/>
  </r>
  <r>
    <n v="6327"/>
    <n v="56916"/>
    <d v="2002-08-07T00:00:00"/>
    <n v="23"/>
    <x v="1"/>
    <x v="1"/>
    <d v="2024-05-31T00:00:00"/>
    <n v="1.8410958904109589"/>
    <x v="134"/>
    <x v="1"/>
    <x v="8"/>
    <x v="1"/>
    <n v="8.4700000000000006"/>
    <m/>
    <m/>
    <m/>
    <m/>
    <m/>
    <m/>
    <x v="4"/>
    <n v="4"/>
    <n v="7"/>
    <m/>
    <m/>
    <m/>
    <m/>
    <m/>
    <m/>
    <m/>
    <m/>
    <m/>
    <m/>
    <m/>
    <m/>
    <m/>
    <m/>
  </r>
  <r>
    <n v="6328"/>
    <n v="56917"/>
    <d v="1998-09-11T00:00:00"/>
    <n v="27"/>
    <x v="1"/>
    <x v="0"/>
    <d v="2024-02-28T00:00:00"/>
    <n v="1.3835616438356164"/>
    <x v="134"/>
    <x v="1"/>
    <x v="8"/>
    <x v="1"/>
    <n v="8.4700000000000006"/>
    <m/>
    <m/>
    <m/>
    <m/>
    <m/>
    <m/>
    <x v="2"/>
    <n v="2"/>
    <n v="7"/>
    <m/>
    <m/>
    <m/>
    <m/>
    <m/>
    <m/>
    <m/>
    <m/>
    <m/>
    <m/>
    <m/>
    <m/>
    <m/>
    <m/>
  </r>
  <r>
    <n v="6329"/>
    <n v="56918"/>
    <d v="2006-07-27T00:00:00"/>
    <n v="19"/>
    <x v="1"/>
    <x v="1"/>
    <d v="2024-08-13T00:00:00"/>
    <n v="1.5616438356164384"/>
    <x v="134"/>
    <x v="1"/>
    <x v="8"/>
    <x v="1"/>
    <n v="8.4700000000000006"/>
    <m/>
    <m/>
    <m/>
    <m/>
    <m/>
    <m/>
    <x v="4"/>
    <n v="2"/>
    <n v="7"/>
    <m/>
    <m/>
    <m/>
    <m/>
    <m/>
    <m/>
    <m/>
    <m/>
    <m/>
    <m/>
    <m/>
    <m/>
    <m/>
    <m/>
  </r>
  <r>
    <n v="6330"/>
    <n v="56920"/>
    <d v="2003-02-25T00:00:00"/>
    <n v="22"/>
    <x v="1"/>
    <x v="1"/>
    <d v="2024-06-09T00:00:00"/>
    <n v="1.5095890410958903"/>
    <x v="134"/>
    <x v="1"/>
    <x v="8"/>
    <x v="1"/>
    <n v="8.4700000000000006"/>
    <m/>
    <m/>
    <m/>
    <m/>
    <m/>
    <m/>
    <x v="3"/>
    <n v="1"/>
    <n v="4"/>
    <m/>
    <m/>
    <m/>
    <m/>
    <m/>
    <m/>
    <m/>
    <m/>
    <m/>
    <m/>
    <m/>
    <m/>
    <m/>
    <m/>
  </r>
  <r>
    <n v="6331"/>
    <n v="56921"/>
    <d v="2004-11-19T00:00:00"/>
    <n v="21"/>
    <x v="0"/>
    <x v="1"/>
    <d v="2024-06-28T00:00:00"/>
    <n v="1.5753424657534247"/>
    <x v="134"/>
    <x v="1"/>
    <x v="8"/>
    <x v="1"/>
    <n v="8.4700000000000006"/>
    <m/>
    <m/>
    <m/>
    <m/>
    <m/>
    <m/>
    <x v="1"/>
    <n v="4"/>
    <n v="5"/>
    <m/>
    <m/>
    <m/>
    <m/>
    <m/>
    <m/>
    <m/>
    <m/>
    <m/>
    <m/>
    <m/>
    <m/>
    <m/>
    <m/>
  </r>
  <r>
    <n v="6332"/>
    <n v="56922"/>
    <d v="2001-05-09T00:00:00"/>
    <n v="24"/>
    <x v="1"/>
    <x v="1"/>
    <d v="2024-06-04T00:00:00"/>
    <n v="1.3260273972602741"/>
    <x v="134"/>
    <x v="1"/>
    <x v="8"/>
    <x v="1"/>
    <n v="8.4700000000000006"/>
    <m/>
    <m/>
    <m/>
    <m/>
    <m/>
    <m/>
    <x v="2"/>
    <n v="3"/>
    <n v="7"/>
    <m/>
    <m/>
    <m/>
    <m/>
    <m/>
    <m/>
    <m/>
    <m/>
    <m/>
    <m/>
    <m/>
    <m/>
    <m/>
    <m/>
  </r>
  <r>
    <n v="6333"/>
    <n v="56925"/>
    <d v="1998-09-19T00:00:00"/>
    <n v="27"/>
    <x v="1"/>
    <x v="0"/>
    <d v="2024-09-03T00:00:00"/>
    <n v="1.5534246575342465"/>
    <x v="134"/>
    <x v="1"/>
    <x v="8"/>
    <x v="1"/>
    <n v="8.4700000000000006"/>
    <m/>
    <m/>
    <m/>
    <m/>
    <m/>
    <m/>
    <x v="4"/>
    <n v="1"/>
    <n v="5"/>
    <m/>
    <m/>
    <m/>
    <m/>
    <m/>
    <m/>
    <m/>
    <m/>
    <m/>
    <m/>
    <m/>
    <m/>
    <m/>
    <m/>
  </r>
  <r>
    <n v="6334"/>
    <n v="56926"/>
    <d v="2001-11-07T00:00:00"/>
    <n v="24"/>
    <x v="1"/>
    <x v="1"/>
    <d v="2024-06-12T00:00:00"/>
    <n v="1.2438356164383562"/>
    <x v="134"/>
    <x v="1"/>
    <x v="8"/>
    <x v="1"/>
    <n v="8.4700000000000006"/>
    <m/>
    <m/>
    <m/>
    <m/>
    <m/>
    <m/>
    <x v="1"/>
    <n v="0"/>
    <n v="7"/>
    <m/>
    <m/>
    <m/>
    <m/>
    <m/>
    <m/>
    <m/>
    <m/>
    <m/>
    <m/>
    <m/>
    <m/>
    <m/>
    <m/>
  </r>
  <r>
    <n v="6335"/>
    <n v="56927"/>
    <d v="1998-07-22T00:00:00"/>
    <n v="27"/>
    <x v="1"/>
    <x v="0"/>
    <d v="2024-10-03T00:00:00"/>
    <n v="1.0849315068493151"/>
    <x v="81"/>
    <x v="1"/>
    <x v="11"/>
    <x v="1"/>
    <n v="17"/>
    <m/>
    <m/>
    <m/>
    <m/>
    <m/>
    <m/>
    <x v="1"/>
    <n v="4"/>
    <n v="6"/>
    <m/>
    <m/>
    <m/>
    <m/>
    <m/>
    <m/>
    <m/>
    <m/>
    <m/>
    <m/>
    <m/>
    <m/>
    <m/>
    <m/>
  </r>
  <r>
    <n v="6336"/>
    <n v="56929"/>
    <d v="2007-06-07T00:00:00"/>
    <n v="18"/>
    <x v="1"/>
    <x v="0"/>
    <d v="2024-11-30T00:00:00"/>
    <n v="1.2493150684931507"/>
    <x v="81"/>
    <x v="1"/>
    <x v="3"/>
    <x v="1"/>
    <n v="8.4700000000000006"/>
    <m/>
    <m/>
    <m/>
    <m/>
    <m/>
    <m/>
    <x v="1"/>
    <n v="1"/>
    <n v="4"/>
    <m/>
    <m/>
    <m/>
    <m/>
    <m/>
    <m/>
    <m/>
    <m/>
    <m/>
    <m/>
    <m/>
    <m/>
    <m/>
    <m/>
  </r>
  <r>
    <n v="6337"/>
    <n v="56930"/>
    <d v="2005-10-07T00:00:00"/>
    <n v="20"/>
    <x v="0"/>
    <x v="1"/>
    <d v="2024-10-01T00:00:00"/>
    <n v="1.4054794520547946"/>
    <x v="81"/>
    <x v="1"/>
    <x v="8"/>
    <x v="1"/>
    <n v="8.4700000000000006"/>
    <m/>
    <m/>
    <m/>
    <m/>
    <m/>
    <m/>
    <x v="1"/>
    <n v="2"/>
    <n v="4"/>
    <m/>
    <m/>
    <m/>
    <m/>
    <m/>
    <m/>
    <m/>
    <m/>
    <m/>
    <m/>
    <m/>
    <m/>
    <m/>
    <m/>
  </r>
  <r>
    <n v="6338"/>
    <n v="56931"/>
    <d v="1994-02-16T00:00:00"/>
    <n v="31"/>
    <x v="1"/>
    <x v="1"/>
    <d v="2024-08-05T00:00:00"/>
    <n v="1.4794520547945205"/>
    <x v="81"/>
    <x v="1"/>
    <x v="8"/>
    <x v="1"/>
    <n v="8.4700000000000006"/>
    <m/>
    <m/>
    <m/>
    <m/>
    <m/>
    <m/>
    <x v="3"/>
    <n v="2"/>
    <n v="5"/>
    <m/>
    <m/>
    <m/>
    <m/>
    <m/>
    <m/>
    <m/>
    <m/>
    <m/>
    <m/>
    <m/>
    <m/>
    <m/>
    <m/>
  </r>
  <r>
    <n v="6339"/>
    <n v="56932"/>
    <d v="2005-09-10T00:00:00"/>
    <n v="20"/>
    <x v="1"/>
    <x v="1"/>
    <d v="2024-07-09T00:00:00"/>
    <n v="1.7068493150684931"/>
    <x v="81"/>
    <x v="1"/>
    <x v="8"/>
    <x v="1"/>
    <n v="8.4700000000000006"/>
    <m/>
    <m/>
    <m/>
    <m/>
    <m/>
    <m/>
    <x v="4"/>
    <n v="4"/>
    <n v="7"/>
    <m/>
    <m/>
    <m/>
    <m/>
    <m/>
    <m/>
    <m/>
    <m/>
    <m/>
    <m/>
    <m/>
    <m/>
    <m/>
    <m/>
  </r>
  <r>
    <n v="6340"/>
    <n v="56933"/>
    <d v="2004-09-21T00:00:00"/>
    <n v="21"/>
    <x v="1"/>
    <x v="0"/>
    <d v="2024-04-17T00:00:00"/>
    <n v="1.2027397260273973"/>
    <x v="81"/>
    <x v="1"/>
    <x v="8"/>
    <x v="1"/>
    <n v="8.4700000000000006"/>
    <m/>
    <m/>
    <m/>
    <m/>
    <m/>
    <m/>
    <x v="1"/>
    <n v="1"/>
    <n v="4"/>
    <m/>
    <m/>
    <m/>
    <m/>
    <m/>
    <m/>
    <m/>
    <m/>
    <m/>
    <m/>
    <m/>
    <m/>
    <m/>
    <m/>
  </r>
  <r>
    <n v="6341"/>
    <n v="56934"/>
    <d v="2006-06-18T00:00:00"/>
    <n v="19"/>
    <x v="1"/>
    <x v="1"/>
    <d v="2024-10-18T00:00:00"/>
    <n v="1.6684931506849314"/>
    <x v="81"/>
    <x v="1"/>
    <x v="8"/>
    <x v="1"/>
    <n v="8.4700000000000006"/>
    <m/>
    <m/>
    <m/>
    <m/>
    <m/>
    <m/>
    <x v="4"/>
    <n v="1"/>
    <n v="6"/>
    <m/>
    <m/>
    <m/>
    <m/>
    <m/>
    <m/>
    <m/>
    <m/>
    <m/>
    <m/>
    <m/>
    <m/>
    <m/>
    <m/>
  </r>
  <r>
    <n v="6342"/>
    <n v="56936"/>
    <d v="1994-03-09T00:00:00"/>
    <n v="31"/>
    <x v="1"/>
    <x v="1"/>
    <d v="2024-05-01T00:00:00"/>
    <n v="1.4027397260273973"/>
    <x v="81"/>
    <x v="1"/>
    <x v="8"/>
    <x v="1"/>
    <n v="8.4700000000000006"/>
    <m/>
    <m/>
    <m/>
    <m/>
    <m/>
    <m/>
    <x v="4"/>
    <n v="4"/>
    <n v="6"/>
    <m/>
    <m/>
    <m/>
    <m/>
    <m/>
    <m/>
    <m/>
    <m/>
    <m/>
    <m/>
    <m/>
    <m/>
    <m/>
    <m/>
  </r>
  <r>
    <n v="6343"/>
    <n v="56937"/>
    <d v="2000-12-24T00:00:00"/>
    <n v="25"/>
    <x v="1"/>
    <x v="1"/>
    <d v="2024-08-06T00:00:00"/>
    <n v="1.4054794520547946"/>
    <x v="100"/>
    <x v="1"/>
    <x v="11"/>
    <x v="1"/>
    <n v="17"/>
    <m/>
    <m/>
    <m/>
    <m/>
    <m/>
    <m/>
    <x v="3"/>
    <n v="4"/>
    <n v="7"/>
    <m/>
    <m/>
    <m/>
    <m/>
    <m/>
    <m/>
    <m/>
    <m/>
    <m/>
    <m/>
    <m/>
    <m/>
    <m/>
    <m/>
  </r>
  <r>
    <n v="6344"/>
    <n v="56938"/>
    <d v="2005-12-04T00:00:00"/>
    <n v="20"/>
    <x v="1"/>
    <x v="0"/>
    <d v="2024-08-05T00:00:00"/>
    <n v="1.0904109589041096"/>
    <x v="100"/>
    <x v="1"/>
    <x v="8"/>
    <x v="1"/>
    <n v="8.4700000000000006"/>
    <m/>
    <m/>
    <m/>
    <m/>
    <m/>
    <m/>
    <x v="2"/>
    <n v="2"/>
    <n v="6"/>
    <m/>
    <m/>
    <m/>
    <m/>
    <m/>
    <m/>
    <m/>
    <m/>
    <m/>
    <m/>
    <m/>
    <m/>
    <m/>
    <m/>
  </r>
  <r>
    <n v="6345"/>
    <n v="56939"/>
    <d v="2003-09-06T00:00:00"/>
    <n v="22"/>
    <x v="1"/>
    <x v="0"/>
    <d v="2024-11-28T00:00:00"/>
    <n v="1.441095890410959"/>
    <x v="100"/>
    <x v="1"/>
    <x v="8"/>
    <x v="1"/>
    <n v="8.4700000000000006"/>
    <m/>
    <m/>
    <m/>
    <m/>
    <m/>
    <m/>
    <x v="3"/>
    <n v="2"/>
    <n v="6"/>
    <m/>
    <m/>
    <m/>
    <m/>
    <m/>
    <m/>
    <m/>
    <m/>
    <m/>
    <m/>
    <m/>
    <m/>
    <m/>
    <m/>
  </r>
  <r>
    <n v="6346"/>
    <n v="56940"/>
    <d v="2000-03-01T00:00:00"/>
    <n v="26"/>
    <x v="1"/>
    <x v="1"/>
    <d v="2024-07-23T00:00:00"/>
    <n v="1.1342465753424658"/>
    <x v="100"/>
    <x v="1"/>
    <x v="8"/>
    <x v="1"/>
    <n v="8.4700000000000006"/>
    <m/>
    <m/>
    <m/>
    <m/>
    <m/>
    <m/>
    <x v="3"/>
    <n v="1"/>
    <n v="5"/>
    <m/>
    <m/>
    <m/>
    <m/>
    <m/>
    <m/>
    <m/>
    <m/>
    <m/>
    <m/>
    <m/>
    <m/>
    <m/>
    <m/>
  </r>
  <r>
    <n v="6347"/>
    <n v="56941"/>
    <d v="2000-01-19T00:00:00"/>
    <n v="25"/>
    <x v="1"/>
    <x v="1"/>
    <d v="2024-11-12T00:00:00"/>
    <n v="1.8849315068493151"/>
    <x v="100"/>
    <x v="1"/>
    <x v="8"/>
    <x v="1"/>
    <n v="8.4700000000000006"/>
    <m/>
    <m/>
    <m/>
    <m/>
    <m/>
    <m/>
    <x v="2"/>
    <n v="4"/>
    <n v="7"/>
    <m/>
    <m/>
    <m/>
    <m/>
    <m/>
    <m/>
    <m/>
    <m/>
    <m/>
    <m/>
    <m/>
    <m/>
    <m/>
    <m/>
  </r>
  <r>
    <n v="6348"/>
    <n v="56942"/>
    <d v="2004-03-10T00:00:00"/>
    <n v="21"/>
    <x v="1"/>
    <x v="1"/>
    <d v="2024-02-12T00:00:00"/>
    <n v="1.6410958904109589"/>
    <x v="100"/>
    <x v="1"/>
    <x v="8"/>
    <x v="1"/>
    <n v="8.4700000000000006"/>
    <m/>
    <m/>
    <m/>
    <m/>
    <m/>
    <m/>
    <x v="3"/>
    <n v="2"/>
    <n v="7"/>
    <m/>
    <m/>
    <m/>
    <m/>
    <m/>
    <m/>
    <m/>
    <m/>
    <m/>
    <m/>
    <m/>
    <m/>
    <m/>
    <m/>
  </r>
  <r>
    <n v="6349"/>
    <n v="56943"/>
    <d v="2004-07-22T00:00:00"/>
    <n v="21"/>
    <x v="1"/>
    <x v="0"/>
    <d v="2024-05-11T00:00:00"/>
    <n v="1.5287671232876712"/>
    <x v="100"/>
    <x v="1"/>
    <x v="8"/>
    <x v="1"/>
    <n v="8.4700000000000006"/>
    <m/>
    <m/>
    <m/>
    <m/>
    <m/>
    <m/>
    <x v="3"/>
    <n v="2"/>
    <n v="6"/>
    <m/>
    <m/>
    <m/>
    <m/>
    <m/>
    <m/>
    <m/>
    <m/>
    <m/>
    <m/>
    <m/>
    <m/>
    <m/>
    <m/>
  </r>
  <r>
    <n v="6350"/>
    <n v="56944"/>
    <d v="2004-03-02T00:00:00"/>
    <n v="21"/>
    <x v="1"/>
    <x v="1"/>
    <d v="2024-06-21T00:00:00"/>
    <n v="1.4575342465753425"/>
    <x v="100"/>
    <x v="1"/>
    <x v="8"/>
    <x v="1"/>
    <n v="8.4700000000000006"/>
    <m/>
    <m/>
    <m/>
    <m/>
    <m/>
    <m/>
    <x v="2"/>
    <n v="1"/>
    <n v="6"/>
    <m/>
    <m/>
    <m/>
    <m/>
    <m/>
    <m/>
    <m/>
    <m/>
    <m/>
    <m/>
    <m/>
    <m/>
    <m/>
    <m/>
  </r>
  <r>
    <n v="6351"/>
    <n v="56945"/>
    <d v="2003-07-17T00:00:00"/>
    <n v="22"/>
    <x v="1"/>
    <x v="0"/>
    <d v="2024-07-17T00:00:00"/>
    <n v="1.8575342465753424"/>
    <x v="100"/>
    <x v="1"/>
    <x v="8"/>
    <x v="1"/>
    <n v="8.4700000000000006"/>
    <m/>
    <m/>
    <m/>
    <m/>
    <m/>
    <m/>
    <x v="1"/>
    <n v="4"/>
    <n v="5"/>
    <m/>
    <m/>
    <m/>
    <m/>
    <m/>
    <m/>
    <m/>
    <m/>
    <m/>
    <m/>
    <m/>
    <m/>
    <m/>
    <m/>
  </r>
  <r>
    <n v="6352"/>
    <n v="56946"/>
    <d v="2005-05-01T00:00:00"/>
    <n v="21"/>
    <x v="1"/>
    <x v="1"/>
    <d v="2024-02-22T00:00:00"/>
    <n v="1.7232876712328766"/>
    <x v="100"/>
    <x v="1"/>
    <x v="8"/>
    <x v="1"/>
    <n v="8.4700000000000006"/>
    <m/>
    <m/>
    <m/>
    <m/>
    <m/>
    <m/>
    <x v="2"/>
    <n v="4"/>
    <n v="6"/>
    <m/>
    <m/>
    <m/>
    <m/>
    <m/>
    <m/>
    <m/>
    <m/>
    <m/>
    <m/>
    <m/>
    <m/>
    <m/>
    <m/>
  </r>
  <r>
    <n v="6353"/>
    <n v="56947"/>
    <d v="2004-12-29T00:00:00"/>
    <n v="21"/>
    <x v="1"/>
    <x v="0"/>
    <d v="2024-04-11T00:00:00"/>
    <n v="1.5095890410958903"/>
    <x v="100"/>
    <x v="1"/>
    <x v="8"/>
    <x v="1"/>
    <n v="8.4700000000000006"/>
    <m/>
    <m/>
    <m/>
    <m/>
    <m/>
    <m/>
    <x v="2"/>
    <n v="4"/>
    <n v="6"/>
    <m/>
    <m/>
    <m/>
    <m/>
    <m/>
    <m/>
    <m/>
    <m/>
    <m/>
    <m/>
    <m/>
    <m/>
    <m/>
    <m/>
  </r>
  <r>
    <n v="6354"/>
    <n v="56948"/>
    <d v="2002-09-16T00:00:00"/>
    <n v="23"/>
    <x v="0"/>
    <x v="1"/>
    <d v="2024-06-28T00:00:00"/>
    <n v="1.2082191780821918"/>
    <x v="100"/>
    <x v="1"/>
    <x v="8"/>
    <x v="1"/>
    <n v="8.4700000000000006"/>
    <m/>
    <m/>
    <m/>
    <m/>
    <m/>
    <m/>
    <x v="4"/>
    <n v="2"/>
    <n v="6"/>
    <m/>
    <m/>
    <m/>
    <m/>
    <m/>
    <m/>
    <m/>
    <m/>
    <m/>
    <m/>
    <m/>
    <m/>
    <m/>
    <m/>
  </r>
  <r>
    <n v="6355"/>
    <n v="56949"/>
    <d v="2003-10-16T00:00:00"/>
    <n v="22"/>
    <x v="0"/>
    <x v="1"/>
    <d v="2024-10-16T00:00:00"/>
    <n v="1.484931506849315"/>
    <x v="100"/>
    <x v="1"/>
    <x v="8"/>
    <x v="1"/>
    <n v="8.4700000000000006"/>
    <m/>
    <m/>
    <m/>
    <m/>
    <m/>
    <m/>
    <x v="4"/>
    <n v="4"/>
    <n v="5"/>
    <m/>
    <m/>
    <m/>
    <m/>
    <m/>
    <m/>
    <m/>
    <m/>
    <m/>
    <m/>
    <m/>
    <m/>
    <m/>
    <m/>
  </r>
  <r>
    <n v="6356"/>
    <n v="56950"/>
    <d v="2007-01-07T00:00:00"/>
    <n v="18"/>
    <x v="1"/>
    <x v="0"/>
    <d v="2024-07-07T00:00:00"/>
    <n v="1.2438356164383562"/>
    <x v="96"/>
    <x v="1"/>
    <x v="8"/>
    <x v="1"/>
    <n v="8.4700000000000006"/>
    <m/>
    <m/>
    <m/>
    <m/>
    <m/>
    <m/>
    <x v="2"/>
    <n v="2"/>
    <n v="4"/>
    <m/>
    <m/>
    <m/>
    <m/>
    <m/>
    <m/>
    <m/>
    <m/>
    <m/>
    <m/>
    <m/>
    <m/>
    <m/>
    <m/>
  </r>
  <r>
    <n v="6357"/>
    <n v="56951"/>
    <d v="2006-06-09T00:00:00"/>
    <n v="19"/>
    <x v="1"/>
    <x v="1"/>
    <d v="2024-10-03T00:00:00"/>
    <n v="1.3369863013698631"/>
    <x v="96"/>
    <x v="1"/>
    <x v="8"/>
    <x v="1"/>
    <n v="8.4700000000000006"/>
    <m/>
    <m/>
    <m/>
    <m/>
    <m/>
    <m/>
    <x v="4"/>
    <n v="3"/>
    <n v="7"/>
    <m/>
    <m/>
    <m/>
    <m/>
    <m/>
    <m/>
    <m/>
    <m/>
    <m/>
    <m/>
    <m/>
    <m/>
    <m/>
    <m/>
  </r>
  <r>
    <n v="6358"/>
    <n v="56952"/>
    <d v="2003-02-07T00:00:00"/>
    <n v="22"/>
    <x v="1"/>
    <x v="1"/>
    <d v="2024-08-30T00:00:00"/>
    <n v="1.4904109589041097"/>
    <x v="96"/>
    <x v="1"/>
    <x v="8"/>
    <x v="1"/>
    <n v="8.4700000000000006"/>
    <m/>
    <m/>
    <m/>
    <m/>
    <m/>
    <m/>
    <x v="3"/>
    <n v="4"/>
    <n v="7"/>
    <m/>
    <m/>
    <m/>
    <m/>
    <m/>
    <m/>
    <m/>
    <m/>
    <m/>
    <m/>
    <m/>
    <m/>
    <m/>
    <m/>
  </r>
  <r>
    <n v="6359"/>
    <n v="56953"/>
    <d v="2007-12-16T00:00:00"/>
    <n v="18"/>
    <x v="1"/>
    <x v="0"/>
    <d v="2024-07-05T00:00:00"/>
    <n v="1.5424657534246575"/>
    <x v="96"/>
    <x v="1"/>
    <x v="8"/>
    <x v="1"/>
    <n v="8.4700000000000006"/>
    <m/>
    <m/>
    <m/>
    <m/>
    <m/>
    <m/>
    <x v="4"/>
    <n v="0"/>
    <n v="5"/>
    <m/>
    <m/>
    <m/>
    <m/>
    <m/>
    <m/>
    <m/>
    <m/>
    <m/>
    <m/>
    <m/>
    <m/>
    <m/>
    <m/>
  </r>
  <r>
    <n v="6360"/>
    <n v="56954"/>
    <d v="2006-06-26T00:00:00"/>
    <n v="19"/>
    <x v="1"/>
    <x v="1"/>
    <d v="2024-06-16T00:00:00"/>
    <n v="1.1616438356164382"/>
    <x v="96"/>
    <x v="1"/>
    <x v="8"/>
    <x v="1"/>
    <n v="8.4700000000000006"/>
    <m/>
    <m/>
    <m/>
    <m/>
    <m/>
    <m/>
    <x v="1"/>
    <n v="1"/>
    <n v="5"/>
    <m/>
    <m/>
    <m/>
    <m/>
    <m/>
    <m/>
    <m/>
    <m/>
    <m/>
    <m/>
    <m/>
    <m/>
    <m/>
    <m/>
  </r>
  <r>
    <n v="6361"/>
    <n v="56955"/>
    <d v="2001-11-19T00:00:00"/>
    <n v="24"/>
    <x v="1"/>
    <x v="1"/>
    <d v="2024-11-02T00:00:00"/>
    <n v="1.5342465753424657"/>
    <x v="89"/>
    <x v="1"/>
    <x v="11"/>
    <x v="1"/>
    <n v="17"/>
    <m/>
    <m/>
    <m/>
    <m/>
    <m/>
    <m/>
    <x v="2"/>
    <n v="1"/>
    <n v="5"/>
    <m/>
    <m/>
    <m/>
    <m/>
    <m/>
    <m/>
    <m/>
    <m/>
    <m/>
    <m/>
    <m/>
    <m/>
    <m/>
    <m/>
  </r>
  <r>
    <n v="6362"/>
    <n v="56956"/>
    <d v="2003-02-27T00:00:00"/>
    <n v="22"/>
    <x v="1"/>
    <x v="1"/>
    <d v="2024-06-19T00:00:00"/>
    <n v="1.0602739726027397"/>
    <x v="89"/>
    <x v="1"/>
    <x v="8"/>
    <x v="1"/>
    <n v="8.4700000000000006"/>
    <m/>
    <m/>
    <m/>
    <m/>
    <m/>
    <m/>
    <x v="1"/>
    <n v="4"/>
    <n v="6"/>
    <m/>
    <m/>
    <m/>
    <m/>
    <m/>
    <m/>
    <m/>
    <m/>
    <m/>
    <m/>
    <m/>
    <m/>
    <m/>
    <m/>
  </r>
  <r>
    <n v="6363"/>
    <n v="56957"/>
    <d v="1994-09-04T00:00:00"/>
    <n v="31"/>
    <x v="0"/>
    <x v="1"/>
    <d v="2024-12-09T00:00:00"/>
    <n v="1.1260273972602739"/>
    <x v="89"/>
    <x v="1"/>
    <x v="8"/>
    <x v="1"/>
    <n v="8.4700000000000006"/>
    <m/>
    <m/>
    <m/>
    <m/>
    <m/>
    <m/>
    <x v="1"/>
    <n v="1"/>
    <n v="4"/>
    <m/>
    <m/>
    <m/>
    <m/>
    <m/>
    <m/>
    <m/>
    <m/>
    <m/>
    <m/>
    <m/>
    <m/>
    <m/>
    <m/>
  </r>
  <r>
    <n v="6364"/>
    <n v="56959"/>
    <d v="2003-12-12T00:00:00"/>
    <n v="22"/>
    <x v="1"/>
    <x v="0"/>
    <d v="2024-11-15T00:00:00"/>
    <n v="1.7232876712328766"/>
    <x v="89"/>
    <x v="1"/>
    <x v="8"/>
    <x v="1"/>
    <n v="8.4700000000000006"/>
    <m/>
    <m/>
    <m/>
    <m/>
    <m/>
    <m/>
    <x v="3"/>
    <n v="2"/>
    <n v="6"/>
    <m/>
    <m/>
    <m/>
    <m/>
    <m/>
    <m/>
    <m/>
    <m/>
    <m/>
    <m/>
    <m/>
    <m/>
    <m/>
    <m/>
  </r>
  <r>
    <n v="6365"/>
    <n v="56960"/>
    <d v="2003-04-21T00:00:00"/>
    <n v="22"/>
    <x v="1"/>
    <x v="1"/>
    <d v="2024-04-11T00:00:00"/>
    <n v="1.3945205479452054"/>
    <x v="89"/>
    <x v="1"/>
    <x v="8"/>
    <x v="1"/>
    <n v="8.4700000000000006"/>
    <m/>
    <m/>
    <m/>
    <m/>
    <m/>
    <m/>
    <x v="1"/>
    <n v="2"/>
    <n v="6"/>
    <m/>
    <m/>
    <m/>
    <m/>
    <m/>
    <m/>
    <m/>
    <m/>
    <m/>
    <m/>
    <m/>
    <m/>
    <m/>
    <m/>
  </r>
  <r>
    <n v="6366"/>
    <n v="56961"/>
    <d v="2004-04-18T00:00:00"/>
    <n v="21"/>
    <x v="1"/>
    <x v="0"/>
    <d v="2024-08-09T00:00:00"/>
    <n v="1.5013698630136987"/>
    <x v="89"/>
    <x v="1"/>
    <x v="8"/>
    <x v="1"/>
    <n v="8.4700000000000006"/>
    <m/>
    <m/>
    <m/>
    <m/>
    <m/>
    <m/>
    <x v="2"/>
    <n v="2"/>
    <n v="5"/>
    <m/>
    <m/>
    <m/>
    <m/>
    <m/>
    <m/>
    <m/>
    <m/>
    <m/>
    <m/>
    <m/>
    <m/>
    <m/>
    <m/>
  </r>
  <r>
    <n v="6367"/>
    <n v="56962"/>
    <d v="1998-02-19T00:00:00"/>
    <n v="27"/>
    <x v="1"/>
    <x v="1"/>
    <d v="2024-07-01T00:00:00"/>
    <n v="1.8027397260273972"/>
    <x v="89"/>
    <x v="1"/>
    <x v="8"/>
    <x v="1"/>
    <n v="8.4700000000000006"/>
    <m/>
    <m/>
    <m/>
    <m/>
    <m/>
    <m/>
    <x v="3"/>
    <n v="4"/>
    <n v="7"/>
    <m/>
    <m/>
    <m/>
    <m/>
    <m/>
    <m/>
    <m/>
    <m/>
    <m/>
    <m/>
    <m/>
    <m/>
    <m/>
    <m/>
  </r>
  <r>
    <n v="6368"/>
    <n v="56963"/>
    <d v="2005-07-01T00:00:00"/>
    <n v="21"/>
    <x v="1"/>
    <x v="1"/>
    <d v="2024-03-13T00:00:00"/>
    <n v="1.189041095890411"/>
    <x v="89"/>
    <x v="1"/>
    <x v="8"/>
    <x v="1"/>
    <n v="8.4700000000000006"/>
    <m/>
    <m/>
    <m/>
    <m/>
    <m/>
    <m/>
    <x v="2"/>
    <n v="0"/>
    <n v="6"/>
    <m/>
    <m/>
    <m/>
    <m/>
    <m/>
    <m/>
    <m/>
    <m/>
    <m/>
    <m/>
    <m/>
    <m/>
    <m/>
    <m/>
  </r>
  <r>
    <n v="6369"/>
    <n v="56964"/>
    <d v="2002-06-11T00:00:00"/>
    <n v="23"/>
    <x v="1"/>
    <x v="1"/>
    <d v="2024-10-23T00:00:00"/>
    <n v="1.0136986301369864"/>
    <x v="89"/>
    <x v="1"/>
    <x v="8"/>
    <x v="1"/>
    <n v="8.4700000000000006"/>
    <m/>
    <m/>
    <m/>
    <m/>
    <m/>
    <m/>
    <x v="4"/>
    <n v="2"/>
    <n v="6"/>
    <m/>
    <m/>
    <m/>
    <m/>
    <m/>
    <m/>
    <m/>
    <m/>
    <m/>
    <m/>
    <m/>
    <m/>
    <m/>
    <m/>
  </r>
  <r>
    <n v="6370"/>
    <n v="56966"/>
    <d v="2004-08-07T00:00:00"/>
    <n v="21"/>
    <x v="1"/>
    <x v="1"/>
    <d v="2024-12-26T00:00:00"/>
    <n v="1.4493150684931506"/>
    <x v="89"/>
    <x v="1"/>
    <x v="8"/>
    <x v="1"/>
    <n v="8.4700000000000006"/>
    <m/>
    <m/>
    <m/>
    <m/>
    <m/>
    <m/>
    <x v="1"/>
    <n v="2"/>
    <n v="6"/>
    <m/>
    <m/>
    <m/>
    <m/>
    <m/>
    <m/>
    <m/>
    <m/>
    <m/>
    <m/>
    <m/>
    <m/>
    <m/>
    <m/>
  </r>
  <r>
    <n v="6371"/>
    <n v="56967"/>
    <d v="2006-06-07T00:00:00"/>
    <n v="19"/>
    <x v="1"/>
    <x v="0"/>
    <d v="2024-07-20T00:00:00"/>
    <n v="1.1095890410958904"/>
    <x v="89"/>
    <x v="1"/>
    <x v="8"/>
    <x v="1"/>
    <n v="8.4700000000000006"/>
    <m/>
    <m/>
    <m/>
    <m/>
    <m/>
    <m/>
    <x v="2"/>
    <n v="2"/>
    <n v="6"/>
    <m/>
    <m/>
    <m/>
    <m/>
    <m/>
    <m/>
    <m/>
    <m/>
    <m/>
    <m/>
    <m/>
    <m/>
    <m/>
    <m/>
  </r>
  <r>
    <n v="6372"/>
    <n v="56968"/>
    <d v="2001-12-12T00:00:00"/>
    <n v="24"/>
    <x v="1"/>
    <x v="1"/>
    <d v="2024-11-21T00:00:00"/>
    <n v="1.6684931506849314"/>
    <x v="94"/>
    <x v="1"/>
    <x v="11"/>
    <x v="1"/>
    <n v="17"/>
    <m/>
    <m/>
    <m/>
    <m/>
    <m/>
    <m/>
    <x v="3"/>
    <n v="2"/>
    <n v="5"/>
    <m/>
    <m/>
    <m/>
    <m/>
    <m/>
    <m/>
    <m/>
    <m/>
    <m/>
    <m/>
    <m/>
    <m/>
    <m/>
    <m/>
  </r>
  <r>
    <n v="6373"/>
    <n v="56969"/>
    <d v="2001-05-11T00:00:00"/>
    <n v="24"/>
    <x v="1"/>
    <x v="1"/>
    <d v="2024-05-01T00:00:00"/>
    <n v="1.5424657534246575"/>
    <x v="94"/>
    <x v="1"/>
    <x v="11"/>
    <x v="1"/>
    <n v="17"/>
    <m/>
    <m/>
    <m/>
    <m/>
    <m/>
    <m/>
    <x v="1"/>
    <n v="2"/>
    <n v="7"/>
    <m/>
    <m/>
    <m/>
    <m/>
    <m/>
    <m/>
    <m/>
    <m/>
    <m/>
    <m/>
    <m/>
    <m/>
    <m/>
    <m/>
  </r>
  <r>
    <n v="6374"/>
    <n v="56970"/>
    <d v="1999-11-27T00:00:00"/>
    <n v="26"/>
    <x v="1"/>
    <x v="1"/>
    <d v="2024-06-16T00:00:00"/>
    <n v="1.6273972602739726"/>
    <x v="94"/>
    <x v="1"/>
    <x v="11"/>
    <x v="1"/>
    <n v="17"/>
    <m/>
    <m/>
    <m/>
    <m/>
    <m/>
    <m/>
    <x v="3"/>
    <n v="2"/>
    <n v="6"/>
    <m/>
    <m/>
    <m/>
    <m/>
    <m/>
    <m/>
    <m/>
    <m/>
    <m/>
    <m/>
    <m/>
    <m/>
    <m/>
    <m/>
  </r>
  <r>
    <n v="6375"/>
    <n v="56971"/>
    <d v="2001-07-11T00:00:00"/>
    <n v="24"/>
    <x v="1"/>
    <x v="0"/>
    <d v="2024-05-16T00:00:00"/>
    <n v="1.473972602739726"/>
    <x v="94"/>
    <x v="1"/>
    <x v="10"/>
    <x v="1"/>
    <n v="10.64"/>
    <m/>
    <m/>
    <m/>
    <m/>
    <m/>
    <m/>
    <x v="3"/>
    <n v="1"/>
    <n v="5"/>
    <m/>
    <m/>
    <m/>
    <m/>
    <m/>
    <m/>
    <m/>
    <m/>
    <m/>
    <m/>
    <m/>
    <m/>
    <m/>
    <m/>
  </r>
  <r>
    <n v="6376"/>
    <n v="56972"/>
    <d v="2005-05-28T00:00:00"/>
    <n v="20"/>
    <x v="1"/>
    <x v="1"/>
    <d v="2024-07-11T00:00:00"/>
    <n v="1.452054794520548"/>
    <x v="94"/>
    <x v="1"/>
    <x v="8"/>
    <x v="1"/>
    <n v="8.4700000000000006"/>
    <m/>
    <m/>
    <m/>
    <m/>
    <m/>
    <m/>
    <x v="1"/>
    <n v="1"/>
    <n v="5"/>
    <m/>
    <m/>
    <m/>
    <m/>
    <m/>
    <m/>
    <m/>
    <m/>
    <m/>
    <m/>
    <m/>
    <m/>
    <m/>
    <m/>
  </r>
  <r>
    <n v="6377"/>
    <n v="56973"/>
    <d v="2004-05-12T00:00:00"/>
    <n v="21"/>
    <x v="0"/>
    <x v="1"/>
    <d v="2024-07-19T00:00:00"/>
    <n v="1.515068493150685"/>
    <x v="94"/>
    <x v="1"/>
    <x v="8"/>
    <x v="1"/>
    <n v="8.4700000000000006"/>
    <m/>
    <m/>
    <m/>
    <m/>
    <m/>
    <m/>
    <x v="1"/>
    <n v="3"/>
    <n v="4"/>
    <m/>
    <m/>
    <m/>
    <m/>
    <m/>
    <m/>
    <m/>
    <m/>
    <m/>
    <m/>
    <m/>
    <m/>
    <m/>
    <m/>
  </r>
  <r>
    <n v="6378"/>
    <n v="56974"/>
    <d v="2002-06-24T00:00:00"/>
    <n v="23"/>
    <x v="1"/>
    <x v="1"/>
    <d v="2024-06-26T00:00:00"/>
    <n v="1.6821917808219178"/>
    <x v="94"/>
    <x v="1"/>
    <x v="8"/>
    <x v="1"/>
    <n v="8.4700000000000006"/>
    <m/>
    <m/>
    <m/>
    <m/>
    <m/>
    <m/>
    <x v="1"/>
    <n v="1"/>
    <n v="5"/>
    <m/>
    <m/>
    <m/>
    <m/>
    <m/>
    <m/>
    <m/>
    <m/>
    <m/>
    <m/>
    <m/>
    <m/>
    <m/>
    <m/>
  </r>
  <r>
    <n v="6379"/>
    <n v="56975"/>
    <d v="2007-10-13T00:00:00"/>
    <n v="18"/>
    <x v="1"/>
    <x v="0"/>
    <d v="2024-04-26T00:00:00"/>
    <n v="1.7698630136986302"/>
    <x v="94"/>
    <x v="1"/>
    <x v="8"/>
    <x v="1"/>
    <n v="8.4700000000000006"/>
    <m/>
    <m/>
    <m/>
    <m/>
    <m/>
    <m/>
    <x v="4"/>
    <n v="4"/>
    <n v="7"/>
    <m/>
    <m/>
    <m/>
    <m/>
    <m/>
    <m/>
    <m/>
    <m/>
    <m/>
    <m/>
    <m/>
    <m/>
    <m/>
    <m/>
  </r>
  <r>
    <n v="6380"/>
    <n v="56976"/>
    <d v="2002-05-02T00:00:00"/>
    <n v="23"/>
    <x v="1"/>
    <x v="1"/>
    <d v="2024-03-25T00:00:00"/>
    <n v="1.7726027397260273"/>
    <x v="94"/>
    <x v="1"/>
    <x v="8"/>
    <x v="1"/>
    <n v="8.4700000000000006"/>
    <m/>
    <m/>
    <m/>
    <m/>
    <m/>
    <m/>
    <x v="4"/>
    <n v="2"/>
    <n v="7"/>
    <m/>
    <m/>
    <m/>
    <m/>
    <m/>
    <m/>
    <m/>
    <m/>
    <m/>
    <m/>
    <m/>
    <m/>
    <m/>
    <m/>
  </r>
  <r>
    <n v="6381"/>
    <n v="56977"/>
    <d v="2003-07-07T00:00:00"/>
    <n v="22"/>
    <x v="1"/>
    <x v="1"/>
    <d v="2024-03-24T00:00:00"/>
    <n v="1.4356164383561645"/>
    <x v="94"/>
    <x v="1"/>
    <x v="8"/>
    <x v="1"/>
    <n v="8.4700000000000006"/>
    <m/>
    <m/>
    <m/>
    <m/>
    <m/>
    <m/>
    <x v="3"/>
    <n v="4"/>
    <n v="6"/>
    <m/>
    <m/>
    <m/>
    <m/>
    <m/>
    <m/>
    <m/>
    <m/>
    <m/>
    <m/>
    <m/>
    <m/>
    <m/>
    <m/>
  </r>
  <r>
    <n v="6382"/>
    <n v="56978"/>
    <d v="2006-06-22T00:00:00"/>
    <n v="19"/>
    <x v="0"/>
    <x v="1"/>
    <d v="2024-07-25T00:00:00"/>
    <n v="1.5643835616438355"/>
    <x v="94"/>
    <x v="1"/>
    <x v="8"/>
    <x v="1"/>
    <n v="8.4700000000000006"/>
    <m/>
    <m/>
    <m/>
    <m/>
    <m/>
    <m/>
    <x v="2"/>
    <n v="1"/>
    <n v="4"/>
    <m/>
    <m/>
    <m/>
    <m/>
    <m/>
    <m/>
    <m/>
    <m/>
    <m/>
    <m/>
    <m/>
    <m/>
    <m/>
    <m/>
  </r>
  <r>
    <n v="6383"/>
    <n v="56980"/>
    <d v="2001-08-17T00:00:00"/>
    <n v="24"/>
    <x v="1"/>
    <x v="1"/>
    <d v="2024-06-08T00:00:00"/>
    <n v="1.0602739726027397"/>
    <x v="94"/>
    <x v="1"/>
    <x v="8"/>
    <x v="1"/>
    <n v="8.4700000000000006"/>
    <m/>
    <m/>
    <m/>
    <m/>
    <m/>
    <m/>
    <x v="1"/>
    <n v="2"/>
    <n v="7"/>
    <m/>
    <m/>
    <m/>
    <m/>
    <m/>
    <m/>
    <m/>
    <m/>
    <m/>
    <m/>
    <m/>
    <m/>
    <m/>
    <m/>
  </r>
  <r>
    <n v="6384"/>
    <n v="56981"/>
    <d v="2004-06-19T00:00:00"/>
    <n v="21"/>
    <x v="0"/>
    <x v="1"/>
    <d v="2024-12-09T00:00:00"/>
    <n v="1.295890410958904"/>
    <x v="94"/>
    <x v="1"/>
    <x v="8"/>
    <x v="1"/>
    <n v="8.4700000000000006"/>
    <m/>
    <m/>
    <m/>
    <m/>
    <m/>
    <m/>
    <x v="3"/>
    <n v="2"/>
    <n v="4"/>
    <m/>
    <m/>
    <m/>
    <m/>
    <m/>
    <m/>
    <m/>
    <m/>
    <m/>
    <m/>
    <m/>
    <m/>
    <m/>
    <m/>
  </r>
  <r>
    <n v="6385"/>
    <n v="56982"/>
    <d v="2000-02-22T00:00:00"/>
    <n v="25"/>
    <x v="1"/>
    <x v="0"/>
    <d v="2024-09-14T00:00:00"/>
    <n v="1.284931506849315"/>
    <x v="94"/>
    <x v="1"/>
    <x v="8"/>
    <x v="1"/>
    <n v="8.4700000000000006"/>
    <m/>
    <m/>
    <m/>
    <m/>
    <m/>
    <m/>
    <x v="2"/>
    <n v="2"/>
    <n v="5"/>
    <m/>
    <m/>
    <m/>
    <m/>
    <m/>
    <m/>
    <m/>
    <m/>
    <m/>
    <m/>
    <m/>
    <m/>
    <m/>
    <m/>
  </r>
  <r>
    <n v="6386"/>
    <n v="56983"/>
    <d v="1997-08-22T00:00:00"/>
    <n v="28"/>
    <x v="1"/>
    <x v="1"/>
    <d v="2024-09-18T00:00:00"/>
    <n v="1.0328767123287672"/>
    <x v="110"/>
    <x v="1"/>
    <x v="11"/>
    <x v="1"/>
    <n v="17"/>
    <m/>
    <m/>
    <m/>
    <m/>
    <m/>
    <m/>
    <x v="3"/>
    <n v="2"/>
    <n v="5"/>
    <m/>
    <m/>
    <m/>
    <m/>
    <m/>
    <m/>
    <m/>
    <m/>
    <m/>
    <m/>
    <m/>
    <m/>
    <m/>
    <m/>
  </r>
  <r>
    <n v="6387"/>
    <n v="56984"/>
    <d v="2000-08-19T00:00:00"/>
    <n v="25"/>
    <x v="1"/>
    <x v="1"/>
    <d v="2024-12-19T00:00:00"/>
    <n v="1.4383561643835616"/>
    <x v="110"/>
    <x v="1"/>
    <x v="3"/>
    <x v="1"/>
    <n v="8.4700000000000006"/>
    <m/>
    <m/>
    <m/>
    <m/>
    <m/>
    <m/>
    <x v="1"/>
    <n v="0"/>
    <n v="5"/>
    <m/>
    <m/>
    <m/>
    <m/>
    <m/>
    <m/>
    <m/>
    <m/>
    <m/>
    <m/>
    <m/>
    <m/>
    <m/>
    <m/>
  </r>
  <r>
    <n v="6388"/>
    <n v="56985"/>
    <d v="2003-07-18T00:00:00"/>
    <n v="22"/>
    <x v="1"/>
    <x v="1"/>
    <d v="2024-07-24T00:00:00"/>
    <n v="1.5835616438356164"/>
    <x v="110"/>
    <x v="1"/>
    <x v="3"/>
    <x v="1"/>
    <n v="8.4700000000000006"/>
    <m/>
    <m/>
    <m/>
    <m/>
    <m/>
    <m/>
    <x v="1"/>
    <n v="3"/>
    <n v="7"/>
    <m/>
    <m/>
    <m/>
    <m/>
    <m/>
    <m/>
    <m/>
    <m/>
    <m/>
    <m/>
    <m/>
    <m/>
    <m/>
    <m/>
  </r>
  <r>
    <n v="6389"/>
    <n v="56986"/>
    <d v="2000-09-25T00:00:00"/>
    <n v="25"/>
    <x v="1"/>
    <x v="1"/>
    <d v="2024-06-01T00:00:00"/>
    <n v="1.0082191780821919"/>
    <x v="110"/>
    <x v="1"/>
    <x v="8"/>
    <x v="1"/>
    <n v="8.4700000000000006"/>
    <m/>
    <m/>
    <m/>
    <m/>
    <m/>
    <m/>
    <x v="2"/>
    <n v="4"/>
    <n v="7"/>
    <m/>
    <m/>
    <m/>
    <m/>
    <m/>
    <m/>
    <m/>
    <m/>
    <m/>
    <m/>
    <m/>
    <m/>
    <m/>
    <m/>
  </r>
  <r>
    <n v="6390"/>
    <n v="56987"/>
    <d v="1997-10-31T00:00:00"/>
    <n v="28"/>
    <x v="1"/>
    <x v="0"/>
    <d v="2024-12-28T00:00:00"/>
    <n v="1.3123287671232877"/>
    <x v="110"/>
    <x v="1"/>
    <x v="8"/>
    <x v="1"/>
    <n v="8.4700000000000006"/>
    <m/>
    <m/>
    <m/>
    <m/>
    <m/>
    <m/>
    <x v="4"/>
    <n v="4"/>
    <n v="6"/>
    <m/>
    <m/>
    <m/>
    <m/>
    <m/>
    <m/>
    <m/>
    <m/>
    <m/>
    <m/>
    <m/>
    <m/>
    <m/>
    <m/>
  </r>
  <r>
    <n v="6391"/>
    <n v="56988"/>
    <d v="2002-10-22T00:00:00"/>
    <n v="23"/>
    <x v="1"/>
    <x v="1"/>
    <d v="2024-09-08T00:00:00"/>
    <n v="1.452054794520548"/>
    <x v="110"/>
    <x v="1"/>
    <x v="8"/>
    <x v="1"/>
    <n v="8.4700000000000006"/>
    <m/>
    <m/>
    <m/>
    <m/>
    <m/>
    <m/>
    <x v="2"/>
    <n v="2"/>
    <n v="7"/>
    <m/>
    <m/>
    <m/>
    <m/>
    <m/>
    <m/>
    <m/>
    <m/>
    <m/>
    <m/>
    <m/>
    <m/>
    <m/>
    <m/>
  </r>
  <r>
    <n v="6392"/>
    <n v="56989"/>
    <d v="2000-11-12T00:00:00"/>
    <n v="25"/>
    <x v="1"/>
    <x v="1"/>
    <d v="2024-07-19T00:00:00"/>
    <n v="1.8712328767123287"/>
    <x v="110"/>
    <x v="1"/>
    <x v="8"/>
    <x v="1"/>
    <n v="8.4700000000000006"/>
    <m/>
    <m/>
    <m/>
    <m/>
    <m/>
    <m/>
    <x v="1"/>
    <n v="1"/>
    <n v="4"/>
    <m/>
    <m/>
    <m/>
    <m/>
    <m/>
    <m/>
    <m/>
    <m/>
    <m/>
    <m/>
    <m/>
    <m/>
    <m/>
    <m/>
  </r>
  <r>
    <n v="6393"/>
    <n v="56990"/>
    <d v="2004-01-28T00:00:00"/>
    <n v="21"/>
    <x v="1"/>
    <x v="0"/>
    <d v="2024-02-17T00:00:00"/>
    <n v="1.3369863013698631"/>
    <x v="110"/>
    <x v="1"/>
    <x v="8"/>
    <x v="1"/>
    <n v="8.4700000000000006"/>
    <m/>
    <m/>
    <m/>
    <m/>
    <m/>
    <m/>
    <x v="3"/>
    <n v="1"/>
    <n v="4"/>
    <m/>
    <m/>
    <m/>
    <m/>
    <m/>
    <m/>
    <m/>
    <m/>
    <m/>
    <m/>
    <m/>
    <m/>
    <m/>
    <m/>
  </r>
  <r>
    <n v="6394"/>
    <n v="56991"/>
    <d v="2004-05-18T00:00:00"/>
    <n v="21"/>
    <x v="1"/>
    <x v="1"/>
    <d v="2024-08-30T00:00:00"/>
    <n v="1.0602739726027397"/>
    <x v="110"/>
    <x v="1"/>
    <x v="8"/>
    <x v="1"/>
    <n v="8.4700000000000006"/>
    <m/>
    <m/>
    <m/>
    <m/>
    <m/>
    <m/>
    <x v="4"/>
    <n v="0"/>
    <n v="4"/>
    <m/>
    <m/>
    <m/>
    <m/>
    <m/>
    <m/>
    <m/>
    <m/>
    <m/>
    <m/>
    <m/>
    <m/>
    <m/>
    <m/>
  </r>
  <r>
    <n v="6395"/>
    <n v="56992"/>
    <d v="2005-06-21T00:00:00"/>
    <n v="20"/>
    <x v="1"/>
    <x v="1"/>
    <d v="2024-12-09T00:00:00"/>
    <n v="1.736986301369863"/>
    <x v="110"/>
    <x v="1"/>
    <x v="8"/>
    <x v="1"/>
    <n v="8.4700000000000006"/>
    <m/>
    <m/>
    <m/>
    <m/>
    <m/>
    <m/>
    <x v="3"/>
    <n v="1"/>
    <n v="6"/>
    <m/>
    <m/>
    <m/>
    <m/>
    <m/>
    <m/>
    <m/>
    <m/>
    <m/>
    <m/>
    <m/>
    <m/>
    <m/>
    <m/>
  </r>
  <r>
    <n v="6396"/>
    <n v="56993"/>
    <d v="2004-11-20T00:00:00"/>
    <n v="21"/>
    <x v="0"/>
    <x v="0"/>
    <d v="2024-04-06T00:00:00"/>
    <n v="1.726027397260274"/>
    <x v="110"/>
    <x v="1"/>
    <x v="8"/>
    <x v="1"/>
    <n v="8.4700000000000006"/>
    <m/>
    <m/>
    <m/>
    <m/>
    <m/>
    <m/>
    <x v="1"/>
    <n v="4"/>
    <n v="5"/>
    <m/>
    <m/>
    <m/>
    <m/>
    <m/>
    <m/>
    <m/>
    <m/>
    <m/>
    <m/>
    <m/>
    <m/>
    <m/>
    <m/>
  </r>
  <r>
    <n v="6397"/>
    <n v="56994"/>
    <d v="2000-03-12T00:00:00"/>
    <n v="25"/>
    <x v="0"/>
    <x v="1"/>
    <d v="2024-04-10T00:00:00"/>
    <n v="1.4356164383561645"/>
    <x v="99"/>
    <x v="1"/>
    <x v="11"/>
    <x v="1"/>
    <n v="17"/>
    <m/>
    <m/>
    <m/>
    <m/>
    <m/>
    <m/>
    <x v="4"/>
    <n v="2"/>
    <n v="4"/>
    <m/>
    <m/>
    <m/>
    <m/>
    <m/>
    <m/>
    <m/>
    <m/>
    <m/>
    <m/>
    <m/>
    <m/>
    <m/>
    <m/>
  </r>
  <r>
    <n v="6398"/>
    <n v="56995"/>
    <d v="2002-05-30T00:00:00"/>
    <n v="23"/>
    <x v="1"/>
    <x v="0"/>
    <d v="2024-07-25T00:00:00"/>
    <n v="1.2136986301369863"/>
    <x v="99"/>
    <x v="1"/>
    <x v="11"/>
    <x v="1"/>
    <n v="17"/>
    <m/>
    <m/>
    <m/>
    <m/>
    <m/>
    <m/>
    <x v="4"/>
    <n v="2"/>
    <n v="5"/>
    <m/>
    <m/>
    <m/>
    <m/>
    <m/>
    <m/>
    <m/>
    <m/>
    <m/>
    <m/>
    <m/>
    <m/>
    <m/>
    <m/>
  </r>
  <r>
    <n v="6399"/>
    <n v="56996"/>
    <d v="1997-07-10T00:00:00"/>
    <n v="28"/>
    <x v="0"/>
    <x v="1"/>
    <d v="2024-10-14T00:00:00"/>
    <n v="1.558904109589041"/>
    <x v="99"/>
    <x v="1"/>
    <x v="2"/>
    <x v="1"/>
    <n v="14.23"/>
    <m/>
    <m/>
    <m/>
    <m/>
    <m/>
    <m/>
    <x v="3"/>
    <n v="1"/>
    <n v="5"/>
    <m/>
    <m/>
    <m/>
    <m/>
    <m/>
    <m/>
    <m/>
    <m/>
    <m/>
    <m/>
    <m/>
    <m/>
    <m/>
    <m/>
  </r>
  <r>
    <n v="6400"/>
    <n v="56997"/>
    <d v="2004-01-05T00:00:00"/>
    <n v="21"/>
    <x v="1"/>
    <x v="1"/>
    <d v="2024-06-10T00:00:00"/>
    <n v="1.7452054794520548"/>
    <x v="99"/>
    <x v="1"/>
    <x v="3"/>
    <x v="1"/>
    <n v="8.4700000000000006"/>
    <m/>
    <m/>
    <m/>
    <m/>
    <m/>
    <m/>
    <x v="4"/>
    <n v="2"/>
    <n v="6"/>
    <m/>
    <m/>
    <m/>
    <m/>
    <m/>
    <m/>
    <m/>
    <m/>
    <m/>
    <m/>
    <m/>
    <m/>
    <m/>
    <m/>
  </r>
  <r>
    <n v="6401"/>
    <n v="56998"/>
    <d v="2003-04-11T00:00:00"/>
    <n v="22"/>
    <x v="1"/>
    <x v="1"/>
    <d v="2024-04-03T00:00:00"/>
    <n v="1.7178082191780821"/>
    <x v="99"/>
    <x v="1"/>
    <x v="8"/>
    <x v="1"/>
    <n v="8.4700000000000006"/>
    <m/>
    <m/>
    <m/>
    <m/>
    <m/>
    <m/>
    <x v="3"/>
    <n v="2"/>
    <n v="6"/>
    <m/>
    <m/>
    <m/>
    <m/>
    <m/>
    <m/>
    <m/>
    <m/>
    <m/>
    <m/>
    <m/>
    <m/>
    <m/>
    <m/>
  </r>
  <r>
    <n v="6402"/>
    <n v="56999"/>
    <d v="2005-09-15T00:00:00"/>
    <n v="20"/>
    <x v="1"/>
    <x v="1"/>
    <d v="2024-04-13T00:00:00"/>
    <n v="1.5945205479452054"/>
    <x v="99"/>
    <x v="1"/>
    <x v="8"/>
    <x v="1"/>
    <n v="8.4700000000000006"/>
    <m/>
    <m/>
    <m/>
    <m/>
    <m/>
    <m/>
    <x v="4"/>
    <n v="0"/>
    <n v="4"/>
    <m/>
    <m/>
    <m/>
    <m/>
    <m/>
    <m/>
    <m/>
    <m/>
    <m/>
    <m/>
    <m/>
    <m/>
    <m/>
    <m/>
  </r>
  <r>
    <n v="6403"/>
    <n v="57000"/>
    <d v="2005-05-18T00:00:00"/>
    <n v="20"/>
    <x v="0"/>
    <x v="0"/>
    <d v="2024-05-28T00:00:00"/>
    <n v="1.1534246575342466"/>
    <x v="99"/>
    <x v="1"/>
    <x v="8"/>
    <x v="1"/>
    <n v="8.4700000000000006"/>
    <m/>
    <m/>
    <m/>
    <m/>
    <m/>
    <m/>
    <x v="3"/>
    <n v="4"/>
    <n v="5"/>
    <m/>
    <m/>
    <m/>
    <m/>
    <m/>
    <m/>
    <m/>
    <m/>
    <m/>
    <m/>
    <m/>
    <m/>
    <m/>
    <m/>
  </r>
  <r>
    <n v="6404"/>
    <n v="57001"/>
    <d v="1998-12-20T00:00:00"/>
    <n v="27"/>
    <x v="1"/>
    <x v="1"/>
    <d v="2024-11-05T00:00:00"/>
    <n v="1.4191780821917808"/>
    <x v="99"/>
    <x v="1"/>
    <x v="8"/>
    <x v="1"/>
    <n v="8.4700000000000006"/>
    <m/>
    <m/>
    <m/>
    <m/>
    <m/>
    <m/>
    <x v="1"/>
    <n v="0"/>
    <n v="4"/>
    <m/>
    <m/>
    <m/>
    <m/>
    <m/>
    <m/>
    <m/>
    <m/>
    <m/>
    <m/>
    <m/>
    <m/>
    <m/>
    <m/>
  </r>
  <r>
    <n v="6405"/>
    <n v="57002"/>
    <d v="2003-04-12T00:00:00"/>
    <n v="22"/>
    <x v="1"/>
    <x v="1"/>
    <d v="2024-07-31T00:00:00"/>
    <n v="1.7945205479452055"/>
    <x v="99"/>
    <x v="1"/>
    <x v="8"/>
    <x v="1"/>
    <n v="8.4700000000000006"/>
    <m/>
    <m/>
    <m/>
    <m/>
    <m/>
    <m/>
    <x v="3"/>
    <n v="1"/>
    <n v="6"/>
    <m/>
    <m/>
    <m/>
    <m/>
    <m/>
    <m/>
    <m/>
    <m/>
    <m/>
    <m/>
    <m/>
    <m/>
    <m/>
    <m/>
  </r>
  <r>
    <n v="6406"/>
    <n v="57003"/>
    <d v="2006-09-02T00:00:00"/>
    <n v="19"/>
    <x v="1"/>
    <x v="1"/>
    <d v="2024-03-16T00:00:00"/>
    <n v="1.441095890410959"/>
    <x v="99"/>
    <x v="1"/>
    <x v="8"/>
    <x v="1"/>
    <n v="8.4700000000000006"/>
    <m/>
    <m/>
    <m/>
    <m/>
    <m/>
    <m/>
    <x v="3"/>
    <n v="3"/>
    <n v="6"/>
    <m/>
    <m/>
    <m/>
    <m/>
    <m/>
    <m/>
    <m/>
    <m/>
    <m/>
    <m/>
    <m/>
    <m/>
    <m/>
    <m/>
  </r>
  <r>
    <n v="6407"/>
    <n v="57004"/>
    <d v="2006-03-10T00:00:00"/>
    <n v="19"/>
    <x v="1"/>
    <x v="0"/>
    <d v="2024-07-23T00:00:00"/>
    <n v="1.263013698630137"/>
    <x v="99"/>
    <x v="1"/>
    <x v="8"/>
    <x v="1"/>
    <n v="8.4700000000000006"/>
    <m/>
    <m/>
    <m/>
    <m/>
    <m/>
    <m/>
    <x v="2"/>
    <n v="0"/>
    <n v="7"/>
    <m/>
    <m/>
    <m/>
    <m/>
    <m/>
    <m/>
    <m/>
    <m/>
    <m/>
    <m/>
    <m/>
    <m/>
    <m/>
    <m/>
  </r>
  <r>
    <n v="6408"/>
    <n v="57005"/>
    <d v="2003-06-04T00:00:00"/>
    <n v="22"/>
    <x v="0"/>
    <x v="0"/>
    <d v="2024-09-26T00:00:00"/>
    <n v="1.2904109589041095"/>
    <x v="99"/>
    <x v="1"/>
    <x v="8"/>
    <x v="1"/>
    <n v="8.4700000000000006"/>
    <m/>
    <m/>
    <m/>
    <m/>
    <m/>
    <m/>
    <x v="1"/>
    <n v="4"/>
    <n v="4"/>
    <m/>
    <m/>
    <m/>
    <m/>
    <m/>
    <m/>
    <m/>
    <m/>
    <m/>
    <m/>
    <m/>
    <m/>
    <m/>
    <m/>
  </r>
  <r>
    <n v="6409"/>
    <n v="57006"/>
    <d v="1998-06-19T00:00:00"/>
    <n v="27"/>
    <x v="1"/>
    <x v="1"/>
    <d v="2024-09-16T00:00:00"/>
    <n v="1.1972602739726028"/>
    <x v="99"/>
    <x v="1"/>
    <x v="8"/>
    <x v="1"/>
    <n v="8.4700000000000006"/>
    <m/>
    <m/>
    <m/>
    <m/>
    <m/>
    <m/>
    <x v="1"/>
    <n v="2"/>
    <n v="6"/>
    <m/>
    <m/>
    <m/>
    <m/>
    <m/>
    <m/>
    <m/>
    <m/>
    <m/>
    <m/>
    <m/>
    <m/>
    <m/>
    <m/>
  </r>
  <r>
    <n v="6410"/>
    <n v="57007"/>
    <d v="2005-03-08T00:00:00"/>
    <n v="20"/>
    <x v="1"/>
    <x v="1"/>
    <d v="2024-10-20T00:00:00"/>
    <n v="1.4931506849315068"/>
    <x v="84"/>
    <x v="1"/>
    <x v="10"/>
    <x v="1"/>
    <n v="10.64"/>
    <m/>
    <m/>
    <m/>
    <m/>
    <m/>
    <m/>
    <x v="1"/>
    <n v="1"/>
    <n v="6"/>
    <m/>
    <m/>
    <m/>
    <m/>
    <m/>
    <m/>
    <m/>
    <m/>
    <m/>
    <m/>
    <m/>
    <m/>
    <m/>
    <m/>
  </r>
  <r>
    <n v="6411"/>
    <n v="57009"/>
    <d v="2002-04-15T00:00:00"/>
    <n v="23"/>
    <x v="1"/>
    <x v="1"/>
    <d v="2024-07-04T00:00:00"/>
    <n v="1.8657534246575342"/>
    <x v="84"/>
    <x v="1"/>
    <x v="8"/>
    <x v="1"/>
    <n v="8.4700000000000006"/>
    <m/>
    <m/>
    <m/>
    <m/>
    <m/>
    <m/>
    <x v="4"/>
    <n v="3"/>
    <n v="6"/>
    <m/>
    <m/>
    <m/>
    <m/>
    <m/>
    <m/>
    <m/>
    <m/>
    <m/>
    <m/>
    <m/>
    <m/>
    <m/>
    <m/>
  </r>
  <r>
    <n v="6412"/>
    <n v="57010"/>
    <d v="1993-12-21T00:00:00"/>
    <n v="32"/>
    <x v="1"/>
    <x v="0"/>
    <d v="2024-02-19T00:00:00"/>
    <n v="1.4821917808219178"/>
    <x v="84"/>
    <x v="1"/>
    <x v="8"/>
    <x v="1"/>
    <n v="8.4700000000000006"/>
    <m/>
    <m/>
    <m/>
    <m/>
    <m/>
    <m/>
    <x v="3"/>
    <n v="4"/>
    <n v="4"/>
    <m/>
    <m/>
    <m/>
    <m/>
    <m/>
    <m/>
    <m/>
    <m/>
    <m/>
    <m/>
    <m/>
    <m/>
    <m/>
    <m/>
  </r>
  <r>
    <n v="6413"/>
    <n v="57011"/>
    <d v="2003-02-21T00:00:00"/>
    <n v="22"/>
    <x v="0"/>
    <x v="1"/>
    <d v="2024-07-08T00:00:00"/>
    <n v="1.167123287671233"/>
    <x v="84"/>
    <x v="1"/>
    <x v="8"/>
    <x v="1"/>
    <n v="8.4700000000000006"/>
    <m/>
    <m/>
    <m/>
    <m/>
    <m/>
    <m/>
    <x v="1"/>
    <n v="3"/>
    <n v="5"/>
    <m/>
    <m/>
    <m/>
    <m/>
    <m/>
    <m/>
    <m/>
    <m/>
    <m/>
    <m/>
    <m/>
    <m/>
    <m/>
    <m/>
  </r>
  <r>
    <n v="6414"/>
    <n v="57012"/>
    <d v="2001-09-29T00:00:00"/>
    <n v="24"/>
    <x v="1"/>
    <x v="1"/>
    <d v="2024-10-31T00:00:00"/>
    <n v="1.0986301369863014"/>
    <x v="84"/>
    <x v="1"/>
    <x v="8"/>
    <x v="1"/>
    <n v="8.4700000000000006"/>
    <m/>
    <m/>
    <m/>
    <m/>
    <m/>
    <m/>
    <x v="4"/>
    <n v="4"/>
    <n v="7"/>
    <m/>
    <m/>
    <m/>
    <m/>
    <m/>
    <m/>
    <m/>
    <m/>
    <m/>
    <m/>
    <m/>
    <m/>
    <m/>
    <m/>
  </r>
  <r>
    <n v="6415"/>
    <n v="57013"/>
    <d v="2005-03-19T00:00:00"/>
    <n v="20"/>
    <x v="1"/>
    <x v="0"/>
    <d v="2024-11-25T00:00:00"/>
    <n v="1.6602739726027398"/>
    <x v="84"/>
    <x v="1"/>
    <x v="8"/>
    <x v="1"/>
    <n v="8.4700000000000006"/>
    <m/>
    <m/>
    <m/>
    <m/>
    <m/>
    <m/>
    <x v="1"/>
    <n v="4"/>
    <n v="6"/>
    <m/>
    <m/>
    <m/>
    <m/>
    <m/>
    <m/>
    <m/>
    <m/>
    <m/>
    <m/>
    <m/>
    <m/>
    <m/>
    <m/>
  </r>
  <r>
    <n v="6416"/>
    <n v="57014"/>
    <d v="1999-07-01T00:00:00"/>
    <n v="27"/>
    <x v="1"/>
    <x v="0"/>
    <d v="2024-05-04T00:00:00"/>
    <n v="1.747945205479452"/>
    <x v="84"/>
    <x v="1"/>
    <x v="8"/>
    <x v="1"/>
    <n v="8.4700000000000006"/>
    <m/>
    <m/>
    <m/>
    <m/>
    <m/>
    <m/>
    <x v="2"/>
    <n v="4"/>
    <n v="5"/>
    <m/>
    <m/>
    <m/>
    <m/>
    <m/>
    <m/>
    <m/>
    <m/>
    <m/>
    <m/>
    <m/>
    <m/>
    <m/>
    <m/>
  </r>
  <r>
    <n v="6417"/>
    <n v="57015"/>
    <d v="2006-04-02T00:00:00"/>
    <n v="19"/>
    <x v="1"/>
    <x v="1"/>
    <d v="2024-04-02T00:00:00"/>
    <n v="1.7342465753424658"/>
    <x v="84"/>
    <x v="1"/>
    <x v="8"/>
    <x v="1"/>
    <n v="8.4700000000000006"/>
    <m/>
    <m/>
    <m/>
    <m/>
    <m/>
    <m/>
    <x v="3"/>
    <n v="2"/>
    <n v="5"/>
    <m/>
    <m/>
    <m/>
    <m/>
    <m/>
    <m/>
    <m/>
    <m/>
    <m/>
    <m/>
    <m/>
    <m/>
    <m/>
    <m/>
  </r>
  <r>
    <n v="6418"/>
    <n v="57016"/>
    <d v="2002-04-18T00:00:00"/>
    <n v="23"/>
    <x v="1"/>
    <x v="1"/>
    <d v="2024-04-07T00:00:00"/>
    <n v="1.3671232876712329"/>
    <x v="84"/>
    <x v="1"/>
    <x v="8"/>
    <x v="1"/>
    <n v="8.4700000000000006"/>
    <m/>
    <m/>
    <m/>
    <m/>
    <m/>
    <m/>
    <x v="2"/>
    <n v="1"/>
    <n v="7"/>
    <m/>
    <m/>
    <m/>
    <m/>
    <m/>
    <m/>
    <m/>
    <m/>
    <m/>
    <m/>
    <m/>
    <m/>
    <m/>
    <m/>
  </r>
  <r>
    <n v="6419"/>
    <n v="57017"/>
    <d v="1993-11-13T00:00:00"/>
    <n v="32"/>
    <x v="1"/>
    <x v="1"/>
    <d v="2024-08-19T00:00:00"/>
    <n v="1.0547945205479452"/>
    <x v="84"/>
    <x v="1"/>
    <x v="8"/>
    <x v="1"/>
    <n v="8.4700000000000006"/>
    <m/>
    <m/>
    <m/>
    <m/>
    <m/>
    <m/>
    <x v="4"/>
    <n v="1"/>
    <n v="7"/>
    <m/>
    <m/>
    <m/>
    <m/>
    <m/>
    <m/>
    <m/>
    <m/>
    <m/>
    <m/>
    <m/>
    <m/>
    <m/>
    <m/>
  </r>
  <r>
    <n v="6420"/>
    <n v="57019"/>
    <d v="2006-06-29T00:00:00"/>
    <n v="19"/>
    <x v="1"/>
    <x v="1"/>
    <d v="2024-12-11T00:00:00"/>
    <n v="1.4575342465753425"/>
    <x v="101"/>
    <x v="1"/>
    <x v="3"/>
    <x v="1"/>
    <n v="8.4700000000000006"/>
    <m/>
    <m/>
    <m/>
    <m/>
    <m/>
    <m/>
    <x v="2"/>
    <n v="4"/>
    <n v="7"/>
    <m/>
    <m/>
    <m/>
    <m/>
    <m/>
    <m/>
    <m/>
    <m/>
    <m/>
    <m/>
    <m/>
    <m/>
    <m/>
    <m/>
  </r>
  <r>
    <n v="6421"/>
    <n v="57020"/>
    <d v="1994-06-24T00:00:00"/>
    <n v="31"/>
    <x v="1"/>
    <x v="0"/>
    <d v="2024-07-17T00:00:00"/>
    <n v="1.3424657534246576"/>
    <x v="101"/>
    <x v="1"/>
    <x v="7"/>
    <x v="1"/>
    <n v="17.59"/>
    <m/>
    <m/>
    <m/>
    <m/>
    <m/>
    <m/>
    <x v="4"/>
    <n v="2"/>
    <n v="5"/>
    <m/>
    <m/>
    <m/>
    <m/>
    <m/>
    <m/>
    <m/>
    <m/>
    <m/>
    <m/>
    <m/>
    <m/>
    <m/>
    <m/>
  </r>
  <r>
    <n v="6422"/>
    <n v="57021"/>
    <d v="2004-04-15T00:00:00"/>
    <n v="21"/>
    <x v="1"/>
    <x v="1"/>
    <d v="2024-08-28T00:00:00"/>
    <n v="1.1506849315068493"/>
    <x v="101"/>
    <x v="1"/>
    <x v="8"/>
    <x v="1"/>
    <n v="8.4700000000000006"/>
    <m/>
    <m/>
    <m/>
    <m/>
    <m/>
    <m/>
    <x v="2"/>
    <n v="1"/>
    <n v="6"/>
    <m/>
    <m/>
    <m/>
    <m/>
    <m/>
    <m/>
    <m/>
    <m/>
    <m/>
    <m/>
    <m/>
    <m/>
    <m/>
    <m/>
  </r>
  <r>
    <n v="6423"/>
    <n v="57022"/>
    <d v="2003-06-05T00:00:00"/>
    <n v="22"/>
    <x v="1"/>
    <x v="1"/>
    <d v="2024-11-06T00:00:00"/>
    <n v="1.2465753424657535"/>
    <x v="101"/>
    <x v="1"/>
    <x v="8"/>
    <x v="1"/>
    <n v="8.4700000000000006"/>
    <m/>
    <m/>
    <m/>
    <m/>
    <m/>
    <m/>
    <x v="2"/>
    <n v="2"/>
    <n v="6"/>
    <m/>
    <m/>
    <m/>
    <m/>
    <m/>
    <m/>
    <m/>
    <m/>
    <m/>
    <m/>
    <m/>
    <m/>
    <m/>
    <m/>
  </r>
  <r>
    <n v="6424"/>
    <n v="57023"/>
    <d v="2006-04-20T00:00:00"/>
    <n v="19"/>
    <x v="0"/>
    <x v="0"/>
    <d v="2024-10-02T00:00:00"/>
    <n v="1.8027397260273972"/>
    <x v="101"/>
    <x v="1"/>
    <x v="8"/>
    <x v="1"/>
    <n v="8.4700000000000006"/>
    <m/>
    <m/>
    <m/>
    <m/>
    <m/>
    <m/>
    <x v="3"/>
    <n v="2"/>
    <n v="4"/>
    <m/>
    <m/>
    <m/>
    <m/>
    <m/>
    <m/>
    <m/>
    <m/>
    <m/>
    <m/>
    <m/>
    <m/>
    <m/>
    <m/>
  </r>
  <r>
    <n v="6425"/>
    <n v="57024"/>
    <d v="2005-10-05T00:00:00"/>
    <n v="20"/>
    <x v="1"/>
    <x v="1"/>
    <d v="2024-03-13T00:00:00"/>
    <n v="1.9260273972602739"/>
    <x v="101"/>
    <x v="1"/>
    <x v="8"/>
    <x v="1"/>
    <n v="8.4700000000000006"/>
    <m/>
    <m/>
    <m/>
    <m/>
    <m/>
    <m/>
    <x v="3"/>
    <n v="0"/>
    <n v="6"/>
    <m/>
    <m/>
    <m/>
    <m/>
    <m/>
    <m/>
    <m/>
    <m/>
    <m/>
    <m/>
    <m/>
    <m/>
    <m/>
    <m/>
  </r>
  <r>
    <n v="6426"/>
    <n v="57025"/>
    <d v="1997-11-01T00:00:00"/>
    <n v="29"/>
    <x v="0"/>
    <x v="1"/>
    <d v="2024-01-28T00:00:00"/>
    <n v="1.6493150684931508"/>
    <x v="86"/>
    <x v="1"/>
    <x v="11"/>
    <x v="1"/>
    <n v="17"/>
    <m/>
    <m/>
    <m/>
    <m/>
    <m/>
    <m/>
    <x v="3"/>
    <n v="3"/>
    <n v="4"/>
    <m/>
    <m/>
    <m/>
    <m/>
    <m/>
    <m/>
    <m/>
    <m/>
    <m/>
    <m/>
    <m/>
    <m/>
    <m/>
    <m/>
  </r>
  <r>
    <n v="6427"/>
    <n v="57026"/>
    <d v="2002-12-25T00:00:00"/>
    <n v="23"/>
    <x v="1"/>
    <x v="1"/>
    <d v="2024-05-08T00:00:00"/>
    <n v="1.210958904109589"/>
    <x v="86"/>
    <x v="1"/>
    <x v="11"/>
    <x v="1"/>
    <n v="17"/>
    <m/>
    <m/>
    <m/>
    <m/>
    <m/>
    <m/>
    <x v="2"/>
    <n v="2"/>
    <n v="6"/>
    <m/>
    <m/>
    <m/>
    <m/>
    <m/>
    <m/>
    <m/>
    <m/>
    <m/>
    <m/>
    <m/>
    <m/>
    <m/>
    <m/>
  </r>
  <r>
    <n v="6428"/>
    <n v="57027"/>
    <d v="2001-05-23T00:00:00"/>
    <n v="24"/>
    <x v="0"/>
    <x v="1"/>
    <d v="2024-10-15T00:00:00"/>
    <n v="1.8273972602739725"/>
    <x v="86"/>
    <x v="1"/>
    <x v="10"/>
    <x v="1"/>
    <n v="10.64"/>
    <m/>
    <m/>
    <m/>
    <m/>
    <m/>
    <m/>
    <x v="4"/>
    <n v="1"/>
    <n v="5"/>
    <m/>
    <m/>
    <m/>
    <m/>
    <m/>
    <m/>
    <m/>
    <m/>
    <m/>
    <m/>
    <m/>
    <m/>
    <m/>
    <m/>
  </r>
  <r>
    <n v="6429"/>
    <n v="57028"/>
    <d v="1999-02-13T00:00:00"/>
    <n v="26"/>
    <x v="1"/>
    <x v="1"/>
    <d v="2024-03-04T00:00:00"/>
    <n v="1.2356164383561643"/>
    <x v="86"/>
    <x v="1"/>
    <x v="3"/>
    <x v="1"/>
    <n v="8.4700000000000006"/>
    <m/>
    <m/>
    <m/>
    <m/>
    <m/>
    <m/>
    <x v="1"/>
    <n v="2"/>
    <n v="5"/>
    <m/>
    <m/>
    <m/>
    <m/>
    <m/>
    <m/>
    <m/>
    <m/>
    <m/>
    <m/>
    <m/>
    <m/>
    <m/>
    <m/>
  </r>
  <r>
    <n v="6430"/>
    <n v="57029"/>
    <d v="2002-05-31T00:00:00"/>
    <n v="23"/>
    <x v="1"/>
    <x v="1"/>
    <d v="2024-10-06T00:00:00"/>
    <n v="1.4794520547945205"/>
    <x v="86"/>
    <x v="1"/>
    <x v="3"/>
    <x v="1"/>
    <n v="8.4700000000000006"/>
    <m/>
    <m/>
    <m/>
    <m/>
    <m/>
    <m/>
    <x v="2"/>
    <n v="0"/>
    <n v="5"/>
    <m/>
    <m/>
    <m/>
    <m/>
    <m/>
    <m/>
    <m/>
    <m/>
    <m/>
    <m/>
    <m/>
    <m/>
    <m/>
    <m/>
  </r>
  <r>
    <n v="6431"/>
    <n v="57030"/>
    <d v="2003-02-01T00:00:00"/>
    <n v="23"/>
    <x v="1"/>
    <x v="0"/>
    <d v="2024-07-09T00:00:00"/>
    <n v="1.2191780821917808"/>
    <x v="86"/>
    <x v="1"/>
    <x v="8"/>
    <x v="1"/>
    <n v="8.4700000000000006"/>
    <m/>
    <m/>
    <m/>
    <m/>
    <m/>
    <m/>
    <x v="4"/>
    <n v="4"/>
    <n v="7"/>
    <m/>
    <m/>
    <m/>
    <m/>
    <m/>
    <m/>
    <m/>
    <m/>
    <m/>
    <m/>
    <m/>
    <m/>
    <m/>
    <m/>
  </r>
  <r>
    <n v="6432"/>
    <n v="57031"/>
    <d v="2002-07-15T00:00:00"/>
    <n v="23"/>
    <x v="1"/>
    <x v="1"/>
    <d v="2024-10-12T00:00:00"/>
    <n v="1.6328767123287671"/>
    <x v="86"/>
    <x v="1"/>
    <x v="8"/>
    <x v="1"/>
    <n v="8.4700000000000006"/>
    <m/>
    <m/>
    <m/>
    <m/>
    <m/>
    <m/>
    <x v="1"/>
    <n v="3"/>
    <n v="6"/>
    <m/>
    <m/>
    <m/>
    <m/>
    <m/>
    <m/>
    <m/>
    <m/>
    <m/>
    <m/>
    <m/>
    <m/>
    <m/>
    <m/>
  </r>
  <r>
    <n v="6433"/>
    <n v="57032"/>
    <d v="2006-02-09T00:00:00"/>
    <n v="19"/>
    <x v="1"/>
    <x v="0"/>
    <d v="2024-05-14T00:00:00"/>
    <n v="1.2794520547945205"/>
    <x v="86"/>
    <x v="1"/>
    <x v="8"/>
    <x v="1"/>
    <n v="8.4700000000000006"/>
    <m/>
    <m/>
    <m/>
    <m/>
    <m/>
    <m/>
    <x v="4"/>
    <n v="2"/>
    <n v="5"/>
    <m/>
    <m/>
    <m/>
    <m/>
    <m/>
    <m/>
    <m/>
    <m/>
    <m/>
    <m/>
    <m/>
    <m/>
    <m/>
    <m/>
  </r>
  <r>
    <n v="6434"/>
    <n v="57033"/>
    <d v="2003-12-14T00:00:00"/>
    <n v="22"/>
    <x v="1"/>
    <x v="1"/>
    <d v="2024-09-20T00:00:00"/>
    <n v="1.0438356164383562"/>
    <x v="86"/>
    <x v="1"/>
    <x v="8"/>
    <x v="1"/>
    <n v="8.4700000000000006"/>
    <m/>
    <m/>
    <m/>
    <m/>
    <m/>
    <m/>
    <x v="2"/>
    <n v="1"/>
    <n v="4"/>
    <m/>
    <m/>
    <m/>
    <m/>
    <m/>
    <m/>
    <m/>
    <m/>
    <m/>
    <m/>
    <m/>
    <m/>
    <m/>
    <m/>
  </r>
  <r>
    <n v="6435"/>
    <n v="57034"/>
    <d v="1995-12-08T00:00:00"/>
    <n v="30"/>
    <x v="1"/>
    <x v="0"/>
    <d v="2024-12-15T00:00:00"/>
    <n v="1.2657534246575342"/>
    <x v="86"/>
    <x v="1"/>
    <x v="8"/>
    <x v="1"/>
    <n v="8.4700000000000006"/>
    <m/>
    <m/>
    <m/>
    <m/>
    <m/>
    <m/>
    <x v="4"/>
    <n v="2"/>
    <n v="5"/>
    <m/>
    <m/>
    <m/>
    <m/>
    <m/>
    <m/>
    <m/>
    <m/>
    <m/>
    <m/>
    <m/>
    <m/>
    <m/>
    <m/>
  </r>
  <r>
    <n v="6436"/>
    <n v="57035"/>
    <d v="2004-11-15T00:00:00"/>
    <n v="21"/>
    <x v="1"/>
    <x v="1"/>
    <d v="2024-09-25T00:00:00"/>
    <n v="1.526027397260274"/>
    <x v="86"/>
    <x v="1"/>
    <x v="8"/>
    <x v="1"/>
    <n v="8.4700000000000006"/>
    <m/>
    <m/>
    <m/>
    <m/>
    <m/>
    <m/>
    <x v="4"/>
    <n v="2"/>
    <n v="6"/>
    <m/>
    <m/>
    <m/>
    <m/>
    <m/>
    <m/>
    <m/>
    <m/>
    <m/>
    <m/>
    <m/>
    <m/>
    <m/>
    <m/>
  </r>
  <r>
    <n v="6437"/>
    <n v="57036"/>
    <d v="2003-06-27T00:00:00"/>
    <n v="22"/>
    <x v="1"/>
    <x v="1"/>
    <d v="2024-06-22T00:00:00"/>
    <n v="1.1726027397260275"/>
    <x v="86"/>
    <x v="1"/>
    <x v="8"/>
    <x v="1"/>
    <n v="8.4700000000000006"/>
    <m/>
    <m/>
    <m/>
    <m/>
    <m/>
    <m/>
    <x v="1"/>
    <n v="1"/>
    <n v="6"/>
    <m/>
    <m/>
    <m/>
    <m/>
    <m/>
    <m/>
    <m/>
    <m/>
    <m/>
    <m/>
    <m/>
    <m/>
    <m/>
    <m/>
  </r>
  <r>
    <n v="6438"/>
    <n v="57037"/>
    <d v="2006-12-09T00:00:00"/>
    <n v="19"/>
    <x v="1"/>
    <x v="1"/>
    <d v="2024-10-29T00:00:00"/>
    <n v="1.2986301369863014"/>
    <x v="86"/>
    <x v="1"/>
    <x v="8"/>
    <x v="1"/>
    <n v="8.4700000000000006"/>
    <m/>
    <m/>
    <m/>
    <m/>
    <m/>
    <m/>
    <x v="4"/>
    <n v="0"/>
    <n v="5"/>
    <m/>
    <m/>
    <m/>
    <m/>
    <m/>
    <m/>
    <m/>
    <m/>
    <m/>
    <m/>
    <m/>
    <m/>
    <m/>
    <m/>
  </r>
  <r>
    <n v="6439"/>
    <n v="57038"/>
    <d v="2005-06-20T00:00:00"/>
    <n v="20"/>
    <x v="1"/>
    <x v="0"/>
    <d v="2024-09-13T00:00:00"/>
    <n v="1.1589041095890411"/>
    <x v="86"/>
    <x v="1"/>
    <x v="8"/>
    <x v="1"/>
    <n v="8.4700000000000006"/>
    <m/>
    <m/>
    <m/>
    <m/>
    <m/>
    <m/>
    <x v="2"/>
    <n v="3"/>
    <n v="5"/>
    <m/>
    <m/>
    <m/>
    <m/>
    <m/>
    <m/>
    <m/>
    <m/>
    <m/>
    <m/>
    <m/>
    <m/>
    <m/>
    <m/>
  </r>
  <r>
    <n v="6440"/>
    <n v="57039"/>
    <d v="2004-03-05T00:00:00"/>
    <n v="21"/>
    <x v="1"/>
    <x v="1"/>
    <d v="2024-11-03T00:00:00"/>
    <n v="1.3041095890410959"/>
    <x v="86"/>
    <x v="1"/>
    <x v="8"/>
    <x v="1"/>
    <n v="8.4700000000000006"/>
    <m/>
    <m/>
    <m/>
    <m/>
    <m/>
    <m/>
    <x v="3"/>
    <n v="4"/>
    <n v="7"/>
    <m/>
    <m/>
    <m/>
    <m/>
    <m/>
    <m/>
    <m/>
    <m/>
    <m/>
    <m/>
    <m/>
    <m/>
    <m/>
    <m/>
  </r>
  <r>
    <n v="6441"/>
    <n v="57040"/>
    <d v="1997-08-24T00:00:00"/>
    <n v="28"/>
    <x v="1"/>
    <x v="0"/>
    <d v="2024-09-11T00:00:00"/>
    <n v="1.8630136986301369"/>
    <x v="86"/>
    <x v="1"/>
    <x v="8"/>
    <x v="1"/>
    <n v="8.4700000000000006"/>
    <m/>
    <m/>
    <m/>
    <m/>
    <m/>
    <m/>
    <x v="1"/>
    <n v="2"/>
    <n v="5"/>
    <m/>
    <m/>
    <m/>
    <m/>
    <m/>
    <m/>
    <m/>
    <m/>
    <m/>
    <m/>
    <m/>
    <m/>
    <m/>
    <m/>
  </r>
  <r>
    <n v="6442"/>
    <n v="57041"/>
    <d v="1993-09-08T00:00:00"/>
    <n v="32"/>
    <x v="1"/>
    <x v="1"/>
    <d v="2024-02-20T00:00:00"/>
    <n v="1.441095890410959"/>
    <x v="86"/>
    <x v="1"/>
    <x v="8"/>
    <x v="1"/>
    <n v="8.4700000000000006"/>
    <m/>
    <m/>
    <m/>
    <m/>
    <m/>
    <m/>
    <x v="1"/>
    <n v="0"/>
    <n v="5"/>
    <m/>
    <m/>
    <m/>
    <m/>
    <m/>
    <m/>
    <m/>
    <m/>
    <m/>
    <m/>
    <m/>
    <m/>
    <m/>
    <m/>
  </r>
  <r>
    <n v="6443"/>
    <n v="57042"/>
    <d v="1998-06-09T00:00:00"/>
    <n v="27"/>
    <x v="1"/>
    <x v="1"/>
    <d v="2024-07-23T00:00:00"/>
    <n v="1.2931506849315069"/>
    <x v="132"/>
    <x v="1"/>
    <x v="11"/>
    <x v="1"/>
    <n v="17"/>
    <m/>
    <m/>
    <m/>
    <m/>
    <m/>
    <m/>
    <x v="3"/>
    <n v="2"/>
    <n v="5"/>
    <m/>
    <m/>
    <m/>
    <m/>
    <m/>
    <m/>
    <m/>
    <m/>
    <m/>
    <m/>
    <m/>
    <m/>
    <m/>
    <m/>
  </r>
  <r>
    <n v="6444"/>
    <n v="57043"/>
    <d v="2001-05-22T00:00:00"/>
    <n v="24"/>
    <x v="1"/>
    <x v="1"/>
    <d v="2024-09-15T00:00:00"/>
    <n v="1.1205479452054794"/>
    <x v="132"/>
    <x v="1"/>
    <x v="11"/>
    <x v="1"/>
    <n v="17"/>
    <m/>
    <m/>
    <m/>
    <m/>
    <m/>
    <m/>
    <x v="4"/>
    <n v="2"/>
    <n v="5"/>
    <m/>
    <m/>
    <m/>
    <m/>
    <m/>
    <m/>
    <m/>
    <m/>
    <m/>
    <m/>
    <m/>
    <m/>
    <m/>
    <m/>
  </r>
  <r>
    <n v="6445"/>
    <n v="57044"/>
    <d v="2002-12-25T00:00:00"/>
    <n v="23"/>
    <x v="1"/>
    <x v="1"/>
    <d v="2024-11-17T00:00:00"/>
    <n v="1.3616438356164384"/>
    <x v="132"/>
    <x v="1"/>
    <x v="11"/>
    <x v="1"/>
    <n v="17"/>
    <m/>
    <m/>
    <m/>
    <m/>
    <m/>
    <m/>
    <x v="3"/>
    <n v="0"/>
    <n v="5"/>
    <m/>
    <m/>
    <m/>
    <m/>
    <m/>
    <m/>
    <m/>
    <m/>
    <m/>
    <m/>
    <m/>
    <m/>
    <m/>
    <m/>
  </r>
  <r>
    <n v="6446"/>
    <n v="57045"/>
    <d v="2002-10-25T00:00:00"/>
    <n v="23"/>
    <x v="0"/>
    <x v="1"/>
    <d v="2024-08-21T00:00:00"/>
    <n v="1.747945205479452"/>
    <x v="132"/>
    <x v="1"/>
    <x v="10"/>
    <x v="1"/>
    <n v="10.64"/>
    <m/>
    <m/>
    <m/>
    <m/>
    <m/>
    <m/>
    <x v="1"/>
    <n v="1"/>
    <n v="6"/>
    <m/>
    <m/>
    <m/>
    <m/>
    <m/>
    <m/>
    <m/>
    <m/>
    <m/>
    <m/>
    <m/>
    <m/>
    <m/>
    <m/>
  </r>
  <r>
    <n v="6447"/>
    <n v="57046"/>
    <d v="1993-12-25T00:00:00"/>
    <n v="32"/>
    <x v="1"/>
    <x v="0"/>
    <d v="2024-04-02T00:00:00"/>
    <n v="1.0136986301369864"/>
    <x v="132"/>
    <x v="1"/>
    <x v="1"/>
    <x v="1"/>
    <n v="16.37"/>
    <m/>
    <m/>
    <m/>
    <m/>
    <m/>
    <m/>
    <x v="3"/>
    <n v="2"/>
    <n v="5"/>
    <m/>
    <m/>
    <m/>
    <m/>
    <m/>
    <m/>
    <m/>
    <m/>
    <m/>
    <m/>
    <m/>
    <m/>
    <m/>
    <m/>
  </r>
  <r>
    <n v="6448"/>
    <n v="57047"/>
    <d v="2001-09-24T00:00:00"/>
    <n v="24"/>
    <x v="1"/>
    <x v="1"/>
    <d v="2024-12-26T00:00:00"/>
    <n v="1.3890410958904109"/>
    <x v="132"/>
    <x v="1"/>
    <x v="2"/>
    <x v="1"/>
    <n v="14.23"/>
    <m/>
    <m/>
    <m/>
    <m/>
    <m/>
    <m/>
    <x v="1"/>
    <n v="0"/>
    <n v="7"/>
    <m/>
    <m/>
    <m/>
    <m/>
    <m/>
    <m/>
    <m/>
    <m/>
    <m/>
    <m/>
    <m/>
    <m/>
    <m/>
    <m/>
  </r>
  <r>
    <n v="6449"/>
    <n v="57048"/>
    <d v="2004-05-26T00:00:00"/>
    <n v="21"/>
    <x v="1"/>
    <x v="1"/>
    <d v="2024-08-11T00:00:00"/>
    <n v="1.3260273972602741"/>
    <x v="132"/>
    <x v="1"/>
    <x v="9"/>
    <x v="1"/>
    <n v="14.07"/>
    <m/>
    <m/>
    <m/>
    <m/>
    <m/>
    <m/>
    <x v="4"/>
    <n v="1"/>
    <n v="6"/>
    <m/>
    <m/>
    <m/>
    <m/>
    <m/>
    <m/>
    <m/>
    <m/>
    <m/>
    <m/>
    <m/>
    <m/>
    <m/>
    <m/>
  </r>
  <r>
    <n v="6450"/>
    <n v="57049"/>
    <d v="1998-08-24T00:00:00"/>
    <n v="27"/>
    <x v="1"/>
    <x v="1"/>
    <d v="2024-09-03T00:00:00"/>
    <n v="1.473972602739726"/>
    <x v="132"/>
    <x v="1"/>
    <x v="3"/>
    <x v="1"/>
    <n v="17.899999999999999"/>
    <m/>
    <m/>
    <m/>
    <m/>
    <m/>
    <m/>
    <x v="4"/>
    <n v="2"/>
    <n v="6"/>
    <m/>
    <m/>
    <m/>
    <m/>
    <m/>
    <m/>
    <m/>
    <m/>
    <m/>
    <m/>
    <m/>
    <m/>
    <m/>
    <m/>
  </r>
  <r>
    <n v="6451"/>
    <n v="57051"/>
    <d v="2006-02-24T00:00:00"/>
    <n v="19"/>
    <x v="0"/>
    <x v="1"/>
    <d v="2024-07-11T00:00:00"/>
    <n v="1.7342465753424658"/>
    <x v="132"/>
    <x v="1"/>
    <x v="8"/>
    <x v="1"/>
    <n v="8.4700000000000006"/>
    <m/>
    <m/>
    <m/>
    <m/>
    <m/>
    <m/>
    <x v="4"/>
    <n v="3"/>
    <n v="5"/>
    <m/>
    <m/>
    <m/>
    <m/>
    <m/>
    <m/>
    <m/>
    <m/>
    <m/>
    <m/>
    <m/>
    <m/>
    <m/>
    <m/>
  </r>
  <r>
    <n v="6452"/>
    <n v="57052"/>
    <d v="2003-05-06T00:00:00"/>
    <n v="22"/>
    <x v="1"/>
    <x v="1"/>
    <d v="2024-04-07T00:00:00"/>
    <n v="1.6356164383561644"/>
    <x v="132"/>
    <x v="1"/>
    <x v="8"/>
    <x v="1"/>
    <n v="8.4700000000000006"/>
    <m/>
    <m/>
    <m/>
    <m/>
    <m/>
    <m/>
    <x v="1"/>
    <n v="4"/>
    <n v="5"/>
    <m/>
    <m/>
    <m/>
    <m/>
    <m/>
    <m/>
    <m/>
    <m/>
    <m/>
    <m/>
    <m/>
    <m/>
    <m/>
    <m/>
  </r>
  <r>
    <n v="6453"/>
    <n v="57053"/>
    <d v="2003-12-13T00:00:00"/>
    <n v="22"/>
    <x v="1"/>
    <x v="1"/>
    <d v="2024-05-13T00:00:00"/>
    <n v="1.3232876712328767"/>
    <x v="132"/>
    <x v="1"/>
    <x v="8"/>
    <x v="1"/>
    <n v="8.4700000000000006"/>
    <m/>
    <m/>
    <m/>
    <m/>
    <m/>
    <m/>
    <x v="3"/>
    <n v="2"/>
    <n v="6"/>
    <m/>
    <m/>
    <m/>
    <m/>
    <m/>
    <m/>
    <m/>
    <m/>
    <m/>
    <m/>
    <m/>
    <m/>
    <m/>
    <m/>
  </r>
  <r>
    <n v="6454"/>
    <n v="57054"/>
    <d v="1994-12-16T00:00:00"/>
    <n v="31"/>
    <x v="1"/>
    <x v="1"/>
    <d v="2024-09-04T00:00:00"/>
    <n v="1.4136986301369863"/>
    <x v="132"/>
    <x v="1"/>
    <x v="8"/>
    <x v="1"/>
    <n v="8.4700000000000006"/>
    <m/>
    <m/>
    <m/>
    <m/>
    <m/>
    <m/>
    <x v="2"/>
    <n v="1"/>
    <n v="5"/>
    <m/>
    <m/>
    <m/>
    <m/>
    <m/>
    <m/>
    <m/>
    <m/>
    <m/>
    <m/>
    <m/>
    <m/>
    <m/>
    <m/>
  </r>
  <r>
    <n v="6455"/>
    <n v="57055"/>
    <d v="2004-12-21T00:00:00"/>
    <n v="21"/>
    <x v="1"/>
    <x v="1"/>
    <d v="2024-08-02T00:00:00"/>
    <n v="1.0438356164383562"/>
    <x v="132"/>
    <x v="1"/>
    <x v="8"/>
    <x v="1"/>
    <n v="8.4700000000000006"/>
    <m/>
    <m/>
    <m/>
    <m/>
    <m/>
    <m/>
    <x v="1"/>
    <n v="0"/>
    <n v="5"/>
    <m/>
    <m/>
    <m/>
    <m/>
    <m/>
    <m/>
    <m/>
    <m/>
    <m/>
    <m/>
    <m/>
    <m/>
    <m/>
    <m/>
  </r>
  <r>
    <n v="6456"/>
    <n v="57056"/>
    <d v="1999-05-16T00:00:00"/>
    <n v="26"/>
    <x v="1"/>
    <x v="1"/>
    <d v="2024-12-15T00:00:00"/>
    <n v="1.1561643835616437"/>
    <x v="132"/>
    <x v="1"/>
    <x v="8"/>
    <x v="1"/>
    <n v="8.4700000000000006"/>
    <m/>
    <m/>
    <m/>
    <m/>
    <m/>
    <m/>
    <x v="1"/>
    <n v="2"/>
    <n v="7"/>
    <m/>
    <m/>
    <m/>
    <m/>
    <m/>
    <m/>
    <m/>
    <m/>
    <m/>
    <m/>
    <m/>
    <m/>
    <m/>
    <m/>
  </r>
  <r>
    <n v="6457"/>
    <n v="57057"/>
    <d v="1998-08-22T00:00:00"/>
    <n v="27"/>
    <x v="1"/>
    <x v="0"/>
    <d v="2024-11-04T00:00:00"/>
    <n v="126.08767123287672"/>
    <x v="132"/>
    <x v="1"/>
    <x v="8"/>
    <x v="1"/>
    <n v="8.4700000000000006"/>
    <m/>
    <m/>
    <m/>
    <m/>
    <m/>
    <m/>
    <x v="2"/>
    <n v="3"/>
    <n v="6"/>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061623-3479-44D2-B175-29D760F72C52}" name="KPI"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4:F5" firstHeaderRow="0" firstDataRow="1" firstDataCol="0"/>
  <pivotFields count="36">
    <pivotField showAll="0"/>
    <pivotField dataField="1" showAll="0" countASubtotal="1"/>
    <pivotField numFmtId="14" showAll="0"/>
    <pivotField dataField="1" showAll="0"/>
    <pivotField multipleItemSelectionAllowed="1" showAll="0">
      <items count="3">
        <item x="1"/>
        <item x="0"/>
        <item t="default"/>
      </items>
    </pivotField>
    <pivotField showAll="0">
      <items count="3">
        <item x="0"/>
        <item x="1"/>
        <item t="default"/>
      </items>
    </pivotField>
    <pivotField numFmtId="14" showAll="0"/>
    <pivotField dataField="1" showAll="0"/>
    <pivotField showAll="0">
      <items count="146">
        <item x="0"/>
        <item x="2"/>
        <item x="3"/>
        <item x="4"/>
        <item x="5"/>
        <item x="7"/>
        <item x="127"/>
        <item x="10"/>
        <item x="124"/>
        <item x="11"/>
        <item x="45"/>
        <item x="12"/>
        <item x="82"/>
        <item x="13"/>
        <item x="14"/>
        <item x="15"/>
        <item x="17"/>
        <item x="16"/>
        <item x="18"/>
        <item x="88"/>
        <item x="19"/>
        <item x="20"/>
        <item x="27"/>
        <item x="21"/>
        <item x="22"/>
        <item x="23"/>
        <item x="137"/>
        <item x="28"/>
        <item x="52"/>
        <item x="24"/>
        <item x="87"/>
        <item x="25"/>
        <item x="26"/>
        <item x="139"/>
        <item x="49"/>
        <item x="47"/>
        <item x="61"/>
        <item x="31"/>
        <item x="32"/>
        <item x="63"/>
        <item x="33"/>
        <item x="78"/>
        <item x="83"/>
        <item x="50"/>
        <item x="34"/>
        <item x="136"/>
        <item x="138"/>
        <item x="143"/>
        <item x="102"/>
        <item x="67"/>
        <item x="140"/>
        <item x="35"/>
        <item x="36"/>
        <item x="57"/>
        <item x="141"/>
        <item x="55"/>
        <item x="144"/>
        <item x="41"/>
        <item x="73"/>
        <item x="142"/>
        <item x="59"/>
        <item x="37"/>
        <item x="77"/>
        <item x="38"/>
        <item x="42"/>
        <item x="39"/>
        <item x="40"/>
        <item x="106"/>
        <item x="1"/>
        <item x="43"/>
        <item x="104"/>
        <item x="44"/>
        <item x="90"/>
        <item x="97"/>
        <item x="120"/>
        <item x="114"/>
        <item x="6"/>
        <item x="8"/>
        <item x="46"/>
        <item x="9"/>
        <item x="105"/>
        <item x="29"/>
        <item x="30"/>
        <item x="48"/>
        <item x="115"/>
        <item x="108"/>
        <item x="95"/>
        <item x="123"/>
        <item x="51"/>
        <item x="133"/>
        <item x="130"/>
        <item x="121"/>
        <item x="53"/>
        <item x="54"/>
        <item x="56"/>
        <item x="85"/>
        <item x="58"/>
        <item x="113"/>
        <item x="60"/>
        <item x="62"/>
        <item x="91"/>
        <item x="111"/>
        <item x="117"/>
        <item x="119"/>
        <item x="64"/>
        <item x="65"/>
        <item x="66"/>
        <item x="68"/>
        <item x="69"/>
        <item x="135"/>
        <item x="70"/>
        <item x="71"/>
        <item x="131"/>
        <item x="72"/>
        <item x="74"/>
        <item x="75"/>
        <item x="122"/>
        <item x="76"/>
        <item x="125"/>
        <item x="118"/>
        <item x="79"/>
        <item x="93"/>
        <item x="109"/>
        <item x="129"/>
        <item x="80"/>
        <item x="107"/>
        <item x="134"/>
        <item x="81"/>
        <item x="100"/>
        <item x="96"/>
        <item x="89"/>
        <item x="94"/>
        <item x="110"/>
        <item x="99"/>
        <item x="84"/>
        <item x="101"/>
        <item x="86"/>
        <item x="132"/>
        <item x="112"/>
        <item x="98"/>
        <item x="92"/>
        <item x="126"/>
        <item x="128"/>
        <item x="116"/>
        <item x="103"/>
        <item t="default"/>
      </items>
    </pivotField>
    <pivotField showAll="0">
      <items count="3">
        <item x="0"/>
        <item x="1"/>
        <item t="default"/>
      </items>
    </pivotField>
    <pivotField multipleItemSelectionAllowed="1" showAll="0">
      <items count="14">
        <item x="12"/>
        <item x="11"/>
        <item x="10"/>
        <item x="1"/>
        <item x="2"/>
        <item x="9"/>
        <item x="3"/>
        <item x="4"/>
        <item x="5"/>
        <item x="6"/>
        <item x="0"/>
        <item x="7"/>
        <item x="8"/>
        <item t="default"/>
      </items>
    </pivotField>
    <pivotField showAll="0">
      <items count="3">
        <item x="0"/>
        <item x="1"/>
        <item t="default"/>
      </items>
    </pivotField>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Fields count="1">
    <field x="-2"/>
  </colFields>
  <colItems count="6">
    <i>
      <x/>
    </i>
    <i i="1">
      <x v="1"/>
    </i>
    <i i="2">
      <x v="2"/>
    </i>
    <i i="3">
      <x v="3"/>
    </i>
    <i i="4">
      <x v="4"/>
    </i>
    <i i="5">
      <x v="5"/>
    </i>
  </colItems>
  <dataFields count="6">
    <dataField name="Count of ID" fld="1" subtotal="count" baseField="0" baseItem="1"/>
    <dataField name="Average of Tenure" fld="7" subtotal="average" baseField="0" baseItem="1"/>
    <dataField name="Average of Age" fld="3" subtotal="average" baseField="0" baseItem="1"/>
    <dataField name="Average of Wage Rate (2024)" fld="12" subtotal="average" baseField="0" baseItem="2"/>
    <dataField name="Average of Performance Rating (2024)" fld="29" subtotal="average" baseField="0" baseItem="4" numFmtId="2"/>
    <dataField name="Average of Prior Experience" fld="20" subtotal="average" baseField="0" baseItem="4"/>
  </dataFields>
  <formats count="2">
    <format dxfId="0">
      <pivotArea dataOnly="0" labelOnly="1" outline="0" fieldPosition="0">
        <references count="1">
          <reference field="4294967294" count="1">
            <x v="4"/>
          </reference>
        </references>
      </pivotArea>
    </format>
    <format dxfId="1">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887DEAB-8D6D-4F06-BD66-71ADE21AFA7D}" sourceName="Gender">
  <data>
    <tabular pivotCacheId="132914529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E7F6D2E7-C719-4CD1-A4D4-10D893A5453D}" sourceName="Job Title">
  <data>
    <tabular pivotCacheId="1329145294">
      <items count="13">
        <i x="12" s="1"/>
        <i x="11" s="1"/>
        <i x="10" s="1"/>
        <i x="1" s="1"/>
        <i x="2" s="1"/>
        <i x="9" s="1"/>
        <i x="3" s="1"/>
        <i x="4" s="1"/>
        <i x="5" s="1"/>
        <i x="6" s="1"/>
        <i x="0" s="1"/>
        <i x="7"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Market" xr10:uid="{3AE893D4-53A4-4F99-AAB3-2FCA31A1F2C9}" sourceName="Store Market">
  <data>
    <tabular pivotCacheId="132914529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 xr10:uid="{B7EC4F03-A7FB-4A31-A924-910880C9E661}" sourceName="Race">
  <data>
    <tabular pivotCacheId="132914529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mpt__Non_Exempt" xr10:uid="{91849732-AA66-4E53-8B71-8BFDFBE66CAC}" sourceName="Exempt/ Non-Exempt">
  <data>
    <tabular pivotCacheId="1329145294">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 xr10:uid="{3EA0CAE3-6CD1-451D-ACA4-E43432AF843D}" sourceName="Unit">
  <data>
    <tabular pivotCacheId="1329145294">
      <items count="145">
        <i x="0"/>
        <i x="2"/>
        <i x="3"/>
        <i x="4"/>
        <i x="5"/>
        <i x="7"/>
        <i x="127"/>
        <i x="10"/>
        <i x="124"/>
        <i x="11"/>
        <i x="45"/>
        <i x="12"/>
        <i x="82"/>
        <i x="13"/>
        <i x="14"/>
        <i x="15"/>
        <i x="17"/>
        <i x="16"/>
        <i x="18"/>
        <i x="88"/>
        <i x="19"/>
        <i x="20"/>
        <i x="27"/>
        <i x="21"/>
        <i x="22"/>
        <i x="23"/>
        <i x="137"/>
        <i x="28"/>
        <i x="52"/>
        <i x="24"/>
        <i x="87"/>
        <i x="25"/>
        <i x="26"/>
        <i x="139"/>
        <i x="49"/>
        <i x="47"/>
        <i x="61"/>
        <i x="31"/>
        <i x="32"/>
        <i x="63"/>
        <i x="33"/>
        <i x="78"/>
        <i x="83"/>
        <i x="50"/>
        <i x="34"/>
        <i x="136"/>
        <i x="138"/>
        <i x="143"/>
        <i x="102"/>
        <i x="67"/>
        <i x="140"/>
        <i x="35"/>
        <i x="36"/>
        <i x="57"/>
        <i x="141"/>
        <i x="55"/>
        <i x="144"/>
        <i x="41"/>
        <i x="73"/>
        <i x="142"/>
        <i x="59"/>
        <i x="37"/>
        <i x="77"/>
        <i x="38"/>
        <i x="42"/>
        <i x="39" s="1"/>
        <i x="40"/>
        <i x="106"/>
        <i x="1"/>
        <i x="43"/>
        <i x="104"/>
        <i x="44"/>
        <i x="90"/>
        <i x="97"/>
        <i x="120"/>
        <i x="114"/>
        <i x="6"/>
        <i x="8"/>
        <i x="46"/>
        <i x="9"/>
        <i x="105"/>
        <i x="29"/>
        <i x="30"/>
        <i x="48"/>
        <i x="115"/>
        <i x="108"/>
        <i x="95"/>
        <i x="123"/>
        <i x="51"/>
        <i x="133"/>
        <i x="130"/>
        <i x="121"/>
        <i x="53"/>
        <i x="54"/>
        <i x="56"/>
        <i x="85"/>
        <i x="58"/>
        <i x="113"/>
        <i x="60"/>
        <i x="62"/>
        <i x="91"/>
        <i x="111"/>
        <i x="117"/>
        <i x="119"/>
        <i x="64"/>
        <i x="65"/>
        <i x="66"/>
        <i x="68"/>
        <i x="69"/>
        <i x="135"/>
        <i x="70"/>
        <i x="71"/>
        <i x="131"/>
        <i x="72"/>
        <i x="74"/>
        <i x="75"/>
        <i x="122"/>
        <i x="76"/>
        <i x="125"/>
        <i x="118"/>
        <i x="79"/>
        <i x="93"/>
        <i x="109"/>
        <i x="129"/>
        <i x="80"/>
        <i x="107"/>
        <i x="134"/>
        <i x="81"/>
        <i x="100"/>
        <i x="96"/>
        <i x="89"/>
        <i x="94"/>
        <i x="110"/>
        <i x="99"/>
        <i x="84"/>
        <i x="101"/>
        <i x="86"/>
        <i x="132"/>
        <i x="112"/>
        <i x="98"/>
        <i x="92"/>
        <i x="126"/>
        <i x="128"/>
        <i x="116"/>
        <i x="103"/>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1A42820-4067-475A-8217-E99A22AB07CF}" sourceName="Gender">
  <pivotTables>
    <pivotTable tabId="3" name="KPI"/>
  </pivotTables>
  <data>
    <tabular pivotCacheId="1329145294">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1" xr10:uid="{A92D0143-E813-454B-BD22-61A5D1BAA411}" sourceName="Job Title">
  <pivotTables>
    <pivotTable tabId="3" name="KPI"/>
  </pivotTables>
  <data>
    <tabular pivotCacheId="1329145294">
      <items count="13">
        <i x="12" s="1"/>
        <i x="11" s="1"/>
        <i x="10" s="1"/>
        <i x="1" s="1"/>
        <i x="2" s="1"/>
        <i x="9" s="1"/>
        <i x="3" s="1"/>
        <i x="4" s="1"/>
        <i x="5" s="1"/>
        <i x="6" s="1"/>
        <i x="0" s="1"/>
        <i x="7" s="1"/>
        <i x="8"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1" xr10:uid="{908A81C0-7ADB-4F63-A0CF-76B8FF8509DC}" sourceName="Race">
  <pivotTables>
    <pivotTable tabId="3" name="KPI"/>
  </pivotTables>
  <data>
    <tabular pivotCacheId="1329145294">
      <items count="2">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Market1" xr10:uid="{44A8F431-3AA9-4CE6-82DE-F260462FCB51}" sourceName="Store Market">
  <pivotTables>
    <pivotTable tabId="3" name="KPI"/>
  </pivotTables>
  <data>
    <tabular pivotCacheId="1329145294">
      <items count="2">
        <i x="0"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mpt__Non_Exempt1" xr10:uid="{50BA72BF-A701-4E2A-89F8-BB2E8EA2BDBD}" sourceName="Exempt/ Non-Exempt">
  <pivotTables>
    <pivotTable tabId="3" name="KPI"/>
  </pivotTables>
  <data>
    <tabular pivotCacheId="1329145294">
      <items count="2">
        <i x="0" s="1"/>
        <i x="1"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1" xr10:uid="{8D9FEF30-240F-4D3A-91E7-4DC65330DC95}" sourceName="Unit">
  <pivotTables>
    <pivotTable tabId="3" name="KPI"/>
  </pivotTables>
  <data>
    <tabular pivotCacheId="1329145294">
      <items count="145">
        <i x="0" s="1"/>
        <i x="2" s="1"/>
        <i x="3" s="1"/>
        <i x="4" s="1"/>
        <i x="5" s="1"/>
        <i x="7" s="1"/>
        <i x="127" s="1"/>
        <i x="10" s="1"/>
        <i x="124" s="1"/>
        <i x="11" s="1"/>
        <i x="45" s="1"/>
        <i x="12" s="1"/>
        <i x="82" s="1"/>
        <i x="13" s="1"/>
        <i x="14" s="1"/>
        <i x="15" s="1"/>
        <i x="17" s="1"/>
        <i x="16" s="1"/>
        <i x="18" s="1"/>
        <i x="88" s="1"/>
        <i x="19" s="1"/>
        <i x="20" s="1"/>
        <i x="27" s="1"/>
        <i x="21" s="1"/>
        <i x="22" s="1"/>
        <i x="23" s="1"/>
        <i x="137" s="1"/>
        <i x="28" s="1"/>
        <i x="52" s="1"/>
        <i x="24" s="1"/>
        <i x="87" s="1"/>
        <i x="25" s="1"/>
        <i x="26" s="1"/>
        <i x="139" s="1"/>
        <i x="49" s="1"/>
        <i x="47" s="1"/>
        <i x="61" s="1"/>
        <i x="31" s="1"/>
        <i x="32" s="1"/>
        <i x="63" s="1"/>
        <i x="33" s="1"/>
        <i x="78" s="1"/>
        <i x="83" s="1"/>
        <i x="50" s="1"/>
        <i x="34" s="1"/>
        <i x="136" s="1"/>
        <i x="138" s="1"/>
        <i x="143" s="1"/>
        <i x="102" s="1"/>
        <i x="67" s="1"/>
        <i x="140" s="1"/>
        <i x="35" s="1"/>
        <i x="36" s="1"/>
        <i x="57" s="1"/>
        <i x="141" s="1"/>
        <i x="55" s="1"/>
        <i x="144" s="1"/>
        <i x="41" s="1"/>
        <i x="73" s="1"/>
        <i x="142" s="1"/>
        <i x="59" s="1"/>
        <i x="37" s="1"/>
        <i x="77" s="1"/>
        <i x="38" s="1"/>
        <i x="42" s="1"/>
        <i x="39" s="1"/>
        <i x="40" s="1"/>
        <i x="106" s="1"/>
        <i x="1" s="1"/>
        <i x="43" s="1"/>
        <i x="104" s="1"/>
        <i x="44" s="1"/>
        <i x="90" s="1"/>
        <i x="97" s="1"/>
        <i x="120" s="1"/>
        <i x="114" s="1"/>
        <i x="6" s="1"/>
        <i x="8" s="1"/>
        <i x="46" s="1"/>
        <i x="9" s="1"/>
        <i x="105" s="1"/>
        <i x="29" s="1"/>
        <i x="30" s="1"/>
        <i x="48" s="1"/>
        <i x="115" s="1"/>
        <i x="108" s="1"/>
        <i x="95" s="1"/>
        <i x="123" s="1"/>
        <i x="51" s="1"/>
        <i x="133" s="1"/>
        <i x="130" s="1"/>
        <i x="121" s="1"/>
        <i x="53" s="1"/>
        <i x="54" s="1"/>
        <i x="56" s="1"/>
        <i x="85" s="1"/>
        <i x="58" s="1"/>
        <i x="113" s="1"/>
        <i x="60" s="1"/>
        <i x="62" s="1"/>
        <i x="91" s="1"/>
        <i x="111" s="1"/>
        <i x="117" s="1"/>
        <i x="119" s="1"/>
        <i x="64" s="1"/>
        <i x="65" s="1"/>
        <i x="66" s="1"/>
        <i x="68" s="1"/>
        <i x="69" s="1"/>
        <i x="135" s="1"/>
        <i x="70" s="1"/>
        <i x="71" s="1"/>
        <i x="131" s="1"/>
        <i x="72" s="1"/>
        <i x="74" s="1"/>
        <i x="75" s="1"/>
        <i x="122" s="1"/>
        <i x="76" s="1"/>
        <i x="125" s="1"/>
        <i x="118" s="1"/>
        <i x="79" s="1"/>
        <i x="93" s="1"/>
        <i x="109" s="1"/>
        <i x="129" s="1"/>
        <i x="80" s="1"/>
        <i x="107" s="1"/>
        <i x="134" s="1"/>
        <i x="81" s="1"/>
        <i x="100" s="1"/>
        <i x="96" s="1"/>
        <i x="89" s="1"/>
        <i x="94" s="1"/>
        <i x="110" s="1"/>
        <i x="99" s="1"/>
        <i x="84" s="1"/>
        <i x="101" s="1"/>
        <i x="86" s="1"/>
        <i x="132" s="1"/>
        <i x="112" s="1"/>
        <i x="98" s="1"/>
        <i x="92" s="1"/>
        <i x="126" s="1"/>
        <i x="128" s="1"/>
        <i x="116" s="1"/>
        <i x="10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949997D-7AD7-4AE8-81FD-76E2DB338DDF}" cache="Slicer_Gender1" caption="Gender" rowHeight="247650"/>
  <slicer name="Job Title 1" xr10:uid="{757A32C5-4CDB-461C-8A81-9498A00DB40D}" cache="Slicer_Job_Title1" caption="Job Title" rowHeight="247650"/>
  <slicer name="Race 1" xr10:uid="{3E197A5A-9154-4833-84B4-C8050C5CC608}" cache="Slicer_Race1" caption="Race" rowHeight="247650"/>
  <slicer name="Store Market" xr10:uid="{9EB71389-1FC8-47D3-8CD6-DB371474107B}" cache="Slicer_Store_Market1" caption="Store Market" rowHeight="247650"/>
  <slicer name="Exempt/ Non-Exempt" xr10:uid="{2E57A226-759C-44E9-8D5B-366F95F0148B}" cache="Slicer_Exempt__Non_Exempt1" caption="Exempt/ Non-Exempt" columnCount="2" rowHeight="182880"/>
  <slicer name="Unit" xr10:uid="{F1E7A86F-54FC-4120-8BD1-321449B0D5C1}" cache="Slicer_Unit1" caption="Unit" startItem="20" columnCount="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6AC5F5A9-CBB1-4EE9-ACE6-53AC4006DAB8}" cache="Slicer_Gender" caption="Gender" columnCount="2" rowHeight="182880"/>
  <slicer name="Job Title 2" xr10:uid="{DC5512E4-0367-4137-8E3D-999E929BA176}" cache="Slicer_Job_Title" caption="Job Title" rowHeight="182880"/>
  <slicer name="Store Market 1" xr10:uid="{27F0E5D3-B5A2-4CA4-9D68-B390272D12CA}" cache="Slicer_Store_Market" caption="Store Market" columnCount="2" rowHeight="182880"/>
  <slicer name="Race 2" xr10:uid="{6C30CD1F-C102-4F7B-A24D-5196675E574E}" cache="Slicer_Race" caption="Race" columnCount="2" rowHeight="182880"/>
  <slicer name="Exempt/ Non-Exempt 1" xr10:uid="{6AB65F04-711C-4EE9-A4D2-A0518594BEC6}" cache="Slicer_Exempt__Non_Exempt" caption="Exempt/ Non-Exempt" rowHeight="182880"/>
  <slicer name="Unit 1" xr10:uid="{93EEB0E6-60FA-480A-A498-76AFA1DE64FB}" cache="Slicer_Unit" caption="Unit" startItem="65" columnCoun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791C4E-7F09-47BD-9B17-0BE708CB950F}" name="Table1" displayName="Table1" ref="A1:AJ6458" totalsRowShown="0" headerRowDxfId="5">
  <autoFilter ref="A1:AJ6458" xr:uid="{913609CB-91E7-4D1C-A865-E88A3F521E69}"/>
  <tableColumns count="36">
    <tableColumn id="1" xr3:uid="{52FBCD9A-A7B8-4ADD-B42C-026D3E813E9E}" name="Row"/>
    <tableColumn id="2" xr3:uid="{E54AE4F6-00C0-415D-A9A4-93B40A5B5AD1}" name="ID"/>
    <tableColumn id="3" xr3:uid="{A9B95265-C6E3-428D-A481-40ABCA57CB92}" name="Birthdate" dataDxfId="4"/>
    <tableColumn id="4" xr3:uid="{308B8029-8525-4A59-81EA-A878B4D5FCF7}" name="Age"/>
    <tableColumn id="5" xr3:uid="{1707FF8F-0DA6-4134-95E7-1E9A361AF311}" name="Gender"/>
    <tableColumn id="6" xr3:uid="{408A5519-E7CB-437D-8BDE-247135E89ACE}" name="Race"/>
    <tableColumn id="7" xr3:uid="{FE2DD626-FA15-418D-8C99-D32E894B0D5C}" name="Hire Date" dataDxfId="3"/>
    <tableColumn id="8" xr3:uid="{7757C80A-C973-4EF8-B694-747FC2214F4D}" name="Tenure" dataDxfId="2">
      <calculatedColumnFormula>DATEDIF(G3,DATE(2025,12,31),"d")/365</calculatedColumnFormula>
    </tableColumn>
    <tableColumn id="9" xr3:uid="{49087055-E56B-4521-A7CB-BFA243DE60CC}" name="Unit"/>
    <tableColumn id="10" xr3:uid="{01E89239-72E5-4ABC-847B-5D765706BDFF}" name="Store Market"/>
    <tableColumn id="11" xr3:uid="{816D575F-DF39-49A0-9299-9BF5B14554E7}" name="Job Title"/>
    <tableColumn id="12" xr3:uid="{01515963-F5A5-4D98-8B4B-4DFDF47B2EDB}" name="Exempt/ Non-Exempt"/>
    <tableColumn id="13" xr3:uid="{614C586B-F13F-4D52-83F1-973ED3C2C523}" name="Wage Rate (2024)"/>
    <tableColumn id="14" xr3:uid="{A1F6C266-D323-4592-871F-168295E45A6E}" name="Wage Rate (2023)"/>
    <tableColumn id="15" xr3:uid="{C979C791-665B-4C26-9DC5-804BDF9DAA40}" name="Wage Rate (2022)"/>
    <tableColumn id="16" xr3:uid="{562F0F15-7081-48C9-BD4C-A9FF76EB226E}" name="Wage Rate (2021)"/>
    <tableColumn id="17" xr3:uid="{6CEE4926-B003-4FFA-9640-DA834767F9EB}" name="Wage Rate (2020)"/>
    <tableColumn id="18" xr3:uid="{C5FF0D4C-DF61-4C71-81FC-320C32DDB696}" name="Wage Rate (2019)"/>
    <tableColumn id="19" xr3:uid="{EDE24772-D104-48CC-A132-AA0C1D8E3683}" name="Wage Rate (2018)"/>
    <tableColumn id="20" xr3:uid="{07234214-03DB-4073-835A-E03863935D87}" name="Recruitment Source"/>
    <tableColumn id="21" xr3:uid="{5E2761DE-0F58-4796-8F95-9D6E23C989A1}" name="Prior Experience"/>
    <tableColumn id="22" xr3:uid="{3B2C1634-1C32-457F-8C05-7FDBC7664E3E}" name="Interview 1"/>
    <tableColumn id="23" xr3:uid="{64977722-754A-4818-A874-B08F985A4A84}" name="Interview 2"/>
    <tableColumn id="24" xr3:uid="{C975826B-A2FB-4BF5-8B59-0E9C37C3AF53}" name="Promotion 1 (Date)"/>
    <tableColumn id="25" xr3:uid="{00B8962C-F6EA-4F87-BE13-B34B1495213B}" name="Promotion 1 (Prior Position)"/>
    <tableColumn id="26" xr3:uid="{73382DC0-19BE-47FC-B840-14D2E0C948AD}" name="Promotion 2 (Date)"/>
    <tableColumn id="27" xr3:uid="{2237559D-B301-4B11-87EF-B06C1359BA10}" name="Promotion 2 (Prior Position)"/>
    <tableColumn id="28" xr3:uid="{BE15EEB0-B13F-4CBB-A537-3A343B4ACC14}" name="Promotion 3 (Date)"/>
    <tableColumn id="29" xr3:uid="{E2A92CCE-D384-4864-BCB1-37B394B29F49}" name="Promotion 3 (Prior Position)"/>
    <tableColumn id="30" xr3:uid="{3ABEF751-D94F-4188-9846-0B37066DC000}" name="Performance Rating (2024)"/>
    <tableColumn id="31" xr3:uid="{2095704A-EBF6-4446-BDED-4D73783C2C3F}" name="Performance Rating (2023)"/>
    <tableColumn id="32" xr3:uid="{FE312727-89B6-450E-95D8-26BE6F11C5E1}" name="Performance Rating (2022)"/>
    <tableColumn id="33" xr3:uid="{206FF2EC-86AA-4824-9A6E-0F2FD6865082}" name="Performance Rating (2021)"/>
    <tableColumn id="34" xr3:uid="{2451AA65-4302-4D38-928D-843171D04E35}" name="Performance Rating (2020)"/>
    <tableColumn id="35" xr3:uid="{B7596F77-E3F7-4280-9DA5-953F193D98AA}" name="Performance Rating (2019)"/>
    <tableColumn id="36" xr3:uid="{95EA26D6-C553-4024-8E93-4898DA28E328}" name="Performance Rating (20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A9766-77C1-433A-88DB-082DDB0D87F6}">
  <dimension ref="A1:AJ6458"/>
  <sheetViews>
    <sheetView tabSelected="1" workbookViewId="0">
      <selection activeCell="H3" sqref="H3"/>
    </sheetView>
  </sheetViews>
  <sheetFormatPr defaultRowHeight="14.4" x14ac:dyDescent="0.3"/>
  <cols>
    <col min="1" max="1" width="6.33203125" customWidth="1"/>
    <col min="2" max="2" width="6" bestFit="1" customWidth="1"/>
    <col min="3" max="3" width="10.6640625" customWidth="1"/>
    <col min="4" max="4" width="5.88671875" customWidth="1"/>
    <col min="5" max="5" width="9" customWidth="1"/>
    <col min="6" max="6" width="7" customWidth="1"/>
    <col min="7" max="7" width="10.6640625" customWidth="1"/>
    <col min="8" max="8" width="8.44140625" customWidth="1"/>
    <col min="9" max="9" width="6.33203125" customWidth="1"/>
    <col min="10" max="10" width="13.44140625" customWidth="1"/>
    <col min="11" max="11" width="15.77734375" bestFit="1" customWidth="1"/>
    <col min="12" max="12" width="20.5546875" customWidth="1"/>
    <col min="13" max="19" width="17.21875" customWidth="1"/>
    <col min="20" max="20" width="25.6640625" bestFit="1" customWidth="1"/>
    <col min="21" max="21" width="16.44140625" customWidth="1"/>
    <col min="22" max="23" width="11.88671875" customWidth="1"/>
    <col min="24" max="24" width="18.44140625" customWidth="1"/>
    <col min="25" max="25" width="29.33203125" bestFit="1" customWidth="1"/>
    <col min="26" max="26" width="18.44140625" customWidth="1"/>
    <col min="27" max="27" width="27.33203125" bestFit="1" customWidth="1"/>
    <col min="28" max="28" width="18.44140625" customWidth="1"/>
    <col min="29" max="29" width="25.6640625" customWidth="1"/>
    <col min="30" max="36" width="24.77734375" customWidth="1"/>
  </cols>
  <sheetData>
    <row r="1" spans="1:36"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3">
      <c r="A2">
        <v>1</v>
      </c>
      <c r="B2">
        <v>2</v>
      </c>
      <c r="C2" s="2">
        <v>29204</v>
      </c>
      <c r="D2">
        <v>46</v>
      </c>
      <c r="E2" t="s">
        <v>36</v>
      </c>
      <c r="F2" t="s">
        <v>37</v>
      </c>
      <c r="G2" s="2">
        <v>42139</v>
      </c>
      <c r="H2" s="3">
        <f>DATEDIF(G3,DATE(2025,12,31),"d")/365</f>
        <v>10.638356164383561</v>
      </c>
      <c r="I2">
        <v>1</v>
      </c>
      <c r="J2" t="s">
        <v>38</v>
      </c>
      <c r="K2" t="s">
        <v>39</v>
      </c>
      <c r="L2" t="s">
        <v>40</v>
      </c>
      <c r="M2">
        <v>82780</v>
      </c>
      <c r="N2">
        <v>80905</v>
      </c>
      <c r="O2">
        <v>79030</v>
      </c>
      <c r="P2">
        <v>77155</v>
      </c>
      <c r="Q2">
        <v>74905</v>
      </c>
      <c r="R2">
        <v>73405</v>
      </c>
      <c r="S2">
        <v>71905</v>
      </c>
      <c r="T2" t="s">
        <v>41</v>
      </c>
      <c r="U2">
        <v>2</v>
      </c>
      <c r="V2">
        <v>5</v>
      </c>
      <c r="W2">
        <v>2</v>
      </c>
      <c r="AD2">
        <v>4</v>
      </c>
      <c r="AE2">
        <v>4</v>
      </c>
      <c r="AF2">
        <v>4</v>
      </c>
      <c r="AG2">
        <v>4</v>
      </c>
      <c r="AH2">
        <v>5</v>
      </c>
      <c r="AI2">
        <v>3</v>
      </c>
      <c r="AJ2">
        <v>3</v>
      </c>
    </row>
    <row r="3" spans="1:36" x14ac:dyDescent="0.3">
      <c r="A3">
        <v>2</v>
      </c>
      <c r="B3">
        <v>14</v>
      </c>
      <c r="C3" s="2">
        <v>29776</v>
      </c>
      <c r="D3">
        <v>44</v>
      </c>
      <c r="E3" t="s">
        <v>42</v>
      </c>
      <c r="F3" t="s">
        <v>37</v>
      </c>
      <c r="G3" s="2">
        <v>42139</v>
      </c>
      <c r="H3" s="3">
        <f t="shared" ref="H3:H66" si="0">DATEDIF(G4,DATE(2025,12,31),"d")/365</f>
        <v>10.638356164383561</v>
      </c>
      <c r="I3">
        <v>1</v>
      </c>
      <c r="J3" t="s">
        <v>38</v>
      </c>
      <c r="K3" t="s">
        <v>43</v>
      </c>
      <c r="L3" t="s">
        <v>44</v>
      </c>
      <c r="M3">
        <v>15.94</v>
      </c>
      <c r="N3">
        <v>15.64</v>
      </c>
      <c r="O3">
        <v>15.34</v>
      </c>
      <c r="P3">
        <v>15.04</v>
      </c>
      <c r="Q3">
        <v>14.74</v>
      </c>
      <c r="R3">
        <v>14.44</v>
      </c>
      <c r="S3">
        <v>14.14</v>
      </c>
      <c r="T3" t="s">
        <v>45</v>
      </c>
      <c r="U3">
        <v>1</v>
      </c>
      <c r="V3">
        <v>4</v>
      </c>
    </row>
    <row r="4" spans="1:36" x14ac:dyDescent="0.3">
      <c r="A4">
        <v>3</v>
      </c>
      <c r="B4">
        <v>17</v>
      </c>
      <c r="C4" s="2">
        <v>30658</v>
      </c>
      <c r="D4">
        <v>42</v>
      </c>
      <c r="E4" t="s">
        <v>36</v>
      </c>
      <c r="F4" t="s">
        <v>37</v>
      </c>
      <c r="G4" s="2">
        <v>42139</v>
      </c>
      <c r="H4" s="3">
        <f t="shared" si="0"/>
        <v>10.638356164383561</v>
      </c>
      <c r="I4">
        <v>1</v>
      </c>
      <c r="J4" t="s">
        <v>38</v>
      </c>
      <c r="K4" t="s">
        <v>46</v>
      </c>
      <c r="L4" t="s">
        <v>44</v>
      </c>
      <c r="M4">
        <v>14.21</v>
      </c>
      <c r="N4">
        <v>13.91</v>
      </c>
      <c r="O4">
        <v>13.61</v>
      </c>
      <c r="P4">
        <v>13.31</v>
      </c>
      <c r="Q4">
        <v>13.01</v>
      </c>
      <c r="R4">
        <v>12.71</v>
      </c>
      <c r="S4">
        <v>12.41</v>
      </c>
      <c r="T4" t="s">
        <v>47</v>
      </c>
      <c r="U4">
        <v>1</v>
      </c>
      <c r="V4">
        <v>3</v>
      </c>
    </row>
    <row r="5" spans="1:36" x14ac:dyDescent="0.3">
      <c r="A5">
        <v>4</v>
      </c>
      <c r="B5">
        <v>18</v>
      </c>
      <c r="C5" s="2">
        <v>34222</v>
      </c>
      <c r="D5">
        <v>32</v>
      </c>
      <c r="E5" t="s">
        <v>36</v>
      </c>
      <c r="F5" t="s">
        <v>37</v>
      </c>
      <c r="G5" s="2">
        <v>42139</v>
      </c>
      <c r="H5" s="3">
        <f t="shared" si="0"/>
        <v>10.638356164383561</v>
      </c>
      <c r="I5">
        <v>1</v>
      </c>
      <c r="J5" t="s">
        <v>38</v>
      </c>
      <c r="K5" t="s">
        <v>46</v>
      </c>
      <c r="L5" t="s">
        <v>44</v>
      </c>
      <c r="M5">
        <v>14.21</v>
      </c>
      <c r="N5">
        <v>13.91</v>
      </c>
      <c r="O5">
        <v>13.61</v>
      </c>
      <c r="P5">
        <v>13.31</v>
      </c>
      <c r="Q5">
        <v>13.01</v>
      </c>
      <c r="R5">
        <v>12.71</v>
      </c>
      <c r="S5">
        <v>12.41</v>
      </c>
      <c r="T5" t="s">
        <v>45</v>
      </c>
      <c r="U5">
        <v>1</v>
      </c>
      <c r="V5">
        <v>2</v>
      </c>
    </row>
    <row r="6" spans="1:36" x14ac:dyDescent="0.3">
      <c r="A6">
        <v>5</v>
      </c>
      <c r="B6">
        <v>21</v>
      </c>
      <c r="C6" s="2">
        <v>35212</v>
      </c>
      <c r="D6">
        <v>29</v>
      </c>
      <c r="E6" t="s">
        <v>36</v>
      </c>
      <c r="F6" t="s">
        <v>37</v>
      </c>
      <c r="G6" s="2">
        <v>42139</v>
      </c>
      <c r="H6" s="3">
        <f t="shared" si="0"/>
        <v>10.638356164383561</v>
      </c>
      <c r="I6">
        <v>1</v>
      </c>
      <c r="J6" t="s">
        <v>38</v>
      </c>
      <c r="K6" t="s">
        <v>48</v>
      </c>
      <c r="L6" t="s">
        <v>44</v>
      </c>
      <c r="M6">
        <v>17.18</v>
      </c>
      <c r="N6">
        <v>16.88</v>
      </c>
      <c r="O6">
        <v>16.579999999999998</v>
      </c>
      <c r="P6">
        <v>16.28</v>
      </c>
      <c r="Q6">
        <v>15.98</v>
      </c>
      <c r="R6">
        <v>15.68</v>
      </c>
      <c r="S6">
        <v>15.38</v>
      </c>
      <c r="T6" t="s">
        <v>49</v>
      </c>
      <c r="U6">
        <v>2</v>
      </c>
      <c r="V6">
        <v>3</v>
      </c>
    </row>
    <row r="7" spans="1:36" x14ac:dyDescent="0.3">
      <c r="A7">
        <v>6</v>
      </c>
      <c r="B7">
        <v>22</v>
      </c>
      <c r="C7" s="2">
        <v>34994</v>
      </c>
      <c r="D7">
        <v>30</v>
      </c>
      <c r="E7" t="s">
        <v>42</v>
      </c>
      <c r="F7" t="s">
        <v>37</v>
      </c>
      <c r="G7" s="2">
        <v>42139</v>
      </c>
      <c r="H7" s="3">
        <f t="shared" si="0"/>
        <v>10.638356164383561</v>
      </c>
      <c r="I7">
        <v>1</v>
      </c>
      <c r="J7" t="s">
        <v>38</v>
      </c>
      <c r="K7" t="s">
        <v>48</v>
      </c>
      <c r="L7" t="s">
        <v>44</v>
      </c>
      <c r="M7">
        <v>17.18</v>
      </c>
      <c r="N7">
        <v>16.88</v>
      </c>
      <c r="O7">
        <v>16.579999999999998</v>
      </c>
      <c r="P7">
        <v>16.28</v>
      </c>
      <c r="Q7">
        <v>15.98</v>
      </c>
      <c r="R7">
        <v>15.68</v>
      </c>
      <c r="S7">
        <v>15.38</v>
      </c>
      <c r="T7" t="s">
        <v>47</v>
      </c>
      <c r="U7">
        <v>4</v>
      </c>
      <c r="V7">
        <v>5</v>
      </c>
    </row>
    <row r="8" spans="1:36" x14ac:dyDescent="0.3">
      <c r="A8">
        <v>7</v>
      </c>
      <c r="B8">
        <v>24</v>
      </c>
      <c r="C8" s="2">
        <v>30975</v>
      </c>
      <c r="D8">
        <v>41</v>
      </c>
      <c r="E8" t="s">
        <v>36</v>
      </c>
      <c r="F8" t="s">
        <v>50</v>
      </c>
      <c r="G8" s="2">
        <v>42139</v>
      </c>
      <c r="H8" s="3">
        <f t="shared" si="0"/>
        <v>10.638356164383561</v>
      </c>
      <c r="I8">
        <v>1</v>
      </c>
      <c r="J8" t="s">
        <v>38</v>
      </c>
      <c r="K8" t="s">
        <v>51</v>
      </c>
      <c r="L8" t="s">
        <v>44</v>
      </c>
      <c r="M8">
        <v>31.98</v>
      </c>
      <c r="N8">
        <v>31.68</v>
      </c>
      <c r="O8">
        <v>31.38</v>
      </c>
      <c r="P8">
        <v>31.08</v>
      </c>
      <c r="Q8">
        <v>30.78</v>
      </c>
      <c r="R8">
        <v>30.48</v>
      </c>
      <c r="S8">
        <v>30.18</v>
      </c>
      <c r="T8" t="s">
        <v>52</v>
      </c>
      <c r="U8">
        <v>0</v>
      </c>
      <c r="V8">
        <v>4</v>
      </c>
    </row>
    <row r="9" spans="1:36" x14ac:dyDescent="0.3">
      <c r="A9">
        <v>8</v>
      </c>
      <c r="B9">
        <v>26</v>
      </c>
      <c r="C9" s="2">
        <v>30758</v>
      </c>
      <c r="D9">
        <v>41</v>
      </c>
      <c r="E9" t="s">
        <v>36</v>
      </c>
      <c r="F9" t="s">
        <v>37</v>
      </c>
      <c r="G9" s="2">
        <v>42139</v>
      </c>
      <c r="H9" s="3">
        <f t="shared" si="0"/>
        <v>10.638356164383561</v>
      </c>
      <c r="I9">
        <v>1</v>
      </c>
      <c r="J9" t="s">
        <v>38</v>
      </c>
      <c r="K9" t="s">
        <v>51</v>
      </c>
      <c r="L9" t="s">
        <v>44</v>
      </c>
      <c r="M9">
        <v>31.98</v>
      </c>
      <c r="N9">
        <v>31.68</v>
      </c>
      <c r="O9">
        <v>31.38</v>
      </c>
      <c r="P9">
        <v>31.08</v>
      </c>
      <c r="Q9">
        <v>30.78</v>
      </c>
      <c r="R9">
        <v>30.48</v>
      </c>
      <c r="S9">
        <v>30.18</v>
      </c>
      <c r="T9" t="s">
        <v>49</v>
      </c>
      <c r="U9">
        <v>0</v>
      </c>
      <c r="V9">
        <v>2</v>
      </c>
    </row>
    <row r="10" spans="1:36" x14ac:dyDescent="0.3">
      <c r="A10">
        <v>9</v>
      </c>
      <c r="B10">
        <v>30</v>
      </c>
      <c r="C10" s="2">
        <v>31968</v>
      </c>
      <c r="D10">
        <v>38</v>
      </c>
      <c r="E10" t="s">
        <v>36</v>
      </c>
      <c r="F10" t="s">
        <v>50</v>
      </c>
      <c r="G10" s="2">
        <v>42139</v>
      </c>
      <c r="H10" s="3">
        <f t="shared" si="0"/>
        <v>10.638356164383561</v>
      </c>
      <c r="I10">
        <v>1</v>
      </c>
      <c r="J10" t="s">
        <v>38</v>
      </c>
      <c r="K10" t="s">
        <v>53</v>
      </c>
      <c r="L10" t="s">
        <v>44</v>
      </c>
      <c r="M10">
        <v>21.79</v>
      </c>
      <c r="N10">
        <v>21.49</v>
      </c>
      <c r="O10">
        <v>21.19</v>
      </c>
      <c r="P10">
        <v>20.89</v>
      </c>
      <c r="Q10">
        <v>20.59</v>
      </c>
      <c r="R10">
        <v>20.29</v>
      </c>
      <c r="S10">
        <v>19.989999999999998</v>
      </c>
      <c r="T10" t="s">
        <v>47</v>
      </c>
      <c r="U10">
        <v>1</v>
      </c>
      <c r="V10">
        <v>4</v>
      </c>
    </row>
    <row r="11" spans="1:36" x14ac:dyDescent="0.3">
      <c r="A11">
        <v>10</v>
      </c>
      <c r="B11">
        <v>31</v>
      </c>
      <c r="C11" s="2">
        <v>33807</v>
      </c>
      <c r="D11">
        <v>33</v>
      </c>
      <c r="E11" t="s">
        <v>36</v>
      </c>
      <c r="F11" t="s">
        <v>37</v>
      </c>
      <c r="G11" s="2">
        <v>42139</v>
      </c>
      <c r="H11" s="3">
        <f t="shared" si="0"/>
        <v>10.638356164383561</v>
      </c>
      <c r="I11">
        <v>1</v>
      </c>
      <c r="J11" t="s">
        <v>38</v>
      </c>
      <c r="K11" t="s">
        <v>54</v>
      </c>
      <c r="L11" t="s">
        <v>44</v>
      </c>
      <c r="M11">
        <v>21.93</v>
      </c>
      <c r="N11">
        <v>21.63</v>
      </c>
      <c r="O11">
        <v>21.33</v>
      </c>
      <c r="P11">
        <v>21.03</v>
      </c>
      <c r="Q11">
        <v>20.73</v>
      </c>
      <c r="R11">
        <v>20.43</v>
      </c>
      <c r="S11">
        <v>20.13</v>
      </c>
      <c r="T11" t="s">
        <v>52</v>
      </c>
      <c r="U11">
        <v>1</v>
      </c>
      <c r="V11">
        <v>2</v>
      </c>
    </row>
    <row r="12" spans="1:36" x14ac:dyDescent="0.3">
      <c r="A12">
        <v>11</v>
      </c>
      <c r="B12">
        <v>32</v>
      </c>
      <c r="C12" s="2">
        <v>33331</v>
      </c>
      <c r="D12">
        <v>34</v>
      </c>
      <c r="E12" t="s">
        <v>42</v>
      </c>
      <c r="F12" t="s">
        <v>37</v>
      </c>
      <c r="G12" s="2">
        <v>42139</v>
      </c>
      <c r="H12" s="3">
        <f t="shared" si="0"/>
        <v>10.638356164383561</v>
      </c>
      <c r="I12">
        <v>1</v>
      </c>
      <c r="J12" t="s">
        <v>38</v>
      </c>
      <c r="K12" t="s">
        <v>55</v>
      </c>
      <c r="L12" t="s">
        <v>44</v>
      </c>
      <c r="M12">
        <v>16.920000000000002</v>
      </c>
      <c r="N12">
        <v>16.62</v>
      </c>
      <c r="O12">
        <v>16.32</v>
      </c>
      <c r="P12">
        <v>16.02</v>
      </c>
      <c r="Q12">
        <v>15.72</v>
      </c>
      <c r="R12">
        <v>15.42</v>
      </c>
      <c r="S12">
        <v>15.12</v>
      </c>
      <c r="T12" t="s">
        <v>49</v>
      </c>
      <c r="U12">
        <v>3</v>
      </c>
      <c r="V12">
        <v>4</v>
      </c>
    </row>
    <row r="13" spans="1:36" x14ac:dyDescent="0.3">
      <c r="A13">
        <v>12</v>
      </c>
      <c r="B13">
        <v>34</v>
      </c>
      <c r="C13" s="2">
        <v>33276</v>
      </c>
      <c r="D13">
        <v>34</v>
      </c>
      <c r="E13" t="s">
        <v>36</v>
      </c>
      <c r="F13" t="s">
        <v>50</v>
      </c>
      <c r="G13" s="2">
        <v>42139</v>
      </c>
      <c r="H13" s="3">
        <f t="shared" si="0"/>
        <v>10.638356164383561</v>
      </c>
      <c r="I13">
        <v>1</v>
      </c>
      <c r="J13" t="s">
        <v>38</v>
      </c>
      <c r="K13" t="s">
        <v>55</v>
      </c>
      <c r="L13" t="s">
        <v>44</v>
      </c>
      <c r="M13">
        <v>16.920000000000002</v>
      </c>
      <c r="N13">
        <v>16.62</v>
      </c>
      <c r="O13">
        <v>16.32</v>
      </c>
      <c r="P13">
        <v>16.02</v>
      </c>
      <c r="Q13">
        <v>15.72</v>
      </c>
      <c r="R13">
        <v>15.42</v>
      </c>
      <c r="S13">
        <v>15.12</v>
      </c>
      <c r="T13" t="s">
        <v>45</v>
      </c>
      <c r="U13">
        <v>0</v>
      </c>
      <c r="V13">
        <v>5</v>
      </c>
    </row>
    <row r="14" spans="1:36" x14ac:dyDescent="0.3">
      <c r="A14">
        <v>13</v>
      </c>
      <c r="B14">
        <v>42</v>
      </c>
      <c r="C14" s="2">
        <v>35200</v>
      </c>
      <c r="D14">
        <v>29</v>
      </c>
      <c r="E14" t="s">
        <v>42</v>
      </c>
      <c r="F14" t="s">
        <v>50</v>
      </c>
      <c r="G14" s="2">
        <v>42139</v>
      </c>
      <c r="H14" s="3">
        <f t="shared" si="0"/>
        <v>10.638356164383561</v>
      </c>
      <c r="I14">
        <v>1</v>
      </c>
      <c r="J14" t="s">
        <v>38</v>
      </c>
      <c r="K14" t="s">
        <v>56</v>
      </c>
      <c r="L14" t="s">
        <v>44</v>
      </c>
      <c r="M14">
        <v>8.65</v>
      </c>
      <c r="N14">
        <v>8.4499999999999993</v>
      </c>
      <c r="O14">
        <v>8.25</v>
      </c>
      <c r="P14">
        <v>8.0500000000000007</v>
      </c>
      <c r="Q14">
        <v>7.85</v>
      </c>
      <c r="R14">
        <v>7.65</v>
      </c>
      <c r="S14">
        <v>7.45</v>
      </c>
      <c r="T14" t="s">
        <v>47</v>
      </c>
      <c r="U14">
        <v>2</v>
      </c>
      <c r="V14">
        <v>5</v>
      </c>
    </row>
    <row r="15" spans="1:36" x14ac:dyDescent="0.3">
      <c r="A15">
        <v>14</v>
      </c>
      <c r="B15">
        <v>63</v>
      </c>
      <c r="C15" s="2">
        <v>32661</v>
      </c>
      <c r="D15">
        <v>36</v>
      </c>
      <c r="E15" t="s">
        <v>42</v>
      </c>
      <c r="F15" t="s">
        <v>37</v>
      </c>
      <c r="G15" s="2">
        <v>42139</v>
      </c>
      <c r="H15" s="3">
        <f t="shared" si="0"/>
        <v>10.638356164383561</v>
      </c>
      <c r="I15">
        <v>69</v>
      </c>
      <c r="J15" t="s">
        <v>57</v>
      </c>
      <c r="K15" t="s">
        <v>39</v>
      </c>
      <c r="L15" t="s">
        <v>40</v>
      </c>
      <c r="M15">
        <v>63758</v>
      </c>
      <c r="N15">
        <v>62706</v>
      </c>
      <c r="O15">
        <v>60920</v>
      </c>
      <c r="P15">
        <v>59208</v>
      </c>
      <c r="Q15">
        <v>57541</v>
      </c>
      <c r="R15">
        <v>56187</v>
      </c>
      <c r="S15">
        <v>54810</v>
      </c>
      <c r="T15" t="s">
        <v>58</v>
      </c>
      <c r="U15">
        <v>4</v>
      </c>
      <c r="V15">
        <v>7</v>
      </c>
      <c r="W15">
        <v>7</v>
      </c>
      <c r="X15" s="2">
        <v>42591</v>
      </c>
      <c r="Y15" t="s">
        <v>59</v>
      </c>
      <c r="AD15">
        <v>5</v>
      </c>
      <c r="AE15">
        <v>4</v>
      </c>
      <c r="AF15">
        <v>3</v>
      </c>
      <c r="AG15">
        <v>2</v>
      </c>
      <c r="AH15">
        <v>4</v>
      </c>
      <c r="AI15">
        <v>4</v>
      </c>
      <c r="AJ15">
        <v>2</v>
      </c>
    </row>
    <row r="16" spans="1:36" x14ac:dyDescent="0.3">
      <c r="A16">
        <v>15</v>
      </c>
      <c r="B16">
        <v>75</v>
      </c>
      <c r="C16" s="2">
        <v>33838</v>
      </c>
      <c r="D16">
        <v>33</v>
      </c>
      <c r="E16" t="s">
        <v>42</v>
      </c>
      <c r="F16" t="s">
        <v>50</v>
      </c>
      <c r="G16" s="2">
        <v>42139</v>
      </c>
      <c r="H16" s="3">
        <f t="shared" si="0"/>
        <v>10.638356164383561</v>
      </c>
      <c r="I16">
        <v>2</v>
      </c>
      <c r="J16" t="s">
        <v>38</v>
      </c>
      <c r="K16" t="s">
        <v>46</v>
      </c>
      <c r="L16" t="s">
        <v>44</v>
      </c>
      <c r="M16">
        <v>14.21</v>
      </c>
      <c r="N16">
        <v>13.91</v>
      </c>
      <c r="O16">
        <v>13.61</v>
      </c>
      <c r="P16">
        <v>13.31</v>
      </c>
      <c r="Q16">
        <v>13.01</v>
      </c>
      <c r="R16">
        <v>12.71</v>
      </c>
      <c r="S16">
        <v>12.41</v>
      </c>
      <c r="T16" t="s">
        <v>47</v>
      </c>
      <c r="U16">
        <v>1</v>
      </c>
      <c r="V16">
        <v>4</v>
      </c>
    </row>
    <row r="17" spans="1:36" x14ac:dyDescent="0.3">
      <c r="A17">
        <v>16</v>
      </c>
      <c r="B17">
        <v>76</v>
      </c>
      <c r="C17" s="2">
        <v>35325</v>
      </c>
      <c r="D17">
        <v>29</v>
      </c>
      <c r="E17" t="s">
        <v>36</v>
      </c>
      <c r="F17" t="s">
        <v>50</v>
      </c>
      <c r="G17" s="2">
        <v>42139</v>
      </c>
      <c r="H17" s="3">
        <f t="shared" si="0"/>
        <v>10.638356164383561</v>
      </c>
      <c r="I17">
        <v>2</v>
      </c>
      <c r="J17" t="s">
        <v>38</v>
      </c>
      <c r="K17" t="s">
        <v>46</v>
      </c>
      <c r="L17" t="s">
        <v>44</v>
      </c>
      <c r="M17">
        <v>14.21</v>
      </c>
      <c r="N17">
        <v>13.91</v>
      </c>
      <c r="O17">
        <v>13.61</v>
      </c>
      <c r="P17">
        <v>13.31</v>
      </c>
      <c r="Q17">
        <v>13.01</v>
      </c>
      <c r="R17">
        <v>12.71</v>
      </c>
      <c r="S17">
        <v>12.41</v>
      </c>
      <c r="T17" t="s">
        <v>47</v>
      </c>
      <c r="U17">
        <v>1</v>
      </c>
      <c r="V17">
        <v>2</v>
      </c>
    </row>
    <row r="18" spans="1:36" x14ac:dyDescent="0.3">
      <c r="A18">
        <v>17</v>
      </c>
      <c r="B18">
        <v>82</v>
      </c>
      <c r="C18" s="2">
        <v>34884</v>
      </c>
      <c r="D18">
        <v>30</v>
      </c>
      <c r="E18" t="s">
        <v>36</v>
      </c>
      <c r="F18" t="s">
        <v>50</v>
      </c>
      <c r="G18" s="2">
        <v>42139</v>
      </c>
      <c r="H18" s="3">
        <f t="shared" si="0"/>
        <v>10.638356164383561</v>
      </c>
      <c r="I18">
        <v>2</v>
      </c>
      <c r="J18" t="s">
        <v>38</v>
      </c>
      <c r="K18" t="s">
        <v>48</v>
      </c>
      <c r="L18" t="s">
        <v>44</v>
      </c>
      <c r="M18">
        <v>17.18</v>
      </c>
      <c r="N18">
        <v>16.88</v>
      </c>
      <c r="O18">
        <v>16.579999999999998</v>
      </c>
      <c r="P18">
        <v>16.28</v>
      </c>
      <c r="Q18">
        <v>15.98</v>
      </c>
      <c r="R18">
        <v>15.68</v>
      </c>
      <c r="S18">
        <v>15.38</v>
      </c>
      <c r="T18" t="s">
        <v>47</v>
      </c>
      <c r="U18">
        <v>4</v>
      </c>
      <c r="V18">
        <v>4</v>
      </c>
    </row>
    <row r="19" spans="1:36" x14ac:dyDescent="0.3">
      <c r="A19">
        <v>18</v>
      </c>
      <c r="B19">
        <v>120</v>
      </c>
      <c r="C19" s="2">
        <v>26985</v>
      </c>
      <c r="D19">
        <v>52</v>
      </c>
      <c r="E19" t="s">
        <v>36</v>
      </c>
      <c r="F19" t="s">
        <v>37</v>
      </c>
      <c r="G19" s="2">
        <v>42139</v>
      </c>
      <c r="H19" s="3">
        <f t="shared" si="0"/>
        <v>10.638356164383561</v>
      </c>
      <c r="I19">
        <v>3</v>
      </c>
      <c r="J19" t="s">
        <v>38</v>
      </c>
      <c r="K19" t="s">
        <v>39</v>
      </c>
      <c r="L19" t="s">
        <v>40</v>
      </c>
      <c r="M19">
        <v>79030</v>
      </c>
      <c r="N19">
        <v>77530</v>
      </c>
      <c r="O19">
        <v>76030</v>
      </c>
      <c r="P19">
        <v>74530</v>
      </c>
      <c r="Q19">
        <v>73030</v>
      </c>
      <c r="R19">
        <v>71530</v>
      </c>
      <c r="S19">
        <v>70030</v>
      </c>
      <c r="T19" t="s">
        <v>60</v>
      </c>
      <c r="U19">
        <v>1</v>
      </c>
      <c r="V19">
        <v>3</v>
      </c>
      <c r="W19">
        <v>3</v>
      </c>
      <c r="AD19">
        <v>3</v>
      </c>
      <c r="AE19">
        <v>3</v>
      </c>
      <c r="AF19">
        <v>3</v>
      </c>
      <c r="AG19">
        <v>3</v>
      </c>
      <c r="AH19">
        <v>4</v>
      </c>
      <c r="AI19">
        <v>4</v>
      </c>
      <c r="AJ19">
        <v>4</v>
      </c>
    </row>
    <row r="20" spans="1:36" x14ac:dyDescent="0.3">
      <c r="A20">
        <v>19</v>
      </c>
      <c r="B20">
        <v>136</v>
      </c>
      <c r="C20" s="2">
        <v>29194</v>
      </c>
      <c r="D20">
        <v>46</v>
      </c>
      <c r="E20" t="s">
        <v>36</v>
      </c>
      <c r="F20" t="s">
        <v>37</v>
      </c>
      <c r="G20" s="2">
        <v>42139</v>
      </c>
      <c r="H20" s="3">
        <f t="shared" si="0"/>
        <v>10.638356164383561</v>
      </c>
      <c r="I20">
        <v>3</v>
      </c>
      <c r="J20" t="s">
        <v>38</v>
      </c>
      <c r="K20" t="s">
        <v>46</v>
      </c>
      <c r="L20" t="s">
        <v>44</v>
      </c>
      <c r="M20">
        <v>14.21</v>
      </c>
      <c r="N20">
        <v>13.91</v>
      </c>
      <c r="O20">
        <v>13.61</v>
      </c>
      <c r="P20">
        <v>13.31</v>
      </c>
      <c r="Q20">
        <v>13.01</v>
      </c>
      <c r="R20">
        <v>12.71</v>
      </c>
      <c r="S20">
        <v>12.41</v>
      </c>
      <c r="T20" t="s">
        <v>52</v>
      </c>
      <c r="U20">
        <v>0</v>
      </c>
      <c r="V20">
        <v>1</v>
      </c>
    </row>
    <row r="21" spans="1:36" x14ac:dyDescent="0.3">
      <c r="A21">
        <v>20</v>
      </c>
      <c r="B21">
        <v>181</v>
      </c>
      <c r="C21" s="2">
        <v>33079</v>
      </c>
      <c r="D21">
        <v>35</v>
      </c>
      <c r="E21" t="s">
        <v>36</v>
      </c>
      <c r="F21" t="s">
        <v>37</v>
      </c>
      <c r="G21" s="2">
        <v>42139</v>
      </c>
      <c r="H21" s="3">
        <f t="shared" si="0"/>
        <v>10.638356164383561</v>
      </c>
      <c r="I21">
        <v>4</v>
      </c>
      <c r="J21" t="s">
        <v>38</v>
      </c>
      <c r="K21" t="s">
        <v>39</v>
      </c>
      <c r="L21" t="s">
        <v>40</v>
      </c>
      <c r="M21">
        <v>73376</v>
      </c>
      <c r="N21">
        <v>71126</v>
      </c>
      <c r="O21">
        <v>69251</v>
      </c>
      <c r="P21">
        <v>67001</v>
      </c>
      <c r="Q21">
        <v>64751</v>
      </c>
      <c r="R21">
        <v>62876</v>
      </c>
      <c r="S21">
        <v>57626</v>
      </c>
      <c r="T21" t="s">
        <v>61</v>
      </c>
      <c r="U21">
        <v>0</v>
      </c>
      <c r="V21">
        <v>5</v>
      </c>
      <c r="W21">
        <v>3</v>
      </c>
      <c r="X21" s="2">
        <v>42677</v>
      </c>
      <c r="Y21" t="s">
        <v>59</v>
      </c>
      <c r="Z21" s="2">
        <v>43562</v>
      </c>
      <c r="AA21" t="s">
        <v>62</v>
      </c>
      <c r="AD21">
        <v>5</v>
      </c>
      <c r="AE21">
        <v>5</v>
      </c>
      <c r="AF21">
        <v>4</v>
      </c>
      <c r="AG21">
        <v>5</v>
      </c>
      <c r="AH21">
        <v>5</v>
      </c>
      <c r="AI21">
        <v>4</v>
      </c>
      <c r="AJ21">
        <v>4</v>
      </c>
    </row>
    <row r="22" spans="1:36" x14ac:dyDescent="0.3">
      <c r="A22">
        <v>21</v>
      </c>
      <c r="B22">
        <v>251</v>
      </c>
      <c r="C22" s="2">
        <v>34705</v>
      </c>
      <c r="D22">
        <v>30</v>
      </c>
      <c r="E22" t="s">
        <v>36</v>
      </c>
      <c r="F22" t="s">
        <v>50</v>
      </c>
      <c r="G22" s="2">
        <v>42139</v>
      </c>
      <c r="H22" s="3">
        <f t="shared" si="0"/>
        <v>10.638356164383561</v>
      </c>
      <c r="I22">
        <v>5</v>
      </c>
      <c r="J22" t="s">
        <v>38</v>
      </c>
      <c r="K22" t="s">
        <v>43</v>
      </c>
      <c r="L22" t="s">
        <v>44</v>
      </c>
      <c r="M22">
        <v>15.94</v>
      </c>
      <c r="N22">
        <v>15.64</v>
      </c>
      <c r="O22">
        <v>15.34</v>
      </c>
      <c r="P22">
        <v>15.04</v>
      </c>
      <c r="Q22">
        <v>14.74</v>
      </c>
      <c r="R22">
        <v>14.44</v>
      </c>
      <c r="S22">
        <v>14.14</v>
      </c>
      <c r="T22" t="s">
        <v>47</v>
      </c>
      <c r="U22">
        <v>0</v>
      </c>
      <c r="V22">
        <v>4</v>
      </c>
    </row>
    <row r="23" spans="1:36" x14ac:dyDescent="0.3">
      <c r="A23">
        <v>22</v>
      </c>
      <c r="B23">
        <v>299</v>
      </c>
      <c r="C23" s="2">
        <v>33031</v>
      </c>
      <c r="D23">
        <v>35</v>
      </c>
      <c r="E23" t="s">
        <v>42</v>
      </c>
      <c r="F23" t="s">
        <v>37</v>
      </c>
      <c r="G23" s="2">
        <v>42139</v>
      </c>
      <c r="H23" s="3">
        <f t="shared" si="0"/>
        <v>10.638356164383561</v>
      </c>
      <c r="I23">
        <v>77</v>
      </c>
      <c r="J23" t="s">
        <v>57</v>
      </c>
      <c r="K23" t="s">
        <v>39</v>
      </c>
      <c r="L23" t="s">
        <v>40</v>
      </c>
      <c r="M23">
        <v>67376</v>
      </c>
      <c r="N23">
        <v>65126</v>
      </c>
      <c r="O23">
        <v>62876</v>
      </c>
      <c r="P23">
        <v>60626</v>
      </c>
      <c r="Q23">
        <v>58376</v>
      </c>
      <c r="R23">
        <v>56126</v>
      </c>
      <c r="S23">
        <v>53876</v>
      </c>
      <c r="T23" t="s">
        <v>63</v>
      </c>
      <c r="U23">
        <v>4</v>
      </c>
      <c r="V23">
        <v>6</v>
      </c>
      <c r="W23">
        <v>7</v>
      </c>
      <c r="X23" s="2">
        <v>42577</v>
      </c>
      <c r="Y23" t="s">
        <v>59</v>
      </c>
      <c r="AD23">
        <v>4</v>
      </c>
      <c r="AE23">
        <v>4</v>
      </c>
      <c r="AF23">
        <v>4</v>
      </c>
      <c r="AG23">
        <v>4</v>
      </c>
      <c r="AH23">
        <v>4</v>
      </c>
      <c r="AI23">
        <v>4</v>
      </c>
      <c r="AJ23">
        <v>4</v>
      </c>
    </row>
    <row r="24" spans="1:36" x14ac:dyDescent="0.3">
      <c r="A24">
        <v>23</v>
      </c>
      <c r="B24">
        <v>310</v>
      </c>
      <c r="C24" s="2">
        <v>30275</v>
      </c>
      <c r="D24">
        <v>43</v>
      </c>
      <c r="E24" t="s">
        <v>36</v>
      </c>
      <c r="F24" t="s">
        <v>50</v>
      </c>
      <c r="G24" s="2">
        <v>42139</v>
      </c>
      <c r="H24" s="3">
        <f t="shared" si="0"/>
        <v>10.638356164383561</v>
      </c>
      <c r="I24">
        <v>6</v>
      </c>
      <c r="J24" t="s">
        <v>38</v>
      </c>
      <c r="K24" t="s">
        <v>43</v>
      </c>
      <c r="L24" t="s">
        <v>44</v>
      </c>
      <c r="M24">
        <v>15.94</v>
      </c>
      <c r="N24">
        <v>15.64</v>
      </c>
      <c r="O24">
        <v>15.34</v>
      </c>
      <c r="P24">
        <v>15.04</v>
      </c>
      <c r="Q24">
        <v>14.74</v>
      </c>
      <c r="R24">
        <v>14.44</v>
      </c>
      <c r="S24">
        <v>14.14</v>
      </c>
      <c r="T24" t="s">
        <v>47</v>
      </c>
      <c r="U24">
        <v>2</v>
      </c>
      <c r="V24">
        <v>3</v>
      </c>
    </row>
    <row r="25" spans="1:36" x14ac:dyDescent="0.3">
      <c r="A25">
        <v>24</v>
      </c>
      <c r="B25">
        <v>314</v>
      </c>
      <c r="C25" s="2">
        <v>33719</v>
      </c>
      <c r="D25">
        <v>33</v>
      </c>
      <c r="E25" t="s">
        <v>36</v>
      </c>
      <c r="F25" t="s">
        <v>37</v>
      </c>
      <c r="G25" s="2">
        <v>42139</v>
      </c>
      <c r="H25" s="3">
        <f t="shared" si="0"/>
        <v>10.638356164383561</v>
      </c>
      <c r="I25">
        <v>6</v>
      </c>
      <c r="J25" t="s">
        <v>38</v>
      </c>
      <c r="K25" t="s">
        <v>64</v>
      </c>
      <c r="L25" t="s">
        <v>44</v>
      </c>
      <c r="M25">
        <v>14.08</v>
      </c>
      <c r="N25">
        <v>13.78</v>
      </c>
      <c r="O25">
        <v>13.48</v>
      </c>
      <c r="P25">
        <v>13.18</v>
      </c>
      <c r="Q25">
        <v>12.88</v>
      </c>
      <c r="R25">
        <v>12.58</v>
      </c>
      <c r="S25">
        <v>12.28</v>
      </c>
      <c r="T25" t="s">
        <v>47</v>
      </c>
      <c r="U25">
        <v>1</v>
      </c>
      <c r="V25">
        <v>3</v>
      </c>
    </row>
    <row r="26" spans="1:36" x14ac:dyDescent="0.3">
      <c r="A26">
        <v>25</v>
      </c>
      <c r="B26">
        <v>315</v>
      </c>
      <c r="C26" s="2">
        <v>34977</v>
      </c>
      <c r="D26">
        <v>30</v>
      </c>
      <c r="E26" t="s">
        <v>36</v>
      </c>
      <c r="F26" t="s">
        <v>50</v>
      </c>
      <c r="G26" s="2">
        <v>42139</v>
      </c>
      <c r="H26" s="3">
        <f t="shared" si="0"/>
        <v>10.638356164383561</v>
      </c>
      <c r="I26">
        <v>6</v>
      </c>
      <c r="J26" t="s">
        <v>38</v>
      </c>
      <c r="K26" t="s">
        <v>64</v>
      </c>
      <c r="L26" t="s">
        <v>44</v>
      </c>
      <c r="M26">
        <v>14.08</v>
      </c>
      <c r="N26">
        <v>13.78</v>
      </c>
      <c r="O26">
        <v>13.48</v>
      </c>
      <c r="P26">
        <v>13.18</v>
      </c>
      <c r="Q26">
        <v>12.88</v>
      </c>
      <c r="R26">
        <v>12.58</v>
      </c>
      <c r="S26">
        <v>12.28</v>
      </c>
      <c r="T26" t="s">
        <v>47</v>
      </c>
      <c r="U26">
        <v>0</v>
      </c>
      <c r="V26">
        <v>3</v>
      </c>
    </row>
    <row r="27" spans="1:36" x14ac:dyDescent="0.3">
      <c r="A27">
        <v>26</v>
      </c>
      <c r="B27">
        <v>317</v>
      </c>
      <c r="C27" s="2">
        <v>35750</v>
      </c>
      <c r="D27">
        <v>28</v>
      </c>
      <c r="E27" t="s">
        <v>36</v>
      </c>
      <c r="F27" t="s">
        <v>50</v>
      </c>
      <c r="G27" s="2">
        <v>42139</v>
      </c>
      <c r="H27" s="3">
        <f t="shared" si="0"/>
        <v>10.638356164383561</v>
      </c>
      <c r="I27">
        <v>6</v>
      </c>
      <c r="J27" t="s">
        <v>38</v>
      </c>
      <c r="K27" t="s">
        <v>48</v>
      </c>
      <c r="L27" t="s">
        <v>44</v>
      </c>
      <c r="M27">
        <v>17.18</v>
      </c>
      <c r="N27">
        <v>16.88</v>
      </c>
      <c r="O27">
        <v>16.579999999999998</v>
      </c>
      <c r="P27">
        <v>16.28</v>
      </c>
      <c r="Q27">
        <v>15.98</v>
      </c>
      <c r="R27">
        <v>15.68</v>
      </c>
      <c r="S27">
        <v>15.38</v>
      </c>
      <c r="T27" t="s">
        <v>47</v>
      </c>
      <c r="U27">
        <v>0</v>
      </c>
      <c r="V27">
        <v>3</v>
      </c>
    </row>
    <row r="28" spans="1:36" x14ac:dyDescent="0.3">
      <c r="A28">
        <v>27</v>
      </c>
      <c r="B28">
        <v>357</v>
      </c>
      <c r="C28" s="2">
        <v>33320</v>
      </c>
      <c r="D28">
        <v>34</v>
      </c>
      <c r="E28" t="s">
        <v>36</v>
      </c>
      <c r="F28" t="s">
        <v>37</v>
      </c>
      <c r="G28" s="2">
        <v>42139</v>
      </c>
      <c r="H28" s="3">
        <f t="shared" si="0"/>
        <v>10.638356164383561</v>
      </c>
      <c r="I28">
        <v>78</v>
      </c>
      <c r="J28" t="s">
        <v>57</v>
      </c>
      <c r="K28" t="s">
        <v>39</v>
      </c>
      <c r="L28" t="s">
        <v>40</v>
      </c>
      <c r="M28">
        <v>44594</v>
      </c>
      <c r="N28">
        <v>43844</v>
      </c>
      <c r="O28">
        <v>43094</v>
      </c>
      <c r="P28">
        <v>42344</v>
      </c>
      <c r="Q28">
        <v>41594</v>
      </c>
      <c r="R28">
        <v>40844</v>
      </c>
      <c r="S28">
        <v>40094</v>
      </c>
      <c r="T28" t="s">
        <v>41</v>
      </c>
      <c r="U28">
        <v>0</v>
      </c>
      <c r="V28">
        <v>3</v>
      </c>
      <c r="W28">
        <v>3</v>
      </c>
      <c r="X28" s="2">
        <v>42602</v>
      </c>
      <c r="Y28" t="s">
        <v>59</v>
      </c>
      <c r="AD28">
        <v>3</v>
      </c>
      <c r="AE28">
        <v>4</v>
      </c>
      <c r="AF28">
        <v>3</v>
      </c>
      <c r="AG28">
        <v>4</v>
      </c>
      <c r="AH28">
        <v>2</v>
      </c>
      <c r="AI28">
        <v>4</v>
      </c>
      <c r="AJ28">
        <v>2</v>
      </c>
    </row>
    <row r="29" spans="1:36" x14ac:dyDescent="0.3">
      <c r="A29">
        <v>28</v>
      </c>
      <c r="B29">
        <v>416</v>
      </c>
      <c r="C29" s="2">
        <v>32838</v>
      </c>
      <c r="D29">
        <v>36</v>
      </c>
      <c r="E29" t="s">
        <v>36</v>
      </c>
      <c r="F29" t="s">
        <v>50</v>
      </c>
      <c r="G29" s="2">
        <v>42139</v>
      </c>
      <c r="H29" s="3">
        <f t="shared" si="0"/>
        <v>10.638356164383561</v>
      </c>
      <c r="I29">
        <v>80</v>
      </c>
      <c r="J29" t="s">
        <v>57</v>
      </c>
      <c r="K29" t="s">
        <v>39</v>
      </c>
      <c r="L29" t="s">
        <v>40</v>
      </c>
      <c r="M29">
        <v>57603</v>
      </c>
      <c r="N29">
        <v>56103</v>
      </c>
      <c r="O29">
        <v>54603</v>
      </c>
      <c r="P29">
        <v>53103</v>
      </c>
      <c r="Q29">
        <v>51603</v>
      </c>
      <c r="R29">
        <v>50103</v>
      </c>
      <c r="S29">
        <v>48603</v>
      </c>
      <c r="T29" t="s">
        <v>61</v>
      </c>
      <c r="U29">
        <v>0</v>
      </c>
      <c r="V29">
        <v>3</v>
      </c>
      <c r="W29">
        <v>4</v>
      </c>
      <c r="X29" s="2">
        <v>42605</v>
      </c>
      <c r="Y29" t="s">
        <v>59</v>
      </c>
      <c r="AD29">
        <v>3</v>
      </c>
      <c r="AE29">
        <v>3</v>
      </c>
      <c r="AF29">
        <v>4</v>
      </c>
      <c r="AG29">
        <v>3</v>
      </c>
      <c r="AH29">
        <v>4</v>
      </c>
      <c r="AI29">
        <v>4</v>
      </c>
      <c r="AJ29">
        <v>4</v>
      </c>
    </row>
    <row r="30" spans="1:36" x14ac:dyDescent="0.3">
      <c r="A30">
        <v>29</v>
      </c>
      <c r="B30">
        <v>441</v>
      </c>
      <c r="C30" s="2">
        <v>28635</v>
      </c>
      <c r="D30">
        <v>47</v>
      </c>
      <c r="E30" t="s">
        <v>36</v>
      </c>
      <c r="F30" t="s">
        <v>37</v>
      </c>
      <c r="G30" s="2">
        <v>42139</v>
      </c>
      <c r="H30" s="3">
        <f t="shared" si="0"/>
        <v>10.638356164383561</v>
      </c>
      <c r="I30">
        <v>8</v>
      </c>
      <c r="J30" t="s">
        <v>38</v>
      </c>
      <c r="K30" t="s">
        <v>53</v>
      </c>
      <c r="L30" t="s">
        <v>44</v>
      </c>
      <c r="M30">
        <v>22.13</v>
      </c>
      <c r="N30">
        <v>21.76</v>
      </c>
      <c r="O30">
        <v>21.52</v>
      </c>
      <c r="P30">
        <v>21.33</v>
      </c>
      <c r="Q30">
        <v>20.99</v>
      </c>
      <c r="R30">
        <v>20.81</v>
      </c>
      <c r="S30">
        <v>20.81</v>
      </c>
      <c r="T30" t="s">
        <v>49</v>
      </c>
      <c r="U30">
        <v>1</v>
      </c>
      <c r="V30">
        <v>2</v>
      </c>
    </row>
    <row r="31" spans="1:36" x14ac:dyDescent="0.3">
      <c r="A31">
        <v>30</v>
      </c>
      <c r="B31">
        <v>533</v>
      </c>
      <c r="C31" s="2">
        <v>28694</v>
      </c>
      <c r="D31">
        <v>47</v>
      </c>
      <c r="E31" t="s">
        <v>36</v>
      </c>
      <c r="F31" t="s">
        <v>37</v>
      </c>
      <c r="G31" s="2">
        <v>42139</v>
      </c>
      <c r="H31" s="3">
        <f t="shared" si="0"/>
        <v>10.638356164383561</v>
      </c>
      <c r="I31">
        <v>10</v>
      </c>
      <c r="J31" t="s">
        <v>38</v>
      </c>
      <c r="K31" t="s">
        <v>39</v>
      </c>
      <c r="L31" t="s">
        <v>40</v>
      </c>
      <c r="M31">
        <v>79030</v>
      </c>
      <c r="N31">
        <v>77530</v>
      </c>
      <c r="O31">
        <v>76030</v>
      </c>
      <c r="P31">
        <v>74530</v>
      </c>
      <c r="Q31">
        <v>73030</v>
      </c>
      <c r="R31">
        <v>71530</v>
      </c>
      <c r="S31">
        <v>70030</v>
      </c>
      <c r="T31" t="s">
        <v>61</v>
      </c>
      <c r="U31">
        <v>1</v>
      </c>
      <c r="V31">
        <v>4</v>
      </c>
      <c r="W31">
        <v>4</v>
      </c>
      <c r="AD31">
        <v>2</v>
      </c>
      <c r="AE31">
        <v>3</v>
      </c>
      <c r="AF31">
        <v>3</v>
      </c>
      <c r="AG31">
        <v>2</v>
      </c>
      <c r="AH31">
        <v>3</v>
      </c>
      <c r="AI31">
        <v>3</v>
      </c>
      <c r="AJ31">
        <v>3</v>
      </c>
    </row>
    <row r="32" spans="1:36" x14ac:dyDescent="0.3">
      <c r="A32">
        <v>31</v>
      </c>
      <c r="B32">
        <v>542</v>
      </c>
      <c r="C32" s="2">
        <v>34064</v>
      </c>
      <c r="D32">
        <v>32</v>
      </c>
      <c r="E32" t="s">
        <v>36</v>
      </c>
      <c r="F32" t="s">
        <v>50</v>
      </c>
      <c r="G32" s="2">
        <v>42139</v>
      </c>
      <c r="H32" s="3">
        <f t="shared" si="0"/>
        <v>10.638356164383561</v>
      </c>
      <c r="I32">
        <v>10</v>
      </c>
      <c r="J32" t="s">
        <v>38</v>
      </c>
      <c r="K32" t="s">
        <v>65</v>
      </c>
      <c r="L32" t="s">
        <v>44</v>
      </c>
      <c r="M32">
        <v>10.41</v>
      </c>
      <c r="N32">
        <v>10.210000000000001</v>
      </c>
      <c r="O32">
        <v>10.01</v>
      </c>
      <c r="P32">
        <v>9.81</v>
      </c>
      <c r="Q32">
        <v>9.61</v>
      </c>
      <c r="R32">
        <v>9.41</v>
      </c>
      <c r="S32">
        <v>9.2100000000000009</v>
      </c>
      <c r="T32" t="s">
        <v>47</v>
      </c>
      <c r="U32">
        <v>0</v>
      </c>
      <c r="V32">
        <v>5</v>
      </c>
    </row>
    <row r="33" spans="1:36" x14ac:dyDescent="0.3">
      <c r="A33">
        <v>32</v>
      </c>
      <c r="B33">
        <v>546</v>
      </c>
      <c r="C33" s="2">
        <v>33430</v>
      </c>
      <c r="D33">
        <v>34</v>
      </c>
      <c r="E33" t="s">
        <v>42</v>
      </c>
      <c r="F33" t="s">
        <v>50</v>
      </c>
      <c r="G33" s="2">
        <v>42139</v>
      </c>
      <c r="H33" s="3">
        <f t="shared" si="0"/>
        <v>10.638356164383561</v>
      </c>
      <c r="I33">
        <v>10</v>
      </c>
      <c r="J33" t="s">
        <v>38</v>
      </c>
      <c r="K33" t="s">
        <v>43</v>
      </c>
      <c r="L33" t="s">
        <v>44</v>
      </c>
      <c r="M33">
        <v>15.94</v>
      </c>
      <c r="N33">
        <v>15.64</v>
      </c>
      <c r="O33">
        <v>15.34</v>
      </c>
      <c r="P33">
        <v>15.04</v>
      </c>
      <c r="Q33">
        <v>14.74</v>
      </c>
      <c r="R33">
        <v>14.44</v>
      </c>
      <c r="S33">
        <v>14.14</v>
      </c>
      <c r="T33" t="s">
        <v>47</v>
      </c>
      <c r="U33">
        <v>1</v>
      </c>
      <c r="V33">
        <v>5</v>
      </c>
    </row>
    <row r="34" spans="1:36" x14ac:dyDescent="0.3">
      <c r="A34">
        <v>33</v>
      </c>
      <c r="B34">
        <v>555</v>
      </c>
      <c r="C34" s="2">
        <v>32399</v>
      </c>
      <c r="D34">
        <v>37</v>
      </c>
      <c r="E34" t="s">
        <v>42</v>
      </c>
      <c r="F34" t="s">
        <v>50</v>
      </c>
      <c r="G34" s="2">
        <v>42139</v>
      </c>
      <c r="H34" s="3">
        <f t="shared" si="0"/>
        <v>10.638356164383561</v>
      </c>
      <c r="I34">
        <v>10</v>
      </c>
      <c r="J34" t="s">
        <v>38</v>
      </c>
      <c r="K34" t="s">
        <v>51</v>
      </c>
      <c r="L34" t="s">
        <v>44</v>
      </c>
      <c r="M34">
        <v>31.98</v>
      </c>
      <c r="N34">
        <v>31.68</v>
      </c>
      <c r="O34">
        <v>31.38</v>
      </c>
      <c r="P34">
        <v>31.08</v>
      </c>
      <c r="Q34">
        <v>30.78</v>
      </c>
      <c r="R34">
        <v>30.48</v>
      </c>
      <c r="S34">
        <v>30.18</v>
      </c>
      <c r="T34" t="s">
        <v>47</v>
      </c>
      <c r="U34">
        <v>0</v>
      </c>
      <c r="V34">
        <v>5</v>
      </c>
    </row>
    <row r="35" spans="1:36" x14ac:dyDescent="0.3">
      <c r="A35">
        <v>34</v>
      </c>
      <c r="B35">
        <v>560</v>
      </c>
      <c r="C35" s="2">
        <v>33423</v>
      </c>
      <c r="D35">
        <v>34</v>
      </c>
      <c r="E35" t="s">
        <v>42</v>
      </c>
      <c r="F35" t="s">
        <v>37</v>
      </c>
      <c r="G35" s="2">
        <v>42139</v>
      </c>
      <c r="H35" s="3">
        <f t="shared" si="0"/>
        <v>10.638356164383561</v>
      </c>
      <c r="I35">
        <v>10</v>
      </c>
      <c r="J35" t="s">
        <v>38</v>
      </c>
      <c r="K35" t="s">
        <v>53</v>
      </c>
      <c r="L35" t="s">
        <v>44</v>
      </c>
      <c r="M35">
        <v>21.79</v>
      </c>
      <c r="N35">
        <v>21.49</v>
      </c>
      <c r="O35">
        <v>21.19</v>
      </c>
      <c r="P35">
        <v>20.89</v>
      </c>
      <c r="Q35">
        <v>20.59</v>
      </c>
      <c r="R35">
        <v>20.29</v>
      </c>
      <c r="S35">
        <v>19.989999999999998</v>
      </c>
      <c r="T35" t="s">
        <v>49</v>
      </c>
      <c r="U35">
        <v>2</v>
      </c>
      <c r="V35">
        <v>3</v>
      </c>
    </row>
    <row r="36" spans="1:36" x14ac:dyDescent="0.3">
      <c r="A36">
        <v>35</v>
      </c>
      <c r="B36">
        <v>565</v>
      </c>
      <c r="C36" s="2">
        <v>34299</v>
      </c>
      <c r="D36">
        <v>32</v>
      </c>
      <c r="E36" t="s">
        <v>36</v>
      </c>
      <c r="F36" t="s">
        <v>50</v>
      </c>
      <c r="G36" s="2">
        <v>42139</v>
      </c>
      <c r="H36" s="3">
        <f t="shared" si="0"/>
        <v>10.638356164383561</v>
      </c>
      <c r="I36">
        <v>10</v>
      </c>
      <c r="J36" t="s">
        <v>38</v>
      </c>
      <c r="K36" t="s">
        <v>55</v>
      </c>
      <c r="L36" t="s">
        <v>44</v>
      </c>
      <c r="M36">
        <v>16.920000000000002</v>
      </c>
      <c r="N36">
        <v>16.62</v>
      </c>
      <c r="O36">
        <v>16.32</v>
      </c>
      <c r="P36">
        <v>16.02</v>
      </c>
      <c r="Q36">
        <v>15.72</v>
      </c>
      <c r="R36">
        <v>15.42</v>
      </c>
      <c r="S36">
        <v>15.12</v>
      </c>
      <c r="T36" t="s">
        <v>47</v>
      </c>
      <c r="U36">
        <v>2</v>
      </c>
      <c r="V36">
        <v>4</v>
      </c>
    </row>
    <row r="37" spans="1:36" x14ac:dyDescent="0.3">
      <c r="A37">
        <v>36</v>
      </c>
      <c r="B37">
        <v>664</v>
      </c>
      <c r="C37" s="2">
        <v>35336</v>
      </c>
      <c r="D37">
        <v>29</v>
      </c>
      <c r="E37" t="s">
        <v>42</v>
      </c>
      <c r="F37" t="s">
        <v>50</v>
      </c>
      <c r="G37" s="2">
        <v>42139</v>
      </c>
      <c r="H37" s="3">
        <f t="shared" si="0"/>
        <v>10.638356164383561</v>
      </c>
      <c r="I37">
        <v>12</v>
      </c>
      <c r="J37" t="s">
        <v>38</v>
      </c>
      <c r="K37" t="s">
        <v>43</v>
      </c>
      <c r="L37" t="s">
        <v>44</v>
      </c>
      <c r="M37">
        <v>15.94</v>
      </c>
      <c r="N37">
        <v>15.64</v>
      </c>
      <c r="O37">
        <v>15.34</v>
      </c>
      <c r="P37">
        <v>15.04</v>
      </c>
      <c r="Q37">
        <v>14.74</v>
      </c>
      <c r="R37">
        <v>14.44</v>
      </c>
      <c r="S37">
        <v>14.14</v>
      </c>
      <c r="T37" t="s">
        <v>47</v>
      </c>
      <c r="U37">
        <v>0</v>
      </c>
      <c r="V37">
        <v>4</v>
      </c>
    </row>
    <row r="38" spans="1:36" x14ac:dyDescent="0.3">
      <c r="A38">
        <v>37</v>
      </c>
      <c r="B38">
        <v>771</v>
      </c>
      <c r="C38" s="2">
        <v>32670</v>
      </c>
      <c r="D38">
        <v>36</v>
      </c>
      <c r="E38" t="s">
        <v>42</v>
      </c>
      <c r="F38" t="s">
        <v>50</v>
      </c>
      <c r="G38" s="2">
        <v>42139</v>
      </c>
      <c r="H38" s="3">
        <f t="shared" si="0"/>
        <v>10.638356164383561</v>
      </c>
      <c r="I38">
        <v>14</v>
      </c>
      <c r="J38" t="s">
        <v>38</v>
      </c>
      <c r="K38" t="s">
        <v>39</v>
      </c>
      <c r="L38" t="s">
        <v>40</v>
      </c>
      <c r="M38">
        <v>63626</v>
      </c>
      <c r="N38">
        <v>62126</v>
      </c>
      <c r="O38">
        <v>60626</v>
      </c>
      <c r="P38">
        <v>59126</v>
      </c>
      <c r="Q38">
        <v>57626</v>
      </c>
      <c r="R38">
        <v>56126</v>
      </c>
      <c r="S38">
        <v>54626</v>
      </c>
      <c r="T38" t="s">
        <v>61</v>
      </c>
      <c r="U38">
        <v>4</v>
      </c>
      <c r="V38">
        <v>6</v>
      </c>
      <c r="W38">
        <v>5</v>
      </c>
      <c r="X38" s="2">
        <v>42737</v>
      </c>
      <c r="Y38" t="s">
        <v>59</v>
      </c>
      <c r="Z38" s="2">
        <v>43410</v>
      </c>
      <c r="AA38" t="s">
        <v>62</v>
      </c>
      <c r="AD38">
        <v>5</v>
      </c>
      <c r="AE38">
        <v>5</v>
      </c>
      <c r="AF38">
        <v>4</v>
      </c>
      <c r="AG38">
        <v>4</v>
      </c>
      <c r="AH38">
        <v>5</v>
      </c>
      <c r="AI38">
        <v>4</v>
      </c>
      <c r="AJ38">
        <v>4</v>
      </c>
    </row>
    <row r="39" spans="1:36" x14ac:dyDescent="0.3">
      <c r="A39">
        <v>38</v>
      </c>
      <c r="B39">
        <v>801</v>
      </c>
      <c r="C39" s="2">
        <v>29389</v>
      </c>
      <c r="D39">
        <v>45</v>
      </c>
      <c r="E39" t="s">
        <v>36</v>
      </c>
      <c r="F39" t="s">
        <v>50</v>
      </c>
      <c r="G39" s="2">
        <v>42139</v>
      </c>
      <c r="H39" s="3">
        <f t="shared" si="0"/>
        <v>10.638356164383561</v>
      </c>
      <c r="I39">
        <v>14</v>
      </c>
      <c r="J39" t="s">
        <v>38</v>
      </c>
      <c r="K39" t="s">
        <v>55</v>
      </c>
      <c r="L39" t="s">
        <v>44</v>
      </c>
      <c r="M39">
        <v>16.920000000000002</v>
      </c>
      <c r="N39">
        <v>16.62</v>
      </c>
      <c r="O39">
        <v>16.32</v>
      </c>
      <c r="P39">
        <v>16.02</v>
      </c>
      <c r="Q39">
        <v>15.72</v>
      </c>
      <c r="R39">
        <v>15.42</v>
      </c>
      <c r="S39">
        <v>15.12</v>
      </c>
      <c r="T39" t="s">
        <v>47</v>
      </c>
      <c r="U39">
        <v>2</v>
      </c>
      <c r="V39">
        <v>5</v>
      </c>
    </row>
    <row r="40" spans="1:36" x14ac:dyDescent="0.3">
      <c r="A40">
        <v>39</v>
      </c>
      <c r="B40">
        <v>842</v>
      </c>
      <c r="C40" s="2">
        <v>29698</v>
      </c>
      <c r="D40">
        <v>44</v>
      </c>
      <c r="E40" t="s">
        <v>42</v>
      </c>
      <c r="F40" t="s">
        <v>50</v>
      </c>
      <c r="G40" s="2">
        <v>42139</v>
      </c>
      <c r="H40" s="3">
        <f t="shared" si="0"/>
        <v>10.638356164383561</v>
      </c>
      <c r="I40">
        <v>15</v>
      </c>
      <c r="J40" t="s">
        <v>38</v>
      </c>
      <c r="K40" t="s">
        <v>46</v>
      </c>
      <c r="L40" t="s">
        <v>44</v>
      </c>
      <c r="M40">
        <v>14.21</v>
      </c>
      <c r="N40">
        <v>13.91</v>
      </c>
      <c r="O40">
        <v>13.61</v>
      </c>
      <c r="P40">
        <v>13.31</v>
      </c>
      <c r="Q40">
        <v>13.01</v>
      </c>
      <c r="R40">
        <v>12.71</v>
      </c>
      <c r="S40">
        <v>12.41</v>
      </c>
      <c r="T40" t="s">
        <v>47</v>
      </c>
      <c r="U40">
        <v>1</v>
      </c>
      <c r="V40">
        <v>5</v>
      </c>
    </row>
    <row r="41" spans="1:36" x14ac:dyDescent="0.3">
      <c r="A41">
        <v>40</v>
      </c>
      <c r="B41">
        <v>904</v>
      </c>
      <c r="C41" s="2">
        <v>35404</v>
      </c>
      <c r="D41">
        <v>29</v>
      </c>
      <c r="E41" t="s">
        <v>42</v>
      </c>
      <c r="F41" t="s">
        <v>50</v>
      </c>
      <c r="G41" s="2">
        <v>42139</v>
      </c>
      <c r="H41" s="3">
        <f t="shared" si="0"/>
        <v>10.638356164383561</v>
      </c>
      <c r="I41">
        <v>16</v>
      </c>
      <c r="J41" t="s">
        <v>38</v>
      </c>
      <c r="K41" t="s">
        <v>64</v>
      </c>
      <c r="L41" t="s">
        <v>44</v>
      </c>
      <c r="M41">
        <v>14.08</v>
      </c>
      <c r="N41">
        <v>13.78</v>
      </c>
      <c r="O41">
        <v>13.48</v>
      </c>
      <c r="P41">
        <v>13.18</v>
      </c>
      <c r="Q41">
        <v>12.88</v>
      </c>
      <c r="R41">
        <v>12.58</v>
      </c>
      <c r="S41">
        <v>12.28</v>
      </c>
      <c r="T41" t="s">
        <v>47</v>
      </c>
      <c r="U41">
        <v>0</v>
      </c>
      <c r="V41">
        <v>5</v>
      </c>
    </row>
    <row r="42" spans="1:36" x14ac:dyDescent="0.3">
      <c r="A42">
        <v>41</v>
      </c>
      <c r="B42">
        <v>908</v>
      </c>
      <c r="C42" s="2">
        <v>35530</v>
      </c>
      <c r="D42">
        <v>28</v>
      </c>
      <c r="E42" t="s">
        <v>36</v>
      </c>
      <c r="F42" t="s">
        <v>50</v>
      </c>
      <c r="G42" s="2">
        <v>42139</v>
      </c>
      <c r="H42" s="3">
        <f t="shared" si="0"/>
        <v>10.638356164383561</v>
      </c>
      <c r="I42">
        <v>16</v>
      </c>
      <c r="J42" t="s">
        <v>38</v>
      </c>
      <c r="K42" t="s">
        <v>48</v>
      </c>
      <c r="L42" t="s">
        <v>44</v>
      </c>
      <c r="M42">
        <v>17.18</v>
      </c>
      <c r="N42">
        <v>16.88</v>
      </c>
      <c r="O42">
        <v>16.579999999999998</v>
      </c>
      <c r="P42">
        <v>16.28</v>
      </c>
      <c r="Q42">
        <v>15.98</v>
      </c>
      <c r="R42">
        <v>15.68</v>
      </c>
      <c r="S42">
        <v>15.38</v>
      </c>
      <c r="T42" t="s">
        <v>47</v>
      </c>
      <c r="U42">
        <v>2</v>
      </c>
      <c r="V42">
        <v>4</v>
      </c>
    </row>
    <row r="43" spans="1:36" x14ac:dyDescent="0.3">
      <c r="A43">
        <v>42</v>
      </c>
      <c r="B43">
        <v>917</v>
      </c>
      <c r="C43" s="2">
        <v>33841</v>
      </c>
      <c r="D43">
        <v>33</v>
      </c>
      <c r="E43" t="s">
        <v>36</v>
      </c>
      <c r="F43" t="s">
        <v>50</v>
      </c>
      <c r="G43" s="2">
        <v>42139</v>
      </c>
      <c r="H43" s="3">
        <f t="shared" si="0"/>
        <v>10.638356164383561</v>
      </c>
      <c r="I43">
        <v>16</v>
      </c>
      <c r="J43" t="s">
        <v>38</v>
      </c>
      <c r="K43" t="s">
        <v>55</v>
      </c>
      <c r="L43" t="s">
        <v>44</v>
      </c>
      <c r="M43">
        <v>16.920000000000002</v>
      </c>
      <c r="N43">
        <v>16.62</v>
      </c>
      <c r="O43">
        <v>16.32</v>
      </c>
      <c r="P43">
        <v>16.02</v>
      </c>
      <c r="Q43">
        <v>15.72</v>
      </c>
      <c r="R43">
        <v>15.42</v>
      </c>
      <c r="S43">
        <v>15.12</v>
      </c>
      <c r="T43" t="s">
        <v>52</v>
      </c>
      <c r="U43">
        <v>0</v>
      </c>
      <c r="V43">
        <v>4</v>
      </c>
    </row>
    <row r="44" spans="1:36" x14ac:dyDescent="0.3">
      <c r="A44">
        <v>43</v>
      </c>
      <c r="B44">
        <v>1017</v>
      </c>
      <c r="C44" s="2">
        <v>35153</v>
      </c>
      <c r="D44">
        <v>29</v>
      </c>
      <c r="E44" t="s">
        <v>36</v>
      </c>
      <c r="F44" t="s">
        <v>50</v>
      </c>
      <c r="G44" s="2">
        <v>42139</v>
      </c>
      <c r="H44" s="3">
        <f t="shared" si="0"/>
        <v>10.638356164383561</v>
      </c>
      <c r="I44">
        <v>18</v>
      </c>
      <c r="J44" t="s">
        <v>38</v>
      </c>
      <c r="K44" t="s">
        <v>43</v>
      </c>
      <c r="L44" t="s">
        <v>44</v>
      </c>
      <c r="M44">
        <v>15.94</v>
      </c>
      <c r="N44">
        <v>15.64</v>
      </c>
      <c r="O44">
        <v>15.34</v>
      </c>
      <c r="P44">
        <v>15.04</v>
      </c>
      <c r="Q44">
        <v>14.74</v>
      </c>
      <c r="R44">
        <v>14.44</v>
      </c>
      <c r="S44">
        <v>14.14</v>
      </c>
      <c r="T44" t="s">
        <v>47</v>
      </c>
      <c r="U44">
        <v>1</v>
      </c>
      <c r="V44">
        <v>2</v>
      </c>
    </row>
    <row r="45" spans="1:36" x14ac:dyDescent="0.3">
      <c r="A45">
        <v>44</v>
      </c>
      <c r="B45">
        <v>1066</v>
      </c>
      <c r="C45" s="2">
        <v>32881</v>
      </c>
      <c r="D45">
        <v>35</v>
      </c>
      <c r="E45" t="s">
        <v>36</v>
      </c>
      <c r="F45" t="s">
        <v>50</v>
      </c>
      <c r="G45" s="2">
        <v>42139</v>
      </c>
      <c r="H45" s="3">
        <f t="shared" si="0"/>
        <v>10.638356164383561</v>
      </c>
      <c r="I45">
        <v>17</v>
      </c>
      <c r="J45" t="s">
        <v>38</v>
      </c>
      <c r="K45" t="s">
        <v>39</v>
      </c>
      <c r="L45" t="s">
        <v>40</v>
      </c>
      <c r="M45">
        <v>77449</v>
      </c>
      <c r="N45">
        <v>75574</v>
      </c>
      <c r="O45">
        <v>73699</v>
      </c>
      <c r="P45">
        <v>71824</v>
      </c>
      <c r="Q45">
        <v>69949</v>
      </c>
      <c r="R45">
        <v>68074</v>
      </c>
      <c r="S45">
        <v>65824</v>
      </c>
      <c r="T45" t="s">
        <v>61</v>
      </c>
      <c r="U45">
        <v>1</v>
      </c>
      <c r="V45">
        <v>5</v>
      </c>
      <c r="W45">
        <v>4</v>
      </c>
      <c r="X45" s="2">
        <v>42739</v>
      </c>
      <c r="Y45" t="s">
        <v>59</v>
      </c>
      <c r="Z45" s="2">
        <v>43255</v>
      </c>
      <c r="AA45" t="s">
        <v>62</v>
      </c>
      <c r="AD45">
        <v>4</v>
      </c>
      <c r="AE45">
        <v>4</v>
      </c>
      <c r="AF45">
        <v>4</v>
      </c>
      <c r="AG45">
        <v>4</v>
      </c>
      <c r="AH45">
        <v>4</v>
      </c>
      <c r="AI45">
        <v>4</v>
      </c>
      <c r="AJ45">
        <v>5</v>
      </c>
    </row>
    <row r="46" spans="1:36" x14ac:dyDescent="0.3">
      <c r="A46">
        <v>45</v>
      </c>
      <c r="B46">
        <v>1071</v>
      </c>
      <c r="C46" s="2">
        <v>34673</v>
      </c>
      <c r="D46">
        <v>31</v>
      </c>
      <c r="E46" t="s">
        <v>42</v>
      </c>
      <c r="F46" t="s">
        <v>37</v>
      </c>
      <c r="G46" s="2">
        <v>42139</v>
      </c>
      <c r="H46" s="3">
        <f t="shared" si="0"/>
        <v>10.638356164383561</v>
      </c>
      <c r="I46">
        <v>19</v>
      </c>
      <c r="J46" t="s">
        <v>38</v>
      </c>
      <c r="K46" t="s">
        <v>65</v>
      </c>
      <c r="L46" t="s">
        <v>44</v>
      </c>
      <c r="M46">
        <v>10.63</v>
      </c>
      <c r="N46">
        <v>10.51</v>
      </c>
      <c r="O46">
        <v>10.25</v>
      </c>
      <c r="P46">
        <v>10</v>
      </c>
      <c r="Q46">
        <v>10</v>
      </c>
      <c r="R46">
        <v>10</v>
      </c>
      <c r="S46">
        <v>9.76</v>
      </c>
      <c r="T46" t="s">
        <v>45</v>
      </c>
      <c r="U46">
        <v>0</v>
      </c>
      <c r="V46">
        <v>3</v>
      </c>
    </row>
    <row r="47" spans="1:36" x14ac:dyDescent="0.3">
      <c r="A47">
        <v>46</v>
      </c>
      <c r="B47">
        <v>1124</v>
      </c>
      <c r="C47" s="2">
        <v>33416</v>
      </c>
      <c r="D47">
        <v>34</v>
      </c>
      <c r="E47" t="s">
        <v>42</v>
      </c>
      <c r="F47" t="s">
        <v>50</v>
      </c>
      <c r="G47" s="2">
        <v>42139</v>
      </c>
      <c r="H47" s="3">
        <f t="shared" si="0"/>
        <v>10.638356164383561</v>
      </c>
      <c r="I47">
        <v>18</v>
      </c>
      <c r="J47" t="s">
        <v>38</v>
      </c>
      <c r="K47" t="s">
        <v>39</v>
      </c>
      <c r="L47" t="s">
        <v>40</v>
      </c>
      <c r="M47">
        <v>56820</v>
      </c>
      <c r="N47">
        <v>55320</v>
      </c>
      <c r="O47">
        <v>53820</v>
      </c>
      <c r="P47">
        <v>52320</v>
      </c>
      <c r="Q47">
        <v>50820</v>
      </c>
      <c r="R47">
        <v>49320</v>
      </c>
      <c r="S47">
        <v>46320</v>
      </c>
      <c r="T47" t="s">
        <v>58</v>
      </c>
      <c r="U47">
        <v>2</v>
      </c>
      <c r="V47">
        <v>6</v>
      </c>
      <c r="W47">
        <v>6</v>
      </c>
      <c r="X47" s="2">
        <v>42737</v>
      </c>
      <c r="Y47" t="s">
        <v>59</v>
      </c>
      <c r="Z47" s="2">
        <v>43663</v>
      </c>
      <c r="AA47" t="s">
        <v>62</v>
      </c>
      <c r="AD47">
        <v>3</v>
      </c>
      <c r="AE47">
        <v>2</v>
      </c>
      <c r="AF47">
        <v>3</v>
      </c>
      <c r="AG47">
        <v>4</v>
      </c>
      <c r="AH47">
        <v>5</v>
      </c>
      <c r="AI47">
        <v>5</v>
      </c>
      <c r="AJ47">
        <v>4</v>
      </c>
    </row>
    <row r="48" spans="1:36" x14ac:dyDescent="0.3">
      <c r="A48">
        <v>47</v>
      </c>
      <c r="B48">
        <v>1197</v>
      </c>
      <c r="C48" s="2">
        <v>32608</v>
      </c>
      <c r="D48">
        <v>36</v>
      </c>
      <c r="E48" t="s">
        <v>36</v>
      </c>
      <c r="F48" t="s">
        <v>50</v>
      </c>
      <c r="G48" s="2">
        <v>42139</v>
      </c>
      <c r="H48" s="3">
        <f t="shared" si="0"/>
        <v>10.638356164383561</v>
      </c>
      <c r="I48">
        <v>21</v>
      </c>
      <c r="J48" t="s">
        <v>38</v>
      </c>
      <c r="K48" t="s">
        <v>46</v>
      </c>
      <c r="L48" t="s">
        <v>44</v>
      </c>
      <c r="M48">
        <v>14.21</v>
      </c>
      <c r="N48">
        <v>13.91</v>
      </c>
      <c r="O48">
        <v>13.61</v>
      </c>
      <c r="P48">
        <v>13.31</v>
      </c>
      <c r="Q48">
        <v>13.01</v>
      </c>
      <c r="R48">
        <v>12.71</v>
      </c>
      <c r="S48">
        <v>12.41</v>
      </c>
      <c r="T48" t="s">
        <v>47</v>
      </c>
      <c r="U48">
        <v>1</v>
      </c>
      <c r="V48">
        <v>3</v>
      </c>
    </row>
    <row r="49" spans="1:36" x14ac:dyDescent="0.3">
      <c r="A49">
        <v>48</v>
      </c>
      <c r="B49">
        <v>1301</v>
      </c>
      <c r="C49" s="2">
        <v>32831</v>
      </c>
      <c r="D49">
        <v>36</v>
      </c>
      <c r="E49" t="s">
        <v>42</v>
      </c>
      <c r="F49" t="s">
        <v>37</v>
      </c>
      <c r="G49" s="2">
        <v>42139</v>
      </c>
      <c r="H49" s="3">
        <f t="shared" si="0"/>
        <v>10.638356164383561</v>
      </c>
      <c r="I49">
        <v>22</v>
      </c>
      <c r="J49" t="s">
        <v>38</v>
      </c>
      <c r="K49" t="s">
        <v>39</v>
      </c>
      <c r="L49" t="s">
        <v>40</v>
      </c>
      <c r="M49">
        <v>60082</v>
      </c>
      <c r="N49">
        <v>60082</v>
      </c>
      <c r="O49">
        <v>59332</v>
      </c>
      <c r="P49">
        <v>58582</v>
      </c>
      <c r="Q49">
        <v>58582</v>
      </c>
      <c r="R49">
        <v>57832</v>
      </c>
      <c r="S49">
        <v>57082</v>
      </c>
      <c r="T49" t="s">
        <v>58</v>
      </c>
      <c r="U49">
        <v>1</v>
      </c>
      <c r="V49">
        <v>4</v>
      </c>
      <c r="W49">
        <v>4</v>
      </c>
      <c r="X49" s="2">
        <v>42476</v>
      </c>
      <c r="Y49" t="s">
        <v>59</v>
      </c>
      <c r="Z49" s="2">
        <v>43269</v>
      </c>
      <c r="AA49" t="s">
        <v>62</v>
      </c>
      <c r="AD49">
        <v>3</v>
      </c>
      <c r="AE49">
        <v>3</v>
      </c>
      <c r="AF49">
        <v>4</v>
      </c>
      <c r="AG49">
        <v>3</v>
      </c>
      <c r="AH49">
        <v>2</v>
      </c>
      <c r="AI49">
        <v>4</v>
      </c>
      <c r="AJ49">
        <v>2</v>
      </c>
    </row>
    <row r="50" spans="1:36" x14ac:dyDescent="0.3">
      <c r="A50">
        <v>49</v>
      </c>
      <c r="B50">
        <v>1302</v>
      </c>
      <c r="C50" s="2">
        <v>31301</v>
      </c>
      <c r="D50">
        <v>40</v>
      </c>
      <c r="E50" t="s">
        <v>36</v>
      </c>
      <c r="F50" t="s">
        <v>50</v>
      </c>
      <c r="G50" s="2">
        <v>42139</v>
      </c>
      <c r="H50" s="3">
        <f t="shared" si="0"/>
        <v>10.638356164383561</v>
      </c>
      <c r="I50">
        <v>21</v>
      </c>
      <c r="J50" t="s">
        <v>38</v>
      </c>
      <c r="K50" t="s">
        <v>39</v>
      </c>
      <c r="L50" t="s">
        <v>40</v>
      </c>
      <c r="M50">
        <v>75626</v>
      </c>
      <c r="N50">
        <v>72626</v>
      </c>
      <c r="O50">
        <v>69626</v>
      </c>
      <c r="P50">
        <v>66626</v>
      </c>
      <c r="Q50">
        <v>63626</v>
      </c>
      <c r="R50">
        <v>60626</v>
      </c>
      <c r="S50">
        <v>53126</v>
      </c>
      <c r="T50" t="s">
        <v>66</v>
      </c>
      <c r="U50">
        <v>1</v>
      </c>
      <c r="V50">
        <v>4</v>
      </c>
      <c r="W50">
        <v>4</v>
      </c>
      <c r="X50" s="2">
        <v>42493</v>
      </c>
      <c r="Y50" t="s">
        <v>59</v>
      </c>
      <c r="Z50" s="2">
        <v>43771</v>
      </c>
      <c r="AA50" t="s">
        <v>62</v>
      </c>
      <c r="AD50">
        <v>5</v>
      </c>
      <c r="AE50">
        <v>5</v>
      </c>
      <c r="AF50">
        <v>5</v>
      </c>
      <c r="AG50">
        <v>5</v>
      </c>
      <c r="AH50">
        <v>5</v>
      </c>
      <c r="AI50">
        <v>5</v>
      </c>
      <c r="AJ50">
        <v>5</v>
      </c>
    </row>
    <row r="51" spans="1:36" x14ac:dyDescent="0.3">
      <c r="A51">
        <v>50</v>
      </c>
      <c r="B51">
        <v>1359</v>
      </c>
      <c r="C51" s="2">
        <v>29075</v>
      </c>
      <c r="D51">
        <v>46</v>
      </c>
      <c r="E51" t="s">
        <v>42</v>
      </c>
      <c r="F51" t="s">
        <v>50</v>
      </c>
      <c r="G51" s="2">
        <v>42139</v>
      </c>
      <c r="H51" s="3">
        <f t="shared" si="0"/>
        <v>10.638356164383561</v>
      </c>
      <c r="I51">
        <v>24</v>
      </c>
      <c r="J51" t="s">
        <v>38</v>
      </c>
      <c r="K51" t="s">
        <v>39</v>
      </c>
      <c r="L51" t="s">
        <v>40</v>
      </c>
      <c r="M51">
        <v>83905</v>
      </c>
      <c r="N51">
        <v>81655</v>
      </c>
      <c r="O51">
        <v>79405</v>
      </c>
      <c r="P51">
        <v>77155</v>
      </c>
      <c r="Q51">
        <v>74905</v>
      </c>
      <c r="R51">
        <v>72655</v>
      </c>
      <c r="S51">
        <v>70405</v>
      </c>
      <c r="T51" t="s">
        <v>67</v>
      </c>
      <c r="U51">
        <v>1</v>
      </c>
      <c r="V51">
        <v>4</v>
      </c>
      <c r="W51">
        <v>6</v>
      </c>
      <c r="AD51">
        <v>5</v>
      </c>
      <c r="AE51">
        <v>5</v>
      </c>
      <c r="AF51">
        <v>5</v>
      </c>
      <c r="AG51">
        <v>5</v>
      </c>
      <c r="AH51">
        <v>5</v>
      </c>
      <c r="AI51">
        <v>5</v>
      </c>
      <c r="AJ51">
        <v>5</v>
      </c>
    </row>
    <row r="52" spans="1:36" x14ac:dyDescent="0.3">
      <c r="A52">
        <v>51</v>
      </c>
      <c r="B52">
        <v>1373</v>
      </c>
      <c r="C52" s="2">
        <v>34591</v>
      </c>
      <c r="D52">
        <v>31</v>
      </c>
      <c r="E52" t="s">
        <v>36</v>
      </c>
      <c r="F52" t="s">
        <v>50</v>
      </c>
      <c r="G52" s="2">
        <v>42139</v>
      </c>
      <c r="H52" s="3">
        <f t="shared" si="0"/>
        <v>10.638356164383561</v>
      </c>
      <c r="I52">
        <v>24</v>
      </c>
      <c r="J52" t="s">
        <v>38</v>
      </c>
      <c r="K52" t="s">
        <v>46</v>
      </c>
      <c r="L52" t="s">
        <v>44</v>
      </c>
      <c r="M52">
        <v>14.21</v>
      </c>
      <c r="N52">
        <v>13.91</v>
      </c>
      <c r="O52">
        <v>13.61</v>
      </c>
      <c r="P52">
        <v>13.31</v>
      </c>
      <c r="Q52">
        <v>13.01</v>
      </c>
      <c r="R52">
        <v>12.71</v>
      </c>
      <c r="S52">
        <v>12.41</v>
      </c>
      <c r="T52" t="s">
        <v>47</v>
      </c>
      <c r="U52">
        <v>1</v>
      </c>
      <c r="V52">
        <v>3</v>
      </c>
    </row>
    <row r="53" spans="1:36" x14ac:dyDescent="0.3">
      <c r="A53">
        <v>52</v>
      </c>
      <c r="B53">
        <v>1418</v>
      </c>
      <c r="C53" s="2">
        <v>25883</v>
      </c>
      <c r="D53">
        <v>55</v>
      </c>
      <c r="E53" t="s">
        <v>36</v>
      </c>
      <c r="F53" t="s">
        <v>50</v>
      </c>
      <c r="G53" s="2">
        <v>42139</v>
      </c>
      <c r="H53" s="3">
        <f t="shared" si="0"/>
        <v>10.638356164383561</v>
      </c>
      <c r="I53">
        <v>25</v>
      </c>
      <c r="J53" t="s">
        <v>38</v>
      </c>
      <c r="K53" t="s">
        <v>39</v>
      </c>
      <c r="L53" t="s">
        <v>40</v>
      </c>
      <c r="M53">
        <v>79030</v>
      </c>
      <c r="N53">
        <v>77530</v>
      </c>
      <c r="O53">
        <v>76030</v>
      </c>
      <c r="P53">
        <v>74530</v>
      </c>
      <c r="Q53">
        <v>73030</v>
      </c>
      <c r="R53">
        <v>71530</v>
      </c>
      <c r="S53">
        <v>70030</v>
      </c>
      <c r="T53" t="s">
        <v>61</v>
      </c>
      <c r="U53">
        <v>0</v>
      </c>
      <c r="V53">
        <v>4</v>
      </c>
      <c r="W53">
        <v>3</v>
      </c>
      <c r="AD53">
        <v>4</v>
      </c>
      <c r="AE53">
        <v>4</v>
      </c>
      <c r="AF53">
        <v>3</v>
      </c>
      <c r="AG53">
        <v>5</v>
      </c>
      <c r="AH53">
        <v>5</v>
      </c>
      <c r="AI53">
        <v>5</v>
      </c>
      <c r="AJ53">
        <v>3</v>
      </c>
    </row>
    <row r="54" spans="1:36" x14ac:dyDescent="0.3">
      <c r="A54">
        <v>53</v>
      </c>
      <c r="B54">
        <v>1426</v>
      </c>
      <c r="C54" s="2">
        <v>34307</v>
      </c>
      <c r="D54">
        <v>32</v>
      </c>
      <c r="E54" t="s">
        <v>42</v>
      </c>
      <c r="F54" t="s">
        <v>50</v>
      </c>
      <c r="G54" s="2">
        <v>42139</v>
      </c>
      <c r="H54" s="3">
        <f t="shared" si="0"/>
        <v>10.638356164383561</v>
      </c>
      <c r="I54">
        <v>25</v>
      </c>
      <c r="J54" t="s">
        <v>38</v>
      </c>
      <c r="K54" t="s">
        <v>65</v>
      </c>
      <c r="L54" t="s">
        <v>44</v>
      </c>
      <c r="M54">
        <v>10.41</v>
      </c>
      <c r="N54">
        <v>10.210000000000001</v>
      </c>
      <c r="O54">
        <v>10.01</v>
      </c>
      <c r="P54">
        <v>9.81</v>
      </c>
      <c r="Q54">
        <v>9.61</v>
      </c>
      <c r="R54">
        <v>9.41</v>
      </c>
      <c r="S54">
        <v>9.2100000000000009</v>
      </c>
      <c r="T54" t="s">
        <v>47</v>
      </c>
      <c r="U54">
        <v>0</v>
      </c>
      <c r="V54">
        <v>5</v>
      </c>
    </row>
    <row r="55" spans="1:36" x14ac:dyDescent="0.3">
      <c r="A55">
        <v>54</v>
      </c>
      <c r="B55">
        <v>1434</v>
      </c>
      <c r="C55" s="2">
        <v>33300</v>
      </c>
      <c r="D55">
        <v>34</v>
      </c>
      <c r="E55" t="s">
        <v>36</v>
      </c>
      <c r="F55" t="s">
        <v>50</v>
      </c>
      <c r="G55" s="2">
        <v>42139</v>
      </c>
      <c r="H55" s="3">
        <f t="shared" si="0"/>
        <v>10.638356164383561</v>
      </c>
      <c r="I55">
        <v>25</v>
      </c>
      <c r="J55" t="s">
        <v>38</v>
      </c>
      <c r="K55" t="s">
        <v>46</v>
      </c>
      <c r="L55" t="s">
        <v>44</v>
      </c>
      <c r="M55">
        <v>14.21</v>
      </c>
      <c r="N55">
        <v>13.91</v>
      </c>
      <c r="O55">
        <v>13.61</v>
      </c>
      <c r="P55">
        <v>13.31</v>
      </c>
      <c r="Q55">
        <v>13.01</v>
      </c>
      <c r="R55">
        <v>12.71</v>
      </c>
      <c r="S55">
        <v>12.41</v>
      </c>
      <c r="T55" t="s">
        <v>47</v>
      </c>
      <c r="U55">
        <v>0</v>
      </c>
      <c r="V55">
        <v>3</v>
      </c>
    </row>
    <row r="56" spans="1:36" x14ac:dyDescent="0.3">
      <c r="A56">
        <v>55</v>
      </c>
      <c r="B56">
        <v>1436</v>
      </c>
      <c r="C56" s="2">
        <v>35408</v>
      </c>
      <c r="D56">
        <v>29</v>
      </c>
      <c r="E56" t="s">
        <v>36</v>
      </c>
      <c r="F56" t="s">
        <v>50</v>
      </c>
      <c r="G56" s="2">
        <v>42139</v>
      </c>
      <c r="H56" s="3">
        <f t="shared" si="0"/>
        <v>10.638356164383561</v>
      </c>
      <c r="I56">
        <v>25</v>
      </c>
      <c r="J56" t="s">
        <v>38</v>
      </c>
      <c r="K56" t="s">
        <v>64</v>
      </c>
      <c r="L56" t="s">
        <v>44</v>
      </c>
      <c r="M56">
        <v>14.08</v>
      </c>
      <c r="N56">
        <v>13.78</v>
      </c>
      <c r="O56">
        <v>13.48</v>
      </c>
      <c r="P56">
        <v>13.18</v>
      </c>
      <c r="Q56">
        <v>12.88</v>
      </c>
      <c r="R56">
        <v>12.58</v>
      </c>
      <c r="S56">
        <v>12.28</v>
      </c>
      <c r="T56" t="s">
        <v>47</v>
      </c>
      <c r="U56">
        <v>1</v>
      </c>
      <c r="V56">
        <v>6</v>
      </c>
    </row>
    <row r="57" spans="1:36" x14ac:dyDescent="0.3">
      <c r="A57">
        <v>56</v>
      </c>
      <c r="B57">
        <v>1438</v>
      </c>
      <c r="C57" s="2">
        <v>32702</v>
      </c>
      <c r="D57">
        <v>36</v>
      </c>
      <c r="E57" t="s">
        <v>36</v>
      </c>
      <c r="F57" t="s">
        <v>50</v>
      </c>
      <c r="G57" s="2">
        <v>42139</v>
      </c>
      <c r="H57" s="3">
        <f t="shared" si="0"/>
        <v>10.638356164383561</v>
      </c>
      <c r="I57">
        <v>25</v>
      </c>
      <c r="J57" t="s">
        <v>38</v>
      </c>
      <c r="K57" t="s">
        <v>48</v>
      </c>
      <c r="L57" t="s">
        <v>44</v>
      </c>
      <c r="M57">
        <v>17.18</v>
      </c>
      <c r="N57">
        <v>16.88</v>
      </c>
      <c r="O57">
        <v>16.579999999999998</v>
      </c>
      <c r="P57">
        <v>16.28</v>
      </c>
      <c r="Q57">
        <v>15.98</v>
      </c>
      <c r="R57">
        <v>15.68</v>
      </c>
      <c r="S57">
        <v>15.38</v>
      </c>
      <c r="T57" t="s">
        <v>49</v>
      </c>
      <c r="U57">
        <v>0</v>
      </c>
      <c r="V57">
        <v>4</v>
      </c>
    </row>
    <row r="58" spans="1:36" x14ac:dyDescent="0.3">
      <c r="A58">
        <v>57</v>
      </c>
      <c r="B58">
        <v>1477</v>
      </c>
      <c r="C58" s="2">
        <v>28897</v>
      </c>
      <c r="D58">
        <v>46</v>
      </c>
      <c r="E58" t="s">
        <v>36</v>
      </c>
      <c r="F58" t="s">
        <v>50</v>
      </c>
      <c r="G58" s="2">
        <v>42139</v>
      </c>
      <c r="H58" s="3">
        <f t="shared" si="0"/>
        <v>10.638356164383561</v>
      </c>
      <c r="I58">
        <v>26</v>
      </c>
      <c r="J58" t="s">
        <v>38</v>
      </c>
      <c r="K58" t="s">
        <v>39</v>
      </c>
      <c r="L58" t="s">
        <v>40</v>
      </c>
      <c r="M58">
        <v>91030</v>
      </c>
      <c r="N58">
        <v>88030</v>
      </c>
      <c r="O58">
        <v>85030</v>
      </c>
      <c r="P58">
        <v>82030</v>
      </c>
      <c r="Q58">
        <v>79030</v>
      </c>
      <c r="R58">
        <v>76030</v>
      </c>
      <c r="S58">
        <v>73030</v>
      </c>
      <c r="T58" t="s">
        <v>66</v>
      </c>
      <c r="U58">
        <v>1</v>
      </c>
      <c r="V58">
        <v>5</v>
      </c>
      <c r="W58">
        <v>4</v>
      </c>
      <c r="AD58">
        <v>5</v>
      </c>
      <c r="AE58">
        <v>5</v>
      </c>
      <c r="AF58">
        <v>5</v>
      </c>
      <c r="AG58">
        <v>5</v>
      </c>
      <c r="AH58">
        <v>5</v>
      </c>
      <c r="AI58">
        <v>5</v>
      </c>
      <c r="AJ58">
        <v>5</v>
      </c>
    </row>
    <row r="59" spans="1:36" x14ac:dyDescent="0.3">
      <c r="A59">
        <v>58</v>
      </c>
      <c r="B59">
        <v>1493</v>
      </c>
      <c r="C59" s="2">
        <v>34855</v>
      </c>
      <c r="D59">
        <v>30</v>
      </c>
      <c r="E59" t="s">
        <v>36</v>
      </c>
      <c r="F59" t="s">
        <v>50</v>
      </c>
      <c r="G59" s="2">
        <v>42139</v>
      </c>
      <c r="H59" s="3">
        <f t="shared" si="0"/>
        <v>10.638356164383561</v>
      </c>
      <c r="I59">
        <v>26</v>
      </c>
      <c r="J59" t="s">
        <v>38</v>
      </c>
      <c r="K59" t="s">
        <v>46</v>
      </c>
      <c r="L59" t="s">
        <v>44</v>
      </c>
      <c r="M59">
        <v>14.21</v>
      </c>
      <c r="N59">
        <v>13.91</v>
      </c>
      <c r="O59">
        <v>13.61</v>
      </c>
      <c r="P59">
        <v>13.31</v>
      </c>
      <c r="Q59">
        <v>13.01</v>
      </c>
      <c r="R59">
        <v>12.71</v>
      </c>
      <c r="S59">
        <v>12.41</v>
      </c>
      <c r="T59" t="s">
        <v>45</v>
      </c>
      <c r="U59">
        <v>0</v>
      </c>
      <c r="V59">
        <v>3</v>
      </c>
    </row>
    <row r="60" spans="1:36" x14ac:dyDescent="0.3">
      <c r="A60">
        <v>59</v>
      </c>
      <c r="B60">
        <v>1516</v>
      </c>
      <c r="C60" s="2">
        <v>35708</v>
      </c>
      <c r="D60">
        <v>28</v>
      </c>
      <c r="E60" t="s">
        <v>36</v>
      </c>
      <c r="F60" t="s">
        <v>50</v>
      </c>
      <c r="G60" s="2">
        <v>42139</v>
      </c>
      <c r="H60" s="3">
        <f t="shared" si="0"/>
        <v>10.638356164383561</v>
      </c>
      <c r="I60">
        <v>26</v>
      </c>
      <c r="J60" t="s">
        <v>38</v>
      </c>
      <c r="K60" t="s">
        <v>56</v>
      </c>
      <c r="L60" t="s">
        <v>44</v>
      </c>
      <c r="M60">
        <v>8.65</v>
      </c>
      <c r="N60">
        <v>8.4499999999999993</v>
      </c>
      <c r="O60">
        <v>8.25</v>
      </c>
      <c r="P60">
        <v>8.0500000000000007</v>
      </c>
      <c r="Q60">
        <v>7.85</v>
      </c>
      <c r="R60">
        <v>7.65</v>
      </c>
      <c r="S60">
        <v>7.45</v>
      </c>
      <c r="T60" t="s">
        <v>47</v>
      </c>
      <c r="U60">
        <v>0</v>
      </c>
      <c r="V60">
        <v>3</v>
      </c>
    </row>
    <row r="61" spans="1:36" x14ac:dyDescent="0.3">
      <c r="A61">
        <v>60</v>
      </c>
      <c r="B61">
        <v>1538</v>
      </c>
      <c r="C61" s="2">
        <v>32997</v>
      </c>
      <c r="D61">
        <v>35</v>
      </c>
      <c r="E61" t="s">
        <v>42</v>
      </c>
      <c r="F61" t="s">
        <v>50</v>
      </c>
      <c r="G61" s="2">
        <v>42139</v>
      </c>
      <c r="H61" s="3">
        <f t="shared" si="0"/>
        <v>10.638356164383561</v>
      </c>
      <c r="I61">
        <v>16</v>
      </c>
      <c r="J61" t="s">
        <v>38</v>
      </c>
      <c r="K61" t="s">
        <v>39</v>
      </c>
      <c r="L61" t="s">
        <v>40</v>
      </c>
      <c r="M61">
        <v>68594</v>
      </c>
      <c r="N61">
        <v>65594</v>
      </c>
      <c r="O61">
        <v>62594</v>
      </c>
      <c r="P61">
        <v>59594</v>
      </c>
      <c r="Q61">
        <v>56594</v>
      </c>
      <c r="R61">
        <v>49094</v>
      </c>
      <c r="S61">
        <v>46094</v>
      </c>
      <c r="T61" t="s">
        <v>63</v>
      </c>
      <c r="U61">
        <v>2</v>
      </c>
      <c r="V61">
        <v>6</v>
      </c>
      <c r="W61">
        <v>7</v>
      </c>
      <c r="X61" s="2">
        <v>42601</v>
      </c>
      <c r="Y61" t="s">
        <v>59</v>
      </c>
      <c r="Z61" s="2">
        <v>43991</v>
      </c>
      <c r="AA61" t="s">
        <v>62</v>
      </c>
      <c r="AD61">
        <v>5</v>
      </c>
      <c r="AE61">
        <v>5</v>
      </c>
      <c r="AF61">
        <v>5</v>
      </c>
      <c r="AG61">
        <v>5</v>
      </c>
      <c r="AH61">
        <v>5</v>
      </c>
      <c r="AI61">
        <v>5</v>
      </c>
      <c r="AJ61">
        <v>5</v>
      </c>
    </row>
    <row r="62" spans="1:36" x14ac:dyDescent="0.3">
      <c r="A62">
        <v>61</v>
      </c>
      <c r="B62">
        <v>1725</v>
      </c>
      <c r="C62" s="2">
        <v>34877</v>
      </c>
      <c r="D62">
        <v>30</v>
      </c>
      <c r="E62" t="s">
        <v>42</v>
      </c>
      <c r="F62" t="s">
        <v>37</v>
      </c>
      <c r="G62" s="2">
        <v>42139</v>
      </c>
      <c r="H62" s="3">
        <f t="shared" si="0"/>
        <v>10.638356164383561</v>
      </c>
      <c r="I62">
        <v>30</v>
      </c>
      <c r="J62" t="s">
        <v>38</v>
      </c>
      <c r="K62" t="s">
        <v>43</v>
      </c>
      <c r="L62" t="s">
        <v>44</v>
      </c>
      <c r="M62">
        <v>15.94</v>
      </c>
      <c r="N62">
        <v>15.64</v>
      </c>
      <c r="O62">
        <v>15.34</v>
      </c>
      <c r="P62">
        <v>15.04</v>
      </c>
      <c r="Q62">
        <v>14.74</v>
      </c>
      <c r="R62">
        <v>14.44</v>
      </c>
      <c r="S62">
        <v>14.14</v>
      </c>
      <c r="T62" t="s">
        <v>47</v>
      </c>
      <c r="U62">
        <v>1</v>
      </c>
      <c r="V62">
        <v>5</v>
      </c>
    </row>
    <row r="63" spans="1:36" x14ac:dyDescent="0.3">
      <c r="A63">
        <v>62</v>
      </c>
      <c r="B63">
        <v>1745</v>
      </c>
      <c r="C63" s="2">
        <v>33763</v>
      </c>
      <c r="D63">
        <v>33</v>
      </c>
      <c r="E63" t="s">
        <v>42</v>
      </c>
      <c r="F63" t="s">
        <v>50</v>
      </c>
      <c r="G63" s="2">
        <v>42139</v>
      </c>
      <c r="H63" s="3">
        <f t="shared" si="0"/>
        <v>10.638356164383561</v>
      </c>
      <c r="I63">
        <v>30</v>
      </c>
      <c r="J63" t="s">
        <v>38</v>
      </c>
      <c r="K63" t="s">
        <v>55</v>
      </c>
      <c r="L63" t="s">
        <v>44</v>
      </c>
      <c r="M63">
        <v>16.920000000000002</v>
      </c>
      <c r="N63">
        <v>16.62</v>
      </c>
      <c r="O63">
        <v>16.32</v>
      </c>
      <c r="P63">
        <v>16.02</v>
      </c>
      <c r="Q63">
        <v>15.72</v>
      </c>
      <c r="R63">
        <v>15.42</v>
      </c>
      <c r="S63">
        <v>15.12</v>
      </c>
      <c r="T63" t="s">
        <v>47</v>
      </c>
      <c r="U63">
        <v>2</v>
      </c>
      <c r="V63">
        <v>5</v>
      </c>
    </row>
    <row r="64" spans="1:36" x14ac:dyDescent="0.3">
      <c r="A64">
        <v>63</v>
      </c>
      <c r="B64">
        <v>1832</v>
      </c>
      <c r="C64" s="2">
        <v>32425</v>
      </c>
      <c r="D64">
        <v>37</v>
      </c>
      <c r="E64" t="s">
        <v>36</v>
      </c>
      <c r="F64" t="s">
        <v>37</v>
      </c>
      <c r="G64" s="2">
        <v>42139</v>
      </c>
      <c r="H64" s="3">
        <f t="shared" si="0"/>
        <v>10.638356164383561</v>
      </c>
      <c r="I64">
        <v>15</v>
      </c>
      <c r="J64" t="s">
        <v>38</v>
      </c>
      <c r="K64" t="s">
        <v>39</v>
      </c>
      <c r="L64" t="s">
        <v>40</v>
      </c>
      <c r="M64">
        <v>64376</v>
      </c>
      <c r="N64">
        <v>62876</v>
      </c>
      <c r="O64">
        <v>61376</v>
      </c>
      <c r="P64">
        <v>59876</v>
      </c>
      <c r="Q64">
        <v>56876</v>
      </c>
      <c r="R64">
        <v>55376</v>
      </c>
      <c r="S64">
        <v>53876</v>
      </c>
      <c r="T64" t="s">
        <v>67</v>
      </c>
      <c r="U64">
        <v>2</v>
      </c>
      <c r="V64">
        <v>4</v>
      </c>
      <c r="W64">
        <v>3</v>
      </c>
      <c r="X64" s="2">
        <v>42518</v>
      </c>
      <c r="Y64" t="s">
        <v>59</v>
      </c>
      <c r="Z64" s="2">
        <v>44412</v>
      </c>
      <c r="AA64" t="s">
        <v>62</v>
      </c>
      <c r="AD64">
        <v>3</v>
      </c>
      <c r="AE64">
        <v>4</v>
      </c>
      <c r="AF64">
        <v>5</v>
      </c>
      <c r="AG64">
        <v>4</v>
      </c>
      <c r="AH64">
        <v>4</v>
      </c>
      <c r="AI64">
        <v>3</v>
      </c>
      <c r="AJ64">
        <v>3</v>
      </c>
    </row>
    <row r="65" spans="1:36" x14ac:dyDescent="0.3">
      <c r="A65">
        <v>64</v>
      </c>
      <c r="B65">
        <v>1844</v>
      </c>
      <c r="C65" s="2">
        <v>35199</v>
      </c>
      <c r="D65">
        <v>29</v>
      </c>
      <c r="E65" t="s">
        <v>42</v>
      </c>
      <c r="F65" t="s">
        <v>37</v>
      </c>
      <c r="G65" s="2">
        <v>42139</v>
      </c>
      <c r="H65" s="3">
        <f t="shared" si="0"/>
        <v>10.638356164383561</v>
      </c>
      <c r="I65">
        <v>32</v>
      </c>
      <c r="J65" t="s">
        <v>38</v>
      </c>
      <c r="K65" t="s">
        <v>43</v>
      </c>
      <c r="L65" t="s">
        <v>44</v>
      </c>
      <c r="M65">
        <v>15.94</v>
      </c>
      <c r="N65">
        <v>15.64</v>
      </c>
      <c r="O65">
        <v>15.34</v>
      </c>
      <c r="P65">
        <v>15.04</v>
      </c>
      <c r="Q65">
        <v>14.74</v>
      </c>
      <c r="R65">
        <v>14.44</v>
      </c>
      <c r="S65">
        <v>14.14</v>
      </c>
      <c r="T65" t="s">
        <v>47</v>
      </c>
      <c r="U65">
        <v>1</v>
      </c>
      <c r="V65">
        <v>6</v>
      </c>
    </row>
    <row r="66" spans="1:36" x14ac:dyDescent="0.3">
      <c r="A66">
        <v>65</v>
      </c>
      <c r="B66">
        <v>1848</v>
      </c>
      <c r="C66" s="2">
        <v>34274</v>
      </c>
      <c r="D66">
        <v>33</v>
      </c>
      <c r="E66" t="s">
        <v>42</v>
      </c>
      <c r="F66" t="s">
        <v>37</v>
      </c>
      <c r="G66" s="2">
        <v>42139</v>
      </c>
      <c r="H66" s="3">
        <f t="shared" si="0"/>
        <v>10.638356164383561</v>
      </c>
      <c r="I66">
        <v>32</v>
      </c>
      <c r="J66" t="s">
        <v>38</v>
      </c>
      <c r="K66" t="s">
        <v>64</v>
      </c>
      <c r="L66" t="s">
        <v>44</v>
      </c>
      <c r="M66">
        <v>14.08</v>
      </c>
      <c r="N66">
        <v>13.78</v>
      </c>
      <c r="O66">
        <v>13.48</v>
      </c>
      <c r="P66">
        <v>13.18</v>
      </c>
      <c r="Q66">
        <v>12.88</v>
      </c>
      <c r="R66">
        <v>12.58</v>
      </c>
      <c r="S66">
        <v>12.28</v>
      </c>
      <c r="T66" t="s">
        <v>47</v>
      </c>
      <c r="U66">
        <v>0</v>
      </c>
      <c r="V66">
        <v>4</v>
      </c>
    </row>
    <row r="67" spans="1:36" x14ac:dyDescent="0.3">
      <c r="A67">
        <v>66</v>
      </c>
      <c r="B67">
        <v>1853</v>
      </c>
      <c r="C67" s="2">
        <v>30678</v>
      </c>
      <c r="D67">
        <v>42</v>
      </c>
      <c r="E67" t="s">
        <v>36</v>
      </c>
      <c r="F67" t="s">
        <v>50</v>
      </c>
      <c r="G67" s="2">
        <v>42139</v>
      </c>
      <c r="H67" s="3">
        <f t="shared" ref="H67:H130" si="1">DATEDIF(G68,DATE(2025,12,31),"d")/365</f>
        <v>10.638356164383561</v>
      </c>
      <c r="I67">
        <v>32</v>
      </c>
      <c r="J67" t="s">
        <v>38</v>
      </c>
      <c r="K67" t="s">
        <v>51</v>
      </c>
      <c r="L67" t="s">
        <v>44</v>
      </c>
      <c r="M67">
        <v>31.98</v>
      </c>
      <c r="N67">
        <v>31.68</v>
      </c>
      <c r="O67">
        <v>31.38</v>
      </c>
      <c r="P67">
        <v>31.08</v>
      </c>
      <c r="Q67">
        <v>30.78</v>
      </c>
      <c r="R67">
        <v>30.48</v>
      </c>
      <c r="S67">
        <v>30.18</v>
      </c>
      <c r="T67" t="s">
        <v>49</v>
      </c>
      <c r="U67">
        <v>0</v>
      </c>
      <c r="V67">
        <v>2</v>
      </c>
    </row>
    <row r="68" spans="1:36" x14ac:dyDescent="0.3">
      <c r="A68">
        <v>67</v>
      </c>
      <c r="B68">
        <v>1890</v>
      </c>
      <c r="C68" s="2">
        <v>30026</v>
      </c>
      <c r="D68">
        <v>43</v>
      </c>
      <c r="E68" t="s">
        <v>42</v>
      </c>
      <c r="F68" t="s">
        <v>37</v>
      </c>
      <c r="G68" s="2">
        <v>42139</v>
      </c>
      <c r="H68" s="3">
        <f t="shared" si="1"/>
        <v>10.638356164383561</v>
      </c>
      <c r="I68">
        <v>33</v>
      </c>
      <c r="J68" t="s">
        <v>38</v>
      </c>
      <c r="K68" t="s">
        <v>39</v>
      </c>
      <c r="L68" t="s">
        <v>40</v>
      </c>
      <c r="M68">
        <v>82624</v>
      </c>
      <c r="N68">
        <v>81644</v>
      </c>
      <c r="O68">
        <v>79820</v>
      </c>
      <c r="P68">
        <v>78405</v>
      </c>
      <c r="Q68">
        <v>76344</v>
      </c>
      <c r="R68">
        <v>74295</v>
      </c>
      <c r="S68">
        <v>72121</v>
      </c>
      <c r="T68" t="s">
        <v>60</v>
      </c>
      <c r="U68">
        <v>2</v>
      </c>
      <c r="V68">
        <v>4</v>
      </c>
      <c r="W68">
        <v>6</v>
      </c>
      <c r="AD68">
        <v>4</v>
      </c>
      <c r="AE68">
        <v>3</v>
      </c>
      <c r="AF68">
        <v>2</v>
      </c>
      <c r="AG68">
        <v>1</v>
      </c>
      <c r="AH68">
        <v>4</v>
      </c>
      <c r="AI68">
        <v>4</v>
      </c>
      <c r="AJ68">
        <v>3</v>
      </c>
    </row>
    <row r="69" spans="1:36" x14ac:dyDescent="0.3">
      <c r="A69">
        <v>68</v>
      </c>
      <c r="B69">
        <v>1907</v>
      </c>
      <c r="C69" s="2">
        <v>34429</v>
      </c>
      <c r="D69">
        <v>31</v>
      </c>
      <c r="E69" t="s">
        <v>36</v>
      </c>
      <c r="F69" t="s">
        <v>37</v>
      </c>
      <c r="G69" s="2">
        <v>42139</v>
      </c>
      <c r="H69" s="3">
        <f t="shared" si="1"/>
        <v>10.638356164383561</v>
      </c>
      <c r="I69">
        <v>33</v>
      </c>
      <c r="J69" t="s">
        <v>38</v>
      </c>
      <c r="K69" t="s">
        <v>64</v>
      </c>
      <c r="L69" t="s">
        <v>44</v>
      </c>
      <c r="M69">
        <v>11.68</v>
      </c>
      <c r="N69">
        <v>11.46</v>
      </c>
      <c r="O69">
        <v>11.46</v>
      </c>
      <c r="P69">
        <v>11.12</v>
      </c>
      <c r="Q69">
        <v>10.85</v>
      </c>
      <c r="R69">
        <v>10.53</v>
      </c>
      <c r="S69">
        <v>10.19</v>
      </c>
      <c r="T69" t="s">
        <v>49</v>
      </c>
      <c r="U69">
        <v>0</v>
      </c>
      <c r="V69">
        <v>2</v>
      </c>
    </row>
    <row r="70" spans="1:36" x14ac:dyDescent="0.3">
      <c r="A70">
        <v>69</v>
      </c>
      <c r="B70">
        <v>2068</v>
      </c>
      <c r="C70" s="2">
        <v>32608</v>
      </c>
      <c r="D70">
        <v>36</v>
      </c>
      <c r="E70" t="s">
        <v>42</v>
      </c>
      <c r="F70" t="s">
        <v>50</v>
      </c>
      <c r="G70" s="2">
        <v>42139</v>
      </c>
      <c r="H70" s="3">
        <f t="shared" si="1"/>
        <v>10.638356164383561</v>
      </c>
      <c r="I70">
        <v>23</v>
      </c>
      <c r="J70" t="s">
        <v>38</v>
      </c>
      <c r="K70" t="s">
        <v>39</v>
      </c>
      <c r="L70" t="s">
        <v>40</v>
      </c>
      <c r="M70">
        <v>66376</v>
      </c>
      <c r="N70">
        <v>64876</v>
      </c>
      <c r="O70">
        <v>63376</v>
      </c>
      <c r="P70">
        <v>61876</v>
      </c>
      <c r="Q70">
        <v>58876</v>
      </c>
      <c r="R70">
        <v>57001</v>
      </c>
      <c r="S70">
        <v>55501</v>
      </c>
      <c r="T70" t="s">
        <v>58</v>
      </c>
      <c r="U70">
        <v>0</v>
      </c>
      <c r="V70">
        <v>6</v>
      </c>
      <c r="W70">
        <v>5</v>
      </c>
      <c r="X70" s="2">
        <v>43010</v>
      </c>
      <c r="Y70" t="s">
        <v>59</v>
      </c>
      <c r="Z70" s="2">
        <v>44373</v>
      </c>
      <c r="AA70" t="s">
        <v>62</v>
      </c>
      <c r="AD70">
        <v>5</v>
      </c>
      <c r="AE70">
        <v>3</v>
      </c>
      <c r="AF70">
        <v>3</v>
      </c>
      <c r="AG70">
        <v>3</v>
      </c>
      <c r="AH70">
        <v>4</v>
      </c>
      <c r="AI70">
        <v>4</v>
      </c>
      <c r="AJ70">
        <v>3</v>
      </c>
    </row>
    <row r="71" spans="1:36" x14ac:dyDescent="0.3">
      <c r="A71">
        <v>70</v>
      </c>
      <c r="B71">
        <v>2128</v>
      </c>
      <c r="C71" s="2">
        <v>32993</v>
      </c>
      <c r="D71">
        <v>35</v>
      </c>
      <c r="E71" t="s">
        <v>42</v>
      </c>
      <c r="F71" t="s">
        <v>37</v>
      </c>
      <c r="G71" s="2">
        <v>42139</v>
      </c>
      <c r="H71" s="3">
        <f t="shared" si="1"/>
        <v>10.638356164383561</v>
      </c>
      <c r="I71">
        <v>28</v>
      </c>
      <c r="J71" t="s">
        <v>38</v>
      </c>
      <c r="K71" t="s">
        <v>39</v>
      </c>
      <c r="L71" t="s">
        <v>40</v>
      </c>
      <c r="M71">
        <v>70158</v>
      </c>
      <c r="N71">
        <v>69408</v>
      </c>
      <c r="O71">
        <v>67158</v>
      </c>
      <c r="P71">
        <v>64908</v>
      </c>
      <c r="Q71">
        <v>61908</v>
      </c>
      <c r="R71">
        <v>59658</v>
      </c>
      <c r="S71">
        <v>57408</v>
      </c>
      <c r="T71" t="s">
        <v>61</v>
      </c>
      <c r="U71">
        <v>0</v>
      </c>
      <c r="V71">
        <v>4</v>
      </c>
      <c r="W71">
        <v>4</v>
      </c>
      <c r="X71" s="2">
        <v>42852</v>
      </c>
      <c r="Y71" t="s">
        <v>59</v>
      </c>
      <c r="Z71" s="2">
        <v>45246</v>
      </c>
      <c r="AA71" t="s">
        <v>62</v>
      </c>
      <c r="AD71">
        <v>2</v>
      </c>
      <c r="AE71">
        <v>2</v>
      </c>
      <c r="AF71">
        <v>4</v>
      </c>
      <c r="AG71">
        <v>4</v>
      </c>
      <c r="AH71">
        <v>5</v>
      </c>
      <c r="AI71">
        <v>4</v>
      </c>
      <c r="AJ71">
        <v>4</v>
      </c>
    </row>
    <row r="72" spans="1:36" x14ac:dyDescent="0.3">
      <c r="A72">
        <v>71</v>
      </c>
      <c r="B72">
        <v>2186</v>
      </c>
      <c r="C72" s="2">
        <v>33139</v>
      </c>
      <c r="D72">
        <v>35</v>
      </c>
      <c r="E72" t="s">
        <v>42</v>
      </c>
      <c r="F72" t="s">
        <v>50</v>
      </c>
      <c r="G72" s="2">
        <v>42139</v>
      </c>
      <c r="H72" s="3">
        <f t="shared" si="1"/>
        <v>10.638356164383561</v>
      </c>
      <c r="I72">
        <v>82</v>
      </c>
      <c r="J72" t="s">
        <v>57</v>
      </c>
      <c r="K72" t="s">
        <v>39</v>
      </c>
      <c r="L72" t="s">
        <v>40</v>
      </c>
      <c r="M72">
        <v>71376</v>
      </c>
      <c r="N72">
        <v>68376</v>
      </c>
      <c r="O72">
        <v>66126</v>
      </c>
      <c r="P72">
        <v>63876</v>
      </c>
      <c r="Q72">
        <v>60876</v>
      </c>
      <c r="R72">
        <v>57876</v>
      </c>
      <c r="S72">
        <v>54876</v>
      </c>
      <c r="T72" t="s">
        <v>61</v>
      </c>
      <c r="U72">
        <v>0</v>
      </c>
      <c r="V72">
        <v>6</v>
      </c>
      <c r="W72">
        <v>5</v>
      </c>
      <c r="X72" s="2">
        <v>42927</v>
      </c>
      <c r="Y72" t="s">
        <v>59</v>
      </c>
      <c r="AD72">
        <v>4</v>
      </c>
      <c r="AE72">
        <v>5</v>
      </c>
      <c r="AF72">
        <v>4</v>
      </c>
      <c r="AG72">
        <v>4</v>
      </c>
      <c r="AH72">
        <v>5</v>
      </c>
      <c r="AI72">
        <v>5</v>
      </c>
      <c r="AJ72">
        <v>5</v>
      </c>
    </row>
    <row r="73" spans="1:36" x14ac:dyDescent="0.3">
      <c r="A73">
        <v>72</v>
      </c>
      <c r="B73">
        <v>2187</v>
      </c>
      <c r="C73" s="2">
        <v>33046</v>
      </c>
      <c r="D73">
        <v>35</v>
      </c>
      <c r="E73" t="s">
        <v>36</v>
      </c>
      <c r="F73" t="s">
        <v>37</v>
      </c>
      <c r="G73" s="2">
        <v>42139</v>
      </c>
      <c r="H73" s="3">
        <f t="shared" si="1"/>
        <v>10.638356164383561</v>
      </c>
      <c r="I73">
        <v>83</v>
      </c>
      <c r="J73" t="s">
        <v>57</v>
      </c>
      <c r="K73" t="s">
        <v>39</v>
      </c>
      <c r="L73" t="s">
        <v>40</v>
      </c>
      <c r="M73">
        <v>71376</v>
      </c>
      <c r="N73">
        <v>68376</v>
      </c>
      <c r="O73">
        <v>65376</v>
      </c>
      <c r="P73">
        <v>62376</v>
      </c>
      <c r="Q73">
        <v>59376</v>
      </c>
      <c r="R73">
        <v>57126</v>
      </c>
      <c r="S73">
        <v>54876</v>
      </c>
      <c r="T73" t="s">
        <v>60</v>
      </c>
      <c r="U73">
        <v>2</v>
      </c>
      <c r="V73">
        <v>3</v>
      </c>
      <c r="W73">
        <v>3</v>
      </c>
      <c r="X73" s="2">
        <v>42969</v>
      </c>
      <c r="Y73" t="s">
        <v>59</v>
      </c>
      <c r="AD73">
        <v>5</v>
      </c>
      <c r="AE73">
        <v>5</v>
      </c>
      <c r="AF73">
        <v>5</v>
      </c>
      <c r="AG73">
        <v>5</v>
      </c>
      <c r="AH73">
        <v>5</v>
      </c>
      <c r="AI73">
        <v>4</v>
      </c>
      <c r="AJ73">
        <v>4</v>
      </c>
    </row>
    <row r="74" spans="1:36" x14ac:dyDescent="0.3">
      <c r="A74">
        <v>73</v>
      </c>
      <c r="B74">
        <v>2197</v>
      </c>
      <c r="C74" s="2">
        <v>33933</v>
      </c>
      <c r="D74">
        <v>33</v>
      </c>
      <c r="E74" t="s">
        <v>42</v>
      </c>
      <c r="F74" t="s">
        <v>37</v>
      </c>
      <c r="G74" s="2">
        <v>42139</v>
      </c>
      <c r="H74" s="3">
        <f t="shared" si="1"/>
        <v>10.638356164383561</v>
      </c>
      <c r="I74">
        <v>38</v>
      </c>
      <c r="J74" t="s">
        <v>38</v>
      </c>
      <c r="K74" t="s">
        <v>43</v>
      </c>
      <c r="L74" t="s">
        <v>44</v>
      </c>
      <c r="M74">
        <v>15.94</v>
      </c>
      <c r="N74">
        <v>15.64</v>
      </c>
      <c r="O74">
        <v>15.34</v>
      </c>
      <c r="P74">
        <v>15.04</v>
      </c>
      <c r="Q74">
        <v>14.74</v>
      </c>
      <c r="R74">
        <v>14.44</v>
      </c>
      <c r="S74">
        <v>14.14</v>
      </c>
      <c r="T74" t="s">
        <v>47</v>
      </c>
      <c r="U74">
        <v>0</v>
      </c>
      <c r="V74">
        <v>4</v>
      </c>
    </row>
    <row r="75" spans="1:36" x14ac:dyDescent="0.3">
      <c r="A75">
        <v>74</v>
      </c>
      <c r="B75">
        <v>2198</v>
      </c>
      <c r="C75" s="2">
        <v>34958</v>
      </c>
      <c r="D75">
        <v>30</v>
      </c>
      <c r="E75" t="s">
        <v>42</v>
      </c>
      <c r="F75" t="s">
        <v>50</v>
      </c>
      <c r="G75" s="2">
        <v>42139</v>
      </c>
      <c r="H75" s="3">
        <f t="shared" si="1"/>
        <v>10.638356164383561</v>
      </c>
      <c r="I75">
        <v>38</v>
      </c>
      <c r="J75" t="s">
        <v>38</v>
      </c>
      <c r="K75" t="s">
        <v>43</v>
      </c>
      <c r="L75" t="s">
        <v>44</v>
      </c>
      <c r="M75">
        <v>15.94</v>
      </c>
      <c r="N75">
        <v>15.64</v>
      </c>
      <c r="O75">
        <v>15.34</v>
      </c>
      <c r="P75">
        <v>15.04</v>
      </c>
      <c r="Q75">
        <v>14.74</v>
      </c>
      <c r="R75">
        <v>14.44</v>
      </c>
      <c r="S75">
        <v>14.14</v>
      </c>
      <c r="T75" t="s">
        <v>47</v>
      </c>
      <c r="U75">
        <v>0</v>
      </c>
      <c r="V75">
        <v>4</v>
      </c>
    </row>
    <row r="76" spans="1:36" x14ac:dyDescent="0.3">
      <c r="A76">
        <v>75</v>
      </c>
      <c r="B76">
        <v>2203</v>
      </c>
      <c r="C76" s="2">
        <v>34637</v>
      </c>
      <c r="D76">
        <v>31</v>
      </c>
      <c r="E76" t="s">
        <v>36</v>
      </c>
      <c r="F76" t="s">
        <v>37</v>
      </c>
      <c r="G76" s="2">
        <v>42139</v>
      </c>
      <c r="H76" s="3">
        <f t="shared" si="1"/>
        <v>10.638356164383561</v>
      </c>
      <c r="I76">
        <v>38</v>
      </c>
      <c r="J76" t="s">
        <v>38</v>
      </c>
      <c r="K76" t="s">
        <v>64</v>
      </c>
      <c r="L76" t="s">
        <v>44</v>
      </c>
      <c r="M76">
        <v>14.08</v>
      </c>
      <c r="N76">
        <v>13.78</v>
      </c>
      <c r="O76">
        <v>13.48</v>
      </c>
      <c r="P76">
        <v>13.18</v>
      </c>
      <c r="Q76">
        <v>12.88</v>
      </c>
      <c r="R76">
        <v>12.58</v>
      </c>
      <c r="S76">
        <v>12.28</v>
      </c>
      <c r="T76" t="s">
        <v>47</v>
      </c>
      <c r="U76">
        <v>1</v>
      </c>
      <c r="V76">
        <v>3</v>
      </c>
    </row>
    <row r="77" spans="1:36" x14ac:dyDescent="0.3">
      <c r="A77">
        <v>76</v>
      </c>
      <c r="B77">
        <v>2205</v>
      </c>
      <c r="C77" s="2">
        <v>32500</v>
      </c>
      <c r="D77">
        <v>37</v>
      </c>
      <c r="E77" t="s">
        <v>42</v>
      </c>
      <c r="F77" t="s">
        <v>50</v>
      </c>
      <c r="G77" s="2">
        <v>42139</v>
      </c>
      <c r="H77" s="3">
        <f t="shared" si="1"/>
        <v>10.638356164383561</v>
      </c>
      <c r="I77">
        <v>38</v>
      </c>
      <c r="J77" t="s">
        <v>38</v>
      </c>
      <c r="K77" t="s">
        <v>48</v>
      </c>
      <c r="L77" t="s">
        <v>44</v>
      </c>
      <c r="M77">
        <v>17.18</v>
      </c>
      <c r="N77">
        <v>16.88</v>
      </c>
      <c r="O77">
        <v>16.579999999999998</v>
      </c>
      <c r="P77">
        <v>16.28</v>
      </c>
      <c r="Q77">
        <v>15.98</v>
      </c>
      <c r="R77">
        <v>15.68</v>
      </c>
      <c r="S77">
        <v>15.38</v>
      </c>
      <c r="T77" t="s">
        <v>49</v>
      </c>
      <c r="U77">
        <v>1</v>
      </c>
      <c r="V77">
        <v>5</v>
      </c>
    </row>
    <row r="78" spans="1:36" x14ac:dyDescent="0.3">
      <c r="A78">
        <v>77</v>
      </c>
      <c r="B78">
        <v>2212</v>
      </c>
      <c r="C78" s="2">
        <v>32682</v>
      </c>
      <c r="D78">
        <v>36</v>
      </c>
      <c r="E78" t="s">
        <v>36</v>
      </c>
      <c r="F78" t="s">
        <v>50</v>
      </c>
      <c r="G78" s="2">
        <v>42139</v>
      </c>
      <c r="H78" s="3">
        <f t="shared" si="1"/>
        <v>10.638356164383561</v>
      </c>
      <c r="I78">
        <v>38</v>
      </c>
      <c r="J78" t="s">
        <v>38</v>
      </c>
      <c r="K78" t="s">
        <v>53</v>
      </c>
      <c r="L78" t="s">
        <v>44</v>
      </c>
      <c r="M78">
        <v>21.79</v>
      </c>
      <c r="N78">
        <v>21.49</v>
      </c>
      <c r="O78">
        <v>21.19</v>
      </c>
      <c r="P78">
        <v>20.89</v>
      </c>
      <c r="Q78">
        <v>20.59</v>
      </c>
      <c r="R78">
        <v>20.29</v>
      </c>
      <c r="S78">
        <v>19.989999999999998</v>
      </c>
      <c r="T78" t="s">
        <v>47</v>
      </c>
      <c r="U78">
        <v>3</v>
      </c>
      <c r="V78">
        <v>3</v>
      </c>
    </row>
    <row r="79" spans="1:36" x14ac:dyDescent="0.3">
      <c r="A79">
        <v>78</v>
      </c>
      <c r="B79">
        <v>2215</v>
      </c>
      <c r="C79" s="2">
        <v>30676</v>
      </c>
      <c r="D79">
        <v>42</v>
      </c>
      <c r="E79" t="s">
        <v>36</v>
      </c>
      <c r="F79" t="s">
        <v>50</v>
      </c>
      <c r="G79" s="2">
        <v>42139</v>
      </c>
      <c r="H79" s="3">
        <f t="shared" si="1"/>
        <v>10.638356164383561</v>
      </c>
      <c r="I79">
        <v>38</v>
      </c>
      <c r="J79" t="s">
        <v>38</v>
      </c>
      <c r="K79" t="s">
        <v>55</v>
      </c>
      <c r="L79" t="s">
        <v>44</v>
      </c>
      <c r="M79">
        <v>16.920000000000002</v>
      </c>
      <c r="N79">
        <v>16.62</v>
      </c>
      <c r="O79">
        <v>16.32</v>
      </c>
      <c r="P79">
        <v>16.02</v>
      </c>
      <c r="Q79">
        <v>15.72</v>
      </c>
      <c r="R79">
        <v>15.42</v>
      </c>
      <c r="S79">
        <v>15.12</v>
      </c>
      <c r="T79" t="s">
        <v>47</v>
      </c>
      <c r="U79">
        <v>2</v>
      </c>
      <c r="V79">
        <v>5</v>
      </c>
    </row>
    <row r="80" spans="1:36" x14ac:dyDescent="0.3">
      <c r="A80">
        <v>79</v>
      </c>
      <c r="B80">
        <v>2248</v>
      </c>
      <c r="C80" s="2">
        <v>33033</v>
      </c>
      <c r="D80">
        <v>35</v>
      </c>
      <c r="E80" t="s">
        <v>42</v>
      </c>
      <c r="F80" t="s">
        <v>50</v>
      </c>
      <c r="G80" s="2">
        <v>42139</v>
      </c>
      <c r="H80" s="3">
        <f t="shared" si="1"/>
        <v>10.638356164383561</v>
      </c>
      <c r="I80">
        <v>39</v>
      </c>
      <c r="J80" t="s">
        <v>38</v>
      </c>
      <c r="K80" t="s">
        <v>68</v>
      </c>
      <c r="L80" t="s">
        <v>44</v>
      </c>
      <c r="M80">
        <v>12.93</v>
      </c>
      <c r="N80">
        <v>12.81</v>
      </c>
      <c r="O80">
        <v>12.81</v>
      </c>
      <c r="P80">
        <v>12.69</v>
      </c>
      <c r="Q80">
        <v>12.55</v>
      </c>
      <c r="R80">
        <v>12.41</v>
      </c>
      <c r="S80">
        <v>12.28</v>
      </c>
      <c r="T80" t="s">
        <v>47</v>
      </c>
      <c r="U80">
        <v>1</v>
      </c>
      <c r="V80">
        <v>5</v>
      </c>
    </row>
    <row r="81" spans="1:22" x14ac:dyDescent="0.3">
      <c r="A81">
        <v>80</v>
      </c>
      <c r="B81">
        <v>2256</v>
      </c>
      <c r="C81" s="2">
        <v>31981</v>
      </c>
      <c r="D81">
        <v>38</v>
      </c>
      <c r="E81" t="s">
        <v>36</v>
      </c>
      <c r="F81" t="s">
        <v>50</v>
      </c>
      <c r="G81" s="2">
        <v>42139</v>
      </c>
      <c r="H81" s="3">
        <f t="shared" si="1"/>
        <v>10.638356164383561</v>
      </c>
      <c r="I81">
        <v>39</v>
      </c>
      <c r="J81" t="s">
        <v>38</v>
      </c>
      <c r="K81" t="s">
        <v>43</v>
      </c>
      <c r="L81" t="s">
        <v>44</v>
      </c>
      <c r="M81">
        <v>17.79</v>
      </c>
      <c r="N81">
        <v>17.79</v>
      </c>
      <c r="O81">
        <v>17.48</v>
      </c>
      <c r="P81">
        <v>17.48</v>
      </c>
      <c r="Q81">
        <v>17.149999999999999</v>
      </c>
      <c r="R81">
        <v>16.78</v>
      </c>
      <c r="S81">
        <v>16.399999999999999</v>
      </c>
      <c r="T81" t="s">
        <v>47</v>
      </c>
      <c r="U81">
        <v>0</v>
      </c>
      <c r="V81">
        <v>3</v>
      </c>
    </row>
    <row r="82" spans="1:22" x14ac:dyDescent="0.3">
      <c r="A82">
        <v>81</v>
      </c>
      <c r="B82">
        <v>2263</v>
      </c>
      <c r="C82" s="2">
        <v>35191</v>
      </c>
      <c r="D82">
        <v>29</v>
      </c>
      <c r="E82" t="s">
        <v>36</v>
      </c>
      <c r="F82" t="s">
        <v>50</v>
      </c>
      <c r="G82" s="2">
        <v>42139</v>
      </c>
      <c r="H82" s="3">
        <f t="shared" si="1"/>
        <v>10.638356164383561</v>
      </c>
      <c r="I82">
        <v>39</v>
      </c>
      <c r="J82" t="s">
        <v>38</v>
      </c>
      <c r="K82" t="s">
        <v>48</v>
      </c>
      <c r="L82" t="s">
        <v>44</v>
      </c>
      <c r="M82">
        <v>14.11</v>
      </c>
      <c r="N82">
        <v>13.88</v>
      </c>
      <c r="O82">
        <v>13.5</v>
      </c>
      <c r="P82">
        <v>13.33</v>
      </c>
      <c r="Q82">
        <v>13.33</v>
      </c>
      <c r="R82">
        <v>13.33</v>
      </c>
      <c r="S82">
        <v>13.01</v>
      </c>
      <c r="T82" t="s">
        <v>49</v>
      </c>
      <c r="U82">
        <v>2</v>
      </c>
      <c r="V82">
        <v>6</v>
      </c>
    </row>
    <row r="83" spans="1:22" x14ac:dyDescent="0.3">
      <c r="A83">
        <v>82</v>
      </c>
      <c r="B83">
        <v>2264</v>
      </c>
      <c r="C83" s="2">
        <v>34642</v>
      </c>
      <c r="D83">
        <v>31</v>
      </c>
      <c r="E83" t="s">
        <v>36</v>
      </c>
      <c r="F83" t="s">
        <v>50</v>
      </c>
      <c r="G83" s="2">
        <v>42139</v>
      </c>
      <c r="H83" s="3">
        <f t="shared" si="1"/>
        <v>10.638356164383561</v>
      </c>
      <c r="I83">
        <v>39</v>
      </c>
      <c r="J83" t="s">
        <v>38</v>
      </c>
      <c r="K83" t="s">
        <v>48</v>
      </c>
      <c r="L83" t="s">
        <v>44</v>
      </c>
      <c r="M83">
        <v>17.14</v>
      </c>
      <c r="N83">
        <v>16.82</v>
      </c>
      <c r="O83">
        <v>16.46</v>
      </c>
      <c r="P83">
        <v>16.309999999999999</v>
      </c>
      <c r="Q83">
        <v>15.86</v>
      </c>
      <c r="R83">
        <v>15.55</v>
      </c>
      <c r="S83">
        <v>15.55</v>
      </c>
      <c r="T83" t="s">
        <v>49</v>
      </c>
      <c r="U83">
        <v>2</v>
      </c>
      <c r="V83">
        <v>4</v>
      </c>
    </row>
    <row r="84" spans="1:22" x14ac:dyDescent="0.3">
      <c r="A84">
        <v>83</v>
      </c>
      <c r="B84">
        <v>2267</v>
      </c>
      <c r="C84" s="2">
        <v>32616</v>
      </c>
      <c r="D84">
        <v>36</v>
      </c>
      <c r="E84" t="s">
        <v>36</v>
      </c>
      <c r="F84" t="s">
        <v>50</v>
      </c>
      <c r="G84" s="2">
        <v>42139</v>
      </c>
      <c r="H84" s="3">
        <f t="shared" si="1"/>
        <v>10.638356164383561</v>
      </c>
      <c r="I84">
        <v>39</v>
      </c>
      <c r="J84" t="s">
        <v>38</v>
      </c>
      <c r="K84" t="s">
        <v>51</v>
      </c>
      <c r="L84" t="s">
        <v>44</v>
      </c>
      <c r="M84">
        <v>32.270000000000003</v>
      </c>
      <c r="N84">
        <v>32.090000000000003</v>
      </c>
      <c r="O84">
        <v>31.72</v>
      </c>
      <c r="P84">
        <v>31.39</v>
      </c>
      <c r="Q84">
        <v>31.15</v>
      </c>
      <c r="R84">
        <v>31.15</v>
      </c>
      <c r="S84">
        <v>30.71</v>
      </c>
      <c r="T84" t="s">
        <v>49</v>
      </c>
      <c r="U84">
        <v>0</v>
      </c>
      <c r="V84">
        <v>4</v>
      </c>
    </row>
    <row r="85" spans="1:22" x14ac:dyDescent="0.3">
      <c r="A85">
        <v>84</v>
      </c>
      <c r="B85">
        <v>2276</v>
      </c>
      <c r="C85" s="2">
        <v>32102</v>
      </c>
      <c r="D85">
        <v>38</v>
      </c>
      <c r="E85" t="s">
        <v>36</v>
      </c>
      <c r="F85" t="s">
        <v>50</v>
      </c>
      <c r="G85" s="2">
        <v>42139</v>
      </c>
      <c r="H85" s="3">
        <f t="shared" si="1"/>
        <v>10.638356164383561</v>
      </c>
      <c r="I85">
        <v>39</v>
      </c>
      <c r="J85" t="s">
        <v>38</v>
      </c>
      <c r="K85" t="s">
        <v>55</v>
      </c>
      <c r="L85" t="s">
        <v>44</v>
      </c>
      <c r="M85">
        <v>18.190000000000001</v>
      </c>
      <c r="N85">
        <v>17.91</v>
      </c>
      <c r="O85">
        <v>17.579999999999998</v>
      </c>
      <c r="P85">
        <v>17.27</v>
      </c>
      <c r="Q85">
        <v>16.87</v>
      </c>
      <c r="R85">
        <v>16.72</v>
      </c>
      <c r="S85">
        <v>16.39</v>
      </c>
      <c r="T85" t="s">
        <v>47</v>
      </c>
      <c r="U85">
        <v>2</v>
      </c>
      <c r="V85">
        <v>5</v>
      </c>
    </row>
    <row r="86" spans="1:22" x14ac:dyDescent="0.3">
      <c r="A86">
        <v>85</v>
      </c>
      <c r="B86">
        <v>2375</v>
      </c>
      <c r="C86" s="2">
        <v>33929</v>
      </c>
      <c r="D86">
        <v>33</v>
      </c>
      <c r="E86" t="s">
        <v>36</v>
      </c>
      <c r="F86" t="s">
        <v>50</v>
      </c>
      <c r="G86" s="2">
        <v>42139</v>
      </c>
      <c r="H86" s="3">
        <f t="shared" si="1"/>
        <v>10.638356164383561</v>
      </c>
      <c r="I86">
        <v>41</v>
      </c>
      <c r="J86" t="s">
        <v>38</v>
      </c>
      <c r="K86" t="s">
        <v>43</v>
      </c>
      <c r="L86" t="s">
        <v>44</v>
      </c>
      <c r="M86">
        <v>15.94</v>
      </c>
      <c r="N86">
        <v>15.64</v>
      </c>
      <c r="O86">
        <v>15.34</v>
      </c>
      <c r="P86">
        <v>15.04</v>
      </c>
      <c r="Q86">
        <v>14.74</v>
      </c>
      <c r="R86">
        <v>14.44</v>
      </c>
      <c r="S86">
        <v>14.14</v>
      </c>
      <c r="T86" t="s">
        <v>49</v>
      </c>
      <c r="U86">
        <v>1</v>
      </c>
      <c r="V86">
        <v>4</v>
      </c>
    </row>
    <row r="87" spans="1:22" x14ac:dyDescent="0.3">
      <c r="A87">
        <v>86</v>
      </c>
      <c r="B87">
        <v>2378</v>
      </c>
      <c r="C87" s="2">
        <v>34544</v>
      </c>
      <c r="D87">
        <v>31</v>
      </c>
      <c r="E87" t="s">
        <v>36</v>
      </c>
      <c r="F87" t="s">
        <v>37</v>
      </c>
      <c r="G87" s="2">
        <v>42139</v>
      </c>
      <c r="H87" s="3">
        <f t="shared" si="1"/>
        <v>10.638356164383561</v>
      </c>
      <c r="I87">
        <v>41</v>
      </c>
      <c r="J87" t="s">
        <v>38</v>
      </c>
      <c r="K87" t="s">
        <v>46</v>
      </c>
      <c r="L87" t="s">
        <v>44</v>
      </c>
      <c r="M87">
        <v>14.21</v>
      </c>
      <c r="N87">
        <v>13.91</v>
      </c>
      <c r="O87">
        <v>13.61</v>
      </c>
      <c r="P87">
        <v>13.31</v>
      </c>
      <c r="Q87">
        <v>13.01</v>
      </c>
      <c r="R87">
        <v>12.71</v>
      </c>
      <c r="S87">
        <v>12.41</v>
      </c>
      <c r="T87" t="s">
        <v>47</v>
      </c>
      <c r="U87">
        <v>0</v>
      </c>
      <c r="V87">
        <v>1</v>
      </c>
    </row>
    <row r="88" spans="1:22" x14ac:dyDescent="0.3">
      <c r="A88">
        <v>87</v>
      </c>
      <c r="B88">
        <v>2610</v>
      </c>
      <c r="C88" s="2">
        <v>33587</v>
      </c>
      <c r="D88">
        <v>34</v>
      </c>
      <c r="E88" t="s">
        <v>42</v>
      </c>
      <c r="F88" t="s">
        <v>50</v>
      </c>
      <c r="G88" s="2">
        <v>42139</v>
      </c>
      <c r="H88" s="3">
        <f t="shared" si="1"/>
        <v>10.638356164383561</v>
      </c>
      <c r="I88">
        <v>45</v>
      </c>
      <c r="J88" t="s">
        <v>38</v>
      </c>
      <c r="K88" t="s">
        <v>43</v>
      </c>
      <c r="L88" t="s">
        <v>44</v>
      </c>
      <c r="M88">
        <v>15.94</v>
      </c>
      <c r="N88">
        <v>15.64</v>
      </c>
      <c r="O88">
        <v>15.34</v>
      </c>
      <c r="P88">
        <v>15.04</v>
      </c>
      <c r="Q88">
        <v>14.74</v>
      </c>
      <c r="R88">
        <v>14.44</v>
      </c>
      <c r="S88">
        <v>14.14</v>
      </c>
      <c r="T88" t="s">
        <v>47</v>
      </c>
      <c r="U88">
        <v>1</v>
      </c>
      <c r="V88">
        <v>7</v>
      </c>
    </row>
    <row r="89" spans="1:22" x14ac:dyDescent="0.3">
      <c r="A89">
        <v>88</v>
      </c>
      <c r="B89">
        <v>2617</v>
      </c>
      <c r="C89" s="2">
        <v>35120</v>
      </c>
      <c r="D89">
        <v>29</v>
      </c>
      <c r="E89" t="s">
        <v>42</v>
      </c>
      <c r="F89" t="s">
        <v>50</v>
      </c>
      <c r="G89" s="2">
        <v>42139</v>
      </c>
      <c r="H89" s="3">
        <f t="shared" si="1"/>
        <v>10.638356164383561</v>
      </c>
      <c r="I89">
        <v>45</v>
      </c>
      <c r="J89" t="s">
        <v>38</v>
      </c>
      <c r="K89" t="s">
        <v>48</v>
      </c>
      <c r="L89" t="s">
        <v>44</v>
      </c>
      <c r="M89">
        <v>17.18</v>
      </c>
      <c r="N89">
        <v>16.88</v>
      </c>
      <c r="O89">
        <v>16.579999999999998</v>
      </c>
      <c r="P89">
        <v>16.28</v>
      </c>
      <c r="Q89">
        <v>15.98</v>
      </c>
      <c r="R89">
        <v>15.68</v>
      </c>
      <c r="S89">
        <v>15.38</v>
      </c>
      <c r="T89" t="s">
        <v>45</v>
      </c>
      <c r="U89">
        <v>2</v>
      </c>
      <c r="V89">
        <v>5</v>
      </c>
    </row>
    <row r="90" spans="1:22" x14ac:dyDescent="0.3">
      <c r="A90">
        <v>89</v>
      </c>
      <c r="B90">
        <v>2619</v>
      </c>
      <c r="C90" s="2">
        <v>34636</v>
      </c>
      <c r="D90">
        <v>31</v>
      </c>
      <c r="E90" t="s">
        <v>42</v>
      </c>
      <c r="F90" t="s">
        <v>37</v>
      </c>
      <c r="G90" s="2">
        <v>42139</v>
      </c>
      <c r="H90" s="3">
        <f t="shared" si="1"/>
        <v>10.638356164383561</v>
      </c>
      <c r="I90">
        <v>45</v>
      </c>
      <c r="J90" t="s">
        <v>38</v>
      </c>
      <c r="K90" t="s">
        <v>48</v>
      </c>
      <c r="L90" t="s">
        <v>44</v>
      </c>
      <c r="M90">
        <v>17.18</v>
      </c>
      <c r="N90">
        <v>16.88</v>
      </c>
      <c r="O90">
        <v>16.579999999999998</v>
      </c>
      <c r="P90">
        <v>16.28</v>
      </c>
      <c r="Q90">
        <v>15.98</v>
      </c>
      <c r="R90">
        <v>15.68</v>
      </c>
      <c r="S90">
        <v>15.38</v>
      </c>
      <c r="T90" t="s">
        <v>49</v>
      </c>
      <c r="U90">
        <v>3</v>
      </c>
      <c r="V90">
        <v>5</v>
      </c>
    </row>
    <row r="91" spans="1:22" x14ac:dyDescent="0.3">
      <c r="A91">
        <v>90</v>
      </c>
      <c r="B91">
        <v>2630</v>
      </c>
      <c r="C91" s="2">
        <v>31719</v>
      </c>
      <c r="D91">
        <v>39</v>
      </c>
      <c r="E91" t="s">
        <v>36</v>
      </c>
      <c r="F91" t="s">
        <v>50</v>
      </c>
      <c r="G91" s="2">
        <v>42139</v>
      </c>
      <c r="H91" s="3">
        <f t="shared" si="1"/>
        <v>10.638356164383561</v>
      </c>
      <c r="I91">
        <v>45</v>
      </c>
      <c r="J91" t="s">
        <v>38</v>
      </c>
      <c r="K91" t="s">
        <v>55</v>
      </c>
      <c r="L91" t="s">
        <v>44</v>
      </c>
      <c r="M91">
        <v>16.920000000000002</v>
      </c>
      <c r="N91">
        <v>16.62</v>
      </c>
      <c r="O91">
        <v>16.32</v>
      </c>
      <c r="P91">
        <v>16.02</v>
      </c>
      <c r="Q91">
        <v>15.72</v>
      </c>
      <c r="R91">
        <v>15.42</v>
      </c>
      <c r="S91">
        <v>15.12</v>
      </c>
      <c r="T91" t="s">
        <v>52</v>
      </c>
      <c r="U91">
        <v>2</v>
      </c>
      <c r="V91">
        <v>2</v>
      </c>
    </row>
    <row r="92" spans="1:22" x14ac:dyDescent="0.3">
      <c r="A92">
        <v>91</v>
      </c>
      <c r="B92">
        <v>3023</v>
      </c>
      <c r="C92" s="2">
        <v>33470</v>
      </c>
      <c r="D92">
        <v>34</v>
      </c>
      <c r="E92" t="s">
        <v>36</v>
      </c>
      <c r="F92" t="s">
        <v>50</v>
      </c>
      <c r="G92" s="2">
        <v>42139</v>
      </c>
      <c r="H92" s="3">
        <f t="shared" si="1"/>
        <v>10.638356164383561</v>
      </c>
      <c r="I92">
        <v>52</v>
      </c>
      <c r="J92" t="s">
        <v>38</v>
      </c>
      <c r="K92" t="s">
        <v>43</v>
      </c>
      <c r="L92" t="s">
        <v>44</v>
      </c>
      <c r="M92">
        <v>15.94</v>
      </c>
      <c r="N92">
        <v>15.64</v>
      </c>
      <c r="O92">
        <v>15.34</v>
      </c>
      <c r="P92">
        <v>15.04</v>
      </c>
      <c r="Q92">
        <v>14.74</v>
      </c>
      <c r="R92">
        <v>14.44</v>
      </c>
      <c r="S92">
        <v>14.14</v>
      </c>
      <c r="T92" t="s">
        <v>47</v>
      </c>
      <c r="U92">
        <v>1</v>
      </c>
      <c r="V92">
        <v>4</v>
      </c>
    </row>
    <row r="93" spans="1:22" x14ac:dyDescent="0.3">
      <c r="A93">
        <v>92</v>
      </c>
      <c r="B93">
        <v>3024</v>
      </c>
      <c r="C93" s="2">
        <v>34993</v>
      </c>
      <c r="D93">
        <v>30</v>
      </c>
      <c r="E93" t="s">
        <v>36</v>
      </c>
      <c r="F93" t="s">
        <v>50</v>
      </c>
      <c r="G93" s="2">
        <v>42139</v>
      </c>
      <c r="H93" s="3">
        <f t="shared" si="1"/>
        <v>10.638356164383561</v>
      </c>
      <c r="I93">
        <v>52</v>
      </c>
      <c r="J93" t="s">
        <v>38</v>
      </c>
      <c r="K93" t="s">
        <v>43</v>
      </c>
      <c r="L93" t="s">
        <v>44</v>
      </c>
      <c r="M93">
        <v>15.94</v>
      </c>
      <c r="N93">
        <v>15.64</v>
      </c>
      <c r="O93">
        <v>15.34</v>
      </c>
      <c r="P93">
        <v>15.04</v>
      </c>
      <c r="Q93">
        <v>14.74</v>
      </c>
      <c r="R93">
        <v>14.44</v>
      </c>
      <c r="S93">
        <v>14.14</v>
      </c>
      <c r="T93" t="s">
        <v>45</v>
      </c>
      <c r="U93">
        <v>0</v>
      </c>
      <c r="V93">
        <v>3</v>
      </c>
    </row>
    <row r="94" spans="1:22" x14ac:dyDescent="0.3">
      <c r="A94">
        <v>93</v>
      </c>
      <c r="B94">
        <v>3025</v>
      </c>
      <c r="C94" s="2">
        <v>33748</v>
      </c>
      <c r="D94">
        <v>33</v>
      </c>
      <c r="E94" t="s">
        <v>36</v>
      </c>
      <c r="F94" t="s">
        <v>50</v>
      </c>
      <c r="G94" s="2">
        <v>42139</v>
      </c>
      <c r="H94" s="3">
        <f t="shared" si="1"/>
        <v>10.638356164383561</v>
      </c>
      <c r="I94">
        <v>52</v>
      </c>
      <c r="J94" t="s">
        <v>38</v>
      </c>
      <c r="K94" t="s">
        <v>46</v>
      </c>
      <c r="L94" t="s">
        <v>44</v>
      </c>
      <c r="M94">
        <v>14.21</v>
      </c>
      <c r="N94">
        <v>13.91</v>
      </c>
      <c r="O94">
        <v>13.61</v>
      </c>
      <c r="P94">
        <v>13.31</v>
      </c>
      <c r="Q94">
        <v>13.01</v>
      </c>
      <c r="R94">
        <v>12.71</v>
      </c>
      <c r="S94">
        <v>12.41</v>
      </c>
      <c r="T94" t="s">
        <v>49</v>
      </c>
      <c r="U94">
        <v>0</v>
      </c>
      <c r="V94">
        <v>4</v>
      </c>
    </row>
    <row r="95" spans="1:22" x14ac:dyDescent="0.3">
      <c r="A95">
        <v>94</v>
      </c>
      <c r="B95">
        <v>3026</v>
      </c>
      <c r="C95" s="2">
        <v>33325</v>
      </c>
      <c r="D95">
        <v>34</v>
      </c>
      <c r="E95" t="s">
        <v>36</v>
      </c>
      <c r="F95" t="s">
        <v>50</v>
      </c>
      <c r="G95" s="2">
        <v>42139</v>
      </c>
      <c r="H95" s="3">
        <f t="shared" si="1"/>
        <v>10.638356164383561</v>
      </c>
      <c r="I95">
        <v>52</v>
      </c>
      <c r="J95" t="s">
        <v>38</v>
      </c>
      <c r="K95" t="s">
        <v>46</v>
      </c>
      <c r="L95" t="s">
        <v>44</v>
      </c>
      <c r="M95">
        <v>14.21</v>
      </c>
      <c r="N95">
        <v>13.91</v>
      </c>
      <c r="O95">
        <v>13.61</v>
      </c>
      <c r="P95">
        <v>13.31</v>
      </c>
      <c r="Q95">
        <v>13.01</v>
      </c>
      <c r="R95">
        <v>12.71</v>
      </c>
      <c r="S95">
        <v>12.41</v>
      </c>
      <c r="T95" t="s">
        <v>47</v>
      </c>
      <c r="U95">
        <v>1</v>
      </c>
      <c r="V95">
        <v>5</v>
      </c>
    </row>
    <row r="96" spans="1:22" x14ac:dyDescent="0.3">
      <c r="A96">
        <v>95</v>
      </c>
      <c r="B96">
        <v>3030</v>
      </c>
      <c r="C96" s="2">
        <v>33746</v>
      </c>
      <c r="D96">
        <v>33</v>
      </c>
      <c r="E96" t="s">
        <v>42</v>
      </c>
      <c r="F96" t="s">
        <v>50</v>
      </c>
      <c r="G96" s="2">
        <v>42139</v>
      </c>
      <c r="H96" s="3">
        <f t="shared" si="1"/>
        <v>10.638356164383561</v>
      </c>
      <c r="I96">
        <v>52</v>
      </c>
      <c r="J96" t="s">
        <v>38</v>
      </c>
      <c r="K96" t="s">
        <v>48</v>
      </c>
      <c r="L96" t="s">
        <v>44</v>
      </c>
      <c r="M96">
        <v>17.18</v>
      </c>
      <c r="N96">
        <v>16.88</v>
      </c>
      <c r="O96">
        <v>16.579999999999998</v>
      </c>
      <c r="P96">
        <v>16.28</v>
      </c>
      <c r="Q96">
        <v>15.98</v>
      </c>
      <c r="R96">
        <v>15.68</v>
      </c>
      <c r="S96">
        <v>15.38</v>
      </c>
      <c r="T96" t="s">
        <v>49</v>
      </c>
      <c r="U96">
        <v>1</v>
      </c>
      <c r="V96">
        <v>4</v>
      </c>
    </row>
    <row r="97" spans="1:36" x14ac:dyDescent="0.3">
      <c r="A97">
        <v>96</v>
      </c>
      <c r="B97">
        <v>3096</v>
      </c>
      <c r="C97" s="2">
        <v>33387</v>
      </c>
      <c r="D97">
        <v>34</v>
      </c>
      <c r="E97" t="s">
        <v>36</v>
      </c>
      <c r="F97" t="s">
        <v>50</v>
      </c>
      <c r="G97" s="2">
        <v>42139</v>
      </c>
      <c r="H97" s="3">
        <f t="shared" si="1"/>
        <v>10.638356164383561</v>
      </c>
      <c r="I97">
        <v>53</v>
      </c>
      <c r="J97" t="s">
        <v>38</v>
      </c>
      <c r="K97" t="s">
        <v>53</v>
      </c>
      <c r="L97" t="s">
        <v>44</v>
      </c>
      <c r="M97">
        <v>21.79</v>
      </c>
      <c r="N97">
        <v>21.49</v>
      </c>
      <c r="O97">
        <v>21.19</v>
      </c>
      <c r="P97">
        <v>20.89</v>
      </c>
      <c r="Q97">
        <v>20.59</v>
      </c>
      <c r="R97">
        <v>20.29</v>
      </c>
      <c r="S97">
        <v>19.989999999999998</v>
      </c>
      <c r="T97" t="s">
        <v>47</v>
      </c>
      <c r="U97">
        <v>1</v>
      </c>
      <c r="V97">
        <v>4</v>
      </c>
    </row>
    <row r="98" spans="1:36" x14ac:dyDescent="0.3">
      <c r="A98">
        <v>97</v>
      </c>
      <c r="B98">
        <v>3190</v>
      </c>
      <c r="C98" s="2">
        <v>33216</v>
      </c>
      <c r="D98">
        <v>35</v>
      </c>
      <c r="E98" t="s">
        <v>42</v>
      </c>
      <c r="F98" t="s">
        <v>50</v>
      </c>
      <c r="G98" s="2">
        <v>42139</v>
      </c>
      <c r="H98" s="3">
        <f t="shared" si="1"/>
        <v>10.638356164383561</v>
      </c>
      <c r="I98">
        <v>52</v>
      </c>
      <c r="J98" t="s">
        <v>38</v>
      </c>
      <c r="K98" t="s">
        <v>39</v>
      </c>
      <c r="L98" t="s">
        <v>40</v>
      </c>
      <c r="M98">
        <v>51832</v>
      </c>
      <c r="N98">
        <v>49957</v>
      </c>
      <c r="O98">
        <v>48457</v>
      </c>
      <c r="P98">
        <v>46957</v>
      </c>
      <c r="Q98">
        <v>45457</v>
      </c>
      <c r="R98">
        <v>44332</v>
      </c>
      <c r="S98">
        <v>43207</v>
      </c>
      <c r="T98" t="s">
        <v>41</v>
      </c>
      <c r="U98">
        <v>0</v>
      </c>
      <c r="V98">
        <v>5</v>
      </c>
      <c r="W98">
        <v>4</v>
      </c>
      <c r="X98" s="2">
        <v>43076</v>
      </c>
      <c r="Y98" t="s">
        <v>59</v>
      </c>
      <c r="Z98" s="2">
        <v>43200</v>
      </c>
      <c r="AA98" t="s">
        <v>62</v>
      </c>
      <c r="AD98">
        <v>5</v>
      </c>
      <c r="AE98">
        <v>4</v>
      </c>
      <c r="AF98">
        <v>3</v>
      </c>
      <c r="AG98">
        <v>3</v>
      </c>
      <c r="AH98">
        <v>3</v>
      </c>
      <c r="AI98">
        <v>2</v>
      </c>
      <c r="AJ98">
        <v>2</v>
      </c>
    </row>
    <row r="99" spans="1:36" x14ac:dyDescent="0.3">
      <c r="A99">
        <v>98</v>
      </c>
      <c r="B99">
        <v>3601</v>
      </c>
      <c r="C99" s="2">
        <v>26796</v>
      </c>
      <c r="D99">
        <v>52</v>
      </c>
      <c r="E99" t="s">
        <v>36</v>
      </c>
      <c r="F99" t="s">
        <v>37</v>
      </c>
      <c r="G99" s="2">
        <v>42139</v>
      </c>
      <c r="H99" s="3">
        <f t="shared" si="1"/>
        <v>10.638356164383561</v>
      </c>
      <c r="I99">
        <v>62</v>
      </c>
      <c r="J99" t="s">
        <v>38</v>
      </c>
      <c r="K99" t="s">
        <v>39</v>
      </c>
      <c r="L99" t="s">
        <v>40</v>
      </c>
      <c r="M99">
        <v>79030</v>
      </c>
      <c r="N99">
        <v>77530</v>
      </c>
      <c r="O99">
        <v>76030</v>
      </c>
      <c r="P99">
        <v>74530</v>
      </c>
      <c r="Q99">
        <v>73030</v>
      </c>
      <c r="R99">
        <v>71530</v>
      </c>
      <c r="S99">
        <v>70030</v>
      </c>
      <c r="T99" t="s">
        <v>61</v>
      </c>
      <c r="U99">
        <v>2</v>
      </c>
      <c r="V99">
        <v>4</v>
      </c>
      <c r="W99">
        <v>4</v>
      </c>
      <c r="AD99">
        <v>3</v>
      </c>
      <c r="AE99">
        <v>3</v>
      </c>
      <c r="AF99">
        <v>3</v>
      </c>
      <c r="AG99">
        <v>4</v>
      </c>
      <c r="AH99">
        <v>3</v>
      </c>
      <c r="AI99">
        <v>5</v>
      </c>
      <c r="AJ99">
        <v>3</v>
      </c>
    </row>
    <row r="100" spans="1:36" x14ac:dyDescent="0.3">
      <c r="A100">
        <v>99</v>
      </c>
      <c r="B100">
        <v>3602</v>
      </c>
      <c r="C100" s="2">
        <v>31214</v>
      </c>
      <c r="D100">
        <v>40</v>
      </c>
      <c r="E100" t="s">
        <v>42</v>
      </c>
      <c r="F100" t="s">
        <v>37</v>
      </c>
      <c r="G100" s="2">
        <v>42139</v>
      </c>
      <c r="H100" s="3">
        <f t="shared" si="1"/>
        <v>10.638356164383561</v>
      </c>
      <c r="I100">
        <v>39</v>
      </c>
      <c r="J100" t="s">
        <v>38</v>
      </c>
      <c r="K100" t="s">
        <v>39</v>
      </c>
      <c r="L100" t="s">
        <v>40</v>
      </c>
      <c r="M100">
        <v>62588</v>
      </c>
      <c r="N100">
        <v>61170</v>
      </c>
      <c r="O100">
        <v>61170</v>
      </c>
      <c r="P100">
        <v>59637</v>
      </c>
      <c r="Q100">
        <v>55626</v>
      </c>
      <c r="R100">
        <v>54126</v>
      </c>
      <c r="S100">
        <v>52626</v>
      </c>
      <c r="T100" t="s">
        <v>61</v>
      </c>
      <c r="U100">
        <v>2</v>
      </c>
      <c r="V100">
        <v>6</v>
      </c>
      <c r="W100">
        <v>6</v>
      </c>
      <c r="X100" s="2">
        <v>42933</v>
      </c>
      <c r="Y100" t="s">
        <v>59</v>
      </c>
      <c r="Z100" s="2">
        <v>44262</v>
      </c>
      <c r="AA100" t="s">
        <v>62</v>
      </c>
      <c r="AD100">
        <v>5</v>
      </c>
      <c r="AE100">
        <v>5</v>
      </c>
      <c r="AF100">
        <v>3</v>
      </c>
      <c r="AG100">
        <v>5</v>
      </c>
      <c r="AH100">
        <v>5</v>
      </c>
      <c r="AI100">
        <v>3</v>
      </c>
      <c r="AJ100">
        <v>3</v>
      </c>
    </row>
    <row r="101" spans="1:36" x14ac:dyDescent="0.3">
      <c r="A101">
        <v>100</v>
      </c>
      <c r="B101">
        <v>3608</v>
      </c>
      <c r="C101" s="2">
        <v>35401</v>
      </c>
      <c r="D101">
        <v>29</v>
      </c>
      <c r="E101" t="s">
        <v>36</v>
      </c>
      <c r="F101" t="s">
        <v>50</v>
      </c>
      <c r="G101" s="2">
        <v>42139</v>
      </c>
      <c r="H101" s="3">
        <f t="shared" si="1"/>
        <v>10.638356164383561</v>
      </c>
      <c r="I101">
        <v>62</v>
      </c>
      <c r="J101" t="s">
        <v>38</v>
      </c>
      <c r="K101" t="s">
        <v>65</v>
      </c>
      <c r="L101" t="s">
        <v>44</v>
      </c>
      <c r="M101">
        <v>10.41</v>
      </c>
      <c r="N101">
        <v>10.210000000000001</v>
      </c>
      <c r="O101">
        <v>10.01</v>
      </c>
      <c r="P101">
        <v>9.81</v>
      </c>
      <c r="Q101">
        <v>9.61</v>
      </c>
      <c r="R101">
        <v>9.41</v>
      </c>
      <c r="S101">
        <v>9.2100000000000009</v>
      </c>
      <c r="T101" t="s">
        <v>47</v>
      </c>
      <c r="U101">
        <v>0</v>
      </c>
      <c r="V101">
        <v>4</v>
      </c>
    </row>
    <row r="102" spans="1:36" x14ac:dyDescent="0.3">
      <c r="A102">
        <v>101</v>
      </c>
      <c r="B102">
        <v>3613</v>
      </c>
      <c r="C102" s="2">
        <v>34693</v>
      </c>
      <c r="D102">
        <v>31</v>
      </c>
      <c r="E102" t="s">
        <v>42</v>
      </c>
      <c r="F102" t="s">
        <v>50</v>
      </c>
      <c r="G102" s="2">
        <v>42139</v>
      </c>
      <c r="H102" s="3">
        <f t="shared" si="1"/>
        <v>10.638356164383561</v>
      </c>
      <c r="I102">
        <v>62</v>
      </c>
      <c r="J102" t="s">
        <v>38</v>
      </c>
      <c r="K102" t="s">
        <v>43</v>
      </c>
      <c r="L102" t="s">
        <v>44</v>
      </c>
      <c r="M102">
        <v>15.94</v>
      </c>
      <c r="N102">
        <v>15.64</v>
      </c>
      <c r="O102">
        <v>15.34</v>
      </c>
      <c r="P102">
        <v>15.04</v>
      </c>
      <c r="Q102">
        <v>14.74</v>
      </c>
      <c r="R102">
        <v>14.44</v>
      </c>
      <c r="S102">
        <v>14.14</v>
      </c>
      <c r="T102" t="s">
        <v>52</v>
      </c>
      <c r="U102">
        <v>0</v>
      </c>
      <c r="V102">
        <v>6</v>
      </c>
    </row>
    <row r="103" spans="1:36" x14ac:dyDescent="0.3">
      <c r="A103">
        <v>102</v>
      </c>
      <c r="B103">
        <v>3614</v>
      </c>
      <c r="C103" s="2">
        <v>33088</v>
      </c>
      <c r="D103">
        <v>35</v>
      </c>
      <c r="E103" t="s">
        <v>42</v>
      </c>
      <c r="F103" t="s">
        <v>50</v>
      </c>
      <c r="G103" s="2">
        <v>42139</v>
      </c>
      <c r="H103" s="3">
        <f t="shared" si="1"/>
        <v>10.638356164383561</v>
      </c>
      <c r="I103">
        <v>62</v>
      </c>
      <c r="J103" t="s">
        <v>38</v>
      </c>
      <c r="K103" t="s">
        <v>43</v>
      </c>
      <c r="L103" t="s">
        <v>44</v>
      </c>
      <c r="M103">
        <v>15.94</v>
      </c>
      <c r="N103">
        <v>15.64</v>
      </c>
      <c r="O103">
        <v>15.34</v>
      </c>
      <c r="P103">
        <v>15.04</v>
      </c>
      <c r="Q103">
        <v>14.74</v>
      </c>
      <c r="R103">
        <v>14.44</v>
      </c>
      <c r="S103">
        <v>14.14</v>
      </c>
      <c r="T103" t="s">
        <v>49</v>
      </c>
      <c r="U103">
        <v>0</v>
      </c>
      <c r="V103">
        <v>5</v>
      </c>
    </row>
    <row r="104" spans="1:36" x14ac:dyDescent="0.3">
      <c r="A104">
        <v>103</v>
      </c>
      <c r="B104">
        <v>3621</v>
      </c>
      <c r="C104" s="2">
        <v>34382</v>
      </c>
      <c r="D104">
        <v>31</v>
      </c>
      <c r="E104" t="s">
        <v>42</v>
      </c>
      <c r="F104" t="s">
        <v>37</v>
      </c>
      <c r="G104" s="2">
        <v>42139</v>
      </c>
      <c r="H104" s="3">
        <f t="shared" si="1"/>
        <v>10.638356164383561</v>
      </c>
      <c r="I104">
        <v>62</v>
      </c>
      <c r="J104" t="s">
        <v>38</v>
      </c>
      <c r="K104" t="s">
        <v>48</v>
      </c>
      <c r="L104" t="s">
        <v>44</v>
      </c>
      <c r="M104">
        <v>17.18</v>
      </c>
      <c r="N104">
        <v>16.88</v>
      </c>
      <c r="O104">
        <v>16.579999999999998</v>
      </c>
      <c r="P104">
        <v>16.28</v>
      </c>
      <c r="Q104">
        <v>15.98</v>
      </c>
      <c r="R104">
        <v>15.68</v>
      </c>
      <c r="S104">
        <v>15.38</v>
      </c>
      <c r="T104" t="s">
        <v>47</v>
      </c>
      <c r="U104">
        <v>2</v>
      </c>
      <c r="V104">
        <v>6</v>
      </c>
    </row>
    <row r="105" spans="1:36" x14ac:dyDescent="0.3">
      <c r="A105">
        <v>104</v>
      </c>
      <c r="B105">
        <v>3719</v>
      </c>
      <c r="C105" s="2">
        <v>29358</v>
      </c>
      <c r="D105">
        <v>45</v>
      </c>
      <c r="E105" t="s">
        <v>36</v>
      </c>
      <c r="F105" t="s">
        <v>50</v>
      </c>
      <c r="G105" s="2">
        <v>42139</v>
      </c>
      <c r="H105" s="3">
        <f t="shared" si="1"/>
        <v>10.638356164383561</v>
      </c>
      <c r="I105">
        <v>64</v>
      </c>
      <c r="J105" t="s">
        <v>38</v>
      </c>
      <c r="K105" t="s">
        <v>39</v>
      </c>
      <c r="L105" t="s">
        <v>40</v>
      </c>
      <c r="M105">
        <v>88780</v>
      </c>
      <c r="N105">
        <v>85780</v>
      </c>
      <c r="O105">
        <v>82780</v>
      </c>
      <c r="P105">
        <v>79780</v>
      </c>
      <c r="Q105">
        <v>77530</v>
      </c>
      <c r="R105">
        <v>75280</v>
      </c>
      <c r="S105">
        <v>73030</v>
      </c>
      <c r="T105" t="s">
        <v>67</v>
      </c>
      <c r="U105">
        <v>4</v>
      </c>
      <c r="V105">
        <v>5</v>
      </c>
      <c r="W105">
        <v>3</v>
      </c>
      <c r="AD105">
        <v>5</v>
      </c>
      <c r="AE105">
        <v>5</v>
      </c>
      <c r="AF105">
        <v>5</v>
      </c>
      <c r="AG105">
        <v>5</v>
      </c>
      <c r="AH105">
        <v>4</v>
      </c>
      <c r="AI105">
        <v>4</v>
      </c>
      <c r="AJ105">
        <v>4</v>
      </c>
    </row>
    <row r="106" spans="1:36" x14ac:dyDescent="0.3">
      <c r="A106">
        <v>105</v>
      </c>
      <c r="B106">
        <v>3734</v>
      </c>
      <c r="C106" s="2">
        <v>33921</v>
      </c>
      <c r="D106">
        <v>33</v>
      </c>
      <c r="E106" t="s">
        <v>36</v>
      </c>
      <c r="F106" t="s">
        <v>50</v>
      </c>
      <c r="G106" s="2">
        <v>42139</v>
      </c>
      <c r="H106" s="3">
        <f t="shared" si="1"/>
        <v>10.638356164383561</v>
      </c>
      <c r="I106">
        <v>64</v>
      </c>
      <c r="J106" t="s">
        <v>38</v>
      </c>
      <c r="K106" t="s">
        <v>46</v>
      </c>
      <c r="L106" t="s">
        <v>44</v>
      </c>
      <c r="M106">
        <v>14.21</v>
      </c>
      <c r="N106">
        <v>13.91</v>
      </c>
      <c r="O106">
        <v>13.61</v>
      </c>
      <c r="P106">
        <v>13.31</v>
      </c>
      <c r="Q106">
        <v>13.01</v>
      </c>
      <c r="R106">
        <v>12.71</v>
      </c>
      <c r="S106">
        <v>12.41</v>
      </c>
      <c r="T106" t="s">
        <v>45</v>
      </c>
      <c r="U106">
        <v>1</v>
      </c>
      <c r="V106">
        <v>4</v>
      </c>
    </row>
    <row r="107" spans="1:36" x14ac:dyDescent="0.3">
      <c r="A107">
        <v>106</v>
      </c>
      <c r="B107">
        <v>3748</v>
      </c>
      <c r="C107" s="2">
        <v>32653</v>
      </c>
      <c r="D107">
        <v>36</v>
      </c>
      <c r="E107" t="s">
        <v>42</v>
      </c>
      <c r="F107" t="s">
        <v>50</v>
      </c>
      <c r="G107" s="2">
        <v>42139</v>
      </c>
      <c r="H107" s="3">
        <f t="shared" si="1"/>
        <v>10.638356164383561</v>
      </c>
      <c r="I107">
        <v>64</v>
      </c>
      <c r="J107" t="s">
        <v>38</v>
      </c>
      <c r="K107" t="s">
        <v>54</v>
      </c>
      <c r="L107" t="s">
        <v>44</v>
      </c>
      <c r="M107">
        <v>21.93</v>
      </c>
      <c r="N107">
        <v>21.63</v>
      </c>
      <c r="O107">
        <v>21.33</v>
      </c>
      <c r="P107">
        <v>21.03</v>
      </c>
      <c r="Q107">
        <v>20.73</v>
      </c>
      <c r="R107">
        <v>20.43</v>
      </c>
      <c r="S107">
        <v>20.13</v>
      </c>
      <c r="T107" t="s">
        <v>49</v>
      </c>
      <c r="U107">
        <v>1</v>
      </c>
      <c r="V107">
        <v>6</v>
      </c>
    </row>
    <row r="108" spans="1:36" x14ac:dyDescent="0.3">
      <c r="A108">
        <v>107</v>
      </c>
      <c r="B108">
        <v>3850</v>
      </c>
      <c r="C108" s="2">
        <v>35406</v>
      </c>
      <c r="D108">
        <v>29</v>
      </c>
      <c r="E108" t="s">
        <v>42</v>
      </c>
      <c r="F108" t="s">
        <v>50</v>
      </c>
      <c r="G108" s="2">
        <v>42139</v>
      </c>
      <c r="H108" s="3">
        <f t="shared" si="1"/>
        <v>10.638356164383561</v>
      </c>
      <c r="I108">
        <v>66</v>
      </c>
      <c r="J108" t="s">
        <v>57</v>
      </c>
      <c r="K108" t="s">
        <v>48</v>
      </c>
      <c r="L108" t="s">
        <v>44</v>
      </c>
      <c r="M108">
        <v>17.03</v>
      </c>
      <c r="N108">
        <v>16.73</v>
      </c>
      <c r="O108">
        <v>16.43</v>
      </c>
      <c r="P108">
        <v>16.13</v>
      </c>
      <c r="Q108">
        <v>15.83</v>
      </c>
      <c r="R108">
        <v>15.53</v>
      </c>
      <c r="S108">
        <v>15.23</v>
      </c>
      <c r="T108" t="s">
        <v>45</v>
      </c>
      <c r="U108">
        <v>1</v>
      </c>
      <c r="V108">
        <v>6</v>
      </c>
    </row>
    <row r="109" spans="1:36" x14ac:dyDescent="0.3">
      <c r="A109">
        <v>108</v>
      </c>
      <c r="B109">
        <v>3851</v>
      </c>
      <c r="C109" s="2">
        <v>34686</v>
      </c>
      <c r="D109">
        <v>31</v>
      </c>
      <c r="E109" t="s">
        <v>42</v>
      </c>
      <c r="F109" t="s">
        <v>37</v>
      </c>
      <c r="G109" s="2">
        <v>42139</v>
      </c>
      <c r="H109" s="3">
        <f t="shared" si="1"/>
        <v>10.638356164383561</v>
      </c>
      <c r="I109">
        <v>66</v>
      </c>
      <c r="J109" t="s">
        <v>57</v>
      </c>
      <c r="K109" t="s">
        <v>48</v>
      </c>
      <c r="L109" t="s">
        <v>44</v>
      </c>
      <c r="M109">
        <v>17.03</v>
      </c>
      <c r="N109">
        <v>16.73</v>
      </c>
      <c r="O109">
        <v>16.43</v>
      </c>
      <c r="P109">
        <v>16.13</v>
      </c>
      <c r="Q109">
        <v>15.83</v>
      </c>
      <c r="R109">
        <v>15.53</v>
      </c>
      <c r="S109">
        <v>15.23</v>
      </c>
      <c r="T109" t="s">
        <v>47</v>
      </c>
      <c r="U109">
        <v>2</v>
      </c>
      <c r="V109">
        <v>4</v>
      </c>
    </row>
    <row r="110" spans="1:36" x14ac:dyDescent="0.3">
      <c r="A110">
        <v>109</v>
      </c>
      <c r="B110">
        <v>3882</v>
      </c>
      <c r="C110" s="2">
        <v>27681</v>
      </c>
      <c r="D110">
        <v>50</v>
      </c>
      <c r="E110" t="s">
        <v>42</v>
      </c>
      <c r="F110" t="s">
        <v>37</v>
      </c>
      <c r="G110" s="2">
        <v>42139</v>
      </c>
      <c r="H110" s="3">
        <f t="shared" si="1"/>
        <v>10.638356164383561</v>
      </c>
      <c r="I110">
        <v>5</v>
      </c>
      <c r="J110" t="s">
        <v>38</v>
      </c>
      <c r="K110" t="s">
        <v>39</v>
      </c>
      <c r="L110" t="s">
        <v>40</v>
      </c>
      <c r="M110">
        <v>84857</v>
      </c>
      <c r="N110">
        <v>83357</v>
      </c>
      <c r="O110">
        <v>81857</v>
      </c>
      <c r="P110">
        <v>80357</v>
      </c>
      <c r="Q110">
        <v>78857</v>
      </c>
      <c r="R110">
        <v>77357</v>
      </c>
      <c r="S110">
        <v>75857</v>
      </c>
      <c r="T110" t="s">
        <v>66</v>
      </c>
      <c r="U110">
        <v>3</v>
      </c>
      <c r="V110">
        <v>4</v>
      </c>
      <c r="W110">
        <v>5</v>
      </c>
      <c r="X110" s="2">
        <v>42465</v>
      </c>
      <c r="Y110" t="s">
        <v>62</v>
      </c>
      <c r="AD110">
        <v>2</v>
      </c>
      <c r="AE110">
        <v>3</v>
      </c>
      <c r="AF110">
        <v>5</v>
      </c>
      <c r="AG110">
        <v>5</v>
      </c>
      <c r="AH110">
        <v>3</v>
      </c>
      <c r="AI110">
        <v>2</v>
      </c>
      <c r="AJ110">
        <v>3</v>
      </c>
    </row>
    <row r="111" spans="1:36" x14ac:dyDescent="0.3">
      <c r="A111">
        <v>110</v>
      </c>
      <c r="B111">
        <v>3883</v>
      </c>
      <c r="C111" s="2">
        <v>32359</v>
      </c>
      <c r="D111">
        <v>37</v>
      </c>
      <c r="E111" t="s">
        <v>36</v>
      </c>
      <c r="F111" t="s">
        <v>50</v>
      </c>
      <c r="G111" s="2">
        <v>42139</v>
      </c>
      <c r="H111" s="3">
        <f t="shared" si="1"/>
        <v>10.638356164383561</v>
      </c>
      <c r="I111">
        <v>2</v>
      </c>
      <c r="J111" t="s">
        <v>38</v>
      </c>
      <c r="K111" t="s">
        <v>39</v>
      </c>
      <c r="L111" t="s">
        <v>40</v>
      </c>
      <c r="M111">
        <v>87176</v>
      </c>
      <c r="N111">
        <v>84176</v>
      </c>
      <c r="O111">
        <v>81176</v>
      </c>
      <c r="P111">
        <v>78176</v>
      </c>
      <c r="Q111">
        <v>75176</v>
      </c>
      <c r="R111">
        <v>67676</v>
      </c>
      <c r="S111">
        <v>65426</v>
      </c>
      <c r="T111" t="s">
        <v>67</v>
      </c>
      <c r="U111">
        <v>0</v>
      </c>
      <c r="V111">
        <v>4</v>
      </c>
      <c r="W111">
        <v>5</v>
      </c>
      <c r="X111" s="2">
        <v>42516</v>
      </c>
      <c r="Y111" t="s">
        <v>69</v>
      </c>
      <c r="Z111" s="2">
        <v>43047</v>
      </c>
      <c r="AA111" t="s">
        <v>59</v>
      </c>
      <c r="AB111" s="2">
        <v>43985</v>
      </c>
      <c r="AC111" t="s">
        <v>62</v>
      </c>
      <c r="AD111">
        <v>5</v>
      </c>
      <c r="AE111">
        <v>5</v>
      </c>
      <c r="AF111">
        <v>5</v>
      </c>
      <c r="AG111">
        <v>5</v>
      </c>
      <c r="AH111">
        <v>5</v>
      </c>
      <c r="AI111">
        <v>5</v>
      </c>
      <c r="AJ111">
        <v>5</v>
      </c>
    </row>
    <row r="112" spans="1:36" x14ac:dyDescent="0.3">
      <c r="A112">
        <v>111</v>
      </c>
      <c r="B112">
        <v>3889</v>
      </c>
      <c r="C112" s="2">
        <v>34918</v>
      </c>
      <c r="D112">
        <v>30</v>
      </c>
      <c r="E112" t="s">
        <v>36</v>
      </c>
      <c r="F112" t="s">
        <v>50</v>
      </c>
      <c r="G112" s="2">
        <v>42139</v>
      </c>
      <c r="H112" s="3">
        <f t="shared" si="1"/>
        <v>10.638356164383561</v>
      </c>
      <c r="I112">
        <v>67</v>
      </c>
      <c r="J112" t="s">
        <v>57</v>
      </c>
      <c r="K112" t="s">
        <v>65</v>
      </c>
      <c r="L112" t="s">
        <v>44</v>
      </c>
      <c r="M112">
        <v>11.87</v>
      </c>
      <c r="N112">
        <v>11.67</v>
      </c>
      <c r="O112">
        <v>11.67</v>
      </c>
      <c r="P112">
        <v>11.5</v>
      </c>
      <c r="Q112">
        <v>11.21</v>
      </c>
      <c r="R112">
        <v>10.97</v>
      </c>
      <c r="S112">
        <v>10.68</v>
      </c>
      <c r="T112" t="s">
        <v>47</v>
      </c>
      <c r="U112">
        <v>0</v>
      </c>
      <c r="V112">
        <v>3</v>
      </c>
    </row>
    <row r="113" spans="1:36" x14ac:dyDescent="0.3">
      <c r="A113">
        <v>112</v>
      </c>
      <c r="B113">
        <v>3898</v>
      </c>
      <c r="C113" s="2">
        <v>26646</v>
      </c>
      <c r="D113">
        <v>53</v>
      </c>
      <c r="E113" t="s">
        <v>36</v>
      </c>
      <c r="F113" t="s">
        <v>50</v>
      </c>
      <c r="G113" s="2">
        <v>42139</v>
      </c>
      <c r="H113" s="3">
        <f t="shared" si="1"/>
        <v>10.638356164383561</v>
      </c>
      <c r="I113">
        <v>67</v>
      </c>
      <c r="J113" t="s">
        <v>57</v>
      </c>
      <c r="K113" t="s">
        <v>51</v>
      </c>
      <c r="L113" t="s">
        <v>44</v>
      </c>
      <c r="M113">
        <v>27.19</v>
      </c>
      <c r="N113">
        <v>26.92</v>
      </c>
      <c r="O113">
        <v>26.69</v>
      </c>
      <c r="P113">
        <v>26.53</v>
      </c>
      <c r="Q113">
        <v>26.16</v>
      </c>
      <c r="R113">
        <v>25.74</v>
      </c>
      <c r="S113">
        <v>25.74</v>
      </c>
      <c r="T113" t="s">
        <v>49</v>
      </c>
      <c r="U113">
        <v>0</v>
      </c>
      <c r="V113">
        <v>4</v>
      </c>
    </row>
    <row r="114" spans="1:36" x14ac:dyDescent="0.3">
      <c r="A114">
        <v>113</v>
      </c>
      <c r="B114">
        <v>3899</v>
      </c>
      <c r="C114" s="2">
        <v>30979</v>
      </c>
      <c r="D114">
        <v>41</v>
      </c>
      <c r="E114" t="s">
        <v>36</v>
      </c>
      <c r="F114" t="s">
        <v>50</v>
      </c>
      <c r="G114" s="2">
        <v>42139</v>
      </c>
      <c r="H114" s="3">
        <f t="shared" si="1"/>
        <v>10.638356164383561</v>
      </c>
      <c r="I114">
        <v>67</v>
      </c>
      <c r="J114" t="s">
        <v>57</v>
      </c>
      <c r="K114" t="s">
        <v>51</v>
      </c>
      <c r="L114" t="s">
        <v>44</v>
      </c>
      <c r="M114">
        <v>36.82</v>
      </c>
      <c r="N114">
        <v>36.57</v>
      </c>
      <c r="O114">
        <v>36.159999999999997</v>
      </c>
      <c r="P114">
        <v>35.99</v>
      </c>
      <c r="Q114">
        <v>35.78</v>
      </c>
      <c r="R114">
        <v>35.590000000000003</v>
      </c>
      <c r="S114">
        <v>35.229999999999997</v>
      </c>
      <c r="T114" t="s">
        <v>47</v>
      </c>
      <c r="U114">
        <v>0</v>
      </c>
      <c r="V114">
        <v>2</v>
      </c>
    </row>
    <row r="115" spans="1:36" x14ac:dyDescent="0.3">
      <c r="A115">
        <v>114</v>
      </c>
      <c r="B115">
        <v>3903</v>
      </c>
      <c r="C115" s="2">
        <v>31820</v>
      </c>
      <c r="D115">
        <v>38</v>
      </c>
      <c r="E115" t="s">
        <v>36</v>
      </c>
      <c r="F115" t="s">
        <v>50</v>
      </c>
      <c r="G115" s="2">
        <v>42139</v>
      </c>
      <c r="H115" s="3">
        <f t="shared" si="1"/>
        <v>10.638356164383561</v>
      </c>
      <c r="I115">
        <v>67</v>
      </c>
      <c r="J115" t="s">
        <v>57</v>
      </c>
      <c r="K115" t="s">
        <v>54</v>
      </c>
      <c r="L115" t="s">
        <v>44</v>
      </c>
      <c r="M115">
        <v>17.52</v>
      </c>
      <c r="N115">
        <v>17.350000000000001</v>
      </c>
      <c r="O115">
        <v>16.98</v>
      </c>
      <c r="P115">
        <v>16.55</v>
      </c>
      <c r="Q115">
        <v>16.309999999999999</v>
      </c>
      <c r="R115">
        <v>15.99</v>
      </c>
      <c r="S115">
        <v>15.55</v>
      </c>
      <c r="T115" t="s">
        <v>49</v>
      </c>
      <c r="U115">
        <v>3</v>
      </c>
      <c r="V115">
        <v>5</v>
      </c>
    </row>
    <row r="116" spans="1:36" x14ac:dyDescent="0.3">
      <c r="A116">
        <v>115</v>
      </c>
      <c r="B116">
        <v>3906</v>
      </c>
      <c r="C116" s="2">
        <v>31190</v>
      </c>
      <c r="D116">
        <v>40</v>
      </c>
      <c r="E116" t="s">
        <v>42</v>
      </c>
      <c r="F116" t="s">
        <v>37</v>
      </c>
      <c r="G116" s="2">
        <v>42139</v>
      </c>
      <c r="H116" s="3">
        <f t="shared" si="1"/>
        <v>10.638356164383561</v>
      </c>
      <c r="I116">
        <v>67</v>
      </c>
      <c r="J116" t="s">
        <v>57</v>
      </c>
      <c r="K116" t="s">
        <v>55</v>
      </c>
      <c r="L116" t="s">
        <v>44</v>
      </c>
      <c r="M116">
        <v>13.13</v>
      </c>
      <c r="N116">
        <v>12.85</v>
      </c>
      <c r="O116">
        <v>12.4</v>
      </c>
      <c r="P116">
        <v>12.21</v>
      </c>
      <c r="Q116">
        <v>12.04</v>
      </c>
      <c r="R116">
        <v>12.04</v>
      </c>
      <c r="S116">
        <v>11.73</v>
      </c>
      <c r="T116" t="s">
        <v>49</v>
      </c>
      <c r="U116">
        <v>1</v>
      </c>
      <c r="V116">
        <v>6</v>
      </c>
    </row>
    <row r="117" spans="1:36" x14ac:dyDescent="0.3">
      <c r="A117">
        <v>116</v>
      </c>
      <c r="B117">
        <v>3928</v>
      </c>
      <c r="C117" s="2">
        <v>33532</v>
      </c>
      <c r="D117">
        <v>34</v>
      </c>
      <c r="E117" t="s">
        <v>42</v>
      </c>
      <c r="F117" t="s">
        <v>50</v>
      </c>
      <c r="G117" s="2">
        <v>42139</v>
      </c>
      <c r="H117" s="3">
        <f t="shared" si="1"/>
        <v>10.638356164383561</v>
      </c>
      <c r="I117">
        <v>58</v>
      </c>
      <c r="J117" t="s">
        <v>38</v>
      </c>
      <c r="K117" t="s">
        <v>39</v>
      </c>
      <c r="L117" t="s">
        <v>40</v>
      </c>
      <c r="M117">
        <v>70154</v>
      </c>
      <c r="N117">
        <v>70154</v>
      </c>
      <c r="O117">
        <v>67961</v>
      </c>
      <c r="P117">
        <v>65909</v>
      </c>
      <c r="Q117">
        <v>64409</v>
      </c>
      <c r="R117">
        <v>62159</v>
      </c>
      <c r="S117">
        <v>59909</v>
      </c>
      <c r="T117" t="s">
        <v>61</v>
      </c>
      <c r="U117">
        <v>2</v>
      </c>
      <c r="V117">
        <v>6</v>
      </c>
      <c r="W117">
        <v>5</v>
      </c>
      <c r="X117" s="2">
        <v>42750</v>
      </c>
      <c r="Y117" t="s">
        <v>69</v>
      </c>
      <c r="Z117" s="2">
        <v>43123</v>
      </c>
      <c r="AA117" t="s">
        <v>59</v>
      </c>
      <c r="AB117" s="2">
        <v>44238</v>
      </c>
      <c r="AC117" t="s">
        <v>62</v>
      </c>
      <c r="AD117">
        <v>3</v>
      </c>
      <c r="AE117">
        <v>4</v>
      </c>
      <c r="AF117">
        <v>3</v>
      </c>
      <c r="AG117">
        <v>3</v>
      </c>
      <c r="AH117">
        <v>5</v>
      </c>
      <c r="AI117">
        <v>4</v>
      </c>
      <c r="AJ117">
        <v>4</v>
      </c>
    </row>
    <row r="118" spans="1:36" x14ac:dyDescent="0.3">
      <c r="A118">
        <v>117</v>
      </c>
      <c r="B118">
        <v>4018</v>
      </c>
      <c r="C118" s="2">
        <v>32729</v>
      </c>
      <c r="D118">
        <v>36</v>
      </c>
      <c r="E118" t="s">
        <v>36</v>
      </c>
      <c r="F118" t="s">
        <v>37</v>
      </c>
      <c r="G118" s="2">
        <v>42139</v>
      </c>
      <c r="H118" s="3">
        <f t="shared" si="1"/>
        <v>10.638356164383561</v>
      </c>
      <c r="I118">
        <v>65</v>
      </c>
      <c r="J118" t="s">
        <v>38</v>
      </c>
      <c r="K118" t="s">
        <v>39</v>
      </c>
      <c r="L118" t="s">
        <v>40</v>
      </c>
      <c r="M118">
        <v>64333</v>
      </c>
      <c r="N118">
        <v>64333</v>
      </c>
      <c r="O118">
        <v>63583</v>
      </c>
      <c r="P118">
        <v>62833</v>
      </c>
      <c r="Q118">
        <v>60583</v>
      </c>
      <c r="R118">
        <v>59083</v>
      </c>
      <c r="S118">
        <v>57583</v>
      </c>
      <c r="T118" t="s">
        <v>70</v>
      </c>
      <c r="U118">
        <v>0</v>
      </c>
      <c r="V118">
        <v>3</v>
      </c>
      <c r="W118">
        <v>2</v>
      </c>
      <c r="X118" s="2">
        <v>42588</v>
      </c>
      <c r="Y118" t="s">
        <v>69</v>
      </c>
      <c r="Z118" s="2">
        <v>42922</v>
      </c>
      <c r="AA118" t="s">
        <v>59</v>
      </c>
      <c r="AB118" s="2">
        <v>44435</v>
      </c>
      <c r="AC118" t="s">
        <v>62</v>
      </c>
      <c r="AD118">
        <v>4</v>
      </c>
      <c r="AE118">
        <v>5</v>
      </c>
      <c r="AF118">
        <v>4</v>
      </c>
      <c r="AG118">
        <v>3</v>
      </c>
      <c r="AH118">
        <v>5</v>
      </c>
      <c r="AI118">
        <v>3</v>
      </c>
      <c r="AJ118">
        <v>4</v>
      </c>
    </row>
    <row r="119" spans="1:36" x14ac:dyDescent="0.3">
      <c r="A119">
        <v>118</v>
      </c>
      <c r="B119">
        <v>4025</v>
      </c>
      <c r="C119" s="2">
        <v>34556</v>
      </c>
      <c r="D119">
        <v>31</v>
      </c>
      <c r="E119" t="s">
        <v>42</v>
      </c>
      <c r="F119" t="s">
        <v>50</v>
      </c>
      <c r="G119" s="2">
        <v>42139</v>
      </c>
      <c r="H119" s="3">
        <f t="shared" si="1"/>
        <v>10.638356164383561</v>
      </c>
      <c r="I119">
        <v>70</v>
      </c>
      <c r="J119" t="s">
        <v>57</v>
      </c>
      <c r="K119" t="s">
        <v>43</v>
      </c>
      <c r="L119" t="s">
        <v>44</v>
      </c>
      <c r="M119">
        <v>12.87</v>
      </c>
      <c r="N119">
        <v>12.62</v>
      </c>
      <c r="O119">
        <v>12.2</v>
      </c>
      <c r="P119">
        <v>11.9</v>
      </c>
      <c r="Q119">
        <v>11.58</v>
      </c>
      <c r="R119">
        <v>11.17</v>
      </c>
      <c r="S119">
        <v>10.96</v>
      </c>
      <c r="T119" t="s">
        <v>47</v>
      </c>
      <c r="U119">
        <v>2</v>
      </c>
      <c r="V119">
        <v>4</v>
      </c>
    </row>
    <row r="120" spans="1:36" x14ac:dyDescent="0.3">
      <c r="A120">
        <v>119</v>
      </c>
      <c r="B120">
        <v>4120</v>
      </c>
      <c r="C120" s="2">
        <v>34657</v>
      </c>
      <c r="D120">
        <v>31</v>
      </c>
      <c r="E120" t="s">
        <v>42</v>
      </c>
      <c r="F120" t="s">
        <v>50</v>
      </c>
      <c r="G120" s="2">
        <v>42139</v>
      </c>
      <c r="H120" s="3">
        <f t="shared" si="1"/>
        <v>10.638356164383561</v>
      </c>
      <c r="I120">
        <v>72</v>
      </c>
      <c r="J120" t="s">
        <v>57</v>
      </c>
      <c r="K120" t="s">
        <v>48</v>
      </c>
      <c r="L120" t="s">
        <v>44</v>
      </c>
      <c r="M120">
        <v>17.03</v>
      </c>
      <c r="N120">
        <v>16.73</v>
      </c>
      <c r="O120">
        <v>16.43</v>
      </c>
      <c r="P120">
        <v>16.13</v>
      </c>
      <c r="Q120">
        <v>15.83</v>
      </c>
      <c r="R120">
        <v>15.53</v>
      </c>
      <c r="S120">
        <v>15.23</v>
      </c>
      <c r="T120" t="s">
        <v>47</v>
      </c>
      <c r="U120">
        <v>2</v>
      </c>
      <c r="V120">
        <v>6</v>
      </c>
    </row>
    <row r="121" spans="1:36" x14ac:dyDescent="0.3">
      <c r="A121">
        <v>120</v>
      </c>
      <c r="B121">
        <v>4242</v>
      </c>
      <c r="C121" s="2">
        <v>22356</v>
      </c>
      <c r="D121">
        <v>64</v>
      </c>
      <c r="E121" t="s">
        <v>36</v>
      </c>
      <c r="F121" t="s">
        <v>37</v>
      </c>
      <c r="G121" s="2">
        <v>42139</v>
      </c>
      <c r="H121" s="3">
        <f t="shared" si="1"/>
        <v>10.638356164383561</v>
      </c>
      <c r="I121">
        <v>19</v>
      </c>
      <c r="J121" t="s">
        <v>38</v>
      </c>
      <c r="K121" t="s">
        <v>39</v>
      </c>
      <c r="L121" t="s">
        <v>40</v>
      </c>
      <c r="M121">
        <v>81246</v>
      </c>
      <c r="N121">
        <v>80106</v>
      </c>
      <c r="O121">
        <v>78878</v>
      </c>
      <c r="P121">
        <v>78878</v>
      </c>
      <c r="Q121">
        <v>76900</v>
      </c>
      <c r="R121">
        <v>75306</v>
      </c>
      <c r="S121">
        <v>74239</v>
      </c>
      <c r="T121" t="s">
        <v>67</v>
      </c>
      <c r="U121">
        <v>1</v>
      </c>
      <c r="V121">
        <v>3</v>
      </c>
      <c r="W121">
        <v>3</v>
      </c>
      <c r="X121" s="2">
        <v>42614</v>
      </c>
      <c r="Y121" t="s">
        <v>62</v>
      </c>
      <c r="AD121">
        <v>4</v>
      </c>
      <c r="AE121">
        <v>5</v>
      </c>
      <c r="AF121">
        <v>4</v>
      </c>
      <c r="AG121">
        <v>4</v>
      </c>
      <c r="AH121">
        <v>4</v>
      </c>
      <c r="AI121">
        <v>2</v>
      </c>
      <c r="AJ121">
        <v>4</v>
      </c>
    </row>
    <row r="122" spans="1:36" x14ac:dyDescent="0.3">
      <c r="A122">
        <v>121</v>
      </c>
      <c r="B122">
        <v>4243</v>
      </c>
      <c r="C122" s="2">
        <v>33028</v>
      </c>
      <c r="D122">
        <v>35</v>
      </c>
      <c r="E122" t="s">
        <v>36</v>
      </c>
      <c r="F122" t="s">
        <v>50</v>
      </c>
      <c r="G122" s="2">
        <v>42139</v>
      </c>
      <c r="H122" s="3">
        <f t="shared" si="1"/>
        <v>10.638356164383561</v>
      </c>
      <c r="I122">
        <v>11</v>
      </c>
      <c r="J122" t="s">
        <v>38</v>
      </c>
      <c r="K122" t="s">
        <v>39</v>
      </c>
      <c r="L122" t="s">
        <v>40</v>
      </c>
      <c r="M122">
        <v>59199</v>
      </c>
      <c r="N122">
        <v>58449</v>
      </c>
      <c r="O122">
        <v>58449</v>
      </c>
      <c r="P122">
        <v>57699</v>
      </c>
      <c r="Q122">
        <v>56949</v>
      </c>
      <c r="R122">
        <v>54699</v>
      </c>
      <c r="S122">
        <v>53199</v>
      </c>
      <c r="T122" t="s">
        <v>70</v>
      </c>
      <c r="U122">
        <v>0</v>
      </c>
      <c r="V122">
        <v>4</v>
      </c>
      <c r="W122">
        <v>2</v>
      </c>
      <c r="X122" s="2">
        <v>42685</v>
      </c>
      <c r="Y122" t="s">
        <v>69</v>
      </c>
      <c r="Z122" s="2">
        <v>42794</v>
      </c>
      <c r="AA122" t="s">
        <v>59</v>
      </c>
      <c r="AB122" s="2">
        <v>44024</v>
      </c>
      <c r="AC122" t="s">
        <v>62</v>
      </c>
      <c r="AD122">
        <v>4</v>
      </c>
      <c r="AE122">
        <v>4</v>
      </c>
      <c r="AF122">
        <v>3</v>
      </c>
      <c r="AG122">
        <v>5</v>
      </c>
      <c r="AH122">
        <v>5</v>
      </c>
      <c r="AI122">
        <v>4</v>
      </c>
      <c r="AJ122">
        <v>3</v>
      </c>
    </row>
    <row r="123" spans="1:36" x14ac:dyDescent="0.3">
      <c r="A123">
        <v>122</v>
      </c>
      <c r="B123">
        <v>4423</v>
      </c>
      <c r="C123" s="2">
        <v>33086</v>
      </c>
      <c r="D123">
        <v>36</v>
      </c>
      <c r="E123" t="s">
        <v>42</v>
      </c>
      <c r="F123" t="s">
        <v>37</v>
      </c>
      <c r="G123" s="2">
        <v>42139</v>
      </c>
      <c r="H123" s="3">
        <f t="shared" si="1"/>
        <v>10.638356164383561</v>
      </c>
      <c r="I123">
        <v>30</v>
      </c>
      <c r="J123" t="s">
        <v>38</v>
      </c>
      <c r="K123" t="s">
        <v>39</v>
      </c>
      <c r="L123" t="s">
        <v>40</v>
      </c>
      <c r="M123">
        <v>58699</v>
      </c>
      <c r="N123">
        <v>57199</v>
      </c>
      <c r="O123">
        <v>55699</v>
      </c>
      <c r="P123">
        <v>54949</v>
      </c>
      <c r="Q123">
        <v>53449</v>
      </c>
      <c r="R123">
        <v>52699</v>
      </c>
      <c r="S123">
        <v>52699</v>
      </c>
      <c r="T123" t="s">
        <v>61</v>
      </c>
      <c r="U123">
        <v>2</v>
      </c>
      <c r="V123">
        <v>4</v>
      </c>
      <c r="W123">
        <v>4</v>
      </c>
      <c r="X123" s="2">
        <v>42665</v>
      </c>
      <c r="Y123" t="s">
        <v>69</v>
      </c>
      <c r="Z123" s="2">
        <v>42994</v>
      </c>
      <c r="AA123" t="s">
        <v>59</v>
      </c>
      <c r="AB123" s="2">
        <v>43192</v>
      </c>
      <c r="AC123" t="s">
        <v>62</v>
      </c>
      <c r="AD123">
        <v>3</v>
      </c>
      <c r="AE123">
        <v>3</v>
      </c>
      <c r="AF123">
        <v>3</v>
      </c>
      <c r="AG123">
        <v>2</v>
      </c>
      <c r="AH123">
        <v>3</v>
      </c>
      <c r="AI123">
        <v>2</v>
      </c>
      <c r="AJ123">
        <v>1</v>
      </c>
    </row>
    <row r="124" spans="1:36" x14ac:dyDescent="0.3">
      <c r="A124">
        <v>123</v>
      </c>
      <c r="B124">
        <v>4430</v>
      </c>
      <c r="C124" s="2">
        <v>33313</v>
      </c>
      <c r="D124">
        <v>34</v>
      </c>
      <c r="E124" t="s">
        <v>42</v>
      </c>
      <c r="F124" t="s">
        <v>50</v>
      </c>
      <c r="G124" s="2">
        <v>42139</v>
      </c>
      <c r="H124" s="3">
        <f t="shared" si="1"/>
        <v>10.638356164383561</v>
      </c>
      <c r="I124">
        <v>79</v>
      </c>
      <c r="J124" t="s">
        <v>57</v>
      </c>
      <c r="K124" t="s">
        <v>43</v>
      </c>
      <c r="L124" t="s">
        <v>44</v>
      </c>
      <c r="M124">
        <v>15.81</v>
      </c>
      <c r="N124">
        <v>15.51</v>
      </c>
      <c r="O124">
        <v>15.21</v>
      </c>
      <c r="P124">
        <v>14.91</v>
      </c>
      <c r="Q124">
        <v>14.61</v>
      </c>
      <c r="R124">
        <v>14.31</v>
      </c>
      <c r="S124">
        <v>14.01</v>
      </c>
      <c r="T124" t="s">
        <v>49</v>
      </c>
      <c r="U124">
        <v>1</v>
      </c>
      <c r="V124">
        <v>4</v>
      </c>
    </row>
    <row r="125" spans="1:36" x14ac:dyDescent="0.3">
      <c r="A125">
        <v>124</v>
      </c>
      <c r="B125">
        <v>4433</v>
      </c>
      <c r="C125" s="2">
        <v>31297</v>
      </c>
      <c r="D125">
        <v>40</v>
      </c>
      <c r="E125" t="s">
        <v>36</v>
      </c>
      <c r="F125" t="s">
        <v>50</v>
      </c>
      <c r="G125" s="2">
        <v>42139</v>
      </c>
      <c r="H125" s="3">
        <f t="shared" si="1"/>
        <v>10.638356164383561</v>
      </c>
      <c r="I125">
        <v>79</v>
      </c>
      <c r="J125" t="s">
        <v>57</v>
      </c>
      <c r="K125" t="s">
        <v>46</v>
      </c>
      <c r="L125" t="s">
        <v>44</v>
      </c>
      <c r="M125">
        <v>14.1</v>
      </c>
      <c r="N125">
        <v>13.8</v>
      </c>
      <c r="O125">
        <v>13.5</v>
      </c>
      <c r="P125">
        <v>13.2</v>
      </c>
      <c r="Q125">
        <v>12.9</v>
      </c>
      <c r="R125">
        <v>12.6</v>
      </c>
      <c r="S125">
        <v>12.3</v>
      </c>
      <c r="T125" t="s">
        <v>47</v>
      </c>
      <c r="U125">
        <v>0</v>
      </c>
      <c r="V125">
        <v>2</v>
      </c>
    </row>
    <row r="126" spans="1:36" x14ac:dyDescent="0.3">
      <c r="A126">
        <v>125</v>
      </c>
      <c r="B126">
        <v>4475</v>
      </c>
      <c r="C126" s="2">
        <v>34310</v>
      </c>
      <c r="D126">
        <v>32</v>
      </c>
      <c r="E126" t="s">
        <v>42</v>
      </c>
      <c r="F126" t="s">
        <v>50</v>
      </c>
      <c r="G126" s="2">
        <v>42139</v>
      </c>
      <c r="H126" s="3">
        <f t="shared" si="1"/>
        <v>10.638356164383561</v>
      </c>
      <c r="I126">
        <v>80</v>
      </c>
      <c r="J126" t="s">
        <v>57</v>
      </c>
      <c r="K126" t="s">
        <v>43</v>
      </c>
      <c r="L126" t="s">
        <v>44</v>
      </c>
      <c r="M126">
        <v>15.81</v>
      </c>
      <c r="N126">
        <v>15.51</v>
      </c>
      <c r="O126">
        <v>15.21</v>
      </c>
      <c r="P126">
        <v>14.91</v>
      </c>
      <c r="Q126">
        <v>14.61</v>
      </c>
      <c r="R126">
        <v>14.31</v>
      </c>
      <c r="S126">
        <v>14.01</v>
      </c>
      <c r="T126" t="s">
        <v>45</v>
      </c>
      <c r="U126">
        <v>0</v>
      </c>
      <c r="V126">
        <v>6</v>
      </c>
    </row>
    <row r="127" spans="1:36" x14ac:dyDescent="0.3">
      <c r="A127">
        <v>126</v>
      </c>
      <c r="B127">
        <v>4512</v>
      </c>
      <c r="C127" s="2">
        <v>28982</v>
      </c>
      <c r="D127">
        <v>46</v>
      </c>
      <c r="E127" t="s">
        <v>36</v>
      </c>
      <c r="F127" t="s">
        <v>37</v>
      </c>
      <c r="G127" s="2">
        <v>42139</v>
      </c>
      <c r="H127" s="3">
        <f t="shared" si="1"/>
        <v>10.638356164383561</v>
      </c>
      <c r="I127">
        <v>32</v>
      </c>
      <c r="J127" t="s">
        <v>38</v>
      </c>
      <c r="K127" t="s">
        <v>39</v>
      </c>
      <c r="L127" t="s">
        <v>40</v>
      </c>
      <c r="M127">
        <v>87381</v>
      </c>
      <c r="N127">
        <v>85131</v>
      </c>
      <c r="O127">
        <v>82881</v>
      </c>
      <c r="P127">
        <v>80631</v>
      </c>
      <c r="Q127">
        <v>78381</v>
      </c>
      <c r="R127">
        <v>76131</v>
      </c>
      <c r="S127">
        <v>73881</v>
      </c>
      <c r="T127" t="s">
        <v>71</v>
      </c>
      <c r="U127">
        <v>2</v>
      </c>
      <c r="V127">
        <v>3</v>
      </c>
      <c r="W127">
        <v>2</v>
      </c>
      <c r="X127" s="2">
        <v>42564</v>
      </c>
      <c r="Y127" t="s">
        <v>62</v>
      </c>
      <c r="AD127">
        <v>4</v>
      </c>
      <c r="AE127">
        <v>4</v>
      </c>
      <c r="AF127">
        <v>4</v>
      </c>
      <c r="AG127">
        <v>4</v>
      </c>
      <c r="AH127">
        <v>4</v>
      </c>
      <c r="AI127">
        <v>4</v>
      </c>
      <c r="AJ127">
        <v>4</v>
      </c>
    </row>
    <row r="128" spans="1:36" x14ac:dyDescent="0.3">
      <c r="A128">
        <v>127</v>
      </c>
      <c r="B128">
        <v>4580</v>
      </c>
      <c r="C128" s="2">
        <v>33966</v>
      </c>
      <c r="D128">
        <v>33</v>
      </c>
      <c r="E128" t="s">
        <v>36</v>
      </c>
      <c r="F128" t="s">
        <v>50</v>
      </c>
      <c r="G128" s="2">
        <v>42139</v>
      </c>
      <c r="H128" s="3">
        <f t="shared" si="1"/>
        <v>10.638356164383561</v>
      </c>
      <c r="I128">
        <v>82</v>
      </c>
      <c r="J128" t="s">
        <v>57</v>
      </c>
      <c r="K128" t="s">
        <v>55</v>
      </c>
      <c r="L128" t="s">
        <v>44</v>
      </c>
      <c r="M128">
        <v>16.78</v>
      </c>
      <c r="N128">
        <v>16.48</v>
      </c>
      <c r="O128">
        <v>16.18</v>
      </c>
      <c r="P128">
        <v>15.88</v>
      </c>
      <c r="Q128">
        <v>15.58</v>
      </c>
      <c r="R128">
        <v>15.28</v>
      </c>
      <c r="S128">
        <v>14.98</v>
      </c>
      <c r="T128" t="s">
        <v>47</v>
      </c>
      <c r="U128">
        <v>0</v>
      </c>
      <c r="V128">
        <v>4</v>
      </c>
    </row>
    <row r="129" spans="1:36" x14ac:dyDescent="0.3">
      <c r="A129">
        <v>128</v>
      </c>
      <c r="B129">
        <v>4647</v>
      </c>
      <c r="C129" s="2">
        <v>29993</v>
      </c>
      <c r="D129">
        <v>43</v>
      </c>
      <c r="E129" t="s">
        <v>36</v>
      </c>
      <c r="F129" t="s">
        <v>50</v>
      </c>
      <c r="G129" s="2">
        <v>42139</v>
      </c>
      <c r="H129" s="3">
        <f t="shared" si="1"/>
        <v>10.638356164383561</v>
      </c>
      <c r="I129">
        <v>36</v>
      </c>
      <c r="J129" t="s">
        <v>38</v>
      </c>
      <c r="K129" t="s">
        <v>39</v>
      </c>
      <c r="L129" t="s">
        <v>40</v>
      </c>
      <c r="M129">
        <v>86256</v>
      </c>
      <c r="N129">
        <v>84381</v>
      </c>
      <c r="O129">
        <v>82506</v>
      </c>
      <c r="P129">
        <v>80631</v>
      </c>
      <c r="Q129">
        <v>78756</v>
      </c>
      <c r="R129">
        <v>76881</v>
      </c>
      <c r="S129">
        <v>75006</v>
      </c>
      <c r="T129" t="s">
        <v>61</v>
      </c>
      <c r="U129">
        <v>1</v>
      </c>
      <c r="V129">
        <v>3</v>
      </c>
      <c r="W129">
        <v>3</v>
      </c>
      <c r="X129" s="2">
        <v>42725</v>
      </c>
      <c r="Y129" t="s">
        <v>62</v>
      </c>
      <c r="AD129">
        <v>4</v>
      </c>
      <c r="AE129">
        <v>4</v>
      </c>
      <c r="AF129">
        <v>4</v>
      </c>
      <c r="AG129">
        <v>4</v>
      </c>
      <c r="AH129">
        <v>4</v>
      </c>
      <c r="AI129">
        <v>4</v>
      </c>
      <c r="AJ129">
        <v>4</v>
      </c>
    </row>
    <row r="130" spans="1:36" x14ac:dyDescent="0.3">
      <c r="A130">
        <v>129</v>
      </c>
      <c r="B130">
        <v>4663</v>
      </c>
      <c r="C130" s="2">
        <v>30484</v>
      </c>
      <c r="D130">
        <v>42</v>
      </c>
      <c r="E130" t="s">
        <v>36</v>
      </c>
      <c r="F130" t="s">
        <v>50</v>
      </c>
      <c r="G130" s="2">
        <v>42139</v>
      </c>
      <c r="H130" s="3">
        <f t="shared" si="1"/>
        <v>10.638356164383561</v>
      </c>
      <c r="I130">
        <v>84</v>
      </c>
      <c r="J130" t="s">
        <v>57</v>
      </c>
      <c r="K130" t="s">
        <v>51</v>
      </c>
      <c r="L130" t="s">
        <v>44</v>
      </c>
      <c r="M130">
        <v>31.69</v>
      </c>
      <c r="N130">
        <v>31.39</v>
      </c>
      <c r="O130">
        <v>31.09</v>
      </c>
      <c r="P130">
        <v>30.79</v>
      </c>
      <c r="Q130">
        <v>30.49</v>
      </c>
      <c r="R130">
        <v>30.19</v>
      </c>
      <c r="S130">
        <v>29.89</v>
      </c>
      <c r="T130" t="s">
        <v>52</v>
      </c>
      <c r="U130">
        <v>0</v>
      </c>
      <c r="V130">
        <v>5</v>
      </c>
    </row>
    <row r="131" spans="1:36" x14ac:dyDescent="0.3">
      <c r="A131">
        <v>130</v>
      </c>
      <c r="B131">
        <v>4692</v>
      </c>
      <c r="C131" s="2">
        <v>22764</v>
      </c>
      <c r="D131">
        <v>63</v>
      </c>
      <c r="E131" t="s">
        <v>36</v>
      </c>
      <c r="F131" t="s">
        <v>50</v>
      </c>
      <c r="G131" s="2">
        <v>42139</v>
      </c>
      <c r="H131" s="3">
        <f t="shared" ref="H131:H194" si="2">DATEDIF(G132,DATE(2025,12,31),"d")/365</f>
        <v>10.638356164383561</v>
      </c>
      <c r="I131">
        <v>38</v>
      </c>
      <c r="J131" t="s">
        <v>38</v>
      </c>
      <c r="K131" t="s">
        <v>39</v>
      </c>
      <c r="L131" t="s">
        <v>40</v>
      </c>
      <c r="M131">
        <v>79881</v>
      </c>
      <c r="N131">
        <v>78381</v>
      </c>
      <c r="O131">
        <v>76881</v>
      </c>
      <c r="P131">
        <v>75381</v>
      </c>
      <c r="Q131">
        <v>73881</v>
      </c>
      <c r="R131">
        <v>72381</v>
      </c>
      <c r="S131">
        <v>70881</v>
      </c>
      <c r="T131" t="s">
        <v>61</v>
      </c>
      <c r="U131">
        <v>0</v>
      </c>
      <c r="V131">
        <v>3</v>
      </c>
      <c r="W131">
        <v>2</v>
      </c>
      <c r="X131" s="2">
        <v>42601</v>
      </c>
      <c r="Y131" t="s">
        <v>62</v>
      </c>
      <c r="AD131">
        <v>5</v>
      </c>
      <c r="AE131">
        <v>5</v>
      </c>
      <c r="AF131">
        <v>5</v>
      </c>
      <c r="AG131">
        <v>5</v>
      </c>
      <c r="AH131">
        <v>5</v>
      </c>
      <c r="AI131">
        <v>5</v>
      </c>
      <c r="AJ131">
        <v>4</v>
      </c>
    </row>
    <row r="132" spans="1:36" x14ac:dyDescent="0.3">
      <c r="A132">
        <v>131</v>
      </c>
      <c r="B132">
        <v>4693</v>
      </c>
      <c r="C132" s="2">
        <v>32542</v>
      </c>
      <c r="D132">
        <v>36</v>
      </c>
      <c r="E132" t="s">
        <v>42</v>
      </c>
      <c r="F132" t="s">
        <v>37</v>
      </c>
      <c r="G132" s="2">
        <v>42139</v>
      </c>
      <c r="H132" s="3">
        <f t="shared" si="2"/>
        <v>10.638356164383561</v>
      </c>
      <c r="I132">
        <v>35</v>
      </c>
      <c r="J132" t="s">
        <v>38</v>
      </c>
      <c r="K132" t="s">
        <v>39</v>
      </c>
      <c r="L132" t="s">
        <v>40</v>
      </c>
      <c r="M132">
        <v>64449</v>
      </c>
      <c r="N132">
        <v>62574</v>
      </c>
      <c r="O132">
        <v>61074</v>
      </c>
      <c r="P132">
        <v>60324</v>
      </c>
      <c r="Q132">
        <v>59199</v>
      </c>
      <c r="R132">
        <v>54699</v>
      </c>
      <c r="S132">
        <v>53199</v>
      </c>
      <c r="T132" t="s">
        <v>63</v>
      </c>
      <c r="U132">
        <v>2</v>
      </c>
      <c r="V132">
        <v>4</v>
      </c>
      <c r="W132">
        <v>4</v>
      </c>
      <c r="X132" s="2">
        <v>42632</v>
      </c>
      <c r="Y132" t="s">
        <v>69</v>
      </c>
      <c r="Z132" s="2">
        <v>43117</v>
      </c>
      <c r="AA132" t="s">
        <v>59</v>
      </c>
      <c r="AB132" s="2">
        <v>44037</v>
      </c>
      <c r="AC132" t="s">
        <v>62</v>
      </c>
      <c r="AD132">
        <v>5</v>
      </c>
      <c r="AE132">
        <v>4</v>
      </c>
      <c r="AF132">
        <v>3</v>
      </c>
      <c r="AG132">
        <v>1</v>
      </c>
      <c r="AH132">
        <v>2</v>
      </c>
      <c r="AI132">
        <v>3</v>
      </c>
      <c r="AJ132">
        <v>3</v>
      </c>
    </row>
    <row r="133" spans="1:36" x14ac:dyDescent="0.3">
      <c r="A133">
        <v>132</v>
      </c>
      <c r="B133">
        <v>4827</v>
      </c>
      <c r="C133" s="2">
        <v>31132</v>
      </c>
      <c r="D133">
        <v>40</v>
      </c>
      <c r="E133" t="s">
        <v>42</v>
      </c>
      <c r="F133" t="s">
        <v>50</v>
      </c>
      <c r="G133" s="2">
        <v>42139</v>
      </c>
      <c r="H133" s="3">
        <f t="shared" si="2"/>
        <v>10.638356164383561</v>
      </c>
      <c r="I133">
        <v>44</v>
      </c>
      <c r="J133" t="s">
        <v>38</v>
      </c>
      <c r="K133" t="s">
        <v>39</v>
      </c>
      <c r="L133" t="s">
        <v>40</v>
      </c>
      <c r="M133">
        <v>55411</v>
      </c>
      <c r="N133">
        <v>54661</v>
      </c>
      <c r="O133">
        <v>53911</v>
      </c>
      <c r="P133">
        <v>53911</v>
      </c>
      <c r="Q133">
        <v>53161</v>
      </c>
      <c r="R133">
        <v>52411</v>
      </c>
      <c r="S133">
        <v>51661</v>
      </c>
      <c r="T133" t="s">
        <v>67</v>
      </c>
      <c r="U133">
        <v>3</v>
      </c>
      <c r="V133">
        <v>6</v>
      </c>
      <c r="W133">
        <v>6</v>
      </c>
      <c r="X133" s="2">
        <v>42717</v>
      </c>
      <c r="Y133" t="s">
        <v>62</v>
      </c>
      <c r="AD133">
        <v>4</v>
      </c>
      <c r="AE133">
        <v>1</v>
      </c>
      <c r="AF133">
        <v>4</v>
      </c>
      <c r="AG133">
        <v>3</v>
      </c>
      <c r="AH133">
        <v>4</v>
      </c>
      <c r="AI133">
        <v>3</v>
      </c>
      <c r="AJ133">
        <v>3</v>
      </c>
    </row>
    <row r="134" spans="1:36" x14ac:dyDescent="0.3">
      <c r="A134">
        <v>133</v>
      </c>
      <c r="B134">
        <v>4872</v>
      </c>
      <c r="C134" s="2">
        <v>25787</v>
      </c>
      <c r="D134">
        <v>55</v>
      </c>
      <c r="E134" t="s">
        <v>36</v>
      </c>
      <c r="F134" t="s">
        <v>37</v>
      </c>
      <c r="G134" s="2">
        <v>42139</v>
      </c>
      <c r="H134" s="3">
        <f t="shared" si="2"/>
        <v>10.638356164383561</v>
      </c>
      <c r="I134">
        <v>45</v>
      </c>
      <c r="J134" t="s">
        <v>38</v>
      </c>
      <c r="K134" t="s">
        <v>39</v>
      </c>
      <c r="L134" t="s">
        <v>40</v>
      </c>
      <c r="M134">
        <v>96381</v>
      </c>
      <c r="N134">
        <v>93381</v>
      </c>
      <c r="O134">
        <v>90381</v>
      </c>
      <c r="P134">
        <v>87381</v>
      </c>
      <c r="Q134">
        <v>84381</v>
      </c>
      <c r="R134">
        <v>81381</v>
      </c>
      <c r="S134">
        <v>78381</v>
      </c>
      <c r="T134" t="s">
        <v>41</v>
      </c>
      <c r="U134">
        <v>2</v>
      </c>
      <c r="V134">
        <v>3</v>
      </c>
      <c r="W134">
        <v>5</v>
      </c>
      <c r="X134" s="2">
        <v>42693</v>
      </c>
      <c r="Y134" t="s">
        <v>62</v>
      </c>
      <c r="AD134">
        <v>5</v>
      </c>
      <c r="AE134">
        <v>5</v>
      </c>
      <c r="AF134">
        <v>5</v>
      </c>
      <c r="AG134">
        <v>5</v>
      </c>
      <c r="AH134">
        <v>5</v>
      </c>
      <c r="AI134">
        <v>5</v>
      </c>
      <c r="AJ134">
        <v>5</v>
      </c>
    </row>
    <row r="135" spans="1:36" x14ac:dyDescent="0.3">
      <c r="A135">
        <v>134</v>
      </c>
      <c r="B135">
        <v>4873</v>
      </c>
      <c r="C135" s="2">
        <v>31646</v>
      </c>
      <c r="D135">
        <v>39</v>
      </c>
      <c r="E135" t="s">
        <v>36</v>
      </c>
      <c r="F135" t="s">
        <v>37</v>
      </c>
      <c r="G135" s="2">
        <v>42139</v>
      </c>
      <c r="H135" s="3">
        <f t="shared" si="2"/>
        <v>10.638356164383561</v>
      </c>
      <c r="I135">
        <v>8</v>
      </c>
      <c r="J135" t="s">
        <v>38</v>
      </c>
      <c r="K135" t="s">
        <v>39</v>
      </c>
      <c r="L135" t="s">
        <v>40</v>
      </c>
      <c r="M135">
        <v>65063</v>
      </c>
      <c r="N135">
        <v>65063</v>
      </c>
      <c r="O135">
        <v>64296</v>
      </c>
      <c r="P135">
        <v>63074</v>
      </c>
      <c r="Q135">
        <v>61574</v>
      </c>
      <c r="R135">
        <v>59324</v>
      </c>
      <c r="S135">
        <v>57449</v>
      </c>
      <c r="T135" t="s">
        <v>60</v>
      </c>
      <c r="U135">
        <v>2</v>
      </c>
      <c r="V135">
        <v>4</v>
      </c>
      <c r="W135">
        <v>4</v>
      </c>
      <c r="X135" s="2">
        <v>42737</v>
      </c>
      <c r="Y135" t="s">
        <v>69</v>
      </c>
      <c r="Z135" s="2">
        <v>43051</v>
      </c>
      <c r="AA135" t="s">
        <v>59</v>
      </c>
      <c r="AB135" s="2">
        <v>44581</v>
      </c>
      <c r="AC135" t="s">
        <v>62</v>
      </c>
      <c r="AD135">
        <v>3</v>
      </c>
      <c r="AE135">
        <v>3</v>
      </c>
      <c r="AF135">
        <v>4</v>
      </c>
      <c r="AG135">
        <v>5</v>
      </c>
      <c r="AH135">
        <v>5</v>
      </c>
      <c r="AI135">
        <v>5</v>
      </c>
      <c r="AJ135">
        <v>4</v>
      </c>
    </row>
    <row r="136" spans="1:36" x14ac:dyDescent="0.3">
      <c r="A136">
        <v>135</v>
      </c>
      <c r="B136">
        <v>4880</v>
      </c>
      <c r="C136" s="2">
        <v>33675</v>
      </c>
      <c r="D136">
        <v>33</v>
      </c>
      <c r="E136" t="s">
        <v>42</v>
      </c>
      <c r="F136" t="s">
        <v>50</v>
      </c>
      <c r="G136" s="2">
        <v>42139</v>
      </c>
      <c r="H136" s="3">
        <f t="shared" si="2"/>
        <v>10.638356164383561</v>
      </c>
      <c r="I136">
        <v>89</v>
      </c>
      <c r="J136" t="s">
        <v>57</v>
      </c>
      <c r="K136" t="s">
        <v>43</v>
      </c>
      <c r="L136" t="s">
        <v>44</v>
      </c>
      <c r="M136">
        <v>15.81</v>
      </c>
      <c r="N136">
        <v>15.51</v>
      </c>
      <c r="O136">
        <v>15.21</v>
      </c>
      <c r="P136">
        <v>14.91</v>
      </c>
      <c r="Q136">
        <v>14.61</v>
      </c>
      <c r="R136">
        <v>14.31</v>
      </c>
      <c r="S136">
        <v>14.01</v>
      </c>
      <c r="T136" t="s">
        <v>49</v>
      </c>
      <c r="U136">
        <v>1</v>
      </c>
      <c r="V136">
        <v>6</v>
      </c>
    </row>
    <row r="137" spans="1:36" x14ac:dyDescent="0.3">
      <c r="A137">
        <v>136</v>
      </c>
      <c r="B137">
        <v>4882</v>
      </c>
      <c r="C137" s="2">
        <v>31633</v>
      </c>
      <c r="D137">
        <v>39</v>
      </c>
      <c r="E137" t="s">
        <v>42</v>
      </c>
      <c r="F137" t="s">
        <v>50</v>
      </c>
      <c r="G137" s="2">
        <v>42139</v>
      </c>
      <c r="H137" s="3">
        <f t="shared" si="2"/>
        <v>10.638356164383561</v>
      </c>
      <c r="I137">
        <v>89</v>
      </c>
      <c r="J137" t="s">
        <v>57</v>
      </c>
      <c r="K137" t="s">
        <v>46</v>
      </c>
      <c r="L137" t="s">
        <v>44</v>
      </c>
      <c r="M137">
        <v>14.1</v>
      </c>
      <c r="N137">
        <v>13.8</v>
      </c>
      <c r="O137">
        <v>13.5</v>
      </c>
      <c r="P137">
        <v>13.2</v>
      </c>
      <c r="Q137">
        <v>12.9</v>
      </c>
      <c r="R137">
        <v>12.6</v>
      </c>
      <c r="S137">
        <v>12.3</v>
      </c>
      <c r="T137" t="s">
        <v>49</v>
      </c>
      <c r="U137">
        <v>0</v>
      </c>
      <c r="V137">
        <v>5</v>
      </c>
    </row>
    <row r="138" spans="1:36" x14ac:dyDescent="0.3">
      <c r="A138">
        <v>137</v>
      </c>
      <c r="B138">
        <v>4963</v>
      </c>
      <c r="C138" s="2">
        <v>33064</v>
      </c>
      <c r="D138">
        <v>35</v>
      </c>
      <c r="E138" t="s">
        <v>36</v>
      </c>
      <c r="F138" t="s">
        <v>50</v>
      </c>
      <c r="G138" s="2">
        <v>42139</v>
      </c>
      <c r="H138" s="3">
        <f t="shared" si="2"/>
        <v>10.638356164383561</v>
      </c>
      <c r="I138">
        <v>29</v>
      </c>
      <c r="J138" t="s">
        <v>38</v>
      </c>
      <c r="K138" t="s">
        <v>39</v>
      </c>
      <c r="L138" t="s">
        <v>40</v>
      </c>
      <c r="M138">
        <v>50899</v>
      </c>
      <c r="N138">
        <v>50149</v>
      </c>
      <c r="O138">
        <v>50149</v>
      </c>
      <c r="P138">
        <v>50149</v>
      </c>
      <c r="Q138">
        <v>47899</v>
      </c>
      <c r="R138">
        <v>46024</v>
      </c>
      <c r="S138">
        <v>43774</v>
      </c>
      <c r="T138" t="s">
        <v>63</v>
      </c>
      <c r="U138">
        <v>1</v>
      </c>
      <c r="V138">
        <v>4</v>
      </c>
      <c r="W138">
        <v>4</v>
      </c>
      <c r="X138" s="2">
        <v>42819</v>
      </c>
      <c r="Y138" t="s">
        <v>69</v>
      </c>
      <c r="Z138" s="2">
        <v>43122</v>
      </c>
      <c r="AA138" t="s">
        <v>59</v>
      </c>
      <c r="AB138" s="2">
        <v>44493</v>
      </c>
      <c r="AC138" t="s">
        <v>62</v>
      </c>
      <c r="AD138">
        <v>3</v>
      </c>
      <c r="AE138">
        <v>4</v>
      </c>
      <c r="AF138">
        <v>4</v>
      </c>
      <c r="AG138">
        <v>3</v>
      </c>
      <c r="AH138">
        <v>4</v>
      </c>
      <c r="AI138">
        <v>4</v>
      </c>
      <c r="AJ138">
        <v>5</v>
      </c>
    </row>
    <row r="139" spans="1:36" x14ac:dyDescent="0.3">
      <c r="A139">
        <v>138</v>
      </c>
      <c r="B139">
        <v>5052</v>
      </c>
      <c r="C139" s="2">
        <v>26031</v>
      </c>
      <c r="D139">
        <v>54</v>
      </c>
      <c r="E139" t="s">
        <v>42</v>
      </c>
      <c r="F139" t="s">
        <v>50</v>
      </c>
      <c r="G139" s="2">
        <v>42139</v>
      </c>
      <c r="H139" s="3">
        <f t="shared" si="2"/>
        <v>10.638356164383561</v>
      </c>
      <c r="I139">
        <v>53</v>
      </c>
      <c r="J139" t="s">
        <v>38</v>
      </c>
      <c r="K139" t="s">
        <v>39</v>
      </c>
      <c r="L139" t="s">
        <v>40</v>
      </c>
      <c r="M139">
        <v>84756</v>
      </c>
      <c r="N139">
        <v>82506</v>
      </c>
      <c r="O139">
        <v>80256</v>
      </c>
      <c r="P139">
        <v>78006</v>
      </c>
      <c r="Q139">
        <v>75756</v>
      </c>
      <c r="R139">
        <v>73506</v>
      </c>
      <c r="S139">
        <v>71256</v>
      </c>
      <c r="T139" t="s">
        <v>71</v>
      </c>
      <c r="U139">
        <v>2</v>
      </c>
      <c r="V139">
        <v>5</v>
      </c>
      <c r="W139">
        <v>4</v>
      </c>
      <c r="X139" s="2">
        <v>42705</v>
      </c>
      <c r="Y139" t="s">
        <v>62</v>
      </c>
      <c r="AD139">
        <v>5</v>
      </c>
      <c r="AE139">
        <v>5</v>
      </c>
      <c r="AF139">
        <v>5</v>
      </c>
      <c r="AG139">
        <v>5</v>
      </c>
      <c r="AH139">
        <v>5</v>
      </c>
      <c r="AI139">
        <v>5</v>
      </c>
      <c r="AJ139">
        <v>5</v>
      </c>
    </row>
    <row r="140" spans="1:36" x14ac:dyDescent="0.3">
      <c r="A140">
        <v>139</v>
      </c>
      <c r="B140">
        <v>5061</v>
      </c>
      <c r="C140" s="2">
        <v>33851</v>
      </c>
      <c r="D140">
        <v>33</v>
      </c>
      <c r="E140" t="s">
        <v>42</v>
      </c>
      <c r="F140" t="s">
        <v>50</v>
      </c>
      <c r="G140" s="2">
        <v>42139</v>
      </c>
      <c r="H140" s="3">
        <f t="shared" si="2"/>
        <v>10.638356164383561</v>
      </c>
      <c r="I140">
        <v>93</v>
      </c>
      <c r="J140" t="s">
        <v>57</v>
      </c>
      <c r="K140" t="s">
        <v>43</v>
      </c>
      <c r="L140" t="s">
        <v>44</v>
      </c>
      <c r="M140">
        <v>15.81</v>
      </c>
      <c r="N140">
        <v>15.51</v>
      </c>
      <c r="O140">
        <v>15.21</v>
      </c>
      <c r="P140">
        <v>14.91</v>
      </c>
      <c r="Q140">
        <v>14.61</v>
      </c>
      <c r="R140">
        <v>14.31</v>
      </c>
      <c r="S140">
        <v>14.01</v>
      </c>
      <c r="T140" t="s">
        <v>49</v>
      </c>
      <c r="U140">
        <v>0</v>
      </c>
      <c r="V140">
        <v>5</v>
      </c>
    </row>
    <row r="141" spans="1:36" x14ac:dyDescent="0.3">
      <c r="A141">
        <v>140</v>
      </c>
      <c r="B141">
        <v>5066</v>
      </c>
      <c r="C141" s="2">
        <v>32437</v>
      </c>
      <c r="D141">
        <v>37</v>
      </c>
      <c r="E141" t="s">
        <v>42</v>
      </c>
      <c r="F141" t="s">
        <v>50</v>
      </c>
      <c r="G141" s="2">
        <v>42139</v>
      </c>
      <c r="H141" s="3">
        <f t="shared" si="2"/>
        <v>10.638356164383561</v>
      </c>
      <c r="I141">
        <v>93</v>
      </c>
      <c r="J141" t="s">
        <v>57</v>
      </c>
      <c r="K141" t="s">
        <v>48</v>
      </c>
      <c r="L141" t="s">
        <v>44</v>
      </c>
      <c r="M141">
        <v>17.03</v>
      </c>
      <c r="N141">
        <v>16.73</v>
      </c>
      <c r="O141">
        <v>16.43</v>
      </c>
      <c r="P141">
        <v>16.13</v>
      </c>
      <c r="Q141">
        <v>15.83</v>
      </c>
      <c r="R141">
        <v>15.53</v>
      </c>
      <c r="S141">
        <v>15.23</v>
      </c>
      <c r="T141" t="s">
        <v>47</v>
      </c>
      <c r="U141">
        <v>4</v>
      </c>
      <c r="V141">
        <v>5</v>
      </c>
    </row>
    <row r="142" spans="1:36" x14ac:dyDescent="0.3">
      <c r="A142">
        <v>141</v>
      </c>
      <c r="B142">
        <v>5071</v>
      </c>
      <c r="C142" s="2">
        <v>32702</v>
      </c>
      <c r="D142">
        <v>36</v>
      </c>
      <c r="E142" t="s">
        <v>36</v>
      </c>
      <c r="F142" t="s">
        <v>50</v>
      </c>
      <c r="G142" s="2">
        <v>42139</v>
      </c>
      <c r="H142" s="3">
        <f t="shared" si="2"/>
        <v>10.638356164383561</v>
      </c>
      <c r="I142">
        <v>93</v>
      </c>
      <c r="J142" t="s">
        <v>57</v>
      </c>
      <c r="K142" t="s">
        <v>53</v>
      </c>
      <c r="L142" t="s">
        <v>44</v>
      </c>
      <c r="M142">
        <v>21.6</v>
      </c>
      <c r="N142">
        <v>21.3</v>
      </c>
      <c r="O142">
        <v>21</v>
      </c>
      <c r="P142">
        <v>20.7</v>
      </c>
      <c r="Q142">
        <v>20.399999999999999</v>
      </c>
      <c r="R142">
        <v>20.100000000000001</v>
      </c>
      <c r="S142">
        <v>19.8</v>
      </c>
      <c r="T142" t="s">
        <v>52</v>
      </c>
      <c r="U142">
        <v>4</v>
      </c>
      <c r="V142">
        <v>4</v>
      </c>
    </row>
    <row r="143" spans="1:36" x14ac:dyDescent="0.3">
      <c r="A143">
        <v>142</v>
      </c>
      <c r="B143">
        <v>5074</v>
      </c>
      <c r="C143" s="2">
        <v>32401</v>
      </c>
      <c r="D143">
        <v>37</v>
      </c>
      <c r="E143" t="s">
        <v>36</v>
      </c>
      <c r="F143" t="s">
        <v>50</v>
      </c>
      <c r="G143" s="2">
        <v>42139</v>
      </c>
      <c r="H143" s="3">
        <f t="shared" si="2"/>
        <v>10.638356164383561</v>
      </c>
      <c r="I143">
        <v>93</v>
      </c>
      <c r="J143" t="s">
        <v>57</v>
      </c>
      <c r="K143" t="s">
        <v>55</v>
      </c>
      <c r="L143" t="s">
        <v>44</v>
      </c>
      <c r="M143">
        <v>16.78</v>
      </c>
      <c r="N143">
        <v>16.48</v>
      </c>
      <c r="O143">
        <v>16.18</v>
      </c>
      <c r="P143">
        <v>15.88</v>
      </c>
      <c r="Q143">
        <v>15.58</v>
      </c>
      <c r="R143">
        <v>15.28</v>
      </c>
      <c r="S143">
        <v>14.98</v>
      </c>
      <c r="T143" t="s">
        <v>45</v>
      </c>
      <c r="U143">
        <v>3</v>
      </c>
      <c r="V143">
        <v>4</v>
      </c>
    </row>
    <row r="144" spans="1:36" x14ac:dyDescent="0.3">
      <c r="A144">
        <v>143</v>
      </c>
      <c r="B144">
        <v>5076</v>
      </c>
      <c r="C144" s="2">
        <v>32928</v>
      </c>
      <c r="D144">
        <v>35</v>
      </c>
      <c r="E144" t="s">
        <v>36</v>
      </c>
      <c r="F144" t="s">
        <v>50</v>
      </c>
      <c r="G144" s="2">
        <v>42139</v>
      </c>
      <c r="H144" s="3">
        <f t="shared" si="2"/>
        <v>10.638356164383561</v>
      </c>
      <c r="I144">
        <v>93</v>
      </c>
      <c r="J144" t="s">
        <v>57</v>
      </c>
      <c r="K144" t="s">
        <v>55</v>
      </c>
      <c r="L144" t="s">
        <v>44</v>
      </c>
      <c r="M144">
        <v>16.78</v>
      </c>
      <c r="N144">
        <v>16.48</v>
      </c>
      <c r="O144">
        <v>16.18</v>
      </c>
      <c r="P144">
        <v>15.88</v>
      </c>
      <c r="Q144">
        <v>15.58</v>
      </c>
      <c r="R144">
        <v>15.28</v>
      </c>
      <c r="S144">
        <v>14.98</v>
      </c>
      <c r="T144" t="s">
        <v>47</v>
      </c>
      <c r="U144">
        <v>0</v>
      </c>
      <c r="V144">
        <v>2</v>
      </c>
    </row>
    <row r="145" spans="1:36" x14ac:dyDescent="0.3">
      <c r="A145">
        <v>144</v>
      </c>
      <c r="B145">
        <v>5111</v>
      </c>
      <c r="C145" s="2">
        <v>34517</v>
      </c>
      <c r="D145">
        <v>31</v>
      </c>
      <c r="E145" t="s">
        <v>42</v>
      </c>
      <c r="F145" t="s">
        <v>50</v>
      </c>
      <c r="G145" s="2">
        <v>42139</v>
      </c>
      <c r="H145" s="3">
        <f t="shared" si="2"/>
        <v>10.638356164383561</v>
      </c>
      <c r="I145">
        <v>94</v>
      </c>
      <c r="J145" t="s">
        <v>57</v>
      </c>
      <c r="K145" t="s">
        <v>48</v>
      </c>
      <c r="L145" t="s">
        <v>44</v>
      </c>
      <c r="M145">
        <v>17.03</v>
      </c>
      <c r="N145">
        <v>16.73</v>
      </c>
      <c r="O145">
        <v>16.43</v>
      </c>
      <c r="P145">
        <v>16.13</v>
      </c>
      <c r="Q145">
        <v>15.83</v>
      </c>
      <c r="R145">
        <v>15.53</v>
      </c>
      <c r="S145">
        <v>15.23</v>
      </c>
      <c r="T145" t="s">
        <v>49</v>
      </c>
      <c r="U145">
        <v>0</v>
      </c>
      <c r="V145">
        <v>5</v>
      </c>
    </row>
    <row r="146" spans="1:36" x14ac:dyDescent="0.3">
      <c r="A146">
        <v>145</v>
      </c>
      <c r="B146">
        <v>5142</v>
      </c>
      <c r="C146" s="2">
        <v>28297</v>
      </c>
      <c r="D146">
        <v>48</v>
      </c>
      <c r="E146" t="s">
        <v>42</v>
      </c>
      <c r="F146" t="s">
        <v>50</v>
      </c>
      <c r="G146" s="2">
        <v>42139</v>
      </c>
      <c r="H146" s="3">
        <f t="shared" si="2"/>
        <v>10.638356164383561</v>
      </c>
      <c r="I146">
        <v>56</v>
      </c>
      <c r="J146" t="s">
        <v>38</v>
      </c>
      <c r="K146" t="s">
        <v>39</v>
      </c>
      <c r="L146" t="s">
        <v>40</v>
      </c>
      <c r="M146">
        <v>84381</v>
      </c>
      <c r="N146">
        <v>82131</v>
      </c>
      <c r="O146">
        <v>79881</v>
      </c>
      <c r="P146">
        <v>77631</v>
      </c>
      <c r="Q146">
        <v>75381</v>
      </c>
      <c r="R146">
        <v>73881</v>
      </c>
      <c r="S146">
        <v>72381</v>
      </c>
      <c r="T146" t="s">
        <v>61</v>
      </c>
      <c r="U146">
        <v>0</v>
      </c>
      <c r="V146">
        <v>5</v>
      </c>
      <c r="W146">
        <v>4</v>
      </c>
      <c r="X146" s="2">
        <v>42612</v>
      </c>
      <c r="Y146" t="s">
        <v>62</v>
      </c>
      <c r="AD146">
        <v>5</v>
      </c>
      <c r="AE146">
        <v>4</v>
      </c>
      <c r="AF146">
        <v>4</v>
      </c>
      <c r="AG146">
        <v>4</v>
      </c>
      <c r="AH146">
        <v>4</v>
      </c>
      <c r="AI146">
        <v>3</v>
      </c>
      <c r="AJ146">
        <v>3</v>
      </c>
    </row>
    <row r="147" spans="1:36" x14ac:dyDescent="0.3">
      <c r="A147">
        <v>146</v>
      </c>
      <c r="B147">
        <v>5153</v>
      </c>
      <c r="C147" s="2">
        <v>35116</v>
      </c>
      <c r="D147">
        <v>29</v>
      </c>
      <c r="E147" t="s">
        <v>42</v>
      </c>
      <c r="F147" t="s">
        <v>50</v>
      </c>
      <c r="G147" s="2">
        <v>42139</v>
      </c>
      <c r="H147" s="3">
        <f t="shared" si="2"/>
        <v>10.638356164383561</v>
      </c>
      <c r="I147">
        <v>95</v>
      </c>
      <c r="J147" t="s">
        <v>57</v>
      </c>
      <c r="K147" t="s">
        <v>46</v>
      </c>
      <c r="L147" t="s">
        <v>44</v>
      </c>
      <c r="M147">
        <v>14.1</v>
      </c>
      <c r="N147">
        <v>13.8</v>
      </c>
      <c r="O147">
        <v>13.5</v>
      </c>
      <c r="P147">
        <v>13.2</v>
      </c>
      <c r="Q147">
        <v>12.9</v>
      </c>
      <c r="R147">
        <v>12.6</v>
      </c>
      <c r="S147">
        <v>12.3</v>
      </c>
      <c r="T147" t="s">
        <v>47</v>
      </c>
      <c r="U147">
        <v>0</v>
      </c>
      <c r="V147">
        <v>6</v>
      </c>
    </row>
    <row r="148" spans="1:36" x14ac:dyDescent="0.3">
      <c r="A148">
        <v>147</v>
      </c>
      <c r="B148">
        <v>5188</v>
      </c>
      <c r="C148" s="2">
        <v>33121</v>
      </c>
      <c r="D148">
        <v>35</v>
      </c>
      <c r="E148" t="s">
        <v>36</v>
      </c>
      <c r="F148" t="s">
        <v>50</v>
      </c>
      <c r="G148" s="2">
        <v>42139</v>
      </c>
      <c r="H148" s="3">
        <f t="shared" si="2"/>
        <v>10.638356164383561</v>
      </c>
      <c r="I148">
        <v>54</v>
      </c>
      <c r="J148" t="s">
        <v>38</v>
      </c>
      <c r="K148" t="s">
        <v>39</v>
      </c>
      <c r="L148" t="s">
        <v>40</v>
      </c>
      <c r="M148">
        <v>62762</v>
      </c>
      <c r="N148">
        <v>60887</v>
      </c>
      <c r="O148">
        <v>59012</v>
      </c>
      <c r="P148">
        <v>57137</v>
      </c>
      <c r="Q148">
        <v>54887</v>
      </c>
      <c r="R148">
        <v>49637</v>
      </c>
      <c r="S148">
        <v>47697</v>
      </c>
      <c r="T148" t="s">
        <v>58</v>
      </c>
      <c r="U148">
        <v>1</v>
      </c>
      <c r="V148">
        <v>3</v>
      </c>
      <c r="W148">
        <v>3</v>
      </c>
      <c r="X148" s="2">
        <v>42739</v>
      </c>
      <c r="Y148" t="s">
        <v>69</v>
      </c>
      <c r="Z148" s="2">
        <v>43197</v>
      </c>
      <c r="AA148" t="s">
        <v>59</v>
      </c>
      <c r="AB148" s="2">
        <v>44038</v>
      </c>
      <c r="AC148" t="s">
        <v>62</v>
      </c>
      <c r="AD148">
        <v>4</v>
      </c>
      <c r="AE148">
        <v>4</v>
      </c>
      <c r="AF148">
        <v>4</v>
      </c>
      <c r="AG148">
        <v>4</v>
      </c>
      <c r="AH148">
        <v>5</v>
      </c>
      <c r="AI148">
        <v>4</v>
      </c>
      <c r="AJ148">
        <v>4</v>
      </c>
    </row>
    <row r="149" spans="1:36" x14ac:dyDescent="0.3">
      <c r="A149">
        <v>148</v>
      </c>
      <c r="B149">
        <v>5249</v>
      </c>
      <c r="C149" s="2">
        <v>30877</v>
      </c>
      <c r="D149">
        <v>41</v>
      </c>
      <c r="E149" t="s">
        <v>36</v>
      </c>
      <c r="F149" t="s">
        <v>50</v>
      </c>
      <c r="G149" s="2">
        <v>42139</v>
      </c>
      <c r="H149" s="3">
        <f t="shared" si="2"/>
        <v>10.638356164383561</v>
      </c>
      <c r="I149">
        <v>97</v>
      </c>
      <c r="J149" t="s">
        <v>57</v>
      </c>
      <c r="K149" t="s">
        <v>51</v>
      </c>
      <c r="L149" t="s">
        <v>44</v>
      </c>
      <c r="M149">
        <v>31.17</v>
      </c>
      <c r="N149">
        <v>30.75</v>
      </c>
      <c r="O149">
        <v>30.35</v>
      </c>
      <c r="P149">
        <v>29.95</v>
      </c>
      <c r="Q149">
        <v>29.95</v>
      </c>
      <c r="R149">
        <v>29.57</v>
      </c>
      <c r="S149">
        <v>29.15</v>
      </c>
      <c r="T149" t="s">
        <v>52</v>
      </c>
      <c r="U149">
        <v>0</v>
      </c>
      <c r="V149">
        <v>3</v>
      </c>
    </row>
    <row r="150" spans="1:36" x14ac:dyDescent="0.3">
      <c r="A150">
        <v>149</v>
      </c>
      <c r="B150">
        <v>5277</v>
      </c>
      <c r="C150" s="2">
        <v>25939</v>
      </c>
      <c r="D150">
        <v>54</v>
      </c>
      <c r="E150" t="s">
        <v>36</v>
      </c>
      <c r="F150" t="s">
        <v>50</v>
      </c>
      <c r="G150" s="2">
        <v>42139</v>
      </c>
      <c r="H150" s="3">
        <f t="shared" si="2"/>
        <v>10.638356164383561</v>
      </c>
      <c r="I150">
        <v>61</v>
      </c>
      <c r="J150" t="s">
        <v>38</v>
      </c>
      <c r="K150" t="s">
        <v>39</v>
      </c>
      <c r="L150" t="s">
        <v>40</v>
      </c>
      <c r="M150">
        <v>63004</v>
      </c>
      <c r="N150">
        <v>63004</v>
      </c>
      <c r="O150">
        <v>63004</v>
      </c>
      <c r="P150">
        <v>63004</v>
      </c>
      <c r="Q150">
        <v>61480</v>
      </c>
      <c r="R150">
        <v>60078</v>
      </c>
      <c r="S150">
        <v>58058</v>
      </c>
      <c r="T150" t="s">
        <v>61</v>
      </c>
      <c r="U150">
        <v>1</v>
      </c>
      <c r="V150">
        <v>5</v>
      </c>
      <c r="W150">
        <v>5</v>
      </c>
      <c r="X150" s="2">
        <v>42557</v>
      </c>
      <c r="Y150" t="s">
        <v>62</v>
      </c>
      <c r="AD150">
        <v>4</v>
      </c>
      <c r="AE150">
        <v>3</v>
      </c>
      <c r="AF150">
        <v>3</v>
      </c>
      <c r="AG150">
        <v>4</v>
      </c>
      <c r="AH150">
        <v>1</v>
      </c>
      <c r="AI150">
        <v>4</v>
      </c>
      <c r="AJ150">
        <v>2</v>
      </c>
    </row>
    <row r="151" spans="1:36" x14ac:dyDescent="0.3">
      <c r="A151">
        <v>150</v>
      </c>
      <c r="B151">
        <v>5331</v>
      </c>
      <c r="C151" s="2">
        <v>35009</v>
      </c>
      <c r="D151">
        <v>30</v>
      </c>
      <c r="E151" t="s">
        <v>42</v>
      </c>
      <c r="F151" t="s">
        <v>50</v>
      </c>
      <c r="G151" s="2">
        <v>42139</v>
      </c>
      <c r="H151" s="3">
        <f t="shared" si="2"/>
        <v>10.638356164383561</v>
      </c>
      <c r="I151">
        <v>99</v>
      </c>
      <c r="J151" t="s">
        <v>57</v>
      </c>
      <c r="K151" t="s">
        <v>43</v>
      </c>
      <c r="L151" t="s">
        <v>44</v>
      </c>
      <c r="M151">
        <v>15.81</v>
      </c>
      <c r="N151">
        <v>15.51</v>
      </c>
      <c r="O151">
        <v>15.21</v>
      </c>
      <c r="P151">
        <v>14.91</v>
      </c>
      <c r="Q151">
        <v>14.61</v>
      </c>
      <c r="R151">
        <v>14.31</v>
      </c>
      <c r="S151">
        <v>14.01</v>
      </c>
      <c r="T151" t="s">
        <v>47</v>
      </c>
      <c r="U151">
        <v>1</v>
      </c>
      <c r="V151">
        <v>5</v>
      </c>
    </row>
    <row r="152" spans="1:36" x14ac:dyDescent="0.3">
      <c r="A152">
        <v>151</v>
      </c>
      <c r="B152">
        <v>5346</v>
      </c>
      <c r="C152" s="2">
        <v>33936</v>
      </c>
      <c r="D152">
        <v>33</v>
      </c>
      <c r="E152" t="s">
        <v>36</v>
      </c>
      <c r="F152" t="s">
        <v>50</v>
      </c>
      <c r="G152" s="2">
        <v>42139</v>
      </c>
      <c r="H152" s="3">
        <f t="shared" si="2"/>
        <v>10.638356164383561</v>
      </c>
      <c r="I152">
        <v>99</v>
      </c>
      <c r="J152" t="s">
        <v>57</v>
      </c>
      <c r="K152" t="s">
        <v>55</v>
      </c>
      <c r="L152" t="s">
        <v>44</v>
      </c>
      <c r="M152">
        <v>16.78</v>
      </c>
      <c r="N152">
        <v>16.48</v>
      </c>
      <c r="O152">
        <v>16.18</v>
      </c>
      <c r="P152">
        <v>15.88</v>
      </c>
      <c r="Q152">
        <v>15.58</v>
      </c>
      <c r="R152">
        <v>15.28</v>
      </c>
      <c r="S152">
        <v>14.98</v>
      </c>
      <c r="T152" t="s">
        <v>49</v>
      </c>
      <c r="U152">
        <v>1</v>
      </c>
      <c r="V152">
        <v>4</v>
      </c>
    </row>
    <row r="153" spans="1:36" x14ac:dyDescent="0.3">
      <c r="A153">
        <v>152</v>
      </c>
      <c r="B153">
        <v>5368</v>
      </c>
      <c r="C153" s="2">
        <v>32758</v>
      </c>
      <c r="D153">
        <v>36</v>
      </c>
      <c r="E153" t="s">
        <v>36</v>
      </c>
      <c r="F153" t="s">
        <v>37</v>
      </c>
      <c r="G153" s="2">
        <v>42139</v>
      </c>
      <c r="H153" s="3">
        <f t="shared" si="2"/>
        <v>10.638356164383561</v>
      </c>
      <c r="I153">
        <v>37</v>
      </c>
      <c r="J153" t="s">
        <v>38</v>
      </c>
      <c r="K153" t="s">
        <v>39</v>
      </c>
      <c r="L153" t="s">
        <v>40</v>
      </c>
      <c r="M153">
        <v>68092</v>
      </c>
      <c r="N153">
        <v>67051</v>
      </c>
      <c r="O153">
        <v>65119</v>
      </c>
      <c r="P153">
        <v>65119</v>
      </c>
      <c r="Q153">
        <v>59449</v>
      </c>
      <c r="R153">
        <v>57199</v>
      </c>
      <c r="S153">
        <v>54949</v>
      </c>
      <c r="T153" t="s">
        <v>61</v>
      </c>
      <c r="U153">
        <v>2</v>
      </c>
      <c r="V153">
        <v>5</v>
      </c>
      <c r="W153">
        <v>5</v>
      </c>
      <c r="X153" s="2">
        <v>42680</v>
      </c>
      <c r="Y153" t="s">
        <v>69</v>
      </c>
      <c r="Z153" s="2">
        <v>43421</v>
      </c>
      <c r="AA153" t="s">
        <v>59</v>
      </c>
      <c r="AB153" s="2">
        <v>44244</v>
      </c>
      <c r="AC153" t="s">
        <v>62</v>
      </c>
      <c r="AD153">
        <v>4</v>
      </c>
      <c r="AE153">
        <v>4</v>
      </c>
      <c r="AF153">
        <v>2</v>
      </c>
      <c r="AG153">
        <v>5</v>
      </c>
      <c r="AH153">
        <v>5</v>
      </c>
      <c r="AI153">
        <v>5</v>
      </c>
      <c r="AJ153">
        <v>5</v>
      </c>
    </row>
    <row r="154" spans="1:36" x14ac:dyDescent="0.3">
      <c r="A154">
        <v>153</v>
      </c>
      <c r="B154">
        <v>5376</v>
      </c>
      <c r="C154" s="2">
        <v>35145</v>
      </c>
      <c r="D154">
        <v>29</v>
      </c>
      <c r="E154" t="s">
        <v>36</v>
      </c>
      <c r="F154" t="s">
        <v>50</v>
      </c>
      <c r="G154" s="2">
        <v>42139</v>
      </c>
      <c r="H154" s="3">
        <f t="shared" si="2"/>
        <v>10.638356164383561</v>
      </c>
      <c r="I154">
        <v>100</v>
      </c>
      <c r="J154" t="s">
        <v>57</v>
      </c>
      <c r="K154" t="s">
        <v>43</v>
      </c>
      <c r="L154" t="s">
        <v>44</v>
      </c>
      <c r="M154">
        <v>15.81</v>
      </c>
      <c r="N154">
        <v>15.51</v>
      </c>
      <c r="O154">
        <v>15.21</v>
      </c>
      <c r="P154">
        <v>14.91</v>
      </c>
      <c r="Q154">
        <v>14.61</v>
      </c>
      <c r="R154">
        <v>14.31</v>
      </c>
      <c r="S154">
        <v>14.01</v>
      </c>
      <c r="T154" t="s">
        <v>47</v>
      </c>
      <c r="U154">
        <v>1</v>
      </c>
      <c r="V154">
        <v>2</v>
      </c>
    </row>
    <row r="155" spans="1:36" x14ac:dyDescent="0.3">
      <c r="A155">
        <v>154</v>
      </c>
      <c r="B155">
        <v>5391</v>
      </c>
      <c r="C155" s="2">
        <v>33577</v>
      </c>
      <c r="D155">
        <v>34</v>
      </c>
      <c r="E155" t="s">
        <v>36</v>
      </c>
      <c r="F155" t="s">
        <v>50</v>
      </c>
      <c r="G155" s="2">
        <v>42139</v>
      </c>
      <c r="H155" s="3">
        <f t="shared" si="2"/>
        <v>10.638356164383561</v>
      </c>
      <c r="I155">
        <v>100</v>
      </c>
      <c r="J155" t="s">
        <v>57</v>
      </c>
      <c r="K155" t="s">
        <v>55</v>
      </c>
      <c r="L155" t="s">
        <v>44</v>
      </c>
      <c r="M155">
        <v>16.78</v>
      </c>
      <c r="N155">
        <v>16.48</v>
      </c>
      <c r="O155">
        <v>16.18</v>
      </c>
      <c r="P155">
        <v>15.88</v>
      </c>
      <c r="Q155">
        <v>15.58</v>
      </c>
      <c r="R155">
        <v>15.28</v>
      </c>
      <c r="S155">
        <v>14.98</v>
      </c>
      <c r="T155" t="s">
        <v>47</v>
      </c>
      <c r="U155">
        <v>1</v>
      </c>
      <c r="V155">
        <v>4</v>
      </c>
    </row>
    <row r="156" spans="1:36" x14ac:dyDescent="0.3">
      <c r="A156">
        <v>155</v>
      </c>
      <c r="B156">
        <v>5548</v>
      </c>
      <c r="C156" s="2">
        <v>32217</v>
      </c>
      <c r="D156">
        <v>37</v>
      </c>
      <c r="E156" t="s">
        <v>42</v>
      </c>
      <c r="F156" t="s">
        <v>50</v>
      </c>
      <c r="G156" s="2">
        <v>42139</v>
      </c>
      <c r="H156" s="3">
        <f t="shared" si="2"/>
        <v>10.638356164383561</v>
      </c>
      <c r="I156">
        <v>40</v>
      </c>
      <c r="J156" t="s">
        <v>38</v>
      </c>
      <c r="K156" t="s">
        <v>39</v>
      </c>
      <c r="L156" t="s">
        <v>40</v>
      </c>
      <c r="M156">
        <v>73274</v>
      </c>
      <c r="N156">
        <v>73274</v>
      </c>
      <c r="O156">
        <v>71090</v>
      </c>
      <c r="P156">
        <v>66935</v>
      </c>
      <c r="Q156">
        <v>65435</v>
      </c>
      <c r="R156">
        <v>63935</v>
      </c>
      <c r="S156">
        <v>62435</v>
      </c>
      <c r="T156" t="s">
        <v>58</v>
      </c>
      <c r="U156">
        <v>1</v>
      </c>
      <c r="V156">
        <v>5</v>
      </c>
      <c r="W156">
        <v>5</v>
      </c>
      <c r="X156" s="2">
        <v>42770</v>
      </c>
      <c r="Y156" t="s">
        <v>69</v>
      </c>
      <c r="Z156" s="2">
        <v>43452</v>
      </c>
      <c r="AA156" t="s">
        <v>59</v>
      </c>
      <c r="AB156" s="2">
        <v>44688</v>
      </c>
      <c r="AC156" t="s">
        <v>62</v>
      </c>
      <c r="AD156">
        <v>2</v>
      </c>
      <c r="AE156">
        <v>2</v>
      </c>
      <c r="AF156">
        <v>2</v>
      </c>
      <c r="AG156">
        <v>2</v>
      </c>
      <c r="AH156">
        <v>2</v>
      </c>
      <c r="AI156">
        <v>5</v>
      </c>
      <c r="AJ156">
        <v>4</v>
      </c>
    </row>
    <row r="157" spans="1:36" x14ac:dyDescent="0.3">
      <c r="A157">
        <v>156</v>
      </c>
      <c r="B157">
        <v>5605</v>
      </c>
      <c r="C157" s="2">
        <v>35634</v>
      </c>
      <c r="D157">
        <v>28</v>
      </c>
      <c r="E157" t="s">
        <v>36</v>
      </c>
      <c r="F157" t="s">
        <v>37</v>
      </c>
      <c r="G157" s="2">
        <v>42139</v>
      </c>
      <c r="H157" s="3">
        <f t="shared" si="2"/>
        <v>10.638356164383561</v>
      </c>
      <c r="I157">
        <v>105</v>
      </c>
      <c r="J157" t="s">
        <v>57</v>
      </c>
      <c r="K157" t="s">
        <v>48</v>
      </c>
      <c r="L157" t="s">
        <v>44</v>
      </c>
      <c r="M157">
        <v>17.03</v>
      </c>
      <c r="N157">
        <v>16.73</v>
      </c>
      <c r="O157">
        <v>16.43</v>
      </c>
      <c r="P157">
        <v>16.13</v>
      </c>
      <c r="Q157">
        <v>15.83</v>
      </c>
      <c r="R157">
        <v>15.53</v>
      </c>
      <c r="S157">
        <v>15.23</v>
      </c>
      <c r="T157" t="s">
        <v>47</v>
      </c>
      <c r="U157">
        <v>3</v>
      </c>
      <c r="V157">
        <v>3</v>
      </c>
    </row>
    <row r="158" spans="1:36" x14ac:dyDescent="0.3">
      <c r="A158">
        <v>157</v>
      </c>
      <c r="B158">
        <v>5653</v>
      </c>
      <c r="C158" s="2">
        <v>32171</v>
      </c>
      <c r="D158">
        <v>37</v>
      </c>
      <c r="E158" t="s">
        <v>42</v>
      </c>
      <c r="F158" t="s">
        <v>50</v>
      </c>
      <c r="G158" s="2">
        <v>42139</v>
      </c>
      <c r="H158" s="3">
        <f t="shared" si="2"/>
        <v>10.638356164383561</v>
      </c>
      <c r="I158">
        <v>106</v>
      </c>
      <c r="J158" t="s">
        <v>57</v>
      </c>
      <c r="K158" t="s">
        <v>51</v>
      </c>
      <c r="L158" t="s">
        <v>44</v>
      </c>
      <c r="M158">
        <v>31.69</v>
      </c>
      <c r="N158">
        <v>31.39</v>
      </c>
      <c r="O158">
        <v>31.09</v>
      </c>
      <c r="P158">
        <v>30.79</v>
      </c>
      <c r="Q158">
        <v>30.49</v>
      </c>
      <c r="R158">
        <v>30.19</v>
      </c>
      <c r="S158">
        <v>29.89</v>
      </c>
      <c r="T158" t="s">
        <v>49</v>
      </c>
      <c r="U158">
        <v>0</v>
      </c>
      <c r="V158">
        <v>6</v>
      </c>
    </row>
    <row r="159" spans="1:36" x14ac:dyDescent="0.3">
      <c r="A159">
        <v>158</v>
      </c>
      <c r="B159">
        <v>5655</v>
      </c>
      <c r="C159" s="2">
        <v>33660</v>
      </c>
      <c r="D159">
        <v>33</v>
      </c>
      <c r="E159" t="s">
        <v>36</v>
      </c>
      <c r="F159" t="s">
        <v>50</v>
      </c>
      <c r="G159" s="2">
        <v>42139</v>
      </c>
      <c r="H159" s="3">
        <f t="shared" si="2"/>
        <v>10.638356164383561</v>
      </c>
      <c r="I159">
        <v>106</v>
      </c>
      <c r="J159" t="s">
        <v>57</v>
      </c>
      <c r="K159" t="s">
        <v>53</v>
      </c>
      <c r="L159" t="s">
        <v>44</v>
      </c>
      <c r="M159">
        <v>21.6</v>
      </c>
      <c r="N159">
        <v>21.3</v>
      </c>
      <c r="O159">
        <v>21</v>
      </c>
      <c r="P159">
        <v>20.7</v>
      </c>
      <c r="Q159">
        <v>20.399999999999999</v>
      </c>
      <c r="R159">
        <v>20.100000000000001</v>
      </c>
      <c r="S159">
        <v>19.8</v>
      </c>
      <c r="T159" t="s">
        <v>47</v>
      </c>
      <c r="U159">
        <v>4</v>
      </c>
      <c r="V159">
        <v>3</v>
      </c>
    </row>
    <row r="160" spans="1:36" x14ac:dyDescent="0.3">
      <c r="A160">
        <v>159</v>
      </c>
      <c r="B160">
        <v>5659</v>
      </c>
      <c r="C160" s="2">
        <v>32855</v>
      </c>
      <c r="D160">
        <v>36</v>
      </c>
      <c r="E160" t="s">
        <v>36</v>
      </c>
      <c r="F160" t="s">
        <v>50</v>
      </c>
      <c r="G160" s="2">
        <v>42139</v>
      </c>
      <c r="H160" s="3">
        <f t="shared" si="2"/>
        <v>10.638356164383561</v>
      </c>
      <c r="I160">
        <v>106</v>
      </c>
      <c r="J160" t="s">
        <v>57</v>
      </c>
      <c r="K160" t="s">
        <v>55</v>
      </c>
      <c r="L160" t="s">
        <v>44</v>
      </c>
      <c r="M160">
        <v>16.78</v>
      </c>
      <c r="N160">
        <v>16.48</v>
      </c>
      <c r="O160">
        <v>16.18</v>
      </c>
      <c r="P160">
        <v>15.88</v>
      </c>
      <c r="Q160">
        <v>15.58</v>
      </c>
      <c r="R160">
        <v>15.28</v>
      </c>
      <c r="S160">
        <v>14.98</v>
      </c>
      <c r="T160" t="s">
        <v>47</v>
      </c>
      <c r="U160">
        <v>0</v>
      </c>
      <c r="V160">
        <v>5</v>
      </c>
    </row>
    <row r="161" spans="1:36" x14ac:dyDescent="0.3">
      <c r="A161">
        <v>160</v>
      </c>
      <c r="B161">
        <v>5696</v>
      </c>
      <c r="C161" s="2">
        <v>35116</v>
      </c>
      <c r="D161">
        <v>29</v>
      </c>
      <c r="E161" t="s">
        <v>36</v>
      </c>
      <c r="F161" t="s">
        <v>50</v>
      </c>
      <c r="G161" s="2">
        <v>42139</v>
      </c>
      <c r="H161" s="3">
        <f t="shared" si="2"/>
        <v>10.638356164383561</v>
      </c>
      <c r="I161">
        <v>107</v>
      </c>
      <c r="J161" t="s">
        <v>57</v>
      </c>
      <c r="K161" t="s">
        <v>48</v>
      </c>
      <c r="L161" t="s">
        <v>44</v>
      </c>
      <c r="M161">
        <v>17.03</v>
      </c>
      <c r="N161">
        <v>16.73</v>
      </c>
      <c r="O161">
        <v>16.43</v>
      </c>
      <c r="P161">
        <v>16.13</v>
      </c>
      <c r="Q161">
        <v>15.83</v>
      </c>
      <c r="R161">
        <v>15.53</v>
      </c>
      <c r="S161">
        <v>15.23</v>
      </c>
      <c r="T161" t="s">
        <v>47</v>
      </c>
      <c r="U161">
        <v>0</v>
      </c>
      <c r="V161">
        <v>4</v>
      </c>
    </row>
    <row r="162" spans="1:36" x14ac:dyDescent="0.3">
      <c r="A162">
        <v>161</v>
      </c>
      <c r="B162">
        <v>5705</v>
      </c>
      <c r="C162" s="2">
        <v>32011</v>
      </c>
      <c r="D162">
        <v>38</v>
      </c>
      <c r="E162" t="s">
        <v>36</v>
      </c>
      <c r="F162" t="s">
        <v>37</v>
      </c>
      <c r="G162" s="2">
        <v>42139</v>
      </c>
      <c r="H162" s="3">
        <f t="shared" si="2"/>
        <v>10.638356164383561</v>
      </c>
      <c r="I162">
        <v>107</v>
      </c>
      <c r="J162" t="s">
        <v>57</v>
      </c>
      <c r="K162" t="s">
        <v>55</v>
      </c>
      <c r="L162" t="s">
        <v>44</v>
      </c>
      <c r="M162">
        <v>16.78</v>
      </c>
      <c r="N162">
        <v>16.48</v>
      </c>
      <c r="O162">
        <v>16.18</v>
      </c>
      <c r="P162">
        <v>15.88</v>
      </c>
      <c r="Q162">
        <v>15.58</v>
      </c>
      <c r="R162">
        <v>15.28</v>
      </c>
      <c r="S162">
        <v>14.98</v>
      </c>
      <c r="T162" t="s">
        <v>47</v>
      </c>
      <c r="U162">
        <v>2</v>
      </c>
      <c r="V162">
        <v>4</v>
      </c>
    </row>
    <row r="163" spans="1:36" x14ac:dyDescent="0.3">
      <c r="A163">
        <v>162</v>
      </c>
      <c r="B163">
        <v>5727</v>
      </c>
      <c r="C163" s="2">
        <v>30057</v>
      </c>
      <c r="D163">
        <v>43</v>
      </c>
      <c r="E163" t="s">
        <v>42</v>
      </c>
      <c r="F163" t="s">
        <v>37</v>
      </c>
      <c r="G163" s="2">
        <v>42139</v>
      </c>
      <c r="H163" s="3">
        <f t="shared" si="2"/>
        <v>10.638356164383561</v>
      </c>
      <c r="I163">
        <v>50</v>
      </c>
      <c r="J163" t="s">
        <v>38</v>
      </c>
      <c r="K163" t="s">
        <v>39</v>
      </c>
      <c r="L163" t="s">
        <v>40</v>
      </c>
      <c r="M163">
        <v>84006</v>
      </c>
      <c r="N163">
        <v>82506</v>
      </c>
      <c r="O163">
        <v>81006</v>
      </c>
      <c r="P163">
        <v>78756</v>
      </c>
      <c r="Q163">
        <v>76881</v>
      </c>
      <c r="R163">
        <v>75381</v>
      </c>
      <c r="S163">
        <v>73881</v>
      </c>
      <c r="T163" t="s">
        <v>61</v>
      </c>
      <c r="U163">
        <v>2</v>
      </c>
      <c r="V163">
        <v>7</v>
      </c>
      <c r="W163">
        <v>6</v>
      </c>
      <c r="X163" s="2">
        <v>43054</v>
      </c>
      <c r="Y163" t="s">
        <v>62</v>
      </c>
      <c r="AD163">
        <v>4</v>
      </c>
      <c r="AE163">
        <v>3</v>
      </c>
      <c r="AF163">
        <v>3</v>
      </c>
      <c r="AG163">
        <v>5</v>
      </c>
      <c r="AH163">
        <v>4</v>
      </c>
      <c r="AI163">
        <v>3</v>
      </c>
      <c r="AJ163">
        <v>3</v>
      </c>
    </row>
    <row r="164" spans="1:36" x14ac:dyDescent="0.3">
      <c r="A164">
        <v>163</v>
      </c>
      <c r="B164">
        <v>5738</v>
      </c>
      <c r="C164" s="2">
        <v>28166</v>
      </c>
      <c r="D164">
        <v>48</v>
      </c>
      <c r="E164" t="s">
        <v>42</v>
      </c>
      <c r="F164" t="s">
        <v>37</v>
      </c>
      <c r="G164" s="2">
        <v>42139</v>
      </c>
      <c r="H164" s="3">
        <f t="shared" si="2"/>
        <v>10.638356164383561</v>
      </c>
      <c r="I164">
        <v>108</v>
      </c>
      <c r="J164" t="s">
        <v>57</v>
      </c>
      <c r="K164" t="s">
        <v>46</v>
      </c>
      <c r="L164" t="s">
        <v>44</v>
      </c>
      <c r="M164">
        <v>14.1</v>
      </c>
      <c r="N164">
        <v>13.8</v>
      </c>
      <c r="O164">
        <v>13.5</v>
      </c>
      <c r="P164">
        <v>13.2</v>
      </c>
      <c r="Q164">
        <v>12.9</v>
      </c>
      <c r="R164">
        <v>12.6</v>
      </c>
      <c r="S164">
        <v>12.3</v>
      </c>
      <c r="T164" t="s">
        <v>49</v>
      </c>
      <c r="U164">
        <v>0</v>
      </c>
      <c r="V164">
        <v>3</v>
      </c>
    </row>
    <row r="165" spans="1:36" x14ac:dyDescent="0.3">
      <c r="A165">
        <v>164</v>
      </c>
      <c r="B165">
        <v>5782</v>
      </c>
      <c r="C165" s="2">
        <v>32381</v>
      </c>
      <c r="D165">
        <v>37</v>
      </c>
      <c r="E165" t="s">
        <v>42</v>
      </c>
      <c r="F165" t="s">
        <v>50</v>
      </c>
      <c r="G165" s="2">
        <v>42139</v>
      </c>
      <c r="H165" s="3">
        <f t="shared" si="2"/>
        <v>10.638356164383561</v>
      </c>
      <c r="I165">
        <v>109</v>
      </c>
      <c r="J165" t="s">
        <v>57</v>
      </c>
      <c r="K165" t="s">
        <v>46</v>
      </c>
      <c r="L165" t="s">
        <v>44</v>
      </c>
      <c r="M165">
        <v>14.1</v>
      </c>
      <c r="N165">
        <v>13.8</v>
      </c>
      <c r="O165">
        <v>13.5</v>
      </c>
      <c r="P165">
        <v>13.2</v>
      </c>
      <c r="Q165">
        <v>12.9</v>
      </c>
      <c r="R165">
        <v>12.6</v>
      </c>
      <c r="S165">
        <v>12.3</v>
      </c>
      <c r="T165" t="s">
        <v>47</v>
      </c>
      <c r="U165">
        <v>0</v>
      </c>
      <c r="V165">
        <v>3</v>
      </c>
    </row>
    <row r="166" spans="1:36" x14ac:dyDescent="0.3">
      <c r="A166">
        <v>165</v>
      </c>
      <c r="B166">
        <v>5873</v>
      </c>
      <c r="C166" s="2">
        <v>35097</v>
      </c>
      <c r="D166">
        <v>29</v>
      </c>
      <c r="E166" t="s">
        <v>36</v>
      </c>
      <c r="F166" t="s">
        <v>50</v>
      </c>
      <c r="G166" s="2">
        <v>42139</v>
      </c>
      <c r="H166" s="3">
        <f t="shared" si="2"/>
        <v>10.638356164383561</v>
      </c>
      <c r="I166">
        <v>111</v>
      </c>
      <c r="J166" t="s">
        <v>57</v>
      </c>
      <c r="K166" t="s">
        <v>46</v>
      </c>
      <c r="L166" t="s">
        <v>44</v>
      </c>
      <c r="M166">
        <v>14.1</v>
      </c>
      <c r="N166">
        <v>13.8</v>
      </c>
      <c r="O166">
        <v>13.5</v>
      </c>
      <c r="P166">
        <v>13.2</v>
      </c>
      <c r="Q166">
        <v>12.9</v>
      </c>
      <c r="R166">
        <v>12.6</v>
      </c>
      <c r="S166">
        <v>12.3</v>
      </c>
      <c r="T166" t="s">
        <v>47</v>
      </c>
      <c r="U166">
        <v>1</v>
      </c>
      <c r="V166">
        <v>2</v>
      </c>
    </row>
    <row r="167" spans="1:36" x14ac:dyDescent="0.3">
      <c r="A167">
        <v>166</v>
      </c>
      <c r="B167">
        <v>5876</v>
      </c>
      <c r="C167" s="2">
        <v>35065</v>
      </c>
      <c r="D167">
        <v>30</v>
      </c>
      <c r="E167" t="s">
        <v>42</v>
      </c>
      <c r="F167" t="s">
        <v>50</v>
      </c>
      <c r="G167" s="2">
        <v>42139</v>
      </c>
      <c r="H167" s="3">
        <f t="shared" si="2"/>
        <v>10.638356164383561</v>
      </c>
      <c r="I167">
        <v>111</v>
      </c>
      <c r="J167" t="s">
        <v>57</v>
      </c>
      <c r="K167" t="s">
        <v>48</v>
      </c>
      <c r="L167" t="s">
        <v>44</v>
      </c>
      <c r="M167">
        <v>17.03</v>
      </c>
      <c r="N167">
        <v>16.73</v>
      </c>
      <c r="O167">
        <v>16.43</v>
      </c>
      <c r="P167">
        <v>16.13</v>
      </c>
      <c r="Q167">
        <v>15.83</v>
      </c>
      <c r="R167">
        <v>15.53</v>
      </c>
      <c r="S167">
        <v>15.23</v>
      </c>
      <c r="T167" t="s">
        <v>49</v>
      </c>
      <c r="U167">
        <v>0</v>
      </c>
      <c r="V167">
        <v>6</v>
      </c>
    </row>
    <row r="168" spans="1:36" x14ac:dyDescent="0.3">
      <c r="A168">
        <v>167</v>
      </c>
      <c r="B168">
        <v>5915</v>
      </c>
      <c r="C168" s="2">
        <v>34342</v>
      </c>
      <c r="D168">
        <v>31</v>
      </c>
      <c r="E168" t="s">
        <v>36</v>
      </c>
      <c r="F168" t="s">
        <v>50</v>
      </c>
      <c r="G168" s="2">
        <v>42139</v>
      </c>
      <c r="H168" s="3">
        <f t="shared" si="2"/>
        <v>10.638356164383561</v>
      </c>
      <c r="I168">
        <v>112</v>
      </c>
      <c r="J168" t="s">
        <v>57</v>
      </c>
      <c r="K168" t="s">
        <v>43</v>
      </c>
      <c r="L168" t="s">
        <v>44</v>
      </c>
      <c r="M168">
        <v>15.81</v>
      </c>
      <c r="N168">
        <v>15.51</v>
      </c>
      <c r="O168">
        <v>15.21</v>
      </c>
      <c r="P168">
        <v>14.91</v>
      </c>
      <c r="Q168">
        <v>14.61</v>
      </c>
      <c r="R168">
        <v>14.31</v>
      </c>
      <c r="S168">
        <v>14.01</v>
      </c>
      <c r="T168" t="s">
        <v>52</v>
      </c>
      <c r="U168">
        <v>1</v>
      </c>
      <c r="V168">
        <v>4</v>
      </c>
    </row>
    <row r="169" spans="1:36" x14ac:dyDescent="0.3">
      <c r="A169">
        <v>168</v>
      </c>
      <c r="B169">
        <v>5916</v>
      </c>
      <c r="C169" s="2">
        <v>30000</v>
      </c>
      <c r="D169">
        <v>43</v>
      </c>
      <c r="E169" t="s">
        <v>42</v>
      </c>
      <c r="F169" t="s">
        <v>50</v>
      </c>
      <c r="G169" s="2">
        <v>42139</v>
      </c>
      <c r="H169" s="3">
        <f t="shared" si="2"/>
        <v>10.638356164383561</v>
      </c>
      <c r="I169">
        <v>112</v>
      </c>
      <c r="J169" t="s">
        <v>57</v>
      </c>
      <c r="K169" t="s">
        <v>43</v>
      </c>
      <c r="L169" t="s">
        <v>44</v>
      </c>
      <c r="M169">
        <v>15.81</v>
      </c>
      <c r="N169">
        <v>15.51</v>
      </c>
      <c r="O169">
        <v>15.21</v>
      </c>
      <c r="P169">
        <v>14.91</v>
      </c>
      <c r="Q169">
        <v>14.61</v>
      </c>
      <c r="R169">
        <v>14.31</v>
      </c>
      <c r="S169">
        <v>14.01</v>
      </c>
      <c r="T169" t="s">
        <v>47</v>
      </c>
      <c r="U169">
        <v>0</v>
      </c>
      <c r="V169">
        <v>4</v>
      </c>
    </row>
    <row r="170" spans="1:36" x14ac:dyDescent="0.3">
      <c r="A170">
        <v>169</v>
      </c>
      <c r="B170">
        <v>6012</v>
      </c>
      <c r="C170" s="2">
        <v>28768</v>
      </c>
      <c r="D170">
        <v>47</v>
      </c>
      <c r="E170" t="s">
        <v>42</v>
      </c>
      <c r="F170" t="s">
        <v>37</v>
      </c>
      <c r="G170" s="2">
        <v>42139</v>
      </c>
      <c r="H170" s="3">
        <f t="shared" si="2"/>
        <v>10.638356164383561</v>
      </c>
      <c r="I170">
        <v>114</v>
      </c>
      <c r="J170" t="s">
        <v>57</v>
      </c>
      <c r="K170" t="s">
        <v>51</v>
      </c>
      <c r="L170" t="s">
        <v>44</v>
      </c>
      <c r="M170">
        <v>34.46</v>
      </c>
      <c r="N170">
        <v>34.11</v>
      </c>
      <c r="O170">
        <v>33.9</v>
      </c>
      <c r="P170">
        <v>33.68</v>
      </c>
      <c r="Q170">
        <v>33.31</v>
      </c>
      <c r="R170">
        <v>32.94</v>
      </c>
      <c r="S170">
        <v>32.520000000000003</v>
      </c>
      <c r="T170" t="s">
        <v>49</v>
      </c>
      <c r="U170">
        <v>0</v>
      </c>
      <c r="V170">
        <v>5</v>
      </c>
    </row>
    <row r="171" spans="1:36" x14ac:dyDescent="0.3">
      <c r="A171">
        <v>170</v>
      </c>
      <c r="B171">
        <v>6043</v>
      </c>
      <c r="C171" s="2">
        <v>32767</v>
      </c>
      <c r="D171">
        <v>36</v>
      </c>
      <c r="E171" t="s">
        <v>42</v>
      </c>
      <c r="F171" t="s">
        <v>50</v>
      </c>
      <c r="G171" s="2">
        <v>42139</v>
      </c>
      <c r="H171" s="3">
        <f t="shared" si="2"/>
        <v>10.638356164383561</v>
      </c>
      <c r="I171">
        <v>59</v>
      </c>
      <c r="J171" t="s">
        <v>38</v>
      </c>
      <c r="K171" t="s">
        <v>39</v>
      </c>
      <c r="L171" t="s">
        <v>40</v>
      </c>
      <c r="M171">
        <v>64324</v>
      </c>
      <c r="N171">
        <v>62449</v>
      </c>
      <c r="O171">
        <v>60574</v>
      </c>
      <c r="P171">
        <v>58699</v>
      </c>
      <c r="Q171">
        <v>56824</v>
      </c>
      <c r="R171">
        <v>55699</v>
      </c>
      <c r="S171">
        <v>51199</v>
      </c>
      <c r="T171" t="s">
        <v>67</v>
      </c>
      <c r="U171">
        <v>1</v>
      </c>
      <c r="V171">
        <v>7</v>
      </c>
      <c r="W171">
        <v>7</v>
      </c>
      <c r="X171" s="2">
        <v>42757</v>
      </c>
      <c r="Y171" t="s">
        <v>69</v>
      </c>
      <c r="Z171" s="2">
        <v>43201</v>
      </c>
      <c r="AA171" t="s">
        <v>59</v>
      </c>
      <c r="AB171" s="2">
        <v>43813</v>
      </c>
      <c r="AC171" t="s">
        <v>62</v>
      </c>
      <c r="AD171">
        <v>4</v>
      </c>
      <c r="AE171">
        <v>4</v>
      </c>
      <c r="AF171">
        <v>4</v>
      </c>
      <c r="AG171">
        <v>4</v>
      </c>
      <c r="AH171">
        <v>4</v>
      </c>
      <c r="AI171">
        <v>2</v>
      </c>
      <c r="AJ171">
        <v>3</v>
      </c>
    </row>
    <row r="172" spans="1:36" x14ac:dyDescent="0.3">
      <c r="A172">
        <v>171</v>
      </c>
      <c r="B172">
        <v>6050</v>
      </c>
      <c r="C172" s="2">
        <v>35150</v>
      </c>
      <c r="D172">
        <v>29</v>
      </c>
      <c r="E172" t="s">
        <v>42</v>
      </c>
      <c r="F172" t="s">
        <v>37</v>
      </c>
      <c r="G172" s="2">
        <v>42139</v>
      </c>
      <c r="H172" s="3">
        <f t="shared" si="2"/>
        <v>10.638356164383561</v>
      </c>
      <c r="I172">
        <v>115</v>
      </c>
      <c r="J172" t="s">
        <v>57</v>
      </c>
      <c r="K172" t="s">
        <v>43</v>
      </c>
      <c r="L172" t="s">
        <v>44</v>
      </c>
      <c r="M172">
        <v>15.81</v>
      </c>
      <c r="N172">
        <v>15.51</v>
      </c>
      <c r="O172">
        <v>15.21</v>
      </c>
      <c r="P172">
        <v>14.91</v>
      </c>
      <c r="Q172">
        <v>14.61</v>
      </c>
      <c r="R172">
        <v>14.31</v>
      </c>
      <c r="S172">
        <v>14.01</v>
      </c>
      <c r="T172" t="s">
        <v>47</v>
      </c>
      <c r="U172">
        <v>0</v>
      </c>
      <c r="V172">
        <v>4</v>
      </c>
    </row>
    <row r="173" spans="1:36" x14ac:dyDescent="0.3">
      <c r="A173">
        <v>172</v>
      </c>
      <c r="B173">
        <v>6101</v>
      </c>
      <c r="C173" s="2">
        <v>34185</v>
      </c>
      <c r="D173">
        <v>32</v>
      </c>
      <c r="E173" t="s">
        <v>36</v>
      </c>
      <c r="F173" t="s">
        <v>50</v>
      </c>
      <c r="G173" s="2">
        <v>42139</v>
      </c>
      <c r="H173" s="3">
        <f t="shared" si="2"/>
        <v>10.638356164383561</v>
      </c>
      <c r="I173">
        <v>116</v>
      </c>
      <c r="J173" t="s">
        <v>57</v>
      </c>
      <c r="K173" t="s">
        <v>48</v>
      </c>
      <c r="L173" t="s">
        <v>44</v>
      </c>
      <c r="M173">
        <v>17.03</v>
      </c>
      <c r="N173">
        <v>16.73</v>
      </c>
      <c r="O173">
        <v>16.43</v>
      </c>
      <c r="P173">
        <v>16.13</v>
      </c>
      <c r="Q173">
        <v>15.83</v>
      </c>
      <c r="R173">
        <v>15.53</v>
      </c>
      <c r="S173">
        <v>15.23</v>
      </c>
      <c r="T173" t="s">
        <v>49</v>
      </c>
      <c r="U173">
        <v>2</v>
      </c>
      <c r="V173">
        <v>4</v>
      </c>
    </row>
    <row r="174" spans="1:36" x14ac:dyDescent="0.3">
      <c r="A174">
        <v>173</v>
      </c>
      <c r="B174">
        <v>6186</v>
      </c>
      <c r="C174" s="2">
        <v>35679</v>
      </c>
      <c r="D174">
        <v>28</v>
      </c>
      <c r="E174" t="s">
        <v>36</v>
      </c>
      <c r="F174" t="s">
        <v>50</v>
      </c>
      <c r="G174" s="2">
        <v>42139</v>
      </c>
      <c r="H174" s="3">
        <f t="shared" si="2"/>
        <v>10.638356164383561</v>
      </c>
      <c r="I174">
        <v>118</v>
      </c>
      <c r="J174" t="s">
        <v>57</v>
      </c>
      <c r="K174" t="s">
        <v>43</v>
      </c>
      <c r="L174" t="s">
        <v>44</v>
      </c>
      <c r="M174">
        <v>15.81</v>
      </c>
      <c r="N174">
        <v>15.51</v>
      </c>
      <c r="O174">
        <v>15.21</v>
      </c>
      <c r="P174">
        <v>14.91</v>
      </c>
      <c r="Q174">
        <v>14.61</v>
      </c>
      <c r="R174">
        <v>14.31</v>
      </c>
      <c r="S174">
        <v>14.01</v>
      </c>
      <c r="T174" t="s">
        <v>47</v>
      </c>
      <c r="U174">
        <v>0</v>
      </c>
      <c r="V174">
        <v>3</v>
      </c>
    </row>
    <row r="175" spans="1:36" x14ac:dyDescent="0.3">
      <c r="A175">
        <v>174</v>
      </c>
      <c r="B175">
        <v>6189</v>
      </c>
      <c r="C175" s="2">
        <v>34805</v>
      </c>
      <c r="D175">
        <v>30</v>
      </c>
      <c r="E175" t="s">
        <v>42</v>
      </c>
      <c r="F175" t="s">
        <v>50</v>
      </c>
      <c r="G175" s="2">
        <v>42139</v>
      </c>
      <c r="H175" s="3">
        <f t="shared" si="2"/>
        <v>10.638356164383561</v>
      </c>
      <c r="I175">
        <v>118</v>
      </c>
      <c r="J175" t="s">
        <v>57</v>
      </c>
      <c r="K175" t="s">
        <v>64</v>
      </c>
      <c r="L175" t="s">
        <v>44</v>
      </c>
      <c r="M175">
        <v>13.97</v>
      </c>
      <c r="N175">
        <v>13.67</v>
      </c>
      <c r="O175">
        <v>13.37</v>
      </c>
      <c r="P175">
        <v>13.07</v>
      </c>
      <c r="Q175">
        <v>12.77</v>
      </c>
      <c r="R175">
        <v>12.47</v>
      </c>
      <c r="S175">
        <v>12.17</v>
      </c>
      <c r="T175" t="s">
        <v>49</v>
      </c>
      <c r="U175">
        <v>0</v>
      </c>
      <c r="V175">
        <v>5</v>
      </c>
    </row>
    <row r="176" spans="1:36" x14ac:dyDescent="0.3">
      <c r="A176">
        <v>175</v>
      </c>
      <c r="B176">
        <v>6200</v>
      </c>
      <c r="C176" s="2">
        <v>33725</v>
      </c>
      <c r="D176">
        <v>34</v>
      </c>
      <c r="E176" t="s">
        <v>36</v>
      </c>
      <c r="F176" t="s">
        <v>50</v>
      </c>
      <c r="G176" s="2">
        <v>42139</v>
      </c>
      <c r="H176" s="3">
        <f t="shared" si="2"/>
        <v>10.638356164383561</v>
      </c>
      <c r="I176">
        <v>118</v>
      </c>
      <c r="J176" t="s">
        <v>57</v>
      </c>
      <c r="K176" t="s">
        <v>55</v>
      </c>
      <c r="L176" t="s">
        <v>44</v>
      </c>
      <c r="M176">
        <v>16.78</v>
      </c>
      <c r="N176">
        <v>16.48</v>
      </c>
      <c r="O176">
        <v>16.18</v>
      </c>
      <c r="P176">
        <v>15.88</v>
      </c>
      <c r="Q176">
        <v>15.58</v>
      </c>
      <c r="R176">
        <v>15.28</v>
      </c>
      <c r="S176">
        <v>14.98</v>
      </c>
      <c r="T176" t="s">
        <v>47</v>
      </c>
      <c r="U176">
        <v>4</v>
      </c>
      <c r="V176">
        <v>6</v>
      </c>
    </row>
    <row r="177" spans="1:36" x14ac:dyDescent="0.3">
      <c r="A177">
        <v>176</v>
      </c>
      <c r="B177">
        <v>6222</v>
      </c>
      <c r="C177" s="2">
        <v>23985</v>
      </c>
      <c r="D177">
        <v>60</v>
      </c>
      <c r="E177" t="s">
        <v>36</v>
      </c>
      <c r="F177" t="s">
        <v>37</v>
      </c>
      <c r="G177" s="2">
        <v>42139</v>
      </c>
      <c r="H177" s="3">
        <f t="shared" si="2"/>
        <v>10.638356164383561</v>
      </c>
      <c r="I177">
        <v>63</v>
      </c>
      <c r="J177" t="s">
        <v>38</v>
      </c>
      <c r="K177" t="s">
        <v>39</v>
      </c>
      <c r="L177" t="s">
        <v>40</v>
      </c>
      <c r="M177">
        <v>90381</v>
      </c>
      <c r="N177">
        <v>88131</v>
      </c>
      <c r="O177">
        <v>85131</v>
      </c>
      <c r="P177">
        <v>82131</v>
      </c>
      <c r="Q177">
        <v>79881</v>
      </c>
      <c r="R177">
        <v>77631</v>
      </c>
      <c r="S177">
        <v>74631</v>
      </c>
      <c r="T177" t="s">
        <v>67</v>
      </c>
      <c r="U177">
        <v>1</v>
      </c>
      <c r="V177">
        <v>4</v>
      </c>
      <c r="W177">
        <v>2</v>
      </c>
      <c r="X177" s="2">
        <v>43073</v>
      </c>
      <c r="Y177" t="s">
        <v>62</v>
      </c>
      <c r="AD177">
        <v>4</v>
      </c>
      <c r="AE177">
        <v>4</v>
      </c>
      <c r="AF177">
        <v>5</v>
      </c>
      <c r="AG177">
        <v>5</v>
      </c>
      <c r="AH177">
        <v>4</v>
      </c>
      <c r="AI177">
        <v>4</v>
      </c>
      <c r="AJ177">
        <v>5</v>
      </c>
    </row>
    <row r="178" spans="1:36" x14ac:dyDescent="0.3">
      <c r="A178">
        <v>177</v>
      </c>
      <c r="B178">
        <v>6313</v>
      </c>
      <c r="C178" s="2">
        <v>33233</v>
      </c>
      <c r="D178">
        <v>35</v>
      </c>
      <c r="E178" t="s">
        <v>36</v>
      </c>
      <c r="F178" t="s">
        <v>50</v>
      </c>
      <c r="G178" s="2">
        <v>42139</v>
      </c>
      <c r="H178" s="3">
        <f t="shared" si="2"/>
        <v>10.638356164383561</v>
      </c>
      <c r="I178">
        <v>42</v>
      </c>
      <c r="J178" t="s">
        <v>38</v>
      </c>
      <c r="K178" t="s">
        <v>39</v>
      </c>
      <c r="L178" t="s">
        <v>40</v>
      </c>
      <c r="M178">
        <v>59199</v>
      </c>
      <c r="N178">
        <v>58449</v>
      </c>
      <c r="O178">
        <v>57699</v>
      </c>
      <c r="P178">
        <v>56199</v>
      </c>
      <c r="Q178">
        <v>54699</v>
      </c>
      <c r="R178">
        <v>53199</v>
      </c>
      <c r="S178">
        <v>51699</v>
      </c>
      <c r="T178" t="s">
        <v>63</v>
      </c>
      <c r="U178">
        <v>2</v>
      </c>
      <c r="V178">
        <v>4</v>
      </c>
      <c r="W178">
        <v>4</v>
      </c>
      <c r="X178" s="2">
        <v>42653</v>
      </c>
      <c r="Y178" t="s">
        <v>69</v>
      </c>
      <c r="Z178" s="2">
        <v>43196</v>
      </c>
      <c r="AA178" t="s">
        <v>59</v>
      </c>
      <c r="AB178" s="2">
        <v>44856</v>
      </c>
      <c r="AC178" t="s">
        <v>62</v>
      </c>
      <c r="AD178">
        <v>4</v>
      </c>
      <c r="AE178">
        <v>1</v>
      </c>
      <c r="AF178">
        <v>1</v>
      </c>
      <c r="AG178">
        <v>4</v>
      </c>
      <c r="AH178">
        <v>5</v>
      </c>
      <c r="AI178">
        <v>5</v>
      </c>
      <c r="AJ178">
        <v>5</v>
      </c>
    </row>
    <row r="179" spans="1:36" x14ac:dyDescent="0.3">
      <c r="A179">
        <v>178</v>
      </c>
      <c r="B179">
        <v>6321</v>
      </c>
      <c r="C179" s="2">
        <v>35046</v>
      </c>
      <c r="D179">
        <v>30</v>
      </c>
      <c r="E179" t="s">
        <v>36</v>
      </c>
      <c r="F179" t="s">
        <v>50</v>
      </c>
      <c r="G179" s="2">
        <v>42139</v>
      </c>
      <c r="H179" s="3">
        <f t="shared" si="2"/>
        <v>10.638356164383561</v>
      </c>
      <c r="I179">
        <v>121</v>
      </c>
      <c r="J179" t="s">
        <v>57</v>
      </c>
      <c r="K179" t="s">
        <v>43</v>
      </c>
      <c r="L179" t="s">
        <v>44</v>
      </c>
      <c r="M179">
        <v>15.81</v>
      </c>
      <c r="N179">
        <v>15.51</v>
      </c>
      <c r="O179">
        <v>15.21</v>
      </c>
      <c r="P179">
        <v>14.91</v>
      </c>
      <c r="Q179">
        <v>14.61</v>
      </c>
      <c r="R179">
        <v>14.31</v>
      </c>
      <c r="S179">
        <v>14.01</v>
      </c>
      <c r="T179" t="s">
        <v>47</v>
      </c>
      <c r="U179">
        <v>1</v>
      </c>
      <c r="V179">
        <v>3</v>
      </c>
    </row>
    <row r="180" spans="1:36" x14ac:dyDescent="0.3">
      <c r="A180">
        <v>179</v>
      </c>
      <c r="B180">
        <v>6357</v>
      </c>
      <c r="C180" s="2">
        <v>29110</v>
      </c>
      <c r="D180">
        <v>46</v>
      </c>
      <c r="E180" t="s">
        <v>36</v>
      </c>
      <c r="F180" t="s">
        <v>37</v>
      </c>
      <c r="G180" s="2">
        <v>42139</v>
      </c>
      <c r="H180" s="3">
        <f t="shared" si="2"/>
        <v>10.638356164383561</v>
      </c>
      <c r="I180">
        <v>6</v>
      </c>
      <c r="J180" t="s">
        <v>38</v>
      </c>
      <c r="K180" t="s">
        <v>39</v>
      </c>
      <c r="L180" t="s">
        <v>40</v>
      </c>
      <c r="M180">
        <v>84538</v>
      </c>
      <c r="N180">
        <v>82288</v>
      </c>
      <c r="O180">
        <v>80038</v>
      </c>
      <c r="P180">
        <v>77788</v>
      </c>
      <c r="Q180">
        <v>75538</v>
      </c>
      <c r="R180">
        <v>73288</v>
      </c>
      <c r="S180">
        <v>71038</v>
      </c>
      <c r="T180" t="s">
        <v>63</v>
      </c>
      <c r="U180">
        <v>2</v>
      </c>
      <c r="V180">
        <v>5</v>
      </c>
      <c r="W180">
        <v>3</v>
      </c>
      <c r="X180" s="2">
        <v>42967</v>
      </c>
      <c r="Y180" t="s">
        <v>62</v>
      </c>
      <c r="AD180">
        <v>5</v>
      </c>
      <c r="AE180">
        <v>5</v>
      </c>
      <c r="AF180">
        <v>5</v>
      </c>
      <c r="AG180">
        <v>5</v>
      </c>
      <c r="AH180">
        <v>5</v>
      </c>
      <c r="AI180">
        <v>5</v>
      </c>
      <c r="AJ180">
        <v>5</v>
      </c>
    </row>
    <row r="181" spans="1:36" x14ac:dyDescent="0.3">
      <c r="A181">
        <v>180</v>
      </c>
      <c r="B181">
        <v>6501</v>
      </c>
      <c r="C181" s="2">
        <v>32198</v>
      </c>
      <c r="D181">
        <v>37</v>
      </c>
      <c r="E181" t="s">
        <v>36</v>
      </c>
      <c r="F181" t="s">
        <v>50</v>
      </c>
      <c r="G181" s="2">
        <v>42139</v>
      </c>
      <c r="H181" s="3">
        <f t="shared" si="2"/>
        <v>10.638356164383561</v>
      </c>
      <c r="I181">
        <v>125</v>
      </c>
      <c r="J181" t="s">
        <v>57</v>
      </c>
      <c r="K181" t="s">
        <v>43</v>
      </c>
      <c r="L181" t="s">
        <v>44</v>
      </c>
      <c r="M181">
        <v>10.73</v>
      </c>
      <c r="N181">
        <v>10.58</v>
      </c>
      <c r="O181">
        <v>10.43</v>
      </c>
      <c r="P181">
        <v>10.28</v>
      </c>
      <c r="Q181">
        <v>10.28</v>
      </c>
      <c r="R181">
        <v>10.130000000000001</v>
      </c>
      <c r="S181">
        <v>9.98</v>
      </c>
      <c r="T181" t="s">
        <v>47</v>
      </c>
      <c r="U181">
        <v>0</v>
      </c>
      <c r="V181">
        <v>4</v>
      </c>
    </row>
    <row r="182" spans="1:36" x14ac:dyDescent="0.3">
      <c r="A182">
        <v>181</v>
      </c>
      <c r="B182">
        <v>6627</v>
      </c>
      <c r="C182" s="2">
        <v>28653</v>
      </c>
      <c r="D182">
        <v>47</v>
      </c>
      <c r="E182" t="s">
        <v>36</v>
      </c>
      <c r="F182" t="s">
        <v>50</v>
      </c>
      <c r="G182" s="2">
        <v>42139</v>
      </c>
      <c r="H182" s="3">
        <f t="shared" si="2"/>
        <v>10.638356164383561</v>
      </c>
      <c r="I182">
        <v>12</v>
      </c>
      <c r="J182" t="s">
        <v>38</v>
      </c>
      <c r="K182" t="s">
        <v>39</v>
      </c>
      <c r="L182" t="s">
        <v>40</v>
      </c>
      <c r="M182">
        <v>79506</v>
      </c>
      <c r="N182">
        <v>78006</v>
      </c>
      <c r="O182">
        <v>76506</v>
      </c>
      <c r="P182">
        <v>75006</v>
      </c>
      <c r="Q182">
        <v>74256</v>
      </c>
      <c r="R182">
        <v>72756</v>
      </c>
      <c r="S182">
        <v>72006</v>
      </c>
      <c r="T182" t="s">
        <v>61</v>
      </c>
      <c r="U182">
        <v>2</v>
      </c>
      <c r="V182">
        <v>4</v>
      </c>
      <c r="W182">
        <v>4</v>
      </c>
      <c r="X182" s="2">
        <v>43045</v>
      </c>
      <c r="Y182" t="s">
        <v>62</v>
      </c>
      <c r="AD182">
        <v>3</v>
      </c>
      <c r="AE182">
        <v>3</v>
      </c>
      <c r="AF182">
        <v>3</v>
      </c>
      <c r="AG182">
        <v>3</v>
      </c>
      <c r="AH182">
        <v>2</v>
      </c>
      <c r="AI182">
        <v>3</v>
      </c>
      <c r="AJ182">
        <v>2</v>
      </c>
    </row>
    <row r="183" spans="1:36" x14ac:dyDescent="0.3">
      <c r="A183">
        <v>182</v>
      </c>
      <c r="B183">
        <v>6636</v>
      </c>
      <c r="C183" s="2">
        <v>33300</v>
      </c>
      <c r="D183">
        <v>34</v>
      </c>
      <c r="E183" t="s">
        <v>42</v>
      </c>
      <c r="F183" t="s">
        <v>37</v>
      </c>
      <c r="G183" s="2">
        <v>42139</v>
      </c>
      <c r="H183" s="3">
        <f t="shared" si="2"/>
        <v>10.638356164383561</v>
      </c>
      <c r="I183">
        <v>128</v>
      </c>
      <c r="J183" t="s">
        <v>57</v>
      </c>
      <c r="K183" t="s">
        <v>43</v>
      </c>
      <c r="L183" t="s">
        <v>44</v>
      </c>
      <c r="M183">
        <v>15.81</v>
      </c>
      <c r="N183">
        <v>15.51</v>
      </c>
      <c r="O183">
        <v>15.21</v>
      </c>
      <c r="P183">
        <v>14.91</v>
      </c>
      <c r="Q183">
        <v>14.61</v>
      </c>
      <c r="R183">
        <v>14.31</v>
      </c>
      <c r="S183">
        <v>14.01</v>
      </c>
      <c r="T183" t="s">
        <v>52</v>
      </c>
      <c r="U183">
        <v>1</v>
      </c>
      <c r="V183">
        <v>4</v>
      </c>
    </row>
    <row r="184" spans="1:36" x14ac:dyDescent="0.3">
      <c r="A184">
        <v>183</v>
      </c>
      <c r="B184">
        <v>6640</v>
      </c>
      <c r="C184" s="2">
        <v>34925</v>
      </c>
      <c r="D184">
        <v>30</v>
      </c>
      <c r="E184" t="s">
        <v>42</v>
      </c>
      <c r="F184" t="s">
        <v>50</v>
      </c>
      <c r="G184" s="2">
        <v>42139</v>
      </c>
      <c r="H184" s="3">
        <f t="shared" si="2"/>
        <v>10.638356164383561</v>
      </c>
      <c r="I184">
        <v>128</v>
      </c>
      <c r="J184" t="s">
        <v>57</v>
      </c>
      <c r="K184" t="s">
        <v>48</v>
      </c>
      <c r="L184" t="s">
        <v>44</v>
      </c>
      <c r="M184">
        <v>17.03</v>
      </c>
      <c r="N184">
        <v>16.73</v>
      </c>
      <c r="O184">
        <v>16.43</v>
      </c>
      <c r="P184">
        <v>16.13</v>
      </c>
      <c r="Q184">
        <v>15.83</v>
      </c>
      <c r="R184">
        <v>15.53</v>
      </c>
      <c r="S184">
        <v>15.23</v>
      </c>
      <c r="T184" t="s">
        <v>52</v>
      </c>
      <c r="U184">
        <v>2</v>
      </c>
      <c r="V184">
        <v>6</v>
      </c>
    </row>
    <row r="185" spans="1:36" x14ac:dyDescent="0.3">
      <c r="A185">
        <v>184</v>
      </c>
      <c r="B185">
        <v>6648</v>
      </c>
      <c r="C185" s="2">
        <v>31754</v>
      </c>
      <c r="D185">
        <v>39</v>
      </c>
      <c r="E185" t="s">
        <v>36</v>
      </c>
      <c r="F185" t="s">
        <v>50</v>
      </c>
      <c r="G185" s="2">
        <v>42139</v>
      </c>
      <c r="H185" s="3">
        <f t="shared" si="2"/>
        <v>10.638356164383561</v>
      </c>
      <c r="I185">
        <v>128</v>
      </c>
      <c r="J185" t="s">
        <v>57</v>
      </c>
      <c r="K185" t="s">
        <v>54</v>
      </c>
      <c r="L185" t="s">
        <v>44</v>
      </c>
      <c r="M185">
        <v>21.74</v>
      </c>
      <c r="N185">
        <v>21.44</v>
      </c>
      <c r="O185">
        <v>21.14</v>
      </c>
      <c r="P185">
        <v>20.84</v>
      </c>
      <c r="Q185">
        <v>20.54</v>
      </c>
      <c r="R185">
        <v>20.239999999999998</v>
      </c>
      <c r="S185">
        <v>19.940000000000001</v>
      </c>
      <c r="T185" t="s">
        <v>49</v>
      </c>
      <c r="U185">
        <v>4</v>
      </c>
      <c r="V185">
        <v>4</v>
      </c>
    </row>
    <row r="186" spans="1:36" x14ac:dyDescent="0.3">
      <c r="A186">
        <v>185</v>
      </c>
      <c r="B186">
        <v>6763</v>
      </c>
      <c r="C186" s="2">
        <v>32700</v>
      </c>
      <c r="D186">
        <v>36</v>
      </c>
      <c r="E186" t="s">
        <v>42</v>
      </c>
      <c r="F186" t="s">
        <v>50</v>
      </c>
      <c r="G186" s="2">
        <v>42139</v>
      </c>
      <c r="H186" s="3">
        <f t="shared" si="2"/>
        <v>10.638356164383561</v>
      </c>
      <c r="I186">
        <v>13</v>
      </c>
      <c r="J186" t="s">
        <v>38</v>
      </c>
      <c r="K186" t="s">
        <v>39</v>
      </c>
      <c r="L186" t="s">
        <v>40</v>
      </c>
      <c r="M186">
        <v>58617</v>
      </c>
      <c r="N186">
        <v>57867</v>
      </c>
      <c r="O186">
        <v>57117</v>
      </c>
      <c r="P186">
        <v>56367</v>
      </c>
      <c r="Q186">
        <v>56367</v>
      </c>
      <c r="R186">
        <v>54117</v>
      </c>
      <c r="S186">
        <v>52617</v>
      </c>
      <c r="T186" t="s">
        <v>61</v>
      </c>
      <c r="U186">
        <v>0</v>
      </c>
      <c r="V186">
        <v>5</v>
      </c>
      <c r="W186">
        <v>5</v>
      </c>
      <c r="X186" s="2">
        <v>42660</v>
      </c>
      <c r="Y186" t="s">
        <v>69</v>
      </c>
      <c r="Z186" s="2">
        <v>43238</v>
      </c>
      <c r="AA186" t="s">
        <v>59</v>
      </c>
      <c r="AB186" s="2">
        <v>43909</v>
      </c>
      <c r="AC186" t="s">
        <v>62</v>
      </c>
      <c r="AD186">
        <v>4</v>
      </c>
      <c r="AE186">
        <v>4</v>
      </c>
      <c r="AF186">
        <v>2</v>
      </c>
      <c r="AG186">
        <v>2</v>
      </c>
      <c r="AH186">
        <v>4</v>
      </c>
      <c r="AI186">
        <v>5</v>
      </c>
      <c r="AJ186">
        <v>5</v>
      </c>
    </row>
    <row r="187" spans="1:36" x14ac:dyDescent="0.3">
      <c r="A187">
        <v>186</v>
      </c>
      <c r="B187">
        <v>6808</v>
      </c>
      <c r="C187" s="2">
        <v>32490</v>
      </c>
      <c r="D187">
        <v>37</v>
      </c>
      <c r="E187" t="s">
        <v>42</v>
      </c>
      <c r="F187" t="s">
        <v>50</v>
      </c>
      <c r="G187" s="2">
        <v>42139</v>
      </c>
      <c r="H187" s="3">
        <f t="shared" si="2"/>
        <v>10.638356164383561</v>
      </c>
      <c r="I187">
        <v>43</v>
      </c>
      <c r="J187" t="s">
        <v>38</v>
      </c>
      <c r="K187" t="s">
        <v>39</v>
      </c>
      <c r="L187" t="s">
        <v>40</v>
      </c>
      <c r="M187">
        <v>64324</v>
      </c>
      <c r="N187">
        <v>63574</v>
      </c>
      <c r="O187">
        <v>61324</v>
      </c>
      <c r="P187">
        <v>59449</v>
      </c>
      <c r="Q187">
        <v>57949</v>
      </c>
      <c r="R187">
        <v>56824</v>
      </c>
      <c r="S187">
        <v>55699</v>
      </c>
      <c r="T187" t="s">
        <v>61</v>
      </c>
      <c r="U187">
        <v>0</v>
      </c>
      <c r="V187">
        <v>4</v>
      </c>
      <c r="W187">
        <v>5</v>
      </c>
      <c r="X187" s="2">
        <v>42578</v>
      </c>
      <c r="Y187" t="s">
        <v>69</v>
      </c>
      <c r="Z187" s="2">
        <v>43466</v>
      </c>
      <c r="AA187" t="s">
        <v>59</v>
      </c>
      <c r="AB187" s="2">
        <v>45173</v>
      </c>
      <c r="AC187" t="s">
        <v>62</v>
      </c>
      <c r="AD187">
        <v>3</v>
      </c>
      <c r="AE187">
        <v>4</v>
      </c>
      <c r="AF187">
        <v>3</v>
      </c>
      <c r="AG187">
        <v>4</v>
      </c>
      <c r="AH187">
        <v>3</v>
      </c>
      <c r="AI187">
        <v>2</v>
      </c>
      <c r="AJ187">
        <v>2</v>
      </c>
    </row>
    <row r="188" spans="1:36" x14ac:dyDescent="0.3">
      <c r="A188">
        <v>187</v>
      </c>
      <c r="B188">
        <v>6956</v>
      </c>
      <c r="C188" s="2">
        <v>34883</v>
      </c>
      <c r="D188">
        <v>30</v>
      </c>
      <c r="E188" t="s">
        <v>42</v>
      </c>
      <c r="F188" t="s">
        <v>50</v>
      </c>
      <c r="G188" s="2">
        <v>42139</v>
      </c>
      <c r="H188" s="3">
        <f t="shared" si="2"/>
        <v>10.638356164383561</v>
      </c>
      <c r="I188">
        <v>135</v>
      </c>
      <c r="J188" t="s">
        <v>57</v>
      </c>
      <c r="K188" t="s">
        <v>48</v>
      </c>
      <c r="L188" t="s">
        <v>44</v>
      </c>
      <c r="M188">
        <v>17.03</v>
      </c>
      <c r="N188">
        <v>16.73</v>
      </c>
      <c r="O188">
        <v>16.43</v>
      </c>
      <c r="P188">
        <v>16.13</v>
      </c>
      <c r="Q188">
        <v>15.83</v>
      </c>
      <c r="R188">
        <v>15.53</v>
      </c>
      <c r="S188">
        <v>15.23</v>
      </c>
      <c r="T188" t="s">
        <v>47</v>
      </c>
      <c r="U188">
        <v>2</v>
      </c>
      <c r="V188">
        <v>6</v>
      </c>
    </row>
    <row r="189" spans="1:36" x14ac:dyDescent="0.3">
      <c r="A189">
        <v>188</v>
      </c>
      <c r="B189">
        <v>6988</v>
      </c>
      <c r="C189" s="2">
        <v>32804</v>
      </c>
      <c r="D189">
        <v>36</v>
      </c>
      <c r="E189" t="s">
        <v>36</v>
      </c>
      <c r="F189" t="s">
        <v>50</v>
      </c>
      <c r="G189" s="2">
        <v>42139</v>
      </c>
      <c r="H189" s="3">
        <f t="shared" si="2"/>
        <v>10.638356164383561</v>
      </c>
      <c r="I189">
        <v>96</v>
      </c>
      <c r="J189" t="s">
        <v>57</v>
      </c>
      <c r="K189" t="s">
        <v>39</v>
      </c>
      <c r="L189" t="s">
        <v>40</v>
      </c>
      <c r="M189">
        <v>50774</v>
      </c>
      <c r="N189">
        <v>49712</v>
      </c>
      <c r="O189">
        <v>47938</v>
      </c>
      <c r="P189">
        <v>46589</v>
      </c>
      <c r="Q189">
        <v>44941</v>
      </c>
      <c r="R189">
        <v>44941</v>
      </c>
      <c r="S189">
        <v>42781</v>
      </c>
      <c r="T189" t="s">
        <v>66</v>
      </c>
      <c r="U189">
        <v>0</v>
      </c>
      <c r="V189">
        <v>3</v>
      </c>
      <c r="W189">
        <v>3</v>
      </c>
      <c r="X189" s="2">
        <v>42447</v>
      </c>
      <c r="Y189" t="s">
        <v>69</v>
      </c>
      <c r="Z189" s="2">
        <v>43230</v>
      </c>
      <c r="AA189" t="s">
        <v>59</v>
      </c>
      <c r="AD189">
        <v>3</v>
      </c>
      <c r="AE189">
        <v>2</v>
      </c>
      <c r="AF189">
        <v>4</v>
      </c>
      <c r="AG189">
        <v>3</v>
      </c>
      <c r="AH189">
        <v>4</v>
      </c>
      <c r="AI189">
        <v>5</v>
      </c>
      <c r="AJ189">
        <v>5</v>
      </c>
    </row>
    <row r="190" spans="1:36" x14ac:dyDescent="0.3">
      <c r="A190">
        <v>189</v>
      </c>
      <c r="B190">
        <v>7042</v>
      </c>
      <c r="C190" s="2">
        <v>31766</v>
      </c>
      <c r="D190">
        <v>39</v>
      </c>
      <c r="E190" t="s">
        <v>42</v>
      </c>
      <c r="F190" t="s">
        <v>50</v>
      </c>
      <c r="G190" s="2">
        <v>42139</v>
      </c>
      <c r="H190" s="3">
        <f t="shared" si="2"/>
        <v>10.638356164383561</v>
      </c>
      <c r="I190">
        <v>137</v>
      </c>
      <c r="J190" t="s">
        <v>57</v>
      </c>
      <c r="K190" t="s">
        <v>46</v>
      </c>
      <c r="L190" t="s">
        <v>44</v>
      </c>
      <c r="M190">
        <v>14.1</v>
      </c>
      <c r="N190">
        <v>13.8</v>
      </c>
      <c r="O190">
        <v>13.5</v>
      </c>
      <c r="P190">
        <v>13.2</v>
      </c>
      <c r="Q190">
        <v>12.9</v>
      </c>
      <c r="R190">
        <v>12.6</v>
      </c>
      <c r="S190">
        <v>12.3</v>
      </c>
      <c r="T190" t="s">
        <v>47</v>
      </c>
      <c r="U190">
        <v>0</v>
      </c>
      <c r="V190">
        <v>4</v>
      </c>
    </row>
    <row r="191" spans="1:36" x14ac:dyDescent="0.3">
      <c r="A191">
        <v>190</v>
      </c>
      <c r="B191">
        <v>7054</v>
      </c>
      <c r="C191" s="2">
        <v>33394</v>
      </c>
      <c r="D191">
        <v>34</v>
      </c>
      <c r="E191" t="s">
        <v>36</v>
      </c>
      <c r="F191" t="s">
        <v>50</v>
      </c>
      <c r="G191" s="2">
        <v>42139</v>
      </c>
      <c r="H191" s="3">
        <f t="shared" si="2"/>
        <v>10.638356164383561</v>
      </c>
      <c r="I191">
        <v>137</v>
      </c>
      <c r="J191" t="s">
        <v>57</v>
      </c>
      <c r="K191" t="s">
        <v>55</v>
      </c>
      <c r="L191" t="s">
        <v>44</v>
      </c>
      <c r="M191">
        <v>16.78</v>
      </c>
      <c r="N191">
        <v>16.48</v>
      </c>
      <c r="O191">
        <v>16.18</v>
      </c>
      <c r="P191">
        <v>15.88</v>
      </c>
      <c r="Q191">
        <v>15.58</v>
      </c>
      <c r="R191">
        <v>15.28</v>
      </c>
      <c r="S191">
        <v>14.98</v>
      </c>
      <c r="T191" t="s">
        <v>47</v>
      </c>
      <c r="U191">
        <v>0</v>
      </c>
      <c r="V191">
        <v>3</v>
      </c>
    </row>
    <row r="192" spans="1:36" x14ac:dyDescent="0.3">
      <c r="A192">
        <v>191</v>
      </c>
      <c r="B192">
        <v>7055</v>
      </c>
      <c r="C192" s="2">
        <v>31639</v>
      </c>
      <c r="D192">
        <v>39</v>
      </c>
      <c r="E192" t="s">
        <v>42</v>
      </c>
      <c r="F192" t="s">
        <v>50</v>
      </c>
      <c r="G192" s="2">
        <v>42139</v>
      </c>
      <c r="H192" s="3">
        <f t="shared" si="2"/>
        <v>9.4219178082191775</v>
      </c>
      <c r="I192">
        <v>137</v>
      </c>
      <c r="J192" t="s">
        <v>57</v>
      </c>
      <c r="K192" t="s">
        <v>55</v>
      </c>
      <c r="L192" t="s">
        <v>44</v>
      </c>
      <c r="M192">
        <v>16.78</v>
      </c>
      <c r="N192">
        <v>16.48</v>
      </c>
      <c r="O192">
        <v>16.18</v>
      </c>
      <c r="P192">
        <v>15.88</v>
      </c>
      <c r="Q192">
        <v>15.58</v>
      </c>
      <c r="R192">
        <v>15.28</v>
      </c>
      <c r="S192">
        <v>14.98</v>
      </c>
      <c r="T192" t="s">
        <v>47</v>
      </c>
      <c r="U192">
        <v>0</v>
      </c>
      <c r="V192">
        <v>5</v>
      </c>
    </row>
    <row r="193" spans="1:36" x14ac:dyDescent="0.3">
      <c r="A193">
        <v>192</v>
      </c>
      <c r="B193">
        <v>7438</v>
      </c>
      <c r="C193" s="2">
        <v>33112</v>
      </c>
      <c r="D193">
        <v>35</v>
      </c>
      <c r="E193" t="s">
        <v>42</v>
      </c>
      <c r="F193" t="s">
        <v>37</v>
      </c>
      <c r="G193" s="2">
        <v>42583</v>
      </c>
      <c r="H193" s="3">
        <f t="shared" si="2"/>
        <v>8.4219178082191775</v>
      </c>
      <c r="I193">
        <v>31</v>
      </c>
      <c r="J193" t="s">
        <v>38</v>
      </c>
      <c r="K193" t="s">
        <v>39</v>
      </c>
      <c r="L193" t="s">
        <v>40</v>
      </c>
      <c r="M193">
        <v>60016</v>
      </c>
      <c r="N193">
        <v>59266</v>
      </c>
      <c r="O193">
        <v>58516</v>
      </c>
      <c r="P193">
        <v>56266</v>
      </c>
      <c r="Q193">
        <v>54766</v>
      </c>
      <c r="R193">
        <v>53266</v>
      </c>
      <c r="S193">
        <v>51766</v>
      </c>
      <c r="T193" t="s">
        <v>67</v>
      </c>
      <c r="U193">
        <v>4</v>
      </c>
      <c r="V193">
        <v>6</v>
      </c>
      <c r="W193">
        <v>6</v>
      </c>
      <c r="X193" s="2">
        <v>42913</v>
      </c>
      <c r="Y193" t="s">
        <v>69</v>
      </c>
      <c r="Z193" s="2">
        <v>43364</v>
      </c>
      <c r="AA193" t="s">
        <v>59</v>
      </c>
      <c r="AB193" s="2">
        <v>44888</v>
      </c>
      <c r="AC193" t="s">
        <v>62</v>
      </c>
      <c r="AD193">
        <v>2</v>
      </c>
      <c r="AE193">
        <v>2</v>
      </c>
      <c r="AF193">
        <v>4</v>
      </c>
      <c r="AG193">
        <v>3</v>
      </c>
      <c r="AH193">
        <v>3</v>
      </c>
      <c r="AI193">
        <v>3</v>
      </c>
      <c r="AJ193">
        <v>4</v>
      </c>
    </row>
    <row r="194" spans="1:36" x14ac:dyDescent="0.3">
      <c r="A194">
        <v>193</v>
      </c>
      <c r="B194">
        <v>7439</v>
      </c>
      <c r="C194" s="2">
        <v>33197</v>
      </c>
      <c r="D194">
        <v>35</v>
      </c>
      <c r="E194" t="s">
        <v>36</v>
      </c>
      <c r="F194" t="s">
        <v>50</v>
      </c>
      <c r="G194" s="2">
        <v>42948</v>
      </c>
      <c r="H194" s="3">
        <f t="shared" si="2"/>
        <v>8.4219178082191775</v>
      </c>
      <c r="I194">
        <v>20</v>
      </c>
      <c r="J194" t="s">
        <v>38</v>
      </c>
      <c r="K194" t="s">
        <v>39</v>
      </c>
      <c r="L194" t="s">
        <v>40</v>
      </c>
      <c r="M194">
        <v>64338</v>
      </c>
      <c r="N194">
        <v>63555</v>
      </c>
      <c r="O194">
        <v>60135</v>
      </c>
      <c r="P194">
        <v>58635</v>
      </c>
      <c r="Q194">
        <v>57135</v>
      </c>
      <c r="R194">
        <v>55635</v>
      </c>
      <c r="S194">
        <v>53385</v>
      </c>
      <c r="T194" t="s">
        <v>61</v>
      </c>
      <c r="U194">
        <v>4</v>
      </c>
      <c r="V194">
        <v>4</v>
      </c>
      <c r="W194">
        <v>5</v>
      </c>
      <c r="X194" s="2">
        <v>42888</v>
      </c>
      <c r="Y194" t="s">
        <v>69</v>
      </c>
      <c r="Z194" s="2">
        <v>43195</v>
      </c>
      <c r="AA194" t="s">
        <v>59</v>
      </c>
      <c r="AB194" s="2">
        <v>45259</v>
      </c>
      <c r="AC194" t="s">
        <v>62</v>
      </c>
      <c r="AD194">
        <v>5</v>
      </c>
      <c r="AE194">
        <v>4</v>
      </c>
      <c r="AF194">
        <v>3</v>
      </c>
      <c r="AG194">
        <v>3</v>
      </c>
      <c r="AH194">
        <v>3</v>
      </c>
      <c r="AI194">
        <v>3</v>
      </c>
      <c r="AJ194">
        <v>4</v>
      </c>
    </row>
    <row r="195" spans="1:36" x14ac:dyDescent="0.3">
      <c r="A195">
        <v>194</v>
      </c>
      <c r="B195">
        <v>7444</v>
      </c>
      <c r="C195" s="2">
        <v>33906</v>
      </c>
      <c r="D195">
        <v>33</v>
      </c>
      <c r="E195" t="s">
        <v>42</v>
      </c>
      <c r="F195" t="s">
        <v>50</v>
      </c>
      <c r="G195" s="2">
        <v>42948</v>
      </c>
      <c r="H195" s="3">
        <f t="shared" ref="H195:H258" si="3">DATEDIF(G196,DATE(2025,12,31),"d")/365</f>
        <v>8.4219178082191775</v>
      </c>
      <c r="I195">
        <v>131</v>
      </c>
      <c r="J195" t="s">
        <v>57</v>
      </c>
      <c r="K195" t="s">
        <v>39</v>
      </c>
      <c r="L195" t="s">
        <v>40</v>
      </c>
      <c r="M195">
        <v>61266</v>
      </c>
      <c r="N195">
        <v>59766</v>
      </c>
      <c r="O195">
        <v>58266</v>
      </c>
      <c r="P195">
        <v>56766</v>
      </c>
      <c r="Q195">
        <v>55266</v>
      </c>
      <c r="R195">
        <v>53766</v>
      </c>
      <c r="S195">
        <v>52266</v>
      </c>
      <c r="T195" t="s">
        <v>61</v>
      </c>
      <c r="U195">
        <v>3</v>
      </c>
      <c r="V195">
        <v>5</v>
      </c>
      <c r="W195">
        <v>7</v>
      </c>
      <c r="X195" s="2">
        <v>43063</v>
      </c>
      <c r="Y195" t="s">
        <v>69</v>
      </c>
      <c r="Z195" s="2">
        <v>43238</v>
      </c>
      <c r="AA195" t="s">
        <v>59</v>
      </c>
      <c r="AD195">
        <v>2</v>
      </c>
      <c r="AE195">
        <v>2</v>
      </c>
      <c r="AF195">
        <v>2</v>
      </c>
      <c r="AG195">
        <v>3</v>
      </c>
      <c r="AH195">
        <v>4</v>
      </c>
      <c r="AI195">
        <v>5</v>
      </c>
      <c r="AJ195">
        <v>5</v>
      </c>
    </row>
    <row r="196" spans="1:36" x14ac:dyDescent="0.3">
      <c r="A196">
        <v>195</v>
      </c>
      <c r="B196">
        <v>7449</v>
      </c>
      <c r="C196" s="2">
        <v>33422</v>
      </c>
      <c r="D196">
        <v>34</v>
      </c>
      <c r="E196" t="s">
        <v>36</v>
      </c>
      <c r="F196" t="s">
        <v>50</v>
      </c>
      <c r="G196" s="2">
        <v>42948</v>
      </c>
      <c r="H196" s="3">
        <f t="shared" si="3"/>
        <v>8.4219178082191775</v>
      </c>
      <c r="I196">
        <v>73</v>
      </c>
      <c r="J196" t="s">
        <v>57</v>
      </c>
      <c r="K196" t="s">
        <v>39</v>
      </c>
      <c r="L196" t="s">
        <v>40</v>
      </c>
      <c r="M196">
        <v>64766</v>
      </c>
      <c r="N196">
        <v>62516</v>
      </c>
      <c r="O196">
        <v>60266</v>
      </c>
      <c r="P196">
        <v>58016</v>
      </c>
      <c r="Q196">
        <v>56516</v>
      </c>
      <c r="R196">
        <v>55766</v>
      </c>
      <c r="S196">
        <v>47266</v>
      </c>
      <c r="T196" t="s">
        <v>58</v>
      </c>
      <c r="U196">
        <v>2</v>
      </c>
      <c r="V196">
        <v>3</v>
      </c>
      <c r="W196">
        <v>4</v>
      </c>
      <c r="X196" s="2">
        <v>43138</v>
      </c>
      <c r="Y196" t="s">
        <v>69</v>
      </c>
      <c r="Z196" s="2">
        <v>43614</v>
      </c>
      <c r="AA196" t="s">
        <v>59</v>
      </c>
      <c r="AD196">
        <v>4</v>
      </c>
      <c r="AE196">
        <v>4</v>
      </c>
      <c r="AF196">
        <v>4</v>
      </c>
      <c r="AG196">
        <v>4</v>
      </c>
      <c r="AH196">
        <v>3</v>
      </c>
      <c r="AI196">
        <v>2</v>
      </c>
      <c r="AJ196">
        <v>3</v>
      </c>
    </row>
    <row r="197" spans="1:36" x14ac:dyDescent="0.3">
      <c r="A197">
        <v>196</v>
      </c>
      <c r="B197">
        <v>7453</v>
      </c>
      <c r="C197" s="2">
        <v>33049</v>
      </c>
      <c r="D197">
        <v>35</v>
      </c>
      <c r="E197" t="s">
        <v>36</v>
      </c>
      <c r="F197" t="s">
        <v>50</v>
      </c>
      <c r="G197" s="2">
        <v>42948</v>
      </c>
      <c r="H197" s="3">
        <f t="shared" si="3"/>
        <v>9.4219178082191775</v>
      </c>
      <c r="I197">
        <v>109</v>
      </c>
      <c r="J197" t="s">
        <v>57</v>
      </c>
      <c r="K197" t="s">
        <v>39</v>
      </c>
      <c r="L197" t="s">
        <v>40</v>
      </c>
      <c r="M197">
        <v>59766</v>
      </c>
      <c r="N197">
        <v>58266</v>
      </c>
      <c r="O197">
        <v>56766</v>
      </c>
      <c r="P197">
        <v>55266</v>
      </c>
      <c r="Q197">
        <v>53766</v>
      </c>
      <c r="R197">
        <v>52266</v>
      </c>
      <c r="S197">
        <v>45266</v>
      </c>
      <c r="T197" t="s">
        <v>63</v>
      </c>
      <c r="U197">
        <v>4</v>
      </c>
      <c r="V197">
        <v>5</v>
      </c>
      <c r="W197">
        <v>6</v>
      </c>
      <c r="X197" s="2">
        <v>43151</v>
      </c>
      <c r="Y197" t="s">
        <v>69</v>
      </c>
      <c r="Z197" s="2">
        <v>43690</v>
      </c>
      <c r="AA197" t="s">
        <v>59</v>
      </c>
      <c r="AD197">
        <v>3</v>
      </c>
      <c r="AE197">
        <v>4</v>
      </c>
      <c r="AF197">
        <v>5</v>
      </c>
      <c r="AG197">
        <v>5</v>
      </c>
      <c r="AH197">
        <v>5</v>
      </c>
      <c r="AI197">
        <v>5</v>
      </c>
      <c r="AJ197">
        <v>4</v>
      </c>
    </row>
    <row r="198" spans="1:36" x14ac:dyDescent="0.3">
      <c r="A198">
        <v>197</v>
      </c>
      <c r="B198">
        <v>7454</v>
      </c>
      <c r="C198" s="2">
        <v>31890</v>
      </c>
      <c r="D198">
        <v>38</v>
      </c>
      <c r="E198" t="s">
        <v>36</v>
      </c>
      <c r="F198" t="s">
        <v>50</v>
      </c>
      <c r="G198" s="2">
        <v>42583</v>
      </c>
      <c r="H198" s="3">
        <f t="shared" si="3"/>
        <v>9.4219178082191775</v>
      </c>
      <c r="I198">
        <v>118</v>
      </c>
      <c r="J198" t="s">
        <v>57</v>
      </c>
      <c r="K198" t="s">
        <v>39</v>
      </c>
      <c r="L198" t="s">
        <v>40</v>
      </c>
      <c r="M198">
        <v>61766</v>
      </c>
      <c r="N198">
        <v>60266</v>
      </c>
      <c r="O198">
        <v>58766</v>
      </c>
      <c r="P198">
        <v>57266</v>
      </c>
      <c r="Q198">
        <v>55766</v>
      </c>
      <c r="R198">
        <v>54266</v>
      </c>
      <c r="S198">
        <v>47266</v>
      </c>
      <c r="T198" t="s">
        <v>67</v>
      </c>
      <c r="U198">
        <v>4</v>
      </c>
      <c r="V198">
        <v>4</v>
      </c>
      <c r="W198">
        <v>4</v>
      </c>
      <c r="X198" s="2">
        <v>42962</v>
      </c>
      <c r="Y198" t="s">
        <v>69</v>
      </c>
      <c r="Z198" s="2">
        <v>43820</v>
      </c>
      <c r="AA198" t="s">
        <v>59</v>
      </c>
      <c r="AD198">
        <v>4</v>
      </c>
      <c r="AE198">
        <v>5</v>
      </c>
      <c r="AF198">
        <v>3</v>
      </c>
      <c r="AG198">
        <v>4</v>
      </c>
      <c r="AH198">
        <v>4</v>
      </c>
      <c r="AI198">
        <v>3</v>
      </c>
      <c r="AJ198">
        <v>4</v>
      </c>
    </row>
    <row r="199" spans="1:36" x14ac:dyDescent="0.3">
      <c r="A199">
        <v>198</v>
      </c>
      <c r="B199">
        <v>7480</v>
      </c>
      <c r="C199" s="2">
        <v>33851</v>
      </c>
      <c r="D199">
        <v>33</v>
      </c>
      <c r="E199" t="s">
        <v>42</v>
      </c>
      <c r="F199" t="s">
        <v>50</v>
      </c>
      <c r="G199" s="2">
        <v>42583</v>
      </c>
      <c r="H199" s="3">
        <f t="shared" si="3"/>
        <v>9.4219178082191775</v>
      </c>
      <c r="I199">
        <v>101</v>
      </c>
      <c r="J199" t="s">
        <v>57</v>
      </c>
      <c r="K199" t="s">
        <v>39</v>
      </c>
      <c r="L199" t="s">
        <v>40</v>
      </c>
      <c r="M199">
        <v>61266</v>
      </c>
      <c r="N199">
        <v>59766</v>
      </c>
      <c r="O199">
        <v>58266</v>
      </c>
      <c r="P199">
        <v>56766</v>
      </c>
      <c r="Q199">
        <v>55266</v>
      </c>
      <c r="R199">
        <v>53766</v>
      </c>
      <c r="S199">
        <v>46766</v>
      </c>
      <c r="T199" t="s">
        <v>63</v>
      </c>
      <c r="U199">
        <v>0</v>
      </c>
      <c r="V199">
        <v>6</v>
      </c>
      <c r="W199">
        <v>6</v>
      </c>
      <c r="X199" s="2">
        <v>43111</v>
      </c>
      <c r="Y199" t="s">
        <v>69</v>
      </c>
      <c r="Z199" s="2">
        <v>43590</v>
      </c>
      <c r="AA199" t="s">
        <v>59</v>
      </c>
      <c r="AD199">
        <v>5</v>
      </c>
      <c r="AE199">
        <v>5</v>
      </c>
      <c r="AF199">
        <v>5</v>
      </c>
      <c r="AG199">
        <v>5</v>
      </c>
      <c r="AH199">
        <v>4</v>
      </c>
      <c r="AI199">
        <v>3</v>
      </c>
      <c r="AJ199">
        <v>5</v>
      </c>
    </row>
    <row r="200" spans="1:36" x14ac:dyDescent="0.3">
      <c r="A200">
        <v>199</v>
      </c>
      <c r="B200">
        <v>7481</v>
      </c>
      <c r="C200" s="2">
        <v>33055</v>
      </c>
      <c r="D200">
        <v>36</v>
      </c>
      <c r="E200" t="s">
        <v>36</v>
      </c>
      <c r="F200" t="s">
        <v>37</v>
      </c>
      <c r="G200" s="2">
        <v>42583</v>
      </c>
      <c r="H200" s="3">
        <f t="shared" si="3"/>
        <v>9.4219178082191775</v>
      </c>
      <c r="I200">
        <v>105</v>
      </c>
      <c r="J200" t="s">
        <v>57</v>
      </c>
      <c r="K200" t="s">
        <v>39</v>
      </c>
      <c r="L200" t="s">
        <v>40</v>
      </c>
      <c r="M200">
        <v>72516</v>
      </c>
      <c r="N200">
        <v>69516</v>
      </c>
      <c r="O200">
        <v>66516</v>
      </c>
      <c r="P200">
        <v>63516</v>
      </c>
      <c r="Q200">
        <v>60516</v>
      </c>
      <c r="R200">
        <v>58266</v>
      </c>
      <c r="S200">
        <v>46766</v>
      </c>
      <c r="T200" t="s">
        <v>41</v>
      </c>
      <c r="U200">
        <v>4</v>
      </c>
      <c r="V200">
        <v>4</v>
      </c>
      <c r="W200">
        <v>4</v>
      </c>
      <c r="X200" s="2">
        <v>43174</v>
      </c>
      <c r="Y200" t="s">
        <v>69</v>
      </c>
      <c r="Z200" s="2">
        <v>43863</v>
      </c>
      <c r="AA200" t="s">
        <v>59</v>
      </c>
      <c r="AD200">
        <v>5</v>
      </c>
      <c r="AE200">
        <v>5</v>
      </c>
      <c r="AF200">
        <v>5</v>
      </c>
      <c r="AG200">
        <v>5</v>
      </c>
      <c r="AH200">
        <v>5</v>
      </c>
      <c r="AI200">
        <v>4</v>
      </c>
      <c r="AJ200">
        <v>5</v>
      </c>
    </row>
    <row r="201" spans="1:36" x14ac:dyDescent="0.3">
      <c r="A201">
        <v>200</v>
      </c>
      <c r="B201">
        <v>7491</v>
      </c>
      <c r="C201" s="2">
        <v>33491</v>
      </c>
      <c r="D201">
        <v>34</v>
      </c>
      <c r="E201" t="s">
        <v>36</v>
      </c>
      <c r="F201" t="s">
        <v>50</v>
      </c>
      <c r="G201" s="2">
        <v>42583</v>
      </c>
      <c r="H201" s="3">
        <f t="shared" si="3"/>
        <v>8.4219178082191775</v>
      </c>
      <c r="I201">
        <v>100</v>
      </c>
      <c r="J201" t="s">
        <v>57</v>
      </c>
      <c r="K201" t="s">
        <v>39</v>
      </c>
      <c r="L201" t="s">
        <v>40</v>
      </c>
      <c r="M201">
        <v>67891</v>
      </c>
      <c r="N201">
        <v>66016</v>
      </c>
      <c r="O201">
        <v>64141</v>
      </c>
      <c r="P201">
        <v>62266</v>
      </c>
      <c r="Q201">
        <v>60391</v>
      </c>
      <c r="R201">
        <v>58516</v>
      </c>
      <c r="S201">
        <v>49266</v>
      </c>
      <c r="T201" t="s">
        <v>58</v>
      </c>
      <c r="U201">
        <v>1</v>
      </c>
      <c r="V201">
        <v>3</v>
      </c>
      <c r="W201">
        <v>4</v>
      </c>
      <c r="X201" s="2">
        <v>43150</v>
      </c>
      <c r="Y201" t="s">
        <v>69</v>
      </c>
      <c r="Z201" s="2">
        <v>43641</v>
      </c>
      <c r="AA201" t="s">
        <v>59</v>
      </c>
      <c r="AD201">
        <v>5</v>
      </c>
      <c r="AE201">
        <v>4</v>
      </c>
      <c r="AF201">
        <v>4</v>
      </c>
      <c r="AG201">
        <v>4</v>
      </c>
      <c r="AH201">
        <v>4</v>
      </c>
      <c r="AI201">
        <v>4</v>
      </c>
      <c r="AJ201">
        <v>4</v>
      </c>
    </row>
    <row r="202" spans="1:36" x14ac:dyDescent="0.3">
      <c r="A202">
        <v>201</v>
      </c>
      <c r="B202">
        <v>7492</v>
      </c>
      <c r="C202" s="2">
        <v>32698</v>
      </c>
      <c r="D202">
        <v>36</v>
      </c>
      <c r="E202" t="s">
        <v>42</v>
      </c>
      <c r="F202" t="s">
        <v>50</v>
      </c>
      <c r="G202" s="2">
        <v>42948</v>
      </c>
      <c r="H202" s="3">
        <f t="shared" si="3"/>
        <v>8.4219178082191775</v>
      </c>
      <c r="I202">
        <v>107</v>
      </c>
      <c r="J202" t="s">
        <v>57</v>
      </c>
      <c r="K202" t="s">
        <v>39</v>
      </c>
      <c r="L202" t="s">
        <v>40</v>
      </c>
      <c r="M202">
        <v>73266</v>
      </c>
      <c r="N202">
        <v>70266</v>
      </c>
      <c r="O202">
        <v>67266</v>
      </c>
      <c r="P202">
        <v>64266</v>
      </c>
      <c r="Q202">
        <v>61266</v>
      </c>
      <c r="R202">
        <v>58266</v>
      </c>
      <c r="S202">
        <v>46766</v>
      </c>
      <c r="T202" t="s">
        <v>70</v>
      </c>
      <c r="U202">
        <v>4</v>
      </c>
      <c r="V202">
        <v>7</v>
      </c>
      <c r="W202">
        <v>7</v>
      </c>
      <c r="X202" s="2">
        <v>43118</v>
      </c>
      <c r="Y202" t="s">
        <v>69</v>
      </c>
      <c r="Z202" s="2">
        <v>43758</v>
      </c>
      <c r="AA202" t="s">
        <v>59</v>
      </c>
      <c r="AD202">
        <v>5</v>
      </c>
      <c r="AE202">
        <v>5</v>
      </c>
      <c r="AF202">
        <v>5</v>
      </c>
      <c r="AG202">
        <v>5</v>
      </c>
      <c r="AH202">
        <v>5</v>
      </c>
      <c r="AI202">
        <v>5</v>
      </c>
      <c r="AJ202">
        <v>5</v>
      </c>
    </row>
    <row r="203" spans="1:36" x14ac:dyDescent="0.3">
      <c r="A203">
        <v>202</v>
      </c>
      <c r="B203">
        <v>7501</v>
      </c>
      <c r="C203" s="2">
        <v>33105</v>
      </c>
      <c r="D203">
        <v>35</v>
      </c>
      <c r="E203" t="s">
        <v>42</v>
      </c>
      <c r="F203" t="s">
        <v>50</v>
      </c>
      <c r="G203" s="2">
        <v>42948</v>
      </c>
      <c r="H203" s="3">
        <f t="shared" si="3"/>
        <v>8.4219178082191775</v>
      </c>
      <c r="I203">
        <v>141</v>
      </c>
      <c r="J203" t="s">
        <v>57</v>
      </c>
      <c r="K203" t="s">
        <v>39</v>
      </c>
      <c r="L203" t="s">
        <v>40</v>
      </c>
      <c r="M203">
        <v>64924</v>
      </c>
      <c r="N203">
        <v>64924</v>
      </c>
      <c r="O203">
        <v>62726</v>
      </c>
      <c r="P203">
        <v>60975</v>
      </c>
      <c r="Q203">
        <v>59080</v>
      </c>
      <c r="R203">
        <v>56955</v>
      </c>
      <c r="S203">
        <v>46766</v>
      </c>
      <c r="T203" t="s">
        <v>67</v>
      </c>
      <c r="U203">
        <v>2</v>
      </c>
      <c r="V203">
        <v>6</v>
      </c>
      <c r="W203">
        <v>6</v>
      </c>
      <c r="X203" s="2">
        <v>42768</v>
      </c>
      <c r="Y203" t="s">
        <v>69</v>
      </c>
      <c r="Z203" s="2">
        <v>43831</v>
      </c>
      <c r="AA203" t="s">
        <v>59</v>
      </c>
      <c r="AD203">
        <v>1</v>
      </c>
      <c r="AE203">
        <v>2</v>
      </c>
      <c r="AF203">
        <v>3</v>
      </c>
      <c r="AG203">
        <v>4</v>
      </c>
      <c r="AH203">
        <v>5</v>
      </c>
      <c r="AI203">
        <v>4</v>
      </c>
      <c r="AJ203">
        <v>5</v>
      </c>
    </row>
    <row r="204" spans="1:36" x14ac:dyDescent="0.3">
      <c r="A204">
        <v>203</v>
      </c>
      <c r="B204">
        <v>7512</v>
      </c>
      <c r="C204" s="2">
        <v>33857</v>
      </c>
      <c r="D204">
        <v>33</v>
      </c>
      <c r="E204" t="s">
        <v>42</v>
      </c>
      <c r="F204" t="s">
        <v>50</v>
      </c>
      <c r="G204" s="2">
        <v>42948</v>
      </c>
      <c r="H204" s="3">
        <f t="shared" si="3"/>
        <v>8.4</v>
      </c>
      <c r="I204">
        <v>94</v>
      </c>
      <c r="J204" t="s">
        <v>57</v>
      </c>
      <c r="K204" t="s">
        <v>39</v>
      </c>
      <c r="L204" t="s">
        <v>40</v>
      </c>
      <c r="M204">
        <v>69016</v>
      </c>
      <c r="N204">
        <v>66766</v>
      </c>
      <c r="O204">
        <v>64516</v>
      </c>
      <c r="P204">
        <v>62266</v>
      </c>
      <c r="Q204">
        <v>60016</v>
      </c>
      <c r="R204">
        <v>57766</v>
      </c>
      <c r="S204">
        <v>47766</v>
      </c>
      <c r="T204" t="s">
        <v>41</v>
      </c>
      <c r="U204">
        <v>2</v>
      </c>
      <c r="V204">
        <v>7</v>
      </c>
      <c r="W204">
        <v>7</v>
      </c>
      <c r="X204" s="2">
        <v>42956</v>
      </c>
      <c r="Y204" t="s">
        <v>69</v>
      </c>
      <c r="Z204" s="2">
        <v>43818</v>
      </c>
      <c r="AA204" t="s">
        <v>59</v>
      </c>
      <c r="AD204">
        <v>5</v>
      </c>
      <c r="AE204">
        <v>5</v>
      </c>
      <c r="AF204">
        <v>5</v>
      </c>
      <c r="AG204">
        <v>5</v>
      </c>
      <c r="AH204">
        <v>5</v>
      </c>
      <c r="AI204">
        <v>5</v>
      </c>
      <c r="AJ204">
        <v>5</v>
      </c>
    </row>
    <row r="205" spans="1:36" x14ac:dyDescent="0.3">
      <c r="A205">
        <v>204</v>
      </c>
      <c r="B205">
        <v>7540</v>
      </c>
      <c r="C205" s="2">
        <v>33368</v>
      </c>
      <c r="D205">
        <v>34</v>
      </c>
      <c r="E205" t="s">
        <v>36</v>
      </c>
      <c r="F205" t="s">
        <v>50</v>
      </c>
      <c r="G205" s="2">
        <v>42956</v>
      </c>
      <c r="H205" s="3">
        <f t="shared" si="3"/>
        <v>9.2958904109589042</v>
      </c>
      <c r="I205">
        <v>122</v>
      </c>
      <c r="J205" t="s">
        <v>57</v>
      </c>
      <c r="K205" t="s">
        <v>39</v>
      </c>
      <c r="L205" t="s">
        <v>40</v>
      </c>
      <c r="M205">
        <v>58938</v>
      </c>
      <c r="N205">
        <v>58938</v>
      </c>
      <c r="O205">
        <v>56709</v>
      </c>
      <c r="P205">
        <v>54805</v>
      </c>
      <c r="Q205">
        <v>53878</v>
      </c>
      <c r="R205">
        <v>53878</v>
      </c>
      <c r="S205">
        <v>45600</v>
      </c>
      <c r="T205" t="s">
        <v>41</v>
      </c>
      <c r="U205">
        <v>2</v>
      </c>
      <c r="V205">
        <v>4</v>
      </c>
      <c r="W205">
        <v>3</v>
      </c>
      <c r="X205" s="2">
        <v>43857</v>
      </c>
      <c r="Y205" t="s">
        <v>59</v>
      </c>
      <c r="AD205">
        <v>3</v>
      </c>
      <c r="AE205">
        <v>4</v>
      </c>
      <c r="AF205">
        <v>3</v>
      </c>
      <c r="AG205">
        <v>2</v>
      </c>
      <c r="AH205">
        <v>2</v>
      </c>
      <c r="AI205">
        <v>3</v>
      </c>
      <c r="AJ205">
        <v>3</v>
      </c>
    </row>
    <row r="206" spans="1:36" x14ac:dyDescent="0.3">
      <c r="A206">
        <v>205</v>
      </c>
      <c r="B206">
        <v>7547</v>
      </c>
      <c r="C206" s="2">
        <v>33471</v>
      </c>
      <c r="D206">
        <v>34</v>
      </c>
      <c r="E206" t="s">
        <v>36</v>
      </c>
      <c r="F206" t="s">
        <v>50</v>
      </c>
      <c r="G206" s="2">
        <v>42629</v>
      </c>
      <c r="H206" s="3">
        <f t="shared" si="3"/>
        <v>9.7780821917808218</v>
      </c>
      <c r="I206">
        <v>132</v>
      </c>
      <c r="J206" t="s">
        <v>57</v>
      </c>
      <c r="K206" t="s">
        <v>39</v>
      </c>
      <c r="L206" t="s">
        <v>40</v>
      </c>
      <c r="M206">
        <v>70766</v>
      </c>
      <c r="N206">
        <v>67766</v>
      </c>
      <c r="O206">
        <v>64766</v>
      </c>
      <c r="P206">
        <v>61766</v>
      </c>
      <c r="Q206">
        <v>58766</v>
      </c>
      <c r="R206">
        <v>47266</v>
      </c>
      <c r="S206">
        <v>45266</v>
      </c>
      <c r="T206" t="s">
        <v>61</v>
      </c>
      <c r="U206">
        <v>4</v>
      </c>
      <c r="V206">
        <v>5</v>
      </c>
      <c r="W206">
        <v>4</v>
      </c>
      <c r="X206" s="2">
        <v>44018</v>
      </c>
      <c r="Y206" t="s">
        <v>59</v>
      </c>
      <c r="AD206">
        <v>5</v>
      </c>
      <c r="AE206">
        <v>5</v>
      </c>
      <c r="AF206">
        <v>5</v>
      </c>
      <c r="AG206">
        <v>5</v>
      </c>
      <c r="AH206">
        <v>5</v>
      </c>
      <c r="AI206">
        <v>5</v>
      </c>
      <c r="AJ206">
        <v>5</v>
      </c>
    </row>
    <row r="207" spans="1:36" x14ac:dyDescent="0.3">
      <c r="A207">
        <v>206</v>
      </c>
      <c r="B207">
        <v>7600</v>
      </c>
      <c r="C207" s="2">
        <v>32854</v>
      </c>
      <c r="D207">
        <v>36</v>
      </c>
      <c r="E207" t="s">
        <v>42</v>
      </c>
      <c r="F207" t="s">
        <v>50</v>
      </c>
      <c r="G207" s="2">
        <v>42453</v>
      </c>
      <c r="H207" s="3">
        <f t="shared" si="3"/>
        <v>8.8849315068493144</v>
      </c>
      <c r="I207">
        <v>24</v>
      </c>
      <c r="J207" t="s">
        <v>38</v>
      </c>
      <c r="K207" t="s">
        <v>51</v>
      </c>
      <c r="L207" t="s">
        <v>44</v>
      </c>
      <c r="M207">
        <v>32.11</v>
      </c>
      <c r="N207">
        <v>31.81</v>
      </c>
      <c r="O207">
        <v>31.51</v>
      </c>
      <c r="P207">
        <v>31.21</v>
      </c>
      <c r="Q207">
        <v>30.91</v>
      </c>
      <c r="R207">
        <v>30.61</v>
      </c>
      <c r="S207">
        <v>30.31</v>
      </c>
      <c r="T207" t="s">
        <v>52</v>
      </c>
      <c r="U207">
        <v>0</v>
      </c>
      <c r="V207">
        <v>5</v>
      </c>
    </row>
    <row r="208" spans="1:36" x14ac:dyDescent="0.3">
      <c r="A208">
        <v>207</v>
      </c>
      <c r="B208">
        <v>7602</v>
      </c>
      <c r="C208" s="2">
        <v>32905</v>
      </c>
      <c r="D208">
        <v>36</v>
      </c>
      <c r="E208" t="s">
        <v>36</v>
      </c>
      <c r="F208" t="s">
        <v>50</v>
      </c>
      <c r="G208" s="2">
        <v>42779</v>
      </c>
      <c r="H208" s="3">
        <f t="shared" si="3"/>
        <v>8.9452054794520546</v>
      </c>
      <c r="I208">
        <v>25</v>
      </c>
      <c r="J208" t="s">
        <v>38</v>
      </c>
      <c r="K208" t="s">
        <v>51</v>
      </c>
      <c r="L208" t="s">
        <v>44</v>
      </c>
      <c r="M208">
        <v>32.11</v>
      </c>
      <c r="N208">
        <v>31.81</v>
      </c>
      <c r="O208">
        <v>31.51</v>
      </c>
      <c r="P208">
        <v>31.21</v>
      </c>
      <c r="Q208">
        <v>30.91</v>
      </c>
      <c r="R208">
        <v>30.61</v>
      </c>
      <c r="S208">
        <v>30.31</v>
      </c>
      <c r="T208" t="s">
        <v>52</v>
      </c>
      <c r="U208">
        <v>0</v>
      </c>
      <c r="V208">
        <v>5</v>
      </c>
    </row>
    <row r="209" spans="1:22" x14ac:dyDescent="0.3">
      <c r="A209">
        <v>208</v>
      </c>
      <c r="B209">
        <v>7646</v>
      </c>
      <c r="C209" s="2">
        <v>32024</v>
      </c>
      <c r="D209">
        <v>38</v>
      </c>
      <c r="E209" t="s">
        <v>36</v>
      </c>
      <c r="F209" t="s">
        <v>37</v>
      </c>
      <c r="G209" s="2">
        <v>42757</v>
      </c>
      <c r="H209" s="3">
        <f t="shared" si="3"/>
        <v>9.6849315068493151</v>
      </c>
      <c r="I209">
        <v>45</v>
      </c>
      <c r="J209" t="s">
        <v>38</v>
      </c>
      <c r="K209" t="s">
        <v>51</v>
      </c>
      <c r="L209" t="s">
        <v>44</v>
      </c>
      <c r="M209">
        <v>32.11</v>
      </c>
      <c r="N209">
        <v>31.81</v>
      </c>
      <c r="O209">
        <v>31.51</v>
      </c>
      <c r="P209">
        <v>31.21</v>
      </c>
      <c r="Q209">
        <v>30.91</v>
      </c>
      <c r="R209">
        <v>30.61</v>
      </c>
      <c r="S209">
        <v>30.31</v>
      </c>
      <c r="T209" t="s">
        <v>52</v>
      </c>
      <c r="U209">
        <v>0</v>
      </c>
      <c r="V209">
        <v>4</v>
      </c>
    </row>
    <row r="210" spans="1:22" x14ac:dyDescent="0.3">
      <c r="A210">
        <v>209</v>
      </c>
      <c r="B210">
        <v>7667</v>
      </c>
      <c r="C210" s="2">
        <v>31841</v>
      </c>
      <c r="D210">
        <v>38</v>
      </c>
      <c r="E210" t="s">
        <v>42</v>
      </c>
      <c r="F210" t="s">
        <v>50</v>
      </c>
      <c r="G210" s="2">
        <v>42487</v>
      </c>
      <c r="H210" s="3">
        <f t="shared" si="3"/>
        <v>9.0904109589041102</v>
      </c>
      <c r="I210">
        <v>58</v>
      </c>
      <c r="J210" t="s">
        <v>38</v>
      </c>
      <c r="K210" t="s">
        <v>51</v>
      </c>
      <c r="L210" t="s">
        <v>44</v>
      </c>
      <c r="M210">
        <v>32.049999999999997</v>
      </c>
      <c r="N210">
        <v>31.84</v>
      </c>
      <c r="O210">
        <v>31.67</v>
      </c>
      <c r="P210">
        <v>31.28</v>
      </c>
      <c r="Q210">
        <v>30.88</v>
      </c>
      <c r="R210">
        <v>30.52</v>
      </c>
      <c r="S210">
        <v>30.26</v>
      </c>
      <c r="T210" t="s">
        <v>45</v>
      </c>
      <c r="U210">
        <v>0</v>
      </c>
      <c r="V210">
        <v>4</v>
      </c>
    </row>
    <row r="211" spans="1:22" x14ac:dyDescent="0.3">
      <c r="A211">
        <v>210</v>
      </c>
      <c r="B211">
        <v>7717</v>
      </c>
      <c r="C211" s="2">
        <v>30827</v>
      </c>
      <c r="D211">
        <v>41</v>
      </c>
      <c r="E211" t="s">
        <v>36</v>
      </c>
      <c r="F211" t="s">
        <v>50</v>
      </c>
      <c r="G211" s="2">
        <v>42704</v>
      </c>
      <c r="H211" s="3">
        <f t="shared" si="3"/>
        <v>9.3369863013698637</v>
      </c>
      <c r="I211">
        <v>82</v>
      </c>
      <c r="J211" t="s">
        <v>57</v>
      </c>
      <c r="K211" t="s">
        <v>51</v>
      </c>
      <c r="L211" t="s">
        <v>44</v>
      </c>
      <c r="M211">
        <v>32.11</v>
      </c>
      <c r="N211">
        <v>31.81</v>
      </c>
      <c r="O211">
        <v>31.51</v>
      </c>
      <c r="P211">
        <v>31.21</v>
      </c>
      <c r="Q211">
        <v>30.91</v>
      </c>
      <c r="R211">
        <v>30.61</v>
      </c>
      <c r="S211">
        <v>30.31</v>
      </c>
      <c r="T211" t="s">
        <v>47</v>
      </c>
      <c r="U211">
        <v>0</v>
      </c>
      <c r="V211">
        <v>4</v>
      </c>
    </row>
    <row r="212" spans="1:22" x14ac:dyDescent="0.3">
      <c r="A212">
        <v>211</v>
      </c>
      <c r="B212">
        <v>7740</v>
      </c>
      <c r="C212" s="2">
        <v>32587</v>
      </c>
      <c r="D212">
        <v>36</v>
      </c>
      <c r="E212" t="s">
        <v>36</v>
      </c>
      <c r="F212" t="s">
        <v>50</v>
      </c>
      <c r="G212" s="2">
        <v>42614</v>
      </c>
      <c r="H212" s="3">
        <f t="shared" si="3"/>
        <v>9.0602739726027401</v>
      </c>
      <c r="I212">
        <v>93</v>
      </c>
      <c r="J212" t="s">
        <v>57</v>
      </c>
      <c r="K212" t="s">
        <v>51</v>
      </c>
      <c r="L212" t="s">
        <v>44</v>
      </c>
      <c r="M212">
        <v>32.11</v>
      </c>
      <c r="N212">
        <v>31.81</v>
      </c>
      <c r="O212">
        <v>31.51</v>
      </c>
      <c r="P212">
        <v>31.21</v>
      </c>
      <c r="Q212">
        <v>30.91</v>
      </c>
      <c r="R212">
        <v>30.61</v>
      </c>
      <c r="S212">
        <v>30.31</v>
      </c>
      <c r="T212" t="s">
        <v>45</v>
      </c>
      <c r="U212">
        <v>0</v>
      </c>
      <c r="V212">
        <v>4</v>
      </c>
    </row>
    <row r="213" spans="1:22" x14ac:dyDescent="0.3">
      <c r="A213">
        <v>212</v>
      </c>
      <c r="B213">
        <v>7741</v>
      </c>
      <c r="C213" s="2">
        <v>32811</v>
      </c>
      <c r="D213">
        <v>36</v>
      </c>
      <c r="E213" t="s">
        <v>36</v>
      </c>
      <c r="F213" t="s">
        <v>50</v>
      </c>
      <c r="G213" s="2">
        <v>42715</v>
      </c>
      <c r="H213" s="3">
        <f t="shared" si="3"/>
        <v>9.117808219178082</v>
      </c>
      <c r="I213">
        <v>93</v>
      </c>
      <c r="J213" t="s">
        <v>57</v>
      </c>
      <c r="K213" t="s">
        <v>51</v>
      </c>
      <c r="L213" t="s">
        <v>44</v>
      </c>
      <c r="M213">
        <v>32.11</v>
      </c>
      <c r="N213">
        <v>31.81</v>
      </c>
      <c r="O213">
        <v>31.51</v>
      </c>
      <c r="P213">
        <v>31.21</v>
      </c>
      <c r="Q213">
        <v>30.91</v>
      </c>
      <c r="R213">
        <v>30.61</v>
      </c>
      <c r="S213">
        <v>30.31</v>
      </c>
      <c r="T213" t="s">
        <v>52</v>
      </c>
      <c r="U213">
        <v>0</v>
      </c>
      <c r="V213">
        <v>4</v>
      </c>
    </row>
    <row r="214" spans="1:22" x14ac:dyDescent="0.3">
      <c r="A214">
        <v>213</v>
      </c>
      <c r="B214">
        <v>7743</v>
      </c>
      <c r="C214" s="2">
        <v>29555</v>
      </c>
      <c r="D214">
        <v>45</v>
      </c>
      <c r="E214" t="s">
        <v>42</v>
      </c>
      <c r="F214" t="s">
        <v>50</v>
      </c>
      <c r="G214" s="2">
        <v>42694</v>
      </c>
      <c r="H214" s="3">
        <f t="shared" si="3"/>
        <v>9.2821917808219183</v>
      </c>
      <c r="I214">
        <v>94</v>
      </c>
      <c r="J214" t="s">
        <v>57</v>
      </c>
      <c r="K214" t="s">
        <v>51</v>
      </c>
      <c r="L214" t="s">
        <v>44</v>
      </c>
      <c r="M214">
        <v>32.11</v>
      </c>
      <c r="N214">
        <v>31.81</v>
      </c>
      <c r="O214">
        <v>31.51</v>
      </c>
      <c r="P214">
        <v>31.21</v>
      </c>
      <c r="Q214">
        <v>30.91</v>
      </c>
      <c r="R214">
        <v>30.61</v>
      </c>
      <c r="S214">
        <v>30.31</v>
      </c>
      <c r="T214" t="s">
        <v>47</v>
      </c>
      <c r="U214">
        <v>0</v>
      </c>
      <c r="V214">
        <v>6</v>
      </c>
    </row>
    <row r="215" spans="1:22" x14ac:dyDescent="0.3">
      <c r="A215">
        <v>214</v>
      </c>
      <c r="B215">
        <v>7787</v>
      </c>
      <c r="C215" s="2">
        <v>33068</v>
      </c>
      <c r="D215">
        <v>35</v>
      </c>
      <c r="E215" t="s">
        <v>36</v>
      </c>
      <c r="F215" t="s">
        <v>50</v>
      </c>
      <c r="G215" s="2">
        <v>42634</v>
      </c>
      <c r="H215" s="3">
        <f t="shared" si="3"/>
        <v>9.6164383561643838</v>
      </c>
      <c r="I215">
        <v>118</v>
      </c>
      <c r="J215" t="s">
        <v>57</v>
      </c>
      <c r="K215" t="s">
        <v>51</v>
      </c>
      <c r="L215" t="s">
        <v>44</v>
      </c>
      <c r="M215">
        <v>32.11</v>
      </c>
      <c r="N215">
        <v>31.81</v>
      </c>
      <c r="O215">
        <v>31.51</v>
      </c>
      <c r="P215">
        <v>31.21</v>
      </c>
      <c r="Q215">
        <v>30.91</v>
      </c>
      <c r="R215">
        <v>30.61</v>
      </c>
      <c r="S215">
        <v>30.31</v>
      </c>
      <c r="T215" t="s">
        <v>47</v>
      </c>
      <c r="U215">
        <v>0</v>
      </c>
      <c r="V215">
        <v>5</v>
      </c>
    </row>
    <row r="216" spans="1:22" x14ac:dyDescent="0.3">
      <c r="A216">
        <v>215</v>
      </c>
      <c r="B216">
        <v>7959</v>
      </c>
      <c r="C216" s="2">
        <v>32728</v>
      </c>
      <c r="D216">
        <v>36</v>
      </c>
      <c r="E216" t="s">
        <v>42</v>
      </c>
      <c r="F216" t="s">
        <v>50</v>
      </c>
      <c r="G216" s="2">
        <v>42512</v>
      </c>
      <c r="H216" s="3">
        <f t="shared" si="3"/>
        <v>9.2657534246575342</v>
      </c>
      <c r="I216">
        <v>39</v>
      </c>
      <c r="J216" t="s">
        <v>38</v>
      </c>
      <c r="K216" t="s">
        <v>53</v>
      </c>
      <c r="L216" t="s">
        <v>44</v>
      </c>
      <c r="M216">
        <v>21.12</v>
      </c>
      <c r="N216">
        <v>21.12</v>
      </c>
      <c r="O216">
        <v>20.97</v>
      </c>
      <c r="P216">
        <v>20.63</v>
      </c>
      <c r="Q216">
        <v>20.25</v>
      </c>
      <c r="R216">
        <v>20.03</v>
      </c>
      <c r="S216">
        <v>19.579999999999998</v>
      </c>
      <c r="T216" t="s">
        <v>47</v>
      </c>
      <c r="U216">
        <v>4</v>
      </c>
      <c r="V216">
        <v>6</v>
      </c>
    </row>
    <row r="217" spans="1:22" x14ac:dyDescent="0.3">
      <c r="A217">
        <v>216</v>
      </c>
      <c r="B217">
        <v>7962</v>
      </c>
      <c r="C217" s="2">
        <v>33437</v>
      </c>
      <c r="D217">
        <v>34</v>
      </c>
      <c r="E217" t="s">
        <v>36</v>
      </c>
      <c r="F217" t="s">
        <v>50</v>
      </c>
      <c r="G217" s="2">
        <v>42640</v>
      </c>
      <c r="H217" s="3">
        <f t="shared" si="3"/>
        <v>9.2630136986301377</v>
      </c>
      <c r="I217">
        <v>40</v>
      </c>
      <c r="J217" t="s">
        <v>38</v>
      </c>
      <c r="K217" t="s">
        <v>53</v>
      </c>
      <c r="L217" t="s">
        <v>44</v>
      </c>
      <c r="M217">
        <v>21.84</v>
      </c>
      <c r="N217">
        <v>21.45</v>
      </c>
      <c r="O217">
        <v>21.12</v>
      </c>
      <c r="P217">
        <v>21.12</v>
      </c>
      <c r="Q217">
        <v>20.73</v>
      </c>
      <c r="R217">
        <v>20.51</v>
      </c>
      <c r="S217">
        <v>20.149999999999999</v>
      </c>
      <c r="T217" t="s">
        <v>47</v>
      </c>
      <c r="U217">
        <v>4</v>
      </c>
      <c r="V217">
        <v>5</v>
      </c>
    </row>
    <row r="218" spans="1:22" x14ac:dyDescent="0.3">
      <c r="A218">
        <v>217</v>
      </c>
      <c r="B218">
        <v>8034</v>
      </c>
      <c r="C218" s="2">
        <v>34239</v>
      </c>
      <c r="D218">
        <v>32</v>
      </c>
      <c r="E218" t="s">
        <v>36</v>
      </c>
      <c r="F218" t="s">
        <v>50</v>
      </c>
      <c r="G218" s="2">
        <v>42641</v>
      </c>
      <c r="H218" s="3">
        <f t="shared" si="3"/>
        <v>8.9917808219178088</v>
      </c>
      <c r="I218">
        <v>64</v>
      </c>
      <c r="J218" t="s">
        <v>38</v>
      </c>
      <c r="K218" t="s">
        <v>53</v>
      </c>
      <c r="L218" t="s">
        <v>44</v>
      </c>
      <c r="M218">
        <v>21.77</v>
      </c>
      <c r="N218">
        <v>21.47</v>
      </c>
      <c r="O218">
        <v>21.17</v>
      </c>
      <c r="P218">
        <v>20.87</v>
      </c>
      <c r="Q218">
        <v>20.57</v>
      </c>
      <c r="R218">
        <v>20.27</v>
      </c>
      <c r="S218">
        <v>19.97</v>
      </c>
      <c r="T218" t="s">
        <v>47</v>
      </c>
      <c r="U218">
        <v>3</v>
      </c>
      <c r="V218">
        <v>6</v>
      </c>
    </row>
    <row r="219" spans="1:22" x14ac:dyDescent="0.3">
      <c r="A219">
        <v>218</v>
      </c>
      <c r="B219">
        <v>8076</v>
      </c>
      <c r="C219" s="2">
        <v>33599</v>
      </c>
      <c r="D219">
        <v>34</v>
      </c>
      <c r="E219" t="s">
        <v>36</v>
      </c>
      <c r="F219" t="s">
        <v>50</v>
      </c>
      <c r="G219" s="2">
        <v>42740</v>
      </c>
      <c r="H219" s="3">
        <f t="shared" si="3"/>
        <v>9.0821917808219172</v>
      </c>
      <c r="I219">
        <v>83</v>
      </c>
      <c r="J219" t="s">
        <v>57</v>
      </c>
      <c r="K219" t="s">
        <v>53</v>
      </c>
      <c r="L219" t="s">
        <v>44</v>
      </c>
      <c r="M219">
        <v>21.77</v>
      </c>
      <c r="N219">
        <v>21.47</v>
      </c>
      <c r="O219">
        <v>21.17</v>
      </c>
      <c r="P219">
        <v>20.87</v>
      </c>
      <c r="Q219">
        <v>20.57</v>
      </c>
      <c r="R219">
        <v>20.27</v>
      </c>
      <c r="S219">
        <v>19.97</v>
      </c>
      <c r="T219" t="s">
        <v>49</v>
      </c>
      <c r="U219">
        <v>2</v>
      </c>
      <c r="V219">
        <v>4</v>
      </c>
    </row>
    <row r="220" spans="1:22" x14ac:dyDescent="0.3">
      <c r="A220">
        <v>219</v>
      </c>
      <c r="B220">
        <v>8086</v>
      </c>
      <c r="C220" s="2">
        <v>33989</v>
      </c>
      <c r="D220">
        <v>32</v>
      </c>
      <c r="E220" t="s">
        <v>36</v>
      </c>
      <c r="F220" t="s">
        <v>50</v>
      </c>
      <c r="G220" s="2">
        <v>42707</v>
      </c>
      <c r="H220" s="3">
        <f t="shared" si="3"/>
        <v>9.3561643835616444</v>
      </c>
      <c r="I220">
        <v>87</v>
      </c>
      <c r="J220" t="s">
        <v>57</v>
      </c>
      <c r="K220" t="s">
        <v>53</v>
      </c>
      <c r="L220" t="s">
        <v>44</v>
      </c>
      <c r="M220">
        <v>19.97</v>
      </c>
      <c r="N220">
        <v>19.97</v>
      </c>
      <c r="O220">
        <v>19.97</v>
      </c>
      <c r="P220">
        <v>19.82</v>
      </c>
      <c r="Q220">
        <v>19.82</v>
      </c>
      <c r="R220">
        <v>19.82</v>
      </c>
      <c r="S220">
        <v>19.670000000000002</v>
      </c>
      <c r="T220" t="s">
        <v>47</v>
      </c>
      <c r="U220">
        <v>3</v>
      </c>
      <c r="V220">
        <v>4</v>
      </c>
    </row>
    <row r="221" spans="1:22" x14ac:dyDescent="0.3">
      <c r="A221">
        <v>220</v>
      </c>
      <c r="B221">
        <v>8186</v>
      </c>
      <c r="C221" s="2">
        <v>33961</v>
      </c>
      <c r="D221">
        <v>33</v>
      </c>
      <c r="E221" t="s">
        <v>36</v>
      </c>
      <c r="F221" t="s">
        <v>50</v>
      </c>
      <c r="G221" s="2">
        <v>42607</v>
      </c>
      <c r="H221" s="3">
        <f t="shared" si="3"/>
        <v>9.4438356164383563</v>
      </c>
      <c r="I221">
        <v>130</v>
      </c>
      <c r="J221" t="s">
        <v>57</v>
      </c>
      <c r="K221" t="s">
        <v>53</v>
      </c>
      <c r="L221" t="s">
        <v>44</v>
      </c>
      <c r="M221">
        <v>21.34</v>
      </c>
      <c r="N221">
        <v>21</v>
      </c>
      <c r="O221">
        <v>21</v>
      </c>
      <c r="P221">
        <v>20.85</v>
      </c>
      <c r="Q221">
        <v>20.56</v>
      </c>
      <c r="R221">
        <v>20.34</v>
      </c>
      <c r="S221">
        <v>20</v>
      </c>
      <c r="T221" t="s">
        <v>52</v>
      </c>
      <c r="U221">
        <v>5</v>
      </c>
      <c r="V221">
        <v>4</v>
      </c>
    </row>
    <row r="222" spans="1:22" x14ac:dyDescent="0.3">
      <c r="A222">
        <v>221</v>
      </c>
      <c r="B222">
        <v>8190</v>
      </c>
      <c r="C222" s="2">
        <v>33769</v>
      </c>
      <c r="D222">
        <v>33</v>
      </c>
      <c r="E222" t="s">
        <v>42</v>
      </c>
      <c r="F222" t="s">
        <v>50</v>
      </c>
      <c r="G222" s="2">
        <v>42575</v>
      </c>
      <c r="H222" s="3">
        <f t="shared" si="3"/>
        <v>9.7397260273972606</v>
      </c>
      <c r="I222">
        <v>132</v>
      </c>
      <c r="J222" t="s">
        <v>57</v>
      </c>
      <c r="K222" t="s">
        <v>53</v>
      </c>
      <c r="L222" t="s">
        <v>44</v>
      </c>
      <c r="M222">
        <v>21.77</v>
      </c>
      <c r="N222">
        <v>21.47</v>
      </c>
      <c r="O222">
        <v>21.17</v>
      </c>
      <c r="P222">
        <v>20.87</v>
      </c>
      <c r="Q222">
        <v>20.57</v>
      </c>
      <c r="R222">
        <v>20.27</v>
      </c>
      <c r="S222">
        <v>19.97</v>
      </c>
      <c r="T222" t="s">
        <v>47</v>
      </c>
      <c r="U222">
        <v>4</v>
      </c>
      <c r="V222">
        <v>6</v>
      </c>
    </row>
    <row r="223" spans="1:22" x14ac:dyDescent="0.3">
      <c r="A223">
        <v>222</v>
      </c>
      <c r="B223">
        <v>8196</v>
      </c>
      <c r="C223" s="2">
        <v>33882</v>
      </c>
      <c r="D223">
        <v>33</v>
      </c>
      <c r="E223" t="s">
        <v>36</v>
      </c>
      <c r="F223" t="s">
        <v>50</v>
      </c>
      <c r="G223" s="2">
        <v>42467</v>
      </c>
      <c r="H223" s="3">
        <f t="shared" si="3"/>
        <v>9.0082191780821912</v>
      </c>
      <c r="I223">
        <v>135</v>
      </c>
      <c r="J223" t="s">
        <v>57</v>
      </c>
      <c r="K223" t="s">
        <v>53</v>
      </c>
      <c r="L223" t="s">
        <v>44</v>
      </c>
      <c r="M223">
        <v>21.77</v>
      </c>
      <c r="N223">
        <v>21.47</v>
      </c>
      <c r="O223">
        <v>21.17</v>
      </c>
      <c r="P223">
        <v>20.87</v>
      </c>
      <c r="Q223">
        <v>20.57</v>
      </c>
      <c r="R223">
        <v>20.27</v>
      </c>
      <c r="S223">
        <v>19.97</v>
      </c>
      <c r="T223" t="s">
        <v>52</v>
      </c>
      <c r="U223">
        <v>3</v>
      </c>
      <c r="V223">
        <v>4</v>
      </c>
    </row>
    <row r="224" spans="1:22" x14ac:dyDescent="0.3">
      <c r="A224">
        <v>223</v>
      </c>
      <c r="B224">
        <v>8225</v>
      </c>
      <c r="C224" s="2">
        <v>32424</v>
      </c>
      <c r="D224">
        <v>37</v>
      </c>
      <c r="E224" t="s">
        <v>36</v>
      </c>
      <c r="F224" t="s">
        <v>37</v>
      </c>
      <c r="G224" s="2">
        <v>42734</v>
      </c>
      <c r="H224" s="3">
        <f t="shared" si="3"/>
        <v>9.3424657534246567</v>
      </c>
      <c r="I224">
        <v>1</v>
      </c>
      <c r="J224" t="s">
        <v>38</v>
      </c>
      <c r="K224" t="s">
        <v>64</v>
      </c>
      <c r="L224" t="s">
        <v>44</v>
      </c>
      <c r="M224">
        <v>13.95</v>
      </c>
      <c r="N224">
        <v>13.65</v>
      </c>
      <c r="O224">
        <v>13.35</v>
      </c>
      <c r="P224">
        <v>13.05</v>
      </c>
      <c r="Q224">
        <v>12.75</v>
      </c>
      <c r="R224">
        <v>12.45</v>
      </c>
      <c r="S224">
        <v>12.15</v>
      </c>
      <c r="T224" t="s">
        <v>45</v>
      </c>
      <c r="U224">
        <v>1</v>
      </c>
      <c r="V224">
        <v>3</v>
      </c>
    </row>
    <row r="225" spans="1:22" x14ac:dyDescent="0.3">
      <c r="A225">
        <v>224</v>
      </c>
      <c r="B225">
        <v>8227</v>
      </c>
      <c r="C225" s="2">
        <v>34263</v>
      </c>
      <c r="D225">
        <v>32</v>
      </c>
      <c r="E225" t="s">
        <v>36</v>
      </c>
      <c r="F225" t="s">
        <v>50</v>
      </c>
      <c r="G225" s="2">
        <v>42612</v>
      </c>
      <c r="H225" s="3">
        <f t="shared" si="3"/>
        <v>9.6657534246575345</v>
      </c>
      <c r="I225">
        <v>1</v>
      </c>
      <c r="J225" t="s">
        <v>38</v>
      </c>
      <c r="K225" t="s">
        <v>55</v>
      </c>
      <c r="L225" t="s">
        <v>44</v>
      </c>
      <c r="M225">
        <v>16.84</v>
      </c>
      <c r="N225">
        <v>16.54</v>
      </c>
      <c r="O225">
        <v>16.239999999999998</v>
      </c>
      <c r="P225">
        <v>15.94</v>
      </c>
      <c r="Q225">
        <v>15.64</v>
      </c>
      <c r="R225">
        <v>15.34</v>
      </c>
      <c r="S225">
        <v>15.04</v>
      </c>
      <c r="T225" t="s">
        <v>49</v>
      </c>
      <c r="U225">
        <v>1</v>
      </c>
      <c r="V225">
        <v>4</v>
      </c>
    </row>
    <row r="226" spans="1:22" x14ac:dyDescent="0.3">
      <c r="A226">
        <v>225</v>
      </c>
      <c r="B226">
        <v>8244</v>
      </c>
      <c r="C226" s="2">
        <v>35852</v>
      </c>
      <c r="D226">
        <v>27</v>
      </c>
      <c r="E226" t="s">
        <v>42</v>
      </c>
      <c r="F226" t="s">
        <v>37</v>
      </c>
      <c r="G226" s="2">
        <v>42494</v>
      </c>
      <c r="H226" s="3">
        <f t="shared" si="3"/>
        <v>9.7452054794520553</v>
      </c>
      <c r="I226">
        <v>1</v>
      </c>
      <c r="J226" t="s">
        <v>38</v>
      </c>
      <c r="K226" t="s">
        <v>56</v>
      </c>
      <c r="L226" t="s">
        <v>44</v>
      </c>
      <c r="M226">
        <v>8.5500000000000007</v>
      </c>
      <c r="N226">
        <v>8.35</v>
      </c>
      <c r="O226">
        <v>8.15</v>
      </c>
      <c r="P226">
        <v>7.95</v>
      </c>
      <c r="Q226">
        <v>7.75</v>
      </c>
      <c r="R226">
        <v>7.55</v>
      </c>
      <c r="S226">
        <v>7.35</v>
      </c>
      <c r="T226" t="s">
        <v>47</v>
      </c>
      <c r="U226">
        <v>0</v>
      </c>
      <c r="V226">
        <v>4</v>
      </c>
    </row>
    <row r="227" spans="1:22" x14ac:dyDescent="0.3">
      <c r="A227">
        <v>226</v>
      </c>
      <c r="B227">
        <v>8381</v>
      </c>
      <c r="C227" s="2">
        <v>34775</v>
      </c>
      <c r="D227">
        <v>30</v>
      </c>
      <c r="E227" t="s">
        <v>36</v>
      </c>
      <c r="F227" t="s">
        <v>50</v>
      </c>
      <c r="G227" s="2">
        <v>42465</v>
      </c>
      <c r="H227" s="3">
        <f t="shared" si="3"/>
        <v>9.8027397260273972</v>
      </c>
      <c r="I227">
        <v>5</v>
      </c>
      <c r="J227" t="s">
        <v>38</v>
      </c>
      <c r="K227" t="s">
        <v>46</v>
      </c>
      <c r="L227" t="s">
        <v>44</v>
      </c>
      <c r="M227">
        <v>14.08</v>
      </c>
      <c r="N227">
        <v>13.78</v>
      </c>
      <c r="O227">
        <v>13.48</v>
      </c>
      <c r="P227">
        <v>13.18</v>
      </c>
      <c r="Q227">
        <v>12.88</v>
      </c>
      <c r="R227">
        <v>12.58</v>
      </c>
      <c r="S227">
        <v>12.28</v>
      </c>
      <c r="T227" t="s">
        <v>47</v>
      </c>
      <c r="U227">
        <v>0</v>
      </c>
      <c r="V227">
        <v>3</v>
      </c>
    </row>
    <row r="228" spans="1:22" x14ac:dyDescent="0.3">
      <c r="A228">
        <v>227</v>
      </c>
      <c r="B228">
        <v>8416</v>
      </c>
      <c r="C228" s="2">
        <v>34463</v>
      </c>
      <c r="D228">
        <v>31</v>
      </c>
      <c r="E228" t="s">
        <v>42</v>
      </c>
      <c r="F228" t="s">
        <v>37</v>
      </c>
      <c r="G228" s="2">
        <v>42444</v>
      </c>
      <c r="H228" s="3">
        <f t="shared" si="3"/>
        <v>9.7835616438356166</v>
      </c>
      <c r="I228">
        <v>6</v>
      </c>
      <c r="J228" t="s">
        <v>38</v>
      </c>
      <c r="K228" t="s">
        <v>43</v>
      </c>
      <c r="L228" t="s">
        <v>44</v>
      </c>
      <c r="M228">
        <v>15.84</v>
      </c>
      <c r="N228">
        <v>15.54</v>
      </c>
      <c r="O228">
        <v>15.24</v>
      </c>
      <c r="P228">
        <v>14.94</v>
      </c>
      <c r="Q228">
        <v>14.64</v>
      </c>
      <c r="R228">
        <v>14.34</v>
      </c>
      <c r="S228">
        <v>14.04</v>
      </c>
      <c r="T228" t="s">
        <v>49</v>
      </c>
      <c r="U228">
        <v>0</v>
      </c>
      <c r="V228">
        <v>5</v>
      </c>
    </row>
    <row r="229" spans="1:22" x14ac:dyDescent="0.3">
      <c r="A229">
        <v>228</v>
      </c>
      <c r="B229">
        <v>8576</v>
      </c>
      <c r="C229" s="2">
        <v>34806</v>
      </c>
      <c r="D229">
        <v>30</v>
      </c>
      <c r="E229" t="s">
        <v>42</v>
      </c>
      <c r="F229" t="s">
        <v>37</v>
      </c>
      <c r="G229" s="2">
        <v>42451</v>
      </c>
      <c r="H229" s="3">
        <f t="shared" si="3"/>
        <v>9.5616438356164384</v>
      </c>
      <c r="I229">
        <v>10</v>
      </c>
      <c r="J229" t="s">
        <v>38</v>
      </c>
      <c r="K229" t="s">
        <v>64</v>
      </c>
      <c r="L229" t="s">
        <v>44</v>
      </c>
      <c r="M229">
        <v>13.95</v>
      </c>
      <c r="N229">
        <v>13.65</v>
      </c>
      <c r="O229">
        <v>13.35</v>
      </c>
      <c r="P229">
        <v>13.05</v>
      </c>
      <c r="Q229">
        <v>12.75</v>
      </c>
      <c r="R229">
        <v>12.45</v>
      </c>
      <c r="S229">
        <v>12.15</v>
      </c>
      <c r="T229" t="s">
        <v>52</v>
      </c>
      <c r="U229">
        <v>1</v>
      </c>
      <c r="V229">
        <v>5</v>
      </c>
    </row>
    <row r="230" spans="1:22" x14ac:dyDescent="0.3">
      <c r="A230">
        <v>229</v>
      </c>
      <c r="B230">
        <v>9141</v>
      </c>
      <c r="C230" s="2">
        <v>34945</v>
      </c>
      <c r="D230">
        <v>30</v>
      </c>
      <c r="E230" t="s">
        <v>36</v>
      </c>
      <c r="F230" t="s">
        <v>50</v>
      </c>
      <c r="G230" s="2">
        <v>42532</v>
      </c>
      <c r="H230" s="3">
        <f t="shared" si="3"/>
        <v>9.3287671232876708</v>
      </c>
      <c r="I230">
        <v>24</v>
      </c>
      <c r="J230" t="s">
        <v>38</v>
      </c>
      <c r="K230" t="s">
        <v>65</v>
      </c>
      <c r="L230" t="s">
        <v>44</v>
      </c>
      <c r="M230">
        <v>10.33</v>
      </c>
      <c r="N230">
        <v>10.130000000000001</v>
      </c>
      <c r="O230">
        <v>9.93</v>
      </c>
      <c r="P230">
        <v>9.73</v>
      </c>
      <c r="Q230">
        <v>9.5299999999999994</v>
      </c>
      <c r="R230">
        <v>9.33</v>
      </c>
      <c r="S230">
        <v>9.1300000000000008</v>
      </c>
      <c r="T230" t="s">
        <v>47</v>
      </c>
      <c r="U230">
        <v>1</v>
      </c>
      <c r="V230">
        <v>4</v>
      </c>
    </row>
    <row r="231" spans="1:22" x14ac:dyDescent="0.3">
      <c r="A231">
        <v>230</v>
      </c>
      <c r="B231">
        <v>9144</v>
      </c>
      <c r="C231" s="2">
        <v>35244</v>
      </c>
      <c r="D231">
        <v>29</v>
      </c>
      <c r="E231" t="s">
        <v>36</v>
      </c>
      <c r="F231" t="s">
        <v>50</v>
      </c>
      <c r="G231" s="2">
        <v>42617</v>
      </c>
      <c r="H231" s="3">
        <f t="shared" si="3"/>
        <v>9.4876712328767123</v>
      </c>
      <c r="I231">
        <v>24</v>
      </c>
      <c r="J231" t="s">
        <v>38</v>
      </c>
      <c r="K231" t="s">
        <v>46</v>
      </c>
      <c r="L231" t="s">
        <v>44</v>
      </c>
      <c r="M231">
        <v>14.08</v>
      </c>
      <c r="N231">
        <v>13.78</v>
      </c>
      <c r="O231">
        <v>13.48</v>
      </c>
      <c r="P231">
        <v>13.18</v>
      </c>
      <c r="Q231">
        <v>12.88</v>
      </c>
      <c r="R231">
        <v>12.58</v>
      </c>
      <c r="S231">
        <v>12.28</v>
      </c>
      <c r="T231" t="s">
        <v>52</v>
      </c>
      <c r="U231">
        <v>0</v>
      </c>
      <c r="V231">
        <v>5</v>
      </c>
    </row>
    <row r="232" spans="1:22" x14ac:dyDescent="0.3">
      <c r="A232">
        <v>231</v>
      </c>
      <c r="B232">
        <v>9187</v>
      </c>
      <c r="C232" s="2">
        <v>33871</v>
      </c>
      <c r="D232">
        <v>33</v>
      </c>
      <c r="E232" t="s">
        <v>36</v>
      </c>
      <c r="F232" t="s">
        <v>50</v>
      </c>
      <c r="G232" s="2">
        <v>42559</v>
      </c>
      <c r="H232" s="3">
        <f t="shared" si="3"/>
        <v>9.6712328767123292</v>
      </c>
      <c r="I232">
        <v>25</v>
      </c>
      <c r="J232" t="s">
        <v>38</v>
      </c>
      <c r="K232" t="s">
        <v>55</v>
      </c>
      <c r="L232" t="s">
        <v>44</v>
      </c>
      <c r="M232">
        <v>16.84</v>
      </c>
      <c r="N232">
        <v>16.54</v>
      </c>
      <c r="O232">
        <v>16.239999999999998</v>
      </c>
      <c r="P232">
        <v>15.94</v>
      </c>
      <c r="Q232">
        <v>15.64</v>
      </c>
      <c r="R232">
        <v>15.34</v>
      </c>
      <c r="S232">
        <v>15.04</v>
      </c>
      <c r="T232" t="s">
        <v>49</v>
      </c>
      <c r="U232">
        <v>2</v>
      </c>
      <c r="V232">
        <v>5</v>
      </c>
    </row>
    <row r="233" spans="1:22" x14ac:dyDescent="0.3">
      <c r="A233">
        <v>232</v>
      </c>
      <c r="B233">
        <v>9188</v>
      </c>
      <c r="C233" s="2">
        <v>34512</v>
      </c>
      <c r="D233">
        <v>31</v>
      </c>
      <c r="E233" t="s">
        <v>36</v>
      </c>
      <c r="F233" t="s">
        <v>50</v>
      </c>
      <c r="G233" s="2">
        <v>42492</v>
      </c>
      <c r="H233" s="3">
        <f t="shared" si="3"/>
        <v>9.4520547945205475</v>
      </c>
      <c r="I233">
        <v>25</v>
      </c>
      <c r="J233" t="s">
        <v>38</v>
      </c>
      <c r="K233" t="s">
        <v>55</v>
      </c>
      <c r="L233" t="s">
        <v>44</v>
      </c>
      <c r="M233">
        <v>16.84</v>
      </c>
      <c r="N233">
        <v>16.54</v>
      </c>
      <c r="O233">
        <v>16.239999999999998</v>
      </c>
      <c r="P233">
        <v>15.94</v>
      </c>
      <c r="Q233">
        <v>15.64</v>
      </c>
      <c r="R233">
        <v>15.34</v>
      </c>
      <c r="S233">
        <v>15.04</v>
      </c>
      <c r="T233" t="s">
        <v>52</v>
      </c>
      <c r="U233">
        <v>0</v>
      </c>
      <c r="V233">
        <v>4</v>
      </c>
    </row>
    <row r="234" spans="1:22" x14ac:dyDescent="0.3">
      <c r="A234">
        <v>233</v>
      </c>
      <c r="B234">
        <v>9194</v>
      </c>
      <c r="C234" s="2">
        <v>36512</v>
      </c>
      <c r="D234">
        <v>26</v>
      </c>
      <c r="E234" t="s">
        <v>42</v>
      </c>
      <c r="F234" t="s">
        <v>50</v>
      </c>
      <c r="G234" s="2">
        <v>42572</v>
      </c>
      <c r="H234" s="3">
        <f t="shared" si="3"/>
        <v>9.2602739726027394</v>
      </c>
      <c r="I234">
        <v>25</v>
      </c>
      <c r="J234" t="s">
        <v>38</v>
      </c>
      <c r="K234" t="s">
        <v>56</v>
      </c>
      <c r="L234" t="s">
        <v>44</v>
      </c>
      <c r="M234">
        <v>8.5500000000000007</v>
      </c>
      <c r="N234">
        <v>8.35</v>
      </c>
      <c r="O234">
        <v>8.15</v>
      </c>
      <c r="P234">
        <v>7.95</v>
      </c>
      <c r="Q234">
        <v>7.75</v>
      </c>
      <c r="R234">
        <v>7.55</v>
      </c>
      <c r="S234">
        <v>7.35</v>
      </c>
      <c r="T234" t="s">
        <v>47</v>
      </c>
      <c r="U234">
        <v>2</v>
      </c>
      <c r="V234">
        <v>7</v>
      </c>
    </row>
    <row r="235" spans="1:22" x14ac:dyDescent="0.3">
      <c r="A235">
        <v>234</v>
      </c>
      <c r="B235">
        <v>9222</v>
      </c>
      <c r="C235" s="2">
        <v>35282</v>
      </c>
      <c r="D235">
        <v>29</v>
      </c>
      <c r="E235" t="s">
        <v>36</v>
      </c>
      <c r="F235" t="s">
        <v>50</v>
      </c>
      <c r="G235" s="2">
        <v>42642</v>
      </c>
      <c r="H235" s="3">
        <f t="shared" si="3"/>
        <v>9.375342465753425</v>
      </c>
      <c r="I235">
        <v>26</v>
      </c>
      <c r="J235" t="s">
        <v>38</v>
      </c>
      <c r="K235" t="s">
        <v>43</v>
      </c>
      <c r="L235" t="s">
        <v>44</v>
      </c>
      <c r="M235">
        <v>15.84</v>
      </c>
      <c r="N235">
        <v>15.54</v>
      </c>
      <c r="O235">
        <v>15.24</v>
      </c>
      <c r="P235">
        <v>14.94</v>
      </c>
      <c r="Q235">
        <v>14.64</v>
      </c>
      <c r="R235">
        <v>14.34</v>
      </c>
      <c r="S235">
        <v>14.04</v>
      </c>
      <c r="T235" t="s">
        <v>47</v>
      </c>
      <c r="U235">
        <v>1</v>
      </c>
      <c r="V235">
        <v>3</v>
      </c>
    </row>
    <row r="236" spans="1:22" x14ac:dyDescent="0.3">
      <c r="A236">
        <v>235</v>
      </c>
      <c r="B236">
        <v>9223</v>
      </c>
      <c r="C236" s="2">
        <v>35647</v>
      </c>
      <c r="D236">
        <v>28</v>
      </c>
      <c r="E236" t="s">
        <v>42</v>
      </c>
      <c r="F236" t="s">
        <v>50</v>
      </c>
      <c r="G236" s="2">
        <v>42600</v>
      </c>
      <c r="H236" s="3">
        <f t="shared" si="3"/>
        <v>9.3534246575342461</v>
      </c>
      <c r="I236">
        <v>26</v>
      </c>
      <c r="J236" t="s">
        <v>38</v>
      </c>
      <c r="K236" t="s">
        <v>43</v>
      </c>
      <c r="L236" t="s">
        <v>44</v>
      </c>
      <c r="M236">
        <v>15.84</v>
      </c>
      <c r="N236">
        <v>15.54</v>
      </c>
      <c r="O236">
        <v>15.24</v>
      </c>
      <c r="P236">
        <v>14.94</v>
      </c>
      <c r="Q236">
        <v>14.64</v>
      </c>
      <c r="R236">
        <v>14.34</v>
      </c>
      <c r="S236">
        <v>14.04</v>
      </c>
      <c r="T236" t="s">
        <v>49</v>
      </c>
      <c r="U236">
        <v>2</v>
      </c>
      <c r="V236">
        <v>6</v>
      </c>
    </row>
    <row r="237" spans="1:22" x14ac:dyDescent="0.3">
      <c r="A237">
        <v>236</v>
      </c>
      <c r="B237">
        <v>9225</v>
      </c>
      <c r="C237" s="2">
        <v>34398</v>
      </c>
      <c r="D237">
        <v>31</v>
      </c>
      <c r="E237" t="s">
        <v>42</v>
      </c>
      <c r="F237" t="s">
        <v>37</v>
      </c>
      <c r="G237" s="2">
        <v>42608</v>
      </c>
      <c r="H237" s="3">
        <f t="shared" si="3"/>
        <v>9.5616438356164384</v>
      </c>
      <c r="I237">
        <v>26</v>
      </c>
      <c r="J237" t="s">
        <v>38</v>
      </c>
      <c r="K237" t="s">
        <v>46</v>
      </c>
      <c r="L237" t="s">
        <v>44</v>
      </c>
      <c r="M237">
        <v>14.08</v>
      </c>
      <c r="N237">
        <v>13.78</v>
      </c>
      <c r="O237">
        <v>13.48</v>
      </c>
      <c r="P237">
        <v>13.18</v>
      </c>
      <c r="Q237">
        <v>12.88</v>
      </c>
      <c r="R237">
        <v>12.58</v>
      </c>
      <c r="S237">
        <v>12.28</v>
      </c>
      <c r="T237" t="s">
        <v>47</v>
      </c>
      <c r="U237">
        <v>1</v>
      </c>
      <c r="V237">
        <v>6</v>
      </c>
    </row>
    <row r="238" spans="1:22" x14ac:dyDescent="0.3">
      <c r="A238">
        <v>237</v>
      </c>
      <c r="B238">
        <v>9231</v>
      </c>
      <c r="C238" s="2">
        <v>32588</v>
      </c>
      <c r="D238">
        <v>36</v>
      </c>
      <c r="E238" t="s">
        <v>36</v>
      </c>
      <c r="F238" t="s">
        <v>50</v>
      </c>
      <c r="G238" s="2">
        <v>42532</v>
      </c>
      <c r="H238" s="3">
        <f t="shared" si="3"/>
        <v>9.1917808219178081</v>
      </c>
      <c r="I238">
        <v>26</v>
      </c>
      <c r="J238" t="s">
        <v>38</v>
      </c>
      <c r="K238" t="s">
        <v>54</v>
      </c>
      <c r="L238" t="s">
        <v>44</v>
      </c>
      <c r="M238">
        <v>21.92</v>
      </c>
      <c r="N238">
        <v>21.62</v>
      </c>
      <c r="O238">
        <v>21.32</v>
      </c>
      <c r="P238">
        <v>21.02</v>
      </c>
      <c r="Q238">
        <v>20.72</v>
      </c>
      <c r="R238">
        <v>20.420000000000002</v>
      </c>
      <c r="S238">
        <v>20.12</v>
      </c>
      <c r="T238" t="s">
        <v>49</v>
      </c>
      <c r="U238">
        <v>7</v>
      </c>
      <c r="V238">
        <v>6</v>
      </c>
    </row>
    <row r="239" spans="1:22" x14ac:dyDescent="0.3">
      <c r="A239">
        <v>238</v>
      </c>
      <c r="B239">
        <v>9233</v>
      </c>
      <c r="C239" s="2">
        <v>34769</v>
      </c>
      <c r="D239">
        <v>30</v>
      </c>
      <c r="E239" t="s">
        <v>42</v>
      </c>
      <c r="F239" t="s">
        <v>50</v>
      </c>
      <c r="G239" s="2">
        <v>42667</v>
      </c>
      <c r="H239" s="3">
        <f t="shared" si="3"/>
        <v>9.786301369863013</v>
      </c>
      <c r="I239">
        <v>26</v>
      </c>
      <c r="J239" t="s">
        <v>38</v>
      </c>
      <c r="K239" t="s">
        <v>55</v>
      </c>
      <c r="L239" t="s">
        <v>44</v>
      </c>
      <c r="M239">
        <v>16.84</v>
      </c>
      <c r="N239">
        <v>16.54</v>
      </c>
      <c r="O239">
        <v>16.239999999999998</v>
      </c>
      <c r="P239">
        <v>15.94</v>
      </c>
      <c r="Q239">
        <v>15.64</v>
      </c>
      <c r="R239">
        <v>15.34</v>
      </c>
      <c r="S239">
        <v>15.04</v>
      </c>
      <c r="T239" t="s">
        <v>47</v>
      </c>
      <c r="U239">
        <v>2</v>
      </c>
      <c r="V239">
        <v>6</v>
      </c>
    </row>
    <row r="240" spans="1:22" x14ac:dyDescent="0.3">
      <c r="A240">
        <v>239</v>
      </c>
      <c r="B240">
        <v>9474</v>
      </c>
      <c r="C240" s="2">
        <v>33979</v>
      </c>
      <c r="D240">
        <v>32</v>
      </c>
      <c r="E240" t="s">
        <v>36</v>
      </c>
      <c r="F240" t="s">
        <v>37</v>
      </c>
      <c r="G240" s="2">
        <v>42450</v>
      </c>
      <c r="H240" s="3">
        <f t="shared" si="3"/>
        <v>9.3972602739726021</v>
      </c>
      <c r="I240">
        <v>32</v>
      </c>
      <c r="J240" t="s">
        <v>38</v>
      </c>
      <c r="K240" t="s">
        <v>46</v>
      </c>
      <c r="L240" t="s">
        <v>44</v>
      </c>
      <c r="M240">
        <v>14.08</v>
      </c>
      <c r="N240">
        <v>13.78</v>
      </c>
      <c r="O240">
        <v>13.48</v>
      </c>
      <c r="P240">
        <v>13.18</v>
      </c>
      <c r="Q240">
        <v>12.88</v>
      </c>
      <c r="R240">
        <v>12.58</v>
      </c>
      <c r="S240">
        <v>12.28</v>
      </c>
      <c r="T240" t="s">
        <v>52</v>
      </c>
      <c r="U240">
        <v>0</v>
      </c>
      <c r="V240">
        <v>4</v>
      </c>
    </row>
    <row r="241" spans="1:22" x14ac:dyDescent="0.3">
      <c r="A241">
        <v>240</v>
      </c>
      <c r="B241">
        <v>9475</v>
      </c>
      <c r="C241" s="2">
        <v>33763</v>
      </c>
      <c r="D241">
        <v>33</v>
      </c>
      <c r="E241" t="s">
        <v>42</v>
      </c>
      <c r="F241" t="s">
        <v>37</v>
      </c>
      <c r="G241" s="2">
        <v>42592</v>
      </c>
      <c r="H241" s="3">
        <f t="shared" si="3"/>
        <v>9.1999999999999993</v>
      </c>
      <c r="I241">
        <v>32</v>
      </c>
      <c r="J241" t="s">
        <v>38</v>
      </c>
      <c r="K241" t="s">
        <v>64</v>
      </c>
      <c r="L241" t="s">
        <v>44</v>
      </c>
      <c r="M241">
        <v>13.95</v>
      </c>
      <c r="N241">
        <v>13.65</v>
      </c>
      <c r="O241">
        <v>13.35</v>
      </c>
      <c r="P241">
        <v>13.05</v>
      </c>
      <c r="Q241">
        <v>12.75</v>
      </c>
      <c r="R241">
        <v>12.45</v>
      </c>
      <c r="S241">
        <v>12.15</v>
      </c>
      <c r="T241" t="s">
        <v>47</v>
      </c>
      <c r="U241">
        <v>0</v>
      </c>
      <c r="V241">
        <v>5</v>
      </c>
    </row>
    <row r="242" spans="1:22" x14ac:dyDescent="0.3">
      <c r="A242">
        <v>241</v>
      </c>
      <c r="B242">
        <v>9512</v>
      </c>
      <c r="C242" s="2">
        <v>33585</v>
      </c>
      <c r="D242">
        <v>34</v>
      </c>
      <c r="E242" t="s">
        <v>42</v>
      </c>
      <c r="F242" t="s">
        <v>50</v>
      </c>
      <c r="G242" s="2">
        <v>42664</v>
      </c>
      <c r="H242" s="3">
        <f t="shared" si="3"/>
        <v>9.7287671232876711</v>
      </c>
      <c r="I242">
        <v>33</v>
      </c>
      <c r="J242" t="s">
        <v>38</v>
      </c>
      <c r="K242" t="s">
        <v>55</v>
      </c>
      <c r="L242" t="s">
        <v>44</v>
      </c>
      <c r="M242">
        <v>17</v>
      </c>
      <c r="N242">
        <v>16.62</v>
      </c>
      <c r="O242">
        <v>16.3</v>
      </c>
      <c r="P242">
        <v>16</v>
      </c>
      <c r="Q242">
        <v>15.71</v>
      </c>
      <c r="R242">
        <v>15.36</v>
      </c>
      <c r="S242">
        <v>15.05</v>
      </c>
      <c r="T242" t="s">
        <v>47</v>
      </c>
      <c r="U242">
        <v>2</v>
      </c>
      <c r="V242">
        <v>6</v>
      </c>
    </row>
    <row r="243" spans="1:22" x14ac:dyDescent="0.3">
      <c r="A243">
        <v>242</v>
      </c>
      <c r="B243">
        <v>9579</v>
      </c>
      <c r="C243" s="2">
        <v>33754</v>
      </c>
      <c r="D243">
        <v>33</v>
      </c>
      <c r="E243" t="s">
        <v>36</v>
      </c>
      <c r="F243" t="s">
        <v>37</v>
      </c>
      <c r="G243" s="2">
        <v>42471</v>
      </c>
      <c r="H243" s="3">
        <f t="shared" si="3"/>
        <v>9.6904109589041099</v>
      </c>
      <c r="I243">
        <v>35</v>
      </c>
      <c r="J243" t="s">
        <v>38</v>
      </c>
      <c r="K243" t="s">
        <v>43</v>
      </c>
      <c r="L243" t="s">
        <v>44</v>
      </c>
      <c r="M243">
        <v>15.84</v>
      </c>
      <c r="N243">
        <v>15.54</v>
      </c>
      <c r="O243">
        <v>15.24</v>
      </c>
      <c r="P243">
        <v>14.94</v>
      </c>
      <c r="Q243">
        <v>14.64</v>
      </c>
      <c r="R243">
        <v>14.34</v>
      </c>
      <c r="S243">
        <v>14.04</v>
      </c>
      <c r="T243" t="s">
        <v>45</v>
      </c>
      <c r="U243">
        <v>2</v>
      </c>
      <c r="V243">
        <v>4</v>
      </c>
    </row>
    <row r="244" spans="1:22" x14ac:dyDescent="0.3">
      <c r="A244">
        <v>243</v>
      </c>
      <c r="B244">
        <v>9580</v>
      </c>
      <c r="C244" s="2">
        <v>30884</v>
      </c>
      <c r="D244">
        <v>41</v>
      </c>
      <c r="E244" t="s">
        <v>36</v>
      </c>
      <c r="F244" t="s">
        <v>37</v>
      </c>
      <c r="G244" s="2">
        <v>42485</v>
      </c>
      <c r="H244" s="3">
        <f t="shared" si="3"/>
        <v>8.8328767123287673</v>
      </c>
      <c r="I244">
        <v>35</v>
      </c>
      <c r="J244" t="s">
        <v>38</v>
      </c>
      <c r="K244" t="s">
        <v>46</v>
      </c>
      <c r="L244" t="s">
        <v>44</v>
      </c>
      <c r="M244">
        <v>14.08</v>
      </c>
      <c r="N244">
        <v>13.78</v>
      </c>
      <c r="O244">
        <v>13.48</v>
      </c>
      <c r="P244">
        <v>13.18</v>
      </c>
      <c r="Q244">
        <v>12.88</v>
      </c>
      <c r="R244">
        <v>12.58</v>
      </c>
      <c r="S244">
        <v>12.28</v>
      </c>
      <c r="T244" t="s">
        <v>47</v>
      </c>
      <c r="U244">
        <v>0</v>
      </c>
      <c r="V244">
        <v>4</v>
      </c>
    </row>
    <row r="245" spans="1:22" x14ac:dyDescent="0.3">
      <c r="A245">
        <v>244</v>
      </c>
      <c r="B245">
        <v>9587</v>
      </c>
      <c r="C245" s="2">
        <v>33881</v>
      </c>
      <c r="D245">
        <v>33</v>
      </c>
      <c r="E245" t="s">
        <v>36</v>
      </c>
      <c r="F245" t="s">
        <v>50</v>
      </c>
      <c r="G245" s="2">
        <v>42798</v>
      </c>
      <c r="H245" s="3">
        <f t="shared" si="3"/>
        <v>9.24931506849315</v>
      </c>
      <c r="I245">
        <v>35</v>
      </c>
      <c r="J245" t="s">
        <v>38</v>
      </c>
      <c r="K245" t="s">
        <v>55</v>
      </c>
      <c r="L245" t="s">
        <v>44</v>
      </c>
      <c r="M245">
        <v>16.84</v>
      </c>
      <c r="N245">
        <v>16.54</v>
      </c>
      <c r="O245">
        <v>16.239999999999998</v>
      </c>
      <c r="P245">
        <v>15.94</v>
      </c>
      <c r="Q245">
        <v>15.64</v>
      </c>
      <c r="R245">
        <v>15.34</v>
      </c>
      <c r="S245">
        <v>15.04</v>
      </c>
      <c r="T245" t="s">
        <v>47</v>
      </c>
      <c r="U245">
        <v>3</v>
      </c>
      <c r="V245">
        <v>4</v>
      </c>
    </row>
    <row r="246" spans="1:22" x14ac:dyDescent="0.3">
      <c r="A246">
        <v>245</v>
      </c>
      <c r="B246">
        <v>9615</v>
      </c>
      <c r="C246" s="2">
        <v>35838</v>
      </c>
      <c r="D246">
        <v>27</v>
      </c>
      <c r="E246" t="s">
        <v>36</v>
      </c>
      <c r="F246" t="s">
        <v>50</v>
      </c>
      <c r="G246" s="2">
        <v>42646</v>
      </c>
      <c r="H246" s="3">
        <f t="shared" si="3"/>
        <v>9.8904109589041092</v>
      </c>
      <c r="I246">
        <v>36</v>
      </c>
      <c r="J246" t="s">
        <v>38</v>
      </c>
      <c r="K246" t="s">
        <v>65</v>
      </c>
      <c r="L246" t="s">
        <v>44</v>
      </c>
      <c r="M246">
        <v>10.33</v>
      </c>
      <c r="N246">
        <v>10.130000000000001</v>
      </c>
      <c r="O246">
        <v>9.93</v>
      </c>
      <c r="P246">
        <v>9.73</v>
      </c>
      <c r="Q246">
        <v>9.5299999999999994</v>
      </c>
      <c r="R246">
        <v>9.33</v>
      </c>
      <c r="S246">
        <v>9.1300000000000008</v>
      </c>
      <c r="T246" t="s">
        <v>47</v>
      </c>
      <c r="U246">
        <v>0</v>
      </c>
      <c r="V246">
        <v>3</v>
      </c>
    </row>
    <row r="247" spans="1:22" x14ac:dyDescent="0.3">
      <c r="A247">
        <v>246</v>
      </c>
      <c r="B247">
        <v>9618</v>
      </c>
      <c r="C247" s="2">
        <v>35681</v>
      </c>
      <c r="D247">
        <v>28</v>
      </c>
      <c r="E247" t="s">
        <v>42</v>
      </c>
      <c r="F247" t="s">
        <v>50</v>
      </c>
      <c r="G247" s="2">
        <v>42412</v>
      </c>
      <c r="H247" s="3">
        <f t="shared" si="3"/>
        <v>8.9342465753424651</v>
      </c>
      <c r="I247">
        <v>36</v>
      </c>
      <c r="J247" t="s">
        <v>38</v>
      </c>
      <c r="K247" t="s">
        <v>43</v>
      </c>
      <c r="L247" t="s">
        <v>44</v>
      </c>
      <c r="M247">
        <v>15.84</v>
      </c>
      <c r="N247">
        <v>15.54</v>
      </c>
      <c r="O247">
        <v>15.24</v>
      </c>
      <c r="P247">
        <v>14.94</v>
      </c>
      <c r="Q247">
        <v>14.64</v>
      </c>
      <c r="R247">
        <v>14.34</v>
      </c>
      <c r="S247">
        <v>14.04</v>
      </c>
      <c r="T247" t="s">
        <v>52</v>
      </c>
      <c r="U247">
        <v>0</v>
      </c>
      <c r="V247">
        <v>5</v>
      </c>
    </row>
    <row r="248" spans="1:22" x14ac:dyDescent="0.3">
      <c r="A248">
        <v>247</v>
      </c>
      <c r="B248">
        <v>9621</v>
      </c>
      <c r="C248" s="2">
        <v>35678</v>
      </c>
      <c r="D248">
        <v>28</v>
      </c>
      <c r="E248" t="s">
        <v>36</v>
      </c>
      <c r="F248" t="s">
        <v>50</v>
      </c>
      <c r="G248" s="2">
        <v>42761</v>
      </c>
      <c r="H248" s="3">
        <f t="shared" si="3"/>
        <v>9.2273972602739729</v>
      </c>
      <c r="I248">
        <v>36</v>
      </c>
      <c r="J248" t="s">
        <v>38</v>
      </c>
      <c r="K248" t="s">
        <v>46</v>
      </c>
      <c r="L248" t="s">
        <v>44</v>
      </c>
      <c r="M248">
        <v>14.08</v>
      </c>
      <c r="N248">
        <v>13.78</v>
      </c>
      <c r="O248">
        <v>13.48</v>
      </c>
      <c r="P248">
        <v>13.18</v>
      </c>
      <c r="Q248">
        <v>12.88</v>
      </c>
      <c r="R248">
        <v>12.58</v>
      </c>
      <c r="S248">
        <v>12.28</v>
      </c>
      <c r="T248" t="s">
        <v>47</v>
      </c>
      <c r="U248">
        <v>1</v>
      </c>
      <c r="V248">
        <v>4</v>
      </c>
    </row>
    <row r="249" spans="1:22" x14ac:dyDescent="0.3">
      <c r="A249">
        <v>248</v>
      </c>
      <c r="B249">
        <v>9628</v>
      </c>
      <c r="C249" s="2">
        <v>31927</v>
      </c>
      <c r="D249">
        <v>38</v>
      </c>
      <c r="E249" t="s">
        <v>36</v>
      </c>
      <c r="F249" t="s">
        <v>50</v>
      </c>
      <c r="G249" s="2">
        <v>42654</v>
      </c>
      <c r="H249" s="3">
        <f t="shared" si="3"/>
        <v>9.1013698630136979</v>
      </c>
      <c r="I249">
        <v>36</v>
      </c>
      <c r="J249" t="s">
        <v>38</v>
      </c>
      <c r="K249" t="s">
        <v>54</v>
      </c>
      <c r="L249" t="s">
        <v>44</v>
      </c>
      <c r="M249">
        <v>21.92</v>
      </c>
      <c r="N249">
        <v>21.62</v>
      </c>
      <c r="O249">
        <v>21.32</v>
      </c>
      <c r="P249">
        <v>21.02</v>
      </c>
      <c r="Q249">
        <v>20.72</v>
      </c>
      <c r="R249">
        <v>20.420000000000002</v>
      </c>
      <c r="S249">
        <v>20.12</v>
      </c>
      <c r="T249" t="s">
        <v>52</v>
      </c>
      <c r="U249">
        <v>3</v>
      </c>
      <c r="V249">
        <v>6</v>
      </c>
    </row>
    <row r="250" spans="1:22" x14ac:dyDescent="0.3">
      <c r="A250">
        <v>249</v>
      </c>
      <c r="B250">
        <v>9629</v>
      </c>
      <c r="C250" s="2">
        <v>33701</v>
      </c>
      <c r="D250">
        <v>33</v>
      </c>
      <c r="E250" t="s">
        <v>42</v>
      </c>
      <c r="F250" t="s">
        <v>37</v>
      </c>
      <c r="G250" s="2">
        <v>42700</v>
      </c>
      <c r="H250" s="3">
        <f t="shared" si="3"/>
        <v>9.912328767123288</v>
      </c>
      <c r="I250">
        <v>36</v>
      </c>
      <c r="J250" t="s">
        <v>38</v>
      </c>
      <c r="K250" t="s">
        <v>55</v>
      </c>
      <c r="L250" t="s">
        <v>44</v>
      </c>
      <c r="M250">
        <v>16.84</v>
      </c>
      <c r="N250">
        <v>16.54</v>
      </c>
      <c r="O250">
        <v>16.239999999999998</v>
      </c>
      <c r="P250">
        <v>15.94</v>
      </c>
      <c r="Q250">
        <v>15.64</v>
      </c>
      <c r="R250">
        <v>15.34</v>
      </c>
      <c r="S250">
        <v>15.04</v>
      </c>
      <c r="T250" t="s">
        <v>49</v>
      </c>
      <c r="U250">
        <v>2</v>
      </c>
      <c r="V250">
        <v>7</v>
      </c>
    </row>
    <row r="251" spans="1:22" x14ac:dyDescent="0.3">
      <c r="A251">
        <v>250</v>
      </c>
      <c r="B251">
        <v>9631</v>
      </c>
      <c r="C251" s="2">
        <v>34464</v>
      </c>
      <c r="D251">
        <v>31</v>
      </c>
      <c r="E251" t="s">
        <v>42</v>
      </c>
      <c r="F251" t="s">
        <v>50</v>
      </c>
      <c r="G251" s="2">
        <v>42404</v>
      </c>
      <c r="H251" s="3">
        <f t="shared" si="3"/>
        <v>9.3561643835616444</v>
      </c>
      <c r="I251">
        <v>36</v>
      </c>
      <c r="J251" t="s">
        <v>38</v>
      </c>
      <c r="K251" t="s">
        <v>55</v>
      </c>
      <c r="L251" t="s">
        <v>44</v>
      </c>
      <c r="M251">
        <v>16.84</v>
      </c>
      <c r="N251">
        <v>16.54</v>
      </c>
      <c r="O251">
        <v>16.239999999999998</v>
      </c>
      <c r="P251">
        <v>15.94</v>
      </c>
      <c r="Q251">
        <v>15.64</v>
      </c>
      <c r="R251">
        <v>15.34</v>
      </c>
      <c r="S251">
        <v>15.04</v>
      </c>
      <c r="T251" t="s">
        <v>49</v>
      </c>
      <c r="U251">
        <v>2</v>
      </c>
      <c r="V251">
        <v>7</v>
      </c>
    </row>
    <row r="252" spans="1:22" x14ac:dyDescent="0.3">
      <c r="A252">
        <v>251</v>
      </c>
      <c r="B252">
        <v>9703</v>
      </c>
      <c r="C252" s="2">
        <v>34498</v>
      </c>
      <c r="D252">
        <v>31</v>
      </c>
      <c r="E252" t="s">
        <v>36</v>
      </c>
      <c r="F252" t="s">
        <v>50</v>
      </c>
      <c r="G252" s="2">
        <v>42607</v>
      </c>
      <c r="H252" s="3">
        <f t="shared" si="3"/>
        <v>9.131506849315068</v>
      </c>
      <c r="I252">
        <v>38</v>
      </c>
      <c r="J252" t="s">
        <v>38</v>
      </c>
      <c r="K252" t="s">
        <v>46</v>
      </c>
      <c r="L252" t="s">
        <v>44</v>
      </c>
      <c r="M252">
        <v>14.08</v>
      </c>
      <c r="N252">
        <v>13.78</v>
      </c>
      <c r="O252">
        <v>13.48</v>
      </c>
      <c r="P252">
        <v>13.18</v>
      </c>
      <c r="Q252">
        <v>12.88</v>
      </c>
      <c r="R252">
        <v>12.58</v>
      </c>
      <c r="S252">
        <v>12.28</v>
      </c>
      <c r="T252" t="s">
        <v>47</v>
      </c>
      <c r="U252">
        <v>0</v>
      </c>
      <c r="V252">
        <v>2</v>
      </c>
    </row>
    <row r="253" spans="1:22" x14ac:dyDescent="0.3">
      <c r="A253">
        <v>252</v>
      </c>
      <c r="B253">
        <v>9741</v>
      </c>
      <c r="C253" s="2">
        <v>31771</v>
      </c>
      <c r="D253">
        <v>39</v>
      </c>
      <c r="E253" t="s">
        <v>42</v>
      </c>
      <c r="F253" t="s">
        <v>50</v>
      </c>
      <c r="G253" s="2">
        <v>42689</v>
      </c>
      <c r="H253" s="3">
        <f t="shared" si="3"/>
        <v>9.6301369863013697</v>
      </c>
      <c r="I253">
        <v>39</v>
      </c>
      <c r="J253" t="s">
        <v>38</v>
      </c>
      <c r="K253" t="s">
        <v>55</v>
      </c>
      <c r="L253" t="s">
        <v>44</v>
      </c>
      <c r="M253">
        <v>16.39</v>
      </c>
      <c r="N253">
        <v>15.99</v>
      </c>
      <c r="O253">
        <v>15.99</v>
      </c>
      <c r="P253">
        <v>15.77</v>
      </c>
      <c r="Q253">
        <v>15.51</v>
      </c>
      <c r="R253">
        <v>15.2</v>
      </c>
      <c r="S253">
        <v>14.99</v>
      </c>
      <c r="T253" t="s">
        <v>47</v>
      </c>
      <c r="U253">
        <v>1</v>
      </c>
      <c r="V253">
        <v>7</v>
      </c>
    </row>
    <row r="254" spans="1:22" x14ac:dyDescent="0.3">
      <c r="A254">
        <v>253</v>
      </c>
      <c r="B254">
        <v>9979</v>
      </c>
      <c r="C254" s="2">
        <v>34904</v>
      </c>
      <c r="D254">
        <v>30</v>
      </c>
      <c r="E254" t="s">
        <v>42</v>
      </c>
      <c r="F254" t="s">
        <v>50</v>
      </c>
      <c r="G254" s="2">
        <v>42507</v>
      </c>
      <c r="H254" s="3">
        <f t="shared" si="3"/>
        <v>9.5616438356164384</v>
      </c>
      <c r="I254">
        <v>45</v>
      </c>
      <c r="J254" t="s">
        <v>38</v>
      </c>
      <c r="K254" t="s">
        <v>65</v>
      </c>
      <c r="L254" t="s">
        <v>44</v>
      </c>
      <c r="M254">
        <v>10.33</v>
      </c>
      <c r="N254">
        <v>10.130000000000001</v>
      </c>
      <c r="O254">
        <v>9.93</v>
      </c>
      <c r="P254">
        <v>9.73</v>
      </c>
      <c r="Q254">
        <v>9.5299999999999994</v>
      </c>
      <c r="R254">
        <v>9.33</v>
      </c>
      <c r="S254">
        <v>9.1300000000000008</v>
      </c>
      <c r="T254" t="s">
        <v>47</v>
      </c>
      <c r="U254">
        <v>0</v>
      </c>
      <c r="V254">
        <v>5</v>
      </c>
    </row>
    <row r="255" spans="1:22" x14ac:dyDescent="0.3">
      <c r="A255">
        <v>254</v>
      </c>
      <c r="B255">
        <v>9983</v>
      </c>
      <c r="C255" s="2">
        <v>34680</v>
      </c>
      <c r="D255">
        <v>31</v>
      </c>
      <c r="E255" t="s">
        <v>42</v>
      </c>
      <c r="F255" t="s">
        <v>37</v>
      </c>
      <c r="G255" s="2">
        <v>42532</v>
      </c>
      <c r="H255" s="3">
        <f t="shared" si="3"/>
        <v>9.6301369863013697</v>
      </c>
      <c r="I255">
        <v>45</v>
      </c>
      <c r="J255" t="s">
        <v>38</v>
      </c>
      <c r="K255" t="s">
        <v>43</v>
      </c>
      <c r="L255" t="s">
        <v>44</v>
      </c>
      <c r="M255">
        <v>15.84</v>
      </c>
      <c r="N255">
        <v>15.54</v>
      </c>
      <c r="O255">
        <v>15.24</v>
      </c>
      <c r="P255">
        <v>14.94</v>
      </c>
      <c r="Q255">
        <v>14.64</v>
      </c>
      <c r="R255">
        <v>14.34</v>
      </c>
      <c r="S255">
        <v>14.04</v>
      </c>
      <c r="T255" t="s">
        <v>45</v>
      </c>
      <c r="U255">
        <v>1</v>
      </c>
      <c r="V255">
        <v>5</v>
      </c>
    </row>
    <row r="256" spans="1:22" x14ac:dyDescent="0.3">
      <c r="A256">
        <v>255</v>
      </c>
      <c r="B256">
        <v>9985</v>
      </c>
      <c r="C256" s="2">
        <v>31405</v>
      </c>
      <c r="D256">
        <v>40</v>
      </c>
      <c r="E256" t="s">
        <v>36</v>
      </c>
      <c r="F256" t="s">
        <v>37</v>
      </c>
      <c r="G256" s="2">
        <v>42507</v>
      </c>
      <c r="H256" s="3">
        <f t="shared" si="3"/>
        <v>9.6191780821917803</v>
      </c>
      <c r="I256">
        <v>45</v>
      </c>
      <c r="J256" t="s">
        <v>38</v>
      </c>
      <c r="K256" t="s">
        <v>46</v>
      </c>
      <c r="L256" t="s">
        <v>44</v>
      </c>
      <c r="M256">
        <v>14.08</v>
      </c>
      <c r="N256">
        <v>13.78</v>
      </c>
      <c r="O256">
        <v>13.48</v>
      </c>
      <c r="P256">
        <v>13.18</v>
      </c>
      <c r="Q256">
        <v>12.88</v>
      </c>
      <c r="R256">
        <v>12.58</v>
      </c>
      <c r="S256">
        <v>12.28</v>
      </c>
      <c r="T256" t="s">
        <v>52</v>
      </c>
      <c r="U256">
        <v>1</v>
      </c>
      <c r="V256">
        <v>4</v>
      </c>
    </row>
    <row r="257" spans="1:22" x14ac:dyDescent="0.3">
      <c r="A257">
        <v>256</v>
      </c>
      <c r="B257">
        <v>9986</v>
      </c>
      <c r="C257" s="2">
        <v>34260</v>
      </c>
      <c r="D257">
        <v>32</v>
      </c>
      <c r="E257" t="s">
        <v>36</v>
      </c>
      <c r="F257" t="s">
        <v>37</v>
      </c>
      <c r="G257" s="2">
        <v>42511</v>
      </c>
      <c r="H257" s="3">
        <f t="shared" si="3"/>
        <v>9.5753424657534243</v>
      </c>
      <c r="I257">
        <v>45</v>
      </c>
      <c r="J257" t="s">
        <v>38</v>
      </c>
      <c r="K257" t="s">
        <v>64</v>
      </c>
      <c r="L257" t="s">
        <v>44</v>
      </c>
      <c r="M257">
        <v>13.95</v>
      </c>
      <c r="N257">
        <v>13.65</v>
      </c>
      <c r="O257">
        <v>13.35</v>
      </c>
      <c r="P257">
        <v>13.05</v>
      </c>
      <c r="Q257">
        <v>12.75</v>
      </c>
      <c r="R257">
        <v>12.45</v>
      </c>
      <c r="S257">
        <v>12.15</v>
      </c>
      <c r="T257" t="s">
        <v>49</v>
      </c>
      <c r="U257">
        <v>1</v>
      </c>
      <c r="V257">
        <v>4</v>
      </c>
    </row>
    <row r="258" spans="1:22" x14ac:dyDescent="0.3">
      <c r="A258">
        <v>257</v>
      </c>
      <c r="B258">
        <v>9987</v>
      </c>
      <c r="C258" s="2">
        <v>34388</v>
      </c>
      <c r="D258">
        <v>31</v>
      </c>
      <c r="E258" t="s">
        <v>42</v>
      </c>
      <c r="F258" t="s">
        <v>37</v>
      </c>
      <c r="G258" s="2">
        <v>42527</v>
      </c>
      <c r="H258" s="3">
        <f t="shared" si="3"/>
        <v>9.8136986301369866</v>
      </c>
      <c r="I258">
        <v>45</v>
      </c>
      <c r="J258" t="s">
        <v>38</v>
      </c>
      <c r="K258" t="s">
        <v>64</v>
      </c>
      <c r="L258" t="s">
        <v>44</v>
      </c>
      <c r="M258">
        <v>13.95</v>
      </c>
      <c r="N258">
        <v>13.65</v>
      </c>
      <c r="O258">
        <v>13.35</v>
      </c>
      <c r="P258">
        <v>13.05</v>
      </c>
      <c r="Q258">
        <v>12.75</v>
      </c>
      <c r="R258">
        <v>12.45</v>
      </c>
      <c r="S258">
        <v>12.15</v>
      </c>
      <c r="T258" t="s">
        <v>49</v>
      </c>
      <c r="U258">
        <v>1</v>
      </c>
      <c r="V258">
        <v>5</v>
      </c>
    </row>
    <row r="259" spans="1:22" x14ac:dyDescent="0.3">
      <c r="A259">
        <v>258</v>
      </c>
      <c r="B259">
        <v>9990</v>
      </c>
      <c r="C259" s="2">
        <v>33654</v>
      </c>
      <c r="D259">
        <v>33</v>
      </c>
      <c r="E259" t="s">
        <v>36</v>
      </c>
      <c r="F259" t="s">
        <v>50</v>
      </c>
      <c r="G259" s="2">
        <v>42440</v>
      </c>
      <c r="H259" s="3">
        <f t="shared" ref="H259:H322" si="4">DATEDIF(G260,DATE(2025,12,31),"d")/365</f>
        <v>9.0630136986301366</v>
      </c>
      <c r="I259">
        <v>45</v>
      </c>
      <c r="J259" t="s">
        <v>38</v>
      </c>
      <c r="K259" t="s">
        <v>55</v>
      </c>
      <c r="L259" t="s">
        <v>44</v>
      </c>
      <c r="M259">
        <v>16.84</v>
      </c>
      <c r="N259">
        <v>16.54</v>
      </c>
      <c r="O259">
        <v>16.239999999999998</v>
      </c>
      <c r="P259">
        <v>15.94</v>
      </c>
      <c r="Q259">
        <v>15.64</v>
      </c>
      <c r="R259">
        <v>15.34</v>
      </c>
      <c r="S259">
        <v>15.04</v>
      </c>
      <c r="T259" t="s">
        <v>49</v>
      </c>
      <c r="U259">
        <v>4</v>
      </c>
      <c r="V259">
        <v>7</v>
      </c>
    </row>
    <row r="260" spans="1:22" x14ac:dyDescent="0.3">
      <c r="A260">
        <v>259</v>
      </c>
      <c r="B260">
        <v>10184</v>
      </c>
      <c r="C260" s="2">
        <v>34213</v>
      </c>
      <c r="D260">
        <v>33</v>
      </c>
      <c r="E260" t="s">
        <v>36</v>
      </c>
      <c r="F260" t="s">
        <v>50</v>
      </c>
      <c r="G260" s="2">
        <v>42714</v>
      </c>
      <c r="H260" s="3">
        <f t="shared" si="4"/>
        <v>9.131506849315068</v>
      </c>
      <c r="I260">
        <v>50</v>
      </c>
      <c r="J260" t="s">
        <v>38</v>
      </c>
      <c r="K260" t="s">
        <v>55</v>
      </c>
      <c r="L260" t="s">
        <v>44</v>
      </c>
      <c r="M260">
        <v>16.84</v>
      </c>
      <c r="N260">
        <v>16.54</v>
      </c>
      <c r="O260">
        <v>16.239999999999998</v>
      </c>
      <c r="P260">
        <v>15.94</v>
      </c>
      <c r="Q260">
        <v>15.64</v>
      </c>
      <c r="R260">
        <v>15.34</v>
      </c>
      <c r="S260">
        <v>15.04</v>
      </c>
      <c r="T260" t="s">
        <v>47</v>
      </c>
      <c r="U260">
        <v>4</v>
      </c>
      <c r="V260">
        <v>5</v>
      </c>
    </row>
    <row r="261" spans="1:22" x14ac:dyDescent="0.3">
      <c r="A261">
        <v>260</v>
      </c>
      <c r="B261">
        <v>10263</v>
      </c>
      <c r="C261" s="2">
        <v>33886</v>
      </c>
      <c r="D261">
        <v>33</v>
      </c>
      <c r="E261" t="s">
        <v>42</v>
      </c>
      <c r="F261" t="s">
        <v>50</v>
      </c>
      <c r="G261" s="2">
        <v>42689</v>
      </c>
      <c r="H261" s="3">
        <f t="shared" si="4"/>
        <v>8.9698630136986299</v>
      </c>
      <c r="I261">
        <v>52</v>
      </c>
      <c r="J261" t="s">
        <v>38</v>
      </c>
      <c r="K261" t="s">
        <v>46</v>
      </c>
      <c r="L261" t="s">
        <v>44</v>
      </c>
      <c r="M261">
        <v>14.08</v>
      </c>
      <c r="N261">
        <v>13.78</v>
      </c>
      <c r="O261">
        <v>13.48</v>
      </c>
      <c r="P261">
        <v>13.18</v>
      </c>
      <c r="Q261">
        <v>12.88</v>
      </c>
      <c r="R261">
        <v>12.58</v>
      </c>
      <c r="S261">
        <v>12.28</v>
      </c>
      <c r="T261" t="s">
        <v>47</v>
      </c>
      <c r="U261">
        <v>0</v>
      </c>
      <c r="V261">
        <v>6</v>
      </c>
    </row>
    <row r="262" spans="1:22" x14ac:dyDescent="0.3">
      <c r="A262">
        <v>261</v>
      </c>
      <c r="B262">
        <v>10300</v>
      </c>
      <c r="C262" s="2">
        <v>32835</v>
      </c>
      <c r="D262">
        <v>36</v>
      </c>
      <c r="E262" t="s">
        <v>42</v>
      </c>
      <c r="F262" t="s">
        <v>50</v>
      </c>
      <c r="G262" s="2">
        <v>42748</v>
      </c>
      <c r="H262" s="3">
        <f t="shared" si="4"/>
        <v>9.3863013698630144</v>
      </c>
      <c r="I262">
        <v>53</v>
      </c>
      <c r="J262" t="s">
        <v>38</v>
      </c>
      <c r="K262" t="s">
        <v>43</v>
      </c>
      <c r="L262" t="s">
        <v>44</v>
      </c>
      <c r="M262">
        <v>15.84</v>
      </c>
      <c r="N262">
        <v>15.54</v>
      </c>
      <c r="O262">
        <v>15.24</v>
      </c>
      <c r="P262">
        <v>14.94</v>
      </c>
      <c r="Q262">
        <v>14.64</v>
      </c>
      <c r="R262">
        <v>14.34</v>
      </c>
      <c r="S262">
        <v>14.04</v>
      </c>
      <c r="T262" t="s">
        <v>47</v>
      </c>
      <c r="U262">
        <v>0</v>
      </c>
      <c r="V262">
        <v>6</v>
      </c>
    </row>
    <row r="263" spans="1:22" x14ac:dyDescent="0.3">
      <c r="A263">
        <v>262</v>
      </c>
      <c r="B263">
        <v>10301</v>
      </c>
      <c r="C263" s="2">
        <v>35201</v>
      </c>
      <c r="D263">
        <v>29</v>
      </c>
      <c r="E263" t="s">
        <v>36</v>
      </c>
      <c r="F263" t="s">
        <v>50</v>
      </c>
      <c r="G263" s="2">
        <v>42596</v>
      </c>
      <c r="H263" s="3">
        <f t="shared" si="4"/>
        <v>9.1232876712328768</v>
      </c>
      <c r="I263">
        <v>53</v>
      </c>
      <c r="J263" t="s">
        <v>38</v>
      </c>
      <c r="K263" t="s">
        <v>46</v>
      </c>
      <c r="L263" t="s">
        <v>44</v>
      </c>
      <c r="M263">
        <v>14.08</v>
      </c>
      <c r="N263">
        <v>13.78</v>
      </c>
      <c r="O263">
        <v>13.48</v>
      </c>
      <c r="P263">
        <v>13.18</v>
      </c>
      <c r="Q263">
        <v>12.88</v>
      </c>
      <c r="R263">
        <v>12.58</v>
      </c>
      <c r="S263">
        <v>12.28</v>
      </c>
      <c r="T263" t="s">
        <v>47</v>
      </c>
      <c r="U263">
        <v>1</v>
      </c>
      <c r="V263">
        <v>4</v>
      </c>
    </row>
    <row r="264" spans="1:22" x14ac:dyDescent="0.3">
      <c r="A264">
        <v>263</v>
      </c>
      <c r="B264">
        <v>10303</v>
      </c>
      <c r="C264" s="2">
        <v>35625</v>
      </c>
      <c r="D264">
        <v>28</v>
      </c>
      <c r="E264" t="s">
        <v>42</v>
      </c>
      <c r="F264" t="s">
        <v>50</v>
      </c>
      <c r="G264" s="2">
        <v>42692</v>
      </c>
      <c r="H264" s="3">
        <f t="shared" si="4"/>
        <v>9.3123287671232884</v>
      </c>
      <c r="I264">
        <v>53</v>
      </c>
      <c r="J264" t="s">
        <v>38</v>
      </c>
      <c r="K264" t="s">
        <v>64</v>
      </c>
      <c r="L264" t="s">
        <v>44</v>
      </c>
      <c r="M264">
        <v>13.95</v>
      </c>
      <c r="N264">
        <v>13.65</v>
      </c>
      <c r="O264">
        <v>13.35</v>
      </c>
      <c r="P264">
        <v>13.05</v>
      </c>
      <c r="Q264">
        <v>12.75</v>
      </c>
      <c r="R264">
        <v>12.45</v>
      </c>
      <c r="S264">
        <v>12.15</v>
      </c>
      <c r="T264" t="s">
        <v>49</v>
      </c>
      <c r="U264">
        <v>0</v>
      </c>
      <c r="V264">
        <v>4</v>
      </c>
    </row>
    <row r="265" spans="1:22" x14ac:dyDescent="0.3">
      <c r="A265">
        <v>264</v>
      </c>
      <c r="B265">
        <v>10342</v>
      </c>
      <c r="C265" s="2">
        <v>34447</v>
      </c>
      <c r="D265">
        <v>31</v>
      </c>
      <c r="E265" t="s">
        <v>36</v>
      </c>
      <c r="F265" t="s">
        <v>50</v>
      </c>
      <c r="G265" s="2">
        <v>42623</v>
      </c>
      <c r="H265" s="3">
        <f t="shared" si="4"/>
        <v>9.2904109589041095</v>
      </c>
      <c r="I265">
        <v>54</v>
      </c>
      <c r="J265" t="s">
        <v>38</v>
      </c>
      <c r="K265" t="s">
        <v>46</v>
      </c>
      <c r="L265" t="s">
        <v>44</v>
      </c>
      <c r="M265">
        <v>14.08</v>
      </c>
      <c r="N265">
        <v>13.78</v>
      </c>
      <c r="O265">
        <v>13.48</v>
      </c>
      <c r="P265">
        <v>13.18</v>
      </c>
      <c r="Q265">
        <v>12.88</v>
      </c>
      <c r="R265">
        <v>12.58</v>
      </c>
      <c r="S265">
        <v>12.28</v>
      </c>
      <c r="T265" t="s">
        <v>47</v>
      </c>
      <c r="U265">
        <v>0</v>
      </c>
      <c r="V265">
        <v>4</v>
      </c>
    </row>
    <row r="266" spans="1:22" x14ac:dyDescent="0.3">
      <c r="A266">
        <v>265</v>
      </c>
      <c r="B266">
        <v>10664</v>
      </c>
      <c r="C266" s="2">
        <v>35427</v>
      </c>
      <c r="D266">
        <v>29</v>
      </c>
      <c r="E266" t="s">
        <v>36</v>
      </c>
      <c r="F266" t="s">
        <v>50</v>
      </c>
      <c r="G266" s="2">
        <v>42631</v>
      </c>
      <c r="H266" s="3">
        <f t="shared" si="4"/>
        <v>9.6630136986301363</v>
      </c>
      <c r="I266">
        <v>62</v>
      </c>
      <c r="J266" t="s">
        <v>38</v>
      </c>
      <c r="K266" t="s">
        <v>46</v>
      </c>
      <c r="L266" t="s">
        <v>44</v>
      </c>
      <c r="M266">
        <v>14.08</v>
      </c>
      <c r="N266">
        <v>13.78</v>
      </c>
      <c r="O266">
        <v>13.48</v>
      </c>
      <c r="P266">
        <v>13.18</v>
      </c>
      <c r="Q266">
        <v>12.88</v>
      </c>
      <c r="R266">
        <v>12.58</v>
      </c>
      <c r="S266">
        <v>12.28</v>
      </c>
      <c r="T266" t="s">
        <v>47</v>
      </c>
      <c r="U266">
        <v>0</v>
      </c>
      <c r="V266">
        <v>4</v>
      </c>
    </row>
    <row r="267" spans="1:22" x14ac:dyDescent="0.3">
      <c r="A267">
        <v>266</v>
      </c>
      <c r="B267">
        <v>10740</v>
      </c>
      <c r="C267" s="2">
        <v>34483</v>
      </c>
      <c r="D267">
        <v>31</v>
      </c>
      <c r="E267" t="s">
        <v>36</v>
      </c>
      <c r="F267" t="s">
        <v>50</v>
      </c>
      <c r="G267" s="2">
        <v>42495</v>
      </c>
      <c r="H267" s="3">
        <f t="shared" si="4"/>
        <v>9.6054794520547944</v>
      </c>
      <c r="I267">
        <v>64</v>
      </c>
      <c r="J267" t="s">
        <v>38</v>
      </c>
      <c r="K267" t="s">
        <v>65</v>
      </c>
      <c r="L267" t="s">
        <v>44</v>
      </c>
      <c r="M267">
        <v>10.33</v>
      </c>
      <c r="N267">
        <v>10.130000000000001</v>
      </c>
      <c r="O267">
        <v>9.93</v>
      </c>
      <c r="P267">
        <v>9.73</v>
      </c>
      <c r="Q267">
        <v>9.5299999999999994</v>
      </c>
      <c r="R267">
        <v>9.33</v>
      </c>
      <c r="S267">
        <v>9.1300000000000008</v>
      </c>
      <c r="T267" t="s">
        <v>52</v>
      </c>
      <c r="U267">
        <v>1</v>
      </c>
      <c r="V267">
        <v>4</v>
      </c>
    </row>
    <row r="268" spans="1:22" x14ac:dyDescent="0.3">
      <c r="A268">
        <v>267</v>
      </c>
      <c r="B268">
        <v>10820</v>
      </c>
      <c r="C268" s="2">
        <v>29639</v>
      </c>
      <c r="D268">
        <v>44</v>
      </c>
      <c r="E268" t="s">
        <v>42</v>
      </c>
      <c r="F268" t="s">
        <v>50</v>
      </c>
      <c r="G268" s="2">
        <v>42516</v>
      </c>
      <c r="H268" s="3">
        <f t="shared" si="4"/>
        <v>8.9780821917808211</v>
      </c>
      <c r="I268">
        <v>66</v>
      </c>
      <c r="J268" t="s">
        <v>57</v>
      </c>
      <c r="K268" t="s">
        <v>43</v>
      </c>
      <c r="L268" t="s">
        <v>44</v>
      </c>
      <c r="M268">
        <v>15.84</v>
      </c>
      <c r="N268">
        <v>15.54</v>
      </c>
      <c r="O268">
        <v>15.24</v>
      </c>
      <c r="P268">
        <v>14.94</v>
      </c>
      <c r="Q268">
        <v>14.64</v>
      </c>
      <c r="R268">
        <v>14.34</v>
      </c>
      <c r="S268">
        <v>14.04</v>
      </c>
      <c r="T268" t="s">
        <v>47</v>
      </c>
      <c r="U268">
        <v>1</v>
      </c>
      <c r="V268">
        <v>5</v>
      </c>
    </row>
    <row r="269" spans="1:22" x14ac:dyDescent="0.3">
      <c r="A269">
        <v>268</v>
      </c>
      <c r="B269">
        <v>10822</v>
      </c>
      <c r="C269" s="2">
        <v>34714</v>
      </c>
      <c r="D269">
        <v>30</v>
      </c>
      <c r="E269" t="s">
        <v>42</v>
      </c>
      <c r="F269" t="s">
        <v>50</v>
      </c>
      <c r="G269" s="2">
        <v>42745</v>
      </c>
      <c r="H269" s="3">
        <f t="shared" si="4"/>
        <v>9.0383561643835613</v>
      </c>
      <c r="I269">
        <v>66</v>
      </c>
      <c r="J269" t="s">
        <v>57</v>
      </c>
      <c r="K269" t="s">
        <v>64</v>
      </c>
      <c r="L269" t="s">
        <v>44</v>
      </c>
      <c r="M269">
        <v>13.95</v>
      </c>
      <c r="N269">
        <v>13.65</v>
      </c>
      <c r="O269">
        <v>13.35</v>
      </c>
      <c r="P269">
        <v>13.05</v>
      </c>
      <c r="Q269">
        <v>12.75</v>
      </c>
      <c r="R269">
        <v>12.45</v>
      </c>
      <c r="S269">
        <v>12.15</v>
      </c>
      <c r="T269" t="s">
        <v>47</v>
      </c>
      <c r="U269">
        <v>0</v>
      </c>
      <c r="V269">
        <v>5</v>
      </c>
    </row>
    <row r="270" spans="1:22" x14ac:dyDescent="0.3">
      <c r="A270">
        <v>269</v>
      </c>
      <c r="B270">
        <v>11046</v>
      </c>
      <c r="C270" s="2">
        <v>34910</v>
      </c>
      <c r="D270">
        <v>30</v>
      </c>
      <c r="E270" t="s">
        <v>36</v>
      </c>
      <c r="F270" t="s">
        <v>50</v>
      </c>
      <c r="G270" s="2">
        <v>42723</v>
      </c>
      <c r="H270" s="3">
        <f t="shared" si="4"/>
        <v>9.5150684931506841</v>
      </c>
      <c r="I270">
        <v>74</v>
      </c>
      <c r="J270" t="s">
        <v>57</v>
      </c>
      <c r="K270" t="s">
        <v>54</v>
      </c>
      <c r="L270" t="s">
        <v>44</v>
      </c>
      <c r="M270">
        <v>19.97</v>
      </c>
      <c r="N270">
        <v>19.97</v>
      </c>
      <c r="O270">
        <v>19.82</v>
      </c>
      <c r="P270">
        <v>19.82</v>
      </c>
      <c r="Q270">
        <v>19.82</v>
      </c>
      <c r="R270">
        <v>19.670000000000002</v>
      </c>
      <c r="S270">
        <v>19.670000000000002</v>
      </c>
      <c r="T270" t="s">
        <v>47</v>
      </c>
      <c r="U270">
        <v>7</v>
      </c>
      <c r="V270">
        <v>5</v>
      </c>
    </row>
    <row r="271" spans="1:22" x14ac:dyDescent="0.3">
      <c r="A271">
        <v>270</v>
      </c>
      <c r="B271">
        <v>11142</v>
      </c>
      <c r="C271" s="2">
        <v>34168</v>
      </c>
      <c r="D271">
        <v>32</v>
      </c>
      <c r="E271" t="s">
        <v>36</v>
      </c>
      <c r="F271" t="s">
        <v>37</v>
      </c>
      <c r="G271" s="2">
        <v>42549</v>
      </c>
      <c r="H271" s="3">
        <f t="shared" si="4"/>
        <v>9.4</v>
      </c>
      <c r="I271">
        <v>77</v>
      </c>
      <c r="J271" t="s">
        <v>57</v>
      </c>
      <c r="K271" t="s">
        <v>55</v>
      </c>
      <c r="L271" t="s">
        <v>44</v>
      </c>
      <c r="M271">
        <v>16.84</v>
      </c>
      <c r="N271">
        <v>16.54</v>
      </c>
      <c r="O271">
        <v>16.239999999999998</v>
      </c>
      <c r="P271">
        <v>15.94</v>
      </c>
      <c r="Q271">
        <v>15.64</v>
      </c>
      <c r="R271">
        <v>15.34</v>
      </c>
      <c r="S271">
        <v>15.04</v>
      </c>
      <c r="T271" t="s">
        <v>49</v>
      </c>
      <c r="U271">
        <v>2</v>
      </c>
      <c r="V271">
        <v>6</v>
      </c>
    </row>
    <row r="272" spans="1:22" x14ac:dyDescent="0.3">
      <c r="A272">
        <v>271</v>
      </c>
      <c r="B272">
        <v>11196</v>
      </c>
      <c r="C272" s="2">
        <v>33724</v>
      </c>
      <c r="D272">
        <v>33</v>
      </c>
      <c r="E272" t="s">
        <v>42</v>
      </c>
      <c r="F272" t="s">
        <v>50</v>
      </c>
      <c r="G272" s="2">
        <v>42591</v>
      </c>
      <c r="H272" s="3">
        <f t="shared" si="4"/>
        <v>8.912328767123288</v>
      </c>
      <c r="I272">
        <v>79</v>
      </c>
      <c r="J272" t="s">
        <v>57</v>
      </c>
      <c r="K272" t="s">
        <v>68</v>
      </c>
      <c r="L272" t="s">
        <v>44</v>
      </c>
      <c r="M272">
        <v>15.55</v>
      </c>
      <c r="N272">
        <v>15.35</v>
      </c>
      <c r="O272">
        <v>15.15</v>
      </c>
      <c r="P272">
        <v>14.95</v>
      </c>
      <c r="Q272">
        <v>14.75</v>
      </c>
      <c r="R272">
        <v>14.55</v>
      </c>
      <c r="S272">
        <v>14.35</v>
      </c>
      <c r="T272" t="s">
        <v>47</v>
      </c>
      <c r="U272">
        <v>2</v>
      </c>
      <c r="V272">
        <v>6</v>
      </c>
    </row>
    <row r="273" spans="1:22" x14ac:dyDescent="0.3">
      <c r="A273">
        <v>272</v>
      </c>
      <c r="B273">
        <v>11201</v>
      </c>
      <c r="C273" s="2">
        <v>33867</v>
      </c>
      <c r="D273">
        <v>33</v>
      </c>
      <c r="E273" t="s">
        <v>42</v>
      </c>
      <c r="F273" t="s">
        <v>37</v>
      </c>
      <c r="G273" s="2">
        <v>42769</v>
      </c>
      <c r="H273" s="3">
        <f t="shared" si="4"/>
        <v>9.6794520547945204</v>
      </c>
      <c r="I273">
        <v>79</v>
      </c>
      <c r="J273" t="s">
        <v>57</v>
      </c>
      <c r="K273" t="s">
        <v>43</v>
      </c>
      <c r="L273" t="s">
        <v>44</v>
      </c>
      <c r="M273">
        <v>15.84</v>
      </c>
      <c r="N273">
        <v>15.54</v>
      </c>
      <c r="O273">
        <v>15.24</v>
      </c>
      <c r="P273">
        <v>14.94</v>
      </c>
      <c r="Q273">
        <v>14.64</v>
      </c>
      <c r="R273">
        <v>14.34</v>
      </c>
      <c r="S273">
        <v>14.04</v>
      </c>
      <c r="T273" t="s">
        <v>47</v>
      </c>
      <c r="U273">
        <v>0</v>
      </c>
      <c r="V273">
        <v>5</v>
      </c>
    </row>
    <row r="274" spans="1:22" x14ac:dyDescent="0.3">
      <c r="A274">
        <v>273</v>
      </c>
      <c r="B274">
        <v>11202</v>
      </c>
      <c r="C274" s="2">
        <v>34639</v>
      </c>
      <c r="D274">
        <v>32</v>
      </c>
      <c r="E274" t="s">
        <v>42</v>
      </c>
      <c r="F274" t="s">
        <v>37</v>
      </c>
      <c r="G274" s="2">
        <v>42489</v>
      </c>
      <c r="H274" s="3">
        <f t="shared" si="4"/>
        <v>9.0246575342465754</v>
      </c>
      <c r="I274">
        <v>79</v>
      </c>
      <c r="J274" t="s">
        <v>57</v>
      </c>
      <c r="K274" t="s">
        <v>64</v>
      </c>
      <c r="L274" t="s">
        <v>44</v>
      </c>
      <c r="M274">
        <v>13.95</v>
      </c>
      <c r="N274">
        <v>13.65</v>
      </c>
      <c r="O274">
        <v>13.35</v>
      </c>
      <c r="P274">
        <v>13.05</v>
      </c>
      <c r="Q274">
        <v>12.75</v>
      </c>
      <c r="R274">
        <v>12.45</v>
      </c>
      <c r="S274">
        <v>12.15</v>
      </c>
      <c r="T274" t="s">
        <v>47</v>
      </c>
      <c r="U274">
        <v>0</v>
      </c>
      <c r="V274">
        <v>6</v>
      </c>
    </row>
    <row r="275" spans="1:22" x14ac:dyDescent="0.3">
      <c r="A275">
        <v>274</v>
      </c>
      <c r="B275">
        <v>11234</v>
      </c>
      <c r="C275" s="2">
        <v>31636</v>
      </c>
      <c r="D275">
        <v>39</v>
      </c>
      <c r="E275" t="s">
        <v>36</v>
      </c>
      <c r="F275" t="s">
        <v>50</v>
      </c>
      <c r="G275" s="2">
        <v>42728</v>
      </c>
      <c r="H275" s="3">
        <f t="shared" si="4"/>
        <v>9.4246575342465757</v>
      </c>
      <c r="I275">
        <v>80</v>
      </c>
      <c r="J275" t="s">
        <v>57</v>
      </c>
      <c r="K275" t="s">
        <v>48</v>
      </c>
      <c r="L275" t="s">
        <v>44</v>
      </c>
      <c r="M275">
        <v>17.09</v>
      </c>
      <c r="N275">
        <v>16.79</v>
      </c>
      <c r="O275">
        <v>16.489999999999998</v>
      </c>
      <c r="P275">
        <v>16.190000000000001</v>
      </c>
      <c r="Q275">
        <v>15.89</v>
      </c>
      <c r="R275">
        <v>15.59</v>
      </c>
      <c r="S275">
        <v>15.29</v>
      </c>
      <c r="T275" t="s">
        <v>47</v>
      </c>
      <c r="U275">
        <v>2</v>
      </c>
      <c r="V275">
        <v>5</v>
      </c>
    </row>
    <row r="276" spans="1:22" x14ac:dyDescent="0.3">
      <c r="A276">
        <v>275</v>
      </c>
      <c r="B276">
        <v>11323</v>
      </c>
      <c r="C276" s="2">
        <v>33771</v>
      </c>
      <c r="D276">
        <v>33</v>
      </c>
      <c r="E276" t="s">
        <v>42</v>
      </c>
      <c r="F276" t="s">
        <v>37</v>
      </c>
      <c r="G276" s="2">
        <v>42582</v>
      </c>
      <c r="H276" s="3">
        <f t="shared" si="4"/>
        <v>8.9698630136986299</v>
      </c>
      <c r="I276">
        <v>83</v>
      </c>
      <c r="J276" t="s">
        <v>57</v>
      </c>
      <c r="K276" t="s">
        <v>55</v>
      </c>
      <c r="L276" t="s">
        <v>44</v>
      </c>
      <c r="M276">
        <v>16.84</v>
      </c>
      <c r="N276">
        <v>16.54</v>
      </c>
      <c r="O276">
        <v>16.239999999999998</v>
      </c>
      <c r="P276">
        <v>15.94</v>
      </c>
      <c r="Q276">
        <v>15.64</v>
      </c>
      <c r="R276">
        <v>15.34</v>
      </c>
      <c r="S276">
        <v>15.04</v>
      </c>
      <c r="T276" t="s">
        <v>47</v>
      </c>
      <c r="U276">
        <v>1</v>
      </c>
      <c r="V276">
        <v>4</v>
      </c>
    </row>
    <row r="277" spans="1:22" x14ac:dyDescent="0.3">
      <c r="A277">
        <v>276</v>
      </c>
      <c r="B277">
        <v>11651</v>
      </c>
      <c r="C277" s="2">
        <v>34032</v>
      </c>
      <c r="D277">
        <v>32</v>
      </c>
      <c r="E277" t="s">
        <v>42</v>
      </c>
      <c r="F277" t="s">
        <v>50</v>
      </c>
      <c r="G277" s="2">
        <v>42748</v>
      </c>
      <c r="H277" s="3">
        <f t="shared" si="4"/>
        <v>9.6657534246575345</v>
      </c>
      <c r="I277">
        <v>94</v>
      </c>
      <c r="J277" t="s">
        <v>57</v>
      </c>
      <c r="K277" t="s">
        <v>55</v>
      </c>
      <c r="L277" t="s">
        <v>44</v>
      </c>
      <c r="M277">
        <v>16.84</v>
      </c>
      <c r="N277">
        <v>16.54</v>
      </c>
      <c r="O277">
        <v>16.239999999999998</v>
      </c>
      <c r="P277">
        <v>15.94</v>
      </c>
      <c r="Q277">
        <v>15.64</v>
      </c>
      <c r="R277">
        <v>15.34</v>
      </c>
      <c r="S277">
        <v>15.04</v>
      </c>
      <c r="T277" t="s">
        <v>52</v>
      </c>
      <c r="U277">
        <v>0</v>
      </c>
      <c r="V277">
        <v>6</v>
      </c>
    </row>
    <row r="278" spans="1:22" x14ac:dyDescent="0.3">
      <c r="A278">
        <v>277</v>
      </c>
      <c r="B278">
        <v>11726</v>
      </c>
      <c r="C278" s="2">
        <v>32920</v>
      </c>
      <c r="D278">
        <v>35</v>
      </c>
      <c r="E278" t="s">
        <v>42</v>
      </c>
      <c r="F278" t="s">
        <v>50</v>
      </c>
      <c r="G278" s="2">
        <v>42494</v>
      </c>
      <c r="H278" s="3">
        <f t="shared" si="4"/>
        <v>8.830136986301369</v>
      </c>
      <c r="I278">
        <v>96</v>
      </c>
      <c r="J278" t="s">
        <v>57</v>
      </c>
      <c r="K278" t="s">
        <v>56</v>
      </c>
      <c r="L278" t="s">
        <v>44</v>
      </c>
      <c r="M278">
        <v>8.99</v>
      </c>
      <c r="N278">
        <v>8.7799999999999994</v>
      </c>
      <c r="O278">
        <v>8.51</v>
      </c>
      <c r="P278">
        <v>8.27</v>
      </c>
      <c r="Q278">
        <v>7.98</v>
      </c>
      <c r="R278">
        <v>7.72</v>
      </c>
      <c r="S278">
        <v>7.48</v>
      </c>
      <c r="T278" t="s">
        <v>47</v>
      </c>
      <c r="U278">
        <v>4</v>
      </c>
      <c r="V278">
        <v>6</v>
      </c>
    </row>
    <row r="279" spans="1:22" x14ac:dyDescent="0.3">
      <c r="A279">
        <v>278</v>
      </c>
      <c r="B279">
        <v>11832</v>
      </c>
      <c r="C279" s="2">
        <v>35231</v>
      </c>
      <c r="D279">
        <v>29</v>
      </c>
      <c r="E279" t="s">
        <v>36</v>
      </c>
      <c r="F279" t="s">
        <v>50</v>
      </c>
      <c r="G279" s="2">
        <v>42799</v>
      </c>
      <c r="H279" s="3">
        <f t="shared" si="4"/>
        <v>9.0465753424657542</v>
      </c>
      <c r="I279">
        <v>100</v>
      </c>
      <c r="J279" t="s">
        <v>57</v>
      </c>
      <c r="K279" t="s">
        <v>64</v>
      </c>
      <c r="L279" t="s">
        <v>44</v>
      </c>
      <c r="M279">
        <v>13.95</v>
      </c>
      <c r="N279">
        <v>13.65</v>
      </c>
      <c r="O279">
        <v>13.35</v>
      </c>
      <c r="P279">
        <v>13.05</v>
      </c>
      <c r="Q279">
        <v>12.75</v>
      </c>
      <c r="R279">
        <v>12.45</v>
      </c>
      <c r="S279">
        <v>12.15</v>
      </c>
      <c r="T279" t="s">
        <v>47</v>
      </c>
      <c r="U279">
        <v>0</v>
      </c>
      <c r="V279">
        <v>4</v>
      </c>
    </row>
    <row r="280" spans="1:22" x14ac:dyDescent="0.3">
      <c r="A280">
        <v>279</v>
      </c>
      <c r="B280">
        <v>11983</v>
      </c>
      <c r="C280" s="2">
        <v>33547</v>
      </c>
      <c r="D280">
        <v>34</v>
      </c>
      <c r="E280" t="s">
        <v>42</v>
      </c>
      <c r="F280" t="s">
        <v>37</v>
      </c>
      <c r="G280" s="2">
        <v>42720</v>
      </c>
      <c r="H280" s="3">
        <f t="shared" si="4"/>
        <v>9.7452054794520553</v>
      </c>
      <c r="I280">
        <v>105</v>
      </c>
      <c r="J280" t="s">
        <v>57</v>
      </c>
      <c r="K280" t="s">
        <v>43</v>
      </c>
      <c r="L280" t="s">
        <v>44</v>
      </c>
      <c r="M280">
        <v>15.84</v>
      </c>
      <c r="N280">
        <v>15.54</v>
      </c>
      <c r="O280">
        <v>15.24</v>
      </c>
      <c r="P280">
        <v>14.94</v>
      </c>
      <c r="Q280">
        <v>14.64</v>
      </c>
      <c r="R280">
        <v>14.34</v>
      </c>
      <c r="S280">
        <v>14.04</v>
      </c>
      <c r="T280" t="s">
        <v>45</v>
      </c>
      <c r="U280">
        <v>1</v>
      </c>
      <c r="V280">
        <v>6</v>
      </c>
    </row>
    <row r="281" spans="1:22" x14ac:dyDescent="0.3">
      <c r="A281">
        <v>280</v>
      </c>
      <c r="B281">
        <v>12019</v>
      </c>
      <c r="C281" s="2">
        <v>32269</v>
      </c>
      <c r="D281">
        <v>37</v>
      </c>
      <c r="E281" t="s">
        <v>36</v>
      </c>
      <c r="F281" t="s">
        <v>50</v>
      </c>
      <c r="G281" s="2">
        <v>42465</v>
      </c>
      <c r="H281" s="3">
        <f t="shared" si="4"/>
        <v>8.9972602739726035</v>
      </c>
      <c r="I281">
        <v>106</v>
      </c>
      <c r="J281" t="s">
        <v>57</v>
      </c>
      <c r="K281" t="s">
        <v>55</v>
      </c>
      <c r="L281" t="s">
        <v>44</v>
      </c>
      <c r="M281">
        <v>16.84</v>
      </c>
      <c r="N281">
        <v>16.54</v>
      </c>
      <c r="O281">
        <v>16.239999999999998</v>
      </c>
      <c r="P281">
        <v>15.94</v>
      </c>
      <c r="Q281">
        <v>15.64</v>
      </c>
      <c r="R281">
        <v>15.34</v>
      </c>
      <c r="S281">
        <v>15.04</v>
      </c>
      <c r="T281" t="s">
        <v>49</v>
      </c>
      <c r="U281">
        <v>4</v>
      </c>
      <c r="V281">
        <v>4</v>
      </c>
    </row>
    <row r="282" spans="1:22" x14ac:dyDescent="0.3">
      <c r="A282">
        <v>281</v>
      </c>
      <c r="B282">
        <v>12053</v>
      </c>
      <c r="C282" s="2">
        <v>33629</v>
      </c>
      <c r="D282">
        <v>33</v>
      </c>
      <c r="E282" t="s">
        <v>36</v>
      </c>
      <c r="F282" t="s">
        <v>50</v>
      </c>
      <c r="G282" s="2">
        <v>42738</v>
      </c>
      <c r="H282" s="3">
        <f t="shared" si="4"/>
        <v>9.4986301369863018</v>
      </c>
      <c r="I282">
        <v>107</v>
      </c>
      <c r="J282" t="s">
        <v>57</v>
      </c>
      <c r="K282" t="s">
        <v>55</v>
      </c>
      <c r="L282" t="s">
        <v>44</v>
      </c>
      <c r="M282">
        <v>16.84</v>
      </c>
      <c r="N282">
        <v>16.54</v>
      </c>
      <c r="O282">
        <v>16.239999999999998</v>
      </c>
      <c r="P282">
        <v>15.94</v>
      </c>
      <c r="Q282">
        <v>15.64</v>
      </c>
      <c r="R282">
        <v>15.34</v>
      </c>
      <c r="S282">
        <v>15.04</v>
      </c>
      <c r="T282" t="s">
        <v>52</v>
      </c>
      <c r="U282">
        <v>2</v>
      </c>
      <c r="V282">
        <v>2</v>
      </c>
    </row>
    <row r="283" spans="1:22" x14ac:dyDescent="0.3">
      <c r="A283">
        <v>282</v>
      </c>
      <c r="B283">
        <v>12111</v>
      </c>
      <c r="C283" s="2">
        <v>33987</v>
      </c>
      <c r="D283">
        <v>32</v>
      </c>
      <c r="E283" t="s">
        <v>36</v>
      </c>
      <c r="F283" t="s">
        <v>50</v>
      </c>
      <c r="G283" s="2">
        <v>42555</v>
      </c>
      <c r="H283" s="3">
        <f t="shared" si="4"/>
        <v>9.1534246575342468</v>
      </c>
      <c r="I283">
        <v>109</v>
      </c>
      <c r="J283" t="s">
        <v>57</v>
      </c>
      <c r="K283" t="s">
        <v>43</v>
      </c>
      <c r="L283" t="s">
        <v>44</v>
      </c>
      <c r="M283">
        <v>15.84</v>
      </c>
      <c r="N283">
        <v>15.54</v>
      </c>
      <c r="O283">
        <v>15.24</v>
      </c>
      <c r="P283">
        <v>14.94</v>
      </c>
      <c r="Q283">
        <v>14.64</v>
      </c>
      <c r="R283">
        <v>14.34</v>
      </c>
      <c r="S283">
        <v>14.04</v>
      </c>
      <c r="T283" t="s">
        <v>49</v>
      </c>
      <c r="U283">
        <v>1</v>
      </c>
      <c r="V283">
        <v>4</v>
      </c>
    </row>
    <row r="284" spans="1:22" x14ac:dyDescent="0.3">
      <c r="A284">
        <v>283</v>
      </c>
      <c r="B284">
        <v>12326</v>
      </c>
      <c r="C284" s="2">
        <v>33233</v>
      </c>
      <c r="D284">
        <v>35</v>
      </c>
      <c r="E284" t="s">
        <v>42</v>
      </c>
      <c r="F284" t="s">
        <v>50</v>
      </c>
      <c r="G284" s="2">
        <v>42681</v>
      </c>
      <c r="H284" s="3">
        <f t="shared" si="4"/>
        <v>9.5561643835616437</v>
      </c>
      <c r="I284">
        <v>116</v>
      </c>
      <c r="J284" t="s">
        <v>57</v>
      </c>
      <c r="K284" t="s">
        <v>55</v>
      </c>
      <c r="L284" t="s">
        <v>44</v>
      </c>
      <c r="M284">
        <v>16.84</v>
      </c>
      <c r="N284">
        <v>16.54</v>
      </c>
      <c r="O284">
        <v>16.239999999999998</v>
      </c>
      <c r="P284">
        <v>15.94</v>
      </c>
      <c r="Q284">
        <v>15.64</v>
      </c>
      <c r="R284">
        <v>15.34</v>
      </c>
      <c r="S284">
        <v>15.04</v>
      </c>
      <c r="T284" t="s">
        <v>45</v>
      </c>
      <c r="U284">
        <v>4</v>
      </c>
      <c r="V284">
        <v>6</v>
      </c>
    </row>
    <row r="285" spans="1:22" x14ac:dyDescent="0.3">
      <c r="A285">
        <v>284</v>
      </c>
      <c r="B285">
        <v>12690</v>
      </c>
      <c r="C285" s="2">
        <v>32840</v>
      </c>
      <c r="D285">
        <v>36</v>
      </c>
      <c r="E285" t="s">
        <v>42</v>
      </c>
      <c r="F285" t="s">
        <v>50</v>
      </c>
      <c r="G285" s="2">
        <v>42534</v>
      </c>
      <c r="H285" s="3">
        <f t="shared" si="4"/>
        <v>9.4328767123287669</v>
      </c>
      <c r="I285">
        <v>128</v>
      </c>
      <c r="J285" t="s">
        <v>57</v>
      </c>
      <c r="K285" t="s">
        <v>43</v>
      </c>
      <c r="L285" t="s">
        <v>44</v>
      </c>
      <c r="M285">
        <v>15.84</v>
      </c>
      <c r="N285">
        <v>15.54</v>
      </c>
      <c r="O285">
        <v>15.24</v>
      </c>
      <c r="P285">
        <v>14.94</v>
      </c>
      <c r="Q285">
        <v>14.64</v>
      </c>
      <c r="R285">
        <v>14.34</v>
      </c>
      <c r="S285">
        <v>14.04</v>
      </c>
      <c r="T285" t="s">
        <v>49</v>
      </c>
      <c r="U285">
        <v>1</v>
      </c>
      <c r="V285">
        <v>6</v>
      </c>
    </row>
    <row r="286" spans="1:22" x14ac:dyDescent="0.3">
      <c r="A286">
        <v>285</v>
      </c>
      <c r="B286">
        <v>12695</v>
      </c>
      <c r="C286" s="2">
        <v>29579</v>
      </c>
      <c r="D286">
        <v>45</v>
      </c>
      <c r="E286" t="s">
        <v>36</v>
      </c>
      <c r="F286" t="s">
        <v>50</v>
      </c>
      <c r="G286" s="2">
        <v>42579</v>
      </c>
      <c r="H286" s="3">
        <f t="shared" si="4"/>
        <v>9.7452054794520553</v>
      </c>
      <c r="I286">
        <v>128</v>
      </c>
      <c r="J286" t="s">
        <v>57</v>
      </c>
      <c r="K286" t="s">
        <v>55</v>
      </c>
      <c r="L286" t="s">
        <v>44</v>
      </c>
      <c r="M286">
        <v>16.84</v>
      </c>
      <c r="N286">
        <v>16.54</v>
      </c>
      <c r="O286">
        <v>16.239999999999998</v>
      </c>
      <c r="P286">
        <v>15.94</v>
      </c>
      <c r="Q286">
        <v>15.64</v>
      </c>
      <c r="R286">
        <v>15.34</v>
      </c>
      <c r="S286">
        <v>15.04</v>
      </c>
      <c r="T286" t="s">
        <v>47</v>
      </c>
      <c r="U286">
        <v>2</v>
      </c>
      <c r="V286">
        <v>4</v>
      </c>
    </row>
    <row r="287" spans="1:22" x14ac:dyDescent="0.3">
      <c r="A287">
        <v>286</v>
      </c>
      <c r="B287">
        <v>12902</v>
      </c>
      <c r="C287" s="2">
        <v>35695</v>
      </c>
      <c r="D287">
        <v>28</v>
      </c>
      <c r="E287" t="s">
        <v>42</v>
      </c>
      <c r="F287" t="s">
        <v>50</v>
      </c>
      <c r="G287" s="2">
        <v>42465</v>
      </c>
      <c r="H287" s="3">
        <f t="shared" si="4"/>
        <v>9.8739726027397268</v>
      </c>
      <c r="I287">
        <v>135</v>
      </c>
      <c r="J287" t="s">
        <v>57</v>
      </c>
      <c r="K287" t="s">
        <v>46</v>
      </c>
      <c r="L287" t="s">
        <v>44</v>
      </c>
      <c r="M287">
        <v>14.08</v>
      </c>
      <c r="N287">
        <v>13.78</v>
      </c>
      <c r="O287">
        <v>13.48</v>
      </c>
      <c r="P287">
        <v>13.18</v>
      </c>
      <c r="Q287">
        <v>12.88</v>
      </c>
      <c r="R287">
        <v>12.58</v>
      </c>
      <c r="S287">
        <v>12.28</v>
      </c>
      <c r="T287" t="s">
        <v>45</v>
      </c>
      <c r="U287">
        <v>0</v>
      </c>
      <c r="V287">
        <v>6</v>
      </c>
    </row>
    <row r="288" spans="1:22" x14ac:dyDescent="0.3">
      <c r="A288">
        <v>287</v>
      </c>
      <c r="B288">
        <v>12906</v>
      </c>
      <c r="C288" s="2">
        <v>33808</v>
      </c>
      <c r="D288">
        <v>33</v>
      </c>
      <c r="E288" t="s">
        <v>36</v>
      </c>
      <c r="F288" t="s">
        <v>50</v>
      </c>
      <c r="G288" s="2">
        <v>42418</v>
      </c>
      <c r="H288" s="3">
        <f t="shared" si="4"/>
        <v>9.5643835616438349</v>
      </c>
      <c r="I288">
        <v>135</v>
      </c>
      <c r="J288" t="s">
        <v>57</v>
      </c>
      <c r="K288" t="s">
        <v>55</v>
      </c>
      <c r="L288" t="s">
        <v>44</v>
      </c>
      <c r="M288">
        <v>16.84</v>
      </c>
      <c r="N288">
        <v>16.54</v>
      </c>
      <c r="O288">
        <v>16.239999999999998</v>
      </c>
      <c r="P288">
        <v>15.94</v>
      </c>
      <c r="Q288">
        <v>15.64</v>
      </c>
      <c r="R288">
        <v>15.34</v>
      </c>
      <c r="S288">
        <v>15.04</v>
      </c>
      <c r="T288" t="s">
        <v>49</v>
      </c>
      <c r="U288">
        <v>0</v>
      </c>
      <c r="V288">
        <v>4</v>
      </c>
    </row>
    <row r="289" spans="1:36" x14ac:dyDescent="0.3">
      <c r="A289">
        <v>288</v>
      </c>
      <c r="B289">
        <v>12965</v>
      </c>
      <c r="C289" s="2">
        <v>29849</v>
      </c>
      <c r="D289">
        <v>44</v>
      </c>
      <c r="E289" t="s">
        <v>42</v>
      </c>
      <c r="F289" t="s">
        <v>50</v>
      </c>
      <c r="G289" s="2">
        <v>42531</v>
      </c>
      <c r="H289" s="3">
        <f t="shared" si="4"/>
        <v>9.5452054794520542</v>
      </c>
      <c r="I289">
        <v>137</v>
      </c>
      <c r="J289" t="s">
        <v>57</v>
      </c>
      <c r="K289" t="s">
        <v>46</v>
      </c>
      <c r="L289" t="s">
        <v>44</v>
      </c>
      <c r="M289">
        <v>14.08</v>
      </c>
      <c r="N289">
        <v>13.78</v>
      </c>
      <c r="O289">
        <v>13.48</v>
      </c>
      <c r="P289">
        <v>13.18</v>
      </c>
      <c r="Q289">
        <v>12.88</v>
      </c>
      <c r="R289">
        <v>12.58</v>
      </c>
      <c r="S289">
        <v>12.28</v>
      </c>
      <c r="T289" t="s">
        <v>47</v>
      </c>
      <c r="U289">
        <v>0</v>
      </c>
      <c r="V289">
        <v>5</v>
      </c>
    </row>
    <row r="290" spans="1:36" x14ac:dyDescent="0.3">
      <c r="A290">
        <v>289</v>
      </c>
      <c r="B290">
        <v>13062</v>
      </c>
      <c r="C290" s="2">
        <v>34386</v>
      </c>
      <c r="D290">
        <v>31</v>
      </c>
      <c r="E290" t="s">
        <v>36</v>
      </c>
      <c r="F290" t="s">
        <v>50</v>
      </c>
      <c r="G290" s="2">
        <v>42538</v>
      </c>
      <c r="H290" s="3">
        <f t="shared" si="4"/>
        <v>8.4219178082191775</v>
      </c>
      <c r="I290">
        <v>140</v>
      </c>
      <c r="J290" t="s">
        <v>57</v>
      </c>
      <c r="K290" t="s">
        <v>65</v>
      </c>
      <c r="L290" t="s">
        <v>44</v>
      </c>
      <c r="M290">
        <v>9.86</v>
      </c>
      <c r="N290">
        <v>9.7200000000000006</v>
      </c>
      <c r="O290">
        <v>9.7200000000000006</v>
      </c>
      <c r="P290">
        <v>9.44</v>
      </c>
      <c r="Q290">
        <v>9.2799999999999994</v>
      </c>
      <c r="R290">
        <v>9.17</v>
      </c>
      <c r="S290">
        <v>9.02</v>
      </c>
      <c r="T290" t="s">
        <v>49</v>
      </c>
      <c r="U290">
        <v>0</v>
      </c>
      <c r="V290">
        <v>4</v>
      </c>
    </row>
    <row r="291" spans="1:36" x14ac:dyDescent="0.3">
      <c r="A291">
        <v>290</v>
      </c>
      <c r="B291">
        <v>13238</v>
      </c>
      <c r="C291" s="2">
        <v>33395</v>
      </c>
      <c r="D291">
        <v>34</v>
      </c>
      <c r="E291" t="s">
        <v>42</v>
      </c>
      <c r="F291" t="s">
        <v>37</v>
      </c>
      <c r="G291" s="2">
        <v>42948</v>
      </c>
      <c r="H291" s="3">
        <f t="shared" si="4"/>
        <v>7.4219178082191783</v>
      </c>
      <c r="I291">
        <v>134</v>
      </c>
      <c r="J291" t="s">
        <v>57</v>
      </c>
      <c r="K291" t="s">
        <v>39</v>
      </c>
      <c r="L291" t="s">
        <v>40</v>
      </c>
      <c r="M291">
        <v>57110</v>
      </c>
      <c r="N291">
        <v>56360</v>
      </c>
      <c r="O291">
        <v>55610</v>
      </c>
      <c r="P291">
        <v>54860</v>
      </c>
      <c r="Q291">
        <v>54110</v>
      </c>
      <c r="R291">
        <v>47860</v>
      </c>
      <c r="S291">
        <v>46860</v>
      </c>
      <c r="T291" t="s">
        <v>58</v>
      </c>
      <c r="U291">
        <v>4</v>
      </c>
      <c r="V291">
        <v>6</v>
      </c>
      <c r="W291">
        <v>6</v>
      </c>
      <c r="X291" s="2">
        <v>43447</v>
      </c>
      <c r="Y291" t="s">
        <v>69</v>
      </c>
      <c r="Z291" s="2">
        <v>44056</v>
      </c>
      <c r="AA291" t="s">
        <v>59</v>
      </c>
      <c r="AD291">
        <v>4</v>
      </c>
      <c r="AE291">
        <v>3</v>
      </c>
      <c r="AF291">
        <v>1</v>
      </c>
      <c r="AG291">
        <v>2</v>
      </c>
      <c r="AH291">
        <v>1</v>
      </c>
      <c r="AI291">
        <v>3</v>
      </c>
      <c r="AJ291">
        <v>1</v>
      </c>
    </row>
    <row r="292" spans="1:36" x14ac:dyDescent="0.3">
      <c r="A292">
        <v>291</v>
      </c>
      <c r="B292">
        <v>13241</v>
      </c>
      <c r="C292" s="2">
        <v>33916</v>
      </c>
      <c r="D292">
        <v>33</v>
      </c>
      <c r="E292" t="s">
        <v>42</v>
      </c>
      <c r="F292" t="s">
        <v>50</v>
      </c>
      <c r="G292" s="2">
        <v>43313</v>
      </c>
      <c r="H292" s="3">
        <f t="shared" si="4"/>
        <v>7.4219178082191783</v>
      </c>
      <c r="I292">
        <v>116</v>
      </c>
      <c r="J292" t="s">
        <v>57</v>
      </c>
      <c r="K292" t="s">
        <v>39</v>
      </c>
      <c r="L292" t="s">
        <v>40</v>
      </c>
      <c r="M292">
        <v>60538</v>
      </c>
      <c r="N292">
        <v>59038</v>
      </c>
      <c r="O292">
        <v>57538</v>
      </c>
      <c r="P292">
        <v>56038</v>
      </c>
      <c r="Q292">
        <v>54538</v>
      </c>
      <c r="R292">
        <v>47538</v>
      </c>
      <c r="S292">
        <v>46408</v>
      </c>
      <c r="T292" t="s">
        <v>61</v>
      </c>
      <c r="U292">
        <v>0</v>
      </c>
      <c r="V292">
        <v>6</v>
      </c>
      <c r="W292">
        <v>6</v>
      </c>
      <c r="X292" s="2">
        <v>43475</v>
      </c>
      <c r="Y292" t="s">
        <v>69</v>
      </c>
      <c r="Z292" s="2">
        <v>44086</v>
      </c>
      <c r="AA292" t="s">
        <v>59</v>
      </c>
      <c r="AD292">
        <v>3</v>
      </c>
      <c r="AE292">
        <v>3</v>
      </c>
      <c r="AF292">
        <v>4</v>
      </c>
      <c r="AG292">
        <v>5</v>
      </c>
      <c r="AH292">
        <v>5</v>
      </c>
      <c r="AI292">
        <v>4</v>
      </c>
      <c r="AJ292">
        <v>3</v>
      </c>
    </row>
    <row r="293" spans="1:36" x14ac:dyDescent="0.3">
      <c r="A293">
        <v>292</v>
      </c>
      <c r="B293">
        <v>13242</v>
      </c>
      <c r="C293" s="2">
        <v>33744</v>
      </c>
      <c r="D293">
        <v>33</v>
      </c>
      <c r="E293" t="s">
        <v>42</v>
      </c>
      <c r="F293" t="s">
        <v>50</v>
      </c>
      <c r="G293" s="2">
        <v>43313</v>
      </c>
      <c r="H293" s="3">
        <f t="shared" si="4"/>
        <v>7.4219178082191783</v>
      </c>
      <c r="I293">
        <v>135</v>
      </c>
      <c r="J293" t="s">
        <v>57</v>
      </c>
      <c r="K293" t="s">
        <v>39</v>
      </c>
      <c r="L293" t="s">
        <v>40</v>
      </c>
      <c r="M293">
        <v>60290</v>
      </c>
      <c r="N293">
        <v>58790</v>
      </c>
      <c r="O293">
        <v>57290</v>
      </c>
      <c r="P293">
        <v>55790</v>
      </c>
      <c r="Q293">
        <v>54290</v>
      </c>
      <c r="R293">
        <v>47290</v>
      </c>
      <c r="S293">
        <v>45860</v>
      </c>
      <c r="T293" t="s">
        <v>41</v>
      </c>
      <c r="U293">
        <v>2</v>
      </c>
      <c r="V293">
        <v>6</v>
      </c>
      <c r="W293">
        <v>6</v>
      </c>
      <c r="X293" s="2">
        <v>43503</v>
      </c>
      <c r="Y293" t="s">
        <v>69</v>
      </c>
      <c r="Z293" s="2">
        <v>44054</v>
      </c>
      <c r="AA293" t="s">
        <v>59</v>
      </c>
      <c r="AD293">
        <v>5</v>
      </c>
      <c r="AE293">
        <v>5</v>
      </c>
      <c r="AF293">
        <v>5</v>
      </c>
      <c r="AG293">
        <v>4</v>
      </c>
      <c r="AH293">
        <v>5</v>
      </c>
      <c r="AI293">
        <v>5</v>
      </c>
      <c r="AJ293">
        <v>3</v>
      </c>
    </row>
    <row r="294" spans="1:36" x14ac:dyDescent="0.3">
      <c r="A294">
        <v>293</v>
      </c>
      <c r="B294">
        <v>13245</v>
      </c>
      <c r="C294" s="2">
        <v>33442</v>
      </c>
      <c r="D294">
        <v>34</v>
      </c>
      <c r="E294" t="s">
        <v>42</v>
      </c>
      <c r="F294" t="s">
        <v>37</v>
      </c>
      <c r="G294" s="2">
        <v>43313</v>
      </c>
      <c r="H294" s="3">
        <f t="shared" si="4"/>
        <v>7.4219178082191783</v>
      </c>
      <c r="I294">
        <v>67</v>
      </c>
      <c r="J294" t="s">
        <v>57</v>
      </c>
      <c r="K294" t="s">
        <v>39</v>
      </c>
      <c r="L294" t="s">
        <v>40</v>
      </c>
      <c r="M294">
        <v>64882</v>
      </c>
      <c r="N294">
        <v>62727</v>
      </c>
      <c r="O294">
        <v>61582</v>
      </c>
      <c r="P294">
        <v>60735</v>
      </c>
      <c r="Q294">
        <v>58842</v>
      </c>
      <c r="R294">
        <v>51860</v>
      </c>
      <c r="S294">
        <v>49860</v>
      </c>
      <c r="T294" t="s">
        <v>63</v>
      </c>
      <c r="U294">
        <v>3</v>
      </c>
      <c r="V294">
        <v>5</v>
      </c>
      <c r="W294">
        <v>6</v>
      </c>
      <c r="X294" s="2">
        <v>43465</v>
      </c>
      <c r="Y294" t="s">
        <v>69</v>
      </c>
      <c r="Z294" s="2">
        <v>44048</v>
      </c>
      <c r="AA294" t="s">
        <v>59</v>
      </c>
      <c r="AD294">
        <v>5</v>
      </c>
      <c r="AE294">
        <v>5</v>
      </c>
      <c r="AF294">
        <v>5</v>
      </c>
      <c r="AG294">
        <v>5</v>
      </c>
      <c r="AH294">
        <v>5</v>
      </c>
      <c r="AI294">
        <v>5</v>
      </c>
      <c r="AJ294">
        <v>5</v>
      </c>
    </row>
    <row r="295" spans="1:36" x14ac:dyDescent="0.3">
      <c r="A295">
        <v>294</v>
      </c>
      <c r="B295">
        <v>13249</v>
      </c>
      <c r="C295" s="2">
        <v>33768</v>
      </c>
      <c r="D295">
        <v>33</v>
      </c>
      <c r="E295" t="s">
        <v>36</v>
      </c>
      <c r="F295" t="s">
        <v>50</v>
      </c>
      <c r="G295" s="2">
        <v>43313</v>
      </c>
      <c r="H295" s="3">
        <f t="shared" si="4"/>
        <v>7.4219178082191783</v>
      </c>
      <c r="I295">
        <v>106</v>
      </c>
      <c r="J295" t="s">
        <v>57</v>
      </c>
      <c r="K295" t="s">
        <v>39</v>
      </c>
      <c r="L295" t="s">
        <v>40</v>
      </c>
      <c r="M295">
        <v>60860</v>
      </c>
      <c r="N295">
        <v>59360</v>
      </c>
      <c r="O295">
        <v>57860</v>
      </c>
      <c r="P295">
        <v>56360</v>
      </c>
      <c r="Q295">
        <v>54860</v>
      </c>
      <c r="R295">
        <v>47860</v>
      </c>
      <c r="S295">
        <v>46860</v>
      </c>
      <c r="T295" t="s">
        <v>71</v>
      </c>
      <c r="U295">
        <v>3</v>
      </c>
      <c r="V295">
        <v>6</v>
      </c>
      <c r="W295">
        <v>5</v>
      </c>
      <c r="X295" s="2">
        <v>43463</v>
      </c>
      <c r="Y295" t="s">
        <v>69</v>
      </c>
      <c r="Z295" s="2">
        <v>44136</v>
      </c>
      <c r="AA295" t="s">
        <v>59</v>
      </c>
      <c r="AD295">
        <v>5</v>
      </c>
      <c r="AE295">
        <v>4</v>
      </c>
      <c r="AF295">
        <v>4</v>
      </c>
      <c r="AG295">
        <v>3</v>
      </c>
      <c r="AH295">
        <v>5</v>
      </c>
      <c r="AI295">
        <v>3</v>
      </c>
      <c r="AJ295">
        <v>3</v>
      </c>
    </row>
    <row r="296" spans="1:36" x14ac:dyDescent="0.3">
      <c r="A296">
        <v>295</v>
      </c>
      <c r="B296">
        <v>13252</v>
      </c>
      <c r="C296" s="2">
        <v>33559</v>
      </c>
      <c r="D296">
        <v>34</v>
      </c>
      <c r="E296" t="s">
        <v>42</v>
      </c>
      <c r="F296" t="s">
        <v>50</v>
      </c>
      <c r="G296" s="2">
        <v>43313</v>
      </c>
      <c r="H296" s="3">
        <f t="shared" si="4"/>
        <v>8.4219178082191775</v>
      </c>
      <c r="I296">
        <v>89</v>
      </c>
      <c r="J296" t="s">
        <v>57</v>
      </c>
      <c r="K296" t="s">
        <v>39</v>
      </c>
      <c r="L296" t="s">
        <v>40</v>
      </c>
      <c r="M296">
        <v>62110</v>
      </c>
      <c r="N296">
        <v>60610</v>
      </c>
      <c r="O296">
        <v>59110</v>
      </c>
      <c r="P296">
        <v>57610</v>
      </c>
      <c r="Q296">
        <v>56110</v>
      </c>
      <c r="R296">
        <v>49110</v>
      </c>
      <c r="S296">
        <v>47860</v>
      </c>
      <c r="T296" t="s">
        <v>63</v>
      </c>
      <c r="U296">
        <v>0</v>
      </c>
      <c r="V296">
        <v>4</v>
      </c>
      <c r="W296">
        <v>6</v>
      </c>
      <c r="X296" s="2">
        <v>43246</v>
      </c>
      <c r="Y296" t="s">
        <v>69</v>
      </c>
      <c r="Z296" s="2">
        <v>43927</v>
      </c>
      <c r="AA296" t="s">
        <v>59</v>
      </c>
      <c r="AD296">
        <v>5</v>
      </c>
      <c r="AE296">
        <v>5</v>
      </c>
      <c r="AF296">
        <v>4</v>
      </c>
      <c r="AG296">
        <v>3</v>
      </c>
      <c r="AH296">
        <v>4</v>
      </c>
      <c r="AI296">
        <v>4</v>
      </c>
      <c r="AJ296">
        <v>4</v>
      </c>
    </row>
    <row r="297" spans="1:36" x14ac:dyDescent="0.3">
      <c r="A297">
        <v>296</v>
      </c>
      <c r="B297">
        <v>13253</v>
      </c>
      <c r="C297" s="2">
        <v>32813</v>
      </c>
      <c r="D297">
        <v>37</v>
      </c>
      <c r="E297" t="s">
        <v>42</v>
      </c>
      <c r="F297" t="s">
        <v>50</v>
      </c>
      <c r="G297" s="2">
        <v>42948</v>
      </c>
      <c r="H297" s="3">
        <f t="shared" si="4"/>
        <v>7.4219178082191783</v>
      </c>
      <c r="I297">
        <v>129</v>
      </c>
      <c r="J297" t="s">
        <v>57</v>
      </c>
      <c r="K297" t="s">
        <v>39</v>
      </c>
      <c r="L297" t="s">
        <v>40</v>
      </c>
      <c r="M297">
        <v>71360</v>
      </c>
      <c r="N297">
        <v>69110</v>
      </c>
      <c r="O297">
        <v>66860</v>
      </c>
      <c r="P297">
        <v>63860</v>
      </c>
      <c r="Q297">
        <v>60860</v>
      </c>
      <c r="R297">
        <v>49360</v>
      </c>
      <c r="S297">
        <v>47860</v>
      </c>
      <c r="T297" t="s">
        <v>63</v>
      </c>
      <c r="U297">
        <v>1</v>
      </c>
      <c r="V297">
        <v>6</v>
      </c>
      <c r="W297">
        <v>6</v>
      </c>
      <c r="X297" s="2">
        <v>43491</v>
      </c>
      <c r="Y297" t="s">
        <v>69</v>
      </c>
      <c r="Z297" s="2">
        <v>44108</v>
      </c>
      <c r="AA297" t="s">
        <v>59</v>
      </c>
      <c r="AD297">
        <v>5</v>
      </c>
      <c r="AE297">
        <v>4</v>
      </c>
      <c r="AF297">
        <v>4</v>
      </c>
      <c r="AG297">
        <v>5</v>
      </c>
      <c r="AH297">
        <v>5</v>
      </c>
      <c r="AI297">
        <v>5</v>
      </c>
      <c r="AJ297">
        <v>4</v>
      </c>
    </row>
    <row r="298" spans="1:36" x14ac:dyDescent="0.3">
      <c r="A298">
        <v>297</v>
      </c>
      <c r="B298">
        <v>13254</v>
      </c>
      <c r="C298" s="2">
        <v>33054</v>
      </c>
      <c r="D298">
        <v>35</v>
      </c>
      <c r="E298" t="s">
        <v>36</v>
      </c>
      <c r="F298" t="s">
        <v>50</v>
      </c>
      <c r="G298" s="2">
        <v>43313</v>
      </c>
      <c r="H298" s="3">
        <f t="shared" si="4"/>
        <v>7.4219178082191783</v>
      </c>
      <c r="I298">
        <v>140</v>
      </c>
      <c r="J298" t="s">
        <v>57</v>
      </c>
      <c r="K298" t="s">
        <v>39</v>
      </c>
      <c r="L298" t="s">
        <v>40</v>
      </c>
      <c r="M298">
        <v>65503</v>
      </c>
      <c r="N298">
        <v>64518</v>
      </c>
      <c r="O298">
        <v>62794</v>
      </c>
      <c r="P298">
        <v>61773</v>
      </c>
      <c r="Q298">
        <v>60090</v>
      </c>
      <c r="R298">
        <v>50360</v>
      </c>
      <c r="S298">
        <v>48860</v>
      </c>
      <c r="T298" t="s">
        <v>67</v>
      </c>
      <c r="U298">
        <v>4</v>
      </c>
      <c r="V298">
        <v>5</v>
      </c>
      <c r="W298">
        <v>4</v>
      </c>
      <c r="X298" s="2">
        <v>43248</v>
      </c>
      <c r="Y298" t="s">
        <v>69</v>
      </c>
      <c r="Z298" s="2">
        <v>44128</v>
      </c>
      <c r="AA298" t="s">
        <v>59</v>
      </c>
      <c r="AD298">
        <v>4</v>
      </c>
      <c r="AE298">
        <v>4</v>
      </c>
      <c r="AF298">
        <v>4</v>
      </c>
      <c r="AG298">
        <v>3</v>
      </c>
      <c r="AH298">
        <v>2</v>
      </c>
      <c r="AI298">
        <v>5</v>
      </c>
      <c r="AJ298">
        <v>4</v>
      </c>
    </row>
    <row r="299" spans="1:36" x14ac:dyDescent="0.3">
      <c r="A299">
        <v>298</v>
      </c>
      <c r="B299">
        <v>13258</v>
      </c>
      <c r="C299" s="2">
        <v>33562</v>
      </c>
      <c r="D299">
        <v>34</v>
      </c>
      <c r="E299" t="s">
        <v>42</v>
      </c>
      <c r="F299" t="s">
        <v>37</v>
      </c>
      <c r="G299" s="2">
        <v>43313</v>
      </c>
      <c r="H299" s="3">
        <f t="shared" si="4"/>
        <v>7.4219178082191783</v>
      </c>
      <c r="I299">
        <v>84</v>
      </c>
      <c r="J299" t="s">
        <v>57</v>
      </c>
      <c r="K299" t="s">
        <v>39</v>
      </c>
      <c r="L299" t="s">
        <v>40</v>
      </c>
      <c r="M299">
        <v>60860</v>
      </c>
      <c r="N299">
        <v>59360</v>
      </c>
      <c r="O299">
        <v>57860</v>
      </c>
      <c r="P299">
        <v>56360</v>
      </c>
      <c r="Q299">
        <v>54860</v>
      </c>
      <c r="R299">
        <v>47860</v>
      </c>
      <c r="S299">
        <v>46860</v>
      </c>
      <c r="T299" t="s">
        <v>66</v>
      </c>
      <c r="U299">
        <v>4</v>
      </c>
      <c r="V299">
        <v>6</v>
      </c>
      <c r="W299">
        <v>6</v>
      </c>
      <c r="X299" s="2">
        <v>43344</v>
      </c>
      <c r="Y299" t="s">
        <v>69</v>
      </c>
      <c r="Z299" s="2">
        <v>43997</v>
      </c>
      <c r="AA299" t="s">
        <v>59</v>
      </c>
      <c r="AD299">
        <v>5</v>
      </c>
      <c r="AE299">
        <v>5</v>
      </c>
      <c r="AF299">
        <v>5</v>
      </c>
      <c r="AG299">
        <v>5</v>
      </c>
      <c r="AH299">
        <v>4</v>
      </c>
      <c r="AI299">
        <v>5</v>
      </c>
      <c r="AJ299">
        <v>3</v>
      </c>
    </row>
    <row r="300" spans="1:36" x14ac:dyDescent="0.3">
      <c r="A300">
        <v>299</v>
      </c>
      <c r="B300">
        <v>13261</v>
      </c>
      <c r="C300" s="2">
        <v>33513</v>
      </c>
      <c r="D300">
        <v>34</v>
      </c>
      <c r="E300" t="s">
        <v>36</v>
      </c>
      <c r="F300" t="s">
        <v>50</v>
      </c>
      <c r="G300" s="2">
        <v>43313</v>
      </c>
      <c r="H300" s="3">
        <f t="shared" si="4"/>
        <v>8.4219178082191775</v>
      </c>
      <c r="I300">
        <v>136</v>
      </c>
      <c r="J300" t="s">
        <v>57</v>
      </c>
      <c r="K300" t="s">
        <v>39</v>
      </c>
      <c r="L300" t="s">
        <v>40</v>
      </c>
      <c r="M300">
        <v>58297</v>
      </c>
      <c r="N300">
        <v>57207</v>
      </c>
      <c r="O300">
        <v>55784</v>
      </c>
      <c r="P300">
        <v>55784</v>
      </c>
      <c r="Q300">
        <v>53945</v>
      </c>
      <c r="R300">
        <v>46360</v>
      </c>
      <c r="S300">
        <v>45860</v>
      </c>
      <c r="T300" t="s">
        <v>67</v>
      </c>
      <c r="U300">
        <v>4</v>
      </c>
      <c r="V300">
        <v>5</v>
      </c>
      <c r="W300">
        <v>5</v>
      </c>
      <c r="X300" s="2">
        <v>43381</v>
      </c>
      <c r="Y300" t="s">
        <v>69</v>
      </c>
      <c r="Z300" s="2">
        <v>44119</v>
      </c>
      <c r="AA300" t="s">
        <v>59</v>
      </c>
      <c r="AD300">
        <v>1</v>
      </c>
      <c r="AE300">
        <v>2</v>
      </c>
      <c r="AF300">
        <v>3</v>
      </c>
      <c r="AG300">
        <v>3</v>
      </c>
      <c r="AH300">
        <v>3</v>
      </c>
      <c r="AI300">
        <v>3</v>
      </c>
      <c r="AJ300">
        <v>2</v>
      </c>
    </row>
    <row r="301" spans="1:36" x14ac:dyDescent="0.3">
      <c r="A301">
        <v>300</v>
      </c>
      <c r="B301">
        <v>13288</v>
      </c>
      <c r="C301" s="2">
        <v>33654</v>
      </c>
      <c r="D301">
        <v>33</v>
      </c>
      <c r="E301" t="s">
        <v>42</v>
      </c>
      <c r="F301" t="s">
        <v>37</v>
      </c>
      <c r="G301" s="2">
        <v>42948</v>
      </c>
      <c r="H301" s="3">
        <f t="shared" si="4"/>
        <v>8.4219178082191775</v>
      </c>
      <c r="I301">
        <v>49</v>
      </c>
      <c r="J301" t="s">
        <v>38</v>
      </c>
      <c r="K301" t="s">
        <v>39</v>
      </c>
      <c r="L301" t="s">
        <v>40</v>
      </c>
      <c r="M301">
        <v>61359</v>
      </c>
      <c r="N301">
        <v>59182</v>
      </c>
      <c r="O301">
        <v>57222</v>
      </c>
      <c r="P301">
        <v>55610</v>
      </c>
      <c r="Q301">
        <v>54110</v>
      </c>
      <c r="R301">
        <v>47860</v>
      </c>
      <c r="S301">
        <v>46860</v>
      </c>
      <c r="T301" t="s">
        <v>41</v>
      </c>
      <c r="U301">
        <v>3</v>
      </c>
      <c r="V301">
        <v>6</v>
      </c>
      <c r="W301">
        <v>6</v>
      </c>
      <c r="X301" s="2">
        <v>43492</v>
      </c>
      <c r="Y301" t="s">
        <v>69</v>
      </c>
      <c r="Z301" s="2">
        <v>44172</v>
      </c>
      <c r="AA301" t="s">
        <v>59</v>
      </c>
      <c r="AB301" s="2">
        <v>44444</v>
      </c>
      <c r="AC301" t="s">
        <v>62</v>
      </c>
      <c r="AD301">
        <v>5</v>
      </c>
      <c r="AE301">
        <v>5</v>
      </c>
      <c r="AF301">
        <v>5</v>
      </c>
      <c r="AG301">
        <v>4</v>
      </c>
      <c r="AH301">
        <v>5</v>
      </c>
      <c r="AI301">
        <v>5</v>
      </c>
      <c r="AJ301">
        <v>5</v>
      </c>
    </row>
    <row r="302" spans="1:36" x14ac:dyDescent="0.3">
      <c r="A302">
        <v>301</v>
      </c>
      <c r="B302">
        <v>13292</v>
      </c>
      <c r="C302" s="2">
        <v>33811</v>
      </c>
      <c r="D302">
        <v>33</v>
      </c>
      <c r="E302" t="s">
        <v>36</v>
      </c>
      <c r="F302" t="s">
        <v>50</v>
      </c>
      <c r="G302" s="2">
        <v>42948</v>
      </c>
      <c r="H302" s="3">
        <f t="shared" si="4"/>
        <v>7.4219178082191783</v>
      </c>
      <c r="I302">
        <v>145</v>
      </c>
      <c r="J302" t="s">
        <v>57</v>
      </c>
      <c r="K302" t="s">
        <v>39</v>
      </c>
      <c r="L302" t="s">
        <v>40</v>
      </c>
      <c r="M302">
        <v>66860</v>
      </c>
      <c r="N302">
        <v>64610</v>
      </c>
      <c r="O302">
        <v>62360</v>
      </c>
      <c r="P302">
        <v>60110</v>
      </c>
      <c r="Q302">
        <v>50110</v>
      </c>
      <c r="R302">
        <v>48860</v>
      </c>
      <c r="S302">
        <v>47860</v>
      </c>
      <c r="T302" t="s">
        <v>71</v>
      </c>
      <c r="U302">
        <v>1</v>
      </c>
      <c r="V302">
        <v>4</v>
      </c>
      <c r="W302">
        <v>5</v>
      </c>
      <c r="X302" s="2">
        <v>43158</v>
      </c>
      <c r="Y302" t="s">
        <v>69</v>
      </c>
      <c r="Z302" s="2">
        <v>44426</v>
      </c>
      <c r="AA302" t="s">
        <v>59</v>
      </c>
      <c r="AD302">
        <v>5</v>
      </c>
      <c r="AE302">
        <v>5</v>
      </c>
      <c r="AF302">
        <v>5</v>
      </c>
      <c r="AG302">
        <v>5</v>
      </c>
      <c r="AH302">
        <v>5</v>
      </c>
      <c r="AI302">
        <v>4</v>
      </c>
      <c r="AJ302">
        <v>3</v>
      </c>
    </row>
    <row r="303" spans="1:36" x14ac:dyDescent="0.3">
      <c r="A303">
        <v>302</v>
      </c>
      <c r="B303">
        <v>13294</v>
      </c>
      <c r="C303" s="2">
        <v>34092</v>
      </c>
      <c r="D303">
        <v>32</v>
      </c>
      <c r="E303" t="s">
        <v>36</v>
      </c>
      <c r="F303" t="s">
        <v>50</v>
      </c>
      <c r="G303" s="2">
        <v>43313</v>
      </c>
      <c r="H303" s="3">
        <f t="shared" si="4"/>
        <v>7.4219178082191783</v>
      </c>
      <c r="I303">
        <v>66</v>
      </c>
      <c r="J303" t="s">
        <v>57</v>
      </c>
      <c r="K303" t="s">
        <v>39</v>
      </c>
      <c r="L303" t="s">
        <v>40</v>
      </c>
      <c r="M303">
        <v>62110</v>
      </c>
      <c r="N303">
        <v>60235</v>
      </c>
      <c r="O303">
        <v>58360</v>
      </c>
      <c r="P303">
        <v>56110</v>
      </c>
      <c r="Q303">
        <v>46860</v>
      </c>
      <c r="R303">
        <v>46860</v>
      </c>
      <c r="S303">
        <v>46360</v>
      </c>
      <c r="T303" t="s">
        <v>61</v>
      </c>
      <c r="U303">
        <v>4</v>
      </c>
      <c r="V303">
        <v>6</v>
      </c>
      <c r="W303">
        <v>5</v>
      </c>
      <c r="X303" s="2">
        <v>43226</v>
      </c>
      <c r="Y303" t="s">
        <v>69</v>
      </c>
      <c r="Z303" s="2">
        <v>44405</v>
      </c>
      <c r="AA303" t="s">
        <v>59</v>
      </c>
      <c r="AD303">
        <v>5</v>
      </c>
      <c r="AE303">
        <v>4</v>
      </c>
      <c r="AF303">
        <v>4</v>
      </c>
      <c r="AG303">
        <v>5</v>
      </c>
      <c r="AH303">
        <v>4</v>
      </c>
      <c r="AI303">
        <v>2</v>
      </c>
      <c r="AJ303">
        <v>2</v>
      </c>
    </row>
    <row r="304" spans="1:36" x14ac:dyDescent="0.3">
      <c r="A304">
        <v>303</v>
      </c>
      <c r="B304">
        <v>13296</v>
      </c>
      <c r="C304" s="2">
        <v>33273</v>
      </c>
      <c r="D304">
        <v>34</v>
      </c>
      <c r="E304" t="s">
        <v>42</v>
      </c>
      <c r="F304" t="s">
        <v>50</v>
      </c>
      <c r="G304" s="2">
        <v>43313</v>
      </c>
      <c r="H304" s="3">
        <f t="shared" si="4"/>
        <v>8.4219178082191775</v>
      </c>
      <c r="I304">
        <v>99</v>
      </c>
      <c r="J304" t="s">
        <v>57</v>
      </c>
      <c r="K304" t="s">
        <v>39</v>
      </c>
      <c r="L304" t="s">
        <v>40</v>
      </c>
      <c r="M304">
        <v>65110</v>
      </c>
      <c r="N304">
        <v>62110</v>
      </c>
      <c r="O304">
        <v>59110</v>
      </c>
      <c r="P304">
        <v>56860</v>
      </c>
      <c r="Q304">
        <v>46860</v>
      </c>
      <c r="R304">
        <v>46360</v>
      </c>
      <c r="S304">
        <v>46360</v>
      </c>
      <c r="T304" t="s">
        <v>61</v>
      </c>
      <c r="U304">
        <v>2</v>
      </c>
      <c r="V304">
        <v>5</v>
      </c>
      <c r="W304">
        <v>7</v>
      </c>
      <c r="X304" s="2">
        <v>43464</v>
      </c>
      <c r="Y304" t="s">
        <v>69</v>
      </c>
      <c r="Z304" s="2">
        <v>44308</v>
      </c>
      <c r="AA304" t="s">
        <v>59</v>
      </c>
      <c r="AD304">
        <v>4</v>
      </c>
      <c r="AE304">
        <v>5</v>
      </c>
      <c r="AF304">
        <v>5</v>
      </c>
      <c r="AG304">
        <v>4</v>
      </c>
      <c r="AH304">
        <v>4</v>
      </c>
      <c r="AI304">
        <v>3</v>
      </c>
      <c r="AJ304">
        <v>1</v>
      </c>
    </row>
    <row r="305" spans="1:36" x14ac:dyDescent="0.3">
      <c r="A305">
        <v>304</v>
      </c>
      <c r="B305">
        <v>13298</v>
      </c>
      <c r="C305" s="2">
        <v>32955</v>
      </c>
      <c r="D305">
        <v>35</v>
      </c>
      <c r="E305" t="s">
        <v>42</v>
      </c>
      <c r="F305" t="s">
        <v>50</v>
      </c>
      <c r="G305" s="2">
        <v>42948</v>
      </c>
      <c r="H305" s="3">
        <f t="shared" si="4"/>
        <v>8.4219178082191775</v>
      </c>
      <c r="I305">
        <v>115</v>
      </c>
      <c r="J305" t="s">
        <v>57</v>
      </c>
      <c r="K305" t="s">
        <v>39</v>
      </c>
      <c r="L305" t="s">
        <v>40</v>
      </c>
      <c r="M305">
        <v>70360</v>
      </c>
      <c r="N305">
        <v>68110</v>
      </c>
      <c r="O305">
        <v>66610</v>
      </c>
      <c r="P305">
        <v>64360</v>
      </c>
      <c r="Q305">
        <v>52860</v>
      </c>
      <c r="R305">
        <v>50860</v>
      </c>
      <c r="S305">
        <v>48860</v>
      </c>
      <c r="T305" t="s">
        <v>67</v>
      </c>
      <c r="U305">
        <v>0</v>
      </c>
      <c r="V305">
        <v>7</v>
      </c>
      <c r="W305">
        <v>7</v>
      </c>
      <c r="X305" s="2">
        <v>43167</v>
      </c>
      <c r="Y305" t="s">
        <v>69</v>
      </c>
      <c r="Z305" s="2">
        <v>44256</v>
      </c>
      <c r="AA305" t="s">
        <v>59</v>
      </c>
      <c r="AD305">
        <v>5</v>
      </c>
      <c r="AE305">
        <v>4</v>
      </c>
      <c r="AF305">
        <v>3</v>
      </c>
      <c r="AG305">
        <v>4</v>
      </c>
      <c r="AH305">
        <v>5</v>
      </c>
      <c r="AI305">
        <v>5</v>
      </c>
      <c r="AJ305">
        <v>5</v>
      </c>
    </row>
    <row r="306" spans="1:36" x14ac:dyDescent="0.3">
      <c r="A306">
        <v>305</v>
      </c>
      <c r="B306">
        <v>13302</v>
      </c>
      <c r="C306" s="2">
        <v>33691</v>
      </c>
      <c r="D306">
        <v>33</v>
      </c>
      <c r="E306" t="s">
        <v>42</v>
      </c>
      <c r="F306" t="s">
        <v>50</v>
      </c>
      <c r="G306" s="2">
        <v>42948</v>
      </c>
      <c r="H306" s="3">
        <f t="shared" si="4"/>
        <v>8.4219178082191775</v>
      </c>
      <c r="I306">
        <v>121</v>
      </c>
      <c r="J306" t="s">
        <v>57</v>
      </c>
      <c r="K306" t="s">
        <v>39</v>
      </c>
      <c r="L306" t="s">
        <v>40</v>
      </c>
      <c r="M306">
        <v>59490</v>
      </c>
      <c r="N306">
        <v>57990</v>
      </c>
      <c r="O306">
        <v>56490</v>
      </c>
      <c r="P306">
        <v>54990</v>
      </c>
      <c r="Q306">
        <v>47990</v>
      </c>
      <c r="R306">
        <v>47419</v>
      </c>
      <c r="S306">
        <v>47419</v>
      </c>
      <c r="T306" t="s">
        <v>70</v>
      </c>
      <c r="U306">
        <v>3</v>
      </c>
      <c r="V306">
        <v>6</v>
      </c>
      <c r="W306">
        <v>7</v>
      </c>
      <c r="X306" s="2">
        <v>43410</v>
      </c>
      <c r="Y306" t="s">
        <v>69</v>
      </c>
      <c r="Z306" s="2">
        <v>44476</v>
      </c>
      <c r="AA306" t="s">
        <v>59</v>
      </c>
      <c r="AD306">
        <v>5</v>
      </c>
      <c r="AE306">
        <v>5</v>
      </c>
      <c r="AF306">
        <v>5</v>
      </c>
      <c r="AG306">
        <v>5</v>
      </c>
      <c r="AH306">
        <v>5</v>
      </c>
      <c r="AI306">
        <v>5</v>
      </c>
      <c r="AJ306">
        <v>5</v>
      </c>
    </row>
    <row r="307" spans="1:36" x14ac:dyDescent="0.3">
      <c r="A307">
        <v>306</v>
      </c>
      <c r="B307">
        <v>13312</v>
      </c>
      <c r="C307" s="2">
        <v>33377</v>
      </c>
      <c r="D307">
        <v>34</v>
      </c>
      <c r="E307" t="s">
        <v>42</v>
      </c>
      <c r="F307" t="s">
        <v>50</v>
      </c>
      <c r="G307" s="2">
        <v>42948</v>
      </c>
      <c r="H307" s="3">
        <f t="shared" si="4"/>
        <v>7.4109589041095889</v>
      </c>
      <c r="I307">
        <v>137</v>
      </c>
      <c r="J307" t="s">
        <v>57</v>
      </c>
      <c r="K307" t="s">
        <v>39</v>
      </c>
      <c r="L307" t="s">
        <v>40</v>
      </c>
      <c r="M307">
        <v>66860</v>
      </c>
      <c r="N307">
        <v>64610</v>
      </c>
      <c r="O307">
        <v>62360</v>
      </c>
      <c r="P307">
        <v>60110</v>
      </c>
      <c r="Q307">
        <v>50110</v>
      </c>
      <c r="R307">
        <v>48860</v>
      </c>
      <c r="S307">
        <v>47860</v>
      </c>
      <c r="T307" t="s">
        <v>67</v>
      </c>
      <c r="U307">
        <v>1</v>
      </c>
      <c r="V307">
        <v>7</v>
      </c>
      <c r="W307">
        <v>7</v>
      </c>
      <c r="X307" s="2">
        <v>43172</v>
      </c>
      <c r="Y307" t="s">
        <v>69</v>
      </c>
      <c r="Z307" s="2">
        <v>44496</v>
      </c>
      <c r="AA307" t="s">
        <v>59</v>
      </c>
      <c r="AD307">
        <v>5</v>
      </c>
      <c r="AE307">
        <v>5</v>
      </c>
      <c r="AF307">
        <v>5</v>
      </c>
      <c r="AG307">
        <v>5</v>
      </c>
      <c r="AH307">
        <v>5</v>
      </c>
      <c r="AI307">
        <v>4</v>
      </c>
      <c r="AJ307">
        <v>3</v>
      </c>
    </row>
    <row r="308" spans="1:36" x14ac:dyDescent="0.3">
      <c r="A308">
        <v>307</v>
      </c>
      <c r="B308">
        <v>13319</v>
      </c>
      <c r="C308" s="2">
        <v>34284</v>
      </c>
      <c r="D308">
        <v>32</v>
      </c>
      <c r="E308" t="s">
        <v>36</v>
      </c>
      <c r="F308" t="s">
        <v>37</v>
      </c>
      <c r="G308" s="2">
        <v>43317</v>
      </c>
      <c r="H308" s="3">
        <f t="shared" si="4"/>
        <v>7.3479452054794523</v>
      </c>
      <c r="I308">
        <v>70</v>
      </c>
      <c r="J308" t="s">
        <v>57</v>
      </c>
      <c r="K308" t="s">
        <v>39</v>
      </c>
      <c r="L308" t="s">
        <v>40</v>
      </c>
      <c r="M308">
        <v>60070</v>
      </c>
      <c r="N308">
        <v>59120</v>
      </c>
      <c r="O308">
        <v>57157</v>
      </c>
      <c r="P308">
        <v>55602</v>
      </c>
      <c r="Q308">
        <v>47837</v>
      </c>
      <c r="R308">
        <v>47306</v>
      </c>
      <c r="S308">
        <v>45919</v>
      </c>
      <c r="T308" t="s">
        <v>58</v>
      </c>
      <c r="U308">
        <v>4</v>
      </c>
      <c r="V308">
        <v>5</v>
      </c>
      <c r="W308">
        <v>5</v>
      </c>
      <c r="X308" s="2">
        <v>44538</v>
      </c>
      <c r="Y308" t="s">
        <v>59</v>
      </c>
      <c r="AD308">
        <v>4</v>
      </c>
      <c r="AE308">
        <v>5</v>
      </c>
      <c r="AF308">
        <v>5</v>
      </c>
      <c r="AG308">
        <v>2</v>
      </c>
      <c r="AH308">
        <v>2</v>
      </c>
      <c r="AI308">
        <v>3</v>
      </c>
      <c r="AJ308">
        <v>4</v>
      </c>
    </row>
    <row r="309" spans="1:36" x14ac:dyDescent="0.3">
      <c r="A309">
        <v>308</v>
      </c>
      <c r="B309">
        <v>13322</v>
      </c>
      <c r="C309" s="2">
        <v>34121</v>
      </c>
      <c r="D309">
        <v>33</v>
      </c>
      <c r="E309" t="s">
        <v>36</v>
      </c>
      <c r="F309" t="s">
        <v>50</v>
      </c>
      <c r="G309" s="2">
        <v>43340</v>
      </c>
      <c r="H309" s="3">
        <f t="shared" si="4"/>
        <v>7.4109589041095889</v>
      </c>
      <c r="I309">
        <v>71</v>
      </c>
      <c r="J309" t="s">
        <v>57</v>
      </c>
      <c r="K309" t="s">
        <v>39</v>
      </c>
      <c r="L309" t="s">
        <v>40</v>
      </c>
      <c r="M309">
        <v>59860</v>
      </c>
      <c r="N309">
        <v>58360</v>
      </c>
      <c r="O309">
        <v>56860</v>
      </c>
      <c r="P309">
        <v>55360</v>
      </c>
      <c r="Q309">
        <v>48360</v>
      </c>
      <c r="R309">
        <v>46860</v>
      </c>
      <c r="S309">
        <v>45860</v>
      </c>
      <c r="T309" t="s">
        <v>66</v>
      </c>
      <c r="U309">
        <v>2</v>
      </c>
      <c r="V309">
        <v>6</v>
      </c>
      <c r="W309">
        <v>4</v>
      </c>
      <c r="X309" s="2">
        <v>44278</v>
      </c>
      <c r="Y309" t="s">
        <v>59</v>
      </c>
      <c r="AD309">
        <v>4</v>
      </c>
      <c r="AE309">
        <v>3</v>
      </c>
      <c r="AF309">
        <v>3</v>
      </c>
      <c r="AG309">
        <v>4</v>
      </c>
      <c r="AH309">
        <v>5</v>
      </c>
      <c r="AI309">
        <v>5</v>
      </c>
      <c r="AJ309">
        <v>3</v>
      </c>
    </row>
    <row r="310" spans="1:36" x14ac:dyDescent="0.3">
      <c r="A310">
        <v>309</v>
      </c>
      <c r="B310">
        <v>13323</v>
      </c>
      <c r="C310" s="2">
        <v>33851</v>
      </c>
      <c r="D310">
        <v>33</v>
      </c>
      <c r="E310" t="s">
        <v>42</v>
      </c>
      <c r="F310" t="s">
        <v>50</v>
      </c>
      <c r="G310" s="2">
        <v>43317</v>
      </c>
      <c r="H310" s="3">
        <f t="shared" si="4"/>
        <v>8.5095890410958912</v>
      </c>
      <c r="I310">
        <v>81</v>
      </c>
      <c r="J310" t="s">
        <v>57</v>
      </c>
      <c r="K310" t="s">
        <v>39</v>
      </c>
      <c r="L310" t="s">
        <v>40</v>
      </c>
      <c r="M310">
        <v>63360</v>
      </c>
      <c r="N310">
        <v>61110</v>
      </c>
      <c r="O310">
        <v>58860</v>
      </c>
      <c r="P310">
        <v>57360</v>
      </c>
      <c r="Q310">
        <v>48860</v>
      </c>
      <c r="R310">
        <v>47860</v>
      </c>
      <c r="S310">
        <v>46360</v>
      </c>
      <c r="T310" t="s">
        <v>67</v>
      </c>
      <c r="U310">
        <v>3</v>
      </c>
      <c r="V310">
        <v>7</v>
      </c>
      <c r="W310">
        <v>6</v>
      </c>
      <c r="X310" s="2">
        <v>44258</v>
      </c>
      <c r="Y310" t="s">
        <v>59</v>
      </c>
      <c r="AD310">
        <v>5</v>
      </c>
      <c r="AE310">
        <v>5</v>
      </c>
      <c r="AF310">
        <v>5</v>
      </c>
      <c r="AG310">
        <v>3</v>
      </c>
      <c r="AH310">
        <v>3</v>
      </c>
      <c r="AI310">
        <v>3</v>
      </c>
      <c r="AJ310">
        <v>4</v>
      </c>
    </row>
    <row r="311" spans="1:36" x14ac:dyDescent="0.3">
      <c r="A311">
        <v>310</v>
      </c>
      <c r="B311">
        <v>13335</v>
      </c>
      <c r="C311" s="2">
        <v>32128</v>
      </c>
      <c r="D311">
        <v>38</v>
      </c>
      <c r="E311" t="s">
        <v>36</v>
      </c>
      <c r="F311" t="s">
        <v>37</v>
      </c>
      <c r="G311" s="2">
        <v>42916</v>
      </c>
      <c r="H311" s="3">
        <f t="shared" si="4"/>
        <v>8.5123287671232877</v>
      </c>
      <c r="I311">
        <v>3</v>
      </c>
      <c r="J311" t="s">
        <v>38</v>
      </c>
      <c r="K311" t="s">
        <v>51</v>
      </c>
      <c r="L311" t="s">
        <v>44</v>
      </c>
      <c r="M311">
        <v>32.549999999999997</v>
      </c>
      <c r="N311">
        <v>32.25</v>
      </c>
      <c r="O311">
        <v>31.95</v>
      </c>
      <c r="P311">
        <v>31.65</v>
      </c>
      <c r="Q311">
        <v>31.35</v>
      </c>
      <c r="R311">
        <v>31.05</v>
      </c>
      <c r="S311">
        <v>30.75</v>
      </c>
      <c r="T311" t="s">
        <v>52</v>
      </c>
      <c r="U311">
        <v>0</v>
      </c>
      <c r="V311">
        <v>4</v>
      </c>
    </row>
    <row r="312" spans="1:36" x14ac:dyDescent="0.3">
      <c r="A312">
        <v>311</v>
      </c>
      <c r="B312">
        <v>13394</v>
      </c>
      <c r="C312" s="2">
        <v>31049</v>
      </c>
      <c r="D312">
        <v>40</v>
      </c>
      <c r="E312" t="s">
        <v>42</v>
      </c>
      <c r="F312" t="s">
        <v>50</v>
      </c>
      <c r="G312" s="2">
        <v>42915</v>
      </c>
      <c r="H312" s="3">
        <f t="shared" si="4"/>
        <v>8.1260273972602732</v>
      </c>
      <c r="I312">
        <v>122</v>
      </c>
      <c r="J312" t="s">
        <v>57</v>
      </c>
      <c r="K312" t="s">
        <v>51</v>
      </c>
      <c r="L312" t="s">
        <v>44</v>
      </c>
      <c r="M312">
        <v>32.53</v>
      </c>
      <c r="N312">
        <v>32.15</v>
      </c>
      <c r="O312">
        <v>31.73</v>
      </c>
      <c r="P312">
        <v>31.73</v>
      </c>
      <c r="Q312">
        <v>31.35</v>
      </c>
      <c r="R312">
        <v>31.07</v>
      </c>
      <c r="S312">
        <v>30.86</v>
      </c>
      <c r="T312" t="s">
        <v>45</v>
      </c>
      <c r="U312">
        <v>0</v>
      </c>
      <c r="V312">
        <v>5</v>
      </c>
    </row>
    <row r="313" spans="1:36" x14ac:dyDescent="0.3">
      <c r="A313">
        <v>312</v>
      </c>
      <c r="B313">
        <v>13405</v>
      </c>
      <c r="C313" s="2">
        <v>33543</v>
      </c>
      <c r="D313">
        <v>35</v>
      </c>
      <c r="E313" t="s">
        <v>36</v>
      </c>
      <c r="F313" t="s">
        <v>50</v>
      </c>
      <c r="G313" s="2">
        <v>43056</v>
      </c>
      <c r="H313" s="3">
        <f t="shared" si="4"/>
        <v>8.5671232876712331</v>
      </c>
      <c r="I313">
        <v>1</v>
      </c>
      <c r="J313" t="s">
        <v>38</v>
      </c>
      <c r="K313" t="s">
        <v>51</v>
      </c>
      <c r="L313" t="s">
        <v>44</v>
      </c>
      <c r="M313">
        <v>32.549999999999997</v>
      </c>
      <c r="N313">
        <v>32.25</v>
      </c>
      <c r="O313">
        <v>31.95</v>
      </c>
      <c r="P313">
        <v>31.65</v>
      </c>
      <c r="Q313">
        <v>31.35</v>
      </c>
      <c r="R313">
        <v>31.05</v>
      </c>
      <c r="S313">
        <v>30.75</v>
      </c>
      <c r="T313" t="s">
        <v>47</v>
      </c>
      <c r="U313">
        <v>0</v>
      </c>
      <c r="V313">
        <v>4</v>
      </c>
    </row>
    <row r="314" spans="1:36" x14ac:dyDescent="0.3">
      <c r="A314">
        <v>313</v>
      </c>
      <c r="B314">
        <v>13430</v>
      </c>
      <c r="C314" s="2">
        <v>29001</v>
      </c>
      <c r="D314">
        <v>46</v>
      </c>
      <c r="E314" t="s">
        <v>36</v>
      </c>
      <c r="F314" t="s">
        <v>37</v>
      </c>
      <c r="G314" s="2">
        <v>42895</v>
      </c>
      <c r="H314" s="3">
        <f t="shared" si="4"/>
        <v>8.367123287671232</v>
      </c>
      <c r="I314">
        <v>19</v>
      </c>
      <c r="J314" t="s">
        <v>38</v>
      </c>
      <c r="K314" t="s">
        <v>51</v>
      </c>
      <c r="L314" t="s">
        <v>44</v>
      </c>
      <c r="M314">
        <v>32.520000000000003</v>
      </c>
      <c r="N314">
        <v>32.229999999999997</v>
      </c>
      <c r="O314">
        <v>31.92</v>
      </c>
      <c r="P314">
        <v>31.64</v>
      </c>
      <c r="Q314">
        <v>31.2</v>
      </c>
      <c r="R314">
        <v>31.2</v>
      </c>
      <c r="S314">
        <v>30.76</v>
      </c>
      <c r="T314" t="s">
        <v>52</v>
      </c>
      <c r="U314">
        <v>0</v>
      </c>
      <c r="V314">
        <v>5</v>
      </c>
    </row>
    <row r="315" spans="1:36" x14ac:dyDescent="0.3">
      <c r="A315">
        <v>314</v>
      </c>
      <c r="B315">
        <v>13437</v>
      </c>
      <c r="C315" s="2">
        <v>31857</v>
      </c>
      <c r="D315">
        <v>38</v>
      </c>
      <c r="E315" t="s">
        <v>36</v>
      </c>
      <c r="F315" t="s">
        <v>50</v>
      </c>
      <c r="G315" s="2">
        <v>42968</v>
      </c>
      <c r="H315" s="3">
        <f t="shared" si="4"/>
        <v>8.6767123287671239</v>
      </c>
      <c r="I315">
        <v>24</v>
      </c>
      <c r="J315" t="s">
        <v>38</v>
      </c>
      <c r="K315" t="s">
        <v>51</v>
      </c>
      <c r="L315" t="s">
        <v>44</v>
      </c>
      <c r="M315">
        <v>32.549999999999997</v>
      </c>
      <c r="N315">
        <v>32.25</v>
      </c>
      <c r="O315">
        <v>31.95</v>
      </c>
      <c r="P315">
        <v>31.65</v>
      </c>
      <c r="Q315">
        <v>31.35</v>
      </c>
      <c r="R315">
        <v>31.05</v>
      </c>
      <c r="S315">
        <v>30.75</v>
      </c>
      <c r="T315" t="s">
        <v>47</v>
      </c>
      <c r="U315">
        <v>0</v>
      </c>
      <c r="V315">
        <v>4</v>
      </c>
    </row>
    <row r="316" spans="1:36" x14ac:dyDescent="0.3">
      <c r="A316">
        <v>315</v>
      </c>
      <c r="B316">
        <v>13454</v>
      </c>
      <c r="C316" s="2">
        <v>33047</v>
      </c>
      <c r="D316">
        <v>35</v>
      </c>
      <c r="E316" t="s">
        <v>36</v>
      </c>
      <c r="F316" t="s">
        <v>50</v>
      </c>
      <c r="G316" s="2">
        <v>42855</v>
      </c>
      <c r="H316" s="3">
        <f t="shared" si="4"/>
        <v>8.5780821917808225</v>
      </c>
      <c r="I316">
        <v>37</v>
      </c>
      <c r="J316" t="s">
        <v>38</v>
      </c>
      <c r="K316" t="s">
        <v>51</v>
      </c>
      <c r="L316" t="s">
        <v>44</v>
      </c>
      <c r="M316">
        <v>32.450000000000003</v>
      </c>
      <c r="N316">
        <v>32.159999999999997</v>
      </c>
      <c r="O316">
        <v>31.81</v>
      </c>
      <c r="P316">
        <v>31.57</v>
      </c>
      <c r="Q316">
        <v>31.17</v>
      </c>
      <c r="R316">
        <v>31.01</v>
      </c>
      <c r="S316">
        <v>30.65</v>
      </c>
      <c r="T316" t="s">
        <v>52</v>
      </c>
      <c r="U316">
        <v>0</v>
      </c>
      <c r="V316">
        <v>4</v>
      </c>
    </row>
    <row r="317" spans="1:36" x14ac:dyDescent="0.3">
      <c r="A317">
        <v>316</v>
      </c>
      <c r="B317">
        <v>13478</v>
      </c>
      <c r="C317" s="2">
        <v>31809</v>
      </c>
      <c r="D317">
        <v>39</v>
      </c>
      <c r="E317" t="s">
        <v>36</v>
      </c>
      <c r="F317" t="s">
        <v>50</v>
      </c>
      <c r="G317" s="2">
        <v>42891</v>
      </c>
      <c r="H317" s="3">
        <f t="shared" si="4"/>
        <v>8.1342465753424662</v>
      </c>
      <c r="I317">
        <v>53</v>
      </c>
      <c r="J317" t="s">
        <v>38</v>
      </c>
      <c r="K317" t="s">
        <v>51</v>
      </c>
      <c r="L317" t="s">
        <v>44</v>
      </c>
      <c r="M317">
        <v>32.549999999999997</v>
      </c>
      <c r="N317">
        <v>32.25</v>
      </c>
      <c r="O317">
        <v>31.95</v>
      </c>
      <c r="P317">
        <v>31.65</v>
      </c>
      <c r="Q317">
        <v>31.35</v>
      </c>
      <c r="R317">
        <v>31.05</v>
      </c>
      <c r="S317">
        <v>30.75</v>
      </c>
      <c r="T317" t="s">
        <v>47</v>
      </c>
      <c r="U317">
        <v>0</v>
      </c>
      <c r="V317">
        <v>4</v>
      </c>
    </row>
    <row r="318" spans="1:36" x14ac:dyDescent="0.3">
      <c r="A318">
        <v>317</v>
      </c>
      <c r="B318">
        <v>13498</v>
      </c>
      <c r="C318" s="2">
        <v>31281</v>
      </c>
      <c r="D318">
        <v>40</v>
      </c>
      <c r="E318" t="s">
        <v>36</v>
      </c>
      <c r="F318" t="s">
        <v>50</v>
      </c>
      <c r="G318" s="2">
        <v>43053</v>
      </c>
      <c r="H318" s="3">
        <f t="shared" si="4"/>
        <v>7.9068493150684933</v>
      </c>
      <c r="I318">
        <v>68</v>
      </c>
      <c r="J318" t="s">
        <v>57</v>
      </c>
      <c r="K318" t="s">
        <v>51</v>
      </c>
      <c r="L318" t="s">
        <v>44</v>
      </c>
      <c r="M318">
        <v>32.75</v>
      </c>
      <c r="N318">
        <v>32.33</v>
      </c>
      <c r="O318">
        <v>31.91</v>
      </c>
      <c r="P318">
        <v>31.91</v>
      </c>
      <c r="Q318">
        <v>31.53</v>
      </c>
      <c r="R318">
        <v>31.22</v>
      </c>
      <c r="S318">
        <v>30.89</v>
      </c>
      <c r="T318" t="s">
        <v>47</v>
      </c>
      <c r="U318">
        <v>0</v>
      </c>
      <c r="V318">
        <v>4</v>
      </c>
    </row>
    <row r="319" spans="1:36" x14ac:dyDescent="0.3">
      <c r="A319">
        <v>318</v>
      </c>
      <c r="B319">
        <v>13510</v>
      </c>
      <c r="C319" s="2">
        <v>32635</v>
      </c>
      <c r="D319">
        <v>36</v>
      </c>
      <c r="E319" t="s">
        <v>42</v>
      </c>
      <c r="F319" t="s">
        <v>50</v>
      </c>
      <c r="G319" s="2">
        <v>43136</v>
      </c>
      <c r="H319" s="3">
        <f t="shared" si="4"/>
        <v>8.6301369863013697</v>
      </c>
      <c r="I319">
        <v>74</v>
      </c>
      <c r="J319" t="s">
        <v>57</v>
      </c>
      <c r="K319" t="s">
        <v>51</v>
      </c>
      <c r="L319" t="s">
        <v>44</v>
      </c>
      <c r="M319">
        <v>31.35</v>
      </c>
      <c r="N319">
        <v>31.2</v>
      </c>
      <c r="O319">
        <v>31.05</v>
      </c>
      <c r="P319">
        <v>31.05</v>
      </c>
      <c r="Q319">
        <v>30.9</v>
      </c>
      <c r="R319">
        <v>30.75</v>
      </c>
      <c r="S319">
        <v>30.6</v>
      </c>
      <c r="T319" t="s">
        <v>47</v>
      </c>
      <c r="U319">
        <v>0</v>
      </c>
      <c r="V319">
        <v>4</v>
      </c>
    </row>
    <row r="320" spans="1:36" x14ac:dyDescent="0.3">
      <c r="A320">
        <v>319</v>
      </c>
      <c r="B320">
        <v>13563</v>
      </c>
      <c r="C320" s="2">
        <v>32422</v>
      </c>
      <c r="D320">
        <v>37</v>
      </c>
      <c r="E320" t="s">
        <v>36</v>
      </c>
      <c r="F320" t="s">
        <v>50</v>
      </c>
      <c r="G320" s="2">
        <v>42872</v>
      </c>
      <c r="H320" s="3">
        <f t="shared" si="4"/>
        <v>8.3917808219178074</v>
      </c>
      <c r="I320">
        <v>106</v>
      </c>
      <c r="J320" t="s">
        <v>57</v>
      </c>
      <c r="K320" t="s">
        <v>51</v>
      </c>
      <c r="L320" t="s">
        <v>44</v>
      </c>
      <c r="M320">
        <v>32.549999999999997</v>
      </c>
      <c r="N320">
        <v>32.25</v>
      </c>
      <c r="O320">
        <v>31.95</v>
      </c>
      <c r="P320">
        <v>31.65</v>
      </c>
      <c r="Q320">
        <v>31.35</v>
      </c>
      <c r="R320">
        <v>31.05</v>
      </c>
      <c r="S320">
        <v>30.75</v>
      </c>
      <c r="T320" t="s">
        <v>47</v>
      </c>
      <c r="U320">
        <v>0</v>
      </c>
      <c r="V320">
        <v>3</v>
      </c>
    </row>
    <row r="321" spans="1:22" x14ac:dyDescent="0.3">
      <c r="A321">
        <v>320</v>
      </c>
      <c r="B321">
        <v>13566</v>
      </c>
      <c r="C321" s="2">
        <v>33480</v>
      </c>
      <c r="D321">
        <v>34</v>
      </c>
      <c r="E321" t="s">
        <v>42</v>
      </c>
      <c r="F321" t="s">
        <v>50</v>
      </c>
      <c r="G321" s="2">
        <v>42959</v>
      </c>
      <c r="H321" s="3">
        <f t="shared" si="4"/>
        <v>7.9452054794520546</v>
      </c>
      <c r="I321">
        <v>108</v>
      </c>
      <c r="J321" t="s">
        <v>57</v>
      </c>
      <c r="K321" t="s">
        <v>51</v>
      </c>
      <c r="L321" t="s">
        <v>44</v>
      </c>
      <c r="M321">
        <v>32.549999999999997</v>
      </c>
      <c r="N321">
        <v>32.25</v>
      </c>
      <c r="O321">
        <v>31.95</v>
      </c>
      <c r="P321">
        <v>31.65</v>
      </c>
      <c r="Q321">
        <v>31.35</v>
      </c>
      <c r="R321">
        <v>31.05</v>
      </c>
      <c r="S321">
        <v>30.75</v>
      </c>
      <c r="T321" t="s">
        <v>47</v>
      </c>
      <c r="U321">
        <v>0</v>
      </c>
      <c r="V321">
        <v>5</v>
      </c>
    </row>
    <row r="322" spans="1:22" x14ac:dyDescent="0.3">
      <c r="A322">
        <v>321</v>
      </c>
      <c r="B322">
        <v>13608</v>
      </c>
      <c r="C322" s="2">
        <v>31026</v>
      </c>
      <c r="D322">
        <v>41</v>
      </c>
      <c r="E322" t="s">
        <v>42</v>
      </c>
      <c r="F322" t="s">
        <v>50</v>
      </c>
      <c r="G322" s="2">
        <v>43122</v>
      </c>
      <c r="H322" s="3">
        <f t="shared" si="4"/>
        <v>8.8849315068493144</v>
      </c>
      <c r="I322">
        <v>137</v>
      </c>
      <c r="J322" t="s">
        <v>57</v>
      </c>
      <c r="K322" t="s">
        <v>51</v>
      </c>
      <c r="L322" t="s">
        <v>44</v>
      </c>
      <c r="M322">
        <v>32.549999999999997</v>
      </c>
      <c r="N322">
        <v>32.25</v>
      </c>
      <c r="O322">
        <v>31.95</v>
      </c>
      <c r="P322">
        <v>31.65</v>
      </c>
      <c r="Q322">
        <v>31.35</v>
      </c>
      <c r="R322">
        <v>31.05</v>
      </c>
      <c r="S322">
        <v>30.75</v>
      </c>
      <c r="T322" t="s">
        <v>47</v>
      </c>
      <c r="U322">
        <v>0</v>
      </c>
      <c r="V322">
        <v>6</v>
      </c>
    </row>
    <row r="323" spans="1:22" x14ac:dyDescent="0.3">
      <c r="A323">
        <v>322</v>
      </c>
      <c r="B323">
        <v>13675</v>
      </c>
      <c r="C323" s="2">
        <v>33803</v>
      </c>
      <c r="D323">
        <v>33</v>
      </c>
      <c r="E323" t="s">
        <v>42</v>
      </c>
      <c r="F323" t="s">
        <v>50</v>
      </c>
      <c r="G323" s="2">
        <v>42779</v>
      </c>
      <c r="H323" s="3">
        <f t="shared" ref="H323:H386" si="5">DATEDIF(G324,DATE(2025,12,31),"d")/365</f>
        <v>8.7671232876712324</v>
      </c>
      <c r="I323">
        <v>82</v>
      </c>
      <c r="J323" t="s">
        <v>57</v>
      </c>
      <c r="K323" t="s">
        <v>53</v>
      </c>
      <c r="L323" t="s">
        <v>44</v>
      </c>
      <c r="M323">
        <v>21.96</v>
      </c>
      <c r="N323">
        <v>21.66</v>
      </c>
      <c r="O323">
        <v>21.36</v>
      </c>
      <c r="P323">
        <v>21.06</v>
      </c>
      <c r="Q323">
        <v>20.76</v>
      </c>
      <c r="R323">
        <v>20.46</v>
      </c>
      <c r="S323">
        <v>20.16</v>
      </c>
      <c r="T323" t="s">
        <v>49</v>
      </c>
      <c r="U323">
        <v>4</v>
      </c>
      <c r="V323">
        <v>6</v>
      </c>
    </row>
    <row r="324" spans="1:22" x14ac:dyDescent="0.3">
      <c r="A324">
        <v>323</v>
      </c>
      <c r="B324">
        <v>13714</v>
      </c>
      <c r="C324" s="2">
        <v>33037</v>
      </c>
      <c r="D324">
        <v>35</v>
      </c>
      <c r="E324" t="s">
        <v>36</v>
      </c>
      <c r="F324" t="s">
        <v>37</v>
      </c>
      <c r="G324" s="2">
        <v>42822</v>
      </c>
      <c r="H324" s="3">
        <f t="shared" si="5"/>
        <v>8.493150684931507</v>
      </c>
      <c r="I324">
        <v>5</v>
      </c>
      <c r="J324" t="s">
        <v>38</v>
      </c>
      <c r="K324" t="s">
        <v>53</v>
      </c>
      <c r="L324" t="s">
        <v>44</v>
      </c>
      <c r="M324">
        <v>21.96</v>
      </c>
      <c r="N324">
        <v>21.66</v>
      </c>
      <c r="O324">
        <v>21.36</v>
      </c>
      <c r="P324">
        <v>21.06</v>
      </c>
      <c r="Q324">
        <v>20.76</v>
      </c>
      <c r="R324">
        <v>20.46</v>
      </c>
      <c r="S324">
        <v>20.16</v>
      </c>
      <c r="T324" t="s">
        <v>45</v>
      </c>
      <c r="U324">
        <v>6</v>
      </c>
      <c r="V324">
        <v>5</v>
      </c>
    </row>
    <row r="325" spans="1:22" x14ac:dyDescent="0.3">
      <c r="A325">
        <v>324</v>
      </c>
      <c r="B325">
        <v>13715</v>
      </c>
      <c r="C325" s="2">
        <v>32869</v>
      </c>
      <c r="D325">
        <v>36</v>
      </c>
      <c r="E325" t="s">
        <v>36</v>
      </c>
      <c r="F325" t="s">
        <v>50</v>
      </c>
      <c r="G325" s="2">
        <v>42922</v>
      </c>
      <c r="H325" s="3">
        <f t="shared" si="5"/>
        <v>8.4136986301369863</v>
      </c>
      <c r="I325">
        <v>6</v>
      </c>
      <c r="J325" t="s">
        <v>38</v>
      </c>
      <c r="K325" t="s">
        <v>53</v>
      </c>
      <c r="L325" t="s">
        <v>44</v>
      </c>
      <c r="M325">
        <v>21.96</v>
      </c>
      <c r="N325">
        <v>21.66</v>
      </c>
      <c r="O325">
        <v>21.36</v>
      </c>
      <c r="P325">
        <v>21.06</v>
      </c>
      <c r="Q325">
        <v>20.76</v>
      </c>
      <c r="R325">
        <v>20.46</v>
      </c>
      <c r="S325">
        <v>20.16</v>
      </c>
      <c r="T325" t="s">
        <v>47</v>
      </c>
      <c r="U325">
        <v>5</v>
      </c>
      <c r="V325">
        <v>5</v>
      </c>
    </row>
    <row r="326" spans="1:22" x14ac:dyDescent="0.3">
      <c r="A326">
        <v>325</v>
      </c>
      <c r="B326">
        <v>13759</v>
      </c>
      <c r="C326" s="2">
        <v>31399</v>
      </c>
      <c r="D326">
        <v>40</v>
      </c>
      <c r="E326" t="s">
        <v>36</v>
      </c>
      <c r="F326" t="s">
        <v>50</v>
      </c>
      <c r="G326" s="2">
        <v>42951</v>
      </c>
      <c r="H326" s="3">
        <f t="shared" si="5"/>
        <v>7.9643835616438352</v>
      </c>
      <c r="I326">
        <v>25</v>
      </c>
      <c r="J326" t="s">
        <v>38</v>
      </c>
      <c r="K326" t="s">
        <v>53</v>
      </c>
      <c r="L326" t="s">
        <v>44</v>
      </c>
      <c r="M326">
        <v>21.96</v>
      </c>
      <c r="N326">
        <v>21.66</v>
      </c>
      <c r="O326">
        <v>21.36</v>
      </c>
      <c r="P326">
        <v>21.06</v>
      </c>
      <c r="Q326">
        <v>20.76</v>
      </c>
      <c r="R326">
        <v>20.46</v>
      </c>
      <c r="S326">
        <v>20.16</v>
      </c>
      <c r="T326" t="s">
        <v>52</v>
      </c>
      <c r="U326">
        <v>2</v>
      </c>
      <c r="V326">
        <v>4</v>
      </c>
    </row>
    <row r="327" spans="1:22" x14ac:dyDescent="0.3">
      <c r="A327">
        <v>326</v>
      </c>
      <c r="B327">
        <v>13761</v>
      </c>
      <c r="C327" s="2">
        <v>34227</v>
      </c>
      <c r="D327">
        <v>32</v>
      </c>
      <c r="E327" t="s">
        <v>42</v>
      </c>
      <c r="F327" t="s">
        <v>50</v>
      </c>
      <c r="G327" s="2">
        <v>43115</v>
      </c>
      <c r="H327" s="3">
        <f t="shared" si="5"/>
        <v>8.6136986301369856</v>
      </c>
      <c r="I327">
        <v>26</v>
      </c>
      <c r="J327" t="s">
        <v>38</v>
      </c>
      <c r="K327" t="s">
        <v>53</v>
      </c>
      <c r="L327" t="s">
        <v>44</v>
      </c>
      <c r="M327">
        <v>21.96</v>
      </c>
      <c r="N327">
        <v>21.66</v>
      </c>
      <c r="O327">
        <v>21.36</v>
      </c>
      <c r="P327">
        <v>21.06</v>
      </c>
      <c r="Q327">
        <v>20.76</v>
      </c>
      <c r="R327">
        <v>20.46</v>
      </c>
      <c r="S327">
        <v>20.16</v>
      </c>
      <c r="T327" t="s">
        <v>47</v>
      </c>
      <c r="U327">
        <v>0</v>
      </c>
      <c r="V327">
        <v>5</v>
      </c>
    </row>
    <row r="328" spans="1:22" x14ac:dyDescent="0.3">
      <c r="A328">
        <v>327</v>
      </c>
      <c r="B328">
        <v>13791</v>
      </c>
      <c r="C328" s="2">
        <v>34291</v>
      </c>
      <c r="D328">
        <v>32</v>
      </c>
      <c r="E328" t="s">
        <v>42</v>
      </c>
      <c r="F328" t="s">
        <v>50</v>
      </c>
      <c r="G328" s="2">
        <v>42878</v>
      </c>
      <c r="H328" s="3">
        <f t="shared" si="5"/>
        <v>8.6575342465753433</v>
      </c>
      <c r="I328">
        <v>39</v>
      </c>
      <c r="J328" t="s">
        <v>38</v>
      </c>
      <c r="K328" t="s">
        <v>53</v>
      </c>
      <c r="L328" t="s">
        <v>44</v>
      </c>
      <c r="M328">
        <v>22.03</v>
      </c>
      <c r="N328">
        <v>21.68</v>
      </c>
      <c r="O328">
        <v>21.26</v>
      </c>
      <c r="P328">
        <v>21.07</v>
      </c>
      <c r="Q328">
        <v>20.72</v>
      </c>
      <c r="R328">
        <v>20.29</v>
      </c>
      <c r="S328">
        <v>20.29</v>
      </c>
      <c r="T328" t="s">
        <v>52</v>
      </c>
      <c r="U328">
        <v>3</v>
      </c>
      <c r="V328">
        <v>7</v>
      </c>
    </row>
    <row r="329" spans="1:22" x14ac:dyDescent="0.3">
      <c r="A329">
        <v>328</v>
      </c>
      <c r="B329">
        <v>13809</v>
      </c>
      <c r="C329" s="2">
        <v>33053</v>
      </c>
      <c r="D329">
        <v>35</v>
      </c>
      <c r="E329" t="s">
        <v>36</v>
      </c>
      <c r="F329" t="s">
        <v>37</v>
      </c>
      <c r="G329" s="2">
        <v>42862</v>
      </c>
      <c r="H329" s="3">
        <f t="shared" si="5"/>
        <v>7.8931506849315065</v>
      </c>
      <c r="I329">
        <v>45</v>
      </c>
      <c r="J329" t="s">
        <v>38</v>
      </c>
      <c r="K329" t="s">
        <v>53</v>
      </c>
      <c r="L329" t="s">
        <v>44</v>
      </c>
      <c r="M329">
        <v>21.96</v>
      </c>
      <c r="N329">
        <v>21.66</v>
      </c>
      <c r="O329">
        <v>21.36</v>
      </c>
      <c r="P329">
        <v>21.06</v>
      </c>
      <c r="Q329">
        <v>20.76</v>
      </c>
      <c r="R329">
        <v>20.46</v>
      </c>
      <c r="S329">
        <v>20.16</v>
      </c>
      <c r="T329" t="s">
        <v>47</v>
      </c>
      <c r="U329">
        <v>4</v>
      </c>
      <c r="V329">
        <v>6</v>
      </c>
    </row>
    <row r="330" spans="1:22" x14ac:dyDescent="0.3">
      <c r="A330">
        <v>329</v>
      </c>
      <c r="B330">
        <v>13850</v>
      </c>
      <c r="C330" s="2">
        <v>31104</v>
      </c>
      <c r="D330">
        <v>40</v>
      </c>
      <c r="E330" t="s">
        <v>42</v>
      </c>
      <c r="F330" t="s">
        <v>50</v>
      </c>
      <c r="G330" s="2">
        <v>43141</v>
      </c>
      <c r="H330" s="3">
        <f t="shared" si="5"/>
        <v>7.8301369863013699</v>
      </c>
      <c r="I330">
        <v>64</v>
      </c>
      <c r="J330" t="s">
        <v>38</v>
      </c>
      <c r="K330" t="s">
        <v>53</v>
      </c>
      <c r="L330" t="s">
        <v>44</v>
      </c>
      <c r="M330">
        <v>21.96</v>
      </c>
      <c r="N330">
        <v>21.66</v>
      </c>
      <c r="O330">
        <v>21.36</v>
      </c>
      <c r="P330">
        <v>21.06</v>
      </c>
      <c r="Q330">
        <v>20.76</v>
      </c>
      <c r="R330">
        <v>20.46</v>
      </c>
      <c r="S330">
        <v>20.16</v>
      </c>
      <c r="T330" t="s">
        <v>52</v>
      </c>
      <c r="U330">
        <v>6</v>
      </c>
      <c r="V330">
        <v>7</v>
      </c>
    </row>
    <row r="331" spans="1:22" x14ac:dyDescent="0.3">
      <c r="A331">
        <v>330</v>
      </c>
      <c r="B331">
        <v>13964</v>
      </c>
      <c r="C331" s="2">
        <v>30786</v>
      </c>
      <c r="D331">
        <v>41</v>
      </c>
      <c r="E331" t="s">
        <v>36</v>
      </c>
      <c r="F331" t="s">
        <v>50</v>
      </c>
      <c r="G331" s="2">
        <v>43164</v>
      </c>
      <c r="H331" s="3">
        <f t="shared" si="5"/>
        <v>8.4219178082191775</v>
      </c>
      <c r="I331">
        <v>126</v>
      </c>
      <c r="J331" t="s">
        <v>57</v>
      </c>
      <c r="K331" t="s">
        <v>53</v>
      </c>
      <c r="L331" t="s">
        <v>44</v>
      </c>
      <c r="M331">
        <v>21.96</v>
      </c>
      <c r="N331">
        <v>21.66</v>
      </c>
      <c r="O331">
        <v>21.36</v>
      </c>
      <c r="P331">
        <v>21.06</v>
      </c>
      <c r="Q331">
        <v>20.76</v>
      </c>
      <c r="R331">
        <v>20.46</v>
      </c>
      <c r="S331">
        <v>20.16</v>
      </c>
      <c r="T331" t="s">
        <v>47</v>
      </c>
      <c r="U331">
        <v>5</v>
      </c>
      <c r="V331">
        <v>6</v>
      </c>
    </row>
    <row r="332" spans="1:22" x14ac:dyDescent="0.3">
      <c r="A332">
        <v>331</v>
      </c>
      <c r="B332">
        <v>13978</v>
      </c>
      <c r="C332" s="2">
        <v>33091</v>
      </c>
      <c r="D332">
        <v>35</v>
      </c>
      <c r="E332" t="s">
        <v>36</v>
      </c>
      <c r="F332" t="s">
        <v>50</v>
      </c>
      <c r="G332" s="2">
        <v>42948</v>
      </c>
      <c r="H332" s="3">
        <f t="shared" si="5"/>
        <v>7.9424657534246572</v>
      </c>
      <c r="I332">
        <v>135</v>
      </c>
      <c r="J332" t="s">
        <v>57</v>
      </c>
      <c r="K332" t="s">
        <v>53</v>
      </c>
      <c r="L332" t="s">
        <v>44</v>
      </c>
      <c r="M332">
        <v>21.96</v>
      </c>
      <c r="N332">
        <v>21.66</v>
      </c>
      <c r="O332">
        <v>21.36</v>
      </c>
      <c r="P332">
        <v>21.06</v>
      </c>
      <c r="Q332">
        <v>20.76</v>
      </c>
      <c r="R332">
        <v>20.46</v>
      </c>
      <c r="S332">
        <v>20.16</v>
      </c>
      <c r="T332" t="s">
        <v>47</v>
      </c>
      <c r="U332">
        <v>3</v>
      </c>
      <c r="V332">
        <v>6</v>
      </c>
    </row>
    <row r="333" spans="1:22" x14ac:dyDescent="0.3">
      <c r="A333">
        <v>332</v>
      </c>
      <c r="B333">
        <v>13995</v>
      </c>
      <c r="C333" s="2">
        <v>36490</v>
      </c>
      <c r="D333">
        <v>26</v>
      </c>
      <c r="E333" t="s">
        <v>42</v>
      </c>
      <c r="F333" t="s">
        <v>37</v>
      </c>
      <c r="G333" s="2">
        <v>43123</v>
      </c>
      <c r="H333" s="3">
        <f t="shared" si="5"/>
        <v>8.2821917808219183</v>
      </c>
      <c r="I333">
        <v>3</v>
      </c>
      <c r="J333" t="s">
        <v>38</v>
      </c>
      <c r="K333" t="s">
        <v>43</v>
      </c>
      <c r="L333" t="s">
        <v>44</v>
      </c>
      <c r="M333">
        <v>15.87</v>
      </c>
      <c r="N333">
        <v>15.57</v>
      </c>
      <c r="O333">
        <v>15.27</v>
      </c>
      <c r="P333">
        <v>14.97</v>
      </c>
      <c r="Q333">
        <v>14.67</v>
      </c>
      <c r="R333">
        <v>14.37</v>
      </c>
      <c r="S333">
        <v>14.07</v>
      </c>
      <c r="T333" t="s">
        <v>52</v>
      </c>
      <c r="U333">
        <v>0</v>
      </c>
      <c r="V333">
        <v>5</v>
      </c>
    </row>
    <row r="334" spans="1:22" x14ac:dyDescent="0.3">
      <c r="A334">
        <v>333</v>
      </c>
      <c r="B334">
        <v>14008</v>
      </c>
      <c r="C334" s="2">
        <v>35068</v>
      </c>
      <c r="D334">
        <v>29</v>
      </c>
      <c r="E334" t="s">
        <v>36</v>
      </c>
      <c r="F334" t="s">
        <v>37</v>
      </c>
      <c r="G334" s="2">
        <v>42999</v>
      </c>
      <c r="H334" s="3">
        <f t="shared" si="5"/>
        <v>8.493150684931507</v>
      </c>
      <c r="I334">
        <v>5</v>
      </c>
      <c r="J334" t="s">
        <v>38</v>
      </c>
      <c r="K334" t="s">
        <v>46</v>
      </c>
      <c r="L334" t="s">
        <v>44</v>
      </c>
      <c r="M334">
        <v>14.07</v>
      </c>
      <c r="N334">
        <v>13.77</v>
      </c>
      <c r="O334">
        <v>13.47</v>
      </c>
      <c r="P334">
        <v>13.17</v>
      </c>
      <c r="Q334">
        <v>12.87</v>
      </c>
      <c r="R334">
        <v>12.57</v>
      </c>
      <c r="S334">
        <v>12.27</v>
      </c>
      <c r="T334" t="s">
        <v>52</v>
      </c>
      <c r="U334">
        <v>0</v>
      </c>
      <c r="V334">
        <v>4</v>
      </c>
    </row>
    <row r="335" spans="1:22" x14ac:dyDescent="0.3">
      <c r="A335">
        <v>334</v>
      </c>
      <c r="B335">
        <v>14009</v>
      </c>
      <c r="C335" s="2">
        <v>36436</v>
      </c>
      <c r="D335">
        <v>26</v>
      </c>
      <c r="E335" t="s">
        <v>42</v>
      </c>
      <c r="F335" t="s">
        <v>37</v>
      </c>
      <c r="G335" s="2">
        <v>42922</v>
      </c>
      <c r="H335" s="3">
        <f t="shared" si="5"/>
        <v>8.5479452054794525</v>
      </c>
      <c r="I335">
        <v>5</v>
      </c>
      <c r="J335" t="s">
        <v>38</v>
      </c>
      <c r="K335" t="s">
        <v>64</v>
      </c>
      <c r="L335" t="s">
        <v>44</v>
      </c>
      <c r="M335">
        <v>13.94</v>
      </c>
      <c r="N335">
        <v>13.64</v>
      </c>
      <c r="O335">
        <v>13.34</v>
      </c>
      <c r="P335">
        <v>13.04</v>
      </c>
      <c r="Q335">
        <v>12.74</v>
      </c>
      <c r="R335">
        <v>12.44</v>
      </c>
      <c r="S335">
        <v>12.14</v>
      </c>
      <c r="T335" t="s">
        <v>45</v>
      </c>
      <c r="U335">
        <v>0</v>
      </c>
      <c r="V335">
        <v>4</v>
      </c>
    </row>
    <row r="336" spans="1:22" x14ac:dyDescent="0.3">
      <c r="A336">
        <v>335</v>
      </c>
      <c r="B336">
        <v>14056</v>
      </c>
      <c r="C336" s="2">
        <v>34470</v>
      </c>
      <c r="D336">
        <v>31</v>
      </c>
      <c r="E336" t="s">
        <v>42</v>
      </c>
      <c r="F336" t="s">
        <v>50</v>
      </c>
      <c r="G336" s="2">
        <v>42902</v>
      </c>
      <c r="H336" s="3">
        <f t="shared" si="5"/>
        <v>8.5260273972602736</v>
      </c>
      <c r="I336">
        <v>15</v>
      </c>
      <c r="J336" t="s">
        <v>38</v>
      </c>
      <c r="K336" t="s">
        <v>64</v>
      </c>
      <c r="L336" t="s">
        <v>44</v>
      </c>
      <c r="M336">
        <v>13.94</v>
      </c>
      <c r="N336">
        <v>13.64</v>
      </c>
      <c r="O336">
        <v>13.34</v>
      </c>
      <c r="P336">
        <v>13.04</v>
      </c>
      <c r="Q336">
        <v>12.74</v>
      </c>
      <c r="R336">
        <v>12.44</v>
      </c>
      <c r="S336">
        <v>12.14</v>
      </c>
      <c r="T336" t="s">
        <v>52</v>
      </c>
      <c r="U336">
        <v>0</v>
      </c>
      <c r="V336">
        <v>5</v>
      </c>
    </row>
    <row r="337" spans="1:22" x14ac:dyDescent="0.3">
      <c r="A337">
        <v>336</v>
      </c>
      <c r="B337">
        <v>14058</v>
      </c>
      <c r="C337" s="2">
        <v>34881</v>
      </c>
      <c r="D337">
        <v>31</v>
      </c>
      <c r="E337" t="s">
        <v>42</v>
      </c>
      <c r="F337" t="s">
        <v>50</v>
      </c>
      <c r="G337" s="2">
        <v>42910</v>
      </c>
      <c r="H337" s="3">
        <f t="shared" si="5"/>
        <v>8.1945205479452063</v>
      </c>
      <c r="I337">
        <v>15</v>
      </c>
      <c r="J337" t="s">
        <v>38</v>
      </c>
      <c r="K337" t="s">
        <v>55</v>
      </c>
      <c r="L337" t="s">
        <v>44</v>
      </c>
      <c r="M337">
        <v>16.899999999999999</v>
      </c>
      <c r="N337">
        <v>16.600000000000001</v>
      </c>
      <c r="O337">
        <v>16.3</v>
      </c>
      <c r="P337">
        <v>16</v>
      </c>
      <c r="Q337">
        <v>15.7</v>
      </c>
      <c r="R337">
        <v>15.4</v>
      </c>
      <c r="S337">
        <v>15.1</v>
      </c>
      <c r="T337" t="s">
        <v>47</v>
      </c>
      <c r="U337">
        <v>2</v>
      </c>
      <c r="V337">
        <v>7</v>
      </c>
    </row>
    <row r="338" spans="1:22" x14ac:dyDescent="0.3">
      <c r="A338">
        <v>337</v>
      </c>
      <c r="B338">
        <v>14087</v>
      </c>
      <c r="C338" s="2">
        <v>28235</v>
      </c>
      <c r="D338">
        <v>48</v>
      </c>
      <c r="E338" t="s">
        <v>42</v>
      </c>
      <c r="F338" t="s">
        <v>50</v>
      </c>
      <c r="G338" s="2">
        <v>43031</v>
      </c>
      <c r="H338" s="3">
        <f t="shared" si="5"/>
        <v>8.506849315068493</v>
      </c>
      <c r="I338">
        <v>20</v>
      </c>
      <c r="J338" t="s">
        <v>38</v>
      </c>
      <c r="K338" t="s">
        <v>54</v>
      </c>
      <c r="L338" t="s">
        <v>44</v>
      </c>
      <c r="M338">
        <v>22.15</v>
      </c>
      <c r="N338">
        <v>21.81</v>
      </c>
      <c r="O338">
        <v>21.41</v>
      </c>
      <c r="P338">
        <v>21.03</v>
      </c>
      <c r="Q338">
        <v>20.64</v>
      </c>
      <c r="R338">
        <v>20.37</v>
      </c>
      <c r="S338">
        <v>20.37</v>
      </c>
      <c r="T338" t="s">
        <v>49</v>
      </c>
      <c r="U338">
        <v>6</v>
      </c>
      <c r="V338">
        <v>6</v>
      </c>
    </row>
    <row r="339" spans="1:22" x14ac:dyDescent="0.3">
      <c r="A339">
        <v>338</v>
      </c>
      <c r="B339">
        <v>14107</v>
      </c>
      <c r="C339" s="2">
        <v>34878</v>
      </c>
      <c r="D339">
        <v>30</v>
      </c>
      <c r="E339" t="s">
        <v>42</v>
      </c>
      <c r="F339" t="s">
        <v>50</v>
      </c>
      <c r="G339" s="2">
        <v>42917</v>
      </c>
      <c r="H339" s="3">
        <f t="shared" si="5"/>
        <v>8.4602739726027405</v>
      </c>
      <c r="I339">
        <v>24</v>
      </c>
      <c r="J339" t="s">
        <v>38</v>
      </c>
      <c r="K339" t="s">
        <v>43</v>
      </c>
      <c r="L339" t="s">
        <v>44</v>
      </c>
      <c r="M339">
        <v>15.87</v>
      </c>
      <c r="N339">
        <v>15.57</v>
      </c>
      <c r="O339">
        <v>15.27</v>
      </c>
      <c r="P339">
        <v>14.97</v>
      </c>
      <c r="Q339">
        <v>14.67</v>
      </c>
      <c r="R339">
        <v>14.37</v>
      </c>
      <c r="S339">
        <v>14.07</v>
      </c>
      <c r="T339" t="s">
        <v>47</v>
      </c>
      <c r="U339">
        <v>1</v>
      </c>
      <c r="V339">
        <v>5</v>
      </c>
    </row>
    <row r="340" spans="1:22" x14ac:dyDescent="0.3">
      <c r="A340">
        <v>339</v>
      </c>
      <c r="B340">
        <v>14114</v>
      </c>
      <c r="C340" s="2">
        <v>32098</v>
      </c>
      <c r="D340">
        <v>38</v>
      </c>
      <c r="E340" t="s">
        <v>42</v>
      </c>
      <c r="F340" t="s">
        <v>50</v>
      </c>
      <c r="G340" s="2">
        <v>42934</v>
      </c>
      <c r="H340" s="3">
        <f t="shared" si="5"/>
        <v>8.7534246575342465</v>
      </c>
      <c r="I340">
        <v>24</v>
      </c>
      <c r="J340" t="s">
        <v>38</v>
      </c>
      <c r="K340" t="s">
        <v>55</v>
      </c>
      <c r="L340" t="s">
        <v>44</v>
      </c>
      <c r="M340">
        <v>16.899999999999999</v>
      </c>
      <c r="N340">
        <v>16.600000000000001</v>
      </c>
      <c r="O340">
        <v>16.3</v>
      </c>
      <c r="P340">
        <v>16</v>
      </c>
      <c r="Q340">
        <v>15.7</v>
      </c>
      <c r="R340">
        <v>15.4</v>
      </c>
      <c r="S340">
        <v>15.1</v>
      </c>
      <c r="T340" t="s">
        <v>49</v>
      </c>
      <c r="U340">
        <v>2</v>
      </c>
      <c r="V340">
        <v>6</v>
      </c>
    </row>
    <row r="341" spans="1:22" x14ac:dyDescent="0.3">
      <c r="A341">
        <v>340</v>
      </c>
      <c r="B341">
        <v>14115</v>
      </c>
      <c r="C341" s="2">
        <v>34090</v>
      </c>
      <c r="D341">
        <v>33</v>
      </c>
      <c r="E341" t="s">
        <v>42</v>
      </c>
      <c r="F341" t="s">
        <v>50</v>
      </c>
      <c r="G341" s="2">
        <v>42827</v>
      </c>
      <c r="H341" s="3">
        <f t="shared" si="5"/>
        <v>8.3342465753424655</v>
      </c>
      <c r="I341">
        <v>24</v>
      </c>
      <c r="J341" t="s">
        <v>38</v>
      </c>
      <c r="K341" t="s">
        <v>55</v>
      </c>
      <c r="L341" t="s">
        <v>44</v>
      </c>
      <c r="M341">
        <v>16.899999999999999</v>
      </c>
      <c r="N341">
        <v>16.600000000000001</v>
      </c>
      <c r="O341">
        <v>16.3</v>
      </c>
      <c r="P341">
        <v>16</v>
      </c>
      <c r="Q341">
        <v>15.7</v>
      </c>
      <c r="R341">
        <v>15.4</v>
      </c>
      <c r="S341">
        <v>15.1</v>
      </c>
      <c r="T341" t="s">
        <v>49</v>
      </c>
      <c r="U341">
        <v>4</v>
      </c>
      <c r="V341">
        <v>7</v>
      </c>
    </row>
    <row r="342" spans="1:22" x14ac:dyDescent="0.3">
      <c r="A342">
        <v>341</v>
      </c>
      <c r="B342">
        <v>14153</v>
      </c>
      <c r="C342" s="2">
        <v>29946</v>
      </c>
      <c r="D342">
        <v>44</v>
      </c>
      <c r="E342" t="s">
        <v>36</v>
      </c>
      <c r="F342" t="s">
        <v>50</v>
      </c>
      <c r="G342" s="2">
        <v>42980</v>
      </c>
      <c r="H342" s="3">
        <f t="shared" si="5"/>
        <v>8.161643835616438</v>
      </c>
      <c r="I342">
        <v>32</v>
      </c>
      <c r="J342" t="s">
        <v>38</v>
      </c>
      <c r="K342" t="s">
        <v>43</v>
      </c>
      <c r="L342" t="s">
        <v>44</v>
      </c>
      <c r="M342">
        <v>15.87</v>
      </c>
      <c r="N342">
        <v>15.57</v>
      </c>
      <c r="O342">
        <v>15.27</v>
      </c>
      <c r="P342">
        <v>14.97</v>
      </c>
      <c r="Q342">
        <v>14.67</v>
      </c>
      <c r="R342">
        <v>14.37</v>
      </c>
      <c r="S342">
        <v>14.07</v>
      </c>
      <c r="T342" t="s">
        <v>47</v>
      </c>
      <c r="U342">
        <v>1</v>
      </c>
      <c r="V342">
        <v>4</v>
      </c>
    </row>
    <row r="343" spans="1:22" x14ac:dyDescent="0.3">
      <c r="A343">
        <v>342</v>
      </c>
      <c r="B343">
        <v>14172</v>
      </c>
      <c r="C343" s="2">
        <v>35513</v>
      </c>
      <c r="D343">
        <v>28</v>
      </c>
      <c r="E343" t="s">
        <v>42</v>
      </c>
      <c r="F343" t="s">
        <v>37</v>
      </c>
      <c r="G343" s="2">
        <v>43043</v>
      </c>
      <c r="H343" s="3">
        <f t="shared" si="5"/>
        <v>8.2821917808219183</v>
      </c>
      <c r="I343">
        <v>35</v>
      </c>
      <c r="J343" t="s">
        <v>38</v>
      </c>
      <c r="K343" t="s">
        <v>65</v>
      </c>
      <c r="L343" t="s">
        <v>44</v>
      </c>
      <c r="M343">
        <v>10.35</v>
      </c>
      <c r="N343">
        <v>10.15</v>
      </c>
      <c r="O343">
        <v>9.9499999999999993</v>
      </c>
      <c r="P343">
        <v>9.75</v>
      </c>
      <c r="Q343">
        <v>9.5500000000000007</v>
      </c>
      <c r="R343">
        <v>9.35</v>
      </c>
      <c r="S343">
        <v>9.15</v>
      </c>
      <c r="T343" t="s">
        <v>52</v>
      </c>
      <c r="U343">
        <v>0</v>
      </c>
      <c r="V343">
        <v>5</v>
      </c>
    </row>
    <row r="344" spans="1:22" x14ac:dyDescent="0.3">
      <c r="A344">
        <v>343</v>
      </c>
      <c r="B344">
        <v>14190</v>
      </c>
      <c r="C344" s="2">
        <v>35332</v>
      </c>
      <c r="D344">
        <v>29</v>
      </c>
      <c r="E344" t="s">
        <v>36</v>
      </c>
      <c r="F344" t="s">
        <v>37</v>
      </c>
      <c r="G344" s="2">
        <v>42999</v>
      </c>
      <c r="H344" s="3">
        <f t="shared" si="5"/>
        <v>8.3479452054794514</v>
      </c>
      <c r="I344">
        <v>37</v>
      </c>
      <c r="J344" t="s">
        <v>38</v>
      </c>
      <c r="K344" t="s">
        <v>56</v>
      </c>
      <c r="L344" t="s">
        <v>44</v>
      </c>
      <c r="M344">
        <v>8.76</v>
      </c>
      <c r="N344">
        <v>8.5299999999999994</v>
      </c>
      <c r="O344">
        <v>8.26</v>
      </c>
      <c r="P344">
        <v>8.07</v>
      </c>
      <c r="Q344">
        <v>7.93</v>
      </c>
      <c r="R344">
        <v>7.69</v>
      </c>
      <c r="S344">
        <v>7.39</v>
      </c>
      <c r="T344" t="s">
        <v>52</v>
      </c>
      <c r="U344">
        <v>1</v>
      </c>
      <c r="V344">
        <v>6</v>
      </c>
    </row>
    <row r="345" spans="1:22" x14ac:dyDescent="0.3">
      <c r="A345">
        <v>344</v>
      </c>
      <c r="B345">
        <v>14217</v>
      </c>
      <c r="C345" s="2">
        <v>35197</v>
      </c>
      <c r="D345">
        <v>29</v>
      </c>
      <c r="E345" t="s">
        <v>42</v>
      </c>
      <c r="F345" t="s">
        <v>50</v>
      </c>
      <c r="G345" s="2">
        <v>42975</v>
      </c>
      <c r="H345" s="3">
        <f t="shared" si="5"/>
        <v>8.0602739726027401</v>
      </c>
      <c r="I345">
        <v>41</v>
      </c>
      <c r="J345" t="s">
        <v>38</v>
      </c>
      <c r="K345" t="s">
        <v>55</v>
      </c>
      <c r="L345" t="s">
        <v>44</v>
      </c>
      <c r="M345">
        <v>16.899999999999999</v>
      </c>
      <c r="N345">
        <v>16.600000000000001</v>
      </c>
      <c r="O345">
        <v>16.3</v>
      </c>
      <c r="P345">
        <v>16</v>
      </c>
      <c r="Q345">
        <v>15.7</v>
      </c>
      <c r="R345">
        <v>15.4</v>
      </c>
      <c r="S345">
        <v>15.1</v>
      </c>
      <c r="T345" t="s">
        <v>47</v>
      </c>
      <c r="U345">
        <v>1</v>
      </c>
      <c r="V345">
        <v>6</v>
      </c>
    </row>
    <row r="346" spans="1:22" x14ac:dyDescent="0.3">
      <c r="A346">
        <v>345</v>
      </c>
      <c r="B346">
        <v>14228</v>
      </c>
      <c r="C346" s="2">
        <v>34211</v>
      </c>
      <c r="D346">
        <v>32</v>
      </c>
      <c r="E346" t="s">
        <v>36</v>
      </c>
      <c r="F346" t="s">
        <v>37</v>
      </c>
      <c r="G346" s="2">
        <v>43080</v>
      </c>
      <c r="H346" s="3">
        <f t="shared" si="5"/>
        <v>8.2520547945205482</v>
      </c>
      <c r="I346">
        <v>45</v>
      </c>
      <c r="J346" t="s">
        <v>38</v>
      </c>
      <c r="K346" t="s">
        <v>46</v>
      </c>
      <c r="L346" t="s">
        <v>44</v>
      </c>
      <c r="M346">
        <v>14.07</v>
      </c>
      <c r="N346">
        <v>13.77</v>
      </c>
      <c r="O346">
        <v>13.47</v>
      </c>
      <c r="P346">
        <v>13.17</v>
      </c>
      <c r="Q346">
        <v>12.87</v>
      </c>
      <c r="R346">
        <v>12.57</v>
      </c>
      <c r="S346">
        <v>12.27</v>
      </c>
      <c r="T346" t="s">
        <v>45</v>
      </c>
      <c r="U346">
        <v>0</v>
      </c>
      <c r="V346">
        <v>3</v>
      </c>
    </row>
    <row r="347" spans="1:22" x14ac:dyDescent="0.3">
      <c r="A347">
        <v>346</v>
      </c>
      <c r="B347">
        <v>14229</v>
      </c>
      <c r="C347" s="2">
        <v>33335</v>
      </c>
      <c r="D347">
        <v>34</v>
      </c>
      <c r="E347" t="s">
        <v>36</v>
      </c>
      <c r="F347" t="s">
        <v>50</v>
      </c>
      <c r="G347" s="2">
        <v>43010</v>
      </c>
      <c r="H347" s="3">
        <f t="shared" si="5"/>
        <v>8.0794520547945208</v>
      </c>
      <c r="I347">
        <v>45</v>
      </c>
      <c r="J347" t="s">
        <v>38</v>
      </c>
      <c r="K347" t="s">
        <v>55</v>
      </c>
      <c r="L347" t="s">
        <v>44</v>
      </c>
      <c r="M347">
        <v>16.899999999999999</v>
      </c>
      <c r="N347">
        <v>16.600000000000001</v>
      </c>
      <c r="O347">
        <v>16.3</v>
      </c>
      <c r="P347">
        <v>16</v>
      </c>
      <c r="Q347">
        <v>15.7</v>
      </c>
      <c r="R347">
        <v>15.4</v>
      </c>
      <c r="S347">
        <v>15.1</v>
      </c>
      <c r="T347" t="s">
        <v>52</v>
      </c>
      <c r="U347">
        <v>0</v>
      </c>
      <c r="V347">
        <v>4</v>
      </c>
    </row>
    <row r="348" spans="1:22" x14ac:dyDescent="0.3">
      <c r="A348">
        <v>347</v>
      </c>
      <c r="B348">
        <v>14257</v>
      </c>
      <c r="C348" s="2">
        <v>35299</v>
      </c>
      <c r="D348">
        <v>29</v>
      </c>
      <c r="E348" t="s">
        <v>36</v>
      </c>
      <c r="F348" t="s">
        <v>37</v>
      </c>
      <c r="G348" s="2">
        <v>43073</v>
      </c>
      <c r="H348" s="3">
        <f t="shared" si="5"/>
        <v>8.3013698630136989</v>
      </c>
      <c r="I348">
        <v>50</v>
      </c>
      <c r="J348" t="s">
        <v>38</v>
      </c>
      <c r="K348" t="s">
        <v>46</v>
      </c>
      <c r="L348" t="s">
        <v>44</v>
      </c>
      <c r="M348">
        <v>14.07</v>
      </c>
      <c r="N348">
        <v>13.77</v>
      </c>
      <c r="O348">
        <v>13.47</v>
      </c>
      <c r="P348">
        <v>13.17</v>
      </c>
      <c r="Q348">
        <v>12.87</v>
      </c>
      <c r="R348">
        <v>12.57</v>
      </c>
      <c r="S348">
        <v>12.27</v>
      </c>
      <c r="T348" t="s">
        <v>52</v>
      </c>
      <c r="U348">
        <v>0</v>
      </c>
      <c r="V348">
        <v>3</v>
      </c>
    </row>
    <row r="349" spans="1:22" x14ac:dyDescent="0.3">
      <c r="A349">
        <v>348</v>
      </c>
      <c r="B349">
        <v>14273</v>
      </c>
      <c r="C349" s="2">
        <v>33797</v>
      </c>
      <c r="D349">
        <v>33</v>
      </c>
      <c r="E349" t="s">
        <v>36</v>
      </c>
      <c r="F349" t="s">
        <v>50</v>
      </c>
      <c r="G349" s="2">
        <v>42992</v>
      </c>
      <c r="H349" s="3">
        <f t="shared" si="5"/>
        <v>8.1753424657534239</v>
      </c>
      <c r="I349">
        <v>53</v>
      </c>
      <c r="J349" t="s">
        <v>38</v>
      </c>
      <c r="K349" t="s">
        <v>55</v>
      </c>
      <c r="L349" t="s">
        <v>44</v>
      </c>
      <c r="M349">
        <v>16.899999999999999</v>
      </c>
      <c r="N349">
        <v>16.600000000000001</v>
      </c>
      <c r="O349">
        <v>16.3</v>
      </c>
      <c r="P349">
        <v>16</v>
      </c>
      <c r="Q349">
        <v>15.7</v>
      </c>
      <c r="R349">
        <v>15.4</v>
      </c>
      <c r="S349">
        <v>15.1</v>
      </c>
      <c r="T349" t="s">
        <v>45</v>
      </c>
      <c r="U349">
        <v>2</v>
      </c>
      <c r="V349">
        <v>4</v>
      </c>
    </row>
    <row r="350" spans="1:22" x14ac:dyDescent="0.3">
      <c r="A350">
        <v>349</v>
      </c>
      <c r="B350">
        <v>14338</v>
      </c>
      <c r="C350" s="2">
        <v>35699</v>
      </c>
      <c r="D350">
        <v>28</v>
      </c>
      <c r="E350" t="s">
        <v>42</v>
      </c>
      <c r="F350" t="s">
        <v>50</v>
      </c>
      <c r="G350" s="2">
        <v>43038</v>
      </c>
      <c r="H350" s="3">
        <f t="shared" si="5"/>
        <v>8.6794520547945204</v>
      </c>
      <c r="I350">
        <v>64</v>
      </c>
      <c r="J350" t="s">
        <v>38</v>
      </c>
      <c r="K350" t="s">
        <v>64</v>
      </c>
      <c r="L350" t="s">
        <v>44</v>
      </c>
      <c r="M350">
        <v>13.94</v>
      </c>
      <c r="N350">
        <v>13.64</v>
      </c>
      <c r="O350">
        <v>13.34</v>
      </c>
      <c r="P350">
        <v>13.04</v>
      </c>
      <c r="Q350">
        <v>12.74</v>
      </c>
      <c r="R350">
        <v>12.44</v>
      </c>
      <c r="S350">
        <v>12.14</v>
      </c>
      <c r="T350" t="s">
        <v>47</v>
      </c>
      <c r="U350">
        <v>0</v>
      </c>
      <c r="V350">
        <v>6</v>
      </c>
    </row>
    <row r="351" spans="1:22" x14ac:dyDescent="0.3">
      <c r="A351">
        <v>350</v>
      </c>
      <c r="B351">
        <v>14418</v>
      </c>
      <c r="C351" s="2">
        <v>34960</v>
      </c>
      <c r="D351">
        <v>30</v>
      </c>
      <c r="E351" t="s">
        <v>42</v>
      </c>
      <c r="F351" t="s">
        <v>50</v>
      </c>
      <c r="G351" s="2">
        <v>42854</v>
      </c>
      <c r="H351" s="3">
        <f t="shared" si="5"/>
        <v>8.6876712328767116</v>
      </c>
      <c r="I351">
        <v>82</v>
      </c>
      <c r="J351" t="s">
        <v>57</v>
      </c>
      <c r="K351" t="s">
        <v>48</v>
      </c>
      <c r="L351" t="s">
        <v>44</v>
      </c>
      <c r="M351">
        <v>17.16</v>
      </c>
      <c r="N351">
        <v>16.86</v>
      </c>
      <c r="O351">
        <v>16.559999999999999</v>
      </c>
      <c r="P351">
        <v>16.260000000000002</v>
      </c>
      <c r="Q351">
        <v>15.96</v>
      </c>
      <c r="R351">
        <v>15.66</v>
      </c>
      <c r="S351">
        <v>15.36</v>
      </c>
      <c r="T351" t="s">
        <v>52</v>
      </c>
      <c r="U351">
        <v>1</v>
      </c>
      <c r="V351">
        <v>5</v>
      </c>
    </row>
    <row r="352" spans="1:22" x14ac:dyDescent="0.3">
      <c r="A352">
        <v>351</v>
      </c>
      <c r="B352">
        <v>14424</v>
      </c>
      <c r="C352" s="2">
        <v>35017</v>
      </c>
      <c r="D352">
        <v>30</v>
      </c>
      <c r="E352" t="s">
        <v>36</v>
      </c>
      <c r="F352" t="s">
        <v>50</v>
      </c>
      <c r="G352" s="2">
        <v>42851</v>
      </c>
      <c r="H352" s="3">
        <f t="shared" si="5"/>
        <v>8.6164383561643838</v>
      </c>
      <c r="I352">
        <v>83</v>
      </c>
      <c r="J352" t="s">
        <v>57</v>
      </c>
      <c r="K352" t="s">
        <v>55</v>
      </c>
      <c r="L352" t="s">
        <v>44</v>
      </c>
      <c r="M352">
        <v>16.899999999999999</v>
      </c>
      <c r="N352">
        <v>16.600000000000001</v>
      </c>
      <c r="O352">
        <v>16.3</v>
      </c>
      <c r="P352">
        <v>16</v>
      </c>
      <c r="Q352">
        <v>15.7</v>
      </c>
      <c r="R352">
        <v>15.4</v>
      </c>
      <c r="S352">
        <v>15.1</v>
      </c>
      <c r="T352" t="s">
        <v>47</v>
      </c>
      <c r="U352">
        <v>2</v>
      </c>
      <c r="V352">
        <v>4</v>
      </c>
    </row>
    <row r="353" spans="1:22" x14ac:dyDescent="0.3">
      <c r="A353">
        <v>352</v>
      </c>
      <c r="B353">
        <v>14431</v>
      </c>
      <c r="C353" s="2">
        <v>33106</v>
      </c>
      <c r="D353">
        <v>35</v>
      </c>
      <c r="E353" t="s">
        <v>36</v>
      </c>
      <c r="F353" t="s">
        <v>50</v>
      </c>
      <c r="G353" s="2">
        <v>42877</v>
      </c>
      <c r="H353" s="3">
        <f t="shared" si="5"/>
        <v>8.213698630136987</v>
      </c>
      <c r="I353">
        <v>86</v>
      </c>
      <c r="J353" t="s">
        <v>57</v>
      </c>
      <c r="K353" t="s">
        <v>65</v>
      </c>
      <c r="L353" t="s">
        <v>44</v>
      </c>
      <c r="M353">
        <v>9.4499999999999993</v>
      </c>
      <c r="N353">
        <v>9.35</v>
      </c>
      <c r="O353">
        <v>9.35</v>
      </c>
      <c r="P353">
        <v>9.25</v>
      </c>
      <c r="Q353">
        <v>9.15</v>
      </c>
      <c r="R353">
        <v>9.15</v>
      </c>
      <c r="S353">
        <v>9.0500000000000007</v>
      </c>
      <c r="T353" t="s">
        <v>47</v>
      </c>
      <c r="U353">
        <v>0</v>
      </c>
      <c r="V353">
        <v>5</v>
      </c>
    </row>
    <row r="354" spans="1:22" x14ac:dyDescent="0.3">
      <c r="A354">
        <v>353</v>
      </c>
      <c r="B354">
        <v>14468</v>
      </c>
      <c r="C354" s="2">
        <v>35520</v>
      </c>
      <c r="D354">
        <v>28</v>
      </c>
      <c r="E354" t="s">
        <v>42</v>
      </c>
      <c r="F354" t="s">
        <v>50</v>
      </c>
      <c r="G354" s="2">
        <v>43024</v>
      </c>
      <c r="H354" s="3">
        <f t="shared" si="5"/>
        <v>7.904109589041096</v>
      </c>
      <c r="I354">
        <v>93</v>
      </c>
      <c r="J354" t="s">
        <v>57</v>
      </c>
      <c r="K354" t="s">
        <v>43</v>
      </c>
      <c r="L354" t="s">
        <v>44</v>
      </c>
      <c r="M354">
        <v>15.87</v>
      </c>
      <c r="N354">
        <v>15.57</v>
      </c>
      <c r="O354">
        <v>15.27</v>
      </c>
      <c r="P354">
        <v>14.97</v>
      </c>
      <c r="Q354">
        <v>14.67</v>
      </c>
      <c r="R354">
        <v>14.37</v>
      </c>
      <c r="S354">
        <v>14.07</v>
      </c>
      <c r="T354" t="s">
        <v>47</v>
      </c>
      <c r="U354">
        <v>0</v>
      </c>
      <c r="V354">
        <v>6</v>
      </c>
    </row>
    <row r="355" spans="1:22" x14ac:dyDescent="0.3">
      <c r="A355">
        <v>354</v>
      </c>
      <c r="B355">
        <v>14469</v>
      </c>
      <c r="C355" s="2">
        <v>34058</v>
      </c>
      <c r="D355">
        <v>32</v>
      </c>
      <c r="E355" t="s">
        <v>36</v>
      </c>
      <c r="F355" t="s">
        <v>50</v>
      </c>
      <c r="G355" s="2">
        <v>43137</v>
      </c>
      <c r="H355" s="3">
        <f t="shared" si="5"/>
        <v>8.9479452054794528</v>
      </c>
      <c r="I355">
        <v>93</v>
      </c>
      <c r="J355" t="s">
        <v>57</v>
      </c>
      <c r="K355" t="s">
        <v>46</v>
      </c>
      <c r="L355" t="s">
        <v>44</v>
      </c>
      <c r="M355">
        <v>14.07</v>
      </c>
      <c r="N355">
        <v>13.77</v>
      </c>
      <c r="O355">
        <v>13.47</v>
      </c>
      <c r="P355">
        <v>13.17</v>
      </c>
      <c r="Q355">
        <v>12.87</v>
      </c>
      <c r="R355">
        <v>12.57</v>
      </c>
      <c r="S355">
        <v>12.27</v>
      </c>
      <c r="T355" t="s">
        <v>52</v>
      </c>
      <c r="U355">
        <v>0</v>
      </c>
      <c r="V355">
        <v>3</v>
      </c>
    </row>
    <row r="356" spans="1:22" x14ac:dyDescent="0.3">
      <c r="A356">
        <v>355</v>
      </c>
      <c r="B356">
        <v>14495</v>
      </c>
      <c r="C356" s="2">
        <v>34749</v>
      </c>
      <c r="D356">
        <v>30</v>
      </c>
      <c r="E356" t="s">
        <v>42</v>
      </c>
      <c r="F356" t="s">
        <v>50</v>
      </c>
      <c r="G356" s="2">
        <v>42756</v>
      </c>
      <c r="H356" s="3">
        <f t="shared" si="5"/>
        <v>7.9753424657534246</v>
      </c>
      <c r="I356">
        <v>100</v>
      </c>
      <c r="J356" t="s">
        <v>57</v>
      </c>
      <c r="K356" t="s">
        <v>43</v>
      </c>
      <c r="L356" t="s">
        <v>44</v>
      </c>
      <c r="M356">
        <v>15.87</v>
      </c>
      <c r="N356">
        <v>15.57</v>
      </c>
      <c r="O356">
        <v>15.27</v>
      </c>
      <c r="P356">
        <v>14.97</v>
      </c>
      <c r="Q356">
        <v>14.67</v>
      </c>
      <c r="R356">
        <v>14.37</v>
      </c>
      <c r="S356">
        <v>14.07</v>
      </c>
      <c r="T356" t="s">
        <v>49</v>
      </c>
      <c r="U356">
        <v>1</v>
      </c>
      <c r="V356">
        <v>5</v>
      </c>
    </row>
    <row r="357" spans="1:22" x14ac:dyDescent="0.3">
      <c r="A357">
        <v>356</v>
      </c>
      <c r="B357">
        <v>14561</v>
      </c>
      <c r="C357" s="2">
        <v>32740</v>
      </c>
      <c r="D357">
        <v>36</v>
      </c>
      <c r="E357" t="s">
        <v>36</v>
      </c>
      <c r="F357" t="s">
        <v>50</v>
      </c>
      <c r="G357" s="2">
        <v>43111</v>
      </c>
      <c r="H357" s="3">
        <f t="shared" si="5"/>
        <v>8.1780821917808222</v>
      </c>
      <c r="I357">
        <v>118</v>
      </c>
      <c r="J357" t="s">
        <v>57</v>
      </c>
      <c r="K357" t="s">
        <v>54</v>
      </c>
      <c r="L357" t="s">
        <v>44</v>
      </c>
      <c r="M357">
        <v>22.11</v>
      </c>
      <c r="N357">
        <v>21.81</v>
      </c>
      <c r="O357">
        <v>21.51</v>
      </c>
      <c r="P357">
        <v>21.21</v>
      </c>
      <c r="Q357">
        <v>20.91</v>
      </c>
      <c r="R357">
        <v>20.61</v>
      </c>
      <c r="S357">
        <v>20.309999999999999</v>
      </c>
      <c r="T357" t="s">
        <v>47</v>
      </c>
      <c r="U357">
        <v>3</v>
      </c>
      <c r="V357">
        <v>6</v>
      </c>
    </row>
    <row r="358" spans="1:22" x14ac:dyDescent="0.3">
      <c r="A358">
        <v>357</v>
      </c>
      <c r="B358">
        <v>14570</v>
      </c>
      <c r="C358" s="2">
        <v>33158</v>
      </c>
      <c r="D358">
        <v>35</v>
      </c>
      <c r="E358" t="s">
        <v>36</v>
      </c>
      <c r="F358" t="s">
        <v>50</v>
      </c>
      <c r="G358" s="2">
        <v>43037</v>
      </c>
      <c r="H358" s="3">
        <f t="shared" si="5"/>
        <v>8.4219178082191775</v>
      </c>
      <c r="I358">
        <v>121</v>
      </c>
      <c r="J358" t="s">
        <v>57</v>
      </c>
      <c r="K358" t="s">
        <v>55</v>
      </c>
      <c r="L358" t="s">
        <v>44</v>
      </c>
      <c r="M358">
        <v>16.899999999999999</v>
      </c>
      <c r="N358">
        <v>16.600000000000001</v>
      </c>
      <c r="O358">
        <v>16.3</v>
      </c>
      <c r="P358">
        <v>16</v>
      </c>
      <c r="Q358">
        <v>15.7</v>
      </c>
      <c r="R358">
        <v>15.4</v>
      </c>
      <c r="S358">
        <v>15.1</v>
      </c>
      <c r="T358" t="s">
        <v>47</v>
      </c>
      <c r="U358">
        <v>4</v>
      </c>
      <c r="V358">
        <v>4</v>
      </c>
    </row>
    <row r="359" spans="1:22" x14ac:dyDescent="0.3">
      <c r="A359">
        <v>358</v>
      </c>
      <c r="B359">
        <v>14583</v>
      </c>
      <c r="C359" s="2">
        <v>35243</v>
      </c>
      <c r="D359">
        <v>29</v>
      </c>
      <c r="E359" t="s">
        <v>42</v>
      </c>
      <c r="F359" t="s">
        <v>50</v>
      </c>
      <c r="G359" s="2">
        <v>42948</v>
      </c>
      <c r="H359" s="3">
        <f t="shared" si="5"/>
        <v>8.5863013698630137</v>
      </c>
      <c r="I359">
        <v>123</v>
      </c>
      <c r="J359" t="s">
        <v>57</v>
      </c>
      <c r="K359" t="s">
        <v>43</v>
      </c>
      <c r="L359" t="s">
        <v>44</v>
      </c>
      <c r="M359">
        <v>15.87</v>
      </c>
      <c r="N359">
        <v>15.57</v>
      </c>
      <c r="O359">
        <v>15.27</v>
      </c>
      <c r="P359">
        <v>14.97</v>
      </c>
      <c r="Q359">
        <v>14.67</v>
      </c>
      <c r="R359">
        <v>14.37</v>
      </c>
      <c r="S359">
        <v>14.07</v>
      </c>
      <c r="T359" t="s">
        <v>47</v>
      </c>
      <c r="U359">
        <v>1</v>
      </c>
      <c r="V359">
        <v>5</v>
      </c>
    </row>
    <row r="360" spans="1:22" x14ac:dyDescent="0.3">
      <c r="A360">
        <v>359</v>
      </c>
      <c r="B360">
        <v>14587</v>
      </c>
      <c r="C360" s="2">
        <v>34895</v>
      </c>
      <c r="D360">
        <v>30</v>
      </c>
      <c r="E360" t="s">
        <v>36</v>
      </c>
      <c r="F360" t="s">
        <v>50</v>
      </c>
      <c r="G360" s="2">
        <v>42888</v>
      </c>
      <c r="H360" s="3">
        <f t="shared" si="5"/>
        <v>8.0904109589041102</v>
      </c>
      <c r="I360">
        <v>126</v>
      </c>
      <c r="J360" t="s">
        <v>57</v>
      </c>
      <c r="K360" t="s">
        <v>55</v>
      </c>
      <c r="L360" t="s">
        <v>44</v>
      </c>
      <c r="M360">
        <v>16.899999999999999</v>
      </c>
      <c r="N360">
        <v>16.600000000000001</v>
      </c>
      <c r="O360">
        <v>16.3</v>
      </c>
      <c r="P360">
        <v>16</v>
      </c>
      <c r="Q360">
        <v>15.7</v>
      </c>
      <c r="R360">
        <v>15.4</v>
      </c>
      <c r="S360">
        <v>15.1</v>
      </c>
      <c r="T360" t="s">
        <v>47</v>
      </c>
      <c r="U360">
        <v>2</v>
      </c>
      <c r="V360">
        <v>5</v>
      </c>
    </row>
    <row r="361" spans="1:22" x14ac:dyDescent="0.3">
      <c r="A361">
        <v>360</v>
      </c>
      <c r="B361">
        <v>14618</v>
      </c>
      <c r="C361" s="2">
        <v>35186</v>
      </c>
      <c r="D361">
        <v>30</v>
      </c>
      <c r="E361" t="s">
        <v>42</v>
      </c>
      <c r="F361" t="s">
        <v>50</v>
      </c>
      <c r="G361" s="2">
        <v>43069</v>
      </c>
      <c r="H361" s="3">
        <f t="shared" si="5"/>
        <v>8.0520547945205472</v>
      </c>
      <c r="I361">
        <v>133</v>
      </c>
      <c r="J361" t="s">
        <v>57</v>
      </c>
      <c r="K361" t="s">
        <v>43</v>
      </c>
      <c r="L361" t="s">
        <v>44</v>
      </c>
      <c r="M361">
        <v>15.87</v>
      </c>
      <c r="N361">
        <v>15.57</v>
      </c>
      <c r="O361">
        <v>15.27</v>
      </c>
      <c r="P361">
        <v>14.97</v>
      </c>
      <c r="Q361">
        <v>14.67</v>
      </c>
      <c r="R361">
        <v>14.37</v>
      </c>
      <c r="S361">
        <v>14.07</v>
      </c>
      <c r="T361" t="s">
        <v>47</v>
      </c>
      <c r="U361">
        <v>0</v>
      </c>
      <c r="V361">
        <v>6</v>
      </c>
    </row>
    <row r="362" spans="1:22" x14ac:dyDescent="0.3">
      <c r="A362">
        <v>361</v>
      </c>
      <c r="B362">
        <v>14626</v>
      </c>
      <c r="C362" s="2">
        <v>35167</v>
      </c>
      <c r="D362">
        <v>29</v>
      </c>
      <c r="E362" t="s">
        <v>42</v>
      </c>
      <c r="F362" t="s">
        <v>50</v>
      </c>
      <c r="G362" s="2">
        <v>43083</v>
      </c>
      <c r="H362" s="3">
        <f t="shared" si="5"/>
        <v>8.5698630136986296</v>
      </c>
      <c r="I362">
        <v>135</v>
      </c>
      <c r="J362" t="s">
        <v>57</v>
      </c>
      <c r="K362" t="s">
        <v>43</v>
      </c>
      <c r="L362" t="s">
        <v>44</v>
      </c>
      <c r="M362">
        <v>15.87</v>
      </c>
      <c r="N362">
        <v>15.57</v>
      </c>
      <c r="O362">
        <v>15.27</v>
      </c>
      <c r="P362">
        <v>14.97</v>
      </c>
      <c r="Q362">
        <v>14.67</v>
      </c>
      <c r="R362">
        <v>14.37</v>
      </c>
      <c r="S362">
        <v>14.07</v>
      </c>
      <c r="T362" t="s">
        <v>52</v>
      </c>
      <c r="U362">
        <v>2</v>
      </c>
      <c r="V362">
        <v>6</v>
      </c>
    </row>
    <row r="363" spans="1:22" x14ac:dyDescent="0.3">
      <c r="A363">
        <v>362</v>
      </c>
      <c r="B363">
        <v>14628</v>
      </c>
      <c r="C363" s="2">
        <v>34168</v>
      </c>
      <c r="D363">
        <v>32</v>
      </c>
      <c r="E363" t="s">
        <v>42</v>
      </c>
      <c r="F363" t="s">
        <v>50</v>
      </c>
      <c r="G363" s="2">
        <v>42894</v>
      </c>
      <c r="H363" s="3">
        <f t="shared" si="5"/>
        <v>8.5753424657534243</v>
      </c>
      <c r="I363">
        <v>135</v>
      </c>
      <c r="J363" t="s">
        <v>57</v>
      </c>
      <c r="K363" t="s">
        <v>48</v>
      </c>
      <c r="L363" t="s">
        <v>44</v>
      </c>
      <c r="M363">
        <v>17.16</v>
      </c>
      <c r="N363">
        <v>16.86</v>
      </c>
      <c r="O363">
        <v>16.559999999999999</v>
      </c>
      <c r="P363">
        <v>16.260000000000002</v>
      </c>
      <c r="Q363">
        <v>15.96</v>
      </c>
      <c r="R363">
        <v>15.66</v>
      </c>
      <c r="S363">
        <v>15.36</v>
      </c>
      <c r="T363" t="s">
        <v>49</v>
      </c>
      <c r="U363">
        <v>2</v>
      </c>
      <c r="V363">
        <v>6</v>
      </c>
    </row>
    <row r="364" spans="1:22" x14ac:dyDescent="0.3">
      <c r="A364">
        <v>363</v>
      </c>
      <c r="B364">
        <v>14664</v>
      </c>
      <c r="C364" s="2">
        <v>35247</v>
      </c>
      <c r="D364">
        <v>30</v>
      </c>
      <c r="E364" t="s">
        <v>42</v>
      </c>
      <c r="F364" t="s">
        <v>37</v>
      </c>
      <c r="G364" s="2">
        <v>42892</v>
      </c>
      <c r="H364" s="3">
        <f t="shared" si="5"/>
        <v>8.161643835616438</v>
      </c>
      <c r="I364">
        <v>145</v>
      </c>
      <c r="J364" t="s">
        <v>57</v>
      </c>
      <c r="K364" t="s">
        <v>48</v>
      </c>
      <c r="L364" t="s">
        <v>44</v>
      </c>
      <c r="M364">
        <v>17.16</v>
      </c>
      <c r="N364">
        <v>16.86</v>
      </c>
      <c r="O364">
        <v>16.559999999999999</v>
      </c>
      <c r="P364">
        <v>16.260000000000002</v>
      </c>
      <c r="Q364">
        <v>15.96</v>
      </c>
      <c r="R364">
        <v>15.66</v>
      </c>
      <c r="S364">
        <v>15.36</v>
      </c>
      <c r="T364" t="s">
        <v>49</v>
      </c>
      <c r="U364">
        <v>2</v>
      </c>
      <c r="V364">
        <v>6</v>
      </c>
    </row>
    <row r="365" spans="1:22" x14ac:dyDescent="0.3">
      <c r="A365">
        <v>364</v>
      </c>
      <c r="B365">
        <v>14672</v>
      </c>
      <c r="C365" s="2">
        <v>35037</v>
      </c>
      <c r="D365">
        <v>30</v>
      </c>
      <c r="E365" t="s">
        <v>42</v>
      </c>
      <c r="F365" t="s">
        <v>50</v>
      </c>
      <c r="G365" s="2">
        <v>43043</v>
      </c>
      <c r="H365" s="3">
        <f t="shared" si="5"/>
        <v>8.5561643835616437</v>
      </c>
      <c r="I365">
        <v>1</v>
      </c>
      <c r="J365" t="s">
        <v>38</v>
      </c>
      <c r="K365" t="s">
        <v>65</v>
      </c>
      <c r="L365" t="s">
        <v>44</v>
      </c>
      <c r="M365">
        <v>10.35</v>
      </c>
      <c r="N365">
        <v>10.15</v>
      </c>
      <c r="O365">
        <v>9.9499999999999993</v>
      </c>
      <c r="P365">
        <v>9.75</v>
      </c>
      <c r="Q365">
        <v>9.5500000000000007</v>
      </c>
      <c r="R365">
        <v>9.35</v>
      </c>
      <c r="S365">
        <v>9.15</v>
      </c>
      <c r="T365" t="s">
        <v>47</v>
      </c>
      <c r="U365">
        <v>0</v>
      </c>
      <c r="V365">
        <v>7</v>
      </c>
    </row>
    <row r="366" spans="1:22" x14ac:dyDescent="0.3">
      <c r="A366">
        <v>365</v>
      </c>
      <c r="B366">
        <v>14688</v>
      </c>
      <c r="C366" s="2">
        <v>36089</v>
      </c>
      <c r="D366">
        <v>27</v>
      </c>
      <c r="E366" t="s">
        <v>42</v>
      </c>
      <c r="F366" t="s">
        <v>50</v>
      </c>
      <c r="G366" s="2">
        <v>42899</v>
      </c>
      <c r="H366" s="3">
        <f t="shared" si="5"/>
        <v>8.2082191780821923</v>
      </c>
      <c r="I366">
        <v>1</v>
      </c>
      <c r="J366" t="s">
        <v>38</v>
      </c>
      <c r="K366" t="s">
        <v>56</v>
      </c>
      <c r="L366" t="s">
        <v>44</v>
      </c>
      <c r="M366">
        <v>8.5299999999999994</v>
      </c>
      <c r="N366">
        <v>8.33</v>
      </c>
      <c r="O366">
        <v>8.1300000000000008</v>
      </c>
      <c r="P366">
        <v>7.93</v>
      </c>
      <c r="Q366">
        <v>7.73</v>
      </c>
      <c r="R366">
        <v>7.53</v>
      </c>
      <c r="S366">
        <v>7.33</v>
      </c>
      <c r="T366" t="s">
        <v>47</v>
      </c>
      <c r="U366">
        <v>4</v>
      </c>
      <c r="V366">
        <v>6</v>
      </c>
    </row>
    <row r="367" spans="1:22" x14ac:dyDescent="0.3">
      <c r="A367">
        <v>366</v>
      </c>
      <c r="B367">
        <v>14841</v>
      </c>
      <c r="C367" s="2">
        <v>27689</v>
      </c>
      <c r="D367">
        <v>50</v>
      </c>
      <c r="E367" t="s">
        <v>42</v>
      </c>
      <c r="F367" t="s">
        <v>50</v>
      </c>
      <c r="G367" s="2">
        <v>43026</v>
      </c>
      <c r="H367" s="3">
        <f t="shared" si="5"/>
        <v>8.3260273972602743</v>
      </c>
      <c r="I367">
        <v>6</v>
      </c>
      <c r="J367" t="s">
        <v>38</v>
      </c>
      <c r="K367" t="s">
        <v>46</v>
      </c>
      <c r="L367" t="s">
        <v>44</v>
      </c>
      <c r="M367">
        <v>14.07</v>
      </c>
      <c r="N367">
        <v>13.77</v>
      </c>
      <c r="O367">
        <v>13.47</v>
      </c>
      <c r="P367">
        <v>13.17</v>
      </c>
      <c r="Q367">
        <v>12.87</v>
      </c>
      <c r="R367">
        <v>12.57</v>
      </c>
      <c r="S367">
        <v>12.27</v>
      </c>
      <c r="T367" t="s">
        <v>47</v>
      </c>
      <c r="U367">
        <v>0</v>
      </c>
      <c r="V367">
        <v>6</v>
      </c>
    </row>
    <row r="368" spans="1:22" x14ac:dyDescent="0.3">
      <c r="A368">
        <v>367</v>
      </c>
      <c r="B368">
        <v>15055</v>
      </c>
      <c r="C368" s="2">
        <v>35356</v>
      </c>
      <c r="D368">
        <v>29</v>
      </c>
      <c r="E368" t="s">
        <v>36</v>
      </c>
      <c r="F368" t="s">
        <v>50</v>
      </c>
      <c r="G368" s="2">
        <v>42983</v>
      </c>
      <c r="H368" s="3">
        <f t="shared" si="5"/>
        <v>8.6547945205479451</v>
      </c>
      <c r="I368">
        <v>12</v>
      </c>
      <c r="J368" t="s">
        <v>38</v>
      </c>
      <c r="K368" t="s">
        <v>64</v>
      </c>
      <c r="L368" t="s">
        <v>44</v>
      </c>
      <c r="M368">
        <v>13.94</v>
      </c>
      <c r="N368">
        <v>13.64</v>
      </c>
      <c r="O368">
        <v>13.34</v>
      </c>
      <c r="P368">
        <v>13.04</v>
      </c>
      <c r="Q368">
        <v>12.74</v>
      </c>
      <c r="R368">
        <v>12.44</v>
      </c>
      <c r="S368">
        <v>12.14</v>
      </c>
      <c r="T368" t="s">
        <v>47</v>
      </c>
      <c r="U368">
        <v>0</v>
      </c>
      <c r="V368">
        <v>3</v>
      </c>
    </row>
    <row r="369" spans="1:22" x14ac:dyDescent="0.3">
      <c r="A369">
        <v>368</v>
      </c>
      <c r="B369">
        <v>15200</v>
      </c>
      <c r="C369" s="2">
        <v>35424</v>
      </c>
      <c r="D369">
        <v>29</v>
      </c>
      <c r="E369" t="s">
        <v>42</v>
      </c>
      <c r="F369" t="s">
        <v>50</v>
      </c>
      <c r="G369" s="2">
        <v>42863</v>
      </c>
      <c r="H369" s="3">
        <f t="shared" si="5"/>
        <v>8.4904109589041088</v>
      </c>
      <c r="I369">
        <v>16</v>
      </c>
      <c r="J369" t="s">
        <v>38</v>
      </c>
      <c r="K369" t="s">
        <v>46</v>
      </c>
      <c r="L369" t="s">
        <v>44</v>
      </c>
      <c r="M369">
        <v>14.07</v>
      </c>
      <c r="N369">
        <v>13.77</v>
      </c>
      <c r="O369">
        <v>13.47</v>
      </c>
      <c r="P369">
        <v>13.17</v>
      </c>
      <c r="Q369">
        <v>12.87</v>
      </c>
      <c r="R369">
        <v>12.57</v>
      </c>
      <c r="S369">
        <v>12.27</v>
      </c>
      <c r="T369" t="s">
        <v>47</v>
      </c>
      <c r="U369">
        <v>0</v>
      </c>
      <c r="V369">
        <v>5</v>
      </c>
    </row>
    <row r="370" spans="1:22" x14ac:dyDescent="0.3">
      <c r="A370">
        <v>369</v>
      </c>
      <c r="B370">
        <v>15882</v>
      </c>
      <c r="C370" s="2">
        <v>34853</v>
      </c>
      <c r="D370">
        <v>30</v>
      </c>
      <c r="E370" t="s">
        <v>36</v>
      </c>
      <c r="F370" t="s">
        <v>37</v>
      </c>
      <c r="G370" s="2">
        <v>42923</v>
      </c>
      <c r="H370" s="3">
        <f t="shared" si="5"/>
        <v>8.0712328767123296</v>
      </c>
      <c r="I370">
        <v>35</v>
      </c>
      <c r="J370" t="s">
        <v>38</v>
      </c>
      <c r="K370" t="s">
        <v>55</v>
      </c>
      <c r="L370" t="s">
        <v>44</v>
      </c>
      <c r="M370">
        <v>16.899999999999999</v>
      </c>
      <c r="N370">
        <v>16.600000000000001</v>
      </c>
      <c r="O370">
        <v>16.3</v>
      </c>
      <c r="P370">
        <v>16</v>
      </c>
      <c r="Q370">
        <v>15.7</v>
      </c>
      <c r="R370">
        <v>15.4</v>
      </c>
      <c r="S370">
        <v>15.1</v>
      </c>
      <c r="T370" t="s">
        <v>49</v>
      </c>
      <c r="U370">
        <v>2</v>
      </c>
      <c r="V370">
        <v>5</v>
      </c>
    </row>
    <row r="371" spans="1:22" x14ac:dyDescent="0.3">
      <c r="A371">
        <v>370</v>
      </c>
      <c r="B371">
        <v>15912</v>
      </c>
      <c r="C371" s="2">
        <v>36378</v>
      </c>
      <c r="D371">
        <v>26</v>
      </c>
      <c r="E371" t="s">
        <v>42</v>
      </c>
      <c r="F371" t="s">
        <v>50</v>
      </c>
      <c r="G371" s="2">
        <v>43076</v>
      </c>
      <c r="H371" s="3">
        <f t="shared" si="5"/>
        <v>8.169863013698631</v>
      </c>
      <c r="I371">
        <v>36</v>
      </c>
      <c r="J371" t="s">
        <v>38</v>
      </c>
      <c r="K371" t="s">
        <v>43</v>
      </c>
      <c r="L371" t="s">
        <v>44</v>
      </c>
      <c r="M371">
        <v>15.87</v>
      </c>
      <c r="N371">
        <v>15.57</v>
      </c>
      <c r="O371">
        <v>15.27</v>
      </c>
      <c r="P371">
        <v>14.97</v>
      </c>
      <c r="Q371">
        <v>14.67</v>
      </c>
      <c r="R371">
        <v>14.37</v>
      </c>
      <c r="S371">
        <v>14.07</v>
      </c>
      <c r="T371" t="s">
        <v>45</v>
      </c>
      <c r="U371">
        <v>1</v>
      </c>
      <c r="V371">
        <v>6</v>
      </c>
    </row>
    <row r="372" spans="1:22" x14ac:dyDescent="0.3">
      <c r="A372">
        <v>371</v>
      </c>
      <c r="B372">
        <v>15919</v>
      </c>
      <c r="C372" s="2">
        <v>33921</v>
      </c>
      <c r="D372">
        <v>33</v>
      </c>
      <c r="E372" t="s">
        <v>36</v>
      </c>
      <c r="F372" t="s">
        <v>50</v>
      </c>
      <c r="G372" s="2">
        <v>43040</v>
      </c>
      <c r="H372" s="3">
        <f t="shared" si="5"/>
        <v>8.3178082191780813</v>
      </c>
      <c r="I372">
        <v>36</v>
      </c>
      <c r="J372" t="s">
        <v>38</v>
      </c>
      <c r="K372" t="s">
        <v>55</v>
      </c>
      <c r="L372" t="s">
        <v>44</v>
      </c>
      <c r="M372">
        <v>16.899999999999999</v>
      </c>
      <c r="N372">
        <v>16.600000000000001</v>
      </c>
      <c r="O372">
        <v>16.3</v>
      </c>
      <c r="P372">
        <v>16</v>
      </c>
      <c r="Q372">
        <v>15.7</v>
      </c>
      <c r="R372">
        <v>15.4</v>
      </c>
      <c r="S372">
        <v>15.1</v>
      </c>
      <c r="T372" t="s">
        <v>47</v>
      </c>
      <c r="U372">
        <v>4</v>
      </c>
      <c r="V372">
        <v>6</v>
      </c>
    </row>
    <row r="373" spans="1:22" x14ac:dyDescent="0.3">
      <c r="A373">
        <v>372</v>
      </c>
      <c r="B373">
        <v>16014</v>
      </c>
      <c r="C373" s="2">
        <v>29966</v>
      </c>
      <c r="D373">
        <v>43</v>
      </c>
      <c r="E373" t="s">
        <v>36</v>
      </c>
      <c r="F373" t="s">
        <v>50</v>
      </c>
      <c r="G373" s="2">
        <v>42986</v>
      </c>
      <c r="H373" s="3">
        <f t="shared" si="5"/>
        <v>7.9698630136986299</v>
      </c>
      <c r="I373">
        <v>39</v>
      </c>
      <c r="J373" t="s">
        <v>38</v>
      </c>
      <c r="K373" t="s">
        <v>55</v>
      </c>
      <c r="L373" t="s">
        <v>44</v>
      </c>
      <c r="M373">
        <v>16.53</v>
      </c>
      <c r="N373">
        <v>16.09</v>
      </c>
      <c r="O373">
        <v>15.84</v>
      </c>
      <c r="P373">
        <v>15.84</v>
      </c>
      <c r="Q373">
        <v>15.53</v>
      </c>
      <c r="R373">
        <v>15.38</v>
      </c>
      <c r="S373">
        <v>15.04</v>
      </c>
      <c r="T373" t="s">
        <v>47</v>
      </c>
      <c r="U373">
        <v>2</v>
      </c>
      <c r="V373">
        <v>4</v>
      </c>
    </row>
    <row r="374" spans="1:22" x14ac:dyDescent="0.3">
      <c r="A374">
        <v>373</v>
      </c>
      <c r="B374">
        <v>16041</v>
      </c>
      <c r="C374" s="2">
        <v>35107</v>
      </c>
      <c r="D374">
        <v>29</v>
      </c>
      <c r="E374" t="s">
        <v>42</v>
      </c>
      <c r="F374" t="s">
        <v>50</v>
      </c>
      <c r="G374" s="2">
        <v>43113</v>
      </c>
      <c r="H374" s="3">
        <f t="shared" si="5"/>
        <v>8.5863013698630137</v>
      </c>
      <c r="I374">
        <v>40</v>
      </c>
      <c r="J374" t="s">
        <v>38</v>
      </c>
      <c r="K374" t="s">
        <v>46</v>
      </c>
      <c r="L374" t="s">
        <v>44</v>
      </c>
      <c r="M374">
        <v>14.25</v>
      </c>
      <c r="N374">
        <v>13.93</v>
      </c>
      <c r="O374">
        <v>13.5</v>
      </c>
      <c r="P374">
        <v>13.15</v>
      </c>
      <c r="Q374">
        <v>12.88</v>
      </c>
      <c r="R374">
        <v>12.68</v>
      </c>
      <c r="S374">
        <v>12.33</v>
      </c>
      <c r="T374" t="s">
        <v>47</v>
      </c>
      <c r="U374">
        <v>0</v>
      </c>
      <c r="V374">
        <v>6</v>
      </c>
    </row>
    <row r="375" spans="1:22" x14ac:dyDescent="0.3">
      <c r="A375">
        <v>374</v>
      </c>
      <c r="B375">
        <v>16189</v>
      </c>
      <c r="C375" s="2">
        <v>32183</v>
      </c>
      <c r="D375">
        <v>37</v>
      </c>
      <c r="E375" t="s">
        <v>42</v>
      </c>
      <c r="F375" t="s">
        <v>50</v>
      </c>
      <c r="G375" s="2">
        <v>42888</v>
      </c>
      <c r="H375" s="3">
        <f t="shared" si="5"/>
        <v>8.7561643835616429</v>
      </c>
      <c r="I375">
        <v>44</v>
      </c>
      <c r="J375" t="s">
        <v>38</v>
      </c>
      <c r="K375" t="s">
        <v>43</v>
      </c>
      <c r="L375" t="s">
        <v>44</v>
      </c>
      <c r="M375">
        <v>14.67</v>
      </c>
      <c r="N375">
        <v>14.52</v>
      </c>
      <c r="O375">
        <v>14.37</v>
      </c>
      <c r="P375">
        <v>14.22</v>
      </c>
      <c r="Q375">
        <v>14.07</v>
      </c>
      <c r="R375">
        <v>13.92</v>
      </c>
      <c r="S375">
        <v>13.92</v>
      </c>
      <c r="T375" t="s">
        <v>47</v>
      </c>
      <c r="U375">
        <v>2</v>
      </c>
      <c r="V375">
        <v>6</v>
      </c>
    </row>
    <row r="376" spans="1:22" x14ac:dyDescent="0.3">
      <c r="A376">
        <v>375</v>
      </c>
      <c r="B376">
        <v>16233</v>
      </c>
      <c r="C376" s="2">
        <v>33174</v>
      </c>
      <c r="D376">
        <v>35</v>
      </c>
      <c r="E376" t="s">
        <v>36</v>
      </c>
      <c r="F376" t="s">
        <v>50</v>
      </c>
      <c r="G376" s="2">
        <v>42826</v>
      </c>
      <c r="H376" s="3">
        <f t="shared" si="5"/>
        <v>8.1534246575342468</v>
      </c>
      <c r="I376">
        <v>45</v>
      </c>
      <c r="J376" t="s">
        <v>38</v>
      </c>
      <c r="K376" t="s">
        <v>55</v>
      </c>
      <c r="L376" t="s">
        <v>44</v>
      </c>
      <c r="M376">
        <v>16.899999999999999</v>
      </c>
      <c r="N376">
        <v>16.600000000000001</v>
      </c>
      <c r="O376">
        <v>16.3</v>
      </c>
      <c r="P376">
        <v>16</v>
      </c>
      <c r="Q376">
        <v>15.7</v>
      </c>
      <c r="R376">
        <v>15.4</v>
      </c>
      <c r="S376">
        <v>15.1</v>
      </c>
      <c r="T376" t="s">
        <v>45</v>
      </c>
      <c r="U376">
        <v>4</v>
      </c>
      <c r="V376">
        <v>6</v>
      </c>
    </row>
    <row r="377" spans="1:22" x14ac:dyDescent="0.3">
      <c r="A377">
        <v>376</v>
      </c>
      <c r="B377">
        <v>16248</v>
      </c>
      <c r="C377" s="2">
        <v>35649</v>
      </c>
      <c r="D377">
        <v>28</v>
      </c>
      <c r="E377" t="s">
        <v>42</v>
      </c>
      <c r="F377" t="s">
        <v>50</v>
      </c>
      <c r="G377" s="2">
        <v>43046</v>
      </c>
      <c r="H377" s="3">
        <f t="shared" si="5"/>
        <v>8.1369863013698627</v>
      </c>
      <c r="I377">
        <v>45</v>
      </c>
      <c r="J377" t="s">
        <v>38</v>
      </c>
      <c r="K377" t="s">
        <v>56</v>
      </c>
      <c r="L377" t="s">
        <v>44</v>
      </c>
      <c r="M377">
        <v>8.5299999999999994</v>
      </c>
      <c r="N377">
        <v>8.33</v>
      </c>
      <c r="O377">
        <v>8.1300000000000008</v>
      </c>
      <c r="P377">
        <v>7.93</v>
      </c>
      <c r="Q377">
        <v>7.73</v>
      </c>
      <c r="R377">
        <v>7.53</v>
      </c>
      <c r="S377">
        <v>7.33</v>
      </c>
      <c r="T377" t="s">
        <v>47</v>
      </c>
      <c r="U377">
        <v>1</v>
      </c>
      <c r="V377">
        <v>6</v>
      </c>
    </row>
    <row r="378" spans="1:22" x14ac:dyDescent="0.3">
      <c r="A378">
        <v>377</v>
      </c>
      <c r="B378">
        <v>16401</v>
      </c>
      <c r="C378" s="2">
        <v>34168</v>
      </c>
      <c r="D378">
        <v>32</v>
      </c>
      <c r="E378" t="s">
        <v>36</v>
      </c>
      <c r="F378" t="s">
        <v>50</v>
      </c>
      <c r="G378" s="2">
        <v>43052</v>
      </c>
      <c r="H378" s="3">
        <f t="shared" si="5"/>
        <v>8.0465753424657542</v>
      </c>
      <c r="I378">
        <v>50</v>
      </c>
      <c r="J378" t="s">
        <v>38</v>
      </c>
      <c r="K378" t="s">
        <v>55</v>
      </c>
      <c r="L378" t="s">
        <v>44</v>
      </c>
      <c r="M378">
        <v>16.899999999999999</v>
      </c>
      <c r="N378">
        <v>16.600000000000001</v>
      </c>
      <c r="O378">
        <v>16.3</v>
      </c>
      <c r="P378">
        <v>16</v>
      </c>
      <c r="Q378">
        <v>15.7</v>
      </c>
      <c r="R378">
        <v>15.4</v>
      </c>
      <c r="S378">
        <v>15.1</v>
      </c>
      <c r="T378" t="s">
        <v>47</v>
      </c>
      <c r="U378">
        <v>4</v>
      </c>
      <c r="V378">
        <v>5</v>
      </c>
    </row>
    <row r="379" spans="1:22" x14ac:dyDescent="0.3">
      <c r="A379">
        <v>378</v>
      </c>
      <c r="B379">
        <v>16510</v>
      </c>
      <c r="C379" s="2">
        <v>35838</v>
      </c>
      <c r="D379">
        <v>27</v>
      </c>
      <c r="E379" t="s">
        <v>36</v>
      </c>
      <c r="F379" t="s">
        <v>50</v>
      </c>
      <c r="G379" s="2">
        <v>43085</v>
      </c>
      <c r="H379" s="3">
        <f t="shared" si="5"/>
        <v>8.3890410958904109</v>
      </c>
      <c r="I379">
        <v>53</v>
      </c>
      <c r="J379" t="s">
        <v>38</v>
      </c>
      <c r="K379" t="s">
        <v>46</v>
      </c>
      <c r="L379" t="s">
        <v>44</v>
      </c>
      <c r="M379">
        <v>14.07</v>
      </c>
      <c r="N379">
        <v>13.77</v>
      </c>
      <c r="O379">
        <v>13.47</v>
      </c>
      <c r="P379">
        <v>13.17</v>
      </c>
      <c r="Q379">
        <v>12.87</v>
      </c>
      <c r="R379">
        <v>12.57</v>
      </c>
      <c r="S379">
        <v>12.27</v>
      </c>
      <c r="T379" t="s">
        <v>49</v>
      </c>
      <c r="U379">
        <v>0</v>
      </c>
      <c r="V379">
        <v>4</v>
      </c>
    </row>
    <row r="380" spans="1:22" x14ac:dyDescent="0.3">
      <c r="A380">
        <v>379</v>
      </c>
      <c r="B380">
        <v>16515</v>
      </c>
      <c r="C380" s="2">
        <v>34731</v>
      </c>
      <c r="D380">
        <v>31</v>
      </c>
      <c r="E380" t="s">
        <v>36</v>
      </c>
      <c r="F380" t="s">
        <v>37</v>
      </c>
      <c r="G380" s="2">
        <v>42960</v>
      </c>
      <c r="H380" s="3">
        <f t="shared" si="5"/>
        <v>8.375342465753425</v>
      </c>
      <c r="I380">
        <v>53</v>
      </c>
      <c r="J380" t="s">
        <v>38</v>
      </c>
      <c r="K380" t="s">
        <v>55</v>
      </c>
      <c r="L380" t="s">
        <v>44</v>
      </c>
      <c r="M380">
        <v>16.899999999999999</v>
      </c>
      <c r="N380">
        <v>16.600000000000001</v>
      </c>
      <c r="O380">
        <v>16.3</v>
      </c>
      <c r="P380">
        <v>16</v>
      </c>
      <c r="Q380">
        <v>15.7</v>
      </c>
      <c r="R380">
        <v>15.4</v>
      </c>
      <c r="S380">
        <v>15.1</v>
      </c>
      <c r="T380" t="s">
        <v>47</v>
      </c>
      <c r="U380">
        <v>3</v>
      </c>
      <c r="V380">
        <v>4</v>
      </c>
    </row>
    <row r="381" spans="1:22" x14ac:dyDescent="0.3">
      <c r="A381">
        <v>380</v>
      </c>
      <c r="B381">
        <v>16911</v>
      </c>
      <c r="C381" s="2">
        <v>34602</v>
      </c>
      <c r="D381">
        <v>31</v>
      </c>
      <c r="E381" t="s">
        <v>42</v>
      </c>
      <c r="F381" t="s">
        <v>50</v>
      </c>
      <c r="G381" s="2">
        <v>42965</v>
      </c>
      <c r="H381" s="3">
        <f t="shared" si="5"/>
        <v>8.4657534246575334</v>
      </c>
      <c r="I381">
        <v>64</v>
      </c>
      <c r="J381" t="s">
        <v>38</v>
      </c>
      <c r="K381" t="s">
        <v>55</v>
      </c>
      <c r="L381" t="s">
        <v>44</v>
      </c>
      <c r="M381">
        <v>16.899999999999999</v>
      </c>
      <c r="N381">
        <v>16.600000000000001</v>
      </c>
      <c r="O381">
        <v>16.3</v>
      </c>
      <c r="P381">
        <v>16</v>
      </c>
      <c r="Q381">
        <v>15.7</v>
      </c>
      <c r="R381">
        <v>15.4</v>
      </c>
      <c r="S381">
        <v>15.1</v>
      </c>
      <c r="T381" t="s">
        <v>47</v>
      </c>
      <c r="U381">
        <v>2</v>
      </c>
      <c r="V381">
        <v>7</v>
      </c>
    </row>
    <row r="382" spans="1:22" x14ac:dyDescent="0.3">
      <c r="A382">
        <v>381</v>
      </c>
      <c r="B382">
        <v>16983</v>
      </c>
      <c r="C382" s="2">
        <v>34742</v>
      </c>
      <c r="D382">
        <v>30</v>
      </c>
      <c r="E382" t="s">
        <v>36</v>
      </c>
      <c r="F382" t="s">
        <v>50</v>
      </c>
      <c r="G382" s="2">
        <v>42932</v>
      </c>
      <c r="H382" s="3">
        <f t="shared" si="5"/>
        <v>8.8657534246575338</v>
      </c>
      <c r="I382">
        <v>66</v>
      </c>
      <c r="J382" t="s">
        <v>57</v>
      </c>
      <c r="K382" t="s">
        <v>46</v>
      </c>
      <c r="L382" t="s">
        <v>44</v>
      </c>
      <c r="M382">
        <v>14.07</v>
      </c>
      <c r="N382">
        <v>13.77</v>
      </c>
      <c r="O382">
        <v>13.47</v>
      </c>
      <c r="P382">
        <v>13.17</v>
      </c>
      <c r="Q382">
        <v>12.87</v>
      </c>
      <c r="R382">
        <v>12.57</v>
      </c>
      <c r="S382">
        <v>12.27</v>
      </c>
      <c r="T382" t="s">
        <v>47</v>
      </c>
      <c r="U382">
        <v>0</v>
      </c>
      <c r="V382">
        <v>2</v>
      </c>
    </row>
    <row r="383" spans="1:22" x14ac:dyDescent="0.3">
      <c r="A383">
        <v>382</v>
      </c>
      <c r="B383">
        <v>17073</v>
      </c>
      <c r="C383" s="2">
        <v>33128</v>
      </c>
      <c r="D383">
        <v>35</v>
      </c>
      <c r="E383" t="s">
        <v>42</v>
      </c>
      <c r="F383" t="s">
        <v>37</v>
      </c>
      <c r="G383" s="2">
        <v>42786</v>
      </c>
      <c r="H383" s="3">
        <f t="shared" si="5"/>
        <v>8.7671232876712324</v>
      </c>
      <c r="I383">
        <v>70</v>
      </c>
      <c r="J383" t="s">
        <v>57</v>
      </c>
      <c r="K383" t="s">
        <v>43</v>
      </c>
      <c r="L383" t="s">
        <v>44</v>
      </c>
      <c r="M383">
        <v>16.21</v>
      </c>
      <c r="N383">
        <v>15.89</v>
      </c>
      <c r="O383">
        <v>15.45</v>
      </c>
      <c r="P383">
        <v>15.16</v>
      </c>
      <c r="Q383">
        <v>14.77</v>
      </c>
      <c r="R383">
        <v>14.39</v>
      </c>
      <c r="S383">
        <v>14.22</v>
      </c>
      <c r="T383" t="s">
        <v>45</v>
      </c>
      <c r="U383">
        <v>1</v>
      </c>
      <c r="V383">
        <v>4</v>
      </c>
    </row>
    <row r="384" spans="1:22" x14ac:dyDescent="0.3">
      <c r="A384">
        <v>383</v>
      </c>
      <c r="B384">
        <v>17255</v>
      </c>
      <c r="C384" s="2">
        <v>35144</v>
      </c>
      <c r="D384">
        <v>29</v>
      </c>
      <c r="E384" t="s">
        <v>42</v>
      </c>
      <c r="F384" t="s">
        <v>50</v>
      </c>
      <c r="G384" s="2">
        <v>42822</v>
      </c>
      <c r="H384" s="3">
        <f t="shared" si="5"/>
        <v>8.8520547945205479</v>
      </c>
      <c r="I384">
        <v>77</v>
      </c>
      <c r="J384" t="s">
        <v>57</v>
      </c>
      <c r="K384" t="s">
        <v>65</v>
      </c>
      <c r="L384" t="s">
        <v>44</v>
      </c>
      <c r="M384">
        <v>10.35</v>
      </c>
      <c r="N384">
        <v>10.15</v>
      </c>
      <c r="O384">
        <v>9.9499999999999993</v>
      </c>
      <c r="P384">
        <v>9.75</v>
      </c>
      <c r="Q384">
        <v>9.5500000000000007</v>
      </c>
      <c r="R384">
        <v>9.35</v>
      </c>
      <c r="S384">
        <v>9.15</v>
      </c>
      <c r="T384" t="s">
        <v>47</v>
      </c>
      <c r="U384">
        <v>1</v>
      </c>
      <c r="V384">
        <v>6</v>
      </c>
    </row>
    <row r="385" spans="1:22" x14ac:dyDescent="0.3">
      <c r="A385">
        <v>384</v>
      </c>
      <c r="B385">
        <v>17256</v>
      </c>
      <c r="C385" s="2">
        <v>33697</v>
      </c>
      <c r="D385">
        <v>33</v>
      </c>
      <c r="E385" t="s">
        <v>36</v>
      </c>
      <c r="F385" t="s">
        <v>50</v>
      </c>
      <c r="G385" s="2">
        <v>42791</v>
      </c>
      <c r="H385" s="3">
        <f t="shared" si="5"/>
        <v>8.5397260273972595</v>
      </c>
      <c r="I385">
        <v>77</v>
      </c>
      <c r="J385" t="s">
        <v>57</v>
      </c>
      <c r="K385" t="s">
        <v>43</v>
      </c>
      <c r="L385" t="s">
        <v>44</v>
      </c>
      <c r="M385">
        <v>15.87</v>
      </c>
      <c r="N385">
        <v>15.57</v>
      </c>
      <c r="O385">
        <v>15.27</v>
      </c>
      <c r="P385">
        <v>14.97</v>
      </c>
      <c r="Q385">
        <v>14.67</v>
      </c>
      <c r="R385">
        <v>14.37</v>
      </c>
      <c r="S385">
        <v>14.07</v>
      </c>
      <c r="T385" t="s">
        <v>52</v>
      </c>
      <c r="U385">
        <v>1</v>
      </c>
      <c r="V385">
        <v>4</v>
      </c>
    </row>
    <row r="386" spans="1:22" x14ac:dyDescent="0.3">
      <c r="A386">
        <v>385</v>
      </c>
      <c r="B386">
        <v>17258</v>
      </c>
      <c r="C386" s="2">
        <v>33223</v>
      </c>
      <c r="D386">
        <v>35</v>
      </c>
      <c r="E386" t="s">
        <v>42</v>
      </c>
      <c r="F386" t="s">
        <v>50</v>
      </c>
      <c r="G386" s="2">
        <v>42905</v>
      </c>
      <c r="H386" s="3">
        <f t="shared" si="5"/>
        <v>8.4986301369863018</v>
      </c>
      <c r="I386">
        <v>77</v>
      </c>
      <c r="J386" t="s">
        <v>57</v>
      </c>
      <c r="K386" t="s">
        <v>46</v>
      </c>
      <c r="L386" t="s">
        <v>44</v>
      </c>
      <c r="M386">
        <v>14.07</v>
      </c>
      <c r="N386">
        <v>13.77</v>
      </c>
      <c r="O386">
        <v>13.47</v>
      </c>
      <c r="P386">
        <v>13.17</v>
      </c>
      <c r="Q386">
        <v>12.87</v>
      </c>
      <c r="R386">
        <v>12.57</v>
      </c>
      <c r="S386">
        <v>12.27</v>
      </c>
      <c r="T386" t="s">
        <v>49</v>
      </c>
      <c r="U386">
        <v>1</v>
      </c>
      <c r="V386">
        <v>5</v>
      </c>
    </row>
    <row r="387" spans="1:22" x14ac:dyDescent="0.3">
      <c r="A387">
        <v>386</v>
      </c>
      <c r="B387">
        <v>17307</v>
      </c>
      <c r="C387" s="2">
        <v>36414</v>
      </c>
      <c r="D387">
        <v>26</v>
      </c>
      <c r="E387" t="s">
        <v>42</v>
      </c>
      <c r="F387" t="s">
        <v>37</v>
      </c>
      <c r="G387" s="2">
        <v>42920</v>
      </c>
      <c r="H387" s="3">
        <f t="shared" ref="H387:H450" si="6">DATEDIF(G388,DATE(2025,12,31),"d")/365</f>
        <v>8.0356164383561648</v>
      </c>
      <c r="I387">
        <v>79</v>
      </c>
      <c r="J387" t="s">
        <v>57</v>
      </c>
      <c r="K387" t="s">
        <v>65</v>
      </c>
      <c r="L387" t="s">
        <v>44</v>
      </c>
      <c r="M387">
        <v>10.35</v>
      </c>
      <c r="N387">
        <v>10.15</v>
      </c>
      <c r="O387">
        <v>9.9499999999999993</v>
      </c>
      <c r="P387">
        <v>9.75</v>
      </c>
      <c r="Q387">
        <v>9.5500000000000007</v>
      </c>
      <c r="R387">
        <v>9.35</v>
      </c>
      <c r="S387">
        <v>9.15</v>
      </c>
      <c r="T387" t="s">
        <v>49</v>
      </c>
      <c r="U387">
        <v>1</v>
      </c>
      <c r="V387">
        <v>5</v>
      </c>
    </row>
    <row r="388" spans="1:22" x14ac:dyDescent="0.3">
      <c r="A388">
        <v>387</v>
      </c>
      <c r="B388">
        <v>17309</v>
      </c>
      <c r="C388" s="2">
        <v>34111</v>
      </c>
      <c r="D388">
        <v>32</v>
      </c>
      <c r="E388" t="s">
        <v>36</v>
      </c>
      <c r="F388" t="s">
        <v>50</v>
      </c>
      <c r="G388" s="2">
        <v>43089</v>
      </c>
      <c r="H388" s="3">
        <f t="shared" si="6"/>
        <v>8.4109589041095898</v>
      </c>
      <c r="I388">
        <v>79</v>
      </c>
      <c r="J388" t="s">
        <v>57</v>
      </c>
      <c r="K388" t="s">
        <v>65</v>
      </c>
      <c r="L388" t="s">
        <v>44</v>
      </c>
      <c r="M388">
        <v>10.35</v>
      </c>
      <c r="N388">
        <v>10.15</v>
      </c>
      <c r="O388">
        <v>9.9499999999999993</v>
      </c>
      <c r="P388">
        <v>9.75</v>
      </c>
      <c r="Q388">
        <v>9.5500000000000007</v>
      </c>
      <c r="R388">
        <v>9.35</v>
      </c>
      <c r="S388">
        <v>9.15</v>
      </c>
      <c r="T388" t="s">
        <v>47</v>
      </c>
      <c r="U388">
        <v>1</v>
      </c>
      <c r="V388">
        <v>5</v>
      </c>
    </row>
    <row r="389" spans="1:22" x14ac:dyDescent="0.3">
      <c r="A389">
        <v>388</v>
      </c>
      <c r="B389">
        <v>17310</v>
      </c>
      <c r="C389" s="2">
        <v>33835</v>
      </c>
      <c r="D389">
        <v>33</v>
      </c>
      <c r="E389" t="s">
        <v>36</v>
      </c>
      <c r="F389" t="s">
        <v>50</v>
      </c>
      <c r="G389" s="2">
        <v>42952</v>
      </c>
      <c r="H389" s="3">
        <f t="shared" si="6"/>
        <v>7.838356164383562</v>
      </c>
      <c r="I389">
        <v>79</v>
      </c>
      <c r="J389" t="s">
        <v>57</v>
      </c>
      <c r="K389" t="s">
        <v>55</v>
      </c>
      <c r="L389" t="s">
        <v>44</v>
      </c>
      <c r="M389">
        <v>16.899999999999999</v>
      </c>
      <c r="N389">
        <v>16.600000000000001</v>
      </c>
      <c r="O389">
        <v>16.3</v>
      </c>
      <c r="P389">
        <v>16</v>
      </c>
      <c r="Q389">
        <v>15.7</v>
      </c>
      <c r="R389">
        <v>15.4</v>
      </c>
      <c r="S389">
        <v>15.1</v>
      </c>
      <c r="T389" t="s">
        <v>49</v>
      </c>
      <c r="U389">
        <v>2</v>
      </c>
      <c r="V389">
        <v>5</v>
      </c>
    </row>
    <row r="390" spans="1:22" x14ac:dyDescent="0.3">
      <c r="A390">
        <v>389</v>
      </c>
      <c r="B390">
        <v>17311</v>
      </c>
      <c r="C390" s="2">
        <v>34611</v>
      </c>
      <c r="D390">
        <v>31</v>
      </c>
      <c r="E390" t="s">
        <v>42</v>
      </c>
      <c r="F390" t="s">
        <v>37</v>
      </c>
      <c r="G390" s="2">
        <v>43161</v>
      </c>
      <c r="H390" s="3">
        <f t="shared" si="6"/>
        <v>8.1753424657534239</v>
      </c>
      <c r="I390">
        <v>79</v>
      </c>
      <c r="J390" t="s">
        <v>57</v>
      </c>
      <c r="K390" t="s">
        <v>55</v>
      </c>
      <c r="L390" t="s">
        <v>44</v>
      </c>
      <c r="M390">
        <v>16.899999999999999</v>
      </c>
      <c r="N390">
        <v>16.600000000000001</v>
      </c>
      <c r="O390">
        <v>16.3</v>
      </c>
      <c r="P390">
        <v>16</v>
      </c>
      <c r="Q390">
        <v>15.7</v>
      </c>
      <c r="R390">
        <v>15.4</v>
      </c>
      <c r="S390">
        <v>15.1</v>
      </c>
      <c r="T390" t="s">
        <v>52</v>
      </c>
      <c r="U390">
        <v>1</v>
      </c>
      <c r="V390">
        <v>7</v>
      </c>
    </row>
    <row r="391" spans="1:22" x14ac:dyDescent="0.3">
      <c r="A391">
        <v>390</v>
      </c>
      <c r="B391">
        <v>17417</v>
      </c>
      <c r="C391" s="2">
        <v>35835</v>
      </c>
      <c r="D391">
        <v>27</v>
      </c>
      <c r="E391" t="s">
        <v>36</v>
      </c>
      <c r="F391" t="s">
        <v>50</v>
      </c>
      <c r="G391" s="2">
        <v>43038</v>
      </c>
      <c r="H391" s="3">
        <f t="shared" si="6"/>
        <v>8.3041095890410954</v>
      </c>
      <c r="I391">
        <v>83</v>
      </c>
      <c r="J391" t="s">
        <v>57</v>
      </c>
      <c r="K391" t="s">
        <v>48</v>
      </c>
      <c r="L391" t="s">
        <v>44</v>
      </c>
      <c r="M391">
        <v>17.16</v>
      </c>
      <c r="N391">
        <v>16.86</v>
      </c>
      <c r="O391">
        <v>16.559999999999999</v>
      </c>
      <c r="P391">
        <v>16.260000000000002</v>
      </c>
      <c r="Q391">
        <v>15.96</v>
      </c>
      <c r="R391">
        <v>15.66</v>
      </c>
      <c r="S391">
        <v>15.36</v>
      </c>
      <c r="T391" t="s">
        <v>47</v>
      </c>
      <c r="U391">
        <v>1</v>
      </c>
      <c r="V391">
        <v>4</v>
      </c>
    </row>
    <row r="392" spans="1:22" x14ac:dyDescent="0.3">
      <c r="A392">
        <v>391</v>
      </c>
      <c r="B392">
        <v>17441</v>
      </c>
      <c r="C392" s="2">
        <v>34983</v>
      </c>
      <c r="D392">
        <v>30</v>
      </c>
      <c r="E392" t="s">
        <v>36</v>
      </c>
      <c r="F392" t="s">
        <v>50</v>
      </c>
      <c r="G392" s="2">
        <v>42991</v>
      </c>
      <c r="H392" s="3">
        <f t="shared" si="6"/>
        <v>8.4739726027397264</v>
      </c>
      <c r="I392">
        <v>84</v>
      </c>
      <c r="J392" t="s">
        <v>57</v>
      </c>
      <c r="K392" t="s">
        <v>64</v>
      </c>
      <c r="L392" t="s">
        <v>44</v>
      </c>
      <c r="M392">
        <v>13.94</v>
      </c>
      <c r="N392">
        <v>13.64</v>
      </c>
      <c r="O392">
        <v>13.34</v>
      </c>
      <c r="P392">
        <v>13.04</v>
      </c>
      <c r="Q392">
        <v>12.74</v>
      </c>
      <c r="R392">
        <v>12.44</v>
      </c>
      <c r="S392">
        <v>12.14</v>
      </c>
      <c r="T392" t="s">
        <v>47</v>
      </c>
      <c r="U392">
        <v>0</v>
      </c>
      <c r="V392">
        <v>5</v>
      </c>
    </row>
    <row r="393" spans="1:22" x14ac:dyDescent="0.3">
      <c r="A393">
        <v>392</v>
      </c>
      <c r="B393">
        <v>17683</v>
      </c>
      <c r="C393" s="2">
        <v>35499</v>
      </c>
      <c r="D393">
        <v>28</v>
      </c>
      <c r="E393" t="s">
        <v>36</v>
      </c>
      <c r="F393" t="s">
        <v>50</v>
      </c>
      <c r="G393" s="2">
        <v>42929</v>
      </c>
      <c r="H393" s="3">
        <f t="shared" si="6"/>
        <v>8.7205479452054799</v>
      </c>
      <c r="I393">
        <v>93</v>
      </c>
      <c r="J393" t="s">
        <v>57</v>
      </c>
      <c r="K393" t="s">
        <v>65</v>
      </c>
      <c r="L393" t="s">
        <v>44</v>
      </c>
      <c r="M393">
        <v>10.35</v>
      </c>
      <c r="N393">
        <v>10.15</v>
      </c>
      <c r="O393">
        <v>9.9499999999999993</v>
      </c>
      <c r="P393">
        <v>9.75</v>
      </c>
      <c r="Q393">
        <v>9.5500000000000007</v>
      </c>
      <c r="R393">
        <v>9.35</v>
      </c>
      <c r="S393">
        <v>9.15</v>
      </c>
      <c r="T393" t="s">
        <v>52</v>
      </c>
      <c r="U393">
        <v>0</v>
      </c>
      <c r="V393">
        <v>4</v>
      </c>
    </row>
    <row r="394" spans="1:22" x14ac:dyDescent="0.3">
      <c r="A394">
        <v>393</v>
      </c>
      <c r="B394">
        <v>17872</v>
      </c>
      <c r="C394" s="2">
        <v>34889</v>
      </c>
      <c r="D394">
        <v>30</v>
      </c>
      <c r="E394" t="s">
        <v>36</v>
      </c>
      <c r="F394" t="s">
        <v>50</v>
      </c>
      <c r="G394" s="2">
        <v>42839</v>
      </c>
      <c r="H394" s="3">
        <f t="shared" si="6"/>
        <v>8.7671232876712324</v>
      </c>
      <c r="I394">
        <v>100</v>
      </c>
      <c r="J394" t="s">
        <v>57</v>
      </c>
      <c r="K394" t="s">
        <v>55</v>
      </c>
      <c r="L394" t="s">
        <v>44</v>
      </c>
      <c r="M394">
        <v>16.899999999999999</v>
      </c>
      <c r="N394">
        <v>16.600000000000001</v>
      </c>
      <c r="O394">
        <v>16.3</v>
      </c>
      <c r="P394">
        <v>16</v>
      </c>
      <c r="Q394">
        <v>15.7</v>
      </c>
      <c r="R394">
        <v>15.4</v>
      </c>
      <c r="S394">
        <v>15.1</v>
      </c>
      <c r="T394" t="s">
        <v>52</v>
      </c>
      <c r="U394">
        <v>1</v>
      </c>
      <c r="V394">
        <v>5</v>
      </c>
    </row>
    <row r="395" spans="1:22" x14ac:dyDescent="0.3">
      <c r="A395">
        <v>394</v>
      </c>
      <c r="B395">
        <v>17927</v>
      </c>
      <c r="C395" s="2">
        <v>34161</v>
      </c>
      <c r="D395">
        <v>32</v>
      </c>
      <c r="E395" t="s">
        <v>36</v>
      </c>
      <c r="F395" t="s">
        <v>50</v>
      </c>
      <c r="G395" s="2">
        <v>42822</v>
      </c>
      <c r="H395" s="3">
        <f t="shared" si="6"/>
        <v>8.7835616438356166</v>
      </c>
      <c r="I395">
        <v>102</v>
      </c>
      <c r="J395" t="s">
        <v>57</v>
      </c>
      <c r="K395" t="s">
        <v>54</v>
      </c>
      <c r="L395" t="s">
        <v>44</v>
      </c>
      <c r="M395">
        <v>22.11</v>
      </c>
      <c r="N395">
        <v>21.81</v>
      </c>
      <c r="O395">
        <v>21.51</v>
      </c>
      <c r="P395">
        <v>21.21</v>
      </c>
      <c r="Q395">
        <v>20.91</v>
      </c>
      <c r="R395">
        <v>20.61</v>
      </c>
      <c r="S395">
        <v>20.309999999999999</v>
      </c>
      <c r="T395" t="s">
        <v>47</v>
      </c>
      <c r="U395">
        <v>5</v>
      </c>
      <c r="V395">
        <v>7</v>
      </c>
    </row>
    <row r="396" spans="1:22" x14ac:dyDescent="0.3">
      <c r="A396">
        <v>395</v>
      </c>
      <c r="B396">
        <v>18022</v>
      </c>
      <c r="C396" s="2">
        <v>33552</v>
      </c>
      <c r="D396">
        <v>34</v>
      </c>
      <c r="E396" t="s">
        <v>42</v>
      </c>
      <c r="F396" t="s">
        <v>50</v>
      </c>
      <c r="G396" s="2">
        <v>42816</v>
      </c>
      <c r="H396" s="3">
        <f t="shared" si="6"/>
        <v>8.8465753424657532</v>
      </c>
      <c r="I396">
        <v>106</v>
      </c>
      <c r="J396" t="s">
        <v>57</v>
      </c>
      <c r="K396" t="s">
        <v>68</v>
      </c>
      <c r="L396" t="s">
        <v>44</v>
      </c>
      <c r="M396">
        <v>15.7</v>
      </c>
      <c r="N396">
        <v>15.5</v>
      </c>
      <c r="O396">
        <v>15.3</v>
      </c>
      <c r="P396">
        <v>15.1</v>
      </c>
      <c r="Q396">
        <v>14.9</v>
      </c>
      <c r="R396">
        <v>14.7</v>
      </c>
      <c r="S396">
        <v>14.5</v>
      </c>
      <c r="T396" t="s">
        <v>47</v>
      </c>
      <c r="U396">
        <v>2</v>
      </c>
      <c r="V396">
        <v>6</v>
      </c>
    </row>
    <row r="397" spans="1:22" x14ac:dyDescent="0.3">
      <c r="A397">
        <v>396</v>
      </c>
      <c r="B397">
        <v>18026</v>
      </c>
      <c r="C397" s="2">
        <v>28243</v>
      </c>
      <c r="D397">
        <v>48</v>
      </c>
      <c r="E397" t="s">
        <v>36</v>
      </c>
      <c r="F397" t="s">
        <v>50</v>
      </c>
      <c r="G397" s="2">
        <v>42793</v>
      </c>
      <c r="H397" s="3">
        <f t="shared" si="6"/>
        <v>8.2438356164383571</v>
      </c>
      <c r="I397">
        <v>106</v>
      </c>
      <c r="J397" t="s">
        <v>57</v>
      </c>
      <c r="K397" t="s">
        <v>46</v>
      </c>
      <c r="L397" t="s">
        <v>44</v>
      </c>
      <c r="M397">
        <v>14.07</v>
      </c>
      <c r="N397">
        <v>13.77</v>
      </c>
      <c r="O397">
        <v>13.47</v>
      </c>
      <c r="P397">
        <v>13.17</v>
      </c>
      <c r="Q397">
        <v>12.87</v>
      </c>
      <c r="R397">
        <v>12.57</v>
      </c>
      <c r="S397">
        <v>12.27</v>
      </c>
      <c r="T397" t="s">
        <v>47</v>
      </c>
      <c r="U397">
        <v>0</v>
      </c>
      <c r="V397">
        <v>2</v>
      </c>
    </row>
    <row r="398" spans="1:22" x14ac:dyDescent="0.3">
      <c r="A398">
        <v>397</v>
      </c>
      <c r="B398">
        <v>18027</v>
      </c>
      <c r="C398" s="2">
        <v>36072</v>
      </c>
      <c r="D398">
        <v>27</v>
      </c>
      <c r="E398" t="s">
        <v>42</v>
      </c>
      <c r="F398" t="s">
        <v>50</v>
      </c>
      <c r="G398" s="2">
        <v>43013</v>
      </c>
      <c r="H398" s="3">
        <f t="shared" si="6"/>
        <v>8.75068493150685</v>
      </c>
      <c r="I398">
        <v>106</v>
      </c>
      <c r="J398" t="s">
        <v>57</v>
      </c>
      <c r="K398" t="s">
        <v>64</v>
      </c>
      <c r="L398" t="s">
        <v>44</v>
      </c>
      <c r="M398">
        <v>13.94</v>
      </c>
      <c r="N398">
        <v>13.64</v>
      </c>
      <c r="O398">
        <v>13.34</v>
      </c>
      <c r="P398">
        <v>13.04</v>
      </c>
      <c r="Q398">
        <v>12.74</v>
      </c>
      <c r="R398">
        <v>12.44</v>
      </c>
      <c r="S398">
        <v>12.14</v>
      </c>
      <c r="T398" t="s">
        <v>47</v>
      </c>
      <c r="U398">
        <v>1</v>
      </c>
      <c r="V398">
        <v>5</v>
      </c>
    </row>
    <row r="399" spans="1:22" x14ac:dyDescent="0.3">
      <c r="A399">
        <v>398</v>
      </c>
      <c r="B399">
        <v>18109</v>
      </c>
      <c r="C399" s="2">
        <v>34500</v>
      </c>
      <c r="D399">
        <v>31</v>
      </c>
      <c r="E399" t="s">
        <v>36</v>
      </c>
      <c r="F399" t="s">
        <v>50</v>
      </c>
      <c r="G399" s="2">
        <v>42828</v>
      </c>
      <c r="H399" s="3">
        <f t="shared" si="6"/>
        <v>8.1369863013698627</v>
      </c>
      <c r="I399">
        <v>109</v>
      </c>
      <c r="J399" t="s">
        <v>57</v>
      </c>
      <c r="K399" t="s">
        <v>43</v>
      </c>
      <c r="L399" t="s">
        <v>44</v>
      </c>
      <c r="M399">
        <v>15.87</v>
      </c>
      <c r="N399">
        <v>15.57</v>
      </c>
      <c r="O399">
        <v>15.27</v>
      </c>
      <c r="P399">
        <v>14.97</v>
      </c>
      <c r="Q399">
        <v>14.67</v>
      </c>
      <c r="R399">
        <v>14.37</v>
      </c>
      <c r="S399">
        <v>14.07</v>
      </c>
      <c r="T399" t="s">
        <v>47</v>
      </c>
      <c r="U399">
        <v>2</v>
      </c>
      <c r="V399">
        <v>4</v>
      </c>
    </row>
    <row r="400" spans="1:22" x14ac:dyDescent="0.3">
      <c r="A400">
        <v>399</v>
      </c>
      <c r="B400">
        <v>18352</v>
      </c>
      <c r="C400" s="2">
        <v>31934</v>
      </c>
      <c r="D400">
        <v>38</v>
      </c>
      <c r="E400" t="s">
        <v>36</v>
      </c>
      <c r="F400" t="s">
        <v>50</v>
      </c>
      <c r="G400" s="2">
        <v>43052</v>
      </c>
      <c r="H400" s="3">
        <f t="shared" si="6"/>
        <v>8.3726027397260268</v>
      </c>
      <c r="I400">
        <v>118</v>
      </c>
      <c r="J400" t="s">
        <v>57</v>
      </c>
      <c r="K400" t="s">
        <v>55</v>
      </c>
      <c r="L400" t="s">
        <v>44</v>
      </c>
      <c r="M400">
        <v>16.899999999999999</v>
      </c>
      <c r="N400">
        <v>16.600000000000001</v>
      </c>
      <c r="O400">
        <v>16.3</v>
      </c>
      <c r="P400">
        <v>16</v>
      </c>
      <c r="Q400">
        <v>15.7</v>
      </c>
      <c r="R400">
        <v>15.4</v>
      </c>
      <c r="S400">
        <v>15.1</v>
      </c>
      <c r="T400" t="s">
        <v>45</v>
      </c>
      <c r="U400">
        <v>2</v>
      </c>
      <c r="V400">
        <v>4</v>
      </c>
    </row>
    <row r="401" spans="1:36" x14ac:dyDescent="0.3">
      <c r="A401">
        <v>400</v>
      </c>
      <c r="B401">
        <v>18573</v>
      </c>
      <c r="C401" s="2">
        <v>33849</v>
      </c>
      <c r="D401">
        <v>33</v>
      </c>
      <c r="E401" t="s">
        <v>36</v>
      </c>
      <c r="F401" t="s">
        <v>50</v>
      </c>
      <c r="G401" s="2">
        <v>42966</v>
      </c>
      <c r="H401" s="3">
        <f t="shared" si="6"/>
        <v>8.7917808219178077</v>
      </c>
      <c r="I401">
        <v>126</v>
      </c>
      <c r="J401" t="s">
        <v>57</v>
      </c>
      <c r="K401" t="s">
        <v>43</v>
      </c>
      <c r="L401" t="s">
        <v>44</v>
      </c>
      <c r="M401">
        <v>15.87</v>
      </c>
      <c r="N401">
        <v>15.57</v>
      </c>
      <c r="O401">
        <v>15.27</v>
      </c>
      <c r="P401">
        <v>14.97</v>
      </c>
      <c r="Q401">
        <v>14.67</v>
      </c>
      <c r="R401">
        <v>14.37</v>
      </c>
      <c r="S401">
        <v>14.07</v>
      </c>
      <c r="T401" t="s">
        <v>47</v>
      </c>
      <c r="U401">
        <v>2</v>
      </c>
      <c r="V401">
        <v>4</v>
      </c>
    </row>
    <row r="402" spans="1:36" x14ac:dyDescent="0.3">
      <c r="A402">
        <v>401</v>
      </c>
      <c r="B402">
        <v>18630</v>
      </c>
      <c r="C402" s="2">
        <v>35254</v>
      </c>
      <c r="D402">
        <v>29</v>
      </c>
      <c r="E402" t="s">
        <v>42</v>
      </c>
      <c r="F402" t="s">
        <v>37</v>
      </c>
      <c r="G402" s="2">
        <v>42813</v>
      </c>
      <c r="H402" s="3">
        <f t="shared" si="6"/>
        <v>8.0465753424657542</v>
      </c>
      <c r="I402">
        <v>128</v>
      </c>
      <c r="J402" t="s">
        <v>57</v>
      </c>
      <c r="K402" t="s">
        <v>65</v>
      </c>
      <c r="L402" t="s">
        <v>44</v>
      </c>
      <c r="M402">
        <v>10.35</v>
      </c>
      <c r="N402">
        <v>10.15</v>
      </c>
      <c r="O402">
        <v>9.9499999999999993</v>
      </c>
      <c r="P402">
        <v>9.75</v>
      </c>
      <c r="Q402">
        <v>9.5500000000000007</v>
      </c>
      <c r="R402">
        <v>9.35</v>
      </c>
      <c r="S402">
        <v>9.15</v>
      </c>
      <c r="T402" t="s">
        <v>47</v>
      </c>
      <c r="U402">
        <v>0</v>
      </c>
      <c r="V402">
        <v>5</v>
      </c>
    </row>
    <row r="403" spans="1:36" x14ac:dyDescent="0.3">
      <c r="A403">
        <v>402</v>
      </c>
      <c r="B403">
        <v>18633</v>
      </c>
      <c r="C403" s="2">
        <v>35769</v>
      </c>
      <c r="D403">
        <v>28</v>
      </c>
      <c r="E403" t="s">
        <v>42</v>
      </c>
      <c r="F403" t="s">
        <v>37</v>
      </c>
      <c r="G403" s="2">
        <v>43085</v>
      </c>
      <c r="H403" s="3">
        <f t="shared" si="6"/>
        <v>7.912328767123288</v>
      </c>
      <c r="I403">
        <v>128</v>
      </c>
      <c r="J403" t="s">
        <v>57</v>
      </c>
      <c r="K403" t="s">
        <v>64</v>
      </c>
      <c r="L403" t="s">
        <v>44</v>
      </c>
      <c r="M403">
        <v>13.94</v>
      </c>
      <c r="N403">
        <v>13.64</v>
      </c>
      <c r="O403">
        <v>13.34</v>
      </c>
      <c r="P403">
        <v>13.04</v>
      </c>
      <c r="Q403">
        <v>12.74</v>
      </c>
      <c r="R403">
        <v>12.44</v>
      </c>
      <c r="S403">
        <v>12.14</v>
      </c>
      <c r="T403" t="s">
        <v>47</v>
      </c>
      <c r="U403">
        <v>0</v>
      </c>
      <c r="V403">
        <v>4</v>
      </c>
    </row>
    <row r="404" spans="1:36" x14ac:dyDescent="0.3">
      <c r="A404">
        <v>403</v>
      </c>
      <c r="B404">
        <v>18731</v>
      </c>
      <c r="C404" s="2">
        <v>30456</v>
      </c>
      <c r="D404">
        <v>42</v>
      </c>
      <c r="E404" t="s">
        <v>36</v>
      </c>
      <c r="F404" t="s">
        <v>50</v>
      </c>
      <c r="G404" s="2">
        <v>43134</v>
      </c>
      <c r="H404" s="3">
        <f t="shared" si="6"/>
        <v>8.2849315068493148</v>
      </c>
      <c r="I404">
        <v>132</v>
      </c>
      <c r="J404" t="s">
        <v>57</v>
      </c>
      <c r="K404" t="s">
        <v>46</v>
      </c>
      <c r="L404" t="s">
        <v>44</v>
      </c>
      <c r="M404">
        <v>14.07</v>
      </c>
      <c r="N404">
        <v>13.77</v>
      </c>
      <c r="O404">
        <v>13.47</v>
      </c>
      <c r="P404">
        <v>13.17</v>
      </c>
      <c r="Q404">
        <v>12.87</v>
      </c>
      <c r="R404">
        <v>12.57</v>
      </c>
      <c r="S404">
        <v>12.27</v>
      </c>
      <c r="T404" t="s">
        <v>47</v>
      </c>
      <c r="U404">
        <v>0</v>
      </c>
      <c r="V404">
        <v>4</v>
      </c>
    </row>
    <row r="405" spans="1:36" x14ac:dyDescent="0.3">
      <c r="A405">
        <v>404</v>
      </c>
      <c r="B405">
        <v>18822</v>
      </c>
      <c r="C405" s="2">
        <v>34788</v>
      </c>
      <c r="D405">
        <v>30</v>
      </c>
      <c r="E405" t="s">
        <v>36</v>
      </c>
      <c r="F405" t="s">
        <v>50</v>
      </c>
      <c r="G405" s="2">
        <v>42998</v>
      </c>
      <c r="H405" s="3">
        <f t="shared" si="6"/>
        <v>7.882191780821918</v>
      </c>
      <c r="I405">
        <v>135</v>
      </c>
      <c r="J405" t="s">
        <v>57</v>
      </c>
      <c r="K405" t="s">
        <v>55</v>
      </c>
      <c r="L405" t="s">
        <v>44</v>
      </c>
      <c r="M405">
        <v>16.899999999999999</v>
      </c>
      <c r="N405">
        <v>16.600000000000001</v>
      </c>
      <c r="O405">
        <v>16.3</v>
      </c>
      <c r="P405">
        <v>16</v>
      </c>
      <c r="Q405">
        <v>15.7</v>
      </c>
      <c r="R405">
        <v>15.4</v>
      </c>
      <c r="S405">
        <v>15.1</v>
      </c>
      <c r="T405" t="s">
        <v>47</v>
      </c>
      <c r="U405">
        <v>2</v>
      </c>
      <c r="V405">
        <v>5</v>
      </c>
    </row>
    <row r="406" spans="1:36" x14ac:dyDescent="0.3">
      <c r="A406">
        <v>405</v>
      </c>
      <c r="B406">
        <v>18939</v>
      </c>
      <c r="C406" s="2">
        <v>29787</v>
      </c>
      <c r="D406">
        <v>44</v>
      </c>
      <c r="E406" t="s">
        <v>36</v>
      </c>
      <c r="F406" t="s">
        <v>37</v>
      </c>
      <c r="G406" s="2">
        <v>43145</v>
      </c>
      <c r="H406" s="3">
        <f t="shared" si="6"/>
        <v>8.6191780821917803</v>
      </c>
      <c r="I406">
        <v>139</v>
      </c>
      <c r="J406" t="s">
        <v>57</v>
      </c>
      <c r="K406" t="s">
        <v>43</v>
      </c>
      <c r="L406" t="s">
        <v>44</v>
      </c>
      <c r="M406">
        <v>15.87</v>
      </c>
      <c r="N406">
        <v>15.57</v>
      </c>
      <c r="O406">
        <v>15.27</v>
      </c>
      <c r="P406">
        <v>14.97</v>
      </c>
      <c r="Q406">
        <v>14.67</v>
      </c>
      <c r="R406">
        <v>14.37</v>
      </c>
      <c r="S406">
        <v>14.07</v>
      </c>
      <c r="T406" t="s">
        <v>49</v>
      </c>
      <c r="U406">
        <v>1</v>
      </c>
      <c r="V406">
        <v>3</v>
      </c>
    </row>
    <row r="407" spans="1:36" x14ac:dyDescent="0.3">
      <c r="A407">
        <v>406</v>
      </c>
      <c r="B407">
        <v>18966</v>
      </c>
      <c r="C407" s="2">
        <v>35648</v>
      </c>
      <c r="D407">
        <v>28</v>
      </c>
      <c r="E407" t="s">
        <v>36</v>
      </c>
      <c r="F407" t="s">
        <v>50</v>
      </c>
      <c r="G407" s="2">
        <v>42876</v>
      </c>
      <c r="H407" s="3">
        <f t="shared" si="6"/>
        <v>7.4219178082191783</v>
      </c>
      <c r="I407">
        <v>140</v>
      </c>
      <c r="J407" t="s">
        <v>57</v>
      </c>
      <c r="K407" t="s">
        <v>46</v>
      </c>
      <c r="L407" t="s">
        <v>44</v>
      </c>
      <c r="M407">
        <v>14.13</v>
      </c>
      <c r="N407">
        <v>13.71</v>
      </c>
      <c r="O407">
        <v>13.53</v>
      </c>
      <c r="P407">
        <v>13.14</v>
      </c>
      <c r="Q407">
        <v>12.83</v>
      </c>
      <c r="R407">
        <v>12.83</v>
      </c>
      <c r="S407">
        <v>12.41</v>
      </c>
      <c r="T407" t="s">
        <v>52</v>
      </c>
      <c r="U407">
        <v>0</v>
      </c>
      <c r="V407">
        <v>5</v>
      </c>
    </row>
    <row r="408" spans="1:36" x14ac:dyDescent="0.3">
      <c r="A408">
        <v>407</v>
      </c>
      <c r="B408">
        <v>19123</v>
      </c>
      <c r="C408" s="2">
        <v>34027</v>
      </c>
      <c r="D408">
        <v>32</v>
      </c>
      <c r="E408" t="s">
        <v>36</v>
      </c>
      <c r="F408" t="s">
        <v>37</v>
      </c>
      <c r="G408" s="2">
        <v>43313</v>
      </c>
      <c r="H408" s="3">
        <f t="shared" si="6"/>
        <v>7.4219178082191783</v>
      </c>
      <c r="I408">
        <v>98</v>
      </c>
      <c r="J408" t="s">
        <v>57</v>
      </c>
      <c r="K408" t="s">
        <v>39</v>
      </c>
      <c r="L408" t="s">
        <v>40</v>
      </c>
      <c r="M408">
        <v>57482</v>
      </c>
      <c r="N408">
        <v>56732</v>
      </c>
      <c r="O408">
        <v>55982</v>
      </c>
      <c r="P408">
        <v>55232</v>
      </c>
      <c r="Q408">
        <v>48982</v>
      </c>
      <c r="R408">
        <v>47982</v>
      </c>
      <c r="S408">
        <v>45982</v>
      </c>
      <c r="T408" t="s">
        <v>61</v>
      </c>
      <c r="U408">
        <v>2</v>
      </c>
      <c r="V408">
        <v>5</v>
      </c>
      <c r="W408">
        <v>4</v>
      </c>
      <c r="X408" s="2">
        <v>43726</v>
      </c>
      <c r="Y408" t="s">
        <v>69</v>
      </c>
      <c r="Z408" s="2">
        <v>44567</v>
      </c>
      <c r="AA408" t="s">
        <v>59</v>
      </c>
      <c r="AD408">
        <v>4</v>
      </c>
      <c r="AE408">
        <v>2</v>
      </c>
      <c r="AF408">
        <v>3</v>
      </c>
      <c r="AG408">
        <v>4</v>
      </c>
      <c r="AH408">
        <v>5</v>
      </c>
      <c r="AI408">
        <v>4</v>
      </c>
      <c r="AJ408">
        <v>3</v>
      </c>
    </row>
    <row r="409" spans="1:36" x14ac:dyDescent="0.3">
      <c r="A409">
        <v>408</v>
      </c>
      <c r="B409">
        <v>19129</v>
      </c>
      <c r="C409" s="2">
        <v>34044</v>
      </c>
      <c r="D409">
        <v>32</v>
      </c>
      <c r="E409" t="s">
        <v>42</v>
      </c>
      <c r="F409" t="s">
        <v>50</v>
      </c>
      <c r="G409" s="2">
        <v>43313</v>
      </c>
      <c r="H409" s="3">
        <f t="shared" si="6"/>
        <v>6.4219178082191783</v>
      </c>
      <c r="I409">
        <v>76</v>
      </c>
      <c r="J409" t="s">
        <v>57</v>
      </c>
      <c r="K409" t="s">
        <v>39</v>
      </c>
      <c r="L409" t="s">
        <v>40</v>
      </c>
      <c r="M409">
        <v>64982</v>
      </c>
      <c r="N409">
        <v>62732</v>
      </c>
      <c r="O409">
        <v>60482</v>
      </c>
      <c r="P409">
        <v>58232</v>
      </c>
      <c r="Q409">
        <v>48982</v>
      </c>
      <c r="R409">
        <v>47982</v>
      </c>
      <c r="S409">
        <v>45982</v>
      </c>
      <c r="T409" t="s">
        <v>63</v>
      </c>
      <c r="U409">
        <v>4</v>
      </c>
      <c r="V409">
        <v>7</v>
      </c>
      <c r="W409">
        <v>6</v>
      </c>
      <c r="X409" s="2">
        <v>43907</v>
      </c>
      <c r="Y409" t="s">
        <v>69</v>
      </c>
      <c r="Z409" s="2">
        <v>44534</v>
      </c>
      <c r="AA409" t="s">
        <v>59</v>
      </c>
      <c r="AD409">
        <v>5</v>
      </c>
      <c r="AE409">
        <v>5</v>
      </c>
      <c r="AF409">
        <v>5</v>
      </c>
      <c r="AG409">
        <v>5</v>
      </c>
      <c r="AH409">
        <v>4</v>
      </c>
      <c r="AI409">
        <v>2</v>
      </c>
      <c r="AJ409">
        <v>2</v>
      </c>
    </row>
    <row r="410" spans="1:36" x14ac:dyDescent="0.3">
      <c r="A410">
        <v>409</v>
      </c>
      <c r="B410">
        <v>19132</v>
      </c>
      <c r="C410" s="2">
        <v>34635</v>
      </c>
      <c r="D410">
        <v>31</v>
      </c>
      <c r="E410" t="s">
        <v>42</v>
      </c>
      <c r="F410" t="s">
        <v>50</v>
      </c>
      <c r="G410" s="2">
        <v>43678</v>
      </c>
      <c r="H410" s="3">
        <f t="shared" si="6"/>
        <v>7.4219178082191783</v>
      </c>
      <c r="I410">
        <v>85</v>
      </c>
      <c r="J410" t="s">
        <v>57</v>
      </c>
      <c r="K410" t="s">
        <v>39</v>
      </c>
      <c r="L410" t="s">
        <v>40</v>
      </c>
      <c r="M410">
        <v>61232</v>
      </c>
      <c r="N410">
        <v>59732</v>
      </c>
      <c r="O410">
        <v>58982</v>
      </c>
      <c r="P410">
        <v>57482</v>
      </c>
      <c r="Q410">
        <v>48982</v>
      </c>
      <c r="R410">
        <v>47982</v>
      </c>
      <c r="T410" t="s">
        <v>67</v>
      </c>
      <c r="U410">
        <v>2</v>
      </c>
      <c r="V410">
        <v>7</v>
      </c>
      <c r="W410">
        <v>6</v>
      </c>
      <c r="X410" s="2">
        <v>43801</v>
      </c>
      <c r="Y410" t="s">
        <v>69</v>
      </c>
      <c r="Z410" s="2">
        <v>44414</v>
      </c>
      <c r="AA410" t="s">
        <v>59</v>
      </c>
      <c r="AD410">
        <v>3</v>
      </c>
      <c r="AE410">
        <v>3</v>
      </c>
      <c r="AF410">
        <v>2</v>
      </c>
      <c r="AG410">
        <v>3</v>
      </c>
      <c r="AH410">
        <v>3</v>
      </c>
      <c r="AI410">
        <v>3</v>
      </c>
    </row>
    <row r="411" spans="1:36" x14ac:dyDescent="0.3">
      <c r="A411">
        <v>410</v>
      </c>
      <c r="B411">
        <v>19133</v>
      </c>
      <c r="C411" s="2">
        <v>34290</v>
      </c>
      <c r="D411">
        <v>32</v>
      </c>
      <c r="E411" t="s">
        <v>42</v>
      </c>
      <c r="F411" t="s">
        <v>50</v>
      </c>
      <c r="G411" s="2">
        <v>43313</v>
      </c>
      <c r="H411" s="3">
        <f t="shared" si="6"/>
        <v>7.4767123287671229</v>
      </c>
      <c r="I411">
        <v>86</v>
      </c>
      <c r="J411" t="s">
        <v>57</v>
      </c>
      <c r="K411" t="s">
        <v>39</v>
      </c>
      <c r="L411" t="s">
        <v>40</v>
      </c>
      <c r="M411">
        <v>58232</v>
      </c>
      <c r="N411">
        <v>58232</v>
      </c>
      <c r="O411">
        <v>57482</v>
      </c>
      <c r="P411">
        <v>56732</v>
      </c>
      <c r="Q411">
        <v>50482</v>
      </c>
      <c r="R411">
        <v>48982</v>
      </c>
      <c r="S411">
        <v>45982</v>
      </c>
      <c r="T411" t="s">
        <v>41</v>
      </c>
      <c r="U411">
        <v>4</v>
      </c>
      <c r="V411">
        <v>7</v>
      </c>
      <c r="W411">
        <v>6</v>
      </c>
      <c r="X411" s="2">
        <v>43656</v>
      </c>
      <c r="Y411" t="s">
        <v>69</v>
      </c>
      <c r="Z411" s="2">
        <v>44397</v>
      </c>
      <c r="AA411" t="s">
        <v>59</v>
      </c>
      <c r="AD411">
        <v>4</v>
      </c>
      <c r="AE411">
        <v>2</v>
      </c>
      <c r="AF411">
        <v>3</v>
      </c>
      <c r="AG411">
        <v>5</v>
      </c>
      <c r="AH411">
        <v>5</v>
      </c>
      <c r="AI411">
        <v>5</v>
      </c>
      <c r="AJ411">
        <v>3</v>
      </c>
    </row>
    <row r="412" spans="1:36" x14ac:dyDescent="0.3">
      <c r="A412">
        <v>411</v>
      </c>
      <c r="B412">
        <v>19144</v>
      </c>
      <c r="C412" s="2">
        <v>27445</v>
      </c>
      <c r="D412">
        <v>50</v>
      </c>
      <c r="E412" t="s">
        <v>42</v>
      </c>
      <c r="F412" t="s">
        <v>37</v>
      </c>
      <c r="G412" s="2">
        <v>43293</v>
      </c>
      <c r="H412" s="3">
        <f t="shared" si="6"/>
        <v>6.4219178082191783</v>
      </c>
      <c r="I412">
        <v>41</v>
      </c>
      <c r="J412" t="s">
        <v>38</v>
      </c>
      <c r="K412" t="s">
        <v>39</v>
      </c>
      <c r="L412" t="s">
        <v>40</v>
      </c>
      <c r="M412">
        <v>83103</v>
      </c>
      <c r="N412">
        <v>80853</v>
      </c>
      <c r="O412">
        <v>77853</v>
      </c>
      <c r="P412">
        <v>75603</v>
      </c>
      <c r="Q412">
        <v>74103</v>
      </c>
      <c r="R412">
        <v>71853</v>
      </c>
      <c r="S412">
        <v>68853</v>
      </c>
      <c r="T412" t="s">
        <v>71</v>
      </c>
      <c r="U412">
        <v>4</v>
      </c>
      <c r="V412">
        <v>6</v>
      </c>
      <c r="W412">
        <v>6</v>
      </c>
      <c r="AD412">
        <v>4</v>
      </c>
      <c r="AE412">
        <v>4</v>
      </c>
      <c r="AF412">
        <v>5</v>
      </c>
      <c r="AG412">
        <v>4</v>
      </c>
      <c r="AH412">
        <v>3</v>
      </c>
      <c r="AI412">
        <v>4</v>
      </c>
      <c r="AJ412">
        <v>5</v>
      </c>
    </row>
    <row r="413" spans="1:36" x14ac:dyDescent="0.3">
      <c r="A413">
        <v>412</v>
      </c>
      <c r="B413">
        <v>19155</v>
      </c>
      <c r="C413" s="2">
        <v>34558</v>
      </c>
      <c r="D413">
        <v>31</v>
      </c>
      <c r="E413" t="s">
        <v>36</v>
      </c>
      <c r="F413" t="s">
        <v>50</v>
      </c>
      <c r="G413" s="2">
        <v>43678</v>
      </c>
      <c r="H413" s="3">
        <f t="shared" si="6"/>
        <v>6.4219178082191783</v>
      </c>
      <c r="I413">
        <v>144</v>
      </c>
      <c r="J413" t="s">
        <v>57</v>
      </c>
      <c r="K413" t="s">
        <v>39</v>
      </c>
      <c r="L413" t="s">
        <v>40</v>
      </c>
      <c r="M413">
        <v>63615</v>
      </c>
      <c r="N413">
        <v>62327</v>
      </c>
      <c r="O413">
        <v>62327</v>
      </c>
      <c r="P413">
        <v>60486</v>
      </c>
      <c r="Q413">
        <v>50726</v>
      </c>
      <c r="R413">
        <v>49372</v>
      </c>
      <c r="T413" t="s">
        <v>63</v>
      </c>
      <c r="U413">
        <v>4</v>
      </c>
      <c r="V413">
        <v>5</v>
      </c>
      <c r="W413">
        <v>7</v>
      </c>
      <c r="X413" s="2">
        <v>43887</v>
      </c>
      <c r="Y413" t="s">
        <v>69</v>
      </c>
      <c r="Z413" s="2">
        <v>44490</v>
      </c>
      <c r="AA413" t="s">
        <v>59</v>
      </c>
      <c r="AD413">
        <v>5</v>
      </c>
      <c r="AE413">
        <v>4</v>
      </c>
      <c r="AF413">
        <v>5</v>
      </c>
      <c r="AG413">
        <v>4</v>
      </c>
      <c r="AH413">
        <v>5</v>
      </c>
      <c r="AI413">
        <v>5</v>
      </c>
    </row>
    <row r="414" spans="1:36" x14ac:dyDescent="0.3">
      <c r="A414">
        <v>413</v>
      </c>
      <c r="B414">
        <v>19158</v>
      </c>
      <c r="C414" s="2">
        <v>34164</v>
      </c>
      <c r="D414">
        <v>32</v>
      </c>
      <c r="E414" t="s">
        <v>36</v>
      </c>
      <c r="F414" t="s">
        <v>50</v>
      </c>
      <c r="G414" s="2">
        <v>43678</v>
      </c>
      <c r="H414" s="3">
        <f t="shared" si="6"/>
        <v>6.4219178082191783</v>
      </c>
      <c r="I414">
        <v>103</v>
      </c>
      <c r="J414" t="s">
        <v>57</v>
      </c>
      <c r="K414" t="s">
        <v>39</v>
      </c>
      <c r="L414" t="s">
        <v>40</v>
      </c>
      <c r="M414">
        <v>56732</v>
      </c>
      <c r="N414">
        <v>56732</v>
      </c>
      <c r="O414">
        <v>55982</v>
      </c>
      <c r="P414">
        <v>55232</v>
      </c>
      <c r="Q414">
        <v>49732</v>
      </c>
      <c r="R414">
        <v>48982</v>
      </c>
      <c r="T414" t="s">
        <v>67</v>
      </c>
      <c r="U414">
        <v>2</v>
      </c>
      <c r="V414">
        <v>5</v>
      </c>
      <c r="W414">
        <v>5</v>
      </c>
      <c r="X414" s="2">
        <v>43488</v>
      </c>
      <c r="Y414" t="s">
        <v>69</v>
      </c>
      <c r="Z414" s="2">
        <v>44468</v>
      </c>
      <c r="AA414" t="s">
        <v>59</v>
      </c>
      <c r="AD414">
        <v>1</v>
      </c>
      <c r="AE414">
        <v>2</v>
      </c>
      <c r="AF414">
        <v>3</v>
      </c>
      <c r="AG414">
        <v>3</v>
      </c>
      <c r="AH414">
        <v>4</v>
      </c>
      <c r="AI414">
        <v>2</v>
      </c>
    </row>
    <row r="415" spans="1:36" x14ac:dyDescent="0.3">
      <c r="A415">
        <v>414</v>
      </c>
      <c r="B415">
        <v>19162</v>
      </c>
      <c r="C415" s="2">
        <v>33473</v>
      </c>
      <c r="D415">
        <v>34</v>
      </c>
      <c r="E415" t="s">
        <v>36</v>
      </c>
      <c r="F415" t="s">
        <v>50</v>
      </c>
      <c r="G415" s="2">
        <v>43678</v>
      </c>
      <c r="H415" s="3">
        <f t="shared" si="6"/>
        <v>7.4219178082191783</v>
      </c>
      <c r="I415">
        <v>93</v>
      </c>
      <c r="J415" t="s">
        <v>57</v>
      </c>
      <c r="K415" t="s">
        <v>39</v>
      </c>
      <c r="L415" t="s">
        <v>40</v>
      </c>
      <c r="M415">
        <v>61451</v>
      </c>
      <c r="N415">
        <v>59951</v>
      </c>
      <c r="O415">
        <v>58451</v>
      </c>
      <c r="P415">
        <v>51451</v>
      </c>
      <c r="Q415">
        <v>50853</v>
      </c>
      <c r="R415">
        <v>49525</v>
      </c>
      <c r="T415" t="s">
        <v>70</v>
      </c>
      <c r="U415">
        <v>4</v>
      </c>
      <c r="V415">
        <v>6</v>
      </c>
      <c r="W415">
        <v>5</v>
      </c>
      <c r="X415" s="2">
        <v>43799</v>
      </c>
      <c r="Y415" t="s">
        <v>69</v>
      </c>
      <c r="Z415" s="2">
        <v>44691</v>
      </c>
      <c r="AA415" t="s">
        <v>59</v>
      </c>
      <c r="AD415">
        <v>3</v>
      </c>
      <c r="AE415">
        <v>3</v>
      </c>
      <c r="AF415">
        <v>3</v>
      </c>
      <c r="AG415">
        <v>2</v>
      </c>
      <c r="AH415">
        <v>3</v>
      </c>
      <c r="AI415">
        <v>3</v>
      </c>
    </row>
    <row r="416" spans="1:36" x14ac:dyDescent="0.3">
      <c r="A416">
        <v>415</v>
      </c>
      <c r="B416">
        <v>19166</v>
      </c>
      <c r="C416" s="2">
        <v>33993</v>
      </c>
      <c r="D416">
        <v>32</v>
      </c>
      <c r="E416" t="s">
        <v>36</v>
      </c>
      <c r="F416" t="s">
        <v>37</v>
      </c>
      <c r="G416" s="2">
        <v>43313</v>
      </c>
      <c r="H416" s="3">
        <f t="shared" si="6"/>
        <v>6.4219178082191783</v>
      </c>
      <c r="I416">
        <v>120</v>
      </c>
      <c r="J416" t="s">
        <v>57</v>
      </c>
      <c r="K416" t="s">
        <v>39</v>
      </c>
      <c r="L416" t="s">
        <v>40</v>
      </c>
      <c r="M416">
        <v>59982</v>
      </c>
      <c r="N416">
        <v>58482</v>
      </c>
      <c r="O416">
        <v>56982</v>
      </c>
      <c r="P416">
        <v>49982</v>
      </c>
      <c r="Q416">
        <v>48982</v>
      </c>
      <c r="R416">
        <v>47982</v>
      </c>
      <c r="S416">
        <v>45982</v>
      </c>
      <c r="T416" t="s">
        <v>63</v>
      </c>
      <c r="U416">
        <v>2</v>
      </c>
      <c r="V416">
        <v>5</v>
      </c>
      <c r="W416">
        <v>4</v>
      </c>
      <c r="X416" s="2">
        <v>43568</v>
      </c>
      <c r="Y416" t="s">
        <v>69</v>
      </c>
      <c r="Z416" s="2">
        <v>44896</v>
      </c>
      <c r="AA416" t="s">
        <v>59</v>
      </c>
      <c r="AD416">
        <v>4</v>
      </c>
      <c r="AE416">
        <v>4</v>
      </c>
      <c r="AF416">
        <v>3</v>
      </c>
      <c r="AG416">
        <v>4</v>
      </c>
      <c r="AH416">
        <v>4</v>
      </c>
      <c r="AI416">
        <v>4</v>
      </c>
      <c r="AJ416">
        <v>4</v>
      </c>
    </row>
    <row r="417" spans="1:36" x14ac:dyDescent="0.3">
      <c r="A417">
        <v>416</v>
      </c>
      <c r="B417">
        <v>19169</v>
      </c>
      <c r="C417" s="2">
        <v>34417</v>
      </c>
      <c r="D417">
        <v>31</v>
      </c>
      <c r="E417" t="s">
        <v>36</v>
      </c>
      <c r="F417" t="s">
        <v>50</v>
      </c>
      <c r="G417" s="2">
        <v>43678</v>
      </c>
      <c r="H417" s="3">
        <f t="shared" si="6"/>
        <v>6.4219178082191783</v>
      </c>
      <c r="I417">
        <v>133</v>
      </c>
      <c r="J417" t="s">
        <v>57</v>
      </c>
      <c r="K417" t="s">
        <v>39</v>
      </c>
      <c r="L417" t="s">
        <v>40</v>
      </c>
      <c r="M417">
        <v>61482</v>
      </c>
      <c r="N417">
        <v>59982</v>
      </c>
      <c r="O417">
        <v>58482</v>
      </c>
      <c r="P417">
        <v>51482</v>
      </c>
      <c r="Q417">
        <v>49982</v>
      </c>
      <c r="R417">
        <v>48982</v>
      </c>
      <c r="T417" t="s">
        <v>67</v>
      </c>
      <c r="U417">
        <v>2</v>
      </c>
      <c r="V417">
        <v>5</v>
      </c>
      <c r="W417">
        <v>5</v>
      </c>
      <c r="X417" s="2">
        <v>43767</v>
      </c>
      <c r="Y417" t="s">
        <v>69</v>
      </c>
      <c r="Z417" s="2">
        <v>44930</v>
      </c>
      <c r="AA417" t="s">
        <v>59</v>
      </c>
      <c r="AD417">
        <v>5</v>
      </c>
      <c r="AE417">
        <v>5</v>
      </c>
      <c r="AF417">
        <v>5</v>
      </c>
      <c r="AG417">
        <v>5</v>
      </c>
      <c r="AH417">
        <v>5</v>
      </c>
      <c r="AI417">
        <v>3</v>
      </c>
    </row>
    <row r="418" spans="1:36" x14ac:dyDescent="0.3">
      <c r="A418">
        <v>417</v>
      </c>
      <c r="B418">
        <v>19174</v>
      </c>
      <c r="C418" s="2">
        <v>34534</v>
      </c>
      <c r="D418">
        <v>31</v>
      </c>
      <c r="E418" t="s">
        <v>36</v>
      </c>
      <c r="F418" t="s">
        <v>50</v>
      </c>
      <c r="G418" s="2">
        <v>43678</v>
      </c>
      <c r="H418" s="3">
        <f t="shared" si="6"/>
        <v>7.4219178082191783</v>
      </c>
      <c r="I418">
        <v>111</v>
      </c>
      <c r="J418" t="s">
        <v>57</v>
      </c>
      <c r="K418" t="s">
        <v>39</v>
      </c>
      <c r="L418" t="s">
        <v>40</v>
      </c>
      <c r="M418">
        <v>62982</v>
      </c>
      <c r="N418">
        <v>61482</v>
      </c>
      <c r="O418">
        <v>59982</v>
      </c>
      <c r="P418">
        <v>52982</v>
      </c>
      <c r="Q418">
        <v>51482</v>
      </c>
      <c r="R418">
        <v>49982</v>
      </c>
      <c r="T418" t="s">
        <v>61</v>
      </c>
      <c r="U418">
        <v>4</v>
      </c>
      <c r="V418">
        <v>6</v>
      </c>
      <c r="W418">
        <v>6</v>
      </c>
      <c r="X418" s="2">
        <v>43695</v>
      </c>
      <c r="Y418" t="s">
        <v>69</v>
      </c>
      <c r="Z418" s="2">
        <v>44740</v>
      </c>
      <c r="AA418" t="s">
        <v>59</v>
      </c>
      <c r="AD418">
        <v>5</v>
      </c>
      <c r="AE418">
        <v>5</v>
      </c>
      <c r="AF418">
        <v>5</v>
      </c>
      <c r="AG418">
        <v>5</v>
      </c>
      <c r="AH418">
        <v>5</v>
      </c>
      <c r="AI418">
        <v>5</v>
      </c>
    </row>
    <row r="419" spans="1:36" x14ac:dyDescent="0.3">
      <c r="A419">
        <v>418</v>
      </c>
      <c r="B419">
        <v>19180</v>
      </c>
      <c r="C419" s="2">
        <v>33703</v>
      </c>
      <c r="D419">
        <v>33</v>
      </c>
      <c r="E419" t="s">
        <v>42</v>
      </c>
      <c r="F419" t="s">
        <v>37</v>
      </c>
      <c r="G419" s="2">
        <v>43313</v>
      </c>
      <c r="H419" s="3">
        <f t="shared" si="6"/>
        <v>6.4219178082191783</v>
      </c>
      <c r="I419">
        <v>126</v>
      </c>
      <c r="J419" t="s">
        <v>57</v>
      </c>
      <c r="K419" t="s">
        <v>39</v>
      </c>
      <c r="L419" t="s">
        <v>40</v>
      </c>
      <c r="M419">
        <v>70482</v>
      </c>
      <c r="N419">
        <v>67482</v>
      </c>
      <c r="O419">
        <v>64482</v>
      </c>
      <c r="P419">
        <v>52982</v>
      </c>
      <c r="Q419">
        <v>51482</v>
      </c>
      <c r="R419">
        <v>49982</v>
      </c>
      <c r="S419">
        <v>45982</v>
      </c>
      <c r="T419" t="s">
        <v>67</v>
      </c>
      <c r="U419">
        <v>3</v>
      </c>
      <c r="V419">
        <v>6</v>
      </c>
      <c r="W419">
        <v>7</v>
      </c>
      <c r="X419" s="2">
        <v>43687</v>
      </c>
      <c r="Y419" t="s">
        <v>69</v>
      </c>
      <c r="Z419" s="2">
        <v>44784</v>
      </c>
      <c r="AA419" t="s">
        <v>59</v>
      </c>
      <c r="AD419">
        <v>5</v>
      </c>
      <c r="AE419">
        <v>5</v>
      </c>
      <c r="AF419">
        <v>5</v>
      </c>
      <c r="AG419">
        <v>5</v>
      </c>
      <c r="AH419">
        <v>4</v>
      </c>
      <c r="AI419">
        <v>4</v>
      </c>
      <c r="AJ419">
        <v>4</v>
      </c>
    </row>
    <row r="420" spans="1:36" x14ac:dyDescent="0.3">
      <c r="A420">
        <v>419</v>
      </c>
      <c r="B420">
        <v>19181</v>
      </c>
      <c r="C420" s="2">
        <v>34161</v>
      </c>
      <c r="D420">
        <v>32</v>
      </c>
      <c r="E420" t="s">
        <v>36</v>
      </c>
      <c r="F420" t="s">
        <v>50</v>
      </c>
      <c r="G420" s="2">
        <v>43678</v>
      </c>
      <c r="H420" s="3">
        <f t="shared" si="6"/>
        <v>7.4219178082191783</v>
      </c>
      <c r="I420">
        <v>95</v>
      </c>
      <c r="J420" t="s">
        <v>57</v>
      </c>
      <c r="K420" t="s">
        <v>39</v>
      </c>
      <c r="L420" t="s">
        <v>40</v>
      </c>
      <c r="M420">
        <v>61482</v>
      </c>
      <c r="N420">
        <v>59607</v>
      </c>
      <c r="O420">
        <v>57732</v>
      </c>
      <c r="P420">
        <v>48482</v>
      </c>
      <c r="Q420">
        <v>47982</v>
      </c>
      <c r="R420">
        <v>47482</v>
      </c>
      <c r="T420" t="s">
        <v>61</v>
      </c>
      <c r="U420">
        <v>4</v>
      </c>
      <c r="V420">
        <v>5</v>
      </c>
      <c r="W420">
        <v>6</v>
      </c>
      <c r="X420" s="2">
        <v>43770</v>
      </c>
      <c r="Y420" t="s">
        <v>69</v>
      </c>
      <c r="Z420" s="2">
        <v>44854</v>
      </c>
      <c r="AA420" t="s">
        <v>59</v>
      </c>
      <c r="AD420">
        <v>5</v>
      </c>
      <c r="AE420">
        <v>4</v>
      </c>
      <c r="AF420">
        <v>4</v>
      </c>
      <c r="AG420">
        <v>4</v>
      </c>
      <c r="AH420">
        <v>3</v>
      </c>
      <c r="AI420">
        <v>1</v>
      </c>
    </row>
    <row r="421" spans="1:36" x14ac:dyDescent="0.3">
      <c r="A421">
        <v>420</v>
      </c>
      <c r="B421">
        <v>19184</v>
      </c>
      <c r="C421" s="2">
        <v>34583</v>
      </c>
      <c r="D421">
        <v>31</v>
      </c>
      <c r="E421" t="s">
        <v>42</v>
      </c>
      <c r="F421" t="s">
        <v>37</v>
      </c>
      <c r="G421" s="2">
        <v>43313</v>
      </c>
      <c r="H421" s="3">
        <f t="shared" si="6"/>
        <v>6.4219178082191783</v>
      </c>
      <c r="I421">
        <v>112</v>
      </c>
      <c r="J421" t="s">
        <v>57</v>
      </c>
      <c r="K421" t="s">
        <v>39</v>
      </c>
      <c r="L421" t="s">
        <v>40</v>
      </c>
      <c r="M421">
        <v>61382</v>
      </c>
      <c r="N421">
        <v>59882</v>
      </c>
      <c r="O421">
        <v>58757</v>
      </c>
      <c r="P421">
        <v>50257</v>
      </c>
      <c r="Q421">
        <v>49289</v>
      </c>
      <c r="R421">
        <v>48403</v>
      </c>
      <c r="S421">
        <v>45982</v>
      </c>
      <c r="T421" t="s">
        <v>70</v>
      </c>
      <c r="U421">
        <v>1</v>
      </c>
      <c r="V421">
        <v>4</v>
      </c>
      <c r="W421">
        <v>6</v>
      </c>
      <c r="X421" s="2">
        <v>43791</v>
      </c>
      <c r="Y421" t="s">
        <v>69</v>
      </c>
      <c r="Z421" s="2">
        <v>44863</v>
      </c>
      <c r="AA421" t="s">
        <v>59</v>
      </c>
      <c r="AD421">
        <v>3</v>
      </c>
      <c r="AE421">
        <v>3</v>
      </c>
      <c r="AF421">
        <v>2</v>
      </c>
      <c r="AG421">
        <v>3</v>
      </c>
      <c r="AH421">
        <v>1</v>
      </c>
      <c r="AI421">
        <v>3</v>
      </c>
      <c r="AJ421">
        <v>2</v>
      </c>
    </row>
    <row r="422" spans="1:36" x14ac:dyDescent="0.3">
      <c r="A422">
        <v>421</v>
      </c>
      <c r="B422">
        <v>19187</v>
      </c>
      <c r="C422" s="2">
        <v>32959</v>
      </c>
      <c r="D422">
        <v>35</v>
      </c>
      <c r="E422" t="s">
        <v>42</v>
      </c>
      <c r="F422" t="s">
        <v>50</v>
      </c>
      <c r="G422" s="2">
        <v>43678</v>
      </c>
      <c r="H422" s="3">
        <f t="shared" si="6"/>
        <v>6.4219178082191783</v>
      </c>
      <c r="I422">
        <v>104</v>
      </c>
      <c r="J422" t="s">
        <v>57</v>
      </c>
      <c r="K422" t="s">
        <v>39</v>
      </c>
      <c r="L422" t="s">
        <v>40</v>
      </c>
      <c r="M422">
        <v>58741</v>
      </c>
      <c r="N422">
        <v>57494</v>
      </c>
      <c r="O422">
        <v>57494</v>
      </c>
      <c r="P422">
        <v>50722</v>
      </c>
      <c r="Q422">
        <v>49317</v>
      </c>
      <c r="R422">
        <v>48292</v>
      </c>
      <c r="T422" t="s">
        <v>41</v>
      </c>
      <c r="U422">
        <v>2</v>
      </c>
      <c r="V422">
        <v>6</v>
      </c>
      <c r="W422">
        <v>7</v>
      </c>
      <c r="X422" s="2">
        <v>43762</v>
      </c>
      <c r="Y422" t="s">
        <v>69</v>
      </c>
      <c r="Z422" s="2">
        <v>44666</v>
      </c>
      <c r="AA422" t="s">
        <v>59</v>
      </c>
      <c r="AD422">
        <v>2</v>
      </c>
      <c r="AE422">
        <v>3</v>
      </c>
      <c r="AF422">
        <v>2</v>
      </c>
      <c r="AG422">
        <v>3</v>
      </c>
      <c r="AH422">
        <v>4</v>
      </c>
      <c r="AI422">
        <v>4</v>
      </c>
    </row>
    <row r="423" spans="1:36" x14ac:dyDescent="0.3">
      <c r="A423">
        <v>422</v>
      </c>
      <c r="B423">
        <v>19193</v>
      </c>
      <c r="C423" s="2">
        <v>32289</v>
      </c>
      <c r="D423">
        <v>37</v>
      </c>
      <c r="E423" t="s">
        <v>42</v>
      </c>
      <c r="F423" t="s">
        <v>50</v>
      </c>
      <c r="G423" s="2">
        <v>43678</v>
      </c>
      <c r="H423" s="3">
        <f t="shared" si="6"/>
        <v>7.183561643835616</v>
      </c>
      <c r="I423">
        <v>75</v>
      </c>
      <c r="J423" t="s">
        <v>57</v>
      </c>
      <c r="K423" t="s">
        <v>39</v>
      </c>
      <c r="L423" t="s">
        <v>40</v>
      </c>
      <c r="M423">
        <v>60732</v>
      </c>
      <c r="N423">
        <v>59232</v>
      </c>
      <c r="O423">
        <v>57732</v>
      </c>
      <c r="P423">
        <v>50732</v>
      </c>
      <c r="Q423">
        <v>49482</v>
      </c>
      <c r="R423">
        <v>48482</v>
      </c>
      <c r="T423" t="s">
        <v>63</v>
      </c>
      <c r="U423">
        <v>2</v>
      </c>
      <c r="V423">
        <v>7</v>
      </c>
      <c r="W423">
        <v>5</v>
      </c>
      <c r="X423" s="2">
        <v>43825</v>
      </c>
      <c r="Y423" t="s">
        <v>69</v>
      </c>
      <c r="Z423" s="2">
        <v>44945</v>
      </c>
      <c r="AA423" t="s">
        <v>59</v>
      </c>
      <c r="AD423">
        <v>5</v>
      </c>
      <c r="AE423">
        <v>4</v>
      </c>
      <c r="AF423">
        <v>3</v>
      </c>
      <c r="AG423">
        <v>4</v>
      </c>
      <c r="AH423">
        <v>4</v>
      </c>
      <c r="AI423">
        <v>3</v>
      </c>
    </row>
    <row r="424" spans="1:36" x14ac:dyDescent="0.3">
      <c r="A424">
        <v>423</v>
      </c>
      <c r="B424">
        <v>19226</v>
      </c>
      <c r="C424" s="2">
        <v>32859</v>
      </c>
      <c r="D424">
        <v>36</v>
      </c>
      <c r="E424" t="s">
        <v>42</v>
      </c>
      <c r="F424" t="s">
        <v>50</v>
      </c>
      <c r="G424" s="2">
        <v>43400</v>
      </c>
      <c r="H424" s="3">
        <f t="shared" si="6"/>
        <v>7.0191780821917806</v>
      </c>
      <c r="I424">
        <v>79</v>
      </c>
      <c r="J424" t="s">
        <v>57</v>
      </c>
      <c r="K424" t="s">
        <v>51</v>
      </c>
      <c r="L424" t="s">
        <v>44</v>
      </c>
      <c r="M424">
        <v>33.01</v>
      </c>
      <c r="N424">
        <v>32.71</v>
      </c>
      <c r="O424">
        <v>32.409999999999997</v>
      </c>
      <c r="P424">
        <v>32.11</v>
      </c>
      <c r="Q424">
        <v>31.81</v>
      </c>
      <c r="R424">
        <v>31.51</v>
      </c>
      <c r="S424">
        <v>31.21</v>
      </c>
      <c r="T424" t="s">
        <v>52</v>
      </c>
      <c r="U424">
        <v>0</v>
      </c>
      <c r="V424">
        <v>4</v>
      </c>
    </row>
    <row r="425" spans="1:36" x14ac:dyDescent="0.3">
      <c r="A425">
        <v>424</v>
      </c>
      <c r="B425">
        <v>19229</v>
      </c>
      <c r="C425" s="2">
        <v>32571</v>
      </c>
      <c r="D425">
        <v>36</v>
      </c>
      <c r="E425" t="s">
        <v>36</v>
      </c>
      <c r="F425" t="s">
        <v>50</v>
      </c>
      <c r="G425" s="2">
        <v>43460</v>
      </c>
      <c r="H425" s="3">
        <f t="shared" si="6"/>
        <v>6.8273972602739725</v>
      </c>
      <c r="I425">
        <v>92</v>
      </c>
      <c r="J425" t="s">
        <v>57</v>
      </c>
      <c r="K425" t="s">
        <v>51</v>
      </c>
      <c r="L425" t="s">
        <v>44</v>
      </c>
      <c r="M425">
        <v>33.01</v>
      </c>
      <c r="N425">
        <v>32.71</v>
      </c>
      <c r="O425">
        <v>32.409999999999997</v>
      </c>
      <c r="P425">
        <v>32.11</v>
      </c>
      <c r="Q425">
        <v>31.81</v>
      </c>
      <c r="R425">
        <v>31.51</v>
      </c>
      <c r="S425">
        <v>31.21</v>
      </c>
      <c r="T425" t="s">
        <v>49</v>
      </c>
      <c r="U425">
        <v>0</v>
      </c>
      <c r="V425">
        <v>4</v>
      </c>
    </row>
    <row r="426" spans="1:36" x14ac:dyDescent="0.3">
      <c r="A426">
        <v>425</v>
      </c>
      <c r="B426">
        <v>19258</v>
      </c>
      <c r="C426" s="2">
        <v>31678</v>
      </c>
      <c r="D426">
        <v>39</v>
      </c>
      <c r="E426" t="s">
        <v>36</v>
      </c>
      <c r="F426" t="s">
        <v>50</v>
      </c>
      <c r="G426" s="2">
        <v>43530</v>
      </c>
      <c r="H426" s="3">
        <f t="shared" si="6"/>
        <v>7.3369863013698629</v>
      </c>
      <c r="I426">
        <v>50</v>
      </c>
      <c r="J426" t="s">
        <v>38</v>
      </c>
      <c r="K426" t="s">
        <v>51</v>
      </c>
      <c r="L426" t="s">
        <v>44</v>
      </c>
      <c r="M426">
        <v>33.01</v>
      </c>
      <c r="N426">
        <v>32.71</v>
      </c>
      <c r="O426">
        <v>32.409999999999997</v>
      </c>
      <c r="P426">
        <v>32.11</v>
      </c>
      <c r="Q426">
        <v>31.81</v>
      </c>
      <c r="R426">
        <v>31.51</v>
      </c>
      <c r="T426" t="s">
        <v>49</v>
      </c>
      <c r="U426">
        <v>0</v>
      </c>
      <c r="V426">
        <v>2</v>
      </c>
    </row>
    <row r="427" spans="1:36" x14ac:dyDescent="0.3">
      <c r="A427">
        <v>426</v>
      </c>
      <c r="B427">
        <v>19260</v>
      </c>
      <c r="C427" s="2">
        <v>32275</v>
      </c>
      <c r="D427">
        <v>37</v>
      </c>
      <c r="E427" t="s">
        <v>36</v>
      </c>
      <c r="F427" t="s">
        <v>50</v>
      </c>
      <c r="G427" s="2">
        <v>43344</v>
      </c>
      <c r="H427" s="3">
        <f t="shared" si="6"/>
        <v>7.5534246575342463</v>
      </c>
      <c r="I427">
        <v>53</v>
      </c>
      <c r="J427" t="s">
        <v>38</v>
      </c>
      <c r="K427" t="s">
        <v>51</v>
      </c>
      <c r="L427" t="s">
        <v>44</v>
      </c>
      <c r="M427">
        <v>33.01</v>
      </c>
      <c r="N427">
        <v>32.71</v>
      </c>
      <c r="O427">
        <v>32.409999999999997</v>
      </c>
      <c r="P427">
        <v>32.11</v>
      </c>
      <c r="Q427">
        <v>31.81</v>
      </c>
      <c r="R427">
        <v>31.51</v>
      </c>
      <c r="S427">
        <v>31.21</v>
      </c>
      <c r="T427" t="s">
        <v>47</v>
      </c>
      <c r="U427">
        <v>0</v>
      </c>
      <c r="V427">
        <v>4</v>
      </c>
    </row>
    <row r="428" spans="1:36" x14ac:dyDescent="0.3">
      <c r="A428">
        <v>427</v>
      </c>
      <c r="B428">
        <v>19270</v>
      </c>
      <c r="C428" s="2">
        <v>28097</v>
      </c>
      <c r="D428">
        <v>49</v>
      </c>
      <c r="E428" t="s">
        <v>36</v>
      </c>
      <c r="F428" t="s">
        <v>50</v>
      </c>
      <c r="G428" s="2">
        <v>43265</v>
      </c>
      <c r="H428" s="3">
        <f t="shared" si="6"/>
        <v>7.5506849315068489</v>
      </c>
      <c r="I428">
        <v>117</v>
      </c>
      <c r="J428" t="s">
        <v>57</v>
      </c>
      <c r="K428" t="s">
        <v>51</v>
      </c>
      <c r="L428" t="s">
        <v>44</v>
      </c>
      <c r="M428">
        <v>33.1</v>
      </c>
      <c r="N428">
        <v>32.68</v>
      </c>
      <c r="O428">
        <v>32.39</v>
      </c>
      <c r="P428">
        <v>31.97</v>
      </c>
      <c r="Q428">
        <v>31.79</v>
      </c>
      <c r="R428">
        <v>31.52</v>
      </c>
      <c r="S428">
        <v>31.21</v>
      </c>
      <c r="T428" t="s">
        <v>47</v>
      </c>
      <c r="U428">
        <v>0</v>
      </c>
      <c r="V428">
        <v>4</v>
      </c>
    </row>
    <row r="429" spans="1:36" x14ac:dyDescent="0.3">
      <c r="A429">
        <v>428</v>
      </c>
      <c r="B429">
        <v>19280</v>
      </c>
      <c r="C429" s="2">
        <v>30234</v>
      </c>
      <c r="D429">
        <v>43</v>
      </c>
      <c r="E429" t="s">
        <v>36</v>
      </c>
      <c r="F429" t="s">
        <v>50</v>
      </c>
      <c r="G429" s="2">
        <v>43266</v>
      </c>
      <c r="H429" s="3">
        <f t="shared" si="6"/>
        <v>7.5643835616438357</v>
      </c>
      <c r="I429">
        <v>136</v>
      </c>
      <c r="J429" t="s">
        <v>57</v>
      </c>
      <c r="K429" t="s">
        <v>51</v>
      </c>
      <c r="L429" t="s">
        <v>44</v>
      </c>
      <c r="M429">
        <v>32.81</v>
      </c>
      <c r="N429">
        <v>32.590000000000003</v>
      </c>
      <c r="O429">
        <v>32.340000000000003</v>
      </c>
      <c r="P429">
        <v>32.06</v>
      </c>
      <c r="Q429">
        <v>31.68</v>
      </c>
      <c r="R429">
        <v>31.5</v>
      </c>
      <c r="S429">
        <v>31.21</v>
      </c>
      <c r="T429" t="s">
        <v>47</v>
      </c>
      <c r="U429">
        <v>0</v>
      </c>
      <c r="V429">
        <v>4</v>
      </c>
    </row>
    <row r="430" spans="1:36" x14ac:dyDescent="0.3">
      <c r="A430">
        <v>429</v>
      </c>
      <c r="B430">
        <v>19290</v>
      </c>
      <c r="C430" s="2">
        <v>32945</v>
      </c>
      <c r="D430">
        <v>35</v>
      </c>
      <c r="E430" t="s">
        <v>42</v>
      </c>
      <c r="F430" t="s">
        <v>50</v>
      </c>
      <c r="G430" s="2">
        <v>43261</v>
      </c>
      <c r="H430" s="3">
        <f t="shared" si="6"/>
        <v>7.6191780821917812</v>
      </c>
      <c r="I430">
        <v>29</v>
      </c>
      <c r="J430" t="s">
        <v>38</v>
      </c>
      <c r="K430" t="s">
        <v>51</v>
      </c>
      <c r="L430" t="s">
        <v>44</v>
      </c>
      <c r="M430">
        <v>31.81</v>
      </c>
      <c r="N430">
        <v>31.66</v>
      </c>
      <c r="O430">
        <v>31.51</v>
      </c>
      <c r="P430">
        <v>31.51</v>
      </c>
      <c r="Q430">
        <v>31.36</v>
      </c>
      <c r="R430">
        <v>31.21</v>
      </c>
      <c r="S430">
        <v>31.21</v>
      </c>
      <c r="T430" t="s">
        <v>47</v>
      </c>
      <c r="U430">
        <v>0</v>
      </c>
      <c r="V430">
        <v>5</v>
      </c>
    </row>
    <row r="431" spans="1:36" x14ac:dyDescent="0.3">
      <c r="A431">
        <v>430</v>
      </c>
      <c r="B431">
        <v>19309</v>
      </c>
      <c r="C431" s="2">
        <v>32728</v>
      </c>
      <c r="D431">
        <v>36</v>
      </c>
      <c r="E431" t="s">
        <v>36</v>
      </c>
      <c r="F431" t="s">
        <v>50</v>
      </c>
      <c r="G431" s="2">
        <v>43241</v>
      </c>
      <c r="H431" s="3">
        <f t="shared" si="6"/>
        <v>7.0904109589041093</v>
      </c>
      <c r="I431">
        <v>88</v>
      </c>
      <c r="J431" t="s">
        <v>57</v>
      </c>
      <c r="K431" t="s">
        <v>51</v>
      </c>
      <c r="L431" t="s">
        <v>44</v>
      </c>
      <c r="M431">
        <v>31.81</v>
      </c>
      <c r="N431">
        <v>31.81</v>
      </c>
      <c r="O431">
        <v>31.81</v>
      </c>
      <c r="P431">
        <v>31.66</v>
      </c>
      <c r="Q431">
        <v>31.51</v>
      </c>
      <c r="R431">
        <v>31.36</v>
      </c>
      <c r="S431">
        <v>31.21</v>
      </c>
      <c r="T431" t="s">
        <v>47</v>
      </c>
      <c r="U431">
        <v>0</v>
      </c>
      <c r="V431">
        <v>3</v>
      </c>
    </row>
    <row r="432" spans="1:36" x14ac:dyDescent="0.3">
      <c r="A432">
        <v>431</v>
      </c>
      <c r="B432">
        <v>19315</v>
      </c>
      <c r="C432" s="2">
        <v>31630</v>
      </c>
      <c r="D432">
        <v>39</v>
      </c>
      <c r="E432" t="s">
        <v>36</v>
      </c>
      <c r="F432" t="s">
        <v>50</v>
      </c>
      <c r="G432" s="2">
        <v>43434</v>
      </c>
      <c r="H432" s="3">
        <f t="shared" si="6"/>
        <v>6.8356164383561646</v>
      </c>
      <c r="I432">
        <v>109</v>
      </c>
      <c r="J432" t="s">
        <v>57</v>
      </c>
      <c r="K432" t="s">
        <v>51</v>
      </c>
      <c r="L432" t="s">
        <v>44</v>
      </c>
      <c r="M432">
        <v>33.01</v>
      </c>
      <c r="N432">
        <v>32.71</v>
      </c>
      <c r="O432">
        <v>32.409999999999997</v>
      </c>
      <c r="P432">
        <v>32.11</v>
      </c>
      <c r="Q432">
        <v>31.81</v>
      </c>
      <c r="R432">
        <v>31.51</v>
      </c>
      <c r="S432">
        <v>31.21</v>
      </c>
      <c r="T432" t="s">
        <v>47</v>
      </c>
      <c r="U432">
        <v>0</v>
      </c>
      <c r="V432">
        <v>5</v>
      </c>
    </row>
    <row r="433" spans="1:22" x14ac:dyDescent="0.3">
      <c r="A433">
        <v>432</v>
      </c>
      <c r="B433">
        <v>19322</v>
      </c>
      <c r="C433" s="2">
        <v>29184</v>
      </c>
      <c r="D433">
        <v>46</v>
      </c>
      <c r="E433" t="s">
        <v>42</v>
      </c>
      <c r="F433" t="s">
        <v>50</v>
      </c>
      <c r="G433" s="2">
        <v>43527</v>
      </c>
      <c r="H433" s="3">
        <f t="shared" si="6"/>
        <v>6.9068493150684933</v>
      </c>
      <c r="I433">
        <v>120</v>
      </c>
      <c r="J433" t="s">
        <v>57</v>
      </c>
      <c r="K433" t="s">
        <v>51</v>
      </c>
      <c r="L433" t="s">
        <v>44</v>
      </c>
      <c r="M433">
        <v>33.01</v>
      </c>
      <c r="N433">
        <v>32.71</v>
      </c>
      <c r="O433">
        <v>32.409999999999997</v>
      </c>
      <c r="P433">
        <v>32.11</v>
      </c>
      <c r="Q433">
        <v>31.81</v>
      </c>
      <c r="R433">
        <v>31.51</v>
      </c>
      <c r="T433" t="s">
        <v>47</v>
      </c>
      <c r="U433">
        <v>0</v>
      </c>
      <c r="V433">
        <v>5</v>
      </c>
    </row>
    <row r="434" spans="1:22" x14ac:dyDescent="0.3">
      <c r="A434">
        <v>433</v>
      </c>
      <c r="B434">
        <v>19330</v>
      </c>
      <c r="C434" s="2">
        <v>32956</v>
      </c>
      <c r="D434">
        <v>35</v>
      </c>
      <c r="E434" t="s">
        <v>36</v>
      </c>
      <c r="F434" t="s">
        <v>50</v>
      </c>
      <c r="G434" s="2">
        <v>43501</v>
      </c>
      <c r="H434" s="3">
        <f t="shared" si="6"/>
        <v>7.3698630136986303</v>
      </c>
      <c r="I434">
        <v>139</v>
      </c>
      <c r="J434" t="s">
        <v>57</v>
      </c>
      <c r="K434" t="s">
        <v>51</v>
      </c>
      <c r="L434" t="s">
        <v>44</v>
      </c>
      <c r="M434">
        <v>33.01</v>
      </c>
      <c r="N434">
        <v>32.71</v>
      </c>
      <c r="O434">
        <v>32.409999999999997</v>
      </c>
      <c r="P434">
        <v>32.11</v>
      </c>
      <c r="Q434">
        <v>31.81</v>
      </c>
      <c r="R434">
        <v>31.51</v>
      </c>
      <c r="T434" t="s">
        <v>47</v>
      </c>
      <c r="U434">
        <v>0</v>
      </c>
      <c r="V434">
        <v>4</v>
      </c>
    </row>
    <row r="435" spans="1:22" x14ac:dyDescent="0.3">
      <c r="A435">
        <v>434</v>
      </c>
      <c r="B435">
        <v>19332</v>
      </c>
      <c r="C435" s="2">
        <v>31593</v>
      </c>
      <c r="D435">
        <v>39</v>
      </c>
      <c r="E435" t="s">
        <v>36</v>
      </c>
      <c r="F435" t="s">
        <v>37</v>
      </c>
      <c r="G435" s="2">
        <v>43332</v>
      </c>
      <c r="H435" s="3">
        <f t="shared" si="6"/>
        <v>7.7260273972602738</v>
      </c>
      <c r="I435">
        <v>5</v>
      </c>
      <c r="J435" t="s">
        <v>38</v>
      </c>
      <c r="K435" t="s">
        <v>51</v>
      </c>
      <c r="L435" t="s">
        <v>44</v>
      </c>
      <c r="M435">
        <v>33.01</v>
      </c>
      <c r="N435">
        <v>32.71</v>
      </c>
      <c r="O435">
        <v>32.409999999999997</v>
      </c>
      <c r="P435">
        <v>32.11</v>
      </c>
      <c r="Q435">
        <v>31.81</v>
      </c>
      <c r="R435">
        <v>31.51</v>
      </c>
      <c r="S435">
        <v>31.21</v>
      </c>
      <c r="T435" t="s">
        <v>52</v>
      </c>
      <c r="U435">
        <v>0</v>
      </c>
      <c r="V435">
        <v>2</v>
      </c>
    </row>
    <row r="436" spans="1:22" x14ac:dyDescent="0.3">
      <c r="A436">
        <v>435</v>
      </c>
      <c r="B436">
        <v>19347</v>
      </c>
      <c r="C436" s="2">
        <v>32227</v>
      </c>
      <c r="D436">
        <v>37</v>
      </c>
      <c r="E436" t="s">
        <v>42</v>
      </c>
      <c r="F436" t="s">
        <v>50</v>
      </c>
      <c r="G436" s="2">
        <v>43202</v>
      </c>
      <c r="H436" s="3">
        <f t="shared" si="6"/>
        <v>7.2</v>
      </c>
      <c r="I436">
        <v>17</v>
      </c>
      <c r="J436" t="s">
        <v>38</v>
      </c>
      <c r="K436" t="s">
        <v>51</v>
      </c>
      <c r="L436" t="s">
        <v>44</v>
      </c>
      <c r="M436">
        <v>33.01</v>
      </c>
      <c r="N436">
        <v>32.71</v>
      </c>
      <c r="O436">
        <v>32.409999999999997</v>
      </c>
      <c r="P436">
        <v>32.11</v>
      </c>
      <c r="Q436">
        <v>31.81</v>
      </c>
      <c r="R436">
        <v>31.51</v>
      </c>
      <c r="S436">
        <v>31.21</v>
      </c>
      <c r="T436" t="s">
        <v>45</v>
      </c>
      <c r="U436">
        <v>0</v>
      </c>
      <c r="V436">
        <v>5</v>
      </c>
    </row>
    <row r="437" spans="1:22" x14ac:dyDescent="0.3">
      <c r="A437">
        <v>436</v>
      </c>
      <c r="B437">
        <v>19355</v>
      </c>
      <c r="C437" s="2">
        <v>31894</v>
      </c>
      <c r="D437">
        <v>38</v>
      </c>
      <c r="E437" t="s">
        <v>42</v>
      </c>
      <c r="F437" t="s">
        <v>37</v>
      </c>
      <c r="G437" s="2">
        <v>43394</v>
      </c>
      <c r="H437" s="3">
        <f t="shared" si="6"/>
        <v>7.1890410958904107</v>
      </c>
      <c r="I437">
        <v>30</v>
      </c>
      <c r="J437" t="s">
        <v>38</v>
      </c>
      <c r="K437" t="s">
        <v>51</v>
      </c>
      <c r="L437" t="s">
        <v>44</v>
      </c>
      <c r="M437">
        <v>33.01</v>
      </c>
      <c r="N437">
        <v>32.71</v>
      </c>
      <c r="O437">
        <v>32.409999999999997</v>
      </c>
      <c r="P437">
        <v>32.11</v>
      </c>
      <c r="Q437">
        <v>31.81</v>
      </c>
      <c r="R437">
        <v>31.51</v>
      </c>
      <c r="S437">
        <v>31.21</v>
      </c>
      <c r="T437" t="s">
        <v>47</v>
      </c>
      <c r="U437">
        <v>0</v>
      </c>
      <c r="V437">
        <v>6</v>
      </c>
    </row>
    <row r="438" spans="1:22" x14ac:dyDescent="0.3">
      <c r="A438">
        <v>437</v>
      </c>
      <c r="B438">
        <v>19364</v>
      </c>
      <c r="C438" s="2">
        <v>34163</v>
      </c>
      <c r="D438">
        <v>32</v>
      </c>
      <c r="E438" t="s">
        <v>36</v>
      </c>
      <c r="F438" t="s">
        <v>50</v>
      </c>
      <c r="G438" s="2">
        <v>43398</v>
      </c>
      <c r="H438" s="3">
        <f t="shared" si="6"/>
        <v>7.5835616438356164</v>
      </c>
      <c r="I438">
        <v>38</v>
      </c>
      <c r="J438" t="s">
        <v>38</v>
      </c>
      <c r="K438" t="s">
        <v>51</v>
      </c>
      <c r="L438" t="s">
        <v>44</v>
      </c>
      <c r="M438">
        <v>33.01</v>
      </c>
      <c r="N438">
        <v>32.71</v>
      </c>
      <c r="O438">
        <v>32.409999999999997</v>
      </c>
      <c r="P438">
        <v>32.11</v>
      </c>
      <c r="Q438">
        <v>31.81</v>
      </c>
      <c r="R438">
        <v>31.51</v>
      </c>
      <c r="S438">
        <v>31.21</v>
      </c>
      <c r="T438" t="s">
        <v>49</v>
      </c>
      <c r="U438">
        <v>0</v>
      </c>
      <c r="V438">
        <v>5</v>
      </c>
    </row>
    <row r="439" spans="1:22" x14ac:dyDescent="0.3">
      <c r="A439">
        <v>438</v>
      </c>
      <c r="B439">
        <v>19368</v>
      </c>
      <c r="C439" s="2">
        <v>30387</v>
      </c>
      <c r="D439">
        <v>42</v>
      </c>
      <c r="E439" t="s">
        <v>36</v>
      </c>
      <c r="F439" t="s">
        <v>37</v>
      </c>
      <c r="G439" s="2">
        <v>43254</v>
      </c>
      <c r="H439" s="3">
        <f t="shared" si="6"/>
        <v>7.0109589041095894</v>
      </c>
      <c r="I439">
        <v>41</v>
      </c>
      <c r="J439" t="s">
        <v>38</v>
      </c>
      <c r="K439" t="s">
        <v>51</v>
      </c>
      <c r="L439" t="s">
        <v>44</v>
      </c>
      <c r="M439">
        <v>33.01</v>
      </c>
      <c r="N439">
        <v>32.71</v>
      </c>
      <c r="O439">
        <v>32.409999999999997</v>
      </c>
      <c r="P439">
        <v>32.11</v>
      </c>
      <c r="Q439">
        <v>31.81</v>
      </c>
      <c r="R439">
        <v>31.51</v>
      </c>
      <c r="S439">
        <v>31.21</v>
      </c>
      <c r="T439" t="s">
        <v>52</v>
      </c>
      <c r="U439">
        <v>0</v>
      </c>
      <c r="V439">
        <v>5</v>
      </c>
    </row>
    <row r="440" spans="1:22" x14ac:dyDescent="0.3">
      <c r="A440">
        <v>439</v>
      </c>
      <c r="B440">
        <v>19435</v>
      </c>
      <c r="C440" s="2">
        <v>28044</v>
      </c>
      <c r="D440">
        <v>49</v>
      </c>
      <c r="E440" t="s">
        <v>36</v>
      </c>
      <c r="F440" t="s">
        <v>50</v>
      </c>
      <c r="G440" s="2">
        <v>43463</v>
      </c>
      <c r="H440" s="3">
        <f t="shared" si="6"/>
        <v>7.4465753424657537</v>
      </c>
      <c r="I440">
        <v>93</v>
      </c>
      <c r="J440" t="s">
        <v>57</v>
      </c>
      <c r="K440" t="s">
        <v>51</v>
      </c>
      <c r="L440" t="s">
        <v>44</v>
      </c>
      <c r="M440">
        <v>33.01</v>
      </c>
      <c r="N440">
        <v>32.71</v>
      </c>
      <c r="O440">
        <v>32.409999999999997</v>
      </c>
      <c r="P440">
        <v>32.11</v>
      </c>
      <c r="Q440">
        <v>31.81</v>
      </c>
      <c r="R440">
        <v>31.51</v>
      </c>
      <c r="S440">
        <v>31.21</v>
      </c>
      <c r="T440" t="s">
        <v>49</v>
      </c>
      <c r="U440">
        <v>0</v>
      </c>
      <c r="V440">
        <v>4</v>
      </c>
    </row>
    <row r="441" spans="1:22" x14ac:dyDescent="0.3">
      <c r="A441">
        <v>440</v>
      </c>
      <c r="B441">
        <v>19474</v>
      </c>
      <c r="C441" s="2">
        <v>32555</v>
      </c>
      <c r="D441">
        <v>36</v>
      </c>
      <c r="E441" t="s">
        <v>36</v>
      </c>
      <c r="F441" t="s">
        <v>50</v>
      </c>
      <c r="G441" s="2">
        <v>43304</v>
      </c>
      <c r="H441" s="3">
        <f t="shared" si="6"/>
        <v>7.0931506849315067</v>
      </c>
      <c r="I441">
        <v>131</v>
      </c>
      <c r="J441" t="s">
        <v>57</v>
      </c>
      <c r="K441" t="s">
        <v>51</v>
      </c>
      <c r="L441" t="s">
        <v>44</v>
      </c>
      <c r="M441">
        <v>33.01</v>
      </c>
      <c r="N441">
        <v>32.71</v>
      </c>
      <c r="O441">
        <v>32.409999999999997</v>
      </c>
      <c r="P441">
        <v>32.11</v>
      </c>
      <c r="Q441">
        <v>31.81</v>
      </c>
      <c r="R441">
        <v>31.51</v>
      </c>
      <c r="S441">
        <v>31.21</v>
      </c>
      <c r="T441" t="s">
        <v>49</v>
      </c>
      <c r="U441">
        <v>0</v>
      </c>
      <c r="V441">
        <v>4</v>
      </c>
    </row>
    <row r="442" spans="1:22" x14ac:dyDescent="0.3">
      <c r="A442">
        <v>441</v>
      </c>
      <c r="B442">
        <v>19526</v>
      </c>
      <c r="C442" s="2">
        <v>34259</v>
      </c>
      <c r="D442">
        <v>32</v>
      </c>
      <c r="E442" t="s">
        <v>42</v>
      </c>
      <c r="F442" t="s">
        <v>50</v>
      </c>
      <c r="G442" s="2">
        <v>43433</v>
      </c>
      <c r="H442" s="3">
        <f t="shared" si="6"/>
        <v>7.0794520547945208</v>
      </c>
      <c r="I442">
        <v>15</v>
      </c>
      <c r="J442" t="s">
        <v>38</v>
      </c>
      <c r="K442" t="s">
        <v>53</v>
      </c>
      <c r="L442" t="s">
        <v>44</v>
      </c>
      <c r="M442">
        <v>22.15</v>
      </c>
      <c r="N442">
        <v>21.85</v>
      </c>
      <c r="O442">
        <v>21.55</v>
      </c>
      <c r="P442">
        <v>21.25</v>
      </c>
      <c r="Q442">
        <v>20.95</v>
      </c>
      <c r="R442">
        <v>20.65</v>
      </c>
      <c r="S442">
        <v>20.350000000000001</v>
      </c>
      <c r="T442" t="s">
        <v>49</v>
      </c>
      <c r="U442">
        <v>3</v>
      </c>
      <c r="V442">
        <v>6</v>
      </c>
    </row>
    <row r="443" spans="1:22" x14ac:dyDescent="0.3">
      <c r="A443">
        <v>442</v>
      </c>
      <c r="B443">
        <v>19531</v>
      </c>
      <c r="C443" s="2">
        <v>33176</v>
      </c>
      <c r="D443">
        <v>35</v>
      </c>
      <c r="E443" t="s">
        <v>36</v>
      </c>
      <c r="F443" t="s">
        <v>50</v>
      </c>
      <c r="G443" s="2">
        <v>43438</v>
      </c>
      <c r="H443" s="3">
        <f t="shared" si="6"/>
        <v>7.6876712328767125</v>
      </c>
      <c r="I443">
        <v>33</v>
      </c>
      <c r="J443" t="s">
        <v>38</v>
      </c>
      <c r="K443" t="s">
        <v>53</v>
      </c>
      <c r="L443" t="s">
        <v>44</v>
      </c>
      <c r="M443">
        <v>22.04</v>
      </c>
      <c r="N443">
        <v>21.77</v>
      </c>
      <c r="O443">
        <v>21.51</v>
      </c>
      <c r="P443">
        <v>21.32</v>
      </c>
      <c r="Q443">
        <v>21.06</v>
      </c>
      <c r="R443">
        <v>20.64</v>
      </c>
      <c r="S443">
        <v>20.350000000000001</v>
      </c>
      <c r="T443" t="s">
        <v>47</v>
      </c>
      <c r="U443">
        <v>3</v>
      </c>
      <c r="V443">
        <v>4</v>
      </c>
    </row>
    <row r="444" spans="1:22" x14ac:dyDescent="0.3">
      <c r="A444">
        <v>443</v>
      </c>
      <c r="B444">
        <v>19569</v>
      </c>
      <c r="C444" s="2">
        <v>32857</v>
      </c>
      <c r="D444">
        <v>36</v>
      </c>
      <c r="E444" t="s">
        <v>36</v>
      </c>
      <c r="F444" t="s">
        <v>50</v>
      </c>
      <c r="G444" s="2">
        <v>43216</v>
      </c>
      <c r="H444" s="3">
        <f t="shared" si="6"/>
        <v>7.8109589041095893</v>
      </c>
      <c r="I444">
        <v>5</v>
      </c>
      <c r="J444" t="s">
        <v>38</v>
      </c>
      <c r="K444" t="s">
        <v>53</v>
      </c>
      <c r="L444" t="s">
        <v>44</v>
      </c>
      <c r="M444">
        <v>22.15</v>
      </c>
      <c r="N444">
        <v>21.85</v>
      </c>
      <c r="O444">
        <v>21.55</v>
      </c>
      <c r="P444">
        <v>21.25</v>
      </c>
      <c r="Q444">
        <v>20.95</v>
      </c>
      <c r="R444">
        <v>20.65</v>
      </c>
      <c r="S444">
        <v>20.350000000000001</v>
      </c>
      <c r="T444" t="s">
        <v>47</v>
      </c>
      <c r="U444">
        <v>4</v>
      </c>
      <c r="V444">
        <v>6</v>
      </c>
    </row>
    <row r="445" spans="1:22" x14ac:dyDescent="0.3">
      <c r="A445">
        <v>444</v>
      </c>
      <c r="B445">
        <v>19618</v>
      </c>
      <c r="C445" s="2">
        <v>33192</v>
      </c>
      <c r="D445">
        <v>35</v>
      </c>
      <c r="E445" t="s">
        <v>42</v>
      </c>
      <c r="F445" t="s">
        <v>50</v>
      </c>
      <c r="G445" s="2">
        <v>43171</v>
      </c>
      <c r="H445" s="3">
        <f t="shared" si="6"/>
        <v>7.0493150684931507</v>
      </c>
      <c r="I445">
        <v>129</v>
      </c>
      <c r="J445" t="s">
        <v>57</v>
      </c>
      <c r="K445" t="s">
        <v>53</v>
      </c>
      <c r="L445" t="s">
        <v>44</v>
      </c>
      <c r="M445">
        <v>22.15</v>
      </c>
      <c r="N445">
        <v>21.85</v>
      </c>
      <c r="O445">
        <v>21.55</v>
      </c>
      <c r="P445">
        <v>21.25</v>
      </c>
      <c r="Q445">
        <v>20.95</v>
      </c>
      <c r="R445">
        <v>20.65</v>
      </c>
      <c r="S445">
        <v>20.350000000000001</v>
      </c>
      <c r="T445" t="s">
        <v>49</v>
      </c>
      <c r="U445">
        <v>4</v>
      </c>
      <c r="V445">
        <v>7</v>
      </c>
    </row>
    <row r="446" spans="1:22" x14ac:dyDescent="0.3">
      <c r="A446">
        <v>445</v>
      </c>
      <c r="B446">
        <v>19667</v>
      </c>
      <c r="C446" s="2">
        <v>34525</v>
      </c>
      <c r="D446">
        <v>31</v>
      </c>
      <c r="E446" t="s">
        <v>36</v>
      </c>
      <c r="F446" t="s">
        <v>50</v>
      </c>
      <c r="G446" s="2">
        <v>43449</v>
      </c>
      <c r="H446" s="3">
        <f t="shared" si="6"/>
        <v>6.9205479452054792</v>
      </c>
      <c r="I446">
        <v>24</v>
      </c>
      <c r="J446" t="s">
        <v>38</v>
      </c>
      <c r="K446" t="s">
        <v>53</v>
      </c>
      <c r="L446" t="s">
        <v>44</v>
      </c>
      <c r="M446">
        <v>22.15</v>
      </c>
      <c r="N446">
        <v>21.85</v>
      </c>
      <c r="O446">
        <v>21.55</v>
      </c>
      <c r="P446">
        <v>21.25</v>
      </c>
      <c r="Q446">
        <v>20.95</v>
      </c>
      <c r="R446">
        <v>20.65</v>
      </c>
      <c r="S446">
        <v>20.350000000000001</v>
      </c>
      <c r="T446" t="s">
        <v>47</v>
      </c>
      <c r="U446">
        <v>4</v>
      </c>
      <c r="V446">
        <v>4</v>
      </c>
    </row>
    <row r="447" spans="1:22" x14ac:dyDescent="0.3">
      <c r="A447">
        <v>446</v>
      </c>
      <c r="B447">
        <v>19721</v>
      </c>
      <c r="C447" s="2">
        <v>31918</v>
      </c>
      <c r="D447">
        <v>38</v>
      </c>
      <c r="E447" t="s">
        <v>36</v>
      </c>
      <c r="F447" t="s">
        <v>50</v>
      </c>
      <c r="G447" s="2">
        <v>43496</v>
      </c>
      <c r="H447" s="3">
        <f t="shared" si="6"/>
        <v>7.0684931506849313</v>
      </c>
      <c r="I447">
        <v>52</v>
      </c>
      <c r="J447" t="s">
        <v>38</v>
      </c>
      <c r="K447" t="s">
        <v>53</v>
      </c>
      <c r="L447" t="s">
        <v>44</v>
      </c>
      <c r="M447">
        <v>22.15</v>
      </c>
      <c r="N447">
        <v>21.85</v>
      </c>
      <c r="O447">
        <v>21.55</v>
      </c>
      <c r="P447">
        <v>21.25</v>
      </c>
      <c r="Q447">
        <v>20.95</v>
      </c>
      <c r="R447">
        <v>20.65</v>
      </c>
      <c r="T447" t="s">
        <v>47</v>
      </c>
      <c r="U447">
        <v>2</v>
      </c>
      <c r="V447">
        <v>6</v>
      </c>
    </row>
    <row r="448" spans="1:22" x14ac:dyDescent="0.3">
      <c r="A448">
        <v>447</v>
      </c>
      <c r="B448">
        <v>19762</v>
      </c>
      <c r="C448" s="2">
        <v>33723</v>
      </c>
      <c r="D448">
        <v>33</v>
      </c>
      <c r="E448" t="s">
        <v>36</v>
      </c>
      <c r="F448" t="s">
        <v>50</v>
      </c>
      <c r="G448" s="2">
        <v>43442</v>
      </c>
      <c r="H448" s="3">
        <f t="shared" si="6"/>
        <v>7.279452054794521</v>
      </c>
      <c r="I448">
        <v>77</v>
      </c>
      <c r="J448" t="s">
        <v>57</v>
      </c>
      <c r="K448" t="s">
        <v>53</v>
      </c>
      <c r="L448" t="s">
        <v>44</v>
      </c>
      <c r="M448">
        <v>22.15</v>
      </c>
      <c r="N448">
        <v>21.85</v>
      </c>
      <c r="O448">
        <v>21.55</v>
      </c>
      <c r="P448">
        <v>21.25</v>
      </c>
      <c r="Q448">
        <v>20.95</v>
      </c>
      <c r="R448">
        <v>20.65</v>
      </c>
      <c r="S448">
        <v>20.350000000000001</v>
      </c>
      <c r="T448" t="s">
        <v>52</v>
      </c>
      <c r="U448">
        <v>5</v>
      </c>
      <c r="V448">
        <v>6</v>
      </c>
    </row>
    <row r="449" spans="1:22" x14ac:dyDescent="0.3">
      <c r="A449">
        <v>448</v>
      </c>
      <c r="B449">
        <v>19769</v>
      </c>
      <c r="C449" s="2">
        <v>34000</v>
      </c>
      <c r="D449">
        <v>32</v>
      </c>
      <c r="E449" t="s">
        <v>36</v>
      </c>
      <c r="F449" t="s">
        <v>50</v>
      </c>
      <c r="G449" s="2">
        <v>43365</v>
      </c>
      <c r="H449" s="3">
        <f t="shared" si="6"/>
        <v>6.9205479452054792</v>
      </c>
      <c r="I449">
        <v>80</v>
      </c>
      <c r="J449" t="s">
        <v>57</v>
      </c>
      <c r="K449" t="s">
        <v>53</v>
      </c>
      <c r="L449" t="s">
        <v>44</v>
      </c>
      <c r="M449">
        <v>22.15</v>
      </c>
      <c r="N449">
        <v>21.85</v>
      </c>
      <c r="O449">
        <v>21.55</v>
      </c>
      <c r="P449">
        <v>21.25</v>
      </c>
      <c r="Q449">
        <v>20.95</v>
      </c>
      <c r="R449">
        <v>20.65</v>
      </c>
      <c r="S449">
        <v>20.350000000000001</v>
      </c>
      <c r="T449" t="s">
        <v>47</v>
      </c>
      <c r="U449">
        <v>6</v>
      </c>
      <c r="V449">
        <v>5</v>
      </c>
    </row>
    <row r="450" spans="1:22" x14ac:dyDescent="0.3">
      <c r="A450">
        <v>449</v>
      </c>
      <c r="B450">
        <v>19784</v>
      </c>
      <c r="C450" s="2">
        <v>33711</v>
      </c>
      <c r="D450">
        <v>33</v>
      </c>
      <c r="E450" t="s">
        <v>42</v>
      </c>
      <c r="F450" t="s">
        <v>50</v>
      </c>
      <c r="G450" s="2">
        <v>43496</v>
      </c>
      <c r="H450" s="3">
        <f t="shared" si="6"/>
        <v>7.8246575342465752</v>
      </c>
      <c r="I450">
        <v>92</v>
      </c>
      <c r="J450" t="s">
        <v>57</v>
      </c>
      <c r="K450" t="s">
        <v>53</v>
      </c>
      <c r="L450" t="s">
        <v>44</v>
      </c>
      <c r="M450">
        <v>22.15</v>
      </c>
      <c r="N450">
        <v>21.85</v>
      </c>
      <c r="O450">
        <v>21.55</v>
      </c>
      <c r="P450">
        <v>21.25</v>
      </c>
      <c r="Q450">
        <v>20.95</v>
      </c>
      <c r="R450">
        <v>20.65</v>
      </c>
      <c r="T450" t="s">
        <v>47</v>
      </c>
      <c r="U450">
        <v>6</v>
      </c>
      <c r="V450">
        <v>6</v>
      </c>
    </row>
    <row r="451" spans="1:22" x14ac:dyDescent="0.3">
      <c r="A451">
        <v>450</v>
      </c>
      <c r="B451">
        <v>19789</v>
      </c>
      <c r="C451" s="2">
        <v>31662</v>
      </c>
      <c r="D451">
        <v>39</v>
      </c>
      <c r="E451" t="s">
        <v>36</v>
      </c>
      <c r="F451" t="s">
        <v>50</v>
      </c>
      <c r="G451" s="2">
        <v>43166</v>
      </c>
      <c r="H451" s="3">
        <f t="shared" ref="H451:H514" si="7">DATEDIF(G452,DATE(2025,12,31),"d")/365</f>
        <v>6.9205479452054792</v>
      </c>
      <c r="I451">
        <v>97</v>
      </c>
      <c r="J451" t="s">
        <v>57</v>
      </c>
      <c r="K451" t="s">
        <v>53</v>
      </c>
      <c r="L451" t="s">
        <v>44</v>
      </c>
      <c r="M451">
        <v>21.67</v>
      </c>
      <c r="N451">
        <v>21.67</v>
      </c>
      <c r="O451">
        <v>21.26</v>
      </c>
      <c r="P451">
        <v>21.08</v>
      </c>
      <c r="Q451">
        <v>21.08</v>
      </c>
      <c r="R451">
        <v>20.74</v>
      </c>
      <c r="S451">
        <v>20.350000000000001</v>
      </c>
      <c r="T451" t="s">
        <v>47</v>
      </c>
      <c r="U451">
        <v>3</v>
      </c>
      <c r="V451">
        <v>5</v>
      </c>
    </row>
    <row r="452" spans="1:22" x14ac:dyDescent="0.3">
      <c r="A452">
        <v>451</v>
      </c>
      <c r="B452">
        <v>19810</v>
      </c>
      <c r="C452" s="2">
        <v>32340</v>
      </c>
      <c r="D452">
        <v>37</v>
      </c>
      <c r="E452" t="s">
        <v>36</v>
      </c>
      <c r="F452" t="s">
        <v>37</v>
      </c>
      <c r="G452" s="2">
        <v>43496</v>
      </c>
      <c r="H452" s="3">
        <f t="shared" si="7"/>
        <v>7.0383561643835613</v>
      </c>
      <c r="I452">
        <v>109</v>
      </c>
      <c r="J452" t="s">
        <v>57</v>
      </c>
      <c r="K452" t="s">
        <v>53</v>
      </c>
      <c r="L452" t="s">
        <v>44</v>
      </c>
      <c r="M452">
        <v>22.15</v>
      </c>
      <c r="N452">
        <v>21.85</v>
      </c>
      <c r="O452">
        <v>21.55</v>
      </c>
      <c r="P452">
        <v>21.25</v>
      </c>
      <c r="Q452">
        <v>20.95</v>
      </c>
      <c r="R452">
        <v>20.65</v>
      </c>
      <c r="T452" t="s">
        <v>47</v>
      </c>
      <c r="U452">
        <v>4</v>
      </c>
      <c r="V452">
        <v>3</v>
      </c>
    </row>
    <row r="453" spans="1:22" x14ac:dyDescent="0.3">
      <c r="A453">
        <v>452</v>
      </c>
      <c r="B453">
        <v>19826</v>
      </c>
      <c r="C453" s="2">
        <v>34433</v>
      </c>
      <c r="D453">
        <v>31</v>
      </c>
      <c r="E453" t="s">
        <v>36</v>
      </c>
      <c r="F453" t="s">
        <v>50</v>
      </c>
      <c r="G453" s="2">
        <v>43453</v>
      </c>
      <c r="H453" s="3">
        <f t="shared" si="7"/>
        <v>6.8657534246575347</v>
      </c>
      <c r="I453">
        <v>120</v>
      </c>
      <c r="J453" t="s">
        <v>57</v>
      </c>
      <c r="K453" t="s">
        <v>53</v>
      </c>
      <c r="L453" t="s">
        <v>44</v>
      </c>
      <c r="M453">
        <v>22.15</v>
      </c>
      <c r="N453">
        <v>21.85</v>
      </c>
      <c r="O453">
        <v>21.55</v>
      </c>
      <c r="P453">
        <v>21.25</v>
      </c>
      <c r="Q453">
        <v>20.95</v>
      </c>
      <c r="R453">
        <v>20.65</v>
      </c>
      <c r="S453">
        <v>20.350000000000001</v>
      </c>
      <c r="T453" t="s">
        <v>47</v>
      </c>
      <c r="U453">
        <v>2</v>
      </c>
      <c r="V453">
        <v>5</v>
      </c>
    </row>
    <row r="454" spans="1:22" x14ac:dyDescent="0.3">
      <c r="A454">
        <v>453</v>
      </c>
      <c r="B454">
        <v>19849</v>
      </c>
      <c r="C454" s="2">
        <v>34541</v>
      </c>
      <c r="D454">
        <v>31</v>
      </c>
      <c r="E454" t="s">
        <v>36</v>
      </c>
      <c r="F454" t="s">
        <v>50</v>
      </c>
      <c r="G454" s="2">
        <v>43516</v>
      </c>
      <c r="H454" s="3">
        <f t="shared" si="7"/>
        <v>7.3150684931506849</v>
      </c>
      <c r="I454">
        <v>1</v>
      </c>
      <c r="J454" t="s">
        <v>38</v>
      </c>
      <c r="K454" t="s">
        <v>46</v>
      </c>
      <c r="L454" t="s">
        <v>44</v>
      </c>
      <c r="M454">
        <v>14.07</v>
      </c>
      <c r="N454">
        <v>13.77</v>
      </c>
      <c r="O454">
        <v>13.47</v>
      </c>
      <c r="P454">
        <v>13.17</v>
      </c>
      <c r="Q454">
        <v>12.87</v>
      </c>
      <c r="R454">
        <v>12.57</v>
      </c>
      <c r="T454" t="s">
        <v>49</v>
      </c>
      <c r="U454">
        <v>0</v>
      </c>
      <c r="V454">
        <v>4</v>
      </c>
    </row>
    <row r="455" spans="1:22" x14ac:dyDescent="0.3">
      <c r="A455">
        <v>454</v>
      </c>
      <c r="B455">
        <v>19859</v>
      </c>
      <c r="C455" s="2">
        <v>34946</v>
      </c>
      <c r="D455">
        <v>30</v>
      </c>
      <c r="E455" t="s">
        <v>36</v>
      </c>
      <c r="F455" t="s">
        <v>50</v>
      </c>
      <c r="G455" s="2">
        <v>43352</v>
      </c>
      <c r="H455" s="3">
        <f t="shared" si="7"/>
        <v>7.3287671232876717</v>
      </c>
      <c r="I455">
        <v>9</v>
      </c>
      <c r="J455" t="s">
        <v>38</v>
      </c>
      <c r="K455" t="s">
        <v>55</v>
      </c>
      <c r="L455" t="s">
        <v>44</v>
      </c>
      <c r="M455">
        <v>16.97</v>
      </c>
      <c r="N455">
        <v>16.670000000000002</v>
      </c>
      <c r="O455">
        <v>16.37</v>
      </c>
      <c r="P455">
        <v>16.07</v>
      </c>
      <c r="Q455">
        <v>15.77</v>
      </c>
      <c r="R455">
        <v>15.47</v>
      </c>
      <c r="S455">
        <v>15.17</v>
      </c>
      <c r="T455" t="s">
        <v>47</v>
      </c>
      <c r="U455">
        <v>2</v>
      </c>
      <c r="V455">
        <v>4</v>
      </c>
    </row>
    <row r="456" spans="1:22" x14ac:dyDescent="0.3">
      <c r="A456">
        <v>455</v>
      </c>
      <c r="B456">
        <v>19860</v>
      </c>
      <c r="C456" s="2">
        <v>32825</v>
      </c>
      <c r="D456">
        <v>36</v>
      </c>
      <c r="E456" t="s">
        <v>36</v>
      </c>
      <c r="F456" t="s">
        <v>37</v>
      </c>
      <c r="G456" s="2">
        <v>43347</v>
      </c>
      <c r="H456" s="3">
        <f t="shared" si="7"/>
        <v>7.3232876712328769</v>
      </c>
      <c r="I456">
        <v>10</v>
      </c>
      <c r="J456" t="s">
        <v>38</v>
      </c>
      <c r="K456" t="s">
        <v>46</v>
      </c>
      <c r="L456" t="s">
        <v>44</v>
      </c>
      <c r="M456">
        <v>14.07</v>
      </c>
      <c r="N456">
        <v>13.77</v>
      </c>
      <c r="O456">
        <v>13.47</v>
      </c>
      <c r="P456">
        <v>13.17</v>
      </c>
      <c r="Q456">
        <v>12.87</v>
      </c>
      <c r="R456">
        <v>12.57</v>
      </c>
      <c r="S456">
        <v>12.27</v>
      </c>
      <c r="T456" t="s">
        <v>52</v>
      </c>
      <c r="U456">
        <v>0</v>
      </c>
      <c r="V456">
        <v>3</v>
      </c>
    </row>
    <row r="457" spans="1:22" x14ac:dyDescent="0.3">
      <c r="A457">
        <v>456</v>
      </c>
      <c r="B457">
        <v>19931</v>
      </c>
      <c r="C457" s="2">
        <v>32412</v>
      </c>
      <c r="D457">
        <v>37</v>
      </c>
      <c r="E457" t="s">
        <v>36</v>
      </c>
      <c r="F457" t="s">
        <v>50</v>
      </c>
      <c r="G457" s="2">
        <v>43349</v>
      </c>
      <c r="H457" s="3">
        <f t="shared" si="7"/>
        <v>6.9890410958904106</v>
      </c>
      <c r="I457">
        <v>72</v>
      </c>
      <c r="J457" t="s">
        <v>57</v>
      </c>
      <c r="K457" t="s">
        <v>43</v>
      </c>
      <c r="L457" t="s">
        <v>44</v>
      </c>
      <c r="M457">
        <v>15.92</v>
      </c>
      <c r="N457">
        <v>15.62</v>
      </c>
      <c r="O457">
        <v>15.32</v>
      </c>
      <c r="P457">
        <v>15.02</v>
      </c>
      <c r="Q457">
        <v>14.72</v>
      </c>
      <c r="R457">
        <v>14.42</v>
      </c>
      <c r="S457">
        <v>14.12</v>
      </c>
      <c r="T457" t="s">
        <v>52</v>
      </c>
      <c r="U457">
        <v>0</v>
      </c>
      <c r="V457">
        <v>3</v>
      </c>
    </row>
    <row r="458" spans="1:22" x14ac:dyDescent="0.3">
      <c r="A458">
        <v>457</v>
      </c>
      <c r="B458">
        <v>19934</v>
      </c>
      <c r="C458" s="2">
        <v>35987</v>
      </c>
      <c r="D458">
        <v>27</v>
      </c>
      <c r="E458" t="s">
        <v>42</v>
      </c>
      <c r="F458" t="s">
        <v>50</v>
      </c>
      <c r="G458" s="2">
        <v>43471</v>
      </c>
      <c r="H458" s="3">
        <f t="shared" si="7"/>
        <v>7.7561643835616438</v>
      </c>
      <c r="I458">
        <v>77</v>
      </c>
      <c r="J458" t="s">
        <v>57</v>
      </c>
      <c r="K458" t="s">
        <v>48</v>
      </c>
      <c r="L458" t="s">
        <v>44</v>
      </c>
      <c r="M458">
        <v>17.239999999999998</v>
      </c>
      <c r="N458">
        <v>16.940000000000001</v>
      </c>
      <c r="O458">
        <v>16.64</v>
      </c>
      <c r="P458">
        <v>16.34</v>
      </c>
      <c r="Q458">
        <v>16.04</v>
      </c>
      <c r="R458">
        <v>15.74</v>
      </c>
      <c r="T458" t="s">
        <v>47</v>
      </c>
      <c r="U458">
        <v>2</v>
      </c>
      <c r="V458">
        <v>5</v>
      </c>
    </row>
    <row r="459" spans="1:22" x14ac:dyDescent="0.3">
      <c r="A459">
        <v>458</v>
      </c>
      <c r="B459">
        <v>19951</v>
      </c>
      <c r="C459" s="2">
        <v>36151</v>
      </c>
      <c r="D459">
        <v>27</v>
      </c>
      <c r="E459" t="s">
        <v>42</v>
      </c>
      <c r="F459" t="s">
        <v>50</v>
      </c>
      <c r="G459" s="2">
        <v>43191</v>
      </c>
      <c r="H459" s="3">
        <f t="shared" si="7"/>
        <v>7.1095890410958908</v>
      </c>
      <c r="I459">
        <v>92</v>
      </c>
      <c r="J459" t="s">
        <v>57</v>
      </c>
      <c r="K459" t="s">
        <v>43</v>
      </c>
      <c r="L459" t="s">
        <v>44</v>
      </c>
      <c r="M459">
        <v>15.92</v>
      </c>
      <c r="N459">
        <v>15.62</v>
      </c>
      <c r="O459">
        <v>15.32</v>
      </c>
      <c r="P459">
        <v>15.02</v>
      </c>
      <c r="Q459">
        <v>14.72</v>
      </c>
      <c r="R459">
        <v>14.42</v>
      </c>
      <c r="S459">
        <v>14.12</v>
      </c>
      <c r="T459" t="s">
        <v>47</v>
      </c>
      <c r="U459">
        <v>1</v>
      </c>
      <c r="V459">
        <v>5</v>
      </c>
    </row>
    <row r="460" spans="1:22" x14ac:dyDescent="0.3">
      <c r="A460">
        <v>459</v>
      </c>
      <c r="B460">
        <v>19953</v>
      </c>
      <c r="C460" s="2">
        <v>34647</v>
      </c>
      <c r="D460">
        <v>31</v>
      </c>
      <c r="E460" t="s">
        <v>36</v>
      </c>
      <c r="F460" t="s">
        <v>50</v>
      </c>
      <c r="G460" s="2">
        <v>43427</v>
      </c>
      <c r="H460" s="3">
        <f t="shared" si="7"/>
        <v>7.2219178082191782</v>
      </c>
      <c r="I460">
        <v>94</v>
      </c>
      <c r="J460" t="s">
        <v>57</v>
      </c>
      <c r="K460" t="s">
        <v>55</v>
      </c>
      <c r="L460" t="s">
        <v>44</v>
      </c>
      <c r="M460">
        <v>16.97</v>
      </c>
      <c r="N460">
        <v>16.670000000000002</v>
      </c>
      <c r="O460">
        <v>16.37</v>
      </c>
      <c r="P460">
        <v>16.07</v>
      </c>
      <c r="Q460">
        <v>15.77</v>
      </c>
      <c r="R460">
        <v>15.47</v>
      </c>
      <c r="S460">
        <v>15.17</v>
      </c>
      <c r="T460" t="s">
        <v>49</v>
      </c>
      <c r="U460">
        <v>2</v>
      </c>
      <c r="V460">
        <v>5</v>
      </c>
    </row>
    <row r="461" spans="1:22" x14ac:dyDescent="0.3">
      <c r="A461">
        <v>460</v>
      </c>
      <c r="B461">
        <v>19960</v>
      </c>
      <c r="C461" s="2">
        <v>36834</v>
      </c>
      <c r="D461">
        <v>25</v>
      </c>
      <c r="E461" t="s">
        <v>42</v>
      </c>
      <c r="F461" t="s">
        <v>50</v>
      </c>
      <c r="G461" s="2">
        <v>43386</v>
      </c>
      <c r="H461" s="3">
        <f t="shared" si="7"/>
        <v>7.6547945205479451</v>
      </c>
      <c r="I461">
        <v>101</v>
      </c>
      <c r="J461" t="s">
        <v>57</v>
      </c>
      <c r="K461" t="s">
        <v>43</v>
      </c>
      <c r="L461" t="s">
        <v>44</v>
      </c>
      <c r="M461">
        <v>15.92</v>
      </c>
      <c r="N461">
        <v>15.62</v>
      </c>
      <c r="O461">
        <v>15.32</v>
      </c>
      <c r="P461">
        <v>15.02</v>
      </c>
      <c r="Q461">
        <v>14.72</v>
      </c>
      <c r="R461">
        <v>14.42</v>
      </c>
      <c r="S461">
        <v>14.12</v>
      </c>
      <c r="T461" t="s">
        <v>49</v>
      </c>
      <c r="U461">
        <v>2</v>
      </c>
      <c r="V461">
        <v>7</v>
      </c>
    </row>
    <row r="462" spans="1:22" x14ac:dyDescent="0.3">
      <c r="A462">
        <v>461</v>
      </c>
      <c r="B462">
        <v>19968</v>
      </c>
      <c r="C462" s="2">
        <v>34896</v>
      </c>
      <c r="D462">
        <v>30</v>
      </c>
      <c r="E462" t="s">
        <v>42</v>
      </c>
      <c r="F462" t="s">
        <v>37</v>
      </c>
      <c r="G462" s="2">
        <v>43228</v>
      </c>
      <c r="H462" s="3">
        <f t="shared" si="7"/>
        <v>7.6328767123287671</v>
      </c>
      <c r="I462">
        <v>108</v>
      </c>
      <c r="J462" t="s">
        <v>57</v>
      </c>
      <c r="K462" t="s">
        <v>43</v>
      </c>
      <c r="L462" t="s">
        <v>44</v>
      </c>
      <c r="M462">
        <v>15.92</v>
      </c>
      <c r="N462">
        <v>15.62</v>
      </c>
      <c r="O462">
        <v>15.32</v>
      </c>
      <c r="P462">
        <v>15.02</v>
      </c>
      <c r="Q462">
        <v>14.72</v>
      </c>
      <c r="R462">
        <v>14.42</v>
      </c>
      <c r="S462">
        <v>14.12</v>
      </c>
      <c r="T462" t="s">
        <v>52</v>
      </c>
      <c r="U462">
        <v>2</v>
      </c>
      <c r="V462">
        <v>7</v>
      </c>
    </row>
    <row r="463" spans="1:22" x14ac:dyDescent="0.3">
      <c r="A463">
        <v>462</v>
      </c>
      <c r="B463">
        <v>20098</v>
      </c>
      <c r="C463" s="2">
        <v>34067</v>
      </c>
      <c r="D463">
        <v>32</v>
      </c>
      <c r="E463" t="s">
        <v>42</v>
      </c>
      <c r="F463" t="s">
        <v>50</v>
      </c>
      <c r="G463" s="2">
        <v>43236</v>
      </c>
      <c r="H463" s="3">
        <f t="shared" si="7"/>
        <v>7.0465753424657533</v>
      </c>
      <c r="I463">
        <v>41</v>
      </c>
      <c r="J463" t="s">
        <v>38</v>
      </c>
      <c r="K463" t="s">
        <v>55</v>
      </c>
      <c r="L463" t="s">
        <v>44</v>
      </c>
      <c r="M463">
        <v>16.97</v>
      </c>
      <c r="N463">
        <v>16.670000000000002</v>
      </c>
      <c r="O463">
        <v>16.37</v>
      </c>
      <c r="P463">
        <v>16.07</v>
      </c>
      <c r="Q463">
        <v>15.77</v>
      </c>
      <c r="R463">
        <v>15.47</v>
      </c>
      <c r="S463">
        <v>15.17</v>
      </c>
      <c r="T463" t="s">
        <v>52</v>
      </c>
      <c r="U463">
        <v>2</v>
      </c>
      <c r="V463">
        <v>5</v>
      </c>
    </row>
    <row r="464" spans="1:22" x14ac:dyDescent="0.3">
      <c r="A464">
        <v>463</v>
      </c>
      <c r="B464">
        <v>20145</v>
      </c>
      <c r="C464" s="2">
        <v>36026</v>
      </c>
      <c r="D464">
        <v>27</v>
      </c>
      <c r="E464" t="s">
        <v>42</v>
      </c>
      <c r="F464" t="s">
        <v>37</v>
      </c>
      <c r="G464" s="2">
        <v>43450</v>
      </c>
      <c r="H464" s="3">
        <f t="shared" si="7"/>
        <v>7.5287671232876709</v>
      </c>
      <c r="I464">
        <v>63</v>
      </c>
      <c r="J464" t="s">
        <v>38</v>
      </c>
      <c r="K464" t="s">
        <v>43</v>
      </c>
      <c r="L464" t="s">
        <v>44</v>
      </c>
      <c r="M464">
        <v>15.92</v>
      </c>
      <c r="N464">
        <v>15.62</v>
      </c>
      <c r="O464">
        <v>15.32</v>
      </c>
      <c r="P464">
        <v>15.02</v>
      </c>
      <c r="Q464">
        <v>14.72</v>
      </c>
      <c r="R464">
        <v>14.42</v>
      </c>
      <c r="S464">
        <v>14.12</v>
      </c>
      <c r="T464" t="s">
        <v>49</v>
      </c>
      <c r="U464">
        <v>1</v>
      </c>
      <c r="V464">
        <v>5</v>
      </c>
    </row>
    <row r="465" spans="1:22" x14ac:dyDescent="0.3">
      <c r="A465">
        <v>464</v>
      </c>
      <c r="B465">
        <v>20200</v>
      </c>
      <c r="C465" s="2">
        <v>36488</v>
      </c>
      <c r="D465">
        <v>26</v>
      </c>
      <c r="E465" t="s">
        <v>36</v>
      </c>
      <c r="F465" t="s">
        <v>50</v>
      </c>
      <c r="G465" s="2">
        <v>43274</v>
      </c>
      <c r="H465" s="3">
        <f t="shared" si="7"/>
        <v>7.6273972602739724</v>
      </c>
      <c r="I465">
        <v>89</v>
      </c>
      <c r="J465" t="s">
        <v>57</v>
      </c>
      <c r="K465" t="s">
        <v>65</v>
      </c>
      <c r="L465" t="s">
        <v>44</v>
      </c>
      <c r="M465">
        <v>10.38</v>
      </c>
      <c r="N465">
        <v>10.18</v>
      </c>
      <c r="O465">
        <v>9.98</v>
      </c>
      <c r="P465">
        <v>9.7799999999999994</v>
      </c>
      <c r="Q465">
        <v>9.58</v>
      </c>
      <c r="R465">
        <v>9.3800000000000008</v>
      </c>
      <c r="S465">
        <v>9.18</v>
      </c>
      <c r="T465" t="s">
        <v>47</v>
      </c>
      <c r="U465">
        <v>0</v>
      </c>
      <c r="V465">
        <v>4</v>
      </c>
    </row>
    <row r="466" spans="1:22" x14ac:dyDescent="0.3">
      <c r="A466">
        <v>465</v>
      </c>
      <c r="B466">
        <v>20245</v>
      </c>
      <c r="C466" s="2">
        <v>35029</v>
      </c>
      <c r="D466">
        <v>30</v>
      </c>
      <c r="E466" t="s">
        <v>36</v>
      </c>
      <c r="F466" t="s">
        <v>50</v>
      </c>
      <c r="G466" s="2">
        <v>43238</v>
      </c>
      <c r="H466" s="3">
        <f t="shared" si="7"/>
        <v>7.1643835616438354</v>
      </c>
      <c r="I466">
        <v>105</v>
      </c>
      <c r="J466" t="s">
        <v>57</v>
      </c>
      <c r="K466" t="s">
        <v>43</v>
      </c>
      <c r="L466" t="s">
        <v>44</v>
      </c>
      <c r="M466">
        <v>15.92</v>
      </c>
      <c r="N466">
        <v>15.62</v>
      </c>
      <c r="O466">
        <v>15.32</v>
      </c>
      <c r="P466">
        <v>15.02</v>
      </c>
      <c r="Q466">
        <v>14.72</v>
      </c>
      <c r="R466">
        <v>14.42</v>
      </c>
      <c r="S466">
        <v>14.12</v>
      </c>
      <c r="T466" t="s">
        <v>47</v>
      </c>
      <c r="U466">
        <v>0</v>
      </c>
      <c r="V466">
        <v>3</v>
      </c>
    </row>
    <row r="467" spans="1:22" x14ac:dyDescent="0.3">
      <c r="A467">
        <v>466</v>
      </c>
      <c r="B467">
        <v>20266</v>
      </c>
      <c r="C467" s="2">
        <v>34943</v>
      </c>
      <c r="D467">
        <v>31</v>
      </c>
      <c r="E467" t="s">
        <v>42</v>
      </c>
      <c r="F467" t="s">
        <v>37</v>
      </c>
      <c r="G467" s="2">
        <v>43407</v>
      </c>
      <c r="H467" s="3">
        <f t="shared" si="7"/>
        <v>7.3369863013698629</v>
      </c>
      <c r="I467">
        <v>116</v>
      </c>
      <c r="J467" t="s">
        <v>57</v>
      </c>
      <c r="K467" t="s">
        <v>43</v>
      </c>
      <c r="L467" t="s">
        <v>44</v>
      </c>
      <c r="M467">
        <v>15.92</v>
      </c>
      <c r="N467">
        <v>15.62</v>
      </c>
      <c r="O467">
        <v>15.32</v>
      </c>
      <c r="P467">
        <v>15.02</v>
      </c>
      <c r="Q467">
        <v>14.72</v>
      </c>
      <c r="R467">
        <v>14.42</v>
      </c>
      <c r="S467">
        <v>14.12</v>
      </c>
      <c r="T467" t="s">
        <v>52</v>
      </c>
      <c r="U467">
        <v>1</v>
      </c>
      <c r="V467">
        <v>6</v>
      </c>
    </row>
    <row r="468" spans="1:22" x14ac:dyDescent="0.3">
      <c r="A468">
        <v>467</v>
      </c>
      <c r="B468">
        <v>20295</v>
      </c>
      <c r="C468" s="2">
        <v>36114</v>
      </c>
      <c r="D468">
        <v>27</v>
      </c>
      <c r="E468" t="s">
        <v>36</v>
      </c>
      <c r="F468" t="s">
        <v>50</v>
      </c>
      <c r="G468" s="2">
        <v>43344</v>
      </c>
      <c r="H468" s="3">
        <f t="shared" si="7"/>
        <v>7.8027397260273972</v>
      </c>
      <c r="I468">
        <v>129</v>
      </c>
      <c r="J468" t="s">
        <v>57</v>
      </c>
      <c r="K468" t="s">
        <v>65</v>
      </c>
      <c r="L468" t="s">
        <v>44</v>
      </c>
      <c r="M468">
        <v>10.38</v>
      </c>
      <c r="N468">
        <v>10.18</v>
      </c>
      <c r="O468">
        <v>9.98</v>
      </c>
      <c r="P468">
        <v>9.7799999999999994</v>
      </c>
      <c r="Q468">
        <v>9.58</v>
      </c>
      <c r="R468">
        <v>9.3800000000000008</v>
      </c>
      <c r="S468">
        <v>9.18</v>
      </c>
      <c r="T468" t="s">
        <v>47</v>
      </c>
      <c r="U468">
        <v>1</v>
      </c>
      <c r="V468">
        <v>5</v>
      </c>
    </row>
    <row r="469" spans="1:22" x14ac:dyDescent="0.3">
      <c r="A469">
        <v>468</v>
      </c>
      <c r="B469">
        <v>20356</v>
      </c>
      <c r="C469" s="2">
        <v>32628</v>
      </c>
      <c r="D469">
        <v>36</v>
      </c>
      <c r="E469" t="s">
        <v>36</v>
      </c>
      <c r="F469" t="s">
        <v>50</v>
      </c>
      <c r="G469" s="2">
        <v>43174</v>
      </c>
      <c r="H469" s="3">
        <f t="shared" si="7"/>
        <v>7.7150684931506852</v>
      </c>
      <c r="I469">
        <v>6</v>
      </c>
      <c r="J469" t="s">
        <v>38</v>
      </c>
      <c r="K469" t="s">
        <v>55</v>
      </c>
      <c r="L469" t="s">
        <v>44</v>
      </c>
      <c r="M469">
        <v>16.97</v>
      </c>
      <c r="N469">
        <v>16.670000000000002</v>
      </c>
      <c r="O469">
        <v>16.37</v>
      </c>
      <c r="P469">
        <v>16.07</v>
      </c>
      <c r="Q469">
        <v>15.77</v>
      </c>
      <c r="R469">
        <v>15.47</v>
      </c>
      <c r="S469">
        <v>15.17</v>
      </c>
      <c r="T469" t="s">
        <v>47</v>
      </c>
      <c r="U469">
        <v>4</v>
      </c>
      <c r="V469">
        <v>4</v>
      </c>
    </row>
    <row r="470" spans="1:22" x14ac:dyDescent="0.3">
      <c r="A470">
        <v>469</v>
      </c>
      <c r="B470">
        <v>20381</v>
      </c>
      <c r="C470" s="2">
        <v>35762</v>
      </c>
      <c r="D470">
        <v>28</v>
      </c>
      <c r="E470" t="s">
        <v>36</v>
      </c>
      <c r="F470" t="s">
        <v>50</v>
      </c>
      <c r="G470" s="2">
        <v>43206</v>
      </c>
      <c r="H470" s="3">
        <f t="shared" si="7"/>
        <v>7.7863013698630139</v>
      </c>
      <c r="I470">
        <v>12</v>
      </c>
      <c r="J470" t="s">
        <v>38</v>
      </c>
      <c r="K470" t="s">
        <v>46</v>
      </c>
      <c r="L470" t="s">
        <v>44</v>
      </c>
      <c r="M470">
        <v>14.07</v>
      </c>
      <c r="N470">
        <v>13.77</v>
      </c>
      <c r="O470">
        <v>13.47</v>
      </c>
      <c r="P470">
        <v>13.17</v>
      </c>
      <c r="Q470">
        <v>12.87</v>
      </c>
      <c r="R470">
        <v>12.57</v>
      </c>
      <c r="S470">
        <v>12.27</v>
      </c>
      <c r="T470" t="s">
        <v>47</v>
      </c>
      <c r="U470">
        <v>0</v>
      </c>
      <c r="V470">
        <v>5</v>
      </c>
    </row>
    <row r="471" spans="1:22" x14ac:dyDescent="0.3">
      <c r="A471">
        <v>470</v>
      </c>
      <c r="B471">
        <v>20429</v>
      </c>
      <c r="C471" s="2">
        <v>32921</v>
      </c>
      <c r="D471">
        <v>35</v>
      </c>
      <c r="E471" t="s">
        <v>42</v>
      </c>
      <c r="F471" t="s">
        <v>50</v>
      </c>
      <c r="G471" s="2">
        <v>43180</v>
      </c>
      <c r="H471" s="3">
        <f t="shared" si="7"/>
        <v>7.2657534246575342</v>
      </c>
      <c r="I471">
        <v>24</v>
      </c>
      <c r="J471" t="s">
        <v>38</v>
      </c>
      <c r="K471" t="s">
        <v>43</v>
      </c>
      <c r="L471" t="s">
        <v>44</v>
      </c>
      <c r="M471">
        <v>15.92</v>
      </c>
      <c r="N471">
        <v>15.62</v>
      </c>
      <c r="O471">
        <v>15.32</v>
      </c>
      <c r="P471">
        <v>15.02</v>
      </c>
      <c r="Q471">
        <v>14.72</v>
      </c>
      <c r="R471">
        <v>14.42</v>
      </c>
      <c r="S471">
        <v>14.12</v>
      </c>
      <c r="T471" t="s">
        <v>49</v>
      </c>
      <c r="U471">
        <v>0</v>
      </c>
      <c r="V471">
        <v>5</v>
      </c>
    </row>
    <row r="472" spans="1:22" x14ac:dyDescent="0.3">
      <c r="A472">
        <v>471</v>
      </c>
      <c r="B472">
        <v>20431</v>
      </c>
      <c r="C472" s="2">
        <v>36792</v>
      </c>
      <c r="D472">
        <v>25</v>
      </c>
      <c r="E472" t="s">
        <v>42</v>
      </c>
      <c r="F472" t="s">
        <v>50</v>
      </c>
      <c r="G472" s="2">
        <v>43370</v>
      </c>
      <c r="H472" s="3">
        <f t="shared" si="7"/>
        <v>7.5945205479452058</v>
      </c>
      <c r="I472">
        <v>24</v>
      </c>
      <c r="J472" t="s">
        <v>38</v>
      </c>
      <c r="K472" t="s">
        <v>64</v>
      </c>
      <c r="L472" t="s">
        <v>44</v>
      </c>
      <c r="M472">
        <v>13.94</v>
      </c>
      <c r="N472">
        <v>13.64</v>
      </c>
      <c r="O472">
        <v>13.34</v>
      </c>
      <c r="P472">
        <v>13.04</v>
      </c>
      <c r="Q472">
        <v>12.74</v>
      </c>
      <c r="R472">
        <v>12.44</v>
      </c>
      <c r="S472">
        <v>12.14</v>
      </c>
      <c r="T472" t="s">
        <v>47</v>
      </c>
      <c r="U472">
        <v>0</v>
      </c>
      <c r="V472">
        <v>5</v>
      </c>
    </row>
    <row r="473" spans="1:22" x14ac:dyDescent="0.3">
      <c r="A473">
        <v>472</v>
      </c>
      <c r="B473">
        <v>20439</v>
      </c>
      <c r="C473" s="2">
        <v>31668</v>
      </c>
      <c r="D473">
        <v>39</v>
      </c>
      <c r="E473" t="s">
        <v>42</v>
      </c>
      <c r="F473" t="s">
        <v>50</v>
      </c>
      <c r="G473" s="2">
        <v>43250</v>
      </c>
      <c r="H473" s="3">
        <f t="shared" si="7"/>
        <v>6.8438356164383558</v>
      </c>
      <c r="I473">
        <v>25</v>
      </c>
      <c r="J473" t="s">
        <v>38</v>
      </c>
      <c r="K473" t="s">
        <v>55</v>
      </c>
      <c r="L473" t="s">
        <v>44</v>
      </c>
      <c r="M473">
        <v>16.97</v>
      </c>
      <c r="N473">
        <v>16.670000000000002</v>
      </c>
      <c r="O473">
        <v>16.37</v>
      </c>
      <c r="P473">
        <v>16.07</v>
      </c>
      <c r="Q473">
        <v>15.77</v>
      </c>
      <c r="R473">
        <v>15.47</v>
      </c>
      <c r="S473">
        <v>15.17</v>
      </c>
      <c r="T473" t="s">
        <v>52</v>
      </c>
      <c r="U473">
        <v>2</v>
      </c>
      <c r="V473">
        <v>6</v>
      </c>
    </row>
    <row r="474" spans="1:22" x14ac:dyDescent="0.3">
      <c r="A474">
        <v>473</v>
      </c>
      <c r="B474">
        <v>20453</v>
      </c>
      <c r="C474" s="2">
        <v>36102</v>
      </c>
      <c r="D474">
        <v>27</v>
      </c>
      <c r="E474" t="s">
        <v>36</v>
      </c>
      <c r="F474" t="s">
        <v>37</v>
      </c>
      <c r="G474" s="2">
        <v>43524</v>
      </c>
      <c r="H474" s="3">
        <f t="shared" si="7"/>
        <v>7.0191780821917806</v>
      </c>
      <c r="I474">
        <v>30</v>
      </c>
      <c r="J474" t="s">
        <v>38</v>
      </c>
      <c r="K474" t="s">
        <v>43</v>
      </c>
      <c r="L474" t="s">
        <v>44</v>
      </c>
      <c r="M474">
        <v>15.92</v>
      </c>
      <c r="N474">
        <v>15.62</v>
      </c>
      <c r="O474">
        <v>15.32</v>
      </c>
      <c r="P474">
        <v>15.02</v>
      </c>
      <c r="Q474">
        <v>14.72</v>
      </c>
      <c r="R474">
        <v>14.42</v>
      </c>
      <c r="T474" t="s">
        <v>47</v>
      </c>
      <c r="U474">
        <v>2</v>
      </c>
      <c r="V474">
        <v>5</v>
      </c>
    </row>
    <row r="475" spans="1:22" x14ac:dyDescent="0.3">
      <c r="A475">
        <v>474</v>
      </c>
      <c r="B475">
        <v>20496</v>
      </c>
      <c r="C475" s="2">
        <v>33681</v>
      </c>
      <c r="D475">
        <v>33</v>
      </c>
      <c r="E475" t="s">
        <v>42</v>
      </c>
      <c r="F475" t="s">
        <v>50</v>
      </c>
      <c r="G475" s="2">
        <v>43460</v>
      </c>
      <c r="H475" s="3">
        <f t="shared" si="7"/>
        <v>7.6301369863013697</v>
      </c>
      <c r="I475">
        <v>38</v>
      </c>
      <c r="J475" t="s">
        <v>38</v>
      </c>
      <c r="K475" t="s">
        <v>46</v>
      </c>
      <c r="L475" t="s">
        <v>44</v>
      </c>
      <c r="M475">
        <v>14.07</v>
      </c>
      <c r="N475">
        <v>13.77</v>
      </c>
      <c r="O475">
        <v>13.47</v>
      </c>
      <c r="P475">
        <v>13.17</v>
      </c>
      <c r="Q475">
        <v>12.87</v>
      </c>
      <c r="R475">
        <v>12.57</v>
      </c>
      <c r="S475">
        <v>12.27</v>
      </c>
      <c r="T475" t="s">
        <v>47</v>
      </c>
      <c r="U475">
        <v>0</v>
      </c>
      <c r="V475">
        <v>4</v>
      </c>
    </row>
    <row r="476" spans="1:22" x14ac:dyDescent="0.3">
      <c r="A476">
        <v>475</v>
      </c>
      <c r="B476">
        <v>20507</v>
      </c>
      <c r="C476" s="2">
        <v>34050</v>
      </c>
      <c r="D476">
        <v>32</v>
      </c>
      <c r="E476" t="s">
        <v>42</v>
      </c>
      <c r="F476" t="s">
        <v>50</v>
      </c>
      <c r="G476" s="2">
        <v>43237</v>
      </c>
      <c r="H476" s="3">
        <f t="shared" si="7"/>
        <v>7.2767123287671236</v>
      </c>
      <c r="I476">
        <v>39</v>
      </c>
      <c r="J476" t="s">
        <v>38</v>
      </c>
      <c r="K476" t="s">
        <v>56</v>
      </c>
      <c r="L476" t="s">
        <v>44</v>
      </c>
      <c r="M476">
        <v>8.5</v>
      </c>
      <c r="N476">
        <v>8.24</v>
      </c>
      <c r="O476">
        <v>8.0500000000000007</v>
      </c>
      <c r="P476">
        <v>8.0500000000000007</v>
      </c>
      <c r="Q476">
        <v>7.81</v>
      </c>
      <c r="R476">
        <v>7.56</v>
      </c>
      <c r="S476">
        <v>7.3</v>
      </c>
      <c r="T476" t="s">
        <v>47</v>
      </c>
      <c r="U476">
        <v>3</v>
      </c>
      <c r="V476">
        <v>6</v>
      </c>
    </row>
    <row r="477" spans="1:22" x14ac:dyDescent="0.3">
      <c r="A477">
        <v>476</v>
      </c>
      <c r="B477">
        <v>20562</v>
      </c>
      <c r="C477" s="2">
        <v>34502</v>
      </c>
      <c r="D477">
        <v>31</v>
      </c>
      <c r="E477" t="s">
        <v>36</v>
      </c>
      <c r="F477" t="s">
        <v>50</v>
      </c>
      <c r="G477" s="2">
        <v>43366</v>
      </c>
      <c r="H477" s="3">
        <f t="shared" si="7"/>
        <v>7.4767123287671229</v>
      </c>
      <c r="I477">
        <v>53</v>
      </c>
      <c r="J477" t="s">
        <v>38</v>
      </c>
      <c r="K477" t="s">
        <v>64</v>
      </c>
      <c r="L477" t="s">
        <v>44</v>
      </c>
      <c r="M477">
        <v>13.94</v>
      </c>
      <c r="N477">
        <v>13.64</v>
      </c>
      <c r="O477">
        <v>13.34</v>
      </c>
      <c r="P477">
        <v>13.04</v>
      </c>
      <c r="Q477">
        <v>12.74</v>
      </c>
      <c r="R477">
        <v>12.44</v>
      </c>
      <c r="S477">
        <v>12.14</v>
      </c>
      <c r="T477" t="s">
        <v>47</v>
      </c>
      <c r="U477">
        <v>1</v>
      </c>
      <c r="V477">
        <v>3</v>
      </c>
    </row>
    <row r="478" spans="1:22" x14ac:dyDescent="0.3">
      <c r="A478">
        <v>477</v>
      </c>
      <c r="B478">
        <v>20720</v>
      </c>
      <c r="C478" s="2">
        <v>32581</v>
      </c>
      <c r="D478">
        <v>36</v>
      </c>
      <c r="E478" t="s">
        <v>42</v>
      </c>
      <c r="F478" t="s">
        <v>50</v>
      </c>
      <c r="G478" s="2">
        <v>43293</v>
      </c>
      <c r="H478" s="3">
        <f t="shared" si="7"/>
        <v>7.4054794520547942</v>
      </c>
      <c r="I478">
        <v>95</v>
      </c>
      <c r="J478" t="s">
        <v>57</v>
      </c>
      <c r="K478" t="s">
        <v>43</v>
      </c>
      <c r="L478" t="s">
        <v>44</v>
      </c>
      <c r="M478">
        <v>15.92</v>
      </c>
      <c r="N478">
        <v>15.62</v>
      </c>
      <c r="O478">
        <v>15.32</v>
      </c>
      <c r="P478">
        <v>15.02</v>
      </c>
      <c r="Q478">
        <v>14.72</v>
      </c>
      <c r="R478">
        <v>14.42</v>
      </c>
      <c r="S478">
        <v>14.12</v>
      </c>
      <c r="T478" t="s">
        <v>47</v>
      </c>
      <c r="U478">
        <v>0</v>
      </c>
      <c r="V478">
        <v>5</v>
      </c>
    </row>
    <row r="479" spans="1:22" x14ac:dyDescent="0.3">
      <c r="A479">
        <v>478</v>
      </c>
      <c r="B479">
        <v>20731</v>
      </c>
      <c r="C479" s="2">
        <v>35717</v>
      </c>
      <c r="D479">
        <v>28</v>
      </c>
      <c r="E479" t="s">
        <v>42</v>
      </c>
      <c r="F479" t="s">
        <v>37</v>
      </c>
      <c r="G479" s="2">
        <v>43319</v>
      </c>
      <c r="H479" s="3">
        <f t="shared" si="7"/>
        <v>6.9150684931506845</v>
      </c>
      <c r="I479">
        <v>99</v>
      </c>
      <c r="J479" t="s">
        <v>57</v>
      </c>
      <c r="K479" t="s">
        <v>46</v>
      </c>
      <c r="L479" t="s">
        <v>44</v>
      </c>
      <c r="M479">
        <v>14.07</v>
      </c>
      <c r="N479">
        <v>13.77</v>
      </c>
      <c r="O479">
        <v>13.47</v>
      </c>
      <c r="P479">
        <v>13.17</v>
      </c>
      <c r="Q479">
        <v>12.87</v>
      </c>
      <c r="R479">
        <v>12.57</v>
      </c>
      <c r="S479">
        <v>12.27</v>
      </c>
      <c r="T479" t="s">
        <v>45</v>
      </c>
      <c r="U479">
        <v>0</v>
      </c>
      <c r="V479">
        <v>4</v>
      </c>
    </row>
    <row r="480" spans="1:22" x14ac:dyDescent="0.3">
      <c r="A480">
        <v>479</v>
      </c>
      <c r="B480">
        <v>20768</v>
      </c>
      <c r="C480" s="2">
        <v>31295</v>
      </c>
      <c r="D480">
        <v>40</v>
      </c>
      <c r="E480" t="s">
        <v>36</v>
      </c>
      <c r="F480" t="s">
        <v>50</v>
      </c>
      <c r="G480" s="2">
        <v>43498</v>
      </c>
      <c r="H480" s="3">
        <f t="shared" si="7"/>
        <v>7.3287671232876717</v>
      </c>
      <c r="I480">
        <v>112</v>
      </c>
      <c r="J480" t="s">
        <v>57</v>
      </c>
      <c r="K480" t="s">
        <v>55</v>
      </c>
      <c r="L480" t="s">
        <v>44</v>
      </c>
      <c r="M480">
        <v>16.97</v>
      </c>
      <c r="N480">
        <v>16.670000000000002</v>
      </c>
      <c r="O480">
        <v>16.37</v>
      </c>
      <c r="P480">
        <v>16.07</v>
      </c>
      <c r="Q480">
        <v>15.77</v>
      </c>
      <c r="R480">
        <v>15.47</v>
      </c>
      <c r="T480" t="s">
        <v>49</v>
      </c>
      <c r="U480">
        <v>1</v>
      </c>
      <c r="V480">
        <v>4</v>
      </c>
    </row>
    <row r="481" spans="1:22" x14ac:dyDescent="0.3">
      <c r="A481">
        <v>480</v>
      </c>
      <c r="B481">
        <v>20781</v>
      </c>
      <c r="C481" s="2">
        <v>35134</v>
      </c>
      <c r="D481">
        <v>29</v>
      </c>
      <c r="E481" t="s">
        <v>42</v>
      </c>
      <c r="F481" t="s">
        <v>50</v>
      </c>
      <c r="G481" s="2">
        <v>43347</v>
      </c>
      <c r="H481" s="3">
        <f t="shared" si="7"/>
        <v>6.934246575342466</v>
      </c>
      <c r="I481">
        <v>116</v>
      </c>
      <c r="J481" t="s">
        <v>57</v>
      </c>
      <c r="K481" t="s">
        <v>43</v>
      </c>
      <c r="L481" t="s">
        <v>44</v>
      </c>
      <c r="M481">
        <v>15.92</v>
      </c>
      <c r="N481">
        <v>15.62</v>
      </c>
      <c r="O481">
        <v>15.32</v>
      </c>
      <c r="P481">
        <v>15.02</v>
      </c>
      <c r="Q481">
        <v>14.72</v>
      </c>
      <c r="R481">
        <v>14.42</v>
      </c>
      <c r="S481">
        <v>14.12</v>
      </c>
      <c r="T481" t="s">
        <v>47</v>
      </c>
      <c r="U481">
        <v>2</v>
      </c>
      <c r="V481">
        <v>6</v>
      </c>
    </row>
    <row r="482" spans="1:22" x14ac:dyDescent="0.3">
      <c r="A482">
        <v>481</v>
      </c>
      <c r="B482">
        <v>20792</v>
      </c>
      <c r="C482" s="2">
        <v>33209</v>
      </c>
      <c r="D482">
        <v>35</v>
      </c>
      <c r="E482" t="s">
        <v>36</v>
      </c>
      <c r="F482" t="s">
        <v>37</v>
      </c>
      <c r="G482" s="2">
        <v>43491</v>
      </c>
      <c r="H482" s="3">
        <f t="shared" si="7"/>
        <v>7.5123287671232877</v>
      </c>
      <c r="I482">
        <v>119</v>
      </c>
      <c r="J482" t="s">
        <v>57</v>
      </c>
      <c r="K482" t="s">
        <v>64</v>
      </c>
      <c r="L482" t="s">
        <v>44</v>
      </c>
      <c r="M482">
        <v>13.94</v>
      </c>
      <c r="N482">
        <v>13.64</v>
      </c>
      <c r="O482">
        <v>13.34</v>
      </c>
      <c r="P482">
        <v>13.04</v>
      </c>
      <c r="Q482">
        <v>12.74</v>
      </c>
      <c r="R482">
        <v>12.44</v>
      </c>
      <c r="T482" t="s">
        <v>47</v>
      </c>
      <c r="U482">
        <v>1</v>
      </c>
      <c r="V482">
        <v>4</v>
      </c>
    </row>
    <row r="483" spans="1:22" x14ac:dyDescent="0.3">
      <c r="A483">
        <v>482</v>
      </c>
      <c r="B483">
        <v>20794</v>
      </c>
      <c r="C483" s="2">
        <v>36017</v>
      </c>
      <c r="D483">
        <v>27</v>
      </c>
      <c r="E483" t="s">
        <v>42</v>
      </c>
      <c r="F483" t="s">
        <v>50</v>
      </c>
      <c r="G483" s="2">
        <v>43280</v>
      </c>
      <c r="H483" s="3">
        <f t="shared" si="7"/>
        <v>7.6109589041095891</v>
      </c>
      <c r="I483">
        <v>120</v>
      </c>
      <c r="J483" t="s">
        <v>57</v>
      </c>
      <c r="K483" t="s">
        <v>43</v>
      </c>
      <c r="L483" t="s">
        <v>44</v>
      </c>
      <c r="M483">
        <v>15.92</v>
      </c>
      <c r="N483">
        <v>15.62</v>
      </c>
      <c r="O483">
        <v>15.32</v>
      </c>
      <c r="P483">
        <v>15.02</v>
      </c>
      <c r="Q483">
        <v>14.72</v>
      </c>
      <c r="R483">
        <v>14.42</v>
      </c>
      <c r="S483">
        <v>14.12</v>
      </c>
      <c r="T483" t="s">
        <v>52</v>
      </c>
      <c r="U483">
        <v>0</v>
      </c>
      <c r="V483">
        <v>6</v>
      </c>
    </row>
    <row r="484" spans="1:22" x14ac:dyDescent="0.3">
      <c r="A484">
        <v>483</v>
      </c>
      <c r="B484">
        <v>20853</v>
      </c>
      <c r="C484" s="2">
        <v>33098</v>
      </c>
      <c r="D484">
        <v>35</v>
      </c>
      <c r="E484" t="s">
        <v>42</v>
      </c>
      <c r="F484" t="s">
        <v>37</v>
      </c>
      <c r="G484" s="2">
        <v>43244</v>
      </c>
      <c r="H484" s="3">
        <f t="shared" si="7"/>
        <v>7.4082191780821915</v>
      </c>
      <c r="I484">
        <v>142</v>
      </c>
      <c r="J484" t="s">
        <v>57</v>
      </c>
      <c r="K484" t="s">
        <v>54</v>
      </c>
      <c r="L484" t="s">
        <v>44</v>
      </c>
      <c r="M484">
        <v>21.26</v>
      </c>
      <c r="N484">
        <v>21.26</v>
      </c>
      <c r="O484">
        <v>21.11</v>
      </c>
      <c r="P484">
        <v>20.96</v>
      </c>
      <c r="Q484">
        <v>20.81</v>
      </c>
      <c r="R484">
        <v>20.66</v>
      </c>
      <c r="S484">
        <v>20.51</v>
      </c>
      <c r="T484" t="s">
        <v>47</v>
      </c>
      <c r="U484">
        <v>4</v>
      </c>
      <c r="V484">
        <v>6</v>
      </c>
    </row>
    <row r="485" spans="1:22" x14ac:dyDescent="0.3">
      <c r="A485">
        <v>484</v>
      </c>
      <c r="B485">
        <v>20865</v>
      </c>
      <c r="C485" s="2">
        <v>31254</v>
      </c>
      <c r="D485">
        <v>40</v>
      </c>
      <c r="E485" t="s">
        <v>42</v>
      </c>
      <c r="F485" t="s">
        <v>50</v>
      </c>
      <c r="G485" s="2">
        <v>43318</v>
      </c>
      <c r="H485" s="3">
        <f t="shared" si="7"/>
        <v>7.2767123287671236</v>
      </c>
      <c r="I485">
        <v>145</v>
      </c>
      <c r="J485" t="s">
        <v>57</v>
      </c>
      <c r="K485" t="s">
        <v>43</v>
      </c>
      <c r="L485" t="s">
        <v>44</v>
      </c>
      <c r="M485">
        <v>15.92</v>
      </c>
      <c r="N485">
        <v>15.62</v>
      </c>
      <c r="O485">
        <v>15.32</v>
      </c>
      <c r="P485">
        <v>15.02</v>
      </c>
      <c r="Q485">
        <v>14.72</v>
      </c>
      <c r="R485">
        <v>14.42</v>
      </c>
      <c r="S485">
        <v>14.12</v>
      </c>
      <c r="T485" t="s">
        <v>52</v>
      </c>
      <c r="U485">
        <v>0</v>
      </c>
      <c r="V485">
        <v>6</v>
      </c>
    </row>
    <row r="486" spans="1:22" x14ac:dyDescent="0.3">
      <c r="A486">
        <v>485</v>
      </c>
      <c r="B486">
        <v>20866</v>
      </c>
      <c r="C486" s="2">
        <v>35639</v>
      </c>
      <c r="D486">
        <v>28</v>
      </c>
      <c r="E486" t="s">
        <v>42</v>
      </c>
      <c r="F486" t="s">
        <v>37</v>
      </c>
      <c r="G486" s="2">
        <v>43366</v>
      </c>
      <c r="H486" s="3">
        <f t="shared" si="7"/>
        <v>7.2356164383561641</v>
      </c>
      <c r="I486">
        <v>145</v>
      </c>
      <c r="J486" t="s">
        <v>57</v>
      </c>
      <c r="K486" t="s">
        <v>43</v>
      </c>
      <c r="L486" t="s">
        <v>44</v>
      </c>
      <c r="M486">
        <v>15.92</v>
      </c>
      <c r="N486">
        <v>15.62</v>
      </c>
      <c r="O486">
        <v>15.32</v>
      </c>
      <c r="P486">
        <v>15.02</v>
      </c>
      <c r="Q486">
        <v>14.72</v>
      </c>
      <c r="R486">
        <v>14.42</v>
      </c>
      <c r="S486">
        <v>14.12</v>
      </c>
      <c r="T486" t="s">
        <v>49</v>
      </c>
      <c r="U486">
        <v>2</v>
      </c>
      <c r="V486">
        <v>7</v>
      </c>
    </row>
    <row r="487" spans="1:22" x14ac:dyDescent="0.3">
      <c r="A487">
        <v>486</v>
      </c>
      <c r="B487">
        <v>20872</v>
      </c>
      <c r="C487" s="2">
        <v>34982</v>
      </c>
      <c r="D487">
        <v>30</v>
      </c>
      <c r="E487" t="s">
        <v>36</v>
      </c>
      <c r="F487" t="s">
        <v>37</v>
      </c>
      <c r="G487" s="2">
        <v>43381</v>
      </c>
      <c r="H487" s="3">
        <f t="shared" si="7"/>
        <v>7.6</v>
      </c>
      <c r="I487">
        <v>1</v>
      </c>
      <c r="J487" t="s">
        <v>38</v>
      </c>
      <c r="K487" t="s">
        <v>65</v>
      </c>
      <c r="L487" t="s">
        <v>44</v>
      </c>
      <c r="M487">
        <v>10.38</v>
      </c>
      <c r="N487">
        <v>10.18</v>
      </c>
      <c r="O487">
        <v>9.98</v>
      </c>
      <c r="P487">
        <v>9.7799999999999994</v>
      </c>
      <c r="Q487">
        <v>9.58</v>
      </c>
      <c r="R487">
        <v>9.3800000000000008</v>
      </c>
      <c r="S487">
        <v>9.18</v>
      </c>
      <c r="T487" t="s">
        <v>47</v>
      </c>
      <c r="U487">
        <v>0</v>
      </c>
      <c r="V487">
        <v>5</v>
      </c>
    </row>
    <row r="488" spans="1:22" x14ac:dyDescent="0.3">
      <c r="A488">
        <v>487</v>
      </c>
      <c r="B488">
        <v>21026</v>
      </c>
      <c r="C488" s="2">
        <v>36862</v>
      </c>
      <c r="D488">
        <v>25</v>
      </c>
      <c r="E488" t="s">
        <v>42</v>
      </c>
      <c r="F488" t="s">
        <v>50</v>
      </c>
      <c r="G488" s="2">
        <v>43248</v>
      </c>
      <c r="H488" s="3">
        <f t="shared" si="7"/>
        <v>7.5232876712328771</v>
      </c>
      <c r="I488">
        <v>6</v>
      </c>
      <c r="J488" t="s">
        <v>38</v>
      </c>
      <c r="K488" t="s">
        <v>65</v>
      </c>
      <c r="L488" t="s">
        <v>44</v>
      </c>
      <c r="M488">
        <v>10.38</v>
      </c>
      <c r="N488">
        <v>10.18</v>
      </c>
      <c r="O488">
        <v>9.98</v>
      </c>
      <c r="P488">
        <v>9.7799999999999994</v>
      </c>
      <c r="Q488">
        <v>9.58</v>
      </c>
      <c r="R488">
        <v>9.3800000000000008</v>
      </c>
      <c r="S488">
        <v>9.18</v>
      </c>
      <c r="T488" t="s">
        <v>47</v>
      </c>
      <c r="U488">
        <v>0</v>
      </c>
      <c r="V488">
        <v>6</v>
      </c>
    </row>
    <row r="489" spans="1:22" x14ac:dyDescent="0.3">
      <c r="A489">
        <v>488</v>
      </c>
      <c r="B489">
        <v>21029</v>
      </c>
      <c r="C489" s="2">
        <v>33138</v>
      </c>
      <c r="D489">
        <v>35</v>
      </c>
      <c r="E489" t="s">
        <v>36</v>
      </c>
      <c r="F489" t="s">
        <v>50</v>
      </c>
      <c r="G489" s="2">
        <v>43276</v>
      </c>
      <c r="H489" s="3">
        <f t="shared" si="7"/>
        <v>7.1068493150684935</v>
      </c>
      <c r="I489">
        <v>6</v>
      </c>
      <c r="J489" t="s">
        <v>38</v>
      </c>
      <c r="K489" t="s">
        <v>55</v>
      </c>
      <c r="L489" t="s">
        <v>44</v>
      </c>
      <c r="M489">
        <v>16.97</v>
      </c>
      <c r="N489">
        <v>16.670000000000002</v>
      </c>
      <c r="O489">
        <v>16.37</v>
      </c>
      <c r="P489">
        <v>16.07</v>
      </c>
      <c r="Q489">
        <v>15.77</v>
      </c>
      <c r="R489">
        <v>15.47</v>
      </c>
      <c r="S489">
        <v>15.17</v>
      </c>
      <c r="T489" t="s">
        <v>47</v>
      </c>
      <c r="U489">
        <v>4</v>
      </c>
      <c r="V489">
        <v>4</v>
      </c>
    </row>
    <row r="490" spans="1:22" x14ac:dyDescent="0.3">
      <c r="A490">
        <v>489</v>
      </c>
      <c r="B490">
        <v>21030</v>
      </c>
      <c r="C490" s="2">
        <v>34542</v>
      </c>
      <c r="D490">
        <v>31</v>
      </c>
      <c r="E490" t="s">
        <v>42</v>
      </c>
      <c r="F490" t="s">
        <v>50</v>
      </c>
      <c r="G490" s="2">
        <v>43428</v>
      </c>
      <c r="H490" s="3">
        <f t="shared" si="7"/>
        <v>7.1315068493150688</v>
      </c>
      <c r="I490">
        <v>6</v>
      </c>
      <c r="J490" t="s">
        <v>38</v>
      </c>
      <c r="K490" t="s">
        <v>55</v>
      </c>
      <c r="L490" t="s">
        <v>44</v>
      </c>
      <c r="M490">
        <v>16.97</v>
      </c>
      <c r="N490">
        <v>16.670000000000002</v>
      </c>
      <c r="O490">
        <v>16.37</v>
      </c>
      <c r="P490">
        <v>16.07</v>
      </c>
      <c r="Q490">
        <v>15.77</v>
      </c>
      <c r="R490">
        <v>15.47</v>
      </c>
      <c r="S490">
        <v>15.17</v>
      </c>
      <c r="T490" t="s">
        <v>45</v>
      </c>
      <c r="U490">
        <v>2</v>
      </c>
      <c r="V490">
        <v>7</v>
      </c>
    </row>
    <row r="491" spans="1:22" x14ac:dyDescent="0.3">
      <c r="A491">
        <v>490</v>
      </c>
      <c r="B491">
        <v>21071</v>
      </c>
      <c r="C491" s="2">
        <v>34633</v>
      </c>
      <c r="D491">
        <v>31</v>
      </c>
      <c r="E491" t="s">
        <v>36</v>
      </c>
      <c r="F491" t="s">
        <v>50</v>
      </c>
      <c r="G491" s="2">
        <v>43419</v>
      </c>
      <c r="H491" s="3">
        <f t="shared" si="7"/>
        <v>7.2739726027397262</v>
      </c>
      <c r="I491">
        <v>7</v>
      </c>
      <c r="J491" t="s">
        <v>38</v>
      </c>
      <c r="K491" t="s">
        <v>55</v>
      </c>
      <c r="L491" t="s">
        <v>44</v>
      </c>
      <c r="M491">
        <v>15.77</v>
      </c>
      <c r="N491">
        <v>15.62</v>
      </c>
      <c r="O491">
        <v>15.62</v>
      </c>
      <c r="P491">
        <v>15.47</v>
      </c>
      <c r="Q491">
        <v>15.32</v>
      </c>
      <c r="R491">
        <v>15.32</v>
      </c>
      <c r="S491">
        <v>15.17</v>
      </c>
      <c r="T491" t="s">
        <v>47</v>
      </c>
      <c r="U491">
        <v>2</v>
      </c>
      <c r="V491">
        <v>4</v>
      </c>
    </row>
    <row r="492" spans="1:22" x14ac:dyDescent="0.3">
      <c r="A492">
        <v>491</v>
      </c>
      <c r="B492">
        <v>21119</v>
      </c>
      <c r="C492" s="2">
        <v>33567</v>
      </c>
      <c r="D492">
        <v>34</v>
      </c>
      <c r="E492" t="s">
        <v>36</v>
      </c>
      <c r="F492" t="s">
        <v>50</v>
      </c>
      <c r="G492" s="2">
        <v>43367</v>
      </c>
      <c r="H492" s="3">
        <f t="shared" si="7"/>
        <v>7.720547945205479</v>
      </c>
      <c r="I492">
        <v>9</v>
      </c>
      <c r="J492" t="s">
        <v>38</v>
      </c>
      <c r="K492" t="s">
        <v>55</v>
      </c>
      <c r="L492" t="s">
        <v>44</v>
      </c>
      <c r="M492">
        <v>16.97</v>
      </c>
      <c r="N492">
        <v>16.670000000000002</v>
      </c>
      <c r="O492">
        <v>16.37</v>
      </c>
      <c r="P492">
        <v>16.07</v>
      </c>
      <c r="Q492">
        <v>15.77</v>
      </c>
      <c r="R492">
        <v>15.47</v>
      </c>
      <c r="S492">
        <v>15.17</v>
      </c>
      <c r="T492" t="s">
        <v>52</v>
      </c>
      <c r="U492">
        <v>0</v>
      </c>
      <c r="V492">
        <v>4</v>
      </c>
    </row>
    <row r="493" spans="1:22" x14ac:dyDescent="0.3">
      <c r="A493">
        <v>492</v>
      </c>
      <c r="B493">
        <v>21148</v>
      </c>
      <c r="C493" s="2">
        <v>35043</v>
      </c>
      <c r="D493">
        <v>30</v>
      </c>
      <c r="E493" t="s">
        <v>42</v>
      </c>
      <c r="F493" t="s">
        <v>37</v>
      </c>
      <c r="G493" s="2">
        <v>43204</v>
      </c>
      <c r="H493" s="3">
        <f t="shared" si="7"/>
        <v>7.4383561643835616</v>
      </c>
      <c r="I493">
        <v>10</v>
      </c>
      <c r="J493" t="s">
        <v>38</v>
      </c>
      <c r="K493" t="s">
        <v>54</v>
      </c>
      <c r="L493" t="s">
        <v>44</v>
      </c>
      <c r="M493">
        <v>22.31</v>
      </c>
      <c r="N493">
        <v>22.01</v>
      </c>
      <c r="O493">
        <v>21.71</v>
      </c>
      <c r="P493">
        <v>21.41</v>
      </c>
      <c r="Q493">
        <v>21.11</v>
      </c>
      <c r="R493">
        <v>20.81</v>
      </c>
      <c r="S493">
        <v>20.51</v>
      </c>
      <c r="T493" t="s">
        <v>47</v>
      </c>
      <c r="U493">
        <v>7</v>
      </c>
      <c r="V493">
        <v>7</v>
      </c>
    </row>
    <row r="494" spans="1:22" x14ac:dyDescent="0.3">
      <c r="A494">
        <v>493</v>
      </c>
      <c r="B494">
        <v>21316</v>
      </c>
      <c r="C494" s="2">
        <v>36771</v>
      </c>
      <c r="D494">
        <v>25</v>
      </c>
      <c r="E494" t="s">
        <v>36</v>
      </c>
      <c r="F494" t="s">
        <v>37</v>
      </c>
      <c r="G494" s="2">
        <v>43307</v>
      </c>
      <c r="H494" s="3">
        <f t="shared" si="7"/>
        <v>7.7342465753424658</v>
      </c>
      <c r="I494">
        <v>15</v>
      </c>
      <c r="J494" t="s">
        <v>38</v>
      </c>
      <c r="K494" t="s">
        <v>46</v>
      </c>
      <c r="L494" t="s">
        <v>44</v>
      </c>
      <c r="M494">
        <v>14.07</v>
      </c>
      <c r="N494">
        <v>13.77</v>
      </c>
      <c r="O494">
        <v>13.47</v>
      </c>
      <c r="P494">
        <v>13.17</v>
      </c>
      <c r="Q494">
        <v>12.87</v>
      </c>
      <c r="R494">
        <v>12.57</v>
      </c>
      <c r="S494">
        <v>12.27</v>
      </c>
      <c r="T494" t="s">
        <v>47</v>
      </c>
      <c r="U494">
        <v>0</v>
      </c>
      <c r="V494">
        <v>3</v>
      </c>
    </row>
    <row r="495" spans="1:22" x14ac:dyDescent="0.3">
      <c r="A495">
        <v>494</v>
      </c>
      <c r="B495">
        <v>21353</v>
      </c>
      <c r="C495" s="2">
        <v>35730</v>
      </c>
      <c r="D495">
        <v>28</v>
      </c>
      <c r="E495" t="s">
        <v>36</v>
      </c>
      <c r="F495" t="s">
        <v>50</v>
      </c>
      <c r="G495" s="2">
        <v>43199</v>
      </c>
      <c r="H495" s="3">
        <f t="shared" si="7"/>
        <v>7.3863013698630136</v>
      </c>
      <c r="I495">
        <v>16</v>
      </c>
      <c r="J495" t="s">
        <v>38</v>
      </c>
      <c r="K495" t="s">
        <v>54</v>
      </c>
      <c r="L495" t="s">
        <v>44</v>
      </c>
      <c r="M495">
        <v>22.31</v>
      </c>
      <c r="N495">
        <v>22.01</v>
      </c>
      <c r="O495">
        <v>21.71</v>
      </c>
      <c r="P495">
        <v>21.41</v>
      </c>
      <c r="Q495">
        <v>21.11</v>
      </c>
      <c r="R495">
        <v>20.81</v>
      </c>
      <c r="S495">
        <v>20.51</v>
      </c>
      <c r="T495" t="s">
        <v>49</v>
      </c>
      <c r="U495">
        <v>3</v>
      </c>
      <c r="V495">
        <v>5</v>
      </c>
    </row>
    <row r="496" spans="1:22" x14ac:dyDescent="0.3">
      <c r="A496">
        <v>495</v>
      </c>
      <c r="B496">
        <v>21383</v>
      </c>
      <c r="C496" s="2">
        <v>36840</v>
      </c>
      <c r="D496">
        <v>25</v>
      </c>
      <c r="E496" t="s">
        <v>42</v>
      </c>
      <c r="F496" t="s">
        <v>50</v>
      </c>
      <c r="G496" s="2">
        <v>43326</v>
      </c>
      <c r="H496" s="3">
        <f t="shared" si="7"/>
        <v>6.8931506849315065</v>
      </c>
      <c r="I496">
        <v>17</v>
      </c>
      <c r="J496" t="s">
        <v>38</v>
      </c>
      <c r="K496" t="s">
        <v>43</v>
      </c>
      <c r="L496" t="s">
        <v>44</v>
      </c>
      <c r="M496">
        <v>15.92</v>
      </c>
      <c r="N496">
        <v>15.62</v>
      </c>
      <c r="O496">
        <v>15.32</v>
      </c>
      <c r="P496">
        <v>15.02</v>
      </c>
      <c r="Q496">
        <v>14.72</v>
      </c>
      <c r="R496">
        <v>14.42</v>
      </c>
      <c r="S496">
        <v>14.12</v>
      </c>
      <c r="T496" t="s">
        <v>52</v>
      </c>
      <c r="U496">
        <v>0</v>
      </c>
      <c r="V496">
        <v>6</v>
      </c>
    </row>
    <row r="497" spans="1:22" x14ac:dyDescent="0.3">
      <c r="A497">
        <v>496</v>
      </c>
      <c r="B497">
        <v>21536</v>
      </c>
      <c r="C497" s="2">
        <v>35530</v>
      </c>
      <c r="D497">
        <v>28</v>
      </c>
      <c r="E497" t="s">
        <v>42</v>
      </c>
      <c r="F497" t="s">
        <v>37</v>
      </c>
      <c r="G497" s="2">
        <v>43506</v>
      </c>
      <c r="H497" s="3">
        <f t="shared" si="7"/>
        <v>7.2684931506849315</v>
      </c>
      <c r="I497">
        <v>22</v>
      </c>
      <c r="J497" t="s">
        <v>38</v>
      </c>
      <c r="K497" t="s">
        <v>46</v>
      </c>
      <c r="L497" t="s">
        <v>44</v>
      </c>
      <c r="M497">
        <v>12.87</v>
      </c>
      <c r="N497">
        <v>12.72</v>
      </c>
      <c r="O497">
        <v>12.57</v>
      </c>
      <c r="P497">
        <v>12.42</v>
      </c>
      <c r="Q497">
        <v>12.27</v>
      </c>
      <c r="R497">
        <v>12.27</v>
      </c>
      <c r="T497" t="s">
        <v>49</v>
      </c>
      <c r="U497">
        <v>1</v>
      </c>
      <c r="V497">
        <v>5</v>
      </c>
    </row>
    <row r="498" spans="1:22" x14ac:dyDescent="0.3">
      <c r="A498">
        <v>497</v>
      </c>
      <c r="B498">
        <v>21625</v>
      </c>
      <c r="C498" s="2">
        <v>34275</v>
      </c>
      <c r="D498">
        <v>32</v>
      </c>
      <c r="E498" t="s">
        <v>42</v>
      </c>
      <c r="F498" t="s">
        <v>50</v>
      </c>
      <c r="G498" s="2">
        <v>43369</v>
      </c>
      <c r="H498" s="3">
        <f t="shared" si="7"/>
        <v>7.3561643835616435</v>
      </c>
      <c r="I498">
        <v>24</v>
      </c>
      <c r="J498" t="s">
        <v>38</v>
      </c>
      <c r="K498" t="s">
        <v>56</v>
      </c>
      <c r="L498" t="s">
        <v>44</v>
      </c>
      <c r="M498">
        <v>8.5</v>
      </c>
      <c r="N498">
        <v>8.3000000000000007</v>
      </c>
      <c r="O498">
        <v>8.1</v>
      </c>
      <c r="P498">
        <v>7.9</v>
      </c>
      <c r="Q498">
        <v>7.7</v>
      </c>
      <c r="R498">
        <v>7.5</v>
      </c>
      <c r="S498">
        <v>7.3</v>
      </c>
      <c r="T498" t="s">
        <v>47</v>
      </c>
      <c r="U498">
        <v>2</v>
      </c>
      <c r="V498">
        <v>6</v>
      </c>
    </row>
    <row r="499" spans="1:22" x14ac:dyDescent="0.3">
      <c r="A499">
        <v>498</v>
      </c>
      <c r="B499">
        <v>21633</v>
      </c>
      <c r="C499" s="2">
        <v>34141</v>
      </c>
      <c r="D499">
        <v>32</v>
      </c>
      <c r="E499" t="s">
        <v>36</v>
      </c>
      <c r="F499" t="s">
        <v>50</v>
      </c>
      <c r="G499" s="2">
        <v>43337</v>
      </c>
      <c r="H499" s="3">
        <f t="shared" si="7"/>
        <v>7.0602739726027401</v>
      </c>
      <c r="I499">
        <v>25</v>
      </c>
      <c r="J499" t="s">
        <v>38</v>
      </c>
      <c r="K499" t="s">
        <v>43</v>
      </c>
      <c r="L499" t="s">
        <v>44</v>
      </c>
      <c r="M499">
        <v>15.92</v>
      </c>
      <c r="N499">
        <v>15.62</v>
      </c>
      <c r="O499">
        <v>15.32</v>
      </c>
      <c r="P499">
        <v>15.02</v>
      </c>
      <c r="Q499">
        <v>14.72</v>
      </c>
      <c r="R499">
        <v>14.42</v>
      </c>
      <c r="S499">
        <v>14.12</v>
      </c>
      <c r="T499" t="s">
        <v>49</v>
      </c>
      <c r="U499">
        <v>1</v>
      </c>
      <c r="V499">
        <v>5</v>
      </c>
    </row>
    <row r="500" spans="1:22" x14ac:dyDescent="0.3">
      <c r="A500">
        <v>499</v>
      </c>
      <c r="B500">
        <v>21914</v>
      </c>
      <c r="C500" s="2">
        <v>34651</v>
      </c>
      <c r="D500">
        <v>31</v>
      </c>
      <c r="E500" t="s">
        <v>36</v>
      </c>
      <c r="F500" t="s">
        <v>37</v>
      </c>
      <c r="G500" s="2">
        <v>43445</v>
      </c>
      <c r="H500" s="3">
        <f t="shared" si="7"/>
        <v>7.4</v>
      </c>
      <c r="I500">
        <v>33</v>
      </c>
      <c r="J500" t="s">
        <v>38</v>
      </c>
      <c r="K500" t="s">
        <v>46</v>
      </c>
      <c r="L500" t="s">
        <v>44</v>
      </c>
      <c r="M500">
        <v>14.24</v>
      </c>
      <c r="N500">
        <v>13.86</v>
      </c>
      <c r="O500">
        <v>13.86</v>
      </c>
      <c r="P500">
        <v>13.53</v>
      </c>
      <c r="Q500">
        <v>13.11</v>
      </c>
      <c r="R500">
        <v>12.69</v>
      </c>
      <c r="S500">
        <v>12.27</v>
      </c>
      <c r="T500" t="s">
        <v>47</v>
      </c>
      <c r="U500">
        <v>0</v>
      </c>
      <c r="V500">
        <v>5</v>
      </c>
    </row>
    <row r="501" spans="1:22" x14ac:dyDescent="0.3">
      <c r="A501">
        <v>500</v>
      </c>
      <c r="B501">
        <v>22276</v>
      </c>
      <c r="C501" s="2">
        <v>36499</v>
      </c>
      <c r="D501">
        <v>26</v>
      </c>
      <c r="E501" t="s">
        <v>42</v>
      </c>
      <c r="F501" t="s">
        <v>50</v>
      </c>
      <c r="G501" s="2">
        <v>43321</v>
      </c>
      <c r="H501" s="3">
        <f t="shared" si="7"/>
        <v>7.6821917808219178</v>
      </c>
      <c r="I501">
        <v>45</v>
      </c>
      <c r="J501" t="s">
        <v>38</v>
      </c>
      <c r="K501" t="s">
        <v>48</v>
      </c>
      <c r="L501" t="s">
        <v>44</v>
      </c>
      <c r="M501">
        <v>17.239999999999998</v>
      </c>
      <c r="N501">
        <v>16.940000000000001</v>
      </c>
      <c r="O501">
        <v>16.64</v>
      </c>
      <c r="P501">
        <v>16.34</v>
      </c>
      <c r="Q501">
        <v>16.04</v>
      </c>
      <c r="R501">
        <v>15.74</v>
      </c>
      <c r="S501">
        <v>15.44</v>
      </c>
      <c r="T501" t="s">
        <v>52</v>
      </c>
      <c r="U501">
        <v>0</v>
      </c>
      <c r="V501">
        <v>6</v>
      </c>
    </row>
    <row r="502" spans="1:22" x14ac:dyDescent="0.3">
      <c r="A502">
        <v>501</v>
      </c>
      <c r="B502">
        <v>22422</v>
      </c>
      <c r="C502" s="2">
        <v>35186</v>
      </c>
      <c r="D502">
        <v>30</v>
      </c>
      <c r="E502" t="s">
        <v>42</v>
      </c>
      <c r="F502" t="s">
        <v>37</v>
      </c>
      <c r="G502" s="2">
        <v>43218</v>
      </c>
      <c r="H502" s="3">
        <f t="shared" si="7"/>
        <v>6.9287671232876713</v>
      </c>
      <c r="I502">
        <v>50</v>
      </c>
      <c r="J502" t="s">
        <v>38</v>
      </c>
      <c r="K502" t="s">
        <v>65</v>
      </c>
      <c r="L502" t="s">
        <v>44</v>
      </c>
      <c r="M502">
        <v>10.38</v>
      </c>
      <c r="N502">
        <v>10.18</v>
      </c>
      <c r="O502">
        <v>9.98</v>
      </c>
      <c r="P502">
        <v>9.7799999999999994</v>
      </c>
      <c r="Q502">
        <v>9.58</v>
      </c>
      <c r="R502">
        <v>9.3800000000000008</v>
      </c>
      <c r="S502">
        <v>9.18</v>
      </c>
      <c r="T502" t="s">
        <v>47</v>
      </c>
      <c r="U502">
        <v>0</v>
      </c>
      <c r="V502">
        <v>4</v>
      </c>
    </row>
    <row r="503" spans="1:22" x14ac:dyDescent="0.3">
      <c r="A503">
        <v>502</v>
      </c>
      <c r="B503">
        <v>22426</v>
      </c>
      <c r="C503" s="2">
        <v>36671</v>
      </c>
      <c r="D503">
        <v>25</v>
      </c>
      <c r="E503" t="s">
        <v>42</v>
      </c>
      <c r="F503" t="s">
        <v>37</v>
      </c>
      <c r="G503" s="2">
        <v>43493</v>
      </c>
      <c r="H503" s="3">
        <f t="shared" si="7"/>
        <v>7.9068493150684933</v>
      </c>
      <c r="I503">
        <v>50</v>
      </c>
      <c r="J503" t="s">
        <v>38</v>
      </c>
      <c r="K503" t="s">
        <v>64</v>
      </c>
      <c r="L503" t="s">
        <v>44</v>
      </c>
      <c r="M503">
        <v>13.94</v>
      </c>
      <c r="N503">
        <v>13.64</v>
      </c>
      <c r="O503">
        <v>13.34</v>
      </c>
      <c r="P503">
        <v>13.04</v>
      </c>
      <c r="Q503">
        <v>12.74</v>
      </c>
      <c r="R503">
        <v>12.44</v>
      </c>
      <c r="T503" t="s">
        <v>47</v>
      </c>
      <c r="U503">
        <v>0</v>
      </c>
      <c r="V503">
        <v>6</v>
      </c>
    </row>
    <row r="504" spans="1:22" x14ac:dyDescent="0.3">
      <c r="A504">
        <v>503</v>
      </c>
      <c r="B504">
        <v>22485</v>
      </c>
      <c r="C504" s="2">
        <v>33381</v>
      </c>
      <c r="D504">
        <v>34</v>
      </c>
      <c r="E504" t="s">
        <v>42</v>
      </c>
      <c r="F504" t="s">
        <v>50</v>
      </c>
      <c r="G504" s="2">
        <v>43136</v>
      </c>
      <c r="H504" s="3">
        <f t="shared" si="7"/>
        <v>7.4520547945205475</v>
      </c>
      <c r="I504">
        <v>52</v>
      </c>
      <c r="J504" t="s">
        <v>38</v>
      </c>
      <c r="K504" t="s">
        <v>68</v>
      </c>
      <c r="L504" t="s">
        <v>44</v>
      </c>
      <c r="M504">
        <v>15.86</v>
      </c>
      <c r="N504">
        <v>15.66</v>
      </c>
      <c r="O504">
        <v>15.46</v>
      </c>
      <c r="P504">
        <v>15.26</v>
      </c>
      <c r="Q504">
        <v>15.06</v>
      </c>
      <c r="R504">
        <v>14.86</v>
      </c>
      <c r="S504">
        <v>14.66</v>
      </c>
      <c r="T504" t="s">
        <v>47</v>
      </c>
      <c r="U504">
        <v>1</v>
      </c>
      <c r="V504">
        <v>4</v>
      </c>
    </row>
    <row r="505" spans="1:22" x14ac:dyDescent="0.3">
      <c r="A505">
        <v>504</v>
      </c>
      <c r="B505">
        <v>22632</v>
      </c>
      <c r="C505" s="2">
        <v>28850</v>
      </c>
      <c r="D505">
        <v>47</v>
      </c>
      <c r="E505" t="s">
        <v>36</v>
      </c>
      <c r="F505" t="s">
        <v>50</v>
      </c>
      <c r="G505" s="2">
        <v>43302</v>
      </c>
      <c r="H505" s="3">
        <f t="shared" si="7"/>
        <v>7.5260273972602736</v>
      </c>
      <c r="I505">
        <v>56</v>
      </c>
      <c r="J505" t="s">
        <v>38</v>
      </c>
      <c r="K505" t="s">
        <v>54</v>
      </c>
      <c r="L505" t="s">
        <v>44</v>
      </c>
      <c r="M505">
        <v>22.31</v>
      </c>
      <c r="N505">
        <v>22.01</v>
      </c>
      <c r="O505">
        <v>21.71</v>
      </c>
      <c r="P505">
        <v>21.41</v>
      </c>
      <c r="Q505">
        <v>21.11</v>
      </c>
      <c r="R505">
        <v>20.81</v>
      </c>
      <c r="S505">
        <v>20.51</v>
      </c>
      <c r="T505" t="s">
        <v>47</v>
      </c>
      <c r="U505">
        <v>4</v>
      </c>
      <c r="V505">
        <v>4</v>
      </c>
    </row>
    <row r="506" spans="1:22" x14ac:dyDescent="0.3">
      <c r="A506">
        <v>505</v>
      </c>
      <c r="B506">
        <v>22823</v>
      </c>
      <c r="C506" s="2">
        <v>31079</v>
      </c>
      <c r="D506">
        <v>41</v>
      </c>
      <c r="E506" t="s">
        <v>36</v>
      </c>
      <c r="F506" t="s">
        <v>50</v>
      </c>
      <c r="G506" s="2">
        <v>43275</v>
      </c>
      <c r="H506" s="3">
        <f t="shared" si="7"/>
        <v>7.5534246575342463</v>
      </c>
      <c r="I506">
        <v>62</v>
      </c>
      <c r="J506" t="s">
        <v>38</v>
      </c>
      <c r="K506" t="s">
        <v>46</v>
      </c>
      <c r="L506" t="s">
        <v>44</v>
      </c>
      <c r="M506">
        <v>14.07</v>
      </c>
      <c r="N506">
        <v>13.77</v>
      </c>
      <c r="O506">
        <v>13.47</v>
      </c>
      <c r="P506">
        <v>13.17</v>
      </c>
      <c r="Q506">
        <v>12.87</v>
      </c>
      <c r="R506">
        <v>12.57</v>
      </c>
      <c r="S506">
        <v>12.27</v>
      </c>
      <c r="T506" t="s">
        <v>47</v>
      </c>
      <c r="U506">
        <v>0</v>
      </c>
      <c r="V506">
        <v>2</v>
      </c>
    </row>
    <row r="507" spans="1:22" x14ac:dyDescent="0.3">
      <c r="A507">
        <v>506</v>
      </c>
      <c r="B507">
        <v>22855</v>
      </c>
      <c r="C507" s="2">
        <v>35718</v>
      </c>
      <c r="D507">
        <v>28</v>
      </c>
      <c r="E507" t="s">
        <v>36</v>
      </c>
      <c r="F507" t="s">
        <v>37</v>
      </c>
      <c r="G507" s="2">
        <v>43265</v>
      </c>
      <c r="H507" s="3">
        <f t="shared" si="7"/>
        <v>7.6383561643835618</v>
      </c>
      <c r="I507">
        <v>63</v>
      </c>
      <c r="J507" t="s">
        <v>38</v>
      </c>
      <c r="K507" t="s">
        <v>46</v>
      </c>
      <c r="L507" t="s">
        <v>44</v>
      </c>
      <c r="M507">
        <v>14.07</v>
      </c>
      <c r="N507">
        <v>13.77</v>
      </c>
      <c r="O507">
        <v>13.47</v>
      </c>
      <c r="P507">
        <v>13.17</v>
      </c>
      <c r="Q507">
        <v>12.87</v>
      </c>
      <c r="R507">
        <v>12.57</v>
      </c>
      <c r="S507">
        <v>12.27</v>
      </c>
      <c r="T507" t="s">
        <v>49</v>
      </c>
      <c r="U507">
        <v>0</v>
      </c>
      <c r="V507">
        <v>5</v>
      </c>
    </row>
    <row r="508" spans="1:22" x14ac:dyDescent="0.3">
      <c r="A508">
        <v>507</v>
      </c>
      <c r="B508">
        <v>22960</v>
      </c>
      <c r="C508" s="2">
        <v>33808</v>
      </c>
      <c r="D508">
        <v>33</v>
      </c>
      <c r="E508" t="s">
        <v>36</v>
      </c>
      <c r="F508" t="s">
        <v>50</v>
      </c>
      <c r="G508" s="2">
        <v>43234</v>
      </c>
      <c r="H508" s="3">
        <f t="shared" si="7"/>
        <v>6.9479452054794519</v>
      </c>
      <c r="I508">
        <v>66</v>
      </c>
      <c r="J508" t="s">
        <v>57</v>
      </c>
      <c r="K508" t="s">
        <v>55</v>
      </c>
      <c r="L508" t="s">
        <v>44</v>
      </c>
      <c r="M508">
        <v>16.97</v>
      </c>
      <c r="N508">
        <v>16.670000000000002</v>
      </c>
      <c r="O508">
        <v>16.37</v>
      </c>
      <c r="P508">
        <v>16.07</v>
      </c>
      <c r="Q508">
        <v>15.77</v>
      </c>
      <c r="R508">
        <v>15.47</v>
      </c>
      <c r="S508">
        <v>15.17</v>
      </c>
      <c r="T508" t="s">
        <v>49</v>
      </c>
      <c r="U508">
        <v>2</v>
      </c>
      <c r="V508">
        <v>4</v>
      </c>
    </row>
    <row r="509" spans="1:22" x14ac:dyDescent="0.3">
      <c r="A509">
        <v>508</v>
      </c>
      <c r="B509">
        <v>23200</v>
      </c>
      <c r="C509" s="2">
        <v>31881</v>
      </c>
      <c r="D509">
        <v>38</v>
      </c>
      <c r="E509" t="s">
        <v>36</v>
      </c>
      <c r="F509" t="s">
        <v>50</v>
      </c>
      <c r="G509" s="2">
        <v>43486</v>
      </c>
      <c r="H509" s="3">
        <f t="shared" si="7"/>
        <v>7.117808219178082</v>
      </c>
      <c r="I509">
        <v>77</v>
      </c>
      <c r="J509" t="s">
        <v>57</v>
      </c>
      <c r="K509" t="s">
        <v>55</v>
      </c>
      <c r="L509" t="s">
        <v>44</v>
      </c>
      <c r="M509">
        <v>16.97</v>
      </c>
      <c r="N509">
        <v>16.670000000000002</v>
      </c>
      <c r="O509">
        <v>16.37</v>
      </c>
      <c r="P509">
        <v>16.07</v>
      </c>
      <c r="Q509">
        <v>15.77</v>
      </c>
      <c r="R509">
        <v>15.47</v>
      </c>
      <c r="T509" t="s">
        <v>52</v>
      </c>
      <c r="U509">
        <v>0</v>
      </c>
      <c r="V509">
        <v>5</v>
      </c>
    </row>
    <row r="510" spans="1:22" x14ac:dyDescent="0.3">
      <c r="A510">
        <v>509</v>
      </c>
      <c r="B510">
        <v>23210</v>
      </c>
      <c r="C510" s="2">
        <v>36732</v>
      </c>
      <c r="D510">
        <v>25</v>
      </c>
      <c r="E510" t="s">
        <v>42</v>
      </c>
      <c r="F510" t="s">
        <v>37</v>
      </c>
      <c r="G510" s="2">
        <v>43424</v>
      </c>
      <c r="H510" s="3">
        <f t="shared" si="7"/>
        <v>7.1534246575342468</v>
      </c>
      <c r="I510">
        <v>77</v>
      </c>
      <c r="J510" t="s">
        <v>57</v>
      </c>
      <c r="K510" t="s">
        <v>56</v>
      </c>
      <c r="L510" t="s">
        <v>44</v>
      </c>
      <c r="M510">
        <v>8.5</v>
      </c>
      <c r="N510">
        <v>8.3000000000000007</v>
      </c>
      <c r="O510">
        <v>8.1</v>
      </c>
      <c r="P510">
        <v>7.9</v>
      </c>
      <c r="Q510">
        <v>7.7</v>
      </c>
      <c r="R510">
        <v>7.5</v>
      </c>
      <c r="S510">
        <v>7.3</v>
      </c>
      <c r="T510" t="s">
        <v>47</v>
      </c>
      <c r="U510">
        <v>2</v>
      </c>
      <c r="V510">
        <v>7</v>
      </c>
    </row>
    <row r="511" spans="1:22" x14ac:dyDescent="0.3">
      <c r="A511">
        <v>510</v>
      </c>
      <c r="B511">
        <v>23382</v>
      </c>
      <c r="C511" s="2">
        <v>34695</v>
      </c>
      <c r="D511">
        <v>31</v>
      </c>
      <c r="E511" t="s">
        <v>36</v>
      </c>
      <c r="F511" t="s">
        <v>50</v>
      </c>
      <c r="G511" s="2">
        <v>43411</v>
      </c>
      <c r="H511" s="3">
        <f t="shared" si="7"/>
        <v>6.8876712328767127</v>
      </c>
      <c r="I511">
        <v>85</v>
      </c>
      <c r="J511" t="s">
        <v>57</v>
      </c>
      <c r="K511" t="s">
        <v>43</v>
      </c>
      <c r="L511" t="s">
        <v>44</v>
      </c>
      <c r="M511">
        <v>15.92</v>
      </c>
      <c r="N511">
        <v>15.62</v>
      </c>
      <c r="O511">
        <v>15.32</v>
      </c>
      <c r="P511">
        <v>15.02</v>
      </c>
      <c r="Q511">
        <v>14.72</v>
      </c>
      <c r="R511">
        <v>14.42</v>
      </c>
      <c r="S511">
        <v>14.12</v>
      </c>
      <c r="T511" t="s">
        <v>47</v>
      </c>
      <c r="U511">
        <v>1</v>
      </c>
      <c r="V511">
        <v>5</v>
      </c>
    </row>
    <row r="512" spans="1:22" x14ac:dyDescent="0.3">
      <c r="A512">
        <v>511</v>
      </c>
      <c r="B512">
        <v>23473</v>
      </c>
      <c r="C512" s="2">
        <v>34731</v>
      </c>
      <c r="D512">
        <v>31</v>
      </c>
      <c r="E512" t="s">
        <v>42</v>
      </c>
      <c r="F512" t="s">
        <v>50</v>
      </c>
      <c r="G512" s="2">
        <v>43508</v>
      </c>
      <c r="H512" s="3">
        <f t="shared" si="7"/>
        <v>7.0821917808219181</v>
      </c>
      <c r="I512">
        <v>88</v>
      </c>
      <c r="J512" t="s">
        <v>57</v>
      </c>
      <c r="K512" t="s">
        <v>55</v>
      </c>
      <c r="L512" t="s">
        <v>44</v>
      </c>
      <c r="M512">
        <v>15.77</v>
      </c>
      <c r="N512">
        <v>15.77</v>
      </c>
      <c r="O512">
        <v>15.62</v>
      </c>
      <c r="P512">
        <v>15.47</v>
      </c>
      <c r="Q512">
        <v>15.47</v>
      </c>
      <c r="R512">
        <v>15.32</v>
      </c>
      <c r="T512" t="s">
        <v>49</v>
      </c>
      <c r="U512">
        <v>2</v>
      </c>
      <c r="V512">
        <v>6</v>
      </c>
    </row>
    <row r="513" spans="1:35" x14ac:dyDescent="0.3">
      <c r="A513">
        <v>512</v>
      </c>
      <c r="B513">
        <v>23589</v>
      </c>
      <c r="C513" s="2">
        <v>35660</v>
      </c>
      <c r="D513">
        <v>28</v>
      </c>
      <c r="E513" t="s">
        <v>42</v>
      </c>
      <c r="F513" t="s">
        <v>50</v>
      </c>
      <c r="G513" s="2">
        <v>43437</v>
      </c>
      <c r="H513" s="3">
        <f t="shared" si="7"/>
        <v>7.375342465753425</v>
      </c>
      <c r="I513">
        <v>93</v>
      </c>
      <c r="J513" t="s">
        <v>57</v>
      </c>
      <c r="K513" t="s">
        <v>68</v>
      </c>
      <c r="L513" t="s">
        <v>44</v>
      </c>
      <c r="M513">
        <v>15.86</v>
      </c>
      <c r="N513">
        <v>15.66</v>
      </c>
      <c r="O513">
        <v>15.46</v>
      </c>
      <c r="P513">
        <v>15.26</v>
      </c>
      <c r="Q513">
        <v>15.06</v>
      </c>
      <c r="R513">
        <v>14.86</v>
      </c>
      <c r="S513">
        <v>14.66</v>
      </c>
      <c r="T513" t="s">
        <v>47</v>
      </c>
      <c r="U513">
        <v>2</v>
      </c>
      <c r="V513">
        <v>7</v>
      </c>
    </row>
    <row r="514" spans="1:35" x14ac:dyDescent="0.3">
      <c r="A514">
        <v>513</v>
      </c>
      <c r="B514">
        <v>23592</v>
      </c>
      <c r="C514" s="2">
        <v>34561</v>
      </c>
      <c r="D514">
        <v>31</v>
      </c>
      <c r="E514" t="s">
        <v>36</v>
      </c>
      <c r="F514" t="s">
        <v>50</v>
      </c>
      <c r="G514" s="2">
        <v>43330</v>
      </c>
      <c r="H514" s="3">
        <f t="shared" si="7"/>
        <v>7.7890410958904113</v>
      </c>
      <c r="I514">
        <v>93</v>
      </c>
      <c r="J514" t="s">
        <v>57</v>
      </c>
      <c r="K514" t="s">
        <v>65</v>
      </c>
      <c r="L514" t="s">
        <v>44</v>
      </c>
      <c r="M514">
        <v>10.38</v>
      </c>
      <c r="N514">
        <v>10.18</v>
      </c>
      <c r="O514">
        <v>9.98</v>
      </c>
      <c r="P514">
        <v>9.7799999999999994</v>
      </c>
      <c r="Q514">
        <v>9.58</v>
      </c>
      <c r="R514">
        <v>9.3800000000000008</v>
      </c>
      <c r="S514">
        <v>9.18</v>
      </c>
      <c r="T514" t="s">
        <v>47</v>
      </c>
      <c r="U514">
        <v>1</v>
      </c>
      <c r="V514">
        <v>3</v>
      </c>
    </row>
    <row r="515" spans="1:35" x14ac:dyDescent="0.3">
      <c r="A515">
        <v>514</v>
      </c>
      <c r="B515">
        <v>23619</v>
      </c>
      <c r="C515" s="2">
        <v>34618</v>
      </c>
      <c r="D515">
        <v>31</v>
      </c>
      <c r="E515" t="s">
        <v>36</v>
      </c>
      <c r="F515" t="s">
        <v>50</v>
      </c>
      <c r="G515" s="2">
        <v>43179</v>
      </c>
      <c r="H515" s="3">
        <f t="shared" ref="H515:H578" si="8">DATEDIF(G516,DATE(2025,12,31),"d")/365</f>
        <v>7.1945205479452055</v>
      </c>
      <c r="I515">
        <v>94</v>
      </c>
      <c r="J515" t="s">
        <v>57</v>
      </c>
      <c r="K515" t="s">
        <v>46</v>
      </c>
      <c r="L515" t="s">
        <v>44</v>
      </c>
      <c r="M515">
        <v>14.07</v>
      </c>
      <c r="N515">
        <v>13.77</v>
      </c>
      <c r="O515">
        <v>13.47</v>
      </c>
      <c r="P515">
        <v>13.17</v>
      </c>
      <c r="Q515">
        <v>12.87</v>
      </c>
      <c r="R515">
        <v>12.57</v>
      </c>
      <c r="S515">
        <v>12.27</v>
      </c>
      <c r="T515" t="s">
        <v>47</v>
      </c>
      <c r="U515">
        <v>0</v>
      </c>
      <c r="V515">
        <v>3</v>
      </c>
    </row>
    <row r="516" spans="1:35" x14ac:dyDescent="0.3">
      <c r="A516">
        <v>515</v>
      </c>
      <c r="B516">
        <v>23685</v>
      </c>
      <c r="C516" s="2">
        <v>34379</v>
      </c>
      <c r="D516">
        <v>31</v>
      </c>
      <c r="E516" t="s">
        <v>36</v>
      </c>
      <c r="F516" t="s">
        <v>50</v>
      </c>
      <c r="G516" s="2">
        <v>43396</v>
      </c>
      <c r="H516" s="3">
        <f t="shared" si="8"/>
        <v>7.7178082191780826</v>
      </c>
      <c r="I516">
        <v>97</v>
      </c>
      <c r="J516" t="s">
        <v>57</v>
      </c>
      <c r="K516" t="s">
        <v>68</v>
      </c>
      <c r="L516" t="s">
        <v>44</v>
      </c>
      <c r="M516">
        <v>15.69</v>
      </c>
      <c r="N516">
        <v>15.69</v>
      </c>
      <c r="O516">
        <v>15.58</v>
      </c>
      <c r="P516">
        <v>15.36</v>
      </c>
      <c r="Q516">
        <v>15.21</v>
      </c>
      <c r="R516">
        <v>14.95</v>
      </c>
      <c r="S516">
        <v>14.66</v>
      </c>
      <c r="T516" t="s">
        <v>47</v>
      </c>
      <c r="U516">
        <v>3</v>
      </c>
      <c r="V516">
        <v>4</v>
      </c>
    </row>
    <row r="517" spans="1:35" x14ac:dyDescent="0.3">
      <c r="A517">
        <v>516</v>
      </c>
      <c r="B517">
        <v>23688</v>
      </c>
      <c r="C517" s="2">
        <v>36496</v>
      </c>
      <c r="D517">
        <v>26</v>
      </c>
      <c r="E517" t="s">
        <v>36</v>
      </c>
      <c r="F517" t="s">
        <v>50</v>
      </c>
      <c r="G517" s="2">
        <v>43205</v>
      </c>
      <c r="H517" s="3">
        <f t="shared" si="8"/>
        <v>7.5890410958904111</v>
      </c>
      <c r="I517">
        <v>97</v>
      </c>
      <c r="J517" t="s">
        <v>57</v>
      </c>
      <c r="K517" t="s">
        <v>65</v>
      </c>
      <c r="L517" t="s">
        <v>44</v>
      </c>
      <c r="M517">
        <v>10.1</v>
      </c>
      <c r="N517">
        <v>10.1</v>
      </c>
      <c r="O517">
        <v>9.89</v>
      </c>
      <c r="P517">
        <v>9.6199999999999992</v>
      </c>
      <c r="Q517">
        <v>9.5</v>
      </c>
      <c r="R517">
        <v>9.2899999999999991</v>
      </c>
      <c r="S517">
        <v>9.18</v>
      </c>
      <c r="T517" t="s">
        <v>49</v>
      </c>
      <c r="U517">
        <v>0</v>
      </c>
      <c r="V517">
        <v>4</v>
      </c>
    </row>
    <row r="518" spans="1:35" x14ac:dyDescent="0.3">
      <c r="A518">
        <v>517</v>
      </c>
      <c r="B518">
        <v>23742</v>
      </c>
      <c r="C518" s="2">
        <v>30315</v>
      </c>
      <c r="D518">
        <v>43</v>
      </c>
      <c r="E518" t="s">
        <v>36</v>
      </c>
      <c r="F518" t="s">
        <v>50</v>
      </c>
      <c r="G518" s="2">
        <v>43252</v>
      </c>
      <c r="H518" s="3">
        <f t="shared" si="8"/>
        <v>7.0246575342465754</v>
      </c>
      <c r="I518">
        <v>99</v>
      </c>
      <c r="J518" t="s">
        <v>57</v>
      </c>
      <c r="K518" t="s">
        <v>46</v>
      </c>
      <c r="L518" t="s">
        <v>44</v>
      </c>
      <c r="M518">
        <v>14.07</v>
      </c>
      <c r="N518">
        <v>13.77</v>
      </c>
      <c r="O518">
        <v>13.47</v>
      </c>
      <c r="P518">
        <v>13.17</v>
      </c>
      <c r="Q518">
        <v>12.87</v>
      </c>
      <c r="R518">
        <v>12.57</v>
      </c>
      <c r="S518">
        <v>12.27</v>
      </c>
      <c r="T518" t="s">
        <v>47</v>
      </c>
      <c r="U518">
        <v>1</v>
      </c>
      <c r="V518">
        <v>3</v>
      </c>
    </row>
    <row r="519" spans="1:35" x14ac:dyDescent="0.3">
      <c r="A519">
        <v>518</v>
      </c>
      <c r="B519">
        <v>23878</v>
      </c>
      <c r="C519" s="2">
        <v>34314</v>
      </c>
      <c r="D519">
        <v>32</v>
      </c>
      <c r="E519" t="s">
        <v>36</v>
      </c>
      <c r="F519" t="s">
        <v>50</v>
      </c>
      <c r="G519" s="2">
        <v>43458</v>
      </c>
      <c r="H519" s="3">
        <f t="shared" si="8"/>
        <v>7.7863013698630139</v>
      </c>
      <c r="I519">
        <v>105</v>
      </c>
      <c r="J519" t="s">
        <v>57</v>
      </c>
      <c r="K519" t="s">
        <v>55</v>
      </c>
      <c r="L519" t="s">
        <v>44</v>
      </c>
      <c r="M519">
        <v>16.97</v>
      </c>
      <c r="N519">
        <v>16.670000000000002</v>
      </c>
      <c r="O519">
        <v>16.37</v>
      </c>
      <c r="P519">
        <v>16.07</v>
      </c>
      <c r="Q519">
        <v>15.77</v>
      </c>
      <c r="R519">
        <v>15.47</v>
      </c>
      <c r="S519">
        <v>15.17</v>
      </c>
      <c r="T519" t="s">
        <v>47</v>
      </c>
      <c r="U519">
        <v>1</v>
      </c>
      <c r="V519">
        <v>4</v>
      </c>
    </row>
    <row r="520" spans="1:35" x14ac:dyDescent="0.3">
      <c r="A520">
        <v>519</v>
      </c>
      <c r="B520">
        <v>23925</v>
      </c>
      <c r="C520" s="2">
        <v>36143</v>
      </c>
      <c r="D520">
        <v>27</v>
      </c>
      <c r="E520" t="s">
        <v>36</v>
      </c>
      <c r="F520" t="s">
        <v>50</v>
      </c>
      <c r="G520" s="2">
        <v>43180</v>
      </c>
      <c r="H520" s="3">
        <f t="shared" si="8"/>
        <v>7.7808219178082192</v>
      </c>
      <c r="I520">
        <v>107</v>
      </c>
      <c r="J520" t="s">
        <v>57</v>
      </c>
      <c r="K520" t="s">
        <v>46</v>
      </c>
      <c r="L520" t="s">
        <v>44</v>
      </c>
      <c r="M520">
        <v>14.07</v>
      </c>
      <c r="N520">
        <v>13.77</v>
      </c>
      <c r="O520">
        <v>13.47</v>
      </c>
      <c r="P520">
        <v>13.17</v>
      </c>
      <c r="Q520">
        <v>12.87</v>
      </c>
      <c r="R520">
        <v>12.57</v>
      </c>
      <c r="S520">
        <v>12.27</v>
      </c>
      <c r="T520" t="s">
        <v>47</v>
      </c>
      <c r="U520">
        <v>0</v>
      </c>
      <c r="V520">
        <v>4</v>
      </c>
    </row>
    <row r="521" spans="1:35" x14ac:dyDescent="0.3">
      <c r="A521">
        <v>520</v>
      </c>
      <c r="B521">
        <v>23960</v>
      </c>
      <c r="C521" s="2">
        <v>35743</v>
      </c>
      <c r="D521">
        <v>28</v>
      </c>
      <c r="E521" t="s">
        <v>42</v>
      </c>
      <c r="F521" t="s">
        <v>50</v>
      </c>
      <c r="G521" s="2">
        <v>43182</v>
      </c>
      <c r="H521" s="3">
        <f t="shared" si="8"/>
        <v>6.9479452054794519</v>
      </c>
      <c r="I521">
        <v>108</v>
      </c>
      <c r="J521" t="s">
        <v>57</v>
      </c>
      <c r="K521" t="s">
        <v>56</v>
      </c>
      <c r="L521" t="s">
        <v>44</v>
      </c>
      <c r="M521">
        <v>8.5</v>
      </c>
      <c r="N521">
        <v>8.3000000000000007</v>
      </c>
      <c r="O521">
        <v>8.1</v>
      </c>
      <c r="P521">
        <v>7.9</v>
      </c>
      <c r="Q521">
        <v>7.7</v>
      </c>
      <c r="R521">
        <v>7.5</v>
      </c>
      <c r="S521">
        <v>7.3</v>
      </c>
      <c r="T521" t="s">
        <v>47</v>
      </c>
      <c r="U521">
        <v>2</v>
      </c>
      <c r="V521">
        <v>6</v>
      </c>
    </row>
    <row r="522" spans="1:35" x14ac:dyDescent="0.3">
      <c r="A522">
        <v>521</v>
      </c>
      <c r="B522">
        <v>24129</v>
      </c>
      <c r="C522" s="2">
        <v>29413</v>
      </c>
      <c r="D522">
        <v>45</v>
      </c>
      <c r="E522" t="s">
        <v>42</v>
      </c>
      <c r="F522" t="s">
        <v>50</v>
      </c>
      <c r="G522" s="2">
        <v>43486</v>
      </c>
      <c r="H522" s="3">
        <f t="shared" si="8"/>
        <v>7.7698630136986298</v>
      </c>
      <c r="I522">
        <v>115</v>
      </c>
      <c r="J522" t="s">
        <v>57</v>
      </c>
      <c r="K522" t="s">
        <v>46</v>
      </c>
      <c r="L522" t="s">
        <v>44</v>
      </c>
      <c r="M522">
        <v>14.07</v>
      </c>
      <c r="N522">
        <v>13.77</v>
      </c>
      <c r="O522">
        <v>13.47</v>
      </c>
      <c r="P522">
        <v>13.17</v>
      </c>
      <c r="Q522">
        <v>12.87</v>
      </c>
      <c r="R522">
        <v>12.57</v>
      </c>
      <c r="T522" t="s">
        <v>47</v>
      </c>
      <c r="U522">
        <v>1</v>
      </c>
      <c r="V522">
        <v>5</v>
      </c>
    </row>
    <row r="523" spans="1:35" x14ac:dyDescent="0.3">
      <c r="A523">
        <v>522</v>
      </c>
      <c r="B523">
        <v>24450</v>
      </c>
      <c r="C523" s="2">
        <v>35875</v>
      </c>
      <c r="D523">
        <v>27</v>
      </c>
      <c r="E523" t="s">
        <v>42</v>
      </c>
      <c r="F523" t="s">
        <v>50</v>
      </c>
      <c r="G523" s="2">
        <v>43186</v>
      </c>
      <c r="H523" s="3">
        <f t="shared" si="8"/>
        <v>7.4575342465753423</v>
      </c>
      <c r="I523">
        <v>128</v>
      </c>
      <c r="J523" t="s">
        <v>57</v>
      </c>
      <c r="K523" t="s">
        <v>56</v>
      </c>
      <c r="L523" t="s">
        <v>44</v>
      </c>
      <c r="M523">
        <v>8.5</v>
      </c>
      <c r="N523">
        <v>8.3000000000000007</v>
      </c>
      <c r="O523">
        <v>8.1</v>
      </c>
      <c r="P523">
        <v>7.9</v>
      </c>
      <c r="Q523">
        <v>7.7</v>
      </c>
      <c r="R523">
        <v>7.5</v>
      </c>
      <c r="S523">
        <v>7.3</v>
      </c>
      <c r="T523" t="s">
        <v>47</v>
      </c>
      <c r="U523">
        <v>2</v>
      </c>
      <c r="V523">
        <v>6</v>
      </c>
    </row>
    <row r="524" spans="1:35" x14ac:dyDescent="0.3">
      <c r="A524">
        <v>523</v>
      </c>
      <c r="B524">
        <v>24681</v>
      </c>
      <c r="C524" s="2">
        <v>35319</v>
      </c>
      <c r="D524">
        <v>29</v>
      </c>
      <c r="E524" t="s">
        <v>42</v>
      </c>
      <c r="F524" t="s">
        <v>50</v>
      </c>
      <c r="G524" s="2">
        <v>43300</v>
      </c>
      <c r="H524" s="3">
        <f t="shared" si="8"/>
        <v>6.4219178082191783</v>
      </c>
      <c r="I524">
        <v>137</v>
      </c>
      <c r="J524" t="s">
        <v>57</v>
      </c>
      <c r="K524" t="s">
        <v>56</v>
      </c>
      <c r="L524" t="s">
        <v>44</v>
      </c>
      <c r="M524">
        <v>8.5</v>
      </c>
      <c r="N524">
        <v>8.3000000000000007</v>
      </c>
      <c r="O524">
        <v>8.1</v>
      </c>
      <c r="P524">
        <v>7.9</v>
      </c>
      <c r="Q524">
        <v>7.7</v>
      </c>
      <c r="R524">
        <v>7.5</v>
      </c>
      <c r="S524">
        <v>7.3</v>
      </c>
      <c r="T524" t="s">
        <v>47</v>
      </c>
      <c r="U524">
        <v>4</v>
      </c>
      <c r="V524">
        <v>6</v>
      </c>
    </row>
    <row r="525" spans="1:35" x14ac:dyDescent="0.3">
      <c r="A525">
        <v>524</v>
      </c>
      <c r="B525">
        <v>24878</v>
      </c>
      <c r="C525" s="2">
        <v>34006</v>
      </c>
      <c r="D525">
        <v>32</v>
      </c>
      <c r="E525" t="s">
        <v>42</v>
      </c>
      <c r="F525" t="s">
        <v>50</v>
      </c>
      <c r="G525" s="2">
        <v>43678</v>
      </c>
      <c r="H525" s="3">
        <f t="shared" si="8"/>
        <v>6.4219178082191783</v>
      </c>
      <c r="I525">
        <v>143</v>
      </c>
      <c r="J525" t="s">
        <v>57</v>
      </c>
      <c r="K525" t="s">
        <v>39</v>
      </c>
      <c r="L525" t="s">
        <v>40</v>
      </c>
      <c r="M525">
        <v>60715</v>
      </c>
      <c r="N525">
        <v>58631</v>
      </c>
      <c r="O525">
        <v>58631</v>
      </c>
      <c r="P525">
        <v>53131</v>
      </c>
      <c r="Q525">
        <v>51131</v>
      </c>
      <c r="R525">
        <v>47131</v>
      </c>
      <c r="T525" t="s">
        <v>66</v>
      </c>
      <c r="U525">
        <v>4</v>
      </c>
      <c r="V525">
        <v>7</v>
      </c>
      <c r="W525">
        <v>7</v>
      </c>
      <c r="X525" s="2">
        <v>44063</v>
      </c>
      <c r="Y525" t="s">
        <v>69</v>
      </c>
      <c r="Z525" s="2">
        <v>44833</v>
      </c>
      <c r="AA525" t="s">
        <v>59</v>
      </c>
      <c r="AD525">
        <v>4</v>
      </c>
      <c r="AE525">
        <v>4</v>
      </c>
      <c r="AF525">
        <v>2</v>
      </c>
      <c r="AG525">
        <v>4</v>
      </c>
      <c r="AH525">
        <v>5</v>
      </c>
      <c r="AI525">
        <v>4</v>
      </c>
    </row>
    <row r="526" spans="1:35" x14ac:dyDescent="0.3">
      <c r="A526">
        <v>525</v>
      </c>
      <c r="B526">
        <v>24879</v>
      </c>
      <c r="C526" s="2">
        <v>34416</v>
      </c>
      <c r="D526">
        <v>31</v>
      </c>
      <c r="E526" t="s">
        <v>42</v>
      </c>
      <c r="F526" t="s">
        <v>37</v>
      </c>
      <c r="G526" s="2">
        <v>43678</v>
      </c>
      <c r="H526" s="3">
        <f t="shared" si="8"/>
        <v>5.419178082191781</v>
      </c>
      <c r="I526">
        <v>108</v>
      </c>
      <c r="J526" t="s">
        <v>57</v>
      </c>
      <c r="K526" t="s">
        <v>39</v>
      </c>
      <c r="L526" t="s">
        <v>40</v>
      </c>
      <c r="M526">
        <v>64631</v>
      </c>
      <c r="N526">
        <v>62381</v>
      </c>
      <c r="O526">
        <v>60131</v>
      </c>
      <c r="P526">
        <v>50131</v>
      </c>
      <c r="Q526">
        <v>49131</v>
      </c>
      <c r="R526">
        <v>47131</v>
      </c>
      <c r="T526" t="s">
        <v>58</v>
      </c>
      <c r="U526">
        <v>2</v>
      </c>
      <c r="V526">
        <v>6</v>
      </c>
      <c r="W526">
        <v>7</v>
      </c>
      <c r="X526" s="2">
        <v>44103</v>
      </c>
      <c r="Y526" t="s">
        <v>69</v>
      </c>
      <c r="Z526" s="2">
        <v>44872</v>
      </c>
      <c r="AA526" t="s">
        <v>59</v>
      </c>
      <c r="AD526">
        <v>5</v>
      </c>
      <c r="AE526">
        <v>5</v>
      </c>
      <c r="AF526">
        <v>5</v>
      </c>
      <c r="AG526">
        <v>5</v>
      </c>
      <c r="AH526">
        <v>4</v>
      </c>
      <c r="AI526">
        <v>3</v>
      </c>
    </row>
    <row r="527" spans="1:35" x14ac:dyDescent="0.3">
      <c r="A527">
        <v>526</v>
      </c>
      <c r="B527">
        <v>24880</v>
      </c>
      <c r="C527" s="2">
        <v>34352</v>
      </c>
      <c r="D527">
        <v>31</v>
      </c>
      <c r="E527" t="s">
        <v>42</v>
      </c>
      <c r="F527" t="s">
        <v>50</v>
      </c>
      <c r="G527" s="2">
        <v>44044</v>
      </c>
      <c r="H527" s="3">
        <f t="shared" si="8"/>
        <v>5.419178082191781</v>
      </c>
      <c r="I527">
        <v>142</v>
      </c>
      <c r="J527" t="s">
        <v>57</v>
      </c>
      <c r="K527" t="s">
        <v>39</v>
      </c>
      <c r="L527" t="s">
        <v>40</v>
      </c>
      <c r="M527">
        <v>57131</v>
      </c>
      <c r="N527">
        <v>56381</v>
      </c>
      <c r="O527">
        <v>56381</v>
      </c>
      <c r="P527">
        <v>50131</v>
      </c>
      <c r="Q527">
        <v>49131</v>
      </c>
      <c r="T527" t="s">
        <v>41</v>
      </c>
      <c r="U527">
        <v>4</v>
      </c>
      <c r="V527">
        <v>7</v>
      </c>
      <c r="W527">
        <v>7</v>
      </c>
      <c r="X527" s="2">
        <v>44108</v>
      </c>
      <c r="Y527" t="s">
        <v>69</v>
      </c>
      <c r="Z527" s="2">
        <v>44838</v>
      </c>
      <c r="AA527" t="s">
        <v>59</v>
      </c>
      <c r="AD527">
        <v>2</v>
      </c>
      <c r="AE527">
        <v>4</v>
      </c>
      <c r="AF527">
        <v>5</v>
      </c>
      <c r="AG527">
        <v>5</v>
      </c>
      <c r="AH527">
        <v>5</v>
      </c>
    </row>
    <row r="528" spans="1:35" x14ac:dyDescent="0.3">
      <c r="A528">
        <v>527</v>
      </c>
      <c r="B528">
        <v>24882</v>
      </c>
      <c r="C528" s="2">
        <v>33641</v>
      </c>
      <c r="D528">
        <v>33</v>
      </c>
      <c r="E528" t="s">
        <v>36</v>
      </c>
      <c r="F528" t="s">
        <v>50</v>
      </c>
      <c r="G528" s="2">
        <v>44044</v>
      </c>
      <c r="H528" s="3">
        <f t="shared" si="8"/>
        <v>6.4219178082191783</v>
      </c>
      <c r="I528">
        <v>123</v>
      </c>
      <c r="J528" t="s">
        <v>57</v>
      </c>
      <c r="K528" t="s">
        <v>39</v>
      </c>
      <c r="L528" t="s">
        <v>40</v>
      </c>
      <c r="M528">
        <v>60946</v>
      </c>
      <c r="N528">
        <v>59446</v>
      </c>
      <c r="O528">
        <v>57946</v>
      </c>
      <c r="P528">
        <v>50946</v>
      </c>
      <c r="Q528">
        <v>49705</v>
      </c>
      <c r="T528" t="s">
        <v>66</v>
      </c>
      <c r="U528">
        <v>4</v>
      </c>
      <c r="V528">
        <v>5</v>
      </c>
      <c r="W528">
        <v>5</v>
      </c>
      <c r="X528" s="2">
        <v>44112</v>
      </c>
      <c r="Y528" t="s">
        <v>69</v>
      </c>
      <c r="Z528" s="2">
        <v>44722</v>
      </c>
      <c r="AA528" t="s">
        <v>59</v>
      </c>
      <c r="AD528">
        <v>4</v>
      </c>
      <c r="AE528">
        <v>5</v>
      </c>
      <c r="AF528">
        <v>5</v>
      </c>
      <c r="AG528">
        <v>3</v>
      </c>
      <c r="AH528">
        <v>5</v>
      </c>
    </row>
    <row r="529" spans="1:35" x14ac:dyDescent="0.3">
      <c r="A529">
        <v>528</v>
      </c>
      <c r="B529">
        <v>24889</v>
      </c>
      <c r="C529" s="2">
        <v>35010</v>
      </c>
      <c r="D529">
        <v>30</v>
      </c>
      <c r="E529" t="s">
        <v>36</v>
      </c>
      <c r="F529" t="s">
        <v>50</v>
      </c>
      <c r="G529" s="2">
        <v>43678</v>
      </c>
      <c r="H529" s="3">
        <f t="shared" si="8"/>
        <v>5.419178082191781</v>
      </c>
      <c r="I529">
        <v>79</v>
      </c>
      <c r="J529" t="s">
        <v>57</v>
      </c>
      <c r="K529" t="s">
        <v>39</v>
      </c>
      <c r="L529" t="s">
        <v>40</v>
      </c>
      <c r="M529">
        <v>65381</v>
      </c>
      <c r="N529">
        <v>63131</v>
      </c>
      <c r="O529">
        <v>53131</v>
      </c>
      <c r="P529">
        <v>51631</v>
      </c>
      <c r="Q529">
        <v>50131</v>
      </c>
      <c r="R529">
        <v>47131</v>
      </c>
      <c r="T529" t="s">
        <v>63</v>
      </c>
      <c r="U529">
        <v>2</v>
      </c>
      <c r="V529">
        <v>6</v>
      </c>
      <c r="W529">
        <v>4</v>
      </c>
      <c r="X529" s="2">
        <v>44151</v>
      </c>
      <c r="Y529" t="s">
        <v>69</v>
      </c>
      <c r="Z529" s="2">
        <v>45266</v>
      </c>
      <c r="AA529" t="s">
        <v>59</v>
      </c>
      <c r="AD529">
        <v>5</v>
      </c>
      <c r="AE529">
        <v>4</v>
      </c>
      <c r="AF529">
        <v>4</v>
      </c>
      <c r="AG529">
        <v>4</v>
      </c>
      <c r="AH529">
        <v>4</v>
      </c>
      <c r="AI529">
        <v>3</v>
      </c>
    </row>
    <row r="530" spans="1:35" x14ac:dyDescent="0.3">
      <c r="A530">
        <v>529</v>
      </c>
      <c r="B530">
        <v>24891</v>
      </c>
      <c r="C530" s="2">
        <v>34503</v>
      </c>
      <c r="D530">
        <v>31</v>
      </c>
      <c r="E530" t="s">
        <v>42</v>
      </c>
      <c r="F530" t="s">
        <v>37</v>
      </c>
      <c r="G530" s="2">
        <v>44044</v>
      </c>
      <c r="H530" s="3">
        <f t="shared" si="8"/>
        <v>6.4219178082191783</v>
      </c>
      <c r="I530">
        <v>102</v>
      </c>
      <c r="J530" t="s">
        <v>57</v>
      </c>
      <c r="K530" t="s">
        <v>39</v>
      </c>
      <c r="L530" t="s">
        <v>40</v>
      </c>
      <c r="M530">
        <v>66881</v>
      </c>
      <c r="N530">
        <v>63881</v>
      </c>
      <c r="O530">
        <v>52381</v>
      </c>
      <c r="P530">
        <v>51131</v>
      </c>
      <c r="Q530">
        <v>50131</v>
      </c>
      <c r="T530" t="s">
        <v>63</v>
      </c>
      <c r="U530">
        <v>2</v>
      </c>
      <c r="V530">
        <v>6</v>
      </c>
      <c r="W530">
        <v>6</v>
      </c>
      <c r="X530" s="2">
        <v>43975</v>
      </c>
      <c r="Y530" t="s">
        <v>69</v>
      </c>
      <c r="Z530" s="2">
        <v>45264</v>
      </c>
      <c r="AA530" t="s">
        <v>59</v>
      </c>
      <c r="AD530">
        <v>5</v>
      </c>
      <c r="AE530">
        <v>5</v>
      </c>
      <c r="AF530">
        <v>5</v>
      </c>
      <c r="AG530">
        <v>4</v>
      </c>
      <c r="AH530">
        <v>3</v>
      </c>
    </row>
    <row r="531" spans="1:35" x14ac:dyDescent="0.3">
      <c r="A531">
        <v>530</v>
      </c>
      <c r="B531">
        <v>24892</v>
      </c>
      <c r="C531" s="2">
        <v>34213</v>
      </c>
      <c r="D531">
        <v>33</v>
      </c>
      <c r="E531" t="s">
        <v>42</v>
      </c>
      <c r="F531" t="s">
        <v>50</v>
      </c>
      <c r="G531" s="2">
        <v>43678</v>
      </c>
      <c r="H531" s="3">
        <f t="shared" si="8"/>
        <v>6.4219178082191783</v>
      </c>
      <c r="I531">
        <v>114</v>
      </c>
      <c r="J531" t="s">
        <v>57</v>
      </c>
      <c r="K531" t="s">
        <v>39</v>
      </c>
      <c r="L531" t="s">
        <v>40</v>
      </c>
      <c r="M531">
        <v>59680</v>
      </c>
      <c r="N531">
        <v>57631</v>
      </c>
      <c r="O531">
        <v>52131</v>
      </c>
      <c r="P531">
        <v>51131</v>
      </c>
      <c r="Q531">
        <v>50131</v>
      </c>
      <c r="R531">
        <v>47131</v>
      </c>
      <c r="T531" t="s">
        <v>63</v>
      </c>
      <c r="U531">
        <v>2</v>
      </c>
      <c r="V531">
        <v>4</v>
      </c>
      <c r="W531">
        <v>6</v>
      </c>
      <c r="X531" s="2">
        <v>44115</v>
      </c>
      <c r="Y531" t="s">
        <v>69</v>
      </c>
      <c r="Z531" s="2">
        <v>45045</v>
      </c>
      <c r="AA531" t="s">
        <v>59</v>
      </c>
      <c r="AD531">
        <v>3</v>
      </c>
      <c r="AE531">
        <v>3</v>
      </c>
      <c r="AF531">
        <v>3</v>
      </c>
      <c r="AG531">
        <v>3</v>
      </c>
      <c r="AH531">
        <v>3</v>
      </c>
      <c r="AI531">
        <v>3</v>
      </c>
    </row>
    <row r="532" spans="1:35" x14ac:dyDescent="0.3">
      <c r="A532">
        <v>531</v>
      </c>
      <c r="B532">
        <v>24893</v>
      </c>
      <c r="C532" s="2">
        <v>34931</v>
      </c>
      <c r="D532">
        <v>30</v>
      </c>
      <c r="E532" t="s">
        <v>42</v>
      </c>
      <c r="F532" t="s">
        <v>50</v>
      </c>
      <c r="G532" s="2">
        <v>43678</v>
      </c>
      <c r="H532" s="3">
        <f t="shared" si="8"/>
        <v>5.419178082191781</v>
      </c>
      <c r="I532">
        <v>74</v>
      </c>
      <c r="J532" t="s">
        <v>57</v>
      </c>
      <c r="K532" t="s">
        <v>39</v>
      </c>
      <c r="L532" t="s">
        <v>40</v>
      </c>
      <c r="M532">
        <v>57631</v>
      </c>
      <c r="N532">
        <v>57631</v>
      </c>
      <c r="O532">
        <v>52131</v>
      </c>
      <c r="P532">
        <v>50631</v>
      </c>
      <c r="Q532">
        <v>49131</v>
      </c>
      <c r="R532">
        <v>47131</v>
      </c>
      <c r="T532" t="s">
        <v>63</v>
      </c>
      <c r="U532">
        <v>1</v>
      </c>
      <c r="V532">
        <v>6</v>
      </c>
      <c r="W532">
        <v>7</v>
      </c>
      <c r="X532" s="2">
        <v>44169</v>
      </c>
      <c r="Y532" t="s">
        <v>69</v>
      </c>
      <c r="Z532" s="2">
        <v>45224</v>
      </c>
      <c r="AA532" t="s">
        <v>59</v>
      </c>
      <c r="AD532">
        <v>3</v>
      </c>
      <c r="AE532">
        <v>1</v>
      </c>
      <c r="AF532">
        <v>3</v>
      </c>
      <c r="AG532">
        <v>4</v>
      </c>
      <c r="AH532">
        <v>4</v>
      </c>
      <c r="AI532">
        <v>2</v>
      </c>
    </row>
    <row r="533" spans="1:35" x14ac:dyDescent="0.3">
      <c r="A533">
        <v>532</v>
      </c>
      <c r="B533">
        <v>24897</v>
      </c>
      <c r="C533" s="2">
        <v>34754</v>
      </c>
      <c r="D533">
        <v>30</v>
      </c>
      <c r="E533" t="s">
        <v>42</v>
      </c>
      <c r="F533" t="s">
        <v>50</v>
      </c>
      <c r="G533" s="2">
        <v>44044</v>
      </c>
      <c r="H533" s="3">
        <f t="shared" si="8"/>
        <v>5.419178082191781</v>
      </c>
      <c r="I533">
        <v>128</v>
      </c>
      <c r="J533" t="s">
        <v>57</v>
      </c>
      <c r="K533" t="s">
        <v>39</v>
      </c>
      <c r="L533" t="s">
        <v>40</v>
      </c>
      <c r="M533">
        <v>60006</v>
      </c>
      <c r="N533">
        <v>58131</v>
      </c>
      <c r="O533">
        <v>49631</v>
      </c>
      <c r="P533">
        <v>49131</v>
      </c>
      <c r="Q533">
        <v>48631</v>
      </c>
      <c r="T533" t="s">
        <v>61</v>
      </c>
      <c r="U533">
        <v>4</v>
      </c>
      <c r="V533">
        <v>6</v>
      </c>
      <c r="W533">
        <v>7</v>
      </c>
      <c r="X533" s="2">
        <v>44122</v>
      </c>
      <c r="Y533" t="s">
        <v>69</v>
      </c>
      <c r="Z533" s="2">
        <v>45171</v>
      </c>
      <c r="AA533" t="s">
        <v>59</v>
      </c>
      <c r="AD533">
        <v>4</v>
      </c>
      <c r="AE533">
        <v>4</v>
      </c>
      <c r="AF533">
        <v>3</v>
      </c>
      <c r="AG533">
        <v>4</v>
      </c>
      <c r="AH533">
        <v>5</v>
      </c>
    </row>
    <row r="534" spans="1:35" x14ac:dyDescent="0.3">
      <c r="A534">
        <v>533</v>
      </c>
      <c r="B534">
        <v>24908</v>
      </c>
      <c r="C534" s="2">
        <v>34732</v>
      </c>
      <c r="D534">
        <v>30</v>
      </c>
      <c r="E534" t="s">
        <v>42</v>
      </c>
      <c r="F534" t="s">
        <v>50</v>
      </c>
      <c r="G534" s="2">
        <v>44044</v>
      </c>
      <c r="H534" s="3">
        <f t="shared" si="8"/>
        <v>5.7753424657534245</v>
      </c>
      <c r="I534">
        <v>88</v>
      </c>
      <c r="J534" t="s">
        <v>57</v>
      </c>
      <c r="K534" t="s">
        <v>39</v>
      </c>
      <c r="L534" t="s">
        <v>40</v>
      </c>
      <c r="M534">
        <v>59131</v>
      </c>
      <c r="N534">
        <v>58381</v>
      </c>
      <c r="O534">
        <v>52131</v>
      </c>
      <c r="P534">
        <v>51131</v>
      </c>
      <c r="Q534">
        <v>50131</v>
      </c>
      <c r="T534" t="s">
        <v>41</v>
      </c>
      <c r="U534">
        <v>4</v>
      </c>
      <c r="V534">
        <v>7</v>
      </c>
      <c r="W534">
        <v>7</v>
      </c>
      <c r="X534" s="2">
        <v>43910</v>
      </c>
      <c r="Y534" t="s">
        <v>69</v>
      </c>
      <c r="Z534" s="2">
        <v>45309</v>
      </c>
      <c r="AA534" t="s">
        <v>59</v>
      </c>
      <c r="AD534">
        <v>4</v>
      </c>
      <c r="AE534">
        <v>1</v>
      </c>
      <c r="AF534">
        <v>5</v>
      </c>
      <c r="AG534">
        <v>3</v>
      </c>
      <c r="AH534">
        <v>3</v>
      </c>
    </row>
    <row r="535" spans="1:35" x14ac:dyDescent="0.3">
      <c r="A535">
        <v>534</v>
      </c>
      <c r="B535">
        <v>24918</v>
      </c>
      <c r="C535" s="2">
        <v>31646</v>
      </c>
      <c r="D535">
        <v>39</v>
      </c>
      <c r="E535" t="s">
        <v>42</v>
      </c>
      <c r="F535" t="s">
        <v>37</v>
      </c>
      <c r="G535" s="2">
        <v>43914</v>
      </c>
      <c r="H535" s="3">
        <f t="shared" si="8"/>
        <v>5.419178082191781</v>
      </c>
      <c r="I535">
        <v>9</v>
      </c>
      <c r="J535" t="s">
        <v>38</v>
      </c>
      <c r="K535" t="s">
        <v>39</v>
      </c>
      <c r="L535" t="s">
        <v>40</v>
      </c>
      <c r="M535">
        <v>81480</v>
      </c>
      <c r="N535">
        <v>79230</v>
      </c>
      <c r="O535">
        <v>76980</v>
      </c>
      <c r="P535">
        <v>74730</v>
      </c>
      <c r="Q535">
        <v>72480</v>
      </c>
      <c r="T535" t="s">
        <v>66</v>
      </c>
      <c r="U535">
        <v>4</v>
      </c>
      <c r="V535">
        <v>6</v>
      </c>
      <c r="W535">
        <v>6</v>
      </c>
      <c r="AD535">
        <v>5</v>
      </c>
      <c r="AE535">
        <v>5</v>
      </c>
      <c r="AF535">
        <v>5</v>
      </c>
      <c r="AG535">
        <v>5</v>
      </c>
      <c r="AH535">
        <v>5</v>
      </c>
    </row>
    <row r="536" spans="1:35" x14ac:dyDescent="0.3">
      <c r="A536">
        <v>535</v>
      </c>
      <c r="B536">
        <v>24922</v>
      </c>
      <c r="C536" s="2">
        <v>33571</v>
      </c>
      <c r="D536">
        <v>34</v>
      </c>
      <c r="E536" t="s">
        <v>42</v>
      </c>
      <c r="F536" t="s">
        <v>50</v>
      </c>
      <c r="G536" s="2">
        <v>44044</v>
      </c>
      <c r="H536" s="3">
        <f t="shared" si="8"/>
        <v>6.4219178082191783</v>
      </c>
      <c r="I536">
        <v>124</v>
      </c>
      <c r="J536" t="s">
        <v>57</v>
      </c>
      <c r="K536" t="s">
        <v>39</v>
      </c>
      <c r="L536" t="s">
        <v>40</v>
      </c>
      <c r="M536">
        <v>58131</v>
      </c>
      <c r="N536">
        <v>57381</v>
      </c>
      <c r="O536">
        <v>51131</v>
      </c>
      <c r="P536">
        <v>50131</v>
      </c>
      <c r="Q536">
        <v>49131</v>
      </c>
      <c r="T536" t="s">
        <v>67</v>
      </c>
      <c r="U536">
        <v>4</v>
      </c>
      <c r="V536">
        <v>7</v>
      </c>
      <c r="W536">
        <v>7</v>
      </c>
      <c r="X536" s="2">
        <v>44010</v>
      </c>
      <c r="Y536" t="s">
        <v>69</v>
      </c>
      <c r="Z536" s="2">
        <v>45040</v>
      </c>
      <c r="AA536" t="s">
        <v>59</v>
      </c>
      <c r="AD536">
        <v>4</v>
      </c>
      <c r="AE536">
        <v>5</v>
      </c>
      <c r="AF536">
        <v>3</v>
      </c>
      <c r="AG536">
        <v>4</v>
      </c>
      <c r="AH536">
        <v>5</v>
      </c>
    </row>
    <row r="537" spans="1:35" x14ac:dyDescent="0.3">
      <c r="A537">
        <v>536</v>
      </c>
      <c r="B537">
        <v>24924</v>
      </c>
      <c r="C537" s="2">
        <v>34612</v>
      </c>
      <c r="D537">
        <v>31</v>
      </c>
      <c r="E537" t="s">
        <v>42</v>
      </c>
      <c r="F537" t="s">
        <v>50</v>
      </c>
      <c r="G537" s="2">
        <v>43678</v>
      </c>
      <c r="H537" s="3">
        <f t="shared" si="8"/>
        <v>6.4219178082191783</v>
      </c>
      <c r="I537">
        <v>68</v>
      </c>
      <c r="J537" t="s">
        <v>57</v>
      </c>
      <c r="K537" t="s">
        <v>39</v>
      </c>
      <c r="L537" t="s">
        <v>40</v>
      </c>
      <c r="M537">
        <v>63581</v>
      </c>
      <c r="N537">
        <v>62247</v>
      </c>
      <c r="O537">
        <v>52631</v>
      </c>
      <c r="P537">
        <v>51381</v>
      </c>
      <c r="Q537">
        <v>50131</v>
      </c>
      <c r="R537">
        <v>47131</v>
      </c>
      <c r="T537" t="s">
        <v>70</v>
      </c>
      <c r="U537">
        <v>2</v>
      </c>
      <c r="V537">
        <v>6</v>
      </c>
      <c r="W537">
        <v>5</v>
      </c>
      <c r="X537" s="2">
        <v>43894</v>
      </c>
      <c r="Y537" t="s">
        <v>69</v>
      </c>
      <c r="Z537" s="2">
        <v>44995</v>
      </c>
      <c r="AA537" t="s">
        <v>59</v>
      </c>
      <c r="AD537">
        <v>4</v>
      </c>
      <c r="AE537">
        <v>5</v>
      </c>
      <c r="AF537">
        <v>5</v>
      </c>
      <c r="AG537">
        <v>4</v>
      </c>
      <c r="AH537">
        <v>4</v>
      </c>
      <c r="AI537">
        <v>3</v>
      </c>
    </row>
    <row r="538" spans="1:35" x14ac:dyDescent="0.3">
      <c r="A538">
        <v>537</v>
      </c>
      <c r="B538">
        <v>24926</v>
      </c>
      <c r="C538" s="2">
        <v>34154</v>
      </c>
      <c r="D538">
        <v>32</v>
      </c>
      <c r="E538" t="s">
        <v>42</v>
      </c>
      <c r="F538" t="s">
        <v>50</v>
      </c>
      <c r="G538" s="2">
        <v>43678</v>
      </c>
      <c r="H538" s="3">
        <f t="shared" si="8"/>
        <v>6.4219178082191783</v>
      </c>
      <c r="I538">
        <v>91</v>
      </c>
      <c r="J538" t="s">
        <v>57</v>
      </c>
      <c r="K538" t="s">
        <v>39</v>
      </c>
      <c r="L538" t="s">
        <v>40</v>
      </c>
      <c r="M538">
        <v>58131</v>
      </c>
      <c r="N538">
        <v>57381</v>
      </c>
      <c r="O538">
        <v>51131</v>
      </c>
      <c r="P538">
        <v>50131</v>
      </c>
      <c r="Q538">
        <v>49131</v>
      </c>
      <c r="R538">
        <v>47131</v>
      </c>
      <c r="T538" t="s">
        <v>67</v>
      </c>
      <c r="U538">
        <v>2</v>
      </c>
      <c r="V538">
        <v>5</v>
      </c>
      <c r="W538">
        <v>6</v>
      </c>
      <c r="X538" s="2">
        <v>43913</v>
      </c>
      <c r="Y538" t="s">
        <v>69</v>
      </c>
      <c r="Z538" s="2">
        <v>45005</v>
      </c>
      <c r="AA538" t="s">
        <v>59</v>
      </c>
      <c r="AD538">
        <v>2</v>
      </c>
      <c r="AE538">
        <v>5</v>
      </c>
      <c r="AF538">
        <v>5</v>
      </c>
      <c r="AG538">
        <v>5</v>
      </c>
      <c r="AH538">
        <v>2</v>
      </c>
      <c r="AI538">
        <v>1</v>
      </c>
    </row>
    <row r="539" spans="1:35" x14ac:dyDescent="0.3">
      <c r="A539">
        <v>538</v>
      </c>
      <c r="B539">
        <v>24930</v>
      </c>
      <c r="C539" s="2">
        <v>34415</v>
      </c>
      <c r="D539">
        <v>31</v>
      </c>
      <c r="E539" t="s">
        <v>36</v>
      </c>
      <c r="F539" t="s">
        <v>50</v>
      </c>
      <c r="G539" s="2">
        <v>43678</v>
      </c>
      <c r="H539" s="3">
        <f t="shared" si="8"/>
        <v>6.4219178082191783</v>
      </c>
      <c r="I539">
        <v>113</v>
      </c>
      <c r="J539" t="s">
        <v>57</v>
      </c>
      <c r="K539" t="s">
        <v>39</v>
      </c>
      <c r="L539" t="s">
        <v>40</v>
      </c>
      <c r="M539">
        <v>59881</v>
      </c>
      <c r="N539">
        <v>59131</v>
      </c>
      <c r="O539">
        <v>53631</v>
      </c>
      <c r="P539">
        <v>51631</v>
      </c>
      <c r="Q539">
        <v>50131</v>
      </c>
      <c r="R539">
        <v>47131</v>
      </c>
      <c r="T539" t="s">
        <v>41</v>
      </c>
      <c r="U539">
        <v>4</v>
      </c>
      <c r="V539">
        <v>5</v>
      </c>
      <c r="W539">
        <v>6</v>
      </c>
      <c r="X539" s="2">
        <v>44116</v>
      </c>
      <c r="Y539" t="s">
        <v>69</v>
      </c>
      <c r="Z539" s="2">
        <v>44953</v>
      </c>
      <c r="AA539" t="s">
        <v>59</v>
      </c>
      <c r="AD539">
        <v>4</v>
      </c>
      <c r="AE539">
        <v>5</v>
      </c>
      <c r="AF539">
        <v>5</v>
      </c>
      <c r="AG539">
        <v>5</v>
      </c>
      <c r="AH539">
        <v>4</v>
      </c>
      <c r="AI539">
        <v>3</v>
      </c>
    </row>
    <row r="540" spans="1:35" x14ac:dyDescent="0.3">
      <c r="A540">
        <v>539</v>
      </c>
      <c r="B540">
        <v>24931</v>
      </c>
      <c r="C540" s="2">
        <v>34731</v>
      </c>
      <c r="D540">
        <v>31</v>
      </c>
      <c r="E540" t="s">
        <v>42</v>
      </c>
      <c r="F540" t="s">
        <v>37</v>
      </c>
      <c r="G540" s="2">
        <v>43678</v>
      </c>
      <c r="H540" s="3">
        <f t="shared" si="8"/>
        <v>5.419178082191781</v>
      </c>
      <c r="I540">
        <v>125</v>
      </c>
      <c r="J540" t="s">
        <v>57</v>
      </c>
      <c r="K540" t="s">
        <v>39</v>
      </c>
      <c r="L540" t="s">
        <v>40</v>
      </c>
      <c r="M540">
        <v>58381</v>
      </c>
      <c r="N540">
        <v>52131</v>
      </c>
      <c r="O540">
        <v>51131</v>
      </c>
      <c r="P540">
        <v>50131</v>
      </c>
      <c r="Q540">
        <v>49131</v>
      </c>
      <c r="R540">
        <v>47131</v>
      </c>
      <c r="T540" t="s">
        <v>61</v>
      </c>
      <c r="U540">
        <v>4</v>
      </c>
      <c r="V540">
        <v>6</v>
      </c>
      <c r="W540">
        <v>7</v>
      </c>
      <c r="X540" s="2">
        <v>44071</v>
      </c>
      <c r="Y540" t="s">
        <v>69</v>
      </c>
      <c r="Z540" s="2">
        <v>45592</v>
      </c>
      <c r="AA540" t="s">
        <v>59</v>
      </c>
      <c r="AD540">
        <v>5</v>
      </c>
      <c r="AE540">
        <v>5</v>
      </c>
      <c r="AF540">
        <v>5</v>
      </c>
      <c r="AG540">
        <v>4</v>
      </c>
      <c r="AH540">
        <v>2</v>
      </c>
      <c r="AI540">
        <v>1</v>
      </c>
    </row>
    <row r="541" spans="1:35" x14ac:dyDescent="0.3">
      <c r="A541">
        <v>540</v>
      </c>
      <c r="B541">
        <v>24934</v>
      </c>
      <c r="C541" s="2">
        <v>34106</v>
      </c>
      <c r="D541">
        <v>32</v>
      </c>
      <c r="E541" t="s">
        <v>36</v>
      </c>
      <c r="F541" t="s">
        <v>50</v>
      </c>
      <c r="G541" s="2">
        <v>44044</v>
      </c>
      <c r="H541" s="3">
        <f t="shared" si="8"/>
        <v>6.4219178082191783</v>
      </c>
      <c r="I541">
        <v>119</v>
      </c>
      <c r="J541" t="s">
        <v>57</v>
      </c>
      <c r="K541" t="s">
        <v>39</v>
      </c>
      <c r="L541" t="s">
        <v>40</v>
      </c>
      <c r="M541">
        <v>68131</v>
      </c>
      <c r="N541">
        <v>56631</v>
      </c>
      <c r="O541">
        <v>54631</v>
      </c>
      <c r="P541">
        <v>52631</v>
      </c>
      <c r="Q541">
        <v>51131</v>
      </c>
      <c r="T541" t="s">
        <v>60</v>
      </c>
      <c r="U541">
        <v>4</v>
      </c>
      <c r="V541">
        <v>5</v>
      </c>
      <c r="W541">
        <v>5</v>
      </c>
      <c r="X541" s="2">
        <v>44027</v>
      </c>
      <c r="Y541" t="s">
        <v>69</v>
      </c>
      <c r="Z541" s="2">
        <v>45422</v>
      </c>
      <c r="AA541" t="s">
        <v>59</v>
      </c>
      <c r="AD541">
        <v>5</v>
      </c>
      <c r="AE541">
        <v>5</v>
      </c>
      <c r="AF541">
        <v>5</v>
      </c>
      <c r="AG541">
        <v>5</v>
      </c>
      <c r="AH541">
        <v>4</v>
      </c>
    </row>
    <row r="542" spans="1:35" x14ac:dyDescent="0.3">
      <c r="A542">
        <v>541</v>
      </c>
      <c r="B542">
        <v>24935</v>
      </c>
      <c r="C542" s="2">
        <v>34784</v>
      </c>
      <c r="D542">
        <v>30</v>
      </c>
      <c r="E542" t="s">
        <v>42</v>
      </c>
      <c r="F542" t="s">
        <v>37</v>
      </c>
      <c r="G542" s="2">
        <v>43678</v>
      </c>
      <c r="H542" s="3">
        <f t="shared" si="8"/>
        <v>5.419178082191781</v>
      </c>
      <c r="I542">
        <v>138</v>
      </c>
      <c r="J542" t="s">
        <v>57</v>
      </c>
      <c r="K542" t="s">
        <v>39</v>
      </c>
      <c r="L542" t="s">
        <v>40</v>
      </c>
      <c r="M542">
        <v>62381</v>
      </c>
      <c r="N542">
        <v>56131</v>
      </c>
      <c r="O542">
        <v>54131</v>
      </c>
      <c r="P542">
        <v>52631</v>
      </c>
      <c r="Q542">
        <v>51131</v>
      </c>
      <c r="R542">
        <v>47131</v>
      </c>
      <c r="T542" t="s">
        <v>66</v>
      </c>
      <c r="U542">
        <v>4</v>
      </c>
      <c r="V542">
        <v>6</v>
      </c>
      <c r="W542">
        <v>6</v>
      </c>
      <c r="X542" s="2">
        <v>44079</v>
      </c>
      <c r="Y542" t="s">
        <v>69</v>
      </c>
      <c r="Z542" s="2">
        <v>45402</v>
      </c>
      <c r="AA542" t="s">
        <v>59</v>
      </c>
      <c r="AD542">
        <v>4</v>
      </c>
      <c r="AE542">
        <v>5</v>
      </c>
      <c r="AF542">
        <v>5</v>
      </c>
      <c r="AG542">
        <v>4</v>
      </c>
      <c r="AH542">
        <v>4</v>
      </c>
      <c r="AI542">
        <v>4</v>
      </c>
    </row>
    <row r="543" spans="1:35" x14ac:dyDescent="0.3">
      <c r="A543">
        <v>542</v>
      </c>
      <c r="B543">
        <v>24943</v>
      </c>
      <c r="C543" s="2">
        <v>34505</v>
      </c>
      <c r="D543">
        <v>31</v>
      </c>
      <c r="E543" t="s">
        <v>36</v>
      </c>
      <c r="F543" t="s">
        <v>50</v>
      </c>
      <c r="G543" s="2">
        <v>44044</v>
      </c>
      <c r="H543" s="3">
        <f t="shared" si="8"/>
        <v>5.419178082191781</v>
      </c>
      <c r="I543">
        <v>72</v>
      </c>
      <c r="J543" t="s">
        <v>57</v>
      </c>
      <c r="K543" t="s">
        <v>39</v>
      </c>
      <c r="L543" t="s">
        <v>40</v>
      </c>
      <c r="M543">
        <v>65881</v>
      </c>
      <c r="N543">
        <v>54381</v>
      </c>
      <c r="O543">
        <v>52881</v>
      </c>
      <c r="P543">
        <v>51631</v>
      </c>
      <c r="Q543">
        <v>50131</v>
      </c>
      <c r="T543" t="s">
        <v>41</v>
      </c>
      <c r="U543">
        <v>2</v>
      </c>
      <c r="V543">
        <v>6</v>
      </c>
      <c r="W543">
        <v>7</v>
      </c>
      <c r="X543" s="2">
        <v>43913</v>
      </c>
      <c r="Y543" t="s">
        <v>69</v>
      </c>
      <c r="Z543" s="2">
        <v>45483</v>
      </c>
      <c r="AA543" t="s">
        <v>59</v>
      </c>
      <c r="AD543">
        <v>5</v>
      </c>
      <c r="AE543">
        <v>5</v>
      </c>
      <c r="AF543">
        <v>5</v>
      </c>
      <c r="AG543">
        <v>4</v>
      </c>
      <c r="AH543">
        <v>5</v>
      </c>
    </row>
    <row r="544" spans="1:35" x14ac:dyDescent="0.3">
      <c r="A544">
        <v>543</v>
      </c>
      <c r="B544">
        <v>24946</v>
      </c>
      <c r="C544" s="2">
        <v>34809</v>
      </c>
      <c r="D544">
        <v>30</v>
      </c>
      <c r="E544" t="s">
        <v>42</v>
      </c>
      <c r="F544" t="s">
        <v>50</v>
      </c>
      <c r="G544" s="2">
        <v>44044</v>
      </c>
      <c r="H544" s="3">
        <f t="shared" si="8"/>
        <v>5.419178082191781</v>
      </c>
      <c r="I544">
        <v>130</v>
      </c>
      <c r="J544" t="s">
        <v>57</v>
      </c>
      <c r="K544" t="s">
        <v>39</v>
      </c>
      <c r="L544" t="s">
        <v>40</v>
      </c>
      <c r="M544">
        <v>62031</v>
      </c>
      <c r="N544">
        <v>54131</v>
      </c>
      <c r="O544">
        <v>52631</v>
      </c>
      <c r="P544">
        <v>51131</v>
      </c>
      <c r="Q544">
        <v>50131</v>
      </c>
      <c r="T544" t="s">
        <v>63</v>
      </c>
      <c r="U544">
        <v>2</v>
      </c>
      <c r="V544">
        <v>7</v>
      </c>
      <c r="W544">
        <v>7</v>
      </c>
      <c r="X544" s="2">
        <v>43912</v>
      </c>
      <c r="Y544" t="s">
        <v>69</v>
      </c>
      <c r="Z544" s="2">
        <v>45555</v>
      </c>
      <c r="AA544" t="s">
        <v>59</v>
      </c>
      <c r="AD544">
        <v>5</v>
      </c>
      <c r="AE544">
        <v>5</v>
      </c>
      <c r="AF544">
        <v>5</v>
      </c>
      <c r="AG544">
        <v>5</v>
      </c>
      <c r="AH544">
        <v>3</v>
      </c>
    </row>
    <row r="545" spans="1:34" x14ac:dyDescent="0.3">
      <c r="A545">
        <v>544</v>
      </c>
      <c r="B545">
        <v>24965</v>
      </c>
      <c r="C545" s="2">
        <v>32525</v>
      </c>
      <c r="D545">
        <v>36</v>
      </c>
      <c r="E545" t="s">
        <v>36</v>
      </c>
      <c r="F545" t="s">
        <v>50</v>
      </c>
      <c r="G545" s="2">
        <v>44044</v>
      </c>
      <c r="H545" s="3">
        <f t="shared" si="8"/>
        <v>6.4301369863013695</v>
      </c>
      <c r="I545">
        <v>117</v>
      </c>
      <c r="J545" t="s">
        <v>57</v>
      </c>
      <c r="K545" t="s">
        <v>39</v>
      </c>
      <c r="L545" t="s">
        <v>40</v>
      </c>
      <c r="M545">
        <v>59131</v>
      </c>
      <c r="N545">
        <v>53631</v>
      </c>
      <c r="O545">
        <v>52131</v>
      </c>
      <c r="P545">
        <v>50631</v>
      </c>
      <c r="Q545">
        <v>47131</v>
      </c>
      <c r="T545" t="s">
        <v>61</v>
      </c>
      <c r="U545">
        <v>4</v>
      </c>
      <c r="V545">
        <v>5</v>
      </c>
      <c r="W545">
        <v>5</v>
      </c>
      <c r="X545" s="2">
        <v>44466</v>
      </c>
      <c r="Y545" t="s">
        <v>69</v>
      </c>
      <c r="Z545" s="2">
        <v>45618</v>
      </c>
      <c r="AA545" t="s">
        <v>59</v>
      </c>
      <c r="AD545">
        <v>5</v>
      </c>
      <c r="AE545">
        <v>5</v>
      </c>
      <c r="AF545">
        <v>5</v>
      </c>
      <c r="AG545">
        <v>5</v>
      </c>
      <c r="AH545">
        <v>4</v>
      </c>
    </row>
    <row r="546" spans="1:34" x14ac:dyDescent="0.3">
      <c r="A546">
        <v>545</v>
      </c>
      <c r="B546">
        <v>24974</v>
      </c>
      <c r="C546" s="2">
        <v>32608</v>
      </c>
      <c r="D546">
        <v>36</v>
      </c>
      <c r="E546" t="s">
        <v>42</v>
      </c>
      <c r="F546" t="s">
        <v>50</v>
      </c>
      <c r="G546" s="2">
        <v>43675</v>
      </c>
      <c r="H546" s="3">
        <f t="shared" si="8"/>
        <v>6.4958904109589044</v>
      </c>
      <c r="I546">
        <v>67</v>
      </c>
      <c r="J546" t="s">
        <v>57</v>
      </c>
      <c r="K546" t="s">
        <v>51</v>
      </c>
      <c r="L546" t="s">
        <v>44</v>
      </c>
      <c r="M546">
        <v>33.33</v>
      </c>
      <c r="N546">
        <v>32.89</v>
      </c>
      <c r="O546">
        <v>32.549999999999997</v>
      </c>
      <c r="P546">
        <v>32.159999999999997</v>
      </c>
      <c r="Q546">
        <v>32</v>
      </c>
      <c r="R546">
        <v>32</v>
      </c>
      <c r="T546" t="s">
        <v>47</v>
      </c>
      <c r="U546">
        <v>0</v>
      </c>
      <c r="V546">
        <v>6</v>
      </c>
    </row>
    <row r="547" spans="1:34" x14ac:dyDescent="0.3">
      <c r="A547">
        <v>546</v>
      </c>
      <c r="B547">
        <v>24997</v>
      </c>
      <c r="C547" s="2">
        <v>33942</v>
      </c>
      <c r="D547">
        <v>33</v>
      </c>
      <c r="E547" t="s">
        <v>36</v>
      </c>
      <c r="F547" t="s">
        <v>50</v>
      </c>
      <c r="G547" s="2">
        <v>43651</v>
      </c>
      <c r="H547" s="3">
        <f t="shared" si="8"/>
        <v>5.934246575342466</v>
      </c>
      <c r="I547">
        <v>21</v>
      </c>
      <c r="J547" t="s">
        <v>38</v>
      </c>
      <c r="K547" t="s">
        <v>51</v>
      </c>
      <c r="L547" t="s">
        <v>44</v>
      </c>
      <c r="M547">
        <v>33.5</v>
      </c>
      <c r="N547">
        <v>33.200000000000003</v>
      </c>
      <c r="O547">
        <v>32.9</v>
      </c>
      <c r="P547">
        <v>32.6</v>
      </c>
      <c r="Q547">
        <v>32.299999999999997</v>
      </c>
      <c r="R547">
        <v>32</v>
      </c>
      <c r="T547" t="s">
        <v>47</v>
      </c>
      <c r="U547">
        <v>0</v>
      </c>
      <c r="V547">
        <v>5</v>
      </c>
    </row>
    <row r="548" spans="1:34" x14ac:dyDescent="0.3">
      <c r="A548">
        <v>547</v>
      </c>
      <c r="B548">
        <v>25003</v>
      </c>
      <c r="C548" s="2">
        <v>32862</v>
      </c>
      <c r="D548">
        <v>36</v>
      </c>
      <c r="E548" t="s">
        <v>36</v>
      </c>
      <c r="F548" t="s">
        <v>50</v>
      </c>
      <c r="G548" s="2">
        <v>43856</v>
      </c>
      <c r="H548" s="3">
        <f t="shared" si="8"/>
        <v>6.3150684931506849</v>
      </c>
      <c r="I548">
        <v>77</v>
      </c>
      <c r="J548" t="s">
        <v>57</v>
      </c>
      <c r="K548" t="s">
        <v>51</v>
      </c>
      <c r="L548" t="s">
        <v>44</v>
      </c>
      <c r="M548">
        <v>33.5</v>
      </c>
      <c r="N548">
        <v>33.200000000000003</v>
      </c>
      <c r="O548">
        <v>32.9</v>
      </c>
      <c r="P548">
        <v>32.6</v>
      </c>
      <c r="Q548">
        <v>32.299999999999997</v>
      </c>
      <c r="T548" t="s">
        <v>45</v>
      </c>
      <c r="U548">
        <v>0</v>
      </c>
      <c r="V548">
        <v>3</v>
      </c>
    </row>
    <row r="549" spans="1:34" x14ac:dyDescent="0.3">
      <c r="A549">
        <v>548</v>
      </c>
      <c r="B549">
        <v>25007</v>
      </c>
      <c r="C549" s="2">
        <v>29301</v>
      </c>
      <c r="D549">
        <v>45</v>
      </c>
      <c r="E549" t="s">
        <v>42</v>
      </c>
      <c r="F549" t="s">
        <v>50</v>
      </c>
      <c r="G549" s="2">
        <v>43717</v>
      </c>
      <c r="H549" s="3">
        <f t="shared" si="8"/>
        <v>6.558904109589041</v>
      </c>
      <c r="I549">
        <v>9</v>
      </c>
      <c r="J549" t="s">
        <v>38</v>
      </c>
      <c r="K549" t="s">
        <v>51</v>
      </c>
      <c r="L549" t="s">
        <v>44</v>
      </c>
      <c r="M549">
        <v>33.5</v>
      </c>
      <c r="N549">
        <v>33.200000000000003</v>
      </c>
      <c r="O549">
        <v>32.9</v>
      </c>
      <c r="P549">
        <v>32.6</v>
      </c>
      <c r="Q549">
        <v>32.299999999999997</v>
      </c>
      <c r="R549">
        <v>32</v>
      </c>
      <c r="T549" t="s">
        <v>47</v>
      </c>
      <c r="U549">
        <v>0</v>
      </c>
      <c r="V549">
        <v>3</v>
      </c>
    </row>
    <row r="550" spans="1:34" x14ac:dyDescent="0.3">
      <c r="A550">
        <v>549</v>
      </c>
      <c r="B550">
        <v>25011</v>
      </c>
      <c r="C550" s="2">
        <v>30040</v>
      </c>
      <c r="D550">
        <v>43</v>
      </c>
      <c r="E550" t="s">
        <v>36</v>
      </c>
      <c r="F550" t="s">
        <v>50</v>
      </c>
      <c r="G550" s="2">
        <v>43628</v>
      </c>
      <c r="H550" s="3">
        <f t="shared" si="8"/>
        <v>5.934246575342466</v>
      </c>
      <c r="I550">
        <v>45</v>
      </c>
      <c r="J550" t="s">
        <v>38</v>
      </c>
      <c r="K550" t="s">
        <v>51</v>
      </c>
      <c r="L550" t="s">
        <v>44</v>
      </c>
      <c r="M550">
        <v>33.5</v>
      </c>
      <c r="N550">
        <v>33.200000000000003</v>
      </c>
      <c r="O550">
        <v>32.9</v>
      </c>
      <c r="P550">
        <v>32.6</v>
      </c>
      <c r="Q550">
        <v>32.299999999999997</v>
      </c>
      <c r="R550">
        <v>32</v>
      </c>
      <c r="T550" t="s">
        <v>47</v>
      </c>
      <c r="U550">
        <v>0</v>
      </c>
      <c r="V550">
        <v>4</v>
      </c>
    </row>
    <row r="551" spans="1:34" x14ac:dyDescent="0.3">
      <c r="A551">
        <v>550</v>
      </c>
      <c r="B551">
        <v>25022</v>
      </c>
      <c r="C551" s="2">
        <v>32387</v>
      </c>
      <c r="D551">
        <v>38</v>
      </c>
      <c r="E551" t="s">
        <v>36</v>
      </c>
      <c r="F551" t="s">
        <v>50</v>
      </c>
      <c r="G551" s="2">
        <v>43856</v>
      </c>
      <c r="H551" s="3">
        <f t="shared" si="8"/>
        <v>6.065753424657534</v>
      </c>
      <c r="I551">
        <v>109</v>
      </c>
      <c r="J551" t="s">
        <v>57</v>
      </c>
      <c r="K551" t="s">
        <v>51</v>
      </c>
      <c r="L551" t="s">
        <v>44</v>
      </c>
      <c r="M551">
        <v>33.5</v>
      </c>
      <c r="N551">
        <v>33.200000000000003</v>
      </c>
      <c r="O551">
        <v>32.9</v>
      </c>
      <c r="P551">
        <v>32.6</v>
      </c>
      <c r="Q551">
        <v>32.299999999999997</v>
      </c>
      <c r="T551" t="s">
        <v>52</v>
      </c>
      <c r="U551">
        <v>0</v>
      </c>
      <c r="V551">
        <v>4</v>
      </c>
    </row>
    <row r="552" spans="1:34" x14ac:dyDescent="0.3">
      <c r="A552">
        <v>551</v>
      </c>
      <c r="B552">
        <v>25029</v>
      </c>
      <c r="C552" s="2">
        <v>29541</v>
      </c>
      <c r="D552">
        <v>45</v>
      </c>
      <c r="E552" t="s">
        <v>42</v>
      </c>
      <c r="F552" t="s">
        <v>50</v>
      </c>
      <c r="G552" s="2">
        <v>43808</v>
      </c>
      <c r="H552" s="3">
        <f t="shared" si="8"/>
        <v>5.956164383561644</v>
      </c>
      <c r="I552">
        <v>126</v>
      </c>
      <c r="J552" t="s">
        <v>57</v>
      </c>
      <c r="K552" t="s">
        <v>51</v>
      </c>
      <c r="L552" t="s">
        <v>44</v>
      </c>
      <c r="M552">
        <v>33.5</v>
      </c>
      <c r="N552">
        <v>33.200000000000003</v>
      </c>
      <c r="O552">
        <v>32.9</v>
      </c>
      <c r="P552">
        <v>32.6</v>
      </c>
      <c r="Q552">
        <v>32.299999999999997</v>
      </c>
      <c r="R552">
        <v>32</v>
      </c>
      <c r="T552" t="s">
        <v>49</v>
      </c>
      <c r="U552">
        <v>0</v>
      </c>
      <c r="V552">
        <v>5</v>
      </c>
    </row>
    <row r="553" spans="1:34" x14ac:dyDescent="0.3">
      <c r="A553">
        <v>552</v>
      </c>
      <c r="B553">
        <v>25066</v>
      </c>
      <c r="C553" s="2">
        <v>32880</v>
      </c>
      <c r="D553">
        <v>35</v>
      </c>
      <c r="E553" t="s">
        <v>36</v>
      </c>
      <c r="F553" t="s">
        <v>50</v>
      </c>
      <c r="G553" s="2">
        <v>43848</v>
      </c>
      <c r="H553" s="3">
        <f t="shared" si="8"/>
        <v>6.6547945205479451</v>
      </c>
      <c r="I553">
        <v>49</v>
      </c>
      <c r="J553" t="s">
        <v>38</v>
      </c>
      <c r="K553" t="s">
        <v>51</v>
      </c>
      <c r="L553" t="s">
        <v>44</v>
      </c>
      <c r="M553">
        <v>33.590000000000003</v>
      </c>
      <c r="N553">
        <v>33.26</v>
      </c>
      <c r="O553">
        <v>32.82</v>
      </c>
      <c r="P553">
        <v>32.479999999999997</v>
      </c>
      <c r="Q553">
        <v>32.21</v>
      </c>
      <c r="T553" t="s">
        <v>47</v>
      </c>
      <c r="U553">
        <v>0</v>
      </c>
      <c r="V553">
        <v>4</v>
      </c>
    </row>
    <row r="554" spans="1:34" x14ac:dyDescent="0.3">
      <c r="A554">
        <v>553</v>
      </c>
      <c r="B554">
        <v>25067</v>
      </c>
      <c r="C554" s="2">
        <v>34682</v>
      </c>
      <c r="D554">
        <v>31</v>
      </c>
      <c r="E554" t="s">
        <v>36</v>
      </c>
      <c r="F554" t="s">
        <v>50</v>
      </c>
      <c r="G554" s="2">
        <v>43593</v>
      </c>
      <c r="H554" s="3">
        <f t="shared" si="8"/>
        <v>6.7369863013698632</v>
      </c>
      <c r="I554">
        <v>50</v>
      </c>
      <c r="J554" t="s">
        <v>38</v>
      </c>
      <c r="K554" t="s">
        <v>51</v>
      </c>
      <c r="L554" t="s">
        <v>44</v>
      </c>
      <c r="M554">
        <v>33.5</v>
      </c>
      <c r="N554">
        <v>33.200000000000003</v>
      </c>
      <c r="O554">
        <v>32.9</v>
      </c>
      <c r="P554">
        <v>32.6</v>
      </c>
      <c r="Q554">
        <v>32.299999999999997</v>
      </c>
      <c r="R554">
        <v>32</v>
      </c>
      <c r="T554" t="s">
        <v>45</v>
      </c>
      <c r="U554">
        <v>0</v>
      </c>
      <c r="V554">
        <v>4</v>
      </c>
    </row>
    <row r="555" spans="1:34" x14ac:dyDescent="0.3">
      <c r="A555">
        <v>554</v>
      </c>
      <c r="B555">
        <v>25069</v>
      </c>
      <c r="C555" s="2">
        <v>32579</v>
      </c>
      <c r="D555">
        <v>36</v>
      </c>
      <c r="E555" t="s">
        <v>36</v>
      </c>
      <c r="F555" t="s">
        <v>50</v>
      </c>
      <c r="G555" s="2">
        <v>43563</v>
      </c>
      <c r="H555" s="3">
        <f t="shared" si="8"/>
        <v>6.5945205479452058</v>
      </c>
      <c r="I555">
        <v>66</v>
      </c>
      <c r="J555" t="s">
        <v>57</v>
      </c>
      <c r="K555" t="s">
        <v>51</v>
      </c>
      <c r="L555" t="s">
        <v>44</v>
      </c>
      <c r="M555">
        <v>33.5</v>
      </c>
      <c r="N555">
        <v>33.200000000000003</v>
      </c>
      <c r="O555">
        <v>32.9</v>
      </c>
      <c r="P555">
        <v>32.6</v>
      </c>
      <c r="Q555">
        <v>32.299999999999997</v>
      </c>
      <c r="R555">
        <v>32</v>
      </c>
      <c r="T555" t="s">
        <v>45</v>
      </c>
      <c r="U555">
        <v>0</v>
      </c>
      <c r="V555">
        <v>4</v>
      </c>
    </row>
    <row r="556" spans="1:34" x14ac:dyDescent="0.3">
      <c r="A556">
        <v>555</v>
      </c>
      <c r="B556">
        <v>25071</v>
      </c>
      <c r="C556" s="2">
        <v>30977</v>
      </c>
      <c r="D556">
        <v>41</v>
      </c>
      <c r="E556" t="s">
        <v>42</v>
      </c>
      <c r="F556" t="s">
        <v>37</v>
      </c>
      <c r="G556" s="2">
        <v>43615</v>
      </c>
      <c r="H556" s="3">
        <f t="shared" si="8"/>
        <v>6.2164383561643834</v>
      </c>
      <c r="I556">
        <v>83</v>
      </c>
      <c r="J556" t="s">
        <v>57</v>
      </c>
      <c r="K556" t="s">
        <v>51</v>
      </c>
      <c r="L556" t="s">
        <v>44</v>
      </c>
      <c r="M556">
        <v>33.5</v>
      </c>
      <c r="N556">
        <v>33.200000000000003</v>
      </c>
      <c r="O556">
        <v>32.9</v>
      </c>
      <c r="P556">
        <v>32.6</v>
      </c>
      <c r="Q556">
        <v>32.299999999999997</v>
      </c>
      <c r="R556">
        <v>32</v>
      </c>
      <c r="T556" t="s">
        <v>47</v>
      </c>
      <c r="U556">
        <v>0</v>
      </c>
      <c r="V556">
        <v>3</v>
      </c>
    </row>
    <row r="557" spans="1:34" x14ac:dyDescent="0.3">
      <c r="A557">
        <v>556</v>
      </c>
      <c r="B557">
        <v>25076</v>
      </c>
      <c r="C557" s="2">
        <v>32796</v>
      </c>
      <c r="D557">
        <v>36</v>
      </c>
      <c r="E557" t="s">
        <v>42</v>
      </c>
      <c r="F557" t="s">
        <v>50</v>
      </c>
      <c r="G557" s="2">
        <v>43753</v>
      </c>
      <c r="H557" s="3">
        <f t="shared" si="8"/>
        <v>6.2027397260273975</v>
      </c>
      <c r="I557">
        <v>121</v>
      </c>
      <c r="J557" t="s">
        <v>57</v>
      </c>
      <c r="K557" t="s">
        <v>51</v>
      </c>
      <c r="L557" t="s">
        <v>44</v>
      </c>
      <c r="M557">
        <v>33.5</v>
      </c>
      <c r="N557">
        <v>33.200000000000003</v>
      </c>
      <c r="O557">
        <v>32.9</v>
      </c>
      <c r="P557">
        <v>32.6</v>
      </c>
      <c r="Q557">
        <v>32.299999999999997</v>
      </c>
      <c r="R557">
        <v>32</v>
      </c>
      <c r="T557" t="s">
        <v>52</v>
      </c>
      <c r="U557">
        <v>0</v>
      </c>
      <c r="V557">
        <v>6</v>
      </c>
    </row>
    <row r="558" spans="1:34" x14ac:dyDescent="0.3">
      <c r="A558">
        <v>557</v>
      </c>
      <c r="B558">
        <v>25090</v>
      </c>
      <c r="C558" s="2">
        <v>34159</v>
      </c>
      <c r="D558">
        <v>32</v>
      </c>
      <c r="E558" t="s">
        <v>36</v>
      </c>
      <c r="F558" t="s">
        <v>50</v>
      </c>
      <c r="G558" s="2">
        <v>43758</v>
      </c>
      <c r="H558" s="3">
        <f t="shared" si="8"/>
        <v>6.5698630136986305</v>
      </c>
      <c r="I558">
        <v>25</v>
      </c>
      <c r="J558" t="s">
        <v>38</v>
      </c>
      <c r="K558" t="s">
        <v>51</v>
      </c>
      <c r="L558" t="s">
        <v>44</v>
      </c>
      <c r="M558">
        <v>33.5</v>
      </c>
      <c r="N558">
        <v>33.200000000000003</v>
      </c>
      <c r="O558">
        <v>32.9</v>
      </c>
      <c r="P558">
        <v>32.6</v>
      </c>
      <c r="Q558">
        <v>32.299999999999997</v>
      </c>
      <c r="R558">
        <v>32</v>
      </c>
      <c r="T558" t="s">
        <v>47</v>
      </c>
      <c r="U558">
        <v>0</v>
      </c>
      <c r="V558">
        <v>5</v>
      </c>
    </row>
    <row r="559" spans="1:34" x14ac:dyDescent="0.3">
      <c r="A559">
        <v>558</v>
      </c>
      <c r="B559">
        <v>25105</v>
      </c>
      <c r="C559" s="2">
        <v>34243</v>
      </c>
      <c r="D559">
        <v>33</v>
      </c>
      <c r="E559" t="s">
        <v>36</v>
      </c>
      <c r="F559" t="s">
        <v>50</v>
      </c>
      <c r="G559" s="2">
        <v>43624</v>
      </c>
      <c r="H559" s="3">
        <f t="shared" si="8"/>
        <v>5.9698630136986299</v>
      </c>
      <c r="I559">
        <v>83</v>
      </c>
      <c r="J559" t="s">
        <v>57</v>
      </c>
      <c r="K559" t="s">
        <v>51</v>
      </c>
      <c r="L559" t="s">
        <v>44</v>
      </c>
      <c r="M559">
        <v>33.5</v>
      </c>
      <c r="N559">
        <v>33.200000000000003</v>
      </c>
      <c r="O559">
        <v>32.9</v>
      </c>
      <c r="P559">
        <v>32.6</v>
      </c>
      <c r="Q559">
        <v>32.299999999999997</v>
      </c>
      <c r="R559">
        <v>32</v>
      </c>
      <c r="T559" t="s">
        <v>45</v>
      </c>
      <c r="U559">
        <v>0</v>
      </c>
      <c r="V559">
        <v>4</v>
      </c>
    </row>
    <row r="560" spans="1:34" x14ac:dyDescent="0.3">
      <c r="A560">
        <v>559</v>
      </c>
      <c r="B560">
        <v>25106</v>
      </c>
      <c r="C560" s="2">
        <v>34176</v>
      </c>
      <c r="D560">
        <v>32</v>
      </c>
      <c r="E560" t="s">
        <v>36</v>
      </c>
      <c r="F560" t="s">
        <v>37</v>
      </c>
      <c r="G560" s="2">
        <v>43843</v>
      </c>
      <c r="H560" s="3">
        <f t="shared" si="8"/>
        <v>6.1698630136986301</v>
      </c>
      <c r="I560">
        <v>84</v>
      </c>
      <c r="J560" t="s">
        <v>57</v>
      </c>
      <c r="K560" t="s">
        <v>51</v>
      </c>
      <c r="L560" t="s">
        <v>44</v>
      </c>
      <c r="M560">
        <v>33.5</v>
      </c>
      <c r="N560">
        <v>33.200000000000003</v>
      </c>
      <c r="O560">
        <v>32.9</v>
      </c>
      <c r="P560">
        <v>32.6</v>
      </c>
      <c r="Q560">
        <v>32.299999999999997</v>
      </c>
      <c r="T560" t="s">
        <v>47</v>
      </c>
      <c r="U560">
        <v>0</v>
      </c>
      <c r="V560">
        <v>4</v>
      </c>
    </row>
    <row r="561" spans="1:22" x14ac:dyDescent="0.3">
      <c r="A561">
        <v>560</v>
      </c>
      <c r="B561">
        <v>25119</v>
      </c>
      <c r="C561" s="2">
        <v>32597</v>
      </c>
      <c r="D561">
        <v>36</v>
      </c>
      <c r="E561" t="s">
        <v>36</v>
      </c>
      <c r="F561" t="s">
        <v>37</v>
      </c>
      <c r="G561" s="2">
        <v>43770</v>
      </c>
      <c r="H561" s="3">
        <f t="shared" si="8"/>
        <v>6.2904109589041095</v>
      </c>
      <c r="I561">
        <v>129</v>
      </c>
      <c r="J561" t="s">
        <v>57</v>
      </c>
      <c r="K561" t="s">
        <v>51</v>
      </c>
      <c r="L561" t="s">
        <v>44</v>
      </c>
      <c r="M561">
        <v>33.5</v>
      </c>
      <c r="N561">
        <v>33.200000000000003</v>
      </c>
      <c r="O561">
        <v>32.9</v>
      </c>
      <c r="P561">
        <v>32.6</v>
      </c>
      <c r="Q561">
        <v>32.299999999999997</v>
      </c>
      <c r="R561">
        <v>32</v>
      </c>
      <c r="T561" t="s">
        <v>47</v>
      </c>
      <c r="U561">
        <v>0</v>
      </c>
      <c r="V561">
        <v>4</v>
      </c>
    </row>
    <row r="562" spans="1:22" x14ac:dyDescent="0.3">
      <c r="A562">
        <v>561</v>
      </c>
      <c r="B562">
        <v>25120</v>
      </c>
      <c r="C562" s="2">
        <v>34292</v>
      </c>
      <c r="D562">
        <v>32</v>
      </c>
      <c r="E562" t="s">
        <v>42</v>
      </c>
      <c r="F562" t="s">
        <v>50</v>
      </c>
      <c r="G562" s="2">
        <v>43726</v>
      </c>
      <c r="H562" s="3">
        <f t="shared" si="8"/>
        <v>6.1369863013698627</v>
      </c>
      <c r="I562">
        <v>132</v>
      </c>
      <c r="J562" t="s">
        <v>57</v>
      </c>
      <c r="K562" t="s">
        <v>51</v>
      </c>
      <c r="L562" t="s">
        <v>44</v>
      </c>
      <c r="M562">
        <v>33.5</v>
      </c>
      <c r="N562">
        <v>33.200000000000003</v>
      </c>
      <c r="O562">
        <v>32.9</v>
      </c>
      <c r="P562">
        <v>32.6</v>
      </c>
      <c r="Q562">
        <v>32.299999999999997</v>
      </c>
      <c r="R562">
        <v>32</v>
      </c>
      <c r="T562" t="s">
        <v>47</v>
      </c>
      <c r="U562">
        <v>0</v>
      </c>
      <c r="V562">
        <v>5</v>
      </c>
    </row>
    <row r="563" spans="1:22" x14ac:dyDescent="0.3">
      <c r="A563">
        <v>562</v>
      </c>
      <c r="B563">
        <v>25121</v>
      </c>
      <c r="C563" s="2">
        <v>27997</v>
      </c>
      <c r="D563">
        <v>49</v>
      </c>
      <c r="E563" t="s">
        <v>42</v>
      </c>
      <c r="F563" t="s">
        <v>50</v>
      </c>
      <c r="G563" s="2">
        <v>43782</v>
      </c>
      <c r="H563" s="3">
        <f t="shared" si="8"/>
        <v>6.0602739726027401</v>
      </c>
      <c r="I563">
        <v>135</v>
      </c>
      <c r="J563" t="s">
        <v>57</v>
      </c>
      <c r="K563" t="s">
        <v>51</v>
      </c>
      <c r="L563" t="s">
        <v>44</v>
      </c>
      <c r="M563">
        <v>33.5</v>
      </c>
      <c r="N563">
        <v>33.200000000000003</v>
      </c>
      <c r="O563">
        <v>32.9</v>
      </c>
      <c r="P563">
        <v>32.6</v>
      </c>
      <c r="Q563">
        <v>32.299999999999997</v>
      </c>
      <c r="R563">
        <v>32</v>
      </c>
      <c r="T563" t="s">
        <v>47</v>
      </c>
      <c r="U563">
        <v>0</v>
      </c>
      <c r="V563">
        <v>5</v>
      </c>
    </row>
    <row r="564" spans="1:22" x14ac:dyDescent="0.3">
      <c r="A564">
        <v>563</v>
      </c>
      <c r="B564">
        <v>25125</v>
      </c>
      <c r="C564" s="2">
        <v>33920</v>
      </c>
      <c r="D564">
        <v>33</v>
      </c>
      <c r="E564" t="s">
        <v>36</v>
      </c>
      <c r="F564" t="s">
        <v>50</v>
      </c>
      <c r="G564" s="2">
        <v>43810</v>
      </c>
      <c r="H564" s="3">
        <f t="shared" si="8"/>
        <v>6.1260273972602741</v>
      </c>
      <c r="I564">
        <v>9</v>
      </c>
      <c r="J564" t="s">
        <v>38</v>
      </c>
      <c r="K564" t="s">
        <v>51</v>
      </c>
      <c r="L564" t="s">
        <v>44</v>
      </c>
      <c r="M564">
        <v>33.5</v>
      </c>
      <c r="N564">
        <v>33.200000000000003</v>
      </c>
      <c r="O564">
        <v>32.9</v>
      </c>
      <c r="P564">
        <v>32.6</v>
      </c>
      <c r="Q564">
        <v>32.299999999999997</v>
      </c>
      <c r="R564">
        <v>32</v>
      </c>
      <c r="T564" t="s">
        <v>49</v>
      </c>
      <c r="U564">
        <v>0</v>
      </c>
      <c r="V564">
        <v>3</v>
      </c>
    </row>
    <row r="565" spans="1:22" x14ac:dyDescent="0.3">
      <c r="A565">
        <v>564</v>
      </c>
      <c r="B565">
        <v>25132</v>
      </c>
      <c r="C565" s="2">
        <v>29321</v>
      </c>
      <c r="D565">
        <v>45</v>
      </c>
      <c r="E565" t="s">
        <v>36</v>
      </c>
      <c r="F565" t="s">
        <v>50</v>
      </c>
      <c r="G565" s="2">
        <v>43786</v>
      </c>
      <c r="H565" s="3">
        <f t="shared" si="8"/>
        <v>6.0273972602739727</v>
      </c>
      <c r="I565">
        <v>16</v>
      </c>
      <c r="J565" t="s">
        <v>38</v>
      </c>
      <c r="K565" t="s">
        <v>51</v>
      </c>
      <c r="L565" t="s">
        <v>44</v>
      </c>
      <c r="M565">
        <v>33.5</v>
      </c>
      <c r="N565">
        <v>33.200000000000003</v>
      </c>
      <c r="O565">
        <v>32.9</v>
      </c>
      <c r="P565">
        <v>32.6</v>
      </c>
      <c r="Q565">
        <v>32.299999999999997</v>
      </c>
      <c r="R565">
        <v>32</v>
      </c>
      <c r="T565" t="s">
        <v>45</v>
      </c>
      <c r="U565">
        <v>0</v>
      </c>
      <c r="V565">
        <v>4</v>
      </c>
    </row>
    <row r="566" spans="1:22" x14ac:dyDescent="0.3">
      <c r="A566">
        <v>565</v>
      </c>
      <c r="B566">
        <v>25140</v>
      </c>
      <c r="C566" s="2">
        <v>32143</v>
      </c>
      <c r="D566">
        <v>38</v>
      </c>
      <c r="E566" t="s">
        <v>36</v>
      </c>
      <c r="F566" t="s">
        <v>37</v>
      </c>
      <c r="G566" s="2">
        <v>43822</v>
      </c>
      <c r="H566" s="3">
        <f t="shared" si="8"/>
        <v>6.506849315068493</v>
      </c>
      <c r="I566">
        <v>33</v>
      </c>
      <c r="J566" t="s">
        <v>38</v>
      </c>
      <c r="K566" t="s">
        <v>51</v>
      </c>
      <c r="L566" t="s">
        <v>44</v>
      </c>
      <c r="M566">
        <v>33.26</v>
      </c>
      <c r="N566">
        <v>32.82</v>
      </c>
      <c r="O566">
        <v>32.82</v>
      </c>
      <c r="P566">
        <v>32.380000000000003</v>
      </c>
      <c r="Q566">
        <v>32.17</v>
      </c>
      <c r="R566">
        <v>32</v>
      </c>
      <c r="T566" t="s">
        <v>52</v>
      </c>
      <c r="U566">
        <v>0</v>
      </c>
      <c r="V566">
        <v>3</v>
      </c>
    </row>
    <row r="567" spans="1:22" x14ac:dyDescent="0.3">
      <c r="A567">
        <v>566</v>
      </c>
      <c r="B567">
        <v>25143</v>
      </c>
      <c r="C567" s="2">
        <v>32360</v>
      </c>
      <c r="D567">
        <v>37</v>
      </c>
      <c r="E567" t="s">
        <v>36</v>
      </c>
      <c r="F567" t="s">
        <v>50</v>
      </c>
      <c r="G567" s="2">
        <v>43647</v>
      </c>
      <c r="H567" s="3">
        <f t="shared" si="8"/>
        <v>5.9945205479452053</v>
      </c>
      <c r="I567">
        <v>36</v>
      </c>
      <c r="J567" t="s">
        <v>38</v>
      </c>
      <c r="K567" t="s">
        <v>51</v>
      </c>
      <c r="L567" t="s">
        <v>44</v>
      </c>
      <c r="M567">
        <v>33.5</v>
      </c>
      <c r="N567">
        <v>33.200000000000003</v>
      </c>
      <c r="O567">
        <v>32.9</v>
      </c>
      <c r="P567">
        <v>32.6</v>
      </c>
      <c r="Q567">
        <v>32.299999999999997</v>
      </c>
      <c r="R567">
        <v>32</v>
      </c>
      <c r="T567" t="s">
        <v>47</v>
      </c>
      <c r="U567">
        <v>0</v>
      </c>
      <c r="V567">
        <v>4</v>
      </c>
    </row>
    <row r="568" spans="1:22" x14ac:dyDescent="0.3">
      <c r="A568">
        <v>567</v>
      </c>
      <c r="B568">
        <v>25144</v>
      </c>
      <c r="C568" s="2">
        <v>30126</v>
      </c>
      <c r="D568">
        <v>43</v>
      </c>
      <c r="E568" t="s">
        <v>42</v>
      </c>
      <c r="F568" t="s">
        <v>50</v>
      </c>
      <c r="G568" s="2">
        <v>43834</v>
      </c>
      <c r="H568" s="3">
        <f t="shared" si="8"/>
        <v>6.4465753424657537</v>
      </c>
      <c r="I568">
        <v>38</v>
      </c>
      <c r="J568" t="s">
        <v>38</v>
      </c>
      <c r="K568" t="s">
        <v>51</v>
      </c>
      <c r="L568" t="s">
        <v>44</v>
      </c>
      <c r="M568">
        <v>33.5</v>
      </c>
      <c r="N568">
        <v>33.200000000000003</v>
      </c>
      <c r="O568">
        <v>32.9</v>
      </c>
      <c r="P568">
        <v>32.6</v>
      </c>
      <c r="Q568">
        <v>32.299999999999997</v>
      </c>
      <c r="T568" t="s">
        <v>52</v>
      </c>
      <c r="U568">
        <v>0</v>
      </c>
      <c r="V568">
        <v>5</v>
      </c>
    </row>
    <row r="569" spans="1:22" x14ac:dyDescent="0.3">
      <c r="A569">
        <v>568</v>
      </c>
      <c r="B569">
        <v>25152</v>
      </c>
      <c r="C569" s="2">
        <v>27370</v>
      </c>
      <c r="D569">
        <v>51</v>
      </c>
      <c r="E569" t="s">
        <v>36</v>
      </c>
      <c r="F569" t="s">
        <v>50</v>
      </c>
      <c r="G569" s="2">
        <v>43669</v>
      </c>
      <c r="H569" s="3">
        <f t="shared" si="8"/>
        <v>5.9835616438356167</v>
      </c>
      <c r="I569">
        <v>56</v>
      </c>
      <c r="J569" t="s">
        <v>38</v>
      </c>
      <c r="K569" t="s">
        <v>51</v>
      </c>
      <c r="L569" t="s">
        <v>44</v>
      </c>
      <c r="M569">
        <v>33.5</v>
      </c>
      <c r="N569">
        <v>33.200000000000003</v>
      </c>
      <c r="O569">
        <v>32.9</v>
      </c>
      <c r="P569">
        <v>32.6</v>
      </c>
      <c r="Q569">
        <v>32.299999999999997</v>
      </c>
      <c r="R569">
        <v>32</v>
      </c>
      <c r="T569" t="s">
        <v>47</v>
      </c>
      <c r="U569">
        <v>0</v>
      </c>
      <c r="V569">
        <v>4</v>
      </c>
    </row>
    <row r="570" spans="1:22" x14ac:dyDescent="0.3">
      <c r="A570">
        <v>569</v>
      </c>
      <c r="B570">
        <v>25158</v>
      </c>
      <c r="C570" s="2">
        <v>32550</v>
      </c>
      <c r="D570">
        <v>36</v>
      </c>
      <c r="E570" t="s">
        <v>36</v>
      </c>
      <c r="F570" t="s">
        <v>37</v>
      </c>
      <c r="G570" s="2">
        <v>43838</v>
      </c>
      <c r="H570" s="3">
        <f t="shared" si="8"/>
        <v>6.5835616438356164</v>
      </c>
      <c r="I570">
        <v>63</v>
      </c>
      <c r="J570" t="s">
        <v>38</v>
      </c>
      <c r="K570" t="s">
        <v>51</v>
      </c>
      <c r="L570" t="s">
        <v>44</v>
      </c>
      <c r="M570">
        <v>33.5</v>
      </c>
      <c r="N570">
        <v>33.200000000000003</v>
      </c>
      <c r="O570">
        <v>32.9</v>
      </c>
      <c r="P570">
        <v>32.6</v>
      </c>
      <c r="Q570">
        <v>32.299999999999997</v>
      </c>
      <c r="T570" t="s">
        <v>47</v>
      </c>
      <c r="U570">
        <v>0</v>
      </c>
      <c r="V570">
        <v>2</v>
      </c>
    </row>
    <row r="571" spans="1:22" x14ac:dyDescent="0.3">
      <c r="A571">
        <v>570</v>
      </c>
      <c r="B571">
        <v>25173</v>
      </c>
      <c r="C571" s="2">
        <v>29712</v>
      </c>
      <c r="D571">
        <v>44</v>
      </c>
      <c r="E571" t="s">
        <v>36</v>
      </c>
      <c r="F571" t="s">
        <v>50</v>
      </c>
      <c r="G571" s="2">
        <v>43619</v>
      </c>
      <c r="H571" s="3">
        <f t="shared" si="8"/>
        <v>6.0794520547945208</v>
      </c>
      <c r="I571">
        <v>77</v>
      </c>
      <c r="J571" t="s">
        <v>57</v>
      </c>
      <c r="K571" t="s">
        <v>51</v>
      </c>
      <c r="L571" t="s">
        <v>44</v>
      </c>
      <c r="M571">
        <v>33.5</v>
      </c>
      <c r="N571">
        <v>33.200000000000003</v>
      </c>
      <c r="O571">
        <v>32.9</v>
      </c>
      <c r="P571">
        <v>32.6</v>
      </c>
      <c r="Q571">
        <v>32.299999999999997</v>
      </c>
      <c r="R571">
        <v>32</v>
      </c>
      <c r="T571" t="s">
        <v>45</v>
      </c>
      <c r="U571">
        <v>0</v>
      </c>
      <c r="V571">
        <v>2</v>
      </c>
    </row>
    <row r="572" spans="1:22" x14ac:dyDescent="0.3">
      <c r="A572">
        <v>571</v>
      </c>
      <c r="B572">
        <v>25174</v>
      </c>
      <c r="C572" s="2">
        <v>32844</v>
      </c>
      <c r="D572">
        <v>36</v>
      </c>
      <c r="E572" t="s">
        <v>36</v>
      </c>
      <c r="F572" t="s">
        <v>50</v>
      </c>
      <c r="G572" s="2">
        <v>43803</v>
      </c>
      <c r="H572" s="3">
        <f t="shared" si="8"/>
        <v>6.1342465753424653</v>
      </c>
      <c r="I572">
        <v>79</v>
      </c>
      <c r="J572" t="s">
        <v>57</v>
      </c>
      <c r="K572" t="s">
        <v>51</v>
      </c>
      <c r="L572" t="s">
        <v>44</v>
      </c>
      <c r="M572">
        <v>33.5</v>
      </c>
      <c r="N572">
        <v>33.200000000000003</v>
      </c>
      <c r="O572">
        <v>32.9</v>
      </c>
      <c r="P572">
        <v>32.6</v>
      </c>
      <c r="Q572">
        <v>32.299999999999997</v>
      </c>
      <c r="R572">
        <v>32</v>
      </c>
      <c r="T572" t="s">
        <v>45</v>
      </c>
      <c r="U572">
        <v>0</v>
      </c>
      <c r="V572">
        <v>4</v>
      </c>
    </row>
    <row r="573" spans="1:22" x14ac:dyDescent="0.3">
      <c r="A573">
        <v>572</v>
      </c>
      <c r="B573">
        <v>25175</v>
      </c>
      <c r="C573" s="2">
        <v>33515</v>
      </c>
      <c r="D573">
        <v>34</v>
      </c>
      <c r="E573" t="s">
        <v>36</v>
      </c>
      <c r="F573" t="s">
        <v>50</v>
      </c>
      <c r="G573" s="2">
        <v>43783</v>
      </c>
      <c r="H573" s="3">
        <f t="shared" si="8"/>
        <v>6.3698630136986303</v>
      </c>
      <c r="I573">
        <v>80</v>
      </c>
      <c r="J573" t="s">
        <v>57</v>
      </c>
      <c r="K573" t="s">
        <v>51</v>
      </c>
      <c r="L573" t="s">
        <v>44</v>
      </c>
      <c r="M573">
        <v>33.5</v>
      </c>
      <c r="N573">
        <v>33.200000000000003</v>
      </c>
      <c r="O573">
        <v>32.9</v>
      </c>
      <c r="P573">
        <v>32.6</v>
      </c>
      <c r="Q573">
        <v>32.299999999999997</v>
      </c>
      <c r="R573">
        <v>32</v>
      </c>
      <c r="T573" t="s">
        <v>47</v>
      </c>
      <c r="U573">
        <v>0</v>
      </c>
      <c r="V573">
        <v>4</v>
      </c>
    </row>
    <row r="574" spans="1:22" x14ac:dyDescent="0.3">
      <c r="A574">
        <v>573</v>
      </c>
      <c r="B574">
        <v>25176</v>
      </c>
      <c r="C574" s="2">
        <v>30839</v>
      </c>
      <c r="D574">
        <v>41</v>
      </c>
      <c r="E574" t="s">
        <v>36</v>
      </c>
      <c r="F574" t="s">
        <v>50</v>
      </c>
      <c r="G574" s="2">
        <v>43697</v>
      </c>
      <c r="H574" s="3">
        <f t="shared" si="8"/>
        <v>5.8109589041095893</v>
      </c>
      <c r="I574">
        <v>80</v>
      </c>
      <c r="J574" t="s">
        <v>57</v>
      </c>
      <c r="K574" t="s">
        <v>51</v>
      </c>
      <c r="L574" t="s">
        <v>44</v>
      </c>
      <c r="M574">
        <v>33.5</v>
      </c>
      <c r="N574">
        <v>33.200000000000003</v>
      </c>
      <c r="O574">
        <v>32.9</v>
      </c>
      <c r="P574">
        <v>32.6</v>
      </c>
      <c r="Q574">
        <v>32.299999999999997</v>
      </c>
      <c r="R574">
        <v>32</v>
      </c>
      <c r="T574" t="s">
        <v>47</v>
      </c>
      <c r="U574">
        <v>0</v>
      </c>
      <c r="V574">
        <v>4</v>
      </c>
    </row>
    <row r="575" spans="1:22" x14ac:dyDescent="0.3">
      <c r="A575">
        <v>574</v>
      </c>
      <c r="B575">
        <v>25194</v>
      </c>
      <c r="C575" s="2">
        <v>33622</v>
      </c>
      <c r="D575">
        <v>33</v>
      </c>
      <c r="E575" t="s">
        <v>42</v>
      </c>
      <c r="F575" t="s">
        <v>37</v>
      </c>
      <c r="G575" s="2">
        <v>43901</v>
      </c>
      <c r="H575" s="3">
        <f t="shared" si="8"/>
        <v>5.9315068493150687</v>
      </c>
      <c r="I575">
        <v>99</v>
      </c>
      <c r="J575" t="s">
        <v>57</v>
      </c>
      <c r="K575" t="s">
        <v>51</v>
      </c>
      <c r="L575" t="s">
        <v>44</v>
      </c>
      <c r="M575">
        <v>33.5</v>
      </c>
      <c r="N575">
        <v>33.200000000000003</v>
      </c>
      <c r="O575">
        <v>32.9</v>
      </c>
      <c r="P575">
        <v>32.6</v>
      </c>
      <c r="Q575">
        <v>32.299999999999997</v>
      </c>
      <c r="T575" t="s">
        <v>49</v>
      </c>
      <c r="U575">
        <v>0</v>
      </c>
      <c r="V575">
        <v>5</v>
      </c>
    </row>
    <row r="576" spans="1:22" x14ac:dyDescent="0.3">
      <c r="A576">
        <v>575</v>
      </c>
      <c r="B576">
        <v>25196</v>
      </c>
      <c r="C576" s="2">
        <v>29707</v>
      </c>
      <c r="D576">
        <v>45</v>
      </c>
      <c r="E576" t="s">
        <v>36</v>
      </c>
      <c r="F576" t="s">
        <v>50</v>
      </c>
      <c r="G576" s="2">
        <v>43857</v>
      </c>
      <c r="H576" s="3">
        <f t="shared" si="8"/>
        <v>5.912328767123288</v>
      </c>
      <c r="I576">
        <v>100</v>
      </c>
      <c r="J576" t="s">
        <v>57</v>
      </c>
      <c r="K576" t="s">
        <v>51</v>
      </c>
      <c r="L576" t="s">
        <v>44</v>
      </c>
      <c r="M576">
        <v>33.5</v>
      </c>
      <c r="N576">
        <v>33.200000000000003</v>
      </c>
      <c r="O576">
        <v>32.9</v>
      </c>
      <c r="P576">
        <v>32.6</v>
      </c>
      <c r="Q576">
        <v>32.299999999999997</v>
      </c>
      <c r="T576" t="s">
        <v>47</v>
      </c>
      <c r="U576">
        <v>0</v>
      </c>
      <c r="V576">
        <v>4</v>
      </c>
    </row>
    <row r="577" spans="1:22" x14ac:dyDescent="0.3">
      <c r="A577">
        <v>576</v>
      </c>
      <c r="B577">
        <v>25205</v>
      </c>
      <c r="C577" s="2">
        <v>33373</v>
      </c>
      <c r="D577">
        <v>34</v>
      </c>
      <c r="E577" t="s">
        <v>36</v>
      </c>
      <c r="F577" t="s">
        <v>37</v>
      </c>
      <c r="G577" s="2">
        <v>43864</v>
      </c>
      <c r="H577" s="3">
        <f t="shared" si="8"/>
        <v>6.3178082191780822</v>
      </c>
      <c r="I577">
        <v>116</v>
      </c>
      <c r="J577" t="s">
        <v>57</v>
      </c>
      <c r="K577" t="s">
        <v>51</v>
      </c>
      <c r="L577" t="s">
        <v>44</v>
      </c>
      <c r="M577">
        <v>33.5</v>
      </c>
      <c r="N577">
        <v>33.200000000000003</v>
      </c>
      <c r="O577">
        <v>32.9</v>
      </c>
      <c r="P577">
        <v>32.6</v>
      </c>
      <c r="Q577">
        <v>32.299999999999997</v>
      </c>
      <c r="T577" t="s">
        <v>52</v>
      </c>
      <c r="U577">
        <v>0</v>
      </c>
      <c r="V577">
        <v>4</v>
      </c>
    </row>
    <row r="578" spans="1:22" x14ac:dyDescent="0.3">
      <c r="A578">
        <v>577</v>
      </c>
      <c r="B578">
        <v>25207</v>
      </c>
      <c r="C578" s="2">
        <v>32836</v>
      </c>
      <c r="D578">
        <v>36</v>
      </c>
      <c r="E578" t="s">
        <v>36</v>
      </c>
      <c r="F578" t="s">
        <v>50</v>
      </c>
      <c r="G578" s="2">
        <v>43716</v>
      </c>
      <c r="H578" s="3">
        <f t="shared" si="8"/>
        <v>6.7123287671232879</v>
      </c>
      <c r="I578">
        <v>118</v>
      </c>
      <c r="J578" t="s">
        <v>57</v>
      </c>
      <c r="K578" t="s">
        <v>51</v>
      </c>
      <c r="L578" t="s">
        <v>44</v>
      </c>
      <c r="M578">
        <v>33.5</v>
      </c>
      <c r="N578">
        <v>33.200000000000003</v>
      </c>
      <c r="O578">
        <v>32.9</v>
      </c>
      <c r="P578">
        <v>32.6</v>
      </c>
      <c r="Q578">
        <v>32.299999999999997</v>
      </c>
      <c r="R578">
        <v>32</v>
      </c>
      <c r="T578" t="s">
        <v>47</v>
      </c>
      <c r="U578">
        <v>0</v>
      </c>
      <c r="V578">
        <v>5</v>
      </c>
    </row>
    <row r="579" spans="1:22" x14ac:dyDescent="0.3">
      <c r="A579">
        <v>578</v>
      </c>
      <c r="B579">
        <v>25265</v>
      </c>
      <c r="C579" s="2">
        <v>31796</v>
      </c>
      <c r="D579">
        <v>38</v>
      </c>
      <c r="E579" t="s">
        <v>36</v>
      </c>
      <c r="F579" t="s">
        <v>37</v>
      </c>
      <c r="G579" s="2">
        <v>43572</v>
      </c>
      <c r="H579" s="3">
        <f t="shared" ref="H579:H642" si="9">DATEDIF(G580,DATE(2025,12,31),"d")/365</f>
        <v>6.816438356164384</v>
      </c>
      <c r="I579">
        <v>6</v>
      </c>
      <c r="J579" t="s">
        <v>38</v>
      </c>
      <c r="K579" t="s">
        <v>53</v>
      </c>
      <c r="L579" t="s">
        <v>44</v>
      </c>
      <c r="M579">
        <v>22.36</v>
      </c>
      <c r="N579">
        <v>22.06</v>
      </c>
      <c r="O579">
        <v>21.76</v>
      </c>
      <c r="P579">
        <v>21.46</v>
      </c>
      <c r="Q579">
        <v>21.16</v>
      </c>
      <c r="R579">
        <v>20.86</v>
      </c>
      <c r="T579" t="s">
        <v>45</v>
      </c>
      <c r="U579">
        <v>3</v>
      </c>
      <c r="V579">
        <v>2</v>
      </c>
    </row>
    <row r="580" spans="1:22" x14ac:dyDescent="0.3">
      <c r="A580">
        <v>579</v>
      </c>
      <c r="B580">
        <v>25295</v>
      </c>
      <c r="C580" s="2">
        <v>35059</v>
      </c>
      <c r="D580">
        <v>30</v>
      </c>
      <c r="E580" t="s">
        <v>36</v>
      </c>
      <c r="F580" t="s">
        <v>50</v>
      </c>
      <c r="G580" s="2">
        <v>43534</v>
      </c>
      <c r="H580" s="3">
        <f t="shared" si="9"/>
        <v>6.1150684931506847</v>
      </c>
      <c r="I580">
        <v>140</v>
      </c>
      <c r="J580" t="s">
        <v>57</v>
      </c>
      <c r="K580" t="s">
        <v>53</v>
      </c>
      <c r="L580" t="s">
        <v>44</v>
      </c>
      <c r="M580">
        <v>22.43</v>
      </c>
      <c r="N580">
        <v>21.98</v>
      </c>
      <c r="O580">
        <v>21.82</v>
      </c>
      <c r="P580">
        <v>21.51</v>
      </c>
      <c r="Q580">
        <v>21.17</v>
      </c>
      <c r="R580">
        <v>20.86</v>
      </c>
      <c r="T580" t="s">
        <v>52</v>
      </c>
      <c r="U580">
        <v>0</v>
      </c>
      <c r="V580">
        <v>4</v>
      </c>
    </row>
    <row r="581" spans="1:22" x14ac:dyDescent="0.3">
      <c r="A581">
        <v>580</v>
      </c>
      <c r="B581">
        <v>25356</v>
      </c>
      <c r="C581" s="2">
        <v>32719</v>
      </c>
      <c r="D581">
        <v>36</v>
      </c>
      <c r="E581" t="s">
        <v>42</v>
      </c>
      <c r="F581" t="s">
        <v>50</v>
      </c>
      <c r="G581" s="2">
        <v>43790</v>
      </c>
      <c r="H581" s="3">
        <f t="shared" si="9"/>
        <v>5.8328767123287673</v>
      </c>
      <c r="I581">
        <v>9</v>
      </c>
      <c r="J581" t="s">
        <v>38</v>
      </c>
      <c r="K581" t="s">
        <v>53</v>
      </c>
      <c r="L581" t="s">
        <v>44</v>
      </c>
      <c r="M581">
        <v>22.36</v>
      </c>
      <c r="N581">
        <v>22.06</v>
      </c>
      <c r="O581">
        <v>21.76</v>
      </c>
      <c r="P581">
        <v>21.46</v>
      </c>
      <c r="Q581">
        <v>21.16</v>
      </c>
      <c r="R581">
        <v>20.86</v>
      </c>
      <c r="T581" t="s">
        <v>49</v>
      </c>
      <c r="U581">
        <v>0</v>
      </c>
      <c r="V581">
        <v>6</v>
      </c>
    </row>
    <row r="582" spans="1:22" x14ac:dyDescent="0.3">
      <c r="A582">
        <v>581</v>
      </c>
      <c r="B582">
        <v>25389</v>
      </c>
      <c r="C582" s="2">
        <v>33804</v>
      </c>
      <c r="D582">
        <v>33</v>
      </c>
      <c r="E582" t="s">
        <v>36</v>
      </c>
      <c r="F582" t="s">
        <v>50</v>
      </c>
      <c r="G582" s="2">
        <v>43893</v>
      </c>
      <c r="H582" s="3">
        <f t="shared" si="9"/>
        <v>6.3150684931506849</v>
      </c>
      <c r="I582">
        <v>121</v>
      </c>
      <c r="J582" t="s">
        <v>57</v>
      </c>
      <c r="K582" t="s">
        <v>53</v>
      </c>
      <c r="L582" t="s">
        <v>44</v>
      </c>
      <c r="M582">
        <v>22.36</v>
      </c>
      <c r="N582">
        <v>22.06</v>
      </c>
      <c r="O582">
        <v>21.76</v>
      </c>
      <c r="P582">
        <v>21.46</v>
      </c>
      <c r="Q582">
        <v>21.16</v>
      </c>
      <c r="T582" t="s">
        <v>45</v>
      </c>
      <c r="U582">
        <v>5</v>
      </c>
      <c r="V582">
        <v>5</v>
      </c>
    </row>
    <row r="583" spans="1:22" x14ac:dyDescent="0.3">
      <c r="A583">
        <v>582</v>
      </c>
      <c r="B583">
        <v>25392</v>
      </c>
      <c r="C583" s="2">
        <v>30221</v>
      </c>
      <c r="D583">
        <v>43</v>
      </c>
      <c r="E583" t="s">
        <v>42</v>
      </c>
      <c r="F583" t="s">
        <v>50</v>
      </c>
      <c r="G583" s="2">
        <v>43717</v>
      </c>
      <c r="H583" s="3">
        <f t="shared" si="9"/>
        <v>6.4684931506849317</v>
      </c>
      <c r="I583">
        <v>137</v>
      </c>
      <c r="J583" t="s">
        <v>57</v>
      </c>
      <c r="K583" t="s">
        <v>53</v>
      </c>
      <c r="L583" t="s">
        <v>44</v>
      </c>
      <c r="M583">
        <v>22.36</v>
      </c>
      <c r="N583">
        <v>22.06</v>
      </c>
      <c r="O583">
        <v>21.76</v>
      </c>
      <c r="P583">
        <v>21.46</v>
      </c>
      <c r="Q583">
        <v>21.16</v>
      </c>
      <c r="R583">
        <v>20.86</v>
      </c>
      <c r="T583" t="s">
        <v>47</v>
      </c>
      <c r="U583">
        <v>3</v>
      </c>
      <c r="V583">
        <v>6</v>
      </c>
    </row>
    <row r="584" spans="1:22" x14ac:dyDescent="0.3">
      <c r="A584">
        <v>583</v>
      </c>
      <c r="B584">
        <v>25401</v>
      </c>
      <c r="C584" s="2">
        <v>32821</v>
      </c>
      <c r="D584">
        <v>36</v>
      </c>
      <c r="E584" t="s">
        <v>42</v>
      </c>
      <c r="F584" t="s">
        <v>50</v>
      </c>
      <c r="G584" s="2">
        <v>43661</v>
      </c>
      <c r="H584" s="3">
        <f t="shared" si="9"/>
        <v>5.9917808219178079</v>
      </c>
      <c r="I584">
        <v>3</v>
      </c>
      <c r="J584" t="s">
        <v>38</v>
      </c>
      <c r="K584" t="s">
        <v>53</v>
      </c>
      <c r="L584" t="s">
        <v>44</v>
      </c>
      <c r="M584">
        <v>22.36</v>
      </c>
      <c r="N584">
        <v>22.06</v>
      </c>
      <c r="O584">
        <v>21.76</v>
      </c>
      <c r="P584">
        <v>21.46</v>
      </c>
      <c r="Q584">
        <v>21.16</v>
      </c>
      <c r="R584">
        <v>20.86</v>
      </c>
      <c r="T584" t="s">
        <v>47</v>
      </c>
      <c r="U584">
        <v>4</v>
      </c>
      <c r="V584">
        <v>6</v>
      </c>
    </row>
    <row r="585" spans="1:22" x14ac:dyDescent="0.3">
      <c r="A585">
        <v>584</v>
      </c>
      <c r="B585">
        <v>25419</v>
      </c>
      <c r="C585" s="2">
        <v>34374</v>
      </c>
      <c r="D585">
        <v>31</v>
      </c>
      <c r="E585" t="s">
        <v>36</v>
      </c>
      <c r="F585" t="s">
        <v>50</v>
      </c>
      <c r="G585" s="2">
        <v>43835</v>
      </c>
      <c r="H585" s="3">
        <f t="shared" si="9"/>
        <v>6.5397260273972604</v>
      </c>
      <c r="I585">
        <v>21</v>
      </c>
      <c r="J585" t="s">
        <v>38</v>
      </c>
      <c r="K585" t="s">
        <v>53</v>
      </c>
      <c r="L585" t="s">
        <v>44</v>
      </c>
      <c r="M585">
        <v>22.36</v>
      </c>
      <c r="N585">
        <v>22.06</v>
      </c>
      <c r="O585">
        <v>21.76</v>
      </c>
      <c r="P585">
        <v>21.46</v>
      </c>
      <c r="Q585">
        <v>21.16</v>
      </c>
      <c r="T585" t="s">
        <v>52</v>
      </c>
      <c r="U585">
        <v>4</v>
      </c>
      <c r="V585">
        <v>5</v>
      </c>
    </row>
    <row r="586" spans="1:22" x14ac:dyDescent="0.3">
      <c r="A586">
        <v>585</v>
      </c>
      <c r="B586">
        <v>25444</v>
      </c>
      <c r="C586" s="2">
        <v>34970</v>
      </c>
      <c r="D586">
        <v>30</v>
      </c>
      <c r="E586" t="s">
        <v>36</v>
      </c>
      <c r="F586" t="s">
        <v>50</v>
      </c>
      <c r="G586" s="2">
        <v>43635</v>
      </c>
      <c r="H586" s="3">
        <f t="shared" si="9"/>
        <v>6.2849315068493148</v>
      </c>
      <c r="I586">
        <v>38</v>
      </c>
      <c r="J586" t="s">
        <v>38</v>
      </c>
      <c r="K586" t="s">
        <v>53</v>
      </c>
      <c r="L586" t="s">
        <v>44</v>
      </c>
      <c r="M586">
        <v>22.36</v>
      </c>
      <c r="N586">
        <v>22.06</v>
      </c>
      <c r="O586">
        <v>21.76</v>
      </c>
      <c r="P586">
        <v>21.46</v>
      </c>
      <c r="Q586">
        <v>21.16</v>
      </c>
      <c r="R586">
        <v>20.86</v>
      </c>
      <c r="T586" t="s">
        <v>52</v>
      </c>
      <c r="U586">
        <v>6</v>
      </c>
      <c r="V586">
        <v>4</v>
      </c>
    </row>
    <row r="587" spans="1:22" x14ac:dyDescent="0.3">
      <c r="A587">
        <v>586</v>
      </c>
      <c r="B587">
        <v>25487</v>
      </c>
      <c r="C587" s="2">
        <v>34819</v>
      </c>
      <c r="D587">
        <v>30</v>
      </c>
      <c r="E587" t="s">
        <v>36</v>
      </c>
      <c r="F587" t="s">
        <v>50</v>
      </c>
      <c r="G587" s="2">
        <v>43728</v>
      </c>
      <c r="H587" s="3">
        <f t="shared" si="9"/>
        <v>6.1287671232876715</v>
      </c>
      <c r="I587">
        <v>67</v>
      </c>
      <c r="J587" t="s">
        <v>57</v>
      </c>
      <c r="K587" t="s">
        <v>53</v>
      </c>
      <c r="L587" t="s">
        <v>44</v>
      </c>
      <c r="M587">
        <v>22.56</v>
      </c>
      <c r="N587">
        <v>22.34</v>
      </c>
      <c r="O587">
        <v>22</v>
      </c>
      <c r="P587">
        <v>21.66</v>
      </c>
      <c r="Q587">
        <v>21.26</v>
      </c>
      <c r="R587">
        <v>20.86</v>
      </c>
      <c r="T587" t="s">
        <v>52</v>
      </c>
      <c r="U587">
        <v>5</v>
      </c>
      <c r="V587">
        <v>4</v>
      </c>
    </row>
    <row r="588" spans="1:22" x14ac:dyDescent="0.3">
      <c r="A588">
        <v>587</v>
      </c>
      <c r="B588">
        <v>25508</v>
      </c>
      <c r="C588" s="2">
        <v>34452</v>
      </c>
      <c r="D588">
        <v>31</v>
      </c>
      <c r="E588" t="s">
        <v>36</v>
      </c>
      <c r="F588" t="s">
        <v>50</v>
      </c>
      <c r="G588" s="2">
        <v>43785</v>
      </c>
      <c r="H588" s="3">
        <f t="shared" si="9"/>
        <v>6.1232876712328768</v>
      </c>
      <c r="I588">
        <v>90</v>
      </c>
      <c r="J588" t="s">
        <v>57</v>
      </c>
      <c r="K588" t="s">
        <v>53</v>
      </c>
      <c r="L588" t="s">
        <v>44</v>
      </c>
      <c r="M588">
        <v>21.31</v>
      </c>
      <c r="N588">
        <v>21.31</v>
      </c>
      <c r="O588">
        <v>21.16</v>
      </c>
      <c r="P588">
        <v>21.16</v>
      </c>
      <c r="Q588">
        <v>21.01</v>
      </c>
      <c r="R588">
        <v>20.86</v>
      </c>
      <c r="T588" t="s">
        <v>49</v>
      </c>
      <c r="U588">
        <v>4</v>
      </c>
      <c r="V588">
        <v>5</v>
      </c>
    </row>
    <row r="589" spans="1:22" x14ac:dyDescent="0.3">
      <c r="A589">
        <v>588</v>
      </c>
      <c r="B589">
        <v>25568</v>
      </c>
      <c r="C589" s="2">
        <v>31920</v>
      </c>
      <c r="D589">
        <v>38</v>
      </c>
      <c r="E589" t="s">
        <v>42</v>
      </c>
      <c r="F589" t="s">
        <v>50</v>
      </c>
      <c r="G589" s="2">
        <v>43787</v>
      </c>
      <c r="H589" s="3">
        <f t="shared" si="9"/>
        <v>6.419178082191781</v>
      </c>
      <c r="I589">
        <v>14</v>
      </c>
      <c r="J589" t="s">
        <v>38</v>
      </c>
      <c r="K589" t="s">
        <v>43</v>
      </c>
      <c r="L589" t="s">
        <v>44</v>
      </c>
      <c r="M589">
        <v>15.97</v>
      </c>
      <c r="N589">
        <v>15.67</v>
      </c>
      <c r="O589">
        <v>15.37</v>
      </c>
      <c r="P589">
        <v>15.07</v>
      </c>
      <c r="Q589">
        <v>14.77</v>
      </c>
      <c r="R589">
        <v>14.47</v>
      </c>
      <c r="T589" t="s">
        <v>52</v>
      </c>
      <c r="U589">
        <v>1</v>
      </c>
      <c r="V589">
        <v>6</v>
      </c>
    </row>
    <row r="590" spans="1:22" x14ac:dyDescent="0.3">
      <c r="A590">
        <v>589</v>
      </c>
      <c r="B590">
        <v>25569</v>
      </c>
      <c r="C590" s="2">
        <v>30847</v>
      </c>
      <c r="D590">
        <v>41</v>
      </c>
      <c r="E590" t="s">
        <v>36</v>
      </c>
      <c r="F590" t="s">
        <v>50</v>
      </c>
      <c r="G590" s="2">
        <v>43679</v>
      </c>
      <c r="H590" s="3">
        <f t="shared" si="9"/>
        <v>6.7013698630136984</v>
      </c>
      <c r="I590">
        <v>14</v>
      </c>
      <c r="J590" t="s">
        <v>38</v>
      </c>
      <c r="K590" t="s">
        <v>55</v>
      </c>
      <c r="L590" t="s">
        <v>44</v>
      </c>
      <c r="M590">
        <v>17.05</v>
      </c>
      <c r="N590">
        <v>16.75</v>
      </c>
      <c r="O590">
        <v>16.45</v>
      </c>
      <c r="P590">
        <v>16.149999999999999</v>
      </c>
      <c r="Q590">
        <v>15.85</v>
      </c>
      <c r="R590">
        <v>15.55</v>
      </c>
      <c r="T590" t="s">
        <v>47</v>
      </c>
      <c r="U590">
        <v>1</v>
      </c>
      <c r="V590">
        <v>5</v>
      </c>
    </row>
    <row r="591" spans="1:22" x14ac:dyDescent="0.3">
      <c r="A591">
        <v>590</v>
      </c>
      <c r="B591">
        <v>25579</v>
      </c>
      <c r="C591" s="2">
        <v>35583</v>
      </c>
      <c r="D591">
        <v>28</v>
      </c>
      <c r="E591" t="s">
        <v>36</v>
      </c>
      <c r="F591" t="s">
        <v>50</v>
      </c>
      <c r="G591" s="2">
        <v>43576</v>
      </c>
      <c r="H591" s="3">
        <f t="shared" si="9"/>
        <v>6.6958904109589037</v>
      </c>
      <c r="I591">
        <v>33</v>
      </c>
      <c r="J591" t="s">
        <v>38</v>
      </c>
      <c r="K591" t="s">
        <v>43</v>
      </c>
      <c r="L591" t="s">
        <v>44</v>
      </c>
      <c r="M591">
        <v>15.76</v>
      </c>
      <c r="N591">
        <v>15.41</v>
      </c>
      <c r="O591">
        <v>15.41</v>
      </c>
      <c r="P591">
        <v>15.03</v>
      </c>
      <c r="Q591">
        <v>14.65</v>
      </c>
      <c r="R591">
        <v>14.47</v>
      </c>
      <c r="T591" t="s">
        <v>49</v>
      </c>
      <c r="U591">
        <v>1</v>
      </c>
      <c r="V591">
        <v>5</v>
      </c>
    </row>
    <row r="592" spans="1:22" x14ac:dyDescent="0.3">
      <c r="A592">
        <v>591</v>
      </c>
      <c r="B592">
        <v>25608</v>
      </c>
      <c r="C592" s="2">
        <v>33771</v>
      </c>
      <c r="D592">
        <v>33</v>
      </c>
      <c r="E592" t="s">
        <v>36</v>
      </c>
      <c r="F592" t="s">
        <v>37</v>
      </c>
      <c r="G592" s="2">
        <v>43578</v>
      </c>
      <c r="H592" s="3">
        <f t="shared" si="9"/>
        <v>6.0986301369863014</v>
      </c>
      <c r="I592">
        <v>84</v>
      </c>
      <c r="J592" t="s">
        <v>57</v>
      </c>
      <c r="K592" t="s">
        <v>55</v>
      </c>
      <c r="L592" t="s">
        <v>44</v>
      </c>
      <c r="M592">
        <v>17.05</v>
      </c>
      <c r="N592">
        <v>16.75</v>
      </c>
      <c r="O592">
        <v>16.45</v>
      </c>
      <c r="P592">
        <v>16.149999999999999</v>
      </c>
      <c r="Q592">
        <v>15.85</v>
      </c>
      <c r="R592">
        <v>15.55</v>
      </c>
      <c r="T592" t="s">
        <v>47</v>
      </c>
      <c r="U592">
        <v>3</v>
      </c>
      <c r="V592">
        <v>5</v>
      </c>
    </row>
    <row r="593" spans="1:22" x14ac:dyDescent="0.3">
      <c r="A593">
        <v>592</v>
      </c>
      <c r="B593">
        <v>25618</v>
      </c>
      <c r="C593" s="2">
        <v>35011</v>
      </c>
      <c r="D593">
        <v>30</v>
      </c>
      <c r="E593" t="s">
        <v>42</v>
      </c>
      <c r="F593" t="s">
        <v>50</v>
      </c>
      <c r="G593" s="2">
        <v>43796</v>
      </c>
      <c r="H593" s="3">
        <f t="shared" si="9"/>
        <v>6.3369863013698629</v>
      </c>
      <c r="I593">
        <v>102</v>
      </c>
      <c r="J593" t="s">
        <v>57</v>
      </c>
      <c r="K593" t="s">
        <v>55</v>
      </c>
      <c r="L593" t="s">
        <v>44</v>
      </c>
      <c r="M593">
        <v>17.05</v>
      </c>
      <c r="N593">
        <v>16.75</v>
      </c>
      <c r="O593">
        <v>16.45</v>
      </c>
      <c r="P593">
        <v>16.149999999999999</v>
      </c>
      <c r="Q593">
        <v>15.85</v>
      </c>
      <c r="R593">
        <v>15.55</v>
      </c>
      <c r="T593" t="s">
        <v>45</v>
      </c>
      <c r="U593">
        <v>1</v>
      </c>
      <c r="V593">
        <v>5</v>
      </c>
    </row>
    <row r="594" spans="1:22" x14ac:dyDescent="0.3">
      <c r="A594">
        <v>593</v>
      </c>
      <c r="B594">
        <v>25645</v>
      </c>
      <c r="C594" s="2">
        <v>34984</v>
      </c>
      <c r="D594">
        <v>30</v>
      </c>
      <c r="E594" t="s">
        <v>42</v>
      </c>
      <c r="F594" t="s">
        <v>50</v>
      </c>
      <c r="G594" s="2">
        <v>43709</v>
      </c>
      <c r="H594" s="3">
        <f t="shared" si="9"/>
        <v>6.441095890410959</v>
      </c>
      <c r="I594">
        <v>9</v>
      </c>
      <c r="J594" t="s">
        <v>38</v>
      </c>
      <c r="K594" t="s">
        <v>43</v>
      </c>
      <c r="L594" t="s">
        <v>44</v>
      </c>
      <c r="M594">
        <v>15.97</v>
      </c>
      <c r="N594">
        <v>15.67</v>
      </c>
      <c r="O594">
        <v>15.37</v>
      </c>
      <c r="P594">
        <v>15.07</v>
      </c>
      <c r="Q594">
        <v>14.77</v>
      </c>
      <c r="R594">
        <v>14.47</v>
      </c>
      <c r="T594" t="s">
        <v>47</v>
      </c>
      <c r="U594">
        <v>2</v>
      </c>
      <c r="V594">
        <v>6</v>
      </c>
    </row>
    <row r="595" spans="1:22" x14ac:dyDescent="0.3">
      <c r="A595">
        <v>594</v>
      </c>
      <c r="B595">
        <v>25652</v>
      </c>
      <c r="C595" s="2">
        <v>35337</v>
      </c>
      <c r="D595">
        <v>29</v>
      </c>
      <c r="E595" t="s">
        <v>42</v>
      </c>
      <c r="F595" t="s">
        <v>50</v>
      </c>
      <c r="G595" s="2">
        <v>43671</v>
      </c>
      <c r="H595" s="3">
        <f t="shared" si="9"/>
        <v>6.6794520547945204</v>
      </c>
      <c r="I595">
        <v>17</v>
      </c>
      <c r="J595" t="s">
        <v>38</v>
      </c>
      <c r="K595" t="s">
        <v>55</v>
      </c>
      <c r="L595" t="s">
        <v>44</v>
      </c>
      <c r="M595">
        <v>17.05</v>
      </c>
      <c r="N595">
        <v>16.75</v>
      </c>
      <c r="O595">
        <v>16.45</v>
      </c>
      <c r="P595">
        <v>16.149999999999999</v>
      </c>
      <c r="Q595">
        <v>15.85</v>
      </c>
      <c r="R595">
        <v>15.55</v>
      </c>
      <c r="T595" t="s">
        <v>52</v>
      </c>
      <c r="U595">
        <v>3</v>
      </c>
      <c r="V595">
        <v>5</v>
      </c>
    </row>
    <row r="596" spans="1:22" x14ac:dyDescent="0.3">
      <c r="A596">
        <v>595</v>
      </c>
      <c r="B596">
        <v>25676</v>
      </c>
      <c r="C596" s="2">
        <v>36802</v>
      </c>
      <c r="D596">
        <v>25</v>
      </c>
      <c r="E596" t="s">
        <v>42</v>
      </c>
      <c r="F596" t="s">
        <v>50</v>
      </c>
      <c r="G596" s="2">
        <v>43584</v>
      </c>
      <c r="H596" s="3">
        <f t="shared" si="9"/>
        <v>6.484931506849315</v>
      </c>
      <c r="I596">
        <v>50</v>
      </c>
      <c r="J596" t="s">
        <v>38</v>
      </c>
      <c r="K596" t="s">
        <v>43</v>
      </c>
      <c r="L596" t="s">
        <v>44</v>
      </c>
      <c r="M596">
        <v>15.97</v>
      </c>
      <c r="N596">
        <v>15.67</v>
      </c>
      <c r="O596">
        <v>15.37</v>
      </c>
      <c r="P596">
        <v>15.07</v>
      </c>
      <c r="Q596">
        <v>14.77</v>
      </c>
      <c r="R596">
        <v>14.47</v>
      </c>
      <c r="T596" t="s">
        <v>49</v>
      </c>
      <c r="U596">
        <v>1</v>
      </c>
      <c r="V596">
        <v>5</v>
      </c>
    </row>
    <row r="597" spans="1:22" x14ac:dyDescent="0.3">
      <c r="A597">
        <v>596</v>
      </c>
      <c r="B597">
        <v>25710</v>
      </c>
      <c r="C597" s="2">
        <v>34912</v>
      </c>
      <c r="D597">
        <v>31</v>
      </c>
      <c r="E597" t="s">
        <v>36</v>
      </c>
      <c r="F597" t="s">
        <v>50</v>
      </c>
      <c r="G597" s="2">
        <v>43655</v>
      </c>
      <c r="H597" s="3">
        <f t="shared" si="9"/>
        <v>6.882191780821918</v>
      </c>
      <c r="I597">
        <v>114</v>
      </c>
      <c r="J597" t="s">
        <v>57</v>
      </c>
      <c r="K597" t="s">
        <v>43</v>
      </c>
      <c r="L597" t="s">
        <v>44</v>
      </c>
      <c r="M597">
        <v>15.6</v>
      </c>
      <c r="N597">
        <v>15.2</v>
      </c>
      <c r="O597">
        <v>15.2</v>
      </c>
      <c r="P597">
        <v>14.79</v>
      </c>
      <c r="Q597">
        <v>14.47</v>
      </c>
      <c r="R597">
        <v>14.47</v>
      </c>
      <c r="T597" t="s">
        <v>49</v>
      </c>
      <c r="U597">
        <v>1</v>
      </c>
      <c r="V597">
        <v>5</v>
      </c>
    </row>
    <row r="598" spans="1:22" x14ac:dyDescent="0.3">
      <c r="A598">
        <v>597</v>
      </c>
      <c r="B598">
        <v>25728</v>
      </c>
      <c r="C598" s="2">
        <v>34740</v>
      </c>
      <c r="D598">
        <v>30</v>
      </c>
      <c r="E598" t="s">
        <v>42</v>
      </c>
      <c r="F598" t="s">
        <v>50</v>
      </c>
      <c r="G598" s="2">
        <v>43510</v>
      </c>
      <c r="H598" s="3">
        <f t="shared" si="9"/>
        <v>6.0164383561643833</v>
      </c>
      <c r="I598">
        <v>3</v>
      </c>
      <c r="J598" t="s">
        <v>38</v>
      </c>
      <c r="K598" t="s">
        <v>43</v>
      </c>
      <c r="L598" t="s">
        <v>44</v>
      </c>
      <c r="M598">
        <v>15.97</v>
      </c>
      <c r="N598">
        <v>15.67</v>
      </c>
      <c r="O598">
        <v>15.37</v>
      </c>
      <c r="P598">
        <v>15.07</v>
      </c>
      <c r="Q598">
        <v>14.77</v>
      </c>
      <c r="R598">
        <v>14.47</v>
      </c>
      <c r="T598" t="s">
        <v>52</v>
      </c>
      <c r="U598">
        <v>1</v>
      </c>
      <c r="V598">
        <v>6</v>
      </c>
    </row>
    <row r="599" spans="1:22" x14ac:dyDescent="0.3">
      <c r="A599">
        <v>598</v>
      </c>
      <c r="B599">
        <v>25743</v>
      </c>
      <c r="C599" s="2">
        <v>34586</v>
      </c>
      <c r="D599">
        <v>31</v>
      </c>
      <c r="E599" t="s">
        <v>42</v>
      </c>
      <c r="F599" t="s">
        <v>37</v>
      </c>
      <c r="G599" s="2">
        <v>43826</v>
      </c>
      <c r="H599" s="3">
        <f t="shared" si="9"/>
        <v>6.6602739726027398</v>
      </c>
      <c r="I599">
        <v>35</v>
      </c>
      <c r="J599" t="s">
        <v>38</v>
      </c>
      <c r="K599" t="s">
        <v>46</v>
      </c>
      <c r="L599" t="s">
        <v>44</v>
      </c>
      <c r="M599">
        <v>14.08</v>
      </c>
      <c r="N599">
        <v>13.78</v>
      </c>
      <c r="O599">
        <v>13.48</v>
      </c>
      <c r="P599">
        <v>13.18</v>
      </c>
      <c r="Q599">
        <v>12.88</v>
      </c>
      <c r="R599">
        <v>12.58</v>
      </c>
      <c r="T599" t="s">
        <v>52</v>
      </c>
      <c r="U599">
        <v>0</v>
      </c>
      <c r="V599">
        <v>5</v>
      </c>
    </row>
    <row r="600" spans="1:22" x14ac:dyDescent="0.3">
      <c r="A600">
        <v>599</v>
      </c>
      <c r="B600">
        <v>25750</v>
      </c>
      <c r="C600" s="2">
        <v>36135</v>
      </c>
      <c r="D600">
        <v>27</v>
      </c>
      <c r="E600" t="s">
        <v>42</v>
      </c>
      <c r="F600" t="s">
        <v>37</v>
      </c>
      <c r="G600" s="2">
        <v>43591</v>
      </c>
      <c r="H600" s="3">
        <f t="shared" si="9"/>
        <v>6.4657534246575343</v>
      </c>
      <c r="I600">
        <v>63</v>
      </c>
      <c r="J600" t="s">
        <v>38</v>
      </c>
      <c r="K600" t="s">
        <v>43</v>
      </c>
      <c r="L600" t="s">
        <v>44</v>
      </c>
      <c r="M600">
        <v>15.97</v>
      </c>
      <c r="N600">
        <v>15.67</v>
      </c>
      <c r="O600">
        <v>15.37</v>
      </c>
      <c r="P600">
        <v>15.07</v>
      </c>
      <c r="Q600">
        <v>14.77</v>
      </c>
      <c r="R600">
        <v>14.47</v>
      </c>
      <c r="T600" t="s">
        <v>45</v>
      </c>
      <c r="U600">
        <v>0</v>
      </c>
      <c r="V600">
        <v>6</v>
      </c>
    </row>
    <row r="601" spans="1:22" x14ac:dyDescent="0.3">
      <c r="A601">
        <v>600</v>
      </c>
      <c r="B601">
        <v>25765</v>
      </c>
      <c r="C601" s="2">
        <v>35679</v>
      </c>
      <c r="D601">
        <v>28</v>
      </c>
      <c r="E601" t="s">
        <v>42</v>
      </c>
      <c r="F601" t="s">
        <v>50</v>
      </c>
      <c r="G601" s="2">
        <v>43662</v>
      </c>
      <c r="H601" s="3">
        <f t="shared" si="9"/>
        <v>6.375342465753425</v>
      </c>
      <c r="I601">
        <v>83</v>
      </c>
      <c r="J601" t="s">
        <v>57</v>
      </c>
      <c r="K601" t="s">
        <v>43</v>
      </c>
      <c r="L601" t="s">
        <v>44</v>
      </c>
      <c r="M601">
        <v>15.97</v>
      </c>
      <c r="N601">
        <v>15.67</v>
      </c>
      <c r="O601">
        <v>15.37</v>
      </c>
      <c r="P601">
        <v>15.07</v>
      </c>
      <c r="Q601">
        <v>14.77</v>
      </c>
      <c r="R601">
        <v>14.47</v>
      </c>
      <c r="T601" t="s">
        <v>52</v>
      </c>
      <c r="U601">
        <v>0</v>
      </c>
      <c r="V601">
        <v>5</v>
      </c>
    </row>
    <row r="602" spans="1:22" x14ac:dyDescent="0.3">
      <c r="A602">
        <v>601</v>
      </c>
      <c r="B602">
        <v>25780</v>
      </c>
      <c r="C602" s="2">
        <v>34559</v>
      </c>
      <c r="D602">
        <v>31</v>
      </c>
      <c r="E602" t="s">
        <v>42</v>
      </c>
      <c r="F602" t="s">
        <v>50</v>
      </c>
      <c r="G602" s="2">
        <v>43695</v>
      </c>
      <c r="H602" s="3">
        <f t="shared" si="9"/>
        <v>6.0136986301369859</v>
      </c>
      <c r="I602">
        <v>126</v>
      </c>
      <c r="J602" t="s">
        <v>57</v>
      </c>
      <c r="K602" t="s">
        <v>43</v>
      </c>
      <c r="L602" t="s">
        <v>44</v>
      </c>
      <c r="M602">
        <v>15.97</v>
      </c>
      <c r="N602">
        <v>15.67</v>
      </c>
      <c r="O602">
        <v>15.37</v>
      </c>
      <c r="P602">
        <v>15.07</v>
      </c>
      <c r="Q602">
        <v>14.77</v>
      </c>
      <c r="R602">
        <v>14.47</v>
      </c>
      <c r="T602" t="s">
        <v>52</v>
      </c>
      <c r="U602">
        <v>1</v>
      </c>
      <c r="V602">
        <v>6</v>
      </c>
    </row>
    <row r="603" spans="1:22" x14ac:dyDescent="0.3">
      <c r="A603">
        <v>602</v>
      </c>
      <c r="B603">
        <v>25784</v>
      </c>
      <c r="C603" s="2">
        <v>33213</v>
      </c>
      <c r="D603">
        <v>35</v>
      </c>
      <c r="E603" t="s">
        <v>42</v>
      </c>
      <c r="F603" t="s">
        <v>50</v>
      </c>
      <c r="G603" s="2">
        <v>43827</v>
      </c>
      <c r="H603" s="3">
        <f t="shared" si="9"/>
        <v>6.4246575342465757</v>
      </c>
      <c r="I603">
        <v>130</v>
      </c>
      <c r="J603" t="s">
        <v>57</v>
      </c>
      <c r="K603" t="s">
        <v>46</v>
      </c>
      <c r="L603" t="s">
        <v>44</v>
      </c>
      <c r="M603">
        <v>14.06</v>
      </c>
      <c r="N603">
        <v>13.69</v>
      </c>
      <c r="O603">
        <v>13.47</v>
      </c>
      <c r="P603">
        <v>13.17</v>
      </c>
      <c r="Q603">
        <v>12.74</v>
      </c>
      <c r="R603">
        <v>12.58</v>
      </c>
      <c r="T603" t="s">
        <v>47</v>
      </c>
      <c r="U603">
        <v>1</v>
      </c>
      <c r="V603">
        <v>6</v>
      </c>
    </row>
    <row r="604" spans="1:22" x14ac:dyDescent="0.3">
      <c r="A604">
        <v>603</v>
      </c>
      <c r="B604">
        <v>25789</v>
      </c>
      <c r="C604" s="2">
        <v>36045</v>
      </c>
      <c r="D604">
        <v>27</v>
      </c>
      <c r="E604" t="s">
        <v>42</v>
      </c>
      <c r="F604" t="s">
        <v>37</v>
      </c>
      <c r="G604" s="2">
        <v>43677</v>
      </c>
      <c r="H604" s="3">
        <f t="shared" si="9"/>
        <v>6.1643835616438354</v>
      </c>
      <c r="I604">
        <v>143</v>
      </c>
      <c r="J604" t="s">
        <v>57</v>
      </c>
      <c r="K604" t="s">
        <v>65</v>
      </c>
      <c r="L604" t="s">
        <v>44</v>
      </c>
      <c r="M604">
        <v>10.44</v>
      </c>
      <c r="N604">
        <v>10.32</v>
      </c>
      <c r="O604">
        <v>10.029999999999999</v>
      </c>
      <c r="P604">
        <v>9.77</v>
      </c>
      <c r="Q604">
        <v>9.5299999999999994</v>
      </c>
      <c r="R604">
        <v>9.41</v>
      </c>
      <c r="T604" t="s">
        <v>47</v>
      </c>
      <c r="U604">
        <v>1</v>
      </c>
      <c r="V604">
        <v>6</v>
      </c>
    </row>
    <row r="605" spans="1:22" x14ac:dyDescent="0.3">
      <c r="A605">
        <v>604</v>
      </c>
      <c r="B605">
        <v>25794</v>
      </c>
      <c r="C605" s="2">
        <v>35959</v>
      </c>
      <c r="D605">
        <v>27</v>
      </c>
      <c r="E605" t="s">
        <v>36</v>
      </c>
      <c r="F605" t="s">
        <v>50</v>
      </c>
      <c r="G605" s="2">
        <v>43772</v>
      </c>
      <c r="H605" s="3">
        <f t="shared" si="9"/>
        <v>6.0383561643835613</v>
      </c>
      <c r="I605">
        <v>3</v>
      </c>
      <c r="J605" t="s">
        <v>38</v>
      </c>
      <c r="K605" t="s">
        <v>46</v>
      </c>
      <c r="L605" t="s">
        <v>44</v>
      </c>
      <c r="M605">
        <v>14.08</v>
      </c>
      <c r="N605">
        <v>13.78</v>
      </c>
      <c r="O605">
        <v>13.48</v>
      </c>
      <c r="P605">
        <v>13.18</v>
      </c>
      <c r="Q605">
        <v>12.88</v>
      </c>
      <c r="R605">
        <v>12.58</v>
      </c>
      <c r="T605" t="s">
        <v>52</v>
      </c>
      <c r="U605">
        <v>1</v>
      </c>
      <c r="V605">
        <v>5</v>
      </c>
    </row>
    <row r="606" spans="1:22" x14ac:dyDescent="0.3">
      <c r="A606">
        <v>605</v>
      </c>
      <c r="B606">
        <v>25815</v>
      </c>
      <c r="C606" s="2">
        <v>36385</v>
      </c>
      <c r="D606">
        <v>26</v>
      </c>
      <c r="E606" t="s">
        <v>42</v>
      </c>
      <c r="F606" t="s">
        <v>50</v>
      </c>
      <c r="G606" s="2">
        <v>43818</v>
      </c>
      <c r="H606" s="3">
        <f t="shared" si="9"/>
        <v>6.1753424657534248</v>
      </c>
      <c r="I606">
        <v>14</v>
      </c>
      <c r="J606" t="s">
        <v>38</v>
      </c>
      <c r="K606" t="s">
        <v>46</v>
      </c>
      <c r="L606" t="s">
        <v>44</v>
      </c>
      <c r="M606">
        <v>14.08</v>
      </c>
      <c r="N606">
        <v>13.78</v>
      </c>
      <c r="O606">
        <v>13.48</v>
      </c>
      <c r="P606">
        <v>13.18</v>
      </c>
      <c r="Q606">
        <v>12.88</v>
      </c>
      <c r="R606">
        <v>12.58</v>
      </c>
      <c r="T606" t="s">
        <v>47</v>
      </c>
      <c r="U606">
        <v>0</v>
      </c>
      <c r="V606">
        <v>6</v>
      </c>
    </row>
    <row r="607" spans="1:22" x14ac:dyDescent="0.3">
      <c r="A607">
        <v>606</v>
      </c>
      <c r="B607">
        <v>25817</v>
      </c>
      <c r="C607" s="2">
        <v>35198</v>
      </c>
      <c r="D607">
        <v>29</v>
      </c>
      <c r="E607" t="s">
        <v>42</v>
      </c>
      <c r="F607" t="s">
        <v>50</v>
      </c>
      <c r="G607" s="2">
        <v>43768</v>
      </c>
      <c r="H607" s="3">
        <f t="shared" si="9"/>
        <v>5.9506849315068493</v>
      </c>
      <c r="I607">
        <v>16</v>
      </c>
      <c r="J607" t="s">
        <v>38</v>
      </c>
      <c r="K607" t="s">
        <v>43</v>
      </c>
      <c r="L607" t="s">
        <v>44</v>
      </c>
      <c r="M607">
        <v>15.97</v>
      </c>
      <c r="N607">
        <v>15.67</v>
      </c>
      <c r="O607">
        <v>15.37</v>
      </c>
      <c r="P607">
        <v>15.07</v>
      </c>
      <c r="Q607">
        <v>14.77</v>
      </c>
      <c r="R607">
        <v>14.47</v>
      </c>
      <c r="T607" t="s">
        <v>47</v>
      </c>
      <c r="U607">
        <v>1</v>
      </c>
      <c r="V607">
        <v>6</v>
      </c>
    </row>
    <row r="608" spans="1:22" x14ac:dyDescent="0.3">
      <c r="A608">
        <v>607</v>
      </c>
      <c r="B608">
        <v>25818</v>
      </c>
      <c r="C608" s="2">
        <v>36791</v>
      </c>
      <c r="D608">
        <v>25</v>
      </c>
      <c r="E608" t="s">
        <v>36</v>
      </c>
      <c r="F608" t="s">
        <v>50</v>
      </c>
      <c r="G608" s="2">
        <v>43850</v>
      </c>
      <c r="H608" s="3">
        <f t="shared" si="9"/>
        <v>5.9698630136986299</v>
      </c>
      <c r="I608">
        <v>16</v>
      </c>
      <c r="J608" t="s">
        <v>38</v>
      </c>
      <c r="K608" t="s">
        <v>64</v>
      </c>
      <c r="L608" t="s">
        <v>44</v>
      </c>
      <c r="M608">
        <v>13.94</v>
      </c>
      <c r="N608">
        <v>13.64</v>
      </c>
      <c r="O608">
        <v>13.34</v>
      </c>
      <c r="P608">
        <v>13.04</v>
      </c>
      <c r="Q608">
        <v>12.74</v>
      </c>
      <c r="T608" t="s">
        <v>45</v>
      </c>
      <c r="U608">
        <v>1</v>
      </c>
      <c r="V608">
        <v>3</v>
      </c>
    </row>
    <row r="609" spans="1:22" x14ac:dyDescent="0.3">
      <c r="A609">
        <v>608</v>
      </c>
      <c r="B609">
        <v>25963</v>
      </c>
      <c r="C609" s="2">
        <v>33713</v>
      </c>
      <c r="D609">
        <v>33</v>
      </c>
      <c r="E609" t="s">
        <v>42</v>
      </c>
      <c r="F609" t="s">
        <v>50</v>
      </c>
      <c r="G609" s="2">
        <v>43843</v>
      </c>
      <c r="H609" s="3">
        <f t="shared" si="9"/>
        <v>6.5013698630136982</v>
      </c>
      <c r="I609">
        <v>92</v>
      </c>
      <c r="J609" t="s">
        <v>57</v>
      </c>
      <c r="K609" t="s">
        <v>64</v>
      </c>
      <c r="L609" t="s">
        <v>44</v>
      </c>
      <c r="M609">
        <v>13.94</v>
      </c>
      <c r="N609">
        <v>13.64</v>
      </c>
      <c r="O609">
        <v>13.34</v>
      </c>
      <c r="P609">
        <v>13.04</v>
      </c>
      <c r="Q609">
        <v>12.74</v>
      </c>
      <c r="T609" t="s">
        <v>49</v>
      </c>
      <c r="U609">
        <v>1</v>
      </c>
      <c r="V609">
        <v>7</v>
      </c>
    </row>
    <row r="610" spans="1:22" x14ac:dyDescent="0.3">
      <c r="A610">
        <v>609</v>
      </c>
      <c r="B610">
        <v>25964</v>
      </c>
      <c r="C610" s="2">
        <v>35733</v>
      </c>
      <c r="D610">
        <v>28</v>
      </c>
      <c r="E610" t="s">
        <v>42</v>
      </c>
      <c r="F610" t="s">
        <v>50</v>
      </c>
      <c r="G610" s="2">
        <v>43649</v>
      </c>
      <c r="H610" s="3">
        <f t="shared" si="9"/>
        <v>6.2109589041095887</v>
      </c>
      <c r="I610">
        <v>92</v>
      </c>
      <c r="J610" t="s">
        <v>57</v>
      </c>
      <c r="K610" t="s">
        <v>54</v>
      </c>
      <c r="L610" t="s">
        <v>44</v>
      </c>
      <c r="M610">
        <v>22.52</v>
      </c>
      <c r="N610">
        <v>22.22</v>
      </c>
      <c r="O610">
        <v>21.92</v>
      </c>
      <c r="P610">
        <v>21.62</v>
      </c>
      <c r="Q610">
        <v>21.32</v>
      </c>
      <c r="R610">
        <v>21.02</v>
      </c>
      <c r="T610" t="s">
        <v>47</v>
      </c>
      <c r="U610">
        <v>3</v>
      </c>
      <c r="V610">
        <v>7</v>
      </c>
    </row>
    <row r="611" spans="1:22" x14ac:dyDescent="0.3">
      <c r="A611">
        <v>610</v>
      </c>
      <c r="B611">
        <v>26096</v>
      </c>
      <c r="C611" s="2">
        <v>33296</v>
      </c>
      <c r="D611">
        <v>34</v>
      </c>
      <c r="E611" t="s">
        <v>42</v>
      </c>
      <c r="F611" t="s">
        <v>37</v>
      </c>
      <c r="G611" s="2">
        <v>43755</v>
      </c>
      <c r="H611" s="3">
        <f t="shared" si="9"/>
        <v>6.4054794520547942</v>
      </c>
      <c r="I611">
        <v>41</v>
      </c>
      <c r="J611" t="s">
        <v>38</v>
      </c>
      <c r="K611" t="s">
        <v>43</v>
      </c>
      <c r="L611" t="s">
        <v>44</v>
      </c>
      <c r="M611">
        <v>15.97</v>
      </c>
      <c r="N611">
        <v>15.67</v>
      </c>
      <c r="O611">
        <v>15.37</v>
      </c>
      <c r="P611">
        <v>15.07</v>
      </c>
      <c r="Q611">
        <v>14.77</v>
      </c>
      <c r="R611">
        <v>14.47</v>
      </c>
      <c r="T611" t="s">
        <v>52</v>
      </c>
      <c r="U611">
        <v>1</v>
      </c>
      <c r="V611">
        <v>4</v>
      </c>
    </row>
    <row r="612" spans="1:22" x14ac:dyDescent="0.3">
      <c r="A612">
        <v>611</v>
      </c>
      <c r="B612">
        <v>26113</v>
      </c>
      <c r="C612" s="2">
        <v>36071</v>
      </c>
      <c r="D612">
        <v>27</v>
      </c>
      <c r="E612" t="s">
        <v>36</v>
      </c>
      <c r="F612" t="s">
        <v>37</v>
      </c>
      <c r="G612" s="2">
        <v>43684</v>
      </c>
      <c r="H612" s="3">
        <f t="shared" si="9"/>
        <v>5.9726027397260273</v>
      </c>
      <c r="I612">
        <v>62</v>
      </c>
      <c r="J612" t="s">
        <v>38</v>
      </c>
      <c r="K612" t="s">
        <v>65</v>
      </c>
      <c r="L612" t="s">
        <v>44</v>
      </c>
      <c r="M612">
        <v>10.41</v>
      </c>
      <c r="N612">
        <v>10.210000000000001</v>
      </c>
      <c r="O612">
        <v>10.01</v>
      </c>
      <c r="P612">
        <v>9.81</v>
      </c>
      <c r="Q612">
        <v>9.61</v>
      </c>
      <c r="R612">
        <v>9.41</v>
      </c>
      <c r="T612" t="s">
        <v>52</v>
      </c>
      <c r="U612">
        <v>0</v>
      </c>
      <c r="V612">
        <v>3</v>
      </c>
    </row>
    <row r="613" spans="1:22" x14ac:dyDescent="0.3">
      <c r="A613">
        <v>612</v>
      </c>
      <c r="B613">
        <v>26132</v>
      </c>
      <c r="C613" s="2">
        <v>32831</v>
      </c>
      <c r="D613">
        <v>36</v>
      </c>
      <c r="E613" t="s">
        <v>36</v>
      </c>
      <c r="F613" t="s">
        <v>50</v>
      </c>
      <c r="G613" s="2">
        <v>43842</v>
      </c>
      <c r="H613" s="3">
        <f t="shared" si="9"/>
        <v>6.0767123287671234</v>
      </c>
      <c r="I613">
        <v>79</v>
      </c>
      <c r="J613" t="s">
        <v>57</v>
      </c>
      <c r="K613" t="s">
        <v>54</v>
      </c>
      <c r="L613" t="s">
        <v>44</v>
      </c>
      <c r="M613">
        <v>22.52</v>
      </c>
      <c r="N613">
        <v>22.22</v>
      </c>
      <c r="O613">
        <v>21.92</v>
      </c>
      <c r="P613">
        <v>21.62</v>
      </c>
      <c r="Q613">
        <v>21.32</v>
      </c>
      <c r="T613" t="s">
        <v>47</v>
      </c>
      <c r="U613">
        <v>3</v>
      </c>
      <c r="V613">
        <v>7</v>
      </c>
    </row>
    <row r="614" spans="1:22" x14ac:dyDescent="0.3">
      <c r="A614">
        <v>613</v>
      </c>
      <c r="B614">
        <v>26154</v>
      </c>
      <c r="C614" s="2">
        <v>31907</v>
      </c>
      <c r="D614">
        <v>38</v>
      </c>
      <c r="E614" t="s">
        <v>36</v>
      </c>
      <c r="F614" t="s">
        <v>37</v>
      </c>
      <c r="G614" s="2">
        <v>43804</v>
      </c>
      <c r="H614" s="3">
        <f t="shared" si="9"/>
        <v>6.7013698630136984</v>
      </c>
      <c r="I614">
        <v>105</v>
      </c>
      <c r="J614" t="s">
        <v>57</v>
      </c>
      <c r="K614" t="s">
        <v>46</v>
      </c>
      <c r="L614" t="s">
        <v>44</v>
      </c>
      <c r="M614">
        <v>14.08</v>
      </c>
      <c r="N614">
        <v>13.78</v>
      </c>
      <c r="O614">
        <v>13.48</v>
      </c>
      <c r="P614">
        <v>13.18</v>
      </c>
      <c r="Q614">
        <v>12.88</v>
      </c>
      <c r="R614">
        <v>12.58</v>
      </c>
      <c r="T614" t="s">
        <v>47</v>
      </c>
      <c r="U614">
        <v>1</v>
      </c>
      <c r="V614">
        <v>3</v>
      </c>
    </row>
    <row r="615" spans="1:22" x14ac:dyDescent="0.3">
      <c r="A615">
        <v>614</v>
      </c>
      <c r="B615">
        <v>26166</v>
      </c>
      <c r="C615" s="2">
        <v>36841</v>
      </c>
      <c r="D615">
        <v>25</v>
      </c>
      <c r="E615" t="s">
        <v>42</v>
      </c>
      <c r="F615" t="s">
        <v>50</v>
      </c>
      <c r="G615" s="2">
        <v>43576</v>
      </c>
      <c r="H615" s="3">
        <f t="shared" si="9"/>
        <v>6.4794520547945202</v>
      </c>
      <c r="I615">
        <v>131</v>
      </c>
      <c r="J615" t="s">
        <v>57</v>
      </c>
      <c r="K615" t="s">
        <v>43</v>
      </c>
      <c r="L615" t="s">
        <v>44</v>
      </c>
      <c r="M615">
        <v>15.97</v>
      </c>
      <c r="N615">
        <v>15.67</v>
      </c>
      <c r="O615">
        <v>15.37</v>
      </c>
      <c r="P615">
        <v>15.07</v>
      </c>
      <c r="Q615">
        <v>14.77</v>
      </c>
      <c r="R615">
        <v>14.47</v>
      </c>
      <c r="T615" t="s">
        <v>52</v>
      </c>
      <c r="U615">
        <v>0</v>
      </c>
      <c r="V615">
        <v>6</v>
      </c>
    </row>
    <row r="616" spans="1:22" x14ac:dyDescent="0.3">
      <c r="A616">
        <v>615</v>
      </c>
      <c r="B616">
        <v>26203</v>
      </c>
      <c r="C616" s="2">
        <v>33224</v>
      </c>
      <c r="D616">
        <v>35</v>
      </c>
      <c r="E616" t="s">
        <v>42</v>
      </c>
      <c r="F616" t="s">
        <v>37</v>
      </c>
      <c r="G616" s="2">
        <v>43657</v>
      </c>
      <c r="H616" s="3">
        <f t="shared" si="9"/>
        <v>5.8794520547945206</v>
      </c>
      <c r="I616">
        <v>9</v>
      </c>
      <c r="J616" t="s">
        <v>38</v>
      </c>
      <c r="K616" t="s">
        <v>43</v>
      </c>
      <c r="L616" t="s">
        <v>44</v>
      </c>
      <c r="M616">
        <v>15.97</v>
      </c>
      <c r="N616">
        <v>15.67</v>
      </c>
      <c r="O616">
        <v>15.37</v>
      </c>
      <c r="P616">
        <v>15.07</v>
      </c>
      <c r="Q616">
        <v>14.77</v>
      </c>
      <c r="R616">
        <v>14.47</v>
      </c>
      <c r="T616" t="s">
        <v>47</v>
      </c>
      <c r="U616">
        <v>2</v>
      </c>
      <c r="V616">
        <v>4</v>
      </c>
    </row>
    <row r="617" spans="1:22" x14ac:dyDescent="0.3">
      <c r="A617">
        <v>616</v>
      </c>
      <c r="B617">
        <v>26262</v>
      </c>
      <c r="C617" s="2">
        <v>35132</v>
      </c>
      <c r="D617">
        <v>29</v>
      </c>
      <c r="E617" t="s">
        <v>36</v>
      </c>
      <c r="F617" t="s">
        <v>37</v>
      </c>
      <c r="G617" s="2">
        <v>43876</v>
      </c>
      <c r="H617" s="3">
        <f t="shared" si="9"/>
        <v>6.1342465753424653</v>
      </c>
      <c r="I617">
        <v>45</v>
      </c>
      <c r="J617" t="s">
        <v>38</v>
      </c>
      <c r="K617" t="s">
        <v>65</v>
      </c>
      <c r="L617" t="s">
        <v>44</v>
      </c>
      <c r="M617">
        <v>10.41</v>
      </c>
      <c r="N617">
        <v>10.210000000000001</v>
      </c>
      <c r="O617">
        <v>10.01</v>
      </c>
      <c r="P617">
        <v>9.81</v>
      </c>
      <c r="Q617">
        <v>9.61</v>
      </c>
      <c r="T617" t="s">
        <v>49</v>
      </c>
      <c r="U617">
        <v>1</v>
      </c>
      <c r="V617">
        <v>4</v>
      </c>
    </row>
    <row r="618" spans="1:22" x14ac:dyDescent="0.3">
      <c r="A618">
        <v>617</v>
      </c>
      <c r="B618">
        <v>26285</v>
      </c>
      <c r="C618" s="2">
        <v>36887</v>
      </c>
      <c r="D618">
        <v>25</v>
      </c>
      <c r="E618" t="s">
        <v>36</v>
      </c>
      <c r="F618" t="s">
        <v>50</v>
      </c>
      <c r="G618" s="2">
        <v>43783</v>
      </c>
      <c r="H618" s="3">
        <f t="shared" si="9"/>
        <v>6.0356164383561648</v>
      </c>
      <c r="I618">
        <v>56</v>
      </c>
      <c r="J618" t="s">
        <v>38</v>
      </c>
      <c r="K618" t="s">
        <v>46</v>
      </c>
      <c r="L618" t="s">
        <v>44</v>
      </c>
      <c r="M618">
        <v>14.08</v>
      </c>
      <c r="N618">
        <v>13.78</v>
      </c>
      <c r="O618">
        <v>13.48</v>
      </c>
      <c r="P618">
        <v>13.18</v>
      </c>
      <c r="Q618">
        <v>12.88</v>
      </c>
      <c r="R618">
        <v>12.58</v>
      </c>
      <c r="T618" t="s">
        <v>47</v>
      </c>
      <c r="U618">
        <v>0</v>
      </c>
      <c r="V618">
        <v>3</v>
      </c>
    </row>
    <row r="619" spans="1:22" x14ac:dyDescent="0.3">
      <c r="A619">
        <v>618</v>
      </c>
      <c r="B619">
        <v>26333</v>
      </c>
      <c r="C619" s="2">
        <v>35127</v>
      </c>
      <c r="D619">
        <v>29</v>
      </c>
      <c r="E619" t="s">
        <v>42</v>
      </c>
      <c r="F619" t="s">
        <v>50</v>
      </c>
      <c r="G619" s="2">
        <v>43819</v>
      </c>
      <c r="H619" s="3">
        <f t="shared" si="9"/>
        <v>6.4493150684931511</v>
      </c>
      <c r="I619">
        <v>84</v>
      </c>
      <c r="J619" t="s">
        <v>57</v>
      </c>
      <c r="K619" t="s">
        <v>43</v>
      </c>
      <c r="L619" t="s">
        <v>44</v>
      </c>
      <c r="M619">
        <v>15.97</v>
      </c>
      <c r="N619">
        <v>15.67</v>
      </c>
      <c r="O619">
        <v>15.37</v>
      </c>
      <c r="P619">
        <v>15.07</v>
      </c>
      <c r="Q619">
        <v>14.77</v>
      </c>
      <c r="R619">
        <v>14.47</v>
      </c>
      <c r="T619" t="s">
        <v>52</v>
      </c>
      <c r="U619">
        <v>1</v>
      </c>
      <c r="V619">
        <v>5</v>
      </c>
    </row>
    <row r="620" spans="1:22" x14ac:dyDescent="0.3">
      <c r="A620">
        <v>619</v>
      </c>
      <c r="B620">
        <v>26367</v>
      </c>
      <c r="C620" s="2">
        <v>35275</v>
      </c>
      <c r="D620">
        <v>29</v>
      </c>
      <c r="E620" t="s">
        <v>36</v>
      </c>
      <c r="F620" t="s">
        <v>50</v>
      </c>
      <c r="G620" s="2">
        <v>43668</v>
      </c>
      <c r="H620" s="3">
        <f t="shared" si="9"/>
        <v>6.6876712328767125</v>
      </c>
      <c r="I620">
        <v>101</v>
      </c>
      <c r="J620" t="s">
        <v>57</v>
      </c>
      <c r="K620" t="s">
        <v>43</v>
      </c>
      <c r="L620" t="s">
        <v>44</v>
      </c>
      <c r="M620">
        <v>15.97</v>
      </c>
      <c r="N620">
        <v>15.67</v>
      </c>
      <c r="O620">
        <v>15.37</v>
      </c>
      <c r="P620">
        <v>15.07</v>
      </c>
      <c r="Q620">
        <v>14.77</v>
      </c>
      <c r="R620">
        <v>14.47</v>
      </c>
      <c r="T620" t="s">
        <v>47</v>
      </c>
      <c r="U620">
        <v>2</v>
      </c>
      <c r="V620">
        <v>4</v>
      </c>
    </row>
    <row r="621" spans="1:22" x14ac:dyDescent="0.3">
      <c r="A621">
        <v>620</v>
      </c>
      <c r="B621">
        <v>26378</v>
      </c>
      <c r="C621" s="2">
        <v>35600</v>
      </c>
      <c r="D621">
        <v>28</v>
      </c>
      <c r="E621" t="s">
        <v>36</v>
      </c>
      <c r="F621" t="s">
        <v>37</v>
      </c>
      <c r="G621" s="2">
        <v>43581</v>
      </c>
      <c r="H621" s="3">
        <f t="shared" si="9"/>
        <v>6.8273972602739725</v>
      </c>
      <c r="I621">
        <v>104</v>
      </c>
      <c r="J621" t="s">
        <v>57</v>
      </c>
      <c r="K621" t="s">
        <v>54</v>
      </c>
      <c r="L621" t="s">
        <v>44</v>
      </c>
      <c r="M621">
        <v>22.55</v>
      </c>
      <c r="N621">
        <v>22.35</v>
      </c>
      <c r="O621">
        <v>22.12</v>
      </c>
      <c r="P621">
        <v>21.86</v>
      </c>
      <c r="Q621">
        <v>21.41</v>
      </c>
      <c r="R621">
        <v>21.02</v>
      </c>
      <c r="T621" t="s">
        <v>49</v>
      </c>
      <c r="U621">
        <v>5</v>
      </c>
      <c r="V621">
        <v>6</v>
      </c>
    </row>
    <row r="622" spans="1:22" x14ac:dyDescent="0.3">
      <c r="A622">
        <v>621</v>
      </c>
      <c r="B622">
        <v>26381</v>
      </c>
      <c r="C622" s="2">
        <v>35217</v>
      </c>
      <c r="D622">
        <v>30</v>
      </c>
      <c r="E622" t="s">
        <v>36</v>
      </c>
      <c r="F622" t="s">
        <v>50</v>
      </c>
      <c r="G622" s="2">
        <v>43530</v>
      </c>
      <c r="H622" s="3">
        <f t="shared" si="9"/>
        <v>6.7917808219178086</v>
      </c>
      <c r="I622">
        <v>105</v>
      </c>
      <c r="J622" t="s">
        <v>57</v>
      </c>
      <c r="K622" t="s">
        <v>55</v>
      </c>
      <c r="L622" t="s">
        <v>44</v>
      </c>
      <c r="M622">
        <v>17.05</v>
      </c>
      <c r="N622">
        <v>16.75</v>
      </c>
      <c r="O622">
        <v>16.45</v>
      </c>
      <c r="P622">
        <v>16.149999999999999</v>
      </c>
      <c r="Q622">
        <v>15.85</v>
      </c>
      <c r="R622">
        <v>15.55</v>
      </c>
      <c r="T622" t="s">
        <v>49</v>
      </c>
      <c r="U622">
        <v>1</v>
      </c>
      <c r="V622">
        <v>4</v>
      </c>
    </row>
    <row r="623" spans="1:22" x14ac:dyDescent="0.3">
      <c r="A623">
        <v>622</v>
      </c>
      <c r="B623">
        <v>26401</v>
      </c>
      <c r="C623" s="2">
        <v>33382</v>
      </c>
      <c r="D623">
        <v>34</v>
      </c>
      <c r="E623" t="s">
        <v>42</v>
      </c>
      <c r="F623" t="s">
        <v>50</v>
      </c>
      <c r="G623" s="2">
        <v>43543</v>
      </c>
      <c r="H623" s="3">
        <f t="shared" si="9"/>
        <v>6.7369863013698632</v>
      </c>
      <c r="I623">
        <v>117</v>
      </c>
      <c r="J623" t="s">
        <v>57</v>
      </c>
      <c r="K623" t="s">
        <v>56</v>
      </c>
      <c r="L623" t="s">
        <v>44</v>
      </c>
      <c r="M623">
        <v>8.41</v>
      </c>
      <c r="N623">
        <v>8.15</v>
      </c>
      <c r="O623">
        <v>8.15</v>
      </c>
      <c r="P623">
        <v>8</v>
      </c>
      <c r="Q623">
        <v>7.75</v>
      </c>
      <c r="R623">
        <v>7.49</v>
      </c>
      <c r="T623" t="s">
        <v>47</v>
      </c>
      <c r="U623">
        <v>1</v>
      </c>
      <c r="V623">
        <v>5</v>
      </c>
    </row>
    <row r="624" spans="1:22" x14ac:dyDescent="0.3">
      <c r="A624">
        <v>623</v>
      </c>
      <c r="B624">
        <v>26419</v>
      </c>
      <c r="C624" s="2">
        <v>35092</v>
      </c>
      <c r="D624">
        <v>29</v>
      </c>
      <c r="E624" t="s">
        <v>42</v>
      </c>
      <c r="F624" t="s">
        <v>50</v>
      </c>
      <c r="G624" s="2">
        <v>43563</v>
      </c>
      <c r="H624" s="3">
        <f t="shared" si="9"/>
        <v>5.9643835616438352</v>
      </c>
      <c r="I624">
        <v>129</v>
      </c>
      <c r="J624" t="s">
        <v>57</v>
      </c>
      <c r="K624" t="s">
        <v>43</v>
      </c>
      <c r="L624" t="s">
        <v>44</v>
      </c>
      <c r="M624">
        <v>15.97</v>
      </c>
      <c r="N624">
        <v>15.67</v>
      </c>
      <c r="O624">
        <v>15.37</v>
      </c>
      <c r="P624">
        <v>15.07</v>
      </c>
      <c r="Q624">
        <v>14.77</v>
      </c>
      <c r="R624">
        <v>14.47</v>
      </c>
      <c r="T624" t="s">
        <v>45</v>
      </c>
      <c r="U624">
        <v>0</v>
      </c>
      <c r="V624">
        <v>5</v>
      </c>
    </row>
    <row r="625" spans="1:22" x14ac:dyDescent="0.3">
      <c r="A625">
        <v>624</v>
      </c>
      <c r="B625">
        <v>26445</v>
      </c>
      <c r="C625" s="2">
        <v>36456</v>
      </c>
      <c r="D625">
        <v>26</v>
      </c>
      <c r="E625" t="s">
        <v>36</v>
      </c>
      <c r="F625" t="s">
        <v>37</v>
      </c>
      <c r="G625" s="2">
        <v>43845</v>
      </c>
      <c r="H625" s="3">
        <f t="shared" si="9"/>
        <v>6.3315068493150681</v>
      </c>
      <c r="I625">
        <v>145</v>
      </c>
      <c r="J625" t="s">
        <v>57</v>
      </c>
      <c r="K625" t="s">
        <v>64</v>
      </c>
      <c r="L625" t="s">
        <v>44</v>
      </c>
      <c r="M625">
        <v>13.94</v>
      </c>
      <c r="N625">
        <v>13.64</v>
      </c>
      <c r="O625">
        <v>13.34</v>
      </c>
      <c r="P625">
        <v>13.04</v>
      </c>
      <c r="Q625">
        <v>12.74</v>
      </c>
      <c r="T625" t="s">
        <v>47</v>
      </c>
      <c r="U625">
        <v>1</v>
      </c>
      <c r="V625">
        <v>4</v>
      </c>
    </row>
    <row r="626" spans="1:22" x14ac:dyDescent="0.3">
      <c r="A626">
        <v>625</v>
      </c>
      <c r="B626">
        <v>26447</v>
      </c>
      <c r="C626" s="2">
        <v>35597</v>
      </c>
      <c r="D626">
        <v>28</v>
      </c>
      <c r="E626" t="s">
        <v>36</v>
      </c>
      <c r="F626" t="s">
        <v>50</v>
      </c>
      <c r="G626" s="2">
        <v>43711</v>
      </c>
      <c r="H626" s="3">
        <f t="shared" si="9"/>
        <v>5.9287671232876713</v>
      </c>
      <c r="I626">
        <v>2</v>
      </c>
      <c r="J626" t="s">
        <v>38</v>
      </c>
      <c r="K626" t="s">
        <v>64</v>
      </c>
      <c r="L626" t="s">
        <v>44</v>
      </c>
      <c r="M626">
        <v>13.94</v>
      </c>
      <c r="N626">
        <v>13.64</v>
      </c>
      <c r="O626">
        <v>13.34</v>
      </c>
      <c r="P626">
        <v>13.04</v>
      </c>
      <c r="Q626">
        <v>12.74</v>
      </c>
      <c r="R626">
        <v>12.44</v>
      </c>
      <c r="T626" t="s">
        <v>47</v>
      </c>
      <c r="U626">
        <v>0</v>
      </c>
      <c r="V626">
        <v>5</v>
      </c>
    </row>
    <row r="627" spans="1:22" x14ac:dyDescent="0.3">
      <c r="A627">
        <v>626</v>
      </c>
      <c r="B627">
        <v>26461</v>
      </c>
      <c r="C627" s="2">
        <v>31778</v>
      </c>
      <c r="D627">
        <v>39</v>
      </c>
      <c r="E627" t="s">
        <v>36</v>
      </c>
      <c r="F627" t="s">
        <v>50</v>
      </c>
      <c r="G627" s="2">
        <v>43858</v>
      </c>
      <c r="H627" s="3">
        <f t="shared" si="9"/>
        <v>6.2356164383561641</v>
      </c>
      <c r="I627">
        <v>6</v>
      </c>
      <c r="J627" t="s">
        <v>38</v>
      </c>
      <c r="K627" t="s">
        <v>46</v>
      </c>
      <c r="L627" t="s">
        <v>44</v>
      </c>
      <c r="M627">
        <v>14.08</v>
      </c>
      <c r="N627">
        <v>13.78</v>
      </c>
      <c r="O627">
        <v>13.48</v>
      </c>
      <c r="P627">
        <v>13.18</v>
      </c>
      <c r="Q627">
        <v>12.88</v>
      </c>
      <c r="T627" t="s">
        <v>47</v>
      </c>
      <c r="U627">
        <v>0</v>
      </c>
      <c r="V627">
        <v>4</v>
      </c>
    </row>
    <row r="628" spans="1:22" x14ac:dyDescent="0.3">
      <c r="A628">
        <v>627</v>
      </c>
      <c r="B628">
        <v>26524</v>
      </c>
      <c r="C628" s="2">
        <v>35980</v>
      </c>
      <c r="D628">
        <v>27</v>
      </c>
      <c r="E628" t="s">
        <v>36</v>
      </c>
      <c r="F628" t="s">
        <v>37</v>
      </c>
      <c r="G628" s="2">
        <v>43746</v>
      </c>
      <c r="H628" s="3">
        <f t="shared" si="9"/>
        <v>5.8493150684931505</v>
      </c>
      <c r="I628">
        <v>24</v>
      </c>
      <c r="J628" t="s">
        <v>38</v>
      </c>
      <c r="K628" t="s">
        <v>46</v>
      </c>
      <c r="L628" t="s">
        <v>44</v>
      </c>
      <c r="M628">
        <v>14.08</v>
      </c>
      <c r="N628">
        <v>13.78</v>
      </c>
      <c r="O628">
        <v>13.48</v>
      </c>
      <c r="P628">
        <v>13.18</v>
      </c>
      <c r="Q628">
        <v>12.88</v>
      </c>
      <c r="R628">
        <v>12.58</v>
      </c>
      <c r="T628" t="s">
        <v>47</v>
      </c>
      <c r="U628">
        <v>1</v>
      </c>
      <c r="V628">
        <v>3</v>
      </c>
    </row>
    <row r="629" spans="1:22" x14ac:dyDescent="0.3">
      <c r="A629">
        <v>628</v>
      </c>
      <c r="B629">
        <v>26585</v>
      </c>
      <c r="C629" s="2">
        <v>34421</v>
      </c>
      <c r="D629">
        <v>31</v>
      </c>
      <c r="E629" t="s">
        <v>36</v>
      </c>
      <c r="F629" t="s">
        <v>50</v>
      </c>
      <c r="G629" s="2">
        <v>43887</v>
      </c>
      <c r="H629" s="3">
        <f t="shared" si="9"/>
        <v>6.7808219178082192</v>
      </c>
      <c r="I629">
        <v>38</v>
      </c>
      <c r="J629" t="s">
        <v>38</v>
      </c>
      <c r="K629" t="s">
        <v>55</v>
      </c>
      <c r="L629" t="s">
        <v>44</v>
      </c>
      <c r="M629">
        <v>17.05</v>
      </c>
      <c r="N629">
        <v>16.75</v>
      </c>
      <c r="O629">
        <v>16.45</v>
      </c>
      <c r="P629">
        <v>16.149999999999999</v>
      </c>
      <c r="Q629">
        <v>15.85</v>
      </c>
      <c r="T629" t="s">
        <v>47</v>
      </c>
      <c r="U629">
        <v>2</v>
      </c>
      <c r="V629">
        <v>3</v>
      </c>
    </row>
    <row r="630" spans="1:22" x14ac:dyDescent="0.3">
      <c r="A630">
        <v>629</v>
      </c>
      <c r="B630">
        <v>26592</v>
      </c>
      <c r="C630" s="2">
        <v>32089</v>
      </c>
      <c r="D630">
        <v>38</v>
      </c>
      <c r="E630" t="s">
        <v>36</v>
      </c>
      <c r="F630" t="s">
        <v>50</v>
      </c>
      <c r="G630" s="2">
        <v>43547</v>
      </c>
      <c r="H630" s="3">
        <f t="shared" si="9"/>
        <v>6.7808219178082192</v>
      </c>
      <c r="I630">
        <v>39</v>
      </c>
      <c r="J630" t="s">
        <v>38</v>
      </c>
      <c r="K630" t="s">
        <v>56</v>
      </c>
      <c r="L630" t="s">
        <v>44</v>
      </c>
      <c r="M630">
        <v>8.59</v>
      </c>
      <c r="N630">
        <v>8.3699999999999992</v>
      </c>
      <c r="O630">
        <v>8.1300000000000008</v>
      </c>
      <c r="P630">
        <v>7.87</v>
      </c>
      <c r="Q630">
        <v>7.65</v>
      </c>
      <c r="R630">
        <v>7.49</v>
      </c>
      <c r="T630" t="s">
        <v>52</v>
      </c>
      <c r="U630">
        <v>2</v>
      </c>
      <c r="V630">
        <v>4</v>
      </c>
    </row>
    <row r="631" spans="1:22" x14ac:dyDescent="0.3">
      <c r="A631">
        <v>630</v>
      </c>
      <c r="B631">
        <v>26607</v>
      </c>
      <c r="C631" s="2">
        <v>34667</v>
      </c>
      <c r="D631">
        <v>31</v>
      </c>
      <c r="E631" t="s">
        <v>36</v>
      </c>
      <c r="F631" t="s">
        <v>50</v>
      </c>
      <c r="G631" s="2">
        <v>43547</v>
      </c>
      <c r="H631" s="3">
        <f t="shared" si="9"/>
        <v>6.0547945205479454</v>
      </c>
      <c r="I631">
        <v>44</v>
      </c>
      <c r="J631" t="s">
        <v>38</v>
      </c>
      <c r="K631" t="s">
        <v>54</v>
      </c>
      <c r="L631" t="s">
        <v>44</v>
      </c>
      <c r="M631">
        <v>21.77</v>
      </c>
      <c r="N631">
        <v>21.62</v>
      </c>
      <c r="O631">
        <v>21.47</v>
      </c>
      <c r="P631">
        <v>21.32</v>
      </c>
      <c r="Q631">
        <v>21.17</v>
      </c>
      <c r="R631">
        <v>21.02</v>
      </c>
      <c r="T631" t="s">
        <v>52</v>
      </c>
      <c r="U631">
        <v>4</v>
      </c>
      <c r="V631">
        <v>5</v>
      </c>
    </row>
    <row r="632" spans="1:22" x14ac:dyDescent="0.3">
      <c r="A632">
        <v>631</v>
      </c>
      <c r="B632">
        <v>26681</v>
      </c>
      <c r="C632" s="2">
        <v>34940</v>
      </c>
      <c r="D632">
        <v>30</v>
      </c>
      <c r="E632" t="s">
        <v>42</v>
      </c>
      <c r="F632" t="s">
        <v>50</v>
      </c>
      <c r="G632" s="2">
        <v>43812</v>
      </c>
      <c r="H632" s="3">
        <f t="shared" si="9"/>
        <v>6.2191780821917808</v>
      </c>
      <c r="I632">
        <v>64</v>
      </c>
      <c r="J632" t="s">
        <v>38</v>
      </c>
      <c r="K632" t="s">
        <v>55</v>
      </c>
      <c r="L632" t="s">
        <v>44</v>
      </c>
      <c r="M632">
        <v>17.05</v>
      </c>
      <c r="N632">
        <v>16.75</v>
      </c>
      <c r="O632">
        <v>16.45</v>
      </c>
      <c r="P632">
        <v>16.149999999999999</v>
      </c>
      <c r="Q632">
        <v>15.85</v>
      </c>
      <c r="R632">
        <v>15.55</v>
      </c>
      <c r="T632" t="s">
        <v>49</v>
      </c>
      <c r="U632">
        <v>2</v>
      </c>
      <c r="V632">
        <v>7</v>
      </c>
    </row>
    <row r="633" spans="1:22" x14ac:dyDescent="0.3">
      <c r="A633">
        <v>632</v>
      </c>
      <c r="B633">
        <v>26744</v>
      </c>
      <c r="C633" s="2">
        <v>32957</v>
      </c>
      <c r="D633">
        <v>35</v>
      </c>
      <c r="E633" t="s">
        <v>36</v>
      </c>
      <c r="F633" t="s">
        <v>50</v>
      </c>
      <c r="G633" s="2">
        <v>43752</v>
      </c>
      <c r="H633" s="3">
        <f t="shared" si="9"/>
        <v>6.5835616438356164</v>
      </c>
      <c r="I633">
        <v>89</v>
      </c>
      <c r="J633" t="s">
        <v>57</v>
      </c>
      <c r="K633" t="s">
        <v>54</v>
      </c>
      <c r="L633" t="s">
        <v>44</v>
      </c>
      <c r="M633">
        <v>22.52</v>
      </c>
      <c r="N633">
        <v>22.22</v>
      </c>
      <c r="O633">
        <v>21.92</v>
      </c>
      <c r="P633">
        <v>21.62</v>
      </c>
      <c r="Q633">
        <v>21.32</v>
      </c>
      <c r="R633">
        <v>21.02</v>
      </c>
      <c r="T633" t="s">
        <v>49</v>
      </c>
      <c r="U633">
        <v>7</v>
      </c>
      <c r="V633">
        <v>7</v>
      </c>
    </row>
    <row r="634" spans="1:22" x14ac:dyDescent="0.3">
      <c r="A634">
        <v>633</v>
      </c>
      <c r="B634">
        <v>26829</v>
      </c>
      <c r="C634" s="2">
        <v>35538</v>
      </c>
      <c r="D634">
        <v>28</v>
      </c>
      <c r="E634" t="s">
        <v>42</v>
      </c>
      <c r="F634" t="s">
        <v>50</v>
      </c>
      <c r="G634" s="2">
        <v>43619</v>
      </c>
      <c r="H634" s="3">
        <f t="shared" si="9"/>
        <v>6.1780821917808222</v>
      </c>
      <c r="I634">
        <v>118</v>
      </c>
      <c r="J634" t="s">
        <v>57</v>
      </c>
      <c r="K634" t="s">
        <v>46</v>
      </c>
      <c r="L634" t="s">
        <v>44</v>
      </c>
      <c r="M634">
        <v>14.08</v>
      </c>
      <c r="N634">
        <v>13.78</v>
      </c>
      <c r="O634">
        <v>13.48</v>
      </c>
      <c r="P634">
        <v>13.18</v>
      </c>
      <c r="Q634">
        <v>12.88</v>
      </c>
      <c r="R634">
        <v>12.58</v>
      </c>
      <c r="T634" t="s">
        <v>52</v>
      </c>
      <c r="U634">
        <v>0</v>
      </c>
      <c r="V634">
        <v>5</v>
      </c>
    </row>
    <row r="635" spans="1:22" x14ac:dyDescent="0.3">
      <c r="A635">
        <v>634</v>
      </c>
      <c r="B635">
        <v>26844</v>
      </c>
      <c r="C635" s="2">
        <v>35832</v>
      </c>
      <c r="D635">
        <v>27</v>
      </c>
      <c r="E635" t="s">
        <v>42</v>
      </c>
      <c r="F635" t="s">
        <v>50</v>
      </c>
      <c r="G635" s="2">
        <v>43767</v>
      </c>
      <c r="H635" s="3">
        <f t="shared" si="9"/>
        <v>6.6383561643835618</v>
      </c>
      <c r="I635">
        <v>127</v>
      </c>
      <c r="J635" t="s">
        <v>57</v>
      </c>
      <c r="K635" t="s">
        <v>43</v>
      </c>
      <c r="L635" t="s">
        <v>44</v>
      </c>
      <c r="M635">
        <v>14.92</v>
      </c>
      <c r="N635">
        <v>14.92</v>
      </c>
      <c r="O635">
        <v>14.77</v>
      </c>
      <c r="P635">
        <v>14.77</v>
      </c>
      <c r="Q635">
        <v>14.62</v>
      </c>
      <c r="R635">
        <v>14.47</v>
      </c>
      <c r="T635" t="s">
        <v>47</v>
      </c>
      <c r="U635">
        <v>2</v>
      </c>
      <c r="V635">
        <v>5</v>
      </c>
    </row>
    <row r="636" spans="1:22" x14ac:dyDescent="0.3">
      <c r="A636">
        <v>635</v>
      </c>
      <c r="B636">
        <v>26877</v>
      </c>
      <c r="C636" s="2">
        <v>36409</v>
      </c>
      <c r="D636">
        <v>26</v>
      </c>
      <c r="E636" t="s">
        <v>36</v>
      </c>
      <c r="F636" t="s">
        <v>50</v>
      </c>
      <c r="G636" s="2">
        <v>43599</v>
      </c>
      <c r="H636" s="3">
        <f t="shared" si="9"/>
        <v>6.0082191780821921</v>
      </c>
      <c r="I636">
        <v>139</v>
      </c>
      <c r="J636" t="s">
        <v>57</v>
      </c>
      <c r="K636" t="s">
        <v>43</v>
      </c>
      <c r="L636" t="s">
        <v>44</v>
      </c>
      <c r="M636">
        <v>15.97</v>
      </c>
      <c r="N636">
        <v>15.67</v>
      </c>
      <c r="O636">
        <v>15.37</v>
      </c>
      <c r="P636">
        <v>15.07</v>
      </c>
      <c r="Q636">
        <v>14.77</v>
      </c>
      <c r="R636">
        <v>14.47</v>
      </c>
      <c r="T636" t="s">
        <v>47</v>
      </c>
      <c r="U636">
        <v>0</v>
      </c>
      <c r="V636">
        <v>5</v>
      </c>
    </row>
    <row r="637" spans="1:22" x14ac:dyDescent="0.3">
      <c r="A637">
        <v>636</v>
      </c>
      <c r="B637">
        <v>26892</v>
      </c>
      <c r="C637" s="2">
        <v>33143</v>
      </c>
      <c r="D637">
        <v>35</v>
      </c>
      <c r="E637" t="s">
        <v>36</v>
      </c>
      <c r="F637" t="s">
        <v>50</v>
      </c>
      <c r="G637" s="2">
        <v>43829</v>
      </c>
      <c r="H637" s="3">
        <f t="shared" si="9"/>
        <v>6.3369863013698629</v>
      </c>
      <c r="I637">
        <v>145</v>
      </c>
      <c r="J637" t="s">
        <v>57</v>
      </c>
      <c r="K637" t="s">
        <v>55</v>
      </c>
      <c r="L637" t="s">
        <v>44</v>
      </c>
      <c r="M637">
        <v>17.05</v>
      </c>
      <c r="N637">
        <v>16.75</v>
      </c>
      <c r="O637">
        <v>16.45</v>
      </c>
      <c r="P637">
        <v>16.149999999999999</v>
      </c>
      <c r="Q637">
        <v>15.85</v>
      </c>
      <c r="R637">
        <v>15.55</v>
      </c>
      <c r="T637" t="s">
        <v>52</v>
      </c>
      <c r="U637">
        <v>4</v>
      </c>
      <c r="V637">
        <v>5</v>
      </c>
    </row>
    <row r="638" spans="1:22" x14ac:dyDescent="0.3">
      <c r="A638">
        <v>637</v>
      </c>
      <c r="B638">
        <v>26915</v>
      </c>
      <c r="C638" s="2">
        <v>32978</v>
      </c>
      <c r="D638">
        <v>35</v>
      </c>
      <c r="E638" t="s">
        <v>42</v>
      </c>
      <c r="F638" t="s">
        <v>50</v>
      </c>
      <c r="G638" s="2">
        <v>43709</v>
      </c>
      <c r="H638" s="3">
        <f t="shared" si="9"/>
        <v>6.2219178082191782</v>
      </c>
      <c r="I638">
        <v>2</v>
      </c>
      <c r="J638" t="s">
        <v>38</v>
      </c>
      <c r="K638" t="s">
        <v>68</v>
      </c>
      <c r="L638" t="s">
        <v>44</v>
      </c>
      <c r="M638">
        <v>16.02</v>
      </c>
      <c r="N638">
        <v>15.82</v>
      </c>
      <c r="O638">
        <v>15.62</v>
      </c>
      <c r="P638">
        <v>15.42</v>
      </c>
      <c r="Q638">
        <v>15.22</v>
      </c>
      <c r="R638">
        <v>15.02</v>
      </c>
      <c r="T638" t="s">
        <v>47</v>
      </c>
      <c r="U638">
        <v>4</v>
      </c>
      <c r="V638">
        <v>7</v>
      </c>
    </row>
    <row r="639" spans="1:22" x14ac:dyDescent="0.3">
      <c r="A639">
        <v>638</v>
      </c>
      <c r="B639">
        <v>26952</v>
      </c>
      <c r="C639" s="2">
        <v>36253</v>
      </c>
      <c r="D639">
        <v>26</v>
      </c>
      <c r="E639" t="s">
        <v>36</v>
      </c>
      <c r="F639" t="s">
        <v>37</v>
      </c>
      <c r="G639" s="2">
        <v>43751</v>
      </c>
      <c r="H639" s="3">
        <f t="shared" si="9"/>
        <v>6.7808219178082192</v>
      </c>
      <c r="I639">
        <v>3</v>
      </c>
      <c r="J639" t="s">
        <v>38</v>
      </c>
      <c r="K639" t="s">
        <v>54</v>
      </c>
      <c r="L639" t="s">
        <v>44</v>
      </c>
      <c r="M639">
        <v>22.52</v>
      </c>
      <c r="N639">
        <v>22.22</v>
      </c>
      <c r="O639">
        <v>21.92</v>
      </c>
      <c r="P639">
        <v>21.62</v>
      </c>
      <c r="Q639">
        <v>21.32</v>
      </c>
      <c r="R639">
        <v>21.02</v>
      </c>
      <c r="T639" t="s">
        <v>52</v>
      </c>
      <c r="U639">
        <v>4</v>
      </c>
      <c r="V639">
        <v>4</v>
      </c>
    </row>
    <row r="640" spans="1:22" x14ac:dyDescent="0.3">
      <c r="A640">
        <v>639</v>
      </c>
      <c r="B640">
        <v>26956</v>
      </c>
      <c r="C640" s="2">
        <v>35528</v>
      </c>
      <c r="D640">
        <v>28</v>
      </c>
      <c r="E640" t="s">
        <v>42</v>
      </c>
      <c r="F640" t="s">
        <v>50</v>
      </c>
      <c r="G640" s="2">
        <v>43547</v>
      </c>
      <c r="H640" s="3">
        <f t="shared" si="9"/>
        <v>6.3863013698630136</v>
      </c>
      <c r="I640">
        <v>3</v>
      </c>
      <c r="J640" t="s">
        <v>38</v>
      </c>
      <c r="K640" t="s">
        <v>56</v>
      </c>
      <c r="L640" t="s">
        <v>44</v>
      </c>
      <c r="M640">
        <v>8.49</v>
      </c>
      <c r="N640">
        <v>8.2899999999999991</v>
      </c>
      <c r="O640">
        <v>8.09</v>
      </c>
      <c r="P640">
        <v>7.89</v>
      </c>
      <c r="Q640">
        <v>7.69</v>
      </c>
      <c r="R640">
        <v>7.49</v>
      </c>
      <c r="T640" t="s">
        <v>47</v>
      </c>
      <c r="U640">
        <v>1</v>
      </c>
      <c r="V640">
        <v>6</v>
      </c>
    </row>
    <row r="641" spans="1:22" x14ac:dyDescent="0.3">
      <c r="A641">
        <v>640</v>
      </c>
      <c r="B641">
        <v>26979</v>
      </c>
      <c r="C641" s="2">
        <v>32821</v>
      </c>
      <c r="D641">
        <v>36</v>
      </c>
      <c r="E641" t="s">
        <v>42</v>
      </c>
      <c r="F641" t="s">
        <v>37</v>
      </c>
      <c r="G641" s="2">
        <v>43691</v>
      </c>
      <c r="H641" s="3">
        <f t="shared" si="9"/>
        <v>6.493150684931507</v>
      </c>
      <c r="I641">
        <v>4</v>
      </c>
      <c r="J641" t="s">
        <v>38</v>
      </c>
      <c r="K641" t="s">
        <v>55</v>
      </c>
      <c r="L641" t="s">
        <v>44</v>
      </c>
      <c r="M641">
        <v>17.05</v>
      </c>
      <c r="N641">
        <v>16.75</v>
      </c>
      <c r="O641">
        <v>16.45</v>
      </c>
      <c r="P641">
        <v>16.149999999999999</v>
      </c>
      <c r="Q641">
        <v>15.85</v>
      </c>
      <c r="R641">
        <v>15.55</v>
      </c>
      <c r="T641" t="s">
        <v>47</v>
      </c>
      <c r="U641">
        <v>4</v>
      </c>
      <c r="V641">
        <v>6</v>
      </c>
    </row>
    <row r="642" spans="1:22" x14ac:dyDescent="0.3">
      <c r="A642">
        <v>641</v>
      </c>
      <c r="B642">
        <v>27108</v>
      </c>
      <c r="C642" s="2">
        <v>35022</v>
      </c>
      <c r="D642">
        <v>30</v>
      </c>
      <c r="E642" t="s">
        <v>36</v>
      </c>
      <c r="F642" t="s">
        <v>50</v>
      </c>
      <c r="G642" s="2">
        <v>43652</v>
      </c>
      <c r="H642" s="3">
        <f t="shared" si="9"/>
        <v>6.2410958904109588</v>
      </c>
      <c r="I642">
        <v>9</v>
      </c>
      <c r="J642" t="s">
        <v>38</v>
      </c>
      <c r="K642" t="s">
        <v>65</v>
      </c>
      <c r="L642" t="s">
        <v>44</v>
      </c>
      <c r="M642">
        <v>10.41</v>
      </c>
      <c r="N642">
        <v>10.210000000000001</v>
      </c>
      <c r="O642">
        <v>10.01</v>
      </c>
      <c r="P642">
        <v>9.81</v>
      </c>
      <c r="Q642">
        <v>9.61</v>
      </c>
      <c r="R642">
        <v>9.41</v>
      </c>
      <c r="T642" t="s">
        <v>49</v>
      </c>
      <c r="U642">
        <v>1</v>
      </c>
      <c r="V642">
        <v>4</v>
      </c>
    </row>
    <row r="643" spans="1:22" x14ac:dyDescent="0.3">
      <c r="A643">
        <v>642</v>
      </c>
      <c r="B643">
        <v>27134</v>
      </c>
      <c r="C643" s="2">
        <v>36086</v>
      </c>
      <c r="D643">
        <v>27</v>
      </c>
      <c r="E643" t="s">
        <v>42</v>
      </c>
      <c r="F643" t="s">
        <v>37</v>
      </c>
      <c r="G643" s="2">
        <v>43744</v>
      </c>
      <c r="H643" s="3">
        <f t="shared" ref="H643:H706" si="10">DATEDIF(G644,DATE(2025,12,31),"d")/365</f>
        <v>5.8794520547945206</v>
      </c>
      <c r="I643">
        <v>10</v>
      </c>
      <c r="J643" t="s">
        <v>38</v>
      </c>
      <c r="K643" t="s">
        <v>65</v>
      </c>
      <c r="L643" t="s">
        <v>44</v>
      </c>
      <c r="M643">
        <v>10.41</v>
      </c>
      <c r="N643">
        <v>10.210000000000001</v>
      </c>
      <c r="O643">
        <v>10.01</v>
      </c>
      <c r="P643">
        <v>9.81</v>
      </c>
      <c r="Q643">
        <v>9.61</v>
      </c>
      <c r="R643">
        <v>9.41</v>
      </c>
      <c r="T643" t="s">
        <v>47</v>
      </c>
      <c r="U643">
        <v>1</v>
      </c>
      <c r="V643">
        <v>5</v>
      </c>
    </row>
    <row r="644" spans="1:22" x14ac:dyDescent="0.3">
      <c r="A644">
        <v>643</v>
      </c>
      <c r="B644">
        <v>27256</v>
      </c>
      <c r="C644" s="2">
        <v>34791</v>
      </c>
      <c r="D644">
        <v>30</v>
      </c>
      <c r="E644" t="s">
        <v>36</v>
      </c>
      <c r="F644" t="s">
        <v>50</v>
      </c>
      <c r="G644" s="2">
        <v>43876</v>
      </c>
      <c r="H644" s="3">
        <f t="shared" si="10"/>
        <v>5.9205479452054792</v>
      </c>
      <c r="I644">
        <v>14</v>
      </c>
      <c r="J644" t="s">
        <v>38</v>
      </c>
      <c r="K644" t="s">
        <v>65</v>
      </c>
      <c r="L644" t="s">
        <v>44</v>
      </c>
      <c r="M644">
        <v>10.41</v>
      </c>
      <c r="N644">
        <v>10.210000000000001</v>
      </c>
      <c r="O644">
        <v>10.01</v>
      </c>
      <c r="P644">
        <v>9.81</v>
      </c>
      <c r="Q644">
        <v>9.61</v>
      </c>
      <c r="T644" t="s">
        <v>47</v>
      </c>
      <c r="U644">
        <v>0</v>
      </c>
      <c r="V644">
        <v>4</v>
      </c>
    </row>
    <row r="645" spans="1:22" x14ac:dyDescent="0.3">
      <c r="A645">
        <v>644</v>
      </c>
      <c r="B645">
        <v>27327</v>
      </c>
      <c r="C645" s="2">
        <v>35834</v>
      </c>
      <c r="D645">
        <v>27</v>
      </c>
      <c r="E645" t="s">
        <v>42</v>
      </c>
      <c r="F645" t="s">
        <v>50</v>
      </c>
      <c r="G645" s="2">
        <v>43861</v>
      </c>
      <c r="H645" s="3">
        <f t="shared" si="10"/>
        <v>5.9863013698630141</v>
      </c>
      <c r="I645">
        <v>16</v>
      </c>
      <c r="J645" t="s">
        <v>38</v>
      </c>
      <c r="K645" t="s">
        <v>55</v>
      </c>
      <c r="L645" t="s">
        <v>44</v>
      </c>
      <c r="M645">
        <v>17.05</v>
      </c>
      <c r="N645">
        <v>16.75</v>
      </c>
      <c r="O645">
        <v>16.45</v>
      </c>
      <c r="P645">
        <v>16.149999999999999</v>
      </c>
      <c r="Q645">
        <v>15.85</v>
      </c>
      <c r="T645" t="s">
        <v>47</v>
      </c>
      <c r="U645">
        <v>2</v>
      </c>
      <c r="V645">
        <v>4</v>
      </c>
    </row>
    <row r="646" spans="1:22" x14ac:dyDescent="0.3">
      <c r="A646">
        <v>645</v>
      </c>
      <c r="B646">
        <v>27358</v>
      </c>
      <c r="C646" s="2">
        <v>35056</v>
      </c>
      <c r="D646">
        <v>30</v>
      </c>
      <c r="E646" t="s">
        <v>36</v>
      </c>
      <c r="F646" t="s">
        <v>50</v>
      </c>
      <c r="G646" s="2">
        <v>43837</v>
      </c>
      <c r="H646" s="3">
        <f t="shared" si="10"/>
        <v>6.0410958904109586</v>
      </c>
      <c r="I646">
        <v>17</v>
      </c>
      <c r="J646" t="s">
        <v>38</v>
      </c>
      <c r="K646" t="s">
        <v>54</v>
      </c>
      <c r="L646" t="s">
        <v>44</v>
      </c>
      <c r="M646">
        <v>22.52</v>
      </c>
      <c r="N646">
        <v>22.22</v>
      </c>
      <c r="O646">
        <v>21.92</v>
      </c>
      <c r="P646">
        <v>21.62</v>
      </c>
      <c r="Q646">
        <v>21.32</v>
      </c>
      <c r="T646" t="s">
        <v>47</v>
      </c>
      <c r="U646">
        <v>3</v>
      </c>
      <c r="V646">
        <v>5</v>
      </c>
    </row>
    <row r="647" spans="1:22" x14ac:dyDescent="0.3">
      <c r="A647">
        <v>646</v>
      </c>
      <c r="B647">
        <v>27420</v>
      </c>
      <c r="C647" s="2">
        <v>36367</v>
      </c>
      <c r="D647">
        <v>26</v>
      </c>
      <c r="E647" t="s">
        <v>42</v>
      </c>
      <c r="F647" t="s">
        <v>37</v>
      </c>
      <c r="G647" s="2">
        <v>43817</v>
      </c>
      <c r="H647" s="3">
        <f t="shared" si="10"/>
        <v>5.9397260273972599</v>
      </c>
      <c r="I647">
        <v>19</v>
      </c>
      <c r="J647" t="s">
        <v>38</v>
      </c>
      <c r="K647" t="s">
        <v>56</v>
      </c>
      <c r="L647" t="s">
        <v>44</v>
      </c>
      <c r="M647">
        <v>8.6199999999999992</v>
      </c>
      <c r="N647">
        <v>8.48</v>
      </c>
      <c r="O647">
        <v>8.3000000000000007</v>
      </c>
      <c r="P647">
        <v>8.02</v>
      </c>
      <c r="Q647">
        <v>7.76</v>
      </c>
      <c r="R647">
        <v>7.49</v>
      </c>
      <c r="T647" t="s">
        <v>49</v>
      </c>
      <c r="U647">
        <v>4</v>
      </c>
      <c r="V647">
        <v>6</v>
      </c>
    </row>
    <row r="648" spans="1:22" x14ac:dyDescent="0.3">
      <c r="A648">
        <v>647</v>
      </c>
      <c r="B648">
        <v>27456</v>
      </c>
      <c r="C648" s="2">
        <v>35131</v>
      </c>
      <c r="D648">
        <v>29</v>
      </c>
      <c r="E648" t="s">
        <v>36</v>
      </c>
      <c r="F648" t="s">
        <v>37</v>
      </c>
      <c r="G648" s="2">
        <v>43854</v>
      </c>
      <c r="H648" s="3">
        <f t="shared" si="10"/>
        <v>6.6191780821917812</v>
      </c>
      <c r="I648">
        <v>21</v>
      </c>
      <c r="J648" t="s">
        <v>38</v>
      </c>
      <c r="K648" t="s">
        <v>43</v>
      </c>
      <c r="L648" t="s">
        <v>44</v>
      </c>
      <c r="M648">
        <v>15.97</v>
      </c>
      <c r="N648">
        <v>15.67</v>
      </c>
      <c r="O648">
        <v>15.37</v>
      </c>
      <c r="P648">
        <v>15.07</v>
      </c>
      <c r="Q648">
        <v>14.77</v>
      </c>
      <c r="T648" t="s">
        <v>49</v>
      </c>
      <c r="U648">
        <v>1</v>
      </c>
      <c r="V648">
        <v>5</v>
      </c>
    </row>
    <row r="649" spans="1:22" x14ac:dyDescent="0.3">
      <c r="A649">
        <v>648</v>
      </c>
      <c r="B649">
        <v>27458</v>
      </c>
      <c r="C649" s="2">
        <v>34496</v>
      </c>
      <c r="D649">
        <v>31</v>
      </c>
      <c r="E649" t="s">
        <v>36</v>
      </c>
      <c r="F649" t="s">
        <v>50</v>
      </c>
      <c r="G649" s="2">
        <v>43606</v>
      </c>
      <c r="H649" s="3">
        <f t="shared" si="10"/>
        <v>6.2904109589041095</v>
      </c>
      <c r="I649">
        <v>21</v>
      </c>
      <c r="J649" t="s">
        <v>38</v>
      </c>
      <c r="K649" t="s">
        <v>46</v>
      </c>
      <c r="L649" t="s">
        <v>44</v>
      </c>
      <c r="M649">
        <v>14.08</v>
      </c>
      <c r="N649">
        <v>13.78</v>
      </c>
      <c r="O649">
        <v>13.48</v>
      </c>
      <c r="P649">
        <v>13.18</v>
      </c>
      <c r="Q649">
        <v>12.88</v>
      </c>
      <c r="R649">
        <v>12.58</v>
      </c>
      <c r="T649" t="s">
        <v>52</v>
      </c>
      <c r="U649">
        <v>1</v>
      </c>
      <c r="V649">
        <v>4</v>
      </c>
    </row>
    <row r="650" spans="1:22" x14ac:dyDescent="0.3">
      <c r="A650">
        <v>649</v>
      </c>
      <c r="B650">
        <v>27486</v>
      </c>
      <c r="C650" s="2">
        <v>35267</v>
      </c>
      <c r="D650">
        <v>29</v>
      </c>
      <c r="E650" t="s">
        <v>36</v>
      </c>
      <c r="F650" t="s">
        <v>50</v>
      </c>
      <c r="G650" s="2">
        <v>43726</v>
      </c>
      <c r="H650" s="3">
        <f t="shared" si="10"/>
        <v>6.4493150684931511</v>
      </c>
      <c r="I650">
        <v>22</v>
      </c>
      <c r="J650" t="s">
        <v>38</v>
      </c>
      <c r="K650" t="s">
        <v>65</v>
      </c>
      <c r="L650" t="s">
        <v>44</v>
      </c>
      <c r="M650">
        <v>9.81</v>
      </c>
      <c r="N650">
        <v>9.7100000000000009</v>
      </c>
      <c r="O650">
        <v>9.7100000000000009</v>
      </c>
      <c r="P650">
        <v>9.61</v>
      </c>
      <c r="Q650">
        <v>9.51</v>
      </c>
      <c r="R650">
        <v>9.41</v>
      </c>
      <c r="T650" t="s">
        <v>52</v>
      </c>
      <c r="U650">
        <v>1</v>
      </c>
      <c r="V650">
        <v>4</v>
      </c>
    </row>
    <row r="651" spans="1:22" x14ac:dyDescent="0.3">
      <c r="A651">
        <v>650</v>
      </c>
      <c r="B651">
        <v>27551</v>
      </c>
      <c r="C651" s="2">
        <v>35216</v>
      </c>
      <c r="D651">
        <v>29</v>
      </c>
      <c r="E651" t="s">
        <v>36</v>
      </c>
      <c r="F651" t="s">
        <v>50</v>
      </c>
      <c r="G651" s="2">
        <v>43668</v>
      </c>
      <c r="H651" s="3">
        <f t="shared" si="10"/>
        <v>6.6410958904109592</v>
      </c>
      <c r="I651">
        <v>24</v>
      </c>
      <c r="J651" t="s">
        <v>38</v>
      </c>
      <c r="K651" t="s">
        <v>65</v>
      </c>
      <c r="L651" t="s">
        <v>44</v>
      </c>
      <c r="M651">
        <v>10.41</v>
      </c>
      <c r="N651">
        <v>10.210000000000001</v>
      </c>
      <c r="O651">
        <v>10.01</v>
      </c>
      <c r="P651">
        <v>9.81</v>
      </c>
      <c r="Q651">
        <v>9.61</v>
      </c>
      <c r="R651">
        <v>9.41</v>
      </c>
      <c r="T651" t="s">
        <v>45</v>
      </c>
      <c r="U651">
        <v>1</v>
      </c>
      <c r="V651">
        <v>4</v>
      </c>
    </row>
    <row r="652" spans="1:22" x14ac:dyDescent="0.3">
      <c r="A652">
        <v>651</v>
      </c>
      <c r="B652">
        <v>27731</v>
      </c>
      <c r="C652" s="2">
        <v>36489</v>
      </c>
      <c r="D652">
        <v>26</v>
      </c>
      <c r="E652" t="s">
        <v>42</v>
      </c>
      <c r="F652" t="s">
        <v>50</v>
      </c>
      <c r="G652" s="2">
        <v>43598</v>
      </c>
      <c r="H652" s="3">
        <f t="shared" si="10"/>
        <v>6.5643835616438357</v>
      </c>
      <c r="I652">
        <v>29</v>
      </c>
      <c r="J652" t="s">
        <v>38</v>
      </c>
      <c r="K652" t="s">
        <v>43</v>
      </c>
      <c r="L652" t="s">
        <v>44</v>
      </c>
      <c r="M652">
        <v>14.92</v>
      </c>
      <c r="N652">
        <v>14.77</v>
      </c>
      <c r="O652">
        <v>14.62</v>
      </c>
      <c r="P652">
        <v>14.62</v>
      </c>
      <c r="Q652">
        <v>14.47</v>
      </c>
      <c r="R652">
        <v>14.47</v>
      </c>
      <c r="T652" t="s">
        <v>47</v>
      </c>
      <c r="U652">
        <v>1</v>
      </c>
      <c r="V652">
        <v>6</v>
      </c>
    </row>
    <row r="653" spans="1:22" x14ac:dyDescent="0.3">
      <c r="A653">
        <v>652</v>
      </c>
      <c r="B653">
        <v>27925</v>
      </c>
      <c r="C653" s="2">
        <v>36124</v>
      </c>
      <c r="D653">
        <v>27</v>
      </c>
      <c r="E653" t="s">
        <v>42</v>
      </c>
      <c r="F653" t="s">
        <v>50</v>
      </c>
      <c r="G653" s="2">
        <v>43626</v>
      </c>
      <c r="H653" s="3">
        <f t="shared" si="10"/>
        <v>6.6849315068493151</v>
      </c>
      <c r="I653">
        <v>36</v>
      </c>
      <c r="J653" t="s">
        <v>38</v>
      </c>
      <c r="K653" t="s">
        <v>64</v>
      </c>
      <c r="L653" t="s">
        <v>44</v>
      </c>
      <c r="M653">
        <v>13.94</v>
      </c>
      <c r="N653">
        <v>13.64</v>
      </c>
      <c r="O653">
        <v>13.34</v>
      </c>
      <c r="P653">
        <v>13.04</v>
      </c>
      <c r="Q653">
        <v>12.74</v>
      </c>
      <c r="R653">
        <v>12.44</v>
      </c>
      <c r="T653" t="s">
        <v>49</v>
      </c>
      <c r="U653">
        <v>1</v>
      </c>
      <c r="V653">
        <v>6</v>
      </c>
    </row>
    <row r="654" spans="1:22" x14ac:dyDescent="0.3">
      <c r="A654">
        <v>653</v>
      </c>
      <c r="B654">
        <v>27974</v>
      </c>
      <c r="C654" s="2">
        <v>30220</v>
      </c>
      <c r="D654">
        <v>43</v>
      </c>
      <c r="E654" t="s">
        <v>42</v>
      </c>
      <c r="F654" t="s">
        <v>50</v>
      </c>
      <c r="G654" s="2">
        <v>43582</v>
      </c>
      <c r="H654" s="3">
        <f t="shared" si="10"/>
        <v>6.4602739726027396</v>
      </c>
      <c r="I654">
        <v>38</v>
      </c>
      <c r="J654" t="s">
        <v>38</v>
      </c>
      <c r="K654" t="s">
        <v>54</v>
      </c>
      <c r="L654" t="s">
        <v>44</v>
      </c>
      <c r="M654">
        <v>22.52</v>
      </c>
      <c r="N654">
        <v>22.22</v>
      </c>
      <c r="O654">
        <v>21.92</v>
      </c>
      <c r="P654">
        <v>21.62</v>
      </c>
      <c r="Q654">
        <v>21.32</v>
      </c>
      <c r="R654">
        <v>21.02</v>
      </c>
      <c r="T654" t="s">
        <v>49</v>
      </c>
      <c r="U654">
        <v>5</v>
      </c>
      <c r="V654">
        <v>7</v>
      </c>
    </row>
    <row r="655" spans="1:22" x14ac:dyDescent="0.3">
      <c r="A655">
        <v>654</v>
      </c>
      <c r="B655">
        <v>28000</v>
      </c>
      <c r="C655" s="2">
        <v>35371</v>
      </c>
      <c r="D655">
        <v>29</v>
      </c>
      <c r="E655" t="s">
        <v>42</v>
      </c>
      <c r="F655" t="s">
        <v>50</v>
      </c>
      <c r="G655" s="2">
        <v>43664</v>
      </c>
      <c r="H655" s="3">
        <f t="shared" si="10"/>
        <v>6.0904109589041093</v>
      </c>
      <c r="I655">
        <v>39</v>
      </c>
      <c r="J655" t="s">
        <v>38</v>
      </c>
      <c r="K655" t="s">
        <v>55</v>
      </c>
      <c r="L655" t="s">
        <v>44</v>
      </c>
      <c r="M655">
        <v>16.600000000000001</v>
      </c>
      <c r="N655">
        <v>16.45</v>
      </c>
      <c r="O655">
        <v>16.11</v>
      </c>
      <c r="P655">
        <v>15.9</v>
      </c>
      <c r="Q655">
        <v>15.9</v>
      </c>
      <c r="R655">
        <v>15.55</v>
      </c>
      <c r="T655" t="s">
        <v>47</v>
      </c>
      <c r="U655">
        <v>4</v>
      </c>
      <c r="V655">
        <v>7</v>
      </c>
    </row>
    <row r="656" spans="1:22" x14ac:dyDescent="0.3">
      <c r="A656">
        <v>655</v>
      </c>
      <c r="B656">
        <v>28279</v>
      </c>
      <c r="C656" s="2">
        <v>36144</v>
      </c>
      <c r="D656">
        <v>27</v>
      </c>
      <c r="E656" t="s">
        <v>36</v>
      </c>
      <c r="F656" t="s">
        <v>50</v>
      </c>
      <c r="G656" s="2">
        <v>43799</v>
      </c>
      <c r="H656" s="3">
        <f t="shared" si="10"/>
        <v>6.1123287671232873</v>
      </c>
      <c r="I656">
        <v>49</v>
      </c>
      <c r="J656" t="s">
        <v>38</v>
      </c>
      <c r="K656" t="s">
        <v>65</v>
      </c>
      <c r="L656" t="s">
        <v>44</v>
      </c>
      <c r="M656">
        <v>10.09</v>
      </c>
      <c r="N656">
        <v>10.09</v>
      </c>
      <c r="O656">
        <v>9.9499999999999993</v>
      </c>
      <c r="P656">
        <v>9.67</v>
      </c>
      <c r="Q656">
        <v>9.67</v>
      </c>
      <c r="R656">
        <v>9.41</v>
      </c>
      <c r="T656" t="s">
        <v>47</v>
      </c>
      <c r="U656">
        <v>1</v>
      </c>
      <c r="V656">
        <v>5</v>
      </c>
    </row>
    <row r="657" spans="1:33" x14ac:dyDescent="0.3">
      <c r="A657">
        <v>656</v>
      </c>
      <c r="B657">
        <v>28823</v>
      </c>
      <c r="C657" s="2">
        <v>36001</v>
      </c>
      <c r="D657">
        <v>27</v>
      </c>
      <c r="E657" t="s">
        <v>36</v>
      </c>
      <c r="F657" t="s">
        <v>50</v>
      </c>
      <c r="G657" s="2">
        <v>43791</v>
      </c>
      <c r="H657" s="3">
        <f t="shared" si="10"/>
        <v>6.0027397260273974</v>
      </c>
      <c r="I657">
        <v>67</v>
      </c>
      <c r="J657" t="s">
        <v>57</v>
      </c>
      <c r="K657" t="s">
        <v>65</v>
      </c>
      <c r="L657" t="s">
        <v>44</v>
      </c>
      <c r="M657">
        <v>10.37</v>
      </c>
      <c r="N657">
        <v>10.15</v>
      </c>
      <c r="O657">
        <v>10.15</v>
      </c>
      <c r="P657">
        <v>9.99</v>
      </c>
      <c r="Q657">
        <v>9.7100000000000009</v>
      </c>
      <c r="R657">
        <v>9.41</v>
      </c>
      <c r="T657" t="s">
        <v>47</v>
      </c>
      <c r="U657">
        <v>1</v>
      </c>
      <c r="V657">
        <v>4</v>
      </c>
    </row>
    <row r="658" spans="1:33" x14ac:dyDescent="0.3">
      <c r="A658">
        <v>657</v>
      </c>
      <c r="B658">
        <v>29018</v>
      </c>
      <c r="C658" s="2">
        <v>36241</v>
      </c>
      <c r="D658">
        <v>26</v>
      </c>
      <c r="E658" t="s">
        <v>36</v>
      </c>
      <c r="F658" t="s">
        <v>37</v>
      </c>
      <c r="G658" s="2">
        <v>43831</v>
      </c>
      <c r="H658" s="3">
        <f t="shared" si="10"/>
        <v>6.3369863013698629</v>
      </c>
      <c r="I658">
        <v>77</v>
      </c>
      <c r="J658" t="s">
        <v>57</v>
      </c>
      <c r="K658" t="s">
        <v>43</v>
      </c>
      <c r="L658" t="s">
        <v>44</v>
      </c>
      <c r="M658">
        <v>15.97</v>
      </c>
      <c r="N658">
        <v>15.67</v>
      </c>
      <c r="O658">
        <v>15.37</v>
      </c>
      <c r="P658">
        <v>15.07</v>
      </c>
      <c r="Q658">
        <v>14.77</v>
      </c>
      <c r="T658" t="s">
        <v>49</v>
      </c>
      <c r="U658">
        <v>0</v>
      </c>
      <c r="V658">
        <v>3</v>
      </c>
    </row>
    <row r="659" spans="1:33" x14ac:dyDescent="0.3">
      <c r="A659">
        <v>658</v>
      </c>
      <c r="B659">
        <v>29081</v>
      </c>
      <c r="C659" s="2">
        <v>35935</v>
      </c>
      <c r="D659">
        <v>27</v>
      </c>
      <c r="E659" t="s">
        <v>42</v>
      </c>
      <c r="F659" t="s">
        <v>50</v>
      </c>
      <c r="G659" s="2">
        <v>43709</v>
      </c>
      <c r="H659" s="3">
        <f t="shared" si="10"/>
        <v>6.7123287671232879</v>
      </c>
      <c r="I659">
        <v>80</v>
      </c>
      <c r="J659" t="s">
        <v>57</v>
      </c>
      <c r="K659" t="s">
        <v>56</v>
      </c>
      <c r="L659" t="s">
        <v>44</v>
      </c>
      <c r="M659">
        <v>8.49</v>
      </c>
      <c r="N659">
        <v>8.2899999999999991</v>
      </c>
      <c r="O659">
        <v>8.09</v>
      </c>
      <c r="P659">
        <v>7.89</v>
      </c>
      <c r="Q659">
        <v>7.69</v>
      </c>
      <c r="R659">
        <v>7.49</v>
      </c>
      <c r="T659" t="s">
        <v>47</v>
      </c>
      <c r="U659">
        <v>4</v>
      </c>
      <c r="V659">
        <v>6</v>
      </c>
    </row>
    <row r="660" spans="1:33" x14ac:dyDescent="0.3">
      <c r="A660">
        <v>659</v>
      </c>
      <c r="B660">
        <v>29097</v>
      </c>
      <c r="C660" s="2">
        <v>34897</v>
      </c>
      <c r="D660">
        <v>30</v>
      </c>
      <c r="E660" t="s">
        <v>42</v>
      </c>
      <c r="F660" t="s">
        <v>50</v>
      </c>
      <c r="G660" s="2">
        <v>43572</v>
      </c>
      <c r="H660" s="3">
        <f t="shared" si="10"/>
        <v>5.9315068493150687</v>
      </c>
      <c r="I660">
        <v>80</v>
      </c>
      <c r="J660" t="s">
        <v>57</v>
      </c>
      <c r="K660" t="s">
        <v>56</v>
      </c>
      <c r="L660" t="s">
        <v>44</v>
      </c>
      <c r="M660">
        <v>8.49</v>
      </c>
      <c r="N660">
        <v>8.2899999999999991</v>
      </c>
      <c r="O660">
        <v>8.09</v>
      </c>
      <c r="P660">
        <v>7.89</v>
      </c>
      <c r="Q660">
        <v>7.69</v>
      </c>
      <c r="R660">
        <v>7.49</v>
      </c>
      <c r="T660" t="s">
        <v>47</v>
      </c>
      <c r="U660">
        <v>2</v>
      </c>
      <c r="V660">
        <v>6</v>
      </c>
    </row>
    <row r="661" spans="1:33" x14ac:dyDescent="0.3">
      <c r="A661">
        <v>660</v>
      </c>
      <c r="B661">
        <v>29123</v>
      </c>
      <c r="C661" s="2">
        <v>34316</v>
      </c>
      <c r="D661">
        <v>32</v>
      </c>
      <c r="E661" t="s">
        <v>36</v>
      </c>
      <c r="F661" t="s">
        <v>50</v>
      </c>
      <c r="G661" s="2">
        <v>43857</v>
      </c>
      <c r="H661" s="3">
        <f t="shared" si="10"/>
        <v>6.8630136986301373</v>
      </c>
      <c r="I661">
        <v>82</v>
      </c>
      <c r="J661" t="s">
        <v>57</v>
      </c>
      <c r="K661" t="s">
        <v>55</v>
      </c>
      <c r="L661" t="s">
        <v>44</v>
      </c>
      <c r="M661">
        <v>17.05</v>
      </c>
      <c r="N661">
        <v>16.75</v>
      </c>
      <c r="O661">
        <v>16.45</v>
      </c>
      <c r="P661">
        <v>16.149999999999999</v>
      </c>
      <c r="Q661">
        <v>15.85</v>
      </c>
      <c r="T661" t="s">
        <v>49</v>
      </c>
      <c r="U661">
        <v>2</v>
      </c>
      <c r="V661">
        <v>5</v>
      </c>
    </row>
    <row r="662" spans="1:33" x14ac:dyDescent="0.3">
      <c r="A662">
        <v>661</v>
      </c>
      <c r="B662">
        <v>29144</v>
      </c>
      <c r="C662" s="2">
        <v>36625</v>
      </c>
      <c r="D662">
        <v>25</v>
      </c>
      <c r="E662" t="s">
        <v>42</v>
      </c>
      <c r="F662" t="s">
        <v>50</v>
      </c>
      <c r="G662" s="2">
        <v>43517</v>
      </c>
      <c r="H662" s="3">
        <f t="shared" si="10"/>
        <v>6.279452054794521</v>
      </c>
      <c r="I662">
        <v>83</v>
      </c>
      <c r="J662" t="s">
        <v>57</v>
      </c>
      <c r="K662" t="s">
        <v>65</v>
      </c>
      <c r="L662" t="s">
        <v>44</v>
      </c>
      <c r="M662">
        <v>10.41</v>
      </c>
      <c r="N662">
        <v>10.210000000000001</v>
      </c>
      <c r="O662">
        <v>10.01</v>
      </c>
      <c r="P662">
        <v>9.81</v>
      </c>
      <c r="Q662">
        <v>9.61</v>
      </c>
      <c r="R662">
        <v>9.41</v>
      </c>
      <c r="T662" t="s">
        <v>49</v>
      </c>
      <c r="U662">
        <v>0</v>
      </c>
      <c r="V662">
        <v>5</v>
      </c>
    </row>
    <row r="663" spans="1:33" x14ac:dyDescent="0.3">
      <c r="A663">
        <v>662</v>
      </c>
      <c r="B663">
        <v>29296</v>
      </c>
      <c r="C663" s="2">
        <v>37426</v>
      </c>
      <c r="D663">
        <v>23</v>
      </c>
      <c r="E663" t="s">
        <v>42</v>
      </c>
      <c r="F663" t="s">
        <v>50</v>
      </c>
      <c r="G663" s="2">
        <v>43730</v>
      </c>
      <c r="H663" s="3">
        <f t="shared" si="10"/>
        <v>5.9369863013698634</v>
      </c>
      <c r="I663">
        <v>89</v>
      </c>
      <c r="J663" t="s">
        <v>57</v>
      </c>
      <c r="K663" t="s">
        <v>56</v>
      </c>
      <c r="L663" t="s">
        <v>44</v>
      </c>
      <c r="M663">
        <v>8.49</v>
      </c>
      <c r="N663">
        <v>8.2899999999999991</v>
      </c>
      <c r="O663">
        <v>8.09</v>
      </c>
      <c r="P663">
        <v>7.89</v>
      </c>
      <c r="Q663">
        <v>7.69</v>
      </c>
      <c r="R663">
        <v>7.49</v>
      </c>
      <c r="T663" t="s">
        <v>47</v>
      </c>
      <c r="U663">
        <v>3</v>
      </c>
      <c r="V663">
        <v>6</v>
      </c>
    </row>
    <row r="664" spans="1:33" x14ac:dyDescent="0.3">
      <c r="A664">
        <v>663</v>
      </c>
      <c r="B664">
        <v>29677</v>
      </c>
      <c r="C664" s="2">
        <v>35964</v>
      </c>
      <c r="D664">
        <v>27</v>
      </c>
      <c r="E664" t="s">
        <v>42</v>
      </c>
      <c r="F664" t="s">
        <v>37</v>
      </c>
      <c r="G664" s="2">
        <v>43855</v>
      </c>
      <c r="H664" s="3">
        <f t="shared" si="10"/>
        <v>5.9589041095890414</v>
      </c>
      <c r="I664">
        <v>107</v>
      </c>
      <c r="J664" t="s">
        <v>57</v>
      </c>
      <c r="K664" t="s">
        <v>43</v>
      </c>
      <c r="L664" t="s">
        <v>44</v>
      </c>
      <c r="M664">
        <v>15.97</v>
      </c>
      <c r="N664">
        <v>15.67</v>
      </c>
      <c r="O664">
        <v>15.37</v>
      </c>
      <c r="P664">
        <v>15.07</v>
      </c>
      <c r="Q664">
        <v>14.77</v>
      </c>
      <c r="T664" t="s">
        <v>47</v>
      </c>
      <c r="U664">
        <v>2</v>
      </c>
      <c r="V664">
        <v>7</v>
      </c>
    </row>
    <row r="665" spans="1:33" x14ac:dyDescent="0.3">
      <c r="A665">
        <v>664</v>
      </c>
      <c r="B665">
        <v>29773</v>
      </c>
      <c r="C665" s="2">
        <v>32821</v>
      </c>
      <c r="D665">
        <v>36</v>
      </c>
      <c r="E665" t="s">
        <v>42</v>
      </c>
      <c r="F665" t="s">
        <v>37</v>
      </c>
      <c r="G665" s="2">
        <v>43847</v>
      </c>
      <c r="H665" s="3">
        <f t="shared" si="10"/>
        <v>6.8246575342465752</v>
      </c>
      <c r="I665">
        <v>111</v>
      </c>
      <c r="J665" t="s">
        <v>57</v>
      </c>
      <c r="K665" t="s">
        <v>43</v>
      </c>
      <c r="L665" t="s">
        <v>44</v>
      </c>
      <c r="M665">
        <v>15.97</v>
      </c>
      <c r="N665">
        <v>15.67</v>
      </c>
      <c r="O665">
        <v>15.37</v>
      </c>
      <c r="P665">
        <v>15.07</v>
      </c>
      <c r="Q665">
        <v>14.77</v>
      </c>
      <c r="T665" t="s">
        <v>47</v>
      </c>
      <c r="U665">
        <v>1</v>
      </c>
      <c r="V665">
        <v>4</v>
      </c>
    </row>
    <row r="666" spans="1:33" x14ac:dyDescent="0.3">
      <c r="A666">
        <v>665</v>
      </c>
      <c r="B666">
        <v>29982</v>
      </c>
      <c r="C666" s="2">
        <v>35295</v>
      </c>
      <c r="D666">
        <v>29</v>
      </c>
      <c r="E666" t="s">
        <v>36</v>
      </c>
      <c r="F666" t="s">
        <v>50</v>
      </c>
      <c r="G666" s="2">
        <v>43531</v>
      </c>
      <c r="H666" s="3">
        <f t="shared" si="10"/>
        <v>6.2082191780821914</v>
      </c>
      <c r="I666">
        <v>121</v>
      </c>
      <c r="J666" t="s">
        <v>57</v>
      </c>
      <c r="K666" t="s">
        <v>68</v>
      </c>
      <c r="L666" t="s">
        <v>44</v>
      </c>
      <c r="M666">
        <v>16.02</v>
      </c>
      <c r="N666">
        <v>15.82</v>
      </c>
      <c r="O666">
        <v>15.62</v>
      </c>
      <c r="P666">
        <v>15.42</v>
      </c>
      <c r="Q666">
        <v>15.22</v>
      </c>
      <c r="R666">
        <v>15.02</v>
      </c>
      <c r="T666" t="s">
        <v>49</v>
      </c>
      <c r="U666">
        <v>4</v>
      </c>
      <c r="V666">
        <v>5</v>
      </c>
    </row>
    <row r="667" spans="1:33" x14ac:dyDescent="0.3">
      <c r="A667">
        <v>666</v>
      </c>
      <c r="B667">
        <v>30152</v>
      </c>
      <c r="C667" s="2">
        <v>32115</v>
      </c>
      <c r="D667">
        <v>38</v>
      </c>
      <c r="E667" t="s">
        <v>36</v>
      </c>
      <c r="F667" t="s">
        <v>50</v>
      </c>
      <c r="G667" s="2">
        <v>43756</v>
      </c>
      <c r="H667" s="3">
        <f t="shared" si="10"/>
        <v>5.9205479452054792</v>
      </c>
      <c r="I667">
        <v>128</v>
      </c>
      <c r="J667" t="s">
        <v>57</v>
      </c>
      <c r="K667" t="s">
        <v>46</v>
      </c>
      <c r="L667" t="s">
        <v>44</v>
      </c>
      <c r="M667">
        <v>14.08</v>
      </c>
      <c r="N667">
        <v>13.78</v>
      </c>
      <c r="O667">
        <v>13.48</v>
      </c>
      <c r="P667">
        <v>13.18</v>
      </c>
      <c r="Q667">
        <v>12.88</v>
      </c>
      <c r="R667">
        <v>12.58</v>
      </c>
      <c r="T667" t="s">
        <v>49</v>
      </c>
      <c r="U667">
        <v>0</v>
      </c>
      <c r="V667">
        <v>4</v>
      </c>
    </row>
    <row r="668" spans="1:33" x14ac:dyDescent="0.3">
      <c r="A668">
        <v>667</v>
      </c>
      <c r="B668">
        <v>30228</v>
      </c>
      <c r="C668" s="2">
        <v>28778</v>
      </c>
      <c r="D668">
        <v>47</v>
      </c>
      <c r="E668" t="s">
        <v>36</v>
      </c>
      <c r="F668" t="s">
        <v>50</v>
      </c>
      <c r="G668" s="2">
        <v>43861</v>
      </c>
      <c r="H668" s="3">
        <f t="shared" si="10"/>
        <v>6.6821917808219178</v>
      </c>
      <c r="I668">
        <v>132</v>
      </c>
      <c r="J668" t="s">
        <v>57</v>
      </c>
      <c r="K668" t="s">
        <v>54</v>
      </c>
      <c r="L668" t="s">
        <v>44</v>
      </c>
      <c r="M668">
        <v>22.52</v>
      </c>
      <c r="N668">
        <v>22.22</v>
      </c>
      <c r="O668">
        <v>21.92</v>
      </c>
      <c r="P668">
        <v>21.62</v>
      </c>
      <c r="Q668">
        <v>21.32</v>
      </c>
      <c r="T668" t="s">
        <v>49</v>
      </c>
      <c r="U668">
        <v>7</v>
      </c>
      <c r="V668">
        <v>6</v>
      </c>
    </row>
    <row r="669" spans="1:33" x14ac:dyDescent="0.3">
      <c r="A669">
        <v>668</v>
      </c>
      <c r="B669">
        <v>30340</v>
      </c>
      <c r="C669" s="2">
        <v>35724</v>
      </c>
      <c r="D669">
        <v>28</v>
      </c>
      <c r="E669" t="s">
        <v>36</v>
      </c>
      <c r="F669" t="s">
        <v>50</v>
      </c>
      <c r="G669" s="2">
        <v>43583</v>
      </c>
      <c r="H669" s="3">
        <f t="shared" si="10"/>
        <v>5.9232876712328766</v>
      </c>
      <c r="I669">
        <v>137</v>
      </c>
      <c r="J669" t="s">
        <v>57</v>
      </c>
      <c r="K669" t="s">
        <v>65</v>
      </c>
      <c r="L669" t="s">
        <v>44</v>
      </c>
      <c r="M669">
        <v>10.41</v>
      </c>
      <c r="N669">
        <v>10.210000000000001</v>
      </c>
      <c r="O669">
        <v>10.01</v>
      </c>
      <c r="P669">
        <v>9.81</v>
      </c>
      <c r="Q669">
        <v>9.61</v>
      </c>
      <c r="R669">
        <v>9.41</v>
      </c>
      <c r="T669" t="s">
        <v>47</v>
      </c>
      <c r="U669">
        <v>0</v>
      </c>
      <c r="V669">
        <v>4</v>
      </c>
    </row>
    <row r="670" spans="1:33" x14ac:dyDescent="0.3">
      <c r="A670">
        <v>669</v>
      </c>
      <c r="B670">
        <v>30439</v>
      </c>
      <c r="C670" s="2">
        <v>36222</v>
      </c>
      <c r="D670">
        <v>26</v>
      </c>
      <c r="E670" t="s">
        <v>42</v>
      </c>
      <c r="F670" t="s">
        <v>50</v>
      </c>
      <c r="G670" s="2">
        <v>43860</v>
      </c>
      <c r="H670" s="3">
        <f t="shared" si="10"/>
        <v>6.3726027397260276</v>
      </c>
      <c r="I670">
        <v>141</v>
      </c>
      <c r="J670" t="s">
        <v>57</v>
      </c>
      <c r="K670" t="s">
        <v>65</v>
      </c>
      <c r="L670" t="s">
        <v>44</v>
      </c>
      <c r="M670">
        <v>10.19</v>
      </c>
      <c r="N670">
        <v>9.89</v>
      </c>
      <c r="O670">
        <v>9.89</v>
      </c>
      <c r="P670">
        <v>9.7799999999999994</v>
      </c>
      <c r="Q670">
        <v>9.6300000000000008</v>
      </c>
      <c r="T670" t="s">
        <v>47</v>
      </c>
      <c r="U670">
        <v>1</v>
      </c>
      <c r="V670">
        <v>7</v>
      </c>
    </row>
    <row r="671" spans="1:33" x14ac:dyDescent="0.3">
      <c r="A671">
        <v>670</v>
      </c>
      <c r="B671">
        <v>30448</v>
      </c>
      <c r="C671" s="2">
        <v>36492</v>
      </c>
      <c r="D671">
        <v>26</v>
      </c>
      <c r="E671" t="s">
        <v>42</v>
      </c>
      <c r="F671" t="s">
        <v>50</v>
      </c>
      <c r="G671" s="2">
        <v>43696</v>
      </c>
      <c r="H671" s="3">
        <f t="shared" si="10"/>
        <v>4.419178082191781</v>
      </c>
      <c r="I671">
        <v>141</v>
      </c>
      <c r="J671" t="s">
        <v>57</v>
      </c>
      <c r="K671" t="s">
        <v>56</v>
      </c>
      <c r="L671" t="s">
        <v>44</v>
      </c>
      <c r="M671">
        <v>8.73</v>
      </c>
      <c r="N671">
        <v>8.51</v>
      </c>
      <c r="O671">
        <v>8.2899999999999991</v>
      </c>
      <c r="P671">
        <v>8.0399999999999991</v>
      </c>
      <c r="Q671">
        <v>7.78</v>
      </c>
      <c r="R671">
        <v>7.49</v>
      </c>
      <c r="T671" t="s">
        <v>47</v>
      </c>
      <c r="U671">
        <v>2</v>
      </c>
      <c r="V671">
        <v>7</v>
      </c>
    </row>
    <row r="672" spans="1:33" x14ac:dyDescent="0.3">
      <c r="A672">
        <v>671</v>
      </c>
      <c r="B672">
        <v>30545</v>
      </c>
      <c r="C672" s="2">
        <v>34791</v>
      </c>
      <c r="D672">
        <v>30</v>
      </c>
      <c r="E672" t="s">
        <v>42</v>
      </c>
      <c r="F672" t="s">
        <v>50</v>
      </c>
      <c r="G672" s="2">
        <v>44409</v>
      </c>
      <c r="H672" s="3">
        <f t="shared" si="10"/>
        <v>5.419178082191781</v>
      </c>
      <c r="I672">
        <v>87</v>
      </c>
      <c r="J672" t="s">
        <v>57</v>
      </c>
      <c r="K672" t="s">
        <v>39</v>
      </c>
      <c r="L672" t="s">
        <v>40</v>
      </c>
      <c r="M672">
        <v>56559</v>
      </c>
      <c r="N672">
        <v>50309</v>
      </c>
      <c r="O672">
        <v>49809</v>
      </c>
      <c r="P672">
        <v>49309</v>
      </c>
      <c r="T672" t="s">
        <v>41</v>
      </c>
      <c r="U672">
        <v>4</v>
      </c>
      <c r="V672">
        <v>7</v>
      </c>
      <c r="W672">
        <v>7</v>
      </c>
      <c r="X672" s="2">
        <v>44651</v>
      </c>
      <c r="Y672" t="s">
        <v>69</v>
      </c>
      <c r="Z672" s="2">
        <v>45638</v>
      </c>
      <c r="AA672" t="s">
        <v>59</v>
      </c>
      <c r="AD672">
        <v>4</v>
      </c>
      <c r="AE672">
        <v>4</v>
      </c>
      <c r="AF672">
        <v>4</v>
      </c>
      <c r="AG672">
        <v>4</v>
      </c>
    </row>
    <row r="673" spans="1:34" x14ac:dyDescent="0.3">
      <c r="A673">
        <v>672</v>
      </c>
      <c r="B673">
        <v>30546</v>
      </c>
      <c r="C673" s="2">
        <v>35174</v>
      </c>
      <c r="D673">
        <v>29</v>
      </c>
      <c r="E673" t="s">
        <v>42</v>
      </c>
      <c r="F673" t="s">
        <v>50</v>
      </c>
      <c r="G673" s="2">
        <v>44044</v>
      </c>
      <c r="H673" s="3">
        <f t="shared" si="10"/>
        <v>4.419178082191781</v>
      </c>
      <c r="I673">
        <v>90</v>
      </c>
      <c r="J673" t="s">
        <v>57</v>
      </c>
      <c r="K673" t="s">
        <v>39</v>
      </c>
      <c r="L673" t="s">
        <v>40</v>
      </c>
      <c r="M673">
        <v>59809</v>
      </c>
      <c r="N673">
        <v>53559</v>
      </c>
      <c r="O673">
        <v>52059</v>
      </c>
      <c r="P673">
        <v>50809</v>
      </c>
      <c r="Q673">
        <v>48309</v>
      </c>
      <c r="T673" t="s">
        <v>58</v>
      </c>
      <c r="U673">
        <v>2</v>
      </c>
      <c r="V673">
        <v>7</v>
      </c>
      <c r="W673">
        <v>6</v>
      </c>
      <c r="X673" s="2">
        <v>44537</v>
      </c>
      <c r="Y673" t="s">
        <v>69</v>
      </c>
      <c r="Z673" s="2">
        <v>45479</v>
      </c>
      <c r="AA673" t="s">
        <v>59</v>
      </c>
      <c r="AD673">
        <v>3</v>
      </c>
      <c r="AE673">
        <v>5</v>
      </c>
      <c r="AF673">
        <v>5</v>
      </c>
      <c r="AG673">
        <v>4</v>
      </c>
      <c r="AH673">
        <v>2</v>
      </c>
    </row>
    <row r="674" spans="1:34" x14ac:dyDescent="0.3">
      <c r="A674">
        <v>673</v>
      </c>
      <c r="B674">
        <v>30548</v>
      </c>
      <c r="C674" s="2">
        <v>34558</v>
      </c>
      <c r="D674">
        <v>31</v>
      </c>
      <c r="E674" t="s">
        <v>42</v>
      </c>
      <c r="F674" t="s">
        <v>50</v>
      </c>
      <c r="G674" s="2">
        <v>44409</v>
      </c>
      <c r="H674" s="3">
        <f t="shared" si="10"/>
        <v>4.419178082191781</v>
      </c>
      <c r="I674">
        <v>92</v>
      </c>
      <c r="J674" t="s">
        <v>57</v>
      </c>
      <c r="K674" t="s">
        <v>39</v>
      </c>
      <c r="L674" t="s">
        <v>40</v>
      </c>
      <c r="M674">
        <v>65059</v>
      </c>
      <c r="N674">
        <v>55059</v>
      </c>
      <c r="O674">
        <v>53809</v>
      </c>
      <c r="P674">
        <v>52309</v>
      </c>
      <c r="T674" t="s">
        <v>63</v>
      </c>
      <c r="U674">
        <v>4</v>
      </c>
      <c r="V674">
        <v>7</v>
      </c>
      <c r="W674">
        <v>7</v>
      </c>
      <c r="X674" s="2">
        <v>44316</v>
      </c>
      <c r="Y674" t="s">
        <v>69</v>
      </c>
      <c r="Z674" s="2">
        <v>45394</v>
      </c>
      <c r="AA674" t="s">
        <v>59</v>
      </c>
      <c r="AD674">
        <v>4</v>
      </c>
      <c r="AE674">
        <v>5</v>
      </c>
      <c r="AF674">
        <v>4</v>
      </c>
      <c r="AG674">
        <v>5</v>
      </c>
    </row>
    <row r="675" spans="1:34" x14ac:dyDescent="0.3">
      <c r="A675">
        <v>674</v>
      </c>
      <c r="B675">
        <v>30550</v>
      </c>
      <c r="C675" s="2">
        <v>34279</v>
      </c>
      <c r="D675">
        <v>32</v>
      </c>
      <c r="E675" t="s">
        <v>42</v>
      </c>
      <c r="F675" t="s">
        <v>50</v>
      </c>
      <c r="G675" s="2">
        <v>44409</v>
      </c>
      <c r="H675" s="3">
        <f t="shared" si="10"/>
        <v>5.419178082191781</v>
      </c>
      <c r="I675">
        <v>97</v>
      </c>
      <c r="J675" t="s">
        <v>57</v>
      </c>
      <c r="K675" t="s">
        <v>39</v>
      </c>
      <c r="L675" t="s">
        <v>40</v>
      </c>
      <c r="M675">
        <v>60182</v>
      </c>
      <c r="N675">
        <v>53809</v>
      </c>
      <c r="O675">
        <v>52309</v>
      </c>
      <c r="P675">
        <v>51309</v>
      </c>
      <c r="T675" t="s">
        <v>63</v>
      </c>
      <c r="U675">
        <v>3</v>
      </c>
      <c r="V675">
        <v>6</v>
      </c>
      <c r="W675">
        <v>6</v>
      </c>
      <c r="X675" s="2">
        <v>44457</v>
      </c>
      <c r="Y675" t="s">
        <v>69</v>
      </c>
      <c r="Z675" s="2">
        <v>45436</v>
      </c>
      <c r="AA675" t="s">
        <v>59</v>
      </c>
      <c r="AD675">
        <v>5</v>
      </c>
      <c r="AE675">
        <v>1</v>
      </c>
      <c r="AF675">
        <v>4</v>
      </c>
      <c r="AG675">
        <v>3</v>
      </c>
    </row>
    <row r="676" spans="1:34" x14ac:dyDescent="0.3">
      <c r="A676">
        <v>675</v>
      </c>
      <c r="B676">
        <v>30556</v>
      </c>
      <c r="C676" s="2">
        <v>35266</v>
      </c>
      <c r="D676">
        <v>29</v>
      </c>
      <c r="E676" t="s">
        <v>42</v>
      </c>
      <c r="F676" t="s">
        <v>50</v>
      </c>
      <c r="G676" s="2">
        <v>44044</v>
      </c>
      <c r="H676" s="3">
        <f t="shared" si="10"/>
        <v>4.419178082191781</v>
      </c>
      <c r="I676">
        <v>110</v>
      </c>
      <c r="J676" t="s">
        <v>57</v>
      </c>
      <c r="K676" t="s">
        <v>39</v>
      </c>
      <c r="L676" t="s">
        <v>40</v>
      </c>
      <c r="M676">
        <v>59559</v>
      </c>
      <c r="N676">
        <v>54059</v>
      </c>
      <c r="O676">
        <v>52559</v>
      </c>
      <c r="P676">
        <v>51309</v>
      </c>
      <c r="Q676">
        <v>48309</v>
      </c>
      <c r="T676" t="s">
        <v>67</v>
      </c>
      <c r="U676">
        <v>2</v>
      </c>
      <c r="V676">
        <v>7</v>
      </c>
      <c r="W676">
        <v>7</v>
      </c>
      <c r="X676" s="2">
        <v>44434</v>
      </c>
      <c r="Y676" t="s">
        <v>69</v>
      </c>
      <c r="Z676" s="2">
        <v>45623</v>
      </c>
      <c r="AA676" t="s">
        <v>59</v>
      </c>
      <c r="AD676">
        <v>5</v>
      </c>
      <c r="AE676">
        <v>5</v>
      </c>
      <c r="AF676">
        <v>5</v>
      </c>
      <c r="AG676">
        <v>4</v>
      </c>
      <c r="AH676">
        <v>3</v>
      </c>
    </row>
    <row r="677" spans="1:34" x14ac:dyDescent="0.3">
      <c r="A677">
        <v>676</v>
      </c>
      <c r="B677">
        <v>30557</v>
      </c>
      <c r="C677" s="2">
        <v>33480</v>
      </c>
      <c r="D677">
        <v>34</v>
      </c>
      <c r="E677" t="s">
        <v>42</v>
      </c>
      <c r="F677" t="s">
        <v>50</v>
      </c>
      <c r="G677" s="2">
        <v>44409</v>
      </c>
      <c r="H677" s="3">
        <f t="shared" si="10"/>
        <v>4.419178082191781</v>
      </c>
      <c r="I677">
        <v>12</v>
      </c>
      <c r="J677" t="s">
        <v>38</v>
      </c>
      <c r="K677" t="s">
        <v>72</v>
      </c>
      <c r="L677" t="s">
        <v>40</v>
      </c>
      <c r="M677">
        <v>52309</v>
      </c>
      <c r="N677">
        <v>50309</v>
      </c>
      <c r="O677">
        <v>49309</v>
      </c>
      <c r="P677">
        <v>49309</v>
      </c>
      <c r="T677" t="s">
        <v>67</v>
      </c>
      <c r="U677">
        <v>3</v>
      </c>
      <c r="V677">
        <v>6</v>
      </c>
      <c r="W677">
        <v>6</v>
      </c>
      <c r="X677" s="2">
        <v>44394</v>
      </c>
      <c r="Y677" t="s">
        <v>69</v>
      </c>
      <c r="AD677">
        <v>5</v>
      </c>
      <c r="AE677">
        <v>5</v>
      </c>
      <c r="AF677">
        <v>3</v>
      </c>
      <c r="AG677">
        <v>1</v>
      </c>
    </row>
    <row r="678" spans="1:34" x14ac:dyDescent="0.3">
      <c r="A678">
        <v>677</v>
      </c>
      <c r="B678">
        <v>30561</v>
      </c>
      <c r="C678" s="2">
        <v>35126</v>
      </c>
      <c r="D678">
        <v>29</v>
      </c>
      <c r="E678" t="s">
        <v>42</v>
      </c>
      <c r="F678" t="s">
        <v>50</v>
      </c>
      <c r="G678" s="2">
        <v>44409</v>
      </c>
      <c r="H678" s="3">
        <f t="shared" si="10"/>
        <v>4.419178082191781</v>
      </c>
      <c r="I678">
        <v>24</v>
      </c>
      <c r="J678" t="s">
        <v>38</v>
      </c>
      <c r="K678" t="s">
        <v>72</v>
      </c>
      <c r="L678" t="s">
        <v>40</v>
      </c>
      <c r="M678">
        <v>54059</v>
      </c>
      <c r="N678">
        <v>53059</v>
      </c>
      <c r="O678">
        <v>51809</v>
      </c>
      <c r="P678">
        <v>50809</v>
      </c>
      <c r="T678" t="s">
        <v>70</v>
      </c>
      <c r="U678">
        <v>2</v>
      </c>
      <c r="V678">
        <v>5</v>
      </c>
      <c r="W678">
        <v>6</v>
      </c>
      <c r="X678" s="2">
        <v>44446</v>
      </c>
      <c r="Y678" t="s">
        <v>69</v>
      </c>
      <c r="AD678">
        <v>5</v>
      </c>
      <c r="AE678">
        <v>3</v>
      </c>
      <c r="AF678">
        <v>4</v>
      </c>
      <c r="AG678">
        <v>3</v>
      </c>
    </row>
    <row r="679" spans="1:34" x14ac:dyDescent="0.3">
      <c r="A679">
        <v>678</v>
      </c>
      <c r="B679">
        <v>30565</v>
      </c>
      <c r="C679" s="2">
        <v>35169</v>
      </c>
      <c r="D679">
        <v>29</v>
      </c>
      <c r="E679" t="s">
        <v>42</v>
      </c>
      <c r="F679" t="s">
        <v>50</v>
      </c>
      <c r="G679" s="2">
        <v>44409</v>
      </c>
      <c r="H679" s="3">
        <f t="shared" si="10"/>
        <v>4.419178082191781</v>
      </c>
      <c r="I679">
        <v>45</v>
      </c>
      <c r="J679" t="s">
        <v>38</v>
      </c>
      <c r="K679" t="s">
        <v>72</v>
      </c>
      <c r="L679" t="s">
        <v>40</v>
      </c>
      <c r="M679">
        <v>55809</v>
      </c>
      <c r="N679">
        <v>53809</v>
      </c>
      <c r="O679">
        <v>51809</v>
      </c>
      <c r="P679">
        <v>50309</v>
      </c>
      <c r="T679" t="s">
        <v>63</v>
      </c>
      <c r="U679">
        <v>4</v>
      </c>
      <c r="V679">
        <v>6</v>
      </c>
      <c r="W679">
        <v>7</v>
      </c>
      <c r="X679" s="2">
        <v>44544</v>
      </c>
      <c r="Y679" t="s">
        <v>69</v>
      </c>
      <c r="AD679">
        <v>5</v>
      </c>
      <c r="AE679">
        <v>5</v>
      </c>
      <c r="AF679">
        <v>5</v>
      </c>
      <c r="AG679">
        <v>4</v>
      </c>
    </row>
    <row r="680" spans="1:34" x14ac:dyDescent="0.3">
      <c r="A680">
        <v>679</v>
      </c>
      <c r="B680">
        <v>30566</v>
      </c>
      <c r="C680" s="2">
        <v>35128</v>
      </c>
      <c r="D680">
        <v>29</v>
      </c>
      <c r="E680" t="s">
        <v>42</v>
      </c>
      <c r="F680" t="s">
        <v>50</v>
      </c>
      <c r="G680" s="2">
        <v>44409</v>
      </c>
      <c r="H680" s="3">
        <f t="shared" si="10"/>
        <v>4.419178082191781</v>
      </c>
      <c r="I680">
        <v>56</v>
      </c>
      <c r="J680" t="s">
        <v>38</v>
      </c>
      <c r="K680" t="s">
        <v>72</v>
      </c>
      <c r="L680" t="s">
        <v>40</v>
      </c>
      <c r="M680">
        <v>56809</v>
      </c>
      <c r="N680">
        <v>54809</v>
      </c>
      <c r="O680">
        <v>52809</v>
      </c>
      <c r="P680">
        <v>51309</v>
      </c>
      <c r="T680" t="s">
        <v>63</v>
      </c>
      <c r="U680">
        <v>1</v>
      </c>
      <c r="V680">
        <v>6</v>
      </c>
      <c r="W680">
        <v>7</v>
      </c>
      <c r="X680" s="2">
        <v>44584</v>
      </c>
      <c r="Y680" t="s">
        <v>69</v>
      </c>
      <c r="AD680">
        <v>5</v>
      </c>
      <c r="AE680">
        <v>5</v>
      </c>
      <c r="AF680">
        <v>5</v>
      </c>
      <c r="AG680">
        <v>4</v>
      </c>
    </row>
    <row r="681" spans="1:34" x14ac:dyDescent="0.3">
      <c r="A681">
        <v>680</v>
      </c>
      <c r="B681">
        <v>30568</v>
      </c>
      <c r="C681" s="2">
        <v>35317</v>
      </c>
      <c r="D681">
        <v>29</v>
      </c>
      <c r="E681" t="s">
        <v>42</v>
      </c>
      <c r="F681" t="s">
        <v>37</v>
      </c>
      <c r="G681" s="2">
        <v>44409</v>
      </c>
      <c r="H681" s="3">
        <f t="shared" si="10"/>
        <v>4.419178082191781</v>
      </c>
      <c r="I681">
        <v>17</v>
      </c>
      <c r="J681" t="s">
        <v>38</v>
      </c>
      <c r="K681" t="s">
        <v>72</v>
      </c>
      <c r="L681" t="s">
        <v>40</v>
      </c>
      <c r="M681">
        <v>55059</v>
      </c>
      <c r="N681">
        <v>53559</v>
      </c>
      <c r="O681">
        <v>52059</v>
      </c>
      <c r="P681">
        <v>50809</v>
      </c>
      <c r="T681" t="s">
        <v>60</v>
      </c>
      <c r="U681">
        <v>2</v>
      </c>
      <c r="V681">
        <v>5</v>
      </c>
      <c r="W681">
        <v>5</v>
      </c>
      <c r="X681" s="2">
        <v>44450</v>
      </c>
      <c r="Y681" t="s">
        <v>69</v>
      </c>
      <c r="AD681">
        <v>5</v>
      </c>
      <c r="AE681">
        <v>5</v>
      </c>
      <c r="AF681">
        <v>5</v>
      </c>
      <c r="AG681">
        <v>4</v>
      </c>
    </row>
    <row r="682" spans="1:34" x14ac:dyDescent="0.3">
      <c r="A682">
        <v>681</v>
      </c>
      <c r="B682">
        <v>30569</v>
      </c>
      <c r="C682" s="2">
        <v>33468</v>
      </c>
      <c r="D682">
        <v>34</v>
      </c>
      <c r="E682" t="s">
        <v>42</v>
      </c>
      <c r="F682" t="s">
        <v>50</v>
      </c>
      <c r="G682" s="2">
        <v>44409</v>
      </c>
      <c r="H682" s="3">
        <f t="shared" si="10"/>
        <v>5.419178082191781</v>
      </c>
      <c r="I682">
        <v>17</v>
      </c>
      <c r="J682" t="s">
        <v>38</v>
      </c>
      <c r="K682" t="s">
        <v>72</v>
      </c>
      <c r="L682" t="s">
        <v>40</v>
      </c>
      <c r="M682">
        <v>55059</v>
      </c>
      <c r="N682">
        <v>53559</v>
      </c>
      <c r="O682">
        <v>52059</v>
      </c>
      <c r="P682">
        <v>50809</v>
      </c>
      <c r="T682" t="s">
        <v>63</v>
      </c>
      <c r="U682">
        <v>2</v>
      </c>
      <c r="V682">
        <v>7</v>
      </c>
      <c r="W682">
        <v>7</v>
      </c>
      <c r="X682" s="2">
        <v>44500</v>
      </c>
      <c r="Y682" t="s">
        <v>69</v>
      </c>
      <c r="AD682">
        <v>5</v>
      </c>
      <c r="AE682">
        <v>5</v>
      </c>
      <c r="AF682">
        <v>5</v>
      </c>
      <c r="AG682">
        <v>4</v>
      </c>
    </row>
    <row r="683" spans="1:34" x14ac:dyDescent="0.3">
      <c r="A683">
        <v>682</v>
      </c>
      <c r="B683">
        <v>30584</v>
      </c>
      <c r="C683" s="2">
        <v>35105</v>
      </c>
      <c r="D683">
        <v>29</v>
      </c>
      <c r="E683" t="s">
        <v>42</v>
      </c>
      <c r="F683" t="s">
        <v>50</v>
      </c>
      <c r="G683" s="2">
        <v>44044</v>
      </c>
      <c r="H683" s="3">
        <f t="shared" si="10"/>
        <v>5.419178082191781</v>
      </c>
      <c r="I683">
        <v>63</v>
      </c>
      <c r="J683" t="s">
        <v>38</v>
      </c>
      <c r="K683" t="s">
        <v>72</v>
      </c>
      <c r="L683" t="s">
        <v>40</v>
      </c>
      <c r="M683">
        <v>54809</v>
      </c>
      <c r="N683">
        <v>52809</v>
      </c>
      <c r="O683">
        <v>51309</v>
      </c>
      <c r="P683">
        <v>50309</v>
      </c>
      <c r="Q683">
        <v>48309</v>
      </c>
      <c r="T683" t="s">
        <v>71</v>
      </c>
      <c r="U683">
        <v>2</v>
      </c>
      <c r="V683">
        <v>7</v>
      </c>
      <c r="W683">
        <v>7</v>
      </c>
      <c r="X683" s="2">
        <v>44307</v>
      </c>
      <c r="Y683" t="s">
        <v>69</v>
      </c>
      <c r="AD683">
        <v>5</v>
      </c>
      <c r="AE683">
        <v>5</v>
      </c>
      <c r="AF683">
        <v>4</v>
      </c>
      <c r="AG683">
        <v>3</v>
      </c>
      <c r="AH683">
        <v>2</v>
      </c>
    </row>
    <row r="684" spans="1:34" x14ac:dyDescent="0.3">
      <c r="A684">
        <v>683</v>
      </c>
      <c r="B684">
        <v>30587</v>
      </c>
      <c r="C684" s="2">
        <v>34472</v>
      </c>
      <c r="D684">
        <v>31</v>
      </c>
      <c r="E684" t="s">
        <v>36</v>
      </c>
      <c r="F684" t="s">
        <v>50</v>
      </c>
      <c r="G684" s="2">
        <v>44044</v>
      </c>
      <c r="H684" s="3">
        <f t="shared" si="10"/>
        <v>4.419178082191781</v>
      </c>
      <c r="I684">
        <v>19</v>
      </c>
      <c r="J684" t="s">
        <v>38</v>
      </c>
      <c r="K684" t="s">
        <v>72</v>
      </c>
      <c r="L684" t="s">
        <v>40</v>
      </c>
      <c r="M684">
        <v>53856</v>
      </c>
      <c r="N684">
        <v>53856</v>
      </c>
      <c r="O684">
        <v>52485</v>
      </c>
      <c r="P684">
        <v>51321</v>
      </c>
      <c r="Q684">
        <v>48309</v>
      </c>
      <c r="T684" t="s">
        <v>61</v>
      </c>
      <c r="U684">
        <v>4</v>
      </c>
      <c r="V684">
        <v>6</v>
      </c>
      <c r="W684">
        <v>6</v>
      </c>
      <c r="X684" s="2">
        <v>44420</v>
      </c>
      <c r="Y684" t="s">
        <v>69</v>
      </c>
      <c r="AD684">
        <v>5</v>
      </c>
      <c r="AE684">
        <v>5</v>
      </c>
      <c r="AF684">
        <v>3</v>
      </c>
      <c r="AG684">
        <v>2</v>
      </c>
      <c r="AH684">
        <v>2</v>
      </c>
    </row>
    <row r="685" spans="1:34" x14ac:dyDescent="0.3">
      <c r="A685">
        <v>684</v>
      </c>
      <c r="B685">
        <v>30592</v>
      </c>
      <c r="C685" s="2">
        <v>34476</v>
      </c>
      <c r="D685">
        <v>31</v>
      </c>
      <c r="E685" t="s">
        <v>42</v>
      </c>
      <c r="F685" t="s">
        <v>50</v>
      </c>
      <c r="G685" s="2">
        <v>44409</v>
      </c>
      <c r="H685" s="3">
        <f t="shared" si="10"/>
        <v>5.419178082191781</v>
      </c>
      <c r="I685">
        <v>2</v>
      </c>
      <c r="J685" t="s">
        <v>38</v>
      </c>
      <c r="K685" t="s">
        <v>72</v>
      </c>
      <c r="L685" t="s">
        <v>40</v>
      </c>
      <c r="M685">
        <v>56309</v>
      </c>
      <c r="N685">
        <v>54309</v>
      </c>
      <c r="O685">
        <v>52309</v>
      </c>
      <c r="P685">
        <v>51309</v>
      </c>
      <c r="T685" t="s">
        <v>67</v>
      </c>
      <c r="U685">
        <v>2</v>
      </c>
      <c r="V685">
        <v>5</v>
      </c>
      <c r="W685">
        <v>7</v>
      </c>
      <c r="X685" s="2">
        <v>44364</v>
      </c>
      <c r="Y685" t="s">
        <v>69</v>
      </c>
      <c r="AD685">
        <v>5</v>
      </c>
      <c r="AE685">
        <v>5</v>
      </c>
      <c r="AF685">
        <v>5</v>
      </c>
      <c r="AG685">
        <v>3</v>
      </c>
    </row>
    <row r="686" spans="1:34" x14ac:dyDescent="0.3">
      <c r="A686">
        <v>685</v>
      </c>
      <c r="B686">
        <v>30600</v>
      </c>
      <c r="C686" s="2">
        <v>34932</v>
      </c>
      <c r="D686">
        <v>30</v>
      </c>
      <c r="E686" t="s">
        <v>42</v>
      </c>
      <c r="F686" t="s">
        <v>50</v>
      </c>
      <c r="G686" s="2">
        <v>44044</v>
      </c>
      <c r="H686" s="3">
        <f t="shared" si="10"/>
        <v>5.419178082191781</v>
      </c>
      <c r="I686">
        <v>59</v>
      </c>
      <c r="J686" t="s">
        <v>38</v>
      </c>
      <c r="K686" t="s">
        <v>72</v>
      </c>
      <c r="L686" t="s">
        <v>40</v>
      </c>
      <c r="M686">
        <v>55059</v>
      </c>
      <c r="N686">
        <v>53559</v>
      </c>
      <c r="O686">
        <v>52059</v>
      </c>
      <c r="P686">
        <v>50809</v>
      </c>
      <c r="Q686">
        <v>48309</v>
      </c>
      <c r="T686" t="s">
        <v>70</v>
      </c>
      <c r="U686">
        <v>3</v>
      </c>
      <c r="V686">
        <v>7</v>
      </c>
      <c r="W686">
        <v>7</v>
      </c>
      <c r="X686" s="2">
        <v>44284</v>
      </c>
      <c r="Y686" t="s">
        <v>69</v>
      </c>
      <c r="AD686">
        <v>5</v>
      </c>
      <c r="AE686">
        <v>5</v>
      </c>
      <c r="AF686">
        <v>5</v>
      </c>
      <c r="AG686">
        <v>4</v>
      </c>
      <c r="AH686">
        <v>2</v>
      </c>
    </row>
    <row r="687" spans="1:34" x14ac:dyDescent="0.3">
      <c r="A687">
        <v>686</v>
      </c>
      <c r="B687">
        <v>30601</v>
      </c>
      <c r="C687" s="2">
        <v>35215</v>
      </c>
      <c r="D687">
        <v>29</v>
      </c>
      <c r="E687" t="s">
        <v>36</v>
      </c>
      <c r="F687" t="s">
        <v>50</v>
      </c>
      <c r="G687" s="2">
        <v>44044</v>
      </c>
      <c r="H687" s="3">
        <f t="shared" si="10"/>
        <v>5.419178082191781</v>
      </c>
      <c r="I687">
        <v>2</v>
      </c>
      <c r="J687" t="s">
        <v>38</v>
      </c>
      <c r="K687" t="s">
        <v>72</v>
      </c>
      <c r="L687" t="s">
        <v>40</v>
      </c>
      <c r="M687">
        <v>58309</v>
      </c>
      <c r="N687">
        <v>56309</v>
      </c>
      <c r="O687">
        <v>54309</v>
      </c>
      <c r="P687">
        <v>52309</v>
      </c>
      <c r="Q687">
        <v>48309</v>
      </c>
      <c r="T687" t="s">
        <v>71</v>
      </c>
      <c r="U687">
        <v>4</v>
      </c>
      <c r="V687">
        <v>6</v>
      </c>
      <c r="W687">
        <v>5</v>
      </c>
      <c r="X687" s="2">
        <v>44341</v>
      </c>
      <c r="Y687" t="s">
        <v>69</v>
      </c>
      <c r="AD687">
        <v>5</v>
      </c>
      <c r="AE687">
        <v>5</v>
      </c>
      <c r="AF687">
        <v>5</v>
      </c>
      <c r="AG687">
        <v>5</v>
      </c>
      <c r="AH687">
        <v>4</v>
      </c>
    </row>
    <row r="688" spans="1:34" x14ac:dyDescent="0.3">
      <c r="A688">
        <v>687</v>
      </c>
      <c r="B688">
        <v>30602</v>
      </c>
      <c r="C688" s="2">
        <v>34997</v>
      </c>
      <c r="D688">
        <v>30</v>
      </c>
      <c r="E688" t="s">
        <v>42</v>
      </c>
      <c r="F688" t="s">
        <v>37</v>
      </c>
      <c r="G688" s="2">
        <v>44044</v>
      </c>
      <c r="H688" s="3">
        <f t="shared" si="10"/>
        <v>5.419178082191781</v>
      </c>
      <c r="I688">
        <v>10</v>
      </c>
      <c r="J688" t="s">
        <v>38</v>
      </c>
      <c r="K688" t="s">
        <v>72</v>
      </c>
      <c r="L688" t="s">
        <v>40</v>
      </c>
      <c r="M688">
        <v>53309</v>
      </c>
      <c r="N688">
        <v>52309</v>
      </c>
      <c r="O688">
        <v>51309</v>
      </c>
      <c r="P688">
        <v>50309</v>
      </c>
      <c r="Q688">
        <v>48309</v>
      </c>
      <c r="T688" t="s">
        <v>41</v>
      </c>
      <c r="U688">
        <v>2</v>
      </c>
      <c r="V688">
        <v>6</v>
      </c>
      <c r="W688">
        <v>6</v>
      </c>
      <c r="X688" s="2">
        <v>44330</v>
      </c>
      <c r="Y688" t="s">
        <v>69</v>
      </c>
      <c r="AD688">
        <v>4</v>
      </c>
      <c r="AE688">
        <v>4</v>
      </c>
      <c r="AF688">
        <v>2</v>
      </c>
      <c r="AG688">
        <v>3</v>
      </c>
      <c r="AH688">
        <v>3</v>
      </c>
    </row>
    <row r="689" spans="1:34" x14ac:dyDescent="0.3">
      <c r="A689">
        <v>688</v>
      </c>
      <c r="B689">
        <v>30605</v>
      </c>
      <c r="C689" s="2">
        <v>34871</v>
      </c>
      <c r="D689">
        <v>30</v>
      </c>
      <c r="E689" t="s">
        <v>42</v>
      </c>
      <c r="F689" t="s">
        <v>50</v>
      </c>
      <c r="G689" s="2">
        <v>44044</v>
      </c>
      <c r="H689" s="3">
        <f t="shared" si="10"/>
        <v>5.419178082191781</v>
      </c>
      <c r="I689">
        <v>16</v>
      </c>
      <c r="J689" t="s">
        <v>38</v>
      </c>
      <c r="K689" t="s">
        <v>72</v>
      </c>
      <c r="L689" t="s">
        <v>40</v>
      </c>
      <c r="M689">
        <v>55809</v>
      </c>
      <c r="N689">
        <v>53809</v>
      </c>
      <c r="O689">
        <v>51809</v>
      </c>
      <c r="P689">
        <v>50309</v>
      </c>
      <c r="Q689">
        <v>48309</v>
      </c>
      <c r="T689" t="s">
        <v>60</v>
      </c>
      <c r="U689">
        <v>2</v>
      </c>
      <c r="V689">
        <v>6</v>
      </c>
      <c r="W689">
        <v>5</v>
      </c>
      <c r="X689" s="2">
        <v>44526</v>
      </c>
      <c r="Y689" t="s">
        <v>69</v>
      </c>
      <c r="AD689">
        <v>5</v>
      </c>
      <c r="AE689">
        <v>5</v>
      </c>
      <c r="AF689">
        <v>5</v>
      </c>
      <c r="AG689">
        <v>4</v>
      </c>
      <c r="AH689">
        <v>2</v>
      </c>
    </row>
    <row r="690" spans="1:34" x14ac:dyDescent="0.3">
      <c r="A690">
        <v>689</v>
      </c>
      <c r="B690">
        <v>30606</v>
      </c>
      <c r="C690" s="2">
        <v>34295</v>
      </c>
      <c r="D690">
        <v>32</v>
      </c>
      <c r="E690" t="s">
        <v>42</v>
      </c>
      <c r="F690" t="s">
        <v>50</v>
      </c>
      <c r="G690" s="2">
        <v>44044</v>
      </c>
      <c r="H690" s="3">
        <f t="shared" si="10"/>
        <v>5.419178082191781</v>
      </c>
      <c r="I690">
        <v>59</v>
      </c>
      <c r="J690" t="s">
        <v>38</v>
      </c>
      <c r="K690" t="s">
        <v>72</v>
      </c>
      <c r="L690" t="s">
        <v>40</v>
      </c>
      <c r="M690">
        <v>56309</v>
      </c>
      <c r="N690">
        <v>54809</v>
      </c>
      <c r="O690">
        <v>53309</v>
      </c>
      <c r="P690">
        <v>51809</v>
      </c>
      <c r="Q690">
        <v>48309</v>
      </c>
      <c r="T690" t="s">
        <v>63</v>
      </c>
      <c r="U690">
        <v>2</v>
      </c>
      <c r="V690">
        <v>6</v>
      </c>
      <c r="W690">
        <v>6</v>
      </c>
      <c r="X690" s="2">
        <v>44361</v>
      </c>
      <c r="Y690" t="s">
        <v>69</v>
      </c>
      <c r="AD690">
        <v>5</v>
      </c>
      <c r="AE690">
        <v>5</v>
      </c>
      <c r="AF690">
        <v>5</v>
      </c>
      <c r="AG690">
        <v>5</v>
      </c>
      <c r="AH690">
        <v>4</v>
      </c>
    </row>
    <row r="691" spans="1:34" x14ac:dyDescent="0.3">
      <c r="A691">
        <v>690</v>
      </c>
      <c r="B691">
        <v>30611</v>
      </c>
      <c r="C691" s="2">
        <v>34146</v>
      </c>
      <c r="D691">
        <v>32</v>
      </c>
      <c r="E691" t="s">
        <v>42</v>
      </c>
      <c r="F691" t="s">
        <v>50</v>
      </c>
      <c r="G691" s="2">
        <v>44044</v>
      </c>
      <c r="H691" s="3">
        <f t="shared" si="10"/>
        <v>4.419178082191781</v>
      </c>
      <c r="I691">
        <v>4</v>
      </c>
      <c r="J691" t="s">
        <v>38</v>
      </c>
      <c r="K691" t="s">
        <v>72</v>
      </c>
      <c r="L691" t="s">
        <v>40</v>
      </c>
      <c r="M691">
        <v>54809</v>
      </c>
      <c r="N691">
        <v>53309</v>
      </c>
      <c r="O691">
        <v>51809</v>
      </c>
      <c r="P691">
        <v>50809</v>
      </c>
      <c r="Q691">
        <v>48309</v>
      </c>
      <c r="T691" t="s">
        <v>61</v>
      </c>
      <c r="U691">
        <v>2</v>
      </c>
      <c r="V691">
        <v>7</v>
      </c>
      <c r="W691">
        <v>6</v>
      </c>
      <c r="X691" s="2">
        <v>44537</v>
      </c>
      <c r="Y691" t="s">
        <v>69</v>
      </c>
      <c r="AD691">
        <v>5</v>
      </c>
      <c r="AE691">
        <v>5</v>
      </c>
      <c r="AF691">
        <v>5</v>
      </c>
      <c r="AG691">
        <v>3</v>
      </c>
      <c r="AH691">
        <v>2</v>
      </c>
    </row>
    <row r="692" spans="1:34" x14ac:dyDescent="0.3">
      <c r="A692">
        <v>691</v>
      </c>
      <c r="B692">
        <v>30613</v>
      </c>
      <c r="C692" s="2">
        <v>33502</v>
      </c>
      <c r="D692">
        <v>34</v>
      </c>
      <c r="E692" t="s">
        <v>42</v>
      </c>
      <c r="F692" t="s">
        <v>50</v>
      </c>
      <c r="G692" s="2">
        <v>44409</v>
      </c>
      <c r="H692" s="3">
        <f t="shared" si="10"/>
        <v>5.419178082191781</v>
      </c>
      <c r="I692">
        <v>7</v>
      </c>
      <c r="J692" t="s">
        <v>38</v>
      </c>
      <c r="K692" t="s">
        <v>72</v>
      </c>
      <c r="L692" t="s">
        <v>40</v>
      </c>
      <c r="M692">
        <v>50309</v>
      </c>
      <c r="N692">
        <v>50309</v>
      </c>
      <c r="O692">
        <v>50309</v>
      </c>
      <c r="P692">
        <v>49809</v>
      </c>
      <c r="T692" t="s">
        <v>63</v>
      </c>
      <c r="U692">
        <v>4</v>
      </c>
      <c r="V692">
        <v>6</v>
      </c>
      <c r="W692">
        <v>7</v>
      </c>
      <c r="X692" s="2">
        <v>44494</v>
      </c>
      <c r="Y692" t="s">
        <v>69</v>
      </c>
      <c r="AD692">
        <v>4</v>
      </c>
      <c r="AE692">
        <v>3</v>
      </c>
      <c r="AF692">
        <v>3</v>
      </c>
      <c r="AG692">
        <v>4</v>
      </c>
    </row>
    <row r="693" spans="1:34" x14ac:dyDescent="0.3">
      <c r="A693">
        <v>692</v>
      </c>
      <c r="B693">
        <v>30614</v>
      </c>
      <c r="C693" s="2">
        <v>33884</v>
      </c>
      <c r="D693">
        <v>33</v>
      </c>
      <c r="E693" t="s">
        <v>36</v>
      </c>
      <c r="F693" t="s">
        <v>50</v>
      </c>
      <c r="G693" s="2">
        <v>44044</v>
      </c>
      <c r="H693" s="3">
        <f t="shared" si="10"/>
        <v>4.419178082191781</v>
      </c>
      <c r="I693">
        <v>11</v>
      </c>
      <c r="J693" t="s">
        <v>38</v>
      </c>
      <c r="K693" t="s">
        <v>72</v>
      </c>
      <c r="L693" t="s">
        <v>40</v>
      </c>
      <c r="M693">
        <v>50309</v>
      </c>
      <c r="N693">
        <v>49809</v>
      </c>
      <c r="O693">
        <v>49309</v>
      </c>
      <c r="P693">
        <v>49309</v>
      </c>
      <c r="Q693">
        <v>48309</v>
      </c>
      <c r="T693" t="s">
        <v>70</v>
      </c>
      <c r="U693">
        <v>4</v>
      </c>
      <c r="V693">
        <v>5</v>
      </c>
      <c r="W693">
        <v>3</v>
      </c>
      <c r="X693" s="2">
        <v>44491</v>
      </c>
      <c r="Y693" t="s">
        <v>69</v>
      </c>
      <c r="AD693">
        <v>2</v>
      </c>
      <c r="AE693">
        <v>4</v>
      </c>
      <c r="AF693">
        <v>4</v>
      </c>
      <c r="AG693">
        <v>3</v>
      </c>
      <c r="AH693">
        <v>3</v>
      </c>
    </row>
    <row r="694" spans="1:34" x14ac:dyDescent="0.3">
      <c r="A694">
        <v>693</v>
      </c>
      <c r="B694">
        <v>30615</v>
      </c>
      <c r="C694" s="2">
        <v>34194</v>
      </c>
      <c r="D694">
        <v>32</v>
      </c>
      <c r="E694" t="s">
        <v>42</v>
      </c>
      <c r="F694" t="s">
        <v>50</v>
      </c>
      <c r="G694" s="2">
        <v>44409</v>
      </c>
      <c r="H694" s="3">
        <f t="shared" si="10"/>
        <v>5.419178082191781</v>
      </c>
      <c r="I694">
        <v>22</v>
      </c>
      <c r="J694" t="s">
        <v>38</v>
      </c>
      <c r="K694" t="s">
        <v>72</v>
      </c>
      <c r="L694" t="s">
        <v>40</v>
      </c>
      <c r="M694">
        <v>50809</v>
      </c>
      <c r="N694">
        <v>50309</v>
      </c>
      <c r="O694">
        <v>50309</v>
      </c>
      <c r="P694">
        <v>49809</v>
      </c>
      <c r="T694" t="s">
        <v>61</v>
      </c>
      <c r="U694">
        <v>1</v>
      </c>
      <c r="V694">
        <v>7</v>
      </c>
      <c r="W694">
        <v>7</v>
      </c>
      <c r="X694" s="2">
        <v>44550</v>
      </c>
      <c r="Y694" t="s">
        <v>69</v>
      </c>
      <c r="AD694">
        <v>5</v>
      </c>
      <c r="AE694">
        <v>3</v>
      </c>
      <c r="AF694">
        <v>3</v>
      </c>
      <c r="AG694">
        <v>2</v>
      </c>
    </row>
    <row r="695" spans="1:34" x14ac:dyDescent="0.3">
      <c r="A695">
        <v>694</v>
      </c>
      <c r="B695">
        <v>30622</v>
      </c>
      <c r="C695" s="2">
        <v>34805</v>
      </c>
      <c r="D695">
        <v>30</v>
      </c>
      <c r="E695" t="s">
        <v>36</v>
      </c>
      <c r="F695" t="s">
        <v>50</v>
      </c>
      <c r="G695" s="2">
        <v>44044</v>
      </c>
      <c r="H695" s="3">
        <f t="shared" si="10"/>
        <v>5.6410958904109592</v>
      </c>
      <c r="I695">
        <v>54</v>
      </c>
      <c r="J695" t="s">
        <v>38</v>
      </c>
      <c r="K695" t="s">
        <v>72</v>
      </c>
      <c r="L695" t="s">
        <v>40</v>
      </c>
      <c r="M695">
        <v>55559</v>
      </c>
      <c r="N695">
        <v>54059</v>
      </c>
      <c r="O695">
        <v>52559</v>
      </c>
      <c r="P695">
        <v>51309</v>
      </c>
      <c r="Q695">
        <v>48309</v>
      </c>
      <c r="T695" t="s">
        <v>60</v>
      </c>
      <c r="U695">
        <v>2</v>
      </c>
      <c r="V695">
        <v>5</v>
      </c>
      <c r="W695">
        <v>3</v>
      </c>
      <c r="X695" s="2">
        <v>44266</v>
      </c>
      <c r="Y695" t="s">
        <v>69</v>
      </c>
      <c r="AD695">
        <v>5</v>
      </c>
      <c r="AE695">
        <v>5</v>
      </c>
      <c r="AF695">
        <v>5</v>
      </c>
      <c r="AG695">
        <v>4</v>
      </c>
      <c r="AH695">
        <v>3</v>
      </c>
    </row>
    <row r="696" spans="1:34" x14ac:dyDescent="0.3">
      <c r="A696">
        <v>695</v>
      </c>
      <c r="B696">
        <v>30639</v>
      </c>
      <c r="C696" s="2">
        <v>34330</v>
      </c>
      <c r="D696">
        <v>32</v>
      </c>
      <c r="E696" t="s">
        <v>36</v>
      </c>
      <c r="F696" t="s">
        <v>50</v>
      </c>
      <c r="G696" s="2">
        <v>43963</v>
      </c>
      <c r="H696" s="3">
        <f t="shared" si="10"/>
        <v>4.9068493150684933</v>
      </c>
      <c r="I696">
        <v>54</v>
      </c>
      <c r="J696" t="s">
        <v>38</v>
      </c>
      <c r="K696" t="s">
        <v>51</v>
      </c>
      <c r="L696" t="s">
        <v>44</v>
      </c>
      <c r="M696">
        <v>34</v>
      </c>
      <c r="N696">
        <v>33.700000000000003</v>
      </c>
      <c r="O696">
        <v>33.4</v>
      </c>
      <c r="P696">
        <v>33.1</v>
      </c>
      <c r="Q696">
        <v>32.799999999999997</v>
      </c>
      <c r="T696" t="s">
        <v>52</v>
      </c>
      <c r="U696">
        <v>0</v>
      </c>
      <c r="V696">
        <v>3</v>
      </c>
    </row>
    <row r="697" spans="1:34" x14ac:dyDescent="0.3">
      <c r="A697">
        <v>696</v>
      </c>
      <c r="B697">
        <v>30666</v>
      </c>
      <c r="C697" s="2">
        <v>34436</v>
      </c>
      <c r="D697">
        <v>31</v>
      </c>
      <c r="E697" t="s">
        <v>36</v>
      </c>
      <c r="F697" t="s">
        <v>50</v>
      </c>
      <c r="G697" s="2">
        <v>44231</v>
      </c>
      <c r="H697" s="3">
        <f t="shared" si="10"/>
        <v>5.816438356164384</v>
      </c>
      <c r="I697">
        <v>130</v>
      </c>
      <c r="J697" t="s">
        <v>57</v>
      </c>
      <c r="K697" t="s">
        <v>51</v>
      </c>
      <c r="L697" t="s">
        <v>44</v>
      </c>
      <c r="M697">
        <v>33.340000000000003</v>
      </c>
      <c r="N697">
        <v>32.97</v>
      </c>
      <c r="O697">
        <v>32.97</v>
      </c>
      <c r="P697">
        <v>32.799999999999997</v>
      </c>
      <c r="T697" t="s">
        <v>52</v>
      </c>
      <c r="U697">
        <v>0</v>
      </c>
      <c r="V697">
        <v>3</v>
      </c>
    </row>
    <row r="698" spans="1:34" x14ac:dyDescent="0.3">
      <c r="A698">
        <v>697</v>
      </c>
      <c r="B698">
        <v>30671</v>
      </c>
      <c r="C698" s="2">
        <v>31157</v>
      </c>
      <c r="D698">
        <v>40</v>
      </c>
      <c r="E698" t="s">
        <v>36</v>
      </c>
      <c r="F698" t="s">
        <v>50</v>
      </c>
      <c r="G698" s="2">
        <v>43899</v>
      </c>
      <c r="H698" s="3">
        <f t="shared" si="10"/>
        <v>5.1643835616438354</v>
      </c>
      <c r="I698">
        <v>14</v>
      </c>
      <c r="J698" t="s">
        <v>38</v>
      </c>
      <c r="K698" t="s">
        <v>51</v>
      </c>
      <c r="L698" t="s">
        <v>44</v>
      </c>
      <c r="M698">
        <v>34</v>
      </c>
      <c r="N698">
        <v>33.700000000000003</v>
      </c>
      <c r="O698">
        <v>33.4</v>
      </c>
      <c r="P698">
        <v>33.1</v>
      </c>
      <c r="Q698">
        <v>32.799999999999997</v>
      </c>
      <c r="T698" t="s">
        <v>47</v>
      </c>
      <c r="U698">
        <v>0</v>
      </c>
      <c r="V698">
        <v>4</v>
      </c>
    </row>
    <row r="699" spans="1:34" x14ac:dyDescent="0.3">
      <c r="A699">
        <v>698</v>
      </c>
      <c r="B699">
        <v>30701</v>
      </c>
      <c r="C699" s="2">
        <v>34989</v>
      </c>
      <c r="D699">
        <v>30</v>
      </c>
      <c r="E699" t="s">
        <v>36</v>
      </c>
      <c r="F699" t="s">
        <v>37</v>
      </c>
      <c r="G699" s="2">
        <v>44137</v>
      </c>
      <c r="H699" s="3">
        <f t="shared" si="10"/>
        <v>5.4273972602739722</v>
      </c>
      <c r="I699">
        <v>33</v>
      </c>
      <c r="J699" t="s">
        <v>38</v>
      </c>
      <c r="K699" t="s">
        <v>51</v>
      </c>
      <c r="L699" t="s">
        <v>44</v>
      </c>
      <c r="M699">
        <v>34.32</v>
      </c>
      <c r="N699">
        <v>33.909999999999997</v>
      </c>
      <c r="O699">
        <v>33.479999999999997</v>
      </c>
      <c r="P699">
        <v>33.119999999999997</v>
      </c>
      <c r="Q699">
        <v>32.799999999999997</v>
      </c>
      <c r="T699" t="s">
        <v>49</v>
      </c>
      <c r="U699">
        <v>0</v>
      </c>
      <c r="V699">
        <v>4</v>
      </c>
    </row>
    <row r="700" spans="1:34" x14ac:dyDescent="0.3">
      <c r="A700">
        <v>699</v>
      </c>
      <c r="B700">
        <v>30716</v>
      </c>
      <c r="C700" s="2">
        <v>33421</v>
      </c>
      <c r="D700">
        <v>34</v>
      </c>
      <c r="E700" t="s">
        <v>36</v>
      </c>
      <c r="F700" t="s">
        <v>50</v>
      </c>
      <c r="G700" s="2">
        <v>44041</v>
      </c>
      <c r="H700" s="3">
        <f t="shared" si="10"/>
        <v>5.8684931506849312</v>
      </c>
      <c r="I700">
        <v>9</v>
      </c>
      <c r="J700" t="s">
        <v>38</v>
      </c>
      <c r="K700" t="s">
        <v>51</v>
      </c>
      <c r="L700" t="s">
        <v>44</v>
      </c>
      <c r="M700">
        <v>34</v>
      </c>
      <c r="N700">
        <v>33.700000000000003</v>
      </c>
      <c r="O700">
        <v>33.4</v>
      </c>
      <c r="P700">
        <v>33.1</v>
      </c>
      <c r="Q700">
        <v>32.799999999999997</v>
      </c>
      <c r="T700" t="s">
        <v>47</v>
      </c>
      <c r="U700">
        <v>0</v>
      </c>
      <c r="V700">
        <v>3</v>
      </c>
    </row>
    <row r="701" spans="1:34" x14ac:dyDescent="0.3">
      <c r="A701">
        <v>700</v>
      </c>
      <c r="B701">
        <v>30726</v>
      </c>
      <c r="C701" s="2">
        <v>33629</v>
      </c>
      <c r="D701">
        <v>33</v>
      </c>
      <c r="E701" t="s">
        <v>42</v>
      </c>
      <c r="F701" t="s">
        <v>50</v>
      </c>
      <c r="G701" s="2">
        <v>43880</v>
      </c>
      <c r="H701" s="3">
        <f t="shared" si="10"/>
        <v>5.0547945205479454</v>
      </c>
      <c r="I701">
        <v>116</v>
      </c>
      <c r="J701" t="s">
        <v>57</v>
      </c>
      <c r="K701" t="s">
        <v>51</v>
      </c>
      <c r="L701" t="s">
        <v>44</v>
      </c>
      <c r="M701">
        <v>34</v>
      </c>
      <c r="N701">
        <v>33.700000000000003</v>
      </c>
      <c r="O701">
        <v>33.4</v>
      </c>
      <c r="P701">
        <v>33.1</v>
      </c>
      <c r="Q701">
        <v>32.799999999999997</v>
      </c>
      <c r="T701" t="s">
        <v>52</v>
      </c>
      <c r="U701">
        <v>0</v>
      </c>
      <c r="V701">
        <v>6</v>
      </c>
    </row>
    <row r="702" spans="1:34" x14ac:dyDescent="0.3">
      <c r="A702">
        <v>701</v>
      </c>
      <c r="B702">
        <v>30729</v>
      </c>
      <c r="C702" s="2">
        <v>34432</v>
      </c>
      <c r="D702">
        <v>31</v>
      </c>
      <c r="E702" t="s">
        <v>36</v>
      </c>
      <c r="F702" t="s">
        <v>50</v>
      </c>
      <c r="G702" s="2">
        <v>44177</v>
      </c>
      <c r="H702" s="3">
        <f t="shared" si="10"/>
        <v>5.2684931506849315</v>
      </c>
      <c r="I702">
        <v>125</v>
      </c>
      <c r="J702" t="s">
        <v>57</v>
      </c>
      <c r="K702" t="s">
        <v>51</v>
      </c>
      <c r="L702" t="s">
        <v>44</v>
      </c>
      <c r="M702">
        <v>33.25</v>
      </c>
      <c r="N702">
        <v>33.1</v>
      </c>
      <c r="O702">
        <v>32.950000000000003</v>
      </c>
      <c r="P702">
        <v>32.799999999999997</v>
      </c>
      <c r="Q702">
        <v>32.799999999999997</v>
      </c>
      <c r="T702" t="s">
        <v>47</v>
      </c>
      <c r="U702">
        <v>0</v>
      </c>
      <c r="V702">
        <v>4</v>
      </c>
    </row>
    <row r="703" spans="1:34" x14ac:dyDescent="0.3">
      <c r="A703">
        <v>702</v>
      </c>
      <c r="B703">
        <v>30730</v>
      </c>
      <c r="C703" s="2">
        <v>32859</v>
      </c>
      <c r="D703">
        <v>36</v>
      </c>
      <c r="E703" t="s">
        <v>36</v>
      </c>
      <c r="F703" t="s">
        <v>50</v>
      </c>
      <c r="G703" s="2">
        <v>44099</v>
      </c>
      <c r="H703" s="3">
        <f t="shared" si="10"/>
        <v>5.6356164383561644</v>
      </c>
      <c r="I703">
        <v>135</v>
      </c>
      <c r="J703" t="s">
        <v>57</v>
      </c>
      <c r="K703" t="s">
        <v>51</v>
      </c>
      <c r="L703" t="s">
        <v>44</v>
      </c>
      <c r="M703">
        <v>34</v>
      </c>
      <c r="N703">
        <v>33.700000000000003</v>
      </c>
      <c r="O703">
        <v>33.4</v>
      </c>
      <c r="P703">
        <v>33.1</v>
      </c>
      <c r="Q703">
        <v>32.799999999999997</v>
      </c>
      <c r="T703" t="s">
        <v>47</v>
      </c>
      <c r="U703">
        <v>0</v>
      </c>
      <c r="V703">
        <v>5</v>
      </c>
    </row>
    <row r="704" spans="1:34" x14ac:dyDescent="0.3">
      <c r="A704">
        <v>703</v>
      </c>
      <c r="B704">
        <v>30748</v>
      </c>
      <c r="C704" s="2">
        <v>33878</v>
      </c>
      <c r="D704">
        <v>34</v>
      </c>
      <c r="E704" t="s">
        <v>42</v>
      </c>
      <c r="F704" t="s">
        <v>50</v>
      </c>
      <c r="G704" s="2">
        <v>43965</v>
      </c>
      <c r="H704" s="3">
        <f t="shared" si="10"/>
        <v>5.4520547945205475</v>
      </c>
      <c r="I704">
        <v>21</v>
      </c>
      <c r="J704" t="s">
        <v>38</v>
      </c>
      <c r="K704" t="s">
        <v>51</v>
      </c>
      <c r="L704" t="s">
        <v>44</v>
      </c>
      <c r="M704">
        <v>34</v>
      </c>
      <c r="N704">
        <v>33.700000000000003</v>
      </c>
      <c r="O704">
        <v>33.4</v>
      </c>
      <c r="P704">
        <v>33.1</v>
      </c>
      <c r="Q704">
        <v>32.799999999999997</v>
      </c>
      <c r="T704" t="s">
        <v>47</v>
      </c>
      <c r="U704">
        <v>0</v>
      </c>
      <c r="V704">
        <v>7</v>
      </c>
    </row>
    <row r="705" spans="1:22" x14ac:dyDescent="0.3">
      <c r="A705">
        <v>704</v>
      </c>
      <c r="B705">
        <v>30776</v>
      </c>
      <c r="C705" s="2">
        <v>31124</v>
      </c>
      <c r="D705">
        <v>40</v>
      </c>
      <c r="E705" t="s">
        <v>36</v>
      </c>
      <c r="F705" t="s">
        <v>50</v>
      </c>
      <c r="G705" s="2">
        <v>44032</v>
      </c>
      <c r="H705" s="3">
        <f t="shared" si="10"/>
        <v>5.4</v>
      </c>
      <c r="I705">
        <v>110</v>
      </c>
      <c r="J705" t="s">
        <v>57</v>
      </c>
      <c r="K705" t="s">
        <v>51</v>
      </c>
      <c r="L705" t="s">
        <v>44</v>
      </c>
      <c r="M705">
        <v>33.25</v>
      </c>
      <c r="N705">
        <v>33.1</v>
      </c>
      <c r="O705">
        <v>32.950000000000003</v>
      </c>
      <c r="P705">
        <v>32.950000000000003</v>
      </c>
      <c r="Q705">
        <v>32.799999999999997</v>
      </c>
      <c r="T705" t="s">
        <v>49</v>
      </c>
      <c r="U705">
        <v>0</v>
      </c>
      <c r="V705">
        <v>3</v>
      </c>
    </row>
    <row r="706" spans="1:22" x14ac:dyDescent="0.3">
      <c r="A706">
        <v>705</v>
      </c>
      <c r="B706">
        <v>30784</v>
      </c>
      <c r="C706" s="2">
        <v>33898</v>
      </c>
      <c r="D706">
        <v>33</v>
      </c>
      <c r="E706" t="s">
        <v>36</v>
      </c>
      <c r="F706" t="s">
        <v>50</v>
      </c>
      <c r="G706" s="2">
        <v>44051</v>
      </c>
      <c r="H706" s="3">
        <f t="shared" si="10"/>
        <v>5.6657534246575345</v>
      </c>
      <c r="I706">
        <v>22</v>
      </c>
      <c r="J706" t="s">
        <v>38</v>
      </c>
      <c r="K706" t="s">
        <v>51</v>
      </c>
      <c r="L706" t="s">
        <v>44</v>
      </c>
      <c r="M706">
        <v>33.1</v>
      </c>
      <c r="N706">
        <v>33.1</v>
      </c>
      <c r="O706">
        <v>32.950000000000003</v>
      </c>
      <c r="P706">
        <v>32.799999999999997</v>
      </c>
      <c r="Q706">
        <v>32.799999999999997</v>
      </c>
      <c r="T706" t="s">
        <v>52</v>
      </c>
      <c r="U706">
        <v>0</v>
      </c>
      <c r="V706">
        <v>3</v>
      </c>
    </row>
    <row r="707" spans="1:22" x14ac:dyDescent="0.3">
      <c r="A707">
        <v>706</v>
      </c>
      <c r="B707">
        <v>30816</v>
      </c>
      <c r="C707" s="2">
        <v>33482</v>
      </c>
      <c r="D707">
        <v>35</v>
      </c>
      <c r="E707" t="s">
        <v>36</v>
      </c>
      <c r="F707" t="s">
        <v>50</v>
      </c>
      <c r="G707" s="2">
        <v>43954</v>
      </c>
      <c r="H707" s="3">
        <f t="shared" ref="H707:H770" si="11">DATEDIF(G708,DATE(2025,12,31),"d")/365</f>
        <v>4.9178082191780819</v>
      </c>
      <c r="I707">
        <v>109</v>
      </c>
      <c r="J707" t="s">
        <v>57</v>
      </c>
      <c r="K707" t="s">
        <v>51</v>
      </c>
      <c r="L707" t="s">
        <v>44</v>
      </c>
      <c r="M707">
        <v>34</v>
      </c>
      <c r="N707">
        <v>33.700000000000003</v>
      </c>
      <c r="O707">
        <v>33.4</v>
      </c>
      <c r="P707">
        <v>33.1</v>
      </c>
      <c r="Q707">
        <v>32.799999999999997</v>
      </c>
      <c r="T707" t="s">
        <v>47</v>
      </c>
      <c r="U707">
        <v>0</v>
      </c>
      <c r="V707">
        <v>3</v>
      </c>
    </row>
    <row r="708" spans="1:22" x14ac:dyDescent="0.3">
      <c r="A708">
        <v>707</v>
      </c>
      <c r="B708">
        <v>30858</v>
      </c>
      <c r="C708" s="2">
        <v>34378</v>
      </c>
      <c r="D708">
        <v>31</v>
      </c>
      <c r="E708" t="s">
        <v>36</v>
      </c>
      <c r="F708" t="s">
        <v>50</v>
      </c>
      <c r="G708" s="2">
        <v>44227</v>
      </c>
      <c r="H708" s="3">
        <f t="shared" si="11"/>
        <v>5.3671232876712329</v>
      </c>
      <c r="I708">
        <v>66</v>
      </c>
      <c r="J708" t="s">
        <v>57</v>
      </c>
      <c r="K708" t="s">
        <v>53</v>
      </c>
      <c r="L708" t="s">
        <v>44</v>
      </c>
      <c r="M708">
        <v>22.58</v>
      </c>
      <c r="N708">
        <v>22.28</v>
      </c>
      <c r="O708">
        <v>21.98</v>
      </c>
      <c r="P708">
        <v>21.68</v>
      </c>
      <c r="T708" t="s">
        <v>49</v>
      </c>
      <c r="U708">
        <v>6</v>
      </c>
      <c r="V708">
        <v>7</v>
      </c>
    </row>
    <row r="709" spans="1:22" x14ac:dyDescent="0.3">
      <c r="A709">
        <v>708</v>
      </c>
      <c r="B709">
        <v>30880</v>
      </c>
      <c r="C709" s="2">
        <v>35167</v>
      </c>
      <c r="D709">
        <v>29</v>
      </c>
      <c r="E709" t="s">
        <v>36</v>
      </c>
      <c r="F709" t="s">
        <v>50</v>
      </c>
      <c r="G709" s="2">
        <v>44063</v>
      </c>
      <c r="H709" s="3">
        <f t="shared" si="11"/>
        <v>5.4547945205479449</v>
      </c>
      <c r="I709">
        <v>145</v>
      </c>
      <c r="J709" t="s">
        <v>57</v>
      </c>
      <c r="K709" t="s">
        <v>53</v>
      </c>
      <c r="L709" t="s">
        <v>44</v>
      </c>
      <c r="M709">
        <v>22.58</v>
      </c>
      <c r="N709">
        <v>22.28</v>
      </c>
      <c r="O709">
        <v>21.98</v>
      </c>
      <c r="P709">
        <v>21.68</v>
      </c>
      <c r="Q709">
        <v>21.38</v>
      </c>
      <c r="T709" t="s">
        <v>45</v>
      </c>
      <c r="U709">
        <v>3</v>
      </c>
      <c r="V709">
        <v>5</v>
      </c>
    </row>
    <row r="710" spans="1:22" x14ac:dyDescent="0.3">
      <c r="A710">
        <v>709</v>
      </c>
      <c r="B710">
        <v>30884</v>
      </c>
      <c r="C710" s="2">
        <v>34664</v>
      </c>
      <c r="D710">
        <v>31</v>
      </c>
      <c r="E710" t="s">
        <v>36</v>
      </c>
      <c r="F710" t="s">
        <v>50</v>
      </c>
      <c r="G710" s="2">
        <v>44031</v>
      </c>
      <c r="H710" s="3">
        <f t="shared" si="11"/>
        <v>5.1123287671232873</v>
      </c>
      <c r="I710">
        <v>12</v>
      </c>
      <c r="J710" t="s">
        <v>38</v>
      </c>
      <c r="K710" t="s">
        <v>53</v>
      </c>
      <c r="L710" t="s">
        <v>44</v>
      </c>
      <c r="M710">
        <v>22.58</v>
      </c>
      <c r="N710">
        <v>22.28</v>
      </c>
      <c r="O710">
        <v>21.98</v>
      </c>
      <c r="P710">
        <v>21.68</v>
      </c>
      <c r="Q710">
        <v>21.38</v>
      </c>
      <c r="T710" t="s">
        <v>49</v>
      </c>
      <c r="U710">
        <v>2</v>
      </c>
      <c r="V710">
        <v>4</v>
      </c>
    </row>
    <row r="711" spans="1:22" x14ac:dyDescent="0.3">
      <c r="A711">
        <v>710</v>
      </c>
      <c r="B711">
        <v>30910</v>
      </c>
      <c r="C711" s="2">
        <v>32949</v>
      </c>
      <c r="D711">
        <v>35</v>
      </c>
      <c r="E711" t="s">
        <v>36</v>
      </c>
      <c r="F711" t="s">
        <v>37</v>
      </c>
      <c r="G711" s="2">
        <v>44156</v>
      </c>
      <c r="H711" s="3">
        <f t="shared" si="11"/>
        <v>5.1287671232876715</v>
      </c>
      <c r="I711">
        <v>137</v>
      </c>
      <c r="J711" t="s">
        <v>57</v>
      </c>
      <c r="K711" t="s">
        <v>53</v>
      </c>
      <c r="L711" t="s">
        <v>44</v>
      </c>
      <c r="M711">
        <v>22.58</v>
      </c>
      <c r="N711">
        <v>22.28</v>
      </c>
      <c r="O711">
        <v>21.98</v>
      </c>
      <c r="P711">
        <v>21.68</v>
      </c>
      <c r="Q711">
        <v>21.38</v>
      </c>
      <c r="T711" t="s">
        <v>49</v>
      </c>
      <c r="U711">
        <v>3</v>
      </c>
      <c r="V711">
        <v>5</v>
      </c>
    </row>
    <row r="712" spans="1:22" x14ac:dyDescent="0.3">
      <c r="A712">
        <v>711</v>
      </c>
      <c r="B712">
        <v>30917</v>
      </c>
      <c r="C712" s="2">
        <v>34033</v>
      </c>
      <c r="D712">
        <v>32</v>
      </c>
      <c r="E712" t="s">
        <v>36</v>
      </c>
      <c r="F712" t="s">
        <v>50</v>
      </c>
      <c r="G712" s="2">
        <v>44150</v>
      </c>
      <c r="H712" s="3">
        <f t="shared" si="11"/>
        <v>5.1479452054794521</v>
      </c>
      <c r="I712">
        <v>1</v>
      </c>
      <c r="J712" t="s">
        <v>38</v>
      </c>
      <c r="K712" t="s">
        <v>53</v>
      </c>
      <c r="L712" t="s">
        <v>44</v>
      </c>
      <c r="M712">
        <v>22.58</v>
      </c>
      <c r="N712">
        <v>22.28</v>
      </c>
      <c r="O712">
        <v>21.98</v>
      </c>
      <c r="P712">
        <v>21.68</v>
      </c>
      <c r="Q712">
        <v>21.38</v>
      </c>
      <c r="T712" t="s">
        <v>47</v>
      </c>
      <c r="U712">
        <v>4</v>
      </c>
      <c r="V712">
        <v>5</v>
      </c>
    </row>
    <row r="713" spans="1:22" x14ac:dyDescent="0.3">
      <c r="A713">
        <v>712</v>
      </c>
      <c r="B713">
        <v>30921</v>
      </c>
      <c r="C713" s="2">
        <v>33392</v>
      </c>
      <c r="D713">
        <v>34</v>
      </c>
      <c r="E713" t="s">
        <v>36</v>
      </c>
      <c r="F713" t="s">
        <v>50</v>
      </c>
      <c r="G713" s="2">
        <v>44143</v>
      </c>
      <c r="H713" s="3">
        <f t="shared" si="11"/>
        <v>5.882191780821918</v>
      </c>
      <c r="I713">
        <v>36</v>
      </c>
      <c r="J713" t="s">
        <v>38</v>
      </c>
      <c r="K713" t="s">
        <v>53</v>
      </c>
      <c r="L713" t="s">
        <v>44</v>
      </c>
      <c r="M713">
        <v>22.58</v>
      </c>
      <c r="N713">
        <v>22.28</v>
      </c>
      <c r="O713">
        <v>21.98</v>
      </c>
      <c r="P713">
        <v>21.68</v>
      </c>
      <c r="Q713">
        <v>21.38</v>
      </c>
      <c r="T713" t="s">
        <v>47</v>
      </c>
      <c r="U713">
        <v>4</v>
      </c>
      <c r="V713">
        <v>5</v>
      </c>
    </row>
    <row r="714" spans="1:22" x14ac:dyDescent="0.3">
      <c r="A714">
        <v>713</v>
      </c>
      <c r="B714">
        <v>30940</v>
      </c>
      <c r="C714" s="2">
        <v>34301</v>
      </c>
      <c r="D714">
        <v>32</v>
      </c>
      <c r="E714" t="s">
        <v>36</v>
      </c>
      <c r="F714" t="s">
        <v>50</v>
      </c>
      <c r="G714" s="2">
        <v>43875</v>
      </c>
      <c r="H714" s="3">
        <f t="shared" si="11"/>
        <v>5.7753424657534245</v>
      </c>
      <c r="I714">
        <v>136</v>
      </c>
      <c r="J714" t="s">
        <v>57</v>
      </c>
      <c r="K714" t="s">
        <v>53</v>
      </c>
      <c r="L714" t="s">
        <v>44</v>
      </c>
      <c r="M714">
        <v>22.65</v>
      </c>
      <c r="N714">
        <v>22.34</v>
      </c>
      <c r="O714">
        <v>21.95</v>
      </c>
      <c r="P714">
        <v>21.78</v>
      </c>
      <c r="Q714">
        <v>21.38</v>
      </c>
      <c r="T714" t="s">
        <v>52</v>
      </c>
      <c r="U714">
        <v>6</v>
      </c>
      <c r="V714">
        <v>7</v>
      </c>
    </row>
    <row r="715" spans="1:22" x14ac:dyDescent="0.3">
      <c r="A715">
        <v>714</v>
      </c>
      <c r="B715">
        <v>30945</v>
      </c>
      <c r="C715" s="2">
        <v>34776</v>
      </c>
      <c r="D715">
        <v>30</v>
      </c>
      <c r="E715" t="s">
        <v>42</v>
      </c>
      <c r="F715" t="s">
        <v>50</v>
      </c>
      <c r="G715" s="2">
        <v>43914</v>
      </c>
      <c r="H715" s="3">
        <f t="shared" si="11"/>
        <v>5.0575342465753428</v>
      </c>
      <c r="I715">
        <v>14</v>
      </c>
      <c r="J715" t="s">
        <v>38</v>
      </c>
      <c r="K715" t="s">
        <v>53</v>
      </c>
      <c r="L715" t="s">
        <v>44</v>
      </c>
      <c r="M715">
        <v>22.58</v>
      </c>
      <c r="N715">
        <v>22.28</v>
      </c>
      <c r="O715">
        <v>21.98</v>
      </c>
      <c r="P715">
        <v>21.68</v>
      </c>
      <c r="Q715">
        <v>21.38</v>
      </c>
      <c r="T715" t="s">
        <v>47</v>
      </c>
      <c r="U715">
        <v>4</v>
      </c>
      <c r="V715">
        <v>7</v>
      </c>
    </row>
    <row r="716" spans="1:22" x14ac:dyDescent="0.3">
      <c r="A716">
        <v>715</v>
      </c>
      <c r="B716">
        <v>30960</v>
      </c>
      <c r="C716" s="2">
        <v>34114</v>
      </c>
      <c r="D716">
        <v>32</v>
      </c>
      <c r="E716" t="s">
        <v>42</v>
      </c>
      <c r="F716" t="s">
        <v>50</v>
      </c>
      <c r="G716" s="2">
        <v>44176</v>
      </c>
      <c r="H716" s="3">
        <f t="shared" si="11"/>
        <v>5.6</v>
      </c>
      <c r="I716">
        <v>84</v>
      </c>
      <c r="J716" t="s">
        <v>57</v>
      </c>
      <c r="K716" t="s">
        <v>53</v>
      </c>
      <c r="L716" t="s">
        <v>44</v>
      </c>
      <c r="M716">
        <v>22.58</v>
      </c>
      <c r="N716">
        <v>22.28</v>
      </c>
      <c r="O716">
        <v>21.98</v>
      </c>
      <c r="P716">
        <v>21.68</v>
      </c>
      <c r="Q716">
        <v>21.38</v>
      </c>
      <c r="T716" t="s">
        <v>52</v>
      </c>
      <c r="U716">
        <v>4</v>
      </c>
      <c r="V716">
        <v>7</v>
      </c>
    </row>
    <row r="717" spans="1:22" x14ac:dyDescent="0.3">
      <c r="A717">
        <v>716</v>
      </c>
      <c r="B717">
        <v>30972</v>
      </c>
      <c r="C717" s="2">
        <v>32220</v>
      </c>
      <c r="D717">
        <v>37</v>
      </c>
      <c r="E717" t="s">
        <v>36</v>
      </c>
      <c r="F717" t="s">
        <v>50</v>
      </c>
      <c r="G717" s="2">
        <v>43978</v>
      </c>
      <c r="H717" s="3">
        <f t="shared" si="11"/>
        <v>4.8986301369863012</v>
      </c>
      <c r="I717">
        <v>59</v>
      </c>
      <c r="J717" t="s">
        <v>38</v>
      </c>
      <c r="K717" t="s">
        <v>53</v>
      </c>
      <c r="L717" t="s">
        <v>44</v>
      </c>
      <c r="M717">
        <v>22.58</v>
      </c>
      <c r="N717">
        <v>22.28</v>
      </c>
      <c r="O717">
        <v>21.98</v>
      </c>
      <c r="P717">
        <v>21.68</v>
      </c>
      <c r="Q717">
        <v>21.38</v>
      </c>
      <c r="T717" t="s">
        <v>47</v>
      </c>
      <c r="U717">
        <v>3</v>
      </c>
      <c r="V717">
        <v>4</v>
      </c>
    </row>
    <row r="718" spans="1:22" x14ac:dyDescent="0.3">
      <c r="A718">
        <v>717</v>
      </c>
      <c r="B718">
        <v>30995</v>
      </c>
      <c r="C718" s="2">
        <v>32353</v>
      </c>
      <c r="D718">
        <v>37</v>
      </c>
      <c r="E718" t="s">
        <v>42</v>
      </c>
      <c r="F718" t="s">
        <v>50</v>
      </c>
      <c r="G718" s="2">
        <v>44234</v>
      </c>
      <c r="H718" s="3">
        <f t="shared" si="11"/>
        <v>5.1753424657534248</v>
      </c>
      <c r="I718">
        <v>68</v>
      </c>
      <c r="J718" t="s">
        <v>57</v>
      </c>
      <c r="K718" t="s">
        <v>53</v>
      </c>
      <c r="L718" t="s">
        <v>44</v>
      </c>
      <c r="M718">
        <v>22.74</v>
      </c>
      <c r="N718">
        <v>22.3</v>
      </c>
      <c r="O718">
        <v>21.99</v>
      </c>
      <c r="P718">
        <v>21.63</v>
      </c>
      <c r="T718" t="s">
        <v>49</v>
      </c>
      <c r="U718">
        <v>2</v>
      </c>
      <c r="V718">
        <v>5</v>
      </c>
    </row>
    <row r="719" spans="1:22" x14ac:dyDescent="0.3">
      <c r="A719">
        <v>718</v>
      </c>
      <c r="B719">
        <v>31014</v>
      </c>
      <c r="C719" s="2">
        <v>34226</v>
      </c>
      <c r="D719">
        <v>32</v>
      </c>
      <c r="E719" t="s">
        <v>36</v>
      </c>
      <c r="F719" t="s">
        <v>37</v>
      </c>
      <c r="G719" s="2">
        <v>44133</v>
      </c>
      <c r="H719" s="3">
        <f t="shared" si="11"/>
        <v>4.8739726027397259</v>
      </c>
      <c r="I719">
        <v>7</v>
      </c>
      <c r="J719" t="s">
        <v>38</v>
      </c>
      <c r="K719" t="s">
        <v>53</v>
      </c>
      <c r="L719" t="s">
        <v>44</v>
      </c>
      <c r="M719">
        <v>21.83</v>
      </c>
      <c r="N719">
        <v>21.68</v>
      </c>
      <c r="O719">
        <v>21.53</v>
      </c>
      <c r="P719">
        <v>21.38</v>
      </c>
      <c r="Q719">
        <v>21.38</v>
      </c>
      <c r="T719" t="s">
        <v>52</v>
      </c>
      <c r="U719">
        <v>4</v>
      </c>
      <c r="V719">
        <v>4</v>
      </c>
    </row>
    <row r="720" spans="1:22" x14ac:dyDescent="0.3">
      <c r="A720">
        <v>719</v>
      </c>
      <c r="B720">
        <v>31033</v>
      </c>
      <c r="C720" s="2">
        <v>33774</v>
      </c>
      <c r="D720">
        <v>33</v>
      </c>
      <c r="E720" t="s">
        <v>42</v>
      </c>
      <c r="F720" t="s">
        <v>50</v>
      </c>
      <c r="G720" s="2">
        <v>44243</v>
      </c>
      <c r="H720" s="3">
        <f t="shared" si="11"/>
        <v>5.3205479452054796</v>
      </c>
      <c r="I720">
        <v>83</v>
      </c>
      <c r="J720" t="s">
        <v>57</v>
      </c>
      <c r="K720" t="s">
        <v>53</v>
      </c>
      <c r="L720" t="s">
        <v>44</v>
      </c>
      <c r="M720">
        <v>22.58</v>
      </c>
      <c r="N720">
        <v>22.28</v>
      </c>
      <c r="O720">
        <v>21.98</v>
      </c>
      <c r="P720">
        <v>21.68</v>
      </c>
      <c r="T720" t="s">
        <v>47</v>
      </c>
      <c r="U720">
        <v>5</v>
      </c>
      <c r="V720">
        <v>6</v>
      </c>
    </row>
    <row r="721" spans="1:22" x14ac:dyDescent="0.3">
      <c r="A721">
        <v>720</v>
      </c>
      <c r="B721">
        <v>31043</v>
      </c>
      <c r="C721" s="2">
        <v>33001</v>
      </c>
      <c r="D721">
        <v>35</v>
      </c>
      <c r="E721" t="s">
        <v>42</v>
      </c>
      <c r="F721" t="s">
        <v>50</v>
      </c>
      <c r="G721" s="2">
        <v>44080</v>
      </c>
      <c r="H721" s="3">
        <f t="shared" si="11"/>
        <v>5</v>
      </c>
      <c r="I721">
        <v>130</v>
      </c>
      <c r="J721" t="s">
        <v>57</v>
      </c>
      <c r="K721" t="s">
        <v>53</v>
      </c>
      <c r="L721" t="s">
        <v>44</v>
      </c>
      <c r="M721">
        <v>22.93</v>
      </c>
      <c r="N721">
        <v>22.53</v>
      </c>
      <c r="O721">
        <v>22.22</v>
      </c>
      <c r="P721">
        <v>21.79</v>
      </c>
      <c r="Q721">
        <v>21.38</v>
      </c>
      <c r="T721" t="s">
        <v>45</v>
      </c>
      <c r="U721">
        <v>4</v>
      </c>
      <c r="V721">
        <v>6</v>
      </c>
    </row>
    <row r="722" spans="1:22" x14ac:dyDescent="0.3">
      <c r="A722">
        <v>721</v>
      </c>
      <c r="B722">
        <v>31044</v>
      </c>
      <c r="C722" s="2">
        <v>34378</v>
      </c>
      <c r="D722">
        <v>31</v>
      </c>
      <c r="E722" t="s">
        <v>42</v>
      </c>
      <c r="F722" t="s">
        <v>50</v>
      </c>
      <c r="G722" s="2">
        <v>44197</v>
      </c>
      <c r="H722" s="3">
        <f t="shared" si="11"/>
        <v>5.3068493150684928</v>
      </c>
      <c r="I722">
        <v>131</v>
      </c>
      <c r="J722" t="s">
        <v>57</v>
      </c>
      <c r="K722" t="s">
        <v>53</v>
      </c>
      <c r="L722" t="s">
        <v>44</v>
      </c>
      <c r="M722">
        <v>22.58</v>
      </c>
      <c r="N722">
        <v>22.28</v>
      </c>
      <c r="O722">
        <v>21.98</v>
      </c>
      <c r="P722">
        <v>21.68</v>
      </c>
      <c r="T722" t="s">
        <v>47</v>
      </c>
      <c r="U722">
        <v>4</v>
      </c>
      <c r="V722">
        <v>7</v>
      </c>
    </row>
    <row r="723" spans="1:22" x14ac:dyDescent="0.3">
      <c r="A723">
        <v>722</v>
      </c>
      <c r="B723">
        <v>31047</v>
      </c>
      <c r="C723" s="2">
        <v>34812</v>
      </c>
      <c r="D723">
        <v>30</v>
      </c>
      <c r="E723" t="s">
        <v>36</v>
      </c>
      <c r="F723" t="s">
        <v>50</v>
      </c>
      <c r="G723" s="2">
        <v>44085</v>
      </c>
      <c r="H723" s="3">
        <f t="shared" si="11"/>
        <v>5.0712328767123287</v>
      </c>
      <c r="I723">
        <v>145</v>
      </c>
      <c r="J723" t="s">
        <v>57</v>
      </c>
      <c r="K723" t="s">
        <v>53</v>
      </c>
      <c r="L723" t="s">
        <v>44</v>
      </c>
      <c r="M723">
        <v>22.58</v>
      </c>
      <c r="N723">
        <v>22.28</v>
      </c>
      <c r="O723">
        <v>21.98</v>
      </c>
      <c r="P723">
        <v>21.68</v>
      </c>
      <c r="Q723">
        <v>21.38</v>
      </c>
      <c r="T723" t="s">
        <v>52</v>
      </c>
      <c r="U723">
        <v>3</v>
      </c>
      <c r="V723">
        <v>5</v>
      </c>
    </row>
    <row r="724" spans="1:22" x14ac:dyDescent="0.3">
      <c r="A724">
        <v>723</v>
      </c>
      <c r="B724">
        <v>31052</v>
      </c>
      <c r="C724" s="2">
        <v>34124</v>
      </c>
      <c r="D724">
        <v>32</v>
      </c>
      <c r="E724" t="s">
        <v>36</v>
      </c>
      <c r="F724" t="s">
        <v>37</v>
      </c>
      <c r="G724" s="2">
        <v>44171</v>
      </c>
      <c r="H724" s="3">
        <f t="shared" si="11"/>
        <v>4.8931506849315065</v>
      </c>
      <c r="I724">
        <v>4</v>
      </c>
      <c r="J724" t="s">
        <v>38</v>
      </c>
      <c r="K724" t="s">
        <v>53</v>
      </c>
      <c r="L724" t="s">
        <v>44</v>
      </c>
      <c r="M724">
        <v>22.58</v>
      </c>
      <c r="N724">
        <v>22.28</v>
      </c>
      <c r="O724">
        <v>21.98</v>
      </c>
      <c r="P724">
        <v>21.68</v>
      </c>
      <c r="Q724">
        <v>21.38</v>
      </c>
      <c r="T724" t="s">
        <v>45</v>
      </c>
      <c r="U724">
        <v>6</v>
      </c>
      <c r="V724">
        <v>5</v>
      </c>
    </row>
    <row r="725" spans="1:22" x14ac:dyDescent="0.3">
      <c r="A725">
        <v>724</v>
      </c>
      <c r="B725">
        <v>31053</v>
      </c>
      <c r="C725" s="2">
        <v>34827</v>
      </c>
      <c r="D725">
        <v>30</v>
      </c>
      <c r="E725" t="s">
        <v>36</v>
      </c>
      <c r="F725" t="s">
        <v>50</v>
      </c>
      <c r="G725" s="2">
        <v>44236</v>
      </c>
      <c r="H725" s="3">
        <f t="shared" si="11"/>
        <v>5.2328767123287667</v>
      </c>
      <c r="I725">
        <v>4</v>
      </c>
      <c r="J725" t="s">
        <v>38</v>
      </c>
      <c r="K725" t="s">
        <v>53</v>
      </c>
      <c r="L725" t="s">
        <v>44</v>
      </c>
      <c r="M725">
        <v>22.58</v>
      </c>
      <c r="N725">
        <v>22.28</v>
      </c>
      <c r="O725">
        <v>21.98</v>
      </c>
      <c r="P725">
        <v>21.68</v>
      </c>
      <c r="T725" t="s">
        <v>45</v>
      </c>
      <c r="U725">
        <v>3</v>
      </c>
      <c r="V725">
        <v>5</v>
      </c>
    </row>
    <row r="726" spans="1:22" x14ac:dyDescent="0.3">
      <c r="A726">
        <v>725</v>
      </c>
      <c r="B726">
        <v>31061</v>
      </c>
      <c r="C726" s="2">
        <v>33256</v>
      </c>
      <c r="D726">
        <v>34</v>
      </c>
      <c r="E726" t="s">
        <v>42</v>
      </c>
      <c r="F726" t="s">
        <v>50</v>
      </c>
      <c r="G726" s="2">
        <v>44112</v>
      </c>
      <c r="H726" s="3">
        <f t="shared" si="11"/>
        <v>5.375342465753425</v>
      </c>
      <c r="I726">
        <v>16</v>
      </c>
      <c r="J726" t="s">
        <v>38</v>
      </c>
      <c r="K726" t="s">
        <v>53</v>
      </c>
      <c r="L726" t="s">
        <v>44</v>
      </c>
      <c r="M726">
        <v>22.58</v>
      </c>
      <c r="N726">
        <v>22.28</v>
      </c>
      <c r="O726">
        <v>21.98</v>
      </c>
      <c r="P726">
        <v>21.68</v>
      </c>
      <c r="Q726">
        <v>21.38</v>
      </c>
      <c r="T726" t="s">
        <v>45</v>
      </c>
      <c r="U726">
        <v>6</v>
      </c>
      <c r="V726">
        <v>7</v>
      </c>
    </row>
    <row r="727" spans="1:22" x14ac:dyDescent="0.3">
      <c r="A727">
        <v>726</v>
      </c>
      <c r="B727">
        <v>31062</v>
      </c>
      <c r="C727" s="2">
        <v>33811</v>
      </c>
      <c r="D727">
        <v>33</v>
      </c>
      <c r="E727" t="s">
        <v>42</v>
      </c>
      <c r="F727" t="s">
        <v>50</v>
      </c>
      <c r="G727" s="2">
        <v>44060</v>
      </c>
      <c r="H727" s="3">
        <f t="shared" si="11"/>
        <v>5.2356164383561641</v>
      </c>
      <c r="I727">
        <v>17</v>
      </c>
      <c r="J727" t="s">
        <v>38</v>
      </c>
      <c r="K727" t="s">
        <v>53</v>
      </c>
      <c r="L727" t="s">
        <v>44</v>
      </c>
      <c r="M727">
        <v>22.58</v>
      </c>
      <c r="N727">
        <v>22.28</v>
      </c>
      <c r="O727">
        <v>21.98</v>
      </c>
      <c r="P727">
        <v>21.68</v>
      </c>
      <c r="Q727">
        <v>21.38</v>
      </c>
      <c r="T727" t="s">
        <v>47</v>
      </c>
      <c r="U727">
        <v>4</v>
      </c>
      <c r="V727">
        <v>5</v>
      </c>
    </row>
    <row r="728" spans="1:22" x14ac:dyDescent="0.3">
      <c r="A728">
        <v>727</v>
      </c>
      <c r="B728">
        <v>31101</v>
      </c>
      <c r="C728" s="2">
        <v>34488</v>
      </c>
      <c r="D728">
        <v>31</v>
      </c>
      <c r="E728" t="s">
        <v>36</v>
      </c>
      <c r="F728" t="s">
        <v>50</v>
      </c>
      <c r="G728" s="2">
        <v>44111</v>
      </c>
      <c r="H728" s="3">
        <f t="shared" si="11"/>
        <v>5.2164383561643834</v>
      </c>
      <c r="I728">
        <v>46</v>
      </c>
      <c r="J728" t="s">
        <v>38</v>
      </c>
      <c r="K728" t="s">
        <v>53</v>
      </c>
      <c r="L728" t="s">
        <v>44</v>
      </c>
      <c r="M728">
        <v>22.82</v>
      </c>
      <c r="N728">
        <v>22.38</v>
      </c>
      <c r="O728">
        <v>22.14</v>
      </c>
      <c r="P728">
        <v>21.77</v>
      </c>
      <c r="Q728">
        <v>21.38</v>
      </c>
      <c r="T728" t="s">
        <v>49</v>
      </c>
      <c r="U728">
        <v>6</v>
      </c>
      <c r="V728">
        <v>5</v>
      </c>
    </row>
    <row r="729" spans="1:22" x14ac:dyDescent="0.3">
      <c r="A729">
        <v>728</v>
      </c>
      <c r="B729">
        <v>31126</v>
      </c>
      <c r="C729" s="2">
        <v>34699</v>
      </c>
      <c r="D729">
        <v>31</v>
      </c>
      <c r="E729" t="s">
        <v>36</v>
      </c>
      <c r="F729" t="s">
        <v>50</v>
      </c>
      <c r="G729" s="2">
        <v>44118</v>
      </c>
      <c r="H729" s="3">
        <f t="shared" si="11"/>
        <v>5</v>
      </c>
      <c r="I729">
        <v>67</v>
      </c>
      <c r="J729" t="s">
        <v>57</v>
      </c>
      <c r="K729" t="s">
        <v>53</v>
      </c>
      <c r="L729" t="s">
        <v>44</v>
      </c>
      <c r="M729">
        <v>22.92</v>
      </c>
      <c r="N729">
        <v>22.57</v>
      </c>
      <c r="O729">
        <v>22.14</v>
      </c>
      <c r="P729">
        <v>21.78</v>
      </c>
      <c r="Q729">
        <v>21.38</v>
      </c>
      <c r="T729" t="s">
        <v>52</v>
      </c>
      <c r="U729">
        <v>3</v>
      </c>
      <c r="V729">
        <v>5</v>
      </c>
    </row>
    <row r="730" spans="1:22" x14ac:dyDescent="0.3">
      <c r="A730">
        <v>729</v>
      </c>
      <c r="B730">
        <v>31170</v>
      </c>
      <c r="C730" s="2">
        <v>30217</v>
      </c>
      <c r="D730">
        <v>43</v>
      </c>
      <c r="E730" t="s">
        <v>42</v>
      </c>
      <c r="F730" t="s">
        <v>50</v>
      </c>
      <c r="G730" s="2">
        <v>44197</v>
      </c>
      <c r="H730" s="3">
        <f t="shared" si="11"/>
        <v>5.2958904109589042</v>
      </c>
      <c r="I730">
        <v>120</v>
      </c>
      <c r="J730" t="s">
        <v>57</v>
      </c>
      <c r="K730" t="s">
        <v>53</v>
      </c>
      <c r="L730" t="s">
        <v>44</v>
      </c>
      <c r="M730">
        <v>22.58</v>
      </c>
      <c r="N730">
        <v>22.28</v>
      </c>
      <c r="O730">
        <v>21.98</v>
      </c>
      <c r="P730">
        <v>21.68</v>
      </c>
      <c r="T730" t="s">
        <v>49</v>
      </c>
      <c r="U730">
        <v>4</v>
      </c>
      <c r="V730">
        <v>7</v>
      </c>
    </row>
    <row r="731" spans="1:22" x14ac:dyDescent="0.3">
      <c r="A731">
        <v>730</v>
      </c>
      <c r="B731">
        <v>31172</v>
      </c>
      <c r="C731" s="2">
        <v>33413</v>
      </c>
      <c r="D731">
        <v>34</v>
      </c>
      <c r="E731" t="s">
        <v>36</v>
      </c>
      <c r="F731" t="s">
        <v>50</v>
      </c>
      <c r="G731" s="2">
        <v>44089</v>
      </c>
      <c r="H731" s="3">
        <f t="shared" si="11"/>
        <v>5.7835616438356166</v>
      </c>
      <c r="I731">
        <v>121</v>
      </c>
      <c r="J731" t="s">
        <v>57</v>
      </c>
      <c r="K731" t="s">
        <v>53</v>
      </c>
      <c r="L731" t="s">
        <v>44</v>
      </c>
      <c r="M731">
        <v>22.58</v>
      </c>
      <c r="N731">
        <v>22.28</v>
      </c>
      <c r="O731">
        <v>21.98</v>
      </c>
      <c r="P731">
        <v>21.68</v>
      </c>
      <c r="Q731">
        <v>21.38</v>
      </c>
      <c r="T731" t="s">
        <v>49</v>
      </c>
      <c r="U731">
        <v>6</v>
      </c>
      <c r="V731">
        <v>5</v>
      </c>
    </row>
    <row r="732" spans="1:22" x14ac:dyDescent="0.3">
      <c r="A732">
        <v>731</v>
      </c>
      <c r="B732">
        <v>31182</v>
      </c>
      <c r="C732" s="2">
        <v>33827</v>
      </c>
      <c r="D732">
        <v>33</v>
      </c>
      <c r="E732" t="s">
        <v>36</v>
      </c>
      <c r="F732" t="s">
        <v>37</v>
      </c>
      <c r="G732" s="2">
        <v>43911</v>
      </c>
      <c r="H732" s="3">
        <f t="shared" si="11"/>
        <v>5.6684931506849319</v>
      </c>
      <c r="I732">
        <v>132</v>
      </c>
      <c r="J732" t="s">
        <v>57</v>
      </c>
      <c r="K732" t="s">
        <v>53</v>
      </c>
      <c r="L732" t="s">
        <v>44</v>
      </c>
      <c r="M732">
        <v>22.58</v>
      </c>
      <c r="N732">
        <v>22.28</v>
      </c>
      <c r="O732">
        <v>21.98</v>
      </c>
      <c r="P732">
        <v>21.68</v>
      </c>
      <c r="Q732">
        <v>21.38</v>
      </c>
      <c r="T732" t="s">
        <v>47</v>
      </c>
      <c r="U732">
        <v>4</v>
      </c>
      <c r="V732">
        <v>3</v>
      </c>
    </row>
    <row r="733" spans="1:22" x14ac:dyDescent="0.3">
      <c r="A733">
        <v>732</v>
      </c>
      <c r="B733">
        <v>31189</v>
      </c>
      <c r="C733" s="2">
        <v>36821</v>
      </c>
      <c r="D733">
        <v>25</v>
      </c>
      <c r="E733" t="s">
        <v>42</v>
      </c>
      <c r="F733" t="s">
        <v>50</v>
      </c>
      <c r="G733" s="2">
        <v>43953</v>
      </c>
      <c r="H733" s="3">
        <f t="shared" si="11"/>
        <v>5.4082191780821915</v>
      </c>
      <c r="I733">
        <v>18</v>
      </c>
      <c r="J733" t="s">
        <v>38</v>
      </c>
      <c r="K733" t="s">
        <v>43</v>
      </c>
      <c r="L733" t="s">
        <v>44</v>
      </c>
      <c r="M733">
        <v>16.03</v>
      </c>
      <c r="N733">
        <v>15.73</v>
      </c>
      <c r="O733">
        <v>15.43</v>
      </c>
      <c r="P733">
        <v>15.13</v>
      </c>
      <c r="Q733">
        <v>14.83</v>
      </c>
      <c r="T733" t="s">
        <v>47</v>
      </c>
      <c r="U733">
        <v>0</v>
      </c>
      <c r="V733">
        <v>7</v>
      </c>
    </row>
    <row r="734" spans="1:22" x14ac:dyDescent="0.3">
      <c r="A734">
        <v>733</v>
      </c>
      <c r="B734">
        <v>31197</v>
      </c>
      <c r="C734" s="2">
        <v>37351</v>
      </c>
      <c r="D734">
        <v>23</v>
      </c>
      <c r="E734" t="s">
        <v>36</v>
      </c>
      <c r="F734" t="s">
        <v>50</v>
      </c>
      <c r="G734" s="2">
        <v>44048</v>
      </c>
      <c r="H734" s="3">
        <f t="shared" si="11"/>
        <v>5.7150684931506852</v>
      </c>
      <c r="I734">
        <v>33</v>
      </c>
      <c r="J734" t="s">
        <v>38</v>
      </c>
      <c r="K734" t="s">
        <v>65</v>
      </c>
      <c r="L734" t="s">
        <v>44</v>
      </c>
      <c r="M734">
        <v>10.31</v>
      </c>
      <c r="N734">
        <v>10.050000000000001</v>
      </c>
      <c r="O734">
        <v>9.7799999999999994</v>
      </c>
      <c r="P734">
        <v>9.7799999999999994</v>
      </c>
      <c r="Q734">
        <v>9.64</v>
      </c>
      <c r="T734" t="s">
        <v>47</v>
      </c>
      <c r="U734">
        <v>1</v>
      </c>
      <c r="V734">
        <v>4</v>
      </c>
    </row>
    <row r="735" spans="1:22" x14ac:dyDescent="0.3">
      <c r="A735">
        <v>734</v>
      </c>
      <c r="B735">
        <v>31198</v>
      </c>
      <c r="C735" s="2">
        <v>33576</v>
      </c>
      <c r="D735">
        <v>34</v>
      </c>
      <c r="E735" t="s">
        <v>36</v>
      </c>
      <c r="F735" t="s">
        <v>37</v>
      </c>
      <c r="G735" s="2">
        <v>43936</v>
      </c>
      <c r="H735" s="3">
        <f t="shared" si="11"/>
        <v>4.9150684931506845</v>
      </c>
      <c r="I735">
        <v>33</v>
      </c>
      <c r="J735" t="s">
        <v>38</v>
      </c>
      <c r="K735" t="s">
        <v>54</v>
      </c>
      <c r="L735" t="s">
        <v>44</v>
      </c>
      <c r="M735">
        <v>22.86</v>
      </c>
      <c r="N735">
        <v>22.61</v>
      </c>
      <c r="O735">
        <v>22.31</v>
      </c>
      <c r="P735">
        <v>21.96</v>
      </c>
      <c r="Q735">
        <v>21.54</v>
      </c>
      <c r="T735" t="s">
        <v>52</v>
      </c>
      <c r="U735">
        <v>4</v>
      </c>
      <c r="V735">
        <v>4</v>
      </c>
    </row>
    <row r="736" spans="1:22" x14ac:dyDescent="0.3">
      <c r="A736">
        <v>735</v>
      </c>
      <c r="B736">
        <v>31209</v>
      </c>
      <c r="C736" s="2">
        <v>29945</v>
      </c>
      <c r="D736">
        <v>44</v>
      </c>
      <c r="E736" t="s">
        <v>36</v>
      </c>
      <c r="F736" t="s">
        <v>50</v>
      </c>
      <c r="G736" s="2">
        <v>44228</v>
      </c>
      <c r="H736" s="3">
        <f t="shared" si="11"/>
        <v>5.1753424657534248</v>
      </c>
      <c r="I736">
        <v>68</v>
      </c>
      <c r="J736" t="s">
        <v>57</v>
      </c>
      <c r="K736" t="s">
        <v>46</v>
      </c>
      <c r="L736" t="s">
        <v>44</v>
      </c>
      <c r="M736">
        <v>14.32</v>
      </c>
      <c r="N736">
        <v>13.92</v>
      </c>
      <c r="O736">
        <v>13.52</v>
      </c>
      <c r="P736">
        <v>13.12</v>
      </c>
      <c r="T736" t="s">
        <v>47</v>
      </c>
      <c r="U736">
        <v>0</v>
      </c>
      <c r="V736">
        <v>4</v>
      </c>
    </row>
    <row r="737" spans="1:22" x14ac:dyDescent="0.3">
      <c r="A737">
        <v>736</v>
      </c>
      <c r="B737">
        <v>31216</v>
      </c>
      <c r="C737" s="2">
        <v>37229</v>
      </c>
      <c r="D737">
        <v>24</v>
      </c>
      <c r="E737" t="s">
        <v>36</v>
      </c>
      <c r="F737" t="s">
        <v>50</v>
      </c>
      <c r="G737" s="2">
        <v>44133</v>
      </c>
      <c r="H737" s="3">
        <f t="shared" si="11"/>
        <v>5.7068493150684931</v>
      </c>
      <c r="I737">
        <v>84</v>
      </c>
      <c r="J737" t="s">
        <v>57</v>
      </c>
      <c r="K737" t="s">
        <v>54</v>
      </c>
      <c r="L737" t="s">
        <v>44</v>
      </c>
      <c r="M737">
        <v>22.74</v>
      </c>
      <c r="N737">
        <v>22.44</v>
      </c>
      <c r="O737">
        <v>22.14</v>
      </c>
      <c r="P737">
        <v>21.84</v>
      </c>
      <c r="Q737">
        <v>21.54</v>
      </c>
      <c r="T737" t="s">
        <v>47</v>
      </c>
      <c r="U737">
        <v>4</v>
      </c>
      <c r="V737">
        <v>5</v>
      </c>
    </row>
    <row r="738" spans="1:22" x14ac:dyDescent="0.3">
      <c r="A738">
        <v>737</v>
      </c>
      <c r="B738">
        <v>31260</v>
      </c>
      <c r="C738" s="2">
        <v>35761</v>
      </c>
      <c r="D738">
        <v>28</v>
      </c>
      <c r="E738" t="s">
        <v>42</v>
      </c>
      <c r="F738" t="s">
        <v>37</v>
      </c>
      <c r="G738" s="2">
        <v>43939</v>
      </c>
      <c r="H738" s="3">
        <f t="shared" si="11"/>
        <v>5.3452054794520549</v>
      </c>
      <c r="I738">
        <v>83</v>
      </c>
      <c r="J738" t="s">
        <v>57</v>
      </c>
      <c r="K738" t="s">
        <v>43</v>
      </c>
      <c r="L738" t="s">
        <v>44</v>
      </c>
      <c r="M738">
        <v>16.03</v>
      </c>
      <c r="N738">
        <v>15.73</v>
      </c>
      <c r="O738">
        <v>15.43</v>
      </c>
      <c r="P738">
        <v>15.13</v>
      </c>
      <c r="Q738">
        <v>14.83</v>
      </c>
      <c r="T738" t="s">
        <v>47</v>
      </c>
      <c r="U738">
        <v>1</v>
      </c>
      <c r="V738">
        <v>6</v>
      </c>
    </row>
    <row r="739" spans="1:22" x14ac:dyDescent="0.3">
      <c r="A739">
        <v>738</v>
      </c>
      <c r="B739">
        <v>31284</v>
      </c>
      <c r="C739" s="2">
        <v>36959</v>
      </c>
      <c r="D739">
        <v>24</v>
      </c>
      <c r="E739" t="s">
        <v>42</v>
      </c>
      <c r="F739" t="s">
        <v>50</v>
      </c>
      <c r="G739" s="2">
        <v>44071</v>
      </c>
      <c r="H739" s="3">
        <f t="shared" si="11"/>
        <v>5.6164383561643838</v>
      </c>
      <c r="I739">
        <v>73</v>
      </c>
      <c r="J739" t="s">
        <v>57</v>
      </c>
      <c r="K739" t="s">
        <v>46</v>
      </c>
      <c r="L739" t="s">
        <v>44</v>
      </c>
      <c r="M739">
        <v>14.09</v>
      </c>
      <c r="N739">
        <v>13.79</v>
      </c>
      <c r="O739">
        <v>13.49</v>
      </c>
      <c r="P739">
        <v>13.19</v>
      </c>
      <c r="Q739">
        <v>12.89</v>
      </c>
      <c r="T739" t="s">
        <v>49</v>
      </c>
      <c r="U739">
        <v>0</v>
      </c>
      <c r="V739">
        <v>5</v>
      </c>
    </row>
    <row r="740" spans="1:22" x14ac:dyDescent="0.3">
      <c r="A740">
        <v>739</v>
      </c>
      <c r="B740">
        <v>31289</v>
      </c>
      <c r="C740" s="2">
        <v>36465</v>
      </c>
      <c r="D740">
        <v>27</v>
      </c>
      <c r="E740" t="s">
        <v>36</v>
      </c>
      <c r="F740" t="s">
        <v>50</v>
      </c>
      <c r="G740" s="2">
        <v>43972</v>
      </c>
      <c r="H740" s="3">
        <f t="shared" si="11"/>
        <v>5.6958904109589037</v>
      </c>
      <c r="I740">
        <v>116</v>
      </c>
      <c r="J740" t="s">
        <v>57</v>
      </c>
      <c r="K740" t="s">
        <v>65</v>
      </c>
      <c r="L740" t="s">
        <v>44</v>
      </c>
      <c r="M740">
        <v>10.44</v>
      </c>
      <c r="N740">
        <v>10.24</v>
      </c>
      <c r="O740">
        <v>10.039999999999999</v>
      </c>
      <c r="P740">
        <v>9.84</v>
      </c>
      <c r="Q740">
        <v>9.64</v>
      </c>
      <c r="T740" t="s">
        <v>47</v>
      </c>
      <c r="U740">
        <v>0</v>
      </c>
      <c r="V740">
        <v>5</v>
      </c>
    </row>
    <row r="741" spans="1:22" x14ac:dyDescent="0.3">
      <c r="A741">
        <v>740</v>
      </c>
      <c r="B741">
        <v>31296</v>
      </c>
      <c r="C741" s="2">
        <v>37086</v>
      </c>
      <c r="D741">
        <v>24</v>
      </c>
      <c r="E741" t="s">
        <v>42</v>
      </c>
      <c r="F741" t="s">
        <v>50</v>
      </c>
      <c r="G741" s="2">
        <v>43943</v>
      </c>
      <c r="H741" s="3">
        <f t="shared" si="11"/>
        <v>5.043835616438356</v>
      </c>
      <c r="I741">
        <v>6</v>
      </c>
      <c r="J741" t="s">
        <v>38</v>
      </c>
      <c r="K741" t="s">
        <v>46</v>
      </c>
      <c r="L741" t="s">
        <v>44</v>
      </c>
      <c r="M741">
        <v>14.09</v>
      </c>
      <c r="N741">
        <v>13.79</v>
      </c>
      <c r="O741">
        <v>13.49</v>
      </c>
      <c r="P741">
        <v>13.19</v>
      </c>
      <c r="Q741">
        <v>12.89</v>
      </c>
      <c r="T741" t="s">
        <v>52</v>
      </c>
      <c r="U741">
        <v>0</v>
      </c>
      <c r="V741">
        <v>5</v>
      </c>
    </row>
    <row r="742" spans="1:22" x14ac:dyDescent="0.3">
      <c r="A742">
        <v>741</v>
      </c>
      <c r="B742">
        <v>31321</v>
      </c>
      <c r="C742" s="2">
        <v>33458</v>
      </c>
      <c r="D742">
        <v>34</v>
      </c>
      <c r="E742" t="s">
        <v>36</v>
      </c>
      <c r="F742" t="s">
        <v>50</v>
      </c>
      <c r="G742" s="2">
        <v>44181</v>
      </c>
      <c r="H742" s="3">
        <f t="shared" si="11"/>
        <v>5.7808219178082192</v>
      </c>
      <c r="I742">
        <v>37</v>
      </c>
      <c r="J742" t="s">
        <v>38</v>
      </c>
      <c r="K742" t="s">
        <v>55</v>
      </c>
      <c r="L742" t="s">
        <v>44</v>
      </c>
      <c r="M742">
        <v>16.899999999999999</v>
      </c>
      <c r="N742">
        <v>16.46</v>
      </c>
      <c r="O742">
        <v>16.29</v>
      </c>
      <c r="P742">
        <v>16.14</v>
      </c>
      <c r="Q742">
        <v>15.93</v>
      </c>
      <c r="T742" t="s">
        <v>52</v>
      </c>
      <c r="U742">
        <v>0</v>
      </c>
      <c r="V742">
        <v>5</v>
      </c>
    </row>
    <row r="743" spans="1:22" x14ac:dyDescent="0.3">
      <c r="A743">
        <v>742</v>
      </c>
      <c r="B743">
        <v>31344</v>
      </c>
      <c r="C743" s="2">
        <v>36470</v>
      </c>
      <c r="D743">
        <v>26</v>
      </c>
      <c r="E743" t="s">
        <v>36</v>
      </c>
      <c r="F743" t="s">
        <v>50</v>
      </c>
      <c r="G743" s="2">
        <v>43912</v>
      </c>
      <c r="H743" s="3">
        <f t="shared" si="11"/>
        <v>5.0712328767123287</v>
      </c>
      <c r="I743">
        <v>94</v>
      </c>
      <c r="J743" t="s">
        <v>57</v>
      </c>
      <c r="K743" t="s">
        <v>43</v>
      </c>
      <c r="L743" t="s">
        <v>44</v>
      </c>
      <c r="M743">
        <v>16.03</v>
      </c>
      <c r="N743">
        <v>15.73</v>
      </c>
      <c r="O743">
        <v>15.43</v>
      </c>
      <c r="P743">
        <v>15.13</v>
      </c>
      <c r="Q743">
        <v>14.83</v>
      </c>
      <c r="T743" t="s">
        <v>47</v>
      </c>
      <c r="U743">
        <v>0</v>
      </c>
      <c r="V743">
        <v>4</v>
      </c>
    </row>
    <row r="744" spans="1:22" x14ac:dyDescent="0.3">
      <c r="A744">
        <v>743</v>
      </c>
      <c r="B744">
        <v>31345</v>
      </c>
      <c r="C744" s="2">
        <v>37390</v>
      </c>
      <c r="D744">
        <v>23</v>
      </c>
      <c r="E744" t="s">
        <v>36</v>
      </c>
      <c r="F744" t="s">
        <v>50</v>
      </c>
      <c r="G744" s="2">
        <v>44171</v>
      </c>
      <c r="H744" s="3">
        <f t="shared" si="11"/>
        <v>4.9945205479452053</v>
      </c>
      <c r="I744">
        <v>94</v>
      </c>
      <c r="J744" t="s">
        <v>57</v>
      </c>
      <c r="K744" t="s">
        <v>43</v>
      </c>
      <c r="L744" t="s">
        <v>44</v>
      </c>
      <c r="M744">
        <v>16.03</v>
      </c>
      <c r="N744">
        <v>15.73</v>
      </c>
      <c r="O744">
        <v>15.43</v>
      </c>
      <c r="P744">
        <v>15.13</v>
      </c>
      <c r="Q744">
        <v>14.83</v>
      </c>
      <c r="T744" t="s">
        <v>45</v>
      </c>
      <c r="U744">
        <v>0</v>
      </c>
      <c r="V744">
        <v>3</v>
      </c>
    </row>
    <row r="745" spans="1:22" x14ac:dyDescent="0.3">
      <c r="A745">
        <v>744</v>
      </c>
      <c r="B745">
        <v>31353</v>
      </c>
      <c r="C745" s="2">
        <v>36390</v>
      </c>
      <c r="D745">
        <v>26</v>
      </c>
      <c r="E745" t="s">
        <v>36</v>
      </c>
      <c r="F745" t="s">
        <v>50</v>
      </c>
      <c r="G745" s="2">
        <v>44199</v>
      </c>
      <c r="H745" s="3">
        <f t="shared" si="11"/>
        <v>5.2082191780821914</v>
      </c>
      <c r="I745">
        <v>109</v>
      </c>
      <c r="J745" t="s">
        <v>57</v>
      </c>
      <c r="K745" t="s">
        <v>64</v>
      </c>
      <c r="L745" t="s">
        <v>44</v>
      </c>
      <c r="M745">
        <v>13.95</v>
      </c>
      <c r="N745">
        <v>13.65</v>
      </c>
      <c r="O745">
        <v>13.35</v>
      </c>
      <c r="P745">
        <v>13.05</v>
      </c>
      <c r="T745" t="s">
        <v>52</v>
      </c>
      <c r="U745">
        <v>1</v>
      </c>
      <c r="V745">
        <v>3</v>
      </c>
    </row>
    <row r="746" spans="1:22" x14ac:dyDescent="0.3">
      <c r="A746">
        <v>745</v>
      </c>
      <c r="B746">
        <v>31381</v>
      </c>
      <c r="C746" s="2">
        <v>36337</v>
      </c>
      <c r="D746">
        <v>26</v>
      </c>
      <c r="E746" t="s">
        <v>42</v>
      </c>
      <c r="F746" t="s">
        <v>50</v>
      </c>
      <c r="G746" s="2">
        <v>44121</v>
      </c>
      <c r="H746" s="3">
        <f t="shared" si="11"/>
        <v>5.1726027397260275</v>
      </c>
      <c r="I746">
        <v>4</v>
      </c>
      <c r="J746" t="s">
        <v>38</v>
      </c>
      <c r="K746" t="s">
        <v>55</v>
      </c>
      <c r="L746" t="s">
        <v>44</v>
      </c>
      <c r="M746">
        <v>17.13</v>
      </c>
      <c r="N746">
        <v>16.829999999999998</v>
      </c>
      <c r="O746">
        <v>16.53</v>
      </c>
      <c r="P746">
        <v>16.23</v>
      </c>
      <c r="Q746">
        <v>15.93</v>
      </c>
      <c r="T746" t="s">
        <v>52</v>
      </c>
      <c r="U746">
        <v>2</v>
      </c>
      <c r="V746">
        <v>5</v>
      </c>
    </row>
    <row r="747" spans="1:22" x14ac:dyDescent="0.3">
      <c r="A747">
        <v>746</v>
      </c>
      <c r="B747">
        <v>31400</v>
      </c>
      <c r="C747" s="2">
        <v>34967</v>
      </c>
      <c r="D747">
        <v>30</v>
      </c>
      <c r="E747" t="s">
        <v>36</v>
      </c>
      <c r="F747" t="s">
        <v>37</v>
      </c>
      <c r="G747" s="2">
        <v>44134</v>
      </c>
      <c r="H747" s="3">
        <f t="shared" si="11"/>
        <v>5.6876712328767125</v>
      </c>
      <c r="I747">
        <v>83</v>
      </c>
      <c r="J747" t="s">
        <v>57</v>
      </c>
      <c r="K747" t="s">
        <v>46</v>
      </c>
      <c r="L747" t="s">
        <v>44</v>
      </c>
      <c r="M747">
        <v>14.09</v>
      </c>
      <c r="N747">
        <v>13.79</v>
      </c>
      <c r="O747">
        <v>13.49</v>
      </c>
      <c r="P747">
        <v>13.19</v>
      </c>
      <c r="Q747">
        <v>12.89</v>
      </c>
      <c r="T747" t="s">
        <v>45</v>
      </c>
      <c r="U747">
        <v>1</v>
      </c>
      <c r="V747">
        <v>3</v>
      </c>
    </row>
    <row r="748" spans="1:22" x14ac:dyDescent="0.3">
      <c r="A748">
        <v>747</v>
      </c>
      <c r="B748">
        <v>31411</v>
      </c>
      <c r="C748" s="2">
        <v>26921</v>
      </c>
      <c r="D748">
        <v>52</v>
      </c>
      <c r="E748" t="s">
        <v>36</v>
      </c>
      <c r="F748" t="s">
        <v>50</v>
      </c>
      <c r="G748" s="2">
        <v>43946</v>
      </c>
      <c r="H748" s="3">
        <f t="shared" si="11"/>
        <v>5.6</v>
      </c>
      <c r="I748">
        <v>126</v>
      </c>
      <c r="J748" t="s">
        <v>57</v>
      </c>
      <c r="K748" t="s">
        <v>54</v>
      </c>
      <c r="L748" t="s">
        <v>44</v>
      </c>
      <c r="M748">
        <v>22.74</v>
      </c>
      <c r="N748">
        <v>22.44</v>
      </c>
      <c r="O748">
        <v>22.14</v>
      </c>
      <c r="P748">
        <v>21.84</v>
      </c>
      <c r="Q748">
        <v>21.54</v>
      </c>
      <c r="T748" t="s">
        <v>47</v>
      </c>
      <c r="U748">
        <v>5</v>
      </c>
      <c r="V748">
        <v>6</v>
      </c>
    </row>
    <row r="749" spans="1:22" x14ac:dyDescent="0.3">
      <c r="A749">
        <v>748</v>
      </c>
      <c r="B749">
        <v>31421</v>
      </c>
      <c r="C749" s="2">
        <v>36728</v>
      </c>
      <c r="D749">
        <v>25</v>
      </c>
      <c r="E749" t="s">
        <v>36</v>
      </c>
      <c r="F749" t="s">
        <v>50</v>
      </c>
      <c r="G749" s="2">
        <v>43978</v>
      </c>
      <c r="H749" s="3">
        <f t="shared" si="11"/>
        <v>5.0931506849315067</v>
      </c>
      <c r="I749">
        <v>9</v>
      </c>
      <c r="J749" t="s">
        <v>38</v>
      </c>
      <c r="K749" t="s">
        <v>64</v>
      </c>
      <c r="L749" t="s">
        <v>44</v>
      </c>
      <c r="M749">
        <v>13.95</v>
      </c>
      <c r="N749">
        <v>13.65</v>
      </c>
      <c r="O749">
        <v>13.35</v>
      </c>
      <c r="P749">
        <v>13.05</v>
      </c>
      <c r="Q749">
        <v>12.75</v>
      </c>
      <c r="T749" t="s">
        <v>52</v>
      </c>
      <c r="U749">
        <v>0</v>
      </c>
      <c r="V749">
        <v>4</v>
      </c>
    </row>
    <row r="750" spans="1:22" x14ac:dyDescent="0.3">
      <c r="A750">
        <v>749</v>
      </c>
      <c r="B750">
        <v>31440</v>
      </c>
      <c r="C750" s="2">
        <v>34926</v>
      </c>
      <c r="D750">
        <v>30</v>
      </c>
      <c r="E750" t="s">
        <v>36</v>
      </c>
      <c r="F750" t="s">
        <v>50</v>
      </c>
      <c r="G750" s="2">
        <v>44163</v>
      </c>
      <c r="H750" s="3">
        <f t="shared" si="11"/>
        <v>5.1315068493150688</v>
      </c>
      <c r="I750">
        <v>66</v>
      </c>
      <c r="J750" t="s">
        <v>57</v>
      </c>
      <c r="K750" t="s">
        <v>54</v>
      </c>
      <c r="L750" t="s">
        <v>44</v>
      </c>
      <c r="M750">
        <v>22.74</v>
      </c>
      <c r="N750">
        <v>22.44</v>
      </c>
      <c r="O750">
        <v>22.14</v>
      </c>
      <c r="P750">
        <v>21.84</v>
      </c>
      <c r="Q750">
        <v>21.54</v>
      </c>
      <c r="T750" t="s">
        <v>49</v>
      </c>
      <c r="U750">
        <v>7</v>
      </c>
      <c r="V750">
        <v>5</v>
      </c>
    </row>
    <row r="751" spans="1:22" x14ac:dyDescent="0.3">
      <c r="A751">
        <v>750</v>
      </c>
      <c r="B751">
        <v>31443</v>
      </c>
      <c r="C751" s="2">
        <v>36559</v>
      </c>
      <c r="D751">
        <v>25</v>
      </c>
      <c r="E751" t="s">
        <v>42</v>
      </c>
      <c r="F751" t="s">
        <v>50</v>
      </c>
      <c r="G751" s="2">
        <v>44149</v>
      </c>
      <c r="H751" s="3">
        <f t="shared" si="11"/>
        <v>5.8547945205479452</v>
      </c>
      <c r="I751">
        <v>73</v>
      </c>
      <c r="J751" t="s">
        <v>57</v>
      </c>
      <c r="K751" t="s">
        <v>43</v>
      </c>
      <c r="L751" t="s">
        <v>44</v>
      </c>
      <c r="M751">
        <v>16.03</v>
      </c>
      <c r="N751">
        <v>15.73</v>
      </c>
      <c r="O751">
        <v>15.43</v>
      </c>
      <c r="P751">
        <v>15.13</v>
      </c>
      <c r="Q751">
        <v>14.83</v>
      </c>
      <c r="T751" t="s">
        <v>45</v>
      </c>
      <c r="U751">
        <v>2</v>
      </c>
      <c r="V751">
        <v>5</v>
      </c>
    </row>
    <row r="752" spans="1:22" x14ac:dyDescent="0.3">
      <c r="A752">
        <v>751</v>
      </c>
      <c r="B752">
        <v>31445</v>
      </c>
      <c r="C752" s="2">
        <v>34289</v>
      </c>
      <c r="D752">
        <v>32</v>
      </c>
      <c r="E752" t="s">
        <v>36</v>
      </c>
      <c r="F752" t="s">
        <v>50</v>
      </c>
      <c r="G752" s="2">
        <v>43885</v>
      </c>
      <c r="H752" s="3">
        <f t="shared" si="11"/>
        <v>5.419178082191781</v>
      </c>
      <c r="I752">
        <v>73</v>
      </c>
      <c r="J752" t="s">
        <v>57</v>
      </c>
      <c r="K752" t="s">
        <v>55</v>
      </c>
      <c r="L752" t="s">
        <v>44</v>
      </c>
      <c r="M752">
        <v>17.13</v>
      </c>
      <c r="N752">
        <v>16.829999999999998</v>
      </c>
      <c r="O752">
        <v>16.53</v>
      </c>
      <c r="P752">
        <v>16.23</v>
      </c>
      <c r="Q752">
        <v>15.93</v>
      </c>
      <c r="T752" t="s">
        <v>49</v>
      </c>
      <c r="U752">
        <v>1</v>
      </c>
      <c r="V752">
        <v>4</v>
      </c>
    </row>
    <row r="753" spans="1:22" x14ac:dyDescent="0.3">
      <c r="A753">
        <v>752</v>
      </c>
      <c r="B753">
        <v>31455</v>
      </c>
      <c r="C753" s="2">
        <v>33047</v>
      </c>
      <c r="D753">
        <v>35</v>
      </c>
      <c r="E753" t="s">
        <v>36</v>
      </c>
      <c r="F753" t="s">
        <v>50</v>
      </c>
      <c r="G753" s="2">
        <v>44044</v>
      </c>
      <c r="H753" s="3">
        <f t="shared" si="11"/>
        <v>5.1753424657534248</v>
      </c>
      <c r="I753">
        <v>116</v>
      </c>
      <c r="J753" t="s">
        <v>57</v>
      </c>
      <c r="K753" t="s">
        <v>54</v>
      </c>
      <c r="L753" t="s">
        <v>44</v>
      </c>
      <c r="M753">
        <v>22.74</v>
      </c>
      <c r="N753">
        <v>22.44</v>
      </c>
      <c r="O753">
        <v>22.14</v>
      </c>
      <c r="P753">
        <v>21.84</v>
      </c>
      <c r="Q753">
        <v>21.54</v>
      </c>
      <c r="T753" t="s">
        <v>49</v>
      </c>
      <c r="U753">
        <v>6</v>
      </c>
      <c r="V753">
        <v>6</v>
      </c>
    </row>
    <row r="754" spans="1:22" x14ac:dyDescent="0.3">
      <c r="A754">
        <v>753</v>
      </c>
      <c r="B754">
        <v>31459</v>
      </c>
      <c r="C754" s="2">
        <v>32025</v>
      </c>
      <c r="D754">
        <v>38</v>
      </c>
      <c r="E754" t="s">
        <v>42</v>
      </c>
      <c r="F754" t="s">
        <v>50</v>
      </c>
      <c r="G754" s="2">
        <v>44133</v>
      </c>
      <c r="H754" s="3">
        <f t="shared" si="11"/>
        <v>5.1095890410958908</v>
      </c>
      <c r="I754">
        <v>137</v>
      </c>
      <c r="J754" t="s">
        <v>57</v>
      </c>
      <c r="K754" t="s">
        <v>43</v>
      </c>
      <c r="L754" t="s">
        <v>44</v>
      </c>
      <c r="M754">
        <v>16.03</v>
      </c>
      <c r="N754">
        <v>15.73</v>
      </c>
      <c r="O754">
        <v>15.43</v>
      </c>
      <c r="P754">
        <v>15.13</v>
      </c>
      <c r="Q754">
        <v>14.83</v>
      </c>
      <c r="T754" t="s">
        <v>52</v>
      </c>
      <c r="U754">
        <v>0</v>
      </c>
      <c r="V754">
        <v>6</v>
      </c>
    </row>
    <row r="755" spans="1:22" x14ac:dyDescent="0.3">
      <c r="A755">
        <v>754</v>
      </c>
      <c r="B755">
        <v>31464</v>
      </c>
      <c r="C755" s="2">
        <v>37191</v>
      </c>
      <c r="D755">
        <v>24</v>
      </c>
      <c r="E755" t="s">
        <v>36</v>
      </c>
      <c r="F755" t="s">
        <v>50</v>
      </c>
      <c r="G755" s="2">
        <v>44157</v>
      </c>
      <c r="H755" s="3">
        <f t="shared" si="11"/>
        <v>5.4794520547945202</v>
      </c>
      <c r="I755">
        <v>4</v>
      </c>
      <c r="J755" t="s">
        <v>38</v>
      </c>
      <c r="K755" t="s">
        <v>43</v>
      </c>
      <c r="L755" t="s">
        <v>44</v>
      </c>
      <c r="M755">
        <v>16.03</v>
      </c>
      <c r="N755">
        <v>15.73</v>
      </c>
      <c r="O755">
        <v>15.43</v>
      </c>
      <c r="P755">
        <v>15.13</v>
      </c>
      <c r="Q755">
        <v>14.83</v>
      </c>
      <c r="T755" t="s">
        <v>47</v>
      </c>
      <c r="U755">
        <v>1</v>
      </c>
      <c r="V755">
        <v>4</v>
      </c>
    </row>
    <row r="756" spans="1:22" x14ac:dyDescent="0.3">
      <c r="A756">
        <v>755</v>
      </c>
      <c r="B756">
        <v>31465</v>
      </c>
      <c r="C756" s="2">
        <v>34874</v>
      </c>
      <c r="D756">
        <v>30</v>
      </c>
      <c r="E756" t="s">
        <v>36</v>
      </c>
      <c r="F756" t="s">
        <v>50</v>
      </c>
      <c r="G756" s="2">
        <v>44022</v>
      </c>
      <c r="H756" s="3">
        <f t="shared" si="11"/>
        <v>4.912328767123288</v>
      </c>
      <c r="I756">
        <v>4</v>
      </c>
      <c r="J756" t="s">
        <v>38</v>
      </c>
      <c r="K756" t="s">
        <v>54</v>
      </c>
      <c r="L756" t="s">
        <v>44</v>
      </c>
      <c r="M756">
        <v>22.74</v>
      </c>
      <c r="N756">
        <v>22.44</v>
      </c>
      <c r="O756">
        <v>22.14</v>
      </c>
      <c r="P756">
        <v>21.84</v>
      </c>
      <c r="Q756">
        <v>21.54</v>
      </c>
      <c r="T756" t="s">
        <v>52</v>
      </c>
      <c r="U756">
        <v>3</v>
      </c>
      <c r="V756">
        <v>6</v>
      </c>
    </row>
    <row r="757" spans="1:22" x14ac:dyDescent="0.3">
      <c r="A757">
        <v>756</v>
      </c>
      <c r="B757">
        <v>31476</v>
      </c>
      <c r="C757" s="2">
        <v>33732</v>
      </c>
      <c r="D757">
        <v>33</v>
      </c>
      <c r="E757" t="s">
        <v>42</v>
      </c>
      <c r="F757" t="s">
        <v>37</v>
      </c>
      <c r="G757" s="2">
        <v>44229</v>
      </c>
      <c r="H757" s="3">
        <f t="shared" si="11"/>
        <v>5.1041095890410961</v>
      </c>
      <c r="I757">
        <v>9</v>
      </c>
      <c r="J757" t="s">
        <v>38</v>
      </c>
      <c r="K757" t="s">
        <v>46</v>
      </c>
      <c r="L757" t="s">
        <v>44</v>
      </c>
      <c r="M757">
        <v>14.09</v>
      </c>
      <c r="N757">
        <v>13.79</v>
      </c>
      <c r="O757">
        <v>13.49</v>
      </c>
      <c r="P757">
        <v>13.19</v>
      </c>
      <c r="T757" t="s">
        <v>47</v>
      </c>
      <c r="U757">
        <v>1</v>
      </c>
      <c r="V757">
        <v>5</v>
      </c>
    </row>
    <row r="758" spans="1:22" x14ac:dyDescent="0.3">
      <c r="A758">
        <v>757</v>
      </c>
      <c r="B758">
        <v>31513</v>
      </c>
      <c r="C758" s="2">
        <v>37743</v>
      </c>
      <c r="D758">
        <v>22</v>
      </c>
      <c r="E758" t="s">
        <v>42</v>
      </c>
      <c r="F758" t="s">
        <v>37</v>
      </c>
      <c r="G758" s="2">
        <v>44159</v>
      </c>
      <c r="H758" s="3">
        <f t="shared" si="11"/>
        <v>5.3506849315068497</v>
      </c>
      <c r="I758">
        <v>32</v>
      </c>
      <c r="J758" t="s">
        <v>38</v>
      </c>
      <c r="K758" t="s">
        <v>56</v>
      </c>
      <c r="L758" t="s">
        <v>44</v>
      </c>
      <c r="M758">
        <v>8.4700000000000006</v>
      </c>
      <c r="N758">
        <v>8.27</v>
      </c>
      <c r="O758">
        <v>8.07</v>
      </c>
      <c r="P758">
        <v>7.87</v>
      </c>
      <c r="Q758">
        <v>7.67</v>
      </c>
      <c r="T758" t="s">
        <v>47</v>
      </c>
      <c r="U758">
        <v>2</v>
      </c>
      <c r="V758">
        <v>6</v>
      </c>
    </row>
    <row r="759" spans="1:22" x14ac:dyDescent="0.3">
      <c r="A759">
        <v>758</v>
      </c>
      <c r="B759">
        <v>31610</v>
      </c>
      <c r="C759" s="2">
        <v>36851</v>
      </c>
      <c r="D759">
        <v>25</v>
      </c>
      <c r="E759" t="s">
        <v>36</v>
      </c>
      <c r="F759" t="s">
        <v>50</v>
      </c>
      <c r="G759" s="2">
        <v>44069</v>
      </c>
      <c r="H759" s="3">
        <f t="shared" si="11"/>
        <v>4.8739726027397259</v>
      </c>
      <c r="I759">
        <v>99</v>
      </c>
      <c r="J759" t="s">
        <v>57</v>
      </c>
      <c r="K759" t="s">
        <v>65</v>
      </c>
      <c r="L759" t="s">
        <v>44</v>
      </c>
      <c r="M759">
        <v>10.44</v>
      </c>
      <c r="N759">
        <v>10.24</v>
      </c>
      <c r="O759">
        <v>10.039999999999999</v>
      </c>
      <c r="P759">
        <v>9.84</v>
      </c>
      <c r="Q759">
        <v>9.64</v>
      </c>
      <c r="T759" t="s">
        <v>47</v>
      </c>
      <c r="U759">
        <v>1</v>
      </c>
      <c r="V759">
        <v>4</v>
      </c>
    </row>
    <row r="760" spans="1:22" x14ac:dyDescent="0.3">
      <c r="A760">
        <v>759</v>
      </c>
      <c r="B760">
        <v>31619</v>
      </c>
      <c r="C760" s="2">
        <v>34766</v>
      </c>
      <c r="D760">
        <v>30</v>
      </c>
      <c r="E760" t="s">
        <v>42</v>
      </c>
      <c r="F760" t="s">
        <v>50</v>
      </c>
      <c r="G760" s="2">
        <v>44243</v>
      </c>
      <c r="H760" s="3">
        <f t="shared" si="11"/>
        <v>5.7424657534246579</v>
      </c>
      <c r="I760">
        <v>107</v>
      </c>
      <c r="J760" t="s">
        <v>57</v>
      </c>
      <c r="K760" t="s">
        <v>55</v>
      </c>
      <c r="L760" t="s">
        <v>44</v>
      </c>
      <c r="M760">
        <v>17.13</v>
      </c>
      <c r="N760">
        <v>16.829999999999998</v>
      </c>
      <c r="O760">
        <v>16.53</v>
      </c>
      <c r="P760">
        <v>16.23</v>
      </c>
      <c r="T760" t="s">
        <v>49</v>
      </c>
      <c r="U760">
        <v>2</v>
      </c>
      <c r="V760">
        <v>6</v>
      </c>
    </row>
    <row r="761" spans="1:22" x14ac:dyDescent="0.3">
      <c r="A761">
        <v>760</v>
      </c>
      <c r="B761">
        <v>31624</v>
      </c>
      <c r="C761" s="2">
        <v>37908</v>
      </c>
      <c r="D761">
        <v>22</v>
      </c>
      <c r="E761" t="s">
        <v>42</v>
      </c>
      <c r="F761" t="s">
        <v>50</v>
      </c>
      <c r="G761" s="2">
        <v>43926</v>
      </c>
      <c r="H761" s="3">
        <f t="shared" si="11"/>
        <v>5.0986301369863014</v>
      </c>
      <c r="I761">
        <v>111</v>
      </c>
      <c r="J761" t="s">
        <v>57</v>
      </c>
      <c r="K761" t="s">
        <v>56</v>
      </c>
      <c r="L761" t="s">
        <v>44</v>
      </c>
      <c r="M761">
        <v>8.4700000000000006</v>
      </c>
      <c r="N761">
        <v>8.27</v>
      </c>
      <c r="O761">
        <v>8.07</v>
      </c>
      <c r="P761">
        <v>7.87</v>
      </c>
      <c r="Q761">
        <v>7.67</v>
      </c>
      <c r="T761" t="s">
        <v>47</v>
      </c>
      <c r="U761">
        <v>2</v>
      </c>
      <c r="V761">
        <v>6</v>
      </c>
    </row>
    <row r="762" spans="1:22" x14ac:dyDescent="0.3">
      <c r="A762">
        <v>761</v>
      </c>
      <c r="B762">
        <v>31629</v>
      </c>
      <c r="C762" s="2">
        <v>32674</v>
      </c>
      <c r="D762">
        <v>36</v>
      </c>
      <c r="E762" t="s">
        <v>42</v>
      </c>
      <c r="F762" t="s">
        <v>50</v>
      </c>
      <c r="G762" s="2">
        <v>44161</v>
      </c>
      <c r="H762" s="3">
        <f t="shared" si="11"/>
        <v>5.1589041095890407</v>
      </c>
      <c r="I762">
        <v>116</v>
      </c>
      <c r="J762" t="s">
        <v>57</v>
      </c>
      <c r="K762" t="s">
        <v>56</v>
      </c>
      <c r="L762" t="s">
        <v>44</v>
      </c>
      <c r="M762">
        <v>8.4700000000000006</v>
      </c>
      <c r="N762">
        <v>8.27</v>
      </c>
      <c r="O762">
        <v>8.07</v>
      </c>
      <c r="P762">
        <v>7.87</v>
      </c>
      <c r="Q762">
        <v>7.67</v>
      </c>
      <c r="T762" t="s">
        <v>47</v>
      </c>
      <c r="U762">
        <v>0</v>
      </c>
      <c r="V762">
        <v>7</v>
      </c>
    </row>
    <row r="763" spans="1:22" x14ac:dyDescent="0.3">
      <c r="A763">
        <v>762</v>
      </c>
      <c r="B763">
        <v>31631</v>
      </c>
      <c r="C763" s="2">
        <v>36523</v>
      </c>
      <c r="D763">
        <v>26</v>
      </c>
      <c r="E763" t="s">
        <v>42</v>
      </c>
      <c r="F763" t="s">
        <v>50</v>
      </c>
      <c r="G763" s="2">
        <v>44139</v>
      </c>
      <c r="H763" s="3">
        <f t="shared" si="11"/>
        <v>5.2904109589041095</v>
      </c>
      <c r="I763">
        <v>117</v>
      </c>
      <c r="J763" t="s">
        <v>57</v>
      </c>
      <c r="K763" t="s">
        <v>48</v>
      </c>
      <c r="L763" t="s">
        <v>44</v>
      </c>
      <c r="M763">
        <v>17.440000000000001</v>
      </c>
      <c r="N763">
        <v>17.28</v>
      </c>
      <c r="O763">
        <v>16.95</v>
      </c>
      <c r="P763">
        <v>16.55</v>
      </c>
      <c r="Q763">
        <v>16.22</v>
      </c>
      <c r="T763" t="s">
        <v>49</v>
      </c>
      <c r="U763">
        <v>2</v>
      </c>
      <c r="V763">
        <v>6</v>
      </c>
    </row>
    <row r="764" spans="1:22" x14ac:dyDescent="0.3">
      <c r="A764">
        <v>763</v>
      </c>
      <c r="B764">
        <v>31632</v>
      </c>
      <c r="C764" s="2">
        <v>34964</v>
      </c>
      <c r="D764">
        <v>30</v>
      </c>
      <c r="E764" t="s">
        <v>36</v>
      </c>
      <c r="F764" t="s">
        <v>50</v>
      </c>
      <c r="G764" s="2">
        <v>44091</v>
      </c>
      <c r="H764" s="3">
        <f t="shared" si="11"/>
        <v>5.375342465753425</v>
      </c>
      <c r="I764">
        <v>117</v>
      </c>
      <c r="J764" t="s">
        <v>57</v>
      </c>
      <c r="K764" t="s">
        <v>54</v>
      </c>
      <c r="L764" t="s">
        <v>44</v>
      </c>
      <c r="M764">
        <v>22.54</v>
      </c>
      <c r="N764">
        <v>22.54</v>
      </c>
      <c r="O764">
        <v>22.22</v>
      </c>
      <c r="P764">
        <v>21.83</v>
      </c>
      <c r="Q764">
        <v>21.54</v>
      </c>
      <c r="T764" t="s">
        <v>52</v>
      </c>
      <c r="U764">
        <v>5</v>
      </c>
      <c r="V764">
        <v>5</v>
      </c>
    </row>
    <row r="765" spans="1:22" x14ac:dyDescent="0.3">
      <c r="A765">
        <v>764</v>
      </c>
      <c r="B765">
        <v>31699</v>
      </c>
      <c r="C765" s="2">
        <v>34481</v>
      </c>
      <c r="D765">
        <v>31</v>
      </c>
      <c r="E765" t="s">
        <v>36</v>
      </c>
      <c r="F765" t="s">
        <v>37</v>
      </c>
      <c r="G765" s="2">
        <v>44060</v>
      </c>
      <c r="H765" s="3">
        <f t="shared" si="11"/>
        <v>5.8958904109589039</v>
      </c>
      <c r="I765">
        <v>67</v>
      </c>
      <c r="J765" t="s">
        <v>57</v>
      </c>
      <c r="K765" t="s">
        <v>46</v>
      </c>
      <c r="L765" t="s">
        <v>44</v>
      </c>
      <c r="M765">
        <v>14.2</v>
      </c>
      <c r="N765">
        <v>13.99</v>
      </c>
      <c r="O765">
        <v>13.62</v>
      </c>
      <c r="P765">
        <v>13.29</v>
      </c>
      <c r="Q765">
        <v>12.89</v>
      </c>
      <c r="T765" t="s">
        <v>45</v>
      </c>
      <c r="U765">
        <v>1</v>
      </c>
      <c r="V765">
        <v>4</v>
      </c>
    </row>
    <row r="766" spans="1:22" x14ac:dyDescent="0.3">
      <c r="A766">
        <v>765</v>
      </c>
      <c r="B766">
        <v>31702</v>
      </c>
      <c r="C766" s="2">
        <v>35887</v>
      </c>
      <c r="D766">
        <v>27</v>
      </c>
      <c r="E766" t="s">
        <v>36</v>
      </c>
      <c r="F766" t="s">
        <v>50</v>
      </c>
      <c r="G766" s="2">
        <v>43870</v>
      </c>
      <c r="H766" s="3">
        <f t="shared" si="11"/>
        <v>4.9835616438356167</v>
      </c>
      <c r="I766">
        <v>75</v>
      </c>
      <c r="J766" t="s">
        <v>57</v>
      </c>
      <c r="K766" t="s">
        <v>43</v>
      </c>
      <c r="L766" t="s">
        <v>44</v>
      </c>
      <c r="M766">
        <v>16.03</v>
      </c>
      <c r="N766">
        <v>15.73</v>
      </c>
      <c r="O766">
        <v>15.43</v>
      </c>
      <c r="P766">
        <v>15.13</v>
      </c>
      <c r="Q766">
        <v>14.83</v>
      </c>
      <c r="T766" t="s">
        <v>47</v>
      </c>
      <c r="U766">
        <v>1</v>
      </c>
      <c r="V766">
        <v>4</v>
      </c>
    </row>
    <row r="767" spans="1:22" x14ac:dyDescent="0.3">
      <c r="A767">
        <v>766</v>
      </c>
      <c r="B767">
        <v>31704</v>
      </c>
      <c r="C767" s="2">
        <v>36374</v>
      </c>
      <c r="D767">
        <v>26</v>
      </c>
      <c r="E767" t="s">
        <v>42</v>
      </c>
      <c r="F767" t="s">
        <v>50</v>
      </c>
      <c r="G767" s="2">
        <v>44203</v>
      </c>
      <c r="H767" s="3">
        <f t="shared" si="11"/>
        <v>4.838356164383562</v>
      </c>
      <c r="I767">
        <v>81</v>
      </c>
      <c r="J767" t="s">
        <v>57</v>
      </c>
      <c r="K767" t="s">
        <v>43</v>
      </c>
      <c r="L767" t="s">
        <v>44</v>
      </c>
      <c r="M767">
        <v>16.03</v>
      </c>
      <c r="N767">
        <v>15.73</v>
      </c>
      <c r="O767">
        <v>15.43</v>
      </c>
      <c r="P767">
        <v>15.13</v>
      </c>
      <c r="T767" t="s">
        <v>47</v>
      </c>
      <c r="U767">
        <v>1</v>
      </c>
      <c r="V767">
        <v>5</v>
      </c>
    </row>
    <row r="768" spans="1:22" x14ac:dyDescent="0.3">
      <c r="A768">
        <v>767</v>
      </c>
      <c r="B768">
        <v>31731</v>
      </c>
      <c r="C768" s="2">
        <v>33440</v>
      </c>
      <c r="D768">
        <v>34</v>
      </c>
      <c r="E768" t="s">
        <v>36</v>
      </c>
      <c r="F768" t="s">
        <v>50</v>
      </c>
      <c r="G768" s="2">
        <v>44256</v>
      </c>
      <c r="H768" s="3">
        <f t="shared" si="11"/>
        <v>5.602739726027397</v>
      </c>
      <c r="I768">
        <v>8</v>
      </c>
      <c r="J768" t="s">
        <v>38</v>
      </c>
      <c r="K768" t="s">
        <v>54</v>
      </c>
      <c r="L768" t="s">
        <v>44</v>
      </c>
      <c r="M768">
        <v>22.88</v>
      </c>
      <c r="N768">
        <v>22.5</v>
      </c>
      <c r="O768">
        <v>22.23</v>
      </c>
      <c r="P768">
        <v>21.79</v>
      </c>
      <c r="T768" t="s">
        <v>45</v>
      </c>
      <c r="U768">
        <v>7</v>
      </c>
      <c r="V768">
        <v>5</v>
      </c>
    </row>
    <row r="769" spans="1:22" x14ac:dyDescent="0.3">
      <c r="A769">
        <v>768</v>
      </c>
      <c r="B769">
        <v>31739</v>
      </c>
      <c r="C769" s="2">
        <v>37036</v>
      </c>
      <c r="D769">
        <v>24</v>
      </c>
      <c r="E769" t="s">
        <v>36</v>
      </c>
      <c r="F769" t="s">
        <v>50</v>
      </c>
      <c r="G769" s="2">
        <v>43977</v>
      </c>
      <c r="H769" s="3">
        <f t="shared" si="11"/>
        <v>5.5178082191780824</v>
      </c>
      <c r="I769">
        <v>21</v>
      </c>
      <c r="J769" t="s">
        <v>38</v>
      </c>
      <c r="K769" t="s">
        <v>43</v>
      </c>
      <c r="L769" t="s">
        <v>44</v>
      </c>
      <c r="M769">
        <v>16.03</v>
      </c>
      <c r="N769">
        <v>15.73</v>
      </c>
      <c r="O769">
        <v>15.43</v>
      </c>
      <c r="P769">
        <v>15.13</v>
      </c>
      <c r="Q769">
        <v>14.83</v>
      </c>
      <c r="T769" t="s">
        <v>45</v>
      </c>
      <c r="U769">
        <v>1</v>
      </c>
      <c r="V769">
        <v>3</v>
      </c>
    </row>
    <row r="770" spans="1:22" x14ac:dyDescent="0.3">
      <c r="A770">
        <v>769</v>
      </c>
      <c r="B770">
        <v>31756</v>
      </c>
      <c r="C770" s="2">
        <v>36394</v>
      </c>
      <c r="D770">
        <v>26</v>
      </c>
      <c r="E770" t="s">
        <v>42</v>
      </c>
      <c r="F770" t="s">
        <v>50</v>
      </c>
      <c r="G770" s="2">
        <v>44008</v>
      </c>
      <c r="H770" s="3">
        <f t="shared" si="11"/>
        <v>5.1479452054794521</v>
      </c>
      <c r="I770">
        <v>59</v>
      </c>
      <c r="J770" t="s">
        <v>38</v>
      </c>
      <c r="K770" t="s">
        <v>55</v>
      </c>
      <c r="L770" t="s">
        <v>44</v>
      </c>
      <c r="M770">
        <v>17.13</v>
      </c>
      <c r="N770">
        <v>16.829999999999998</v>
      </c>
      <c r="O770">
        <v>16.53</v>
      </c>
      <c r="P770">
        <v>16.23</v>
      </c>
      <c r="Q770">
        <v>15.93</v>
      </c>
      <c r="T770" t="s">
        <v>52</v>
      </c>
      <c r="U770">
        <v>1</v>
      </c>
      <c r="V770">
        <v>7</v>
      </c>
    </row>
    <row r="771" spans="1:22" x14ac:dyDescent="0.3">
      <c r="A771">
        <v>770</v>
      </c>
      <c r="B771">
        <v>31774</v>
      </c>
      <c r="C771" s="2">
        <v>32652</v>
      </c>
      <c r="D771">
        <v>36</v>
      </c>
      <c r="E771" t="s">
        <v>36</v>
      </c>
      <c r="F771" t="s">
        <v>50</v>
      </c>
      <c r="G771" s="2">
        <v>44143</v>
      </c>
      <c r="H771" s="3">
        <f t="shared" ref="H771:H834" si="12">DATEDIF(G772,DATE(2025,12,31),"d")/365</f>
        <v>5.2219178082191782</v>
      </c>
      <c r="I771">
        <v>108</v>
      </c>
      <c r="J771" t="s">
        <v>57</v>
      </c>
      <c r="K771" t="s">
        <v>56</v>
      </c>
      <c r="L771" t="s">
        <v>44</v>
      </c>
      <c r="M771">
        <v>8.4700000000000006</v>
      </c>
      <c r="N771">
        <v>8.27</v>
      </c>
      <c r="O771">
        <v>8.07</v>
      </c>
      <c r="P771">
        <v>7.87</v>
      </c>
      <c r="Q771">
        <v>7.67</v>
      </c>
      <c r="T771" t="s">
        <v>47</v>
      </c>
      <c r="U771">
        <v>1</v>
      </c>
      <c r="V771">
        <v>4</v>
      </c>
    </row>
    <row r="772" spans="1:22" x14ac:dyDescent="0.3">
      <c r="A772">
        <v>771</v>
      </c>
      <c r="B772">
        <v>31799</v>
      </c>
      <c r="C772" s="2">
        <v>37510</v>
      </c>
      <c r="D772">
        <v>23</v>
      </c>
      <c r="E772" t="s">
        <v>42</v>
      </c>
      <c r="F772" t="s">
        <v>37</v>
      </c>
      <c r="G772" s="2">
        <v>44116</v>
      </c>
      <c r="H772" s="3">
        <f t="shared" si="12"/>
        <v>5.8356164383561646</v>
      </c>
      <c r="I772">
        <v>19</v>
      </c>
      <c r="J772" t="s">
        <v>38</v>
      </c>
      <c r="K772" t="s">
        <v>43</v>
      </c>
      <c r="L772" t="s">
        <v>44</v>
      </c>
      <c r="M772">
        <v>16.03</v>
      </c>
      <c r="N772">
        <v>15.68</v>
      </c>
      <c r="O772">
        <v>15.32</v>
      </c>
      <c r="P772">
        <v>15.16</v>
      </c>
      <c r="Q772">
        <v>14.83</v>
      </c>
      <c r="T772" t="s">
        <v>45</v>
      </c>
      <c r="U772">
        <v>0</v>
      </c>
      <c r="V772">
        <v>5</v>
      </c>
    </row>
    <row r="773" spans="1:22" x14ac:dyDescent="0.3">
      <c r="A773">
        <v>772</v>
      </c>
      <c r="B773">
        <v>31811</v>
      </c>
      <c r="C773" s="2">
        <v>36466</v>
      </c>
      <c r="D773">
        <v>26</v>
      </c>
      <c r="E773" t="s">
        <v>36</v>
      </c>
      <c r="F773" t="s">
        <v>50</v>
      </c>
      <c r="G773" s="2">
        <v>43892</v>
      </c>
      <c r="H773" s="3">
        <f t="shared" si="12"/>
        <v>5.2986301369863016</v>
      </c>
      <c r="I773">
        <v>63</v>
      </c>
      <c r="J773" t="s">
        <v>38</v>
      </c>
      <c r="K773" t="s">
        <v>65</v>
      </c>
      <c r="L773" t="s">
        <v>44</v>
      </c>
      <c r="M773">
        <v>10.44</v>
      </c>
      <c r="N773">
        <v>10.24</v>
      </c>
      <c r="O773">
        <v>10.039999999999999</v>
      </c>
      <c r="P773">
        <v>9.84</v>
      </c>
      <c r="Q773">
        <v>9.64</v>
      </c>
      <c r="T773" t="s">
        <v>47</v>
      </c>
      <c r="U773">
        <v>1</v>
      </c>
      <c r="V773">
        <v>4</v>
      </c>
    </row>
    <row r="774" spans="1:22" x14ac:dyDescent="0.3">
      <c r="A774">
        <v>773</v>
      </c>
      <c r="B774">
        <v>31827</v>
      </c>
      <c r="C774" s="2">
        <v>36656</v>
      </c>
      <c r="D774">
        <v>25</v>
      </c>
      <c r="E774" t="s">
        <v>36</v>
      </c>
      <c r="F774" t="s">
        <v>50</v>
      </c>
      <c r="G774" s="2">
        <v>44088</v>
      </c>
      <c r="H774" s="3">
        <f t="shared" si="12"/>
        <v>5.2630136986301368</v>
      </c>
      <c r="I774">
        <v>108</v>
      </c>
      <c r="J774" t="s">
        <v>57</v>
      </c>
      <c r="K774" t="s">
        <v>43</v>
      </c>
      <c r="L774" t="s">
        <v>44</v>
      </c>
      <c r="M774">
        <v>16.03</v>
      </c>
      <c r="N774">
        <v>15.73</v>
      </c>
      <c r="O774">
        <v>15.43</v>
      </c>
      <c r="P774">
        <v>15.13</v>
      </c>
      <c r="Q774">
        <v>14.83</v>
      </c>
      <c r="T774" t="s">
        <v>47</v>
      </c>
      <c r="U774">
        <v>1</v>
      </c>
      <c r="V774">
        <v>5</v>
      </c>
    </row>
    <row r="775" spans="1:22" x14ac:dyDescent="0.3">
      <c r="A775">
        <v>774</v>
      </c>
      <c r="B775">
        <v>31846</v>
      </c>
      <c r="C775" s="2">
        <v>36293</v>
      </c>
      <c r="D775">
        <v>26</v>
      </c>
      <c r="E775" t="s">
        <v>42</v>
      </c>
      <c r="F775" t="s">
        <v>50</v>
      </c>
      <c r="G775" s="2">
        <v>44101</v>
      </c>
      <c r="H775" s="3">
        <f t="shared" si="12"/>
        <v>5.5123287671232877</v>
      </c>
      <c r="I775">
        <v>6</v>
      </c>
      <c r="J775" t="s">
        <v>38</v>
      </c>
      <c r="K775" t="s">
        <v>56</v>
      </c>
      <c r="L775" t="s">
        <v>44</v>
      </c>
      <c r="M775">
        <v>8.4700000000000006</v>
      </c>
      <c r="N775">
        <v>8.27</v>
      </c>
      <c r="O775">
        <v>8.07</v>
      </c>
      <c r="P775">
        <v>7.87</v>
      </c>
      <c r="Q775">
        <v>7.67</v>
      </c>
      <c r="T775" t="s">
        <v>47</v>
      </c>
      <c r="U775">
        <v>1</v>
      </c>
      <c r="V775">
        <v>6</v>
      </c>
    </row>
    <row r="776" spans="1:22" x14ac:dyDescent="0.3">
      <c r="A776">
        <v>775</v>
      </c>
      <c r="B776">
        <v>31861</v>
      </c>
      <c r="C776" s="2">
        <v>35280</v>
      </c>
      <c r="D776">
        <v>29</v>
      </c>
      <c r="E776" t="s">
        <v>36</v>
      </c>
      <c r="F776" t="s">
        <v>50</v>
      </c>
      <c r="G776" s="2">
        <v>44010</v>
      </c>
      <c r="H776" s="3">
        <f t="shared" si="12"/>
        <v>5.5095890410958903</v>
      </c>
      <c r="I776">
        <v>18</v>
      </c>
      <c r="J776" t="s">
        <v>38</v>
      </c>
      <c r="K776" t="s">
        <v>46</v>
      </c>
      <c r="L776" t="s">
        <v>44</v>
      </c>
      <c r="M776">
        <v>14.09</v>
      </c>
      <c r="N776">
        <v>13.79</v>
      </c>
      <c r="O776">
        <v>13.49</v>
      </c>
      <c r="P776">
        <v>13.19</v>
      </c>
      <c r="Q776">
        <v>12.89</v>
      </c>
      <c r="T776" t="s">
        <v>49</v>
      </c>
      <c r="U776">
        <v>1</v>
      </c>
      <c r="V776">
        <v>2</v>
      </c>
    </row>
    <row r="777" spans="1:22" x14ac:dyDescent="0.3">
      <c r="A777">
        <v>776</v>
      </c>
      <c r="B777">
        <v>31949</v>
      </c>
      <c r="C777" s="2">
        <v>35549</v>
      </c>
      <c r="D777">
        <v>28</v>
      </c>
      <c r="E777" t="s">
        <v>42</v>
      </c>
      <c r="F777" t="s">
        <v>37</v>
      </c>
      <c r="G777" s="2">
        <v>44011</v>
      </c>
      <c r="H777" s="3">
        <f t="shared" si="12"/>
        <v>5.6520547945205477</v>
      </c>
      <c r="I777">
        <v>63</v>
      </c>
      <c r="J777" t="s">
        <v>38</v>
      </c>
      <c r="K777" t="s">
        <v>46</v>
      </c>
      <c r="L777" t="s">
        <v>44</v>
      </c>
      <c r="M777">
        <v>14.09</v>
      </c>
      <c r="N777">
        <v>13.79</v>
      </c>
      <c r="O777">
        <v>13.49</v>
      </c>
      <c r="P777">
        <v>13.19</v>
      </c>
      <c r="Q777">
        <v>12.89</v>
      </c>
      <c r="T777" t="s">
        <v>49</v>
      </c>
      <c r="U777">
        <v>0</v>
      </c>
      <c r="V777">
        <v>4</v>
      </c>
    </row>
    <row r="778" spans="1:22" x14ac:dyDescent="0.3">
      <c r="A778">
        <v>777</v>
      </c>
      <c r="B778">
        <v>31964</v>
      </c>
      <c r="C778" s="2">
        <v>35592</v>
      </c>
      <c r="D778">
        <v>28</v>
      </c>
      <c r="E778" t="s">
        <v>42</v>
      </c>
      <c r="F778" t="s">
        <v>50</v>
      </c>
      <c r="G778" s="2">
        <v>43959</v>
      </c>
      <c r="H778" s="3">
        <f t="shared" si="12"/>
        <v>5.4383561643835616</v>
      </c>
      <c r="I778">
        <v>73</v>
      </c>
      <c r="J778" t="s">
        <v>57</v>
      </c>
      <c r="K778" t="s">
        <v>55</v>
      </c>
      <c r="L778" t="s">
        <v>44</v>
      </c>
      <c r="M778">
        <v>17.13</v>
      </c>
      <c r="N778">
        <v>16.829999999999998</v>
      </c>
      <c r="O778">
        <v>16.53</v>
      </c>
      <c r="P778">
        <v>16.23</v>
      </c>
      <c r="Q778">
        <v>15.93</v>
      </c>
      <c r="T778" t="s">
        <v>47</v>
      </c>
      <c r="U778">
        <v>2</v>
      </c>
      <c r="V778">
        <v>6</v>
      </c>
    </row>
    <row r="779" spans="1:22" x14ac:dyDescent="0.3">
      <c r="A779">
        <v>778</v>
      </c>
      <c r="B779">
        <v>31993</v>
      </c>
      <c r="C779" s="2">
        <v>36209</v>
      </c>
      <c r="D779">
        <v>26</v>
      </c>
      <c r="E779" t="s">
        <v>36</v>
      </c>
      <c r="F779" t="s">
        <v>50</v>
      </c>
      <c r="G779" s="2">
        <v>44037</v>
      </c>
      <c r="H779" s="3">
        <f t="shared" si="12"/>
        <v>5.5753424657534243</v>
      </c>
      <c r="I779">
        <v>102</v>
      </c>
      <c r="J779" t="s">
        <v>57</v>
      </c>
      <c r="K779" t="s">
        <v>43</v>
      </c>
      <c r="L779" t="s">
        <v>44</v>
      </c>
      <c r="M779">
        <v>16.03</v>
      </c>
      <c r="N779">
        <v>15.73</v>
      </c>
      <c r="O779">
        <v>15.43</v>
      </c>
      <c r="P779">
        <v>15.13</v>
      </c>
      <c r="Q779">
        <v>14.83</v>
      </c>
      <c r="T779" t="s">
        <v>49</v>
      </c>
      <c r="U779">
        <v>2</v>
      </c>
      <c r="V779">
        <v>3</v>
      </c>
    </row>
    <row r="780" spans="1:22" x14ac:dyDescent="0.3">
      <c r="A780">
        <v>779</v>
      </c>
      <c r="B780">
        <v>32007</v>
      </c>
      <c r="C780" s="2">
        <v>35184</v>
      </c>
      <c r="D780">
        <v>29</v>
      </c>
      <c r="E780" t="s">
        <v>36</v>
      </c>
      <c r="F780" t="s">
        <v>37</v>
      </c>
      <c r="G780" s="2">
        <v>43987</v>
      </c>
      <c r="H780" s="3">
        <f t="shared" si="12"/>
        <v>5.043835616438356</v>
      </c>
      <c r="I780">
        <v>108</v>
      </c>
      <c r="J780" t="s">
        <v>57</v>
      </c>
      <c r="K780" t="s">
        <v>68</v>
      </c>
      <c r="L780" t="s">
        <v>44</v>
      </c>
      <c r="M780">
        <v>16.2</v>
      </c>
      <c r="N780">
        <v>16</v>
      </c>
      <c r="O780">
        <v>15.8</v>
      </c>
      <c r="P780">
        <v>15.6</v>
      </c>
      <c r="Q780">
        <v>15.4</v>
      </c>
      <c r="T780" t="s">
        <v>47</v>
      </c>
      <c r="U780">
        <v>4</v>
      </c>
      <c r="V780">
        <v>4</v>
      </c>
    </row>
    <row r="781" spans="1:22" x14ac:dyDescent="0.3">
      <c r="A781">
        <v>780</v>
      </c>
      <c r="B781">
        <v>32016</v>
      </c>
      <c r="C781" s="2">
        <v>36012</v>
      </c>
      <c r="D781">
        <v>27</v>
      </c>
      <c r="E781" t="s">
        <v>36</v>
      </c>
      <c r="F781" t="s">
        <v>50</v>
      </c>
      <c r="G781" s="2">
        <v>44181</v>
      </c>
      <c r="H781" s="3">
        <f t="shared" si="12"/>
        <v>5.4904109589041097</v>
      </c>
      <c r="I781">
        <v>116</v>
      </c>
      <c r="J781" t="s">
        <v>57</v>
      </c>
      <c r="K781" t="s">
        <v>65</v>
      </c>
      <c r="L781" t="s">
        <v>44</v>
      </c>
      <c r="M781">
        <v>10.44</v>
      </c>
      <c r="N781">
        <v>10.24</v>
      </c>
      <c r="O781">
        <v>10.039999999999999</v>
      </c>
      <c r="P781">
        <v>9.84</v>
      </c>
      <c r="Q781">
        <v>9.64</v>
      </c>
      <c r="T781" t="s">
        <v>45</v>
      </c>
      <c r="U781">
        <v>1</v>
      </c>
      <c r="V781">
        <v>4</v>
      </c>
    </row>
    <row r="782" spans="1:22" x14ac:dyDescent="0.3">
      <c r="A782">
        <v>781</v>
      </c>
      <c r="B782">
        <v>32053</v>
      </c>
      <c r="C782" s="2">
        <v>34138</v>
      </c>
      <c r="D782">
        <v>32</v>
      </c>
      <c r="E782" t="s">
        <v>42</v>
      </c>
      <c r="F782" t="s">
        <v>50</v>
      </c>
      <c r="G782" s="2">
        <v>44018</v>
      </c>
      <c r="H782" s="3">
        <f t="shared" si="12"/>
        <v>5.5917808219178085</v>
      </c>
      <c r="I782">
        <v>136</v>
      </c>
      <c r="J782" t="s">
        <v>57</v>
      </c>
      <c r="K782" t="s">
        <v>55</v>
      </c>
      <c r="L782" t="s">
        <v>44</v>
      </c>
      <c r="M782">
        <v>17.34</v>
      </c>
      <c r="N782">
        <v>16.89</v>
      </c>
      <c r="O782">
        <v>16.66</v>
      </c>
      <c r="P782">
        <v>16.329999999999998</v>
      </c>
      <c r="Q782">
        <v>15.93</v>
      </c>
      <c r="T782" t="s">
        <v>47</v>
      </c>
      <c r="U782">
        <v>0</v>
      </c>
      <c r="V782">
        <v>4</v>
      </c>
    </row>
    <row r="783" spans="1:22" x14ac:dyDescent="0.3">
      <c r="A783">
        <v>782</v>
      </c>
      <c r="B783">
        <v>32112</v>
      </c>
      <c r="C783" s="2">
        <v>34912</v>
      </c>
      <c r="D783">
        <v>31</v>
      </c>
      <c r="E783" t="s">
        <v>42</v>
      </c>
      <c r="F783" t="s">
        <v>50</v>
      </c>
      <c r="G783" s="2">
        <v>43981</v>
      </c>
      <c r="H783" s="3">
        <f t="shared" si="12"/>
        <v>5.5643835616438357</v>
      </c>
      <c r="I783">
        <v>66</v>
      </c>
      <c r="J783" t="s">
        <v>57</v>
      </c>
      <c r="K783" t="s">
        <v>46</v>
      </c>
      <c r="L783" t="s">
        <v>44</v>
      </c>
      <c r="M783">
        <v>14.09</v>
      </c>
      <c r="N783">
        <v>13.79</v>
      </c>
      <c r="O783">
        <v>13.49</v>
      </c>
      <c r="P783">
        <v>13.19</v>
      </c>
      <c r="Q783">
        <v>12.89</v>
      </c>
      <c r="T783" t="s">
        <v>49</v>
      </c>
      <c r="U783">
        <v>1</v>
      </c>
      <c r="V783">
        <v>6</v>
      </c>
    </row>
    <row r="784" spans="1:22" x14ac:dyDescent="0.3">
      <c r="A784">
        <v>783</v>
      </c>
      <c r="B784">
        <v>32117</v>
      </c>
      <c r="C784" s="2">
        <v>35869</v>
      </c>
      <c r="D784">
        <v>27</v>
      </c>
      <c r="E784" t="s">
        <v>42</v>
      </c>
      <c r="F784" t="s">
        <v>50</v>
      </c>
      <c r="G784" s="2">
        <v>43991</v>
      </c>
      <c r="H784" s="3">
        <f t="shared" si="12"/>
        <v>5.4794520547945202</v>
      </c>
      <c r="I784">
        <v>68</v>
      </c>
      <c r="J784" t="s">
        <v>57</v>
      </c>
      <c r="K784" t="s">
        <v>43</v>
      </c>
      <c r="L784" t="s">
        <v>44</v>
      </c>
      <c r="M784">
        <v>15.87</v>
      </c>
      <c r="N784">
        <v>15.61</v>
      </c>
      <c r="O784">
        <v>15.33</v>
      </c>
      <c r="P784">
        <v>15.1</v>
      </c>
      <c r="Q784">
        <v>14.83</v>
      </c>
      <c r="T784" t="s">
        <v>47</v>
      </c>
      <c r="U784">
        <v>1</v>
      </c>
      <c r="V784">
        <v>5</v>
      </c>
    </row>
    <row r="785" spans="1:22" x14ac:dyDescent="0.3">
      <c r="A785">
        <v>784</v>
      </c>
      <c r="B785">
        <v>32163</v>
      </c>
      <c r="C785" s="2">
        <v>36597</v>
      </c>
      <c r="D785">
        <v>25</v>
      </c>
      <c r="E785" t="s">
        <v>42</v>
      </c>
      <c r="F785" t="s">
        <v>37</v>
      </c>
      <c r="G785" s="2">
        <v>44022</v>
      </c>
      <c r="H785" s="3">
        <f t="shared" si="12"/>
        <v>4.9726027397260273</v>
      </c>
      <c r="I785">
        <v>1</v>
      </c>
      <c r="J785" t="s">
        <v>38</v>
      </c>
      <c r="K785" t="s">
        <v>56</v>
      </c>
      <c r="L785" t="s">
        <v>44</v>
      </c>
      <c r="M785">
        <v>8.4700000000000006</v>
      </c>
      <c r="N785">
        <v>8.27</v>
      </c>
      <c r="O785">
        <v>8.07</v>
      </c>
      <c r="P785">
        <v>7.87</v>
      </c>
      <c r="Q785">
        <v>7.67</v>
      </c>
      <c r="T785" t="s">
        <v>47</v>
      </c>
      <c r="U785">
        <v>2</v>
      </c>
      <c r="V785">
        <v>5</v>
      </c>
    </row>
    <row r="786" spans="1:22" x14ac:dyDescent="0.3">
      <c r="A786">
        <v>785</v>
      </c>
      <c r="B786">
        <v>32291</v>
      </c>
      <c r="C786" s="2">
        <v>35916</v>
      </c>
      <c r="D786">
        <v>28</v>
      </c>
      <c r="E786" t="s">
        <v>42</v>
      </c>
      <c r="F786" t="s">
        <v>50</v>
      </c>
      <c r="G786" s="2">
        <v>44207</v>
      </c>
      <c r="H786" s="3">
        <f t="shared" si="12"/>
        <v>5.1013698630136988</v>
      </c>
      <c r="I786">
        <v>82</v>
      </c>
      <c r="J786" t="s">
        <v>57</v>
      </c>
      <c r="K786" t="s">
        <v>64</v>
      </c>
      <c r="L786" t="s">
        <v>44</v>
      </c>
      <c r="M786">
        <v>13.95</v>
      </c>
      <c r="N786">
        <v>13.65</v>
      </c>
      <c r="O786">
        <v>13.35</v>
      </c>
      <c r="P786">
        <v>13.05</v>
      </c>
      <c r="T786" t="s">
        <v>49</v>
      </c>
      <c r="U786">
        <v>1</v>
      </c>
      <c r="V786">
        <v>6</v>
      </c>
    </row>
    <row r="787" spans="1:22" x14ac:dyDescent="0.3">
      <c r="A787">
        <v>786</v>
      </c>
      <c r="B787">
        <v>32333</v>
      </c>
      <c r="C787" s="2">
        <v>36706</v>
      </c>
      <c r="D787">
        <v>25</v>
      </c>
      <c r="E787" t="s">
        <v>42</v>
      </c>
      <c r="F787" t="s">
        <v>50</v>
      </c>
      <c r="G787" s="2">
        <v>44160</v>
      </c>
      <c r="H787" s="3">
        <f t="shared" si="12"/>
        <v>5.6794520547945204</v>
      </c>
      <c r="I787">
        <v>105</v>
      </c>
      <c r="J787" t="s">
        <v>57</v>
      </c>
      <c r="K787" t="s">
        <v>54</v>
      </c>
      <c r="L787" t="s">
        <v>44</v>
      </c>
      <c r="M787">
        <v>22.74</v>
      </c>
      <c r="N787">
        <v>22.44</v>
      </c>
      <c r="O787">
        <v>22.14</v>
      </c>
      <c r="P787">
        <v>21.84</v>
      </c>
      <c r="Q787">
        <v>21.54</v>
      </c>
      <c r="T787" t="s">
        <v>49</v>
      </c>
      <c r="U787">
        <v>3</v>
      </c>
      <c r="V787">
        <v>6</v>
      </c>
    </row>
    <row r="788" spans="1:22" x14ac:dyDescent="0.3">
      <c r="A788">
        <v>787</v>
      </c>
      <c r="B788">
        <v>32402</v>
      </c>
      <c r="C788" s="2">
        <v>35797</v>
      </c>
      <c r="D788">
        <v>27</v>
      </c>
      <c r="E788" t="s">
        <v>42</v>
      </c>
      <c r="F788" t="s">
        <v>50</v>
      </c>
      <c r="G788" s="2">
        <v>43949</v>
      </c>
      <c r="H788" s="3">
        <f t="shared" si="12"/>
        <v>5.7369863013698632</v>
      </c>
      <c r="I788">
        <v>8</v>
      </c>
      <c r="J788" t="s">
        <v>38</v>
      </c>
      <c r="K788" t="s">
        <v>46</v>
      </c>
      <c r="L788" t="s">
        <v>44</v>
      </c>
      <c r="M788">
        <v>13.92</v>
      </c>
      <c r="N788">
        <v>13.5</v>
      </c>
      <c r="O788">
        <v>13.15</v>
      </c>
      <c r="P788">
        <v>13.15</v>
      </c>
      <c r="Q788">
        <v>12.89</v>
      </c>
      <c r="T788" t="s">
        <v>47</v>
      </c>
      <c r="U788">
        <v>1</v>
      </c>
      <c r="V788">
        <v>6</v>
      </c>
    </row>
    <row r="789" spans="1:22" x14ac:dyDescent="0.3">
      <c r="A789">
        <v>788</v>
      </c>
      <c r="B789">
        <v>32406</v>
      </c>
      <c r="C789" s="2">
        <v>33475</v>
      </c>
      <c r="D789">
        <v>34</v>
      </c>
      <c r="E789" t="s">
        <v>36</v>
      </c>
      <c r="F789" t="s">
        <v>50</v>
      </c>
      <c r="G789" s="2">
        <v>43928</v>
      </c>
      <c r="H789" s="3">
        <f t="shared" si="12"/>
        <v>4.8493150684931505</v>
      </c>
      <c r="I789">
        <v>9</v>
      </c>
      <c r="J789" t="s">
        <v>38</v>
      </c>
      <c r="K789" t="s">
        <v>65</v>
      </c>
      <c r="L789" t="s">
        <v>44</v>
      </c>
      <c r="M789">
        <v>10.44</v>
      </c>
      <c r="N789">
        <v>10.24</v>
      </c>
      <c r="O789">
        <v>10.039999999999999</v>
      </c>
      <c r="P789">
        <v>9.84</v>
      </c>
      <c r="Q789">
        <v>9.64</v>
      </c>
      <c r="T789" t="s">
        <v>47</v>
      </c>
      <c r="U789">
        <v>0</v>
      </c>
      <c r="V789">
        <v>3</v>
      </c>
    </row>
    <row r="790" spans="1:22" x14ac:dyDescent="0.3">
      <c r="A790">
        <v>789</v>
      </c>
      <c r="B790">
        <v>32409</v>
      </c>
      <c r="C790" s="2">
        <v>36865</v>
      </c>
      <c r="D790">
        <v>25</v>
      </c>
      <c r="E790" t="s">
        <v>36</v>
      </c>
      <c r="F790" t="s">
        <v>37</v>
      </c>
      <c r="G790" s="2">
        <v>44252</v>
      </c>
      <c r="H790" s="3">
        <f t="shared" si="12"/>
        <v>5.2630136986301368</v>
      </c>
      <c r="I790">
        <v>10</v>
      </c>
      <c r="J790" t="s">
        <v>38</v>
      </c>
      <c r="K790" t="s">
        <v>46</v>
      </c>
      <c r="L790" t="s">
        <v>44</v>
      </c>
      <c r="M790">
        <v>14.09</v>
      </c>
      <c r="N790">
        <v>13.79</v>
      </c>
      <c r="O790">
        <v>13.49</v>
      </c>
      <c r="P790">
        <v>13.19</v>
      </c>
      <c r="T790" t="s">
        <v>52</v>
      </c>
      <c r="U790">
        <v>1</v>
      </c>
      <c r="V790">
        <v>3</v>
      </c>
    </row>
    <row r="791" spans="1:22" x14ac:dyDescent="0.3">
      <c r="A791">
        <v>790</v>
      </c>
      <c r="B791">
        <v>32477</v>
      </c>
      <c r="C791" s="2">
        <v>34399</v>
      </c>
      <c r="D791">
        <v>31</v>
      </c>
      <c r="E791" t="s">
        <v>36</v>
      </c>
      <c r="F791" t="s">
        <v>37</v>
      </c>
      <c r="G791" s="2">
        <v>44101</v>
      </c>
      <c r="H791" s="3">
        <f t="shared" si="12"/>
        <v>5.3726027397260276</v>
      </c>
      <c r="I791">
        <v>32</v>
      </c>
      <c r="J791" t="s">
        <v>38</v>
      </c>
      <c r="K791" t="s">
        <v>65</v>
      </c>
      <c r="L791" t="s">
        <v>44</v>
      </c>
      <c r="M791">
        <v>10.44</v>
      </c>
      <c r="N791">
        <v>10.24</v>
      </c>
      <c r="O791">
        <v>10.039999999999999</v>
      </c>
      <c r="P791">
        <v>9.84</v>
      </c>
      <c r="Q791">
        <v>9.64</v>
      </c>
      <c r="T791" t="s">
        <v>47</v>
      </c>
      <c r="U791">
        <v>1</v>
      </c>
      <c r="V791">
        <v>3</v>
      </c>
    </row>
    <row r="792" spans="1:22" x14ac:dyDescent="0.3">
      <c r="A792">
        <v>791</v>
      </c>
      <c r="B792">
        <v>32504</v>
      </c>
      <c r="C792" s="2">
        <v>36622</v>
      </c>
      <c r="D792">
        <v>25</v>
      </c>
      <c r="E792" t="s">
        <v>42</v>
      </c>
      <c r="F792" t="s">
        <v>50</v>
      </c>
      <c r="G792" s="2">
        <v>44061</v>
      </c>
      <c r="H792" s="3">
        <f t="shared" si="12"/>
        <v>5.1150684931506847</v>
      </c>
      <c r="I792">
        <v>38</v>
      </c>
      <c r="J792" t="s">
        <v>38</v>
      </c>
      <c r="K792" t="s">
        <v>56</v>
      </c>
      <c r="L792" t="s">
        <v>44</v>
      </c>
      <c r="M792">
        <v>8.4700000000000006</v>
      </c>
      <c r="N792">
        <v>8.27</v>
      </c>
      <c r="O792">
        <v>8.07</v>
      </c>
      <c r="P792">
        <v>7.87</v>
      </c>
      <c r="Q792">
        <v>7.67</v>
      </c>
      <c r="T792" t="s">
        <v>47</v>
      </c>
      <c r="U792">
        <v>2</v>
      </c>
      <c r="V792">
        <v>6</v>
      </c>
    </row>
    <row r="793" spans="1:22" x14ac:dyDescent="0.3">
      <c r="A793">
        <v>792</v>
      </c>
      <c r="B793">
        <v>32546</v>
      </c>
      <c r="C793" s="2">
        <v>37175</v>
      </c>
      <c r="D793">
        <v>24</v>
      </c>
      <c r="E793" t="s">
        <v>42</v>
      </c>
      <c r="F793" t="s">
        <v>50</v>
      </c>
      <c r="G793" s="2">
        <v>44155</v>
      </c>
      <c r="H793" s="3">
        <f t="shared" si="12"/>
        <v>5.4794520547945202</v>
      </c>
      <c r="I793">
        <v>53</v>
      </c>
      <c r="J793" t="s">
        <v>38</v>
      </c>
      <c r="K793" t="s">
        <v>46</v>
      </c>
      <c r="L793" t="s">
        <v>44</v>
      </c>
      <c r="M793">
        <v>14.09</v>
      </c>
      <c r="N793">
        <v>13.79</v>
      </c>
      <c r="O793">
        <v>13.49</v>
      </c>
      <c r="P793">
        <v>13.19</v>
      </c>
      <c r="Q793">
        <v>12.89</v>
      </c>
      <c r="T793" t="s">
        <v>52</v>
      </c>
      <c r="U793">
        <v>0</v>
      </c>
      <c r="V793">
        <v>4</v>
      </c>
    </row>
    <row r="794" spans="1:22" x14ac:dyDescent="0.3">
      <c r="A794">
        <v>793</v>
      </c>
      <c r="B794">
        <v>32591</v>
      </c>
      <c r="C794" s="2">
        <v>35596</v>
      </c>
      <c r="D794">
        <v>28</v>
      </c>
      <c r="E794" t="s">
        <v>36</v>
      </c>
      <c r="F794" t="s">
        <v>50</v>
      </c>
      <c r="G794" s="2">
        <v>44022</v>
      </c>
      <c r="H794" s="3">
        <f t="shared" si="12"/>
        <v>5.5561643835616437</v>
      </c>
      <c r="I794">
        <v>67</v>
      </c>
      <c r="J794" t="s">
        <v>57</v>
      </c>
      <c r="K794" t="s">
        <v>68</v>
      </c>
      <c r="L794" t="s">
        <v>44</v>
      </c>
      <c r="M794">
        <v>16.350000000000001</v>
      </c>
      <c r="N794">
        <v>16.11</v>
      </c>
      <c r="O794">
        <v>15.86</v>
      </c>
      <c r="P794">
        <v>15.65</v>
      </c>
      <c r="Q794">
        <v>15.4</v>
      </c>
      <c r="T794" t="s">
        <v>49</v>
      </c>
      <c r="U794">
        <v>2</v>
      </c>
      <c r="V794">
        <v>4</v>
      </c>
    </row>
    <row r="795" spans="1:22" x14ac:dyDescent="0.3">
      <c r="A795">
        <v>794</v>
      </c>
      <c r="B795">
        <v>32592</v>
      </c>
      <c r="C795" s="2">
        <v>36697</v>
      </c>
      <c r="D795">
        <v>25</v>
      </c>
      <c r="E795" t="s">
        <v>36</v>
      </c>
      <c r="F795" t="s">
        <v>37</v>
      </c>
      <c r="G795" s="2">
        <v>43994</v>
      </c>
      <c r="H795" s="3">
        <f t="shared" si="12"/>
        <v>4.8767123287671232</v>
      </c>
      <c r="I795">
        <v>67</v>
      </c>
      <c r="J795" t="s">
        <v>57</v>
      </c>
      <c r="K795" t="s">
        <v>43</v>
      </c>
      <c r="L795" t="s">
        <v>44</v>
      </c>
      <c r="M795">
        <v>15.77</v>
      </c>
      <c r="N795">
        <v>15.57</v>
      </c>
      <c r="O795">
        <v>15.28</v>
      </c>
      <c r="P795">
        <v>14.83</v>
      </c>
      <c r="Q795">
        <v>14.83</v>
      </c>
      <c r="T795" t="s">
        <v>45</v>
      </c>
      <c r="U795">
        <v>1</v>
      </c>
      <c r="V795">
        <v>4</v>
      </c>
    </row>
    <row r="796" spans="1:22" x14ac:dyDescent="0.3">
      <c r="A796">
        <v>795</v>
      </c>
      <c r="B796">
        <v>32629</v>
      </c>
      <c r="C796" s="2">
        <v>34834</v>
      </c>
      <c r="D796">
        <v>30</v>
      </c>
      <c r="E796" t="s">
        <v>36</v>
      </c>
      <c r="F796" t="s">
        <v>50</v>
      </c>
      <c r="G796" s="2">
        <v>44242</v>
      </c>
      <c r="H796" s="3">
        <f t="shared" si="12"/>
        <v>5.2191780821917808</v>
      </c>
      <c r="I796">
        <v>84</v>
      </c>
      <c r="J796" t="s">
        <v>57</v>
      </c>
      <c r="K796" t="s">
        <v>65</v>
      </c>
      <c r="L796" t="s">
        <v>44</v>
      </c>
      <c r="M796">
        <v>10.44</v>
      </c>
      <c r="N796">
        <v>10.24</v>
      </c>
      <c r="O796">
        <v>10.039999999999999</v>
      </c>
      <c r="P796">
        <v>9.84</v>
      </c>
      <c r="T796" t="s">
        <v>49</v>
      </c>
      <c r="U796">
        <v>1</v>
      </c>
      <c r="V796">
        <v>4</v>
      </c>
    </row>
    <row r="797" spans="1:22" x14ac:dyDescent="0.3">
      <c r="A797">
        <v>796</v>
      </c>
      <c r="B797">
        <v>32639</v>
      </c>
      <c r="C797" s="2">
        <v>35704</v>
      </c>
      <c r="D797">
        <v>29</v>
      </c>
      <c r="E797" t="s">
        <v>42</v>
      </c>
      <c r="F797" t="s">
        <v>50</v>
      </c>
      <c r="G797" s="2">
        <v>44117</v>
      </c>
      <c r="H797" s="3">
        <f t="shared" si="12"/>
        <v>5.6493150684931503</v>
      </c>
      <c r="I797">
        <v>88</v>
      </c>
      <c r="J797" t="s">
        <v>57</v>
      </c>
      <c r="K797" t="s">
        <v>55</v>
      </c>
      <c r="L797" t="s">
        <v>44</v>
      </c>
      <c r="M797">
        <v>16.53</v>
      </c>
      <c r="N797">
        <v>16.38</v>
      </c>
      <c r="O797">
        <v>16.23</v>
      </c>
      <c r="P797">
        <v>16.079999999999998</v>
      </c>
      <c r="Q797">
        <v>15.93</v>
      </c>
      <c r="T797" t="s">
        <v>47</v>
      </c>
      <c r="U797">
        <v>1</v>
      </c>
      <c r="V797">
        <v>4</v>
      </c>
    </row>
    <row r="798" spans="1:22" x14ac:dyDescent="0.3">
      <c r="A798">
        <v>797</v>
      </c>
      <c r="B798">
        <v>32733</v>
      </c>
      <c r="C798" s="2">
        <v>34805</v>
      </c>
      <c r="D798">
        <v>30</v>
      </c>
      <c r="E798" t="s">
        <v>42</v>
      </c>
      <c r="F798" t="s">
        <v>50</v>
      </c>
      <c r="G798" s="2">
        <v>43960</v>
      </c>
      <c r="H798" s="3">
        <f t="shared" si="12"/>
        <v>4.9643835616438352</v>
      </c>
      <c r="I798">
        <v>130</v>
      </c>
      <c r="J798" t="s">
        <v>57</v>
      </c>
      <c r="K798" t="s">
        <v>55</v>
      </c>
      <c r="L798" t="s">
        <v>44</v>
      </c>
      <c r="M798">
        <v>16.690000000000001</v>
      </c>
      <c r="N798">
        <v>16.45</v>
      </c>
      <c r="O798">
        <v>16.12</v>
      </c>
      <c r="P798">
        <v>16.12</v>
      </c>
      <c r="Q798">
        <v>15.93</v>
      </c>
      <c r="T798" t="s">
        <v>47</v>
      </c>
      <c r="U798">
        <v>4</v>
      </c>
      <c r="V798">
        <v>7</v>
      </c>
    </row>
    <row r="799" spans="1:22" x14ac:dyDescent="0.3">
      <c r="A799">
        <v>798</v>
      </c>
      <c r="B799">
        <v>32751</v>
      </c>
      <c r="C799" s="2">
        <v>34856</v>
      </c>
      <c r="D799">
        <v>30</v>
      </c>
      <c r="E799" t="s">
        <v>42</v>
      </c>
      <c r="F799" t="s">
        <v>50</v>
      </c>
      <c r="G799" s="2">
        <v>44210</v>
      </c>
      <c r="H799" s="3">
        <f t="shared" si="12"/>
        <v>5.3780821917808215</v>
      </c>
      <c r="I799">
        <v>137</v>
      </c>
      <c r="J799" t="s">
        <v>57</v>
      </c>
      <c r="K799" t="s">
        <v>65</v>
      </c>
      <c r="L799" t="s">
        <v>44</v>
      </c>
      <c r="M799">
        <v>10.44</v>
      </c>
      <c r="N799">
        <v>10.24</v>
      </c>
      <c r="O799">
        <v>10.039999999999999</v>
      </c>
      <c r="P799">
        <v>9.84</v>
      </c>
      <c r="T799" t="s">
        <v>52</v>
      </c>
      <c r="U799">
        <v>0</v>
      </c>
      <c r="V799">
        <v>6</v>
      </c>
    </row>
    <row r="800" spans="1:22" x14ac:dyDescent="0.3">
      <c r="A800">
        <v>799</v>
      </c>
      <c r="B800">
        <v>32809</v>
      </c>
      <c r="C800" s="2">
        <v>34461</v>
      </c>
      <c r="D800">
        <v>31</v>
      </c>
      <c r="E800" t="s">
        <v>42</v>
      </c>
      <c r="F800" t="s">
        <v>50</v>
      </c>
      <c r="G800" s="2">
        <v>44059</v>
      </c>
      <c r="H800" s="3">
        <f t="shared" si="12"/>
        <v>5.7232876712328764</v>
      </c>
      <c r="I800">
        <v>2</v>
      </c>
      <c r="J800" t="s">
        <v>38</v>
      </c>
      <c r="K800" t="s">
        <v>56</v>
      </c>
      <c r="L800" t="s">
        <v>44</v>
      </c>
      <c r="M800">
        <v>8.4700000000000006</v>
      </c>
      <c r="N800">
        <v>8.27</v>
      </c>
      <c r="O800">
        <v>8.07</v>
      </c>
      <c r="P800">
        <v>7.87</v>
      </c>
      <c r="Q800">
        <v>7.67</v>
      </c>
      <c r="T800" t="s">
        <v>47</v>
      </c>
      <c r="U800">
        <v>2</v>
      </c>
      <c r="V800">
        <v>7</v>
      </c>
    </row>
    <row r="801" spans="1:22" x14ac:dyDescent="0.3">
      <c r="A801">
        <v>800</v>
      </c>
      <c r="B801">
        <v>32852</v>
      </c>
      <c r="C801" s="2">
        <v>36924</v>
      </c>
      <c r="D801">
        <v>24</v>
      </c>
      <c r="E801" t="s">
        <v>42</v>
      </c>
      <c r="F801" t="s">
        <v>37</v>
      </c>
      <c r="G801" s="2">
        <v>43933</v>
      </c>
      <c r="H801" s="3">
        <f t="shared" si="12"/>
        <v>5.6410958904109592</v>
      </c>
      <c r="I801">
        <v>4</v>
      </c>
      <c r="J801" t="s">
        <v>38</v>
      </c>
      <c r="K801" t="s">
        <v>56</v>
      </c>
      <c r="L801" t="s">
        <v>44</v>
      </c>
      <c r="M801">
        <v>8.4700000000000006</v>
      </c>
      <c r="N801">
        <v>8.27</v>
      </c>
      <c r="O801">
        <v>8.07</v>
      </c>
      <c r="P801">
        <v>7.87</v>
      </c>
      <c r="Q801">
        <v>7.67</v>
      </c>
      <c r="T801" t="s">
        <v>49</v>
      </c>
      <c r="U801">
        <v>2</v>
      </c>
      <c r="V801">
        <v>6</v>
      </c>
    </row>
    <row r="802" spans="1:22" x14ac:dyDescent="0.3">
      <c r="A802">
        <v>801</v>
      </c>
      <c r="B802">
        <v>32943</v>
      </c>
      <c r="C802" s="2">
        <v>34420</v>
      </c>
      <c r="D802">
        <v>31</v>
      </c>
      <c r="E802" t="s">
        <v>36</v>
      </c>
      <c r="F802" t="s">
        <v>50</v>
      </c>
      <c r="G802" s="2">
        <v>43963</v>
      </c>
      <c r="H802" s="3">
        <f t="shared" si="12"/>
        <v>5.8986301369863012</v>
      </c>
      <c r="I802">
        <v>7</v>
      </c>
      <c r="J802" t="s">
        <v>38</v>
      </c>
      <c r="K802" t="s">
        <v>56</v>
      </c>
      <c r="L802" t="s">
        <v>44</v>
      </c>
      <c r="M802">
        <v>7.77</v>
      </c>
      <c r="N802">
        <v>7.77</v>
      </c>
      <c r="O802">
        <v>7.77</v>
      </c>
      <c r="P802">
        <v>7.77</v>
      </c>
      <c r="Q802">
        <v>7.67</v>
      </c>
      <c r="T802" t="s">
        <v>47</v>
      </c>
      <c r="U802">
        <v>1</v>
      </c>
      <c r="V802">
        <v>5</v>
      </c>
    </row>
    <row r="803" spans="1:22" x14ac:dyDescent="0.3">
      <c r="A803">
        <v>802</v>
      </c>
      <c r="B803">
        <v>32962</v>
      </c>
      <c r="C803" s="2">
        <v>36038</v>
      </c>
      <c r="D803">
        <v>27</v>
      </c>
      <c r="E803" t="s">
        <v>42</v>
      </c>
      <c r="F803" t="s">
        <v>50</v>
      </c>
      <c r="G803" s="2">
        <v>43869</v>
      </c>
      <c r="H803" s="3">
        <f t="shared" si="12"/>
        <v>5.1972602739726028</v>
      </c>
      <c r="I803">
        <v>9</v>
      </c>
      <c r="J803" t="s">
        <v>38</v>
      </c>
      <c r="K803" t="s">
        <v>56</v>
      </c>
      <c r="L803" t="s">
        <v>44</v>
      </c>
      <c r="M803">
        <v>8.4700000000000006</v>
      </c>
      <c r="N803">
        <v>8.27</v>
      </c>
      <c r="O803">
        <v>8.07</v>
      </c>
      <c r="P803">
        <v>7.87</v>
      </c>
      <c r="Q803">
        <v>7.67</v>
      </c>
      <c r="T803" t="s">
        <v>47</v>
      </c>
      <c r="U803">
        <v>1</v>
      </c>
      <c r="V803">
        <v>7</v>
      </c>
    </row>
    <row r="804" spans="1:22" x14ac:dyDescent="0.3">
      <c r="A804">
        <v>803</v>
      </c>
      <c r="B804">
        <v>33012</v>
      </c>
      <c r="C804" s="2">
        <v>35566</v>
      </c>
      <c r="D804">
        <v>28</v>
      </c>
      <c r="E804" t="s">
        <v>42</v>
      </c>
      <c r="F804" t="s">
        <v>50</v>
      </c>
      <c r="G804" s="2">
        <v>44125</v>
      </c>
      <c r="H804" s="3">
        <f t="shared" si="12"/>
        <v>5.2493150684931509</v>
      </c>
      <c r="I804">
        <v>11</v>
      </c>
      <c r="J804" t="s">
        <v>38</v>
      </c>
      <c r="K804" t="s">
        <v>54</v>
      </c>
      <c r="L804" t="s">
        <v>44</v>
      </c>
      <c r="M804">
        <v>21.99</v>
      </c>
      <c r="N804">
        <v>21.84</v>
      </c>
      <c r="O804">
        <v>21.69</v>
      </c>
      <c r="P804">
        <v>21.54</v>
      </c>
      <c r="Q804">
        <v>21.54</v>
      </c>
      <c r="T804" t="s">
        <v>52</v>
      </c>
      <c r="U804">
        <v>4</v>
      </c>
      <c r="V804">
        <v>7</v>
      </c>
    </row>
    <row r="805" spans="1:22" x14ac:dyDescent="0.3">
      <c r="A805">
        <v>804</v>
      </c>
      <c r="B805">
        <v>33025</v>
      </c>
      <c r="C805" s="2">
        <v>37527</v>
      </c>
      <c r="D805">
        <v>23</v>
      </c>
      <c r="E805" t="s">
        <v>42</v>
      </c>
      <c r="F805" t="s">
        <v>50</v>
      </c>
      <c r="G805" s="2">
        <v>44106</v>
      </c>
      <c r="H805" s="3">
        <f t="shared" si="12"/>
        <v>5.7178082191780826</v>
      </c>
      <c r="I805">
        <v>11</v>
      </c>
      <c r="J805" t="s">
        <v>38</v>
      </c>
      <c r="K805" t="s">
        <v>56</v>
      </c>
      <c r="L805" t="s">
        <v>44</v>
      </c>
      <c r="M805">
        <v>8.07</v>
      </c>
      <c r="N805">
        <v>7.97</v>
      </c>
      <c r="O805">
        <v>7.87</v>
      </c>
      <c r="P805">
        <v>7.77</v>
      </c>
      <c r="Q805">
        <v>7.67</v>
      </c>
      <c r="T805" t="s">
        <v>47</v>
      </c>
      <c r="U805">
        <v>3</v>
      </c>
      <c r="V805">
        <v>6</v>
      </c>
    </row>
    <row r="806" spans="1:22" x14ac:dyDescent="0.3">
      <c r="A806">
        <v>805</v>
      </c>
      <c r="B806">
        <v>33162</v>
      </c>
      <c r="C806" s="2">
        <v>33810</v>
      </c>
      <c r="D806">
        <v>33</v>
      </c>
      <c r="E806" t="s">
        <v>42</v>
      </c>
      <c r="F806" t="s">
        <v>50</v>
      </c>
      <c r="G806" s="2">
        <v>43935</v>
      </c>
      <c r="H806" s="3">
        <f t="shared" si="12"/>
        <v>4.8739726027397259</v>
      </c>
      <c r="I806">
        <v>16</v>
      </c>
      <c r="J806" t="s">
        <v>38</v>
      </c>
      <c r="K806" t="s">
        <v>46</v>
      </c>
      <c r="L806" t="s">
        <v>44</v>
      </c>
      <c r="M806">
        <v>14.09</v>
      </c>
      <c r="N806">
        <v>13.79</v>
      </c>
      <c r="O806">
        <v>13.49</v>
      </c>
      <c r="P806">
        <v>13.19</v>
      </c>
      <c r="Q806">
        <v>12.89</v>
      </c>
      <c r="T806" t="s">
        <v>47</v>
      </c>
      <c r="U806">
        <v>1</v>
      </c>
      <c r="V806">
        <v>4</v>
      </c>
    </row>
    <row r="807" spans="1:22" x14ac:dyDescent="0.3">
      <c r="A807">
        <v>806</v>
      </c>
      <c r="B807">
        <v>33200</v>
      </c>
      <c r="C807" s="2">
        <v>35728</v>
      </c>
      <c r="D807">
        <v>28</v>
      </c>
      <c r="E807" t="s">
        <v>42</v>
      </c>
      <c r="F807" t="s">
        <v>50</v>
      </c>
      <c r="G807" s="2">
        <v>44243</v>
      </c>
      <c r="H807" s="3">
        <f t="shared" si="12"/>
        <v>5.7068493150684931</v>
      </c>
      <c r="I807">
        <v>17</v>
      </c>
      <c r="J807" t="s">
        <v>38</v>
      </c>
      <c r="K807" t="s">
        <v>56</v>
      </c>
      <c r="L807" t="s">
        <v>44</v>
      </c>
      <c r="M807">
        <v>8.4700000000000006</v>
      </c>
      <c r="N807">
        <v>8.27</v>
      </c>
      <c r="O807">
        <v>8.07</v>
      </c>
      <c r="P807">
        <v>7.87</v>
      </c>
      <c r="T807" t="s">
        <v>47</v>
      </c>
      <c r="U807">
        <v>0</v>
      </c>
      <c r="V807">
        <v>7</v>
      </c>
    </row>
    <row r="808" spans="1:22" x14ac:dyDescent="0.3">
      <c r="A808">
        <v>807</v>
      </c>
      <c r="B808">
        <v>33366</v>
      </c>
      <c r="C808" s="2">
        <v>34286</v>
      </c>
      <c r="D808">
        <v>32</v>
      </c>
      <c r="E808" t="s">
        <v>36</v>
      </c>
      <c r="F808" t="s">
        <v>50</v>
      </c>
      <c r="G808" s="2">
        <v>43939</v>
      </c>
      <c r="H808" s="3">
        <f t="shared" si="12"/>
        <v>5.6438356164383565</v>
      </c>
      <c r="I808">
        <v>24</v>
      </c>
      <c r="J808" t="s">
        <v>38</v>
      </c>
      <c r="K808" t="s">
        <v>55</v>
      </c>
      <c r="L808" t="s">
        <v>44</v>
      </c>
      <c r="M808">
        <v>17.13</v>
      </c>
      <c r="N808">
        <v>16.829999999999998</v>
      </c>
      <c r="O808">
        <v>16.53</v>
      </c>
      <c r="P808">
        <v>16.23</v>
      </c>
      <c r="Q808">
        <v>15.93</v>
      </c>
      <c r="T808" t="s">
        <v>47</v>
      </c>
      <c r="U808">
        <v>2</v>
      </c>
      <c r="V808">
        <v>5</v>
      </c>
    </row>
    <row r="809" spans="1:22" x14ac:dyDescent="0.3">
      <c r="A809">
        <v>808</v>
      </c>
      <c r="B809">
        <v>33426</v>
      </c>
      <c r="C809" s="2">
        <v>36854</v>
      </c>
      <c r="D809">
        <v>25</v>
      </c>
      <c r="E809" t="s">
        <v>42</v>
      </c>
      <c r="F809" t="s">
        <v>50</v>
      </c>
      <c r="G809" s="2">
        <v>43962</v>
      </c>
      <c r="H809" s="3">
        <f t="shared" si="12"/>
        <v>4.9643835616438352</v>
      </c>
      <c r="I809">
        <v>26</v>
      </c>
      <c r="J809" t="s">
        <v>38</v>
      </c>
      <c r="K809" t="s">
        <v>65</v>
      </c>
      <c r="L809" t="s">
        <v>44</v>
      </c>
      <c r="M809">
        <v>10.44</v>
      </c>
      <c r="N809">
        <v>10.24</v>
      </c>
      <c r="O809">
        <v>10.039999999999999</v>
      </c>
      <c r="P809">
        <v>9.84</v>
      </c>
      <c r="Q809">
        <v>9.64</v>
      </c>
      <c r="T809" t="s">
        <v>49</v>
      </c>
      <c r="U809">
        <v>0</v>
      </c>
      <c r="V809">
        <v>5</v>
      </c>
    </row>
    <row r="810" spans="1:22" x14ac:dyDescent="0.3">
      <c r="A810">
        <v>809</v>
      </c>
      <c r="B810">
        <v>33434</v>
      </c>
      <c r="C810" s="2">
        <v>36459</v>
      </c>
      <c r="D810">
        <v>26</v>
      </c>
      <c r="E810" t="s">
        <v>42</v>
      </c>
      <c r="F810" t="s">
        <v>50</v>
      </c>
      <c r="G810" s="2">
        <v>44210</v>
      </c>
      <c r="H810" s="3">
        <f t="shared" si="12"/>
        <v>5.580821917808219</v>
      </c>
      <c r="I810">
        <v>26</v>
      </c>
      <c r="J810" t="s">
        <v>38</v>
      </c>
      <c r="K810" t="s">
        <v>56</v>
      </c>
      <c r="L810" t="s">
        <v>44</v>
      </c>
      <c r="M810">
        <v>8.4700000000000006</v>
      </c>
      <c r="N810">
        <v>8.27</v>
      </c>
      <c r="O810">
        <v>8.07</v>
      </c>
      <c r="P810">
        <v>7.87</v>
      </c>
      <c r="T810" t="s">
        <v>47</v>
      </c>
      <c r="U810">
        <v>3</v>
      </c>
      <c r="V810">
        <v>7</v>
      </c>
    </row>
    <row r="811" spans="1:22" x14ac:dyDescent="0.3">
      <c r="A811">
        <v>810</v>
      </c>
      <c r="B811">
        <v>33455</v>
      </c>
      <c r="C811" s="2">
        <v>37336</v>
      </c>
      <c r="D811">
        <v>23</v>
      </c>
      <c r="E811" t="s">
        <v>36</v>
      </c>
      <c r="F811" t="s">
        <v>50</v>
      </c>
      <c r="G811" s="2">
        <v>43985</v>
      </c>
      <c r="H811" s="3">
        <f t="shared" si="12"/>
        <v>5.580821917808219</v>
      </c>
      <c r="I811">
        <v>26</v>
      </c>
      <c r="J811" t="s">
        <v>38</v>
      </c>
      <c r="K811" t="s">
        <v>56</v>
      </c>
      <c r="L811" t="s">
        <v>44</v>
      </c>
      <c r="M811">
        <v>8.4700000000000006</v>
      </c>
      <c r="N811">
        <v>8.27</v>
      </c>
      <c r="O811">
        <v>8.07</v>
      </c>
      <c r="P811">
        <v>7.87</v>
      </c>
      <c r="Q811">
        <v>7.67</v>
      </c>
      <c r="T811" t="s">
        <v>47</v>
      </c>
      <c r="U811">
        <v>4</v>
      </c>
      <c r="V811">
        <v>4</v>
      </c>
    </row>
    <row r="812" spans="1:22" x14ac:dyDescent="0.3">
      <c r="A812">
        <v>811</v>
      </c>
      <c r="B812">
        <v>33638</v>
      </c>
      <c r="C812" s="2">
        <v>36771</v>
      </c>
      <c r="D812">
        <v>25</v>
      </c>
      <c r="E812" t="s">
        <v>42</v>
      </c>
      <c r="F812" t="s">
        <v>50</v>
      </c>
      <c r="G812" s="2">
        <v>43985</v>
      </c>
      <c r="H812" s="3">
        <f t="shared" si="12"/>
        <v>5.1205479452054794</v>
      </c>
      <c r="I812">
        <v>33</v>
      </c>
      <c r="J812" t="s">
        <v>38</v>
      </c>
      <c r="K812" t="s">
        <v>65</v>
      </c>
      <c r="L812" t="s">
        <v>44</v>
      </c>
      <c r="M812">
        <v>10.59</v>
      </c>
      <c r="N812">
        <v>10.36</v>
      </c>
      <c r="O812">
        <v>10.119999999999999</v>
      </c>
      <c r="P812">
        <v>9.93</v>
      </c>
      <c r="Q812">
        <v>9.64</v>
      </c>
      <c r="T812" t="s">
        <v>49</v>
      </c>
      <c r="U812">
        <v>0</v>
      </c>
      <c r="V812">
        <v>6</v>
      </c>
    </row>
    <row r="813" spans="1:22" x14ac:dyDescent="0.3">
      <c r="A813">
        <v>812</v>
      </c>
      <c r="B813">
        <v>33712</v>
      </c>
      <c r="C813" s="2">
        <v>37417</v>
      </c>
      <c r="D813">
        <v>23</v>
      </c>
      <c r="E813" t="s">
        <v>42</v>
      </c>
      <c r="F813" t="s">
        <v>50</v>
      </c>
      <c r="G813" s="2">
        <v>44153</v>
      </c>
      <c r="H813" s="3">
        <f t="shared" si="12"/>
        <v>5.2931506849315069</v>
      </c>
      <c r="I813">
        <v>36</v>
      </c>
      <c r="J813" t="s">
        <v>38</v>
      </c>
      <c r="K813" t="s">
        <v>48</v>
      </c>
      <c r="L813" t="s">
        <v>44</v>
      </c>
      <c r="M813">
        <v>8.4700000000000006</v>
      </c>
      <c r="N813">
        <v>8.27</v>
      </c>
      <c r="O813">
        <v>8.07</v>
      </c>
      <c r="P813">
        <v>7.87</v>
      </c>
      <c r="Q813">
        <v>7.67</v>
      </c>
      <c r="T813" t="s">
        <v>47</v>
      </c>
      <c r="U813">
        <v>2</v>
      </c>
      <c r="V813">
        <v>6</v>
      </c>
    </row>
    <row r="814" spans="1:22" x14ac:dyDescent="0.3">
      <c r="A814">
        <v>813</v>
      </c>
      <c r="B814">
        <v>33736</v>
      </c>
      <c r="C814" s="2">
        <v>35164</v>
      </c>
      <c r="D814">
        <v>29</v>
      </c>
      <c r="E814" t="s">
        <v>42</v>
      </c>
      <c r="F814" t="s">
        <v>50</v>
      </c>
      <c r="G814" s="2">
        <v>44090</v>
      </c>
      <c r="H814" s="3">
        <f t="shared" si="12"/>
        <v>5.1863013698630134</v>
      </c>
      <c r="I814">
        <v>37</v>
      </c>
      <c r="J814" t="s">
        <v>38</v>
      </c>
      <c r="K814" t="s">
        <v>55</v>
      </c>
      <c r="L814" t="s">
        <v>44</v>
      </c>
      <c r="M814">
        <v>17.54</v>
      </c>
      <c r="N814">
        <v>17.14</v>
      </c>
      <c r="O814">
        <v>16.82</v>
      </c>
      <c r="P814">
        <v>16.38</v>
      </c>
      <c r="Q814">
        <v>15.93</v>
      </c>
      <c r="T814" t="s">
        <v>52</v>
      </c>
      <c r="U814">
        <v>0</v>
      </c>
      <c r="V814">
        <v>6</v>
      </c>
    </row>
    <row r="815" spans="1:22" x14ac:dyDescent="0.3">
      <c r="A815">
        <v>814</v>
      </c>
      <c r="B815">
        <v>33753</v>
      </c>
      <c r="C815" s="2">
        <v>35940</v>
      </c>
      <c r="D815">
        <v>27</v>
      </c>
      <c r="E815" t="s">
        <v>42</v>
      </c>
      <c r="F815" t="s">
        <v>50</v>
      </c>
      <c r="G815" s="2">
        <v>44129</v>
      </c>
      <c r="H815" s="3">
        <f t="shared" si="12"/>
        <v>5.4794520547945202</v>
      </c>
      <c r="I815">
        <v>38</v>
      </c>
      <c r="J815" t="s">
        <v>38</v>
      </c>
      <c r="K815" t="s">
        <v>64</v>
      </c>
      <c r="L815" t="s">
        <v>44</v>
      </c>
      <c r="M815">
        <v>13.95</v>
      </c>
      <c r="N815">
        <v>13.65</v>
      </c>
      <c r="O815">
        <v>13.35</v>
      </c>
      <c r="P815">
        <v>13.05</v>
      </c>
      <c r="Q815">
        <v>12.75</v>
      </c>
      <c r="T815" t="s">
        <v>49</v>
      </c>
      <c r="U815">
        <v>1</v>
      </c>
      <c r="V815">
        <v>5</v>
      </c>
    </row>
    <row r="816" spans="1:22" x14ac:dyDescent="0.3">
      <c r="A816">
        <v>815</v>
      </c>
      <c r="B816">
        <v>34025</v>
      </c>
      <c r="C816" s="2">
        <v>36707</v>
      </c>
      <c r="D816">
        <v>25</v>
      </c>
      <c r="E816" t="s">
        <v>36</v>
      </c>
      <c r="F816" t="s">
        <v>50</v>
      </c>
      <c r="G816" s="2">
        <v>44022</v>
      </c>
      <c r="H816" s="3">
        <f t="shared" si="12"/>
        <v>5.0794520547945208</v>
      </c>
      <c r="I816">
        <v>49</v>
      </c>
      <c r="J816" t="s">
        <v>38</v>
      </c>
      <c r="K816" t="s">
        <v>65</v>
      </c>
      <c r="L816" t="s">
        <v>44</v>
      </c>
      <c r="M816">
        <v>10.49</v>
      </c>
      <c r="N816">
        <v>10.32</v>
      </c>
      <c r="O816">
        <v>10.050000000000001</v>
      </c>
      <c r="P816">
        <v>9.82</v>
      </c>
      <c r="Q816">
        <v>9.64</v>
      </c>
      <c r="T816" t="s">
        <v>47</v>
      </c>
      <c r="U816">
        <v>1</v>
      </c>
      <c r="V816">
        <v>3</v>
      </c>
    </row>
    <row r="817" spans="1:22" x14ac:dyDescent="0.3">
      <c r="A817">
        <v>816</v>
      </c>
      <c r="B817">
        <v>34139</v>
      </c>
      <c r="C817" s="2">
        <v>33006</v>
      </c>
      <c r="D817">
        <v>35</v>
      </c>
      <c r="E817" t="s">
        <v>36</v>
      </c>
      <c r="F817" t="s">
        <v>50</v>
      </c>
      <c r="G817" s="2">
        <v>44168</v>
      </c>
      <c r="H817" s="3">
        <f t="shared" si="12"/>
        <v>5.4684931506849317</v>
      </c>
      <c r="I817">
        <v>53</v>
      </c>
      <c r="J817" t="s">
        <v>38</v>
      </c>
      <c r="K817" t="s">
        <v>54</v>
      </c>
      <c r="L817" t="s">
        <v>44</v>
      </c>
      <c r="M817">
        <v>22.74</v>
      </c>
      <c r="N817">
        <v>22.44</v>
      </c>
      <c r="O817">
        <v>22.14</v>
      </c>
      <c r="P817">
        <v>21.84</v>
      </c>
      <c r="Q817">
        <v>21.54</v>
      </c>
      <c r="T817" t="s">
        <v>52</v>
      </c>
      <c r="U817">
        <v>7</v>
      </c>
      <c r="V817">
        <v>6</v>
      </c>
    </row>
    <row r="818" spans="1:22" x14ac:dyDescent="0.3">
      <c r="A818">
        <v>817</v>
      </c>
      <c r="B818">
        <v>34167</v>
      </c>
      <c r="C818" s="2">
        <v>37028</v>
      </c>
      <c r="D818">
        <v>24</v>
      </c>
      <c r="E818" t="s">
        <v>42</v>
      </c>
      <c r="F818" t="s">
        <v>50</v>
      </c>
      <c r="G818" s="2">
        <v>44026</v>
      </c>
      <c r="H818" s="3">
        <f t="shared" si="12"/>
        <v>5.7506849315068491</v>
      </c>
      <c r="I818">
        <v>54</v>
      </c>
      <c r="J818" t="s">
        <v>38</v>
      </c>
      <c r="K818" t="s">
        <v>43</v>
      </c>
      <c r="L818" t="s">
        <v>44</v>
      </c>
      <c r="M818">
        <v>16.03</v>
      </c>
      <c r="N818">
        <v>15.73</v>
      </c>
      <c r="O818">
        <v>15.43</v>
      </c>
      <c r="P818">
        <v>15.13</v>
      </c>
      <c r="Q818">
        <v>14.83</v>
      </c>
      <c r="T818" t="s">
        <v>52</v>
      </c>
      <c r="U818">
        <v>1</v>
      </c>
      <c r="V818">
        <v>5</v>
      </c>
    </row>
    <row r="819" spans="1:22" x14ac:dyDescent="0.3">
      <c r="A819">
        <v>818</v>
      </c>
      <c r="B819">
        <v>34227</v>
      </c>
      <c r="C819" s="2">
        <v>36105</v>
      </c>
      <c r="D819">
        <v>27</v>
      </c>
      <c r="E819" t="s">
        <v>42</v>
      </c>
      <c r="F819" t="s">
        <v>50</v>
      </c>
      <c r="G819" s="2">
        <v>43923</v>
      </c>
      <c r="H819" s="3">
        <f t="shared" si="12"/>
        <v>5.1068493150684935</v>
      </c>
      <c r="I819">
        <v>56</v>
      </c>
      <c r="J819" t="s">
        <v>38</v>
      </c>
      <c r="K819" t="s">
        <v>68</v>
      </c>
      <c r="L819" t="s">
        <v>44</v>
      </c>
      <c r="M819">
        <v>16.2</v>
      </c>
      <c r="N819">
        <v>16</v>
      </c>
      <c r="O819">
        <v>15.8</v>
      </c>
      <c r="P819">
        <v>15.6</v>
      </c>
      <c r="Q819">
        <v>15.4</v>
      </c>
      <c r="T819" t="s">
        <v>47</v>
      </c>
      <c r="U819">
        <v>2</v>
      </c>
      <c r="V819">
        <v>7</v>
      </c>
    </row>
    <row r="820" spans="1:22" x14ac:dyDescent="0.3">
      <c r="A820">
        <v>819</v>
      </c>
      <c r="B820">
        <v>34231</v>
      </c>
      <c r="C820" s="2">
        <v>35225</v>
      </c>
      <c r="D820">
        <v>29</v>
      </c>
      <c r="E820" t="s">
        <v>36</v>
      </c>
      <c r="F820" t="s">
        <v>50</v>
      </c>
      <c r="G820" s="2">
        <v>44158</v>
      </c>
      <c r="H820" s="3">
        <f t="shared" si="12"/>
        <v>5.0273972602739727</v>
      </c>
      <c r="I820">
        <v>56</v>
      </c>
      <c r="J820" t="s">
        <v>38</v>
      </c>
      <c r="K820" t="s">
        <v>65</v>
      </c>
      <c r="L820" t="s">
        <v>44</v>
      </c>
      <c r="M820">
        <v>10.44</v>
      </c>
      <c r="N820">
        <v>10.24</v>
      </c>
      <c r="O820">
        <v>10.039999999999999</v>
      </c>
      <c r="P820">
        <v>9.84</v>
      </c>
      <c r="Q820">
        <v>9.64</v>
      </c>
      <c r="T820" t="s">
        <v>47</v>
      </c>
      <c r="U820">
        <v>1</v>
      </c>
      <c r="V820">
        <v>4</v>
      </c>
    </row>
    <row r="821" spans="1:22" x14ac:dyDescent="0.3">
      <c r="A821">
        <v>820</v>
      </c>
      <c r="B821">
        <v>34315</v>
      </c>
      <c r="C821" s="2">
        <v>36034</v>
      </c>
      <c r="D821">
        <v>27</v>
      </c>
      <c r="E821" t="s">
        <v>42</v>
      </c>
      <c r="F821" t="s">
        <v>50</v>
      </c>
      <c r="G821" s="2">
        <v>44187</v>
      </c>
      <c r="H821" s="3">
        <f t="shared" si="12"/>
        <v>5.2219178082191782</v>
      </c>
      <c r="I821">
        <v>59</v>
      </c>
      <c r="J821" t="s">
        <v>38</v>
      </c>
      <c r="K821" t="s">
        <v>43</v>
      </c>
      <c r="L821" t="s">
        <v>44</v>
      </c>
      <c r="M821">
        <v>16.03</v>
      </c>
      <c r="N821">
        <v>15.73</v>
      </c>
      <c r="O821">
        <v>15.43</v>
      </c>
      <c r="P821">
        <v>15.13</v>
      </c>
      <c r="Q821">
        <v>14.83</v>
      </c>
      <c r="T821" t="s">
        <v>47</v>
      </c>
      <c r="U821">
        <v>2</v>
      </c>
      <c r="V821">
        <v>5</v>
      </c>
    </row>
    <row r="822" spans="1:22" x14ac:dyDescent="0.3">
      <c r="A822">
        <v>821</v>
      </c>
      <c r="B822">
        <v>34326</v>
      </c>
      <c r="C822" s="2">
        <v>35179</v>
      </c>
      <c r="D822">
        <v>29</v>
      </c>
      <c r="E822" t="s">
        <v>42</v>
      </c>
      <c r="F822" t="s">
        <v>50</v>
      </c>
      <c r="G822" s="2">
        <v>44116</v>
      </c>
      <c r="H822" s="3">
        <f t="shared" si="12"/>
        <v>5.0767123287671234</v>
      </c>
      <c r="I822">
        <v>59</v>
      </c>
      <c r="J822" t="s">
        <v>38</v>
      </c>
      <c r="K822" t="s">
        <v>56</v>
      </c>
      <c r="L822" t="s">
        <v>44</v>
      </c>
      <c r="M822">
        <v>8.4700000000000006</v>
      </c>
      <c r="N822">
        <v>8.27</v>
      </c>
      <c r="O822">
        <v>8.07</v>
      </c>
      <c r="P822">
        <v>7.87</v>
      </c>
      <c r="Q822">
        <v>7.67</v>
      </c>
      <c r="T822" t="s">
        <v>47</v>
      </c>
      <c r="U822">
        <v>4</v>
      </c>
      <c r="V822">
        <v>7</v>
      </c>
    </row>
    <row r="823" spans="1:22" x14ac:dyDescent="0.3">
      <c r="A823">
        <v>822</v>
      </c>
      <c r="B823">
        <v>34511</v>
      </c>
      <c r="C823" s="2">
        <v>32828</v>
      </c>
      <c r="D823">
        <v>36</v>
      </c>
      <c r="E823" t="s">
        <v>36</v>
      </c>
      <c r="F823" t="s">
        <v>50</v>
      </c>
      <c r="G823" s="2">
        <v>44169</v>
      </c>
      <c r="H823" s="3">
        <f t="shared" si="12"/>
        <v>5.279452054794521</v>
      </c>
      <c r="I823">
        <v>66</v>
      </c>
      <c r="J823" t="s">
        <v>57</v>
      </c>
      <c r="K823" t="s">
        <v>55</v>
      </c>
      <c r="L823" t="s">
        <v>44</v>
      </c>
      <c r="M823">
        <v>17.13</v>
      </c>
      <c r="N823">
        <v>16.829999999999998</v>
      </c>
      <c r="O823">
        <v>16.53</v>
      </c>
      <c r="P823">
        <v>16.23</v>
      </c>
      <c r="Q823">
        <v>15.93</v>
      </c>
      <c r="T823" t="s">
        <v>49</v>
      </c>
      <c r="U823">
        <v>1</v>
      </c>
      <c r="V823">
        <v>5</v>
      </c>
    </row>
    <row r="824" spans="1:22" x14ac:dyDescent="0.3">
      <c r="A824">
        <v>823</v>
      </c>
      <c r="B824">
        <v>34529</v>
      </c>
      <c r="C824" s="2">
        <v>34300</v>
      </c>
      <c r="D824">
        <v>32</v>
      </c>
      <c r="E824" t="s">
        <v>42</v>
      </c>
      <c r="F824" t="s">
        <v>50</v>
      </c>
      <c r="G824" s="2">
        <v>44095</v>
      </c>
      <c r="H824" s="3">
        <f t="shared" si="12"/>
        <v>4.956164383561644</v>
      </c>
      <c r="I824">
        <v>66</v>
      </c>
      <c r="J824" t="s">
        <v>57</v>
      </c>
      <c r="K824" t="s">
        <v>56</v>
      </c>
      <c r="L824" t="s">
        <v>44</v>
      </c>
      <c r="M824">
        <v>8.4700000000000006</v>
      </c>
      <c r="N824">
        <v>8.27</v>
      </c>
      <c r="O824">
        <v>8.07</v>
      </c>
      <c r="P824">
        <v>7.87</v>
      </c>
      <c r="Q824">
        <v>7.67</v>
      </c>
      <c r="T824" t="s">
        <v>47</v>
      </c>
      <c r="U824">
        <v>2</v>
      </c>
      <c r="V824">
        <v>7</v>
      </c>
    </row>
    <row r="825" spans="1:22" x14ac:dyDescent="0.3">
      <c r="A825">
        <v>824</v>
      </c>
      <c r="B825">
        <v>34722</v>
      </c>
      <c r="C825" s="2">
        <v>35887</v>
      </c>
      <c r="D825">
        <v>27</v>
      </c>
      <c r="E825" t="s">
        <v>42</v>
      </c>
      <c r="F825" t="s">
        <v>50</v>
      </c>
      <c r="G825" s="2">
        <v>44213</v>
      </c>
      <c r="H825" s="3">
        <f t="shared" si="12"/>
        <v>5.4958904109589044</v>
      </c>
      <c r="I825">
        <v>77</v>
      </c>
      <c r="J825" t="s">
        <v>57</v>
      </c>
      <c r="K825" t="s">
        <v>56</v>
      </c>
      <c r="L825" t="s">
        <v>44</v>
      </c>
      <c r="M825">
        <v>8.4700000000000006</v>
      </c>
      <c r="N825">
        <v>8.27</v>
      </c>
      <c r="O825">
        <v>8.07</v>
      </c>
      <c r="P825">
        <v>7.87</v>
      </c>
      <c r="T825" t="s">
        <v>47</v>
      </c>
      <c r="U825">
        <v>3</v>
      </c>
      <c r="V825">
        <v>6</v>
      </c>
    </row>
    <row r="826" spans="1:22" x14ac:dyDescent="0.3">
      <c r="A826">
        <v>825</v>
      </c>
      <c r="B826">
        <v>34827</v>
      </c>
      <c r="C826" s="2">
        <v>36495</v>
      </c>
      <c r="D826">
        <v>27</v>
      </c>
      <c r="E826" t="s">
        <v>36</v>
      </c>
      <c r="F826" t="s">
        <v>37</v>
      </c>
      <c r="G826" s="2">
        <v>44016</v>
      </c>
      <c r="H826" s="3">
        <f t="shared" si="12"/>
        <v>5.2465753424657535</v>
      </c>
      <c r="I826">
        <v>83</v>
      </c>
      <c r="J826" t="s">
        <v>57</v>
      </c>
      <c r="K826" t="s">
        <v>64</v>
      </c>
      <c r="L826" t="s">
        <v>44</v>
      </c>
      <c r="M826">
        <v>13.95</v>
      </c>
      <c r="N826">
        <v>13.65</v>
      </c>
      <c r="O826">
        <v>13.35</v>
      </c>
      <c r="P826">
        <v>13.05</v>
      </c>
      <c r="Q826">
        <v>12.75</v>
      </c>
      <c r="T826" t="s">
        <v>47</v>
      </c>
      <c r="U826">
        <v>1</v>
      </c>
      <c r="V826">
        <v>4</v>
      </c>
    </row>
    <row r="827" spans="1:22" x14ac:dyDescent="0.3">
      <c r="A827">
        <v>826</v>
      </c>
      <c r="B827">
        <v>34838</v>
      </c>
      <c r="C827" s="2">
        <v>36864</v>
      </c>
      <c r="D827">
        <v>25</v>
      </c>
      <c r="E827" t="s">
        <v>36</v>
      </c>
      <c r="F827" t="s">
        <v>50</v>
      </c>
      <c r="G827" s="2">
        <v>44107</v>
      </c>
      <c r="H827" s="3">
        <f t="shared" si="12"/>
        <v>5.3095890410958901</v>
      </c>
      <c r="I827">
        <v>83</v>
      </c>
      <c r="J827" t="s">
        <v>57</v>
      </c>
      <c r="K827" t="s">
        <v>56</v>
      </c>
      <c r="L827" t="s">
        <v>44</v>
      </c>
      <c r="M827">
        <v>8.4700000000000006</v>
      </c>
      <c r="N827">
        <v>8.27</v>
      </c>
      <c r="O827">
        <v>8.07</v>
      </c>
      <c r="P827">
        <v>7.87</v>
      </c>
      <c r="Q827">
        <v>7.67</v>
      </c>
      <c r="T827" t="s">
        <v>47</v>
      </c>
      <c r="U827">
        <v>4</v>
      </c>
      <c r="V827">
        <v>5</v>
      </c>
    </row>
    <row r="828" spans="1:22" x14ac:dyDescent="0.3">
      <c r="A828">
        <v>827</v>
      </c>
      <c r="B828">
        <v>35030</v>
      </c>
      <c r="C828" s="2">
        <v>36838</v>
      </c>
      <c r="D828">
        <v>25</v>
      </c>
      <c r="E828" t="s">
        <v>36</v>
      </c>
      <c r="F828" t="s">
        <v>50</v>
      </c>
      <c r="G828" s="2">
        <v>44084</v>
      </c>
      <c r="H828" s="3">
        <f t="shared" si="12"/>
        <v>5.602739726027397</v>
      </c>
      <c r="I828">
        <v>92</v>
      </c>
      <c r="J828" t="s">
        <v>57</v>
      </c>
      <c r="K828" t="s">
        <v>65</v>
      </c>
      <c r="L828" t="s">
        <v>44</v>
      </c>
      <c r="M828">
        <v>10.44</v>
      </c>
      <c r="N828">
        <v>10.24</v>
      </c>
      <c r="O828">
        <v>10.039999999999999</v>
      </c>
      <c r="P828">
        <v>9.84</v>
      </c>
      <c r="Q828">
        <v>9.64</v>
      </c>
      <c r="T828" t="s">
        <v>47</v>
      </c>
      <c r="U828">
        <v>0</v>
      </c>
      <c r="V828">
        <v>5</v>
      </c>
    </row>
    <row r="829" spans="1:22" x14ac:dyDescent="0.3">
      <c r="A829">
        <v>828</v>
      </c>
      <c r="B829">
        <v>35291</v>
      </c>
      <c r="C829" s="2">
        <v>36239</v>
      </c>
      <c r="D829">
        <v>26</v>
      </c>
      <c r="E829" t="s">
        <v>36</v>
      </c>
      <c r="F829" t="s">
        <v>50</v>
      </c>
      <c r="G829" s="2">
        <v>43977</v>
      </c>
      <c r="H829" s="3">
        <f t="shared" si="12"/>
        <v>5.0273972602739727</v>
      </c>
      <c r="I829">
        <v>105</v>
      </c>
      <c r="J829" t="s">
        <v>57</v>
      </c>
      <c r="K829" t="s">
        <v>65</v>
      </c>
      <c r="L829" t="s">
        <v>44</v>
      </c>
      <c r="M829">
        <v>10.44</v>
      </c>
      <c r="N829">
        <v>10.24</v>
      </c>
      <c r="O829">
        <v>10.039999999999999</v>
      </c>
      <c r="P829">
        <v>9.84</v>
      </c>
      <c r="Q829">
        <v>9.64</v>
      </c>
      <c r="T829" t="s">
        <v>47</v>
      </c>
      <c r="U829">
        <v>1</v>
      </c>
      <c r="V829">
        <v>5</v>
      </c>
    </row>
    <row r="830" spans="1:22" x14ac:dyDescent="0.3">
      <c r="A830">
        <v>829</v>
      </c>
      <c r="B830">
        <v>35298</v>
      </c>
      <c r="C830" s="2">
        <v>35047</v>
      </c>
      <c r="D830">
        <v>30</v>
      </c>
      <c r="E830" t="s">
        <v>42</v>
      </c>
      <c r="F830" t="s">
        <v>50</v>
      </c>
      <c r="G830" s="2">
        <v>44187</v>
      </c>
      <c r="H830" s="3">
        <f t="shared" si="12"/>
        <v>4.934246575342466</v>
      </c>
      <c r="I830">
        <v>105</v>
      </c>
      <c r="J830" t="s">
        <v>57</v>
      </c>
      <c r="K830" t="s">
        <v>56</v>
      </c>
      <c r="L830" t="s">
        <v>44</v>
      </c>
      <c r="M830">
        <v>8.4700000000000006</v>
      </c>
      <c r="N830">
        <v>8.27</v>
      </c>
      <c r="O830">
        <v>8.07</v>
      </c>
      <c r="P830">
        <v>7.87</v>
      </c>
      <c r="Q830">
        <v>7.67</v>
      </c>
      <c r="T830" t="s">
        <v>47</v>
      </c>
      <c r="U830">
        <v>0</v>
      </c>
      <c r="V830">
        <v>6</v>
      </c>
    </row>
    <row r="831" spans="1:22" x14ac:dyDescent="0.3">
      <c r="A831">
        <v>830</v>
      </c>
      <c r="B831">
        <v>35306</v>
      </c>
      <c r="C831" s="2">
        <v>37602</v>
      </c>
      <c r="D831">
        <v>23</v>
      </c>
      <c r="E831" t="s">
        <v>42</v>
      </c>
      <c r="F831" t="s">
        <v>37</v>
      </c>
      <c r="G831" s="2">
        <v>44221</v>
      </c>
      <c r="H831" s="3">
        <f t="shared" si="12"/>
        <v>5.8054794520547945</v>
      </c>
      <c r="I831">
        <v>105</v>
      </c>
      <c r="J831" t="s">
        <v>57</v>
      </c>
      <c r="K831" t="s">
        <v>56</v>
      </c>
      <c r="L831" t="s">
        <v>44</v>
      </c>
      <c r="M831">
        <v>8.4700000000000006</v>
      </c>
      <c r="N831">
        <v>8.27</v>
      </c>
      <c r="O831">
        <v>8.07</v>
      </c>
      <c r="P831">
        <v>7.87</v>
      </c>
      <c r="T831" t="s">
        <v>52</v>
      </c>
      <c r="U831">
        <v>3</v>
      </c>
      <c r="V831">
        <v>6</v>
      </c>
    </row>
    <row r="832" spans="1:22" x14ac:dyDescent="0.3">
      <c r="A832">
        <v>831</v>
      </c>
      <c r="B832">
        <v>35309</v>
      </c>
      <c r="C832" s="2">
        <v>35703</v>
      </c>
      <c r="D832">
        <v>28</v>
      </c>
      <c r="E832" t="s">
        <v>42</v>
      </c>
      <c r="F832" t="s">
        <v>50</v>
      </c>
      <c r="G832" s="2">
        <v>43903</v>
      </c>
      <c r="H832" s="3">
        <f t="shared" si="12"/>
        <v>5.5205479452054798</v>
      </c>
      <c r="I832">
        <v>106</v>
      </c>
      <c r="J832" t="s">
        <v>57</v>
      </c>
      <c r="K832" t="s">
        <v>46</v>
      </c>
      <c r="L832" t="s">
        <v>44</v>
      </c>
      <c r="M832">
        <v>14.09</v>
      </c>
      <c r="N832">
        <v>13.79</v>
      </c>
      <c r="O832">
        <v>13.49</v>
      </c>
      <c r="P832">
        <v>13.19</v>
      </c>
      <c r="Q832">
        <v>12.89</v>
      </c>
      <c r="T832" t="s">
        <v>47</v>
      </c>
      <c r="U832">
        <v>1</v>
      </c>
      <c r="V832">
        <v>5</v>
      </c>
    </row>
    <row r="833" spans="1:33" x14ac:dyDescent="0.3">
      <c r="A833">
        <v>832</v>
      </c>
      <c r="B833">
        <v>35347</v>
      </c>
      <c r="C833" s="2">
        <v>34610</v>
      </c>
      <c r="D833">
        <v>31</v>
      </c>
      <c r="E833" t="s">
        <v>42</v>
      </c>
      <c r="F833" t="s">
        <v>37</v>
      </c>
      <c r="G833" s="2">
        <v>44007</v>
      </c>
      <c r="H833" s="3">
        <f t="shared" si="12"/>
        <v>5.3589041095890408</v>
      </c>
      <c r="I833">
        <v>107</v>
      </c>
      <c r="J833" t="s">
        <v>57</v>
      </c>
      <c r="K833" t="s">
        <v>56</v>
      </c>
      <c r="L833" t="s">
        <v>44</v>
      </c>
      <c r="M833">
        <v>8.4700000000000006</v>
      </c>
      <c r="N833">
        <v>8.27</v>
      </c>
      <c r="O833">
        <v>8.07</v>
      </c>
      <c r="P833">
        <v>7.87</v>
      </c>
      <c r="Q833">
        <v>7.67</v>
      </c>
      <c r="T833" t="s">
        <v>47</v>
      </c>
      <c r="U833">
        <v>1</v>
      </c>
      <c r="V833">
        <v>5</v>
      </c>
    </row>
    <row r="834" spans="1:33" x14ac:dyDescent="0.3">
      <c r="A834">
        <v>833</v>
      </c>
      <c r="B834">
        <v>35443</v>
      </c>
      <c r="C834" s="2">
        <v>36069</v>
      </c>
      <c r="D834">
        <v>28</v>
      </c>
      <c r="E834" t="s">
        <v>42</v>
      </c>
      <c r="F834" t="s">
        <v>50</v>
      </c>
      <c r="G834" s="2">
        <v>44066</v>
      </c>
      <c r="H834" s="3">
        <f t="shared" si="12"/>
        <v>5.5506849315068489</v>
      </c>
      <c r="I834">
        <v>112</v>
      </c>
      <c r="J834" t="s">
        <v>57</v>
      </c>
      <c r="K834" t="s">
        <v>65</v>
      </c>
      <c r="L834" t="s">
        <v>44</v>
      </c>
      <c r="M834">
        <v>10.44</v>
      </c>
      <c r="N834">
        <v>10.24</v>
      </c>
      <c r="O834">
        <v>10.039999999999999</v>
      </c>
      <c r="P834">
        <v>9.84</v>
      </c>
      <c r="Q834">
        <v>9.64</v>
      </c>
      <c r="T834" t="s">
        <v>47</v>
      </c>
      <c r="U834">
        <v>0</v>
      </c>
      <c r="V834">
        <v>3</v>
      </c>
    </row>
    <row r="835" spans="1:33" x14ac:dyDescent="0.3">
      <c r="A835">
        <v>834</v>
      </c>
      <c r="B835">
        <v>35493</v>
      </c>
      <c r="C835" s="2">
        <v>36304</v>
      </c>
      <c r="D835">
        <v>26</v>
      </c>
      <c r="E835" t="s">
        <v>36</v>
      </c>
      <c r="F835" t="s">
        <v>50</v>
      </c>
      <c r="G835" s="2">
        <v>43996</v>
      </c>
      <c r="H835" s="3">
        <f t="shared" ref="H835:H898" si="13">DATEDIF(G836,DATE(2025,12,31),"d")/365</f>
        <v>5.0931506849315067</v>
      </c>
      <c r="I835">
        <v>114</v>
      </c>
      <c r="J835" t="s">
        <v>57</v>
      </c>
      <c r="K835" t="s">
        <v>65</v>
      </c>
      <c r="L835" t="s">
        <v>44</v>
      </c>
      <c r="M835">
        <v>10.1</v>
      </c>
      <c r="N835">
        <v>9.89</v>
      </c>
      <c r="O835">
        <v>9.7799999999999994</v>
      </c>
      <c r="P835">
        <v>9.7799999999999994</v>
      </c>
      <c r="Q835">
        <v>9.64</v>
      </c>
      <c r="T835" t="s">
        <v>47</v>
      </c>
      <c r="U835">
        <v>0</v>
      </c>
      <c r="V835">
        <v>4</v>
      </c>
    </row>
    <row r="836" spans="1:33" x14ac:dyDescent="0.3">
      <c r="A836">
        <v>835</v>
      </c>
      <c r="B836">
        <v>35550</v>
      </c>
      <c r="C836" s="2">
        <v>36350</v>
      </c>
      <c r="D836">
        <v>26</v>
      </c>
      <c r="E836" t="s">
        <v>42</v>
      </c>
      <c r="F836" t="s">
        <v>50</v>
      </c>
      <c r="G836" s="2">
        <v>44163</v>
      </c>
      <c r="H836" s="3">
        <f t="shared" si="13"/>
        <v>5.4328767123287669</v>
      </c>
      <c r="I836">
        <v>117</v>
      </c>
      <c r="J836" t="s">
        <v>57</v>
      </c>
      <c r="K836" t="s">
        <v>43</v>
      </c>
      <c r="L836" t="s">
        <v>44</v>
      </c>
      <c r="M836">
        <v>15.67</v>
      </c>
      <c r="N836">
        <v>15.32</v>
      </c>
      <c r="O836">
        <v>15.09</v>
      </c>
      <c r="P836">
        <v>15.09</v>
      </c>
      <c r="Q836">
        <v>14.83</v>
      </c>
      <c r="T836" t="s">
        <v>49</v>
      </c>
      <c r="U836">
        <v>0</v>
      </c>
      <c r="V836">
        <v>6</v>
      </c>
    </row>
    <row r="837" spans="1:33" x14ac:dyDescent="0.3">
      <c r="A837">
        <v>836</v>
      </c>
      <c r="B837">
        <v>35559</v>
      </c>
      <c r="C837" s="2">
        <v>33153</v>
      </c>
      <c r="D837">
        <v>35</v>
      </c>
      <c r="E837" t="s">
        <v>36</v>
      </c>
      <c r="F837" t="s">
        <v>50</v>
      </c>
      <c r="G837" s="2">
        <v>44039</v>
      </c>
      <c r="H837" s="3">
        <f t="shared" si="13"/>
        <v>5.2602739726027394</v>
      </c>
      <c r="I837">
        <v>118</v>
      </c>
      <c r="J837" t="s">
        <v>57</v>
      </c>
      <c r="K837" t="s">
        <v>68</v>
      </c>
      <c r="L837" t="s">
        <v>44</v>
      </c>
      <c r="M837">
        <v>16.2</v>
      </c>
      <c r="N837">
        <v>16</v>
      </c>
      <c r="O837">
        <v>15.8</v>
      </c>
      <c r="P837">
        <v>15.6</v>
      </c>
      <c r="Q837">
        <v>15.4</v>
      </c>
      <c r="T837" t="s">
        <v>47</v>
      </c>
      <c r="U837">
        <v>3</v>
      </c>
      <c r="V837">
        <v>6</v>
      </c>
    </row>
    <row r="838" spans="1:33" x14ac:dyDescent="0.3">
      <c r="A838">
        <v>837</v>
      </c>
      <c r="B838">
        <v>35564</v>
      </c>
      <c r="C838" s="2">
        <v>31312</v>
      </c>
      <c r="D838">
        <v>40</v>
      </c>
      <c r="E838" t="s">
        <v>42</v>
      </c>
      <c r="F838" t="s">
        <v>50</v>
      </c>
      <c r="G838" s="2">
        <v>44102</v>
      </c>
      <c r="H838" s="3">
        <f t="shared" si="13"/>
        <v>5.2493150684931509</v>
      </c>
      <c r="I838">
        <v>118</v>
      </c>
      <c r="J838" t="s">
        <v>57</v>
      </c>
      <c r="K838" t="s">
        <v>55</v>
      </c>
      <c r="L838" t="s">
        <v>44</v>
      </c>
      <c r="M838">
        <v>17.13</v>
      </c>
      <c r="N838">
        <v>16.829999999999998</v>
      </c>
      <c r="O838">
        <v>16.53</v>
      </c>
      <c r="P838">
        <v>16.23</v>
      </c>
      <c r="Q838">
        <v>15.93</v>
      </c>
      <c r="T838" t="s">
        <v>47</v>
      </c>
      <c r="U838">
        <v>1</v>
      </c>
      <c r="V838">
        <v>6</v>
      </c>
    </row>
    <row r="839" spans="1:33" x14ac:dyDescent="0.3">
      <c r="A839">
        <v>838</v>
      </c>
      <c r="B839">
        <v>35706</v>
      </c>
      <c r="C839" s="2">
        <v>35845</v>
      </c>
      <c r="D839">
        <v>27</v>
      </c>
      <c r="E839" t="s">
        <v>36</v>
      </c>
      <c r="F839" t="s">
        <v>50</v>
      </c>
      <c r="G839" s="2">
        <v>44106</v>
      </c>
      <c r="H839" s="3">
        <f t="shared" si="13"/>
        <v>5.1890410958904107</v>
      </c>
      <c r="I839">
        <v>125</v>
      </c>
      <c r="J839" t="s">
        <v>57</v>
      </c>
      <c r="K839" t="s">
        <v>65</v>
      </c>
      <c r="L839" t="s">
        <v>44</v>
      </c>
      <c r="M839">
        <v>9.84</v>
      </c>
      <c r="N839">
        <v>9.74</v>
      </c>
      <c r="O839">
        <v>9.74</v>
      </c>
      <c r="P839">
        <v>9.74</v>
      </c>
      <c r="Q839">
        <v>9.64</v>
      </c>
      <c r="T839" t="s">
        <v>47</v>
      </c>
      <c r="U839">
        <v>1</v>
      </c>
      <c r="V839">
        <v>3</v>
      </c>
    </row>
    <row r="840" spans="1:33" x14ac:dyDescent="0.3">
      <c r="A840">
        <v>839</v>
      </c>
      <c r="B840">
        <v>35731</v>
      </c>
      <c r="C840" s="2">
        <v>34379</v>
      </c>
      <c r="D840">
        <v>31</v>
      </c>
      <c r="E840" t="s">
        <v>36</v>
      </c>
      <c r="F840" t="s">
        <v>50</v>
      </c>
      <c r="G840" s="2">
        <v>44128</v>
      </c>
      <c r="H840" s="3">
        <f t="shared" si="13"/>
        <v>5.7369863013698632</v>
      </c>
      <c r="I840">
        <v>126</v>
      </c>
      <c r="J840" t="s">
        <v>57</v>
      </c>
      <c r="K840" t="s">
        <v>64</v>
      </c>
      <c r="L840" t="s">
        <v>44</v>
      </c>
      <c r="M840">
        <v>13.95</v>
      </c>
      <c r="N840">
        <v>13.65</v>
      </c>
      <c r="O840">
        <v>13.35</v>
      </c>
      <c r="P840">
        <v>13.05</v>
      </c>
      <c r="Q840">
        <v>12.75</v>
      </c>
      <c r="T840" t="s">
        <v>49</v>
      </c>
      <c r="U840">
        <v>1</v>
      </c>
      <c r="V840">
        <v>3</v>
      </c>
    </row>
    <row r="841" spans="1:33" x14ac:dyDescent="0.3">
      <c r="A841">
        <v>840</v>
      </c>
      <c r="B841">
        <v>35889</v>
      </c>
      <c r="C841" s="2">
        <v>36901</v>
      </c>
      <c r="D841">
        <v>24</v>
      </c>
      <c r="E841" t="s">
        <v>42</v>
      </c>
      <c r="F841" t="s">
        <v>37</v>
      </c>
      <c r="G841" s="2">
        <v>43928</v>
      </c>
      <c r="H841" s="3">
        <f t="shared" si="13"/>
        <v>5.2849315068493148</v>
      </c>
      <c r="I841">
        <v>134</v>
      </c>
      <c r="J841" t="s">
        <v>57</v>
      </c>
      <c r="K841" t="s">
        <v>43</v>
      </c>
      <c r="L841" t="s">
        <v>44</v>
      </c>
      <c r="M841">
        <v>15.13</v>
      </c>
      <c r="N841">
        <v>14.98</v>
      </c>
      <c r="O841">
        <v>14.98</v>
      </c>
      <c r="P841">
        <v>14.83</v>
      </c>
      <c r="Q841">
        <v>14.83</v>
      </c>
      <c r="T841" t="s">
        <v>47</v>
      </c>
      <c r="U841">
        <v>1</v>
      </c>
      <c r="V841">
        <v>6</v>
      </c>
    </row>
    <row r="842" spans="1:33" x14ac:dyDescent="0.3">
      <c r="A842">
        <v>841</v>
      </c>
      <c r="B842">
        <v>35951</v>
      </c>
      <c r="C842" s="2">
        <v>36995</v>
      </c>
      <c r="D842">
        <v>24</v>
      </c>
      <c r="E842" t="s">
        <v>42</v>
      </c>
      <c r="F842" t="s">
        <v>50</v>
      </c>
      <c r="G842" s="2">
        <v>44093</v>
      </c>
      <c r="H842" s="3">
        <f t="shared" si="13"/>
        <v>4.882191780821918</v>
      </c>
      <c r="I842">
        <v>137</v>
      </c>
      <c r="J842" t="s">
        <v>57</v>
      </c>
      <c r="K842" t="s">
        <v>64</v>
      </c>
      <c r="L842" t="s">
        <v>44</v>
      </c>
      <c r="M842">
        <v>13.95</v>
      </c>
      <c r="N842">
        <v>13.65</v>
      </c>
      <c r="O842">
        <v>13.35</v>
      </c>
      <c r="P842">
        <v>13.05</v>
      </c>
      <c r="Q842">
        <v>12.75</v>
      </c>
      <c r="T842" t="s">
        <v>49</v>
      </c>
      <c r="U842">
        <v>1</v>
      </c>
      <c r="V842">
        <v>7</v>
      </c>
    </row>
    <row r="843" spans="1:33" x14ac:dyDescent="0.3">
      <c r="A843">
        <v>842</v>
      </c>
      <c r="B843">
        <v>36039</v>
      </c>
      <c r="C843" s="2">
        <v>34605</v>
      </c>
      <c r="D843">
        <v>31</v>
      </c>
      <c r="E843" t="s">
        <v>36</v>
      </c>
      <c r="F843" t="s">
        <v>50</v>
      </c>
      <c r="G843" s="2">
        <v>44240</v>
      </c>
      <c r="H843" s="3">
        <f t="shared" si="13"/>
        <v>5.0575342465753428</v>
      </c>
      <c r="I843">
        <v>141</v>
      </c>
      <c r="J843" t="s">
        <v>57</v>
      </c>
      <c r="K843" t="s">
        <v>55</v>
      </c>
      <c r="L843" t="s">
        <v>44</v>
      </c>
      <c r="M843">
        <v>17</v>
      </c>
      <c r="N843">
        <v>16.670000000000002</v>
      </c>
      <c r="O843">
        <v>16.41</v>
      </c>
      <c r="P843">
        <v>16.22</v>
      </c>
      <c r="T843" t="s">
        <v>49</v>
      </c>
      <c r="U843">
        <v>2</v>
      </c>
      <c r="V843">
        <v>3</v>
      </c>
    </row>
    <row r="844" spans="1:33" x14ac:dyDescent="0.3">
      <c r="A844">
        <v>843</v>
      </c>
      <c r="B844">
        <v>36048</v>
      </c>
      <c r="C844" s="2">
        <v>36909</v>
      </c>
      <c r="D844">
        <v>24</v>
      </c>
      <c r="E844" t="s">
        <v>42</v>
      </c>
      <c r="F844" t="s">
        <v>50</v>
      </c>
      <c r="G844" s="2">
        <v>44176</v>
      </c>
      <c r="H844" s="3">
        <f t="shared" si="13"/>
        <v>5.0273972602739727</v>
      </c>
      <c r="I844">
        <v>141</v>
      </c>
      <c r="J844" t="s">
        <v>57</v>
      </c>
      <c r="K844" t="s">
        <v>56</v>
      </c>
      <c r="L844" t="s">
        <v>44</v>
      </c>
      <c r="M844">
        <v>8.6300000000000008</v>
      </c>
      <c r="N844">
        <v>8.35</v>
      </c>
      <c r="O844">
        <v>8.06</v>
      </c>
      <c r="P844">
        <v>7.89</v>
      </c>
      <c r="Q844">
        <v>7.67</v>
      </c>
      <c r="T844" t="s">
        <v>47</v>
      </c>
      <c r="U844">
        <v>0</v>
      </c>
      <c r="V844">
        <v>6</v>
      </c>
    </row>
    <row r="845" spans="1:33" x14ac:dyDescent="0.3">
      <c r="A845">
        <v>844</v>
      </c>
      <c r="B845">
        <v>36056</v>
      </c>
      <c r="C845" s="2">
        <v>33036</v>
      </c>
      <c r="D845">
        <v>35</v>
      </c>
      <c r="E845" t="s">
        <v>42</v>
      </c>
      <c r="F845" t="s">
        <v>50</v>
      </c>
      <c r="G845" s="2">
        <v>44187</v>
      </c>
      <c r="H845" s="3">
        <f t="shared" si="13"/>
        <v>5.1424657534246574</v>
      </c>
      <c r="I845">
        <v>142</v>
      </c>
      <c r="J845" t="s">
        <v>57</v>
      </c>
      <c r="K845" t="s">
        <v>46</v>
      </c>
      <c r="L845" t="s">
        <v>44</v>
      </c>
      <c r="M845">
        <v>13.49</v>
      </c>
      <c r="N845">
        <v>13.34</v>
      </c>
      <c r="O845">
        <v>13.19</v>
      </c>
      <c r="P845">
        <v>13.04</v>
      </c>
      <c r="Q845">
        <v>12.89</v>
      </c>
      <c r="T845" t="s">
        <v>47</v>
      </c>
      <c r="U845">
        <v>1</v>
      </c>
      <c r="V845">
        <v>5</v>
      </c>
    </row>
    <row r="846" spans="1:33" x14ac:dyDescent="0.3">
      <c r="A846">
        <v>845</v>
      </c>
      <c r="B846">
        <v>36060</v>
      </c>
      <c r="C846" s="2">
        <v>35386</v>
      </c>
      <c r="D846">
        <v>29</v>
      </c>
      <c r="E846" t="s">
        <v>36</v>
      </c>
      <c r="F846" t="s">
        <v>50</v>
      </c>
      <c r="G846" s="2">
        <v>44145</v>
      </c>
      <c r="H846" s="3">
        <f t="shared" si="13"/>
        <v>4.419178082191781</v>
      </c>
      <c r="I846">
        <v>142</v>
      </c>
      <c r="J846" t="s">
        <v>57</v>
      </c>
      <c r="K846" t="s">
        <v>55</v>
      </c>
      <c r="L846" t="s">
        <v>44</v>
      </c>
      <c r="M846">
        <v>16.53</v>
      </c>
      <c r="N846">
        <v>16.38</v>
      </c>
      <c r="O846">
        <v>16.23</v>
      </c>
      <c r="P846">
        <v>16.079999999999998</v>
      </c>
      <c r="Q846">
        <v>15.93</v>
      </c>
      <c r="T846" t="s">
        <v>49</v>
      </c>
      <c r="U846">
        <v>3</v>
      </c>
      <c r="V846">
        <v>4</v>
      </c>
    </row>
    <row r="847" spans="1:33" x14ac:dyDescent="0.3">
      <c r="A847">
        <v>846</v>
      </c>
      <c r="B847">
        <v>36128</v>
      </c>
      <c r="C847" s="2">
        <v>35680</v>
      </c>
      <c r="D847">
        <v>28</v>
      </c>
      <c r="E847" t="s">
        <v>42</v>
      </c>
      <c r="F847" t="s">
        <v>37</v>
      </c>
      <c r="G847" s="2">
        <v>44409</v>
      </c>
      <c r="H847" s="3">
        <f t="shared" si="13"/>
        <v>4.419178082191781</v>
      </c>
      <c r="I847">
        <v>3</v>
      </c>
      <c r="J847" t="s">
        <v>38</v>
      </c>
      <c r="K847" t="s">
        <v>72</v>
      </c>
      <c r="L847" t="s">
        <v>40</v>
      </c>
      <c r="M847">
        <v>53517</v>
      </c>
      <c r="N847">
        <v>52517</v>
      </c>
      <c r="O847">
        <v>51517</v>
      </c>
      <c r="P847">
        <v>49517</v>
      </c>
      <c r="T847" t="s">
        <v>58</v>
      </c>
      <c r="U847">
        <v>2</v>
      </c>
      <c r="V847">
        <v>5</v>
      </c>
      <c r="W847">
        <v>6</v>
      </c>
      <c r="X847" s="2">
        <v>44908</v>
      </c>
      <c r="Y847" t="s">
        <v>69</v>
      </c>
      <c r="AD847">
        <v>3</v>
      </c>
      <c r="AE847">
        <v>5</v>
      </c>
      <c r="AF847">
        <v>3</v>
      </c>
      <c r="AG847">
        <v>3</v>
      </c>
    </row>
    <row r="848" spans="1:33" x14ac:dyDescent="0.3">
      <c r="A848">
        <v>847</v>
      </c>
      <c r="B848">
        <v>36129</v>
      </c>
      <c r="C848" s="2">
        <v>35205</v>
      </c>
      <c r="D848">
        <v>29</v>
      </c>
      <c r="E848" t="s">
        <v>42</v>
      </c>
      <c r="F848" t="s">
        <v>37</v>
      </c>
      <c r="G848" s="2">
        <v>44409</v>
      </c>
      <c r="H848" s="3">
        <f t="shared" si="13"/>
        <v>3.419178082191781</v>
      </c>
      <c r="I848">
        <v>6</v>
      </c>
      <c r="J848" t="s">
        <v>38</v>
      </c>
      <c r="K848" t="s">
        <v>72</v>
      </c>
      <c r="L848" t="s">
        <v>40</v>
      </c>
      <c r="M848">
        <v>53767</v>
      </c>
      <c r="N848">
        <v>52267</v>
      </c>
      <c r="O848">
        <v>51517</v>
      </c>
      <c r="P848">
        <v>49517</v>
      </c>
      <c r="T848" t="s">
        <v>66</v>
      </c>
      <c r="U848">
        <v>4</v>
      </c>
      <c r="V848">
        <v>7</v>
      </c>
      <c r="W848">
        <v>5</v>
      </c>
      <c r="X848" s="2">
        <v>44933</v>
      </c>
      <c r="Y848" t="s">
        <v>69</v>
      </c>
      <c r="AD848">
        <v>5</v>
      </c>
      <c r="AE848">
        <v>5</v>
      </c>
      <c r="AF848">
        <v>2</v>
      </c>
      <c r="AG848">
        <v>1</v>
      </c>
    </row>
    <row r="849" spans="1:33" x14ac:dyDescent="0.3">
      <c r="A849">
        <v>848</v>
      </c>
      <c r="B849">
        <v>36130</v>
      </c>
      <c r="C849" s="2">
        <v>34267</v>
      </c>
      <c r="D849">
        <v>32</v>
      </c>
      <c r="E849" t="s">
        <v>42</v>
      </c>
      <c r="F849" t="s">
        <v>50</v>
      </c>
      <c r="G849" s="2">
        <v>44774</v>
      </c>
      <c r="H849" s="3">
        <f t="shared" si="13"/>
        <v>3.419178082191781</v>
      </c>
      <c r="I849">
        <v>9</v>
      </c>
      <c r="J849" t="s">
        <v>38</v>
      </c>
      <c r="K849" t="s">
        <v>72</v>
      </c>
      <c r="L849" t="s">
        <v>40</v>
      </c>
      <c r="M849">
        <v>55267</v>
      </c>
      <c r="N849">
        <v>53767</v>
      </c>
      <c r="O849">
        <v>52517</v>
      </c>
      <c r="T849" t="s">
        <v>61</v>
      </c>
      <c r="U849">
        <v>2</v>
      </c>
      <c r="V849">
        <v>6</v>
      </c>
      <c r="W849">
        <v>7</v>
      </c>
      <c r="X849" s="2">
        <v>44792</v>
      </c>
      <c r="Y849" t="s">
        <v>69</v>
      </c>
      <c r="AD849">
        <v>5</v>
      </c>
      <c r="AE849">
        <v>5</v>
      </c>
      <c r="AF849">
        <v>4</v>
      </c>
    </row>
    <row r="850" spans="1:33" x14ac:dyDescent="0.3">
      <c r="A850">
        <v>849</v>
      </c>
      <c r="B850">
        <v>36136</v>
      </c>
      <c r="C850" s="2">
        <v>35585</v>
      </c>
      <c r="D850">
        <v>28</v>
      </c>
      <c r="E850" t="s">
        <v>42</v>
      </c>
      <c r="F850" t="s">
        <v>50</v>
      </c>
      <c r="G850" s="2">
        <v>44774</v>
      </c>
      <c r="H850" s="3">
        <f t="shared" si="13"/>
        <v>3.419178082191781</v>
      </c>
      <c r="I850">
        <v>50</v>
      </c>
      <c r="J850" t="s">
        <v>38</v>
      </c>
      <c r="K850" t="s">
        <v>72</v>
      </c>
      <c r="L850" t="s">
        <v>40</v>
      </c>
      <c r="M850">
        <v>55767</v>
      </c>
      <c r="N850">
        <v>54267</v>
      </c>
      <c r="O850">
        <v>53017</v>
      </c>
      <c r="T850" t="s">
        <v>67</v>
      </c>
      <c r="U850">
        <v>2</v>
      </c>
      <c r="V850">
        <v>7</v>
      </c>
      <c r="W850">
        <v>7</v>
      </c>
      <c r="X850" s="2">
        <v>44792</v>
      </c>
      <c r="Y850" t="s">
        <v>69</v>
      </c>
      <c r="AD850">
        <v>5</v>
      </c>
      <c r="AE850">
        <v>5</v>
      </c>
      <c r="AF850">
        <v>4</v>
      </c>
    </row>
    <row r="851" spans="1:33" x14ac:dyDescent="0.3">
      <c r="A851">
        <v>850</v>
      </c>
      <c r="B851">
        <v>36139</v>
      </c>
      <c r="C851" s="2">
        <v>35733</v>
      </c>
      <c r="D851">
        <v>28</v>
      </c>
      <c r="E851" t="s">
        <v>42</v>
      </c>
      <c r="F851" t="s">
        <v>50</v>
      </c>
      <c r="G851" s="2">
        <v>44774</v>
      </c>
      <c r="H851" s="3">
        <f t="shared" si="13"/>
        <v>4.419178082191781</v>
      </c>
      <c r="I851">
        <v>64</v>
      </c>
      <c r="J851" t="s">
        <v>38</v>
      </c>
      <c r="K851" t="s">
        <v>72</v>
      </c>
      <c r="L851" t="s">
        <v>40</v>
      </c>
      <c r="M851">
        <v>58517</v>
      </c>
      <c r="N851">
        <v>56517</v>
      </c>
      <c r="O851">
        <v>54517</v>
      </c>
      <c r="T851" t="s">
        <v>61</v>
      </c>
      <c r="U851">
        <v>4</v>
      </c>
      <c r="V851">
        <v>5</v>
      </c>
      <c r="W851">
        <v>5</v>
      </c>
      <c r="X851" s="2">
        <v>44876</v>
      </c>
      <c r="Y851" t="s">
        <v>69</v>
      </c>
      <c r="AD851">
        <v>5</v>
      </c>
      <c r="AE851">
        <v>5</v>
      </c>
      <c r="AF851">
        <v>5</v>
      </c>
    </row>
    <row r="852" spans="1:33" x14ac:dyDescent="0.3">
      <c r="A852">
        <v>851</v>
      </c>
      <c r="B852">
        <v>36140</v>
      </c>
      <c r="C852" s="2">
        <v>35607</v>
      </c>
      <c r="D852">
        <v>28</v>
      </c>
      <c r="E852" t="s">
        <v>42</v>
      </c>
      <c r="F852" t="s">
        <v>37</v>
      </c>
      <c r="G852" s="2">
        <v>44409</v>
      </c>
      <c r="H852" s="3">
        <f t="shared" si="13"/>
        <v>4.419178082191781</v>
      </c>
      <c r="I852">
        <v>18</v>
      </c>
      <c r="J852" t="s">
        <v>38</v>
      </c>
      <c r="K852" t="s">
        <v>72</v>
      </c>
      <c r="L852" t="s">
        <v>40</v>
      </c>
      <c r="M852">
        <v>53517</v>
      </c>
      <c r="N852">
        <v>52517</v>
      </c>
      <c r="O852">
        <v>51517</v>
      </c>
      <c r="P852">
        <v>49517</v>
      </c>
      <c r="T852" t="s">
        <v>67</v>
      </c>
      <c r="U852">
        <v>1</v>
      </c>
      <c r="V852">
        <v>7</v>
      </c>
      <c r="W852">
        <v>6</v>
      </c>
      <c r="X852" s="2">
        <v>44904</v>
      </c>
      <c r="Y852" t="s">
        <v>69</v>
      </c>
      <c r="AD852">
        <v>4</v>
      </c>
      <c r="AE852">
        <v>5</v>
      </c>
      <c r="AF852">
        <v>2</v>
      </c>
      <c r="AG852">
        <v>2</v>
      </c>
    </row>
    <row r="853" spans="1:33" x14ac:dyDescent="0.3">
      <c r="A853">
        <v>852</v>
      </c>
      <c r="B853">
        <v>36142</v>
      </c>
      <c r="C853" s="2">
        <v>35010</v>
      </c>
      <c r="D853">
        <v>30</v>
      </c>
      <c r="E853" t="s">
        <v>42</v>
      </c>
      <c r="F853" t="s">
        <v>50</v>
      </c>
      <c r="G853" s="2">
        <v>44409</v>
      </c>
      <c r="H853" s="3">
        <f t="shared" si="13"/>
        <v>3.419178082191781</v>
      </c>
      <c r="I853">
        <v>20</v>
      </c>
      <c r="J853" t="s">
        <v>38</v>
      </c>
      <c r="K853" t="s">
        <v>72</v>
      </c>
      <c r="L853" t="s">
        <v>40</v>
      </c>
      <c r="M853">
        <v>55900</v>
      </c>
      <c r="N853">
        <v>54542</v>
      </c>
      <c r="O853">
        <v>53432</v>
      </c>
      <c r="P853">
        <v>49517</v>
      </c>
      <c r="T853" t="s">
        <v>67</v>
      </c>
      <c r="U853">
        <v>4</v>
      </c>
      <c r="V853">
        <v>7</v>
      </c>
      <c r="W853">
        <v>6</v>
      </c>
      <c r="X853" s="2">
        <v>44730</v>
      </c>
      <c r="Y853" t="s">
        <v>69</v>
      </c>
      <c r="AD853">
        <v>5</v>
      </c>
      <c r="AE853">
        <v>5</v>
      </c>
      <c r="AF853">
        <v>3</v>
      </c>
      <c r="AG853">
        <v>2</v>
      </c>
    </row>
    <row r="854" spans="1:33" x14ac:dyDescent="0.3">
      <c r="A854">
        <v>853</v>
      </c>
      <c r="B854">
        <v>36145</v>
      </c>
      <c r="C854" s="2">
        <v>35338</v>
      </c>
      <c r="D854">
        <v>29</v>
      </c>
      <c r="E854" t="s">
        <v>36</v>
      </c>
      <c r="F854" t="s">
        <v>50</v>
      </c>
      <c r="G854" s="2">
        <v>44774</v>
      </c>
      <c r="H854" s="3">
        <f t="shared" si="13"/>
        <v>4.419178082191781</v>
      </c>
      <c r="I854">
        <v>26</v>
      </c>
      <c r="J854" t="s">
        <v>38</v>
      </c>
      <c r="K854" t="s">
        <v>72</v>
      </c>
      <c r="L854" t="s">
        <v>40</v>
      </c>
      <c r="M854">
        <v>56017</v>
      </c>
      <c r="N854">
        <v>54017</v>
      </c>
      <c r="O854">
        <v>52517</v>
      </c>
      <c r="T854" t="s">
        <v>60</v>
      </c>
      <c r="U854">
        <v>4</v>
      </c>
      <c r="V854">
        <v>5</v>
      </c>
      <c r="W854">
        <v>4</v>
      </c>
      <c r="X854" s="2">
        <v>44703</v>
      </c>
      <c r="Y854" t="s">
        <v>69</v>
      </c>
      <c r="AD854">
        <v>5</v>
      </c>
      <c r="AE854">
        <v>5</v>
      </c>
      <c r="AF854">
        <v>4</v>
      </c>
    </row>
    <row r="855" spans="1:33" x14ac:dyDescent="0.3">
      <c r="A855">
        <v>854</v>
      </c>
      <c r="B855">
        <v>36146</v>
      </c>
      <c r="C855" s="2">
        <v>35609</v>
      </c>
      <c r="D855">
        <v>28</v>
      </c>
      <c r="E855" t="s">
        <v>42</v>
      </c>
      <c r="F855" t="s">
        <v>50</v>
      </c>
      <c r="G855" s="2">
        <v>44409</v>
      </c>
      <c r="H855" s="3">
        <f t="shared" si="13"/>
        <v>3.419178082191781</v>
      </c>
      <c r="I855">
        <v>38</v>
      </c>
      <c r="J855" t="s">
        <v>38</v>
      </c>
      <c r="K855" t="s">
        <v>72</v>
      </c>
      <c r="L855" t="s">
        <v>40</v>
      </c>
      <c r="M855">
        <v>53517</v>
      </c>
      <c r="N855">
        <v>52517</v>
      </c>
      <c r="O855">
        <v>51517</v>
      </c>
      <c r="P855">
        <v>49517</v>
      </c>
      <c r="T855" t="s">
        <v>41</v>
      </c>
      <c r="U855">
        <v>2</v>
      </c>
      <c r="V855">
        <v>7</v>
      </c>
      <c r="W855">
        <v>6</v>
      </c>
      <c r="X855" s="2">
        <v>44696</v>
      </c>
      <c r="Y855" t="s">
        <v>69</v>
      </c>
      <c r="AD855">
        <v>5</v>
      </c>
      <c r="AE855">
        <v>5</v>
      </c>
      <c r="AF855">
        <v>5</v>
      </c>
      <c r="AG855">
        <v>5</v>
      </c>
    </row>
    <row r="856" spans="1:33" x14ac:dyDescent="0.3">
      <c r="A856">
        <v>855</v>
      </c>
      <c r="B856">
        <v>36150</v>
      </c>
      <c r="C856" s="2">
        <v>35295</v>
      </c>
      <c r="D856">
        <v>29</v>
      </c>
      <c r="E856" t="s">
        <v>36</v>
      </c>
      <c r="F856" t="s">
        <v>50</v>
      </c>
      <c r="G856" s="2">
        <v>44774</v>
      </c>
      <c r="H856" s="3">
        <f t="shared" si="13"/>
        <v>3.419178082191781</v>
      </c>
      <c r="I856">
        <v>64</v>
      </c>
      <c r="J856" t="s">
        <v>38</v>
      </c>
      <c r="K856" t="s">
        <v>72</v>
      </c>
      <c r="L856" t="s">
        <v>40</v>
      </c>
      <c r="M856">
        <v>57017</v>
      </c>
      <c r="N856">
        <v>55017</v>
      </c>
      <c r="O856">
        <v>53517</v>
      </c>
      <c r="T856" t="s">
        <v>67</v>
      </c>
      <c r="U856">
        <v>4</v>
      </c>
      <c r="V856">
        <v>6</v>
      </c>
      <c r="W856">
        <v>6</v>
      </c>
      <c r="X856" s="2">
        <v>44963</v>
      </c>
      <c r="Y856" t="s">
        <v>69</v>
      </c>
      <c r="AD856">
        <v>5</v>
      </c>
      <c r="AE856">
        <v>5</v>
      </c>
      <c r="AF856">
        <v>4</v>
      </c>
    </row>
    <row r="857" spans="1:33" x14ac:dyDescent="0.3">
      <c r="A857">
        <v>856</v>
      </c>
      <c r="B857">
        <v>36152</v>
      </c>
      <c r="C857" s="2">
        <v>35028</v>
      </c>
      <c r="D857">
        <v>30</v>
      </c>
      <c r="E857" t="s">
        <v>42</v>
      </c>
      <c r="F857" t="s">
        <v>50</v>
      </c>
      <c r="G857" s="2">
        <v>44774</v>
      </c>
      <c r="H857" s="3">
        <f t="shared" si="13"/>
        <v>3.419178082191781</v>
      </c>
      <c r="I857">
        <v>27</v>
      </c>
      <c r="J857" t="s">
        <v>38</v>
      </c>
      <c r="K857" t="s">
        <v>72</v>
      </c>
      <c r="L857" t="s">
        <v>40</v>
      </c>
      <c r="M857">
        <v>51017</v>
      </c>
      <c r="N857">
        <v>50517</v>
      </c>
      <c r="O857">
        <v>50517</v>
      </c>
      <c r="T857" t="s">
        <v>71</v>
      </c>
      <c r="U857">
        <v>4</v>
      </c>
      <c r="V857">
        <v>7</v>
      </c>
      <c r="W857">
        <v>7</v>
      </c>
      <c r="X857" s="2">
        <v>44684</v>
      </c>
      <c r="Y857" t="s">
        <v>69</v>
      </c>
      <c r="AD857">
        <v>5</v>
      </c>
      <c r="AE857">
        <v>3</v>
      </c>
      <c r="AF857">
        <v>2</v>
      </c>
    </row>
    <row r="858" spans="1:33" x14ac:dyDescent="0.3">
      <c r="A858">
        <v>857</v>
      </c>
      <c r="B858">
        <v>36154</v>
      </c>
      <c r="C858" s="2">
        <v>34879</v>
      </c>
      <c r="D858">
        <v>30</v>
      </c>
      <c r="E858" t="s">
        <v>42</v>
      </c>
      <c r="F858" t="s">
        <v>50</v>
      </c>
      <c r="G858" s="2">
        <v>44774</v>
      </c>
      <c r="H858" s="3">
        <f t="shared" si="13"/>
        <v>4.3863013698630136</v>
      </c>
      <c r="I858">
        <v>39</v>
      </c>
      <c r="J858" t="s">
        <v>38</v>
      </c>
      <c r="K858" t="s">
        <v>72</v>
      </c>
      <c r="L858" t="s">
        <v>40</v>
      </c>
      <c r="M858">
        <v>53078</v>
      </c>
      <c r="N858">
        <v>53078</v>
      </c>
      <c r="O858">
        <v>52265</v>
      </c>
      <c r="T858" t="s">
        <v>66</v>
      </c>
      <c r="U858">
        <v>4</v>
      </c>
      <c r="V858">
        <v>6</v>
      </c>
      <c r="W858">
        <v>7</v>
      </c>
      <c r="X858" s="2">
        <v>44803</v>
      </c>
      <c r="Y858" t="s">
        <v>69</v>
      </c>
      <c r="AD858">
        <v>5</v>
      </c>
      <c r="AE858">
        <v>5</v>
      </c>
      <c r="AF858">
        <v>3</v>
      </c>
    </row>
    <row r="859" spans="1:33" x14ac:dyDescent="0.3">
      <c r="A859">
        <v>858</v>
      </c>
      <c r="B859">
        <v>36157</v>
      </c>
      <c r="C859" s="2">
        <v>31440</v>
      </c>
      <c r="D859">
        <v>39</v>
      </c>
      <c r="E859" t="s">
        <v>36</v>
      </c>
      <c r="F859" t="s">
        <v>50</v>
      </c>
      <c r="G859" s="2">
        <v>44421</v>
      </c>
      <c r="H859" s="3">
        <f t="shared" si="13"/>
        <v>3.419178082191781</v>
      </c>
      <c r="I859">
        <v>27</v>
      </c>
      <c r="J859" t="s">
        <v>38</v>
      </c>
      <c r="K859" t="s">
        <v>39</v>
      </c>
      <c r="L859" t="s">
        <v>40</v>
      </c>
      <c r="M859">
        <v>75317</v>
      </c>
      <c r="N859">
        <v>74567</v>
      </c>
      <c r="O859">
        <v>73817</v>
      </c>
      <c r="P859">
        <v>73067</v>
      </c>
      <c r="T859" t="s">
        <v>63</v>
      </c>
      <c r="U859">
        <v>4</v>
      </c>
      <c r="V859">
        <v>6</v>
      </c>
      <c r="W859">
        <v>5</v>
      </c>
      <c r="AD859">
        <v>3</v>
      </c>
      <c r="AE859">
        <v>5</v>
      </c>
      <c r="AF859">
        <v>4</v>
      </c>
      <c r="AG859">
        <v>4</v>
      </c>
    </row>
    <row r="860" spans="1:33" x14ac:dyDescent="0.3">
      <c r="A860">
        <v>859</v>
      </c>
      <c r="B860">
        <v>36163</v>
      </c>
      <c r="C860" s="2">
        <v>35179</v>
      </c>
      <c r="D860">
        <v>29</v>
      </c>
      <c r="E860" t="s">
        <v>42</v>
      </c>
      <c r="F860" t="s">
        <v>50</v>
      </c>
      <c r="G860" s="2">
        <v>44774</v>
      </c>
      <c r="H860" s="3">
        <f t="shared" si="13"/>
        <v>3.419178082191781</v>
      </c>
      <c r="I860">
        <v>54</v>
      </c>
      <c r="J860" t="s">
        <v>38</v>
      </c>
      <c r="K860" t="s">
        <v>72</v>
      </c>
      <c r="L860" t="s">
        <v>40</v>
      </c>
      <c r="M860">
        <v>56017</v>
      </c>
      <c r="N860">
        <v>54517</v>
      </c>
      <c r="O860">
        <v>53017</v>
      </c>
      <c r="T860" t="s">
        <v>60</v>
      </c>
      <c r="U860">
        <v>1</v>
      </c>
      <c r="V860">
        <v>6</v>
      </c>
      <c r="W860">
        <v>6</v>
      </c>
      <c r="X860" s="2">
        <v>44885</v>
      </c>
      <c r="Y860" t="s">
        <v>69</v>
      </c>
      <c r="AD860">
        <v>4</v>
      </c>
      <c r="AE860">
        <v>5</v>
      </c>
      <c r="AF860">
        <v>5</v>
      </c>
    </row>
    <row r="861" spans="1:33" x14ac:dyDescent="0.3">
      <c r="A861">
        <v>860</v>
      </c>
      <c r="B861">
        <v>36165</v>
      </c>
      <c r="C861" s="2">
        <v>35243</v>
      </c>
      <c r="D861">
        <v>29</v>
      </c>
      <c r="E861" t="s">
        <v>42</v>
      </c>
      <c r="F861" t="s">
        <v>50</v>
      </c>
      <c r="G861" s="2">
        <v>44774</v>
      </c>
      <c r="H861" s="3">
        <f t="shared" si="13"/>
        <v>3.419178082191781</v>
      </c>
      <c r="I861">
        <v>62</v>
      </c>
      <c r="J861" t="s">
        <v>38</v>
      </c>
      <c r="K861" t="s">
        <v>72</v>
      </c>
      <c r="L861" t="s">
        <v>40</v>
      </c>
      <c r="M861">
        <v>53517</v>
      </c>
      <c r="N861">
        <v>52517</v>
      </c>
      <c r="O861">
        <v>51517</v>
      </c>
      <c r="T861" t="s">
        <v>67</v>
      </c>
      <c r="U861">
        <v>4</v>
      </c>
      <c r="V861">
        <v>7</v>
      </c>
      <c r="W861">
        <v>6</v>
      </c>
      <c r="X861" s="2">
        <v>44948</v>
      </c>
      <c r="Y861" t="s">
        <v>69</v>
      </c>
      <c r="AD861">
        <v>3</v>
      </c>
      <c r="AE861">
        <v>3</v>
      </c>
      <c r="AF861">
        <v>2</v>
      </c>
    </row>
    <row r="862" spans="1:33" x14ac:dyDescent="0.3">
      <c r="A862">
        <v>861</v>
      </c>
      <c r="B862">
        <v>36168</v>
      </c>
      <c r="C862" s="2">
        <v>34886</v>
      </c>
      <c r="D862">
        <v>30</v>
      </c>
      <c r="E862" t="s">
        <v>36</v>
      </c>
      <c r="F862" t="s">
        <v>50</v>
      </c>
      <c r="G862" s="2">
        <v>44774</v>
      </c>
      <c r="H862" s="3">
        <f t="shared" si="13"/>
        <v>4.419178082191781</v>
      </c>
      <c r="I862">
        <v>14</v>
      </c>
      <c r="J862" t="s">
        <v>38</v>
      </c>
      <c r="K862" t="s">
        <v>72</v>
      </c>
      <c r="L862" t="s">
        <v>40</v>
      </c>
      <c r="M862">
        <v>53517</v>
      </c>
      <c r="N862">
        <v>52517</v>
      </c>
      <c r="O862">
        <v>51517</v>
      </c>
      <c r="T862" t="s">
        <v>41</v>
      </c>
      <c r="U862">
        <v>4</v>
      </c>
      <c r="V862">
        <v>5</v>
      </c>
      <c r="W862">
        <v>5</v>
      </c>
      <c r="X862" s="2">
        <v>44762</v>
      </c>
      <c r="Y862" t="s">
        <v>69</v>
      </c>
      <c r="AD862">
        <v>5</v>
      </c>
      <c r="AE862">
        <v>5</v>
      </c>
      <c r="AF862">
        <v>3</v>
      </c>
    </row>
    <row r="863" spans="1:33" x14ac:dyDescent="0.3">
      <c r="A863">
        <v>862</v>
      </c>
      <c r="B863">
        <v>36170</v>
      </c>
      <c r="C863" s="2">
        <v>34944</v>
      </c>
      <c r="D863">
        <v>30</v>
      </c>
      <c r="E863" t="s">
        <v>42</v>
      </c>
      <c r="F863" t="s">
        <v>50</v>
      </c>
      <c r="G863" s="2">
        <v>44409</v>
      </c>
      <c r="H863" s="3">
        <f t="shared" si="13"/>
        <v>4.419178082191781</v>
      </c>
      <c r="I863">
        <v>26</v>
      </c>
      <c r="J863" t="s">
        <v>38</v>
      </c>
      <c r="K863" t="s">
        <v>72</v>
      </c>
      <c r="L863" t="s">
        <v>40</v>
      </c>
      <c r="M863">
        <v>56017</v>
      </c>
      <c r="N863">
        <v>54517</v>
      </c>
      <c r="O863">
        <v>52517</v>
      </c>
      <c r="P863">
        <v>49517</v>
      </c>
      <c r="T863" t="s">
        <v>58</v>
      </c>
      <c r="U863">
        <v>2</v>
      </c>
      <c r="V863">
        <v>6</v>
      </c>
      <c r="W863">
        <v>7</v>
      </c>
      <c r="X863" s="2">
        <v>44889</v>
      </c>
      <c r="Y863" t="s">
        <v>69</v>
      </c>
      <c r="AD863">
        <v>5</v>
      </c>
      <c r="AE863">
        <v>4</v>
      </c>
      <c r="AF863">
        <v>5</v>
      </c>
      <c r="AG863">
        <v>3</v>
      </c>
    </row>
    <row r="864" spans="1:33" x14ac:dyDescent="0.3">
      <c r="A864">
        <v>863</v>
      </c>
      <c r="B864">
        <v>36171</v>
      </c>
      <c r="C864" s="2">
        <v>35161</v>
      </c>
      <c r="D864">
        <v>29</v>
      </c>
      <c r="E864" t="s">
        <v>36</v>
      </c>
      <c r="F864" t="s">
        <v>50</v>
      </c>
      <c r="G864" s="2">
        <v>44409</v>
      </c>
      <c r="H864" s="3">
        <f t="shared" si="13"/>
        <v>4.419178082191781</v>
      </c>
      <c r="I864">
        <v>32</v>
      </c>
      <c r="J864" t="s">
        <v>38</v>
      </c>
      <c r="K864" t="s">
        <v>72</v>
      </c>
      <c r="L864" t="s">
        <v>40</v>
      </c>
      <c r="M864">
        <v>57517</v>
      </c>
      <c r="N864">
        <v>55517</v>
      </c>
      <c r="O864">
        <v>53517</v>
      </c>
      <c r="P864">
        <v>49517</v>
      </c>
      <c r="T864" t="s">
        <v>41</v>
      </c>
      <c r="U864">
        <v>2</v>
      </c>
      <c r="V864">
        <v>5</v>
      </c>
      <c r="W864">
        <v>4</v>
      </c>
      <c r="X864" s="2">
        <v>44883</v>
      </c>
      <c r="Y864" t="s">
        <v>69</v>
      </c>
      <c r="AD864">
        <v>4</v>
      </c>
      <c r="AE864">
        <v>5</v>
      </c>
      <c r="AF864">
        <v>5</v>
      </c>
      <c r="AG864">
        <v>4</v>
      </c>
    </row>
    <row r="865" spans="1:33" x14ac:dyDescent="0.3">
      <c r="A865">
        <v>864</v>
      </c>
      <c r="B865">
        <v>36172</v>
      </c>
      <c r="C865" s="2">
        <v>34736</v>
      </c>
      <c r="D865">
        <v>30</v>
      </c>
      <c r="E865" t="s">
        <v>42</v>
      </c>
      <c r="F865" t="s">
        <v>50</v>
      </c>
      <c r="G865" s="2">
        <v>44409</v>
      </c>
      <c r="H865" s="3">
        <f t="shared" si="13"/>
        <v>4.419178082191781</v>
      </c>
      <c r="I865">
        <v>35</v>
      </c>
      <c r="J865" t="s">
        <v>38</v>
      </c>
      <c r="K865" t="s">
        <v>72</v>
      </c>
      <c r="L865" t="s">
        <v>40</v>
      </c>
      <c r="M865">
        <v>54517</v>
      </c>
      <c r="N865">
        <v>53267</v>
      </c>
      <c r="O865">
        <v>52017</v>
      </c>
      <c r="P865">
        <v>49517</v>
      </c>
      <c r="T865" t="s">
        <v>70</v>
      </c>
      <c r="U865">
        <v>1</v>
      </c>
      <c r="V865">
        <v>6</v>
      </c>
      <c r="W865">
        <v>7</v>
      </c>
      <c r="X865" s="2">
        <v>44818</v>
      </c>
      <c r="Y865" t="s">
        <v>69</v>
      </c>
      <c r="AD865">
        <v>4</v>
      </c>
      <c r="AE865">
        <v>4</v>
      </c>
      <c r="AF865">
        <v>4</v>
      </c>
      <c r="AG865">
        <v>2</v>
      </c>
    </row>
    <row r="866" spans="1:33" x14ac:dyDescent="0.3">
      <c r="A866">
        <v>865</v>
      </c>
      <c r="B866">
        <v>36179</v>
      </c>
      <c r="C866" s="2">
        <v>34834</v>
      </c>
      <c r="D866">
        <v>30</v>
      </c>
      <c r="E866" t="s">
        <v>36</v>
      </c>
      <c r="F866" t="s">
        <v>50</v>
      </c>
      <c r="G866" s="2">
        <v>44409</v>
      </c>
      <c r="H866" s="3">
        <f t="shared" si="13"/>
        <v>3.419178082191781</v>
      </c>
      <c r="I866">
        <v>23</v>
      </c>
      <c r="J866" t="s">
        <v>38</v>
      </c>
      <c r="K866" t="s">
        <v>72</v>
      </c>
      <c r="L866" t="s">
        <v>40</v>
      </c>
      <c r="M866">
        <v>53517</v>
      </c>
      <c r="N866">
        <v>52517</v>
      </c>
      <c r="O866">
        <v>51517</v>
      </c>
      <c r="P866">
        <v>49517</v>
      </c>
      <c r="T866" t="s">
        <v>71</v>
      </c>
      <c r="U866">
        <v>4</v>
      </c>
      <c r="V866">
        <v>5</v>
      </c>
      <c r="W866">
        <v>6</v>
      </c>
      <c r="X866" s="2">
        <v>44593</v>
      </c>
      <c r="Y866" t="s">
        <v>69</v>
      </c>
      <c r="AD866">
        <v>5</v>
      </c>
      <c r="AE866">
        <v>5</v>
      </c>
      <c r="AF866">
        <v>3</v>
      </c>
      <c r="AG866">
        <v>3</v>
      </c>
    </row>
    <row r="867" spans="1:33" x14ac:dyDescent="0.3">
      <c r="A867">
        <v>866</v>
      </c>
      <c r="B867">
        <v>36183</v>
      </c>
      <c r="C867" s="2">
        <v>35731</v>
      </c>
      <c r="D867">
        <v>28</v>
      </c>
      <c r="E867" t="s">
        <v>36</v>
      </c>
      <c r="F867" t="s">
        <v>50</v>
      </c>
      <c r="G867" s="2">
        <v>44774</v>
      </c>
      <c r="H867" s="3">
        <f t="shared" si="13"/>
        <v>4.419178082191781</v>
      </c>
      <c r="I867">
        <v>15</v>
      </c>
      <c r="J867" t="s">
        <v>38</v>
      </c>
      <c r="K867" t="s">
        <v>72</v>
      </c>
      <c r="L867" t="s">
        <v>40</v>
      </c>
      <c r="M867">
        <v>53517</v>
      </c>
      <c r="N867">
        <v>52517</v>
      </c>
      <c r="O867">
        <v>51517</v>
      </c>
      <c r="T867" t="s">
        <v>61</v>
      </c>
      <c r="U867">
        <v>4</v>
      </c>
      <c r="V867">
        <v>5</v>
      </c>
      <c r="W867">
        <v>6</v>
      </c>
      <c r="X867" s="2">
        <v>44682</v>
      </c>
      <c r="Y867" t="s">
        <v>69</v>
      </c>
      <c r="AD867">
        <v>5</v>
      </c>
      <c r="AE867">
        <v>3</v>
      </c>
      <c r="AF867">
        <v>1</v>
      </c>
    </row>
    <row r="868" spans="1:33" x14ac:dyDescent="0.3">
      <c r="A868">
        <v>867</v>
      </c>
      <c r="B868">
        <v>36188</v>
      </c>
      <c r="C868" s="2">
        <v>35332</v>
      </c>
      <c r="D868">
        <v>29</v>
      </c>
      <c r="E868" t="s">
        <v>36</v>
      </c>
      <c r="F868" t="s">
        <v>50</v>
      </c>
      <c r="G868" s="2">
        <v>44409</v>
      </c>
      <c r="H868" s="3">
        <f t="shared" si="13"/>
        <v>4.419178082191781</v>
      </c>
      <c r="I868">
        <v>39</v>
      </c>
      <c r="J868" t="s">
        <v>38</v>
      </c>
      <c r="K868" t="s">
        <v>72</v>
      </c>
      <c r="L868" t="s">
        <v>40</v>
      </c>
      <c r="M868">
        <v>54654</v>
      </c>
      <c r="N868">
        <v>53180</v>
      </c>
      <c r="O868">
        <v>53180</v>
      </c>
      <c r="P868">
        <v>49517</v>
      </c>
      <c r="T868" t="s">
        <v>61</v>
      </c>
      <c r="U868">
        <v>2</v>
      </c>
      <c r="V868">
        <v>5</v>
      </c>
      <c r="W868">
        <v>5</v>
      </c>
      <c r="X868" s="2">
        <v>44906</v>
      </c>
      <c r="Y868" t="s">
        <v>69</v>
      </c>
      <c r="AD868">
        <v>3</v>
      </c>
      <c r="AE868">
        <v>5</v>
      </c>
      <c r="AF868">
        <v>5</v>
      </c>
      <c r="AG868">
        <v>2</v>
      </c>
    </row>
    <row r="869" spans="1:33" x14ac:dyDescent="0.3">
      <c r="A869">
        <v>868</v>
      </c>
      <c r="B869">
        <v>36196</v>
      </c>
      <c r="C869" s="2">
        <v>33634</v>
      </c>
      <c r="D869">
        <v>33</v>
      </c>
      <c r="E869" t="s">
        <v>42</v>
      </c>
      <c r="F869" t="s">
        <v>50</v>
      </c>
      <c r="G869" s="2">
        <v>44409</v>
      </c>
      <c r="H869" s="3">
        <f t="shared" si="13"/>
        <v>3.419178082191781</v>
      </c>
      <c r="I869">
        <v>35</v>
      </c>
      <c r="J869" t="s">
        <v>38</v>
      </c>
      <c r="K869" t="s">
        <v>72</v>
      </c>
      <c r="L869" t="s">
        <v>40</v>
      </c>
      <c r="M869">
        <v>53767</v>
      </c>
      <c r="N869">
        <v>52767</v>
      </c>
      <c r="O869">
        <v>52017</v>
      </c>
      <c r="P869">
        <v>49517</v>
      </c>
      <c r="T869" t="s">
        <v>66</v>
      </c>
      <c r="U869">
        <v>2</v>
      </c>
      <c r="V869">
        <v>7</v>
      </c>
      <c r="W869">
        <v>5</v>
      </c>
      <c r="X869" s="2">
        <v>44637</v>
      </c>
      <c r="Y869" t="s">
        <v>69</v>
      </c>
      <c r="AD869">
        <v>4</v>
      </c>
      <c r="AE869">
        <v>3</v>
      </c>
      <c r="AF869">
        <v>2</v>
      </c>
      <c r="AG869">
        <v>2</v>
      </c>
    </row>
    <row r="870" spans="1:33" x14ac:dyDescent="0.3">
      <c r="A870">
        <v>869</v>
      </c>
      <c r="B870">
        <v>36199</v>
      </c>
      <c r="C870" s="2">
        <v>35501</v>
      </c>
      <c r="D870">
        <v>28</v>
      </c>
      <c r="E870" t="s">
        <v>42</v>
      </c>
      <c r="F870" t="s">
        <v>37</v>
      </c>
      <c r="G870" s="2">
        <v>44774</v>
      </c>
      <c r="H870" s="3">
        <f t="shared" si="13"/>
        <v>3.419178082191781</v>
      </c>
      <c r="I870">
        <v>49</v>
      </c>
      <c r="J870" t="s">
        <v>38</v>
      </c>
      <c r="K870" t="s">
        <v>72</v>
      </c>
      <c r="L870" t="s">
        <v>40</v>
      </c>
      <c r="M870">
        <v>54758</v>
      </c>
      <c r="N870">
        <v>53410</v>
      </c>
      <c r="O870">
        <v>52373</v>
      </c>
      <c r="T870" t="s">
        <v>70</v>
      </c>
      <c r="U870">
        <v>3</v>
      </c>
      <c r="V870">
        <v>7</v>
      </c>
      <c r="W870">
        <v>6</v>
      </c>
      <c r="X870" s="2">
        <v>44670</v>
      </c>
      <c r="Y870" t="s">
        <v>69</v>
      </c>
      <c r="AD870">
        <v>5</v>
      </c>
      <c r="AE870">
        <v>4</v>
      </c>
      <c r="AF870">
        <v>3</v>
      </c>
    </row>
    <row r="871" spans="1:33" x14ac:dyDescent="0.3">
      <c r="A871">
        <v>870</v>
      </c>
      <c r="B871">
        <v>36202</v>
      </c>
      <c r="C871" s="2">
        <v>35520</v>
      </c>
      <c r="D871">
        <v>28</v>
      </c>
      <c r="E871" t="s">
        <v>42</v>
      </c>
      <c r="F871" t="s">
        <v>50</v>
      </c>
      <c r="G871" s="2">
        <v>44774</v>
      </c>
      <c r="H871" s="3">
        <f t="shared" si="13"/>
        <v>4.419178082191781</v>
      </c>
      <c r="I871">
        <v>47</v>
      </c>
      <c r="J871" t="s">
        <v>38</v>
      </c>
      <c r="K871" t="s">
        <v>72</v>
      </c>
      <c r="L871" t="s">
        <v>40</v>
      </c>
      <c r="M871">
        <v>53517</v>
      </c>
      <c r="N871">
        <v>52517</v>
      </c>
      <c r="O871">
        <v>51517</v>
      </c>
      <c r="T871" t="s">
        <v>63</v>
      </c>
      <c r="U871">
        <v>4</v>
      </c>
      <c r="V871">
        <v>7</v>
      </c>
      <c r="W871">
        <v>6</v>
      </c>
      <c r="X871" s="2">
        <v>44816</v>
      </c>
      <c r="Y871" t="s">
        <v>69</v>
      </c>
      <c r="AD871">
        <v>4</v>
      </c>
      <c r="AE871">
        <v>4</v>
      </c>
      <c r="AF871">
        <v>5</v>
      </c>
    </row>
    <row r="872" spans="1:33" x14ac:dyDescent="0.3">
      <c r="A872">
        <v>871</v>
      </c>
      <c r="B872">
        <v>36208</v>
      </c>
      <c r="C872" s="2">
        <v>35530</v>
      </c>
      <c r="D872">
        <v>28</v>
      </c>
      <c r="E872" t="s">
        <v>42</v>
      </c>
      <c r="F872" t="s">
        <v>50</v>
      </c>
      <c r="G872" s="2">
        <v>44409</v>
      </c>
      <c r="H872" s="3">
        <f t="shared" si="13"/>
        <v>3.419178082191781</v>
      </c>
      <c r="I872">
        <v>32</v>
      </c>
      <c r="J872" t="s">
        <v>38</v>
      </c>
      <c r="K872" t="s">
        <v>72</v>
      </c>
      <c r="L872" t="s">
        <v>40</v>
      </c>
      <c r="M872">
        <v>57979</v>
      </c>
      <c r="N872">
        <v>55979</v>
      </c>
      <c r="O872">
        <v>50979</v>
      </c>
      <c r="P872">
        <v>49517</v>
      </c>
      <c r="T872" t="s">
        <v>66</v>
      </c>
      <c r="U872">
        <v>4</v>
      </c>
      <c r="V872">
        <v>6</v>
      </c>
      <c r="W872">
        <v>7</v>
      </c>
      <c r="X872" s="2">
        <v>45284</v>
      </c>
      <c r="Y872" t="s">
        <v>69</v>
      </c>
      <c r="AD872">
        <v>5</v>
      </c>
      <c r="AE872">
        <v>5</v>
      </c>
      <c r="AF872">
        <v>5</v>
      </c>
      <c r="AG872">
        <v>3</v>
      </c>
    </row>
    <row r="873" spans="1:33" x14ac:dyDescent="0.3">
      <c r="A873">
        <v>872</v>
      </c>
      <c r="B873">
        <v>36211</v>
      </c>
      <c r="C873" s="2">
        <v>33424</v>
      </c>
      <c r="D873">
        <v>34</v>
      </c>
      <c r="E873" t="s">
        <v>42</v>
      </c>
      <c r="F873" t="s">
        <v>50</v>
      </c>
      <c r="G873" s="2">
        <v>44774</v>
      </c>
      <c r="H873" s="3">
        <f t="shared" si="13"/>
        <v>4.5123287671232877</v>
      </c>
      <c r="I873">
        <v>36</v>
      </c>
      <c r="J873" t="s">
        <v>38</v>
      </c>
      <c r="K873" t="s">
        <v>72</v>
      </c>
      <c r="L873" t="s">
        <v>40</v>
      </c>
      <c r="M873">
        <v>55267</v>
      </c>
      <c r="N873">
        <v>54017</v>
      </c>
      <c r="O873">
        <v>50517</v>
      </c>
      <c r="T873" t="s">
        <v>66</v>
      </c>
      <c r="U873">
        <v>2</v>
      </c>
      <c r="V873">
        <v>6</v>
      </c>
      <c r="W873">
        <v>7</v>
      </c>
      <c r="X873" s="2">
        <v>45300</v>
      </c>
      <c r="Y873" t="s">
        <v>69</v>
      </c>
      <c r="AD873">
        <v>5</v>
      </c>
      <c r="AE873">
        <v>4</v>
      </c>
      <c r="AF873">
        <v>4</v>
      </c>
    </row>
    <row r="874" spans="1:33" x14ac:dyDescent="0.3">
      <c r="A874">
        <v>873</v>
      </c>
      <c r="B874">
        <v>36215</v>
      </c>
      <c r="C874" s="2">
        <v>34633</v>
      </c>
      <c r="D874">
        <v>31</v>
      </c>
      <c r="E874" t="s">
        <v>36</v>
      </c>
      <c r="F874" t="s">
        <v>50</v>
      </c>
      <c r="G874" s="2">
        <v>44375</v>
      </c>
      <c r="H874" s="3">
        <f t="shared" si="13"/>
        <v>4.2465753424657535</v>
      </c>
      <c r="I874">
        <v>19</v>
      </c>
      <c r="J874" t="s">
        <v>38</v>
      </c>
      <c r="K874" t="s">
        <v>51</v>
      </c>
      <c r="L874" t="s">
        <v>44</v>
      </c>
      <c r="M874">
        <v>34.43</v>
      </c>
      <c r="N874">
        <v>34.270000000000003</v>
      </c>
      <c r="O874">
        <v>33.96</v>
      </c>
      <c r="P874">
        <v>33.619999999999997</v>
      </c>
      <c r="T874" t="s">
        <v>52</v>
      </c>
      <c r="U874">
        <v>0</v>
      </c>
      <c r="V874">
        <v>3</v>
      </c>
    </row>
    <row r="875" spans="1:33" x14ac:dyDescent="0.3">
      <c r="A875">
        <v>874</v>
      </c>
      <c r="B875">
        <v>36231</v>
      </c>
      <c r="C875" s="2">
        <v>31517</v>
      </c>
      <c r="D875">
        <v>39</v>
      </c>
      <c r="E875" t="s">
        <v>36</v>
      </c>
      <c r="F875" t="s">
        <v>50</v>
      </c>
      <c r="G875" s="2">
        <v>44472</v>
      </c>
      <c r="H875" s="3">
        <f t="shared" si="13"/>
        <v>4.2191780821917808</v>
      </c>
      <c r="I875">
        <v>144</v>
      </c>
      <c r="J875" t="s">
        <v>57</v>
      </c>
      <c r="K875" t="s">
        <v>51</v>
      </c>
      <c r="L875" t="s">
        <v>44</v>
      </c>
      <c r="M875">
        <v>34.020000000000003</v>
      </c>
      <c r="N875">
        <v>33.799999999999997</v>
      </c>
      <c r="O875">
        <v>33.799999999999997</v>
      </c>
      <c r="P875">
        <v>33.619999999999997</v>
      </c>
      <c r="T875" t="s">
        <v>45</v>
      </c>
      <c r="U875">
        <v>0</v>
      </c>
      <c r="V875">
        <v>4</v>
      </c>
    </row>
    <row r="876" spans="1:33" x14ac:dyDescent="0.3">
      <c r="A876">
        <v>875</v>
      </c>
      <c r="B876">
        <v>36236</v>
      </c>
      <c r="C876" s="2">
        <v>32530</v>
      </c>
      <c r="D876">
        <v>36</v>
      </c>
      <c r="E876" t="s">
        <v>36</v>
      </c>
      <c r="F876" t="s">
        <v>50</v>
      </c>
      <c r="G876" s="2">
        <v>44482</v>
      </c>
      <c r="H876" s="3">
        <f t="shared" si="13"/>
        <v>3.9095890410958902</v>
      </c>
      <c r="I876">
        <v>104</v>
      </c>
      <c r="J876" t="s">
        <v>57</v>
      </c>
      <c r="K876" t="s">
        <v>51</v>
      </c>
      <c r="L876" t="s">
        <v>44</v>
      </c>
      <c r="M876">
        <v>34.74</v>
      </c>
      <c r="N876">
        <v>34.32</v>
      </c>
      <c r="O876">
        <v>34.04</v>
      </c>
      <c r="P876">
        <v>33.619999999999997</v>
      </c>
      <c r="T876" t="s">
        <v>52</v>
      </c>
      <c r="U876">
        <v>0</v>
      </c>
      <c r="V876">
        <v>3</v>
      </c>
    </row>
    <row r="877" spans="1:33" x14ac:dyDescent="0.3">
      <c r="A877">
        <v>876</v>
      </c>
      <c r="B877">
        <v>36240</v>
      </c>
      <c r="C877" s="2">
        <v>34043</v>
      </c>
      <c r="D877">
        <v>32</v>
      </c>
      <c r="E877" t="s">
        <v>36</v>
      </c>
      <c r="F877" t="s">
        <v>50</v>
      </c>
      <c r="G877" s="2">
        <v>44595</v>
      </c>
      <c r="H877" s="3">
        <f t="shared" si="13"/>
        <v>4.5315068493150683</v>
      </c>
      <c r="I877">
        <v>127</v>
      </c>
      <c r="J877" t="s">
        <v>57</v>
      </c>
      <c r="K877" t="s">
        <v>51</v>
      </c>
      <c r="L877" t="s">
        <v>44</v>
      </c>
      <c r="M877">
        <v>34.07</v>
      </c>
      <c r="N877">
        <v>33.92</v>
      </c>
      <c r="O877">
        <v>33.770000000000003</v>
      </c>
      <c r="T877" t="s">
        <v>49</v>
      </c>
      <c r="U877">
        <v>0</v>
      </c>
      <c r="V877">
        <v>5</v>
      </c>
    </row>
    <row r="878" spans="1:33" x14ac:dyDescent="0.3">
      <c r="A878">
        <v>877</v>
      </c>
      <c r="B878">
        <v>36243</v>
      </c>
      <c r="C878" s="2">
        <v>32479</v>
      </c>
      <c r="D878">
        <v>37</v>
      </c>
      <c r="E878" t="s">
        <v>42</v>
      </c>
      <c r="F878" t="s">
        <v>50</v>
      </c>
      <c r="G878" s="2">
        <v>44368</v>
      </c>
      <c r="H878" s="3">
        <f t="shared" si="13"/>
        <v>4.3945205479452056</v>
      </c>
      <c r="I878">
        <v>89</v>
      </c>
      <c r="J878" t="s">
        <v>57</v>
      </c>
      <c r="K878" t="s">
        <v>51</v>
      </c>
      <c r="L878" t="s">
        <v>44</v>
      </c>
      <c r="M878">
        <v>34.520000000000003</v>
      </c>
      <c r="N878">
        <v>34.22</v>
      </c>
      <c r="O878">
        <v>33.92</v>
      </c>
      <c r="P878">
        <v>33.619999999999997</v>
      </c>
      <c r="T878" t="s">
        <v>47</v>
      </c>
      <c r="U878">
        <v>0</v>
      </c>
      <c r="V878">
        <v>5</v>
      </c>
    </row>
    <row r="879" spans="1:33" x14ac:dyDescent="0.3">
      <c r="A879">
        <v>878</v>
      </c>
      <c r="B879">
        <v>36244</v>
      </c>
      <c r="C879" s="2">
        <v>34203</v>
      </c>
      <c r="D879">
        <v>32</v>
      </c>
      <c r="E879" t="s">
        <v>36</v>
      </c>
      <c r="F879" t="s">
        <v>50</v>
      </c>
      <c r="G879" s="2">
        <v>44418</v>
      </c>
      <c r="H879" s="3">
        <f t="shared" si="13"/>
        <v>4.0767123287671234</v>
      </c>
      <c r="I879">
        <v>59</v>
      </c>
      <c r="J879" t="s">
        <v>38</v>
      </c>
      <c r="K879" t="s">
        <v>51</v>
      </c>
      <c r="L879" t="s">
        <v>44</v>
      </c>
      <c r="M879">
        <v>34.520000000000003</v>
      </c>
      <c r="N879">
        <v>34.22</v>
      </c>
      <c r="O879">
        <v>33.92</v>
      </c>
      <c r="P879">
        <v>33.619999999999997</v>
      </c>
      <c r="T879" t="s">
        <v>47</v>
      </c>
      <c r="U879">
        <v>0</v>
      </c>
      <c r="V879">
        <v>4</v>
      </c>
    </row>
    <row r="880" spans="1:33" x14ac:dyDescent="0.3">
      <c r="A880">
        <v>879</v>
      </c>
      <c r="B880">
        <v>36247</v>
      </c>
      <c r="C880" s="2">
        <v>34810</v>
      </c>
      <c r="D880">
        <v>30</v>
      </c>
      <c r="E880" t="s">
        <v>36</v>
      </c>
      <c r="F880" t="s">
        <v>50</v>
      </c>
      <c r="G880" s="2">
        <v>44534</v>
      </c>
      <c r="H880" s="3">
        <f t="shared" si="13"/>
        <v>4.2356164383561641</v>
      </c>
      <c r="I880">
        <v>132</v>
      </c>
      <c r="J880" t="s">
        <v>57</v>
      </c>
      <c r="K880" t="s">
        <v>51</v>
      </c>
      <c r="L880" t="s">
        <v>44</v>
      </c>
      <c r="M880">
        <v>34.520000000000003</v>
      </c>
      <c r="N880">
        <v>34.22</v>
      </c>
      <c r="O880">
        <v>33.92</v>
      </c>
      <c r="P880">
        <v>33.619999999999997</v>
      </c>
      <c r="T880" t="s">
        <v>52</v>
      </c>
      <c r="U880">
        <v>0</v>
      </c>
      <c r="V880">
        <v>3</v>
      </c>
    </row>
    <row r="881" spans="1:22" x14ac:dyDescent="0.3">
      <c r="A881">
        <v>880</v>
      </c>
      <c r="B881">
        <v>36248</v>
      </c>
      <c r="C881" s="2">
        <v>28286</v>
      </c>
      <c r="D881">
        <v>48</v>
      </c>
      <c r="E881" t="s">
        <v>42</v>
      </c>
      <c r="F881" t="s">
        <v>37</v>
      </c>
      <c r="G881" s="2">
        <v>44476</v>
      </c>
      <c r="H881" s="3">
        <f t="shared" si="13"/>
        <v>4.1561643835616442</v>
      </c>
      <c r="I881">
        <v>8</v>
      </c>
      <c r="J881" t="s">
        <v>38</v>
      </c>
      <c r="K881" t="s">
        <v>51</v>
      </c>
      <c r="L881" t="s">
        <v>44</v>
      </c>
      <c r="M881">
        <v>34.51</v>
      </c>
      <c r="N881">
        <v>34.28</v>
      </c>
      <c r="O881">
        <v>33.880000000000003</v>
      </c>
      <c r="P881">
        <v>33.619999999999997</v>
      </c>
      <c r="T881" t="s">
        <v>52</v>
      </c>
      <c r="U881">
        <v>0</v>
      </c>
      <c r="V881">
        <v>6</v>
      </c>
    </row>
    <row r="882" spans="1:22" x14ac:dyDescent="0.3">
      <c r="A882">
        <v>881</v>
      </c>
      <c r="B882">
        <v>36263</v>
      </c>
      <c r="C882" s="2">
        <v>33580</v>
      </c>
      <c r="D882">
        <v>34</v>
      </c>
      <c r="E882" t="s">
        <v>42</v>
      </c>
      <c r="F882" t="s">
        <v>50</v>
      </c>
      <c r="G882" s="2">
        <v>44505</v>
      </c>
      <c r="H882" s="3">
        <f t="shared" si="13"/>
        <v>3.8849315068493149</v>
      </c>
      <c r="I882">
        <v>123</v>
      </c>
      <c r="J882" t="s">
        <v>57</v>
      </c>
      <c r="K882" t="s">
        <v>51</v>
      </c>
      <c r="L882" t="s">
        <v>44</v>
      </c>
      <c r="M882">
        <v>34.520000000000003</v>
      </c>
      <c r="N882">
        <v>34.22</v>
      </c>
      <c r="O882">
        <v>33.92</v>
      </c>
      <c r="P882">
        <v>33.619999999999997</v>
      </c>
      <c r="T882" t="s">
        <v>49</v>
      </c>
      <c r="U882">
        <v>0</v>
      </c>
      <c r="V882">
        <v>6</v>
      </c>
    </row>
    <row r="883" spans="1:22" x14ac:dyDescent="0.3">
      <c r="A883">
        <v>882</v>
      </c>
      <c r="B883">
        <v>36264</v>
      </c>
      <c r="C883" s="2">
        <v>29702</v>
      </c>
      <c r="D883">
        <v>44</v>
      </c>
      <c r="E883" t="s">
        <v>42</v>
      </c>
      <c r="F883" t="s">
        <v>50</v>
      </c>
      <c r="G883" s="2">
        <v>44604</v>
      </c>
      <c r="H883" s="3">
        <f t="shared" si="13"/>
        <v>4.5315068493150683</v>
      </c>
      <c r="I883">
        <v>130</v>
      </c>
      <c r="J883" t="s">
        <v>57</v>
      </c>
      <c r="K883" t="s">
        <v>51</v>
      </c>
      <c r="L883" t="s">
        <v>44</v>
      </c>
      <c r="M883">
        <v>34.409999999999997</v>
      </c>
      <c r="N883">
        <v>34.01</v>
      </c>
      <c r="O883">
        <v>33.619999999999997</v>
      </c>
      <c r="T883" t="s">
        <v>47</v>
      </c>
      <c r="U883">
        <v>0</v>
      </c>
      <c r="V883">
        <v>5</v>
      </c>
    </row>
    <row r="884" spans="1:22" x14ac:dyDescent="0.3">
      <c r="A884">
        <v>883</v>
      </c>
      <c r="B884">
        <v>36272</v>
      </c>
      <c r="C884" s="2">
        <v>34270</v>
      </c>
      <c r="D884">
        <v>32</v>
      </c>
      <c r="E884" t="s">
        <v>42</v>
      </c>
      <c r="F884" t="s">
        <v>50</v>
      </c>
      <c r="G884" s="2">
        <v>44368</v>
      </c>
      <c r="H884" s="3">
        <f t="shared" si="13"/>
        <v>4.6082191780821917</v>
      </c>
      <c r="I884">
        <v>106</v>
      </c>
      <c r="J884" t="s">
        <v>57</v>
      </c>
      <c r="K884" t="s">
        <v>51</v>
      </c>
      <c r="L884" t="s">
        <v>44</v>
      </c>
      <c r="M884">
        <v>34.520000000000003</v>
      </c>
      <c r="N884">
        <v>34.22</v>
      </c>
      <c r="O884">
        <v>33.92</v>
      </c>
      <c r="P884">
        <v>33.619999999999997</v>
      </c>
      <c r="T884" t="s">
        <v>45</v>
      </c>
      <c r="U884">
        <v>0</v>
      </c>
      <c r="V884">
        <v>5</v>
      </c>
    </row>
    <row r="885" spans="1:22" x14ac:dyDescent="0.3">
      <c r="A885">
        <v>884</v>
      </c>
      <c r="B885">
        <v>36274</v>
      </c>
      <c r="C885" s="2">
        <v>33360</v>
      </c>
      <c r="D885">
        <v>34</v>
      </c>
      <c r="E885" t="s">
        <v>36</v>
      </c>
      <c r="F885" t="s">
        <v>50</v>
      </c>
      <c r="G885" s="2">
        <v>44340</v>
      </c>
      <c r="H885" s="3">
        <f t="shared" si="13"/>
        <v>4.3589041095890408</v>
      </c>
      <c r="I885">
        <v>121</v>
      </c>
      <c r="J885" t="s">
        <v>57</v>
      </c>
      <c r="K885" t="s">
        <v>51</v>
      </c>
      <c r="L885" t="s">
        <v>44</v>
      </c>
      <c r="M885">
        <v>34.520000000000003</v>
      </c>
      <c r="N885">
        <v>34.22</v>
      </c>
      <c r="O885">
        <v>33.92</v>
      </c>
      <c r="P885">
        <v>33.619999999999997</v>
      </c>
      <c r="T885" t="s">
        <v>52</v>
      </c>
      <c r="U885">
        <v>0</v>
      </c>
      <c r="V885">
        <v>4</v>
      </c>
    </row>
    <row r="886" spans="1:22" x14ac:dyDescent="0.3">
      <c r="A886">
        <v>885</v>
      </c>
      <c r="B886">
        <v>36279</v>
      </c>
      <c r="C886" s="2">
        <v>30957</v>
      </c>
      <c r="D886">
        <v>41</v>
      </c>
      <c r="E886" t="s">
        <v>36</v>
      </c>
      <c r="F886" t="s">
        <v>37</v>
      </c>
      <c r="G886" s="2">
        <v>44431</v>
      </c>
      <c r="H886" s="3">
        <f t="shared" si="13"/>
        <v>3.9479452054794519</v>
      </c>
      <c r="I886">
        <v>32</v>
      </c>
      <c r="J886" t="s">
        <v>38</v>
      </c>
      <c r="K886" t="s">
        <v>51</v>
      </c>
      <c r="L886" t="s">
        <v>44</v>
      </c>
      <c r="M886">
        <v>34.520000000000003</v>
      </c>
      <c r="N886">
        <v>34.22</v>
      </c>
      <c r="O886">
        <v>33.92</v>
      </c>
      <c r="P886">
        <v>33.619999999999997</v>
      </c>
      <c r="T886" t="s">
        <v>52</v>
      </c>
      <c r="U886">
        <v>0</v>
      </c>
      <c r="V886">
        <v>3</v>
      </c>
    </row>
    <row r="887" spans="1:22" x14ac:dyDescent="0.3">
      <c r="A887">
        <v>886</v>
      </c>
      <c r="B887">
        <v>36290</v>
      </c>
      <c r="C887" s="2">
        <v>34694</v>
      </c>
      <c r="D887">
        <v>31</v>
      </c>
      <c r="E887" t="s">
        <v>36</v>
      </c>
      <c r="F887" t="s">
        <v>50</v>
      </c>
      <c r="G887" s="2">
        <v>44581</v>
      </c>
      <c r="H887" s="3">
        <f t="shared" si="13"/>
        <v>4.3616438356164382</v>
      </c>
      <c r="I887">
        <v>105</v>
      </c>
      <c r="J887" t="s">
        <v>57</v>
      </c>
      <c r="K887" t="s">
        <v>51</v>
      </c>
      <c r="L887" t="s">
        <v>44</v>
      </c>
      <c r="M887">
        <v>34.520000000000003</v>
      </c>
      <c r="N887">
        <v>34.22</v>
      </c>
      <c r="O887">
        <v>33.92</v>
      </c>
      <c r="T887" t="s">
        <v>45</v>
      </c>
      <c r="U887">
        <v>0</v>
      </c>
      <c r="V887">
        <v>4</v>
      </c>
    </row>
    <row r="888" spans="1:22" x14ac:dyDescent="0.3">
      <c r="A888">
        <v>887</v>
      </c>
      <c r="B888">
        <v>36297</v>
      </c>
      <c r="C888" s="2">
        <v>33996</v>
      </c>
      <c r="D888">
        <v>32</v>
      </c>
      <c r="E888" t="s">
        <v>36</v>
      </c>
      <c r="F888" t="s">
        <v>50</v>
      </c>
      <c r="G888" s="2">
        <v>44430</v>
      </c>
      <c r="H888" s="3">
        <f t="shared" si="13"/>
        <v>3.9205479452054797</v>
      </c>
      <c r="I888">
        <v>97</v>
      </c>
      <c r="J888" t="s">
        <v>57</v>
      </c>
      <c r="K888" t="s">
        <v>51</v>
      </c>
      <c r="L888" t="s">
        <v>44</v>
      </c>
      <c r="M888">
        <v>34.630000000000003</v>
      </c>
      <c r="N888">
        <v>34.229999999999997</v>
      </c>
      <c r="O888">
        <v>33.909999999999997</v>
      </c>
      <c r="P888">
        <v>33.619999999999997</v>
      </c>
      <c r="T888" t="s">
        <v>45</v>
      </c>
      <c r="U888">
        <v>0</v>
      </c>
      <c r="V888">
        <v>3</v>
      </c>
    </row>
    <row r="889" spans="1:22" x14ac:dyDescent="0.3">
      <c r="A889">
        <v>888</v>
      </c>
      <c r="B889">
        <v>36306</v>
      </c>
      <c r="C889" s="2">
        <v>34363</v>
      </c>
      <c r="D889">
        <v>31</v>
      </c>
      <c r="E889" t="s">
        <v>36</v>
      </c>
      <c r="F889" t="s">
        <v>50</v>
      </c>
      <c r="G889" s="2">
        <v>44591</v>
      </c>
      <c r="H889" s="3">
        <f t="shared" si="13"/>
        <v>4.2821917808219174</v>
      </c>
      <c r="I889">
        <v>144</v>
      </c>
      <c r="J889" t="s">
        <v>57</v>
      </c>
      <c r="K889" t="s">
        <v>51</v>
      </c>
      <c r="L889" t="s">
        <v>44</v>
      </c>
      <c r="M889">
        <v>34.76</v>
      </c>
      <c r="N889">
        <v>34.39</v>
      </c>
      <c r="O889">
        <v>33.99</v>
      </c>
      <c r="T889" t="s">
        <v>47</v>
      </c>
      <c r="U889">
        <v>0</v>
      </c>
      <c r="V889">
        <v>3</v>
      </c>
    </row>
    <row r="890" spans="1:22" x14ac:dyDescent="0.3">
      <c r="A890">
        <v>889</v>
      </c>
      <c r="B890">
        <v>36314</v>
      </c>
      <c r="C890" s="2">
        <v>35060</v>
      </c>
      <c r="D890">
        <v>30</v>
      </c>
      <c r="E890" t="s">
        <v>36</v>
      </c>
      <c r="F890" t="s">
        <v>50</v>
      </c>
      <c r="G890" s="2">
        <v>44459</v>
      </c>
      <c r="H890" s="3">
        <f t="shared" si="13"/>
        <v>4.4794520547945202</v>
      </c>
      <c r="I890">
        <v>144</v>
      </c>
      <c r="J890" t="s">
        <v>57</v>
      </c>
      <c r="K890" t="s">
        <v>51</v>
      </c>
      <c r="L890" t="s">
        <v>44</v>
      </c>
      <c r="M890">
        <v>34.700000000000003</v>
      </c>
      <c r="N890">
        <v>34.36</v>
      </c>
      <c r="O890">
        <v>33.97</v>
      </c>
      <c r="P890">
        <v>33.619999999999997</v>
      </c>
      <c r="T890" t="s">
        <v>49</v>
      </c>
      <c r="U890">
        <v>0</v>
      </c>
      <c r="V890">
        <v>5</v>
      </c>
    </row>
    <row r="891" spans="1:22" x14ac:dyDescent="0.3">
      <c r="A891">
        <v>890</v>
      </c>
      <c r="B891">
        <v>36315</v>
      </c>
      <c r="C891" s="2">
        <v>34774</v>
      </c>
      <c r="D891">
        <v>30</v>
      </c>
      <c r="E891" t="s">
        <v>36</v>
      </c>
      <c r="F891" t="s">
        <v>50</v>
      </c>
      <c r="G891" s="2">
        <v>44387</v>
      </c>
      <c r="H891" s="3">
        <f t="shared" si="13"/>
        <v>4.2575342465753421</v>
      </c>
      <c r="I891">
        <v>25</v>
      </c>
      <c r="J891" t="s">
        <v>38</v>
      </c>
      <c r="K891" t="s">
        <v>51</v>
      </c>
      <c r="L891" t="s">
        <v>44</v>
      </c>
      <c r="M891">
        <v>34.520000000000003</v>
      </c>
      <c r="N891">
        <v>34.22</v>
      </c>
      <c r="O891">
        <v>33.92</v>
      </c>
      <c r="P891">
        <v>33.619999999999997</v>
      </c>
      <c r="T891" t="s">
        <v>52</v>
      </c>
      <c r="U891">
        <v>0</v>
      </c>
      <c r="V891">
        <v>5</v>
      </c>
    </row>
    <row r="892" spans="1:22" x14ac:dyDescent="0.3">
      <c r="A892">
        <v>891</v>
      </c>
      <c r="B892">
        <v>36320</v>
      </c>
      <c r="C892" s="2">
        <v>34159</v>
      </c>
      <c r="D892">
        <v>32</v>
      </c>
      <c r="E892" t="s">
        <v>36</v>
      </c>
      <c r="F892" t="s">
        <v>50</v>
      </c>
      <c r="G892" s="2">
        <v>44468</v>
      </c>
      <c r="H892" s="3">
        <f t="shared" si="13"/>
        <v>4.1534246575342468</v>
      </c>
      <c r="I892">
        <v>107</v>
      </c>
      <c r="J892" t="s">
        <v>57</v>
      </c>
      <c r="K892" t="s">
        <v>51</v>
      </c>
      <c r="L892" t="s">
        <v>44</v>
      </c>
      <c r="M892">
        <v>34.520000000000003</v>
      </c>
      <c r="N892">
        <v>34.22</v>
      </c>
      <c r="O892">
        <v>33.92</v>
      </c>
      <c r="P892">
        <v>33.619999999999997</v>
      </c>
      <c r="T892" t="s">
        <v>49</v>
      </c>
      <c r="U892">
        <v>0</v>
      </c>
      <c r="V892">
        <v>4</v>
      </c>
    </row>
    <row r="893" spans="1:22" x14ac:dyDescent="0.3">
      <c r="A893">
        <v>892</v>
      </c>
      <c r="B893">
        <v>36338</v>
      </c>
      <c r="C893" s="2">
        <v>34316</v>
      </c>
      <c r="D893">
        <v>32</v>
      </c>
      <c r="E893" t="s">
        <v>36</v>
      </c>
      <c r="F893" t="s">
        <v>50</v>
      </c>
      <c r="G893" s="2">
        <v>44506</v>
      </c>
      <c r="H893" s="3">
        <f t="shared" si="13"/>
        <v>4.484931506849315</v>
      </c>
      <c r="I893">
        <v>101</v>
      </c>
      <c r="J893" t="s">
        <v>57</v>
      </c>
      <c r="K893" t="s">
        <v>51</v>
      </c>
      <c r="L893" t="s">
        <v>44</v>
      </c>
      <c r="M893">
        <v>34.520000000000003</v>
      </c>
      <c r="N893">
        <v>34.22</v>
      </c>
      <c r="O893">
        <v>33.92</v>
      </c>
      <c r="P893">
        <v>33.619999999999997</v>
      </c>
      <c r="T893" t="s">
        <v>45</v>
      </c>
      <c r="U893">
        <v>0</v>
      </c>
      <c r="V893">
        <v>5</v>
      </c>
    </row>
    <row r="894" spans="1:22" x14ac:dyDescent="0.3">
      <c r="A894">
        <v>893</v>
      </c>
      <c r="B894">
        <v>36347</v>
      </c>
      <c r="C894" s="2">
        <v>31554</v>
      </c>
      <c r="D894">
        <v>39</v>
      </c>
      <c r="E894" t="s">
        <v>36</v>
      </c>
      <c r="F894" t="s">
        <v>50</v>
      </c>
      <c r="G894" s="2">
        <v>44385</v>
      </c>
      <c r="H894" s="3">
        <f t="shared" si="13"/>
        <v>4.5506849315068489</v>
      </c>
      <c r="I894">
        <v>16</v>
      </c>
      <c r="J894" t="s">
        <v>38</v>
      </c>
      <c r="K894" t="s">
        <v>51</v>
      </c>
      <c r="L894" t="s">
        <v>44</v>
      </c>
      <c r="M894">
        <v>34.520000000000003</v>
      </c>
      <c r="N894">
        <v>34.22</v>
      </c>
      <c r="O894">
        <v>33.92</v>
      </c>
      <c r="P894">
        <v>33.619999999999997</v>
      </c>
      <c r="T894" t="s">
        <v>49</v>
      </c>
      <c r="U894">
        <v>0</v>
      </c>
      <c r="V894">
        <v>5</v>
      </c>
    </row>
    <row r="895" spans="1:22" x14ac:dyDescent="0.3">
      <c r="A895">
        <v>894</v>
      </c>
      <c r="B895">
        <v>36352</v>
      </c>
      <c r="C895" s="2">
        <v>35406</v>
      </c>
      <c r="D895">
        <v>29</v>
      </c>
      <c r="E895" t="s">
        <v>36</v>
      </c>
      <c r="F895" t="s">
        <v>37</v>
      </c>
      <c r="G895" s="2">
        <v>44361</v>
      </c>
      <c r="H895" s="3">
        <f t="shared" si="13"/>
        <v>4.7178082191780826</v>
      </c>
      <c r="I895">
        <v>6</v>
      </c>
      <c r="J895" t="s">
        <v>38</v>
      </c>
      <c r="K895" t="s">
        <v>51</v>
      </c>
      <c r="L895" t="s">
        <v>44</v>
      </c>
      <c r="M895">
        <v>34.520000000000003</v>
      </c>
      <c r="N895">
        <v>34.22</v>
      </c>
      <c r="O895">
        <v>33.92</v>
      </c>
      <c r="P895">
        <v>33.619999999999997</v>
      </c>
      <c r="T895" t="s">
        <v>49</v>
      </c>
      <c r="U895">
        <v>0</v>
      </c>
      <c r="V895">
        <v>5</v>
      </c>
    </row>
    <row r="896" spans="1:22" x14ac:dyDescent="0.3">
      <c r="A896">
        <v>895</v>
      </c>
      <c r="B896">
        <v>36357</v>
      </c>
      <c r="C896" s="2">
        <v>35325</v>
      </c>
      <c r="D896">
        <v>29</v>
      </c>
      <c r="E896" t="s">
        <v>42</v>
      </c>
      <c r="F896" t="s">
        <v>50</v>
      </c>
      <c r="G896" s="2">
        <v>44300</v>
      </c>
      <c r="H896" s="3">
        <f t="shared" si="13"/>
        <v>4.7616438356164386</v>
      </c>
      <c r="I896">
        <v>73</v>
      </c>
      <c r="J896" t="s">
        <v>57</v>
      </c>
      <c r="K896" t="s">
        <v>51</v>
      </c>
      <c r="L896" t="s">
        <v>44</v>
      </c>
      <c r="M896">
        <v>34.520000000000003</v>
      </c>
      <c r="N896">
        <v>34.22</v>
      </c>
      <c r="O896">
        <v>33.92</v>
      </c>
      <c r="P896">
        <v>33.619999999999997</v>
      </c>
      <c r="T896" t="s">
        <v>45</v>
      </c>
      <c r="U896">
        <v>0</v>
      </c>
      <c r="V896">
        <v>5</v>
      </c>
    </row>
    <row r="897" spans="1:22" x14ac:dyDescent="0.3">
      <c r="A897">
        <v>896</v>
      </c>
      <c r="B897">
        <v>36362</v>
      </c>
      <c r="C897" s="2">
        <v>34568</v>
      </c>
      <c r="D897">
        <v>31</v>
      </c>
      <c r="E897" t="s">
        <v>36</v>
      </c>
      <c r="F897" t="s">
        <v>50</v>
      </c>
      <c r="G897" s="2">
        <v>44284</v>
      </c>
      <c r="H897" s="3">
        <f t="shared" si="13"/>
        <v>4.4301369863013695</v>
      </c>
      <c r="I897">
        <v>107</v>
      </c>
      <c r="J897" t="s">
        <v>57</v>
      </c>
      <c r="K897" t="s">
        <v>51</v>
      </c>
      <c r="L897" t="s">
        <v>44</v>
      </c>
      <c r="M897">
        <v>34.520000000000003</v>
      </c>
      <c r="N897">
        <v>34.22</v>
      </c>
      <c r="O897">
        <v>33.92</v>
      </c>
      <c r="P897">
        <v>33.619999999999997</v>
      </c>
      <c r="T897" t="s">
        <v>47</v>
      </c>
      <c r="U897">
        <v>0</v>
      </c>
      <c r="V897">
        <v>4</v>
      </c>
    </row>
    <row r="898" spans="1:22" x14ac:dyDescent="0.3">
      <c r="A898">
        <v>897</v>
      </c>
      <c r="B898">
        <v>36364</v>
      </c>
      <c r="C898" s="2">
        <v>34837</v>
      </c>
      <c r="D898">
        <v>30</v>
      </c>
      <c r="E898" t="s">
        <v>36</v>
      </c>
      <c r="F898" t="s">
        <v>37</v>
      </c>
      <c r="G898" s="2">
        <v>44405</v>
      </c>
      <c r="H898" s="3">
        <f t="shared" si="13"/>
        <v>4.1123287671232873</v>
      </c>
      <c r="I898">
        <v>117</v>
      </c>
      <c r="J898" t="s">
        <v>57</v>
      </c>
      <c r="K898" t="s">
        <v>51</v>
      </c>
      <c r="L898" t="s">
        <v>44</v>
      </c>
      <c r="M898">
        <v>34.22</v>
      </c>
      <c r="N898">
        <v>34.049999999999997</v>
      </c>
      <c r="O898">
        <v>34.049999999999997</v>
      </c>
      <c r="P898">
        <v>33.619999999999997</v>
      </c>
      <c r="T898" t="s">
        <v>49</v>
      </c>
      <c r="U898">
        <v>0</v>
      </c>
      <c r="V898">
        <v>3</v>
      </c>
    </row>
    <row r="899" spans="1:22" x14ac:dyDescent="0.3">
      <c r="A899">
        <v>898</v>
      </c>
      <c r="B899">
        <v>36365</v>
      </c>
      <c r="C899" s="2">
        <v>33947</v>
      </c>
      <c r="D899">
        <v>33</v>
      </c>
      <c r="E899" t="s">
        <v>36</v>
      </c>
      <c r="F899" t="s">
        <v>50</v>
      </c>
      <c r="G899" s="2">
        <v>44521</v>
      </c>
      <c r="H899" s="3">
        <f t="shared" ref="H899:H962" si="14">DATEDIF(G900,DATE(2025,12,31),"d")/365</f>
        <v>4.4684931506849317</v>
      </c>
      <c r="I899">
        <v>123</v>
      </c>
      <c r="J899" t="s">
        <v>57</v>
      </c>
      <c r="K899" t="s">
        <v>51</v>
      </c>
      <c r="L899" t="s">
        <v>44</v>
      </c>
      <c r="M899">
        <v>34.520000000000003</v>
      </c>
      <c r="N899">
        <v>34.22</v>
      </c>
      <c r="O899">
        <v>33.92</v>
      </c>
      <c r="P899">
        <v>33.619999999999997</v>
      </c>
      <c r="T899" t="s">
        <v>49</v>
      </c>
      <c r="U899">
        <v>0</v>
      </c>
      <c r="V899">
        <v>3</v>
      </c>
    </row>
    <row r="900" spans="1:22" x14ac:dyDescent="0.3">
      <c r="A900">
        <v>899</v>
      </c>
      <c r="B900">
        <v>36377</v>
      </c>
      <c r="C900" s="2">
        <v>34094</v>
      </c>
      <c r="D900">
        <v>32</v>
      </c>
      <c r="E900" t="s">
        <v>42</v>
      </c>
      <c r="F900" t="s">
        <v>50</v>
      </c>
      <c r="G900" s="2">
        <v>44391</v>
      </c>
      <c r="H900" s="3">
        <f t="shared" si="14"/>
        <v>4.1095890410958908</v>
      </c>
      <c r="I900">
        <v>4</v>
      </c>
      <c r="J900" t="s">
        <v>38</v>
      </c>
      <c r="K900" t="s">
        <v>51</v>
      </c>
      <c r="L900" t="s">
        <v>44</v>
      </c>
      <c r="M900">
        <v>34.520000000000003</v>
      </c>
      <c r="N900">
        <v>34.22</v>
      </c>
      <c r="O900">
        <v>33.92</v>
      </c>
      <c r="P900">
        <v>33.619999999999997</v>
      </c>
      <c r="T900" t="s">
        <v>49</v>
      </c>
      <c r="U900">
        <v>0</v>
      </c>
      <c r="V900">
        <v>2</v>
      </c>
    </row>
    <row r="901" spans="1:22" x14ac:dyDescent="0.3">
      <c r="A901">
        <v>900</v>
      </c>
      <c r="B901">
        <v>36380</v>
      </c>
      <c r="C901" s="2">
        <v>32591</v>
      </c>
      <c r="D901">
        <v>36</v>
      </c>
      <c r="E901" t="s">
        <v>36</v>
      </c>
      <c r="F901" t="s">
        <v>50</v>
      </c>
      <c r="G901" s="2">
        <v>44522</v>
      </c>
      <c r="H901" s="3">
        <f t="shared" si="14"/>
        <v>3.9972602739726026</v>
      </c>
      <c r="I901">
        <v>27</v>
      </c>
      <c r="J901" t="s">
        <v>38</v>
      </c>
      <c r="K901" t="s">
        <v>51</v>
      </c>
      <c r="L901" t="s">
        <v>44</v>
      </c>
      <c r="M901">
        <v>34.07</v>
      </c>
      <c r="N901">
        <v>33.92</v>
      </c>
      <c r="O901">
        <v>33.770000000000003</v>
      </c>
      <c r="P901">
        <v>33.619999999999997</v>
      </c>
      <c r="T901" t="s">
        <v>49</v>
      </c>
      <c r="U901">
        <v>0</v>
      </c>
      <c r="V901">
        <v>4</v>
      </c>
    </row>
    <row r="902" spans="1:22" x14ac:dyDescent="0.3">
      <c r="A902">
        <v>901</v>
      </c>
      <c r="B902">
        <v>36391</v>
      </c>
      <c r="C902" s="2">
        <v>33505</v>
      </c>
      <c r="D902">
        <v>34</v>
      </c>
      <c r="E902" t="s">
        <v>36</v>
      </c>
      <c r="F902" t="s">
        <v>37</v>
      </c>
      <c r="G902" s="2">
        <v>44563</v>
      </c>
      <c r="H902" s="3">
        <f t="shared" si="14"/>
        <v>4.1753424657534248</v>
      </c>
      <c r="I902">
        <v>22</v>
      </c>
      <c r="J902" t="s">
        <v>38</v>
      </c>
      <c r="K902" t="s">
        <v>51</v>
      </c>
      <c r="L902" t="s">
        <v>44</v>
      </c>
      <c r="M902">
        <v>34.07</v>
      </c>
      <c r="N902">
        <v>33.92</v>
      </c>
      <c r="O902">
        <v>33.770000000000003</v>
      </c>
      <c r="T902" t="s">
        <v>52</v>
      </c>
      <c r="U902">
        <v>0</v>
      </c>
      <c r="V902">
        <v>3</v>
      </c>
    </row>
    <row r="903" spans="1:22" x14ac:dyDescent="0.3">
      <c r="A903">
        <v>902</v>
      </c>
      <c r="B903">
        <v>36393</v>
      </c>
      <c r="C903" s="2">
        <v>34881</v>
      </c>
      <c r="D903">
        <v>31</v>
      </c>
      <c r="E903" t="s">
        <v>36</v>
      </c>
      <c r="F903" t="s">
        <v>50</v>
      </c>
      <c r="G903" s="2">
        <v>44498</v>
      </c>
      <c r="H903" s="3">
        <f t="shared" si="14"/>
        <v>3.9534246575342467</v>
      </c>
      <c r="I903">
        <v>53</v>
      </c>
      <c r="J903" t="s">
        <v>38</v>
      </c>
      <c r="K903" t="s">
        <v>51</v>
      </c>
      <c r="L903" t="s">
        <v>44</v>
      </c>
      <c r="M903">
        <v>34.520000000000003</v>
      </c>
      <c r="N903">
        <v>34.22</v>
      </c>
      <c r="O903">
        <v>33.92</v>
      </c>
      <c r="P903">
        <v>33.619999999999997</v>
      </c>
      <c r="T903" t="s">
        <v>47</v>
      </c>
      <c r="U903">
        <v>0</v>
      </c>
      <c r="V903">
        <v>3</v>
      </c>
    </row>
    <row r="904" spans="1:22" x14ac:dyDescent="0.3">
      <c r="A904">
        <v>903</v>
      </c>
      <c r="B904">
        <v>36395</v>
      </c>
      <c r="C904" s="2">
        <v>31580</v>
      </c>
      <c r="D904">
        <v>39</v>
      </c>
      <c r="E904" t="s">
        <v>36</v>
      </c>
      <c r="F904" t="s">
        <v>50</v>
      </c>
      <c r="G904" s="2">
        <v>44579</v>
      </c>
      <c r="H904" s="3">
        <f t="shared" si="14"/>
        <v>4.0493150684931507</v>
      </c>
      <c r="I904">
        <v>72</v>
      </c>
      <c r="J904" t="s">
        <v>57</v>
      </c>
      <c r="K904" t="s">
        <v>51</v>
      </c>
      <c r="L904" t="s">
        <v>44</v>
      </c>
      <c r="M904">
        <v>34.520000000000003</v>
      </c>
      <c r="N904">
        <v>34.22</v>
      </c>
      <c r="O904">
        <v>33.92</v>
      </c>
      <c r="T904" t="s">
        <v>52</v>
      </c>
      <c r="U904">
        <v>0</v>
      </c>
      <c r="V904">
        <v>3</v>
      </c>
    </row>
    <row r="905" spans="1:22" x14ac:dyDescent="0.3">
      <c r="A905">
        <v>904</v>
      </c>
      <c r="B905">
        <v>36404</v>
      </c>
      <c r="C905" s="2">
        <v>33223</v>
      </c>
      <c r="D905">
        <v>35</v>
      </c>
      <c r="E905" t="s">
        <v>36</v>
      </c>
      <c r="F905" t="s">
        <v>50</v>
      </c>
      <c r="G905" s="2">
        <v>44544</v>
      </c>
      <c r="H905" s="3">
        <f t="shared" si="14"/>
        <v>4.1205479452054794</v>
      </c>
      <c r="I905">
        <v>26</v>
      </c>
      <c r="J905" t="s">
        <v>38</v>
      </c>
      <c r="K905" t="s">
        <v>51</v>
      </c>
      <c r="L905" t="s">
        <v>44</v>
      </c>
      <c r="M905">
        <v>34.520000000000003</v>
      </c>
      <c r="N905">
        <v>34.22</v>
      </c>
      <c r="O905">
        <v>33.92</v>
      </c>
      <c r="P905">
        <v>33.619999999999997</v>
      </c>
      <c r="T905" t="s">
        <v>47</v>
      </c>
      <c r="U905">
        <v>0</v>
      </c>
      <c r="V905">
        <v>5</v>
      </c>
    </row>
    <row r="906" spans="1:22" x14ac:dyDescent="0.3">
      <c r="A906">
        <v>905</v>
      </c>
      <c r="B906">
        <v>36418</v>
      </c>
      <c r="C906" s="2">
        <v>33495</v>
      </c>
      <c r="D906">
        <v>34</v>
      </c>
      <c r="E906" t="s">
        <v>36</v>
      </c>
      <c r="F906" t="s">
        <v>37</v>
      </c>
      <c r="G906" s="2">
        <v>44518</v>
      </c>
      <c r="H906" s="3">
        <f t="shared" si="14"/>
        <v>4.0520547945205481</v>
      </c>
      <c r="I906">
        <v>76</v>
      </c>
      <c r="J906" t="s">
        <v>57</v>
      </c>
      <c r="K906" t="s">
        <v>51</v>
      </c>
      <c r="L906" t="s">
        <v>44</v>
      </c>
      <c r="M906">
        <v>34.520000000000003</v>
      </c>
      <c r="N906">
        <v>34.22</v>
      </c>
      <c r="O906">
        <v>33.92</v>
      </c>
      <c r="P906">
        <v>33.619999999999997</v>
      </c>
      <c r="T906" t="s">
        <v>47</v>
      </c>
      <c r="U906">
        <v>0</v>
      </c>
      <c r="V906">
        <v>3</v>
      </c>
    </row>
    <row r="907" spans="1:22" x14ac:dyDescent="0.3">
      <c r="A907">
        <v>906</v>
      </c>
      <c r="B907">
        <v>36425</v>
      </c>
      <c r="C907" s="2">
        <v>31697</v>
      </c>
      <c r="D907">
        <v>39</v>
      </c>
      <c r="E907" t="s">
        <v>36</v>
      </c>
      <c r="F907" t="s">
        <v>37</v>
      </c>
      <c r="G907" s="2">
        <v>44543</v>
      </c>
      <c r="H907" s="3">
        <f t="shared" si="14"/>
        <v>4.2164383561643834</v>
      </c>
      <c r="I907">
        <v>105</v>
      </c>
      <c r="J907" t="s">
        <v>57</v>
      </c>
      <c r="K907" t="s">
        <v>51</v>
      </c>
      <c r="L907" t="s">
        <v>44</v>
      </c>
      <c r="M907">
        <v>34.520000000000003</v>
      </c>
      <c r="N907">
        <v>34.22</v>
      </c>
      <c r="O907">
        <v>33.92</v>
      </c>
      <c r="P907">
        <v>33.619999999999997</v>
      </c>
      <c r="T907" t="s">
        <v>45</v>
      </c>
      <c r="U907">
        <v>0</v>
      </c>
      <c r="V907">
        <v>5</v>
      </c>
    </row>
    <row r="908" spans="1:22" x14ac:dyDescent="0.3">
      <c r="A908">
        <v>907</v>
      </c>
      <c r="B908">
        <v>36429</v>
      </c>
      <c r="C908" s="2">
        <v>33709</v>
      </c>
      <c r="D908">
        <v>33</v>
      </c>
      <c r="E908" t="s">
        <v>36</v>
      </c>
      <c r="F908" t="s">
        <v>50</v>
      </c>
      <c r="G908" s="2">
        <v>44483</v>
      </c>
      <c r="H908" s="3">
        <f t="shared" si="14"/>
        <v>4.4876712328767123</v>
      </c>
      <c r="I908">
        <v>116</v>
      </c>
      <c r="J908" t="s">
        <v>57</v>
      </c>
      <c r="K908" t="s">
        <v>51</v>
      </c>
      <c r="L908" t="s">
        <v>44</v>
      </c>
      <c r="M908">
        <v>34.520000000000003</v>
      </c>
      <c r="N908">
        <v>34.22</v>
      </c>
      <c r="O908">
        <v>33.92</v>
      </c>
      <c r="P908">
        <v>33.619999999999997</v>
      </c>
      <c r="T908" t="s">
        <v>52</v>
      </c>
      <c r="U908">
        <v>0</v>
      </c>
      <c r="V908">
        <v>4</v>
      </c>
    </row>
    <row r="909" spans="1:22" x14ac:dyDescent="0.3">
      <c r="A909">
        <v>908</v>
      </c>
      <c r="B909">
        <v>36468</v>
      </c>
      <c r="C909" s="2">
        <v>35631</v>
      </c>
      <c r="D909">
        <v>28</v>
      </c>
      <c r="E909" t="s">
        <v>42</v>
      </c>
      <c r="F909" t="s">
        <v>50</v>
      </c>
      <c r="G909" s="2">
        <v>44384</v>
      </c>
      <c r="H909" s="3">
        <f t="shared" si="14"/>
        <v>3.8356164383561642</v>
      </c>
      <c r="I909">
        <v>117</v>
      </c>
      <c r="J909" t="s">
        <v>57</v>
      </c>
      <c r="K909" t="s">
        <v>53</v>
      </c>
      <c r="L909" t="s">
        <v>44</v>
      </c>
      <c r="M909">
        <v>22.47</v>
      </c>
      <c r="N909">
        <v>22.3</v>
      </c>
      <c r="O909">
        <v>21.92</v>
      </c>
      <c r="P909">
        <v>21.92</v>
      </c>
      <c r="T909" t="s">
        <v>49</v>
      </c>
      <c r="U909">
        <v>3</v>
      </c>
      <c r="V909">
        <v>6</v>
      </c>
    </row>
    <row r="910" spans="1:22" x14ac:dyDescent="0.3">
      <c r="A910">
        <v>909</v>
      </c>
      <c r="B910">
        <v>36509</v>
      </c>
      <c r="C910" s="2">
        <v>33288</v>
      </c>
      <c r="D910">
        <v>34</v>
      </c>
      <c r="E910" t="s">
        <v>42</v>
      </c>
      <c r="F910" t="s">
        <v>50</v>
      </c>
      <c r="G910" s="2">
        <v>44622</v>
      </c>
      <c r="H910" s="3">
        <f t="shared" si="14"/>
        <v>4.6191780821917812</v>
      </c>
      <c r="I910">
        <v>98</v>
      </c>
      <c r="J910" t="s">
        <v>57</v>
      </c>
      <c r="K910" t="s">
        <v>53</v>
      </c>
      <c r="L910" t="s">
        <v>44</v>
      </c>
      <c r="M910">
        <v>22.37</v>
      </c>
      <c r="N910">
        <v>22.22</v>
      </c>
      <c r="O910">
        <v>22.07</v>
      </c>
      <c r="T910" t="s">
        <v>47</v>
      </c>
      <c r="U910">
        <v>3</v>
      </c>
      <c r="V910">
        <v>4</v>
      </c>
    </row>
    <row r="911" spans="1:22" x14ac:dyDescent="0.3">
      <c r="A911">
        <v>910</v>
      </c>
      <c r="B911">
        <v>36535</v>
      </c>
      <c r="C911" s="2">
        <v>35768</v>
      </c>
      <c r="D911">
        <v>28</v>
      </c>
      <c r="E911" t="s">
        <v>36</v>
      </c>
      <c r="F911" t="s">
        <v>37</v>
      </c>
      <c r="G911" s="2">
        <v>44336</v>
      </c>
      <c r="H911" s="3">
        <f t="shared" si="14"/>
        <v>4.3945205479452056</v>
      </c>
      <c r="I911">
        <v>7</v>
      </c>
      <c r="J911" t="s">
        <v>38</v>
      </c>
      <c r="K911" t="s">
        <v>53</v>
      </c>
      <c r="L911" t="s">
        <v>44</v>
      </c>
      <c r="M911">
        <v>22.37</v>
      </c>
      <c r="N911">
        <v>22.22</v>
      </c>
      <c r="O911">
        <v>22.07</v>
      </c>
      <c r="P911">
        <v>21.92</v>
      </c>
      <c r="T911" t="s">
        <v>45</v>
      </c>
      <c r="U911">
        <v>1</v>
      </c>
      <c r="V911">
        <v>3</v>
      </c>
    </row>
    <row r="912" spans="1:22" x14ac:dyDescent="0.3">
      <c r="A912">
        <v>911</v>
      </c>
      <c r="B912">
        <v>36536</v>
      </c>
      <c r="C912" s="2">
        <v>34610</v>
      </c>
      <c r="D912">
        <v>31</v>
      </c>
      <c r="E912" t="s">
        <v>36</v>
      </c>
      <c r="F912" t="s">
        <v>50</v>
      </c>
      <c r="G912" s="2">
        <v>44418</v>
      </c>
      <c r="H912" s="3">
        <f t="shared" si="14"/>
        <v>4.6794520547945204</v>
      </c>
      <c r="I912">
        <v>10</v>
      </c>
      <c r="J912" t="s">
        <v>38</v>
      </c>
      <c r="K912" t="s">
        <v>53</v>
      </c>
      <c r="L912" t="s">
        <v>44</v>
      </c>
      <c r="M912">
        <v>22.82</v>
      </c>
      <c r="N912">
        <v>22.52</v>
      </c>
      <c r="O912">
        <v>22.22</v>
      </c>
      <c r="P912">
        <v>21.92</v>
      </c>
      <c r="T912" t="s">
        <v>47</v>
      </c>
      <c r="U912">
        <v>5</v>
      </c>
      <c r="V912">
        <v>6</v>
      </c>
    </row>
    <row r="913" spans="1:22" x14ac:dyDescent="0.3">
      <c r="A913">
        <v>912</v>
      </c>
      <c r="B913">
        <v>36551</v>
      </c>
      <c r="C913" s="2">
        <v>36125</v>
      </c>
      <c r="D913">
        <v>27</v>
      </c>
      <c r="E913" t="s">
        <v>36</v>
      </c>
      <c r="F913" t="s">
        <v>50</v>
      </c>
      <c r="G913" s="2">
        <v>44314</v>
      </c>
      <c r="H913" s="3">
        <f t="shared" si="14"/>
        <v>3.9698630136986299</v>
      </c>
      <c r="I913">
        <v>63</v>
      </c>
      <c r="J913" t="s">
        <v>38</v>
      </c>
      <c r="K913" t="s">
        <v>53</v>
      </c>
      <c r="L913" t="s">
        <v>44</v>
      </c>
      <c r="M913">
        <v>22.82</v>
      </c>
      <c r="N913">
        <v>22.52</v>
      </c>
      <c r="O913">
        <v>22.22</v>
      </c>
      <c r="P913">
        <v>21.92</v>
      </c>
      <c r="T913" t="s">
        <v>47</v>
      </c>
      <c r="U913">
        <v>4</v>
      </c>
      <c r="V913">
        <v>6</v>
      </c>
    </row>
    <row r="914" spans="1:22" x14ac:dyDescent="0.3">
      <c r="A914">
        <v>913</v>
      </c>
      <c r="B914">
        <v>36556</v>
      </c>
      <c r="C914" s="2">
        <v>34564</v>
      </c>
      <c r="D914">
        <v>31</v>
      </c>
      <c r="E914" t="s">
        <v>36</v>
      </c>
      <c r="F914" t="s">
        <v>50</v>
      </c>
      <c r="G914" s="2">
        <v>44573</v>
      </c>
      <c r="H914" s="3">
        <f t="shared" si="14"/>
        <v>3.8876712328767122</v>
      </c>
      <c r="I914">
        <v>116</v>
      </c>
      <c r="J914" t="s">
        <v>57</v>
      </c>
      <c r="K914" t="s">
        <v>53</v>
      </c>
      <c r="L914" t="s">
        <v>44</v>
      </c>
      <c r="M914">
        <v>22.82</v>
      </c>
      <c r="N914">
        <v>22.52</v>
      </c>
      <c r="O914">
        <v>22.22</v>
      </c>
      <c r="T914" t="s">
        <v>52</v>
      </c>
      <c r="U914">
        <v>1</v>
      </c>
      <c r="V914">
        <v>6</v>
      </c>
    </row>
    <row r="915" spans="1:22" x14ac:dyDescent="0.3">
      <c r="A915">
        <v>914</v>
      </c>
      <c r="B915">
        <v>36568</v>
      </c>
      <c r="C915" s="2">
        <v>33786</v>
      </c>
      <c r="D915">
        <v>34</v>
      </c>
      <c r="E915" t="s">
        <v>36</v>
      </c>
      <c r="F915" t="s">
        <v>50</v>
      </c>
      <c r="G915" s="2">
        <v>44603</v>
      </c>
      <c r="H915" s="3">
        <f t="shared" si="14"/>
        <v>4.6684931506849319</v>
      </c>
      <c r="I915">
        <v>17</v>
      </c>
      <c r="J915" t="s">
        <v>38</v>
      </c>
      <c r="K915" t="s">
        <v>53</v>
      </c>
      <c r="L915" t="s">
        <v>44</v>
      </c>
      <c r="M915">
        <v>22.82</v>
      </c>
      <c r="N915">
        <v>22.52</v>
      </c>
      <c r="O915">
        <v>22.22</v>
      </c>
      <c r="T915" t="s">
        <v>47</v>
      </c>
      <c r="U915">
        <v>2</v>
      </c>
      <c r="V915">
        <v>5</v>
      </c>
    </row>
    <row r="916" spans="1:22" x14ac:dyDescent="0.3">
      <c r="A916">
        <v>915</v>
      </c>
      <c r="B916">
        <v>36578</v>
      </c>
      <c r="C916" s="2">
        <v>32160</v>
      </c>
      <c r="D916">
        <v>37</v>
      </c>
      <c r="E916" t="s">
        <v>42</v>
      </c>
      <c r="F916" t="s">
        <v>37</v>
      </c>
      <c r="G916" s="2">
        <v>44318</v>
      </c>
      <c r="H916" s="3">
        <f t="shared" si="14"/>
        <v>4.6684931506849319</v>
      </c>
      <c r="I916">
        <v>1</v>
      </c>
      <c r="J916" t="s">
        <v>38</v>
      </c>
      <c r="K916" t="s">
        <v>53</v>
      </c>
      <c r="L916" t="s">
        <v>44</v>
      </c>
      <c r="M916">
        <v>22.82</v>
      </c>
      <c r="N916">
        <v>22.52</v>
      </c>
      <c r="O916">
        <v>22.22</v>
      </c>
      <c r="P916">
        <v>21.92</v>
      </c>
      <c r="T916" t="s">
        <v>45</v>
      </c>
      <c r="U916">
        <v>1</v>
      </c>
      <c r="V916">
        <v>6</v>
      </c>
    </row>
    <row r="917" spans="1:22" x14ac:dyDescent="0.3">
      <c r="A917">
        <v>916</v>
      </c>
      <c r="B917">
        <v>36587</v>
      </c>
      <c r="C917" s="2">
        <v>35657</v>
      </c>
      <c r="D917">
        <v>28</v>
      </c>
      <c r="E917" t="s">
        <v>36</v>
      </c>
      <c r="F917" t="s">
        <v>50</v>
      </c>
      <c r="G917" s="2">
        <v>44318</v>
      </c>
      <c r="H917" s="3">
        <f t="shared" si="14"/>
        <v>4.3342465753424655</v>
      </c>
      <c r="I917">
        <v>45</v>
      </c>
      <c r="J917" t="s">
        <v>38</v>
      </c>
      <c r="K917" t="s">
        <v>53</v>
      </c>
      <c r="L917" t="s">
        <v>44</v>
      </c>
      <c r="M917">
        <v>22.82</v>
      </c>
      <c r="N917">
        <v>22.52</v>
      </c>
      <c r="O917">
        <v>22.22</v>
      </c>
      <c r="P917">
        <v>21.92</v>
      </c>
      <c r="T917" t="s">
        <v>49</v>
      </c>
      <c r="U917">
        <v>4</v>
      </c>
      <c r="V917">
        <v>4</v>
      </c>
    </row>
    <row r="918" spans="1:22" x14ac:dyDescent="0.3">
      <c r="A918">
        <v>917</v>
      </c>
      <c r="B918">
        <v>36603</v>
      </c>
      <c r="C918" s="2">
        <v>34053</v>
      </c>
      <c r="D918">
        <v>32</v>
      </c>
      <c r="E918" t="s">
        <v>42</v>
      </c>
      <c r="F918" t="s">
        <v>50</v>
      </c>
      <c r="G918" s="2">
        <v>44440</v>
      </c>
      <c r="H918" s="3">
        <f t="shared" si="14"/>
        <v>4.0520547945205481</v>
      </c>
      <c r="I918">
        <v>47</v>
      </c>
      <c r="J918" t="s">
        <v>38</v>
      </c>
      <c r="K918" t="s">
        <v>53</v>
      </c>
      <c r="L918" t="s">
        <v>44</v>
      </c>
      <c r="M918">
        <v>22.82</v>
      </c>
      <c r="N918">
        <v>22.52</v>
      </c>
      <c r="O918">
        <v>22.22</v>
      </c>
      <c r="P918">
        <v>21.92</v>
      </c>
      <c r="T918" t="s">
        <v>47</v>
      </c>
      <c r="U918">
        <v>1</v>
      </c>
      <c r="V918">
        <v>6</v>
      </c>
    </row>
    <row r="919" spans="1:22" x14ac:dyDescent="0.3">
      <c r="A919">
        <v>918</v>
      </c>
      <c r="B919">
        <v>36605</v>
      </c>
      <c r="C919" s="2">
        <v>35761</v>
      </c>
      <c r="D919">
        <v>28</v>
      </c>
      <c r="E919" t="s">
        <v>36</v>
      </c>
      <c r="F919" t="s">
        <v>50</v>
      </c>
      <c r="G919" s="2">
        <v>44543</v>
      </c>
      <c r="H919" s="3">
        <f t="shared" si="14"/>
        <v>4.279452054794521</v>
      </c>
      <c r="I919">
        <v>63</v>
      </c>
      <c r="J919" t="s">
        <v>38</v>
      </c>
      <c r="K919" t="s">
        <v>53</v>
      </c>
      <c r="L919" t="s">
        <v>44</v>
      </c>
      <c r="M919">
        <v>22.82</v>
      </c>
      <c r="N919">
        <v>22.52</v>
      </c>
      <c r="O919">
        <v>22.22</v>
      </c>
      <c r="P919">
        <v>21.92</v>
      </c>
      <c r="T919" t="s">
        <v>52</v>
      </c>
      <c r="U919">
        <v>5</v>
      </c>
      <c r="V919">
        <v>6</v>
      </c>
    </row>
    <row r="920" spans="1:22" x14ac:dyDescent="0.3">
      <c r="A920">
        <v>919</v>
      </c>
      <c r="B920">
        <v>36622</v>
      </c>
      <c r="C920" s="2">
        <v>34839</v>
      </c>
      <c r="D920">
        <v>30</v>
      </c>
      <c r="E920" t="s">
        <v>42</v>
      </c>
      <c r="F920" t="s">
        <v>50</v>
      </c>
      <c r="G920" s="2">
        <v>44460</v>
      </c>
      <c r="H920" s="3">
        <f t="shared" si="14"/>
        <v>4.4821917808219176</v>
      </c>
      <c r="I920">
        <v>73</v>
      </c>
      <c r="J920" t="s">
        <v>57</v>
      </c>
      <c r="K920" t="s">
        <v>53</v>
      </c>
      <c r="L920" t="s">
        <v>44</v>
      </c>
      <c r="M920">
        <v>22.82</v>
      </c>
      <c r="N920">
        <v>22.52</v>
      </c>
      <c r="O920">
        <v>22.22</v>
      </c>
      <c r="P920">
        <v>21.92</v>
      </c>
      <c r="T920" t="s">
        <v>47</v>
      </c>
      <c r="U920">
        <v>3</v>
      </c>
      <c r="V920">
        <v>4</v>
      </c>
    </row>
    <row r="921" spans="1:22" x14ac:dyDescent="0.3">
      <c r="A921">
        <v>920</v>
      </c>
      <c r="B921">
        <v>36633</v>
      </c>
      <c r="C921" s="2">
        <v>34563</v>
      </c>
      <c r="D921">
        <v>31</v>
      </c>
      <c r="E921" t="s">
        <v>42</v>
      </c>
      <c r="F921" t="s">
        <v>50</v>
      </c>
      <c r="G921" s="2">
        <v>44386</v>
      </c>
      <c r="H921" s="3">
        <f t="shared" si="14"/>
        <v>4.4465753424657537</v>
      </c>
      <c r="I921">
        <v>123</v>
      </c>
      <c r="J921" t="s">
        <v>57</v>
      </c>
      <c r="K921" t="s">
        <v>53</v>
      </c>
      <c r="L921" t="s">
        <v>44</v>
      </c>
      <c r="M921">
        <v>22.82</v>
      </c>
      <c r="N921">
        <v>22.52</v>
      </c>
      <c r="O921">
        <v>22.22</v>
      </c>
      <c r="P921">
        <v>21.92</v>
      </c>
      <c r="T921" t="s">
        <v>47</v>
      </c>
      <c r="U921">
        <v>3</v>
      </c>
      <c r="V921">
        <v>6</v>
      </c>
    </row>
    <row r="922" spans="1:22" x14ac:dyDescent="0.3">
      <c r="A922">
        <v>921</v>
      </c>
      <c r="B922">
        <v>36641</v>
      </c>
      <c r="C922" s="2">
        <v>34199</v>
      </c>
      <c r="D922">
        <v>32</v>
      </c>
      <c r="E922" t="s">
        <v>36</v>
      </c>
      <c r="F922" t="s">
        <v>50</v>
      </c>
      <c r="G922" s="2">
        <v>44399</v>
      </c>
      <c r="H922" s="3">
        <f t="shared" si="14"/>
        <v>4.1095890410958908</v>
      </c>
      <c r="I922">
        <v>36</v>
      </c>
      <c r="J922" t="s">
        <v>38</v>
      </c>
      <c r="K922" t="s">
        <v>53</v>
      </c>
      <c r="L922" t="s">
        <v>44</v>
      </c>
      <c r="M922">
        <v>22.82</v>
      </c>
      <c r="N922">
        <v>22.52</v>
      </c>
      <c r="O922">
        <v>22.22</v>
      </c>
      <c r="P922">
        <v>21.92</v>
      </c>
      <c r="T922" t="s">
        <v>45</v>
      </c>
      <c r="U922">
        <v>4</v>
      </c>
      <c r="V922">
        <v>4</v>
      </c>
    </row>
    <row r="923" spans="1:22" x14ac:dyDescent="0.3">
      <c r="A923">
        <v>922</v>
      </c>
      <c r="B923">
        <v>36642</v>
      </c>
      <c r="C923" s="2">
        <v>35573</v>
      </c>
      <c r="D923">
        <v>28</v>
      </c>
      <c r="E923" t="s">
        <v>36</v>
      </c>
      <c r="F923" t="s">
        <v>50</v>
      </c>
      <c r="G923" s="2">
        <v>44522</v>
      </c>
      <c r="H923" s="3">
        <f t="shared" si="14"/>
        <v>4.3095890410958901</v>
      </c>
      <c r="I923">
        <v>36</v>
      </c>
      <c r="J923" t="s">
        <v>38</v>
      </c>
      <c r="K923" t="s">
        <v>53</v>
      </c>
      <c r="L923" t="s">
        <v>44</v>
      </c>
      <c r="M923">
        <v>22.82</v>
      </c>
      <c r="N923">
        <v>22.52</v>
      </c>
      <c r="O923">
        <v>22.22</v>
      </c>
      <c r="P923">
        <v>21.92</v>
      </c>
      <c r="T923" t="s">
        <v>47</v>
      </c>
      <c r="U923">
        <v>3</v>
      </c>
      <c r="V923">
        <v>5</v>
      </c>
    </row>
    <row r="924" spans="1:22" x14ac:dyDescent="0.3">
      <c r="A924">
        <v>923</v>
      </c>
      <c r="B924">
        <v>36658</v>
      </c>
      <c r="C924" s="2">
        <v>34296</v>
      </c>
      <c r="D924">
        <v>32</v>
      </c>
      <c r="E924" t="s">
        <v>36</v>
      </c>
      <c r="F924" t="s">
        <v>50</v>
      </c>
      <c r="G924" s="2">
        <v>44449</v>
      </c>
      <c r="H924" s="3">
        <f t="shared" si="14"/>
        <v>4.8027397260273972</v>
      </c>
      <c r="I924">
        <v>103</v>
      </c>
      <c r="J924" t="s">
        <v>57</v>
      </c>
      <c r="K924" t="s">
        <v>53</v>
      </c>
      <c r="L924" t="s">
        <v>44</v>
      </c>
      <c r="M924">
        <v>22.37</v>
      </c>
      <c r="N924">
        <v>22.22</v>
      </c>
      <c r="O924">
        <v>22.07</v>
      </c>
      <c r="P924">
        <v>21.92</v>
      </c>
      <c r="T924" t="s">
        <v>45</v>
      </c>
      <c r="U924">
        <v>4</v>
      </c>
      <c r="V924">
        <v>5</v>
      </c>
    </row>
    <row r="925" spans="1:22" x14ac:dyDescent="0.3">
      <c r="A925">
        <v>924</v>
      </c>
      <c r="B925">
        <v>36704</v>
      </c>
      <c r="C925" s="2">
        <v>34948</v>
      </c>
      <c r="D925">
        <v>30</v>
      </c>
      <c r="E925" t="s">
        <v>36</v>
      </c>
      <c r="F925" t="s">
        <v>50</v>
      </c>
      <c r="G925" s="2">
        <v>44269</v>
      </c>
      <c r="H925" s="3">
        <f t="shared" si="14"/>
        <v>4.279452054794521</v>
      </c>
      <c r="I925">
        <v>45</v>
      </c>
      <c r="J925" t="s">
        <v>38</v>
      </c>
      <c r="K925" t="s">
        <v>53</v>
      </c>
      <c r="L925" t="s">
        <v>44</v>
      </c>
      <c r="M925">
        <v>22.82</v>
      </c>
      <c r="N925">
        <v>22.52</v>
      </c>
      <c r="O925">
        <v>22.22</v>
      </c>
      <c r="P925">
        <v>21.92</v>
      </c>
      <c r="T925" t="s">
        <v>45</v>
      </c>
      <c r="U925">
        <v>3</v>
      </c>
      <c r="V925">
        <v>6</v>
      </c>
    </row>
    <row r="926" spans="1:22" x14ac:dyDescent="0.3">
      <c r="A926">
        <v>925</v>
      </c>
      <c r="B926">
        <v>36733</v>
      </c>
      <c r="C926" s="2">
        <v>35214</v>
      </c>
      <c r="D926">
        <v>29</v>
      </c>
      <c r="E926" t="s">
        <v>36</v>
      </c>
      <c r="F926" t="s">
        <v>50</v>
      </c>
      <c r="G926" s="2">
        <v>44460</v>
      </c>
      <c r="H926" s="3">
        <f t="shared" si="14"/>
        <v>4.3671232876712329</v>
      </c>
      <c r="I926">
        <v>74</v>
      </c>
      <c r="J926" t="s">
        <v>57</v>
      </c>
      <c r="K926" t="s">
        <v>53</v>
      </c>
      <c r="L926" t="s">
        <v>44</v>
      </c>
      <c r="M926">
        <v>22.22</v>
      </c>
      <c r="N926">
        <v>22.07</v>
      </c>
      <c r="O926">
        <v>21.92</v>
      </c>
      <c r="P926">
        <v>21.92</v>
      </c>
      <c r="T926" t="s">
        <v>52</v>
      </c>
      <c r="U926">
        <v>5</v>
      </c>
      <c r="V926">
        <v>5</v>
      </c>
    </row>
    <row r="927" spans="1:22" x14ac:dyDescent="0.3">
      <c r="A927">
        <v>926</v>
      </c>
      <c r="B927">
        <v>36737</v>
      </c>
      <c r="C927" s="2">
        <v>34192</v>
      </c>
      <c r="D927">
        <v>32</v>
      </c>
      <c r="E927" t="s">
        <v>36</v>
      </c>
      <c r="F927" t="s">
        <v>50</v>
      </c>
      <c r="G927" s="2">
        <v>44428</v>
      </c>
      <c r="H927" s="3">
        <f t="shared" si="14"/>
        <v>4.6219178082191785</v>
      </c>
      <c r="I927">
        <v>79</v>
      </c>
      <c r="J927" t="s">
        <v>57</v>
      </c>
      <c r="K927" t="s">
        <v>53</v>
      </c>
      <c r="L927" t="s">
        <v>44</v>
      </c>
      <c r="M927">
        <v>22.82</v>
      </c>
      <c r="N927">
        <v>22.52</v>
      </c>
      <c r="O927">
        <v>22.22</v>
      </c>
      <c r="P927">
        <v>21.92</v>
      </c>
      <c r="T927" t="s">
        <v>52</v>
      </c>
      <c r="U927">
        <v>3</v>
      </c>
      <c r="V927">
        <v>5</v>
      </c>
    </row>
    <row r="928" spans="1:22" x14ac:dyDescent="0.3">
      <c r="A928">
        <v>927</v>
      </c>
      <c r="B928">
        <v>36745</v>
      </c>
      <c r="C928" s="2">
        <v>32040</v>
      </c>
      <c r="D928">
        <v>38</v>
      </c>
      <c r="E928" t="s">
        <v>36</v>
      </c>
      <c r="F928" t="s">
        <v>37</v>
      </c>
      <c r="G928" s="2">
        <v>44335</v>
      </c>
      <c r="H928" s="3">
        <f t="shared" si="14"/>
        <v>4.397260273972603</v>
      </c>
      <c r="I928">
        <v>94</v>
      </c>
      <c r="J928" t="s">
        <v>57</v>
      </c>
      <c r="K928" t="s">
        <v>53</v>
      </c>
      <c r="L928" t="s">
        <v>44</v>
      </c>
      <c r="M928">
        <v>22.82</v>
      </c>
      <c r="N928">
        <v>22.52</v>
      </c>
      <c r="O928">
        <v>22.22</v>
      </c>
      <c r="P928">
        <v>21.92</v>
      </c>
      <c r="T928" t="s">
        <v>47</v>
      </c>
      <c r="U928">
        <v>3</v>
      </c>
      <c r="V928">
        <v>4</v>
      </c>
    </row>
    <row r="929" spans="1:22" x14ac:dyDescent="0.3">
      <c r="A929">
        <v>928</v>
      </c>
      <c r="B929">
        <v>36754</v>
      </c>
      <c r="C929" s="2">
        <v>35576</v>
      </c>
      <c r="D929">
        <v>28</v>
      </c>
      <c r="E929" t="s">
        <v>42</v>
      </c>
      <c r="F929" t="s">
        <v>50</v>
      </c>
      <c r="G929" s="2">
        <v>44417</v>
      </c>
      <c r="H929" s="3">
        <f t="shared" si="14"/>
        <v>4.7671232876712333</v>
      </c>
      <c r="I929">
        <v>107</v>
      </c>
      <c r="J929" t="s">
        <v>57</v>
      </c>
      <c r="K929" t="s">
        <v>53</v>
      </c>
      <c r="L929" t="s">
        <v>44</v>
      </c>
      <c r="M929">
        <v>22.82</v>
      </c>
      <c r="N929">
        <v>22.52</v>
      </c>
      <c r="O929">
        <v>22.22</v>
      </c>
      <c r="P929">
        <v>21.92</v>
      </c>
      <c r="T929" t="s">
        <v>47</v>
      </c>
      <c r="U929">
        <v>1</v>
      </c>
      <c r="V929">
        <v>7</v>
      </c>
    </row>
    <row r="930" spans="1:22" x14ac:dyDescent="0.3">
      <c r="A930">
        <v>929</v>
      </c>
      <c r="B930">
        <v>36759</v>
      </c>
      <c r="C930" s="2">
        <v>30934</v>
      </c>
      <c r="D930">
        <v>41</v>
      </c>
      <c r="E930" t="s">
        <v>36</v>
      </c>
      <c r="F930" t="s">
        <v>50</v>
      </c>
      <c r="G930" s="2">
        <v>44282</v>
      </c>
      <c r="H930" s="3">
        <f t="shared" si="14"/>
        <v>4.5945205479452058</v>
      </c>
      <c r="I930">
        <v>109</v>
      </c>
      <c r="J930" t="s">
        <v>57</v>
      </c>
      <c r="K930" t="s">
        <v>53</v>
      </c>
      <c r="L930" t="s">
        <v>44</v>
      </c>
      <c r="M930">
        <v>22.82</v>
      </c>
      <c r="N930">
        <v>22.52</v>
      </c>
      <c r="O930">
        <v>22.22</v>
      </c>
      <c r="P930">
        <v>21.92</v>
      </c>
      <c r="T930" t="s">
        <v>52</v>
      </c>
      <c r="U930">
        <v>4</v>
      </c>
      <c r="V930">
        <v>4</v>
      </c>
    </row>
    <row r="931" spans="1:22" x14ac:dyDescent="0.3">
      <c r="A931">
        <v>930</v>
      </c>
      <c r="B931">
        <v>36785</v>
      </c>
      <c r="C931" s="2">
        <v>33956</v>
      </c>
      <c r="D931">
        <v>33</v>
      </c>
      <c r="E931" t="s">
        <v>42</v>
      </c>
      <c r="F931" t="s">
        <v>50</v>
      </c>
      <c r="G931" s="2">
        <v>44345</v>
      </c>
      <c r="H931" s="3">
        <f t="shared" si="14"/>
        <v>4.0712328767123287</v>
      </c>
      <c r="I931">
        <v>52</v>
      </c>
      <c r="J931" t="s">
        <v>38</v>
      </c>
      <c r="K931" t="s">
        <v>54</v>
      </c>
      <c r="L931" t="s">
        <v>44</v>
      </c>
      <c r="M931">
        <v>22.98</v>
      </c>
      <c r="N931">
        <v>22.68</v>
      </c>
      <c r="O931">
        <v>22.38</v>
      </c>
      <c r="P931">
        <v>22.08</v>
      </c>
      <c r="T931" t="s">
        <v>52</v>
      </c>
      <c r="U931">
        <v>5</v>
      </c>
      <c r="V931">
        <v>7</v>
      </c>
    </row>
    <row r="932" spans="1:22" x14ac:dyDescent="0.3">
      <c r="A932">
        <v>931</v>
      </c>
      <c r="B932">
        <v>36819</v>
      </c>
      <c r="C932" s="2">
        <v>33819</v>
      </c>
      <c r="D932">
        <v>33</v>
      </c>
      <c r="E932" t="s">
        <v>36</v>
      </c>
      <c r="F932" t="s">
        <v>37</v>
      </c>
      <c r="G932" s="2">
        <v>44536</v>
      </c>
      <c r="H932" s="3">
        <f t="shared" si="14"/>
        <v>4.5999999999999996</v>
      </c>
      <c r="I932">
        <v>8</v>
      </c>
      <c r="J932" t="s">
        <v>38</v>
      </c>
      <c r="K932" t="s">
        <v>65</v>
      </c>
      <c r="L932" t="s">
        <v>44</v>
      </c>
      <c r="M932">
        <v>10.24</v>
      </c>
      <c r="N932">
        <v>10.24</v>
      </c>
      <c r="O932">
        <v>10.14</v>
      </c>
      <c r="P932">
        <v>9.8800000000000008</v>
      </c>
      <c r="T932" t="s">
        <v>49</v>
      </c>
      <c r="U932">
        <v>0</v>
      </c>
      <c r="V932">
        <v>3</v>
      </c>
    </row>
    <row r="933" spans="1:22" x14ac:dyDescent="0.3">
      <c r="A933">
        <v>932</v>
      </c>
      <c r="B933">
        <v>36824</v>
      </c>
      <c r="C933" s="2">
        <v>37336</v>
      </c>
      <c r="D933">
        <v>23</v>
      </c>
      <c r="E933" t="s">
        <v>36</v>
      </c>
      <c r="F933" t="s">
        <v>50</v>
      </c>
      <c r="G933" s="2">
        <v>44343</v>
      </c>
      <c r="H933" s="3">
        <f t="shared" si="14"/>
        <v>4.8493150684931505</v>
      </c>
      <c r="I933">
        <v>67</v>
      </c>
      <c r="J933" t="s">
        <v>57</v>
      </c>
      <c r="K933" t="s">
        <v>65</v>
      </c>
      <c r="L933" t="s">
        <v>44</v>
      </c>
      <c r="M933">
        <v>10.5</v>
      </c>
      <c r="N933">
        <v>10.27</v>
      </c>
      <c r="O933">
        <v>10.15</v>
      </c>
      <c r="P933">
        <v>9.8800000000000008</v>
      </c>
      <c r="T933" t="s">
        <v>49</v>
      </c>
      <c r="U933">
        <v>1</v>
      </c>
      <c r="V933">
        <v>4</v>
      </c>
    </row>
    <row r="934" spans="1:22" x14ac:dyDescent="0.3">
      <c r="A934">
        <v>933</v>
      </c>
      <c r="B934">
        <v>36834</v>
      </c>
      <c r="C934" s="2">
        <v>35228</v>
      </c>
      <c r="D934">
        <v>29</v>
      </c>
      <c r="E934" t="s">
        <v>42</v>
      </c>
      <c r="F934" t="s">
        <v>50</v>
      </c>
      <c r="G934" s="2">
        <v>44252</v>
      </c>
      <c r="H934" s="3">
        <f t="shared" si="14"/>
        <v>3.9945205479452053</v>
      </c>
      <c r="I934">
        <v>54</v>
      </c>
      <c r="J934" t="s">
        <v>38</v>
      </c>
      <c r="K934" t="s">
        <v>46</v>
      </c>
      <c r="L934" t="s">
        <v>44</v>
      </c>
      <c r="M934">
        <v>14.12</v>
      </c>
      <c r="N934">
        <v>13.82</v>
      </c>
      <c r="O934">
        <v>13.52</v>
      </c>
      <c r="P934">
        <v>13.22</v>
      </c>
      <c r="T934" t="s">
        <v>47</v>
      </c>
      <c r="U934">
        <v>0</v>
      </c>
      <c r="V934">
        <v>5</v>
      </c>
    </row>
    <row r="935" spans="1:22" x14ac:dyDescent="0.3">
      <c r="A935">
        <v>934</v>
      </c>
      <c r="B935">
        <v>36836</v>
      </c>
      <c r="C935" s="2">
        <v>35343</v>
      </c>
      <c r="D935">
        <v>29</v>
      </c>
      <c r="E935" t="s">
        <v>36</v>
      </c>
      <c r="F935" t="s">
        <v>50</v>
      </c>
      <c r="G935" s="2">
        <v>44564</v>
      </c>
      <c r="H935" s="3">
        <f t="shared" si="14"/>
        <v>4.3150684931506849</v>
      </c>
      <c r="I935">
        <v>59</v>
      </c>
      <c r="J935" t="s">
        <v>38</v>
      </c>
      <c r="K935" t="s">
        <v>54</v>
      </c>
      <c r="L935" t="s">
        <v>44</v>
      </c>
      <c r="M935">
        <v>22.98</v>
      </c>
      <c r="N935">
        <v>22.68</v>
      </c>
      <c r="O935">
        <v>22.38</v>
      </c>
      <c r="T935" t="s">
        <v>47</v>
      </c>
      <c r="U935">
        <v>5</v>
      </c>
      <c r="V935">
        <v>5</v>
      </c>
    </row>
    <row r="936" spans="1:22" x14ac:dyDescent="0.3">
      <c r="A936">
        <v>935</v>
      </c>
      <c r="B936">
        <v>36853</v>
      </c>
      <c r="C936" s="2">
        <v>37838</v>
      </c>
      <c r="D936">
        <v>22</v>
      </c>
      <c r="E936" t="s">
        <v>42</v>
      </c>
      <c r="F936" t="s">
        <v>50</v>
      </c>
      <c r="G936" s="2">
        <v>44447</v>
      </c>
      <c r="H936" s="3">
        <f t="shared" si="14"/>
        <v>4.8</v>
      </c>
      <c r="I936">
        <v>22</v>
      </c>
      <c r="J936" t="s">
        <v>38</v>
      </c>
      <c r="K936" t="s">
        <v>48</v>
      </c>
      <c r="L936" t="s">
        <v>44</v>
      </c>
      <c r="M936">
        <v>16.920000000000002</v>
      </c>
      <c r="N936">
        <v>16.77</v>
      </c>
      <c r="O936">
        <v>16.62</v>
      </c>
      <c r="P936">
        <v>16.62</v>
      </c>
      <c r="T936" t="s">
        <v>47</v>
      </c>
      <c r="U936">
        <v>1</v>
      </c>
      <c r="V936">
        <v>4</v>
      </c>
    </row>
    <row r="937" spans="1:22" x14ac:dyDescent="0.3">
      <c r="A937">
        <v>936</v>
      </c>
      <c r="B937">
        <v>36872</v>
      </c>
      <c r="C937" s="2">
        <v>32635</v>
      </c>
      <c r="D937">
        <v>36</v>
      </c>
      <c r="E937" t="s">
        <v>42</v>
      </c>
      <c r="F937" t="s">
        <v>37</v>
      </c>
      <c r="G937" s="2">
        <v>44270</v>
      </c>
      <c r="H937" s="3">
        <f t="shared" si="14"/>
        <v>4.515068493150685</v>
      </c>
      <c r="I937">
        <v>64</v>
      </c>
      <c r="J937" t="s">
        <v>38</v>
      </c>
      <c r="K937" t="s">
        <v>43</v>
      </c>
      <c r="L937" t="s">
        <v>44</v>
      </c>
      <c r="M937">
        <v>16.100000000000001</v>
      </c>
      <c r="N937">
        <v>15.8</v>
      </c>
      <c r="O937">
        <v>15.5</v>
      </c>
      <c r="P937">
        <v>15.2</v>
      </c>
      <c r="T937" t="s">
        <v>52</v>
      </c>
      <c r="U937">
        <v>1</v>
      </c>
      <c r="V937">
        <v>6</v>
      </c>
    </row>
    <row r="938" spans="1:22" x14ac:dyDescent="0.3">
      <c r="A938">
        <v>937</v>
      </c>
      <c r="B938">
        <v>36881</v>
      </c>
      <c r="C938" s="2">
        <v>34060</v>
      </c>
      <c r="D938">
        <v>33</v>
      </c>
      <c r="E938" t="s">
        <v>36</v>
      </c>
      <c r="F938" t="s">
        <v>50</v>
      </c>
      <c r="G938" s="2">
        <v>44374</v>
      </c>
      <c r="H938" s="3">
        <f t="shared" si="14"/>
        <v>4.4712328767123291</v>
      </c>
      <c r="I938">
        <v>5</v>
      </c>
      <c r="J938" t="s">
        <v>38</v>
      </c>
      <c r="K938" t="s">
        <v>46</v>
      </c>
      <c r="L938" t="s">
        <v>44</v>
      </c>
      <c r="M938">
        <v>14.12</v>
      </c>
      <c r="N938">
        <v>13.82</v>
      </c>
      <c r="O938">
        <v>13.52</v>
      </c>
      <c r="P938">
        <v>13.22</v>
      </c>
      <c r="T938" t="s">
        <v>45</v>
      </c>
      <c r="U938">
        <v>0</v>
      </c>
      <c r="V938">
        <v>4</v>
      </c>
    </row>
    <row r="939" spans="1:22" x14ac:dyDescent="0.3">
      <c r="A939">
        <v>938</v>
      </c>
      <c r="B939">
        <v>36896</v>
      </c>
      <c r="C939" s="2">
        <v>34173</v>
      </c>
      <c r="D939">
        <v>32</v>
      </c>
      <c r="E939" t="s">
        <v>36</v>
      </c>
      <c r="F939" t="s">
        <v>50</v>
      </c>
      <c r="G939" s="2">
        <v>44390</v>
      </c>
      <c r="H939" s="3">
        <f t="shared" si="14"/>
        <v>4.1726027397260275</v>
      </c>
      <c r="I939">
        <v>41</v>
      </c>
      <c r="J939" t="s">
        <v>38</v>
      </c>
      <c r="K939" t="s">
        <v>54</v>
      </c>
      <c r="L939" t="s">
        <v>44</v>
      </c>
      <c r="M939">
        <v>22.98</v>
      </c>
      <c r="N939">
        <v>22.68</v>
      </c>
      <c r="O939">
        <v>22.38</v>
      </c>
      <c r="P939">
        <v>22.08</v>
      </c>
      <c r="T939" t="s">
        <v>49</v>
      </c>
      <c r="U939">
        <v>4</v>
      </c>
      <c r="V939">
        <v>6</v>
      </c>
    </row>
    <row r="940" spans="1:22" x14ac:dyDescent="0.3">
      <c r="A940">
        <v>939</v>
      </c>
      <c r="B940">
        <v>36902</v>
      </c>
      <c r="C940" s="2">
        <v>36157</v>
      </c>
      <c r="D940">
        <v>27</v>
      </c>
      <c r="E940" t="s">
        <v>36</v>
      </c>
      <c r="F940" t="s">
        <v>50</v>
      </c>
      <c r="G940" s="2">
        <v>44499</v>
      </c>
      <c r="H940" s="3">
        <f t="shared" si="14"/>
        <v>3.9342465753424656</v>
      </c>
      <c r="I940">
        <v>61</v>
      </c>
      <c r="J940" t="s">
        <v>38</v>
      </c>
      <c r="K940" t="s">
        <v>55</v>
      </c>
      <c r="L940" t="s">
        <v>44</v>
      </c>
      <c r="M940">
        <v>17.38</v>
      </c>
      <c r="N940">
        <v>16.989999999999998</v>
      </c>
      <c r="O940">
        <v>16.600000000000001</v>
      </c>
      <c r="P940">
        <v>16.329999999999998</v>
      </c>
      <c r="T940" t="s">
        <v>49</v>
      </c>
      <c r="U940">
        <v>2</v>
      </c>
      <c r="V940">
        <v>6</v>
      </c>
    </row>
    <row r="941" spans="1:22" x14ac:dyDescent="0.3">
      <c r="A941">
        <v>940</v>
      </c>
      <c r="B941">
        <v>36927</v>
      </c>
      <c r="C941" s="2">
        <v>35235</v>
      </c>
      <c r="D941">
        <v>29</v>
      </c>
      <c r="E941" t="s">
        <v>36</v>
      </c>
      <c r="F941" t="s">
        <v>50</v>
      </c>
      <c r="G941" s="2">
        <v>44586</v>
      </c>
      <c r="H941" s="3">
        <f t="shared" si="14"/>
        <v>3.9150684931506849</v>
      </c>
      <c r="I941">
        <v>89</v>
      </c>
      <c r="J941" t="s">
        <v>57</v>
      </c>
      <c r="K941" t="s">
        <v>55</v>
      </c>
      <c r="L941" t="s">
        <v>44</v>
      </c>
      <c r="M941">
        <v>17.23</v>
      </c>
      <c r="N941">
        <v>16.93</v>
      </c>
      <c r="O941">
        <v>16.63</v>
      </c>
      <c r="T941" t="s">
        <v>47</v>
      </c>
      <c r="U941">
        <v>4</v>
      </c>
      <c r="V941">
        <v>4</v>
      </c>
    </row>
    <row r="942" spans="1:22" x14ac:dyDescent="0.3">
      <c r="A942">
        <v>941</v>
      </c>
      <c r="B942">
        <v>36949</v>
      </c>
      <c r="C942" s="2">
        <v>37006</v>
      </c>
      <c r="D942">
        <v>24</v>
      </c>
      <c r="E942" t="s">
        <v>36</v>
      </c>
      <c r="F942" t="s">
        <v>50</v>
      </c>
      <c r="G942" s="2">
        <v>44593</v>
      </c>
      <c r="H942" s="3">
        <f t="shared" si="14"/>
        <v>3.9616438356164383</v>
      </c>
      <c r="I942">
        <v>76</v>
      </c>
      <c r="J942" t="s">
        <v>57</v>
      </c>
      <c r="K942" t="s">
        <v>64</v>
      </c>
      <c r="L942" t="s">
        <v>44</v>
      </c>
      <c r="M942">
        <v>13.97</v>
      </c>
      <c r="N942">
        <v>13.67</v>
      </c>
      <c r="O942">
        <v>13.37</v>
      </c>
      <c r="T942" t="s">
        <v>47</v>
      </c>
      <c r="U942">
        <v>0</v>
      </c>
      <c r="V942">
        <v>5</v>
      </c>
    </row>
    <row r="943" spans="1:22" x14ac:dyDescent="0.3">
      <c r="A943">
        <v>942</v>
      </c>
      <c r="B943">
        <v>36956</v>
      </c>
      <c r="C943" s="2">
        <v>37703</v>
      </c>
      <c r="D943">
        <v>22</v>
      </c>
      <c r="E943" t="s">
        <v>36</v>
      </c>
      <c r="F943" t="s">
        <v>37</v>
      </c>
      <c r="G943" s="2">
        <v>44576</v>
      </c>
      <c r="H943" s="3">
        <f t="shared" si="14"/>
        <v>4.4575342465753423</v>
      </c>
      <c r="I943">
        <v>19</v>
      </c>
      <c r="J943" t="s">
        <v>38</v>
      </c>
      <c r="K943" t="s">
        <v>65</v>
      </c>
      <c r="L943" t="s">
        <v>44</v>
      </c>
      <c r="M943">
        <v>10.18</v>
      </c>
      <c r="N943">
        <v>10.02</v>
      </c>
      <c r="O943">
        <v>10.02</v>
      </c>
      <c r="T943" t="s">
        <v>52</v>
      </c>
      <c r="U943">
        <v>0</v>
      </c>
      <c r="V943">
        <v>4</v>
      </c>
    </row>
    <row r="944" spans="1:22" x14ac:dyDescent="0.3">
      <c r="A944">
        <v>943</v>
      </c>
      <c r="B944">
        <v>36975</v>
      </c>
      <c r="C944" s="2">
        <v>35203</v>
      </c>
      <c r="D944">
        <v>29</v>
      </c>
      <c r="E944" t="s">
        <v>42</v>
      </c>
      <c r="F944" t="s">
        <v>50</v>
      </c>
      <c r="G944" s="2">
        <v>44395</v>
      </c>
      <c r="H944" s="3">
        <f t="shared" si="14"/>
        <v>4.6958904109589037</v>
      </c>
      <c r="I944">
        <v>132</v>
      </c>
      <c r="J944" t="s">
        <v>57</v>
      </c>
      <c r="K944" t="s">
        <v>43</v>
      </c>
      <c r="L944" t="s">
        <v>44</v>
      </c>
      <c r="M944">
        <v>16.100000000000001</v>
      </c>
      <c r="N944">
        <v>15.8</v>
      </c>
      <c r="O944">
        <v>15.5</v>
      </c>
      <c r="P944">
        <v>15.2</v>
      </c>
      <c r="T944" t="s">
        <v>45</v>
      </c>
      <c r="U944">
        <v>1</v>
      </c>
      <c r="V944">
        <v>6</v>
      </c>
    </row>
    <row r="945" spans="1:22" x14ac:dyDescent="0.3">
      <c r="A945">
        <v>944</v>
      </c>
      <c r="B945">
        <v>36993</v>
      </c>
      <c r="C945" s="2">
        <v>36862</v>
      </c>
      <c r="D945">
        <v>25</v>
      </c>
      <c r="E945" t="s">
        <v>36</v>
      </c>
      <c r="F945" t="s">
        <v>50</v>
      </c>
      <c r="G945" s="2">
        <v>44308</v>
      </c>
      <c r="H945" s="3">
        <f t="shared" si="14"/>
        <v>4.7589041095890412</v>
      </c>
      <c r="I945">
        <v>9</v>
      </c>
      <c r="J945" t="s">
        <v>38</v>
      </c>
      <c r="K945" t="s">
        <v>46</v>
      </c>
      <c r="L945" t="s">
        <v>44</v>
      </c>
      <c r="M945">
        <v>14.12</v>
      </c>
      <c r="N945">
        <v>13.82</v>
      </c>
      <c r="O945">
        <v>13.52</v>
      </c>
      <c r="P945">
        <v>13.22</v>
      </c>
      <c r="T945" t="s">
        <v>49</v>
      </c>
      <c r="U945">
        <v>0</v>
      </c>
      <c r="V945">
        <v>3</v>
      </c>
    </row>
    <row r="946" spans="1:22" x14ac:dyDescent="0.3">
      <c r="A946">
        <v>945</v>
      </c>
      <c r="B946">
        <v>37002</v>
      </c>
      <c r="C946" s="2">
        <v>37617</v>
      </c>
      <c r="D946">
        <v>23</v>
      </c>
      <c r="E946" t="s">
        <v>36</v>
      </c>
      <c r="F946" t="s">
        <v>50</v>
      </c>
      <c r="G946" s="2">
        <v>44285</v>
      </c>
      <c r="H946" s="3">
        <f t="shared" si="14"/>
        <v>4.0246575342465754</v>
      </c>
      <c r="I946">
        <v>75</v>
      </c>
      <c r="J946" t="s">
        <v>57</v>
      </c>
      <c r="K946" t="s">
        <v>64</v>
      </c>
      <c r="L946" t="s">
        <v>44</v>
      </c>
      <c r="M946">
        <v>13.97</v>
      </c>
      <c r="N946">
        <v>13.67</v>
      </c>
      <c r="O946">
        <v>13.37</v>
      </c>
      <c r="P946">
        <v>13.07</v>
      </c>
      <c r="T946" t="s">
        <v>49</v>
      </c>
      <c r="U946">
        <v>1</v>
      </c>
      <c r="V946">
        <v>4</v>
      </c>
    </row>
    <row r="947" spans="1:22" x14ac:dyDescent="0.3">
      <c r="A947">
        <v>946</v>
      </c>
      <c r="B947">
        <v>37010</v>
      </c>
      <c r="C947" s="2">
        <v>35012</v>
      </c>
      <c r="D947">
        <v>30</v>
      </c>
      <c r="E947" t="s">
        <v>42</v>
      </c>
      <c r="F947" t="s">
        <v>50</v>
      </c>
      <c r="G947" s="2">
        <v>44553</v>
      </c>
      <c r="H947" s="3">
        <f t="shared" si="14"/>
        <v>4.2493150684931509</v>
      </c>
      <c r="I947">
        <v>130</v>
      </c>
      <c r="J947" t="s">
        <v>57</v>
      </c>
      <c r="K947" t="s">
        <v>43</v>
      </c>
      <c r="L947" t="s">
        <v>44</v>
      </c>
      <c r="M947">
        <v>16.18</v>
      </c>
      <c r="N947">
        <v>15.82</v>
      </c>
      <c r="O947">
        <v>15.52</v>
      </c>
      <c r="P947">
        <v>15.2</v>
      </c>
      <c r="T947" t="s">
        <v>52</v>
      </c>
      <c r="U947">
        <v>0</v>
      </c>
      <c r="V947">
        <v>5</v>
      </c>
    </row>
    <row r="948" spans="1:22" x14ac:dyDescent="0.3">
      <c r="A948">
        <v>947</v>
      </c>
      <c r="B948">
        <v>37026</v>
      </c>
      <c r="C948" s="2">
        <v>33459</v>
      </c>
      <c r="D948">
        <v>34</v>
      </c>
      <c r="E948" t="s">
        <v>42</v>
      </c>
      <c r="F948" t="s">
        <v>37</v>
      </c>
      <c r="G948" s="2">
        <v>44471</v>
      </c>
      <c r="H948" s="3">
        <f t="shared" si="14"/>
        <v>4.4684931506849317</v>
      </c>
      <c r="I948">
        <v>35</v>
      </c>
      <c r="J948" t="s">
        <v>38</v>
      </c>
      <c r="K948" t="s">
        <v>46</v>
      </c>
      <c r="L948" t="s">
        <v>44</v>
      </c>
      <c r="M948">
        <v>14.12</v>
      </c>
      <c r="N948">
        <v>13.82</v>
      </c>
      <c r="O948">
        <v>13.52</v>
      </c>
      <c r="P948">
        <v>13.22</v>
      </c>
      <c r="T948" t="s">
        <v>49</v>
      </c>
      <c r="U948">
        <v>1</v>
      </c>
      <c r="V948">
        <v>6</v>
      </c>
    </row>
    <row r="949" spans="1:22" x14ac:dyDescent="0.3">
      <c r="A949">
        <v>948</v>
      </c>
      <c r="B949">
        <v>37031</v>
      </c>
      <c r="C949" s="2">
        <v>36817</v>
      </c>
      <c r="D949">
        <v>25</v>
      </c>
      <c r="E949" t="s">
        <v>42</v>
      </c>
      <c r="F949" t="s">
        <v>50</v>
      </c>
      <c r="G949" s="2">
        <v>44391</v>
      </c>
      <c r="H949" s="3">
        <f t="shared" si="14"/>
        <v>4.4986301369863018</v>
      </c>
      <c r="I949">
        <v>47</v>
      </c>
      <c r="J949" t="s">
        <v>38</v>
      </c>
      <c r="K949" t="s">
        <v>43</v>
      </c>
      <c r="L949" t="s">
        <v>44</v>
      </c>
      <c r="M949">
        <v>16.100000000000001</v>
      </c>
      <c r="N949">
        <v>15.8</v>
      </c>
      <c r="O949">
        <v>15.5</v>
      </c>
      <c r="P949">
        <v>15.2</v>
      </c>
      <c r="T949" t="s">
        <v>49</v>
      </c>
      <c r="U949">
        <v>1</v>
      </c>
      <c r="V949">
        <v>5</v>
      </c>
    </row>
    <row r="950" spans="1:22" x14ac:dyDescent="0.3">
      <c r="A950">
        <v>949</v>
      </c>
      <c r="B950">
        <v>37033</v>
      </c>
      <c r="C950" s="2">
        <v>35148</v>
      </c>
      <c r="D950">
        <v>29</v>
      </c>
      <c r="E950" t="s">
        <v>36</v>
      </c>
      <c r="F950" t="s">
        <v>50</v>
      </c>
      <c r="G950" s="2">
        <v>44380</v>
      </c>
      <c r="H950" s="3">
        <f t="shared" si="14"/>
        <v>4.8136986301369866</v>
      </c>
      <c r="I950">
        <v>54</v>
      </c>
      <c r="J950" t="s">
        <v>38</v>
      </c>
      <c r="K950" t="s">
        <v>55</v>
      </c>
      <c r="L950" t="s">
        <v>44</v>
      </c>
      <c r="M950">
        <v>17.23</v>
      </c>
      <c r="N950">
        <v>16.93</v>
      </c>
      <c r="O950">
        <v>16.63</v>
      </c>
      <c r="P950">
        <v>16.329999999999998</v>
      </c>
      <c r="T950" t="s">
        <v>49</v>
      </c>
      <c r="U950">
        <v>2</v>
      </c>
      <c r="V950">
        <v>4</v>
      </c>
    </row>
    <row r="951" spans="1:22" x14ac:dyDescent="0.3">
      <c r="A951">
        <v>950</v>
      </c>
      <c r="B951">
        <v>37047</v>
      </c>
      <c r="C951" s="2">
        <v>36649</v>
      </c>
      <c r="D951">
        <v>25</v>
      </c>
      <c r="E951" t="s">
        <v>36</v>
      </c>
      <c r="F951" t="s">
        <v>50</v>
      </c>
      <c r="G951" s="2">
        <v>44265</v>
      </c>
      <c r="H951" s="3">
        <f t="shared" si="14"/>
        <v>4.1041095890410961</v>
      </c>
      <c r="I951">
        <v>106</v>
      </c>
      <c r="J951" t="s">
        <v>57</v>
      </c>
      <c r="K951" t="s">
        <v>65</v>
      </c>
      <c r="L951" t="s">
        <v>44</v>
      </c>
      <c r="M951">
        <v>10.48</v>
      </c>
      <c r="N951">
        <v>10.28</v>
      </c>
      <c r="O951">
        <v>10.08</v>
      </c>
      <c r="P951">
        <v>9.8800000000000008</v>
      </c>
      <c r="T951" t="s">
        <v>47</v>
      </c>
      <c r="U951">
        <v>0</v>
      </c>
      <c r="V951">
        <v>4</v>
      </c>
    </row>
    <row r="952" spans="1:22" x14ac:dyDescent="0.3">
      <c r="A952">
        <v>951</v>
      </c>
      <c r="B952">
        <v>37055</v>
      </c>
      <c r="C952" s="2">
        <v>36252</v>
      </c>
      <c r="D952">
        <v>26</v>
      </c>
      <c r="E952" t="s">
        <v>42</v>
      </c>
      <c r="F952" t="s">
        <v>50</v>
      </c>
      <c r="G952" s="2">
        <v>44524</v>
      </c>
      <c r="H952" s="3">
        <f t="shared" si="14"/>
        <v>4.3013698630136989</v>
      </c>
      <c r="I952">
        <v>2</v>
      </c>
      <c r="J952" t="s">
        <v>38</v>
      </c>
      <c r="K952" t="s">
        <v>43</v>
      </c>
      <c r="L952" t="s">
        <v>44</v>
      </c>
      <c r="M952">
        <v>16.100000000000001</v>
      </c>
      <c r="N952">
        <v>15.8</v>
      </c>
      <c r="O952">
        <v>15.5</v>
      </c>
      <c r="P952">
        <v>15.2</v>
      </c>
      <c r="T952" t="s">
        <v>47</v>
      </c>
      <c r="U952">
        <v>1</v>
      </c>
      <c r="V952">
        <v>5</v>
      </c>
    </row>
    <row r="953" spans="1:22" x14ac:dyDescent="0.3">
      <c r="A953">
        <v>952</v>
      </c>
      <c r="B953">
        <v>37077</v>
      </c>
      <c r="C953" s="2">
        <v>33650</v>
      </c>
      <c r="D953">
        <v>33</v>
      </c>
      <c r="E953" t="s">
        <v>36</v>
      </c>
      <c r="F953" t="s">
        <v>50</v>
      </c>
      <c r="G953" s="2">
        <v>44452</v>
      </c>
      <c r="H953" s="3">
        <f t="shared" si="14"/>
        <v>4.7369863013698632</v>
      </c>
      <c r="I953">
        <v>16</v>
      </c>
      <c r="J953" t="s">
        <v>38</v>
      </c>
      <c r="K953" t="s">
        <v>56</v>
      </c>
      <c r="L953" t="s">
        <v>44</v>
      </c>
      <c r="M953">
        <v>8.4700000000000006</v>
      </c>
      <c r="N953">
        <v>8.27</v>
      </c>
      <c r="O953">
        <v>8.07</v>
      </c>
      <c r="P953">
        <v>7.87</v>
      </c>
      <c r="T953" t="s">
        <v>47</v>
      </c>
      <c r="U953">
        <v>1</v>
      </c>
      <c r="V953">
        <v>4</v>
      </c>
    </row>
    <row r="954" spans="1:22" x14ac:dyDescent="0.3">
      <c r="A954">
        <v>953</v>
      </c>
      <c r="B954">
        <v>37116</v>
      </c>
      <c r="C954" s="2">
        <v>31920</v>
      </c>
      <c r="D954">
        <v>38</v>
      </c>
      <c r="E954" t="s">
        <v>36</v>
      </c>
      <c r="F954" t="s">
        <v>37</v>
      </c>
      <c r="G954" s="2">
        <v>44293</v>
      </c>
      <c r="H954" s="3">
        <f t="shared" si="14"/>
        <v>4.2684931506849315</v>
      </c>
      <c r="I954">
        <v>41</v>
      </c>
      <c r="J954" t="s">
        <v>38</v>
      </c>
      <c r="K954" t="s">
        <v>46</v>
      </c>
      <c r="L954" t="s">
        <v>44</v>
      </c>
      <c r="M954">
        <v>14.12</v>
      </c>
      <c r="N954">
        <v>13.82</v>
      </c>
      <c r="O954">
        <v>13.52</v>
      </c>
      <c r="P954">
        <v>13.22</v>
      </c>
      <c r="T954" t="s">
        <v>49</v>
      </c>
      <c r="U954">
        <v>1</v>
      </c>
      <c r="V954">
        <v>5</v>
      </c>
    </row>
    <row r="955" spans="1:22" x14ac:dyDescent="0.3">
      <c r="A955">
        <v>954</v>
      </c>
      <c r="B955">
        <v>37134</v>
      </c>
      <c r="C955" s="2">
        <v>35591</v>
      </c>
      <c r="D955">
        <v>28</v>
      </c>
      <c r="E955" t="s">
        <v>36</v>
      </c>
      <c r="F955" t="s">
        <v>50</v>
      </c>
      <c r="G955" s="2">
        <v>44464</v>
      </c>
      <c r="H955" s="3">
        <f t="shared" si="14"/>
        <v>4.8191780821917805</v>
      </c>
      <c r="I955">
        <v>49</v>
      </c>
      <c r="J955" t="s">
        <v>38</v>
      </c>
      <c r="K955" t="s">
        <v>68</v>
      </c>
      <c r="L955" t="s">
        <v>44</v>
      </c>
      <c r="M955">
        <v>16.46</v>
      </c>
      <c r="N955">
        <v>16.190000000000001</v>
      </c>
      <c r="O955">
        <v>15.95</v>
      </c>
      <c r="P955">
        <v>15.79</v>
      </c>
      <c r="T955" t="s">
        <v>47</v>
      </c>
      <c r="U955">
        <v>2</v>
      </c>
      <c r="V955">
        <v>4</v>
      </c>
    </row>
    <row r="956" spans="1:22" x14ac:dyDescent="0.3">
      <c r="A956">
        <v>955</v>
      </c>
      <c r="B956">
        <v>37167</v>
      </c>
      <c r="C956" s="2">
        <v>35729</v>
      </c>
      <c r="D956">
        <v>28</v>
      </c>
      <c r="E956" t="s">
        <v>42</v>
      </c>
      <c r="F956" t="s">
        <v>50</v>
      </c>
      <c r="G956" s="2">
        <v>44263</v>
      </c>
      <c r="H956" s="3">
        <f t="shared" si="14"/>
        <v>3.9643835616438357</v>
      </c>
      <c r="I956">
        <v>69</v>
      </c>
      <c r="J956" t="s">
        <v>57</v>
      </c>
      <c r="K956" t="s">
        <v>43</v>
      </c>
      <c r="L956" t="s">
        <v>44</v>
      </c>
      <c r="M956">
        <v>15.6</v>
      </c>
      <c r="N956">
        <v>15.43</v>
      </c>
      <c r="O956">
        <v>15.43</v>
      </c>
      <c r="P956">
        <v>15.2</v>
      </c>
      <c r="T956" t="s">
        <v>47</v>
      </c>
      <c r="U956">
        <v>1</v>
      </c>
      <c r="V956">
        <v>6</v>
      </c>
    </row>
    <row r="957" spans="1:22" x14ac:dyDescent="0.3">
      <c r="A957">
        <v>956</v>
      </c>
      <c r="B957">
        <v>37206</v>
      </c>
      <c r="C957" s="2">
        <v>36888</v>
      </c>
      <c r="D957">
        <v>25</v>
      </c>
      <c r="E957" t="s">
        <v>36</v>
      </c>
      <c r="F957" t="s">
        <v>50</v>
      </c>
      <c r="G957" s="2">
        <v>44575</v>
      </c>
      <c r="H957" s="3">
        <f t="shared" si="14"/>
        <v>4.0712328767123287</v>
      </c>
      <c r="I957">
        <v>127</v>
      </c>
      <c r="J957" t="s">
        <v>57</v>
      </c>
      <c r="K957" t="s">
        <v>54</v>
      </c>
      <c r="L957" t="s">
        <v>44</v>
      </c>
      <c r="M957">
        <v>22.23</v>
      </c>
      <c r="N957">
        <v>22.08</v>
      </c>
      <c r="O957">
        <v>22.08</v>
      </c>
      <c r="T957" t="s">
        <v>49</v>
      </c>
      <c r="U957">
        <v>7</v>
      </c>
      <c r="V957">
        <v>6</v>
      </c>
    </row>
    <row r="958" spans="1:22" x14ac:dyDescent="0.3">
      <c r="A958">
        <v>957</v>
      </c>
      <c r="B958">
        <v>37222</v>
      </c>
      <c r="C958" s="2">
        <v>37754</v>
      </c>
      <c r="D958">
        <v>22</v>
      </c>
      <c r="E958" t="s">
        <v>42</v>
      </c>
      <c r="F958" t="s">
        <v>50</v>
      </c>
      <c r="G958" s="2">
        <v>44536</v>
      </c>
      <c r="H958" s="3">
        <f t="shared" si="14"/>
        <v>3.9972602739726026</v>
      </c>
      <c r="I958">
        <v>137</v>
      </c>
      <c r="J958" t="s">
        <v>57</v>
      </c>
      <c r="K958" t="s">
        <v>56</v>
      </c>
      <c r="L958" t="s">
        <v>44</v>
      </c>
      <c r="M958">
        <v>8.4700000000000006</v>
      </c>
      <c r="N958">
        <v>8.27</v>
      </c>
      <c r="O958">
        <v>8.07</v>
      </c>
      <c r="P958">
        <v>7.87</v>
      </c>
      <c r="T958" t="s">
        <v>52</v>
      </c>
      <c r="U958">
        <v>2</v>
      </c>
      <c r="V958">
        <v>5</v>
      </c>
    </row>
    <row r="959" spans="1:22" x14ac:dyDescent="0.3">
      <c r="A959">
        <v>958</v>
      </c>
      <c r="B959">
        <v>37254</v>
      </c>
      <c r="C959" s="2">
        <v>37048</v>
      </c>
      <c r="D959">
        <v>24</v>
      </c>
      <c r="E959" t="s">
        <v>42</v>
      </c>
      <c r="F959" t="s">
        <v>50</v>
      </c>
      <c r="G959" s="2">
        <v>44563</v>
      </c>
      <c r="H959" s="3">
        <f t="shared" si="14"/>
        <v>4.4767123287671229</v>
      </c>
      <c r="I959">
        <v>63</v>
      </c>
      <c r="J959" t="s">
        <v>38</v>
      </c>
      <c r="K959" t="s">
        <v>64</v>
      </c>
      <c r="L959" t="s">
        <v>44</v>
      </c>
      <c r="M959">
        <v>13.97</v>
      </c>
      <c r="N959">
        <v>13.67</v>
      </c>
      <c r="O959">
        <v>13.37</v>
      </c>
      <c r="T959" t="s">
        <v>47</v>
      </c>
      <c r="U959">
        <v>0</v>
      </c>
      <c r="V959">
        <v>7</v>
      </c>
    </row>
    <row r="960" spans="1:22" x14ac:dyDescent="0.3">
      <c r="A960">
        <v>959</v>
      </c>
      <c r="B960">
        <v>37264</v>
      </c>
      <c r="C960" s="2">
        <v>35609</v>
      </c>
      <c r="D960">
        <v>28</v>
      </c>
      <c r="E960" t="s">
        <v>36</v>
      </c>
      <c r="F960" t="s">
        <v>50</v>
      </c>
      <c r="G960" s="2">
        <v>44388</v>
      </c>
      <c r="H960" s="3">
        <f t="shared" si="14"/>
        <v>3.9808219178082194</v>
      </c>
      <c r="I960">
        <v>122</v>
      </c>
      <c r="J960" t="s">
        <v>57</v>
      </c>
      <c r="K960" t="s">
        <v>65</v>
      </c>
      <c r="L960" t="s">
        <v>44</v>
      </c>
      <c r="M960">
        <v>10.55</v>
      </c>
      <c r="N960">
        <v>10.33</v>
      </c>
      <c r="O960">
        <v>10.1</v>
      </c>
      <c r="P960">
        <v>9.8800000000000008</v>
      </c>
      <c r="T960" t="s">
        <v>47</v>
      </c>
      <c r="U960">
        <v>1</v>
      </c>
      <c r="V960">
        <v>3</v>
      </c>
    </row>
    <row r="961" spans="1:22" x14ac:dyDescent="0.3">
      <c r="A961">
        <v>960</v>
      </c>
      <c r="B961">
        <v>37290</v>
      </c>
      <c r="C961" s="2">
        <v>37273</v>
      </c>
      <c r="D961">
        <v>23</v>
      </c>
      <c r="E961" t="s">
        <v>36</v>
      </c>
      <c r="F961" t="s">
        <v>50</v>
      </c>
      <c r="G961" s="2">
        <v>44569</v>
      </c>
      <c r="H961" s="3">
        <f t="shared" si="14"/>
        <v>4.4246575342465757</v>
      </c>
      <c r="I961">
        <v>61</v>
      </c>
      <c r="J961" t="s">
        <v>38</v>
      </c>
      <c r="K961" t="s">
        <v>65</v>
      </c>
      <c r="L961" t="s">
        <v>44</v>
      </c>
      <c r="M961">
        <v>10.4</v>
      </c>
      <c r="N961">
        <v>10.210000000000001</v>
      </c>
      <c r="O961">
        <v>10.07</v>
      </c>
      <c r="T961" t="s">
        <v>47</v>
      </c>
      <c r="U961">
        <v>1</v>
      </c>
      <c r="V961">
        <v>3</v>
      </c>
    </row>
    <row r="962" spans="1:22" x14ac:dyDescent="0.3">
      <c r="A962">
        <v>961</v>
      </c>
      <c r="B962">
        <v>37304</v>
      </c>
      <c r="C962" s="2">
        <v>34597</v>
      </c>
      <c r="D962">
        <v>31</v>
      </c>
      <c r="E962" t="s">
        <v>42</v>
      </c>
      <c r="F962" t="s">
        <v>50</v>
      </c>
      <c r="G962" s="2">
        <v>44407</v>
      </c>
      <c r="H962" s="3">
        <f t="shared" si="14"/>
        <v>3.9972602739726026</v>
      </c>
      <c r="I962">
        <v>144</v>
      </c>
      <c r="J962" t="s">
        <v>57</v>
      </c>
      <c r="K962" t="s">
        <v>43</v>
      </c>
      <c r="L962" t="s">
        <v>44</v>
      </c>
      <c r="M962">
        <v>16.350000000000001</v>
      </c>
      <c r="N962">
        <v>15.91</v>
      </c>
      <c r="O962">
        <v>15.62</v>
      </c>
      <c r="P962">
        <v>15.2</v>
      </c>
      <c r="T962" t="s">
        <v>47</v>
      </c>
      <c r="U962">
        <v>2</v>
      </c>
      <c r="V962">
        <v>5</v>
      </c>
    </row>
    <row r="963" spans="1:22" x14ac:dyDescent="0.3">
      <c r="A963">
        <v>962</v>
      </c>
      <c r="B963">
        <v>37337</v>
      </c>
      <c r="C963" s="2">
        <v>36648</v>
      </c>
      <c r="D963">
        <v>25</v>
      </c>
      <c r="E963" t="s">
        <v>42</v>
      </c>
      <c r="F963" t="s">
        <v>50</v>
      </c>
      <c r="G963" s="2">
        <v>44563</v>
      </c>
      <c r="H963" s="3">
        <f t="shared" ref="H963:H1026" si="15">DATEDIF(G964,DATE(2025,12,31),"d")/365</f>
        <v>4.0164383561643833</v>
      </c>
      <c r="I963">
        <v>34</v>
      </c>
      <c r="J963" t="s">
        <v>38</v>
      </c>
      <c r="K963" t="s">
        <v>43</v>
      </c>
      <c r="L963" t="s">
        <v>44</v>
      </c>
      <c r="M963">
        <v>16.100000000000001</v>
      </c>
      <c r="N963">
        <v>15.8</v>
      </c>
      <c r="O963">
        <v>15.5</v>
      </c>
      <c r="T963" t="s">
        <v>47</v>
      </c>
      <c r="U963">
        <v>1</v>
      </c>
      <c r="V963">
        <v>5</v>
      </c>
    </row>
    <row r="964" spans="1:22" x14ac:dyDescent="0.3">
      <c r="A964">
        <v>963</v>
      </c>
      <c r="B964">
        <v>37339</v>
      </c>
      <c r="C964" s="2">
        <v>37534</v>
      </c>
      <c r="D964">
        <v>23</v>
      </c>
      <c r="E964" t="s">
        <v>36</v>
      </c>
      <c r="F964" t="s">
        <v>50</v>
      </c>
      <c r="G964" s="2">
        <v>44556</v>
      </c>
      <c r="H964" s="3">
        <f t="shared" si="15"/>
        <v>4.536986301369863</v>
      </c>
      <c r="I964">
        <v>37</v>
      </c>
      <c r="J964" t="s">
        <v>38</v>
      </c>
      <c r="K964" t="s">
        <v>65</v>
      </c>
      <c r="L964" t="s">
        <v>44</v>
      </c>
      <c r="M964">
        <v>10.67</v>
      </c>
      <c r="N964">
        <v>10.38</v>
      </c>
      <c r="O964">
        <v>10.17</v>
      </c>
      <c r="P964">
        <v>9.8800000000000008</v>
      </c>
      <c r="T964" t="s">
        <v>47</v>
      </c>
      <c r="U964">
        <v>1</v>
      </c>
      <c r="V964">
        <v>4</v>
      </c>
    </row>
    <row r="965" spans="1:22" x14ac:dyDescent="0.3">
      <c r="A965">
        <v>964</v>
      </c>
      <c r="B965">
        <v>37348</v>
      </c>
      <c r="C965" s="2">
        <v>37507</v>
      </c>
      <c r="D965">
        <v>23</v>
      </c>
      <c r="E965" t="s">
        <v>42</v>
      </c>
      <c r="F965" t="s">
        <v>50</v>
      </c>
      <c r="G965" s="2">
        <v>44366</v>
      </c>
      <c r="H965" s="3">
        <f t="shared" si="15"/>
        <v>4.0136986301369859</v>
      </c>
      <c r="I965">
        <v>50</v>
      </c>
      <c r="J965" t="s">
        <v>38</v>
      </c>
      <c r="K965" t="s">
        <v>56</v>
      </c>
      <c r="L965" t="s">
        <v>44</v>
      </c>
      <c r="M965">
        <v>8.4700000000000006</v>
      </c>
      <c r="N965">
        <v>8.27</v>
      </c>
      <c r="O965">
        <v>8.07</v>
      </c>
      <c r="P965">
        <v>7.87</v>
      </c>
      <c r="T965" t="s">
        <v>47</v>
      </c>
      <c r="U965">
        <v>0</v>
      </c>
      <c r="V965">
        <v>4</v>
      </c>
    </row>
    <row r="966" spans="1:22" x14ac:dyDescent="0.3">
      <c r="A966">
        <v>965</v>
      </c>
      <c r="B966">
        <v>37358</v>
      </c>
      <c r="C966" s="2">
        <v>37357</v>
      </c>
      <c r="D966">
        <v>23</v>
      </c>
      <c r="E966" t="s">
        <v>42</v>
      </c>
      <c r="F966" t="s">
        <v>50</v>
      </c>
      <c r="G966" s="2">
        <v>44557</v>
      </c>
      <c r="H966" s="3">
        <f t="shared" si="15"/>
        <v>4.7013698630136984</v>
      </c>
      <c r="I966">
        <v>94</v>
      </c>
      <c r="J966" t="s">
        <v>57</v>
      </c>
      <c r="K966" t="s">
        <v>56</v>
      </c>
      <c r="L966" t="s">
        <v>44</v>
      </c>
      <c r="M966">
        <v>8.4700000000000006</v>
      </c>
      <c r="N966">
        <v>8.27</v>
      </c>
      <c r="O966">
        <v>8.07</v>
      </c>
      <c r="P966">
        <v>7.87</v>
      </c>
      <c r="T966" t="s">
        <v>47</v>
      </c>
      <c r="U966">
        <v>4</v>
      </c>
      <c r="V966">
        <v>5</v>
      </c>
    </row>
    <row r="967" spans="1:22" x14ac:dyDescent="0.3">
      <c r="A967">
        <v>966</v>
      </c>
      <c r="B967">
        <v>37362</v>
      </c>
      <c r="C967" s="2">
        <v>29300</v>
      </c>
      <c r="D967">
        <v>45</v>
      </c>
      <c r="E967" t="s">
        <v>36</v>
      </c>
      <c r="F967" t="s">
        <v>50</v>
      </c>
      <c r="G967" s="2">
        <v>44306</v>
      </c>
      <c r="H967" s="3">
        <f t="shared" si="15"/>
        <v>4.463013698630137</v>
      </c>
      <c r="I967">
        <v>105</v>
      </c>
      <c r="J967" t="s">
        <v>57</v>
      </c>
      <c r="K967" t="s">
        <v>46</v>
      </c>
      <c r="L967" t="s">
        <v>44</v>
      </c>
      <c r="M967">
        <v>14.12</v>
      </c>
      <c r="N967">
        <v>13.82</v>
      </c>
      <c r="O967">
        <v>13.52</v>
      </c>
      <c r="P967">
        <v>13.22</v>
      </c>
      <c r="T967" t="s">
        <v>47</v>
      </c>
      <c r="U967">
        <v>0</v>
      </c>
      <c r="V967">
        <v>5</v>
      </c>
    </row>
    <row r="968" spans="1:22" x14ac:dyDescent="0.3">
      <c r="A968">
        <v>967</v>
      </c>
      <c r="B968">
        <v>37391</v>
      </c>
      <c r="C968" s="2">
        <v>37043</v>
      </c>
      <c r="D968">
        <v>25</v>
      </c>
      <c r="E968" t="s">
        <v>42</v>
      </c>
      <c r="F968" t="s">
        <v>50</v>
      </c>
      <c r="G968" s="2">
        <v>44393</v>
      </c>
      <c r="H968" s="3">
        <f t="shared" si="15"/>
        <v>4.1506849315068495</v>
      </c>
      <c r="I968">
        <v>46</v>
      </c>
      <c r="J968" t="s">
        <v>38</v>
      </c>
      <c r="K968" t="s">
        <v>65</v>
      </c>
      <c r="L968" t="s">
        <v>44</v>
      </c>
      <c r="M968">
        <v>10.51</v>
      </c>
      <c r="N968">
        <v>10.28</v>
      </c>
      <c r="O968">
        <v>10.15</v>
      </c>
      <c r="P968">
        <v>9.8800000000000008</v>
      </c>
      <c r="T968" t="s">
        <v>47</v>
      </c>
      <c r="U968">
        <v>1</v>
      </c>
      <c r="V968">
        <v>6</v>
      </c>
    </row>
    <row r="969" spans="1:22" x14ac:dyDescent="0.3">
      <c r="A969">
        <v>968</v>
      </c>
      <c r="B969">
        <v>37397</v>
      </c>
      <c r="C969" s="2">
        <v>35398</v>
      </c>
      <c r="D969">
        <v>29</v>
      </c>
      <c r="E969" t="s">
        <v>42</v>
      </c>
      <c r="F969" t="s">
        <v>50</v>
      </c>
      <c r="G969" s="2">
        <v>44507</v>
      </c>
      <c r="H969" s="3">
        <f t="shared" si="15"/>
        <v>4.8767123287671232</v>
      </c>
      <c r="I969">
        <v>88</v>
      </c>
      <c r="J969" t="s">
        <v>57</v>
      </c>
      <c r="K969" t="s">
        <v>54</v>
      </c>
      <c r="L969" t="s">
        <v>44</v>
      </c>
      <c r="M969">
        <v>22.53</v>
      </c>
      <c r="N969">
        <v>22.38</v>
      </c>
      <c r="O969">
        <v>22.23</v>
      </c>
      <c r="P969">
        <v>22.08</v>
      </c>
      <c r="T969" t="s">
        <v>52</v>
      </c>
      <c r="U969">
        <v>2</v>
      </c>
      <c r="V969">
        <v>6</v>
      </c>
    </row>
    <row r="970" spans="1:22" x14ac:dyDescent="0.3">
      <c r="A970">
        <v>969</v>
      </c>
      <c r="B970">
        <v>37400</v>
      </c>
      <c r="C970" s="2">
        <v>36829</v>
      </c>
      <c r="D970">
        <v>25</v>
      </c>
      <c r="E970" t="s">
        <v>36</v>
      </c>
      <c r="F970" t="s">
        <v>50</v>
      </c>
      <c r="G970" s="2">
        <v>44242</v>
      </c>
      <c r="H970" s="3">
        <f t="shared" si="15"/>
        <v>4.4493150684931511</v>
      </c>
      <c r="I970">
        <v>101</v>
      </c>
      <c r="J970" t="s">
        <v>57</v>
      </c>
      <c r="K970" t="s">
        <v>65</v>
      </c>
      <c r="L970" t="s">
        <v>44</v>
      </c>
      <c r="M970">
        <v>10.48</v>
      </c>
      <c r="N970">
        <v>10.28</v>
      </c>
      <c r="O970">
        <v>10.08</v>
      </c>
      <c r="P970">
        <v>9.8800000000000008</v>
      </c>
      <c r="T970" t="s">
        <v>52</v>
      </c>
      <c r="U970">
        <v>1</v>
      </c>
      <c r="V970">
        <v>3</v>
      </c>
    </row>
    <row r="971" spans="1:22" x14ac:dyDescent="0.3">
      <c r="A971">
        <v>970</v>
      </c>
      <c r="B971">
        <v>37431</v>
      </c>
      <c r="C971" s="2">
        <v>36931</v>
      </c>
      <c r="D971">
        <v>24</v>
      </c>
      <c r="E971" t="s">
        <v>36</v>
      </c>
      <c r="F971" t="s">
        <v>50</v>
      </c>
      <c r="G971" s="2">
        <v>44398</v>
      </c>
      <c r="H971" s="3">
        <f t="shared" si="15"/>
        <v>4.2082191780821914</v>
      </c>
      <c r="I971">
        <v>70</v>
      </c>
      <c r="J971" t="s">
        <v>57</v>
      </c>
      <c r="K971" t="s">
        <v>54</v>
      </c>
      <c r="L971" t="s">
        <v>44</v>
      </c>
      <c r="M971">
        <v>23.16</v>
      </c>
      <c r="N971">
        <v>22.94</v>
      </c>
      <c r="O971">
        <v>22.5</v>
      </c>
      <c r="P971">
        <v>22.08</v>
      </c>
      <c r="T971" t="s">
        <v>45</v>
      </c>
      <c r="U971">
        <v>7</v>
      </c>
      <c r="V971">
        <v>6</v>
      </c>
    </row>
    <row r="972" spans="1:22" x14ac:dyDescent="0.3">
      <c r="A972">
        <v>971</v>
      </c>
      <c r="B972">
        <v>37510</v>
      </c>
      <c r="C972" s="2">
        <v>37579</v>
      </c>
      <c r="D972">
        <v>23</v>
      </c>
      <c r="E972" t="s">
        <v>42</v>
      </c>
      <c r="F972" t="s">
        <v>50</v>
      </c>
      <c r="G972" s="2">
        <v>44486</v>
      </c>
      <c r="H972" s="3">
        <f t="shared" si="15"/>
        <v>4.0575342465753428</v>
      </c>
      <c r="I972">
        <v>50</v>
      </c>
      <c r="J972" t="s">
        <v>38</v>
      </c>
      <c r="K972" t="s">
        <v>56</v>
      </c>
      <c r="L972" t="s">
        <v>44</v>
      </c>
      <c r="M972">
        <v>8.4700000000000006</v>
      </c>
      <c r="N972">
        <v>8.27</v>
      </c>
      <c r="O972">
        <v>8.07</v>
      </c>
      <c r="P972">
        <v>7.87</v>
      </c>
      <c r="T972" t="s">
        <v>47</v>
      </c>
      <c r="U972">
        <v>4</v>
      </c>
      <c r="V972">
        <v>6</v>
      </c>
    </row>
    <row r="973" spans="1:22" x14ac:dyDescent="0.3">
      <c r="A973">
        <v>972</v>
      </c>
      <c r="B973">
        <v>37516</v>
      </c>
      <c r="C973" s="2">
        <v>35474</v>
      </c>
      <c r="D973">
        <v>28</v>
      </c>
      <c r="E973" t="s">
        <v>36</v>
      </c>
      <c r="F973" t="s">
        <v>50</v>
      </c>
      <c r="G973" s="2">
        <v>44541</v>
      </c>
      <c r="H973" s="3">
        <f t="shared" si="15"/>
        <v>3.9260273972602739</v>
      </c>
      <c r="I973">
        <v>56</v>
      </c>
      <c r="J973" t="s">
        <v>38</v>
      </c>
      <c r="K973" t="s">
        <v>46</v>
      </c>
      <c r="L973" t="s">
        <v>44</v>
      </c>
      <c r="M973">
        <v>14.12</v>
      </c>
      <c r="N973">
        <v>13.82</v>
      </c>
      <c r="O973">
        <v>13.52</v>
      </c>
      <c r="P973">
        <v>13.22</v>
      </c>
      <c r="T973" t="s">
        <v>52</v>
      </c>
      <c r="U973">
        <v>0</v>
      </c>
      <c r="V973">
        <v>4</v>
      </c>
    </row>
    <row r="974" spans="1:22" x14ac:dyDescent="0.3">
      <c r="A974">
        <v>973</v>
      </c>
      <c r="B974">
        <v>37526</v>
      </c>
      <c r="C974" s="2">
        <v>36571</v>
      </c>
      <c r="D974">
        <v>25</v>
      </c>
      <c r="E974" t="s">
        <v>42</v>
      </c>
      <c r="F974" t="s">
        <v>50</v>
      </c>
      <c r="G974" s="2">
        <v>44589</v>
      </c>
      <c r="H974" s="3">
        <f t="shared" si="15"/>
        <v>4.7780821917808218</v>
      </c>
      <c r="I974">
        <v>61</v>
      </c>
      <c r="J974" t="s">
        <v>38</v>
      </c>
      <c r="K974" t="s">
        <v>56</v>
      </c>
      <c r="L974" t="s">
        <v>44</v>
      </c>
      <c r="M974">
        <v>8.36</v>
      </c>
      <c r="N974">
        <v>8.36</v>
      </c>
      <c r="O974">
        <v>8.15</v>
      </c>
      <c r="T974" t="s">
        <v>47</v>
      </c>
      <c r="U974">
        <v>3</v>
      </c>
      <c r="V974">
        <v>7</v>
      </c>
    </row>
    <row r="975" spans="1:22" x14ac:dyDescent="0.3">
      <c r="A975">
        <v>974</v>
      </c>
      <c r="B975">
        <v>37566</v>
      </c>
      <c r="C975" s="2">
        <v>36695</v>
      </c>
      <c r="D975">
        <v>25</v>
      </c>
      <c r="E975" t="s">
        <v>42</v>
      </c>
      <c r="F975" t="s">
        <v>50</v>
      </c>
      <c r="G975" s="2">
        <v>44278</v>
      </c>
      <c r="H975" s="3">
        <f t="shared" si="15"/>
        <v>4.2739726027397262</v>
      </c>
      <c r="I975">
        <v>94</v>
      </c>
      <c r="J975" t="s">
        <v>57</v>
      </c>
      <c r="K975" t="s">
        <v>56</v>
      </c>
      <c r="L975" t="s">
        <v>44</v>
      </c>
      <c r="M975">
        <v>8.4700000000000006</v>
      </c>
      <c r="N975">
        <v>8.27</v>
      </c>
      <c r="O975">
        <v>8.07</v>
      </c>
      <c r="P975">
        <v>7.87</v>
      </c>
      <c r="T975" t="s">
        <v>47</v>
      </c>
      <c r="U975">
        <v>2</v>
      </c>
      <c r="V975">
        <v>7</v>
      </c>
    </row>
    <row r="976" spans="1:22" x14ac:dyDescent="0.3">
      <c r="A976">
        <v>975</v>
      </c>
      <c r="B976">
        <v>37575</v>
      </c>
      <c r="C976" s="2">
        <v>37771</v>
      </c>
      <c r="D976">
        <v>22</v>
      </c>
      <c r="E976" t="s">
        <v>36</v>
      </c>
      <c r="F976" t="s">
        <v>50</v>
      </c>
      <c r="G976" s="2">
        <v>44462</v>
      </c>
      <c r="H976" s="3">
        <f t="shared" si="15"/>
        <v>4.7342465753424658</v>
      </c>
      <c r="I976">
        <v>104</v>
      </c>
      <c r="J976" t="s">
        <v>57</v>
      </c>
      <c r="K976" t="s">
        <v>65</v>
      </c>
      <c r="L976" t="s">
        <v>44</v>
      </c>
      <c r="M976">
        <v>10.62</v>
      </c>
      <c r="N976">
        <v>10.37</v>
      </c>
      <c r="O976">
        <v>10.119999999999999</v>
      </c>
      <c r="P976">
        <v>9.8800000000000008</v>
      </c>
      <c r="T976" t="s">
        <v>47</v>
      </c>
      <c r="U976">
        <v>1</v>
      </c>
      <c r="V976">
        <v>4</v>
      </c>
    </row>
    <row r="977" spans="1:22" x14ac:dyDescent="0.3">
      <c r="A977">
        <v>976</v>
      </c>
      <c r="B977">
        <v>37634</v>
      </c>
      <c r="C977" s="2">
        <v>35362</v>
      </c>
      <c r="D977">
        <v>29</v>
      </c>
      <c r="E977" t="s">
        <v>42</v>
      </c>
      <c r="F977" t="s">
        <v>37</v>
      </c>
      <c r="G977" s="2">
        <v>44294</v>
      </c>
      <c r="H977" s="3">
        <f t="shared" si="15"/>
        <v>4.4438356164383563</v>
      </c>
      <c r="I977">
        <v>33</v>
      </c>
      <c r="J977" t="s">
        <v>38</v>
      </c>
      <c r="K977" t="s">
        <v>43</v>
      </c>
      <c r="L977" t="s">
        <v>44</v>
      </c>
      <c r="M977">
        <v>16.149999999999999</v>
      </c>
      <c r="N977">
        <v>16</v>
      </c>
      <c r="O977">
        <v>15.6</v>
      </c>
      <c r="P977">
        <v>15.2</v>
      </c>
      <c r="T977" t="s">
        <v>52</v>
      </c>
      <c r="U977">
        <v>1</v>
      </c>
      <c r="V977">
        <v>5</v>
      </c>
    </row>
    <row r="978" spans="1:22" x14ac:dyDescent="0.3">
      <c r="A978">
        <v>977</v>
      </c>
      <c r="B978">
        <v>37640</v>
      </c>
      <c r="C978" s="2">
        <v>37411</v>
      </c>
      <c r="D978">
        <v>23</v>
      </c>
      <c r="E978" t="s">
        <v>36</v>
      </c>
      <c r="F978" t="s">
        <v>37</v>
      </c>
      <c r="G978" s="2">
        <v>44400</v>
      </c>
      <c r="H978" s="3">
        <f t="shared" si="15"/>
        <v>4.4246575342465757</v>
      </c>
      <c r="I978">
        <v>49</v>
      </c>
      <c r="J978" t="s">
        <v>38</v>
      </c>
      <c r="K978" t="s">
        <v>65</v>
      </c>
      <c r="L978" t="s">
        <v>44</v>
      </c>
      <c r="M978">
        <v>10.5</v>
      </c>
      <c r="N978">
        <v>10.37</v>
      </c>
      <c r="O978">
        <v>10.08</v>
      </c>
      <c r="P978">
        <v>9.8800000000000008</v>
      </c>
      <c r="T978" t="s">
        <v>47</v>
      </c>
      <c r="U978">
        <v>1</v>
      </c>
      <c r="V978">
        <v>3</v>
      </c>
    </row>
    <row r="979" spans="1:22" x14ac:dyDescent="0.3">
      <c r="A979">
        <v>978</v>
      </c>
      <c r="B979">
        <v>37644</v>
      </c>
      <c r="C979" s="2">
        <v>33601</v>
      </c>
      <c r="D979">
        <v>34</v>
      </c>
      <c r="E979" t="s">
        <v>42</v>
      </c>
      <c r="F979" t="s">
        <v>50</v>
      </c>
      <c r="G979" s="2">
        <v>44407</v>
      </c>
      <c r="H979" s="3">
        <f t="shared" si="15"/>
        <v>4.7534246575342465</v>
      </c>
      <c r="I979">
        <v>64</v>
      </c>
      <c r="J979" t="s">
        <v>38</v>
      </c>
      <c r="K979" t="s">
        <v>43</v>
      </c>
      <c r="L979" t="s">
        <v>44</v>
      </c>
      <c r="M979">
        <v>16.100000000000001</v>
      </c>
      <c r="N979">
        <v>15.8</v>
      </c>
      <c r="O979">
        <v>15.5</v>
      </c>
      <c r="P979">
        <v>15.2</v>
      </c>
      <c r="T979" t="s">
        <v>45</v>
      </c>
      <c r="U979">
        <v>1</v>
      </c>
      <c r="V979">
        <v>5</v>
      </c>
    </row>
    <row r="980" spans="1:22" x14ac:dyDescent="0.3">
      <c r="A980">
        <v>979</v>
      </c>
      <c r="B980">
        <v>37674</v>
      </c>
      <c r="C980" s="2">
        <v>37257</v>
      </c>
      <c r="D980">
        <v>24</v>
      </c>
      <c r="E980" t="s">
        <v>42</v>
      </c>
      <c r="F980" t="s">
        <v>37</v>
      </c>
      <c r="G980" s="2">
        <v>44287</v>
      </c>
      <c r="H980" s="3">
        <f t="shared" si="15"/>
        <v>4.1369863013698627</v>
      </c>
      <c r="I980">
        <v>35</v>
      </c>
      <c r="J980" t="s">
        <v>38</v>
      </c>
      <c r="K980" t="s">
        <v>48</v>
      </c>
      <c r="L980" t="s">
        <v>44</v>
      </c>
      <c r="M980">
        <v>8.4700000000000006</v>
      </c>
      <c r="N980">
        <v>8.27</v>
      </c>
      <c r="O980">
        <v>8.07</v>
      </c>
      <c r="P980">
        <v>7.87</v>
      </c>
      <c r="T980" t="s">
        <v>49</v>
      </c>
      <c r="U980">
        <v>2</v>
      </c>
      <c r="V980">
        <v>4</v>
      </c>
    </row>
    <row r="981" spans="1:22" x14ac:dyDescent="0.3">
      <c r="A981">
        <v>980</v>
      </c>
      <c r="B981">
        <v>37703</v>
      </c>
      <c r="C981" s="2">
        <v>36363</v>
      </c>
      <c r="D981">
        <v>26</v>
      </c>
      <c r="E981" t="s">
        <v>36</v>
      </c>
      <c r="F981" t="s">
        <v>37</v>
      </c>
      <c r="G981" s="2">
        <v>44512</v>
      </c>
      <c r="H981" s="3">
        <f t="shared" si="15"/>
        <v>4.484931506849315</v>
      </c>
      <c r="I981">
        <v>109</v>
      </c>
      <c r="J981" t="s">
        <v>57</v>
      </c>
      <c r="K981" t="s">
        <v>46</v>
      </c>
      <c r="L981" t="s">
        <v>44</v>
      </c>
      <c r="M981">
        <v>14.12</v>
      </c>
      <c r="N981">
        <v>13.82</v>
      </c>
      <c r="O981">
        <v>13.52</v>
      </c>
      <c r="P981">
        <v>13.22</v>
      </c>
      <c r="T981" t="s">
        <v>47</v>
      </c>
      <c r="U981">
        <v>1</v>
      </c>
      <c r="V981">
        <v>3</v>
      </c>
    </row>
    <row r="982" spans="1:22" x14ac:dyDescent="0.3">
      <c r="A982">
        <v>981</v>
      </c>
      <c r="B982">
        <v>37728</v>
      </c>
      <c r="C982" s="2">
        <v>37968</v>
      </c>
      <c r="D982">
        <v>22</v>
      </c>
      <c r="E982" t="s">
        <v>42</v>
      </c>
      <c r="F982" t="s">
        <v>50</v>
      </c>
      <c r="G982" s="2">
        <v>44385</v>
      </c>
      <c r="H982" s="3">
        <f t="shared" si="15"/>
        <v>4.0493150684931507</v>
      </c>
      <c r="I982">
        <v>59</v>
      </c>
      <c r="J982" t="s">
        <v>38</v>
      </c>
      <c r="K982" t="s">
        <v>64</v>
      </c>
      <c r="L982" t="s">
        <v>44</v>
      </c>
      <c r="M982">
        <v>13.97</v>
      </c>
      <c r="N982">
        <v>13.67</v>
      </c>
      <c r="O982">
        <v>13.37</v>
      </c>
      <c r="P982">
        <v>13.07</v>
      </c>
      <c r="T982" t="s">
        <v>47</v>
      </c>
      <c r="U982">
        <v>1</v>
      </c>
      <c r="V982">
        <v>6</v>
      </c>
    </row>
    <row r="983" spans="1:22" x14ac:dyDescent="0.3">
      <c r="A983">
        <v>982</v>
      </c>
      <c r="B983">
        <v>37747</v>
      </c>
      <c r="C983" s="2">
        <v>35153</v>
      </c>
      <c r="D983">
        <v>29</v>
      </c>
      <c r="E983" t="s">
        <v>42</v>
      </c>
      <c r="F983" t="s">
        <v>50</v>
      </c>
      <c r="G983" s="2">
        <v>44544</v>
      </c>
      <c r="H983" s="3">
        <f t="shared" si="15"/>
        <v>4.3917808219178083</v>
      </c>
      <c r="I983">
        <v>132</v>
      </c>
      <c r="J983" t="s">
        <v>57</v>
      </c>
      <c r="K983" t="s">
        <v>43</v>
      </c>
      <c r="L983" t="s">
        <v>44</v>
      </c>
      <c r="M983">
        <v>16.100000000000001</v>
      </c>
      <c r="N983">
        <v>15.8</v>
      </c>
      <c r="O983">
        <v>15.5</v>
      </c>
      <c r="P983">
        <v>15.2</v>
      </c>
      <c r="T983" t="s">
        <v>47</v>
      </c>
      <c r="U983">
        <v>0</v>
      </c>
      <c r="V983">
        <v>5</v>
      </c>
    </row>
    <row r="984" spans="1:22" x14ac:dyDescent="0.3">
      <c r="A984">
        <v>983</v>
      </c>
      <c r="B984">
        <v>37757</v>
      </c>
      <c r="C984" s="2">
        <v>36207</v>
      </c>
      <c r="D984">
        <v>26</v>
      </c>
      <c r="E984" t="s">
        <v>42</v>
      </c>
      <c r="F984" t="s">
        <v>37</v>
      </c>
      <c r="G984" s="2">
        <v>44419</v>
      </c>
      <c r="H984" s="3">
        <f t="shared" si="15"/>
        <v>4.1287671232876715</v>
      </c>
      <c r="I984">
        <v>9</v>
      </c>
      <c r="J984" t="s">
        <v>38</v>
      </c>
      <c r="K984" t="s">
        <v>64</v>
      </c>
      <c r="L984" t="s">
        <v>44</v>
      </c>
      <c r="M984">
        <v>13.97</v>
      </c>
      <c r="N984">
        <v>13.67</v>
      </c>
      <c r="O984">
        <v>13.37</v>
      </c>
      <c r="P984">
        <v>13.07</v>
      </c>
      <c r="T984" t="s">
        <v>47</v>
      </c>
      <c r="U984">
        <v>0</v>
      </c>
      <c r="V984">
        <v>4</v>
      </c>
    </row>
    <row r="985" spans="1:22" x14ac:dyDescent="0.3">
      <c r="A985">
        <v>984</v>
      </c>
      <c r="B985">
        <v>37768</v>
      </c>
      <c r="C985" s="2">
        <v>35452</v>
      </c>
      <c r="D985">
        <v>28</v>
      </c>
      <c r="E985" t="s">
        <v>42</v>
      </c>
      <c r="F985" t="s">
        <v>50</v>
      </c>
      <c r="G985" s="2">
        <v>44515</v>
      </c>
      <c r="H985" s="3">
        <f t="shared" si="15"/>
        <v>4.441095890410959</v>
      </c>
      <c r="I985">
        <v>18</v>
      </c>
      <c r="J985" t="s">
        <v>38</v>
      </c>
      <c r="K985" t="s">
        <v>56</v>
      </c>
      <c r="L985" t="s">
        <v>44</v>
      </c>
      <c r="M985">
        <v>8.4700000000000006</v>
      </c>
      <c r="N985">
        <v>8.27</v>
      </c>
      <c r="O985">
        <v>8.07</v>
      </c>
      <c r="P985">
        <v>7.87</v>
      </c>
      <c r="T985" t="s">
        <v>47</v>
      </c>
      <c r="U985">
        <v>3</v>
      </c>
      <c r="V985">
        <v>6</v>
      </c>
    </row>
    <row r="986" spans="1:22" x14ac:dyDescent="0.3">
      <c r="A986">
        <v>985</v>
      </c>
      <c r="B986">
        <v>37833</v>
      </c>
      <c r="C986" s="2">
        <v>36801</v>
      </c>
      <c r="D986">
        <v>25</v>
      </c>
      <c r="E986" t="s">
        <v>42</v>
      </c>
      <c r="F986" t="s">
        <v>50</v>
      </c>
      <c r="G986" s="2">
        <v>44401</v>
      </c>
      <c r="H986" s="3">
        <f t="shared" si="15"/>
        <v>3.9424657534246577</v>
      </c>
      <c r="I986">
        <v>52</v>
      </c>
      <c r="J986" t="s">
        <v>38</v>
      </c>
      <c r="K986" t="s">
        <v>64</v>
      </c>
      <c r="L986" t="s">
        <v>44</v>
      </c>
      <c r="M986">
        <v>13.97</v>
      </c>
      <c r="N986">
        <v>13.67</v>
      </c>
      <c r="O986">
        <v>13.37</v>
      </c>
      <c r="P986">
        <v>13.07</v>
      </c>
      <c r="T986" t="s">
        <v>47</v>
      </c>
      <c r="U986">
        <v>1</v>
      </c>
      <c r="V986">
        <v>5</v>
      </c>
    </row>
    <row r="987" spans="1:22" x14ac:dyDescent="0.3">
      <c r="A987">
        <v>986</v>
      </c>
      <c r="B987">
        <v>37849</v>
      </c>
      <c r="C987" s="2">
        <v>35232</v>
      </c>
      <c r="D987">
        <v>29</v>
      </c>
      <c r="E987" t="s">
        <v>42</v>
      </c>
      <c r="F987" t="s">
        <v>50</v>
      </c>
      <c r="G987" s="2">
        <v>44583</v>
      </c>
      <c r="H987" s="3">
        <f t="shared" si="15"/>
        <v>4.580821917808219</v>
      </c>
      <c r="I987">
        <v>67</v>
      </c>
      <c r="J987" t="s">
        <v>57</v>
      </c>
      <c r="K987" t="s">
        <v>55</v>
      </c>
      <c r="L987" t="s">
        <v>44</v>
      </c>
      <c r="M987">
        <v>17.03</v>
      </c>
      <c r="N987">
        <v>17.03</v>
      </c>
      <c r="O987">
        <v>16.77</v>
      </c>
      <c r="T987" t="s">
        <v>49</v>
      </c>
      <c r="U987">
        <v>2</v>
      </c>
      <c r="V987">
        <v>6</v>
      </c>
    </row>
    <row r="988" spans="1:22" x14ac:dyDescent="0.3">
      <c r="A988">
        <v>987</v>
      </c>
      <c r="B988">
        <v>37855</v>
      </c>
      <c r="C988" s="2">
        <v>36609</v>
      </c>
      <c r="D988">
        <v>25</v>
      </c>
      <c r="E988" t="s">
        <v>42</v>
      </c>
      <c r="F988" t="s">
        <v>37</v>
      </c>
      <c r="G988" s="2">
        <v>44350</v>
      </c>
      <c r="H988" s="3">
        <f t="shared" si="15"/>
        <v>4.6301369863013697</v>
      </c>
      <c r="I988">
        <v>69</v>
      </c>
      <c r="J988" t="s">
        <v>57</v>
      </c>
      <c r="K988" t="s">
        <v>56</v>
      </c>
      <c r="L988" t="s">
        <v>44</v>
      </c>
      <c r="M988">
        <v>8.5399999999999991</v>
      </c>
      <c r="N988">
        <v>8.2899999999999991</v>
      </c>
      <c r="O988">
        <v>8.08</v>
      </c>
      <c r="P988">
        <v>7.87</v>
      </c>
      <c r="T988" t="s">
        <v>52</v>
      </c>
      <c r="U988">
        <v>3</v>
      </c>
      <c r="V988">
        <v>6</v>
      </c>
    </row>
    <row r="989" spans="1:22" x14ac:dyDescent="0.3">
      <c r="A989">
        <v>988</v>
      </c>
      <c r="B989">
        <v>37909</v>
      </c>
      <c r="C989" s="2">
        <v>35406</v>
      </c>
      <c r="D989">
        <v>29</v>
      </c>
      <c r="E989" t="s">
        <v>42</v>
      </c>
      <c r="F989" t="s">
        <v>50</v>
      </c>
      <c r="G989" s="2">
        <v>44332</v>
      </c>
      <c r="H989" s="3">
        <f t="shared" si="15"/>
        <v>3.9315068493150687</v>
      </c>
      <c r="I989">
        <v>119</v>
      </c>
      <c r="J989" t="s">
        <v>57</v>
      </c>
      <c r="K989" t="s">
        <v>56</v>
      </c>
      <c r="L989" t="s">
        <v>44</v>
      </c>
      <c r="M989">
        <v>8.4700000000000006</v>
      </c>
      <c r="N989">
        <v>8.27</v>
      </c>
      <c r="O989">
        <v>8.07</v>
      </c>
      <c r="P989">
        <v>7.87</v>
      </c>
      <c r="T989" t="s">
        <v>47</v>
      </c>
      <c r="U989">
        <v>2</v>
      </c>
      <c r="V989">
        <v>6</v>
      </c>
    </row>
    <row r="990" spans="1:22" x14ac:dyDescent="0.3">
      <c r="A990">
        <v>989</v>
      </c>
      <c r="B990">
        <v>37982</v>
      </c>
      <c r="C990" s="2">
        <v>34876</v>
      </c>
      <c r="D990">
        <v>30</v>
      </c>
      <c r="E990" t="s">
        <v>42</v>
      </c>
      <c r="F990" t="s">
        <v>37</v>
      </c>
      <c r="G990" s="2">
        <v>44587</v>
      </c>
      <c r="H990" s="3">
        <f t="shared" si="15"/>
        <v>4.7315068493150685</v>
      </c>
      <c r="I990">
        <v>63</v>
      </c>
      <c r="J990" t="s">
        <v>38</v>
      </c>
      <c r="K990" t="s">
        <v>64</v>
      </c>
      <c r="L990" t="s">
        <v>44</v>
      </c>
      <c r="M990">
        <v>13.97</v>
      </c>
      <c r="N990">
        <v>13.67</v>
      </c>
      <c r="O990">
        <v>13.37</v>
      </c>
      <c r="T990" t="s">
        <v>49</v>
      </c>
      <c r="U990">
        <v>1</v>
      </c>
      <c r="V990">
        <v>5</v>
      </c>
    </row>
    <row r="991" spans="1:22" x14ac:dyDescent="0.3">
      <c r="A991">
        <v>990</v>
      </c>
      <c r="B991">
        <v>37991</v>
      </c>
      <c r="C991" s="2">
        <v>35666</v>
      </c>
      <c r="D991">
        <v>28</v>
      </c>
      <c r="E991" t="s">
        <v>42</v>
      </c>
      <c r="F991" t="s">
        <v>50</v>
      </c>
      <c r="G991" s="2">
        <v>44295</v>
      </c>
      <c r="H991" s="3">
        <f t="shared" si="15"/>
        <v>4.441095890410959</v>
      </c>
      <c r="I991">
        <v>82</v>
      </c>
      <c r="J991" t="s">
        <v>57</v>
      </c>
      <c r="K991" t="s">
        <v>43</v>
      </c>
      <c r="L991" t="s">
        <v>44</v>
      </c>
      <c r="M991">
        <v>16.100000000000001</v>
      </c>
      <c r="N991">
        <v>15.8</v>
      </c>
      <c r="O991">
        <v>15.5</v>
      </c>
      <c r="P991">
        <v>15.2</v>
      </c>
      <c r="T991" t="s">
        <v>47</v>
      </c>
      <c r="U991">
        <v>1</v>
      </c>
      <c r="V991">
        <v>5</v>
      </c>
    </row>
    <row r="992" spans="1:22" x14ac:dyDescent="0.3">
      <c r="A992">
        <v>991</v>
      </c>
      <c r="B992">
        <v>38033</v>
      </c>
      <c r="C992" s="2">
        <v>35755</v>
      </c>
      <c r="D992">
        <v>28</v>
      </c>
      <c r="E992" t="s">
        <v>42</v>
      </c>
      <c r="F992" t="s">
        <v>50</v>
      </c>
      <c r="G992" s="2">
        <v>44401</v>
      </c>
      <c r="H992" s="3">
        <f t="shared" si="15"/>
        <v>4.6630136986301371</v>
      </c>
      <c r="I992">
        <v>7</v>
      </c>
      <c r="J992" t="s">
        <v>38</v>
      </c>
      <c r="K992" t="s">
        <v>65</v>
      </c>
      <c r="L992" t="s">
        <v>44</v>
      </c>
      <c r="M992">
        <v>9.98</v>
      </c>
      <c r="N992">
        <v>9.98</v>
      </c>
      <c r="O992">
        <v>9.98</v>
      </c>
      <c r="P992">
        <v>9.8800000000000008</v>
      </c>
      <c r="T992" t="s">
        <v>47</v>
      </c>
      <c r="U992">
        <v>1</v>
      </c>
      <c r="V992">
        <v>4</v>
      </c>
    </row>
    <row r="993" spans="1:22" x14ac:dyDescent="0.3">
      <c r="A993">
        <v>992</v>
      </c>
      <c r="B993">
        <v>38101</v>
      </c>
      <c r="C993" s="2">
        <v>35137</v>
      </c>
      <c r="D993">
        <v>29</v>
      </c>
      <c r="E993" t="s">
        <v>42</v>
      </c>
      <c r="F993" t="s">
        <v>50</v>
      </c>
      <c r="G993" s="2">
        <v>44320</v>
      </c>
      <c r="H993" s="3">
        <f t="shared" si="15"/>
        <v>4.0602739726027401</v>
      </c>
      <c r="I993">
        <v>50</v>
      </c>
      <c r="J993" t="s">
        <v>38</v>
      </c>
      <c r="K993" t="s">
        <v>46</v>
      </c>
      <c r="L993" t="s">
        <v>44</v>
      </c>
      <c r="M993">
        <v>14.12</v>
      </c>
      <c r="N993">
        <v>13.82</v>
      </c>
      <c r="O993">
        <v>13.52</v>
      </c>
      <c r="P993">
        <v>13.22</v>
      </c>
      <c r="T993" t="s">
        <v>49</v>
      </c>
      <c r="U993">
        <v>1</v>
      </c>
      <c r="V993">
        <v>5</v>
      </c>
    </row>
    <row r="994" spans="1:22" x14ac:dyDescent="0.3">
      <c r="A994">
        <v>993</v>
      </c>
      <c r="B994">
        <v>38146</v>
      </c>
      <c r="C994" s="2">
        <v>36643</v>
      </c>
      <c r="D994">
        <v>25</v>
      </c>
      <c r="E994" t="s">
        <v>42</v>
      </c>
      <c r="F994" t="s">
        <v>50</v>
      </c>
      <c r="G994" s="2">
        <v>44540</v>
      </c>
      <c r="H994" s="3">
        <f t="shared" si="15"/>
        <v>3.9095890410958902</v>
      </c>
      <c r="I994">
        <v>84</v>
      </c>
      <c r="J994" t="s">
        <v>57</v>
      </c>
      <c r="K994" t="s">
        <v>56</v>
      </c>
      <c r="L994" t="s">
        <v>44</v>
      </c>
      <c r="M994">
        <v>8.4700000000000006</v>
      </c>
      <c r="N994">
        <v>8.27</v>
      </c>
      <c r="O994">
        <v>8.07</v>
      </c>
      <c r="P994">
        <v>7.87</v>
      </c>
      <c r="T994" t="s">
        <v>49</v>
      </c>
      <c r="U994">
        <v>2</v>
      </c>
      <c r="V994">
        <v>7</v>
      </c>
    </row>
    <row r="995" spans="1:22" x14ac:dyDescent="0.3">
      <c r="A995">
        <v>994</v>
      </c>
      <c r="B995">
        <v>38168</v>
      </c>
      <c r="C995" s="2">
        <v>36537</v>
      </c>
      <c r="D995">
        <v>25</v>
      </c>
      <c r="E995" t="s">
        <v>36</v>
      </c>
      <c r="F995" t="s">
        <v>50</v>
      </c>
      <c r="G995" s="2">
        <v>44595</v>
      </c>
      <c r="H995" s="3">
        <f t="shared" si="15"/>
        <v>4.4082191780821915</v>
      </c>
      <c r="I995">
        <v>99</v>
      </c>
      <c r="J995" t="s">
        <v>57</v>
      </c>
      <c r="K995" t="s">
        <v>64</v>
      </c>
      <c r="L995" t="s">
        <v>44</v>
      </c>
      <c r="M995">
        <v>13.97</v>
      </c>
      <c r="N995">
        <v>13.67</v>
      </c>
      <c r="O995">
        <v>13.37</v>
      </c>
      <c r="T995" t="s">
        <v>47</v>
      </c>
      <c r="U995">
        <v>0</v>
      </c>
      <c r="V995">
        <v>3</v>
      </c>
    </row>
    <row r="996" spans="1:22" x14ac:dyDescent="0.3">
      <c r="A996">
        <v>995</v>
      </c>
      <c r="B996">
        <v>38171</v>
      </c>
      <c r="C996" s="2">
        <v>37476</v>
      </c>
      <c r="D996">
        <v>23</v>
      </c>
      <c r="E996" t="s">
        <v>36</v>
      </c>
      <c r="F996" t="s">
        <v>37</v>
      </c>
      <c r="G996" s="2">
        <v>44413</v>
      </c>
      <c r="H996" s="3">
        <f t="shared" si="15"/>
        <v>4.1890410958904107</v>
      </c>
      <c r="I996">
        <v>100</v>
      </c>
      <c r="J996" t="s">
        <v>57</v>
      </c>
      <c r="K996" t="s">
        <v>54</v>
      </c>
      <c r="L996" t="s">
        <v>44</v>
      </c>
      <c r="M996">
        <v>22.98</v>
      </c>
      <c r="N996">
        <v>22.68</v>
      </c>
      <c r="O996">
        <v>22.38</v>
      </c>
      <c r="P996">
        <v>22.08</v>
      </c>
      <c r="T996" t="s">
        <v>49</v>
      </c>
      <c r="U996">
        <v>7</v>
      </c>
      <c r="V996">
        <v>5</v>
      </c>
    </row>
    <row r="997" spans="1:22" x14ac:dyDescent="0.3">
      <c r="A997">
        <v>996</v>
      </c>
      <c r="B997">
        <v>38194</v>
      </c>
      <c r="C997" s="2">
        <v>35502</v>
      </c>
      <c r="D997">
        <v>28</v>
      </c>
      <c r="E997" t="s">
        <v>36</v>
      </c>
      <c r="F997" t="s">
        <v>50</v>
      </c>
      <c r="G997" s="2">
        <v>44493</v>
      </c>
      <c r="H997" s="3">
        <f t="shared" si="15"/>
        <v>4.7808219178082192</v>
      </c>
      <c r="I997">
        <v>117</v>
      </c>
      <c r="J997" t="s">
        <v>57</v>
      </c>
      <c r="K997" t="s">
        <v>46</v>
      </c>
      <c r="L997" t="s">
        <v>44</v>
      </c>
      <c r="M997">
        <v>14.15</v>
      </c>
      <c r="N997">
        <v>13.84</v>
      </c>
      <c r="O997">
        <v>13.52</v>
      </c>
      <c r="P997">
        <v>13.22</v>
      </c>
      <c r="T997" t="s">
        <v>47</v>
      </c>
      <c r="U997">
        <v>0</v>
      </c>
      <c r="V997">
        <v>4</v>
      </c>
    </row>
    <row r="998" spans="1:22" x14ac:dyDescent="0.3">
      <c r="A998">
        <v>997</v>
      </c>
      <c r="B998">
        <v>38206</v>
      </c>
      <c r="C998" s="2">
        <v>37603</v>
      </c>
      <c r="D998">
        <v>23</v>
      </c>
      <c r="E998" t="s">
        <v>42</v>
      </c>
      <c r="F998" t="s">
        <v>50</v>
      </c>
      <c r="G998" s="2">
        <v>44277</v>
      </c>
      <c r="H998" s="3">
        <f t="shared" si="15"/>
        <v>4.7506849315068491</v>
      </c>
      <c r="I998">
        <v>126</v>
      </c>
      <c r="J998" t="s">
        <v>57</v>
      </c>
      <c r="K998" t="s">
        <v>46</v>
      </c>
      <c r="L998" t="s">
        <v>44</v>
      </c>
      <c r="M998">
        <v>14.12</v>
      </c>
      <c r="N998">
        <v>13.82</v>
      </c>
      <c r="O998">
        <v>13.52</v>
      </c>
      <c r="P998">
        <v>13.22</v>
      </c>
      <c r="T998" t="s">
        <v>52</v>
      </c>
      <c r="U998">
        <v>0</v>
      </c>
      <c r="V998">
        <v>5</v>
      </c>
    </row>
    <row r="999" spans="1:22" x14ac:dyDescent="0.3">
      <c r="A999">
        <v>998</v>
      </c>
      <c r="B999">
        <v>38217</v>
      </c>
      <c r="C999" s="2">
        <v>37753</v>
      </c>
      <c r="D999">
        <v>22</v>
      </c>
      <c r="E999" t="s">
        <v>42</v>
      </c>
      <c r="F999" t="s">
        <v>50</v>
      </c>
      <c r="G999" s="2">
        <v>44288</v>
      </c>
      <c r="H999" s="3">
        <f t="shared" si="15"/>
        <v>4.1342465753424653</v>
      </c>
      <c r="I999">
        <v>132</v>
      </c>
      <c r="J999" t="s">
        <v>57</v>
      </c>
      <c r="K999" t="s">
        <v>65</v>
      </c>
      <c r="L999" t="s">
        <v>44</v>
      </c>
      <c r="M999">
        <v>10.48</v>
      </c>
      <c r="N999">
        <v>10.28</v>
      </c>
      <c r="O999">
        <v>10.08</v>
      </c>
      <c r="P999">
        <v>9.8800000000000008</v>
      </c>
      <c r="T999" t="s">
        <v>47</v>
      </c>
      <c r="U999">
        <v>0</v>
      </c>
      <c r="V999">
        <v>5</v>
      </c>
    </row>
    <row r="1000" spans="1:22" x14ac:dyDescent="0.3">
      <c r="A1000">
        <v>999</v>
      </c>
      <c r="B1000">
        <v>38246</v>
      </c>
      <c r="C1000" s="2">
        <v>35544</v>
      </c>
      <c r="D1000">
        <v>28</v>
      </c>
      <c r="E1000" t="s">
        <v>42</v>
      </c>
      <c r="F1000" t="s">
        <v>50</v>
      </c>
      <c r="G1000" s="2">
        <v>44513</v>
      </c>
      <c r="H1000" s="3">
        <f t="shared" si="15"/>
        <v>4.7863013698630139</v>
      </c>
      <c r="I1000">
        <v>8</v>
      </c>
      <c r="J1000" t="s">
        <v>38</v>
      </c>
      <c r="K1000" t="s">
        <v>56</v>
      </c>
      <c r="L1000" t="s">
        <v>44</v>
      </c>
      <c r="M1000">
        <v>8.7200000000000006</v>
      </c>
      <c r="N1000">
        <v>8.44</v>
      </c>
      <c r="O1000">
        <v>8.15</v>
      </c>
      <c r="P1000">
        <v>7.87</v>
      </c>
      <c r="T1000" t="s">
        <v>45</v>
      </c>
      <c r="U1000">
        <v>0</v>
      </c>
      <c r="V1000">
        <v>6</v>
      </c>
    </row>
    <row r="1001" spans="1:22" x14ac:dyDescent="0.3">
      <c r="A1001">
        <v>1000</v>
      </c>
      <c r="B1001">
        <v>38259</v>
      </c>
      <c r="C1001" s="2">
        <v>36040</v>
      </c>
      <c r="D1001">
        <v>27</v>
      </c>
      <c r="E1001" t="s">
        <v>42</v>
      </c>
      <c r="F1001" t="s">
        <v>50</v>
      </c>
      <c r="G1001" s="2">
        <v>44275</v>
      </c>
      <c r="H1001" s="3">
        <f t="shared" si="15"/>
        <v>4.3150684931506849</v>
      </c>
      <c r="I1001">
        <v>16</v>
      </c>
      <c r="J1001" t="s">
        <v>38</v>
      </c>
      <c r="K1001" t="s">
        <v>43</v>
      </c>
      <c r="L1001" t="s">
        <v>44</v>
      </c>
      <c r="M1001">
        <v>16.100000000000001</v>
      </c>
      <c r="N1001">
        <v>15.8</v>
      </c>
      <c r="O1001">
        <v>15.5</v>
      </c>
      <c r="P1001">
        <v>15.2</v>
      </c>
      <c r="T1001" t="s">
        <v>52</v>
      </c>
      <c r="U1001">
        <v>0</v>
      </c>
      <c r="V1001">
        <v>5</v>
      </c>
    </row>
    <row r="1002" spans="1:22" x14ac:dyDescent="0.3">
      <c r="A1002">
        <v>1001</v>
      </c>
      <c r="B1002">
        <v>38262</v>
      </c>
      <c r="C1002" s="2">
        <v>37375</v>
      </c>
      <c r="D1002">
        <v>23</v>
      </c>
      <c r="E1002" t="s">
        <v>42</v>
      </c>
      <c r="F1002" t="s">
        <v>37</v>
      </c>
      <c r="G1002" s="2">
        <v>44447</v>
      </c>
      <c r="H1002" s="3">
        <f t="shared" si="15"/>
        <v>4.2602739726027394</v>
      </c>
      <c r="I1002">
        <v>17</v>
      </c>
      <c r="J1002" t="s">
        <v>38</v>
      </c>
      <c r="K1002" t="s">
        <v>43</v>
      </c>
      <c r="L1002" t="s">
        <v>44</v>
      </c>
      <c r="M1002">
        <v>16.100000000000001</v>
      </c>
      <c r="N1002">
        <v>15.8</v>
      </c>
      <c r="O1002">
        <v>15.5</v>
      </c>
      <c r="P1002">
        <v>15.2</v>
      </c>
      <c r="T1002" t="s">
        <v>52</v>
      </c>
      <c r="U1002">
        <v>1</v>
      </c>
      <c r="V1002">
        <v>5</v>
      </c>
    </row>
    <row r="1003" spans="1:22" x14ac:dyDescent="0.3">
      <c r="A1003">
        <v>1002</v>
      </c>
      <c r="B1003">
        <v>38291</v>
      </c>
      <c r="C1003" s="2">
        <v>33664</v>
      </c>
      <c r="D1003">
        <v>34</v>
      </c>
      <c r="E1003" t="s">
        <v>36</v>
      </c>
      <c r="F1003" t="s">
        <v>50</v>
      </c>
      <c r="G1003" s="2">
        <v>44467</v>
      </c>
      <c r="H1003" s="3">
        <f t="shared" si="15"/>
        <v>4.838356164383562</v>
      </c>
      <c r="I1003">
        <v>24</v>
      </c>
      <c r="J1003" t="s">
        <v>38</v>
      </c>
      <c r="K1003" t="s">
        <v>54</v>
      </c>
      <c r="L1003" t="s">
        <v>44</v>
      </c>
      <c r="M1003">
        <v>22.98</v>
      </c>
      <c r="N1003">
        <v>22.68</v>
      </c>
      <c r="O1003">
        <v>22.38</v>
      </c>
      <c r="P1003">
        <v>22.08</v>
      </c>
      <c r="T1003" t="s">
        <v>52</v>
      </c>
      <c r="U1003">
        <v>3</v>
      </c>
      <c r="V1003">
        <v>4</v>
      </c>
    </row>
    <row r="1004" spans="1:22" x14ac:dyDescent="0.3">
      <c r="A1004">
        <v>1003</v>
      </c>
      <c r="B1004">
        <v>38305</v>
      </c>
      <c r="C1004" s="2">
        <v>37507</v>
      </c>
      <c r="D1004">
        <v>23</v>
      </c>
      <c r="E1004" t="s">
        <v>42</v>
      </c>
      <c r="F1004" t="s">
        <v>37</v>
      </c>
      <c r="G1004" s="2">
        <v>44256</v>
      </c>
      <c r="H1004" s="3">
        <f t="shared" si="15"/>
        <v>4.4164383561643836</v>
      </c>
      <c r="I1004">
        <v>30</v>
      </c>
      <c r="J1004" t="s">
        <v>38</v>
      </c>
      <c r="K1004" t="s">
        <v>65</v>
      </c>
      <c r="L1004" t="s">
        <v>44</v>
      </c>
      <c r="M1004">
        <v>10.48</v>
      </c>
      <c r="N1004">
        <v>10.28</v>
      </c>
      <c r="O1004">
        <v>10.08</v>
      </c>
      <c r="P1004">
        <v>9.8800000000000008</v>
      </c>
      <c r="T1004" t="s">
        <v>47</v>
      </c>
      <c r="U1004">
        <v>0</v>
      </c>
      <c r="V1004">
        <v>6</v>
      </c>
    </row>
    <row r="1005" spans="1:22" x14ac:dyDescent="0.3">
      <c r="A1005">
        <v>1004</v>
      </c>
      <c r="B1005">
        <v>38354</v>
      </c>
      <c r="C1005" s="2">
        <v>32305</v>
      </c>
      <c r="D1005">
        <v>37</v>
      </c>
      <c r="E1005" t="s">
        <v>36</v>
      </c>
      <c r="F1005" t="s">
        <v>50</v>
      </c>
      <c r="G1005" s="2">
        <v>44410</v>
      </c>
      <c r="H1005" s="3">
        <f t="shared" si="15"/>
        <v>4.7041095890410958</v>
      </c>
      <c r="I1005">
        <v>47</v>
      </c>
      <c r="J1005" t="s">
        <v>38</v>
      </c>
      <c r="K1005" t="s">
        <v>54</v>
      </c>
      <c r="L1005" t="s">
        <v>44</v>
      </c>
      <c r="M1005">
        <v>22.98</v>
      </c>
      <c r="N1005">
        <v>22.68</v>
      </c>
      <c r="O1005">
        <v>22.38</v>
      </c>
      <c r="P1005">
        <v>22.08</v>
      </c>
      <c r="T1005" t="s">
        <v>45</v>
      </c>
      <c r="U1005">
        <v>6</v>
      </c>
      <c r="V1005">
        <v>5</v>
      </c>
    </row>
    <row r="1006" spans="1:22" x14ac:dyDescent="0.3">
      <c r="A1006">
        <v>1005</v>
      </c>
      <c r="B1006">
        <v>38361</v>
      </c>
      <c r="C1006" s="2">
        <v>35432</v>
      </c>
      <c r="D1006">
        <v>28</v>
      </c>
      <c r="E1006" t="s">
        <v>36</v>
      </c>
      <c r="F1006" t="s">
        <v>50</v>
      </c>
      <c r="G1006" s="2">
        <v>44305</v>
      </c>
      <c r="H1006" s="3">
        <f t="shared" si="15"/>
        <v>4.1369863013698627</v>
      </c>
      <c r="I1006">
        <v>49</v>
      </c>
      <c r="J1006" t="s">
        <v>38</v>
      </c>
      <c r="K1006" t="s">
        <v>55</v>
      </c>
      <c r="L1006" t="s">
        <v>44</v>
      </c>
      <c r="M1006">
        <v>16.899999999999999</v>
      </c>
      <c r="N1006">
        <v>16.73</v>
      </c>
      <c r="O1006">
        <v>16.73</v>
      </c>
      <c r="P1006">
        <v>16.329999999999998</v>
      </c>
      <c r="T1006" t="s">
        <v>52</v>
      </c>
      <c r="U1006">
        <v>1</v>
      </c>
      <c r="V1006">
        <v>3</v>
      </c>
    </row>
    <row r="1007" spans="1:22" x14ac:dyDescent="0.3">
      <c r="A1007">
        <v>1006</v>
      </c>
      <c r="B1007">
        <v>38373</v>
      </c>
      <c r="C1007" s="2">
        <v>33882</v>
      </c>
      <c r="D1007">
        <v>33</v>
      </c>
      <c r="E1007" t="s">
        <v>42</v>
      </c>
      <c r="F1007" t="s">
        <v>50</v>
      </c>
      <c r="G1007" s="2">
        <v>44512</v>
      </c>
      <c r="H1007" s="3">
        <f t="shared" si="15"/>
        <v>4.4273972602739722</v>
      </c>
      <c r="I1007">
        <v>54</v>
      </c>
      <c r="J1007" t="s">
        <v>38</v>
      </c>
      <c r="K1007" t="s">
        <v>54</v>
      </c>
      <c r="L1007" t="s">
        <v>44</v>
      </c>
      <c r="M1007">
        <v>22.98</v>
      </c>
      <c r="N1007">
        <v>22.68</v>
      </c>
      <c r="O1007">
        <v>22.38</v>
      </c>
      <c r="P1007">
        <v>22.08</v>
      </c>
      <c r="T1007" t="s">
        <v>49</v>
      </c>
      <c r="U1007">
        <v>5</v>
      </c>
      <c r="V1007">
        <v>7</v>
      </c>
    </row>
    <row r="1008" spans="1:22" x14ac:dyDescent="0.3">
      <c r="A1008">
        <v>1007</v>
      </c>
      <c r="B1008">
        <v>38404</v>
      </c>
      <c r="C1008" s="2">
        <v>33848</v>
      </c>
      <c r="D1008">
        <v>34</v>
      </c>
      <c r="E1008" t="s">
        <v>42</v>
      </c>
      <c r="F1008" t="s">
        <v>50</v>
      </c>
      <c r="G1008" s="2">
        <v>44406</v>
      </c>
      <c r="H1008" s="3">
        <f t="shared" si="15"/>
        <v>3.9205479452054797</v>
      </c>
      <c r="I1008">
        <v>64</v>
      </c>
      <c r="J1008" t="s">
        <v>38</v>
      </c>
      <c r="K1008" t="s">
        <v>56</v>
      </c>
      <c r="L1008" t="s">
        <v>44</v>
      </c>
      <c r="M1008">
        <v>8.4700000000000006</v>
      </c>
      <c r="N1008">
        <v>8.27</v>
      </c>
      <c r="O1008">
        <v>8.07</v>
      </c>
      <c r="P1008">
        <v>7.87</v>
      </c>
      <c r="T1008" t="s">
        <v>52</v>
      </c>
      <c r="U1008">
        <v>4</v>
      </c>
      <c r="V1008">
        <v>7</v>
      </c>
    </row>
    <row r="1009" spans="1:22" x14ac:dyDescent="0.3">
      <c r="A1009">
        <v>1008</v>
      </c>
      <c r="B1009">
        <v>38405</v>
      </c>
      <c r="C1009" s="2">
        <v>35941</v>
      </c>
      <c r="D1009">
        <v>27</v>
      </c>
      <c r="E1009" t="s">
        <v>42</v>
      </c>
      <c r="F1009" t="s">
        <v>50</v>
      </c>
      <c r="G1009" s="2">
        <v>44591</v>
      </c>
      <c r="H1009" s="3">
        <f t="shared" si="15"/>
        <v>4.484931506849315</v>
      </c>
      <c r="I1009">
        <v>66</v>
      </c>
      <c r="J1009" t="s">
        <v>57</v>
      </c>
      <c r="K1009" t="s">
        <v>43</v>
      </c>
      <c r="L1009" t="s">
        <v>44</v>
      </c>
      <c r="M1009">
        <v>16.100000000000001</v>
      </c>
      <c r="N1009">
        <v>15.8</v>
      </c>
      <c r="O1009">
        <v>15.5</v>
      </c>
      <c r="T1009" t="s">
        <v>52</v>
      </c>
      <c r="U1009">
        <v>1</v>
      </c>
      <c r="V1009">
        <v>7</v>
      </c>
    </row>
    <row r="1010" spans="1:22" x14ac:dyDescent="0.3">
      <c r="A1010">
        <v>1009</v>
      </c>
      <c r="B1010">
        <v>38468</v>
      </c>
      <c r="C1010" s="2">
        <v>35642</v>
      </c>
      <c r="D1010">
        <v>28</v>
      </c>
      <c r="E1010" t="s">
        <v>36</v>
      </c>
      <c r="F1010" t="s">
        <v>50</v>
      </c>
      <c r="G1010" s="2">
        <v>44385</v>
      </c>
      <c r="H1010" s="3">
        <f t="shared" si="15"/>
        <v>4.0246575342465754</v>
      </c>
      <c r="I1010">
        <v>96</v>
      </c>
      <c r="J1010" t="s">
        <v>57</v>
      </c>
      <c r="K1010" t="s">
        <v>55</v>
      </c>
      <c r="L1010" t="s">
        <v>44</v>
      </c>
      <c r="M1010">
        <v>16.84</v>
      </c>
      <c r="N1010">
        <v>16.48</v>
      </c>
      <c r="O1010">
        <v>16.329999999999998</v>
      </c>
      <c r="P1010">
        <v>16.329999999999998</v>
      </c>
      <c r="T1010" t="s">
        <v>47</v>
      </c>
      <c r="U1010">
        <v>2</v>
      </c>
      <c r="V1010">
        <v>4</v>
      </c>
    </row>
    <row r="1011" spans="1:22" x14ac:dyDescent="0.3">
      <c r="A1011">
        <v>1010</v>
      </c>
      <c r="B1011">
        <v>38538</v>
      </c>
      <c r="C1011" s="2">
        <v>36272</v>
      </c>
      <c r="D1011">
        <v>26</v>
      </c>
      <c r="E1011" t="s">
        <v>42</v>
      </c>
      <c r="F1011" t="s">
        <v>37</v>
      </c>
      <c r="G1011" s="2">
        <v>44553</v>
      </c>
      <c r="H1011" s="3">
        <f t="shared" si="15"/>
        <v>4.1342465753424653</v>
      </c>
      <c r="I1011">
        <v>135</v>
      </c>
      <c r="J1011" t="s">
        <v>57</v>
      </c>
      <c r="K1011" t="s">
        <v>46</v>
      </c>
      <c r="L1011" t="s">
        <v>44</v>
      </c>
      <c r="M1011">
        <v>14.12</v>
      </c>
      <c r="N1011">
        <v>13.82</v>
      </c>
      <c r="O1011">
        <v>13.52</v>
      </c>
      <c r="P1011">
        <v>13.22</v>
      </c>
      <c r="T1011" t="s">
        <v>52</v>
      </c>
      <c r="U1011">
        <v>1</v>
      </c>
      <c r="V1011">
        <v>5</v>
      </c>
    </row>
    <row r="1012" spans="1:22" x14ac:dyDescent="0.3">
      <c r="A1012">
        <v>1011</v>
      </c>
      <c r="B1012">
        <v>38558</v>
      </c>
      <c r="C1012" s="2">
        <v>37160</v>
      </c>
      <c r="D1012">
        <v>24</v>
      </c>
      <c r="E1012" t="s">
        <v>42</v>
      </c>
      <c r="F1012" t="s">
        <v>50</v>
      </c>
      <c r="G1012" s="2">
        <v>44513</v>
      </c>
      <c r="H1012" s="3">
        <f t="shared" si="15"/>
        <v>4.7452054794520544</v>
      </c>
      <c r="I1012">
        <v>1</v>
      </c>
      <c r="J1012" t="s">
        <v>38</v>
      </c>
      <c r="K1012" t="s">
        <v>43</v>
      </c>
      <c r="L1012" t="s">
        <v>44</v>
      </c>
      <c r="M1012">
        <v>16.100000000000001</v>
      </c>
      <c r="N1012">
        <v>15.8</v>
      </c>
      <c r="O1012">
        <v>15.5</v>
      </c>
      <c r="P1012">
        <v>15.2</v>
      </c>
      <c r="T1012" t="s">
        <v>47</v>
      </c>
      <c r="U1012">
        <v>1</v>
      </c>
      <c r="V1012">
        <v>6</v>
      </c>
    </row>
    <row r="1013" spans="1:22" x14ac:dyDescent="0.3">
      <c r="A1013">
        <v>1012</v>
      </c>
      <c r="B1013">
        <v>38559</v>
      </c>
      <c r="C1013" s="2">
        <v>36015</v>
      </c>
      <c r="D1013">
        <v>27</v>
      </c>
      <c r="E1013" t="s">
        <v>42</v>
      </c>
      <c r="F1013" t="s">
        <v>50</v>
      </c>
      <c r="G1013" s="2">
        <v>44290</v>
      </c>
      <c r="H1013" s="3">
        <f t="shared" si="15"/>
        <v>4.4054794520547942</v>
      </c>
      <c r="I1013">
        <v>1</v>
      </c>
      <c r="J1013" t="s">
        <v>38</v>
      </c>
      <c r="K1013" t="s">
        <v>56</v>
      </c>
      <c r="L1013" t="s">
        <v>44</v>
      </c>
      <c r="M1013">
        <v>8.4700000000000006</v>
      </c>
      <c r="N1013">
        <v>8.27</v>
      </c>
      <c r="O1013">
        <v>8.07</v>
      </c>
      <c r="P1013">
        <v>7.87</v>
      </c>
      <c r="T1013" t="s">
        <v>47</v>
      </c>
      <c r="U1013">
        <v>1</v>
      </c>
      <c r="V1013">
        <v>5</v>
      </c>
    </row>
    <row r="1014" spans="1:22" x14ac:dyDescent="0.3">
      <c r="A1014">
        <v>1013</v>
      </c>
      <c r="B1014">
        <v>38576</v>
      </c>
      <c r="C1014" s="2">
        <v>36334</v>
      </c>
      <c r="D1014">
        <v>26</v>
      </c>
      <c r="E1014" t="s">
        <v>36</v>
      </c>
      <c r="F1014" t="s">
        <v>50</v>
      </c>
      <c r="G1014" s="2">
        <v>44414</v>
      </c>
      <c r="H1014" s="3">
        <f t="shared" si="15"/>
        <v>4.7041095890410958</v>
      </c>
      <c r="I1014">
        <v>2</v>
      </c>
      <c r="J1014" t="s">
        <v>38</v>
      </c>
      <c r="K1014" t="s">
        <v>65</v>
      </c>
      <c r="L1014" t="s">
        <v>44</v>
      </c>
      <c r="M1014">
        <v>10.48</v>
      </c>
      <c r="N1014">
        <v>10.28</v>
      </c>
      <c r="O1014">
        <v>10.08</v>
      </c>
      <c r="P1014">
        <v>9.8800000000000008</v>
      </c>
      <c r="T1014" t="s">
        <v>47</v>
      </c>
      <c r="U1014">
        <v>1</v>
      </c>
      <c r="V1014">
        <v>5</v>
      </c>
    </row>
    <row r="1015" spans="1:22" x14ac:dyDescent="0.3">
      <c r="A1015">
        <v>1014</v>
      </c>
      <c r="B1015">
        <v>38625</v>
      </c>
      <c r="C1015" s="2">
        <v>37524</v>
      </c>
      <c r="D1015">
        <v>23</v>
      </c>
      <c r="E1015" t="s">
        <v>42</v>
      </c>
      <c r="F1015" t="s">
        <v>50</v>
      </c>
      <c r="G1015" s="2">
        <v>44305</v>
      </c>
      <c r="H1015" s="3">
        <f t="shared" si="15"/>
        <v>4.1452054794520548</v>
      </c>
      <c r="I1015">
        <v>4</v>
      </c>
      <c r="J1015" t="s">
        <v>38</v>
      </c>
      <c r="K1015" t="s">
        <v>65</v>
      </c>
      <c r="L1015" t="s">
        <v>44</v>
      </c>
      <c r="M1015">
        <v>10.48</v>
      </c>
      <c r="N1015">
        <v>10.28</v>
      </c>
      <c r="O1015">
        <v>10.08</v>
      </c>
      <c r="P1015">
        <v>9.8800000000000008</v>
      </c>
      <c r="T1015" t="s">
        <v>45</v>
      </c>
      <c r="U1015">
        <v>1</v>
      </c>
      <c r="V1015">
        <v>6</v>
      </c>
    </row>
    <row r="1016" spans="1:22" x14ac:dyDescent="0.3">
      <c r="A1016">
        <v>1015</v>
      </c>
      <c r="B1016">
        <v>38626</v>
      </c>
      <c r="C1016" s="2">
        <v>37229</v>
      </c>
      <c r="D1016">
        <v>24</v>
      </c>
      <c r="E1016" t="s">
        <v>36</v>
      </c>
      <c r="F1016" t="s">
        <v>50</v>
      </c>
      <c r="G1016" s="2">
        <v>44509</v>
      </c>
      <c r="H1016" s="3">
        <f t="shared" si="15"/>
        <v>3.9342465753424656</v>
      </c>
      <c r="I1016">
        <v>4</v>
      </c>
      <c r="J1016" t="s">
        <v>38</v>
      </c>
      <c r="K1016" t="s">
        <v>65</v>
      </c>
      <c r="L1016" t="s">
        <v>44</v>
      </c>
      <c r="M1016">
        <v>10.48</v>
      </c>
      <c r="N1016">
        <v>10.28</v>
      </c>
      <c r="O1016">
        <v>10.08</v>
      </c>
      <c r="P1016">
        <v>9.8800000000000008</v>
      </c>
      <c r="T1016" t="s">
        <v>47</v>
      </c>
      <c r="U1016">
        <v>0</v>
      </c>
      <c r="V1016">
        <v>3</v>
      </c>
    </row>
    <row r="1017" spans="1:22" x14ac:dyDescent="0.3">
      <c r="A1017">
        <v>1016</v>
      </c>
      <c r="B1017">
        <v>38627</v>
      </c>
      <c r="C1017" s="2">
        <v>37745</v>
      </c>
      <c r="D1017">
        <v>22</v>
      </c>
      <c r="E1017" t="s">
        <v>42</v>
      </c>
      <c r="F1017" t="s">
        <v>50</v>
      </c>
      <c r="G1017" s="2">
        <v>44586</v>
      </c>
      <c r="H1017" s="3">
        <f t="shared" si="15"/>
        <v>4.4684931506849317</v>
      </c>
      <c r="I1017">
        <v>4</v>
      </c>
      <c r="J1017" t="s">
        <v>38</v>
      </c>
      <c r="K1017" t="s">
        <v>48</v>
      </c>
      <c r="L1017" t="s">
        <v>44</v>
      </c>
      <c r="M1017">
        <v>8.4700000000000006</v>
      </c>
      <c r="N1017">
        <v>8.27</v>
      </c>
      <c r="O1017">
        <v>8.07</v>
      </c>
      <c r="T1017" t="s">
        <v>49</v>
      </c>
      <c r="U1017">
        <v>2</v>
      </c>
      <c r="V1017">
        <v>6</v>
      </c>
    </row>
    <row r="1018" spans="1:22" x14ac:dyDescent="0.3">
      <c r="A1018">
        <v>1017</v>
      </c>
      <c r="B1018">
        <v>38665</v>
      </c>
      <c r="C1018" s="2">
        <v>36514</v>
      </c>
      <c r="D1018">
        <v>26</v>
      </c>
      <c r="E1018" t="s">
        <v>42</v>
      </c>
      <c r="F1018" t="s">
        <v>50</v>
      </c>
      <c r="G1018" s="2">
        <v>44391</v>
      </c>
      <c r="H1018" s="3">
        <f t="shared" si="15"/>
        <v>4.2876712328767121</v>
      </c>
      <c r="I1018">
        <v>5</v>
      </c>
      <c r="J1018" t="s">
        <v>38</v>
      </c>
      <c r="K1018" t="s">
        <v>56</v>
      </c>
      <c r="L1018" t="s">
        <v>44</v>
      </c>
      <c r="M1018">
        <v>8.4700000000000006</v>
      </c>
      <c r="N1018">
        <v>8.27</v>
      </c>
      <c r="O1018">
        <v>8.07</v>
      </c>
      <c r="P1018">
        <v>7.87</v>
      </c>
      <c r="T1018" t="s">
        <v>47</v>
      </c>
      <c r="U1018">
        <v>3</v>
      </c>
      <c r="V1018">
        <v>7</v>
      </c>
    </row>
    <row r="1019" spans="1:22" x14ac:dyDescent="0.3">
      <c r="A1019">
        <v>1018</v>
      </c>
      <c r="B1019">
        <v>38721</v>
      </c>
      <c r="C1019" s="2">
        <v>35852</v>
      </c>
      <c r="D1019">
        <v>27</v>
      </c>
      <c r="E1019" t="s">
        <v>42</v>
      </c>
      <c r="F1019" t="s">
        <v>50</v>
      </c>
      <c r="G1019" s="2">
        <v>44457</v>
      </c>
      <c r="H1019" s="3">
        <f t="shared" si="15"/>
        <v>4.8191780821917805</v>
      </c>
      <c r="I1019">
        <v>8</v>
      </c>
      <c r="J1019" t="s">
        <v>38</v>
      </c>
      <c r="K1019" t="s">
        <v>68</v>
      </c>
      <c r="L1019" t="s">
        <v>44</v>
      </c>
      <c r="M1019">
        <v>16.37</v>
      </c>
      <c r="N1019">
        <v>16.13</v>
      </c>
      <c r="O1019">
        <v>16.010000000000002</v>
      </c>
      <c r="P1019">
        <v>15.79</v>
      </c>
      <c r="T1019" t="s">
        <v>47</v>
      </c>
      <c r="U1019">
        <v>1</v>
      </c>
      <c r="V1019">
        <v>6</v>
      </c>
    </row>
    <row r="1020" spans="1:22" x14ac:dyDescent="0.3">
      <c r="A1020">
        <v>1019</v>
      </c>
      <c r="B1020">
        <v>38731</v>
      </c>
      <c r="C1020" s="2">
        <v>36461</v>
      </c>
      <c r="D1020">
        <v>26</v>
      </c>
      <c r="E1020" t="s">
        <v>36</v>
      </c>
      <c r="F1020" t="s">
        <v>50</v>
      </c>
      <c r="G1020" s="2">
        <v>44263</v>
      </c>
      <c r="H1020" s="3">
        <f t="shared" si="15"/>
        <v>4.0849315068493155</v>
      </c>
      <c r="I1020">
        <v>9</v>
      </c>
      <c r="J1020" t="s">
        <v>38</v>
      </c>
      <c r="K1020" t="s">
        <v>46</v>
      </c>
      <c r="L1020" t="s">
        <v>44</v>
      </c>
      <c r="M1020">
        <v>14.12</v>
      </c>
      <c r="N1020">
        <v>13.82</v>
      </c>
      <c r="O1020">
        <v>13.52</v>
      </c>
      <c r="P1020">
        <v>13.22</v>
      </c>
      <c r="T1020" t="s">
        <v>52</v>
      </c>
      <c r="U1020">
        <v>0</v>
      </c>
      <c r="V1020">
        <v>4</v>
      </c>
    </row>
    <row r="1021" spans="1:22" x14ac:dyDescent="0.3">
      <c r="A1021">
        <v>1020</v>
      </c>
      <c r="B1021">
        <v>38747</v>
      </c>
      <c r="C1021" s="2">
        <v>36888</v>
      </c>
      <c r="D1021">
        <v>25</v>
      </c>
      <c r="E1021" t="s">
        <v>36</v>
      </c>
      <c r="F1021" t="s">
        <v>37</v>
      </c>
      <c r="G1021" s="2">
        <v>44531</v>
      </c>
      <c r="H1021" s="3">
        <f t="shared" si="15"/>
        <v>4.5095890410958903</v>
      </c>
      <c r="I1021">
        <v>9</v>
      </c>
      <c r="J1021" t="s">
        <v>38</v>
      </c>
      <c r="K1021" t="s">
        <v>56</v>
      </c>
      <c r="L1021" t="s">
        <v>44</v>
      </c>
      <c r="M1021">
        <v>8.4700000000000006</v>
      </c>
      <c r="N1021">
        <v>8.27</v>
      </c>
      <c r="O1021">
        <v>8.07</v>
      </c>
      <c r="P1021">
        <v>7.87</v>
      </c>
      <c r="T1021" t="s">
        <v>52</v>
      </c>
      <c r="U1021">
        <v>1</v>
      </c>
      <c r="V1021">
        <v>4</v>
      </c>
    </row>
    <row r="1022" spans="1:22" x14ac:dyDescent="0.3">
      <c r="A1022">
        <v>1021</v>
      </c>
      <c r="B1022">
        <v>38942</v>
      </c>
      <c r="C1022" s="2">
        <v>36285</v>
      </c>
      <c r="D1022">
        <v>26</v>
      </c>
      <c r="E1022" t="s">
        <v>42</v>
      </c>
      <c r="F1022" t="s">
        <v>50</v>
      </c>
      <c r="G1022" s="2">
        <v>44376</v>
      </c>
      <c r="H1022" s="3">
        <f t="shared" si="15"/>
        <v>4.5863013698630137</v>
      </c>
      <c r="I1022">
        <v>16</v>
      </c>
      <c r="J1022" t="s">
        <v>38</v>
      </c>
      <c r="K1022" t="s">
        <v>56</v>
      </c>
      <c r="L1022" t="s">
        <v>44</v>
      </c>
      <c r="M1022">
        <v>8.4700000000000006</v>
      </c>
      <c r="N1022">
        <v>8.27</v>
      </c>
      <c r="O1022">
        <v>8.07</v>
      </c>
      <c r="P1022">
        <v>7.87</v>
      </c>
      <c r="T1022" t="s">
        <v>47</v>
      </c>
      <c r="U1022">
        <v>4</v>
      </c>
      <c r="V1022">
        <v>6</v>
      </c>
    </row>
    <row r="1023" spans="1:22" x14ac:dyDescent="0.3">
      <c r="A1023">
        <v>1022</v>
      </c>
      <c r="B1023">
        <v>38957</v>
      </c>
      <c r="C1023" s="2">
        <v>37451</v>
      </c>
      <c r="D1023">
        <v>23</v>
      </c>
      <c r="E1023" t="s">
        <v>42</v>
      </c>
      <c r="F1023" t="s">
        <v>50</v>
      </c>
      <c r="G1023" s="2">
        <v>44348</v>
      </c>
      <c r="H1023" s="3">
        <f t="shared" si="15"/>
        <v>3.9863013698630136</v>
      </c>
      <c r="I1023">
        <v>17</v>
      </c>
      <c r="J1023" t="s">
        <v>38</v>
      </c>
      <c r="K1023" t="s">
        <v>56</v>
      </c>
      <c r="L1023" t="s">
        <v>44</v>
      </c>
      <c r="M1023">
        <v>8.4700000000000006</v>
      </c>
      <c r="N1023">
        <v>8.27</v>
      </c>
      <c r="O1023">
        <v>8.07</v>
      </c>
      <c r="P1023">
        <v>7.87</v>
      </c>
      <c r="T1023" t="s">
        <v>52</v>
      </c>
      <c r="U1023">
        <v>2</v>
      </c>
      <c r="V1023">
        <v>6</v>
      </c>
    </row>
    <row r="1024" spans="1:22" x14ac:dyDescent="0.3">
      <c r="A1024">
        <v>1023</v>
      </c>
      <c r="B1024">
        <v>38997</v>
      </c>
      <c r="C1024" s="2">
        <v>37221</v>
      </c>
      <c r="D1024">
        <v>24</v>
      </c>
      <c r="E1024" t="s">
        <v>42</v>
      </c>
      <c r="F1024" t="s">
        <v>50</v>
      </c>
      <c r="G1024" s="2">
        <v>44567</v>
      </c>
      <c r="H1024" s="3">
        <f t="shared" si="15"/>
        <v>3.9863013698630136</v>
      </c>
      <c r="I1024">
        <v>19</v>
      </c>
      <c r="J1024" t="s">
        <v>38</v>
      </c>
      <c r="K1024" t="s">
        <v>56</v>
      </c>
      <c r="L1024" t="s">
        <v>44</v>
      </c>
      <c r="M1024">
        <v>8.25</v>
      </c>
      <c r="N1024">
        <v>8.11</v>
      </c>
      <c r="O1024">
        <v>7.87</v>
      </c>
      <c r="T1024" t="s">
        <v>47</v>
      </c>
      <c r="U1024">
        <v>4</v>
      </c>
      <c r="V1024">
        <v>7</v>
      </c>
    </row>
    <row r="1025" spans="1:22" x14ac:dyDescent="0.3">
      <c r="A1025">
        <v>1024</v>
      </c>
      <c r="B1025">
        <v>39000</v>
      </c>
      <c r="C1025" s="2">
        <v>38066</v>
      </c>
      <c r="D1025">
        <v>21</v>
      </c>
      <c r="E1025" t="s">
        <v>42</v>
      </c>
      <c r="F1025" t="s">
        <v>50</v>
      </c>
      <c r="G1025" s="2">
        <v>44567</v>
      </c>
      <c r="H1025" s="3">
        <f t="shared" si="15"/>
        <v>4.4657534246575343</v>
      </c>
      <c r="I1025">
        <v>19</v>
      </c>
      <c r="J1025" t="s">
        <v>38</v>
      </c>
      <c r="K1025" t="s">
        <v>56</v>
      </c>
      <c r="L1025" t="s">
        <v>44</v>
      </c>
      <c r="M1025">
        <v>8.61</v>
      </c>
      <c r="N1025">
        <v>8.34</v>
      </c>
      <c r="O1025">
        <v>8.1300000000000008</v>
      </c>
      <c r="T1025" t="s">
        <v>47</v>
      </c>
      <c r="U1025">
        <v>2</v>
      </c>
      <c r="V1025">
        <v>7</v>
      </c>
    </row>
    <row r="1026" spans="1:22" x14ac:dyDescent="0.3">
      <c r="A1026">
        <v>1025</v>
      </c>
      <c r="B1026">
        <v>39107</v>
      </c>
      <c r="C1026" s="2">
        <v>37338</v>
      </c>
      <c r="D1026">
        <v>23</v>
      </c>
      <c r="E1026" t="s">
        <v>36</v>
      </c>
      <c r="F1026" t="s">
        <v>50</v>
      </c>
      <c r="G1026" s="2">
        <v>44392</v>
      </c>
      <c r="H1026" s="3">
        <f t="shared" si="15"/>
        <v>4.7287671232876711</v>
      </c>
      <c r="I1026">
        <v>24</v>
      </c>
      <c r="J1026" t="s">
        <v>38</v>
      </c>
      <c r="K1026" t="s">
        <v>64</v>
      </c>
      <c r="L1026" t="s">
        <v>44</v>
      </c>
      <c r="M1026">
        <v>13.97</v>
      </c>
      <c r="N1026">
        <v>13.67</v>
      </c>
      <c r="O1026">
        <v>13.37</v>
      </c>
      <c r="P1026">
        <v>13.07</v>
      </c>
      <c r="T1026" t="s">
        <v>47</v>
      </c>
      <c r="U1026">
        <v>1</v>
      </c>
      <c r="V1026">
        <v>4</v>
      </c>
    </row>
    <row r="1027" spans="1:22" x14ac:dyDescent="0.3">
      <c r="A1027">
        <v>1026</v>
      </c>
      <c r="B1027">
        <v>39141</v>
      </c>
      <c r="C1027" s="2">
        <v>36285</v>
      </c>
      <c r="D1027">
        <v>26</v>
      </c>
      <c r="E1027" t="s">
        <v>42</v>
      </c>
      <c r="F1027" t="s">
        <v>50</v>
      </c>
      <c r="G1027" s="2">
        <v>44296</v>
      </c>
      <c r="H1027" s="3">
        <f t="shared" ref="H1027:H1090" si="16">DATEDIF(G1028,DATE(2025,12,31),"d")/365</f>
        <v>4.3726027397260276</v>
      </c>
      <c r="I1027">
        <v>25</v>
      </c>
      <c r="J1027" t="s">
        <v>38</v>
      </c>
      <c r="K1027" t="s">
        <v>56</v>
      </c>
      <c r="L1027" t="s">
        <v>44</v>
      </c>
      <c r="M1027">
        <v>8.4700000000000006</v>
      </c>
      <c r="N1027">
        <v>8.27</v>
      </c>
      <c r="O1027">
        <v>8.07</v>
      </c>
      <c r="P1027">
        <v>7.87</v>
      </c>
      <c r="T1027" t="s">
        <v>47</v>
      </c>
      <c r="U1027">
        <v>4</v>
      </c>
      <c r="V1027">
        <v>6</v>
      </c>
    </row>
    <row r="1028" spans="1:22" x14ac:dyDescent="0.3">
      <c r="A1028">
        <v>1027</v>
      </c>
      <c r="B1028">
        <v>39143</v>
      </c>
      <c r="C1028" s="2">
        <v>35224</v>
      </c>
      <c r="D1028">
        <v>29</v>
      </c>
      <c r="E1028" t="s">
        <v>42</v>
      </c>
      <c r="F1028" t="s">
        <v>50</v>
      </c>
      <c r="G1028" s="2">
        <v>44426</v>
      </c>
      <c r="H1028" s="3">
        <f t="shared" si="16"/>
        <v>4.2931506849315069</v>
      </c>
      <c r="I1028">
        <v>25</v>
      </c>
      <c r="J1028" t="s">
        <v>38</v>
      </c>
      <c r="K1028" t="s">
        <v>56</v>
      </c>
      <c r="L1028" t="s">
        <v>44</v>
      </c>
      <c r="M1028">
        <v>8.4700000000000006</v>
      </c>
      <c r="N1028">
        <v>8.27</v>
      </c>
      <c r="O1028">
        <v>8.07</v>
      </c>
      <c r="P1028">
        <v>7.87</v>
      </c>
      <c r="T1028" t="s">
        <v>47</v>
      </c>
      <c r="U1028">
        <v>2</v>
      </c>
      <c r="V1028">
        <v>6</v>
      </c>
    </row>
    <row r="1029" spans="1:22" x14ac:dyDescent="0.3">
      <c r="A1029">
        <v>1028</v>
      </c>
      <c r="B1029">
        <v>39162</v>
      </c>
      <c r="C1029" s="2">
        <v>36180</v>
      </c>
      <c r="D1029">
        <v>26</v>
      </c>
      <c r="E1029" t="s">
        <v>42</v>
      </c>
      <c r="F1029" t="s">
        <v>50</v>
      </c>
      <c r="G1029" s="2">
        <v>44455</v>
      </c>
      <c r="H1029" s="3">
        <f t="shared" si="16"/>
        <v>4.4438356164383563</v>
      </c>
      <c r="I1029">
        <v>26</v>
      </c>
      <c r="J1029" t="s">
        <v>38</v>
      </c>
      <c r="K1029" t="s">
        <v>68</v>
      </c>
      <c r="L1029" t="s">
        <v>44</v>
      </c>
      <c r="M1029">
        <v>16.39</v>
      </c>
      <c r="N1029">
        <v>16.190000000000001</v>
      </c>
      <c r="O1029">
        <v>15.99</v>
      </c>
      <c r="P1029">
        <v>15.79</v>
      </c>
      <c r="T1029" t="s">
        <v>47</v>
      </c>
      <c r="U1029">
        <v>2</v>
      </c>
      <c r="V1029">
        <v>6</v>
      </c>
    </row>
    <row r="1030" spans="1:22" x14ac:dyDescent="0.3">
      <c r="A1030">
        <v>1029</v>
      </c>
      <c r="B1030">
        <v>39305</v>
      </c>
      <c r="C1030" s="2">
        <v>35339</v>
      </c>
      <c r="D1030">
        <v>30</v>
      </c>
      <c r="E1030" t="s">
        <v>42</v>
      </c>
      <c r="F1030" t="s">
        <v>37</v>
      </c>
      <c r="G1030" s="2">
        <v>44400</v>
      </c>
      <c r="H1030" s="3">
        <f t="shared" si="16"/>
        <v>4.3479452054794523</v>
      </c>
      <c r="I1030">
        <v>30</v>
      </c>
      <c r="J1030" t="s">
        <v>38</v>
      </c>
      <c r="K1030" t="s">
        <v>56</v>
      </c>
      <c r="L1030" t="s">
        <v>44</v>
      </c>
      <c r="M1030">
        <v>8.4700000000000006</v>
      </c>
      <c r="N1030">
        <v>8.27</v>
      </c>
      <c r="O1030">
        <v>8.07</v>
      </c>
      <c r="P1030">
        <v>7.87</v>
      </c>
      <c r="T1030" t="s">
        <v>47</v>
      </c>
      <c r="U1030">
        <v>2</v>
      </c>
      <c r="V1030">
        <v>7</v>
      </c>
    </row>
    <row r="1031" spans="1:22" x14ac:dyDescent="0.3">
      <c r="A1031">
        <v>1030</v>
      </c>
      <c r="B1031">
        <v>39433</v>
      </c>
      <c r="C1031" s="2">
        <v>37888</v>
      </c>
      <c r="D1031">
        <v>22</v>
      </c>
      <c r="E1031" t="s">
        <v>42</v>
      </c>
      <c r="F1031" t="s">
        <v>50</v>
      </c>
      <c r="G1031" s="2">
        <v>44435</v>
      </c>
      <c r="H1031" s="3">
        <f t="shared" si="16"/>
        <v>4.0356164383561648</v>
      </c>
      <c r="I1031">
        <v>36</v>
      </c>
      <c r="J1031" t="s">
        <v>38</v>
      </c>
      <c r="K1031" t="s">
        <v>56</v>
      </c>
      <c r="L1031" t="s">
        <v>44</v>
      </c>
      <c r="M1031">
        <v>8.4700000000000006</v>
      </c>
      <c r="N1031">
        <v>8.27</v>
      </c>
      <c r="O1031">
        <v>8.07</v>
      </c>
      <c r="P1031">
        <v>7.87</v>
      </c>
      <c r="T1031" t="s">
        <v>47</v>
      </c>
      <c r="U1031">
        <v>2</v>
      </c>
      <c r="V1031">
        <v>6</v>
      </c>
    </row>
    <row r="1032" spans="1:22" x14ac:dyDescent="0.3">
      <c r="A1032">
        <v>1031</v>
      </c>
      <c r="B1032">
        <v>39458</v>
      </c>
      <c r="C1032" s="2">
        <v>30214</v>
      </c>
      <c r="D1032">
        <v>43</v>
      </c>
      <c r="E1032" t="s">
        <v>36</v>
      </c>
      <c r="F1032" t="s">
        <v>50</v>
      </c>
      <c r="G1032" s="2">
        <v>44549</v>
      </c>
      <c r="H1032" s="3">
        <f t="shared" si="16"/>
        <v>3.9863013698630136</v>
      </c>
      <c r="I1032">
        <v>38</v>
      </c>
      <c r="J1032" t="s">
        <v>38</v>
      </c>
      <c r="K1032" t="s">
        <v>46</v>
      </c>
      <c r="L1032" t="s">
        <v>44</v>
      </c>
      <c r="M1032">
        <v>14.12</v>
      </c>
      <c r="N1032">
        <v>13.82</v>
      </c>
      <c r="O1032">
        <v>13.52</v>
      </c>
      <c r="P1032">
        <v>13.22</v>
      </c>
      <c r="T1032" t="s">
        <v>52</v>
      </c>
      <c r="U1032">
        <v>1</v>
      </c>
      <c r="V1032">
        <v>4</v>
      </c>
    </row>
    <row r="1033" spans="1:22" x14ac:dyDescent="0.3">
      <c r="A1033">
        <v>1032</v>
      </c>
      <c r="B1033">
        <v>39466</v>
      </c>
      <c r="C1033" s="2">
        <v>38313</v>
      </c>
      <c r="D1033">
        <v>21</v>
      </c>
      <c r="E1033" t="s">
        <v>42</v>
      </c>
      <c r="F1033" t="s">
        <v>50</v>
      </c>
      <c r="G1033" s="2">
        <v>44567</v>
      </c>
      <c r="H1033" s="3">
        <f t="shared" si="16"/>
        <v>3.9753424657534246</v>
      </c>
      <c r="I1033">
        <v>38</v>
      </c>
      <c r="J1033" t="s">
        <v>38</v>
      </c>
      <c r="K1033" t="s">
        <v>56</v>
      </c>
      <c r="L1033" t="s">
        <v>44</v>
      </c>
      <c r="M1033">
        <v>8.4700000000000006</v>
      </c>
      <c r="N1033">
        <v>8.27</v>
      </c>
      <c r="O1033">
        <v>8.07</v>
      </c>
      <c r="T1033" t="s">
        <v>49</v>
      </c>
      <c r="U1033">
        <v>3</v>
      </c>
      <c r="V1033">
        <v>4</v>
      </c>
    </row>
    <row r="1034" spans="1:22" x14ac:dyDescent="0.3">
      <c r="A1034">
        <v>1033</v>
      </c>
      <c r="B1034">
        <v>39476</v>
      </c>
      <c r="C1034" s="2">
        <v>36126</v>
      </c>
      <c r="D1034">
        <v>27</v>
      </c>
      <c r="E1034" t="s">
        <v>42</v>
      </c>
      <c r="F1034" t="s">
        <v>50</v>
      </c>
      <c r="G1034" s="2">
        <v>44571</v>
      </c>
      <c r="H1034" s="3">
        <f t="shared" si="16"/>
        <v>4.3205479452054796</v>
      </c>
      <c r="I1034">
        <v>39</v>
      </c>
      <c r="J1034" t="s">
        <v>38</v>
      </c>
      <c r="K1034" t="s">
        <v>68</v>
      </c>
      <c r="L1034" t="s">
        <v>44</v>
      </c>
      <c r="M1034">
        <v>16.54</v>
      </c>
      <c r="N1034">
        <v>16.34</v>
      </c>
      <c r="O1034">
        <v>16.079999999999998</v>
      </c>
      <c r="T1034" t="s">
        <v>49</v>
      </c>
      <c r="U1034">
        <v>1</v>
      </c>
      <c r="V1034">
        <v>6</v>
      </c>
    </row>
    <row r="1035" spans="1:22" x14ac:dyDescent="0.3">
      <c r="A1035">
        <v>1034</v>
      </c>
      <c r="B1035">
        <v>39516</v>
      </c>
      <c r="C1035" s="2">
        <v>34125</v>
      </c>
      <c r="D1035">
        <v>32</v>
      </c>
      <c r="E1035" t="s">
        <v>42</v>
      </c>
      <c r="F1035" t="s">
        <v>50</v>
      </c>
      <c r="G1035" s="2">
        <v>44445</v>
      </c>
      <c r="H1035" s="3">
        <f t="shared" si="16"/>
        <v>4.043835616438356</v>
      </c>
      <c r="I1035">
        <v>41</v>
      </c>
      <c r="J1035" t="s">
        <v>38</v>
      </c>
      <c r="K1035" t="s">
        <v>56</v>
      </c>
      <c r="L1035" t="s">
        <v>44</v>
      </c>
      <c r="M1035">
        <v>8.4700000000000006</v>
      </c>
      <c r="N1035">
        <v>8.27</v>
      </c>
      <c r="O1035">
        <v>8.07</v>
      </c>
      <c r="P1035">
        <v>7.87</v>
      </c>
      <c r="T1035" t="s">
        <v>49</v>
      </c>
      <c r="U1035">
        <v>0</v>
      </c>
      <c r="V1035">
        <v>6</v>
      </c>
    </row>
    <row r="1036" spans="1:22" x14ac:dyDescent="0.3">
      <c r="A1036">
        <v>1035</v>
      </c>
      <c r="B1036">
        <v>39517</v>
      </c>
      <c r="C1036" s="2">
        <v>38305</v>
      </c>
      <c r="D1036">
        <v>21</v>
      </c>
      <c r="E1036" t="s">
        <v>42</v>
      </c>
      <c r="F1036" t="s">
        <v>37</v>
      </c>
      <c r="G1036" s="2">
        <v>44546</v>
      </c>
      <c r="H1036" s="3">
        <f t="shared" si="16"/>
        <v>4.6520547945205477</v>
      </c>
      <c r="I1036">
        <v>41</v>
      </c>
      <c r="J1036" t="s">
        <v>38</v>
      </c>
      <c r="K1036" t="s">
        <v>56</v>
      </c>
      <c r="L1036" t="s">
        <v>44</v>
      </c>
      <c r="M1036">
        <v>8.4700000000000006</v>
      </c>
      <c r="N1036">
        <v>8.27</v>
      </c>
      <c r="O1036">
        <v>8.07</v>
      </c>
      <c r="P1036">
        <v>7.87</v>
      </c>
      <c r="T1036" t="s">
        <v>49</v>
      </c>
      <c r="U1036">
        <v>1</v>
      </c>
      <c r="V1036">
        <v>5</v>
      </c>
    </row>
    <row r="1037" spans="1:22" x14ac:dyDescent="0.3">
      <c r="A1037">
        <v>1036</v>
      </c>
      <c r="B1037">
        <v>39524</v>
      </c>
      <c r="C1037" s="2">
        <v>35156</v>
      </c>
      <c r="D1037">
        <v>30</v>
      </c>
      <c r="E1037" t="s">
        <v>36</v>
      </c>
      <c r="F1037" t="s">
        <v>50</v>
      </c>
      <c r="G1037" s="2">
        <v>44324</v>
      </c>
      <c r="H1037" s="3">
        <f t="shared" si="16"/>
        <v>4.3041095890410963</v>
      </c>
      <c r="I1037">
        <v>41</v>
      </c>
      <c r="J1037" t="s">
        <v>38</v>
      </c>
      <c r="K1037" t="s">
        <v>56</v>
      </c>
      <c r="L1037" t="s">
        <v>44</v>
      </c>
      <c r="M1037">
        <v>8.4700000000000006</v>
      </c>
      <c r="N1037">
        <v>8.27</v>
      </c>
      <c r="O1037">
        <v>8.07</v>
      </c>
      <c r="P1037">
        <v>7.87</v>
      </c>
      <c r="T1037" t="s">
        <v>47</v>
      </c>
      <c r="U1037">
        <v>0</v>
      </c>
      <c r="V1037">
        <v>3</v>
      </c>
    </row>
    <row r="1038" spans="1:22" x14ac:dyDescent="0.3">
      <c r="A1038">
        <v>1037</v>
      </c>
      <c r="B1038">
        <v>39525</v>
      </c>
      <c r="C1038" s="2">
        <v>35767</v>
      </c>
      <c r="D1038">
        <v>28</v>
      </c>
      <c r="E1038" t="s">
        <v>42</v>
      </c>
      <c r="F1038" t="s">
        <v>50</v>
      </c>
      <c r="G1038" s="2">
        <v>44451</v>
      </c>
      <c r="H1038" s="3">
        <f t="shared" si="16"/>
        <v>4.3917808219178083</v>
      </c>
      <c r="I1038">
        <v>41</v>
      </c>
      <c r="J1038" t="s">
        <v>38</v>
      </c>
      <c r="K1038" t="s">
        <v>56</v>
      </c>
      <c r="L1038" t="s">
        <v>44</v>
      </c>
      <c r="M1038">
        <v>8.4700000000000006</v>
      </c>
      <c r="N1038">
        <v>8.27</v>
      </c>
      <c r="O1038">
        <v>8.07</v>
      </c>
      <c r="P1038">
        <v>7.87</v>
      </c>
      <c r="T1038" t="s">
        <v>47</v>
      </c>
      <c r="U1038">
        <v>1</v>
      </c>
      <c r="V1038">
        <v>7</v>
      </c>
    </row>
    <row r="1039" spans="1:22" x14ac:dyDescent="0.3">
      <c r="A1039">
        <v>1038</v>
      </c>
      <c r="B1039">
        <v>39541</v>
      </c>
      <c r="C1039" s="2">
        <v>37487</v>
      </c>
      <c r="D1039">
        <v>23</v>
      </c>
      <c r="E1039" t="s">
        <v>42</v>
      </c>
      <c r="F1039" t="s">
        <v>50</v>
      </c>
      <c r="G1039" s="2">
        <v>44419</v>
      </c>
      <c r="H1039" s="3">
        <f t="shared" si="16"/>
        <v>4.0082191780821921</v>
      </c>
      <c r="I1039">
        <v>42</v>
      </c>
      <c r="J1039" t="s">
        <v>38</v>
      </c>
      <c r="K1039" t="s">
        <v>56</v>
      </c>
      <c r="L1039" t="s">
        <v>44</v>
      </c>
      <c r="M1039">
        <v>8.07</v>
      </c>
      <c r="N1039">
        <v>7.97</v>
      </c>
      <c r="O1039">
        <v>7.97</v>
      </c>
      <c r="P1039">
        <v>7.87</v>
      </c>
      <c r="T1039" t="s">
        <v>47</v>
      </c>
      <c r="U1039">
        <v>2</v>
      </c>
      <c r="V1039">
        <v>6</v>
      </c>
    </row>
    <row r="1040" spans="1:22" x14ac:dyDescent="0.3">
      <c r="A1040">
        <v>1039</v>
      </c>
      <c r="B1040">
        <v>39593</v>
      </c>
      <c r="C1040" s="2">
        <v>36405</v>
      </c>
      <c r="D1040">
        <v>26</v>
      </c>
      <c r="E1040" t="s">
        <v>42</v>
      </c>
      <c r="F1040" t="s">
        <v>50</v>
      </c>
      <c r="G1040" s="2">
        <v>44559</v>
      </c>
      <c r="H1040" s="3">
        <f t="shared" si="16"/>
        <v>4.7890410958904113</v>
      </c>
      <c r="I1040">
        <v>44</v>
      </c>
      <c r="J1040" t="s">
        <v>38</v>
      </c>
      <c r="K1040" t="s">
        <v>65</v>
      </c>
      <c r="L1040" t="s">
        <v>44</v>
      </c>
      <c r="M1040">
        <v>10.08</v>
      </c>
      <c r="N1040">
        <v>9.98</v>
      </c>
      <c r="O1040">
        <v>9.8800000000000008</v>
      </c>
      <c r="P1040">
        <v>9.8800000000000008</v>
      </c>
      <c r="T1040" t="s">
        <v>47</v>
      </c>
      <c r="U1040">
        <v>1</v>
      </c>
      <c r="V1040">
        <v>5</v>
      </c>
    </row>
    <row r="1041" spans="1:22" x14ac:dyDescent="0.3">
      <c r="A1041">
        <v>1040</v>
      </c>
      <c r="B1041">
        <v>39625</v>
      </c>
      <c r="C1041" s="2">
        <v>34827</v>
      </c>
      <c r="D1041">
        <v>30</v>
      </c>
      <c r="E1041" t="s">
        <v>42</v>
      </c>
      <c r="F1041" t="s">
        <v>50</v>
      </c>
      <c r="G1041" s="2">
        <v>44274</v>
      </c>
      <c r="H1041" s="3">
        <f t="shared" si="16"/>
        <v>4.8520547945205479</v>
      </c>
      <c r="I1041">
        <v>45</v>
      </c>
      <c r="J1041" t="s">
        <v>38</v>
      </c>
      <c r="K1041" t="s">
        <v>46</v>
      </c>
      <c r="L1041" t="s">
        <v>44</v>
      </c>
      <c r="M1041">
        <v>14.12</v>
      </c>
      <c r="N1041">
        <v>13.82</v>
      </c>
      <c r="O1041">
        <v>13.52</v>
      </c>
      <c r="P1041">
        <v>13.22</v>
      </c>
      <c r="T1041" t="s">
        <v>47</v>
      </c>
      <c r="U1041">
        <v>1</v>
      </c>
      <c r="V1041">
        <v>6</v>
      </c>
    </row>
    <row r="1042" spans="1:22" x14ac:dyDescent="0.3">
      <c r="A1042">
        <v>1041</v>
      </c>
      <c r="B1042">
        <v>39635</v>
      </c>
      <c r="C1042" s="2">
        <v>38266</v>
      </c>
      <c r="D1042">
        <v>21</v>
      </c>
      <c r="E1042" t="s">
        <v>42</v>
      </c>
      <c r="F1042" t="s">
        <v>37</v>
      </c>
      <c r="G1042" s="2">
        <v>44251</v>
      </c>
      <c r="H1042" s="3">
        <f t="shared" si="16"/>
        <v>4.3041095890410963</v>
      </c>
      <c r="I1042">
        <v>45</v>
      </c>
      <c r="J1042" t="s">
        <v>38</v>
      </c>
      <c r="K1042" t="s">
        <v>56</v>
      </c>
      <c r="L1042" t="s">
        <v>44</v>
      </c>
      <c r="M1042">
        <v>8.4700000000000006</v>
      </c>
      <c r="N1042">
        <v>8.27</v>
      </c>
      <c r="O1042">
        <v>8.07</v>
      </c>
      <c r="P1042">
        <v>7.87</v>
      </c>
      <c r="T1042" t="s">
        <v>45</v>
      </c>
      <c r="U1042">
        <v>4</v>
      </c>
      <c r="V1042">
        <v>5</v>
      </c>
    </row>
    <row r="1043" spans="1:22" x14ac:dyDescent="0.3">
      <c r="A1043">
        <v>1042</v>
      </c>
      <c r="B1043">
        <v>39636</v>
      </c>
      <c r="C1043" s="2">
        <v>37040</v>
      </c>
      <c r="D1043">
        <v>24</v>
      </c>
      <c r="E1043" t="s">
        <v>42</v>
      </c>
      <c r="F1043" t="s">
        <v>50</v>
      </c>
      <c r="G1043" s="2">
        <v>44451</v>
      </c>
      <c r="H1043" s="3">
        <f t="shared" si="16"/>
        <v>4.5780821917808217</v>
      </c>
      <c r="I1043">
        <v>45</v>
      </c>
      <c r="J1043" t="s">
        <v>38</v>
      </c>
      <c r="K1043" t="s">
        <v>56</v>
      </c>
      <c r="L1043" t="s">
        <v>44</v>
      </c>
      <c r="M1043">
        <v>8.4700000000000006</v>
      </c>
      <c r="N1043">
        <v>8.27</v>
      </c>
      <c r="O1043">
        <v>8.07</v>
      </c>
      <c r="P1043">
        <v>7.87</v>
      </c>
      <c r="T1043" t="s">
        <v>47</v>
      </c>
      <c r="U1043">
        <v>4</v>
      </c>
      <c r="V1043">
        <v>7</v>
      </c>
    </row>
    <row r="1044" spans="1:22" x14ac:dyDescent="0.3">
      <c r="A1044">
        <v>1043</v>
      </c>
      <c r="B1044">
        <v>39638</v>
      </c>
      <c r="C1044" s="2">
        <v>37422</v>
      </c>
      <c r="D1044">
        <v>23</v>
      </c>
      <c r="E1044" t="s">
        <v>42</v>
      </c>
      <c r="F1044" t="s">
        <v>37</v>
      </c>
      <c r="G1044" s="2">
        <v>44351</v>
      </c>
      <c r="H1044" s="3">
        <f t="shared" si="16"/>
        <v>4.1506849315068495</v>
      </c>
      <c r="I1044">
        <v>45</v>
      </c>
      <c r="J1044" t="s">
        <v>38</v>
      </c>
      <c r="K1044" t="s">
        <v>56</v>
      </c>
      <c r="L1044" t="s">
        <v>44</v>
      </c>
      <c r="M1044">
        <v>8.4700000000000006</v>
      </c>
      <c r="N1044">
        <v>8.27</v>
      </c>
      <c r="O1044">
        <v>8.07</v>
      </c>
      <c r="P1044">
        <v>7.87</v>
      </c>
      <c r="T1044" t="s">
        <v>47</v>
      </c>
      <c r="U1044">
        <v>4</v>
      </c>
      <c r="V1044">
        <v>6</v>
      </c>
    </row>
    <row r="1045" spans="1:22" x14ac:dyDescent="0.3">
      <c r="A1045">
        <v>1044</v>
      </c>
      <c r="B1045">
        <v>39639</v>
      </c>
      <c r="C1045" s="2">
        <v>37048</v>
      </c>
      <c r="D1045">
        <v>24</v>
      </c>
      <c r="E1045" t="s">
        <v>42</v>
      </c>
      <c r="F1045" t="s">
        <v>50</v>
      </c>
      <c r="G1045" s="2">
        <v>44507</v>
      </c>
      <c r="H1045" s="3">
        <f t="shared" si="16"/>
        <v>4.8712328767123285</v>
      </c>
      <c r="I1045">
        <v>45</v>
      </c>
      <c r="J1045" t="s">
        <v>38</v>
      </c>
      <c r="K1045" t="s">
        <v>56</v>
      </c>
      <c r="L1045" t="s">
        <v>44</v>
      </c>
      <c r="M1045">
        <v>8.4700000000000006</v>
      </c>
      <c r="N1045">
        <v>8.27</v>
      </c>
      <c r="O1045">
        <v>8.07</v>
      </c>
      <c r="P1045">
        <v>7.87</v>
      </c>
      <c r="T1045" t="s">
        <v>52</v>
      </c>
      <c r="U1045">
        <v>0</v>
      </c>
      <c r="V1045">
        <v>6</v>
      </c>
    </row>
    <row r="1046" spans="1:22" x14ac:dyDescent="0.3">
      <c r="A1046">
        <v>1045</v>
      </c>
      <c r="B1046">
        <v>39710</v>
      </c>
      <c r="C1046" s="2">
        <v>37570</v>
      </c>
      <c r="D1046">
        <v>23</v>
      </c>
      <c r="E1046" t="s">
        <v>42</v>
      </c>
      <c r="F1046" t="s">
        <v>50</v>
      </c>
      <c r="G1046" s="2">
        <v>44244</v>
      </c>
      <c r="H1046" s="3">
        <f t="shared" si="16"/>
        <v>4.4328767123287669</v>
      </c>
      <c r="I1046">
        <v>49</v>
      </c>
      <c r="J1046" t="s">
        <v>38</v>
      </c>
      <c r="K1046" t="s">
        <v>43</v>
      </c>
      <c r="L1046" t="s">
        <v>44</v>
      </c>
      <c r="M1046">
        <v>15.74</v>
      </c>
      <c r="N1046">
        <v>15.54</v>
      </c>
      <c r="O1046">
        <v>15.2</v>
      </c>
      <c r="P1046">
        <v>15.2</v>
      </c>
      <c r="T1046" t="s">
        <v>49</v>
      </c>
      <c r="U1046">
        <v>0</v>
      </c>
      <c r="V1046">
        <v>6</v>
      </c>
    </row>
    <row r="1047" spans="1:22" x14ac:dyDescent="0.3">
      <c r="A1047">
        <v>1046</v>
      </c>
      <c r="B1047">
        <v>39719</v>
      </c>
      <c r="C1047" s="2">
        <v>36281</v>
      </c>
      <c r="D1047">
        <v>27</v>
      </c>
      <c r="E1047" t="s">
        <v>42</v>
      </c>
      <c r="F1047" t="s">
        <v>50</v>
      </c>
      <c r="G1047" s="2">
        <v>44404</v>
      </c>
      <c r="H1047" s="3">
        <f t="shared" si="16"/>
        <v>4.4904109589041097</v>
      </c>
      <c r="I1047">
        <v>49</v>
      </c>
      <c r="J1047" t="s">
        <v>38</v>
      </c>
      <c r="K1047" t="s">
        <v>56</v>
      </c>
      <c r="L1047" t="s">
        <v>44</v>
      </c>
      <c r="M1047">
        <v>8.67</v>
      </c>
      <c r="N1047">
        <v>8.3800000000000008</v>
      </c>
      <c r="O1047">
        <v>8.1</v>
      </c>
      <c r="P1047">
        <v>7.87</v>
      </c>
      <c r="T1047" t="s">
        <v>47</v>
      </c>
      <c r="U1047">
        <v>2</v>
      </c>
      <c r="V1047">
        <v>5</v>
      </c>
    </row>
    <row r="1048" spans="1:22" x14ac:dyDescent="0.3">
      <c r="A1048">
        <v>1047</v>
      </c>
      <c r="B1048">
        <v>39722</v>
      </c>
      <c r="C1048" s="2">
        <v>37668</v>
      </c>
      <c r="D1048">
        <v>22</v>
      </c>
      <c r="E1048" t="s">
        <v>42</v>
      </c>
      <c r="F1048" t="s">
        <v>50</v>
      </c>
      <c r="G1048" s="2">
        <v>44383</v>
      </c>
      <c r="H1048" s="3">
        <f t="shared" si="16"/>
        <v>4.183561643835616</v>
      </c>
      <c r="I1048">
        <v>49</v>
      </c>
      <c r="J1048" t="s">
        <v>38</v>
      </c>
      <c r="K1048" t="s">
        <v>56</v>
      </c>
      <c r="L1048" t="s">
        <v>44</v>
      </c>
      <c r="M1048">
        <v>8.42</v>
      </c>
      <c r="N1048">
        <v>8.42</v>
      </c>
      <c r="O1048">
        <v>8.15</v>
      </c>
      <c r="P1048">
        <v>7.87</v>
      </c>
      <c r="T1048" t="s">
        <v>47</v>
      </c>
      <c r="U1048">
        <v>2</v>
      </c>
      <c r="V1048">
        <v>7</v>
      </c>
    </row>
    <row r="1049" spans="1:22" x14ac:dyDescent="0.3">
      <c r="A1049">
        <v>1048</v>
      </c>
      <c r="B1049">
        <v>39749</v>
      </c>
      <c r="C1049" s="2">
        <v>37332</v>
      </c>
      <c r="D1049">
        <v>23</v>
      </c>
      <c r="E1049" t="s">
        <v>42</v>
      </c>
      <c r="F1049" t="s">
        <v>50</v>
      </c>
      <c r="G1049" s="2">
        <v>44495</v>
      </c>
      <c r="H1049" s="3">
        <f t="shared" si="16"/>
        <v>4.624657534246575</v>
      </c>
      <c r="I1049">
        <v>50</v>
      </c>
      <c r="J1049" t="s">
        <v>38</v>
      </c>
      <c r="K1049" t="s">
        <v>56</v>
      </c>
      <c r="L1049" t="s">
        <v>44</v>
      </c>
      <c r="M1049">
        <v>8.4700000000000006</v>
      </c>
      <c r="N1049">
        <v>8.27</v>
      </c>
      <c r="O1049">
        <v>8.07</v>
      </c>
      <c r="P1049">
        <v>7.87</v>
      </c>
      <c r="T1049" t="s">
        <v>47</v>
      </c>
      <c r="U1049">
        <v>3</v>
      </c>
      <c r="V1049">
        <v>7</v>
      </c>
    </row>
    <row r="1050" spans="1:22" x14ac:dyDescent="0.3">
      <c r="A1050">
        <v>1049</v>
      </c>
      <c r="B1050">
        <v>39806</v>
      </c>
      <c r="C1050" s="2">
        <v>35292</v>
      </c>
      <c r="D1050">
        <v>29</v>
      </c>
      <c r="E1050" t="s">
        <v>42</v>
      </c>
      <c r="F1050" t="s">
        <v>50</v>
      </c>
      <c r="G1050" s="2">
        <v>44334</v>
      </c>
      <c r="H1050" s="3">
        <f t="shared" si="16"/>
        <v>4.1068493150684935</v>
      </c>
      <c r="I1050">
        <v>52</v>
      </c>
      <c r="J1050" t="s">
        <v>38</v>
      </c>
      <c r="K1050" t="s">
        <v>56</v>
      </c>
      <c r="L1050" t="s">
        <v>44</v>
      </c>
      <c r="M1050">
        <v>8.4700000000000006</v>
      </c>
      <c r="N1050">
        <v>8.27</v>
      </c>
      <c r="O1050">
        <v>8.07</v>
      </c>
      <c r="P1050">
        <v>7.87</v>
      </c>
      <c r="T1050" t="s">
        <v>47</v>
      </c>
      <c r="U1050">
        <v>2</v>
      </c>
      <c r="V1050">
        <v>7</v>
      </c>
    </row>
    <row r="1051" spans="1:22" x14ac:dyDescent="0.3">
      <c r="A1051">
        <v>1050</v>
      </c>
      <c r="B1051">
        <v>39811</v>
      </c>
      <c r="C1051" s="2">
        <v>37372</v>
      </c>
      <c r="D1051">
        <v>23</v>
      </c>
      <c r="E1051" t="s">
        <v>36</v>
      </c>
      <c r="F1051" t="s">
        <v>50</v>
      </c>
      <c r="G1051" s="2">
        <v>44523</v>
      </c>
      <c r="H1051" s="3">
        <f t="shared" si="16"/>
        <v>4.0027397260273974</v>
      </c>
      <c r="I1051">
        <v>53</v>
      </c>
      <c r="J1051" t="s">
        <v>38</v>
      </c>
      <c r="K1051" t="s">
        <v>65</v>
      </c>
      <c r="L1051" t="s">
        <v>44</v>
      </c>
      <c r="M1051">
        <v>10.48</v>
      </c>
      <c r="N1051">
        <v>10.28</v>
      </c>
      <c r="O1051">
        <v>10.08</v>
      </c>
      <c r="P1051">
        <v>9.8800000000000008</v>
      </c>
      <c r="T1051" t="s">
        <v>47</v>
      </c>
      <c r="U1051">
        <v>1</v>
      </c>
      <c r="V1051">
        <v>4</v>
      </c>
    </row>
    <row r="1052" spans="1:22" x14ac:dyDescent="0.3">
      <c r="A1052">
        <v>1051</v>
      </c>
      <c r="B1052">
        <v>39971</v>
      </c>
      <c r="C1052" s="2">
        <v>35534</v>
      </c>
      <c r="D1052">
        <v>28</v>
      </c>
      <c r="E1052" t="s">
        <v>42</v>
      </c>
      <c r="F1052" t="s">
        <v>37</v>
      </c>
      <c r="G1052" s="2">
        <v>44561</v>
      </c>
      <c r="H1052" s="3">
        <f t="shared" si="16"/>
        <v>4.2273972602739729</v>
      </c>
      <c r="I1052">
        <v>58</v>
      </c>
      <c r="J1052" t="s">
        <v>38</v>
      </c>
      <c r="K1052" t="s">
        <v>56</v>
      </c>
      <c r="L1052" t="s">
        <v>44</v>
      </c>
      <c r="M1052">
        <v>8.4</v>
      </c>
      <c r="N1052">
        <v>8.1300000000000008</v>
      </c>
      <c r="O1052">
        <v>8.1300000000000008</v>
      </c>
      <c r="P1052">
        <v>7.87</v>
      </c>
      <c r="T1052" t="s">
        <v>47</v>
      </c>
      <c r="U1052">
        <v>0</v>
      </c>
      <c r="V1052">
        <v>5</v>
      </c>
    </row>
    <row r="1053" spans="1:22" x14ac:dyDescent="0.3">
      <c r="A1053">
        <v>1052</v>
      </c>
      <c r="B1053">
        <v>39993</v>
      </c>
      <c r="C1053" s="2">
        <v>37309</v>
      </c>
      <c r="D1053">
        <v>23</v>
      </c>
      <c r="E1053" t="s">
        <v>42</v>
      </c>
      <c r="F1053" t="s">
        <v>50</v>
      </c>
      <c r="G1053" s="2">
        <v>44479</v>
      </c>
      <c r="H1053" s="3">
        <f t="shared" si="16"/>
        <v>3.9123287671232876</v>
      </c>
      <c r="I1053">
        <v>59</v>
      </c>
      <c r="J1053" t="s">
        <v>38</v>
      </c>
      <c r="K1053" t="s">
        <v>56</v>
      </c>
      <c r="L1053" t="s">
        <v>44</v>
      </c>
      <c r="M1053">
        <v>8.4700000000000006</v>
      </c>
      <c r="N1053">
        <v>8.27</v>
      </c>
      <c r="O1053">
        <v>8.07</v>
      </c>
      <c r="P1053">
        <v>7.87</v>
      </c>
      <c r="T1053" t="s">
        <v>47</v>
      </c>
      <c r="U1053">
        <v>1</v>
      </c>
      <c r="V1053">
        <v>7</v>
      </c>
    </row>
    <row r="1054" spans="1:22" x14ac:dyDescent="0.3">
      <c r="A1054">
        <v>1053</v>
      </c>
      <c r="B1054">
        <v>40055</v>
      </c>
      <c r="C1054" s="2">
        <v>35345</v>
      </c>
      <c r="D1054">
        <v>29</v>
      </c>
      <c r="E1054" t="s">
        <v>42</v>
      </c>
      <c r="F1054" t="s">
        <v>37</v>
      </c>
      <c r="G1054" s="2">
        <v>44594</v>
      </c>
      <c r="H1054" s="3">
        <f t="shared" si="16"/>
        <v>4.4767123287671229</v>
      </c>
      <c r="I1054">
        <v>62</v>
      </c>
      <c r="J1054" t="s">
        <v>38</v>
      </c>
      <c r="K1054" t="s">
        <v>68</v>
      </c>
      <c r="L1054" t="s">
        <v>44</v>
      </c>
      <c r="M1054">
        <v>16.39</v>
      </c>
      <c r="N1054">
        <v>16.190000000000001</v>
      </c>
      <c r="O1054">
        <v>15.99</v>
      </c>
      <c r="T1054" t="s">
        <v>47</v>
      </c>
      <c r="U1054">
        <v>2</v>
      </c>
      <c r="V1054">
        <v>6</v>
      </c>
    </row>
    <row r="1055" spans="1:22" x14ac:dyDescent="0.3">
      <c r="A1055">
        <v>1054</v>
      </c>
      <c r="B1055">
        <v>40094</v>
      </c>
      <c r="C1055" s="2">
        <v>37343</v>
      </c>
      <c r="D1055">
        <v>23</v>
      </c>
      <c r="E1055" t="s">
        <v>42</v>
      </c>
      <c r="F1055" t="s">
        <v>37</v>
      </c>
      <c r="G1055" s="2">
        <v>44388</v>
      </c>
      <c r="H1055" s="3">
        <f t="shared" si="16"/>
        <v>4.3287671232876717</v>
      </c>
      <c r="I1055">
        <v>63</v>
      </c>
      <c r="J1055" t="s">
        <v>38</v>
      </c>
      <c r="K1055" t="s">
        <v>56</v>
      </c>
      <c r="L1055" t="s">
        <v>44</v>
      </c>
      <c r="M1055">
        <v>8.4700000000000006</v>
      </c>
      <c r="N1055">
        <v>8.27</v>
      </c>
      <c r="O1055">
        <v>8.07</v>
      </c>
      <c r="P1055">
        <v>7.87</v>
      </c>
      <c r="T1055" t="s">
        <v>52</v>
      </c>
      <c r="U1055">
        <v>4</v>
      </c>
      <c r="V1055">
        <v>6</v>
      </c>
    </row>
    <row r="1056" spans="1:22" x14ac:dyDescent="0.3">
      <c r="A1056">
        <v>1055</v>
      </c>
      <c r="B1056">
        <v>40164</v>
      </c>
      <c r="C1056" s="2">
        <v>36748</v>
      </c>
      <c r="D1056">
        <v>25</v>
      </c>
      <c r="E1056" t="s">
        <v>42</v>
      </c>
      <c r="F1056" t="s">
        <v>50</v>
      </c>
      <c r="G1056" s="2">
        <v>44442</v>
      </c>
      <c r="H1056" s="3">
        <f t="shared" si="16"/>
        <v>4.0931506849315067</v>
      </c>
      <c r="I1056">
        <v>66</v>
      </c>
      <c r="J1056" t="s">
        <v>57</v>
      </c>
      <c r="K1056" t="s">
        <v>56</v>
      </c>
      <c r="L1056" t="s">
        <v>44</v>
      </c>
      <c r="M1056">
        <v>8.4700000000000006</v>
      </c>
      <c r="N1056">
        <v>8.27</v>
      </c>
      <c r="O1056">
        <v>8.07</v>
      </c>
      <c r="P1056">
        <v>7.87</v>
      </c>
      <c r="T1056" t="s">
        <v>47</v>
      </c>
      <c r="U1056">
        <v>4</v>
      </c>
      <c r="V1056">
        <v>6</v>
      </c>
    </row>
    <row r="1057" spans="1:22" x14ac:dyDescent="0.3">
      <c r="A1057">
        <v>1056</v>
      </c>
      <c r="B1057">
        <v>40183</v>
      </c>
      <c r="C1057" s="2">
        <v>34909</v>
      </c>
      <c r="D1057">
        <v>30</v>
      </c>
      <c r="E1057" t="s">
        <v>36</v>
      </c>
      <c r="F1057" t="s">
        <v>50</v>
      </c>
      <c r="G1057" s="2">
        <v>44528</v>
      </c>
      <c r="H1057" s="3">
        <f t="shared" si="16"/>
        <v>4.0273972602739727</v>
      </c>
      <c r="I1057">
        <v>67</v>
      </c>
      <c r="J1057" t="s">
        <v>57</v>
      </c>
      <c r="K1057" t="s">
        <v>56</v>
      </c>
      <c r="L1057" t="s">
        <v>44</v>
      </c>
      <c r="M1057">
        <v>8.3699999999999992</v>
      </c>
      <c r="N1057">
        <v>8.26</v>
      </c>
      <c r="O1057">
        <v>8.15</v>
      </c>
      <c r="P1057">
        <v>7.87</v>
      </c>
      <c r="T1057" t="s">
        <v>52</v>
      </c>
      <c r="U1057">
        <v>4</v>
      </c>
      <c r="V1057">
        <v>5</v>
      </c>
    </row>
    <row r="1058" spans="1:22" x14ac:dyDescent="0.3">
      <c r="A1058">
        <v>1057</v>
      </c>
      <c r="B1058">
        <v>40260</v>
      </c>
      <c r="C1058" s="2">
        <v>36783</v>
      </c>
      <c r="D1058">
        <v>25</v>
      </c>
      <c r="E1058" t="s">
        <v>36</v>
      </c>
      <c r="F1058" t="s">
        <v>50</v>
      </c>
      <c r="G1058" s="2">
        <v>44552</v>
      </c>
      <c r="H1058" s="3">
        <f t="shared" si="16"/>
        <v>4.4136986301369863</v>
      </c>
      <c r="I1058">
        <v>73</v>
      </c>
      <c r="J1058" t="s">
        <v>57</v>
      </c>
      <c r="K1058" t="s">
        <v>65</v>
      </c>
      <c r="L1058" t="s">
        <v>44</v>
      </c>
      <c r="M1058">
        <v>10.48</v>
      </c>
      <c r="N1058">
        <v>10.28</v>
      </c>
      <c r="O1058">
        <v>10.08</v>
      </c>
      <c r="P1058">
        <v>9.8800000000000008</v>
      </c>
      <c r="T1058" t="s">
        <v>47</v>
      </c>
      <c r="U1058">
        <v>0</v>
      </c>
      <c r="V1058">
        <v>5</v>
      </c>
    </row>
    <row r="1059" spans="1:22" x14ac:dyDescent="0.3">
      <c r="A1059">
        <v>1058</v>
      </c>
      <c r="B1059">
        <v>40272</v>
      </c>
      <c r="C1059" s="2">
        <v>37674</v>
      </c>
      <c r="D1059">
        <v>22</v>
      </c>
      <c r="E1059" t="s">
        <v>42</v>
      </c>
      <c r="F1059" t="s">
        <v>50</v>
      </c>
      <c r="G1059" s="2">
        <v>44411</v>
      </c>
      <c r="H1059" s="3">
        <f t="shared" si="16"/>
        <v>4.463013698630137</v>
      </c>
      <c r="I1059">
        <v>73</v>
      </c>
      <c r="J1059" t="s">
        <v>57</v>
      </c>
      <c r="K1059" t="s">
        <v>56</v>
      </c>
      <c r="L1059" t="s">
        <v>44</v>
      </c>
      <c r="M1059">
        <v>8.4700000000000006</v>
      </c>
      <c r="N1059">
        <v>8.27</v>
      </c>
      <c r="O1059">
        <v>8.07</v>
      </c>
      <c r="P1059">
        <v>7.87</v>
      </c>
      <c r="T1059" t="s">
        <v>47</v>
      </c>
      <c r="U1059">
        <v>4</v>
      </c>
      <c r="V1059">
        <v>6</v>
      </c>
    </row>
    <row r="1060" spans="1:22" x14ac:dyDescent="0.3">
      <c r="A1060">
        <v>1059</v>
      </c>
      <c r="B1060">
        <v>40331</v>
      </c>
      <c r="C1060" s="2">
        <v>37702</v>
      </c>
      <c r="D1060">
        <v>22</v>
      </c>
      <c r="E1060" t="s">
        <v>42</v>
      </c>
      <c r="F1060" t="s">
        <v>50</v>
      </c>
      <c r="G1060" s="2">
        <v>44393</v>
      </c>
      <c r="H1060" s="3">
        <f t="shared" si="16"/>
        <v>4.4684931506849317</v>
      </c>
      <c r="I1060">
        <v>76</v>
      </c>
      <c r="J1060" t="s">
        <v>57</v>
      </c>
      <c r="K1060" t="s">
        <v>56</v>
      </c>
      <c r="L1060" t="s">
        <v>44</v>
      </c>
      <c r="M1060">
        <v>8.4700000000000006</v>
      </c>
      <c r="N1060">
        <v>8.27</v>
      </c>
      <c r="O1060">
        <v>8.07</v>
      </c>
      <c r="P1060">
        <v>7.87</v>
      </c>
      <c r="T1060" t="s">
        <v>47</v>
      </c>
      <c r="U1060">
        <v>0</v>
      </c>
      <c r="V1060">
        <v>6</v>
      </c>
    </row>
    <row r="1061" spans="1:22" x14ac:dyDescent="0.3">
      <c r="A1061">
        <v>1060</v>
      </c>
      <c r="B1061">
        <v>40335</v>
      </c>
      <c r="C1061" s="2">
        <v>35948</v>
      </c>
      <c r="D1061">
        <v>27</v>
      </c>
      <c r="E1061" t="s">
        <v>42</v>
      </c>
      <c r="F1061" t="s">
        <v>50</v>
      </c>
      <c r="G1061" s="2">
        <v>44391</v>
      </c>
      <c r="H1061" s="3">
        <f t="shared" si="16"/>
        <v>4.1972602739726028</v>
      </c>
      <c r="I1061">
        <v>76</v>
      </c>
      <c r="J1061" t="s">
        <v>57</v>
      </c>
      <c r="K1061" t="s">
        <v>56</v>
      </c>
      <c r="L1061" t="s">
        <v>44</v>
      </c>
      <c r="M1061">
        <v>8.4700000000000006</v>
      </c>
      <c r="N1061">
        <v>8.27</v>
      </c>
      <c r="O1061">
        <v>8.07</v>
      </c>
      <c r="P1061">
        <v>7.87</v>
      </c>
      <c r="T1061" t="s">
        <v>47</v>
      </c>
      <c r="U1061">
        <v>3</v>
      </c>
      <c r="V1061">
        <v>7</v>
      </c>
    </row>
    <row r="1062" spans="1:22" x14ac:dyDescent="0.3">
      <c r="A1062">
        <v>1061</v>
      </c>
      <c r="B1062">
        <v>40370</v>
      </c>
      <c r="C1062" s="2">
        <v>36206</v>
      </c>
      <c r="D1062">
        <v>26</v>
      </c>
      <c r="E1062" t="s">
        <v>36</v>
      </c>
      <c r="F1062" t="s">
        <v>37</v>
      </c>
      <c r="G1062" s="2">
        <v>44490</v>
      </c>
      <c r="H1062" s="3">
        <f t="shared" si="16"/>
        <v>4.6054794520547944</v>
      </c>
      <c r="I1062">
        <v>78</v>
      </c>
      <c r="J1062" t="s">
        <v>57</v>
      </c>
      <c r="K1062" t="s">
        <v>56</v>
      </c>
      <c r="L1062" t="s">
        <v>44</v>
      </c>
      <c r="M1062">
        <v>7.97</v>
      </c>
      <c r="N1062">
        <v>7.97</v>
      </c>
      <c r="O1062">
        <v>7.97</v>
      </c>
      <c r="P1062">
        <v>7.87</v>
      </c>
      <c r="T1062" t="s">
        <v>47</v>
      </c>
      <c r="U1062">
        <v>4</v>
      </c>
      <c r="V1062">
        <v>5</v>
      </c>
    </row>
    <row r="1063" spans="1:22" x14ac:dyDescent="0.3">
      <c r="A1063">
        <v>1062</v>
      </c>
      <c r="B1063">
        <v>40452</v>
      </c>
      <c r="C1063" s="2">
        <v>37489</v>
      </c>
      <c r="D1063">
        <v>23</v>
      </c>
      <c r="E1063" t="s">
        <v>42</v>
      </c>
      <c r="F1063" t="s">
        <v>50</v>
      </c>
      <c r="G1063" s="2">
        <v>44341</v>
      </c>
      <c r="H1063" s="3">
        <f t="shared" si="16"/>
        <v>4.3479452054794523</v>
      </c>
      <c r="I1063">
        <v>83</v>
      </c>
      <c r="J1063" t="s">
        <v>57</v>
      </c>
      <c r="K1063" t="s">
        <v>65</v>
      </c>
      <c r="L1063" t="s">
        <v>44</v>
      </c>
      <c r="M1063">
        <v>10.48</v>
      </c>
      <c r="N1063">
        <v>10.28</v>
      </c>
      <c r="O1063">
        <v>10.08</v>
      </c>
      <c r="P1063">
        <v>9.8800000000000008</v>
      </c>
      <c r="T1063" t="s">
        <v>49</v>
      </c>
      <c r="U1063">
        <v>1</v>
      </c>
      <c r="V1063">
        <v>5</v>
      </c>
    </row>
    <row r="1064" spans="1:22" x14ac:dyDescent="0.3">
      <c r="A1064">
        <v>1063</v>
      </c>
      <c r="B1064">
        <v>40453</v>
      </c>
      <c r="C1064" s="2">
        <v>37554</v>
      </c>
      <c r="D1064">
        <v>23</v>
      </c>
      <c r="E1064" t="s">
        <v>42</v>
      </c>
      <c r="F1064" t="s">
        <v>37</v>
      </c>
      <c r="G1064" s="2">
        <v>44435</v>
      </c>
      <c r="H1064" s="3">
        <f t="shared" si="16"/>
        <v>3.9479452054794519</v>
      </c>
      <c r="I1064">
        <v>83</v>
      </c>
      <c r="J1064" t="s">
        <v>57</v>
      </c>
      <c r="K1064" t="s">
        <v>56</v>
      </c>
      <c r="L1064" t="s">
        <v>44</v>
      </c>
      <c r="M1064">
        <v>8.4700000000000006</v>
      </c>
      <c r="N1064">
        <v>8.27</v>
      </c>
      <c r="O1064">
        <v>8.07</v>
      </c>
      <c r="P1064">
        <v>7.87</v>
      </c>
      <c r="T1064" t="s">
        <v>47</v>
      </c>
      <c r="U1064">
        <v>2</v>
      </c>
      <c r="V1064">
        <v>4</v>
      </c>
    </row>
    <row r="1065" spans="1:22" x14ac:dyDescent="0.3">
      <c r="A1065">
        <v>1064</v>
      </c>
      <c r="B1065">
        <v>40456</v>
      </c>
      <c r="C1065" s="2">
        <v>35384</v>
      </c>
      <c r="D1065">
        <v>29</v>
      </c>
      <c r="E1065" t="s">
        <v>36</v>
      </c>
      <c r="F1065" t="s">
        <v>50</v>
      </c>
      <c r="G1065" s="2">
        <v>44581</v>
      </c>
      <c r="H1065" s="3">
        <f t="shared" si="16"/>
        <v>3.9643835616438357</v>
      </c>
      <c r="I1065">
        <v>83</v>
      </c>
      <c r="J1065" t="s">
        <v>57</v>
      </c>
      <c r="K1065" t="s">
        <v>56</v>
      </c>
      <c r="L1065" t="s">
        <v>44</v>
      </c>
      <c r="M1065">
        <v>8.4700000000000006</v>
      </c>
      <c r="N1065">
        <v>8.27</v>
      </c>
      <c r="O1065">
        <v>8.07</v>
      </c>
      <c r="T1065" t="s">
        <v>47</v>
      </c>
      <c r="U1065">
        <v>3</v>
      </c>
      <c r="V1065">
        <v>5</v>
      </c>
    </row>
    <row r="1066" spans="1:22" x14ac:dyDescent="0.3">
      <c r="A1066">
        <v>1065</v>
      </c>
      <c r="B1066">
        <v>40507</v>
      </c>
      <c r="C1066" s="2">
        <v>35933</v>
      </c>
      <c r="D1066">
        <v>27</v>
      </c>
      <c r="E1066" t="s">
        <v>42</v>
      </c>
      <c r="F1066" t="s">
        <v>50</v>
      </c>
      <c r="G1066" s="2">
        <v>44575</v>
      </c>
      <c r="H1066" s="3">
        <f t="shared" si="16"/>
        <v>3.8739726027397259</v>
      </c>
      <c r="I1066">
        <v>86</v>
      </c>
      <c r="J1066" t="s">
        <v>57</v>
      </c>
      <c r="K1066" t="s">
        <v>43</v>
      </c>
      <c r="L1066" t="s">
        <v>44</v>
      </c>
      <c r="M1066">
        <v>15.35</v>
      </c>
      <c r="N1066">
        <v>15.35</v>
      </c>
      <c r="O1066">
        <v>15.2</v>
      </c>
      <c r="T1066" t="s">
        <v>52</v>
      </c>
      <c r="U1066">
        <v>1</v>
      </c>
      <c r="V1066">
        <v>4</v>
      </c>
    </row>
    <row r="1067" spans="1:22" x14ac:dyDescent="0.3">
      <c r="A1067">
        <v>1066</v>
      </c>
      <c r="B1067">
        <v>40600</v>
      </c>
      <c r="C1067" s="2">
        <v>36153</v>
      </c>
      <c r="D1067">
        <v>27</v>
      </c>
      <c r="E1067" t="s">
        <v>36</v>
      </c>
      <c r="F1067" t="s">
        <v>50</v>
      </c>
      <c r="G1067" s="2">
        <v>44608</v>
      </c>
      <c r="H1067" s="3">
        <f t="shared" si="16"/>
        <v>3.9424657534246577</v>
      </c>
      <c r="I1067">
        <v>90</v>
      </c>
      <c r="J1067" t="s">
        <v>57</v>
      </c>
      <c r="K1067" t="s">
        <v>55</v>
      </c>
      <c r="L1067" t="s">
        <v>44</v>
      </c>
      <c r="M1067">
        <v>16.63</v>
      </c>
      <c r="N1067">
        <v>16.48</v>
      </c>
      <c r="O1067">
        <v>16.329999999999998</v>
      </c>
      <c r="T1067" t="s">
        <v>49</v>
      </c>
      <c r="U1067">
        <v>2</v>
      </c>
      <c r="V1067">
        <v>4</v>
      </c>
    </row>
    <row r="1068" spans="1:22" x14ac:dyDescent="0.3">
      <c r="A1068">
        <v>1067</v>
      </c>
      <c r="B1068">
        <v>40642</v>
      </c>
      <c r="C1068" s="2">
        <v>37775</v>
      </c>
      <c r="D1068">
        <v>22</v>
      </c>
      <c r="E1068" t="s">
        <v>42</v>
      </c>
      <c r="F1068" t="s">
        <v>50</v>
      </c>
      <c r="G1068" s="2">
        <v>44583</v>
      </c>
      <c r="H1068" s="3">
        <f t="shared" si="16"/>
        <v>4.4383561643835616</v>
      </c>
      <c r="I1068">
        <v>92</v>
      </c>
      <c r="J1068" t="s">
        <v>57</v>
      </c>
      <c r="K1068" t="s">
        <v>48</v>
      </c>
      <c r="L1068" t="s">
        <v>44</v>
      </c>
      <c r="M1068">
        <v>8.4700000000000006</v>
      </c>
      <c r="N1068">
        <v>8.27</v>
      </c>
      <c r="O1068">
        <v>8.07</v>
      </c>
      <c r="T1068" t="s">
        <v>47</v>
      </c>
      <c r="U1068">
        <v>1</v>
      </c>
      <c r="V1068">
        <v>5</v>
      </c>
    </row>
    <row r="1069" spans="1:22" x14ac:dyDescent="0.3">
      <c r="A1069">
        <v>1068</v>
      </c>
      <c r="B1069">
        <v>40653</v>
      </c>
      <c r="C1069" s="2">
        <v>37934</v>
      </c>
      <c r="D1069">
        <v>22</v>
      </c>
      <c r="E1069" t="s">
        <v>42</v>
      </c>
      <c r="F1069" t="s">
        <v>50</v>
      </c>
      <c r="G1069" s="2">
        <v>44402</v>
      </c>
      <c r="H1069" s="3">
        <f t="shared" si="16"/>
        <v>4.5479452054794525</v>
      </c>
      <c r="I1069">
        <v>92</v>
      </c>
      <c r="J1069" t="s">
        <v>57</v>
      </c>
      <c r="K1069" t="s">
        <v>56</v>
      </c>
      <c r="L1069" t="s">
        <v>44</v>
      </c>
      <c r="M1069">
        <v>8.4700000000000006</v>
      </c>
      <c r="N1069">
        <v>8.27</v>
      </c>
      <c r="O1069">
        <v>8.07</v>
      </c>
      <c r="P1069">
        <v>7.87</v>
      </c>
      <c r="T1069" t="s">
        <v>47</v>
      </c>
      <c r="U1069">
        <v>1</v>
      </c>
      <c r="V1069">
        <v>6</v>
      </c>
    </row>
    <row r="1070" spans="1:22" x14ac:dyDescent="0.3">
      <c r="A1070">
        <v>1069</v>
      </c>
      <c r="B1070">
        <v>40754</v>
      </c>
      <c r="C1070" s="2">
        <v>36928</v>
      </c>
      <c r="D1070">
        <v>24</v>
      </c>
      <c r="E1070" t="s">
        <v>42</v>
      </c>
      <c r="F1070" t="s">
        <v>37</v>
      </c>
      <c r="G1070" s="2">
        <v>44362</v>
      </c>
      <c r="H1070" s="3">
        <f t="shared" si="16"/>
        <v>4.7424657534246579</v>
      </c>
      <c r="I1070">
        <v>98</v>
      </c>
      <c r="J1070" t="s">
        <v>57</v>
      </c>
      <c r="K1070" t="s">
        <v>64</v>
      </c>
      <c r="L1070" t="s">
        <v>44</v>
      </c>
      <c r="M1070">
        <v>13.37</v>
      </c>
      <c r="N1070">
        <v>13.22</v>
      </c>
      <c r="O1070">
        <v>13.22</v>
      </c>
      <c r="P1070">
        <v>13.07</v>
      </c>
      <c r="T1070" t="s">
        <v>45</v>
      </c>
      <c r="U1070">
        <v>1</v>
      </c>
      <c r="V1070">
        <v>3</v>
      </c>
    </row>
    <row r="1071" spans="1:22" x14ac:dyDescent="0.3">
      <c r="A1071">
        <v>1070</v>
      </c>
      <c r="B1071">
        <v>40790</v>
      </c>
      <c r="C1071" s="2">
        <v>35778</v>
      </c>
      <c r="D1071">
        <v>28</v>
      </c>
      <c r="E1071" t="s">
        <v>42</v>
      </c>
      <c r="F1071" t="s">
        <v>50</v>
      </c>
      <c r="G1071" s="2">
        <v>44291</v>
      </c>
      <c r="H1071" s="3">
        <f t="shared" si="16"/>
        <v>4.6219178082191785</v>
      </c>
      <c r="I1071">
        <v>100</v>
      </c>
      <c r="J1071" t="s">
        <v>57</v>
      </c>
      <c r="K1071" t="s">
        <v>46</v>
      </c>
      <c r="L1071" t="s">
        <v>44</v>
      </c>
      <c r="M1071">
        <v>14.12</v>
      </c>
      <c r="N1071">
        <v>13.82</v>
      </c>
      <c r="O1071">
        <v>13.52</v>
      </c>
      <c r="P1071">
        <v>13.22</v>
      </c>
      <c r="T1071" t="s">
        <v>47</v>
      </c>
      <c r="U1071">
        <v>1</v>
      </c>
      <c r="V1071">
        <v>7</v>
      </c>
    </row>
    <row r="1072" spans="1:22" x14ac:dyDescent="0.3">
      <c r="A1072">
        <v>1071</v>
      </c>
      <c r="B1072">
        <v>40814</v>
      </c>
      <c r="C1072" s="2">
        <v>37588</v>
      </c>
      <c r="D1072">
        <v>23</v>
      </c>
      <c r="E1072" t="s">
        <v>42</v>
      </c>
      <c r="F1072" t="s">
        <v>50</v>
      </c>
      <c r="G1072" s="2">
        <v>44335</v>
      </c>
      <c r="H1072" s="3">
        <f t="shared" si="16"/>
        <v>3.8958904109589043</v>
      </c>
      <c r="I1072">
        <v>101</v>
      </c>
      <c r="J1072" t="s">
        <v>57</v>
      </c>
      <c r="K1072" t="s">
        <v>56</v>
      </c>
      <c r="L1072" t="s">
        <v>44</v>
      </c>
      <c r="M1072">
        <v>8.4700000000000006</v>
      </c>
      <c r="N1072">
        <v>8.27</v>
      </c>
      <c r="O1072">
        <v>8.07</v>
      </c>
      <c r="P1072">
        <v>7.87</v>
      </c>
      <c r="T1072" t="s">
        <v>47</v>
      </c>
      <c r="U1072">
        <v>1</v>
      </c>
      <c r="V1072">
        <v>7</v>
      </c>
    </row>
    <row r="1073" spans="1:22" x14ac:dyDescent="0.3">
      <c r="A1073">
        <v>1072</v>
      </c>
      <c r="B1073">
        <v>40828</v>
      </c>
      <c r="C1073" s="2">
        <v>34594</v>
      </c>
      <c r="D1073">
        <v>31</v>
      </c>
      <c r="E1073" t="s">
        <v>36</v>
      </c>
      <c r="F1073" t="s">
        <v>50</v>
      </c>
      <c r="G1073" s="2">
        <v>44600</v>
      </c>
      <c r="H1073" s="3">
        <f t="shared" si="16"/>
        <v>4.515068493150685</v>
      </c>
      <c r="I1073">
        <v>101</v>
      </c>
      <c r="J1073" t="s">
        <v>57</v>
      </c>
      <c r="K1073" t="s">
        <v>56</v>
      </c>
      <c r="L1073" t="s">
        <v>44</v>
      </c>
      <c r="M1073">
        <v>8.4700000000000006</v>
      </c>
      <c r="N1073">
        <v>8.27</v>
      </c>
      <c r="O1073">
        <v>8.07</v>
      </c>
      <c r="T1073" t="s">
        <v>47</v>
      </c>
      <c r="U1073">
        <v>2</v>
      </c>
      <c r="V1073">
        <v>4</v>
      </c>
    </row>
    <row r="1074" spans="1:22" x14ac:dyDescent="0.3">
      <c r="A1074">
        <v>1073</v>
      </c>
      <c r="B1074">
        <v>40831</v>
      </c>
      <c r="C1074" s="2">
        <v>37331</v>
      </c>
      <c r="D1074">
        <v>23</v>
      </c>
      <c r="E1074" t="s">
        <v>42</v>
      </c>
      <c r="F1074" t="s">
        <v>50</v>
      </c>
      <c r="G1074" s="2">
        <v>44374</v>
      </c>
      <c r="H1074" s="3">
        <f t="shared" si="16"/>
        <v>4.646575342465753</v>
      </c>
      <c r="I1074">
        <v>102</v>
      </c>
      <c r="J1074" t="s">
        <v>57</v>
      </c>
      <c r="K1074" t="s">
        <v>43</v>
      </c>
      <c r="L1074" t="s">
        <v>44</v>
      </c>
      <c r="M1074">
        <v>16.100000000000001</v>
      </c>
      <c r="N1074">
        <v>15.8</v>
      </c>
      <c r="O1074">
        <v>15.5</v>
      </c>
      <c r="P1074">
        <v>15.2</v>
      </c>
      <c r="T1074" t="s">
        <v>49</v>
      </c>
      <c r="U1074">
        <v>2</v>
      </c>
      <c r="V1074">
        <v>6</v>
      </c>
    </row>
    <row r="1075" spans="1:22" x14ac:dyDescent="0.3">
      <c r="A1075">
        <v>1074</v>
      </c>
      <c r="B1075">
        <v>40898</v>
      </c>
      <c r="C1075" s="2">
        <v>37005</v>
      </c>
      <c r="D1075">
        <v>24</v>
      </c>
      <c r="E1075" t="s">
        <v>42</v>
      </c>
      <c r="F1075" t="s">
        <v>50</v>
      </c>
      <c r="G1075" s="2">
        <v>44326</v>
      </c>
      <c r="H1075" s="3">
        <f t="shared" si="16"/>
        <v>4.515068493150685</v>
      </c>
      <c r="I1075">
        <v>106</v>
      </c>
      <c r="J1075" t="s">
        <v>57</v>
      </c>
      <c r="K1075" t="s">
        <v>65</v>
      </c>
      <c r="L1075" t="s">
        <v>44</v>
      </c>
      <c r="M1075">
        <v>10.48</v>
      </c>
      <c r="N1075">
        <v>10.28</v>
      </c>
      <c r="O1075">
        <v>10.08</v>
      </c>
      <c r="P1075">
        <v>9.8800000000000008</v>
      </c>
      <c r="T1075" t="s">
        <v>47</v>
      </c>
      <c r="U1075">
        <v>0</v>
      </c>
      <c r="V1075">
        <v>6</v>
      </c>
    </row>
    <row r="1076" spans="1:22" x14ac:dyDescent="0.3">
      <c r="A1076">
        <v>1075</v>
      </c>
      <c r="B1076">
        <v>40928</v>
      </c>
      <c r="C1076" s="2">
        <v>36516</v>
      </c>
      <c r="D1076">
        <v>26</v>
      </c>
      <c r="E1076" t="s">
        <v>42</v>
      </c>
      <c r="F1076" t="s">
        <v>50</v>
      </c>
      <c r="G1076" s="2">
        <v>44374</v>
      </c>
      <c r="H1076" s="3">
        <f t="shared" si="16"/>
        <v>4.4027397260273968</v>
      </c>
      <c r="I1076">
        <v>107</v>
      </c>
      <c r="J1076" t="s">
        <v>57</v>
      </c>
      <c r="K1076" t="s">
        <v>56</v>
      </c>
      <c r="L1076" t="s">
        <v>44</v>
      </c>
      <c r="M1076">
        <v>8.4700000000000006</v>
      </c>
      <c r="N1076">
        <v>8.27</v>
      </c>
      <c r="O1076">
        <v>8.07</v>
      </c>
      <c r="P1076">
        <v>7.87</v>
      </c>
      <c r="T1076" t="s">
        <v>47</v>
      </c>
      <c r="U1076">
        <v>1</v>
      </c>
      <c r="V1076">
        <v>6</v>
      </c>
    </row>
    <row r="1077" spans="1:22" x14ac:dyDescent="0.3">
      <c r="A1077">
        <v>1076</v>
      </c>
      <c r="B1077">
        <v>40966</v>
      </c>
      <c r="C1077" s="2">
        <v>36837</v>
      </c>
      <c r="D1077">
        <v>25</v>
      </c>
      <c r="E1077" t="s">
        <v>42</v>
      </c>
      <c r="F1077" t="s">
        <v>50</v>
      </c>
      <c r="G1077" s="2">
        <v>44415</v>
      </c>
      <c r="H1077" s="3">
        <f t="shared" si="16"/>
        <v>4.2547945205479456</v>
      </c>
      <c r="I1077">
        <v>109</v>
      </c>
      <c r="J1077" t="s">
        <v>57</v>
      </c>
      <c r="K1077" t="s">
        <v>56</v>
      </c>
      <c r="L1077" t="s">
        <v>44</v>
      </c>
      <c r="M1077">
        <v>8.4700000000000006</v>
      </c>
      <c r="N1077">
        <v>8.27</v>
      </c>
      <c r="O1077">
        <v>8.07</v>
      </c>
      <c r="P1077">
        <v>7.87</v>
      </c>
      <c r="T1077" t="s">
        <v>47</v>
      </c>
      <c r="U1077">
        <v>4</v>
      </c>
      <c r="V1077">
        <v>7</v>
      </c>
    </row>
    <row r="1078" spans="1:22" x14ac:dyDescent="0.3">
      <c r="A1078">
        <v>1077</v>
      </c>
      <c r="B1078">
        <v>40978</v>
      </c>
      <c r="C1078" s="2">
        <v>36772</v>
      </c>
      <c r="D1078">
        <v>25</v>
      </c>
      <c r="E1078" t="s">
        <v>42</v>
      </c>
      <c r="F1078" t="s">
        <v>50</v>
      </c>
      <c r="G1078" s="2">
        <v>44469</v>
      </c>
      <c r="H1078" s="3">
        <f t="shared" si="16"/>
        <v>4.0520547945205481</v>
      </c>
      <c r="I1078">
        <v>110</v>
      </c>
      <c r="J1078" t="s">
        <v>57</v>
      </c>
      <c r="K1078" t="s">
        <v>43</v>
      </c>
      <c r="L1078" t="s">
        <v>44</v>
      </c>
      <c r="M1078">
        <v>15.35</v>
      </c>
      <c r="N1078">
        <v>15.35</v>
      </c>
      <c r="O1078">
        <v>15.2</v>
      </c>
      <c r="P1078">
        <v>15.2</v>
      </c>
      <c r="T1078" t="s">
        <v>49</v>
      </c>
      <c r="U1078">
        <v>0</v>
      </c>
      <c r="V1078">
        <v>5</v>
      </c>
    </row>
    <row r="1079" spans="1:22" x14ac:dyDescent="0.3">
      <c r="A1079">
        <v>1078</v>
      </c>
      <c r="B1079">
        <v>40979</v>
      </c>
      <c r="C1079" s="2">
        <v>36325</v>
      </c>
      <c r="D1079">
        <v>26</v>
      </c>
      <c r="E1079" t="s">
        <v>36</v>
      </c>
      <c r="F1079" t="s">
        <v>50</v>
      </c>
      <c r="G1079" s="2">
        <v>44543</v>
      </c>
      <c r="H1079" s="3">
        <f t="shared" si="16"/>
        <v>4.7424657534246579</v>
      </c>
      <c r="I1079">
        <v>110</v>
      </c>
      <c r="J1079" t="s">
        <v>57</v>
      </c>
      <c r="K1079" t="s">
        <v>46</v>
      </c>
      <c r="L1079" t="s">
        <v>44</v>
      </c>
      <c r="M1079">
        <v>13.52</v>
      </c>
      <c r="N1079">
        <v>13.37</v>
      </c>
      <c r="O1079">
        <v>13.22</v>
      </c>
      <c r="P1079">
        <v>13.22</v>
      </c>
      <c r="T1079" t="s">
        <v>47</v>
      </c>
      <c r="U1079">
        <v>1</v>
      </c>
      <c r="V1079">
        <v>3</v>
      </c>
    </row>
    <row r="1080" spans="1:22" x14ac:dyDescent="0.3">
      <c r="A1080">
        <v>1079</v>
      </c>
      <c r="B1080">
        <v>41157</v>
      </c>
      <c r="C1080" s="2">
        <v>34291</v>
      </c>
      <c r="D1080">
        <v>32</v>
      </c>
      <c r="E1080" t="s">
        <v>42</v>
      </c>
      <c r="F1080" t="s">
        <v>37</v>
      </c>
      <c r="G1080" s="2">
        <v>44291</v>
      </c>
      <c r="H1080" s="3">
        <f t="shared" si="16"/>
        <v>4.7178082191780826</v>
      </c>
      <c r="I1080">
        <v>118</v>
      </c>
      <c r="J1080" t="s">
        <v>57</v>
      </c>
      <c r="K1080" t="s">
        <v>56</v>
      </c>
      <c r="L1080" t="s">
        <v>44</v>
      </c>
      <c r="M1080">
        <v>8.4700000000000006</v>
      </c>
      <c r="N1080">
        <v>8.27</v>
      </c>
      <c r="O1080">
        <v>8.07</v>
      </c>
      <c r="P1080">
        <v>7.87</v>
      </c>
      <c r="T1080" t="s">
        <v>47</v>
      </c>
      <c r="U1080">
        <v>1</v>
      </c>
      <c r="V1080">
        <v>5</v>
      </c>
    </row>
    <row r="1081" spans="1:22" x14ac:dyDescent="0.3">
      <c r="A1081">
        <v>1080</v>
      </c>
      <c r="B1081">
        <v>41180</v>
      </c>
      <c r="C1081" s="2">
        <v>36067</v>
      </c>
      <c r="D1081">
        <v>27</v>
      </c>
      <c r="E1081" t="s">
        <v>42</v>
      </c>
      <c r="F1081" t="s">
        <v>37</v>
      </c>
      <c r="G1081" s="2">
        <v>44300</v>
      </c>
      <c r="H1081" s="3">
        <f t="shared" si="16"/>
        <v>4.5917808219178085</v>
      </c>
      <c r="I1081">
        <v>120</v>
      </c>
      <c r="J1081" t="s">
        <v>57</v>
      </c>
      <c r="K1081" t="s">
        <v>43</v>
      </c>
      <c r="L1081" t="s">
        <v>44</v>
      </c>
      <c r="M1081">
        <v>16.100000000000001</v>
      </c>
      <c r="N1081">
        <v>15.8</v>
      </c>
      <c r="O1081">
        <v>15.5</v>
      </c>
      <c r="P1081">
        <v>15.2</v>
      </c>
      <c r="T1081" t="s">
        <v>45</v>
      </c>
      <c r="U1081">
        <v>1</v>
      </c>
      <c r="V1081">
        <v>6</v>
      </c>
    </row>
    <row r="1082" spans="1:22" x14ac:dyDescent="0.3">
      <c r="A1082">
        <v>1081</v>
      </c>
      <c r="B1082">
        <v>41206</v>
      </c>
      <c r="C1082" s="2">
        <v>37470</v>
      </c>
      <c r="D1082">
        <v>23</v>
      </c>
      <c r="E1082" t="s">
        <v>42</v>
      </c>
      <c r="F1082" t="s">
        <v>50</v>
      </c>
      <c r="G1082" s="2">
        <v>44346</v>
      </c>
      <c r="H1082" s="3">
        <f t="shared" si="16"/>
        <v>3.8739726027397259</v>
      </c>
      <c r="I1082">
        <v>121</v>
      </c>
      <c r="J1082" t="s">
        <v>57</v>
      </c>
      <c r="K1082" t="s">
        <v>56</v>
      </c>
      <c r="L1082" t="s">
        <v>44</v>
      </c>
      <c r="M1082">
        <v>8.4700000000000006</v>
      </c>
      <c r="N1082">
        <v>8.27</v>
      </c>
      <c r="O1082">
        <v>8.07</v>
      </c>
      <c r="P1082">
        <v>7.87</v>
      </c>
      <c r="T1082" t="s">
        <v>47</v>
      </c>
      <c r="U1082">
        <v>1</v>
      </c>
      <c r="V1082">
        <v>5</v>
      </c>
    </row>
    <row r="1083" spans="1:22" x14ac:dyDescent="0.3">
      <c r="A1083">
        <v>1082</v>
      </c>
      <c r="B1083">
        <v>41228</v>
      </c>
      <c r="C1083" s="2">
        <v>35109</v>
      </c>
      <c r="D1083">
        <v>29</v>
      </c>
      <c r="E1083" t="s">
        <v>36</v>
      </c>
      <c r="F1083" t="s">
        <v>50</v>
      </c>
      <c r="G1083" s="2">
        <v>44608</v>
      </c>
      <c r="H1083" s="3">
        <f t="shared" si="16"/>
        <v>4.4301369863013695</v>
      </c>
      <c r="I1083">
        <v>123</v>
      </c>
      <c r="J1083" t="s">
        <v>57</v>
      </c>
      <c r="K1083" t="s">
        <v>46</v>
      </c>
      <c r="L1083" t="s">
        <v>44</v>
      </c>
      <c r="M1083">
        <v>14.12</v>
      </c>
      <c r="N1083">
        <v>13.82</v>
      </c>
      <c r="O1083">
        <v>13.52</v>
      </c>
      <c r="T1083" t="s">
        <v>52</v>
      </c>
      <c r="U1083">
        <v>0</v>
      </c>
      <c r="V1083">
        <v>4</v>
      </c>
    </row>
    <row r="1084" spans="1:22" x14ac:dyDescent="0.3">
      <c r="A1084">
        <v>1083</v>
      </c>
      <c r="B1084">
        <v>41242</v>
      </c>
      <c r="C1084" s="2">
        <v>36982</v>
      </c>
      <c r="D1084">
        <v>25</v>
      </c>
      <c r="E1084" t="s">
        <v>42</v>
      </c>
      <c r="F1084" t="s">
        <v>50</v>
      </c>
      <c r="G1084" s="2">
        <v>44405</v>
      </c>
      <c r="H1084" s="3">
        <f t="shared" si="16"/>
        <v>4.6328767123287671</v>
      </c>
      <c r="I1084">
        <v>123</v>
      </c>
      <c r="J1084" t="s">
        <v>57</v>
      </c>
      <c r="K1084" t="s">
        <v>56</v>
      </c>
      <c r="L1084" t="s">
        <v>44</v>
      </c>
      <c r="M1084">
        <v>8.4700000000000006</v>
      </c>
      <c r="N1084">
        <v>8.27</v>
      </c>
      <c r="O1084">
        <v>8.07</v>
      </c>
      <c r="P1084">
        <v>7.87</v>
      </c>
      <c r="T1084" t="s">
        <v>47</v>
      </c>
      <c r="U1084">
        <v>4</v>
      </c>
      <c r="V1084">
        <v>7</v>
      </c>
    </row>
    <row r="1085" spans="1:22" x14ac:dyDescent="0.3">
      <c r="A1085">
        <v>1084</v>
      </c>
      <c r="B1085">
        <v>41275</v>
      </c>
      <c r="C1085" s="2">
        <v>35731</v>
      </c>
      <c r="D1085">
        <v>28</v>
      </c>
      <c r="E1085" t="s">
        <v>36</v>
      </c>
      <c r="F1085" t="s">
        <v>50</v>
      </c>
      <c r="G1085" s="2">
        <v>44331</v>
      </c>
      <c r="H1085" s="3">
        <f t="shared" si="16"/>
        <v>4.0520547945205481</v>
      </c>
      <c r="I1085">
        <v>125</v>
      </c>
      <c r="J1085" t="s">
        <v>57</v>
      </c>
      <c r="K1085" t="s">
        <v>54</v>
      </c>
      <c r="L1085" t="s">
        <v>44</v>
      </c>
      <c r="M1085">
        <v>22.53</v>
      </c>
      <c r="N1085">
        <v>22.38</v>
      </c>
      <c r="O1085">
        <v>22.23</v>
      </c>
      <c r="P1085">
        <v>22.08</v>
      </c>
      <c r="T1085" t="s">
        <v>47</v>
      </c>
      <c r="U1085">
        <v>3</v>
      </c>
      <c r="V1085">
        <v>6</v>
      </c>
    </row>
    <row r="1086" spans="1:22" x14ac:dyDescent="0.3">
      <c r="A1086">
        <v>1085</v>
      </c>
      <c r="B1086">
        <v>41418</v>
      </c>
      <c r="C1086" s="2">
        <v>36864</v>
      </c>
      <c r="D1086">
        <v>25</v>
      </c>
      <c r="E1086" t="s">
        <v>42</v>
      </c>
      <c r="F1086" t="s">
        <v>50</v>
      </c>
      <c r="G1086" s="2">
        <v>44543</v>
      </c>
      <c r="H1086" s="3">
        <f t="shared" si="16"/>
        <v>4.3260273972602743</v>
      </c>
      <c r="I1086">
        <v>132</v>
      </c>
      <c r="J1086" t="s">
        <v>57</v>
      </c>
      <c r="K1086" t="s">
        <v>56</v>
      </c>
      <c r="L1086" t="s">
        <v>44</v>
      </c>
      <c r="M1086">
        <v>8.4700000000000006</v>
      </c>
      <c r="N1086">
        <v>8.27</v>
      </c>
      <c r="O1086">
        <v>8.07</v>
      </c>
      <c r="P1086">
        <v>7.87</v>
      </c>
      <c r="T1086" t="s">
        <v>47</v>
      </c>
      <c r="U1086">
        <v>2</v>
      </c>
      <c r="V1086">
        <v>6</v>
      </c>
    </row>
    <row r="1087" spans="1:22" x14ac:dyDescent="0.3">
      <c r="A1087">
        <v>1086</v>
      </c>
      <c r="B1087">
        <v>41465</v>
      </c>
      <c r="C1087" s="2">
        <v>36872</v>
      </c>
      <c r="D1087">
        <v>25</v>
      </c>
      <c r="E1087" t="s">
        <v>42</v>
      </c>
      <c r="F1087" t="s">
        <v>50</v>
      </c>
      <c r="G1087" s="2">
        <v>44443</v>
      </c>
      <c r="H1087" s="3">
        <f t="shared" si="16"/>
        <v>4.2438356164383562</v>
      </c>
      <c r="I1087">
        <v>135</v>
      </c>
      <c r="J1087" t="s">
        <v>57</v>
      </c>
      <c r="K1087" t="s">
        <v>56</v>
      </c>
      <c r="L1087" t="s">
        <v>44</v>
      </c>
      <c r="M1087">
        <v>8.4700000000000006</v>
      </c>
      <c r="N1087">
        <v>8.27</v>
      </c>
      <c r="O1087">
        <v>8.07</v>
      </c>
      <c r="P1087">
        <v>7.87</v>
      </c>
      <c r="T1087" t="s">
        <v>47</v>
      </c>
      <c r="U1087">
        <v>4</v>
      </c>
      <c r="V1087">
        <v>6</v>
      </c>
    </row>
    <row r="1088" spans="1:22" x14ac:dyDescent="0.3">
      <c r="A1088">
        <v>1087</v>
      </c>
      <c r="B1088">
        <v>41481</v>
      </c>
      <c r="C1088" s="2">
        <v>37615</v>
      </c>
      <c r="D1088">
        <v>23</v>
      </c>
      <c r="E1088" t="s">
        <v>36</v>
      </c>
      <c r="F1088" t="s">
        <v>37</v>
      </c>
      <c r="G1088" s="2">
        <v>44473</v>
      </c>
      <c r="H1088" s="3">
        <f t="shared" si="16"/>
        <v>4.5041095890410956</v>
      </c>
      <c r="I1088">
        <v>136</v>
      </c>
      <c r="J1088" t="s">
        <v>57</v>
      </c>
      <c r="K1088" t="s">
        <v>64</v>
      </c>
      <c r="L1088" t="s">
        <v>44</v>
      </c>
      <c r="M1088">
        <v>13.64</v>
      </c>
      <c r="N1088">
        <v>13.64</v>
      </c>
      <c r="O1088">
        <v>13.49</v>
      </c>
      <c r="P1088">
        <v>13.07</v>
      </c>
      <c r="T1088" t="s">
        <v>52</v>
      </c>
      <c r="U1088">
        <v>1</v>
      </c>
      <c r="V1088">
        <v>5</v>
      </c>
    </row>
    <row r="1089" spans="1:32" x14ac:dyDescent="0.3">
      <c r="A1089">
        <v>1088</v>
      </c>
      <c r="B1089">
        <v>41498</v>
      </c>
      <c r="C1089" s="2">
        <v>33230</v>
      </c>
      <c r="D1089">
        <v>35</v>
      </c>
      <c r="E1089" t="s">
        <v>36</v>
      </c>
      <c r="F1089" t="s">
        <v>50</v>
      </c>
      <c r="G1089" s="2">
        <v>44378</v>
      </c>
      <c r="H1089" s="3">
        <f t="shared" si="16"/>
        <v>4.1534246575342468</v>
      </c>
      <c r="I1089">
        <v>137</v>
      </c>
      <c r="J1089" t="s">
        <v>57</v>
      </c>
      <c r="K1089" t="s">
        <v>54</v>
      </c>
      <c r="L1089" t="s">
        <v>44</v>
      </c>
      <c r="M1089">
        <v>22.98</v>
      </c>
      <c r="N1089">
        <v>22.68</v>
      </c>
      <c r="O1089">
        <v>22.38</v>
      </c>
      <c r="P1089">
        <v>22.08</v>
      </c>
      <c r="T1089" t="s">
        <v>52</v>
      </c>
      <c r="U1089">
        <v>6</v>
      </c>
      <c r="V1089">
        <v>4</v>
      </c>
    </row>
    <row r="1090" spans="1:32" x14ac:dyDescent="0.3">
      <c r="A1090">
        <v>1089</v>
      </c>
      <c r="B1090">
        <v>41548</v>
      </c>
      <c r="C1090" s="2">
        <v>33176</v>
      </c>
      <c r="D1090">
        <v>35</v>
      </c>
      <c r="E1090" t="s">
        <v>42</v>
      </c>
      <c r="F1090" t="s">
        <v>50</v>
      </c>
      <c r="G1090" s="2">
        <v>44506</v>
      </c>
      <c r="H1090" s="3">
        <f t="shared" si="16"/>
        <v>4.1698630136986301</v>
      </c>
      <c r="I1090">
        <v>139</v>
      </c>
      <c r="J1090" t="s">
        <v>57</v>
      </c>
      <c r="K1090" t="s">
        <v>56</v>
      </c>
      <c r="L1090" t="s">
        <v>44</v>
      </c>
      <c r="M1090">
        <v>8.4700000000000006</v>
      </c>
      <c r="N1090">
        <v>8.27</v>
      </c>
      <c r="O1090">
        <v>8.07</v>
      </c>
      <c r="P1090">
        <v>7.87</v>
      </c>
      <c r="T1090" t="s">
        <v>47</v>
      </c>
      <c r="U1090">
        <v>1</v>
      </c>
      <c r="V1090">
        <v>7</v>
      </c>
    </row>
    <row r="1091" spans="1:32" x14ac:dyDescent="0.3">
      <c r="A1091">
        <v>1090</v>
      </c>
      <c r="B1091">
        <v>41593</v>
      </c>
      <c r="C1091" s="2">
        <v>35255</v>
      </c>
      <c r="D1091">
        <v>29</v>
      </c>
      <c r="E1091" t="s">
        <v>36</v>
      </c>
      <c r="F1091" t="s">
        <v>50</v>
      </c>
      <c r="G1091" s="2">
        <v>44500</v>
      </c>
      <c r="H1091" s="3">
        <f t="shared" ref="H1091:H1154" si="17">DATEDIF(G1092,DATE(2025,12,31),"d")/365</f>
        <v>4.2821917808219174</v>
      </c>
      <c r="I1091">
        <v>142</v>
      </c>
      <c r="J1091" t="s">
        <v>57</v>
      </c>
      <c r="K1091" t="s">
        <v>46</v>
      </c>
      <c r="L1091" t="s">
        <v>44</v>
      </c>
      <c r="M1091">
        <v>13.67</v>
      </c>
      <c r="N1091">
        <v>13.52</v>
      </c>
      <c r="O1091">
        <v>13.37</v>
      </c>
      <c r="P1091">
        <v>13.22</v>
      </c>
      <c r="T1091" t="s">
        <v>52</v>
      </c>
      <c r="U1091">
        <v>1</v>
      </c>
      <c r="V1091">
        <v>4</v>
      </c>
    </row>
    <row r="1092" spans="1:32" x14ac:dyDescent="0.3">
      <c r="A1092">
        <v>1091</v>
      </c>
      <c r="B1092">
        <v>41623</v>
      </c>
      <c r="C1092" s="2">
        <v>33019</v>
      </c>
      <c r="D1092">
        <v>35</v>
      </c>
      <c r="E1092" t="s">
        <v>36</v>
      </c>
      <c r="F1092" t="s">
        <v>50</v>
      </c>
      <c r="G1092" s="2">
        <v>44459</v>
      </c>
      <c r="H1092" s="3">
        <f t="shared" si="17"/>
        <v>3.8986301369863012</v>
      </c>
      <c r="I1092">
        <v>144</v>
      </c>
      <c r="J1092" t="s">
        <v>57</v>
      </c>
      <c r="K1092" t="s">
        <v>46</v>
      </c>
      <c r="L1092" t="s">
        <v>44</v>
      </c>
      <c r="M1092">
        <v>13.85</v>
      </c>
      <c r="N1092">
        <v>13.62</v>
      </c>
      <c r="O1092">
        <v>13.46</v>
      </c>
      <c r="P1092">
        <v>13.22</v>
      </c>
      <c r="T1092" t="s">
        <v>47</v>
      </c>
      <c r="U1092">
        <v>0</v>
      </c>
      <c r="V1092">
        <v>5</v>
      </c>
    </row>
    <row r="1093" spans="1:32" x14ac:dyDescent="0.3">
      <c r="A1093">
        <v>1092</v>
      </c>
      <c r="B1093">
        <v>41645</v>
      </c>
      <c r="C1093" s="2">
        <v>36573</v>
      </c>
      <c r="D1093">
        <v>25</v>
      </c>
      <c r="E1093" t="s">
        <v>42</v>
      </c>
      <c r="F1093" t="s">
        <v>50</v>
      </c>
      <c r="G1093" s="2">
        <v>44599</v>
      </c>
      <c r="H1093" s="3">
        <f t="shared" si="17"/>
        <v>2.419178082191781</v>
      </c>
      <c r="I1093">
        <v>145</v>
      </c>
      <c r="J1093" t="s">
        <v>57</v>
      </c>
      <c r="K1093" t="s">
        <v>56</v>
      </c>
      <c r="L1093" t="s">
        <v>44</v>
      </c>
      <c r="M1093">
        <v>8.4700000000000006</v>
      </c>
      <c r="N1093">
        <v>8.27</v>
      </c>
      <c r="O1093">
        <v>8.07</v>
      </c>
      <c r="T1093" t="s">
        <v>47</v>
      </c>
      <c r="U1093">
        <v>1</v>
      </c>
      <c r="V1093">
        <v>4</v>
      </c>
    </row>
    <row r="1094" spans="1:32" x14ac:dyDescent="0.3">
      <c r="A1094">
        <v>1093</v>
      </c>
      <c r="B1094">
        <v>41657</v>
      </c>
      <c r="C1094" s="2">
        <v>35142</v>
      </c>
      <c r="D1094">
        <v>29</v>
      </c>
      <c r="E1094" t="s">
        <v>42</v>
      </c>
      <c r="F1094" t="s">
        <v>50</v>
      </c>
      <c r="G1094" s="2">
        <v>45139</v>
      </c>
      <c r="H1094" s="3">
        <f t="shared" si="17"/>
        <v>3.419178082191781</v>
      </c>
      <c r="I1094">
        <v>41</v>
      </c>
      <c r="J1094" t="s">
        <v>38</v>
      </c>
      <c r="K1094" t="s">
        <v>72</v>
      </c>
      <c r="L1094" t="s">
        <v>40</v>
      </c>
      <c r="M1094">
        <v>55255</v>
      </c>
      <c r="N1094">
        <v>53755</v>
      </c>
      <c r="T1094" t="s">
        <v>66</v>
      </c>
      <c r="U1094">
        <v>3</v>
      </c>
      <c r="V1094">
        <v>5</v>
      </c>
      <c r="W1094">
        <v>6</v>
      </c>
      <c r="X1094" s="2">
        <v>45080</v>
      </c>
      <c r="Y1094" t="s">
        <v>69</v>
      </c>
      <c r="AD1094">
        <v>5</v>
      </c>
      <c r="AE1094">
        <v>4</v>
      </c>
    </row>
    <row r="1095" spans="1:32" x14ac:dyDescent="0.3">
      <c r="A1095">
        <v>1094</v>
      </c>
      <c r="B1095">
        <v>41658</v>
      </c>
      <c r="C1095" s="2">
        <v>35006</v>
      </c>
      <c r="D1095">
        <v>30</v>
      </c>
      <c r="E1095" t="s">
        <v>42</v>
      </c>
      <c r="F1095" t="s">
        <v>50</v>
      </c>
      <c r="G1095" s="2">
        <v>44774</v>
      </c>
      <c r="H1095" s="3">
        <f t="shared" si="17"/>
        <v>2.419178082191781</v>
      </c>
      <c r="I1095">
        <v>41</v>
      </c>
      <c r="J1095" t="s">
        <v>38</v>
      </c>
      <c r="K1095" t="s">
        <v>72</v>
      </c>
      <c r="L1095" t="s">
        <v>40</v>
      </c>
      <c r="M1095">
        <v>55255</v>
      </c>
      <c r="N1095">
        <v>53755</v>
      </c>
      <c r="O1095">
        <v>50755</v>
      </c>
      <c r="T1095" t="s">
        <v>70</v>
      </c>
      <c r="U1095">
        <v>1</v>
      </c>
      <c r="V1095">
        <v>7</v>
      </c>
      <c r="W1095">
        <v>6</v>
      </c>
      <c r="X1095" s="2">
        <v>45252</v>
      </c>
      <c r="Y1095" t="s">
        <v>69</v>
      </c>
      <c r="AD1095">
        <v>5</v>
      </c>
      <c r="AE1095">
        <v>4</v>
      </c>
      <c r="AF1095">
        <v>3</v>
      </c>
    </row>
    <row r="1096" spans="1:32" x14ac:dyDescent="0.3">
      <c r="A1096">
        <v>1095</v>
      </c>
      <c r="B1096">
        <v>41659</v>
      </c>
      <c r="C1096" s="2">
        <v>35383</v>
      </c>
      <c r="D1096">
        <v>29</v>
      </c>
      <c r="E1096" t="s">
        <v>42</v>
      </c>
      <c r="F1096" t="s">
        <v>50</v>
      </c>
      <c r="G1096" s="2">
        <v>45139</v>
      </c>
      <c r="H1096" s="3">
        <f t="shared" si="17"/>
        <v>2.419178082191781</v>
      </c>
      <c r="I1096">
        <v>36</v>
      </c>
      <c r="J1096" t="s">
        <v>38</v>
      </c>
      <c r="K1096" t="s">
        <v>72</v>
      </c>
      <c r="L1096" t="s">
        <v>40</v>
      </c>
      <c r="M1096">
        <v>55505</v>
      </c>
      <c r="N1096">
        <v>54255</v>
      </c>
      <c r="T1096" t="s">
        <v>70</v>
      </c>
      <c r="U1096">
        <v>2</v>
      </c>
      <c r="V1096">
        <v>7</v>
      </c>
      <c r="W1096">
        <v>6</v>
      </c>
      <c r="X1096" s="2">
        <v>45206</v>
      </c>
      <c r="Y1096" t="s">
        <v>69</v>
      </c>
      <c r="AD1096">
        <v>5</v>
      </c>
      <c r="AE1096">
        <v>4</v>
      </c>
    </row>
    <row r="1097" spans="1:32" x14ac:dyDescent="0.3">
      <c r="A1097">
        <v>1096</v>
      </c>
      <c r="B1097">
        <v>41663</v>
      </c>
      <c r="C1097" s="2">
        <v>35191</v>
      </c>
      <c r="D1097">
        <v>29</v>
      </c>
      <c r="E1097" t="s">
        <v>42</v>
      </c>
      <c r="F1097" t="s">
        <v>37</v>
      </c>
      <c r="G1097" s="2">
        <v>45139</v>
      </c>
      <c r="H1097" s="3">
        <f t="shared" si="17"/>
        <v>2.419178082191781</v>
      </c>
      <c r="I1097">
        <v>62</v>
      </c>
      <c r="J1097" t="s">
        <v>38</v>
      </c>
      <c r="K1097" t="s">
        <v>72</v>
      </c>
      <c r="L1097" t="s">
        <v>40</v>
      </c>
      <c r="M1097">
        <v>53755</v>
      </c>
      <c r="N1097">
        <v>52755</v>
      </c>
      <c r="T1097" t="s">
        <v>41</v>
      </c>
      <c r="U1097">
        <v>4</v>
      </c>
      <c r="V1097">
        <v>7</v>
      </c>
      <c r="W1097">
        <v>6</v>
      </c>
      <c r="X1097" s="2">
        <v>45052</v>
      </c>
      <c r="Y1097" t="s">
        <v>69</v>
      </c>
      <c r="AD1097">
        <v>5</v>
      </c>
      <c r="AE1097">
        <v>5</v>
      </c>
    </row>
    <row r="1098" spans="1:32" x14ac:dyDescent="0.3">
      <c r="A1098">
        <v>1097</v>
      </c>
      <c r="B1098">
        <v>41664</v>
      </c>
      <c r="C1098" s="2">
        <v>35697</v>
      </c>
      <c r="D1098">
        <v>28</v>
      </c>
      <c r="E1098" t="s">
        <v>42</v>
      </c>
      <c r="F1098" t="s">
        <v>50</v>
      </c>
      <c r="G1098" s="2">
        <v>45139</v>
      </c>
      <c r="H1098" s="3">
        <f t="shared" si="17"/>
        <v>3.419178082191781</v>
      </c>
      <c r="I1098">
        <v>1</v>
      </c>
      <c r="J1098" t="s">
        <v>38</v>
      </c>
      <c r="K1098" t="s">
        <v>72</v>
      </c>
      <c r="L1098" t="s">
        <v>40</v>
      </c>
      <c r="M1098">
        <v>55005</v>
      </c>
      <c r="N1098">
        <v>53755</v>
      </c>
      <c r="T1098" t="s">
        <v>58</v>
      </c>
      <c r="U1098">
        <v>1</v>
      </c>
      <c r="V1098">
        <v>7</v>
      </c>
      <c r="W1098">
        <v>7</v>
      </c>
      <c r="X1098" s="2">
        <v>45020</v>
      </c>
      <c r="Y1098" t="s">
        <v>69</v>
      </c>
      <c r="AD1098">
        <v>5</v>
      </c>
      <c r="AE1098">
        <v>4</v>
      </c>
    </row>
    <row r="1099" spans="1:32" x14ac:dyDescent="0.3">
      <c r="A1099">
        <v>1098</v>
      </c>
      <c r="B1099">
        <v>41666</v>
      </c>
      <c r="C1099" s="2">
        <v>35687</v>
      </c>
      <c r="D1099">
        <v>28</v>
      </c>
      <c r="E1099" t="s">
        <v>42</v>
      </c>
      <c r="F1099" t="s">
        <v>50</v>
      </c>
      <c r="G1099" s="2">
        <v>44774</v>
      </c>
      <c r="H1099" s="3">
        <f t="shared" si="17"/>
        <v>3.419178082191781</v>
      </c>
      <c r="I1099">
        <v>19</v>
      </c>
      <c r="J1099" t="s">
        <v>38</v>
      </c>
      <c r="K1099" t="s">
        <v>72</v>
      </c>
      <c r="L1099" t="s">
        <v>40</v>
      </c>
      <c r="M1099">
        <v>55644</v>
      </c>
      <c r="N1099">
        <v>55030</v>
      </c>
      <c r="O1099">
        <v>50755</v>
      </c>
      <c r="T1099" t="s">
        <v>58</v>
      </c>
      <c r="U1099">
        <v>2</v>
      </c>
      <c r="V1099">
        <v>5</v>
      </c>
      <c r="W1099">
        <v>5</v>
      </c>
      <c r="X1099" s="2">
        <v>45263</v>
      </c>
      <c r="Y1099" t="s">
        <v>69</v>
      </c>
      <c r="AD1099">
        <v>5</v>
      </c>
      <c r="AE1099">
        <v>5</v>
      </c>
      <c r="AF1099">
        <v>2</v>
      </c>
    </row>
    <row r="1100" spans="1:32" x14ac:dyDescent="0.3">
      <c r="A1100">
        <v>1099</v>
      </c>
      <c r="B1100">
        <v>41667</v>
      </c>
      <c r="C1100" s="2">
        <v>36072</v>
      </c>
      <c r="D1100">
        <v>27</v>
      </c>
      <c r="E1100" t="s">
        <v>42</v>
      </c>
      <c r="F1100" t="s">
        <v>50</v>
      </c>
      <c r="G1100" s="2">
        <v>44774</v>
      </c>
      <c r="H1100" s="3">
        <f t="shared" si="17"/>
        <v>2.419178082191781</v>
      </c>
      <c r="I1100">
        <v>21</v>
      </c>
      <c r="J1100" t="s">
        <v>38</v>
      </c>
      <c r="K1100" t="s">
        <v>72</v>
      </c>
      <c r="L1100" t="s">
        <v>40</v>
      </c>
      <c r="M1100">
        <v>54755</v>
      </c>
      <c r="N1100">
        <v>53755</v>
      </c>
      <c r="O1100">
        <v>50755</v>
      </c>
      <c r="T1100" t="s">
        <v>67</v>
      </c>
      <c r="U1100">
        <v>0</v>
      </c>
      <c r="V1100">
        <v>7</v>
      </c>
      <c r="W1100">
        <v>6</v>
      </c>
      <c r="X1100" s="2">
        <v>44967</v>
      </c>
      <c r="Y1100" t="s">
        <v>69</v>
      </c>
      <c r="AD1100">
        <v>4</v>
      </c>
      <c r="AE1100">
        <v>3</v>
      </c>
      <c r="AF1100">
        <v>3</v>
      </c>
    </row>
    <row r="1101" spans="1:32" x14ac:dyDescent="0.3">
      <c r="A1101">
        <v>1100</v>
      </c>
      <c r="B1101">
        <v>41671</v>
      </c>
      <c r="C1101" s="2">
        <v>35694</v>
      </c>
      <c r="D1101">
        <v>28</v>
      </c>
      <c r="E1101" t="s">
        <v>42</v>
      </c>
      <c r="F1101" t="s">
        <v>50</v>
      </c>
      <c r="G1101" s="2">
        <v>45139</v>
      </c>
      <c r="H1101" s="3">
        <f t="shared" si="17"/>
        <v>2.419178082191781</v>
      </c>
      <c r="I1101">
        <v>5</v>
      </c>
      <c r="J1101" t="s">
        <v>38</v>
      </c>
      <c r="K1101" t="s">
        <v>72</v>
      </c>
      <c r="L1101" t="s">
        <v>40</v>
      </c>
      <c r="M1101">
        <v>53755</v>
      </c>
      <c r="N1101">
        <v>52755</v>
      </c>
      <c r="T1101" t="s">
        <v>71</v>
      </c>
      <c r="U1101">
        <v>2</v>
      </c>
      <c r="V1101">
        <v>7</v>
      </c>
      <c r="W1101">
        <v>7</v>
      </c>
      <c r="X1101" s="2">
        <v>45342</v>
      </c>
      <c r="Y1101" t="s">
        <v>69</v>
      </c>
      <c r="AD1101">
        <v>5</v>
      </c>
      <c r="AE1101">
        <v>4</v>
      </c>
    </row>
    <row r="1102" spans="1:32" x14ac:dyDescent="0.3">
      <c r="A1102">
        <v>1101</v>
      </c>
      <c r="B1102">
        <v>41672</v>
      </c>
      <c r="C1102" s="2">
        <v>35071</v>
      </c>
      <c r="D1102">
        <v>29</v>
      </c>
      <c r="E1102" t="s">
        <v>42</v>
      </c>
      <c r="F1102" t="s">
        <v>50</v>
      </c>
      <c r="G1102" s="2">
        <v>45139</v>
      </c>
      <c r="H1102" s="3">
        <f t="shared" si="17"/>
        <v>3.419178082191781</v>
      </c>
      <c r="I1102">
        <v>8</v>
      </c>
      <c r="J1102" t="s">
        <v>38</v>
      </c>
      <c r="K1102" t="s">
        <v>72</v>
      </c>
      <c r="L1102" t="s">
        <v>40</v>
      </c>
      <c r="M1102">
        <v>52765</v>
      </c>
      <c r="N1102">
        <v>51755</v>
      </c>
      <c r="T1102" t="s">
        <v>58</v>
      </c>
      <c r="U1102">
        <v>0</v>
      </c>
      <c r="V1102">
        <v>7</v>
      </c>
      <c r="W1102">
        <v>6</v>
      </c>
      <c r="X1102" s="2">
        <v>45024</v>
      </c>
      <c r="Y1102" t="s">
        <v>69</v>
      </c>
      <c r="AD1102">
        <v>3</v>
      </c>
      <c r="AE1102">
        <v>5</v>
      </c>
    </row>
    <row r="1103" spans="1:32" x14ac:dyDescent="0.3">
      <c r="A1103">
        <v>1102</v>
      </c>
      <c r="B1103">
        <v>41673</v>
      </c>
      <c r="C1103" s="2">
        <v>34296</v>
      </c>
      <c r="D1103">
        <v>32</v>
      </c>
      <c r="E1103" t="s">
        <v>42</v>
      </c>
      <c r="F1103" t="s">
        <v>50</v>
      </c>
      <c r="G1103" s="2">
        <v>44774</v>
      </c>
      <c r="H1103" s="3">
        <f t="shared" si="17"/>
        <v>3.419178082191781</v>
      </c>
      <c r="I1103">
        <v>52</v>
      </c>
      <c r="J1103" t="s">
        <v>38</v>
      </c>
      <c r="K1103" t="s">
        <v>72</v>
      </c>
      <c r="L1103" t="s">
        <v>40</v>
      </c>
      <c r="M1103">
        <v>56255</v>
      </c>
      <c r="N1103">
        <v>54755</v>
      </c>
      <c r="O1103">
        <v>50755</v>
      </c>
      <c r="T1103" t="s">
        <v>71</v>
      </c>
      <c r="U1103">
        <v>4</v>
      </c>
      <c r="V1103">
        <v>7</v>
      </c>
      <c r="W1103">
        <v>7</v>
      </c>
      <c r="X1103" s="2">
        <v>45292</v>
      </c>
      <c r="Y1103" t="s">
        <v>69</v>
      </c>
      <c r="AD1103">
        <v>5</v>
      </c>
      <c r="AE1103">
        <v>5</v>
      </c>
      <c r="AF1103">
        <v>5</v>
      </c>
    </row>
    <row r="1104" spans="1:32" x14ac:dyDescent="0.3">
      <c r="A1104">
        <v>1103</v>
      </c>
      <c r="B1104">
        <v>41675</v>
      </c>
      <c r="C1104" s="2">
        <v>36015</v>
      </c>
      <c r="D1104">
        <v>27</v>
      </c>
      <c r="E1104" t="s">
        <v>36</v>
      </c>
      <c r="F1104" t="s">
        <v>50</v>
      </c>
      <c r="G1104" s="2">
        <v>44774</v>
      </c>
      <c r="H1104" s="3">
        <f t="shared" si="17"/>
        <v>3.2794520547945205</v>
      </c>
      <c r="I1104">
        <v>8</v>
      </c>
      <c r="J1104" t="s">
        <v>38</v>
      </c>
      <c r="K1104" t="s">
        <v>72</v>
      </c>
      <c r="L1104" t="s">
        <v>40</v>
      </c>
      <c r="M1104">
        <v>52845</v>
      </c>
      <c r="N1104">
        <v>51755</v>
      </c>
      <c r="O1104">
        <v>50755</v>
      </c>
      <c r="T1104" t="s">
        <v>67</v>
      </c>
      <c r="U1104">
        <v>2</v>
      </c>
      <c r="V1104">
        <v>7</v>
      </c>
      <c r="W1104">
        <v>5</v>
      </c>
      <c r="X1104" s="2">
        <v>45264</v>
      </c>
      <c r="Y1104" t="s">
        <v>69</v>
      </c>
      <c r="AD1104">
        <v>3</v>
      </c>
      <c r="AE1104">
        <v>3</v>
      </c>
      <c r="AF1104">
        <v>2</v>
      </c>
    </row>
    <row r="1105" spans="1:32" x14ac:dyDescent="0.3">
      <c r="A1105">
        <v>1104</v>
      </c>
      <c r="B1105">
        <v>41681</v>
      </c>
      <c r="C1105" s="2">
        <v>31359</v>
      </c>
      <c r="D1105">
        <v>40</v>
      </c>
      <c r="E1105" t="s">
        <v>36</v>
      </c>
      <c r="F1105" t="s">
        <v>50</v>
      </c>
      <c r="G1105" s="2">
        <v>44825</v>
      </c>
      <c r="H1105" s="3">
        <f t="shared" si="17"/>
        <v>2.9205479452054797</v>
      </c>
      <c r="I1105">
        <v>51</v>
      </c>
      <c r="J1105" t="s">
        <v>38</v>
      </c>
      <c r="K1105" t="s">
        <v>39</v>
      </c>
      <c r="L1105" t="s">
        <v>40</v>
      </c>
      <c r="M1105">
        <v>79778</v>
      </c>
      <c r="N1105">
        <v>76778</v>
      </c>
      <c r="O1105">
        <v>74528</v>
      </c>
      <c r="T1105" t="s">
        <v>66</v>
      </c>
      <c r="U1105">
        <v>3</v>
      </c>
      <c r="V1105">
        <v>4</v>
      </c>
      <c r="W1105">
        <v>4</v>
      </c>
      <c r="AD1105">
        <v>4</v>
      </c>
      <c r="AE1105">
        <v>5</v>
      </c>
      <c r="AF1105">
        <v>4</v>
      </c>
    </row>
    <row r="1106" spans="1:32" x14ac:dyDescent="0.3">
      <c r="A1106">
        <v>1105</v>
      </c>
      <c r="B1106">
        <v>41683</v>
      </c>
      <c r="C1106" s="2">
        <v>30270</v>
      </c>
      <c r="D1106">
        <v>43</v>
      </c>
      <c r="E1106" t="s">
        <v>36</v>
      </c>
      <c r="F1106" t="s">
        <v>50</v>
      </c>
      <c r="G1106" s="2">
        <v>44956</v>
      </c>
      <c r="H1106" s="3">
        <f t="shared" si="17"/>
        <v>2.419178082191781</v>
      </c>
      <c r="I1106">
        <v>55</v>
      </c>
      <c r="J1106" t="s">
        <v>38</v>
      </c>
      <c r="K1106" t="s">
        <v>39</v>
      </c>
      <c r="L1106" t="s">
        <v>40</v>
      </c>
      <c r="M1106">
        <v>75278</v>
      </c>
      <c r="N1106">
        <v>74528</v>
      </c>
      <c r="T1106" t="s">
        <v>61</v>
      </c>
      <c r="U1106">
        <v>2</v>
      </c>
      <c r="V1106">
        <v>4</v>
      </c>
      <c r="W1106">
        <v>4</v>
      </c>
      <c r="AD1106">
        <v>5</v>
      </c>
      <c r="AE1106">
        <v>4</v>
      </c>
    </row>
    <row r="1107" spans="1:32" x14ac:dyDescent="0.3">
      <c r="A1107">
        <v>1106</v>
      </c>
      <c r="B1107">
        <v>41686</v>
      </c>
      <c r="C1107" s="2">
        <v>36051</v>
      </c>
      <c r="D1107">
        <v>27</v>
      </c>
      <c r="E1107" t="s">
        <v>42</v>
      </c>
      <c r="F1107" t="s">
        <v>50</v>
      </c>
      <c r="G1107" s="2">
        <v>45139</v>
      </c>
      <c r="H1107" s="3">
        <f t="shared" si="17"/>
        <v>3.419178082191781</v>
      </c>
      <c r="I1107">
        <v>15</v>
      </c>
      <c r="J1107" t="s">
        <v>38</v>
      </c>
      <c r="K1107" t="s">
        <v>72</v>
      </c>
      <c r="L1107" t="s">
        <v>40</v>
      </c>
      <c r="M1107">
        <v>53755</v>
      </c>
      <c r="N1107">
        <v>52755</v>
      </c>
      <c r="T1107" t="s">
        <v>41</v>
      </c>
      <c r="U1107">
        <v>1</v>
      </c>
      <c r="V1107">
        <v>6</v>
      </c>
      <c r="W1107">
        <v>7</v>
      </c>
      <c r="X1107" s="2">
        <v>45251</v>
      </c>
      <c r="Y1107" t="s">
        <v>69</v>
      </c>
      <c r="AD1107">
        <v>4</v>
      </c>
      <c r="AE1107">
        <v>2</v>
      </c>
    </row>
    <row r="1108" spans="1:32" x14ac:dyDescent="0.3">
      <c r="A1108">
        <v>1107</v>
      </c>
      <c r="B1108">
        <v>41687</v>
      </c>
      <c r="C1108" s="2">
        <v>35150</v>
      </c>
      <c r="D1108">
        <v>29</v>
      </c>
      <c r="E1108" t="s">
        <v>36</v>
      </c>
      <c r="F1108" t="s">
        <v>50</v>
      </c>
      <c r="G1108" s="2">
        <v>44774</v>
      </c>
      <c r="H1108" s="3">
        <f t="shared" si="17"/>
        <v>2.419178082191781</v>
      </c>
      <c r="I1108">
        <v>21</v>
      </c>
      <c r="J1108" t="s">
        <v>38</v>
      </c>
      <c r="K1108" t="s">
        <v>72</v>
      </c>
      <c r="L1108" t="s">
        <v>40</v>
      </c>
      <c r="M1108">
        <v>52755</v>
      </c>
      <c r="N1108">
        <v>51755</v>
      </c>
      <c r="O1108">
        <v>50755</v>
      </c>
      <c r="T1108" t="s">
        <v>66</v>
      </c>
      <c r="U1108">
        <v>3</v>
      </c>
      <c r="V1108">
        <v>5</v>
      </c>
      <c r="W1108">
        <v>5</v>
      </c>
      <c r="X1108" s="2">
        <v>45090</v>
      </c>
      <c r="Y1108" t="s">
        <v>69</v>
      </c>
      <c r="AD1108">
        <v>5</v>
      </c>
      <c r="AE1108">
        <v>3</v>
      </c>
      <c r="AF1108">
        <v>1</v>
      </c>
    </row>
    <row r="1109" spans="1:32" x14ac:dyDescent="0.3">
      <c r="A1109">
        <v>1108</v>
      </c>
      <c r="B1109">
        <v>41688</v>
      </c>
      <c r="C1109" s="2">
        <v>35376</v>
      </c>
      <c r="D1109">
        <v>29</v>
      </c>
      <c r="E1109" t="s">
        <v>36</v>
      </c>
      <c r="F1109" t="s">
        <v>50</v>
      </c>
      <c r="G1109" s="2">
        <v>45139</v>
      </c>
      <c r="H1109" s="3">
        <f t="shared" si="17"/>
        <v>3.419178082191781</v>
      </c>
      <c r="I1109">
        <v>22</v>
      </c>
      <c r="J1109" t="s">
        <v>38</v>
      </c>
      <c r="K1109" t="s">
        <v>72</v>
      </c>
      <c r="L1109" t="s">
        <v>40</v>
      </c>
      <c r="M1109">
        <v>52255</v>
      </c>
      <c r="N1109">
        <v>52255</v>
      </c>
      <c r="T1109" t="s">
        <v>41</v>
      </c>
      <c r="U1109">
        <v>4</v>
      </c>
      <c r="V1109">
        <v>7</v>
      </c>
      <c r="W1109">
        <v>6</v>
      </c>
      <c r="X1109" s="2">
        <v>45301</v>
      </c>
      <c r="Y1109" t="s">
        <v>69</v>
      </c>
      <c r="AD1109">
        <v>4</v>
      </c>
      <c r="AE1109">
        <v>3</v>
      </c>
    </row>
    <row r="1110" spans="1:32" x14ac:dyDescent="0.3">
      <c r="A1110">
        <v>1109</v>
      </c>
      <c r="B1110">
        <v>41691</v>
      </c>
      <c r="C1110" s="2">
        <v>35574</v>
      </c>
      <c r="D1110">
        <v>28</v>
      </c>
      <c r="E1110" t="s">
        <v>42</v>
      </c>
      <c r="F1110" t="s">
        <v>50</v>
      </c>
      <c r="G1110" s="2">
        <v>44774</v>
      </c>
      <c r="H1110" s="3">
        <f t="shared" si="17"/>
        <v>3.419178082191781</v>
      </c>
      <c r="I1110">
        <v>52</v>
      </c>
      <c r="J1110" t="s">
        <v>38</v>
      </c>
      <c r="K1110" t="s">
        <v>72</v>
      </c>
      <c r="L1110" t="s">
        <v>40</v>
      </c>
      <c r="M1110">
        <v>56005</v>
      </c>
      <c r="N1110">
        <v>54755</v>
      </c>
      <c r="O1110">
        <v>50755</v>
      </c>
      <c r="T1110" t="s">
        <v>41</v>
      </c>
      <c r="U1110">
        <v>2</v>
      </c>
      <c r="V1110">
        <v>6</v>
      </c>
      <c r="W1110">
        <v>6</v>
      </c>
      <c r="X1110" s="2">
        <v>45242</v>
      </c>
      <c r="Y1110" t="s">
        <v>69</v>
      </c>
      <c r="AD1110">
        <v>5</v>
      </c>
      <c r="AE1110">
        <v>4</v>
      </c>
      <c r="AF1110">
        <v>5</v>
      </c>
    </row>
    <row r="1111" spans="1:32" x14ac:dyDescent="0.3">
      <c r="A1111">
        <v>1110</v>
      </c>
      <c r="B1111">
        <v>41692</v>
      </c>
      <c r="C1111" s="2">
        <v>35361</v>
      </c>
      <c r="D1111">
        <v>29</v>
      </c>
      <c r="E1111" t="s">
        <v>42</v>
      </c>
      <c r="F1111" t="s">
        <v>50</v>
      </c>
      <c r="G1111" s="2">
        <v>44774</v>
      </c>
      <c r="H1111" s="3">
        <f t="shared" si="17"/>
        <v>2.419178082191781</v>
      </c>
      <c r="I1111">
        <v>56</v>
      </c>
      <c r="J1111" t="s">
        <v>38</v>
      </c>
      <c r="K1111" t="s">
        <v>72</v>
      </c>
      <c r="L1111" t="s">
        <v>40</v>
      </c>
      <c r="M1111">
        <v>55755</v>
      </c>
      <c r="N1111">
        <v>53755</v>
      </c>
      <c r="O1111">
        <v>50755</v>
      </c>
      <c r="T1111" t="s">
        <v>41</v>
      </c>
      <c r="U1111">
        <v>2</v>
      </c>
      <c r="V1111">
        <v>7</v>
      </c>
      <c r="W1111">
        <v>6</v>
      </c>
      <c r="X1111" s="2">
        <v>45301</v>
      </c>
      <c r="Y1111" t="s">
        <v>69</v>
      </c>
      <c r="AD1111">
        <v>5</v>
      </c>
      <c r="AE1111">
        <v>5</v>
      </c>
      <c r="AF1111">
        <v>3</v>
      </c>
    </row>
    <row r="1112" spans="1:32" x14ac:dyDescent="0.3">
      <c r="A1112">
        <v>1111</v>
      </c>
      <c r="B1112">
        <v>41694</v>
      </c>
      <c r="C1112" s="2">
        <v>35998</v>
      </c>
      <c r="D1112">
        <v>27</v>
      </c>
      <c r="E1112" t="s">
        <v>36</v>
      </c>
      <c r="F1112" t="s">
        <v>37</v>
      </c>
      <c r="G1112" s="2">
        <v>45139</v>
      </c>
      <c r="H1112" s="3">
        <f t="shared" si="17"/>
        <v>2.419178082191781</v>
      </c>
      <c r="I1112">
        <v>49</v>
      </c>
      <c r="J1112" t="s">
        <v>38</v>
      </c>
      <c r="K1112" t="s">
        <v>72</v>
      </c>
      <c r="L1112" t="s">
        <v>40</v>
      </c>
      <c r="M1112">
        <v>54493</v>
      </c>
      <c r="N1112">
        <v>53203</v>
      </c>
      <c r="T1112" t="s">
        <v>61</v>
      </c>
      <c r="U1112">
        <v>4</v>
      </c>
      <c r="V1112">
        <v>5</v>
      </c>
      <c r="W1112">
        <v>4</v>
      </c>
      <c r="X1112" s="2">
        <v>45124</v>
      </c>
      <c r="Y1112" t="s">
        <v>69</v>
      </c>
      <c r="AD1112">
        <v>2</v>
      </c>
      <c r="AE1112">
        <v>1</v>
      </c>
    </row>
    <row r="1113" spans="1:32" x14ac:dyDescent="0.3">
      <c r="A1113">
        <v>1112</v>
      </c>
      <c r="B1113">
        <v>41696</v>
      </c>
      <c r="C1113" s="2">
        <v>34740</v>
      </c>
      <c r="D1113">
        <v>30</v>
      </c>
      <c r="E1113" t="s">
        <v>42</v>
      </c>
      <c r="F1113" t="s">
        <v>50</v>
      </c>
      <c r="G1113" s="2">
        <v>45139</v>
      </c>
      <c r="H1113" s="3">
        <f t="shared" si="17"/>
        <v>2.419178082191781</v>
      </c>
      <c r="I1113">
        <v>30</v>
      </c>
      <c r="J1113" t="s">
        <v>38</v>
      </c>
      <c r="K1113" t="s">
        <v>72</v>
      </c>
      <c r="L1113" t="s">
        <v>40</v>
      </c>
      <c r="M1113">
        <v>55255</v>
      </c>
      <c r="N1113">
        <v>53755</v>
      </c>
      <c r="T1113" t="s">
        <v>41</v>
      </c>
      <c r="U1113">
        <v>2</v>
      </c>
      <c r="V1113">
        <v>6</v>
      </c>
      <c r="W1113">
        <v>6</v>
      </c>
      <c r="X1113" s="2">
        <v>45236</v>
      </c>
      <c r="Y1113" t="s">
        <v>69</v>
      </c>
      <c r="AD1113">
        <v>4</v>
      </c>
      <c r="AE1113">
        <v>4</v>
      </c>
    </row>
    <row r="1114" spans="1:32" x14ac:dyDescent="0.3">
      <c r="A1114">
        <v>1113</v>
      </c>
      <c r="B1114">
        <v>41697</v>
      </c>
      <c r="C1114" s="2">
        <v>35849</v>
      </c>
      <c r="D1114">
        <v>27</v>
      </c>
      <c r="E1114" t="s">
        <v>42</v>
      </c>
      <c r="F1114" t="s">
        <v>50</v>
      </c>
      <c r="G1114" s="2">
        <v>45139</v>
      </c>
      <c r="H1114" s="3">
        <f t="shared" si="17"/>
        <v>2.419178082191781</v>
      </c>
      <c r="I1114">
        <v>61</v>
      </c>
      <c r="J1114" t="s">
        <v>38</v>
      </c>
      <c r="K1114" t="s">
        <v>72</v>
      </c>
      <c r="L1114" t="s">
        <v>40</v>
      </c>
      <c r="M1114">
        <v>54433</v>
      </c>
      <c r="N1114">
        <v>54433</v>
      </c>
      <c r="T1114" t="s">
        <v>63</v>
      </c>
      <c r="U1114">
        <v>3</v>
      </c>
      <c r="V1114">
        <v>7</v>
      </c>
      <c r="W1114">
        <v>6</v>
      </c>
      <c r="X1114" s="2">
        <v>45140</v>
      </c>
      <c r="Y1114" t="s">
        <v>69</v>
      </c>
      <c r="AD1114">
        <v>5</v>
      </c>
      <c r="AE1114">
        <v>5</v>
      </c>
    </row>
    <row r="1115" spans="1:32" x14ac:dyDescent="0.3">
      <c r="A1115">
        <v>1114</v>
      </c>
      <c r="B1115">
        <v>41698</v>
      </c>
      <c r="C1115" s="2">
        <v>34165</v>
      </c>
      <c r="D1115">
        <v>32</v>
      </c>
      <c r="E1115" t="s">
        <v>36</v>
      </c>
      <c r="F1115" t="s">
        <v>50</v>
      </c>
      <c r="G1115" s="2">
        <v>45139</v>
      </c>
      <c r="H1115" s="3">
        <f t="shared" si="17"/>
        <v>3.419178082191781</v>
      </c>
      <c r="I1115">
        <v>1</v>
      </c>
      <c r="J1115" t="s">
        <v>38</v>
      </c>
      <c r="K1115" t="s">
        <v>72</v>
      </c>
      <c r="L1115" t="s">
        <v>40</v>
      </c>
      <c r="M1115">
        <v>54755</v>
      </c>
      <c r="N1115">
        <v>53755</v>
      </c>
      <c r="T1115" t="s">
        <v>63</v>
      </c>
      <c r="U1115">
        <v>4</v>
      </c>
      <c r="V1115">
        <v>5</v>
      </c>
      <c r="W1115">
        <v>5</v>
      </c>
      <c r="X1115" s="2">
        <v>45205</v>
      </c>
      <c r="Y1115" t="s">
        <v>69</v>
      </c>
      <c r="AD1115">
        <v>5</v>
      </c>
      <c r="AE1115">
        <v>3</v>
      </c>
    </row>
    <row r="1116" spans="1:32" x14ac:dyDescent="0.3">
      <c r="A1116">
        <v>1115</v>
      </c>
      <c r="B1116">
        <v>41699</v>
      </c>
      <c r="C1116" s="2">
        <v>35444</v>
      </c>
      <c r="D1116">
        <v>28</v>
      </c>
      <c r="E1116" t="s">
        <v>36</v>
      </c>
      <c r="F1116" t="s">
        <v>50</v>
      </c>
      <c r="G1116" s="2">
        <v>44774</v>
      </c>
      <c r="H1116" s="3">
        <f t="shared" si="17"/>
        <v>2.419178082191781</v>
      </c>
      <c r="I1116">
        <v>12</v>
      </c>
      <c r="J1116" t="s">
        <v>38</v>
      </c>
      <c r="K1116" t="s">
        <v>72</v>
      </c>
      <c r="L1116" t="s">
        <v>40</v>
      </c>
      <c r="M1116">
        <v>56755</v>
      </c>
      <c r="N1116">
        <v>54755</v>
      </c>
      <c r="O1116">
        <v>50755</v>
      </c>
      <c r="T1116" t="s">
        <v>41</v>
      </c>
      <c r="U1116">
        <v>2</v>
      </c>
      <c r="V1116">
        <v>4</v>
      </c>
      <c r="W1116">
        <v>4</v>
      </c>
      <c r="X1116" s="2">
        <v>45083</v>
      </c>
      <c r="Y1116" t="s">
        <v>69</v>
      </c>
      <c r="AD1116">
        <v>4</v>
      </c>
      <c r="AE1116">
        <v>5</v>
      </c>
      <c r="AF1116">
        <v>4</v>
      </c>
    </row>
    <row r="1117" spans="1:32" x14ac:dyDescent="0.3">
      <c r="A1117">
        <v>1116</v>
      </c>
      <c r="B1117">
        <v>41700</v>
      </c>
      <c r="C1117" s="2">
        <v>35686</v>
      </c>
      <c r="D1117">
        <v>28</v>
      </c>
      <c r="E1117" t="s">
        <v>36</v>
      </c>
      <c r="F1117" t="s">
        <v>50</v>
      </c>
      <c r="G1117" s="2">
        <v>45139</v>
      </c>
      <c r="H1117" s="3">
        <f t="shared" si="17"/>
        <v>2.419178082191781</v>
      </c>
      <c r="I1117">
        <v>58</v>
      </c>
      <c r="J1117" t="s">
        <v>38</v>
      </c>
      <c r="K1117" t="s">
        <v>72</v>
      </c>
      <c r="L1117" t="s">
        <v>40</v>
      </c>
      <c r="M1117">
        <v>53587</v>
      </c>
      <c r="N1117">
        <v>52471</v>
      </c>
      <c r="T1117" t="s">
        <v>63</v>
      </c>
      <c r="U1117">
        <v>4</v>
      </c>
      <c r="V1117">
        <v>6</v>
      </c>
      <c r="W1117">
        <v>5</v>
      </c>
      <c r="X1117" s="2">
        <v>45026</v>
      </c>
      <c r="Y1117" t="s">
        <v>69</v>
      </c>
      <c r="AD1117">
        <v>2</v>
      </c>
      <c r="AE1117">
        <v>2</v>
      </c>
    </row>
    <row r="1118" spans="1:32" x14ac:dyDescent="0.3">
      <c r="A1118">
        <v>1117</v>
      </c>
      <c r="B1118">
        <v>41701</v>
      </c>
      <c r="C1118" s="2">
        <v>35525</v>
      </c>
      <c r="D1118">
        <v>28</v>
      </c>
      <c r="E1118" t="s">
        <v>42</v>
      </c>
      <c r="F1118" t="s">
        <v>50</v>
      </c>
      <c r="G1118" s="2">
        <v>45139</v>
      </c>
      <c r="H1118" s="3">
        <f t="shared" si="17"/>
        <v>3.419178082191781</v>
      </c>
      <c r="I1118">
        <v>65</v>
      </c>
      <c r="J1118" t="s">
        <v>38</v>
      </c>
      <c r="K1118" t="s">
        <v>72</v>
      </c>
      <c r="L1118" t="s">
        <v>40</v>
      </c>
      <c r="M1118">
        <v>52255</v>
      </c>
      <c r="N1118">
        <v>52255</v>
      </c>
      <c r="T1118" t="s">
        <v>58</v>
      </c>
      <c r="U1118">
        <v>0</v>
      </c>
      <c r="V1118">
        <v>5</v>
      </c>
      <c r="W1118">
        <v>5</v>
      </c>
      <c r="X1118" s="2">
        <v>45096</v>
      </c>
      <c r="Y1118" t="s">
        <v>69</v>
      </c>
      <c r="AD1118">
        <v>3</v>
      </c>
      <c r="AE1118">
        <v>2</v>
      </c>
    </row>
    <row r="1119" spans="1:32" x14ac:dyDescent="0.3">
      <c r="A1119">
        <v>1118</v>
      </c>
      <c r="B1119">
        <v>41704</v>
      </c>
      <c r="C1119" s="2">
        <v>34830</v>
      </c>
      <c r="D1119">
        <v>30</v>
      </c>
      <c r="E1119" t="s">
        <v>42</v>
      </c>
      <c r="F1119" t="s">
        <v>50</v>
      </c>
      <c r="G1119" s="2">
        <v>44774</v>
      </c>
      <c r="H1119" s="3">
        <f t="shared" si="17"/>
        <v>3.419178082191781</v>
      </c>
      <c r="I1119">
        <v>31</v>
      </c>
      <c r="J1119" t="s">
        <v>38</v>
      </c>
      <c r="K1119" t="s">
        <v>72</v>
      </c>
      <c r="L1119" t="s">
        <v>40</v>
      </c>
      <c r="M1119">
        <v>52755</v>
      </c>
      <c r="N1119">
        <v>52255</v>
      </c>
      <c r="O1119">
        <v>50755</v>
      </c>
      <c r="T1119" t="s">
        <v>71</v>
      </c>
      <c r="U1119">
        <v>2</v>
      </c>
      <c r="V1119">
        <v>5</v>
      </c>
      <c r="W1119">
        <v>5</v>
      </c>
      <c r="X1119" s="2">
        <v>45307</v>
      </c>
      <c r="Y1119" t="s">
        <v>69</v>
      </c>
      <c r="AD1119">
        <v>2</v>
      </c>
      <c r="AE1119">
        <v>3</v>
      </c>
      <c r="AF1119">
        <v>5</v>
      </c>
    </row>
    <row r="1120" spans="1:32" x14ac:dyDescent="0.3">
      <c r="A1120">
        <v>1119</v>
      </c>
      <c r="B1120">
        <v>41712</v>
      </c>
      <c r="C1120" s="2">
        <v>35347</v>
      </c>
      <c r="D1120">
        <v>29</v>
      </c>
      <c r="E1120" t="s">
        <v>36</v>
      </c>
      <c r="F1120" t="s">
        <v>50</v>
      </c>
      <c r="G1120" s="2">
        <v>44774</v>
      </c>
      <c r="H1120" s="3">
        <f t="shared" si="17"/>
        <v>2.419178082191781</v>
      </c>
      <c r="I1120">
        <v>34</v>
      </c>
      <c r="J1120" t="s">
        <v>38</v>
      </c>
      <c r="K1120" t="s">
        <v>72</v>
      </c>
      <c r="L1120" t="s">
        <v>40</v>
      </c>
      <c r="M1120">
        <v>53755</v>
      </c>
      <c r="N1120">
        <v>52755</v>
      </c>
      <c r="O1120">
        <v>50755</v>
      </c>
      <c r="T1120" t="s">
        <v>61</v>
      </c>
      <c r="U1120">
        <v>4</v>
      </c>
      <c r="V1120">
        <v>5</v>
      </c>
      <c r="W1120">
        <v>4</v>
      </c>
      <c r="X1120" s="2">
        <v>44987</v>
      </c>
      <c r="Y1120" t="s">
        <v>69</v>
      </c>
      <c r="AD1120">
        <v>4</v>
      </c>
      <c r="AE1120">
        <v>5</v>
      </c>
      <c r="AF1120">
        <v>5</v>
      </c>
    </row>
    <row r="1121" spans="1:31" x14ac:dyDescent="0.3">
      <c r="A1121">
        <v>1120</v>
      </c>
      <c r="B1121">
        <v>41719</v>
      </c>
      <c r="C1121" s="2">
        <v>36099</v>
      </c>
      <c r="D1121">
        <v>27</v>
      </c>
      <c r="E1121" t="s">
        <v>36</v>
      </c>
      <c r="F1121" t="s">
        <v>50</v>
      </c>
      <c r="G1121" s="2">
        <v>45139</v>
      </c>
      <c r="H1121" s="3">
        <f t="shared" si="17"/>
        <v>2.419178082191781</v>
      </c>
      <c r="I1121">
        <v>25</v>
      </c>
      <c r="J1121" t="s">
        <v>38</v>
      </c>
      <c r="K1121" t="s">
        <v>72</v>
      </c>
      <c r="L1121" t="s">
        <v>40</v>
      </c>
      <c r="M1121">
        <v>53755</v>
      </c>
      <c r="N1121">
        <v>51755</v>
      </c>
      <c r="T1121" t="s">
        <v>67</v>
      </c>
      <c r="U1121">
        <v>2</v>
      </c>
      <c r="V1121">
        <v>4</v>
      </c>
      <c r="W1121">
        <v>5</v>
      </c>
      <c r="X1121" s="2">
        <v>45629</v>
      </c>
      <c r="Y1121" t="s">
        <v>69</v>
      </c>
      <c r="AD1121">
        <v>4</v>
      </c>
      <c r="AE1121">
        <v>3</v>
      </c>
    </row>
    <row r="1122" spans="1:31" x14ac:dyDescent="0.3">
      <c r="A1122">
        <v>1121</v>
      </c>
      <c r="B1122">
        <v>41721</v>
      </c>
      <c r="C1122" s="2">
        <v>35563</v>
      </c>
      <c r="D1122">
        <v>28</v>
      </c>
      <c r="E1122" t="s">
        <v>42</v>
      </c>
      <c r="F1122" t="s">
        <v>50</v>
      </c>
      <c r="G1122" s="2">
        <v>45139</v>
      </c>
      <c r="H1122" s="3">
        <f t="shared" si="17"/>
        <v>2.419178082191781</v>
      </c>
      <c r="I1122">
        <v>45</v>
      </c>
      <c r="J1122" t="s">
        <v>38</v>
      </c>
      <c r="K1122" t="s">
        <v>72</v>
      </c>
      <c r="L1122" t="s">
        <v>40</v>
      </c>
      <c r="M1122">
        <v>53755</v>
      </c>
      <c r="N1122">
        <v>51755</v>
      </c>
      <c r="T1122" t="s">
        <v>41</v>
      </c>
      <c r="U1122">
        <v>1</v>
      </c>
      <c r="V1122">
        <v>5</v>
      </c>
      <c r="W1122">
        <v>6</v>
      </c>
      <c r="X1122" s="2">
        <v>45431</v>
      </c>
      <c r="Y1122" t="s">
        <v>69</v>
      </c>
      <c r="AD1122">
        <v>3</v>
      </c>
      <c r="AE1122">
        <v>2</v>
      </c>
    </row>
    <row r="1123" spans="1:31" x14ac:dyDescent="0.3">
      <c r="A1123">
        <v>1122</v>
      </c>
      <c r="B1123">
        <v>41724</v>
      </c>
      <c r="C1123" s="2">
        <v>35387</v>
      </c>
      <c r="D1123">
        <v>29</v>
      </c>
      <c r="E1123" t="s">
        <v>36</v>
      </c>
      <c r="F1123" t="s">
        <v>50</v>
      </c>
      <c r="G1123" s="2">
        <v>45139</v>
      </c>
      <c r="H1123" s="3">
        <f t="shared" si="17"/>
        <v>2.419178082191781</v>
      </c>
      <c r="I1123">
        <v>16</v>
      </c>
      <c r="J1123" t="s">
        <v>38</v>
      </c>
      <c r="K1123" t="s">
        <v>72</v>
      </c>
      <c r="L1123" t="s">
        <v>40</v>
      </c>
      <c r="M1123">
        <v>55755</v>
      </c>
      <c r="N1123">
        <v>51755</v>
      </c>
      <c r="T1123" t="s">
        <v>60</v>
      </c>
      <c r="U1123">
        <v>2</v>
      </c>
      <c r="V1123">
        <v>5</v>
      </c>
      <c r="W1123">
        <v>6</v>
      </c>
      <c r="X1123" s="2">
        <v>45419</v>
      </c>
      <c r="Y1123" t="s">
        <v>69</v>
      </c>
      <c r="AD1123">
        <v>5</v>
      </c>
      <c r="AE1123">
        <v>4</v>
      </c>
    </row>
    <row r="1124" spans="1:31" x14ac:dyDescent="0.3">
      <c r="A1124">
        <v>1123</v>
      </c>
      <c r="B1124">
        <v>41725</v>
      </c>
      <c r="C1124" s="2">
        <v>36019</v>
      </c>
      <c r="D1124">
        <v>27</v>
      </c>
      <c r="E1124" t="s">
        <v>36</v>
      </c>
      <c r="F1124" t="s">
        <v>50</v>
      </c>
      <c r="G1124" s="2">
        <v>45139</v>
      </c>
      <c r="H1124" s="3">
        <f t="shared" si="17"/>
        <v>2.419178082191781</v>
      </c>
      <c r="I1124">
        <v>4</v>
      </c>
      <c r="J1124" t="s">
        <v>38</v>
      </c>
      <c r="K1124" t="s">
        <v>72</v>
      </c>
      <c r="L1124" t="s">
        <v>40</v>
      </c>
      <c r="M1124">
        <v>53972</v>
      </c>
      <c r="N1124">
        <v>51472</v>
      </c>
      <c r="T1124" t="s">
        <v>61</v>
      </c>
      <c r="U1124">
        <v>2</v>
      </c>
      <c r="V1124">
        <v>4</v>
      </c>
      <c r="W1124">
        <v>4</v>
      </c>
      <c r="X1124" s="2">
        <v>45530</v>
      </c>
      <c r="Y1124" t="s">
        <v>69</v>
      </c>
      <c r="AD1124">
        <v>5</v>
      </c>
      <c r="AE1124">
        <v>2</v>
      </c>
    </row>
    <row r="1125" spans="1:31" x14ac:dyDescent="0.3">
      <c r="A1125">
        <v>1124</v>
      </c>
      <c r="B1125">
        <v>41729</v>
      </c>
      <c r="C1125" s="2">
        <v>36061</v>
      </c>
      <c r="D1125">
        <v>27</v>
      </c>
      <c r="E1125" t="s">
        <v>42</v>
      </c>
      <c r="F1125" t="s">
        <v>50</v>
      </c>
      <c r="G1125" s="2">
        <v>45139</v>
      </c>
      <c r="H1125" s="3">
        <f t="shared" si="17"/>
        <v>2.419178082191781</v>
      </c>
      <c r="I1125">
        <v>9</v>
      </c>
      <c r="J1125" t="s">
        <v>38</v>
      </c>
      <c r="K1125" t="s">
        <v>72</v>
      </c>
      <c r="L1125" t="s">
        <v>40</v>
      </c>
      <c r="M1125">
        <v>53255</v>
      </c>
      <c r="N1125">
        <v>50755</v>
      </c>
      <c r="T1125" t="s">
        <v>70</v>
      </c>
      <c r="U1125">
        <v>3</v>
      </c>
      <c r="V1125">
        <v>7</v>
      </c>
      <c r="W1125">
        <v>7</v>
      </c>
      <c r="X1125" s="2">
        <v>45580</v>
      </c>
      <c r="Y1125" t="s">
        <v>69</v>
      </c>
      <c r="AD1125">
        <v>3</v>
      </c>
      <c r="AE1125">
        <v>2</v>
      </c>
    </row>
    <row r="1126" spans="1:31" x14ac:dyDescent="0.3">
      <c r="A1126">
        <v>1125</v>
      </c>
      <c r="B1126">
        <v>41732</v>
      </c>
      <c r="C1126" s="2">
        <v>33615</v>
      </c>
      <c r="D1126">
        <v>33</v>
      </c>
      <c r="E1126" t="s">
        <v>36</v>
      </c>
      <c r="F1126" t="s">
        <v>50</v>
      </c>
      <c r="G1126" s="2">
        <v>45139</v>
      </c>
      <c r="H1126" s="3">
        <f t="shared" si="17"/>
        <v>2.419178082191781</v>
      </c>
      <c r="I1126">
        <v>53</v>
      </c>
      <c r="J1126" t="s">
        <v>38</v>
      </c>
      <c r="K1126" t="s">
        <v>72</v>
      </c>
      <c r="L1126" t="s">
        <v>40</v>
      </c>
      <c r="M1126">
        <v>56255</v>
      </c>
      <c r="N1126">
        <v>52255</v>
      </c>
      <c r="T1126" t="s">
        <v>41</v>
      </c>
      <c r="U1126">
        <v>4</v>
      </c>
      <c r="V1126">
        <v>5</v>
      </c>
      <c r="W1126">
        <v>4</v>
      </c>
      <c r="X1126" s="2">
        <v>45515</v>
      </c>
      <c r="Y1126" t="s">
        <v>69</v>
      </c>
      <c r="AD1126">
        <v>5</v>
      </c>
      <c r="AE1126">
        <v>5</v>
      </c>
    </row>
    <row r="1127" spans="1:31" x14ac:dyDescent="0.3">
      <c r="A1127">
        <v>1126</v>
      </c>
      <c r="B1127">
        <v>41733</v>
      </c>
      <c r="C1127" s="2">
        <v>35343</v>
      </c>
      <c r="D1127">
        <v>29</v>
      </c>
      <c r="E1127" t="s">
        <v>42</v>
      </c>
      <c r="F1127" t="s">
        <v>50</v>
      </c>
      <c r="G1127" s="2">
        <v>45139</v>
      </c>
      <c r="H1127" s="3">
        <f t="shared" si="17"/>
        <v>2.419178082191781</v>
      </c>
      <c r="I1127">
        <v>50</v>
      </c>
      <c r="J1127" t="s">
        <v>38</v>
      </c>
      <c r="K1127" t="s">
        <v>72</v>
      </c>
      <c r="L1127" t="s">
        <v>40</v>
      </c>
      <c r="M1127">
        <v>55529</v>
      </c>
      <c r="N1127">
        <v>52029</v>
      </c>
      <c r="T1127" t="s">
        <v>41</v>
      </c>
      <c r="U1127">
        <v>2</v>
      </c>
      <c r="V1127">
        <v>6</v>
      </c>
      <c r="W1127">
        <v>6</v>
      </c>
      <c r="X1127" s="2">
        <v>45436</v>
      </c>
      <c r="Y1127" t="s">
        <v>69</v>
      </c>
      <c r="AD1127">
        <v>5</v>
      </c>
      <c r="AE1127">
        <v>4</v>
      </c>
    </row>
    <row r="1128" spans="1:31" x14ac:dyDescent="0.3">
      <c r="A1128">
        <v>1127</v>
      </c>
      <c r="B1128">
        <v>41734</v>
      </c>
      <c r="C1128" s="2">
        <v>35641</v>
      </c>
      <c r="D1128">
        <v>28</v>
      </c>
      <c r="E1128" t="s">
        <v>42</v>
      </c>
      <c r="F1128" t="s">
        <v>50</v>
      </c>
      <c r="G1128" s="2">
        <v>45139</v>
      </c>
      <c r="H1128" s="3">
        <f t="shared" si="17"/>
        <v>2.419178082191781</v>
      </c>
      <c r="I1128">
        <v>51</v>
      </c>
      <c r="J1128" t="s">
        <v>38</v>
      </c>
      <c r="K1128" t="s">
        <v>72</v>
      </c>
      <c r="L1128" t="s">
        <v>40</v>
      </c>
      <c r="M1128">
        <v>55755</v>
      </c>
      <c r="N1128">
        <v>51755</v>
      </c>
      <c r="T1128" t="s">
        <v>41</v>
      </c>
      <c r="U1128">
        <v>3</v>
      </c>
      <c r="V1128">
        <v>6</v>
      </c>
      <c r="W1128">
        <v>6</v>
      </c>
      <c r="X1128" s="2">
        <v>45457</v>
      </c>
      <c r="Y1128" t="s">
        <v>69</v>
      </c>
      <c r="AD1128">
        <v>5</v>
      </c>
      <c r="AE1128">
        <v>4</v>
      </c>
    </row>
    <row r="1129" spans="1:31" x14ac:dyDescent="0.3">
      <c r="A1129">
        <v>1128</v>
      </c>
      <c r="B1129">
        <v>41737</v>
      </c>
      <c r="C1129" s="2">
        <v>35557</v>
      </c>
      <c r="D1129">
        <v>28</v>
      </c>
      <c r="E1129" t="s">
        <v>36</v>
      </c>
      <c r="F1129" t="s">
        <v>50</v>
      </c>
      <c r="G1129" s="2">
        <v>45139</v>
      </c>
      <c r="H1129" s="3">
        <f t="shared" si="17"/>
        <v>3.010958904109589</v>
      </c>
      <c r="I1129">
        <v>6</v>
      </c>
      <c r="J1129" t="s">
        <v>38</v>
      </c>
      <c r="K1129" t="s">
        <v>72</v>
      </c>
      <c r="L1129" t="s">
        <v>40</v>
      </c>
      <c r="M1129">
        <v>53255</v>
      </c>
      <c r="N1129">
        <v>51255</v>
      </c>
      <c r="T1129" t="s">
        <v>63</v>
      </c>
      <c r="U1129">
        <v>4</v>
      </c>
      <c r="V1129">
        <v>5</v>
      </c>
      <c r="W1129">
        <v>6</v>
      </c>
      <c r="X1129" s="2">
        <v>45634</v>
      </c>
      <c r="Y1129" t="s">
        <v>69</v>
      </c>
      <c r="AD1129">
        <v>1</v>
      </c>
      <c r="AE1129">
        <v>1</v>
      </c>
    </row>
    <row r="1130" spans="1:31" x14ac:dyDescent="0.3">
      <c r="A1130">
        <v>1129</v>
      </c>
      <c r="B1130">
        <v>41746</v>
      </c>
      <c r="C1130" s="2">
        <v>32035</v>
      </c>
      <c r="D1130">
        <v>38</v>
      </c>
      <c r="E1130" t="s">
        <v>42</v>
      </c>
      <c r="F1130" t="s">
        <v>50</v>
      </c>
      <c r="G1130" s="2">
        <v>44923</v>
      </c>
      <c r="H1130" s="3">
        <f t="shared" si="17"/>
        <v>3.2520547945205478</v>
      </c>
      <c r="I1130">
        <v>140</v>
      </c>
      <c r="J1130" t="s">
        <v>57</v>
      </c>
      <c r="K1130" t="s">
        <v>51</v>
      </c>
      <c r="L1130" t="s">
        <v>44</v>
      </c>
      <c r="M1130">
        <v>35.049999999999997</v>
      </c>
      <c r="N1130">
        <v>34.82</v>
      </c>
      <c r="O1130">
        <v>34.46</v>
      </c>
      <c r="T1130" t="s">
        <v>52</v>
      </c>
      <c r="U1130">
        <v>0</v>
      </c>
      <c r="V1130">
        <v>5</v>
      </c>
    </row>
    <row r="1131" spans="1:31" x14ac:dyDescent="0.3">
      <c r="A1131">
        <v>1130</v>
      </c>
      <c r="B1131">
        <v>41761</v>
      </c>
      <c r="C1131" s="2">
        <v>35201</v>
      </c>
      <c r="D1131">
        <v>29</v>
      </c>
      <c r="E1131" t="s">
        <v>42</v>
      </c>
      <c r="F1131" t="s">
        <v>50</v>
      </c>
      <c r="G1131" s="2">
        <v>44835</v>
      </c>
      <c r="H1131" s="3">
        <f t="shared" si="17"/>
        <v>2.8410958904109589</v>
      </c>
      <c r="I1131">
        <v>69</v>
      </c>
      <c r="J1131" t="s">
        <v>57</v>
      </c>
      <c r="K1131" t="s">
        <v>51</v>
      </c>
      <c r="L1131" t="s">
        <v>44</v>
      </c>
      <c r="M1131">
        <v>35.03</v>
      </c>
      <c r="N1131">
        <v>34.78</v>
      </c>
      <c r="O1131">
        <v>34.46</v>
      </c>
      <c r="T1131" t="s">
        <v>49</v>
      </c>
      <c r="U1131">
        <v>0</v>
      </c>
      <c r="V1131">
        <v>6</v>
      </c>
    </row>
    <row r="1132" spans="1:31" x14ac:dyDescent="0.3">
      <c r="A1132">
        <v>1131</v>
      </c>
      <c r="B1132">
        <v>41767</v>
      </c>
      <c r="C1132" s="2">
        <v>31666</v>
      </c>
      <c r="D1132">
        <v>39</v>
      </c>
      <c r="E1132" t="s">
        <v>36</v>
      </c>
      <c r="F1132" t="s">
        <v>50</v>
      </c>
      <c r="G1132" s="2">
        <v>44985</v>
      </c>
      <c r="H1132" s="3">
        <f t="shared" si="17"/>
        <v>2.8246575342465752</v>
      </c>
      <c r="I1132">
        <v>105</v>
      </c>
      <c r="J1132" t="s">
        <v>57</v>
      </c>
      <c r="K1132" t="s">
        <v>51</v>
      </c>
      <c r="L1132" t="s">
        <v>44</v>
      </c>
      <c r="M1132">
        <v>35.06</v>
      </c>
      <c r="N1132">
        <v>34.76</v>
      </c>
      <c r="T1132" t="s">
        <v>47</v>
      </c>
      <c r="U1132">
        <v>0</v>
      </c>
      <c r="V1132">
        <v>4</v>
      </c>
    </row>
    <row r="1133" spans="1:31" x14ac:dyDescent="0.3">
      <c r="A1133">
        <v>1132</v>
      </c>
      <c r="B1133">
        <v>41770</v>
      </c>
      <c r="C1133" s="2">
        <v>33570</v>
      </c>
      <c r="D1133">
        <v>34</v>
      </c>
      <c r="E1133" t="s">
        <v>36</v>
      </c>
      <c r="F1133" t="s">
        <v>50</v>
      </c>
      <c r="G1133" s="2">
        <v>44991</v>
      </c>
      <c r="H1133" s="3">
        <f t="shared" si="17"/>
        <v>3.4684931506849317</v>
      </c>
      <c r="I1133">
        <v>35</v>
      </c>
      <c r="J1133" t="s">
        <v>38</v>
      </c>
      <c r="K1133" t="s">
        <v>51</v>
      </c>
      <c r="L1133" t="s">
        <v>44</v>
      </c>
      <c r="M1133">
        <v>35.06</v>
      </c>
      <c r="N1133">
        <v>34.76</v>
      </c>
      <c r="T1133" t="s">
        <v>47</v>
      </c>
      <c r="U1133">
        <v>0</v>
      </c>
      <c r="V1133">
        <v>5</v>
      </c>
    </row>
    <row r="1134" spans="1:31" x14ac:dyDescent="0.3">
      <c r="A1134">
        <v>1133</v>
      </c>
      <c r="B1134">
        <v>41782</v>
      </c>
      <c r="C1134" s="2">
        <v>34328</v>
      </c>
      <c r="D1134">
        <v>32</v>
      </c>
      <c r="E1134" t="s">
        <v>42</v>
      </c>
      <c r="F1134" t="s">
        <v>50</v>
      </c>
      <c r="G1134" s="2">
        <v>44756</v>
      </c>
      <c r="H1134" s="3">
        <f t="shared" si="17"/>
        <v>3.506849315068493</v>
      </c>
      <c r="I1134">
        <v>133</v>
      </c>
      <c r="J1134" t="s">
        <v>57</v>
      </c>
      <c r="K1134" t="s">
        <v>51</v>
      </c>
      <c r="L1134" t="s">
        <v>44</v>
      </c>
      <c r="M1134">
        <v>35.06</v>
      </c>
      <c r="N1134">
        <v>34.76</v>
      </c>
      <c r="O1134">
        <v>34.46</v>
      </c>
      <c r="T1134" t="s">
        <v>49</v>
      </c>
      <c r="U1134">
        <v>0</v>
      </c>
      <c r="V1134">
        <v>6</v>
      </c>
    </row>
    <row r="1135" spans="1:31" x14ac:dyDescent="0.3">
      <c r="A1135">
        <v>1134</v>
      </c>
      <c r="B1135">
        <v>41791</v>
      </c>
      <c r="C1135" s="2">
        <v>35320</v>
      </c>
      <c r="D1135">
        <v>29</v>
      </c>
      <c r="E1135" t="s">
        <v>36</v>
      </c>
      <c r="F1135" t="s">
        <v>50</v>
      </c>
      <c r="G1135" s="2">
        <v>44742</v>
      </c>
      <c r="H1135" s="3">
        <f t="shared" si="17"/>
        <v>2.9424657534246577</v>
      </c>
      <c r="I1135">
        <v>73</v>
      </c>
      <c r="J1135" t="s">
        <v>57</v>
      </c>
      <c r="K1135" t="s">
        <v>51</v>
      </c>
      <c r="L1135" t="s">
        <v>44</v>
      </c>
      <c r="M1135">
        <v>35.06</v>
      </c>
      <c r="N1135">
        <v>34.76</v>
      </c>
      <c r="O1135">
        <v>34.46</v>
      </c>
      <c r="T1135" t="s">
        <v>47</v>
      </c>
      <c r="U1135">
        <v>0</v>
      </c>
      <c r="V1135">
        <v>4</v>
      </c>
    </row>
    <row r="1136" spans="1:31" x14ac:dyDescent="0.3">
      <c r="A1136">
        <v>1135</v>
      </c>
      <c r="B1136">
        <v>41808</v>
      </c>
      <c r="C1136" s="2">
        <v>34091</v>
      </c>
      <c r="D1136">
        <v>32</v>
      </c>
      <c r="E1136" t="s">
        <v>36</v>
      </c>
      <c r="F1136" t="s">
        <v>50</v>
      </c>
      <c r="G1136" s="2">
        <v>44948</v>
      </c>
      <c r="H1136" s="3">
        <f t="shared" si="17"/>
        <v>3.3342465753424659</v>
      </c>
      <c r="I1136">
        <v>7</v>
      </c>
      <c r="J1136" t="s">
        <v>38</v>
      </c>
      <c r="K1136" t="s">
        <v>51</v>
      </c>
      <c r="L1136" t="s">
        <v>44</v>
      </c>
      <c r="M1136">
        <v>34.61</v>
      </c>
      <c r="N1136">
        <v>34.61</v>
      </c>
      <c r="T1136" t="s">
        <v>52</v>
      </c>
      <c r="U1136">
        <v>0</v>
      </c>
      <c r="V1136">
        <v>4</v>
      </c>
    </row>
    <row r="1137" spans="1:22" x14ac:dyDescent="0.3">
      <c r="A1137">
        <v>1136</v>
      </c>
      <c r="B1137">
        <v>41825</v>
      </c>
      <c r="C1137" s="2">
        <v>33071</v>
      </c>
      <c r="D1137">
        <v>35</v>
      </c>
      <c r="E1137" t="s">
        <v>42</v>
      </c>
      <c r="F1137" t="s">
        <v>50</v>
      </c>
      <c r="G1137" s="2">
        <v>44805</v>
      </c>
      <c r="H1137" s="3">
        <f t="shared" si="17"/>
        <v>3.0301369863013701</v>
      </c>
      <c r="I1137">
        <v>26</v>
      </c>
      <c r="J1137" t="s">
        <v>38</v>
      </c>
      <c r="K1137" t="s">
        <v>51</v>
      </c>
      <c r="L1137" t="s">
        <v>44</v>
      </c>
      <c r="M1137">
        <v>35.06</v>
      </c>
      <c r="N1137">
        <v>34.76</v>
      </c>
      <c r="O1137">
        <v>34.46</v>
      </c>
      <c r="T1137" t="s">
        <v>47</v>
      </c>
      <c r="U1137">
        <v>0</v>
      </c>
      <c r="V1137">
        <v>6</v>
      </c>
    </row>
    <row r="1138" spans="1:22" x14ac:dyDescent="0.3">
      <c r="A1138">
        <v>1137</v>
      </c>
      <c r="B1138">
        <v>41832</v>
      </c>
      <c r="C1138" s="2">
        <v>33618</v>
      </c>
      <c r="D1138">
        <v>33</v>
      </c>
      <c r="E1138" t="s">
        <v>36</v>
      </c>
      <c r="F1138" t="s">
        <v>50</v>
      </c>
      <c r="G1138" s="2">
        <v>44916</v>
      </c>
      <c r="H1138" s="3">
        <f t="shared" si="17"/>
        <v>2.8986301369863012</v>
      </c>
      <c r="I1138">
        <v>73</v>
      </c>
      <c r="J1138" t="s">
        <v>57</v>
      </c>
      <c r="K1138" t="s">
        <v>51</v>
      </c>
      <c r="L1138" t="s">
        <v>44</v>
      </c>
      <c r="M1138">
        <v>35.06</v>
      </c>
      <c r="N1138">
        <v>34.76</v>
      </c>
      <c r="O1138">
        <v>34.46</v>
      </c>
      <c r="T1138" t="s">
        <v>47</v>
      </c>
      <c r="U1138">
        <v>0</v>
      </c>
      <c r="V1138">
        <v>3</v>
      </c>
    </row>
    <row r="1139" spans="1:22" x14ac:dyDescent="0.3">
      <c r="A1139">
        <v>1138</v>
      </c>
      <c r="B1139">
        <v>41841</v>
      </c>
      <c r="C1139" s="2">
        <v>33329</v>
      </c>
      <c r="D1139">
        <v>35</v>
      </c>
      <c r="E1139" t="s">
        <v>42</v>
      </c>
      <c r="F1139" t="s">
        <v>50</v>
      </c>
      <c r="G1139" s="2">
        <v>44964</v>
      </c>
      <c r="H1139" s="3">
        <f t="shared" si="17"/>
        <v>3.4684931506849317</v>
      </c>
      <c r="I1139">
        <v>90</v>
      </c>
      <c r="J1139" t="s">
        <v>57</v>
      </c>
      <c r="K1139" t="s">
        <v>51</v>
      </c>
      <c r="L1139" t="s">
        <v>44</v>
      </c>
      <c r="M1139">
        <v>34.76</v>
      </c>
      <c r="N1139">
        <v>34.61</v>
      </c>
      <c r="T1139" t="s">
        <v>52</v>
      </c>
      <c r="U1139">
        <v>0</v>
      </c>
      <c r="V1139">
        <v>5</v>
      </c>
    </row>
    <row r="1140" spans="1:22" x14ac:dyDescent="0.3">
      <c r="A1140">
        <v>1139</v>
      </c>
      <c r="B1140">
        <v>41850</v>
      </c>
      <c r="C1140" s="2">
        <v>33578</v>
      </c>
      <c r="D1140">
        <v>34</v>
      </c>
      <c r="E1140" t="s">
        <v>36</v>
      </c>
      <c r="F1140" t="s">
        <v>50</v>
      </c>
      <c r="G1140" s="2">
        <v>44756</v>
      </c>
      <c r="H1140" s="3">
        <f t="shared" si="17"/>
        <v>3.5315068493150683</v>
      </c>
      <c r="I1140">
        <v>36</v>
      </c>
      <c r="J1140" t="s">
        <v>38</v>
      </c>
      <c r="K1140" t="s">
        <v>51</v>
      </c>
      <c r="L1140" t="s">
        <v>44</v>
      </c>
      <c r="M1140">
        <v>35.06</v>
      </c>
      <c r="N1140">
        <v>34.76</v>
      </c>
      <c r="O1140">
        <v>34.46</v>
      </c>
      <c r="T1140" t="s">
        <v>45</v>
      </c>
      <c r="U1140">
        <v>0</v>
      </c>
      <c r="V1140">
        <v>4</v>
      </c>
    </row>
    <row r="1141" spans="1:22" x14ac:dyDescent="0.3">
      <c r="A1141">
        <v>1140</v>
      </c>
      <c r="B1141">
        <v>41852</v>
      </c>
      <c r="C1141" s="2">
        <v>34403</v>
      </c>
      <c r="D1141">
        <v>31</v>
      </c>
      <c r="E1141" t="s">
        <v>36</v>
      </c>
      <c r="F1141" t="s">
        <v>37</v>
      </c>
      <c r="G1141" s="2">
        <v>44733</v>
      </c>
      <c r="H1141" s="3">
        <f t="shared" si="17"/>
        <v>3.6328767123287671</v>
      </c>
      <c r="I1141">
        <v>118</v>
      </c>
      <c r="J1141" t="s">
        <v>57</v>
      </c>
      <c r="K1141" t="s">
        <v>51</v>
      </c>
      <c r="L1141" t="s">
        <v>44</v>
      </c>
      <c r="M1141">
        <v>35.06</v>
      </c>
      <c r="N1141">
        <v>34.76</v>
      </c>
      <c r="O1141">
        <v>34.46</v>
      </c>
      <c r="T1141" t="s">
        <v>49</v>
      </c>
      <c r="U1141">
        <v>0</v>
      </c>
      <c r="V1141">
        <v>2</v>
      </c>
    </row>
    <row r="1142" spans="1:22" x14ac:dyDescent="0.3">
      <c r="A1142">
        <v>1141</v>
      </c>
      <c r="B1142">
        <v>41858</v>
      </c>
      <c r="C1142" s="2">
        <v>33595</v>
      </c>
      <c r="D1142">
        <v>34</v>
      </c>
      <c r="E1142" t="s">
        <v>42</v>
      </c>
      <c r="F1142" t="s">
        <v>50</v>
      </c>
      <c r="G1142" s="2">
        <v>44696</v>
      </c>
      <c r="H1142" s="3">
        <f t="shared" si="17"/>
        <v>2.9287671232876713</v>
      </c>
      <c r="I1142">
        <v>54</v>
      </c>
      <c r="J1142" t="s">
        <v>38</v>
      </c>
      <c r="K1142" t="s">
        <v>51</v>
      </c>
      <c r="L1142" t="s">
        <v>44</v>
      </c>
      <c r="M1142">
        <v>35.06</v>
      </c>
      <c r="N1142">
        <v>34.76</v>
      </c>
      <c r="O1142">
        <v>34.46</v>
      </c>
      <c r="T1142" t="s">
        <v>52</v>
      </c>
      <c r="U1142">
        <v>0</v>
      </c>
      <c r="V1142">
        <v>6</v>
      </c>
    </row>
    <row r="1143" spans="1:22" x14ac:dyDescent="0.3">
      <c r="A1143">
        <v>1142</v>
      </c>
      <c r="B1143">
        <v>41867</v>
      </c>
      <c r="C1143" s="2">
        <v>35048</v>
      </c>
      <c r="D1143">
        <v>30</v>
      </c>
      <c r="E1143" t="s">
        <v>36</v>
      </c>
      <c r="F1143" t="s">
        <v>50</v>
      </c>
      <c r="G1143" s="2">
        <v>44953</v>
      </c>
      <c r="H1143" s="3">
        <f t="shared" si="17"/>
        <v>2.9232876712328766</v>
      </c>
      <c r="I1143">
        <v>132</v>
      </c>
      <c r="J1143" t="s">
        <v>57</v>
      </c>
      <c r="K1143" t="s">
        <v>51</v>
      </c>
      <c r="L1143" t="s">
        <v>44</v>
      </c>
      <c r="M1143">
        <v>35.06</v>
      </c>
      <c r="N1143">
        <v>34.76</v>
      </c>
      <c r="T1143" t="s">
        <v>49</v>
      </c>
      <c r="U1143">
        <v>0</v>
      </c>
      <c r="V1143">
        <v>3</v>
      </c>
    </row>
    <row r="1144" spans="1:22" x14ac:dyDescent="0.3">
      <c r="A1144">
        <v>1143</v>
      </c>
      <c r="B1144">
        <v>41872</v>
      </c>
      <c r="C1144" s="2">
        <v>34432</v>
      </c>
      <c r="D1144">
        <v>31</v>
      </c>
      <c r="E1144" t="s">
        <v>42</v>
      </c>
      <c r="F1144" t="s">
        <v>50</v>
      </c>
      <c r="G1144" s="2">
        <v>44955</v>
      </c>
      <c r="H1144" s="3">
        <f t="shared" si="17"/>
        <v>3.1917808219178081</v>
      </c>
      <c r="I1144">
        <v>122</v>
      </c>
      <c r="J1144" t="s">
        <v>57</v>
      </c>
      <c r="K1144" t="s">
        <v>51</v>
      </c>
      <c r="L1144" t="s">
        <v>44</v>
      </c>
      <c r="M1144">
        <v>34.729999999999997</v>
      </c>
      <c r="N1144">
        <v>34.729999999999997</v>
      </c>
      <c r="T1144" t="s">
        <v>47</v>
      </c>
      <c r="U1144">
        <v>0</v>
      </c>
      <c r="V1144">
        <v>5</v>
      </c>
    </row>
    <row r="1145" spans="1:22" x14ac:dyDescent="0.3">
      <c r="A1145">
        <v>1144</v>
      </c>
      <c r="B1145">
        <v>41875</v>
      </c>
      <c r="C1145" s="2">
        <v>31011</v>
      </c>
      <c r="D1145">
        <v>41</v>
      </c>
      <c r="E1145" t="s">
        <v>36</v>
      </c>
      <c r="F1145" t="s">
        <v>50</v>
      </c>
      <c r="G1145" s="2">
        <v>44857</v>
      </c>
      <c r="H1145" s="3">
        <f t="shared" si="17"/>
        <v>3.43013698630137</v>
      </c>
      <c r="I1145">
        <v>111</v>
      </c>
      <c r="J1145" t="s">
        <v>57</v>
      </c>
      <c r="K1145" t="s">
        <v>51</v>
      </c>
      <c r="L1145" t="s">
        <v>44</v>
      </c>
      <c r="M1145">
        <v>35.06</v>
      </c>
      <c r="N1145">
        <v>34.76</v>
      </c>
      <c r="O1145">
        <v>34.46</v>
      </c>
      <c r="T1145" t="s">
        <v>49</v>
      </c>
      <c r="U1145">
        <v>0</v>
      </c>
      <c r="V1145">
        <v>4</v>
      </c>
    </row>
    <row r="1146" spans="1:22" x14ac:dyDescent="0.3">
      <c r="A1146">
        <v>1145</v>
      </c>
      <c r="B1146">
        <v>41877</v>
      </c>
      <c r="C1146" s="2">
        <v>34662</v>
      </c>
      <c r="D1146">
        <v>31</v>
      </c>
      <c r="E1146" t="s">
        <v>36</v>
      </c>
      <c r="F1146" t="s">
        <v>50</v>
      </c>
      <c r="G1146" s="2">
        <v>44770</v>
      </c>
      <c r="H1146" s="3">
        <f t="shared" si="17"/>
        <v>3.6219178082191781</v>
      </c>
      <c r="I1146">
        <v>117</v>
      </c>
      <c r="J1146" t="s">
        <v>57</v>
      </c>
      <c r="K1146" t="s">
        <v>51</v>
      </c>
      <c r="L1146" t="s">
        <v>44</v>
      </c>
      <c r="M1146">
        <v>35.26</v>
      </c>
      <c r="N1146">
        <v>34.89</v>
      </c>
      <c r="O1146">
        <v>34.46</v>
      </c>
      <c r="T1146" t="s">
        <v>47</v>
      </c>
      <c r="U1146">
        <v>0</v>
      </c>
      <c r="V1146">
        <v>2</v>
      </c>
    </row>
    <row r="1147" spans="1:22" x14ac:dyDescent="0.3">
      <c r="A1147">
        <v>1146</v>
      </c>
      <c r="B1147">
        <v>41878</v>
      </c>
      <c r="C1147" s="2">
        <v>33578</v>
      </c>
      <c r="D1147">
        <v>34</v>
      </c>
      <c r="E1147" t="s">
        <v>36</v>
      </c>
      <c r="F1147" t="s">
        <v>50</v>
      </c>
      <c r="G1147" s="2">
        <v>44700</v>
      </c>
      <c r="H1147" s="3">
        <f t="shared" si="17"/>
        <v>3.2109589041095892</v>
      </c>
      <c r="I1147">
        <v>2</v>
      </c>
      <c r="J1147" t="s">
        <v>38</v>
      </c>
      <c r="K1147" t="s">
        <v>51</v>
      </c>
      <c r="L1147" t="s">
        <v>44</v>
      </c>
      <c r="M1147">
        <v>35.06</v>
      </c>
      <c r="N1147">
        <v>34.76</v>
      </c>
      <c r="O1147">
        <v>34.46</v>
      </c>
      <c r="T1147" t="s">
        <v>47</v>
      </c>
      <c r="U1147">
        <v>0</v>
      </c>
      <c r="V1147">
        <v>3</v>
      </c>
    </row>
    <row r="1148" spans="1:22" x14ac:dyDescent="0.3">
      <c r="A1148">
        <v>1147</v>
      </c>
      <c r="B1148">
        <v>41882</v>
      </c>
      <c r="C1148" s="2">
        <v>35060</v>
      </c>
      <c r="D1148">
        <v>30</v>
      </c>
      <c r="E1148" t="s">
        <v>36</v>
      </c>
      <c r="F1148" t="s">
        <v>50</v>
      </c>
      <c r="G1148" s="2">
        <v>44850</v>
      </c>
      <c r="H1148" s="3">
        <f t="shared" si="17"/>
        <v>2.8876712328767122</v>
      </c>
      <c r="I1148">
        <v>61</v>
      </c>
      <c r="J1148" t="s">
        <v>38</v>
      </c>
      <c r="K1148" t="s">
        <v>51</v>
      </c>
      <c r="L1148" t="s">
        <v>44</v>
      </c>
      <c r="M1148">
        <v>35.049999999999997</v>
      </c>
      <c r="N1148">
        <v>34.89</v>
      </c>
      <c r="O1148">
        <v>34.46</v>
      </c>
      <c r="T1148" t="s">
        <v>47</v>
      </c>
      <c r="U1148">
        <v>0</v>
      </c>
      <c r="V1148">
        <v>5</v>
      </c>
    </row>
    <row r="1149" spans="1:22" x14ac:dyDescent="0.3">
      <c r="A1149">
        <v>1148</v>
      </c>
      <c r="B1149">
        <v>41884</v>
      </c>
      <c r="C1149" s="2">
        <v>32468</v>
      </c>
      <c r="D1149">
        <v>37</v>
      </c>
      <c r="E1149" t="s">
        <v>36</v>
      </c>
      <c r="F1149" t="s">
        <v>50</v>
      </c>
      <c r="G1149" s="2">
        <v>44968</v>
      </c>
      <c r="H1149" s="3">
        <f t="shared" si="17"/>
        <v>2.9178082191780823</v>
      </c>
      <c r="I1149">
        <v>138</v>
      </c>
      <c r="J1149" t="s">
        <v>57</v>
      </c>
      <c r="K1149" t="s">
        <v>51</v>
      </c>
      <c r="L1149" t="s">
        <v>44</v>
      </c>
      <c r="M1149">
        <v>34.76</v>
      </c>
      <c r="N1149">
        <v>34.61</v>
      </c>
      <c r="T1149" t="s">
        <v>52</v>
      </c>
      <c r="U1149">
        <v>0</v>
      </c>
      <c r="V1149">
        <v>5</v>
      </c>
    </row>
    <row r="1150" spans="1:22" x14ac:dyDescent="0.3">
      <c r="A1150">
        <v>1149</v>
      </c>
      <c r="B1150">
        <v>41911</v>
      </c>
      <c r="C1150" s="2">
        <v>32852</v>
      </c>
      <c r="D1150">
        <v>36</v>
      </c>
      <c r="E1150" t="s">
        <v>36</v>
      </c>
      <c r="F1150" t="s">
        <v>50</v>
      </c>
      <c r="G1150" s="2">
        <v>44957</v>
      </c>
      <c r="H1150" s="3">
        <f t="shared" si="17"/>
        <v>2.7561643835616438</v>
      </c>
      <c r="I1150">
        <v>103</v>
      </c>
      <c r="J1150" t="s">
        <v>57</v>
      </c>
      <c r="K1150" t="s">
        <v>51</v>
      </c>
      <c r="L1150" t="s">
        <v>44</v>
      </c>
      <c r="M1150">
        <v>34.61</v>
      </c>
      <c r="N1150">
        <v>34.61</v>
      </c>
      <c r="T1150" t="s">
        <v>52</v>
      </c>
      <c r="U1150">
        <v>0</v>
      </c>
      <c r="V1150">
        <v>4</v>
      </c>
    </row>
    <row r="1151" spans="1:22" x14ac:dyDescent="0.3">
      <c r="A1151">
        <v>1150</v>
      </c>
      <c r="B1151">
        <v>41916</v>
      </c>
      <c r="C1151" s="2">
        <v>31274</v>
      </c>
      <c r="D1151">
        <v>40</v>
      </c>
      <c r="E1151" t="s">
        <v>36</v>
      </c>
      <c r="F1151" t="s">
        <v>50</v>
      </c>
      <c r="G1151" s="2">
        <v>45016</v>
      </c>
      <c r="H1151" s="3">
        <f t="shared" si="17"/>
        <v>3.7178082191780821</v>
      </c>
      <c r="I1151">
        <v>87</v>
      </c>
      <c r="J1151" t="s">
        <v>57</v>
      </c>
      <c r="K1151" t="s">
        <v>51</v>
      </c>
      <c r="L1151" t="s">
        <v>44</v>
      </c>
      <c r="M1151">
        <v>34.76</v>
      </c>
      <c r="N1151">
        <v>34.61</v>
      </c>
      <c r="T1151" t="s">
        <v>49</v>
      </c>
      <c r="U1151">
        <v>0</v>
      </c>
      <c r="V1151">
        <v>5</v>
      </c>
    </row>
    <row r="1152" spans="1:22" x14ac:dyDescent="0.3">
      <c r="A1152">
        <v>1151</v>
      </c>
      <c r="B1152">
        <v>41926</v>
      </c>
      <c r="C1152" s="2">
        <v>30705</v>
      </c>
      <c r="D1152">
        <v>41</v>
      </c>
      <c r="E1152" t="s">
        <v>36</v>
      </c>
      <c r="F1152" t="s">
        <v>50</v>
      </c>
      <c r="G1152" s="2">
        <v>44665</v>
      </c>
      <c r="H1152" s="3">
        <f t="shared" si="17"/>
        <v>3.0931506849315067</v>
      </c>
      <c r="I1152">
        <v>100</v>
      </c>
      <c r="J1152" t="s">
        <v>57</v>
      </c>
      <c r="K1152" t="s">
        <v>51</v>
      </c>
      <c r="L1152" t="s">
        <v>44</v>
      </c>
      <c r="M1152">
        <v>35.06</v>
      </c>
      <c r="N1152">
        <v>34.76</v>
      </c>
      <c r="O1152">
        <v>34.46</v>
      </c>
      <c r="T1152" t="s">
        <v>47</v>
      </c>
      <c r="U1152">
        <v>0</v>
      </c>
      <c r="V1152">
        <v>2</v>
      </c>
    </row>
    <row r="1153" spans="1:22" x14ac:dyDescent="0.3">
      <c r="A1153">
        <v>1152</v>
      </c>
      <c r="B1153">
        <v>41928</v>
      </c>
      <c r="C1153" s="2">
        <v>34765</v>
      </c>
      <c r="D1153">
        <v>30</v>
      </c>
      <c r="E1153" t="s">
        <v>36</v>
      </c>
      <c r="F1153" t="s">
        <v>50</v>
      </c>
      <c r="G1153" s="2">
        <v>44893</v>
      </c>
      <c r="H1153" s="3">
        <f t="shared" si="17"/>
        <v>3.1561643835616437</v>
      </c>
      <c r="I1153">
        <v>136</v>
      </c>
      <c r="J1153" t="s">
        <v>57</v>
      </c>
      <c r="K1153" t="s">
        <v>51</v>
      </c>
      <c r="L1153" t="s">
        <v>44</v>
      </c>
      <c r="M1153">
        <v>35.229999999999997</v>
      </c>
      <c r="N1153">
        <v>34.81</v>
      </c>
      <c r="O1153">
        <v>34.46</v>
      </c>
      <c r="T1153" t="s">
        <v>49</v>
      </c>
      <c r="U1153">
        <v>0</v>
      </c>
      <c r="V1153">
        <v>3</v>
      </c>
    </row>
    <row r="1154" spans="1:22" x14ac:dyDescent="0.3">
      <c r="A1154">
        <v>1153</v>
      </c>
      <c r="B1154">
        <v>41936</v>
      </c>
      <c r="C1154" s="2">
        <v>35379</v>
      </c>
      <c r="D1154">
        <v>29</v>
      </c>
      <c r="E1154" t="s">
        <v>36</v>
      </c>
      <c r="F1154" t="s">
        <v>50</v>
      </c>
      <c r="G1154" s="2">
        <v>44870</v>
      </c>
      <c r="H1154" s="3">
        <f t="shared" si="17"/>
        <v>2.8767123287671232</v>
      </c>
      <c r="I1154">
        <v>131</v>
      </c>
      <c r="J1154" t="s">
        <v>57</v>
      </c>
      <c r="K1154" t="s">
        <v>51</v>
      </c>
      <c r="L1154" t="s">
        <v>44</v>
      </c>
      <c r="M1154">
        <v>35.06</v>
      </c>
      <c r="N1154">
        <v>34.76</v>
      </c>
      <c r="O1154">
        <v>34.46</v>
      </c>
      <c r="T1154" t="s">
        <v>47</v>
      </c>
      <c r="U1154">
        <v>0</v>
      </c>
      <c r="V1154">
        <v>4</v>
      </c>
    </row>
    <row r="1155" spans="1:22" x14ac:dyDescent="0.3">
      <c r="A1155">
        <v>1154</v>
      </c>
      <c r="B1155">
        <v>41937</v>
      </c>
      <c r="C1155" s="2">
        <v>33256</v>
      </c>
      <c r="D1155">
        <v>34</v>
      </c>
      <c r="E1155" t="s">
        <v>42</v>
      </c>
      <c r="F1155" t="s">
        <v>50</v>
      </c>
      <c r="G1155" s="2">
        <v>44972</v>
      </c>
      <c r="H1155" s="3">
        <f t="shared" ref="H1155:H1218" si="18">DATEDIF(G1156,DATE(2025,12,31),"d")/365</f>
        <v>3.7643835616438355</v>
      </c>
      <c r="I1155">
        <v>136</v>
      </c>
      <c r="J1155" t="s">
        <v>57</v>
      </c>
      <c r="K1155" t="s">
        <v>51</v>
      </c>
      <c r="L1155" t="s">
        <v>44</v>
      </c>
      <c r="M1155">
        <v>35.19</v>
      </c>
      <c r="N1155">
        <v>34.79</v>
      </c>
      <c r="T1155" t="s">
        <v>49</v>
      </c>
      <c r="U1155">
        <v>0</v>
      </c>
      <c r="V1155">
        <v>4</v>
      </c>
    </row>
    <row r="1156" spans="1:22" x14ac:dyDescent="0.3">
      <c r="A1156">
        <v>1155</v>
      </c>
      <c r="B1156">
        <v>41938</v>
      </c>
      <c r="C1156" s="2">
        <v>29947</v>
      </c>
      <c r="D1156">
        <v>44</v>
      </c>
      <c r="E1156" t="s">
        <v>42</v>
      </c>
      <c r="F1156" t="s">
        <v>50</v>
      </c>
      <c r="G1156" s="2">
        <v>44648</v>
      </c>
      <c r="H1156" s="3">
        <f t="shared" si="18"/>
        <v>3.3917808219178083</v>
      </c>
      <c r="I1156">
        <v>17</v>
      </c>
      <c r="J1156" t="s">
        <v>38</v>
      </c>
      <c r="K1156" t="s">
        <v>51</v>
      </c>
      <c r="L1156" t="s">
        <v>44</v>
      </c>
      <c r="M1156">
        <v>35.06</v>
      </c>
      <c r="N1156">
        <v>34.76</v>
      </c>
      <c r="O1156">
        <v>34.46</v>
      </c>
      <c r="T1156" t="s">
        <v>47</v>
      </c>
      <c r="U1156">
        <v>0</v>
      </c>
      <c r="V1156">
        <v>6</v>
      </c>
    </row>
    <row r="1157" spans="1:22" x14ac:dyDescent="0.3">
      <c r="A1157">
        <v>1156</v>
      </c>
      <c r="B1157">
        <v>41941</v>
      </c>
      <c r="C1157" s="2">
        <v>33018</v>
      </c>
      <c r="D1157">
        <v>35</v>
      </c>
      <c r="E1157" t="s">
        <v>36</v>
      </c>
      <c r="F1157" t="s">
        <v>50</v>
      </c>
      <c r="G1157" s="2">
        <v>44784</v>
      </c>
      <c r="H1157" s="3">
        <f t="shared" si="18"/>
        <v>3.506849315068493</v>
      </c>
      <c r="I1157">
        <v>82</v>
      </c>
      <c r="J1157" t="s">
        <v>57</v>
      </c>
      <c r="K1157" t="s">
        <v>51</v>
      </c>
      <c r="L1157" t="s">
        <v>44</v>
      </c>
      <c r="M1157">
        <v>35.06</v>
      </c>
      <c r="N1157">
        <v>34.76</v>
      </c>
      <c r="O1157">
        <v>34.46</v>
      </c>
      <c r="T1157" t="s">
        <v>49</v>
      </c>
      <c r="U1157">
        <v>0</v>
      </c>
      <c r="V1157">
        <v>4</v>
      </c>
    </row>
    <row r="1158" spans="1:22" x14ac:dyDescent="0.3">
      <c r="A1158">
        <v>1157</v>
      </c>
      <c r="B1158">
        <v>41942</v>
      </c>
      <c r="C1158" s="2">
        <v>31686</v>
      </c>
      <c r="D1158">
        <v>40</v>
      </c>
      <c r="E1158" t="s">
        <v>42</v>
      </c>
      <c r="F1158" t="s">
        <v>50</v>
      </c>
      <c r="G1158" s="2">
        <v>44742</v>
      </c>
      <c r="H1158" s="3">
        <f t="shared" si="18"/>
        <v>2.967123287671233</v>
      </c>
      <c r="I1158">
        <v>113</v>
      </c>
      <c r="J1158" t="s">
        <v>57</v>
      </c>
      <c r="K1158" t="s">
        <v>51</v>
      </c>
      <c r="L1158" t="s">
        <v>44</v>
      </c>
      <c r="M1158">
        <v>34.61</v>
      </c>
      <c r="N1158">
        <v>34.61</v>
      </c>
      <c r="O1158">
        <v>34.46</v>
      </c>
      <c r="T1158" t="s">
        <v>47</v>
      </c>
      <c r="U1158">
        <v>0</v>
      </c>
      <c r="V1158">
        <v>5</v>
      </c>
    </row>
    <row r="1159" spans="1:22" x14ac:dyDescent="0.3">
      <c r="A1159">
        <v>1158</v>
      </c>
      <c r="B1159">
        <v>41953</v>
      </c>
      <c r="C1159" s="2">
        <v>34308</v>
      </c>
      <c r="D1159">
        <v>32</v>
      </c>
      <c r="E1159" t="s">
        <v>36</v>
      </c>
      <c r="F1159" t="s">
        <v>37</v>
      </c>
      <c r="G1159" s="2">
        <v>44939</v>
      </c>
      <c r="H1159" s="3">
        <f t="shared" si="18"/>
        <v>3.1835616438356165</v>
      </c>
      <c r="I1159">
        <v>64</v>
      </c>
      <c r="J1159" t="s">
        <v>38</v>
      </c>
      <c r="K1159" t="s">
        <v>51</v>
      </c>
      <c r="L1159" t="s">
        <v>44</v>
      </c>
      <c r="M1159">
        <v>35.06</v>
      </c>
      <c r="N1159">
        <v>34.76</v>
      </c>
      <c r="T1159" t="s">
        <v>45</v>
      </c>
      <c r="U1159">
        <v>0</v>
      </c>
      <c r="V1159">
        <v>4</v>
      </c>
    </row>
    <row r="1160" spans="1:22" x14ac:dyDescent="0.3">
      <c r="A1160">
        <v>1159</v>
      </c>
      <c r="B1160">
        <v>41978</v>
      </c>
      <c r="C1160" s="2">
        <v>34731</v>
      </c>
      <c r="D1160">
        <v>31</v>
      </c>
      <c r="E1160" t="s">
        <v>36</v>
      </c>
      <c r="F1160" t="s">
        <v>50</v>
      </c>
      <c r="G1160" s="2">
        <v>44860</v>
      </c>
      <c r="H1160" s="3">
        <f t="shared" si="18"/>
        <v>3.2465753424657535</v>
      </c>
      <c r="I1160">
        <v>6</v>
      </c>
      <c r="J1160" t="s">
        <v>38</v>
      </c>
      <c r="K1160" t="s">
        <v>53</v>
      </c>
      <c r="L1160" t="s">
        <v>44</v>
      </c>
      <c r="M1160">
        <v>23.07</v>
      </c>
      <c r="N1160">
        <v>22.77</v>
      </c>
      <c r="O1160">
        <v>22.47</v>
      </c>
      <c r="T1160" t="s">
        <v>47</v>
      </c>
      <c r="U1160">
        <v>4</v>
      </c>
      <c r="V1160">
        <v>4</v>
      </c>
    </row>
    <row r="1161" spans="1:22" x14ac:dyDescent="0.3">
      <c r="A1161">
        <v>1160</v>
      </c>
      <c r="B1161">
        <v>41979</v>
      </c>
      <c r="C1161" s="2">
        <v>35311</v>
      </c>
      <c r="D1161">
        <v>29</v>
      </c>
      <c r="E1161" t="s">
        <v>36</v>
      </c>
      <c r="F1161" t="s">
        <v>50</v>
      </c>
      <c r="G1161" s="2">
        <v>44837</v>
      </c>
      <c r="H1161" s="3">
        <f t="shared" si="18"/>
        <v>3.7150684931506848</v>
      </c>
      <c r="I1161">
        <v>37</v>
      </c>
      <c r="J1161" t="s">
        <v>38</v>
      </c>
      <c r="K1161" t="s">
        <v>53</v>
      </c>
      <c r="L1161" t="s">
        <v>44</v>
      </c>
      <c r="M1161">
        <v>23.32</v>
      </c>
      <c r="N1161">
        <v>22.89</v>
      </c>
      <c r="O1161">
        <v>22.47</v>
      </c>
      <c r="T1161" t="s">
        <v>45</v>
      </c>
      <c r="U1161">
        <v>2</v>
      </c>
      <c r="V1161">
        <v>4</v>
      </c>
    </row>
    <row r="1162" spans="1:22" x14ac:dyDescent="0.3">
      <c r="A1162">
        <v>1161</v>
      </c>
      <c r="B1162">
        <v>41983</v>
      </c>
      <c r="C1162" s="2">
        <v>33565</v>
      </c>
      <c r="D1162">
        <v>34</v>
      </c>
      <c r="E1162" t="s">
        <v>36</v>
      </c>
      <c r="F1162" t="s">
        <v>50</v>
      </c>
      <c r="G1162" s="2">
        <v>44666</v>
      </c>
      <c r="H1162" s="3">
        <f t="shared" si="18"/>
        <v>2.9616438356164383</v>
      </c>
      <c r="I1162">
        <v>140</v>
      </c>
      <c r="J1162" t="s">
        <v>57</v>
      </c>
      <c r="K1162" t="s">
        <v>53</v>
      </c>
      <c r="L1162" t="s">
        <v>44</v>
      </c>
      <c r="M1162">
        <v>22.66</v>
      </c>
      <c r="N1162">
        <v>22.66</v>
      </c>
      <c r="O1162">
        <v>22.47</v>
      </c>
      <c r="T1162" t="s">
        <v>52</v>
      </c>
      <c r="U1162">
        <v>4</v>
      </c>
      <c r="V1162">
        <v>6</v>
      </c>
    </row>
    <row r="1163" spans="1:22" x14ac:dyDescent="0.3">
      <c r="A1163">
        <v>1162</v>
      </c>
      <c r="B1163">
        <v>41991</v>
      </c>
      <c r="C1163" s="2">
        <v>34167</v>
      </c>
      <c r="D1163">
        <v>32</v>
      </c>
      <c r="E1163" t="s">
        <v>36</v>
      </c>
      <c r="F1163" t="s">
        <v>50</v>
      </c>
      <c r="G1163" s="2">
        <v>44941</v>
      </c>
      <c r="H1163" s="3">
        <f t="shared" si="18"/>
        <v>3.2383561643835614</v>
      </c>
      <c r="I1163">
        <v>58</v>
      </c>
      <c r="J1163" t="s">
        <v>38</v>
      </c>
      <c r="K1163" t="s">
        <v>53</v>
      </c>
      <c r="L1163" t="s">
        <v>44</v>
      </c>
      <c r="M1163">
        <v>23.02</v>
      </c>
      <c r="N1163">
        <v>22.84</v>
      </c>
      <c r="T1163" t="s">
        <v>49</v>
      </c>
      <c r="U1163">
        <v>2</v>
      </c>
      <c r="V1163">
        <v>5</v>
      </c>
    </row>
    <row r="1164" spans="1:22" x14ac:dyDescent="0.3">
      <c r="A1164">
        <v>1163</v>
      </c>
      <c r="B1164">
        <v>41996</v>
      </c>
      <c r="C1164" s="2">
        <v>35539</v>
      </c>
      <c r="D1164">
        <v>28</v>
      </c>
      <c r="E1164" t="s">
        <v>36</v>
      </c>
      <c r="F1164" t="s">
        <v>50</v>
      </c>
      <c r="G1164" s="2">
        <v>44840</v>
      </c>
      <c r="H1164" s="3">
        <f t="shared" si="18"/>
        <v>3.4547945205479453</v>
      </c>
      <c r="I1164">
        <v>90</v>
      </c>
      <c r="J1164" t="s">
        <v>57</v>
      </c>
      <c r="K1164" t="s">
        <v>53</v>
      </c>
      <c r="L1164" t="s">
        <v>44</v>
      </c>
      <c r="M1164">
        <v>22.77</v>
      </c>
      <c r="N1164">
        <v>22.62</v>
      </c>
      <c r="O1164">
        <v>22.47</v>
      </c>
      <c r="T1164" t="s">
        <v>47</v>
      </c>
      <c r="U1164">
        <v>2</v>
      </c>
      <c r="V1164">
        <v>4</v>
      </c>
    </row>
    <row r="1165" spans="1:22" x14ac:dyDescent="0.3">
      <c r="A1165">
        <v>1164</v>
      </c>
      <c r="B1165">
        <v>42005</v>
      </c>
      <c r="C1165" s="2">
        <v>34128</v>
      </c>
      <c r="D1165">
        <v>32</v>
      </c>
      <c r="E1165" t="s">
        <v>42</v>
      </c>
      <c r="F1165" t="s">
        <v>50</v>
      </c>
      <c r="G1165" s="2">
        <v>44761</v>
      </c>
      <c r="H1165" s="3">
        <f t="shared" si="18"/>
        <v>3.032876712328767</v>
      </c>
      <c r="I1165">
        <v>49</v>
      </c>
      <c r="J1165" t="s">
        <v>38</v>
      </c>
      <c r="K1165" t="s">
        <v>53</v>
      </c>
      <c r="L1165" t="s">
        <v>44</v>
      </c>
      <c r="M1165">
        <v>22.87</v>
      </c>
      <c r="N1165">
        <v>22.71</v>
      </c>
      <c r="O1165">
        <v>22.47</v>
      </c>
      <c r="T1165" t="s">
        <v>52</v>
      </c>
      <c r="U1165">
        <v>4</v>
      </c>
      <c r="V1165">
        <v>7</v>
      </c>
    </row>
    <row r="1166" spans="1:22" x14ac:dyDescent="0.3">
      <c r="A1166">
        <v>1165</v>
      </c>
      <c r="B1166">
        <v>42010</v>
      </c>
      <c r="C1166" s="2">
        <v>36179</v>
      </c>
      <c r="D1166">
        <v>26</v>
      </c>
      <c r="E1166" t="s">
        <v>36</v>
      </c>
      <c r="F1166" t="s">
        <v>50</v>
      </c>
      <c r="G1166" s="2">
        <v>44915</v>
      </c>
      <c r="H1166" s="3">
        <f t="shared" si="18"/>
        <v>3.0630136986301371</v>
      </c>
      <c r="I1166">
        <v>35</v>
      </c>
      <c r="J1166" t="s">
        <v>38</v>
      </c>
      <c r="K1166" t="s">
        <v>53</v>
      </c>
      <c r="L1166" t="s">
        <v>44</v>
      </c>
      <c r="M1166">
        <v>23.07</v>
      </c>
      <c r="N1166">
        <v>22.77</v>
      </c>
      <c r="O1166">
        <v>22.47</v>
      </c>
      <c r="T1166" t="s">
        <v>47</v>
      </c>
      <c r="U1166">
        <v>1</v>
      </c>
      <c r="V1166">
        <v>3</v>
      </c>
    </row>
    <row r="1167" spans="1:22" x14ac:dyDescent="0.3">
      <c r="A1167">
        <v>1166</v>
      </c>
      <c r="B1167">
        <v>42044</v>
      </c>
      <c r="C1167" s="2">
        <v>35624</v>
      </c>
      <c r="D1167">
        <v>28</v>
      </c>
      <c r="E1167" t="s">
        <v>36</v>
      </c>
      <c r="F1167" t="s">
        <v>50</v>
      </c>
      <c r="G1167" s="2">
        <v>44904</v>
      </c>
      <c r="H1167" s="3">
        <f t="shared" si="18"/>
        <v>2.8301369863013699</v>
      </c>
      <c r="I1167">
        <v>123</v>
      </c>
      <c r="J1167" t="s">
        <v>57</v>
      </c>
      <c r="K1167" t="s">
        <v>53</v>
      </c>
      <c r="L1167" t="s">
        <v>44</v>
      </c>
      <c r="M1167">
        <v>23.07</v>
      </c>
      <c r="N1167">
        <v>22.77</v>
      </c>
      <c r="O1167">
        <v>22.47</v>
      </c>
      <c r="T1167" t="s">
        <v>47</v>
      </c>
      <c r="U1167">
        <v>5</v>
      </c>
      <c r="V1167">
        <v>4</v>
      </c>
    </row>
    <row r="1168" spans="1:22" x14ac:dyDescent="0.3">
      <c r="A1168">
        <v>1167</v>
      </c>
      <c r="B1168">
        <v>42047</v>
      </c>
      <c r="C1168" s="2">
        <v>35446</v>
      </c>
      <c r="D1168">
        <v>28</v>
      </c>
      <c r="E1168" t="s">
        <v>36</v>
      </c>
      <c r="F1168" t="s">
        <v>50</v>
      </c>
      <c r="G1168" s="2">
        <v>44989</v>
      </c>
      <c r="H1168" s="3">
        <f t="shared" si="18"/>
        <v>3.0493150684931507</v>
      </c>
      <c r="I1168">
        <v>61</v>
      </c>
      <c r="J1168" t="s">
        <v>38</v>
      </c>
      <c r="K1168" t="s">
        <v>53</v>
      </c>
      <c r="L1168" t="s">
        <v>44</v>
      </c>
      <c r="M1168">
        <v>23.1</v>
      </c>
      <c r="N1168">
        <v>22.84</v>
      </c>
      <c r="T1168" t="s">
        <v>47</v>
      </c>
      <c r="U1168">
        <v>6</v>
      </c>
      <c r="V1168">
        <v>5</v>
      </c>
    </row>
    <row r="1169" spans="1:22" x14ac:dyDescent="0.3">
      <c r="A1169">
        <v>1168</v>
      </c>
      <c r="B1169">
        <v>42048</v>
      </c>
      <c r="C1169" s="2">
        <v>35559</v>
      </c>
      <c r="D1169">
        <v>28</v>
      </c>
      <c r="E1169" t="s">
        <v>36</v>
      </c>
      <c r="F1169" t="s">
        <v>37</v>
      </c>
      <c r="G1169" s="2">
        <v>44909</v>
      </c>
      <c r="H1169" s="3">
        <f t="shared" si="18"/>
        <v>3.5863013698630137</v>
      </c>
      <c r="I1169">
        <v>63</v>
      </c>
      <c r="J1169" t="s">
        <v>38</v>
      </c>
      <c r="K1169" t="s">
        <v>53</v>
      </c>
      <c r="L1169" t="s">
        <v>44</v>
      </c>
      <c r="M1169">
        <v>23.07</v>
      </c>
      <c r="N1169">
        <v>22.77</v>
      </c>
      <c r="O1169">
        <v>22.47</v>
      </c>
      <c r="T1169" t="s">
        <v>47</v>
      </c>
      <c r="U1169">
        <v>4</v>
      </c>
      <c r="V1169">
        <v>4</v>
      </c>
    </row>
    <row r="1170" spans="1:22" x14ac:dyDescent="0.3">
      <c r="A1170">
        <v>1169</v>
      </c>
      <c r="B1170">
        <v>42061</v>
      </c>
      <c r="C1170" s="2">
        <v>35717</v>
      </c>
      <c r="D1170">
        <v>28</v>
      </c>
      <c r="E1170" t="s">
        <v>36</v>
      </c>
      <c r="F1170" t="s">
        <v>50</v>
      </c>
      <c r="G1170" s="2">
        <v>44713</v>
      </c>
      <c r="H1170" s="3">
        <f t="shared" si="18"/>
        <v>3.0904109589041098</v>
      </c>
      <c r="I1170">
        <v>106</v>
      </c>
      <c r="J1170" t="s">
        <v>57</v>
      </c>
      <c r="K1170" t="s">
        <v>53</v>
      </c>
      <c r="L1170" t="s">
        <v>44</v>
      </c>
      <c r="M1170">
        <v>23.07</v>
      </c>
      <c r="N1170">
        <v>22.77</v>
      </c>
      <c r="O1170">
        <v>22.47</v>
      </c>
      <c r="T1170" t="s">
        <v>52</v>
      </c>
      <c r="U1170">
        <v>6</v>
      </c>
      <c r="V1170">
        <v>5</v>
      </c>
    </row>
    <row r="1171" spans="1:22" x14ac:dyDescent="0.3">
      <c r="A1171">
        <v>1170</v>
      </c>
      <c r="B1171">
        <v>42063</v>
      </c>
      <c r="C1171" s="2">
        <v>33143</v>
      </c>
      <c r="D1171">
        <v>35</v>
      </c>
      <c r="E1171" t="s">
        <v>36</v>
      </c>
      <c r="F1171" t="s">
        <v>50</v>
      </c>
      <c r="G1171" s="2">
        <v>44894</v>
      </c>
      <c r="H1171" s="3">
        <f t="shared" si="18"/>
        <v>3.5561643835616437</v>
      </c>
      <c r="I1171">
        <v>37</v>
      </c>
      <c r="J1171" t="s">
        <v>38</v>
      </c>
      <c r="K1171" t="s">
        <v>53</v>
      </c>
      <c r="L1171" t="s">
        <v>44</v>
      </c>
      <c r="M1171">
        <v>23.24</v>
      </c>
      <c r="N1171">
        <v>22.79</v>
      </c>
      <c r="O1171">
        <v>22.47</v>
      </c>
      <c r="T1171" t="s">
        <v>47</v>
      </c>
      <c r="U1171">
        <v>5</v>
      </c>
      <c r="V1171">
        <v>5</v>
      </c>
    </row>
    <row r="1172" spans="1:22" x14ac:dyDescent="0.3">
      <c r="A1172">
        <v>1171</v>
      </c>
      <c r="B1172">
        <v>42066</v>
      </c>
      <c r="C1172" s="2">
        <v>34837</v>
      </c>
      <c r="D1172">
        <v>30</v>
      </c>
      <c r="E1172" t="s">
        <v>42</v>
      </c>
      <c r="F1172" t="s">
        <v>50</v>
      </c>
      <c r="G1172" s="2">
        <v>44724</v>
      </c>
      <c r="H1172" s="3">
        <f t="shared" si="18"/>
        <v>3.2356164383561645</v>
      </c>
      <c r="I1172">
        <v>100</v>
      </c>
      <c r="J1172" t="s">
        <v>57</v>
      </c>
      <c r="K1172" t="s">
        <v>53</v>
      </c>
      <c r="L1172" t="s">
        <v>44</v>
      </c>
      <c r="M1172">
        <v>23.07</v>
      </c>
      <c r="N1172">
        <v>22.77</v>
      </c>
      <c r="O1172">
        <v>22.47</v>
      </c>
      <c r="T1172" t="s">
        <v>47</v>
      </c>
      <c r="U1172">
        <v>3</v>
      </c>
      <c r="V1172">
        <v>7</v>
      </c>
    </row>
    <row r="1173" spans="1:22" x14ac:dyDescent="0.3">
      <c r="A1173">
        <v>1172</v>
      </c>
      <c r="B1173">
        <v>42078</v>
      </c>
      <c r="C1173" s="2">
        <v>35531</v>
      </c>
      <c r="D1173">
        <v>28</v>
      </c>
      <c r="E1173" t="s">
        <v>36</v>
      </c>
      <c r="F1173" t="s">
        <v>50</v>
      </c>
      <c r="G1173" s="2">
        <v>44841</v>
      </c>
      <c r="H1173" s="3">
        <f t="shared" si="18"/>
        <v>3.0082191780821916</v>
      </c>
      <c r="I1173">
        <v>104</v>
      </c>
      <c r="J1173" t="s">
        <v>57</v>
      </c>
      <c r="K1173" t="s">
        <v>53</v>
      </c>
      <c r="L1173" t="s">
        <v>44</v>
      </c>
      <c r="M1173">
        <v>23</v>
      </c>
      <c r="N1173">
        <v>22.65</v>
      </c>
      <c r="O1173">
        <v>22.47</v>
      </c>
      <c r="T1173" t="s">
        <v>45</v>
      </c>
      <c r="U1173">
        <v>0</v>
      </c>
      <c r="V1173">
        <v>5</v>
      </c>
    </row>
    <row r="1174" spans="1:22" x14ac:dyDescent="0.3">
      <c r="A1174">
        <v>1173</v>
      </c>
      <c r="B1174">
        <v>42085</v>
      </c>
      <c r="C1174" s="2">
        <v>35040</v>
      </c>
      <c r="D1174">
        <v>30</v>
      </c>
      <c r="E1174" t="s">
        <v>36</v>
      </c>
      <c r="F1174" t="s">
        <v>50</v>
      </c>
      <c r="G1174" s="2">
        <v>44924</v>
      </c>
      <c r="H1174" s="3">
        <f t="shared" si="18"/>
        <v>3.4547945205479453</v>
      </c>
      <c r="I1174">
        <v>136</v>
      </c>
      <c r="J1174" t="s">
        <v>57</v>
      </c>
      <c r="K1174" t="s">
        <v>53</v>
      </c>
      <c r="L1174" t="s">
        <v>44</v>
      </c>
      <c r="M1174">
        <v>22.75</v>
      </c>
      <c r="N1174">
        <v>22.75</v>
      </c>
      <c r="O1174">
        <v>22.47</v>
      </c>
      <c r="T1174" t="s">
        <v>49</v>
      </c>
      <c r="U1174">
        <v>5</v>
      </c>
      <c r="V1174">
        <v>6</v>
      </c>
    </row>
    <row r="1175" spans="1:22" x14ac:dyDescent="0.3">
      <c r="A1175">
        <v>1174</v>
      </c>
      <c r="B1175">
        <v>42101</v>
      </c>
      <c r="C1175" s="2">
        <v>33290</v>
      </c>
      <c r="D1175">
        <v>34</v>
      </c>
      <c r="E1175" t="s">
        <v>36</v>
      </c>
      <c r="F1175" t="s">
        <v>37</v>
      </c>
      <c r="G1175" s="2">
        <v>44761</v>
      </c>
      <c r="H1175" s="3">
        <f t="shared" si="18"/>
        <v>3.6849315068493151</v>
      </c>
      <c r="I1175">
        <v>30</v>
      </c>
      <c r="J1175" t="s">
        <v>38</v>
      </c>
      <c r="K1175" t="s">
        <v>53</v>
      </c>
      <c r="L1175" t="s">
        <v>44</v>
      </c>
      <c r="M1175">
        <v>23.07</v>
      </c>
      <c r="N1175">
        <v>22.77</v>
      </c>
      <c r="O1175">
        <v>22.47</v>
      </c>
      <c r="T1175" t="s">
        <v>45</v>
      </c>
      <c r="U1175">
        <v>4</v>
      </c>
      <c r="V1175">
        <v>4</v>
      </c>
    </row>
    <row r="1176" spans="1:22" x14ac:dyDescent="0.3">
      <c r="A1176">
        <v>1175</v>
      </c>
      <c r="B1176">
        <v>42142</v>
      </c>
      <c r="C1176" s="2">
        <v>33224</v>
      </c>
      <c r="D1176">
        <v>35</v>
      </c>
      <c r="E1176" t="s">
        <v>36</v>
      </c>
      <c r="F1176" t="s">
        <v>50</v>
      </c>
      <c r="G1176" s="2">
        <v>44677</v>
      </c>
      <c r="H1176" s="3">
        <f t="shared" si="18"/>
        <v>3.6767123287671235</v>
      </c>
      <c r="I1176">
        <v>83</v>
      </c>
      <c r="J1176" t="s">
        <v>57</v>
      </c>
      <c r="K1176" t="s">
        <v>53</v>
      </c>
      <c r="L1176" t="s">
        <v>44</v>
      </c>
      <c r="M1176">
        <v>23.07</v>
      </c>
      <c r="N1176">
        <v>22.77</v>
      </c>
      <c r="O1176">
        <v>22.47</v>
      </c>
      <c r="T1176" t="s">
        <v>47</v>
      </c>
      <c r="U1176">
        <v>4</v>
      </c>
      <c r="V1176">
        <v>5</v>
      </c>
    </row>
    <row r="1177" spans="1:22" x14ac:dyDescent="0.3">
      <c r="A1177">
        <v>1176</v>
      </c>
      <c r="B1177">
        <v>42154</v>
      </c>
      <c r="C1177" s="2">
        <v>35179</v>
      </c>
      <c r="D1177">
        <v>29</v>
      </c>
      <c r="E1177" t="s">
        <v>36</v>
      </c>
      <c r="F1177" t="s">
        <v>50</v>
      </c>
      <c r="G1177" s="2">
        <v>44680</v>
      </c>
      <c r="H1177" s="3">
        <f t="shared" si="18"/>
        <v>2.9506849315068493</v>
      </c>
      <c r="I1177">
        <v>2</v>
      </c>
      <c r="J1177" t="s">
        <v>38</v>
      </c>
      <c r="K1177" t="s">
        <v>53</v>
      </c>
      <c r="L1177" t="s">
        <v>44</v>
      </c>
      <c r="M1177">
        <v>23.07</v>
      </c>
      <c r="N1177">
        <v>22.77</v>
      </c>
      <c r="O1177">
        <v>22.47</v>
      </c>
      <c r="T1177" t="s">
        <v>52</v>
      </c>
      <c r="U1177">
        <v>5</v>
      </c>
      <c r="V1177">
        <v>4</v>
      </c>
    </row>
    <row r="1178" spans="1:22" x14ac:dyDescent="0.3">
      <c r="A1178">
        <v>1177</v>
      </c>
      <c r="B1178">
        <v>42156</v>
      </c>
      <c r="C1178" s="2">
        <v>35694</v>
      </c>
      <c r="D1178">
        <v>28</v>
      </c>
      <c r="E1178" t="s">
        <v>36</v>
      </c>
      <c r="F1178" t="s">
        <v>37</v>
      </c>
      <c r="G1178" s="2">
        <v>44945</v>
      </c>
      <c r="H1178" s="3">
        <f t="shared" si="18"/>
        <v>3.3397260273972602</v>
      </c>
      <c r="I1178">
        <v>3</v>
      </c>
      <c r="J1178" t="s">
        <v>38</v>
      </c>
      <c r="K1178" t="s">
        <v>53</v>
      </c>
      <c r="L1178" t="s">
        <v>44</v>
      </c>
      <c r="M1178">
        <v>23.07</v>
      </c>
      <c r="N1178">
        <v>22.77</v>
      </c>
      <c r="T1178" t="s">
        <v>47</v>
      </c>
      <c r="U1178">
        <v>4</v>
      </c>
      <c r="V1178">
        <v>5</v>
      </c>
    </row>
    <row r="1179" spans="1:22" x14ac:dyDescent="0.3">
      <c r="A1179">
        <v>1178</v>
      </c>
      <c r="B1179">
        <v>42163</v>
      </c>
      <c r="C1179" s="2">
        <v>35592</v>
      </c>
      <c r="D1179">
        <v>28</v>
      </c>
      <c r="E1179" t="s">
        <v>36</v>
      </c>
      <c r="F1179" t="s">
        <v>50</v>
      </c>
      <c r="G1179" s="2">
        <v>44803</v>
      </c>
      <c r="H1179" s="3">
        <f t="shared" si="18"/>
        <v>3.021917808219178</v>
      </c>
      <c r="I1179">
        <v>76</v>
      </c>
      <c r="J1179" t="s">
        <v>57</v>
      </c>
      <c r="K1179" t="s">
        <v>53</v>
      </c>
      <c r="L1179" t="s">
        <v>44</v>
      </c>
      <c r="M1179">
        <v>23.07</v>
      </c>
      <c r="N1179">
        <v>22.77</v>
      </c>
      <c r="O1179">
        <v>22.47</v>
      </c>
      <c r="T1179" t="s">
        <v>47</v>
      </c>
      <c r="U1179">
        <v>6</v>
      </c>
      <c r="V1179">
        <v>6</v>
      </c>
    </row>
    <row r="1180" spans="1:22" x14ac:dyDescent="0.3">
      <c r="A1180">
        <v>1179</v>
      </c>
      <c r="B1180">
        <v>42175</v>
      </c>
      <c r="C1180" s="2">
        <v>33494</v>
      </c>
      <c r="D1180">
        <v>34</v>
      </c>
      <c r="E1180" t="s">
        <v>36</v>
      </c>
      <c r="F1180" t="s">
        <v>37</v>
      </c>
      <c r="G1180" s="2">
        <v>44919</v>
      </c>
      <c r="H1180" s="3">
        <f t="shared" si="18"/>
        <v>2.9945205479452053</v>
      </c>
      <c r="I1180">
        <v>19</v>
      </c>
      <c r="J1180" t="s">
        <v>38</v>
      </c>
      <c r="K1180" t="s">
        <v>53</v>
      </c>
      <c r="L1180" t="s">
        <v>44</v>
      </c>
      <c r="M1180">
        <v>23.37</v>
      </c>
      <c r="N1180">
        <v>22.92</v>
      </c>
      <c r="O1180">
        <v>22.47</v>
      </c>
      <c r="T1180" t="s">
        <v>52</v>
      </c>
      <c r="U1180">
        <v>6</v>
      </c>
      <c r="V1180">
        <v>6</v>
      </c>
    </row>
    <row r="1181" spans="1:22" x14ac:dyDescent="0.3">
      <c r="A1181">
        <v>1180</v>
      </c>
      <c r="B1181">
        <v>42176</v>
      </c>
      <c r="C1181" s="2">
        <v>31605</v>
      </c>
      <c r="D1181">
        <v>39</v>
      </c>
      <c r="E1181" t="s">
        <v>36</v>
      </c>
      <c r="F1181" t="s">
        <v>50</v>
      </c>
      <c r="G1181" s="2">
        <v>44929</v>
      </c>
      <c r="H1181" s="3">
        <f t="shared" si="18"/>
        <v>3.3863013698630136</v>
      </c>
      <c r="I1181">
        <v>24</v>
      </c>
      <c r="J1181" t="s">
        <v>38</v>
      </c>
      <c r="K1181" t="s">
        <v>53</v>
      </c>
      <c r="L1181" t="s">
        <v>44</v>
      </c>
      <c r="M1181">
        <v>23.07</v>
      </c>
      <c r="N1181">
        <v>22.77</v>
      </c>
      <c r="T1181" t="s">
        <v>52</v>
      </c>
      <c r="U1181">
        <v>6</v>
      </c>
      <c r="V1181">
        <v>5</v>
      </c>
    </row>
    <row r="1182" spans="1:22" x14ac:dyDescent="0.3">
      <c r="A1182">
        <v>1181</v>
      </c>
      <c r="B1182">
        <v>42188</v>
      </c>
      <c r="C1182" s="2">
        <v>35923</v>
      </c>
      <c r="D1182">
        <v>27</v>
      </c>
      <c r="E1182" t="s">
        <v>42</v>
      </c>
      <c r="F1182" t="s">
        <v>50</v>
      </c>
      <c r="G1182" s="2">
        <v>44786</v>
      </c>
      <c r="H1182" s="3">
        <f t="shared" si="18"/>
        <v>3.4356164383561643</v>
      </c>
      <c r="I1182">
        <v>94</v>
      </c>
      <c r="J1182" t="s">
        <v>57</v>
      </c>
      <c r="K1182" t="s">
        <v>53</v>
      </c>
      <c r="L1182" t="s">
        <v>44</v>
      </c>
      <c r="M1182">
        <v>23.07</v>
      </c>
      <c r="N1182">
        <v>22.77</v>
      </c>
      <c r="O1182">
        <v>22.47</v>
      </c>
      <c r="T1182" t="s">
        <v>47</v>
      </c>
      <c r="U1182">
        <v>3</v>
      </c>
      <c r="V1182">
        <v>5</v>
      </c>
    </row>
    <row r="1183" spans="1:22" x14ac:dyDescent="0.3">
      <c r="A1183">
        <v>1182</v>
      </c>
      <c r="B1183">
        <v>42193</v>
      </c>
      <c r="C1183" s="2">
        <v>35495</v>
      </c>
      <c r="D1183">
        <v>28</v>
      </c>
      <c r="E1183" t="s">
        <v>42</v>
      </c>
      <c r="F1183" t="s">
        <v>37</v>
      </c>
      <c r="G1183" s="2">
        <v>44768</v>
      </c>
      <c r="H1183" s="3">
        <f t="shared" si="18"/>
        <v>3.5424657534246577</v>
      </c>
      <c r="I1183">
        <v>142</v>
      </c>
      <c r="J1183" t="s">
        <v>57</v>
      </c>
      <c r="K1183" t="s">
        <v>53</v>
      </c>
      <c r="L1183" t="s">
        <v>44</v>
      </c>
      <c r="M1183">
        <v>22.62</v>
      </c>
      <c r="N1183">
        <v>22.62</v>
      </c>
      <c r="O1183">
        <v>22.47</v>
      </c>
      <c r="T1183" t="s">
        <v>52</v>
      </c>
      <c r="U1183">
        <v>4</v>
      </c>
      <c r="V1183">
        <v>5</v>
      </c>
    </row>
    <row r="1184" spans="1:22" x14ac:dyDescent="0.3">
      <c r="A1184">
        <v>1183</v>
      </c>
      <c r="B1184">
        <v>42196</v>
      </c>
      <c r="C1184" s="2">
        <v>33348</v>
      </c>
      <c r="D1184">
        <v>34</v>
      </c>
      <c r="E1184" t="s">
        <v>36</v>
      </c>
      <c r="F1184" t="s">
        <v>50</v>
      </c>
      <c r="G1184" s="2">
        <v>44729</v>
      </c>
      <c r="H1184" s="3">
        <f t="shared" si="18"/>
        <v>3.6246575342465754</v>
      </c>
      <c r="I1184">
        <v>2</v>
      </c>
      <c r="J1184" t="s">
        <v>38</v>
      </c>
      <c r="K1184" t="s">
        <v>53</v>
      </c>
      <c r="L1184" t="s">
        <v>44</v>
      </c>
      <c r="M1184">
        <v>23.07</v>
      </c>
      <c r="N1184">
        <v>22.77</v>
      </c>
      <c r="O1184">
        <v>22.47</v>
      </c>
      <c r="T1184" t="s">
        <v>52</v>
      </c>
      <c r="U1184">
        <v>4</v>
      </c>
      <c r="V1184">
        <v>4</v>
      </c>
    </row>
    <row r="1185" spans="1:22" x14ac:dyDescent="0.3">
      <c r="A1185">
        <v>1184</v>
      </c>
      <c r="B1185">
        <v>42206</v>
      </c>
      <c r="C1185" s="2">
        <v>34561</v>
      </c>
      <c r="D1185">
        <v>31</v>
      </c>
      <c r="E1185" t="s">
        <v>36</v>
      </c>
      <c r="F1185" t="s">
        <v>50</v>
      </c>
      <c r="G1185" s="2">
        <v>44699</v>
      </c>
      <c r="H1185" s="3">
        <f t="shared" si="18"/>
        <v>3.484931506849315</v>
      </c>
      <c r="I1185">
        <v>23</v>
      </c>
      <c r="J1185" t="s">
        <v>38</v>
      </c>
      <c r="K1185" t="s">
        <v>53</v>
      </c>
      <c r="L1185" t="s">
        <v>44</v>
      </c>
      <c r="M1185">
        <v>23.07</v>
      </c>
      <c r="N1185">
        <v>22.77</v>
      </c>
      <c r="O1185">
        <v>22.47</v>
      </c>
      <c r="T1185" t="s">
        <v>52</v>
      </c>
      <c r="U1185">
        <v>5</v>
      </c>
      <c r="V1185">
        <v>5</v>
      </c>
    </row>
    <row r="1186" spans="1:22" x14ac:dyDescent="0.3">
      <c r="A1186">
        <v>1185</v>
      </c>
      <c r="B1186">
        <v>42218</v>
      </c>
      <c r="C1186" s="2">
        <v>35792</v>
      </c>
      <c r="D1186">
        <v>28</v>
      </c>
      <c r="E1186" t="s">
        <v>42</v>
      </c>
      <c r="F1186" t="s">
        <v>37</v>
      </c>
      <c r="G1186" s="2">
        <v>44750</v>
      </c>
      <c r="H1186" s="3">
        <f t="shared" si="18"/>
        <v>2.9506849315068493</v>
      </c>
      <c r="I1186">
        <v>30</v>
      </c>
      <c r="J1186" t="s">
        <v>38</v>
      </c>
      <c r="K1186" t="s">
        <v>53</v>
      </c>
      <c r="L1186" t="s">
        <v>44</v>
      </c>
      <c r="M1186">
        <v>23.07</v>
      </c>
      <c r="N1186">
        <v>22.77</v>
      </c>
      <c r="O1186">
        <v>22.47</v>
      </c>
      <c r="T1186" t="s">
        <v>45</v>
      </c>
      <c r="U1186">
        <v>4</v>
      </c>
      <c r="V1186">
        <v>6</v>
      </c>
    </row>
    <row r="1187" spans="1:22" x14ac:dyDescent="0.3">
      <c r="A1187">
        <v>1186</v>
      </c>
      <c r="B1187">
        <v>42260</v>
      </c>
      <c r="C1187" s="2">
        <v>35469</v>
      </c>
      <c r="D1187">
        <v>28</v>
      </c>
      <c r="E1187" t="s">
        <v>36</v>
      </c>
      <c r="F1187" t="s">
        <v>50</v>
      </c>
      <c r="G1187" s="2">
        <v>44945</v>
      </c>
      <c r="H1187" s="3">
        <f t="shared" si="18"/>
        <v>3.7890410958904108</v>
      </c>
      <c r="I1187">
        <v>84</v>
      </c>
      <c r="J1187" t="s">
        <v>57</v>
      </c>
      <c r="K1187" t="s">
        <v>53</v>
      </c>
      <c r="L1187" t="s">
        <v>44</v>
      </c>
      <c r="M1187">
        <v>23.07</v>
      </c>
      <c r="N1187">
        <v>22.77</v>
      </c>
      <c r="T1187" t="s">
        <v>47</v>
      </c>
      <c r="U1187">
        <v>1</v>
      </c>
      <c r="V1187">
        <v>4</v>
      </c>
    </row>
    <row r="1188" spans="1:22" x14ac:dyDescent="0.3">
      <c r="A1188">
        <v>1187</v>
      </c>
      <c r="B1188">
        <v>42263</v>
      </c>
      <c r="C1188" s="2">
        <v>34674</v>
      </c>
      <c r="D1188">
        <v>31</v>
      </c>
      <c r="E1188" t="s">
        <v>36</v>
      </c>
      <c r="F1188" t="s">
        <v>50</v>
      </c>
      <c r="G1188" s="2">
        <v>44639</v>
      </c>
      <c r="H1188" s="3">
        <f t="shared" si="18"/>
        <v>3.0027397260273974</v>
      </c>
      <c r="I1188">
        <v>94</v>
      </c>
      <c r="J1188" t="s">
        <v>57</v>
      </c>
      <c r="K1188" t="s">
        <v>53</v>
      </c>
      <c r="L1188" t="s">
        <v>44</v>
      </c>
      <c r="M1188">
        <v>23.07</v>
      </c>
      <c r="N1188">
        <v>22.77</v>
      </c>
      <c r="O1188">
        <v>22.47</v>
      </c>
      <c r="T1188" t="s">
        <v>49</v>
      </c>
      <c r="U1188">
        <v>5</v>
      </c>
      <c r="V1188">
        <v>4</v>
      </c>
    </row>
    <row r="1189" spans="1:22" x14ac:dyDescent="0.3">
      <c r="A1189">
        <v>1188</v>
      </c>
      <c r="B1189">
        <v>42264</v>
      </c>
      <c r="C1189" s="2">
        <v>33960</v>
      </c>
      <c r="D1189">
        <v>33</v>
      </c>
      <c r="E1189" t="s">
        <v>36</v>
      </c>
      <c r="F1189" t="s">
        <v>50</v>
      </c>
      <c r="G1189" s="2">
        <v>44926</v>
      </c>
      <c r="H1189" s="3">
        <f t="shared" si="18"/>
        <v>3.6931506849315068</v>
      </c>
      <c r="I1189">
        <v>98</v>
      </c>
      <c r="J1189" t="s">
        <v>57</v>
      </c>
      <c r="K1189" t="s">
        <v>53</v>
      </c>
      <c r="L1189" t="s">
        <v>44</v>
      </c>
      <c r="M1189">
        <v>22.62</v>
      </c>
      <c r="N1189">
        <v>22.47</v>
      </c>
      <c r="O1189">
        <v>22.47</v>
      </c>
      <c r="T1189" t="s">
        <v>52</v>
      </c>
      <c r="U1189">
        <v>4</v>
      </c>
      <c r="V1189">
        <v>6</v>
      </c>
    </row>
    <row r="1190" spans="1:22" x14ac:dyDescent="0.3">
      <c r="A1190">
        <v>1189</v>
      </c>
      <c r="B1190">
        <v>42276</v>
      </c>
      <c r="C1190" s="2">
        <v>36114</v>
      </c>
      <c r="D1190">
        <v>27</v>
      </c>
      <c r="E1190" t="s">
        <v>42</v>
      </c>
      <c r="F1190" t="s">
        <v>37</v>
      </c>
      <c r="G1190" s="2">
        <v>44674</v>
      </c>
      <c r="H1190" s="3">
        <f t="shared" si="18"/>
        <v>3.7287671232876711</v>
      </c>
      <c r="I1190">
        <v>115</v>
      </c>
      <c r="J1190" t="s">
        <v>57</v>
      </c>
      <c r="K1190" t="s">
        <v>53</v>
      </c>
      <c r="L1190" t="s">
        <v>44</v>
      </c>
      <c r="M1190">
        <v>23.07</v>
      </c>
      <c r="N1190">
        <v>22.77</v>
      </c>
      <c r="O1190">
        <v>22.47</v>
      </c>
      <c r="T1190" t="s">
        <v>47</v>
      </c>
      <c r="U1190">
        <v>4</v>
      </c>
      <c r="V1190">
        <v>6</v>
      </c>
    </row>
    <row r="1191" spans="1:22" x14ac:dyDescent="0.3">
      <c r="A1191">
        <v>1190</v>
      </c>
      <c r="B1191">
        <v>42278</v>
      </c>
      <c r="C1191" s="2">
        <v>35110</v>
      </c>
      <c r="D1191">
        <v>29</v>
      </c>
      <c r="E1191" t="s">
        <v>36</v>
      </c>
      <c r="F1191" t="s">
        <v>50</v>
      </c>
      <c r="G1191" s="2">
        <v>44661</v>
      </c>
      <c r="H1191" s="3">
        <f t="shared" si="18"/>
        <v>3.8219178082191783</v>
      </c>
      <c r="I1191">
        <v>116</v>
      </c>
      <c r="J1191" t="s">
        <v>57</v>
      </c>
      <c r="K1191" t="s">
        <v>53</v>
      </c>
      <c r="L1191" t="s">
        <v>44</v>
      </c>
      <c r="M1191">
        <v>23.07</v>
      </c>
      <c r="N1191">
        <v>22.77</v>
      </c>
      <c r="O1191">
        <v>22.47</v>
      </c>
      <c r="T1191" t="s">
        <v>47</v>
      </c>
      <c r="U1191">
        <v>3</v>
      </c>
      <c r="V1191">
        <v>5</v>
      </c>
    </row>
    <row r="1192" spans="1:22" x14ac:dyDescent="0.3">
      <c r="A1192">
        <v>1191</v>
      </c>
      <c r="B1192">
        <v>42279</v>
      </c>
      <c r="C1192" s="2">
        <v>32080</v>
      </c>
      <c r="D1192">
        <v>38</v>
      </c>
      <c r="E1192" t="s">
        <v>42</v>
      </c>
      <c r="F1192" t="s">
        <v>50</v>
      </c>
      <c r="G1192" s="2">
        <v>44627</v>
      </c>
      <c r="H1192" s="3">
        <f t="shared" si="18"/>
        <v>3.0027397260273974</v>
      </c>
      <c r="I1192">
        <v>118</v>
      </c>
      <c r="J1192" t="s">
        <v>57</v>
      </c>
      <c r="K1192" t="s">
        <v>53</v>
      </c>
      <c r="L1192" t="s">
        <v>44</v>
      </c>
      <c r="M1192">
        <v>23.07</v>
      </c>
      <c r="N1192">
        <v>22.77</v>
      </c>
      <c r="O1192">
        <v>22.47</v>
      </c>
      <c r="T1192" t="s">
        <v>47</v>
      </c>
      <c r="U1192">
        <v>3</v>
      </c>
      <c r="V1192">
        <v>5</v>
      </c>
    </row>
    <row r="1193" spans="1:22" x14ac:dyDescent="0.3">
      <c r="A1193">
        <v>1192</v>
      </c>
      <c r="B1193">
        <v>42284</v>
      </c>
      <c r="C1193" s="2">
        <v>34830</v>
      </c>
      <c r="D1193">
        <v>30</v>
      </c>
      <c r="E1193" t="s">
        <v>42</v>
      </c>
      <c r="F1193" t="s">
        <v>37</v>
      </c>
      <c r="G1193" s="2">
        <v>44926</v>
      </c>
      <c r="H1193" s="3">
        <f t="shared" si="18"/>
        <v>3.2602739726027399</v>
      </c>
      <c r="I1193">
        <v>126</v>
      </c>
      <c r="J1193" t="s">
        <v>57</v>
      </c>
      <c r="K1193" t="s">
        <v>53</v>
      </c>
      <c r="L1193" t="s">
        <v>44</v>
      </c>
      <c r="M1193">
        <v>23.07</v>
      </c>
      <c r="N1193">
        <v>22.77</v>
      </c>
      <c r="O1193">
        <v>22.47</v>
      </c>
      <c r="T1193" t="s">
        <v>47</v>
      </c>
      <c r="U1193">
        <v>5</v>
      </c>
      <c r="V1193">
        <v>6</v>
      </c>
    </row>
    <row r="1194" spans="1:22" x14ac:dyDescent="0.3">
      <c r="A1194">
        <v>1193</v>
      </c>
      <c r="B1194">
        <v>42285</v>
      </c>
      <c r="C1194" s="2">
        <v>34246</v>
      </c>
      <c r="D1194">
        <v>32</v>
      </c>
      <c r="E1194" t="s">
        <v>36</v>
      </c>
      <c r="F1194" t="s">
        <v>50</v>
      </c>
      <c r="G1194" s="2">
        <v>44832</v>
      </c>
      <c r="H1194" s="3">
        <f t="shared" si="18"/>
        <v>3.5534246575342467</v>
      </c>
      <c r="I1194">
        <v>127</v>
      </c>
      <c r="J1194" t="s">
        <v>57</v>
      </c>
      <c r="K1194" t="s">
        <v>53</v>
      </c>
      <c r="L1194" t="s">
        <v>44</v>
      </c>
      <c r="M1194">
        <v>22.62</v>
      </c>
      <c r="N1194">
        <v>22.62</v>
      </c>
      <c r="O1194">
        <v>22.47</v>
      </c>
      <c r="T1194" t="s">
        <v>47</v>
      </c>
      <c r="U1194">
        <v>2</v>
      </c>
      <c r="V1194">
        <v>4</v>
      </c>
    </row>
    <row r="1195" spans="1:22" x14ac:dyDescent="0.3">
      <c r="A1195">
        <v>1194</v>
      </c>
      <c r="B1195">
        <v>42287</v>
      </c>
      <c r="C1195" s="2">
        <v>34306</v>
      </c>
      <c r="D1195">
        <v>32</v>
      </c>
      <c r="E1195" t="s">
        <v>36</v>
      </c>
      <c r="F1195" t="s">
        <v>50</v>
      </c>
      <c r="G1195" s="2">
        <v>44725</v>
      </c>
      <c r="H1195" s="3">
        <f t="shared" si="18"/>
        <v>3.0520547945205481</v>
      </c>
      <c r="I1195">
        <v>129</v>
      </c>
      <c r="J1195" t="s">
        <v>57</v>
      </c>
      <c r="K1195" t="s">
        <v>53</v>
      </c>
      <c r="L1195" t="s">
        <v>44</v>
      </c>
      <c r="M1195">
        <v>23.07</v>
      </c>
      <c r="N1195">
        <v>22.77</v>
      </c>
      <c r="O1195">
        <v>22.47</v>
      </c>
      <c r="T1195" t="s">
        <v>47</v>
      </c>
      <c r="U1195">
        <v>5</v>
      </c>
      <c r="V1195">
        <v>6</v>
      </c>
    </row>
    <row r="1196" spans="1:22" x14ac:dyDescent="0.3">
      <c r="A1196">
        <v>1195</v>
      </c>
      <c r="B1196">
        <v>42290</v>
      </c>
      <c r="C1196" s="2">
        <v>31770</v>
      </c>
      <c r="D1196">
        <v>39</v>
      </c>
      <c r="E1196" t="s">
        <v>36</v>
      </c>
      <c r="F1196" t="s">
        <v>50</v>
      </c>
      <c r="G1196" s="2">
        <v>44908</v>
      </c>
      <c r="H1196" s="3">
        <f t="shared" si="18"/>
        <v>3.2328767123287672</v>
      </c>
      <c r="I1196">
        <v>137</v>
      </c>
      <c r="J1196" t="s">
        <v>57</v>
      </c>
      <c r="K1196" t="s">
        <v>53</v>
      </c>
      <c r="L1196" t="s">
        <v>44</v>
      </c>
      <c r="M1196">
        <v>23.07</v>
      </c>
      <c r="N1196">
        <v>22.77</v>
      </c>
      <c r="O1196">
        <v>22.47</v>
      </c>
      <c r="T1196" t="s">
        <v>49</v>
      </c>
      <c r="U1196">
        <v>4</v>
      </c>
      <c r="V1196">
        <v>4</v>
      </c>
    </row>
    <row r="1197" spans="1:22" x14ac:dyDescent="0.3">
      <c r="A1197">
        <v>1196</v>
      </c>
      <c r="B1197">
        <v>42291</v>
      </c>
      <c r="C1197" s="2">
        <v>36509</v>
      </c>
      <c r="D1197">
        <v>26</v>
      </c>
      <c r="E1197" t="s">
        <v>36</v>
      </c>
      <c r="F1197" t="s">
        <v>50</v>
      </c>
      <c r="G1197" s="2">
        <v>44842</v>
      </c>
      <c r="H1197" s="3">
        <f t="shared" si="18"/>
        <v>3.419178082191781</v>
      </c>
      <c r="I1197">
        <v>138</v>
      </c>
      <c r="J1197" t="s">
        <v>57</v>
      </c>
      <c r="K1197" t="s">
        <v>53</v>
      </c>
      <c r="L1197" t="s">
        <v>44</v>
      </c>
      <c r="M1197">
        <v>22.77</v>
      </c>
      <c r="N1197">
        <v>22.62</v>
      </c>
      <c r="O1197">
        <v>22.47</v>
      </c>
      <c r="T1197" t="s">
        <v>47</v>
      </c>
      <c r="U1197">
        <v>1</v>
      </c>
      <c r="V1197">
        <v>4</v>
      </c>
    </row>
    <row r="1198" spans="1:22" x14ac:dyDescent="0.3">
      <c r="A1198">
        <v>1197</v>
      </c>
      <c r="B1198">
        <v>42297</v>
      </c>
      <c r="C1198" s="2">
        <v>34123</v>
      </c>
      <c r="D1198">
        <v>32</v>
      </c>
      <c r="E1198" t="s">
        <v>42</v>
      </c>
      <c r="F1198" t="s">
        <v>50</v>
      </c>
      <c r="G1198" s="2">
        <v>44774</v>
      </c>
      <c r="H1198" s="3">
        <f t="shared" si="18"/>
        <v>3.3671232876712329</v>
      </c>
      <c r="I1198">
        <v>23</v>
      </c>
      <c r="J1198" t="s">
        <v>38</v>
      </c>
      <c r="K1198" t="s">
        <v>43</v>
      </c>
      <c r="L1198" t="s">
        <v>44</v>
      </c>
      <c r="M1198">
        <v>16.18</v>
      </c>
      <c r="N1198">
        <v>15.88</v>
      </c>
      <c r="O1198">
        <v>15.58</v>
      </c>
      <c r="T1198" t="s">
        <v>47</v>
      </c>
      <c r="U1198">
        <v>2</v>
      </c>
      <c r="V1198">
        <v>7</v>
      </c>
    </row>
    <row r="1199" spans="1:22" x14ac:dyDescent="0.3">
      <c r="A1199">
        <v>1198</v>
      </c>
      <c r="B1199">
        <v>42304</v>
      </c>
      <c r="C1199" s="2">
        <v>36721</v>
      </c>
      <c r="D1199">
        <v>25</v>
      </c>
      <c r="E1199" t="s">
        <v>42</v>
      </c>
      <c r="F1199" t="s">
        <v>50</v>
      </c>
      <c r="G1199" s="2">
        <v>44793</v>
      </c>
      <c r="H1199" s="3">
        <f t="shared" si="18"/>
        <v>3.8136986301369862</v>
      </c>
      <c r="I1199">
        <v>69</v>
      </c>
      <c r="J1199" t="s">
        <v>57</v>
      </c>
      <c r="K1199" t="s">
        <v>48</v>
      </c>
      <c r="L1199" t="s">
        <v>44</v>
      </c>
      <c r="M1199">
        <v>17.38</v>
      </c>
      <c r="N1199">
        <v>17.38</v>
      </c>
      <c r="O1199">
        <v>17.04</v>
      </c>
      <c r="T1199" t="s">
        <v>52</v>
      </c>
      <c r="U1199">
        <v>1</v>
      </c>
      <c r="V1199">
        <v>7</v>
      </c>
    </row>
    <row r="1200" spans="1:22" x14ac:dyDescent="0.3">
      <c r="A1200">
        <v>1199</v>
      </c>
      <c r="B1200">
        <v>42308</v>
      </c>
      <c r="C1200" s="2">
        <v>34243</v>
      </c>
      <c r="D1200">
        <v>33</v>
      </c>
      <c r="E1200" t="s">
        <v>36</v>
      </c>
      <c r="F1200" t="s">
        <v>37</v>
      </c>
      <c r="G1200" s="2">
        <v>44630</v>
      </c>
      <c r="H1200" s="3">
        <f t="shared" si="18"/>
        <v>3.8465753424657536</v>
      </c>
      <c r="I1200">
        <v>122</v>
      </c>
      <c r="J1200" t="s">
        <v>57</v>
      </c>
      <c r="K1200" t="s">
        <v>54</v>
      </c>
      <c r="L1200" t="s">
        <v>44</v>
      </c>
      <c r="M1200">
        <v>23.47</v>
      </c>
      <c r="N1200">
        <v>23.05</v>
      </c>
      <c r="O1200">
        <v>22.63</v>
      </c>
      <c r="T1200" t="s">
        <v>49</v>
      </c>
      <c r="U1200">
        <v>6</v>
      </c>
      <c r="V1200">
        <v>5</v>
      </c>
    </row>
    <row r="1201" spans="1:22" x14ac:dyDescent="0.3">
      <c r="A1201">
        <v>1200</v>
      </c>
      <c r="B1201">
        <v>42320</v>
      </c>
      <c r="C1201" s="2">
        <v>37138</v>
      </c>
      <c r="D1201">
        <v>24</v>
      </c>
      <c r="E1201" t="s">
        <v>36</v>
      </c>
      <c r="F1201" t="s">
        <v>50</v>
      </c>
      <c r="G1201" s="2">
        <v>44618</v>
      </c>
      <c r="H1201" s="3">
        <f t="shared" si="18"/>
        <v>3.2547945205479452</v>
      </c>
      <c r="I1201">
        <v>76</v>
      </c>
      <c r="J1201" t="s">
        <v>57</v>
      </c>
      <c r="K1201" t="s">
        <v>55</v>
      </c>
      <c r="L1201" t="s">
        <v>44</v>
      </c>
      <c r="M1201">
        <v>17.34</v>
      </c>
      <c r="N1201">
        <v>17.04</v>
      </c>
      <c r="O1201">
        <v>16.739999999999998</v>
      </c>
      <c r="T1201" t="s">
        <v>52</v>
      </c>
      <c r="U1201">
        <v>1</v>
      </c>
      <c r="V1201">
        <v>4</v>
      </c>
    </row>
    <row r="1202" spans="1:22" x14ac:dyDescent="0.3">
      <c r="A1202">
        <v>1201</v>
      </c>
      <c r="B1202">
        <v>42324</v>
      </c>
      <c r="C1202" s="2">
        <v>37019</v>
      </c>
      <c r="D1202">
        <v>24</v>
      </c>
      <c r="E1202" t="s">
        <v>36</v>
      </c>
      <c r="F1202" t="s">
        <v>37</v>
      </c>
      <c r="G1202" s="2">
        <v>44834</v>
      </c>
      <c r="H1202" s="3">
        <f t="shared" si="18"/>
        <v>3.4986301369863013</v>
      </c>
      <c r="I1202">
        <v>112</v>
      </c>
      <c r="J1202" t="s">
        <v>57</v>
      </c>
      <c r="K1202" t="s">
        <v>54</v>
      </c>
      <c r="L1202" t="s">
        <v>44</v>
      </c>
      <c r="M1202">
        <v>23.23</v>
      </c>
      <c r="N1202">
        <v>22.93</v>
      </c>
      <c r="O1202">
        <v>22.63</v>
      </c>
      <c r="T1202" t="s">
        <v>49</v>
      </c>
      <c r="U1202">
        <v>5</v>
      </c>
      <c r="V1202">
        <v>5</v>
      </c>
    </row>
    <row r="1203" spans="1:22" x14ac:dyDescent="0.3">
      <c r="A1203">
        <v>1202</v>
      </c>
      <c r="B1203">
        <v>42327</v>
      </c>
      <c r="C1203" s="2">
        <v>36199</v>
      </c>
      <c r="D1203">
        <v>26</v>
      </c>
      <c r="E1203" t="s">
        <v>36</v>
      </c>
      <c r="F1203" t="s">
        <v>50</v>
      </c>
      <c r="G1203" s="2">
        <v>44745</v>
      </c>
      <c r="H1203" s="3">
        <f t="shared" si="18"/>
        <v>3</v>
      </c>
      <c r="I1203">
        <v>140</v>
      </c>
      <c r="J1203" t="s">
        <v>57</v>
      </c>
      <c r="K1203" t="s">
        <v>46</v>
      </c>
      <c r="L1203" t="s">
        <v>44</v>
      </c>
      <c r="M1203">
        <v>14.38</v>
      </c>
      <c r="N1203">
        <v>13.98</v>
      </c>
      <c r="O1203">
        <v>13.55</v>
      </c>
      <c r="T1203" t="s">
        <v>49</v>
      </c>
      <c r="U1203">
        <v>0</v>
      </c>
      <c r="V1203">
        <v>4</v>
      </c>
    </row>
    <row r="1204" spans="1:22" x14ac:dyDescent="0.3">
      <c r="A1204">
        <v>1203</v>
      </c>
      <c r="B1204">
        <v>42331</v>
      </c>
      <c r="C1204" s="2">
        <v>35158</v>
      </c>
      <c r="D1204">
        <v>29</v>
      </c>
      <c r="E1204" t="s">
        <v>42</v>
      </c>
      <c r="F1204" t="s">
        <v>50</v>
      </c>
      <c r="G1204" s="2">
        <v>44927</v>
      </c>
      <c r="H1204" s="3">
        <f t="shared" si="18"/>
        <v>3.0767123287671234</v>
      </c>
      <c r="I1204">
        <v>50</v>
      </c>
      <c r="J1204" t="s">
        <v>38</v>
      </c>
      <c r="K1204" t="s">
        <v>43</v>
      </c>
      <c r="L1204" t="s">
        <v>44</v>
      </c>
      <c r="M1204">
        <v>16.18</v>
      </c>
      <c r="N1204">
        <v>15.88</v>
      </c>
      <c r="T1204" t="s">
        <v>52</v>
      </c>
      <c r="U1204">
        <v>1</v>
      </c>
      <c r="V1204">
        <v>6</v>
      </c>
    </row>
    <row r="1205" spans="1:22" x14ac:dyDescent="0.3">
      <c r="A1205">
        <v>1204</v>
      </c>
      <c r="B1205">
        <v>42340</v>
      </c>
      <c r="C1205" s="2">
        <v>35718</v>
      </c>
      <c r="D1205">
        <v>28</v>
      </c>
      <c r="E1205" t="s">
        <v>42</v>
      </c>
      <c r="F1205" t="s">
        <v>50</v>
      </c>
      <c r="G1205" s="2">
        <v>44899</v>
      </c>
      <c r="H1205" s="3">
        <f t="shared" si="18"/>
        <v>3.2465753424657535</v>
      </c>
      <c r="I1205">
        <v>19</v>
      </c>
      <c r="J1205" t="s">
        <v>38</v>
      </c>
      <c r="K1205" t="s">
        <v>43</v>
      </c>
      <c r="L1205" t="s">
        <v>44</v>
      </c>
      <c r="M1205">
        <v>16.32</v>
      </c>
      <c r="N1205">
        <v>16</v>
      </c>
      <c r="O1205">
        <v>15.58</v>
      </c>
      <c r="T1205" t="s">
        <v>45</v>
      </c>
      <c r="U1205">
        <v>0</v>
      </c>
      <c r="V1205">
        <v>5</v>
      </c>
    </row>
    <row r="1206" spans="1:22" x14ac:dyDescent="0.3">
      <c r="A1206">
        <v>1205</v>
      </c>
      <c r="B1206">
        <v>42353</v>
      </c>
      <c r="C1206" s="2">
        <v>35726</v>
      </c>
      <c r="D1206">
        <v>28</v>
      </c>
      <c r="E1206" t="s">
        <v>36</v>
      </c>
      <c r="F1206" t="s">
        <v>50</v>
      </c>
      <c r="G1206" s="2">
        <v>44837</v>
      </c>
      <c r="H1206" s="3">
        <f t="shared" si="18"/>
        <v>3.6767123287671235</v>
      </c>
      <c r="I1206">
        <v>76</v>
      </c>
      <c r="J1206" t="s">
        <v>57</v>
      </c>
      <c r="K1206" t="s">
        <v>46</v>
      </c>
      <c r="L1206" t="s">
        <v>44</v>
      </c>
      <c r="M1206">
        <v>14.15</v>
      </c>
      <c r="N1206">
        <v>13.85</v>
      </c>
      <c r="O1206">
        <v>13.55</v>
      </c>
      <c r="T1206" t="s">
        <v>47</v>
      </c>
      <c r="U1206">
        <v>0</v>
      </c>
      <c r="V1206">
        <v>4</v>
      </c>
    </row>
    <row r="1207" spans="1:22" x14ac:dyDescent="0.3">
      <c r="A1207">
        <v>1206</v>
      </c>
      <c r="B1207">
        <v>42356</v>
      </c>
      <c r="C1207" s="2">
        <v>34169</v>
      </c>
      <c r="D1207">
        <v>32</v>
      </c>
      <c r="E1207" t="s">
        <v>42</v>
      </c>
      <c r="F1207" t="s">
        <v>37</v>
      </c>
      <c r="G1207" s="2">
        <v>44680</v>
      </c>
      <c r="H1207" s="3">
        <f t="shared" si="18"/>
        <v>3.3123287671232875</v>
      </c>
      <c r="I1207">
        <v>130</v>
      </c>
      <c r="J1207" t="s">
        <v>57</v>
      </c>
      <c r="K1207" t="s">
        <v>56</v>
      </c>
      <c r="L1207" t="s">
        <v>44</v>
      </c>
      <c r="M1207">
        <v>8.5</v>
      </c>
      <c r="N1207">
        <v>8.35</v>
      </c>
      <c r="O1207">
        <v>8.06</v>
      </c>
      <c r="T1207" t="s">
        <v>52</v>
      </c>
      <c r="U1207">
        <v>4</v>
      </c>
      <c r="V1207">
        <v>7</v>
      </c>
    </row>
    <row r="1208" spans="1:22" x14ac:dyDescent="0.3">
      <c r="A1208">
        <v>1207</v>
      </c>
      <c r="B1208">
        <v>42362</v>
      </c>
      <c r="C1208" s="2">
        <v>36599</v>
      </c>
      <c r="D1208">
        <v>25</v>
      </c>
      <c r="E1208" t="s">
        <v>36</v>
      </c>
      <c r="F1208" t="s">
        <v>50</v>
      </c>
      <c r="G1208" s="2">
        <v>44813</v>
      </c>
      <c r="H1208" s="3">
        <f t="shared" si="18"/>
        <v>3.6273972602739728</v>
      </c>
      <c r="I1208">
        <v>6</v>
      </c>
      <c r="J1208" t="s">
        <v>38</v>
      </c>
      <c r="K1208" t="s">
        <v>54</v>
      </c>
      <c r="L1208" t="s">
        <v>44</v>
      </c>
      <c r="M1208">
        <v>23.23</v>
      </c>
      <c r="N1208">
        <v>22.93</v>
      </c>
      <c r="O1208">
        <v>22.63</v>
      </c>
      <c r="T1208" t="s">
        <v>49</v>
      </c>
      <c r="U1208">
        <v>4</v>
      </c>
      <c r="V1208">
        <v>5</v>
      </c>
    </row>
    <row r="1209" spans="1:22" x14ac:dyDescent="0.3">
      <c r="A1209">
        <v>1208</v>
      </c>
      <c r="B1209">
        <v>42363</v>
      </c>
      <c r="C1209" s="2">
        <v>35530</v>
      </c>
      <c r="D1209">
        <v>28</v>
      </c>
      <c r="E1209" t="s">
        <v>36</v>
      </c>
      <c r="F1209" t="s">
        <v>50</v>
      </c>
      <c r="G1209" s="2">
        <v>44698</v>
      </c>
      <c r="H1209" s="3">
        <f t="shared" si="18"/>
        <v>3.0876712328767124</v>
      </c>
      <c r="I1209">
        <v>46</v>
      </c>
      <c r="J1209" t="s">
        <v>38</v>
      </c>
      <c r="K1209" t="s">
        <v>55</v>
      </c>
      <c r="L1209" t="s">
        <v>44</v>
      </c>
      <c r="M1209">
        <v>17.579999999999998</v>
      </c>
      <c r="N1209">
        <v>17.14</v>
      </c>
      <c r="O1209">
        <v>16.739999999999998</v>
      </c>
      <c r="T1209" t="s">
        <v>45</v>
      </c>
      <c r="U1209">
        <v>4</v>
      </c>
      <c r="V1209">
        <v>5</v>
      </c>
    </row>
    <row r="1210" spans="1:22" x14ac:dyDescent="0.3">
      <c r="A1210">
        <v>1209</v>
      </c>
      <c r="B1210">
        <v>42372</v>
      </c>
      <c r="C1210" s="2">
        <v>37977</v>
      </c>
      <c r="D1210">
        <v>22</v>
      </c>
      <c r="E1210" t="s">
        <v>42</v>
      </c>
      <c r="F1210" t="s">
        <v>50</v>
      </c>
      <c r="G1210" s="2">
        <v>44895</v>
      </c>
      <c r="H1210" s="3">
        <f t="shared" si="18"/>
        <v>3.3178082191780822</v>
      </c>
      <c r="I1210">
        <v>71</v>
      </c>
      <c r="J1210" t="s">
        <v>57</v>
      </c>
      <c r="K1210" t="s">
        <v>43</v>
      </c>
      <c r="L1210" t="s">
        <v>44</v>
      </c>
      <c r="M1210">
        <v>16.18</v>
      </c>
      <c r="N1210">
        <v>15.88</v>
      </c>
      <c r="O1210">
        <v>15.58</v>
      </c>
      <c r="T1210" t="s">
        <v>47</v>
      </c>
      <c r="U1210">
        <v>2</v>
      </c>
      <c r="V1210">
        <v>5</v>
      </c>
    </row>
    <row r="1211" spans="1:22" x14ac:dyDescent="0.3">
      <c r="A1211">
        <v>1210</v>
      </c>
      <c r="B1211">
        <v>42377</v>
      </c>
      <c r="C1211" s="2">
        <v>37161</v>
      </c>
      <c r="D1211">
        <v>24</v>
      </c>
      <c r="E1211" t="s">
        <v>36</v>
      </c>
      <c r="F1211" t="s">
        <v>50</v>
      </c>
      <c r="G1211" s="2">
        <v>44811</v>
      </c>
      <c r="H1211" s="3">
        <f t="shared" si="18"/>
        <v>3.3232876712328765</v>
      </c>
      <c r="I1211">
        <v>32</v>
      </c>
      <c r="J1211" t="s">
        <v>38</v>
      </c>
      <c r="K1211" t="s">
        <v>54</v>
      </c>
      <c r="L1211" t="s">
        <v>44</v>
      </c>
      <c r="M1211">
        <v>23.23</v>
      </c>
      <c r="N1211">
        <v>22.93</v>
      </c>
      <c r="O1211">
        <v>22.63</v>
      </c>
      <c r="T1211" t="s">
        <v>49</v>
      </c>
      <c r="U1211">
        <v>5</v>
      </c>
      <c r="V1211">
        <v>4</v>
      </c>
    </row>
    <row r="1212" spans="1:22" x14ac:dyDescent="0.3">
      <c r="A1212">
        <v>1211</v>
      </c>
      <c r="B1212">
        <v>42409</v>
      </c>
      <c r="C1212" s="2">
        <v>37473</v>
      </c>
      <c r="D1212">
        <v>23</v>
      </c>
      <c r="E1212" t="s">
        <v>42</v>
      </c>
      <c r="F1212" t="s">
        <v>50</v>
      </c>
      <c r="G1212" s="2">
        <v>44809</v>
      </c>
      <c r="H1212" s="3">
        <f t="shared" si="18"/>
        <v>3.4657534246575343</v>
      </c>
      <c r="I1212">
        <v>89</v>
      </c>
      <c r="J1212" t="s">
        <v>57</v>
      </c>
      <c r="K1212" t="s">
        <v>43</v>
      </c>
      <c r="L1212" t="s">
        <v>44</v>
      </c>
      <c r="M1212">
        <v>16.18</v>
      </c>
      <c r="N1212">
        <v>15.88</v>
      </c>
      <c r="O1212">
        <v>15.58</v>
      </c>
      <c r="T1212" t="s">
        <v>49</v>
      </c>
      <c r="U1212">
        <v>1</v>
      </c>
      <c r="V1212">
        <v>6</v>
      </c>
    </row>
    <row r="1213" spans="1:22" x14ac:dyDescent="0.3">
      <c r="A1213">
        <v>1212</v>
      </c>
      <c r="B1213">
        <v>42425</v>
      </c>
      <c r="C1213" s="2">
        <v>36036</v>
      </c>
      <c r="D1213">
        <v>27</v>
      </c>
      <c r="E1213" t="s">
        <v>36</v>
      </c>
      <c r="F1213" t="s">
        <v>50</v>
      </c>
      <c r="G1213" s="2">
        <v>44757</v>
      </c>
      <c r="H1213" s="3">
        <f t="shared" si="18"/>
        <v>3.5013698630136987</v>
      </c>
      <c r="I1213">
        <v>50</v>
      </c>
      <c r="J1213" t="s">
        <v>38</v>
      </c>
      <c r="K1213" t="s">
        <v>55</v>
      </c>
      <c r="L1213" t="s">
        <v>44</v>
      </c>
      <c r="M1213">
        <v>17.34</v>
      </c>
      <c r="N1213">
        <v>17.04</v>
      </c>
      <c r="O1213">
        <v>16.739999999999998</v>
      </c>
      <c r="T1213" t="s">
        <v>47</v>
      </c>
      <c r="U1213">
        <v>2</v>
      </c>
      <c r="V1213">
        <v>5</v>
      </c>
    </row>
    <row r="1214" spans="1:22" x14ac:dyDescent="0.3">
      <c r="A1214">
        <v>1213</v>
      </c>
      <c r="B1214">
        <v>42438</v>
      </c>
      <c r="C1214" s="2">
        <v>33627</v>
      </c>
      <c r="D1214">
        <v>33</v>
      </c>
      <c r="E1214" t="s">
        <v>36</v>
      </c>
      <c r="F1214" t="s">
        <v>50</v>
      </c>
      <c r="G1214" s="2">
        <v>44744</v>
      </c>
      <c r="H1214" s="3">
        <f t="shared" si="18"/>
        <v>3.7698630136986302</v>
      </c>
      <c r="I1214">
        <v>2</v>
      </c>
      <c r="J1214" t="s">
        <v>38</v>
      </c>
      <c r="K1214" t="s">
        <v>54</v>
      </c>
      <c r="L1214" t="s">
        <v>44</v>
      </c>
      <c r="M1214">
        <v>23.23</v>
      </c>
      <c r="N1214">
        <v>22.93</v>
      </c>
      <c r="O1214">
        <v>22.63</v>
      </c>
      <c r="T1214" t="s">
        <v>47</v>
      </c>
      <c r="U1214">
        <v>4</v>
      </c>
      <c r="V1214">
        <v>6</v>
      </c>
    </row>
    <row r="1215" spans="1:22" x14ac:dyDescent="0.3">
      <c r="A1215">
        <v>1214</v>
      </c>
      <c r="B1215">
        <v>42440</v>
      </c>
      <c r="C1215" s="2">
        <v>36925</v>
      </c>
      <c r="D1215">
        <v>24</v>
      </c>
      <c r="E1215" t="s">
        <v>36</v>
      </c>
      <c r="F1215" t="s">
        <v>50</v>
      </c>
      <c r="G1215" s="2">
        <v>44646</v>
      </c>
      <c r="H1215" s="3">
        <f t="shared" si="18"/>
        <v>3.7616438356164386</v>
      </c>
      <c r="I1215">
        <v>7</v>
      </c>
      <c r="J1215" t="s">
        <v>38</v>
      </c>
      <c r="K1215" t="s">
        <v>48</v>
      </c>
      <c r="L1215" t="s">
        <v>44</v>
      </c>
      <c r="M1215">
        <v>8.26</v>
      </c>
      <c r="N1215">
        <v>8.16</v>
      </c>
      <c r="O1215">
        <v>8.06</v>
      </c>
      <c r="T1215" t="s">
        <v>47</v>
      </c>
      <c r="U1215">
        <v>1</v>
      </c>
      <c r="V1215">
        <v>3</v>
      </c>
    </row>
    <row r="1216" spans="1:22" x14ac:dyDescent="0.3">
      <c r="A1216">
        <v>1215</v>
      </c>
      <c r="B1216">
        <v>42447</v>
      </c>
      <c r="C1216" s="2">
        <v>35060</v>
      </c>
      <c r="D1216">
        <v>30</v>
      </c>
      <c r="E1216" t="s">
        <v>36</v>
      </c>
      <c r="F1216" t="s">
        <v>50</v>
      </c>
      <c r="G1216" s="2">
        <v>44649</v>
      </c>
      <c r="H1216" s="3">
        <f t="shared" si="18"/>
        <v>3.7095890410958905</v>
      </c>
      <c r="I1216">
        <v>22</v>
      </c>
      <c r="J1216" t="s">
        <v>38</v>
      </c>
      <c r="K1216" t="s">
        <v>54</v>
      </c>
      <c r="L1216" t="s">
        <v>44</v>
      </c>
      <c r="M1216">
        <v>22.93</v>
      </c>
      <c r="N1216">
        <v>22.78</v>
      </c>
      <c r="O1216">
        <v>22.63</v>
      </c>
      <c r="T1216" t="s">
        <v>49</v>
      </c>
      <c r="U1216">
        <v>7</v>
      </c>
      <c r="V1216">
        <v>6</v>
      </c>
    </row>
    <row r="1217" spans="1:22" x14ac:dyDescent="0.3">
      <c r="A1217">
        <v>1216</v>
      </c>
      <c r="B1217">
        <v>42452</v>
      </c>
      <c r="C1217" s="2">
        <v>34611</v>
      </c>
      <c r="D1217">
        <v>31</v>
      </c>
      <c r="E1217" t="s">
        <v>42</v>
      </c>
      <c r="F1217" t="s">
        <v>37</v>
      </c>
      <c r="G1217" s="2">
        <v>44668</v>
      </c>
      <c r="H1217" s="3">
        <f t="shared" si="18"/>
        <v>3.5205479452054793</v>
      </c>
      <c r="I1217">
        <v>33</v>
      </c>
      <c r="J1217" t="s">
        <v>38</v>
      </c>
      <c r="K1217" t="s">
        <v>56</v>
      </c>
      <c r="L1217" t="s">
        <v>44</v>
      </c>
      <c r="M1217">
        <v>8.6199999999999992</v>
      </c>
      <c r="N1217">
        <v>8.35</v>
      </c>
      <c r="O1217">
        <v>8.06</v>
      </c>
      <c r="T1217" t="s">
        <v>47</v>
      </c>
      <c r="U1217">
        <v>2</v>
      </c>
      <c r="V1217">
        <v>6</v>
      </c>
    </row>
    <row r="1218" spans="1:22" x14ac:dyDescent="0.3">
      <c r="A1218">
        <v>1217</v>
      </c>
      <c r="B1218">
        <v>42460</v>
      </c>
      <c r="C1218" s="2">
        <v>34837</v>
      </c>
      <c r="D1218">
        <v>30</v>
      </c>
      <c r="E1218" t="s">
        <v>36</v>
      </c>
      <c r="F1218" t="s">
        <v>50</v>
      </c>
      <c r="G1218" s="2">
        <v>44737</v>
      </c>
      <c r="H1218" s="3">
        <f t="shared" si="18"/>
        <v>3.3643835616438356</v>
      </c>
      <c r="I1218">
        <v>43</v>
      </c>
      <c r="J1218" t="s">
        <v>38</v>
      </c>
      <c r="K1218" t="s">
        <v>54</v>
      </c>
      <c r="L1218" t="s">
        <v>44</v>
      </c>
      <c r="M1218">
        <v>22.78</v>
      </c>
      <c r="N1218">
        <v>22.63</v>
      </c>
      <c r="O1218">
        <v>22.63</v>
      </c>
      <c r="T1218" t="s">
        <v>47</v>
      </c>
      <c r="U1218">
        <v>3</v>
      </c>
      <c r="V1218">
        <v>6</v>
      </c>
    </row>
    <row r="1219" spans="1:22" x14ac:dyDescent="0.3">
      <c r="A1219">
        <v>1218</v>
      </c>
      <c r="B1219">
        <v>42483</v>
      </c>
      <c r="C1219" s="2">
        <v>38024</v>
      </c>
      <c r="D1219">
        <v>21</v>
      </c>
      <c r="E1219" t="s">
        <v>36</v>
      </c>
      <c r="F1219" t="s">
        <v>37</v>
      </c>
      <c r="G1219" s="2">
        <v>44794</v>
      </c>
      <c r="H1219" s="3">
        <f t="shared" ref="H1219:H1282" si="19">DATEDIF(G1220,DATE(2025,12,31),"d")/365</f>
        <v>2.9287671232876713</v>
      </c>
      <c r="I1219">
        <v>123</v>
      </c>
      <c r="J1219" t="s">
        <v>57</v>
      </c>
      <c r="K1219" t="s">
        <v>65</v>
      </c>
      <c r="L1219" t="s">
        <v>44</v>
      </c>
      <c r="M1219">
        <v>10.53</v>
      </c>
      <c r="N1219">
        <v>10.33</v>
      </c>
      <c r="O1219">
        <v>10.130000000000001</v>
      </c>
      <c r="T1219" t="s">
        <v>47</v>
      </c>
      <c r="U1219">
        <v>1</v>
      </c>
      <c r="V1219">
        <v>4</v>
      </c>
    </row>
    <row r="1220" spans="1:22" x14ac:dyDescent="0.3">
      <c r="A1220">
        <v>1219</v>
      </c>
      <c r="B1220">
        <v>42490</v>
      </c>
      <c r="C1220" s="2">
        <v>35313</v>
      </c>
      <c r="D1220">
        <v>29</v>
      </c>
      <c r="E1220" t="s">
        <v>36</v>
      </c>
      <c r="F1220" t="s">
        <v>50</v>
      </c>
      <c r="G1220" s="2">
        <v>44953</v>
      </c>
      <c r="H1220" s="3">
        <f t="shared" si="19"/>
        <v>3.8191780821917809</v>
      </c>
      <c r="I1220">
        <v>19</v>
      </c>
      <c r="J1220" t="s">
        <v>38</v>
      </c>
      <c r="K1220" t="s">
        <v>54</v>
      </c>
      <c r="L1220" t="s">
        <v>44</v>
      </c>
      <c r="M1220">
        <v>23.37</v>
      </c>
      <c r="N1220">
        <v>23.02</v>
      </c>
      <c r="T1220" t="s">
        <v>47</v>
      </c>
      <c r="U1220">
        <v>7</v>
      </c>
      <c r="V1220">
        <v>7</v>
      </c>
    </row>
    <row r="1221" spans="1:22" x14ac:dyDescent="0.3">
      <c r="A1221">
        <v>1220</v>
      </c>
      <c r="B1221">
        <v>42491</v>
      </c>
      <c r="C1221" s="2">
        <v>36532</v>
      </c>
      <c r="D1221">
        <v>25</v>
      </c>
      <c r="E1221" t="s">
        <v>36</v>
      </c>
      <c r="F1221" t="s">
        <v>37</v>
      </c>
      <c r="G1221" s="2">
        <v>44628</v>
      </c>
      <c r="H1221" s="3">
        <f t="shared" si="19"/>
        <v>2.9863013698630136</v>
      </c>
      <c r="I1221">
        <v>30</v>
      </c>
      <c r="J1221" t="s">
        <v>38</v>
      </c>
      <c r="K1221" t="s">
        <v>54</v>
      </c>
      <c r="L1221" t="s">
        <v>44</v>
      </c>
      <c r="M1221">
        <v>23.23</v>
      </c>
      <c r="N1221">
        <v>22.93</v>
      </c>
      <c r="O1221">
        <v>22.63</v>
      </c>
      <c r="T1221" t="s">
        <v>45</v>
      </c>
      <c r="U1221">
        <v>7</v>
      </c>
      <c r="V1221">
        <v>4</v>
      </c>
    </row>
    <row r="1222" spans="1:22" x14ac:dyDescent="0.3">
      <c r="A1222">
        <v>1221</v>
      </c>
      <c r="B1222">
        <v>42492</v>
      </c>
      <c r="C1222" s="2">
        <v>34239</v>
      </c>
      <c r="D1222">
        <v>32</v>
      </c>
      <c r="E1222" t="s">
        <v>36</v>
      </c>
      <c r="F1222" t="s">
        <v>37</v>
      </c>
      <c r="G1222" s="2">
        <v>44932</v>
      </c>
      <c r="H1222" s="3">
        <f t="shared" si="19"/>
        <v>3.0164383561643837</v>
      </c>
      <c r="I1222">
        <v>41</v>
      </c>
      <c r="J1222" t="s">
        <v>38</v>
      </c>
      <c r="K1222" t="s">
        <v>55</v>
      </c>
      <c r="L1222" t="s">
        <v>44</v>
      </c>
      <c r="M1222">
        <v>17.34</v>
      </c>
      <c r="N1222">
        <v>17.04</v>
      </c>
      <c r="T1222" t="s">
        <v>49</v>
      </c>
      <c r="U1222">
        <v>2</v>
      </c>
      <c r="V1222">
        <v>4</v>
      </c>
    </row>
    <row r="1223" spans="1:22" x14ac:dyDescent="0.3">
      <c r="A1223">
        <v>1222</v>
      </c>
      <c r="B1223">
        <v>42504</v>
      </c>
      <c r="C1223" s="2">
        <v>34806</v>
      </c>
      <c r="D1223">
        <v>30</v>
      </c>
      <c r="E1223" t="s">
        <v>36</v>
      </c>
      <c r="F1223" t="s">
        <v>37</v>
      </c>
      <c r="G1223" s="2">
        <v>44921</v>
      </c>
      <c r="H1223" s="3">
        <f t="shared" si="19"/>
        <v>3.8438356164383563</v>
      </c>
      <c r="I1223">
        <v>130</v>
      </c>
      <c r="J1223" t="s">
        <v>57</v>
      </c>
      <c r="K1223" t="s">
        <v>43</v>
      </c>
      <c r="L1223" t="s">
        <v>44</v>
      </c>
      <c r="M1223">
        <v>16.39</v>
      </c>
      <c r="N1223">
        <v>15.98</v>
      </c>
      <c r="O1223">
        <v>15.58</v>
      </c>
      <c r="T1223" t="s">
        <v>49</v>
      </c>
      <c r="U1223">
        <v>1</v>
      </c>
      <c r="V1223">
        <v>3</v>
      </c>
    </row>
    <row r="1224" spans="1:22" x14ac:dyDescent="0.3">
      <c r="A1224">
        <v>1223</v>
      </c>
      <c r="B1224">
        <v>42511</v>
      </c>
      <c r="C1224" s="2">
        <v>36498</v>
      </c>
      <c r="D1224">
        <v>26</v>
      </c>
      <c r="E1224" t="s">
        <v>36</v>
      </c>
      <c r="F1224" t="s">
        <v>37</v>
      </c>
      <c r="G1224" s="2">
        <v>44619</v>
      </c>
      <c r="H1224" s="3">
        <f t="shared" si="19"/>
        <v>3.5315068493150683</v>
      </c>
      <c r="I1224">
        <v>84</v>
      </c>
      <c r="J1224" t="s">
        <v>57</v>
      </c>
      <c r="K1224" t="s">
        <v>46</v>
      </c>
      <c r="L1224" t="s">
        <v>44</v>
      </c>
      <c r="M1224">
        <v>14.15</v>
      </c>
      <c r="N1224">
        <v>13.85</v>
      </c>
      <c r="O1224">
        <v>13.55</v>
      </c>
      <c r="T1224" t="s">
        <v>52</v>
      </c>
      <c r="U1224">
        <v>0</v>
      </c>
      <c r="V1224">
        <v>3</v>
      </c>
    </row>
    <row r="1225" spans="1:22" x14ac:dyDescent="0.3">
      <c r="A1225">
        <v>1224</v>
      </c>
      <c r="B1225">
        <v>42514</v>
      </c>
      <c r="C1225" s="2">
        <v>36879</v>
      </c>
      <c r="D1225">
        <v>25</v>
      </c>
      <c r="E1225" t="s">
        <v>42</v>
      </c>
      <c r="F1225" t="s">
        <v>50</v>
      </c>
      <c r="G1225" s="2">
        <v>44733</v>
      </c>
      <c r="H1225" s="3">
        <f t="shared" si="19"/>
        <v>2.8684931506849316</v>
      </c>
      <c r="I1225">
        <v>79</v>
      </c>
      <c r="J1225" t="s">
        <v>57</v>
      </c>
      <c r="K1225" t="s">
        <v>46</v>
      </c>
      <c r="L1225" t="s">
        <v>44</v>
      </c>
      <c r="M1225">
        <v>14.15</v>
      </c>
      <c r="N1225">
        <v>13.85</v>
      </c>
      <c r="O1225">
        <v>13.55</v>
      </c>
      <c r="T1225" t="s">
        <v>52</v>
      </c>
      <c r="U1225">
        <v>0</v>
      </c>
      <c r="V1225">
        <v>5</v>
      </c>
    </row>
    <row r="1226" spans="1:22" x14ac:dyDescent="0.3">
      <c r="A1226">
        <v>1225</v>
      </c>
      <c r="B1226">
        <v>42543</v>
      </c>
      <c r="C1226" s="2">
        <v>35836</v>
      </c>
      <c r="D1226">
        <v>27</v>
      </c>
      <c r="E1226" t="s">
        <v>36</v>
      </c>
      <c r="F1226" t="s">
        <v>50</v>
      </c>
      <c r="G1226" s="2">
        <v>44975</v>
      </c>
      <c r="H1226" s="3">
        <f t="shared" si="19"/>
        <v>2.8547945205479452</v>
      </c>
      <c r="I1226">
        <v>140</v>
      </c>
      <c r="J1226" t="s">
        <v>57</v>
      </c>
      <c r="K1226" t="s">
        <v>55</v>
      </c>
      <c r="L1226" t="s">
        <v>44</v>
      </c>
      <c r="M1226">
        <v>17.45</v>
      </c>
      <c r="N1226">
        <v>17.190000000000001</v>
      </c>
      <c r="T1226" t="s">
        <v>49</v>
      </c>
      <c r="U1226">
        <v>1</v>
      </c>
      <c r="V1226">
        <v>5</v>
      </c>
    </row>
    <row r="1227" spans="1:22" x14ac:dyDescent="0.3">
      <c r="A1227">
        <v>1226</v>
      </c>
      <c r="B1227">
        <v>42549</v>
      </c>
      <c r="C1227" s="2">
        <v>36305</v>
      </c>
      <c r="D1227">
        <v>26</v>
      </c>
      <c r="E1227" t="s">
        <v>42</v>
      </c>
      <c r="F1227" t="s">
        <v>50</v>
      </c>
      <c r="G1227" s="2">
        <v>44980</v>
      </c>
      <c r="H1227" s="3">
        <f t="shared" si="19"/>
        <v>3.2465753424657535</v>
      </c>
      <c r="I1227">
        <v>12</v>
      </c>
      <c r="J1227" t="s">
        <v>38</v>
      </c>
      <c r="K1227" t="s">
        <v>55</v>
      </c>
      <c r="L1227" t="s">
        <v>44</v>
      </c>
      <c r="M1227">
        <v>17.34</v>
      </c>
      <c r="N1227">
        <v>17.04</v>
      </c>
      <c r="T1227" t="s">
        <v>47</v>
      </c>
      <c r="U1227">
        <v>2</v>
      </c>
      <c r="V1227">
        <v>5</v>
      </c>
    </row>
    <row r="1228" spans="1:22" x14ac:dyDescent="0.3">
      <c r="A1228">
        <v>1227</v>
      </c>
      <c r="B1228">
        <v>42556</v>
      </c>
      <c r="C1228" s="2">
        <v>36267</v>
      </c>
      <c r="D1228">
        <v>26</v>
      </c>
      <c r="E1228" t="s">
        <v>36</v>
      </c>
      <c r="F1228" t="s">
        <v>50</v>
      </c>
      <c r="G1228" s="2">
        <v>44837</v>
      </c>
      <c r="H1228" s="3">
        <f t="shared" si="19"/>
        <v>3.2547945205479452</v>
      </c>
      <c r="I1228">
        <v>129</v>
      </c>
      <c r="J1228" t="s">
        <v>57</v>
      </c>
      <c r="K1228" t="s">
        <v>55</v>
      </c>
      <c r="L1228" t="s">
        <v>44</v>
      </c>
      <c r="M1228">
        <v>17.34</v>
      </c>
      <c r="N1228">
        <v>17.04</v>
      </c>
      <c r="O1228">
        <v>16.739999999999998</v>
      </c>
      <c r="T1228" t="s">
        <v>47</v>
      </c>
      <c r="U1228">
        <v>2</v>
      </c>
      <c r="V1228">
        <v>4</v>
      </c>
    </row>
    <row r="1229" spans="1:22" x14ac:dyDescent="0.3">
      <c r="A1229">
        <v>1228</v>
      </c>
      <c r="B1229">
        <v>42574</v>
      </c>
      <c r="C1229" s="2">
        <v>38285</v>
      </c>
      <c r="D1229">
        <v>21</v>
      </c>
      <c r="E1229" t="s">
        <v>42</v>
      </c>
      <c r="F1229" t="s">
        <v>37</v>
      </c>
      <c r="G1229" s="2">
        <v>44834</v>
      </c>
      <c r="H1229" s="3">
        <f t="shared" si="19"/>
        <v>2.9616438356164383</v>
      </c>
      <c r="I1229">
        <v>3</v>
      </c>
      <c r="J1229" t="s">
        <v>38</v>
      </c>
      <c r="K1229" t="s">
        <v>64</v>
      </c>
      <c r="L1229" t="s">
        <v>44</v>
      </c>
      <c r="M1229">
        <v>14</v>
      </c>
      <c r="N1229">
        <v>13.7</v>
      </c>
      <c r="O1229">
        <v>13.4</v>
      </c>
      <c r="T1229" t="s">
        <v>45</v>
      </c>
      <c r="U1229">
        <v>0</v>
      </c>
      <c r="V1229">
        <v>5</v>
      </c>
    </row>
    <row r="1230" spans="1:22" x14ac:dyDescent="0.3">
      <c r="A1230">
        <v>1229</v>
      </c>
      <c r="B1230">
        <v>42588</v>
      </c>
      <c r="C1230" s="2">
        <v>33954</v>
      </c>
      <c r="D1230">
        <v>33</v>
      </c>
      <c r="E1230" t="s">
        <v>36</v>
      </c>
      <c r="F1230" t="s">
        <v>50</v>
      </c>
      <c r="G1230" s="2">
        <v>44941</v>
      </c>
      <c r="H1230" s="3">
        <f t="shared" si="19"/>
        <v>3.2136986301369861</v>
      </c>
      <c r="I1230">
        <v>51</v>
      </c>
      <c r="J1230" t="s">
        <v>38</v>
      </c>
      <c r="K1230" t="s">
        <v>43</v>
      </c>
      <c r="L1230" t="s">
        <v>44</v>
      </c>
      <c r="M1230">
        <v>16.18</v>
      </c>
      <c r="N1230">
        <v>15.88</v>
      </c>
      <c r="T1230" t="s">
        <v>52</v>
      </c>
      <c r="U1230">
        <v>1</v>
      </c>
      <c r="V1230">
        <v>4</v>
      </c>
    </row>
    <row r="1231" spans="1:22" x14ac:dyDescent="0.3">
      <c r="A1231">
        <v>1230</v>
      </c>
      <c r="B1231">
        <v>42590</v>
      </c>
      <c r="C1231" s="2">
        <v>37405</v>
      </c>
      <c r="D1231">
        <v>23</v>
      </c>
      <c r="E1231" t="s">
        <v>42</v>
      </c>
      <c r="F1231" t="s">
        <v>37</v>
      </c>
      <c r="G1231" s="2">
        <v>44849</v>
      </c>
      <c r="H1231" s="3">
        <f t="shared" si="19"/>
        <v>3.4547945205479453</v>
      </c>
      <c r="I1231">
        <v>70</v>
      </c>
      <c r="J1231" t="s">
        <v>57</v>
      </c>
      <c r="K1231" t="s">
        <v>56</v>
      </c>
      <c r="L1231" t="s">
        <v>44</v>
      </c>
      <c r="M1231">
        <v>8.43</v>
      </c>
      <c r="N1231">
        <v>8.18</v>
      </c>
      <c r="O1231">
        <v>8.06</v>
      </c>
      <c r="T1231" t="s">
        <v>47</v>
      </c>
      <c r="U1231">
        <v>2</v>
      </c>
      <c r="V1231">
        <v>6</v>
      </c>
    </row>
    <row r="1232" spans="1:22" x14ac:dyDescent="0.3">
      <c r="A1232">
        <v>1231</v>
      </c>
      <c r="B1232">
        <v>42601</v>
      </c>
      <c r="C1232" s="2">
        <v>36071</v>
      </c>
      <c r="D1232">
        <v>27</v>
      </c>
      <c r="E1232" t="s">
        <v>36</v>
      </c>
      <c r="F1232" t="s">
        <v>50</v>
      </c>
      <c r="G1232" s="2">
        <v>44761</v>
      </c>
      <c r="H1232" s="3">
        <f t="shared" si="19"/>
        <v>3.3150684931506849</v>
      </c>
      <c r="I1232">
        <v>40</v>
      </c>
      <c r="J1232" t="s">
        <v>38</v>
      </c>
      <c r="K1232" t="s">
        <v>54</v>
      </c>
      <c r="L1232" t="s">
        <v>44</v>
      </c>
      <c r="M1232">
        <v>23.41</v>
      </c>
      <c r="N1232">
        <v>22.99</v>
      </c>
      <c r="O1232">
        <v>22.63</v>
      </c>
      <c r="T1232" t="s">
        <v>49</v>
      </c>
      <c r="U1232">
        <v>7</v>
      </c>
      <c r="V1232">
        <v>6</v>
      </c>
    </row>
    <row r="1233" spans="1:22" x14ac:dyDescent="0.3">
      <c r="A1233">
        <v>1232</v>
      </c>
      <c r="B1233">
        <v>42619</v>
      </c>
      <c r="C1233" s="2">
        <v>35512</v>
      </c>
      <c r="D1233">
        <v>28</v>
      </c>
      <c r="E1233" t="s">
        <v>36</v>
      </c>
      <c r="F1233" t="s">
        <v>50</v>
      </c>
      <c r="G1233" s="2">
        <v>44812</v>
      </c>
      <c r="H1233" s="3">
        <f t="shared" si="19"/>
        <v>3.7643835616438355</v>
      </c>
      <c r="I1233">
        <v>122</v>
      </c>
      <c r="J1233" t="s">
        <v>57</v>
      </c>
      <c r="K1233" t="s">
        <v>55</v>
      </c>
      <c r="L1233" t="s">
        <v>44</v>
      </c>
      <c r="M1233">
        <v>17.36</v>
      </c>
      <c r="N1233">
        <v>17.16</v>
      </c>
      <c r="O1233">
        <v>16.739999999999998</v>
      </c>
      <c r="T1233" t="s">
        <v>49</v>
      </c>
      <c r="U1233">
        <v>2</v>
      </c>
      <c r="V1233">
        <v>5</v>
      </c>
    </row>
    <row r="1234" spans="1:22" x14ac:dyDescent="0.3">
      <c r="A1234">
        <v>1233</v>
      </c>
      <c r="B1234">
        <v>42621</v>
      </c>
      <c r="C1234" s="2">
        <v>38167</v>
      </c>
      <c r="D1234">
        <v>21</v>
      </c>
      <c r="E1234" t="s">
        <v>36</v>
      </c>
      <c r="F1234" t="s">
        <v>50</v>
      </c>
      <c r="G1234" s="2">
        <v>44648</v>
      </c>
      <c r="H1234" s="3">
        <f t="shared" si="19"/>
        <v>3.5287671232876714</v>
      </c>
      <c r="I1234">
        <v>129</v>
      </c>
      <c r="J1234" t="s">
        <v>57</v>
      </c>
      <c r="K1234" t="s">
        <v>46</v>
      </c>
      <c r="L1234" t="s">
        <v>44</v>
      </c>
      <c r="M1234">
        <v>14.15</v>
      </c>
      <c r="N1234">
        <v>13.85</v>
      </c>
      <c r="O1234">
        <v>13.55</v>
      </c>
      <c r="T1234" t="s">
        <v>49</v>
      </c>
      <c r="U1234">
        <v>1</v>
      </c>
      <c r="V1234">
        <v>4</v>
      </c>
    </row>
    <row r="1235" spans="1:22" x14ac:dyDescent="0.3">
      <c r="A1235">
        <v>1234</v>
      </c>
      <c r="B1235">
        <v>42632</v>
      </c>
      <c r="C1235" s="2">
        <v>36176</v>
      </c>
      <c r="D1235">
        <v>26</v>
      </c>
      <c r="E1235" t="s">
        <v>42</v>
      </c>
      <c r="F1235" t="s">
        <v>37</v>
      </c>
      <c r="G1235" s="2">
        <v>44734</v>
      </c>
      <c r="H1235" s="3">
        <f t="shared" si="19"/>
        <v>3.7972602739726029</v>
      </c>
      <c r="I1235">
        <v>8</v>
      </c>
      <c r="J1235" t="s">
        <v>38</v>
      </c>
      <c r="K1235" t="s">
        <v>68</v>
      </c>
      <c r="L1235" t="s">
        <v>44</v>
      </c>
      <c r="M1235">
        <v>16.510000000000002</v>
      </c>
      <c r="N1235">
        <v>16.309999999999999</v>
      </c>
      <c r="O1235">
        <v>16.18</v>
      </c>
      <c r="T1235" t="s">
        <v>49</v>
      </c>
      <c r="U1235">
        <v>3</v>
      </c>
      <c r="V1235">
        <v>5</v>
      </c>
    </row>
    <row r="1236" spans="1:22" x14ac:dyDescent="0.3">
      <c r="A1236">
        <v>1235</v>
      </c>
      <c r="B1236">
        <v>42643</v>
      </c>
      <c r="C1236" s="2">
        <v>34681</v>
      </c>
      <c r="D1236">
        <v>31</v>
      </c>
      <c r="E1236" t="s">
        <v>42</v>
      </c>
      <c r="F1236" t="s">
        <v>37</v>
      </c>
      <c r="G1236" s="2">
        <v>44636</v>
      </c>
      <c r="H1236" s="3">
        <f t="shared" si="19"/>
        <v>3</v>
      </c>
      <c r="I1236">
        <v>22</v>
      </c>
      <c r="J1236" t="s">
        <v>38</v>
      </c>
      <c r="K1236" t="s">
        <v>43</v>
      </c>
      <c r="L1236" t="s">
        <v>44</v>
      </c>
      <c r="M1236">
        <v>15.88</v>
      </c>
      <c r="N1236">
        <v>15.73</v>
      </c>
      <c r="O1236">
        <v>15.58</v>
      </c>
      <c r="T1236" t="s">
        <v>45</v>
      </c>
      <c r="U1236">
        <v>2</v>
      </c>
      <c r="V1236">
        <v>6</v>
      </c>
    </row>
    <row r="1237" spans="1:22" x14ac:dyDescent="0.3">
      <c r="A1237">
        <v>1236</v>
      </c>
      <c r="B1237">
        <v>42658</v>
      </c>
      <c r="C1237" s="2">
        <v>38117</v>
      </c>
      <c r="D1237">
        <v>21</v>
      </c>
      <c r="E1237" t="s">
        <v>36</v>
      </c>
      <c r="F1237" t="s">
        <v>37</v>
      </c>
      <c r="G1237" s="2">
        <v>44927</v>
      </c>
      <c r="H1237" s="3">
        <f t="shared" si="19"/>
        <v>2.9397260273972603</v>
      </c>
      <c r="I1237">
        <v>30</v>
      </c>
      <c r="J1237" t="s">
        <v>38</v>
      </c>
      <c r="K1237" t="s">
        <v>65</v>
      </c>
      <c r="L1237" t="s">
        <v>44</v>
      </c>
      <c r="M1237">
        <v>10.53</v>
      </c>
      <c r="N1237">
        <v>10.33</v>
      </c>
      <c r="T1237" t="s">
        <v>52</v>
      </c>
      <c r="U1237">
        <v>1</v>
      </c>
      <c r="V1237">
        <v>3</v>
      </c>
    </row>
    <row r="1238" spans="1:22" x14ac:dyDescent="0.3">
      <c r="A1238">
        <v>1237</v>
      </c>
      <c r="B1238">
        <v>42687</v>
      </c>
      <c r="C1238" s="2">
        <v>37250</v>
      </c>
      <c r="D1238">
        <v>24</v>
      </c>
      <c r="E1238" t="s">
        <v>42</v>
      </c>
      <c r="F1238" t="s">
        <v>50</v>
      </c>
      <c r="G1238" s="2">
        <v>44949</v>
      </c>
      <c r="H1238" s="3">
        <f t="shared" si="19"/>
        <v>3.4493150684931506</v>
      </c>
      <c r="I1238">
        <v>49</v>
      </c>
      <c r="J1238" t="s">
        <v>38</v>
      </c>
      <c r="K1238" t="s">
        <v>56</v>
      </c>
      <c r="L1238" t="s">
        <v>44</v>
      </c>
      <c r="M1238">
        <v>8.5500000000000007</v>
      </c>
      <c r="N1238">
        <v>8.32</v>
      </c>
      <c r="T1238" t="s">
        <v>45</v>
      </c>
      <c r="U1238">
        <v>2</v>
      </c>
      <c r="V1238">
        <v>6</v>
      </c>
    </row>
    <row r="1239" spans="1:22" x14ac:dyDescent="0.3">
      <c r="A1239">
        <v>1238</v>
      </c>
      <c r="B1239">
        <v>42689</v>
      </c>
      <c r="C1239" s="2">
        <v>36302</v>
      </c>
      <c r="D1239">
        <v>26</v>
      </c>
      <c r="E1239" t="s">
        <v>42</v>
      </c>
      <c r="F1239" t="s">
        <v>50</v>
      </c>
      <c r="G1239" s="2">
        <v>44763</v>
      </c>
      <c r="H1239" s="3">
        <f t="shared" si="19"/>
        <v>3.1534246575342464</v>
      </c>
      <c r="I1239">
        <v>51</v>
      </c>
      <c r="J1239" t="s">
        <v>38</v>
      </c>
      <c r="K1239" t="s">
        <v>68</v>
      </c>
      <c r="L1239" t="s">
        <v>44</v>
      </c>
      <c r="M1239">
        <v>16.579999999999998</v>
      </c>
      <c r="N1239">
        <v>16.38</v>
      </c>
      <c r="O1239">
        <v>16.18</v>
      </c>
      <c r="T1239" t="s">
        <v>47</v>
      </c>
      <c r="U1239">
        <v>1</v>
      </c>
      <c r="V1239">
        <v>6</v>
      </c>
    </row>
    <row r="1240" spans="1:22" x14ac:dyDescent="0.3">
      <c r="A1240">
        <v>1239</v>
      </c>
      <c r="B1240">
        <v>42716</v>
      </c>
      <c r="C1240" s="2">
        <v>36751</v>
      </c>
      <c r="D1240">
        <v>25</v>
      </c>
      <c r="E1240" t="s">
        <v>42</v>
      </c>
      <c r="F1240" t="s">
        <v>50</v>
      </c>
      <c r="G1240" s="2">
        <v>44871</v>
      </c>
      <c r="H1240" s="3">
        <f t="shared" si="19"/>
        <v>2.9945205479452053</v>
      </c>
      <c r="I1240">
        <v>76</v>
      </c>
      <c r="J1240" t="s">
        <v>57</v>
      </c>
      <c r="K1240" t="s">
        <v>43</v>
      </c>
      <c r="L1240" t="s">
        <v>44</v>
      </c>
      <c r="M1240">
        <v>16.18</v>
      </c>
      <c r="N1240">
        <v>15.88</v>
      </c>
      <c r="O1240">
        <v>15.58</v>
      </c>
      <c r="T1240" t="s">
        <v>52</v>
      </c>
      <c r="U1240">
        <v>0</v>
      </c>
      <c r="V1240">
        <v>6</v>
      </c>
    </row>
    <row r="1241" spans="1:22" x14ac:dyDescent="0.3">
      <c r="A1241">
        <v>1240</v>
      </c>
      <c r="B1241">
        <v>42725</v>
      </c>
      <c r="C1241" s="2">
        <v>36999</v>
      </c>
      <c r="D1241">
        <v>24</v>
      </c>
      <c r="E1241" t="s">
        <v>42</v>
      </c>
      <c r="F1241" t="s">
        <v>50</v>
      </c>
      <c r="G1241" s="2">
        <v>44929</v>
      </c>
      <c r="H1241" s="3">
        <f t="shared" si="19"/>
        <v>2.9643835616438357</v>
      </c>
      <c r="I1241">
        <v>87</v>
      </c>
      <c r="J1241" t="s">
        <v>57</v>
      </c>
      <c r="K1241" t="s">
        <v>43</v>
      </c>
      <c r="L1241" t="s">
        <v>44</v>
      </c>
      <c r="M1241">
        <v>15.88</v>
      </c>
      <c r="N1241">
        <v>15.73</v>
      </c>
      <c r="T1241" t="s">
        <v>45</v>
      </c>
      <c r="U1241">
        <v>1</v>
      </c>
      <c r="V1241">
        <v>5</v>
      </c>
    </row>
    <row r="1242" spans="1:22" x14ac:dyDescent="0.3">
      <c r="A1242">
        <v>1241</v>
      </c>
      <c r="B1242">
        <v>42730</v>
      </c>
      <c r="C1242" s="2">
        <v>33277</v>
      </c>
      <c r="D1242">
        <v>34</v>
      </c>
      <c r="E1242" t="s">
        <v>36</v>
      </c>
      <c r="F1242" t="s">
        <v>50</v>
      </c>
      <c r="G1242" s="2">
        <v>44940</v>
      </c>
      <c r="H1242" s="3">
        <f t="shared" si="19"/>
        <v>3.6739726027397261</v>
      </c>
      <c r="I1242">
        <v>96</v>
      </c>
      <c r="J1242" t="s">
        <v>57</v>
      </c>
      <c r="K1242" t="s">
        <v>54</v>
      </c>
      <c r="L1242" t="s">
        <v>44</v>
      </c>
      <c r="M1242">
        <v>23.29</v>
      </c>
      <c r="N1242">
        <v>23.03</v>
      </c>
      <c r="T1242" t="s">
        <v>52</v>
      </c>
      <c r="U1242">
        <v>7</v>
      </c>
      <c r="V1242">
        <v>4</v>
      </c>
    </row>
    <row r="1243" spans="1:22" x14ac:dyDescent="0.3">
      <c r="A1243">
        <v>1242</v>
      </c>
      <c r="B1243">
        <v>42743</v>
      </c>
      <c r="C1243" s="2">
        <v>37231</v>
      </c>
      <c r="D1243">
        <v>24</v>
      </c>
      <c r="E1243" t="s">
        <v>42</v>
      </c>
      <c r="F1243" t="s">
        <v>50</v>
      </c>
      <c r="G1243" s="2">
        <v>44681</v>
      </c>
      <c r="H1243" s="3">
        <f t="shared" si="19"/>
        <v>3.2082191780821918</v>
      </c>
      <c r="I1243">
        <v>109</v>
      </c>
      <c r="J1243" t="s">
        <v>57</v>
      </c>
      <c r="K1243" t="s">
        <v>55</v>
      </c>
      <c r="L1243" t="s">
        <v>44</v>
      </c>
      <c r="M1243">
        <v>17.34</v>
      </c>
      <c r="N1243">
        <v>17.04</v>
      </c>
      <c r="O1243">
        <v>16.739999999999998</v>
      </c>
      <c r="T1243" t="s">
        <v>47</v>
      </c>
      <c r="U1243">
        <v>4</v>
      </c>
      <c r="V1243">
        <v>6</v>
      </c>
    </row>
    <row r="1244" spans="1:22" x14ac:dyDescent="0.3">
      <c r="A1244">
        <v>1243</v>
      </c>
      <c r="B1244">
        <v>42781</v>
      </c>
      <c r="C1244" s="2">
        <v>35956</v>
      </c>
      <c r="D1244">
        <v>27</v>
      </c>
      <c r="E1244" t="s">
        <v>36</v>
      </c>
      <c r="F1244" t="s">
        <v>50</v>
      </c>
      <c r="G1244" s="2">
        <v>44851</v>
      </c>
      <c r="H1244" s="3">
        <f t="shared" si="19"/>
        <v>3.3150684931506849</v>
      </c>
      <c r="I1244">
        <v>106</v>
      </c>
      <c r="J1244" t="s">
        <v>57</v>
      </c>
      <c r="K1244" t="s">
        <v>43</v>
      </c>
      <c r="L1244" t="s">
        <v>44</v>
      </c>
      <c r="M1244">
        <v>16.18</v>
      </c>
      <c r="N1244">
        <v>15.88</v>
      </c>
      <c r="O1244">
        <v>15.58</v>
      </c>
      <c r="T1244" t="s">
        <v>45</v>
      </c>
      <c r="U1244">
        <v>2</v>
      </c>
      <c r="V1244">
        <v>5</v>
      </c>
    </row>
    <row r="1245" spans="1:22" x14ac:dyDescent="0.3">
      <c r="A1245">
        <v>1244</v>
      </c>
      <c r="B1245">
        <v>42787</v>
      </c>
      <c r="C1245" s="2">
        <v>38236</v>
      </c>
      <c r="D1245">
        <v>21</v>
      </c>
      <c r="E1245" t="s">
        <v>42</v>
      </c>
      <c r="F1245" t="s">
        <v>50</v>
      </c>
      <c r="G1245" s="2">
        <v>44812</v>
      </c>
      <c r="H1245" s="3">
        <f t="shared" si="19"/>
        <v>3.0931506849315067</v>
      </c>
      <c r="I1245">
        <v>144</v>
      </c>
      <c r="J1245" t="s">
        <v>57</v>
      </c>
      <c r="K1245" t="s">
        <v>48</v>
      </c>
      <c r="L1245" t="s">
        <v>44</v>
      </c>
      <c r="M1245">
        <v>17.71</v>
      </c>
      <c r="N1245">
        <v>17.3</v>
      </c>
      <c r="O1245">
        <v>17.04</v>
      </c>
      <c r="T1245" t="s">
        <v>45</v>
      </c>
      <c r="U1245">
        <v>4</v>
      </c>
      <c r="V1245">
        <v>6</v>
      </c>
    </row>
    <row r="1246" spans="1:22" x14ac:dyDescent="0.3">
      <c r="A1246">
        <v>1245</v>
      </c>
      <c r="B1246">
        <v>42791</v>
      </c>
      <c r="C1246" s="2">
        <v>35868</v>
      </c>
      <c r="D1246">
        <v>27</v>
      </c>
      <c r="E1246" t="s">
        <v>42</v>
      </c>
      <c r="F1246" t="s">
        <v>50</v>
      </c>
      <c r="G1246" s="2">
        <v>44893</v>
      </c>
      <c r="H1246" s="3">
        <f t="shared" si="19"/>
        <v>2.9753424657534246</v>
      </c>
      <c r="I1246">
        <v>15</v>
      </c>
      <c r="J1246" t="s">
        <v>38</v>
      </c>
      <c r="K1246" t="s">
        <v>43</v>
      </c>
      <c r="L1246" t="s">
        <v>44</v>
      </c>
      <c r="M1246">
        <v>16.18</v>
      </c>
      <c r="N1246">
        <v>15.88</v>
      </c>
      <c r="O1246">
        <v>15.58</v>
      </c>
      <c r="T1246" t="s">
        <v>47</v>
      </c>
      <c r="U1246">
        <v>0</v>
      </c>
      <c r="V1246">
        <v>5</v>
      </c>
    </row>
    <row r="1247" spans="1:22" x14ac:dyDescent="0.3">
      <c r="A1247">
        <v>1246</v>
      </c>
      <c r="B1247">
        <v>42811</v>
      </c>
      <c r="C1247" s="2">
        <v>36599</v>
      </c>
      <c r="D1247">
        <v>25</v>
      </c>
      <c r="E1247" t="s">
        <v>36</v>
      </c>
      <c r="F1247" t="s">
        <v>50</v>
      </c>
      <c r="G1247" s="2">
        <v>44936</v>
      </c>
      <c r="H1247" s="3">
        <f t="shared" si="19"/>
        <v>3.7041095890410958</v>
      </c>
      <c r="I1247">
        <v>51</v>
      </c>
      <c r="J1247" t="s">
        <v>38</v>
      </c>
      <c r="K1247" t="s">
        <v>46</v>
      </c>
      <c r="L1247" t="s">
        <v>44</v>
      </c>
      <c r="M1247">
        <v>14.15</v>
      </c>
      <c r="N1247">
        <v>13.85</v>
      </c>
      <c r="T1247" t="s">
        <v>45</v>
      </c>
      <c r="U1247">
        <v>1</v>
      </c>
      <c r="V1247">
        <v>5</v>
      </c>
    </row>
    <row r="1248" spans="1:22" x14ac:dyDescent="0.3">
      <c r="A1248">
        <v>1247</v>
      </c>
      <c r="B1248">
        <v>42831</v>
      </c>
      <c r="C1248" s="2">
        <v>36481</v>
      </c>
      <c r="D1248">
        <v>26</v>
      </c>
      <c r="E1248" t="s">
        <v>36</v>
      </c>
      <c r="F1248" t="s">
        <v>50</v>
      </c>
      <c r="G1248" s="2">
        <v>44670</v>
      </c>
      <c r="H1248" s="3">
        <f t="shared" si="19"/>
        <v>2.8630136986301369</v>
      </c>
      <c r="I1248">
        <v>104</v>
      </c>
      <c r="J1248" t="s">
        <v>57</v>
      </c>
      <c r="K1248" t="s">
        <v>55</v>
      </c>
      <c r="L1248" t="s">
        <v>44</v>
      </c>
      <c r="M1248">
        <v>17.510000000000002</v>
      </c>
      <c r="N1248">
        <v>17.149999999999999</v>
      </c>
      <c r="O1248">
        <v>16.739999999999998</v>
      </c>
      <c r="T1248" t="s">
        <v>49</v>
      </c>
      <c r="U1248">
        <v>1</v>
      </c>
      <c r="V1248">
        <v>4</v>
      </c>
    </row>
    <row r="1249" spans="1:22" x14ac:dyDescent="0.3">
      <c r="A1249">
        <v>1248</v>
      </c>
      <c r="B1249">
        <v>42835</v>
      </c>
      <c r="C1249" s="2">
        <v>34694</v>
      </c>
      <c r="D1249">
        <v>31</v>
      </c>
      <c r="E1249" t="s">
        <v>36</v>
      </c>
      <c r="F1249" t="s">
        <v>50</v>
      </c>
      <c r="G1249" s="2">
        <v>44977</v>
      </c>
      <c r="H1249" s="3">
        <f t="shared" si="19"/>
        <v>2.9698630136986299</v>
      </c>
      <c r="I1249">
        <v>26</v>
      </c>
      <c r="J1249" t="s">
        <v>38</v>
      </c>
      <c r="K1249" t="s">
        <v>55</v>
      </c>
      <c r="L1249" t="s">
        <v>44</v>
      </c>
      <c r="M1249">
        <v>17.34</v>
      </c>
      <c r="N1249">
        <v>17.04</v>
      </c>
      <c r="T1249" t="s">
        <v>52</v>
      </c>
      <c r="U1249">
        <v>1</v>
      </c>
      <c r="V1249">
        <v>5</v>
      </c>
    </row>
    <row r="1250" spans="1:22" x14ac:dyDescent="0.3">
      <c r="A1250">
        <v>1249</v>
      </c>
      <c r="B1250">
        <v>42837</v>
      </c>
      <c r="C1250" s="2">
        <v>36791</v>
      </c>
      <c r="D1250">
        <v>25</v>
      </c>
      <c r="E1250" t="s">
        <v>36</v>
      </c>
      <c r="F1250" t="s">
        <v>50</v>
      </c>
      <c r="G1250" s="2">
        <v>44938</v>
      </c>
      <c r="H1250" s="3">
        <f t="shared" si="19"/>
        <v>2.9945205479452053</v>
      </c>
      <c r="I1250">
        <v>46</v>
      </c>
      <c r="J1250" t="s">
        <v>38</v>
      </c>
      <c r="K1250" t="s">
        <v>65</v>
      </c>
      <c r="L1250" t="s">
        <v>44</v>
      </c>
      <c r="M1250">
        <v>10.47</v>
      </c>
      <c r="N1250">
        <v>10.24</v>
      </c>
      <c r="T1250" t="s">
        <v>49</v>
      </c>
      <c r="U1250">
        <v>1</v>
      </c>
      <c r="V1250">
        <v>5</v>
      </c>
    </row>
    <row r="1251" spans="1:22" x14ac:dyDescent="0.3">
      <c r="A1251">
        <v>1250</v>
      </c>
      <c r="B1251">
        <v>42883</v>
      </c>
      <c r="C1251" s="2">
        <v>38351</v>
      </c>
      <c r="D1251">
        <v>21</v>
      </c>
      <c r="E1251" t="s">
        <v>36</v>
      </c>
      <c r="F1251" t="s">
        <v>50</v>
      </c>
      <c r="G1251" s="2">
        <v>44929</v>
      </c>
      <c r="H1251" s="3">
        <f t="shared" si="19"/>
        <v>3.0054794520547947</v>
      </c>
      <c r="I1251">
        <v>138</v>
      </c>
      <c r="J1251" t="s">
        <v>57</v>
      </c>
      <c r="K1251" t="s">
        <v>46</v>
      </c>
      <c r="L1251" t="s">
        <v>44</v>
      </c>
      <c r="M1251">
        <v>13.7</v>
      </c>
      <c r="N1251">
        <v>13.55</v>
      </c>
      <c r="T1251" t="s">
        <v>47</v>
      </c>
      <c r="U1251">
        <v>1</v>
      </c>
      <c r="V1251">
        <v>4</v>
      </c>
    </row>
    <row r="1252" spans="1:22" x14ac:dyDescent="0.3">
      <c r="A1252">
        <v>1251</v>
      </c>
      <c r="B1252">
        <v>42891</v>
      </c>
      <c r="C1252" s="2">
        <v>38267</v>
      </c>
      <c r="D1252">
        <v>21</v>
      </c>
      <c r="E1252" t="s">
        <v>42</v>
      </c>
      <c r="F1252" t="s">
        <v>50</v>
      </c>
      <c r="G1252" s="2">
        <v>44925</v>
      </c>
      <c r="H1252" s="3">
        <f t="shared" si="19"/>
        <v>3.408219178082192</v>
      </c>
      <c r="I1252">
        <v>132</v>
      </c>
      <c r="J1252" t="s">
        <v>57</v>
      </c>
      <c r="K1252" t="s">
        <v>48</v>
      </c>
      <c r="L1252" t="s">
        <v>44</v>
      </c>
      <c r="M1252">
        <v>8.4600000000000009</v>
      </c>
      <c r="N1252">
        <v>8.26</v>
      </c>
      <c r="O1252">
        <v>8.06</v>
      </c>
      <c r="T1252" t="s">
        <v>47</v>
      </c>
      <c r="U1252">
        <v>1</v>
      </c>
      <c r="V1252">
        <v>6</v>
      </c>
    </row>
    <row r="1253" spans="1:22" x14ac:dyDescent="0.3">
      <c r="A1253">
        <v>1252</v>
      </c>
      <c r="B1253">
        <v>42896</v>
      </c>
      <c r="C1253" s="2">
        <v>31651</v>
      </c>
      <c r="D1253">
        <v>39</v>
      </c>
      <c r="E1253" t="s">
        <v>36</v>
      </c>
      <c r="F1253" t="s">
        <v>37</v>
      </c>
      <c r="G1253" s="2">
        <v>44778</v>
      </c>
      <c r="H1253" s="3">
        <f t="shared" si="19"/>
        <v>3.4465753424657533</v>
      </c>
      <c r="I1253">
        <v>35</v>
      </c>
      <c r="J1253" t="s">
        <v>38</v>
      </c>
      <c r="K1253" t="s">
        <v>55</v>
      </c>
      <c r="L1253" t="s">
        <v>44</v>
      </c>
      <c r="M1253">
        <v>17.34</v>
      </c>
      <c r="N1253">
        <v>17.04</v>
      </c>
      <c r="O1253">
        <v>16.739999999999998</v>
      </c>
      <c r="T1253" t="s">
        <v>47</v>
      </c>
      <c r="U1253">
        <v>4</v>
      </c>
      <c r="V1253">
        <v>4</v>
      </c>
    </row>
    <row r="1254" spans="1:22" x14ac:dyDescent="0.3">
      <c r="A1254">
        <v>1253</v>
      </c>
      <c r="B1254">
        <v>42912</v>
      </c>
      <c r="C1254" s="2">
        <v>33442</v>
      </c>
      <c r="D1254">
        <v>34</v>
      </c>
      <c r="E1254" t="s">
        <v>42</v>
      </c>
      <c r="F1254" t="s">
        <v>50</v>
      </c>
      <c r="G1254" s="2">
        <v>44764</v>
      </c>
      <c r="H1254" s="3">
        <f t="shared" si="19"/>
        <v>3.1123287671232878</v>
      </c>
      <c r="I1254">
        <v>19</v>
      </c>
      <c r="J1254" t="s">
        <v>38</v>
      </c>
      <c r="K1254" t="s">
        <v>56</v>
      </c>
      <c r="L1254" t="s">
        <v>44</v>
      </c>
      <c r="M1254">
        <v>8.31</v>
      </c>
      <c r="N1254">
        <v>8.31</v>
      </c>
      <c r="O1254">
        <v>8.06</v>
      </c>
      <c r="T1254" t="s">
        <v>52</v>
      </c>
      <c r="U1254">
        <v>1</v>
      </c>
      <c r="V1254">
        <v>7</v>
      </c>
    </row>
    <row r="1255" spans="1:22" x14ac:dyDescent="0.3">
      <c r="A1255">
        <v>1254</v>
      </c>
      <c r="B1255">
        <v>42935</v>
      </c>
      <c r="C1255" s="2">
        <v>37382</v>
      </c>
      <c r="D1255">
        <v>23</v>
      </c>
      <c r="E1255" t="s">
        <v>36</v>
      </c>
      <c r="F1255" t="s">
        <v>50</v>
      </c>
      <c r="G1255" s="2">
        <v>44886</v>
      </c>
      <c r="H1255" s="3">
        <f t="shared" si="19"/>
        <v>3.6493150684931508</v>
      </c>
      <c r="I1255">
        <v>19</v>
      </c>
      <c r="J1255" t="s">
        <v>38</v>
      </c>
      <c r="K1255" t="s">
        <v>46</v>
      </c>
      <c r="L1255" t="s">
        <v>44</v>
      </c>
      <c r="M1255">
        <v>13.88</v>
      </c>
      <c r="N1255">
        <v>13.55</v>
      </c>
      <c r="O1255">
        <v>13.55</v>
      </c>
      <c r="T1255" t="s">
        <v>47</v>
      </c>
      <c r="U1255">
        <v>1</v>
      </c>
      <c r="V1255">
        <v>3</v>
      </c>
    </row>
    <row r="1256" spans="1:22" x14ac:dyDescent="0.3">
      <c r="A1256">
        <v>1255</v>
      </c>
      <c r="B1256">
        <v>42948</v>
      </c>
      <c r="C1256" s="2">
        <v>35793</v>
      </c>
      <c r="D1256">
        <v>28</v>
      </c>
      <c r="E1256" t="s">
        <v>42</v>
      </c>
      <c r="F1256" t="s">
        <v>50</v>
      </c>
      <c r="G1256" s="2">
        <v>44690</v>
      </c>
      <c r="H1256" s="3">
        <f t="shared" si="19"/>
        <v>3.7205479452054795</v>
      </c>
      <c r="I1256">
        <v>31</v>
      </c>
      <c r="J1256" t="s">
        <v>38</v>
      </c>
      <c r="K1256" t="s">
        <v>55</v>
      </c>
      <c r="L1256" t="s">
        <v>44</v>
      </c>
      <c r="M1256">
        <v>16.739999999999998</v>
      </c>
      <c r="N1256">
        <v>16.739999999999998</v>
      </c>
      <c r="O1256">
        <v>16.739999999999998</v>
      </c>
      <c r="T1256" t="s">
        <v>49</v>
      </c>
      <c r="U1256">
        <v>2</v>
      </c>
      <c r="V1256">
        <v>6</v>
      </c>
    </row>
    <row r="1257" spans="1:22" x14ac:dyDescent="0.3">
      <c r="A1257">
        <v>1256</v>
      </c>
      <c r="B1257">
        <v>42975</v>
      </c>
      <c r="C1257" s="2">
        <v>33868</v>
      </c>
      <c r="D1257">
        <v>33</v>
      </c>
      <c r="E1257" t="s">
        <v>42</v>
      </c>
      <c r="F1257" t="s">
        <v>50</v>
      </c>
      <c r="G1257" s="2">
        <v>44664</v>
      </c>
      <c r="H1257" s="3">
        <f t="shared" si="19"/>
        <v>3.1945205479452055</v>
      </c>
      <c r="I1257">
        <v>70</v>
      </c>
      <c r="J1257" t="s">
        <v>57</v>
      </c>
      <c r="K1257" t="s">
        <v>55</v>
      </c>
      <c r="L1257" t="s">
        <v>44</v>
      </c>
      <c r="M1257">
        <v>17.37</v>
      </c>
      <c r="N1257">
        <v>16.989999999999998</v>
      </c>
      <c r="O1257">
        <v>16.739999999999998</v>
      </c>
      <c r="T1257" t="s">
        <v>47</v>
      </c>
      <c r="U1257">
        <v>2</v>
      </c>
      <c r="V1257">
        <v>5</v>
      </c>
    </row>
    <row r="1258" spans="1:22" x14ac:dyDescent="0.3">
      <c r="A1258">
        <v>1257</v>
      </c>
      <c r="B1258">
        <v>42984</v>
      </c>
      <c r="C1258" s="2">
        <v>27656</v>
      </c>
      <c r="D1258">
        <v>50</v>
      </c>
      <c r="E1258" t="s">
        <v>36</v>
      </c>
      <c r="F1258" t="s">
        <v>50</v>
      </c>
      <c r="G1258" s="2">
        <v>44856</v>
      </c>
      <c r="H1258" s="3">
        <f t="shared" si="19"/>
        <v>3.0054794520547947</v>
      </c>
      <c r="I1258">
        <v>133</v>
      </c>
      <c r="J1258" t="s">
        <v>57</v>
      </c>
      <c r="K1258" t="s">
        <v>54</v>
      </c>
      <c r="L1258" t="s">
        <v>44</v>
      </c>
      <c r="M1258">
        <v>23.23</v>
      </c>
      <c r="N1258">
        <v>22.93</v>
      </c>
      <c r="O1258">
        <v>22.63</v>
      </c>
      <c r="T1258" t="s">
        <v>52</v>
      </c>
      <c r="U1258">
        <v>3</v>
      </c>
      <c r="V1258">
        <v>5</v>
      </c>
    </row>
    <row r="1259" spans="1:22" x14ac:dyDescent="0.3">
      <c r="A1259">
        <v>1258</v>
      </c>
      <c r="B1259">
        <v>42991</v>
      </c>
      <c r="C1259" s="2">
        <v>35961</v>
      </c>
      <c r="D1259">
        <v>27</v>
      </c>
      <c r="E1259" t="s">
        <v>36</v>
      </c>
      <c r="F1259" t="s">
        <v>50</v>
      </c>
      <c r="G1259" s="2">
        <v>44925</v>
      </c>
      <c r="H1259" s="3">
        <f t="shared" si="19"/>
        <v>3.4164383561643836</v>
      </c>
      <c r="I1259">
        <v>4</v>
      </c>
      <c r="J1259" t="s">
        <v>38</v>
      </c>
      <c r="K1259" t="s">
        <v>46</v>
      </c>
      <c r="L1259" t="s">
        <v>44</v>
      </c>
      <c r="M1259">
        <v>14.15</v>
      </c>
      <c r="N1259">
        <v>13.85</v>
      </c>
      <c r="O1259">
        <v>13.55</v>
      </c>
      <c r="T1259" t="s">
        <v>52</v>
      </c>
      <c r="U1259">
        <v>0</v>
      </c>
      <c r="V1259">
        <v>3</v>
      </c>
    </row>
    <row r="1260" spans="1:22" x14ac:dyDescent="0.3">
      <c r="A1260">
        <v>1259</v>
      </c>
      <c r="B1260">
        <v>43000</v>
      </c>
      <c r="C1260" s="2">
        <v>33134</v>
      </c>
      <c r="D1260">
        <v>35</v>
      </c>
      <c r="E1260" t="s">
        <v>36</v>
      </c>
      <c r="F1260" t="s">
        <v>37</v>
      </c>
      <c r="G1260" s="2">
        <v>44775</v>
      </c>
      <c r="H1260" s="3">
        <f t="shared" si="19"/>
        <v>2.9753424657534246</v>
      </c>
      <c r="I1260">
        <v>8</v>
      </c>
      <c r="J1260" t="s">
        <v>38</v>
      </c>
      <c r="K1260" t="s">
        <v>46</v>
      </c>
      <c r="L1260" t="s">
        <v>44</v>
      </c>
      <c r="M1260">
        <v>14.34</v>
      </c>
      <c r="N1260">
        <v>13.92</v>
      </c>
      <c r="O1260">
        <v>13.55</v>
      </c>
      <c r="T1260" t="s">
        <v>49</v>
      </c>
      <c r="U1260">
        <v>0</v>
      </c>
      <c r="V1260">
        <v>4</v>
      </c>
    </row>
    <row r="1261" spans="1:22" x14ac:dyDescent="0.3">
      <c r="A1261">
        <v>1260</v>
      </c>
      <c r="B1261">
        <v>43030</v>
      </c>
      <c r="C1261" s="2">
        <v>36739</v>
      </c>
      <c r="D1261">
        <v>26</v>
      </c>
      <c r="E1261" t="s">
        <v>36</v>
      </c>
      <c r="F1261" t="s">
        <v>50</v>
      </c>
      <c r="G1261" s="2">
        <v>44936</v>
      </c>
      <c r="H1261" s="3">
        <f t="shared" si="19"/>
        <v>3.441095890410959</v>
      </c>
      <c r="I1261">
        <v>34</v>
      </c>
      <c r="J1261" t="s">
        <v>38</v>
      </c>
      <c r="K1261" t="s">
        <v>54</v>
      </c>
      <c r="L1261" t="s">
        <v>44</v>
      </c>
      <c r="M1261">
        <v>23.23</v>
      </c>
      <c r="N1261">
        <v>22.93</v>
      </c>
      <c r="T1261" t="s">
        <v>47</v>
      </c>
      <c r="U1261">
        <v>5</v>
      </c>
      <c r="V1261">
        <v>6</v>
      </c>
    </row>
    <row r="1262" spans="1:22" x14ac:dyDescent="0.3">
      <c r="A1262">
        <v>1261</v>
      </c>
      <c r="B1262">
        <v>43067</v>
      </c>
      <c r="C1262" s="2">
        <v>35030</v>
      </c>
      <c r="D1262">
        <v>30</v>
      </c>
      <c r="E1262" t="s">
        <v>42</v>
      </c>
      <c r="F1262" t="s">
        <v>50</v>
      </c>
      <c r="G1262" s="2">
        <v>44766</v>
      </c>
      <c r="H1262" s="3">
        <f t="shared" si="19"/>
        <v>2.8301369863013699</v>
      </c>
      <c r="I1262">
        <v>61</v>
      </c>
      <c r="J1262" t="s">
        <v>38</v>
      </c>
      <c r="K1262" t="s">
        <v>43</v>
      </c>
      <c r="L1262" t="s">
        <v>44</v>
      </c>
      <c r="M1262">
        <v>16.29</v>
      </c>
      <c r="N1262">
        <v>15.97</v>
      </c>
      <c r="O1262">
        <v>15.58</v>
      </c>
      <c r="T1262" t="s">
        <v>52</v>
      </c>
      <c r="U1262">
        <v>1</v>
      </c>
      <c r="V1262">
        <v>5</v>
      </c>
    </row>
    <row r="1263" spans="1:22" x14ac:dyDescent="0.3">
      <c r="A1263">
        <v>1262</v>
      </c>
      <c r="B1263">
        <v>43080</v>
      </c>
      <c r="C1263" s="2">
        <v>37562</v>
      </c>
      <c r="D1263">
        <v>23</v>
      </c>
      <c r="E1263" t="s">
        <v>42</v>
      </c>
      <c r="F1263" t="s">
        <v>50</v>
      </c>
      <c r="G1263" s="2">
        <v>44989</v>
      </c>
      <c r="H1263" s="3">
        <f t="shared" si="19"/>
        <v>3.3041095890410959</v>
      </c>
      <c r="I1263">
        <v>71</v>
      </c>
      <c r="J1263" t="s">
        <v>57</v>
      </c>
      <c r="K1263" t="s">
        <v>56</v>
      </c>
      <c r="L1263" t="s">
        <v>44</v>
      </c>
      <c r="M1263">
        <v>8.4600000000000009</v>
      </c>
      <c r="N1263">
        <v>8.26</v>
      </c>
      <c r="T1263" t="s">
        <v>47</v>
      </c>
      <c r="U1263">
        <v>4</v>
      </c>
      <c r="V1263">
        <v>6</v>
      </c>
    </row>
    <row r="1264" spans="1:22" x14ac:dyDescent="0.3">
      <c r="A1264">
        <v>1263</v>
      </c>
      <c r="B1264">
        <v>43093</v>
      </c>
      <c r="C1264" s="2">
        <v>36387</v>
      </c>
      <c r="D1264">
        <v>26</v>
      </c>
      <c r="E1264" t="s">
        <v>42</v>
      </c>
      <c r="F1264" t="s">
        <v>37</v>
      </c>
      <c r="G1264" s="2">
        <v>44816</v>
      </c>
      <c r="H1264" s="3">
        <f t="shared" si="19"/>
        <v>3.8328767123287673</v>
      </c>
      <c r="I1264">
        <v>87</v>
      </c>
      <c r="J1264" t="s">
        <v>57</v>
      </c>
      <c r="K1264" t="s">
        <v>54</v>
      </c>
      <c r="L1264" t="s">
        <v>44</v>
      </c>
      <c r="M1264">
        <v>22.93</v>
      </c>
      <c r="N1264">
        <v>22.78</v>
      </c>
      <c r="O1264">
        <v>22.63</v>
      </c>
      <c r="T1264" t="s">
        <v>52</v>
      </c>
      <c r="U1264">
        <v>7</v>
      </c>
      <c r="V1264">
        <v>7</v>
      </c>
    </row>
    <row r="1265" spans="1:22" x14ac:dyDescent="0.3">
      <c r="A1265">
        <v>1264</v>
      </c>
      <c r="B1265">
        <v>43129</v>
      </c>
      <c r="C1265" s="2">
        <v>36566</v>
      </c>
      <c r="D1265">
        <v>25</v>
      </c>
      <c r="E1265" t="s">
        <v>42</v>
      </c>
      <c r="F1265" t="s">
        <v>50</v>
      </c>
      <c r="G1265" s="2">
        <v>44623</v>
      </c>
      <c r="H1265" s="3">
        <f t="shared" si="19"/>
        <v>3.6712328767123288</v>
      </c>
      <c r="I1265">
        <v>138</v>
      </c>
      <c r="J1265" t="s">
        <v>57</v>
      </c>
      <c r="K1265" t="s">
        <v>54</v>
      </c>
      <c r="L1265" t="s">
        <v>44</v>
      </c>
      <c r="M1265">
        <v>22.93</v>
      </c>
      <c r="N1265">
        <v>22.78</v>
      </c>
      <c r="O1265">
        <v>22.63</v>
      </c>
      <c r="T1265" t="s">
        <v>47</v>
      </c>
      <c r="U1265">
        <v>7</v>
      </c>
      <c r="V1265">
        <v>7</v>
      </c>
    </row>
    <row r="1266" spans="1:22" x14ac:dyDescent="0.3">
      <c r="A1266">
        <v>1265</v>
      </c>
      <c r="B1266">
        <v>43139</v>
      </c>
      <c r="C1266" s="2">
        <v>35969</v>
      </c>
      <c r="D1266">
        <v>27</v>
      </c>
      <c r="E1266" t="s">
        <v>42</v>
      </c>
      <c r="F1266" t="s">
        <v>50</v>
      </c>
      <c r="G1266" s="2">
        <v>44682</v>
      </c>
      <c r="H1266" s="3">
        <f t="shared" si="19"/>
        <v>3.3780821917808219</v>
      </c>
      <c r="I1266">
        <v>143</v>
      </c>
      <c r="J1266" t="s">
        <v>57</v>
      </c>
      <c r="K1266" t="s">
        <v>65</v>
      </c>
      <c r="L1266" t="s">
        <v>44</v>
      </c>
      <c r="M1266">
        <v>10.24</v>
      </c>
      <c r="N1266">
        <v>10.24</v>
      </c>
      <c r="O1266">
        <v>10.130000000000001</v>
      </c>
      <c r="T1266" t="s">
        <v>49</v>
      </c>
      <c r="U1266">
        <v>0</v>
      </c>
      <c r="V1266">
        <v>6</v>
      </c>
    </row>
    <row r="1267" spans="1:22" x14ac:dyDescent="0.3">
      <c r="A1267">
        <v>1266</v>
      </c>
      <c r="B1267">
        <v>43145</v>
      </c>
      <c r="C1267" s="2">
        <v>35269</v>
      </c>
      <c r="D1267">
        <v>29</v>
      </c>
      <c r="E1267" t="s">
        <v>36</v>
      </c>
      <c r="F1267" t="s">
        <v>50</v>
      </c>
      <c r="G1267" s="2">
        <v>44789</v>
      </c>
      <c r="H1267" s="3">
        <f t="shared" si="19"/>
        <v>3.095890410958904</v>
      </c>
      <c r="I1267">
        <v>16</v>
      </c>
      <c r="J1267" t="s">
        <v>38</v>
      </c>
      <c r="K1267" t="s">
        <v>55</v>
      </c>
      <c r="L1267" t="s">
        <v>44</v>
      </c>
      <c r="M1267">
        <v>17.34</v>
      </c>
      <c r="N1267">
        <v>17.04</v>
      </c>
      <c r="O1267">
        <v>16.739999999999998</v>
      </c>
      <c r="T1267" t="s">
        <v>49</v>
      </c>
      <c r="U1267">
        <v>2</v>
      </c>
      <c r="V1267">
        <v>4</v>
      </c>
    </row>
    <row r="1268" spans="1:22" x14ac:dyDescent="0.3">
      <c r="A1268">
        <v>1267</v>
      </c>
      <c r="B1268">
        <v>43148</v>
      </c>
      <c r="C1268" s="2">
        <v>37566</v>
      </c>
      <c r="D1268">
        <v>23</v>
      </c>
      <c r="E1268" t="s">
        <v>36</v>
      </c>
      <c r="F1268" t="s">
        <v>37</v>
      </c>
      <c r="G1268" s="2">
        <v>44892</v>
      </c>
      <c r="H1268" s="3">
        <f t="shared" si="19"/>
        <v>3.3205479452054796</v>
      </c>
      <c r="I1268">
        <v>33</v>
      </c>
      <c r="J1268" t="s">
        <v>38</v>
      </c>
      <c r="K1268" t="s">
        <v>65</v>
      </c>
      <c r="L1268" t="s">
        <v>44</v>
      </c>
      <c r="M1268">
        <v>10.55</v>
      </c>
      <c r="N1268">
        <v>10.33</v>
      </c>
      <c r="O1268">
        <v>10.130000000000001</v>
      </c>
      <c r="T1268" t="s">
        <v>47</v>
      </c>
      <c r="U1268">
        <v>1</v>
      </c>
      <c r="V1268">
        <v>3</v>
      </c>
    </row>
    <row r="1269" spans="1:22" x14ac:dyDescent="0.3">
      <c r="A1269">
        <v>1268</v>
      </c>
      <c r="B1269">
        <v>43149</v>
      </c>
      <c r="C1269" s="2">
        <v>37408</v>
      </c>
      <c r="D1269">
        <v>24</v>
      </c>
      <c r="E1269" t="s">
        <v>36</v>
      </c>
      <c r="F1269" t="s">
        <v>50</v>
      </c>
      <c r="G1269" s="2">
        <v>44810</v>
      </c>
      <c r="H1269" s="3">
        <f t="shared" si="19"/>
        <v>2.8849315068493149</v>
      </c>
      <c r="I1269">
        <v>33</v>
      </c>
      <c r="J1269" t="s">
        <v>38</v>
      </c>
      <c r="K1269" t="s">
        <v>65</v>
      </c>
      <c r="L1269" t="s">
        <v>44</v>
      </c>
      <c r="M1269">
        <v>10.62</v>
      </c>
      <c r="N1269">
        <v>10.37</v>
      </c>
      <c r="O1269">
        <v>10.130000000000001</v>
      </c>
      <c r="T1269" t="s">
        <v>49</v>
      </c>
      <c r="U1269">
        <v>1</v>
      </c>
      <c r="V1269">
        <v>4</v>
      </c>
    </row>
    <row r="1270" spans="1:22" x14ac:dyDescent="0.3">
      <c r="A1270">
        <v>1269</v>
      </c>
      <c r="B1270">
        <v>43150</v>
      </c>
      <c r="C1270" s="2">
        <v>36001</v>
      </c>
      <c r="D1270">
        <v>27</v>
      </c>
      <c r="E1270" t="s">
        <v>42</v>
      </c>
      <c r="F1270" t="s">
        <v>37</v>
      </c>
      <c r="G1270" s="2">
        <v>44969</v>
      </c>
      <c r="H1270" s="3">
        <f t="shared" si="19"/>
        <v>3.6712328767123288</v>
      </c>
      <c r="I1270">
        <v>33</v>
      </c>
      <c r="J1270" t="s">
        <v>38</v>
      </c>
      <c r="K1270" t="s">
        <v>55</v>
      </c>
      <c r="L1270" t="s">
        <v>44</v>
      </c>
      <c r="M1270">
        <v>17.54</v>
      </c>
      <c r="N1270">
        <v>17.100000000000001</v>
      </c>
      <c r="T1270" t="s">
        <v>47</v>
      </c>
      <c r="U1270">
        <v>3</v>
      </c>
      <c r="V1270">
        <v>5</v>
      </c>
    </row>
    <row r="1271" spans="1:22" x14ac:dyDescent="0.3">
      <c r="A1271">
        <v>1270</v>
      </c>
      <c r="B1271">
        <v>43151</v>
      </c>
      <c r="C1271" s="2">
        <v>34533</v>
      </c>
      <c r="D1271">
        <v>31</v>
      </c>
      <c r="E1271" t="s">
        <v>42</v>
      </c>
      <c r="F1271" t="s">
        <v>50</v>
      </c>
      <c r="G1271" s="2">
        <v>44682</v>
      </c>
      <c r="H1271" s="3">
        <f t="shared" si="19"/>
        <v>3.2931506849315069</v>
      </c>
      <c r="I1271">
        <v>41</v>
      </c>
      <c r="J1271" t="s">
        <v>38</v>
      </c>
      <c r="K1271" t="s">
        <v>46</v>
      </c>
      <c r="L1271" t="s">
        <v>44</v>
      </c>
      <c r="M1271">
        <v>14.15</v>
      </c>
      <c r="N1271">
        <v>13.85</v>
      </c>
      <c r="O1271">
        <v>13.55</v>
      </c>
      <c r="T1271" t="s">
        <v>49</v>
      </c>
      <c r="U1271">
        <v>0</v>
      </c>
      <c r="V1271">
        <v>5</v>
      </c>
    </row>
    <row r="1272" spans="1:22" x14ac:dyDescent="0.3">
      <c r="A1272">
        <v>1271</v>
      </c>
      <c r="B1272">
        <v>43159</v>
      </c>
      <c r="C1272" s="2">
        <v>36492</v>
      </c>
      <c r="D1272">
        <v>26</v>
      </c>
      <c r="E1272" t="s">
        <v>36</v>
      </c>
      <c r="F1272" t="s">
        <v>50</v>
      </c>
      <c r="G1272" s="2">
        <v>44820</v>
      </c>
      <c r="H1272" s="3">
        <f t="shared" si="19"/>
        <v>3.3452054794520549</v>
      </c>
      <c r="I1272">
        <v>80</v>
      </c>
      <c r="J1272" t="s">
        <v>57</v>
      </c>
      <c r="K1272" t="s">
        <v>43</v>
      </c>
      <c r="L1272" t="s">
        <v>44</v>
      </c>
      <c r="M1272">
        <v>16.18</v>
      </c>
      <c r="N1272">
        <v>15.88</v>
      </c>
      <c r="O1272">
        <v>15.58</v>
      </c>
      <c r="T1272" t="s">
        <v>49</v>
      </c>
      <c r="U1272">
        <v>0</v>
      </c>
      <c r="V1272">
        <v>4</v>
      </c>
    </row>
    <row r="1273" spans="1:22" x14ac:dyDescent="0.3">
      <c r="A1273">
        <v>1272</v>
      </c>
      <c r="B1273">
        <v>43162</v>
      </c>
      <c r="C1273" s="2">
        <v>33215</v>
      </c>
      <c r="D1273">
        <v>35</v>
      </c>
      <c r="E1273" t="s">
        <v>42</v>
      </c>
      <c r="F1273" t="s">
        <v>37</v>
      </c>
      <c r="G1273" s="2">
        <v>44801</v>
      </c>
      <c r="H1273" s="3">
        <f t="shared" si="19"/>
        <v>3.3205479452054796</v>
      </c>
      <c r="I1273">
        <v>84</v>
      </c>
      <c r="J1273" t="s">
        <v>57</v>
      </c>
      <c r="K1273" t="s">
        <v>55</v>
      </c>
      <c r="L1273" t="s">
        <v>44</v>
      </c>
      <c r="M1273">
        <v>17.34</v>
      </c>
      <c r="N1273">
        <v>17.04</v>
      </c>
      <c r="O1273">
        <v>16.739999999999998</v>
      </c>
      <c r="T1273" t="s">
        <v>49</v>
      </c>
      <c r="U1273">
        <v>1</v>
      </c>
      <c r="V1273">
        <v>6</v>
      </c>
    </row>
    <row r="1274" spans="1:22" x14ac:dyDescent="0.3">
      <c r="A1274">
        <v>1273</v>
      </c>
      <c r="B1274">
        <v>43175</v>
      </c>
      <c r="C1274" s="2">
        <v>37797</v>
      </c>
      <c r="D1274">
        <v>22</v>
      </c>
      <c r="E1274" t="s">
        <v>42</v>
      </c>
      <c r="F1274" t="s">
        <v>50</v>
      </c>
      <c r="G1274" s="2">
        <v>44810</v>
      </c>
      <c r="H1274" s="3">
        <f t="shared" si="19"/>
        <v>3.4986301369863013</v>
      </c>
      <c r="I1274">
        <v>36</v>
      </c>
      <c r="J1274" t="s">
        <v>38</v>
      </c>
      <c r="K1274" t="s">
        <v>64</v>
      </c>
      <c r="L1274" t="s">
        <v>44</v>
      </c>
      <c r="M1274">
        <v>14</v>
      </c>
      <c r="N1274">
        <v>13.7</v>
      </c>
      <c r="O1274">
        <v>13.4</v>
      </c>
      <c r="T1274" t="s">
        <v>47</v>
      </c>
      <c r="U1274">
        <v>1</v>
      </c>
      <c r="V1274">
        <v>4</v>
      </c>
    </row>
    <row r="1275" spans="1:22" x14ac:dyDescent="0.3">
      <c r="A1275">
        <v>1274</v>
      </c>
      <c r="B1275">
        <v>43176</v>
      </c>
      <c r="C1275" s="2">
        <v>36870</v>
      </c>
      <c r="D1275">
        <v>25</v>
      </c>
      <c r="E1275" t="s">
        <v>36</v>
      </c>
      <c r="F1275" t="s">
        <v>50</v>
      </c>
      <c r="G1275" s="2">
        <v>44745</v>
      </c>
      <c r="H1275" s="3">
        <f t="shared" si="19"/>
        <v>3.1479452054794521</v>
      </c>
      <c r="I1275">
        <v>36</v>
      </c>
      <c r="J1275" t="s">
        <v>38</v>
      </c>
      <c r="K1275" t="s">
        <v>55</v>
      </c>
      <c r="L1275" t="s">
        <v>44</v>
      </c>
      <c r="M1275">
        <v>17.34</v>
      </c>
      <c r="N1275">
        <v>17.04</v>
      </c>
      <c r="O1275">
        <v>16.739999999999998</v>
      </c>
      <c r="T1275" t="s">
        <v>47</v>
      </c>
      <c r="U1275">
        <v>1</v>
      </c>
      <c r="V1275">
        <v>4</v>
      </c>
    </row>
    <row r="1276" spans="1:22" x14ac:dyDescent="0.3">
      <c r="A1276">
        <v>1275</v>
      </c>
      <c r="B1276">
        <v>43186</v>
      </c>
      <c r="C1276" s="2">
        <v>35970</v>
      </c>
      <c r="D1276">
        <v>27</v>
      </c>
      <c r="E1276" t="s">
        <v>42</v>
      </c>
      <c r="F1276" t="s">
        <v>37</v>
      </c>
      <c r="G1276" s="2">
        <v>44873</v>
      </c>
      <c r="H1276" s="3">
        <f t="shared" si="19"/>
        <v>3.7561643835616438</v>
      </c>
      <c r="I1276">
        <v>62</v>
      </c>
      <c r="J1276" t="s">
        <v>38</v>
      </c>
      <c r="K1276" t="s">
        <v>68</v>
      </c>
      <c r="L1276" t="s">
        <v>44</v>
      </c>
      <c r="M1276">
        <v>16.579999999999998</v>
      </c>
      <c r="N1276">
        <v>16.38</v>
      </c>
      <c r="O1276">
        <v>16.18</v>
      </c>
      <c r="T1276" t="s">
        <v>52</v>
      </c>
      <c r="U1276">
        <v>1</v>
      </c>
      <c r="V1276">
        <v>5</v>
      </c>
    </row>
    <row r="1277" spans="1:22" x14ac:dyDescent="0.3">
      <c r="A1277">
        <v>1276</v>
      </c>
      <c r="B1277">
        <v>43197</v>
      </c>
      <c r="C1277" s="2">
        <v>38037</v>
      </c>
      <c r="D1277">
        <v>21</v>
      </c>
      <c r="E1277" t="s">
        <v>36</v>
      </c>
      <c r="F1277" t="s">
        <v>50</v>
      </c>
      <c r="G1277" s="2">
        <v>44651</v>
      </c>
      <c r="H1277" s="3">
        <f t="shared" si="19"/>
        <v>3.5534246575342467</v>
      </c>
      <c r="I1277">
        <v>16</v>
      </c>
      <c r="J1277" t="s">
        <v>38</v>
      </c>
      <c r="K1277" t="s">
        <v>46</v>
      </c>
      <c r="L1277" t="s">
        <v>44</v>
      </c>
      <c r="M1277">
        <v>14.15</v>
      </c>
      <c r="N1277">
        <v>13.85</v>
      </c>
      <c r="O1277">
        <v>13.55</v>
      </c>
      <c r="T1277" t="s">
        <v>45</v>
      </c>
      <c r="U1277">
        <v>0</v>
      </c>
      <c r="V1277">
        <v>4</v>
      </c>
    </row>
    <row r="1278" spans="1:22" x14ac:dyDescent="0.3">
      <c r="A1278">
        <v>1277</v>
      </c>
      <c r="B1278">
        <v>43199</v>
      </c>
      <c r="C1278" s="2">
        <v>37412</v>
      </c>
      <c r="D1278">
        <v>23</v>
      </c>
      <c r="E1278" t="s">
        <v>42</v>
      </c>
      <c r="F1278" t="s">
        <v>37</v>
      </c>
      <c r="G1278" s="2">
        <v>44725</v>
      </c>
      <c r="H1278" s="3">
        <f t="shared" si="19"/>
        <v>3.495890410958904</v>
      </c>
      <c r="I1278">
        <v>35</v>
      </c>
      <c r="J1278" t="s">
        <v>38</v>
      </c>
      <c r="K1278" t="s">
        <v>64</v>
      </c>
      <c r="L1278" t="s">
        <v>44</v>
      </c>
      <c r="M1278">
        <v>14</v>
      </c>
      <c r="N1278">
        <v>13.7</v>
      </c>
      <c r="O1278">
        <v>13.4</v>
      </c>
      <c r="T1278" t="s">
        <v>45</v>
      </c>
      <c r="U1278">
        <v>1</v>
      </c>
      <c r="V1278">
        <v>5</v>
      </c>
    </row>
    <row r="1279" spans="1:22" x14ac:dyDescent="0.3">
      <c r="A1279">
        <v>1278</v>
      </c>
      <c r="B1279">
        <v>43222</v>
      </c>
      <c r="C1279" s="2">
        <v>34787</v>
      </c>
      <c r="D1279">
        <v>30</v>
      </c>
      <c r="E1279" t="s">
        <v>36</v>
      </c>
      <c r="F1279" t="s">
        <v>50</v>
      </c>
      <c r="G1279" s="2">
        <v>44746</v>
      </c>
      <c r="H1279" s="3">
        <f t="shared" si="19"/>
        <v>3.1780821917808217</v>
      </c>
      <c r="I1279">
        <v>25</v>
      </c>
      <c r="J1279" t="s">
        <v>38</v>
      </c>
      <c r="K1279" t="s">
        <v>54</v>
      </c>
      <c r="L1279" t="s">
        <v>44</v>
      </c>
      <c r="M1279">
        <v>23.23</v>
      </c>
      <c r="N1279">
        <v>22.93</v>
      </c>
      <c r="O1279">
        <v>22.63</v>
      </c>
      <c r="T1279" t="s">
        <v>47</v>
      </c>
      <c r="U1279">
        <v>7</v>
      </c>
      <c r="V1279">
        <v>6</v>
      </c>
    </row>
    <row r="1280" spans="1:22" x14ac:dyDescent="0.3">
      <c r="A1280">
        <v>1279</v>
      </c>
      <c r="B1280">
        <v>43280</v>
      </c>
      <c r="C1280" s="2">
        <v>35818</v>
      </c>
      <c r="D1280">
        <v>27</v>
      </c>
      <c r="E1280" t="s">
        <v>36</v>
      </c>
      <c r="F1280" t="s">
        <v>50</v>
      </c>
      <c r="G1280" s="2">
        <v>44862</v>
      </c>
      <c r="H1280" s="3">
        <f t="shared" si="19"/>
        <v>3.7068493150684931</v>
      </c>
      <c r="I1280">
        <v>107</v>
      </c>
      <c r="J1280" t="s">
        <v>57</v>
      </c>
      <c r="K1280" t="s">
        <v>46</v>
      </c>
      <c r="L1280" t="s">
        <v>44</v>
      </c>
      <c r="M1280">
        <v>14.15</v>
      </c>
      <c r="N1280">
        <v>13.85</v>
      </c>
      <c r="O1280">
        <v>13.55</v>
      </c>
      <c r="T1280" t="s">
        <v>52</v>
      </c>
      <c r="U1280">
        <v>1</v>
      </c>
      <c r="V1280">
        <v>4</v>
      </c>
    </row>
    <row r="1281" spans="1:22" x14ac:dyDescent="0.3">
      <c r="A1281">
        <v>1280</v>
      </c>
      <c r="B1281">
        <v>43289</v>
      </c>
      <c r="C1281" s="2">
        <v>36157</v>
      </c>
      <c r="D1281">
        <v>27</v>
      </c>
      <c r="E1281" t="s">
        <v>36</v>
      </c>
      <c r="F1281" t="s">
        <v>50</v>
      </c>
      <c r="G1281" s="2">
        <v>44669</v>
      </c>
      <c r="H1281" s="3">
        <f t="shared" si="19"/>
        <v>3.3479452054794518</v>
      </c>
      <c r="I1281">
        <v>19</v>
      </c>
      <c r="J1281" t="s">
        <v>38</v>
      </c>
      <c r="K1281" t="s">
        <v>55</v>
      </c>
      <c r="L1281" t="s">
        <v>44</v>
      </c>
      <c r="M1281">
        <v>17.13</v>
      </c>
      <c r="N1281">
        <v>17.13</v>
      </c>
      <c r="O1281">
        <v>16.739999999999998</v>
      </c>
      <c r="T1281" t="s">
        <v>45</v>
      </c>
      <c r="U1281">
        <v>1</v>
      </c>
      <c r="V1281">
        <v>5</v>
      </c>
    </row>
    <row r="1282" spans="1:22" x14ac:dyDescent="0.3">
      <c r="A1282">
        <v>1281</v>
      </c>
      <c r="B1282">
        <v>43302</v>
      </c>
      <c r="C1282" s="2">
        <v>35661</v>
      </c>
      <c r="D1282">
        <v>28</v>
      </c>
      <c r="E1282" t="s">
        <v>36</v>
      </c>
      <c r="F1282" t="s">
        <v>50</v>
      </c>
      <c r="G1282" s="2">
        <v>44800</v>
      </c>
      <c r="H1282" s="3">
        <f t="shared" si="19"/>
        <v>3.441095890410959</v>
      </c>
      <c r="I1282">
        <v>73</v>
      </c>
      <c r="J1282" t="s">
        <v>57</v>
      </c>
      <c r="K1282" t="s">
        <v>46</v>
      </c>
      <c r="L1282" t="s">
        <v>44</v>
      </c>
      <c r="M1282">
        <v>14.15</v>
      </c>
      <c r="N1282">
        <v>13.85</v>
      </c>
      <c r="O1282">
        <v>13.55</v>
      </c>
      <c r="T1282" t="s">
        <v>49</v>
      </c>
      <c r="U1282">
        <v>1</v>
      </c>
      <c r="V1282">
        <v>4</v>
      </c>
    </row>
    <row r="1283" spans="1:22" x14ac:dyDescent="0.3">
      <c r="A1283">
        <v>1282</v>
      </c>
      <c r="B1283">
        <v>43335</v>
      </c>
      <c r="C1283" s="2">
        <v>36615</v>
      </c>
      <c r="D1283">
        <v>25</v>
      </c>
      <c r="E1283" t="s">
        <v>42</v>
      </c>
      <c r="F1283" t="s">
        <v>50</v>
      </c>
      <c r="G1283" s="2">
        <v>44766</v>
      </c>
      <c r="H1283" s="3">
        <f t="shared" ref="H1283:H1346" si="20">DATEDIF(G1284,DATE(2025,12,31),"d")/365</f>
        <v>3.3095890410958906</v>
      </c>
      <c r="I1283">
        <v>19</v>
      </c>
      <c r="J1283" t="s">
        <v>38</v>
      </c>
      <c r="K1283" t="s">
        <v>56</v>
      </c>
      <c r="L1283" t="s">
        <v>44</v>
      </c>
      <c r="M1283">
        <v>8.64</v>
      </c>
      <c r="N1283">
        <v>8.34</v>
      </c>
      <c r="O1283">
        <v>8.06</v>
      </c>
      <c r="T1283" t="s">
        <v>45</v>
      </c>
      <c r="U1283">
        <v>0</v>
      </c>
      <c r="V1283">
        <v>5</v>
      </c>
    </row>
    <row r="1284" spans="1:22" x14ac:dyDescent="0.3">
      <c r="A1284">
        <v>1283</v>
      </c>
      <c r="B1284">
        <v>43338</v>
      </c>
      <c r="C1284" s="2">
        <v>35794</v>
      </c>
      <c r="D1284">
        <v>28</v>
      </c>
      <c r="E1284" t="s">
        <v>36</v>
      </c>
      <c r="F1284" t="s">
        <v>50</v>
      </c>
      <c r="G1284" s="2">
        <v>44814</v>
      </c>
      <c r="H1284" s="3">
        <f t="shared" si="20"/>
        <v>3.0794520547945203</v>
      </c>
      <c r="I1284">
        <v>21</v>
      </c>
      <c r="J1284" t="s">
        <v>38</v>
      </c>
      <c r="K1284" t="s">
        <v>64</v>
      </c>
      <c r="L1284" t="s">
        <v>44</v>
      </c>
      <c r="M1284">
        <v>14</v>
      </c>
      <c r="N1284">
        <v>13.7</v>
      </c>
      <c r="O1284">
        <v>13.4</v>
      </c>
      <c r="T1284" t="s">
        <v>47</v>
      </c>
      <c r="U1284">
        <v>1</v>
      </c>
      <c r="V1284">
        <v>5</v>
      </c>
    </row>
    <row r="1285" spans="1:22" x14ac:dyDescent="0.3">
      <c r="A1285">
        <v>1284</v>
      </c>
      <c r="B1285">
        <v>43353</v>
      </c>
      <c r="C1285" s="2">
        <v>37528</v>
      </c>
      <c r="D1285">
        <v>23</v>
      </c>
      <c r="E1285" t="s">
        <v>42</v>
      </c>
      <c r="F1285" t="s">
        <v>50</v>
      </c>
      <c r="G1285" s="2">
        <v>44898</v>
      </c>
      <c r="H1285" s="3">
        <f t="shared" si="20"/>
        <v>3.4328767123287673</v>
      </c>
      <c r="I1285">
        <v>36</v>
      </c>
      <c r="J1285" t="s">
        <v>38</v>
      </c>
      <c r="K1285" t="s">
        <v>46</v>
      </c>
      <c r="L1285" t="s">
        <v>44</v>
      </c>
      <c r="M1285">
        <v>14.15</v>
      </c>
      <c r="N1285">
        <v>13.85</v>
      </c>
      <c r="O1285">
        <v>13.55</v>
      </c>
      <c r="T1285" t="s">
        <v>52</v>
      </c>
      <c r="U1285">
        <v>1</v>
      </c>
      <c r="V1285">
        <v>6</v>
      </c>
    </row>
    <row r="1286" spans="1:22" x14ac:dyDescent="0.3">
      <c r="A1286">
        <v>1285</v>
      </c>
      <c r="B1286">
        <v>43374</v>
      </c>
      <c r="C1286" s="2">
        <v>37859</v>
      </c>
      <c r="D1286">
        <v>22</v>
      </c>
      <c r="E1286" t="s">
        <v>42</v>
      </c>
      <c r="F1286" t="s">
        <v>37</v>
      </c>
      <c r="G1286" s="2">
        <v>44769</v>
      </c>
      <c r="H1286" s="3">
        <f t="shared" si="20"/>
        <v>2.9835616438356163</v>
      </c>
      <c r="I1286">
        <v>59</v>
      </c>
      <c r="J1286" t="s">
        <v>38</v>
      </c>
      <c r="K1286" t="s">
        <v>64</v>
      </c>
      <c r="L1286" t="s">
        <v>44</v>
      </c>
      <c r="M1286">
        <v>14</v>
      </c>
      <c r="N1286">
        <v>13.7</v>
      </c>
      <c r="O1286">
        <v>13.4</v>
      </c>
      <c r="T1286" t="s">
        <v>52</v>
      </c>
      <c r="U1286">
        <v>1</v>
      </c>
      <c r="V1286">
        <v>5</v>
      </c>
    </row>
    <row r="1287" spans="1:22" x14ac:dyDescent="0.3">
      <c r="A1287">
        <v>1286</v>
      </c>
      <c r="B1287">
        <v>43383</v>
      </c>
      <c r="C1287" s="2">
        <v>38087</v>
      </c>
      <c r="D1287">
        <v>21</v>
      </c>
      <c r="E1287" t="s">
        <v>36</v>
      </c>
      <c r="F1287" t="s">
        <v>50</v>
      </c>
      <c r="G1287" s="2">
        <v>44933</v>
      </c>
      <c r="H1287" s="3">
        <f t="shared" si="20"/>
        <v>3.2246575342465755</v>
      </c>
      <c r="I1287">
        <v>67</v>
      </c>
      <c r="J1287" t="s">
        <v>57</v>
      </c>
      <c r="K1287" t="s">
        <v>56</v>
      </c>
      <c r="L1287" t="s">
        <v>44</v>
      </c>
      <c r="M1287">
        <v>8.6</v>
      </c>
      <c r="N1287">
        <v>8.31</v>
      </c>
      <c r="T1287" t="s">
        <v>47</v>
      </c>
      <c r="U1287">
        <v>4</v>
      </c>
      <c r="V1287">
        <v>5</v>
      </c>
    </row>
    <row r="1288" spans="1:22" x14ac:dyDescent="0.3">
      <c r="A1288">
        <v>1287</v>
      </c>
      <c r="B1288">
        <v>43454</v>
      </c>
      <c r="C1288" s="2">
        <v>37286</v>
      </c>
      <c r="D1288">
        <v>23</v>
      </c>
      <c r="E1288" t="s">
        <v>36</v>
      </c>
      <c r="F1288" t="s">
        <v>50</v>
      </c>
      <c r="G1288" s="2">
        <v>44845</v>
      </c>
      <c r="H1288" s="3">
        <f t="shared" si="20"/>
        <v>3.452054794520548</v>
      </c>
      <c r="I1288">
        <v>133</v>
      </c>
      <c r="J1288" t="s">
        <v>57</v>
      </c>
      <c r="K1288" t="s">
        <v>65</v>
      </c>
      <c r="L1288" t="s">
        <v>44</v>
      </c>
      <c r="M1288">
        <v>10.53</v>
      </c>
      <c r="N1288">
        <v>10.33</v>
      </c>
      <c r="O1288">
        <v>10.130000000000001</v>
      </c>
      <c r="T1288" t="s">
        <v>47</v>
      </c>
      <c r="U1288">
        <v>1</v>
      </c>
      <c r="V1288">
        <v>3</v>
      </c>
    </row>
    <row r="1289" spans="1:22" x14ac:dyDescent="0.3">
      <c r="A1289">
        <v>1288</v>
      </c>
      <c r="B1289">
        <v>43459</v>
      </c>
      <c r="C1289" s="2">
        <v>36768</v>
      </c>
      <c r="D1289">
        <v>25</v>
      </c>
      <c r="E1289" t="s">
        <v>42</v>
      </c>
      <c r="F1289" t="s">
        <v>50</v>
      </c>
      <c r="G1289" s="2">
        <v>44762</v>
      </c>
      <c r="H1289" s="3">
        <f t="shared" si="20"/>
        <v>3.6739726027397261</v>
      </c>
      <c r="I1289">
        <v>136</v>
      </c>
      <c r="J1289" t="s">
        <v>57</v>
      </c>
      <c r="K1289" t="s">
        <v>56</v>
      </c>
      <c r="L1289" t="s">
        <v>44</v>
      </c>
      <c r="M1289">
        <v>8.5399999999999991</v>
      </c>
      <c r="N1289">
        <v>8.33</v>
      </c>
      <c r="O1289">
        <v>8.06</v>
      </c>
      <c r="T1289" t="s">
        <v>47</v>
      </c>
      <c r="U1289">
        <v>0</v>
      </c>
      <c r="V1289">
        <v>6</v>
      </c>
    </row>
    <row r="1290" spans="1:22" x14ac:dyDescent="0.3">
      <c r="A1290">
        <v>1289</v>
      </c>
      <c r="B1290">
        <v>43469</v>
      </c>
      <c r="C1290" s="2">
        <v>36149</v>
      </c>
      <c r="D1290">
        <v>27</v>
      </c>
      <c r="E1290" t="s">
        <v>42</v>
      </c>
      <c r="F1290" t="s">
        <v>50</v>
      </c>
      <c r="G1290" s="2">
        <v>44681</v>
      </c>
      <c r="H1290" s="3">
        <f t="shared" si="20"/>
        <v>2.9863013698630136</v>
      </c>
      <c r="I1290">
        <v>14</v>
      </c>
      <c r="J1290" t="s">
        <v>38</v>
      </c>
      <c r="K1290" t="s">
        <v>43</v>
      </c>
      <c r="L1290" t="s">
        <v>44</v>
      </c>
      <c r="M1290">
        <v>16.18</v>
      </c>
      <c r="N1290">
        <v>15.88</v>
      </c>
      <c r="O1290">
        <v>15.58</v>
      </c>
      <c r="T1290" t="s">
        <v>47</v>
      </c>
      <c r="U1290">
        <v>0</v>
      </c>
      <c r="V1290">
        <v>6</v>
      </c>
    </row>
    <row r="1291" spans="1:22" x14ac:dyDescent="0.3">
      <c r="A1291">
        <v>1290</v>
      </c>
      <c r="B1291">
        <v>43471</v>
      </c>
      <c r="C1291" s="2">
        <v>37173</v>
      </c>
      <c r="D1291">
        <v>24</v>
      </c>
      <c r="E1291" t="s">
        <v>36</v>
      </c>
      <c r="F1291" t="s">
        <v>50</v>
      </c>
      <c r="G1291" s="2">
        <v>44932</v>
      </c>
      <c r="H1291" s="3">
        <f t="shared" si="20"/>
        <v>2.9150684931506849</v>
      </c>
      <c r="I1291">
        <v>17</v>
      </c>
      <c r="J1291" t="s">
        <v>38</v>
      </c>
      <c r="K1291" t="s">
        <v>64</v>
      </c>
      <c r="L1291" t="s">
        <v>44</v>
      </c>
      <c r="M1291">
        <v>14</v>
      </c>
      <c r="N1291">
        <v>13.7</v>
      </c>
      <c r="T1291" t="s">
        <v>47</v>
      </c>
      <c r="U1291">
        <v>1</v>
      </c>
      <c r="V1291">
        <v>3</v>
      </c>
    </row>
    <row r="1292" spans="1:22" x14ac:dyDescent="0.3">
      <c r="A1292">
        <v>1291</v>
      </c>
      <c r="B1292">
        <v>43503</v>
      </c>
      <c r="C1292" s="2">
        <v>36643</v>
      </c>
      <c r="D1292">
        <v>25</v>
      </c>
      <c r="E1292" t="s">
        <v>36</v>
      </c>
      <c r="F1292" t="s">
        <v>37</v>
      </c>
      <c r="G1292" s="2">
        <v>44958</v>
      </c>
      <c r="H1292" s="3">
        <f t="shared" si="20"/>
        <v>3.6465753424657534</v>
      </c>
      <c r="I1292">
        <v>8</v>
      </c>
      <c r="J1292" t="s">
        <v>38</v>
      </c>
      <c r="K1292" t="s">
        <v>55</v>
      </c>
      <c r="L1292" t="s">
        <v>44</v>
      </c>
      <c r="M1292">
        <v>17.48</v>
      </c>
      <c r="N1292">
        <v>17.11</v>
      </c>
      <c r="T1292" t="s">
        <v>49</v>
      </c>
      <c r="U1292">
        <v>4</v>
      </c>
      <c r="V1292">
        <v>4</v>
      </c>
    </row>
    <row r="1293" spans="1:22" x14ac:dyDescent="0.3">
      <c r="A1293">
        <v>1292</v>
      </c>
      <c r="B1293">
        <v>43505</v>
      </c>
      <c r="C1293" s="2">
        <v>37117</v>
      </c>
      <c r="D1293">
        <v>24</v>
      </c>
      <c r="E1293" t="s">
        <v>36</v>
      </c>
      <c r="F1293" t="s">
        <v>50</v>
      </c>
      <c r="G1293" s="2">
        <v>44691</v>
      </c>
      <c r="H1293" s="3">
        <f t="shared" si="20"/>
        <v>3.3260273972602739</v>
      </c>
      <c r="I1293">
        <v>15</v>
      </c>
      <c r="J1293" t="s">
        <v>38</v>
      </c>
      <c r="K1293" t="s">
        <v>46</v>
      </c>
      <c r="L1293" t="s">
        <v>44</v>
      </c>
      <c r="M1293">
        <v>14.15</v>
      </c>
      <c r="N1293">
        <v>13.85</v>
      </c>
      <c r="O1293">
        <v>13.55</v>
      </c>
      <c r="T1293" t="s">
        <v>45</v>
      </c>
      <c r="U1293">
        <v>1</v>
      </c>
      <c r="V1293">
        <v>4</v>
      </c>
    </row>
    <row r="1294" spans="1:22" x14ac:dyDescent="0.3">
      <c r="A1294">
        <v>1293</v>
      </c>
      <c r="B1294">
        <v>43506</v>
      </c>
      <c r="C1294" s="2">
        <v>34487</v>
      </c>
      <c r="D1294">
        <v>31</v>
      </c>
      <c r="E1294" t="s">
        <v>36</v>
      </c>
      <c r="F1294" t="s">
        <v>50</v>
      </c>
      <c r="G1294" s="2">
        <v>44808</v>
      </c>
      <c r="H1294" s="3">
        <f t="shared" si="20"/>
        <v>3.473972602739726</v>
      </c>
      <c r="I1294">
        <v>19</v>
      </c>
      <c r="J1294" t="s">
        <v>38</v>
      </c>
      <c r="K1294" t="s">
        <v>46</v>
      </c>
      <c r="L1294" t="s">
        <v>44</v>
      </c>
      <c r="M1294">
        <v>14.07</v>
      </c>
      <c r="N1294">
        <v>13.73</v>
      </c>
      <c r="O1294">
        <v>13.55</v>
      </c>
      <c r="T1294" t="s">
        <v>45</v>
      </c>
      <c r="U1294">
        <v>0</v>
      </c>
      <c r="V1294">
        <v>5</v>
      </c>
    </row>
    <row r="1295" spans="1:22" x14ac:dyDescent="0.3">
      <c r="A1295">
        <v>1294</v>
      </c>
      <c r="B1295">
        <v>43529</v>
      </c>
      <c r="C1295" s="2">
        <v>37958</v>
      </c>
      <c r="D1295">
        <v>22</v>
      </c>
      <c r="E1295" t="s">
        <v>36</v>
      </c>
      <c r="F1295" t="s">
        <v>50</v>
      </c>
      <c r="G1295" s="2">
        <v>44754</v>
      </c>
      <c r="H1295" s="3">
        <f t="shared" si="20"/>
        <v>3.4465753424657533</v>
      </c>
      <c r="I1295">
        <v>94</v>
      </c>
      <c r="J1295" t="s">
        <v>57</v>
      </c>
      <c r="K1295" t="s">
        <v>65</v>
      </c>
      <c r="L1295" t="s">
        <v>44</v>
      </c>
      <c r="M1295">
        <v>10.53</v>
      </c>
      <c r="N1295">
        <v>10.33</v>
      </c>
      <c r="O1295">
        <v>10.130000000000001</v>
      </c>
      <c r="T1295" t="s">
        <v>45</v>
      </c>
      <c r="U1295">
        <v>1</v>
      </c>
      <c r="V1295">
        <v>4</v>
      </c>
    </row>
    <row r="1296" spans="1:22" x14ac:dyDescent="0.3">
      <c r="A1296">
        <v>1295</v>
      </c>
      <c r="B1296">
        <v>43551</v>
      </c>
      <c r="C1296" s="2">
        <v>36015</v>
      </c>
      <c r="D1296">
        <v>27</v>
      </c>
      <c r="E1296" t="s">
        <v>42</v>
      </c>
      <c r="F1296" t="s">
        <v>37</v>
      </c>
      <c r="G1296" s="2">
        <v>44764</v>
      </c>
      <c r="H1296" s="3">
        <f t="shared" si="20"/>
        <v>3.0602739726027397</v>
      </c>
      <c r="I1296">
        <v>31</v>
      </c>
      <c r="J1296" t="s">
        <v>38</v>
      </c>
      <c r="K1296" t="s">
        <v>54</v>
      </c>
      <c r="L1296" t="s">
        <v>44</v>
      </c>
      <c r="M1296">
        <v>22.93</v>
      </c>
      <c r="N1296">
        <v>22.78</v>
      </c>
      <c r="O1296">
        <v>22.63</v>
      </c>
      <c r="T1296" t="s">
        <v>47</v>
      </c>
      <c r="U1296">
        <v>7</v>
      </c>
      <c r="V1296">
        <v>7</v>
      </c>
    </row>
    <row r="1297" spans="1:22" x14ac:dyDescent="0.3">
      <c r="A1297">
        <v>1296</v>
      </c>
      <c r="B1297">
        <v>43552</v>
      </c>
      <c r="C1297" s="2">
        <v>38313</v>
      </c>
      <c r="D1297">
        <v>21</v>
      </c>
      <c r="E1297" t="s">
        <v>42</v>
      </c>
      <c r="F1297" t="s">
        <v>37</v>
      </c>
      <c r="G1297" s="2">
        <v>44905</v>
      </c>
      <c r="H1297" s="3">
        <f t="shared" si="20"/>
        <v>3.1835616438356165</v>
      </c>
      <c r="I1297">
        <v>35</v>
      </c>
      <c r="J1297" t="s">
        <v>38</v>
      </c>
      <c r="K1297" t="s">
        <v>43</v>
      </c>
      <c r="L1297" t="s">
        <v>44</v>
      </c>
      <c r="M1297">
        <v>16.18</v>
      </c>
      <c r="N1297">
        <v>15.88</v>
      </c>
      <c r="O1297">
        <v>15.58</v>
      </c>
      <c r="T1297" t="s">
        <v>49</v>
      </c>
      <c r="U1297">
        <v>0</v>
      </c>
      <c r="V1297">
        <v>5</v>
      </c>
    </row>
    <row r="1298" spans="1:22" x14ac:dyDescent="0.3">
      <c r="A1298">
        <v>1297</v>
      </c>
      <c r="B1298">
        <v>43580</v>
      </c>
      <c r="C1298" s="2">
        <v>33777</v>
      </c>
      <c r="D1298">
        <v>33</v>
      </c>
      <c r="E1298" t="s">
        <v>42</v>
      </c>
      <c r="F1298" t="s">
        <v>50</v>
      </c>
      <c r="G1298" s="2">
        <v>44860</v>
      </c>
      <c r="H1298" s="3">
        <f t="shared" si="20"/>
        <v>3.7452054794520548</v>
      </c>
      <c r="I1298">
        <v>9</v>
      </c>
      <c r="J1298" t="s">
        <v>38</v>
      </c>
      <c r="K1298" t="s">
        <v>54</v>
      </c>
      <c r="L1298" t="s">
        <v>44</v>
      </c>
      <c r="M1298">
        <v>23.23</v>
      </c>
      <c r="N1298">
        <v>22.93</v>
      </c>
      <c r="O1298">
        <v>22.63</v>
      </c>
      <c r="T1298" t="s">
        <v>45</v>
      </c>
      <c r="U1298">
        <v>3</v>
      </c>
      <c r="V1298">
        <v>7</v>
      </c>
    </row>
    <row r="1299" spans="1:22" x14ac:dyDescent="0.3">
      <c r="A1299">
        <v>1298</v>
      </c>
      <c r="B1299">
        <v>43615</v>
      </c>
      <c r="C1299" s="2">
        <v>37550</v>
      </c>
      <c r="D1299">
        <v>23</v>
      </c>
      <c r="E1299" t="s">
        <v>42</v>
      </c>
      <c r="F1299" t="s">
        <v>37</v>
      </c>
      <c r="G1299" s="2">
        <v>44655</v>
      </c>
      <c r="H1299" s="3">
        <f t="shared" si="20"/>
        <v>2.978082191780822</v>
      </c>
      <c r="I1299">
        <v>39</v>
      </c>
      <c r="J1299" t="s">
        <v>38</v>
      </c>
      <c r="K1299" t="s">
        <v>43</v>
      </c>
      <c r="L1299" t="s">
        <v>44</v>
      </c>
      <c r="M1299">
        <v>16.11</v>
      </c>
      <c r="N1299">
        <v>15.81</v>
      </c>
      <c r="O1299">
        <v>15.58</v>
      </c>
      <c r="T1299" t="s">
        <v>47</v>
      </c>
      <c r="U1299">
        <v>2</v>
      </c>
      <c r="V1299">
        <v>5</v>
      </c>
    </row>
    <row r="1300" spans="1:22" x14ac:dyDescent="0.3">
      <c r="A1300">
        <v>1299</v>
      </c>
      <c r="B1300">
        <v>43617</v>
      </c>
      <c r="C1300" s="2">
        <v>37022</v>
      </c>
      <c r="D1300">
        <v>24</v>
      </c>
      <c r="E1300" t="s">
        <v>42</v>
      </c>
      <c r="F1300" t="s">
        <v>37</v>
      </c>
      <c r="G1300" s="2">
        <v>44935</v>
      </c>
      <c r="H1300" s="3">
        <f t="shared" si="20"/>
        <v>3.1945205479452055</v>
      </c>
      <c r="I1300">
        <v>39</v>
      </c>
      <c r="J1300" t="s">
        <v>38</v>
      </c>
      <c r="K1300" t="s">
        <v>56</v>
      </c>
      <c r="L1300" t="s">
        <v>44</v>
      </c>
      <c r="M1300">
        <v>8.61</v>
      </c>
      <c r="N1300">
        <v>8.34</v>
      </c>
      <c r="T1300" t="s">
        <v>52</v>
      </c>
      <c r="U1300">
        <v>1</v>
      </c>
      <c r="V1300">
        <v>5</v>
      </c>
    </row>
    <row r="1301" spans="1:22" x14ac:dyDescent="0.3">
      <c r="A1301">
        <v>1300</v>
      </c>
      <c r="B1301">
        <v>43634</v>
      </c>
      <c r="C1301" s="2">
        <v>36414</v>
      </c>
      <c r="D1301">
        <v>26</v>
      </c>
      <c r="E1301" t="s">
        <v>42</v>
      </c>
      <c r="F1301" t="s">
        <v>50</v>
      </c>
      <c r="G1301" s="2">
        <v>44856</v>
      </c>
      <c r="H1301" s="3">
        <f t="shared" si="20"/>
        <v>3.6712328767123288</v>
      </c>
      <c r="I1301">
        <v>46</v>
      </c>
      <c r="J1301" t="s">
        <v>38</v>
      </c>
      <c r="K1301" t="s">
        <v>56</v>
      </c>
      <c r="L1301" t="s">
        <v>44</v>
      </c>
      <c r="M1301">
        <v>8.61</v>
      </c>
      <c r="N1301">
        <v>8.34</v>
      </c>
      <c r="O1301">
        <v>8.06</v>
      </c>
      <c r="T1301" t="s">
        <v>52</v>
      </c>
      <c r="U1301">
        <v>2</v>
      </c>
      <c r="V1301">
        <v>5</v>
      </c>
    </row>
    <row r="1302" spans="1:22" x14ac:dyDescent="0.3">
      <c r="A1302">
        <v>1301</v>
      </c>
      <c r="B1302">
        <v>43643</v>
      </c>
      <c r="C1302" s="2">
        <v>37196</v>
      </c>
      <c r="D1302">
        <v>25</v>
      </c>
      <c r="E1302" t="s">
        <v>42</v>
      </c>
      <c r="F1302" t="s">
        <v>37</v>
      </c>
      <c r="G1302" s="2">
        <v>44682</v>
      </c>
      <c r="H1302" s="3">
        <f t="shared" si="20"/>
        <v>3.2575342465753425</v>
      </c>
      <c r="I1302">
        <v>50</v>
      </c>
      <c r="J1302" t="s">
        <v>38</v>
      </c>
      <c r="K1302" t="s">
        <v>56</v>
      </c>
      <c r="L1302" t="s">
        <v>44</v>
      </c>
      <c r="M1302">
        <v>8.4600000000000009</v>
      </c>
      <c r="N1302">
        <v>8.26</v>
      </c>
      <c r="O1302">
        <v>8.06</v>
      </c>
      <c r="T1302" t="s">
        <v>52</v>
      </c>
      <c r="U1302">
        <v>2</v>
      </c>
      <c r="V1302">
        <v>6</v>
      </c>
    </row>
    <row r="1303" spans="1:22" x14ac:dyDescent="0.3">
      <c r="A1303">
        <v>1302</v>
      </c>
      <c r="B1303">
        <v>43677</v>
      </c>
      <c r="C1303" s="2">
        <v>37309</v>
      </c>
      <c r="D1303">
        <v>23</v>
      </c>
      <c r="E1303" t="s">
        <v>36</v>
      </c>
      <c r="F1303" t="s">
        <v>37</v>
      </c>
      <c r="G1303" s="2">
        <v>44833</v>
      </c>
      <c r="H1303" s="3">
        <f t="shared" si="20"/>
        <v>3.3452054794520549</v>
      </c>
      <c r="I1303">
        <v>80</v>
      </c>
      <c r="J1303" t="s">
        <v>57</v>
      </c>
      <c r="K1303" t="s">
        <v>64</v>
      </c>
      <c r="L1303" t="s">
        <v>44</v>
      </c>
      <c r="M1303">
        <v>14</v>
      </c>
      <c r="N1303">
        <v>13.7</v>
      </c>
      <c r="O1303">
        <v>13.4</v>
      </c>
      <c r="T1303" t="s">
        <v>49</v>
      </c>
      <c r="U1303">
        <v>1</v>
      </c>
      <c r="V1303">
        <v>3</v>
      </c>
    </row>
    <row r="1304" spans="1:22" x14ac:dyDescent="0.3">
      <c r="A1304">
        <v>1303</v>
      </c>
      <c r="B1304">
        <v>43687</v>
      </c>
      <c r="C1304" s="2">
        <v>36624</v>
      </c>
      <c r="D1304">
        <v>25</v>
      </c>
      <c r="E1304" t="s">
        <v>36</v>
      </c>
      <c r="F1304" t="s">
        <v>37</v>
      </c>
      <c r="G1304" s="2">
        <v>44801</v>
      </c>
      <c r="H1304" s="3">
        <f t="shared" si="20"/>
        <v>3.0602739726027397</v>
      </c>
      <c r="I1304">
        <v>87</v>
      </c>
      <c r="J1304" t="s">
        <v>57</v>
      </c>
      <c r="K1304" t="s">
        <v>43</v>
      </c>
      <c r="L1304" t="s">
        <v>44</v>
      </c>
      <c r="M1304">
        <v>15.73</v>
      </c>
      <c r="N1304">
        <v>15.58</v>
      </c>
      <c r="O1304">
        <v>15.58</v>
      </c>
      <c r="T1304" t="s">
        <v>45</v>
      </c>
      <c r="U1304">
        <v>1</v>
      </c>
      <c r="V1304">
        <v>5</v>
      </c>
    </row>
    <row r="1305" spans="1:22" x14ac:dyDescent="0.3">
      <c r="A1305">
        <v>1304</v>
      </c>
      <c r="B1305">
        <v>43693</v>
      </c>
      <c r="C1305" s="2">
        <v>36143</v>
      </c>
      <c r="D1305">
        <v>27</v>
      </c>
      <c r="E1305" t="s">
        <v>42</v>
      </c>
      <c r="F1305" t="s">
        <v>50</v>
      </c>
      <c r="G1305" s="2">
        <v>44905</v>
      </c>
      <c r="H1305" s="3">
        <f t="shared" si="20"/>
        <v>2.9150684931506849</v>
      </c>
      <c r="I1305">
        <v>98</v>
      </c>
      <c r="J1305" t="s">
        <v>57</v>
      </c>
      <c r="K1305" t="s">
        <v>43</v>
      </c>
      <c r="L1305" t="s">
        <v>44</v>
      </c>
      <c r="M1305">
        <v>15.73</v>
      </c>
      <c r="N1305">
        <v>15.58</v>
      </c>
      <c r="O1305">
        <v>15.58</v>
      </c>
      <c r="T1305" t="s">
        <v>52</v>
      </c>
      <c r="U1305">
        <v>1</v>
      </c>
      <c r="V1305">
        <v>7</v>
      </c>
    </row>
    <row r="1306" spans="1:22" x14ac:dyDescent="0.3">
      <c r="A1306">
        <v>1305</v>
      </c>
      <c r="B1306">
        <v>43698</v>
      </c>
      <c r="C1306" s="2">
        <v>37494</v>
      </c>
      <c r="D1306">
        <v>23</v>
      </c>
      <c r="E1306" t="s">
        <v>36</v>
      </c>
      <c r="F1306" t="s">
        <v>50</v>
      </c>
      <c r="G1306" s="2">
        <v>44958</v>
      </c>
      <c r="H1306" s="3">
        <f t="shared" si="20"/>
        <v>3.526027397260274</v>
      </c>
      <c r="I1306">
        <v>107</v>
      </c>
      <c r="J1306" t="s">
        <v>57</v>
      </c>
      <c r="K1306" t="s">
        <v>65</v>
      </c>
      <c r="L1306" t="s">
        <v>44</v>
      </c>
      <c r="M1306">
        <v>10.53</v>
      </c>
      <c r="N1306">
        <v>10.33</v>
      </c>
      <c r="T1306" t="s">
        <v>47</v>
      </c>
      <c r="U1306">
        <v>1</v>
      </c>
      <c r="V1306">
        <v>4</v>
      </c>
    </row>
    <row r="1307" spans="1:22" x14ac:dyDescent="0.3">
      <c r="A1307">
        <v>1306</v>
      </c>
      <c r="B1307">
        <v>43718</v>
      </c>
      <c r="C1307" s="2">
        <v>36650</v>
      </c>
      <c r="D1307">
        <v>25</v>
      </c>
      <c r="E1307" t="s">
        <v>42</v>
      </c>
      <c r="F1307" t="s">
        <v>50</v>
      </c>
      <c r="G1307" s="2">
        <v>44735</v>
      </c>
      <c r="H1307" s="3">
        <f t="shared" si="20"/>
        <v>3.4273972602739726</v>
      </c>
      <c r="I1307">
        <v>123</v>
      </c>
      <c r="J1307" t="s">
        <v>57</v>
      </c>
      <c r="K1307" t="s">
        <v>56</v>
      </c>
      <c r="L1307" t="s">
        <v>44</v>
      </c>
      <c r="M1307">
        <v>8.4600000000000009</v>
      </c>
      <c r="N1307">
        <v>8.26</v>
      </c>
      <c r="O1307">
        <v>8.06</v>
      </c>
      <c r="T1307" t="s">
        <v>47</v>
      </c>
      <c r="U1307">
        <v>3</v>
      </c>
      <c r="V1307">
        <v>6</v>
      </c>
    </row>
    <row r="1308" spans="1:22" x14ac:dyDescent="0.3">
      <c r="A1308">
        <v>1307</v>
      </c>
      <c r="B1308">
        <v>43764</v>
      </c>
      <c r="C1308" s="2">
        <v>36153</v>
      </c>
      <c r="D1308">
        <v>27</v>
      </c>
      <c r="E1308" t="s">
        <v>42</v>
      </c>
      <c r="F1308" t="s">
        <v>50</v>
      </c>
      <c r="G1308" s="2">
        <v>44771</v>
      </c>
      <c r="H1308" s="3">
        <f t="shared" si="20"/>
        <v>3.5726027397260274</v>
      </c>
      <c r="I1308">
        <v>49</v>
      </c>
      <c r="J1308" t="s">
        <v>38</v>
      </c>
      <c r="K1308" t="s">
        <v>55</v>
      </c>
      <c r="L1308" t="s">
        <v>44</v>
      </c>
      <c r="M1308">
        <v>17.45</v>
      </c>
      <c r="N1308">
        <v>17.190000000000001</v>
      </c>
      <c r="O1308">
        <v>16.739999999999998</v>
      </c>
      <c r="T1308" t="s">
        <v>45</v>
      </c>
      <c r="U1308">
        <v>1</v>
      </c>
      <c r="V1308">
        <v>5</v>
      </c>
    </row>
    <row r="1309" spans="1:22" x14ac:dyDescent="0.3">
      <c r="A1309">
        <v>1308</v>
      </c>
      <c r="B1309">
        <v>43802</v>
      </c>
      <c r="C1309" s="2">
        <v>35006</v>
      </c>
      <c r="D1309">
        <v>30</v>
      </c>
      <c r="E1309" t="s">
        <v>36</v>
      </c>
      <c r="F1309" t="s">
        <v>50</v>
      </c>
      <c r="G1309" s="2">
        <v>44718</v>
      </c>
      <c r="H1309" s="3">
        <f t="shared" si="20"/>
        <v>3.2602739726027399</v>
      </c>
      <c r="I1309">
        <v>140</v>
      </c>
      <c r="J1309" t="s">
        <v>57</v>
      </c>
      <c r="K1309" t="s">
        <v>48</v>
      </c>
      <c r="L1309" t="s">
        <v>44</v>
      </c>
      <c r="M1309">
        <v>8.5500000000000007</v>
      </c>
      <c r="N1309">
        <v>8.2799999999999994</v>
      </c>
      <c r="O1309">
        <v>8.06</v>
      </c>
      <c r="T1309" t="s">
        <v>47</v>
      </c>
      <c r="U1309">
        <v>4</v>
      </c>
      <c r="V1309">
        <v>3</v>
      </c>
    </row>
    <row r="1310" spans="1:22" x14ac:dyDescent="0.3">
      <c r="A1310">
        <v>1309</v>
      </c>
      <c r="B1310">
        <v>43835</v>
      </c>
      <c r="C1310" s="2">
        <v>37513</v>
      </c>
      <c r="D1310">
        <v>23</v>
      </c>
      <c r="E1310" t="s">
        <v>42</v>
      </c>
      <c r="F1310" t="s">
        <v>37</v>
      </c>
      <c r="G1310" s="2">
        <v>44832</v>
      </c>
      <c r="H1310" s="3">
        <f t="shared" si="20"/>
        <v>3.4794520547945207</v>
      </c>
      <c r="I1310">
        <v>19</v>
      </c>
      <c r="J1310" t="s">
        <v>38</v>
      </c>
      <c r="K1310" t="s">
        <v>48</v>
      </c>
      <c r="L1310" t="s">
        <v>44</v>
      </c>
      <c r="M1310">
        <v>8.4600000000000009</v>
      </c>
      <c r="N1310">
        <v>8.23</v>
      </c>
      <c r="O1310">
        <v>8.06</v>
      </c>
      <c r="T1310" t="s">
        <v>49</v>
      </c>
      <c r="U1310">
        <v>3</v>
      </c>
      <c r="V1310">
        <v>7</v>
      </c>
    </row>
    <row r="1311" spans="1:22" x14ac:dyDescent="0.3">
      <c r="A1311">
        <v>1310</v>
      </c>
      <c r="B1311">
        <v>43888</v>
      </c>
      <c r="C1311" s="2">
        <v>36145</v>
      </c>
      <c r="D1311">
        <v>27</v>
      </c>
      <c r="E1311" t="s">
        <v>42</v>
      </c>
      <c r="F1311" t="s">
        <v>50</v>
      </c>
      <c r="G1311" s="2">
        <v>44752</v>
      </c>
      <c r="H1311" s="3">
        <f t="shared" si="20"/>
        <v>3.010958904109589</v>
      </c>
      <c r="I1311">
        <v>68</v>
      </c>
      <c r="J1311" t="s">
        <v>57</v>
      </c>
      <c r="K1311" t="s">
        <v>68</v>
      </c>
      <c r="L1311" t="s">
        <v>44</v>
      </c>
      <c r="M1311">
        <v>16.62</v>
      </c>
      <c r="N1311">
        <v>16.41</v>
      </c>
      <c r="O1311">
        <v>16.18</v>
      </c>
      <c r="T1311" t="s">
        <v>47</v>
      </c>
      <c r="U1311">
        <v>2</v>
      </c>
      <c r="V1311">
        <v>5</v>
      </c>
    </row>
    <row r="1312" spans="1:22" x14ac:dyDescent="0.3">
      <c r="A1312">
        <v>1311</v>
      </c>
      <c r="B1312">
        <v>43896</v>
      </c>
      <c r="C1312" s="2">
        <v>35341</v>
      </c>
      <c r="D1312">
        <v>29</v>
      </c>
      <c r="E1312" t="s">
        <v>42</v>
      </c>
      <c r="F1312" t="s">
        <v>50</v>
      </c>
      <c r="G1312" s="2">
        <v>44923</v>
      </c>
      <c r="H1312" s="3">
        <f t="shared" si="20"/>
        <v>3.6849315068493151</v>
      </c>
      <c r="I1312">
        <v>76</v>
      </c>
      <c r="J1312" t="s">
        <v>57</v>
      </c>
      <c r="K1312" t="s">
        <v>56</v>
      </c>
      <c r="L1312" t="s">
        <v>44</v>
      </c>
      <c r="M1312">
        <v>8.4600000000000009</v>
      </c>
      <c r="N1312">
        <v>8.26</v>
      </c>
      <c r="O1312">
        <v>8.06</v>
      </c>
      <c r="T1312" t="s">
        <v>47</v>
      </c>
      <c r="U1312">
        <v>4</v>
      </c>
      <c r="V1312">
        <v>5</v>
      </c>
    </row>
    <row r="1313" spans="1:22" x14ac:dyDescent="0.3">
      <c r="A1313">
        <v>1312</v>
      </c>
      <c r="B1313">
        <v>43897</v>
      </c>
      <c r="C1313" s="2">
        <v>37061</v>
      </c>
      <c r="D1313">
        <v>24</v>
      </c>
      <c r="E1313" t="s">
        <v>36</v>
      </c>
      <c r="F1313" t="s">
        <v>50</v>
      </c>
      <c r="G1313" s="2">
        <v>44677</v>
      </c>
      <c r="H1313" s="3">
        <f t="shared" si="20"/>
        <v>3.6493150684931508</v>
      </c>
      <c r="I1313">
        <v>77</v>
      </c>
      <c r="J1313" t="s">
        <v>57</v>
      </c>
      <c r="K1313" t="s">
        <v>46</v>
      </c>
      <c r="L1313" t="s">
        <v>44</v>
      </c>
      <c r="M1313">
        <v>14.15</v>
      </c>
      <c r="N1313">
        <v>13.85</v>
      </c>
      <c r="O1313">
        <v>13.55</v>
      </c>
      <c r="T1313" t="s">
        <v>47</v>
      </c>
      <c r="U1313">
        <v>0</v>
      </c>
      <c r="V1313">
        <v>4</v>
      </c>
    </row>
    <row r="1314" spans="1:22" x14ac:dyDescent="0.3">
      <c r="A1314">
        <v>1313</v>
      </c>
      <c r="B1314">
        <v>43925</v>
      </c>
      <c r="C1314" s="2">
        <v>36835</v>
      </c>
      <c r="D1314">
        <v>25</v>
      </c>
      <c r="E1314" t="s">
        <v>42</v>
      </c>
      <c r="F1314" t="s">
        <v>50</v>
      </c>
      <c r="G1314" s="2">
        <v>44690</v>
      </c>
      <c r="H1314" s="3">
        <f t="shared" si="20"/>
        <v>3.7890410958904108</v>
      </c>
      <c r="I1314">
        <v>98</v>
      </c>
      <c r="J1314" t="s">
        <v>57</v>
      </c>
      <c r="K1314" t="s">
        <v>65</v>
      </c>
      <c r="L1314" t="s">
        <v>44</v>
      </c>
      <c r="M1314">
        <v>10.33</v>
      </c>
      <c r="N1314">
        <v>10.23</v>
      </c>
      <c r="O1314">
        <v>10.130000000000001</v>
      </c>
      <c r="T1314" t="s">
        <v>52</v>
      </c>
      <c r="U1314">
        <v>0</v>
      </c>
      <c r="V1314">
        <v>6</v>
      </c>
    </row>
    <row r="1315" spans="1:22" x14ac:dyDescent="0.3">
      <c r="A1315">
        <v>1314</v>
      </c>
      <c r="B1315">
        <v>43943</v>
      </c>
      <c r="C1315" s="2">
        <v>35344</v>
      </c>
      <c r="D1315">
        <v>29</v>
      </c>
      <c r="E1315" t="s">
        <v>42</v>
      </c>
      <c r="F1315" t="s">
        <v>37</v>
      </c>
      <c r="G1315" s="2">
        <v>44639</v>
      </c>
      <c r="H1315" s="3">
        <f t="shared" si="20"/>
        <v>2.9342465753424656</v>
      </c>
      <c r="I1315">
        <v>108</v>
      </c>
      <c r="J1315" t="s">
        <v>57</v>
      </c>
      <c r="K1315" t="s">
        <v>55</v>
      </c>
      <c r="L1315" t="s">
        <v>44</v>
      </c>
      <c r="M1315">
        <v>17.34</v>
      </c>
      <c r="N1315">
        <v>17.04</v>
      </c>
      <c r="O1315">
        <v>16.739999999999998</v>
      </c>
      <c r="T1315" t="s">
        <v>45</v>
      </c>
      <c r="U1315">
        <v>2</v>
      </c>
      <c r="V1315">
        <v>6</v>
      </c>
    </row>
    <row r="1316" spans="1:22" x14ac:dyDescent="0.3">
      <c r="A1316">
        <v>1315</v>
      </c>
      <c r="B1316">
        <v>43944</v>
      </c>
      <c r="C1316" s="2">
        <v>36406</v>
      </c>
      <c r="D1316">
        <v>26</v>
      </c>
      <c r="E1316" t="s">
        <v>42</v>
      </c>
      <c r="F1316" t="s">
        <v>37</v>
      </c>
      <c r="G1316" s="2">
        <v>44951</v>
      </c>
      <c r="H1316" s="3">
        <f t="shared" si="20"/>
        <v>3.8191780821917809</v>
      </c>
      <c r="I1316">
        <v>109</v>
      </c>
      <c r="J1316" t="s">
        <v>57</v>
      </c>
      <c r="K1316" t="s">
        <v>68</v>
      </c>
      <c r="L1316" t="s">
        <v>44</v>
      </c>
      <c r="M1316">
        <v>16.579999999999998</v>
      </c>
      <c r="N1316">
        <v>16.38</v>
      </c>
      <c r="T1316" t="s">
        <v>47</v>
      </c>
      <c r="U1316">
        <v>2</v>
      </c>
      <c r="V1316">
        <v>5</v>
      </c>
    </row>
    <row r="1317" spans="1:22" x14ac:dyDescent="0.3">
      <c r="A1317">
        <v>1316</v>
      </c>
      <c r="B1317">
        <v>43967</v>
      </c>
      <c r="C1317" s="2">
        <v>38690</v>
      </c>
      <c r="D1317">
        <v>20</v>
      </c>
      <c r="E1317" t="s">
        <v>42</v>
      </c>
      <c r="F1317" t="s">
        <v>50</v>
      </c>
      <c r="G1317" s="2">
        <v>44628</v>
      </c>
      <c r="H1317" s="3">
        <f t="shared" si="20"/>
        <v>3.1808219178082191</v>
      </c>
      <c r="I1317">
        <v>130</v>
      </c>
      <c r="J1317" t="s">
        <v>57</v>
      </c>
      <c r="K1317" t="s">
        <v>56</v>
      </c>
      <c r="L1317" t="s">
        <v>44</v>
      </c>
      <c r="M1317">
        <v>8.56</v>
      </c>
      <c r="N1317">
        <v>8.33</v>
      </c>
      <c r="O1317">
        <v>8.06</v>
      </c>
      <c r="T1317" t="s">
        <v>47</v>
      </c>
      <c r="U1317">
        <v>1</v>
      </c>
      <c r="V1317">
        <v>6</v>
      </c>
    </row>
    <row r="1318" spans="1:22" x14ac:dyDescent="0.3">
      <c r="A1318">
        <v>1317</v>
      </c>
      <c r="B1318">
        <v>43974</v>
      </c>
      <c r="C1318" s="2">
        <v>36287</v>
      </c>
      <c r="D1318">
        <v>26</v>
      </c>
      <c r="E1318" t="s">
        <v>42</v>
      </c>
      <c r="F1318" t="s">
        <v>50</v>
      </c>
      <c r="G1318" s="2">
        <v>44861</v>
      </c>
      <c r="H1318" s="3">
        <f t="shared" si="20"/>
        <v>2.9013698630136986</v>
      </c>
      <c r="I1318">
        <v>139</v>
      </c>
      <c r="J1318" t="s">
        <v>57</v>
      </c>
      <c r="K1318" t="s">
        <v>56</v>
      </c>
      <c r="L1318" t="s">
        <v>44</v>
      </c>
      <c r="M1318">
        <v>8.4600000000000009</v>
      </c>
      <c r="N1318">
        <v>8.26</v>
      </c>
      <c r="O1318">
        <v>8.06</v>
      </c>
      <c r="T1318" t="s">
        <v>47</v>
      </c>
      <c r="U1318">
        <v>4</v>
      </c>
      <c r="V1318">
        <v>7</v>
      </c>
    </row>
    <row r="1319" spans="1:22" x14ac:dyDescent="0.3">
      <c r="A1319">
        <v>1318</v>
      </c>
      <c r="B1319">
        <v>43989</v>
      </c>
      <c r="C1319" s="2">
        <v>35244</v>
      </c>
      <c r="D1319">
        <v>29</v>
      </c>
      <c r="E1319" t="s">
        <v>36</v>
      </c>
      <c r="F1319" t="s">
        <v>50</v>
      </c>
      <c r="G1319" s="2">
        <v>44963</v>
      </c>
      <c r="H1319" s="3">
        <f t="shared" si="20"/>
        <v>3.1232876712328768</v>
      </c>
      <c r="I1319">
        <v>7</v>
      </c>
      <c r="J1319" t="s">
        <v>38</v>
      </c>
      <c r="K1319" t="s">
        <v>55</v>
      </c>
      <c r="L1319" t="s">
        <v>44</v>
      </c>
      <c r="M1319">
        <v>17.04</v>
      </c>
      <c r="N1319">
        <v>16.89</v>
      </c>
      <c r="T1319" t="s">
        <v>47</v>
      </c>
      <c r="U1319">
        <v>1</v>
      </c>
      <c r="V1319">
        <v>3</v>
      </c>
    </row>
    <row r="1320" spans="1:22" x14ac:dyDescent="0.3">
      <c r="A1320">
        <v>1319</v>
      </c>
      <c r="B1320">
        <v>43991</v>
      </c>
      <c r="C1320" s="2">
        <v>37123</v>
      </c>
      <c r="D1320">
        <v>24</v>
      </c>
      <c r="E1320" t="s">
        <v>42</v>
      </c>
      <c r="F1320" t="s">
        <v>50</v>
      </c>
      <c r="G1320" s="2">
        <v>44882</v>
      </c>
      <c r="H1320" s="3">
        <f t="shared" si="20"/>
        <v>3.6164383561643834</v>
      </c>
      <c r="I1320">
        <v>8</v>
      </c>
      <c r="J1320" t="s">
        <v>38</v>
      </c>
      <c r="K1320" t="s">
        <v>65</v>
      </c>
      <c r="L1320" t="s">
        <v>44</v>
      </c>
      <c r="M1320">
        <v>10.41</v>
      </c>
      <c r="N1320">
        <v>10.28</v>
      </c>
      <c r="O1320">
        <v>10.130000000000001</v>
      </c>
      <c r="T1320" t="s">
        <v>52</v>
      </c>
      <c r="U1320">
        <v>1</v>
      </c>
      <c r="V1320">
        <v>5</v>
      </c>
    </row>
    <row r="1321" spans="1:22" x14ac:dyDescent="0.3">
      <c r="A1321">
        <v>1320</v>
      </c>
      <c r="B1321">
        <v>44001</v>
      </c>
      <c r="C1321" s="2">
        <v>36834</v>
      </c>
      <c r="D1321">
        <v>25</v>
      </c>
      <c r="E1321" t="s">
        <v>42</v>
      </c>
      <c r="F1321" t="s">
        <v>37</v>
      </c>
      <c r="G1321" s="2">
        <v>44702</v>
      </c>
      <c r="H1321" s="3">
        <f t="shared" si="20"/>
        <v>3.0904109589041098</v>
      </c>
      <c r="I1321">
        <v>15</v>
      </c>
      <c r="J1321" t="s">
        <v>38</v>
      </c>
      <c r="K1321" t="s">
        <v>43</v>
      </c>
      <c r="L1321" t="s">
        <v>44</v>
      </c>
      <c r="M1321">
        <v>16.18</v>
      </c>
      <c r="N1321">
        <v>15.88</v>
      </c>
      <c r="O1321">
        <v>15.58</v>
      </c>
      <c r="T1321" t="s">
        <v>47</v>
      </c>
      <c r="U1321">
        <v>1</v>
      </c>
      <c r="V1321">
        <v>5</v>
      </c>
    </row>
    <row r="1322" spans="1:22" x14ac:dyDescent="0.3">
      <c r="A1322">
        <v>1321</v>
      </c>
      <c r="B1322">
        <v>44033</v>
      </c>
      <c r="C1322" s="2">
        <v>36600</v>
      </c>
      <c r="D1322">
        <v>25</v>
      </c>
      <c r="E1322" t="s">
        <v>36</v>
      </c>
      <c r="F1322" t="s">
        <v>50</v>
      </c>
      <c r="G1322" s="2">
        <v>44894</v>
      </c>
      <c r="H1322" s="3">
        <f t="shared" si="20"/>
        <v>3.106849315068493</v>
      </c>
      <c r="I1322">
        <v>26</v>
      </c>
      <c r="J1322" t="s">
        <v>38</v>
      </c>
      <c r="K1322" t="s">
        <v>55</v>
      </c>
      <c r="L1322" t="s">
        <v>44</v>
      </c>
      <c r="M1322">
        <v>17.34</v>
      </c>
      <c r="N1322">
        <v>17.04</v>
      </c>
      <c r="O1322">
        <v>16.739999999999998</v>
      </c>
      <c r="T1322" t="s">
        <v>52</v>
      </c>
      <c r="U1322">
        <v>0</v>
      </c>
      <c r="V1322">
        <v>4</v>
      </c>
    </row>
    <row r="1323" spans="1:22" x14ac:dyDescent="0.3">
      <c r="A1323">
        <v>1322</v>
      </c>
      <c r="B1323">
        <v>44040</v>
      </c>
      <c r="C1323" s="2">
        <v>37945</v>
      </c>
      <c r="D1323">
        <v>22</v>
      </c>
      <c r="E1323" t="s">
        <v>42</v>
      </c>
      <c r="F1323" t="s">
        <v>37</v>
      </c>
      <c r="G1323" s="2">
        <v>44888</v>
      </c>
      <c r="H1323" s="3">
        <f t="shared" si="20"/>
        <v>3.3260273972602739</v>
      </c>
      <c r="I1323">
        <v>31</v>
      </c>
      <c r="J1323" t="s">
        <v>38</v>
      </c>
      <c r="K1323" t="s">
        <v>48</v>
      </c>
      <c r="L1323" t="s">
        <v>44</v>
      </c>
      <c r="M1323">
        <v>8.16</v>
      </c>
      <c r="N1323">
        <v>8.06</v>
      </c>
      <c r="O1323">
        <v>8.06</v>
      </c>
      <c r="T1323" t="s">
        <v>49</v>
      </c>
      <c r="U1323">
        <v>2</v>
      </c>
      <c r="V1323">
        <v>4</v>
      </c>
    </row>
    <row r="1324" spans="1:22" x14ac:dyDescent="0.3">
      <c r="A1324">
        <v>1323</v>
      </c>
      <c r="B1324">
        <v>44071</v>
      </c>
      <c r="C1324" s="2">
        <v>36592</v>
      </c>
      <c r="D1324">
        <v>25</v>
      </c>
      <c r="E1324" t="s">
        <v>42</v>
      </c>
      <c r="F1324" t="s">
        <v>37</v>
      </c>
      <c r="G1324" s="2">
        <v>44808</v>
      </c>
      <c r="H1324" s="3">
        <f t="shared" si="20"/>
        <v>2.9068493150684933</v>
      </c>
      <c r="I1324">
        <v>41</v>
      </c>
      <c r="J1324" t="s">
        <v>38</v>
      </c>
      <c r="K1324" t="s">
        <v>64</v>
      </c>
      <c r="L1324" t="s">
        <v>44</v>
      </c>
      <c r="M1324">
        <v>14</v>
      </c>
      <c r="N1324">
        <v>13.7</v>
      </c>
      <c r="O1324">
        <v>13.4</v>
      </c>
      <c r="T1324" t="s">
        <v>52</v>
      </c>
      <c r="U1324">
        <v>1</v>
      </c>
      <c r="V1324">
        <v>5</v>
      </c>
    </row>
    <row r="1325" spans="1:22" x14ac:dyDescent="0.3">
      <c r="A1325">
        <v>1324</v>
      </c>
      <c r="B1325">
        <v>44086</v>
      </c>
      <c r="C1325" s="2">
        <v>35481</v>
      </c>
      <c r="D1325">
        <v>28</v>
      </c>
      <c r="E1325" t="s">
        <v>42</v>
      </c>
      <c r="F1325" t="s">
        <v>50</v>
      </c>
      <c r="G1325" s="2">
        <v>44961</v>
      </c>
      <c r="H1325" s="3">
        <f t="shared" si="20"/>
        <v>2.9150684931506849</v>
      </c>
      <c r="I1325">
        <v>49</v>
      </c>
      <c r="J1325" t="s">
        <v>38</v>
      </c>
      <c r="K1325" t="s">
        <v>46</v>
      </c>
      <c r="L1325" t="s">
        <v>44</v>
      </c>
      <c r="M1325">
        <v>13.94</v>
      </c>
      <c r="N1325">
        <v>13.94</v>
      </c>
      <c r="T1325" t="s">
        <v>52</v>
      </c>
      <c r="U1325">
        <v>0</v>
      </c>
      <c r="V1325">
        <v>6</v>
      </c>
    </row>
    <row r="1326" spans="1:22" x14ac:dyDescent="0.3">
      <c r="A1326">
        <v>1325</v>
      </c>
      <c r="B1326">
        <v>44123</v>
      </c>
      <c r="C1326" s="2">
        <v>35791</v>
      </c>
      <c r="D1326">
        <v>28</v>
      </c>
      <c r="E1326" t="s">
        <v>42</v>
      </c>
      <c r="F1326" t="s">
        <v>50</v>
      </c>
      <c r="G1326" s="2">
        <v>44958</v>
      </c>
      <c r="H1326" s="3">
        <f t="shared" si="20"/>
        <v>3.0164383561643837</v>
      </c>
      <c r="I1326">
        <v>69</v>
      </c>
      <c r="J1326" t="s">
        <v>57</v>
      </c>
      <c r="K1326" t="s">
        <v>46</v>
      </c>
      <c r="L1326" t="s">
        <v>44</v>
      </c>
      <c r="M1326">
        <v>14.38</v>
      </c>
      <c r="N1326">
        <v>13.95</v>
      </c>
      <c r="T1326" t="s">
        <v>47</v>
      </c>
      <c r="U1326">
        <v>1</v>
      </c>
      <c r="V1326">
        <v>6</v>
      </c>
    </row>
    <row r="1327" spans="1:22" x14ac:dyDescent="0.3">
      <c r="A1327">
        <v>1326</v>
      </c>
      <c r="B1327">
        <v>44140</v>
      </c>
      <c r="C1327" s="2">
        <v>37663</v>
      </c>
      <c r="D1327">
        <v>22</v>
      </c>
      <c r="E1327" t="s">
        <v>42</v>
      </c>
      <c r="F1327" t="s">
        <v>50</v>
      </c>
      <c r="G1327" s="2">
        <v>44921</v>
      </c>
      <c r="H1327" s="3">
        <f t="shared" si="20"/>
        <v>2.9753424657534246</v>
      </c>
      <c r="I1327">
        <v>77</v>
      </c>
      <c r="J1327" t="s">
        <v>57</v>
      </c>
      <c r="K1327" t="s">
        <v>56</v>
      </c>
      <c r="L1327" t="s">
        <v>44</v>
      </c>
      <c r="M1327">
        <v>8.4600000000000009</v>
      </c>
      <c r="N1327">
        <v>8.26</v>
      </c>
      <c r="O1327">
        <v>8.06</v>
      </c>
      <c r="T1327" t="s">
        <v>47</v>
      </c>
      <c r="U1327">
        <v>2</v>
      </c>
      <c r="V1327">
        <v>7</v>
      </c>
    </row>
    <row r="1328" spans="1:22" x14ac:dyDescent="0.3">
      <c r="A1328">
        <v>1327</v>
      </c>
      <c r="B1328">
        <v>44143</v>
      </c>
      <c r="C1328" s="2">
        <v>36069</v>
      </c>
      <c r="D1328">
        <v>28</v>
      </c>
      <c r="E1328" t="s">
        <v>36</v>
      </c>
      <c r="F1328" t="s">
        <v>50</v>
      </c>
      <c r="G1328" s="2">
        <v>44936</v>
      </c>
      <c r="H1328" s="3">
        <f t="shared" si="20"/>
        <v>2.9068493150684933</v>
      </c>
      <c r="I1328">
        <v>82</v>
      </c>
      <c r="J1328" t="s">
        <v>57</v>
      </c>
      <c r="K1328" t="s">
        <v>46</v>
      </c>
      <c r="L1328" t="s">
        <v>44</v>
      </c>
      <c r="M1328">
        <v>14.15</v>
      </c>
      <c r="N1328">
        <v>13.85</v>
      </c>
      <c r="T1328" t="s">
        <v>47</v>
      </c>
      <c r="U1328">
        <v>1</v>
      </c>
      <c r="V1328">
        <v>4</v>
      </c>
    </row>
    <row r="1329" spans="1:22" x14ac:dyDescent="0.3">
      <c r="A1329">
        <v>1328</v>
      </c>
      <c r="B1329">
        <v>44170</v>
      </c>
      <c r="C1329" s="2">
        <v>36811</v>
      </c>
      <c r="D1329">
        <v>25</v>
      </c>
      <c r="E1329" t="s">
        <v>36</v>
      </c>
      <c r="F1329" t="s">
        <v>50</v>
      </c>
      <c r="G1329" s="2">
        <v>44961</v>
      </c>
      <c r="H1329" s="3">
        <f t="shared" si="20"/>
        <v>3.1369863013698631</v>
      </c>
      <c r="I1329">
        <v>94</v>
      </c>
      <c r="J1329" t="s">
        <v>57</v>
      </c>
      <c r="K1329" t="s">
        <v>54</v>
      </c>
      <c r="L1329" t="s">
        <v>44</v>
      </c>
      <c r="M1329">
        <v>23.23</v>
      </c>
      <c r="N1329">
        <v>22.93</v>
      </c>
      <c r="T1329" t="s">
        <v>47</v>
      </c>
      <c r="U1329">
        <v>7</v>
      </c>
      <c r="V1329">
        <v>5</v>
      </c>
    </row>
    <row r="1330" spans="1:22" x14ac:dyDescent="0.3">
      <c r="A1330">
        <v>1329</v>
      </c>
      <c r="B1330">
        <v>44173</v>
      </c>
      <c r="C1330" s="2">
        <v>37764</v>
      </c>
      <c r="D1330">
        <v>22</v>
      </c>
      <c r="E1330" t="s">
        <v>42</v>
      </c>
      <c r="F1330" t="s">
        <v>50</v>
      </c>
      <c r="G1330" s="2">
        <v>44877</v>
      </c>
      <c r="H1330" s="3">
        <f t="shared" si="20"/>
        <v>3.419178082191781</v>
      </c>
      <c r="I1330">
        <v>95</v>
      </c>
      <c r="J1330" t="s">
        <v>57</v>
      </c>
      <c r="K1330" t="s">
        <v>64</v>
      </c>
      <c r="L1330" t="s">
        <v>44</v>
      </c>
      <c r="M1330">
        <v>14</v>
      </c>
      <c r="N1330">
        <v>13.7</v>
      </c>
      <c r="O1330">
        <v>13.4</v>
      </c>
      <c r="T1330" t="s">
        <v>49</v>
      </c>
      <c r="U1330">
        <v>1</v>
      </c>
      <c r="V1330">
        <v>5</v>
      </c>
    </row>
    <row r="1331" spans="1:22" x14ac:dyDescent="0.3">
      <c r="A1331">
        <v>1330</v>
      </c>
      <c r="B1331">
        <v>44199</v>
      </c>
      <c r="C1331" s="2">
        <v>34881</v>
      </c>
      <c r="D1331">
        <v>31</v>
      </c>
      <c r="E1331" t="s">
        <v>36</v>
      </c>
      <c r="F1331" t="s">
        <v>50</v>
      </c>
      <c r="G1331" s="2">
        <v>44774</v>
      </c>
      <c r="H1331" s="3">
        <f t="shared" si="20"/>
        <v>3.6328767123287671</v>
      </c>
      <c r="I1331">
        <v>109</v>
      </c>
      <c r="J1331" t="s">
        <v>57</v>
      </c>
      <c r="K1331" t="s">
        <v>56</v>
      </c>
      <c r="L1331" t="s">
        <v>44</v>
      </c>
      <c r="M1331">
        <v>8.4600000000000009</v>
      </c>
      <c r="N1331">
        <v>8.26</v>
      </c>
      <c r="O1331">
        <v>8.06</v>
      </c>
      <c r="T1331" t="s">
        <v>47</v>
      </c>
      <c r="U1331">
        <v>2</v>
      </c>
      <c r="V1331">
        <v>4</v>
      </c>
    </row>
    <row r="1332" spans="1:22" x14ac:dyDescent="0.3">
      <c r="A1332">
        <v>1331</v>
      </c>
      <c r="B1332">
        <v>44202</v>
      </c>
      <c r="C1332" s="2">
        <v>37442</v>
      </c>
      <c r="D1332">
        <v>23</v>
      </c>
      <c r="E1332" t="s">
        <v>36</v>
      </c>
      <c r="F1332" t="s">
        <v>50</v>
      </c>
      <c r="G1332" s="2">
        <v>44696</v>
      </c>
      <c r="H1332" s="3">
        <f t="shared" si="20"/>
        <v>3.7205479452054795</v>
      </c>
      <c r="I1332">
        <v>112</v>
      </c>
      <c r="J1332" t="s">
        <v>57</v>
      </c>
      <c r="K1332" t="s">
        <v>64</v>
      </c>
      <c r="L1332" t="s">
        <v>44</v>
      </c>
      <c r="M1332">
        <v>14</v>
      </c>
      <c r="N1332">
        <v>13.7</v>
      </c>
      <c r="O1332">
        <v>13.4</v>
      </c>
      <c r="T1332" t="s">
        <v>47</v>
      </c>
      <c r="U1332">
        <v>1</v>
      </c>
      <c r="V1332">
        <v>5</v>
      </c>
    </row>
    <row r="1333" spans="1:22" x14ac:dyDescent="0.3">
      <c r="A1333">
        <v>1332</v>
      </c>
      <c r="B1333">
        <v>44221</v>
      </c>
      <c r="C1333" s="2">
        <v>36622</v>
      </c>
      <c r="D1333">
        <v>25</v>
      </c>
      <c r="E1333" t="s">
        <v>42</v>
      </c>
      <c r="F1333" t="s">
        <v>50</v>
      </c>
      <c r="G1333" s="2">
        <v>44664</v>
      </c>
      <c r="H1333" s="3">
        <f t="shared" si="20"/>
        <v>3.4876712328767123</v>
      </c>
      <c r="I1333">
        <v>122</v>
      </c>
      <c r="J1333" t="s">
        <v>57</v>
      </c>
      <c r="K1333" t="s">
        <v>56</v>
      </c>
      <c r="L1333" t="s">
        <v>44</v>
      </c>
      <c r="M1333">
        <v>8.5299999999999994</v>
      </c>
      <c r="N1333">
        <v>8.32</v>
      </c>
      <c r="O1333">
        <v>8.06</v>
      </c>
      <c r="T1333" t="s">
        <v>49</v>
      </c>
      <c r="U1333">
        <v>2</v>
      </c>
      <c r="V1333">
        <v>5</v>
      </c>
    </row>
    <row r="1334" spans="1:22" x14ac:dyDescent="0.3">
      <c r="A1334">
        <v>1333</v>
      </c>
      <c r="B1334">
        <v>44222</v>
      </c>
      <c r="C1334" s="2">
        <v>37863</v>
      </c>
      <c r="D1334">
        <v>22</v>
      </c>
      <c r="E1334" t="s">
        <v>42</v>
      </c>
      <c r="F1334" t="s">
        <v>50</v>
      </c>
      <c r="G1334" s="2">
        <v>44749</v>
      </c>
      <c r="H1334" s="3">
        <f t="shared" si="20"/>
        <v>3.4493150684931506</v>
      </c>
      <c r="I1334">
        <v>122</v>
      </c>
      <c r="J1334" t="s">
        <v>57</v>
      </c>
      <c r="K1334" t="s">
        <v>56</v>
      </c>
      <c r="L1334" t="s">
        <v>44</v>
      </c>
      <c r="M1334">
        <v>8.24</v>
      </c>
      <c r="N1334">
        <v>8.24</v>
      </c>
      <c r="O1334">
        <v>8.06</v>
      </c>
      <c r="T1334" t="s">
        <v>47</v>
      </c>
      <c r="U1334">
        <v>3</v>
      </c>
      <c r="V1334">
        <v>6</v>
      </c>
    </row>
    <row r="1335" spans="1:22" x14ac:dyDescent="0.3">
      <c r="A1335">
        <v>1334</v>
      </c>
      <c r="B1335">
        <v>44247</v>
      </c>
      <c r="C1335" s="2">
        <v>37099</v>
      </c>
      <c r="D1335">
        <v>24</v>
      </c>
      <c r="E1335" t="s">
        <v>42</v>
      </c>
      <c r="F1335" t="s">
        <v>50</v>
      </c>
      <c r="G1335" s="2">
        <v>44763</v>
      </c>
      <c r="H1335" s="3">
        <f t="shared" si="20"/>
        <v>2.882191780821918</v>
      </c>
      <c r="I1335">
        <v>141</v>
      </c>
      <c r="J1335" t="s">
        <v>57</v>
      </c>
      <c r="K1335" t="s">
        <v>56</v>
      </c>
      <c r="L1335" t="s">
        <v>44</v>
      </c>
      <c r="M1335">
        <v>8.59</v>
      </c>
      <c r="N1335">
        <v>8.34</v>
      </c>
      <c r="O1335">
        <v>8.06</v>
      </c>
      <c r="T1335" t="s">
        <v>49</v>
      </c>
      <c r="U1335">
        <v>2</v>
      </c>
      <c r="V1335">
        <v>6</v>
      </c>
    </row>
    <row r="1336" spans="1:22" x14ac:dyDescent="0.3">
      <c r="A1336">
        <v>1335</v>
      </c>
      <c r="B1336">
        <v>44331</v>
      </c>
      <c r="C1336" s="2">
        <v>37110</v>
      </c>
      <c r="D1336">
        <v>24</v>
      </c>
      <c r="E1336" t="s">
        <v>42</v>
      </c>
      <c r="F1336" t="s">
        <v>50</v>
      </c>
      <c r="G1336" s="2">
        <v>44970</v>
      </c>
      <c r="H1336" s="3">
        <f t="shared" si="20"/>
        <v>2.904109589041096</v>
      </c>
      <c r="I1336">
        <v>5</v>
      </c>
      <c r="J1336" t="s">
        <v>38</v>
      </c>
      <c r="K1336" t="s">
        <v>68</v>
      </c>
      <c r="L1336" t="s">
        <v>44</v>
      </c>
      <c r="M1336">
        <v>16.579999999999998</v>
      </c>
      <c r="N1336">
        <v>16.38</v>
      </c>
      <c r="T1336" t="s">
        <v>47</v>
      </c>
      <c r="U1336">
        <v>2</v>
      </c>
      <c r="V1336">
        <v>7</v>
      </c>
    </row>
    <row r="1337" spans="1:22" x14ac:dyDescent="0.3">
      <c r="A1337">
        <v>1336</v>
      </c>
      <c r="B1337">
        <v>44332</v>
      </c>
      <c r="C1337" s="2">
        <v>38274</v>
      </c>
      <c r="D1337">
        <v>21</v>
      </c>
      <c r="E1337" t="s">
        <v>36</v>
      </c>
      <c r="F1337" t="s">
        <v>50</v>
      </c>
      <c r="G1337" s="2">
        <v>44962</v>
      </c>
      <c r="H1337" s="3">
        <f t="shared" si="20"/>
        <v>3.2958904109589042</v>
      </c>
      <c r="I1337">
        <v>5</v>
      </c>
      <c r="J1337" t="s">
        <v>38</v>
      </c>
      <c r="K1337" t="s">
        <v>65</v>
      </c>
      <c r="L1337" t="s">
        <v>44</v>
      </c>
      <c r="M1337">
        <v>10.53</v>
      </c>
      <c r="N1337">
        <v>10.33</v>
      </c>
      <c r="T1337" t="s">
        <v>45</v>
      </c>
      <c r="U1337">
        <v>0</v>
      </c>
      <c r="V1337">
        <v>4</v>
      </c>
    </row>
    <row r="1338" spans="1:22" x14ac:dyDescent="0.3">
      <c r="A1338">
        <v>1337</v>
      </c>
      <c r="B1338">
        <v>44334</v>
      </c>
      <c r="C1338" s="2">
        <v>36869</v>
      </c>
      <c r="D1338">
        <v>25</v>
      </c>
      <c r="E1338" t="s">
        <v>36</v>
      </c>
      <c r="F1338" t="s">
        <v>37</v>
      </c>
      <c r="G1338" s="2">
        <v>44819</v>
      </c>
      <c r="H1338" s="3">
        <f t="shared" si="20"/>
        <v>3.1123287671232878</v>
      </c>
      <c r="I1338">
        <v>5</v>
      </c>
      <c r="J1338" t="s">
        <v>38</v>
      </c>
      <c r="K1338" t="s">
        <v>43</v>
      </c>
      <c r="L1338" t="s">
        <v>44</v>
      </c>
      <c r="M1338">
        <v>16.18</v>
      </c>
      <c r="N1338">
        <v>15.88</v>
      </c>
      <c r="O1338">
        <v>15.58</v>
      </c>
      <c r="T1338" t="s">
        <v>49</v>
      </c>
      <c r="U1338">
        <v>1</v>
      </c>
      <c r="V1338">
        <v>4</v>
      </c>
    </row>
    <row r="1339" spans="1:22" x14ac:dyDescent="0.3">
      <c r="A1339">
        <v>1338</v>
      </c>
      <c r="B1339">
        <v>44343</v>
      </c>
      <c r="C1339" s="2">
        <v>36423</v>
      </c>
      <c r="D1339">
        <v>26</v>
      </c>
      <c r="E1339" t="s">
        <v>42</v>
      </c>
      <c r="F1339" t="s">
        <v>50</v>
      </c>
      <c r="G1339" s="2">
        <v>44886</v>
      </c>
      <c r="H1339" s="3">
        <f t="shared" si="20"/>
        <v>3.2356164383561645</v>
      </c>
      <c r="I1339">
        <v>5</v>
      </c>
      <c r="J1339" t="s">
        <v>38</v>
      </c>
      <c r="K1339" t="s">
        <v>56</v>
      </c>
      <c r="L1339" t="s">
        <v>44</v>
      </c>
      <c r="M1339">
        <v>8.4600000000000009</v>
      </c>
      <c r="N1339">
        <v>8.26</v>
      </c>
      <c r="O1339">
        <v>8.06</v>
      </c>
      <c r="T1339" t="s">
        <v>49</v>
      </c>
      <c r="U1339">
        <v>2</v>
      </c>
      <c r="V1339">
        <v>5</v>
      </c>
    </row>
    <row r="1340" spans="1:22" x14ac:dyDescent="0.3">
      <c r="A1340">
        <v>1339</v>
      </c>
      <c r="B1340">
        <v>44393</v>
      </c>
      <c r="C1340" s="2">
        <v>36656</v>
      </c>
      <c r="D1340">
        <v>25</v>
      </c>
      <c r="E1340" t="s">
        <v>42</v>
      </c>
      <c r="F1340" t="s">
        <v>50</v>
      </c>
      <c r="G1340" s="2">
        <v>44841</v>
      </c>
      <c r="H1340" s="3">
        <f t="shared" si="20"/>
        <v>3.2219178082191782</v>
      </c>
      <c r="I1340">
        <v>9</v>
      </c>
      <c r="J1340" t="s">
        <v>38</v>
      </c>
      <c r="K1340" t="s">
        <v>68</v>
      </c>
      <c r="L1340" t="s">
        <v>44</v>
      </c>
      <c r="M1340">
        <v>16.579999999999998</v>
      </c>
      <c r="N1340">
        <v>16.38</v>
      </c>
      <c r="O1340">
        <v>16.18</v>
      </c>
      <c r="T1340" t="s">
        <v>47</v>
      </c>
      <c r="U1340">
        <v>0</v>
      </c>
      <c r="V1340">
        <v>7</v>
      </c>
    </row>
    <row r="1341" spans="1:22" x14ac:dyDescent="0.3">
      <c r="A1341">
        <v>1340</v>
      </c>
      <c r="B1341">
        <v>44477</v>
      </c>
      <c r="C1341" s="2">
        <v>37418</v>
      </c>
      <c r="D1341">
        <v>23</v>
      </c>
      <c r="E1341" t="s">
        <v>42</v>
      </c>
      <c r="F1341" t="s">
        <v>50</v>
      </c>
      <c r="G1341" s="2">
        <v>44846</v>
      </c>
      <c r="H1341" s="3">
        <f t="shared" si="20"/>
        <v>3.1698630136986301</v>
      </c>
      <c r="I1341">
        <v>13</v>
      </c>
      <c r="J1341" t="s">
        <v>38</v>
      </c>
      <c r="K1341" t="s">
        <v>65</v>
      </c>
      <c r="L1341" t="s">
        <v>44</v>
      </c>
      <c r="M1341">
        <v>10.23</v>
      </c>
      <c r="N1341">
        <v>10.130000000000001</v>
      </c>
      <c r="O1341">
        <v>10.130000000000001</v>
      </c>
      <c r="T1341" t="s">
        <v>47</v>
      </c>
      <c r="U1341">
        <v>0</v>
      </c>
      <c r="V1341">
        <v>6</v>
      </c>
    </row>
    <row r="1342" spans="1:22" x14ac:dyDescent="0.3">
      <c r="A1342">
        <v>1341</v>
      </c>
      <c r="B1342">
        <v>44535</v>
      </c>
      <c r="C1342" s="2">
        <v>37217</v>
      </c>
      <c r="D1342">
        <v>24</v>
      </c>
      <c r="E1342" t="s">
        <v>42</v>
      </c>
      <c r="F1342" t="s">
        <v>50</v>
      </c>
      <c r="G1342" s="2">
        <v>44865</v>
      </c>
      <c r="H1342" s="3">
        <f t="shared" si="20"/>
        <v>2.8</v>
      </c>
      <c r="I1342">
        <v>15</v>
      </c>
      <c r="J1342" t="s">
        <v>38</v>
      </c>
      <c r="K1342" t="s">
        <v>68</v>
      </c>
      <c r="L1342" t="s">
        <v>44</v>
      </c>
      <c r="M1342">
        <v>16.579999999999998</v>
      </c>
      <c r="N1342">
        <v>16.38</v>
      </c>
      <c r="O1342">
        <v>16.18</v>
      </c>
      <c r="T1342" t="s">
        <v>49</v>
      </c>
      <c r="U1342">
        <v>3</v>
      </c>
      <c r="V1342">
        <v>5</v>
      </c>
    </row>
    <row r="1343" spans="1:22" x14ac:dyDescent="0.3">
      <c r="A1343">
        <v>1342</v>
      </c>
      <c r="B1343">
        <v>44537</v>
      </c>
      <c r="C1343" s="2">
        <v>35565</v>
      </c>
      <c r="D1343">
        <v>28</v>
      </c>
      <c r="E1343" t="s">
        <v>42</v>
      </c>
      <c r="F1343" t="s">
        <v>50</v>
      </c>
      <c r="G1343" s="2">
        <v>45000</v>
      </c>
      <c r="H1343" s="3">
        <f t="shared" si="20"/>
        <v>3.128767123287671</v>
      </c>
      <c r="I1343">
        <v>15</v>
      </c>
      <c r="J1343" t="s">
        <v>38</v>
      </c>
      <c r="K1343" t="s">
        <v>68</v>
      </c>
      <c r="L1343" t="s">
        <v>44</v>
      </c>
      <c r="M1343">
        <v>16.579999999999998</v>
      </c>
      <c r="N1343">
        <v>16.38</v>
      </c>
      <c r="T1343" t="s">
        <v>47</v>
      </c>
      <c r="U1343">
        <v>1</v>
      </c>
      <c r="V1343">
        <v>6</v>
      </c>
    </row>
    <row r="1344" spans="1:22" x14ac:dyDescent="0.3">
      <c r="A1344">
        <v>1343</v>
      </c>
      <c r="B1344">
        <v>44650</v>
      </c>
      <c r="C1344" s="2">
        <v>36152</v>
      </c>
      <c r="D1344">
        <v>27</v>
      </c>
      <c r="E1344" t="s">
        <v>42</v>
      </c>
      <c r="F1344" t="s">
        <v>37</v>
      </c>
      <c r="G1344" s="2">
        <v>44880</v>
      </c>
      <c r="H1344" s="3">
        <f t="shared" si="20"/>
        <v>3.5616438356164384</v>
      </c>
      <c r="I1344">
        <v>21</v>
      </c>
      <c r="J1344" t="s">
        <v>38</v>
      </c>
      <c r="K1344" t="s">
        <v>68</v>
      </c>
      <c r="L1344" t="s">
        <v>44</v>
      </c>
      <c r="M1344">
        <v>16.579999999999998</v>
      </c>
      <c r="N1344">
        <v>16.38</v>
      </c>
      <c r="O1344">
        <v>16.18</v>
      </c>
      <c r="T1344" t="s">
        <v>47</v>
      </c>
      <c r="U1344">
        <v>2</v>
      </c>
      <c r="V1344">
        <v>4</v>
      </c>
    </row>
    <row r="1345" spans="1:22" x14ac:dyDescent="0.3">
      <c r="A1345">
        <v>1344</v>
      </c>
      <c r="B1345">
        <v>44652</v>
      </c>
      <c r="C1345" s="2">
        <v>36877</v>
      </c>
      <c r="D1345">
        <v>25</v>
      </c>
      <c r="E1345" t="s">
        <v>36</v>
      </c>
      <c r="F1345" t="s">
        <v>50</v>
      </c>
      <c r="G1345" s="2">
        <v>44722</v>
      </c>
      <c r="H1345" s="3">
        <f t="shared" si="20"/>
        <v>3.128767123287671</v>
      </c>
      <c r="I1345">
        <v>21</v>
      </c>
      <c r="J1345" t="s">
        <v>38</v>
      </c>
      <c r="K1345" t="s">
        <v>68</v>
      </c>
      <c r="L1345" t="s">
        <v>44</v>
      </c>
      <c r="M1345">
        <v>16.579999999999998</v>
      </c>
      <c r="N1345">
        <v>16.38</v>
      </c>
      <c r="O1345">
        <v>16.18</v>
      </c>
      <c r="T1345" t="s">
        <v>52</v>
      </c>
      <c r="U1345">
        <v>4</v>
      </c>
      <c r="V1345">
        <v>5</v>
      </c>
    </row>
    <row r="1346" spans="1:22" x14ac:dyDescent="0.3">
      <c r="A1346">
        <v>1345</v>
      </c>
      <c r="B1346">
        <v>44654</v>
      </c>
      <c r="C1346" s="2">
        <v>37181</v>
      </c>
      <c r="D1346">
        <v>24</v>
      </c>
      <c r="E1346" t="s">
        <v>36</v>
      </c>
      <c r="F1346" t="s">
        <v>50</v>
      </c>
      <c r="G1346" s="2">
        <v>44880</v>
      </c>
      <c r="H1346" s="3">
        <f t="shared" si="20"/>
        <v>2.978082191780822</v>
      </c>
      <c r="I1346">
        <v>21</v>
      </c>
      <c r="J1346" t="s">
        <v>38</v>
      </c>
      <c r="K1346" t="s">
        <v>65</v>
      </c>
      <c r="L1346" t="s">
        <v>44</v>
      </c>
      <c r="M1346">
        <v>10.53</v>
      </c>
      <c r="N1346">
        <v>10.33</v>
      </c>
      <c r="O1346">
        <v>10.130000000000001</v>
      </c>
      <c r="T1346" t="s">
        <v>47</v>
      </c>
      <c r="U1346">
        <v>1</v>
      </c>
      <c r="V1346">
        <v>5</v>
      </c>
    </row>
    <row r="1347" spans="1:22" x14ac:dyDescent="0.3">
      <c r="A1347">
        <v>1346</v>
      </c>
      <c r="B1347">
        <v>44679</v>
      </c>
      <c r="C1347" s="2">
        <v>37444</v>
      </c>
      <c r="D1347">
        <v>23</v>
      </c>
      <c r="E1347" t="s">
        <v>42</v>
      </c>
      <c r="F1347" t="s">
        <v>50</v>
      </c>
      <c r="G1347" s="2">
        <v>44935</v>
      </c>
      <c r="H1347" s="3">
        <f t="shared" ref="H1347:H1410" si="21">DATEDIF(G1348,DATE(2025,12,31),"d")/365</f>
        <v>3.0931506849315067</v>
      </c>
      <c r="I1347">
        <v>21</v>
      </c>
      <c r="J1347" t="s">
        <v>38</v>
      </c>
      <c r="K1347" t="s">
        <v>56</v>
      </c>
      <c r="L1347" t="s">
        <v>44</v>
      </c>
      <c r="M1347">
        <v>8.4600000000000009</v>
      </c>
      <c r="N1347">
        <v>8.26</v>
      </c>
      <c r="T1347" t="s">
        <v>47</v>
      </c>
      <c r="U1347">
        <v>2</v>
      </c>
      <c r="V1347">
        <v>6</v>
      </c>
    </row>
    <row r="1348" spans="1:22" x14ac:dyDescent="0.3">
      <c r="A1348">
        <v>1347</v>
      </c>
      <c r="B1348">
        <v>44745</v>
      </c>
      <c r="C1348" s="2">
        <v>36272</v>
      </c>
      <c r="D1348">
        <v>26</v>
      </c>
      <c r="E1348" t="s">
        <v>42</v>
      </c>
      <c r="F1348" t="s">
        <v>50</v>
      </c>
      <c r="G1348" s="2">
        <v>44893</v>
      </c>
      <c r="H1348" s="3">
        <f t="shared" si="21"/>
        <v>3.6273972602739728</v>
      </c>
      <c r="I1348">
        <v>25</v>
      </c>
      <c r="J1348" t="s">
        <v>38</v>
      </c>
      <c r="K1348" t="s">
        <v>68</v>
      </c>
      <c r="L1348" t="s">
        <v>44</v>
      </c>
      <c r="M1348">
        <v>16.579999999999998</v>
      </c>
      <c r="N1348">
        <v>16.38</v>
      </c>
      <c r="O1348">
        <v>16.18</v>
      </c>
      <c r="T1348" t="s">
        <v>47</v>
      </c>
      <c r="U1348">
        <v>2</v>
      </c>
      <c r="V1348">
        <v>6</v>
      </c>
    </row>
    <row r="1349" spans="1:22" x14ac:dyDescent="0.3">
      <c r="A1349">
        <v>1348</v>
      </c>
      <c r="B1349">
        <v>44761</v>
      </c>
      <c r="C1349" s="2">
        <v>38080</v>
      </c>
      <c r="D1349">
        <v>21</v>
      </c>
      <c r="E1349" t="s">
        <v>42</v>
      </c>
      <c r="F1349" t="s">
        <v>50</v>
      </c>
      <c r="G1349" s="2">
        <v>44698</v>
      </c>
      <c r="H1349" s="3">
        <f t="shared" si="21"/>
        <v>2.989041095890411</v>
      </c>
      <c r="I1349">
        <v>25</v>
      </c>
      <c r="J1349" t="s">
        <v>38</v>
      </c>
      <c r="K1349" t="s">
        <v>56</v>
      </c>
      <c r="L1349" t="s">
        <v>44</v>
      </c>
      <c r="M1349">
        <v>8.4600000000000009</v>
      </c>
      <c r="N1349">
        <v>8.26</v>
      </c>
      <c r="O1349">
        <v>8.06</v>
      </c>
      <c r="T1349" t="s">
        <v>47</v>
      </c>
      <c r="U1349">
        <v>4</v>
      </c>
      <c r="V1349">
        <v>7</v>
      </c>
    </row>
    <row r="1350" spans="1:22" x14ac:dyDescent="0.3">
      <c r="A1350">
        <v>1349</v>
      </c>
      <c r="B1350">
        <v>44791</v>
      </c>
      <c r="C1350" s="2">
        <v>37885</v>
      </c>
      <c r="D1350">
        <v>22</v>
      </c>
      <c r="E1350" t="s">
        <v>42</v>
      </c>
      <c r="F1350" t="s">
        <v>50</v>
      </c>
      <c r="G1350" s="2">
        <v>44931</v>
      </c>
      <c r="H1350" s="3">
        <f t="shared" si="21"/>
        <v>3.4273972602739726</v>
      </c>
      <c r="I1350">
        <v>26</v>
      </c>
      <c r="J1350" t="s">
        <v>38</v>
      </c>
      <c r="K1350" t="s">
        <v>56</v>
      </c>
      <c r="L1350" t="s">
        <v>44</v>
      </c>
      <c r="M1350">
        <v>8.4600000000000009</v>
      </c>
      <c r="N1350">
        <v>8.26</v>
      </c>
      <c r="T1350" t="s">
        <v>47</v>
      </c>
      <c r="U1350">
        <v>1</v>
      </c>
      <c r="V1350">
        <v>5</v>
      </c>
    </row>
    <row r="1351" spans="1:22" x14ac:dyDescent="0.3">
      <c r="A1351">
        <v>1350</v>
      </c>
      <c r="B1351">
        <v>44826</v>
      </c>
      <c r="C1351" s="2">
        <v>35217</v>
      </c>
      <c r="D1351">
        <v>30</v>
      </c>
      <c r="E1351" t="s">
        <v>42</v>
      </c>
      <c r="F1351" t="s">
        <v>50</v>
      </c>
      <c r="G1351" s="2">
        <v>44771</v>
      </c>
      <c r="H1351" s="3">
        <f t="shared" si="21"/>
        <v>3.7397260273972601</v>
      </c>
      <c r="I1351">
        <v>27</v>
      </c>
      <c r="J1351" t="s">
        <v>38</v>
      </c>
      <c r="K1351" t="s">
        <v>56</v>
      </c>
      <c r="L1351" t="s">
        <v>44</v>
      </c>
      <c r="M1351">
        <v>8.26</v>
      </c>
      <c r="N1351">
        <v>8.16</v>
      </c>
      <c r="O1351">
        <v>8.06</v>
      </c>
      <c r="T1351" t="s">
        <v>47</v>
      </c>
      <c r="U1351">
        <v>1</v>
      </c>
      <c r="V1351">
        <v>7</v>
      </c>
    </row>
    <row r="1352" spans="1:22" x14ac:dyDescent="0.3">
      <c r="A1352">
        <v>1351</v>
      </c>
      <c r="B1352">
        <v>44876</v>
      </c>
      <c r="C1352" s="2">
        <v>38462</v>
      </c>
      <c r="D1352">
        <v>20</v>
      </c>
      <c r="E1352" t="s">
        <v>42</v>
      </c>
      <c r="F1352" t="s">
        <v>50</v>
      </c>
      <c r="G1352" s="2">
        <v>44657</v>
      </c>
      <c r="H1352" s="3">
        <f t="shared" si="21"/>
        <v>2.9123287671232876</v>
      </c>
      <c r="I1352">
        <v>29</v>
      </c>
      <c r="J1352" t="s">
        <v>38</v>
      </c>
      <c r="K1352" t="s">
        <v>56</v>
      </c>
      <c r="L1352" t="s">
        <v>44</v>
      </c>
      <c r="M1352">
        <v>8.16</v>
      </c>
      <c r="N1352">
        <v>8.16</v>
      </c>
      <c r="O1352">
        <v>8.06</v>
      </c>
      <c r="T1352" t="s">
        <v>47</v>
      </c>
      <c r="U1352">
        <v>3</v>
      </c>
      <c r="V1352">
        <v>5</v>
      </c>
    </row>
    <row r="1353" spans="1:22" x14ac:dyDescent="0.3">
      <c r="A1353">
        <v>1352</v>
      </c>
      <c r="B1353">
        <v>44893</v>
      </c>
      <c r="C1353" s="2">
        <v>36945</v>
      </c>
      <c r="D1353">
        <v>24</v>
      </c>
      <c r="E1353" t="s">
        <v>36</v>
      </c>
      <c r="F1353" t="s">
        <v>50</v>
      </c>
      <c r="G1353" s="2">
        <v>44959</v>
      </c>
      <c r="H1353" s="3">
        <f t="shared" si="21"/>
        <v>3.7945205479452055</v>
      </c>
      <c r="I1353">
        <v>29</v>
      </c>
      <c r="J1353" t="s">
        <v>38</v>
      </c>
      <c r="K1353" t="s">
        <v>56</v>
      </c>
      <c r="L1353" t="s">
        <v>44</v>
      </c>
      <c r="M1353">
        <v>8.26</v>
      </c>
      <c r="N1353">
        <v>8.16</v>
      </c>
      <c r="T1353" t="s">
        <v>47</v>
      </c>
      <c r="U1353">
        <v>2</v>
      </c>
      <c r="V1353">
        <v>4</v>
      </c>
    </row>
    <row r="1354" spans="1:22" x14ac:dyDescent="0.3">
      <c r="A1354">
        <v>1353</v>
      </c>
      <c r="B1354">
        <v>44897</v>
      </c>
      <c r="C1354" s="2">
        <v>32724</v>
      </c>
      <c r="D1354">
        <v>36</v>
      </c>
      <c r="E1354" t="s">
        <v>36</v>
      </c>
      <c r="F1354" t="s">
        <v>50</v>
      </c>
      <c r="G1354" s="2">
        <v>44637</v>
      </c>
      <c r="H1354" s="3">
        <f t="shared" si="21"/>
        <v>3.8328767123287673</v>
      </c>
      <c r="I1354">
        <v>30</v>
      </c>
      <c r="J1354" t="s">
        <v>38</v>
      </c>
      <c r="K1354" t="s">
        <v>46</v>
      </c>
      <c r="L1354" t="s">
        <v>44</v>
      </c>
      <c r="M1354">
        <v>14.15</v>
      </c>
      <c r="N1354">
        <v>13.85</v>
      </c>
      <c r="O1354">
        <v>13.55</v>
      </c>
      <c r="T1354" t="s">
        <v>47</v>
      </c>
      <c r="U1354">
        <v>1</v>
      </c>
      <c r="V1354">
        <v>3</v>
      </c>
    </row>
    <row r="1355" spans="1:22" x14ac:dyDescent="0.3">
      <c r="A1355">
        <v>1354</v>
      </c>
      <c r="B1355">
        <v>44950</v>
      </c>
      <c r="C1355" s="2">
        <v>36625</v>
      </c>
      <c r="D1355">
        <v>25</v>
      </c>
      <c r="E1355" t="s">
        <v>36</v>
      </c>
      <c r="F1355" t="s">
        <v>37</v>
      </c>
      <c r="G1355" s="2">
        <v>44623</v>
      </c>
      <c r="H1355" s="3">
        <f t="shared" si="21"/>
        <v>3.6109589041095891</v>
      </c>
      <c r="I1355">
        <v>33</v>
      </c>
      <c r="J1355" t="s">
        <v>38</v>
      </c>
      <c r="K1355" t="s">
        <v>65</v>
      </c>
      <c r="L1355" t="s">
        <v>44</v>
      </c>
      <c r="M1355">
        <v>10.6</v>
      </c>
      <c r="N1355">
        <v>10.38</v>
      </c>
      <c r="O1355">
        <v>10.130000000000001</v>
      </c>
      <c r="T1355" t="s">
        <v>45</v>
      </c>
      <c r="U1355">
        <v>0</v>
      </c>
      <c r="V1355">
        <v>3</v>
      </c>
    </row>
    <row r="1356" spans="1:22" x14ac:dyDescent="0.3">
      <c r="A1356">
        <v>1355</v>
      </c>
      <c r="B1356">
        <v>44954</v>
      </c>
      <c r="C1356" s="2">
        <v>37128</v>
      </c>
      <c r="D1356">
        <v>24</v>
      </c>
      <c r="E1356" t="s">
        <v>42</v>
      </c>
      <c r="F1356" t="s">
        <v>37</v>
      </c>
      <c r="G1356" s="2">
        <v>44704</v>
      </c>
      <c r="H1356" s="3">
        <f t="shared" si="21"/>
        <v>3.6986301369863015</v>
      </c>
      <c r="I1356">
        <v>33</v>
      </c>
      <c r="J1356" t="s">
        <v>38</v>
      </c>
      <c r="K1356" t="s">
        <v>56</v>
      </c>
      <c r="L1356" t="s">
        <v>44</v>
      </c>
      <c r="M1356">
        <v>8.3000000000000007</v>
      </c>
      <c r="N1356">
        <v>8.3000000000000007</v>
      </c>
      <c r="O1356">
        <v>8.06</v>
      </c>
      <c r="T1356" t="s">
        <v>45</v>
      </c>
      <c r="U1356">
        <v>1</v>
      </c>
      <c r="V1356">
        <v>4</v>
      </c>
    </row>
    <row r="1357" spans="1:22" x14ac:dyDescent="0.3">
      <c r="A1357">
        <v>1356</v>
      </c>
      <c r="B1357">
        <v>44982</v>
      </c>
      <c r="C1357" s="2">
        <v>36722</v>
      </c>
      <c r="D1357">
        <v>25</v>
      </c>
      <c r="E1357" t="s">
        <v>42</v>
      </c>
      <c r="F1357" t="s">
        <v>37</v>
      </c>
      <c r="G1357" s="2">
        <v>44672</v>
      </c>
      <c r="H1357" s="3">
        <f t="shared" si="21"/>
        <v>3.5205479452054793</v>
      </c>
      <c r="I1357">
        <v>35</v>
      </c>
      <c r="J1357" t="s">
        <v>38</v>
      </c>
      <c r="K1357" t="s">
        <v>68</v>
      </c>
      <c r="L1357" t="s">
        <v>44</v>
      </c>
      <c r="M1357">
        <v>16.579999999999998</v>
      </c>
      <c r="N1357">
        <v>16.38</v>
      </c>
      <c r="O1357">
        <v>16.18</v>
      </c>
      <c r="T1357" t="s">
        <v>45</v>
      </c>
      <c r="U1357">
        <v>4</v>
      </c>
      <c r="V1357">
        <v>6</v>
      </c>
    </row>
    <row r="1358" spans="1:22" x14ac:dyDescent="0.3">
      <c r="A1358">
        <v>1357</v>
      </c>
      <c r="B1358">
        <v>44993</v>
      </c>
      <c r="C1358" s="2">
        <v>38348</v>
      </c>
      <c r="D1358">
        <v>21</v>
      </c>
      <c r="E1358" t="s">
        <v>36</v>
      </c>
      <c r="F1358" t="s">
        <v>37</v>
      </c>
      <c r="G1358" s="2">
        <v>44737</v>
      </c>
      <c r="H1358" s="3">
        <f t="shared" si="21"/>
        <v>3.6356164383561644</v>
      </c>
      <c r="I1358">
        <v>35</v>
      </c>
      <c r="J1358" t="s">
        <v>38</v>
      </c>
      <c r="K1358" t="s">
        <v>56</v>
      </c>
      <c r="L1358" t="s">
        <v>44</v>
      </c>
      <c r="M1358">
        <v>8.4600000000000009</v>
      </c>
      <c r="N1358">
        <v>8.26</v>
      </c>
      <c r="O1358">
        <v>8.06</v>
      </c>
      <c r="T1358" t="s">
        <v>47</v>
      </c>
      <c r="U1358">
        <v>1</v>
      </c>
      <c r="V1358">
        <v>3</v>
      </c>
    </row>
    <row r="1359" spans="1:22" x14ac:dyDescent="0.3">
      <c r="A1359">
        <v>1358</v>
      </c>
      <c r="B1359">
        <v>45054</v>
      </c>
      <c r="C1359" s="2">
        <v>37532</v>
      </c>
      <c r="D1359">
        <v>23</v>
      </c>
      <c r="E1359" t="s">
        <v>42</v>
      </c>
      <c r="F1359" t="s">
        <v>37</v>
      </c>
      <c r="G1359" s="2">
        <v>44695</v>
      </c>
      <c r="H1359" s="3">
        <f t="shared" si="21"/>
        <v>3.5123287671232877</v>
      </c>
      <c r="I1359">
        <v>39</v>
      </c>
      <c r="J1359" t="s">
        <v>38</v>
      </c>
      <c r="K1359" t="s">
        <v>65</v>
      </c>
      <c r="L1359" t="s">
        <v>44</v>
      </c>
      <c r="M1359">
        <v>10.62</v>
      </c>
      <c r="N1359">
        <v>10.37</v>
      </c>
      <c r="O1359">
        <v>10.130000000000001</v>
      </c>
      <c r="T1359" t="s">
        <v>52</v>
      </c>
      <c r="U1359">
        <v>1</v>
      </c>
      <c r="V1359">
        <v>5</v>
      </c>
    </row>
    <row r="1360" spans="1:22" x14ac:dyDescent="0.3">
      <c r="A1360">
        <v>1359</v>
      </c>
      <c r="B1360">
        <v>45100</v>
      </c>
      <c r="C1360" s="2">
        <v>35735</v>
      </c>
      <c r="D1360">
        <v>29</v>
      </c>
      <c r="E1360" t="s">
        <v>36</v>
      </c>
      <c r="F1360" t="s">
        <v>50</v>
      </c>
      <c r="G1360" s="2">
        <v>44740</v>
      </c>
      <c r="H1360" s="3">
        <f t="shared" si="21"/>
        <v>3.526027397260274</v>
      </c>
      <c r="I1360">
        <v>42</v>
      </c>
      <c r="J1360" t="s">
        <v>38</v>
      </c>
      <c r="K1360" t="s">
        <v>55</v>
      </c>
      <c r="L1360" t="s">
        <v>44</v>
      </c>
      <c r="M1360">
        <v>17.04</v>
      </c>
      <c r="N1360">
        <v>16.89</v>
      </c>
      <c r="O1360">
        <v>16.739999999999998</v>
      </c>
      <c r="T1360" t="s">
        <v>52</v>
      </c>
      <c r="U1360">
        <v>2</v>
      </c>
      <c r="V1360">
        <v>6</v>
      </c>
    </row>
    <row r="1361" spans="1:22" x14ac:dyDescent="0.3">
      <c r="A1361">
        <v>1360</v>
      </c>
      <c r="B1361">
        <v>45121</v>
      </c>
      <c r="C1361" s="2">
        <v>37974</v>
      </c>
      <c r="D1361">
        <v>22</v>
      </c>
      <c r="E1361" t="s">
        <v>36</v>
      </c>
      <c r="F1361" t="s">
        <v>50</v>
      </c>
      <c r="G1361" s="2">
        <v>44735</v>
      </c>
      <c r="H1361" s="3">
        <f t="shared" si="21"/>
        <v>3.5013698630136987</v>
      </c>
      <c r="I1361">
        <v>43</v>
      </c>
      <c r="J1361" t="s">
        <v>38</v>
      </c>
      <c r="K1361" t="s">
        <v>65</v>
      </c>
      <c r="L1361" t="s">
        <v>44</v>
      </c>
      <c r="M1361">
        <v>10.130000000000001</v>
      </c>
      <c r="N1361">
        <v>10.130000000000001</v>
      </c>
      <c r="O1361">
        <v>10.130000000000001</v>
      </c>
      <c r="T1361" t="s">
        <v>47</v>
      </c>
      <c r="U1361">
        <v>1</v>
      </c>
      <c r="V1361">
        <v>4</v>
      </c>
    </row>
    <row r="1362" spans="1:22" x14ac:dyDescent="0.3">
      <c r="A1362">
        <v>1361</v>
      </c>
      <c r="B1362">
        <v>45123</v>
      </c>
      <c r="C1362" s="2">
        <v>34856</v>
      </c>
      <c r="D1362">
        <v>30</v>
      </c>
      <c r="E1362" t="s">
        <v>36</v>
      </c>
      <c r="F1362" t="s">
        <v>50</v>
      </c>
      <c r="G1362" s="2">
        <v>44744</v>
      </c>
      <c r="H1362" s="3">
        <f t="shared" si="21"/>
        <v>3.3780821917808219</v>
      </c>
      <c r="I1362">
        <v>43</v>
      </c>
      <c r="J1362" t="s">
        <v>38</v>
      </c>
      <c r="K1362" t="s">
        <v>43</v>
      </c>
      <c r="L1362" t="s">
        <v>44</v>
      </c>
      <c r="M1362">
        <v>15.88</v>
      </c>
      <c r="N1362">
        <v>15.73</v>
      </c>
      <c r="O1362">
        <v>15.58</v>
      </c>
      <c r="T1362" t="s">
        <v>47</v>
      </c>
      <c r="U1362">
        <v>1</v>
      </c>
      <c r="V1362">
        <v>5</v>
      </c>
    </row>
    <row r="1363" spans="1:22" x14ac:dyDescent="0.3">
      <c r="A1363">
        <v>1362</v>
      </c>
      <c r="B1363">
        <v>45172</v>
      </c>
      <c r="C1363" s="2">
        <v>36666</v>
      </c>
      <c r="D1363">
        <v>25</v>
      </c>
      <c r="E1363" t="s">
        <v>42</v>
      </c>
      <c r="F1363" t="s">
        <v>50</v>
      </c>
      <c r="G1363" s="2">
        <v>44789</v>
      </c>
      <c r="H1363" s="3">
        <f t="shared" si="21"/>
        <v>3.6630136986301371</v>
      </c>
      <c r="I1363">
        <v>44</v>
      </c>
      <c r="J1363" t="s">
        <v>38</v>
      </c>
      <c r="K1363" t="s">
        <v>56</v>
      </c>
      <c r="L1363" t="s">
        <v>44</v>
      </c>
      <c r="M1363">
        <v>8.26</v>
      </c>
      <c r="N1363">
        <v>8.16</v>
      </c>
      <c r="O1363">
        <v>8.06</v>
      </c>
      <c r="T1363" t="s">
        <v>47</v>
      </c>
      <c r="U1363">
        <v>3</v>
      </c>
      <c r="V1363">
        <v>6</v>
      </c>
    </row>
    <row r="1364" spans="1:22" x14ac:dyDescent="0.3">
      <c r="A1364">
        <v>1363</v>
      </c>
      <c r="B1364">
        <v>45175</v>
      </c>
      <c r="C1364" s="2">
        <v>35619</v>
      </c>
      <c r="D1364">
        <v>28</v>
      </c>
      <c r="E1364" t="s">
        <v>36</v>
      </c>
      <c r="F1364" t="s">
        <v>37</v>
      </c>
      <c r="G1364" s="2">
        <v>44685</v>
      </c>
      <c r="H1364" s="3">
        <f t="shared" si="21"/>
        <v>3.7917808219178082</v>
      </c>
      <c r="I1364">
        <v>45</v>
      </c>
      <c r="J1364" t="s">
        <v>38</v>
      </c>
      <c r="K1364" t="s">
        <v>68</v>
      </c>
      <c r="L1364" t="s">
        <v>44</v>
      </c>
      <c r="M1364">
        <v>16.579999999999998</v>
      </c>
      <c r="N1364">
        <v>16.38</v>
      </c>
      <c r="O1364">
        <v>16.18</v>
      </c>
      <c r="T1364" t="s">
        <v>47</v>
      </c>
      <c r="U1364">
        <v>4</v>
      </c>
      <c r="V1364">
        <v>5</v>
      </c>
    </row>
    <row r="1365" spans="1:22" x14ac:dyDescent="0.3">
      <c r="A1365">
        <v>1364</v>
      </c>
      <c r="B1365">
        <v>45176</v>
      </c>
      <c r="C1365" s="2">
        <v>36089</v>
      </c>
      <c r="D1365">
        <v>27</v>
      </c>
      <c r="E1365" t="s">
        <v>42</v>
      </c>
      <c r="F1365" t="s">
        <v>50</v>
      </c>
      <c r="G1365" s="2">
        <v>44638</v>
      </c>
      <c r="H1365" s="3">
        <f t="shared" si="21"/>
        <v>3.3616438356164382</v>
      </c>
      <c r="I1365">
        <v>45</v>
      </c>
      <c r="J1365" t="s">
        <v>38</v>
      </c>
      <c r="K1365" t="s">
        <v>68</v>
      </c>
      <c r="L1365" t="s">
        <v>44</v>
      </c>
      <c r="M1365">
        <v>16.579999999999998</v>
      </c>
      <c r="N1365">
        <v>16.38</v>
      </c>
      <c r="O1365">
        <v>16.18</v>
      </c>
      <c r="T1365" t="s">
        <v>52</v>
      </c>
      <c r="U1365">
        <v>4</v>
      </c>
      <c r="V1365">
        <v>6</v>
      </c>
    </row>
    <row r="1366" spans="1:22" x14ac:dyDescent="0.3">
      <c r="A1366">
        <v>1365</v>
      </c>
      <c r="B1366">
        <v>45187</v>
      </c>
      <c r="C1366" s="2">
        <v>35714</v>
      </c>
      <c r="D1366">
        <v>28</v>
      </c>
      <c r="E1366" t="s">
        <v>42</v>
      </c>
      <c r="F1366" t="s">
        <v>50</v>
      </c>
      <c r="G1366" s="2">
        <v>44795</v>
      </c>
      <c r="H1366" s="3">
        <f t="shared" si="21"/>
        <v>3.2054794520547945</v>
      </c>
      <c r="I1366">
        <v>45</v>
      </c>
      <c r="J1366" t="s">
        <v>38</v>
      </c>
      <c r="K1366" t="s">
        <v>56</v>
      </c>
      <c r="L1366" t="s">
        <v>44</v>
      </c>
      <c r="M1366">
        <v>8.4600000000000009</v>
      </c>
      <c r="N1366">
        <v>8.26</v>
      </c>
      <c r="O1366">
        <v>8.06</v>
      </c>
      <c r="T1366" t="s">
        <v>47</v>
      </c>
      <c r="U1366">
        <v>2</v>
      </c>
      <c r="V1366">
        <v>6</v>
      </c>
    </row>
    <row r="1367" spans="1:22" x14ac:dyDescent="0.3">
      <c r="A1367">
        <v>1366</v>
      </c>
      <c r="B1367">
        <v>45195</v>
      </c>
      <c r="C1367" s="2">
        <v>34709</v>
      </c>
      <c r="D1367">
        <v>30</v>
      </c>
      <c r="E1367" t="s">
        <v>36</v>
      </c>
      <c r="F1367" t="s">
        <v>50</v>
      </c>
      <c r="G1367" s="2">
        <v>44852</v>
      </c>
      <c r="H1367" s="3">
        <f t="shared" si="21"/>
        <v>3.2465753424657535</v>
      </c>
      <c r="I1367">
        <v>46</v>
      </c>
      <c r="J1367" t="s">
        <v>38</v>
      </c>
      <c r="K1367" t="s">
        <v>54</v>
      </c>
      <c r="L1367" t="s">
        <v>44</v>
      </c>
      <c r="M1367">
        <v>23.31</v>
      </c>
      <c r="N1367">
        <v>22.97</v>
      </c>
      <c r="O1367">
        <v>22.63</v>
      </c>
      <c r="T1367" t="s">
        <v>47</v>
      </c>
      <c r="U1367">
        <v>5</v>
      </c>
      <c r="V1367">
        <v>6</v>
      </c>
    </row>
    <row r="1368" spans="1:22" x14ac:dyDescent="0.3">
      <c r="A1368">
        <v>1367</v>
      </c>
      <c r="B1368">
        <v>45249</v>
      </c>
      <c r="C1368" s="2">
        <v>32965</v>
      </c>
      <c r="D1368">
        <v>35</v>
      </c>
      <c r="E1368" t="s">
        <v>42</v>
      </c>
      <c r="F1368" t="s">
        <v>50</v>
      </c>
      <c r="G1368" s="2">
        <v>44837</v>
      </c>
      <c r="H1368" s="3">
        <f t="shared" si="21"/>
        <v>3.1671232876712327</v>
      </c>
      <c r="I1368">
        <v>49</v>
      </c>
      <c r="J1368" t="s">
        <v>38</v>
      </c>
      <c r="K1368" t="s">
        <v>68</v>
      </c>
      <c r="L1368" t="s">
        <v>44</v>
      </c>
      <c r="M1368">
        <v>16.5</v>
      </c>
      <c r="N1368">
        <v>16.36</v>
      </c>
      <c r="O1368">
        <v>16.18</v>
      </c>
      <c r="T1368" t="s">
        <v>47</v>
      </c>
      <c r="U1368">
        <v>2</v>
      </c>
      <c r="V1368">
        <v>6</v>
      </c>
    </row>
    <row r="1369" spans="1:22" x14ac:dyDescent="0.3">
      <c r="A1369">
        <v>1368</v>
      </c>
      <c r="B1369">
        <v>45251</v>
      </c>
      <c r="C1369" s="2">
        <v>36861</v>
      </c>
      <c r="D1369">
        <v>26</v>
      </c>
      <c r="E1369" t="s">
        <v>36</v>
      </c>
      <c r="F1369" t="s">
        <v>50</v>
      </c>
      <c r="G1369" s="2">
        <v>44866</v>
      </c>
      <c r="H1369" s="3">
        <f t="shared" si="21"/>
        <v>3.5863013698630137</v>
      </c>
      <c r="I1369">
        <v>49</v>
      </c>
      <c r="J1369" t="s">
        <v>38</v>
      </c>
      <c r="K1369" t="s">
        <v>64</v>
      </c>
      <c r="L1369" t="s">
        <v>44</v>
      </c>
      <c r="M1369">
        <v>13.82</v>
      </c>
      <c r="N1369">
        <v>13.82</v>
      </c>
      <c r="O1369">
        <v>13.4</v>
      </c>
      <c r="T1369" t="s">
        <v>52</v>
      </c>
      <c r="U1369">
        <v>1</v>
      </c>
      <c r="V1369">
        <v>5</v>
      </c>
    </row>
    <row r="1370" spans="1:22" x14ac:dyDescent="0.3">
      <c r="A1370">
        <v>1369</v>
      </c>
      <c r="B1370">
        <v>45254</v>
      </c>
      <c r="C1370" s="2">
        <v>37194</v>
      </c>
      <c r="D1370">
        <v>24</v>
      </c>
      <c r="E1370" t="s">
        <v>42</v>
      </c>
      <c r="F1370" t="s">
        <v>37</v>
      </c>
      <c r="G1370" s="2">
        <v>44713</v>
      </c>
      <c r="H1370" s="3">
        <f t="shared" si="21"/>
        <v>3.536986301369863</v>
      </c>
      <c r="I1370">
        <v>49</v>
      </c>
      <c r="J1370" t="s">
        <v>38</v>
      </c>
      <c r="K1370" t="s">
        <v>56</v>
      </c>
      <c r="L1370" t="s">
        <v>44</v>
      </c>
      <c r="M1370">
        <v>8.6199999999999992</v>
      </c>
      <c r="N1370">
        <v>8.35</v>
      </c>
      <c r="O1370">
        <v>8.06</v>
      </c>
      <c r="T1370" t="s">
        <v>52</v>
      </c>
      <c r="U1370">
        <v>2</v>
      </c>
      <c r="V1370">
        <v>5</v>
      </c>
    </row>
    <row r="1371" spans="1:22" x14ac:dyDescent="0.3">
      <c r="A1371">
        <v>1370</v>
      </c>
      <c r="B1371">
        <v>45257</v>
      </c>
      <c r="C1371" s="2">
        <v>38119</v>
      </c>
      <c r="D1371">
        <v>21</v>
      </c>
      <c r="E1371" t="s">
        <v>42</v>
      </c>
      <c r="F1371" t="s">
        <v>37</v>
      </c>
      <c r="G1371" s="2">
        <v>44731</v>
      </c>
      <c r="H1371" s="3">
        <f t="shared" si="21"/>
        <v>2.9589041095890409</v>
      </c>
      <c r="I1371">
        <v>49</v>
      </c>
      <c r="J1371" t="s">
        <v>38</v>
      </c>
      <c r="K1371" t="s">
        <v>56</v>
      </c>
      <c r="L1371" t="s">
        <v>44</v>
      </c>
      <c r="M1371">
        <v>8.5399999999999991</v>
      </c>
      <c r="N1371">
        <v>8.34</v>
      </c>
      <c r="O1371">
        <v>8.06</v>
      </c>
      <c r="T1371" t="s">
        <v>49</v>
      </c>
      <c r="U1371">
        <v>2</v>
      </c>
      <c r="V1371">
        <v>5</v>
      </c>
    </row>
    <row r="1372" spans="1:22" x14ac:dyDescent="0.3">
      <c r="A1372">
        <v>1371</v>
      </c>
      <c r="B1372">
        <v>45305</v>
      </c>
      <c r="C1372" s="2">
        <v>35517</v>
      </c>
      <c r="D1372">
        <v>28</v>
      </c>
      <c r="E1372" t="s">
        <v>42</v>
      </c>
      <c r="F1372" t="s">
        <v>50</v>
      </c>
      <c r="G1372" s="2">
        <v>44942</v>
      </c>
      <c r="H1372" s="3">
        <f t="shared" si="21"/>
        <v>3.5506849315068494</v>
      </c>
      <c r="I1372">
        <v>52</v>
      </c>
      <c r="J1372" t="s">
        <v>38</v>
      </c>
      <c r="K1372" t="s">
        <v>68</v>
      </c>
      <c r="L1372" t="s">
        <v>44</v>
      </c>
      <c r="M1372">
        <v>16.579999999999998</v>
      </c>
      <c r="N1372">
        <v>16.38</v>
      </c>
      <c r="T1372" t="s">
        <v>52</v>
      </c>
      <c r="U1372">
        <v>2</v>
      </c>
      <c r="V1372">
        <v>7</v>
      </c>
    </row>
    <row r="1373" spans="1:22" x14ac:dyDescent="0.3">
      <c r="A1373">
        <v>1372</v>
      </c>
      <c r="B1373">
        <v>45348</v>
      </c>
      <c r="C1373" s="2">
        <v>35211</v>
      </c>
      <c r="D1373">
        <v>29</v>
      </c>
      <c r="E1373" t="s">
        <v>42</v>
      </c>
      <c r="F1373" t="s">
        <v>50</v>
      </c>
      <c r="G1373" s="2">
        <v>44726</v>
      </c>
      <c r="H1373" s="3">
        <f t="shared" si="21"/>
        <v>2.7835616438356166</v>
      </c>
      <c r="I1373">
        <v>53</v>
      </c>
      <c r="J1373" t="s">
        <v>38</v>
      </c>
      <c r="K1373" t="s">
        <v>56</v>
      </c>
      <c r="L1373" t="s">
        <v>44</v>
      </c>
      <c r="M1373">
        <v>8.4600000000000009</v>
      </c>
      <c r="N1373">
        <v>8.26</v>
      </c>
      <c r="O1373">
        <v>8.06</v>
      </c>
      <c r="T1373" t="s">
        <v>47</v>
      </c>
      <c r="U1373">
        <v>0</v>
      </c>
      <c r="V1373">
        <v>5</v>
      </c>
    </row>
    <row r="1374" spans="1:22" x14ac:dyDescent="0.3">
      <c r="A1374">
        <v>1373</v>
      </c>
      <c r="B1374">
        <v>45370</v>
      </c>
      <c r="C1374" s="2">
        <v>38518</v>
      </c>
      <c r="D1374">
        <v>20</v>
      </c>
      <c r="E1374" t="s">
        <v>42</v>
      </c>
      <c r="F1374" t="s">
        <v>50</v>
      </c>
      <c r="G1374" s="2">
        <v>45006</v>
      </c>
      <c r="H1374" s="3">
        <f t="shared" si="21"/>
        <v>3.0301369863013701</v>
      </c>
      <c r="I1374">
        <v>54</v>
      </c>
      <c r="J1374" t="s">
        <v>38</v>
      </c>
      <c r="K1374" t="s">
        <v>56</v>
      </c>
      <c r="L1374" t="s">
        <v>44</v>
      </c>
      <c r="M1374">
        <v>8.4600000000000009</v>
      </c>
      <c r="N1374">
        <v>8.26</v>
      </c>
      <c r="T1374" t="s">
        <v>47</v>
      </c>
      <c r="U1374">
        <v>2</v>
      </c>
      <c r="V1374">
        <v>6</v>
      </c>
    </row>
    <row r="1375" spans="1:22" x14ac:dyDescent="0.3">
      <c r="A1375">
        <v>1374</v>
      </c>
      <c r="B1375">
        <v>45422</v>
      </c>
      <c r="C1375" s="2">
        <v>36740</v>
      </c>
      <c r="D1375">
        <v>25</v>
      </c>
      <c r="E1375" t="s">
        <v>42</v>
      </c>
      <c r="F1375" t="s">
        <v>50</v>
      </c>
      <c r="G1375" s="2">
        <v>44916</v>
      </c>
      <c r="H1375" s="3">
        <f t="shared" si="21"/>
        <v>2.8986301369863012</v>
      </c>
      <c r="I1375">
        <v>56</v>
      </c>
      <c r="J1375" t="s">
        <v>38</v>
      </c>
      <c r="K1375" t="s">
        <v>56</v>
      </c>
      <c r="L1375" t="s">
        <v>44</v>
      </c>
      <c r="M1375">
        <v>8.4600000000000009</v>
      </c>
      <c r="N1375">
        <v>8.26</v>
      </c>
      <c r="O1375">
        <v>8.06</v>
      </c>
      <c r="T1375" t="s">
        <v>47</v>
      </c>
      <c r="U1375">
        <v>0</v>
      </c>
      <c r="V1375">
        <v>7</v>
      </c>
    </row>
    <row r="1376" spans="1:22" x14ac:dyDescent="0.3">
      <c r="A1376">
        <v>1375</v>
      </c>
      <c r="B1376">
        <v>45470</v>
      </c>
      <c r="C1376" s="2">
        <v>36293</v>
      </c>
      <c r="D1376">
        <v>26</v>
      </c>
      <c r="E1376" t="s">
        <v>42</v>
      </c>
      <c r="F1376" t="s">
        <v>37</v>
      </c>
      <c r="G1376" s="2">
        <v>44964</v>
      </c>
      <c r="H1376" s="3">
        <f t="shared" si="21"/>
        <v>2.9150684931506849</v>
      </c>
      <c r="I1376">
        <v>58</v>
      </c>
      <c r="J1376" t="s">
        <v>38</v>
      </c>
      <c r="K1376" t="s">
        <v>48</v>
      </c>
      <c r="L1376" t="s">
        <v>44</v>
      </c>
      <c r="M1376">
        <v>8.59</v>
      </c>
      <c r="N1376">
        <v>8.3000000000000007</v>
      </c>
      <c r="T1376" t="s">
        <v>52</v>
      </c>
      <c r="U1376">
        <v>2</v>
      </c>
      <c r="V1376">
        <v>6</v>
      </c>
    </row>
    <row r="1377" spans="1:22" x14ac:dyDescent="0.3">
      <c r="A1377">
        <v>1376</v>
      </c>
      <c r="B1377">
        <v>45481</v>
      </c>
      <c r="C1377" s="2">
        <v>38602</v>
      </c>
      <c r="D1377">
        <v>20</v>
      </c>
      <c r="E1377" t="s">
        <v>42</v>
      </c>
      <c r="F1377" t="s">
        <v>50</v>
      </c>
      <c r="G1377" s="2">
        <v>44958</v>
      </c>
      <c r="H1377" s="3">
        <f t="shared" si="21"/>
        <v>3.2383561643835614</v>
      </c>
      <c r="I1377">
        <v>58</v>
      </c>
      <c r="J1377" t="s">
        <v>38</v>
      </c>
      <c r="K1377" t="s">
        <v>56</v>
      </c>
      <c r="L1377" t="s">
        <v>44</v>
      </c>
      <c r="M1377">
        <v>8.52</v>
      </c>
      <c r="N1377">
        <v>8.27</v>
      </c>
      <c r="T1377" t="s">
        <v>47</v>
      </c>
      <c r="U1377">
        <v>2</v>
      </c>
      <c r="V1377">
        <v>7</v>
      </c>
    </row>
    <row r="1378" spans="1:22" x14ac:dyDescent="0.3">
      <c r="A1378">
        <v>1377</v>
      </c>
      <c r="B1378">
        <v>45483</v>
      </c>
      <c r="C1378" s="2">
        <v>35676</v>
      </c>
      <c r="D1378">
        <v>28</v>
      </c>
      <c r="E1378" t="s">
        <v>36</v>
      </c>
      <c r="F1378" t="s">
        <v>50</v>
      </c>
      <c r="G1378" s="2">
        <v>44840</v>
      </c>
      <c r="H1378" s="3">
        <f t="shared" si="21"/>
        <v>3.0712328767123287</v>
      </c>
      <c r="I1378">
        <v>59</v>
      </c>
      <c r="J1378" t="s">
        <v>38</v>
      </c>
      <c r="K1378" t="s">
        <v>68</v>
      </c>
      <c r="L1378" t="s">
        <v>44</v>
      </c>
      <c r="M1378">
        <v>16.579999999999998</v>
      </c>
      <c r="N1378">
        <v>16.38</v>
      </c>
      <c r="O1378">
        <v>16.18</v>
      </c>
      <c r="T1378" t="s">
        <v>47</v>
      </c>
      <c r="U1378">
        <v>1</v>
      </c>
      <c r="V1378">
        <v>4</v>
      </c>
    </row>
    <row r="1379" spans="1:22" x14ac:dyDescent="0.3">
      <c r="A1379">
        <v>1378</v>
      </c>
      <c r="B1379">
        <v>45491</v>
      </c>
      <c r="C1379" s="2">
        <v>34670</v>
      </c>
      <c r="D1379">
        <v>31</v>
      </c>
      <c r="E1379" t="s">
        <v>36</v>
      </c>
      <c r="F1379" t="s">
        <v>50</v>
      </c>
      <c r="G1379" s="2">
        <v>44901</v>
      </c>
      <c r="H1379" s="3">
        <f t="shared" si="21"/>
        <v>3.2219178082191782</v>
      </c>
      <c r="I1379">
        <v>59</v>
      </c>
      <c r="J1379" t="s">
        <v>38</v>
      </c>
      <c r="K1379" t="s">
        <v>46</v>
      </c>
      <c r="L1379" t="s">
        <v>44</v>
      </c>
      <c r="M1379">
        <v>14.15</v>
      </c>
      <c r="N1379">
        <v>13.85</v>
      </c>
      <c r="O1379">
        <v>13.55</v>
      </c>
      <c r="T1379" t="s">
        <v>45</v>
      </c>
      <c r="U1379">
        <v>0</v>
      </c>
      <c r="V1379">
        <v>3</v>
      </c>
    </row>
    <row r="1380" spans="1:22" x14ac:dyDescent="0.3">
      <c r="A1380">
        <v>1379</v>
      </c>
      <c r="B1380">
        <v>45569</v>
      </c>
      <c r="C1380" s="2">
        <v>38177</v>
      </c>
      <c r="D1380">
        <v>21</v>
      </c>
      <c r="E1380" t="s">
        <v>42</v>
      </c>
      <c r="F1380" t="s">
        <v>37</v>
      </c>
      <c r="G1380" s="2">
        <v>44846</v>
      </c>
      <c r="H1380" s="3">
        <f t="shared" si="21"/>
        <v>3.3123287671232875</v>
      </c>
      <c r="I1380">
        <v>62</v>
      </c>
      <c r="J1380" t="s">
        <v>38</v>
      </c>
      <c r="K1380" t="s">
        <v>56</v>
      </c>
      <c r="L1380" t="s">
        <v>44</v>
      </c>
      <c r="M1380">
        <v>8.4600000000000009</v>
      </c>
      <c r="N1380">
        <v>8.26</v>
      </c>
      <c r="O1380">
        <v>8.06</v>
      </c>
      <c r="T1380" t="s">
        <v>47</v>
      </c>
      <c r="U1380">
        <v>1</v>
      </c>
      <c r="V1380">
        <v>6</v>
      </c>
    </row>
    <row r="1381" spans="1:22" x14ac:dyDescent="0.3">
      <c r="A1381">
        <v>1380</v>
      </c>
      <c r="B1381">
        <v>45576</v>
      </c>
      <c r="C1381" s="2">
        <v>35159</v>
      </c>
      <c r="D1381">
        <v>29</v>
      </c>
      <c r="E1381" t="s">
        <v>42</v>
      </c>
      <c r="F1381" t="s">
        <v>37</v>
      </c>
      <c r="G1381" s="2">
        <v>44813</v>
      </c>
      <c r="H1381" s="3">
        <f t="shared" si="21"/>
        <v>3.441095890410959</v>
      </c>
      <c r="I1381">
        <v>63</v>
      </c>
      <c r="J1381" t="s">
        <v>38</v>
      </c>
      <c r="K1381" t="s">
        <v>68</v>
      </c>
      <c r="L1381" t="s">
        <v>44</v>
      </c>
      <c r="M1381">
        <v>16.579999999999998</v>
      </c>
      <c r="N1381">
        <v>16.38</v>
      </c>
      <c r="O1381">
        <v>16.18</v>
      </c>
      <c r="T1381" t="s">
        <v>45</v>
      </c>
      <c r="U1381">
        <v>2</v>
      </c>
      <c r="V1381">
        <v>6</v>
      </c>
    </row>
    <row r="1382" spans="1:22" x14ac:dyDescent="0.3">
      <c r="A1382">
        <v>1381</v>
      </c>
      <c r="B1382">
        <v>45601</v>
      </c>
      <c r="C1382" s="2">
        <v>35148</v>
      </c>
      <c r="D1382">
        <v>29</v>
      </c>
      <c r="E1382" t="s">
        <v>42</v>
      </c>
      <c r="F1382" t="s">
        <v>50</v>
      </c>
      <c r="G1382" s="2">
        <v>44766</v>
      </c>
      <c r="H1382" s="3">
        <f t="shared" si="21"/>
        <v>3.8520547945205479</v>
      </c>
      <c r="I1382">
        <v>64</v>
      </c>
      <c r="J1382" t="s">
        <v>38</v>
      </c>
      <c r="K1382" t="s">
        <v>65</v>
      </c>
      <c r="L1382" t="s">
        <v>44</v>
      </c>
      <c r="M1382">
        <v>10.53</v>
      </c>
      <c r="N1382">
        <v>10.33</v>
      </c>
      <c r="O1382">
        <v>10.130000000000001</v>
      </c>
      <c r="T1382" t="s">
        <v>47</v>
      </c>
      <c r="U1382">
        <v>1</v>
      </c>
      <c r="V1382">
        <v>6</v>
      </c>
    </row>
    <row r="1383" spans="1:22" x14ac:dyDescent="0.3">
      <c r="A1383">
        <v>1382</v>
      </c>
      <c r="B1383">
        <v>45624</v>
      </c>
      <c r="C1383" s="2">
        <v>37663</v>
      </c>
      <c r="D1383">
        <v>22</v>
      </c>
      <c r="E1383" t="s">
        <v>36</v>
      </c>
      <c r="F1383" t="s">
        <v>50</v>
      </c>
      <c r="G1383" s="2">
        <v>44616</v>
      </c>
      <c r="H1383" s="3">
        <f t="shared" si="21"/>
        <v>3.5835616438356164</v>
      </c>
      <c r="I1383">
        <v>64</v>
      </c>
      <c r="J1383" t="s">
        <v>38</v>
      </c>
      <c r="K1383" t="s">
        <v>56</v>
      </c>
      <c r="L1383" t="s">
        <v>44</v>
      </c>
      <c r="M1383">
        <v>8.4600000000000009</v>
      </c>
      <c r="N1383">
        <v>8.26</v>
      </c>
      <c r="O1383">
        <v>8.06</v>
      </c>
      <c r="T1383" t="s">
        <v>47</v>
      </c>
      <c r="U1383">
        <v>2</v>
      </c>
      <c r="V1383">
        <v>5</v>
      </c>
    </row>
    <row r="1384" spans="1:22" x14ac:dyDescent="0.3">
      <c r="A1384">
        <v>1383</v>
      </c>
      <c r="B1384">
        <v>45635</v>
      </c>
      <c r="C1384" s="2">
        <v>35191</v>
      </c>
      <c r="D1384">
        <v>29</v>
      </c>
      <c r="E1384" t="s">
        <v>36</v>
      </c>
      <c r="F1384" t="s">
        <v>37</v>
      </c>
      <c r="G1384" s="2">
        <v>44714</v>
      </c>
      <c r="H1384" s="3">
        <f t="shared" si="21"/>
        <v>3.0246575342465754</v>
      </c>
      <c r="I1384">
        <v>65</v>
      </c>
      <c r="J1384" t="s">
        <v>38</v>
      </c>
      <c r="K1384" t="s">
        <v>56</v>
      </c>
      <c r="L1384" t="s">
        <v>44</v>
      </c>
      <c r="M1384">
        <v>8.26</v>
      </c>
      <c r="N1384">
        <v>8.16</v>
      </c>
      <c r="O1384">
        <v>8.06</v>
      </c>
      <c r="T1384" t="s">
        <v>49</v>
      </c>
      <c r="U1384">
        <v>4</v>
      </c>
      <c r="V1384">
        <v>5</v>
      </c>
    </row>
    <row r="1385" spans="1:22" x14ac:dyDescent="0.3">
      <c r="A1385">
        <v>1384</v>
      </c>
      <c r="B1385">
        <v>45676</v>
      </c>
      <c r="C1385" s="2">
        <v>37135</v>
      </c>
      <c r="D1385">
        <v>25</v>
      </c>
      <c r="E1385" t="s">
        <v>42</v>
      </c>
      <c r="F1385" t="s">
        <v>37</v>
      </c>
      <c r="G1385" s="2">
        <v>44918</v>
      </c>
      <c r="H1385" s="3">
        <f t="shared" si="21"/>
        <v>3.8027397260273972</v>
      </c>
      <c r="I1385">
        <v>67</v>
      </c>
      <c r="J1385" t="s">
        <v>57</v>
      </c>
      <c r="K1385" t="s">
        <v>56</v>
      </c>
      <c r="L1385" t="s">
        <v>44</v>
      </c>
      <c r="M1385">
        <v>8.5399999999999991</v>
      </c>
      <c r="N1385">
        <v>8.25</v>
      </c>
      <c r="O1385">
        <v>8.06</v>
      </c>
      <c r="T1385" t="s">
        <v>47</v>
      </c>
      <c r="U1385">
        <v>2</v>
      </c>
      <c r="V1385">
        <v>5</v>
      </c>
    </row>
    <row r="1386" spans="1:22" x14ac:dyDescent="0.3">
      <c r="A1386">
        <v>1385</v>
      </c>
      <c r="B1386">
        <v>45690</v>
      </c>
      <c r="C1386" s="2">
        <v>37815</v>
      </c>
      <c r="D1386">
        <v>22</v>
      </c>
      <c r="E1386" t="s">
        <v>42</v>
      </c>
      <c r="F1386" t="s">
        <v>37</v>
      </c>
      <c r="G1386" s="2">
        <v>44634</v>
      </c>
      <c r="H1386" s="3">
        <f t="shared" si="21"/>
        <v>2.9123287671232876</v>
      </c>
      <c r="I1386">
        <v>69</v>
      </c>
      <c r="J1386" t="s">
        <v>57</v>
      </c>
      <c r="K1386" t="s">
        <v>56</v>
      </c>
      <c r="L1386" t="s">
        <v>44</v>
      </c>
      <c r="M1386">
        <v>8.44</v>
      </c>
      <c r="N1386">
        <v>8.2899999999999991</v>
      </c>
      <c r="O1386">
        <v>8.06</v>
      </c>
      <c r="T1386" t="s">
        <v>49</v>
      </c>
      <c r="U1386">
        <v>2</v>
      </c>
      <c r="V1386">
        <v>4</v>
      </c>
    </row>
    <row r="1387" spans="1:22" x14ac:dyDescent="0.3">
      <c r="A1387">
        <v>1386</v>
      </c>
      <c r="B1387">
        <v>45691</v>
      </c>
      <c r="C1387" s="2">
        <v>37240</v>
      </c>
      <c r="D1387">
        <v>24</v>
      </c>
      <c r="E1387" t="s">
        <v>36</v>
      </c>
      <c r="F1387" t="s">
        <v>37</v>
      </c>
      <c r="G1387" s="2">
        <v>44959</v>
      </c>
      <c r="H1387" s="3">
        <f t="shared" si="21"/>
        <v>3.7205479452054795</v>
      </c>
      <c r="I1387">
        <v>70</v>
      </c>
      <c r="J1387" t="s">
        <v>57</v>
      </c>
      <c r="K1387" t="s">
        <v>56</v>
      </c>
      <c r="L1387" t="s">
        <v>44</v>
      </c>
      <c r="M1387">
        <v>8.56</v>
      </c>
      <c r="N1387">
        <v>8.33</v>
      </c>
      <c r="T1387" t="s">
        <v>49</v>
      </c>
      <c r="U1387">
        <v>4</v>
      </c>
      <c r="V1387">
        <v>5</v>
      </c>
    </row>
    <row r="1388" spans="1:22" x14ac:dyDescent="0.3">
      <c r="A1388">
        <v>1387</v>
      </c>
      <c r="B1388">
        <v>45746</v>
      </c>
      <c r="C1388" s="2">
        <v>37144</v>
      </c>
      <c r="D1388">
        <v>24</v>
      </c>
      <c r="E1388" t="s">
        <v>42</v>
      </c>
      <c r="F1388" t="s">
        <v>50</v>
      </c>
      <c r="G1388" s="2">
        <v>44664</v>
      </c>
      <c r="H1388" s="3">
        <f t="shared" si="21"/>
        <v>3.0602739726027397</v>
      </c>
      <c r="I1388">
        <v>73</v>
      </c>
      <c r="J1388" t="s">
        <v>57</v>
      </c>
      <c r="K1388" t="s">
        <v>56</v>
      </c>
      <c r="L1388" t="s">
        <v>44</v>
      </c>
      <c r="M1388">
        <v>8.4600000000000009</v>
      </c>
      <c r="N1388">
        <v>8.26</v>
      </c>
      <c r="O1388">
        <v>8.06</v>
      </c>
      <c r="T1388" t="s">
        <v>47</v>
      </c>
      <c r="U1388">
        <v>1</v>
      </c>
      <c r="V1388">
        <v>7</v>
      </c>
    </row>
    <row r="1389" spans="1:22" x14ac:dyDescent="0.3">
      <c r="A1389">
        <v>1388</v>
      </c>
      <c r="B1389">
        <v>45778</v>
      </c>
      <c r="C1389" s="2">
        <v>37216</v>
      </c>
      <c r="D1389">
        <v>24</v>
      </c>
      <c r="E1389" t="s">
        <v>42</v>
      </c>
      <c r="F1389" t="s">
        <v>50</v>
      </c>
      <c r="G1389" s="2">
        <v>44905</v>
      </c>
      <c r="H1389" s="3">
        <f t="shared" si="21"/>
        <v>3.6136986301369864</v>
      </c>
      <c r="I1389">
        <v>75</v>
      </c>
      <c r="J1389" t="s">
        <v>57</v>
      </c>
      <c r="K1389" t="s">
        <v>68</v>
      </c>
      <c r="L1389" t="s">
        <v>44</v>
      </c>
      <c r="M1389">
        <v>16.579999999999998</v>
      </c>
      <c r="N1389">
        <v>16.38</v>
      </c>
      <c r="O1389">
        <v>16.18</v>
      </c>
      <c r="T1389" t="s">
        <v>47</v>
      </c>
      <c r="U1389">
        <v>0</v>
      </c>
      <c r="V1389">
        <v>6</v>
      </c>
    </row>
    <row r="1390" spans="1:22" x14ac:dyDescent="0.3">
      <c r="A1390">
        <v>1389</v>
      </c>
      <c r="B1390">
        <v>45799</v>
      </c>
      <c r="C1390" s="2">
        <v>36317</v>
      </c>
      <c r="D1390">
        <v>26</v>
      </c>
      <c r="E1390" t="s">
        <v>42</v>
      </c>
      <c r="F1390" t="s">
        <v>50</v>
      </c>
      <c r="G1390" s="2">
        <v>44703</v>
      </c>
      <c r="H1390" s="3">
        <f t="shared" si="21"/>
        <v>3.56986301369863</v>
      </c>
      <c r="I1390">
        <v>76</v>
      </c>
      <c r="J1390" t="s">
        <v>57</v>
      </c>
      <c r="K1390" t="s">
        <v>68</v>
      </c>
      <c r="L1390" t="s">
        <v>44</v>
      </c>
      <c r="M1390">
        <v>16.579999999999998</v>
      </c>
      <c r="N1390">
        <v>16.38</v>
      </c>
      <c r="O1390">
        <v>16.18</v>
      </c>
      <c r="T1390" t="s">
        <v>47</v>
      </c>
      <c r="U1390">
        <v>2</v>
      </c>
      <c r="V1390">
        <v>7</v>
      </c>
    </row>
    <row r="1391" spans="1:22" x14ac:dyDescent="0.3">
      <c r="A1391">
        <v>1390</v>
      </c>
      <c r="B1391">
        <v>45802</v>
      </c>
      <c r="C1391" s="2">
        <v>36877</v>
      </c>
      <c r="D1391">
        <v>25</v>
      </c>
      <c r="E1391" t="s">
        <v>42</v>
      </c>
      <c r="F1391" t="s">
        <v>50</v>
      </c>
      <c r="G1391" s="2">
        <v>44719</v>
      </c>
      <c r="H1391" s="3">
        <f t="shared" si="21"/>
        <v>3.4794520547945207</v>
      </c>
      <c r="I1391">
        <v>76</v>
      </c>
      <c r="J1391" t="s">
        <v>57</v>
      </c>
      <c r="K1391" t="s">
        <v>48</v>
      </c>
      <c r="L1391" t="s">
        <v>44</v>
      </c>
      <c r="M1391">
        <v>8.4600000000000009</v>
      </c>
      <c r="N1391">
        <v>8.26</v>
      </c>
      <c r="O1391">
        <v>8.06</v>
      </c>
      <c r="T1391" t="s">
        <v>49</v>
      </c>
      <c r="U1391">
        <v>2</v>
      </c>
      <c r="V1391">
        <v>7</v>
      </c>
    </row>
    <row r="1392" spans="1:22" x14ac:dyDescent="0.3">
      <c r="A1392">
        <v>1391</v>
      </c>
      <c r="B1392">
        <v>45815</v>
      </c>
      <c r="C1392" s="2">
        <v>37438</v>
      </c>
      <c r="D1392">
        <v>24</v>
      </c>
      <c r="E1392" t="s">
        <v>36</v>
      </c>
      <c r="F1392" t="s">
        <v>37</v>
      </c>
      <c r="G1392" s="2">
        <v>44752</v>
      </c>
      <c r="H1392" s="3">
        <f t="shared" si="21"/>
        <v>3.7123287671232879</v>
      </c>
      <c r="I1392">
        <v>77</v>
      </c>
      <c r="J1392" t="s">
        <v>57</v>
      </c>
      <c r="K1392" t="s">
        <v>65</v>
      </c>
      <c r="L1392" t="s">
        <v>44</v>
      </c>
      <c r="M1392">
        <v>10.53</v>
      </c>
      <c r="N1392">
        <v>10.33</v>
      </c>
      <c r="O1392">
        <v>10.130000000000001</v>
      </c>
      <c r="T1392" t="s">
        <v>47</v>
      </c>
      <c r="U1392">
        <v>1</v>
      </c>
      <c r="V1392">
        <v>3</v>
      </c>
    </row>
    <row r="1393" spans="1:22" x14ac:dyDescent="0.3">
      <c r="A1393">
        <v>1392</v>
      </c>
      <c r="B1393">
        <v>45860</v>
      </c>
      <c r="C1393" s="2">
        <v>37187</v>
      </c>
      <c r="D1393">
        <v>24</v>
      </c>
      <c r="E1393" t="s">
        <v>36</v>
      </c>
      <c r="F1393" t="s">
        <v>50</v>
      </c>
      <c r="G1393" s="2">
        <v>44667</v>
      </c>
      <c r="H1393" s="3">
        <f t="shared" si="21"/>
        <v>3.6219178082191781</v>
      </c>
      <c r="I1393">
        <v>80</v>
      </c>
      <c r="J1393" t="s">
        <v>57</v>
      </c>
      <c r="K1393" t="s">
        <v>54</v>
      </c>
      <c r="L1393" t="s">
        <v>44</v>
      </c>
      <c r="M1393">
        <v>23.23</v>
      </c>
      <c r="N1393">
        <v>22.93</v>
      </c>
      <c r="O1393">
        <v>22.63</v>
      </c>
      <c r="T1393" t="s">
        <v>52</v>
      </c>
      <c r="U1393">
        <v>5</v>
      </c>
      <c r="V1393">
        <v>5</v>
      </c>
    </row>
    <row r="1394" spans="1:22" x14ac:dyDescent="0.3">
      <c r="A1394">
        <v>1393</v>
      </c>
      <c r="B1394">
        <v>45908</v>
      </c>
      <c r="C1394" s="2">
        <v>34064</v>
      </c>
      <c r="D1394">
        <v>32</v>
      </c>
      <c r="E1394" t="s">
        <v>42</v>
      </c>
      <c r="F1394" t="s">
        <v>50</v>
      </c>
      <c r="G1394" s="2">
        <v>44700</v>
      </c>
      <c r="H1394" s="3">
        <f t="shared" si="21"/>
        <v>3.6520547945205482</v>
      </c>
      <c r="I1394">
        <v>83</v>
      </c>
      <c r="J1394" t="s">
        <v>57</v>
      </c>
      <c r="K1394" t="s">
        <v>68</v>
      </c>
      <c r="L1394" t="s">
        <v>44</v>
      </c>
      <c r="M1394">
        <v>16.579999999999998</v>
      </c>
      <c r="N1394">
        <v>16.38</v>
      </c>
      <c r="O1394">
        <v>16.18</v>
      </c>
      <c r="T1394" t="s">
        <v>47</v>
      </c>
      <c r="U1394">
        <v>2</v>
      </c>
      <c r="V1394">
        <v>7</v>
      </c>
    </row>
    <row r="1395" spans="1:22" x14ac:dyDescent="0.3">
      <c r="A1395">
        <v>1394</v>
      </c>
      <c r="B1395">
        <v>45909</v>
      </c>
      <c r="C1395" s="2">
        <v>34964</v>
      </c>
      <c r="D1395">
        <v>30</v>
      </c>
      <c r="E1395" t="s">
        <v>42</v>
      </c>
      <c r="F1395" t="s">
        <v>50</v>
      </c>
      <c r="G1395" s="2">
        <v>44689</v>
      </c>
      <c r="H1395" s="3">
        <f t="shared" si="21"/>
        <v>3.1589041095890411</v>
      </c>
      <c r="I1395">
        <v>83</v>
      </c>
      <c r="J1395" t="s">
        <v>57</v>
      </c>
      <c r="K1395" t="s">
        <v>68</v>
      </c>
      <c r="L1395" t="s">
        <v>44</v>
      </c>
      <c r="M1395">
        <v>16.579999999999998</v>
      </c>
      <c r="N1395">
        <v>16.38</v>
      </c>
      <c r="O1395">
        <v>16.18</v>
      </c>
      <c r="T1395" t="s">
        <v>52</v>
      </c>
      <c r="U1395">
        <v>2</v>
      </c>
      <c r="V1395">
        <v>5</v>
      </c>
    </row>
    <row r="1396" spans="1:22" x14ac:dyDescent="0.3">
      <c r="A1396">
        <v>1395</v>
      </c>
      <c r="B1396">
        <v>45919</v>
      </c>
      <c r="C1396" s="2">
        <v>36689</v>
      </c>
      <c r="D1396">
        <v>25</v>
      </c>
      <c r="E1396" t="s">
        <v>42</v>
      </c>
      <c r="F1396" t="s">
        <v>37</v>
      </c>
      <c r="G1396" s="2">
        <v>44869</v>
      </c>
      <c r="H1396" s="3">
        <f t="shared" si="21"/>
        <v>3.3561643835616439</v>
      </c>
      <c r="I1396">
        <v>84</v>
      </c>
      <c r="J1396" t="s">
        <v>57</v>
      </c>
      <c r="K1396" t="s">
        <v>68</v>
      </c>
      <c r="L1396" t="s">
        <v>44</v>
      </c>
      <c r="M1396">
        <v>16.579999999999998</v>
      </c>
      <c r="N1396">
        <v>16.38</v>
      </c>
      <c r="O1396">
        <v>16.18</v>
      </c>
      <c r="T1396" t="s">
        <v>45</v>
      </c>
      <c r="U1396">
        <v>2</v>
      </c>
      <c r="V1396">
        <v>6</v>
      </c>
    </row>
    <row r="1397" spans="1:22" x14ac:dyDescent="0.3">
      <c r="A1397">
        <v>1396</v>
      </c>
      <c r="B1397">
        <v>45976</v>
      </c>
      <c r="C1397" s="2">
        <v>38206</v>
      </c>
      <c r="D1397">
        <v>21</v>
      </c>
      <c r="E1397" t="s">
        <v>42</v>
      </c>
      <c r="F1397" t="s">
        <v>50</v>
      </c>
      <c r="G1397" s="2">
        <v>44797</v>
      </c>
      <c r="H1397" s="3">
        <f t="shared" si="21"/>
        <v>2.9369863013698629</v>
      </c>
      <c r="I1397">
        <v>87</v>
      </c>
      <c r="J1397" t="s">
        <v>57</v>
      </c>
      <c r="K1397" t="s">
        <v>65</v>
      </c>
      <c r="L1397" t="s">
        <v>44</v>
      </c>
      <c r="M1397">
        <v>10.33</v>
      </c>
      <c r="N1397">
        <v>10.23</v>
      </c>
      <c r="O1397">
        <v>10.130000000000001</v>
      </c>
      <c r="T1397" t="s">
        <v>45</v>
      </c>
      <c r="U1397">
        <v>0</v>
      </c>
      <c r="V1397">
        <v>6</v>
      </c>
    </row>
    <row r="1398" spans="1:22" x14ac:dyDescent="0.3">
      <c r="A1398">
        <v>1397</v>
      </c>
      <c r="B1398">
        <v>45990</v>
      </c>
      <c r="C1398" s="2">
        <v>37838</v>
      </c>
      <c r="D1398">
        <v>22</v>
      </c>
      <c r="E1398" t="s">
        <v>42</v>
      </c>
      <c r="F1398" t="s">
        <v>37</v>
      </c>
      <c r="G1398" s="2">
        <v>44950</v>
      </c>
      <c r="H1398" s="3">
        <f t="shared" si="21"/>
        <v>3.3452054794520549</v>
      </c>
      <c r="I1398">
        <v>87</v>
      </c>
      <c r="J1398" t="s">
        <v>57</v>
      </c>
      <c r="K1398" t="s">
        <v>56</v>
      </c>
      <c r="L1398" t="s">
        <v>44</v>
      </c>
      <c r="M1398">
        <v>8.16</v>
      </c>
      <c r="N1398">
        <v>8.16</v>
      </c>
      <c r="T1398" t="s">
        <v>47</v>
      </c>
      <c r="U1398">
        <v>4</v>
      </c>
      <c r="V1398">
        <v>5</v>
      </c>
    </row>
    <row r="1399" spans="1:22" x14ac:dyDescent="0.3">
      <c r="A1399">
        <v>1398</v>
      </c>
      <c r="B1399">
        <v>46075</v>
      </c>
      <c r="C1399" s="2">
        <v>35315</v>
      </c>
      <c r="D1399">
        <v>29</v>
      </c>
      <c r="E1399" t="s">
        <v>42</v>
      </c>
      <c r="F1399" t="s">
        <v>50</v>
      </c>
      <c r="G1399" s="2">
        <v>44801</v>
      </c>
      <c r="H1399" s="3">
        <f t="shared" si="21"/>
        <v>3.506849315068493</v>
      </c>
      <c r="I1399">
        <v>92</v>
      </c>
      <c r="J1399" t="s">
        <v>57</v>
      </c>
      <c r="K1399" t="s">
        <v>68</v>
      </c>
      <c r="L1399" t="s">
        <v>44</v>
      </c>
      <c r="M1399">
        <v>16.579999999999998</v>
      </c>
      <c r="N1399">
        <v>16.38</v>
      </c>
      <c r="O1399">
        <v>16.18</v>
      </c>
      <c r="T1399" t="s">
        <v>47</v>
      </c>
      <c r="U1399">
        <v>4</v>
      </c>
      <c r="V1399">
        <v>6</v>
      </c>
    </row>
    <row r="1400" spans="1:22" x14ac:dyDescent="0.3">
      <c r="A1400">
        <v>1399</v>
      </c>
      <c r="B1400">
        <v>46096</v>
      </c>
      <c r="C1400" s="2">
        <v>35006</v>
      </c>
      <c r="D1400">
        <v>30</v>
      </c>
      <c r="E1400" t="s">
        <v>36</v>
      </c>
      <c r="F1400" t="s">
        <v>50</v>
      </c>
      <c r="G1400" s="2">
        <v>44742</v>
      </c>
      <c r="H1400" s="3">
        <f t="shared" si="21"/>
        <v>3.1671232876712327</v>
      </c>
      <c r="I1400">
        <v>93</v>
      </c>
      <c r="J1400" t="s">
        <v>57</v>
      </c>
      <c r="K1400" t="s">
        <v>54</v>
      </c>
      <c r="L1400" t="s">
        <v>44</v>
      </c>
      <c r="M1400">
        <v>23.23</v>
      </c>
      <c r="N1400">
        <v>22.93</v>
      </c>
      <c r="O1400">
        <v>22.63</v>
      </c>
      <c r="T1400" t="s">
        <v>49</v>
      </c>
      <c r="U1400">
        <v>5</v>
      </c>
      <c r="V1400">
        <v>6</v>
      </c>
    </row>
    <row r="1401" spans="1:22" x14ac:dyDescent="0.3">
      <c r="A1401">
        <v>1400</v>
      </c>
      <c r="B1401">
        <v>46114</v>
      </c>
      <c r="C1401" s="2">
        <v>35959</v>
      </c>
      <c r="D1401">
        <v>27</v>
      </c>
      <c r="E1401" t="s">
        <v>42</v>
      </c>
      <c r="F1401" t="s">
        <v>50</v>
      </c>
      <c r="G1401" s="2">
        <v>44866</v>
      </c>
      <c r="H1401" s="3">
        <f t="shared" si="21"/>
        <v>3.4</v>
      </c>
      <c r="I1401">
        <v>94</v>
      </c>
      <c r="J1401" t="s">
        <v>57</v>
      </c>
      <c r="K1401" t="s">
        <v>68</v>
      </c>
      <c r="L1401" t="s">
        <v>44</v>
      </c>
      <c r="M1401">
        <v>16.579999999999998</v>
      </c>
      <c r="N1401">
        <v>16.38</v>
      </c>
      <c r="O1401">
        <v>16.18</v>
      </c>
      <c r="T1401" t="s">
        <v>49</v>
      </c>
      <c r="U1401">
        <v>2</v>
      </c>
      <c r="V1401">
        <v>5</v>
      </c>
    </row>
    <row r="1402" spans="1:22" x14ac:dyDescent="0.3">
      <c r="A1402">
        <v>1401</v>
      </c>
      <c r="B1402">
        <v>46175</v>
      </c>
      <c r="C1402" s="2">
        <v>36008</v>
      </c>
      <c r="D1402">
        <v>28</v>
      </c>
      <c r="E1402" t="s">
        <v>42</v>
      </c>
      <c r="F1402" t="s">
        <v>37</v>
      </c>
      <c r="G1402" s="2">
        <v>44781</v>
      </c>
      <c r="H1402" s="3">
        <f t="shared" si="21"/>
        <v>2.8986301369863012</v>
      </c>
      <c r="I1402">
        <v>98</v>
      </c>
      <c r="J1402" t="s">
        <v>57</v>
      </c>
      <c r="K1402" t="s">
        <v>43</v>
      </c>
      <c r="L1402" t="s">
        <v>44</v>
      </c>
      <c r="M1402">
        <v>15.88</v>
      </c>
      <c r="N1402">
        <v>15.73</v>
      </c>
      <c r="O1402">
        <v>15.58</v>
      </c>
      <c r="T1402" t="s">
        <v>52</v>
      </c>
      <c r="U1402">
        <v>1</v>
      </c>
      <c r="V1402">
        <v>6</v>
      </c>
    </row>
    <row r="1403" spans="1:22" x14ac:dyDescent="0.3">
      <c r="A1403">
        <v>1402</v>
      </c>
      <c r="B1403">
        <v>46202</v>
      </c>
      <c r="C1403" s="2">
        <v>37316</v>
      </c>
      <c r="D1403">
        <v>24</v>
      </c>
      <c r="E1403" t="s">
        <v>42</v>
      </c>
      <c r="F1403" t="s">
        <v>50</v>
      </c>
      <c r="G1403" s="2">
        <v>44964</v>
      </c>
      <c r="H1403" s="3">
        <f t="shared" si="21"/>
        <v>3.452054794520548</v>
      </c>
      <c r="I1403">
        <v>99</v>
      </c>
      <c r="J1403" t="s">
        <v>57</v>
      </c>
      <c r="K1403" t="s">
        <v>56</v>
      </c>
      <c r="L1403" t="s">
        <v>44</v>
      </c>
      <c r="M1403">
        <v>8.4600000000000009</v>
      </c>
      <c r="N1403">
        <v>8.26</v>
      </c>
      <c r="T1403" t="s">
        <v>47</v>
      </c>
      <c r="U1403">
        <v>3</v>
      </c>
      <c r="V1403">
        <v>7</v>
      </c>
    </row>
    <row r="1404" spans="1:22" x14ac:dyDescent="0.3">
      <c r="A1404">
        <v>1403</v>
      </c>
      <c r="B1404">
        <v>46223</v>
      </c>
      <c r="C1404" s="2">
        <v>36066</v>
      </c>
      <c r="D1404">
        <v>27</v>
      </c>
      <c r="E1404" t="s">
        <v>42</v>
      </c>
      <c r="F1404" t="s">
        <v>50</v>
      </c>
      <c r="G1404" s="2">
        <v>44762</v>
      </c>
      <c r="H1404" s="3">
        <f t="shared" si="21"/>
        <v>3.1150684931506851</v>
      </c>
      <c r="I1404">
        <v>101</v>
      </c>
      <c r="J1404" t="s">
        <v>57</v>
      </c>
      <c r="K1404" t="s">
        <v>64</v>
      </c>
      <c r="L1404" t="s">
        <v>44</v>
      </c>
      <c r="M1404">
        <v>14</v>
      </c>
      <c r="N1404">
        <v>13.7</v>
      </c>
      <c r="O1404">
        <v>13.4</v>
      </c>
      <c r="T1404" t="s">
        <v>52</v>
      </c>
      <c r="U1404">
        <v>0</v>
      </c>
      <c r="V1404">
        <v>6</v>
      </c>
    </row>
    <row r="1405" spans="1:22" x14ac:dyDescent="0.3">
      <c r="A1405">
        <v>1404</v>
      </c>
      <c r="B1405">
        <v>46228</v>
      </c>
      <c r="C1405" s="2">
        <v>36795</v>
      </c>
      <c r="D1405">
        <v>25</v>
      </c>
      <c r="E1405" t="s">
        <v>42</v>
      </c>
      <c r="F1405" t="s">
        <v>50</v>
      </c>
      <c r="G1405" s="2">
        <v>44885</v>
      </c>
      <c r="H1405" s="3">
        <f t="shared" si="21"/>
        <v>3.1589041095890411</v>
      </c>
      <c r="I1405">
        <v>101</v>
      </c>
      <c r="J1405" t="s">
        <v>57</v>
      </c>
      <c r="K1405" t="s">
        <v>56</v>
      </c>
      <c r="L1405" t="s">
        <v>44</v>
      </c>
      <c r="M1405">
        <v>8.4600000000000009</v>
      </c>
      <c r="N1405">
        <v>8.26</v>
      </c>
      <c r="O1405">
        <v>8.06</v>
      </c>
      <c r="T1405" t="s">
        <v>47</v>
      </c>
      <c r="U1405">
        <v>0</v>
      </c>
      <c r="V1405">
        <v>7</v>
      </c>
    </row>
    <row r="1406" spans="1:22" x14ac:dyDescent="0.3">
      <c r="A1406">
        <v>1405</v>
      </c>
      <c r="B1406">
        <v>46302</v>
      </c>
      <c r="C1406" s="2">
        <v>36997</v>
      </c>
      <c r="D1406">
        <v>24</v>
      </c>
      <c r="E1406" t="s">
        <v>36</v>
      </c>
      <c r="F1406" t="s">
        <v>50</v>
      </c>
      <c r="G1406" s="2">
        <v>44869</v>
      </c>
      <c r="H1406" s="3">
        <f t="shared" si="21"/>
        <v>2.9616438356164383</v>
      </c>
      <c r="I1406">
        <v>106</v>
      </c>
      <c r="J1406" t="s">
        <v>57</v>
      </c>
      <c r="K1406" t="s">
        <v>54</v>
      </c>
      <c r="L1406" t="s">
        <v>44</v>
      </c>
      <c r="M1406">
        <v>23.23</v>
      </c>
      <c r="N1406">
        <v>22.93</v>
      </c>
      <c r="O1406">
        <v>22.63</v>
      </c>
      <c r="T1406" t="s">
        <v>49</v>
      </c>
      <c r="U1406">
        <v>6</v>
      </c>
      <c r="V1406">
        <v>6</v>
      </c>
    </row>
    <row r="1407" spans="1:22" x14ac:dyDescent="0.3">
      <c r="A1407">
        <v>1406</v>
      </c>
      <c r="B1407">
        <v>46319</v>
      </c>
      <c r="C1407" s="2">
        <v>37975</v>
      </c>
      <c r="D1407">
        <v>22</v>
      </c>
      <c r="E1407" t="s">
        <v>42</v>
      </c>
      <c r="F1407" t="s">
        <v>50</v>
      </c>
      <c r="G1407" s="2">
        <v>44941</v>
      </c>
      <c r="H1407" s="3">
        <f t="shared" si="21"/>
        <v>3.3178082191780822</v>
      </c>
      <c r="I1407">
        <v>107</v>
      </c>
      <c r="J1407" t="s">
        <v>57</v>
      </c>
      <c r="K1407" t="s">
        <v>65</v>
      </c>
      <c r="L1407" t="s">
        <v>44</v>
      </c>
      <c r="M1407">
        <v>10.53</v>
      </c>
      <c r="N1407">
        <v>10.33</v>
      </c>
      <c r="T1407" t="s">
        <v>47</v>
      </c>
      <c r="U1407">
        <v>0</v>
      </c>
      <c r="V1407">
        <v>4</v>
      </c>
    </row>
    <row r="1408" spans="1:22" x14ac:dyDescent="0.3">
      <c r="A1408">
        <v>1407</v>
      </c>
      <c r="B1408">
        <v>46350</v>
      </c>
      <c r="C1408" s="2">
        <v>35301</v>
      </c>
      <c r="D1408">
        <v>29</v>
      </c>
      <c r="E1408" t="s">
        <v>36</v>
      </c>
      <c r="F1408" t="s">
        <v>50</v>
      </c>
      <c r="G1408" s="2">
        <v>44811</v>
      </c>
      <c r="H1408" s="3">
        <f t="shared" si="21"/>
        <v>3.3506849315068492</v>
      </c>
      <c r="I1408">
        <v>109</v>
      </c>
      <c r="J1408" t="s">
        <v>57</v>
      </c>
      <c r="K1408" t="s">
        <v>55</v>
      </c>
      <c r="L1408" t="s">
        <v>44</v>
      </c>
      <c r="M1408">
        <v>17.34</v>
      </c>
      <c r="N1408">
        <v>17.04</v>
      </c>
      <c r="O1408">
        <v>16.739999999999998</v>
      </c>
      <c r="T1408" t="s">
        <v>52</v>
      </c>
      <c r="U1408">
        <v>2</v>
      </c>
      <c r="V1408">
        <v>5</v>
      </c>
    </row>
    <row r="1409" spans="1:22" x14ac:dyDescent="0.3">
      <c r="A1409">
        <v>1408</v>
      </c>
      <c r="B1409">
        <v>46395</v>
      </c>
      <c r="C1409" s="2">
        <v>37145</v>
      </c>
      <c r="D1409">
        <v>24</v>
      </c>
      <c r="E1409" t="s">
        <v>42</v>
      </c>
      <c r="F1409" t="s">
        <v>50</v>
      </c>
      <c r="G1409" s="2">
        <v>44799</v>
      </c>
      <c r="H1409" s="3">
        <f t="shared" si="21"/>
        <v>3.5890410958904111</v>
      </c>
      <c r="I1409">
        <v>111</v>
      </c>
      <c r="J1409" t="s">
        <v>57</v>
      </c>
      <c r="K1409" t="s">
        <v>56</v>
      </c>
      <c r="L1409" t="s">
        <v>44</v>
      </c>
      <c r="M1409">
        <v>8.4600000000000009</v>
      </c>
      <c r="N1409">
        <v>8.26</v>
      </c>
      <c r="O1409">
        <v>8.06</v>
      </c>
      <c r="T1409" t="s">
        <v>47</v>
      </c>
      <c r="U1409">
        <v>2</v>
      </c>
      <c r="V1409">
        <v>6</v>
      </c>
    </row>
    <row r="1410" spans="1:22" x14ac:dyDescent="0.3">
      <c r="A1410">
        <v>1409</v>
      </c>
      <c r="B1410">
        <v>46440</v>
      </c>
      <c r="C1410" s="2">
        <v>37088</v>
      </c>
      <c r="D1410">
        <v>24</v>
      </c>
      <c r="E1410" t="s">
        <v>42</v>
      </c>
      <c r="F1410" t="s">
        <v>50</v>
      </c>
      <c r="G1410" s="2">
        <v>44712</v>
      </c>
      <c r="H1410" s="3">
        <f t="shared" si="21"/>
        <v>3.591780821917808</v>
      </c>
      <c r="I1410">
        <v>113</v>
      </c>
      <c r="J1410" t="s">
        <v>57</v>
      </c>
      <c r="K1410" t="s">
        <v>56</v>
      </c>
      <c r="L1410" t="s">
        <v>44</v>
      </c>
      <c r="M1410">
        <v>8.16</v>
      </c>
      <c r="N1410">
        <v>8.16</v>
      </c>
      <c r="O1410">
        <v>8.06</v>
      </c>
      <c r="T1410" t="s">
        <v>47</v>
      </c>
      <c r="U1410">
        <v>1</v>
      </c>
      <c r="V1410">
        <v>6</v>
      </c>
    </row>
    <row r="1411" spans="1:22" x14ac:dyDescent="0.3">
      <c r="A1411">
        <v>1410</v>
      </c>
      <c r="B1411">
        <v>46469</v>
      </c>
      <c r="C1411" s="2">
        <v>27916</v>
      </c>
      <c r="D1411">
        <v>49</v>
      </c>
      <c r="E1411" t="s">
        <v>36</v>
      </c>
      <c r="F1411" t="s">
        <v>50</v>
      </c>
      <c r="G1411" s="2">
        <v>44711</v>
      </c>
      <c r="H1411" s="3">
        <f t="shared" ref="H1411:H1474" si="22">DATEDIF(G1412,DATE(2025,12,31),"d")/365</f>
        <v>3.6465753424657534</v>
      </c>
      <c r="I1411">
        <v>115</v>
      </c>
      <c r="J1411" t="s">
        <v>57</v>
      </c>
      <c r="K1411" t="s">
        <v>54</v>
      </c>
      <c r="L1411" t="s">
        <v>44</v>
      </c>
      <c r="M1411">
        <v>23.23</v>
      </c>
      <c r="N1411">
        <v>22.93</v>
      </c>
      <c r="O1411">
        <v>22.63</v>
      </c>
      <c r="T1411" t="s">
        <v>47</v>
      </c>
      <c r="U1411">
        <v>7</v>
      </c>
      <c r="V1411">
        <v>6</v>
      </c>
    </row>
    <row r="1412" spans="1:22" x14ac:dyDescent="0.3">
      <c r="A1412">
        <v>1411</v>
      </c>
      <c r="B1412">
        <v>46494</v>
      </c>
      <c r="C1412" s="2">
        <v>37845</v>
      </c>
      <c r="D1412">
        <v>22</v>
      </c>
      <c r="E1412" t="s">
        <v>42</v>
      </c>
      <c r="F1412" t="s">
        <v>50</v>
      </c>
      <c r="G1412" s="2">
        <v>44691</v>
      </c>
      <c r="H1412" s="3">
        <f t="shared" si="22"/>
        <v>3.2767123287671232</v>
      </c>
      <c r="I1412">
        <v>116</v>
      </c>
      <c r="J1412" t="s">
        <v>57</v>
      </c>
      <c r="K1412" t="s">
        <v>56</v>
      </c>
      <c r="L1412" t="s">
        <v>44</v>
      </c>
      <c r="M1412">
        <v>8.4600000000000009</v>
      </c>
      <c r="N1412">
        <v>8.26</v>
      </c>
      <c r="O1412">
        <v>8.06</v>
      </c>
      <c r="T1412" t="s">
        <v>47</v>
      </c>
      <c r="U1412">
        <v>2</v>
      </c>
      <c r="V1412">
        <v>6</v>
      </c>
    </row>
    <row r="1413" spans="1:22" x14ac:dyDescent="0.3">
      <c r="A1413">
        <v>1412</v>
      </c>
      <c r="B1413">
        <v>46509</v>
      </c>
      <c r="C1413" s="2">
        <v>37249</v>
      </c>
      <c r="D1413">
        <v>24</v>
      </c>
      <c r="E1413" t="s">
        <v>42</v>
      </c>
      <c r="F1413" t="s">
        <v>50</v>
      </c>
      <c r="G1413" s="2">
        <v>44826</v>
      </c>
      <c r="H1413" s="3">
        <f t="shared" si="22"/>
        <v>2.8136986301369862</v>
      </c>
      <c r="I1413">
        <v>118</v>
      </c>
      <c r="J1413" t="s">
        <v>57</v>
      </c>
      <c r="K1413" t="s">
        <v>68</v>
      </c>
      <c r="L1413" t="s">
        <v>44</v>
      </c>
      <c r="M1413">
        <v>16.579999999999998</v>
      </c>
      <c r="N1413">
        <v>16.38</v>
      </c>
      <c r="O1413">
        <v>16.18</v>
      </c>
      <c r="T1413" t="s">
        <v>47</v>
      </c>
      <c r="U1413">
        <v>2</v>
      </c>
      <c r="V1413">
        <v>7</v>
      </c>
    </row>
    <row r="1414" spans="1:22" x14ac:dyDescent="0.3">
      <c r="A1414">
        <v>1413</v>
      </c>
      <c r="B1414">
        <v>46566</v>
      </c>
      <c r="C1414" s="2">
        <v>36058</v>
      </c>
      <c r="D1414">
        <v>27</v>
      </c>
      <c r="E1414" t="s">
        <v>36</v>
      </c>
      <c r="F1414" t="s">
        <v>37</v>
      </c>
      <c r="G1414" s="2">
        <v>44995</v>
      </c>
      <c r="H1414" s="3">
        <f t="shared" si="22"/>
        <v>3.1671232876712327</v>
      </c>
      <c r="I1414">
        <v>121</v>
      </c>
      <c r="J1414" t="s">
        <v>57</v>
      </c>
      <c r="K1414" t="s">
        <v>68</v>
      </c>
      <c r="L1414" t="s">
        <v>44</v>
      </c>
      <c r="M1414">
        <v>16.579999999999998</v>
      </c>
      <c r="N1414">
        <v>16.38</v>
      </c>
      <c r="T1414" t="s">
        <v>52</v>
      </c>
      <c r="U1414">
        <v>1</v>
      </c>
      <c r="V1414">
        <v>5</v>
      </c>
    </row>
    <row r="1415" spans="1:22" x14ac:dyDescent="0.3">
      <c r="A1415">
        <v>1414</v>
      </c>
      <c r="B1415">
        <v>46646</v>
      </c>
      <c r="C1415" s="2">
        <v>35876</v>
      </c>
      <c r="D1415">
        <v>27</v>
      </c>
      <c r="E1415" t="s">
        <v>42</v>
      </c>
      <c r="F1415" t="s">
        <v>37</v>
      </c>
      <c r="G1415" s="2">
        <v>44866</v>
      </c>
      <c r="H1415" s="3">
        <f t="shared" si="22"/>
        <v>3.1643835616438358</v>
      </c>
      <c r="I1415">
        <v>126</v>
      </c>
      <c r="J1415" t="s">
        <v>57</v>
      </c>
      <c r="K1415" t="s">
        <v>68</v>
      </c>
      <c r="L1415" t="s">
        <v>44</v>
      </c>
      <c r="M1415">
        <v>16.579999999999998</v>
      </c>
      <c r="N1415">
        <v>16.38</v>
      </c>
      <c r="O1415">
        <v>16.18</v>
      </c>
      <c r="T1415" t="s">
        <v>52</v>
      </c>
      <c r="U1415">
        <v>1</v>
      </c>
      <c r="V1415">
        <v>6</v>
      </c>
    </row>
    <row r="1416" spans="1:22" x14ac:dyDescent="0.3">
      <c r="A1416">
        <v>1415</v>
      </c>
      <c r="B1416">
        <v>46728</v>
      </c>
      <c r="C1416" s="2">
        <v>37584</v>
      </c>
      <c r="D1416">
        <v>23</v>
      </c>
      <c r="E1416" t="s">
        <v>36</v>
      </c>
      <c r="F1416" t="s">
        <v>50</v>
      </c>
      <c r="G1416" s="2">
        <v>44867</v>
      </c>
      <c r="H1416" s="3">
        <f t="shared" si="22"/>
        <v>3.8246575342465752</v>
      </c>
      <c r="I1416">
        <v>131</v>
      </c>
      <c r="J1416" t="s">
        <v>57</v>
      </c>
      <c r="K1416" t="s">
        <v>54</v>
      </c>
      <c r="L1416" t="s">
        <v>44</v>
      </c>
      <c r="M1416">
        <v>23.23</v>
      </c>
      <c r="N1416">
        <v>22.93</v>
      </c>
      <c r="O1416">
        <v>22.63</v>
      </c>
      <c r="T1416" t="s">
        <v>52</v>
      </c>
      <c r="U1416">
        <v>6</v>
      </c>
      <c r="V1416">
        <v>6</v>
      </c>
    </row>
    <row r="1417" spans="1:22" x14ac:dyDescent="0.3">
      <c r="A1417">
        <v>1416</v>
      </c>
      <c r="B1417">
        <v>46781</v>
      </c>
      <c r="C1417" s="2">
        <v>35202</v>
      </c>
      <c r="D1417">
        <v>29</v>
      </c>
      <c r="E1417" t="s">
        <v>36</v>
      </c>
      <c r="F1417" t="s">
        <v>37</v>
      </c>
      <c r="G1417" s="2">
        <v>44626</v>
      </c>
      <c r="H1417" s="3">
        <f t="shared" si="22"/>
        <v>3.1753424657534248</v>
      </c>
      <c r="I1417">
        <v>134</v>
      </c>
      <c r="J1417" t="s">
        <v>57</v>
      </c>
      <c r="K1417" t="s">
        <v>55</v>
      </c>
      <c r="L1417" t="s">
        <v>44</v>
      </c>
      <c r="M1417">
        <v>17.04</v>
      </c>
      <c r="N1417">
        <v>16.89</v>
      </c>
      <c r="O1417">
        <v>16.739999999999998</v>
      </c>
      <c r="T1417" t="s">
        <v>45</v>
      </c>
      <c r="U1417">
        <v>2</v>
      </c>
      <c r="V1417">
        <v>5</v>
      </c>
    </row>
    <row r="1418" spans="1:22" x14ac:dyDescent="0.3">
      <c r="A1418">
        <v>1417</v>
      </c>
      <c r="B1418">
        <v>46812</v>
      </c>
      <c r="C1418" s="2">
        <v>38582</v>
      </c>
      <c r="D1418">
        <v>20</v>
      </c>
      <c r="E1418" t="s">
        <v>42</v>
      </c>
      <c r="F1418" t="s">
        <v>50</v>
      </c>
      <c r="G1418" s="2">
        <v>44863</v>
      </c>
      <c r="H1418" s="3">
        <f t="shared" si="22"/>
        <v>3.4465753424657533</v>
      </c>
      <c r="I1418">
        <v>135</v>
      </c>
      <c r="J1418" t="s">
        <v>57</v>
      </c>
      <c r="K1418" t="s">
        <v>56</v>
      </c>
      <c r="L1418" t="s">
        <v>44</v>
      </c>
      <c r="M1418">
        <v>8.4600000000000009</v>
      </c>
      <c r="N1418">
        <v>8.26</v>
      </c>
      <c r="O1418">
        <v>8.06</v>
      </c>
      <c r="T1418" t="s">
        <v>47</v>
      </c>
      <c r="U1418">
        <v>0</v>
      </c>
      <c r="V1418">
        <v>5</v>
      </c>
    </row>
    <row r="1419" spans="1:22" x14ac:dyDescent="0.3">
      <c r="A1419">
        <v>1418</v>
      </c>
      <c r="B1419">
        <v>46813</v>
      </c>
      <c r="C1419" s="2">
        <v>36648</v>
      </c>
      <c r="D1419">
        <v>25</v>
      </c>
      <c r="E1419" t="s">
        <v>36</v>
      </c>
      <c r="F1419" t="s">
        <v>50</v>
      </c>
      <c r="G1419" s="2">
        <v>44764</v>
      </c>
      <c r="H1419" s="3">
        <f t="shared" si="22"/>
        <v>3.1424657534246574</v>
      </c>
      <c r="I1419">
        <v>136</v>
      </c>
      <c r="J1419" t="s">
        <v>57</v>
      </c>
      <c r="K1419" t="s">
        <v>65</v>
      </c>
      <c r="L1419" t="s">
        <v>44</v>
      </c>
      <c r="M1419">
        <v>10.52</v>
      </c>
      <c r="N1419">
        <v>10.4</v>
      </c>
      <c r="O1419">
        <v>10.130000000000001</v>
      </c>
      <c r="T1419" t="s">
        <v>47</v>
      </c>
      <c r="U1419">
        <v>0</v>
      </c>
      <c r="V1419">
        <v>3</v>
      </c>
    </row>
    <row r="1420" spans="1:22" x14ac:dyDescent="0.3">
      <c r="A1420">
        <v>1419</v>
      </c>
      <c r="B1420">
        <v>46826</v>
      </c>
      <c r="C1420" s="2">
        <v>35958</v>
      </c>
      <c r="D1420">
        <v>27</v>
      </c>
      <c r="E1420" t="s">
        <v>36</v>
      </c>
      <c r="F1420" t="s">
        <v>50</v>
      </c>
      <c r="G1420" s="2">
        <v>44875</v>
      </c>
      <c r="H1420" s="3">
        <f t="shared" si="22"/>
        <v>3.441095890410959</v>
      </c>
      <c r="I1420">
        <v>137</v>
      </c>
      <c r="J1420" t="s">
        <v>57</v>
      </c>
      <c r="K1420" t="s">
        <v>43</v>
      </c>
      <c r="L1420" t="s">
        <v>44</v>
      </c>
      <c r="M1420">
        <v>16.18</v>
      </c>
      <c r="N1420">
        <v>15.88</v>
      </c>
      <c r="O1420">
        <v>15.58</v>
      </c>
      <c r="T1420" t="s">
        <v>52</v>
      </c>
      <c r="U1420">
        <v>2</v>
      </c>
      <c r="V1420">
        <v>6</v>
      </c>
    </row>
    <row r="1421" spans="1:22" x14ac:dyDescent="0.3">
      <c r="A1421">
        <v>1420</v>
      </c>
      <c r="B1421">
        <v>46861</v>
      </c>
      <c r="C1421" s="2">
        <v>38577</v>
      </c>
      <c r="D1421">
        <v>20</v>
      </c>
      <c r="E1421" t="s">
        <v>42</v>
      </c>
      <c r="F1421" t="s">
        <v>50</v>
      </c>
      <c r="G1421" s="2">
        <v>44766</v>
      </c>
      <c r="H1421" s="3">
        <f t="shared" si="22"/>
        <v>3.5616438356164384</v>
      </c>
      <c r="I1421">
        <v>138</v>
      </c>
      <c r="J1421" t="s">
        <v>57</v>
      </c>
      <c r="K1421" t="s">
        <v>56</v>
      </c>
      <c r="L1421" t="s">
        <v>44</v>
      </c>
      <c r="M1421">
        <v>8.26</v>
      </c>
      <c r="N1421">
        <v>8.16</v>
      </c>
      <c r="O1421">
        <v>8.06</v>
      </c>
      <c r="T1421" t="s">
        <v>47</v>
      </c>
      <c r="U1421">
        <v>2</v>
      </c>
      <c r="V1421">
        <v>4</v>
      </c>
    </row>
    <row r="1422" spans="1:22" x14ac:dyDescent="0.3">
      <c r="A1422">
        <v>1421</v>
      </c>
      <c r="B1422">
        <v>46891</v>
      </c>
      <c r="C1422" s="2">
        <v>37043</v>
      </c>
      <c r="D1422">
        <v>25</v>
      </c>
      <c r="E1422" t="s">
        <v>42</v>
      </c>
      <c r="F1422" t="s">
        <v>50</v>
      </c>
      <c r="G1422" s="2">
        <v>44722</v>
      </c>
      <c r="H1422" s="3">
        <f t="shared" si="22"/>
        <v>2.9150684931506849</v>
      </c>
      <c r="I1422">
        <v>140</v>
      </c>
      <c r="J1422" t="s">
        <v>57</v>
      </c>
      <c r="K1422" t="s">
        <v>56</v>
      </c>
      <c r="L1422" t="s">
        <v>44</v>
      </c>
      <c r="M1422">
        <v>8.5299999999999994</v>
      </c>
      <c r="N1422">
        <v>8.32</v>
      </c>
      <c r="O1422">
        <v>8.06</v>
      </c>
      <c r="T1422" t="s">
        <v>49</v>
      </c>
      <c r="U1422">
        <v>1</v>
      </c>
      <c r="V1422">
        <v>7</v>
      </c>
    </row>
    <row r="1423" spans="1:22" x14ac:dyDescent="0.3">
      <c r="A1423">
        <v>1422</v>
      </c>
      <c r="B1423">
        <v>46922</v>
      </c>
      <c r="C1423" s="2">
        <v>37117</v>
      </c>
      <c r="D1423">
        <v>24</v>
      </c>
      <c r="E1423" t="s">
        <v>42</v>
      </c>
      <c r="F1423" t="s">
        <v>50</v>
      </c>
      <c r="G1423" s="2">
        <v>44958</v>
      </c>
      <c r="H1423" s="3">
        <f t="shared" si="22"/>
        <v>3.5780821917808221</v>
      </c>
      <c r="I1423">
        <v>142</v>
      </c>
      <c r="J1423" t="s">
        <v>57</v>
      </c>
      <c r="K1423" t="s">
        <v>56</v>
      </c>
      <c r="L1423" t="s">
        <v>44</v>
      </c>
      <c r="M1423">
        <v>8.26</v>
      </c>
      <c r="N1423">
        <v>8.16</v>
      </c>
      <c r="T1423" t="s">
        <v>52</v>
      </c>
      <c r="U1423">
        <v>0</v>
      </c>
      <c r="V1423">
        <v>5</v>
      </c>
    </row>
    <row r="1424" spans="1:22" x14ac:dyDescent="0.3">
      <c r="A1424">
        <v>1423</v>
      </c>
      <c r="B1424">
        <v>46935</v>
      </c>
      <c r="C1424" s="2">
        <v>37142</v>
      </c>
      <c r="D1424">
        <v>24</v>
      </c>
      <c r="E1424" t="s">
        <v>42</v>
      </c>
      <c r="F1424" t="s">
        <v>50</v>
      </c>
      <c r="G1424" s="2">
        <v>44716</v>
      </c>
      <c r="H1424" s="3">
        <f t="shared" si="22"/>
        <v>1.4164383561643836</v>
      </c>
      <c r="I1424">
        <v>143</v>
      </c>
      <c r="J1424" t="s">
        <v>57</v>
      </c>
      <c r="K1424" t="s">
        <v>56</v>
      </c>
      <c r="L1424" t="s">
        <v>44</v>
      </c>
      <c r="M1424">
        <v>8.48</v>
      </c>
      <c r="N1424">
        <v>8.36</v>
      </c>
      <c r="O1424">
        <v>8.06</v>
      </c>
      <c r="T1424" t="s">
        <v>52</v>
      </c>
      <c r="U1424">
        <v>2</v>
      </c>
      <c r="V1424">
        <v>7</v>
      </c>
    </row>
    <row r="1425" spans="1:31" x14ac:dyDescent="0.3">
      <c r="A1425">
        <v>1424</v>
      </c>
      <c r="B1425">
        <v>46966</v>
      </c>
      <c r="C1425" s="2">
        <v>35828</v>
      </c>
      <c r="D1425">
        <v>27</v>
      </c>
      <c r="E1425" t="s">
        <v>36</v>
      </c>
      <c r="F1425" t="s">
        <v>50</v>
      </c>
      <c r="G1425" s="2">
        <v>45505</v>
      </c>
      <c r="H1425" s="3">
        <f t="shared" si="22"/>
        <v>1.4164383561643836</v>
      </c>
      <c r="I1425">
        <v>11</v>
      </c>
      <c r="J1425" t="s">
        <v>38</v>
      </c>
      <c r="K1425" t="s">
        <v>72</v>
      </c>
      <c r="L1425" t="s">
        <v>40</v>
      </c>
      <c r="M1425">
        <v>53524</v>
      </c>
      <c r="T1425" t="s">
        <v>58</v>
      </c>
      <c r="U1425">
        <v>1</v>
      </c>
      <c r="V1425">
        <v>5</v>
      </c>
      <c r="W1425">
        <v>5</v>
      </c>
      <c r="X1425" s="2">
        <v>45495</v>
      </c>
      <c r="Y1425" t="s">
        <v>69</v>
      </c>
      <c r="AD1425">
        <v>5</v>
      </c>
    </row>
    <row r="1426" spans="1:31" x14ac:dyDescent="0.3">
      <c r="A1426">
        <v>1425</v>
      </c>
      <c r="B1426">
        <v>46967</v>
      </c>
      <c r="C1426" s="2">
        <v>35951</v>
      </c>
      <c r="D1426">
        <v>27</v>
      </c>
      <c r="E1426" t="s">
        <v>42</v>
      </c>
      <c r="F1426" t="s">
        <v>50</v>
      </c>
      <c r="G1426" s="2">
        <v>45505</v>
      </c>
      <c r="H1426" s="3">
        <f t="shared" si="22"/>
        <v>1.4164383561643836</v>
      </c>
      <c r="I1426">
        <v>18</v>
      </c>
      <c r="J1426" t="s">
        <v>38</v>
      </c>
      <c r="K1426" t="s">
        <v>72</v>
      </c>
      <c r="L1426" t="s">
        <v>40</v>
      </c>
      <c r="M1426">
        <v>54024</v>
      </c>
      <c r="T1426" t="s">
        <v>66</v>
      </c>
      <c r="U1426">
        <v>2</v>
      </c>
      <c r="V1426">
        <v>6</v>
      </c>
      <c r="W1426">
        <v>6</v>
      </c>
      <c r="X1426" s="2">
        <v>45390</v>
      </c>
      <c r="Y1426" t="s">
        <v>69</v>
      </c>
      <c r="AD1426">
        <v>3</v>
      </c>
    </row>
    <row r="1427" spans="1:31" x14ac:dyDescent="0.3">
      <c r="A1427">
        <v>1426</v>
      </c>
      <c r="B1427">
        <v>46968</v>
      </c>
      <c r="C1427" s="2">
        <v>35714</v>
      </c>
      <c r="D1427">
        <v>28</v>
      </c>
      <c r="E1427" t="s">
        <v>42</v>
      </c>
      <c r="F1427" t="s">
        <v>50</v>
      </c>
      <c r="G1427" s="2">
        <v>45505</v>
      </c>
      <c r="H1427" s="3">
        <f t="shared" si="22"/>
        <v>2.419178082191781</v>
      </c>
      <c r="I1427">
        <v>25</v>
      </c>
      <c r="J1427" t="s">
        <v>38</v>
      </c>
      <c r="K1427" t="s">
        <v>72</v>
      </c>
      <c r="L1427" t="s">
        <v>40</v>
      </c>
      <c r="M1427">
        <v>54024</v>
      </c>
      <c r="T1427" t="s">
        <v>61</v>
      </c>
      <c r="U1427">
        <v>4</v>
      </c>
      <c r="V1427">
        <v>7</v>
      </c>
      <c r="W1427">
        <v>6</v>
      </c>
      <c r="X1427" s="2">
        <v>45437</v>
      </c>
      <c r="Y1427" t="s">
        <v>69</v>
      </c>
      <c r="AD1427">
        <v>3</v>
      </c>
    </row>
    <row r="1428" spans="1:31" x14ac:dyDescent="0.3">
      <c r="A1428">
        <v>1427</v>
      </c>
      <c r="B1428">
        <v>46969</v>
      </c>
      <c r="C1428" s="2">
        <v>36465</v>
      </c>
      <c r="D1428">
        <v>27</v>
      </c>
      <c r="E1428" t="s">
        <v>42</v>
      </c>
      <c r="F1428" t="s">
        <v>50</v>
      </c>
      <c r="G1428" s="2">
        <v>45139</v>
      </c>
      <c r="H1428" s="3">
        <f t="shared" si="22"/>
        <v>1.4164383561643836</v>
      </c>
      <c r="I1428">
        <v>5</v>
      </c>
      <c r="J1428" t="s">
        <v>38</v>
      </c>
      <c r="K1428" t="s">
        <v>72</v>
      </c>
      <c r="L1428" t="s">
        <v>40</v>
      </c>
      <c r="M1428">
        <v>54024</v>
      </c>
      <c r="N1428">
        <v>52024</v>
      </c>
      <c r="T1428" t="s">
        <v>63</v>
      </c>
      <c r="U1428">
        <v>4</v>
      </c>
      <c r="V1428">
        <v>7</v>
      </c>
      <c r="W1428">
        <v>6</v>
      </c>
      <c r="X1428" s="2">
        <v>45519</v>
      </c>
      <c r="Y1428" t="s">
        <v>69</v>
      </c>
      <c r="AD1428">
        <v>5</v>
      </c>
      <c r="AE1428">
        <v>5</v>
      </c>
    </row>
    <row r="1429" spans="1:31" x14ac:dyDescent="0.3">
      <c r="A1429">
        <v>1428</v>
      </c>
      <c r="B1429">
        <v>46970</v>
      </c>
      <c r="C1429" s="2">
        <v>35616</v>
      </c>
      <c r="D1429">
        <v>28</v>
      </c>
      <c r="E1429" t="s">
        <v>42</v>
      </c>
      <c r="F1429" t="s">
        <v>50</v>
      </c>
      <c r="G1429" s="2">
        <v>45505</v>
      </c>
      <c r="H1429" s="3">
        <f t="shared" si="22"/>
        <v>1.4164383561643836</v>
      </c>
      <c r="I1429">
        <v>61</v>
      </c>
      <c r="J1429" t="s">
        <v>38</v>
      </c>
      <c r="K1429" t="s">
        <v>72</v>
      </c>
      <c r="L1429" t="s">
        <v>40</v>
      </c>
      <c r="M1429">
        <v>54109</v>
      </c>
      <c r="T1429" t="s">
        <v>63</v>
      </c>
      <c r="U1429">
        <v>2</v>
      </c>
      <c r="V1429">
        <v>7</v>
      </c>
      <c r="W1429">
        <v>7</v>
      </c>
      <c r="X1429" s="2">
        <v>45456</v>
      </c>
      <c r="Y1429" t="s">
        <v>69</v>
      </c>
      <c r="AD1429">
        <v>5</v>
      </c>
    </row>
    <row r="1430" spans="1:31" x14ac:dyDescent="0.3">
      <c r="A1430">
        <v>1429</v>
      </c>
      <c r="B1430">
        <v>46971</v>
      </c>
      <c r="C1430" s="2">
        <v>35691</v>
      </c>
      <c r="D1430">
        <v>28</v>
      </c>
      <c r="E1430" t="s">
        <v>36</v>
      </c>
      <c r="F1430" t="s">
        <v>50</v>
      </c>
      <c r="G1430" s="2">
        <v>45505</v>
      </c>
      <c r="H1430" s="3">
        <f t="shared" si="22"/>
        <v>1.4164383561643836</v>
      </c>
      <c r="I1430">
        <v>46</v>
      </c>
      <c r="J1430" t="s">
        <v>38</v>
      </c>
      <c r="K1430" t="s">
        <v>72</v>
      </c>
      <c r="L1430" t="s">
        <v>40</v>
      </c>
      <c r="M1430">
        <v>55201</v>
      </c>
      <c r="T1430" t="s">
        <v>71</v>
      </c>
      <c r="U1430">
        <v>1</v>
      </c>
      <c r="V1430">
        <v>3</v>
      </c>
      <c r="W1430">
        <v>4</v>
      </c>
      <c r="X1430" s="2">
        <v>45563</v>
      </c>
      <c r="Y1430" t="s">
        <v>69</v>
      </c>
      <c r="AD1430">
        <v>2</v>
      </c>
    </row>
    <row r="1431" spans="1:31" x14ac:dyDescent="0.3">
      <c r="A1431">
        <v>1430</v>
      </c>
      <c r="B1431">
        <v>46972</v>
      </c>
      <c r="C1431" s="2">
        <v>34700</v>
      </c>
      <c r="D1431">
        <v>31</v>
      </c>
      <c r="E1431" t="s">
        <v>42</v>
      </c>
      <c r="F1431" t="s">
        <v>50</v>
      </c>
      <c r="G1431" s="2">
        <v>45505</v>
      </c>
      <c r="H1431" s="3">
        <f t="shared" si="22"/>
        <v>1.4164383561643836</v>
      </c>
      <c r="I1431">
        <v>23</v>
      </c>
      <c r="J1431" t="s">
        <v>38</v>
      </c>
      <c r="K1431" t="s">
        <v>72</v>
      </c>
      <c r="L1431" t="s">
        <v>40</v>
      </c>
      <c r="M1431">
        <v>54024</v>
      </c>
      <c r="T1431" t="s">
        <v>70</v>
      </c>
      <c r="U1431">
        <v>4</v>
      </c>
      <c r="V1431">
        <v>6</v>
      </c>
      <c r="W1431">
        <v>6</v>
      </c>
      <c r="X1431" s="2">
        <v>45445</v>
      </c>
      <c r="Y1431" t="s">
        <v>69</v>
      </c>
      <c r="AD1431">
        <v>1</v>
      </c>
    </row>
    <row r="1432" spans="1:31" x14ac:dyDescent="0.3">
      <c r="A1432">
        <v>1431</v>
      </c>
      <c r="B1432">
        <v>46973</v>
      </c>
      <c r="C1432" s="2">
        <v>36116</v>
      </c>
      <c r="D1432">
        <v>27</v>
      </c>
      <c r="E1432" t="s">
        <v>36</v>
      </c>
      <c r="F1432" t="s">
        <v>50</v>
      </c>
      <c r="G1432" s="2">
        <v>45505</v>
      </c>
      <c r="H1432" s="3">
        <f t="shared" si="22"/>
        <v>1.4164383561643836</v>
      </c>
      <c r="I1432">
        <v>43</v>
      </c>
      <c r="J1432" t="s">
        <v>38</v>
      </c>
      <c r="K1432" t="s">
        <v>72</v>
      </c>
      <c r="L1432" t="s">
        <v>40</v>
      </c>
      <c r="M1432">
        <v>53524</v>
      </c>
      <c r="T1432" t="s">
        <v>67</v>
      </c>
      <c r="U1432">
        <v>4</v>
      </c>
      <c r="V1432">
        <v>5</v>
      </c>
      <c r="W1432">
        <v>5</v>
      </c>
      <c r="X1432" s="2">
        <v>45471</v>
      </c>
      <c r="Y1432" t="s">
        <v>69</v>
      </c>
      <c r="AD1432">
        <v>3</v>
      </c>
    </row>
    <row r="1433" spans="1:31" x14ac:dyDescent="0.3">
      <c r="A1433">
        <v>1432</v>
      </c>
      <c r="B1433">
        <v>46974</v>
      </c>
      <c r="C1433" s="2">
        <v>35728</v>
      </c>
      <c r="D1433">
        <v>28</v>
      </c>
      <c r="E1433" t="s">
        <v>42</v>
      </c>
      <c r="F1433" t="s">
        <v>37</v>
      </c>
      <c r="G1433" s="2">
        <v>45505</v>
      </c>
      <c r="H1433" s="3">
        <f t="shared" si="22"/>
        <v>2.419178082191781</v>
      </c>
      <c r="I1433">
        <v>13</v>
      </c>
      <c r="J1433" t="s">
        <v>38</v>
      </c>
      <c r="K1433" t="s">
        <v>72</v>
      </c>
      <c r="L1433" t="s">
        <v>40</v>
      </c>
      <c r="M1433">
        <v>53524</v>
      </c>
      <c r="T1433" t="s">
        <v>60</v>
      </c>
      <c r="U1433">
        <v>2</v>
      </c>
      <c r="V1433">
        <v>6</v>
      </c>
      <c r="W1433">
        <v>7</v>
      </c>
      <c r="X1433" s="2">
        <v>45530</v>
      </c>
      <c r="Y1433" t="s">
        <v>69</v>
      </c>
      <c r="AD1433">
        <v>4</v>
      </c>
    </row>
    <row r="1434" spans="1:31" x14ac:dyDescent="0.3">
      <c r="A1434">
        <v>1433</v>
      </c>
      <c r="B1434">
        <v>46975</v>
      </c>
      <c r="C1434" s="2">
        <v>36039</v>
      </c>
      <c r="D1434">
        <v>28</v>
      </c>
      <c r="E1434" t="s">
        <v>42</v>
      </c>
      <c r="F1434" t="s">
        <v>50</v>
      </c>
      <c r="G1434" s="2">
        <v>45139</v>
      </c>
      <c r="H1434" s="3">
        <f t="shared" si="22"/>
        <v>2.419178082191781</v>
      </c>
      <c r="I1434">
        <v>13</v>
      </c>
      <c r="J1434" t="s">
        <v>38</v>
      </c>
      <c r="K1434" t="s">
        <v>72</v>
      </c>
      <c r="L1434" t="s">
        <v>40</v>
      </c>
      <c r="M1434">
        <v>53524</v>
      </c>
      <c r="N1434">
        <v>52024</v>
      </c>
      <c r="T1434" t="s">
        <v>58</v>
      </c>
      <c r="U1434">
        <v>4</v>
      </c>
      <c r="V1434">
        <v>7</v>
      </c>
      <c r="W1434">
        <v>6</v>
      </c>
      <c r="X1434" s="2">
        <v>45397</v>
      </c>
      <c r="Y1434" t="s">
        <v>69</v>
      </c>
      <c r="AD1434">
        <v>3</v>
      </c>
      <c r="AE1434">
        <v>4</v>
      </c>
    </row>
    <row r="1435" spans="1:31" x14ac:dyDescent="0.3">
      <c r="A1435">
        <v>1434</v>
      </c>
      <c r="B1435">
        <v>46976</v>
      </c>
      <c r="C1435" s="2">
        <v>35011</v>
      </c>
      <c r="D1435">
        <v>30</v>
      </c>
      <c r="E1435" t="s">
        <v>42</v>
      </c>
      <c r="F1435" t="s">
        <v>50</v>
      </c>
      <c r="G1435" s="2">
        <v>45139</v>
      </c>
      <c r="H1435" s="3">
        <f t="shared" si="22"/>
        <v>2.419178082191781</v>
      </c>
      <c r="I1435">
        <v>60</v>
      </c>
      <c r="J1435" t="s">
        <v>38</v>
      </c>
      <c r="K1435" t="s">
        <v>72</v>
      </c>
      <c r="L1435" t="s">
        <v>40</v>
      </c>
      <c r="M1435">
        <v>53524</v>
      </c>
      <c r="N1435">
        <v>52024</v>
      </c>
      <c r="T1435" t="s">
        <v>61</v>
      </c>
      <c r="U1435">
        <v>3</v>
      </c>
      <c r="V1435">
        <v>7</v>
      </c>
      <c r="W1435">
        <v>7</v>
      </c>
      <c r="X1435" s="2">
        <v>45366</v>
      </c>
      <c r="Y1435" t="s">
        <v>69</v>
      </c>
      <c r="AD1435">
        <v>3</v>
      </c>
      <c r="AE1435">
        <v>5</v>
      </c>
    </row>
    <row r="1436" spans="1:31" x14ac:dyDescent="0.3">
      <c r="A1436">
        <v>1435</v>
      </c>
      <c r="B1436">
        <v>46977</v>
      </c>
      <c r="C1436" s="2">
        <v>34493</v>
      </c>
      <c r="D1436">
        <v>31</v>
      </c>
      <c r="E1436" t="s">
        <v>36</v>
      </c>
      <c r="F1436" t="s">
        <v>50</v>
      </c>
      <c r="G1436" s="2">
        <v>45139</v>
      </c>
      <c r="H1436" s="3">
        <f t="shared" si="22"/>
        <v>1.4164383561643836</v>
      </c>
      <c r="I1436">
        <v>40</v>
      </c>
      <c r="J1436" t="s">
        <v>38</v>
      </c>
      <c r="K1436" t="s">
        <v>72</v>
      </c>
      <c r="L1436" t="s">
        <v>40</v>
      </c>
      <c r="M1436">
        <v>55792</v>
      </c>
      <c r="N1436">
        <v>52024</v>
      </c>
      <c r="T1436" t="s">
        <v>58</v>
      </c>
      <c r="U1436">
        <v>4</v>
      </c>
      <c r="V1436">
        <v>6</v>
      </c>
      <c r="W1436">
        <v>5</v>
      </c>
      <c r="X1436" s="2">
        <v>45396</v>
      </c>
      <c r="Y1436" t="s">
        <v>69</v>
      </c>
      <c r="AD1436">
        <v>5</v>
      </c>
      <c r="AE1436">
        <v>4</v>
      </c>
    </row>
    <row r="1437" spans="1:31" x14ac:dyDescent="0.3">
      <c r="A1437">
        <v>1436</v>
      </c>
      <c r="B1437">
        <v>46978</v>
      </c>
      <c r="C1437" s="2">
        <v>35617</v>
      </c>
      <c r="D1437">
        <v>28</v>
      </c>
      <c r="E1437" t="s">
        <v>42</v>
      </c>
      <c r="F1437" t="s">
        <v>50</v>
      </c>
      <c r="G1437" s="2">
        <v>45505</v>
      </c>
      <c r="H1437" s="3">
        <f t="shared" si="22"/>
        <v>2.419178082191781</v>
      </c>
      <c r="I1437">
        <v>7</v>
      </c>
      <c r="J1437" t="s">
        <v>38</v>
      </c>
      <c r="K1437" t="s">
        <v>72</v>
      </c>
      <c r="L1437" t="s">
        <v>40</v>
      </c>
      <c r="M1437">
        <v>53524</v>
      </c>
      <c r="T1437" t="s">
        <v>66</v>
      </c>
      <c r="U1437">
        <v>2</v>
      </c>
      <c r="V1437">
        <v>6</v>
      </c>
      <c r="W1437">
        <v>6</v>
      </c>
      <c r="X1437" s="2">
        <v>45544</v>
      </c>
      <c r="Y1437" t="s">
        <v>69</v>
      </c>
      <c r="AD1437">
        <v>4</v>
      </c>
    </row>
    <row r="1438" spans="1:31" x14ac:dyDescent="0.3">
      <c r="A1438">
        <v>1437</v>
      </c>
      <c r="B1438">
        <v>46979</v>
      </c>
      <c r="C1438" s="2">
        <v>35735</v>
      </c>
      <c r="D1438">
        <v>29</v>
      </c>
      <c r="E1438" t="s">
        <v>42</v>
      </c>
      <c r="F1438" t="s">
        <v>50</v>
      </c>
      <c r="G1438" s="2">
        <v>45139</v>
      </c>
      <c r="H1438" s="3">
        <f t="shared" si="22"/>
        <v>1.821917808219178</v>
      </c>
      <c r="I1438">
        <v>27</v>
      </c>
      <c r="J1438" t="s">
        <v>38</v>
      </c>
      <c r="K1438" t="s">
        <v>72</v>
      </c>
      <c r="L1438" t="s">
        <v>40</v>
      </c>
      <c r="M1438">
        <v>53524</v>
      </c>
      <c r="N1438">
        <v>52024</v>
      </c>
      <c r="T1438" t="s">
        <v>70</v>
      </c>
      <c r="U1438">
        <v>1</v>
      </c>
      <c r="V1438">
        <v>6</v>
      </c>
      <c r="W1438">
        <v>5</v>
      </c>
      <c r="X1438" s="2">
        <v>45365</v>
      </c>
      <c r="Y1438" t="s">
        <v>69</v>
      </c>
      <c r="AD1438">
        <v>1</v>
      </c>
      <c r="AE1438">
        <v>1</v>
      </c>
    </row>
    <row r="1439" spans="1:31" x14ac:dyDescent="0.3">
      <c r="A1439">
        <v>1438</v>
      </c>
      <c r="B1439">
        <v>46980</v>
      </c>
      <c r="C1439" s="2">
        <v>33847</v>
      </c>
      <c r="D1439">
        <v>33</v>
      </c>
      <c r="E1439" t="s">
        <v>36</v>
      </c>
      <c r="F1439" t="s">
        <v>37</v>
      </c>
      <c r="G1439" s="2">
        <v>45357</v>
      </c>
      <c r="H1439" s="3">
        <f t="shared" si="22"/>
        <v>2.419178082191781</v>
      </c>
      <c r="I1439">
        <v>47</v>
      </c>
      <c r="J1439" t="s">
        <v>38</v>
      </c>
      <c r="K1439" t="s">
        <v>39</v>
      </c>
      <c r="L1439" t="s">
        <v>40</v>
      </c>
      <c r="M1439">
        <v>77519</v>
      </c>
      <c r="T1439" t="s">
        <v>71</v>
      </c>
      <c r="U1439">
        <v>4</v>
      </c>
      <c r="V1439">
        <v>5</v>
      </c>
      <c r="W1439">
        <v>5</v>
      </c>
      <c r="AD1439">
        <v>5</v>
      </c>
    </row>
    <row r="1440" spans="1:31" x14ac:dyDescent="0.3">
      <c r="A1440">
        <v>1439</v>
      </c>
      <c r="B1440">
        <v>46985</v>
      </c>
      <c r="C1440" s="2">
        <v>35963</v>
      </c>
      <c r="D1440">
        <v>27</v>
      </c>
      <c r="E1440" t="s">
        <v>36</v>
      </c>
      <c r="F1440" t="s">
        <v>50</v>
      </c>
      <c r="G1440" s="2">
        <v>45139</v>
      </c>
      <c r="H1440" s="3">
        <f t="shared" si="22"/>
        <v>1.4164383561643836</v>
      </c>
      <c r="I1440">
        <v>47</v>
      </c>
      <c r="J1440" t="s">
        <v>38</v>
      </c>
      <c r="K1440" t="s">
        <v>72</v>
      </c>
      <c r="L1440" t="s">
        <v>40</v>
      </c>
      <c r="M1440">
        <v>54024</v>
      </c>
      <c r="N1440">
        <v>52024</v>
      </c>
      <c r="T1440" t="s">
        <v>70</v>
      </c>
      <c r="U1440">
        <v>4</v>
      </c>
      <c r="V1440">
        <v>6</v>
      </c>
      <c r="W1440">
        <v>6</v>
      </c>
      <c r="X1440" s="2">
        <v>45516</v>
      </c>
      <c r="Y1440" t="s">
        <v>69</v>
      </c>
      <c r="AD1440">
        <v>4</v>
      </c>
      <c r="AE1440">
        <v>1</v>
      </c>
    </row>
    <row r="1441" spans="1:31" x14ac:dyDescent="0.3">
      <c r="A1441">
        <v>1440</v>
      </c>
      <c r="B1441">
        <v>46986</v>
      </c>
      <c r="C1441" s="2">
        <v>35884</v>
      </c>
      <c r="D1441">
        <v>27</v>
      </c>
      <c r="E1441" t="s">
        <v>42</v>
      </c>
      <c r="F1441" t="s">
        <v>50</v>
      </c>
      <c r="G1441" s="2">
        <v>45505</v>
      </c>
      <c r="H1441" s="3">
        <f t="shared" si="22"/>
        <v>1.4164383561643836</v>
      </c>
      <c r="I1441">
        <v>33</v>
      </c>
      <c r="J1441" t="s">
        <v>38</v>
      </c>
      <c r="K1441" t="s">
        <v>72</v>
      </c>
      <c r="L1441" t="s">
        <v>40</v>
      </c>
      <c r="M1441">
        <v>56119</v>
      </c>
      <c r="T1441" t="s">
        <v>70</v>
      </c>
      <c r="U1441">
        <v>1</v>
      </c>
      <c r="V1441">
        <v>6</v>
      </c>
      <c r="W1441">
        <v>7</v>
      </c>
      <c r="X1441" s="2">
        <v>45552</v>
      </c>
      <c r="Y1441" t="s">
        <v>69</v>
      </c>
      <c r="AD1441">
        <v>5</v>
      </c>
    </row>
    <row r="1442" spans="1:31" x14ac:dyDescent="0.3">
      <c r="A1442">
        <v>1441</v>
      </c>
      <c r="B1442">
        <v>46987</v>
      </c>
      <c r="C1442" s="2">
        <v>34362</v>
      </c>
      <c r="D1442">
        <v>31</v>
      </c>
      <c r="E1442" t="s">
        <v>42</v>
      </c>
      <c r="F1442" t="s">
        <v>50</v>
      </c>
      <c r="G1442" s="2">
        <v>45505</v>
      </c>
      <c r="H1442" s="3">
        <f t="shared" si="22"/>
        <v>1.4164383561643836</v>
      </c>
      <c r="I1442">
        <v>38</v>
      </c>
      <c r="J1442" t="s">
        <v>38</v>
      </c>
      <c r="K1442" t="s">
        <v>72</v>
      </c>
      <c r="L1442" t="s">
        <v>40</v>
      </c>
      <c r="M1442">
        <v>54024</v>
      </c>
      <c r="T1442" t="s">
        <v>61</v>
      </c>
      <c r="U1442">
        <v>2</v>
      </c>
      <c r="V1442">
        <v>7</v>
      </c>
      <c r="W1442">
        <v>7</v>
      </c>
      <c r="X1442" s="2">
        <v>45379</v>
      </c>
      <c r="Y1442" t="s">
        <v>69</v>
      </c>
      <c r="AD1442">
        <v>2</v>
      </c>
    </row>
    <row r="1443" spans="1:31" x14ac:dyDescent="0.3">
      <c r="A1443">
        <v>1442</v>
      </c>
      <c r="B1443">
        <v>46988</v>
      </c>
      <c r="C1443" s="2">
        <v>35632</v>
      </c>
      <c r="D1443">
        <v>28</v>
      </c>
      <c r="E1443" t="s">
        <v>42</v>
      </c>
      <c r="F1443" t="s">
        <v>50</v>
      </c>
      <c r="G1443" s="2">
        <v>45505</v>
      </c>
      <c r="H1443" s="3">
        <f t="shared" si="22"/>
        <v>2.419178082191781</v>
      </c>
      <c r="I1443">
        <v>42</v>
      </c>
      <c r="J1443" t="s">
        <v>38</v>
      </c>
      <c r="K1443" t="s">
        <v>72</v>
      </c>
      <c r="L1443" t="s">
        <v>40</v>
      </c>
      <c r="M1443">
        <v>53524</v>
      </c>
      <c r="T1443" t="s">
        <v>66</v>
      </c>
      <c r="U1443">
        <v>2</v>
      </c>
      <c r="V1443">
        <v>6</v>
      </c>
      <c r="W1443">
        <v>6</v>
      </c>
      <c r="X1443" s="2">
        <v>45357</v>
      </c>
      <c r="Y1443" t="s">
        <v>69</v>
      </c>
      <c r="AD1443">
        <v>4</v>
      </c>
    </row>
    <row r="1444" spans="1:31" x14ac:dyDescent="0.3">
      <c r="A1444">
        <v>1443</v>
      </c>
      <c r="B1444">
        <v>46989</v>
      </c>
      <c r="C1444" s="2">
        <v>35990</v>
      </c>
      <c r="D1444">
        <v>27</v>
      </c>
      <c r="E1444" t="s">
        <v>42</v>
      </c>
      <c r="F1444" t="s">
        <v>50</v>
      </c>
      <c r="G1444" s="2">
        <v>45139</v>
      </c>
      <c r="H1444" s="3">
        <f t="shared" si="22"/>
        <v>1.4164383561643836</v>
      </c>
      <c r="I1444">
        <v>63</v>
      </c>
      <c r="J1444" t="s">
        <v>38</v>
      </c>
      <c r="K1444" t="s">
        <v>72</v>
      </c>
      <c r="L1444" t="s">
        <v>40</v>
      </c>
      <c r="M1444">
        <v>57024</v>
      </c>
      <c r="N1444">
        <v>52024</v>
      </c>
      <c r="T1444" t="s">
        <v>71</v>
      </c>
      <c r="U1444">
        <v>4</v>
      </c>
      <c r="V1444">
        <v>6</v>
      </c>
      <c r="W1444">
        <v>6</v>
      </c>
      <c r="X1444" s="2">
        <v>45576</v>
      </c>
      <c r="Y1444" t="s">
        <v>69</v>
      </c>
      <c r="AD1444">
        <v>5</v>
      </c>
      <c r="AE1444">
        <v>5</v>
      </c>
    </row>
    <row r="1445" spans="1:31" x14ac:dyDescent="0.3">
      <c r="A1445">
        <v>1444</v>
      </c>
      <c r="B1445">
        <v>46990</v>
      </c>
      <c r="C1445" s="2">
        <v>35892</v>
      </c>
      <c r="D1445">
        <v>27</v>
      </c>
      <c r="E1445" t="s">
        <v>42</v>
      </c>
      <c r="F1445" t="s">
        <v>37</v>
      </c>
      <c r="G1445" s="2">
        <v>45505</v>
      </c>
      <c r="H1445" s="3">
        <f t="shared" si="22"/>
        <v>1.4164383561643836</v>
      </c>
      <c r="I1445">
        <v>3</v>
      </c>
      <c r="J1445" t="s">
        <v>38</v>
      </c>
      <c r="K1445" t="s">
        <v>72</v>
      </c>
      <c r="L1445" t="s">
        <v>40</v>
      </c>
      <c r="M1445">
        <v>54024</v>
      </c>
      <c r="T1445" t="s">
        <v>67</v>
      </c>
      <c r="U1445">
        <v>1</v>
      </c>
      <c r="V1445">
        <v>7</v>
      </c>
      <c r="W1445">
        <v>5</v>
      </c>
      <c r="X1445" s="2">
        <v>45542</v>
      </c>
      <c r="Y1445" t="s">
        <v>69</v>
      </c>
      <c r="AD1445">
        <v>2</v>
      </c>
    </row>
    <row r="1446" spans="1:31" x14ac:dyDescent="0.3">
      <c r="A1446">
        <v>1445</v>
      </c>
      <c r="B1446">
        <v>46991</v>
      </c>
      <c r="C1446" s="2">
        <v>36116</v>
      </c>
      <c r="D1446">
        <v>27</v>
      </c>
      <c r="E1446" t="s">
        <v>42</v>
      </c>
      <c r="F1446" t="s">
        <v>37</v>
      </c>
      <c r="G1446" s="2">
        <v>45505</v>
      </c>
      <c r="H1446" s="3">
        <f t="shared" si="22"/>
        <v>1.4164383561643836</v>
      </c>
      <c r="I1446">
        <v>44</v>
      </c>
      <c r="J1446" t="s">
        <v>38</v>
      </c>
      <c r="K1446" t="s">
        <v>72</v>
      </c>
      <c r="L1446" t="s">
        <v>40</v>
      </c>
      <c r="M1446">
        <v>53524</v>
      </c>
      <c r="T1446" t="s">
        <v>66</v>
      </c>
      <c r="U1446">
        <v>1</v>
      </c>
      <c r="V1446">
        <v>5</v>
      </c>
      <c r="W1446">
        <v>7</v>
      </c>
      <c r="X1446" s="2">
        <v>45646</v>
      </c>
      <c r="Y1446" t="s">
        <v>69</v>
      </c>
      <c r="AD1446">
        <v>2</v>
      </c>
    </row>
    <row r="1447" spans="1:31" x14ac:dyDescent="0.3">
      <c r="A1447">
        <v>1446</v>
      </c>
      <c r="B1447">
        <v>46992</v>
      </c>
      <c r="C1447" s="2">
        <v>36296</v>
      </c>
      <c r="D1447">
        <v>26</v>
      </c>
      <c r="E1447" t="s">
        <v>42</v>
      </c>
      <c r="F1447" t="s">
        <v>50</v>
      </c>
      <c r="G1447" s="2">
        <v>45505</v>
      </c>
      <c r="H1447" s="3">
        <f t="shared" si="22"/>
        <v>1.4164383561643836</v>
      </c>
      <c r="I1447">
        <v>29</v>
      </c>
      <c r="J1447" t="s">
        <v>38</v>
      </c>
      <c r="K1447" t="s">
        <v>72</v>
      </c>
      <c r="L1447" t="s">
        <v>40</v>
      </c>
      <c r="M1447">
        <v>53524</v>
      </c>
      <c r="T1447" t="s">
        <v>58</v>
      </c>
      <c r="U1447">
        <v>4</v>
      </c>
      <c r="V1447">
        <v>7</v>
      </c>
      <c r="W1447">
        <v>7</v>
      </c>
      <c r="X1447" s="2">
        <v>45631</v>
      </c>
      <c r="Y1447" t="s">
        <v>69</v>
      </c>
      <c r="AD1447">
        <v>3</v>
      </c>
    </row>
    <row r="1448" spans="1:31" x14ac:dyDescent="0.3">
      <c r="A1448">
        <v>1447</v>
      </c>
      <c r="B1448">
        <v>46993</v>
      </c>
      <c r="C1448" s="2">
        <v>35890</v>
      </c>
      <c r="D1448">
        <v>27</v>
      </c>
      <c r="E1448" t="s">
        <v>36</v>
      </c>
      <c r="F1448" t="s">
        <v>37</v>
      </c>
      <c r="G1448" s="2">
        <v>45505</v>
      </c>
      <c r="H1448" s="3">
        <f t="shared" si="22"/>
        <v>2.419178082191781</v>
      </c>
      <c r="I1448">
        <v>51</v>
      </c>
      <c r="J1448" t="s">
        <v>38</v>
      </c>
      <c r="K1448" t="s">
        <v>72</v>
      </c>
      <c r="L1448" t="s">
        <v>40</v>
      </c>
      <c r="M1448">
        <v>56024</v>
      </c>
      <c r="T1448" t="s">
        <v>61</v>
      </c>
      <c r="U1448">
        <v>2</v>
      </c>
      <c r="V1448">
        <v>4</v>
      </c>
      <c r="W1448">
        <v>4</v>
      </c>
      <c r="X1448" s="2">
        <v>45412</v>
      </c>
      <c r="Y1448" t="s">
        <v>69</v>
      </c>
      <c r="AD1448">
        <v>5</v>
      </c>
    </row>
    <row r="1449" spans="1:31" x14ac:dyDescent="0.3">
      <c r="A1449">
        <v>1448</v>
      </c>
      <c r="B1449">
        <v>46994</v>
      </c>
      <c r="C1449" s="2">
        <v>36184</v>
      </c>
      <c r="D1449">
        <v>26</v>
      </c>
      <c r="E1449" t="s">
        <v>36</v>
      </c>
      <c r="F1449" t="s">
        <v>50</v>
      </c>
      <c r="G1449" s="2">
        <v>45139</v>
      </c>
      <c r="H1449" s="3">
        <f t="shared" si="22"/>
        <v>2.419178082191781</v>
      </c>
      <c r="I1449">
        <v>55</v>
      </c>
      <c r="J1449" t="s">
        <v>38</v>
      </c>
      <c r="K1449" t="s">
        <v>72</v>
      </c>
      <c r="L1449" t="s">
        <v>40</v>
      </c>
      <c r="M1449">
        <v>53524</v>
      </c>
      <c r="N1449">
        <v>52024</v>
      </c>
      <c r="T1449" t="s">
        <v>63</v>
      </c>
      <c r="U1449">
        <v>3</v>
      </c>
      <c r="V1449">
        <v>5</v>
      </c>
      <c r="W1449">
        <v>6</v>
      </c>
      <c r="X1449" s="2">
        <v>45648</v>
      </c>
      <c r="Y1449" t="s">
        <v>69</v>
      </c>
      <c r="AD1449">
        <v>4</v>
      </c>
      <c r="AE1449">
        <v>4</v>
      </c>
    </row>
    <row r="1450" spans="1:31" x14ac:dyDescent="0.3">
      <c r="A1450">
        <v>1449</v>
      </c>
      <c r="B1450">
        <v>46995</v>
      </c>
      <c r="C1450" s="2">
        <v>35751</v>
      </c>
      <c r="D1450">
        <v>28</v>
      </c>
      <c r="E1450" t="s">
        <v>36</v>
      </c>
      <c r="F1450" t="s">
        <v>50</v>
      </c>
      <c r="G1450" s="2">
        <v>45139</v>
      </c>
      <c r="H1450" s="3">
        <f t="shared" si="22"/>
        <v>1.4164383561643836</v>
      </c>
      <c r="I1450">
        <v>10</v>
      </c>
      <c r="J1450" t="s">
        <v>38</v>
      </c>
      <c r="K1450" t="s">
        <v>72</v>
      </c>
      <c r="L1450" t="s">
        <v>40</v>
      </c>
      <c r="M1450">
        <v>54024</v>
      </c>
      <c r="N1450">
        <v>52024</v>
      </c>
      <c r="T1450" t="s">
        <v>61</v>
      </c>
      <c r="U1450">
        <v>3</v>
      </c>
      <c r="V1450">
        <v>5</v>
      </c>
      <c r="W1450">
        <v>4</v>
      </c>
      <c r="X1450" s="2">
        <v>45477</v>
      </c>
      <c r="Y1450" t="s">
        <v>69</v>
      </c>
      <c r="AD1450">
        <v>4</v>
      </c>
      <c r="AE1450">
        <v>4</v>
      </c>
    </row>
    <row r="1451" spans="1:31" x14ac:dyDescent="0.3">
      <c r="A1451">
        <v>1450</v>
      </c>
      <c r="B1451">
        <v>46996</v>
      </c>
      <c r="C1451" s="2">
        <v>36115</v>
      </c>
      <c r="D1451">
        <v>27</v>
      </c>
      <c r="E1451" t="s">
        <v>36</v>
      </c>
      <c r="F1451" t="s">
        <v>50</v>
      </c>
      <c r="G1451" s="2">
        <v>45505</v>
      </c>
      <c r="H1451" s="3">
        <f t="shared" si="22"/>
        <v>2.419178082191781</v>
      </c>
      <c r="I1451">
        <v>30</v>
      </c>
      <c r="J1451" t="s">
        <v>38</v>
      </c>
      <c r="K1451" t="s">
        <v>72</v>
      </c>
      <c r="L1451" t="s">
        <v>40</v>
      </c>
      <c r="M1451">
        <v>53024</v>
      </c>
      <c r="T1451" t="s">
        <v>70</v>
      </c>
      <c r="U1451">
        <v>3</v>
      </c>
      <c r="V1451">
        <v>5</v>
      </c>
      <c r="W1451">
        <v>5</v>
      </c>
      <c r="X1451" s="2">
        <v>45557</v>
      </c>
      <c r="Y1451" t="s">
        <v>69</v>
      </c>
      <c r="AD1451">
        <v>2</v>
      </c>
    </row>
    <row r="1452" spans="1:31" x14ac:dyDescent="0.3">
      <c r="A1452">
        <v>1451</v>
      </c>
      <c r="B1452">
        <v>46997</v>
      </c>
      <c r="C1452" s="2">
        <v>35886</v>
      </c>
      <c r="D1452">
        <v>28</v>
      </c>
      <c r="E1452" t="s">
        <v>42</v>
      </c>
      <c r="F1452" t="s">
        <v>50</v>
      </c>
      <c r="G1452" s="2">
        <v>45139</v>
      </c>
      <c r="H1452" s="3">
        <f t="shared" si="22"/>
        <v>1.4164383561643836</v>
      </c>
      <c r="I1452">
        <v>33</v>
      </c>
      <c r="J1452" t="s">
        <v>38</v>
      </c>
      <c r="K1452" t="s">
        <v>72</v>
      </c>
      <c r="L1452" t="s">
        <v>40</v>
      </c>
      <c r="M1452">
        <v>54034</v>
      </c>
      <c r="N1452">
        <v>52024</v>
      </c>
      <c r="T1452" t="s">
        <v>61</v>
      </c>
      <c r="U1452">
        <v>2</v>
      </c>
      <c r="V1452">
        <v>7</v>
      </c>
      <c r="W1452">
        <v>6</v>
      </c>
      <c r="X1452" s="2">
        <v>45640</v>
      </c>
      <c r="Y1452" t="s">
        <v>69</v>
      </c>
      <c r="AD1452">
        <v>4</v>
      </c>
      <c r="AE1452">
        <v>3</v>
      </c>
    </row>
    <row r="1453" spans="1:31" x14ac:dyDescent="0.3">
      <c r="A1453">
        <v>1452</v>
      </c>
      <c r="B1453">
        <v>46998</v>
      </c>
      <c r="C1453" s="2">
        <v>35452</v>
      </c>
      <c r="D1453">
        <v>28</v>
      </c>
      <c r="E1453" t="s">
        <v>42</v>
      </c>
      <c r="F1453" t="s">
        <v>37</v>
      </c>
      <c r="G1453" s="2">
        <v>45505</v>
      </c>
      <c r="H1453" s="3">
        <f t="shared" si="22"/>
        <v>2.419178082191781</v>
      </c>
      <c r="I1453">
        <v>40</v>
      </c>
      <c r="J1453" t="s">
        <v>38</v>
      </c>
      <c r="K1453" t="s">
        <v>72</v>
      </c>
      <c r="L1453" t="s">
        <v>40</v>
      </c>
      <c r="M1453">
        <v>55402</v>
      </c>
      <c r="T1453" t="s">
        <v>60</v>
      </c>
      <c r="U1453">
        <v>4</v>
      </c>
      <c r="V1453">
        <v>6</v>
      </c>
      <c r="W1453">
        <v>6</v>
      </c>
      <c r="X1453" s="2">
        <v>45426</v>
      </c>
      <c r="Y1453" t="s">
        <v>69</v>
      </c>
      <c r="AD1453">
        <v>2</v>
      </c>
    </row>
    <row r="1454" spans="1:31" x14ac:dyDescent="0.3">
      <c r="A1454">
        <v>1453</v>
      </c>
      <c r="B1454">
        <v>46999</v>
      </c>
      <c r="C1454" s="2">
        <v>36256</v>
      </c>
      <c r="D1454">
        <v>26</v>
      </c>
      <c r="E1454" t="s">
        <v>42</v>
      </c>
      <c r="F1454" t="s">
        <v>50</v>
      </c>
      <c r="G1454" s="2">
        <v>45139</v>
      </c>
      <c r="H1454" s="3">
        <f t="shared" si="22"/>
        <v>1.4164383561643836</v>
      </c>
      <c r="I1454">
        <v>20</v>
      </c>
      <c r="J1454" t="s">
        <v>38</v>
      </c>
      <c r="K1454" t="s">
        <v>72</v>
      </c>
      <c r="L1454" t="s">
        <v>40</v>
      </c>
      <c r="M1454">
        <v>54088</v>
      </c>
      <c r="N1454">
        <v>52024</v>
      </c>
      <c r="T1454" t="s">
        <v>66</v>
      </c>
      <c r="U1454">
        <v>2</v>
      </c>
      <c r="V1454">
        <v>6</v>
      </c>
      <c r="W1454">
        <v>7</v>
      </c>
      <c r="X1454" s="2">
        <v>45461</v>
      </c>
      <c r="Y1454" t="s">
        <v>69</v>
      </c>
      <c r="AD1454">
        <v>4</v>
      </c>
      <c r="AE1454">
        <v>1</v>
      </c>
    </row>
    <row r="1455" spans="1:31" x14ac:dyDescent="0.3">
      <c r="A1455">
        <v>1454</v>
      </c>
      <c r="B1455">
        <v>47000</v>
      </c>
      <c r="C1455" s="2">
        <v>35895</v>
      </c>
      <c r="D1455">
        <v>27</v>
      </c>
      <c r="E1455" t="s">
        <v>42</v>
      </c>
      <c r="F1455" t="s">
        <v>50</v>
      </c>
      <c r="G1455" s="2">
        <v>45505</v>
      </c>
      <c r="H1455" s="3">
        <f t="shared" si="22"/>
        <v>1.4164383561643836</v>
      </c>
      <c r="I1455">
        <v>14</v>
      </c>
      <c r="J1455" t="s">
        <v>38</v>
      </c>
      <c r="K1455" t="s">
        <v>72</v>
      </c>
      <c r="L1455" t="s">
        <v>40</v>
      </c>
      <c r="M1455">
        <v>54024</v>
      </c>
      <c r="T1455" t="s">
        <v>63</v>
      </c>
      <c r="U1455">
        <v>2</v>
      </c>
      <c r="V1455">
        <v>5</v>
      </c>
      <c r="W1455">
        <v>6</v>
      </c>
      <c r="X1455" s="2">
        <v>45514</v>
      </c>
      <c r="Y1455" t="s">
        <v>69</v>
      </c>
      <c r="AD1455">
        <v>5</v>
      </c>
    </row>
    <row r="1456" spans="1:31" x14ac:dyDescent="0.3">
      <c r="A1456">
        <v>1455</v>
      </c>
      <c r="B1456">
        <v>47001</v>
      </c>
      <c r="C1456" s="2">
        <v>36473</v>
      </c>
      <c r="D1456">
        <v>26</v>
      </c>
      <c r="E1456" t="s">
        <v>42</v>
      </c>
      <c r="F1456" t="s">
        <v>50</v>
      </c>
      <c r="G1456" s="2">
        <v>45505</v>
      </c>
      <c r="H1456" s="3">
        <f t="shared" si="22"/>
        <v>1.4164383561643836</v>
      </c>
      <c r="I1456">
        <v>46</v>
      </c>
      <c r="J1456" t="s">
        <v>38</v>
      </c>
      <c r="K1456" t="s">
        <v>72</v>
      </c>
      <c r="L1456" t="s">
        <v>40</v>
      </c>
      <c r="M1456">
        <v>56113</v>
      </c>
      <c r="T1456" t="s">
        <v>71</v>
      </c>
      <c r="U1456">
        <v>2</v>
      </c>
      <c r="V1456">
        <v>5</v>
      </c>
      <c r="W1456">
        <v>5</v>
      </c>
      <c r="X1456" s="2">
        <v>45508</v>
      </c>
      <c r="Y1456" t="s">
        <v>69</v>
      </c>
      <c r="AD1456">
        <v>4</v>
      </c>
    </row>
    <row r="1457" spans="1:31" x14ac:dyDescent="0.3">
      <c r="A1457">
        <v>1456</v>
      </c>
      <c r="B1457">
        <v>47002</v>
      </c>
      <c r="C1457" s="2">
        <v>36108</v>
      </c>
      <c r="D1457">
        <v>27</v>
      </c>
      <c r="E1457" t="s">
        <v>42</v>
      </c>
      <c r="F1457" t="s">
        <v>50</v>
      </c>
      <c r="G1457" s="2">
        <v>45505</v>
      </c>
      <c r="H1457" s="3">
        <f t="shared" si="22"/>
        <v>2.419178082191781</v>
      </c>
      <c r="I1457">
        <v>28</v>
      </c>
      <c r="J1457" t="s">
        <v>38</v>
      </c>
      <c r="K1457" t="s">
        <v>72</v>
      </c>
      <c r="L1457" t="s">
        <v>40</v>
      </c>
      <c r="M1457">
        <v>53024</v>
      </c>
      <c r="T1457" t="s">
        <v>60</v>
      </c>
      <c r="U1457">
        <v>2</v>
      </c>
      <c r="V1457">
        <v>6</v>
      </c>
      <c r="W1457">
        <v>5</v>
      </c>
      <c r="X1457" s="2">
        <v>45390</v>
      </c>
      <c r="Y1457" t="s">
        <v>69</v>
      </c>
      <c r="AD1457">
        <v>2</v>
      </c>
    </row>
    <row r="1458" spans="1:31" x14ac:dyDescent="0.3">
      <c r="A1458">
        <v>1457</v>
      </c>
      <c r="B1458">
        <v>47003</v>
      </c>
      <c r="C1458" s="2">
        <v>35968</v>
      </c>
      <c r="D1458">
        <v>27</v>
      </c>
      <c r="E1458" t="s">
        <v>36</v>
      </c>
      <c r="F1458" t="s">
        <v>50</v>
      </c>
      <c r="G1458" s="2">
        <v>45139</v>
      </c>
      <c r="H1458" s="3">
        <f t="shared" si="22"/>
        <v>2.419178082191781</v>
      </c>
      <c r="I1458">
        <v>44</v>
      </c>
      <c r="J1458" t="s">
        <v>38</v>
      </c>
      <c r="K1458" t="s">
        <v>72</v>
      </c>
      <c r="L1458" t="s">
        <v>40</v>
      </c>
      <c r="M1458">
        <v>53024</v>
      </c>
      <c r="N1458">
        <v>52024</v>
      </c>
      <c r="T1458" t="s">
        <v>70</v>
      </c>
      <c r="U1458">
        <v>2</v>
      </c>
      <c r="V1458">
        <v>6</v>
      </c>
      <c r="W1458">
        <v>6</v>
      </c>
      <c r="X1458" s="2">
        <v>45363</v>
      </c>
      <c r="Y1458" t="s">
        <v>69</v>
      </c>
      <c r="AD1458">
        <v>4</v>
      </c>
      <c r="AE1458">
        <v>2</v>
      </c>
    </row>
    <row r="1459" spans="1:31" x14ac:dyDescent="0.3">
      <c r="A1459">
        <v>1458</v>
      </c>
      <c r="B1459">
        <v>47004</v>
      </c>
      <c r="C1459" s="2">
        <v>36361</v>
      </c>
      <c r="D1459">
        <v>26</v>
      </c>
      <c r="E1459" t="s">
        <v>42</v>
      </c>
      <c r="F1459" t="s">
        <v>50</v>
      </c>
      <c r="G1459" s="2">
        <v>45139</v>
      </c>
      <c r="H1459" s="3">
        <f t="shared" si="22"/>
        <v>2.419178082191781</v>
      </c>
      <c r="I1459">
        <v>55</v>
      </c>
      <c r="J1459" t="s">
        <v>38</v>
      </c>
      <c r="K1459" t="s">
        <v>72</v>
      </c>
      <c r="L1459" t="s">
        <v>40</v>
      </c>
      <c r="M1459">
        <v>53524</v>
      </c>
      <c r="N1459">
        <v>52024</v>
      </c>
      <c r="T1459" t="s">
        <v>67</v>
      </c>
      <c r="U1459">
        <v>2</v>
      </c>
      <c r="V1459">
        <v>7</v>
      </c>
      <c r="W1459">
        <v>7</v>
      </c>
      <c r="X1459" s="2">
        <v>45554</v>
      </c>
      <c r="Y1459" t="s">
        <v>69</v>
      </c>
      <c r="AD1459">
        <v>5</v>
      </c>
      <c r="AE1459">
        <v>3</v>
      </c>
    </row>
    <row r="1460" spans="1:31" x14ac:dyDescent="0.3">
      <c r="A1460">
        <v>1459</v>
      </c>
      <c r="B1460">
        <v>47005</v>
      </c>
      <c r="C1460" s="2">
        <v>36118</v>
      </c>
      <c r="D1460">
        <v>27</v>
      </c>
      <c r="E1460" t="s">
        <v>42</v>
      </c>
      <c r="F1460" t="s">
        <v>50</v>
      </c>
      <c r="G1460" s="2">
        <v>45139</v>
      </c>
      <c r="H1460" s="3">
        <f t="shared" si="22"/>
        <v>1.4164383561643836</v>
      </c>
      <c r="I1460">
        <v>31</v>
      </c>
      <c r="J1460" t="s">
        <v>38</v>
      </c>
      <c r="K1460" t="s">
        <v>72</v>
      </c>
      <c r="L1460" t="s">
        <v>40</v>
      </c>
      <c r="M1460">
        <v>53524</v>
      </c>
      <c r="N1460">
        <v>52024</v>
      </c>
      <c r="T1460" t="s">
        <v>63</v>
      </c>
      <c r="U1460">
        <v>4</v>
      </c>
      <c r="V1460">
        <v>6</v>
      </c>
      <c r="W1460">
        <v>5</v>
      </c>
      <c r="X1460" s="2">
        <v>45303</v>
      </c>
      <c r="Y1460" t="s">
        <v>69</v>
      </c>
      <c r="AD1460">
        <v>1</v>
      </c>
      <c r="AE1460">
        <v>2</v>
      </c>
    </row>
    <row r="1461" spans="1:31" x14ac:dyDescent="0.3">
      <c r="A1461">
        <v>1460</v>
      </c>
      <c r="B1461">
        <v>47006</v>
      </c>
      <c r="C1461" s="2">
        <v>36103</v>
      </c>
      <c r="D1461">
        <v>27</v>
      </c>
      <c r="E1461" t="s">
        <v>42</v>
      </c>
      <c r="F1461" t="s">
        <v>37</v>
      </c>
      <c r="G1461" s="2">
        <v>45505</v>
      </c>
      <c r="H1461" s="3">
        <f t="shared" si="22"/>
        <v>2.419178082191781</v>
      </c>
      <c r="I1461">
        <v>28</v>
      </c>
      <c r="J1461" t="s">
        <v>38</v>
      </c>
      <c r="K1461" t="s">
        <v>72</v>
      </c>
      <c r="L1461" t="s">
        <v>40</v>
      </c>
      <c r="M1461">
        <v>53524</v>
      </c>
      <c r="T1461" t="s">
        <v>66</v>
      </c>
      <c r="U1461">
        <v>4</v>
      </c>
      <c r="V1461">
        <v>6</v>
      </c>
      <c r="W1461">
        <v>5</v>
      </c>
      <c r="X1461" s="2">
        <v>45562</v>
      </c>
      <c r="Y1461" t="s">
        <v>69</v>
      </c>
      <c r="AD1461">
        <v>3</v>
      </c>
    </row>
    <row r="1462" spans="1:31" x14ac:dyDescent="0.3">
      <c r="A1462">
        <v>1461</v>
      </c>
      <c r="B1462">
        <v>47007</v>
      </c>
      <c r="C1462" s="2">
        <v>36109</v>
      </c>
      <c r="D1462">
        <v>27</v>
      </c>
      <c r="E1462" t="s">
        <v>42</v>
      </c>
      <c r="F1462" t="s">
        <v>50</v>
      </c>
      <c r="G1462" s="2">
        <v>45139</v>
      </c>
      <c r="H1462" s="3">
        <f t="shared" si="22"/>
        <v>1.4164383561643836</v>
      </c>
      <c r="I1462">
        <v>34</v>
      </c>
      <c r="J1462" t="s">
        <v>38</v>
      </c>
      <c r="K1462" t="s">
        <v>72</v>
      </c>
      <c r="L1462" t="s">
        <v>40</v>
      </c>
      <c r="M1462">
        <v>54024</v>
      </c>
      <c r="N1462">
        <v>52024</v>
      </c>
      <c r="T1462" t="s">
        <v>58</v>
      </c>
      <c r="U1462">
        <v>4</v>
      </c>
      <c r="V1462">
        <v>6</v>
      </c>
      <c r="W1462">
        <v>6</v>
      </c>
      <c r="X1462" s="2">
        <v>45499</v>
      </c>
      <c r="Y1462" t="s">
        <v>69</v>
      </c>
      <c r="AD1462">
        <v>4</v>
      </c>
      <c r="AE1462">
        <v>3</v>
      </c>
    </row>
    <row r="1463" spans="1:31" x14ac:dyDescent="0.3">
      <c r="A1463">
        <v>1462</v>
      </c>
      <c r="B1463">
        <v>47008</v>
      </c>
      <c r="C1463" s="2">
        <v>36383</v>
      </c>
      <c r="D1463">
        <v>26</v>
      </c>
      <c r="E1463" t="s">
        <v>42</v>
      </c>
      <c r="F1463" t="s">
        <v>50</v>
      </c>
      <c r="G1463" s="2">
        <v>45505</v>
      </c>
      <c r="H1463" s="3">
        <f t="shared" si="22"/>
        <v>2.419178082191781</v>
      </c>
      <c r="I1463">
        <v>48</v>
      </c>
      <c r="J1463" t="s">
        <v>38</v>
      </c>
      <c r="K1463" t="s">
        <v>72</v>
      </c>
      <c r="L1463" t="s">
        <v>40</v>
      </c>
      <c r="M1463">
        <v>53524</v>
      </c>
      <c r="T1463" t="s">
        <v>67</v>
      </c>
      <c r="U1463">
        <v>4</v>
      </c>
      <c r="V1463">
        <v>7</v>
      </c>
      <c r="W1463">
        <v>6</v>
      </c>
      <c r="X1463" s="2">
        <v>45593</v>
      </c>
      <c r="Y1463" t="s">
        <v>69</v>
      </c>
      <c r="AD1463">
        <v>5</v>
      </c>
    </row>
    <row r="1464" spans="1:31" x14ac:dyDescent="0.3">
      <c r="A1464">
        <v>1463</v>
      </c>
      <c r="B1464">
        <v>47009</v>
      </c>
      <c r="C1464" s="2">
        <v>35091</v>
      </c>
      <c r="D1464">
        <v>29</v>
      </c>
      <c r="E1464" t="s">
        <v>36</v>
      </c>
      <c r="F1464" t="s">
        <v>37</v>
      </c>
      <c r="G1464" s="2">
        <v>45139</v>
      </c>
      <c r="H1464" s="3">
        <f t="shared" si="22"/>
        <v>2.419178082191781</v>
      </c>
      <c r="I1464">
        <v>43</v>
      </c>
      <c r="J1464" t="s">
        <v>38</v>
      </c>
      <c r="K1464" t="s">
        <v>72</v>
      </c>
      <c r="L1464" t="s">
        <v>40</v>
      </c>
      <c r="M1464">
        <v>53524</v>
      </c>
      <c r="N1464">
        <v>52024</v>
      </c>
      <c r="T1464" t="s">
        <v>66</v>
      </c>
      <c r="U1464">
        <v>4</v>
      </c>
      <c r="V1464">
        <v>6</v>
      </c>
      <c r="W1464">
        <v>5</v>
      </c>
      <c r="X1464" s="2">
        <v>45508</v>
      </c>
      <c r="Y1464" t="s">
        <v>69</v>
      </c>
      <c r="AD1464">
        <v>3</v>
      </c>
      <c r="AE1464">
        <v>4</v>
      </c>
    </row>
    <row r="1465" spans="1:31" x14ac:dyDescent="0.3">
      <c r="A1465">
        <v>1464</v>
      </c>
      <c r="B1465">
        <v>47010</v>
      </c>
      <c r="C1465" s="2">
        <v>35521</v>
      </c>
      <c r="D1465">
        <v>29</v>
      </c>
      <c r="E1465" t="s">
        <v>42</v>
      </c>
      <c r="F1465" t="s">
        <v>50</v>
      </c>
      <c r="G1465" s="2">
        <v>45139</v>
      </c>
      <c r="H1465" s="3">
        <f t="shared" si="22"/>
        <v>2.419178082191781</v>
      </c>
      <c r="I1465">
        <v>57</v>
      </c>
      <c r="J1465" t="s">
        <v>38</v>
      </c>
      <c r="K1465" t="s">
        <v>72</v>
      </c>
      <c r="L1465" t="s">
        <v>40</v>
      </c>
      <c r="M1465">
        <v>53524</v>
      </c>
      <c r="N1465">
        <v>52024</v>
      </c>
      <c r="T1465" t="s">
        <v>41</v>
      </c>
      <c r="U1465">
        <v>0</v>
      </c>
      <c r="V1465">
        <v>7</v>
      </c>
      <c r="W1465">
        <v>7</v>
      </c>
      <c r="X1465" s="2">
        <v>45564</v>
      </c>
      <c r="Y1465" t="s">
        <v>69</v>
      </c>
      <c r="AD1465">
        <v>2</v>
      </c>
      <c r="AE1465">
        <v>1</v>
      </c>
    </row>
    <row r="1466" spans="1:31" x14ac:dyDescent="0.3">
      <c r="A1466">
        <v>1465</v>
      </c>
      <c r="B1466">
        <v>47011</v>
      </c>
      <c r="C1466" s="2">
        <v>36102</v>
      </c>
      <c r="D1466">
        <v>27</v>
      </c>
      <c r="E1466" t="s">
        <v>42</v>
      </c>
      <c r="F1466" t="s">
        <v>37</v>
      </c>
      <c r="G1466" s="2">
        <v>45139</v>
      </c>
      <c r="H1466" s="3">
        <f t="shared" si="22"/>
        <v>2.419178082191781</v>
      </c>
      <c r="I1466">
        <v>57</v>
      </c>
      <c r="J1466" t="s">
        <v>38</v>
      </c>
      <c r="K1466" t="s">
        <v>72</v>
      </c>
      <c r="L1466" t="s">
        <v>40</v>
      </c>
      <c r="M1466">
        <v>53524</v>
      </c>
      <c r="N1466">
        <v>52024</v>
      </c>
      <c r="T1466" t="s">
        <v>61</v>
      </c>
      <c r="U1466">
        <v>4</v>
      </c>
      <c r="V1466">
        <v>6</v>
      </c>
      <c r="W1466">
        <v>6</v>
      </c>
      <c r="X1466" s="2">
        <v>45557</v>
      </c>
      <c r="Y1466" t="s">
        <v>69</v>
      </c>
      <c r="AD1466">
        <v>3</v>
      </c>
      <c r="AE1466">
        <v>3</v>
      </c>
    </row>
    <row r="1467" spans="1:31" x14ac:dyDescent="0.3">
      <c r="A1467">
        <v>1466</v>
      </c>
      <c r="B1467">
        <v>47012</v>
      </c>
      <c r="C1467" s="2">
        <v>35495</v>
      </c>
      <c r="D1467">
        <v>28</v>
      </c>
      <c r="E1467" t="s">
        <v>42</v>
      </c>
      <c r="F1467" t="s">
        <v>50</v>
      </c>
      <c r="G1467" s="2">
        <v>45139</v>
      </c>
      <c r="H1467" s="3">
        <f t="shared" si="22"/>
        <v>1.4164383561643836</v>
      </c>
      <c r="I1467">
        <v>48</v>
      </c>
      <c r="J1467" t="s">
        <v>38</v>
      </c>
      <c r="K1467" t="s">
        <v>72</v>
      </c>
      <c r="L1467" t="s">
        <v>40</v>
      </c>
      <c r="M1467">
        <v>53524</v>
      </c>
      <c r="N1467">
        <v>52024</v>
      </c>
      <c r="T1467" t="s">
        <v>41</v>
      </c>
      <c r="U1467">
        <v>2</v>
      </c>
      <c r="V1467">
        <v>6</v>
      </c>
      <c r="W1467">
        <v>5</v>
      </c>
      <c r="X1467" s="2">
        <v>45611</v>
      </c>
      <c r="Y1467" t="s">
        <v>69</v>
      </c>
      <c r="AD1467">
        <v>5</v>
      </c>
      <c r="AE1467">
        <v>4</v>
      </c>
    </row>
    <row r="1468" spans="1:31" x14ac:dyDescent="0.3">
      <c r="A1468">
        <v>1467</v>
      </c>
      <c r="B1468">
        <v>47013</v>
      </c>
      <c r="C1468" s="2">
        <v>35755</v>
      </c>
      <c r="D1468">
        <v>28</v>
      </c>
      <c r="E1468" t="s">
        <v>42</v>
      </c>
      <c r="F1468" t="s">
        <v>50</v>
      </c>
      <c r="G1468" s="2">
        <v>45505</v>
      </c>
      <c r="H1468" s="3">
        <f t="shared" si="22"/>
        <v>1.4164383561643836</v>
      </c>
      <c r="I1468">
        <v>58</v>
      </c>
      <c r="J1468" t="s">
        <v>38</v>
      </c>
      <c r="K1468" t="s">
        <v>72</v>
      </c>
      <c r="L1468" t="s">
        <v>40</v>
      </c>
      <c r="M1468">
        <v>56011</v>
      </c>
      <c r="T1468" t="s">
        <v>70</v>
      </c>
      <c r="U1468">
        <v>4</v>
      </c>
      <c r="V1468">
        <v>6</v>
      </c>
      <c r="W1468">
        <v>6</v>
      </c>
      <c r="X1468" s="2">
        <v>45483</v>
      </c>
      <c r="Y1468" t="s">
        <v>69</v>
      </c>
      <c r="AD1468">
        <v>3</v>
      </c>
    </row>
    <row r="1469" spans="1:31" x14ac:dyDescent="0.3">
      <c r="A1469">
        <v>1468</v>
      </c>
      <c r="B1469">
        <v>47014</v>
      </c>
      <c r="C1469" s="2">
        <v>34371</v>
      </c>
      <c r="D1469">
        <v>31</v>
      </c>
      <c r="E1469" t="s">
        <v>42</v>
      </c>
      <c r="F1469" t="s">
        <v>50</v>
      </c>
      <c r="G1469" s="2">
        <v>45505</v>
      </c>
      <c r="H1469" s="3">
        <f t="shared" si="22"/>
        <v>1.4164383561643836</v>
      </c>
      <c r="I1469">
        <v>65</v>
      </c>
      <c r="J1469" t="s">
        <v>38</v>
      </c>
      <c r="K1469" t="s">
        <v>72</v>
      </c>
      <c r="L1469" t="s">
        <v>40</v>
      </c>
      <c r="M1469">
        <v>53524</v>
      </c>
      <c r="T1469" t="s">
        <v>63</v>
      </c>
      <c r="U1469">
        <v>2</v>
      </c>
      <c r="V1469">
        <v>6</v>
      </c>
      <c r="W1469">
        <v>6</v>
      </c>
      <c r="X1469" s="2">
        <v>45491</v>
      </c>
      <c r="Y1469" t="s">
        <v>69</v>
      </c>
      <c r="AD1469">
        <v>4</v>
      </c>
    </row>
    <row r="1470" spans="1:31" x14ac:dyDescent="0.3">
      <c r="A1470">
        <v>1469</v>
      </c>
      <c r="B1470">
        <v>47017</v>
      </c>
      <c r="C1470" s="2">
        <v>36275</v>
      </c>
      <c r="D1470">
        <v>26</v>
      </c>
      <c r="E1470" t="s">
        <v>36</v>
      </c>
      <c r="F1470" t="s">
        <v>50</v>
      </c>
      <c r="G1470" s="2">
        <v>45505</v>
      </c>
      <c r="H1470" s="3">
        <f t="shared" si="22"/>
        <v>2.419178082191781</v>
      </c>
      <c r="I1470">
        <v>104</v>
      </c>
      <c r="J1470" t="s">
        <v>57</v>
      </c>
      <c r="K1470" t="s">
        <v>72</v>
      </c>
      <c r="L1470" t="s">
        <v>40</v>
      </c>
      <c r="M1470">
        <v>53323</v>
      </c>
      <c r="T1470" t="s">
        <v>60</v>
      </c>
      <c r="U1470">
        <v>4</v>
      </c>
      <c r="V1470">
        <v>4</v>
      </c>
      <c r="W1470">
        <v>4</v>
      </c>
      <c r="AD1470">
        <v>5</v>
      </c>
    </row>
    <row r="1471" spans="1:31" x14ac:dyDescent="0.3">
      <c r="A1471">
        <v>1470</v>
      </c>
      <c r="B1471">
        <v>47019</v>
      </c>
      <c r="C1471" s="2">
        <v>35373</v>
      </c>
      <c r="D1471">
        <v>29</v>
      </c>
      <c r="E1471" t="s">
        <v>42</v>
      </c>
      <c r="F1471" t="s">
        <v>50</v>
      </c>
      <c r="G1471" s="2">
        <v>45139</v>
      </c>
      <c r="H1471" s="3">
        <f t="shared" si="22"/>
        <v>1.4164383561643836</v>
      </c>
      <c r="I1471">
        <v>106</v>
      </c>
      <c r="J1471" t="s">
        <v>57</v>
      </c>
      <c r="K1471" t="s">
        <v>72</v>
      </c>
      <c r="L1471" t="s">
        <v>40</v>
      </c>
      <c r="M1471">
        <v>53024</v>
      </c>
      <c r="N1471">
        <v>52024</v>
      </c>
      <c r="T1471" t="s">
        <v>41</v>
      </c>
      <c r="U1471">
        <v>2</v>
      </c>
      <c r="V1471">
        <v>5</v>
      </c>
      <c r="W1471">
        <v>7</v>
      </c>
      <c r="AD1471">
        <v>2</v>
      </c>
      <c r="AE1471">
        <v>2</v>
      </c>
    </row>
    <row r="1472" spans="1:31" x14ac:dyDescent="0.3">
      <c r="A1472">
        <v>1471</v>
      </c>
      <c r="B1472">
        <v>47020</v>
      </c>
      <c r="C1472" s="2">
        <v>35981</v>
      </c>
      <c r="D1472">
        <v>27</v>
      </c>
      <c r="E1472" t="s">
        <v>42</v>
      </c>
      <c r="F1472" t="s">
        <v>50</v>
      </c>
      <c r="G1472" s="2">
        <v>45505</v>
      </c>
      <c r="H1472" s="3">
        <f t="shared" si="22"/>
        <v>1.4164383561643836</v>
      </c>
      <c r="I1472">
        <v>107</v>
      </c>
      <c r="J1472" t="s">
        <v>57</v>
      </c>
      <c r="K1472" t="s">
        <v>72</v>
      </c>
      <c r="L1472" t="s">
        <v>40</v>
      </c>
      <c r="M1472">
        <v>52524</v>
      </c>
      <c r="T1472" t="s">
        <v>70</v>
      </c>
      <c r="U1472">
        <v>4</v>
      </c>
      <c r="V1472">
        <v>5</v>
      </c>
      <c r="W1472">
        <v>7</v>
      </c>
      <c r="AD1472">
        <v>4</v>
      </c>
    </row>
    <row r="1473" spans="1:31" x14ac:dyDescent="0.3">
      <c r="A1473">
        <v>1472</v>
      </c>
      <c r="B1473">
        <v>47021</v>
      </c>
      <c r="C1473" s="2">
        <v>35822</v>
      </c>
      <c r="D1473">
        <v>27</v>
      </c>
      <c r="E1473" t="s">
        <v>42</v>
      </c>
      <c r="F1473" t="s">
        <v>50</v>
      </c>
      <c r="G1473" s="2">
        <v>45505</v>
      </c>
      <c r="H1473" s="3">
        <f t="shared" si="22"/>
        <v>1.4164383561643836</v>
      </c>
      <c r="I1473">
        <v>108</v>
      </c>
      <c r="J1473" t="s">
        <v>57</v>
      </c>
      <c r="K1473" t="s">
        <v>72</v>
      </c>
      <c r="L1473" t="s">
        <v>40</v>
      </c>
      <c r="M1473">
        <v>52774</v>
      </c>
      <c r="T1473" t="s">
        <v>66</v>
      </c>
      <c r="U1473">
        <v>2</v>
      </c>
      <c r="V1473">
        <v>7</v>
      </c>
      <c r="W1473">
        <v>7</v>
      </c>
      <c r="AD1473">
        <v>3</v>
      </c>
    </row>
    <row r="1474" spans="1:31" x14ac:dyDescent="0.3">
      <c r="A1474">
        <v>1473</v>
      </c>
      <c r="B1474">
        <v>47024</v>
      </c>
      <c r="C1474" s="2">
        <v>36379</v>
      </c>
      <c r="D1474">
        <v>26</v>
      </c>
      <c r="E1474" t="s">
        <v>36</v>
      </c>
      <c r="F1474" t="s">
        <v>50</v>
      </c>
      <c r="G1474" s="2">
        <v>45505</v>
      </c>
      <c r="H1474" s="3">
        <f t="shared" si="22"/>
        <v>1.4164383561643836</v>
      </c>
      <c r="I1474">
        <v>111</v>
      </c>
      <c r="J1474" t="s">
        <v>57</v>
      </c>
      <c r="K1474" t="s">
        <v>72</v>
      </c>
      <c r="L1474" t="s">
        <v>40</v>
      </c>
      <c r="M1474">
        <v>53024</v>
      </c>
      <c r="T1474" t="s">
        <v>63</v>
      </c>
      <c r="U1474">
        <v>2</v>
      </c>
      <c r="V1474">
        <v>5</v>
      </c>
      <c r="W1474">
        <v>6</v>
      </c>
      <c r="AD1474">
        <v>4</v>
      </c>
    </row>
    <row r="1475" spans="1:31" x14ac:dyDescent="0.3">
      <c r="A1475">
        <v>1474</v>
      </c>
      <c r="B1475">
        <v>47025</v>
      </c>
      <c r="C1475" s="2">
        <v>35665</v>
      </c>
      <c r="D1475">
        <v>28</v>
      </c>
      <c r="E1475" t="s">
        <v>42</v>
      </c>
      <c r="F1475" t="s">
        <v>50</v>
      </c>
      <c r="G1475" s="2">
        <v>45505</v>
      </c>
      <c r="H1475" s="3">
        <f t="shared" ref="H1475:H1538" si="23">DATEDIF(G1476,DATE(2025,12,31),"d")/365</f>
        <v>1.4164383561643836</v>
      </c>
      <c r="I1475">
        <v>112</v>
      </c>
      <c r="J1475" t="s">
        <v>57</v>
      </c>
      <c r="K1475" t="s">
        <v>72</v>
      </c>
      <c r="L1475" t="s">
        <v>40</v>
      </c>
      <c r="M1475">
        <v>53274</v>
      </c>
      <c r="T1475" t="s">
        <v>60</v>
      </c>
      <c r="U1475">
        <v>4</v>
      </c>
      <c r="V1475">
        <v>6</v>
      </c>
      <c r="W1475">
        <v>7</v>
      </c>
      <c r="AD1475">
        <v>5</v>
      </c>
    </row>
    <row r="1476" spans="1:31" x14ac:dyDescent="0.3">
      <c r="A1476">
        <v>1475</v>
      </c>
      <c r="B1476">
        <v>47026</v>
      </c>
      <c r="C1476" s="2">
        <v>36253</v>
      </c>
      <c r="D1476">
        <v>26</v>
      </c>
      <c r="E1476" t="s">
        <v>42</v>
      </c>
      <c r="F1476" t="s">
        <v>50</v>
      </c>
      <c r="G1476" s="2">
        <v>45505</v>
      </c>
      <c r="H1476" s="3">
        <f t="shared" si="23"/>
        <v>2.419178082191781</v>
      </c>
      <c r="I1476">
        <v>113</v>
      </c>
      <c r="J1476" t="s">
        <v>57</v>
      </c>
      <c r="K1476" t="s">
        <v>72</v>
      </c>
      <c r="L1476" t="s">
        <v>40</v>
      </c>
      <c r="M1476">
        <v>52024</v>
      </c>
      <c r="T1476" t="s">
        <v>61</v>
      </c>
      <c r="U1476">
        <v>1</v>
      </c>
      <c r="V1476">
        <v>6</v>
      </c>
      <c r="W1476">
        <v>7</v>
      </c>
      <c r="AD1476">
        <v>3</v>
      </c>
    </row>
    <row r="1477" spans="1:31" x14ac:dyDescent="0.3">
      <c r="A1477">
        <v>1476</v>
      </c>
      <c r="B1477">
        <v>47027</v>
      </c>
      <c r="C1477" s="2">
        <v>36357</v>
      </c>
      <c r="D1477">
        <v>26</v>
      </c>
      <c r="E1477" t="s">
        <v>42</v>
      </c>
      <c r="F1477" t="s">
        <v>50</v>
      </c>
      <c r="G1477" s="2">
        <v>45139</v>
      </c>
      <c r="H1477" s="3">
        <f t="shared" si="23"/>
        <v>1.4164383561643836</v>
      </c>
      <c r="I1477">
        <v>114</v>
      </c>
      <c r="J1477" t="s">
        <v>57</v>
      </c>
      <c r="K1477" t="s">
        <v>72</v>
      </c>
      <c r="L1477" t="s">
        <v>40</v>
      </c>
      <c r="M1477">
        <v>53441</v>
      </c>
      <c r="N1477">
        <v>52024</v>
      </c>
      <c r="T1477" t="s">
        <v>63</v>
      </c>
      <c r="U1477">
        <v>4</v>
      </c>
      <c r="V1477">
        <v>7</v>
      </c>
      <c r="W1477">
        <v>7</v>
      </c>
      <c r="AD1477">
        <v>5</v>
      </c>
      <c r="AE1477">
        <v>2</v>
      </c>
    </row>
    <row r="1478" spans="1:31" x14ac:dyDescent="0.3">
      <c r="A1478">
        <v>1477</v>
      </c>
      <c r="B1478">
        <v>47029</v>
      </c>
      <c r="C1478" s="2">
        <v>36018</v>
      </c>
      <c r="D1478">
        <v>27</v>
      </c>
      <c r="E1478" t="s">
        <v>42</v>
      </c>
      <c r="F1478" t="s">
        <v>50</v>
      </c>
      <c r="G1478" s="2">
        <v>45505</v>
      </c>
      <c r="H1478" s="3">
        <f t="shared" si="23"/>
        <v>1.4164383561643836</v>
      </c>
      <c r="I1478">
        <v>117</v>
      </c>
      <c r="J1478" t="s">
        <v>57</v>
      </c>
      <c r="K1478" t="s">
        <v>72</v>
      </c>
      <c r="L1478" t="s">
        <v>40</v>
      </c>
      <c r="M1478">
        <v>53350</v>
      </c>
      <c r="T1478" t="s">
        <v>61</v>
      </c>
      <c r="U1478">
        <v>1</v>
      </c>
      <c r="V1478">
        <v>7</v>
      </c>
      <c r="W1478">
        <v>6</v>
      </c>
      <c r="AD1478">
        <v>5</v>
      </c>
    </row>
    <row r="1479" spans="1:31" x14ac:dyDescent="0.3">
      <c r="A1479">
        <v>1478</v>
      </c>
      <c r="B1479">
        <v>47032</v>
      </c>
      <c r="C1479" s="2">
        <v>36404</v>
      </c>
      <c r="D1479">
        <v>27</v>
      </c>
      <c r="E1479" t="s">
        <v>36</v>
      </c>
      <c r="F1479" t="s">
        <v>50</v>
      </c>
      <c r="G1479" s="2">
        <v>45505</v>
      </c>
      <c r="H1479" s="3">
        <f t="shared" si="23"/>
        <v>1.4164383561643836</v>
      </c>
      <c r="I1479">
        <v>123</v>
      </c>
      <c r="J1479" t="s">
        <v>57</v>
      </c>
      <c r="K1479" t="s">
        <v>72</v>
      </c>
      <c r="L1479" t="s">
        <v>40</v>
      </c>
      <c r="M1479">
        <v>53024</v>
      </c>
      <c r="T1479" t="s">
        <v>67</v>
      </c>
      <c r="U1479">
        <v>2</v>
      </c>
      <c r="V1479">
        <v>5</v>
      </c>
      <c r="W1479">
        <v>6</v>
      </c>
      <c r="AD1479">
        <v>3</v>
      </c>
    </row>
    <row r="1480" spans="1:31" x14ac:dyDescent="0.3">
      <c r="A1480">
        <v>1479</v>
      </c>
      <c r="B1480">
        <v>47034</v>
      </c>
      <c r="C1480" s="2">
        <v>35827</v>
      </c>
      <c r="D1480">
        <v>28</v>
      </c>
      <c r="E1480" t="s">
        <v>36</v>
      </c>
      <c r="F1480" t="s">
        <v>50</v>
      </c>
      <c r="G1480" s="2">
        <v>45505</v>
      </c>
      <c r="H1480" s="3">
        <f t="shared" si="23"/>
        <v>1.4164383561643836</v>
      </c>
      <c r="I1480">
        <v>125</v>
      </c>
      <c r="J1480" t="s">
        <v>57</v>
      </c>
      <c r="K1480" t="s">
        <v>72</v>
      </c>
      <c r="L1480" t="s">
        <v>40</v>
      </c>
      <c r="M1480">
        <v>52524</v>
      </c>
      <c r="T1480" t="s">
        <v>63</v>
      </c>
      <c r="U1480">
        <v>3</v>
      </c>
      <c r="V1480">
        <v>5</v>
      </c>
      <c r="W1480">
        <v>5</v>
      </c>
      <c r="AD1480">
        <v>5</v>
      </c>
    </row>
    <row r="1481" spans="1:31" x14ac:dyDescent="0.3">
      <c r="A1481">
        <v>1480</v>
      </c>
      <c r="B1481">
        <v>47035</v>
      </c>
      <c r="C1481" s="2">
        <v>36112</v>
      </c>
      <c r="D1481">
        <v>27</v>
      </c>
      <c r="E1481" t="s">
        <v>42</v>
      </c>
      <c r="F1481" t="s">
        <v>50</v>
      </c>
      <c r="G1481" s="2">
        <v>45505</v>
      </c>
      <c r="H1481" s="3">
        <f t="shared" si="23"/>
        <v>1.4164383561643836</v>
      </c>
      <c r="I1481">
        <v>127</v>
      </c>
      <c r="J1481" t="s">
        <v>57</v>
      </c>
      <c r="K1481" t="s">
        <v>72</v>
      </c>
      <c r="L1481" t="s">
        <v>40</v>
      </c>
      <c r="M1481">
        <v>52024</v>
      </c>
      <c r="T1481" t="s">
        <v>66</v>
      </c>
      <c r="U1481">
        <v>0</v>
      </c>
      <c r="V1481">
        <v>5</v>
      </c>
      <c r="W1481">
        <v>5</v>
      </c>
      <c r="AD1481">
        <v>1</v>
      </c>
    </row>
    <row r="1482" spans="1:31" x14ac:dyDescent="0.3">
      <c r="A1482">
        <v>1481</v>
      </c>
      <c r="B1482">
        <v>47037</v>
      </c>
      <c r="C1482" s="2">
        <v>36117</v>
      </c>
      <c r="D1482">
        <v>27</v>
      </c>
      <c r="E1482" t="s">
        <v>42</v>
      </c>
      <c r="F1482" t="s">
        <v>37</v>
      </c>
      <c r="G1482" s="2">
        <v>45505</v>
      </c>
      <c r="H1482" s="3">
        <f t="shared" si="23"/>
        <v>2.419178082191781</v>
      </c>
      <c r="I1482">
        <v>132</v>
      </c>
      <c r="J1482" t="s">
        <v>57</v>
      </c>
      <c r="K1482" t="s">
        <v>72</v>
      </c>
      <c r="L1482" t="s">
        <v>40</v>
      </c>
      <c r="M1482">
        <v>53024</v>
      </c>
      <c r="T1482" t="s">
        <v>41</v>
      </c>
      <c r="U1482">
        <v>4</v>
      </c>
      <c r="V1482">
        <v>6</v>
      </c>
      <c r="W1482">
        <v>6</v>
      </c>
      <c r="AD1482">
        <v>5</v>
      </c>
    </row>
    <row r="1483" spans="1:31" x14ac:dyDescent="0.3">
      <c r="A1483">
        <v>1482</v>
      </c>
      <c r="B1483">
        <v>47039</v>
      </c>
      <c r="C1483" s="2">
        <v>35943</v>
      </c>
      <c r="D1483">
        <v>27</v>
      </c>
      <c r="E1483" t="s">
        <v>42</v>
      </c>
      <c r="F1483" t="s">
        <v>50</v>
      </c>
      <c r="G1483" s="2">
        <v>45139</v>
      </c>
      <c r="H1483" s="3">
        <f t="shared" si="23"/>
        <v>1.4164383561643836</v>
      </c>
      <c r="I1483">
        <v>135</v>
      </c>
      <c r="J1483" t="s">
        <v>57</v>
      </c>
      <c r="K1483" t="s">
        <v>72</v>
      </c>
      <c r="L1483" t="s">
        <v>40</v>
      </c>
      <c r="M1483">
        <v>53024</v>
      </c>
      <c r="N1483">
        <v>52024</v>
      </c>
      <c r="T1483" t="s">
        <v>58</v>
      </c>
      <c r="U1483">
        <v>3</v>
      </c>
      <c r="V1483">
        <v>6</v>
      </c>
      <c r="W1483">
        <v>5</v>
      </c>
      <c r="AD1483">
        <v>5</v>
      </c>
      <c r="AE1483">
        <v>4</v>
      </c>
    </row>
    <row r="1484" spans="1:31" x14ac:dyDescent="0.3">
      <c r="A1484">
        <v>1483</v>
      </c>
      <c r="B1484">
        <v>47040</v>
      </c>
      <c r="C1484" s="2">
        <v>36077</v>
      </c>
      <c r="D1484">
        <v>27</v>
      </c>
      <c r="E1484" t="s">
        <v>42</v>
      </c>
      <c r="F1484" t="s">
        <v>50</v>
      </c>
      <c r="G1484" s="2">
        <v>45505</v>
      </c>
      <c r="H1484" s="3">
        <f t="shared" si="23"/>
        <v>1.4164383561643836</v>
      </c>
      <c r="I1484">
        <v>138</v>
      </c>
      <c r="J1484" t="s">
        <v>57</v>
      </c>
      <c r="K1484" t="s">
        <v>72</v>
      </c>
      <c r="L1484" t="s">
        <v>40</v>
      </c>
      <c r="M1484">
        <v>52524</v>
      </c>
      <c r="T1484" t="s">
        <v>58</v>
      </c>
      <c r="U1484">
        <v>2</v>
      </c>
      <c r="V1484">
        <v>5</v>
      </c>
      <c r="W1484">
        <v>6</v>
      </c>
      <c r="AD1484">
        <v>1</v>
      </c>
    </row>
    <row r="1485" spans="1:31" x14ac:dyDescent="0.3">
      <c r="A1485">
        <v>1484</v>
      </c>
      <c r="B1485">
        <v>47041</v>
      </c>
      <c r="C1485" s="2">
        <v>35635</v>
      </c>
      <c r="D1485">
        <v>28</v>
      </c>
      <c r="E1485" t="s">
        <v>42</v>
      </c>
      <c r="F1485" t="s">
        <v>50</v>
      </c>
      <c r="G1485" s="2">
        <v>45505</v>
      </c>
      <c r="H1485" s="3">
        <f t="shared" si="23"/>
        <v>1.3205479452054794</v>
      </c>
      <c r="I1485">
        <v>140</v>
      </c>
      <c r="J1485" t="s">
        <v>57</v>
      </c>
      <c r="K1485" t="s">
        <v>72</v>
      </c>
      <c r="L1485" t="s">
        <v>40</v>
      </c>
      <c r="M1485">
        <v>53377</v>
      </c>
      <c r="T1485" t="s">
        <v>71</v>
      </c>
      <c r="U1485">
        <v>2</v>
      </c>
      <c r="V1485">
        <v>6</v>
      </c>
      <c r="W1485">
        <v>6</v>
      </c>
      <c r="AD1485">
        <v>5</v>
      </c>
    </row>
    <row r="1486" spans="1:31" x14ac:dyDescent="0.3">
      <c r="A1486">
        <v>1485</v>
      </c>
      <c r="B1486">
        <v>47042</v>
      </c>
      <c r="C1486" s="2">
        <v>35872</v>
      </c>
      <c r="D1486">
        <v>27</v>
      </c>
      <c r="E1486" t="s">
        <v>42</v>
      </c>
      <c r="F1486" t="s">
        <v>50</v>
      </c>
      <c r="G1486" s="2">
        <v>45540</v>
      </c>
      <c r="H1486" s="3">
        <f t="shared" si="23"/>
        <v>1.3342465753424657</v>
      </c>
      <c r="I1486">
        <v>53</v>
      </c>
      <c r="J1486" t="s">
        <v>38</v>
      </c>
      <c r="K1486" t="s">
        <v>72</v>
      </c>
      <c r="L1486" t="s">
        <v>40</v>
      </c>
      <c r="M1486">
        <v>52774</v>
      </c>
      <c r="T1486" t="s">
        <v>61</v>
      </c>
      <c r="U1486">
        <v>4</v>
      </c>
      <c r="V1486">
        <v>5</v>
      </c>
      <c r="W1486">
        <v>6</v>
      </c>
      <c r="AD1486">
        <v>5</v>
      </c>
    </row>
    <row r="1487" spans="1:31" x14ac:dyDescent="0.3">
      <c r="A1487">
        <v>1486</v>
      </c>
      <c r="B1487">
        <v>47043</v>
      </c>
      <c r="C1487" s="2">
        <v>35472</v>
      </c>
      <c r="D1487">
        <v>28</v>
      </c>
      <c r="E1487" t="s">
        <v>42</v>
      </c>
      <c r="F1487" t="s">
        <v>50</v>
      </c>
      <c r="G1487" s="2">
        <v>45535</v>
      </c>
      <c r="H1487" s="3">
        <f t="shared" si="23"/>
        <v>2.0164383561643837</v>
      </c>
      <c r="I1487">
        <v>60</v>
      </c>
      <c r="J1487" t="s">
        <v>38</v>
      </c>
      <c r="K1487" t="s">
        <v>72</v>
      </c>
      <c r="L1487" t="s">
        <v>40</v>
      </c>
      <c r="M1487">
        <v>52524</v>
      </c>
      <c r="T1487" t="s">
        <v>63</v>
      </c>
      <c r="U1487">
        <v>4</v>
      </c>
      <c r="V1487">
        <v>6</v>
      </c>
      <c r="W1487">
        <v>5</v>
      </c>
      <c r="AD1487">
        <v>3</v>
      </c>
    </row>
    <row r="1488" spans="1:31" x14ac:dyDescent="0.3">
      <c r="A1488">
        <v>1487</v>
      </c>
      <c r="B1488">
        <v>47044</v>
      </c>
      <c r="C1488" s="2">
        <v>30348</v>
      </c>
      <c r="D1488">
        <v>43</v>
      </c>
      <c r="E1488" t="s">
        <v>36</v>
      </c>
      <c r="F1488" t="s">
        <v>37</v>
      </c>
      <c r="G1488" s="2">
        <v>45286</v>
      </c>
      <c r="H1488" s="3">
        <f t="shared" si="23"/>
        <v>2.7205479452054795</v>
      </c>
      <c r="I1488">
        <v>30</v>
      </c>
      <c r="J1488" t="s">
        <v>38</v>
      </c>
      <c r="K1488" t="s">
        <v>51</v>
      </c>
      <c r="L1488" t="s">
        <v>44</v>
      </c>
      <c r="M1488">
        <v>35.619999999999997</v>
      </c>
      <c r="N1488">
        <v>35.32</v>
      </c>
      <c r="T1488" t="s">
        <v>47</v>
      </c>
      <c r="U1488">
        <v>0</v>
      </c>
      <c r="V1488">
        <v>3</v>
      </c>
    </row>
    <row r="1489" spans="1:22" x14ac:dyDescent="0.3">
      <c r="A1489">
        <v>1488</v>
      </c>
      <c r="B1489">
        <v>47045</v>
      </c>
      <c r="C1489" s="2">
        <v>35496</v>
      </c>
      <c r="D1489">
        <v>28</v>
      </c>
      <c r="E1489" t="s">
        <v>36</v>
      </c>
      <c r="F1489" t="s">
        <v>50</v>
      </c>
      <c r="G1489" s="2">
        <v>45029</v>
      </c>
      <c r="H1489" s="3">
        <f t="shared" si="23"/>
        <v>2.3342465753424659</v>
      </c>
      <c r="I1489">
        <v>28</v>
      </c>
      <c r="J1489" t="s">
        <v>38</v>
      </c>
      <c r="K1489" t="s">
        <v>51</v>
      </c>
      <c r="L1489" t="s">
        <v>44</v>
      </c>
      <c r="M1489">
        <v>35.47</v>
      </c>
      <c r="N1489">
        <v>35.32</v>
      </c>
      <c r="T1489" t="s">
        <v>47</v>
      </c>
      <c r="U1489">
        <v>0</v>
      </c>
      <c r="V1489">
        <v>4</v>
      </c>
    </row>
    <row r="1490" spans="1:22" x14ac:dyDescent="0.3">
      <c r="A1490">
        <v>1489</v>
      </c>
      <c r="B1490">
        <v>47047</v>
      </c>
      <c r="C1490" s="2">
        <v>36062</v>
      </c>
      <c r="D1490">
        <v>27</v>
      </c>
      <c r="E1490" t="s">
        <v>36</v>
      </c>
      <c r="F1490" t="s">
        <v>50</v>
      </c>
      <c r="G1490" s="2">
        <v>45170</v>
      </c>
      <c r="H1490" s="3">
        <f t="shared" si="23"/>
        <v>2.1452054794520548</v>
      </c>
      <c r="I1490">
        <v>81</v>
      </c>
      <c r="J1490" t="s">
        <v>57</v>
      </c>
      <c r="K1490" t="s">
        <v>51</v>
      </c>
      <c r="L1490" t="s">
        <v>44</v>
      </c>
      <c r="M1490">
        <v>35.619999999999997</v>
      </c>
      <c r="N1490">
        <v>35.32</v>
      </c>
      <c r="T1490" t="s">
        <v>52</v>
      </c>
      <c r="U1490">
        <v>0</v>
      </c>
      <c r="V1490">
        <v>4</v>
      </c>
    </row>
    <row r="1491" spans="1:22" x14ac:dyDescent="0.3">
      <c r="A1491">
        <v>1490</v>
      </c>
      <c r="B1491">
        <v>47052</v>
      </c>
      <c r="C1491" s="2">
        <v>35568</v>
      </c>
      <c r="D1491">
        <v>28</v>
      </c>
      <c r="E1491" t="s">
        <v>42</v>
      </c>
      <c r="F1491" t="s">
        <v>50</v>
      </c>
      <c r="G1491" s="2">
        <v>45239</v>
      </c>
      <c r="H1491" s="3">
        <f t="shared" si="23"/>
        <v>2.547945205479452</v>
      </c>
      <c r="I1491">
        <v>111</v>
      </c>
      <c r="J1491" t="s">
        <v>57</v>
      </c>
      <c r="K1491" t="s">
        <v>51</v>
      </c>
      <c r="L1491" t="s">
        <v>44</v>
      </c>
      <c r="M1491">
        <v>35.619999999999997</v>
      </c>
      <c r="N1491">
        <v>35.32</v>
      </c>
      <c r="T1491" t="s">
        <v>52</v>
      </c>
      <c r="U1491">
        <v>0</v>
      </c>
      <c r="V1491">
        <v>6</v>
      </c>
    </row>
    <row r="1492" spans="1:22" x14ac:dyDescent="0.3">
      <c r="A1492">
        <v>1491</v>
      </c>
      <c r="B1492">
        <v>47053</v>
      </c>
      <c r="C1492" s="2">
        <v>29419</v>
      </c>
      <c r="D1492">
        <v>45</v>
      </c>
      <c r="E1492" t="s">
        <v>42</v>
      </c>
      <c r="F1492" t="s">
        <v>37</v>
      </c>
      <c r="G1492" s="2">
        <v>45092</v>
      </c>
      <c r="H1492" s="3">
        <f t="shared" si="23"/>
        <v>2.3068493150684932</v>
      </c>
      <c r="I1492">
        <v>70</v>
      </c>
      <c r="J1492" t="s">
        <v>57</v>
      </c>
      <c r="K1492" t="s">
        <v>51</v>
      </c>
      <c r="L1492" t="s">
        <v>44</v>
      </c>
      <c r="M1492">
        <v>35.729999999999997</v>
      </c>
      <c r="N1492">
        <v>35.32</v>
      </c>
      <c r="T1492" t="s">
        <v>47</v>
      </c>
      <c r="U1492">
        <v>0</v>
      </c>
      <c r="V1492">
        <v>3</v>
      </c>
    </row>
    <row r="1493" spans="1:22" x14ac:dyDescent="0.3">
      <c r="A1493">
        <v>1492</v>
      </c>
      <c r="B1493">
        <v>47054</v>
      </c>
      <c r="C1493" s="2">
        <v>34842</v>
      </c>
      <c r="D1493">
        <v>30</v>
      </c>
      <c r="E1493" t="s">
        <v>36</v>
      </c>
      <c r="F1493" t="s">
        <v>50</v>
      </c>
      <c r="G1493" s="2">
        <v>45180</v>
      </c>
      <c r="H1493" s="3">
        <f t="shared" si="23"/>
        <v>2.7917808219178082</v>
      </c>
      <c r="I1493">
        <v>74</v>
      </c>
      <c r="J1493" t="s">
        <v>57</v>
      </c>
      <c r="K1493" t="s">
        <v>51</v>
      </c>
      <c r="L1493" t="s">
        <v>44</v>
      </c>
      <c r="M1493">
        <v>35.47</v>
      </c>
      <c r="N1493">
        <v>35.32</v>
      </c>
      <c r="T1493" t="s">
        <v>49</v>
      </c>
      <c r="U1493">
        <v>0</v>
      </c>
      <c r="V1493">
        <v>4</v>
      </c>
    </row>
    <row r="1494" spans="1:22" x14ac:dyDescent="0.3">
      <c r="A1494">
        <v>1493</v>
      </c>
      <c r="B1494">
        <v>47058</v>
      </c>
      <c r="C1494" s="2">
        <v>35058</v>
      </c>
      <c r="D1494">
        <v>30</v>
      </c>
      <c r="E1494" t="s">
        <v>36</v>
      </c>
      <c r="F1494" t="s">
        <v>50</v>
      </c>
      <c r="G1494" s="2">
        <v>45003</v>
      </c>
      <c r="H1494" s="3">
        <f t="shared" si="23"/>
        <v>1.9369863013698629</v>
      </c>
      <c r="I1494">
        <v>19</v>
      </c>
      <c r="J1494" t="s">
        <v>38</v>
      </c>
      <c r="K1494" t="s">
        <v>51</v>
      </c>
      <c r="L1494" t="s">
        <v>44</v>
      </c>
      <c r="M1494">
        <v>35.71</v>
      </c>
      <c r="N1494">
        <v>35.32</v>
      </c>
      <c r="T1494" t="s">
        <v>49</v>
      </c>
      <c r="U1494">
        <v>0</v>
      </c>
      <c r="V1494">
        <v>3</v>
      </c>
    </row>
    <row r="1495" spans="1:22" x14ac:dyDescent="0.3">
      <c r="A1495">
        <v>1494</v>
      </c>
      <c r="B1495">
        <v>47059</v>
      </c>
      <c r="C1495" s="2">
        <v>34899</v>
      </c>
      <c r="D1495">
        <v>30</v>
      </c>
      <c r="E1495" t="s">
        <v>36</v>
      </c>
      <c r="F1495" t="s">
        <v>50</v>
      </c>
      <c r="G1495" s="2">
        <v>45315</v>
      </c>
      <c r="H1495" s="3">
        <f t="shared" si="23"/>
        <v>2.4712328767123286</v>
      </c>
      <c r="I1495">
        <v>143</v>
      </c>
      <c r="J1495" t="s">
        <v>57</v>
      </c>
      <c r="K1495" t="s">
        <v>51</v>
      </c>
      <c r="L1495" t="s">
        <v>44</v>
      </c>
      <c r="M1495">
        <v>35.67</v>
      </c>
      <c r="T1495" t="s">
        <v>45</v>
      </c>
      <c r="U1495">
        <v>0</v>
      </c>
      <c r="V1495">
        <v>4</v>
      </c>
    </row>
    <row r="1496" spans="1:22" x14ac:dyDescent="0.3">
      <c r="A1496">
        <v>1495</v>
      </c>
      <c r="B1496">
        <v>47060</v>
      </c>
      <c r="C1496" s="2">
        <v>35429</v>
      </c>
      <c r="D1496">
        <v>29</v>
      </c>
      <c r="E1496" t="s">
        <v>42</v>
      </c>
      <c r="F1496" t="s">
        <v>50</v>
      </c>
      <c r="G1496" s="2">
        <v>45120</v>
      </c>
      <c r="H1496" s="3">
        <f t="shared" si="23"/>
        <v>1.8794520547945206</v>
      </c>
      <c r="I1496">
        <v>40</v>
      </c>
      <c r="J1496" t="s">
        <v>38</v>
      </c>
      <c r="K1496" t="s">
        <v>51</v>
      </c>
      <c r="L1496" t="s">
        <v>44</v>
      </c>
      <c r="M1496">
        <v>35.58</v>
      </c>
      <c r="N1496">
        <v>35.32</v>
      </c>
      <c r="T1496" t="s">
        <v>45</v>
      </c>
      <c r="U1496">
        <v>0</v>
      </c>
      <c r="V1496">
        <v>5</v>
      </c>
    </row>
    <row r="1497" spans="1:22" x14ac:dyDescent="0.3">
      <c r="A1497">
        <v>1496</v>
      </c>
      <c r="B1497">
        <v>47067</v>
      </c>
      <c r="C1497" s="2">
        <v>31366</v>
      </c>
      <c r="D1497">
        <v>40</v>
      </c>
      <c r="E1497" t="s">
        <v>42</v>
      </c>
      <c r="F1497" t="s">
        <v>50</v>
      </c>
      <c r="G1497" s="2">
        <v>45336</v>
      </c>
      <c r="H1497" s="3">
        <f t="shared" si="23"/>
        <v>2.7561643835616438</v>
      </c>
      <c r="I1497">
        <v>102</v>
      </c>
      <c r="J1497" t="s">
        <v>57</v>
      </c>
      <c r="K1497" t="s">
        <v>51</v>
      </c>
      <c r="L1497" t="s">
        <v>44</v>
      </c>
      <c r="M1497">
        <v>35.619999999999997</v>
      </c>
      <c r="T1497" t="s">
        <v>47</v>
      </c>
      <c r="U1497">
        <v>0</v>
      </c>
      <c r="V1497">
        <v>5</v>
      </c>
    </row>
    <row r="1498" spans="1:22" x14ac:dyDescent="0.3">
      <c r="A1498">
        <v>1497</v>
      </c>
      <c r="B1498">
        <v>47068</v>
      </c>
      <c r="C1498" s="2">
        <v>33696</v>
      </c>
      <c r="D1498">
        <v>33</v>
      </c>
      <c r="E1498" t="s">
        <v>36</v>
      </c>
      <c r="F1498" t="s">
        <v>50</v>
      </c>
      <c r="G1498" s="2">
        <v>45016</v>
      </c>
      <c r="H1498" s="3">
        <f t="shared" si="23"/>
        <v>2.3863013698630136</v>
      </c>
      <c r="I1498">
        <v>119</v>
      </c>
      <c r="J1498" t="s">
        <v>57</v>
      </c>
      <c r="K1498" t="s">
        <v>51</v>
      </c>
      <c r="L1498" t="s">
        <v>44</v>
      </c>
      <c r="M1498">
        <v>35.619999999999997</v>
      </c>
      <c r="N1498">
        <v>35.32</v>
      </c>
      <c r="T1498" t="s">
        <v>45</v>
      </c>
      <c r="U1498">
        <v>0</v>
      </c>
      <c r="V1498">
        <v>3</v>
      </c>
    </row>
    <row r="1499" spans="1:22" x14ac:dyDescent="0.3">
      <c r="A1499">
        <v>1498</v>
      </c>
      <c r="B1499">
        <v>47072</v>
      </c>
      <c r="C1499" s="2">
        <v>36145</v>
      </c>
      <c r="D1499">
        <v>27</v>
      </c>
      <c r="E1499" t="s">
        <v>36</v>
      </c>
      <c r="F1499" t="s">
        <v>37</v>
      </c>
      <c r="G1499" s="2">
        <v>45151</v>
      </c>
      <c r="H1499" s="3">
        <f t="shared" si="23"/>
        <v>2.6657534246575341</v>
      </c>
      <c r="I1499">
        <v>134</v>
      </c>
      <c r="J1499" t="s">
        <v>57</v>
      </c>
      <c r="K1499" t="s">
        <v>51</v>
      </c>
      <c r="L1499" t="s">
        <v>44</v>
      </c>
      <c r="M1499">
        <v>35.47</v>
      </c>
      <c r="N1499">
        <v>35.32</v>
      </c>
      <c r="T1499" t="s">
        <v>45</v>
      </c>
      <c r="U1499">
        <v>0</v>
      </c>
      <c r="V1499">
        <v>4</v>
      </c>
    </row>
    <row r="1500" spans="1:22" x14ac:dyDescent="0.3">
      <c r="A1500">
        <v>1499</v>
      </c>
      <c r="B1500">
        <v>47079</v>
      </c>
      <c r="C1500" s="2">
        <v>33672</v>
      </c>
      <c r="D1500">
        <v>33</v>
      </c>
      <c r="E1500" t="s">
        <v>36</v>
      </c>
      <c r="F1500" t="s">
        <v>37</v>
      </c>
      <c r="G1500" s="2">
        <v>45049</v>
      </c>
      <c r="H1500" s="3">
        <f t="shared" si="23"/>
        <v>1.904109589041096</v>
      </c>
      <c r="I1500">
        <v>4</v>
      </c>
      <c r="J1500" t="s">
        <v>38</v>
      </c>
      <c r="K1500" t="s">
        <v>51</v>
      </c>
      <c r="L1500" t="s">
        <v>44</v>
      </c>
      <c r="M1500">
        <v>35.619999999999997</v>
      </c>
      <c r="N1500">
        <v>35.32</v>
      </c>
      <c r="T1500" t="s">
        <v>52</v>
      </c>
      <c r="U1500">
        <v>0</v>
      </c>
      <c r="V1500">
        <v>3</v>
      </c>
    </row>
    <row r="1501" spans="1:22" x14ac:dyDescent="0.3">
      <c r="A1501">
        <v>1500</v>
      </c>
      <c r="B1501">
        <v>47084</v>
      </c>
      <c r="C1501" s="2">
        <v>34216</v>
      </c>
      <c r="D1501">
        <v>32</v>
      </c>
      <c r="E1501" t="s">
        <v>42</v>
      </c>
      <c r="F1501" t="s">
        <v>37</v>
      </c>
      <c r="G1501" s="2">
        <v>45327</v>
      </c>
      <c r="H1501" s="3">
        <f t="shared" si="23"/>
        <v>2.5178082191780824</v>
      </c>
      <c r="I1501">
        <v>40</v>
      </c>
      <c r="J1501" t="s">
        <v>38</v>
      </c>
      <c r="K1501" t="s">
        <v>51</v>
      </c>
      <c r="L1501" t="s">
        <v>44</v>
      </c>
      <c r="M1501">
        <v>35.57</v>
      </c>
      <c r="T1501" t="s">
        <v>45</v>
      </c>
      <c r="U1501">
        <v>0</v>
      </c>
      <c r="V1501">
        <v>6</v>
      </c>
    </row>
    <row r="1502" spans="1:22" x14ac:dyDescent="0.3">
      <c r="A1502">
        <v>1501</v>
      </c>
      <c r="B1502">
        <v>47085</v>
      </c>
      <c r="C1502" s="2">
        <v>31144</v>
      </c>
      <c r="D1502">
        <v>40</v>
      </c>
      <c r="E1502" t="s">
        <v>42</v>
      </c>
      <c r="F1502" t="s">
        <v>50</v>
      </c>
      <c r="G1502" s="2">
        <v>45103</v>
      </c>
      <c r="H1502" s="3">
        <f t="shared" si="23"/>
        <v>1.9671232876712328</v>
      </c>
      <c r="I1502">
        <v>108</v>
      </c>
      <c r="J1502" t="s">
        <v>57</v>
      </c>
      <c r="K1502" t="s">
        <v>51</v>
      </c>
      <c r="L1502" t="s">
        <v>44</v>
      </c>
      <c r="M1502">
        <v>35.619999999999997</v>
      </c>
      <c r="N1502">
        <v>35.32</v>
      </c>
      <c r="T1502" t="s">
        <v>47</v>
      </c>
      <c r="U1502">
        <v>0</v>
      </c>
      <c r="V1502">
        <v>3</v>
      </c>
    </row>
    <row r="1503" spans="1:22" x14ac:dyDescent="0.3">
      <c r="A1503">
        <v>1502</v>
      </c>
      <c r="B1503">
        <v>47086</v>
      </c>
      <c r="C1503" s="2">
        <v>35126</v>
      </c>
      <c r="D1503">
        <v>29</v>
      </c>
      <c r="E1503" t="s">
        <v>42</v>
      </c>
      <c r="F1503" t="s">
        <v>50</v>
      </c>
      <c r="G1503" s="2">
        <v>45304</v>
      </c>
      <c r="H1503" s="3">
        <f t="shared" si="23"/>
        <v>2.6438356164383561</v>
      </c>
      <c r="I1503">
        <v>141</v>
      </c>
      <c r="J1503" t="s">
        <v>57</v>
      </c>
      <c r="K1503" t="s">
        <v>51</v>
      </c>
      <c r="L1503" t="s">
        <v>44</v>
      </c>
      <c r="M1503">
        <v>35.729999999999997</v>
      </c>
      <c r="T1503" t="s">
        <v>49</v>
      </c>
      <c r="U1503">
        <v>0</v>
      </c>
      <c r="V1503">
        <v>6</v>
      </c>
    </row>
    <row r="1504" spans="1:22" x14ac:dyDescent="0.3">
      <c r="A1504">
        <v>1503</v>
      </c>
      <c r="B1504">
        <v>47088</v>
      </c>
      <c r="C1504" s="2">
        <v>28757</v>
      </c>
      <c r="D1504">
        <v>47</v>
      </c>
      <c r="E1504" t="s">
        <v>36</v>
      </c>
      <c r="F1504" t="s">
        <v>37</v>
      </c>
      <c r="G1504" s="2">
        <v>45057</v>
      </c>
      <c r="H1504" s="3">
        <f t="shared" si="23"/>
        <v>2.408219178082192</v>
      </c>
      <c r="I1504">
        <v>20</v>
      </c>
      <c r="J1504" t="s">
        <v>38</v>
      </c>
      <c r="K1504" t="s">
        <v>51</v>
      </c>
      <c r="L1504" t="s">
        <v>44</v>
      </c>
      <c r="M1504">
        <v>35.65</v>
      </c>
      <c r="N1504">
        <v>35.32</v>
      </c>
      <c r="T1504" t="s">
        <v>49</v>
      </c>
      <c r="U1504">
        <v>0</v>
      </c>
      <c r="V1504">
        <v>3</v>
      </c>
    </row>
    <row r="1505" spans="1:22" x14ac:dyDescent="0.3">
      <c r="A1505">
        <v>1504</v>
      </c>
      <c r="B1505">
        <v>47094</v>
      </c>
      <c r="C1505" s="2">
        <v>32988</v>
      </c>
      <c r="D1505">
        <v>35</v>
      </c>
      <c r="E1505" t="s">
        <v>42</v>
      </c>
      <c r="F1505" t="s">
        <v>50</v>
      </c>
      <c r="G1505" s="2">
        <v>45143</v>
      </c>
      <c r="H1505" s="3">
        <f t="shared" si="23"/>
        <v>2.3616438356164382</v>
      </c>
      <c r="I1505">
        <v>110</v>
      </c>
      <c r="J1505" t="s">
        <v>57</v>
      </c>
      <c r="K1505" t="s">
        <v>51</v>
      </c>
      <c r="L1505" t="s">
        <v>44</v>
      </c>
      <c r="M1505">
        <v>35.47</v>
      </c>
      <c r="N1505">
        <v>35.32</v>
      </c>
      <c r="T1505" t="s">
        <v>47</v>
      </c>
      <c r="U1505">
        <v>0</v>
      </c>
      <c r="V1505">
        <v>7</v>
      </c>
    </row>
    <row r="1506" spans="1:22" x14ac:dyDescent="0.3">
      <c r="A1506">
        <v>1505</v>
      </c>
      <c r="B1506">
        <v>47096</v>
      </c>
      <c r="C1506" s="2">
        <v>34403</v>
      </c>
      <c r="D1506">
        <v>31</v>
      </c>
      <c r="E1506" t="s">
        <v>36</v>
      </c>
      <c r="F1506" t="s">
        <v>50</v>
      </c>
      <c r="G1506" s="2">
        <v>45160</v>
      </c>
      <c r="H1506" s="3">
        <f t="shared" si="23"/>
        <v>2.4465753424657533</v>
      </c>
      <c r="I1506">
        <v>142</v>
      </c>
      <c r="J1506" t="s">
        <v>57</v>
      </c>
      <c r="K1506" t="s">
        <v>51</v>
      </c>
      <c r="L1506" t="s">
        <v>44</v>
      </c>
      <c r="M1506">
        <v>35.32</v>
      </c>
      <c r="N1506">
        <v>35.32</v>
      </c>
      <c r="T1506" t="s">
        <v>49</v>
      </c>
      <c r="U1506">
        <v>0</v>
      </c>
      <c r="V1506">
        <v>3</v>
      </c>
    </row>
    <row r="1507" spans="1:22" x14ac:dyDescent="0.3">
      <c r="A1507">
        <v>1506</v>
      </c>
      <c r="B1507">
        <v>47100</v>
      </c>
      <c r="C1507" s="2">
        <v>34768</v>
      </c>
      <c r="D1507">
        <v>30</v>
      </c>
      <c r="E1507" t="s">
        <v>42</v>
      </c>
      <c r="F1507" t="s">
        <v>50</v>
      </c>
      <c r="G1507" s="2">
        <v>45129</v>
      </c>
      <c r="H1507" s="3">
        <f t="shared" si="23"/>
        <v>2.8438356164383563</v>
      </c>
      <c r="I1507">
        <v>140</v>
      </c>
      <c r="J1507" t="s">
        <v>57</v>
      </c>
      <c r="K1507" t="s">
        <v>51</v>
      </c>
      <c r="L1507" t="s">
        <v>44</v>
      </c>
      <c r="M1507">
        <v>35.700000000000003</v>
      </c>
      <c r="N1507">
        <v>35.32</v>
      </c>
      <c r="T1507" t="s">
        <v>47</v>
      </c>
      <c r="U1507">
        <v>0</v>
      </c>
      <c r="V1507">
        <v>6</v>
      </c>
    </row>
    <row r="1508" spans="1:22" x14ac:dyDescent="0.3">
      <c r="A1508">
        <v>1507</v>
      </c>
      <c r="B1508">
        <v>47103</v>
      </c>
      <c r="C1508" s="2">
        <v>33958</v>
      </c>
      <c r="D1508">
        <v>33</v>
      </c>
      <c r="E1508" t="s">
        <v>36</v>
      </c>
      <c r="F1508" t="s">
        <v>50</v>
      </c>
      <c r="G1508" s="2">
        <v>44984</v>
      </c>
      <c r="H1508" s="3">
        <f t="shared" si="23"/>
        <v>2.2356164383561645</v>
      </c>
      <c r="I1508">
        <v>43</v>
      </c>
      <c r="J1508" t="s">
        <v>38</v>
      </c>
      <c r="K1508" t="s">
        <v>51</v>
      </c>
      <c r="L1508" t="s">
        <v>44</v>
      </c>
      <c r="M1508">
        <v>35.47</v>
      </c>
      <c r="N1508">
        <v>35.32</v>
      </c>
      <c r="T1508" t="s">
        <v>45</v>
      </c>
      <c r="U1508">
        <v>0</v>
      </c>
      <c r="V1508">
        <v>4</v>
      </c>
    </row>
    <row r="1509" spans="1:22" x14ac:dyDescent="0.3">
      <c r="A1509">
        <v>1508</v>
      </c>
      <c r="B1509">
        <v>47105</v>
      </c>
      <c r="C1509" s="2">
        <v>33859</v>
      </c>
      <c r="D1509">
        <v>33</v>
      </c>
      <c r="E1509" t="s">
        <v>42</v>
      </c>
      <c r="F1509" t="s">
        <v>50</v>
      </c>
      <c r="G1509" s="2">
        <v>45206</v>
      </c>
      <c r="H1509" s="3">
        <f t="shared" si="23"/>
        <v>2.032876712328767</v>
      </c>
      <c r="I1509">
        <v>6</v>
      </c>
      <c r="J1509" t="s">
        <v>38</v>
      </c>
      <c r="K1509" t="s">
        <v>51</v>
      </c>
      <c r="L1509" t="s">
        <v>44</v>
      </c>
      <c r="M1509">
        <v>35.619999999999997</v>
      </c>
      <c r="N1509">
        <v>35.32</v>
      </c>
      <c r="T1509" t="s">
        <v>47</v>
      </c>
      <c r="U1509">
        <v>0</v>
      </c>
      <c r="V1509">
        <v>5</v>
      </c>
    </row>
    <row r="1510" spans="1:22" x14ac:dyDescent="0.3">
      <c r="A1510">
        <v>1509</v>
      </c>
      <c r="B1510">
        <v>47106</v>
      </c>
      <c r="C1510" s="2">
        <v>36120</v>
      </c>
      <c r="D1510">
        <v>27</v>
      </c>
      <c r="E1510" t="s">
        <v>42</v>
      </c>
      <c r="F1510" t="s">
        <v>50</v>
      </c>
      <c r="G1510" s="2">
        <v>45280</v>
      </c>
      <c r="H1510" s="3">
        <f t="shared" si="23"/>
        <v>1.9917808219178081</v>
      </c>
      <c r="I1510">
        <v>23</v>
      </c>
      <c r="J1510" t="s">
        <v>38</v>
      </c>
      <c r="K1510" t="s">
        <v>51</v>
      </c>
      <c r="L1510" t="s">
        <v>44</v>
      </c>
      <c r="M1510">
        <v>35.619999999999997</v>
      </c>
      <c r="N1510">
        <v>35.32</v>
      </c>
      <c r="T1510" t="s">
        <v>49</v>
      </c>
      <c r="U1510">
        <v>0</v>
      </c>
      <c r="V1510">
        <v>5</v>
      </c>
    </row>
    <row r="1511" spans="1:22" x14ac:dyDescent="0.3">
      <c r="A1511">
        <v>1510</v>
      </c>
      <c r="B1511">
        <v>47108</v>
      </c>
      <c r="C1511" s="2">
        <v>35254</v>
      </c>
      <c r="D1511">
        <v>29</v>
      </c>
      <c r="E1511" t="s">
        <v>42</v>
      </c>
      <c r="F1511" t="s">
        <v>50</v>
      </c>
      <c r="G1511" s="2">
        <v>45295</v>
      </c>
      <c r="H1511" s="3">
        <f t="shared" si="23"/>
        <v>1.9205479452054794</v>
      </c>
      <c r="I1511">
        <v>43</v>
      </c>
      <c r="J1511" t="s">
        <v>38</v>
      </c>
      <c r="K1511" t="s">
        <v>51</v>
      </c>
      <c r="L1511" t="s">
        <v>44</v>
      </c>
      <c r="M1511">
        <v>35.47</v>
      </c>
      <c r="T1511" t="s">
        <v>47</v>
      </c>
      <c r="U1511">
        <v>0</v>
      </c>
      <c r="V1511">
        <v>5</v>
      </c>
    </row>
    <row r="1512" spans="1:22" x14ac:dyDescent="0.3">
      <c r="A1512">
        <v>1511</v>
      </c>
      <c r="B1512">
        <v>47110</v>
      </c>
      <c r="C1512" s="2">
        <v>33129</v>
      </c>
      <c r="D1512">
        <v>35</v>
      </c>
      <c r="E1512" t="s">
        <v>42</v>
      </c>
      <c r="F1512" t="s">
        <v>37</v>
      </c>
      <c r="G1512" s="2">
        <v>45321</v>
      </c>
      <c r="H1512" s="3">
        <f t="shared" si="23"/>
        <v>2.515068493150685</v>
      </c>
      <c r="I1512">
        <v>50</v>
      </c>
      <c r="J1512" t="s">
        <v>38</v>
      </c>
      <c r="K1512" t="s">
        <v>51</v>
      </c>
      <c r="L1512" t="s">
        <v>44</v>
      </c>
      <c r="M1512">
        <v>35.619999999999997</v>
      </c>
      <c r="T1512" t="s">
        <v>49</v>
      </c>
      <c r="U1512">
        <v>0</v>
      </c>
      <c r="V1512">
        <v>5</v>
      </c>
    </row>
    <row r="1513" spans="1:22" x14ac:dyDescent="0.3">
      <c r="A1513">
        <v>1512</v>
      </c>
      <c r="B1513">
        <v>47115</v>
      </c>
      <c r="C1513" s="2">
        <v>33866</v>
      </c>
      <c r="D1513">
        <v>33</v>
      </c>
      <c r="E1513" t="s">
        <v>36</v>
      </c>
      <c r="F1513" t="s">
        <v>50</v>
      </c>
      <c r="G1513" s="2">
        <v>45104</v>
      </c>
      <c r="H1513" s="3">
        <f t="shared" si="23"/>
        <v>2.3369863013698629</v>
      </c>
      <c r="I1513">
        <v>141</v>
      </c>
      <c r="J1513" t="s">
        <v>57</v>
      </c>
      <c r="K1513" t="s">
        <v>51</v>
      </c>
      <c r="L1513" t="s">
        <v>44</v>
      </c>
      <c r="M1513">
        <v>35.75</v>
      </c>
      <c r="N1513">
        <v>35.32</v>
      </c>
      <c r="T1513" t="s">
        <v>45</v>
      </c>
      <c r="U1513">
        <v>0</v>
      </c>
      <c r="V1513">
        <v>3</v>
      </c>
    </row>
    <row r="1514" spans="1:22" x14ac:dyDescent="0.3">
      <c r="A1514">
        <v>1513</v>
      </c>
      <c r="B1514">
        <v>47116</v>
      </c>
      <c r="C1514" s="2">
        <v>35010</v>
      </c>
      <c r="D1514">
        <v>30</v>
      </c>
      <c r="E1514" t="s">
        <v>36</v>
      </c>
      <c r="F1514" t="s">
        <v>50</v>
      </c>
      <c r="G1514" s="2">
        <v>45169</v>
      </c>
      <c r="H1514" s="3">
        <f t="shared" si="23"/>
        <v>2.8383561643835615</v>
      </c>
      <c r="I1514">
        <v>96</v>
      </c>
      <c r="J1514" t="s">
        <v>57</v>
      </c>
      <c r="K1514" t="s">
        <v>51</v>
      </c>
      <c r="L1514" t="s">
        <v>44</v>
      </c>
      <c r="M1514">
        <v>35.65</v>
      </c>
      <c r="N1514">
        <v>35.32</v>
      </c>
      <c r="T1514" t="s">
        <v>52</v>
      </c>
      <c r="U1514">
        <v>0</v>
      </c>
      <c r="V1514">
        <v>4</v>
      </c>
    </row>
    <row r="1515" spans="1:22" x14ac:dyDescent="0.3">
      <c r="A1515">
        <v>1514</v>
      </c>
      <c r="B1515">
        <v>47118</v>
      </c>
      <c r="C1515" s="2">
        <v>35794</v>
      </c>
      <c r="D1515">
        <v>28</v>
      </c>
      <c r="E1515" t="s">
        <v>42</v>
      </c>
      <c r="F1515" t="s">
        <v>50</v>
      </c>
      <c r="G1515" s="2">
        <v>44986</v>
      </c>
      <c r="H1515" s="3">
        <f t="shared" si="23"/>
        <v>1.8164383561643835</v>
      </c>
      <c r="I1515">
        <v>27</v>
      </c>
      <c r="J1515" t="s">
        <v>38</v>
      </c>
      <c r="K1515" t="s">
        <v>51</v>
      </c>
      <c r="L1515" t="s">
        <v>44</v>
      </c>
      <c r="M1515">
        <v>35.47</v>
      </c>
      <c r="N1515">
        <v>35.32</v>
      </c>
      <c r="T1515" t="s">
        <v>52</v>
      </c>
      <c r="U1515">
        <v>0</v>
      </c>
      <c r="V1515">
        <v>6</v>
      </c>
    </row>
    <row r="1516" spans="1:22" x14ac:dyDescent="0.3">
      <c r="A1516">
        <v>1515</v>
      </c>
      <c r="B1516">
        <v>47120</v>
      </c>
      <c r="C1516" s="2">
        <v>33685</v>
      </c>
      <c r="D1516">
        <v>33</v>
      </c>
      <c r="E1516" t="s">
        <v>42</v>
      </c>
      <c r="F1516" t="s">
        <v>50</v>
      </c>
      <c r="G1516" s="2">
        <v>45359</v>
      </c>
      <c r="H1516" s="3">
        <f t="shared" si="23"/>
        <v>2.5671232876712327</v>
      </c>
      <c r="I1516">
        <v>127</v>
      </c>
      <c r="J1516" t="s">
        <v>57</v>
      </c>
      <c r="K1516" t="s">
        <v>51</v>
      </c>
      <c r="L1516" t="s">
        <v>44</v>
      </c>
      <c r="M1516">
        <v>35.47</v>
      </c>
      <c r="T1516" t="s">
        <v>47</v>
      </c>
      <c r="U1516">
        <v>0</v>
      </c>
      <c r="V1516">
        <v>5</v>
      </c>
    </row>
    <row r="1517" spans="1:22" x14ac:dyDescent="0.3">
      <c r="A1517">
        <v>1516</v>
      </c>
      <c r="B1517">
        <v>47124</v>
      </c>
      <c r="C1517" s="2">
        <v>32592</v>
      </c>
      <c r="D1517">
        <v>36</v>
      </c>
      <c r="E1517" t="s">
        <v>36</v>
      </c>
      <c r="F1517" t="s">
        <v>50</v>
      </c>
      <c r="G1517" s="2">
        <v>45085</v>
      </c>
      <c r="H1517" s="3">
        <f t="shared" si="23"/>
        <v>2.408219178082192</v>
      </c>
      <c r="I1517">
        <v>66</v>
      </c>
      <c r="J1517" t="s">
        <v>57</v>
      </c>
      <c r="K1517" t="s">
        <v>51</v>
      </c>
      <c r="L1517" t="s">
        <v>44</v>
      </c>
      <c r="M1517">
        <v>35.619999999999997</v>
      </c>
      <c r="N1517">
        <v>35.32</v>
      </c>
      <c r="T1517" t="s">
        <v>52</v>
      </c>
      <c r="U1517">
        <v>0</v>
      </c>
      <c r="V1517">
        <v>6</v>
      </c>
    </row>
    <row r="1518" spans="1:22" x14ac:dyDescent="0.3">
      <c r="A1518">
        <v>1517</v>
      </c>
      <c r="B1518">
        <v>47138</v>
      </c>
      <c r="C1518" s="2">
        <v>34590</v>
      </c>
      <c r="D1518">
        <v>31</v>
      </c>
      <c r="E1518" t="s">
        <v>42</v>
      </c>
      <c r="F1518" t="s">
        <v>50</v>
      </c>
      <c r="G1518" s="2">
        <v>45143</v>
      </c>
      <c r="H1518" s="3">
        <f t="shared" si="23"/>
        <v>2.0301369863013701</v>
      </c>
      <c r="I1518">
        <v>78</v>
      </c>
      <c r="J1518" t="s">
        <v>57</v>
      </c>
      <c r="K1518" t="s">
        <v>51</v>
      </c>
      <c r="L1518" t="s">
        <v>44</v>
      </c>
      <c r="M1518">
        <v>35.47</v>
      </c>
      <c r="N1518">
        <v>35.32</v>
      </c>
      <c r="T1518" t="s">
        <v>47</v>
      </c>
      <c r="U1518">
        <v>0</v>
      </c>
      <c r="V1518">
        <v>4</v>
      </c>
    </row>
    <row r="1519" spans="1:22" x14ac:dyDescent="0.3">
      <c r="A1519">
        <v>1518</v>
      </c>
      <c r="B1519">
        <v>47139</v>
      </c>
      <c r="C1519" s="2">
        <v>31407</v>
      </c>
      <c r="D1519">
        <v>40</v>
      </c>
      <c r="E1519" t="s">
        <v>42</v>
      </c>
      <c r="F1519" t="s">
        <v>50</v>
      </c>
      <c r="G1519" s="2">
        <v>45281</v>
      </c>
      <c r="H1519" s="3">
        <f t="shared" si="23"/>
        <v>2.6986301369863015</v>
      </c>
      <c r="I1519">
        <v>98</v>
      </c>
      <c r="J1519" t="s">
        <v>57</v>
      </c>
      <c r="K1519" t="s">
        <v>51</v>
      </c>
      <c r="L1519" t="s">
        <v>44</v>
      </c>
      <c r="M1519">
        <v>35.47</v>
      </c>
      <c r="N1519">
        <v>35.32</v>
      </c>
      <c r="T1519" t="s">
        <v>49</v>
      </c>
      <c r="U1519">
        <v>0</v>
      </c>
      <c r="V1519">
        <v>6</v>
      </c>
    </row>
    <row r="1520" spans="1:22" x14ac:dyDescent="0.3">
      <c r="A1520">
        <v>1519</v>
      </c>
      <c r="B1520">
        <v>47143</v>
      </c>
      <c r="C1520" s="2">
        <v>33745</v>
      </c>
      <c r="D1520">
        <v>33</v>
      </c>
      <c r="E1520" t="s">
        <v>42</v>
      </c>
      <c r="F1520" t="s">
        <v>50</v>
      </c>
      <c r="G1520" s="2">
        <v>45037</v>
      </c>
      <c r="H1520" s="3">
        <f t="shared" si="23"/>
        <v>2.3397260273972602</v>
      </c>
      <c r="I1520">
        <v>75</v>
      </c>
      <c r="J1520" t="s">
        <v>57</v>
      </c>
      <c r="K1520" t="s">
        <v>51</v>
      </c>
      <c r="L1520" t="s">
        <v>44</v>
      </c>
      <c r="M1520">
        <v>35.619999999999997</v>
      </c>
      <c r="N1520">
        <v>35.32</v>
      </c>
      <c r="T1520" t="s">
        <v>47</v>
      </c>
      <c r="U1520">
        <v>0</v>
      </c>
      <c r="V1520">
        <v>4</v>
      </c>
    </row>
    <row r="1521" spans="1:22" x14ac:dyDescent="0.3">
      <c r="A1521">
        <v>1520</v>
      </c>
      <c r="B1521">
        <v>47144</v>
      </c>
      <c r="C1521" s="2">
        <v>33454</v>
      </c>
      <c r="D1521">
        <v>34</v>
      </c>
      <c r="E1521" t="s">
        <v>36</v>
      </c>
      <c r="F1521" t="s">
        <v>37</v>
      </c>
      <c r="G1521" s="2">
        <v>45168</v>
      </c>
      <c r="H1521" s="3">
        <f t="shared" si="23"/>
        <v>2.043835616438356</v>
      </c>
      <c r="I1521">
        <v>94</v>
      </c>
      <c r="J1521" t="s">
        <v>57</v>
      </c>
      <c r="K1521" t="s">
        <v>51</v>
      </c>
      <c r="L1521" t="s">
        <v>44</v>
      </c>
      <c r="M1521">
        <v>35.619999999999997</v>
      </c>
      <c r="N1521">
        <v>35.32</v>
      </c>
      <c r="T1521" t="s">
        <v>52</v>
      </c>
      <c r="U1521">
        <v>0</v>
      </c>
      <c r="V1521">
        <v>4</v>
      </c>
    </row>
    <row r="1522" spans="1:22" x14ac:dyDescent="0.3">
      <c r="A1522">
        <v>1521</v>
      </c>
      <c r="B1522">
        <v>47151</v>
      </c>
      <c r="C1522" s="2">
        <v>31189</v>
      </c>
      <c r="D1522">
        <v>40</v>
      </c>
      <c r="E1522" t="s">
        <v>42</v>
      </c>
      <c r="F1522" t="s">
        <v>50</v>
      </c>
      <c r="G1522" s="2">
        <v>45276</v>
      </c>
      <c r="H1522" s="3">
        <f t="shared" si="23"/>
        <v>2.1808219178082191</v>
      </c>
      <c r="I1522">
        <v>110</v>
      </c>
      <c r="J1522" t="s">
        <v>57</v>
      </c>
      <c r="K1522" t="s">
        <v>51</v>
      </c>
      <c r="L1522" t="s">
        <v>44</v>
      </c>
      <c r="M1522">
        <v>35.47</v>
      </c>
      <c r="N1522">
        <v>35.32</v>
      </c>
      <c r="T1522" t="s">
        <v>49</v>
      </c>
      <c r="U1522">
        <v>0</v>
      </c>
      <c r="V1522">
        <v>6</v>
      </c>
    </row>
    <row r="1523" spans="1:22" x14ac:dyDescent="0.3">
      <c r="A1523">
        <v>1522</v>
      </c>
      <c r="B1523">
        <v>47152</v>
      </c>
      <c r="C1523" s="2">
        <v>31164</v>
      </c>
      <c r="D1523">
        <v>40</v>
      </c>
      <c r="E1523" t="s">
        <v>36</v>
      </c>
      <c r="F1523" t="s">
        <v>50</v>
      </c>
      <c r="G1523" s="2">
        <v>45226</v>
      </c>
      <c r="H1523" s="3">
        <f t="shared" si="23"/>
        <v>2.6273972602739728</v>
      </c>
      <c r="I1523">
        <v>2</v>
      </c>
      <c r="J1523" t="s">
        <v>38</v>
      </c>
      <c r="K1523" t="s">
        <v>51</v>
      </c>
      <c r="L1523" t="s">
        <v>44</v>
      </c>
      <c r="M1523">
        <v>35.619999999999997</v>
      </c>
      <c r="N1523">
        <v>35.32</v>
      </c>
      <c r="T1523" t="s">
        <v>47</v>
      </c>
      <c r="U1523">
        <v>0</v>
      </c>
      <c r="V1523">
        <v>4</v>
      </c>
    </row>
    <row r="1524" spans="1:22" x14ac:dyDescent="0.3">
      <c r="A1524">
        <v>1523</v>
      </c>
      <c r="B1524">
        <v>47155</v>
      </c>
      <c r="C1524" s="2">
        <v>36118</v>
      </c>
      <c r="D1524">
        <v>27</v>
      </c>
      <c r="E1524" t="s">
        <v>36</v>
      </c>
      <c r="F1524" t="s">
        <v>50</v>
      </c>
      <c r="G1524" s="2">
        <v>45063</v>
      </c>
      <c r="H1524" s="3">
        <f t="shared" si="23"/>
        <v>2.1890410958904107</v>
      </c>
      <c r="I1524">
        <v>60</v>
      </c>
      <c r="J1524" t="s">
        <v>38</v>
      </c>
      <c r="K1524" t="s">
        <v>51</v>
      </c>
      <c r="L1524" t="s">
        <v>44</v>
      </c>
      <c r="M1524">
        <v>35.32</v>
      </c>
      <c r="N1524">
        <v>35.32</v>
      </c>
      <c r="T1524" t="s">
        <v>45</v>
      </c>
      <c r="U1524">
        <v>0</v>
      </c>
      <c r="V1524">
        <v>4</v>
      </c>
    </row>
    <row r="1525" spans="1:22" x14ac:dyDescent="0.3">
      <c r="A1525">
        <v>1524</v>
      </c>
      <c r="B1525">
        <v>47160</v>
      </c>
      <c r="C1525" s="2">
        <v>34545</v>
      </c>
      <c r="D1525">
        <v>31</v>
      </c>
      <c r="E1525" t="s">
        <v>42</v>
      </c>
      <c r="F1525" t="s">
        <v>50</v>
      </c>
      <c r="G1525" s="2">
        <v>45223</v>
      </c>
      <c r="H1525" s="3">
        <f t="shared" si="23"/>
        <v>2.0657534246575344</v>
      </c>
      <c r="I1525">
        <v>140</v>
      </c>
      <c r="J1525" t="s">
        <v>57</v>
      </c>
      <c r="K1525" t="s">
        <v>51</v>
      </c>
      <c r="L1525" t="s">
        <v>44</v>
      </c>
      <c r="M1525">
        <v>35.74</v>
      </c>
      <c r="N1525">
        <v>35.32</v>
      </c>
      <c r="T1525" t="s">
        <v>47</v>
      </c>
      <c r="U1525">
        <v>0</v>
      </c>
      <c r="V1525">
        <v>6</v>
      </c>
    </row>
    <row r="1526" spans="1:22" x14ac:dyDescent="0.3">
      <c r="A1526">
        <v>1525</v>
      </c>
      <c r="B1526">
        <v>47161</v>
      </c>
      <c r="C1526" s="2">
        <v>31316</v>
      </c>
      <c r="D1526">
        <v>40</v>
      </c>
      <c r="E1526" t="s">
        <v>42</v>
      </c>
      <c r="F1526" t="s">
        <v>50</v>
      </c>
      <c r="G1526" s="2">
        <v>45268</v>
      </c>
      <c r="H1526" s="3">
        <f t="shared" si="23"/>
        <v>1.9698630136986301</v>
      </c>
      <c r="I1526">
        <v>5</v>
      </c>
      <c r="J1526" t="s">
        <v>38</v>
      </c>
      <c r="K1526" t="s">
        <v>51</v>
      </c>
      <c r="L1526" t="s">
        <v>44</v>
      </c>
      <c r="M1526">
        <v>35.619999999999997</v>
      </c>
      <c r="N1526">
        <v>35.32</v>
      </c>
      <c r="T1526" t="s">
        <v>49</v>
      </c>
      <c r="U1526">
        <v>0</v>
      </c>
      <c r="V1526">
        <v>4</v>
      </c>
    </row>
    <row r="1527" spans="1:22" x14ac:dyDescent="0.3">
      <c r="A1527">
        <v>1526</v>
      </c>
      <c r="B1527">
        <v>47162</v>
      </c>
      <c r="C1527" s="2">
        <v>35738</v>
      </c>
      <c r="D1527">
        <v>28</v>
      </c>
      <c r="E1527" t="s">
        <v>42</v>
      </c>
      <c r="F1527" t="s">
        <v>50</v>
      </c>
      <c r="G1527" s="2">
        <v>45303</v>
      </c>
      <c r="H1527" s="3">
        <f t="shared" si="23"/>
        <v>2.6986301369863015</v>
      </c>
      <c r="I1527">
        <v>58</v>
      </c>
      <c r="J1527" t="s">
        <v>38</v>
      </c>
      <c r="K1527" t="s">
        <v>51</v>
      </c>
      <c r="L1527" t="s">
        <v>44</v>
      </c>
      <c r="M1527">
        <v>35.659999999999997</v>
      </c>
      <c r="T1527" t="s">
        <v>49</v>
      </c>
      <c r="U1527">
        <v>0</v>
      </c>
      <c r="V1527">
        <v>6</v>
      </c>
    </row>
    <row r="1528" spans="1:22" x14ac:dyDescent="0.3">
      <c r="A1528">
        <v>1527</v>
      </c>
      <c r="B1528">
        <v>47163</v>
      </c>
      <c r="C1528" s="2">
        <v>33518</v>
      </c>
      <c r="D1528">
        <v>34</v>
      </c>
      <c r="E1528" t="s">
        <v>42</v>
      </c>
      <c r="F1528" t="s">
        <v>37</v>
      </c>
      <c r="G1528" s="2">
        <v>45037</v>
      </c>
      <c r="H1528" s="3">
        <f t="shared" si="23"/>
        <v>1.8821917808219177</v>
      </c>
      <c r="I1528">
        <v>35</v>
      </c>
      <c r="J1528" t="s">
        <v>38</v>
      </c>
      <c r="K1528" t="s">
        <v>51</v>
      </c>
      <c r="L1528" t="s">
        <v>44</v>
      </c>
      <c r="M1528">
        <v>35.619999999999997</v>
      </c>
      <c r="N1528">
        <v>35.32</v>
      </c>
      <c r="T1528" t="s">
        <v>45</v>
      </c>
      <c r="U1528">
        <v>0</v>
      </c>
      <c r="V1528">
        <v>5</v>
      </c>
    </row>
    <row r="1529" spans="1:22" x14ac:dyDescent="0.3">
      <c r="A1529">
        <v>1528</v>
      </c>
      <c r="B1529">
        <v>47164</v>
      </c>
      <c r="C1529" s="2">
        <v>35144</v>
      </c>
      <c r="D1529">
        <v>29</v>
      </c>
      <c r="E1529" t="s">
        <v>36</v>
      </c>
      <c r="F1529" t="s">
        <v>50</v>
      </c>
      <c r="G1529" s="2">
        <v>45335</v>
      </c>
      <c r="H1529" s="3">
        <f t="shared" si="23"/>
        <v>2.0767123287671234</v>
      </c>
      <c r="I1529">
        <v>56</v>
      </c>
      <c r="J1529" t="s">
        <v>38</v>
      </c>
      <c r="K1529" t="s">
        <v>51</v>
      </c>
      <c r="L1529" t="s">
        <v>44</v>
      </c>
      <c r="M1529">
        <v>35.619999999999997</v>
      </c>
      <c r="T1529" t="s">
        <v>52</v>
      </c>
      <c r="U1529">
        <v>0</v>
      </c>
      <c r="V1529">
        <v>3</v>
      </c>
    </row>
    <row r="1530" spans="1:22" x14ac:dyDescent="0.3">
      <c r="A1530">
        <v>1529</v>
      </c>
      <c r="B1530">
        <v>47166</v>
      </c>
      <c r="C1530" s="2">
        <v>33589</v>
      </c>
      <c r="D1530">
        <v>34</v>
      </c>
      <c r="E1530" t="s">
        <v>36</v>
      </c>
      <c r="F1530" t="s">
        <v>50</v>
      </c>
      <c r="G1530" s="2">
        <v>45264</v>
      </c>
      <c r="H1530" s="3">
        <f t="shared" si="23"/>
        <v>2.5287671232876714</v>
      </c>
      <c r="I1530">
        <v>13</v>
      </c>
      <c r="J1530" t="s">
        <v>38</v>
      </c>
      <c r="K1530" t="s">
        <v>51</v>
      </c>
      <c r="L1530" t="s">
        <v>44</v>
      </c>
      <c r="M1530">
        <v>35.47</v>
      </c>
      <c r="N1530">
        <v>35.32</v>
      </c>
      <c r="T1530" t="s">
        <v>52</v>
      </c>
      <c r="U1530">
        <v>0</v>
      </c>
      <c r="V1530">
        <v>3</v>
      </c>
    </row>
    <row r="1531" spans="1:22" x14ac:dyDescent="0.3">
      <c r="A1531">
        <v>1530</v>
      </c>
      <c r="B1531">
        <v>47168</v>
      </c>
      <c r="C1531" s="2">
        <v>34081</v>
      </c>
      <c r="D1531">
        <v>32</v>
      </c>
      <c r="E1531" t="s">
        <v>36</v>
      </c>
      <c r="F1531" t="s">
        <v>50</v>
      </c>
      <c r="G1531" s="2">
        <v>45099</v>
      </c>
      <c r="H1531" s="3">
        <f t="shared" si="23"/>
        <v>1.8575342465753424</v>
      </c>
      <c r="I1531">
        <v>28</v>
      </c>
      <c r="J1531" t="s">
        <v>38</v>
      </c>
      <c r="K1531" t="s">
        <v>51</v>
      </c>
      <c r="L1531" t="s">
        <v>44</v>
      </c>
      <c r="M1531">
        <v>35.47</v>
      </c>
      <c r="N1531">
        <v>35.32</v>
      </c>
      <c r="T1531" t="s">
        <v>52</v>
      </c>
      <c r="U1531">
        <v>0</v>
      </c>
      <c r="V1531">
        <v>4</v>
      </c>
    </row>
    <row r="1532" spans="1:22" x14ac:dyDescent="0.3">
      <c r="A1532">
        <v>1531</v>
      </c>
      <c r="B1532">
        <v>47188</v>
      </c>
      <c r="C1532" s="2">
        <v>33314</v>
      </c>
      <c r="D1532">
        <v>34</v>
      </c>
      <c r="E1532" t="s">
        <v>42</v>
      </c>
      <c r="F1532" t="s">
        <v>50</v>
      </c>
      <c r="G1532" s="2">
        <v>45344</v>
      </c>
      <c r="H1532" s="3">
        <f t="shared" si="23"/>
        <v>1.9479452054794522</v>
      </c>
      <c r="I1532">
        <v>42</v>
      </c>
      <c r="J1532" t="s">
        <v>38</v>
      </c>
      <c r="K1532" t="s">
        <v>51</v>
      </c>
      <c r="L1532" t="s">
        <v>44</v>
      </c>
      <c r="M1532">
        <v>35.47</v>
      </c>
      <c r="T1532" t="s">
        <v>45</v>
      </c>
      <c r="U1532">
        <v>0</v>
      </c>
      <c r="V1532">
        <v>6</v>
      </c>
    </row>
    <row r="1533" spans="1:22" x14ac:dyDescent="0.3">
      <c r="A1533">
        <v>1532</v>
      </c>
      <c r="B1533">
        <v>47190</v>
      </c>
      <c r="C1533" s="2">
        <v>30990</v>
      </c>
      <c r="D1533">
        <v>41</v>
      </c>
      <c r="E1533" t="s">
        <v>42</v>
      </c>
      <c r="F1533" t="s">
        <v>50</v>
      </c>
      <c r="G1533" s="2">
        <v>45311</v>
      </c>
      <c r="H1533" s="3">
        <f t="shared" si="23"/>
        <v>1.8547945205479452</v>
      </c>
      <c r="I1533">
        <v>12</v>
      </c>
      <c r="J1533" t="s">
        <v>38</v>
      </c>
      <c r="K1533" t="s">
        <v>51</v>
      </c>
      <c r="L1533" t="s">
        <v>44</v>
      </c>
      <c r="M1533">
        <v>35.619999999999997</v>
      </c>
      <c r="T1533" t="s">
        <v>47</v>
      </c>
      <c r="U1533">
        <v>0</v>
      </c>
      <c r="V1533">
        <v>5</v>
      </c>
    </row>
    <row r="1534" spans="1:22" x14ac:dyDescent="0.3">
      <c r="A1534">
        <v>1533</v>
      </c>
      <c r="B1534">
        <v>47191</v>
      </c>
      <c r="C1534" s="2">
        <v>34447</v>
      </c>
      <c r="D1534">
        <v>31</v>
      </c>
      <c r="E1534" t="s">
        <v>36</v>
      </c>
      <c r="F1534" t="s">
        <v>50</v>
      </c>
      <c r="G1534" s="2">
        <v>45345</v>
      </c>
      <c r="H1534" s="3">
        <f t="shared" si="23"/>
        <v>2.0630136986301371</v>
      </c>
      <c r="I1534">
        <v>15</v>
      </c>
      <c r="J1534" t="s">
        <v>38</v>
      </c>
      <c r="K1534" t="s">
        <v>51</v>
      </c>
      <c r="L1534" t="s">
        <v>44</v>
      </c>
      <c r="M1534">
        <v>35.619999999999997</v>
      </c>
      <c r="T1534" t="s">
        <v>52</v>
      </c>
      <c r="U1534">
        <v>0</v>
      </c>
      <c r="V1534">
        <v>4</v>
      </c>
    </row>
    <row r="1535" spans="1:22" x14ac:dyDescent="0.3">
      <c r="A1535">
        <v>1534</v>
      </c>
      <c r="B1535">
        <v>47198</v>
      </c>
      <c r="C1535" s="2">
        <v>33775</v>
      </c>
      <c r="D1535">
        <v>33</v>
      </c>
      <c r="E1535" t="s">
        <v>36</v>
      </c>
      <c r="F1535" t="s">
        <v>50</v>
      </c>
      <c r="G1535" s="2">
        <v>45269</v>
      </c>
      <c r="H1535" s="3">
        <f t="shared" si="23"/>
        <v>2.493150684931507</v>
      </c>
      <c r="I1535">
        <v>89</v>
      </c>
      <c r="J1535" t="s">
        <v>57</v>
      </c>
      <c r="K1535" t="s">
        <v>51</v>
      </c>
      <c r="L1535" t="s">
        <v>44</v>
      </c>
      <c r="M1535">
        <v>35.619999999999997</v>
      </c>
      <c r="N1535">
        <v>35.32</v>
      </c>
      <c r="T1535" t="s">
        <v>45</v>
      </c>
      <c r="U1535">
        <v>0</v>
      </c>
      <c r="V1535">
        <v>5</v>
      </c>
    </row>
    <row r="1536" spans="1:22" x14ac:dyDescent="0.3">
      <c r="A1536">
        <v>1535</v>
      </c>
      <c r="B1536">
        <v>47199</v>
      </c>
      <c r="C1536" s="2">
        <v>32124</v>
      </c>
      <c r="D1536">
        <v>38</v>
      </c>
      <c r="E1536" t="s">
        <v>42</v>
      </c>
      <c r="F1536" t="s">
        <v>50</v>
      </c>
      <c r="G1536" s="2">
        <v>45112</v>
      </c>
      <c r="H1536" s="3">
        <f t="shared" si="23"/>
        <v>2.6465753424657534</v>
      </c>
      <c r="I1536">
        <v>137</v>
      </c>
      <c r="J1536" t="s">
        <v>57</v>
      </c>
      <c r="K1536" t="s">
        <v>51</v>
      </c>
      <c r="L1536" t="s">
        <v>44</v>
      </c>
      <c r="M1536">
        <v>35.619999999999997</v>
      </c>
      <c r="N1536">
        <v>35.32</v>
      </c>
      <c r="T1536" t="s">
        <v>47</v>
      </c>
      <c r="U1536">
        <v>0</v>
      </c>
      <c r="V1536">
        <v>5</v>
      </c>
    </row>
    <row r="1537" spans="1:22" x14ac:dyDescent="0.3">
      <c r="A1537">
        <v>1536</v>
      </c>
      <c r="B1537">
        <v>47200</v>
      </c>
      <c r="C1537" s="2">
        <v>34544</v>
      </c>
      <c r="D1537">
        <v>31</v>
      </c>
      <c r="E1537" t="s">
        <v>36</v>
      </c>
      <c r="F1537" t="s">
        <v>50</v>
      </c>
      <c r="G1537" s="2">
        <v>45056</v>
      </c>
      <c r="H1537" s="3">
        <f t="shared" si="23"/>
        <v>2.558904109589041</v>
      </c>
      <c r="I1537">
        <v>142</v>
      </c>
      <c r="J1537" t="s">
        <v>57</v>
      </c>
      <c r="K1537" t="s">
        <v>51</v>
      </c>
      <c r="L1537" t="s">
        <v>44</v>
      </c>
      <c r="M1537">
        <v>35.32</v>
      </c>
      <c r="N1537">
        <v>35.32</v>
      </c>
      <c r="T1537" t="s">
        <v>47</v>
      </c>
      <c r="U1537">
        <v>0</v>
      </c>
      <c r="V1537">
        <v>3</v>
      </c>
    </row>
    <row r="1538" spans="1:22" x14ac:dyDescent="0.3">
      <c r="A1538">
        <v>1537</v>
      </c>
      <c r="B1538">
        <v>47203</v>
      </c>
      <c r="C1538" s="2">
        <v>33893</v>
      </c>
      <c r="D1538">
        <v>33</v>
      </c>
      <c r="E1538" t="s">
        <v>36</v>
      </c>
      <c r="F1538" t="s">
        <v>50</v>
      </c>
      <c r="G1538" s="2">
        <v>45088</v>
      </c>
      <c r="H1538" s="3">
        <f t="shared" si="23"/>
        <v>2.5753424657534247</v>
      </c>
      <c r="I1538">
        <v>39</v>
      </c>
      <c r="J1538" t="s">
        <v>38</v>
      </c>
      <c r="K1538" t="s">
        <v>51</v>
      </c>
      <c r="L1538" t="s">
        <v>44</v>
      </c>
      <c r="M1538">
        <v>35.75</v>
      </c>
      <c r="N1538">
        <v>35.32</v>
      </c>
      <c r="T1538" t="s">
        <v>45</v>
      </c>
      <c r="U1538">
        <v>0</v>
      </c>
      <c r="V1538">
        <v>3</v>
      </c>
    </row>
    <row r="1539" spans="1:22" x14ac:dyDescent="0.3">
      <c r="A1539">
        <v>1538</v>
      </c>
      <c r="B1539">
        <v>47205</v>
      </c>
      <c r="C1539" s="2">
        <v>32918</v>
      </c>
      <c r="D1539">
        <v>35</v>
      </c>
      <c r="E1539" t="s">
        <v>36</v>
      </c>
      <c r="F1539" t="s">
        <v>50</v>
      </c>
      <c r="G1539" s="2">
        <v>45082</v>
      </c>
      <c r="H1539" s="3">
        <f t="shared" ref="H1539:H1602" si="24">DATEDIF(G1540,DATE(2025,12,31),"d")/365</f>
        <v>1.9808219178082191</v>
      </c>
      <c r="I1539">
        <v>58</v>
      </c>
      <c r="J1539" t="s">
        <v>38</v>
      </c>
      <c r="K1539" t="s">
        <v>51</v>
      </c>
      <c r="L1539" t="s">
        <v>44</v>
      </c>
      <c r="M1539">
        <v>35.69</v>
      </c>
      <c r="N1539">
        <v>35.32</v>
      </c>
      <c r="T1539" t="s">
        <v>49</v>
      </c>
      <c r="U1539">
        <v>0</v>
      </c>
      <c r="V1539">
        <v>5</v>
      </c>
    </row>
    <row r="1540" spans="1:22" x14ac:dyDescent="0.3">
      <c r="A1540">
        <v>1539</v>
      </c>
      <c r="B1540">
        <v>47206</v>
      </c>
      <c r="C1540" s="2">
        <v>33453</v>
      </c>
      <c r="D1540">
        <v>34</v>
      </c>
      <c r="E1540" t="s">
        <v>42</v>
      </c>
      <c r="F1540" t="s">
        <v>50</v>
      </c>
      <c r="G1540" s="2">
        <v>45299</v>
      </c>
      <c r="H1540" s="3">
        <f t="shared" si="24"/>
        <v>2.504109589041096</v>
      </c>
      <c r="I1540">
        <v>3</v>
      </c>
      <c r="J1540" t="s">
        <v>38</v>
      </c>
      <c r="K1540" t="s">
        <v>51</v>
      </c>
      <c r="L1540" t="s">
        <v>44</v>
      </c>
      <c r="M1540">
        <v>35.619999999999997</v>
      </c>
      <c r="T1540" t="s">
        <v>47</v>
      </c>
      <c r="U1540">
        <v>0</v>
      </c>
      <c r="V1540">
        <v>6</v>
      </c>
    </row>
    <row r="1541" spans="1:22" x14ac:dyDescent="0.3">
      <c r="A1541">
        <v>1540</v>
      </c>
      <c r="B1541">
        <v>47208</v>
      </c>
      <c r="C1541" s="2">
        <v>32696</v>
      </c>
      <c r="D1541">
        <v>36</v>
      </c>
      <c r="E1541" t="s">
        <v>36</v>
      </c>
      <c r="F1541" t="s">
        <v>50</v>
      </c>
      <c r="G1541" s="2">
        <v>45108</v>
      </c>
      <c r="H1541" s="3">
        <f t="shared" si="24"/>
        <v>2.2520547945205478</v>
      </c>
      <c r="I1541">
        <v>49</v>
      </c>
      <c r="J1541" t="s">
        <v>38</v>
      </c>
      <c r="K1541" t="s">
        <v>51</v>
      </c>
      <c r="L1541" t="s">
        <v>44</v>
      </c>
      <c r="M1541">
        <v>35.61</v>
      </c>
      <c r="N1541">
        <v>35.32</v>
      </c>
      <c r="T1541" t="s">
        <v>52</v>
      </c>
      <c r="U1541">
        <v>0</v>
      </c>
      <c r="V1541">
        <v>3</v>
      </c>
    </row>
    <row r="1542" spans="1:22" x14ac:dyDescent="0.3">
      <c r="A1542">
        <v>1541</v>
      </c>
      <c r="B1542">
        <v>47210</v>
      </c>
      <c r="C1542" s="2">
        <v>35159</v>
      </c>
      <c r="D1542">
        <v>29</v>
      </c>
      <c r="E1542" t="s">
        <v>36</v>
      </c>
      <c r="F1542" t="s">
        <v>50</v>
      </c>
      <c r="G1542" s="2">
        <v>45200</v>
      </c>
      <c r="H1542" s="3">
        <f t="shared" si="24"/>
        <v>2.3369863013698629</v>
      </c>
      <c r="I1542">
        <v>11</v>
      </c>
      <c r="J1542" t="s">
        <v>38</v>
      </c>
      <c r="K1542" t="s">
        <v>51</v>
      </c>
      <c r="L1542" t="s">
        <v>44</v>
      </c>
      <c r="M1542">
        <v>35.47</v>
      </c>
      <c r="N1542">
        <v>35.32</v>
      </c>
      <c r="T1542" t="s">
        <v>49</v>
      </c>
      <c r="U1542">
        <v>0</v>
      </c>
      <c r="V1542">
        <v>3</v>
      </c>
    </row>
    <row r="1543" spans="1:22" x14ac:dyDescent="0.3">
      <c r="A1543">
        <v>1542</v>
      </c>
      <c r="B1543">
        <v>47213</v>
      </c>
      <c r="C1543" s="2">
        <v>30673</v>
      </c>
      <c r="D1543">
        <v>42</v>
      </c>
      <c r="E1543" t="s">
        <v>42</v>
      </c>
      <c r="F1543" t="s">
        <v>50</v>
      </c>
      <c r="G1543" s="2">
        <v>45169</v>
      </c>
      <c r="H1543" s="3">
        <f t="shared" si="24"/>
        <v>1.9671232876712328</v>
      </c>
      <c r="I1543">
        <v>21</v>
      </c>
      <c r="J1543" t="s">
        <v>38</v>
      </c>
      <c r="K1543" t="s">
        <v>51</v>
      </c>
      <c r="L1543" t="s">
        <v>44</v>
      </c>
      <c r="M1543">
        <v>35.619999999999997</v>
      </c>
      <c r="N1543">
        <v>35.32</v>
      </c>
      <c r="T1543" t="s">
        <v>45</v>
      </c>
      <c r="U1543">
        <v>0</v>
      </c>
      <c r="V1543">
        <v>6</v>
      </c>
    </row>
    <row r="1544" spans="1:22" x14ac:dyDescent="0.3">
      <c r="A1544">
        <v>1543</v>
      </c>
      <c r="B1544">
        <v>47214</v>
      </c>
      <c r="C1544" s="2">
        <v>28771</v>
      </c>
      <c r="D1544">
        <v>47</v>
      </c>
      <c r="E1544" t="s">
        <v>36</v>
      </c>
      <c r="F1544" t="s">
        <v>50</v>
      </c>
      <c r="G1544" s="2">
        <v>45304</v>
      </c>
      <c r="H1544" s="3">
        <f t="shared" si="24"/>
        <v>2.7753424657534245</v>
      </c>
      <c r="I1544">
        <v>38</v>
      </c>
      <c r="J1544" t="s">
        <v>38</v>
      </c>
      <c r="K1544" t="s">
        <v>51</v>
      </c>
      <c r="L1544" t="s">
        <v>44</v>
      </c>
      <c r="M1544">
        <v>35.619999999999997</v>
      </c>
      <c r="T1544" t="s">
        <v>52</v>
      </c>
      <c r="U1544">
        <v>0</v>
      </c>
      <c r="V1544">
        <v>2</v>
      </c>
    </row>
    <row r="1545" spans="1:22" x14ac:dyDescent="0.3">
      <c r="A1545">
        <v>1544</v>
      </c>
      <c r="B1545">
        <v>47217</v>
      </c>
      <c r="C1545" s="2">
        <v>29501</v>
      </c>
      <c r="D1545">
        <v>45</v>
      </c>
      <c r="E1545" t="s">
        <v>36</v>
      </c>
      <c r="F1545" t="s">
        <v>50</v>
      </c>
      <c r="G1545" s="2">
        <v>45009</v>
      </c>
      <c r="H1545" s="3">
        <f t="shared" si="24"/>
        <v>2.1835616438356165</v>
      </c>
      <c r="I1545">
        <v>55</v>
      </c>
      <c r="J1545" t="s">
        <v>38</v>
      </c>
      <c r="K1545" t="s">
        <v>51</v>
      </c>
      <c r="L1545" t="s">
        <v>44</v>
      </c>
      <c r="M1545">
        <v>35.32</v>
      </c>
      <c r="N1545">
        <v>35.32</v>
      </c>
      <c r="T1545" t="s">
        <v>47</v>
      </c>
      <c r="U1545">
        <v>0</v>
      </c>
      <c r="V1545">
        <v>3</v>
      </c>
    </row>
    <row r="1546" spans="1:22" x14ac:dyDescent="0.3">
      <c r="A1546">
        <v>1545</v>
      </c>
      <c r="B1546">
        <v>47218</v>
      </c>
      <c r="C1546" s="2">
        <v>34818</v>
      </c>
      <c r="D1546">
        <v>30</v>
      </c>
      <c r="E1546" t="s">
        <v>36</v>
      </c>
      <c r="F1546" t="s">
        <v>50</v>
      </c>
      <c r="G1546" s="2">
        <v>45225</v>
      </c>
      <c r="H1546" s="3">
        <f t="shared" si="24"/>
        <v>2.7397260273972601</v>
      </c>
      <c r="I1546">
        <v>71</v>
      </c>
      <c r="J1546" t="s">
        <v>57</v>
      </c>
      <c r="K1546" t="s">
        <v>51</v>
      </c>
      <c r="L1546" t="s">
        <v>44</v>
      </c>
      <c r="M1546">
        <v>35.619999999999997</v>
      </c>
      <c r="N1546">
        <v>35.32</v>
      </c>
      <c r="T1546" t="s">
        <v>52</v>
      </c>
      <c r="U1546">
        <v>0</v>
      </c>
      <c r="V1546">
        <v>5</v>
      </c>
    </row>
    <row r="1547" spans="1:22" x14ac:dyDescent="0.3">
      <c r="A1547">
        <v>1546</v>
      </c>
      <c r="B1547">
        <v>47219</v>
      </c>
      <c r="C1547" s="2">
        <v>35913</v>
      </c>
      <c r="D1547">
        <v>27</v>
      </c>
      <c r="E1547" t="s">
        <v>42</v>
      </c>
      <c r="F1547" t="s">
        <v>50</v>
      </c>
      <c r="G1547" s="2">
        <v>45022</v>
      </c>
      <c r="H1547" s="3">
        <f t="shared" si="24"/>
        <v>2.7589041095890412</v>
      </c>
      <c r="I1547">
        <v>72</v>
      </c>
      <c r="J1547" t="s">
        <v>57</v>
      </c>
      <c r="K1547" t="s">
        <v>51</v>
      </c>
      <c r="L1547" t="s">
        <v>44</v>
      </c>
      <c r="M1547">
        <v>35.619999999999997</v>
      </c>
      <c r="N1547">
        <v>35.32</v>
      </c>
      <c r="T1547" t="s">
        <v>47</v>
      </c>
      <c r="U1547">
        <v>0</v>
      </c>
      <c r="V1547">
        <v>6</v>
      </c>
    </row>
    <row r="1548" spans="1:22" x14ac:dyDescent="0.3">
      <c r="A1548">
        <v>1547</v>
      </c>
      <c r="B1548">
        <v>47224</v>
      </c>
      <c r="C1548" s="2">
        <v>34839</v>
      </c>
      <c r="D1548">
        <v>30</v>
      </c>
      <c r="E1548" t="s">
        <v>42</v>
      </c>
      <c r="F1548" t="s">
        <v>37</v>
      </c>
      <c r="G1548" s="2">
        <v>45015</v>
      </c>
      <c r="H1548" s="3">
        <f t="shared" si="24"/>
        <v>2.3917808219178083</v>
      </c>
      <c r="I1548">
        <v>94</v>
      </c>
      <c r="J1548" t="s">
        <v>57</v>
      </c>
      <c r="K1548" t="s">
        <v>51</v>
      </c>
      <c r="L1548" t="s">
        <v>44</v>
      </c>
      <c r="M1548">
        <v>35.619999999999997</v>
      </c>
      <c r="N1548">
        <v>35.32</v>
      </c>
      <c r="T1548" t="s">
        <v>52</v>
      </c>
      <c r="U1548">
        <v>0</v>
      </c>
      <c r="V1548">
        <v>5</v>
      </c>
    </row>
    <row r="1549" spans="1:22" x14ac:dyDescent="0.3">
      <c r="A1549">
        <v>1548</v>
      </c>
      <c r="B1549">
        <v>47229</v>
      </c>
      <c r="C1549" s="2">
        <v>34566</v>
      </c>
      <c r="D1549">
        <v>31</v>
      </c>
      <c r="E1549" t="s">
        <v>36</v>
      </c>
      <c r="F1549" t="s">
        <v>50</v>
      </c>
      <c r="G1549" s="2">
        <v>45149</v>
      </c>
      <c r="H1549" s="3">
        <f t="shared" si="24"/>
        <v>2.0027397260273974</v>
      </c>
      <c r="I1549">
        <v>135</v>
      </c>
      <c r="J1549" t="s">
        <v>57</v>
      </c>
      <c r="K1549" t="s">
        <v>51</v>
      </c>
      <c r="L1549" t="s">
        <v>44</v>
      </c>
      <c r="M1549">
        <v>35.619999999999997</v>
      </c>
      <c r="N1549">
        <v>35.32</v>
      </c>
      <c r="T1549" t="s">
        <v>49</v>
      </c>
      <c r="U1549">
        <v>0</v>
      </c>
      <c r="V1549">
        <v>4</v>
      </c>
    </row>
    <row r="1550" spans="1:22" x14ac:dyDescent="0.3">
      <c r="A1550">
        <v>1549</v>
      </c>
      <c r="B1550">
        <v>47232</v>
      </c>
      <c r="C1550" s="2">
        <v>33380</v>
      </c>
      <c r="D1550">
        <v>34</v>
      </c>
      <c r="E1550" t="s">
        <v>36</v>
      </c>
      <c r="F1550" t="s">
        <v>50</v>
      </c>
      <c r="G1550" s="2">
        <v>45291</v>
      </c>
      <c r="H1550" s="3">
        <f t="shared" si="24"/>
        <v>2.6136986301369864</v>
      </c>
      <c r="I1550">
        <v>34</v>
      </c>
      <c r="J1550" t="s">
        <v>38</v>
      </c>
      <c r="K1550" t="s">
        <v>51</v>
      </c>
      <c r="L1550" t="s">
        <v>44</v>
      </c>
      <c r="M1550">
        <v>35.619999999999997</v>
      </c>
      <c r="N1550">
        <v>35.32</v>
      </c>
      <c r="T1550" t="s">
        <v>52</v>
      </c>
      <c r="U1550">
        <v>0</v>
      </c>
      <c r="V1550">
        <v>4</v>
      </c>
    </row>
    <row r="1551" spans="1:22" x14ac:dyDescent="0.3">
      <c r="A1551">
        <v>1550</v>
      </c>
      <c r="B1551">
        <v>47234</v>
      </c>
      <c r="C1551" s="2">
        <v>28813</v>
      </c>
      <c r="D1551">
        <v>47</v>
      </c>
      <c r="E1551" t="s">
        <v>42</v>
      </c>
      <c r="F1551" t="s">
        <v>50</v>
      </c>
      <c r="G1551" s="2">
        <v>45068</v>
      </c>
      <c r="H1551" s="3">
        <f t="shared" si="24"/>
        <v>2.4109589041095889</v>
      </c>
      <c r="I1551">
        <v>40</v>
      </c>
      <c r="J1551" t="s">
        <v>38</v>
      </c>
      <c r="K1551" t="s">
        <v>51</v>
      </c>
      <c r="L1551" t="s">
        <v>44</v>
      </c>
      <c r="M1551">
        <v>35.32</v>
      </c>
      <c r="N1551">
        <v>35.32</v>
      </c>
      <c r="T1551" t="s">
        <v>49</v>
      </c>
      <c r="U1551">
        <v>0</v>
      </c>
      <c r="V1551">
        <v>5</v>
      </c>
    </row>
    <row r="1552" spans="1:22" x14ac:dyDescent="0.3">
      <c r="A1552">
        <v>1551</v>
      </c>
      <c r="B1552">
        <v>47239</v>
      </c>
      <c r="C1552" s="2">
        <v>30908</v>
      </c>
      <c r="D1552">
        <v>41</v>
      </c>
      <c r="E1552" t="s">
        <v>42</v>
      </c>
      <c r="F1552" t="s">
        <v>50</v>
      </c>
      <c r="G1552" s="2">
        <v>45142</v>
      </c>
      <c r="H1552" s="3">
        <f t="shared" si="24"/>
        <v>2.5945205479452054</v>
      </c>
      <c r="I1552">
        <v>60</v>
      </c>
      <c r="J1552" t="s">
        <v>38</v>
      </c>
      <c r="K1552" t="s">
        <v>51</v>
      </c>
      <c r="L1552" t="s">
        <v>44</v>
      </c>
      <c r="M1552">
        <v>35.47</v>
      </c>
      <c r="N1552">
        <v>35.32</v>
      </c>
      <c r="T1552" t="s">
        <v>49</v>
      </c>
      <c r="U1552">
        <v>0</v>
      </c>
      <c r="V1552">
        <v>5</v>
      </c>
    </row>
    <row r="1553" spans="1:22" x14ac:dyDescent="0.3">
      <c r="A1553">
        <v>1552</v>
      </c>
      <c r="B1553">
        <v>47240</v>
      </c>
      <c r="C1553" s="2">
        <v>33037</v>
      </c>
      <c r="D1553">
        <v>35</v>
      </c>
      <c r="E1553" t="s">
        <v>36</v>
      </c>
      <c r="F1553" t="s">
        <v>50</v>
      </c>
      <c r="G1553" s="2">
        <v>45075</v>
      </c>
      <c r="H1553" s="3">
        <f t="shared" si="24"/>
        <v>2.3178082191780822</v>
      </c>
      <c r="I1553">
        <v>63</v>
      </c>
      <c r="J1553" t="s">
        <v>38</v>
      </c>
      <c r="K1553" t="s">
        <v>51</v>
      </c>
      <c r="L1553" t="s">
        <v>44</v>
      </c>
      <c r="M1553">
        <v>35.619999999999997</v>
      </c>
      <c r="N1553">
        <v>35.32</v>
      </c>
      <c r="T1553" t="s">
        <v>47</v>
      </c>
      <c r="U1553">
        <v>0</v>
      </c>
      <c r="V1553">
        <v>4</v>
      </c>
    </row>
    <row r="1554" spans="1:22" x14ac:dyDescent="0.3">
      <c r="A1554">
        <v>1553</v>
      </c>
      <c r="B1554">
        <v>47246</v>
      </c>
      <c r="C1554" s="2">
        <v>30903</v>
      </c>
      <c r="D1554">
        <v>41</v>
      </c>
      <c r="E1554" t="s">
        <v>36</v>
      </c>
      <c r="F1554" t="s">
        <v>50</v>
      </c>
      <c r="G1554" s="2">
        <v>45176</v>
      </c>
      <c r="H1554" s="3">
        <f t="shared" si="24"/>
        <v>2.3178082191780822</v>
      </c>
      <c r="I1554">
        <v>59</v>
      </c>
      <c r="J1554" t="s">
        <v>38</v>
      </c>
      <c r="K1554" t="s">
        <v>51</v>
      </c>
      <c r="L1554" t="s">
        <v>44</v>
      </c>
      <c r="M1554">
        <v>35.619999999999997</v>
      </c>
      <c r="N1554">
        <v>35.32</v>
      </c>
      <c r="T1554" t="s">
        <v>47</v>
      </c>
      <c r="U1554">
        <v>0</v>
      </c>
      <c r="V1554">
        <v>3</v>
      </c>
    </row>
    <row r="1555" spans="1:22" x14ac:dyDescent="0.3">
      <c r="A1555">
        <v>1554</v>
      </c>
      <c r="B1555">
        <v>47258</v>
      </c>
      <c r="C1555" s="2">
        <v>35099</v>
      </c>
      <c r="D1555">
        <v>29</v>
      </c>
      <c r="E1555" t="s">
        <v>42</v>
      </c>
      <c r="F1555" t="s">
        <v>50</v>
      </c>
      <c r="G1555" s="2">
        <v>45176</v>
      </c>
      <c r="H1555" s="3">
        <f t="shared" si="24"/>
        <v>2.2273972602739724</v>
      </c>
      <c r="I1555">
        <v>62</v>
      </c>
      <c r="J1555" t="s">
        <v>38</v>
      </c>
      <c r="K1555" t="s">
        <v>51</v>
      </c>
      <c r="L1555" t="s">
        <v>44</v>
      </c>
      <c r="M1555">
        <v>35.619999999999997</v>
      </c>
      <c r="N1555">
        <v>35.32</v>
      </c>
      <c r="T1555" t="s">
        <v>49</v>
      </c>
      <c r="U1555">
        <v>0</v>
      </c>
      <c r="V1555">
        <v>5</v>
      </c>
    </row>
    <row r="1556" spans="1:22" x14ac:dyDescent="0.3">
      <c r="A1556">
        <v>1555</v>
      </c>
      <c r="B1556">
        <v>47260</v>
      </c>
      <c r="C1556" s="2">
        <v>32590</v>
      </c>
      <c r="D1556">
        <v>36</v>
      </c>
      <c r="E1556" t="s">
        <v>36</v>
      </c>
      <c r="F1556" t="s">
        <v>50</v>
      </c>
      <c r="G1556" s="2">
        <v>45209</v>
      </c>
      <c r="H1556" s="3">
        <f t="shared" si="24"/>
        <v>2.0493150684931507</v>
      </c>
      <c r="I1556">
        <v>68</v>
      </c>
      <c r="J1556" t="s">
        <v>57</v>
      </c>
      <c r="K1556" t="s">
        <v>51</v>
      </c>
      <c r="L1556" t="s">
        <v>44</v>
      </c>
      <c r="M1556">
        <v>35.64</v>
      </c>
      <c r="N1556">
        <v>35.32</v>
      </c>
      <c r="T1556" t="s">
        <v>47</v>
      </c>
      <c r="U1556">
        <v>0</v>
      </c>
      <c r="V1556">
        <v>4</v>
      </c>
    </row>
    <row r="1557" spans="1:22" x14ac:dyDescent="0.3">
      <c r="A1557">
        <v>1556</v>
      </c>
      <c r="B1557">
        <v>47261</v>
      </c>
      <c r="C1557" s="2">
        <v>34899</v>
      </c>
      <c r="D1557">
        <v>30</v>
      </c>
      <c r="E1557" t="s">
        <v>36</v>
      </c>
      <c r="F1557" t="s">
        <v>50</v>
      </c>
      <c r="G1557" s="2">
        <v>45274</v>
      </c>
      <c r="H1557" s="3">
        <f t="shared" si="24"/>
        <v>1.989041095890411</v>
      </c>
      <c r="I1557">
        <v>82</v>
      </c>
      <c r="J1557" t="s">
        <v>57</v>
      </c>
      <c r="K1557" t="s">
        <v>51</v>
      </c>
      <c r="L1557" t="s">
        <v>44</v>
      </c>
      <c r="M1557">
        <v>35.619999999999997</v>
      </c>
      <c r="N1557">
        <v>35.32</v>
      </c>
      <c r="T1557" t="s">
        <v>52</v>
      </c>
      <c r="U1557">
        <v>0</v>
      </c>
      <c r="V1557">
        <v>5</v>
      </c>
    </row>
    <row r="1558" spans="1:22" x14ac:dyDescent="0.3">
      <c r="A1558">
        <v>1557</v>
      </c>
      <c r="B1558">
        <v>47272</v>
      </c>
      <c r="C1558" s="2">
        <v>36431</v>
      </c>
      <c r="D1558">
        <v>26</v>
      </c>
      <c r="E1558" t="s">
        <v>36</v>
      </c>
      <c r="F1558" t="s">
        <v>50</v>
      </c>
      <c r="G1558" s="2">
        <v>45296</v>
      </c>
      <c r="H1558" s="3">
        <f t="shared" si="24"/>
        <v>1.8465753424657534</v>
      </c>
      <c r="I1558">
        <v>95</v>
      </c>
      <c r="J1558" t="s">
        <v>57</v>
      </c>
      <c r="K1558" t="s">
        <v>53</v>
      </c>
      <c r="L1558" t="s">
        <v>44</v>
      </c>
      <c r="M1558">
        <v>23.33</v>
      </c>
      <c r="T1558" t="s">
        <v>47</v>
      </c>
      <c r="U1558">
        <v>3</v>
      </c>
      <c r="V1558">
        <v>6</v>
      </c>
    </row>
    <row r="1559" spans="1:22" x14ac:dyDescent="0.3">
      <c r="A1559">
        <v>1558</v>
      </c>
      <c r="B1559">
        <v>47275</v>
      </c>
      <c r="C1559" s="2">
        <v>35889</v>
      </c>
      <c r="D1559">
        <v>27</v>
      </c>
      <c r="E1559" t="s">
        <v>36</v>
      </c>
      <c r="F1559" t="s">
        <v>37</v>
      </c>
      <c r="G1559" s="2">
        <v>45348</v>
      </c>
      <c r="H1559" s="3">
        <f t="shared" si="24"/>
        <v>2.1315068493150684</v>
      </c>
      <c r="I1559">
        <v>69</v>
      </c>
      <c r="J1559" t="s">
        <v>57</v>
      </c>
      <c r="K1559" t="s">
        <v>53</v>
      </c>
      <c r="L1559" t="s">
        <v>44</v>
      </c>
      <c r="M1559">
        <v>23.42</v>
      </c>
      <c r="T1559" t="s">
        <v>52</v>
      </c>
      <c r="U1559">
        <v>2</v>
      </c>
      <c r="V1559">
        <v>3</v>
      </c>
    </row>
    <row r="1560" spans="1:22" x14ac:dyDescent="0.3">
      <c r="A1560">
        <v>1559</v>
      </c>
      <c r="B1560">
        <v>47278</v>
      </c>
      <c r="C1560" s="2">
        <v>35775</v>
      </c>
      <c r="D1560">
        <v>28</v>
      </c>
      <c r="E1560" t="s">
        <v>42</v>
      </c>
      <c r="F1560" t="s">
        <v>50</v>
      </c>
      <c r="G1560" s="2">
        <v>45244</v>
      </c>
      <c r="H1560" s="3">
        <f t="shared" si="24"/>
        <v>1.904109589041096</v>
      </c>
      <c r="I1560">
        <v>81</v>
      </c>
      <c r="J1560" t="s">
        <v>57</v>
      </c>
      <c r="K1560" t="s">
        <v>53</v>
      </c>
      <c r="L1560" t="s">
        <v>44</v>
      </c>
      <c r="M1560">
        <v>23.33</v>
      </c>
      <c r="N1560">
        <v>23.03</v>
      </c>
      <c r="T1560" t="s">
        <v>52</v>
      </c>
      <c r="U1560">
        <v>1</v>
      </c>
      <c r="V1560">
        <v>6</v>
      </c>
    </row>
    <row r="1561" spans="1:22" x14ac:dyDescent="0.3">
      <c r="A1561">
        <v>1560</v>
      </c>
      <c r="B1561">
        <v>47279</v>
      </c>
      <c r="C1561" s="2">
        <v>35773</v>
      </c>
      <c r="D1561">
        <v>28</v>
      </c>
      <c r="E1561" t="s">
        <v>36</v>
      </c>
      <c r="F1561" t="s">
        <v>37</v>
      </c>
      <c r="G1561" s="2">
        <v>45327</v>
      </c>
      <c r="H1561" s="3">
        <f t="shared" si="24"/>
        <v>2.1589041095890411</v>
      </c>
      <c r="I1561">
        <v>88</v>
      </c>
      <c r="J1561" t="s">
        <v>57</v>
      </c>
      <c r="K1561" t="s">
        <v>53</v>
      </c>
      <c r="L1561" t="s">
        <v>44</v>
      </c>
      <c r="M1561">
        <v>23.18</v>
      </c>
      <c r="T1561" t="s">
        <v>52</v>
      </c>
      <c r="U1561">
        <v>5</v>
      </c>
      <c r="V1561">
        <v>5</v>
      </c>
    </row>
    <row r="1562" spans="1:22" x14ac:dyDescent="0.3">
      <c r="A1562">
        <v>1561</v>
      </c>
      <c r="B1562">
        <v>47296</v>
      </c>
      <c r="C1562" s="2">
        <v>34307</v>
      </c>
      <c r="D1562">
        <v>32</v>
      </c>
      <c r="E1562" t="s">
        <v>36</v>
      </c>
      <c r="F1562" t="s">
        <v>37</v>
      </c>
      <c r="G1562" s="2">
        <v>45234</v>
      </c>
      <c r="H1562" s="3">
        <f t="shared" si="24"/>
        <v>2.7260273972602738</v>
      </c>
      <c r="I1562">
        <v>8</v>
      </c>
      <c r="J1562" t="s">
        <v>38</v>
      </c>
      <c r="K1562" t="s">
        <v>53</v>
      </c>
      <c r="L1562" t="s">
        <v>44</v>
      </c>
      <c r="M1562">
        <v>23.38</v>
      </c>
      <c r="N1562">
        <v>23.03</v>
      </c>
      <c r="T1562" t="s">
        <v>52</v>
      </c>
      <c r="U1562">
        <v>5</v>
      </c>
      <c r="V1562">
        <v>6</v>
      </c>
    </row>
    <row r="1563" spans="1:22" x14ac:dyDescent="0.3">
      <c r="A1563">
        <v>1562</v>
      </c>
      <c r="B1563">
        <v>47298</v>
      </c>
      <c r="C1563" s="2">
        <v>34640</v>
      </c>
      <c r="D1563">
        <v>31</v>
      </c>
      <c r="E1563" t="s">
        <v>36</v>
      </c>
      <c r="F1563" t="s">
        <v>50</v>
      </c>
      <c r="G1563" s="2">
        <v>45027</v>
      </c>
      <c r="H1563" s="3">
        <f t="shared" si="24"/>
        <v>1.8356164383561644</v>
      </c>
      <c r="I1563">
        <v>48</v>
      </c>
      <c r="J1563" t="s">
        <v>38</v>
      </c>
      <c r="K1563" t="s">
        <v>53</v>
      </c>
      <c r="L1563" t="s">
        <v>44</v>
      </c>
      <c r="M1563">
        <v>23.03</v>
      </c>
      <c r="N1563">
        <v>23.03</v>
      </c>
      <c r="T1563" t="s">
        <v>52</v>
      </c>
      <c r="U1563">
        <v>3</v>
      </c>
      <c r="V1563">
        <v>4</v>
      </c>
    </row>
    <row r="1564" spans="1:22" x14ac:dyDescent="0.3">
      <c r="A1564">
        <v>1563</v>
      </c>
      <c r="B1564">
        <v>47299</v>
      </c>
      <c r="C1564" s="2">
        <v>35063</v>
      </c>
      <c r="D1564">
        <v>30</v>
      </c>
      <c r="E1564" t="s">
        <v>36</v>
      </c>
      <c r="F1564" t="s">
        <v>37</v>
      </c>
      <c r="G1564" s="2">
        <v>45352</v>
      </c>
      <c r="H1564" s="3">
        <f t="shared" si="24"/>
        <v>1.9095890410958904</v>
      </c>
      <c r="I1564">
        <v>142</v>
      </c>
      <c r="J1564" t="s">
        <v>57</v>
      </c>
      <c r="K1564" t="s">
        <v>53</v>
      </c>
      <c r="L1564" t="s">
        <v>44</v>
      </c>
      <c r="M1564">
        <v>23.03</v>
      </c>
      <c r="T1564" t="s">
        <v>52</v>
      </c>
      <c r="U1564">
        <v>4</v>
      </c>
      <c r="V1564">
        <v>4</v>
      </c>
    </row>
    <row r="1565" spans="1:22" x14ac:dyDescent="0.3">
      <c r="A1565">
        <v>1564</v>
      </c>
      <c r="B1565">
        <v>47300</v>
      </c>
      <c r="C1565" s="2">
        <v>35700</v>
      </c>
      <c r="D1565">
        <v>28</v>
      </c>
      <c r="E1565" t="s">
        <v>36</v>
      </c>
      <c r="F1565" t="s">
        <v>37</v>
      </c>
      <c r="G1565" s="2">
        <v>45325</v>
      </c>
      <c r="H1565" s="3">
        <f t="shared" si="24"/>
        <v>1.893150684931507</v>
      </c>
      <c r="I1565">
        <v>95</v>
      </c>
      <c r="J1565" t="s">
        <v>57</v>
      </c>
      <c r="K1565" t="s">
        <v>53</v>
      </c>
      <c r="L1565" t="s">
        <v>44</v>
      </c>
      <c r="M1565">
        <v>23.33</v>
      </c>
      <c r="T1565" t="s">
        <v>52</v>
      </c>
      <c r="U1565">
        <v>3</v>
      </c>
      <c r="V1565">
        <v>5</v>
      </c>
    </row>
    <row r="1566" spans="1:22" x14ac:dyDescent="0.3">
      <c r="A1566">
        <v>1565</v>
      </c>
      <c r="B1566">
        <v>47306</v>
      </c>
      <c r="C1566" s="2">
        <v>33434</v>
      </c>
      <c r="D1566">
        <v>34</v>
      </c>
      <c r="E1566" t="s">
        <v>42</v>
      </c>
      <c r="F1566" t="s">
        <v>50</v>
      </c>
      <c r="G1566" s="2">
        <v>45331</v>
      </c>
      <c r="H1566" s="3">
        <f t="shared" si="24"/>
        <v>2.0493150684931507</v>
      </c>
      <c r="I1566">
        <v>22</v>
      </c>
      <c r="J1566" t="s">
        <v>38</v>
      </c>
      <c r="K1566" t="s">
        <v>53</v>
      </c>
      <c r="L1566" t="s">
        <v>44</v>
      </c>
      <c r="M1566">
        <v>23.18</v>
      </c>
      <c r="T1566" t="s">
        <v>52</v>
      </c>
      <c r="U1566">
        <v>1</v>
      </c>
      <c r="V1566">
        <v>7</v>
      </c>
    </row>
    <row r="1567" spans="1:22" x14ac:dyDescent="0.3">
      <c r="A1567">
        <v>1566</v>
      </c>
      <c r="B1567">
        <v>47307</v>
      </c>
      <c r="C1567" s="2">
        <v>34866</v>
      </c>
      <c r="D1567">
        <v>30</v>
      </c>
      <c r="E1567" t="s">
        <v>42</v>
      </c>
      <c r="F1567" t="s">
        <v>37</v>
      </c>
      <c r="G1567" s="2">
        <v>45274</v>
      </c>
      <c r="H1567" s="3">
        <f t="shared" si="24"/>
        <v>1.9479452054794522</v>
      </c>
      <c r="I1567">
        <v>31</v>
      </c>
      <c r="J1567" t="s">
        <v>38</v>
      </c>
      <c r="K1567" t="s">
        <v>53</v>
      </c>
      <c r="L1567" t="s">
        <v>44</v>
      </c>
      <c r="M1567">
        <v>23.18</v>
      </c>
      <c r="N1567">
        <v>23.03</v>
      </c>
      <c r="T1567" t="s">
        <v>52</v>
      </c>
      <c r="U1567">
        <v>4</v>
      </c>
      <c r="V1567">
        <v>7</v>
      </c>
    </row>
    <row r="1568" spans="1:22" x14ac:dyDescent="0.3">
      <c r="A1568">
        <v>1567</v>
      </c>
      <c r="B1568">
        <v>47310</v>
      </c>
      <c r="C1568" s="2">
        <v>35792</v>
      </c>
      <c r="D1568">
        <v>28</v>
      </c>
      <c r="E1568" t="s">
        <v>36</v>
      </c>
      <c r="F1568" t="s">
        <v>50</v>
      </c>
      <c r="G1568" s="2">
        <v>45311</v>
      </c>
      <c r="H1568" s="3">
        <f t="shared" si="24"/>
        <v>2.506849315068493</v>
      </c>
      <c r="I1568">
        <v>4</v>
      </c>
      <c r="J1568" t="s">
        <v>38</v>
      </c>
      <c r="K1568" t="s">
        <v>53</v>
      </c>
      <c r="L1568" t="s">
        <v>44</v>
      </c>
      <c r="M1568">
        <v>23.33</v>
      </c>
      <c r="T1568" t="s">
        <v>49</v>
      </c>
      <c r="U1568">
        <v>4</v>
      </c>
      <c r="V1568">
        <v>6</v>
      </c>
    </row>
    <row r="1569" spans="1:22" x14ac:dyDescent="0.3">
      <c r="A1569">
        <v>1568</v>
      </c>
      <c r="B1569">
        <v>47317</v>
      </c>
      <c r="C1569" s="2">
        <v>36443</v>
      </c>
      <c r="D1569">
        <v>26</v>
      </c>
      <c r="E1569" t="s">
        <v>36</v>
      </c>
      <c r="F1569" t="s">
        <v>50</v>
      </c>
      <c r="G1569" s="2">
        <v>45107</v>
      </c>
      <c r="H1569" s="3">
        <f t="shared" si="24"/>
        <v>2.4273972602739726</v>
      </c>
      <c r="I1569">
        <v>35</v>
      </c>
      <c r="J1569" t="s">
        <v>38</v>
      </c>
      <c r="K1569" t="s">
        <v>53</v>
      </c>
      <c r="L1569" t="s">
        <v>44</v>
      </c>
      <c r="M1569">
        <v>23.33</v>
      </c>
      <c r="N1569">
        <v>23.03</v>
      </c>
      <c r="T1569" t="s">
        <v>47</v>
      </c>
      <c r="U1569">
        <v>4</v>
      </c>
      <c r="V1569">
        <v>5</v>
      </c>
    </row>
    <row r="1570" spans="1:22" x14ac:dyDescent="0.3">
      <c r="A1570">
        <v>1569</v>
      </c>
      <c r="B1570">
        <v>47325</v>
      </c>
      <c r="C1570" s="2">
        <v>32718</v>
      </c>
      <c r="D1570">
        <v>36</v>
      </c>
      <c r="E1570" t="s">
        <v>36</v>
      </c>
      <c r="F1570" t="s">
        <v>50</v>
      </c>
      <c r="G1570" s="2">
        <v>45136</v>
      </c>
      <c r="H1570" s="3">
        <f t="shared" si="24"/>
        <v>2.6821917808219178</v>
      </c>
      <c r="I1570">
        <v>111</v>
      </c>
      <c r="J1570" t="s">
        <v>57</v>
      </c>
      <c r="K1570" t="s">
        <v>53</v>
      </c>
      <c r="L1570" t="s">
        <v>44</v>
      </c>
      <c r="M1570">
        <v>23.33</v>
      </c>
      <c r="N1570">
        <v>23.03</v>
      </c>
      <c r="T1570" t="s">
        <v>47</v>
      </c>
      <c r="U1570">
        <v>4</v>
      </c>
      <c r="V1570">
        <v>4</v>
      </c>
    </row>
    <row r="1571" spans="1:22" x14ac:dyDescent="0.3">
      <c r="A1571">
        <v>1570</v>
      </c>
      <c r="B1571">
        <v>47330</v>
      </c>
      <c r="C1571" s="2">
        <v>36340</v>
      </c>
      <c r="D1571">
        <v>26</v>
      </c>
      <c r="E1571" t="s">
        <v>36</v>
      </c>
      <c r="F1571" t="s">
        <v>50</v>
      </c>
      <c r="G1571" s="2">
        <v>45043</v>
      </c>
      <c r="H1571" s="3">
        <f t="shared" si="24"/>
        <v>2.2219178082191782</v>
      </c>
      <c r="I1571">
        <v>32</v>
      </c>
      <c r="J1571" t="s">
        <v>38</v>
      </c>
      <c r="K1571" t="s">
        <v>53</v>
      </c>
      <c r="L1571" t="s">
        <v>44</v>
      </c>
      <c r="M1571">
        <v>23.33</v>
      </c>
      <c r="N1571">
        <v>23.03</v>
      </c>
      <c r="T1571" t="s">
        <v>47</v>
      </c>
      <c r="U1571">
        <v>5</v>
      </c>
      <c r="V1571">
        <v>5</v>
      </c>
    </row>
    <row r="1572" spans="1:22" x14ac:dyDescent="0.3">
      <c r="A1572">
        <v>1571</v>
      </c>
      <c r="B1572">
        <v>47331</v>
      </c>
      <c r="C1572" s="2">
        <v>35295</v>
      </c>
      <c r="D1572">
        <v>29</v>
      </c>
      <c r="E1572" t="s">
        <v>36</v>
      </c>
      <c r="F1572" t="s">
        <v>50</v>
      </c>
      <c r="G1572" s="2">
        <v>45211</v>
      </c>
      <c r="H1572" s="3">
        <f t="shared" si="24"/>
        <v>2.2684931506849315</v>
      </c>
      <c r="I1572">
        <v>33</v>
      </c>
      <c r="J1572" t="s">
        <v>38</v>
      </c>
      <c r="K1572" t="s">
        <v>53</v>
      </c>
      <c r="L1572" t="s">
        <v>44</v>
      </c>
      <c r="M1572">
        <v>23.31</v>
      </c>
      <c r="N1572">
        <v>23.03</v>
      </c>
      <c r="T1572" t="s">
        <v>47</v>
      </c>
      <c r="U1572">
        <v>2</v>
      </c>
      <c r="V1572">
        <v>5</v>
      </c>
    </row>
    <row r="1573" spans="1:22" x14ac:dyDescent="0.3">
      <c r="A1573">
        <v>1572</v>
      </c>
      <c r="B1573">
        <v>47332</v>
      </c>
      <c r="C1573" s="2">
        <v>34908</v>
      </c>
      <c r="D1573">
        <v>30</v>
      </c>
      <c r="E1573" t="s">
        <v>36</v>
      </c>
      <c r="F1573" t="s">
        <v>50</v>
      </c>
      <c r="G1573" s="2">
        <v>45194</v>
      </c>
      <c r="H1573" s="3">
        <f t="shared" si="24"/>
        <v>2.5835616438356164</v>
      </c>
      <c r="I1573">
        <v>65</v>
      </c>
      <c r="J1573" t="s">
        <v>38</v>
      </c>
      <c r="K1573" t="s">
        <v>53</v>
      </c>
      <c r="L1573" t="s">
        <v>44</v>
      </c>
      <c r="M1573">
        <v>23.18</v>
      </c>
      <c r="N1573">
        <v>23.03</v>
      </c>
      <c r="T1573" t="s">
        <v>52</v>
      </c>
      <c r="U1573">
        <v>3</v>
      </c>
      <c r="V1573">
        <v>6</v>
      </c>
    </row>
    <row r="1574" spans="1:22" x14ac:dyDescent="0.3">
      <c r="A1574">
        <v>1573</v>
      </c>
      <c r="B1574">
        <v>47333</v>
      </c>
      <c r="C1574" s="2">
        <v>33729</v>
      </c>
      <c r="D1574">
        <v>33</v>
      </c>
      <c r="E1574" t="s">
        <v>36</v>
      </c>
      <c r="F1574" t="s">
        <v>50</v>
      </c>
      <c r="G1574" s="2">
        <v>45079</v>
      </c>
      <c r="H1574" s="3">
        <f t="shared" si="24"/>
        <v>2.6575342465753424</v>
      </c>
      <c r="I1574">
        <v>105</v>
      </c>
      <c r="J1574" t="s">
        <v>57</v>
      </c>
      <c r="K1574" t="s">
        <v>53</v>
      </c>
      <c r="L1574" t="s">
        <v>44</v>
      </c>
      <c r="M1574">
        <v>23.33</v>
      </c>
      <c r="N1574">
        <v>23.03</v>
      </c>
      <c r="T1574" t="s">
        <v>47</v>
      </c>
      <c r="U1574">
        <v>4</v>
      </c>
      <c r="V1574">
        <v>5</v>
      </c>
    </row>
    <row r="1575" spans="1:22" x14ac:dyDescent="0.3">
      <c r="A1575">
        <v>1574</v>
      </c>
      <c r="B1575">
        <v>47339</v>
      </c>
      <c r="C1575" s="2">
        <v>35798</v>
      </c>
      <c r="D1575">
        <v>27</v>
      </c>
      <c r="E1575" t="s">
        <v>36</v>
      </c>
      <c r="F1575" t="s">
        <v>37</v>
      </c>
      <c r="G1575" s="2">
        <v>45052</v>
      </c>
      <c r="H1575" s="3">
        <f t="shared" si="24"/>
        <v>1.9178082191780821</v>
      </c>
      <c r="I1575">
        <v>37</v>
      </c>
      <c r="J1575" t="s">
        <v>38</v>
      </c>
      <c r="K1575" t="s">
        <v>53</v>
      </c>
      <c r="L1575" t="s">
        <v>44</v>
      </c>
      <c r="M1575">
        <v>23.4</v>
      </c>
      <c r="N1575">
        <v>23.03</v>
      </c>
      <c r="T1575" t="s">
        <v>52</v>
      </c>
      <c r="U1575">
        <v>4</v>
      </c>
      <c r="V1575">
        <v>4</v>
      </c>
    </row>
    <row r="1576" spans="1:22" x14ac:dyDescent="0.3">
      <c r="A1576">
        <v>1575</v>
      </c>
      <c r="B1576">
        <v>47343</v>
      </c>
      <c r="C1576" s="2">
        <v>36441</v>
      </c>
      <c r="D1576">
        <v>26</v>
      </c>
      <c r="E1576" t="s">
        <v>42</v>
      </c>
      <c r="F1576" t="s">
        <v>50</v>
      </c>
      <c r="G1576" s="2">
        <v>45322</v>
      </c>
      <c r="H1576" s="3">
        <f t="shared" si="24"/>
        <v>2.4438356164383563</v>
      </c>
      <c r="I1576">
        <v>41</v>
      </c>
      <c r="J1576" t="s">
        <v>38</v>
      </c>
      <c r="K1576" t="s">
        <v>53</v>
      </c>
      <c r="L1576" t="s">
        <v>44</v>
      </c>
      <c r="M1576">
        <v>23.33</v>
      </c>
      <c r="T1576" t="s">
        <v>45</v>
      </c>
      <c r="U1576">
        <v>4</v>
      </c>
      <c r="V1576">
        <v>7</v>
      </c>
    </row>
    <row r="1577" spans="1:22" x14ac:dyDescent="0.3">
      <c r="A1577">
        <v>1576</v>
      </c>
      <c r="B1577">
        <v>47345</v>
      </c>
      <c r="C1577" s="2">
        <v>35150</v>
      </c>
      <c r="D1577">
        <v>29</v>
      </c>
      <c r="E1577" t="s">
        <v>36</v>
      </c>
      <c r="F1577" t="s">
        <v>37</v>
      </c>
      <c r="G1577" s="2">
        <v>45130</v>
      </c>
      <c r="H1577" s="3">
        <f t="shared" si="24"/>
        <v>2.0904109589041098</v>
      </c>
      <c r="I1577">
        <v>118</v>
      </c>
      <c r="J1577" t="s">
        <v>57</v>
      </c>
      <c r="K1577" t="s">
        <v>53</v>
      </c>
      <c r="L1577" t="s">
        <v>44</v>
      </c>
      <c r="M1577">
        <v>23.33</v>
      </c>
      <c r="N1577">
        <v>23.03</v>
      </c>
      <c r="T1577" t="s">
        <v>47</v>
      </c>
      <c r="U1577">
        <v>1</v>
      </c>
      <c r="V1577">
        <v>2</v>
      </c>
    </row>
    <row r="1578" spans="1:22" x14ac:dyDescent="0.3">
      <c r="A1578">
        <v>1577</v>
      </c>
      <c r="B1578">
        <v>47347</v>
      </c>
      <c r="C1578" s="2">
        <v>34174</v>
      </c>
      <c r="D1578">
        <v>32</v>
      </c>
      <c r="E1578" t="s">
        <v>36</v>
      </c>
      <c r="F1578" t="s">
        <v>50</v>
      </c>
      <c r="G1578" s="2">
        <v>45259</v>
      </c>
      <c r="H1578" s="3">
        <f t="shared" si="24"/>
        <v>2.2684931506849315</v>
      </c>
      <c r="I1578">
        <v>103</v>
      </c>
      <c r="J1578" t="s">
        <v>57</v>
      </c>
      <c r="K1578" t="s">
        <v>53</v>
      </c>
      <c r="L1578" t="s">
        <v>44</v>
      </c>
      <c r="M1578">
        <v>23.18</v>
      </c>
      <c r="N1578">
        <v>23.03</v>
      </c>
      <c r="T1578" t="s">
        <v>52</v>
      </c>
      <c r="U1578">
        <v>3</v>
      </c>
      <c r="V1578">
        <v>5</v>
      </c>
    </row>
    <row r="1579" spans="1:22" x14ac:dyDescent="0.3">
      <c r="A1579">
        <v>1578</v>
      </c>
      <c r="B1579">
        <v>47352</v>
      </c>
      <c r="C1579" s="2">
        <v>36861</v>
      </c>
      <c r="D1579">
        <v>26</v>
      </c>
      <c r="E1579" t="s">
        <v>36</v>
      </c>
      <c r="F1579" t="s">
        <v>50</v>
      </c>
      <c r="G1579" s="2">
        <v>45194</v>
      </c>
      <c r="H1579" s="3">
        <f t="shared" si="24"/>
        <v>2.515068493150685</v>
      </c>
      <c r="I1579">
        <v>112</v>
      </c>
      <c r="J1579" t="s">
        <v>57</v>
      </c>
      <c r="K1579" t="s">
        <v>53</v>
      </c>
      <c r="L1579" t="s">
        <v>44</v>
      </c>
      <c r="M1579">
        <v>23.33</v>
      </c>
      <c r="N1579">
        <v>23.03</v>
      </c>
      <c r="T1579" t="s">
        <v>49</v>
      </c>
      <c r="U1579">
        <v>1</v>
      </c>
      <c r="V1579">
        <v>5</v>
      </c>
    </row>
    <row r="1580" spans="1:22" x14ac:dyDescent="0.3">
      <c r="A1580">
        <v>1579</v>
      </c>
      <c r="B1580">
        <v>47356</v>
      </c>
      <c r="C1580" s="2">
        <v>34691</v>
      </c>
      <c r="D1580">
        <v>31</v>
      </c>
      <c r="E1580" t="s">
        <v>42</v>
      </c>
      <c r="F1580" t="s">
        <v>50</v>
      </c>
      <c r="G1580" s="2">
        <v>45104</v>
      </c>
      <c r="H1580" s="3">
        <f t="shared" si="24"/>
        <v>2.8219178082191783</v>
      </c>
      <c r="I1580">
        <v>33</v>
      </c>
      <c r="J1580" t="s">
        <v>38</v>
      </c>
      <c r="K1580" t="s">
        <v>53</v>
      </c>
      <c r="L1580" t="s">
        <v>44</v>
      </c>
      <c r="M1580">
        <v>23.36</v>
      </c>
      <c r="N1580">
        <v>23.03</v>
      </c>
      <c r="T1580" t="s">
        <v>47</v>
      </c>
      <c r="U1580">
        <v>2</v>
      </c>
      <c r="V1580">
        <v>6</v>
      </c>
    </row>
    <row r="1581" spans="1:22" x14ac:dyDescent="0.3">
      <c r="A1581">
        <v>1580</v>
      </c>
      <c r="B1581">
        <v>47360</v>
      </c>
      <c r="C1581" s="2">
        <v>35341</v>
      </c>
      <c r="D1581">
        <v>29</v>
      </c>
      <c r="E1581" t="s">
        <v>36</v>
      </c>
      <c r="F1581" t="s">
        <v>50</v>
      </c>
      <c r="G1581" s="2">
        <v>44992</v>
      </c>
      <c r="H1581" s="3">
        <f t="shared" si="24"/>
        <v>2.6328767123287671</v>
      </c>
      <c r="I1581">
        <v>119</v>
      </c>
      <c r="J1581" t="s">
        <v>57</v>
      </c>
      <c r="K1581" t="s">
        <v>53</v>
      </c>
      <c r="L1581" t="s">
        <v>44</v>
      </c>
      <c r="M1581">
        <v>23.33</v>
      </c>
      <c r="N1581">
        <v>23.03</v>
      </c>
      <c r="T1581" t="s">
        <v>52</v>
      </c>
      <c r="U1581">
        <v>3</v>
      </c>
      <c r="V1581">
        <v>4</v>
      </c>
    </row>
    <row r="1582" spans="1:22" x14ac:dyDescent="0.3">
      <c r="A1582">
        <v>1581</v>
      </c>
      <c r="B1582">
        <v>47366</v>
      </c>
      <c r="C1582" s="2">
        <v>35424</v>
      </c>
      <c r="D1582">
        <v>29</v>
      </c>
      <c r="E1582" t="s">
        <v>36</v>
      </c>
      <c r="F1582" t="s">
        <v>37</v>
      </c>
      <c r="G1582" s="2">
        <v>45061</v>
      </c>
      <c r="H1582" s="3">
        <f t="shared" si="24"/>
        <v>2.43013698630137</v>
      </c>
      <c r="I1582">
        <v>69</v>
      </c>
      <c r="J1582" t="s">
        <v>57</v>
      </c>
      <c r="K1582" t="s">
        <v>53</v>
      </c>
      <c r="L1582" t="s">
        <v>44</v>
      </c>
      <c r="M1582">
        <v>23.25</v>
      </c>
      <c r="N1582">
        <v>23.03</v>
      </c>
      <c r="T1582" t="s">
        <v>45</v>
      </c>
      <c r="U1582">
        <v>3</v>
      </c>
      <c r="V1582">
        <v>4</v>
      </c>
    </row>
    <row r="1583" spans="1:22" x14ac:dyDescent="0.3">
      <c r="A1583">
        <v>1582</v>
      </c>
      <c r="B1583">
        <v>47371</v>
      </c>
      <c r="C1583" s="2">
        <v>35225</v>
      </c>
      <c r="D1583">
        <v>29</v>
      </c>
      <c r="E1583" t="s">
        <v>36</v>
      </c>
      <c r="F1583" t="s">
        <v>50</v>
      </c>
      <c r="G1583" s="2">
        <v>45135</v>
      </c>
      <c r="H1583" s="3">
        <f t="shared" si="24"/>
        <v>2.526027397260274</v>
      </c>
      <c r="I1583">
        <v>75</v>
      </c>
      <c r="J1583" t="s">
        <v>57</v>
      </c>
      <c r="K1583" t="s">
        <v>53</v>
      </c>
      <c r="L1583" t="s">
        <v>44</v>
      </c>
      <c r="M1583">
        <v>23.33</v>
      </c>
      <c r="N1583">
        <v>23.03</v>
      </c>
      <c r="T1583" t="s">
        <v>49</v>
      </c>
      <c r="U1583">
        <v>3</v>
      </c>
      <c r="V1583">
        <v>5</v>
      </c>
    </row>
    <row r="1584" spans="1:22" x14ac:dyDescent="0.3">
      <c r="A1584">
        <v>1583</v>
      </c>
      <c r="B1584">
        <v>47373</v>
      </c>
      <c r="C1584" s="2">
        <v>35612</v>
      </c>
      <c r="D1584">
        <v>29</v>
      </c>
      <c r="E1584" t="s">
        <v>42</v>
      </c>
      <c r="F1584" t="s">
        <v>50</v>
      </c>
      <c r="G1584" s="2">
        <v>45100</v>
      </c>
      <c r="H1584" s="3">
        <f t="shared" si="24"/>
        <v>2.7972602739726029</v>
      </c>
      <c r="I1584">
        <v>88</v>
      </c>
      <c r="J1584" t="s">
        <v>57</v>
      </c>
      <c r="K1584" t="s">
        <v>53</v>
      </c>
      <c r="L1584" t="s">
        <v>44</v>
      </c>
      <c r="M1584">
        <v>23.18</v>
      </c>
      <c r="N1584">
        <v>23.03</v>
      </c>
      <c r="T1584" t="s">
        <v>47</v>
      </c>
      <c r="U1584">
        <v>4</v>
      </c>
      <c r="V1584">
        <v>7</v>
      </c>
    </row>
    <row r="1585" spans="1:22" x14ac:dyDescent="0.3">
      <c r="A1585">
        <v>1584</v>
      </c>
      <c r="B1585">
        <v>47378</v>
      </c>
      <c r="C1585" s="2">
        <v>35889</v>
      </c>
      <c r="D1585">
        <v>27</v>
      </c>
      <c r="E1585" t="s">
        <v>36</v>
      </c>
      <c r="F1585" t="s">
        <v>50</v>
      </c>
      <c r="G1585" s="2">
        <v>45001</v>
      </c>
      <c r="H1585" s="3">
        <f t="shared" si="24"/>
        <v>1.8821917808219177</v>
      </c>
      <c r="I1585">
        <v>46</v>
      </c>
      <c r="J1585" t="s">
        <v>38</v>
      </c>
      <c r="K1585" t="s">
        <v>53</v>
      </c>
      <c r="L1585" t="s">
        <v>44</v>
      </c>
      <c r="M1585">
        <v>23.42</v>
      </c>
      <c r="N1585">
        <v>23.03</v>
      </c>
      <c r="T1585" t="s">
        <v>52</v>
      </c>
      <c r="U1585">
        <v>5</v>
      </c>
      <c r="V1585">
        <v>6</v>
      </c>
    </row>
    <row r="1586" spans="1:22" x14ac:dyDescent="0.3">
      <c r="A1586">
        <v>1585</v>
      </c>
      <c r="B1586">
        <v>47380</v>
      </c>
      <c r="C1586" s="2">
        <v>35444</v>
      </c>
      <c r="D1586">
        <v>28</v>
      </c>
      <c r="E1586" t="s">
        <v>36</v>
      </c>
      <c r="F1586" t="s">
        <v>50</v>
      </c>
      <c r="G1586" s="2">
        <v>45335</v>
      </c>
      <c r="H1586" s="3">
        <f t="shared" si="24"/>
        <v>2.0767123287671234</v>
      </c>
      <c r="I1586">
        <v>101</v>
      </c>
      <c r="J1586" t="s">
        <v>57</v>
      </c>
      <c r="K1586" t="s">
        <v>53</v>
      </c>
      <c r="L1586" t="s">
        <v>44</v>
      </c>
      <c r="M1586">
        <v>23.33</v>
      </c>
      <c r="T1586" t="s">
        <v>49</v>
      </c>
      <c r="U1586">
        <v>4</v>
      </c>
      <c r="V1586">
        <v>5</v>
      </c>
    </row>
    <row r="1587" spans="1:22" x14ac:dyDescent="0.3">
      <c r="A1587">
        <v>1586</v>
      </c>
      <c r="B1587">
        <v>47388</v>
      </c>
      <c r="C1587" s="2">
        <v>36154</v>
      </c>
      <c r="D1587">
        <v>27</v>
      </c>
      <c r="E1587" t="s">
        <v>36</v>
      </c>
      <c r="F1587" t="s">
        <v>50</v>
      </c>
      <c r="G1587" s="2">
        <v>45264</v>
      </c>
      <c r="H1587" s="3">
        <f t="shared" si="24"/>
        <v>1.9232876712328768</v>
      </c>
      <c r="I1587">
        <v>16</v>
      </c>
      <c r="J1587" t="s">
        <v>38</v>
      </c>
      <c r="K1587" t="s">
        <v>53</v>
      </c>
      <c r="L1587" t="s">
        <v>44</v>
      </c>
      <c r="M1587">
        <v>23.33</v>
      </c>
      <c r="N1587">
        <v>23.03</v>
      </c>
      <c r="T1587" t="s">
        <v>49</v>
      </c>
      <c r="U1587">
        <v>4</v>
      </c>
      <c r="V1587">
        <v>4</v>
      </c>
    </row>
    <row r="1588" spans="1:22" x14ac:dyDescent="0.3">
      <c r="A1588">
        <v>1587</v>
      </c>
      <c r="B1588">
        <v>47390</v>
      </c>
      <c r="C1588" s="2">
        <v>36017</v>
      </c>
      <c r="D1588">
        <v>27</v>
      </c>
      <c r="E1588" t="s">
        <v>36</v>
      </c>
      <c r="F1588" t="s">
        <v>50</v>
      </c>
      <c r="G1588" s="2">
        <v>45320</v>
      </c>
      <c r="H1588" s="3">
        <f t="shared" si="24"/>
        <v>1.9616438356164383</v>
      </c>
      <c r="I1588">
        <v>42</v>
      </c>
      <c r="J1588" t="s">
        <v>38</v>
      </c>
      <c r="K1588" t="s">
        <v>53</v>
      </c>
      <c r="L1588" t="s">
        <v>44</v>
      </c>
      <c r="M1588">
        <v>23.18</v>
      </c>
      <c r="T1588" t="s">
        <v>52</v>
      </c>
      <c r="U1588">
        <v>3</v>
      </c>
      <c r="V1588">
        <v>4</v>
      </c>
    </row>
    <row r="1589" spans="1:22" x14ac:dyDescent="0.3">
      <c r="A1589">
        <v>1588</v>
      </c>
      <c r="B1589">
        <v>47399</v>
      </c>
      <c r="C1589" s="2">
        <v>33595</v>
      </c>
      <c r="D1589">
        <v>34</v>
      </c>
      <c r="E1589" t="s">
        <v>42</v>
      </c>
      <c r="F1589" t="s">
        <v>50</v>
      </c>
      <c r="G1589" s="2">
        <v>45306</v>
      </c>
      <c r="H1589" s="3">
        <f t="shared" si="24"/>
        <v>2.526027397260274</v>
      </c>
      <c r="I1589">
        <v>113</v>
      </c>
      <c r="J1589" t="s">
        <v>57</v>
      </c>
      <c r="K1589" t="s">
        <v>53</v>
      </c>
      <c r="L1589" t="s">
        <v>44</v>
      </c>
      <c r="M1589">
        <v>23.03</v>
      </c>
      <c r="T1589" t="s">
        <v>52</v>
      </c>
      <c r="U1589">
        <v>5</v>
      </c>
      <c r="V1589">
        <v>7</v>
      </c>
    </row>
    <row r="1590" spans="1:22" x14ac:dyDescent="0.3">
      <c r="A1590">
        <v>1589</v>
      </c>
      <c r="B1590">
        <v>47415</v>
      </c>
      <c r="C1590" s="2">
        <v>35471</v>
      </c>
      <c r="D1590">
        <v>28</v>
      </c>
      <c r="E1590" t="s">
        <v>36</v>
      </c>
      <c r="F1590" t="s">
        <v>37</v>
      </c>
      <c r="G1590" s="2">
        <v>45100</v>
      </c>
      <c r="H1590" s="3">
        <f t="shared" si="24"/>
        <v>2.2136986301369861</v>
      </c>
      <c r="I1590">
        <v>144</v>
      </c>
      <c r="J1590" t="s">
        <v>57</v>
      </c>
      <c r="K1590" t="s">
        <v>53</v>
      </c>
      <c r="L1590" t="s">
        <v>44</v>
      </c>
      <c r="M1590">
        <v>23.47</v>
      </c>
      <c r="N1590">
        <v>23.03</v>
      </c>
      <c r="T1590" t="s">
        <v>49</v>
      </c>
      <c r="U1590">
        <v>6</v>
      </c>
      <c r="V1590">
        <v>4</v>
      </c>
    </row>
    <row r="1591" spans="1:22" x14ac:dyDescent="0.3">
      <c r="A1591">
        <v>1590</v>
      </c>
      <c r="B1591">
        <v>47417</v>
      </c>
      <c r="C1591" s="2">
        <v>33299</v>
      </c>
      <c r="D1591">
        <v>34</v>
      </c>
      <c r="E1591" t="s">
        <v>42</v>
      </c>
      <c r="F1591" t="s">
        <v>37</v>
      </c>
      <c r="G1591" s="2">
        <v>45214</v>
      </c>
      <c r="H1591" s="3">
        <f t="shared" si="24"/>
        <v>2.0602739726027397</v>
      </c>
      <c r="I1591">
        <v>63</v>
      </c>
      <c r="J1591" t="s">
        <v>38</v>
      </c>
      <c r="K1591" t="s">
        <v>53</v>
      </c>
      <c r="L1591" t="s">
        <v>44</v>
      </c>
      <c r="M1591">
        <v>23.33</v>
      </c>
      <c r="N1591">
        <v>23.03</v>
      </c>
      <c r="T1591" t="s">
        <v>49</v>
      </c>
      <c r="U1591">
        <v>3</v>
      </c>
      <c r="V1591">
        <v>7</v>
      </c>
    </row>
    <row r="1592" spans="1:22" x14ac:dyDescent="0.3">
      <c r="A1592">
        <v>1591</v>
      </c>
      <c r="B1592">
        <v>47418</v>
      </c>
      <c r="C1592" s="2">
        <v>35043</v>
      </c>
      <c r="D1592">
        <v>30</v>
      </c>
      <c r="E1592" t="s">
        <v>36</v>
      </c>
      <c r="F1592" t="s">
        <v>50</v>
      </c>
      <c r="G1592" s="2">
        <v>45270</v>
      </c>
      <c r="H1592" s="3">
        <f t="shared" si="24"/>
        <v>1.8821917808219177</v>
      </c>
      <c r="I1592">
        <v>104</v>
      </c>
      <c r="J1592" t="s">
        <v>57</v>
      </c>
      <c r="K1592" t="s">
        <v>53</v>
      </c>
      <c r="L1592" t="s">
        <v>44</v>
      </c>
      <c r="M1592">
        <v>23.36</v>
      </c>
      <c r="N1592">
        <v>23.03</v>
      </c>
      <c r="T1592" t="s">
        <v>45</v>
      </c>
      <c r="U1592">
        <v>6</v>
      </c>
      <c r="V1592">
        <v>5</v>
      </c>
    </row>
    <row r="1593" spans="1:22" x14ac:dyDescent="0.3">
      <c r="A1593">
        <v>1592</v>
      </c>
      <c r="B1593">
        <v>47419</v>
      </c>
      <c r="C1593" s="2">
        <v>32939</v>
      </c>
      <c r="D1593">
        <v>35</v>
      </c>
      <c r="E1593" t="s">
        <v>36</v>
      </c>
      <c r="F1593" t="s">
        <v>50</v>
      </c>
      <c r="G1593" s="2">
        <v>45335</v>
      </c>
      <c r="H1593" s="3">
        <f t="shared" si="24"/>
        <v>2.7178082191780821</v>
      </c>
      <c r="I1593">
        <v>125</v>
      </c>
      <c r="J1593" t="s">
        <v>57</v>
      </c>
      <c r="K1593" t="s">
        <v>53</v>
      </c>
      <c r="L1593" t="s">
        <v>44</v>
      </c>
      <c r="M1593">
        <v>23.18</v>
      </c>
      <c r="T1593" t="s">
        <v>49</v>
      </c>
      <c r="U1593">
        <v>2</v>
      </c>
      <c r="V1593">
        <v>5</v>
      </c>
    </row>
    <row r="1594" spans="1:22" x14ac:dyDescent="0.3">
      <c r="A1594">
        <v>1593</v>
      </c>
      <c r="B1594">
        <v>47423</v>
      </c>
      <c r="C1594" s="2">
        <v>34738</v>
      </c>
      <c r="D1594">
        <v>30</v>
      </c>
      <c r="E1594" t="s">
        <v>36</v>
      </c>
      <c r="F1594" t="s">
        <v>50</v>
      </c>
      <c r="G1594" s="2">
        <v>45030</v>
      </c>
      <c r="H1594" s="3">
        <f t="shared" si="24"/>
        <v>2.5835616438356164</v>
      </c>
      <c r="I1594">
        <v>56</v>
      </c>
      <c r="J1594" t="s">
        <v>38</v>
      </c>
      <c r="K1594" t="s">
        <v>53</v>
      </c>
      <c r="L1594" t="s">
        <v>44</v>
      </c>
      <c r="M1594">
        <v>23.33</v>
      </c>
      <c r="N1594">
        <v>23.03</v>
      </c>
      <c r="T1594" t="s">
        <v>52</v>
      </c>
      <c r="U1594">
        <v>5</v>
      </c>
      <c r="V1594">
        <v>6</v>
      </c>
    </row>
    <row r="1595" spans="1:22" x14ac:dyDescent="0.3">
      <c r="A1595">
        <v>1594</v>
      </c>
      <c r="B1595">
        <v>47434</v>
      </c>
      <c r="C1595" s="2">
        <v>35285</v>
      </c>
      <c r="D1595">
        <v>29</v>
      </c>
      <c r="E1595" t="s">
        <v>42</v>
      </c>
      <c r="F1595" t="s">
        <v>50</v>
      </c>
      <c r="G1595" s="2">
        <v>45079</v>
      </c>
      <c r="H1595" s="3">
        <f t="shared" si="24"/>
        <v>2.2547945205479452</v>
      </c>
      <c r="I1595">
        <v>41</v>
      </c>
      <c r="J1595" t="s">
        <v>38</v>
      </c>
      <c r="K1595" t="s">
        <v>53</v>
      </c>
      <c r="L1595" t="s">
        <v>44</v>
      </c>
      <c r="M1595">
        <v>23.33</v>
      </c>
      <c r="N1595">
        <v>23.03</v>
      </c>
      <c r="T1595" t="s">
        <v>49</v>
      </c>
      <c r="U1595">
        <v>4</v>
      </c>
      <c r="V1595">
        <v>7</v>
      </c>
    </row>
    <row r="1596" spans="1:22" x14ac:dyDescent="0.3">
      <c r="A1596">
        <v>1595</v>
      </c>
      <c r="B1596">
        <v>47444</v>
      </c>
      <c r="C1596" s="2">
        <v>36698</v>
      </c>
      <c r="D1596">
        <v>25</v>
      </c>
      <c r="E1596" t="s">
        <v>42</v>
      </c>
      <c r="F1596" t="s">
        <v>37</v>
      </c>
      <c r="G1596" s="2">
        <v>45199</v>
      </c>
      <c r="H1596" s="3">
        <f t="shared" si="24"/>
        <v>2.4465753424657533</v>
      </c>
      <c r="I1596">
        <v>32</v>
      </c>
      <c r="J1596" t="s">
        <v>38</v>
      </c>
      <c r="K1596" t="s">
        <v>53</v>
      </c>
      <c r="L1596" t="s">
        <v>44</v>
      </c>
      <c r="M1596">
        <v>23.33</v>
      </c>
      <c r="N1596">
        <v>23.03</v>
      </c>
      <c r="T1596" t="s">
        <v>52</v>
      </c>
      <c r="U1596">
        <v>1</v>
      </c>
      <c r="V1596">
        <v>6</v>
      </c>
    </row>
    <row r="1597" spans="1:22" x14ac:dyDescent="0.3">
      <c r="A1597">
        <v>1596</v>
      </c>
      <c r="B1597">
        <v>47451</v>
      </c>
      <c r="C1597" s="2">
        <v>34998</v>
      </c>
      <c r="D1597">
        <v>30</v>
      </c>
      <c r="E1597" t="s">
        <v>36</v>
      </c>
      <c r="F1597" t="s">
        <v>50</v>
      </c>
      <c r="G1597" s="2">
        <v>45129</v>
      </c>
      <c r="H1597" s="3">
        <f t="shared" si="24"/>
        <v>2.7123287671232879</v>
      </c>
      <c r="I1597">
        <v>46</v>
      </c>
      <c r="J1597" t="s">
        <v>38</v>
      </c>
      <c r="K1597" t="s">
        <v>53</v>
      </c>
      <c r="L1597" t="s">
        <v>44</v>
      </c>
      <c r="M1597">
        <v>23.43</v>
      </c>
      <c r="N1597">
        <v>23.03</v>
      </c>
      <c r="T1597" t="s">
        <v>47</v>
      </c>
      <c r="U1597">
        <v>4</v>
      </c>
      <c r="V1597">
        <v>4</v>
      </c>
    </row>
    <row r="1598" spans="1:22" x14ac:dyDescent="0.3">
      <c r="A1598">
        <v>1597</v>
      </c>
      <c r="B1598">
        <v>47455</v>
      </c>
      <c r="C1598" s="2">
        <v>36611</v>
      </c>
      <c r="D1598">
        <v>25</v>
      </c>
      <c r="E1598" t="s">
        <v>36</v>
      </c>
      <c r="F1598" t="s">
        <v>37</v>
      </c>
      <c r="G1598" s="2">
        <v>45032</v>
      </c>
      <c r="H1598" s="3">
        <f t="shared" si="24"/>
        <v>2.0821917808219177</v>
      </c>
      <c r="I1598">
        <v>87</v>
      </c>
      <c r="J1598" t="s">
        <v>57</v>
      </c>
      <c r="K1598" t="s">
        <v>53</v>
      </c>
      <c r="L1598" t="s">
        <v>44</v>
      </c>
      <c r="M1598">
        <v>23.18</v>
      </c>
      <c r="N1598">
        <v>23.03</v>
      </c>
      <c r="T1598" t="s">
        <v>47</v>
      </c>
      <c r="U1598">
        <v>6</v>
      </c>
      <c r="V1598">
        <v>6</v>
      </c>
    </row>
    <row r="1599" spans="1:22" x14ac:dyDescent="0.3">
      <c r="A1599">
        <v>1598</v>
      </c>
      <c r="B1599">
        <v>47456</v>
      </c>
      <c r="C1599" s="2">
        <v>36135</v>
      </c>
      <c r="D1599">
        <v>27</v>
      </c>
      <c r="E1599" t="s">
        <v>42</v>
      </c>
      <c r="F1599" t="s">
        <v>50</v>
      </c>
      <c r="G1599" s="2">
        <v>45262</v>
      </c>
      <c r="H1599" s="3">
        <f t="shared" si="24"/>
        <v>2.7315068493150685</v>
      </c>
      <c r="I1599">
        <v>106</v>
      </c>
      <c r="J1599" t="s">
        <v>57</v>
      </c>
      <c r="K1599" t="s">
        <v>53</v>
      </c>
      <c r="L1599" t="s">
        <v>44</v>
      </c>
      <c r="M1599">
        <v>23.33</v>
      </c>
      <c r="N1599">
        <v>23.03</v>
      </c>
      <c r="T1599" t="s">
        <v>52</v>
      </c>
      <c r="U1599">
        <v>6</v>
      </c>
      <c r="V1599">
        <v>7</v>
      </c>
    </row>
    <row r="1600" spans="1:22" x14ac:dyDescent="0.3">
      <c r="A1600">
        <v>1599</v>
      </c>
      <c r="B1600">
        <v>47458</v>
      </c>
      <c r="C1600" s="2">
        <v>32256</v>
      </c>
      <c r="D1600">
        <v>37</v>
      </c>
      <c r="E1600" t="s">
        <v>36</v>
      </c>
      <c r="F1600" t="s">
        <v>50</v>
      </c>
      <c r="G1600" s="2">
        <v>45025</v>
      </c>
      <c r="H1600" s="3">
        <f t="shared" si="24"/>
        <v>1.9972602739726026</v>
      </c>
      <c r="I1600">
        <v>8</v>
      </c>
      <c r="J1600" t="s">
        <v>38</v>
      </c>
      <c r="K1600" t="s">
        <v>53</v>
      </c>
      <c r="L1600" t="s">
        <v>44</v>
      </c>
      <c r="M1600">
        <v>23.28</v>
      </c>
      <c r="N1600">
        <v>23.03</v>
      </c>
      <c r="T1600" t="s">
        <v>47</v>
      </c>
      <c r="U1600">
        <v>3</v>
      </c>
      <c r="V1600">
        <v>3</v>
      </c>
    </row>
    <row r="1601" spans="1:22" x14ac:dyDescent="0.3">
      <c r="A1601">
        <v>1600</v>
      </c>
      <c r="B1601">
        <v>47467</v>
      </c>
      <c r="C1601" s="2">
        <v>33192</v>
      </c>
      <c r="D1601">
        <v>35</v>
      </c>
      <c r="E1601" t="s">
        <v>42</v>
      </c>
      <c r="F1601" t="s">
        <v>50</v>
      </c>
      <c r="G1601" s="2">
        <v>45293</v>
      </c>
      <c r="H1601" s="3">
        <f t="shared" si="24"/>
        <v>2.6383561643835618</v>
      </c>
      <c r="I1601">
        <v>85</v>
      </c>
      <c r="J1601" t="s">
        <v>57</v>
      </c>
      <c r="K1601" t="s">
        <v>53</v>
      </c>
      <c r="L1601" t="s">
        <v>44</v>
      </c>
      <c r="M1601">
        <v>23.33</v>
      </c>
      <c r="T1601" t="s">
        <v>49</v>
      </c>
      <c r="U1601">
        <v>4</v>
      </c>
      <c r="V1601">
        <v>6</v>
      </c>
    </row>
    <row r="1602" spans="1:22" x14ac:dyDescent="0.3">
      <c r="A1602">
        <v>1601</v>
      </c>
      <c r="B1602">
        <v>47473</v>
      </c>
      <c r="C1602" s="2">
        <v>35957</v>
      </c>
      <c r="D1602">
        <v>27</v>
      </c>
      <c r="E1602" t="s">
        <v>36</v>
      </c>
      <c r="F1602" t="s">
        <v>50</v>
      </c>
      <c r="G1602" s="2">
        <v>45059</v>
      </c>
      <c r="H1602" s="3">
        <f t="shared" si="24"/>
        <v>2.0986301369863014</v>
      </c>
      <c r="I1602">
        <v>65</v>
      </c>
      <c r="J1602" t="s">
        <v>38</v>
      </c>
      <c r="K1602" t="s">
        <v>53</v>
      </c>
      <c r="L1602" t="s">
        <v>44</v>
      </c>
      <c r="M1602">
        <v>23.18</v>
      </c>
      <c r="N1602">
        <v>23.03</v>
      </c>
      <c r="T1602" t="s">
        <v>47</v>
      </c>
      <c r="U1602">
        <v>4</v>
      </c>
      <c r="V1602">
        <v>6</v>
      </c>
    </row>
    <row r="1603" spans="1:22" x14ac:dyDescent="0.3">
      <c r="A1603">
        <v>1602</v>
      </c>
      <c r="B1603">
        <v>47475</v>
      </c>
      <c r="C1603" s="2">
        <v>35105</v>
      </c>
      <c r="D1603">
        <v>29</v>
      </c>
      <c r="E1603" t="s">
        <v>36</v>
      </c>
      <c r="F1603" t="s">
        <v>50</v>
      </c>
      <c r="G1603" s="2">
        <v>45256</v>
      </c>
      <c r="H1603" s="3">
        <f t="shared" ref="H1603:H1666" si="25">DATEDIF(G1604,DATE(2025,12,31),"d")/365</f>
        <v>2.3287671232876712</v>
      </c>
      <c r="I1603">
        <v>129</v>
      </c>
      <c r="J1603" t="s">
        <v>57</v>
      </c>
      <c r="K1603" t="s">
        <v>53</v>
      </c>
      <c r="L1603" t="s">
        <v>44</v>
      </c>
      <c r="M1603">
        <v>23.33</v>
      </c>
      <c r="N1603">
        <v>23.03</v>
      </c>
      <c r="T1603" t="s">
        <v>52</v>
      </c>
      <c r="U1603">
        <v>3</v>
      </c>
      <c r="V1603">
        <v>6</v>
      </c>
    </row>
    <row r="1604" spans="1:22" x14ac:dyDescent="0.3">
      <c r="A1604">
        <v>1603</v>
      </c>
      <c r="B1604">
        <v>47492</v>
      </c>
      <c r="C1604" s="2">
        <v>36871</v>
      </c>
      <c r="D1604">
        <v>25</v>
      </c>
      <c r="E1604" t="s">
        <v>36</v>
      </c>
      <c r="F1604" t="s">
        <v>37</v>
      </c>
      <c r="G1604" s="2">
        <v>45172</v>
      </c>
      <c r="H1604" s="3">
        <f t="shared" si="25"/>
        <v>2.4054794520547946</v>
      </c>
      <c r="I1604">
        <v>5</v>
      </c>
      <c r="J1604" t="s">
        <v>38</v>
      </c>
      <c r="K1604" t="s">
        <v>53</v>
      </c>
      <c r="L1604" t="s">
        <v>44</v>
      </c>
      <c r="M1604">
        <v>23.33</v>
      </c>
      <c r="N1604">
        <v>23.03</v>
      </c>
      <c r="T1604" t="s">
        <v>49</v>
      </c>
      <c r="U1604">
        <v>5</v>
      </c>
      <c r="V1604">
        <v>5</v>
      </c>
    </row>
    <row r="1605" spans="1:22" x14ac:dyDescent="0.3">
      <c r="A1605">
        <v>1604</v>
      </c>
      <c r="B1605">
        <v>47508</v>
      </c>
      <c r="C1605" s="2">
        <v>35258</v>
      </c>
      <c r="D1605">
        <v>29</v>
      </c>
      <c r="E1605" t="s">
        <v>36</v>
      </c>
      <c r="F1605" t="s">
        <v>50</v>
      </c>
      <c r="G1605" s="2">
        <v>45144</v>
      </c>
      <c r="H1605" s="3">
        <f t="shared" si="25"/>
        <v>2.3917808219178083</v>
      </c>
      <c r="I1605">
        <v>117</v>
      </c>
      <c r="J1605" t="s">
        <v>57</v>
      </c>
      <c r="K1605" t="s">
        <v>53</v>
      </c>
      <c r="L1605" t="s">
        <v>44</v>
      </c>
      <c r="M1605">
        <v>23.47</v>
      </c>
      <c r="N1605">
        <v>23.03</v>
      </c>
      <c r="T1605" t="s">
        <v>45</v>
      </c>
      <c r="U1605">
        <v>4</v>
      </c>
      <c r="V1605">
        <v>4</v>
      </c>
    </row>
    <row r="1606" spans="1:22" x14ac:dyDescent="0.3">
      <c r="A1606">
        <v>1605</v>
      </c>
      <c r="B1606">
        <v>47516</v>
      </c>
      <c r="C1606" s="2">
        <v>36387</v>
      </c>
      <c r="D1606">
        <v>26</v>
      </c>
      <c r="E1606" t="s">
        <v>36</v>
      </c>
      <c r="F1606" t="s">
        <v>50</v>
      </c>
      <c r="G1606" s="2">
        <v>45149</v>
      </c>
      <c r="H1606" s="3">
        <f t="shared" si="25"/>
        <v>2.0273972602739727</v>
      </c>
      <c r="I1606">
        <v>15</v>
      </c>
      <c r="J1606" t="s">
        <v>38</v>
      </c>
      <c r="K1606" t="s">
        <v>53</v>
      </c>
      <c r="L1606" t="s">
        <v>44</v>
      </c>
      <c r="M1606">
        <v>23.33</v>
      </c>
      <c r="N1606">
        <v>23.03</v>
      </c>
      <c r="T1606" t="s">
        <v>49</v>
      </c>
      <c r="U1606">
        <v>4</v>
      </c>
      <c r="V1606">
        <v>4</v>
      </c>
    </row>
    <row r="1607" spans="1:22" x14ac:dyDescent="0.3">
      <c r="A1607">
        <v>1606</v>
      </c>
      <c r="B1607">
        <v>47517</v>
      </c>
      <c r="C1607" s="2">
        <v>34945</v>
      </c>
      <c r="D1607">
        <v>30</v>
      </c>
      <c r="E1607" t="s">
        <v>42</v>
      </c>
      <c r="F1607" t="s">
        <v>37</v>
      </c>
      <c r="G1607" s="2">
        <v>45282</v>
      </c>
      <c r="H1607" s="3">
        <f t="shared" si="25"/>
        <v>2.5397260273972604</v>
      </c>
      <c r="I1607">
        <v>15</v>
      </c>
      <c r="J1607" t="s">
        <v>38</v>
      </c>
      <c r="K1607" t="s">
        <v>53</v>
      </c>
      <c r="L1607" t="s">
        <v>44</v>
      </c>
      <c r="M1607">
        <v>23.33</v>
      </c>
      <c r="N1607">
        <v>23.03</v>
      </c>
      <c r="T1607" t="s">
        <v>45</v>
      </c>
      <c r="U1607">
        <v>1</v>
      </c>
      <c r="V1607">
        <v>6</v>
      </c>
    </row>
    <row r="1608" spans="1:22" x14ac:dyDescent="0.3">
      <c r="A1608">
        <v>1607</v>
      </c>
      <c r="B1608">
        <v>47526</v>
      </c>
      <c r="C1608" s="2">
        <v>35134</v>
      </c>
      <c r="D1608">
        <v>29</v>
      </c>
      <c r="E1608" t="s">
        <v>36</v>
      </c>
      <c r="F1608" t="s">
        <v>50</v>
      </c>
      <c r="G1608" s="2">
        <v>45095</v>
      </c>
      <c r="H1608" s="3">
        <f t="shared" si="25"/>
        <v>2.6794520547945204</v>
      </c>
      <c r="I1608">
        <v>28</v>
      </c>
      <c r="J1608" t="s">
        <v>38</v>
      </c>
      <c r="K1608" t="s">
        <v>53</v>
      </c>
      <c r="L1608" t="s">
        <v>44</v>
      </c>
      <c r="M1608">
        <v>23.18</v>
      </c>
      <c r="N1608">
        <v>23.03</v>
      </c>
      <c r="T1608" t="s">
        <v>52</v>
      </c>
      <c r="U1608">
        <v>3</v>
      </c>
      <c r="V1608">
        <v>5</v>
      </c>
    </row>
    <row r="1609" spans="1:22" x14ac:dyDescent="0.3">
      <c r="A1609">
        <v>1608</v>
      </c>
      <c r="B1609">
        <v>47534</v>
      </c>
      <c r="C1609" s="2">
        <v>36146</v>
      </c>
      <c r="D1609">
        <v>27</v>
      </c>
      <c r="E1609" t="s">
        <v>36</v>
      </c>
      <c r="F1609" t="s">
        <v>37</v>
      </c>
      <c r="G1609" s="2">
        <v>45044</v>
      </c>
      <c r="H1609" s="3">
        <f t="shared" si="25"/>
        <v>1.9479452054794522</v>
      </c>
      <c r="I1609">
        <v>42</v>
      </c>
      <c r="J1609" t="s">
        <v>38</v>
      </c>
      <c r="K1609" t="s">
        <v>53</v>
      </c>
      <c r="L1609" t="s">
        <v>44</v>
      </c>
      <c r="M1609">
        <v>23.03</v>
      </c>
      <c r="N1609">
        <v>23.03</v>
      </c>
      <c r="T1609" t="s">
        <v>52</v>
      </c>
      <c r="U1609">
        <v>4</v>
      </c>
      <c r="V1609">
        <v>4</v>
      </c>
    </row>
    <row r="1610" spans="1:22" x14ac:dyDescent="0.3">
      <c r="A1610">
        <v>1609</v>
      </c>
      <c r="B1610">
        <v>47547</v>
      </c>
      <c r="C1610" s="2">
        <v>35468</v>
      </c>
      <c r="D1610">
        <v>28</v>
      </c>
      <c r="E1610" t="s">
        <v>36</v>
      </c>
      <c r="F1610" t="s">
        <v>50</v>
      </c>
      <c r="G1610" s="2">
        <v>45311</v>
      </c>
      <c r="H1610" s="3">
        <f t="shared" si="25"/>
        <v>2.5780821917808221</v>
      </c>
      <c r="I1610">
        <v>54</v>
      </c>
      <c r="J1610" t="s">
        <v>38</v>
      </c>
      <c r="K1610" t="s">
        <v>53</v>
      </c>
      <c r="L1610" t="s">
        <v>44</v>
      </c>
      <c r="M1610">
        <v>23.33</v>
      </c>
      <c r="T1610" t="s">
        <v>52</v>
      </c>
      <c r="U1610">
        <v>6</v>
      </c>
      <c r="V1610">
        <v>6</v>
      </c>
    </row>
    <row r="1611" spans="1:22" x14ac:dyDescent="0.3">
      <c r="A1611">
        <v>1610</v>
      </c>
      <c r="B1611">
        <v>47550</v>
      </c>
      <c r="C1611" s="2">
        <v>35620</v>
      </c>
      <c r="D1611">
        <v>28</v>
      </c>
      <c r="E1611" t="s">
        <v>36</v>
      </c>
      <c r="F1611" t="s">
        <v>50</v>
      </c>
      <c r="G1611" s="2">
        <v>45081</v>
      </c>
      <c r="H1611" s="3">
        <f t="shared" si="25"/>
        <v>1.9150684931506849</v>
      </c>
      <c r="I1611">
        <v>57</v>
      </c>
      <c r="J1611" t="s">
        <v>38</v>
      </c>
      <c r="K1611" t="s">
        <v>53</v>
      </c>
      <c r="L1611" t="s">
        <v>44</v>
      </c>
      <c r="M1611">
        <v>23.18</v>
      </c>
      <c r="N1611">
        <v>23.03</v>
      </c>
      <c r="T1611" t="s">
        <v>49</v>
      </c>
      <c r="U1611">
        <v>4</v>
      </c>
      <c r="V1611">
        <v>5</v>
      </c>
    </row>
    <row r="1612" spans="1:22" x14ac:dyDescent="0.3">
      <c r="A1612">
        <v>1611</v>
      </c>
      <c r="B1612">
        <v>47553</v>
      </c>
      <c r="C1612" s="2">
        <v>35381</v>
      </c>
      <c r="D1612">
        <v>29</v>
      </c>
      <c r="E1612" t="s">
        <v>36</v>
      </c>
      <c r="F1612" t="s">
        <v>50</v>
      </c>
      <c r="G1612" s="2">
        <v>45323</v>
      </c>
      <c r="H1612" s="3">
        <f t="shared" si="25"/>
        <v>1.9863013698630136</v>
      </c>
      <c r="I1612">
        <v>60</v>
      </c>
      <c r="J1612" t="s">
        <v>38</v>
      </c>
      <c r="K1612" t="s">
        <v>53</v>
      </c>
      <c r="L1612" t="s">
        <v>44</v>
      </c>
      <c r="M1612">
        <v>23.18</v>
      </c>
      <c r="T1612" t="s">
        <v>45</v>
      </c>
      <c r="U1612">
        <v>5</v>
      </c>
      <c r="V1612">
        <v>6</v>
      </c>
    </row>
    <row r="1613" spans="1:22" x14ac:dyDescent="0.3">
      <c r="A1613">
        <v>1612</v>
      </c>
      <c r="B1613">
        <v>47557</v>
      </c>
      <c r="C1613" s="2">
        <v>36667</v>
      </c>
      <c r="D1613">
        <v>25</v>
      </c>
      <c r="E1613" t="s">
        <v>36</v>
      </c>
      <c r="F1613" t="s">
        <v>50</v>
      </c>
      <c r="G1613" s="2">
        <v>45297</v>
      </c>
      <c r="H1613" s="3">
        <f t="shared" si="25"/>
        <v>2.0739726027397261</v>
      </c>
      <c r="I1613">
        <v>62</v>
      </c>
      <c r="J1613" t="s">
        <v>38</v>
      </c>
      <c r="K1613" t="s">
        <v>53</v>
      </c>
      <c r="L1613" t="s">
        <v>44</v>
      </c>
      <c r="M1613">
        <v>23.33</v>
      </c>
      <c r="T1613" t="s">
        <v>52</v>
      </c>
      <c r="U1613">
        <v>6</v>
      </c>
      <c r="V1613">
        <v>6</v>
      </c>
    </row>
    <row r="1614" spans="1:22" x14ac:dyDescent="0.3">
      <c r="A1614">
        <v>1613</v>
      </c>
      <c r="B1614">
        <v>47578</v>
      </c>
      <c r="C1614" s="2">
        <v>35873</v>
      </c>
      <c r="D1614">
        <v>27</v>
      </c>
      <c r="E1614" t="s">
        <v>36</v>
      </c>
      <c r="F1614" t="s">
        <v>50</v>
      </c>
      <c r="G1614" s="2">
        <v>45265</v>
      </c>
      <c r="H1614" s="3">
        <f t="shared" si="25"/>
        <v>2.4438356164383563</v>
      </c>
      <c r="I1614">
        <v>116</v>
      </c>
      <c r="J1614" t="s">
        <v>57</v>
      </c>
      <c r="K1614" t="s">
        <v>53</v>
      </c>
      <c r="L1614" t="s">
        <v>44</v>
      </c>
      <c r="M1614">
        <v>23.33</v>
      </c>
      <c r="N1614">
        <v>23.03</v>
      </c>
      <c r="T1614" t="s">
        <v>49</v>
      </c>
      <c r="U1614">
        <v>3</v>
      </c>
      <c r="V1614">
        <v>5</v>
      </c>
    </row>
    <row r="1615" spans="1:22" x14ac:dyDescent="0.3">
      <c r="A1615">
        <v>1614</v>
      </c>
      <c r="B1615">
        <v>47581</v>
      </c>
      <c r="C1615" s="2">
        <v>34872</v>
      </c>
      <c r="D1615">
        <v>30</v>
      </c>
      <c r="E1615" t="s">
        <v>36</v>
      </c>
      <c r="F1615" t="s">
        <v>50</v>
      </c>
      <c r="G1615" s="2">
        <v>45130</v>
      </c>
      <c r="H1615" s="3">
        <f t="shared" si="25"/>
        <v>1.9506849315068493</v>
      </c>
      <c r="I1615">
        <v>132</v>
      </c>
      <c r="J1615" t="s">
        <v>57</v>
      </c>
      <c r="K1615" t="s">
        <v>53</v>
      </c>
      <c r="L1615" t="s">
        <v>44</v>
      </c>
      <c r="M1615">
        <v>23.33</v>
      </c>
      <c r="N1615">
        <v>23.03</v>
      </c>
      <c r="T1615" t="s">
        <v>47</v>
      </c>
      <c r="U1615">
        <v>3</v>
      </c>
      <c r="V1615">
        <v>6</v>
      </c>
    </row>
    <row r="1616" spans="1:22" x14ac:dyDescent="0.3">
      <c r="A1616">
        <v>1615</v>
      </c>
      <c r="B1616">
        <v>47583</v>
      </c>
      <c r="C1616" s="2">
        <v>36735</v>
      </c>
      <c r="D1616">
        <v>25</v>
      </c>
      <c r="E1616" t="s">
        <v>42</v>
      </c>
      <c r="F1616" t="s">
        <v>37</v>
      </c>
      <c r="G1616" s="2">
        <v>45310</v>
      </c>
      <c r="H1616" s="3">
        <f t="shared" si="25"/>
        <v>2.3315068493150686</v>
      </c>
      <c r="I1616">
        <v>3</v>
      </c>
      <c r="J1616" t="s">
        <v>38</v>
      </c>
      <c r="K1616" t="s">
        <v>55</v>
      </c>
      <c r="L1616" t="s">
        <v>44</v>
      </c>
      <c r="M1616">
        <v>17.46</v>
      </c>
      <c r="T1616" t="s">
        <v>52</v>
      </c>
      <c r="U1616">
        <v>1</v>
      </c>
      <c r="V1616">
        <v>6</v>
      </c>
    </row>
    <row r="1617" spans="1:22" x14ac:dyDescent="0.3">
      <c r="A1617">
        <v>1616</v>
      </c>
      <c r="B1617">
        <v>47584</v>
      </c>
      <c r="C1617" s="2">
        <v>38223</v>
      </c>
      <c r="D1617">
        <v>21</v>
      </c>
      <c r="E1617" t="s">
        <v>42</v>
      </c>
      <c r="F1617" t="s">
        <v>37</v>
      </c>
      <c r="G1617" s="2">
        <v>45171</v>
      </c>
      <c r="H1617" s="3">
        <f t="shared" si="25"/>
        <v>2.5780821917808221</v>
      </c>
      <c r="I1617">
        <v>10</v>
      </c>
      <c r="J1617" t="s">
        <v>38</v>
      </c>
      <c r="K1617" t="s">
        <v>48</v>
      </c>
      <c r="L1617" t="s">
        <v>44</v>
      </c>
      <c r="M1617">
        <v>17.760000000000002</v>
      </c>
      <c r="N1617">
        <v>17.46</v>
      </c>
      <c r="T1617" t="s">
        <v>49</v>
      </c>
      <c r="U1617">
        <v>2</v>
      </c>
      <c r="V1617">
        <v>5</v>
      </c>
    </row>
    <row r="1618" spans="1:22" x14ac:dyDescent="0.3">
      <c r="A1618">
        <v>1617</v>
      </c>
      <c r="B1618">
        <v>47587</v>
      </c>
      <c r="C1618" s="2">
        <v>36699</v>
      </c>
      <c r="D1618">
        <v>25</v>
      </c>
      <c r="E1618" t="s">
        <v>42</v>
      </c>
      <c r="F1618" t="s">
        <v>37</v>
      </c>
      <c r="G1618" s="2">
        <v>45081</v>
      </c>
      <c r="H1618" s="3">
        <f t="shared" si="25"/>
        <v>2.4054794520547946</v>
      </c>
      <c r="I1618">
        <v>39</v>
      </c>
      <c r="J1618" t="s">
        <v>38</v>
      </c>
      <c r="K1618" t="s">
        <v>68</v>
      </c>
      <c r="L1618" t="s">
        <v>44</v>
      </c>
      <c r="M1618">
        <v>16.579999999999998</v>
      </c>
      <c r="N1618">
        <v>16.579999999999998</v>
      </c>
      <c r="T1618" t="s">
        <v>52</v>
      </c>
      <c r="U1618">
        <v>1</v>
      </c>
      <c r="V1618">
        <v>5</v>
      </c>
    </row>
    <row r="1619" spans="1:22" x14ac:dyDescent="0.3">
      <c r="A1619">
        <v>1618</v>
      </c>
      <c r="B1619">
        <v>47600</v>
      </c>
      <c r="C1619" s="2">
        <v>36517</v>
      </c>
      <c r="D1619">
        <v>26</v>
      </c>
      <c r="E1619" t="s">
        <v>36</v>
      </c>
      <c r="F1619" t="s">
        <v>37</v>
      </c>
      <c r="G1619" s="2">
        <v>45144</v>
      </c>
      <c r="H1619" s="3">
        <f t="shared" si="25"/>
        <v>2.1808219178082191</v>
      </c>
      <c r="I1619">
        <v>15</v>
      </c>
      <c r="J1619" t="s">
        <v>38</v>
      </c>
      <c r="K1619" t="s">
        <v>55</v>
      </c>
      <c r="L1619" t="s">
        <v>44</v>
      </c>
      <c r="M1619">
        <v>17.46</v>
      </c>
      <c r="N1619">
        <v>17.16</v>
      </c>
      <c r="T1619" t="s">
        <v>45</v>
      </c>
      <c r="U1619">
        <v>4</v>
      </c>
      <c r="V1619">
        <v>5</v>
      </c>
    </row>
    <row r="1620" spans="1:22" x14ac:dyDescent="0.3">
      <c r="A1620">
        <v>1619</v>
      </c>
      <c r="B1620">
        <v>47601</v>
      </c>
      <c r="C1620" s="2">
        <v>37059</v>
      </c>
      <c r="D1620">
        <v>24</v>
      </c>
      <c r="E1620" t="s">
        <v>36</v>
      </c>
      <c r="F1620" t="s">
        <v>50</v>
      </c>
      <c r="G1620" s="2">
        <v>45226</v>
      </c>
      <c r="H1620" s="3">
        <f t="shared" si="25"/>
        <v>1.978082191780822</v>
      </c>
      <c r="I1620">
        <v>62</v>
      </c>
      <c r="J1620" t="s">
        <v>38</v>
      </c>
      <c r="K1620" t="s">
        <v>55</v>
      </c>
      <c r="L1620" t="s">
        <v>44</v>
      </c>
      <c r="M1620">
        <v>17.46</v>
      </c>
      <c r="N1620">
        <v>17.16</v>
      </c>
      <c r="T1620" t="s">
        <v>49</v>
      </c>
      <c r="U1620">
        <v>4</v>
      </c>
      <c r="V1620">
        <v>7</v>
      </c>
    </row>
    <row r="1621" spans="1:22" x14ac:dyDescent="0.3">
      <c r="A1621">
        <v>1620</v>
      </c>
      <c r="B1621">
        <v>47606</v>
      </c>
      <c r="C1621" s="2">
        <v>32972</v>
      </c>
      <c r="D1621">
        <v>35</v>
      </c>
      <c r="E1621" t="s">
        <v>36</v>
      </c>
      <c r="F1621" t="s">
        <v>50</v>
      </c>
      <c r="G1621" s="2">
        <v>45300</v>
      </c>
      <c r="H1621" s="3">
        <f t="shared" si="25"/>
        <v>2.0547945205479454</v>
      </c>
      <c r="I1621">
        <v>144</v>
      </c>
      <c r="J1621" t="s">
        <v>57</v>
      </c>
      <c r="K1621" t="s">
        <v>43</v>
      </c>
      <c r="L1621" t="s">
        <v>44</v>
      </c>
      <c r="M1621">
        <v>16.170000000000002</v>
      </c>
      <c r="T1621" t="s">
        <v>45</v>
      </c>
      <c r="U1621">
        <v>2</v>
      </c>
      <c r="V1621">
        <v>5</v>
      </c>
    </row>
    <row r="1622" spans="1:22" x14ac:dyDescent="0.3">
      <c r="A1622">
        <v>1621</v>
      </c>
      <c r="B1622">
        <v>47613</v>
      </c>
      <c r="C1622" s="2">
        <v>34069</v>
      </c>
      <c r="D1622">
        <v>32</v>
      </c>
      <c r="E1622" t="s">
        <v>42</v>
      </c>
      <c r="F1622" t="s">
        <v>50</v>
      </c>
      <c r="G1622" s="2">
        <v>45272</v>
      </c>
      <c r="H1622" s="3">
        <f t="shared" si="25"/>
        <v>2.3863013698630136</v>
      </c>
      <c r="I1622">
        <v>128</v>
      </c>
      <c r="J1622" t="s">
        <v>57</v>
      </c>
      <c r="K1622" t="s">
        <v>46</v>
      </c>
      <c r="L1622" t="s">
        <v>44</v>
      </c>
      <c r="M1622">
        <v>14.18</v>
      </c>
      <c r="N1622">
        <v>13.88</v>
      </c>
      <c r="T1622" t="s">
        <v>47</v>
      </c>
      <c r="U1622">
        <v>0</v>
      </c>
      <c r="V1622">
        <v>6</v>
      </c>
    </row>
    <row r="1623" spans="1:22" x14ac:dyDescent="0.3">
      <c r="A1623">
        <v>1622</v>
      </c>
      <c r="B1623">
        <v>47616</v>
      </c>
      <c r="C1623" s="2">
        <v>37000</v>
      </c>
      <c r="D1623">
        <v>24</v>
      </c>
      <c r="E1623" t="s">
        <v>42</v>
      </c>
      <c r="F1623" t="s">
        <v>37</v>
      </c>
      <c r="G1623" s="2">
        <v>45151</v>
      </c>
      <c r="H1623" s="3">
        <f t="shared" si="25"/>
        <v>2.7479452054794522</v>
      </c>
      <c r="I1623">
        <v>5</v>
      </c>
      <c r="J1623" t="s">
        <v>38</v>
      </c>
      <c r="K1623" t="s">
        <v>64</v>
      </c>
      <c r="L1623" t="s">
        <v>44</v>
      </c>
      <c r="M1623">
        <v>14.03</v>
      </c>
      <c r="N1623">
        <v>13.73</v>
      </c>
      <c r="T1623" t="s">
        <v>49</v>
      </c>
      <c r="U1623">
        <v>1</v>
      </c>
      <c r="V1623">
        <v>5</v>
      </c>
    </row>
    <row r="1624" spans="1:22" x14ac:dyDescent="0.3">
      <c r="A1624">
        <v>1623</v>
      </c>
      <c r="B1624">
        <v>47640</v>
      </c>
      <c r="C1624" s="2">
        <v>37771</v>
      </c>
      <c r="D1624">
        <v>22</v>
      </c>
      <c r="E1624" t="s">
        <v>42</v>
      </c>
      <c r="F1624" t="s">
        <v>37</v>
      </c>
      <c r="G1624" s="2">
        <v>45019</v>
      </c>
      <c r="H1624" s="3">
        <f t="shared" si="25"/>
        <v>2.4109589041095889</v>
      </c>
      <c r="I1624">
        <v>49</v>
      </c>
      <c r="J1624" t="s">
        <v>38</v>
      </c>
      <c r="K1624" t="s">
        <v>56</v>
      </c>
      <c r="L1624" t="s">
        <v>44</v>
      </c>
      <c r="M1624">
        <v>8.5399999999999991</v>
      </c>
      <c r="N1624">
        <v>8.26</v>
      </c>
      <c r="T1624" t="s">
        <v>52</v>
      </c>
      <c r="U1624">
        <v>0</v>
      </c>
      <c r="V1624">
        <v>4</v>
      </c>
    </row>
    <row r="1625" spans="1:22" x14ac:dyDescent="0.3">
      <c r="A1625">
        <v>1624</v>
      </c>
      <c r="B1625">
        <v>47641</v>
      </c>
      <c r="C1625" s="2">
        <v>36481</v>
      </c>
      <c r="D1625">
        <v>26</v>
      </c>
      <c r="E1625" t="s">
        <v>36</v>
      </c>
      <c r="F1625" t="s">
        <v>37</v>
      </c>
      <c r="G1625" s="2">
        <v>45142</v>
      </c>
      <c r="H1625" s="3">
        <f t="shared" si="25"/>
        <v>2.3534246575342466</v>
      </c>
      <c r="I1625">
        <v>50</v>
      </c>
      <c r="J1625" t="s">
        <v>38</v>
      </c>
      <c r="K1625" t="s">
        <v>46</v>
      </c>
      <c r="L1625" t="s">
        <v>44</v>
      </c>
      <c r="M1625">
        <v>14.18</v>
      </c>
      <c r="N1625">
        <v>13.88</v>
      </c>
      <c r="T1625" t="s">
        <v>49</v>
      </c>
      <c r="U1625">
        <v>1</v>
      </c>
      <c r="V1625">
        <v>3</v>
      </c>
    </row>
    <row r="1626" spans="1:22" x14ac:dyDescent="0.3">
      <c r="A1626">
        <v>1625</v>
      </c>
      <c r="B1626">
        <v>47649</v>
      </c>
      <c r="C1626" s="2">
        <v>35850</v>
      </c>
      <c r="D1626">
        <v>27</v>
      </c>
      <c r="E1626" t="s">
        <v>42</v>
      </c>
      <c r="F1626" t="s">
        <v>37</v>
      </c>
      <c r="G1626" s="2">
        <v>45163</v>
      </c>
      <c r="H1626" s="3">
        <f t="shared" si="25"/>
        <v>2.5123287671232877</v>
      </c>
      <c r="I1626">
        <v>126</v>
      </c>
      <c r="J1626" t="s">
        <v>57</v>
      </c>
      <c r="K1626" t="s">
        <v>55</v>
      </c>
      <c r="L1626" t="s">
        <v>44</v>
      </c>
      <c r="M1626">
        <v>17.46</v>
      </c>
      <c r="N1626">
        <v>17.16</v>
      </c>
      <c r="T1626" t="s">
        <v>52</v>
      </c>
      <c r="U1626">
        <v>2</v>
      </c>
      <c r="V1626">
        <v>6</v>
      </c>
    </row>
    <row r="1627" spans="1:22" x14ac:dyDescent="0.3">
      <c r="A1627">
        <v>1626</v>
      </c>
      <c r="B1627">
        <v>47653</v>
      </c>
      <c r="C1627" s="2">
        <v>37204</v>
      </c>
      <c r="D1627">
        <v>24</v>
      </c>
      <c r="E1627" t="s">
        <v>42</v>
      </c>
      <c r="F1627" t="s">
        <v>50</v>
      </c>
      <c r="G1627" s="2">
        <v>45105</v>
      </c>
      <c r="H1627" s="3">
        <f t="shared" si="25"/>
        <v>2.095890410958904</v>
      </c>
      <c r="I1627">
        <v>81</v>
      </c>
      <c r="J1627" t="s">
        <v>57</v>
      </c>
      <c r="K1627" t="s">
        <v>43</v>
      </c>
      <c r="L1627" t="s">
        <v>44</v>
      </c>
      <c r="M1627">
        <v>16.27</v>
      </c>
      <c r="N1627">
        <v>15.97</v>
      </c>
      <c r="T1627" t="s">
        <v>49</v>
      </c>
      <c r="U1627">
        <v>0</v>
      </c>
      <c r="V1627">
        <v>5</v>
      </c>
    </row>
    <row r="1628" spans="1:22" x14ac:dyDescent="0.3">
      <c r="A1628">
        <v>1627</v>
      </c>
      <c r="B1628">
        <v>47656</v>
      </c>
      <c r="C1628" s="2">
        <v>37296</v>
      </c>
      <c r="D1628">
        <v>23</v>
      </c>
      <c r="E1628" t="s">
        <v>42</v>
      </c>
      <c r="F1628" t="s">
        <v>50</v>
      </c>
      <c r="G1628" s="2">
        <v>45257</v>
      </c>
      <c r="H1628" s="3">
        <f t="shared" si="25"/>
        <v>2.7287671232876711</v>
      </c>
      <c r="I1628">
        <v>9</v>
      </c>
      <c r="J1628" t="s">
        <v>38</v>
      </c>
      <c r="K1628" t="s">
        <v>56</v>
      </c>
      <c r="L1628" t="s">
        <v>44</v>
      </c>
      <c r="M1628">
        <v>8.4600000000000009</v>
      </c>
      <c r="N1628">
        <v>8.26</v>
      </c>
      <c r="T1628" t="s">
        <v>47</v>
      </c>
      <c r="U1628">
        <v>1</v>
      </c>
      <c r="V1628">
        <v>6</v>
      </c>
    </row>
    <row r="1629" spans="1:22" x14ac:dyDescent="0.3">
      <c r="A1629">
        <v>1628</v>
      </c>
      <c r="B1629">
        <v>47666</v>
      </c>
      <c r="C1629" s="2">
        <v>36957</v>
      </c>
      <c r="D1629">
        <v>24</v>
      </c>
      <c r="E1629" t="s">
        <v>42</v>
      </c>
      <c r="F1629" t="s">
        <v>50</v>
      </c>
      <c r="G1629" s="2">
        <v>45026</v>
      </c>
      <c r="H1629" s="3">
        <f t="shared" si="25"/>
        <v>2.3342465753424659</v>
      </c>
      <c r="I1629">
        <v>114</v>
      </c>
      <c r="J1629" t="s">
        <v>57</v>
      </c>
      <c r="K1629" t="s">
        <v>56</v>
      </c>
      <c r="L1629" t="s">
        <v>44</v>
      </c>
      <c r="M1629">
        <v>8.56</v>
      </c>
      <c r="N1629">
        <v>8.26</v>
      </c>
      <c r="T1629" t="s">
        <v>49</v>
      </c>
      <c r="U1629">
        <v>2</v>
      </c>
      <c r="V1629">
        <v>5</v>
      </c>
    </row>
    <row r="1630" spans="1:22" x14ac:dyDescent="0.3">
      <c r="A1630">
        <v>1629</v>
      </c>
      <c r="B1630">
        <v>47669</v>
      </c>
      <c r="C1630" s="2">
        <v>38401</v>
      </c>
      <c r="D1630">
        <v>20</v>
      </c>
      <c r="E1630" t="s">
        <v>42</v>
      </c>
      <c r="F1630" t="s">
        <v>50</v>
      </c>
      <c r="G1630" s="2">
        <v>45170</v>
      </c>
      <c r="H1630" s="3">
        <f t="shared" si="25"/>
        <v>2.0739726027397261</v>
      </c>
      <c r="I1630">
        <v>77</v>
      </c>
      <c r="J1630" t="s">
        <v>57</v>
      </c>
      <c r="K1630" t="s">
        <v>64</v>
      </c>
      <c r="L1630" t="s">
        <v>44</v>
      </c>
      <c r="M1630">
        <v>14.03</v>
      </c>
      <c r="N1630">
        <v>13.73</v>
      </c>
      <c r="T1630" t="s">
        <v>45</v>
      </c>
      <c r="U1630">
        <v>0</v>
      </c>
      <c r="V1630">
        <v>5</v>
      </c>
    </row>
    <row r="1631" spans="1:22" x14ac:dyDescent="0.3">
      <c r="A1631">
        <v>1630</v>
      </c>
      <c r="B1631">
        <v>47672</v>
      </c>
      <c r="C1631" s="2">
        <v>37771</v>
      </c>
      <c r="D1631">
        <v>22</v>
      </c>
      <c r="E1631" t="s">
        <v>42</v>
      </c>
      <c r="F1631" t="s">
        <v>50</v>
      </c>
      <c r="G1631" s="2">
        <v>45265</v>
      </c>
      <c r="H1631" s="3">
        <f t="shared" si="25"/>
        <v>2.2904109589041095</v>
      </c>
      <c r="I1631">
        <v>51</v>
      </c>
      <c r="J1631" t="s">
        <v>38</v>
      </c>
      <c r="K1631" t="s">
        <v>64</v>
      </c>
      <c r="L1631" t="s">
        <v>44</v>
      </c>
      <c r="M1631">
        <v>14.03</v>
      </c>
      <c r="N1631">
        <v>13.73</v>
      </c>
      <c r="T1631" t="s">
        <v>47</v>
      </c>
      <c r="U1631">
        <v>1</v>
      </c>
      <c r="V1631">
        <v>6</v>
      </c>
    </row>
    <row r="1632" spans="1:22" x14ac:dyDescent="0.3">
      <c r="A1632">
        <v>1631</v>
      </c>
      <c r="B1632">
        <v>47676</v>
      </c>
      <c r="C1632" s="2">
        <v>38692</v>
      </c>
      <c r="D1632">
        <v>20</v>
      </c>
      <c r="E1632" t="s">
        <v>42</v>
      </c>
      <c r="F1632" t="s">
        <v>50</v>
      </c>
      <c r="G1632" s="2">
        <v>45186</v>
      </c>
      <c r="H1632" s="3">
        <f t="shared" si="25"/>
        <v>2.1835616438356165</v>
      </c>
      <c r="I1632">
        <v>95</v>
      </c>
      <c r="J1632" t="s">
        <v>57</v>
      </c>
      <c r="K1632" t="s">
        <v>43</v>
      </c>
      <c r="L1632" t="s">
        <v>44</v>
      </c>
      <c r="M1632">
        <v>16.27</v>
      </c>
      <c r="N1632">
        <v>15.97</v>
      </c>
      <c r="T1632" t="s">
        <v>49</v>
      </c>
      <c r="U1632">
        <v>1</v>
      </c>
      <c r="V1632">
        <v>7</v>
      </c>
    </row>
    <row r="1633" spans="1:22" x14ac:dyDescent="0.3">
      <c r="A1633">
        <v>1632</v>
      </c>
      <c r="B1633">
        <v>47687</v>
      </c>
      <c r="C1633" s="2">
        <v>37005</v>
      </c>
      <c r="D1633">
        <v>24</v>
      </c>
      <c r="E1633" t="s">
        <v>42</v>
      </c>
      <c r="F1633" t="s">
        <v>50</v>
      </c>
      <c r="G1633" s="2">
        <v>45225</v>
      </c>
      <c r="H1633" s="3">
        <f t="shared" si="25"/>
        <v>2.2739726027397262</v>
      </c>
      <c r="I1633">
        <v>8</v>
      </c>
      <c r="J1633" t="s">
        <v>38</v>
      </c>
      <c r="K1633" t="s">
        <v>65</v>
      </c>
      <c r="L1633" t="s">
        <v>44</v>
      </c>
      <c r="M1633">
        <v>10.53</v>
      </c>
      <c r="N1633">
        <v>10.38</v>
      </c>
      <c r="T1633" t="s">
        <v>49</v>
      </c>
      <c r="U1633">
        <v>0</v>
      </c>
      <c r="V1633">
        <v>6</v>
      </c>
    </row>
    <row r="1634" spans="1:22" x14ac:dyDescent="0.3">
      <c r="A1634">
        <v>1633</v>
      </c>
      <c r="B1634">
        <v>47688</v>
      </c>
      <c r="C1634" s="2">
        <v>37982</v>
      </c>
      <c r="D1634">
        <v>22</v>
      </c>
      <c r="E1634" t="s">
        <v>42</v>
      </c>
      <c r="F1634" t="s">
        <v>50</v>
      </c>
      <c r="G1634" s="2">
        <v>45192</v>
      </c>
      <c r="H1634" s="3">
        <f t="shared" si="25"/>
        <v>2.2931506849315069</v>
      </c>
      <c r="I1634">
        <v>12</v>
      </c>
      <c r="J1634" t="s">
        <v>38</v>
      </c>
      <c r="K1634" t="s">
        <v>64</v>
      </c>
      <c r="L1634" t="s">
        <v>44</v>
      </c>
      <c r="M1634">
        <v>14.03</v>
      </c>
      <c r="N1634">
        <v>13.73</v>
      </c>
      <c r="T1634" t="s">
        <v>47</v>
      </c>
      <c r="U1634">
        <v>0</v>
      </c>
      <c r="V1634">
        <v>5</v>
      </c>
    </row>
    <row r="1635" spans="1:22" x14ac:dyDescent="0.3">
      <c r="A1635">
        <v>1634</v>
      </c>
      <c r="B1635">
        <v>47700</v>
      </c>
      <c r="C1635" s="2">
        <v>37472</v>
      </c>
      <c r="D1635">
        <v>23</v>
      </c>
      <c r="E1635" t="s">
        <v>36</v>
      </c>
      <c r="F1635" t="s">
        <v>50</v>
      </c>
      <c r="G1635" s="2">
        <v>45185</v>
      </c>
      <c r="H1635" s="3">
        <f t="shared" si="25"/>
        <v>2.1013698630136988</v>
      </c>
      <c r="I1635">
        <v>99</v>
      </c>
      <c r="J1635" t="s">
        <v>57</v>
      </c>
      <c r="K1635" t="s">
        <v>43</v>
      </c>
      <c r="L1635" t="s">
        <v>44</v>
      </c>
      <c r="M1635">
        <v>16.27</v>
      </c>
      <c r="N1635">
        <v>15.97</v>
      </c>
      <c r="T1635" t="s">
        <v>47</v>
      </c>
      <c r="U1635">
        <v>1</v>
      </c>
      <c r="V1635">
        <v>5</v>
      </c>
    </row>
    <row r="1636" spans="1:22" x14ac:dyDescent="0.3">
      <c r="A1636">
        <v>1635</v>
      </c>
      <c r="B1636">
        <v>47703</v>
      </c>
      <c r="C1636" s="2">
        <v>35898</v>
      </c>
      <c r="D1636">
        <v>27</v>
      </c>
      <c r="E1636" t="s">
        <v>42</v>
      </c>
      <c r="F1636" t="s">
        <v>50</v>
      </c>
      <c r="G1636" s="2">
        <v>45255</v>
      </c>
      <c r="H1636" s="3">
        <f t="shared" si="25"/>
        <v>2.3260273972602739</v>
      </c>
      <c r="I1636">
        <v>130</v>
      </c>
      <c r="J1636" t="s">
        <v>57</v>
      </c>
      <c r="K1636" t="s">
        <v>55</v>
      </c>
      <c r="L1636" t="s">
        <v>44</v>
      </c>
      <c r="M1636">
        <v>17.600000000000001</v>
      </c>
      <c r="N1636">
        <v>17.16</v>
      </c>
      <c r="T1636" t="s">
        <v>52</v>
      </c>
      <c r="U1636">
        <v>2</v>
      </c>
      <c r="V1636">
        <v>5</v>
      </c>
    </row>
    <row r="1637" spans="1:22" x14ac:dyDescent="0.3">
      <c r="A1637">
        <v>1636</v>
      </c>
      <c r="B1637">
        <v>47705</v>
      </c>
      <c r="C1637" s="2">
        <v>33127</v>
      </c>
      <c r="D1637">
        <v>35</v>
      </c>
      <c r="E1637" t="s">
        <v>42</v>
      </c>
      <c r="F1637" t="s">
        <v>50</v>
      </c>
      <c r="G1637" s="2">
        <v>45173</v>
      </c>
      <c r="H1637" s="3">
        <f t="shared" si="25"/>
        <v>1.7534246575342465</v>
      </c>
      <c r="I1637">
        <v>89</v>
      </c>
      <c r="J1637" t="s">
        <v>57</v>
      </c>
      <c r="K1637" t="s">
        <v>46</v>
      </c>
      <c r="L1637" t="s">
        <v>44</v>
      </c>
      <c r="M1637">
        <v>14.18</v>
      </c>
      <c r="N1637">
        <v>13.88</v>
      </c>
      <c r="T1637" t="s">
        <v>49</v>
      </c>
      <c r="U1637">
        <v>1</v>
      </c>
      <c r="V1637">
        <v>5</v>
      </c>
    </row>
    <row r="1638" spans="1:22" x14ac:dyDescent="0.3">
      <c r="A1638">
        <v>1637</v>
      </c>
      <c r="B1638">
        <v>47713</v>
      </c>
      <c r="C1638" s="2">
        <v>37609</v>
      </c>
      <c r="D1638">
        <v>23</v>
      </c>
      <c r="E1638" t="s">
        <v>42</v>
      </c>
      <c r="F1638" t="s">
        <v>50</v>
      </c>
      <c r="G1638" s="2">
        <v>45382</v>
      </c>
      <c r="H1638" s="3">
        <f t="shared" si="25"/>
        <v>2.5863013698630137</v>
      </c>
      <c r="I1638">
        <v>33</v>
      </c>
      <c r="J1638" t="s">
        <v>38</v>
      </c>
      <c r="K1638" t="s">
        <v>56</v>
      </c>
      <c r="L1638" t="s">
        <v>44</v>
      </c>
      <c r="M1638">
        <v>8.51</v>
      </c>
      <c r="T1638" t="s">
        <v>49</v>
      </c>
      <c r="U1638">
        <v>3</v>
      </c>
      <c r="V1638">
        <v>6</v>
      </c>
    </row>
    <row r="1639" spans="1:22" x14ac:dyDescent="0.3">
      <c r="A1639">
        <v>1638</v>
      </c>
      <c r="B1639">
        <v>47724</v>
      </c>
      <c r="C1639" s="2">
        <v>33461</v>
      </c>
      <c r="D1639">
        <v>34</v>
      </c>
      <c r="E1639" t="s">
        <v>42</v>
      </c>
      <c r="F1639" t="s">
        <v>50</v>
      </c>
      <c r="G1639" s="2">
        <v>45078</v>
      </c>
      <c r="H1639" s="3">
        <f t="shared" si="25"/>
        <v>2.7561643835616438</v>
      </c>
      <c r="I1639">
        <v>12</v>
      </c>
      <c r="J1639" t="s">
        <v>38</v>
      </c>
      <c r="K1639" t="s">
        <v>46</v>
      </c>
      <c r="L1639" t="s">
        <v>44</v>
      </c>
      <c r="M1639">
        <v>14.18</v>
      </c>
      <c r="N1639">
        <v>13.88</v>
      </c>
      <c r="T1639" t="s">
        <v>52</v>
      </c>
      <c r="U1639">
        <v>0</v>
      </c>
      <c r="V1639">
        <v>5</v>
      </c>
    </row>
    <row r="1640" spans="1:22" x14ac:dyDescent="0.3">
      <c r="A1640">
        <v>1639</v>
      </c>
      <c r="B1640">
        <v>47731</v>
      </c>
      <c r="C1640" s="2">
        <v>36037</v>
      </c>
      <c r="D1640">
        <v>27</v>
      </c>
      <c r="E1640" t="s">
        <v>42</v>
      </c>
      <c r="F1640" t="s">
        <v>37</v>
      </c>
      <c r="G1640" s="2">
        <v>45016</v>
      </c>
      <c r="H1640" s="3">
        <f t="shared" si="25"/>
        <v>1.9452054794520548</v>
      </c>
      <c r="I1640">
        <v>33</v>
      </c>
      <c r="J1640" t="s">
        <v>38</v>
      </c>
      <c r="K1640" t="s">
        <v>56</v>
      </c>
      <c r="L1640" t="s">
        <v>44</v>
      </c>
      <c r="M1640">
        <v>8.5</v>
      </c>
      <c r="N1640">
        <v>8.26</v>
      </c>
      <c r="T1640" t="s">
        <v>47</v>
      </c>
      <c r="U1640">
        <v>1</v>
      </c>
      <c r="V1640">
        <v>5</v>
      </c>
    </row>
    <row r="1641" spans="1:22" x14ac:dyDescent="0.3">
      <c r="A1641">
        <v>1640</v>
      </c>
      <c r="B1641">
        <v>47738</v>
      </c>
      <c r="C1641" s="2">
        <v>34806</v>
      </c>
      <c r="D1641">
        <v>30</v>
      </c>
      <c r="E1641" t="s">
        <v>36</v>
      </c>
      <c r="F1641" t="s">
        <v>50</v>
      </c>
      <c r="G1641" s="2">
        <v>45312</v>
      </c>
      <c r="H1641" s="3">
        <f t="shared" si="25"/>
        <v>2.7753424657534245</v>
      </c>
      <c r="I1641">
        <v>56</v>
      </c>
      <c r="J1641" t="s">
        <v>38</v>
      </c>
      <c r="K1641" t="s">
        <v>64</v>
      </c>
      <c r="L1641" t="s">
        <v>44</v>
      </c>
      <c r="M1641">
        <v>14.03</v>
      </c>
      <c r="T1641" t="s">
        <v>47</v>
      </c>
      <c r="U1641">
        <v>1</v>
      </c>
      <c r="V1641">
        <v>5</v>
      </c>
    </row>
    <row r="1642" spans="1:22" x14ac:dyDescent="0.3">
      <c r="A1642">
        <v>1641</v>
      </c>
      <c r="B1642">
        <v>47740</v>
      </c>
      <c r="C1642" s="2">
        <v>37706</v>
      </c>
      <c r="D1642">
        <v>22</v>
      </c>
      <c r="E1642" t="s">
        <v>42</v>
      </c>
      <c r="F1642" t="s">
        <v>50</v>
      </c>
      <c r="G1642" s="2">
        <v>45009</v>
      </c>
      <c r="H1642" s="3">
        <f t="shared" si="25"/>
        <v>1.989041095890411</v>
      </c>
      <c r="I1642">
        <v>66</v>
      </c>
      <c r="J1642" t="s">
        <v>57</v>
      </c>
      <c r="K1642" t="s">
        <v>65</v>
      </c>
      <c r="L1642" t="s">
        <v>44</v>
      </c>
      <c r="M1642">
        <v>10.58</v>
      </c>
      <c r="N1642">
        <v>10.38</v>
      </c>
      <c r="T1642" t="s">
        <v>47</v>
      </c>
      <c r="U1642">
        <v>0</v>
      </c>
      <c r="V1642">
        <v>5</v>
      </c>
    </row>
    <row r="1643" spans="1:22" x14ac:dyDescent="0.3">
      <c r="A1643">
        <v>1642</v>
      </c>
      <c r="B1643">
        <v>47743</v>
      </c>
      <c r="C1643" s="2">
        <v>38033</v>
      </c>
      <c r="D1643">
        <v>21</v>
      </c>
      <c r="E1643" t="s">
        <v>42</v>
      </c>
      <c r="F1643" t="s">
        <v>37</v>
      </c>
      <c r="G1643" s="2">
        <v>45296</v>
      </c>
      <c r="H1643" s="3">
        <f t="shared" si="25"/>
        <v>1.9287671232876713</v>
      </c>
      <c r="I1643">
        <v>69</v>
      </c>
      <c r="J1643" t="s">
        <v>57</v>
      </c>
      <c r="K1643" t="s">
        <v>56</v>
      </c>
      <c r="L1643" t="s">
        <v>44</v>
      </c>
      <c r="M1643">
        <v>8.4600000000000009</v>
      </c>
      <c r="T1643" t="s">
        <v>47</v>
      </c>
      <c r="U1643">
        <v>4</v>
      </c>
      <c r="V1643">
        <v>7</v>
      </c>
    </row>
    <row r="1644" spans="1:22" x14ac:dyDescent="0.3">
      <c r="A1644">
        <v>1643</v>
      </c>
      <c r="B1644">
        <v>47745</v>
      </c>
      <c r="C1644" s="2">
        <v>36205</v>
      </c>
      <c r="D1644">
        <v>26</v>
      </c>
      <c r="E1644" t="s">
        <v>36</v>
      </c>
      <c r="F1644" t="s">
        <v>50</v>
      </c>
      <c r="G1644" s="2">
        <v>45318</v>
      </c>
      <c r="H1644" s="3">
        <f t="shared" si="25"/>
        <v>2.1698630136986301</v>
      </c>
      <c r="I1644">
        <v>77</v>
      </c>
      <c r="J1644" t="s">
        <v>57</v>
      </c>
      <c r="K1644" t="s">
        <v>68</v>
      </c>
      <c r="L1644" t="s">
        <v>44</v>
      </c>
      <c r="M1644">
        <v>16.78</v>
      </c>
      <c r="T1644" t="s">
        <v>47</v>
      </c>
      <c r="U1644">
        <v>3</v>
      </c>
      <c r="V1644">
        <v>5</v>
      </c>
    </row>
    <row r="1645" spans="1:22" x14ac:dyDescent="0.3">
      <c r="A1645">
        <v>1644</v>
      </c>
      <c r="B1645">
        <v>47763</v>
      </c>
      <c r="C1645" s="2">
        <v>37683</v>
      </c>
      <c r="D1645">
        <v>22</v>
      </c>
      <c r="E1645" t="s">
        <v>42</v>
      </c>
      <c r="F1645" t="s">
        <v>37</v>
      </c>
      <c r="G1645" s="2">
        <v>45230</v>
      </c>
      <c r="H1645" s="3">
        <f t="shared" si="25"/>
        <v>1.9534246575342467</v>
      </c>
      <c r="I1645">
        <v>37</v>
      </c>
      <c r="J1645" t="s">
        <v>38</v>
      </c>
      <c r="K1645" t="s">
        <v>56</v>
      </c>
      <c r="L1645" t="s">
        <v>44</v>
      </c>
      <c r="M1645">
        <v>8.5399999999999991</v>
      </c>
      <c r="N1645">
        <v>8.26</v>
      </c>
      <c r="T1645" t="s">
        <v>49</v>
      </c>
      <c r="U1645">
        <v>2</v>
      </c>
      <c r="V1645">
        <v>6</v>
      </c>
    </row>
    <row r="1646" spans="1:22" x14ac:dyDescent="0.3">
      <c r="A1646">
        <v>1645</v>
      </c>
      <c r="B1646">
        <v>47773</v>
      </c>
      <c r="C1646" s="2">
        <v>35016</v>
      </c>
      <c r="D1646">
        <v>30</v>
      </c>
      <c r="E1646" t="s">
        <v>36</v>
      </c>
      <c r="F1646" t="s">
        <v>50</v>
      </c>
      <c r="G1646" s="2">
        <v>45309</v>
      </c>
      <c r="H1646" s="3">
        <f t="shared" si="25"/>
        <v>2.3534246575342466</v>
      </c>
      <c r="I1646">
        <v>141</v>
      </c>
      <c r="J1646" t="s">
        <v>57</v>
      </c>
      <c r="K1646" t="s">
        <v>55</v>
      </c>
      <c r="L1646" t="s">
        <v>44</v>
      </c>
      <c r="M1646">
        <v>17.309999999999999</v>
      </c>
      <c r="T1646" t="s">
        <v>47</v>
      </c>
      <c r="U1646">
        <v>2</v>
      </c>
      <c r="V1646">
        <v>5</v>
      </c>
    </row>
    <row r="1647" spans="1:22" x14ac:dyDescent="0.3">
      <c r="A1647">
        <v>1646</v>
      </c>
      <c r="B1647">
        <v>47782</v>
      </c>
      <c r="C1647" s="2">
        <v>34610</v>
      </c>
      <c r="D1647">
        <v>31</v>
      </c>
      <c r="E1647" t="s">
        <v>36</v>
      </c>
      <c r="F1647" t="s">
        <v>50</v>
      </c>
      <c r="G1647" s="2">
        <v>45163</v>
      </c>
      <c r="H1647" s="3">
        <f t="shared" si="25"/>
        <v>2.2328767123287672</v>
      </c>
      <c r="I1647">
        <v>30</v>
      </c>
      <c r="J1647" t="s">
        <v>38</v>
      </c>
      <c r="K1647" t="s">
        <v>46</v>
      </c>
      <c r="L1647" t="s">
        <v>44</v>
      </c>
      <c r="M1647">
        <v>14.18</v>
      </c>
      <c r="N1647">
        <v>13.88</v>
      </c>
      <c r="T1647" t="s">
        <v>47</v>
      </c>
      <c r="U1647">
        <v>0</v>
      </c>
      <c r="V1647">
        <v>4</v>
      </c>
    </row>
    <row r="1648" spans="1:22" x14ac:dyDescent="0.3">
      <c r="A1648">
        <v>1647</v>
      </c>
      <c r="B1648">
        <v>47784</v>
      </c>
      <c r="C1648" s="2">
        <v>37779</v>
      </c>
      <c r="D1648">
        <v>22</v>
      </c>
      <c r="E1648" t="s">
        <v>36</v>
      </c>
      <c r="F1648" t="s">
        <v>50</v>
      </c>
      <c r="G1648" s="2">
        <v>45207</v>
      </c>
      <c r="H1648" s="3">
        <f t="shared" si="25"/>
        <v>2.6328767123287671</v>
      </c>
      <c r="I1648">
        <v>58</v>
      </c>
      <c r="J1648" t="s">
        <v>38</v>
      </c>
      <c r="K1648" t="s">
        <v>56</v>
      </c>
      <c r="L1648" t="s">
        <v>44</v>
      </c>
      <c r="M1648">
        <v>8.5399999999999991</v>
      </c>
      <c r="N1648">
        <v>8.26</v>
      </c>
      <c r="T1648" t="s">
        <v>45</v>
      </c>
      <c r="U1648">
        <v>2</v>
      </c>
      <c r="V1648">
        <v>3</v>
      </c>
    </row>
    <row r="1649" spans="1:22" x14ac:dyDescent="0.3">
      <c r="A1649">
        <v>1648</v>
      </c>
      <c r="B1649">
        <v>47786</v>
      </c>
      <c r="C1649" s="2">
        <v>37631</v>
      </c>
      <c r="D1649">
        <v>22</v>
      </c>
      <c r="E1649" t="s">
        <v>36</v>
      </c>
      <c r="F1649" t="s">
        <v>37</v>
      </c>
      <c r="G1649" s="2">
        <v>45061</v>
      </c>
      <c r="H1649" s="3">
        <f t="shared" si="25"/>
        <v>2.7369863013698632</v>
      </c>
      <c r="I1649">
        <v>8</v>
      </c>
      <c r="J1649" t="s">
        <v>38</v>
      </c>
      <c r="K1649" t="s">
        <v>65</v>
      </c>
      <c r="L1649" t="s">
        <v>44</v>
      </c>
      <c r="M1649">
        <v>10.58</v>
      </c>
      <c r="N1649">
        <v>10.38</v>
      </c>
      <c r="T1649" t="s">
        <v>52</v>
      </c>
      <c r="U1649">
        <v>0</v>
      </c>
      <c r="V1649">
        <v>3</v>
      </c>
    </row>
    <row r="1650" spans="1:22" x14ac:dyDescent="0.3">
      <c r="A1650">
        <v>1649</v>
      </c>
      <c r="B1650">
        <v>47787</v>
      </c>
      <c r="C1650" s="2">
        <v>38301</v>
      </c>
      <c r="D1650">
        <v>21</v>
      </c>
      <c r="E1650" t="s">
        <v>42</v>
      </c>
      <c r="F1650" t="s">
        <v>37</v>
      </c>
      <c r="G1650" s="2">
        <v>45023</v>
      </c>
      <c r="H1650" s="3">
        <f t="shared" si="25"/>
        <v>2.1643835616438358</v>
      </c>
      <c r="I1650">
        <v>10</v>
      </c>
      <c r="J1650" t="s">
        <v>38</v>
      </c>
      <c r="K1650" t="s">
        <v>56</v>
      </c>
      <c r="L1650" t="s">
        <v>44</v>
      </c>
      <c r="M1650">
        <v>8.4600000000000009</v>
      </c>
      <c r="N1650">
        <v>8.26</v>
      </c>
      <c r="T1650" t="s">
        <v>49</v>
      </c>
      <c r="U1650">
        <v>4</v>
      </c>
      <c r="V1650">
        <v>7</v>
      </c>
    </row>
    <row r="1651" spans="1:22" x14ac:dyDescent="0.3">
      <c r="A1651">
        <v>1650</v>
      </c>
      <c r="B1651">
        <v>47792</v>
      </c>
      <c r="C1651" s="2">
        <v>38068</v>
      </c>
      <c r="D1651">
        <v>21</v>
      </c>
      <c r="E1651" t="s">
        <v>42</v>
      </c>
      <c r="F1651" t="s">
        <v>37</v>
      </c>
      <c r="G1651" s="2">
        <v>45232</v>
      </c>
      <c r="H1651" s="3">
        <f t="shared" si="25"/>
        <v>2.56986301369863</v>
      </c>
      <c r="I1651">
        <v>33</v>
      </c>
      <c r="J1651" t="s">
        <v>38</v>
      </c>
      <c r="K1651" t="s">
        <v>46</v>
      </c>
      <c r="L1651" t="s">
        <v>44</v>
      </c>
      <c r="M1651">
        <v>14.16</v>
      </c>
      <c r="N1651">
        <v>13.88</v>
      </c>
      <c r="T1651" t="s">
        <v>45</v>
      </c>
      <c r="U1651">
        <v>1</v>
      </c>
      <c r="V1651">
        <v>5</v>
      </c>
    </row>
    <row r="1652" spans="1:22" x14ac:dyDescent="0.3">
      <c r="A1652">
        <v>1651</v>
      </c>
      <c r="B1652">
        <v>47796</v>
      </c>
      <c r="C1652" s="2">
        <v>38054</v>
      </c>
      <c r="D1652">
        <v>21</v>
      </c>
      <c r="E1652" t="s">
        <v>42</v>
      </c>
      <c r="F1652" t="s">
        <v>37</v>
      </c>
      <c r="G1652" s="2">
        <v>45084</v>
      </c>
      <c r="H1652" s="3">
        <f t="shared" si="25"/>
        <v>2.0684931506849313</v>
      </c>
      <c r="I1652">
        <v>46</v>
      </c>
      <c r="J1652" t="s">
        <v>38</v>
      </c>
      <c r="K1652" t="s">
        <v>46</v>
      </c>
      <c r="L1652" t="s">
        <v>44</v>
      </c>
      <c r="M1652">
        <v>14.23</v>
      </c>
      <c r="N1652">
        <v>13.88</v>
      </c>
      <c r="T1652" t="s">
        <v>49</v>
      </c>
      <c r="U1652">
        <v>1</v>
      </c>
      <c r="V1652">
        <v>6</v>
      </c>
    </row>
    <row r="1653" spans="1:22" x14ac:dyDescent="0.3">
      <c r="A1653">
        <v>1652</v>
      </c>
      <c r="B1653">
        <v>47797</v>
      </c>
      <c r="C1653" s="2">
        <v>37046</v>
      </c>
      <c r="D1653">
        <v>24</v>
      </c>
      <c r="E1653" t="s">
        <v>42</v>
      </c>
      <c r="F1653" t="s">
        <v>50</v>
      </c>
      <c r="G1653" s="2">
        <v>45267</v>
      </c>
      <c r="H1653" s="3">
        <f t="shared" si="25"/>
        <v>1.832876712328767</v>
      </c>
      <c r="I1653">
        <v>46</v>
      </c>
      <c r="J1653" t="s">
        <v>38</v>
      </c>
      <c r="K1653" t="s">
        <v>56</v>
      </c>
      <c r="L1653" t="s">
        <v>44</v>
      </c>
      <c r="M1653">
        <v>8.5399999999999991</v>
      </c>
      <c r="N1653">
        <v>8.26</v>
      </c>
      <c r="T1653" t="s">
        <v>45</v>
      </c>
      <c r="U1653">
        <v>4</v>
      </c>
      <c r="V1653">
        <v>7</v>
      </c>
    </row>
    <row r="1654" spans="1:22" x14ac:dyDescent="0.3">
      <c r="A1654">
        <v>1653</v>
      </c>
      <c r="B1654">
        <v>47801</v>
      </c>
      <c r="C1654" s="2">
        <v>38741</v>
      </c>
      <c r="D1654">
        <v>19</v>
      </c>
      <c r="E1654" t="s">
        <v>42</v>
      </c>
      <c r="F1654" t="s">
        <v>50</v>
      </c>
      <c r="G1654" s="2">
        <v>45353</v>
      </c>
      <c r="H1654" s="3">
        <f t="shared" si="25"/>
        <v>2.4657534246575343</v>
      </c>
      <c r="I1654">
        <v>63</v>
      </c>
      <c r="J1654" t="s">
        <v>38</v>
      </c>
      <c r="K1654" t="s">
        <v>56</v>
      </c>
      <c r="L1654" t="s">
        <v>44</v>
      </c>
      <c r="M1654">
        <v>8.4600000000000009</v>
      </c>
      <c r="T1654" t="s">
        <v>47</v>
      </c>
      <c r="U1654">
        <v>2</v>
      </c>
      <c r="V1654">
        <v>5</v>
      </c>
    </row>
    <row r="1655" spans="1:22" x14ac:dyDescent="0.3">
      <c r="A1655">
        <v>1654</v>
      </c>
      <c r="B1655">
        <v>47808</v>
      </c>
      <c r="C1655" s="2">
        <v>37339</v>
      </c>
      <c r="D1655">
        <v>23</v>
      </c>
      <c r="E1655" t="s">
        <v>36</v>
      </c>
      <c r="F1655" t="s">
        <v>50</v>
      </c>
      <c r="G1655" s="2">
        <v>45122</v>
      </c>
      <c r="H1655" s="3">
        <f t="shared" si="25"/>
        <v>2.8630136986301369</v>
      </c>
      <c r="I1655">
        <v>30</v>
      </c>
      <c r="J1655" t="s">
        <v>38</v>
      </c>
      <c r="K1655" t="s">
        <v>55</v>
      </c>
      <c r="L1655" t="s">
        <v>44</v>
      </c>
      <c r="M1655">
        <v>17.46</v>
      </c>
      <c r="N1655">
        <v>17.16</v>
      </c>
      <c r="T1655" t="s">
        <v>49</v>
      </c>
      <c r="U1655">
        <v>4</v>
      </c>
      <c r="V1655">
        <v>4</v>
      </c>
    </row>
    <row r="1656" spans="1:22" x14ac:dyDescent="0.3">
      <c r="A1656">
        <v>1655</v>
      </c>
      <c r="B1656">
        <v>47809</v>
      </c>
      <c r="C1656" s="2">
        <v>37404</v>
      </c>
      <c r="D1656">
        <v>23</v>
      </c>
      <c r="E1656" t="s">
        <v>42</v>
      </c>
      <c r="F1656" t="s">
        <v>50</v>
      </c>
      <c r="G1656" s="2">
        <v>44977</v>
      </c>
      <c r="H1656" s="3">
        <f t="shared" si="25"/>
        <v>2.4986301369863013</v>
      </c>
      <c r="I1656">
        <v>67</v>
      </c>
      <c r="J1656" t="s">
        <v>57</v>
      </c>
      <c r="K1656" t="s">
        <v>48</v>
      </c>
      <c r="L1656" t="s">
        <v>44</v>
      </c>
      <c r="M1656">
        <v>8.5</v>
      </c>
      <c r="N1656">
        <v>8.26</v>
      </c>
      <c r="T1656" t="s">
        <v>45</v>
      </c>
      <c r="U1656">
        <v>3</v>
      </c>
      <c r="V1656">
        <v>6</v>
      </c>
    </row>
    <row r="1657" spans="1:22" x14ac:dyDescent="0.3">
      <c r="A1657">
        <v>1656</v>
      </c>
      <c r="B1657">
        <v>47812</v>
      </c>
      <c r="C1657" s="2">
        <v>36080</v>
      </c>
      <c r="D1657">
        <v>27</v>
      </c>
      <c r="E1657" t="s">
        <v>42</v>
      </c>
      <c r="F1657" t="s">
        <v>37</v>
      </c>
      <c r="G1657" s="2">
        <v>45110</v>
      </c>
      <c r="H1657" s="3">
        <f t="shared" si="25"/>
        <v>2.3013698630136985</v>
      </c>
      <c r="I1657">
        <v>33</v>
      </c>
      <c r="J1657" t="s">
        <v>38</v>
      </c>
      <c r="K1657" t="s">
        <v>48</v>
      </c>
      <c r="L1657" t="s">
        <v>44</v>
      </c>
      <c r="M1657">
        <v>17.73</v>
      </c>
      <c r="N1657">
        <v>17.46</v>
      </c>
      <c r="T1657" t="s">
        <v>49</v>
      </c>
      <c r="U1657">
        <v>2</v>
      </c>
      <c r="V1657">
        <v>5</v>
      </c>
    </row>
    <row r="1658" spans="1:22" x14ac:dyDescent="0.3">
      <c r="A1658">
        <v>1657</v>
      </c>
      <c r="B1658">
        <v>47815</v>
      </c>
      <c r="C1658" s="2">
        <v>27671</v>
      </c>
      <c r="D1658">
        <v>50</v>
      </c>
      <c r="E1658" t="s">
        <v>36</v>
      </c>
      <c r="F1658" t="s">
        <v>50</v>
      </c>
      <c r="G1658" s="2">
        <v>45182</v>
      </c>
      <c r="H1658" s="3">
        <f t="shared" si="25"/>
        <v>2.6356164383561644</v>
      </c>
      <c r="I1658">
        <v>69</v>
      </c>
      <c r="J1658" t="s">
        <v>57</v>
      </c>
      <c r="K1658" t="s">
        <v>54</v>
      </c>
      <c r="L1658" t="s">
        <v>44</v>
      </c>
      <c r="M1658">
        <v>23.52</v>
      </c>
      <c r="N1658">
        <v>23.2</v>
      </c>
      <c r="T1658" t="s">
        <v>52</v>
      </c>
      <c r="U1658">
        <v>7</v>
      </c>
      <c r="V1658">
        <v>7</v>
      </c>
    </row>
    <row r="1659" spans="1:22" x14ac:dyDescent="0.3">
      <c r="A1659">
        <v>1658</v>
      </c>
      <c r="B1659">
        <v>47816</v>
      </c>
      <c r="C1659" s="2">
        <v>38202</v>
      </c>
      <c r="D1659">
        <v>21</v>
      </c>
      <c r="E1659" t="s">
        <v>36</v>
      </c>
      <c r="F1659" t="s">
        <v>50</v>
      </c>
      <c r="G1659" s="2">
        <v>45060</v>
      </c>
      <c r="H1659" s="3">
        <f t="shared" si="25"/>
        <v>1.9561643835616438</v>
      </c>
      <c r="I1659">
        <v>133</v>
      </c>
      <c r="J1659" t="s">
        <v>57</v>
      </c>
      <c r="K1659" t="s">
        <v>46</v>
      </c>
      <c r="L1659" t="s">
        <v>44</v>
      </c>
      <c r="M1659">
        <v>14.18</v>
      </c>
      <c r="N1659">
        <v>13.88</v>
      </c>
      <c r="T1659" t="s">
        <v>47</v>
      </c>
      <c r="U1659">
        <v>0</v>
      </c>
      <c r="V1659">
        <v>5</v>
      </c>
    </row>
    <row r="1660" spans="1:22" x14ac:dyDescent="0.3">
      <c r="A1660">
        <v>1659</v>
      </c>
      <c r="B1660">
        <v>47828</v>
      </c>
      <c r="C1660" s="2">
        <v>38208</v>
      </c>
      <c r="D1660">
        <v>21</v>
      </c>
      <c r="E1660" t="s">
        <v>42</v>
      </c>
      <c r="F1660" t="s">
        <v>37</v>
      </c>
      <c r="G1660" s="2">
        <v>45308</v>
      </c>
      <c r="H1660" s="3">
        <f t="shared" si="25"/>
        <v>2.3643835616438356</v>
      </c>
      <c r="I1660">
        <v>33</v>
      </c>
      <c r="J1660" t="s">
        <v>38</v>
      </c>
      <c r="K1660" t="s">
        <v>46</v>
      </c>
      <c r="L1660" t="s">
        <v>44</v>
      </c>
      <c r="M1660">
        <v>14.27</v>
      </c>
      <c r="T1660" t="s">
        <v>52</v>
      </c>
      <c r="U1660">
        <v>1</v>
      </c>
      <c r="V1660">
        <v>6</v>
      </c>
    </row>
    <row r="1661" spans="1:22" x14ac:dyDescent="0.3">
      <c r="A1661">
        <v>1660</v>
      </c>
      <c r="B1661">
        <v>47830</v>
      </c>
      <c r="C1661" s="2">
        <v>38649</v>
      </c>
      <c r="D1661">
        <v>20</v>
      </c>
      <c r="E1661" t="s">
        <v>42</v>
      </c>
      <c r="F1661" t="s">
        <v>37</v>
      </c>
      <c r="G1661" s="2">
        <v>45159</v>
      </c>
      <c r="H1661" s="3">
        <f t="shared" si="25"/>
        <v>2.1780821917808217</v>
      </c>
      <c r="I1661">
        <v>37</v>
      </c>
      <c r="J1661" t="s">
        <v>38</v>
      </c>
      <c r="K1661" t="s">
        <v>56</v>
      </c>
      <c r="L1661" t="s">
        <v>44</v>
      </c>
      <c r="M1661">
        <v>8.4499999999999993</v>
      </c>
      <c r="N1661">
        <v>8.26</v>
      </c>
      <c r="T1661" t="s">
        <v>49</v>
      </c>
      <c r="U1661">
        <v>2</v>
      </c>
      <c r="V1661">
        <v>5</v>
      </c>
    </row>
    <row r="1662" spans="1:22" x14ac:dyDescent="0.3">
      <c r="A1662">
        <v>1661</v>
      </c>
      <c r="B1662">
        <v>47833</v>
      </c>
      <c r="C1662" s="2">
        <v>34784</v>
      </c>
      <c r="D1662">
        <v>30</v>
      </c>
      <c r="E1662" t="s">
        <v>36</v>
      </c>
      <c r="F1662" t="s">
        <v>50</v>
      </c>
      <c r="G1662" s="2">
        <v>45227</v>
      </c>
      <c r="H1662" s="3">
        <f t="shared" si="25"/>
        <v>2.3315068493150686</v>
      </c>
      <c r="I1662">
        <v>49</v>
      </c>
      <c r="J1662" t="s">
        <v>38</v>
      </c>
      <c r="K1662" t="s">
        <v>55</v>
      </c>
      <c r="L1662" t="s">
        <v>44</v>
      </c>
      <c r="M1662">
        <v>17.16</v>
      </c>
      <c r="N1662">
        <v>17.16</v>
      </c>
      <c r="T1662" t="s">
        <v>52</v>
      </c>
      <c r="U1662">
        <v>4</v>
      </c>
      <c r="V1662">
        <v>5</v>
      </c>
    </row>
    <row r="1663" spans="1:22" x14ac:dyDescent="0.3">
      <c r="A1663">
        <v>1662</v>
      </c>
      <c r="B1663">
        <v>47834</v>
      </c>
      <c r="C1663" s="2">
        <v>35650</v>
      </c>
      <c r="D1663">
        <v>28</v>
      </c>
      <c r="E1663" t="s">
        <v>42</v>
      </c>
      <c r="F1663" t="s">
        <v>50</v>
      </c>
      <c r="G1663" s="2">
        <v>45171</v>
      </c>
      <c r="H1663" s="3">
        <f t="shared" si="25"/>
        <v>2.106849315068493</v>
      </c>
      <c r="I1663">
        <v>49</v>
      </c>
      <c r="J1663" t="s">
        <v>38</v>
      </c>
      <c r="K1663" t="s">
        <v>56</v>
      </c>
      <c r="L1663" t="s">
        <v>44</v>
      </c>
      <c r="M1663">
        <v>8.4700000000000006</v>
      </c>
      <c r="N1663">
        <v>8.26</v>
      </c>
      <c r="T1663" t="s">
        <v>47</v>
      </c>
      <c r="U1663">
        <v>4</v>
      </c>
      <c r="V1663">
        <v>7</v>
      </c>
    </row>
    <row r="1664" spans="1:22" x14ac:dyDescent="0.3">
      <c r="A1664">
        <v>1663</v>
      </c>
      <c r="B1664">
        <v>47843</v>
      </c>
      <c r="C1664" s="2">
        <v>37310</v>
      </c>
      <c r="D1664">
        <v>23</v>
      </c>
      <c r="E1664" t="s">
        <v>36</v>
      </c>
      <c r="F1664" t="s">
        <v>50</v>
      </c>
      <c r="G1664" s="2">
        <v>45253</v>
      </c>
      <c r="H1664" s="3">
        <f t="shared" si="25"/>
        <v>1.9534246575342467</v>
      </c>
      <c r="I1664">
        <v>139</v>
      </c>
      <c r="J1664" t="s">
        <v>57</v>
      </c>
      <c r="K1664" t="s">
        <v>64</v>
      </c>
      <c r="L1664" t="s">
        <v>44</v>
      </c>
      <c r="M1664">
        <v>14.03</v>
      </c>
      <c r="N1664">
        <v>13.73</v>
      </c>
      <c r="T1664" t="s">
        <v>47</v>
      </c>
      <c r="U1664">
        <v>1</v>
      </c>
      <c r="V1664">
        <v>4</v>
      </c>
    </row>
    <row r="1665" spans="1:22" x14ac:dyDescent="0.3">
      <c r="A1665">
        <v>1664</v>
      </c>
      <c r="B1665">
        <v>47844</v>
      </c>
      <c r="C1665" s="2">
        <v>38597</v>
      </c>
      <c r="D1665">
        <v>20</v>
      </c>
      <c r="E1665" t="s">
        <v>36</v>
      </c>
      <c r="F1665" t="s">
        <v>50</v>
      </c>
      <c r="G1665" s="2">
        <v>45309</v>
      </c>
      <c r="H1665" s="3">
        <f t="shared" si="25"/>
        <v>2.0630136986301371</v>
      </c>
      <c r="I1665">
        <v>55</v>
      </c>
      <c r="J1665" t="s">
        <v>38</v>
      </c>
      <c r="K1665" t="s">
        <v>43</v>
      </c>
      <c r="L1665" t="s">
        <v>44</v>
      </c>
      <c r="M1665">
        <v>16.12</v>
      </c>
      <c r="T1665" t="s">
        <v>47</v>
      </c>
      <c r="U1665">
        <v>0</v>
      </c>
      <c r="V1665">
        <v>4</v>
      </c>
    </row>
    <row r="1666" spans="1:22" x14ac:dyDescent="0.3">
      <c r="A1666">
        <v>1665</v>
      </c>
      <c r="B1666">
        <v>47859</v>
      </c>
      <c r="C1666" s="2">
        <v>36044</v>
      </c>
      <c r="D1666">
        <v>27</v>
      </c>
      <c r="E1666" t="s">
        <v>42</v>
      </c>
      <c r="F1666" t="s">
        <v>37</v>
      </c>
      <c r="G1666" s="2">
        <v>45269</v>
      </c>
      <c r="H1666" s="3">
        <f t="shared" si="25"/>
        <v>2.6493150684931508</v>
      </c>
      <c r="I1666">
        <v>39</v>
      </c>
      <c r="J1666" t="s">
        <v>38</v>
      </c>
      <c r="K1666" t="s">
        <v>54</v>
      </c>
      <c r="L1666" t="s">
        <v>44</v>
      </c>
      <c r="M1666">
        <v>23.53</v>
      </c>
      <c r="N1666">
        <v>23.2</v>
      </c>
      <c r="T1666" t="s">
        <v>52</v>
      </c>
      <c r="U1666">
        <v>1</v>
      </c>
      <c r="V1666">
        <v>7</v>
      </c>
    </row>
    <row r="1667" spans="1:22" x14ac:dyDescent="0.3">
      <c r="A1667">
        <v>1666</v>
      </c>
      <c r="B1667">
        <v>47870</v>
      </c>
      <c r="C1667" s="2">
        <v>35798</v>
      </c>
      <c r="D1667">
        <v>27</v>
      </c>
      <c r="E1667" t="s">
        <v>42</v>
      </c>
      <c r="F1667" t="s">
        <v>37</v>
      </c>
      <c r="G1667" s="2">
        <v>45055</v>
      </c>
      <c r="H1667" s="3">
        <f t="shared" ref="H1667:H1730" si="26">DATEDIF(G1668,DATE(2025,12,31),"d")/365</f>
        <v>2.1917808219178081</v>
      </c>
      <c r="I1667">
        <v>20</v>
      </c>
      <c r="J1667" t="s">
        <v>38</v>
      </c>
      <c r="K1667" t="s">
        <v>55</v>
      </c>
      <c r="L1667" t="s">
        <v>44</v>
      </c>
      <c r="M1667">
        <v>17.48</v>
      </c>
      <c r="N1667">
        <v>17.16</v>
      </c>
      <c r="T1667" t="s">
        <v>45</v>
      </c>
      <c r="U1667">
        <v>0</v>
      </c>
      <c r="V1667">
        <v>5</v>
      </c>
    </row>
    <row r="1668" spans="1:22" x14ac:dyDescent="0.3">
      <c r="A1668">
        <v>1667</v>
      </c>
      <c r="B1668">
        <v>47872</v>
      </c>
      <c r="C1668" s="2">
        <v>37211</v>
      </c>
      <c r="D1668">
        <v>24</v>
      </c>
      <c r="E1668" t="s">
        <v>36</v>
      </c>
      <c r="F1668" t="s">
        <v>50</v>
      </c>
      <c r="G1668" s="2">
        <v>45222</v>
      </c>
      <c r="H1668" s="3">
        <f t="shared" si="26"/>
        <v>2.1506849315068495</v>
      </c>
      <c r="I1668">
        <v>39</v>
      </c>
      <c r="J1668" t="s">
        <v>38</v>
      </c>
      <c r="K1668" t="s">
        <v>65</v>
      </c>
      <c r="L1668" t="s">
        <v>44</v>
      </c>
      <c r="M1668">
        <v>10.38</v>
      </c>
      <c r="N1668">
        <v>10.38</v>
      </c>
      <c r="T1668" t="s">
        <v>47</v>
      </c>
      <c r="U1668">
        <v>0</v>
      </c>
      <c r="V1668">
        <v>4</v>
      </c>
    </row>
    <row r="1669" spans="1:22" x14ac:dyDescent="0.3">
      <c r="A1669">
        <v>1668</v>
      </c>
      <c r="B1669">
        <v>47888</v>
      </c>
      <c r="C1669" s="2">
        <v>38173</v>
      </c>
      <c r="D1669">
        <v>21</v>
      </c>
      <c r="E1669" t="s">
        <v>36</v>
      </c>
      <c r="F1669" t="s">
        <v>50</v>
      </c>
      <c r="G1669" s="2">
        <v>45237</v>
      </c>
      <c r="H1669" s="3">
        <f t="shared" si="26"/>
        <v>1.9150684931506849</v>
      </c>
      <c r="I1669">
        <v>70</v>
      </c>
      <c r="J1669" t="s">
        <v>57</v>
      </c>
      <c r="K1669" t="s">
        <v>65</v>
      </c>
      <c r="L1669" t="s">
        <v>44</v>
      </c>
      <c r="M1669">
        <v>10.53</v>
      </c>
      <c r="N1669">
        <v>10.38</v>
      </c>
      <c r="T1669" t="s">
        <v>47</v>
      </c>
      <c r="U1669">
        <v>0</v>
      </c>
      <c r="V1669">
        <v>3</v>
      </c>
    </row>
    <row r="1670" spans="1:22" x14ac:dyDescent="0.3">
      <c r="A1670">
        <v>1669</v>
      </c>
      <c r="B1670">
        <v>47902</v>
      </c>
      <c r="C1670" s="2">
        <v>35880</v>
      </c>
      <c r="D1670">
        <v>27</v>
      </c>
      <c r="E1670" t="s">
        <v>42</v>
      </c>
      <c r="F1670" t="s">
        <v>50</v>
      </c>
      <c r="G1670" s="2">
        <v>45323</v>
      </c>
      <c r="H1670" s="3">
        <f t="shared" si="26"/>
        <v>2.1534246575342464</v>
      </c>
      <c r="I1670">
        <v>19</v>
      </c>
      <c r="J1670" t="s">
        <v>38</v>
      </c>
      <c r="K1670" t="s">
        <v>55</v>
      </c>
      <c r="L1670" t="s">
        <v>44</v>
      </c>
      <c r="M1670">
        <v>17.47</v>
      </c>
      <c r="T1670" t="s">
        <v>52</v>
      </c>
      <c r="U1670">
        <v>2</v>
      </c>
      <c r="V1670">
        <v>7</v>
      </c>
    </row>
    <row r="1671" spans="1:22" x14ac:dyDescent="0.3">
      <c r="A1671">
        <v>1670</v>
      </c>
      <c r="B1671">
        <v>47906</v>
      </c>
      <c r="C1671" s="2">
        <v>36327</v>
      </c>
      <c r="D1671">
        <v>26</v>
      </c>
      <c r="E1671" t="s">
        <v>42</v>
      </c>
      <c r="F1671" t="s">
        <v>37</v>
      </c>
      <c r="G1671" s="2">
        <v>45236</v>
      </c>
      <c r="H1671" s="3">
        <f t="shared" si="26"/>
        <v>2.2630136986301368</v>
      </c>
      <c r="I1671">
        <v>35</v>
      </c>
      <c r="J1671" t="s">
        <v>38</v>
      </c>
      <c r="K1671" t="s">
        <v>56</v>
      </c>
      <c r="L1671" t="s">
        <v>44</v>
      </c>
      <c r="M1671">
        <v>8.4600000000000009</v>
      </c>
      <c r="N1671">
        <v>8.26</v>
      </c>
      <c r="T1671" t="s">
        <v>47</v>
      </c>
      <c r="U1671">
        <v>4</v>
      </c>
      <c r="V1671">
        <v>7</v>
      </c>
    </row>
    <row r="1672" spans="1:22" x14ac:dyDescent="0.3">
      <c r="A1672">
        <v>1671</v>
      </c>
      <c r="B1672">
        <v>47911</v>
      </c>
      <c r="C1672" s="2">
        <v>37364</v>
      </c>
      <c r="D1672">
        <v>23</v>
      </c>
      <c r="E1672" t="s">
        <v>42</v>
      </c>
      <c r="F1672" t="s">
        <v>50</v>
      </c>
      <c r="G1672" s="2">
        <v>45196</v>
      </c>
      <c r="H1672" s="3">
        <f t="shared" si="26"/>
        <v>2.0657534246575344</v>
      </c>
      <c r="I1672">
        <v>58</v>
      </c>
      <c r="J1672" t="s">
        <v>38</v>
      </c>
      <c r="K1672" t="s">
        <v>64</v>
      </c>
      <c r="L1672" t="s">
        <v>44</v>
      </c>
      <c r="M1672">
        <v>14.03</v>
      </c>
      <c r="N1672">
        <v>13.73</v>
      </c>
      <c r="T1672" t="s">
        <v>45</v>
      </c>
      <c r="U1672">
        <v>1</v>
      </c>
      <c r="V1672">
        <v>7</v>
      </c>
    </row>
    <row r="1673" spans="1:22" x14ac:dyDescent="0.3">
      <c r="A1673">
        <v>1672</v>
      </c>
      <c r="B1673">
        <v>47914</v>
      </c>
      <c r="C1673" s="2">
        <v>35969</v>
      </c>
      <c r="D1673">
        <v>27</v>
      </c>
      <c r="E1673" t="s">
        <v>42</v>
      </c>
      <c r="F1673" t="s">
        <v>50</v>
      </c>
      <c r="G1673" s="2">
        <v>45268</v>
      </c>
      <c r="H1673" s="3">
        <f t="shared" si="26"/>
        <v>2.106849315068493</v>
      </c>
      <c r="I1673">
        <v>72</v>
      </c>
      <c r="J1673" t="s">
        <v>57</v>
      </c>
      <c r="K1673" t="s">
        <v>46</v>
      </c>
      <c r="L1673" t="s">
        <v>44</v>
      </c>
      <c r="M1673">
        <v>14.18</v>
      </c>
      <c r="N1673">
        <v>13.88</v>
      </c>
      <c r="T1673" t="s">
        <v>47</v>
      </c>
      <c r="U1673">
        <v>0</v>
      </c>
      <c r="V1673">
        <v>6</v>
      </c>
    </row>
    <row r="1674" spans="1:22" x14ac:dyDescent="0.3">
      <c r="A1674">
        <v>1673</v>
      </c>
      <c r="B1674">
        <v>47917</v>
      </c>
      <c r="C1674" s="2">
        <v>36809</v>
      </c>
      <c r="D1674">
        <v>25</v>
      </c>
      <c r="E1674" t="s">
        <v>36</v>
      </c>
      <c r="F1674" t="s">
        <v>50</v>
      </c>
      <c r="G1674" s="2">
        <v>45253</v>
      </c>
      <c r="H1674" s="3">
        <f t="shared" si="26"/>
        <v>2.2109589041095892</v>
      </c>
      <c r="I1674">
        <v>90</v>
      </c>
      <c r="J1674" t="s">
        <v>57</v>
      </c>
      <c r="K1674" t="s">
        <v>55</v>
      </c>
      <c r="L1674" t="s">
        <v>44</v>
      </c>
      <c r="M1674">
        <v>17.16</v>
      </c>
      <c r="N1674">
        <v>17.16</v>
      </c>
      <c r="T1674" t="s">
        <v>49</v>
      </c>
      <c r="U1674">
        <v>2</v>
      </c>
      <c r="V1674">
        <v>3</v>
      </c>
    </row>
    <row r="1675" spans="1:22" x14ac:dyDescent="0.3">
      <c r="A1675">
        <v>1674</v>
      </c>
      <c r="B1675">
        <v>47948</v>
      </c>
      <c r="C1675" s="2">
        <v>35600</v>
      </c>
      <c r="D1675">
        <v>28</v>
      </c>
      <c r="E1675" t="s">
        <v>42</v>
      </c>
      <c r="F1675" t="s">
        <v>50</v>
      </c>
      <c r="G1675" s="2">
        <v>45215</v>
      </c>
      <c r="H1675" s="3">
        <f t="shared" si="26"/>
        <v>1.8493150684931507</v>
      </c>
      <c r="I1675">
        <v>10</v>
      </c>
      <c r="J1675" t="s">
        <v>38</v>
      </c>
      <c r="K1675" t="s">
        <v>68</v>
      </c>
      <c r="L1675" t="s">
        <v>44</v>
      </c>
      <c r="M1675">
        <v>16.78</v>
      </c>
      <c r="N1675">
        <v>16.579999999999998</v>
      </c>
      <c r="T1675" t="s">
        <v>49</v>
      </c>
      <c r="U1675">
        <v>0</v>
      </c>
      <c r="V1675">
        <v>5</v>
      </c>
    </row>
    <row r="1676" spans="1:22" x14ac:dyDescent="0.3">
      <c r="A1676">
        <v>1675</v>
      </c>
      <c r="B1676">
        <v>47954</v>
      </c>
      <c r="C1676" s="2">
        <v>33910</v>
      </c>
      <c r="D1676">
        <v>33</v>
      </c>
      <c r="E1676" t="s">
        <v>36</v>
      </c>
      <c r="F1676" t="s">
        <v>50</v>
      </c>
      <c r="G1676" s="2">
        <v>45347</v>
      </c>
      <c r="H1676" s="3">
        <f t="shared" si="26"/>
        <v>2.7863013698630139</v>
      </c>
      <c r="I1676">
        <v>12</v>
      </c>
      <c r="J1676" t="s">
        <v>38</v>
      </c>
      <c r="K1676" t="s">
        <v>68</v>
      </c>
      <c r="L1676" t="s">
        <v>44</v>
      </c>
      <c r="M1676">
        <v>16.78</v>
      </c>
      <c r="T1676" t="s">
        <v>45</v>
      </c>
      <c r="U1676">
        <v>2</v>
      </c>
      <c r="V1676">
        <v>5</v>
      </c>
    </row>
    <row r="1677" spans="1:22" x14ac:dyDescent="0.3">
      <c r="A1677">
        <v>1676</v>
      </c>
      <c r="B1677">
        <v>47959</v>
      </c>
      <c r="C1677" s="2">
        <v>38526</v>
      </c>
      <c r="D1677">
        <v>20</v>
      </c>
      <c r="E1677" t="s">
        <v>42</v>
      </c>
      <c r="F1677" t="s">
        <v>50</v>
      </c>
      <c r="G1677" s="2">
        <v>45005</v>
      </c>
      <c r="H1677" s="3">
        <f t="shared" si="26"/>
        <v>2.4027397260273973</v>
      </c>
      <c r="I1677">
        <v>15</v>
      </c>
      <c r="J1677" t="s">
        <v>38</v>
      </c>
      <c r="K1677" t="s">
        <v>56</v>
      </c>
      <c r="L1677" t="s">
        <v>44</v>
      </c>
      <c r="M1677">
        <v>8.4600000000000009</v>
      </c>
      <c r="N1677">
        <v>8.26</v>
      </c>
      <c r="T1677" t="s">
        <v>47</v>
      </c>
      <c r="U1677">
        <v>4</v>
      </c>
      <c r="V1677">
        <v>7</v>
      </c>
    </row>
    <row r="1678" spans="1:22" x14ac:dyDescent="0.3">
      <c r="A1678">
        <v>1677</v>
      </c>
      <c r="B1678">
        <v>47969</v>
      </c>
      <c r="C1678" s="2">
        <v>33248</v>
      </c>
      <c r="D1678">
        <v>34</v>
      </c>
      <c r="E1678" t="s">
        <v>42</v>
      </c>
      <c r="F1678" t="s">
        <v>50</v>
      </c>
      <c r="G1678" s="2">
        <v>45145</v>
      </c>
      <c r="H1678" s="3">
        <f t="shared" si="26"/>
        <v>2.506849315068493</v>
      </c>
      <c r="I1678">
        <v>19</v>
      </c>
      <c r="J1678" t="s">
        <v>38</v>
      </c>
      <c r="K1678" t="s">
        <v>68</v>
      </c>
      <c r="L1678" t="s">
        <v>44</v>
      </c>
      <c r="M1678">
        <v>16.829999999999998</v>
      </c>
      <c r="N1678">
        <v>16.579999999999998</v>
      </c>
      <c r="T1678" t="s">
        <v>47</v>
      </c>
      <c r="U1678">
        <v>2</v>
      </c>
      <c r="V1678">
        <v>6</v>
      </c>
    </row>
    <row r="1679" spans="1:22" x14ac:dyDescent="0.3">
      <c r="A1679">
        <v>1678</v>
      </c>
      <c r="B1679">
        <v>47974</v>
      </c>
      <c r="C1679" s="2">
        <v>33649</v>
      </c>
      <c r="D1679">
        <v>33</v>
      </c>
      <c r="E1679" t="s">
        <v>42</v>
      </c>
      <c r="F1679" t="s">
        <v>37</v>
      </c>
      <c r="G1679" s="2">
        <v>45107</v>
      </c>
      <c r="H1679" s="3">
        <f t="shared" si="26"/>
        <v>2.1315068493150684</v>
      </c>
      <c r="I1679">
        <v>22</v>
      </c>
      <c r="J1679" t="s">
        <v>38</v>
      </c>
      <c r="K1679" t="s">
        <v>56</v>
      </c>
      <c r="L1679" t="s">
        <v>44</v>
      </c>
      <c r="M1679">
        <v>8.36</v>
      </c>
      <c r="N1679">
        <v>8.26</v>
      </c>
      <c r="T1679" t="s">
        <v>52</v>
      </c>
      <c r="U1679">
        <v>2</v>
      </c>
      <c r="V1679">
        <v>5</v>
      </c>
    </row>
    <row r="1680" spans="1:22" x14ac:dyDescent="0.3">
      <c r="A1680">
        <v>1679</v>
      </c>
      <c r="B1680">
        <v>47986</v>
      </c>
      <c r="C1680" s="2">
        <v>38458</v>
      </c>
      <c r="D1680">
        <v>20</v>
      </c>
      <c r="E1680" t="s">
        <v>42</v>
      </c>
      <c r="F1680" t="s">
        <v>37</v>
      </c>
      <c r="G1680" s="2">
        <v>45244</v>
      </c>
      <c r="H1680" s="3">
        <f t="shared" si="26"/>
        <v>2.6739726027397261</v>
      </c>
      <c r="I1680">
        <v>28</v>
      </c>
      <c r="J1680" t="s">
        <v>38</v>
      </c>
      <c r="K1680" t="s">
        <v>56</v>
      </c>
      <c r="L1680" t="s">
        <v>44</v>
      </c>
      <c r="M1680">
        <v>8.36</v>
      </c>
      <c r="N1680">
        <v>8.26</v>
      </c>
      <c r="T1680" t="s">
        <v>52</v>
      </c>
      <c r="U1680">
        <v>4</v>
      </c>
      <c r="V1680">
        <v>4</v>
      </c>
    </row>
    <row r="1681" spans="1:22" x14ac:dyDescent="0.3">
      <c r="A1681">
        <v>1680</v>
      </c>
      <c r="B1681">
        <v>47996</v>
      </c>
      <c r="C1681" s="2">
        <v>36634</v>
      </c>
      <c r="D1681">
        <v>25</v>
      </c>
      <c r="E1681" t="s">
        <v>42</v>
      </c>
      <c r="F1681" t="s">
        <v>50</v>
      </c>
      <c r="G1681" s="2">
        <v>45046</v>
      </c>
      <c r="H1681" s="3">
        <f t="shared" si="26"/>
        <v>2.1397260273972605</v>
      </c>
      <c r="I1681">
        <v>32</v>
      </c>
      <c r="J1681" t="s">
        <v>38</v>
      </c>
      <c r="K1681" t="s">
        <v>68</v>
      </c>
      <c r="L1681" t="s">
        <v>44</v>
      </c>
      <c r="M1681">
        <v>16.78</v>
      </c>
      <c r="N1681">
        <v>16.579999999999998</v>
      </c>
      <c r="T1681" t="s">
        <v>52</v>
      </c>
      <c r="U1681">
        <v>2</v>
      </c>
      <c r="V1681">
        <v>6</v>
      </c>
    </row>
    <row r="1682" spans="1:22" x14ac:dyDescent="0.3">
      <c r="A1682">
        <v>1681</v>
      </c>
      <c r="B1682">
        <v>48007</v>
      </c>
      <c r="C1682" s="2">
        <v>38406</v>
      </c>
      <c r="D1682">
        <v>20</v>
      </c>
      <c r="E1682" t="s">
        <v>42</v>
      </c>
      <c r="F1682" t="s">
        <v>50</v>
      </c>
      <c r="G1682" s="2">
        <v>45241</v>
      </c>
      <c r="H1682" s="3">
        <f t="shared" si="26"/>
        <v>2.0493150684931507</v>
      </c>
      <c r="I1682">
        <v>37</v>
      </c>
      <c r="J1682" t="s">
        <v>38</v>
      </c>
      <c r="K1682" t="s">
        <v>56</v>
      </c>
      <c r="L1682" t="s">
        <v>44</v>
      </c>
      <c r="M1682">
        <v>8.5500000000000007</v>
      </c>
      <c r="N1682">
        <v>8.26</v>
      </c>
      <c r="T1682" t="s">
        <v>49</v>
      </c>
      <c r="U1682">
        <v>1</v>
      </c>
      <c r="V1682">
        <v>6</v>
      </c>
    </row>
    <row r="1683" spans="1:22" x14ac:dyDescent="0.3">
      <c r="A1683">
        <v>1682</v>
      </c>
      <c r="B1683">
        <v>48010</v>
      </c>
      <c r="C1683" s="2">
        <v>38287</v>
      </c>
      <c r="D1683">
        <v>21</v>
      </c>
      <c r="E1683" t="s">
        <v>42</v>
      </c>
      <c r="F1683" t="s">
        <v>50</v>
      </c>
      <c r="G1683" s="2">
        <v>45274</v>
      </c>
      <c r="H1683" s="3">
        <f t="shared" si="26"/>
        <v>2.2657534246575342</v>
      </c>
      <c r="I1683">
        <v>40</v>
      </c>
      <c r="J1683" t="s">
        <v>38</v>
      </c>
      <c r="K1683" t="s">
        <v>48</v>
      </c>
      <c r="L1683" t="s">
        <v>44</v>
      </c>
      <c r="M1683">
        <v>8.5299999999999994</v>
      </c>
      <c r="N1683">
        <v>8.26</v>
      </c>
      <c r="T1683" t="s">
        <v>52</v>
      </c>
      <c r="U1683">
        <v>4</v>
      </c>
      <c r="V1683">
        <v>6</v>
      </c>
    </row>
    <row r="1684" spans="1:22" x14ac:dyDescent="0.3">
      <c r="A1684">
        <v>1683</v>
      </c>
      <c r="B1684">
        <v>48015</v>
      </c>
      <c r="C1684" s="2">
        <v>37700</v>
      </c>
      <c r="D1684">
        <v>22</v>
      </c>
      <c r="E1684" t="s">
        <v>36</v>
      </c>
      <c r="F1684" t="s">
        <v>50</v>
      </c>
      <c r="G1684" s="2">
        <v>45195</v>
      </c>
      <c r="H1684" s="3">
        <f t="shared" si="26"/>
        <v>2.6876712328767125</v>
      </c>
      <c r="I1684">
        <v>41</v>
      </c>
      <c r="J1684" t="s">
        <v>38</v>
      </c>
      <c r="K1684" t="s">
        <v>56</v>
      </c>
      <c r="L1684" t="s">
        <v>44</v>
      </c>
      <c r="M1684">
        <v>8.4600000000000009</v>
      </c>
      <c r="N1684">
        <v>8.26</v>
      </c>
      <c r="T1684" t="s">
        <v>47</v>
      </c>
      <c r="U1684">
        <v>2</v>
      </c>
      <c r="V1684">
        <v>4</v>
      </c>
    </row>
    <row r="1685" spans="1:22" x14ac:dyDescent="0.3">
      <c r="A1685">
        <v>1684</v>
      </c>
      <c r="B1685">
        <v>48022</v>
      </c>
      <c r="C1685" s="2">
        <v>37930</v>
      </c>
      <c r="D1685">
        <v>22</v>
      </c>
      <c r="E1685" t="s">
        <v>36</v>
      </c>
      <c r="F1685" t="s">
        <v>50</v>
      </c>
      <c r="G1685" s="2">
        <v>45041</v>
      </c>
      <c r="H1685" s="3">
        <f t="shared" si="26"/>
        <v>2.1315068493150684</v>
      </c>
      <c r="I1685">
        <v>46</v>
      </c>
      <c r="J1685" t="s">
        <v>38</v>
      </c>
      <c r="K1685" t="s">
        <v>56</v>
      </c>
      <c r="L1685" t="s">
        <v>44</v>
      </c>
      <c r="M1685">
        <v>8.51</v>
      </c>
      <c r="N1685">
        <v>8.26</v>
      </c>
      <c r="T1685" t="s">
        <v>45</v>
      </c>
      <c r="U1685">
        <v>4</v>
      </c>
      <c r="V1685">
        <v>5</v>
      </c>
    </row>
    <row r="1686" spans="1:22" x14ac:dyDescent="0.3">
      <c r="A1686">
        <v>1685</v>
      </c>
      <c r="B1686">
        <v>48053</v>
      </c>
      <c r="C1686" s="2">
        <v>38869</v>
      </c>
      <c r="D1686">
        <v>20</v>
      </c>
      <c r="E1686" t="s">
        <v>42</v>
      </c>
      <c r="F1686" t="s">
        <v>37</v>
      </c>
      <c r="G1686" s="2">
        <v>45244</v>
      </c>
      <c r="H1686" s="3">
        <f t="shared" si="26"/>
        <v>2.5397260273972604</v>
      </c>
      <c r="I1686">
        <v>62</v>
      </c>
      <c r="J1686" t="s">
        <v>38</v>
      </c>
      <c r="K1686" t="s">
        <v>56</v>
      </c>
      <c r="L1686" t="s">
        <v>44</v>
      </c>
      <c r="M1686">
        <v>8.4600000000000009</v>
      </c>
      <c r="N1686">
        <v>8.26</v>
      </c>
      <c r="T1686" t="s">
        <v>45</v>
      </c>
      <c r="U1686">
        <v>0</v>
      </c>
      <c r="V1686">
        <v>5</v>
      </c>
    </row>
    <row r="1687" spans="1:22" x14ac:dyDescent="0.3">
      <c r="A1687">
        <v>1686</v>
      </c>
      <c r="B1687">
        <v>48057</v>
      </c>
      <c r="C1687" s="2">
        <v>35777</v>
      </c>
      <c r="D1687">
        <v>28</v>
      </c>
      <c r="E1687" t="s">
        <v>42</v>
      </c>
      <c r="F1687" t="s">
        <v>37</v>
      </c>
      <c r="G1687" s="2">
        <v>45095</v>
      </c>
      <c r="H1687" s="3">
        <f t="shared" si="26"/>
        <v>1.9671232876712328</v>
      </c>
      <c r="I1687">
        <v>64</v>
      </c>
      <c r="J1687" t="s">
        <v>38</v>
      </c>
      <c r="K1687" t="s">
        <v>56</v>
      </c>
      <c r="L1687" t="s">
        <v>44</v>
      </c>
      <c r="M1687">
        <v>8.4600000000000009</v>
      </c>
      <c r="N1687">
        <v>8.26</v>
      </c>
      <c r="T1687" t="s">
        <v>47</v>
      </c>
      <c r="U1687">
        <v>4</v>
      </c>
      <c r="V1687">
        <v>7</v>
      </c>
    </row>
    <row r="1688" spans="1:22" x14ac:dyDescent="0.3">
      <c r="A1688">
        <v>1687</v>
      </c>
      <c r="B1688">
        <v>48058</v>
      </c>
      <c r="C1688" s="2">
        <v>37690</v>
      </c>
      <c r="D1688">
        <v>22</v>
      </c>
      <c r="E1688" t="s">
        <v>42</v>
      </c>
      <c r="F1688" t="s">
        <v>50</v>
      </c>
      <c r="G1688" s="2">
        <v>45304</v>
      </c>
      <c r="H1688" s="3">
        <f t="shared" si="26"/>
        <v>2.0054794520547947</v>
      </c>
      <c r="I1688">
        <v>65</v>
      </c>
      <c r="J1688" t="s">
        <v>38</v>
      </c>
      <c r="K1688" t="s">
        <v>43</v>
      </c>
      <c r="L1688" t="s">
        <v>44</v>
      </c>
      <c r="M1688">
        <v>15.97</v>
      </c>
      <c r="T1688" t="s">
        <v>45</v>
      </c>
      <c r="U1688">
        <v>0</v>
      </c>
      <c r="V1688">
        <v>5</v>
      </c>
    </row>
    <row r="1689" spans="1:22" x14ac:dyDescent="0.3">
      <c r="A1689">
        <v>1688</v>
      </c>
      <c r="B1689">
        <v>48066</v>
      </c>
      <c r="C1689" s="2">
        <v>36916</v>
      </c>
      <c r="D1689">
        <v>24</v>
      </c>
      <c r="E1689" t="s">
        <v>42</v>
      </c>
      <c r="F1689" t="s">
        <v>37</v>
      </c>
      <c r="G1689" s="2">
        <v>45290</v>
      </c>
      <c r="H1689" s="3">
        <f t="shared" si="26"/>
        <v>2.7424657534246575</v>
      </c>
      <c r="I1689">
        <v>70</v>
      </c>
      <c r="J1689" t="s">
        <v>57</v>
      </c>
      <c r="K1689" t="s">
        <v>56</v>
      </c>
      <c r="L1689" t="s">
        <v>44</v>
      </c>
      <c r="M1689">
        <v>8.5</v>
      </c>
      <c r="N1689">
        <v>8.26</v>
      </c>
      <c r="T1689" t="s">
        <v>52</v>
      </c>
      <c r="U1689">
        <v>4</v>
      </c>
      <c r="V1689">
        <v>7</v>
      </c>
    </row>
    <row r="1690" spans="1:22" x14ac:dyDescent="0.3">
      <c r="A1690">
        <v>1689</v>
      </c>
      <c r="B1690">
        <v>48069</v>
      </c>
      <c r="C1690" s="2">
        <v>36644</v>
      </c>
      <c r="D1690">
        <v>25</v>
      </c>
      <c r="E1690" t="s">
        <v>36</v>
      </c>
      <c r="F1690" t="s">
        <v>50</v>
      </c>
      <c r="G1690" s="2">
        <v>45021</v>
      </c>
      <c r="H1690" s="3">
        <f t="shared" si="26"/>
        <v>2.1589041095890411</v>
      </c>
      <c r="I1690">
        <v>72</v>
      </c>
      <c r="J1690" t="s">
        <v>57</v>
      </c>
      <c r="K1690" t="s">
        <v>68</v>
      </c>
      <c r="L1690" t="s">
        <v>44</v>
      </c>
      <c r="M1690">
        <v>16.78</v>
      </c>
      <c r="N1690">
        <v>16.579999999999998</v>
      </c>
      <c r="T1690" t="s">
        <v>47</v>
      </c>
      <c r="U1690">
        <v>2</v>
      </c>
      <c r="V1690">
        <v>5</v>
      </c>
    </row>
    <row r="1691" spans="1:22" x14ac:dyDescent="0.3">
      <c r="A1691">
        <v>1690</v>
      </c>
      <c r="B1691">
        <v>48090</v>
      </c>
      <c r="C1691" s="2">
        <v>38602</v>
      </c>
      <c r="D1691">
        <v>20</v>
      </c>
      <c r="E1691" t="s">
        <v>36</v>
      </c>
      <c r="F1691" t="s">
        <v>37</v>
      </c>
      <c r="G1691" s="2">
        <v>45234</v>
      </c>
      <c r="H1691" s="3">
        <f t="shared" si="26"/>
        <v>2.7972602739726029</v>
      </c>
      <c r="I1691">
        <v>87</v>
      </c>
      <c r="J1691" t="s">
        <v>57</v>
      </c>
      <c r="K1691" t="s">
        <v>46</v>
      </c>
      <c r="L1691" t="s">
        <v>44</v>
      </c>
      <c r="M1691">
        <v>13.88</v>
      </c>
      <c r="N1691">
        <v>13.88</v>
      </c>
      <c r="T1691" t="s">
        <v>49</v>
      </c>
      <c r="U1691">
        <v>1</v>
      </c>
      <c r="V1691">
        <v>4</v>
      </c>
    </row>
    <row r="1692" spans="1:22" x14ac:dyDescent="0.3">
      <c r="A1692">
        <v>1691</v>
      </c>
      <c r="B1692">
        <v>48093</v>
      </c>
      <c r="C1692" s="2">
        <v>34449</v>
      </c>
      <c r="D1692">
        <v>31</v>
      </c>
      <c r="E1692" t="s">
        <v>36</v>
      </c>
      <c r="F1692" t="s">
        <v>37</v>
      </c>
      <c r="G1692" s="2">
        <v>45001</v>
      </c>
      <c r="H1692" s="3">
        <f t="shared" si="26"/>
        <v>2.5342465753424657</v>
      </c>
      <c r="I1692">
        <v>87</v>
      </c>
      <c r="J1692" t="s">
        <v>57</v>
      </c>
      <c r="K1692" t="s">
        <v>55</v>
      </c>
      <c r="L1692" t="s">
        <v>44</v>
      </c>
      <c r="M1692">
        <v>17.309999999999999</v>
      </c>
      <c r="N1692">
        <v>17.16</v>
      </c>
      <c r="T1692" t="s">
        <v>52</v>
      </c>
      <c r="U1692">
        <v>1</v>
      </c>
      <c r="V1692">
        <v>3</v>
      </c>
    </row>
    <row r="1693" spans="1:22" x14ac:dyDescent="0.3">
      <c r="A1693">
        <v>1692</v>
      </c>
      <c r="B1693">
        <v>48100</v>
      </c>
      <c r="C1693" s="2">
        <v>38923</v>
      </c>
      <c r="D1693">
        <v>19</v>
      </c>
      <c r="E1693" t="s">
        <v>42</v>
      </c>
      <c r="F1693" t="s">
        <v>50</v>
      </c>
      <c r="G1693" s="2">
        <v>45097</v>
      </c>
      <c r="H1693" s="3">
        <f t="shared" si="26"/>
        <v>2.1150684931506851</v>
      </c>
      <c r="I1693">
        <v>93</v>
      </c>
      <c r="J1693" t="s">
        <v>57</v>
      </c>
      <c r="K1693" t="s">
        <v>56</v>
      </c>
      <c r="L1693" t="s">
        <v>44</v>
      </c>
      <c r="M1693">
        <v>8.4600000000000009</v>
      </c>
      <c r="N1693">
        <v>8.26</v>
      </c>
      <c r="T1693" t="s">
        <v>47</v>
      </c>
      <c r="U1693">
        <v>0</v>
      </c>
      <c r="V1693">
        <v>6</v>
      </c>
    </row>
    <row r="1694" spans="1:22" x14ac:dyDescent="0.3">
      <c r="A1694">
        <v>1693</v>
      </c>
      <c r="B1694">
        <v>48102</v>
      </c>
      <c r="C1694" s="2">
        <v>37723</v>
      </c>
      <c r="D1694">
        <v>22</v>
      </c>
      <c r="E1694" t="s">
        <v>42</v>
      </c>
      <c r="F1694" t="s">
        <v>50</v>
      </c>
      <c r="G1694" s="2">
        <v>45250</v>
      </c>
      <c r="H1694" s="3">
        <f t="shared" si="26"/>
        <v>1.8794520547945206</v>
      </c>
      <c r="I1694">
        <v>95</v>
      </c>
      <c r="J1694" t="s">
        <v>57</v>
      </c>
      <c r="K1694" t="s">
        <v>56</v>
      </c>
      <c r="L1694" t="s">
        <v>44</v>
      </c>
      <c r="M1694">
        <v>8.4600000000000009</v>
      </c>
      <c r="N1694">
        <v>8.26</v>
      </c>
      <c r="T1694" t="s">
        <v>47</v>
      </c>
      <c r="U1694">
        <v>4</v>
      </c>
      <c r="V1694">
        <v>7</v>
      </c>
    </row>
    <row r="1695" spans="1:22" x14ac:dyDescent="0.3">
      <c r="A1695">
        <v>1694</v>
      </c>
      <c r="B1695">
        <v>48112</v>
      </c>
      <c r="C1695" s="2">
        <v>35463</v>
      </c>
      <c r="D1695">
        <v>28</v>
      </c>
      <c r="E1695" t="s">
        <v>36</v>
      </c>
      <c r="F1695" t="s">
        <v>50</v>
      </c>
      <c r="G1695" s="2">
        <v>45336</v>
      </c>
      <c r="H1695" s="3">
        <f t="shared" si="26"/>
        <v>2.3041095890410959</v>
      </c>
      <c r="I1695">
        <v>100</v>
      </c>
      <c r="J1695" t="s">
        <v>57</v>
      </c>
      <c r="K1695" t="s">
        <v>46</v>
      </c>
      <c r="L1695" t="s">
        <v>44</v>
      </c>
      <c r="M1695">
        <v>14.18</v>
      </c>
      <c r="T1695" t="s">
        <v>52</v>
      </c>
      <c r="U1695">
        <v>0</v>
      </c>
      <c r="V1695">
        <v>4</v>
      </c>
    </row>
    <row r="1696" spans="1:22" x14ac:dyDescent="0.3">
      <c r="A1696">
        <v>1695</v>
      </c>
      <c r="B1696">
        <v>48128</v>
      </c>
      <c r="C1696" s="2">
        <v>35492</v>
      </c>
      <c r="D1696">
        <v>28</v>
      </c>
      <c r="E1696" t="s">
        <v>42</v>
      </c>
      <c r="F1696" t="s">
        <v>50</v>
      </c>
      <c r="G1696" s="2">
        <v>45181</v>
      </c>
      <c r="H1696" s="3">
        <f t="shared" si="26"/>
        <v>2.3315068493150686</v>
      </c>
      <c r="I1696">
        <v>112</v>
      </c>
      <c r="J1696" t="s">
        <v>57</v>
      </c>
      <c r="K1696" t="s">
        <v>48</v>
      </c>
      <c r="L1696" t="s">
        <v>44</v>
      </c>
      <c r="M1696">
        <v>8.4600000000000009</v>
      </c>
      <c r="N1696">
        <v>8.26</v>
      </c>
      <c r="T1696" t="s">
        <v>47</v>
      </c>
      <c r="U1696">
        <v>2</v>
      </c>
      <c r="V1696">
        <v>6</v>
      </c>
    </row>
    <row r="1697" spans="1:22" x14ac:dyDescent="0.3">
      <c r="A1697">
        <v>1696</v>
      </c>
      <c r="B1697">
        <v>48129</v>
      </c>
      <c r="C1697" s="2">
        <v>36564</v>
      </c>
      <c r="D1697">
        <v>25</v>
      </c>
      <c r="E1697" t="s">
        <v>42</v>
      </c>
      <c r="F1697" t="s">
        <v>37</v>
      </c>
      <c r="G1697" s="2">
        <v>45171</v>
      </c>
      <c r="H1697" s="3">
        <f t="shared" si="26"/>
        <v>2.5890410958904111</v>
      </c>
      <c r="I1697">
        <v>112</v>
      </c>
      <c r="J1697" t="s">
        <v>57</v>
      </c>
      <c r="K1697" t="s">
        <v>56</v>
      </c>
      <c r="L1697" t="s">
        <v>44</v>
      </c>
      <c r="M1697">
        <v>8.4600000000000009</v>
      </c>
      <c r="N1697">
        <v>8.26</v>
      </c>
      <c r="T1697" t="s">
        <v>45</v>
      </c>
      <c r="U1697">
        <v>4</v>
      </c>
      <c r="V1697">
        <v>7</v>
      </c>
    </row>
    <row r="1698" spans="1:22" x14ac:dyDescent="0.3">
      <c r="A1698">
        <v>1697</v>
      </c>
      <c r="B1698">
        <v>48142</v>
      </c>
      <c r="C1698" s="2">
        <v>36008</v>
      </c>
      <c r="D1698">
        <v>28</v>
      </c>
      <c r="E1698" t="s">
        <v>42</v>
      </c>
      <c r="F1698" t="s">
        <v>50</v>
      </c>
      <c r="G1698" s="2">
        <v>45077</v>
      </c>
      <c r="H1698" s="3">
        <f t="shared" si="26"/>
        <v>2.3643835616438356</v>
      </c>
      <c r="I1698">
        <v>120</v>
      </c>
      <c r="J1698" t="s">
        <v>57</v>
      </c>
      <c r="K1698" t="s">
        <v>56</v>
      </c>
      <c r="L1698" t="s">
        <v>44</v>
      </c>
      <c r="M1698">
        <v>8.4600000000000009</v>
      </c>
      <c r="N1698">
        <v>8.26</v>
      </c>
      <c r="T1698" t="s">
        <v>49</v>
      </c>
      <c r="U1698">
        <v>2</v>
      </c>
      <c r="V1698">
        <v>6</v>
      </c>
    </row>
    <row r="1699" spans="1:22" x14ac:dyDescent="0.3">
      <c r="A1699">
        <v>1698</v>
      </c>
      <c r="B1699">
        <v>48149</v>
      </c>
      <c r="C1699" s="2">
        <v>37420</v>
      </c>
      <c r="D1699">
        <v>23</v>
      </c>
      <c r="E1699" t="s">
        <v>42</v>
      </c>
      <c r="F1699" t="s">
        <v>50</v>
      </c>
      <c r="G1699" s="2">
        <v>45159</v>
      </c>
      <c r="H1699" s="3">
        <f t="shared" si="26"/>
        <v>2.032876712328767</v>
      </c>
      <c r="I1699">
        <v>126</v>
      </c>
      <c r="J1699" t="s">
        <v>57</v>
      </c>
      <c r="K1699" t="s">
        <v>56</v>
      </c>
      <c r="L1699" t="s">
        <v>44</v>
      </c>
      <c r="M1699">
        <v>8.4600000000000009</v>
      </c>
      <c r="N1699">
        <v>8.26</v>
      </c>
      <c r="T1699" t="s">
        <v>49</v>
      </c>
      <c r="U1699">
        <v>0</v>
      </c>
      <c r="V1699">
        <v>4</v>
      </c>
    </row>
    <row r="1700" spans="1:22" x14ac:dyDescent="0.3">
      <c r="A1700">
        <v>1699</v>
      </c>
      <c r="B1700">
        <v>48166</v>
      </c>
      <c r="C1700" s="2">
        <v>38079</v>
      </c>
      <c r="D1700">
        <v>21</v>
      </c>
      <c r="E1700" t="s">
        <v>42</v>
      </c>
      <c r="F1700" t="s">
        <v>50</v>
      </c>
      <c r="G1700" s="2">
        <v>45280</v>
      </c>
      <c r="H1700" s="3">
        <f t="shared" si="26"/>
        <v>2.6164383561643834</v>
      </c>
      <c r="I1700">
        <v>136</v>
      </c>
      <c r="J1700" t="s">
        <v>57</v>
      </c>
      <c r="K1700" t="s">
        <v>56</v>
      </c>
      <c r="L1700" t="s">
        <v>44</v>
      </c>
      <c r="M1700">
        <v>8.5</v>
      </c>
      <c r="N1700">
        <v>8.26</v>
      </c>
      <c r="T1700" t="s">
        <v>47</v>
      </c>
      <c r="U1700">
        <v>2</v>
      </c>
      <c r="V1700">
        <v>6</v>
      </c>
    </row>
    <row r="1701" spans="1:22" x14ac:dyDescent="0.3">
      <c r="A1701">
        <v>1700</v>
      </c>
      <c r="B1701">
        <v>48171</v>
      </c>
      <c r="C1701" s="2">
        <v>38393</v>
      </c>
      <c r="D1701">
        <v>20</v>
      </c>
      <c r="E1701" t="s">
        <v>42</v>
      </c>
      <c r="F1701" t="s">
        <v>50</v>
      </c>
      <c r="G1701" s="2">
        <v>45067</v>
      </c>
      <c r="H1701" s="3">
        <f t="shared" si="26"/>
        <v>2.4246575342465753</v>
      </c>
      <c r="I1701">
        <v>140</v>
      </c>
      <c r="J1701" t="s">
        <v>57</v>
      </c>
      <c r="K1701" t="s">
        <v>56</v>
      </c>
      <c r="L1701" t="s">
        <v>44</v>
      </c>
      <c r="M1701">
        <v>8.48</v>
      </c>
      <c r="N1701">
        <v>8.26</v>
      </c>
      <c r="T1701" t="s">
        <v>52</v>
      </c>
      <c r="U1701">
        <v>4</v>
      </c>
      <c r="V1701">
        <v>7</v>
      </c>
    </row>
    <row r="1702" spans="1:22" x14ac:dyDescent="0.3">
      <c r="A1702">
        <v>1701</v>
      </c>
      <c r="B1702">
        <v>48182</v>
      </c>
      <c r="C1702" s="2">
        <v>38177</v>
      </c>
      <c r="D1702">
        <v>21</v>
      </c>
      <c r="E1702" t="s">
        <v>36</v>
      </c>
      <c r="F1702" t="s">
        <v>50</v>
      </c>
      <c r="G1702" s="2">
        <v>45137</v>
      </c>
      <c r="H1702" s="3">
        <f t="shared" si="26"/>
        <v>2.43013698630137</v>
      </c>
      <c r="I1702">
        <v>14</v>
      </c>
      <c r="J1702" t="s">
        <v>38</v>
      </c>
      <c r="K1702" t="s">
        <v>46</v>
      </c>
      <c r="L1702" t="s">
        <v>44</v>
      </c>
      <c r="M1702">
        <v>14.18</v>
      </c>
      <c r="N1702">
        <v>13.88</v>
      </c>
      <c r="T1702" t="s">
        <v>49</v>
      </c>
      <c r="U1702">
        <v>0</v>
      </c>
      <c r="V1702">
        <v>2</v>
      </c>
    </row>
    <row r="1703" spans="1:22" x14ac:dyDescent="0.3">
      <c r="A1703">
        <v>1702</v>
      </c>
      <c r="B1703">
        <v>48197</v>
      </c>
      <c r="C1703" s="2">
        <v>37610</v>
      </c>
      <c r="D1703">
        <v>23</v>
      </c>
      <c r="E1703" t="s">
        <v>42</v>
      </c>
      <c r="F1703" t="s">
        <v>50</v>
      </c>
      <c r="G1703" s="2">
        <v>45135</v>
      </c>
      <c r="H1703" s="3">
        <f t="shared" si="26"/>
        <v>2.515068493150685</v>
      </c>
      <c r="I1703">
        <v>33</v>
      </c>
      <c r="J1703" t="s">
        <v>38</v>
      </c>
      <c r="K1703" t="s">
        <v>56</v>
      </c>
      <c r="L1703" t="s">
        <v>44</v>
      </c>
      <c r="M1703">
        <v>8.5399999999999991</v>
      </c>
      <c r="N1703">
        <v>8.26</v>
      </c>
      <c r="T1703" t="s">
        <v>52</v>
      </c>
      <c r="U1703">
        <v>2</v>
      </c>
      <c r="V1703">
        <v>6</v>
      </c>
    </row>
    <row r="1704" spans="1:22" x14ac:dyDescent="0.3">
      <c r="A1704">
        <v>1703</v>
      </c>
      <c r="B1704">
        <v>48204</v>
      </c>
      <c r="C1704" s="2">
        <v>37677</v>
      </c>
      <c r="D1704">
        <v>22</v>
      </c>
      <c r="E1704" t="s">
        <v>42</v>
      </c>
      <c r="F1704" t="s">
        <v>50</v>
      </c>
      <c r="G1704" s="2">
        <v>45104</v>
      </c>
      <c r="H1704" s="3">
        <f t="shared" si="26"/>
        <v>2.021917808219178</v>
      </c>
      <c r="I1704">
        <v>97</v>
      </c>
      <c r="J1704" t="s">
        <v>57</v>
      </c>
      <c r="K1704" t="s">
        <v>48</v>
      </c>
      <c r="L1704" t="s">
        <v>44</v>
      </c>
      <c r="M1704">
        <v>8.49</v>
      </c>
      <c r="N1704">
        <v>8.26</v>
      </c>
      <c r="T1704" t="s">
        <v>47</v>
      </c>
      <c r="U1704">
        <v>1</v>
      </c>
      <c r="V1704">
        <v>5</v>
      </c>
    </row>
    <row r="1705" spans="1:22" x14ac:dyDescent="0.3">
      <c r="A1705">
        <v>1704</v>
      </c>
      <c r="B1705">
        <v>48206</v>
      </c>
      <c r="C1705" s="2">
        <v>37882</v>
      </c>
      <c r="D1705">
        <v>22</v>
      </c>
      <c r="E1705" t="s">
        <v>42</v>
      </c>
      <c r="F1705" t="s">
        <v>37</v>
      </c>
      <c r="G1705" s="2">
        <v>45284</v>
      </c>
      <c r="H1705" s="3">
        <f t="shared" si="26"/>
        <v>1.9726027397260273</v>
      </c>
      <c r="I1705">
        <v>140</v>
      </c>
      <c r="J1705" t="s">
        <v>57</v>
      </c>
      <c r="K1705" t="s">
        <v>43</v>
      </c>
      <c r="L1705" t="s">
        <v>44</v>
      </c>
      <c r="M1705">
        <v>16.350000000000001</v>
      </c>
      <c r="N1705">
        <v>15.97</v>
      </c>
      <c r="T1705" t="s">
        <v>52</v>
      </c>
      <c r="U1705">
        <v>1</v>
      </c>
      <c r="V1705">
        <v>5</v>
      </c>
    </row>
    <row r="1706" spans="1:22" x14ac:dyDescent="0.3">
      <c r="A1706">
        <v>1705</v>
      </c>
      <c r="B1706">
        <v>48209</v>
      </c>
      <c r="C1706" s="2">
        <v>37783</v>
      </c>
      <c r="D1706">
        <v>22</v>
      </c>
      <c r="E1706" t="s">
        <v>42</v>
      </c>
      <c r="F1706" t="s">
        <v>50</v>
      </c>
      <c r="G1706" s="2">
        <v>45302</v>
      </c>
      <c r="H1706" s="3">
        <f t="shared" si="26"/>
        <v>2.3232876712328765</v>
      </c>
      <c r="I1706">
        <v>35</v>
      </c>
      <c r="J1706" t="s">
        <v>38</v>
      </c>
      <c r="K1706" t="s">
        <v>64</v>
      </c>
      <c r="L1706" t="s">
        <v>44</v>
      </c>
      <c r="M1706">
        <v>14.03</v>
      </c>
      <c r="T1706" t="s">
        <v>45</v>
      </c>
      <c r="U1706">
        <v>0</v>
      </c>
      <c r="V1706">
        <v>6</v>
      </c>
    </row>
    <row r="1707" spans="1:22" x14ac:dyDescent="0.3">
      <c r="A1707">
        <v>1706</v>
      </c>
      <c r="B1707">
        <v>48218</v>
      </c>
      <c r="C1707" s="2">
        <v>38534</v>
      </c>
      <c r="D1707">
        <v>21</v>
      </c>
      <c r="E1707" t="s">
        <v>36</v>
      </c>
      <c r="F1707" t="s">
        <v>50</v>
      </c>
      <c r="G1707" s="2">
        <v>45174</v>
      </c>
      <c r="H1707" s="3">
        <f t="shared" si="26"/>
        <v>2.0931506849315067</v>
      </c>
      <c r="I1707">
        <v>23</v>
      </c>
      <c r="J1707" t="s">
        <v>38</v>
      </c>
      <c r="K1707" t="s">
        <v>46</v>
      </c>
      <c r="L1707" t="s">
        <v>44</v>
      </c>
      <c r="M1707">
        <v>14.18</v>
      </c>
      <c r="N1707">
        <v>13.88</v>
      </c>
      <c r="T1707" t="s">
        <v>47</v>
      </c>
      <c r="U1707">
        <v>1</v>
      </c>
      <c r="V1707">
        <v>4</v>
      </c>
    </row>
    <row r="1708" spans="1:22" x14ac:dyDescent="0.3">
      <c r="A1708">
        <v>1707</v>
      </c>
      <c r="B1708">
        <v>48223</v>
      </c>
      <c r="C1708" s="2">
        <v>37688</v>
      </c>
      <c r="D1708">
        <v>22</v>
      </c>
      <c r="E1708" t="s">
        <v>36</v>
      </c>
      <c r="F1708" t="s">
        <v>50</v>
      </c>
      <c r="G1708" s="2">
        <v>45258</v>
      </c>
      <c r="H1708" s="3">
        <f t="shared" si="26"/>
        <v>1.8465753424657534</v>
      </c>
      <c r="I1708">
        <v>49</v>
      </c>
      <c r="J1708" t="s">
        <v>38</v>
      </c>
      <c r="K1708" t="s">
        <v>65</v>
      </c>
      <c r="L1708" t="s">
        <v>44</v>
      </c>
      <c r="M1708">
        <v>10.65</v>
      </c>
      <c r="N1708">
        <v>10.38</v>
      </c>
      <c r="T1708" t="s">
        <v>47</v>
      </c>
      <c r="U1708">
        <v>0</v>
      </c>
      <c r="V1708">
        <v>4</v>
      </c>
    </row>
    <row r="1709" spans="1:22" x14ac:dyDescent="0.3">
      <c r="A1709">
        <v>1708</v>
      </c>
      <c r="B1709">
        <v>48236</v>
      </c>
      <c r="C1709" s="2">
        <v>37522</v>
      </c>
      <c r="D1709">
        <v>23</v>
      </c>
      <c r="E1709" t="s">
        <v>42</v>
      </c>
      <c r="F1709" t="s">
        <v>50</v>
      </c>
      <c r="G1709" s="2">
        <v>45348</v>
      </c>
      <c r="H1709" s="3">
        <f t="shared" si="26"/>
        <v>2.1150684931506851</v>
      </c>
      <c r="I1709">
        <v>3</v>
      </c>
      <c r="J1709" t="s">
        <v>38</v>
      </c>
      <c r="K1709" t="s">
        <v>55</v>
      </c>
      <c r="L1709" t="s">
        <v>44</v>
      </c>
      <c r="M1709">
        <v>17.46</v>
      </c>
      <c r="T1709" t="s">
        <v>52</v>
      </c>
      <c r="U1709">
        <v>2</v>
      </c>
      <c r="V1709">
        <v>7</v>
      </c>
    </row>
    <row r="1710" spans="1:22" x14ac:dyDescent="0.3">
      <c r="A1710">
        <v>1709</v>
      </c>
      <c r="B1710">
        <v>48239</v>
      </c>
      <c r="C1710" s="2">
        <v>34168</v>
      </c>
      <c r="D1710">
        <v>32</v>
      </c>
      <c r="E1710" t="s">
        <v>36</v>
      </c>
      <c r="F1710" t="s">
        <v>50</v>
      </c>
      <c r="G1710" s="2">
        <v>45250</v>
      </c>
      <c r="H1710" s="3">
        <f t="shared" si="26"/>
        <v>2.4602739726027396</v>
      </c>
      <c r="I1710">
        <v>49</v>
      </c>
      <c r="J1710" t="s">
        <v>38</v>
      </c>
      <c r="K1710" t="s">
        <v>54</v>
      </c>
      <c r="L1710" t="s">
        <v>44</v>
      </c>
      <c r="M1710">
        <v>23.6</v>
      </c>
      <c r="N1710">
        <v>23.2</v>
      </c>
      <c r="T1710" t="s">
        <v>49</v>
      </c>
      <c r="U1710">
        <v>4</v>
      </c>
      <c r="V1710">
        <v>6</v>
      </c>
    </row>
    <row r="1711" spans="1:22" x14ac:dyDescent="0.3">
      <c r="A1711">
        <v>1710</v>
      </c>
      <c r="B1711">
        <v>48253</v>
      </c>
      <c r="C1711" s="2">
        <v>37882</v>
      </c>
      <c r="D1711">
        <v>22</v>
      </c>
      <c r="E1711" t="s">
        <v>42</v>
      </c>
      <c r="F1711" t="s">
        <v>50</v>
      </c>
      <c r="G1711" s="2">
        <v>45124</v>
      </c>
      <c r="H1711" s="3">
        <f t="shared" si="26"/>
        <v>2.8328767123287673</v>
      </c>
      <c r="I1711">
        <v>61</v>
      </c>
      <c r="J1711" t="s">
        <v>38</v>
      </c>
      <c r="K1711" t="s">
        <v>56</v>
      </c>
      <c r="L1711" t="s">
        <v>44</v>
      </c>
      <c r="M1711">
        <v>8.4700000000000006</v>
      </c>
      <c r="N1711">
        <v>8.26</v>
      </c>
      <c r="T1711" t="s">
        <v>47</v>
      </c>
      <c r="U1711">
        <v>1</v>
      </c>
      <c r="V1711">
        <v>7</v>
      </c>
    </row>
    <row r="1712" spans="1:22" x14ac:dyDescent="0.3">
      <c r="A1712">
        <v>1711</v>
      </c>
      <c r="B1712">
        <v>48255</v>
      </c>
      <c r="C1712" s="2">
        <v>38521</v>
      </c>
      <c r="D1712">
        <v>20</v>
      </c>
      <c r="E1712" t="s">
        <v>42</v>
      </c>
      <c r="F1712" t="s">
        <v>50</v>
      </c>
      <c r="G1712" s="2">
        <v>44988</v>
      </c>
      <c r="H1712" s="3">
        <f t="shared" si="26"/>
        <v>2.7150684931506848</v>
      </c>
      <c r="I1712">
        <v>62</v>
      </c>
      <c r="J1712" t="s">
        <v>38</v>
      </c>
      <c r="K1712" t="s">
        <v>56</v>
      </c>
      <c r="L1712" t="s">
        <v>44</v>
      </c>
      <c r="M1712">
        <v>8.4600000000000009</v>
      </c>
      <c r="N1712">
        <v>8.26</v>
      </c>
      <c r="T1712" t="s">
        <v>47</v>
      </c>
      <c r="U1712">
        <v>4</v>
      </c>
      <c r="V1712">
        <v>7</v>
      </c>
    </row>
    <row r="1713" spans="1:22" x14ac:dyDescent="0.3">
      <c r="A1713">
        <v>1712</v>
      </c>
      <c r="B1713">
        <v>48260</v>
      </c>
      <c r="C1713" s="2">
        <v>35519</v>
      </c>
      <c r="D1713">
        <v>28</v>
      </c>
      <c r="E1713" t="s">
        <v>42</v>
      </c>
      <c r="F1713" t="s">
        <v>50</v>
      </c>
      <c r="G1713" s="2">
        <v>45031</v>
      </c>
      <c r="H1713" s="3">
        <f t="shared" si="26"/>
        <v>1.9287671232876713</v>
      </c>
      <c r="I1713">
        <v>96</v>
      </c>
      <c r="J1713" t="s">
        <v>57</v>
      </c>
      <c r="K1713" t="s">
        <v>68</v>
      </c>
      <c r="L1713" t="s">
        <v>44</v>
      </c>
      <c r="M1713">
        <v>16.84</v>
      </c>
      <c r="N1713">
        <v>16.579999999999998</v>
      </c>
      <c r="T1713" t="s">
        <v>47</v>
      </c>
      <c r="U1713">
        <v>3</v>
      </c>
      <c r="V1713">
        <v>5</v>
      </c>
    </row>
    <row r="1714" spans="1:22" x14ac:dyDescent="0.3">
      <c r="A1714">
        <v>1713</v>
      </c>
      <c r="B1714">
        <v>48265</v>
      </c>
      <c r="C1714" s="2">
        <v>37306</v>
      </c>
      <c r="D1714">
        <v>23</v>
      </c>
      <c r="E1714" t="s">
        <v>42</v>
      </c>
      <c r="F1714" t="s">
        <v>50</v>
      </c>
      <c r="G1714" s="2">
        <v>45318</v>
      </c>
      <c r="H1714" s="3">
        <f t="shared" si="26"/>
        <v>2.8136986301369862</v>
      </c>
      <c r="I1714">
        <v>129</v>
      </c>
      <c r="J1714" t="s">
        <v>57</v>
      </c>
      <c r="K1714" t="s">
        <v>64</v>
      </c>
      <c r="L1714" t="s">
        <v>44</v>
      </c>
      <c r="M1714">
        <v>14.03</v>
      </c>
      <c r="T1714" t="s">
        <v>47</v>
      </c>
      <c r="U1714">
        <v>1</v>
      </c>
      <c r="V1714">
        <v>7</v>
      </c>
    </row>
    <row r="1715" spans="1:22" x14ac:dyDescent="0.3">
      <c r="A1715">
        <v>1714</v>
      </c>
      <c r="B1715">
        <v>48267</v>
      </c>
      <c r="C1715" s="2">
        <v>32785</v>
      </c>
      <c r="D1715">
        <v>36</v>
      </c>
      <c r="E1715" t="s">
        <v>36</v>
      </c>
      <c r="F1715" t="s">
        <v>50</v>
      </c>
      <c r="G1715" s="2">
        <v>44995</v>
      </c>
      <c r="H1715" s="3">
        <f t="shared" si="26"/>
        <v>2.56986301369863</v>
      </c>
      <c r="I1715">
        <v>135</v>
      </c>
      <c r="J1715" t="s">
        <v>57</v>
      </c>
      <c r="K1715" t="s">
        <v>54</v>
      </c>
      <c r="L1715" t="s">
        <v>44</v>
      </c>
      <c r="M1715">
        <v>23.5</v>
      </c>
      <c r="N1715">
        <v>23.2</v>
      </c>
      <c r="T1715" t="s">
        <v>52</v>
      </c>
      <c r="U1715">
        <v>7</v>
      </c>
      <c r="V1715">
        <v>5</v>
      </c>
    </row>
    <row r="1716" spans="1:22" x14ac:dyDescent="0.3">
      <c r="A1716">
        <v>1715</v>
      </c>
      <c r="B1716">
        <v>48270</v>
      </c>
      <c r="C1716" s="2">
        <v>35495</v>
      </c>
      <c r="D1716">
        <v>28</v>
      </c>
      <c r="E1716" t="s">
        <v>36</v>
      </c>
      <c r="F1716" t="s">
        <v>37</v>
      </c>
      <c r="G1716" s="2">
        <v>45084</v>
      </c>
      <c r="H1716" s="3">
        <f t="shared" si="26"/>
        <v>2.2602739726027399</v>
      </c>
      <c r="I1716">
        <v>39</v>
      </c>
      <c r="J1716" t="s">
        <v>38</v>
      </c>
      <c r="K1716" t="s">
        <v>46</v>
      </c>
      <c r="L1716" t="s">
        <v>44</v>
      </c>
      <c r="M1716">
        <v>14.31</v>
      </c>
      <c r="N1716">
        <v>13.88</v>
      </c>
      <c r="T1716" t="s">
        <v>52</v>
      </c>
      <c r="U1716">
        <v>1</v>
      </c>
      <c r="V1716">
        <v>5</v>
      </c>
    </row>
    <row r="1717" spans="1:22" x14ac:dyDescent="0.3">
      <c r="A1717">
        <v>1716</v>
      </c>
      <c r="B1717">
        <v>48272</v>
      </c>
      <c r="C1717" s="2">
        <v>36833</v>
      </c>
      <c r="D1717">
        <v>25</v>
      </c>
      <c r="E1717" t="s">
        <v>42</v>
      </c>
      <c r="F1717" t="s">
        <v>37</v>
      </c>
      <c r="G1717" s="2">
        <v>45197</v>
      </c>
      <c r="H1717" s="3">
        <f t="shared" si="26"/>
        <v>2.1780821917808217</v>
      </c>
      <c r="I1717">
        <v>49</v>
      </c>
      <c r="J1717" t="s">
        <v>38</v>
      </c>
      <c r="K1717" t="s">
        <v>43</v>
      </c>
      <c r="L1717" t="s">
        <v>44</v>
      </c>
      <c r="M1717">
        <v>15.97</v>
      </c>
      <c r="N1717">
        <v>15.97</v>
      </c>
      <c r="T1717" t="s">
        <v>47</v>
      </c>
      <c r="U1717">
        <v>1</v>
      </c>
      <c r="V1717">
        <v>5</v>
      </c>
    </row>
    <row r="1718" spans="1:22" x14ac:dyDescent="0.3">
      <c r="A1718">
        <v>1717</v>
      </c>
      <c r="B1718">
        <v>48273</v>
      </c>
      <c r="C1718" s="2">
        <v>37735</v>
      </c>
      <c r="D1718">
        <v>22</v>
      </c>
      <c r="E1718" t="s">
        <v>36</v>
      </c>
      <c r="F1718" t="s">
        <v>50</v>
      </c>
      <c r="G1718" s="2">
        <v>45227</v>
      </c>
      <c r="H1718" s="3">
        <f t="shared" si="26"/>
        <v>2.2876712328767121</v>
      </c>
      <c r="I1718">
        <v>65</v>
      </c>
      <c r="J1718" t="s">
        <v>38</v>
      </c>
      <c r="K1718" t="s">
        <v>65</v>
      </c>
      <c r="L1718" t="s">
        <v>44</v>
      </c>
      <c r="M1718">
        <v>10.38</v>
      </c>
      <c r="N1718">
        <v>10.38</v>
      </c>
      <c r="T1718" t="s">
        <v>47</v>
      </c>
      <c r="U1718">
        <v>1</v>
      </c>
      <c r="V1718">
        <v>3</v>
      </c>
    </row>
    <row r="1719" spans="1:22" x14ac:dyDescent="0.3">
      <c r="A1719">
        <v>1718</v>
      </c>
      <c r="B1719">
        <v>48278</v>
      </c>
      <c r="C1719" s="2">
        <v>32290</v>
      </c>
      <c r="D1719">
        <v>37</v>
      </c>
      <c r="E1719" t="s">
        <v>42</v>
      </c>
      <c r="F1719" t="s">
        <v>50</v>
      </c>
      <c r="G1719" s="2">
        <v>45187</v>
      </c>
      <c r="H1719" s="3">
        <f t="shared" si="26"/>
        <v>2.6849315068493151</v>
      </c>
      <c r="I1719">
        <v>78</v>
      </c>
      <c r="J1719" t="s">
        <v>57</v>
      </c>
      <c r="K1719" t="s">
        <v>55</v>
      </c>
      <c r="L1719" t="s">
        <v>44</v>
      </c>
      <c r="M1719">
        <v>17.309999999999999</v>
      </c>
      <c r="N1719">
        <v>17.16</v>
      </c>
      <c r="T1719" t="s">
        <v>52</v>
      </c>
      <c r="U1719">
        <v>2</v>
      </c>
      <c r="V1719">
        <v>6</v>
      </c>
    </row>
    <row r="1720" spans="1:22" x14ac:dyDescent="0.3">
      <c r="A1720">
        <v>1719</v>
      </c>
      <c r="B1720">
        <v>48287</v>
      </c>
      <c r="C1720" s="2">
        <v>37863</v>
      </c>
      <c r="D1720">
        <v>22</v>
      </c>
      <c r="E1720" t="s">
        <v>36</v>
      </c>
      <c r="F1720" t="s">
        <v>50</v>
      </c>
      <c r="G1720" s="2">
        <v>45042</v>
      </c>
      <c r="H1720" s="3">
        <f t="shared" si="26"/>
        <v>1.9287671232876713</v>
      </c>
      <c r="I1720">
        <v>23</v>
      </c>
      <c r="J1720" t="s">
        <v>38</v>
      </c>
      <c r="K1720" t="s">
        <v>46</v>
      </c>
      <c r="L1720" t="s">
        <v>44</v>
      </c>
      <c r="M1720">
        <v>14.18</v>
      </c>
      <c r="N1720">
        <v>13.88</v>
      </c>
      <c r="T1720" t="s">
        <v>49</v>
      </c>
      <c r="U1720">
        <v>0</v>
      </c>
      <c r="V1720">
        <v>4</v>
      </c>
    </row>
    <row r="1721" spans="1:22" x14ac:dyDescent="0.3">
      <c r="A1721">
        <v>1720</v>
      </c>
      <c r="B1721">
        <v>48289</v>
      </c>
      <c r="C1721" s="2">
        <v>38044</v>
      </c>
      <c r="D1721">
        <v>21</v>
      </c>
      <c r="E1721" t="s">
        <v>42</v>
      </c>
      <c r="F1721" t="s">
        <v>37</v>
      </c>
      <c r="G1721" s="2">
        <v>45318</v>
      </c>
      <c r="H1721" s="3">
        <f t="shared" si="26"/>
        <v>2.1369863013698631</v>
      </c>
      <c r="I1721">
        <v>37</v>
      </c>
      <c r="J1721" t="s">
        <v>38</v>
      </c>
      <c r="K1721" t="s">
        <v>56</v>
      </c>
      <c r="L1721" t="s">
        <v>44</v>
      </c>
      <c r="M1721">
        <v>8.5</v>
      </c>
      <c r="T1721" t="s">
        <v>45</v>
      </c>
      <c r="U1721">
        <v>2</v>
      </c>
      <c r="V1721">
        <v>6</v>
      </c>
    </row>
    <row r="1722" spans="1:22" x14ac:dyDescent="0.3">
      <c r="A1722">
        <v>1721</v>
      </c>
      <c r="B1722">
        <v>48298</v>
      </c>
      <c r="C1722" s="2">
        <v>34320</v>
      </c>
      <c r="D1722">
        <v>32</v>
      </c>
      <c r="E1722" t="s">
        <v>42</v>
      </c>
      <c r="F1722" t="s">
        <v>50</v>
      </c>
      <c r="G1722" s="2">
        <v>45242</v>
      </c>
      <c r="H1722" s="3">
        <f t="shared" si="26"/>
        <v>2.1945205479452055</v>
      </c>
      <c r="I1722">
        <v>9</v>
      </c>
      <c r="J1722" t="s">
        <v>38</v>
      </c>
      <c r="K1722" t="s">
        <v>56</v>
      </c>
      <c r="L1722" t="s">
        <v>44</v>
      </c>
      <c r="M1722">
        <v>8.4600000000000009</v>
      </c>
      <c r="N1722">
        <v>8.26</v>
      </c>
      <c r="T1722" t="s">
        <v>47</v>
      </c>
      <c r="U1722">
        <v>2</v>
      </c>
      <c r="V1722">
        <v>6</v>
      </c>
    </row>
    <row r="1723" spans="1:22" x14ac:dyDescent="0.3">
      <c r="A1723">
        <v>1722</v>
      </c>
      <c r="B1723">
        <v>48316</v>
      </c>
      <c r="C1723" s="2">
        <v>36441</v>
      </c>
      <c r="D1723">
        <v>26</v>
      </c>
      <c r="E1723" t="s">
        <v>42</v>
      </c>
      <c r="F1723" t="s">
        <v>37</v>
      </c>
      <c r="G1723" s="2">
        <v>45221</v>
      </c>
      <c r="H1723" s="3">
        <f t="shared" si="26"/>
        <v>2.4438356164383563</v>
      </c>
      <c r="I1723">
        <v>61</v>
      </c>
      <c r="J1723" t="s">
        <v>38</v>
      </c>
      <c r="K1723" t="s">
        <v>55</v>
      </c>
      <c r="L1723" t="s">
        <v>44</v>
      </c>
      <c r="M1723">
        <v>17.489999999999998</v>
      </c>
      <c r="N1723">
        <v>17.16</v>
      </c>
      <c r="T1723" t="s">
        <v>47</v>
      </c>
      <c r="U1723">
        <v>2</v>
      </c>
      <c r="V1723">
        <v>5</v>
      </c>
    </row>
    <row r="1724" spans="1:22" x14ac:dyDescent="0.3">
      <c r="A1724">
        <v>1723</v>
      </c>
      <c r="B1724">
        <v>48329</v>
      </c>
      <c r="C1724" s="2">
        <v>37382</v>
      </c>
      <c r="D1724">
        <v>23</v>
      </c>
      <c r="E1724" t="s">
        <v>36</v>
      </c>
      <c r="F1724" t="s">
        <v>37</v>
      </c>
      <c r="G1724" s="2">
        <v>45130</v>
      </c>
      <c r="H1724" s="3">
        <f t="shared" si="26"/>
        <v>2.0794520547945203</v>
      </c>
      <c r="I1724">
        <v>101</v>
      </c>
      <c r="J1724" t="s">
        <v>57</v>
      </c>
      <c r="K1724" t="s">
        <v>55</v>
      </c>
      <c r="L1724" t="s">
        <v>44</v>
      </c>
      <c r="M1724">
        <v>17.46</v>
      </c>
      <c r="N1724">
        <v>17.16</v>
      </c>
      <c r="T1724" t="s">
        <v>47</v>
      </c>
      <c r="U1724">
        <v>2</v>
      </c>
      <c r="V1724">
        <v>3</v>
      </c>
    </row>
    <row r="1725" spans="1:22" x14ac:dyDescent="0.3">
      <c r="A1725">
        <v>1724</v>
      </c>
      <c r="B1725">
        <v>48337</v>
      </c>
      <c r="C1725" s="2">
        <v>38506</v>
      </c>
      <c r="D1725">
        <v>20</v>
      </c>
      <c r="E1725" t="s">
        <v>42</v>
      </c>
      <c r="F1725" t="s">
        <v>37</v>
      </c>
      <c r="G1725" s="2">
        <v>45263</v>
      </c>
      <c r="H1725" s="3">
        <f t="shared" si="26"/>
        <v>2.2493150684931509</v>
      </c>
      <c r="I1725">
        <v>140</v>
      </c>
      <c r="J1725" t="s">
        <v>57</v>
      </c>
      <c r="K1725" t="s">
        <v>56</v>
      </c>
      <c r="L1725" t="s">
        <v>44</v>
      </c>
      <c r="M1725">
        <v>8.4700000000000006</v>
      </c>
      <c r="N1725">
        <v>8.26</v>
      </c>
      <c r="T1725" t="s">
        <v>47</v>
      </c>
      <c r="U1725">
        <v>1</v>
      </c>
      <c r="V1725">
        <v>5</v>
      </c>
    </row>
    <row r="1726" spans="1:22" x14ac:dyDescent="0.3">
      <c r="A1726">
        <v>1725</v>
      </c>
      <c r="B1726">
        <v>48346</v>
      </c>
      <c r="C1726" s="2">
        <v>36138</v>
      </c>
      <c r="D1726">
        <v>27</v>
      </c>
      <c r="E1726" t="s">
        <v>36</v>
      </c>
      <c r="F1726" t="s">
        <v>50</v>
      </c>
      <c r="G1726" s="2">
        <v>45201</v>
      </c>
      <c r="H1726" s="3">
        <f t="shared" si="26"/>
        <v>1.8630136986301369</v>
      </c>
      <c r="I1726">
        <v>47</v>
      </c>
      <c r="J1726" t="s">
        <v>38</v>
      </c>
      <c r="K1726" t="s">
        <v>55</v>
      </c>
      <c r="L1726" t="s">
        <v>44</v>
      </c>
      <c r="M1726">
        <v>17.46</v>
      </c>
      <c r="N1726">
        <v>17.16</v>
      </c>
      <c r="T1726" t="s">
        <v>49</v>
      </c>
      <c r="U1726">
        <v>3</v>
      </c>
      <c r="V1726">
        <v>5</v>
      </c>
    </row>
    <row r="1727" spans="1:22" x14ac:dyDescent="0.3">
      <c r="A1727">
        <v>1726</v>
      </c>
      <c r="B1727">
        <v>48357</v>
      </c>
      <c r="C1727" s="2">
        <v>35590</v>
      </c>
      <c r="D1727">
        <v>28</v>
      </c>
      <c r="E1727" t="s">
        <v>36</v>
      </c>
      <c r="F1727" t="s">
        <v>50</v>
      </c>
      <c r="G1727" s="2">
        <v>45342</v>
      </c>
      <c r="H1727" s="3">
        <f t="shared" si="26"/>
        <v>1.9205479452054794</v>
      </c>
      <c r="I1727">
        <v>58</v>
      </c>
      <c r="J1727" t="s">
        <v>38</v>
      </c>
      <c r="K1727" t="s">
        <v>55</v>
      </c>
      <c r="L1727" t="s">
        <v>44</v>
      </c>
      <c r="M1727">
        <v>17.510000000000002</v>
      </c>
      <c r="T1727" t="s">
        <v>52</v>
      </c>
      <c r="U1727">
        <v>4</v>
      </c>
      <c r="V1727">
        <v>6</v>
      </c>
    </row>
    <row r="1728" spans="1:22" x14ac:dyDescent="0.3">
      <c r="A1728">
        <v>1727</v>
      </c>
      <c r="B1728">
        <v>48358</v>
      </c>
      <c r="C1728" s="2">
        <v>35839</v>
      </c>
      <c r="D1728">
        <v>27</v>
      </c>
      <c r="E1728" t="s">
        <v>36</v>
      </c>
      <c r="F1728" t="s">
        <v>37</v>
      </c>
      <c r="G1728" s="2">
        <v>45321</v>
      </c>
      <c r="H1728" s="3">
        <f t="shared" si="26"/>
        <v>2.7890410958904108</v>
      </c>
      <c r="I1728">
        <v>123</v>
      </c>
      <c r="J1728" t="s">
        <v>57</v>
      </c>
      <c r="K1728" t="s">
        <v>46</v>
      </c>
      <c r="L1728" t="s">
        <v>44</v>
      </c>
      <c r="M1728">
        <v>14.18</v>
      </c>
      <c r="T1728" t="s">
        <v>49</v>
      </c>
      <c r="U1728">
        <v>0</v>
      </c>
      <c r="V1728">
        <v>2</v>
      </c>
    </row>
    <row r="1729" spans="1:22" x14ac:dyDescent="0.3">
      <c r="A1729">
        <v>1728</v>
      </c>
      <c r="B1729">
        <v>48364</v>
      </c>
      <c r="C1729" s="2">
        <v>37842</v>
      </c>
      <c r="D1729">
        <v>22</v>
      </c>
      <c r="E1729" t="s">
        <v>42</v>
      </c>
      <c r="F1729" t="s">
        <v>37</v>
      </c>
      <c r="G1729" s="2">
        <v>45004</v>
      </c>
      <c r="H1729" s="3">
        <f t="shared" si="26"/>
        <v>2.1150684931506851</v>
      </c>
      <c r="I1729">
        <v>8</v>
      </c>
      <c r="J1729" t="s">
        <v>38</v>
      </c>
      <c r="K1729" t="s">
        <v>56</v>
      </c>
      <c r="L1729" t="s">
        <v>44</v>
      </c>
      <c r="M1729">
        <v>8.52</v>
      </c>
      <c r="N1729">
        <v>8.26</v>
      </c>
      <c r="T1729" t="s">
        <v>49</v>
      </c>
      <c r="U1729">
        <v>2</v>
      </c>
      <c r="V1729">
        <v>5</v>
      </c>
    </row>
    <row r="1730" spans="1:22" x14ac:dyDescent="0.3">
      <c r="A1730">
        <v>1729</v>
      </c>
      <c r="B1730">
        <v>48373</v>
      </c>
      <c r="C1730" s="2">
        <v>38067</v>
      </c>
      <c r="D1730">
        <v>21</v>
      </c>
      <c r="E1730" t="s">
        <v>36</v>
      </c>
      <c r="F1730" t="s">
        <v>50</v>
      </c>
      <c r="G1730" s="2">
        <v>45250</v>
      </c>
      <c r="H1730" s="3">
        <f t="shared" si="26"/>
        <v>2.1698630136986301</v>
      </c>
      <c r="I1730">
        <v>37</v>
      </c>
      <c r="J1730" t="s">
        <v>38</v>
      </c>
      <c r="K1730" t="s">
        <v>65</v>
      </c>
      <c r="L1730" t="s">
        <v>44</v>
      </c>
      <c r="M1730">
        <v>10.64</v>
      </c>
      <c r="N1730">
        <v>10.38</v>
      </c>
      <c r="T1730" t="s">
        <v>47</v>
      </c>
      <c r="U1730">
        <v>1</v>
      </c>
      <c r="V1730">
        <v>5</v>
      </c>
    </row>
    <row r="1731" spans="1:22" x14ac:dyDescent="0.3">
      <c r="A1731">
        <v>1730</v>
      </c>
      <c r="B1731">
        <v>48374</v>
      </c>
      <c r="C1731" s="2">
        <v>37310</v>
      </c>
      <c r="D1731">
        <v>23</v>
      </c>
      <c r="E1731" t="s">
        <v>36</v>
      </c>
      <c r="F1731" t="s">
        <v>50</v>
      </c>
      <c r="G1731" s="2">
        <v>45230</v>
      </c>
      <c r="H1731" s="3">
        <f t="shared" ref="H1731:H1794" si="27">DATEDIF(G1732,DATE(2025,12,31),"d")/365</f>
        <v>2.2712328767123289</v>
      </c>
      <c r="I1731">
        <v>37</v>
      </c>
      <c r="J1731" t="s">
        <v>38</v>
      </c>
      <c r="K1731" t="s">
        <v>55</v>
      </c>
      <c r="L1731" t="s">
        <v>44</v>
      </c>
      <c r="M1731">
        <v>17.36</v>
      </c>
      <c r="N1731">
        <v>17.16</v>
      </c>
      <c r="T1731" t="s">
        <v>47</v>
      </c>
      <c r="U1731">
        <v>0</v>
      </c>
      <c r="V1731">
        <v>4</v>
      </c>
    </row>
    <row r="1732" spans="1:22" x14ac:dyDescent="0.3">
      <c r="A1732">
        <v>1731</v>
      </c>
      <c r="B1732">
        <v>48386</v>
      </c>
      <c r="C1732" s="2">
        <v>35959</v>
      </c>
      <c r="D1732">
        <v>27</v>
      </c>
      <c r="E1732" t="s">
        <v>42</v>
      </c>
      <c r="F1732" t="s">
        <v>50</v>
      </c>
      <c r="G1732" s="2">
        <v>45193</v>
      </c>
      <c r="H1732" s="3">
        <f t="shared" si="27"/>
        <v>2.6657534246575341</v>
      </c>
      <c r="I1732">
        <v>21</v>
      </c>
      <c r="J1732" t="s">
        <v>38</v>
      </c>
      <c r="K1732" t="s">
        <v>55</v>
      </c>
      <c r="L1732" t="s">
        <v>44</v>
      </c>
      <c r="M1732">
        <v>17.46</v>
      </c>
      <c r="N1732">
        <v>17.16</v>
      </c>
      <c r="T1732" t="s">
        <v>45</v>
      </c>
      <c r="U1732">
        <v>4</v>
      </c>
      <c r="V1732">
        <v>5</v>
      </c>
    </row>
    <row r="1733" spans="1:22" x14ac:dyDescent="0.3">
      <c r="A1733">
        <v>1732</v>
      </c>
      <c r="B1733">
        <v>48388</v>
      </c>
      <c r="C1733" s="2">
        <v>36421</v>
      </c>
      <c r="D1733">
        <v>26</v>
      </c>
      <c r="E1733" t="s">
        <v>42</v>
      </c>
      <c r="F1733" t="s">
        <v>50</v>
      </c>
      <c r="G1733" s="2">
        <v>45049</v>
      </c>
      <c r="H1733" s="3">
        <f t="shared" si="27"/>
        <v>2.5534246575342467</v>
      </c>
      <c r="I1733">
        <v>71</v>
      </c>
      <c r="J1733" t="s">
        <v>57</v>
      </c>
      <c r="K1733" t="s">
        <v>55</v>
      </c>
      <c r="L1733" t="s">
        <v>44</v>
      </c>
      <c r="M1733">
        <v>17.46</v>
      </c>
      <c r="N1733">
        <v>17.16</v>
      </c>
      <c r="T1733" t="s">
        <v>47</v>
      </c>
      <c r="U1733">
        <v>2</v>
      </c>
      <c r="V1733">
        <v>7</v>
      </c>
    </row>
    <row r="1734" spans="1:22" x14ac:dyDescent="0.3">
      <c r="A1734">
        <v>1733</v>
      </c>
      <c r="B1734">
        <v>48396</v>
      </c>
      <c r="C1734" s="2">
        <v>36269</v>
      </c>
      <c r="D1734">
        <v>26</v>
      </c>
      <c r="E1734" t="s">
        <v>36</v>
      </c>
      <c r="F1734" t="s">
        <v>50</v>
      </c>
      <c r="G1734" s="2">
        <v>45090</v>
      </c>
      <c r="H1734" s="3">
        <f t="shared" si="27"/>
        <v>2.3561643835616439</v>
      </c>
      <c r="I1734">
        <v>58</v>
      </c>
      <c r="J1734" t="s">
        <v>38</v>
      </c>
      <c r="K1734" t="s">
        <v>65</v>
      </c>
      <c r="L1734" t="s">
        <v>44</v>
      </c>
      <c r="M1734">
        <v>10.61</v>
      </c>
      <c r="N1734">
        <v>10.38</v>
      </c>
      <c r="T1734" t="s">
        <v>47</v>
      </c>
      <c r="U1734">
        <v>0</v>
      </c>
      <c r="V1734">
        <v>4</v>
      </c>
    </row>
    <row r="1735" spans="1:22" x14ac:dyDescent="0.3">
      <c r="A1735">
        <v>1734</v>
      </c>
      <c r="B1735">
        <v>48409</v>
      </c>
      <c r="C1735" s="2">
        <v>30905</v>
      </c>
      <c r="D1735">
        <v>41</v>
      </c>
      <c r="E1735" t="s">
        <v>42</v>
      </c>
      <c r="F1735" t="s">
        <v>50</v>
      </c>
      <c r="G1735" s="2">
        <v>45162</v>
      </c>
      <c r="H1735" s="3">
        <f t="shared" si="27"/>
        <v>1.8712328767123287</v>
      </c>
      <c r="I1735">
        <v>81</v>
      </c>
      <c r="J1735" t="s">
        <v>57</v>
      </c>
      <c r="K1735" t="s">
        <v>46</v>
      </c>
      <c r="L1735" t="s">
        <v>44</v>
      </c>
      <c r="M1735">
        <v>14.18</v>
      </c>
      <c r="N1735">
        <v>13.88</v>
      </c>
      <c r="T1735" t="s">
        <v>47</v>
      </c>
      <c r="U1735">
        <v>0</v>
      </c>
      <c r="V1735">
        <v>5</v>
      </c>
    </row>
    <row r="1736" spans="1:22" x14ac:dyDescent="0.3">
      <c r="A1736">
        <v>1735</v>
      </c>
      <c r="B1736">
        <v>48420</v>
      </c>
      <c r="C1736" s="2">
        <v>36640</v>
      </c>
      <c r="D1736">
        <v>25</v>
      </c>
      <c r="E1736" t="s">
        <v>36</v>
      </c>
      <c r="F1736" t="s">
        <v>50</v>
      </c>
      <c r="G1736" s="2">
        <v>45339</v>
      </c>
      <c r="H1736" s="3">
        <f t="shared" si="27"/>
        <v>2.5178082191780824</v>
      </c>
      <c r="I1736">
        <v>31</v>
      </c>
      <c r="J1736" t="s">
        <v>38</v>
      </c>
      <c r="K1736" t="s">
        <v>65</v>
      </c>
      <c r="L1736" t="s">
        <v>44</v>
      </c>
      <c r="M1736">
        <v>10.38</v>
      </c>
      <c r="T1736" t="s">
        <v>47</v>
      </c>
      <c r="U1736">
        <v>1</v>
      </c>
      <c r="V1736">
        <v>5</v>
      </c>
    </row>
    <row r="1737" spans="1:22" x14ac:dyDescent="0.3">
      <c r="A1737">
        <v>1736</v>
      </c>
      <c r="B1737">
        <v>48429</v>
      </c>
      <c r="C1737" s="2">
        <v>35606</v>
      </c>
      <c r="D1737">
        <v>28</v>
      </c>
      <c r="E1737" t="s">
        <v>36</v>
      </c>
      <c r="F1737" t="s">
        <v>50</v>
      </c>
      <c r="G1737" s="2">
        <v>45103</v>
      </c>
      <c r="H1737" s="3">
        <f t="shared" si="27"/>
        <v>2.1753424657534248</v>
      </c>
      <c r="I1737">
        <v>61</v>
      </c>
      <c r="J1737" t="s">
        <v>38</v>
      </c>
      <c r="K1737" t="s">
        <v>55</v>
      </c>
      <c r="L1737" t="s">
        <v>44</v>
      </c>
      <c r="M1737">
        <v>17.16</v>
      </c>
      <c r="N1737">
        <v>17.16</v>
      </c>
      <c r="T1737" t="s">
        <v>49</v>
      </c>
      <c r="U1737">
        <v>0</v>
      </c>
      <c r="V1737">
        <v>5</v>
      </c>
    </row>
    <row r="1738" spans="1:22" x14ac:dyDescent="0.3">
      <c r="A1738">
        <v>1737</v>
      </c>
      <c r="B1738">
        <v>48432</v>
      </c>
      <c r="C1738" s="2">
        <v>35642</v>
      </c>
      <c r="D1738">
        <v>28</v>
      </c>
      <c r="E1738" t="s">
        <v>36</v>
      </c>
      <c r="F1738" t="s">
        <v>50</v>
      </c>
      <c r="G1738" s="2">
        <v>45228</v>
      </c>
      <c r="H1738" s="3">
        <f t="shared" si="27"/>
        <v>2.6054794520547944</v>
      </c>
      <c r="I1738">
        <v>75</v>
      </c>
      <c r="J1738" t="s">
        <v>57</v>
      </c>
      <c r="K1738" t="s">
        <v>55</v>
      </c>
      <c r="L1738" t="s">
        <v>44</v>
      </c>
      <c r="M1738">
        <v>17.46</v>
      </c>
      <c r="N1738">
        <v>17.16</v>
      </c>
      <c r="T1738" t="s">
        <v>47</v>
      </c>
      <c r="U1738">
        <v>4</v>
      </c>
      <c r="V1738">
        <v>5</v>
      </c>
    </row>
    <row r="1739" spans="1:22" x14ac:dyDescent="0.3">
      <c r="A1739">
        <v>1738</v>
      </c>
      <c r="B1739">
        <v>48434</v>
      </c>
      <c r="C1739" s="2">
        <v>37931</v>
      </c>
      <c r="D1739">
        <v>22</v>
      </c>
      <c r="E1739" t="s">
        <v>42</v>
      </c>
      <c r="F1739" t="s">
        <v>50</v>
      </c>
      <c r="G1739" s="2">
        <v>45071</v>
      </c>
      <c r="H1739" s="3">
        <f t="shared" si="27"/>
        <v>1.9917808219178081</v>
      </c>
      <c r="I1739">
        <v>86</v>
      </c>
      <c r="J1739" t="s">
        <v>57</v>
      </c>
      <c r="K1739" t="s">
        <v>56</v>
      </c>
      <c r="L1739" t="s">
        <v>44</v>
      </c>
      <c r="M1739">
        <v>8.36</v>
      </c>
      <c r="N1739">
        <v>8.26</v>
      </c>
      <c r="T1739" t="s">
        <v>49</v>
      </c>
      <c r="U1739">
        <v>0</v>
      </c>
      <c r="V1739">
        <v>5</v>
      </c>
    </row>
    <row r="1740" spans="1:22" x14ac:dyDescent="0.3">
      <c r="A1740">
        <v>1739</v>
      </c>
      <c r="B1740">
        <v>48451</v>
      </c>
      <c r="C1740" s="2">
        <v>36285</v>
      </c>
      <c r="D1740">
        <v>26</v>
      </c>
      <c r="E1740" t="s">
        <v>42</v>
      </c>
      <c r="F1740" t="s">
        <v>50</v>
      </c>
      <c r="G1740" s="2">
        <v>45295</v>
      </c>
      <c r="H1740" s="3">
        <f t="shared" si="27"/>
        <v>2.0493150684931507</v>
      </c>
      <c r="I1740">
        <v>14</v>
      </c>
      <c r="J1740" t="s">
        <v>38</v>
      </c>
      <c r="K1740" t="s">
        <v>46</v>
      </c>
      <c r="L1740" t="s">
        <v>44</v>
      </c>
      <c r="M1740">
        <v>14.18</v>
      </c>
      <c r="T1740" t="s">
        <v>47</v>
      </c>
      <c r="U1740">
        <v>0</v>
      </c>
      <c r="V1740">
        <v>5</v>
      </c>
    </row>
    <row r="1741" spans="1:22" x14ac:dyDescent="0.3">
      <c r="A1741">
        <v>1740</v>
      </c>
      <c r="B1741">
        <v>48477</v>
      </c>
      <c r="C1741" s="2">
        <v>35858</v>
      </c>
      <c r="D1741">
        <v>27</v>
      </c>
      <c r="E1741" t="s">
        <v>36</v>
      </c>
      <c r="F1741" t="s">
        <v>50</v>
      </c>
      <c r="G1741" s="2">
        <v>45274</v>
      </c>
      <c r="H1741" s="3">
        <f t="shared" si="27"/>
        <v>2.3095890410958906</v>
      </c>
      <c r="I1741">
        <v>34</v>
      </c>
      <c r="J1741" t="s">
        <v>38</v>
      </c>
      <c r="K1741" t="s">
        <v>46</v>
      </c>
      <c r="L1741" t="s">
        <v>44</v>
      </c>
      <c r="M1741">
        <v>14.18</v>
      </c>
      <c r="N1741">
        <v>13.88</v>
      </c>
      <c r="T1741" t="s">
        <v>47</v>
      </c>
      <c r="U1741">
        <v>0</v>
      </c>
      <c r="V1741">
        <v>4</v>
      </c>
    </row>
    <row r="1742" spans="1:22" x14ac:dyDescent="0.3">
      <c r="A1742">
        <v>1741</v>
      </c>
      <c r="B1742">
        <v>48480</v>
      </c>
      <c r="C1742" s="2">
        <v>35614</v>
      </c>
      <c r="D1742">
        <v>28</v>
      </c>
      <c r="E1742" t="s">
        <v>36</v>
      </c>
      <c r="F1742" t="s">
        <v>50</v>
      </c>
      <c r="G1742" s="2">
        <v>45179</v>
      </c>
      <c r="H1742" s="3">
        <f t="shared" si="27"/>
        <v>2.6027397260273974</v>
      </c>
      <c r="I1742">
        <v>35</v>
      </c>
      <c r="J1742" t="s">
        <v>38</v>
      </c>
      <c r="K1742" t="s">
        <v>65</v>
      </c>
      <c r="L1742" t="s">
        <v>44</v>
      </c>
      <c r="M1742">
        <v>10.58</v>
      </c>
      <c r="N1742">
        <v>10.38</v>
      </c>
      <c r="T1742" t="s">
        <v>47</v>
      </c>
      <c r="U1742">
        <v>0</v>
      </c>
      <c r="V1742">
        <v>4</v>
      </c>
    </row>
    <row r="1743" spans="1:22" x14ac:dyDescent="0.3">
      <c r="A1743">
        <v>1742</v>
      </c>
      <c r="B1743">
        <v>48496</v>
      </c>
      <c r="C1743" s="2">
        <v>37150</v>
      </c>
      <c r="D1743">
        <v>24</v>
      </c>
      <c r="E1743" t="s">
        <v>42</v>
      </c>
      <c r="F1743" t="s">
        <v>50</v>
      </c>
      <c r="G1743" s="2">
        <v>45072</v>
      </c>
      <c r="H1743" s="3">
        <f t="shared" si="27"/>
        <v>2.515068493150685</v>
      </c>
      <c r="I1743">
        <v>46</v>
      </c>
      <c r="J1743" t="s">
        <v>38</v>
      </c>
      <c r="K1743" t="s">
        <v>56</v>
      </c>
      <c r="L1743" t="s">
        <v>44</v>
      </c>
      <c r="M1743">
        <v>8.5399999999999991</v>
      </c>
      <c r="N1743">
        <v>8.26</v>
      </c>
      <c r="T1743" t="s">
        <v>52</v>
      </c>
      <c r="U1743">
        <v>0</v>
      </c>
      <c r="V1743">
        <v>6</v>
      </c>
    </row>
    <row r="1744" spans="1:22" x14ac:dyDescent="0.3">
      <c r="A1744">
        <v>1743</v>
      </c>
      <c r="B1744">
        <v>48498</v>
      </c>
      <c r="C1744" s="2">
        <v>38537</v>
      </c>
      <c r="D1744">
        <v>20</v>
      </c>
      <c r="E1744" t="s">
        <v>42</v>
      </c>
      <c r="F1744" t="s">
        <v>50</v>
      </c>
      <c r="G1744" s="2">
        <v>45104</v>
      </c>
      <c r="H1744" s="3">
        <f t="shared" si="27"/>
        <v>2.1205479452054794</v>
      </c>
      <c r="I1744">
        <v>49</v>
      </c>
      <c r="J1744" t="s">
        <v>38</v>
      </c>
      <c r="K1744" t="s">
        <v>48</v>
      </c>
      <c r="L1744" t="s">
        <v>44</v>
      </c>
      <c r="M1744">
        <v>8.4600000000000009</v>
      </c>
      <c r="N1744">
        <v>8.26</v>
      </c>
      <c r="T1744" t="s">
        <v>47</v>
      </c>
      <c r="U1744">
        <v>1</v>
      </c>
      <c r="V1744">
        <v>6</v>
      </c>
    </row>
    <row r="1745" spans="1:22" x14ac:dyDescent="0.3">
      <c r="A1745">
        <v>1744</v>
      </c>
      <c r="B1745">
        <v>48501</v>
      </c>
      <c r="C1745" s="2">
        <v>35758</v>
      </c>
      <c r="D1745">
        <v>28</v>
      </c>
      <c r="E1745" t="s">
        <v>36</v>
      </c>
      <c r="F1745" t="s">
        <v>50</v>
      </c>
      <c r="G1745" s="2">
        <v>45248</v>
      </c>
      <c r="H1745" s="3">
        <f t="shared" si="27"/>
        <v>1.9123287671232876</v>
      </c>
      <c r="I1745">
        <v>54</v>
      </c>
      <c r="J1745" t="s">
        <v>38</v>
      </c>
      <c r="K1745" t="s">
        <v>55</v>
      </c>
      <c r="L1745" t="s">
        <v>44</v>
      </c>
      <c r="M1745">
        <v>17.46</v>
      </c>
      <c r="N1745">
        <v>17.16</v>
      </c>
      <c r="T1745" t="s">
        <v>47</v>
      </c>
      <c r="U1745">
        <v>1</v>
      </c>
      <c r="V1745">
        <v>4</v>
      </c>
    </row>
    <row r="1746" spans="1:22" x14ac:dyDescent="0.3">
      <c r="A1746">
        <v>1745</v>
      </c>
      <c r="B1746">
        <v>48505</v>
      </c>
      <c r="C1746" s="2">
        <v>37054</v>
      </c>
      <c r="D1746">
        <v>24</v>
      </c>
      <c r="E1746" t="s">
        <v>36</v>
      </c>
      <c r="F1746" t="s">
        <v>50</v>
      </c>
      <c r="G1746" s="2">
        <v>45324</v>
      </c>
      <c r="H1746" s="3">
        <f t="shared" si="27"/>
        <v>2.7041095890410958</v>
      </c>
      <c r="I1746">
        <v>58</v>
      </c>
      <c r="J1746" t="s">
        <v>38</v>
      </c>
      <c r="K1746" t="s">
        <v>54</v>
      </c>
      <c r="L1746" t="s">
        <v>44</v>
      </c>
      <c r="M1746">
        <v>23.62</v>
      </c>
      <c r="T1746" t="s">
        <v>45</v>
      </c>
      <c r="U1746">
        <v>6</v>
      </c>
      <c r="V1746">
        <v>5</v>
      </c>
    </row>
    <row r="1747" spans="1:22" x14ac:dyDescent="0.3">
      <c r="A1747">
        <v>1746</v>
      </c>
      <c r="B1747">
        <v>48507</v>
      </c>
      <c r="C1747" s="2">
        <v>38499</v>
      </c>
      <c r="D1747">
        <v>20</v>
      </c>
      <c r="E1747" t="s">
        <v>36</v>
      </c>
      <c r="F1747" t="s">
        <v>50</v>
      </c>
      <c r="G1747" s="2">
        <v>45035</v>
      </c>
      <c r="H1747" s="3">
        <f t="shared" si="27"/>
        <v>2.463013698630137</v>
      </c>
      <c r="I1747">
        <v>60</v>
      </c>
      <c r="J1747" t="s">
        <v>38</v>
      </c>
      <c r="K1747" t="s">
        <v>64</v>
      </c>
      <c r="L1747" t="s">
        <v>44</v>
      </c>
      <c r="M1747">
        <v>13.73</v>
      </c>
      <c r="N1747">
        <v>13.73</v>
      </c>
      <c r="T1747" t="s">
        <v>52</v>
      </c>
      <c r="U1747">
        <v>1</v>
      </c>
      <c r="V1747">
        <v>5</v>
      </c>
    </row>
    <row r="1748" spans="1:22" x14ac:dyDescent="0.3">
      <c r="A1748">
        <v>1747</v>
      </c>
      <c r="B1748">
        <v>48510</v>
      </c>
      <c r="C1748" s="2">
        <v>37131</v>
      </c>
      <c r="D1748">
        <v>24</v>
      </c>
      <c r="E1748" t="s">
        <v>42</v>
      </c>
      <c r="F1748" t="s">
        <v>50</v>
      </c>
      <c r="G1748" s="2">
        <v>45123</v>
      </c>
      <c r="H1748" s="3">
        <f t="shared" si="27"/>
        <v>2.6246575342465754</v>
      </c>
      <c r="I1748">
        <v>61</v>
      </c>
      <c r="J1748" t="s">
        <v>38</v>
      </c>
      <c r="K1748" t="s">
        <v>65</v>
      </c>
      <c r="L1748" t="s">
        <v>44</v>
      </c>
      <c r="M1748">
        <v>10.6</v>
      </c>
      <c r="N1748">
        <v>10.38</v>
      </c>
      <c r="T1748" t="s">
        <v>52</v>
      </c>
      <c r="U1748">
        <v>1</v>
      </c>
      <c r="V1748">
        <v>4</v>
      </c>
    </row>
    <row r="1749" spans="1:22" x14ac:dyDescent="0.3">
      <c r="A1749">
        <v>1748</v>
      </c>
      <c r="B1749">
        <v>48517</v>
      </c>
      <c r="C1749" s="2">
        <v>37485</v>
      </c>
      <c r="D1749">
        <v>23</v>
      </c>
      <c r="E1749" t="s">
        <v>36</v>
      </c>
      <c r="F1749" t="s">
        <v>37</v>
      </c>
      <c r="G1749" s="2">
        <v>45064</v>
      </c>
      <c r="H1749" s="3">
        <f t="shared" si="27"/>
        <v>2.5643835616438357</v>
      </c>
      <c r="I1749">
        <v>65</v>
      </c>
      <c r="J1749" t="s">
        <v>38</v>
      </c>
      <c r="K1749" t="s">
        <v>56</v>
      </c>
      <c r="L1749" t="s">
        <v>44</v>
      </c>
      <c r="M1749">
        <v>8.26</v>
      </c>
      <c r="N1749">
        <v>8.26</v>
      </c>
      <c r="T1749" t="s">
        <v>49</v>
      </c>
      <c r="U1749">
        <v>2</v>
      </c>
      <c r="V1749">
        <v>3</v>
      </c>
    </row>
    <row r="1750" spans="1:22" x14ac:dyDescent="0.3">
      <c r="A1750">
        <v>1749</v>
      </c>
      <c r="B1750">
        <v>48528</v>
      </c>
      <c r="C1750" s="2">
        <v>38314</v>
      </c>
      <c r="D1750">
        <v>21</v>
      </c>
      <c r="E1750" t="s">
        <v>36</v>
      </c>
      <c r="F1750" t="s">
        <v>50</v>
      </c>
      <c r="G1750" s="2">
        <v>45086</v>
      </c>
      <c r="H1750" s="3">
        <f t="shared" si="27"/>
        <v>2.1808219178082191</v>
      </c>
      <c r="I1750">
        <v>85</v>
      </c>
      <c r="J1750" t="s">
        <v>57</v>
      </c>
      <c r="K1750" t="s">
        <v>46</v>
      </c>
      <c r="L1750" t="s">
        <v>44</v>
      </c>
      <c r="M1750">
        <v>14.18</v>
      </c>
      <c r="N1750">
        <v>13.88</v>
      </c>
      <c r="T1750" t="s">
        <v>45</v>
      </c>
      <c r="U1750">
        <v>0</v>
      </c>
      <c r="V1750">
        <v>4</v>
      </c>
    </row>
    <row r="1751" spans="1:22" x14ac:dyDescent="0.3">
      <c r="A1751">
        <v>1750</v>
      </c>
      <c r="B1751">
        <v>48536</v>
      </c>
      <c r="C1751" s="2">
        <v>37884</v>
      </c>
      <c r="D1751">
        <v>22</v>
      </c>
      <c r="E1751" t="s">
        <v>42</v>
      </c>
      <c r="F1751" t="s">
        <v>50</v>
      </c>
      <c r="G1751" s="2">
        <v>45226</v>
      </c>
      <c r="H1751" s="3">
        <f t="shared" si="27"/>
        <v>2.7561643835616438</v>
      </c>
      <c r="I1751">
        <v>97</v>
      </c>
      <c r="J1751" t="s">
        <v>57</v>
      </c>
      <c r="K1751" t="s">
        <v>56</v>
      </c>
      <c r="L1751" t="s">
        <v>44</v>
      </c>
      <c r="M1751">
        <v>8.5299999999999994</v>
      </c>
      <c r="N1751">
        <v>8.26</v>
      </c>
      <c r="T1751" t="s">
        <v>47</v>
      </c>
      <c r="U1751">
        <v>4</v>
      </c>
      <c r="V1751">
        <v>7</v>
      </c>
    </row>
    <row r="1752" spans="1:22" x14ac:dyDescent="0.3">
      <c r="A1752">
        <v>1751</v>
      </c>
      <c r="B1752">
        <v>48544</v>
      </c>
      <c r="C1752" s="2">
        <v>38710</v>
      </c>
      <c r="D1752">
        <v>20</v>
      </c>
      <c r="E1752" t="s">
        <v>42</v>
      </c>
      <c r="F1752" t="s">
        <v>37</v>
      </c>
      <c r="G1752" s="2">
        <v>45016</v>
      </c>
      <c r="H1752" s="3">
        <f t="shared" si="27"/>
        <v>2.1397260273972605</v>
      </c>
      <c r="I1752">
        <v>108</v>
      </c>
      <c r="J1752" t="s">
        <v>57</v>
      </c>
      <c r="K1752" t="s">
        <v>56</v>
      </c>
      <c r="L1752" t="s">
        <v>44</v>
      </c>
      <c r="M1752">
        <v>8.4600000000000009</v>
      </c>
      <c r="N1752">
        <v>8.26</v>
      </c>
      <c r="T1752" t="s">
        <v>52</v>
      </c>
      <c r="U1752">
        <v>2</v>
      </c>
      <c r="V1752">
        <v>5</v>
      </c>
    </row>
    <row r="1753" spans="1:22" x14ac:dyDescent="0.3">
      <c r="A1753">
        <v>1752</v>
      </c>
      <c r="B1753">
        <v>48546</v>
      </c>
      <c r="C1753" s="2">
        <v>35264</v>
      </c>
      <c r="D1753">
        <v>29</v>
      </c>
      <c r="E1753" t="s">
        <v>42</v>
      </c>
      <c r="F1753" t="s">
        <v>50</v>
      </c>
      <c r="G1753" s="2">
        <v>45241</v>
      </c>
      <c r="H1753" s="3">
        <f t="shared" si="27"/>
        <v>1.9643835616438357</v>
      </c>
      <c r="I1753">
        <v>112</v>
      </c>
      <c r="J1753" t="s">
        <v>57</v>
      </c>
      <c r="K1753" t="s">
        <v>56</v>
      </c>
      <c r="L1753" t="s">
        <v>44</v>
      </c>
      <c r="M1753">
        <v>8.4600000000000009</v>
      </c>
      <c r="N1753">
        <v>8.26</v>
      </c>
      <c r="T1753" t="s">
        <v>47</v>
      </c>
      <c r="U1753">
        <v>2</v>
      </c>
      <c r="V1753">
        <v>7</v>
      </c>
    </row>
    <row r="1754" spans="1:22" x14ac:dyDescent="0.3">
      <c r="A1754">
        <v>1753</v>
      </c>
      <c r="B1754">
        <v>48558</v>
      </c>
      <c r="C1754" s="2">
        <v>38024</v>
      </c>
      <c r="D1754">
        <v>21</v>
      </c>
      <c r="E1754" t="s">
        <v>42</v>
      </c>
      <c r="F1754" t="s">
        <v>50</v>
      </c>
      <c r="G1754" s="2">
        <v>45305</v>
      </c>
      <c r="H1754" s="3">
        <f t="shared" si="27"/>
        <v>2.7835616438356166</v>
      </c>
      <c r="I1754">
        <v>128</v>
      </c>
      <c r="J1754" t="s">
        <v>57</v>
      </c>
      <c r="K1754" t="s">
        <v>65</v>
      </c>
      <c r="L1754" t="s">
        <v>44</v>
      </c>
      <c r="M1754">
        <v>10.58</v>
      </c>
      <c r="T1754" t="s">
        <v>49</v>
      </c>
      <c r="U1754">
        <v>0</v>
      </c>
      <c r="V1754">
        <v>5</v>
      </c>
    </row>
    <row r="1755" spans="1:22" x14ac:dyDescent="0.3">
      <c r="A1755">
        <v>1754</v>
      </c>
      <c r="B1755">
        <v>48570</v>
      </c>
      <c r="C1755" s="2">
        <v>36335</v>
      </c>
      <c r="D1755">
        <v>26</v>
      </c>
      <c r="E1755" t="s">
        <v>42</v>
      </c>
      <c r="F1755" t="s">
        <v>37</v>
      </c>
      <c r="G1755" s="2">
        <v>45006</v>
      </c>
      <c r="H1755" s="3">
        <f t="shared" si="27"/>
        <v>2.7945205479452055</v>
      </c>
      <c r="I1755">
        <v>145</v>
      </c>
      <c r="J1755" t="s">
        <v>57</v>
      </c>
      <c r="K1755" t="s">
        <v>68</v>
      </c>
      <c r="L1755" t="s">
        <v>44</v>
      </c>
      <c r="M1755">
        <v>16.78</v>
      </c>
      <c r="N1755">
        <v>16.579999999999998</v>
      </c>
      <c r="T1755" t="s">
        <v>49</v>
      </c>
      <c r="U1755">
        <v>2</v>
      </c>
      <c r="V1755">
        <v>6</v>
      </c>
    </row>
    <row r="1756" spans="1:22" x14ac:dyDescent="0.3">
      <c r="A1756">
        <v>1755</v>
      </c>
      <c r="B1756">
        <v>48572</v>
      </c>
      <c r="C1756" s="2">
        <v>37178</v>
      </c>
      <c r="D1756">
        <v>24</v>
      </c>
      <c r="E1756" t="s">
        <v>36</v>
      </c>
      <c r="F1756" t="s">
        <v>50</v>
      </c>
      <c r="G1756" s="2">
        <v>45002</v>
      </c>
      <c r="H1756" s="3">
        <f t="shared" si="27"/>
        <v>2.3013698630136985</v>
      </c>
      <c r="I1756">
        <v>10</v>
      </c>
      <c r="J1756" t="s">
        <v>38</v>
      </c>
      <c r="K1756" t="s">
        <v>43</v>
      </c>
      <c r="L1756" t="s">
        <v>44</v>
      </c>
      <c r="M1756">
        <v>16.27</v>
      </c>
      <c r="N1756">
        <v>15.97</v>
      </c>
      <c r="T1756" t="s">
        <v>47</v>
      </c>
      <c r="U1756">
        <v>1</v>
      </c>
      <c r="V1756">
        <v>5</v>
      </c>
    </row>
    <row r="1757" spans="1:22" x14ac:dyDescent="0.3">
      <c r="A1757">
        <v>1756</v>
      </c>
      <c r="B1757">
        <v>48577</v>
      </c>
      <c r="C1757" s="2">
        <v>37794</v>
      </c>
      <c r="D1757">
        <v>22</v>
      </c>
      <c r="E1757" t="s">
        <v>36</v>
      </c>
      <c r="F1757" t="s">
        <v>50</v>
      </c>
      <c r="G1757" s="2">
        <v>45182</v>
      </c>
      <c r="H1757" s="3">
        <f t="shared" si="27"/>
        <v>2.6410958904109587</v>
      </c>
      <c r="I1757">
        <v>62</v>
      </c>
      <c r="J1757" t="s">
        <v>38</v>
      </c>
      <c r="K1757" t="s">
        <v>64</v>
      </c>
      <c r="L1757" t="s">
        <v>44</v>
      </c>
      <c r="M1757">
        <v>14.03</v>
      </c>
      <c r="N1757">
        <v>13.73</v>
      </c>
      <c r="T1757" t="s">
        <v>49</v>
      </c>
      <c r="U1757">
        <v>0</v>
      </c>
      <c r="V1757">
        <v>5</v>
      </c>
    </row>
    <row r="1758" spans="1:22" x14ac:dyDescent="0.3">
      <c r="A1758">
        <v>1757</v>
      </c>
      <c r="B1758">
        <v>48578</v>
      </c>
      <c r="C1758" s="2">
        <v>38454</v>
      </c>
      <c r="D1758">
        <v>20</v>
      </c>
      <c r="E1758" t="s">
        <v>36</v>
      </c>
      <c r="F1758" t="s">
        <v>50</v>
      </c>
      <c r="G1758" s="2">
        <v>45058</v>
      </c>
      <c r="H1758" s="3">
        <f t="shared" si="27"/>
        <v>2.4602739726027396</v>
      </c>
      <c r="I1758">
        <v>64</v>
      </c>
      <c r="J1758" t="s">
        <v>38</v>
      </c>
      <c r="K1758" t="s">
        <v>46</v>
      </c>
      <c r="L1758" t="s">
        <v>44</v>
      </c>
      <c r="M1758">
        <v>14.18</v>
      </c>
      <c r="N1758">
        <v>13.88</v>
      </c>
      <c r="T1758" t="s">
        <v>47</v>
      </c>
      <c r="U1758">
        <v>1</v>
      </c>
      <c r="V1758">
        <v>3</v>
      </c>
    </row>
    <row r="1759" spans="1:22" x14ac:dyDescent="0.3">
      <c r="A1759">
        <v>1758</v>
      </c>
      <c r="B1759">
        <v>48587</v>
      </c>
      <c r="C1759" s="2">
        <v>37025</v>
      </c>
      <c r="D1759">
        <v>24</v>
      </c>
      <c r="E1759" t="s">
        <v>42</v>
      </c>
      <c r="F1759" t="s">
        <v>50</v>
      </c>
      <c r="G1759" s="2">
        <v>45124</v>
      </c>
      <c r="H1759" s="3">
        <f t="shared" si="27"/>
        <v>1.9013698630136986</v>
      </c>
      <c r="I1759">
        <v>4</v>
      </c>
      <c r="J1759" t="s">
        <v>38</v>
      </c>
      <c r="K1759" t="s">
        <v>48</v>
      </c>
      <c r="L1759" t="s">
        <v>44</v>
      </c>
      <c r="M1759">
        <v>17.760000000000002</v>
      </c>
      <c r="N1759">
        <v>17.46</v>
      </c>
      <c r="T1759" t="s">
        <v>47</v>
      </c>
      <c r="U1759">
        <v>1</v>
      </c>
      <c r="V1759">
        <v>7</v>
      </c>
    </row>
    <row r="1760" spans="1:22" x14ac:dyDescent="0.3">
      <c r="A1760">
        <v>1759</v>
      </c>
      <c r="B1760">
        <v>48590</v>
      </c>
      <c r="C1760" s="2">
        <v>37433</v>
      </c>
      <c r="D1760">
        <v>23</v>
      </c>
      <c r="E1760" t="s">
        <v>42</v>
      </c>
      <c r="F1760" t="s">
        <v>37</v>
      </c>
      <c r="G1760" s="2">
        <v>45328</v>
      </c>
      <c r="H1760" s="3">
        <f t="shared" si="27"/>
        <v>2.3260273972602739</v>
      </c>
      <c r="I1760">
        <v>30</v>
      </c>
      <c r="J1760" t="s">
        <v>38</v>
      </c>
      <c r="K1760" t="s">
        <v>56</v>
      </c>
      <c r="L1760" t="s">
        <v>44</v>
      </c>
      <c r="M1760">
        <v>8.4600000000000009</v>
      </c>
      <c r="T1760" t="s">
        <v>47</v>
      </c>
      <c r="U1760">
        <v>0</v>
      </c>
      <c r="V1760">
        <v>7</v>
      </c>
    </row>
    <row r="1761" spans="1:22" x14ac:dyDescent="0.3">
      <c r="A1761">
        <v>1760</v>
      </c>
      <c r="B1761">
        <v>48596</v>
      </c>
      <c r="C1761" s="2">
        <v>36847</v>
      </c>
      <c r="D1761">
        <v>25</v>
      </c>
      <c r="E1761" t="s">
        <v>42</v>
      </c>
      <c r="F1761" t="s">
        <v>50</v>
      </c>
      <c r="G1761" s="2">
        <v>45173</v>
      </c>
      <c r="H1761" s="3">
        <f t="shared" si="27"/>
        <v>2.1917808219178081</v>
      </c>
      <c r="I1761">
        <v>122</v>
      </c>
      <c r="J1761" t="s">
        <v>57</v>
      </c>
      <c r="K1761" t="s">
        <v>43</v>
      </c>
      <c r="L1761" t="s">
        <v>44</v>
      </c>
      <c r="M1761">
        <v>16.39</v>
      </c>
      <c r="N1761">
        <v>15.97</v>
      </c>
      <c r="T1761" t="s">
        <v>52</v>
      </c>
      <c r="U1761">
        <v>0</v>
      </c>
      <c r="V1761">
        <v>5</v>
      </c>
    </row>
    <row r="1762" spans="1:22" x14ac:dyDescent="0.3">
      <c r="A1762">
        <v>1761</v>
      </c>
      <c r="B1762">
        <v>48599</v>
      </c>
      <c r="C1762" s="2">
        <v>38448</v>
      </c>
      <c r="D1762">
        <v>20</v>
      </c>
      <c r="E1762" t="s">
        <v>36</v>
      </c>
      <c r="F1762" t="s">
        <v>50</v>
      </c>
      <c r="G1762" s="2">
        <v>45222</v>
      </c>
      <c r="H1762" s="3">
        <f t="shared" si="27"/>
        <v>2.1808219178082191</v>
      </c>
      <c r="I1762">
        <v>23</v>
      </c>
      <c r="J1762" t="s">
        <v>38</v>
      </c>
      <c r="K1762" t="s">
        <v>64</v>
      </c>
      <c r="L1762" t="s">
        <v>44</v>
      </c>
      <c r="M1762">
        <v>14.03</v>
      </c>
      <c r="N1762">
        <v>13.73</v>
      </c>
      <c r="T1762" t="s">
        <v>49</v>
      </c>
      <c r="U1762">
        <v>1</v>
      </c>
      <c r="V1762">
        <v>4</v>
      </c>
    </row>
    <row r="1763" spans="1:22" x14ac:dyDescent="0.3">
      <c r="A1763">
        <v>1762</v>
      </c>
      <c r="B1763">
        <v>48603</v>
      </c>
      <c r="C1763" s="2">
        <v>37127</v>
      </c>
      <c r="D1763">
        <v>24</v>
      </c>
      <c r="E1763" t="s">
        <v>36</v>
      </c>
      <c r="F1763" t="s">
        <v>37</v>
      </c>
      <c r="G1763" s="2">
        <v>45226</v>
      </c>
      <c r="H1763" s="3">
        <f t="shared" si="27"/>
        <v>2.3753424657534246</v>
      </c>
      <c r="I1763">
        <v>5</v>
      </c>
      <c r="J1763" t="s">
        <v>38</v>
      </c>
      <c r="K1763" t="s">
        <v>55</v>
      </c>
      <c r="L1763" t="s">
        <v>44</v>
      </c>
      <c r="M1763">
        <v>17.46</v>
      </c>
      <c r="N1763">
        <v>17.16</v>
      </c>
      <c r="T1763" t="s">
        <v>52</v>
      </c>
      <c r="U1763">
        <v>1</v>
      </c>
      <c r="V1763">
        <v>3</v>
      </c>
    </row>
    <row r="1764" spans="1:22" x14ac:dyDescent="0.3">
      <c r="A1764">
        <v>1763</v>
      </c>
      <c r="B1764">
        <v>48604</v>
      </c>
      <c r="C1764" s="2">
        <v>32226</v>
      </c>
      <c r="D1764">
        <v>37</v>
      </c>
      <c r="E1764" t="s">
        <v>36</v>
      </c>
      <c r="F1764" t="s">
        <v>50</v>
      </c>
      <c r="G1764" s="2">
        <v>45155</v>
      </c>
      <c r="H1764" s="3">
        <f t="shared" si="27"/>
        <v>2.8520547945205479</v>
      </c>
      <c r="I1764">
        <v>5</v>
      </c>
      <c r="J1764" t="s">
        <v>38</v>
      </c>
      <c r="K1764" t="s">
        <v>55</v>
      </c>
      <c r="L1764" t="s">
        <v>44</v>
      </c>
      <c r="M1764">
        <v>17.46</v>
      </c>
      <c r="N1764">
        <v>17.16</v>
      </c>
      <c r="T1764" t="s">
        <v>47</v>
      </c>
      <c r="U1764">
        <v>0</v>
      </c>
      <c r="V1764">
        <v>3</v>
      </c>
    </row>
    <row r="1765" spans="1:22" x14ac:dyDescent="0.3">
      <c r="A1765">
        <v>1764</v>
      </c>
      <c r="B1765">
        <v>48621</v>
      </c>
      <c r="C1765" s="2">
        <v>37611</v>
      </c>
      <c r="D1765">
        <v>23</v>
      </c>
      <c r="E1765" t="s">
        <v>42</v>
      </c>
      <c r="F1765" t="s">
        <v>37</v>
      </c>
      <c r="G1765" s="2">
        <v>44981</v>
      </c>
      <c r="H1765" s="3">
        <f t="shared" si="27"/>
        <v>1.704109589041096</v>
      </c>
      <c r="I1765">
        <v>70</v>
      </c>
      <c r="J1765" t="s">
        <v>57</v>
      </c>
      <c r="K1765" t="s">
        <v>46</v>
      </c>
      <c r="L1765" t="s">
        <v>44</v>
      </c>
      <c r="M1765">
        <v>14.26</v>
      </c>
      <c r="N1765">
        <v>13.88</v>
      </c>
      <c r="T1765" t="s">
        <v>52</v>
      </c>
      <c r="U1765">
        <v>0</v>
      </c>
      <c r="V1765">
        <v>7</v>
      </c>
    </row>
    <row r="1766" spans="1:22" x14ac:dyDescent="0.3">
      <c r="A1766">
        <v>1765</v>
      </c>
      <c r="B1766">
        <v>48624</v>
      </c>
      <c r="C1766" s="2">
        <v>36788</v>
      </c>
      <c r="D1766">
        <v>25</v>
      </c>
      <c r="E1766" t="s">
        <v>42</v>
      </c>
      <c r="F1766" t="s">
        <v>50</v>
      </c>
      <c r="G1766" s="2">
        <v>45400</v>
      </c>
      <c r="H1766" s="3">
        <f t="shared" si="27"/>
        <v>2.2410958904109588</v>
      </c>
      <c r="I1766">
        <v>144</v>
      </c>
      <c r="J1766" t="s">
        <v>57</v>
      </c>
      <c r="K1766" t="s">
        <v>55</v>
      </c>
      <c r="L1766" t="s">
        <v>44</v>
      </c>
      <c r="M1766">
        <v>17.579999999999998</v>
      </c>
      <c r="T1766" t="s">
        <v>45</v>
      </c>
      <c r="U1766">
        <v>2</v>
      </c>
      <c r="V1766">
        <v>6</v>
      </c>
    </row>
    <row r="1767" spans="1:22" x14ac:dyDescent="0.3">
      <c r="A1767">
        <v>1766</v>
      </c>
      <c r="B1767">
        <v>48628</v>
      </c>
      <c r="C1767" s="2">
        <v>36353</v>
      </c>
      <c r="D1767">
        <v>26</v>
      </c>
      <c r="E1767" t="s">
        <v>42</v>
      </c>
      <c r="F1767" t="s">
        <v>50</v>
      </c>
      <c r="G1767" s="2">
        <v>45204</v>
      </c>
      <c r="H1767" s="3">
        <f t="shared" si="27"/>
        <v>2.7205479452054795</v>
      </c>
      <c r="I1767">
        <v>60</v>
      </c>
      <c r="J1767" t="s">
        <v>38</v>
      </c>
      <c r="K1767" t="s">
        <v>43</v>
      </c>
      <c r="L1767" t="s">
        <v>44</v>
      </c>
      <c r="M1767">
        <v>16.12</v>
      </c>
      <c r="N1767">
        <v>15.97</v>
      </c>
      <c r="T1767" t="s">
        <v>47</v>
      </c>
      <c r="U1767">
        <v>1</v>
      </c>
      <c r="V1767">
        <v>5</v>
      </c>
    </row>
    <row r="1768" spans="1:22" x14ac:dyDescent="0.3">
      <c r="A1768">
        <v>1767</v>
      </c>
      <c r="B1768">
        <v>48629</v>
      </c>
      <c r="C1768" s="2">
        <v>37252</v>
      </c>
      <c r="D1768">
        <v>24</v>
      </c>
      <c r="E1768" t="s">
        <v>42</v>
      </c>
      <c r="F1768" t="s">
        <v>50</v>
      </c>
      <c r="G1768" s="2">
        <v>45029</v>
      </c>
      <c r="H1768" s="3">
        <f t="shared" si="27"/>
        <v>1.9643835616438357</v>
      </c>
      <c r="I1768">
        <v>115</v>
      </c>
      <c r="J1768" t="s">
        <v>57</v>
      </c>
      <c r="K1768" t="s">
        <v>48</v>
      </c>
      <c r="L1768" t="s">
        <v>44</v>
      </c>
      <c r="M1768">
        <v>17.760000000000002</v>
      </c>
      <c r="N1768">
        <v>17.46</v>
      </c>
      <c r="T1768" t="s">
        <v>47</v>
      </c>
      <c r="U1768">
        <v>2</v>
      </c>
      <c r="V1768">
        <v>7</v>
      </c>
    </row>
    <row r="1769" spans="1:22" x14ac:dyDescent="0.3">
      <c r="A1769">
        <v>1768</v>
      </c>
      <c r="B1769">
        <v>48630</v>
      </c>
      <c r="C1769" s="2">
        <v>35595</v>
      </c>
      <c r="D1769">
        <v>28</v>
      </c>
      <c r="E1769" t="s">
        <v>42</v>
      </c>
      <c r="F1769" t="s">
        <v>50</v>
      </c>
      <c r="G1769" s="2">
        <v>45305</v>
      </c>
      <c r="H1769" s="3">
        <f t="shared" si="27"/>
        <v>1.9260273972602739</v>
      </c>
      <c r="I1769">
        <v>121</v>
      </c>
      <c r="J1769" t="s">
        <v>57</v>
      </c>
      <c r="K1769" t="s">
        <v>43</v>
      </c>
      <c r="L1769" t="s">
        <v>44</v>
      </c>
      <c r="M1769">
        <v>16.27</v>
      </c>
      <c r="T1769" t="s">
        <v>52</v>
      </c>
      <c r="U1769">
        <v>0</v>
      </c>
      <c r="V1769">
        <v>6</v>
      </c>
    </row>
    <row r="1770" spans="1:22" x14ac:dyDescent="0.3">
      <c r="A1770">
        <v>1769</v>
      </c>
      <c r="B1770">
        <v>48631</v>
      </c>
      <c r="C1770" s="2">
        <v>38067</v>
      </c>
      <c r="D1770">
        <v>21</v>
      </c>
      <c r="E1770" t="s">
        <v>36</v>
      </c>
      <c r="F1770" t="s">
        <v>50</v>
      </c>
      <c r="G1770" s="2">
        <v>45319</v>
      </c>
      <c r="H1770" s="3">
        <f t="shared" si="27"/>
        <v>2.1424657534246574</v>
      </c>
      <c r="I1770">
        <v>144</v>
      </c>
      <c r="J1770" t="s">
        <v>57</v>
      </c>
      <c r="K1770" t="s">
        <v>65</v>
      </c>
      <c r="L1770" t="s">
        <v>44</v>
      </c>
      <c r="M1770">
        <v>10.64</v>
      </c>
      <c r="T1770" t="s">
        <v>47</v>
      </c>
      <c r="U1770">
        <v>0</v>
      </c>
      <c r="V1770">
        <v>2</v>
      </c>
    </row>
    <row r="1771" spans="1:22" x14ac:dyDescent="0.3">
      <c r="A1771">
        <v>1770</v>
      </c>
      <c r="B1771">
        <v>48632</v>
      </c>
      <c r="C1771" s="2">
        <v>37656</v>
      </c>
      <c r="D1771">
        <v>22</v>
      </c>
      <c r="E1771" t="s">
        <v>42</v>
      </c>
      <c r="F1771" t="s">
        <v>50</v>
      </c>
      <c r="G1771" s="2">
        <v>45240</v>
      </c>
      <c r="H1771" s="3">
        <f t="shared" si="27"/>
        <v>2.7205479452054795</v>
      </c>
      <c r="I1771">
        <v>144</v>
      </c>
      <c r="J1771" t="s">
        <v>57</v>
      </c>
      <c r="K1771" t="s">
        <v>64</v>
      </c>
      <c r="L1771" t="s">
        <v>44</v>
      </c>
      <c r="M1771">
        <v>14.13</v>
      </c>
      <c r="N1771">
        <v>13.73</v>
      </c>
      <c r="T1771" t="s">
        <v>45</v>
      </c>
      <c r="U1771">
        <v>0</v>
      </c>
      <c r="V1771">
        <v>5</v>
      </c>
    </row>
    <row r="1772" spans="1:22" x14ac:dyDescent="0.3">
      <c r="A1772">
        <v>1771</v>
      </c>
      <c r="B1772">
        <v>48637</v>
      </c>
      <c r="C1772" s="2">
        <v>36133</v>
      </c>
      <c r="D1772">
        <v>27</v>
      </c>
      <c r="E1772" t="s">
        <v>36</v>
      </c>
      <c r="F1772" t="s">
        <v>37</v>
      </c>
      <c r="G1772" s="2">
        <v>45029</v>
      </c>
      <c r="H1772" s="3">
        <f t="shared" si="27"/>
        <v>2.6986301369863015</v>
      </c>
      <c r="I1772">
        <v>8</v>
      </c>
      <c r="J1772" t="s">
        <v>38</v>
      </c>
      <c r="K1772" t="s">
        <v>55</v>
      </c>
      <c r="L1772" t="s">
        <v>44</v>
      </c>
      <c r="M1772">
        <v>17.16</v>
      </c>
      <c r="N1772">
        <v>17.16</v>
      </c>
      <c r="T1772" t="s">
        <v>47</v>
      </c>
      <c r="U1772">
        <v>2</v>
      </c>
      <c r="V1772">
        <v>2</v>
      </c>
    </row>
    <row r="1773" spans="1:22" x14ac:dyDescent="0.3">
      <c r="A1773">
        <v>1772</v>
      </c>
      <c r="B1773">
        <v>48654</v>
      </c>
      <c r="C1773" s="2">
        <v>31056</v>
      </c>
      <c r="D1773">
        <v>40</v>
      </c>
      <c r="E1773" t="s">
        <v>36</v>
      </c>
      <c r="F1773" t="s">
        <v>50</v>
      </c>
      <c r="G1773" s="2">
        <v>45037</v>
      </c>
      <c r="H1773" s="3">
        <f t="shared" si="27"/>
        <v>2.2219178082191782</v>
      </c>
      <c r="I1773">
        <v>68</v>
      </c>
      <c r="J1773" t="s">
        <v>57</v>
      </c>
      <c r="K1773" t="s">
        <v>54</v>
      </c>
      <c r="L1773" t="s">
        <v>44</v>
      </c>
      <c r="M1773">
        <v>23.38</v>
      </c>
      <c r="N1773">
        <v>23.2</v>
      </c>
      <c r="T1773" t="s">
        <v>45</v>
      </c>
      <c r="U1773">
        <v>5</v>
      </c>
      <c r="V1773">
        <v>5</v>
      </c>
    </row>
    <row r="1774" spans="1:22" x14ac:dyDescent="0.3">
      <c r="A1774">
        <v>1773</v>
      </c>
      <c r="B1774">
        <v>48660</v>
      </c>
      <c r="C1774" s="2">
        <v>37843</v>
      </c>
      <c r="D1774">
        <v>22</v>
      </c>
      <c r="E1774" t="s">
        <v>36</v>
      </c>
      <c r="F1774" t="s">
        <v>50</v>
      </c>
      <c r="G1774" s="2">
        <v>45211</v>
      </c>
      <c r="H1774" s="3">
        <f t="shared" si="27"/>
        <v>1.9616438356164383</v>
      </c>
      <c r="I1774">
        <v>81</v>
      </c>
      <c r="J1774" t="s">
        <v>57</v>
      </c>
      <c r="K1774" t="s">
        <v>54</v>
      </c>
      <c r="L1774" t="s">
        <v>44</v>
      </c>
      <c r="M1774">
        <v>23.5</v>
      </c>
      <c r="N1774">
        <v>23.2</v>
      </c>
      <c r="T1774" t="s">
        <v>47</v>
      </c>
      <c r="U1774">
        <v>3</v>
      </c>
      <c r="V1774">
        <v>5</v>
      </c>
    </row>
    <row r="1775" spans="1:22" x14ac:dyDescent="0.3">
      <c r="A1775">
        <v>1774</v>
      </c>
      <c r="B1775">
        <v>48671</v>
      </c>
      <c r="C1775" s="2">
        <v>34851</v>
      </c>
      <c r="D1775">
        <v>31</v>
      </c>
      <c r="E1775" t="s">
        <v>36</v>
      </c>
      <c r="F1775" t="s">
        <v>50</v>
      </c>
      <c r="G1775" s="2">
        <v>45306</v>
      </c>
      <c r="H1775" s="3">
        <f t="shared" si="27"/>
        <v>2.6</v>
      </c>
      <c r="I1775">
        <v>138</v>
      </c>
      <c r="J1775" t="s">
        <v>57</v>
      </c>
      <c r="K1775" t="s">
        <v>65</v>
      </c>
      <c r="L1775" t="s">
        <v>44</v>
      </c>
      <c r="M1775">
        <v>10.48</v>
      </c>
      <c r="T1775" t="s">
        <v>47</v>
      </c>
      <c r="U1775">
        <v>1</v>
      </c>
      <c r="V1775">
        <v>4</v>
      </c>
    </row>
    <row r="1776" spans="1:22" x14ac:dyDescent="0.3">
      <c r="A1776">
        <v>1775</v>
      </c>
      <c r="B1776">
        <v>48679</v>
      </c>
      <c r="C1776" s="2">
        <v>35923</v>
      </c>
      <c r="D1776">
        <v>27</v>
      </c>
      <c r="E1776" t="s">
        <v>42</v>
      </c>
      <c r="F1776" t="s">
        <v>50</v>
      </c>
      <c r="G1776" s="2">
        <v>45073</v>
      </c>
      <c r="H1776" s="3">
        <f t="shared" si="27"/>
        <v>1.9315068493150684</v>
      </c>
      <c r="I1776">
        <v>17</v>
      </c>
      <c r="J1776" t="s">
        <v>38</v>
      </c>
      <c r="K1776" t="s">
        <v>46</v>
      </c>
      <c r="L1776" t="s">
        <v>44</v>
      </c>
      <c r="M1776">
        <v>14.18</v>
      </c>
      <c r="N1776">
        <v>13.88</v>
      </c>
      <c r="T1776" t="s">
        <v>52</v>
      </c>
      <c r="U1776">
        <v>0</v>
      </c>
      <c r="V1776">
        <v>6</v>
      </c>
    </row>
    <row r="1777" spans="1:22" x14ac:dyDescent="0.3">
      <c r="A1777">
        <v>1776</v>
      </c>
      <c r="B1777">
        <v>48683</v>
      </c>
      <c r="C1777" s="2">
        <v>36361</v>
      </c>
      <c r="D1777">
        <v>26</v>
      </c>
      <c r="E1777" t="s">
        <v>36</v>
      </c>
      <c r="F1777" t="s">
        <v>50</v>
      </c>
      <c r="G1777" s="2">
        <v>45317</v>
      </c>
      <c r="H1777" s="3">
        <f t="shared" si="27"/>
        <v>1.9150684931506849</v>
      </c>
      <c r="I1777">
        <v>72</v>
      </c>
      <c r="J1777" t="s">
        <v>57</v>
      </c>
      <c r="K1777" t="s">
        <v>46</v>
      </c>
      <c r="L1777" t="s">
        <v>44</v>
      </c>
      <c r="M1777">
        <v>14.18</v>
      </c>
      <c r="T1777" t="s">
        <v>52</v>
      </c>
      <c r="U1777">
        <v>0</v>
      </c>
      <c r="V1777">
        <v>3</v>
      </c>
    </row>
    <row r="1778" spans="1:22" x14ac:dyDescent="0.3">
      <c r="A1778">
        <v>1777</v>
      </c>
      <c r="B1778">
        <v>48693</v>
      </c>
      <c r="C1778" s="2">
        <v>38164</v>
      </c>
      <c r="D1778">
        <v>21</v>
      </c>
      <c r="E1778" t="s">
        <v>42</v>
      </c>
      <c r="F1778" t="s">
        <v>37</v>
      </c>
      <c r="G1778" s="2">
        <v>45323</v>
      </c>
      <c r="H1778" s="3">
        <f t="shared" si="27"/>
        <v>1.8657534246575342</v>
      </c>
      <c r="I1778">
        <v>10</v>
      </c>
      <c r="J1778" t="s">
        <v>38</v>
      </c>
      <c r="K1778" t="s">
        <v>56</v>
      </c>
      <c r="L1778" t="s">
        <v>44</v>
      </c>
      <c r="M1778">
        <v>8.4600000000000009</v>
      </c>
      <c r="T1778" t="s">
        <v>52</v>
      </c>
      <c r="U1778">
        <v>1</v>
      </c>
      <c r="V1778">
        <v>6</v>
      </c>
    </row>
    <row r="1779" spans="1:22" x14ac:dyDescent="0.3">
      <c r="A1779">
        <v>1778</v>
      </c>
      <c r="B1779">
        <v>48713</v>
      </c>
      <c r="C1779" s="2">
        <v>36288</v>
      </c>
      <c r="D1779">
        <v>26</v>
      </c>
      <c r="E1779" t="s">
        <v>42</v>
      </c>
      <c r="F1779" t="s">
        <v>50</v>
      </c>
      <c r="G1779" s="2">
        <v>45341</v>
      </c>
      <c r="H1779" s="3">
        <f t="shared" si="27"/>
        <v>1.9506849315068493</v>
      </c>
      <c r="I1779">
        <v>144</v>
      </c>
      <c r="J1779" t="s">
        <v>57</v>
      </c>
      <c r="K1779" t="s">
        <v>56</v>
      </c>
      <c r="L1779" t="s">
        <v>44</v>
      </c>
      <c r="M1779">
        <v>8.44</v>
      </c>
      <c r="T1779" t="s">
        <v>47</v>
      </c>
      <c r="U1779">
        <v>4</v>
      </c>
      <c r="V1779">
        <v>6</v>
      </c>
    </row>
    <row r="1780" spans="1:22" x14ac:dyDescent="0.3">
      <c r="A1780">
        <v>1779</v>
      </c>
      <c r="B1780">
        <v>48736</v>
      </c>
      <c r="C1780" s="2">
        <v>36077</v>
      </c>
      <c r="D1780">
        <v>27</v>
      </c>
      <c r="E1780" t="s">
        <v>42</v>
      </c>
      <c r="F1780" t="s">
        <v>50</v>
      </c>
      <c r="G1780" s="2">
        <v>45310</v>
      </c>
      <c r="H1780" s="3">
        <f t="shared" si="27"/>
        <v>2.6821917808219178</v>
      </c>
      <c r="I1780">
        <v>133</v>
      </c>
      <c r="J1780" t="s">
        <v>57</v>
      </c>
      <c r="K1780" t="s">
        <v>55</v>
      </c>
      <c r="L1780" t="s">
        <v>44</v>
      </c>
      <c r="M1780">
        <v>17.46</v>
      </c>
      <c r="T1780" t="s">
        <v>47</v>
      </c>
      <c r="U1780">
        <v>2</v>
      </c>
      <c r="V1780">
        <v>6</v>
      </c>
    </row>
    <row r="1781" spans="1:22" x14ac:dyDescent="0.3">
      <c r="A1781">
        <v>1780</v>
      </c>
      <c r="B1781">
        <v>48769</v>
      </c>
      <c r="C1781" s="2">
        <v>35528</v>
      </c>
      <c r="D1781">
        <v>28</v>
      </c>
      <c r="E1781" t="s">
        <v>36</v>
      </c>
      <c r="F1781" t="s">
        <v>50</v>
      </c>
      <c r="G1781" s="2">
        <v>45043</v>
      </c>
      <c r="H1781" s="3">
        <f t="shared" si="27"/>
        <v>2.2602739726027399</v>
      </c>
      <c r="I1781">
        <v>8</v>
      </c>
      <c r="J1781" t="s">
        <v>38</v>
      </c>
      <c r="K1781" t="s">
        <v>43</v>
      </c>
      <c r="L1781" t="s">
        <v>44</v>
      </c>
      <c r="M1781">
        <v>16.350000000000001</v>
      </c>
      <c r="N1781">
        <v>15.97</v>
      </c>
      <c r="T1781" t="s">
        <v>45</v>
      </c>
      <c r="U1781">
        <v>1</v>
      </c>
      <c r="V1781">
        <v>5</v>
      </c>
    </row>
    <row r="1782" spans="1:22" x14ac:dyDescent="0.3">
      <c r="A1782">
        <v>1781</v>
      </c>
      <c r="B1782">
        <v>48775</v>
      </c>
      <c r="C1782" s="2">
        <v>37332</v>
      </c>
      <c r="D1782">
        <v>23</v>
      </c>
      <c r="E1782" t="s">
        <v>42</v>
      </c>
      <c r="F1782" t="s">
        <v>50</v>
      </c>
      <c r="G1782" s="2">
        <v>45197</v>
      </c>
      <c r="H1782" s="3">
        <f t="shared" si="27"/>
        <v>2.5835616438356164</v>
      </c>
      <c r="I1782">
        <v>14</v>
      </c>
      <c r="J1782" t="s">
        <v>38</v>
      </c>
      <c r="K1782" t="s">
        <v>56</v>
      </c>
      <c r="L1782" t="s">
        <v>44</v>
      </c>
      <c r="M1782">
        <v>8.4600000000000009</v>
      </c>
      <c r="N1782">
        <v>8.26</v>
      </c>
      <c r="T1782" t="s">
        <v>47</v>
      </c>
      <c r="U1782">
        <v>4</v>
      </c>
      <c r="V1782">
        <v>5</v>
      </c>
    </row>
    <row r="1783" spans="1:22" x14ac:dyDescent="0.3">
      <c r="A1783">
        <v>1782</v>
      </c>
      <c r="B1783">
        <v>48798</v>
      </c>
      <c r="C1783" s="2">
        <v>39022</v>
      </c>
      <c r="D1783">
        <v>20</v>
      </c>
      <c r="E1783" t="s">
        <v>42</v>
      </c>
      <c r="F1783" t="s">
        <v>50</v>
      </c>
      <c r="G1783" s="2">
        <v>45079</v>
      </c>
      <c r="H1783" s="3">
        <f t="shared" si="27"/>
        <v>1.9726027397260273</v>
      </c>
      <c r="I1783">
        <v>39</v>
      </c>
      <c r="J1783" t="s">
        <v>38</v>
      </c>
      <c r="K1783" t="s">
        <v>56</v>
      </c>
      <c r="L1783" t="s">
        <v>44</v>
      </c>
      <c r="M1783">
        <v>8.4700000000000006</v>
      </c>
      <c r="N1783">
        <v>8.26</v>
      </c>
      <c r="T1783" t="s">
        <v>47</v>
      </c>
      <c r="U1783">
        <v>1</v>
      </c>
      <c r="V1783">
        <v>6</v>
      </c>
    </row>
    <row r="1784" spans="1:22" x14ac:dyDescent="0.3">
      <c r="A1784">
        <v>1783</v>
      </c>
      <c r="B1784">
        <v>48801</v>
      </c>
      <c r="C1784" s="2">
        <v>35593</v>
      </c>
      <c r="D1784">
        <v>28</v>
      </c>
      <c r="E1784" t="s">
        <v>42</v>
      </c>
      <c r="F1784" t="s">
        <v>37</v>
      </c>
      <c r="G1784" s="2">
        <v>45302</v>
      </c>
      <c r="H1784" s="3">
        <f t="shared" si="27"/>
        <v>2.0904109589041098</v>
      </c>
      <c r="I1784">
        <v>41</v>
      </c>
      <c r="J1784" t="s">
        <v>38</v>
      </c>
      <c r="K1784" t="s">
        <v>56</v>
      </c>
      <c r="L1784" t="s">
        <v>44</v>
      </c>
      <c r="M1784">
        <v>8.4600000000000009</v>
      </c>
      <c r="T1784" t="s">
        <v>45</v>
      </c>
      <c r="U1784">
        <v>2</v>
      </c>
      <c r="V1784">
        <v>5</v>
      </c>
    </row>
    <row r="1785" spans="1:22" x14ac:dyDescent="0.3">
      <c r="A1785">
        <v>1784</v>
      </c>
      <c r="B1785">
        <v>48811</v>
      </c>
      <c r="C1785" s="2">
        <v>37098</v>
      </c>
      <c r="D1785">
        <v>24</v>
      </c>
      <c r="E1785" t="s">
        <v>36</v>
      </c>
      <c r="F1785" t="s">
        <v>50</v>
      </c>
      <c r="G1785" s="2">
        <v>45259</v>
      </c>
      <c r="H1785" s="3">
        <f t="shared" si="27"/>
        <v>2.4602739726027396</v>
      </c>
      <c r="I1785">
        <v>47</v>
      </c>
      <c r="J1785" t="s">
        <v>38</v>
      </c>
      <c r="K1785" t="s">
        <v>68</v>
      </c>
      <c r="L1785" t="s">
        <v>44</v>
      </c>
      <c r="M1785">
        <v>16.78</v>
      </c>
      <c r="N1785">
        <v>16.579999999999998</v>
      </c>
      <c r="T1785" t="s">
        <v>47</v>
      </c>
      <c r="U1785">
        <v>2</v>
      </c>
      <c r="V1785">
        <v>6</v>
      </c>
    </row>
    <row r="1786" spans="1:22" x14ac:dyDescent="0.3">
      <c r="A1786">
        <v>1785</v>
      </c>
      <c r="B1786">
        <v>48826</v>
      </c>
      <c r="C1786" s="2">
        <v>34100</v>
      </c>
      <c r="D1786">
        <v>32</v>
      </c>
      <c r="E1786" t="s">
        <v>42</v>
      </c>
      <c r="F1786" t="s">
        <v>50</v>
      </c>
      <c r="G1786" s="2">
        <v>45124</v>
      </c>
      <c r="H1786" s="3">
        <f t="shared" si="27"/>
        <v>2.7178082191780821</v>
      </c>
      <c r="I1786">
        <v>59</v>
      </c>
      <c r="J1786" t="s">
        <v>38</v>
      </c>
      <c r="K1786" t="s">
        <v>43</v>
      </c>
      <c r="L1786" t="s">
        <v>44</v>
      </c>
      <c r="M1786">
        <v>16.27</v>
      </c>
      <c r="N1786">
        <v>15.97</v>
      </c>
      <c r="T1786" t="s">
        <v>52</v>
      </c>
      <c r="U1786">
        <v>1</v>
      </c>
      <c r="V1786">
        <v>4</v>
      </c>
    </row>
    <row r="1787" spans="1:22" x14ac:dyDescent="0.3">
      <c r="A1787">
        <v>1786</v>
      </c>
      <c r="B1787">
        <v>48846</v>
      </c>
      <c r="C1787" s="2">
        <v>35582</v>
      </c>
      <c r="D1787">
        <v>29</v>
      </c>
      <c r="E1787" t="s">
        <v>36</v>
      </c>
      <c r="F1787" t="s">
        <v>37</v>
      </c>
      <c r="G1787" s="2">
        <v>45030</v>
      </c>
      <c r="H1787" s="3">
        <f t="shared" si="27"/>
        <v>1.9068493150684931</v>
      </c>
      <c r="I1787">
        <v>78</v>
      </c>
      <c r="J1787" t="s">
        <v>57</v>
      </c>
      <c r="K1787" t="s">
        <v>56</v>
      </c>
      <c r="L1787" t="s">
        <v>44</v>
      </c>
      <c r="M1787">
        <v>8.36</v>
      </c>
      <c r="N1787">
        <v>8.26</v>
      </c>
      <c r="T1787" t="s">
        <v>52</v>
      </c>
      <c r="U1787">
        <v>2</v>
      </c>
      <c r="V1787">
        <v>4</v>
      </c>
    </row>
    <row r="1788" spans="1:22" x14ac:dyDescent="0.3">
      <c r="A1788">
        <v>1787</v>
      </c>
      <c r="B1788">
        <v>48877</v>
      </c>
      <c r="C1788" s="2">
        <v>35648</v>
      </c>
      <c r="D1788">
        <v>28</v>
      </c>
      <c r="E1788" t="s">
        <v>36</v>
      </c>
      <c r="F1788" t="s">
        <v>50</v>
      </c>
      <c r="G1788" s="2">
        <v>45326</v>
      </c>
      <c r="H1788" s="3">
        <f t="shared" si="27"/>
        <v>2.4328767123287673</v>
      </c>
      <c r="I1788">
        <v>134</v>
      </c>
      <c r="J1788" t="s">
        <v>57</v>
      </c>
      <c r="K1788" t="s">
        <v>54</v>
      </c>
      <c r="L1788" t="s">
        <v>44</v>
      </c>
      <c r="M1788">
        <v>23.35</v>
      </c>
      <c r="T1788" t="s">
        <v>52</v>
      </c>
      <c r="U1788">
        <v>4</v>
      </c>
      <c r="V1788">
        <v>4</v>
      </c>
    </row>
    <row r="1789" spans="1:22" x14ac:dyDescent="0.3">
      <c r="A1789">
        <v>1788</v>
      </c>
      <c r="B1789">
        <v>48879</v>
      </c>
      <c r="C1789" s="2">
        <v>37654</v>
      </c>
      <c r="D1789">
        <v>22</v>
      </c>
      <c r="E1789" t="s">
        <v>42</v>
      </c>
      <c r="F1789" t="s">
        <v>37</v>
      </c>
      <c r="G1789" s="2">
        <v>45134</v>
      </c>
      <c r="H1789" s="3">
        <f t="shared" si="27"/>
        <v>2.1890410958904107</v>
      </c>
      <c r="I1789">
        <v>134</v>
      </c>
      <c r="J1789" t="s">
        <v>57</v>
      </c>
      <c r="K1789" t="s">
        <v>56</v>
      </c>
      <c r="L1789" t="s">
        <v>44</v>
      </c>
      <c r="M1789">
        <v>8.36</v>
      </c>
      <c r="N1789">
        <v>8.26</v>
      </c>
      <c r="T1789" t="s">
        <v>45</v>
      </c>
      <c r="U1789">
        <v>2</v>
      </c>
      <c r="V1789">
        <v>6</v>
      </c>
    </row>
    <row r="1790" spans="1:22" x14ac:dyDescent="0.3">
      <c r="A1790">
        <v>1789</v>
      </c>
      <c r="B1790">
        <v>48900</v>
      </c>
      <c r="C1790" s="2">
        <v>38597</v>
      </c>
      <c r="D1790">
        <v>20</v>
      </c>
      <c r="E1790" t="s">
        <v>42</v>
      </c>
      <c r="F1790" t="s">
        <v>50</v>
      </c>
      <c r="G1790" s="2">
        <v>45223</v>
      </c>
      <c r="H1790" s="3">
        <f t="shared" si="27"/>
        <v>1.9150684931506849</v>
      </c>
      <c r="I1790">
        <v>44</v>
      </c>
      <c r="J1790" t="s">
        <v>38</v>
      </c>
      <c r="K1790" t="s">
        <v>46</v>
      </c>
      <c r="L1790" t="s">
        <v>44</v>
      </c>
      <c r="M1790">
        <v>13.88</v>
      </c>
      <c r="N1790">
        <v>13.88</v>
      </c>
      <c r="T1790" t="s">
        <v>47</v>
      </c>
      <c r="U1790">
        <v>0</v>
      </c>
      <c r="V1790">
        <v>6</v>
      </c>
    </row>
    <row r="1791" spans="1:22" x14ac:dyDescent="0.3">
      <c r="A1791">
        <v>1790</v>
      </c>
      <c r="B1791">
        <v>48903</v>
      </c>
      <c r="C1791" s="2">
        <v>38144</v>
      </c>
      <c r="D1791">
        <v>21</v>
      </c>
      <c r="E1791" t="s">
        <v>42</v>
      </c>
      <c r="F1791" t="s">
        <v>50</v>
      </c>
      <c r="G1791" s="2">
        <v>45323</v>
      </c>
      <c r="H1791" s="3">
        <f t="shared" si="27"/>
        <v>2.495890410958904</v>
      </c>
      <c r="I1791">
        <v>60</v>
      </c>
      <c r="J1791" t="s">
        <v>38</v>
      </c>
      <c r="K1791" t="s">
        <v>65</v>
      </c>
      <c r="L1791" t="s">
        <v>44</v>
      </c>
      <c r="M1791">
        <v>10.48</v>
      </c>
      <c r="T1791" t="s">
        <v>47</v>
      </c>
      <c r="U1791">
        <v>1</v>
      </c>
      <c r="V1791">
        <v>5</v>
      </c>
    </row>
    <row r="1792" spans="1:22" x14ac:dyDescent="0.3">
      <c r="A1792">
        <v>1791</v>
      </c>
      <c r="B1792">
        <v>48910</v>
      </c>
      <c r="C1792" s="2">
        <v>36419</v>
      </c>
      <c r="D1792">
        <v>26</v>
      </c>
      <c r="E1792" t="s">
        <v>36</v>
      </c>
      <c r="F1792" t="s">
        <v>50</v>
      </c>
      <c r="G1792" s="2">
        <v>45111</v>
      </c>
      <c r="H1792" s="3">
        <f t="shared" si="27"/>
        <v>1.9205479452054794</v>
      </c>
      <c r="I1792">
        <v>125</v>
      </c>
      <c r="J1792" t="s">
        <v>57</v>
      </c>
      <c r="K1792" t="s">
        <v>55</v>
      </c>
      <c r="L1792" t="s">
        <v>44</v>
      </c>
      <c r="M1792">
        <v>17.16</v>
      </c>
      <c r="N1792">
        <v>17.16</v>
      </c>
      <c r="T1792" t="s">
        <v>49</v>
      </c>
      <c r="U1792">
        <v>0</v>
      </c>
      <c r="V1792">
        <v>5</v>
      </c>
    </row>
    <row r="1793" spans="1:22" x14ac:dyDescent="0.3">
      <c r="A1793">
        <v>1792</v>
      </c>
      <c r="B1793">
        <v>48917</v>
      </c>
      <c r="C1793" s="2">
        <v>38252</v>
      </c>
      <c r="D1793">
        <v>21</v>
      </c>
      <c r="E1793" t="s">
        <v>36</v>
      </c>
      <c r="F1793" t="s">
        <v>37</v>
      </c>
      <c r="G1793" s="2">
        <v>45321</v>
      </c>
      <c r="H1793" s="3">
        <f t="shared" si="27"/>
        <v>2.0575342465753423</v>
      </c>
      <c r="I1793">
        <v>37</v>
      </c>
      <c r="J1793" t="s">
        <v>38</v>
      </c>
      <c r="K1793" t="s">
        <v>65</v>
      </c>
      <c r="L1793" t="s">
        <v>44</v>
      </c>
      <c r="M1793">
        <v>10.56</v>
      </c>
      <c r="T1793" t="s">
        <v>52</v>
      </c>
      <c r="U1793">
        <v>0</v>
      </c>
      <c r="V1793">
        <v>2</v>
      </c>
    </row>
    <row r="1794" spans="1:22" x14ac:dyDescent="0.3">
      <c r="A1794">
        <v>1793</v>
      </c>
      <c r="B1794">
        <v>48934</v>
      </c>
      <c r="C1794" s="2">
        <v>37805</v>
      </c>
      <c r="D1794">
        <v>22</v>
      </c>
      <c r="E1794" t="s">
        <v>36</v>
      </c>
      <c r="F1794" t="s">
        <v>50</v>
      </c>
      <c r="G1794" s="2">
        <v>45271</v>
      </c>
      <c r="H1794" s="3">
        <f t="shared" si="27"/>
        <v>2.463013698630137</v>
      </c>
      <c r="I1794">
        <v>145</v>
      </c>
      <c r="J1794" t="s">
        <v>57</v>
      </c>
      <c r="K1794" t="s">
        <v>46</v>
      </c>
      <c r="L1794" t="s">
        <v>44</v>
      </c>
      <c r="M1794">
        <v>14.18</v>
      </c>
      <c r="N1794">
        <v>13.88</v>
      </c>
      <c r="T1794" t="s">
        <v>47</v>
      </c>
      <c r="U1794">
        <v>0</v>
      </c>
      <c r="V1794">
        <v>4</v>
      </c>
    </row>
    <row r="1795" spans="1:22" x14ac:dyDescent="0.3">
      <c r="A1795">
        <v>1794</v>
      </c>
      <c r="B1795">
        <v>48935</v>
      </c>
      <c r="C1795" s="2">
        <v>37305</v>
      </c>
      <c r="D1795">
        <v>23</v>
      </c>
      <c r="E1795" t="s">
        <v>42</v>
      </c>
      <c r="F1795" t="s">
        <v>50</v>
      </c>
      <c r="G1795" s="2">
        <v>45123</v>
      </c>
      <c r="H1795" s="3">
        <f t="shared" ref="H1795:H1858" si="28">DATEDIF(G1796,DATE(2025,12,31),"d")/365</f>
        <v>2.3315068493150686</v>
      </c>
      <c r="I1795">
        <v>35</v>
      </c>
      <c r="J1795" t="s">
        <v>38</v>
      </c>
      <c r="K1795" t="s">
        <v>55</v>
      </c>
      <c r="L1795" t="s">
        <v>44</v>
      </c>
      <c r="M1795">
        <v>17.46</v>
      </c>
      <c r="N1795">
        <v>17.16</v>
      </c>
      <c r="T1795" t="s">
        <v>52</v>
      </c>
      <c r="U1795">
        <v>1</v>
      </c>
      <c r="V1795">
        <v>5</v>
      </c>
    </row>
    <row r="1796" spans="1:22" x14ac:dyDescent="0.3">
      <c r="A1796">
        <v>1795</v>
      </c>
      <c r="B1796">
        <v>48937</v>
      </c>
      <c r="C1796" s="2">
        <v>37671</v>
      </c>
      <c r="D1796">
        <v>22</v>
      </c>
      <c r="E1796" t="s">
        <v>42</v>
      </c>
      <c r="F1796" t="s">
        <v>37</v>
      </c>
      <c r="G1796" s="2">
        <v>45171</v>
      </c>
      <c r="H1796" s="3">
        <f t="shared" si="28"/>
        <v>2.2356164383561645</v>
      </c>
      <c r="I1796">
        <v>61</v>
      </c>
      <c r="J1796" t="s">
        <v>38</v>
      </c>
      <c r="K1796" t="s">
        <v>64</v>
      </c>
      <c r="L1796" t="s">
        <v>44</v>
      </c>
      <c r="M1796">
        <v>14.16</v>
      </c>
      <c r="N1796">
        <v>13.73</v>
      </c>
      <c r="T1796" t="s">
        <v>49</v>
      </c>
      <c r="U1796">
        <v>0</v>
      </c>
      <c r="V1796">
        <v>6</v>
      </c>
    </row>
    <row r="1797" spans="1:22" x14ac:dyDescent="0.3">
      <c r="A1797">
        <v>1796</v>
      </c>
      <c r="B1797">
        <v>48939</v>
      </c>
      <c r="C1797" s="2">
        <v>36735</v>
      </c>
      <c r="D1797">
        <v>25</v>
      </c>
      <c r="E1797" t="s">
        <v>36</v>
      </c>
      <c r="F1797" t="s">
        <v>50</v>
      </c>
      <c r="G1797" s="2">
        <v>45206</v>
      </c>
      <c r="H1797" s="3">
        <f t="shared" si="28"/>
        <v>2.441095890410959</v>
      </c>
      <c r="I1797">
        <v>62</v>
      </c>
      <c r="J1797" t="s">
        <v>38</v>
      </c>
      <c r="K1797" t="s">
        <v>46</v>
      </c>
      <c r="L1797" t="s">
        <v>44</v>
      </c>
      <c r="M1797">
        <v>14.18</v>
      </c>
      <c r="N1797">
        <v>13.88</v>
      </c>
      <c r="T1797" t="s">
        <v>45</v>
      </c>
      <c r="U1797">
        <v>1</v>
      </c>
      <c r="V1797">
        <v>2</v>
      </c>
    </row>
    <row r="1798" spans="1:22" x14ac:dyDescent="0.3">
      <c r="A1798">
        <v>1797</v>
      </c>
      <c r="B1798">
        <v>48952</v>
      </c>
      <c r="C1798" s="2">
        <v>37076</v>
      </c>
      <c r="D1798">
        <v>24</v>
      </c>
      <c r="E1798" t="s">
        <v>42</v>
      </c>
      <c r="F1798" t="s">
        <v>37</v>
      </c>
      <c r="G1798" s="2">
        <v>45131</v>
      </c>
      <c r="H1798" s="3">
        <f t="shared" si="28"/>
        <v>2.6739726027397261</v>
      </c>
      <c r="I1798">
        <v>19</v>
      </c>
      <c r="J1798" t="s">
        <v>38</v>
      </c>
      <c r="K1798" t="s">
        <v>65</v>
      </c>
      <c r="L1798" t="s">
        <v>44</v>
      </c>
      <c r="M1798">
        <v>10.62</v>
      </c>
      <c r="N1798">
        <v>10.38</v>
      </c>
      <c r="T1798" t="s">
        <v>49</v>
      </c>
      <c r="U1798">
        <v>1</v>
      </c>
      <c r="V1798">
        <v>5</v>
      </c>
    </row>
    <row r="1799" spans="1:22" x14ac:dyDescent="0.3">
      <c r="A1799">
        <v>1798</v>
      </c>
      <c r="B1799">
        <v>48960</v>
      </c>
      <c r="C1799" s="2">
        <v>36926</v>
      </c>
      <c r="D1799">
        <v>24</v>
      </c>
      <c r="E1799" t="s">
        <v>42</v>
      </c>
      <c r="F1799" t="s">
        <v>50</v>
      </c>
      <c r="G1799" s="2">
        <v>45046</v>
      </c>
      <c r="H1799" s="3">
        <f t="shared" si="28"/>
        <v>1.904109589041096</v>
      </c>
      <c r="I1799">
        <v>33</v>
      </c>
      <c r="J1799" t="s">
        <v>38</v>
      </c>
      <c r="K1799" t="s">
        <v>56</v>
      </c>
      <c r="L1799" t="s">
        <v>44</v>
      </c>
      <c r="M1799">
        <v>8.56</v>
      </c>
      <c r="N1799">
        <v>8.26</v>
      </c>
      <c r="T1799" t="s">
        <v>52</v>
      </c>
      <c r="U1799">
        <v>4</v>
      </c>
      <c r="V1799">
        <v>6</v>
      </c>
    </row>
    <row r="1800" spans="1:22" x14ac:dyDescent="0.3">
      <c r="A1800">
        <v>1799</v>
      </c>
      <c r="B1800">
        <v>48964</v>
      </c>
      <c r="C1800" s="2">
        <v>37486</v>
      </c>
      <c r="D1800">
        <v>23</v>
      </c>
      <c r="E1800" t="s">
        <v>36</v>
      </c>
      <c r="F1800" t="s">
        <v>50</v>
      </c>
      <c r="G1800" s="2">
        <v>45327</v>
      </c>
      <c r="H1800" s="3">
        <f t="shared" si="28"/>
        <v>2.1945205479452055</v>
      </c>
      <c r="I1800">
        <v>40</v>
      </c>
      <c r="J1800" t="s">
        <v>38</v>
      </c>
      <c r="K1800" t="s">
        <v>56</v>
      </c>
      <c r="L1800" t="s">
        <v>44</v>
      </c>
      <c r="M1800">
        <v>8.5</v>
      </c>
      <c r="T1800" t="s">
        <v>47</v>
      </c>
      <c r="U1800">
        <v>2</v>
      </c>
      <c r="V1800">
        <v>5</v>
      </c>
    </row>
    <row r="1801" spans="1:22" x14ac:dyDescent="0.3">
      <c r="A1801">
        <v>1800</v>
      </c>
      <c r="B1801">
        <v>48967</v>
      </c>
      <c r="C1801" s="2">
        <v>36145</v>
      </c>
      <c r="D1801">
        <v>27</v>
      </c>
      <c r="E1801" t="s">
        <v>42</v>
      </c>
      <c r="F1801" t="s">
        <v>50</v>
      </c>
      <c r="G1801" s="2">
        <v>45221</v>
      </c>
      <c r="H1801" s="3">
        <f t="shared" si="28"/>
        <v>1.8958904109589041</v>
      </c>
      <c r="I1801">
        <v>45</v>
      </c>
      <c r="J1801" t="s">
        <v>38</v>
      </c>
      <c r="K1801" t="s">
        <v>68</v>
      </c>
      <c r="L1801" t="s">
        <v>44</v>
      </c>
      <c r="M1801">
        <v>16.78</v>
      </c>
      <c r="N1801">
        <v>16.579999999999998</v>
      </c>
      <c r="T1801" t="s">
        <v>47</v>
      </c>
      <c r="U1801">
        <v>2</v>
      </c>
      <c r="V1801">
        <v>6</v>
      </c>
    </row>
    <row r="1802" spans="1:22" x14ac:dyDescent="0.3">
      <c r="A1802">
        <v>1801</v>
      </c>
      <c r="B1802">
        <v>48976</v>
      </c>
      <c r="C1802" s="2">
        <v>38113</v>
      </c>
      <c r="D1802">
        <v>21</v>
      </c>
      <c r="E1802" t="s">
        <v>42</v>
      </c>
      <c r="F1802" t="s">
        <v>50</v>
      </c>
      <c r="G1802" s="2">
        <v>45330</v>
      </c>
      <c r="H1802" s="3">
        <f t="shared" si="28"/>
        <v>2.4328767123287673</v>
      </c>
      <c r="I1802">
        <v>94</v>
      </c>
      <c r="J1802" t="s">
        <v>57</v>
      </c>
      <c r="K1802" t="s">
        <v>65</v>
      </c>
      <c r="L1802" t="s">
        <v>44</v>
      </c>
      <c r="M1802">
        <v>10.58</v>
      </c>
      <c r="T1802" t="s">
        <v>49</v>
      </c>
      <c r="U1802">
        <v>0</v>
      </c>
      <c r="V1802">
        <v>6</v>
      </c>
    </row>
    <row r="1803" spans="1:22" x14ac:dyDescent="0.3">
      <c r="A1803">
        <v>1802</v>
      </c>
      <c r="B1803">
        <v>48978</v>
      </c>
      <c r="C1803" s="2">
        <v>34015</v>
      </c>
      <c r="D1803">
        <v>32</v>
      </c>
      <c r="E1803" t="s">
        <v>36</v>
      </c>
      <c r="F1803" t="s">
        <v>50</v>
      </c>
      <c r="G1803" s="2">
        <v>45134</v>
      </c>
      <c r="H1803" s="3">
        <f t="shared" si="28"/>
        <v>2.0246575342465754</v>
      </c>
      <c r="I1803">
        <v>97</v>
      </c>
      <c r="J1803" t="s">
        <v>57</v>
      </c>
      <c r="K1803" t="s">
        <v>55</v>
      </c>
      <c r="L1803" t="s">
        <v>44</v>
      </c>
      <c r="M1803">
        <v>17.32</v>
      </c>
      <c r="N1803">
        <v>17.16</v>
      </c>
      <c r="T1803" t="s">
        <v>49</v>
      </c>
      <c r="U1803">
        <v>3</v>
      </c>
      <c r="V1803">
        <v>4</v>
      </c>
    </row>
    <row r="1804" spans="1:22" x14ac:dyDescent="0.3">
      <c r="A1804">
        <v>1803</v>
      </c>
      <c r="B1804">
        <v>48982</v>
      </c>
      <c r="C1804" s="2">
        <v>30901</v>
      </c>
      <c r="D1804">
        <v>41</v>
      </c>
      <c r="E1804" t="s">
        <v>42</v>
      </c>
      <c r="F1804" t="s">
        <v>37</v>
      </c>
      <c r="G1804" s="2">
        <v>45283</v>
      </c>
      <c r="H1804" s="3">
        <f t="shared" si="28"/>
        <v>2.2383561643835614</v>
      </c>
      <c r="I1804">
        <v>116</v>
      </c>
      <c r="J1804" t="s">
        <v>57</v>
      </c>
      <c r="K1804" t="s">
        <v>46</v>
      </c>
      <c r="L1804" t="s">
        <v>44</v>
      </c>
      <c r="M1804">
        <v>14.18</v>
      </c>
      <c r="N1804">
        <v>13.88</v>
      </c>
      <c r="T1804" t="s">
        <v>45</v>
      </c>
      <c r="U1804">
        <v>1</v>
      </c>
      <c r="V1804">
        <v>6</v>
      </c>
    </row>
    <row r="1805" spans="1:22" x14ac:dyDescent="0.3">
      <c r="A1805">
        <v>1804</v>
      </c>
      <c r="B1805">
        <v>48983</v>
      </c>
      <c r="C1805" s="2">
        <v>37007</v>
      </c>
      <c r="D1805">
        <v>24</v>
      </c>
      <c r="E1805" t="s">
        <v>42</v>
      </c>
      <c r="F1805" t="s">
        <v>50</v>
      </c>
      <c r="G1805" s="2">
        <v>45205</v>
      </c>
      <c r="H1805" s="3">
        <f t="shared" si="28"/>
        <v>1.9342465753424658</v>
      </c>
      <c r="I1805">
        <v>116</v>
      </c>
      <c r="J1805" t="s">
        <v>57</v>
      </c>
      <c r="K1805" t="s">
        <v>64</v>
      </c>
      <c r="L1805" t="s">
        <v>44</v>
      </c>
      <c r="M1805">
        <v>14.03</v>
      </c>
      <c r="N1805">
        <v>13.73</v>
      </c>
      <c r="T1805" t="s">
        <v>49</v>
      </c>
      <c r="U1805">
        <v>1</v>
      </c>
      <c r="V1805">
        <v>6</v>
      </c>
    </row>
    <row r="1806" spans="1:22" x14ac:dyDescent="0.3">
      <c r="A1806">
        <v>1805</v>
      </c>
      <c r="B1806">
        <v>48984</v>
      </c>
      <c r="C1806" s="2">
        <v>37713</v>
      </c>
      <c r="D1806">
        <v>22</v>
      </c>
      <c r="E1806" t="s">
        <v>42</v>
      </c>
      <c r="F1806" t="s">
        <v>50</v>
      </c>
      <c r="G1806" s="2">
        <v>45316</v>
      </c>
      <c r="H1806" s="3">
        <f t="shared" si="28"/>
        <v>2.7205479452054795</v>
      </c>
      <c r="I1806">
        <v>117</v>
      </c>
      <c r="J1806" t="s">
        <v>57</v>
      </c>
      <c r="K1806" t="s">
        <v>64</v>
      </c>
      <c r="L1806" t="s">
        <v>44</v>
      </c>
      <c r="M1806">
        <v>14.06</v>
      </c>
      <c r="T1806" t="s">
        <v>45</v>
      </c>
      <c r="U1806">
        <v>0</v>
      </c>
      <c r="V1806">
        <v>5</v>
      </c>
    </row>
    <row r="1807" spans="1:22" x14ac:dyDescent="0.3">
      <c r="A1807">
        <v>1806</v>
      </c>
      <c r="B1807">
        <v>48996</v>
      </c>
      <c r="C1807" s="2">
        <v>38270</v>
      </c>
      <c r="D1807">
        <v>21</v>
      </c>
      <c r="E1807" t="s">
        <v>42</v>
      </c>
      <c r="F1807" t="s">
        <v>37</v>
      </c>
      <c r="G1807" s="2">
        <v>45029</v>
      </c>
      <c r="H1807" s="3">
        <f t="shared" si="28"/>
        <v>2.4246575342465753</v>
      </c>
      <c r="I1807">
        <v>9</v>
      </c>
      <c r="J1807" t="s">
        <v>38</v>
      </c>
      <c r="K1807" t="s">
        <v>48</v>
      </c>
      <c r="L1807" t="s">
        <v>44</v>
      </c>
      <c r="M1807">
        <v>17.760000000000002</v>
      </c>
      <c r="N1807">
        <v>17.46</v>
      </c>
      <c r="T1807" t="s">
        <v>52</v>
      </c>
      <c r="U1807">
        <v>4</v>
      </c>
      <c r="V1807">
        <v>5</v>
      </c>
    </row>
    <row r="1808" spans="1:22" x14ac:dyDescent="0.3">
      <c r="A1808">
        <v>1807</v>
      </c>
      <c r="B1808">
        <v>48999</v>
      </c>
      <c r="C1808" s="2">
        <v>37508</v>
      </c>
      <c r="D1808">
        <v>23</v>
      </c>
      <c r="E1808" t="s">
        <v>42</v>
      </c>
      <c r="F1808" t="s">
        <v>50</v>
      </c>
      <c r="G1808" s="2">
        <v>45137</v>
      </c>
      <c r="H1808" s="3">
        <f t="shared" si="28"/>
        <v>2.0246575342465754</v>
      </c>
      <c r="I1808">
        <v>19</v>
      </c>
      <c r="J1808" t="s">
        <v>38</v>
      </c>
      <c r="K1808" t="s">
        <v>56</v>
      </c>
      <c r="L1808" t="s">
        <v>44</v>
      </c>
      <c r="M1808">
        <v>8.49</v>
      </c>
      <c r="N1808">
        <v>8.26</v>
      </c>
      <c r="T1808" t="s">
        <v>45</v>
      </c>
      <c r="U1808">
        <v>1</v>
      </c>
      <c r="V1808">
        <v>6</v>
      </c>
    </row>
    <row r="1809" spans="1:22" x14ac:dyDescent="0.3">
      <c r="A1809">
        <v>1808</v>
      </c>
      <c r="B1809">
        <v>49002</v>
      </c>
      <c r="C1809" s="2">
        <v>37233</v>
      </c>
      <c r="D1809">
        <v>24</v>
      </c>
      <c r="E1809" t="s">
        <v>42</v>
      </c>
      <c r="F1809" t="s">
        <v>37</v>
      </c>
      <c r="G1809" s="2">
        <v>45283</v>
      </c>
      <c r="H1809" s="3">
        <f t="shared" si="28"/>
        <v>2.8</v>
      </c>
      <c r="I1809">
        <v>39</v>
      </c>
      <c r="J1809" t="s">
        <v>38</v>
      </c>
      <c r="K1809" t="s">
        <v>56</v>
      </c>
      <c r="L1809" t="s">
        <v>44</v>
      </c>
      <c r="M1809">
        <v>8.51</v>
      </c>
      <c r="N1809">
        <v>8.26</v>
      </c>
      <c r="T1809" t="s">
        <v>52</v>
      </c>
      <c r="U1809">
        <v>2</v>
      </c>
      <c r="V1809">
        <v>5</v>
      </c>
    </row>
    <row r="1810" spans="1:22" x14ac:dyDescent="0.3">
      <c r="A1810">
        <v>1809</v>
      </c>
      <c r="B1810">
        <v>49013</v>
      </c>
      <c r="C1810" s="2">
        <v>37965</v>
      </c>
      <c r="D1810">
        <v>22</v>
      </c>
      <c r="E1810" t="s">
        <v>36</v>
      </c>
      <c r="F1810" t="s">
        <v>50</v>
      </c>
      <c r="G1810" s="2">
        <v>45000</v>
      </c>
      <c r="H1810" s="3">
        <f t="shared" si="28"/>
        <v>2.7863013698630139</v>
      </c>
      <c r="I1810">
        <v>130</v>
      </c>
      <c r="J1810" t="s">
        <v>57</v>
      </c>
      <c r="K1810" t="s">
        <v>56</v>
      </c>
      <c r="L1810" t="s">
        <v>44</v>
      </c>
      <c r="M1810">
        <v>8.5399999999999991</v>
      </c>
      <c r="N1810">
        <v>8.26</v>
      </c>
      <c r="T1810" t="s">
        <v>45</v>
      </c>
      <c r="U1810">
        <v>1</v>
      </c>
      <c r="V1810">
        <v>5</v>
      </c>
    </row>
    <row r="1811" spans="1:22" x14ac:dyDescent="0.3">
      <c r="A1811">
        <v>1810</v>
      </c>
      <c r="B1811">
        <v>49021</v>
      </c>
      <c r="C1811" s="2">
        <v>38177</v>
      </c>
      <c r="D1811">
        <v>21</v>
      </c>
      <c r="E1811" t="s">
        <v>36</v>
      </c>
      <c r="F1811" t="s">
        <v>50</v>
      </c>
      <c r="G1811" s="2">
        <v>45005</v>
      </c>
      <c r="H1811" s="3">
        <f t="shared" si="28"/>
        <v>2.1945205479452055</v>
      </c>
      <c r="I1811">
        <v>23</v>
      </c>
      <c r="J1811" t="s">
        <v>38</v>
      </c>
      <c r="K1811" t="s">
        <v>46</v>
      </c>
      <c r="L1811" t="s">
        <v>44</v>
      </c>
      <c r="M1811">
        <v>14.18</v>
      </c>
      <c r="N1811">
        <v>13.88</v>
      </c>
      <c r="T1811" t="s">
        <v>45</v>
      </c>
      <c r="U1811">
        <v>1</v>
      </c>
      <c r="V1811">
        <v>4</v>
      </c>
    </row>
    <row r="1812" spans="1:22" x14ac:dyDescent="0.3">
      <c r="A1812">
        <v>1811</v>
      </c>
      <c r="B1812">
        <v>49028</v>
      </c>
      <c r="C1812" s="2">
        <v>37136</v>
      </c>
      <c r="D1812">
        <v>24</v>
      </c>
      <c r="E1812" t="s">
        <v>36</v>
      </c>
      <c r="F1812" t="s">
        <v>37</v>
      </c>
      <c r="G1812" s="2">
        <v>45221</v>
      </c>
      <c r="H1812" s="3">
        <f t="shared" si="28"/>
        <v>2.0520547945205481</v>
      </c>
      <c r="I1812">
        <v>47</v>
      </c>
      <c r="J1812" t="s">
        <v>38</v>
      </c>
      <c r="K1812" t="s">
        <v>55</v>
      </c>
      <c r="L1812" t="s">
        <v>44</v>
      </c>
      <c r="M1812">
        <v>17.46</v>
      </c>
      <c r="N1812">
        <v>17.16</v>
      </c>
      <c r="T1812" t="s">
        <v>47</v>
      </c>
      <c r="U1812">
        <v>4</v>
      </c>
      <c r="V1812">
        <v>3</v>
      </c>
    </row>
    <row r="1813" spans="1:22" x14ac:dyDescent="0.3">
      <c r="A1813">
        <v>1812</v>
      </c>
      <c r="B1813">
        <v>49030</v>
      </c>
      <c r="C1813" s="2">
        <v>37337</v>
      </c>
      <c r="D1813">
        <v>23</v>
      </c>
      <c r="E1813" t="s">
        <v>42</v>
      </c>
      <c r="F1813" t="s">
        <v>50</v>
      </c>
      <c r="G1813" s="2">
        <v>45273</v>
      </c>
      <c r="H1813" s="3">
        <f t="shared" si="28"/>
        <v>2.4054794520547946</v>
      </c>
      <c r="I1813">
        <v>51</v>
      </c>
      <c r="J1813" t="s">
        <v>38</v>
      </c>
      <c r="K1813" t="s">
        <v>43</v>
      </c>
      <c r="L1813" t="s">
        <v>44</v>
      </c>
      <c r="M1813">
        <v>16.27</v>
      </c>
      <c r="N1813">
        <v>15.97</v>
      </c>
      <c r="T1813" t="s">
        <v>52</v>
      </c>
      <c r="U1813">
        <v>1</v>
      </c>
      <c r="V1813">
        <v>5</v>
      </c>
    </row>
    <row r="1814" spans="1:22" x14ac:dyDescent="0.3">
      <c r="A1814">
        <v>1813</v>
      </c>
      <c r="B1814">
        <v>49049</v>
      </c>
      <c r="C1814" s="2">
        <v>36745</v>
      </c>
      <c r="D1814">
        <v>25</v>
      </c>
      <c r="E1814" t="s">
        <v>36</v>
      </c>
      <c r="F1814" t="s">
        <v>50</v>
      </c>
      <c r="G1814" s="2">
        <v>45144</v>
      </c>
      <c r="H1814" s="3">
        <f t="shared" si="28"/>
        <v>2.2931506849315069</v>
      </c>
      <c r="I1814">
        <v>10</v>
      </c>
      <c r="J1814" t="s">
        <v>38</v>
      </c>
      <c r="K1814" t="s">
        <v>68</v>
      </c>
      <c r="L1814" t="s">
        <v>44</v>
      </c>
      <c r="M1814">
        <v>16.78</v>
      </c>
      <c r="N1814">
        <v>16.579999999999998</v>
      </c>
      <c r="T1814" t="s">
        <v>47</v>
      </c>
      <c r="U1814">
        <v>2</v>
      </c>
      <c r="V1814">
        <v>6</v>
      </c>
    </row>
    <row r="1815" spans="1:22" x14ac:dyDescent="0.3">
      <c r="A1815">
        <v>1814</v>
      </c>
      <c r="B1815">
        <v>49057</v>
      </c>
      <c r="C1815" s="2">
        <v>37476</v>
      </c>
      <c r="D1815">
        <v>23</v>
      </c>
      <c r="E1815" t="s">
        <v>42</v>
      </c>
      <c r="F1815" t="s">
        <v>50</v>
      </c>
      <c r="G1815" s="2">
        <v>45185</v>
      </c>
      <c r="H1815" s="3">
        <f t="shared" si="28"/>
        <v>1.9260273972602739</v>
      </c>
      <c r="I1815">
        <v>18</v>
      </c>
      <c r="J1815" t="s">
        <v>38</v>
      </c>
      <c r="K1815" t="s">
        <v>56</v>
      </c>
      <c r="L1815" t="s">
        <v>44</v>
      </c>
      <c r="M1815">
        <v>8.4600000000000009</v>
      </c>
      <c r="N1815">
        <v>8.26</v>
      </c>
      <c r="T1815" t="s">
        <v>49</v>
      </c>
      <c r="U1815">
        <v>4</v>
      </c>
      <c r="V1815">
        <v>6</v>
      </c>
    </row>
    <row r="1816" spans="1:22" x14ac:dyDescent="0.3">
      <c r="A1816">
        <v>1815</v>
      </c>
      <c r="B1816">
        <v>49067</v>
      </c>
      <c r="C1816" s="2">
        <v>37262</v>
      </c>
      <c r="D1816">
        <v>23</v>
      </c>
      <c r="E1816" t="s">
        <v>36</v>
      </c>
      <c r="F1816" t="s">
        <v>37</v>
      </c>
      <c r="G1816" s="2">
        <v>45319</v>
      </c>
      <c r="H1816" s="3">
        <f t="shared" si="28"/>
        <v>2.2219178082191782</v>
      </c>
      <c r="I1816">
        <v>28</v>
      </c>
      <c r="J1816" t="s">
        <v>38</v>
      </c>
      <c r="K1816" t="s">
        <v>55</v>
      </c>
      <c r="L1816" t="s">
        <v>44</v>
      </c>
      <c r="M1816">
        <v>17.309999999999999</v>
      </c>
      <c r="T1816" t="s">
        <v>47</v>
      </c>
      <c r="U1816">
        <v>4</v>
      </c>
      <c r="V1816">
        <v>5</v>
      </c>
    </row>
    <row r="1817" spans="1:22" x14ac:dyDescent="0.3">
      <c r="A1817">
        <v>1816</v>
      </c>
      <c r="B1817">
        <v>49074</v>
      </c>
      <c r="C1817" s="2">
        <v>35868</v>
      </c>
      <c r="D1817">
        <v>27</v>
      </c>
      <c r="E1817" t="s">
        <v>36</v>
      </c>
      <c r="F1817" t="s">
        <v>37</v>
      </c>
      <c r="G1817" s="2">
        <v>45211</v>
      </c>
      <c r="H1817" s="3">
        <f t="shared" si="28"/>
        <v>2.506849315068493</v>
      </c>
      <c r="I1817">
        <v>33</v>
      </c>
      <c r="J1817" t="s">
        <v>38</v>
      </c>
      <c r="K1817" t="s">
        <v>55</v>
      </c>
      <c r="L1817" t="s">
        <v>44</v>
      </c>
      <c r="M1817">
        <v>17.48</v>
      </c>
      <c r="N1817">
        <v>17.16</v>
      </c>
      <c r="T1817" t="s">
        <v>49</v>
      </c>
      <c r="U1817">
        <v>1</v>
      </c>
      <c r="V1817">
        <v>4</v>
      </c>
    </row>
    <row r="1818" spans="1:22" x14ac:dyDescent="0.3">
      <c r="A1818">
        <v>1817</v>
      </c>
      <c r="B1818">
        <v>49076</v>
      </c>
      <c r="C1818" s="2">
        <v>36884</v>
      </c>
      <c r="D1818">
        <v>25</v>
      </c>
      <c r="E1818" t="s">
        <v>42</v>
      </c>
      <c r="F1818" t="s">
        <v>37</v>
      </c>
      <c r="G1818" s="2">
        <v>45107</v>
      </c>
      <c r="H1818" s="3">
        <f t="shared" si="28"/>
        <v>2.6684931506849314</v>
      </c>
      <c r="I1818">
        <v>35</v>
      </c>
      <c r="J1818" t="s">
        <v>38</v>
      </c>
      <c r="K1818" t="s">
        <v>56</v>
      </c>
      <c r="L1818" t="s">
        <v>44</v>
      </c>
      <c r="M1818">
        <v>8.4600000000000009</v>
      </c>
      <c r="N1818">
        <v>8.26</v>
      </c>
      <c r="T1818" t="s">
        <v>52</v>
      </c>
      <c r="U1818">
        <v>3</v>
      </c>
      <c r="V1818">
        <v>7</v>
      </c>
    </row>
    <row r="1819" spans="1:22" x14ac:dyDescent="0.3">
      <c r="A1819">
        <v>1818</v>
      </c>
      <c r="B1819">
        <v>49082</v>
      </c>
      <c r="C1819" s="2">
        <v>37567</v>
      </c>
      <c r="D1819">
        <v>23</v>
      </c>
      <c r="E1819" t="s">
        <v>36</v>
      </c>
      <c r="F1819" t="s">
        <v>50</v>
      </c>
      <c r="G1819" s="2">
        <v>45048</v>
      </c>
      <c r="H1819" s="3">
        <f t="shared" si="28"/>
        <v>2.0356164383561643</v>
      </c>
      <c r="I1819">
        <v>40</v>
      </c>
      <c r="J1819" t="s">
        <v>38</v>
      </c>
      <c r="K1819" t="s">
        <v>55</v>
      </c>
      <c r="L1819" t="s">
        <v>44</v>
      </c>
      <c r="M1819">
        <v>17.59</v>
      </c>
      <c r="N1819">
        <v>17.16</v>
      </c>
      <c r="T1819" t="s">
        <v>45</v>
      </c>
      <c r="U1819">
        <v>2</v>
      </c>
      <c r="V1819">
        <v>3</v>
      </c>
    </row>
    <row r="1820" spans="1:22" x14ac:dyDescent="0.3">
      <c r="A1820">
        <v>1819</v>
      </c>
      <c r="B1820">
        <v>49097</v>
      </c>
      <c r="C1820" s="2">
        <v>35751</v>
      </c>
      <c r="D1820">
        <v>28</v>
      </c>
      <c r="E1820" t="s">
        <v>36</v>
      </c>
      <c r="F1820" t="s">
        <v>37</v>
      </c>
      <c r="G1820" s="2">
        <v>45279</v>
      </c>
      <c r="H1820" s="3">
        <f t="shared" si="28"/>
        <v>2.1397260273972605</v>
      </c>
      <c r="I1820">
        <v>61</v>
      </c>
      <c r="J1820" t="s">
        <v>38</v>
      </c>
      <c r="K1820" t="s">
        <v>54</v>
      </c>
      <c r="L1820" t="s">
        <v>44</v>
      </c>
      <c r="M1820">
        <v>23.59</v>
      </c>
      <c r="N1820">
        <v>23.2</v>
      </c>
      <c r="T1820" t="s">
        <v>49</v>
      </c>
      <c r="U1820">
        <v>7</v>
      </c>
      <c r="V1820">
        <v>4</v>
      </c>
    </row>
    <row r="1821" spans="1:22" x14ac:dyDescent="0.3">
      <c r="A1821">
        <v>1820</v>
      </c>
      <c r="B1821">
        <v>49100</v>
      </c>
      <c r="C1821" s="2">
        <v>36411</v>
      </c>
      <c r="D1821">
        <v>26</v>
      </c>
      <c r="E1821" t="s">
        <v>36</v>
      </c>
      <c r="F1821" t="s">
        <v>50</v>
      </c>
      <c r="G1821" s="2">
        <v>45241</v>
      </c>
      <c r="H1821" s="3">
        <f t="shared" si="28"/>
        <v>1.9232876712328768</v>
      </c>
      <c r="I1821">
        <v>65</v>
      </c>
      <c r="J1821" t="s">
        <v>38</v>
      </c>
      <c r="K1821" t="s">
        <v>55</v>
      </c>
      <c r="L1821" t="s">
        <v>44</v>
      </c>
      <c r="M1821">
        <v>17.309999999999999</v>
      </c>
      <c r="N1821">
        <v>17.16</v>
      </c>
      <c r="T1821" t="s">
        <v>47</v>
      </c>
      <c r="U1821">
        <v>0</v>
      </c>
      <c r="V1821">
        <v>2</v>
      </c>
    </row>
    <row r="1822" spans="1:22" x14ac:dyDescent="0.3">
      <c r="A1822">
        <v>1821</v>
      </c>
      <c r="B1822">
        <v>49113</v>
      </c>
      <c r="C1822" s="2">
        <v>37561</v>
      </c>
      <c r="D1822">
        <v>24</v>
      </c>
      <c r="E1822" t="s">
        <v>36</v>
      </c>
      <c r="F1822" t="s">
        <v>37</v>
      </c>
      <c r="G1822" s="2">
        <v>45320</v>
      </c>
      <c r="H1822" s="3">
        <f t="shared" si="28"/>
        <v>1.9452054794520548</v>
      </c>
      <c r="I1822">
        <v>78</v>
      </c>
      <c r="J1822" t="s">
        <v>57</v>
      </c>
      <c r="K1822" t="s">
        <v>65</v>
      </c>
      <c r="L1822" t="s">
        <v>44</v>
      </c>
      <c r="M1822">
        <v>10.38</v>
      </c>
      <c r="T1822" t="s">
        <v>47</v>
      </c>
      <c r="U1822">
        <v>1</v>
      </c>
      <c r="V1822">
        <v>4</v>
      </c>
    </row>
    <row r="1823" spans="1:22" x14ac:dyDescent="0.3">
      <c r="A1823">
        <v>1822</v>
      </c>
      <c r="B1823">
        <v>49118</v>
      </c>
      <c r="C1823" s="2">
        <v>38681</v>
      </c>
      <c r="D1823">
        <v>20</v>
      </c>
      <c r="E1823" t="s">
        <v>36</v>
      </c>
      <c r="F1823" t="s">
        <v>50</v>
      </c>
      <c r="G1823" s="2">
        <v>45312</v>
      </c>
      <c r="H1823" s="3">
        <f t="shared" si="28"/>
        <v>2.0054794520547947</v>
      </c>
      <c r="I1823">
        <v>86</v>
      </c>
      <c r="J1823" t="s">
        <v>57</v>
      </c>
      <c r="K1823" t="s">
        <v>65</v>
      </c>
      <c r="L1823" t="s">
        <v>44</v>
      </c>
      <c r="M1823">
        <v>10.38</v>
      </c>
      <c r="T1823" t="s">
        <v>49</v>
      </c>
      <c r="U1823">
        <v>1</v>
      </c>
      <c r="V1823">
        <v>5</v>
      </c>
    </row>
    <row r="1824" spans="1:22" x14ac:dyDescent="0.3">
      <c r="A1824">
        <v>1823</v>
      </c>
      <c r="B1824">
        <v>49120</v>
      </c>
      <c r="C1824" s="2">
        <v>38703</v>
      </c>
      <c r="D1824">
        <v>20</v>
      </c>
      <c r="E1824" t="s">
        <v>42</v>
      </c>
      <c r="F1824" t="s">
        <v>50</v>
      </c>
      <c r="G1824" s="2">
        <v>45290</v>
      </c>
      <c r="H1824" s="3">
        <f t="shared" si="28"/>
        <v>2.2438356164383562</v>
      </c>
      <c r="I1824">
        <v>88</v>
      </c>
      <c r="J1824" t="s">
        <v>57</v>
      </c>
      <c r="K1824" t="s">
        <v>56</v>
      </c>
      <c r="L1824" t="s">
        <v>44</v>
      </c>
      <c r="M1824">
        <v>8.36</v>
      </c>
      <c r="N1824">
        <v>8.26</v>
      </c>
      <c r="T1824" t="s">
        <v>47</v>
      </c>
      <c r="U1824">
        <v>2</v>
      </c>
      <c r="V1824">
        <v>6</v>
      </c>
    </row>
    <row r="1825" spans="1:22" x14ac:dyDescent="0.3">
      <c r="A1825">
        <v>1824</v>
      </c>
      <c r="B1825">
        <v>49125</v>
      </c>
      <c r="C1825" s="2">
        <v>36199</v>
      </c>
      <c r="D1825">
        <v>26</v>
      </c>
      <c r="E1825" t="s">
        <v>36</v>
      </c>
      <c r="F1825" t="s">
        <v>50</v>
      </c>
      <c r="G1825" s="2">
        <v>45203</v>
      </c>
      <c r="H1825" s="3">
        <f t="shared" si="28"/>
        <v>2.4328767123287673</v>
      </c>
      <c r="I1825">
        <v>91</v>
      </c>
      <c r="J1825" t="s">
        <v>57</v>
      </c>
      <c r="K1825" t="s">
        <v>55</v>
      </c>
      <c r="L1825" t="s">
        <v>44</v>
      </c>
      <c r="M1825">
        <v>17.309999999999999</v>
      </c>
      <c r="N1825">
        <v>17.16</v>
      </c>
      <c r="T1825" t="s">
        <v>45</v>
      </c>
      <c r="U1825">
        <v>0</v>
      </c>
      <c r="V1825">
        <v>4</v>
      </c>
    </row>
    <row r="1826" spans="1:22" x14ac:dyDescent="0.3">
      <c r="A1826">
        <v>1825</v>
      </c>
      <c r="B1826">
        <v>49130</v>
      </c>
      <c r="C1826" s="2">
        <v>37183</v>
      </c>
      <c r="D1826">
        <v>24</v>
      </c>
      <c r="E1826" t="s">
        <v>36</v>
      </c>
      <c r="F1826" t="s">
        <v>50</v>
      </c>
      <c r="G1826" s="2">
        <v>45134</v>
      </c>
      <c r="H1826" s="3">
        <f t="shared" si="28"/>
        <v>2.6630136986301371</v>
      </c>
      <c r="I1826">
        <v>94</v>
      </c>
      <c r="J1826" t="s">
        <v>57</v>
      </c>
      <c r="K1826" t="s">
        <v>64</v>
      </c>
      <c r="L1826" t="s">
        <v>44</v>
      </c>
      <c r="M1826">
        <v>14.03</v>
      </c>
      <c r="N1826">
        <v>13.73</v>
      </c>
      <c r="T1826" t="s">
        <v>45</v>
      </c>
      <c r="U1826">
        <v>1</v>
      </c>
      <c r="V1826">
        <v>4</v>
      </c>
    </row>
    <row r="1827" spans="1:22" x14ac:dyDescent="0.3">
      <c r="A1827">
        <v>1826</v>
      </c>
      <c r="B1827">
        <v>49137</v>
      </c>
      <c r="C1827" s="2">
        <v>38188</v>
      </c>
      <c r="D1827">
        <v>21</v>
      </c>
      <c r="E1827" t="s">
        <v>42</v>
      </c>
      <c r="F1827" t="s">
        <v>50</v>
      </c>
      <c r="G1827" s="2">
        <v>45050</v>
      </c>
      <c r="H1827" s="3">
        <f t="shared" si="28"/>
        <v>2.0301369863013701</v>
      </c>
      <c r="I1827">
        <v>102</v>
      </c>
      <c r="J1827" t="s">
        <v>57</v>
      </c>
      <c r="K1827" t="s">
        <v>65</v>
      </c>
      <c r="L1827" t="s">
        <v>44</v>
      </c>
      <c r="M1827">
        <v>10.58</v>
      </c>
      <c r="N1827">
        <v>10.38</v>
      </c>
      <c r="T1827" t="s">
        <v>45</v>
      </c>
      <c r="U1827">
        <v>0</v>
      </c>
      <c r="V1827">
        <v>7</v>
      </c>
    </row>
    <row r="1828" spans="1:22" x14ac:dyDescent="0.3">
      <c r="A1828">
        <v>1827</v>
      </c>
      <c r="B1828">
        <v>49138</v>
      </c>
      <c r="C1828" s="2">
        <v>38323</v>
      </c>
      <c r="D1828">
        <v>21</v>
      </c>
      <c r="E1828" t="s">
        <v>42</v>
      </c>
      <c r="F1828" t="s">
        <v>37</v>
      </c>
      <c r="G1828" s="2">
        <v>45281</v>
      </c>
      <c r="H1828" s="3">
        <f t="shared" si="28"/>
        <v>2.6876712328767125</v>
      </c>
      <c r="I1828">
        <v>105</v>
      </c>
      <c r="J1828" t="s">
        <v>57</v>
      </c>
      <c r="K1828" t="s">
        <v>56</v>
      </c>
      <c r="L1828" t="s">
        <v>44</v>
      </c>
      <c r="M1828">
        <v>8.4600000000000009</v>
      </c>
      <c r="N1828">
        <v>8.26</v>
      </c>
      <c r="T1828" t="s">
        <v>52</v>
      </c>
      <c r="U1828">
        <v>1</v>
      </c>
      <c r="V1828">
        <v>4</v>
      </c>
    </row>
    <row r="1829" spans="1:22" x14ac:dyDescent="0.3">
      <c r="A1829">
        <v>1828</v>
      </c>
      <c r="B1829">
        <v>49139</v>
      </c>
      <c r="C1829" s="2">
        <v>38516</v>
      </c>
      <c r="D1829">
        <v>20</v>
      </c>
      <c r="E1829" t="s">
        <v>42</v>
      </c>
      <c r="F1829" t="s">
        <v>50</v>
      </c>
      <c r="G1829" s="2">
        <v>45041</v>
      </c>
      <c r="H1829" s="3">
        <f t="shared" si="28"/>
        <v>1.9095890410958904</v>
      </c>
      <c r="I1829">
        <v>106</v>
      </c>
      <c r="J1829" t="s">
        <v>57</v>
      </c>
      <c r="K1829" t="s">
        <v>56</v>
      </c>
      <c r="L1829" t="s">
        <v>44</v>
      </c>
      <c r="M1829">
        <v>8.4600000000000009</v>
      </c>
      <c r="N1829">
        <v>8.26</v>
      </c>
      <c r="T1829" t="s">
        <v>47</v>
      </c>
      <c r="U1829">
        <v>2</v>
      </c>
      <c r="V1829">
        <v>7</v>
      </c>
    </row>
    <row r="1830" spans="1:22" x14ac:dyDescent="0.3">
      <c r="A1830">
        <v>1829</v>
      </c>
      <c r="B1830">
        <v>49145</v>
      </c>
      <c r="C1830" s="2">
        <v>36220</v>
      </c>
      <c r="D1830">
        <v>27</v>
      </c>
      <c r="E1830" t="s">
        <v>42</v>
      </c>
      <c r="F1830" t="s">
        <v>50</v>
      </c>
      <c r="G1830" s="2">
        <v>45325</v>
      </c>
      <c r="H1830" s="3">
        <f t="shared" si="28"/>
        <v>2.7041095890410958</v>
      </c>
      <c r="I1830">
        <v>115</v>
      </c>
      <c r="J1830" t="s">
        <v>57</v>
      </c>
      <c r="K1830" t="s">
        <v>68</v>
      </c>
      <c r="L1830" t="s">
        <v>44</v>
      </c>
      <c r="M1830">
        <v>16.78</v>
      </c>
      <c r="T1830" t="s">
        <v>47</v>
      </c>
      <c r="U1830">
        <v>1</v>
      </c>
      <c r="V1830">
        <v>6</v>
      </c>
    </row>
    <row r="1831" spans="1:22" x14ac:dyDescent="0.3">
      <c r="A1831">
        <v>1830</v>
      </c>
      <c r="B1831">
        <v>49148</v>
      </c>
      <c r="C1831" s="2">
        <v>35961</v>
      </c>
      <c r="D1831">
        <v>27</v>
      </c>
      <c r="E1831" t="s">
        <v>42</v>
      </c>
      <c r="F1831" t="s">
        <v>50</v>
      </c>
      <c r="G1831" s="2">
        <v>45035</v>
      </c>
      <c r="H1831" s="3">
        <f t="shared" si="28"/>
        <v>1.9808219178082191</v>
      </c>
      <c r="I1831">
        <v>117</v>
      </c>
      <c r="J1831" t="s">
        <v>57</v>
      </c>
      <c r="K1831" t="s">
        <v>48</v>
      </c>
      <c r="L1831" t="s">
        <v>44</v>
      </c>
      <c r="M1831">
        <v>8.51</v>
      </c>
      <c r="N1831">
        <v>8.26</v>
      </c>
      <c r="T1831" t="s">
        <v>47</v>
      </c>
      <c r="U1831">
        <v>1</v>
      </c>
      <c r="V1831">
        <v>6</v>
      </c>
    </row>
    <row r="1832" spans="1:22" x14ac:dyDescent="0.3">
      <c r="A1832">
        <v>1831</v>
      </c>
      <c r="B1832">
        <v>49149</v>
      </c>
      <c r="C1832" s="2">
        <v>38646</v>
      </c>
      <c r="D1832">
        <v>20</v>
      </c>
      <c r="E1832" t="s">
        <v>36</v>
      </c>
      <c r="F1832" t="s">
        <v>50</v>
      </c>
      <c r="G1832" s="2">
        <v>45299</v>
      </c>
      <c r="H1832" s="3">
        <f t="shared" si="28"/>
        <v>2.7890410958904108</v>
      </c>
      <c r="I1832">
        <v>117</v>
      </c>
      <c r="J1832" t="s">
        <v>57</v>
      </c>
      <c r="K1832" t="s">
        <v>56</v>
      </c>
      <c r="L1832" t="s">
        <v>44</v>
      </c>
      <c r="M1832">
        <v>8.39</v>
      </c>
      <c r="T1832" t="s">
        <v>49</v>
      </c>
      <c r="U1832">
        <v>2</v>
      </c>
      <c r="V1832">
        <v>5</v>
      </c>
    </row>
    <row r="1833" spans="1:22" x14ac:dyDescent="0.3">
      <c r="A1833">
        <v>1832</v>
      </c>
      <c r="B1833">
        <v>49175</v>
      </c>
      <c r="C1833" s="2">
        <v>32408</v>
      </c>
      <c r="D1833">
        <v>37</v>
      </c>
      <c r="E1833" t="s">
        <v>36</v>
      </c>
      <c r="F1833" t="s">
        <v>50</v>
      </c>
      <c r="G1833" s="2">
        <v>45004</v>
      </c>
      <c r="H1833" s="3">
        <f t="shared" si="28"/>
        <v>2.3726027397260272</v>
      </c>
      <c r="I1833">
        <v>141</v>
      </c>
      <c r="J1833" t="s">
        <v>57</v>
      </c>
      <c r="K1833" t="s">
        <v>43</v>
      </c>
      <c r="L1833" t="s">
        <v>44</v>
      </c>
      <c r="M1833">
        <v>16.41</v>
      </c>
      <c r="N1833">
        <v>15.97</v>
      </c>
      <c r="T1833" t="s">
        <v>52</v>
      </c>
      <c r="U1833">
        <v>1</v>
      </c>
      <c r="V1833">
        <v>3</v>
      </c>
    </row>
    <row r="1834" spans="1:22" x14ac:dyDescent="0.3">
      <c r="A1834">
        <v>1833</v>
      </c>
      <c r="B1834">
        <v>49176</v>
      </c>
      <c r="C1834" s="2">
        <v>36358</v>
      </c>
      <c r="D1834">
        <v>26</v>
      </c>
      <c r="E1834" t="s">
        <v>36</v>
      </c>
      <c r="F1834" t="s">
        <v>37</v>
      </c>
      <c r="G1834" s="2">
        <v>45156</v>
      </c>
      <c r="H1834" s="3">
        <f t="shared" si="28"/>
        <v>1.9452054794520548</v>
      </c>
      <c r="I1834">
        <v>143</v>
      </c>
      <c r="J1834" t="s">
        <v>57</v>
      </c>
      <c r="K1834" t="s">
        <v>55</v>
      </c>
      <c r="L1834" t="s">
        <v>44</v>
      </c>
      <c r="M1834">
        <v>17.52</v>
      </c>
      <c r="N1834">
        <v>17.16</v>
      </c>
      <c r="T1834" t="s">
        <v>49</v>
      </c>
      <c r="U1834">
        <v>2</v>
      </c>
      <c r="V1834">
        <v>4</v>
      </c>
    </row>
    <row r="1835" spans="1:22" x14ac:dyDescent="0.3">
      <c r="A1835">
        <v>1834</v>
      </c>
      <c r="B1835">
        <v>49183</v>
      </c>
      <c r="C1835" s="2">
        <v>37510</v>
      </c>
      <c r="D1835">
        <v>23</v>
      </c>
      <c r="E1835" t="s">
        <v>36</v>
      </c>
      <c r="F1835" t="s">
        <v>50</v>
      </c>
      <c r="G1835" s="2">
        <v>45312</v>
      </c>
      <c r="H1835" s="3">
        <f t="shared" si="28"/>
        <v>2.2821917808219179</v>
      </c>
      <c r="I1835">
        <v>29</v>
      </c>
      <c r="J1835" t="s">
        <v>38</v>
      </c>
      <c r="K1835" t="s">
        <v>65</v>
      </c>
      <c r="L1835" t="s">
        <v>44</v>
      </c>
      <c r="M1835">
        <v>10.48</v>
      </c>
      <c r="T1835" t="s">
        <v>49</v>
      </c>
      <c r="U1835">
        <v>0</v>
      </c>
      <c r="V1835">
        <v>3</v>
      </c>
    </row>
    <row r="1836" spans="1:22" x14ac:dyDescent="0.3">
      <c r="A1836">
        <v>1835</v>
      </c>
      <c r="B1836">
        <v>49190</v>
      </c>
      <c r="C1836" s="2">
        <v>35793</v>
      </c>
      <c r="D1836">
        <v>28</v>
      </c>
      <c r="E1836" t="s">
        <v>36</v>
      </c>
      <c r="F1836" t="s">
        <v>50</v>
      </c>
      <c r="G1836" s="2">
        <v>45189</v>
      </c>
      <c r="H1836" s="3">
        <f t="shared" si="28"/>
        <v>2.0027397260273974</v>
      </c>
      <c r="I1836">
        <v>59</v>
      </c>
      <c r="J1836" t="s">
        <v>38</v>
      </c>
      <c r="K1836" t="s">
        <v>46</v>
      </c>
      <c r="L1836" t="s">
        <v>44</v>
      </c>
      <c r="M1836">
        <v>14.18</v>
      </c>
      <c r="N1836">
        <v>13.88</v>
      </c>
      <c r="T1836" t="s">
        <v>52</v>
      </c>
      <c r="U1836">
        <v>1</v>
      </c>
      <c r="V1836">
        <v>2</v>
      </c>
    </row>
    <row r="1837" spans="1:22" x14ac:dyDescent="0.3">
      <c r="A1837">
        <v>1836</v>
      </c>
      <c r="B1837">
        <v>49192</v>
      </c>
      <c r="C1837" s="2">
        <v>37158</v>
      </c>
      <c r="D1837">
        <v>24</v>
      </c>
      <c r="E1837" t="s">
        <v>36</v>
      </c>
      <c r="F1837" t="s">
        <v>50</v>
      </c>
      <c r="G1837" s="2">
        <v>45291</v>
      </c>
      <c r="H1837" s="3">
        <f t="shared" si="28"/>
        <v>2.8</v>
      </c>
      <c r="I1837">
        <v>80</v>
      </c>
      <c r="J1837" t="s">
        <v>57</v>
      </c>
      <c r="K1837" t="s">
        <v>65</v>
      </c>
      <c r="L1837" t="s">
        <v>44</v>
      </c>
      <c r="M1837">
        <v>10.58</v>
      </c>
      <c r="N1837">
        <v>10.38</v>
      </c>
      <c r="T1837" t="s">
        <v>52</v>
      </c>
      <c r="U1837">
        <v>1</v>
      </c>
      <c r="V1837">
        <v>3</v>
      </c>
    </row>
    <row r="1838" spans="1:22" x14ac:dyDescent="0.3">
      <c r="A1838">
        <v>1837</v>
      </c>
      <c r="B1838">
        <v>49195</v>
      </c>
      <c r="C1838" s="2">
        <v>36205</v>
      </c>
      <c r="D1838">
        <v>26</v>
      </c>
      <c r="E1838" t="s">
        <v>42</v>
      </c>
      <c r="F1838" t="s">
        <v>50</v>
      </c>
      <c r="G1838" s="2">
        <v>45000</v>
      </c>
      <c r="H1838" s="3">
        <f t="shared" si="28"/>
        <v>2.536986301369863</v>
      </c>
      <c r="I1838">
        <v>94</v>
      </c>
      <c r="J1838" t="s">
        <v>57</v>
      </c>
      <c r="K1838" t="s">
        <v>55</v>
      </c>
      <c r="L1838" t="s">
        <v>44</v>
      </c>
      <c r="M1838">
        <v>17.46</v>
      </c>
      <c r="N1838">
        <v>17.16</v>
      </c>
      <c r="T1838" t="s">
        <v>52</v>
      </c>
      <c r="U1838">
        <v>2</v>
      </c>
      <c r="V1838">
        <v>6</v>
      </c>
    </row>
    <row r="1839" spans="1:22" x14ac:dyDescent="0.3">
      <c r="A1839">
        <v>1838</v>
      </c>
      <c r="B1839">
        <v>49207</v>
      </c>
      <c r="C1839" s="2">
        <v>31970</v>
      </c>
      <c r="D1839">
        <v>38</v>
      </c>
      <c r="E1839" t="s">
        <v>36</v>
      </c>
      <c r="F1839" t="s">
        <v>50</v>
      </c>
      <c r="G1839" s="2">
        <v>45096</v>
      </c>
      <c r="H1839" s="3">
        <f t="shared" si="28"/>
        <v>1.9178082191780821</v>
      </c>
      <c r="I1839">
        <v>143</v>
      </c>
      <c r="J1839" t="s">
        <v>57</v>
      </c>
      <c r="K1839" t="s">
        <v>55</v>
      </c>
      <c r="L1839" t="s">
        <v>44</v>
      </c>
      <c r="M1839">
        <v>17.32</v>
      </c>
      <c r="N1839">
        <v>17.16</v>
      </c>
      <c r="T1839" t="s">
        <v>47</v>
      </c>
      <c r="U1839">
        <v>4</v>
      </c>
      <c r="V1839">
        <v>4</v>
      </c>
    </row>
    <row r="1840" spans="1:22" x14ac:dyDescent="0.3">
      <c r="A1840">
        <v>1839</v>
      </c>
      <c r="B1840">
        <v>49208</v>
      </c>
      <c r="C1840" s="2">
        <v>38199</v>
      </c>
      <c r="D1840">
        <v>21</v>
      </c>
      <c r="E1840" t="s">
        <v>36</v>
      </c>
      <c r="F1840" t="s">
        <v>37</v>
      </c>
      <c r="G1840" s="2">
        <v>45322</v>
      </c>
      <c r="H1840" s="3">
        <f t="shared" si="28"/>
        <v>1.9260273972602739</v>
      </c>
      <c r="I1840">
        <v>5</v>
      </c>
      <c r="J1840" t="s">
        <v>38</v>
      </c>
      <c r="K1840" t="s">
        <v>65</v>
      </c>
      <c r="L1840" t="s">
        <v>44</v>
      </c>
      <c r="M1840">
        <v>10.58</v>
      </c>
      <c r="T1840" t="s">
        <v>47</v>
      </c>
      <c r="U1840">
        <v>1</v>
      </c>
      <c r="V1840">
        <v>3</v>
      </c>
    </row>
    <row r="1841" spans="1:22" x14ac:dyDescent="0.3">
      <c r="A1841">
        <v>1840</v>
      </c>
      <c r="B1841">
        <v>49210</v>
      </c>
      <c r="C1841" s="2">
        <v>38690</v>
      </c>
      <c r="D1841">
        <v>20</v>
      </c>
      <c r="E1841" t="s">
        <v>42</v>
      </c>
      <c r="F1841" t="s">
        <v>37</v>
      </c>
      <c r="G1841" s="2">
        <v>45319</v>
      </c>
      <c r="H1841" s="3">
        <f t="shared" si="28"/>
        <v>2.7287671232876711</v>
      </c>
      <c r="I1841">
        <v>19</v>
      </c>
      <c r="J1841" t="s">
        <v>38</v>
      </c>
      <c r="K1841" t="s">
        <v>56</v>
      </c>
      <c r="L1841" t="s">
        <v>44</v>
      </c>
      <c r="M1841">
        <v>8.42</v>
      </c>
      <c r="T1841" t="s">
        <v>45</v>
      </c>
      <c r="U1841">
        <v>0</v>
      </c>
      <c r="V1841">
        <v>5</v>
      </c>
    </row>
    <row r="1842" spans="1:22" x14ac:dyDescent="0.3">
      <c r="A1842">
        <v>1841</v>
      </c>
      <c r="B1842">
        <v>49217</v>
      </c>
      <c r="C1842" s="2">
        <v>38185</v>
      </c>
      <c r="D1842">
        <v>21</v>
      </c>
      <c r="E1842" t="s">
        <v>36</v>
      </c>
      <c r="F1842" t="s">
        <v>50</v>
      </c>
      <c r="G1842" s="2">
        <v>45026</v>
      </c>
      <c r="H1842" s="3">
        <f t="shared" si="28"/>
        <v>2.0027397260273974</v>
      </c>
      <c r="I1842">
        <v>44</v>
      </c>
      <c r="J1842" t="s">
        <v>38</v>
      </c>
      <c r="K1842" t="s">
        <v>65</v>
      </c>
      <c r="L1842" t="s">
        <v>44</v>
      </c>
      <c r="M1842">
        <v>10.48</v>
      </c>
      <c r="N1842">
        <v>10.38</v>
      </c>
      <c r="T1842" t="s">
        <v>49</v>
      </c>
      <c r="U1842">
        <v>1</v>
      </c>
      <c r="V1842">
        <v>4</v>
      </c>
    </row>
    <row r="1843" spans="1:22" x14ac:dyDescent="0.3">
      <c r="A1843">
        <v>1842</v>
      </c>
      <c r="B1843">
        <v>49225</v>
      </c>
      <c r="C1843" s="2">
        <v>38424</v>
      </c>
      <c r="D1843">
        <v>20</v>
      </c>
      <c r="E1843" t="s">
        <v>42</v>
      </c>
      <c r="F1843" t="s">
        <v>37</v>
      </c>
      <c r="G1843" s="2">
        <v>45291</v>
      </c>
      <c r="H1843" s="3">
        <f t="shared" si="28"/>
        <v>2.5232876712328767</v>
      </c>
      <c r="I1843">
        <v>67</v>
      </c>
      <c r="J1843" t="s">
        <v>57</v>
      </c>
      <c r="K1843" t="s">
        <v>56</v>
      </c>
      <c r="L1843" t="s">
        <v>44</v>
      </c>
      <c r="M1843">
        <v>8.4700000000000006</v>
      </c>
      <c r="N1843">
        <v>8.26</v>
      </c>
      <c r="T1843" t="s">
        <v>47</v>
      </c>
      <c r="U1843">
        <v>2</v>
      </c>
      <c r="V1843">
        <v>5</v>
      </c>
    </row>
    <row r="1844" spans="1:22" x14ac:dyDescent="0.3">
      <c r="A1844">
        <v>1843</v>
      </c>
      <c r="B1844">
        <v>49232</v>
      </c>
      <c r="C1844" s="2">
        <v>36917</v>
      </c>
      <c r="D1844">
        <v>24</v>
      </c>
      <c r="E1844" t="s">
        <v>36</v>
      </c>
      <c r="F1844" t="s">
        <v>50</v>
      </c>
      <c r="G1844" s="2">
        <v>45101</v>
      </c>
      <c r="H1844" s="3">
        <f t="shared" si="28"/>
        <v>2.2383561643835614</v>
      </c>
      <c r="I1844">
        <v>97</v>
      </c>
      <c r="J1844" t="s">
        <v>57</v>
      </c>
      <c r="K1844" t="s">
        <v>46</v>
      </c>
      <c r="L1844" t="s">
        <v>44</v>
      </c>
      <c r="M1844">
        <v>14.26</v>
      </c>
      <c r="N1844">
        <v>13.88</v>
      </c>
      <c r="T1844" t="s">
        <v>49</v>
      </c>
      <c r="U1844">
        <v>1</v>
      </c>
      <c r="V1844">
        <v>3</v>
      </c>
    </row>
    <row r="1845" spans="1:22" x14ac:dyDescent="0.3">
      <c r="A1845">
        <v>1844</v>
      </c>
      <c r="B1845">
        <v>49234</v>
      </c>
      <c r="C1845" s="2">
        <v>36026</v>
      </c>
      <c r="D1845">
        <v>27</v>
      </c>
      <c r="E1845" t="s">
        <v>36</v>
      </c>
      <c r="F1845" t="s">
        <v>50</v>
      </c>
      <c r="G1845" s="2">
        <v>45205</v>
      </c>
      <c r="H1845" s="3">
        <f t="shared" si="28"/>
        <v>1.9972602739726026</v>
      </c>
      <c r="I1845">
        <v>113</v>
      </c>
      <c r="J1845" t="s">
        <v>57</v>
      </c>
      <c r="K1845" t="s">
        <v>55</v>
      </c>
      <c r="L1845" t="s">
        <v>44</v>
      </c>
      <c r="M1845">
        <v>17.309999999999999</v>
      </c>
      <c r="N1845">
        <v>17.16</v>
      </c>
      <c r="T1845" t="s">
        <v>52</v>
      </c>
      <c r="U1845">
        <v>2</v>
      </c>
      <c r="V1845">
        <v>4</v>
      </c>
    </row>
    <row r="1846" spans="1:22" x14ac:dyDescent="0.3">
      <c r="A1846">
        <v>1845</v>
      </c>
      <c r="B1846">
        <v>49240</v>
      </c>
      <c r="C1846" s="2">
        <v>37373</v>
      </c>
      <c r="D1846">
        <v>23</v>
      </c>
      <c r="E1846" t="s">
        <v>36</v>
      </c>
      <c r="F1846" t="s">
        <v>50</v>
      </c>
      <c r="G1846" s="2">
        <v>45293</v>
      </c>
      <c r="H1846" s="3">
        <f t="shared" si="28"/>
        <v>1.989041095890411</v>
      </c>
      <c r="I1846">
        <v>127</v>
      </c>
      <c r="J1846" t="s">
        <v>57</v>
      </c>
      <c r="K1846" t="s">
        <v>55</v>
      </c>
      <c r="L1846" t="s">
        <v>44</v>
      </c>
      <c r="M1846">
        <v>17.309999999999999</v>
      </c>
      <c r="T1846" t="s">
        <v>47</v>
      </c>
      <c r="U1846">
        <v>1</v>
      </c>
      <c r="V1846">
        <v>6</v>
      </c>
    </row>
    <row r="1847" spans="1:22" x14ac:dyDescent="0.3">
      <c r="A1847">
        <v>1846</v>
      </c>
      <c r="B1847">
        <v>49248</v>
      </c>
      <c r="C1847" s="2">
        <v>36448</v>
      </c>
      <c r="D1847">
        <v>26</v>
      </c>
      <c r="E1847" t="s">
        <v>42</v>
      </c>
      <c r="F1847" t="s">
        <v>37</v>
      </c>
      <c r="G1847" s="2">
        <v>45296</v>
      </c>
      <c r="H1847" s="3">
        <f t="shared" si="28"/>
        <v>2.7863013698630139</v>
      </c>
      <c r="I1847">
        <v>31</v>
      </c>
      <c r="J1847" t="s">
        <v>38</v>
      </c>
      <c r="K1847" t="s">
        <v>43</v>
      </c>
      <c r="L1847" t="s">
        <v>44</v>
      </c>
      <c r="M1847">
        <v>15.97</v>
      </c>
      <c r="T1847" t="s">
        <v>49</v>
      </c>
      <c r="U1847">
        <v>2</v>
      </c>
      <c r="V1847">
        <v>5</v>
      </c>
    </row>
    <row r="1848" spans="1:22" x14ac:dyDescent="0.3">
      <c r="A1848">
        <v>1847</v>
      </c>
      <c r="B1848">
        <v>49250</v>
      </c>
      <c r="C1848" s="2">
        <v>38175</v>
      </c>
      <c r="D1848">
        <v>21</v>
      </c>
      <c r="E1848" t="s">
        <v>36</v>
      </c>
      <c r="F1848" t="s">
        <v>50</v>
      </c>
      <c r="G1848" s="2">
        <v>45005</v>
      </c>
      <c r="H1848" s="3">
        <f t="shared" si="28"/>
        <v>2.5945205479452054</v>
      </c>
      <c r="I1848">
        <v>49</v>
      </c>
      <c r="J1848" t="s">
        <v>38</v>
      </c>
      <c r="K1848" t="s">
        <v>65</v>
      </c>
      <c r="L1848" t="s">
        <v>44</v>
      </c>
      <c r="M1848">
        <v>10.66</v>
      </c>
      <c r="N1848">
        <v>10.38</v>
      </c>
      <c r="T1848" t="s">
        <v>45</v>
      </c>
      <c r="U1848">
        <v>0</v>
      </c>
      <c r="V1848">
        <v>5</v>
      </c>
    </row>
    <row r="1849" spans="1:22" x14ac:dyDescent="0.3">
      <c r="A1849">
        <v>1848</v>
      </c>
      <c r="B1849">
        <v>49253</v>
      </c>
      <c r="C1849" s="2">
        <v>36851</v>
      </c>
      <c r="D1849">
        <v>25</v>
      </c>
      <c r="E1849" t="s">
        <v>36</v>
      </c>
      <c r="F1849" t="s">
        <v>37</v>
      </c>
      <c r="G1849" s="2">
        <v>45075</v>
      </c>
      <c r="H1849" s="3">
        <f t="shared" si="28"/>
        <v>2.3123287671232875</v>
      </c>
      <c r="I1849">
        <v>65</v>
      </c>
      <c r="J1849" t="s">
        <v>38</v>
      </c>
      <c r="K1849" t="s">
        <v>55</v>
      </c>
      <c r="L1849" t="s">
        <v>44</v>
      </c>
      <c r="M1849">
        <v>17.309999999999999</v>
      </c>
      <c r="N1849">
        <v>17.16</v>
      </c>
      <c r="T1849" t="s">
        <v>45</v>
      </c>
      <c r="U1849">
        <v>2</v>
      </c>
      <c r="V1849">
        <v>3</v>
      </c>
    </row>
    <row r="1850" spans="1:22" x14ac:dyDescent="0.3">
      <c r="A1850">
        <v>1849</v>
      </c>
      <c r="B1850">
        <v>49254</v>
      </c>
      <c r="C1850" s="2">
        <v>36996</v>
      </c>
      <c r="D1850">
        <v>24</v>
      </c>
      <c r="E1850" t="s">
        <v>42</v>
      </c>
      <c r="F1850" t="s">
        <v>37</v>
      </c>
      <c r="G1850" s="2">
        <v>45178</v>
      </c>
      <c r="H1850" s="3">
        <f t="shared" si="28"/>
        <v>2.8383561643835615</v>
      </c>
      <c r="I1850">
        <v>68</v>
      </c>
      <c r="J1850" t="s">
        <v>57</v>
      </c>
      <c r="K1850" t="s">
        <v>56</v>
      </c>
      <c r="L1850" t="s">
        <v>44</v>
      </c>
      <c r="M1850">
        <v>8.5299999999999994</v>
      </c>
      <c r="N1850">
        <v>8.26</v>
      </c>
      <c r="T1850" t="s">
        <v>49</v>
      </c>
      <c r="U1850">
        <v>2</v>
      </c>
      <c r="V1850">
        <v>7</v>
      </c>
    </row>
    <row r="1851" spans="1:22" x14ac:dyDescent="0.3">
      <c r="A1851">
        <v>1850</v>
      </c>
      <c r="B1851">
        <v>49255</v>
      </c>
      <c r="C1851" s="2">
        <v>37503</v>
      </c>
      <c r="D1851">
        <v>23</v>
      </c>
      <c r="E1851" t="s">
        <v>36</v>
      </c>
      <c r="F1851" t="s">
        <v>50</v>
      </c>
      <c r="G1851" s="2">
        <v>44986</v>
      </c>
      <c r="H1851" s="3">
        <f t="shared" si="28"/>
        <v>2.0849315068493151</v>
      </c>
      <c r="I1851">
        <v>72</v>
      </c>
      <c r="J1851" t="s">
        <v>57</v>
      </c>
      <c r="K1851" t="s">
        <v>43</v>
      </c>
      <c r="L1851" t="s">
        <v>44</v>
      </c>
      <c r="M1851">
        <v>16.27</v>
      </c>
      <c r="N1851">
        <v>15.97</v>
      </c>
      <c r="T1851" t="s">
        <v>45</v>
      </c>
      <c r="U1851">
        <v>1</v>
      </c>
      <c r="V1851">
        <v>3</v>
      </c>
    </row>
    <row r="1852" spans="1:22" x14ac:dyDescent="0.3">
      <c r="A1852">
        <v>1851</v>
      </c>
      <c r="B1852">
        <v>49264</v>
      </c>
      <c r="C1852" s="2">
        <v>36558</v>
      </c>
      <c r="D1852">
        <v>25</v>
      </c>
      <c r="E1852" t="s">
        <v>42</v>
      </c>
      <c r="F1852" t="s">
        <v>50</v>
      </c>
      <c r="G1852" s="2">
        <v>45261</v>
      </c>
      <c r="H1852" s="3">
        <f t="shared" si="28"/>
        <v>2.1342465753424658</v>
      </c>
      <c r="I1852">
        <v>121</v>
      </c>
      <c r="J1852" t="s">
        <v>57</v>
      </c>
      <c r="K1852" t="s">
        <v>56</v>
      </c>
      <c r="L1852" t="s">
        <v>44</v>
      </c>
      <c r="M1852">
        <v>8.4600000000000009</v>
      </c>
      <c r="N1852">
        <v>8.26</v>
      </c>
      <c r="T1852" t="s">
        <v>47</v>
      </c>
      <c r="U1852">
        <v>4</v>
      </c>
      <c r="V1852">
        <v>6</v>
      </c>
    </row>
    <row r="1853" spans="1:22" x14ac:dyDescent="0.3">
      <c r="A1853">
        <v>1852</v>
      </c>
      <c r="B1853">
        <v>49266</v>
      </c>
      <c r="C1853" s="2">
        <v>35123</v>
      </c>
      <c r="D1853">
        <v>29</v>
      </c>
      <c r="E1853" t="s">
        <v>42</v>
      </c>
      <c r="F1853" t="s">
        <v>50</v>
      </c>
      <c r="G1853" s="2">
        <v>45243</v>
      </c>
      <c r="H1853" s="3">
        <f t="shared" si="28"/>
        <v>2.4712328767123286</v>
      </c>
      <c r="I1853">
        <v>130</v>
      </c>
      <c r="J1853" t="s">
        <v>57</v>
      </c>
      <c r="K1853" t="s">
        <v>65</v>
      </c>
      <c r="L1853" t="s">
        <v>44</v>
      </c>
      <c r="M1853">
        <v>10.64</v>
      </c>
      <c r="N1853">
        <v>10.38</v>
      </c>
      <c r="T1853" t="s">
        <v>45</v>
      </c>
      <c r="U1853">
        <v>0</v>
      </c>
      <c r="V1853">
        <v>5</v>
      </c>
    </row>
    <row r="1854" spans="1:22" x14ac:dyDescent="0.3">
      <c r="A1854">
        <v>1853</v>
      </c>
      <c r="B1854">
        <v>49268</v>
      </c>
      <c r="C1854" s="2">
        <v>36440</v>
      </c>
      <c r="D1854">
        <v>26</v>
      </c>
      <c r="E1854" t="s">
        <v>42</v>
      </c>
      <c r="F1854" t="s">
        <v>50</v>
      </c>
      <c r="G1854" s="2">
        <v>45120</v>
      </c>
      <c r="H1854" s="3">
        <f t="shared" si="28"/>
        <v>2.5452054794520547</v>
      </c>
      <c r="I1854">
        <v>139</v>
      </c>
      <c r="J1854" t="s">
        <v>57</v>
      </c>
      <c r="K1854" t="s">
        <v>65</v>
      </c>
      <c r="L1854" t="s">
        <v>44</v>
      </c>
      <c r="M1854">
        <v>10.58</v>
      </c>
      <c r="N1854">
        <v>10.38</v>
      </c>
      <c r="T1854" t="s">
        <v>47</v>
      </c>
      <c r="U1854">
        <v>0</v>
      </c>
      <c r="V1854">
        <v>4</v>
      </c>
    </row>
    <row r="1855" spans="1:22" x14ac:dyDescent="0.3">
      <c r="A1855">
        <v>1854</v>
      </c>
      <c r="B1855">
        <v>49271</v>
      </c>
      <c r="C1855" s="2">
        <v>35732</v>
      </c>
      <c r="D1855">
        <v>28</v>
      </c>
      <c r="E1855" t="s">
        <v>42</v>
      </c>
      <c r="F1855" t="s">
        <v>50</v>
      </c>
      <c r="G1855" s="2">
        <v>45093</v>
      </c>
      <c r="H1855" s="3">
        <f t="shared" si="28"/>
        <v>2.3123287671232875</v>
      </c>
      <c r="I1855">
        <v>4</v>
      </c>
      <c r="J1855" t="s">
        <v>38</v>
      </c>
      <c r="K1855" t="s">
        <v>68</v>
      </c>
      <c r="L1855" t="s">
        <v>44</v>
      </c>
      <c r="M1855">
        <v>16.78</v>
      </c>
      <c r="N1855">
        <v>16.579999999999998</v>
      </c>
      <c r="T1855" t="s">
        <v>52</v>
      </c>
      <c r="U1855">
        <v>2</v>
      </c>
      <c r="V1855">
        <v>7</v>
      </c>
    </row>
    <row r="1856" spans="1:22" x14ac:dyDescent="0.3">
      <c r="A1856">
        <v>1855</v>
      </c>
      <c r="B1856">
        <v>49276</v>
      </c>
      <c r="C1856" s="2">
        <v>36747</v>
      </c>
      <c r="D1856">
        <v>25</v>
      </c>
      <c r="E1856" t="s">
        <v>42</v>
      </c>
      <c r="F1856" t="s">
        <v>37</v>
      </c>
      <c r="G1856" s="2">
        <v>45178</v>
      </c>
      <c r="H1856" s="3">
        <f t="shared" si="28"/>
        <v>2.5013698630136987</v>
      </c>
      <c r="I1856">
        <v>9</v>
      </c>
      <c r="J1856" t="s">
        <v>38</v>
      </c>
      <c r="K1856" t="s">
        <v>56</v>
      </c>
      <c r="L1856" t="s">
        <v>44</v>
      </c>
      <c r="M1856">
        <v>8.4600000000000009</v>
      </c>
      <c r="N1856">
        <v>8.26</v>
      </c>
      <c r="T1856" t="s">
        <v>49</v>
      </c>
      <c r="U1856">
        <v>0</v>
      </c>
      <c r="V1856">
        <v>5</v>
      </c>
    </row>
    <row r="1857" spans="1:22" x14ac:dyDescent="0.3">
      <c r="A1857">
        <v>1856</v>
      </c>
      <c r="B1857">
        <v>49284</v>
      </c>
      <c r="C1857" s="2">
        <v>37255</v>
      </c>
      <c r="D1857">
        <v>24</v>
      </c>
      <c r="E1857" t="s">
        <v>42</v>
      </c>
      <c r="F1857" t="s">
        <v>50</v>
      </c>
      <c r="G1857" s="2">
        <v>45109</v>
      </c>
      <c r="H1857" s="3">
        <f t="shared" si="28"/>
        <v>2.5095890410958903</v>
      </c>
      <c r="I1857">
        <v>19</v>
      </c>
      <c r="J1857" t="s">
        <v>38</v>
      </c>
      <c r="K1857" t="s">
        <v>48</v>
      </c>
      <c r="L1857" t="s">
        <v>44</v>
      </c>
      <c r="M1857">
        <v>8.5500000000000007</v>
      </c>
      <c r="N1857">
        <v>8.26</v>
      </c>
      <c r="T1857" t="s">
        <v>49</v>
      </c>
      <c r="U1857">
        <v>4</v>
      </c>
      <c r="V1857">
        <v>6</v>
      </c>
    </row>
    <row r="1858" spans="1:22" x14ac:dyDescent="0.3">
      <c r="A1858">
        <v>1857</v>
      </c>
      <c r="B1858">
        <v>49285</v>
      </c>
      <c r="C1858" s="2">
        <v>36584</v>
      </c>
      <c r="D1858">
        <v>25</v>
      </c>
      <c r="E1858" t="s">
        <v>42</v>
      </c>
      <c r="F1858" t="s">
        <v>50</v>
      </c>
      <c r="G1858" s="2">
        <v>45106</v>
      </c>
      <c r="H1858" s="3">
        <f t="shared" si="28"/>
        <v>1.9260273972602739</v>
      </c>
      <c r="I1858">
        <v>20</v>
      </c>
      <c r="J1858" t="s">
        <v>38</v>
      </c>
      <c r="K1858" t="s">
        <v>56</v>
      </c>
      <c r="L1858" t="s">
        <v>44</v>
      </c>
      <c r="M1858">
        <v>8.48</v>
      </c>
      <c r="N1858">
        <v>8.26</v>
      </c>
      <c r="T1858" t="s">
        <v>52</v>
      </c>
      <c r="U1858">
        <v>1</v>
      </c>
      <c r="V1858">
        <v>7</v>
      </c>
    </row>
    <row r="1859" spans="1:22" x14ac:dyDescent="0.3">
      <c r="A1859">
        <v>1858</v>
      </c>
      <c r="B1859">
        <v>49288</v>
      </c>
      <c r="C1859" s="2">
        <v>35957</v>
      </c>
      <c r="D1859">
        <v>27</v>
      </c>
      <c r="E1859" t="s">
        <v>42</v>
      </c>
      <c r="F1859" t="s">
        <v>50</v>
      </c>
      <c r="G1859" s="2">
        <v>45319</v>
      </c>
      <c r="H1859" s="3">
        <f t="shared" ref="H1859:H1922" si="29">DATEDIF(G1860,DATE(2025,12,31),"d")/365</f>
        <v>2.6438356164383561</v>
      </c>
      <c r="I1859">
        <v>22</v>
      </c>
      <c r="J1859" t="s">
        <v>38</v>
      </c>
      <c r="K1859" t="s">
        <v>55</v>
      </c>
      <c r="L1859" t="s">
        <v>44</v>
      </c>
      <c r="M1859">
        <v>17.16</v>
      </c>
      <c r="T1859" t="s">
        <v>49</v>
      </c>
      <c r="U1859">
        <v>3</v>
      </c>
      <c r="V1859">
        <v>7</v>
      </c>
    </row>
    <row r="1860" spans="1:22" x14ac:dyDescent="0.3">
      <c r="A1860">
        <v>1859</v>
      </c>
      <c r="B1860">
        <v>49292</v>
      </c>
      <c r="C1860" s="2">
        <v>36885</v>
      </c>
      <c r="D1860">
        <v>25</v>
      </c>
      <c r="E1860" t="s">
        <v>42</v>
      </c>
      <c r="F1860" t="s">
        <v>50</v>
      </c>
      <c r="G1860" s="2">
        <v>45057</v>
      </c>
      <c r="H1860" s="3">
        <f t="shared" si="29"/>
        <v>2.7095890410958905</v>
      </c>
      <c r="I1860">
        <v>29</v>
      </c>
      <c r="J1860" t="s">
        <v>38</v>
      </c>
      <c r="K1860" t="s">
        <v>43</v>
      </c>
      <c r="L1860" t="s">
        <v>44</v>
      </c>
      <c r="M1860">
        <v>15.97</v>
      </c>
      <c r="N1860">
        <v>15.97</v>
      </c>
      <c r="T1860" t="s">
        <v>47</v>
      </c>
      <c r="U1860">
        <v>0</v>
      </c>
      <c r="V1860">
        <v>7</v>
      </c>
    </row>
    <row r="1861" spans="1:22" x14ac:dyDescent="0.3">
      <c r="A1861">
        <v>1860</v>
      </c>
      <c r="B1861">
        <v>49310</v>
      </c>
      <c r="C1861" s="2">
        <v>37086</v>
      </c>
      <c r="D1861">
        <v>24</v>
      </c>
      <c r="E1861" t="s">
        <v>36</v>
      </c>
      <c r="F1861" t="s">
        <v>50</v>
      </c>
      <c r="G1861" s="2">
        <v>45033</v>
      </c>
      <c r="H1861" s="3">
        <f t="shared" si="29"/>
        <v>2.1890410958904107</v>
      </c>
      <c r="I1861">
        <v>42</v>
      </c>
      <c r="J1861" t="s">
        <v>38</v>
      </c>
      <c r="K1861" t="s">
        <v>43</v>
      </c>
      <c r="L1861" t="s">
        <v>44</v>
      </c>
      <c r="M1861">
        <v>16.12</v>
      </c>
      <c r="N1861">
        <v>15.97</v>
      </c>
      <c r="T1861" t="s">
        <v>52</v>
      </c>
      <c r="U1861">
        <v>1</v>
      </c>
      <c r="V1861">
        <v>3</v>
      </c>
    </row>
    <row r="1862" spans="1:22" x14ac:dyDescent="0.3">
      <c r="A1862">
        <v>1861</v>
      </c>
      <c r="B1862">
        <v>49316</v>
      </c>
      <c r="C1862" s="2">
        <v>34273</v>
      </c>
      <c r="D1862">
        <v>32</v>
      </c>
      <c r="E1862" t="s">
        <v>42</v>
      </c>
      <c r="F1862" t="s">
        <v>50</v>
      </c>
      <c r="G1862" s="2">
        <v>45223</v>
      </c>
      <c r="H1862" s="3">
        <f t="shared" si="29"/>
        <v>2.6958904109589041</v>
      </c>
      <c r="I1862">
        <v>43</v>
      </c>
      <c r="J1862" t="s">
        <v>38</v>
      </c>
      <c r="K1862" t="s">
        <v>55</v>
      </c>
      <c r="L1862" t="s">
        <v>44</v>
      </c>
      <c r="M1862">
        <v>17.309999999999999</v>
      </c>
      <c r="N1862">
        <v>17.16</v>
      </c>
      <c r="T1862" t="s">
        <v>47</v>
      </c>
      <c r="U1862">
        <v>4</v>
      </c>
      <c r="V1862">
        <v>7</v>
      </c>
    </row>
    <row r="1863" spans="1:22" x14ac:dyDescent="0.3">
      <c r="A1863">
        <v>1862</v>
      </c>
      <c r="B1863">
        <v>49318</v>
      </c>
      <c r="C1863" s="2">
        <v>37883</v>
      </c>
      <c r="D1863">
        <v>22</v>
      </c>
      <c r="E1863" t="s">
        <v>42</v>
      </c>
      <c r="F1863" t="s">
        <v>50</v>
      </c>
      <c r="G1863" s="2">
        <v>45038</v>
      </c>
      <c r="H1863" s="3">
        <f t="shared" si="29"/>
        <v>2.4356164383561643</v>
      </c>
      <c r="I1863">
        <v>44</v>
      </c>
      <c r="J1863" t="s">
        <v>38</v>
      </c>
      <c r="K1863" t="s">
        <v>65</v>
      </c>
      <c r="L1863" t="s">
        <v>44</v>
      </c>
      <c r="M1863">
        <v>10.38</v>
      </c>
      <c r="N1863">
        <v>10.38</v>
      </c>
      <c r="T1863" t="s">
        <v>49</v>
      </c>
      <c r="U1863">
        <v>1</v>
      </c>
      <c r="V1863">
        <v>6</v>
      </c>
    </row>
    <row r="1864" spans="1:22" x14ac:dyDescent="0.3">
      <c r="A1864">
        <v>1863</v>
      </c>
      <c r="B1864">
        <v>49321</v>
      </c>
      <c r="C1864" s="2">
        <v>38566</v>
      </c>
      <c r="D1864">
        <v>20</v>
      </c>
      <c r="E1864" t="s">
        <v>42</v>
      </c>
      <c r="F1864" t="s">
        <v>50</v>
      </c>
      <c r="G1864" s="2">
        <v>45133</v>
      </c>
      <c r="H1864" s="3">
        <f t="shared" si="29"/>
        <v>2.5726027397260274</v>
      </c>
      <c r="I1864">
        <v>47</v>
      </c>
      <c r="J1864" t="s">
        <v>38</v>
      </c>
      <c r="K1864" t="s">
        <v>46</v>
      </c>
      <c r="L1864" t="s">
        <v>44</v>
      </c>
      <c r="M1864">
        <v>14.18</v>
      </c>
      <c r="N1864">
        <v>13.88</v>
      </c>
      <c r="T1864" t="s">
        <v>49</v>
      </c>
      <c r="U1864">
        <v>0</v>
      </c>
      <c r="V1864">
        <v>5</v>
      </c>
    </row>
    <row r="1865" spans="1:22" x14ac:dyDescent="0.3">
      <c r="A1865">
        <v>1864</v>
      </c>
      <c r="B1865">
        <v>49324</v>
      </c>
      <c r="C1865" s="2">
        <v>35055</v>
      </c>
      <c r="D1865">
        <v>30</v>
      </c>
      <c r="E1865" t="s">
        <v>42</v>
      </c>
      <c r="F1865" t="s">
        <v>50</v>
      </c>
      <c r="G1865" s="2">
        <v>45083</v>
      </c>
      <c r="H1865" s="3">
        <f t="shared" si="29"/>
        <v>2.1643835616438358</v>
      </c>
      <c r="I1865">
        <v>48</v>
      </c>
      <c r="J1865" t="s">
        <v>38</v>
      </c>
      <c r="K1865" t="s">
        <v>55</v>
      </c>
      <c r="L1865" t="s">
        <v>44</v>
      </c>
      <c r="M1865">
        <v>17.309999999999999</v>
      </c>
      <c r="N1865">
        <v>17.16</v>
      </c>
      <c r="T1865" t="s">
        <v>47</v>
      </c>
      <c r="U1865">
        <v>4</v>
      </c>
      <c r="V1865">
        <v>7</v>
      </c>
    </row>
    <row r="1866" spans="1:22" x14ac:dyDescent="0.3">
      <c r="A1866">
        <v>1865</v>
      </c>
      <c r="B1866">
        <v>49336</v>
      </c>
      <c r="C1866" s="2">
        <v>35865</v>
      </c>
      <c r="D1866">
        <v>27</v>
      </c>
      <c r="E1866" t="s">
        <v>42</v>
      </c>
      <c r="F1866" t="s">
        <v>50</v>
      </c>
      <c r="G1866" s="2">
        <v>45232</v>
      </c>
      <c r="H1866" s="3">
        <f t="shared" si="29"/>
        <v>2.2410958904109588</v>
      </c>
      <c r="I1866">
        <v>57</v>
      </c>
      <c r="J1866" t="s">
        <v>38</v>
      </c>
      <c r="K1866" t="s">
        <v>68</v>
      </c>
      <c r="L1866" t="s">
        <v>44</v>
      </c>
      <c r="M1866">
        <v>16.68</v>
      </c>
      <c r="N1866">
        <v>16.579999999999998</v>
      </c>
      <c r="T1866" t="s">
        <v>47</v>
      </c>
      <c r="U1866">
        <v>1</v>
      </c>
      <c r="V1866">
        <v>7</v>
      </c>
    </row>
    <row r="1867" spans="1:22" x14ac:dyDescent="0.3">
      <c r="A1867">
        <v>1866</v>
      </c>
      <c r="B1867">
        <v>49339</v>
      </c>
      <c r="C1867" s="2">
        <v>37608</v>
      </c>
      <c r="D1867">
        <v>23</v>
      </c>
      <c r="E1867" t="s">
        <v>42</v>
      </c>
      <c r="F1867" t="s">
        <v>50</v>
      </c>
      <c r="G1867" s="2">
        <v>45204</v>
      </c>
      <c r="H1867" s="3">
        <f t="shared" si="29"/>
        <v>2.3671232876712329</v>
      </c>
      <c r="I1867">
        <v>57</v>
      </c>
      <c r="J1867" t="s">
        <v>38</v>
      </c>
      <c r="K1867" t="s">
        <v>55</v>
      </c>
      <c r="L1867" t="s">
        <v>44</v>
      </c>
      <c r="M1867">
        <v>17.309999999999999</v>
      </c>
      <c r="N1867">
        <v>17.16</v>
      </c>
      <c r="T1867" t="s">
        <v>47</v>
      </c>
      <c r="U1867">
        <v>0</v>
      </c>
      <c r="V1867">
        <v>6</v>
      </c>
    </row>
    <row r="1868" spans="1:22" x14ac:dyDescent="0.3">
      <c r="A1868">
        <v>1867</v>
      </c>
      <c r="B1868">
        <v>49344</v>
      </c>
      <c r="C1868" s="2">
        <v>36715</v>
      </c>
      <c r="D1868">
        <v>25</v>
      </c>
      <c r="E1868" t="s">
        <v>42</v>
      </c>
      <c r="F1868" t="s">
        <v>50</v>
      </c>
      <c r="G1868" s="2">
        <v>45158</v>
      </c>
      <c r="H1868" s="3">
        <f t="shared" si="29"/>
        <v>2.7726027397260276</v>
      </c>
      <c r="I1868">
        <v>61</v>
      </c>
      <c r="J1868" t="s">
        <v>38</v>
      </c>
      <c r="K1868" t="s">
        <v>56</v>
      </c>
      <c r="L1868" t="s">
        <v>44</v>
      </c>
      <c r="M1868">
        <v>8.5</v>
      </c>
      <c r="N1868">
        <v>8.26</v>
      </c>
      <c r="T1868" t="s">
        <v>47</v>
      </c>
      <c r="U1868">
        <v>2</v>
      </c>
      <c r="V1868">
        <v>6</v>
      </c>
    </row>
    <row r="1869" spans="1:22" x14ac:dyDescent="0.3">
      <c r="A1869">
        <v>1868</v>
      </c>
      <c r="B1869">
        <v>49345</v>
      </c>
      <c r="C1869" s="2">
        <v>38517</v>
      </c>
      <c r="D1869">
        <v>20</v>
      </c>
      <c r="E1869" t="s">
        <v>42</v>
      </c>
      <c r="F1869" t="s">
        <v>37</v>
      </c>
      <c r="G1869" s="2">
        <v>45010</v>
      </c>
      <c r="H1869" s="3">
        <f t="shared" si="29"/>
        <v>1.9369863013698629</v>
      </c>
      <c r="I1869">
        <v>68</v>
      </c>
      <c r="J1869" t="s">
        <v>57</v>
      </c>
      <c r="K1869" t="s">
        <v>64</v>
      </c>
      <c r="L1869" t="s">
        <v>44</v>
      </c>
      <c r="M1869">
        <v>14.1</v>
      </c>
      <c r="N1869">
        <v>13.73</v>
      </c>
      <c r="T1869" t="s">
        <v>52</v>
      </c>
      <c r="U1869">
        <v>1</v>
      </c>
      <c r="V1869">
        <v>5</v>
      </c>
    </row>
    <row r="1870" spans="1:22" x14ac:dyDescent="0.3">
      <c r="A1870">
        <v>1869</v>
      </c>
      <c r="B1870">
        <v>49348</v>
      </c>
      <c r="C1870" s="2">
        <v>37671</v>
      </c>
      <c r="D1870">
        <v>22</v>
      </c>
      <c r="E1870" t="s">
        <v>42</v>
      </c>
      <c r="F1870" t="s">
        <v>50</v>
      </c>
      <c r="G1870" s="2">
        <v>45315</v>
      </c>
      <c r="H1870" s="3">
        <f t="shared" si="29"/>
        <v>2.0136986301369864</v>
      </c>
      <c r="I1870">
        <v>69</v>
      </c>
      <c r="J1870" t="s">
        <v>57</v>
      </c>
      <c r="K1870" t="s">
        <v>56</v>
      </c>
      <c r="L1870" t="s">
        <v>44</v>
      </c>
      <c r="M1870">
        <v>8.3800000000000008</v>
      </c>
      <c r="T1870" t="s">
        <v>45</v>
      </c>
      <c r="U1870">
        <v>2</v>
      </c>
      <c r="V1870">
        <v>6</v>
      </c>
    </row>
    <row r="1871" spans="1:22" x14ac:dyDescent="0.3">
      <c r="A1871">
        <v>1870</v>
      </c>
      <c r="B1871">
        <v>49372</v>
      </c>
      <c r="C1871" s="2">
        <v>36381</v>
      </c>
      <c r="D1871">
        <v>26</v>
      </c>
      <c r="E1871" t="s">
        <v>42</v>
      </c>
      <c r="F1871" t="s">
        <v>50</v>
      </c>
      <c r="G1871" s="2">
        <v>45287</v>
      </c>
      <c r="H1871" s="3">
        <f t="shared" si="29"/>
        <v>2.2191780821917808</v>
      </c>
      <c r="I1871">
        <v>100</v>
      </c>
      <c r="J1871" t="s">
        <v>57</v>
      </c>
      <c r="K1871" t="s">
        <v>68</v>
      </c>
      <c r="L1871" t="s">
        <v>44</v>
      </c>
      <c r="M1871">
        <v>16.78</v>
      </c>
      <c r="N1871">
        <v>16.579999999999998</v>
      </c>
      <c r="T1871" t="s">
        <v>49</v>
      </c>
      <c r="U1871">
        <v>0</v>
      </c>
      <c r="V1871">
        <v>5</v>
      </c>
    </row>
    <row r="1872" spans="1:22" x14ac:dyDescent="0.3">
      <c r="A1872">
        <v>1871</v>
      </c>
      <c r="B1872">
        <v>49389</v>
      </c>
      <c r="C1872" s="2">
        <v>36868</v>
      </c>
      <c r="D1872">
        <v>25</v>
      </c>
      <c r="E1872" t="s">
        <v>36</v>
      </c>
      <c r="F1872" t="s">
        <v>37</v>
      </c>
      <c r="G1872" s="2">
        <v>45212</v>
      </c>
      <c r="H1872" s="3">
        <f t="shared" si="29"/>
        <v>2.484931506849315</v>
      </c>
      <c r="I1872">
        <v>121</v>
      </c>
      <c r="J1872" t="s">
        <v>57</v>
      </c>
      <c r="K1872" t="s">
        <v>54</v>
      </c>
      <c r="L1872" t="s">
        <v>44</v>
      </c>
      <c r="M1872">
        <v>23.5</v>
      </c>
      <c r="N1872">
        <v>23.2</v>
      </c>
      <c r="T1872" t="s">
        <v>49</v>
      </c>
      <c r="U1872">
        <v>6</v>
      </c>
      <c r="V1872">
        <v>5</v>
      </c>
    </row>
    <row r="1873" spans="1:22" x14ac:dyDescent="0.3">
      <c r="A1873">
        <v>1872</v>
      </c>
      <c r="B1873">
        <v>49391</v>
      </c>
      <c r="C1873" s="2">
        <v>38270</v>
      </c>
      <c r="D1873">
        <v>21</v>
      </c>
      <c r="E1873" t="s">
        <v>42</v>
      </c>
      <c r="F1873" t="s">
        <v>37</v>
      </c>
      <c r="G1873" s="2">
        <v>45115</v>
      </c>
      <c r="H1873" s="3">
        <f t="shared" si="29"/>
        <v>1.9616438356164383</v>
      </c>
      <c r="I1873">
        <v>122</v>
      </c>
      <c r="J1873" t="s">
        <v>57</v>
      </c>
      <c r="K1873" t="s">
        <v>48</v>
      </c>
      <c r="L1873" t="s">
        <v>44</v>
      </c>
      <c r="M1873">
        <v>8.5500000000000007</v>
      </c>
      <c r="N1873">
        <v>8.26</v>
      </c>
      <c r="T1873" t="s">
        <v>45</v>
      </c>
      <c r="U1873">
        <v>0</v>
      </c>
      <c r="V1873">
        <v>4</v>
      </c>
    </row>
    <row r="1874" spans="1:22" x14ac:dyDescent="0.3">
      <c r="A1874">
        <v>1873</v>
      </c>
      <c r="B1874">
        <v>49397</v>
      </c>
      <c r="C1874" s="2">
        <v>36966</v>
      </c>
      <c r="D1874">
        <v>24</v>
      </c>
      <c r="E1874" t="s">
        <v>36</v>
      </c>
      <c r="F1874" t="s">
        <v>50</v>
      </c>
      <c r="G1874" s="2">
        <v>45306</v>
      </c>
      <c r="H1874" s="3">
        <f t="shared" si="29"/>
        <v>1.9150684931506849</v>
      </c>
      <c r="I1874">
        <v>130</v>
      </c>
      <c r="J1874" t="s">
        <v>57</v>
      </c>
      <c r="K1874" t="s">
        <v>65</v>
      </c>
      <c r="L1874" t="s">
        <v>44</v>
      </c>
      <c r="M1874">
        <v>10.65</v>
      </c>
      <c r="T1874" t="s">
        <v>52</v>
      </c>
      <c r="U1874">
        <v>0</v>
      </c>
      <c r="V1874">
        <v>3</v>
      </c>
    </row>
    <row r="1875" spans="1:22" x14ac:dyDescent="0.3">
      <c r="A1875">
        <v>1874</v>
      </c>
      <c r="B1875">
        <v>49406</v>
      </c>
      <c r="C1875" s="2">
        <v>37874</v>
      </c>
      <c r="D1875">
        <v>22</v>
      </c>
      <c r="E1875" t="s">
        <v>42</v>
      </c>
      <c r="F1875" t="s">
        <v>50</v>
      </c>
      <c r="G1875" s="2">
        <v>45323</v>
      </c>
      <c r="H1875" s="3">
        <f t="shared" si="29"/>
        <v>2.7342465753424658</v>
      </c>
      <c r="I1875">
        <v>140</v>
      </c>
      <c r="J1875" t="s">
        <v>57</v>
      </c>
      <c r="K1875" t="s">
        <v>43</v>
      </c>
      <c r="L1875" t="s">
        <v>44</v>
      </c>
      <c r="M1875">
        <v>16.28</v>
      </c>
      <c r="T1875" t="s">
        <v>52</v>
      </c>
      <c r="U1875">
        <v>1</v>
      </c>
      <c r="V1875">
        <v>6</v>
      </c>
    </row>
    <row r="1876" spans="1:22" x14ac:dyDescent="0.3">
      <c r="A1876">
        <v>1875</v>
      </c>
      <c r="B1876">
        <v>49408</v>
      </c>
      <c r="C1876" s="2">
        <v>37430</v>
      </c>
      <c r="D1876">
        <v>23</v>
      </c>
      <c r="E1876" t="s">
        <v>42</v>
      </c>
      <c r="F1876" t="s">
        <v>50</v>
      </c>
      <c r="G1876" s="2">
        <v>45024</v>
      </c>
      <c r="H1876" s="3">
        <f t="shared" si="29"/>
        <v>2.1232876712328768</v>
      </c>
      <c r="I1876">
        <v>143</v>
      </c>
      <c r="J1876" t="s">
        <v>57</v>
      </c>
      <c r="K1876" t="s">
        <v>68</v>
      </c>
      <c r="L1876" t="s">
        <v>44</v>
      </c>
      <c r="M1876">
        <v>16.88</v>
      </c>
      <c r="N1876">
        <v>16.579999999999998</v>
      </c>
      <c r="T1876" t="s">
        <v>49</v>
      </c>
      <c r="U1876">
        <v>1</v>
      </c>
      <c r="V1876">
        <v>5</v>
      </c>
    </row>
    <row r="1877" spans="1:22" x14ac:dyDescent="0.3">
      <c r="A1877">
        <v>1876</v>
      </c>
      <c r="B1877">
        <v>49409</v>
      </c>
      <c r="C1877" s="2">
        <v>33801</v>
      </c>
      <c r="D1877">
        <v>33</v>
      </c>
      <c r="E1877" t="s">
        <v>36</v>
      </c>
      <c r="F1877" t="s">
        <v>50</v>
      </c>
      <c r="G1877" s="2">
        <v>45247</v>
      </c>
      <c r="H1877" s="3">
        <f t="shared" si="29"/>
        <v>2.0164383561643837</v>
      </c>
      <c r="I1877">
        <v>144</v>
      </c>
      <c r="J1877" t="s">
        <v>57</v>
      </c>
      <c r="K1877" t="s">
        <v>55</v>
      </c>
      <c r="L1877" t="s">
        <v>44</v>
      </c>
      <c r="M1877">
        <v>17.579999999999998</v>
      </c>
      <c r="N1877">
        <v>17.16</v>
      </c>
      <c r="T1877" t="s">
        <v>45</v>
      </c>
      <c r="U1877">
        <v>1</v>
      </c>
      <c r="V1877">
        <v>5</v>
      </c>
    </row>
    <row r="1878" spans="1:22" x14ac:dyDescent="0.3">
      <c r="A1878">
        <v>1877</v>
      </c>
      <c r="B1878">
        <v>49436</v>
      </c>
      <c r="C1878" s="2">
        <v>37034</v>
      </c>
      <c r="D1878">
        <v>24</v>
      </c>
      <c r="E1878" t="s">
        <v>42</v>
      </c>
      <c r="F1878" t="s">
        <v>50</v>
      </c>
      <c r="G1878" s="2">
        <v>45286</v>
      </c>
      <c r="H1878" s="3">
        <f t="shared" si="29"/>
        <v>1.9095890410958904</v>
      </c>
      <c r="I1878">
        <v>51</v>
      </c>
      <c r="J1878" t="s">
        <v>38</v>
      </c>
      <c r="K1878" t="s">
        <v>46</v>
      </c>
      <c r="L1878" t="s">
        <v>44</v>
      </c>
      <c r="M1878">
        <v>14.18</v>
      </c>
      <c r="N1878">
        <v>13.88</v>
      </c>
      <c r="T1878" t="s">
        <v>47</v>
      </c>
      <c r="U1878">
        <v>1</v>
      </c>
      <c r="V1878">
        <v>6</v>
      </c>
    </row>
    <row r="1879" spans="1:22" x14ac:dyDescent="0.3">
      <c r="A1879">
        <v>1878</v>
      </c>
      <c r="B1879">
        <v>49452</v>
      </c>
      <c r="C1879" s="2">
        <v>37997</v>
      </c>
      <c r="D1879">
        <v>21</v>
      </c>
      <c r="E1879" t="s">
        <v>42</v>
      </c>
      <c r="F1879" t="s">
        <v>50</v>
      </c>
      <c r="G1879" s="2">
        <v>45325</v>
      </c>
      <c r="H1879" s="3">
        <f t="shared" si="29"/>
        <v>2.4876712328767123</v>
      </c>
      <c r="I1879">
        <v>89</v>
      </c>
      <c r="J1879" t="s">
        <v>57</v>
      </c>
      <c r="K1879" t="s">
        <v>56</v>
      </c>
      <c r="L1879" t="s">
        <v>44</v>
      </c>
      <c r="M1879">
        <v>8.4600000000000009</v>
      </c>
      <c r="T1879" t="s">
        <v>47</v>
      </c>
      <c r="U1879">
        <v>1</v>
      </c>
      <c r="V1879">
        <v>5</v>
      </c>
    </row>
    <row r="1880" spans="1:22" x14ac:dyDescent="0.3">
      <c r="A1880">
        <v>1879</v>
      </c>
      <c r="B1880">
        <v>49454</v>
      </c>
      <c r="C1880" s="2">
        <v>36096</v>
      </c>
      <c r="D1880">
        <v>27</v>
      </c>
      <c r="E1880" t="s">
        <v>42</v>
      </c>
      <c r="F1880" t="s">
        <v>50</v>
      </c>
      <c r="G1880" s="2">
        <v>45114</v>
      </c>
      <c r="H1880" s="3">
        <f t="shared" si="29"/>
        <v>2.1698630136986301</v>
      </c>
      <c r="I1880">
        <v>96</v>
      </c>
      <c r="J1880" t="s">
        <v>57</v>
      </c>
      <c r="K1880" t="s">
        <v>55</v>
      </c>
      <c r="L1880" t="s">
        <v>44</v>
      </c>
      <c r="M1880">
        <v>17.57</v>
      </c>
      <c r="N1880">
        <v>17.16</v>
      </c>
      <c r="T1880" t="s">
        <v>47</v>
      </c>
      <c r="U1880">
        <v>3</v>
      </c>
      <c r="V1880">
        <v>6</v>
      </c>
    </row>
    <row r="1881" spans="1:22" x14ac:dyDescent="0.3">
      <c r="A1881">
        <v>1880</v>
      </c>
      <c r="B1881">
        <v>49459</v>
      </c>
      <c r="C1881" s="2">
        <v>38027</v>
      </c>
      <c r="D1881">
        <v>21</v>
      </c>
      <c r="E1881" t="s">
        <v>42</v>
      </c>
      <c r="F1881" t="s">
        <v>37</v>
      </c>
      <c r="G1881" s="2">
        <v>45230</v>
      </c>
      <c r="H1881" s="3">
        <f t="shared" si="29"/>
        <v>2.8246575342465752</v>
      </c>
      <c r="I1881">
        <v>104</v>
      </c>
      <c r="J1881" t="s">
        <v>57</v>
      </c>
      <c r="K1881" t="s">
        <v>48</v>
      </c>
      <c r="L1881" t="s">
        <v>44</v>
      </c>
      <c r="M1881">
        <v>8.5399999999999991</v>
      </c>
      <c r="N1881">
        <v>8.26</v>
      </c>
      <c r="T1881" t="s">
        <v>47</v>
      </c>
      <c r="U1881">
        <v>4</v>
      </c>
      <c r="V1881">
        <v>7</v>
      </c>
    </row>
    <row r="1882" spans="1:22" x14ac:dyDescent="0.3">
      <c r="A1882">
        <v>1881</v>
      </c>
      <c r="B1882">
        <v>49462</v>
      </c>
      <c r="C1882" s="2">
        <v>35606</v>
      </c>
      <c r="D1882">
        <v>28</v>
      </c>
      <c r="E1882" t="s">
        <v>42</v>
      </c>
      <c r="F1882" t="s">
        <v>50</v>
      </c>
      <c r="G1882" s="2">
        <v>44991</v>
      </c>
      <c r="H1882" s="3">
        <f t="shared" si="29"/>
        <v>2.6547945205479451</v>
      </c>
      <c r="I1882">
        <v>117</v>
      </c>
      <c r="J1882" t="s">
        <v>57</v>
      </c>
      <c r="K1882" t="s">
        <v>55</v>
      </c>
      <c r="L1882" t="s">
        <v>44</v>
      </c>
      <c r="M1882">
        <v>17.600000000000001</v>
      </c>
      <c r="N1882">
        <v>17.16</v>
      </c>
      <c r="T1882" t="s">
        <v>52</v>
      </c>
      <c r="U1882">
        <v>2</v>
      </c>
      <c r="V1882">
        <v>6</v>
      </c>
    </row>
    <row r="1883" spans="1:22" x14ac:dyDescent="0.3">
      <c r="A1883">
        <v>1882</v>
      </c>
      <c r="B1883">
        <v>49464</v>
      </c>
      <c r="C1883" s="2">
        <v>36702</v>
      </c>
      <c r="D1883">
        <v>25</v>
      </c>
      <c r="E1883" t="s">
        <v>36</v>
      </c>
      <c r="F1883" t="s">
        <v>50</v>
      </c>
      <c r="G1883" s="2">
        <v>45053</v>
      </c>
      <c r="H1883" s="3">
        <f t="shared" si="29"/>
        <v>2.7369863013698632</v>
      </c>
      <c r="I1883">
        <v>131</v>
      </c>
      <c r="J1883" t="s">
        <v>57</v>
      </c>
      <c r="K1883" t="s">
        <v>46</v>
      </c>
      <c r="L1883" t="s">
        <v>44</v>
      </c>
      <c r="M1883">
        <v>14.18</v>
      </c>
      <c r="N1883">
        <v>13.88</v>
      </c>
      <c r="T1883" t="s">
        <v>52</v>
      </c>
      <c r="U1883">
        <v>0</v>
      </c>
      <c r="V1883">
        <v>3</v>
      </c>
    </row>
    <row r="1884" spans="1:22" x14ac:dyDescent="0.3">
      <c r="A1884">
        <v>1883</v>
      </c>
      <c r="B1884">
        <v>49466</v>
      </c>
      <c r="C1884" s="2">
        <v>37188</v>
      </c>
      <c r="D1884">
        <v>24</v>
      </c>
      <c r="E1884" t="s">
        <v>42</v>
      </c>
      <c r="F1884" t="s">
        <v>50</v>
      </c>
      <c r="G1884" s="2">
        <v>45023</v>
      </c>
      <c r="H1884" s="3">
        <f t="shared" si="29"/>
        <v>2.3479452054794518</v>
      </c>
      <c r="I1884">
        <v>136</v>
      </c>
      <c r="J1884" t="s">
        <v>57</v>
      </c>
      <c r="K1884" t="s">
        <v>43</v>
      </c>
      <c r="L1884" t="s">
        <v>44</v>
      </c>
      <c r="M1884">
        <v>16.309999999999999</v>
      </c>
      <c r="N1884">
        <v>15.97</v>
      </c>
      <c r="T1884" t="s">
        <v>45</v>
      </c>
      <c r="U1884">
        <v>2</v>
      </c>
      <c r="V1884">
        <v>6</v>
      </c>
    </row>
    <row r="1885" spans="1:22" x14ac:dyDescent="0.3">
      <c r="A1885">
        <v>1884</v>
      </c>
      <c r="B1885">
        <v>49473</v>
      </c>
      <c r="C1885" s="2">
        <v>36576</v>
      </c>
      <c r="D1885">
        <v>25</v>
      </c>
      <c r="E1885" t="s">
        <v>42</v>
      </c>
      <c r="F1885" t="s">
        <v>50</v>
      </c>
      <c r="G1885" s="2">
        <v>45165</v>
      </c>
      <c r="H1885" s="3">
        <f t="shared" si="29"/>
        <v>2.1945205479452055</v>
      </c>
      <c r="I1885">
        <v>143</v>
      </c>
      <c r="J1885" t="s">
        <v>57</v>
      </c>
      <c r="K1885" t="s">
        <v>56</v>
      </c>
      <c r="L1885" t="s">
        <v>44</v>
      </c>
      <c r="M1885">
        <v>8.48</v>
      </c>
      <c r="N1885">
        <v>8.26</v>
      </c>
      <c r="T1885" t="s">
        <v>47</v>
      </c>
      <c r="U1885">
        <v>1</v>
      </c>
      <c r="V1885">
        <v>5</v>
      </c>
    </row>
    <row r="1886" spans="1:22" x14ac:dyDescent="0.3">
      <c r="A1886">
        <v>1885</v>
      </c>
      <c r="B1886">
        <v>49495</v>
      </c>
      <c r="C1886" s="2">
        <v>37531</v>
      </c>
      <c r="D1886">
        <v>23</v>
      </c>
      <c r="E1886" t="s">
        <v>36</v>
      </c>
      <c r="F1886" t="s">
        <v>50</v>
      </c>
      <c r="G1886" s="2">
        <v>45221</v>
      </c>
      <c r="H1886" s="3">
        <f t="shared" si="29"/>
        <v>2.1342465753424658</v>
      </c>
      <c r="I1886">
        <v>17</v>
      </c>
      <c r="J1886" t="s">
        <v>38</v>
      </c>
      <c r="K1886" t="s">
        <v>55</v>
      </c>
      <c r="L1886" t="s">
        <v>44</v>
      </c>
      <c r="M1886">
        <v>17.46</v>
      </c>
      <c r="N1886">
        <v>17.16</v>
      </c>
      <c r="T1886" t="s">
        <v>49</v>
      </c>
      <c r="U1886">
        <v>2</v>
      </c>
      <c r="V1886">
        <v>6</v>
      </c>
    </row>
    <row r="1887" spans="1:22" x14ac:dyDescent="0.3">
      <c r="A1887">
        <v>1886</v>
      </c>
      <c r="B1887">
        <v>49499</v>
      </c>
      <c r="C1887" s="2">
        <v>38056</v>
      </c>
      <c r="D1887">
        <v>21</v>
      </c>
      <c r="E1887" t="s">
        <v>36</v>
      </c>
      <c r="F1887" t="s">
        <v>50</v>
      </c>
      <c r="G1887" s="2">
        <v>45243</v>
      </c>
      <c r="H1887" s="3">
        <f t="shared" si="29"/>
        <v>2.7835616438356166</v>
      </c>
      <c r="I1887">
        <v>21</v>
      </c>
      <c r="J1887" t="s">
        <v>38</v>
      </c>
      <c r="K1887" t="s">
        <v>65</v>
      </c>
      <c r="L1887" t="s">
        <v>44</v>
      </c>
      <c r="M1887">
        <v>10.58</v>
      </c>
      <c r="N1887">
        <v>10.38</v>
      </c>
      <c r="T1887" t="s">
        <v>49</v>
      </c>
      <c r="U1887">
        <v>1</v>
      </c>
      <c r="V1887">
        <v>4</v>
      </c>
    </row>
    <row r="1888" spans="1:22" x14ac:dyDescent="0.3">
      <c r="A1888">
        <v>1887</v>
      </c>
      <c r="B1888">
        <v>49508</v>
      </c>
      <c r="C1888" s="2">
        <v>34911</v>
      </c>
      <c r="D1888">
        <v>30</v>
      </c>
      <c r="E1888" t="s">
        <v>42</v>
      </c>
      <c r="F1888" t="s">
        <v>37</v>
      </c>
      <c r="G1888" s="2">
        <v>45006</v>
      </c>
      <c r="H1888" s="3">
        <f t="shared" si="29"/>
        <v>2.3534246575342466</v>
      </c>
      <c r="I1888">
        <v>32</v>
      </c>
      <c r="J1888" t="s">
        <v>38</v>
      </c>
      <c r="K1888" t="s">
        <v>56</v>
      </c>
      <c r="L1888" t="s">
        <v>44</v>
      </c>
      <c r="M1888">
        <v>8.4600000000000009</v>
      </c>
      <c r="N1888">
        <v>8.26</v>
      </c>
      <c r="T1888" t="s">
        <v>47</v>
      </c>
      <c r="U1888">
        <v>3</v>
      </c>
      <c r="V1888">
        <v>4</v>
      </c>
    </row>
    <row r="1889" spans="1:22" x14ac:dyDescent="0.3">
      <c r="A1889">
        <v>1888</v>
      </c>
      <c r="B1889">
        <v>49519</v>
      </c>
      <c r="C1889" s="2">
        <v>34960</v>
      </c>
      <c r="D1889">
        <v>30</v>
      </c>
      <c r="E1889" t="s">
        <v>36</v>
      </c>
      <c r="F1889" t="s">
        <v>50</v>
      </c>
      <c r="G1889" s="2">
        <v>45163</v>
      </c>
      <c r="H1889" s="3">
        <f t="shared" si="29"/>
        <v>2.6986301369863015</v>
      </c>
      <c r="I1889">
        <v>46</v>
      </c>
      <c r="J1889" t="s">
        <v>38</v>
      </c>
      <c r="K1889" t="s">
        <v>55</v>
      </c>
      <c r="L1889" t="s">
        <v>44</v>
      </c>
      <c r="M1889">
        <v>17.57</v>
      </c>
      <c r="N1889">
        <v>17.16</v>
      </c>
      <c r="T1889" t="s">
        <v>52</v>
      </c>
      <c r="U1889">
        <v>1</v>
      </c>
      <c r="V1889">
        <v>5</v>
      </c>
    </row>
    <row r="1890" spans="1:22" x14ac:dyDescent="0.3">
      <c r="A1890">
        <v>1889</v>
      </c>
      <c r="B1890">
        <v>49535</v>
      </c>
      <c r="C1890" s="2">
        <v>33102</v>
      </c>
      <c r="D1890">
        <v>35</v>
      </c>
      <c r="E1890" t="s">
        <v>36</v>
      </c>
      <c r="F1890" t="s">
        <v>50</v>
      </c>
      <c r="G1890" s="2">
        <v>45037</v>
      </c>
      <c r="H1890" s="3">
        <f t="shared" si="29"/>
        <v>1.8876712328767122</v>
      </c>
      <c r="I1890">
        <v>60</v>
      </c>
      <c r="J1890" t="s">
        <v>38</v>
      </c>
      <c r="K1890" t="s">
        <v>54</v>
      </c>
      <c r="L1890" t="s">
        <v>44</v>
      </c>
      <c r="M1890">
        <v>23.2</v>
      </c>
      <c r="N1890">
        <v>23.2</v>
      </c>
      <c r="T1890" t="s">
        <v>49</v>
      </c>
      <c r="U1890">
        <v>7</v>
      </c>
      <c r="V1890">
        <v>7</v>
      </c>
    </row>
    <row r="1891" spans="1:22" x14ac:dyDescent="0.3">
      <c r="A1891">
        <v>1890</v>
      </c>
      <c r="B1891">
        <v>49542</v>
      </c>
      <c r="C1891" s="2">
        <v>37242</v>
      </c>
      <c r="D1891">
        <v>24</v>
      </c>
      <c r="E1891" t="s">
        <v>42</v>
      </c>
      <c r="F1891" t="s">
        <v>50</v>
      </c>
      <c r="G1891" s="2">
        <v>45333</v>
      </c>
      <c r="H1891" s="3">
        <f t="shared" si="29"/>
        <v>2.7753424657534245</v>
      </c>
      <c r="I1891">
        <v>67</v>
      </c>
      <c r="J1891" t="s">
        <v>57</v>
      </c>
      <c r="K1891" t="s">
        <v>56</v>
      </c>
      <c r="L1891" t="s">
        <v>44</v>
      </c>
      <c r="M1891">
        <v>8.5</v>
      </c>
      <c r="T1891" t="s">
        <v>47</v>
      </c>
      <c r="U1891">
        <v>4</v>
      </c>
      <c r="V1891">
        <v>6</v>
      </c>
    </row>
    <row r="1892" spans="1:22" x14ac:dyDescent="0.3">
      <c r="A1892">
        <v>1891</v>
      </c>
      <c r="B1892">
        <v>49546</v>
      </c>
      <c r="C1892" s="2">
        <v>38677</v>
      </c>
      <c r="D1892">
        <v>20</v>
      </c>
      <c r="E1892" t="s">
        <v>36</v>
      </c>
      <c r="F1892" t="s">
        <v>37</v>
      </c>
      <c r="G1892" s="2">
        <v>45009</v>
      </c>
      <c r="H1892" s="3">
        <f t="shared" si="29"/>
        <v>2.4986301369863013</v>
      </c>
      <c r="I1892">
        <v>68</v>
      </c>
      <c r="J1892" t="s">
        <v>57</v>
      </c>
      <c r="K1892" t="s">
        <v>56</v>
      </c>
      <c r="L1892" t="s">
        <v>44</v>
      </c>
      <c r="M1892">
        <v>8.5399999999999991</v>
      </c>
      <c r="N1892">
        <v>8.26</v>
      </c>
      <c r="T1892" t="s">
        <v>52</v>
      </c>
      <c r="U1892">
        <v>3</v>
      </c>
      <c r="V1892">
        <v>3</v>
      </c>
    </row>
    <row r="1893" spans="1:22" x14ac:dyDescent="0.3">
      <c r="A1893">
        <v>1892</v>
      </c>
      <c r="B1893">
        <v>49553</v>
      </c>
      <c r="C1893" s="2">
        <v>36364</v>
      </c>
      <c r="D1893">
        <v>26</v>
      </c>
      <c r="E1893" t="s">
        <v>42</v>
      </c>
      <c r="F1893" t="s">
        <v>37</v>
      </c>
      <c r="G1893" s="2">
        <v>45110</v>
      </c>
      <c r="H1893" s="3">
        <f t="shared" si="29"/>
        <v>2.5397260273972604</v>
      </c>
      <c r="I1893">
        <v>78</v>
      </c>
      <c r="J1893" t="s">
        <v>57</v>
      </c>
      <c r="K1893" t="s">
        <v>56</v>
      </c>
      <c r="L1893" t="s">
        <v>44</v>
      </c>
      <c r="M1893">
        <v>8.26</v>
      </c>
      <c r="N1893">
        <v>8.26</v>
      </c>
      <c r="T1893" t="s">
        <v>45</v>
      </c>
      <c r="U1893">
        <v>2</v>
      </c>
      <c r="V1893">
        <v>5</v>
      </c>
    </row>
    <row r="1894" spans="1:22" x14ac:dyDescent="0.3">
      <c r="A1894">
        <v>1893</v>
      </c>
      <c r="B1894">
        <v>49561</v>
      </c>
      <c r="C1894" s="2">
        <v>37566</v>
      </c>
      <c r="D1894">
        <v>23</v>
      </c>
      <c r="E1894" t="s">
        <v>42</v>
      </c>
      <c r="F1894" t="s">
        <v>50</v>
      </c>
      <c r="G1894" s="2">
        <v>45095</v>
      </c>
      <c r="H1894" s="3">
        <f t="shared" si="29"/>
        <v>2.4383561643835616</v>
      </c>
      <c r="I1894">
        <v>87</v>
      </c>
      <c r="J1894" t="s">
        <v>57</v>
      </c>
      <c r="K1894" t="s">
        <v>65</v>
      </c>
      <c r="L1894" t="s">
        <v>44</v>
      </c>
      <c r="M1894">
        <v>10.38</v>
      </c>
      <c r="N1894">
        <v>10.38</v>
      </c>
      <c r="T1894" t="s">
        <v>45</v>
      </c>
      <c r="U1894">
        <v>0</v>
      </c>
      <c r="V1894">
        <v>4</v>
      </c>
    </row>
    <row r="1895" spans="1:22" x14ac:dyDescent="0.3">
      <c r="A1895">
        <v>1894</v>
      </c>
      <c r="B1895">
        <v>49563</v>
      </c>
      <c r="C1895" s="2">
        <v>33359</v>
      </c>
      <c r="D1895">
        <v>35</v>
      </c>
      <c r="E1895" t="s">
        <v>36</v>
      </c>
      <c r="F1895" t="s">
        <v>50</v>
      </c>
      <c r="G1895" s="2">
        <v>45132</v>
      </c>
      <c r="H1895" s="3">
        <f t="shared" si="29"/>
        <v>2.2054794520547945</v>
      </c>
      <c r="I1895">
        <v>89</v>
      </c>
      <c r="J1895" t="s">
        <v>57</v>
      </c>
      <c r="K1895" t="s">
        <v>68</v>
      </c>
      <c r="L1895" t="s">
        <v>44</v>
      </c>
      <c r="M1895">
        <v>16.78</v>
      </c>
      <c r="N1895">
        <v>16.579999999999998</v>
      </c>
      <c r="T1895" t="s">
        <v>47</v>
      </c>
      <c r="U1895">
        <v>1</v>
      </c>
      <c r="V1895">
        <v>4</v>
      </c>
    </row>
    <row r="1896" spans="1:22" x14ac:dyDescent="0.3">
      <c r="A1896">
        <v>1895</v>
      </c>
      <c r="B1896">
        <v>49573</v>
      </c>
      <c r="C1896" s="2">
        <v>37873</v>
      </c>
      <c r="D1896">
        <v>22</v>
      </c>
      <c r="E1896" t="s">
        <v>42</v>
      </c>
      <c r="F1896" t="s">
        <v>37</v>
      </c>
      <c r="G1896" s="2">
        <v>45217</v>
      </c>
      <c r="H1896" s="3">
        <f t="shared" si="29"/>
        <v>2.1424657534246574</v>
      </c>
      <c r="I1896">
        <v>97</v>
      </c>
      <c r="J1896" t="s">
        <v>57</v>
      </c>
      <c r="K1896" t="s">
        <v>56</v>
      </c>
      <c r="L1896" t="s">
        <v>44</v>
      </c>
      <c r="M1896">
        <v>8.5399999999999991</v>
      </c>
      <c r="N1896">
        <v>8.26</v>
      </c>
      <c r="T1896" t="s">
        <v>45</v>
      </c>
      <c r="U1896">
        <v>2</v>
      </c>
      <c r="V1896">
        <v>7</v>
      </c>
    </row>
    <row r="1897" spans="1:22" x14ac:dyDescent="0.3">
      <c r="A1897">
        <v>1896</v>
      </c>
      <c r="B1897">
        <v>49577</v>
      </c>
      <c r="C1897" s="2">
        <v>37124</v>
      </c>
      <c r="D1897">
        <v>24</v>
      </c>
      <c r="E1897" t="s">
        <v>36</v>
      </c>
      <c r="F1897" t="s">
        <v>50</v>
      </c>
      <c r="G1897" s="2">
        <v>45240</v>
      </c>
      <c r="H1897" s="3">
        <f t="shared" si="29"/>
        <v>2.1780821917808217</v>
      </c>
      <c r="I1897">
        <v>100</v>
      </c>
      <c r="J1897" t="s">
        <v>57</v>
      </c>
      <c r="K1897" t="s">
        <v>68</v>
      </c>
      <c r="L1897" t="s">
        <v>44</v>
      </c>
      <c r="M1897">
        <v>16.78</v>
      </c>
      <c r="N1897">
        <v>16.579999999999998</v>
      </c>
      <c r="T1897" t="s">
        <v>52</v>
      </c>
      <c r="U1897">
        <v>4</v>
      </c>
      <c r="V1897">
        <v>5</v>
      </c>
    </row>
    <row r="1898" spans="1:22" x14ac:dyDescent="0.3">
      <c r="A1898">
        <v>1897</v>
      </c>
      <c r="B1898">
        <v>49582</v>
      </c>
      <c r="C1898" s="2">
        <v>36623</v>
      </c>
      <c r="D1898">
        <v>25</v>
      </c>
      <c r="E1898" t="s">
        <v>42</v>
      </c>
      <c r="F1898" t="s">
        <v>50</v>
      </c>
      <c r="G1898" s="2">
        <v>45227</v>
      </c>
      <c r="H1898" s="3">
        <f t="shared" si="29"/>
        <v>1.8958904109589041</v>
      </c>
      <c r="I1898">
        <v>102</v>
      </c>
      <c r="J1898" t="s">
        <v>57</v>
      </c>
      <c r="K1898" t="s">
        <v>68</v>
      </c>
      <c r="L1898" t="s">
        <v>44</v>
      </c>
      <c r="M1898">
        <v>16.78</v>
      </c>
      <c r="N1898">
        <v>16.579999999999998</v>
      </c>
      <c r="T1898" t="s">
        <v>52</v>
      </c>
      <c r="U1898">
        <v>2</v>
      </c>
      <c r="V1898">
        <v>6</v>
      </c>
    </row>
    <row r="1899" spans="1:22" x14ac:dyDescent="0.3">
      <c r="A1899">
        <v>1898</v>
      </c>
      <c r="B1899">
        <v>49604</v>
      </c>
      <c r="C1899" s="2">
        <v>38657</v>
      </c>
      <c r="D1899">
        <v>21</v>
      </c>
      <c r="E1899" t="s">
        <v>42</v>
      </c>
      <c r="F1899" t="s">
        <v>50</v>
      </c>
      <c r="G1899" s="2">
        <v>45330</v>
      </c>
      <c r="H1899" s="3">
        <f t="shared" si="29"/>
        <v>1.9424657534246574</v>
      </c>
      <c r="I1899">
        <v>122</v>
      </c>
      <c r="J1899" t="s">
        <v>57</v>
      </c>
      <c r="K1899" t="s">
        <v>56</v>
      </c>
      <c r="L1899" t="s">
        <v>44</v>
      </c>
      <c r="M1899">
        <v>8.44</v>
      </c>
      <c r="T1899" t="s">
        <v>47</v>
      </c>
      <c r="U1899">
        <v>2</v>
      </c>
      <c r="V1899">
        <v>6</v>
      </c>
    </row>
    <row r="1900" spans="1:22" x14ac:dyDescent="0.3">
      <c r="A1900">
        <v>1899</v>
      </c>
      <c r="B1900">
        <v>49620</v>
      </c>
      <c r="C1900" s="2">
        <v>36840</v>
      </c>
      <c r="D1900">
        <v>25</v>
      </c>
      <c r="E1900" t="s">
        <v>36</v>
      </c>
      <c r="F1900" t="s">
        <v>37</v>
      </c>
      <c r="G1900" s="2">
        <v>45313</v>
      </c>
      <c r="H1900" s="3">
        <f t="shared" si="29"/>
        <v>2.1972602739726028</v>
      </c>
      <c r="I1900">
        <v>142</v>
      </c>
      <c r="J1900" t="s">
        <v>57</v>
      </c>
      <c r="K1900" t="s">
        <v>43</v>
      </c>
      <c r="L1900" t="s">
        <v>44</v>
      </c>
      <c r="M1900">
        <v>16.12</v>
      </c>
      <c r="T1900" t="s">
        <v>52</v>
      </c>
      <c r="U1900">
        <v>2</v>
      </c>
      <c r="V1900">
        <v>4</v>
      </c>
    </row>
    <row r="1901" spans="1:22" x14ac:dyDescent="0.3">
      <c r="A1901">
        <v>1900</v>
      </c>
      <c r="B1901">
        <v>49622</v>
      </c>
      <c r="C1901" s="2">
        <v>35952</v>
      </c>
      <c r="D1901">
        <v>27</v>
      </c>
      <c r="E1901" t="s">
        <v>42</v>
      </c>
      <c r="F1901" t="s">
        <v>50</v>
      </c>
      <c r="G1901" s="2">
        <v>45220</v>
      </c>
      <c r="H1901" s="3">
        <f t="shared" si="29"/>
        <v>2.1780821917808217</v>
      </c>
      <c r="I1901">
        <v>143</v>
      </c>
      <c r="J1901" t="s">
        <v>57</v>
      </c>
      <c r="K1901" t="s">
        <v>56</v>
      </c>
      <c r="L1901" t="s">
        <v>44</v>
      </c>
      <c r="M1901">
        <v>8.5500000000000007</v>
      </c>
      <c r="N1901">
        <v>8.26</v>
      </c>
      <c r="T1901" t="s">
        <v>49</v>
      </c>
      <c r="U1901">
        <v>0</v>
      </c>
      <c r="V1901">
        <v>6</v>
      </c>
    </row>
    <row r="1902" spans="1:22" x14ac:dyDescent="0.3">
      <c r="A1902">
        <v>1901</v>
      </c>
      <c r="B1902">
        <v>49632</v>
      </c>
      <c r="C1902" s="2">
        <v>37136</v>
      </c>
      <c r="D1902">
        <v>24</v>
      </c>
      <c r="E1902" t="s">
        <v>42</v>
      </c>
      <c r="F1902" t="s">
        <v>50</v>
      </c>
      <c r="G1902" s="2">
        <v>45227</v>
      </c>
      <c r="H1902" s="3">
        <f t="shared" si="29"/>
        <v>2.4712328767123286</v>
      </c>
      <c r="I1902">
        <v>7</v>
      </c>
      <c r="J1902" t="s">
        <v>38</v>
      </c>
      <c r="K1902" t="s">
        <v>56</v>
      </c>
      <c r="L1902" t="s">
        <v>44</v>
      </c>
      <c r="M1902">
        <v>8.36</v>
      </c>
      <c r="N1902">
        <v>8.26</v>
      </c>
      <c r="T1902" t="s">
        <v>47</v>
      </c>
      <c r="U1902">
        <v>0</v>
      </c>
      <c r="V1902">
        <v>5</v>
      </c>
    </row>
    <row r="1903" spans="1:22" x14ac:dyDescent="0.3">
      <c r="A1903">
        <v>1902</v>
      </c>
      <c r="B1903">
        <v>49642</v>
      </c>
      <c r="C1903" s="2">
        <v>37326</v>
      </c>
      <c r="D1903">
        <v>23</v>
      </c>
      <c r="E1903" t="s">
        <v>42</v>
      </c>
      <c r="F1903" t="s">
        <v>50</v>
      </c>
      <c r="G1903" s="2">
        <v>45120</v>
      </c>
      <c r="H1903" s="3">
        <f t="shared" si="29"/>
        <v>1.904109589041096</v>
      </c>
      <c r="I1903">
        <v>16</v>
      </c>
      <c r="J1903" t="s">
        <v>38</v>
      </c>
      <c r="K1903" t="s">
        <v>56</v>
      </c>
      <c r="L1903" t="s">
        <v>44</v>
      </c>
      <c r="M1903">
        <v>8.4600000000000009</v>
      </c>
      <c r="N1903">
        <v>8.26</v>
      </c>
      <c r="T1903" t="s">
        <v>47</v>
      </c>
      <c r="U1903">
        <v>2</v>
      </c>
      <c r="V1903">
        <v>7</v>
      </c>
    </row>
    <row r="1904" spans="1:22" x14ac:dyDescent="0.3">
      <c r="A1904">
        <v>1903</v>
      </c>
      <c r="B1904">
        <v>49650</v>
      </c>
      <c r="C1904" s="2">
        <v>34872</v>
      </c>
      <c r="D1904">
        <v>30</v>
      </c>
      <c r="E1904" t="s">
        <v>42</v>
      </c>
      <c r="F1904" t="s">
        <v>50</v>
      </c>
      <c r="G1904" s="2">
        <v>45327</v>
      </c>
      <c r="H1904" s="3">
        <f t="shared" si="29"/>
        <v>2.010958904109589</v>
      </c>
      <c r="I1904">
        <v>20</v>
      </c>
      <c r="J1904" t="s">
        <v>38</v>
      </c>
      <c r="K1904" t="s">
        <v>65</v>
      </c>
      <c r="L1904" t="s">
        <v>44</v>
      </c>
      <c r="M1904">
        <v>10.49</v>
      </c>
      <c r="T1904" t="s">
        <v>45</v>
      </c>
      <c r="U1904">
        <v>1</v>
      </c>
      <c r="V1904">
        <v>6</v>
      </c>
    </row>
    <row r="1905" spans="1:22" x14ac:dyDescent="0.3">
      <c r="A1905">
        <v>1904</v>
      </c>
      <c r="B1905">
        <v>49677</v>
      </c>
      <c r="C1905" s="2">
        <v>35705</v>
      </c>
      <c r="D1905">
        <v>28</v>
      </c>
      <c r="E1905" t="s">
        <v>36</v>
      </c>
      <c r="F1905" t="s">
        <v>50</v>
      </c>
      <c r="G1905" s="2">
        <v>45288</v>
      </c>
      <c r="H1905" s="3">
        <f t="shared" si="29"/>
        <v>1.9643835616438357</v>
      </c>
      <c r="I1905">
        <v>31</v>
      </c>
      <c r="J1905" t="s">
        <v>38</v>
      </c>
      <c r="K1905" t="s">
        <v>55</v>
      </c>
      <c r="L1905" t="s">
        <v>44</v>
      </c>
      <c r="M1905">
        <v>17.309999999999999</v>
      </c>
      <c r="N1905">
        <v>17.16</v>
      </c>
      <c r="T1905" t="s">
        <v>49</v>
      </c>
      <c r="U1905">
        <v>1</v>
      </c>
      <c r="V1905">
        <v>5</v>
      </c>
    </row>
    <row r="1906" spans="1:22" x14ac:dyDescent="0.3">
      <c r="A1906">
        <v>1905</v>
      </c>
      <c r="B1906">
        <v>49683</v>
      </c>
      <c r="C1906" s="2">
        <v>38542</v>
      </c>
      <c r="D1906">
        <v>20</v>
      </c>
      <c r="E1906" t="s">
        <v>42</v>
      </c>
      <c r="F1906" t="s">
        <v>37</v>
      </c>
      <c r="G1906" s="2">
        <v>45305</v>
      </c>
      <c r="H1906" s="3">
        <f t="shared" si="29"/>
        <v>1.9260273972602739</v>
      </c>
      <c r="I1906">
        <v>33</v>
      </c>
      <c r="J1906" t="s">
        <v>38</v>
      </c>
      <c r="K1906" t="s">
        <v>56</v>
      </c>
      <c r="L1906" t="s">
        <v>44</v>
      </c>
      <c r="M1906">
        <v>8.42</v>
      </c>
      <c r="T1906" t="s">
        <v>52</v>
      </c>
      <c r="U1906">
        <v>2</v>
      </c>
      <c r="V1906">
        <v>5</v>
      </c>
    </row>
    <row r="1907" spans="1:22" x14ac:dyDescent="0.3">
      <c r="A1907">
        <v>1906</v>
      </c>
      <c r="B1907">
        <v>49692</v>
      </c>
      <c r="C1907" s="2">
        <v>36500</v>
      </c>
      <c r="D1907">
        <v>26</v>
      </c>
      <c r="E1907" t="s">
        <v>42</v>
      </c>
      <c r="F1907" t="s">
        <v>50</v>
      </c>
      <c r="G1907" s="2">
        <v>45319</v>
      </c>
      <c r="H1907" s="3">
        <f t="shared" si="29"/>
        <v>2.5534246575342467</v>
      </c>
      <c r="I1907">
        <v>37</v>
      </c>
      <c r="J1907" t="s">
        <v>38</v>
      </c>
      <c r="K1907" t="s">
        <v>68</v>
      </c>
      <c r="L1907" t="s">
        <v>44</v>
      </c>
      <c r="M1907">
        <v>16.579999999999998</v>
      </c>
      <c r="T1907" t="s">
        <v>49</v>
      </c>
      <c r="U1907">
        <v>3</v>
      </c>
      <c r="V1907">
        <v>7</v>
      </c>
    </row>
    <row r="1908" spans="1:22" x14ac:dyDescent="0.3">
      <c r="A1908">
        <v>1907</v>
      </c>
      <c r="B1908">
        <v>49693</v>
      </c>
      <c r="C1908" s="2">
        <v>35873</v>
      </c>
      <c r="D1908">
        <v>27</v>
      </c>
      <c r="E1908" t="s">
        <v>42</v>
      </c>
      <c r="F1908" t="s">
        <v>37</v>
      </c>
      <c r="G1908" s="2">
        <v>45090</v>
      </c>
      <c r="H1908" s="3">
        <f t="shared" si="29"/>
        <v>1.8712328767123287</v>
      </c>
      <c r="I1908">
        <v>37</v>
      </c>
      <c r="J1908" t="s">
        <v>38</v>
      </c>
      <c r="K1908" t="s">
        <v>68</v>
      </c>
      <c r="L1908" t="s">
        <v>44</v>
      </c>
      <c r="M1908">
        <v>16.79</v>
      </c>
      <c r="N1908">
        <v>16.579999999999998</v>
      </c>
      <c r="T1908" t="s">
        <v>52</v>
      </c>
      <c r="U1908">
        <v>2</v>
      </c>
      <c r="V1908">
        <v>6</v>
      </c>
    </row>
    <row r="1909" spans="1:22" x14ac:dyDescent="0.3">
      <c r="A1909">
        <v>1908</v>
      </c>
      <c r="B1909">
        <v>49698</v>
      </c>
      <c r="C1909" s="2">
        <v>33699</v>
      </c>
      <c r="D1909">
        <v>33</v>
      </c>
      <c r="E1909" t="s">
        <v>42</v>
      </c>
      <c r="F1909" t="s">
        <v>50</v>
      </c>
      <c r="G1909" s="2">
        <v>45339</v>
      </c>
      <c r="H1909" s="3">
        <f t="shared" si="29"/>
        <v>2.3643835616438356</v>
      </c>
      <c r="I1909">
        <v>38</v>
      </c>
      <c r="J1909" t="s">
        <v>38</v>
      </c>
      <c r="K1909" t="s">
        <v>56</v>
      </c>
      <c r="L1909" t="s">
        <v>44</v>
      </c>
      <c r="M1909">
        <v>8.4600000000000009</v>
      </c>
      <c r="T1909" t="s">
        <v>47</v>
      </c>
      <c r="U1909">
        <v>2</v>
      </c>
      <c r="V1909">
        <v>6</v>
      </c>
    </row>
    <row r="1910" spans="1:22" x14ac:dyDescent="0.3">
      <c r="A1910">
        <v>1909</v>
      </c>
      <c r="B1910">
        <v>49701</v>
      </c>
      <c r="C1910" s="2">
        <v>37022</v>
      </c>
      <c r="D1910">
        <v>24</v>
      </c>
      <c r="E1910" t="s">
        <v>36</v>
      </c>
      <c r="F1910" t="s">
        <v>50</v>
      </c>
      <c r="G1910" s="2">
        <v>45159</v>
      </c>
      <c r="H1910" s="3">
        <f t="shared" si="29"/>
        <v>2.2931506849315069</v>
      </c>
      <c r="I1910">
        <v>39</v>
      </c>
      <c r="J1910" t="s">
        <v>38</v>
      </c>
      <c r="K1910" t="s">
        <v>56</v>
      </c>
      <c r="L1910" t="s">
        <v>44</v>
      </c>
      <c r="M1910">
        <v>8.5399999999999991</v>
      </c>
      <c r="N1910">
        <v>8.26</v>
      </c>
      <c r="T1910" t="s">
        <v>52</v>
      </c>
      <c r="U1910">
        <v>4</v>
      </c>
      <c r="V1910">
        <v>6</v>
      </c>
    </row>
    <row r="1911" spans="1:22" x14ac:dyDescent="0.3">
      <c r="A1911">
        <v>1910</v>
      </c>
      <c r="B1911">
        <v>49714</v>
      </c>
      <c r="C1911" s="2">
        <v>34276</v>
      </c>
      <c r="D1911">
        <v>32</v>
      </c>
      <c r="E1911" t="s">
        <v>42</v>
      </c>
      <c r="F1911" t="s">
        <v>50</v>
      </c>
      <c r="G1911" s="2">
        <v>45185</v>
      </c>
      <c r="H1911" s="3">
        <f t="shared" si="29"/>
        <v>2.0273972602739727</v>
      </c>
      <c r="I1911">
        <v>46</v>
      </c>
      <c r="J1911" t="s">
        <v>38</v>
      </c>
      <c r="K1911" t="s">
        <v>56</v>
      </c>
      <c r="L1911" t="s">
        <v>44</v>
      </c>
      <c r="M1911">
        <v>8.4600000000000009</v>
      </c>
      <c r="N1911">
        <v>8.26</v>
      </c>
      <c r="T1911" t="s">
        <v>49</v>
      </c>
      <c r="U1911">
        <v>2</v>
      </c>
      <c r="V1911">
        <v>6</v>
      </c>
    </row>
    <row r="1912" spans="1:22" x14ac:dyDescent="0.3">
      <c r="A1912">
        <v>1911</v>
      </c>
      <c r="B1912">
        <v>49721</v>
      </c>
      <c r="C1912" s="2">
        <v>38585</v>
      </c>
      <c r="D1912">
        <v>20</v>
      </c>
      <c r="E1912" t="s">
        <v>42</v>
      </c>
      <c r="F1912" t="s">
        <v>50</v>
      </c>
      <c r="G1912" s="2">
        <v>45282</v>
      </c>
      <c r="H1912" s="3">
        <f t="shared" si="29"/>
        <v>2.2000000000000002</v>
      </c>
      <c r="I1912">
        <v>51</v>
      </c>
      <c r="J1912" t="s">
        <v>38</v>
      </c>
      <c r="K1912" t="s">
        <v>65</v>
      </c>
      <c r="L1912" t="s">
        <v>44</v>
      </c>
      <c r="M1912">
        <v>10.58</v>
      </c>
      <c r="N1912">
        <v>10.38</v>
      </c>
      <c r="T1912" t="s">
        <v>47</v>
      </c>
      <c r="U1912">
        <v>1</v>
      </c>
      <c r="V1912">
        <v>6</v>
      </c>
    </row>
    <row r="1913" spans="1:22" x14ac:dyDescent="0.3">
      <c r="A1913">
        <v>1912</v>
      </c>
      <c r="B1913">
        <v>49730</v>
      </c>
      <c r="C1913" s="2">
        <v>37695</v>
      </c>
      <c r="D1913">
        <v>22</v>
      </c>
      <c r="E1913" t="s">
        <v>42</v>
      </c>
      <c r="F1913" t="s">
        <v>37</v>
      </c>
      <c r="G1913" s="2">
        <v>45219</v>
      </c>
      <c r="H1913" s="3">
        <f t="shared" si="29"/>
        <v>2.0301369863013701</v>
      </c>
      <c r="I1913">
        <v>55</v>
      </c>
      <c r="J1913" t="s">
        <v>38</v>
      </c>
      <c r="K1913" t="s">
        <v>48</v>
      </c>
      <c r="L1913" t="s">
        <v>44</v>
      </c>
      <c r="M1913">
        <v>8.36</v>
      </c>
      <c r="N1913">
        <v>8.26</v>
      </c>
      <c r="T1913" t="s">
        <v>49</v>
      </c>
      <c r="U1913">
        <v>1</v>
      </c>
      <c r="V1913">
        <v>6</v>
      </c>
    </row>
    <row r="1914" spans="1:22" x14ac:dyDescent="0.3">
      <c r="A1914">
        <v>1913</v>
      </c>
      <c r="B1914">
        <v>49741</v>
      </c>
      <c r="C1914" s="2">
        <v>37804</v>
      </c>
      <c r="D1914">
        <v>22</v>
      </c>
      <c r="E1914" t="s">
        <v>42</v>
      </c>
      <c r="F1914" t="s">
        <v>50</v>
      </c>
      <c r="G1914" s="2">
        <v>45281</v>
      </c>
      <c r="H1914" s="3">
        <f t="shared" si="29"/>
        <v>2.7287671232876711</v>
      </c>
      <c r="I1914">
        <v>59</v>
      </c>
      <c r="J1914" t="s">
        <v>38</v>
      </c>
      <c r="K1914" t="s">
        <v>48</v>
      </c>
      <c r="L1914" t="s">
        <v>44</v>
      </c>
      <c r="M1914">
        <v>8.4600000000000009</v>
      </c>
      <c r="N1914">
        <v>8.26</v>
      </c>
      <c r="T1914" t="s">
        <v>47</v>
      </c>
      <c r="U1914">
        <v>1</v>
      </c>
      <c r="V1914">
        <v>5</v>
      </c>
    </row>
    <row r="1915" spans="1:22" x14ac:dyDescent="0.3">
      <c r="A1915">
        <v>1914</v>
      </c>
      <c r="B1915">
        <v>49746</v>
      </c>
      <c r="C1915" s="2">
        <v>36994</v>
      </c>
      <c r="D1915">
        <v>24</v>
      </c>
      <c r="E1915" t="s">
        <v>36</v>
      </c>
      <c r="F1915" t="s">
        <v>50</v>
      </c>
      <c r="G1915" s="2">
        <v>45026</v>
      </c>
      <c r="H1915" s="3">
        <f t="shared" si="29"/>
        <v>2.6684931506849314</v>
      </c>
      <c r="I1915">
        <v>61</v>
      </c>
      <c r="J1915" t="s">
        <v>38</v>
      </c>
      <c r="K1915" t="s">
        <v>68</v>
      </c>
      <c r="L1915" t="s">
        <v>44</v>
      </c>
      <c r="M1915">
        <v>16.809999999999999</v>
      </c>
      <c r="N1915">
        <v>16.579999999999998</v>
      </c>
      <c r="T1915" t="s">
        <v>45</v>
      </c>
      <c r="U1915">
        <v>4</v>
      </c>
      <c r="V1915">
        <v>5</v>
      </c>
    </row>
    <row r="1916" spans="1:22" x14ac:dyDescent="0.3">
      <c r="A1916">
        <v>1915</v>
      </c>
      <c r="B1916">
        <v>49748</v>
      </c>
      <c r="C1916" s="2">
        <v>35620</v>
      </c>
      <c r="D1916">
        <v>28</v>
      </c>
      <c r="E1916" t="s">
        <v>42</v>
      </c>
      <c r="F1916" t="s">
        <v>37</v>
      </c>
      <c r="G1916" s="2">
        <v>45048</v>
      </c>
      <c r="H1916" s="3">
        <f t="shared" si="29"/>
        <v>2.8191780821917809</v>
      </c>
      <c r="I1916">
        <v>61</v>
      </c>
      <c r="J1916" t="s">
        <v>38</v>
      </c>
      <c r="K1916" t="s">
        <v>56</v>
      </c>
      <c r="L1916" t="s">
        <v>44</v>
      </c>
      <c r="M1916">
        <v>8.5399999999999991</v>
      </c>
      <c r="N1916">
        <v>8.26</v>
      </c>
      <c r="T1916" t="s">
        <v>45</v>
      </c>
      <c r="U1916">
        <v>4</v>
      </c>
      <c r="V1916">
        <v>6</v>
      </c>
    </row>
    <row r="1917" spans="1:22" x14ac:dyDescent="0.3">
      <c r="A1917">
        <v>1916</v>
      </c>
      <c r="B1917">
        <v>49752</v>
      </c>
      <c r="C1917" s="2">
        <v>37666</v>
      </c>
      <c r="D1917">
        <v>22</v>
      </c>
      <c r="E1917" t="s">
        <v>42</v>
      </c>
      <c r="F1917" t="s">
        <v>37</v>
      </c>
      <c r="G1917" s="2">
        <v>44993</v>
      </c>
      <c r="H1917" s="3">
        <f t="shared" si="29"/>
        <v>2.2000000000000002</v>
      </c>
      <c r="I1917">
        <v>63</v>
      </c>
      <c r="J1917" t="s">
        <v>38</v>
      </c>
      <c r="K1917" t="s">
        <v>56</v>
      </c>
      <c r="L1917" t="s">
        <v>44</v>
      </c>
      <c r="M1917">
        <v>8.4600000000000009</v>
      </c>
      <c r="N1917">
        <v>8.26</v>
      </c>
      <c r="T1917" t="s">
        <v>45</v>
      </c>
      <c r="U1917">
        <v>4</v>
      </c>
      <c r="V1917">
        <v>5</v>
      </c>
    </row>
    <row r="1918" spans="1:22" x14ac:dyDescent="0.3">
      <c r="A1918">
        <v>1917</v>
      </c>
      <c r="B1918">
        <v>49758</v>
      </c>
      <c r="C1918" s="2">
        <v>37240</v>
      </c>
      <c r="D1918">
        <v>24</v>
      </c>
      <c r="E1918" t="s">
        <v>42</v>
      </c>
      <c r="F1918" t="s">
        <v>50</v>
      </c>
      <c r="G1918" s="2">
        <v>45219</v>
      </c>
      <c r="H1918" s="3">
        <f t="shared" si="29"/>
        <v>1.8986301369863015</v>
      </c>
      <c r="I1918">
        <v>70</v>
      </c>
      <c r="J1918" t="s">
        <v>57</v>
      </c>
      <c r="K1918" t="s">
        <v>56</v>
      </c>
      <c r="L1918" t="s">
        <v>44</v>
      </c>
      <c r="M1918">
        <v>8.49</v>
      </c>
      <c r="N1918">
        <v>8.26</v>
      </c>
      <c r="T1918" t="s">
        <v>52</v>
      </c>
      <c r="U1918">
        <v>2</v>
      </c>
      <c r="V1918">
        <v>7</v>
      </c>
    </row>
    <row r="1919" spans="1:22" x14ac:dyDescent="0.3">
      <c r="A1919">
        <v>1918</v>
      </c>
      <c r="B1919">
        <v>49759</v>
      </c>
      <c r="C1919" s="2">
        <v>36501</v>
      </c>
      <c r="D1919">
        <v>26</v>
      </c>
      <c r="E1919" t="s">
        <v>36</v>
      </c>
      <c r="F1919" t="s">
        <v>50</v>
      </c>
      <c r="G1919" s="2">
        <v>45329</v>
      </c>
      <c r="H1919" s="3">
        <f t="shared" si="29"/>
        <v>2.3561643835616439</v>
      </c>
      <c r="I1919">
        <v>71</v>
      </c>
      <c r="J1919" t="s">
        <v>57</v>
      </c>
      <c r="K1919" t="s">
        <v>68</v>
      </c>
      <c r="L1919" t="s">
        <v>44</v>
      </c>
      <c r="M1919">
        <v>16.78</v>
      </c>
      <c r="T1919" t="s">
        <v>49</v>
      </c>
      <c r="U1919">
        <v>3</v>
      </c>
      <c r="V1919">
        <v>5</v>
      </c>
    </row>
    <row r="1920" spans="1:22" x14ac:dyDescent="0.3">
      <c r="A1920">
        <v>1919</v>
      </c>
      <c r="B1920">
        <v>49775</v>
      </c>
      <c r="C1920" s="2">
        <v>35392</v>
      </c>
      <c r="D1920">
        <v>29</v>
      </c>
      <c r="E1920" t="s">
        <v>36</v>
      </c>
      <c r="F1920" t="s">
        <v>50</v>
      </c>
      <c r="G1920" s="2">
        <v>45162</v>
      </c>
      <c r="H1920" s="3">
        <f t="shared" si="29"/>
        <v>2.6027397260273974</v>
      </c>
      <c r="I1920">
        <v>83</v>
      </c>
      <c r="J1920" t="s">
        <v>57</v>
      </c>
      <c r="K1920" t="s">
        <v>54</v>
      </c>
      <c r="L1920" t="s">
        <v>44</v>
      </c>
      <c r="M1920">
        <v>23.5</v>
      </c>
      <c r="N1920">
        <v>23.2</v>
      </c>
      <c r="T1920" t="s">
        <v>47</v>
      </c>
      <c r="U1920">
        <v>4</v>
      </c>
      <c r="V1920">
        <v>6</v>
      </c>
    </row>
    <row r="1921" spans="1:22" x14ac:dyDescent="0.3">
      <c r="A1921">
        <v>1920</v>
      </c>
      <c r="B1921">
        <v>49777</v>
      </c>
      <c r="C1921" s="2">
        <v>37422</v>
      </c>
      <c r="D1921">
        <v>23</v>
      </c>
      <c r="E1921" t="s">
        <v>42</v>
      </c>
      <c r="F1921" t="s">
        <v>50</v>
      </c>
      <c r="G1921" s="2">
        <v>45072</v>
      </c>
      <c r="H1921" s="3">
        <f t="shared" si="29"/>
        <v>2.0164383561643837</v>
      </c>
      <c r="I1921">
        <v>85</v>
      </c>
      <c r="J1921" t="s">
        <v>57</v>
      </c>
      <c r="K1921" t="s">
        <v>65</v>
      </c>
      <c r="L1921" t="s">
        <v>44</v>
      </c>
      <c r="M1921">
        <v>10.58</v>
      </c>
      <c r="N1921">
        <v>10.38</v>
      </c>
      <c r="T1921" t="s">
        <v>52</v>
      </c>
      <c r="U1921">
        <v>0</v>
      </c>
      <c r="V1921">
        <v>5</v>
      </c>
    </row>
    <row r="1922" spans="1:22" x14ac:dyDescent="0.3">
      <c r="A1922">
        <v>1921</v>
      </c>
      <c r="B1922">
        <v>49791</v>
      </c>
      <c r="C1922" s="2">
        <v>36792</v>
      </c>
      <c r="D1922">
        <v>25</v>
      </c>
      <c r="E1922" t="s">
        <v>36</v>
      </c>
      <c r="F1922" t="s">
        <v>50</v>
      </c>
      <c r="G1922" s="2">
        <v>45286</v>
      </c>
      <c r="H1922" s="3">
        <f t="shared" si="29"/>
        <v>1.9452054794520548</v>
      </c>
      <c r="I1922">
        <v>92</v>
      </c>
      <c r="J1922" t="s">
        <v>57</v>
      </c>
      <c r="K1922" t="s">
        <v>68</v>
      </c>
      <c r="L1922" t="s">
        <v>44</v>
      </c>
      <c r="M1922">
        <v>16.78</v>
      </c>
      <c r="N1922">
        <v>16.579999999999998</v>
      </c>
      <c r="T1922" t="s">
        <v>49</v>
      </c>
      <c r="U1922">
        <v>2</v>
      </c>
      <c r="V1922">
        <v>5</v>
      </c>
    </row>
    <row r="1923" spans="1:22" x14ac:dyDescent="0.3">
      <c r="A1923">
        <v>1922</v>
      </c>
      <c r="B1923">
        <v>49792</v>
      </c>
      <c r="C1923" s="2">
        <v>33056</v>
      </c>
      <c r="D1923">
        <v>35</v>
      </c>
      <c r="E1923" t="s">
        <v>36</v>
      </c>
      <c r="F1923" t="s">
        <v>50</v>
      </c>
      <c r="G1923" s="2">
        <v>45312</v>
      </c>
      <c r="H1923" s="3">
        <f t="shared" ref="H1923:H1986" si="30">DATEDIF(G1924,DATE(2025,12,31),"d")/365</f>
        <v>2.6410958904109587</v>
      </c>
      <c r="I1923">
        <v>92</v>
      </c>
      <c r="J1923" t="s">
        <v>57</v>
      </c>
      <c r="K1923" t="s">
        <v>46</v>
      </c>
      <c r="L1923" t="s">
        <v>44</v>
      </c>
      <c r="M1923">
        <v>14.18</v>
      </c>
      <c r="T1923" t="s">
        <v>52</v>
      </c>
      <c r="U1923">
        <v>0</v>
      </c>
      <c r="V1923">
        <v>4</v>
      </c>
    </row>
    <row r="1924" spans="1:22" x14ac:dyDescent="0.3">
      <c r="A1924">
        <v>1923</v>
      </c>
      <c r="B1924">
        <v>49798</v>
      </c>
      <c r="C1924" s="2">
        <v>38331</v>
      </c>
      <c r="D1924">
        <v>21</v>
      </c>
      <c r="E1924" t="s">
        <v>42</v>
      </c>
      <c r="F1924" t="s">
        <v>50</v>
      </c>
      <c r="G1924" s="2">
        <v>45058</v>
      </c>
      <c r="H1924" s="3">
        <f t="shared" si="30"/>
        <v>1.9397260273972603</v>
      </c>
      <c r="I1924">
        <v>95</v>
      </c>
      <c r="J1924" t="s">
        <v>57</v>
      </c>
      <c r="K1924" t="s">
        <v>65</v>
      </c>
      <c r="L1924" t="s">
        <v>44</v>
      </c>
      <c r="M1924">
        <v>10.58</v>
      </c>
      <c r="N1924">
        <v>10.38</v>
      </c>
      <c r="T1924" t="s">
        <v>47</v>
      </c>
      <c r="U1924">
        <v>1</v>
      </c>
      <c r="V1924">
        <v>6</v>
      </c>
    </row>
    <row r="1925" spans="1:22" x14ac:dyDescent="0.3">
      <c r="A1925">
        <v>1924</v>
      </c>
      <c r="B1925">
        <v>49801</v>
      </c>
      <c r="C1925" s="2">
        <v>35711</v>
      </c>
      <c r="D1925">
        <v>28</v>
      </c>
      <c r="E1925" t="s">
        <v>36</v>
      </c>
      <c r="F1925" t="s">
        <v>50</v>
      </c>
      <c r="G1925" s="2">
        <v>45314</v>
      </c>
      <c r="H1925" s="3">
        <f t="shared" si="30"/>
        <v>2.1041095890410957</v>
      </c>
      <c r="I1925">
        <v>96</v>
      </c>
      <c r="J1925" t="s">
        <v>57</v>
      </c>
      <c r="K1925" t="s">
        <v>65</v>
      </c>
      <c r="L1925" t="s">
        <v>44</v>
      </c>
      <c r="M1925">
        <v>10.65</v>
      </c>
      <c r="T1925" t="s">
        <v>45</v>
      </c>
      <c r="U1925">
        <v>0</v>
      </c>
      <c r="V1925">
        <v>4</v>
      </c>
    </row>
    <row r="1926" spans="1:22" x14ac:dyDescent="0.3">
      <c r="A1926">
        <v>1925</v>
      </c>
      <c r="B1926">
        <v>49859</v>
      </c>
      <c r="C1926" s="2">
        <v>33149</v>
      </c>
      <c r="D1926">
        <v>35</v>
      </c>
      <c r="E1926" t="s">
        <v>42</v>
      </c>
      <c r="F1926" t="s">
        <v>50</v>
      </c>
      <c r="G1926" s="2">
        <v>45254</v>
      </c>
      <c r="H1926" s="3">
        <f t="shared" si="30"/>
        <v>2.1424657534246574</v>
      </c>
      <c r="I1926">
        <v>136</v>
      </c>
      <c r="J1926" t="s">
        <v>57</v>
      </c>
      <c r="K1926" t="s">
        <v>46</v>
      </c>
      <c r="L1926" t="s">
        <v>44</v>
      </c>
      <c r="M1926">
        <v>14.3</v>
      </c>
      <c r="N1926">
        <v>13.88</v>
      </c>
      <c r="T1926" t="s">
        <v>49</v>
      </c>
      <c r="U1926">
        <v>0</v>
      </c>
      <c r="V1926">
        <v>6</v>
      </c>
    </row>
    <row r="1927" spans="1:22" x14ac:dyDescent="0.3">
      <c r="A1927">
        <v>1926</v>
      </c>
      <c r="B1927">
        <v>49861</v>
      </c>
      <c r="C1927" s="2">
        <v>37520</v>
      </c>
      <c r="D1927">
        <v>23</v>
      </c>
      <c r="E1927" t="s">
        <v>42</v>
      </c>
      <c r="F1927" t="s">
        <v>50</v>
      </c>
      <c r="G1927" s="2">
        <v>45240</v>
      </c>
      <c r="H1927" s="3">
        <f t="shared" si="30"/>
        <v>2.6438356164383561</v>
      </c>
      <c r="I1927">
        <v>138</v>
      </c>
      <c r="J1927" t="s">
        <v>57</v>
      </c>
      <c r="K1927" t="s">
        <v>43</v>
      </c>
      <c r="L1927" t="s">
        <v>44</v>
      </c>
      <c r="M1927">
        <v>16.12</v>
      </c>
      <c r="N1927">
        <v>15.97</v>
      </c>
      <c r="T1927" t="s">
        <v>47</v>
      </c>
      <c r="U1927">
        <v>2</v>
      </c>
      <c r="V1927">
        <v>5</v>
      </c>
    </row>
    <row r="1928" spans="1:22" x14ac:dyDescent="0.3">
      <c r="A1928">
        <v>1927</v>
      </c>
      <c r="B1928">
        <v>49869</v>
      </c>
      <c r="C1928" s="2">
        <v>36407</v>
      </c>
      <c r="D1928">
        <v>26</v>
      </c>
      <c r="E1928" t="s">
        <v>42</v>
      </c>
      <c r="F1928" t="s">
        <v>50</v>
      </c>
      <c r="G1928" s="2">
        <v>45057</v>
      </c>
      <c r="H1928" s="3">
        <f t="shared" si="30"/>
        <v>1.8821917808219177</v>
      </c>
      <c r="I1928">
        <v>144</v>
      </c>
      <c r="J1928" t="s">
        <v>57</v>
      </c>
      <c r="K1928" t="s">
        <v>56</v>
      </c>
      <c r="L1928" t="s">
        <v>44</v>
      </c>
      <c r="M1928">
        <v>8.56</v>
      </c>
      <c r="N1928">
        <v>8.26</v>
      </c>
      <c r="T1928" t="s">
        <v>47</v>
      </c>
      <c r="U1928">
        <v>0</v>
      </c>
      <c r="V1928">
        <v>6</v>
      </c>
    </row>
    <row r="1929" spans="1:22" x14ac:dyDescent="0.3">
      <c r="A1929">
        <v>1928</v>
      </c>
      <c r="B1929">
        <v>49885</v>
      </c>
      <c r="C1929" s="2">
        <v>37078</v>
      </c>
      <c r="D1929">
        <v>24</v>
      </c>
      <c r="E1929" t="s">
        <v>42</v>
      </c>
      <c r="F1929" t="s">
        <v>37</v>
      </c>
      <c r="G1929" s="2">
        <v>45335</v>
      </c>
      <c r="H1929" s="3">
        <f t="shared" si="30"/>
        <v>2.117808219178082</v>
      </c>
      <c r="I1929">
        <v>2</v>
      </c>
      <c r="J1929" t="s">
        <v>38</v>
      </c>
      <c r="K1929" t="s">
        <v>68</v>
      </c>
      <c r="L1929" t="s">
        <v>44</v>
      </c>
      <c r="M1929">
        <v>16.78</v>
      </c>
      <c r="T1929" t="s">
        <v>52</v>
      </c>
      <c r="U1929">
        <v>3</v>
      </c>
      <c r="V1929">
        <v>6</v>
      </c>
    </row>
    <row r="1930" spans="1:22" x14ac:dyDescent="0.3">
      <c r="A1930">
        <v>1929</v>
      </c>
      <c r="B1930">
        <v>49917</v>
      </c>
      <c r="C1930" s="2">
        <v>37612</v>
      </c>
      <c r="D1930">
        <v>23</v>
      </c>
      <c r="E1930" t="s">
        <v>42</v>
      </c>
      <c r="F1930" t="s">
        <v>37</v>
      </c>
      <c r="G1930" s="2">
        <v>45249</v>
      </c>
      <c r="H1930" s="3">
        <f t="shared" si="30"/>
        <v>2.1780821917808217</v>
      </c>
      <c r="I1930">
        <v>3</v>
      </c>
      <c r="J1930" t="s">
        <v>38</v>
      </c>
      <c r="K1930" t="s">
        <v>56</v>
      </c>
      <c r="L1930" t="s">
        <v>44</v>
      </c>
      <c r="M1930">
        <v>8.4600000000000009</v>
      </c>
      <c r="N1930">
        <v>8.26</v>
      </c>
      <c r="T1930" t="s">
        <v>52</v>
      </c>
      <c r="U1930">
        <v>2</v>
      </c>
      <c r="V1930">
        <v>6</v>
      </c>
    </row>
    <row r="1931" spans="1:22" x14ac:dyDescent="0.3">
      <c r="A1931">
        <v>1930</v>
      </c>
      <c r="B1931">
        <v>49923</v>
      </c>
      <c r="C1931" s="2">
        <v>38145</v>
      </c>
      <c r="D1931">
        <v>21</v>
      </c>
      <c r="E1931" t="s">
        <v>42</v>
      </c>
      <c r="F1931" t="s">
        <v>37</v>
      </c>
      <c r="G1931" s="2">
        <v>45227</v>
      </c>
      <c r="H1931" s="3">
        <f t="shared" si="30"/>
        <v>2.3616438356164382</v>
      </c>
      <c r="I1931">
        <v>3</v>
      </c>
      <c r="J1931" t="s">
        <v>38</v>
      </c>
      <c r="K1931" t="s">
        <v>56</v>
      </c>
      <c r="L1931" t="s">
        <v>44</v>
      </c>
      <c r="M1931">
        <v>8.4600000000000009</v>
      </c>
      <c r="N1931">
        <v>8.26</v>
      </c>
      <c r="T1931" t="s">
        <v>45</v>
      </c>
      <c r="U1931">
        <v>4</v>
      </c>
      <c r="V1931">
        <v>6</v>
      </c>
    </row>
    <row r="1932" spans="1:22" x14ac:dyDescent="0.3">
      <c r="A1932">
        <v>1931</v>
      </c>
      <c r="B1932">
        <v>49939</v>
      </c>
      <c r="C1932" s="2">
        <v>36859</v>
      </c>
      <c r="D1932">
        <v>25</v>
      </c>
      <c r="E1932" t="s">
        <v>42</v>
      </c>
      <c r="F1932" t="s">
        <v>37</v>
      </c>
      <c r="G1932" s="2">
        <v>45160</v>
      </c>
      <c r="H1932" s="3">
        <f t="shared" si="30"/>
        <v>2.591780821917808</v>
      </c>
      <c r="I1932">
        <v>4</v>
      </c>
      <c r="J1932" t="s">
        <v>38</v>
      </c>
      <c r="K1932" t="s">
        <v>56</v>
      </c>
      <c r="L1932" t="s">
        <v>44</v>
      </c>
      <c r="M1932">
        <v>8.4600000000000009</v>
      </c>
      <c r="N1932">
        <v>8.26</v>
      </c>
      <c r="T1932" t="s">
        <v>47</v>
      </c>
      <c r="U1932">
        <v>2</v>
      </c>
      <c r="V1932">
        <v>4</v>
      </c>
    </row>
    <row r="1933" spans="1:22" x14ac:dyDescent="0.3">
      <c r="A1933">
        <v>1932</v>
      </c>
      <c r="B1933">
        <v>49941</v>
      </c>
      <c r="C1933" s="2">
        <v>36895</v>
      </c>
      <c r="D1933">
        <v>24</v>
      </c>
      <c r="E1933" t="s">
        <v>42</v>
      </c>
      <c r="F1933" t="s">
        <v>37</v>
      </c>
      <c r="G1933" s="2">
        <v>45076</v>
      </c>
      <c r="H1933" s="3">
        <f t="shared" si="30"/>
        <v>2.7972602739726029</v>
      </c>
      <c r="I1933">
        <v>5</v>
      </c>
      <c r="J1933" t="s">
        <v>38</v>
      </c>
      <c r="K1933" t="s">
        <v>68</v>
      </c>
      <c r="L1933" t="s">
        <v>44</v>
      </c>
      <c r="M1933">
        <v>16.78</v>
      </c>
      <c r="N1933">
        <v>16.579999999999998</v>
      </c>
      <c r="T1933" t="s">
        <v>47</v>
      </c>
      <c r="U1933">
        <v>1</v>
      </c>
      <c r="V1933">
        <v>4</v>
      </c>
    </row>
    <row r="1934" spans="1:22" x14ac:dyDescent="0.3">
      <c r="A1934">
        <v>1933</v>
      </c>
      <c r="B1934">
        <v>49955</v>
      </c>
      <c r="C1934" s="2">
        <v>37252</v>
      </c>
      <c r="D1934">
        <v>24</v>
      </c>
      <c r="E1934" t="s">
        <v>42</v>
      </c>
      <c r="F1934" t="s">
        <v>37</v>
      </c>
      <c r="G1934" s="2">
        <v>45001</v>
      </c>
      <c r="H1934" s="3">
        <f t="shared" si="30"/>
        <v>2.5945205479452054</v>
      </c>
      <c r="I1934">
        <v>6</v>
      </c>
      <c r="J1934" t="s">
        <v>38</v>
      </c>
      <c r="K1934" t="s">
        <v>68</v>
      </c>
      <c r="L1934" t="s">
        <v>44</v>
      </c>
      <c r="M1934">
        <v>16.78</v>
      </c>
      <c r="N1934">
        <v>16.579999999999998</v>
      </c>
      <c r="T1934" t="s">
        <v>52</v>
      </c>
      <c r="U1934">
        <v>2</v>
      </c>
      <c r="V1934">
        <v>5</v>
      </c>
    </row>
    <row r="1935" spans="1:22" x14ac:dyDescent="0.3">
      <c r="A1935">
        <v>1934</v>
      </c>
      <c r="B1935">
        <v>49964</v>
      </c>
      <c r="C1935" s="2">
        <v>34686</v>
      </c>
      <c r="D1935">
        <v>31</v>
      </c>
      <c r="E1935" t="s">
        <v>42</v>
      </c>
      <c r="F1935" t="s">
        <v>37</v>
      </c>
      <c r="G1935" s="2">
        <v>45075</v>
      </c>
      <c r="H1935" s="3">
        <f t="shared" si="30"/>
        <v>2.8657534246575342</v>
      </c>
      <c r="I1935">
        <v>6</v>
      </c>
      <c r="J1935" t="s">
        <v>38</v>
      </c>
      <c r="K1935" t="s">
        <v>56</v>
      </c>
      <c r="L1935" t="s">
        <v>44</v>
      </c>
      <c r="M1935">
        <v>8.4600000000000009</v>
      </c>
      <c r="N1935">
        <v>8.26</v>
      </c>
      <c r="T1935" t="s">
        <v>47</v>
      </c>
      <c r="U1935">
        <v>4</v>
      </c>
      <c r="V1935">
        <v>6</v>
      </c>
    </row>
    <row r="1936" spans="1:22" x14ac:dyDescent="0.3">
      <c r="A1936">
        <v>1935</v>
      </c>
      <c r="B1936">
        <v>49965</v>
      </c>
      <c r="C1936" s="2">
        <v>36973</v>
      </c>
      <c r="D1936">
        <v>24</v>
      </c>
      <c r="E1936" t="s">
        <v>42</v>
      </c>
      <c r="F1936" t="s">
        <v>37</v>
      </c>
      <c r="G1936" s="2">
        <v>44976</v>
      </c>
      <c r="H1936" s="3">
        <f t="shared" si="30"/>
        <v>2.3780821917808219</v>
      </c>
      <c r="I1936">
        <v>6</v>
      </c>
      <c r="J1936" t="s">
        <v>38</v>
      </c>
      <c r="K1936" t="s">
        <v>56</v>
      </c>
      <c r="L1936" t="s">
        <v>44</v>
      </c>
      <c r="M1936">
        <v>8.4600000000000009</v>
      </c>
      <c r="N1936">
        <v>8.26</v>
      </c>
      <c r="T1936" t="s">
        <v>52</v>
      </c>
      <c r="U1936">
        <v>2</v>
      </c>
      <c r="V1936">
        <v>6</v>
      </c>
    </row>
    <row r="1937" spans="1:22" x14ac:dyDescent="0.3">
      <c r="A1937">
        <v>1936</v>
      </c>
      <c r="B1937">
        <v>49984</v>
      </c>
      <c r="C1937" s="2">
        <v>37833</v>
      </c>
      <c r="D1937">
        <v>22</v>
      </c>
      <c r="E1937" t="s">
        <v>36</v>
      </c>
      <c r="F1937" t="s">
        <v>50</v>
      </c>
      <c r="G1937" s="2">
        <v>45154</v>
      </c>
      <c r="H1937" s="3">
        <f t="shared" si="30"/>
        <v>2.4684931506849317</v>
      </c>
      <c r="I1937">
        <v>7</v>
      </c>
      <c r="J1937" t="s">
        <v>38</v>
      </c>
      <c r="K1937" t="s">
        <v>56</v>
      </c>
      <c r="L1937" t="s">
        <v>44</v>
      </c>
      <c r="M1937">
        <v>8.36</v>
      </c>
      <c r="N1937">
        <v>8.26</v>
      </c>
      <c r="T1937" t="s">
        <v>52</v>
      </c>
      <c r="U1937">
        <v>4</v>
      </c>
      <c r="V1937">
        <v>4</v>
      </c>
    </row>
    <row r="1938" spans="1:22" x14ac:dyDescent="0.3">
      <c r="A1938">
        <v>1937</v>
      </c>
      <c r="B1938">
        <v>49994</v>
      </c>
      <c r="C1938" s="2">
        <v>37897</v>
      </c>
      <c r="D1938">
        <v>22</v>
      </c>
      <c r="E1938" t="s">
        <v>42</v>
      </c>
      <c r="F1938" t="s">
        <v>37</v>
      </c>
      <c r="G1938" s="2">
        <v>45121</v>
      </c>
      <c r="H1938" s="3">
        <f t="shared" si="30"/>
        <v>2.2054794520547945</v>
      </c>
      <c r="I1938">
        <v>8</v>
      </c>
      <c r="J1938" t="s">
        <v>38</v>
      </c>
      <c r="K1938" t="s">
        <v>56</v>
      </c>
      <c r="L1938" t="s">
        <v>44</v>
      </c>
      <c r="M1938">
        <v>8.3800000000000008</v>
      </c>
      <c r="N1938">
        <v>8.26</v>
      </c>
      <c r="T1938" t="s">
        <v>45</v>
      </c>
      <c r="U1938">
        <v>4</v>
      </c>
      <c r="V1938">
        <v>7</v>
      </c>
    </row>
    <row r="1939" spans="1:22" x14ac:dyDescent="0.3">
      <c r="A1939">
        <v>1938</v>
      </c>
      <c r="B1939">
        <v>50000</v>
      </c>
      <c r="C1939" s="2">
        <v>33813</v>
      </c>
      <c r="D1939">
        <v>33</v>
      </c>
      <c r="E1939" t="s">
        <v>36</v>
      </c>
      <c r="F1939" t="s">
        <v>37</v>
      </c>
      <c r="G1939" s="2">
        <v>45217</v>
      </c>
      <c r="H1939" s="3">
        <f t="shared" si="30"/>
        <v>2.0383561643835617</v>
      </c>
      <c r="I1939">
        <v>9</v>
      </c>
      <c r="J1939" t="s">
        <v>38</v>
      </c>
      <c r="K1939" t="s">
        <v>68</v>
      </c>
      <c r="L1939" t="s">
        <v>44</v>
      </c>
      <c r="M1939">
        <v>16.78</v>
      </c>
      <c r="N1939">
        <v>16.579999999999998</v>
      </c>
      <c r="T1939" t="s">
        <v>45</v>
      </c>
      <c r="U1939">
        <v>3</v>
      </c>
      <c r="V1939">
        <v>6</v>
      </c>
    </row>
    <row r="1940" spans="1:22" x14ac:dyDescent="0.3">
      <c r="A1940">
        <v>1939</v>
      </c>
      <c r="B1940">
        <v>50005</v>
      </c>
      <c r="C1940" s="2">
        <v>38215</v>
      </c>
      <c r="D1940">
        <v>21</v>
      </c>
      <c r="E1940" t="s">
        <v>36</v>
      </c>
      <c r="F1940" t="s">
        <v>37</v>
      </c>
      <c r="G1940" s="2">
        <v>45278</v>
      </c>
      <c r="H1940" s="3">
        <f t="shared" si="30"/>
        <v>2.6136986301369864</v>
      </c>
      <c r="I1940">
        <v>9</v>
      </c>
      <c r="J1940" t="s">
        <v>38</v>
      </c>
      <c r="K1940" t="s">
        <v>56</v>
      </c>
      <c r="L1940" t="s">
        <v>44</v>
      </c>
      <c r="M1940">
        <v>8.4600000000000009</v>
      </c>
      <c r="N1940">
        <v>8.26</v>
      </c>
      <c r="T1940" t="s">
        <v>45</v>
      </c>
      <c r="U1940">
        <v>1</v>
      </c>
      <c r="V1940">
        <v>3</v>
      </c>
    </row>
    <row r="1941" spans="1:22" x14ac:dyDescent="0.3">
      <c r="A1941">
        <v>1940</v>
      </c>
      <c r="B1941">
        <v>50036</v>
      </c>
      <c r="C1941" s="2">
        <v>35200</v>
      </c>
      <c r="D1941">
        <v>29</v>
      </c>
      <c r="E1941" t="s">
        <v>36</v>
      </c>
      <c r="F1941" t="s">
        <v>50</v>
      </c>
      <c r="G1941" s="2">
        <v>45068</v>
      </c>
      <c r="H1941" s="3">
        <f t="shared" si="30"/>
        <v>1.9013698630136986</v>
      </c>
      <c r="I1941">
        <v>11</v>
      </c>
      <c r="J1941" t="s">
        <v>38</v>
      </c>
      <c r="K1941" t="s">
        <v>55</v>
      </c>
      <c r="L1941" t="s">
        <v>44</v>
      </c>
      <c r="M1941">
        <v>17.16</v>
      </c>
      <c r="N1941">
        <v>17.16</v>
      </c>
      <c r="T1941" t="s">
        <v>47</v>
      </c>
      <c r="U1941">
        <v>2</v>
      </c>
      <c r="V1941">
        <v>5</v>
      </c>
    </row>
    <row r="1942" spans="1:22" x14ac:dyDescent="0.3">
      <c r="A1942">
        <v>1941</v>
      </c>
      <c r="B1942">
        <v>50047</v>
      </c>
      <c r="C1942" s="2">
        <v>38760</v>
      </c>
      <c r="D1942">
        <v>19</v>
      </c>
      <c r="E1942" t="s">
        <v>42</v>
      </c>
      <c r="F1942" t="s">
        <v>50</v>
      </c>
      <c r="G1942" s="2">
        <v>45328</v>
      </c>
      <c r="H1942" s="3">
        <f t="shared" si="30"/>
        <v>2.6739726027397261</v>
      </c>
      <c r="I1942">
        <v>11</v>
      </c>
      <c r="J1942" t="s">
        <v>38</v>
      </c>
      <c r="K1942" t="s">
        <v>56</v>
      </c>
      <c r="L1942" t="s">
        <v>44</v>
      </c>
      <c r="M1942">
        <v>8.36</v>
      </c>
      <c r="T1942" t="s">
        <v>47</v>
      </c>
      <c r="U1942">
        <v>2</v>
      </c>
      <c r="V1942">
        <v>6</v>
      </c>
    </row>
    <row r="1943" spans="1:22" x14ac:dyDescent="0.3">
      <c r="A1943">
        <v>1942</v>
      </c>
      <c r="B1943">
        <v>50065</v>
      </c>
      <c r="C1943" s="2">
        <v>37351</v>
      </c>
      <c r="D1943">
        <v>23</v>
      </c>
      <c r="E1943" t="s">
        <v>42</v>
      </c>
      <c r="F1943" t="s">
        <v>50</v>
      </c>
      <c r="G1943" s="2">
        <v>45046</v>
      </c>
      <c r="H1943" s="3">
        <f t="shared" si="30"/>
        <v>2.484931506849315</v>
      </c>
      <c r="I1943">
        <v>12</v>
      </c>
      <c r="J1943" t="s">
        <v>38</v>
      </c>
      <c r="K1943" t="s">
        <v>56</v>
      </c>
      <c r="L1943" t="s">
        <v>44</v>
      </c>
      <c r="M1943">
        <v>8.4600000000000009</v>
      </c>
      <c r="N1943">
        <v>8.26</v>
      </c>
      <c r="T1943" t="s">
        <v>47</v>
      </c>
      <c r="U1943">
        <v>2</v>
      </c>
      <c r="V1943">
        <v>6</v>
      </c>
    </row>
    <row r="1944" spans="1:22" x14ac:dyDescent="0.3">
      <c r="A1944">
        <v>1943</v>
      </c>
      <c r="B1944">
        <v>50092</v>
      </c>
      <c r="C1944" s="2">
        <v>38664</v>
      </c>
      <c r="D1944">
        <v>20</v>
      </c>
      <c r="E1944" t="s">
        <v>42</v>
      </c>
      <c r="F1944" t="s">
        <v>50</v>
      </c>
      <c r="G1944" s="2">
        <v>45115</v>
      </c>
      <c r="H1944" s="3">
        <f t="shared" si="30"/>
        <v>1.8547945205479452</v>
      </c>
      <c r="I1944">
        <v>13</v>
      </c>
      <c r="J1944" t="s">
        <v>38</v>
      </c>
      <c r="K1944" t="s">
        <v>56</v>
      </c>
      <c r="L1944" t="s">
        <v>44</v>
      </c>
      <c r="M1944">
        <v>8.36</v>
      </c>
      <c r="N1944">
        <v>8.26</v>
      </c>
      <c r="T1944" t="s">
        <v>47</v>
      </c>
      <c r="U1944">
        <v>0</v>
      </c>
      <c r="V1944">
        <v>4</v>
      </c>
    </row>
    <row r="1945" spans="1:22" x14ac:dyDescent="0.3">
      <c r="A1945">
        <v>1944</v>
      </c>
      <c r="B1945">
        <v>50111</v>
      </c>
      <c r="C1945" s="2">
        <v>36314</v>
      </c>
      <c r="D1945">
        <v>26</v>
      </c>
      <c r="E1945" t="s">
        <v>42</v>
      </c>
      <c r="F1945" t="s">
        <v>50</v>
      </c>
      <c r="G1945" s="2">
        <v>45345</v>
      </c>
      <c r="H1945" s="3">
        <f t="shared" si="30"/>
        <v>2.5643835616438357</v>
      </c>
      <c r="I1945">
        <v>14</v>
      </c>
      <c r="J1945" t="s">
        <v>38</v>
      </c>
      <c r="K1945" t="s">
        <v>55</v>
      </c>
      <c r="L1945" t="s">
        <v>44</v>
      </c>
      <c r="M1945">
        <v>17.46</v>
      </c>
      <c r="T1945" t="s">
        <v>52</v>
      </c>
      <c r="U1945">
        <v>1</v>
      </c>
      <c r="V1945">
        <v>5</v>
      </c>
    </row>
    <row r="1946" spans="1:22" x14ac:dyDescent="0.3">
      <c r="A1946">
        <v>1945</v>
      </c>
      <c r="B1946">
        <v>50138</v>
      </c>
      <c r="C1946" s="2">
        <v>38130</v>
      </c>
      <c r="D1946">
        <v>21</v>
      </c>
      <c r="E1946" t="s">
        <v>42</v>
      </c>
      <c r="F1946" t="s">
        <v>37</v>
      </c>
      <c r="G1946" s="2">
        <v>45086</v>
      </c>
      <c r="H1946" s="3">
        <f t="shared" si="30"/>
        <v>2.8301369863013699</v>
      </c>
      <c r="I1946">
        <v>15</v>
      </c>
      <c r="J1946" t="s">
        <v>38</v>
      </c>
      <c r="K1946" t="s">
        <v>56</v>
      </c>
      <c r="L1946" t="s">
        <v>44</v>
      </c>
      <c r="M1946">
        <v>8.4600000000000009</v>
      </c>
      <c r="N1946">
        <v>8.26</v>
      </c>
      <c r="T1946" t="s">
        <v>49</v>
      </c>
      <c r="U1946">
        <v>0</v>
      </c>
      <c r="V1946">
        <v>5</v>
      </c>
    </row>
    <row r="1947" spans="1:22" x14ac:dyDescent="0.3">
      <c r="A1947">
        <v>1946</v>
      </c>
      <c r="B1947">
        <v>50170</v>
      </c>
      <c r="C1947" s="2">
        <v>38945</v>
      </c>
      <c r="D1947">
        <v>19</v>
      </c>
      <c r="E1947" t="s">
        <v>42</v>
      </c>
      <c r="F1947" t="s">
        <v>50</v>
      </c>
      <c r="G1947" s="2">
        <v>44989</v>
      </c>
      <c r="H1947" s="3">
        <f t="shared" si="30"/>
        <v>2.5178082191780824</v>
      </c>
      <c r="I1947">
        <v>16</v>
      </c>
      <c r="J1947" t="s">
        <v>38</v>
      </c>
      <c r="K1947" t="s">
        <v>56</v>
      </c>
      <c r="L1947" t="s">
        <v>44</v>
      </c>
      <c r="M1947">
        <v>8.4600000000000009</v>
      </c>
      <c r="N1947">
        <v>8.26</v>
      </c>
      <c r="T1947" t="s">
        <v>47</v>
      </c>
      <c r="U1947">
        <v>0</v>
      </c>
      <c r="V1947">
        <v>5</v>
      </c>
    </row>
    <row r="1948" spans="1:22" x14ac:dyDescent="0.3">
      <c r="A1948">
        <v>1947</v>
      </c>
      <c r="B1948">
        <v>50187</v>
      </c>
      <c r="C1948" s="2">
        <v>38402</v>
      </c>
      <c r="D1948">
        <v>20</v>
      </c>
      <c r="E1948" t="s">
        <v>42</v>
      </c>
      <c r="F1948" t="s">
        <v>50</v>
      </c>
      <c r="G1948" s="2">
        <v>45103</v>
      </c>
      <c r="H1948" s="3">
        <f t="shared" si="30"/>
        <v>2.536986301369863</v>
      </c>
      <c r="I1948">
        <v>17</v>
      </c>
      <c r="J1948" t="s">
        <v>38</v>
      </c>
      <c r="K1948" t="s">
        <v>56</v>
      </c>
      <c r="L1948" t="s">
        <v>44</v>
      </c>
      <c r="M1948">
        <v>8.4600000000000009</v>
      </c>
      <c r="N1948">
        <v>8.26</v>
      </c>
      <c r="T1948" t="s">
        <v>52</v>
      </c>
      <c r="U1948">
        <v>1</v>
      </c>
      <c r="V1948">
        <v>6</v>
      </c>
    </row>
    <row r="1949" spans="1:22" x14ac:dyDescent="0.3">
      <c r="A1949">
        <v>1948</v>
      </c>
      <c r="B1949">
        <v>50194</v>
      </c>
      <c r="C1949" s="2">
        <v>38482</v>
      </c>
      <c r="D1949">
        <v>20</v>
      </c>
      <c r="E1949" t="s">
        <v>42</v>
      </c>
      <c r="F1949" t="s">
        <v>50</v>
      </c>
      <c r="G1949" s="2">
        <v>45096</v>
      </c>
      <c r="H1949" s="3">
        <f t="shared" si="30"/>
        <v>2.4602739726027396</v>
      </c>
      <c r="I1949">
        <v>17</v>
      </c>
      <c r="J1949" t="s">
        <v>38</v>
      </c>
      <c r="K1949" t="s">
        <v>56</v>
      </c>
      <c r="L1949" t="s">
        <v>44</v>
      </c>
      <c r="M1949">
        <v>8.4600000000000009</v>
      </c>
      <c r="N1949">
        <v>8.26</v>
      </c>
      <c r="T1949" t="s">
        <v>47</v>
      </c>
      <c r="U1949">
        <v>2</v>
      </c>
      <c r="V1949">
        <v>5</v>
      </c>
    </row>
    <row r="1950" spans="1:22" x14ac:dyDescent="0.3">
      <c r="A1950">
        <v>1949</v>
      </c>
      <c r="B1950">
        <v>50195</v>
      </c>
      <c r="C1950" s="2">
        <v>37104</v>
      </c>
      <c r="D1950">
        <v>25</v>
      </c>
      <c r="E1950" t="s">
        <v>42</v>
      </c>
      <c r="F1950" t="s">
        <v>50</v>
      </c>
      <c r="G1950" s="2">
        <v>45124</v>
      </c>
      <c r="H1950" s="3">
        <f t="shared" si="30"/>
        <v>1.978082191780822</v>
      </c>
      <c r="I1950">
        <v>18</v>
      </c>
      <c r="J1950" t="s">
        <v>38</v>
      </c>
      <c r="K1950" t="s">
        <v>65</v>
      </c>
      <c r="L1950" t="s">
        <v>44</v>
      </c>
      <c r="M1950">
        <v>10.58</v>
      </c>
      <c r="N1950">
        <v>10.38</v>
      </c>
      <c r="T1950" t="s">
        <v>49</v>
      </c>
      <c r="U1950">
        <v>1</v>
      </c>
      <c r="V1950">
        <v>6</v>
      </c>
    </row>
    <row r="1951" spans="1:22" x14ac:dyDescent="0.3">
      <c r="A1951">
        <v>1950</v>
      </c>
      <c r="B1951">
        <v>50212</v>
      </c>
      <c r="C1951" s="2">
        <v>37378</v>
      </c>
      <c r="D1951">
        <v>23</v>
      </c>
      <c r="E1951" t="s">
        <v>36</v>
      </c>
      <c r="F1951" t="s">
        <v>37</v>
      </c>
      <c r="G1951" s="2">
        <v>45300</v>
      </c>
      <c r="H1951" s="3">
        <f t="shared" si="30"/>
        <v>2.591780821917808</v>
      </c>
      <c r="I1951">
        <v>19</v>
      </c>
      <c r="J1951" t="s">
        <v>38</v>
      </c>
      <c r="K1951" t="s">
        <v>68</v>
      </c>
      <c r="L1951" t="s">
        <v>44</v>
      </c>
      <c r="M1951">
        <v>16.84</v>
      </c>
      <c r="T1951" t="s">
        <v>52</v>
      </c>
      <c r="U1951">
        <v>2</v>
      </c>
      <c r="V1951">
        <v>3</v>
      </c>
    </row>
    <row r="1952" spans="1:22" x14ac:dyDescent="0.3">
      <c r="A1952">
        <v>1951</v>
      </c>
      <c r="B1952">
        <v>50216</v>
      </c>
      <c r="C1952" s="2">
        <v>38709</v>
      </c>
      <c r="D1952">
        <v>20</v>
      </c>
      <c r="E1952" t="s">
        <v>36</v>
      </c>
      <c r="F1952" t="s">
        <v>50</v>
      </c>
      <c r="G1952" s="2">
        <v>45076</v>
      </c>
      <c r="H1952" s="3">
        <f t="shared" si="30"/>
        <v>2.0356164383561643</v>
      </c>
      <c r="I1952">
        <v>19</v>
      </c>
      <c r="J1952" t="s">
        <v>38</v>
      </c>
      <c r="K1952" t="s">
        <v>56</v>
      </c>
      <c r="L1952" t="s">
        <v>44</v>
      </c>
      <c r="M1952">
        <v>8.5299999999999994</v>
      </c>
      <c r="N1952">
        <v>8.26</v>
      </c>
      <c r="T1952" t="s">
        <v>47</v>
      </c>
      <c r="U1952">
        <v>1</v>
      </c>
      <c r="V1952">
        <v>5</v>
      </c>
    </row>
    <row r="1953" spans="1:22" x14ac:dyDescent="0.3">
      <c r="A1953">
        <v>1952</v>
      </c>
      <c r="B1953">
        <v>50217</v>
      </c>
      <c r="C1953" s="2">
        <v>37395</v>
      </c>
      <c r="D1953">
        <v>23</v>
      </c>
      <c r="E1953" t="s">
        <v>42</v>
      </c>
      <c r="F1953" t="s">
        <v>50</v>
      </c>
      <c r="G1953" s="2">
        <v>45279</v>
      </c>
      <c r="H1953" s="3">
        <f t="shared" si="30"/>
        <v>2.4575342465753423</v>
      </c>
      <c r="I1953">
        <v>19</v>
      </c>
      <c r="J1953" t="s">
        <v>38</v>
      </c>
      <c r="K1953" t="s">
        <v>56</v>
      </c>
      <c r="L1953" t="s">
        <v>44</v>
      </c>
      <c r="M1953">
        <v>8.5399999999999991</v>
      </c>
      <c r="N1953">
        <v>8.26</v>
      </c>
      <c r="T1953" t="s">
        <v>52</v>
      </c>
      <c r="U1953">
        <v>2</v>
      </c>
      <c r="V1953">
        <v>6</v>
      </c>
    </row>
    <row r="1954" spans="1:22" x14ac:dyDescent="0.3">
      <c r="A1954">
        <v>1953</v>
      </c>
      <c r="B1954">
        <v>50220</v>
      </c>
      <c r="C1954" s="2">
        <v>36680</v>
      </c>
      <c r="D1954">
        <v>25</v>
      </c>
      <c r="E1954" t="s">
        <v>42</v>
      </c>
      <c r="F1954" t="s">
        <v>50</v>
      </c>
      <c r="G1954" s="2">
        <v>45125</v>
      </c>
      <c r="H1954" s="3">
        <f t="shared" si="30"/>
        <v>2.6219178082191781</v>
      </c>
      <c r="I1954">
        <v>20</v>
      </c>
      <c r="J1954" t="s">
        <v>38</v>
      </c>
      <c r="K1954" t="s">
        <v>68</v>
      </c>
      <c r="L1954" t="s">
        <v>44</v>
      </c>
      <c r="M1954">
        <v>16.87</v>
      </c>
      <c r="N1954">
        <v>16.579999999999998</v>
      </c>
      <c r="T1954" t="s">
        <v>47</v>
      </c>
      <c r="U1954">
        <v>1</v>
      </c>
      <c r="V1954">
        <v>6</v>
      </c>
    </row>
    <row r="1955" spans="1:22" x14ac:dyDescent="0.3">
      <c r="A1955">
        <v>1954</v>
      </c>
      <c r="B1955">
        <v>50225</v>
      </c>
      <c r="C1955" s="2">
        <v>37894</v>
      </c>
      <c r="D1955">
        <v>22</v>
      </c>
      <c r="E1955" t="s">
        <v>42</v>
      </c>
      <c r="F1955" t="s">
        <v>50</v>
      </c>
      <c r="G1955" s="2">
        <v>45065</v>
      </c>
      <c r="H1955" s="3">
        <f t="shared" si="30"/>
        <v>2.2739726027397262</v>
      </c>
      <c r="I1955">
        <v>20</v>
      </c>
      <c r="J1955" t="s">
        <v>38</v>
      </c>
      <c r="K1955" t="s">
        <v>48</v>
      </c>
      <c r="L1955" t="s">
        <v>44</v>
      </c>
      <c r="M1955">
        <v>8.5500000000000007</v>
      </c>
      <c r="N1955">
        <v>8.26</v>
      </c>
      <c r="T1955" t="s">
        <v>45</v>
      </c>
      <c r="U1955">
        <v>2</v>
      </c>
      <c r="V1955">
        <v>6</v>
      </c>
    </row>
    <row r="1956" spans="1:22" x14ac:dyDescent="0.3">
      <c r="A1956">
        <v>1955</v>
      </c>
      <c r="B1956">
        <v>50227</v>
      </c>
      <c r="C1956" s="2">
        <v>34206</v>
      </c>
      <c r="D1956">
        <v>32</v>
      </c>
      <c r="E1956" t="s">
        <v>36</v>
      </c>
      <c r="F1956" t="s">
        <v>50</v>
      </c>
      <c r="G1956" s="2">
        <v>45192</v>
      </c>
      <c r="H1956" s="3">
        <f t="shared" si="30"/>
        <v>2.3150684931506849</v>
      </c>
      <c r="I1956">
        <v>20</v>
      </c>
      <c r="J1956" t="s">
        <v>38</v>
      </c>
      <c r="K1956" t="s">
        <v>55</v>
      </c>
      <c r="L1956" t="s">
        <v>44</v>
      </c>
      <c r="M1956">
        <v>17.399999999999999</v>
      </c>
      <c r="N1956">
        <v>17.16</v>
      </c>
      <c r="T1956" t="s">
        <v>45</v>
      </c>
      <c r="U1956">
        <v>2</v>
      </c>
      <c r="V1956">
        <v>4</v>
      </c>
    </row>
    <row r="1957" spans="1:22" x14ac:dyDescent="0.3">
      <c r="A1957">
        <v>1956</v>
      </c>
      <c r="B1957">
        <v>50232</v>
      </c>
      <c r="C1957" s="2">
        <v>38083</v>
      </c>
      <c r="D1957">
        <v>21</v>
      </c>
      <c r="E1957" t="s">
        <v>42</v>
      </c>
      <c r="F1957" t="s">
        <v>50</v>
      </c>
      <c r="G1957" s="2">
        <v>45177</v>
      </c>
      <c r="H1957" s="3">
        <f t="shared" si="30"/>
        <v>2.0465753424657533</v>
      </c>
      <c r="I1957">
        <v>20</v>
      </c>
      <c r="J1957" t="s">
        <v>38</v>
      </c>
      <c r="K1957" t="s">
        <v>56</v>
      </c>
      <c r="L1957" t="s">
        <v>44</v>
      </c>
      <c r="M1957">
        <v>8.5299999999999994</v>
      </c>
      <c r="N1957">
        <v>8.26</v>
      </c>
      <c r="T1957" t="s">
        <v>47</v>
      </c>
      <c r="U1957">
        <v>4</v>
      </c>
      <c r="V1957">
        <v>7</v>
      </c>
    </row>
    <row r="1958" spans="1:22" x14ac:dyDescent="0.3">
      <c r="A1958">
        <v>1957</v>
      </c>
      <c r="B1958">
        <v>50287</v>
      </c>
      <c r="C1958" s="2">
        <v>36557</v>
      </c>
      <c r="D1958">
        <v>26</v>
      </c>
      <c r="E1958" t="s">
        <v>42</v>
      </c>
      <c r="F1958" t="s">
        <v>50</v>
      </c>
      <c r="G1958" s="2">
        <v>45275</v>
      </c>
      <c r="H1958" s="3">
        <f t="shared" si="30"/>
        <v>1.9150684931506849</v>
      </c>
      <c r="I1958">
        <v>23</v>
      </c>
      <c r="J1958" t="s">
        <v>38</v>
      </c>
      <c r="K1958" t="s">
        <v>68</v>
      </c>
      <c r="L1958" t="s">
        <v>44</v>
      </c>
      <c r="M1958">
        <v>16.78</v>
      </c>
      <c r="N1958">
        <v>16.579999999999998</v>
      </c>
      <c r="T1958" t="s">
        <v>47</v>
      </c>
      <c r="U1958">
        <v>2</v>
      </c>
      <c r="V1958">
        <v>5</v>
      </c>
    </row>
    <row r="1959" spans="1:22" x14ac:dyDescent="0.3">
      <c r="A1959">
        <v>1958</v>
      </c>
      <c r="B1959">
        <v>50297</v>
      </c>
      <c r="C1959" s="2">
        <v>38528</v>
      </c>
      <c r="D1959">
        <v>20</v>
      </c>
      <c r="E1959" t="s">
        <v>42</v>
      </c>
      <c r="F1959" t="s">
        <v>37</v>
      </c>
      <c r="G1959" s="2">
        <v>45323</v>
      </c>
      <c r="H1959" s="3">
        <f t="shared" si="30"/>
        <v>2.117808219178082</v>
      </c>
      <c r="I1959">
        <v>23</v>
      </c>
      <c r="J1959" t="s">
        <v>38</v>
      </c>
      <c r="K1959" t="s">
        <v>56</v>
      </c>
      <c r="L1959" t="s">
        <v>44</v>
      </c>
      <c r="M1959">
        <v>8.4600000000000009</v>
      </c>
      <c r="T1959" t="s">
        <v>47</v>
      </c>
      <c r="U1959">
        <v>1</v>
      </c>
      <c r="V1959">
        <v>6</v>
      </c>
    </row>
    <row r="1960" spans="1:22" x14ac:dyDescent="0.3">
      <c r="A1960">
        <v>1959</v>
      </c>
      <c r="B1960">
        <v>50302</v>
      </c>
      <c r="C1960" s="2">
        <v>37410</v>
      </c>
      <c r="D1960">
        <v>23</v>
      </c>
      <c r="E1960" t="s">
        <v>36</v>
      </c>
      <c r="F1960" t="s">
        <v>37</v>
      </c>
      <c r="G1960" s="2">
        <v>45249</v>
      </c>
      <c r="H1960" s="3">
        <f t="shared" si="30"/>
        <v>2.8246575342465752</v>
      </c>
      <c r="I1960">
        <v>24</v>
      </c>
      <c r="J1960" t="s">
        <v>38</v>
      </c>
      <c r="K1960" t="s">
        <v>68</v>
      </c>
      <c r="L1960" t="s">
        <v>44</v>
      </c>
      <c r="M1960">
        <v>16.78</v>
      </c>
      <c r="N1960">
        <v>16.579999999999998</v>
      </c>
      <c r="T1960" t="s">
        <v>47</v>
      </c>
      <c r="U1960">
        <v>2</v>
      </c>
      <c r="V1960">
        <v>4</v>
      </c>
    </row>
    <row r="1961" spans="1:22" x14ac:dyDescent="0.3">
      <c r="A1961">
        <v>1960</v>
      </c>
      <c r="B1961">
        <v>50305</v>
      </c>
      <c r="C1961" s="2">
        <v>37316</v>
      </c>
      <c r="D1961">
        <v>24</v>
      </c>
      <c r="E1961" t="s">
        <v>42</v>
      </c>
      <c r="F1961" t="s">
        <v>50</v>
      </c>
      <c r="G1961" s="2">
        <v>44991</v>
      </c>
      <c r="H1961" s="3">
        <f t="shared" si="30"/>
        <v>2.536986301369863</v>
      </c>
      <c r="I1961">
        <v>24</v>
      </c>
      <c r="J1961" t="s">
        <v>38</v>
      </c>
      <c r="K1961" t="s">
        <v>56</v>
      </c>
      <c r="L1961" t="s">
        <v>44</v>
      </c>
      <c r="M1961">
        <v>8.4600000000000009</v>
      </c>
      <c r="N1961">
        <v>8.26</v>
      </c>
      <c r="T1961" t="s">
        <v>49</v>
      </c>
      <c r="U1961">
        <v>0</v>
      </c>
      <c r="V1961">
        <v>6</v>
      </c>
    </row>
    <row r="1962" spans="1:22" x14ac:dyDescent="0.3">
      <c r="A1962">
        <v>1961</v>
      </c>
      <c r="B1962">
        <v>50335</v>
      </c>
      <c r="C1962" s="2">
        <v>37442</v>
      </c>
      <c r="D1962">
        <v>23</v>
      </c>
      <c r="E1962" t="s">
        <v>42</v>
      </c>
      <c r="F1962" t="s">
        <v>50</v>
      </c>
      <c r="G1962" s="2">
        <v>45096</v>
      </c>
      <c r="H1962" s="3">
        <f t="shared" si="30"/>
        <v>2.6082191780821917</v>
      </c>
      <c r="I1962">
        <v>25</v>
      </c>
      <c r="J1962" t="s">
        <v>38</v>
      </c>
      <c r="K1962" t="s">
        <v>56</v>
      </c>
      <c r="L1962" t="s">
        <v>44</v>
      </c>
      <c r="M1962">
        <v>8.4600000000000009</v>
      </c>
      <c r="N1962">
        <v>8.26</v>
      </c>
      <c r="T1962" t="s">
        <v>52</v>
      </c>
      <c r="U1962">
        <v>2</v>
      </c>
      <c r="V1962">
        <v>7</v>
      </c>
    </row>
    <row r="1963" spans="1:22" x14ac:dyDescent="0.3">
      <c r="A1963">
        <v>1962</v>
      </c>
      <c r="B1963">
        <v>50367</v>
      </c>
      <c r="C1963" s="2">
        <v>37934</v>
      </c>
      <c r="D1963">
        <v>22</v>
      </c>
      <c r="E1963" t="s">
        <v>42</v>
      </c>
      <c r="F1963" t="s">
        <v>50</v>
      </c>
      <c r="G1963" s="2">
        <v>45070</v>
      </c>
      <c r="H1963" s="3">
        <f t="shared" si="30"/>
        <v>2.3835616438356166</v>
      </c>
      <c r="I1963">
        <v>26</v>
      </c>
      <c r="J1963" t="s">
        <v>38</v>
      </c>
      <c r="K1963" t="s">
        <v>56</v>
      </c>
      <c r="L1963" t="s">
        <v>44</v>
      </c>
      <c r="M1963">
        <v>8.4600000000000009</v>
      </c>
      <c r="N1963">
        <v>8.26</v>
      </c>
      <c r="T1963" t="s">
        <v>47</v>
      </c>
      <c r="U1963">
        <v>2</v>
      </c>
      <c r="V1963">
        <v>6</v>
      </c>
    </row>
    <row r="1964" spans="1:22" x14ac:dyDescent="0.3">
      <c r="A1964">
        <v>1963</v>
      </c>
      <c r="B1964">
        <v>50386</v>
      </c>
      <c r="C1964" s="2">
        <v>35125</v>
      </c>
      <c r="D1964">
        <v>30</v>
      </c>
      <c r="E1964" t="s">
        <v>36</v>
      </c>
      <c r="F1964" t="s">
        <v>37</v>
      </c>
      <c r="G1964" s="2">
        <v>45152</v>
      </c>
      <c r="H1964" s="3">
        <f t="shared" si="30"/>
        <v>1.904109589041096</v>
      </c>
      <c r="I1964">
        <v>27</v>
      </c>
      <c r="J1964" t="s">
        <v>38</v>
      </c>
      <c r="K1964" t="s">
        <v>54</v>
      </c>
      <c r="L1964" t="s">
        <v>44</v>
      </c>
      <c r="M1964">
        <v>23.35</v>
      </c>
      <c r="N1964">
        <v>23.2</v>
      </c>
      <c r="T1964" t="s">
        <v>49</v>
      </c>
      <c r="U1964">
        <v>7</v>
      </c>
      <c r="V1964">
        <v>5</v>
      </c>
    </row>
    <row r="1965" spans="1:22" x14ac:dyDescent="0.3">
      <c r="A1965">
        <v>1964</v>
      </c>
      <c r="B1965">
        <v>50413</v>
      </c>
      <c r="C1965" s="2">
        <v>36800</v>
      </c>
      <c r="D1965">
        <v>26</v>
      </c>
      <c r="E1965" t="s">
        <v>42</v>
      </c>
      <c r="F1965" t="s">
        <v>37</v>
      </c>
      <c r="G1965" s="2">
        <v>45327</v>
      </c>
      <c r="H1965" s="3">
        <f t="shared" si="30"/>
        <v>2.4438356164383563</v>
      </c>
      <c r="I1965">
        <v>28</v>
      </c>
      <c r="J1965" t="s">
        <v>38</v>
      </c>
      <c r="K1965" t="s">
        <v>68</v>
      </c>
      <c r="L1965" t="s">
        <v>44</v>
      </c>
      <c r="M1965">
        <v>16.68</v>
      </c>
      <c r="T1965" t="s">
        <v>45</v>
      </c>
      <c r="U1965">
        <v>1</v>
      </c>
      <c r="V1965">
        <v>5</v>
      </c>
    </row>
    <row r="1966" spans="1:22" x14ac:dyDescent="0.3">
      <c r="A1966">
        <v>1965</v>
      </c>
      <c r="B1966">
        <v>50422</v>
      </c>
      <c r="C1966" s="2">
        <v>34772</v>
      </c>
      <c r="D1966">
        <v>30</v>
      </c>
      <c r="E1966" t="s">
        <v>42</v>
      </c>
      <c r="F1966" t="s">
        <v>50</v>
      </c>
      <c r="G1966" s="2">
        <v>45130</v>
      </c>
      <c r="H1966" s="3">
        <f t="shared" si="30"/>
        <v>2.1315068493150684</v>
      </c>
      <c r="I1966">
        <v>28</v>
      </c>
      <c r="J1966" t="s">
        <v>38</v>
      </c>
      <c r="K1966" t="s">
        <v>55</v>
      </c>
      <c r="L1966" t="s">
        <v>44</v>
      </c>
      <c r="M1966">
        <v>17.309999999999999</v>
      </c>
      <c r="N1966">
        <v>17.16</v>
      </c>
      <c r="T1966" t="s">
        <v>49</v>
      </c>
      <c r="U1966">
        <v>2</v>
      </c>
      <c r="V1966">
        <v>7</v>
      </c>
    </row>
    <row r="1967" spans="1:22" x14ac:dyDescent="0.3">
      <c r="A1967">
        <v>1966</v>
      </c>
      <c r="B1967">
        <v>50437</v>
      </c>
      <c r="C1967" s="2">
        <v>38350</v>
      </c>
      <c r="D1967">
        <v>21</v>
      </c>
      <c r="E1967" t="s">
        <v>42</v>
      </c>
      <c r="F1967" t="s">
        <v>50</v>
      </c>
      <c r="G1967" s="2">
        <v>45244</v>
      </c>
      <c r="H1967" s="3">
        <f t="shared" si="30"/>
        <v>2.2904109589041095</v>
      </c>
      <c r="I1967">
        <v>28</v>
      </c>
      <c r="J1967" t="s">
        <v>38</v>
      </c>
      <c r="K1967" t="s">
        <v>56</v>
      </c>
      <c r="L1967" t="s">
        <v>44</v>
      </c>
      <c r="M1967">
        <v>8.36</v>
      </c>
      <c r="N1967">
        <v>8.26</v>
      </c>
      <c r="T1967" t="s">
        <v>47</v>
      </c>
      <c r="U1967">
        <v>1</v>
      </c>
      <c r="V1967">
        <v>6</v>
      </c>
    </row>
    <row r="1968" spans="1:22" x14ac:dyDescent="0.3">
      <c r="A1968">
        <v>1967</v>
      </c>
      <c r="B1968">
        <v>50442</v>
      </c>
      <c r="C1968" s="2">
        <v>37255</v>
      </c>
      <c r="D1968">
        <v>24</v>
      </c>
      <c r="E1968" t="s">
        <v>36</v>
      </c>
      <c r="F1968" t="s">
        <v>50</v>
      </c>
      <c r="G1968" s="2">
        <v>45186</v>
      </c>
      <c r="H1968" s="3">
        <f t="shared" si="30"/>
        <v>2.6027397260273974</v>
      </c>
      <c r="I1968">
        <v>29</v>
      </c>
      <c r="J1968" t="s">
        <v>38</v>
      </c>
      <c r="K1968" t="s">
        <v>65</v>
      </c>
      <c r="L1968" t="s">
        <v>44</v>
      </c>
      <c r="M1968">
        <v>10.48</v>
      </c>
      <c r="N1968">
        <v>10.38</v>
      </c>
      <c r="T1968" t="s">
        <v>47</v>
      </c>
      <c r="U1968">
        <v>0</v>
      </c>
      <c r="V1968">
        <v>5</v>
      </c>
    </row>
    <row r="1969" spans="1:22" x14ac:dyDescent="0.3">
      <c r="A1969">
        <v>1968</v>
      </c>
      <c r="B1969">
        <v>50458</v>
      </c>
      <c r="C1969" s="2">
        <v>38099</v>
      </c>
      <c r="D1969">
        <v>21</v>
      </c>
      <c r="E1969" t="s">
        <v>42</v>
      </c>
      <c r="F1969" t="s">
        <v>37</v>
      </c>
      <c r="G1969" s="2">
        <v>45072</v>
      </c>
      <c r="H1969" s="3">
        <f t="shared" si="30"/>
        <v>2.6849315068493151</v>
      </c>
      <c r="I1969">
        <v>29</v>
      </c>
      <c r="J1969" t="s">
        <v>38</v>
      </c>
      <c r="K1969" t="s">
        <v>56</v>
      </c>
      <c r="L1969" t="s">
        <v>44</v>
      </c>
      <c r="M1969">
        <v>8.36</v>
      </c>
      <c r="N1969">
        <v>8.26</v>
      </c>
      <c r="T1969" t="s">
        <v>49</v>
      </c>
      <c r="U1969">
        <v>3</v>
      </c>
      <c r="V1969">
        <v>5</v>
      </c>
    </row>
    <row r="1970" spans="1:22" x14ac:dyDescent="0.3">
      <c r="A1970">
        <v>1969</v>
      </c>
      <c r="B1970">
        <v>50474</v>
      </c>
      <c r="C1970" s="2">
        <v>35785</v>
      </c>
      <c r="D1970">
        <v>28</v>
      </c>
      <c r="E1970" t="s">
        <v>42</v>
      </c>
      <c r="F1970" t="s">
        <v>37</v>
      </c>
      <c r="G1970" s="2">
        <v>45042</v>
      </c>
      <c r="H1970" s="3">
        <f t="shared" si="30"/>
        <v>2.6410958904109587</v>
      </c>
      <c r="I1970">
        <v>30</v>
      </c>
      <c r="J1970" t="s">
        <v>38</v>
      </c>
      <c r="K1970" t="s">
        <v>56</v>
      </c>
      <c r="L1970" t="s">
        <v>44</v>
      </c>
      <c r="M1970">
        <v>8.4600000000000009</v>
      </c>
      <c r="N1970">
        <v>8.26</v>
      </c>
      <c r="T1970" t="s">
        <v>49</v>
      </c>
      <c r="U1970">
        <v>2</v>
      </c>
      <c r="V1970">
        <v>5</v>
      </c>
    </row>
    <row r="1971" spans="1:22" x14ac:dyDescent="0.3">
      <c r="A1971">
        <v>1970</v>
      </c>
      <c r="B1971">
        <v>50488</v>
      </c>
      <c r="C1971" s="2">
        <v>38269</v>
      </c>
      <c r="D1971">
        <v>21</v>
      </c>
      <c r="E1971" t="s">
        <v>42</v>
      </c>
      <c r="F1971" t="s">
        <v>50</v>
      </c>
      <c r="G1971" s="2">
        <v>45058</v>
      </c>
      <c r="H1971" s="3">
        <f t="shared" si="30"/>
        <v>1.8904109589041096</v>
      </c>
      <c r="I1971">
        <v>31</v>
      </c>
      <c r="J1971" t="s">
        <v>38</v>
      </c>
      <c r="K1971" t="s">
        <v>56</v>
      </c>
      <c r="L1971" t="s">
        <v>44</v>
      </c>
      <c r="M1971">
        <v>8.36</v>
      </c>
      <c r="N1971">
        <v>8.26</v>
      </c>
      <c r="T1971" t="s">
        <v>47</v>
      </c>
      <c r="U1971">
        <v>0</v>
      </c>
      <c r="V1971">
        <v>7</v>
      </c>
    </row>
    <row r="1972" spans="1:22" x14ac:dyDescent="0.3">
      <c r="A1972">
        <v>1971</v>
      </c>
      <c r="B1972">
        <v>50492</v>
      </c>
      <c r="C1972" s="2">
        <v>36051</v>
      </c>
      <c r="D1972">
        <v>27</v>
      </c>
      <c r="E1972" t="s">
        <v>42</v>
      </c>
      <c r="F1972" t="s">
        <v>50</v>
      </c>
      <c r="G1972" s="2">
        <v>45332</v>
      </c>
      <c r="H1972" s="3">
        <f t="shared" si="30"/>
        <v>1.9150684931506849</v>
      </c>
      <c r="I1972">
        <v>31</v>
      </c>
      <c r="J1972" t="s">
        <v>38</v>
      </c>
      <c r="K1972" t="s">
        <v>56</v>
      </c>
      <c r="L1972" t="s">
        <v>44</v>
      </c>
      <c r="M1972">
        <v>8.36</v>
      </c>
      <c r="T1972" t="s">
        <v>47</v>
      </c>
      <c r="U1972">
        <v>1</v>
      </c>
      <c r="V1972">
        <v>5</v>
      </c>
    </row>
    <row r="1973" spans="1:22" x14ac:dyDescent="0.3">
      <c r="A1973">
        <v>1972</v>
      </c>
      <c r="B1973">
        <v>50507</v>
      </c>
      <c r="C1973" s="2">
        <v>38763</v>
      </c>
      <c r="D1973">
        <v>19</v>
      </c>
      <c r="E1973" t="s">
        <v>42</v>
      </c>
      <c r="F1973" t="s">
        <v>37</v>
      </c>
      <c r="G1973" s="2">
        <v>45323</v>
      </c>
      <c r="H1973" s="3">
        <f t="shared" si="30"/>
        <v>2.419178082191781</v>
      </c>
      <c r="I1973">
        <v>32</v>
      </c>
      <c r="J1973" t="s">
        <v>38</v>
      </c>
      <c r="K1973" t="s">
        <v>56</v>
      </c>
      <c r="L1973" t="s">
        <v>44</v>
      </c>
      <c r="M1973">
        <v>8.4600000000000009</v>
      </c>
      <c r="T1973" t="s">
        <v>47</v>
      </c>
      <c r="U1973">
        <v>2</v>
      </c>
      <c r="V1973">
        <v>5</v>
      </c>
    </row>
    <row r="1974" spans="1:22" x14ac:dyDescent="0.3">
      <c r="A1974">
        <v>1973</v>
      </c>
      <c r="B1974">
        <v>50511</v>
      </c>
      <c r="C1974" s="2">
        <v>34413</v>
      </c>
      <c r="D1974">
        <v>31</v>
      </c>
      <c r="E1974" t="s">
        <v>42</v>
      </c>
      <c r="F1974" t="s">
        <v>37</v>
      </c>
      <c r="G1974" s="2">
        <v>45139</v>
      </c>
      <c r="H1974" s="3">
        <f t="shared" si="30"/>
        <v>1.9260273972602739</v>
      </c>
      <c r="I1974">
        <v>32</v>
      </c>
      <c r="J1974" t="s">
        <v>38</v>
      </c>
      <c r="K1974" t="s">
        <v>56</v>
      </c>
      <c r="L1974" t="s">
        <v>44</v>
      </c>
      <c r="M1974">
        <v>8.4600000000000009</v>
      </c>
      <c r="N1974">
        <v>8.26</v>
      </c>
      <c r="T1974" t="s">
        <v>52</v>
      </c>
      <c r="U1974">
        <v>1</v>
      </c>
      <c r="V1974">
        <v>5</v>
      </c>
    </row>
    <row r="1975" spans="1:22" x14ac:dyDescent="0.3">
      <c r="A1975">
        <v>1974</v>
      </c>
      <c r="B1975">
        <v>50531</v>
      </c>
      <c r="C1975" s="2">
        <v>37376</v>
      </c>
      <c r="D1975">
        <v>23</v>
      </c>
      <c r="E1975" t="s">
        <v>42</v>
      </c>
      <c r="F1975" t="s">
        <v>50</v>
      </c>
      <c r="G1975" s="2">
        <v>45319</v>
      </c>
      <c r="H1975" s="3">
        <f t="shared" si="30"/>
        <v>2.2109589041095892</v>
      </c>
      <c r="I1975">
        <v>34</v>
      </c>
      <c r="J1975" t="s">
        <v>38</v>
      </c>
      <c r="K1975" t="s">
        <v>56</v>
      </c>
      <c r="L1975" t="s">
        <v>44</v>
      </c>
      <c r="M1975">
        <v>8.4600000000000009</v>
      </c>
      <c r="T1975" t="s">
        <v>47</v>
      </c>
      <c r="U1975">
        <v>4</v>
      </c>
      <c r="V1975">
        <v>6</v>
      </c>
    </row>
    <row r="1976" spans="1:22" x14ac:dyDescent="0.3">
      <c r="A1976">
        <v>1975</v>
      </c>
      <c r="B1976">
        <v>50543</v>
      </c>
      <c r="C1976" s="2">
        <v>36681</v>
      </c>
      <c r="D1976">
        <v>25</v>
      </c>
      <c r="E1976" t="s">
        <v>42</v>
      </c>
      <c r="F1976" t="s">
        <v>50</v>
      </c>
      <c r="G1976" s="2">
        <v>45215</v>
      </c>
      <c r="H1976" s="3">
        <f t="shared" si="30"/>
        <v>1.9863013698630136</v>
      </c>
      <c r="I1976">
        <v>35</v>
      </c>
      <c r="J1976" t="s">
        <v>38</v>
      </c>
      <c r="K1976" t="s">
        <v>68</v>
      </c>
      <c r="L1976" t="s">
        <v>44</v>
      </c>
      <c r="M1976">
        <v>16.78</v>
      </c>
      <c r="N1976">
        <v>16.579999999999998</v>
      </c>
      <c r="T1976" t="s">
        <v>47</v>
      </c>
      <c r="U1976">
        <v>1</v>
      </c>
      <c r="V1976">
        <v>6</v>
      </c>
    </row>
    <row r="1977" spans="1:22" x14ac:dyDescent="0.3">
      <c r="A1977">
        <v>1976</v>
      </c>
      <c r="B1977">
        <v>50552</v>
      </c>
      <c r="C1977" s="2">
        <v>35586</v>
      </c>
      <c r="D1977">
        <v>28</v>
      </c>
      <c r="E1977" t="s">
        <v>36</v>
      </c>
      <c r="F1977" t="s">
        <v>37</v>
      </c>
      <c r="G1977" s="2">
        <v>45297</v>
      </c>
      <c r="H1977" s="3">
        <f t="shared" si="30"/>
        <v>2.1260273972602741</v>
      </c>
      <c r="I1977">
        <v>35</v>
      </c>
      <c r="J1977" t="s">
        <v>38</v>
      </c>
      <c r="K1977" t="s">
        <v>56</v>
      </c>
      <c r="L1977" t="s">
        <v>44</v>
      </c>
      <c r="M1977">
        <v>8.4600000000000009</v>
      </c>
      <c r="T1977" t="s">
        <v>49</v>
      </c>
      <c r="U1977">
        <v>2</v>
      </c>
      <c r="V1977">
        <v>3</v>
      </c>
    </row>
    <row r="1978" spans="1:22" x14ac:dyDescent="0.3">
      <c r="A1978">
        <v>1977</v>
      </c>
      <c r="B1978">
        <v>50557</v>
      </c>
      <c r="C1978" s="2">
        <v>38632</v>
      </c>
      <c r="D1978">
        <v>20</v>
      </c>
      <c r="E1978" t="s">
        <v>36</v>
      </c>
      <c r="F1978" t="s">
        <v>37</v>
      </c>
      <c r="G1978" s="2">
        <v>45246</v>
      </c>
      <c r="H1978" s="3">
        <f t="shared" si="30"/>
        <v>1.904109589041096</v>
      </c>
      <c r="I1978">
        <v>35</v>
      </c>
      <c r="J1978" t="s">
        <v>38</v>
      </c>
      <c r="K1978" t="s">
        <v>56</v>
      </c>
      <c r="L1978" t="s">
        <v>44</v>
      </c>
      <c r="M1978">
        <v>8.4600000000000009</v>
      </c>
      <c r="N1978">
        <v>8.26</v>
      </c>
      <c r="T1978" t="s">
        <v>52</v>
      </c>
      <c r="U1978">
        <v>2</v>
      </c>
      <c r="V1978">
        <v>4</v>
      </c>
    </row>
    <row r="1979" spans="1:22" x14ac:dyDescent="0.3">
      <c r="A1979">
        <v>1978</v>
      </c>
      <c r="B1979">
        <v>50574</v>
      </c>
      <c r="C1979" s="2">
        <v>34597</v>
      </c>
      <c r="D1979">
        <v>31</v>
      </c>
      <c r="E1979" t="s">
        <v>42</v>
      </c>
      <c r="F1979" t="s">
        <v>50</v>
      </c>
      <c r="G1979" s="2">
        <v>45327</v>
      </c>
      <c r="H1979" s="3">
        <f t="shared" si="30"/>
        <v>2.558904109589041</v>
      </c>
      <c r="I1979">
        <v>36</v>
      </c>
      <c r="J1979" t="s">
        <v>38</v>
      </c>
      <c r="K1979" t="s">
        <v>56</v>
      </c>
      <c r="L1979" t="s">
        <v>44</v>
      </c>
      <c r="M1979">
        <v>8.4600000000000009</v>
      </c>
      <c r="T1979" t="s">
        <v>47</v>
      </c>
      <c r="U1979">
        <v>2</v>
      </c>
      <c r="V1979">
        <v>6</v>
      </c>
    </row>
    <row r="1980" spans="1:22" x14ac:dyDescent="0.3">
      <c r="A1980">
        <v>1979</v>
      </c>
      <c r="B1980">
        <v>50605</v>
      </c>
      <c r="C1980" s="2">
        <v>38511</v>
      </c>
      <c r="D1980">
        <v>20</v>
      </c>
      <c r="E1980" t="s">
        <v>42</v>
      </c>
      <c r="F1980" t="s">
        <v>50</v>
      </c>
      <c r="G1980" s="2">
        <v>45088</v>
      </c>
      <c r="H1980" s="3">
        <f t="shared" si="30"/>
        <v>2.1424657534246574</v>
      </c>
      <c r="I1980">
        <v>38</v>
      </c>
      <c r="J1980" t="s">
        <v>38</v>
      </c>
      <c r="K1980" t="s">
        <v>56</v>
      </c>
      <c r="L1980" t="s">
        <v>44</v>
      </c>
      <c r="M1980">
        <v>8.4600000000000009</v>
      </c>
      <c r="N1980">
        <v>8.26</v>
      </c>
      <c r="T1980" t="s">
        <v>47</v>
      </c>
      <c r="U1980">
        <v>3</v>
      </c>
      <c r="V1980">
        <v>6</v>
      </c>
    </row>
    <row r="1981" spans="1:22" x14ac:dyDescent="0.3">
      <c r="A1981">
        <v>1980</v>
      </c>
      <c r="B1981">
        <v>50611</v>
      </c>
      <c r="C1981" s="2">
        <v>35234</v>
      </c>
      <c r="D1981">
        <v>29</v>
      </c>
      <c r="E1981" t="s">
        <v>42</v>
      </c>
      <c r="F1981" t="s">
        <v>50</v>
      </c>
      <c r="G1981" s="2">
        <v>45240</v>
      </c>
      <c r="H1981" s="3">
        <f t="shared" si="30"/>
        <v>1.8712328767123287</v>
      </c>
      <c r="I1981">
        <v>39</v>
      </c>
      <c r="J1981" t="s">
        <v>38</v>
      </c>
      <c r="K1981" t="s">
        <v>56</v>
      </c>
      <c r="L1981" t="s">
        <v>44</v>
      </c>
      <c r="M1981">
        <v>8.52</v>
      </c>
      <c r="N1981">
        <v>8.26</v>
      </c>
      <c r="T1981" t="s">
        <v>49</v>
      </c>
      <c r="U1981">
        <v>1</v>
      </c>
      <c r="V1981">
        <v>6</v>
      </c>
    </row>
    <row r="1982" spans="1:22" x14ac:dyDescent="0.3">
      <c r="A1982">
        <v>1981</v>
      </c>
      <c r="B1982">
        <v>50613</v>
      </c>
      <c r="C1982" s="2">
        <v>35445</v>
      </c>
      <c r="D1982">
        <v>28</v>
      </c>
      <c r="E1982" t="s">
        <v>42</v>
      </c>
      <c r="F1982" t="s">
        <v>50</v>
      </c>
      <c r="G1982" s="2">
        <v>45339</v>
      </c>
      <c r="H1982" s="3">
        <f t="shared" si="30"/>
        <v>2.0246575342465754</v>
      </c>
      <c r="I1982">
        <v>39</v>
      </c>
      <c r="J1982" t="s">
        <v>38</v>
      </c>
      <c r="K1982" t="s">
        <v>56</v>
      </c>
      <c r="L1982" t="s">
        <v>44</v>
      </c>
      <c r="M1982">
        <v>8.5399999999999991</v>
      </c>
      <c r="T1982" t="s">
        <v>52</v>
      </c>
      <c r="U1982">
        <v>3</v>
      </c>
      <c r="V1982">
        <v>6</v>
      </c>
    </row>
    <row r="1983" spans="1:22" x14ac:dyDescent="0.3">
      <c r="A1983">
        <v>1982</v>
      </c>
      <c r="B1983">
        <v>50625</v>
      </c>
      <c r="C1983" s="2">
        <v>37096</v>
      </c>
      <c r="D1983">
        <v>24</v>
      </c>
      <c r="E1983" t="s">
        <v>36</v>
      </c>
      <c r="F1983" t="s">
        <v>37</v>
      </c>
      <c r="G1983" s="2">
        <v>45283</v>
      </c>
      <c r="H1983" s="3">
        <f t="shared" si="30"/>
        <v>1.9342465753424658</v>
      </c>
      <c r="I1983">
        <v>40</v>
      </c>
      <c r="J1983" t="s">
        <v>38</v>
      </c>
      <c r="K1983" t="s">
        <v>46</v>
      </c>
      <c r="L1983" t="s">
        <v>44</v>
      </c>
      <c r="M1983">
        <v>14.28</v>
      </c>
      <c r="N1983">
        <v>13.88</v>
      </c>
      <c r="T1983" t="s">
        <v>52</v>
      </c>
      <c r="U1983">
        <v>0</v>
      </c>
      <c r="V1983">
        <v>4</v>
      </c>
    </row>
    <row r="1984" spans="1:22" x14ac:dyDescent="0.3">
      <c r="A1984">
        <v>1983</v>
      </c>
      <c r="B1984">
        <v>50644</v>
      </c>
      <c r="C1984" s="2">
        <v>38175</v>
      </c>
      <c r="D1984">
        <v>21</v>
      </c>
      <c r="E1984" t="s">
        <v>36</v>
      </c>
      <c r="F1984" t="s">
        <v>50</v>
      </c>
      <c r="G1984" s="2">
        <v>45316</v>
      </c>
      <c r="H1984" s="3">
        <f t="shared" si="30"/>
        <v>2.6739726027397261</v>
      </c>
      <c r="I1984">
        <v>42</v>
      </c>
      <c r="J1984" t="s">
        <v>38</v>
      </c>
      <c r="K1984" t="s">
        <v>65</v>
      </c>
      <c r="L1984" t="s">
        <v>44</v>
      </c>
      <c r="M1984">
        <v>10.48</v>
      </c>
      <c r="T1984" t="s">
        <v>52</v>
      </c>
      <c r="U1984">
        <v>0</v>
      </c>
      <c r="V1984">
        <v>5</v>
      </c>
    </row>
    <row r="1985" spans="1:22" x14ac:dyDescent="0.3">
      <c r="A1985">
        <v>1984</v>
      </c>
      <c r="B1985">
        <v>50672</v>
      </c>
      <c r="C1985" s="2">
        <v>38141</v>
      </c>
      <c r="D1985">
        <v>21</v>
      </c>
      <c r="E1985" t="s">
        <v>42</v>
      </c>
      <c r="F1985" t="s">
        <v>50</v>
      </c>
      <c r="G1985" s="2">
        <v>45046</v>
      </c>
      <c r="H1985" s="3">
        <f t="shared" si="30"/>
        <v>2.3780821917808219</v>
      </c>
      <c r="I1985">
        <v>43</v>
      </c>
      <c r="J1985" t="s">
        <v>38</v>
      </c>
      <c r="K1985" t="s">
        <v>64</v>
      </c>
      <c r="L1985" t="s">
        <v>44</v>
      </c>
      <c r="M1985">
        <v>13.73</v>
      </c>
      <c r="N1985">
        <v>13.73</v>
      </c>
      <c r="T1985" t="s">
        <v>45</v>
      </c>
      <c r="U1985">
        <v>0</v>
      </c>
      <c r="V1985">
        <v>4</v>
      </c>
    </row>
    <row r="1986" spans="1:22" x14ac:dyDescent="0.3">
      <c r="A1986">
        <v>1985</v>
      </c>
      <c r="B1986">
        <v>50711</v>
      </c>
      <c r="C1986" s="2">
        <v>33937</v>
      </c>
      <c r="D1986">
        <v>33</v>
      </c>
      <c r="E1986" t="s">
        <v>42</v>
      </c>
      <c r="F1986" t="s">
        <v>50</v>
      </c>
      <c r="G1986" s="2">
        <v>45154</v>
      </c>
      <c r="H1986" s="3">
        <f t="shared" si="30"/>
        <v>2.1643835616438358</v>
      </c>
      <c r="I1986">
        <v>44</v>
      </c>
      <c r="J1986" t="s">
        <v>38</v>
      </c>
      <c r="K1986" t="s">
        <v>56</v>
      </c>
      <c r="L1986" t="s">
        <v>44</v>
      </c>
      <c r="M1986">
        <v>8.26</v>
      </c>
      <c r="N1986">
        <v>8.26</v>
      </c>
      <c r="T1986" t="s">
        <v>49</v>
      </c>
      <c r="U1986">
        <v>2</v>
      </c>
      <c r="V1986">
        <v>7</v>
      </c>
    </row>
    <row r="1987" spans="1:22" x14ac:dyDescent="0.3">
      <c r="A1987">
        <v>1986</v>
      </c>
      <c r="B1987">
        <v>50720</v>
      </c>
      <c r="C1987" s="2">
        <v>36947</v>
      </c>
      <c r="D1987">
        <v>24</v>
      </c>
      <c r="E1987" t="s">
        <v>36</v>
      </c>
      <c r="F1987" t="s">
        <v>50</v>
      </c>
      <c r="G1987" s="2">
        <v>45232</v>
      </c>
      <c r="H1987" s="3">
        <f t="shared" ref="H1987:H2050" si="31">DATEDIF(G1988,DATE(2025,12,31),"d")/365</f>
        <v>2.3178082191780822</v>
      </c>
      <c r="I1987">
        <v>45</v>
      </c>
      <c r="J1987" t="s">
        <v>38</v>
      </c>
      <c r="K1987" t="s">
        <v>68</v>
      </c>
      <c r="L1987" t="s">
        <v>44</v>
      </c>
      <c r="M1987">
        <v>16.78</v>
      </c>
      <c r="N1987">
        <v>16.579999999999998</v>
      </c>
      <c r="T1987" t="s">
        <v>52</v>
      </c>
      <c r="U1987">
        <v>3</v>
      </c>
      <c r="V1987">
        <v>5</v>
      </c>
    </row>
    <row r="1988" spans="1:22" x14ac:dyDescent="0.3">
      <c r="A1988">
        <v>1987</v>
      </c>
      <c r="B1988">
        <v>50744</v>
      </c>
      <c r="C1988" s="2">
        <v>35100</v>
      </c>
      <c r="D1988">
        <v>29</v>
      </c>
      <c r="E1988" t="s">
        <v>36</v>
      </c>
      <c r="F1988" t="s">
        <v>37</v>
      </c>
      <c r="G1988" s="2">
        <v>45176</v>
      </c>
      <c r="H1988" s="3">
        <f t="shared" si="31"/>
        <v>2.0136986301369864</v>
      </c>
      <c r="I1988">
        <v>47</v>
      </c>
      <c r="J1988" t="s">
        <v>38</v>
      </c>
      <c r="K1988" t="s">
        <v>68</v>
      </c>
      <c r="L1988" t="s">
        <v>44</v>
      </c>
      <c r="M1988">
        <v>16.78</v>
      </c>
      <c r="N1988">
        <v>16.579999999999998</v>
      </c>
      <c r="T1988" t="s">
        <v>52</v>
      </c>
      <c r="U1988">
        <v>4</v>
      </c>
      <c r="V1988">
        <v>6</v>
      </c>
    </row>
    <row r="1989" spans="1:22" x14ac:dyDescent="0.3">
      <c r="A1989">
        <v>1988</v>
      </c>
      <c r="B1989">
        <v>50751</v>
      </c>
      <c r="C1989" s="2">
        <v>38025</v>
      </c>
      <c r="D1989">
        <v>21</v>
      </c>
      <c r="E1989" t="s">
        <v>42</v>
      </c>
      <c r="F1989" t="s">
        <v>37</v>
      </c>
      <c r="G1989" s="2">
        <v>45287</v>
      </c>
      <c r="H1989" s="3">
        <f t="shared" si="31"/>
        <v>1.8958904109589041</v>
      </c>
      <c r="I1989">
        <v>47</v>
      </c>
      <c r="J1989" t="s">
        <v>38</v>
      </c>
      <c r="K1989" t="s">
        <v>56</v>
      </c>
      <c r="L1989" t="s">
        <v>44</v>
      </c>
      <c r="M1989">
        <v>8.4600000000000009</v>
      </c>
      <c r="N1989">
        <v>8.26</v>
      </c>
      <c r="T1989" t="s">
        <v>47</v>
      </c>
      <c r="U1989">
        <v>1</v>
      </c>
      <c r="V1989">
        <v>5</v>
      </c>
    </row>
    <row r="1990" spans="1:22" x14ac:dyDescent="0.3">
      <c r="A1990">
        <v>1989</v>
      </c>
      <c r="B1990">
        <v>50789</v>
      </c>
      <c r="C1990" s="2">
        <v>34328</v>
      </c>
      <c r="D1990">
        <v>32</v>
      </c>
      <c r="E1990" t="s">
        <v>36</v>
      </c>
      <c r="F1990" t="s">
        <v>50</v>
      </c>
      <c r="G1990" s="2">
        <v>45330</v>
      </c>
      <c r="H1990" s="3">
        <f t="shared" si="31"/>
        <v>2.6904109589041094</v>
      </c>
      <c r="I1990">
        <v>49</v>
      </c>
      <c r="J1990" t="s">
        <v>38</v>
      </c>
      <c r="K1990" t="s">
        <v>55</v>
      </c>
      <c r="L1990" t="s">
        <v>44</v>
      </c>
      <c r="M1990">
        <v>17.41</v>
      </c>
      <c r="T1990" t="s">
        <v>52</v>
      </c>
      <c r="U1990">
        <v>4</v>
      </c>
      <c r="V1990">
        <v>4</v>
      </c>
    </row>
    <row r="1991" spans="1:22" x14ac:dyDescent="0.3">
      <c r="A1991">
        <v>1990</v>
      </c>
      <c r="B1991">
        <v>50798</v>
      </c>
      <c r="C1991" s="2">
        <v>38666</v>
      </c>
      <c r="D1991">
        <v>20</v>
      </c>
      <c r="E1991" t="s">
        <v>42</v>
      </c>
      <c r="F1991" t="s">
        <v>37</v>
      </c>
      <c r="G1991" s="2">
        <v>45040</v>
      </c>
      <c r="H1991" s="3">
        <f t="shared" si="31"/>
        <v>2.1150684931506851</v>
      </c>
      <c r="I1991">
        <v>49</v>
      </c>
      <c r="J1991" t="s">
        <v>38</v>
      </c>
      <c r="K1991" t="s">
        <v>56</v>
      </c>
      <c r="L1991" t="s">
        <v>44</v>
      </c>
      <c r="M1991">
        <v>8.5</v>
      </c>
      <c r="N1991">
        <v>8.26</v>
      </c>
      <c r="T1991" t="s">
        <v>45</v>
      </c>
      <c r="U1991">
        <v>2</v>
      </c>
      <c r="V1991">
        <v>5</v>
      </c>
    </row>
    <row r="1992" spans="1:22" x14ac:dyDescent="0.3">
      <c r="A1992">
        <v>1991</v>
      </c>
      <c r="B1992">
        <v>50805</v>
      </c>
      <c r="C1992" s="2">
        <v>38208</v>
      </c>
      <c r="D1992">
        <v>21</v>
      </c>
      <c r="E1992" t="s">
        <v>36</v>
      </c>
      <c r="F1992" t="s">
        <v>37</v>
      </c>
      <c r="G1992" s="2">
        <v>45250</v>
      </c>
      <c r="H1992" s="3">
        <f t="shared" si="31"/>
        <v>2.1835616438356165</v>
      </c>
      <c r="I1992">
        <v>50</v>
      </c>
      <c r="J1992" t="s">
        <v>38</v>
      </c>
      <c r="K1992" t="s">
        <v>56</v>
      </c>
      <c r="L1992" t="s">
        <v>44</v>
      </c>
      <c r="M1992">
        <v>8.4600000000000009</v>
      </c>
      <c r="N1992">
        <v>8.26</v>
      </c>
      <c r="T1992" t="s">
        <v>49</v>
      </c>
      <c r="U1992">
        <v>1</v>
      </c>
      <c r="V1992">
        <v>4</v>
      </c>
    </row>
    <row r="1993" spans="1:22" x14ac:dyDescent="0.3">
      <c r="A1993">
        <v>1992</v>
      </c>
      <c r="B1993">
        <v>50850</v>
      </c>
      <c r="C1993" s="2">
        <v>37773</v>
      </c>
      <c r="D1993">
        <v>23</v>
      </c>
      <c r="E1993" t="s">
        <v>42</v>
      </c>
      <c r="F1993" t="s">
        <v>50</v>
      </c>
      <c r="G1993" s="2">
        <v>45225</v>
      </c>
      <c r="H1993" s="3">
        <f t="shared" si="31"/>
        <v>2.0575342465753423</v>
      </c>
      <c r="I1993">
        <v>52</v>
      </c>
      <c r="J1993" t="s">
        <v>38</v>
      </c>
      <c r="K1993" t="s">
        <v>56</v>
      </c>
      <c r="L1993" t="s">
        <v>44</v>
      </c>
      <c r="M1993">
        <v>8.4600000000000009</v>
      </c>
      <c r="N1993">
        <v>8.26</v>
      </c>
      <c r="T1993" t="s">
        <v>47</v>
      </c>
      <c r="U1993">
        <v>4</v>
      </c>
      <c r="V1993">
        <v>7</v>
      </c>
    </row>
    <row r="1994" spans="1:22" x14ac:dyDescent="0.3">
      <c r="A1994">
        <v>1993</v>
      </c>
      <c r="B1994">
        <v>50863</v>
      </c>
      <c r="C1994" s="2">
        <v>37836</v>
      </c>
      <c r="D1994">
        <v>22</v>
      </c>
      <c r="E1994" t="s">
        <v>42</v>
      </c>
      <c r="F1994" t="s">
        <v>37</v>
      </c>
      <c r="G1994" s="2">
        <v>45271</v>
      </c>
      <c r="H1994" s="3">
        <f t="shared" si="31"/>
        <v>2.1150684931506851</v>
      </c>
      <c r="I1994">
        <v>52</v>
      </c>
      <c r="J1994" t="s">
        <v>38</v>
      </c>
      <c r="K1994" t="s">
        <v>56</v>
      </c>
      <c r="L1994" t="s">
        <v>44</v>
      </c>
      <c r="M1994">
        <v>8.4600000000000009</v>
      </c>
      <c r="N1994">
        <v>8.26</v>
      </c>
      <c r="T1994" t="s">
        <v>47</v>
      </c>
      <c r="U1994">
        <v>1</v>
      </c>
      <c r="V1994">
        <v>5</v>
      </c>
    </row>
    <row r="1995" spans="1:22" x14ac:dyDescent="0.3">
      <c r="A1995">
        <v>1994</v>
      </c>
      <c r="B1995">
        <v>50867</v>
      </c>
      <c r="C1995" s="2">
        <v>36240</v>
      </c>
      <c r="D1995">
        <v>26</v>
      </c>
      <c r="E1995" t="s">
        <v>36</v>
      </c>
      <c r="F1995" t="s">
        <v>50</v>
      </c>
      <c r="G1995" s="2">
        <v>45250</v>
      </c>
      <c r="H1995" s="3">
        <f t="shared" si="31"/>
        <v>2.1972602739726028</v>
      </c>
      <c r="I1995">
        <v>53</v>
      </c>
      <c r="J1995" t="s">
        <v>38</v>
      </c>
      <c r="K1995" t="s">
        <v>68</v>
      </c>
      <c r="L1995" t="s">
        <v>44</v>
      </c>
      <c r="M1995">
        <v>16.78</v>
      </c>
      <c r="N1995">
        <v>16.579999999999998</v>
      </c>
      <c r="T1995" t="s">
        <v>47</v>
      </c>
      <c r="U1995">
        <v>1</v>
      </c>
      <c r="V1995">
        <v>5</v>
      </c>
    </row>
    <row r="1996" spans="1:22" x14ac:dyDescent="0.3">
      <c r="A1996">
        <v>1995</v>
      </c>
      <c r="B1996">
        <v>50870</v>
      </c>
      <c r="C1996" s="2">
        <v>37954</v>
      </c>
      <c r="D1996">
        <v>22</v>
      </c>
      <c r="E1996" t="s">
        <v>36</v>
      </c>
      <c r="F1996" t="s">
        <v>50</v>
      </c>
      <c r="G1996" s="2">
        <v>45220</v>
      </c>
      <c r="H1996" s="3">
        <f t="shared" si="31"/>
        <v>2.128767123287671</v>
      </c>
      <c r="I1996">
        <v>53</v>
      </c>
      <c r="J1996" t="s">
        <v>38</v>
      </c>
      <c r="K1996" t="s">
        <v>65</v>
      </c>
      <c r="L1996" t="s">
        <v>44</v>
      </c>
      <c r="M1996">
        <v>10.58</v>
      </c>
      <c r="N1996">
        <v>10.38</v>
      </c>
      <c r="T1996" t="s">
        <v>52</v>
      </c>
      <c r="U1996">
        <v>0</v>
      </c>
      <c r="V1996">
        <v>3</v>
      </c>
    </row>
    <row r="1997" spans="1:22" x14ac:dyDescent="0.3">
      <c r="A1997">
        <v>1996</v>
      </c>
      <c r="B1997">
        <v>50894</v>
      </c>
      <c r="C1997" s="2">
        <v>36755</v>
      </c>
      <c r="D1997">
        <v>25</v>
      </c>
      <c r="E1997" t="s">
        <v>36</v>
      </c>
      <c r="F1997" t="s">
        <v>37</v>
      </c>
      <c r="G1997" s="2">
        <v>45245</v>
      </c>
      <c r="H1997" s="3">
        <f t="shared" si="31"/>
        <v>2.7917808219178082</v>
      </c>
      <c r="I1997">
        <v>54</v>
      </c>
      <c r="J1997" t="s">
        <v>38</v>
      </c>
      <c r="K1997" t="s">
        <v>68</v>
      </c>
      <c r="L1997" t="s">
        <v>44</v>
      </c>
      <c r="M1997">
        <v>16.78</v>
      </c>
      <c r="N1997">
        <v>16.579999999999998</v>
      </c>
      <c r="T1997" t="s">
        <v>47</v>
      </c>
      <c r="U1997">
        <v>1</v>
      </c>
      <c r="V1997">
        <v>4</v>
      </c>
    </row>
    <row r="1998" spans="1:22" x14ac:dyDescent="0.3">
      <c r="A1998">
        <v>1997</v>
      </c>
      <c r="B1998">
        <v>50927</v>
      </c>
      <c r="C1998" s="2">
        <v>37690</v>
      </c>
      <c r="D1998">
        <v>22</v>
      </c>
      <c r="E1998" t="s">
        <v>42</v>
      </c>
      <c r="F1998" t="s">
        <v>50</v>
      </c>
      <c r="G1998" s="2">
        <v>45003</v>
      </c>
      <c r="H1998" s="3">
        <f t="shared" si="31"/>
        <v>1.9561643835616438</v>
      </c>
      <c r="I1998">
        <v>55</v>
      </c>
      <c r="J1998" t="s">
        <v>38</v>
      </c>
      <c r="K1998" t="s">
        <v>56</v>
      </c>
      <c r="L1998" t="s">
        <v>44</v>
      </c>
      <c r="M1998">
        <v>8.36</v>
      </c>
      <c r="N1998">
        <v>8.26</v>
      </c>
      <c r="T1998" t="s">
        <v>47</v>
      </c>
      <c r="U1998">
        <v>1</v>
      </c>
      <c r="V1998">
        <v>5</v>
      </c>
    </row>
    <row r="1999" spans="1:22" x14ac:dyDescent="0.3">
      <c r="A1999">
        <v>1998</v>
      </c>
      <c r="B1999">
        <v>50942</v>
      </c>
      <c r="C1999" s="2">
        <v>36864</v>
      </c>
      <c r="D1999">
        <v>25</v>
      </c>
      <c r="E1999" t="s">
        <v>36</v>
      </c>
      <c r="F1999" t="s">
        <v>50</v>
      </c>
      <c r="G1999" s="2">
        <v>45308</v>
      </c>
      <c r="H1999" s="3">
        <f t="shared" si="31"/>
        <v>2.2328767123287672</v>
      </c>
      <c r="I1999">
        <v>56</v>
      </c>
      <c r="J1999" t="s">
        <v>38</v>
      </c>
      <c r="K1999" t="s">
        <v>68</v>
      </c>
      <c r="L1999" t="s">
        <v>44</v>
      </c>
      <c r="M1999">
        <v>16.78</v>
      </c>
      <c r="T1999" t="s">
        <v>52</v>
      </c>
      <c r="U1999">
        <v>3</v>
      </c>
      <c r="V1999">
        <v>4</v>
      </c>
    </row>
    <row r="2000" spans="1:22" x14ac:dyDescent="0.3">
      <c r="A2000">
        <v>1999</v>
      </c>
      <c r="B2000">
        <v>50987</v>
      </c>
      <c r="C2000" s="2">
        <v>38630</v>
      </c>
      <c r="D2000">
        <v>20</v>
      </c>
      <c r="E2000" t="s">
        <v>36</v>
      </c>
      <c r="F2000" t="s">
        <v>50</v>
      </c>
      <c r="G2000" s="2">
        <v>45207</v>
      </c>
      <c r="H2000" s="3">
        <f t="shared" si="31"/>
        <v>1.989041095890411</v>
      </c>
      <c r="I2000">
        <v>57</v>
      </c>
      <c r="J2000" t="s">
        <v>38</v>
      </c>
      <c r="K2000" t="s">
        <v>56</v>
      </c>
      <c r="L2000" t="s">
        <v>44</v>
      </c>
      <c r="M2000">
        <v>8.36</v>
      </c>
      <c r="N2000">
        <v>8.26</v>
      </c>
      <c r="T2000" t="s">
        <v>47</v>
      </c>
      <c r="U2000">
        <v>1</v>
      </c>
      <c r="V2000">
        <v>4</v>
      </c>
    </row>
    <row r="2001" spans="1:22" x14ac:dyDescent="0.3">
      <c r="A2001">
        <v>2000</v>
      </c>
      <c r="B2001">
        <v>51006</v>
      </c>
      <c r="C2001" s="2">
        <v>37302</v>
      </c>
      <c r="D2001">
        <v>23</v>
      </c>
      <c r="E2001" t="s">
        <v>36</v>
      </c>
      <c r="F2001" t="s">
        <v>50</v>
      </c>
      <c r="G2001" s="2">
        <v>45296</v>
      </c>
      <c r="H2001" s="3">
        <f t="shared" si="31"/>
        <v>2.5643835616438357</v>
      </c>
      <c r="I2001">
        <v>59</v>
      </c>
      <c r="J2001" t="s">
        <v>38</v>
      </c>
      <c r="K2001" t="s">
        <v>65</v>
      </c>
      <c r="L2001" t="s">
        <v>44</v>
      </c>
      <c r="M2001">
        <v>10.58</v>
      </c>
      <c r="T2001" t="s">
        <v>49</v>
      </c>
      <c r="U2001">
        <v>1</v>
      </c>
      <c r="V2001">
        <v>2</v>
      </c>
    </row>
    <row r="2002" spans="1:22" x14ac:dyDescent="0.3">
      <c r="A2002">
        <v>2001</v>
      </c>
      <c r="B2002">
        <v>51009</v>
      </c>
      <c r="C2002" s="2">
        <v>38879</v>
      </c>
      <c r="D2002">
        <v>19</v>
      </c>
      <c r="E2002" t="s">
        <v>42</v>
      </c>
      <c r="F2002" t="s">
        <v>50</v>
      </c>
      <c r="G2002" s="2">
        <v>45086</v>
      </c>
      <c r="H2002" s="3">
        <f t="shared" si="31"/>
        <v>1.8958904109589041</v>
      </c>
      <c r="I2002">
        <v>59</v>
      </c>
      <c r="J2002" t="s">
        <v>38</v>
      </c>
      <c r="K2002" t="s">
        <v>48</v>
      </c>
      <c r="L2002" t="s">
        <v>44</v>
      </c>
      <c r="M2002">
        <v>8.4600000000000009</v>
      </c>
      <c r="N2002">
        <v>8.26</v>
      </c>
      <c r="T2002" t="s">
        <v>47</v>
      </c>
      <c r="U2002">
        <v>2</v>
      </c>
      <c r="V2002">
        <v>6</v>
      </c>
    </row>
    <row r="2003" spans="1:22" x14ac:dyDescent="0.3">
      <c r="A2003">
        <v>2002</v>
      </c>
      <c r="B2003">
        <v>51036</v>
      </c>
      <c r="C2003" s="2">
        <v>38817</v>
      </c>
      <c r="D2003">
        <v>19</v>
      </c>
      <c r="E2003" t="s">
        <v>42</v>
      </c>
      <c r="F2003" t="s">
        <v>50</v>
      </c>
      <c r="G2003" s="2">
        <v>45330</v>
      </c>
      <c r="H2003" s="3">
        <f t="shared" si="31"/>
        <v>2.3232876712328765</v>
      </c>
      <c r="I2003">
        <v>60</v>
      </c>
      <c r="J2003" t="s">
        <v>38</v>
      </c>
      <c r="K2003" t="s">
        <v>48</v>
      </c>
      <c r="L2003" t="s">
        <v>44</v>
      </c>
      <c r="M2003">
        <v>8.36</v>
      </c>
      <c r="T2003" t="s">
        <v>47</v>
      </c>
      <c r="U2003">
        <v>2</v>
      </c>
      <c r="V2003">
        <v>6</v>
      </c>
    </row>
    <row r="2004" spans="1:22" x14ac:dyDescent="0.3">
      <c r="A2004">
        <v>2003</v>
      </c>
      <c r="B2004">
        <v>51038</v>
      </c>
      <c r="C2004" s="2">
        <v>36208</v>
      </c>
      <c r="D2004">
        <v>26</v>
      </c>
      <c r="E2004" t="s">
        <v>42</v>
      </c>
      <c r="F2004" t="s">
        <v>50</v>
      </c>
      <c r="G2004" s="2">
        <v>45174</v>
      </c>
      <c r="H2004" s="3">
        <f t="shared" si="31"/>
        <v>1.9452054794520548</v>
      </c>
      <c r="I2004">
        <v>60</v>
      </c>
      <c r="J2004" t="s">
        <v>38</v>
      </c>
      <c r="K2004" t="s">
        <v>55</v>
      </c>
      <c r="L2004" t="s">
        <v>44</v>
      </c>
      <c r="M2004">
        <v>17.309999999999999</v>
      </c>
      <c r="N2004">
        <v>17.16</v>
      </c>
      <c r="T2004" t="s">
        <v>49</v>
      </c>
      <c r="U2004">
        <v>2</v>
      </c>
      <c r="V2004">
        <v>7</v>
      </c>
    </row>
    <row r="2005" spans="1:22" x14ac:dyDescent="0.3">
      <c r="A2005">
        <v>2004</v>
      </c>
      <c r="B2005">
        <v>51058</v>
      </c>
      <c r="C2005" s="2">
        <v>37773</v>
      </c>
      <c r="D2005">
        <v>23</v>
      </c>
      <c r="E2005" t="s">
        <v>42</v>
      </c>
      <c r="F2005" t="s">
        <v>50</v>
      </c>
      <c r="G2005" s="2">
        <v>45312</v>
      </c>
      <c r="H2005" s="3">
        <f t="shared" si="31"/>
        <v>1.9589041095890412</v>
      </c>
      <c r="I2005">
        <v>60</v>
      </c>
      <c r="J2005" t="s">
        <v>38</v>
      </c>
      <c r="K2005" t="s">
        <v>56</v>
      </c>
      <c r="L2005" t="s">
        <v>44</v>
      </c>
      <c r="M2005">
        <v>8.26</v>
      </c>
      <c r="T2005" t="s">
        <v>47</v>
      </c>
      <c r="U2005">
        <v>0</v>
      </c>
      <c r="V2005">
        <v>6</v>
      </c>
    </row>
    <row r="2006" spans="1:22" x14ac:dyDescent="0.3">
      <c r="A2006">
        <v>2005</v>
      </c>
      <c r="B2006">
        <v>51063</v>
      </c>
      <c r="C2006" s="2">
        <v>38640</v>
      </c>
      <c r="D2006">
        <v>20</v>
      </c>
      <c r="E2006" t="s">
        <v>42</v>
      </c>
      <c r="F2006" t="s">
        <v>37</v>
      </c>
      <c r="G2006" s="2">
        <v>45307</v>
      </c>
      <c r="H2006" s="3">
        <f t="shared" si="31"/>
        <v>2.2547945205479452</v>
      </c>
      <c r="I2006">
        <v>61</v>
      </c>
      <c r="J2006" t="s">
        <v>38</v>
      </c>
      <c r="K2006" t="s">
        <v>56</v>
      </c>
      <c r="L2006" t="s">
        <v>44</v>
      </c>
      <c r="M2006">
        <v>8.5399999999999991</v>
      </c>
      <c r="T2006" t="s">
        <v>47</v>
      </c>
      <c r="U2006">
        <v>2</v>
      </c>
      <c r="V2006">
        <v>5</v>
      </c>
    </row>
    <row r="2007" spans="1:22" x14ac:dyDescent="0.3">
      <c r="A2007">
        <v>2006</v>
      </c>
      <c r="B2007">
        <v>51067</v>
      </c>
      <c r="C2007" s="2">
        <v>38285</v>
      </c>
      <c r="D2007">
        <v>21</v>
      </c>
      <c r="E2007" t="s">
        <v>42</v>
      </c>
      <c r="F2007" t="s">
        <v>50</v>
      </c>
      <c r="G2007" s="2">
        <v>45199</v>
      </c>
      <c r="H2007" s="3">
        <f t="shared" si="31"/>
        <v>2.4328767123287673</v>
      </c>
      <c r="I2007">
        <v>61</v>
      </c>
      <c r="J2007" t="s">
        <v>38</v>
      </c>
      <c r="K2007" t="s">
        <v>56</v>
      </c>
      <c r="L2007" t="s">
        <v>44</v>
      </c>
      <c r="M2007">
        <v>8.51</v>
      </c>
      <c r="N2007">
        <v>8.26</v>
      </c>
      <c r="T2007" t="s">
        <v>49</v>
      </c>
      <c r="U2007">
        <v>4</v>
      </c>
      <c r="V2007">
        <v>6</v>
      </c>
    </row>
    <row r="2008" spans="1:22" x14ac:dyDescent="0.3">
      <c r="A2008">
        <v>2007</v>
      </c>
      <c r="B2008">
        <v>51077</v>
      </c>
      <c r="C2008" s="2">
        <v>38402</v>
      </c>
      <c r="D2008">
        <v>20</v>
      </c>
      <c r="E2008" t="s">
        <v>42</v>
      </c>
      <c r="F2008" t="s">
        <v>50</v>
      </c>
      <c r="G2008" s="2">
        <v>45134</v>
      </c>
      <c r="H2008" s="3">
        <f t="shared" si="31"/>
        <v>1.9452054794520548</v>
      </c>
      <c r="I2008">
        <v>62</v>
      </c>
      <c r="J2008" t="s">
        <v>38</v>
      </c>
      <c r="K2008" t="s">
        <v>48</v>
      </c>
      <c r="L2008" t="s">
        <v>44</v>
      </c>
      <c r="M2008">
        <v>8.4600000000000009</v>
      </c>
      <c r="N2008">
        <v>8.26</v>
      </c>
      <c r="T2008" t="s">
        <v>47</v>
      </c>
      <c r="U2008">
        <v>3</v>
      </c>
      <c r="V2008">
        <v>6</v>
      </c>
    </row>
    <row r="2009" spans="1:22" x14ac:dyDescent="0.3">
      <c r="A2009">
        <v>2008</v>
      </c>
      <c r="B2009">
        <v>51113</v>
      </c>
      <c r="C2009" s="2">
        <v>36636</v>
      </c>
      <c r="D2009">
        <v>25</v>
      </c>
      <c r="E2009" t="s">
        <v>42</v>
      </c>
      <c r="F2009" t="s">
        <v>50</v>
      </c>
      <c r="G2009" s="2">
        <v>45312</v>
      </c>
      <c r="H2009" s="3">
        <f t="shared" si="31"/>
        <v>2.2739726027397262</v>
      </c>
      <c r="I2009">
        <v>64</v>
      </c>
      <c r="J2009" t="s">
        <v>38</v>
      </c>
      <c r="K2009" t="s">
        <v>56</v>
      </c>
      <c r="L2009" t="s">
        <v>44</v>
      </c>
      <c r="M2009">
        <v>8.4600000000000009</v>
      </c>
      <c r="T2009" t="s">
        <v>47</v>
      </c>
      <c r="U2009">
        <v>2</v>
      </c>
      <c r="V2009">
        <v>6</v>
      </c>
    </row>
    <row r="2010" spans="1:22" x14ac:dyDescent="0.3">
      <c r="A2010">
        <v>2009</v>
      </c>
      <c r="B2010">
        <v>51118</v>
      </c>
      <c r="C2010" s="2">
        <v>37608</v>
      </c>
      <c r="D2010">
        <v>23</v>
      </c>
      <c r="E2010" t="s">
        <v>42</v>
      </c>
      <c r="F2010" t="s">
        <v>50</v>
      </c>
      <c r="G2010" s="2">
        <v>45192</v>
      </c>
      <c r="H2010" s="3">
        <f t="shared" si="31"/>
        <v>2.4602739726027396</v>
      </c>
      <c r="I2010">
        <v>64</v>
      </c>
      <c r="J2010" t="s">
        <v>38</v>
      </c>
      <c r="K2010" t="s">
        <v>56</v>
      </c>
      <c r="L2010" t="s">
        <v>44</v>
      </c>
      <c r="M2010">
        <v>8.4600000000000009</v>
      </c>
      <c r="N2010">
        <v>8.26</v>
      </c>
      <c r="T2010" t="s">
        <v>47</v>
      </c>
      <c r="U2010">
        <v>1</v>
      </c>
      <c r="V2010">
        <v>6</v>
      </c>
    </row>
    <row r="2011" spans="1:22" x14ac:dyDescent="0.3">
      <c r="A2011">
        <v>2010</v>
      </c>
      <c r="B2011">
        <v>51136</v>
      </c>
      <c r="C2011" s="2">
        <v>36696</v>
      </c>
      <c r="D2011">
        <v>25</v>
      </c>
      <c r="E2011" t="s">
        <v>36</v>
      </c>
      <c r="F2011" t="s">
        <v>37</v>
      </c>
      <c r="G2011" s="2">
        <v>45124</v>
      </c>
      <c r="H2011" s="3">
        <f t="shared" si="31"/>
        <v>2.7753424657534245</v>
      </c>
      <c r="I2011">
        <v>65</v>
      </c>
      <c r="J2011" t="s">
        <v>38</v>
      </c>
      <c r="K2011" t="s">
        <v>68</v>
      </c>
      <c r="L2011" t="s">
        <v>44</v>
      </c>
      <c r="M2011">
        <v>16.68</v>
      </c>
      <c r="N2011">
        <v>16.579999999999998</v>
      </c>
      <c r="T2011" t="s">
        <v>45</v>
      </c>
      <c r="U2011">
        <v>2</v>
      </c>
      <c r="V2011">
        <v>5</v>
      </c>
    </row>
    <row r="2012" spans="1:22" x14ac:dyDescent="0.3">
      <c r="A2012">
        <v>2011</v>
      </c>
      <c r="B2012">
        <v>51137</v>
      </c>
      <c r="C2012" s="2">
        <v>37615</v>
      </c>
      <c r="D2012">
        <v>23</v>
      </c>
      <c r="E2012" t="s">
        <v>42</v>
      </c>
      <c r="F2012" t="s">
        <v>37</v>
      </c>
      <c r="G2012" s="2">
        <v>45009</v>
      </c>
      <c r="H2012" s="3">
        <f t="shared" si="31"/>
        <v>1.9095890410958904</v>
      </c>
      <c r="I2012">
        <v>65</v>
      </c>
      <c r="J2012" t="s">
        <v>38</v>
      </c>
      <c r="K2012" t="s">
        <v>65</v>
      </c>
      <c r="L2012" t="s">
        <v>44</v>
      </c>
      <c r="M2012">
        <v>10.48</v>
      </c>
      <c r="N2012">
        <v>10.38</v>
      </c>
      <c r="T2012" t="s">
        <v>52</v>
      </c>
      <c r="U2012">
        <v>0</v>
      </c>
      <c r="V2012">
        <v>6</v>
      </c>
    </row>
    <row r="2013" spans="1:22" x14ac:dyDescent="0.3">
      <c r="A2013">
        <v>2012</v>
      </c>
      <c r="B2013">
        <v>51138</v>
      </c>
      <c r="C2013" s="2">
        <v>37664</v>
      </c>
      <c r="D2013">
        <v>22</v>
      </c>
      <c r="E2013" t="s">
        <v>42</v>
      </c>
      <c r="F2013" t="s">
        <v>50</v>
      </c>
      <c r="G2013" s="2">
        <v>45325</v>
      </c>
      <c r="H2013" s="3">
        <f t="shared" si="31"/>
        <v>1.9616438356164383</v>
      </c>
      <c r="I2013">
        <v>65</v>
      </c>
      <c r="J2013" t="s">
        <v>38</v>
      </c>
      <c r="K2013" t="s">
        <v>64</v>
      </c>
      <c r="L2013" t="s">
        <v>44</v>
      </c>
      <c r="M2013">
        <v>13.73</v>
      </c>
      <c r="T2013" t="s">
        <v>45</v>
      </c>
      <c r="U2013">
        <v>1</v>
      </c>
      <c r="V2013">
        <v>5</v>
      </c>
    </row>
    <row r="2014" spans="1:22" x14ac:dyDescent="0.3">
      <c r="A2014">
        <v>2013</v>
      </c>
      <c r="B2014">
        <v>51146</v>
      </c>
      <c r="C2014" s="2">
        <v>38885</v>
      </c>
      <c r="D2014">
        <v>19</v>
      </c>
      <c r="E2014" t="s">
        <v>42</v>
      </c>
      <c r="F2014" t="s">
        <v>37</v>
      </c>
      <c r="G2014" s="2">
        <v>45306</v>
      </c>
      <c r="H2014" s="3">
        <f t="shared" si="31"/>
        <v>2.128767123287671</v>
      </c>
      <c r="I2014">
        <v>65</v>
      </c>
      <c r="J2014" t="s">
        <v>38</v>
      </c>
      <c r="K2014" t="s">
        <v>56</v>
      </c>
      <c r="L2014" t="s">
        <v>44</v>
      </c>
      <c r="M2014">
        <v>8.36</v>
      </c>
      <c r="T2014" t="s">
        <v>49</v>
      </c>
      <c r="U2014">
        <v>3</v>
      </c>
      <c r="V2014">
        <v>6</v>
      </c>
    </row>
    <row r="2015" spans="1:22" x14ac:dyDescent="0.3">
      <c r="A2015">
        <v>2014</v>
      </c>
      <c r="B2015">
        <v>51153</v>
      </c>
      <c r="C2015" s="2">
        <v>35919</v>
      </c>
      <c r="D2015">
        <v>27</v>
      </c>
      <c r="E2015" t="s">
        <v>42</v>
      </c>
      <c r="F2015" t="s">
        <v>37</v>
      </c>
      <c r="G2015" s="2">
        <v>45245</v>
      </c>
      <c r="H2015" s="3">
        <f t="shared" si="31"/>
        <v>2.6136986301369864</v>
      </c>
      <c r="I2015">
        <v>65</v>
      </c>
      <c r="J2015" t="s">
        <v>38</v>
      </c>
      <c r="K2015" t="s">
        <v>56</v>
      </c>
      <c r="L2015" t="s">
        <v>44</v>
      </c>
      <c r="M2015">
        <v>8.36</v>
      </c>
      <c r="N2015">
        <v>8.26</v>
      </c>
      <c r="T2015" t="s">
        <v>52</v>
      </c>
      <c r="U2015">
        <v>2</v>
      </c>
      <c r="V2015">
        <v>6</v>
      </c>
    </row>
    <row r="2016" spans="1:22" x14ac:dyDescent="0.3">
      <c r="A2016">
        <v>2015</v>
      </c>
      <c r="B2016">
        <v>51156</v>
      </c>
      <c r="C2016" s="2">
        <v>36870</v>
      </c>
      <c r="D2016">
        <v>25</v>
      </c>
      <c r="E2016" t="s">
        <v>42</v>
      </c>
      <c r="F2016" t="s">
        <v>50</v>
      </c>
      <c r="G2016" s="2">
        <v>45068</v>
      </c>
      <c r="H2016" s="3">
        <f t="shared" si="31"/>
        <v>2.5534246575342467</v>
      </c>
      <c r="I2016">
        <v>66</v>
      </c>
      <c r="J2016" t="s">
        <v>57</v>
      </c>
      <c r="K2016" t="s">
        <v>68</v>
      </c>
      <c r="L2016" t="s">
        <v>44</v>
      </c>
      <c r="M2016">
        <v>16.78</v>
      </c>
      <c r="N2016">
        <v>16.579999999999998</v>
      </c>
      <c r="T2016" t="s">
        <v>49</v>
      </c>
      <c r="U2016">
        <v>4</v>
      </c>
      <c r="V2016">
        <v>7</v>
      </c>
    </row>
    <row r="2017" spans="1:22" x14ac:dyDescent="0.3">
      <c r="A2017">
        <v>2016</v>
      </c>
      <c r="B2017">
        <v>51175</v>
      </c>
      <c r="C2017" s="2">
        <v>38606</v>
      </c>
      <c r="D2017">
        <v>20</v>
      </c>
      <c r="E2017" t="s">
        <v>36</v>
      </c>
      <c r="F2017" t="s">
        <v>50</v>
      </c>
      <c r="G2017" s="2">
        <v>45090</v>
      </c>
      <c r="H2017" s="3">
        <f t="shared" si="31"/>
        <v>1.9479452054794522</v>
      </c>
      <c r="I2017">
        <v>67</v>
      </c>
      <c r="J2017" t="s">
        <v>57</v>
      </c>
      <c r="K2017" t="s">
        <v>56</v>
      </c>
      <c r="L2017" t="s">
        <v>44</v>
      </c>
      <c r="M2017">
        <v>8.44</v>
      </c>
      <c r="N2017">
        <v>8.26</v>
      </c>
      <c r="T2017" t="s">
        <v>52</v>
      </c>
      <c r="U2017">
        <v>2</v>
      </c>
      <c r="V2017">
        <v>5</v>
      </c>
    </row>
    <row r="2018" spans="1:22" x14ac:dyDescent="0.3">
      <c r="A2018">
        <v>2017</v>
      </c>
      <c r="B2018">
        <v>51177</v>
      </c>
      <c r="C2018" s="2">
        <v>38484</v>
      </c>
      <c r="D2018">
        <v>20</v>
      </c>
      <c r="E2018" t="s">
        <v>42</v>
      </c>
      <c r="F2018" t="s">
        <v>37</v>
      </c>
      <c r="G2018" s="2">
        <v>45311</v>
      </c>
      <c r="H2018" s="3">
        <f t="shared" si="31"/>
        <v>2.0602739726027397</v>
      </c>
      <c r="I2018">
        <v>67</v>
      </c>
      <c r="J2018" t="s">
        <v>57</v>
      </c>
      <c r="K2018" t="s">
        <v>56</v>
      </c>
      <c r="L2018" t="s">
        <v>44</v>
      </c>
      <c r="M2018">
        <v>8.48</v>
      </c>
      <c r="T2018" t="s">
        <v>45</v>
      </c>
      <c r="U2018">
        <v>1</v>
      </c>
      <c r="V2018">
        <v>7</v>
      </c>
    </row>
    <row r="2019" spans="1:22" x14ac:dyDescent="0.3">
      <c r="A2019">
        <v>2018</v>
      </c>
      <c r="B2019">
        <v>51185</v>
      </c>
      <c r="C2019" s="2">
        <v>33822</v>
      </c>
      <c r="D2019">
        <v>33</v>
      </c>
      <c r="E2019" t="s">
        <v>42</v>
      </c>
      <c r="F2019" t="s">
        <v>50</v>
      </c>
      <c r="G2019" s="2">
        <v>45270</v>
      </c>
      <c r="H2019" s="3">
        <f t="shared" si="31"/>
        <v>2.043835616438356</v>
      </c>
      <c r="I2019">
        <v>68</v>
      </c>
      <c r="J2019" t="s">
        <v>57</v>
      </c>
      <c r="K2019" t="s">
        <v>56</v>
      </c>
      <c r="L2019" t="s">
        <v>44</v>
      </c>
      <c r="M2019">
        <v>8.5399999999999991</v>
      </c>
      <c r="N2019">
        <v>8.26</v>
      </c>
      <c r="T2019" t="s">
        <v>49</v>
      </c>
      <c r="U2019">
        <v>2</v>
      </c>
      <c r="V2019">
        <v>7</v>
      </c>
    </row>
    <row r="2020" spans="1:22" x14ac:dyDescent="0.3">
      <c r="A2020">
        <v>2019</v>
      </c>
      <c r="B2020">
        <v>51186</v>
      </c>
      <c r="C2020" s="2">
        <v>36269</v>
      </c>
      <c r="D2020">
        <v>26</v>
      </c>
      <c r="E2020" t="s">
        <v>36</v>
      </c>
      <c r="F2020" t="s">
        <v>37</v>
      </c>
      <c r="G2020" s="2">
        <v>45276</v>
      </c>
      <c r="H2020" s="3">
        <f t="shared" si="31"/>
        <v>2.882191780821918</v>
      </c>
      <c r="I2020">
        <v>69</v>
      </c>
      <c r="J2020" t="s">
        <v>57</v>
      </c>
      <c r="K2020" t="s">
        <v>65</v>
      </c>
      <c r="L2020" t="s">
        <v>44</v>
      </c>
      <c r="M2020">
        <v>10.65</v>
      </c>
      <c r="N2020">
        <v>10.38</v>
      </c>
      <c r="T2020" t="s">
        <v>47</v>
      </c>
      <c r="U2020">
        <v>1</v>
      </c>
      <c r="V2020">
        <v>2</v>
      </c>
    </row>
    <row r="2021" spans="1:22" x14ac:dyDescent="0.3">
      <c r="A2021">
        <v>2020</v>
      </c>
      <c r="B2021">
        <v>51188</v>
      </c>
      <c r="C2021" s="2">
        <v>37043</v>
      </c>
      <c r="D2021">
        <v>25</v>
      </c>
      <c r="E2021" t="s">
        <v>42</v>
      </c>
      <c r="F2021" t="s">
        <v>50</v>
      </c>
      <c r="G2021" s="2">
        <v>44970</v>
      </c>
      <c r="H2021" s="3">
        <f t="shared" si="31"/>
        <v>2.1534246575342464</v>
      </c>
      <c r="I2021">
        <v>69</v>
      </c>
      <c r="J2021" t="s">
        <v>57</v>
      </c>
      <c r="K2021" t="s">
        <v>64</v>
      </c>
      <c r="L2021" t="s">
        <v>44</v>
      </c>
      <c r="M2021">
        <v>14.06</v>
      </c>
      <c r="N2021">
        <v>13.73</v>
      </c>
      <c r="T2021" t="s">
        <v>52</v>
      </c>
      <c r="U2021">
        <v>0</v>
      </c>
      <c r="V2021">
        <v>6</v>
      </c>
    </row>
    <row r="2022" spans="1:22" x14ac:dyDescent="0.3">
      <c r="A2022">
        <v>2021</v>
      </c>
      <c r="B2022">
        <v>51196</v>
      </c>
      <c r="C2022" s="2">
        <v>34041</v>
      </c>
      <c r="D2022">
        <v>32</v>
      </c>
      <c r="E2022" t="s">
        <v>42</v>
      </c>
      <c r="F2022" t="s">
        <v>50</v>
      </c>
      <c r="G2022" s="2">
        <v>45236</v>
      </c>
      <c r="H2022" s="3">
        <f t="shared" si="31"/>
        <v>2.4575342465753423</v>
      </c>
      <c r="I2022">
        <v>71</v>
      </c>
      <c r="J2022" t="s">
        <v>57</v>
      </c>
      <c r="K2022" t="s">
        <v>68</v>
      </c>
      <c r="L2022" t="s">
        <v>44</v>
      </c>
      <c r="M2022">
        <v>16.78</v>
      </c>
      <c r="N2022">
        <v>16.579999999999998</v>
      </c>
      <c r="T2022" t="s">
        <v>52</v>
      </c>
      <c r="U2022">
        <v>1</v>
      </c>
      <c r="V2022">
        <v>4</v>
      </c>
    </row>
    <row r="2023" spans="1:22" x14ac:dyDescent="0.3">
      <c r="A2023">
        <v>2022</v>
      </c>
      <c r="B2023">
        <v>51216</v>
      </c>
      <c r="C2023" s="2">
        <v>36614</v>
      </c>
      <c r="D2023">
        <v>25</v>
      </c>
      <c r="E2023" t="s">
        <v>42</v>
      </c>
      <c r="F2023" t="s">
        <v>37</v>
      </c>
      <c r="G2023" s="2">
        <v>45125</v>
      </c>
      <c r="H2023" s="3">
        <f t="shared" si="31"/>
        <v>1.9643835616438357</v>
      </c>
      <c r="I2023">
        <v>72</v>
      </c>
      <c r="J2023" t="s">
        <v>57</v>
      </c>
      <c r="K2023" t="s">
        <v>48</v>
      </c>
      <c r="L2023" t="s">
        <v>44</v>
      </c>
      <c r="M2023">
        <v>8.4600000000000009</v>
      </c>
      <c r="N2023">
        <v>8.26</v>
      </c>
      <c r="T2023" t="s">
        <v>47</v>
      </c>
      <c r="U2023">
        <v>2</v>
      </c>
      <c r="V2023">
        <v>6</v>
      </c>
    </row>
    <row r="2024" spans="1:22" x14ac:dyDescent="0.3">
      <c r="A2024">
        <v>2023</v>
      </c>
      <c r="B2024">
        <v>51236</v>
      </c>
      <c r="C2024" s="2">
        <v>37393</v>
      </c>
      <c r="D2024">
        <v>23</v>
      </c>
      <c r="E2024" t="s">
        <v>42</v>
      </c>
      <c r="F2024" t="s">
        <v>50</v>
      </c>
      <c r="G2024" s="2">
        <v>45305</v>
      </c>
      <c r="H2024" s="3">
        <f t="shared" si="31"/>
        <v>1.8493150684931507</v>
      </c>
      <c r="I2024">
        <v>73</v>
      </c>
      <c r="J2024" t="s">
        <v>57</v>
      </c>
      <c r="K2024" t="s">
        <v>68</v>
      </c>
      <c r="L2024" t="s">
        <v>44</v>
      </c>
      <c r="M2024">
        <v>16.78</v>
      </c>
      <c r="T2024" t="s">
        <v>52</v>
      </c>
      <c r="U2024">
        <v>1</v>
      </c>
      <c r="V2024">
        <v>7</v>
      </c>
    </row>
    <row r="2025" spans="1:22" x14ac:dyDescent="0.3">
      <c r="A2025">
        <v>2024</v>
      </c>
      <c r="B2025">
        <v>51238</v>
      </c>
      <c r="C2025" s="2">
        <v>34385</v>
      </c>
      <c r="D2025">
        <v>31</v>
      </c>
      <c r="E2025" t="s">
        <v>36</v>
      </c>
      <c r="F2025" t="s">
        <v>50</v>
      </c>
      <c r="G2025" s="2">
        <v>45347</v>
      </c>
      <c r="H2025" s="3">
        <f t="shared" si="31"/>
        <v>2.4712328767123286</v>
      </c>
      <c r="I2025">
        <v>73</v>
      </c>
      <c r="J2025" t="s">
        <v>57</v>
      </c>
      <c r="K2025" t="s">
        <v>54</v>
      </c>
      <c r="L2025" t="s">
        <v>44</v>
      </c>
      <c r="M2025">
        <v>23.5</v>
      </c>
      <c r="T2025" t="s">
        <v>47</v>
      </c>
      <c r="U2025">
        <v>6</v>
      </c>
      <c r="V2025">
        <v>5</v>
      </c>
    </row>
    <row r="2026" spans="1:22" x14ac:dyDescent="0.3">
      <c r="A2026">
        <v>2025</v>
      </c>
      <c r="B2026">
        <v>51249</v>
      </c>
      <c r="C2026" s="2">
        <v>38200</v>
      </c>
      <c r="D2026">
        <v>22</v>
      </c>
      <c r="E2026" t="s">
        <v>42</v>
      </c>
      <c r="F2026" t="s">
        <v>50</v>
      </c>
      <c r="G2026" s="2">
        <v>45120</v>
      </c>
      <c r="H2026" s="3">
        <f t="shared" si="31"/>
        <v>2.3698630136986303</v>
      </c>
      <c r="I2026">
        <v>73</v>
      </c>
      <c r="J2026" t="s">
        <v>57</v>
      </c>
      <c r="K2026" t="s">
        <v>56</v>
      </c>
      <c r="L2026" t="s">
        <v>44</v>
      </c>
      <c r="M2026">
        <v>8.4600000000000009</v>
      </c>
      <c r="N2026">
        <v>8.26</v>
      </c>
      <c r="T2026" t="s">
        <v>45</v>
      </c>
      <c r="U2026">
        <v>2</v>
      </c>
      <c r="V2026">
        <v>6</v>
      </c>
    </row>
    <row r="2027" spans="1:22" x14ac:dyDescent="0.3">
      <c r="A2027">
        <v>2026</v>
      </c>
      <c r="B2027">
        <v>51273</v>
      </c>
      <c r="C2027" s="2">
        <v>36793</v>
      </c>
      <c r="D2027">
        <v>25</v>
      </c>
      <c r="E2027" t="s">
        <v>42</v>
      </c>
      <c r="F2027" t="s">
        <v>50</v>
      </c>
      <c r="G2027" s="2">
        <v>45157</v>
      </c>
      <c r="H2027" s="3">
        <f t="shared" si="31"/>
        <v>2.0164383561643837</v>
      </c>
      <c r="I2027">
        <v>75</v>
      </c>
      <c r="J2027" t="s">
        <v>57</v>
      </c>
      <c r="K2027" t="s">
        <v>68</v>
      </c>
      <c r="L2027" t="s">
        <v>44</v>
      </c>
      <c r="M2027">
        <v>16.78</v>
      </c>
      <c r="N2027">
        <v>16.579999999999998</v>
      </c>
      <c r="T2027" t="s">
        <v>45</v>
      </c>
      <c r="U2027">
        <v>3</v>
      </c>
      <c r="V2027">
        <v>7</v>
      </c>
    </row>
    <row r="2028" spans="1:22" x14ac:dyDescent="0.3">
      <c r="A2028">
        <v>2027</v>
      </c>
      <c r="B2028">
        <v>51278</v>
      </c>
      <c r="C2028" s="2">
        <v>37726</v>
      </c>
      <c r="D2028">
        <v>22</v>
      </c>
      <c r="E2028" t="s">
        <v>42</v>
      </c>
      <c r="F2028" t="s">
        <v>50</v>
      </c>
      <c r="G2028" s="2">
        <v>45286</v>
      </c>
      <c r="H2028" s="3">
        <f t="shared" si="31"/>
        <v>2.2164383561643834</v>
      </c>
      <c r="I2028">
        <v>75</v>
      </c>
      <c r="J2028" t="s">
        <v>57</v>
      </c>
      <c r="K2028" t="s">
        <v>56</v>
      </c>
      <c r="L2028" t="s">
        <v>44</v>
      </c>
      <c r="M2028">
        <v>8.4600000000000009</v>
      </c>
      <c r="N2028">
        <v>8.26</v>
      </c>
      <c r="T2028" t="s">
        <v>52</v>
      </c>
      <c r="U2028">
        <v>2</v>
      </c>
      <c r="V2028">
        <v>7</v>
      </c>
    </row>
    <row r="2029" spans="1:22" x14ac:dyDescent="0.3">
      <c r="A2029">
        <v>2028</v>
      </c>
      <c r="B2029">
        <v>51292</v>
      </c>
      <c r="C2029" s="2">
        <v>37304</v>
      </c>
      <c r="D2029">
        <v>23</v>
      </c>
      <c r="E2029" t="s">
        <v>42</v>
      </c>
      <c r="F2029" t="s">
        <v>50</v>
      </c>
      <c r="G2029" s="2">
        <v>45213</v>
      </c>
      <c r="H2029" s="3">
        <f t="shared" si="31"/>
        <v>2.5972602739726027</v>
      </c>
      <c r="I2029">
        <v>76</v>
      </c>
      <c r="J2029" t="s">
        <v>57</v>
      </c>
      <c r="K2029" t="s">
        <v>68</v>
      </c>
      <c r="L2029" t="s">
        <v>44</v>
      </c>
      <c r="M2029">
        <v>16.78</v>
      </c>
      <c r="N2029">
        <v>16.579999999999998</v>
      </c>
      <c r="T2029" t="s">
        <v>49</v>
      </c>
      <c r="U2029">
        <v>1</v>
      </c>
      <c r="V2029">
        <v>5</v>
      </c>
    </row>
    <row r="2030" spans="1:22" x14ac:dyDescent="0.3">
      <c r="A2030">
        <v>2029</v>
      </c>
      <c r="B2030">
        <v>51313</v>
      </c>
      <c r="C2030" s="2">
        <v>36204</v>
      </c>
      <c r="D2030">
        <v>26</v>
      </c>
      <c r="E2030" t="s">
        <v>42</v>
      </c>
      <c r="F2030" t="s">
        <v>37</v>
      </c>
      <c r="G2030" s="2">
        <v>45074</v>
      </c>
      <c r="H2030" s="3">
        <f t="shared" si="31"/>
        <v>2.506849315068493</v>
      </c>
      <c r="I2030">
        <v>77</v>
      </c>
      <c r="J2030" t="s">
        <v>57</v>
      </c>
      <c r="K2030" t="s">
        <v>56</v>
      </c>
      <c r="L2030" t="s">
        <v>44</v>
      </c>
      <c r="M2030">
        <v>8.4600000000000009</v>
      </c>
      <c r="N2030">
        <v>8.26</v>
      </c>
      <c r="T2030" t="s">
        <v>47</v>
      </c>
      <c r="U2030">
        <v>3</v>
      </c>
      <c r="V2030">
        <v>5</v>
      </c>
    </row>
    <row r="2031" spans="1:22" x14ac:dyDescent="0.3">
      <c r="A2031">
        <v>2030</v>
      </c>
      <c r="B2031">
        <v>51321</v>
      </c>
      <c r="C2031" s="2">
        <v>34916</v>
      </c>
      <c r="D2031">
        <v>30</v>
      </c>
      <c r="E2031" t="s">
        <v>36</v>
      </c>
      <c r="F2031" t="s">
        <v>37</v>
      </c>
      <c r="G2031" s="2">
        <v>45107</v>
      </c>
      <c r="H2031" s="3">
        <f t="shared" si="31"/>
        <v>1.9315068493150684</v>
      </c>
      <c r="I2031">
        <v>78</v>
      </c>
      <c r="J2031" t="s">
        <v>57</v>
      </c>
      <c r="K2031" t="s">
        <v>55</v>
      </c>
      <c r="L2031" t="s">
        <v>44</v>
      </c>
      <c r="M2031">
        <v>17.309999999999999</v>
      </c>
      <c r="N2031">
        <v>17.16</v>
      </c>
      <c r="T2031" t="s">
        <v>47</v>
      </c>
      <c r="U2031">
        <v>2</v>
      </c>
      <c r="V2031">
        <v>4</v>
      </c>
    </row>
    <row r="2032" spans="1:22" x14ac:dyDescent="0.3">
      <c r="A2032">
        <v>2031</v>
      </c>
      <c r="B2032">
        <v>51354</v>
      </c>
      <c r="C2032" s="2">
        <v>38145</v>
      </c>
      <c r="D2032">
        <v>21</v>
      </c>
      <c r="E2032" t="s">
        <v>42</v>
      </c>
      <c r="F2032" t="s">
        <v>37</v>
      </c>
      <c r="G2032" s="2">
        <v>45317</v>
      </c>
      <c r="H2032" s="3">
        <f t="shared" si="31"/>
        <v>2.4054794520547946</v>
      </c>
      <c r="I2032">
        <v>80</v>
      </c>
      <c r="J2032" t="s">
        <v>57</v>
      </c>
      <c r="K2032" t="s">
        <v>56</v>
      </c>
      <c r="L2032" t="s">
        <v>44</v>
      </c>
      <c r="M2032">
        <v>8.4600000000000009</v>
      </c>
      <c r="T2032" t="s">
        <v>47</v>
      </c>
      <c r="U2032">
        <v>1</v>
      </c>
      <c r="V2032">
        <v>4</v>
      </c>
    </row>
    <row r="2033" spans="1:22" x14ac:dyDescent="0.3">
      <c r="A2033">
        <v>2032</v>
      </c>
      <c r="B2033">
        <v>51376</v>
      </c>
      <c r="C2033" s="2">
        <v>36938</v>
      </c>
      <c r="D2033">
        <v>24</v>
      </c>
      <c r="E2033" t="s">
        <v>42</v>
      </c>
      <c r="F2033" t="s">
        <v>50</v>
      </c>
      <c r="G2033" s="2">
        <v>45144</v>
      </c>
      <c r="H2033" s="3">
        <f t="shared" si="31"/>
        <v>2.6246575342465754</v>
      </c>
      <c r="I2033">
        <v>82</v>
      </c>
      <c r="J2033" t="s">
        <v>57</v>
      </c>
      <c r="K2033" t="s">
        <v>68</v>
      </c>
      <c r="L2033" t="s">
        <v>44</v>
      </c>
      <c r="M2033">
        <v>16.78</v>
      </c>
      <c r="N2033">
        <v>16.579999999999998</v>
      </c>
      <c r="T2033" t="s">
        <v>47</v>
      </c>
      <c r="U2033">
        <v>1</v>
      </c>
      <c r="V2033">
        <v>6</v>
      </c>
    </row>
    <row r="2034" spans="1:22" x14ac:dyDescent="0.3">
      <c r="A2034">
        <v>2033</v>
      </c>
      <c r="B2034">
        <v>51393</v>
      </c>
      <c r="C2034" s="2">
        <v>35568</v>
      </c>
      <c r="D2034">
        <v>28</v>
      </c>
      <c r="E2034" t="s">
        <v>36</v>
      </c>
      <c r="F2034" t="s">
        <v>50</v>
      </c>
      <c r="G2034" s="2">
        <v>45064</v>
      </c>
      <c r="H2034" s="3">
        <f t="shared" si="31"/>
        <v>2.5424657534246577</v>
      </c>
      <c r="I2034">
        <v>83</v>
      </c>
      <c r="J2034" t="s">
        <v>57</v>
      </c>
      <c r="K2034" t="s">
        <v>65</v>
      </c>
      <c r="L2034" t="s">
        <v>44</v>
      </c>
      <c r="M2034">
        <v>10.58</v>
      </c>
      <c r="N2034">
        <v>10.38</v>
      </c>
      <c r="T2034" t="s">
        <v>52</v>
      </c>
      <c r="U2034">
        <v>1</v>
      </c>
      <c r="V2034">
        <v>4</v>
      </c>
    </row>
    <row r="2035" spans="1:22" x14ac:dyDescent="0.3">
      <c r="A2035">
        <v>2034</v>
      </c>
      <c r="B2035">
        <v>51399</v>
      </c>
      <c r="C2035" s="2">
        <v>38513</v>
      </c>
      <c r="D2035">
        <v>20</v>
      </c>
      <c r="E2035" t="s">
        <v>36</v>
      </c>
      <c r="F2035" t="s">
        <v>50</v>
      </c>
      <c r="G2035" s="2">
        <v>45094</v>
      </c>
      <c r="H2035" s="3">
        <f t="shared" si="31"/>
        <v>2.8684931506849316</v>
      </c>
      <c r="I2035">
        <v>83</v>
      </c>
      <c r="J2035" t="s">
        <v>57</v>
      </c>
      <c r="K2035" t="s">
        <v>56</v>
      </c>
      <c r="L2035" t="s">
        <v>44</v>
      </c>
      <c r="M2035">
        <v>8.4600000000000009</v>
      </c>
      <c r="N2035">
        <v>8.26</v>
      </c>
      <c r="T2035" t="s">
        <v>47</v>
      </c>
      <c r="U2035">
        <v>2</v>
      </c>
      <c r="V2035">
        <v>6</v>
      </c>
    </row>
    <row r="2036" spans="1:22" x14ac:dyDescent="0.3">
      <c r="A2036">
        <v>2035</v>
      </c>
      <c r="B2036">
        <v>51402</v>
      </c>
      <c r="C2036" s="2">
        <v>37480</v>
      </c>
      <c r="D2036">
        <v>23</v>
      </c>
      <c r="E2036" t="s">
        <v>42</v>
      </c>
      <c r="F2036" t="s">
        <v>50</v>
      </c>
      <c r="G2036" s="2">
        <v>44975</v>
      </c>
      <c r="H2036" s="3">
        <f t="shared" si="31"/>
        <v>2.7753424657534245</v>
      </c>
      <c r="I2036">
        <v>84</v>
      </c>
      <c r="J2036" t="s">
        <v>57</v>
      </c>
      <c r="K2036" t="s">
        <v>65</v>
      </c>
      <c r="L2036" t="s">
        <v>44</v>
      </c>
      <c r="M2036">
        <v>10.58</v>
      </c>
      <c r="N2036">
        <v>10.38</v>
      </c>
      <c r="T2036" t="s">
        <v>49</v>
      </c>
      <c r="U2036">
        <v>0</v>
      </c>
      <c r="V2036">
        <v>6</v>
      </c>
    </row>
    <row r="2037" spans="1:22" x14ac:dyDescent="0.3">
      <c r="A2037">
        <v>2036</v>
      </c>
      <c r="B2037">
        <v>51403</v>
      </c>
      <c r="C2037" s="2">
        <v>35797</v>
      </c>
      <c r="D2037">
        <v>27</v>
      </c>
      <c r="E2037" t="s">
        <v>42</v>
      </c>
      <c r="F2037" t="s">
        <v>37</v>
      </c>
      <c r="G2037" s="2">
        <v>45009</v>
      </c>
      <c r="H2037" s="3">
        <f t="shared" si="31"/>
        <v>2.8767123287671232</v>
      </c>
      <c r="I2037">
        <v>84</v>
      </c>
      <c r="J2037" t="s">
        <v>57</v>
      </c>
      <c r="K2037" t="s">
        <v>56</v>
      </c>
      <c r="L2037" t="s">
        <v>44</v>
      </c>
      <c r="M2037">
        <v>8.4600000000000009</v>
      </c>
      <c r="N2037">
        <v>8.26</v>
      </c>
      <c r="T2037" t="s">
        <v>49</v>
      </c>
      <c r="U2037">
        <v>4</v>
      </c>
      <c r="V2037">
        <v>5</v>
      </c>
    </row>
    <row r="2038" spans="1:22" x14ac:dyDescent="0.3">
      <c r="A2038">
        <v>2037</v>
      </c>
      <c r="B2038">
        <v>51408</v>
      </c>
      <c r="C2038" s="2">
        <v>38278</v>
      </c>
      <c r="D2038">
        <v>21</v>
      </c>
      <c r="E2038" t="s">
        <v>42</v>
      </c>
      <c r="F2038" t="s">
        <v>37</v>
      </c>
      <c r="G2038" s="2">
        <v>44972</v>
      </c>
      <c r="H2038" s="3">
        <f t="shared" si="31"/>
        <v>1.9917808219178081</v>
      </c>
      <c r="I2038">
        <v>84</v>
      </c>
      <c r="J2038" t="s">
        <v>57</v>
      </c>
      <c r="K2038" t="s">
        <v>56</v>
      </c>
      <c r="L2038" t="s">
        <v>44</v>
      </c>
      <c r="M2038">
        <v>8.4600000000000009</v>
      </c>
      <c r="N2038">
        <v>8.26</v>
      </c>
      <c r="T2038" t="s">
        <v>49</v>
      </c>
      <c r="U2038">
        <v>1</v>
      </c>
      <c r="V2038">
        <v>5</v>
      </c>
    </row>
    <row r="2039" spans="1:22" x14ac:dyDescent="0.3">
      <c r="A2039">
        <v>2038</v>
      </c>
      <c r="B2039">
        <v>51411</v>
      </c>
      <c r="C2039" s="2">
        <v>37826</v>
      </c>
      <c r="D2039">
        <v>22</v>
      </c>
      <c r="E2039" t="s">
        <v>42</v>
      </c>
      <c r="F2039" t="s">
        <v>37</v>
      </c>
      <c r="G2039" s="2">
        <v>45295</v>
      </c>
      <c r="H2039" s="3">
        <f t="shared" si="31"/>
        <v>1.9534246575342467</v>
      </c>
      <c r="I2039">
        <v>84</v>
      </c>
      <c r="J2039" t="s">
        <v>57</v>
      </c>
      <c r="K2039" t="s">
        <v>56</v>
      </c>
      <c r="L2039" t="s">
        <v>44</v>
      </c>
      <c r="M2039">
        <v>8.4600000000000009</v>
      </c>
      <c r="T2039" t="s">
        <v>45</v>
      </c>
      <c r="U2039">
        <v>2</v>
      </c>
      <c r="V2039">
        <v>6</v>
      </c>
    </row>
    <row r="2040" spans="1:22" x14ac:dyDescent="0.3">
      <c r="A2040">
        <v>2039</v>
      </c>
      <c r="B2040">
        <v>51454</v>
      </c>
      <c r="C2040" s="2">
        <v>34075</v>
      </c>
      <c r="D2040">
        <v>32</v>
      </c>
      <c r="E2040" t="s">
        <v>42</v>
      </c>
      <c r="F2040" t="s">
        <v>37</v>
      </c>
      <c r="G2040" s="2">
        <v>45309</v>
      </c>
      <c r="H2040" s="3">
        <f t="shared" si="31"/>
        <v>1.8876712328767122</v>
      </c>
      <c r="I2040">
        <v>87</v>
      </c>
      <c r="J2040" t="s">
        <v>57</v>
      </c>
      <c r="K2040" t="s">
        <v>46</v>
      </c>
      <c r="L2040" t="s">
        <v>44</v>
      </c>
      <c r="M2040">
        <v>14.03</v>
      </c>
      <c r="T2040" t="s">
        <v>49</v>
      </c>
      <c r="U2040">
        <v>1</v>
      </c>
      <c r="V2040">
        <v>6</v>
      </c>
    </row>
    <row r="2041" spans="1:22" x14ac:dyDescent="0.3">
      <c r="A2041">
        <v>2040</v>
      </c>
      <c r="B2041">
        <v>51456</v>
      </c>
      <c r="C2041" s="2">
        <v>38772</v>
      </c>
      <c r="D2041">
        <v>19</v>
      </c>
      <c r="E2041" t="s">
        <v>42</v>
      </c>
      <c r="F2041" t="s">
        <v>37</v>
      </c>
      <c r="G2041" s="2">
        <v>45333</v>
      </c>
      <c r="H2041" s="3">
        <f t="shared" si="31"/>
        <v>1.9753424657534246</v>
      </c>
      <c r="I2041">
        <v>87</v>
      </c>
      <c r="J2041" t="s">
        <v>57</v>
      </c>
      <c r="K2041" t="s">
        <v>56</v>
      </c>
      <c r="L2041" t="s">
        <v>44</v>
      </c>
      <c r="M2041">
        <v>8.36</v>
      </c>
      <c r="T2041" t="s">
        <v>45</v>
      </c>
      <c r="U2041">
        <v>4</v>
      </c>
      <c r="V2041">
        <v>5</v>
      </c>
    </row>
    <row r="2042" spans="1:22" x14ac:dyDescent="0.3">
      <c r="A2042">
        <v>2041</v>
      </c>
      <c r="B2042">
        <v>51461</v>
      </c>
      <c r="C2042" s="2">
        <v>39064</v>
      </c>
      <c r="D2042">
        <v>19</v>
      </c>
      <c r="E2042" t="s">
        <v>42</v>
      </c>
      <c r="F2042" t="s">
        <v>37</v>
      </c>
      <c r="G2042" s="2">
        <v>45301</v>
      </c>
      <c r="H2042" s="3">
        <f t="shared" si="31"/>
        <v>2.0684931506849313</v>
      </c>
      <c r="I2042">
        <v>87</v>
      </c>
      <c r="J2042" t="s">
        <v>57</v>
      </c>
      <c r="K2042" t="s">
        <v>56</v>
      </c>
      <c r="L2042" t="s">
        <v>44</v>
      </c>
      <c r="M2042">
        <v>8.36</v>
      </c>
      <c r="T2042" t="s">
        <v>49</v>
      </c>
      <c r="U2042">
        <v>1</v>
      </c>
      <c r="V2042">
        <v>3</v>
      </c>
    </row>
    <row r="2043" spans="1:22" x14ac:dyDescent="0.3">
      <c r="A2043">
        <v>2042</v>
      </c>
      <c r="B2043">
        <v>51538</v>
      </c>
      <c r="C2043" s="2">
        <v>37773</v>
      </c>
      <c r="D2043">
        <v>23</v>
      </c>
      <c r="E2043" t="s">
        <v>42</v>
      </c>
      <c r="F2043" t="s">
        <v>50</v>
      </c>
      <c r="G2043" s="2">
        <v>45267</v>
      </c>
      <c r="H2043" s="3">
        <f t="shared" si="31"/>
        <v>2.504109589041096</v>
      </c>
      <c r="I2043">
        <v>91</v>
      </c>
      <c r="J2043" t="s">
        <v>57</v>
      </c>
      <c r="K2043" t="s">
        <v>56</v>
      </c>
      <c r="L2043" t="s">
        <v>44</v>
      </c>
      <c r="M2043">
        <v>8.26</v>
      </c>
      <c r="N2043">
        <v>8.26</v>
      </c>
      <c r="T2043" t="s">
        <v>47</v>
      </c>
      <c r="U2043">
        <v>0</v>
      </c>
      <c r="V2043">
        <v>5</v>
      </c>
    </row>
    <row r="2044" spans="1:22" x14ac:dyDescent="0.3">
      <c r="A2044">
        <v>2043</v>
      </c>
      <c r="B2044">
        <v>51557</v>
      </c>
      <c r="C2044" s="2">
        <v>36881</v>
      </c>
      <c r="D2044">
        <v>25</v>
      </c>
      <c r="E2044" t="s">
        <v>42</v>
      </c>
      <c r="F2044" t="s">
        <v>37</v>
      </c>
      <c r="G2044" s="2">
        <v>45108</v>
      </c>
      <c r="H2044" s="3">
        <f t="shared" si="31"/>
        <v>1.9972602739726026</v>
      </c>
      <c r="I2044">
        <v>92</v>
      </c>
      <c r="J2044" t="s">
        <v>57</v>
      </c>
      <c r="K2044" t="s">
        <v>56</v>
      </c>
      <c r="L2044" t="s">
        <v>44</v>
      </c>
      <c r="M2044">
        <v>8.4600000000000009</v>
      </c>
      <c r="N2044">
        <v>8.26</v>
      </c>
      <c r="T2044" t="s">
        <v>47</v>
      </c>
      <c r="U2044">
        <v>4</v>
      </c>
      <c r="V2044">
        <v>7</v>
      </c>
    </row>
    <row r="2045" spans="1:22" x14ac:dyDescent="0.3">
      <c r="A2045">
        <v>2044</v>
      </c>
      <c r="B2045">
        <v>51587</v>
      </c>
      <c r="C2045" s="2">
        <v>34885</v>
      </c>
      <c r="D2045">
        <v>30</v>
      </c>
      <c r="E2045" t="s">
        <v>42</v>
      </c>
      <c r="F2045" t="s">
        <v>50</v>
      </c>
      <c r="G2045" s="2">
        <v>45293</v>
      </c>
      <c r="H2045" s="3">
        <f t="shared" si="31"/>
        <v>1.989041095890411</v>
      </c>
      <c r="I2045">
        <v>94</v>
      </c>
      <c r="J2045" t="s">
        <v>57</v>
      </c>
      <c r="K2045" t="s">
        <v>68</v>
      </c>
      <c r="L2045" t="s">
        <v>44</v>
      </c>
      <c r="M2045">
        <v>16.78</v>
      </c>
      <c r="T2045" t="s">
        <v>47</v>
      </c>
      <c r="U2045">
        <v>2</v>
      </c>
      <c r="V2045">
        <v>6</v>
      </c>
    </row>
    <row r="2046" spans="1:22" x14ac:dyDescent="0.3">
      <c r="A2046">
        <v>2045</v>
      </c>
      <c r="B2046">
        <v>51590</v>
      </c>
      <c r="C2046" s="2">
        <v>36206</v>
      </c>
      <c r="D2046">
        <v>26</v>
      </c>
      <c r="E2046" t="s">
        <v>42</v>
      </c>
      <c r="F2046" t="s">
        <v>50</v>
      </c>
      <c r="G2046" s="2">
        <v>45296</v>
      </c>
      <c r="H2046" s="3">
        <f t="shared" si="31"/>
        <v>2.6931506849315068</v>
      </c>
      <c r="I2046">
        <v>94</v>
      </c>
      <c r="J2046" t="s">
        <v>57</v>
      </c>
      <c r="K2046" t="s">
        <v>56</v>
      </c>
      <c r="L2046" t="s">
        <v>44</v>
      </c>
      <c r="M2046">
        <v>8.4600000000000009</v>
      </c>
      <c r="T2046" t="s">
        <v>49</v>
      </c>
      <c r="U2046">
        <v>1</v>
      </c>
      <c r="V2046">
        <v>7</v>
      </c>
    </row>
    <row r="2047" spans="1:22" x14ac:dyDescent="0.3">
      <c r="A2047">
        <v>2046</v>
      </c>
      <c r="B2047">
        <v>51609</v>
      </c>
      <c r="C2047" s="2">
        <v>38217</v>
      </c>
      <c r="D2047">
        <v>21</v>
      </c>
      <c r="E2047" t="s">
        <v>42</v>
      </c>
      <c r="F2047" t="s">
        <v>50</v>
      </c>
      <c r="G2047" s="2">
        <v>45039</v>
      </c>
      <c r="H2047" s="3">
        <f t="shared" si="31"/>
        <v>2.2958904109589042</v>
      </c>
      <c r="I2047">
        <v>95</v>
      </c>
      <c r="J2047" t="s">
        <v>57</v>
      </c>
      <c r="K2047" t="s">
        <v>56</v>
      </c>
      <c r="L2047" t="s">
        <v>44</v>
      </c>
      <c r="M2047">
        <v>8.4600000000000009</v>
      </c>
      <c r="N2047">
        <v>8.26</v>
      </c>
      <c r="T2047" t="s">
        <v>47</v>
      </c>
      <c r="U2047">
        <v>1</v>
      </c>
      <c r="V2047">
        <v>6</v>
      </c>
    </row>
    <row r="2048" spans="1:22" x14ac:dyDescent="0.3">
      <c r="A2048">
        <v>2047</v>
      </c>
      <c r="B2048">
        <v>51637</v>
      </c>
      <c r="C2048" s="2">
        <v>37561</v>
      </c>
      <c r="D2048">
        <v>24</v>
      </c>
      <c r="E2048" t="s">
        <v>42</v>
      </c>
      <c r="F2048" t="s">
        <v>50</v>
      </c>
      <c r="G2048" s="2">
        <v>45184</v>
      </c>
      <c r="H2048" s="3">
        <f t="shared" si="31"/>
        <v>1.8739726027397261</v>
      </c>
      <c r="I2048">
        <v>97</v>
      </c>
      <c r="J2048" t="s">
        <v>57</v>
      </c>
      <c r="K2048" t="s">
        <v>56</v>
      </c>
      <c r="L2048" t="s">
        <v>44</v>
      </c>
      <c r="M2048">
        <v>8.5299999999999994</v>
      </c>
      <c r="N2048">
        <v>8.26</v>
      </c>
      <c r="T2048" t="s">
        <v>49</v>
      </c>
      <c r="U2048">
        <v>0</v>
      </c>
      <c r="V2048">
        <v>4</v>
      </c>
    </row>
    <row r="2049" spans="1:22" x14ac:dyDescent="0.3">
      <c r="A2049">
        <v>2048</v>
      </c>
      <c r="B2049">
        <v>51651</v>
      </c>
      <c r="C2049" s="2">
        <v>35280</v>
      </c>
      <c r="D2049">
        <v>29</v>
      </c>
      <c r="E2049" t="s">
        <v>42</v>
      </c>
      <c r="F2049" t="s">
        <v>50</v>
      </c>
      <c r="G2049" s="2">
        <v>45338</v>
      </c>
      <c r="H2049" s="3">
        <f t="shared" si="31"/>
        <v>2.0136986301369864</v>
      </c>
      <c r="I2049">
        <v>98</v>
      </c>
      <c r="J2049" t="s">
        <v>57</v>
      </c>
      <c r="K2049" t="s">
        <v>56</v>
      </c>
      <c r="L2049" t="s">
        <v>44</v>
      </c>
      <c r="M2049">
        <v>8.36</v>
      </c>
      <c r="T2049" t="s">
        <v>52</v>
      </c>
      <c r="U2049">
        <v>2</v>
      </c>
      <c r="V2049">
        <v>6</v>
      </c>
    </row>
    <row r="2050" spans="1:22" x14ac:dyDescent="0.3">
      <c r="A2050">
        <v>2049</v>
      </c>
      <c r="B2050">
        <v>51657</v>
      </c>
      <c r="C2050" s="2">
        <v>39054</v>
      </c>
      <c r="D2050">
        <v>19</v>
      </c>
      <c r="E2050" t="s">
        <v>42</v>
      </c>
      <c r="F2050" t="s">
        <v>37</v>
      </c>
      <c r="G2050" s="2">
        <v>45287</v>
      </c>
      <c r="H2050" s="3">
        <f t="shared" si="31"/>
        <v>2.4328767123287673</v>
      </c>
      <c r="I2050">
        <v>98</v>
      </c>
      <c r="J2050" t="s">
        <v>57</v>
      </c>
      <c r="K2050" t="s">
        <v>56</v>
      </c>
      <c r="L2050" t="s">
        <v>44</v>
      </c>
      <c r="M2050">
        <v>8.36</v>
      </c>
      <c r="N2050">
        <v>8.26</v>
      </c>
      <c r="T2050" t="s">
        <v>49</v>
      </c>
      <c r="U2050">
        <v>2</v>
      </c>
      <c r="V2050">
        <v>6</v>
      </c>
    </row>
    <row r="2051" spans="1:22" x14ac:dyDescent="0.3">
      <c r="A2051">
        <v>2050</v>
      </c>
      <c r="B2051">
        <v>51662</v>
      </c>
      <c r="C2051" s="2">
        <v>37924</v>
      </c>
      <c r="D2051">
        <v>22</v>
      </c>
      <c r="E2051" t="s">
        <v>36</v>
      </c>
      <c r="F2051" t="s">
        <v>50</v>
      </c>
      <c r="G2051" s="2">
        <v>45134</v>
      </c>
      <c r="H2051" s="3">
        <f t="shared" ref="H2051:H2114" si="32">DATEDIF(G2052,DATE(2025,12,31),"d")/365</f>
        <v>2.0027397260273974</v>
      </c>
      <c r="I2051">
        <v>99</v>
      </c>
      <c r="J2051" t="s">
        <v>57</v>
      </c>
      <c r="K2051" t="s">
        <v>65</v>
      </c>
      <c r="L2051" t="s">
        <v>44</v>
      </c>
      <c r="M2051">
        <v>10.58</v>
      </c>
      <c r="N2051">
        <v>10.38</v>
      </c>
      <c r="T2051" t="s">
        <v>47</v>
      </c>
      <c r="U2051">
        <v>0</v>
      </c>
      <c r="V2051">
        <v>4</v>
      </c>
    </row>
    <row r="2052" spans="1:22" x14ac:dyDescent="0.3">
      <c r="A2052">
        <v>2051</v>
      </c>
      <c r="B2052">
        <v>51663</v>
      </c>
      <c r="C2052" s="2">
        <v>38296</v>
      </c>
      <c r="D2052">
        <v>21</v>
      </c>
      <c r="E2052" t="s">
        <v>36</v>
      </c>
      <c r="F2052" t="s">
        <v>50</v>
      </c>
      <c r="G2052" s="2">
        <v>45291</v>
      </c>
      <c r="H2052" s="3">
        <f t="shared" si="32"/>
        <v>1.9534246575342467</v>
      </c>
      <c r="I2052">
        <v>99</v>
      </c>
      <c r="J2052" t="s">
        <v>57</v>
      </c>
      <c r="K2052" t="s">
        <v>65</v>
      </c>
      <c r="L2052" t="s">
        <v>44</v>
      </c>
      <c r="M2052">
        <v>10.58</v>
      </c>
      <c r="N2052">
        <v>10.38</v>
      </c>
      <c r="T2052" t="s">
        <v>47</v>
      </c>
      <c r="U2052">
        <v>0</v>
      </c>
      <c r="V2052">
        <v>4</v>
      </c>
    </row>
    <row r="2053" spans="1:22" x14ac:dyDescent="0.3">
      <c r="A2053">
        <v>2052</v>
      </c>
      <c r="B2053">
        <v>51675</v>
      </c>
      <c r="C2053" s="2">
        <v>37245</v>
      </c>
      <c r="D2053">
        <v>24</v>
      </c>
      <c r="E2053" t="s">
        <v>42</v>
      </c>
      <c r="F2053" t="s">
        <v>50</v>
      </c>
      <c r="G2053" s="2">
        <v>45309</v>
      </c>
      <c r="H2053" s="3">
        <f t="shared" si="32"/>
        <v>1.9808219178082191</v>
      </c>
      <c r="I2053">
        <v>100</v>
      </c>
      <c r="J2053" t="s">
        <v>57</v>
      </c>
      <c r="K2053" t="s">
        <v>56</v>
      </c>
      <c r="L2053" t="s">
        <v>44</v>
      </c>
      <c r="M2053">
        <v>8.4600000000000009</v>
      </c>
      <c r="T2053" t="s">
        <v>47</v>
      </c>
      <c r="U2053">
        <v>0</v>
      </c>
      <c r="V2053">
        <v>5</v>
      </c>
    </row>
    <row r="2054" spans="1:22" x14ac:dyDescent="0.3">
      <c r="A2054">
        <v>2053</v>
      </c>
      <c r="B2054">
        <v>51699</v>
      </c>
      <c r="C2054" s="2">
        <v>37786</v>
      </c>
      <c r="D2054">
        <v>22</v>
      </c>
      <c r="E2054" t="s">
        <v>42</v>
      </c>
      <c r="F2054" t="s">
        <v>50</v>
      </c>
      <c r="G2054" s="2">
        <v>45299</v>
      </c>
      <c r="H2054" s="3">
        <f t="shared" si="32"/>
        <v>2.128767123287671</v>
      </c>
      <c r="I2054">
        <v>101</v>
      </c>
      <c r="J2054" t="s">
        <v>57</v>
      </c>
      <c r="K2054" t="s">
        <v>56</v>
      </c>
      <c r="L2054" t="s">
        <v>44</v>
      </c>
      <c r="M2054">
        <v>8.4600000000000009</v>
      </c>
      <c r="T2054" t="s">
        <v>47</v>
      </c>
      <c r="U2054">
        <v>2</v>
      </c>
      <c r="V2054">
        <v>7</v>
      </c>
    </row>
    <row r="2055" spans="1:22" x14ac:dyDescent="0.3">
      <c r="A2055">
        <v>2054</v>
      </c>
      <c r="B2055">
        <v>51712</v>
      </c>
      <c r="C2055" s="2">
        <v>38311</v>
      </c>
      <c r="D2055">
        <v>21</v>
      </c>
      <c r="E2055" t="s">
        <v>42</v>
      </c>
      <c r="F2055" t="s">
        <v>37</v>
      </c>
      <c r="G2055" s="2">
        <v>45245</v>
      </c>
      <c r="H2055" s="3">
        <f t="shared" si="32"/>
        <v>1.9150684931506849</v>
      </c>
      <c r="I2055">
        <v>102</v>
      </c>
      <c r="J2055" t="s">
        <v>57</v>
      </c>
      <c r="K2055" t="s">
        <v>56</v>
      </c>
      <c r="L2055" t="s">
        <v>44</v>
      </c>
      <c r="M2055">
        <v>8.4600000000000009</v>
      </c>
      <c r="N2055">
        <v>8.26</v>
      </c>
      <c r="T2055" t="s">
        <v>52</v>
      </c>
      <c r="U2055">
        <v>4</v>
      </c>
      <c r="V2055">
        <v>6</v>
      </c>
    </row>
    <row r="2056" spans="1:22" x14ac:dyDescent="0.3">
      <c r="A2056">
        <v>2055</v>
      </c>
      <c r="B2056">
        <v>51719</v>
      </c>
      <c r="C2056" s="2">
        <v>37983</v>
      </c>
      <c r="D2056">
        <v>22</v>
      </c>
      <c r="E2056" t="s">
        <v>42</v>
      </c>
      <c r="F2056" t="s">
        <v>50</v>
      </c>
      <c r="G2056" s="2">
        <v>45323</v>
      </c>
      <c r="H2056" s="3">
        <f t="shared" si="32"/>
        <v>2.0931506849315067</v>
      </c>
      <c r="I2056">
        <v>102</v>
      </c>
      <c r="J2056" t="s">
        <v>57</v>
      </c>
      <c r="K2056" t="s">
        <v>56</v>
      </c>
      <c r="L2056" t="s">
        <v>44</v>
      </c>
      <c r="M2056">
        <v>8.4600000000000009</v>
      </c>
      <c r="T2056" t="s">
        <v>47</v>
      </c>
      <c r="U2056">
        <v>2</v>
      </c>
      <c r="V2056">
        <v>6</v>
      </c>
    </row>
    <row r="2057" spans="1:22" x14ac:dyDescent="0.3">
      <c r="A2057">
        <v>2056</v>
      </c>
      <c r="B2057">
        <v>51720</v>
      </c>
      <c r="C2057" s="2">
        <v>38175</v>
      </c>
      <c r="D2057">
        <v>21</v>
      </c>
      <c r="E2057" t="s">
        <v>36</v>
      </c>
      <c r="F2057" t="s">
        <v>50</v>
      </c>
      <c r="G2057" s="2">
        <v>45258</v>
      </c>
      <c r="H2057" s="3">
        <f t="shared" si="32"/>
        <v>2.2767123287671232</v>
      </c>
      <c r="I2057">
        <v>102</v>
      </c>
      <c r="J2057" t="s">
        <v>57</v>
      </c>
      <c r="K2057" t="s">
        <v>56</v>
      </c>
      <c r="L2057" t="s">
        <v>44</v>
      </c>
      <c r="M2057">
        <v>8.4600000000000009</v>
      </c>
      <c r="N2057">
        <v>8.26</v>
      </c>
      <c r="T2057" t="s">
        <v>47</v>
      </c>
      <c r="U2057">
        <v>2</v>
      </c>
      <c r="V2057">
        <v>6</v>
      </c>
    </row>
    <row r="2058" spans="1:22" x14ac:dyDescent="0.3">
      <c r="A2058">
        <v>2057</v>
      </c>
      <c r="B2058">
        <v>51751</v>
      </c>
      <c r="C2058" s="2">
        <v>36704</v>
      </c>
      <c r="D2058">
        <v>25</v>
      </c>
      <c r="E2058" t="s">
        <v>42</v>
      </c>
      <c r="F2058" t="s">
        <v>50</v>
      </c>
      <c r="G2058" s="2">
        <v>45191</v>
      </c>
      <c r="H2058" s="3">
        <f t="shared" si="32"/>
        <v>1.8767123287671232</v>
      </c>
      <c r="I2058">
        <v>105</v>
      </c>
      <c r="J2058" t="s">
        <v>57</v>
      </c>
      <c r="K2058" t="s">
        <v>68</v>
      </c>
      <c r="L2058" t="s">
        <v>44</v>
      </c>
      <c r="M2058">
        <v>16.78</v>
      </c>
      <c r="N2058">
        <v>16.579999999999998</v>
      </c>
      <c r="T2058" t="s">
        <v>47</v>
      </c>
      <c r="U2058">
        <v>2</v>
      </c>
      <c r="V2058">
        <v>6</v>
      </c>
    </row>
    <row r="2059" spans="1:22" x14ac:dyDescent="0.3">
      <c r="A2059">
        <v>2058</v>
      </c>
      <c r="B2059">
        <v>51755</v>
      </c>
      <c r="C2059" s="2">
        <v>37444</v>
      </c>
      <c r="D2059">
        <v>23</v>
      </c>
      <c r="E2059" t="s">
        <v>36</v>
      </c>
      <c r="F2059" t="s">
        <v>37</v>
      </c>
      <c r="G2059" s="2">
        <v>45337</v>
      </c>
      <c r="H2059" s="3">
        <f t="shared" si="32"/>
        <v>2.3589041095890413</v>
      </c>
      <c r="I2059">
        <v>105</v>
      </c>
      <c r="J2059" t="s">
        <v>57</v>
      </c>
      <c r="K2059" t="s">
        <v>56</v>
      </c>
      <c r="L2059" t="s">
        <v>44</v>
      </c>
      <c r="M2059">
        <v>8.4600000000000009</v>
      </c>
      <c r="T2059" t="s">
        <v>47</v>
      </c>
      <c r="U2059">
        <v>4</v>
      </c>
      <c r="V2059">
        <v>4</v>
      </c>
    </row>
    <row r="2060" spans="1:22" x14ac:dyDescent="0.3">
      <c r="A2060">
        <v>2059</v>
      </c>
      <c r="B2060">
        <v>51834</v>
      </c>
      <c r="C2060" s="2">
        <v>38515</v>
      </c>
      <c r="D2060">
        <v>20</v>
      </c>
      <c r="E2060" t="s">
        <v>36</v>
      </c>
      <c r="F2060" t="s">
        <v>50</v>
      </c>
      <c r="G2060" s="2">
        <v>45161</v>
      </c>
      <c r="H2060" s="3">
        <f t="shared" si="32"/>
        <v>2.4438356164383563</v>
      </c>
      <c r="I2060">
        <v>110</v>
      </c>
      <c r="J2060" t="s">
        <v>57</v>
      </c>
      <c r="K2060" t="s">
        <v>56</v>
      </c>
      <c r="L2060" t="s">
        <v>44</v>
      </c>
      <c r="M2060">
        <v>8.26</v>
      </c>
      <c r="N2060">
        <v>8.26</v>
      </c>
      <c r="T2060" t="s">
        <v>52</v>
      </c>
      <c r="U2060">
        <v>4</v>
      </c>
      <c r="V2060">
        <v>6</v>
      </c>
    </row>
    <row r="2061" spans="1:22" x14ac:dyDescent="0.3">
      <c r="A2061">
        <v>2060</v>
      </c>
      <c r="B2061">
        <v>51866</v>
      </c>
      <c r="C2061" s="2">
        <v>34072</v>
      </c>
      <c r="D2061">
        <v>32</v>
      </c>
      <c r="E2061" t="s">
        <v>42</v>
      </c>
      <c r="F2061" t="s">
        <v>37</v>
      </c>
      <c r="G2061" s="2">
        <v>45130</v>
      </c>
      <c r="H2061" s="3">
        <f t="shared" si="32"/>
        <v>2.6027397260273974</v>
      </c>
      <c r="I2061">
        <v>112</v>
      </c>
      <c r="J2061" t="s">
        <v>57</v>
      </c>
      <c r="K2061" t="s">
        <v>68</v>
      </c>
      <c r="L2061" t="s">
        <v>44</v>
      </c>
      <c r="M2061">
        <v>16.78</v>
      </c>
      <c r="N2061">
        <v>16.579999999999998</v>
      </c>
      <c r="T2061" t="s">
        <v>47</v>
      </c>
      <c r="U2061">
        <v>2</v>
      </c>
      <c r="V2061">
        <v>6</v>
      </c>
    </row>
    <row r="2062" spans="1:22" x14ac:dyDescent="0.3">
      <c r="A2062">
        <v>2061</v>
      </c>
      <c r="B2062">
        <v>51867</v>
      </c>
      <c r="C2062" s="2">
        <v>37470</v>
      </c>
      <c r="D2062">
        <v>23</v>
      </c>
      <c r="E2062" t="s">
        <v>36</v>
      </c>
      <c r="F2062" t="s">
        <v>50</v>
      </c>
      <c r="G2062" s="2">
        <v>45072</v>
      </c>
      <c r="H2062" s="3">
        <f t="shared" si="32"/>
        <v>2.6328767123287671</v>
      </c>
      <c r="I2062">
        <v>112</v>
      </c>
      <c r="J2062" t="s">
        <v>57</v>
      </c>
      <c r="K2062" t="s">
        <v>68</v>
      </c>
      <c r="L2062" t="s">
        <v>44</v>
      </c>
      <c r="M2062">
        <v>16.78</v>
      </c>
      <c r="N2062">
        <v>16.579999999999998</v>
      </c>
      <c r="T2062" t="s">
        <v>52</v>
      </c>
      <c r="U2062">
        <v>3</v>
      </c>
      <c r="V2062">
        <v>5</v>
      </c>
    </row>
    <row r="2063" spans="1:22" x14ac:dyDescent="0.3">
      <c r="A2063">
        <v>2062</v>
      </c>
      <c r="B2063">
        <v>51869</v>
      </c>
      <c r="C2063" s="2">
        <v>36587</v>
      </c>
      <c r="D2063">
        <v>25</v>
      </c>
      <c r="E2063" t="s">
        <v>36</v>
      </c>
      <c r="F2063" t="s">
        <v>50</v>
      </c>
      <c r="G2063" s="2">
        <v>45061</v>
      </c>
      <c r="H2063" s="3">
        <f t="shared" si="32"/>
        <v>1.9068493150684931</v>
      </c>
      <c r="I2063">
        <v>112</v>
      </c>
      <c r="J2063" t="s">
        <v>57</v>
      </c>
      <c r="K2063" t="s">
        <v>46</v>
      </c>
      <c r="L2063" t="s">
        <v>44</v>
      </c>
      <c r="M2063">
        <v>14.18</v>
      </c>
      <c r="N2063">
        <v>13.88</v>
      </c>
      <c r="T2063" t="s">
        <v>47</v>
      </c>
      <c r="U2063">
        <v>1</v>
      </c>
      <c r="V2063">
        <v>4</v>
      </c>
    </row>
    <row r="2064" spans="1:22" x14ac:dyDescent="0.3">
      <c r="A2064">
        <v>2063</v>
      </c>
      <c r="B2064">
        <v>51870</v>
      </c>
      <c r="C2064" s="2">
        <v>39027</v>
      </c>
      <c r="D2064">
        <v>19</v>
      </c>
      <c r="E2064" t="s">
        <v>36</v>
      </c>
      <c r="F2064" t="s">
        <v>37</v>
      </c>
      <c r="G2064" s="2">
        <v>45326</v>
      </c>
      <c r="H2064" s="3">
        <f t="shared" si="32"/>
        <v>2.2109589041095892</v>
      </c>
      <c r="I2064">
        <v>112</v>
      </c>
      <c r="J2064" t="s">
        <v>57</v>
      </c>
      <c r="K2064" t="s">
        <v>48</v>
      </c>
      <c r="L2064" t="s">
        <v>44</v>
      </c>
      <c r="M2064">
        <v>8.4600000000000009</v>
      </c>
      <c r="T2064" t="s">
        <v>52</v>
      </c>
      <c r="U2064">
        <v>4</v>
      </c>
      <c r="V2064">
        <v>4</v>
      </c>
    </row>
    <row r="2065" spans="1:22" x14ac:dyDescent="0.3">
      <c r="A2065">
        <v>2064</v>
      </c>
      <c r="B2065">
        <v>51879</v>
      </c>
      <c r="C2065" s="2">
        <v>37927</v>
      </c>
      <c r="D2065">
        <v>22</v>
      </c>
      <c r="E2065" t="s">
        <v>42</v>
      </c>
      <c r="F2065" t="s">
        <v>37</v>
      </c>
      <c r="G2065" s="2">
        <v>45215</v>
      </c>
      <c r="H2065" s="3">
        <f t="shared" si="32"/>
        <v>2.0356164383561643</v>
      </c>
      <c r="I2065">
        <v>112</v>
      </c>
      <c r="J2065" t="s">
        <v>57</v>
      </c>
      <c r="K2065" t="s">
        <v>56</v>
      </c>
      <c r="L2065" t="s">
        <v>44</v>
      </c>
      <c r="M2065">
        <v>8.4600000000000009</v>
      </c>
      <c r="N2065">
        <v>8.26</v>
      </c>
      <c r="T2065" t="s">
        <v>47</v>
      </c>
      <c r="U2065">
        <v>2</v>
      </c>
      <c r="V2065">
        <v>5</v>
      </c>
    </row>
    <row r="2066" spans="1:22" x14ac:dyDescent="0.3">
      <c r="A2066">
        <v>2065</v>
      </c>
      <c r="B2066">
        <v>51888</v>
      </c>
      <c r="C2066" s="2">
        <v>36688</v>
      </c>
      <c r="D2066">
        <v>25</v>
      </c>
      <c r="E2066" t="s">
        <v>36</v>
      </c>
      <c r="F2066" t="s">
        <v>50</v>
      </c>
      <c r="G2066" s="2">
        <v>45279</v>
      </c>
      <c r="H2066" s="3">
        <f t="shared" si="32"/>
        <v>2.5534246575342467</v>
      </c>
      <c r="I2066">
        <v>113</v>
      </c>
      <c r="J2066" t="s">
        <v>57</v>
      </c>
      <c r="K2066" t="s">
        <v>65</v>
      </c>
      <c r="L2066" t="s">
        <v>44</v>
      </c>
      <c r="M2066">
        <v>10.48</v>
      </c>
      <c r="N2066">
        <v>10.38</v>
      </c>
      <c r="T2066" t="s">
        <v>47</v>
      </c>
      <c r="U2066">
        <v>0</v>
      </c>
      <c r="V2066">
        <v>4</v>
      </c>
    </row>
    <row r="2067" spans="1:22" x14ac:dyDescent="0.3">
      <c r="A2067">
        <v>2066</v>
      </c>
      <c r="B2067">
        <v>51909</v>
      </c>
      <c r="C2067" s="2">
        <v>38255</v>
      </c>
      <c r="D2067">
        <v>21</v>
      </c>
      <c r="E2067" t="s">
        <v>36</v>
      </c>
      <c r="F2067" t="s">
        <v>50</v>
      </c>
      <c r="G2067" s="2">
        <v>45090</v>
      </c>
      <c r="H2067" s="3">
        <f t="shared" si="32"/>
        <v>2.0986301369863014</v>
      </c>
      <c r="I2067">
        <v>114</v>
      </c>
      <c r="J2067" t="s">
        <v>57</v>
      </c>
      <c r="K2067" t="s">
        <v>46</v>
      </c>
      <c r="L2067" t="s">
        <v>44</v>
      </c>
      <c r="M2067">
        <v>14.22</v>
      </c>
      <c r="N2067">
        <v>13.88</v>
      </c>
      <c r="T2067" t="s">
        <v>52</v>
      </c>
      <c r="U2067">
        <v>0</v>
      </c>
      <c r="V2067">
        <v>5</v>
      </c>
    </row>
    <row r="2068" spans="1:22" x14ac:dyDescent="0.3">
      <c r="A2068">
        <v>2067</v>
      </c>
      <c r="B2068">
        <v>51913</v>
      </c>
      <c r="C2068" s="2">
        <v>35507</v>
      </c>
      <c r="D2068">
        <v>28</v>
      </c>
      <c r="E2068" t="s">
        <v>42</v>
      </c>
      <c r="F2068" t="s">
        <v>37</v>
      </c>
      <c r="G2068" s="2">
        <v>45256</v>
      </c>
      <c r="H2068" s="3">
        <f t="shared" si="32"/>
        <v>1.9397260273972603</v>
      </c>
      <c r="I2068">
        <v>114</v>
      </c>
      <c r="J2068" t="s">
        <v>57</v>
      </c>
      <c r="K2068" t="s">
        <v>56</v>
      </c>
      <c r="L2068" t="s">
        <v>44</v>
      </c>
      <c r="M2068">
        <v>8.5500000000000007</v>
      </c>
      <c r="N2068">
        <v>8.26</v>
      </c>
      <c r="T2068" t="s">
        <v>45</v>
      </c>
      <c r="U2068">
        <v>2</v>
      </c>
      <c r="V2068">
        <v>6</v>
      </c>
    </row>
    <row r="2069" spans="1:22" x14ac:dyDescent="0.3">
      <c r="A2069">
        <v>2068</v>
      </c>
      <c r="B2069">
        <v>51948</v>
      </c>
      <c r="C2069" s="2">
        <v>38595</v>
      </c>
      <c r="D2069">
        <v>20</v>
      </c>
      <c r="E2069" t="s">
        <v>42</v>
      </c>
      <c r="F2069" t="s">
        <v>50</v>
      </c>
      <c r="G2069" s="2">
        <v>45314</v>
      </c>
      <c r="H2069" s="3">
        <f t="shared" si="32"/>
        <v>2.3945205479452056</v>
      </c>
      <c r="I2069">
        <v>116</v>
      </c>
      <c r="J2069" t="s">
        <v>57</v>
      </c>
      <c r="K2069" t="s">
        <v>56</v>
      </c>
      <c r="L2069" t="s">
        <v>44</v>
      </c>
      <c r="M2069">
        <v>8.4600000000000009</v>
      </c>
      <c r="T2069" t="s">
        <v>47</v>
      </c>
      <c r="U2069">
        <v>2</v>
      </c>
      <c r="V2069">
        <v>6</v>
      </c>
    </row>
    <row r="2070" spans="1:22" x14ac:dyDescent="0.3">
      <c r="A2070">
        <v>2069</v>
      </c>
      <c r="B2070">
        <v>51949</v>
      </c>
      <c r="C2070" s="2">
        <v>35186</v>
      </c>
      <c r="D2070">
        <v>30</v>
      </c>
      <c r="E2070" t="s">
        <v>42</v>
      </c>
      <c r="F2070" t="s">
        <v>50</v>
      </c>
      <c r="G2070" s="2">
        <v>45148</v>
      </c>
      <c r="H2070" s="3">
        <f t="shared" si="32"/>
        <v>2.7890410958904108</v>
      </c>
      <c r="I2070">
        <v>117</v>
      </c>
      <c r="J2070" t="s">
        <v>57</v>
      </c>
      <c r="K2070" t="s">
        <v>68</v>
      </c>
      <c r="L2070" t="s">
        <v>44</v>
      </c>
      <c r="M2070">
        <v>16.84</v>
      </c>
      <c r="N2070">
        <v>16.579999999999998</v>
      </c>
      <c r="T2070" t="s">
        <v>49</v>
      </c>
      <c r="U2070">
        <v>2</v>
      </c>
      <c r="V2070">
        <v>6</v>
      </c>
    </row>
    <row r="2071" spans="1:22" x14ac:dyDescent="0.3">
      <c r="A2071">
        <v>2070</v>
      </c>
      <c r="B2071">
        <v>51952</v>
      </c>
      <c r="C2071" s="2">
        <v>38685</v>
      </c>
      <c r="D2071">
        <v>20</v>
      </c>
      <c r="E2071" t="s">
        <v>42</v>
      </c>
      <c r="F2071" t="s">
        <v>50</v>
      </c>
      <c r="G2071" s="2">
        <v>45004</v>
      </c>
      <c r="H2071" s="3">
        <f t="shared" si="32"/>
        <v>2.7917808219178082</v>
      </c>
      <c r="I2071">
        <v>117</v>
      </c>
      <c r="J2071" t="s">
        <v>57</v>
      </c>
      <c r="K2071" t="s">
        <v>56</v>
      </c>
      <c r="L2071" t="s">
        <v>44</v>
      </c>
      <c r="M2071">
        <v>8.42</v>
      </c>
      <c r="N2071">
        <v>8.26</v>
      </c>
      <c r="T2071" t="s">
        <v>47</v>
      </c>
      <c r="U2071">
        <v>2</v>
      </c>
      <c r="V2071">
        <v>7</v>
      </c>
    </row>
    <row r="2072" spans="1:22" x14ac:dyDescent="0.3">
      <c r="A2072">
        <v>2071</v>
      </c>
      <c r="B2072">
        <v>51956</v>
      </c>
      <c r="C2072" s="2">
        <v>36959</v>
      </c>
      <c r="D2072">
        <v>24</v>
      </c>
      <c r="E2072" t="s">
        <v>42</v>
      </c>
      <c r="F2072" t="s">
        <v>50</v>
      </c>
      <c r="G2072" s="2">
        <v>45003</v>
      </c>
      <c r="H2072" s="3">
        <f t="shared" si="32"/>
        <v>2.4986301369863013</v>
      </c>
      <c r="I2072">
        <v>117</v>
      </c>
      <c r="J2072" t="s">
        <v>57</v>
      </c>
      <c r="K2072" t="s">
        <v>56</v>
      </c>
      <c r="L2072" t="s">
        <v>44</v>
      </c>
      <c r="M2072">
        <v>8.5299999999999994</v>
      </c>
      <c r="N2072">
        <v>8.26</v>
      </c>
      <c r="T2072" t="s">
        <v>45</v>
      </c>
      <c r="U2072">
        <v>2</v>
      </c>
      <c r="V2072">
        <v>7</v>
      </c>
    </row>
    <row r="2073" spans="1:22" x14ac:dyDescent="0.3">
      <c r="A2073">
        <v>2072</v>
      </c>
      <c r="B2073">
        <v>51960</v>
      </c>
      <c r="C2073" s="2">
        <v>35465</v>
      </c>
      <c r="D2073">
        <v>28</v>
      </c>
      <c r="E2073" t="s">
        <v>36</v>
      </c>
      <c r="F2073" t="s">
        <v>50</v>
      </c>
      <c r="G2073" s="2">
        <v>45110</v>
      </c>
      <c r="H2073" s="3">
        <f t="shared" si="32"/>
        <v>2.0767123287671234</v>
      </c>
      <c r="I2073">
        <v>118</v>
      </c>
      <c r="J2073" t="s">
        <v>57</v>
      </c>
      <c r="K2073" t="s">
        <v>65</v>
      </c>
      <c r="L2073" t="s">
        <v>44</v>
      </c>
      <c r="M2073">
        <v>10.58</v>
      </c>
      <c r="N2073">
        <v>10.38</v>
      </c>
      <c r="T2073" t="s">
        <v>47</v>
      </c>
      <c r="U2073">
        <v>1</v>
      </c>
      <c r="V2073">
        <v>4</v>
      </c>
    </row>
    <row r="2074" spans="1:22" x14ac:dyDescent="0.3">
      <c r="A2074">
        <v>2073</v>
      </c>
      <c r="B2074">
        <v>51978</v>
      </c>
      <c r="C2074" s="2">
        <v>37351</v>
      </c>
      <c r="D2074">
        <v>23</v>
      </c>
      <c r="E2074" t="s">
        <v>42</v>
      </c>
      <c r="F2074" t="s">
        <v>50</v>
      </c>
      <c r="G2074" s="2">
        <v>45264</v>
      </c>
      <c r="H2074" s="3">
        <f t="shared" si="32"/>
        <v>2.2684931506849315</v>
      </c>
      <c r="I2074">
        <v>119</v>
      </c>
      <c r="J2074" t="s">
        <v>57</v>
      </c>
      <c r="K2074" t="s">
        <v>68</v>
      </c>
      <c r="L2074" t="s">
        <v>44</v>
      </c>
      <c r="M2074">
        <v>16.78</v>
      </c>
      <c r="N2074">
        <v>16.579999999999998</v>
      </c>
      <c r="T2074" t="s">
        <v>49</v>
      </c>
      <c r="U2074">
        <v>0</v>
      </c>
      <c r="V2074">
        <v>6</v>
      </c>
    </row>
    <row r="2075" spans="1:22" x14ac:dyDescent="0.3">
      <c r="A2075">
        <v>2074</v>
      </c>
      <c r="B2075">
        <v>51988</v>
      </c>
      <c r="C2075" s="2">
        <v>37312</v>
      </c>
      <c r="D2075">
        <v>23</v>
      </c>
      <c r="E2075" t="s">
        <v>36</v>
      </c>
      <c r="F2075" t="s">
        <v>37</v>
      </c>
      <c r="G2075" s="2">
        <v>45194</v>
      </c>
      <c r="H2075" s="3">
        <f t="shared" si="32"/>
        <v>2.7205479452054795</v>
      </c>
      <c r="I2075">
        <v>119</v>
      </c>
      <c r="J2075" t="s">
        <v>57</v>
      </c>
      <c r="K2075" t="s">
        <v>56</v>
      </c>
      <c r="L2075" t="s">
        <v>44</v>
      </c>
      <c r="M2075">
        <v>8.4600000000000009</v>
      </c>
      <c r="N2075">
        <v>8.26</v>
      </c>
      <c r="T2075" t="s">
        <v>47</v>
      </c>
      <c r="U2075">
        <v>2</v>
      </c>
      <c r="V2075">
        <v>5</v>
      </c>
    </row>
    <row r="2076" spans="1:22" x14ac:dyDescent="0.3">
      <c r="A2076">
        <v>2075</v>
      </c>
      <c r="B2076">
        <v>52031</v>
      </c>
      <c r="C2076" s="2">
        <v>35556</v>
      </c>
      <c r="D2076">
        <v>28</v>
      </c>
      <c r="E2076" t="s">
        <v>42</v>
      </c>
      <c r="F2076" t="s">
        <v>50</v>
      </c>
      <c r="G2076" s="2">
        <v>45029</v>
      </c>
      <c r="H2076" s="3">
        <f t="shared" si="32"/>
        <v>2.7041095890410958</v>
      </c>
      <c r="I2076">
        <v>122</v>
      </c>
      <c r="J2076" t="s">
        <v>57</v>
      </c>
      <c r="K2076" t="s">
        <v>56</v>
      </c>
      <c r="L2076" t="s">
        <v>44</v>
      </c>
      <c r="M2076">
        <v>8.56</v>
      </c>
      <c r="N2076">
        <v>8.26</v>
      </c>
      <c r="T2076" t="s">
        <v>49</v>
      </c>
      <c r="U2076">
        <v>2</v>
      </c>
      <c r="V2076">
        <v>7</v>
      </c>
    </row>
    <row r="2077" spans="1:22" x14ac:dyDescent="0.3">
      <c r="A2077">
        <v>2076</v>
      </c>
      <c r="B2077">
        <v>52033</v>
      </c>
      <c r="C2077" s="2">
        <v>38039</v>
      </c>
      <c r="D2077">
        <v>21</v>
      </c>
      <c r="E2077" t="s">
        <v>42</v>
      </c>
      <c r="F2077" t="s">
        <v>50</v>
      </c>
      <c r="G2077" s="2">
        <v>45035</v>
      </c>
      <c r="H2077" s="3">
        <f t="shared" si="32"/>
        <v>2.043835616438356</v>
      </c>
      <c r="I2077">
        <v>122</v>
      </c>
      <c r="J2077" t="s">
        <v>57</v>
      </c>
      <c r="K2077" t="s">
        <v>56</v>
      </c>
      <c r="L2077" t="s">
        <v>44</v>
      </c>
      <c r="M2077">
        <v>8.5500000000000007</v>
      </c>
      <c r="N2077">
        <v>8.26</v>
      </c>
      <c r="T2077" t="s">
        <v>45</v>
      </c>
      <c r="U2077">
        <v>4</v>
      </c>
      <c r="V2077">
        <v>7</v>
      </c>
    </row>
    <row r="2078" spans="1:22" x14ac:dyDescent="0.3">
      <c r="A2078">
        <v>2077</v>
      </c>
      <c r="B2078">
        <v>52035</v>
      </c>
      <c r="C2078" s="2">
        <v>37045</v>
      </c>
      <c r="D2078">
        <v>24</v>
      </c>
      <c r="E2078" t="s">
        <v>42</v>
      </c>
      <c r="F2078" t="s">
        <v>50</v>
      </c>
      <c r="G2078" s="2">
        <v>45276</v>
      </c>
      <c r="H2078" s="3">
        <f t="shared" si="32"/>
        <v>2.2027397260273971</v>
      </c>
      <c r="I2078">
        <v>123</v>
      </c>
      <c r="J2078" t="s">
        <v>57</v>
      </c>
      <c r="K2078" t="s">
        <v>68</v>
      </c>
      <c r="L2078" t="s">
        <v>44</v>
      </c>
      <c r="M2078">
        <v>16.78</v>
      </c>
      <c r="N2078">
        <v>16.579999999999998</v>
      </c>
      <c r="T2078" t="s">
        <v>47</v>
      </c>
      <c r="U2078">
        <v>1</v>
      </c>
      <c r="V2078">
        <v>6</v>
      </c>
    </row>
    <row r="2079" spans="1:22" x14ac:dyDescent="0.3">
      <c r="A2079">
        <v>2078</v>
      </c>
      <c r="B2079">
        <v>52057</v>
      </c>
      <c r="C2079" s="2">
        <v>36999</v>
      </c>
      <c r="D2079">
        <v>24</v>
      </c>
      <c r="E2079" t="s">
        <v>36</v>
      </c>
      <c r="F2079" t="s">
        <v>50</v>
      </c>
      <c r="G2079" s="2">
        <v>45218</v>
      </c>
      <c r="H2079" s="3">
        <f t="shared" si="32"/>
        <v>2.3671232876712329</v>
      </c>
      <c r="I2079">
        <v>124</v>
      </c>
      <c r="J2079" t="s">
        <v>57</v>
      </c>
      <c r="K2079" t="s">
        <v>65</v>
      </c>
      <c r="L2079" t="s">
        <v>44</v>
      </c>
      <c r="M2079">
        <v>10.48</v>
      </c>
      <c r="N2079">
        <v>10.38</v>
      </c>
      <c r="T2079" t="s">
        <v>47</v>
      </c>
      <c r="U2079">
        <v>1</v>
      </c>
      <c r="V2079">
        <v>4</v>
      </c>
    </row>
    <row r="2080" spans="1:22" x14ac:dyDescent="0.3">
      <c r="A2080">
        <v>2079</v>
      </c>
      <c r="B2080">
        <v>52061</v>
      </c>
      <c r="C2080" s="2">
        <v>32846</v>
      </c>
      <c r="D2080">
        <v>36</v>
      </c>
      <c r="E2080" t="s">
        <v>36</v>
      </c>
      <c r="F2080" t="s">
        <v>50</v>
      </c>
      <c r="G2080" s="2">
        <v>45158</v>
      </c>
      <c r="H2080" s="3">
        <f t="shared" si="32"/>
        <v>2.3479452054794518</v>
      </c>
      <c r="I2080">
        <v>124</v>
      </c>
      <c r="J2080" t="s">
        <v>57</v>
      </c>
      <c r="K2080" t="s">
        <v>55</v>
      </c>
      <c r="L2080" t="s">
        <v>44</v>
      </c>
      <c r="M2080">
        <v>17.309999999999999</v>
      </c>
      <c r="N2080">
        <v>17.16</v>
      </c>
      <c r="T2080" t="s">
        <v>45</v>
      </c>
      <c r="U2080">
        <v>2</v>
      </c>
      <c r="V2080">
        <v>4</v>
      </c>
    </row>
    <row r="2081" spans="1:30" x14ac:dyDescent="0.3">
      <c r="A2081">
        <v>2080</v>
      </c>
      <c r="B2081">
        <v>52106</v>
      </c>
      <c r="C2081" s="2">
        <v>36144</v>
      </c>
      <c r="D2081">
        <v>27</v>
      </c>
      <c r="E2081" t="s">
        <v>36</v>
      </c>
      <c r="F2081" t="s">
        <v>50</v>
      </c>
      <c r="G2081" s="2">
        <v>45165</v>
      </c>
      <c r="H2081" s="3">
        <f t="shared" si="32"/>
        <v>1.9671232876712328</v>
      </c>
      <c r="I2081">
        <v>127</v>
      </c>
      <c r="J2081" t="s">
        <v>57</v>
      </c>
      <c r="K2081" t="s">
        <v>68</v>
      </c>
      <c r="L2081" t="s">
        <v>44</v>
      </c>
      <c r="M2081">
        <v>16.68</v>
      </c>
      <c r="N2081">
        <v>16.579999999999998</v>
      </c>
      <c r="T2081" t="s">
        <v>47</v>
      </c>
      <c r="U2081">
        <v>4</v>
      </c>
      <c r="V2081">
        <v>4</v>
      </c>
    </row>
    <row r="2082" spans="1:30" x14ac:dyDescent="0.3">
      <c r="A2082">
        <v>2081</v>
      </c>
      <c r="B2082">
        <v>52123</v>
      </c>
      <c r="C2082" s="2">
        <v>35668</v>
      </c>
      <c r="D2082">
        <v>28</v>
      </c>
      <c r="E2082" t="s">
        <v>42</v>
      </c>
      <c r="F2082" t="s">
        <v>37</v>
      </c>
      <c r="G2082" s="2">
        <v>45304</v>
      </c>
      <c r="H2082" s="3">
        <f t="shared" si="32"/>
        <v>2.7287671232876711</v>
      </c>
      <c r="I2082">
        <v>128</v>
      </c>
      <c r="J2082" t="s">
        <v>57</v>
      </c>
      <c r="K2082" t="s">
        <v>68</v>
      </c>
      <c r="L2082" t="s">
        <v>44</v>
      </c>
      <c r="M2082">
        <v>16.78</v>
      </c>
      <c r="T2082" t="s">
        <v>47</v>
      </c>
      <c r="U2082">
        <v>4</v>
      </c>
      <c r="V2082">
        <v>6</v>
      </c>
    </row>
    <row r="2083" spans="1:30" x14ac:dyDescent="0.3">
      <c r="A2083">
        <v>2082</v>
      </c>
      <c r="B2083">
        <v>52137</v>
      </c>
      <c r="C2083" s="2">
        <v>35647</v>
      </c>
      <c r="D2083">
        <v>28</v>
      </c>
      <c r="E2083" t="s">
        <v>42</v>
      </c>
      <c r="F2083" t="s">
        <v>50</v>
      </c>
      <c r="G2083" s="2">
        <v>45026</v>
      </c>
      <c r="H2083" s="3">
        <f t="shared" si="32"/>
        <v>2.7068493150684931</v>
      </c>
      <c r="I2083">
        <v>128</v>
      </c>
      <c r="J2083" t="s">
        <v>57</v>
      </c>
      <c r="K2083" t="s">
        <v>56</v>
      </c>
      <c r="L2083" t="s">
        <v>44</v>
      </c>
      <c r="M2083">
        <v>8.4600000000000009</v>
      </c>
      <c r="N2083">
        <v>8.26</v>
      </c>
      <c r="T2083" t="s">
        <v>47</v>
      </c>
      <c r="U2083">
        <v>1</v>
      </c>
      <c r="V2083">
        <v>6</v>
      </c>
    </row>
    <row r="2084" spans="1:30" x14ac:dyDescent="0.3">
      <c r="A2084">
        <v>2083</v>
      </c>
      <c r="B2084">
        <v>52139</v>
      </c>
      <c r="C2084" s="2">
        <v>36745</v>
      </c>
      <c r="D2084">
        <v>25</v>
      </c>
      <c r="E2084" t="s">
        <v>42</v>
      </c>
      <c r="F2084" t="s">
        <v>50</v>
      </c>
      <c r="G2084" s="2">
        <v>45034</v>
      </c>
      <c r="H2084" s="3">
        <f t="shared" si="32"/>
        <v>2.117808219178082</v>
      </c>
      <c r="I2084">
        <v>129</v>
      </c>
      <c r="J2084" t="s">
        <v>57</v>
      </c>
      <c r="K2084" t="s">
        <v>68</v>
      </c>
      <c r="L2084" t="s">
        <v>44</v>
      </c>
      <c r="M2084">
        <v>16.78</v>
      </c>
      <c r="N2084">
        <v>16.579999999999998</v>
      </c>
      <c r="T2084" t="s">
        <v>49</v>
      </c>
      <c r="U2084">
        <v>2</v>
      </c>
      <c r="V2084">
        <v>6</v>
      </c>
    </row>
    <row r="2085" spans="1:30" x14ac:dyDescent="0.3">
      <c r="A2085">
        <v>2084</v>
      </c>
      <c r="B2085">
        <v>52155</v>
      </c>
      <c r="C2085" s="2">
        <v>37521</v>
      </c>
      <c r="D2085">
        <v>23</v>
      </c>
      <c r="E2085" t="s">
        <v>36</v>
      </c>
      <c r="F2085" t="s">
        <v>50</v>
      </c>
      <c r="G2085" s="2">
        <v>45249</v>
      </c>
      <c r="H2085" s="3">
        <f t="shared" si="32"/>
        <v>2.2986301369863016</v>
      </c>
      <c r="I2085">
        <v>130</v>
      </c>
      <c r="J2085" t="s">
        <v>57</v>
      </c>
      <c r="K2085" t="s">
        <v>64</v>
      </c>
      <c r="L2085" t="s">
        <v>44</v>
      </c>
      <c r="M2085">
        <v>13.73</v>
      </c>
      <c r="N2085">
        <v>13.73</v>
      </c>
      <c r="T2085" t="s">
        <v>47</v>
      </c>
      <c r="U2085">
        <v>1</v>
      </c>
      <c r="V2085">
        <v>3</v>
      </c>
    </row>
    <row r="2086" spans="1:30" x14ac:dyDescent="0.3">
      <c r="A2086">
        <v>2085</v>
      </c>
      <c r="B2086">
        <v>52163</v>
      </c>
      <c r="C2086" s="2">
        <v>35227</v>
      </c>
      <c r="D2086">
        <v>29</v>
      </c>
      <c r="E2086" t="s">
        <v>42</v>
      </c>
      <c r="F2086" t="s">
        <v>37</v>
      </c>
      <c r="G2086" s="2">
        <v>45183</v>
      </c>
      <c r="H2086" s="3">
        <f t="shared" si="32"/>
        <v>2.8027397260273972</v>
      </c>
      <c r="I2086">
        <v>131</v>
      </c>
      <c r="J2086" t="s">
        <v>57</v>
      </c>
      <c r="K2086" t="s">
        <v>68</v>
      </c>
      <c r="L2086" t="s">
        <v>44</v>
      </c>
      <c r="M2086">
        <v>16.78</v>
      </c>
      <c r="N2086">
        <v>16.579999999999998</v>
      </c>
      <c r="T2086" t="s">
        <v>47</v>
      </c>
      <c r="U2086">
        <v>2</v>
      </c>
      <c r="V2086">
        <v>4</v>
      </c>
    </row>
    <row r="2087" spans="1:30" x14ac:dyDescent="0.3">
      <c r="A2087">
        <v>2086</v>
      </c>
      <c r="B2087">
        <v>52174</v>
      </c>
      <c r="C2087" s="2">
        <v>37374</v>
      </c>
      <c r="D2087">
        <v>23</v>
      </c>
      <c r="E2087" t="s">
        <v>42</v>
      </c>
      <c r="F2087" t="s">
        <v>50</v>
      </c>
      <c r="G2087" s="2">
        <v>44999</v>
      </c>
      <c r="H2087" s="3">
        <f t="shared" si="32"/>
        <v>2.3506849315068492</v>
      </c>
      <c r="I2087">
        <v>131</v>
      </c>
      <c r="J2087" t="s">
        <v>57</v>
      </c>
      <c r="K2087" t="s">
        <v>56</v>
      </c>
      <c r="L2087" t="s">
        <v>44</v>
      </c>
      <c r="M2087">
        <v>8.4600000000000009</v>
      </c>
      <c r="N2087">
        <v>8.26</v>
      </c>
      <c r="T2087" t="s">
        <v>47</v>
      </c>
      <c r="U2087">
        <v>2</v>
      </c>
      <c r="V2087">
        <v>6</v>
      </c>
    </row>
    <row r="2088" spans="1:30" x14ac:dyDescent="0.3">
      <c r="A2088">
        <v>2087</v>
      </c>
      <c r="B2088">
        <v>52186</v>
      </c>
      <c r="C2088" s="2">
        <v>37046</v>
      </c>
      <c r="D2088">
        <v>24</v>
      </c>
      <c r="E2088" t="s">
        <v>36</v>
      </c>
      <c r="F2088" t="s">
        <v>50</v>
      </c>
      <c r="G2088" s="2">
        <v>45164</v>
      </c>
      <c r="H2088" s="3">
        <f t="shared" si="32"/>
        <v>2.4904109589041097</v>
      </c>
      <c r="I2088">
        <v>132</v>
      </c>
      <c r="J2088" t="s">
        <v>57</v>
      </c>
      <c r="K2088" t="s">
        <v>46</v>
      </c>
      <c r="L2088" t="s">
        <v>44</v>
      </c>
      <c r="M2088">
        <v>14.18</v>
      </c>
      <c r="N2088">
        <v>13.88</v>
      </c>
      <c r="T2088" t="s">
        <v>45</v>
      </c>
      <c r="U2088">
        <v>1</v>
      </c>
      <c r="V2088">
        <v>4</v>
      </c>
    </row>
    <row r="2089" spans="1:30" x14ac:dyDescent="0.3">
      <c r="A2089">
        <v>2088</v>
      </c>
      <c r="B2089">
        <v>52192</v>
      </c>
      <c r="C2089" s="2">
        <v>36262</v>
      </c>
      <c r="D2089">
        <v>26</v>
      </c>
      <c r="E2089" t="s">
        <v>36</v>
      </c>
      <c r="F2089" t="s">
        <v>50</v>
      </c>
      <c r="G2089" s="2">
        <v>45113</v>
      </c>
      <c r="H2089" s="3">
        <f t="shared" si="32"/>
        <v>2.7643835616438355</v>
      </c>
      <c r="I2089">
        <v>132</v>
      </c>
      <c r="J2089" t="s">
        <v>57</v>
      </c>
      <c r="K2089" t="s">
        <v>56</v>
      </c>
      <c r="L2089" t="s">
        <v>44</v>
      </c>
      <c r="M2089">
        <v>8.4600000000000009</v>
      </c>
      <c r="N2089">
        <v>8.26</v>
      </c>
      <c r="T2089" t="s">
        <v>47</v>
      </c>
      <c r="U2089">
        <v>2</v>
      </c>
      <c r="V2089">
        <v>5</v>
      </c>
    </row>
    <row r="2090" spans="1:30" x14ac:dyDescent="0.3">
      <c r="A2090">
        <v>2089</v>
      </c>
      <c r="B2090">
        <v>52211</v>
      </c>
      <c r="C2090" s="2">
        <v>35998</v>
      </c>
      <c r="D2090">
        <v>27</v>
      </c>
      <c r="E2090" t="s">
        <v>42</v>
      </c>
      <c r="F2090" t="s">
        <v>50</v>
      </c>
      <c r="G2090" s="2">
        <v>45013</v>
      </c>
      <c r="H2090" s="3">
        <f t="shared" si="32"/>
        <v>2.7506849315068491</v>
      </c>
      <c r="I2090">
        <v>133</v>
      </c>
      <c r="J2090" t="s">
        <v>57</v>
      </c>
      <c r="K2090" t="s">
        <v>56</v>
      </c>
      <c r="L2090" t="s">
        <v>44</v>
      </c>
      <c r="M2090">
        <v>8.4600000000000009</v>
      </c>
      <c r="N2090">
        <v>8.26</v>
      </c>
      <c r="T2090" t="s">
        <v>47</v>
      </c>
      <c r="U2090">
        <v>2</v>
      </c>
      <c r="V2090">
        <v>6</v>
      </c>
    </row>
    <row r="2091" spans="1:30" x14ac:dyDescent="0.3">
      <c r="A2091">
        <v>2090</v>
      </c>
      <c r="B2091">
        <v>52223</v>
      </c>
      <c r="C2091" s="2">
        <v>37960</v>
      </c>
      <c r="D2091">
        <v>22</v>
      </c>
      <c r="E2091" t="s">
        <v>42</v>
      </c>
      <c r="F2091" t="s">
        <v>37</v>
      </c>
      <c r="G2091" s="2">
        <v>45018</v>
      </c>
      <c r="H2091" s="3">
        <f t="shared" si="32"/>
        <v>2.3698630136986303</v>
      </c>
      <c r="I2091">
        <v>134</v>
      </c>
      <c r="J2091" t="s">
        <v>57</v>
      </c>
      <c r="K2091" t="s">
        <v>56</v>
      </c>
      <c r="L2091" t="s">
        <v>44</v>
      </c>
      <c r="M2091">
        <v>8.36</v>
      </c>
      <c r="N2091">
        <v>8.26</v>
      </c>
      <c r="T2091" t="s">
        <v>52</v>
      </c>
      <c r="U2091">
        <v>2</v>
      </c>
      <c r="V2091">
        <v>6</v>
      </c>
    </row>
    <row r="2092" spans="1:30" x14ac:dyDescent="0.3">
      <c r="A2092">
        <v>2091</v>
      </c>
      <c r="B2092">
        <v>52227</v>
      </c>
      <c r="C2092" s="2">
        <v>37021</v>
      </c>
      <c r="D2092">
        <v>24</v>
      </c>
      <c r="E2092" t="s">
        <v>42</v>
      </c>
      <c r="F2092" t="s">
        <v>37</v>
      </c>
      <c r="G2092" s="2">
        <v>45157</v>
      </c>
      <c r="H2092" s="3">
        <f t="shared" si="32"/>
        <v>2.5671232876712327</v>
      </c>
      <c r="I2092">
        <v>134</v>
      </c>
      <c r="J2092" t="s">
        <v>57</v>
      </c>
      <c r="K2092" t="s">
        <v>56</v>
      </c>
      <c r="L2092" t="s">
        <v>44</v>
      </c>
      <c r="M2092">
        <v>8.36</v>
      </c>
      <c r="N2092">
        <v>8.26</v>
      </c>
      <c r="T2092" t="s">
        <v>45</v>
      </c>
      <c r="U2092">
        <v>2</v>
      </c>
      <c r="V2092">
        <v>6</v>
      </c>
    </row>
    <row r="2093" spans="1:30" x14ac:dyDescent="0.3">
      <c r="A2093">
        <v>2092</v>
      </c>
      <c r="B2093">
        <v>52253</v>
      </c>
      <c r="C2093" s="2">
        <v>34529</v>
      </c>
      <c r="D2093">
        <v>31</v>
      </c>
      <c r="E2093" t="s">
        <v>42</v>
      </c>
      <c r="F2093" t="s">
        <v>50</v>
      </c>
      <c r="G2093" s="2">
        <v>45085</v>
      </c>
      <c r="H2093" s="3">
        <f t="shared" si="32"/>
        <v>1.8821917808219177</v>
      </c>
      <c r="I2093">
        <v>137</v>
      </c>
      <c r="J2093" t="s">
        <v>57</v>
      </c>
      <c r="K2093" t="s">
        <v>68</v>
      </c>
      <c r="L2093" t="s">
        <v>44</v>
      </c>
      <c r="M2093">
        <v>16.78</v>
      </c>
      <c r="N2093">
        <v>16.579999999999998</v>
      </c>
      <c r="T2093" t="s">
        <v>47</v>
      </c>
      <c r="U2093">
        <v>1</v>
      </c>
      <c r="V2093">
        <v>6</v>
      </c>
    </row>
    <row r="2094" spans="1:30" x14ac:dyDescent="0.3">
      <c r="A2094">
        <v>2093</v>
      </c>
      <c r="B2094">
        <v>52284</v>
      </c>
      <c r="C2094" s="2">
        <v>38693</v>
      </c>
      <c r="D2094">
        <v>20</v>
      </c>
      <c r="E2094" t="s">
        <v>42</v>
      </c>
      <c r="F2094" t="s">
        <v>50</v>
      </c>
      <c r="G2094" s="2">
        <v>45335</v>
      </c>
      <c r="H2094" s="3">
        <f t="shared" si="32"/>
        <v>1.4164383561643836</v>
      </c>
      <c r="I2094">
        <v>138</v>
      </c>
      <c r="J2094" t="s">
        <v>57</v>
      </c>
      <c r="K2094" t="s">
        <v>56</v>
      </c>
      <c r="L2094" t="s">
        <v>44</v>
      </c>
      <c r="M2094">
        <v>8.36</v>
      </c>
      <c r="T2094" t="s">
        <v>49</v>
      </c>
      <c r="U2094">
        <v>2</v>
      </c>
      <c r="V2094">
        <v>6</v>
      </c>
    </row>
    <row r="2095" spans="1:30" x14ac:dyDescent="0.3">
      <c r="A2095">
        <v>2094</v>
      </c>
      <c r="B2095">
        <v>52384</v>
      </c>
      <c r="C2095" s="2">
        <v>36487</v>
      </c>
      <c r="D2095">
        <v>26</v>
      </c>
      <c r="E2095" t="s">
        <v>36</v>
      </c>
      <c r="F2095" t="s">
        <v>50</v>
      </c>
      <c r="G2095" s="2">
        <v>45505</v>
      </c>
      <c r="H2095" s="3">
        <f t="shared" si="32"/>
        <v>1.4164383561643836</v>
      </c>
      <c r="I2095">
        <v>118</v>
      </c>
      <c r="J2095" t="s">
        <v>57</v>
      </c>
      <c r="K2095" t="s">
        <v>72</v>
      </c>
      <c r="L2095" t="s">
        <v>40</v>
      </c>
      <c r="M2095">
        <v>53325</v>
      </c>
      <c r="T2095" t="s">
        <v>70</v>
      </c>
      <c r="U2095">
        <v>3</v>
      </c>
      <c r="V2095">
        <v>5</v>
      </c>
      <c r="W2095">
        <v>4</v>
      </c>
      <c r="AD2095">
        <v>2</v>
      </c>
    </row>
    <row r="2096" spans="1:30" x14ac:dyDescent="0.3">
      <c r="A2096">
        <v>2095</v>
      </c>
      <c r="B2096">
        <v>52385</v>
      </c>
      <c r="C2096" s="2">
        <v>36813</v>
      </c>
      <c r="D2096">
        <v>25</v>
      </c>
      <c r="E2096" t="s">
        <v>42</v>
      </c>
      <c r="F2096" t="s">
        <v>50</v>
      </c>
      <c r="G2096" s="2">
        <v>45505</v>
      </c>
      <c r="H2096" s="3">
        <f t="shared" si="32"/>
        <v>1.4164383561643836</v>
      </c>
      <c r="I2096">
        <v>121</v>
      </c>
      <c r="J2096" t="s">
        <v>57</v>
      </c>
      <c r="K2096" t="s">
        <v>72</v>
      </c>
      <c r="L2096" t="s">
        <v>40</v>
      </c>
      <c r="M2096">
        <v>53325</v>
      </c>
      <c r="T2096" t="s">
        <v>60</v>
      </c>
      <c r="U2096">
        <v>1</v>
      </c>
      <c r="V2096">
        <v>6</v>
      </c>
      <c r="W2096">
        <v>7</v>
      </c>
      <c r="AD2096">
        <v>5</v>
      </c>
    </row>
    <row r="2097" spans="1:30" x14ac:dyDescent="0.3">
      <c r="A2097">
        <v>2096</v>
      </c>
      <c r="B2097">
        <v>52386</v>
      </c>
      <c r="C2097" s="2">
        <v>35938</v>
      </c>
      <c r="D2097">
        <v>27</v>
      </c>
      <c r="E2097" t="s">
        <v>42</v>
      </c>
      <c r="F2097" t="s">
        <v>50</v>
      </c>
      <c r="G2097" s="2">
        <v>45505</v>
      </c>
      <c r="H2097" s="3">
        <f t="shared" si="32"/>
        <v>1.4164383561643836</v>
      </c>
      <c r="I2097">
        <v>122</v>
      </c>
      <c r="J2097" t="s">
        <v>57</v>
      </c>
      <c r="K2097" t="s">
        <v>72</v>
      </c>
      <c r="L2097" t="s">
        <v>40</v>
      </c>
      <c r="M2097">
        <v>53325</v>
      </c>
      <c r="T2097" t="s">
        <v>71</v>
      </c>
      <c r="U2097">
        <v>2</v>
      </c>
      <c r="V2097">
        <v>7</v>
      </c>
      <c r="W2097">
        <v>7</v>
      </c>
      <c r="AD2097">
        <v>5</v>
      </c>
    </row>
    <row r="2098" spans="1:30" x14ac:dyDescent="0.3">
      <c r="A2098">
        <v>2097</v>
      </c>
      <c r="B2098">
        <v>52387</v>
      </c>
      <c r="C2098" s="2">
        <v>36258</v>
      </c>
      <c r="D2098">
        <v>26</v>
      </c>
      <c r="E2098" t="s">
        <v>42</v>
      </c>
      <c r="F2098" t="s">
        <v>37</v>
      </c>
      <c r="G2098" s="2">
        <v>45505</v>
      </c>
      <c r="H2098" s="3">
        <f t="shared" si="32"/>
        <v>1.4164383561643836</v>
      </c>
      <c r="I2098">
        <v>129</v>
      </c>
      <c r="J2098" t="s">
        <v>57</v>
      </c>
      <c r="K2098" t="s">
        <v>72</v>
      </c>
      <c r="L2098" t="s">
        <v>40</v>
      </c>
      <c r="M2098">
        <v>53325</v>
      </c>
      <c r="T2098" t="s">
        <v>58</v>
      </c>
      <c r="U2098">
        <v>1</v>
      </c>
      <c r="V2098">
        <v>7</v>
      </c>
      <c r="W2098">
        <v>6</v>
      </c>
      <c r="AD2098">
        <v>2</v>
      </c>
    </row>
    <row r="2099" spans="1:30" x14ac:dyDescent="0.3">
      <c r="A2099">
        <v>2098</v>
      </c>
      <c r="B2099">
        <v>52388</v>
      </c>
      <c r="C2099" s="2">
        <v>35470</v>
      </c>
      <c r="D2099">
        <v>28</v>
      </c>
      <c r="E2099" t="s">
        <v>36</v>
      </c>
      <c r="F2099" t="s">
        <v>50</v>
      </c>
      <c r="G2099" s="2">
        <v>45505</v>
      </c>
      <c r="H2099" s="3">
        <f t="shared" si="32"/>
        <v>1.4164383561643836</v>
      </c>
      <c r="I2099">
        <v>130</v>
      </c>
      <c r="J2099" t="s">
        <v>57</v>
      </c>
      <c r="K2099" t="s">
        <v>72</v>
      </c>
      <c r="L2099" t="s">
        <v>40</v>
      </c>
      <c r="M2099">
        <v>53325</v>
      </c>
      <c r="T2099" t="s">
        <v>60</v>
      </c>
      <c r="U2099">
        <v>2</v>
      </c>
      <c r="V2099">
        <v>6</v>
      </c>
      <c r="W2099">
        <v>5</v>
      </c>
      <c r="AD2099">
        <v>3</v>
      </c>
    </row>
    <row r="2100" spans="1:30" x14ac:dyDescent="0.3">
      <c r="A2100">
        <v>2099</v>
      </c>
      <c r="B2100">
        <v>52389</v>
      </c>
      <c r="C2100" s="2">
        <v>36336</v>
      </c>
      <c r="D2100">
        <v>26</v>
      </c>
      <c r="E2100" t="s">
        <v>36</v>
      </c>
      <c r="F2100" t="s">
        <v>37</v>
      </c>
      <c r="G2100" s="2">
        <v>45505</v>
      </c>
      <c r="H2100" s="3">
        <f t="shared" si="32"/>
        <v>1.0383561643835617</v>
      </c>
      <c r="I2100">
        <v>131</v>
      </c>
      <c r="J2100" t="s">
        <v>57</v>
      </c>
      <c r="K2100" t="s">
        <v>72</v>
      </c>
      <c r="L2100" t="s">
        <v>40</v>
      </c>
      <c r="M2100">
        <v>53325</v>
      </c>
      <c r="T2100" t="s">
        <v>58</v>
      </c>
      <c r="U2100">
        <v>4</v>
      </c>
      <c r="V2100">
        <v>6</v>
      </c>
      <c r="W2100">
        <v>4</v>
      </c>
      <c r="AD2100">
        <v>5</v>
      </c>
    </row>
    <row r="2101" spans="1:30" x14ac:dyDescent="0.3">
      <c r="A2101">
        <v>2100</v>
      </c>
      <c r="B2101">
        <v>52390</v>
      </c>
      <c r="C2101" s="2">
        <v>31103</v>
      </c>
      <c r="D2101">
        <v>40</v>
      </c>
      <c r="E2101" t="s">
        <v>42</v>
      </c>
      <c r="F2101" t="s">
        <v>50</v>
      </c>
      <c r="G2101" s="2">
        <v>45643</v>
      </c>
      <c r="H2101" s="3">
        <f t="shared" si="32"/>
        <v>1.6301369863013699</v>
      </c>
      <c r="I2101">
        <v>34</v>
      </c>
      <c r="J2101" t="s">
        <v>38</v>
      </c>
      <c r="K2101" t="s">
        <v>39</v>
      </c>
      <c r="L2101" t="s">
        <v>40</v>
      </c>
      <c r="M2101">
        <v>77539</v>
      </c>
      <c r="T2101" t="s">
        <v>61</v>
      </c>
      <c r="U2101">
        <v>2</v>
      </c>
      <c r="V2101">
        <v>5</v>
      </c>
      <c r="W2101">
        <v>6</v>
      </c>
      <c r="AD2101">
        <v>2</v>
      </c>
    </row>
    <row r="2102" spans="1:30" x14ac:dyDescent="0.3">
      <c r="A2102">
        <v>2101</v>
      </c>
      <c r="B2102">
        <v>52391</v>
      </c>
      <c r="C2102" s="2">
        <v>32176</v>
      </c>
      <c r="D2102">
        <v>37</v>
      </c>
      <c r="E2102" t="s">
        <v>36</v>
      </c>
      <c r="F2102" t="s">
        <v>50</v>
      </c>
      <c r="G2102" s="2">
        <v>45427</v>
      </c>
      <c r="H2102" s="3">
        <f t="shared" si="32"/>
        <v>1.4493150684931506</v>
      </c>
      <c r="I2102">
        <v>7</v>
      </c>
      <c r="J2102" t="s">
        <v>38</v>
      </c>
      <c r="K2102" t="s">
        <v>39</v>
      </c>
      <c r="L2102" t="s">
        <v>40</v>
      </c>
      <c r="M2102">
        <v>77539</v>
      </c>
      <c r="T2102" t="s">
        <v>60</v>
      </c>
      <c r="U2102">
        <v>2</v>
      </c>
      <c r="V2102">
        <v>5</v>
      </c>
      <c r="W2102">
        <v>5</v>
      </c>
      <c r="AD2102">
        <v>4</v>
      </c>
    </row>
    <row r="2103" spans="1:30" x14ac:dyDescent="0.3">
      <c r="A2103">
        <v>2102</v>
      </c>
      <c r="B2103">
        <v>52392</v>
      </c>
      <c r="C2103" s="2">
        <v>32289</v>
      </c>
      <c r="D2103">
        <v>37</v>
      </c>
      <c r="E2103" t="s">
        <v>36</v>
      </c>
      <c r="F2103" t="s">
        <v>50</v>
      </c>
      <c r="G2103" s="2">
        <v>45493</v>
      </c>
      <c r="H2103" s="3">
        <f t="shared" si="32"/>
        <v>1.5424657534246575</v>
      </c>
      <c r="I2103">
        <v>46</v>
      </c>
      <c r="J2103" t="s">
        <v>38</v>
      </c>
      <c r="K2103" t="s">
        <v>39</v>
      </c>
      <c r="L2103" t="s">
        <v>40</v>
      </c>
      <c r="M2103">
        <v>77539</v>
      </c>
      <c r="T2103" t="s">
        <v>71</v>
      </c>
      <c r="U2103">
        <v>4</v>
      </c>
      <c r="V2103">
        <v>5</v>
      </c>
      <c r="W2103">
        <v>5</v>
      </c>
      <c r="AD2103">
        <v>2</v>
      </c>
    </row>
    <row r="2104" spans="1:30" x14ac:dyDescent="0.3">
      <c r="A2104">
        <v>2103</v>
      </c>
      <c r="B2104">
        <v>52394</v>
      </c>
      <c r="C2104" s="2">
        <v>33042</v>
      </c>
      <c r="D2104">
        <v>35</v>
      </c>
      <c r="E2104" t="s">
        <v>42</v>
      </c>
      <c r="F2104" t="s">
        <v>50</v>
      </c>
      <c r="G2104" s="2">
        <v>45459</v>
      </c>
      <c r="H2104" s="3">
        <f t="shared" si="32"/>
        <v>1.4164383561643836</v>
      </c>
      <c r="I2104">
        <v>60</v>
      </c>
      <c r="J2104" t="s">
        <v>38</v>
      </c>
      <c r="K2104" t="s">
        <v>39</v>
      </c>
      <c r="L2104" t="s">
        <v>40</v>
      </c>
      <c r="M2104">
        <v>77539</v>
      </c>
      <c r="T2104" t="s">
        <v>66</v>
      </c>
      <c r="U2104">
        <v>2</v>
      </c>
      <c r="V2104">
        <v>7</v>
      </c>
      <c r="W2104">
        <v>7</v>
      </c>
      <c r="AD2104">
        <v>1</v>
      </c>
    </row>
    <row r="2105" spans="1:30" x14ac:dyDescent="0.3">
      <c r="A2105">
        <v>2104</v>
      </c>
      <c r="B2105">
        <v>52395</v>
      </c>
      <c r="C2105" s="2">
        <v>36048</v>
      </c>
      <c r="D2105">
        <v>27</v>
      </c>
      <c r="E2105" t="s">
        <v>42</v>
      </c>
      <c r="F2105" t="s">
        <v>37</v>
      </c>
      <c r="G2105" s="2">
        <v>45505</v>
      </c>
      <c r="H2105" s="3">
        <f t="shared" si="32"/>
        <v>1.4164383561643836</v>
      </c>
      <c r="I2105">
        <v>136</v>
      </c>
      <c r="J2105" t="s">
        <v>57</v>
      </c>
      <c r="K2105" t="s">
        <v>72</v>
      </c>
      <c r="L2105" t="s">
        <v>40</v>
      </c>
      <c r="M2105">
        <v>53325</v>
      </c>
      <c r="T2105" t="s">
        <v>61</v>
      </c>
      <c r="U2105">
        <v>3</v>
      </c>
      <c r="V2105">
        <v>6</v>
      </c>
      <c r="W2105">
        <v>6</v>
      </c>
      <c r="AD2105">
        <v>4</v>
      </c>
    </row>
    <row r="2106" spans="1:30" x14ac:dyDescent="0.3">
      <c r="A2106">
        <v>2105</v>
      </c>
      <c r="B2106">
        <v>52396</v>
      </c>
      <c r="C2106" s="2">
        <v>35830</v>
      </c>
      <c r="D2106">
        <v>27</v>
      </c>
      <c r="E2106" t="s">
        <v>42</v>
      </c>
      <c r="F2106" t="s">
        <v>37</v>
      </c>
      <c r="G2106" s="2">
        <v>45505</v>
      </c>
      <c r="H2106" s="3">
        <f t="shared" si="32"/>
        <v>1.4164383561643836</v>
      </c>
      <c r="I2106">
        <v>137</v>
      </c>
      <c r="J2106" t="s">
        <v>57</v>
      </c>
      <c r="K2106" t="s">
        <v>72</v>
      </c>
      <c r="L2106" t="s">
        <v>40</v>
      </c>
      <c r="M2106">
        <v>53325</v>
      </c>
      <c r="T2106" t="s">
        <v>60</v>
      </c>
      <c r="U2106">
        <v>3</v>
      </c>
      <c r="V2106">
        <v>7</v>
      </c>
      <c r="W2106">
        <v>6</v>
      </c>
      <c r="AD2106">
        <v>2</v>
      </c>
    </row>
    <row r="2107" spans="1:30" x14ac:dyDescent="0.3">
      <c r="A2107">
        <v>2106</v>
      </c>
      <c r="B2107">
        <v>52397</v>
      </c>
      <c r="C2107" s="2">
        <v>36033</v>
      </c>
      <c r="D2107">
        <v>27</v>
      </c>
      <c r="E2107" t="s">
        <v>42</v>
      </c>
      <c r="F2107" t="s">
        <v>37</v>
      </c>
      <c r="G2107" s="2">
        <v>45505</v>
      </c>
      <c r="H2107" s="3">
        <f t="shared" si="32"/>
        <v>1.4164383561643836</v>
      </c>
      <c r="I2107">
        <v>139</v>
      </c>
      <c r="J2107" t="s">
        <v>57</v>
      </c>
      <c r="K2107" t="s">
        <v>72</v>
      </c>
      <c r="L2107" t="s">
        <v>40</v>
      </c>
      <c r="M2107">
        <v>53325</v>
      </c>
      <c r="T2107" t="s">
        <v>67</v>
      </c>
      <c r="U2107">
        <v>3</v>
      </c>
      <c r="V2107">
        <v>6</v>
      </c>
      <c r="W2107">
        <v>7</v>
      </c>
      <c r="AD2107">
        <v>2</v>
      </c>
    </row>
    <row r="2108" spans="1:30" x14ac:dyDescent="0.3">
      <c r="A2108">
        <v>2107</v>
      </c>
      <c r="B2108">
        <v>52398</v>
      </c>
      <c r="C2108" s="2">
        <v>36472</v>
      </c>
      <c r="D2108">
        <v>26</v>
      </c>
      <c r="E2108" t="s">
        <v>42</v>
      </c>
      <c r="F2108" t="s">
        <v>37</v>
      </c>
      <c r="G2108" s="2">
        <v>45505</v>
      </c>
      <c r="H2108" s="3">
        <f t="shared" si="32"/>
        <v>1.4164383561643836</v>
      </c>
      <c r="I2108">
        <v>142</v>
      </c>
      <c r="J2108" t="s">
        <v>57</v>
      </c>
      <c r="K2108" t="s">
        <v>72</v>
      </c>
      <c r="L2108" t="s">
        <v>40</v>
      </c>
      <c r="M2108">
        <v>53325</v>
      </c>
      <c r="T2108" t="s">
        <v>41</v>
      </c>
      <c r="U2108">
        <v>2</v>
      </c>
      <c r="V2108">
        <v>5</v>
      </c>
      <c r="W2108">
        <v>6</v>
      </c>
      <c r="AD2108">
        <v>4</v>
      </c>
    </row>
    <row r="2109" spans="1:30" x14ac:dyDescent="0.3">
      <c r="A2109">
        <v>2108</v>
      </c>
      <c r="B2109">
        <v>52399</v>
      </c>
      <c r="C2109" s="2">
        <v>36035</v>
      </c>
      <c r="D2109">
        <v>27</v>
      </c>
      <c r="E2109" t="s">
        <v>42</v>
      </c>
      <c r="F2109" t="s">
        <v>37</v>
      </c>
      <c r="G2109" s="2">
        <v>45505</v>
      </c>
      <c r="H2109" s="3">
        <f t="shared" si="32"/>
        <v>1.4164383561643836</v>
      </c>
      <c r="I2109">
        <v>143</v>
      </c>
      <c r="J2109" t="s">
        <v>57</v>
      </c>
      <c r="K2109" t="s">
        <v>72</v>
      </c>
      <c r="L2109" t="s">
        <v>40</v>
      </c>
      <c r="M2109">
        <v>53325</v>
      </c>
      <c r="T2109" t="s">
        <v>41</v>
      </c>
      <c r="U2109">
        <v>3</v>
      </c>
      <c r="V2109">
        <v>6</v>
      </c>
      <c r="W2109">
        <v>7</v>
      </c>
      <c r="AD2109">
        <v>4</v>
      </c>
    </row>
    <row r="2110" spans="1:30" x14ac:dyDescent="0.3">
      <c r="A2110">
        <v>2109</v>
      </c>
      <c r="B2110">
        <v>52400</v>
      </c>
      <c r="C2110" s="2">
        <v>35903</v>
      </c>
      <c r="D2110">
        <v>27</v>
      </c>
      <c r="E2110" t="s">
        <v>42</v>
      </c>
      <c r="F2110" t="s">
        <v>50</v>
      </c>
      <c r="G2110" s="2">
        <v>45505</v>
      </c>
      <c r="H2110" s="3">
        <f t="shared" si="32"/>
        <v>1.4164383561643836</v>
      </c>
      <c r="I2110">
        <v>144</v>
      </c>
      <c r="J2110" t="s">
        <v>57</v>
      </c>
      <c r="K2110" t="s">
        <v>72</v>
      </c>
      <c r="L2110" t="s">
        <v>40</v>
      </c>
      <c r="M2110">
        <v>53325</v>
      </c>
      <c r="T2110" t="s">
        <v>61</v>
      </c>
      <c r="U2110">
        <v>4</v>
      </c>
      <c r="V2110">
        <v>5</v>
      </c>
      <c r="W2110">
        <v>6</v>
      </c>
      <c r="AD2110">
        <v>2</v>
      </c>
    </row>
    <row r="2111" spans="1:30" x14ac:dyDescent="0.3">
      <c r="A2111">
        <v>2110</v>
      </c>
      <c r="B2111">
        <v>52401</v>
      </c>
      <c r="C2111" s="2">
        <v>36117</v>
      </c>
      <c r="D2111">
        <v>27</v>
      </c>
      <c r="E2111" t="s">
        <v>42</v>
      </c>
      <c r="F2111" t="s">
        <v>50</v>
      </c>
      <c r="G2111" s="2">
        <v>45505</v>
      </c>
      <c r="H2111" s="3">
        <f t="shared" si="32"/>
        <v>1.4164383561643836</v>
      </c>
      <c r="I2111">
        <v>145</v>
      </c>
      <c r="J2111" t="s">
        <v>57</v>
      </c>
      <c r="K2111" t="s">
        <v>72</v>
      </c>
      <c r="L2111" t="s">
        <v>40</v>
      </c>
      <c r="M2111">
        <v>53325</v>
      </c>
      <c r="T2111" t="s">
        <v>70</v>
      </c>
      <c r="U2111">
        <v>3</v>
      </c>
      <c r="V2111">
        <v>6</v>
      </c>
      <c r="W2111">
        <v>7</v>
      </c>
      <c r="AD2111">
        <v>4</v>
      </c>
    </row>
    <row r="2112" spans="1:30" x14ac:dyDescent="0.3">
      <c r="A2112">
        <v>2111</v>
      </c>
      <c r="B2112">
        <v>52402</v>
      </c>
      <c r="C2112" s="2">
        <v>36236</v>
      </c>
      <c r="D2112">
        <v>26</v>
      </c>
      <c r="E2112" t="s">
        <v>42</v>
      </c>
      <c r="F2112" t="s">
        <v>50</v>
      </c>
      <c r="G2112" s="2">
        <v>45505</v>
      </c>
      <c r="H2112" s="3">
        <f t="shared" si="32"/>
        <v>1.4164383561643836</v>
      </c>
      <c r="I2112">
        <v>66</v>
      </c>
      <c r="J2112" t="s">
        <v>57</v>
      </c>
      <c r="K2112" t="s">
        <v>72</v>
      </c>
      <c r="L2112" t="s">
        <v>40</v>
      </c>
      <c r="M2112">
        <v>53325</v>
      </c>
      <c r="T2112" t="s">
        <v>66</v>
      </c>
      <c r="U2112">
        <v>3</v>
      </c>
      <c r="V2112">
        <v>7</v>
      </c>
      <c r="W2112">
        <v>6</v>
      </c>
      <c r="AD2112">
        <v>2</v>
      </c>
    </row>
    <row r="2113" spans="1:30" x14ac:dyDescent="0.3">
      <c r="A2113">
        <v>2112</v>
      </c>
      <c r="B2113">
        <v>52403</v>
      </c>
      <c r="C2113" s="2">
        <v>35549</v>
      </c>
      <c r="D2113">
        <v>28</v>
      </c>
      <c r="E2113" t="s">
        <v>42</v>
      </c>
      <c r="F2113" t="s">
        <v>37</v>
      </c>
      <c r="G2113" s="2">
        <v>45505</v>
      </c>
      <c r="H2113" s="3">
        <f t="shared" si="32"/>
        <v>1.4164383561643836</v>
      </c>
      <c r="I2113">
        <v>67</v>
      </c>
      <c r="J2113" t="s">
        <v>57</v>
      </c>
      <c r="K2113" t="s">
        <v>72</v>
      </c>
      <c r="L2113" t="s">
        <v>40</v>
      </c>
      <c r="M2113">
        <v>53325</v>
      </c>
      <c r="T2113" t="s">
        <v>66</v>
      </c>
      <c r="U2113">
        <v>4</v>
      </c>
      <c r="V2113">
        <v>7</v>
      </c>
      <c r="W2113">
        <v>6</v>
      </c>
      <c r="AD2113">
        <v>3</v>
      </c>
    </row>
    <row r="2114" spans="1:30" x14ac:dyDescent="0.3">
      <c r="A2114">
        <v>2113</v>
      </c>
      <c r="B2114">
        <v>52404</v>
      </c>
      <c r="C2114" s="2">
        <v>36115</v>
      </c>
      <c r="D2114">
        <v>27</v>
      </c>
      <c r="E2114" t="s">
        <v>42</v>
      </c>
      <c r="F2114" t="s">
        <v>50</v>
      </c>
      <c r="G2114" s="2">
        <v>45505</v>
      </c>
      <c r="H2114" s="3">
        <f t="shared" si="32"/>
        <v>1.4164383561643836</v>
      </c>
      <c r="I2114">
        <v>68</v>
      </c>
      <c r="J2114" t="s">
        <v>57</v>
      </c>
      <c r="K2114" t="s">
        <v>72</v>
      </c>
      <c r="L2114" t="s">
        <v>40</v>
      </c>
      <c r="M2114">
        <v>53325</v>
      </c>
      <c r="T2114" t="s">
        <v>66</v>
      </c>
      <c r="U2114">
        <v>2</v>
      </c>
      <c r="V2114">
        <v>6</v>
      </c>
      <c r="W2114">
        <v>6</v>
      </c>
      <c r="AD2114">
        <v>3</v>
      </c>
    </row>
    <row r="2115" spans="1:30" x14ac:dyDescent="0.3">
      <c r="A2115">
        <v>2114</v>
      </c>
      <c r="B2115">
        <v>52405</v>
      </c>
      <c r="C2115" s="2">
        <v>36244</v>
      </c>
      <c r="D2115">
        <v>26</v>
      </c>
      <c r="E2115" t="s">
        <v>36</v>
      </c>
      <c r="F2115" t="s">
        <v>37</v>
      </c>
      <c r="G2115" s="2">
        <v>45505</v>
      </c>
      <c r="H2115" s="3">
        <f t="shared" ref="H2115:H2178" si="33">DATEDIF(G2116,DATE(2025,12,31),"d")/365</f>
        <v>1.4164383561643836</v>
      </c>
      <c r="I2115">
        <v>69</v>
      </c>
      <c r="J2115" t="s">
        <v>57</v>
      </c>
      <c r="K2115" t="s">
        <v>72</v>
      </c>
      <c r="L2115" t="s">
        <v>40</v>
      </c>
      <c r="M2115">
        <v>53325</v>
      </c>
      <c r="T2115" t="s">
        <v>71</v>
      </c>
      <c r="U2115">
        <v>3</v>
      </c>
      <c r="V2115">
        <v>5</v>
      </c>
      <c r="W2115">
        <v>4</v>
      </c>
      <c r="AD2115">
        <v>2</v>
      </c>
    </row>
    <row r="2116" spans="1:30" x14ac:dyDescent="0.3">
      <c r="A2116">
        <v>2115</v>
      </c>
      <c r="B2116">
        <v>52406</v>
      </c>
      <c r="C2116" s="2">
        <v>36288</v>
      </c>
      <c r="D2116">
        <v>26</v>
      </c>
      <c r="E2116" t="s">
        <v>42</v>
      </c>
      <c r="F2116" t="s">
        <v>50</v>
      </c>
      <c r="G2116" s="2">
        <v>45505</v>
      </c>
      <c r="H2116" s="3">
        <f t="shared" si="33"/>
        <v>1.4164383561643836</v>
      </c>
      <c r="I2116">
        <v>71</v>
      </c>
      <c r="J2116" t="s">
        <v>57</v>
      </c>
      <c r="K2116" t="s">
        <v>72</v>
      </c>
      <c r="L2116" t="s">
        <v>40</v>
      </c>
      <c r="M2116">
        <v>53325</v>
      </c>
      <c r="T2116" t="s">
        <v>61</v>
      </c>
      <c r="U2116">
        <v>2</v>
      </c>
      <c r="V2116">
        <v>6</v>
      </c>
      <c r="W2116">
        <v>7</v>
      </c>
      <c r="AD2116">
        <v>1</v>
      </c>
    </row>
    <row r="2117" spans="1:30" x14ac:dyDescent="0.3">
      <c r="A2117">
        <v>2116</v>
      </c>
      <c r="B2117">
        <v>52407</v>
      </c>
      <c r="C2117" s="2">
        <v>35494</v>
      </c>
      <c r="D2117">
        <v>28</v>
      </c>
      <c r="E2117" t="s">
        <v>42</v>
      </c>
      <c r="F2117" t="s">
        <v>50</v>
      </c>
      <c r="G2117" s="2">
        <v>45505</v>
      </c>
      <c r="H2117" s="3">
        <f t="shared" si="33"/>
        <v>1.4164383561643836</v>
      </c>
      <c r="I2117">
        <v>72</v>
      </c>
      <c r="J2117" t="s">
        <v>57</v>
      </c>
      <c r="K2117" t="s">
        <v>72</v>
      </c>
      <c r="L2117" t="s">
        <v>40</v>
      </c>
      <c r="M2117">
        <v>53325</v>
      </c>
      <c r="T2117" t="s">
        <v>70</v>
      </c>
      <c r="U2117">
        <v>4</v>
      </c>
      <c r="V2117">
        <v>7</v>
      </c>
      <c r="W2117">
        <v>5</v>
      </c>
      <c r="AD2117">
        <v>3</v>
      </c>
    </row>
    <row r="2118" spans="1:30" x14ac:dyDescent="0.3">
      <c r="A2118">
        <v>2117</v>
      </c>
      <c r="B2118">
        <v>52408</v>
      </c>
      <c r="C2118" s="2">
        <v>35685</v>
      </c>
      <c r="D2118">
        <v>28</v>
      </c>
      <c r="E2118" t="s">
        <v>36</v>
      </c>
      <c r="F2118" t="s">
        <v>50</v>
      </c>
      <c r="G2118" s="2">
        <v>45505</v>
      </c>
      <c r="H2118" s="3">
        <f t="shared" si="33"/>
        <v>1.4164383561643836</v>
      </c>
      <c r="I2118">
        <v>74</v>
      </c>
      <c r="J2118" t="s">
        <v>57</v>
      </c>
      <c r="K2118" t="s">
        <v>72</v>
      </c>
      <c r="L2118" t="s">
        <v>40</v>
      </c>
      <c r="M2118">
        <v>53325</v>
      </c>
      <c r="T2118" t="s">
        <v>63</v>
      </c>
      <c r="U2118">
        <v>2</v>
      </c>
      <c r="V2118">
        <v>6</v>
      </c>
      <c r="W2118">
        <v>4</v>
      </c>
      <c r="AD2118">
        <v>2</v>
      </c>
    </row>
    <row r="2119" spans="1:30" x14ac:dyDescent="0.3">
      <c r="A2119">
        <v>2118</v>
      </c>
      <c r="B2119">
        <v>52409</v>
      </c>
      <c r="C2119" s="2">
        <v>36329</v>
      </c>
      <c r="D2119">
        <v>26</v>
      </c>
      <c r="E2119" t="s">
        <v>42</v>
      </c>
      <c r="F2119" t="s">
        <v>50</v>
      </c>
      <c r="G2119" s="2">
        <v>45505</v>
      </c>
      <c r="H2119" s="3">
        <f t="shared" si="33"/>
        <v>1.4164383561643836</v>
      </c>
      <c r="I2119">
        <v>75</v>
      </c>
      <c r="J2119" t="s">
        <v>57</v>
      </c>
      <c r="K2119" t="s">
        <v>72</v>
      </c>
      <c r="L2119" t="s">
        <v>40</v>
      </c>
      <c r="M2119">
        <v>53325</v>
      </c>
      <c r="T2119" t="s">
        <v>60</v>
      </c>
      <c r="U2119">
        <v>2</v>
      </c>
      <c r="V2119">
        <v>7</v>
      </c>
      <c r="W2119">
        <v>7</v>
      </c>
      <c r="AD2119">
        <v>2</v>
      </c>
    </row>
    <row r="2120" spans="1:30" x14ac:dyDescent="0.3">
      <c r="A2120">
        <v>2119</v>
      </c>
      <c r="B2120">
        <v>52410</v>
      </c>
      <c r="C2120" s="2">
        <v>35814</v>
      </c>
      <c r="D2120">
        <v>27</v>
      </c>
      <c r="E2120" t="s">
        <v>42</v>
      </c>
      <c r="F2120" t="s">
        <v>50</v>
      </c>
      <c r="G2120" s="2">
        <v>45505</v>
      </c>
      <c r="H2120" s="3">
        <f t="shared" si="33"/>
        <v>1.4164383561643836</v>
      </c>
      <c r="I2120">
        <v>80</v>
      </c>
      <c r="J2120" t="s">
        <v>57</v>
      </c>
      <c r="K2120" t="s">
        <v>72</v>
      </c>
      <c r="L2120" t="s">
        <v>40</v>
      </c>
      <c r="M2120">
        <v>53325</v>
      </c>
      <c r="T2120" t="s">
        <v>67</v>
      </c>
      <c r="U2120">
        <v>1</v>
      </c>
      <c r="V2120">
        <v>6</v>
      </c>
      <c r="W2120">
        <v>7</v>
      </c>
      <c r="AD2120">
        <v>3</v>
      </c>
    </row>
    <row r="2121" spans="1:30" x14ac:dyDescent="0.3">
      <c r="A2121">
        <v>2120</v>
      </c>
      <c r="B2121">
        <v>52411</v>
      </c>
      <c r="C2121" s="2">
        <v>36439</v>
      </c>
      <c r="D2121">
        <v>26</v>
      </c>
      <c r="E2121" t="s">
        <v>42</v>
      </c>
      <c r="F2121" t="s">
        <v>50</v>
      </c>
      <c r="G2121" s="2">
        <v>45505</v>
      </c>
      <c r="H2121" s="3">
        <f t="shared" si="33"/>
        <v>1.4164383561643836</v>
      </c>
      <c r="I2121">
        <v>82</v>
      </c>
      <c r="J2121" t="s">
        <v>57</v>
      </c>
      <c r="K2121" t="s">
        <v>72</v>
      </c>
      <c r="L2121" t="s">
        <v>40</v>
      </c>
      <c r="M2121">
        <v>53325</v>
      </c>
      <c r="T2121" t="s">
        <v>66</v>
      </c>
      <c r="U2121">
        <v>2</v>
      </c>
      <c r="V2121">
        <v>5</v>
      </c>
      <c r="W2121">
        <v>7</v>
      </c>
      <c r="AD2121">
        <v>3</v>
      </c>
    </row>
    <row r="2122" spans="1:30" x14ac:dyDescent="0.3">
      <c r="A2122">
        <v>2121</v>
      </c>
      <c r="B2122">
        <v>52412</v>
      </c>
      <c r="C2122" s="2">
        <v>34872</v>
      </c>
      <c r="D2122">
        <v>30</v>
      </c>
      <c r="E2122" t="s">
        <v>42</v>
      </c>
      <c r="F2122" t="s">
        <v>50</v>
      </c>
      <c r="G2122" s="2">
        <v>45505</v>
      </c>
      <c r="H2122" s="3">
        <f t="shared" si="33"/>
        <v>1.4164383561643836</v>
      </c>
      <c r="I2122">
        <v>85</v>
      </c>
      <c r="J2122" t="s">
        <v>57</v>
      </c>
      <c r="K2122" t="s">
        <v>72</v>
      </c>
      <c r="L2122" t="s">
        <v>40</v>
      </c>
      <c r="M2122">
        <v>53325</v>
      </c>
      <c r="T2122" t="s">
        <v>67</v>
      </c>
      <c r="U2122">
        <v>2</v>
      </c>
      <c r="V2122">
        <v>7</v>
      </c>
      <c r="W2122">
        <v>7</v>
      </c>
      <c r="AD2122">
        <v>2</v>
      </c>
    </row>
    <row r="2123" spans="1:30" x14ac:dyDescent="0.3">
      <c r="A2123">
        <v>2122</v>
      </c>
      <c r="B2123">
        <v>52413</v>
      </c>
      <c r="C2123" s="2">
        <v>36482</v>
      </c>
      <c r="D2123">
        <v>26</v>
      </c>
      <c r="E2123" t="s">
        <v>42</v>
      </c>
      <c r="F2123" t="s">
        <v>50</v>
      </c>
      <c r="G2123" s="2">
        <v>45505</v>
      </c>
      <c r="H2123" s="3">
        <f t="shared" si="33"/>
        <v>1.4164383561643836</v>
      </c>
      <c r="I2123">
        <v>86</v>
      </c>
      <c r="J2123" t="s">
        <v>57</v>
      </c>
      <c r="K2123" t="s">
        <v>72</v>
      </c>
      <c r="L2123" t="s">
        <v>40</v>
      </c>
      <c r="M2123">
        <v>53325</v>
      </c>
      <c r="T2123" t="s">
        <v>60</v>
      </c>
      <c r="U2123">
        <v>4</v>
      </c>
      <c r="V2123">
        <v>6</v>
      </c>
      <c r="W2123">
        <v>6</v>
      </c>
      <c r="AD2123">
        <v>2</v>
      </c>
    </row>
    <row r="2124" spans="1:30" x14ac:dyDescent="0.3">
      <c r="A2124">
        <v>2123</v>
      </c>
      <c r="B2124">
        <v>52414</v>
      </c>
      <c r="C2124" s="2">
        <v>35027</v>
      </c>
      <c r="D2124">
        <v>30</v>
      </c>
      <c r="E2124" t="s">
        <v>36</v>
      </c>
      <c r="F2124" t="s">
        <v>37</v>
      </c>
      <c r="G2124" s="2">
        <v>45505</v>
      </c>
      <c r="H2124" s="3">
        <f t="shared" si="33"/>
        <v>1.4164383561643836</v>
      </c>
      <c r="I2124">
        <v>87</v>
      </c>
      <c r="J2124" t="s">
        <v>57</v>
      </c>
      <c r="K2124" t="s">
        <v>72</v>
      </c>
      <c r="L2124" t="s">
        <v>40</v>
      </c>
      <c r="M2124">
        <v>53325</v>
      </c>
      <c r="T2124" t="s">
        <v>70</v>
      </c>
      <c r="U2124">
        <v>3</v>
      </c>
      <c r="V2124">
        <v>6</v>
      </c>
      <c r="W2124">
        <v>5</v>
      </c>
      <c r="AD2124">
        <v>3</v>
      </c>
    </row>
    <row r="2125" spans="1:30" x14ac:dyDescent="0.3">
      <c r="A2125">
        <v>2124</v>
      </c>
      <c r="B2125">
        <v>52415</v>
      </c>
      <c r="C2125" s="2">
        <v>34452</v>
      </c>
      <c r="D2125">
        <v>31</v>
      </c>
      <c r="E2125" t="s">
        <v>42</v>
      </c>
      <c r="F2125" t="s">
        <v>50</v>
      </c>
      <c r="G2125" s="2">
        <v>45505</v>
      </c>
      <c r="H2125" s="3">
        <f t="shared" si="33"/>
        <v>1.4164383561643836</v>
      </c>
      <c r="I2125">
        <v>88</v>
      </c>
      <c r="J2125" t="s">
        <v>57</v>
      </c>
      <c r="K2125" t="s">
        <v>72</v>
      </c>
      <c r="L2125" t="s">
        <v>40</v>
      </c>
      <c r="M2125">
        <v>53325</v>
      </c>
      <c r="T2125" t="s">
        <v>63</v>
      </c>
      <c r="U2125">
        <v>4</v>
      </c>
      <c r="V2125">
        <v>6</v>
      </c>
      <c r="W2125">
        <v>7</v>
      </c>
      <c r="AD2125">
        <v>2</v>
      </c>
    </row>
    <row r="2126" spans="1:30" x14ac:dyDescent="0.3">
      <c r="A2126">
        <v>2125</v>
      </c>
      <c r="B2126">
        <v>52416</v>
      </c>
      <c r="C2126" s="2">
        <v>35487</v>
      </c>
      <c r="D2126">
        <v>28</v>
      </c>
      <c r="E2126" t="s">
        <v>42</v>
      </c>
      <c r="F2126" t="s">
        <v>37</v>
      </c>
      <c r="G2126" s="2">
        <v>45505</v>
      </c>
      <c r="H2126" s="3">
        <f t="shared" si="33"/>
        <v>1.4164383561643836</v>
      </c>
      <c r="I2126">
        <v>89</v>
      </c>
      <c r="J2126" t="s">
        <v>57</v>
      </c>
      <c r="K2126" t="s">
        <v>72</v>
      </c>
      <c r="L2126" t="s">
        <v>40</v>
      </c>
      <c r="M2126">
        <v>53325</v>
      </c>
      <c r="T2126" t="s">
        <v>63</v>
      </c>
      <c r="U2126">
        <v>4</v>
      </c>
      <c r="V2126">
        <v>6</v>
      </c>
      <c r="W2126">
        <v>5</v>
      </c>
      <c r="AD2126">
        <v>3</v>
      </c>
    </row>
    <row r="2127" spans="1:30" x14ac:dyDescent="0.3">
      <c r="A2127">
        <v>2126</v>
      </c>
      <c r="B2127">
        <v>52417</v>
      </c>
      <c r="C2127" s="2">
        <v>36005</v>
      </c>
      <c r="D2127">
        <v>27</v>
      </c>
      <c r="E2127" t="s">
        <v>42</v>
      </c>
      <c r="F2127" t="s">
        <v>50</v>
      </c>
      <c r="G2127" s="2">
        <v>45505</v>
      </c>
      <c r="H2127" s="3">
        <f t="shared" si="33"/>
        <v>1.4164383561643836</v>
      </c>
      <c r="I2127">
        <v>90</v>
      </c>
      <c r="J2127" t="s">
        <v>57</v>
      </c>
      <c r="K2127" t="s">
        <v>72</v>
      </c>
      <c r="L2127" t="s">
        <v>40</v>
      </c>
      <c r="M2127">
        <v>53325</v>
      </c>
      <c r="T2127" t="s">
        <v>61</v>
      </c>
      <c r="U2127">
        <v>1</v>
      </c>
      <c r="V2127">
        <v>6</v>
      </c>
      <c r="W2127">
        <v>4</v>
      </c>
      <c r="AD2127">
        <v>5</v>
      </c>
    </row>
    <row r="2128" spans="1:30" x14ac:dyDescent="0.3">
      <c r="A2128">
        <v>2127</v>
      </c>
      <c r="B2128">
        <v>52418</v>
      </c>
      <c r="C2128" s="2">
        <v>36373</v>
      </c>
      <c r="D2128">
        <v>27</v>
      </c>
      <c r="E2128" t="s">
        <v>36</v>
      </c>
      <c r="F2128" t="s">
        <v>50</v>
      </c>
      <c r="G2128" s="2">
        <v>45505</v>
      </c>
      <c r="H2128" s="3">
        <f t="shared" si="33"/>
        <v>1.4164383561643836</v>
      </c>
      <c r="I2128">
        <v>92</v>
      </c>
      <c r="J2128" t="s">
        <v>57</v>
      </c>
      <c r="K2128" t="s">
        <v>72</v>
      </c>
      <c r="L2128" t="s">
        <v>40</v>
      </c>
      <c r="M2128">
        <v>53325</v>
      </c>
      <c r="T2128" t="s">
        <v>70</v>
      </c>
      <c r="U2128">
        <v>3</v>
      </c>
      <c r="V2128">
        <v>6</v>
      </c>
      <c r="W2128">
        <v>6</v>
      </c>
      <c r="AD2128">
        <v>4</v>
      </c>
    </row>
    <row r="2129" spans="1:30" x14ac:dyDescent="0.3">
      <c r="A2129">
        <v>2128</v>
      </c>
      <c r="B2129">
        <v>52419</v>
      </c>
      <c r="C2129" s="2">
        <v>35984</v>
      </c>
      <c r="D2129">
        <v>27</v>
      </c>
      <c r="E2129" t="s">
        <v>42</v>
      </c>
      <c r="F2129" t="s">
        <v>50</v>
      </c>
      <c r="G2129" s="2">
        <v>45505</v>
      </c>
      <c r="H2129" s="3">
        <f t="shared" si="33"/>
        <v>1.4164383561643836</v>
      </c>
      <c r="I2129">
        <v>94</v>
      </c>
      <c r="J2129" t="s">
        <v>57</v>
      </c>
      <c r="K2129" t="s">
        <v>72</v>
      </c>
      <c r="L2129" t="s">
        <v>40</v>
      </c>
      <c r="M2129">
        <v>53325</v>
      </c>
      <c r="T2129" t="s">
        <v>60</v>
      </c>
      <c r="U2129">
        <v>2</v>
      </c>
      <c r="V2129">
        <v>6</v>
      </c>
      <c r="W2129">
        <v>6</v>
      </c>
      <c r="AD2129">
        <v>3</v>
      </c>
    </row>
    <row r="2130" spans="1:30" x14ac:dyDescent="0.3">
      <c r="A2130">
        <v>2129</v>
      </c>
      <c r="B2130">
        <v>52420</v>
      </c>
      <c r="C2130" s="2">
        <v>35555</v>
      </c>
      <c r="D2130">
        <v>28</v>
      </c>
      <c r="E2130" t="s">
        <v>42</v>
      </c>
      <c r="F2130" t="s">
        <v>50</v>
      </c>
      <c r="G2130" s="2">
        <v>45505</v>
      </c>
      <c r="H2130" s="3">
        <f t="shared" si="33"/>
        <v>1.4164383561643836</v>
      </c>
      <c r="I2130">
        <v>96</v>
      </c>
      <c r="J2130" t="s">
        <v>57</v>
      </c>
      <c r="K2130" t="s">
        <v>72</v>
      </c>
      <c r="L2130" t="s">
        <v>40</v>
      </c>
      <c r="M2130">
        <v>53325</v>
      </c>
      <c r="T2130" t="s">
        <v>61</v>
      </c>
      <c r="U2130">
        <v>3</v>
      </c>
      <c r="V2130">
        <v>6</v>
      </c>
      <c r="W2130">
        <v>6</v>
      </c>
      <c r="AD2130">
        <v>3</v>
      </c>
    </row>
    <row r="2131" spans="1:30" x14ac:dyDescent="0.3">
      <c r="A2131">
        <v>2130</v>
      </c>
      <c r="B2131">
        <v>52421</v>
      </c>
      <c r="C2131" s="2">
        <v>36390</v>
      </c>
      <c r="D2131">
        <v>26</v>
      </c>
      <c r="E2131" t="s">
        <v>36</v>
      </c>
      <c r="F2131" t="s">
        <v>50</v>
      </c>
      <c r="G2131" s="2">
        <v>45505</v>
      </c>
      <c r="H2131" s="3">
        <f t="shared" si="33"/>
        <v>1.4164383561643836</v>
      </c>
      <c r="I2131">
        <v>100</v>
      </c>
      <c r="J2131" t="s">
        <v>57</v>
      </c>
      <c r="K2131" t="s">
        <v>72</v>
      </c>
      <c r="L2131" t="s">
        <v>40</v>
      </c>
      <c r="M2131">
        <v>53325</v>
      </c>
      <c r="T2131" t="s">
        <v>41</v>
      </c>
      <c r="U2131">
        <v>2</v>
      </c>
      <c r="V2131">
        <v>6</v>
      </c>
      <c r="W2131">
        <v>5</v>
      </c>
      <c r="AD2131">
        <v>5</v>
      </c>
    </row>
    <row r="2132" spans="1:30" x14ac:dyDescent="0.3">
      <c r="A2132">
        <v>2131</v>
      </c>
      <c r="B2132">
        <v>52422</v>
      </c>
      <c r="C2132" s="2">
        <v>36411</v>
      </c>
      <c r="D2132">
        <v>26</v>
      </c>
      <c r="E2132" t="s">
        <v>36</v>
      </c>
      <c r="F2132" t="s">
        <v>50</v>
      </c>
      <c r="G2132" s="2">
        <v>45505</v>
      </c>
      <c r="H2132" s="3">
        <f t="shared" si="33"/>
        <v>1.4164383561643836</v>
      </c>
      <c r="I2132">
        <v>101</v>
      </c>
      <c r="J2132" t="s">
        <v>57</v>
      </c>
      <c r="K2132" t="s">
        <v>72</v>
      </c>
      <c r="L2132" t="s">
        <v>40</v>
      </c>
      <c r="M2132">
        <v>53325</v>
      </c>
      <c r="T2132" t="s">
        <v>70</v>
      </c>
      <c r="U2132">
        <v>3</v>
      </c>
      <c r="V2132">
        <v>5</v>
      </c>
      <c r="W2132">
        <v>5</v>
      </c>
      <c r="AD2132">
        <v>2</v>
      </c>
    </row>
    <row r="2133" spans="1:30" x14ac:dyDescent="0.3">
      <c r="A2133">
        <v>2132</v>
      </c>
      <c r="B2133">
        <v>52424</v>
      </c>
      <c r="C2133" s="2">
        <v>36419</v>
      </c>
      <c r="D2133">
        <v>26</v>
      </c>
      <c r="E2133" t="s">
        <v>42</v>
      </c>
      <c r="F2133" t="s">
        <v>50</v>
      </c>
      <c r="G2133" s="2">
        <v>45505</v>
      </c>
      <c r="H2133" s="3">
        <f t="shared" si="33"/>
        <v>1.4164383561643836</v>
      </c>
      <c r="I2133">
        <v>103</v>
      </c>
      <c r="J2133" t="s">
        <v>57</v>
      </c>
      <c r="K2133" t="s">
        <v>72</v>
      </c>
      <c r="L2133" t="s">
        <v>40</v>
      </c>
      <c r="M2133">
        <v>53325</v>
      </c>
      <c r="T2133" t="s">
        <v>63</v>
      </c>
      <c r="U2133">
        <v>2</v>
      </c>
      <c r="V2133">
        <v>5</v>
      </c>
      <c r="W2133">
        <v>6</v>
      </c>
      <c r="AD2133">
        <v>4</v>
      </c>
    </row>
    <row r="2134" spans="1:30" x14ac:dyDescent="0.3">
      <c r="A2134">
        <v>2133</v>
      </c>
      <c r="B2134">
        <v>52425</v>
      </c>
      <c r="C2134" s="2">
        <v>35224</v>
      </c>
      <c r="D2134">
        <v>29</v>
      </c>
      <c r="E2134" t="s">
        <v>36</v>
      </c>
      <c r="F2134" t="s">
        <v>50</v>
      </c>
      <c r="G2134" s="2">
        <v>45505</v>
      </c>
      <c r="H2134" s="3">
        <f t="shared" si="33"/>
        <v>1.4164383561643836</v>
      </c>
      <c r="I2134">
        <v>105</v>
      </c>
      <c r="J2134" t="s">
        <v>57</v>
      </c>
      <c r="K2134" t="s">
        <v>72</v>
      </c>
      <c r="L2134" t="s">
        <v>40</v>
      </c>
      <c r="M2134">
        <v>53325</v>
      </c>
      <c r="T2134" t="s">
        <v>58</v>
      </c>
      <c r="U2134">
        <v>4</v>
      </c>
      <c r="V2134">
        <v>5</v>
      </c>
      <c r="W2134">
        <v>6</v>
      </c>
      <c r="AD2134">
        <v>2</v>
      </c>
    </row>
    <row r="2135" spans="1:30" x14ac:dyDescent="0.3">
      <c r="A2135">
        <v>2134</v>
      </c>
      <c r="B2135">
        <v>52429</v>
      </c>
      <c r="C2135" s="2">
        <v>36250</v>
      </c>
      <c r="D2135">
        <v>26</v>
      </c>
      <c r="E2135" t="s">
        <v>42</v>
      </c>
      <c r="F2135" t="s">
        <v>37</v>
      </c>
      <c r="G2135" s="2">
        <v>45505</v>
      </c>
      <c r="H2135" s="3">
        <f t="shared" si="33"/>
        <v>1.4164383561643836</v>
      </c>
      <c r="I2135">
        <v>119</v>
      </c>
      <c r="J2135" t="s">
        <v>57</v>
      </c>
      <c r="K2135" t="s">
        <v>72</v>
      </c>
      <c r="L2135" t="s">
        <v>40</v>
      </c>
      <c r="M2135">
        <v>53325</v>
      </c>
      <c r="T2135" t="s">
        <v>61</v>
      </c>
      <c r="U2135">
        <v>3</v>
      </c>
      <c r="V2135">
        <v>7</v>
      </c>
      <c r="W2135">
        <v>5</v>
      </c>
      <c r="AD2135">
        <v>3</v>
      </c>
    </row>
    <row r="2136" spans="1:30" x14ac:dyDescent="0.3">
      <c r="A2136">
        <v>2135</v>
      </c>
      <c r="B2136">
        <v>52430</v>
      </c>
      <c r="C2136" s="2">
        <v>35452</v>
      </c>
      <c r="D2136">
        <v>28</v>
      </c>
      <c r="E2136" t="s">
        <v>42</v>
      </c>
      <c r="F2136" t="s">
        <v>50</v>
      </c>
      <c r="G2136" s="2">
        <v>45505</v>
      </c>
      <c r="H2136" s="3">
        <f t="shared" si="33"/>
        <v>1.4164383561643836</v>
      </c>
      <c r="I2136">
        <v>120</v>
      </c>
      <c r="J2136" t="s">
        <v>57</v>
      </c>
      <c r="K2136" t="s">
        <v>72</v>
      </c>
      <c r="L2136" t="s">
        <v>40</v>
      </c>
      <c r="M2136">
        <v>53325</v>
      </c>
      <c r="T2136" t="s">
        <v>66</v>
      </c>
      <c r="U2136">
        <v>2</v>
      </c>
      <c r="V2136">
        <v>6</v>
      </c>
      <c r="W2136">
        <v>6</v>
      </c>
      <c r="AD2136">
        <v>2</v>
      </c>
    </row>
    <row r="2137" spans="1:30" x14ac:dyDescent="0.3">
      <c r="A2137">
        <v>2136</v>
      </c>
      <c r="B2137">
        <v>52432</v>
      </c>
      <c r="C2137" s="2">
        <v>35955</v>
      </c>
      <c r="D2137">
        <v>27</v>
      </c>
      <c r="E2137" t="s">
        <v>42</v>
      </c>
      <c r="F2137" t="s">
        <v>50</v>
      </c>
      <c r="G2137" s="2">
        <v>45505</v>
      </c>
      <c r="H2137" s="3">
        <f t="shared" si="33"/>
        <v>1.4164383561643836</v>
      </c>
      <c r="I2137">
        <v>128</v>
      </c>
      <c r="J2137" t="s">
        <v>57</v>
      </c>
      <c r="K2137" t="s">
        <v>72</v>
      </c>
      <c r="L2137" t="s">
        <v>40</v>
      </c>
      <c r="M2137">
        <v>53325</v>
      </c>
      <c r="T2137" t="s">
        <v>61</v>
      </c>
      <c r="U2137">
        <v>1</v>
      </c>
      <c r="V2137">
        <v>6</v>
      </c>
      <c r="W2137">
        <v>7</v>
      </c>
      <c r="AD2137">
        <v>1</v>
      </c>
    </row>
    <row r="2138" spans="1:30" x14ac:dyDescent="0.3">
      <c r="A2138">
        <v>2137</v>
      </c>
      <c r="B2138">
        <v>52433</v>
      </c>
      <c r="C2138" s="2">
        <v>36220</v>
      </c>
      <c r="D2138">
        <v>27</v>
      </c>
      <c r="E2138" t="s">
        <v>42</v>
      </c>
      <c r="F2138" t="s">
        <v>50</v>
      </c>
      <c r="G2138" s="2">
        <v>45505</v>
      </c>
      <c r="H2138" s="3">
        <f t="shared" si="33"/>
        <v>1.1013698630136985</v>
      </c>
      <c r="I2138">
        <v>133</v>
      </c>
      <c r="J2138" t="s">
        <v>57</v>
      </c>
      <c r="K2138" t="s">
        <v>72</v>
      </c>
      <c r="L2138" t="s">
        <v>40</v>
      </c>
      <c r="M2138">
        <v>53325</v>
      </c>
      <c r="T2138" t="s">
        <v>70</v>
      </c>
      <c r="U2138">
        <v>2</v>
      </c>
      <c r="V2138">
        <v>6</v>
      </c>
      <c r="W2138">
        <v>7</v>
      </c>
      <c r="AD2138">
        <v>3</v>
      </c>
    </row>
    <row r="2139" spans="1:30" x14ac:dyDescent="0.3">
      <c r="A2139">
        <v>2138</v>
      </c>
      <c r="B2139">
        <v>52434</v>
      </c>
      <c r="C2139" s="2">
        <v>35392</v>
      </c>
      <c r="D2139">
        <v>29</v>
      </c>
      <c r="E2139" t="s">
        <v>36</v>
      </c>
      <c r="F2139" t="s">
        <v>50</v>
      </c>
      <c r="G2139" s="2">
        <v>45620</v>
      </c>
      <c r="H2139" s="3">
        <f t="shared" si="33"/>
        <v>1.0438356164383562</v>
      </c>
      <c r="I2139">
        <v>128</v>
      </c>
      <c r="J2139" t="s">
        <v>57</v>
      </c>
      <c r="K2139" t="s">
        <v>51</v>
      </c>
      <c r="L2139" t="s">
        <v>44</v>
      </c>
      <c r="M2139">
        <v>36.200000000000003</v>
      </c>
      <c r="T2139" t="s">
        <v>52</v>
      </c>
      <c r="U2139">
        <v>0</v>
      </c>
      <c r="V2139">
        <v>3</v>
      </c>
    </row>
    <row r="2140" spans="1:30" x14ac:dyDescent="0.3">
      <c r="A2140">
        <v>2139</v>
      </c>
      <c r="B2140">
        <v>52435</v>
      </c>
      <c r="C2140" s="2">
        <v>34500</v>
      </c>
      <c r="D2140">
        <v>31</v>
      </c>
      <c r="E2140" t="s">
        <v>42</v>
      </c>
      <c r="F2140" t="s">
        <v>50</v>
      </c>
      <c r="G2140" s="2">
        <v>45641</v>
      </c>
      <c r="H2140" s="3">
        <f t="shared" si="33"/>
        <v>1.6410958904109589</v>
      </c>
      <c r="I2140">
        <v>114</v>
      </c>
      <c r="J2140" t="s">
        <v>57</v>
      </c>
      <c r="K2140" t="s">
        <v>51</v>
      </c>
      <c r="L2140" t="s">
        <v>44</v>
      </c>
      <c r="M2140">
        <v>36.200000000000003</v>
      </c>
      <c r="T2140" t="s">
        <v>52</v>
      </c>
      <c r="U2140">
        <v>0</v>
      </c>
      <c r="V2140">
        <v>5</v>
      </c>
    </row>
    <row r="2141" spans="1:30" x14ac:dyDescent="0.3">
      <c r="A2141">
        <v>2140</v>
      </c>
      <c r="B2141">
        <v>52436</v>
      </c>
      <c r="C2141" s="2">
        <v>31191</v>
      </c>
      <c r="D2141">
        <v>40</v>
      </c>
      <c r="E2141" t="s">
        <v>36</v>
      </c>
      <c r="F2141" t="s">
        <v>50</v>
      </c>
      <c r="G2141" s="2">
        <v>45423</v>
      </c>
      <c r="H2141" s="3">
        <f t="shared" si="33"/>
        <v>1.4273972602739726</v>
      </c>
      <c r="I2141">
        <v>128</v>
      </c>
      <c r="J2141" t="s">
        <v>57</v>
      </c>
      <c r="K2141" t="s">
        <v>51</v>
      </c>
      <c r="L2141" t="s">
        <v>44</v>
      </c>
      <c r="M2141">
        <v>36.200000000000003</v>
      </c>
      <c r="T2141" t="s">
        <v>49</v>
      </c>
      <c r="U2141">
        <v>0</v>
      </c>
      <c r="V2141">
        <v>4</v>
      </c>
    </row>
    <row r="2142" spans="1:30" x14ac:dyDescent="0.3">
      <c r="A2142">
        <v>2141</v>
      </c>
      <c r="B2142">
        <v>52438</v>
      </c>
      <c r="C2142" s="2">
        <v>28687</v>
      </c>
      <c r="D2142">
        <v>47</v>
      </c>
      <c r="E2142" t="s">
        <v>42</v>
      </c>
      <c r="F2142" t="s">
        <v>50</v>
      </c>
      <c r="G2142" s="2">
        <v>45501</v>
      </c>
      <c r="H2142" s="3">
        <f t="shared" si="33"/>
        <v>1.263013698630137</v>
      </c>
      <c r="I2142">
        <v>3</v>
      </c>
      <c r="J2142" t="s">
        <v>38</v>
      </c>
      <c r="K2142" t="s">
        <v>51</v>
      </c>
      <c r="L2142" t="s">
        <v>44</v>
      </c>
      <c r="M2142">
        <v>36.200000000000003</v>
      </c>
      <c r="T2142" t="s">
        <v>52</v>
      </c>
      <c r="U2142">
        <v>0</v>
      </c>
      <c r="V2142">
        <v>6</v>
      </c>
    </row>
    <row r="2143" spans="1:30" x14ac:dyDescent="0.3">
      <c r="A2143">
        <v>2142</v>
      </c>
      <c r="B2143">
        <v>52439</v>
      </c>
      <c r="C2143" s="2">
        <v>34031</v>
      </c>
      <c r="D2143">
        <v>32</v>
      </c>
      <c r="E2143" t="s">
        <v>42</v>
      </c>
      <c r="F2143" t="s">
        <v>50</v>
      </c>
      <c r="G2143" s="2">
        <v>45561</v>
      </c>
      <c r="H2143" s="3">
        <f t="shared" si="33"/>
        <v>1.4136986301369863</v>
      </c>
      <c r="I2143">
        <v>88</v>
      </c>
      <c r="J2143" t="s">
        <v>57</v>
      </c>
      <c r="K2143" t="s">
        <v>51</v>
      </c>
      <c r="L2143" t="s">
        <v>44</v>
      </c>
      <c r="M2143">
        <v>36.200000000000003</v>
      </c>
      <c r="T2143" t="s">
        <v>47</v>
      </c>
      <c r="U2143">
        <v>0</v>
      </c>
      <c r="V2143">
        <v>5</v>
      </c>
    </row>
    <row r="2144" spans="1:30" x14ac:dyDescent="0.3">
      <c r="A2144">
        <v>2143</v>
      </c>
      <c r="B2144">
        <v>52440</v>
      </c>
      <c r="C2144" s="2">
        <v>36438</v>
      </c>
      <c r="D2144">
        <v>26</v>
      </c>
      <c r="E2144" t="s">
        <v>36</v>
      </c>
      <c r="F2144" t="s">
        <v>50</v>
      </c>
      <c r="G2144" s="2">
        <v>45506</v>
      </c>
      <c r="H2144" s="3">
        <f t="shared" si="33"/>
        <v>1.1643835616438356</v>
      </c>
      <c r="I2144">
        <v>102</v>
      </c>
      <c r="J2144" t="s">
        <v>57</v>
      </c>
      <c r="K2144" t="s">
        <v>51</v>
      </c>
      <c r="L2144" t="s">
        <v>44</v>
      </c>
      <c r="M2144">
        <v>36.200000000000003</v>
      </c>
      <c r="T2144" t="s">
        <v>45</v>
      </c>
      <c r="U2144">
        <v>0</v>
      </c>
      <c r="V2144">
        <v>4</v>
      </c>
    </row>
    <row r="2145" spans="1:22" x14ac:dyDescent="0.3">
      <c r="A2145">
        <v>2144</v>
      </c>
      <c r="B2145">
        <v>52441</v>
      </c>
      <c r="C2145" s="2">
        <v>32313</v>
      </c>
      <c r="D2145">
        <v>37</v>
      </c>
      <c r="E2145" t="s">
        <v>36</v>
      </c>
      <c r="F2145" t="s">
        <v>50</v>
      </c>
      <c r="G2145" s="2">
        <v>45597</v>
      </c>
      <c r="H2145" s="3">
        <f t="shared" si="33"/>
        <v>1.1726027397260275</v>
      </c>
      <c r="I2145">
        <v>115</v>
      </c>
      <c r="J2145" t="s">
        <v>57</v>
      </c>
      <c r="K2145" t="s">
        <v>51</v>
      </c>
      <c r="L2145" t="s">
        <v>44</v>
      </c>
      <c r="M2145">
        <v>36.200000000000003</v>
      </c>
      <c r="T2145" t="s">
        <v>45</v>
      </c>
      <c r="U2145">
        <v>0</v>
      </c>
      <c r="V2145">
        <v>3</v>
      </c>
    </row>
    <row r="2146" spans="1:22" x14ac:dyDescent="0.3">
      <c r="A2146">
        <v>2145</v>
      </c>
      <c r="B2146">
        <v>52442</v>
      </c>
      <c r="C2146" s="2">
        <v>33726</v>
      </c>
      <c r="D2146">
        <v>33</v>
      </c>
      <c r="E2146" t="s">
        <v>36</v>
      </c>
      <c r="F2146" t="s">
        <v>50</v>
      </c>
      <c r="G2146" s="2">
        <v>45594</v>
      </c>
      <c r="H2146" s="3">
        <f t="shared" si="33"/>
        <v>1.5397260273972602</v>
      </c>
      <c r="I2146">
        <v>120</v>
      </c>
      <c r="J2146" t="s">
        <v>57</v>
      </c>
      <c r="K2146" t="s">
        <v>51</v>
      </c>
      <c r="L2146" t="s">
        <v>44</v>
      </c>
      <c r="M2146">
        <v>36.200000000000003</v>
      </c>
      <c r="T2146" t="s">
        <v>52</v>
      </c>
      <c r="U2146">
        <v>0</v>
      </c>
      <c r="V2146">
        <v>4</v>
      </c>
    </row>
    <row r="2147" spans="1:22" x14ac:dyDescent="0.3">
      <c r="A2147">
        <v>2146</v>
      </c>
      <c r="B2147">
        <v>52443</v>
      </c>
      <c r="C2147" s="2">
        <v>32980</v>
      </c>
      <c r="D2147">
        <v>35</v>
      </c>
      <c r="E2147" t="s">
        <v>42</v>
      </c>
      <c r="F2147" t="s">
        <v>50</v>
      </c>
      <c r="G2147" s="2">
        <v>45460</v>
      </c>
      <c r="H2147" s="3">
        <f t="shared" si="33"/>
        <v>1.3808219178082193</v>
      </c>
      <c r="I2147">
        <v>96</v>
      </c>
      <c r="J2147" t="s">
        <v>57</v>
      </c>
      <c r="K2147" t="s">
        <v>51</v>
      </c>
      <c r="L2147" t="s">
        <v>44</v>
      </c>
      <c r="M2147">
        <v>36.200000000000003</v>
      </c>
      <c r="T2147" t="s">
        <v>52</v>
      </c>
      <c r="U2147">
        <v>0</v>
      </c>
      <c r="V2147">
        <v>5</v>
      </c>
    </row>
    <row r="2148" spans="1:22" x14ac:dyDescent="0.3">
      <c r="A2148">
        <v>2147</v>
      </c>
      <c r="B2148">
        <v>52444</v>
      </c>
      <c r="C2148" s="2">
        <v>34879</v>
      </c>
      <c r="D2148">
        <v>30</v>
      </c>
      <c r="E2148" t="s">
        <v>36</v>
      </c>
      <c r="F2148" t="s">
        <v>50</v>
      </c>
      <c r="G2148" s="2">
        <v>45518</v>
      </c>
      <c r="H2148" s="3">
        <f t="shared" si="33"/>
        <v>1.7726027397260273</v>
      </c>
      <c r="I2148">
        <v>64</v>
      </c>
      <c r="J2148" t="s">
        <v>38</v>
      </c>
      <c r="K2148" t="s">
        <v>51</v>
      </c>
      <c r="L2148" t="s">
        <v>44</v>
      </c>
      <c r="M2148">
        <v>36.200000000000003</v>
      </c>
      <c r="T2148" t="s">
        <v>47</v>
      </c>
      <c r="U2148">
        <v>0</v>
      </c>
      <c r="V2148">
        <v>3</v>
      </c>
    </row>
    <row r="2149" spans="1:22" x14ac:dyDescent="0.3">
      <c r="A2149">
        <v>2148</v>
      </c>
      <c r="B2149">
        <v>52445</v>
      </c>
      <c r="C2149" s="2">
        <v>34179</v>
      </c>
      <c r="D2149">
        <v>32</v>
      </c>
      <c r="E2149" t="s">
        <v>36</v>
      </c>
      <c r="F2149" t="s">
        <v>50</v>
      </c>
      <c r="G2149" s="2">
        <v>45375</v>
      </c>
      <c r="H2149" s="3">
        <f t="shared" si="33"/>
        <v>1.1643835616438356</v>
      </c>
      <c r="I2149">
        <v>85</v>
      </c>
      <c r="J2149" t="s">
        <v>57</v>
      </c>
      <c r="K2149" t="s">
        <v>51</v>
      </c>
      <c r="L2149" t="s">
        <v>44</v>
      </c>
      <c r="M2149">
        <v>36.200000000000003</v>
      </c>
      <c r="T2149" t="s">
        <v>47</v>
      </c>
      <c r="U2149">
        <v>0</v>
      </c>
      <c r="V2149">
        <v>3</v>
      </c>
    </row>
    <row r="2150" spans="1:22" x14ac:dyDescent="0.3">
      <c r="A2150">
        <v>2149</v>
      </c>
      <c r="B2150">
        <v>52446</v>
      </c>
      <c r="C2150" s="2">
        <v>36432</v>
      </c>
      <c r="D2150">
        <v>26</v>
      </c>
      <c r="E2150" t="s">
        <v>36</v>
      </c>
      <c r="F2150" t="s">
        <v>50</v>
      </c>
      <c r="G2150" s="2">
        <v>45597</v>
      </c>
      <c r="H2150" s="3">
        <f t="shared" si="33"/>
        <v>1.0356164383561643</v>
      </c>
      <c r="I2150">
        <v>121</v>
      </c>
      <c r="J2150" t="s">
        <v>57</v>
      </c>
      <c r="K2150" t="s">
        <v>51</v>
      </c>
      <c r="L2150" t="s">
        <v>44</v>
      </c>
      <c r="M2150">
        <v>36.200000000000003</v>
      </c>
      <c r="T2150" t="s">
        <v>45</v>
      </c>
      <c r="U2150">
        <v>0</v>
      </c>
      <c r="V2150">
        <v>4</v>
      </c>
    </row>
    <row r="2151" spans="1:22" x14ac:dyDescent="0.3">
      <c r="A2151">
        <v>2150</v>
      </c>
      <c r="B2151">
        <v>52448</v>
      </c>
      <c r="C2151" s="2">
        <v>36012</v>
      </c>
      <c r="D2151">
        <v>27</v>
      </c>
      <c r="E2151" t="s">
        <v>36</v>
      </c>
      <c r="F2151" t="s">
        <v>50</v>
      </c>
      <c r="G2151" s="2">
        <v>45644</v>
      </c>
      <c r="H2151" s="3">
        <f t="shared" si="33"/>
        <v>1.0904109589041096</v>
      </c>
      <c r="I2151">
        <v>18</v>
      </c>
      <c r="J2151" t="s">
        <v>38</v>
      </c>
      <c r="K2151" t="s">
        <v>51</v>
      </c>
      <c r="L2151" t="s">
        <v>44</v>
      </c>
      <c r="M2151">
        <v>36.200000000000003</v>
      </c>
      <c r="T2151" t="s">
        <v>47</v>
      </c>
      <c r="U2151">
        <v>0</v>
      </c>
      <c r="V2151">
        <v>4</v>
      </c>
    </row>
    <row r="2152" spans="1:22" x14ac:dyDescent="0.3">
      <c r="A2152">
        <v>2151</v>
      </c>
      <c r="B2152">
        <v>52449</v>
      </c>
      <c r="C2152" s="2">
        <v>36248</v>
      </c>
      <c r="D2152">
        <v>26</v>
      </c>
      <c r="E2152" t="s">
        <v>36</v>
      </c>
      <c r="F2152" t="s">
        <v>50</v>
      </c>
      <c r="G2152" s="2">
        <v>45624</v>
      </c>
      <c r="H2152" s="3">
        <f t="shared" si="33"/>
        <v>1.6109589041095891</v>
      </c>
      <c r="I2152">
        <v>11</v>
      </c>
      <c r="J2152" t="s">
        <v>38</v>
      </c>
      <c r="K2152" t="s">
        <v>51</v>
      </c>
      <c r="L2152" t="s">
        <v>44</v>
      </c>
      <c r="M2152">
        <v>36.200000000000003</v>
      </c>
      <c r="T2152" t="s">
        <v>45</v>
      </c>
      <c r="U2152">
        <v>0</v>
      </c>
      <c r="V2152">
        <v>4</v>
      </c>
    </row>
    <row r="2153" spans="1:22" x14ac:dyDescent="0.3">
      <c r="A2153">
        <v>2152</v>
      </c>
      <c r="B2153">
        <v>52450</v>
      </c>
      <c r="C2153" s="2">
        <v>36250</v>
      </c>
      <c r="D2153">
        <v>26</v>
      </c>
      <c r="E2153" t="s">
        <v>42</v>
      </c>
      <c r="F2153" t="s">
        <v>50</v>
      </c>
      <c r="G2153" s="2">
        <v>45434</v>
      </c>
      <c r="H2153" s="3">
        <f t="shared" si="33"/>
        <v>1.5698630136986302</v>
      </c>
      <c r="I2153">
        <v>15</v>
      </c>
      <c r="J2153" t="s">
        <v>38</v>
      </c>
      <c r="K2153" t="s">
        <v>51</v>
      </c>
      <c r="L2153" t="s">
        <v>44</v>
      </c>
      <c r="M2153">
        <v>36.200000000000003</v>
      </c>
      <c r="T2153" t="s">
        <v>52</v>
      </c>
      <c r="U2153">
        <v>0</v>
      </c>
      <c r="V2153">
        <v>7</v>
      </c>
    </row>
    <row r="2154" spans="1:22" x14ac:dyDescent="0.3">
      <c r="A2154">
        <v>2153</v>
      </c>
      <c r="B2154">
        <v>52451</v>
      </c>
      <c r="C2154" s="2">
        <v>31987</v>
      </c>
      <c r="D2154">
        <v>38</v>
      </c>
      <c r="E2154" t="s">
        <v>36</v>
      </c>
      <c r="F2154" t="s">
        <v>50</v>
      </c>
      <c r="G2154" s="2">
        <v>45449</v>
      </c>
      <c r="H2154" s="3">
        <f t="shared" si="33"/>
        <v>1.5945205479452054</v>
      </c>
      <c r="I2154">
        <v>48</v>
      </c>
      <c r="J2154" t="s">
        <v>38</v>
      </c>
      <c r="K2154" t="s">
        <v>51</v>
      </c>
      <c r="L2154" t="s">
        <v>44</v>
      </c>
      <c r="M2154">
        <v>36.200000000000003</v>
      </c>
      <c r="T2154" t="s">
        <v>52</v>
      </c>
      <c r="U2154">
        <v>0</v>
      </c>
      <c r="V2154">
        <v>3</v>
      </c>
    </row>
    <row r="2155" spans="1:22" x14ac:dyDescent="0.3">
      <c r="A2155">
        <v>2154</v>
      </c>
      <c r="B2155">
        <v>52452</v>
      </c>
      <c r="C2155" s="2">
        <v>31819</v>
      </c>
      <c r="D2155">
        <v>38</v>
      </c>
      <c r="E2155" t="s">
        <v>36</v>
      </c>
      <c r="F2155" t="s">
        <v>50</v>
      </c>
      <c r="G2155" s="2">
        <v>45440</v>
      </c>
      <c r="H2155" s="3">
        <f t="shared" si="33"/>
        <v>1.0767123287671232</v>
      </c>
      <c r="I2155">
        <v>138</v>
      </c>
      <c r="J2155" t="s">
        <v>57</v>
      </c>
      <c r="K2155" t="s">
        <v>51</v>
      </c>
      <c r="L2155" t="s">
        <v>44</v>
      </c>
      <c r="M2155">
        <v>36.200000000000003</v>
      </c>
      <c r="T2155" t="s">
        <v>52</v>
      </c>
      <c r="U2155">
        <v>0</v>
      </c>
      <c r="V2155">
        <v>4</v>
      </c>
    </row>
    <row r="2156" spans="1:22" x14ac:dyDescent="0.3">
      <c r="A2156">
        <v>2155</v>
      </c>
      <c r="B2156">
        <v>52453</v>
      </c>
      <c r="C2156" s="2">
        <v>34895</v>
      </c>
      <c r="D2156">
        <v>30</v>
      </c>
      <c r="E2156" t="s">
        <v>36</v>
      </c>
      <c r="F2156" t="s">
        <v>50</v>
      </c>
      <c r="G2156" s="2">
        <v>45629</v>
      </c>
      <c r="H2156" s="3">
        <f t="shared" si="33"/>
        <v>1.5616438356164384</v>
      </c>
      <c r="I2156">
        <v>10</v>
      </c>
      <c r="J2156" t="s">
        <v>38</v>
      </c>
      <c r="K2156" t="s">
        <v>51</v>
      </c>
      <c r="L2156" t="s">
        <v>44</v>
      </c>
      <c r="M2156">
        <v>36.200000000000003</v>
      </c>
      <c r="T2156" t="s">
        <v>52</v>
      </c>
      <c r="U2156">
        <v>0</v>
      </c>
      <c r="V2156">
        <v>4</v>
      </c>
    </row>
    <row r="2157" spans="1:22" x14ac:dyDescent="0.3">
      <c r="A2157">
        <v>2156</v>
      </c>
      <c r="B2157">
        <v>52454</v>
      </c>
      <c r="C2157" s="2">
        <v>36294</v>
      </c>
      <c r="D2157">
        <v>26</v>
      </c>
      <c r="E2157" t="s">
        <v>36</v>
      </c>
      <c r="F2157" t="s">
        <v>50</v>
      </c>
      <c r="G2157" s="2">
        <v>45452</v>
      </c>
      <c r="H2157" s="3">
        <f t="shared" si="33"/>
        <v>1.2931506849315069</v>
      </c>
      <c r="I2157">
        <v>86</v>
      </c>
      <c r="J2157" t="s">
        <v>57</v>
      </c>
      <c r="K2157" t="s">
        <v>51</v>
      </c>
      <c r="L2157" t="s">
        <v>44</v>
      </c>
      <c r="M2157">
        <v>36.200000000000003</v>
      </c>
      <c r="T2157" t="s">
        <v>45</v>
      </c>
      <c r="U2157">
        <v>0</v>
      </c>
      <c r="V2157">
        <v>4</v>
      </c>
    </row>
    <row r="2158" spans="1:22" x14ac:dyDescent="0.3">
      <c r="A2158">
        <v>2157</v>
      </c>
      <c r="B2158">
        <v>52455</v>
      </c>
      <c r="C2158" s="2">
        <v>32341</v>
      </c>
      <c r="D2158">
        <v>37</v>
      </c>
      <c r="E2158" t="s">
        <v>42</v>
      </c>
      <c r="F2158" t="s">
        <v>50</v>
      </c>
      <c r="G2158" s="2">
        <v>45550</v>
      </c>
      <c r="H2158" s="3">
        <f t="shared" si="33"/>
        <v>1.6931506849315068</v>
      </c>
      <c r="I2158">
        <v>98</v>
      </c>
      <c r="J2158" t="s">
        <v>57</v>
      </c>
      <c r="K2158" t="s">
        <v>51</v>
      </c>
      <c r="L2158" t="s">
        <v>44</v>
      </c>
      <c r="M2158">
        <v>36.200000000000003</v>
      </c>
      <c r="T2158" t="s">
        <v>49</v>
      </c>
      <c r="U2158">
        <v>0</v>
      </c>
      <c r="V2158">
        <v>5</v>
      </c>
    </row>
    <row r="2159" spans="1:22" x14ac:dyDescent="0.3">
      <c r="A2159">
        <v>2158</v>
      </c>
      <c r="B2159">
        <v>52456</v>
      </c>
      <c r="C2159" s="2">
        <v>34171</v>
      </c>
      <c r="D2159">
        <v>32</v>
      </c>
      <c r="E2159" t="s">
        <v>42</v>
      </c>
      <c r="F2159" t="s">
        <v>50</v>
      </c>
      <c r="G2159" s="2">
        <v>45404</v>
      </c>
      <c r="H2159" s="3">
        <f t="shared" si="33"/>
        <v>1.0438356164383562</v>
      </c>
      <c r="I2159">
        <v>69</v>
      </c>
      <c r="J2159" t="s">
        <v>57</v>
      </c>
      <c r="K2159" t="s">
        <v>51</v>
      </c>
      <c r="L2159" t="s">
        <v>44</v>
      </c>
      <c r="M2159">
        <v>36.200000000000003</v>
      </c>
      <c r="T2159" t="s">
        <v>47</v>
      </c>
      <c r="U2159">
        <v>0</v>
      </c>
      <c r="V2159">
        <v>5</v>
      </c>
    </row>
    <row r="2160" spans="1:22" x14ac:dyDescent="0.3">
      <c r="A2160">
        <v>2159</v>
      </c>
      <c r="B2160">
        <v>52457</v>
      </c>
      <c r="C2160" s="2">
        <v>35410</v>
      </c>
      <c r="D2160">
        <v>29</v>
      </c>
      <c r="E2160" t="s">
        <v>42</v>
      </c>
      <c r="F2160" t="s">
        <v>50</v>
      </c>
      <c r="G2160" s="2">
        <v>45641</v>
      </c>
      <c r="H2160" s="3">
        <f t="shared" si="33"/>
        <v>1.2219178082191782</v>
      </c>
      <c r="I2160">
        <v>126</v>
      </c>
      <c r="J2160" t="s">
        <v>57</v>
      </c>
      <c r="K2160" t="s">
        <v>51</v>
      </c>
      <c r="L2160" t="s">
        <v>44</v>
      </c>
      <c r="M2160">
        <v>36.200000000000003</v>
      </c>
      <c r="T2160" t="s">
        <v>45</v>
      </c>
      <c r="U2160">
        <v>0</v>
      </c>
      <c r="V2160">
        <v>6</v>
      </c>
    </row>
    <row r="2161" spans="1:22" x14ac:dyDescent="0.3">
      <c r="A2161">
        <v>2160</v>
      </c>
      <c r="B2161">
        <v>52458</v>
      </c>
      <c r="C2161" s="2">
        <v>35130</v>
      </c>
      <c r="D2161">
        <v>29</v>
      </c>
      <c r="E2161" t="s">
        <v>36</v>
      </c>
      <c r="F2161" t="s">
        <v>50</v>
      </c>
      <c r="G2161" s="2">
        <v>45576</v>
      </c>
      <c r="H2161" s="3">
        <f t="shared" si="33"/>
        <v>1.0575342465753426</v>
      </c>
      <c r="I2161">
        <v>103</v>
      </c>
      <c r="J2161" t="s">
        <v>57</v>
      </c>
      <c r="K2161" t="s">
        <v>51</v>
      </c>
      <c r="L2161" t="s">
        <v>44</v>
      </c>
      <c r="M2161">
        <v>36.200000000000003</v>
      </c>
      <c r="T2161" t="s">
        <v>47</v>
      </c>
      <c r="U2161">
        <v>0</v>
      </c>
      <c r="V2161">
        <v>5</v>
      </c>
    </row>
    <row r="2162" spans="1:22" x14ac:dyDescent="0.3">
      <c r="A2162">
        <v>2161</v>
      </c>
      <c r="B2162">
        <v>52459</v>
      </c>
      <c r="C2162" s="2">
        <v>33724</v>
      </c>
      <c r="D2162">
        <v>33</v>
      </c>
      <c r="E2162" t="s">
        <v>36</v>
      </c>
      <c r="F2162" t="s">
        <v>50</v>
      </c>
      <c r="G2162" s="2">
        <v>45636</v>
      </c>
      <c r="H2162" s="3">
        <f t="shared" si="33"/>
        <v>1.1123287671232878</v>
      </c>
      <c r="I2162">
        <v>143</v>
      </c>
      <c r="J2162" t="s">
        <v>57</v>
      </c>
      <c r="K2162" t="s">
        <v>51</v>
      </c>
      <c r="L2162" t="s">
        <v>44</v>
      </c>
      <c r="M2162">
        <v>36.200000000000003</v>
      </c>
      <c r="T2162" t="s">
        <v>45</v>
      </c>
      <c r="U2162">
        <v>0</v>
      </c>
      <c r="V2162">
        <v>3</v>
      </c>
    </row>
    <row r="2163" spans="1:22" x14ac:dyDescent="0.3">
      <c r="A2163">
        <v>2162</v>
      </c>
      <c r="B2163">
        <v>52460</v>
      </c>
      <c r="C2163" s="2">
        <v>36274</v>
      </c>
      <c r="D2163">
        <v>26</v>
      </c>
      <c r="E2163" t="s">
        <v>42</v>
      </c>
      <c r="F2163" t="s">
        <v>50</v>
      </c>
      <c r="G2163" s="2">
        <v>45616</v>
      </c>
      <c r="H2163" s="3">
        <f t="shared" si="33"/>
        <v>1.5726027397260274</v>
      </c>
      <c r="I2163">
        <v>113</v>
      </c>
      <c r="J2163" t="s">
        <v>57</v>
      </c>
      <c r="K2163" t="s">
        <v>51</v>
      </c>
      <c r="L2163" t="s">
        <v>44</v>
      </c>
      <c r="M2163">
        <v>36.200000000000003</v>
      </c>
      <c r="T2163" t="s">
        <v>47</v>
      </c>
      <c r="U2163">
        <v>0</v>
      </c>
      <c r="V2163">
        <v>5</v>
      </c>
    </row>
    <row r="2164" spans="1:22" x14ac:dyDescent="0.3">
      <c r="A2164">
        <v>2163</v>
      </c>
      <c r="B2164">
        <v>52461</v>
      </c>
      <c r="C2164" s="2">
        <v>34121</v>
      </c>
      <c r="D2164">
        <v>33</v>
      </c>
      <c r="E2164" t="s">
        <v>36</v>
      </c>
      <c r="F2164" t="s">
        <v>37</v>
      </c>
      <c r="G2164" s="2">
        <v>45448</v>
      </c>
      <c r="H2164" s="3">
        <f t="shared" si="33"/>
        <v>1.3643835616438356</v>
      </c>
      <c r="I2164">
        <v>70</v>
      </c>
      <c r="J2164" t="s">
        <v>57</v>
      </c>
      <c r="K2164" t="s">
        <v>51</v>
      </c>
      <c r="L2164" t="s">
        <v>44</v>
      </c>
      <c r="M2164">
        <v>36.200000000000003</v>
      </c>
      <c r="T2164" t="s">
        <v>47</v>
      </c>
      <c r="U2164">
        <v>0</v>
      </c>
      <c r="V2164">
        <v>5</v>
      </c>
    </row>
    <row r="2165" spans="1:22" x14ac:dyDescent="0.3">
      <c r="A2165">
        <v>2164</v>
      </c>
      <c r="B2165">
        <v>52462</v>
      </c>
      <c r="C2165" s="2">
        <v>32718</v>
      </c>
      <c r="D2165">
        <v>36</v>
      </c>
      <c r="E2165" t="s">
        <v>42</v>
      </c>
      <c r="F2165" t="s">
        <v>50</v>
      </c>
      <c r="G2165" s="2">
        <v>45524</v>
      </c>
      <c r="H2165" s="3">
        <f t="shared" si="33"/>
        <v>1.736986301369863</v>
      </c>
      <c r="I2165">
        <v>107</v>
      </c>
      <c r="J2165" t="s">
        <v>57</v>
      </c>
      <c r="K2165" t="s">
        <v>51</v>
      </c>
      <c r="L2165" t="s">
        <v>44</v>
      </c>
      <c r="M2165">
        <v>36.200000000000003</v>
      </c>
      <c r="T2165" t="s">
        <v>45</v>
      </c>
      <c r="U2165">
        <v>0</v>
      </c>
      <c r="V2165">
        <v>5</v>
      </c>
    </row>
    <row r="2166" spans="1:22" x14ac:dyDescent="0.3">
      <c r="A2166">
        <v>2165</v>
      </c>
      <c r="B2166">
        <v>52463</v>
      </c>
      <c r="C2166" s="2">
        <v>34309</v>
      </c>
      <c r="D2166">
        <v>32</v>
      </c>
      <c r="E2166" t="s">
        <v>36</v>
      </c>
      <c r="F2166" t="s">
        <v>50</v>
      </c>
      <c r="G2166" s="2">
        <v>45388</v>
      </c>
      <c r="H2166" s="3">
        <f t="shared" si="33"/>
        <v>1.7232876712328766</v>
      </c>
      <c r="I2166">
        <v>85</v>
      </c>
      <c r="J2166" t="s">
        <v>57</v>
      </c>
      <c r="K2166" t="s">
        <v>51</v>
      </c>
      <c r="L2166" t="s">
        <v>44</v>
      </c>
      <c r="M2166">
        <v>36.200000000000003</v>
      </c>
      <c r="T2166" t="s">
        <v>52</v>
      </c>
      <c r="U2166">
        <v>0</v>
      </c>
      <c r="V2166">
        <v>4</v>
      </c>
    </row>
    <row r="2167" spans="1:22" x14ac:dyDescent="0.3">
      <c r="A2167">
        <v>2166</v>
      </c>
      <c r="B2167">
        <v>52464</v>
      </c>
      <c r="C2167" s="2">
        <v>34378</v>
      </c>
      <c r="D2167">
        <v>31</v>
      </c>
      <c r="E2167" t="s">
        <v>36</v>
      </c>
      <c r="F2167" t="s">
        <v>50</v>
      </c>
      <c r="G2167" s="2">
        <v>45393</v>
      </c>
      <c r="H2167" s="3">
        <f t="shared" si="33"/>
        <v>1.789041095890411</v>
      </c>
      <c r="I2167">
        <v>131</v>
      </c>
      <c r="J2167" t="s">
        <v>57</v>
      </c>
      <c r="K2167" t="s">
        <v>51</v>
      </c>
      <c r="L2167" t="s">
        <v>44</v>
      </c>
      <c r="M2167">
        <v>36.200000000000003</v>
      </c>
      <c r="T2167" t="s">
        <v>52</v>
      </c>
      <c r="U2167">
        <v>0</v>
      </c>
      <c r="V2167">
        <v>3</v>
      </c>
    </row>
    <row r="2168" spans="1:22" x14ac:dyDescent="0.3">
      <c r="A2168">
        <v>2167</v>
      </c>
      <c r="B2168">
        <v>52465</v>
      </c>
      <c r="C2168" s="2">
        <v>35531</v>
      </c>
      <c r="D2168">
        <v>28</v>
      </c>
      <c r="E2168" t="s">
        <v>36</v>
      </c>
      <c r="F2168" t="s">
        <v>50</v>
      </c>
      <c r="G2168" s="2">
        <v>45369</v>
      </c>
      <c r="H2168" s="3">
        <f t="shared" si="33"/>
        <v>1.4684931506849315</v>
      </c>
      <c r="I2168">
        <v>104</v>
      </c>
      <c r="J2168" t="s">
        <v>57</v>
      </c>
      <c r="K2168" t="s">
        <v>51</v>
      </c>
      <c r="L2168" t="s">
        <v>44</v>
      </c>
      <c r="M2168">
        <v>36.200000000000003</v>
      </c>
      <c r="T2168" t="s">
        <v>52</v>
      </c>
      <c r="U2168">
        <v>0</v>
      </c>
      <c r="V2168">
        <v>4</v>
      </c>
    </row>
    <row r="2169" spans="1:22" x14ac:dyDescent="0.3">
      <c r="A2169">
        <v>2168</v>
      </c>
      <c r="B2169">
        <v>52466</v>
      </c>
      <c r="C2169" s="2">
        <v>32876</v>
      </c>
      <c r="D2169">
        <v>35</v>
      </c>
      <c r="E2169" t="s">
        <v>36</v>
      </c>
      <c r="F2169" t="s">
        <v>50</v>
      </c>
      <c r="G2169" s="2">
        <v>45486</v>
      </c>
      <c r="H2169" s="3">
        <f t="shared" si="33"/>
        <v>1.2164383561643837</v>
      </c>
      <c r="I2169">
        <v>43</v>
      </c>
      <c r="J2169" t="s">
        <v>38</v>
      </c>
      <c r="K2169" t="s">
        <v>51</v>
      </c>
      <c r="L2169" t="s">
        <v>44</v>
      </c>
      <c r="M2169">
        <v>36.200000000000003</v>
      </c>
      <c r="T2169" t="s">
        <v>47</v>
      </c>
      <c r="U2169">
        <v>0</v>
      </c>
      <c r="V2169">
        <v>4</v>
      </c>
    </row>
    <row r="2170" spans="1:22" x14ac:dyDescent="0.3">
      <c r="A2170">
        <v>2169</v>
      </c>
      <c r="B2170">
        <v>52467</v>
      </c>
      <c r="C2170" s="2">
        <v>35735</v>
      </c>
      <c r="D2170">
        <v>29</v>
      </c>
      <c r="E2170" t="s">
        <v>36</v>
      </c>
      <c r="F2170" t="s">
        <v>37</v>
      </c>
      <c r="G2170" s="2">
        <v>45578</v>
      </c>
      <c r="H2170" s="3">
        <f t="shared" si="33"/>
        <v>1.1972602739726028</v>
      </c>
      <c r="I2170">
        <v>96</v>
      </c>
      <c r="J2170" t="s">
        <v>57</v>
      </c>
      <c r="K2170" t="s">
        <v>51</v>
      </c>
      <c r="L2170" t="s">
        <v>44</v>
      </c>
      <c r="M2170">
        <v>36.200000000000003</v>
      </c>
      <c r="T2170" t="s">
        <v>45</v>
      </c>
      <c r="U2170">
        <v>0</v>
      </c>
      <c r="V2170">
        <v>4</v>
      </c>
    </row>
    <row r="2171" spans="1:22" x14ac:dyDescent="0.3">
      <c r="A2171">
        <v>2170</v>
      </c>
      <c r="B2171">
        <v>52468</v>
      </c>
      <c r="C2171" s="2">
        <v>33925</v>
      </c>
      <c r="D2171">
        <v>33</v>
      </c>
      <c r="E2171" t="s">
        <v>36</v>
      </c>
      <c r="F2171" t="s">
        <v>50</v>
      </c>
      <c r="G2171" s="2">
        <v>45585</v>
      </c>
      <c r="H2171" s="3">
        <f t="shared" si="33"/>
        <v>1.4986301369863013</v>
      </c>
      <c r="I2171">
        <v>145</v>
      </c>
      <c r="J2171" t="s">
        <v>57</v>
      </c>
      <c r="K2171" t="s">
        <v>51</v>
      </c>
      <c r="L2171" t="s">
        <v>44</v>
      </c>
      <c r="M2171">
        <v>36.200000000000003</v>
      </c>
      <c r="T2171" t="s">
        <v>45</v>
      </c>
      <c r="U2171">
        <v>0</v>
      </c>
      <c r="V2171">
        <v>5</v>
      </c>
    </row>
    <row r="2172" spans="1:22" x14ac:dyDescent="0.3">
      <c r="A2172">
        <v>2171</v>
      </c>
      <c r="B2172">
        <v>52469</v>
      </c>
      <c r="C2172" s="2">
        <v>35131</v>
      </c>
      <c r="D2172">
        <v>29</v>
      </c>
      <c r="E2172" t="s">
        <v>42</v>
      </c>
      <c r="F2172" t="s">
        <v>37</v>
      </c>
      <c r="G2172" s="2">
        <v>45475</v>
      </c>
      <c r="H2172" s="3">
        <f t="shared" si="33"/>
        <v>1.4684931506849315</v>
      </c>
      <c r="I2172">
        <v>70</v>
      </c>
      <c r="J2172" t="s">
        <v>57</v>
      </c>
      <c r="K2172" t="s">
        <v>51</v>
      </c>
      <c r="L2172" t="s">
        <v>44</v>
      </c>
      <c r="M2172">
        <v>36.200000000000003</v>
      </c>
      <c r="T2172" t="s">
        <v>47</v>
      </c>
      <c r="U2172">
        <v>0</v>
      </c>
      <c r="V2172">
        <v>5</v>
      </c>
    </row>
    <row r="2173" spans="1:22" x14ac:dyDescent="0.3">
      <c r="A2173">
        <v>2172</v>
      </c>
      <c r="B2173">
        <v>52470</v>
      </c>
      <c r="C2173" s="2">
        <v>35506</v>
      </c>
      <c r="D2173">
        <v>28</v>
      </c>
      <c r="E2173" t="s">
        <v>42</v>
      </c>
      <c r="F2173" t="s">
        <v>50</v>
      </c>
      <c r="G2173" s="2">
        <v>45486</v>
      </c>
      <c r="H2173" s="3">
        <f t="shared" si="33"/>
        <v>1</v>
      </c>
      <c r="I2173">
        <v>47</v>
      </c>
      <c r="J2173" t="s">
        <v>38</v>
      </c>
      <c r="K2173" t="s">
        <v>51</v>
      </c>
      <c r="L2173" t="s">
        <v>44</v>
      </c>
      <c r="M2173">
        <v>36.200000000000003</v>
      </c>
      <c r="T2173" t="s">
        <v>52</v>
      </c>
      <c r="U2173">
        <v>0</v>
      </c>
      <c r="V2173">
        <v>5</v>
      </c>
    </row>
    <row r="2174" spans="1:22" x14ac:dyDescent="0.3">
      <c r="A2174">
        <v>2173</v>
      </c>
      <c r="B2174">
        <v>52471</v>
      </c>
      <c r="C2174" s="2">
        <v>29780</v>
      </c>
      <c r="D2174">
        <v>44</v>
      </c>
      <c r="E2174" t="s">
        <v>36</v>
      </c>
      <c r="F2174" t="s">
        <v>50</v>
      </c>
      <c r="G2174" s="2">
        <v>45657</v>
      </c>
      <c r="H2174" s="3">
        <f t="shared" si="33"/>
        <v>1.3397260273972602</v>
      </c>
      <c r="I2174">
        <v>69</v>
      </c>
      <c r="J2174" t="s">
        <v>57</v>
      </c>
      <c r="K2174" t="s">
        <v>51</v>
      </c>
      <c r="L2174" t="s">
        <v>44</v>
      </c>
      <c r="M2174">
        <v>36.200000000000003</v>
      </c>
      <c r="T2174" t="s">
        <v>47</v>
      </c>
      <c r="U2174">
        <v>0</v>
      </c>
      <c r="V2174">
        <v>4</v>
      </c>
    </row>
    <row r="2175" spans="1:22" x14ac:dyDescent="0.3">
      <c r="A2175">
        <v>2174</v>
      </c>
      <c r="B2175">
        <v>52472</v>
      </c>
      <c r="C2175" s="2">
        <v>32668</v>
      </c>
      <c r="D2175">
        <v>36</v>
      </c>
      <c r="E2175" t="s">
        <v>36</v>
      </c>
      <c r="F2175" t="s">
        <v>50</v>
      </c>
      <c r="G2175" s="2">
        <v>45533</v>
      </c>
      <c r="H2175" s="3">
        <f t="shared" si="33"/>
        <v>1.0575342465753426</v>
      </c>
      <c r="I2175">
        <v>90</v>
      </c>
      <c r="J2175" t="s">
        <v>57</v>
      </c>
      <c r="K2175" t="s">
        <v>51</v>
      </c>
      <c r="L2175" t="s">
        <v>44</v>
      </c>
      <c r="M2175">
        <v>36.200000000000003</v>
      </c>
      <c r="T2175" t="s">
        <v>52</v>
      </c>
      <c r="U2175">
        <v>0</v>
      </c>
      <c r="V2175">
        <v>3</v>
      </c>
    </row>
    <row r="2176" spans="1:22" x14ac:dyDescent="0.3">
      <c r="A2176">
        <v>2175</v>
      </c>
      <c r="B2176">
        <v>52473</v>
      </c>
      <c r="C2176" s="2">
        <v>35896</v>
      </c>
      <c r="D2176">
        <v>27</v>
      </c>
      <c r="E2176" t="s">
        <v>42</v>
      </c>
      <c r="F2176" t="s">
        <v>50</v>
      </c>
      <c r="G2176" s="2">
        <v>45636</v>
      </c>
      <c r="H2176" s="3">
        <f t="shared" si="33"/>
        <v>1.6438356164383561</v>
      </c>
      <c r="I2176">
        <v>112</v>
      </c>
      <c r="J2176" t="s">
        <v>57</v>
      </c>
      <c r="K2176" t="s">
        <v>51</v>
      </c>
      <c r="L2176" t="s">
        <v>44</v>
      </c>
      <c r="M2176">
        <v>36.200000000000003</v>
      </c>
      <c r="T2176" t="s">
        <v>45</v>
      </c>
      <c r="U2176">
        <v>0</v>
      </c>
      <c r="V2176">
        <v>5</v>
      </c>
    </row>
    <row r="2177" spans="1:22" x14ac:dyDescent="0.3">
      <c r="A2177">
        <v>2176</v>
      </c>
      <c r="B2177">
        <v>52474</v>
      </c>
      <c r="C2177" s="2">
        <v>35633</v>
      </c>
      <c r="D2177">
        <v>28</v>
      </c>
      <c r="E2177" t="s">
        <v>42</v>
      </c>
      <c r="F2177" t="s">
        <v>37</v>
      </c>
      <c r="G2177" s="2">
        <v>45422</v>
      </c>
      <c r="H2177" s="3">
        <f t="shared" si="33"/>
        <v>1.0301369863013699</v>
      </c>
      <c r="I2177">
        <v>29</v>
      </c>
      <c r="J2177" t="s">
        <v>38</v>
      </c>
      <c r="K2177" t="s">
        <v>51</v>
      </c>
      <c r="L2177" t="s">
        <v>44</v>
      </c>
      <c r="M2177">
        <v>36.200000000000003</v>
      </c>
      <c r="T2177" t="s">
        <v>52</v>
      </c>
      <c r="U2177">
        <v>0</v>
      </c>
      <c r="V2177">
        <v>5</v>
      </c>
    </row>
    <row r="2178" spans="1:22" x14ac:dyDescent="0.3">
      <c r="A2178">
        <v>2177</v>
      </c>
      <c r="B2178">
        <v>52475</v>
      </c>
      <c r="C2178" s="2">
        <v>34878</v>
      </c>
      <c r="D2178">
        <v>30</v>
      </c>
      <c r="E2178" t="s">
        <v>36</v>
      </c>
      <c r="F2178" t="s">
        <v>50</v>
      </c>
      <c r="G2178" s="2">
        <v>45646</v>
      </c>
      <c r="H2178" s="3">
        <f t="shared" si="33"/>
        <v>1.7013698630136986</v>
      </c>
      <c r="I2178">
        <v>37</v>
      </c>
      <c r="J2178" t="s">
        <v>38</v>
      </c>
      <c r="K2178" t="s">
        <v>51</v>
      </c>
      <c r="L2178" t="s">
        <v>44</v>
      </c>
      <c r="M2178">
        <v>36.200000000000003</v>
      </c>
      <c r="T2178" t="s">
        <v>52</v>
      </c>
      <c r="U2178">
        <v>0</v>
      </c>
      <c r="V2178">
        <v>5</v>
      </c>
    </row>
    <row r="2179" spans="1:22" x14ac:dyDescent="0.3">
      <c r="A2179">
        <v>2178</v>
      </c>
      <c r="B2179">
        <v>52476</v>
      </c>
      <c r="C2179" s="2">
        <v>36240</v>
      </c>
      <c r="D2179">
        <v>26</v>
      </c>
      <c r="E2179" t="s">
        <v>36</v>
      </c>
      <c r="F2179" t="s">
        <v>50</v>
      </c>
      <c r="G2179" s="2">
        <v>45401</v>
      </c>
      <c r="H2179" s="3">
        <f t="shared" ref="H2179:H2242" si="34">DATEDIF(G2180,DATE(2025,12,31),"d")/365</f>
        <v>1.1506849315068493</v>
      </c>
      <c r="I2179">
        <v>37</v>
      </c>
      <c r="J2179" t="s">
        <v>38</v>
      </c>
      <c r="K2179" t="s">
        <v>51</v>
      </c>
      <c r="L2179" t="s">
        <v>44</v>
      </c>
      <c r="M2179">
        <v>36.200000000000003</v>
      </c>
      <c r="T2179" t="s">
        <v>47</v>
      </c>
      <c r="U2179">
        <v>0</v>
      </c>
      <c r="V2179">
        <v>4</v>
      </c>
    </row>
    <row r="2180" spans="1:22" x14ac:dyDescent="0.3">
      <c r="A2180">
        <v>2179</v>
      </c>
      <c r="B2180">
        <v>52477</v>
      </c>
      <c r="C2180" s="2">
        <v>33208</v>
      </c>
      <c r="D2180">
        <v>36</v>
      </c>
      <c r="E2180" t="s">
        <v>42</v>
      </c>
      <c r="F2180" t="s">
        <v>50</v>
      </c>
      <c r="G2180" s="2">
        <v>45602</v>
      </c>
      <c r="H2180" s="3">
        <f t="shared" si="34"/>
        <v>1.189041095890411</v>
      </c>
      <c r="I2180">
        <v>46</v>
      </c>
      <c r="J2180" t="s">
        <v>38</v>
      </c>
      <c r="K2180" t="s">
        <v>51</v>
      </c>
      <c r="L2180" t="s">
        <v>44</v>
      </c>
      <c r="M2180">
        <v>36.200000000000003</v>
      </c>
      <c r="T2180" t="s">
        <v>52</v>
      </c>
      <c r="U2180">
        <v>0</v>
      </c>
      <c r="V2180">
        <v>5</v>
      </c>
    </row>
    <row r="2181" spans="1:22" x14ac:dyDescent="0.3">
      <c r="A2181">
        <v>2180</v>
      </c>
      <c r="B2181">
        <v>52478</v>
      </c>
      <c r="C2181" s="2">
        <v>32138</v>
      </c>
      <c r="D2181">
        <v>38</v>
      </c>
      <c r="E2181" t="s">
        <v>36</v>
      </c>
      <c r="F2181" t="s">
        <v>50</v>
      </c>
      <c r="G2181" s="2">
        <v>45588</v>
      </c>
      <c r="H2181" s="3">
        <f t="shared" si="34"/>
        <v>1.3287671232876712</v>
      </c>
      <c r="I2181">
        <v>81</v>
      </c>
      <c r="J2181" t="s">
        <v>57</v>
      </c>
      <c r="K2181" t="s">
        <v>51</v>
      </c>
      <c r="L2181" t="s">
        <v>44</v>
      </c>
      <c r="M2181">
        <v>36.200000000000003</v>
      </c>
      <c r="T2181" t="s">
        <v>45</v>
      </c>
      <c r="U2181">
        <v>0</v>
      </c>
      <c r="V2181">
        <v>3</v>
      </c>
    </row>
    <row r="2182" spans="1:22" x14ac:dyDescent="0.3">
      <c r="A2182">
        <v>2181</v>
      </c>
      <c r="B2182">
        <v>52479</v>
      </c>
      <c r="C2182" s="2">
        <v>34188</v>
      </c>
      <c r="D2182">
        <v>32</v>
      </c>
      <c r="E2182" t="s">
        <v>36</v>
      </c>
      <c r="F2182" t="s">
        <v>50</v>
      </c>
      <c r="G2182" s="2">
        <v>45537</v>
      </c>
      <c r="H2182" s="3">
        <f t="shared" si="34"/>
        <v>1.0301369863013699</v>
      </c>
      <c r="I2182">
        <v>81</v>
      </c>
      <c r="J2182" t="s">
        <v>57</v>
      </c>
      <c r="K2182" t="s">
        <v>51</v>
      </c>
      <c r="L2182" t="s">
        <v>44</v>
      </c>
      <c r="M2182">
        <v>36.200000000000003</v>
      </c>
      <c r="T2182" t="s">
        <v>49</v>
      </c>
      <c r="U2182">
        <v>0</v>
      </c>
      <c r="V2182">
        <v>3</v>
      </c>
    </row>
    <row r="2183" spans="1:22" x14ac:dyDescent="0.3">
      <c r="A2183">
        <v>2182</v>
      </c>
      <c r="B2183">
        <v>52480</v>
      </c>
      <c r="C2183" s="2">
        <v>32870</v>
      </c>
      <c r="D2183">
        <v>36</v>
      </c>
      <c r="E2183" t="s">
        <v>36</v>
      </c>
      <c r="F2183" t="s">
        <v>50</v>
      </c>
      <c r="G2183" s="2">
        <v>45646</v>
      </c>
      <c r="H2183" s="3">
        <f t="shared" si="34"/>
        <v>1.0328767123287672</v>
      </c>
      <c r="I2183">
        <v>95</v>
      </c>
      <c r="J2183" t="s">
        <v>57</v>
      </c>
      <c r="K2183" t="s">
        <v>51</v>
      </c>
      <c r="L2183" t="s">
        <v>44</v>
      </c>
      <c r="M2183">
        <v>36.200000000000003</v>
      </c>
      <c r="T2183" t="s">
        <v>52</v>
      </c>
      <c r="U2183">
        <v>0</v>
      </c>
      <c r="V2183">
        <v>4</v>
      </c>
    </row>
    <row r="2184" spans="1:22" x14ac:dyDescent="0.3">
      <c r="A2184">
        <v>2183</v>
      </c>
      <c r="B2184">
        <v>52481</v>
      </c>
      <c r="C2184" s="2">
        <v>35853</v>
      </c>
      <c r="D2184">
        <v>27</v>
      </c>
      <c r="E2184" t="s">
        <v>42</v>
      </c>
      <c r="F2184" t="s">
        <v>50</v>
      </c>
      <c r="G2184" s="2">
        <v>45645</v>
      </c>
      <c r="H2184" s="3">
        <f t="shared" si="34"/>
        <v>1.3260273972602741</v>
      </c>
      <c r="I2184">
        <v>95</v>
      </c>
      <c r="J2184" t="s">
        <v>57</v>
      </c>
      <c r="K2184" t="s">
        <v>51</v>
      </c>
      <c r="L2184" t="s">
        <v>44</v>
      </c>
      <c r="M2184">
        <v>36.200000000000003</v>
      </c>
      <c r="T2184" t="s">
        <v>45</v>
      </c>
      <c r="U2184">
        <v>0</v>
      </c>
      <c r="V2184">
        <v>5</v>
      </c>
    </row>
    <row r="2185" spans="1:22" x14ac:dyDescent="0.3">
      <c r="A2185">
        <v>2184</v>
      </c>
      <c r="B2185">
        <v>52483</v>
      </c>
      <c r="C2185" s="2">
        <v>30960</v>
      </c>
      <c r="D2185">
        <v>41</v>
      </c>
      <c r="E2185" t="s">
        <v>42</v>
      </c>
      <c r="F2185" t="s">
        <v>50</v>
      </c>
      <c r="G2185" s="2">
        <v>45538</v>
      </c>
      <c r="H2185" s="3">
        <f t="shared" si="34"/>
        <v>1.010958904109589</v>
      </c>
      <c r="I2185">
        <v>133</v>
      </c>
      <c r="J2185" t="s">
        <v>57</v>
      </c>
      <c r="K2185" t="s">
        <v>51</v>
      </c>
      <c r="L2185" t="s">
        <v>44</v>
      </c>
      <c r="M2185">
        <v>36.200000000000003</v>
      </c>
      <c r="T2185" t="s">
        <v>45</v>
      </c>
      <c r="U2185">
        <v>0</v>
      </c>
      <c r="V2185">
        <v>6</v>
      </c>
    </row>
    <row r="2186" spans="1:22" x14ac:dyDescent="0.3">
      <c r="A2186">
        <v>2185</v>
      </c>
      <c r="B2186">
        <v>52484</v>
      </c>
      <c r="C2186" s="2">
        <v>33695</v>
      </c>
      <c r="D2186">
        <v>34</v>
      </c>
      <c r="E2186" t="s">
        <v>36</v>
      </c>
      <c r="F2186" t="s">
        <v>50</v>
      </c>
      <c r="G2186" s="2">
        <v>45653</v>
      </c>
      <c r="H2186" s="3">
        <f t="shared" si="34"/>
        <v>1.0136986301369864</v>
      </c>
      <c r="I2186">
        <v>31</v>
      </c>
      <c r="J2186" t="s">
        <v>38</v>
      </c>
      <c r="K2186" t="s">
        <v>51</v>
      </c>
      <c r="L2186" t="s">
        <v>44</v>
      </c>
      <c r="M2186">
        <v>36.200000000000003</v>
      </c>
      <c r="T2186" t="s">
        <v>45</v>
      </c>
      <c r="U2186">
        <v>0</v>
      </c>
      <c r="V2186">
        <v>4</v>
      </c>
    </row>
    <row r="2187" spans="1:22" x14ac:dyDescent="0.3">
      <c r="A2187">
        <v>2186</v>
      </c>
      <c r="B2187">
        <v>52485</v>
      </c>
      <c r="C2187" s="2">
        <v>31256</v>
      </c>
      <c r="D2187">
        <v>40</v>
      </c>
      <c r="E2187" t="s">
        <v>36</v>
      </c>
      <c r="F2187" t="s">
        <v>50</v>
      </c>
      <c r="G2187" s="2">
        <v>45652</v>
      </c>
      <c r="H2187" s="3">
        <f t="shared" si="34"/>
        <v>1.1178082191780823</v>
      </c>
      <c r="I2187">
        <v>102</v>
      </c>
      <c r="J2187" t="s">
        <v>57</v>
      </c>
      <c r="K2187" t="s">
        <v>51</v>
      </c>
      <c r="L2187" t="s">
        <v>44</v>
      </c>
      <c r="M2187">
        <v>36.200000000000003</v>
      </c>
      <c r="T2187" t="s">
        <v>45</v>
      </c>
      <c r="U2187">
        <v>0</v>
      </c>
      <c r="V2187">
        <v>4</v>
      </c>
    </row>
    <row r="2188" spans="1:22" x14ac:dyDescent="0.3">
      <c r="A2188">
        <v>2187</v>
      </c>
      <c r="B2188">
        <v>52486</v>
      </c>
      <c r="C2188" s="2">
        <v>32918</v>
      </c>
      <c r="D2188">
        <v>35</v>
      </c>
      <c r="E2188" t="s">
        <v>42</v>
      </c>
      <c r="F2188" t="s">
        <v>37</v>
      </c>
      <c r="G2188" s="2">
        <v>45614</v>
      </c>
      <c r="H2188" s="3">
        <f t="shared" si="34"/>
        <v>1.3123287671232877</v>
      </c>
      <c r="I2188">
        <v>28</v>
      </c>
      <c r="J2188" t="s">
        <v>38</v>
      </c>
      <c r="K2188" t="s">
        <v>51</v>
      </c>
      <c r="L2188" t="s">
        <v>44</v>
      </c>
      <c r="M2188">
        <v>36.200000000000003</v>
      </c>
      <c r="T2188" t="s">
        <v>49</v>
      </c>
      <c r="U2188">
        <v>0</v>
      </c>
      <c r="V2188">
        <v>5</v>
      </c>
    </row>
    <row r="2189" spans="1:22" x14ac:dyDescent="0.3">
      <c r="A2189">
        <v>2188</v>
      </c>
      <c r="B2189">
        <v>52487</v>
      </c>
      <c r="C2189" s="2">
        <v>32316</v>
      </c>
      <c r="D2189">
        <v>37</v>
      </c>
      <c r="E2189" t="s">
        <v>42</v>
      </c>
      <c r="F2189" t="s">
        <v>37</v>
      </c>
      <c r="G2189" s="2">
        <v>45543</v>
      </c>
      <c r="H2189" s="3">
        <f t="shared" si="34"/>
        <v>1.3589041095890411</v>
      </c>
      <c r="I2189">
        <v>52</v>
      </c>
      <c r="J2189" t="s">
        <v>38</v>
      </c>
      <c r="K2189" t="s">
        <v>51</v>
      </c>
      <c r="L2189" t="s">
        <v>44</v>
      </c>
      <c r="M2189">
        <v>36.200000000000003</v>
      </c>
      <c r="T2189" t="s">
        <v>52</v>
      </c>
      <c r="U2189">
        <v>0</v>
      </c>
      <c r="V2189">
        <v>5</v>
      </c>
    </row>
    <row r="2190" spans="1:22" x14ac:dyDescent="0.3">
      <c r="A2190">
        <v>2189</v>
      </c>
      <c r="B2190">
        <v>52488</v>
      </c>
      <c r="C2190" s="2">
        <v>29114</v>
      </c>
      <c r="D2190">
        <v>46</v>
      </c>
      <c r="E2190" t="s">
        <v>36</v>
      </c>
      <c r="F2190" t="s">
        <v>37</v>
      </c>
      <c r="G2190" s="2">
        <v>45526</v>
      </c>
      <c r="H2190" s="3">
        <f t="shared" si="34"/>
        <v>1.0383561643835617</v>
      </c>
      <c r="I2190">
        <v>57</v>
      </c>
      <c r="J2190" t="s">
        <v>38</v>
      </c>
      <c r="K2190" t="s">
        <v>51</v>
      </c>
      <c r="L2190" t="s">
        <v>44</v>
      </c>
      <c r="M2190">
        <v>36.200000000000003</v>
      </c>
      <c r="T2190" t="s">
        <v>52</v>
      </c>
      <c r="U2190">
        <v>0</v>
      </c>
      <c r="V2190">
        <v>3</v>
      </c>
    </row>
    <row r="2191" spans="1:22" x14ac:dyDescent="0.3">
      <c r="A2191">
        <v>2190</v>
      </c>
      <c r="B2191">
        <v>52489</v>
      </c>
      <c r="C2191" s="2">
        <v>32962</v>
      </c>
      <c r="D2191">
        <v>35</v>
      </c>
      <c r="E2191" t="s">
        <v>36</v>
      </c>
      <c r="F2191" t="s">
        <v>37</v>
      </c>
      <c r="G2191" s="2">
        <v>45643</v>
      </c>
      <c r="H2191" s="3">
        <f t="shared" si="34"/>
        <v>1.3917808219178083</v>
      </c>
      <c r="I2191">
        <v>57</v>
      </c>
      <c r="J2191" t="s">
        <v>38</v>
      </c>
      <c r="K2191" t="s">
        <v>51</v>
      </c>
      <c r="L2191" t="s">
        <v>44</v>
      </c>
      <c r="M2191">
        <v>36.200000000000003</v>
      </c>
      <c r="T2191" t="s">
        <v>47</v>
      </c>
      <c r="U2191">
        <v>0</v>
      </c>
      <c r="V2191">
        <v>5</v>
      </c>
    </row>
    <row r="2192" spans="1:22" x14ac:dyDescent="0.3">
      <c r="A2192">
        <v>2191</v>
      </c>
      <c r="B2192">
        <v>52491</v>
      </c>
      <c r="C2192" s="2">
        <v>33302</v>
      </c>
      <c r="D2192">
        <v>34</v>
      </c>
      <c r="E2192" t="s">
        <v>36</v>
      </c>
      <c r="F2192" t="s">
        <v>50</v>
      </c>
      <c r="G2192" s="2">
        <v>45514</v>
      </c>
      <c r="H2192" s="3">
        <f t="shared" si="34"/>
        <v>1.1150684931506849</v>
      </c>
      <c r="I2192">
        <v>46</v>
      </c>
      <c r="J2192" t="s">
        <v>38</v>
      </c>
      <c r="K2192" t="s">
        <v>51</v>
      </c>
      <c r="L2192" t="s">
        <v>44</v>
      </c>
      <c r="M2192">
        <v>36.200000000000003</v>
      </c>
      <c r="T2192" t="s">
        <v>47</v>
      </c>
      <c r="U2192">
        <v>0</v>
      </c>
      <c r="V2192">
        <v>3</v>
      </c>
    </row>
    <row r="2193" spans="1:22" x14ac:dyDescent="0.3">
      <c r="A2193">
        <v>2192</v>
      </c>
      <c r="B2193">
        <v>52492</v>
      </c>
      <c r="C2193" s="2">
        <v>36014</v>
      </c>
      <c r="D2193">
        <v>27</v>
      </c>
      <c r="E2193" t="s">
        <v>36</v>
      </c>
      <c r="F2193" t="s">
        <v>50</v>
      </c>
      <c r="G2193" s="2">
        <v>45615</v>
      </c>
      <c r="H2193" s="3">
        <f t="shared" si="34"/>
        <v>1.6931506849315068</v>
      </c>
      <c r="I2193">
        <v>75</v>
      </c>
      <c r="J2193" t="s">
        <v>57</v>
      </c>
      <c r="K2193" t="s">
        <v>51</v>
      </c>
      <c r="L2193" t="s">
        <v>44</v>
      </c>
      <c r="M2193">
        <v>36.200000000000003</v>
      </c>
      <c r="T2193" t="s">
        <v>45</v>
      </c>
      <c r="U2193">
        <v>0</v>
      </c>
      <c r="V2193">
        <v>3</v>
      </c>
    </row>
    <row r="2194" spans="1:22" x14ac:dyDescent="0.3">
      <c r="A2194">
        <v>2193</v>
      </c>
      <c r="B2194">
        <v>52493</v>
      </c>
      <c r="C2194" s="2">
        <v>34564</v>
      </c>
      <c r="D2194">
        <v>31</v>
      </c>
      <c r="E2194" t="s">
        <v>42</v>
      </c>
      <c r="F2194" t="s">
        <v>37</v>
      </c>
      <c r="G2194" s="2">
        <v>45404</v>
      </c>
      <c r="H2194" s="3">
        <f t="shared" si="34"/>
        <v>1.6849315068493151</v>
      </c>
      <c r="I2194">
        <v>64</v>
      </c>
      <c r="J2194" t="s">
        <v>38</v>
      </c>
      <c r="K2194" t="s">
        <v>51</v>
      </c>
      <c r="L2194" t="s">
        <v>44</v>
      </c>
      <c r="M2194">
        <v>36.200000000000003</v>
      </c>
      <c r="T2194" t="s">
        <v>45</v>
      </c>
      <c r="U2194">
        <v>0</v>
      </c>
      <c r="V2194">
        <v>5</v>
      </c>
    </row>
    <row r="2195" spans="1:22" x14ac:dyDescent="0.3">
      <c r="A2195">
        <v>2194</v>
      </c>
      <c r="B2195">
        <v>52496</v>
      </c>
      <c r="C2195" s="2">
        <v>35233</v>
      </c>
      <c r="D2195">
        <v>29</v>
      </c>
      <c r="E2195" t="s">
        <v>42</v>
      </c>
      <c r="F2195" t="s">
        <v>37</v>
      </c>
      <c r="G2195" s="2">
        <v>45407</v>
      </c>
      <c r="H2195" s="3">
        <f t="shared" si="34"/>
        <v>1.5178082191780822</v>
      </c>
      <c r="I2195">
        <v>41</v>
      </c>
      <c r="J2195" t="s">
        <v>38</v>
      </c>
      <c r="K2195" t="s">
        <v>51</v>
      </c>
      <c r="L2195" t="s">
        <v>44</v>
      </c>
      <c r="M2195">
        <v>36.200000000000003</v>
      </c>
      <c r="T2195" t="s">
        <v>52</v>
      </c>
      <c r="U2195">
        <v>0</v>
      </c>
      <c r="V2195">
        <v>3</v>
      </c>
    </row>
    <row r="2196" spans="1:22" x14ac:dyDescent="0.3">
      <c r="A2196">
        <v>2195</v>
      </c>
      <c r="B2196">
        <v>52497</v>
      </c>
      <c r="C2196" s="2">
        <v>35214</v>
      </c>
      <c r="D2196">
        <v>29</v>
      </c>
      <c r="E2196" t="s">
        <v>42</v>
      </c>
      <c r="F2196" t="s">
        <v>50</v>
      </c>
      <c r="G2196" s="2">
        <v>45468</v>
      </c>
      <c r="H2196" s="3">
        <f t="shared" si="34"/>
        <v>1.2219178082191782</v>
      </c>
      <c r="I2196">
        <v>141</v>
      </c>
      <c r="J2196" t="s">
        <v>57</v>
      </c>
      <c r="K2196" t="s">
        <v>51</v>
      </c>
      <c r="L2196" t="s">
        <v>44</v>
      </c>
      <c r="M2196">
        <v>36.200000000000003</v>
      </c>
      <c r="T2196" t="s">
        <v>45</v>
      </c>
      <c r="U2196">
        <v>0</v>
      </c>
      <c r="V2196">
        <v>6</v>
      </c>
    </row>
    <row r="2197" spans="1:22" x14ac:dyDescent="0.3">
      <c r="A2197">
        <v>2196</v>
      </c>
      <c r="B2197">
        <v>52499</v>
      </c>
      <c r="C2197" s="2">
        <v>33592</v>
      </c>
      <c r="D2197">
        <v>34</v>
      </c>
      <c r="E2197" t="s">
        <v>42</v>
      </c>
      <c r="F2197" t="s">
        <v>50</v>
      </c>
      <c r="G2197" s="2">
        <v>45576</v>
      </c>
      <c r="H2197" s="3">
        <f t="shared" si="34"/>
        <v>1</v>
      </c>
      <c r="I2197">
        <v>112</v>
      </c>
      <c r="J2197" t="s">
        <v>57</v>
      </c>
      <c r="K2197" t="s">
        <v>51</v>
      </c>
      <c r="L2197" t="s">
        <v>44</v>
      </c>
      <c r="M2197">
        <v>36.200000000000003</v>
      </c>
      <c r="T2197" t="s">
        <v>49</v>
      </c>
      <c r="U2197">
        <v>0</v>
      </c>
      <c r="V2197">
        <v>5</v>
      </c>
    </row>
    <row r="2198" spans="1:22" x14ac:dyDescent="0.3">
      <c r="A2198">
        <v>2197</v>
      </c>
      <c r="B2198">
        <v>52501</v>
      </c>
      <c r="C2198" s="2">
        <v>34622</v>
      </c>
      <c r="D2198">
        <v>31</v>
      </c>
      <c r="E2198" t="s">
        <v>36</v>
      </c>
      <c r="F2198" t="s">
        <v>50</v>
      </c>
      <c r="G2198" s="2">
        <v>45657</v>
      </c>
      <c r="H2198" s="3">
        <f t="shared" si="34"/>
        <v>1.3479452054794521</v>
      </c>
      <c r="I2198">
        <v>95</v>
      </c>
      <c r="J2198" t="s">
        <v>57</v>
      </c>
      <c r="K2198" t="s">
        <v>51</v>
      </c>
      <c r="L2198" t="s">
        <v>44</v>
      </c>
      <c r="M2198">
        <v>36.200000000000003</v>
      </c>
      <c r="T2198" t="s">
        <v>52</v>
      </c>
      <c r="U2198">
        <v>0</v>
      </c>
      <c r="V2198">
        <v>3</v>
      </c>
    </row>
    <row r="2199" spans="1:22" x14ac:dyDescent="0.3">
      <c r="A2199">
        <v>2198</v>
      </c>
      <c r="B2199">
        <v>52502</v>
      </c>
      <c r="C2199" s="2">
        <v>36050</v>
      </c>
      <c r="D2199">
        <v>27</v>
      </c>
      <c r="E2199" t="s">
        <v>36</v>
      </c>
      <c r="F2199" t="s">
        <v>50</v>
      </c>
      <c r="G2199" s="2">
        <v>45530</v>
      </c>
      <c r="H2199" s="3">
        <f t="shared" si="34"/>
        <v>1.558904109589041</v>
      </c>
      <c r="I2199">
        <v>122</v>
      </c>
      <c r="J2199" t="s">
        <v>57</v>
      </c>
      <c r="K2199" t="s">
        <v>51</v>
      </c>
      <c r="L2199" t="s">
        <v>44</v>
      </c>
      <c r="M2199">
        <v>36.200000000000003</v>
      </c>
      <c r="T2199" t="s">
        <v>52</v>
      </c>
      <c r="U2199">
        <v>0</v>
      </c>
      <c r="V2199">
        <v>5</v>
      </c>
    </row>
    <row r="2200" spans="1:22" x14ac:dyDescent="0.3">
      <c r="A2200">
        <v>2199</v>
      </c>
      <c r="B2200">
        <v>52503</v>
      </c>
      <c r="C2200" s="2">
        <v>31348</v>
      </c>
      <c r="D2200">
        <v>40</v>
      </c>
      <c r="E2200" t="s">
        <v>42</v>
      </c>
      <c r="F2200" t="s">
        <v>50</v>
      </c>
      <c r="G2200" s="2">
        <v>45453</v>
      </c>
      <c r="H2200" s="3">
        <f t="shared" si="34"/>
        <v>1.0547945205479452</v>
      </c>
      <c r="I2200">
        <v>55</v>
      </c>
      <c r="J2200" t="s">
        <v>38</v>
      </c>
      <c r="K2200" t="s">
        <v>51</v>
      </c>
      <c r="L2200" t="s">
        <v>44</v>
      </c>
      <c r="M2200">
        <v>36.200000000000003</v>
      </c>
      <c r="T2200" t="s">
        <v>52</v>
      </c>
      <c r="U2200">
        <v>0</v>
      </c>
      <c r="V2200">
        <v>5</v>
      </c>
    </row>
    <row r="2201" spans="1:22" x14ac:dyDescent="0.3">
      <c r="A2201">
        <v>2200</v>
      </c>
      <c r="B2201">
        <v>52504</v>
      </c>
      <c r="C2201" s="2">
        <v>33062</v>
      </c>
      <c r="D2201">
        <v>35</v>
      </c>
      <c r="E2201" t="s">
        <v>42</v>
      </c>
      <c r="F2201" t="s">
        <v>50</v>
      </c>
      <c r="G2201" s="2">
        <v>45637</v>
      </c>
      <c r="H2201" s="3">
        <f t="shared" si="34"/>
        <v>1.1561643835616437</v>
      </c>
      <c r="I2201">
        <v>92</v>
      </c>
      <c r="J2201" t="s">
        <v>57</v>
      </c>
      <c r="K2201" t="s">
        <v>51</v>
      </c>
      <c r="L2201" t="s">
        <v>44</v>
      </c>
      <c r="M2201">
        <v>36.200000000000003</v>
      </c>
      <c r="T2201" t="s">
        <v>45</v>
      </c>
      <c r="U2201">
        <v>0</v>
      </c>
      <c r="V2201">
        <v>6</v>
      </c>
    </row>
    <row r="2202" spans="1:22" x14ac:dyDescent="0.3">
      <c r="A2202">
        <v>2201</v>
      </c>
      <c r="B2202">
        <v>52505</v>
      </c>
      <c r="C2202" s="2">
        <v>35034</v>
      </c>
      <c r="D2202">
        <v>31</v>
      </c>
      <c r="E2202" t="s">
        <v>36</v>
      </c>
      <c r="F2202" t="s">
        <v>50</v>
      </c>
      <c r="G2202" s="2">
        <v>45600</v>
      </c>
      <c r="H2202" s="3">
        <f t="shared" si="34"/>
        <v>1.5205479452054795</v>
      </c>
      <c r="I2202">
        <v>133</v>
      </c>
      <c r="J2202" t="s">
        <v>57</v>
      </c>
      <c r="K2202" t="s">
        <v>51</v>
      </c>
      <c r="L2202" t="s">
        <v>44</v>
      </c>
      <c r="M2202">
        <v>36.200000000000003</v>
      </c>
      <c r="T2202" t="s">
        <v>45</v>
      </c>
      <c r="U2202">
        <v>0</v>
      </c>
      <c r="V2202">
        <v>4</v>
      </c>
    </row>
    <row r="2203" spans="1:22" x14ac:dyDescent="0.3">
      <c r="A2203">
        <v>2202</v>
      </c>
      <c r="B2203">
        <v>52506</v>
      </c>
      <c r="C2203" s="2">
        <v>32436</v>
      </c>
      <c r="D2203">
        <v>37</v>
      </c>
      <c r="E2203" t="s">
        <v>42</v>
      </c>
      <c r="F2203" t="s">
        <v>50</v>
      </c>
      <c r="G2203" s="2">
        <v>45467</v>
      </c>
      <c r="H2203" s="3">
        <f t="shared" si="34"/>
        <v>1.6794520547945206</v>
      </c>
      <c r="I2203">
        <v>23</v>
      </c>
      <c r="J2203" t="s">
        <v>38</v>
      </c>
      <c r="K2203" t="s">
        <v>51</v>
      </c>
      <c r="L2203" t="s">
        <v>44</v>
      </c>
      <c r="M2203">
        <v>36.200000000000003</v>
      </c>
      <c r="T2203" t="s">
        <v>49</v>
      </c>
      <c r="U2203">
        <v>0</v>
      </c>
      <c r="V2203">
        <v>5</v>
      </c>
    </row>
    <row r="2204" spans="1:22" x14ac:dyDescent="0.3">
      <c r="A2204">
        <v>2203</v>
      </c>
      <c r="B2204">
        <v>52507</v>
      </c>
      <c r="C2204" s="2">
        <v>33959</v>
      </c>
      <c r="D2204">
        <v>33</v>
      </c>
      <c r="E2204" t="s">
        <v>42</v>
      </c>
      <c r="F2204" t="s">
        <v>50</v>
      </c>
      <c r="G2204" s="2">
        <v>45409</v>
      </c>
      <c r="H2204" s="3">
        <f t="shared" si="34"/>
        <v>1.3013698630136987</v>
      </c>
      <c r="I2204">
        <v>52</v>
      </c>
      <c r="J2204" t="s">
        <v>38</v>
      </c>
      <c r="K2204" t="s">
        <v>51</v>
      </c>
      <c r="L2204" t="s">
        <v>44</v>
      </c>
      <c r="M2204">
        <v>36.200000000000003</v>
      </c>
      <c r="T2204" t="s">
        <v>49</v>
      </c>
      <c r="U2204">
        <v>0</v>
      </c>
      <c r="V2204">
        <v>7</v>
      </c>
    </row>
    <row r="2205" spans="1:22" x14ac:dyDescent="0.3">
      <c r="A2205">
        <v>2204</v>
      </c>
      <c r="B2205">
        <v>52508</v>
      </c>
      <c r="C2205" s="2">
        <v>34901</v>
      </c>
      <c r="D2205">
        <v>30</v>
      </c>
      <c r="E2205" t="s">
        <v>36</v>
      </c>
      <c r="F2205" t="s">
        <v>50</v>
      </c>
      <c r="G2205" s="2">
        <v>45547</v>
      </c>
      <c r="H2205" s="3">
        <f t="shared" si="34"/>
        <v>1.1123287671232878</v>
      </c>
      <c r="I2205">
        <v>127</v>
      </c>
      <c r="J2205" t="s">
        <v>57</v>
      </c>
      <c r="K2205" t="s">
        <v>51</v>
      </c>
      <c r="L2205" t="s">
        <v>44</v>
      </c>
      <c r="M2205">
        <v>36.200000000000003</v>
      </c>
      <c r="T2205" t="s">
        <v>52</v>
      </c>
      <c r="U2205">
        <v>0</v>
      </c>
      <c r="V2205">
        <v>5</v>
      </c>
    </row>
    <row r="2206" spans="1:22" x14ac:dyDescent="0.3">
      <c r="A2206">
        <v>2205</v>
      </c>
      <c r="B2206">
        <v>52509</v>
      </c>
      <c r="C2206" s="2">
        <v>30210</v>
      </c>
      <c r="D2206">
        <v>43</v>
      </c>
      <c r="E2206" t="s">
        <v>36</v>
      </c>
      <c r="F2206" t="s">
        <v>50</v>
      </c>
      <c r="G2206" s="2">
        <v>45616</v>
      </c>
      <c r="H2206" s="3">
        <f t="shared" si="34"/>
        <v>1.7753424657534247</v>
      </c>
      <c r="I2206">
        <v>23</v>
      </c>
      <c r="J2206" t="s">
        <v>38</v>
      </c>
      <c r="K2206" t="s">
        <v>51</v>
      </c>
      <c r="L2206" t="s">
        <v>44</v>
      </c>
      <c r="M2206">
        <v>36.200000000000003</v>
      </c>
      <c r="T2206" t="s">
        <v>45</v>
      </c>
      <c r="U2206">
        <v>0</v>
      </c>
      <c r="V2206">
        <v>4</v>
      </c>
    </row>
    <row r="2207" spans="1:22" x14ac:dyDescent="0.3">
      <c r="A2207">
        <v>2206</v>
      </c>
      <c r="B2207">
        <v>52510</v>
      </c>
      <c r="C2207" s="2">
        <v>35377</v>
      </c>
      <c r="D2207">
        <v>29</v>
      </c>
      <c r="E2207" t="s">
        <v>36</v>
      </c>
      <c r="F2207" t="s">
        <v>50</v>
      </c>
      <c r="G2207" s="2">
        <v>45374</v>
      </c>
      <c r="H2207" s="3">
        <f t="shared" si="34"/>
        <v>1.3561643835616439</v>
      </c>
      <c r="I2207">
        <v>42</v>
      </c>
      <c r="J2207" t="s">
        <v>38</v>
      </c>
      <c r="K2207" t="s">
        <v>51</v>
      </c>
      <c r="L2207" t="s">
        <v>44</v>
      </c>
      <c r="M2207">
        <v>36.200000000000003</v>
      </c>
      <c r="T2207" t="s">
        <v>45</v>
      </c>
      <c r="U2207">
        <v>0</v>
      </c>
      <c r="V2207">
        <v>4</v>
      </c>
    </row>
    <row r="2208" spans="1:22" x14ac:dyDescent="0.3">
      <c r="A2208">
        <v>2207</v>
      </c>
      <c r="B2208">
        <v>52511</v>
      </c>
      <c r="C2208" s="2">
        <v>34072</v>
      </c>
      <c r="D2208">
        <v>32</v>
      </c>
      <c r="E2208" t="s">
        <v>42</v>
      </c>
      <c r="F2208" t="s">
        <v>50</v>
      </c>
      <c r="G2208" s="2">
        <v>45527</v>
      </c>
      <c r="H2208" s="3">
        <f t="shared" si="34"/>
        <v>1.7780821917808218</v>
      </c>
      <c r="I2208">
        <v>44</v>
      </c>
      <c r="J2208" t="s">
        <v>38</v>
      </c>
      <c r="K2208" t="s">
        <v>51</v>
      </c>
      <c r="L2208" t="s">
        <v>44</v>
      </c>
      <c r="M2208">
        <v>36.200000000000003</v>
      </c>
      <c r="T2208" t="s">
        <v>49</v>
      </c>
      <c r="U2208">
        <v>0</v>
      </c>
      <c r="V2208">
        <v>6</v>
      </c>
    </row>
    <row r="2209" spans="1:22" x14ac:dyDescent="0.3">
      <c r="A2209">
        <v>2208</v>
      </c>
      <c r="B2209">
        <v>52512</v>
      </c>
      <c r="C2209" s="2">
        <v>33797</v>
      </c>
      <c r="D2209">
        <v>33</v>
      </c>
      <c r="E2209" t="s">
        <v>36</v>
      </c>
      <c r="F2209" t="s">
        <v>50</v>
      </c>
      <c r="G2209" s="2">
        <v>45373</v>
      </c>
      <c r="H2209" s="3">
        <f t="shared" si="34"/>
        <v>1.1753424657534246</v>
      </c>
      <c r="I2209">
        <v>77</v>
      </c>
      <c r="J2209" t="s">
        <v>57</v>
      </c>
      <c r="K2209" t="s">
        <v>51</v>
      </c>
      <c r="L2209" t="s">
        <v>44</v>
      </c>
      <c r="M2209">
        <v>36.200000000000003</v>
      </c>
      <c r="T2209" t="s">
        <v>47</v>
      </c>
      <c r="U2209">
        <v>0</v>
      </c>
      <c r="V2209">
        <v>5</v>
      </c>
    </row>
    <row r="2210" spans="1:22" x14ac:dyDescent="0.3">
      <c r="A2210">
        <v>2209</v>
      </c>
      <c r="B2210">
        <v>52513</v>
      </c>
      <c r="C2210" s="2">
        <v>34234</v>
      </c>
      <c r="D2210">
        <v>32</v>
      </c>
      <c r="E2210" t="s">
        <v>36</v>
      </c>
      <c r="F2210" t="s">
        <v>50</v>
      </c>
      <c r="G2210" s="2">
        <v>45593</v>
      </c>
      <c r="H2210" s="3">
        <f t="shared" si="34"/>
        <v>1.2876712328767124</v>
      </c>
      <c r="I2210">
        <v>78</v>
      </c>
      <c r="J2210" t="s">
        <v>57</v>
      </c>
      <c r="K2210" t="s">
        <v>51</v>
      </c>
      <c r="L2210" t="s">
        <v>44</v>
      </c>
      <c r="M2210">
        <v>36.200000000000003</v>
      </c>
      <c r="T2210" t="s">
        <v>49</v>
      </c>
      <c r="U2210">
        <v>0</v>
      </c>
      <c r="V2210">
        <v>4</v>
      </c>
    </row>
    <row r="2211" spans="1:22" x14ac:dyDescent="0.3">
      <c r="A2211">
        <v>2210</v>
      </c>
      <c r="B2211">
        <v>52514</v>
      </c>
      <c r="C2211" s="2">
        <v>35175</v>
      </c>
      <c r="D2211">
        <v>29</v>
      </c>
      <c r="E2211" t="s">
        <v>36</v>
      </c>
      <c r="F2211" t="s">
        <v>50</v>
      </c>
      <c r="G2211" s="2">
        <v>45552</v>
      </c>
      <c r="H2211" s="3">
        <f t="shared" si="34"/>
        <v>1.6739726027397259</v>
      </c>
      <c r="I2211">
        <v>7</v>
      </c>
      <c r="J2211" t="s">
        <v>38</v>
      </c>
      <c r="K2211" t="s">
        <v>51</v>
      </c>
      <c r="L2211" t="s">
        <v>44</v>
      </c>
      <c r="M2211">
        <v>36.200000000000003</v>
      </c>
      <c r="T2211" t="s">
        <v>47</v>
      </c>
      <c r="U2211">
        <v>0</v>
      </c>
      <c r="V2211">
        <v>5</v>
      </c>
    </row>
    <row r="2212" spans="1:22" x14ac:dyDescent="0.3">
      <c r="A2212">
        <v>2211</v>
      </c>
      <c r="B2212">
        <v>52515</v>
      </c>
      <c r="C2212" s="2">
        <v>36357</v>
      </c>
      <c r="D2212">
        <v>26</v>
      </c>
      <c r="E2212" t="s">
        <v>36</v>
      </c>
      <c r="F2212" t="s">
        <v>50</v>
      </c>
      <c r="G2212" s="2">
        <v>45411</v>
      </c>
      <c r="H2212" s="3">
        <f t="shared" si="34"/>
        <v>1.6575342465753424</v>
      </c>
      <c r="I2212">
        <v>14</v>
      </c>
      <c r="J2212" t="s">
        <v>38</v>
      </c>
      <c r="K2212" t="s">
        <v>51</v>
      </c>
      <c r="L2212" t="s">
        <v>44</v>
      </c>
      <c r="M2212">
        <v>36.200000000000003</v>
      </c>
      <c r="T2212" t="s">
        <v>47</v>
      </c>
      <c r="U2212">
        <v>0</v>
      </c>
      <c r="V2212">
        <v>5</v>
      </c>
    </row>
    <row r="2213" spans="1:22" x14ac:dyDescent="0.3">
      <c r="A2213">
        <v>2212</v>
      </c>
      <c r="B2213">
        <v>52516</v>
      </c>
      <c r="C2213" s="2">
        <v>35343</v>
      </c>
      <c r="D2213">
        <v>29</v>
      </c>
      <c r="E2213" t="s">
        <v>42</v>
      </c>
      <c r="F2213" t="s">
        <v>50</v>
      </c>
      <c r="G2213" s="2">
        <v>45417</v>
      </c>
      <c r="H2213" s="3">
        <f t="shared" si="34"/>
        <v>1.1616438356164382</v>
      </c>
      <c r="I2213">
        <v>14</v>
      </c>
      <c r="J2213" t="s">
        <v>38</v>
      </c>
      <c r="K2213" t="s">
        <v>51</v>
      </c>
      <c r="L2213" t="s">
        <v>44</v>
      </c>
      <c r="M2213">
        <v>36.200000000000003</v>
      </c>
      <c r="T2213" t="s">
        <v>45</v>
      </c>
      <c r="U2213">
        <v>0</v>
      </c>
      <c r="V2213">
        <v>5</v>
      </c>
    </row>
    <row r="2214" spans="1:22" x14ac:dyDescent="0.3">
      <c r="A2214">
        <v>2213</v>
      </c>
      <c r="B2214">
        <v>52517</v>
      </c>
      <c r="C2214" s="2">
        <v>28991</v>
      </c>
      <c r="D2214">
        <v>46</v>
      </c>
      <c r="E2214" t="s">
        <v>42</v>
      </c>
      <c r="F2214" t="s">
        <v>50</v>
      </c>
      <c r="G2214" s="2">
        <v>45598</v>
      </c>
      <c r="H2214" s="3">
        <f t="shared" si="34"/>
        <v>1.3561643835616439</v>
      </c>
      <c r="I2214">
        <v>76</v>
      </c>
      <c r="J2214" t="s">
        <v>57</v>
      </c>
      <c r="K2214" t="s">
        <v>51</v>
      </c>
      <c r="L2214" t="s">
        <v>44</v>
      </c>
      <c r="M2214">
        <v>36.200000000000003</v>
      </c>
      <c r="T2214" t="s">
        <v>52</v>
      </c>
      <c r="U2214">
        <v>0</v>
      </c>
      <c r="V2214">
        <v>6</v>
      </c>
    </row>
    <row r="2215" spans="1:22" x14ac:dyDescent="0.3">
      <c r="A2215">
        <v>2214</v>
      </c>
      <c r="B2215">
        <v>52518</v>
      </c>
      <c r="C2215" s="2">
        <v>35861</v>
      </c>
      <c r="D2215">
        <v>27</v>
      </c>
      <c r="E2215" t="s">
        <v>42</v>
      </c>
      <c r="F2215" t="s">
        <v>50</v>
      </c>
      <c r="G2215" s="2">
        <v>45527</v>
      </c>
      <c r="H2215" s="3">
        <f t="shared" si="34"/>
        <v>1.4191780821917808</v>
      </c>
      <c r="I2215">
        <v>101</v>
      </c>
      <c r="J2215" t="s">
        <v>57</v>
      </c>
      <c r="K2215" t="s">
        <v>51</v>
      </c>
      <c r="L2215" t="s">
        <v>44</v>
      </c>
      <c r="M2215">
        <v>36.200000000000003</v>
      </c>
      <c r="T2215" t="s">
        <v>45</v>
      </c>
      <c r="U2215">
        <v>0</v>
      </c>
      <c r="V2215">
        <v>6</v>
      </c>
    </row>
    <row r="2216" spans="1:22" x14ac:dyDescent="0.3">
      <c r="A2216">
        <v>2215</v>
      </c>
      <c r="B2216">
        <v>52519</v>
      </c>
      <c r="C2216" s="2">
        <v>32699</v>
      </c>
      <c r="D2216">
        <v>36</v>
      </c>
      <c r="E2216" t="s">
        <v>42</v>
      </c>
      <c r="F2216" t="s">
        <v>50</v>
      </c>
      <c r="G2216" s="2">
        <v>45504</v>
      </c>
      <c r="H2216" s="3">
        <f t="shared" si="34"/>
        <v>1.3342465753424657</v>
      </c>
      <c r="I2216">
        <v>12</v>
      </c>
      <c r="J2216" t="s">
        <v>38</v>
      </c>
      <c r="K2216" t="s">
        <v>51</v>
      </c>
      <c r="L2216" t="s">
        <v>44</v>
      </c>
      <c r="M2216">
        <v>36.200000000000003</v>
      </c>
      <c r="T2216" t="s">
        <v>47</v>
      </c>
      <c r="U2216">
        <v>0</v>
      </c>
      <c r="V2216">
        <v>6</v>
      </c>
    </row>
    <row r="2217" spans="1:22" x14ac:dyDescent="0.3">
      <c r="A2217">
        <v>2216</v>
      </c>
      <c r="B2217">
        <v>52520</v>
      </c>
      <c r="C2217" s="2">
        <v>33757</v>
      </c>
      <c r="D2217">
        <v>33</v>
      </c>
      <c r="E2217" t="s">
        <v>36</v>
      </c>
      <c r="F2217" t="s">
        <v>50</v>
      </c>
      <c r="G2217" s="2">
        <v>45535</v>
      </c>
      <c r="H2217" s="3">
        <f t="shared" si="34"/>
        <v>1.3671232876712329</v>
      </c>
      <c r="I2217">
        <v>39</v>
      </c>
      <c r="J2217" t="s">
        <v>38</v>
      </c>
      <c r="K2217" t="s">
        <v>51</v>
      </c>
      <c r="L2217" t="s">
        <v>44</v>
      </c>
      <c r="M2217">
        <v>36.200000000000003</v>
      </c>
      <c r="T2217" t="s">
        <v>47</v>
      </c>
      <c r="U2217">
        <v>0</v>
      </c>
      <c r="V2217">
        <v>4</v>
      </c>
    </row>
    <row r="2218" spans="1:22" x14ac:dyDescent="0.3">
      <c r="A2218">
        <v>2217</v>
      </c>
      <c r="B2218">
        <v>52521</v>
      </c>
      <c r="C2218" s="2">
        <v>35504</v>
      </c>
      <c r="D2218">
        <v>28</v>
      </c>
      <c r="E2218" t="s">
        <v>36</v>
      </c>
      <c r="F2218" t="s">
        <v>50</v>
      </c>
      <c r="G2218" s="2">
        <v>45523</v>
      </c>
      <c r="H2218" s="3">
        <f t="shared" si="34"/>
        <v>1.3972602739726028</v>
      </c>
      <c r="I2218">
        <v>76</v>
      </c>
      <c r="J2218" t="s">
        <v>57</v>
      </c>
      <c r="K2218" t="s">
        <v>51</v>
      </c>
      <c r="L2218" t="s">
        <v>44</v>
      </c>
      <c r="M2218">
        <v>36.200000000000003</v>
      </c>
      <c r="T2218" t="s">
        <v>49</v>
      </c>
      <c r="U2218">
        <v>0</v>
      </c>
      <c r="V2218">
        <v>4</v>
      </c>
    </row>
    <row r="2219" spans="1:22" x14ac:dyDescent="0.3">
      <c r="A2219">
        <v>2218</v>
      </c>
      <c r="B2219">
        <v>52522</v>
      </c>
      <c r="C2219" s="2">
        <v>35473</v>
      </c>
      <c r="D2219">
        <v>28</v>
      </c>
      <c r="E2219" t="s">
        <v>36</v>
      </c>
      <c r="F2219" t="s">
        <v>50</v>
      </c>
      <c r="G2219" s="2">
        <v>45512</v>
      </c>
      <c r="H2219" s="3">
        <f t="shared" si="34"/>
        <v>1.3041095890410959</v>
      </c>
      <c r="I2219">
        <v>91</v>
      </c>
      <c r="J2219" t="s">
        <v>57</v>
      </c>
      <c r="K2219" t="s">
        <v>51</v>
      </c>
      <c r="L2219" t="s">
        <v>44</v>
      </c>
      <c r="M2219">
        <v>36.200000000000003</v>
      </c>
      <c r="T2219" t="s">
        <v>52</v>
      </c>
      <c r="U2219">
        <v>0</v>
      </c>
      <c r="V2219">
        <v>4</v>
      </c>
    </row>
    <row r="2220" spans="1:22" x14ac:dyDescent="0.3">
      <c r="A2220">
        <v>2219</v>
      </c>
      <c r="B2220">
        <v>52523</v>
      </c>
      <c r="C2220" s="2">
        <v>36228</v>
      </c>
      <c r="D2220">
        <v>26</v>
      </c>
      <c r="E2220" t="s">
        <v>36</v>
      </c>
      <c r="F2220" t="s">
        <v>37</v>
      </c>
      <c r="G2220" s="2">
        <v>45546</v>
      </c>
      <c r="H2220" s="3">
        <f t="shared" si="34"/>
        <v>1.1013698630136985</v>
      </c>
      <c r="I2220">
        <v>112</v>
      </c>
      <c r="J2220" t="s">
        <v>57</v>
      </c>
      <c r="K2220" t="s">
        <v>51</v>
      </c>
      <c r="L2220" t="s">
        <v>44</v>
      </c>
      <c r="M2220">
        <v>36.200000000000003</v>
      </c>
      <c r="T2220" t="s">
        <v>52</v>
      </c>
      <c r="U2220">
        <v>0</v>
      </c>
      <c r="V2220">
        <v>3</v>
      </c>
    </row>
    <row r="2221" spans="1:22" x14ac:dyDescent="0.3">
      <c r="A2221">
        <v>2220</v>
      </c>
      <c r="B2221">
        <v>52524</v>
      </c>
      <c r="C2221" s="2">
        <v>36059</v>
      </c>
      <c r="D2221">
        <v>27</v>
      </c>
      <c r="E2221" t="s">
        <v>42</v>
      </c>
      <c r="F2221" t="s">
        <v>50</v>
      </c>
      <c r="G2221" s="2">
        <v>45620</v>
      </c>
      <c r="H2221" s="3">
        <f t="shared" si="34"/>
        <v>1.1287671232876713</v>
      </c>
      <c r="I2221">
        <v>124</v>
      </c>
      <c r="J2221" t="s">
        <v>57</v>
      </c>
      <c r="K2221" t="s">
        <v>51</v>
      </c>
      <c r="L2221" t="s">
        <v>44</v>
      </c>
      <c r="M2221">
        <v>36.200000000000003</v>
      </c>
      <c r="T2221" t="s">
        <v>52</v>
      </c>
      <c r="U2221">
        <v>0</v>
      </c>
      <c r="V2221">
        <v>5</v>
      </c>
    </row>
    <row r="2222" spans="1:22" x14ac:dyDescent="0.3">
      <c r="A2222">
        <v>2221</v>
      </c>
      <c r="B2222">
        <v>52525</v>
      </c>
      <c r="C2222" s="2">
        <v>32467</v>
      </c>
      <c r="D2222">
        <v>37</v>
      </c>
      <c r="E2222" t="s">
        <v>36</v>
      </c>
      <c r="F2222" t="s">
        <v>50</v>
      </c>
      <c r="G2222" s="2">
        <v>45610</v>
      </c>
      <c r="H2222" s="3">
        <f t="shared" si="34"/>
        <v>1.0931506849315069</v>
      </c>
      <c r="I2222">
        <v>139</v>
      </c>
      <c r="J2222" t="s">
        <v>57</v>
      </c>
      <c r="K2222" t="s">
        <v>51</v>
      </c>
      <c r="L2222" t="s">
        <v>44</v>
      </c>
      <c r="M2222">
        <v>36.200000000000003</v>
      </c>
      <c r="T2222" t="s">
        <v>45</v>
      </c>
      <c r="U2222">
        <v>0</v>
      </c>
      <c r="V2222">
        <v>4</v>
      </c>
    </row>
    <row r="2223" spans="1:22" x14ac:dyDescent="0.3">
      <c r="A2223">
        <v>2222</v>
      </c>
      <c r="B2223">
        <v>52526</v>
      </c>
      <c r="C2223" s="2">
        <v>35100</v>
      </c>
      <c r="D2223">
        <v>29</v>
      </c>
      <c r="E2223" t="s">
        <v>42</v>
      </c>
      <c r="F2223" t="s">
        <v>50</v>
      </c>
      <c r="G2223" s="2">
        <v>45623</v>
      </c>
      <c r="H2223" s="3">
        <f t="shared" si="34"/>
        <v>1.5835616438356164</v>
      </c>
      <c r="I2223">
        <v>31</v>
      </c>
      <c r="J2223" t="s">
        <v>38</v>
      </c>
      <c r="K2223" t="s">
        <v>51</v>
      </c>
      <c r="L2223" t="s">
        <v>44</v>
      </c>
      <c r="M2223">
        <v>36.200000000000003</v>
      </c>
      <c r="T2223" t="s">
        <v>52</v>
      </c>
      <c r="U2223">
        <v>0</v>
      </c>
      <c r="V2223">
        <v>6</v>
      </c>
    </row>
    <row r="2224" spans="1:22" x14ac:dyDescent="0.3">
      <c r="A2224">
        <v>2223</v>
      </c>
      <c r="B2224">
        <v>52527</v>
      </c>
      <c r="C2224" s="2">
        <v>32282</v>
      </c>
      <c r="D2224">
        <v>37</v>
      </c>
      <c r="E2224" t="s">
        <v>36</v>
      </c>
      <c r="F2224" t="s">
        <v>50</v>
      </c>
      <c r="G2224" s="2">
        <v>45444</v>
      </c>
      <c r="H2224" s="3">
        <f t="shared" si="34"/>
        <v>1.0767123287671232</v>
      </c>
      <c r="I2224">
        <v>62</v>
      </c>
      <c r="J2224" t="s">
        <v>38</v>
      </c>
      <c r="K2224" t="s">
        <v>51</v>
      </c>
      <c r="L2224" t="s">
        <v>44</v>
      </c>
      <c r="M2224">
        <v>36.200000000000003</v>
      </c>
      <c r="T2224" t="s">
        <v>45</v>
      </c>
      <c r="U2224">
        <v>0</v>
      </c>
      <c r="V2224">
        <v>5</v>
      </c>
    </row>
    <row r="2225" spans="1:22" x14ac:dyDescent="0.3">
      <c r="A2225">
        <v>2224</v>
      </c>
      <c r="B2225">
        <v>52528</v>
      </c>
      <c r="C2225" s="2">
        <v>31865</v>
      </c>
      <c r="D2225">
        <v>38</v>
      </c>
      <c r="E2225" t="s">
        <v>42</v>
      </c>
      <c r="F2225" t="s">
        <v>37</v>
      </c>
      <c r="G2225" s="2">
        <v>45629</v>
      </c>
      <c r="H2225" s="3">
        <f t="shared" si="34"/>
        <v>1.2931506849315069</v>
      </c>
      <c r="I2225">
        <v>62</v>
      </c>
      <c r="J2225" t="s">
        <v>38</v>
      </c>
      <c r="K2225" t="s">
        <v>51</v>
      </c>
      <c r="L2225" t="s">
        <v>44</v>
      </c>
      <c r="M2225">
        <v>36.200000000000003</v>
      </c>
      <c r="T2225" t="s">
        <v>47</v>
      </c>
      <c r="U2225">
        <v>0</v>
      </c>
      <c r="V2225">
        <v>4</v>
      </c>
    </row>
    <row r="2226" spans="1:22" x14ac:dyDescent="0.3">
      <c r="A2226">
        <v>2225</v>
      </c>
      <c r="B2226">
        <v>52529</v>
      </c>
      <c r="C2226" s="2">
        <v>34128</v>
      </c>
      <c r="D2226">
        <v>32</v>
      </c>
      <c r="E2226" t="s">
        <v>36</v>
      </c>
      <c r="F2226" t="s">
        <v>37</v>
      </c>
      <c r="G2226" s="2">
        <v>45550</v>
      </c>
      <c r="H2226" s="3">
        <f t="shared" si="34"/>
        <v>1.7452054794520548</v>
      </c>
      <c r="I2226">
        <v>97</v>
      </c>
      <c r="J2226" t="s">
        <v>57</v>
      </c>
      <c r="K2226" t="s">
        <v>51</v>
      </c>
      <c r="L2226" t="s">
        <v>44</v>
      </c>
      <c r="M2226">
        <v>36.200000000000003</v>
      </c>
      <c r="T2226" t="s">
        <v>45</v>
      </c>
      <c r="U2226">
        <v>0</v>
      </c>
      <c r="V2226">
        <v>3</v>
      </c>
    </row>
    <row r="2227" spans="1:22" x14ac:dyDescent="0.3">
      <c r="A2227">
        <v>2226</v>
      </c>
      <c r="B2227">
        <v>52530</v>
      </c>
      <c r="C2227" s="2">
        <v>35048</v>
      </c>
      <c r="D2227">
        <v>30</v>
      </c>
      <c r="E2227" t="s">
        <v>36</v>
      </c>
      <c r="F2227" t="s">
        <v>50</v>
      </c>
      <c r="G2227" s="2">
        <v>45385</v>
      </c>
      <c r="H2227" s="3">
        <f t="shared" si="34"/>
        <v>1.5561643835616439</v>
      </c>
      <c r="I2227">
        <v>126</v>
      </c>
      <c r="J2227" t="s">
        <v>57</v>
      </c>
      <c r="K2227" t="s">
        <v>51</v>
      </c>
      <c r="L2227" t="s">
        <v>44</v>
      </c>
      <c r="M2227">
        <v>36.200000000000003</v>
      </c>
      <c r="T2227" t="s">
        <v>45</v>
      </c>
      <c r="U2227">
        <v>0</v>
      </c>
      <c r="V2227">
        <v>4</v>
      </c>
    </row>
    <row r="2228" spans="1:22" x14ac:dyDescent="0.3">
      <c r="A2228">
        <v>2227</v>
      </c>
      <c r="B2228">
        <v>52532</v>
      </c>
      <c r="C2228" s="2">
        <v>33668</v>
      </c>
      <c r="D2228">
        <v>33</v>
      </c>
      <c r="E2228" t="s">
        <v>36</v>
      </c>
      <c r="F2228" t="s">
        <v>50</v>
      </c>
      <c r="G2228" s="2">
        <v>45454</v>
      </c>
      <c r="H2228" s="3">
        <f t="shared" si="34"/>
        <v>1.0136986301369864</v>
      </c>
      <c r="I2228">
        <v>123</v>
      </c>
      <c r="J2228" t="s">
        <v>57</v>
      </c>
      <c r="K2228" t="s">
        <v>51</v>
      </c>
      <c r="L2228" t="s">
        <v>44</v>
      </c>
      <c r="M2228">
        <v>36.200000000000003</v>
      </c>
      <c r="T2228" t="s">
        <v>45</v>
      </c>
      <c r="U2228">
        <v>0</v>
      </c>
      <c r="V2228">
        <v>3</v>
      </c>
    </row>
    <row r="2229" spans="1:22" x14ac:dyDescent="0.3">
      <c r="A2229">
        <v>2228</v>
      </c>
      <c r="B2229">
        <v>52534</v>
      </c>
      <c r="C2229" s="2">
        <v>36515</v>
      </c>
      <c r="D2229">
        <v>26</v>
      </c>
      <c r="E2229" t="s">
        <v>42</v>
      </c>
      <c r="F2229" t="s">
        <v>50</v>
      </c>
      <c r="G2229" s="2">
        <v>45652</v>
      </c>
      <c r="H2229" s="3">
        <f t="shared" si="34"/>
        <v>1.7643835616438357</v>
      </c>
      <c r="I2229">
        <v>142</v>
      </c>
      <c r="J2229" t="s">
        <v>57</v>
      </c>
      <c r="K2229" t="s">
        <v>51</v>
      </c>
      <c r="L2229" t="s">
        <v>44</v>
      </c>
      <c r="M2229">
        <v>36.200000000000003</v>
      </c>
      <c r="T2229" t="s">
        <v>47</v>
      </c>
      <c r="U2229">
        <v>0</v>
      </c>
      <c r="V2229">
        <v>6</v>
      </c>
    </row>
    <row r="2230" spans="1:22" x14ac:dyDescent="0.3">
      <c r="A2230">
        <v>2229</v>
      </c>
      <c r="B2230">
        <v>52535</v>
      </c>
      <c r="C2230" s="2">
        <v>35326</v>
      </c>
      <c r="D2230">
        <v>29</v>
      </c>
      <c r="E2230" t="s">
        <v>36</v>
      </c>
      <c r="F2230" t="s">
        <v>50</v>
      </c>
      <c r="G2230" s="2">
        <v>45378</v>
      </c>
      <c r="H2230" s="3">
        <f t="shared" si="34"/>
        <v>1.3671232876712329</v>
      </c>
      <c r="I2230">
        <v>22</v>
      </c>
      <c r="J2230" t="s">
        <v>38</v>
      </c>
      <c r="K2230" t="s">
        <v>51</v>
      </c>
      <c r="L2230" t="s">
        <v>44</v>
      </c>
      <c r="M2230">
        <v>36.200000000000003</v>
      </c>
      <c r="T2230" t="s">
        <v>45</v>
      </c>
      <c r="U2230">
        <v>0</v>
      </c>
      <c r="V2230">
        <v>4</v>
      </c>
    </row>
    <row r="2231" spans="1:22" x14ac:dyDescent="0.3">
      <c r="A2231">
        <v>2230</v>
      </c>
      <c r="B2231">
        <v>52536</v>
      </c>
      <c r="C2231" s="2">
        <v>31726</v>
      </c>
      <c r="D2231">
        <v>39</v>
      </c>
      <c r="E2231" t="s">
        <v>36</v>
      </c>
      <c r="F2231" t="s">
        <v>50</v>
      </c>
      <c r="G2231" s="2">
        <v>45523</v>
      </c>
      <c r="H2231" s="3">
        <f t="shared" si="34"/>
        <v>1.5780821917808219</v>
      </c>
      <c r="I2231">
        <v>10</v>
      </c>
      <c r="J2231" t="s">
        <v>38</v>
      </c>
      <c r="K2231" t="s">
        <v>51</v>
      </c>
      <c r="L2231" t="s">
        <v>44</v>
      </c>
      <c r="M2231">
        <v>36.200000000000003</v>
      </c>
      <c r="T2231" t="s">
        <v>49</v>
      </c>
      <c r="U2231">
        <v>0</v>
      </c>
      <c r="V2231">
        <v>3</v>
      </c>
    </row>
    <row r="2232" spans="1:22" x14ac:dyDescent="0.3">
      <c r="A2232">
        <v>2231</v>
      </c>
      <c r="B2232">
        <v>52537</v>
      </c>
      <c r="C2232" s="2">
        <v>34527</v>
      </c>
      <c r="D2232">
        <v>31</v>
      </c>
      <c r="E2232" t="s">
        <v>36</v>
      </c>
      <c r="F2232" t="s">
        <v>50</v>
      </c>
      <c r="G2232" s="2">
        <v>45446</v>
      </c>
      <c r="H2232" s="3">
        <f t="shared" si="34"/>
        <v>1.0465753424657533</v>
      </c>
      <c r="I2232">
        <v>24</v>
      </c>
      <c r="J2232" t="s">
        <v>38</v>
      </c>
      <c r="K2232" t="s">
        <v>51</v>
      </c>
      <c r="L2232" t="s">
        <v>44</v>
      </c>
      <c r="M2232">
        <v>36.200000000000003</v>
      </c>
      <c r="T2232" t="s">
        <v>52</v>
      </c>
      <c r="U2232">
        <v>0</v>
      </c>
      <c r="V2232">
        <v>3</v>
      </c>
    </row>
    <row r="2233" spans="1:22" x14ac:dyDescent="0.3">
      <c r="A2233">
        <v>2232</v>
      </c>
      <c r="B2233">
        <v>52538</v>
      </c>
      <c r="C2233" s="2">
        <v>34594</v>
      </c>
      <c r="D2233">
        <v>31</v>
      </c>
      <c r="E2233" t="s">
        <v>36</v>
      </c>
      <c r="F2233" t="s">
        <v>50</v>
      </c>
      <c r="G2233" s="2">
        <v>45640</v>
      </c>
      <c r="H2233" s="3">
        <f t="shared" si="34"/>
        <v>1.1369863013698631</v>
      </c>
      <c r="I2233">
        <v>129</v>
      </c>
      <c r="J2233" t="s">
        <v>57</v>
      </c>
      <c r="K2233" t="s">
        <v>51</v>
      </c>
      <c r="L2233" t="s">
        <v>44</v>
      </c>
      <c r="M2233">
        <v>36.200000000000003</v>
      </c>
      <c r="T2233" t="s">
        <v>45</v>
      </c>
      <c r="U2233">
        <v>0</v>
      </c>
      <c r="V2233">
        <v>5</v>
      </c>
    </row>
    <row r="2234" spans="1:22" x14ac:dyDescent="0.3">
      <c r="A2234">
        <v>2233</v>
      </c>
      <c r="B2234">
        <v>52540</v>
      </c>
      <c r="C2234" s="2">
        <v>33651</v>
      </c>
      <c r="D2234">
        <v>33</v>
      </c>
      <c r="E2234" t="s">
        <v>36</v>
      </c>
      <c r="F2234" t="s">
        <v>37</v>
      </c>
      <c r="G2234" s="2">
        <v>45607</v>
      </c>
      <c r="H2234" s="3">
        <f t="shared" si="34"/>
        <v>1.1561643835616437</v>
      </c>
      <c r="I2234">
        <v>91</v>
      </c>
      <c r="J2234" t="s">
        <v>57</v>
      </c>
      <c r="K2234" t="s">
        <v>51</v>
      </c>
      <c r="L2234" t="s">
        <v>44</v>
      </c>
      <c r="M2234">
        <v>36.200000000000003</v>
      </c>
      <c r="T2234" t="s">
        <v>49</v>
      </c>
      <c r="U2234">
        <v>0</v>
      </c>
      <c r="V2234">
        <v>2</v>
      </c>
    </row>
    <row r="2235" spans="1:22" x14ac:dyDescent="0.3">
      <c r="A2235">
        <v>2234</v>
      </c>
      <c r="B2235">
        <v>52541</v>
      </c>
      <c r="C2235" s="2">
        <v>34406</v>
      </c>
      <c r="D2235">
        <v>31</v>
      </c>
      <c r="E2235" t="s">
        <v>36</v>
      </c>
      <c r="F2235" t="s">
        <v>50</v>
      </c>
      <c r="G2235" s="2">
        <v>45600</v>
      </c>
      <c r="H2235" s="3">
        <f t="shared" si="34"/>
        <v>1.441095890410959</v>
      </c>
      <c r="I2235">
        <v>42</v>
      </c>
      <c r="J2235" t="s">
        <v>38</v>
      </c>
      <c r="K2235" t="s">
        <v>51</v>
      </c>
      <c r="L2235" t="s">
        <v>44</v>
      </c>
      <c r="M2235">
        <v>36.200000000000003</v>
      </c>
      <c r="T2235" t="s">
        <v>45</v>
      </c>
      <c r="U2235">
        <v>0</v>
      </c>
      <c r="V2235">
        <v>4</v>
      </c>
    </row>
    <row r="2236" spans="1:22" x14ac:dyDescent="0.3">
      <c r="A2236">
        <v>2235</v>
      </c>
      <c r="B2236">
        <v>52542</v>
      </c>
      <c r="C2236" s="2">
        <v>30091</v>
      </c>
      <c r="D2236">
        <v>43</v>
      </c>
      <c r="E2236" t="s">
        <v>42</v>
      </c>
      <c r="F2236" t="s">
        <v>50</v>
      </c>
      <c r="G2236" s="2">
        <v>45496</v>
      </c>
      <c r="H2236" s="3">
        <f t="shared" si="34"/>
        <v>1.3780821917808219</v>
      </c>
      <c r="I2236">
        <v>48</v>
      </c>
      <c r="J2236" t="s">
        <v>38</v>
      </c>
      <c r="K2236" t="s">
        <v>51</v>
      </c>
      <c r="L2236" t="s">
        <v>44</v>
      </c>
      <c r="M2236">
        <v>36.200000000000003</v>
      </c>
      <c r="T2236" t="s">
        <v>45</v>
      </c>
      <c r="U2236">
        <v>0</v>
      </c>
      <c r="V2236">
        <v>6</v>
      </c>
    </row>
    <row r="2237" spans="1:22" x14ac:dyDescent="0.3">
      <c r="A2237">
        <v>2236</v>
      </c>
      <c r="B2237">
        <v>52543</v>
      </c>
      <c r="C2237" s="2">
        <v>36502</v>
      </c>
      <c r="D2237">
        <v>26</v>
      </c>
      <c r="E2237" t="s">
        <v>36</v>
      </c>
      <c r="F2237" t="s">
        <v>50</v>
      </c>
      <c r="G2237" s="2">
        <v>45519</v>
      </c>
      <c r="H2237" s="3">
        <f t="shared" si="34"/>
        <v>1.2438356164383562</v>
      </c>
      <c r="I2237">
        <v>61</v>
      </c>
      <c r="J2237" t="s">
        <v>38</v>
      </c>
      <c r="K2237" t="s">
        <v>51</v>
      </c>
      <c r="L2237" t="s">
        <v>44</v>
      </c>
      <c r="M2237">
        <v>36.200000000000003</v>
      </c>
      <c r="T2237" t="s">
        <v>47</v>
      </c>
      <c r="U2237">
        <v>0</v>
      </c>
      <c r="V2237">
        <v>3</v>
      </c>
    </row>
    <row r="2238" spans="1:22" x14ac:dyDescent="0.3">
      <c r="A2238">
        <v>2237</v>
      </c>
      <c r="B2238">
        <v>52545</v>
      </c>
      <c r="C2238" s="2">
        <v>35222</v>
      </c>
      <c r="D2238">
        <v>29</v>
      </c>
      <c r="E2238" t="s">
        <v>42</v>
      </c>
      <c r="F2238" t="s">
        <v>50</v>
      </c>
      <c r="G2238" s="2">
        <v>45568</v>
      </c>
      <c r="H2238" s="3">
        <f t="shared" si="34"/>
        <v>1.3095890410958904</v>
      </c>
      <c r="I2238">
        <v>65</v>
      </c>
      <c r="J2238" t="s">
        <v>38</v>
      </c>
      <c r="K2238" t="s">
        <v>51</v>
      </c>
      <c r="L2238" t="s">
        <v>44</v>
      </c>
      <c r="M2238">
        <v>36.200000000000003</v>
      </c>
      <c r="T2238" t="s">
        <v>45</v>
      </c>
      <c r="U2238">
        <v>0</v>
      </c>
      <c r="V2238">
        <v>6</v>
      </c>
    </row>
    <row r="2239" spans="1:22" x14ac:dyDescent="0.3">
      <c r="A2239">
        <v>2238</v>
      </c>
      <c r="B2239">
        <v>52546</v>
      </c>
      <c r="C2239" s="2">
        <v>34152</v>
      </c>
      <c r="D2239">
        <v>32</v>
      </c>
      <c r="E2239" t="s">
        <v>36</v>
      </c>
      <c r="F2239" t="s">
        <v>50</v>
      </c>
      <c r="G2239" s="2">
        <v>45544</v>
      </c>
      <c r="H2239" s="3">
        <f t="shared" si="34"/>
        <v>1.7205479452054795</v>
      </c>
      <c r="I2239">
        <v>129</v>
      </c>
      <c r="J2239" t="s">
        <v>57</v>
      </c>
      <c r="K2239" t="s">
        <v>51</v>
      </c>
      <c r="L2239" t="s">
        <v>44</v>
      </c>
      <c r="M2239">
        <v>36.200000000000003</v>
      </c>
      <c r="T2239" t="s">
        <v>45</v>
      </c>
      <c r="U2239">
        <v>0</v>
      </c>
      <c r="V2239">
        <v>5</v>
      </c>
    </row>
    <row r="2240" spans="1:22" x14ac:dyDescent="0.3">
      <c r="A2240">
        <v>2239</v>
      </c>
      <c r="B2240">
        <v>52547</v>
      </c>
      <c r="C2240" s="2">
        <v>33942</v>
      </c>
      <c r="D2240">
        <v>33</v>
      </c>
      <c r="E2240" t="s">
        <v>36</v>
      </c>
      <c r="F2240" t="s">
        <v>50</v>
      </c>
      <c r="G2240" s="2">
        <v>45394</v>
      </c>
      <c r="H2240" s="3">
        <f t="shared" si="34"/>
        <v>1.6739726027397259</v>
      </c>
      <c r="I2240">
        <v>4</v>
      </c>
      <c r="J2240" t="s">
        <v>38</v>
      </c>
      <c r="K2240" t="s">
        <v>51</v>
      </c>
      <c r="L2240" t="s">
        <v>44</v>
      </c>
      <c r="M2240">
        <v>36.200000000000003</v>
      </c>
      <c r="T2240" t="s">
        <v>47</v>
      </c>
      <c r="U2240">
        <v>0</v>
      </c>
      <c r="V2240">
        <v>4</v>
      </c>
    </row>
    <row r="2241" spans="1:22" x14ac:dyDescent="0.3">
      <c r="A2241">
        <v>2240</v>
      </c>
      <c r="B2241">
        <v>52548</v>
      </c>
      <c r="C2241" s="2">
        <v>32773</v>
      </c>
      <c r="D2241">
        <v>36</v>
      </c>
      <c r="E2241" t="s">
        <v>36</v>
      </c>
      <c r="F2241" t="s">
        <v>50</v>
      </c>
      <c r="G2241" s="2">
        <v>45411</v>
      </c>
      <c r="H2241" s="3">
        <f t="shared" si="34"/>
        <v>1.2082191780821918</v>
      </c>
      <c r="I2241">
        <v>20</v>
      </c>
      <c r="J2241" t="s">
        <v>38</v>
      </c>
      <c r="K2241" t="s">
        <v>51</v>
      </c>
      <c r="L2241" t="s">
        <v>44</v>
      </c>
      <c r="M2241">
        <v>36.200000000000003</v>
      </c>
      <c r="T2241" t="s">
        <v>45</v>
      </c>
      <c r="U2241">
        <v>0</v>
      </c>
      <c r="V2241">
        <v>4</v>
      </c>
    </row>
    <row r="2242" spans="1:22" x14ac:dyDescent="0.3">
      <c r="A2242">
        <v>2241</v>
      </c>
      <c r="B2242">
        <v>52549</v>
      </c>
      <c r="C2242" s="2">
        <v>35377</v>
      </c>
      <c r="D2242">
        <v>29</v>
      </c>
      <c r="E2242" t="s">
        <v>42</v>
      </c>
      <c r="F2242" t="s">
        <v>50</v>
      </c>
      <c r="G2242" s="2">
        <v>45581</v>
      </c>
      <c r="H2242" s="3">
        <f t="shared" si="34"/>
        <v>1.4356164383561645</v>
      </c>
      <c r="I2242">
        <v>8</v>
      </c>
      <c r="J2242" t="s">
        <v>38</v>
      </c>
      <c r="K2242" t="s">
        <v>51</v>
      </c>
      <c r="L2242" t="s">
        <v>44</v>
      </c>
      <c r="M2242">
        <v>36.200000000000003</v>
      </c>
      <c r="T2242" t="s">
        <v>49</v>
      </c>
      <c r="U2242">
        <v>0</v>
      </c>
      <c r="V2242">
        <v>6</v>
      </c>
    </row>
    <row r="2243" spans="1:22" x14ac:dyDescent="0.3">
      <c r="A2243">
        <v>2242</v>
      </c>
      <c r="B2243">
        <v>52550</v>
      </c>
      <c r="C2243" s="2">
        <v>34921</v>
      </c>
      <c r="D2243">
        <v>30</v>
      </c>
      <c r="E2243" t="s">
        <v>36</v>
      </c>
      <c r="F2243" t="s">
        <v>50</v>
      </c>
      <c r="G2243" s="2">
        <v>45498</v>
      </c>
      <c r="H2243" s="3">
        <f t="shared" ref="H2243:H2306" si="35">DATEDIF(G2244,DATE(2025,12,31),"d")/365</f>
        <v>1.810958904109589</v>
      </c>
      <c r="I2243">
        <v>104</v>
      </c>
      <c r="J2243" t="s">
        <v>57</v>
      </c>
      <c r="K2243" t="s">
        <v>51</v>
      </c>
      <c r="L2243" t="s">
        <v>44</v>
      </c>
      <c r="M2243">
        <v>36.200000000000003</v>
      </c>
      <c r="T2243" t="s">
        <v>49</v>
      </c>
      <c r="U2243">
        <v>0</v>
      </c>
      <c r="V2243">
        <v>4</v>
      </c>
    </row>
    <row r="2244" spans="1:22" x14ac:dyDescent="0.3">
      <c r="A2244">
        <v>2243</v>
      </c>
      <c r="B2244">
        <v>52551</v>
      </c>
      <c r="C2244" s="2">
        <v>34827</v>
      </c>
      <c r="D2244">
        <v>30</v>
      </c>
      <c r="E2244" t="s">
        <v>36</v>
      </c>
      <c r="F2244" t="s">
        <v>50</v>
      </c>
      <c r="G2244" s="2">
        <v>45361</v>
      </c>
      <c r="H2244" s="3">
        <f t="shared" si="35"/>
        <v>1.0904109589041096</v>
      </c>
      <c r="I2244">
        <v>13</v>
      </c>
      <c r="J2244" t="s">
        <v>38</v>
      </c>
      <c r="K2244" t="s">
        <v>51</v>
      </c>
      <c r="L2244" t="s">
        <v>44</v>
      </c>
      <c r="M2244">
        <v>36.200000000000003</v>
      </c>
      <c r="T2244" t="s">
        <v>45</v>
      </c>
      <c r="U2244">
        <v>0</v>
      </c>
      <c r="V2244">
        <v>4</v>
      </c>
    </row>
    <row r="2245" spans="1:22" x14ac:dyDescent="0.3">
      <c r="A2245">
        <v>2244</v>
      </c>
      <c r="B2245">
        <v>52552</v>
      </c>
      <c r="C2245" s="2">
        <v>35740</v>
      </c>
      <c r="D2245">
        <v>28</v>
      </c>
      <c r="E2245" t="s">
        <v>36</v>
      </c>
      <c r="F2245" t="s">
        <v>37</v>
      </c>
      <c r="G2245" s="2">
        <v>45624</v>
      </c>
      <c r="H2245" s="3">
        <f t="shared" si="35"/>
        <v>1.4931506849315068</v>
      </c>
      <c r="I2245">
        <v>15</v>
      </c>
      <c r="J2245" t="s">
        <v>38</v>
      </c>
      <c r="K2245" t="s">
        <v>51</v>
      </c>
      <c r="L2245" t="s">
        <v>44</v>
      </c>
      <c r="M2245">
        <v>36.200000000000003</v>
      </c>
      <c r="T2245" t="s">
        <v>47</v>
      </c>
      <c r="U2245">
        <v>0</v>
      </c>
      <c r="V2245">
        <v>4</v>
      </c>
    </row>
    <row r="2246" spans="1:22" x14ac:dyDescent="0.3">
      <c r="A2246">
        <v>2245</v>
      </c>
      <c r="B2246">
        <v>52553</v>
      </c>
      <c r="C2246" s="2">
        <v>34921</v>
      </c>
      <c r="D2246">
        <v>30</v>
      </c>
      <c r="E2246" t="s">
        <v>36</v>
      </c>
      <c r="F2246" t="s">
        <v>50</v>
      </c>
      <c r="G2246" s="2">
        <v>45477</v>
      </c>
      <c r="H2246" s="3">
        <f t="shared" si="35"/>
        <v>1.5808219178082192</v>
      </c>
      <c r="I2246">
        <v>71</v>
      </c>
      <c r="J2246" t="s">
        <v>57</v>
      </c>
      <c r="K2246" t="s">
        <v>51</v>
      </c>
      <c r="L2246" t="s">
        <v>44</v>
      </c>
      <c r="M2246">
        <v>36.200000000000003</v>
      </c>
      <c r="T2246" t="s">
        <v>49</v>
      </c>
      <c r="U2246">
        <v>0</v>
      </c>
      <c r="V2246">
        <v>5</v>
      </c>
    </row>
    <row r="2247" spans="1:22" x14ac:dyDescent="0.3">
      <c r="A2247">
        <v>2246</v>
      </c>
      <c r="B2247">
        <v>52555</v>
      </c>
      <c r="C2247" s="2">
        <v>35985</v>
      </c>
      <c r="D2247">
        <v>27</v>
      </c>
      <c r="E2247" t="s">
        <v>36</v>
      </c>
      <c r="F2247" t="s">
        <v>50</v>
      </c>
      <c r="G2247" s="2">
        <v>45445</v>
      </c>
      <c r="H2247" s="3">
        <f t="shared" si="35"/>
        <v>1.6219178082191781</v>
      </c>
      <c r="I2247">
        <v>89</v>
      </c>
      <c r="J2247" t="s">
        <v>57</v>
      </c>
      <c r="K2247" t="s">
        <v>51</v>
      </c>
      <c r="L2247" t="s">
        <v>44</v>
      </c>
      <c r="M2247">
        <v>36.200000000000003</v>
      </c>
      <c r="T2247" t="s">
        <v>45</v>
      </c>
      <c r="U2247">
        <v>0</v>
      </c>
      <c r="V2247">
        <v>3</v>
      </c>
    </row>
    <row r="2248" spans="1:22" x14ac:dyDescent="0.3">
      <c r="A2248">
        <v>2247</v>
      </c>
      <c r="B2248">
        <v>52556</v>
      </c>
      <c r="C2248" s="2">
        <v>34135</v>
      </c>
      <c r="D2248">
        <v>32</v>
      </c>
      <c r="E2248" t="s">
        <v>42</v>
      </c>
      <c r="F2248" t="s">
        <v>50</v>
      </c>
      <c r="G2248" s="2">
        <v>45430</v>
      </c>
      <c r="H2248" s="3">
        <f t="shared" si="35"/>
        <v>1.1726027397260275</v>
      </c>
      <c r="I2248">
        <v>41</v>
      </c>
      <c r="J2248" t="s">
        <v>38</v>
      </c>
      <c r="K2248" t="s">
        <v>51</v>
      </c>
      <c r="L2248" t="s">
        <v>44</v>
      </c>
      <c r="M2248">
        <v>36.200000000000003</v>
      </c>
      <c r="T2248" t="s">
        <v>52</v>
      </c>
      <c r="U2248">
        <v>0</v>
      </c>
      <c r="V2248">
        <v>5</v>
      </c>
    </row>
    <row r="2249" spans="1:22" x14ac:dyDescent="0.3">
      <c r="A2249">
        <v>2248</v>
      </c>
      <c r="B2249">
        <v>52557</v>
      </c>
      <c r="C2249" s="2">
        <v>34380</v>
      </c>
      <c r="D2249">
        <v>31</v>
      </c>
      <c r="E2249" t="s">
        <v>36</v>
      </c>
      <c r="F2249" t="s">
        <v>37</v>
      </c>
      <c r="G2249" s="2">
        <v>45594</v>
      </c>
      <c r="H2249" s="3">
        <f t="shared" si="35"/>
        <v>1.5397260273972602</v>
      </c>
      <c r="I2249">
        <v>51</v>
      </c>
      <c r="J2249" t="s">
        <v>38</v>
      </c>
      <c r="K2249" t="s">
        <v>51</v>
      </c>
      <c r="L2249" t="s">
        <v>44</v>
      </c>
      <c r="M2249">
        <v>36.200000000000003</v>
      </c>
      <c r="T2249" t="s">
        <v>45</v>
      </c>
      <c r="U2249">
        <v>0</v>
      </c>
      <c r="V2249">
        <v>3</v>
      </c>
    </row>
    <row r="2250" spans="1:22" x14ac:dyDescent="0.3">
      <c r="A2250">
        <v>2249</v>
      </c>
      <c r="B2250">
        <v>52558</v>
      </c>
      <c r="C2250" s="2">
        <v>34791</v>
      </c>
      <c r="D2250">
        <v>30</v>
      </c>
      <c r="E2250" t="s">
        <v>36</v>
      </c>
      <c r="F2250" t="s">
        <v>37</v>
      </c>
      <c r="G2250" s="2">
        <v>45460</v>
      </c>
      <c r="H2250" s="3">
        <f t="shared" si="35"/>
        <v>1.4712328767123288</v>
      </c>
      <c r="I2250">
        <v>6</v>
      </c>
      <c r="J2250" t="s">
        <v>38</v>
      </c>
      <c r="K2250" t="s">
        <v>51</v>
      </c>
      <c r="L2250" t="s">
        <v>44</v>
      </c>
      <c r="M2250">
        <v>36.200000000000003</v>
      </c>
      <c r="T2250" t="s">
        <v>52</v>
      </c>
      <c r="U2250">
        <v>0</v>
      </c>
      <c r="V2250">
        <v>3</v>
      </c>
    </row>
    <row r="2251" spans="1:22" x14ac:dyDescent="0.3">
      <c r="A2251">
        <v>2250</v>
      </c>
      <c r="B2251">
        <v>52559</v>
      </c>
      <c r="C2251" s="2">
        <v>32745</v>
      </c>
      <c r="D2251">
        <v>36</v>
      </c>
      <c r="E2251" t="s">
        <v>42</v>
      </c>
      <c r="F2251" t="s">
        <v>50</v>
      </c>
      <c r="G2251" s="2">
        <v>45485</v>
      </c>
      <c r="H2251" s="3">
        <f t="shared" si="35"/>
        <v>1.2493150684931507</v>
      </c>
      <c r="I2251">
        <v>8</v>
      </c>
      <c r="J2251" t="s">
        <v>38</v>
      </c>
      <c r="K2251" t="s">
        <v>51</v>
      </c>
      <c r="L2251" t="s">
        <v>44</v>
      </c>
      <c r="M2251">
        <v>36.200000000000003</v>
      </c>
      <c r="T2251" t="s">
        <v>52</v>
      </c>
      <c r="U2251">
        <v>0</v>
      </c>
      <c r="V2251">
        <v>5</v>
      </c>
    </row>
    <row r="2252" spans="1:22" x14ac:dyDescent="0.3">
      <c r="A2252">
        <v>2251</v>
      </c>
      <c r="B2252">
        <v>52560</v>
      </c>
      <c r="C2252" s="2">
        <v>35413</v>
      </c>
      <c r="D2252">
        <v>29</v>
      </c>
      <c r="E2252" t="s">
        <v>42</v>
      </c>
      <c r="F2252" t="s">
        <v>50</v>
      </c>
      <c r="G2252" s="2">
        <v>45566</v>
      </c>
      <c r="H2252" s="3">
        <f t="shared" si="35"/>
        <v>1.0301369863013699</v>
      </c>
      <c r="I2252">
        <v>111</v>
      </c>
      <c r="J2252" t="s">
        <v>57</v>
      </c>
      <c r="K2252" t="s">
        <v>51</v>
      </c>
      <c r="L2252" t="s">
        <v>44</v>
      </c>
      <c r="M2252">
        <v>36.200000000000003</v>
      </c>
      <c r="T2252" t="s">
        <v>52</v>
      </c>
      <c r="U2252">
        <v>0</v>
      </c>
      <c r="V2252">
        <v>6</v>
      </c>
    </row>
    <row r="2253" spans="1:22" x14ac:dyDescent="0.3">
      <c r="A2253">
        <v>2252</v>
      </c>
      <c r="B2253">
        <v>52561</v>
      </c>
      <c r="C2253" s="2">
        <v>29984</v>
      </c>
      <c r="D2253">
        <v>43</v>
      </c>
      <c r="E2253" t="s">
        <v>42</v>
      </c>
      <c r="F2253" t="s">
        <v>50</v>
      </c>
      <c r="G2253" s="2">
        <v>45646</v>
      </c>
      <c r="H2253" s="3">
        <f t="shared" si="35"/>
        <v>1.095890410958904</v>
      </c>
      <c r="I2253">
        <v>143</v>
      </c>
      <c r="J2253" t="s">
        <v>57</v>
      </c>
      <c r="K2253" t="s">
        <v>51</v>
      </c>
      <c r="L2253" t="s">
        <v>44</v>
      </c>
      <c r="M2253">
        <v>36.200000000000003</v>
      </c>
      <c r="T2253" t="s">
        <v>45</v>
      </c>
      <c r="U2253">
        <v>0</v>
      </c>
      <c r="V2253">
        <v>4</v>
      </c>
    </row>
    <row r="2254" spans="1:22" x14ac:dyDescent="0.3">
      <c r="A2254">
        <v>2253</v>
      </c>
      <c r="B2254">
        <v>52562</v>
      </c>
      <c r="C2254" s="2">
        <v>34182</v>
      </c>
      <c r="D2254">
        <v>33</v>
      </c>
      <c r="E2254" t="s">
        <v>36</v>
      </c>
      <c r="F2254" t="s">
        <v>50</v>
      </c>
      <c r="G2254" s="2">
        <v>45622</v>
      </c>
      <c r="H2254" s="3">
        <f t="shared" si="35"/>
        <v>1.6136986301369862</v>
      </c>
      <c r="I2254">
        <v>30</v>
      </c>
      <c r="J2254" t="s">
        <v>38</v>
      </c>
      <c r="K2254" t="s">
        <v>51</v>
      </c>
      <c r="L2254" t="s">
        <v>44</v>
      </c>
      <c r="M2254">
        <v>36.200000000000003</v>
      </c>
      <c r="T2254" t="s">
        <v>52</v>
      </c>
      <c r="U2254">
        <v>0</v>
      </c>
      <c r="V2254">
        <v>4</v>
      </c>
    </row>
    <row r="2255" spans="1:22" x14ac:dyDescent="0.3">
      <c r="A2255">
        <v>2254</v>
      </c>
      <c r="B2255">
        <v>52563</v>
      </c>
      <c r="C2255" s="2">
        <v>33229</v>
      </c>
      <c r="D2255">
        <v>35</v>
      </c>
      <c r="E2255" t="s">
        <v>42</v>
      </c>
      <c r="F2255" t="s">
        <v>50</v>
      </c>
      <c r="G2255" s="2">
        <v>45433</v>
      </c>
      <c r="H2255" s="3">
        <f t="shared" si="35"/>
        <v>1.5315068493150685</v>
      </c>
      <c r="I2255">
        <v>34</v>
      </c>
      <c r="J2255" t="s">
        <v>38</v>
      </c>
      <c r="K2255" t="s">
        <v>51</v>
      </c>
      <c r="L2255" t="s">
        <v>44</v>
      </c>
      <c r="M2255">
        <v>36.200000000000003</v>
      </c>
      <c r="T2255" t="s">
        <v>45</v>
      </c>
      <c r="U2255">
        <v>0</v>
      </c>
      <c r="V2255">
        <v>4</v>
      </c>
    </row>
    <row r="2256" spans="1:22" x14ac:dyDescent="0.3">
      <c r="A2256">
        <v>2255</v>
      </c>
      <c r="B2256">
        <v>52564</v>
      </c>
      <c r="C2256" s="2">
        <v>33739</v>
      </c>
      <c r="D2256">
        <v>33</v>
      </c>
      <c r="E2256" t="s">
        <v>36</v>
      </c>
      <c r="F2256" t="s">
        <v>50</v>
      </c>
      <c r="G2256" s="2">
        <v>45463</v>
      </c>
      <c r="H2256" s="3">
        <f t="shared" si="35"/>
        <v>1.9013698630136986</v>
      </c>
      <c r="I2256">
        <v>32</v>
      </c>
      <c r="J2256" t="s">
        <v>38</v>
      </c>
      <c r="K2256" t="s">
        <v>51</v>
      </c>
      <c r="L2256" t="s">
        <v>44</v>
      </c>
      <c r="M2256">
        <v>36.200000000000003</v>
      </c>
      <c r="T2256" t="s">
        <v>52</v>
      </c>
      <c r="U2256">
        <v>0</v>
      </c>
      <c r="V2256">
        <v>3</v>
      </c>
    </row>
    <row r="2257" spans="1:22" x14ac:dyDescent="0.3">
      <c r="A2257">
        <v>2256</v>
      </c>
      <c r="B2257">
        <v>52565</v>
      </c>
      <c r="C2257" s="2">
        <v>29934</v>
      </c>
      <c r="D2257">
        <v>44</v>
      </c>
      <c r="E2257" t="s">
        <v>36</v>
      </c>
      <c r="F2257" t="s">
        <v>50</v>
      </c>
      <c r="G2257" s="2">
        <v>45328</v>
      </c>
      <c r="H2257" s="3">
        <f t="shared" si="35"/>
        <v>1.8958904109589041</v>
      </c>
      <c r="I2257">
        <v>59</v>
      </c>
      <c r="J2257" t="s">
        <v>38</v>
      </c>
      <c r="K2257" t="s">
        <v>51</v>
      </c>
      <c r="L2257" t="s">
        <v>44</v>
      </c>
      <c r="M2257">
        <v>36.200000000000003</v>
      </c>
      <c r="T2257" t="s">
        <v>47</v>
      </c>
      <c r="U2257">
        <v>0</v>
      </c>
      <c r="V2257">
        <v>3</v>
      </c>
    </row>
    <row r="2258" spans="1:22" x14ac:dyDescent="0.3">
      <c r="A2258">
        <v>2257</v>
      </c>
      <c r="B2258">
        <v>52567</v>
      </c>
      <c r="C2258" s="2">
        <v>35261</v>
      </c>
      <c r="D2258">
        <v>29</v>
      </c>
      <c r="E2258" t="s">
        <v>36</v>
      </c>
      <c r="F2258" t="s">
        <v>50</v>
      </c>
      <c r="G2258" s="2">
        <v>45330</v>
      </c>
      <c r="H2258" s="3">
        <f t="shared" si="35"/>
        <v>1.0301369863013699</v>
      </c>
      <c r="I2258">
        <v>83</v>
      </c>
      <c r="J2258" t="s">
        <v>57</v>
      </c>
      <c r="K2258" t="s">
        <v>51</v>
      </c>
      <c r="L2258" t="s">
        <v>44</v>
      </c>
      <c r="M2258">
        <v>36.200000000000003</v>
      </c>
      <c r="T2258" t="s">
        <v>52</v>
      </c>
      <c r="U2258">
        <v>0</v>
      </c>
      <c r="V2258">
        <v>4</v>
      </c>
    </row>
    <row r="2259" spans="1:22" x14ac:dyDescent="0.3">
      <c r="A2259">
        <v>2258</v>
      </c>
      <c r="B2259">
        <v>52568</v>
      </c>
      <c r="C2259" s="2">
        <v>32067</v>
      </c>
      <c r="D2259">
        <v>38</v>
      </c>
      <c r="E2259" t="s">
        <v>36</v>
      </c>
      <c r="F2259" t="s">
        <v>50</v>
      </c>
      <c r="G2259" s="2">
        <v>45646</v>
      </c>
      <c r="H2259" s="3">
        <f t="shared" si="35"/>
        <v>1.8164383561643835</v>
      </c>
      <c r="I2259">
        <v>88</v>
      </c>
      <c r="J2259" t="s">
        <v>57</v>
      </c>
      <c r="K2259" t="s">
        <v>51</v>
      </c>
      <c r="L2259" t="s">
        <v>44</v>
      </c>
      <c r="M2259">
        <v>36.200000000000003</v>
      </c>
      <c r="T2259" t="s">
        <v>45</v>
      </c>
      <c r="U2259">
        <v>0</v>
      </c>
      <c r="V2259">
        <v>4</v>
      </c>
    </row>
    <row r="2260" spans="1:22" x14ac:dyDescent="0.3">
      <c r="A2260">
        <v>2259</v>
      </c>
      <c r="B2260">
        <v>52569</v>
      </c>
      <c r="C2260" s="2">
        <v>35854</v>
      </c>
      <c r="D2260">
        <v>27</v>
      </c>
      <c r="E2260" t="s">
        <v>36</v>
      </c>
      <c r="F2260" t="s">
        <v>50</v>
      </c>
      <c r="G2260" s="2">
        <v>45359</v>
      </c>
      <c r="H2260" s="3">
        <f t="shared" si="35"/>
        <v>1.2712328767123289</v>
      </c>
      <c r="I2260">
        <v>145</v>
      </c>
      <c r="J2260" t="s">
        <v>57</v>
      </c>
      <c r="K2260" t="s">
        <v>51</v>
      </c>
      <c r="L2260" t="s">
        <v>44</v>
      </c>
      <c r="M2260">
        <v>36.200000000000003</v>
      </c>
      <c r="T2260" t="s">
        <v>49</v>
      </c>
      <c r="U2260">
        <v>0</v>
      </c>
      <c r="V2260">
        <v>4</v>
      </c>
    </row>
    <row r="2261" spans="1:22" x14ac:dyDescent="0.3">
      <c r="A2261">
        <v>2260</v>
      </c>
      <c r="B2261">
        <v>52570</v>
      </c>
      <c r="C2261" s="2">
        <v>35820</v>
      </c>
      <c r="D2261">
        <v>27</v>
      </c>
      <c r="E2261" t="s">
        <v>36</v>
      </c>
      <c r="F2261" t="s">
        <v>37</v>
      </c>
      <c r="G2261" s="2">
        <v>45558</v>
      </c>
      <c r="H2261" s="3">
        <f t="shared" si="35"/>
        <v>1.7205479452054795</v>
      </c>
      <c r="I2261">
        <v>57</v>
      </c>
      <c r="J2261" t="s">
        <v>38</v>
      </c>
      <c r="K2261" t="s">
        <v>51</v>
      </c>
      <c r="L2261" t="s">
        <v>44</v>
      </c>
      <c r="M2261">
        <v>36.200000000000003</v>
      </c>
      <c r="T2261" t="s">
        <v>49</v>
      </c>
      <c r="U2261">
        <v>0</v>
      </c>
      <c r="V2261">
        <v>4</v>
      </c>
    </row>
    <row r="2262" spans="1:22" x14ac:dyDescent="0.3">
      <c r="A2262">
        <v>2261</v>
      </c>
      <c r="B2262">
        <v>52571</v>
      </c>
      <c r="C2262" s="2">
        <v>35883</v>
      </c>
      <c r="D2262">
        <v>27</v>
      </c>
      <c r="E2262" t="s">
        <v>36</v>
      </c>
      <c r="F2262" t="s">
        <v>50</v>
      </c>
      <c r="G2262" s="2">
        <v>45394</v>
      </c>
      <c r="H2262" s="3">
        <f t="shared" si="35"/>
        <v>1.8465753424657534</v>
      </c>
      <c r="I2262">
        <v>66</v>
      </c>
      <c r="J2262" t="s">
        <v>57</v>
      </c>
      <c r="K2262" t="s">
        <v>51</v>
      </c>
      <c r="L2262" t="s">
        <v>44</v>
      </c>
      <c r="M2262">
        <v>36.200000000000003</v>
      </c>
      <c r="T2262" t="s">
        <v>45</v>
      </c>
      <c r="U2262">
        <v>0</v>
      </c>
      <c r="V2262">
        <v>4</v>
      </c>
    </row>
    <row r="2263" spans="1:22" x14ac:dyDescent="0.3">
      <c r="A2263">
        <v>2262</v>
      </c>
      <c r="B2263">
        <v>52572</v>
      </c>
      <c r="C2263" s="2">
        <v>34899</v>
      </c>
      <c r="D2263">
        <v>30</v>
      </c>
      <c r="E2263" t="s">
        <v>36</v>
      </c>
      <c r="F2263" t="s">
        <v>50</v>
      </c>
      <c r="G2263" s="2">
        <v>45348</v>
      </c>
      <c r="H2263" s="3">
        <f t="shared" si="35"/>
        <v>1.5972602739726027</v>
      </c>
      <c r="I2263">
        <v>18</v>
      </c>
      <c r="J2263" t="s">
        <v>38</v>
      </c>
      <c r="K2263" t="s">
        <v>51</v>
      </c>
      <c r="L2263" t="s">
        <v>44</v>
      </c>
      <c r="M2263">
        <v>36.200000000000003</v>
      </c>
      <c r="T2263" t="s">
        <v>45</v>
      </c>
      <c r="U2263">
        <v>0</v>
      </c>
      <c r="V2263">
        <v>4</v>
      </c>
    </row>
    <row r="2264" spans="1:22" x14ac:dyDescent="0.3">
      <c r="A2264">
        <v>2263</v>
      </c>
      <c r="B2264">
        <v>52573</v>
      </c>
      <c r="C2264" s="2">
        <v>35586</v>
      </c>
      <c r="D2264">
        <v>28</v>
      </c>
      <c r="E2264" t="s">
        <v>36</v>
      </c>
      <c r="F2264" t="s">
        <v>37</v>
      </c>
      <c r="G2264" s="2">
        <v>45439</v>
      </c>
      <c r="H2264" s="3">
        <f t="shared" si="35"/>
        <v>1.5315068493150685</v>
      </c>
      <c r="I2264">
        <v>46</v>
      </c>
      <c r="J2264" t="s">
        <v>38</v>
      </c>
      <c r="K2264" t="s">
        <v>51</v>
      </c>
      <c r="L2264" t="s">
        <v>44</v>
      </c>
      <c r="M2264">
        <v>36.200000000000003</v>
      </c>
      <c r="T2264" t="s">
        <v>52</v>
      </c>
      <c r="U2264">
        <v>0</v>
      </c>
      <c r="V2264">
        <v>3</v>
      </c>
    </row>
    <row r="2265" spans="1:22" x14ac:dyDescent="0.3">
      <c r="A2265">
        <v>2264</v>
      </c>
      <c r="B2265">
        <v>52574</v>
      </c>
      <c r="C2265" s="2">
        <v>34579</v>
      </c>
      <c r="D2265">
        <v>31</v>
      </c>
      <c r="E2265" t="s">
        <v>36</v>
      </c>
      <c r="F2265" t="s">
        <v>50</v>
      </c>
      <c r="G2265" s="2">
        <v>45463</v>
      </c>
      <c r="H2265" s="3">
        <f t="shared" si="35"/>
        <v>1.5534246575342465</v>
      </c>
      <c r="I2265">
        <v>119</v>
      </c>
      <c r="J2265" t="s">
        <v>57</v>
      </c>
      <c r="K2265" t="s">
        <v>51</v>
      </c>
      <c r="L2265" t="s">
        <v>44</v>
      </c>
      <c r="M2265">
        <v>36.200000000000003</v>
      </c>
      <c r="T2265" t="s">
        <v>52</v>
      </c>
      <c r="U2265">
        <v>0</v>
      </c>
      <c r="V2265">
        <v>4</v>
      </c>
    </row>
    <row r="2266" spans="1:22" x14ac:dyDescent="0.3">
      <c r="A2266">
        <v>2265</v>
      </c>
      <c r="B2266">
        <v>52576</v>
      </c>
      <c r="C2266" s="2">
        <v>34484</v>
      </c>
      <c r="D2266">
        <v>31</v>
      </c>
      <c r="E2266" t="s">
        <v>36</v>
      </c>
      <c r="F2266" t="s">
        <v>50</v>
      </c>
      <c r="G2266" s="2">
        <v>45455</v>
      </c>
      <c r="H2266" s="3">
        <f t="shared" si="35"/>
        <v>1.4602739726027398</v>
      </c>
      <c r="I2266">
        <v>51</v>
      </c>
      <c r="J2266" t="s">
        <v>38</v>
      </c>
      <c r="K2266" t="s">
        <v>51</v>
      </c>
      <c r="L2266" t="s">
        <v>44</v>
      </c>
      <c r="M2266">
        <v>36.200000000000003</v>
      </c>
      <c r="T2266" t="s">
        <v>49</v>
      </c>
      <c r="U2266">
        <v>0</v>
      </c>
      <c r="V2266">
        <v>4</v>
      </c>
    </row>
    <row r="2267" spans="1:22" x14ac:dyDescent="0.3">
      <c r="A2267">
        <v>2266</v>
      </c>
      <c r="B2267">
        <v>52577</v>
      </c>
      <c r="C2267" s="2">
        <v>34381</v>
      </c>
      <c r="D2267">
        <v>31</v>
      </c>
      <c r="E2267" t="s">
        <v>42</v>
      </c>
      <c r="F2267" t="s">
        <v>37</v>
      </c>
      <c r="G2267" s="2">
        <v>45489</v>
      </c>
      <c r="H2267" s="3">
        <f t="shared" si="35"/>
        <v>1.4356164383561645</v>
      </c>
      <c r="I2267">
        <v>78</v>
      </c>
      <c r="J2267" t="s">
        <v>57</v>
      </c>
      <c r="K2267" t="s">
        <v>51</v>
      </c>
      <c r="L2267" t="s">
        <v>44</v>
      </c>
      <c r="M2267">
        <v>36.200000000000003</v>
      </c>
      <c r="T2267" t="s">
        <v>52</v>
      </c>
      <c r="U2267">
        <v>0</v>
      </c>
      <c r="V2267">
        <v>5</v>
      </c>
    </row>
    <row r="2268" spans="1:22" x14ac:dyDescent="0.3">
      <c r="A2268">
        <v>2267</v>
      </c>
      <c r="B2268">
        <v>52578</v>
      </c>
      <c r="C2268" s="2">
        <v>34257</v>
      </c>
      <c r="D2268">
        <v>32</v>
      </c>
      <c r="E2268" t="s">
        <v>42</v>
      </c>
      <c r="F2268" t="s">
        <v>50</v>
      </c>
      <c r="G2268" s="2">
        <v>45498</v>
      </c>
      <c r="H2268" s="3">
        <f t="shared" si="35"/>
        <v>1.3808219178082193</v>
      </c>
      <c r="I2268">
        <v>80</v>
      </c>
      <c r="J2268" t="s">
        <v>57</v>
      </c>
      <c r="K2268" t="s">
        <v>51</v>
      </c>
      <c r="L2268" t="s">
        <v>44</v>
      </c>
      <c r="M2268">
        <v>36.200000000000003</v>
      </c>
      <c r="T2268" t="s">
        <v>47</v>
      </c>
      <c r="U2268">
        <v>0</v>
      </c>
      <c r="V2268">
        <v>6</v>
      </c>
    </row>
    <row r="2269" spans="1:22" x14ac:dyDescent="0.3">
      <c r="A2269">
        <v>2268</v>
      </c>
      <c r="B2269">
        <v>52579</v>
      </c>
      <c r="C2269" s="2">
        <v>31400</v>
      </c>
      <c r="D2269">
        <v>40</v>
      </c>
      <c r="E2269" t="s">
        <v>36</v>
      </c>
      <c r="F2269" t="s">
        <v>37</v>
      </c>
      <c r="G2269" s="2">
        <v>45518</v>
      </c>
      <c r="H2269" s="3">
        <f t="shared" si="35"/>
        <v>1.5013698630136987</v>
      </c>
      <c r="I2269">
        <v>90</v>
      </c>
      <c r="J2269" t="s">
        <v>57</v>
      </c>
      <c r="K2269" t="s">
        <v>51</v>
      </c>
      <c r="L2269" t="s">
        <v>44</v>
      </c>
      <c r="M2269">
        <v>36.200000000000003</v>
      </c>
      <c r="T2269" t="s">
        <v>45</v>
      </c>
      <c r="U2269">
        <v>0</v>
      </c>
      <c r="V2269">
        <v>4</v>
      </c>
    </row>
    <row r="2270" spans="1:22" x14ac:dyDescent="0.3">
      <c r="A2270">
        <v>2269</v>
      </c>
      <c r="B2270">
        <v>52580</v>
      </c>
      <c r="C2270" s="2">
        <v>35521</v>
      </c>
      <c r="D2270">
        <v>29</v>
      </c>
      <c r="E2270" t="s">
        <v>42</v>
      </c>
      <c r="F2270" t="s">
        <v>37</v>
      </c>
      <c r="G2270" s="2">
        <v>45474</v>
      </c>
      <c r="H2270" s="3">
        <f t="shared" si="35"/>
        <v>1.1123287671232878</v>
      </c>
      <c r="I2270">
        <v>108</v>
      </c>
      <c r="J2270" t="s">
        <v>57</v>
      </c>
      <c r="K2270" t="s">
        <v>51</v>
      </c>
      <c r="L2270" t="s">
        <v>44</v>
      </c>
      <c r="M2270">
        <v>36.200000000000003</v>
      </c>
      <c r="T2270" t="s">
        <v>45</v>
      </c>
      <c r="U2270">
        <v>0</v>
      </c>
      <c r="V2270">
        <v>5</v>
      </c>
    </row>
    <row r="2271" spans="1:22" x14ac:dyDescent="0.3">
      <c r="A2271">
        <v>2270</v>
      </c>
      <c r="B2271">
        <v>52581</v>
      </c>
      <c r="C2271" s="2">
        <v>31130</v>
      </c>
      <c r="D2271">
        <v>40</v>
      </c>
      <c r="E2271" t="s">
        <v>36</v>
      </c>
      <c r="F2271" t="s">
        <v>50</v>
      </c>
      <c r="G2271" s="2">
        <v>45616</v>
      </c>
      <c r="H2271" s="3">
        <f t="shared" si="35"/>
        <v>1.3671232876712329</v>
      </c>
      <c r="I2271">
        <v>119</v>
      </c>
      <c r="J2271" t="s">
        <v>57</v>
      </c>
      <c r="K2271" t="s">
        <v>51</v>
      </c>
      <c r="L2271" t="s">
        <v>44</v>
      </c>
      <c r="M2271">
        <v>36.200000000000003</v>
      </c>
      <c r="T2271" t="s">
        <v>47</v>
      </c>
      <c r="U2271">
        <v>0</v>
      </c>
      <c r="V2271">
        <v>4</v>
      </c>
    </row>
    <row r="2272" spans="1:22" x14ac:dyDescent="0.3">
      <c r="A2272">
        <v>2271</v>
      </c>
      <c r="B2272">
        <v>52582</v>
      </c>
      <c r="C2272" s="2">
        <v>34459</v>
      </c>
      <c r="D2272">
        <v>31</v>
      </c>
      <c r="E2272" t="s">
        <v>36</v>
      </c>
      <c r="F2272" t="s">
        <v>50</v>
      </c>
      <c r="G2272" s="2">
        <v>45523</v>
      </c>
      <c r="H2272" s="3">
        <f t="shared" si="35"/>
        <v>1.3095890410958904</v>
      </c>
      <c r="I2272">
        <v>125</v>
      </c>
      <c r="J2272" t="s">
        <v>57</v>
      </c>
      <c r="K2272" t="s">
        <v>51</v>
      </c>
      <c r="L2272" t="s">
        <v>44</v>
      </c>
      <c r="M2272">
        <v>36.200000000000003</v>
      </c>
      <c r="T2272" t="s">
        <v>45</v>
      </c>
      <c r="U2272">
        <v>0</v>
      </c>
      <c r="V2272">
        <v>2</v>
      </c>
    </row>
    <row r="2273" spans="1:22" x14ac:dyDescent="0.3">
      <c r="A2273">
        <v>2272</v>
      </c>
      <c r="B2273">
        <v>52583</v>
      </c>
      <c r="C2273" s="2">
        <v>35522</v>
      </c>
      <c r="D2273">
        <v>28</v>
      </c>
      <c r="E2273" t="s">
        <v>42</v>
      </c>
      <c r="F2273" t="s">
        <v>50</v>
      </c>
      <c r="G2273" s="2">
        <v>45544</v>
      </c>
      <c r="H2273" s="3">
        <f t="shared" si="35"/>
        <v>1.1315068493150684</v>
      </c>
      <c r="I2273">
        <v>128</v>
      </c>
      <c r="J2273" t="s">
        <v>57</v>
      </c>
      <c r="K2273" t="s">
        <v>51</v>
      </c>
      <c r="L2273" t="s">
        <v>44</v>
      </c>
      <c r="M2273">
        <v>36.200000000000003</v>
      </c>
      <c r="T2273" t="s">
        <v>49</v>
      </c>
      <c r="U2273">
        <v>0</v>
      </c>
      <c r="V2273">
        <v>6</v>
      </c>
    </row>
    <row r="2274" spans="1:22" x14ac:dyDescent="0.3">
      <c r="A2274">
        <v>2273</v>
      </c>
      <c r="B2274">
        <v>52584</v>
      </c>
      <c r="C2274" s="2">
        <v>34613</v>
      </c>
      <c r="D2274">
        <v>31</v>
      </c>
      <c r="E2274" t="s">
        <v>42</v>
      </c>
      <c r="F2274" t="s">
        <v>50</v>
      </c>
      <c r="G2274" s="2">
        <v>45609</v>
      </c>
      <c r="H2274" s="3">
        <f t="shared" si="35"/>
        <v>1.1945205479452055</v>
      </c>
      <c r="I2274">
        <v>55</v>
      </c>
      <c r="J2274" t="s">
        <v>38</v>
      </c>
      <c r="K2274" t="s">
        <v>51</v>
      </c>
      <c r="L2274" t="s">
        <v>44</v>
      </c>
      <c r="M2274">
        <v>36.200000000000003</v>
      </c>
      <c r="T2274" t="s">
        <v>45</v>
      </c>
      <c r="U2274">
        <v>0</v>
      </c>
      <c r="V2274">
        <v>5</v>
      </c>
    </row>
    <row r="2275" spans="1:22" x14ac:dyDescent="0.3">
      <c r="A2275">
        <v>2274</v>
      </c>
      <c r="B2275">
        <v>52585</v>
      </c>
      <c r="C2275" s="2">
        <v>35699</v>
      </c>
      <c r="D2275">
        <v>28</v>
      </c>
      <c r="E2275" t="s">
        <v>36</v>
      </c>
      <c r="F2275" t="s">
        <v>50</v>
      </c>
      <c r="G2275" s="2">
        <v>45586</v>
      </c>
      <c r="H2275" s="3">
        <f t="shared" si="35"/>
        <v>1.6849315068493151</v>
      </c>
      <c r="I2275">
        <v>2</v>
      </c>
      <c r="J2275" t="s">
        <v>38</v>
      </c>
      <c r="K2275" t="s">
        <v>51</v>
      </c>
      <c r="L2275" t="s">
        <v>44</v>
      </c>
      <c r="M2275">
        <v>36.200000000000003</v>
      </c>
      <c r="T2275" t="s">
        <v>49</v>
      </c>
      <c r="U2275">
        <v>0</v>
      </c>
      <c r="V2275">
        <v>5</v>
      </c>
    </row>
    <row r="2276" spans="1:22" x14ac:dyDescent="0.3">
      <c r="A2276">
        <v>2275</v>
      </c>
      <c r="B2276">
        <v>52586</v>
      </c>
      <c r="C2276" s="2">
        <v>31809</v>
      </c>
      <c r="D2276">
        <v>39</v>
      </c>
      <c r="E2276" t="s">
        <v>36</v>
      </c>
      <c r="F2276" t="s">
        <v>50</v>
      </c>
      <c r="G2276" s="2">
        <v>45407</v>
      </c>
      <c r="H2276" s="3">
        <f t="shared" si="35"/>
        <v>1</v>
      </c>
      <c r="I2276">
        <v>36</v>
      </c>
      <c r="J2276" t="s">
        <v>38</v>
      </c>
      <c r="K2276" t="s">
        <v>51</v>
      </c>
      <c r="L2276" t="s">
        <v>44</v>
      </c>
      <c r="M2276">
        <v>36.200000000000003</v>
      </c>
      <c r="T2276" t="s">
        <v>52</v>
      </c>
      <c r="U2276">
        <v>0</v>
      </c>
      <c r="V2276">
        <v>4</v>
      </c>
    </row>
    <row r="2277" spans="1:22" x14ac:dyDescent="0.3">
      <c r="A2277">
        <v>2276</v>
      </c>
      <c r="B2277">
        <v>52587</v>
      </c>
      <c r="C2277" s="2">
        <v>34094</v>
      </c>
      <c r="D2277">
        <v>32</v>
      </c>
      <c r="E2277" t="s">
        <v>36</v>
      </c>
      <c r="F2277" t="s">
        <v>50</v>
      </c>
      <c r="G2277" s="2">
        <v>45657</v>
      </c>
      <c r="H2277" s="3">
        <f t="shared" si="35"/>
        <v>1.1506849315068493</v>
      </c>
      <c r="I2277">
        <v>87</v>
      </c>
      <c r="J2277" t="s">
        <v>57</v>
      </c>
      <c r="K2277" t="s">
        <v>51</v>
      </c>
      <c r="L2277" t="s">
        <v>44</v>
      </c>
      <c r="M2277">
        <v>36.200000000000003</v>
      </c>
      <c r="T2277" t="s">
        <v>52</v>
      </c>
      <c r="U2277">
        <v>0</v>
      </c>
      <c r="V2277">
        <v>4</v>
      </c>
    </row>
    <row r="2278" spans="1:22" x14ac:dyDescent="0.3">
      <c r="A2278">
        <v>2277</v>
      </c>
      <c r="B2278">
        <v>52588</v>
      </c>
      <c r="C2278" s="2">
        <v>29636</v>
      </c>
      <c r="D2278">
        <v>44</v>
      </c>
      <c r="E2278" t="s">
        <v>36</v>
      </c>
      <c r="F2278" t="s">
        <v>50</v>
      </c>
      <c r="G2278" s="2">
        <v>45602</v>
      </c>
      <c r="H2278" s="3">
        <f t="shared" si="35"/>
        <v>1.0328767123287672</v>
      </c>
      <c r="I2278">
        <v>92</v>
      </c>
      <c r="J2278" t="s">
        <v>57</v>
      </c>
      <c r="K2278" t="s">
        <v>51</v>
      </c>
      <c r="L2278" t="s">
        <v>44</v>
      </c>
      <c r="M2278">
        <v>36.200000000000003</v>
      </c>
      <c r="T2278" t="s">
        <v>45</v>
      </c>
      <c r="U2278">
        <v>0</v>
      </c>
      <c r="V2278">
        <v>5</v>
      </c>
    </row>
    <row r="2279" spans="1:22" x14ac:dyDescent="0.3">
      <c r="A2279">
        <v>2278</v>
      </c>
      <c r="B2279">
        <v>52589</v>
      </c>
      <c r="C2279" s="2">
        <v>33120</v>
      </c>
      <c r="D2279">
        <v>35</v>
      </c>
      <c r="E2279" t="s">
        <v>36</v>
      </c>
      <c r="F2279" t="s">
        <v>50</v>
      </c>
      <c r="G2279" s="2">
        <v>45645</v>
      </c>
      <c r="H2279" s="3">
        <f t="shared" si="35"/>
        <v>1.2547945205479452</v>
      </c>
      <c r="I2279">
        <v>115</v>
      </c>
      <c r="J2279" t="s">
        <v>57</v>
      </c>
      <c r="K2279" t="s">
        <v>51</v>
      </c>
      <c r="L2279" t="s">
        <v>44</v>
      </c>
      <c r="M2279">
        <v>36.200000000000003</v>
      </c>
      <c r="T2279" t="s">
        <v>52</v>
      </c>
      <c r="U2279">
        <v>0</v>
      </c>
      <c r="V2279">
        <v>4</v>
      </c>
    </row>
    <row r="2280" spans="1:22" x14ac:dyDescent="0.3">
      <c r="A2280">
        <v>2279</v>
      </c>
      <c r="B2280">
        <v>52590</v>
      </c>
      <c r="C2280" s="2">
        <v>36132</v>
      </c>
      <c r="D2280">
        <v>27</v>
      </c>
      <c r="E2280" t="s">
        <v>36</v>
      </c>
      <c r="F2280" t="s">
        <v>50</v>
      </c>
      <c r="G2280" s="2">
        <v>45564</v>
      </c>
      <c r="H2280" s="3">
        <f t="shared" si="35"/>
        <v>1.0465753424657533</v>
      </c>
      <c r="I2280">
        <v>145</v>
      </c>
      <c r="J2280" t="s">
        <v>57</v>
      </c>
      <c r="K2280" t="s">
        <v>51</v>
      </c>
      <c r="L2280" t="s">
        <v>44</v>
      </c>
      <c r="M2280">
        <v>36.200000000000003</v>
      </c>
      <c r="T2280" t="s">
        <v>45</v>
      </c>
      <c r="U2280">
        <v>0</v>
      </c>
      <c r="V2280">
        <v>4</v>
      </c>
    </row>
    <row r="2281" spans="1:22" x14ac:dyDescent="0.3">
      <c r="A2281">
        <v>2280</v>
      </c>
      <c r="B2281">
        <v>52591</v>
      </c>
      <c r="C2281" s="2">
        <v>36160</v>
      </c>
      <c r="D2281">
        <v>27</v>
      </c>
      <c r="E2281" t="s">
        <v>36</v>
      </c>
      <c r="F2281" t="s">
        <v>37</v>
      </c>
      <c r="G2281" s="2">
        <v>45640</v>
      </c>
      <c r="H2281" s="3">
        <f t="shared" si="35"/>
        <v>1.5041095890410958</v>
      </c>
      <c r="I2281">
        <v>114</v>
      </c>
      <c r="J2281" t="s">
        <v>57</v>
      </c>
      <c r="K2281" t="s">
        <v>51</v>
      </c>
      <c r="L2281" t="s">
        <v>44</v>
      </c>
      <c r="M2281">
        <v>36.200000000000003</v>
      </c>
      <c r="T2281" t="s">
        <v>45</v>
      </c>
      <c r="U2281">
        <v>0</v>
      </c>
      <c r="V2281">
        <v>3</v>
      </c>
    </row>
    <row r="2282" spans="1:22" x14ac:dyDescent="0.3">
      <c r="A2282">
        <v>2281</v>
      </c>
      <c r="B2282">
        <v>52592</v>
      </c>
      <c r="C2282" s="2">
        <v>35464</v>
      </c>
      <c r="D2282">
        <v>28</v>
      </c>
      <c r="E2282" t="s">
        <v>36</v>
      </c>
      <c r="F2282" t="s">
        <v>50</v>
      </c>
      <c r="G2282" s="2">
        <v>45473</v>
      </c>
      <c r="H2282" s="3">
        <f t="shared" si="35"/>
        <v>1.4383561643835616</v>
      </c>
      <c r="I2282">
        <v>16</v>
      </c>
      <c r="J2282" t="s">
        <v>38</v>
      </c>
      <c r="K2282" t="s">
        <v>51</v>
      </c>
      <c r="L2282" t="s">
        <v>44</v>
      </c>
      <c r="M2282">
        <v>36.200000000000003</v>
      </c>
      <c r="T2282" t="s">
        <v>52</v>
      </c>
      <c r="U2282">
        <v>0</v>
      </c>
      <c r="V2282">
        <v>4</v>
      </c>
    </row>
    <row r="2283" spans="1:22" x14ac:dyDescent="0.3">
      <c r="A2283">
        <v>2282</v>
      </c>
      <c r="B2283">
        <v>52593</v>
      </c>
      <c r="C2283" s="2">
        <v>34204</v>
      </c>
      <c r="D2283">
        <v>32</v>
      </c>
      <c r="E2283" t="s">
        <v>42</v>
      </c>
      <c r="F2283" t="s">
        <v>50</v>
      </c>
      <c r="G2283" s="2">
        <v>45497</v>
      </c>
      <c r="H2283" s="3">
        <f t="shared" si="35"/>
        <v>1.7698630136986302</v>
      </c>
      <c r="I2283">
        <v>17</v>
      </c>
      <c r="J2283" t="s">
        <v>38</v>
      </c>
      <c r="K2283" t="s">
        <v>51</v>
      </c>
      <c r="L2283" t="s">
        <v>44</v>
      </c>
      <c r="M2283">
        <v>36.200000000000003</v>
      </c>
      <c r="T2283" t="s">
        <v>47</v>
      </c>
      <c r="U2283">
        <v>0</v>
      </c>
      <c r="V2283">
        <v>6</v>
      </c>
    </row>
    <row r="2284" spans="1:22" x14ac:dyDescent="0.3">
      <c r="A2284">
        <v>2283</v>
      </c>
      <c r="B2284">
        <v>52594</v>
      </c>
      <c r="C2284" s="2">
        <v>34147</v>
      </c>
      <c r="D2284">
        <v>32</v>
      </c>
      <c r="E2284" t="s">
        <v>36</v>
      </c>
      <c r="F2284" t="s">
        <v>50</v>
      </c>
      <c r="G2284" s="2">
        <v>45376</v>
      </c>
      <c r="H2284" s="3">
        <f t="shared" si="35"/>
        <v>1.1698630136986301</v>
      </c>
      <c r="I2284">
        <v>27</v>
      </c>
      <c r="J2284" t="s">
        <v>38</v>
      </c>
      <c r="K2284" t="s">
        <v>51</v>
      </c>
      <c r="L2284" t="s">
        <v>44</v>
      </c>
      <c r="M2284">
        <v>36.200000000000003</v>
      </c>
      <c r="T2284" t="s">
        <v>45</v>
      </c>
      <c r="U2284">
        <v>0</v>
      </c>
      <c r="V2284">
        <v>5</v>
      </c>
    </row>
    <row r="2285" spans="1:22" x14ac:dyDescent="0.3">
      <c r="A2285">
        <v>2284</v>
      </c>
      <c r="B2285">
        <v>52595</v>
      </c>
      <c r="C2285" s="2">
        <v>36255</v>
      </c>
      <c r="D2285">
        <v>26</v>
      </c>
      <c r="E2285" t="s">
        <v>36</v>
      </c>
      <c r="F2285" t="s">
        <v>50</v>
      </c>
      <c r="G2285" s="2">
        <v>45595</v>
      </c>
      <c r="H2285" s="3">
        <f t="shared" si="35"/>
        <v>1.0493150684931507</v>
      </c>
      <c r="I2285">
        <v>103</v>
      </c>
      <c r="J2285" t="s">
        <v>57</v>
      </c>
      <c r="K2285" t="s">
        <v>51</v>
      </c>
      <c r="L2285" t="s">
        <v>44</v>
      </c>
      <c r="M2285">
        <v>36.200000000000003</v>
      </c>
      <c r="T2285" t="s">
        <v>52</v>
      </c>
      <c r="U2285">
        <v>0</v>
      </c>
      <c r="V2285">
        <v>5</v>
      </c>
    </row>
    <row r="2286" spans="1:22" x14ac:dyDescent="0.3">
      <c r="A2286">
        <v>2285</v>
      </c>
      <c r="B2286">
        <v>52596</v>
      </c>
      <c r="C2286" s="2">
        <v>30600</v>
      </c>
      <c r="D2286">
        <v>42</v>
      </c>
      <c r="E2286" t="s">
        <v>36</v>
      </c>
      <c r="F2286" t="s">
        <v>50</v>
      </c>
      <c r="G2286" s="2">
        <v>45639</v>
      </c>
      <c r="H2286" s="3">
        <f t="shared" si="35"/>
        <v>1.3863013698630138</v>
      </c>
      <c r="I2286">
        <v>125</v>
      </c>
      <c r="J2286" t="s">
        <v>57</v>
      </c>
      <c r="K2286" t="s">
        <v>51</v>
      </c>
      <c r="L2286" t="s">
        <v>44</v>
      </c>
      <c r="M2286">
        <v>36.200000000000003</v>
      </c>
      <c r="T2286" t="s">
        <v>45</v>
      </c>
      <c r="U2286">
        <v>0</v>
      </c>
      <c r="V2286">
        <v>4</v>
      </c>
    </row>
    <row r="2287" spans="1:22" x14ac:dyDescent="0.3">
      <c r="A2287">
        <v>2286</v>
      </c>
      <c r="B2287">
        <v>52597</v>
      </c>
      <c r="C2287" s="2">
        <v>30679</v>
      </c>
      <c r="D2287">
        <v>42</v>
      </c>
      <c r="E2287" t="s">
        <v>42</v>
      </c>
      <c r="F2287" t="s">
        <v>50</v>
      </c>
      <c r="G2287" s="2">
        <v>45516</v>
      </c>
      <c r="H2287" s="3">
        <f t="shared" si="35"/>
        <v>1.5643835616438355</v>
      </c>
      <c r="I2287">
        <v>47</v>
      </c>
      <c r="J2287" t="s">
        <v>38</v>
      </c>
      <c r="K2287" t="s">
        <v>51</v>
      </c>
      <c r="L2287" t="s">
        <v>44</v>
      </c>
      <c r="M2287">
        <v>36.200000000000003</v>
      </c>
      <c r="T2287" t="s">
        <v>52</v>
      </c>
      <c r="U2287">
        <v>0</v>
      </c>
      <c r="V2287">
        <v>4</v>
      </c>
    </row>
    <row r="2288" spans="1:22" x14ac:dyDescent="0.3">
      <c r="A2288">
        <v>2287</v>
      </c>
      <c r="B2288">
        <v>52598</v>
      </c>
      <c r="C2288" s="2">
        <v>32346</v>
      </c>
      <c r="D2288">
        <v>37</v>
      </c>
      <c r="E2288" t="s">
        <v>36</v>
      </c>
      <c r="F2288" t="s">
        <v>50</v>
      </c>
      <c r="G2288" s="2">
        <v>45451</v>
      </c>
      <c r="H2288" s="3">
        <f t="shared" si="35"/>
        <v>1.4712328767123288</v>
      </c>
      <c r="I2288">
        <v>11</v>
      </c>
      <c r="J2288" t="s">
        <v>38</v>
      </c>
      <c r="K2288" t="s">
        <v>51</v>
      </c>
      <c r="L2288" t="s">
        <v>44</v>
      </c>
      <c r="M2288">
        <v>36.200000000000003</v>
      </c>
      <c r="T2288" t="s">
        <v>45</v>
      </c>
      <c r="U2288">
        <v>0</v>
      </c>
      <c r="V2288">
        <v>5</v>
      </c>
    </row>
    <row r="2289" spans="1:22" x14ac:dyDescent="0.3">
      <c r="A2289">
        <v>2288</v>
      </c>
      <c r="B2289">
        <v>52599</v>
      </c>
      <c r="C2289" s="2">
        <v>33087</v>
      </c>
      <c r="D2289">
        <v>35</v>
      </c>
      <c r="E2289" t="s">
        <v>42</v>
      </c>
      <c r="F2289" t="s">
        <v>37</v>
      </c>
      <c r="G2289" s="2">
        <v>45485</v>
      </c>
      <c r="H2289" s="3">
        <f t="shared" si="35"/>
        <v>1.7287671232876711</v>
      </c>
      <c r="I2289">
        <v>12</v>
      </c>
      <c r="J2289" t="s">
        <v>38</v>
      </c>
      <c r="K2289" t="s">
        <v>51</v>
      </c>
      <c r="L2289" t="s">
        <v>44</v>
      </c>
      <c r="M2289">
        <v>36.200000000000003</v>
      </c>
      <c r="T2289" t="s">
        <v>49</v>
      </c>
      <c r="U2289">
        <v>0</v>
      </c>
      <c r="V2289">
        <v>6</v>
      </c>
    </row>
    <row r="2290" spans="1:22" x14ac:dyDescent="0.3">
      <c r="A2290">
        <v>2289</v>
      </c>
      <c r="B2290">
        <v>52600</v>
      </c>
      <c r="C2290" s="2">
        <v>35023</v>
      </c>
      <c r="D2290">
        <v>30</v>
      </c>
      <c r="E2290" t="s">
        <v>42</v>
      </c>
      <c r="F2290" t="s">
        <v>50</v>
      </c>
      <c r="G2290" s="2">
        <v>45391</v>
      </c>
      <c r="H2290" s="3">
        <f t="shared" si="35"/>
        <v>1.2246575342465753</v>
      </c>
      <c r="I2290">
        <v>29</v>
      </c>
      <c r="J2290" t="s">
        <v>38</v>
      </c>
      <c r="K2290" t="s">
        <v>51</v>
      </c>
      <c r="L2290" t="s">
        <v>44</v>
      </c>
      <c r="M2290">
        <v>36.200000000000003</v>
      </c>
      <c r="T2290" t="s">
        <v>49</v>
      </c>
      <c r="U2290">
        <v>0</v>
      </c>
      <c r="V2290">
        <v>5</v>
      </c>
    </row>
    <row r="2291" spans="1:22" x14ac:dyDescent="0.3">
      <c r="A2291">
        <v>2290</v>
      </c>
      <c r="B2291">
        <v>52602</v>
      </c>
      <c r="C2291" s="2">
        <v>34788</v>
      </c>
      <c r="D2291">
        <v>30</v>
      </c>
      <c r="E2291" t="s">
        <v>36</v>
      </c>
      <c r="F2291" t="s">
        <v>50</v>
      </c>
      <c r="G2291" s="2">
        <v>45575</v>
      </c>
      <c r="H2291" s="3">
        <f t="shared" si="35"/>
        <v>1.1479452054794521</v>
      </c>
      <c r="I2291">
        <v>35</v>
      </c>
      <c r="J2291" t="s">
        <v>38</v>
      </c>
      <c r="K2291" t="s">
        <v>51</v>
      </c>
      <c r="L2291" t="s">
        <v>44</v>
      </c>
      <c r="M2291">
        <v>36.200000000000003</v>
      </c>
      <c r="T2291" t="s">
        <v>45</v>
      </c>
      <c r="U2291">
        <v>0</v>
      </c>
      <c r="V2291">
        <v>4</v>
      </c>
    </row>
    <row r="2292" spans="1:22" x14ac:dyDescent="0.3">
      <c r="A2292">
        <v>2291</v>
      </c>
      <c r="B2292">
        <v>52603</v>
      </c>
      <c r="C2292" s="2">
        <v>34471</v>
      </c>
      <c r="D2292">
        <v>31</v>
      </c>
      <c r="E2292" t="s">
        <v>42</v>
      </c>
      <c r="F2292" t="s">
        <v>50</v>
      </c>
      <c r="G2292" s="2">
        <v>45603</v>
      </c>
      <c r="H2292" s="3">
        <f t="shared" si="35"/>
        <v>1.6767123287671233</v>
      </c>
      <c r="I2292">
        <v>45</v>
      </c>
      <c r="J2292" t="s">
        <v>38</v>
      </c>
      <c r="K2292" t="s">
        <v>51</v>
      </c>
      <c r="L2292" t="s">
        <v>44</v>
      </c>
      <c r="M2292">
        <v>36.200000000000003</v>
      </c>
      <c r="T2292" t="s">
        <v>52</v>
      </c>
      <c r="U2292">
        <v>0</v>
      </c>
      <c r="V2292">
        <v>6</v>
      </c>
    </row>
    <row r="2293" spans="1:22" x14ac:dyDescent="0.3">
      <c r="A2293">
        <v>2292</v>
      </c>
      <c r="B2293">
        <v>52604</v>
      </c>
      <c r="C2293" s="2">
        <v>35465</v>
      </c>
      <c r="D2293">
        <v>28</v>
      </c>
      <c r="E2293" t="s">
        <v>36</v>
      </c>
      <c r="F2293" t="s">
        <v>50</v>
      </c>
      <c r="G2293" s="2">
        <v>45410</v>
      </c>
      <c r="H2293" s="3">
        <f t="shared" si="35"/>
        <v>1.1342465753424658</v>
      </c>
      <c r="I2293">
        <v>48</v>
      </c>
      <c r="J2293" t="s">
        <v>38</v>
      </c>
      <c r="K2293" t="s">
        <v>51</v>
      </c>
      <c r="L2293" t="s">
        <v>44</v>
      </c>
      <c r="M2293">
        <v>36.200000000000003</v>
      </c>
      <c r="T2293" t="s">
        <v>49</v>
      </c>
      <c r="U2293">
        <v>0</v>
      </c>
      <c r="V2293">
        <v>4</v>
      </c>
    </row>
    <row r="2294" spans="1:22" x14ac:dyDescent="0.3">
      <c r="A2294">
        <v>2293</v>
      </c>
      <c r="B2294">
        <v>52606</v>
      </c>
      <c r="C2294" s="2">
        <v>34524</v>
      </c>
      <c r="D2294">
        <v>31</v>
      </c>
      <c r="E2294" t="s">
        <v>36</v>
      </c>
      <c r="F2294" t="s">
        <v>37</v>
      </c>
      <c r="G2294" s="2">
        <v>45608</v>
      </c>
      <c r="H2294" s="3">
        <f t="shared" si="35"/>
        <v>1.5753424657534247</v>
      </c>
      <c r="I2294">
        <v>65</v>
      </c>
      <c r="J2294" t="s">
        <v>38</v>
      </c>
      <c r="K2294" t="s">
        <v>51</v>
      </c>
      <c r="L2294" t="s">
        <v>44</v>
      </c>
      <c r="M2294">
        <v>36.200000000000003</v>
      </c>
      <c r="T2294" t="s">
        <v>45</v>
      </c>
      <c r="U2294">
        <v>0</v>
      </c>
      <c r="V2294">
        <v>4</v>
      </c>
    </row>
    <row r="2295" spans="1:22" x14ac:dyDescent="0.3">
      <c r="A2295">
        <v>2294</v>
      </c>
      <c r="B2295">
        <v>52607</v>
      </c>
      <c r="C2295" s="2">
        <v>32118</v>
      </c>
      <c r="D2295">
        <v>38</v>
      </c>
      <c r="E2295" t="s">
        <v>36</v>
      </c>
      <c r="F2295" t="s">
        <v>50</v>
      </c>
      <c r="G2295" s="2">
        <v>45447</v>
      </c>
      <c r="H2295" s="3">
        <f t="shared" si="35"/>
        <v>1.2465753424657535</v>
      </c>
      <c r="I2295">
        <v>86</v>
      </c>
      <c r="J2295" t="s">
        <v>57</v>
      </c>
      <c r="K2295" t="s">
        <v>51</v>
      </c>
      <c r="L2295" t="s">
        <v>44</v>
      </c>
      <c r="M2295">
        <v>36.200000000000003</v>
      </c>
      <c r="T2295" t="s">
        <v>49</v>
      </c>
      <c r="U2295">
        <v>0</v>
      </c>
      <c r="V2295">
        <v>4</v>
      </c>
    </row>
    <row r="2296" spans="1:22" x14ac:dyDescent="0.3">
      <c r="A2296">
        <v>2295</v>
      </c>
      <c r="B2296">
        <v>52608</v>
      </c>
      <c r="C2296" s="2">
        <v>31223</v>
      </c>
      <c r="D2296">
        <v>40</v>
      </c>
      <c r="E2296" t="s">
        <v>42</v>
      </c>
      <c r="F2296" t="s">
        <v>37</v>
      </c>
      <c r="G2296" s="2">
        <v>45567</v>
      </c>
      <c r="H2296" s="3">
        <f t="shared" si="35"/>
        <v>1.6684931506849314</v>
      </c>
      <c r="I2296">
        <v>87</v>
      </c>
      <c r="J2296" t="s">
        <v>57</v>
      </c>
      <c r="K2296" t="s">
        <v>51</v>
      </c>
      <c r="L2296" t="s">
        <v>44</v>
      </c>
      <c r="M2296">
        <v>36.200000000000003</v>
      </c>
      <c r="T2296" t="s">
        <v>52</v>
      </c>
      <c r="U2296">
        <v>0</v>
      </c>
      <c r="V2296">
        <v>5</v>
      </c>
    </row>
    <row r="2297" spans="1:22" x14ac:dyDescent="0.3">
      <c r="A2297">
        <v>2296</v>
      </c>
      <c r="B2297">
        <v>52609</v>
      </c>
      <c r="C2297" s="2">
        <v>35026</v>
      </c>
      <c r="D2297">
        <v>30</v>
      </c>
      <c r="E2297" t="s">
        <v>42</v>
      </c>
      <c r="F2297" t="s">
        <v>50</v>
      </c>
      <c r="G2297" s="2">
        <v>45413</v>
      </c>
      <c r="H2297" s="3">
        <f t="shared" si="35"/>
        <v>1.1945205479452055</v>
      </c>
      <c r="I2297">
        <v>99</v>
      </c>
      <c r="J2297" t="s">
        <v>57</v>
      </c>
      <c r="K2297" t="s">
        <v>51</v>
      </c>
      <c r="L2297" t="s">
        <v>44</v>
      </c>
      <c r="M2297">
        <v>36.200000000000003</v>
      </c>
      <c r="T2297" t="s">
        <v>45</v>
      </c>
      <c r="U2297">
        <v>0</v>
      </c>
      <c r="V2297">
        <v>6</v>
      </c>
    </row>
    <row r="2298" spans="1:22" x14ac:dyDescent="0.3">
      <c r="A2298">
        <v>2297</v>
      </c>
      <c r="B2298">
        <v>52610</v>
      </c>
      <c r="C2298" s="2">
        <v>32923</v>
      </c>
      <c r="D2298">
        <v>35</v>
      </c>
      <c r="E2298" t="s">
        <v>42</v>
      </c>
      <c r="F2298" t="s">
        <v>50</v>
      </c>
      <c r="G2298" s="2">
        <v>45586</v>
      </c>
      <c r="H2298" s="3">
        <f t="shared" si="35"/>
        <v>1.2684931506849315</v>
      </c>
      <c r="I2298">
        <v>113</v>
      </c>
      <c r="J2298" t="s">
        <v>57</v>
      </c>
      <c r="K2298" t="s">
        <v>51</v>
      </c>
      <c r="L2298" t="s">
        <v>44</v>
      </c>
      <c r="M2298">
        <v>36.200000000000003</v>
      </c>
      <c r="T2298" t="s">
        <v>45</v>
      </c>
      <c r="U2298">
        <v>0</v>
      </c>
      <c r="V2298">
        <v>5</v>
      </c>
    </row>
    <row r="2299" spans="1:22" x14ac:dyDescent="0.3">
      <c r="A2299">
        <v>2298</v>
      </c>
      <c r="B2299">
        <v>52611</v>
      </c>
      <c r="C2299" s="2">
        <v>35288</v>
      </c>
      <c r="D2299">
        <v>29</v>
      </c>
      <c r="E2299" t="s">
        <v>36</v>
      </c>
      <c r="F2299" t="s">
        <v>50</v>
      </c>
      <c r="G2299" s="2">
        <v>45559</v>
      </c>
      <c r="H2299" s="3">
        <f t="shared" si="35"/>
        <v>1.5506849315068494</v>
      </c>
      <c r="I2299">
        <v>120</v>
      </c>
      <c r="J2299" t="s">
        <v>57</v>
      </c>
      <c r="K2299" t="s">
        <v>51</v>
      </c>
      <c r="L2299" t="s">
        <v>44</v>
      </c>
      <c r="M2299">
        <v>36.200000000000003</v>
      </c>
      <c r="T2299" t="s">
        <v>47</v>
      </c>
      <c r="U2299">
        <v>0</v>
      </c>
      <c r="V2299">
        <v>3</v>
      </c>
    </row>
    <row r="2300" spans="1:22" x14ac:dyDescent="0.3">
      <c r="A2300">
        <v>2299</v>
      </c>
      <c r="B2300">
        <v>52612</v>
      </c>
      <c r="C2300" s="2">
        <v>33898</v>
      </c>
      <c r="D2300">
        <v>33</v>
      </c>
      <c r="E2300" t="s">
        <v>36</v>
      </c>
      <c r="F2300" t="s">
        <v>50</v>
      </c>
      <c r="G2300" s="2">
        <v>45456</v>
      </c>
      <c r="H2300" s="3">
        <f t="shared" si="35"/>
        <v>1.3315068493150686</v>
      </c>
      <c r="I2300">
        <v>124</v>
      </c>
      <c r="J2300" t="s">
        <v>57</v>
      </c>
      <c r="K2300" t="s">
        <v>51</v>
      </c>
      <c r="L2300" t="s">
        <v>44</v>
      </c>
      <c r="M2300">
        <v>36.200000000000003</v>
      </c>
      <c r="T2300" t="s">
        <v>45</v>
      </c>
      <c r="U2300">
        <v>0</v>
      </c>
      <c r="V2300">
        <v>4</v>
      </c>
    </row>
    <row r="2301" spans="1:22" x14ac:dyDescent="0.3">
      <c r="A2301">
        <v>2300</v>
      </c>
      <c r="B2301">
        <v>52615</v>
      </c>
      <c r="C2301" s="2">
        <v>35056</v>
      </c>
      <c r="D2301">
        <v>30</v>
      </c>
      <c r="E2301" t="s">
        <v>36</v>
      </c>
      <c r="F2301" t="s">
        <v>50</v>
      </c>
      <c r="G2301" s="2">
        <v>45536</v>
      </c>
      <c r="H2301" s="3">
        <f t="shared" si="35"/>
        <v>1.536986301369863</v>
      </c>
      <c r="I2301">
        <v>138</v>
      </c>
      <c r="J2301" t="s">
        <v>57</v>
      </c>
      <c r="K2301" t="s">
        <v>51</v>
      </c>
      <c r="L2301" t="s">
        <v>44</v>
      </c>
      <c r="M2301">
        <v>36.200000000000003</v>
      </c>
      <c r="T2301" t="s">
        <v>47</v>
      </c>
      <c r="U2301">
        <v>0</v>
      </c>
      <c r="V2301">
        <v>3</v>
      </c>
    </row>
    <row r="2302" spans="1:22" x14ac:dyDescent="0.3">
      <c r="A2302">
        <v>2301</v>
      </c>
      <c r="B2302">
        <v>52616</v>
      </c>
      <c r="C2302" s="2">
        <v>37096</v>
      </c>
      <c r="D2302">
        <v>24</v>
      </c>
      <c r="E2302" t="s">
        <v>36</v>
      </c>
      <c r="F2302" t="s">
        <v>50</v>
      </c>
      <c r="G2302" s="2">
        <v>45461</v>
      </c>
      <c r="H2302" s="3">
        <f t="shared" si="35"/>
        <v>1.4191780821917808</v>
      </c>
      <c r="I2302">
        <v>33</v>
      </c>
      <c r="J2302" t="s">
        <v>38</v>
      </c>
      <c r="K2302" t="s">
        <v>53</v>
      </c>
      <c r="L2302" t="s">
        <v>44</v>
      </c>
      <c r="M2302">
        <v>23.6</v>
      </c>
      <c r="T2302" t="s">
        <v>49</v>
      </c>
      <c r="U2302">
        <v>3</v>
      </c>
      <c r="V2302">
        <v>6</v>
      </c>
    </row>
    <row r="2303" spans="1:22" x14ac:dyDescent="0.3">
      <c r="A2303">
        <v>2302</v>
      </c>
      <c r="B2303">
        <v>52617</v>
      </c>
      <c r="C2303" s="2">
        <v>36521</v>
      </c>
      <c r="D2303">
        <v>26</v>
      </c>
      <c r="E2303" t="s">
        <v>36</v>
      </c>
      <c r="F2303" t="s">
        <v>50</v>
      </c>
      <c r="G2303" s="2">
        <v>45504</v>
      </c>
      <c r="H2303" s="3">
        <f t="shared" si="35"/>
        <v>1.1917808219178083</v>
      </c>
      <c r="I2303">
        <v>20</v>
      </c>
      <c r="J2303" t="s">
        <v>38</v>
      </c>
      <c r="K2303" t="s">
        <v>53</v>
      </c>
      <c r="L2303" t="s">
        <v>44</v>
      </c>
      <c r="M2303">
        <v>23.6</v>
      </c>
      <c r="T2303" t="s">
        <v>47</v>
      </c>
      <c r="U2303">
        <v>2</v>
      </c>
      <c r="V2303">
        <v>5</v>
      </c>
    </row>
    <row r="2304" spans="1:22" x14ac:dyDescent="0.3">
      <c r="A2304">
        <v>2303</v>
      </c>
      <c r="B2304">
        <v>52619</v>
      </c>
      <c r="C2304" s="2">
        <v>35424</v>
      </c>
      <c r="D2304">
        <v>29</v>
      </c>
      <c r="E2304" t="s">
        <v>36</v>
      </c>
      <c r="F2304" t="s">
        <v>50</v>
      </c>
      <c r="G2304" s="2">
        <v>45587</v>
      </c>
      <c r="H2304" s="3">
        <f t="shared" si="35"/>
        <v>1.6794520547945206</v>
      </c>
      <c r="I2304">
        <v>20</v>
      </c>
      <c r="J2304" t="s">
        <v>38</v>
      </c>
      <c r="K2304" t="s">
        <v>53</v>
      </c>
      <c r="L2304" t="s">
        <v>44</v>
      </c>
      <c r="M2304">
        <v>23.6</v>
      </c>
      <c r="T2304" t="s">
        <v>45</v>
      </c>
      <c r="U2304">
        <v>6</v>
      </c>
      <c r="V2304">
        <v>4</v>
      </c>
    </row>
    <row r="2305" spans="1:22" x14ac:dyDescent="0.3">
      <c r="A2305">
        <v>2304</v>
      </c>
      <c r="B2305">
        <v>52620</v>
      </c>
      <c r="C2305" s="2">
        <v>36778</v>
      </c>
      <c r="D2305">
        <v>25</v>
      </c>
      <c r="E2305" t="s">
        <v>36</v>
      </c>
      <c r="F2305" t="s">
        <v>50</v>
      </c>
      <c r="G2305" s="2">
        <v>45409</v>
      </c>
      <c r="H2305" s="3">
        <f t="shared" si="35"/>
        <v>1.704109589041096</v>
      </c>
      <c r="I2305">
        <v>114</v>
      </c>
      <c r="J2305" t="s">
        <v>57</v>
      </c>
      <c r="K2305" t="s">
        <v>53</v>
      </c>
      <c r="L2305" t="s">
        <v>44</v>
      </c>
      <c r="M2305">
        <v>23.6</v>
      </c>
      <c r="T2305" t="s">
        <v>45</v>
      </c>
      <c r="U2305">
        <v>5</v>
      </c>
      <c r="V2305">
        <v>5</v>
      </c>
    </row>
    <row r="2306" spans="1:22" x14ac:dyDescent="0.3">
      <c r="A2306">
        <v>2305</v>
      </c>
      <c r="B2306">
        <v>52621</v>
      </c>
      <c r="C2306" s="2">
        <v>36196</v>
      </c>
      <c r="D2306">
        <v>26</v>
      </c>
      <c r="E2306" t="s">
        <v>42</v>
      </c>
      <c r="F2306" t="s">
        <v>50</v>
      </c>
      <c r="G2306" s="2">
        <v>45400</v>
      </c>
      <c r="H2306" s="3">
        <f t="shared" si="35"/>
        <v>1.0876712328767124</v>
      </c>
      <c r="I2306">
        <v>52</v>
      </c>
      <c r="J2306" t="s">
        <v>38</v>
      </c>
      <c r="K2306" t="s">
        <v>53</v>
      </c>
      <c r="L2306" t="s">
        <v>44</v>
      </c>
      <c r="M2306">
        <v>23.6</v>
      </c>
      <c r="T2306" t="s">
        <v>45</v>
      </c>
      <c r="U2306">
        <v>3</v>
      </c>
      <c r="V2306">
        <v>5</v>
      </c>
    </row>
    <row r="2307" spans="1:22" x14ac:dyDescent="0.3">
      <c r="A2307">
        <v>2306</v>
      </c>
      <c r="B2307">
        <v>52622</v>
      </c>
      <c r="C2307" s="2">
        <v>37096</v>
      </c>
      <c r="D2307">
        <v>24</v>
      </c>
      <c r="E2307" t="s">
        <v>36</v>
      </c>
      <c r="F2307" t="s">
        <v>50</v>
      </c>
      <c r="G2307" s="2">
        <v>45625</v>
      </c>
      <c r="H2307" s="3">
        <f t="shared" ref="H2307:H2370" si="36">DATEDIF(G2308,DATE(2025,12,31),"d")/365</f>
        <v>1.2602739726027397</v>
      </c>
      <c r="I2307">
        <v>114</v>
      </c>
      <c r="J2307" t="s">
        <v>57</v>
      </c>
      <c r="K2307" t="s">
        <v>53</v>
      </c>
      <c r="L2307" t="s">
        <v>44</v>
      </c>
      <c r="M2307">
        <v>23.6</v>
      </c>
      <c r="T2307" t="s">
        <v>52</v>
      </c>
      <c r="U2307">
        <v>3</v>
      </c>
      <c r="V2307">
        <v>5</v>
      </c>
    </row>
    <row r="2308" spans="1:22" x14ac:dyDescent="0.3">
      <c r="A2308">
        <v>2307</v>
      </c>
      <c r="B2308">
        <v>52623</v>
      </c>
      <c r="C2308" s="2">
        <v>33337</v>
      </c>
      <c r="D2308">
        <v>34</v>
      </c>
      <c r="E2308" t="s">
        <v>42</v>
      </c>
      <c r="F2308" t="s">
        <v>50</v>
      </c>
      <c r="G2308" s="2">
        <v>45562</v>
      </c>
      <c r="H2308" s="3">
        <f t="shared" si="36"/>
        <v>1.6794520547945206</v>
      </c>
      <c r="I2308">
        <v>22</v>
      </c>
      <c r="J2308" t="s">
        <v>38</v>
      </c>
      <c r="K2308" t="s">
        <v>53</v>
      </c>
      <c r="L2308" t="s">
        <v>44</v>
      </c>
      <c r="M2308">
        <v>23.6</v>
      </c>
      <c r="T2308" t="s">
        <v>47</v>
      </c>
      <c r="U2308">
        <v>4</v>
      </c>
      <c r="V2308">
        <v>6</v>
      </c>
    </row>
    <row r="2309" spans="1:22" x14ac:dyDescent="0.3">
      <c r="A2309">
        <v>2308</v>
      </c>
      <c r="B2309">
        <v>52624</v>
      </c>
      <c r="C2309" s="2">
        <v>32845</v>
      </c>
      <c r="D2309">
        <v>36</v>
      </c>
      <c r="E2309" t="s">
        <v>36</v>
      </c>
      <c r="F2309" t="s">
        <v>37</v>
      </c>
      <c r="G2309" s="2">
        <v>45409</v>
      </c>
      <c r="H2309" s="3">
        <f t="shared" si="36"/>
        <v>1.7726027397260273</v>
      </c>
      <c r="I2309">
        <v>133</v>
      </c>
      <c r="J2309" t="s">
        <v>57</v>
      </c>
      <c r="K2309" t="s">
        <v>53</v>
      </c>
      <c r="L2309" t="s">
        <v>44</v>
      </c>
      <c r="M2309">
        <v>23.6</v>
      </c>
      <c r="T2309" t="s">
        <v>47</v>
      </c>
      <c r="U2309">
        <v>4</v>
      </c>
      <c r="V2309">
        <v>5</v>
      </c>
    </row>
    <row r="2310" spans="1:22" x14ac:dyDescent="0.3">
      <c r="A2310">
        <v>2309</v>
      </c>
      <c r="B2310">
        <v>52625</v>
      </c>
      <c r="C2310" s="2">
        <v>36406</v>
      </c>
      <c r="D2310">
        <v>26</v>
      </c>
      <c r="E2310" t="s">
        <v>42</v>
      </c>
      <c r="F2310" t="s">
        <v>50</v>
      </c>
      <c r="G2310" s="2">
        <v>45375</v>
      </c>
      <c r="H2310" s="3">
        <f t="shared" si="36"/>
        <v>1.5315068493150685</v>
      </c>
      <c r="I2310">
        <v>141</v>
      </c>
      <c r="J2310" t="s">
        <v>57</v>
      </c>
      <c r="K2310" t="s">
        <v>53</v>
      </c>
      <c r="L2310" t="s">
        <v>44</v>
      </c>
      <c r="M2310">
        <v>23.6</v>
      </c>
      <c r="T2310" t="s">
        <v>52</v>
      </c>
      <c r="U2310">
        <v>4</v>
      </c>
      <c r="V2310">
        <v>6</v>
      </c>
    </row>
    <row r="2311" spans="1:22" x14ac:dyDescent="0.3">
      <c r="A2311">
        <v>2310</v>
      </c>
      <c r="B2311">
        <v>52626</v>
      </c>
      <c r="C2311" s="2">
        <v>34414</v>
      </c>
      <c r="D2311">
        <v>31</v>
      </c>
      <c r="E2311" t="s">
        <v>42</v>
      </c>
      <c r="F2311" t="s">
        <v>50</v>
      </c>
      <c r="G2311" s="2">
        <v>45463</v>
      </c>
      <c r="H2311" s="3">
        <f t="shared" si="36"/>
        <v>1.2438356164383562</v>
      </c>
      <c r="I2311">
        <v>134</v>
      </c>
      <c r="J2311" t="s">
        <v>57</v>
      </c>
      <c r="K2311" t="s">
        <v>53</v>
      </c>
      <c r="L2311" t="s">
        <v>44</v>
      </c>
      <c r="M2311">
        <v>23.6</v>
      </c>
      <c r="T2311" t="s">
        <v>52</v>
      </c>
      <c r="U2311">
        <v>4</v>
      </c>
      <c r="V2311">
        <v>6</v>
      </c>
    </row>
    <row r="2312" spans="1:22" x14ac:dyDescent="0.3">
      <c r="A2312">
        <v>2311</v>
      </c>
      <c r="B2312">
        <v>52627</v>
      </c>
      <c r="C2312" s="2">
        <v>33548</v>
      </c>
      <c r="D2312">
        <v>34</v>
      </c>
      <c r="E2312" t="s">
        <v>36</v>
      </c>
      <c r="F2312" t="s">
        <v>37</v>
      </c>
      <c r="G2312" s="2">
        <v>45568</v>
      </c>
      <c r="H2312" s="3">
        <f t="shared" si="36"/>
        <v>1.3589041095890411</v>
      </c>
      <c r="I2312">
        <v>114</v>
      </c>
      <c r="J2312" t="s">
        <v>57</v>
      </c>
      <c r="K2312" t="s">
        <v>53</v>
      </c>
      <c r="L2312" t="s">
        <v>44</v>
      </c>
      <c r="M2312">
        <v>23.6</v>
      </c>
      <c r="T2312" t="s">
        <v>45</v>
      </c>
      <c r="U2312">
        <v>2</v>
      </c>
      <c r="V2312">
        <v>4</v>
      </c>
    </row>
    <row r="2313" spans="1:22" x14ac:dyDescent="0.3">
      <c r="A2313">
        <v>2312</v>
      </c>
      <c r="B2313">
        <v>52628</v>
      </c>
      <c r="C2313" s="2">
        <v>33986</v>
      </c>
      <c r="D2313">
        <v>32</v>
      </c>
      <c r="E2313" t="s">
        <v>36</v>
      </c>
      <c r="F2313" t="s">
        <v>50</v>
      </c>
      <c r="G2313" s="2">
        <v>45526</v>
      </c>
      <c r="H2313" s="3">
        <f t="shared" si="36"/>
        <v>1.1095890410958904</v>
      </c>
      <c r="I2313">
        <v>141</v>
      </c>
      <c r="J2313" t="s">
        <v>57</v>
      </c>
      <c r="K2313" t="s">
        <v>53</v>
      </c>
      <c r="L2313" t="s">
        <v>44</v>
      </c>
      <c r="M2313">
        <v>23.6</v>
      </c>
      <c r="T2313" t="s">
        <v>45</v>
      </c>
      <c r="U2313">
        <v>6</v>
      </c>
      <c r="V2313">
        <v>5</v>
      </c>
    </row>
    <row r="2314" spans="1:22" x14ac:dyDescent="0.3">
      <c r="A2314">
        <v>2313</v>
      </c>
      <c r="B2314">
        <v>52629</v>
      </c>
      <c r="C2314" s="2">
        <v>36722</v>
      </c>
      <c r="D2314">
        <v>25</v>
      </c>
      <c r="E2314" t="s">
        <v>42</v>
      </c>
      <c r="F2314" t="s">
        <v>37</v>
      </c>
      <c r="G2314" s="2">
        <v>45617</v>
      </c>
      <c r="H2314" s="3">
        <f t="shared" si="36"/>
        <v>1.2821917808219179</v>
      </c>
      <c r="I2314">
        <v>49</v>
      </c>
      <c r="J2314" t="s">
        <v>38</v>
      </c>
      <c r="K2314" t="s">
        <v>53</v>
      </c>
      <c r="L2314" t="s">
        <v>44</v>
      </c>
      <c r="M2314">
        <v>23.6</v>
      </c>
      <c r="T2314" t="s">
        <v>52</v>
      </c>
      <c r="U2314">
        <v>5</v>
      </c>
      <c r="V2314">
        <v>6</v>
      </c>
    </row>
    <row r="2315" spans="1:22" x14ac:dyDescent="0.3">
      <c r="A2315">
        <v>2314</v>
      </c>
      <c r="B2315">
        <v>52630</v>
      </c>
      <c r="C2315" s="2">
        <v>34592</v>
      </c>
      <c r="D2315">
        <v>31</v>
      </c>
      <c r="E2315" t="s">
        <v>36</v>
      </c>
      <c r="F2315" t="s">
        <v>50</v>
      </c>
      <c r="G2315" s="2">
        <v>45554</v>
      </c>
      <c r="H2315" s="3">
        <f t="shared" si="36"/>
        <v>1.5753424657534247</v>
      </c>
      <c r="I2315">
        <v>18</v>
      </c>
      <c r="J2315" t="s">
        <v>38</v>
      </c>
      <c r="K2315" t="s">
        <v>53</v>
      </c>
      <c r="L2315" t="s">
        <v>44</v>
      </c>
      <c r="M2315">
        <v>23.6</v>
      </c>
      <c r="T2315" t="s">
        <v>45</v>
      </c>
      <c r="U2315">
        <v>4</v>
      </c>
      <c r="V2315">
        <v>5</v>
      </c>
    </row>
    <row r="2316" spans="1:22" x14ac:dyDescent="0.3">
      <c r="A2316">
        <v>2315</v>
      </c>
      <c r="B2316">
        <v>52631</v>
      </c>
      <c r="C2316" s="2">
        <v>37152</v>
      </c>
      <c r="D2316">
        <v>24</v>
      </c>
      <c r="E2316" t="s">
        <v>42</v>
      </c>
      <c r="F2316" t="s">
        <v>50</v>
      </c>
      <c r="G2316" s="2">
        <v>45447</v>
      </c>
      <c r="H2316" s="3">
        <f t="shared" si="36"/>
        <v>1.3808219178082193</v>
      </c>
      <c r="I2316">
        <v>91</v>
      </c>
      <c r="J2316" t="s">
        <v>57</v>
      </c>
      <c r="K2316" t="s">
        <v>53</v>
      </c>
      <c r="L2316" t="s">
        <v>44</v>
      </c>
      <c r="M2316">
        <v>23.6</v>
      </c>
      <c r="T2316" t="s">
        <v>45</v>
      </c>
      <c r="U2316">
        <v>1</v>
      </c>
      <c r="V2316">
        <v>7</v>
      </c>
    </row>
    <row r="2317" spans="1:22" x14ac:dyDescent="0.3">
      <c r="A2317">
        <v>2316</v>
      </c>
      <c r="B2317">
        <v>52632</v>
      </c>
      <c r="C2317" s="2">
        <v>36226</v>
      </c>
      <c r="D2317">
        <v>26</v>
      </c>
      <c r="E2317" t="s">
        <v>42</v>
      </c>
      <c r="F2317" t="s">
        <v>50</v>
      </c>
      <c r="G2317" s="2">
        <v>45518</v>
      </c>
      <c r="H2317" s="3">
        <f t="shared" si="36"/>
        <v>1.7424657534246575</v>
      </c>
      <c r="I2317">
        <v>127</v>
      </c>
      <c r="J2317" t="s">
        <v>57</v>
      </c>
      <c r="K2317" t="s">
        <v>53</v>
      </c>
      <c r="L2317" t="s">
        <v>44</v>
      </c>
      <c r="M2317">
        <v>23.6</v>
      </c>
      <c r="T2317" t="s">
        <v>45</v>
      </c>
      <c r="U2317">
        <v>4</v>
      </c>
      <c r="V2317">
        <v>6</v>
      </c>
    </row>
    <row r="2318" spans="1:22" x14ac:dyDescent="0.3">
      <c r="A2318">
        <v>2317</v>
      </c>
      <c r="B2318">
        <v>52634</v>
      </c>
      <c r="C2318" s="2">
        <v>33307</v>
      </c>
      <c r="D2318">
        <v>34</v>
      </c>
      <c r="E2318" t="s">
        <v>42</v>
      </c>
      <c r="F2318" t="s">
        <v>50</v>
      </c>
      <c r="G2318" s="2">
        <v>45386</v>
      </c>
      <c r="H2318" s="3">
        <f t="shared" si="36"/>
        <v>1.6219178082191781</v>
      </c>
      <c r="I2318">
        <v>20</v>
      </c>
      <c r="J2318" t="s">
        <v>38</v>
      </c>
      <c r="K2318" t="s">
        <v>53</v>
      </c>
      <c r="L2318" t="s">
        <v>44</v>
      </c>
      <c r="M2318">
        <v>23.6</v>
      </c>
      <c r="T2318" t="s">
        <v>52</v>
      </c>
      <c r="U2318">
        <v>3</v>
      </c>
      <c r="V2318">
        <v>7</v>
      </c>
    </row>
    <row r="2319" spans="1:22" x14ac:dyDescent="0.3">
      <c r="A2319">
        <v>2318</v>
      </c>
      <c r="B2319">
        <v>52635</v>
      </c>
      <c r="C2319" s="2">
        <v>33881</v>
      </c>
      <c r="D2319">
        <v>33</v>
      </c>
      <c r="E2319" t="s">
        <v>42</v>
      </c>
      <c r="F2319" t="s">
        <v>50</v>
      </c>
      <c r="G2319" s="2">
        <v>45430</v>
      </c>
      <c r="H2319" s="3">
        <f t="shared" si="36"/>
        <v>1.4027397260273973</v>
      </c>
      <c r="I2319">
        <v>44</v>
      </c>
      <c r="J2319" t="s">
        <v>38</v>
      </c>
      <c r="K2319" t="s">
        <v>53</v>
      </c>
      <c r="L2319" t="s">
        <v>44</v>
      </c>
      <c r="M2319">
        <v>23.6</v>
      </c>
      <c r="T2319" t="s">
        <v>45</v>
      </c>
      <c r="U2319">
        <v>6</v>
      </c>
      <c r="V2319">
        <v>7</v>
      </c>
    </row>
    <row r="2320" spans="1:22" x14ac:dyDescent="0.3">
      <c r="A2320">
        <v>2319</v>
      </c>
      <c r="B2320">
        <v>52636</v>
      </c>
      <c r="C2320" s="2">
        <v>35793</v>
      </c>
      <c r="D2320">
        <v>28</v>
      </c>
      <c r="E2320" t="s">
        <v>36</v>
      </c>
      <c r="F2320" t="s">
        <v>50</v>
      </c>
      <c r="G2320" s="2">
        <v>45510</v>
      </c>
      <c r="H2320" s="3">
        <f t="shared" si="36"/>
        <v>1.5315068493150685</v>
      </c>
      <c r="I2320">
        <v>72</v>
      </c>
      <c r="J2320" t="s">
        <v>57</v>
      </c>
      <c r="K2320" t="s">
        <v>53</v>
      </c>
      <c r="L2320" t="s">
        <v>44</v>
      </c>
      <c r="M2320">
        <v>23.6</v>
      </c>
      <c r="T2320" t="s">
        <v>49</v>
      </c>
      <c r="U2320">
        <v>5</v>
      </c>
      <c r="V2320">
        <v>5</v>
      </c>
    </row>
    <row r="2321" spans="1:22" x14ac:dyDescent="0.3">
      <c r="A2321">
        <v>2320</v>
      </c>
      <c r="B2321">
        <v>52637</v>
      </c>
      <c r="C2321" s="2">
        <v>35299</v>
      </c>
      <c r="D2321">
        <v>29</v>
      </c>
      <c r="E2321" t="s">
        <v>36</v>
      </c>
      <c r="F2321" t="s">
        <v>50</v>
      </c>
      <c r="G2321" s="2">
        <v>45463</v>
      </c>
      <c r="H2321" s="3">
        <f t="shared" si="36"/>
        <v>1.8465753424657534</v>
      </c>
      <c r="I2321">
        <v>95</v>
      </c>
      <c r="J2321" t="s">
        <v>57</v>
      </c>
      <c r="K2321" t="s">
        <v>53</v>
      </c>
      <c r="L2321" t="s">
        <v>44</v>
      </c>
      <c r="M2321">
        <v>23.6</v>
      </c>
      <c r="T2321" t="s">
        <v>45</v>
      </c>
      <c r="U2321">
        <v>2</v>
      </c>
      <c r="V2321">
        <v>4</v>
      </c>
    </row>
    <row r="2322" spans="1:22" x14ac:dyDescent="0.3">
      <c r="A2322">
        <v>2321</v>
      </c>
      <c r="B2322">
        <v>52638</v>
      </c>
      <c r="C2322" s="2">
        <v>35818</v>
      </c>
      <c r="D2322">
        <v>27</v>
      </c>
      <c r="E2322" t="s">
        <v>36</v>
      </c>
      <c r="F2322" t="s">
        <v>50</v>
      </c>
      <c r="G2322" s="2">
        <v>45348</v>
      </c>
      <c r="H2322" s="3">
        <f t="shared" si="36"/>
        <v>1.6164383561643836</v>
      </c>
      <c r="I2322">
        <v>88</v>
      </c>
      <c r="J2322" t="s">
        <v>57</v>
      </c>
      <c r="K2322" t="s">
        <v>53</v>
      </c>
      <c r="L2322" t="s">
        <v>44</v>
      </c>
      <c r="M2322">
        <v>23.6</v>
      </c>
      <c r="T2322" t="s">
        <v>45</v>
      </c>
      <c r="U2322">
        <v>3</v>
      </c>
      <c r="V2322">
        <v>5</v>
      </c>
    </row>
    <row r="2323" spans="1:22" x14ac:dyDescent="0.3">
      <c r="A2323">
        <v>2322</v>
      </c>
      <c r="B2323">
        <v>52639</v>
      </c>
      <c r="C2323" s="2">
        <v>34642</v>
      </c>
      <c r="D2323">
        <v>31</v>
      </c>
      <c r="E2323" t="s">
        <v>36</v>
      </c>
      <c r="F2323" t="s">
        <v>50</v>
      </c>
      <c r="G2323" s="2">
        <v>45432</v>
      </c>
      <c r="H2323" s="3">
        <f t="shared" si="36"/>
        <v>1.1643835616438356</v>
      </c>
      <c r="I2323">
        <v>139</v>
      </c>
      <c r="J2323" t="s">
        <v>57</v>
      </c>
      <c r="K2323" t="s">
        <v>53</v>
      </c>
      <c r="L2323" t="s">
        <v>44</v>
      </c>
      <c r="M2323">
        <v>23.6</v>
      </c>
      <c r="T2323" t="s">
        <v>49</v>
      </c>
      <c r="U2323">
        <v>3</v>
      </c>
      <c r="V2323">
        <v>6</v>
      </c>
    </row>
    <row r="2324" spans="1:22" x14ac:dyDescent="0.3">
      <c r="A2324">
        <v>2323</v>
      </c>
      <c r="B2324">
        <v>52640</v>
      </c>
      <c r="C2324" s="2">
        <v>36394</v>
      </c>
      <c r="D2324">
        <v>26</v>
      </c>
      <c r="E2324" t="s">
        <v>36</v>
      </c>
      <c r="F2324" t="s">
        <v>50</v>
      </c>
      <c r="G2324" s="2">
        <v>45597</v>
      </c>
      <c r="H2324" s="3">
        <f t="shared" si="36"/>
        <v>1.5397260273972602</v>
      </c>
      <c r="I2324">
        <v>139</v>
      </c>
      <c r="J2324" t="s">
        <v>57</v>
      </c>
      <c r="K2324" t="s">
        <v>53</v>
      </c>
      <c r="L2324" t="s">
        <v>44</v>
      </c>
      <c r="M2324">
        <v>23.6</v>
      </c>
      <c r="T2324" t="s">
        <v>45</v>
      </c>
      <c r="U2324">
        <v>6</v>
      </c>
      <c r="V2324">
        <v>5</v>
      </c>
    </row>
    <row r="2325" spans="1:22" x14ac:dyDescent="0.3">
      <c r="A2325">
        <v>2324</v>
      </c>
      <c r="B2325">
        <v>52641</v>
      </c>
      <c r="C2325" s="2">
        <v>35269</v>
      </c>
      <c r="D2325">
        <v>29</v>
      </c>
      <c r="E2325" t="s">
        <v>36</v>
      </c>
      <c r="F2325" t="s">
        <v>37</v>
      </c>
      <c r="G2325" s="2">
        <v>45460</v>
      </c>
      <c r="H2325" s="3">
        <f t="shared" si="36"/>
        <v>1.095890410958904</v>
      </c>
      <c r="I2325">
        <v>80</v>
      </c>
      <c r="J2325" t="s">
        <v>57</v>
      </c>
      <c r="K2325" t="s">
        <v>53</v>
      </c>
      <c r="L2325" t="s">
        <v>44</v>
      </c>
      <c r="M2325">
        <v>23.6</v>
      </c>
      <c r="T2325" t="s">
        <v>52</v>
      </c>
      <c r="U2325">
        <v>6</v>
      </c>
      <c r="V2325">
        <v>4</v>
      </c>
    </row>
    <row r="2326" spans="1:22" x14ac:dyDescent="0.3">
      <c r="A2326">
        <v>2325</v>
      </c>
      <c r="B2326">
        <v>52642</v>
      </c>
      <c r="C2326" s="2">
        <v>35799</v>
      </c>
      <c r="D2326">
        <v>27</v>
      </c>
      <c r="E2326" t="s">
        <v>36</v>
      </c>
      <c r="F2326" t="s">
        <v>50</v>
      </c>
      <c r="G2326" s="2">
        <v>45622</v>
      </c>
      <c r="H2326" s="3">
        <f t="shared" si="36"/>
        <v>1.4602739726027398</v>
      </c>
      <c r="I2326">
        <v>1</v>
      </c>
      <c r="J2326" t="s">
        <v>38</v>
      </c>
      <c r="K2326" t="s">
        <v>53</v>
      </c>
      <c r="L2326" t="s">
        <v>44</v>
      </c>
      <c r="M2326">
        <v>23.6</v>
      </c>
      <c r="T2326" t="s">
        <v>45</v>
      </c>
      <c r="U2326">
        <v>6</v>
      </c>
      <c r="V2326">
        <v>7</v>
      </c>
    </row>
    <row r="2327" spans="1:22" x14ac:dyDescent="0.3">
      <c r="A2327">
        <v>2326</v>
      </c>
      <c r="B2327">
        <v>52643</v>
      </c>
      <c r="C2327" s="2">
        <v>34095</v>
      </c>
      <c r="D2327">
        <v>32</v>
      </c>
      <c r="E2327" t="s">
        <v>36</v>
      </c>
      <c r="F2327" t="s">
        <v>50</v>
      </c>
      <c r="G2327" s="2">
        <v>45489</v>
      </c>
      <c r="H2327" s="3">
        <f t="shared" si="36"/>
        <v>1.8027397260273972</v>
      </c>
      <c r="I2327">
        <v>40</v>
      </c>
      <c r="J2327" t="s">
        <v>38</v>
      </c>
      <c r="K2327" t="s">
        <v>53</v>
      </c>
      <c r="L2327" t="s">
        <v>44</v>
      </c>
      <c r="M2327">
        <v>23.6</v>
      </c>
      <c r="T2327" t="s">
        <v>52</v>
      </c>
      <c r="U2327">
        <v>1</v>
      </c>
      <c r="V2327">
        <v>5</v>
      </c>
    </row>
    <row r="2328" spans="1:22" x14ac:dyDescent="0.3">
      <c r="A2328">
        <v>2327</v>
      </c>
      <c r="B2328">
        <v>52644</v>
      </c>
      <c r="C2328" s="2">
        <v>31554</v>
      </c>
      <c r="D2328">
        <v>39</v>
      </c>
      <c r="E2328" t="s">
        <v>36</v>
      </c>
      <c r="F2328" t="s">
        <v>50</v>
      </c>
      <c r="G2328" s="2">
        <v>45364</v>
      </c>
      <c r="H2328" s="3">
        <f t="shared" si="36"/>
        <v>1.3917808219178083</v>
      </c>
      <c r="I2328">
        <v>13</v>
      </c>
      <c r="J2328" t="s">
        <v>38</v>
      </c>
      <c r="K2328" t="s">
        <v>53</v>
      </c>
      <c r="L2328" t="s">
        <v>44</v>
      </c>
      <c r="M2328">
        <v>23.6</v>
      </c>
      <c r="T2328" t="s">
        <v>52</v>
      </c>
      <c r="U2328">
        <v>3</v>
      </c>
      <c r="V2328">
        <v>5</v>
      </c>
    </row>
    <row r="2329" spans="1:22" x14ac:dyDescent="0.3">
      <c r="A2329">
        <v>2328</v>
      </c>
      <c r="B2329">
        <v>52645</v>
      </c>
      <c r="C2329" s="2">
        <v>36790</v>
      </c>
      <c r="D2329">
        <v>25</v>
      </c>
      <c r="E2329" t="s">
        <v>42</v>
      </c>
      <c r="F2329" t="s">
        <v>50</v>
      </c>
      <c r="G2329" s="2">
        <v>45514</v>
      </c>
      <c r="H2329" s="3">
        <f t="shared" si="36"/>
        <v>1.0438356164383562</v>
      </c>
      <c r="I2329">
        <v>43</v>
      </c>
      <c r="J2329" t="s">
        <v>38</v>
      </c>
      <c r="K2329" t="s">
        <v>53</v>
      </c>
      <c r="L2329" t="s">
        <v>44</v>
      </c>
      <c r="M2329">
        <v>23.6</v>
      </c>
      <c r="T2329" t="s">
        <v>52</v>
      </c>
      <c r="U2329">
        <v>3</v>
      </c>
      <c r="V2329">
        <v>7</v>
      </c>
    </row>
    <row r="2330" spans="1:22" x14ac:dyDescent="0.3">
      <c r="A2330">
        <v>2329</v>
      </c>
      <c r="B2330">
        <v>52646</v>
      </c>
      <c r="C2330" s="2">
        <v>37233</v>
      </c>
      <c r="D2330">
        <v>24</v>
      </c>
      <c r="E2330" t="s">
        <v>42</v>
      </c>
      <c r="F2330" t="s">
        <v>37</v>
      </c>
      <c r="G2330" s="2">
        <v>45641</v>
      </c>
      <c r="H2330" s="3">
        <f t="shared" si="36"/>
        <v>1.6904109589041096</v>
      </c>
      <c r="I2330">
        <v>67</v>
      </c>
      <c r="J2330" t="s">
        <v>57</v>
      </c>
      <c r="K2330" t="s">
        <v>53</v>
      </c>
      <c r="L2330" t="s">
        <v>44</v>
      </c>
      <c r="M2330">
        <v>23.6</v>
      </c>
      <c r="T2330" t="s">
        <v>45</v>
      </c>
      <c r="U2330">
        <v>5</v>
      </c>
      <c r="V2330">
        <v>6</v>
      </c>
    </row>
    <row r="2331" spans="1:22" x14ac:dyDescent="0.3">
      <c r="A2331">
        <v>2330</v>
      </c>
      <c r="B2331">
        <v>52647</v>
      </c>
      <c r="C2331" s="2">
        <v>34135</v>
      </c>
      <c r="D2331">
        <v>32</v>
      </c>
      <c r="E2331" t="s">
        <v>36</v>
      </c>
      <c r="F2331" t="s">
        <v>50</v>
      </c>
      <c r="G2331" s="2">
        <v>45405</v>
      </c>
      <c r="H2331" s="3">
        <f t="shared" si="36"/>
        <v>1.1205479452054794</v>
      </c>
      <c r="I2331">
        <v>69</v>
      </c>
      <c r="J2331" t="s">
        <v>57</v>
      </c>
      <c r="K2331" t="s">
        <v>53</v>
      </c>
      <c r="L2331" t="s">
        <v>44</v>
      </c>
      <c r="M2331">
        <v>23.6</v>
      </c>
      <c r="T2331" t="s">
        <v>45</v>
      </c>
      <c r="U2331">
        <v>6</v>
      </c>
      <c r="V2331">
        <v>6</v>
      </c>
    </row>
    <row r="2332" spans="1:22" x14ac:dyDescent="0.3">
      <c r="A2332">
        <v>2331</v>
      </c>
      <c r="B2332">
        <v>52648</v>
      </c>
      <c r="C2332" s="2">
        <v>36189</v>
      </c>
      <c r="D2332">
        <v>26</v>
      </c>
      <c r="E2332" t="s">
        <v>42</v>
      </c>
      <c r="F2332" t="s">
        <v>50</v>
      </c>
      <c r="G2332" s="2">
        <v>45613</v>
      </c>
      <c r="H2332" s="3">
        <f t="shared" si="36"/>
        <v>1.4</v>
      </c>
      <c r="I2332">
        <v>115</v>
      </c>
      <c r="J2332" t="s">
        <v>57</v>
      </c>
      <c r="K2332" t="s">
        <v>53</v>
      </c>
      <c r="L2332" t="s">
        <v>44</v>
      </c>
      <c r="M2332">
        <v>23.6</v>
      </c>
      <c r="T2332" t="s">
        <v>49</v>
      </c>
      <c r="U2332">
        <v>3</v>
      </c>
      <c r="V2332">
        <v>7</v>
      </c>
    </row>
    <row r="2333" spans="1:22" x14ac:dyDescent="0.3">
      <c r="A2333">
        <v>2332</v>
      </c>
      <c r="B2333">
        <v>52649</v>
      </c>
      <c r="C2333" s="2">
        <v>34204</v>
      </c>
      <c r="D2333">
        <v>32</v>
      </c>
      <c r="E2333" t="s">
        <v>36</v>
      </c>
      <c r="F2333" t="s">
        <v>50</v>
      </c>
      <c r="G2333" s="2">
        <v>45511</v>
      </c>
      <c r="H2333" s="3">
        <f t="shared" si="36"/>
        <v>1.6109589041095891</v>
      </c>
      <c r="I2333">
        <v>90</v>
      </c>
      <c r="J2333" t="s">
        <v>57</v>
      </c>
      <c r="K2333" t="s">
        <v>53</v>
      </c>
      <c r="L2333" t="s">
        <v>44</v>
      </c>
      <c r="M2333">
        <v>23.6</v>
      </c>
      <c r="T2333" t="s">
        <v>52</v>
      </c>
      <c r="U2333">
        <v>0</v>
      </c>
      <c r="V2333">
        <v>5</v>
      </c>
    </row>
    <row r="2334" spans="1:22" x14ac:dyDescent="0.3">
      <c r="A2334">
        <v>2333</v>
      </c>
      <c r="B2334">
        <v>52650</v>
      </c>
      <c r="C2334" s="2">
        <v>35556</v>
      </c>
      <c r="D2334">
        <v>28</v>
      </c>
      <c r="E2334" t="s">
        <v>36</v>
      </c>
      <c r="F2334" t="s">
        <v>50</v>
      </c>
      <c r="G2334" s="2">
        <v>45434</v>
      </c>
      <c r="H2334" s="3">
        <f t="shared" si="36"/>
        <v>1.3835616438356164</v>
      </c>
      <c r="I2334">
        <v>30</v>
      </c>
      <c r="J2334" t="s">
        <v>38</v>
      </c>
      <c r="K2334" t="s">
        <v>53</v>
      </c>
      <c r="L2334" t="s">
        <v>44</v>
      </c>
      <c r="M2334">
        <v>23.6</v>
      </c>
      <c r="T2334" t="s">
        <v>49</v>
      </c>
      <c r="U2334">
        <v>2</v>
      </c>
      <c r="V2334">
        <v>4</v>
      </c>
    </row>
    <row r="2335" spans="1:22" x14ac:dyDescent="0.3">
      <c r="A2335">
        <v>2334</v>
      </c>
      <c r="B2335">
        <v>52651</v>
      </c>
      <c r="C2335" s="2">
        <v>35413</v>
      </c>
      <c r="D2335">
        <v>29</v>
      </c>
      <c r="E2335" t="s">
        <v>36</v>
      </c>
      <c r="F2335" t="s">
        <v>50</v>
      </c>
      <c r="G2335" s="2">
        <v>45517</v>
      </c>
      <c r="H2335" s="3">
        <f t="shared" si="36"/>
        <v>1.3671232876712329</v>
      </c>
      <c r="I2335">
        <v>96</v>
      </c>
      <c r="J2335" t="s">
        <v>57</v>
      </c>
      <c r="K2335" t="s">
        <v>53</v>
      </c>
      <c r="L2335" t="s">
        <v>44</v>
      </c>
      <c r="M2335">
        <v>23.6</v>
      </c>
      <c r="T2335" t="s">
        <v>49</v>
      </c>
      <c r="U2335">
        <v>5</v>
      </c>
      <c r="V2335">
        <v>5</v>
      </c>
    </row>
    <row r="2336" spans="1:22" x14ac:dyDescent="0.3">
      <c r="A2336">
        <v>2335</v>
      </c>
      <c r="B2336">
        <v>52652</v>
      </c>
      <c r="C2336" s="2">
        <v>34277</v>
      </c>
      <c r="D2336">
        <v>32</v>
      </c>
      <c r="E2336" t="s">
        <v>42</v>
      </c>
      <c r="F2336" t="s">
        <v>37</v>
      </c>
      <c r="G2336" s="2">
        <v>45523</v>
      </c>
      <c r="H2336" s="3">
        <f t="shared" si="36"/>
        <v>1.6575342465753424</v>
      </c>
      <c r="I2336">
        <v>71</v>
      </c>
      <c r="J2336" t="s">
        <v>57</v>
      </c>
      <c r="K2336" t="s">
        <v>53</v>
      </c>
      <c r="L2336" t="s">
        <v>44</v>
      </c>
      <c r="M2336">
        <v>23.6</v>
      </c>
      <c r="T2336" t="s">
        <v>47</v>
      </c>
      <c r="U2336">
        <v>4</v>
      </c>
      <c r="V2336">
        <v>6</v>
      </c>
    </row>
    <row r="2337" spans="1:22" x14ac:dyDescent="0.3">
      <c r="A2337">
        <v>2336</v>
      </c>
      <c r="B2337">
        <v>52653</v>
      </c>
      <c r="C2337" s="2">
        <v>36107</v>
      </c>
      <c r="D2337">
        <v>27</v>
      </c>
      <c r="E2337" t="s">
        <v>36</v>
      </c>
      <c r="F2337" t="s">
        <v>50</v>
      </c>
      <c r="G2337" s="2">
        <v>45417</v>
      </c>
      <c r="H2337" s="3">
        <f t="shared" si="36"/>
        <v>1.1095890410958904</v>
      </c>
      <c r="I2337">
        <v>11</v>
      </c>
      <c r="J2337" t="s">
        <v>38</v>
      </c>
      <c r="K2337" t="s">
        <v>53</v>
      </c>
      <c r="L2337" t="s">
        <v>44</v>
      </c>
      <c r="M2337">
        <v>23.6</v>
      </c>
      <c r="T2337" t="s">
        <v>49</v>
      </c>
      <c r="U2337">
        <v>2</v>
      </c>
      <c r="V2337">
        <v>5</v>
      </c>
    </row>
    <row r="2338" spans="1:22" x14ac:dyDescent="0.3">
      <c r="A2338">
        <v>2337</v>
      </c>
      <c r="B2338">
        <v>52654</v>
      </c>
      <c r="C2338" s="2">
        <v>36801</v>
      </c>
      <c r="D2338">
        <v>25</v>
      </c>
      <c r="E2338" t="s">
        <v>42</v>
      </c>
      <c r="F2338" t="s">
        <v>37</v>
      </c>
      <c r="G2338" s="2">
        <v>45617</v>
      </c>
      <c r="H2338" s="3">
        <f t="shared" si="36"/>
        <v>1.0684931506849316</v>
      </c>
      <c r="I2338">
        <v>27</v>
      </c>
      <c r="J2338" t="s">
        <v>38</v>
      </c>
      <c r="K2338" t="s">
        <v>53</v>
      </c>
      <c r="L2338" t="s">
        <v>44</v>
      </c>
      <c r="M2338">
        <v>23.6</v>
      </c>
      <c r="T2338" t="s">
        <v>49</v>
      </c>
      <c r="U2338">
        <v>6</v>
      </c>
      <c r="V2338">
        <v>6</v>
      </c>
    </row>
    <row r="2339" spans="1:22" x14ac:dyDescent="0.3">
      <c r="A2339">
        <v>2338</v>
      </c>
      <c r="B2339">
        <v>52655</v>
      </c>
      <c r="C2339" s="2">
        <v>36076</v>
      </c>
      <c r="D2339">
        <v>27</v>
      </c>
      <c r="E2339" t="s">
        <v>36</v>
      </c>
      <c r="F2339" t="s">
        <v>50</v>
      </c>
      <c r="G2339" s="2">
        <v>45632</v>
      </c>
      <c r="H2339" s="3">
        <f t="shared" si="36"/>
        <v>1.0465753424657533</v>
      </c>
      <c r="I2339">
        <v>41</v>
      </c>
      <c r="J2339" t="s">
        <v>38</v>
      </c>
      <c r="K2339" t="s">
        <v>53</v>
      </c>
      <c r="L2339" t="s">
        <v>44</v>
      </c>
      <c r="M2339">
        <v>23.6</v>
      </c>
      <c r="T2339" t="s">
        <v>45</v>
      </c>
      <c r="U2339">
        <v>5</v>
      </c>
      <c r="V2339">
        <v>4</v>
      </c>
    </row>
    <row r="2340" spans="1:22" x14ac:dyDescent="0.3">
      <c r="A2340">
        <v>2339</v>
      </c>
      <c r="B2340">
        <v>52656</v>
      </c>
      <c r="C2340" s="2">
        <v>35733</v>
      </c>
      <c r="D2340">
        <v>28</v>
      </c>
      <c r="E2340" t="s">
        <v>36</v>
      </c>
      <c r="F2340" t="s">
        <v>50</v>
      </c>
      <c r="G2340" s="2">
        <v>45640</v>
      </c>
      <c r="H2340" s="3">
        <f t="shared" si="36"/>
        <v>1.2383561643835617</v>
      </c>
      <c r="I2340">
        <v>58</v>
      </c>
      <c r="J2340" t="s">
        <v>38</v>
      </c>
      <c r="K2340" t="s">
        <v>53</v>
      </c>
      <c r="L2340" t="s">
        <v>44</v>
      </c>
      <c r="M2340">
        <v>23.6</v>
      </c>
      <c r="T2340" t="s">
        <v>49</v>
      </c>
      <c r="U2340">
        <v>1</v>
      </c>
      <c r="V2340">
        <v>5</v>
      </c>
    </row>
    <row r="2341" spans="1:22" x14ac:dyDescent="0.3">
      <c r="A2341">
        <v>2340</v>
      </c>
      <c r="B2341">
        <v>52657</v>
      </c>
      <c r="C2341" s="2">
        <v>33646</v>
      </c>
      <c r="D2341">
        <v>33</v>
      </c>
      <c r="E2341" t="s">
        <v>36</v>
      </c>
      <c r="F2341" t="s">
        <v>37</v>
      </c>
      <c r="G2341" s="2">
        <v>45570</v>
      </c>
      <c r="H2341" s="3">
        <f t="shared" si="36"/>
        <v>1.5452054794520549</v>
      </c>
      <c r="I2341">
        <v>76</v>
      </c>
      <c r="J2341" t="s">
        <v>57</v>
      </c>
      <c r="K2341" t="s">
        <v>53</v>
      </c>
      <c r="L2341" t="s">
        <v>44</v>
      </c>
      <c r="M2341">
        <v>23.6</v>
      </c>
      <c r="T2341" t="s">
        <v>49</v>
      </c>
      <c r="U2341">
        <v>4</v>
      </c>
      <c r="V2341">
        <v>4</v>
      </c>
    </row>
    <row r="2342" spans="1:22" x14ac:dyDescent="0.3">
      <c r="A2342">
        <v>2341</v>
      </c>
      <c r="B2342">
        <v>52658</v>
      </c>
      <c r="C2342" s="2">
        <v>33662</v>
      </c>
      <c r="D2342">
        <v>33</v>
      </c>
      <c r="E2342" t="s">
        <v>36</v>
      </c>
      <c r="F2342" t="s">
        <v>50</v>
      </c>
      <c r="G2342" s="2">
        <v>45458</v>
      </c>
      <c r="H2342" s="3">
        <f t="shared" si="36"/>
        <v>1.0575342465753426</v>
      </c>
      <c r="I2342">
        <v>79</v>
      </c>
      <c r="J2342" t="s">
        <v>57</v>
      </c>
      <c r="K2342" t="s">
        <v>53</v>
      </c>
      <c r="L2342" t="s">
        <v>44</v>
      </c>
      <c r="M2342">
        <v>23.6</v>
      </c>
      <c r="T2342" t="s">
        <v>52</v>
      </c>
      <c r="U2342">
        <v>3</v>
      </c>
      <c r="V2342">
        <v>7</v>
      </c>
    </row>
    <row r="2343" spans="1:22" x14ac:dyDescent="0.3">
      <c r="A2343">
        <v>2342</v>
      </c>
      <c r="B2343">
        <v>52659</v>
      </c>
      <c r="C2343" s="2">
        <v>33947</v>
      </c>
      <c r="D2343">
        <v>33</v>
      </c>
      <c r="E2343" t="s">
        <v>36</v>
      </c>
      <c r="F2343" t="s">
        <v>50</v>
      </c>
      <c r="G2343" s="2">
        <v>45636</v>
      </c>
      <c r="H2343" s="3">
        <f t="shared" si="36"/>
        <v>1.5424657534246575</v>
      </c>
      <c r="I2343">
        <v>104</v>
      </c>
      <c r="J2343" t="s">
        <v>57</v>
      </c>
      <c r="K2343" t="s">
        <v>53</v>
      </c>
      <c r="L2343" t="s">
        <v>44</v>
      </c>
      <c r="M2343">
        <v>23.6</v>
      </c>
      <c r="T2343" t="s">
        <v>52</v>
      </c>
      <c r="U2343">
        <v>5</v>
      </c>
      <c r="V2343">
        <v>5</v>
      </c>
    </row>
    <row r="2344" spans="1:22" x14ac:dyDescent="0.3">
      <c r="A2344">
        <v>2343</v>
      </c>
      <c r="B2344">
        <v>52660</v>
      </c>
      <c r="C2344" s="2">
        <v>36165</v>
      </c>
      <c r="D2344">
        <v>26</v>
      </c>
      <c r="E2344" t="s">
        <v>36</v>
      </c>
      <c r="F2344" t="s">
        <v>50</v>
      </c>
      <c r="G2344" s="2">
        <v>45459</v>
      </c>
      <c r="H2344" s="3">
        <f t="shared" si="36"/>
        <v>1.6054794520547946</v>
      </c>
      <c r="I2344">
        <v>120</v>
      </c>
      <c r="J2344" t="s">
        <v>57</v>
      </c>
      <c r="K2344" t="s">
        <v>53</v>
      </c>
      <c r="L2344" t="s">
        <v>44</v>
      </c>
      <c r="M2344">
        <v>23.6</v>
      </c>
      <c r="T2344" t="s">
        <v>45</v>
      </c>
      <c r="U2344">
        <v>3</v>
      </c>
      <c r="V2344">
        <v>5</v>
      </c>
    </row>
    <row r="2345" spans="1:22" x14ac:dyDescent="0.3">
      <c r="A2345">
        <v>2344</v>
      </c>
      <c r="B2345">
        <v>52661</v>
      </c>
      <c r="C2345" s="2">
        <v>36721</v>
      </c>
      <c r="D2345">
        <v>25</v>
      </c>
      <c r="E2345" t="s">
        <v>36</v>
      </c>
      <c r="F2345" t="s">
        <v>37</v>
      </c>
      <c r="G2345" s="2">
        <v>45436</v>
      </c>
      <c r="H2345" s="3">
        <f t="shared" si="36"/>
        <v>1.0273972602739727</v>
      </c>
      <c r="I2345">
        <v>124</v>
      </c>
      <c r="J2345" t="s">
        <v>57</v>
      </c>
      <c r="K2345" t="s">
        <v>53</v>
      </c>
      <c r="L2345" t="s">
        <v>44</v>
      </c>
      <c r="M2345">
        <v>23.6</v>
      </c>
      <c r="T2345" t="s">
        <v>47</v>
      </c>
      <c r="U2345">
        <v>3</v>
      </c>
      <c r="V2345">
        <v>4</v>
      </c>
    </row>
    <row r="2346" spans="1:22" x14ac:dyDescent="0.3">
      <c r="A2346">
        <v>2345</v>
      </c>
      <c r="B2346">
        <v>52662</v>
      </c>
      <c r="C2346" s="2">
        <v>36249</v>
      </c>
      <c r="D2346">
        <v>26</v>
      </c>
      <c r="E2346" t="s">
        <v>36</v>
      </c>
      <c r="F2346" t="s">
        <v>37</v>
      </c>
      <c r="G2346" s="2">
        <v>45647</v>
      </c>
      <c r="H2346" s="3">
        <f t="shared" si="36"/>
        <v>1.1561643835616437</v>
      </c>
      <c r="I2346">
        <v>127</v>
      </c>
      <c r="J2346" t="s">
        <v>57</v>
      </c>
      <c r="K2346" t="s">
        <v>53</v>
      </c>
      <c r="L2346" t="s">
        <v>44</v>
      </c>
      <c r="M2346">
        <v>23.6</v>
      </c>
      <c r="T2346" t="s">
        <v>45</v>
      </c>
      <c r="U2346">
        <v>6</v>
      </c>
      <c r="V2346">
        <v>5</v>
      </c>
    </row>
    <row r="2347" spans="1:22" x14ac:dyDescent="0.3">
      <c r="A2347">
        <v>2346</v>
      </c>
      <c r="B2347">
        <v>52663</v>
      </c>
      <c r="C2347" s="2">
        <v>34829</v>
      </c>
      <c r="D2347">
        <v>30</v>
      </c>
      <c r="E2347" t="s">
        <v>42</v>
      </c>
      <c r="F2347" t="s">
        <v>50</v>
      </c>
      <c r="G2347" s="2">
        <v>45600</v>
      </c>
      <c r="H2347" s="3">
        <f t="shared" si="36"/>
        <v>1.3835616438356164</v>
      </c>
      <c r="I2347">
        <v>93</v>
      </c>
      <c r="J2347" t="s">
        <v>57</v>
      </c>
      <c r="K2347" t="s">
        <v>53</v>
      </c>
      <c r="L2347" t="s">
        <v>44</v>
      </c>
      <c r="M2347">
        <v>23.6</v>
      </c>
      <c r="T2347" t="s">
        <v>47</v>
      </c>
      <c r="U2347">
        <v>0</v>
      </c>
      <c r="V2347">
        <v>5</v>
      </c>
    </row>
    <row r="2348" spans="1:22" x14ac:dyDescent="0.3">
      <c r="A2348">
        <v>2347</v>
      </c>
      <c r="B2348">
        <v>52664</v>
      </c>
      <c r="C2348" s="2">
        <v>36768</v>
      </c>
      <c r="D2348">
        <v>25</v>
      </c>
      <c r="E2348" t="s">
        <v>36</v>
      </c>
      <c r="F2348" t="s">
        <v>37</v>
      </c>
      <c r="G2348" s="2">
        <v>45517</v>
      </c>
      <c r="H2348" s="3">
        <f t="shared" si="36"/>
        <v>1.7616438356164383</v>
      </c>
      <c r="I2348">
        <v>143</v>
      </c>
      <c r="J2348" t="s">
        <v>57</v>
      </c>
      <c r="K2348" t="s">
        <v>53</v>
      </c>
      <c r="L2348" t="s">
        <v>44</v>
      </c>
      <c r="M2348">
        <v>23.6</v>
      </c>
      <c r="T2348" t="s">
        <v>45</v>
      </c>
      <c r="U2348">
        <v>2</v>
      </c>
      <c r="V2348">
        <v>5</v>
      </c>
    </row>
    <row r="2349" spans="1:22" x14ac:dyDescent="0.3">
      <c r="A2349">
        <v>2348</v>
      </c>
      <c r="B2349">
        <v>52665</v>
      </c>
      <c r="C2349" s="2">
        <v>35771</v>
      </c>
      <c r="D2349">
        <v>28</v>
      </c>
      <c r="E2349" t="s">
        <v>36</v>
      </c>
      <c r="F2349" t="s">
        <v>50</v>
      </c>
      <c r="G2349" s="2">
        <v>45379</v>
      </c>
      <c r="H2349" s="3">
        <f t="shared" si="36"/>
        <v>1.3616438356164384</v>
      </c>
      <c r="I2349">
        <v>143</v>
      </c>
      <c r="J2349" t="s">
        <v>57</v>
      </c>
      <c r="K2349" t="s">
        <v>53</v>
      </c>
      <c r="L2349" t="s">
        <v>44</v>
      </c>
      <c r="M2349">
        <v>23.6</v>
      </c>
      <c r="T2349" t="s">
        <v>52</v>
      </c>
      <c r="U2349">
        <v>4</v>
      </c>
      <c r="V2349">
        <v>6</v>
      </c>
    </row>
    <row r="2350" spans="1:22" x14ac:dyDescent="0.3">
      <c r="A2350">
        <v>2349</v>
      </c>
      <c r="B2350">
        <v>52666</v>
      </c>
      <c r="C2350" s="2">
        <v>36260</v>
      </c>
      <c r="D2350">
        <v>26</v>
      </c>
      <c r="E2350" t="s">
        <v>42</v>
      </c>
      <c r="F2350" t="s">
        <v>37</v>
      </c>
      <c r="G2350" s="2">
        <v>45525</v>
      </c>
      <c r="H2350" s="3">
        <f t="shared" si="36"/>
        <v>1.558904109589041</v>
      </c>
      <c r="I2350">
        <v>70</v>
      </c>
      <c r="J2350" t="s">
        <v>57</v>
      </c>
      <c r="K2350" t="s">
        <v>53</v>
      </c>
      <c r="L2350" t="s">
        <v>44</v>
      </c>
      <c r="M2350">
        <v>23.6</v>
      </c>
      <c r="T2350" t="s">
        <v>45</v>
      </c>
      <c r="U2350">
        <v>3</v>
      </c>
      <c r="V2350">
        <v>6</v>
      </c>
    </row>
    <row r="2351" spans="1:22" x14ac:dyDescent="0.3">
      <c r="A2351">
        <v>2350</v>
      </c>
      <c r="B2351">
        <v>52667</v>
      </c>
      <c r="C2351" s="2">
        <v>36027</v>
      </c>
      <c r="D2351">
        <v>27</v>
      </c>
      <c r="E2351" t="s">
        <v>36</v>
      </c>
      <c r="F2351" t="s">
        <v>50</v>
      </c>
      <c r="G2351" s="2">
        <v>45453</v>
      </c>
      <c r="H2351" s="3">
        <f t="shared" si="36"/>
        <v>1.0027397260273974</v>
      </c>
      <c r="I2351">
        <v>128</v>
      </c>
      <c r="J2351" t="s">
        <v>57</v>
      </c>
      <c r="K2351" t="s">
        <v>53</v>
      </c>
      <c r="L2351" t="s">
        <v>44</v>
      </c>
      <c r="M2351">
        <v>23.6</v>
      </c>
      <c r="T2351" t="s">
        <v>47</v>
      </c>
      <c r="U2351">
        <v>6</v>
      </c>
      <c r="V2351">
        <v>7</v>
      </c>
    </row>
    <row r="2352" spans="1:22" x14ac:dyDescent="0.3">
      <c r="A2352">
        <v>2351</v>
      </c>
      <c r="B2352">
        <v>52668</v>
      </c>
      <c r="C2352" s="2">
        <v>34002</v>
      </c>
      <c r="D2352">
        <v>32</v>
      </c>
      <c r="E2352" t="s">
        <v>42</v>
      </c>
      <c r="F2352" t="s">
        <v>50</v>
      </c>
      <c r="G2352" s="2">
        <v>45656</v>
      </c>
      <c r="H2352" s="3">
        <f t="shared" si="36"/>
        <v>1.5753424657534247</v>
      </c>
      <c r="I2352">
        <v>10</v>
      </c>
      <c r="J2352" t="s">
        <v>38</v>
      </c>
      <c r="K2352" t="s">
        <v>53</v>
      </c>
      <c r="L2352" t="s">
        <v>44</v>
      </c>
      <c r="M2352">
        <v>23.6</v>
      </c>
      <c r="T2352" t="s">
        <v>49</v>
      </c>
      <c r="U2352">
        <v>3</v>
      </c>
      <c r="V2352">
        <v>5</v>
      </c>
    </row>
    <row r="2353" spans="1:22" x14ac:dyDescent="0.3">
      <c r="A2353">
        <v>2352</v>
      </c>
      <c r="B2353">
        <v>52669</v>
      </c>
      <c r="C2353" s="2">
        <v>35668</v>
      </c>
      <c r="D2353">
        <v>28</v>
      </c>
      <c r="E2353" t="s">
        <v>42</v>
      </c>
      <c r="F2353" t="s">
        <v>50</v>
      </c>
      <c r="G2353" s="2">
        <v>45447</v>
      </c>
      <c r="H2353" s="3">
        <f t="shared" si="36"/>
        <v>1.095890410958904</v>
      </c>
      <c r="I2353">
        <v>21</v>
      </c>
      <c r="J2353" t="s">
        <v>38</v>
      </c>
      <c r="K2353" t="s">
        <v>53</v>
      </c>
      <c r="L2353" t="s">
        <v>44</v>
      </c>
      <c r="M2353">
        <v>23.6</v>
      </c>
      <c r="T2353" t="s">
        <v>52</v>
      </c>
      <c r="U2353">
        <v>4</v>
      </c>
      <c r="V2353">
        <v>6</v>
      </c>
    </row>
    <row r="2354" spans="1:22" x14ac:dyDescent="0.3">
      <c r="A2354">
        <v>2353</v>
      </c>
      <c r="B2354">
        <v>52670</v>
      </c>
      <c r="C2354" s="2">
        <v>35423</v>
      </c>
      <c r="D2354">
        <v>29</v>
      </c>
      <c r="E2354" t="s">
        <v>42</v>
      </c>
      <c r="F2354" t="s">
        <v>50</v>
      </c>
      <c r="G2354" s="2">
        <v>45622</v>
      </c>
      <c r="H2354" s="3">
        <f t="shared" si="36"/>
        <v>1.0493150684931507</v>
      </c>
      <c r="I2354">
        <v>144</v>
      </c>
      <c r="J2354" t="s">
        <v>57</v>
      </c>
      <c r="K2354" t="s">
        <v>53</v>
      </c>
      <c r="L2354" t="s">
        <v>44</v>
      </c>
      <c r="M2354">
        <v>23.6</v>
      </c>
      <c r="T2354" t="s">
        <v>45</v>
      </c>
      <c r="U2354">
        <v>4</v>
      </c>
      <c r="V2354">
        <v>7</v>
      </c>
    </row>
    <row r="2355" spans="1:22" x14ac:dyDescent="0.3">
      <c r="A2355">
        <v>2354</v>
      </c>
      <c r="B2355">
        <v>52671</v>
      </c>
      <c r="C2355" s="2">
        <v>36795</v>
      </c>
      <c r="D2355">
        <v>25</v>
      </c>
      <c r="E2355" t="s">
        <v>36</v>
      </c>
      <c r="F2355" t="s">
        <v>50</v>
      </c>
      <c r="G2355" s="2">
        <v>45639</v>
      </c>
      <c r="H2355" s="3">
        <f t="shared" si="36"/>
        <v>1.0684931506849316</v>
      </c>
      <c r="I2355">
        <v>84</v>
      </c>
      <c r="J2355" t="s">
        <v>57</v>
      </c>
      <c r="K2355" t="s">
        <v>53</v>
      </c>
      <c r="L2355" t="s">
        <v>44</v>
      </c>
      <c r="M2355">
        <v>23.6</v>
      </c>
      <c r="T2355" t="s">
        <v>52</v>
      </c>
      <c r="U2355">
        <v>6</v>
      </c>
      <c r="V2355">
        <v>5</v>
      </c>
    </row>
    <row r="2356" spans="1:22" x14ac:dyDescent="0.3">
      <c r="A2356">
        <v>2355</v>
      </c>
      <c r="B2356">
        <v>52672</v>
      </c>
      <c r="C2356" s="2">
        <v>36131</v>
      </c>
      <c r="D2356">
        <v>27</v>
      </c>
      <c r="E2356" t="s">
        <v>42</v>
      </c>
      <c r="F2356" t="s">
        <v>37</v>
      </c>
      <c r="G2356" s="2">
        <v>45632</v>
      </c>
      <c r="H2356" s="3">
        <f t="shared" si="36"/>
        <v>1.8356164383561644</v>
      </c>
      <c r="I2356">
        <v>96</v>
      </c>
      <c r="J2356" t="s">
        <v>57</v>
      </c>
      <c r="K2356" t="s">
        <v>53</v>
      </c>
      <c r="L2356" t="s">
        <v>44</v>
      </c>
      <c r="M2356">
        <v>23.6</v>
      </c>
      <c r="T2356" t="s">
        <v>52</v>
      </c>
      <c r="U2356">
        <v>4</v>
      </c>
      <c r="V2356">
        <v>5</v>
      </c>
    </row>
    <row r="2357" spans="1:22" x14ac:dyDescent="0.3">
      <c r="A2357">
        <v>2356</v>
      </c>
      <c r="B2357">
        <v>52673</v>
      </c>
      <c r="C2357" s="2">
        <v>37112</v>
      </c>
      <c r="D2357">
        <v>24</v>
      </c>
      <c r="E2357" t="s">
        <v>36</v>
      </c>
      <c r="F2357" t="s">
        <v>50</v>
      </c>
      <c r="G2357" s="2">
        <v>45352</v>
      </c>
      <c r="H2357" s="3">
        <f t="shared" si="36"/>
        <v>1.4191780821917808</v>
      </c>
      <c r="I2357">
        <v>16</v>
      </c>
      <c r="J2357" t="s">
        <v>38</v>
      </c>
      <c r="K2357" t="s">
        <v>53</v>
      </c>
      <c r="L2357" t="s">
        <v>44</v>
      </c>
      <c r="M2357">
        <v>23.6</v>
      </c>
      <c r="T2357" t="s">
        <v>45</v>
      </c>
      <c r="U2357">
        <v>6</v>
      </c>
      <c r="V2357">
        <v>5</v>
      </c>
    </row>
    <row r="2358" spans="1:22" x14ac:dyDescent="0.3">
      <c r="A2358">
        <v>2357</v>
      </c>
      <c r="B2358">
        <v>52674</v>
      </c>
      <c r="C2358" s="2">
        <v>36741</v>
      </c>
      <c r="D2358">
        <v>25</v>
      </c>
      <c r="E2358" t="s">
        <v>36</v>
      </c>
      <c r="F2358" t="s">
        <v>50</v>
      </c>
      <c r="G2358" s="2">
        <v>45504</v>
      </c>
      <c r="H2358" s="3">
        <f t="shared" si="36"/>
        <v>1.7232876712328766</v>
      </c>
      <c r="I2358">
        <v>57</v>
      </c>
      <c r="J2358" t="s">
        <v>38</v>
      </c>
      <c r="K2358" t="s">
        <v>53</v>
      </c>
      <c r="L2358" t="s">
        <v>44</v>
      </c>
      <c r="M2358">
        <v>23.6</v>
      </c>
      <c r="T2358" t="s">
        <v>52</v>
      </c>
      <c r="U2358">
        <v>3</v>
      </c>
      <c r="V2358">
        <v>5</v>
      </c>
    </row>
    <row r="2359" spans="1:22" x14ac:dyDescent="0.3">
      <c r="A2359">
        <v>2358</v>
      </c>
      <c r="B2359">
        <v>52675</v>
      </c>
      <c r="C2359" s="2">
        <v>36094</v>
      </c>
      <c r="D2359">
        <v>27</v>
      </c>
      <c r="E2359" t="s">
        <v>42</v>
      </c>
      <c r="F2359" t="s">
        <v>50</v>
      </c>
      <c r="G2359" s="2">
        <v>45393</v>
      </c>
      <c r="H2359" s="3">
        <f t="shared" si="36"/>
        <v>1.1945205479452055</v>
      </c>
      <c r="I2359">
        <v>20</v>
      </c>
      <c r="J2359" t="s">
        <v>38</v>
      </c>
      <c r="K2359" t="s">
        <v>53</v>
      </c>
      <c r="L2359" t="s">
        <v>44</v>
      </c>
      <c r="M2359">
        <v>23.6</v>
      </c>
      <c r="T2359" t="s">
        <v>52</v>
      </c>
      <c r="U2359">
        <v>6</v>
      </c>
      <c r="V2359">
        <v>7</v>
      </c>
    </row>
    <row r="2360" spans="1:22" x14ac:dyDescent="0.3">
      <c r="A2360">
        <v>2359</v>
      </c>
      <c r="B2360">
        <v>52676</v>
      </c>
      <c r="C2360" s="2">
        <v>36228</v>
      </c>
      <c r="D2360">
        <v>26</v>
      </c>
      <c r="E2360" t="s">
        <v>36</v>
      </c>
      <c r="F2360" t="s">
        <v>37</v>
      </c>
      <c r="G2360" s="2">
        <v>45586</v>
      </c>
      <c r="H2360" s="3">
        <f t="shared" si="36"/>
        <v>1.5972602739726027</v>
      </c>
      <c r="I2360">
        <v>136</v>
      </c>
      <c r="J2360" t="s">
        <v>57</v>
      </c>
      <c r="K2360" t="s">
        <v>53</v>
      </c>
      <c r="L2360" t="s">
        <v>44</v>
      </c>
      <c r="M2360">
        <v>23.6</v>
      </c>
      <c r="T2360" t="s">
        <v>52</v>
      </c>
      <c r="U2360">
        <v>4</v>
      </c>
      <c r="V2360">
        <v>4</v>
      </c>
    </row>
    <row r="2361" spans="1:22" x14ac:dyDescent="0.3">
      <c r="A2361">
        <v>2360</v>
      </c>
      <c r="B2361">
        <v>52677</v>
      </c>
      <c r="C2361" s="2">
        <v>35762</v>
      </c>
      <c r="D2361">
        <v>28</v>
      </c>
      <c r="E2361" t="s">
        <v>36</v>
      </c>
      <c r="F2361" t="s">
        <v>50</v>
      </c>
      <c r="G2361" s="2">
        <v>45439</v>
      </c>
      <c r="H2361" s="3">
        <f t="shared" si="36"/>
        <v>1.4301369863013698</v>
      </c>
      <c r="I2361">
        <v>44</v>
      </c>
      <c r="J2361" t="s">
        <v>38</v>
      </c>
      <c r="K2361" t="s">
        <v>53</v>
      </c>
      <c r="L2361" t="s">
        <v>44</v>
      </c>
      <c r="M2361">
        <v>23.6</v>
      </c>
      <c r="T2361" t="s">
        <v>47</v>
      </c>
      <c r="U2361">
        <v>2</v>
      </c>
      <c r="V2361">
        <v>5</v>
      </c>
    </row>
    <row r="2362" spans="1:22" x14ac:dyDescent="0.3">
      <c r="A2362">
        <v>2361</v>
      </c>
      <c r="B2362">
        <v>52678</v>
      </c>
      <c r="C2362" s="2">
        <v>36036</v>
      </c>
      <c r="D2362">
        <v>27</v>
      </c>
      <c r="E2362" t="s">
        <v>36</v>
      </c>
      <c r="F2362" t="s">
        <v>37</v>
      </c>
      <c r="G2362" s="2">
        <v>45500</v>
      </c>
      <c r="H2362" s="3">
        <f t="shared" si="36"/>
        <v>1.0410958904109588</v>
      </c>
      <c r="I2362">
        <v>140</v>
      </c>
      <c r="J2362" t="s">
        <v>57</v>
      </c>
      <c r="K2362" t="s">
        <v>53</v>
      </c>
      <c r="L2362" t="s">
        <v>44</v>
      </c>
      <c r="M2362">
        <v>23.6</v>
      </c>
      <c r="T2362" t="s">
        <v>45</v>
      </c>
      <c r="U2362">
        <v>4</v>
      </c>
      <c r="V2362">
        <v>5</v>
      </c>
    </row>
    <row r="2363" spans="1:22" x14ac:dyDescent="0.3">
      <c r="A2363">
        <v>2362</v>
      </c>
      <c r="B2363">
        <v>52679</v>
      </c>
      <c r="C2363" s="2">
        <v>35546</v>
      </c>
      <c r="D2363">
        <v>28</v>
      </c>
      <c r="E2363" t="s">
        <v>36</v>
      </c>
      <c r="F2363" t="s">
        <v>50</v>
      </c>
      <c r="G2363" s="2">
        <v>45642</v>
      </c>
      <c r="H2363" s="3">
        <f t="shared" si="36"/>
        <v>1.0657534246575342</v>
      </c>
      <c r="I2363">
        <v>39</v>
      </c>
      <c r="J2363" t="s">
        <v>38</v>
      </c>
      <c r="K2363" t="s">
        <v>53</v>
      </c>
      <c r="L2363" t="s">
        <v>44</v>
      </c>
      <c r="M2363">
        <v>23.6</v>
      </c>
      <c r="T2363" t="s">
        <v>49</v>
      </c>
      <c r="U2363">
        <v>6</v>
      </c>
      <c r="V2363">
        <v>6</v>
      </c>
    </row>
    <row r="2364" spans="1:22" x14ac:dyDescent="0.3">
      <c r="A2364">
        <v>2363</v>
      </c>
      <c r="B2364">
        <v>52680</v>
      </c>
      <c r="C2364" s="2">
        <v>34686</v>
      </c>
      <c r="D2364">
        <v>31</v>
      </c>
      <c r="E2364" t="s">
        <v>36</v>
      </c>
      <c r="F2364" t="s">
        <v>50</v>
      </c>
      <c r="G2364" s="2">
        <v>45633</v>
      </c>
      <c r="H2364" s="3">
        <f t="shared" si="36"/>
        <v>1.6684931506849314</v>
      </c>
      <c r="I2364">
        <v>134</v>
      </c>
      <c r="J2364" t="s">
        <v>57</v>
      </c>
      <c r="K2364" t="s">
        <v>53</v>
      </c>
      <c r="L2364" t="s">
        <v>44</v>
      </c>
      <c r="M2364">
        <v>23.6</v>
      </c>
      <c r="T2364" t="s">
        <v>49</v>
      </c>
      <c r="U2364">
        <v>4</v>
      </c>
      <c r="V2364">
        <v>4</v>
      </c>
    </row>
    <row r="2365" spans="1:22" x14ac:dyDescent="0.3">
      <c r="A2365">
        <v>2364</v>
      </c>
      <c r="B2365">
        <v>52681</v>
      </c>
      <c r="C2365" s="2">
        <v>35827</v>
      </c>
      <c r="D2365">
        <v>28</v>
      </c>
      <c r="E2365" t="s">
        <v>42</v>
      </c>
      <c r="F2365" t="s">
        <v>50</v>
      </c>
      <c r="G2365" s="2">
        <v>45413</v>
      </c>
      <c r="H2365" s="3">
        <f t="shared" si="36"/>
        <v>1.3780821917808219</v>
      </c>
      <c r="I2365">
        <v>19</v>
      </c>
      <c r="J2365" t="s">
        <v>38</v>
      </c>
      <c r="K2365" t="s">
        <v>53</v>
      </c>
      <c r="L2365" t="s">
        <v>44</v>
      </c>
      <c r="M2365">
        <v>23.6</v>
      </c>
      <c r="T2365" t="s">
        <v>45</v>
      </c>
      <c r="U2365">
        <v>4</v>
      </c>
      <c r="V2365">
        <v>7</v>
      </c>
    </row>
    <row r="2366" spans="1:22" x14ac:dyDescent="0.3">
      <c r="A2366">
        <v>2365</v>
      </c>
      <c r="B2366">
        <v>52682</v>
      </c>
      <c r="C2366" s="2">
        <v>35097</v>
      </c>
      <c r="D2366">
        <v>29</v>
      </c>
      <c r="E2366" t="s">
        <v>36</v>
      </c>
      <c r="F2366" t="s">
        <v>50</v>
      </c>
      <c r="G2366" s="2">
        <v>45519</v>
      </c>
      <c r="H2366" s="3">
        <f t="shared" si="36"/>
        <v>1.4301369863013698</v>
      </c>
      <c r="I2366">
        <v>133</v>
      </c>
      <c r="J2366" t="s">
        <v>57</v>
      </c>
      <c r="K2366" t="s">
        <v>53</v>
      </c>
      <c r="L2366" t="s">
        <v>44</v>
      </c>
      <c r="M2366">
        <v>23.6</v>
      </c>
      <c r="T2366" t="s">
        <v>49</v>
      </c>
      <c r="U2366">
        <v>3</v>
      </c>
      <c r="V2366">
        <v>4</v>
      </c>
    </row>
    <row r="2367" spans="1:22" x14ac:dyDescent="0.3">
      <c r="A2367">
        <v>2366</v>
      </c>
      <c r="B2367">
        <v>52683</v>
      </c>
      <c r="C2367" s="2">
        <v>35658</v>
      </c>
      <c r="D2367">
        <v>28</v>
      </c>
      <c r="E2367" t="s">
        <v>36</v>
      </c>
      <c r="F2367" t="s">
        <v>37</v>
      </c>
      <c r="G2367" s="2">
        <v>45500</v>
      </c>
      <c r="H2367" s="3">
        <f t="shared" si="36"/>
        <v>1.4465753424657535</v>
      </c>
      <c r="I2367">
        <v>70</v>
      </c>
      <c r="J2367" t="s">
        <v>57</v>
      </c>
      <c r="K2367" t="s">
        <v>53</v>
      </c>
      <c r="L2367" t="s">
        <v>44</v>
      </c>
      <c r="M2367">
        <v>23.6</v>
      </c>
      <c r="T2367" t="s">
        <v>45</v>
      </c>
      <c r="U2367">
        <v>4</v>
      </c>
      <c r="V2367">
        <v>5</v>
      </c>
    </row>
    <row r="2368" spans="1:22" x14ac:dyDescent="0.3">
      <c r="A2368">
        <v>2367</v>
      </c>
      <c r="B2368">
        <v>52684</v>
      </c>
      <c r="C2368" s="2">
        <v>35341</v>
      </c>
      <c r="D2368">
        <v>29</v>
      </c>
      <c r="E2368" t="s">
        <v>36</v>
      </c>
      <c r="F2368" t="s">
        <v>50</v>
      </c>
      <c r="G2368" s="2">
        <v>45494</v>
      </c>
      <c r="H2368" s="3">
        <f t="shared" si="36"/>
        <v>1.2684931506849315</v>
      </c>
      <c r="I2368">
        <v>8</v>
      </c>
      <c r="J2368" t="s">
        <v>38</v>
      </c>
      <c r="K2368" t="s">
        <v>53</v>
      </c>
      <c r="L2368" t="s">
        <v>44</v>
      </c>
      <c r="M2368">
        <v>23.6</v>
      </c>
      <c r="T2368" t="s">
        <v>45</v>
      </c>
      <c r="U2368">
        <v>4</v>
      </c>
      <c r="V2368">
        <v>6</v>
      </c>
    </row>
    <row r="2369" spans="1:22" x14ac:dyDescent="0.3">
      <c r="A2369">
        <v>2368</v>
      </c>
      <c r="B2369">
        <v>52685</v>
      </c>
      <c r="C2369" s="2">
        <v>31912</v>
      </c>
      <c r="D2369">
        <v>38</v>
      </c>
      <c r="E2369" t="s">
        <v>36</v>
      </c>
      <c r="F2369" t="s">
        <v>50</v>
      </c>
      <c r="G2369" s="2">
        <v>45559</v>
      </c>
      <c r="H2369" s="3">
        <f t="shared" si="36"/>
        <v>1.5890410958904109</v>
      </c>
      <c r="I2369">
        <v>97</v>
      </c>
      <c r="J2369" t="s">
        <v>57</v>
      </c>
      <c r="K2369" t="s">
        <v>53</v>
      </c>
      <c r="L2369" t="s">
        <v>44</v>
      </c>
      <c r="M2369">
        <v>23.6</v>
      </c>
      <c r="T2369" t="s">
        <v>52</v>
      </c>
      <c r="U2369">
        <v>4</v>
      </c>
      <c r="V2369">
        <v>5</v>
      </c>
    </row>
    <row r="2370" spans="1:22" x14ac:dyDescent="0.3">
      <c r="A2370">
        <v>2369</v>
      </c>
      <c r="B2370">
        <v>52687</v>
      </c>
      <c r="C2370" s="2">
        <v>35154</v>
      </c>
      <c r="D2370">
        <v>29</v>
      </c>
      <c r="E2370" t="s">
        <v>42</v>
      </c>
      <c r="F2370" t="s">
        <v>37</v>
      </c>
      <c r="G2370" s="2">
        <v>45442</v>
      </c>
      <c r="H2370" s="3">
        <f t="shared" si="36"/>
        <v>1.547945205479452</v>
      </c>
      <c r="I2370">
        <v>55</v>
      </c>
      <c r="J2370" t="s">
        <v>38</v>
      </c>
      <c r="K2370" t="s">
        <v>53</v>
      </c>
      <c r="L2370" t="s">
        <v>44</v>
      </c>
      <c r="M2370">
        <v>23.6</v>
      </c>
      <c r="T2370" t="s">
        <v>47</v>
      </c>
      <c r="U2370">
        <v>5</v>
      </c>
      <c r="V2370">
        <v>7</v>
      </c>
    </row>
    <row r="2371" spans="1:22" x14ac:dyDescent="0.3">
      <c r="A2371">
        <v>2370</v>
      </c>
      <c r="B2371">
        <v>52688</v>
      </c>
      <c r="C2371" s="2">
        <v>36318</v>
      </c>
      <c r="D2371">
        <v>26</v>
      </c>
      <c r="E2371" t="s">
        <v>36</v>
      </c>
      <c r="F2371" t="s">
        <v>50</v>
      </c>
      <c r="G2371" s="2">
        <v>45457</v>
      </c>
      <c r="H2371" s="3">
        <f t="shared" ref="H2371:H2434" si="37">DATEDIF(G2372,DATE(2025,12,31),"d")/365</f>
        <v>1.7506849315068493</v>
      </c>
      <c r="I2371">
        <v>115</v>
      </c>
      <c r="J2371" t="s">
        <v>57</v>
      </c>
      <c r="K2371" t="s">
        <v>53</v>
      </c>
      <c r="L2371" t="s">
        <v>44</v>
      </c>
      <c r="M2371">
        <v>23.6</v>
      </c>
      <c r="T2371" t="s">
        <v>45</v>
      </c>
      <c r="U2371">
        <v>5</v>
      </c>
      <c r="V2371">
        <v>6</v>
      </c>
    </row>
    <row r="2372" spans="1:22" x14ac:dyDescent="0.3">
      <c r="A2372">
        <v>2371</v>
      </c>
      <c r="B2372">
        <v>52689</v>
      </c>
      <c r="C2372" s="2">
        <v>31898</v>
      </c>
      <c r="D2372">
        <v>39</v>
      </c>
      <c r="E2372" t="s">
        <v>36</v>
      </c>
      <c r="F2372" t="s">
        <v>50</v>
      </c>
      <c r="G2372" s="2">
        <v>45383</v>
      </c>
      <c r="H2372" s="3">
        <f t="shared" si="37"/>
        <v>1.7972602739726027</v>
      </c>
      <c r="I2372">
        <v>34</v>
      </c>
      <c r="J2372" t="s">
        <v>38</v>
      </c>
      <c r="K2372" t="s">
        <v>53</v>
      </c>
      <c r="L2372" t="s">
        <v>44</v>
      </c>
      <c r="M2372">
        <v>23.6</v>
      </c>
      <c r="T2372" t="s">
        <v>52</v>
      </c>
      <c r="U2372">
        <v>4</v>
      </c>
      <c r="V2372">
        <v>3</v>
      </c>
    </row>
    <row r="2373" spans="1:22" x14ac:dyDescent="0.3">
      <c r="A2373">
        <v>2372</v>
      </c>
      <c r="B2373">
        <v>52690</v>
      </c>
      <c r="C2373" s="2">
        <v>34872</v>
      </c>
      <c r="D2373">
        <v>30</v>
      </c>
      <c r="E2373" t="s">
        <v>42</v>
      </c>
      <c r="F2373" t="s">
        <v>50</v>
      </c>
      <c r="G2373" s="2">
        <v>45366</v>
      </c>
      <c r="H2373" s="3">
        <f t="shared" si="37"/>
        <v>1.1835616438356165</v>
      </c>
      <c r="I2373">
        <v>122</v>
      </c>
      <c r="J2373" t="s">
        <v>57</v>
      </c>
      <c r="K2373" t="s">
        <v>53</v>
      </c>
      <c r="L2373" t="s">
        <v>44</v>
      </c>
      <c r="M2373">
        <v>23.6</v>
      </c>
      <c r="T2373" t="s">
        <v>47</v>
      </c>
      <c r="U2373">
        <v>1</v>
      </c>
      <c r="V2373">
        <v>6</v>
      </c>
    </row>
    <row r="2374" spans="1:22" x14ac:dyDescent="0.3">
      <c r="A2374">
        <v>2373</v>
      </c>
      <c r="B2374">
        <v>52691</v>
      </c>
      <c r="C2374" s="2">
        <v>33701</v>
      </c>
      <c r="D2374">
        <v>33</v>
      </c>
      <c r="E2374" t="s">
        <v>36</v>
      </c>
      <c r="F2374" t="s">
        <v>50</v>
      </c>
      <c r="G2374" s="2">
        <v>45590</v>
      </c>
      <c r="H2374" s="3">
        <f t="shared" si="37"/>
        <v>1.3890410958904109</v>
      </c>
      <c r="I2374">
        <v>28</v>
      </c>
      <c r="J2374" t="s">
        <v>38</v>
      </c>
      <c r="K2374" t="s">
        <v>53</v>
      </c>
      <c r="L2374" t="s">
        <v>44</v>
      </c>
      <c r="M2374">
        <v>23.6</v>
      </c>
      <c r="T2374" t="s">
        <v>45</v>
      </c>
      <c r="U2374">
        <v>6</v>
      </c>
      <c r="V2374">
        <v>7</v>
      </c>
    </row>
    <row r="2375" spans="1:22" x14ac:dyDescent="0.3">
      <c r="A2375">
        <v>2374</v>
      </c>
      <c r="B2375">
        <v>52692</v>
      </c>
      <c r="C2375" s="2">
        <v>36396</v>
      </c>
      <c r="D2375">
        <v>26</v>
      </c>
      <c r="E2375" t="s">
        <v>36</v>
      </c>
      <c r="F2375" t="s">
        <v>50</v>
      </c>
      <c r="G2375" s="2">
        <v>45515</v>
      </c>
      <c r="H2375" s="3">
        <f t="shared" si="37"/>
        <v>1.2876712328767124</v>
      </c>
      <c r="I2375">
        <v>65</v>
      </c>
      <c r="J2375" t="s">
        <v>38</v>
      </c>
      <c r="K2375" t="s">
        <v>53</v>
      </c>
      <c r="L2375" t="s">
        <v>44</v>
      </c>
      <c r="M2375">
        <v>23.6</v>
      </c>
      <c r="T2375" t="s">
        <v>52</v>
      </c>
      <c r="U2375">
        <v>2</v>
      </c>
      <c r="V2375">
        <v>4</v>
      </c>
    </row>
    <row r="2376" spans="1:22" x14ac:dyDescent="0.3">
      <c r="A2376">
        <v>2375</v>
      </c>
      <c r="B2376">
        <v>52693</v>
      </c>
      <c r="C2376" s="2">
        <v>35841</v>
      </c>
      <c r="D2376">
        <v>27</v>
      </c>
      <c r="E2376" t="s">
        <v>36</v>
      </c>
      <c r="F2376" t="s">
        <v>37</v>
      </c>
      <c r="G2376" s="2">
        <v>45552</v>
      </c>
      <c r="H2376" s="3">
        <f t="shared" si="37"/>
        <v>1.1342465753424658</v>
      </c>
      <c r="I2376">
        <v>82</v>
      </c>
      <c r="J2376" t="s">
        <v>57</v>
      </c>
      <c r="K2376" t="s">
        <v>53</v>
      </c>
      <c r="L2376" t="s">
        <v>44</v>
      </c>
      <c r="M2376">
        <v>23.6</v>
      </c>
      <c r="T2376" t="s">
        <v>47</v>
      </c>
      <c r="U2376">
        <v>3</v>
      </c>
      <c r="V2376">
        <v>5</v>
      </c>
    </row>
    <row r="2377" spans="1:22" x14ac:dyDescent="0.3">
      <c r="A2377">
        <v>2376</v>
      </c>
      <c r="B2377">
        <v>52694</v>
      </c>
      <c r="C2377" s="2">
        <v>33949</v>
      </c>
      <c r="D2377">
        <v>33</v>
      </c>
      <c r="E2377" t="s">
        <v>36</v>
      </c>
      <c r="F2377" t="s">
        <v>50</v>
      </c>
      <c r="G2377" s="2">
        <v>45608</v>
      </c>
      <c r="H2377" s="3">
        <f t="shared" si="37"/>
        <v>1.4958904109589042</v>
      </c>
      <c r="I2377">
        <v>61</v>
      </c>
      <c r="J2377" t="s">
        <v>38</v>
      </c>
      <c r="K2377" t="s">
        <v>53</v>
      </c>
      <c r="L2377" t="s">
        <v>44</v>
      </c>
      <c r="M2377">
        <v>23.6</v>
      </c>
      <c r="T2377" t="s">
        <v>45</v>
      </c>
      <c r="U2377">
        <v>4</v>
      </c>
      <c r="V2377">
        <v>4</v>
      </c>
    </row>
    <row r="2378" spans="1:22" x14ac:dyDescent="0.3">
      <c r="A2378">
        <v>2377</v>
      </c>
      <c r="B2378">
        <v>52695</v>
      </c>
      <c r="C2378" s="2">
        <v>31890</v>
      </c>
      <c r="D2378">
        <v>38</v>
      </c>
      <c r="E2378" t="s">
        <v>36</v>
      </c>
      <c r="F2378" t="s">
        <v>37</v>
      </c>
      <c r="G2378" s="2">
        <v>45476</v>
      </c>
      <c r="H2378" s="3">
        <f t="shared" si="37"/>
        <v>1.2136986301369863</v>
      </c>
      <c r="I2378">
        <v>81</v>
      </c>
      <c r="J2378" t="s">
        <v>57</v>
      </c>
      <c r="K2378" t="s">
        <v>53</v>
      </c>
      <c r="L2378" t="s">
        <v>44</v>
      </c>
      <c r="M2378">
        <v>23.6</v>
      </c>
      <c r="T2378" t="s">
        <v>52</v>
      </c>
      <c r="U2378">
        <v>1</v>
      </c>
      <c r="V2378">
        <v>4</v>
      </c>
    </row>
    <row r="2379" spans="1:22" x14ac:dyDescent="0.3">
      <c r="A2379">
        <v>2378</v>
      </c>
      <c r="B2379">
        <v>52696</v>
      </c>
      <c r="C2379" s="2">
        <v>35457</v>
      </c>
      <c r="D2379">
        <v>28</v>
      </c>
      <c r="E2379" t="s">
        <v>42</v>
      </c>
      <c r="F2379" t="s">
        <v>50</v>
      </c>
      <c r="G2379" s="2">
        <v>45579</v>
      </c>
      <c r="H2379" s="3">
        <f t="shared" si="37"/>
        <v>1.2602739726027397</v>
      </c>
      <c r="I2379">
        <v>57</v>
      </c>
      <c r="J2379" t="s">
        <v>38</v>
      </c>
      <c r="K2379" t="s">
        <v>53</v>
      </c>
      <c r="L2379" t="s">
        <v>44</v>
      </c>
      <c r="M2379">
        <v>23.6</v>
      </c>
      <c r="T2379" t="s">
        <v>45</v>
      </c>
      <c r="U2379">
        <v>3</v>
      </c>
      <c r="V2379">
        <v>6</v>
      </c>
    </row>
    <row r="2380" spans="1:22" x14ac:dyDescent="0.3">
      <c r="A2380">
        <v>2379</v>
      </c>
      <c r="B2380">
        <v>52697</v>
      </c>
      <c r="C2380" s="2">
        <v>35867</v>
      </c>
      <c r="D2380">
        <v>27</v>
      </c>
      <c r="E2380" t="s">
        <v>36</v>
      </c>
      <c r="F2380" t="s">
        <v>37</v>
      </c>
      <c r="G2380" s="2">
        <v>45562</v>
      </c>
      <c r="H2380" s="3">
        <f t="shared" si="37"/>
        <v>1.1917808219178083</v>
      </c>
      <c r="I2380">
        <v>75</v>
      </c>
      <c r="J2380" t="s">
        <v>57</v>
      </c>
      <c r="K2380" t="s">
        <v>53</v>
      </c>
      <c r="L2380" t="s">
        <v>44</v>
      </c>
      <c r="M2380">
        <v>23.6</v>
      </c>
      <c r="T2380" t="s">
        <v>49</v>
      </c>
      <c r="U2380">
        <v>4</v>
      </c>
      <c r="V2380">
        <v>5</v>
      </c>
    </row>
    <row r="2381" spans="1:22" x14ac:dyDescent="0.3">
      <c r="A2381">
        <v>2380</v>
      </c>
      <c r="B2381">
        <v>52698</v>
      </c>
      <c r="C2381" s="2">
        <v>37087</v>
      </c>
      <c r="D2381">
        <v>24</v>
      </c>
      <c r="E2381" t="s">
        <v>36</v>
      </c>
      <c r="F2381" t="s">
        <v>50</v>
      </c>
      <c r="G2381" s="2">
        <v>45587</v>
      </c>
      <c r="H2381" s="3">
        <f t="shared" si="37"/>
        <v>1.515068493150685</v>
      </c>
      <c r="I2381">
        <v>81</v>
      </c>
      <c r="J2381" t="s">
        <v>57</v>
      </c>
      <c r="K2381" t="s">
        <v>53</v>
      </c>
      <c r="L2381" t="s">
        <v>44</v>
      </c>
      <c r="M2381">
        <v>23.6</v>
      </c>
      <c r="T2381" t="s">
        <v>52</v>
      </c>
      <c r="U2381">
        <v>6</v>
      </c>
      <c r="V2381">
        <v>6</v>
      </c>
    </row>
    <row r="2382" spans="1:22" x14ac:dyDescent="0.3">
      <c r="A2382">
        <v>2381</v>
      </c>
      <c r="B2382">
        <v>52699</v>
      </c>
      <c r="C2382" s="2">
        <v>33538</v>
      </c>
      <c r="D2382">
        <v>34</v>
      </c>
      <c r="E2382" t="s">
        <v>42</v>
      </c>
      <c r="F2382" t="s">
        <v>50</v>
      </c>
      <c r="G2382" s="2">
        <v>45469</v>
      </c>
      <c r="H2382" s="3">
        <f t="shared" si="37"/>
        <v>1.5315068493150685</v>
      </c>
      <c r="I2382">
        <v>108</v>
      </c>
      <c r="J2382" t="s">
        <v>57</v>
      </c>
      <c r="K2382" t="s">
        <v>53</v>
      </c>
      <c r="L2382" t="s">
        <v>44</v>
      </c>
      <c r="M2382">
        <v>23.6</v>
      </c>
      <c r="T2382" t="s">
        <v>47</v>
      </c>
      <c r="U2382">
        <v>3</v>
      </c>
      <c r="V2382">
        <v>6</v>
      </c>
    </row>
    <row r="2383" spans="1:22" x14ac:dyDescent="0.3">
      <c r="A2383">
        <v>2382</v>
      </c>
      <c r="B2383">
        <v>52701</v>
      </c>
      <c r="C2383" s="2">
        <v>35566</v>
      </c>
      <c r="D2383">
        <v>28</v>
      </c>
      <c r="E2383" t="s">
        <v>36</v>
      </c>
      <c r="F2383" t="s">
        <v>50</v>
      </c>
      <c r="G2383" s="2">
        <v>45463</v>
      </c>
      <c r="H2383" s="3">
        <f t="shared" si="37"/>
        <v>1.2821917808219179</v>
      </c>
      <c r="I2383">
        <v>128</v>
      </c>
      <c r="J2383" t="s">
        <v>57</v>
      </c>
      <c r="K2383" t="s">
        <v>53</v>
      </c>
      <c r="L2383" t="s">
        <v>44</v>
      </c>
      <c r="M2383">
        <v>23.6</v>
      </c>
      <c r="T2383" t="s">
        <v>47</v>
      </c>
      <c r="U2383">
        <v>3</v>
      </c>
      <c r="V2383">
        <v>5</v>
      </c>
    </row>
    <row r="2384" spans="1:22" x14ac:dyDescent="0.3">
      <c r="A2384">
        <v>2383</v>
      </c>
      <c r="B2384">
        <v>52702</v>
      </c>
      <c r="C2384" s="2">
        <v>36155</v>
      </c>
      <c r="D2384">
        <v>27</v>
      </c>
      <c r="E2384" t="s">
        <v>36</v>
      </c>
      <c r="F2384" t="s">
        <v>50</v>
      </c>
      <c r="G2384" s="2">
        <v>45554</v>
      </c>
      <c r="H2384" s="3">
        <f t="shared" si="37"/>
        <v>1.2246575342465753</v>
      </c>
      <c r="I2384">
        <v>65</v>
      </c>
      <c r="J2384" t="s">
        <v>38</v>
      </c>
      <c r="K2384" t="s">
        <v>53</v>
      </c>
      <c r="L2384" t="s">
        <v>44</v>
      </c>
      <c r="M2384">
        <v>23.6</v>
      </c>
      <c r="T2384" t="s">
        <v>45</v>
      </c>
      <c r="U2384">
        <v>4</v>
      </c>
      <c r="V2384">
        <v>5</v>
      </c>
    </row>
    <row r="2385" spans="1:22" x14ac:dyDescent="0.3">
      <c r="A2385">
        <v>2384</v>
      </c>
      <c r="B2385">
        <v>52703</v>
      </c>
      <c r="C2385" s="2">
        <v>37030</v>
      </c>
      <c r="D2385">
        <v>24</v>
      </c>
      <c r="E2385" t="s">
        <v>36</v>
      </c>
      <c r="F2385" t="s">
        <v>50</v>
      </c>
      <c r="G2385" s="2">
        <v>45575</v>
      </c>
      <c r="H2385" s="3">
        <f t="shared" si="37"/>
        <v>1.0027397260273974</v>
      </c>
      <c r="I2385">
        <v>139</v>
      </c>
      <c r="J2385" t="s">
        <v>57</v>
      </c>
      <c r="K2385" t="s">
        <v>53</v>
      </c>
      <c r="L2385" t="s">
        <v>44</v>
      </c>
      <c r="M2385">
        <v>23.6</v>
      </c>
      <c r="T2385" t="s">
        <v>52</v>
      </c>
      <c r="U2385">
        <v>4</v>
      </c>
      <c r="V2385">
        <v>6</v>
      </c>
    </row>
    <row r="2386" spans="1:22" x14ac:dyDescent="0.3">
      <c r="A2386">
        <v>2385</v>
      </c>
      <c r="B2386">
        <v>52704</v>
      </c>
      <c r="C2386" s="2">
        <v>32643</v>
      </c>
      <c r="D2386">
        <v>36</v>
      </c>
      <c r="E2386" t="s">
        <v>42</v>
      </c>
      <c r="F2386" t="s">
        <v>50</v>
      </c>
      <c r="G2386" s="2">
        <v>45656</v>
      </c>
      <c r="H2386" s="3">
        <f t="shared" si="37"/>
        <v>1.0493150684931507</v>
      </c>
      <c r="I2386">
        <v>131</v>
      </c>
      <c r="J2386" t="s">
        <v>57</v>
      </c>
      <c r="K2386" t="s">
        <v>53</v>
      </c>
      <c r="L2386" t="s">
        <v>44</v>
      </c>
      <c r="M2386">
        <v>23.6</v>
      </c>
      <c r="T2386" t="s">
        <v>47</v>
      </c>
      <c r="U2386">
        <v>3</v>
      </c>
      <c r="V2386">
        <v>7</v>
      </c>
    </row>
    <row r="2387" spans="1:22" x14ac:dyDescent="0.3">
      <c r="A2387">
        <v>2386</v>
      </c>
      <c r="B2387">
        <v>52706</v>
      </c>
      <c r="C2387" s="2">
        <v>37176</v>
      </c>
      <c r="D2387">
        <v>24</v>
      </c>
      <c r="E2387" t="s">
        <v>36</v>
      </c>
      <c r="F2387" t="s">
        <v>50</v>
      </c>
      <c r="G2387" s="2">
        <v>45639</v>
      </c>
      <c r="H2387" s="3">
        <f t="shared" si="37"/>
        <v>1.6712328767123288</v>
      </c>
      <c r="I2387">
        <v>78</v>
      </c>
      <c r="J2387" t="s">
        <v>57</v>
      </c>
      <c r="K2387" t="s">
        <v>53</v>
      </c>
      <c r="L2387" t="s">
        <v>44</v>
      </c>
      <c r="M2387">
        <v>23.6</v>
      </c>
      <c r="T2387" t="s">
        <v>47</v>
      </c>
      <c r="U2387">
        <v>4</v>
      </c>
      <c r="V2387">
        <v>5</v>
      </c>
    </row>
    <row r="2388" spans="1:22" x14ac:dyDescent="0.3">
      <c r="A2388">
        <v>2387</v>
      </c>
      <c r="B2388">
        <v>52707</v>
      </c>
      <c r="C2388" s="2">
        <v>35232</v>
      </c>
      <c r="D2388">
        <v>29</v>
      </c>
      <c r="E2388" t="s">
        <v>36</v>
      </c>
      <c r="F2388" t="s">
        <v>50</v>
      </c>
      <c r="G2388" s="2">
        <v>45412</v>
      </c>
      <c r="H2388" s="3">
        <f t="shared" si="37"/>
        <v>1.6301369863013699</v>
      </c>
      <c r="I2388">
        <v>98</v>
      </c>
      <c r="J2388" t="s">
        <v>57</v>
      </c>
      <c r="K2388" t="s">
        <v>53</v>
      </c>
      <c r="L2388" t="s">
        <v>44</v>
      </c>
      <c r="M2388">
        <v>23.6</v>
      </c>
      <c r="T2388" t="s">
        <v>45</v>
      </c>
      <c r="U2388">
        <v>4</v>
      </c>
      <c r="V2388">
        <v>6</v>
      </c>
    </row>
    <row r="2389" spans="1:22" x14ac:dyDescent="0.3">
      <c r="A2389">
        <v>2388</v>
      </c>
      <c r="B2389">
        <v>52708</v>
      </c>
      <c r="C2389" s="2">
        <v>36811</v>
      </c>
      <c r="D2389">
        <v>25</v>
      </c>
      <c r="E2389" t="s">
        <v>42</v>
      </c>
      <c r="F2389" t="s">
        <v>50</v>
      </c>
      <c r="G2389" s="2">
        <v>45427</v>
      </c>
      <c r="H2389" s="3">
        <f t="shared" si="37"/>
        <v>1.4958904109589042</v>
      </c>
      <c r="I2389">
        <v>135</v>
      </c>
      <c r="J2389" t="s">
        <v>57</v>
      </c>
      <c r="K2389" t="s">
        <v>53</v>
      </c>
      <c r="L2389" t="s">
        <v>44</v>
      </c>
      <c r="M2389">
        <v>23.6</v>
      </c>
      <c r="T2389" t="s">
        <v>52</v>
      </c>
      <c r="U2389">
        <v>5</v>
      </c>
      <c r="V2389">
        <v>7</v>
      </c>
    </row>
    <row r="2390" spans="1:22" x14ac:dyDescent="0.3">
      <c r="A2390">
        <v>2389</v>
      </c>
      <c r="B2390">
        <v>52709</v>
      </c>
      <c r="C2390" s="2">
        <v>35810</v>
      </c>
      <c r="D2390">
        <v>27</v>
      </c>
      <c r="E2390" t="s">
        <v>36</v>
      </c>
      <c r="F2390" t="s">
        <v>50</v>
      </c>
      <c r="G2390" s="2">
        <v>45476</v>
      </c>
      <c r="H2390" s="3">
        <f t="shared" si="37"/>
        <v>1.7095890410958905</v>
      </c>
      <c r="I2390">
        <v>7</v>
      </c>
      <c r="J2390" t="s">
        <v>38</v>
      </c>
      <c r="K2390" t="s">
        <v>53</v>
      </c>
      <c r="L2390" t="s">
        <v>44</v>
      </c>
      <c r="M2390">
        <v>23.6</v>
      </c>
      <c r="T2390" t="s">
        <v>47</v>
      </c>
      <c r="U2390">
        <v>2</v>
      </c>
      <c r="V2390">
        <v>5</v>
      </c>
    </row>
    <row r="2391" spans="1:22" x14ac:dyDescent="0.3">
      <c r="A2391">
        <v>2390</v>
      </c>
      <c r="B2391">
        <v>52710</v>
      </c>
      <c r="C2391" s="2">
        <v>35174</v>
      </c>
      <c r="D2391">
        <v>29</v>
      </c>
      <c r="E2391" t="s">
        <v>36</v>
      </c>
      <c r="F2391" t="s">
        <v>50</v>
      </c>
      <c r="G2391" s="2">
        <v>45398</v>
      </c>
      <c r="H2391" s="3">
        <f t="shared" si="37"/>
        <v>1.5342465753424657</v>
      </c>
      <c r="I2391">
        <v>30</v>
      </c>
      <c r="J2391" t="s">
        <v>38</v>
      </c>
      <c r="K2391" t="s">
        <v>53</v>
      </c>
      <c r="L2391" t="s">
        <v>44</v>
      </c>
      <c r="M2391">
        <v>23.6</v>
      </c>
      <c r="T2391" t="s">
        <v>52</v>
      </c>
      <c r="U2391">
        <v>5</v>
      </c>
      <c r="V2391">
        <v>5</v>
      </c>
    </row>
    <row r="2392" spans="1:22" x14ac:dyDescent="0.3">
      <c r="A2392">
        <v>2391</v>
      </c>
      <c r="B2392">
        <v>52711</v>
      </c>
      <c r="C2392" s="2">
        <v>34015</v>
      </c>
      <c r="D2392">
        <v>32</v>
      </c>
      <c r="E2392" t="s">
        <v>36</v>
      </c>
      <c r="F2392" t="s">
        <v>50</v>
      </c>
      <c r="G2392" s="2">
        <v>45462</v>
      </c>
      <c r="H2392" s="3">
        <f t="shared" si="37"/>
        <v>1.3452054794520547</v>
      </c>
      <c r="I2392">
        <v>61</v>
      </c>
      <c r="J2392" t="s">
        <v>38</v>
      </c>
      <c r="K2392" t="s">
        <v>53</v>
      </c>
      <c r="L2392" t="s">
        <v>44</v>
      </c>
      <c r="M2392">
        <v>23.6</v>
      </c>
      <c r="T2392" t="s">
        <v>47</v>
      </c>
      <c r="U2392">
        <v>3</v>
      </c>
      <c r="V2392">
        <v>5</v>
      </c>
    </row>
    <row r="2393" spans="1:22" x14ac:dyDescent="0.3">
      <c r="A2393">
        <v>2392</v>
      </c>
      <c r="B2393">
        <v>52712</v>
      </c>
      <c r="C2393" s="2">
        <v>36321</v>
      </c>
      <c r="D2393">
        <v>26</v>
      </c>
      <c r="E2393" t="s">
        <v>42</v>
      </c>
      <c r="F2393" t="s">
        <v>50</v>
      </c>
      <c r="G2393" s="2">
        <v>45531</v>
      </c>
      <c r="H2393" s="3">
        <f t="shared" si="37"/>
        <v>1.0904109589041096</v>
      </c>
      <c r="I2393">
        <v>35</v>
      </c>
      <c r="J2393" t="s">
        <v>38</v>
      </c>
      <c r="K2393" t="s">
        <v>53</v>
      </c>
      <c r="L2393" t="s">
        <v>44</v>
      </c>
      <c r="M2393">
        <v>23.6</v>
      </c>
      <c r="T2393" t="s">
        <v>49</v>
      </c>
      <c r="U2393">
        <v>6</v>
      </c>
      <c r="V2393">
        <v>7</v>
      </c>
    </row>
    <row r="2394" spans="1:22" x14ac:dyDescent="0.3">
      <c r="A2394">
        <v>2393</v>
      </c>
      <c r="B2394">
        <v>52713</v>
      </c>
      <c r="C2394" s="2">
        <v>34560</v>
      </c>
      <c r="D2394">
        <v>31</v>
      </c>
      <c r="E2394" t="s">
        <v>42</v>
      </c>
      <c r="F2394" t="s">
        <v>50</v>
      </c>
      <c r="G2394" s="2">
        <v>45624</v>
      </c>
      <c r="H2394" s="3">
        <f t="shared" si="37"/>
        <v>1.832876712328767</v>
      </c>
      <c r="I2394">
        <v>6</v>
      </c>
      <c r="J2394" t="s">
        <v>38</v>
      </c>
      <c r="K2394" t="s">
        <v>53</v>
      </c>
      <c r="L2394" t="s">
        <v>44</v>
      </c>
      <c r="M2394">
        <v>23.6</v>
      </c>
      <c r="T2394" t="s">
        <v>47</v>
      </c>
      <c r="U2394">
        <v>4</v>
      </c>
      <c r="V2394">
        <v>7</v>
      </c>
    </row>
    <row r="2395" spans="1:22" x14ac:dyDescent="0.3">
      <c r="A2395">
        <v>2394</v>
      </c>
      <c r="B2395">
        <v>52714</v>
      </c>
      <c r="C2395" s="2">
        <v>36385</v>
      </c>
      <c r="D2395">
        <v>26</v>
      </c>
      <c r="E2395" t="s">
        <v>42</v>
      </c>
      <c r="F2395" t="s">
        <v>50</v>
      </c>
      <c r="G2395" s="2">
        <v>45353</v>
      </c>
      <c r="H2395" s="3">
        <f t="shared" si="37"/>
        <v>1.3506849315068492</v>
      </c>
      <c r="I2395">
        <v>19</v>
      </c>
      <c r="J2395" t="s">
        <v>38</v>
      </c>
      <c r="K2395" t="s">
        <v>53</v>
      </c>
      <c r="L2395" t="s">
        <v>44</v>
      </c>
      <c r="M2395">
        <v>23.6</v>
      </c>
      <c r="T2395" t="s">
        <v>52</v>
      </c>
      <c r="U2395">
        <v>4</v>
      </c>
      <c r="V2395">
        <v>6</v>
      </c>
    </row>
    <row r="2396" spans="1:22" x14ac:dyDescent="0.3">
      <c r="A2396">
        <v>2395</v>
      </c>
      <c r="B2396">
        <v>52715</v>
      </c>
      <c r="C2396" s="2">
        <v>35614</v>
      </c>
      <c r="D2396">
        <v>28</v>
      </c>
      <c r="E2396" t="s">
        <v>36</v>
      </c>
      <c r="F2396" t="s">
        <v>50</v>
      </c>
      <c r="G2396" s="2">
        <v>45529</v>
      </c>
      <c r="H2396" s="3">
        <f t="shared" si="37"/>
        <v>1.4958904109589042</v>
      </c>
      <c r="I2396">
        <v>49</v>
      </c>
      <c r="J2396" t="s">
        <v>38</v>
      </c>
      <c r="K2396" t="s">
        <v>53</v>
      </c>
      <c r="L2396" t="s">
        <v>44</v>
      </c>
      <c r="M2396">
        <v>23.6</v>
      </c>
      <c r="T2396" t="s">
        <v>45</v>
      </c>
      <c r="U2396">
        <v>4</v>
      </c>
      <c r="V2396">
        <v>5</v>
      </c>
    </row>
    <row r="2397" spans="1:22" x14ac:dyDescent="0.3">
      <c r="A2397">
        <v>2396</v>
      </c>
      <c r="B2397">
        <v>52718</v>
      </c>
      <c r="C2397" s="2">
        <v>36849</v>
      </c>
      <c r="D2397">
        <v>25</v>
      </c>
      <c r="E2397" t="s">
        <v>36</v>
      </c>
      <c r="F2397" t="s">
        <v>37</v>
      </c>
      <c r="G2397" s="2">
        <v>45476</v>
      </c>
      <c r="H2397" s="3">
        <f t="shared" si="37"/>
        <v>1.4109589041095891</v>
      </c>
      <c r="I2397">
        <v>18</v>
      </c>
      <c r="J2397" t="s">
        <v>38</v>
      </c>
      <c r="K2397" t="s">
        <v>53</v>
      </c>
      <c r="L2397" t="s">
        <v>44</v>
      </c>
      <c r="M2397">
        <v>23.6</v>
      </c>
      <c r="T2397" t="s">
        <v>47</v>
      </c>
      <c r="U2397">
        <v>6</v>
      </c>
      <c r="V2397">
        <v>4</v>
      </c>
    </row>
    <row r="2398" spans="1:22" x14ac:dyDescent="0.3">
      <c r="A2398">
        <v>2397</v>
      </c>
      <c r="B2398">
        <v>52719</v>
      </c>
      <c r="C2398" s="2">
        <v>36123</v>
      </c>
      <c r="D2398">
        <v>27</v>
      </c>
      <c r="E2398" t="s">
        <v>42</v>
      </c>
      <c r="F2398" t="s">
        <v>50</v>
      </c>
      <c r="G2398" s="2">
        <v>45507</v>
      </c>
      <c r="H2398" s="3">
        <f t="shared" si="37"/>
        <v>1.7616438356164383</v>
      </c>
      <c r="I2398">
        <v>22</v>
      </c>
      <c r="J2398" t="s">
        <v>38</v>
      </c>
      <c r="K2398" t="s">
        <v>53</v>
      </c>
      <c r="L2398" t="s">
        <v>44</v>
      </c>
      <c r="M2398">
        <v>23.6</v>
      </c>
      <c r="T2398" t="s">
        <v>49</v>
      </c>
      <c r="U2398">
        <v>4</v>
      </c>
      <c r="V2398">
        <v>7</v>
      </c>
    </row>
    <row r="2399" spans="1:22" x14ac:dyDescent="0.3">
      <c r="A2399">
        <v>2398</v>
      </c>
      <c r="B2399">
        <v>52720</v>
      </c>
      <c r="C2399" s="2">
        <v>34548</v>
      </c>
      <c r="D2399">
        <v>31</v>
      </c>
      <c r="E2399" t="s">
        <v>42</v>
      </c>
      <c r="F2399" t="s">
        <v>37</v>
      </c>
      <c r="G2399" s="2">
        <v>45379</v>
      </c>
      <c r="H2399" s="3">
        <f t="shared" si="37"/>
        <v>1.5643835616438355</v>
      </c>
      <c r="I2399">
        <v>35</v>
      </c>
      <c r="J2399" t="s">
        <v>38</v>
      </c>
      <c r="K2399" t="s">
        <v>53</v>
      </c>
      <c r="L2399" t="s">
        <v>44</v>
      </c>
      <c r="M2399">
        <v>23.6</v>
      </c>
      <c r="T2399" t="s">
        <v>52</v>
      </c>
      <c r="U2399">
        <v>4</v>
      </c>
      <c r="V2399">
        <v>7</v>
      </c>
    </row>
    <row r="2400" spans="1:22" x14ac:dyDescent="0.3">
      <c r="A2400">
        <v>2399</v>
      </c>
      <c r="B2400">
        <v>52721</v>
      </c>
      <c r="C2400" s="2">
        <v>36275</v>
      </c>
      <c r="D2400">
        <v>26</v>
      </c>
      <c r="E2400" t="s">
        <v>42</v>
      </c>
      <c r="F2400" t="s">
        <v>50</v>
      </c>
      <c r="G2400" s="2">
        <v>45451</v>
      </c>
      <c r="H2400" s="3">
        <f t="shared" si="37"/>
        <v>1.3917808219178083</v>
      </c>
      <c r="I2400">
        <v>57</v>
      </c>
      <c r="J2400" t="s">
        <v>38</v>
      </c>
      <c r="K2400" t="s">
        <v>53</v>
      </c>
      <c r="L2400" t="s">
        <v>44</v>
      </c>
      <c r="M2400">
        <v>23.6</v>
      </c>
      <c r="T2400" t="s">
        <v>47</v>
      </c>
      <c r="U2400">
        <v>2</v>
      </c>
      <c r="V2400">
        <v>7</v>
      </c>
    </row>
    <row r="2401" spans="1:22" x14ac:dyDescent="0.3">
      <c r="A2401">
        <v>2400</v>
      </c>
      <c r="B2401">
        <v>52722</v>
      </c>
      <c r="C2401" s="2">
        <v>36352</v>
      </c>
      <c r="D2401">
        <v>26</v>
      </c>
      <c r="E2401" t="s">
        <v>42</v>
      </c>
      <c r="F2401" t="s">
        <v>37</v>
      </c>
      <c r="G2401" s="2">
        <v>45514</v>
      </c>
      <c r="H2401" s="3">
        <f t="shared" si="37"/>
        <v>1.1260273972602739</v>
      </c>
      <c r="I2401">
        <v>105</v>
      </c>
      <c r="J2401" t="s">
        <v>57</v>
      </c>
      <c r="K2401" t="s">
        <v>53</v>
      </c>
      <c r="L2401" t="s">
        <v>44</v>
      </c>
      <c r="M2401">
        <v>23.6</v>
      </c>
      <c r="T2401" t="s">
        <v>47</v>
      </c>
      <c r="U2401">
        <v>2</v>
      </c>
      <c r="V2401">
        <v>5</v>
      </c>
    </row>
    <row r="2402" spans="1:22" x14ac:dyDescent="0.3">
      <c r="A2402">
        <v>2401</v>
      </c>
      <c r="B2402">
        <v>52724</v>
      </c>
      <c r="C2402" s="2">
        <v>34643</v>
      </c>
      <c r="D2402">
        <v>31</v>
      </c>
      <c r="E2402" t="s">
        <v>36</v>
      </c>
      <c r="F2402" t="s">
        <v>50</v>
      </c>
      <c r="G2402" s="2">
        <v>45611</v>
      </c>
      <c r="H2402" s="3">
        <f t="shared" si="37"/>
        <v>1.0136986301369864</v>
      </c>
      <c r="I2402">
        <v>138</v>
      </c>
      <c r="J2402" t="s">
        <v>57</v>
      </c>
      <c r="K2402" t="s">
        <v>53</v>
      </c>
      <c r="L2402" t="s">
        <v>44</v>
      </c>
      <c r="M2402">
        <v>23.6</v>
      </c>
      <c r="T2402" t="s">
        <v>45</v>
      </c>
      <c r="U2402">
        <v>3</v>
      </c>
      <c r="V2402">
        <v>6</v>
      </c>
    </row>
    <row r="2403" spans="1:22" x14ac:dyDescent="0.3">
      <c r="A2403">
        <v>2402</v>
      </c>
      <c r="B2403">
        <v>52726</v>
      </c>
      <c r="C2403" s="2">
        <v>36119</v>
      </c>
      <c r="D2403">
        <v>27</v>
      </c>
      <c r="E2403" t="s">
        <v>42</v>
      </c>
      <c r="F2403" t="s">
        <v>50</v>
      </c>
      <c r="G2403" s="2">
        <v>45652</v>
      </c>
      <c r="H2403" s="3">
        <f t="shared" si="37"/>
        <v>1.6575342465753424</v>
      </c>
      <c r="I2403">
        <v>13</v>
      </c>
      <c r="J2403" t="s">
        <v>38</v>
      </c>
      <c r="K2403" t="s">
        <v>53</v>
      </c>
      <c r="L2403" t="s">
        <v>44</v>
      </c>
      <c r="M2403">
        <v>23.6</v>
      </c>
      <c r="T2403" t="s">
        <v>52</v>
      </c>
      <c r="U2403">
        <v>5</v>
      </c>
      <c r="V2403">
        <v>7</v>
      </c>
    </row>
    <row r="2404" spans="1:22" x14ac:dyDescent="0.3">
      <c r="A2404">
        <v>2403</v>
      </c>
      <c r="B2404">
        <v>52727</v>
      </c>
      <c r="C2404" s="2">
        <v>32967</v>
      </c>
      <c r="D2404">
        <v>35</v>
      </c>
      <c r="E2404" t="s">
        <v>36</v>
      </c>
      <c r="F2404" t="s">
        <v>50</v>
      </c>
      <c r="G2404" s="2">
        <v>45417</v>
      </c>
      <c r="H2404" s="3">
        <f t="shared" si="37"/>
        <v>1.1315068493150684</v>
      </c>
      <c r="I2404">
        <v>49</v>
      </c>
      <c r="J2404" t="s">
        <v>38</v>
      </c>
      <c r="K2404" t="s">
        <v>53</v>
      </c>
      <c r="L2404" t="s">
        <v>44</v>
      </c>
      <c r="M2404">
        <v>23.6</v>
      </c>
      <c r="T2404" t="s">
        <v>52</v>
      </c>
      <c r="U2404">
        <v>5</v>
      </c>
      <c r="V2404">
        <v>5</v>
      </c>
    </row>
    <row r="2405" spans="1:22" x14ac:dyDescent="0.3">
      <c r="A2405">
        <v>2404</v>
      </c>
      <c r="B2405">
        <v>52728</v>
      </c>
      <c r="C2405" s="2">
        <v>35129</v>
      </c>
      <c r="D2405">
        <v>29</v>
      </c>
      <c r="E2405" t="s">
        <v>36</v>
      </c>
      <c r="F2405" t="s">
        <v>50</v>
      </c>
      <c r="G2405" s="2">
        <v>45609</v>
      </c>
      <c r="H2405" s="3">
        <f t="shared" si="37"/>
        <v>1.4</v>
      </c>
      <c r="I2405">
        <v>21</v>
      </c>
      <c r="J2405" t="s">
        <v>38</v>
      </c>
      <c r="K2405" t="s">
        <v>53</v>
      </c>
      <c r="L2405" t="s">
        <v>44</v>
      </c>
      <c r="M2405">
        <v>23.6</v>
      </c>
      <c r="T2405" t="s">
        <v>49</v>
      </c>
      <c r="U2405">
        <v>4</v>
      </c>
      <c r="V2405">
        <v>6</v>
      </c>
    </row>
    <row r="2406" spans="1:22" x14ac:dyDescent="0.3">
      <c r="A2406">
        <v>2405</v>
      </c>
      <c r="B2406">
        <v>52730</v>
      </c>
      <c r="C2406" s="2">
        <v>36706</v>
      </c>
      <c r="D2406">
        <v>25</v>
      </c>
      <c r="E2406" t="s">
        <v>36</v>
      </c>
      <c r="F2406" t="s">
        <v>50</v>
      </c>
      <c r="G2406" s="2">
        <v>45511</v>
      </c>
      <c r="H2406" s="3">
        <f t="shared" si="37"/>
        <v>1.0054794520547945</v>
      </c>
      <c r="I2406">
        <v>40</v>
      </c>
      <c r="J2406" t="s">
        <v>38</v>
      </c>
      <c r="K2406" t="s">
        <v>53</v>
      </c>
      <c r="L2406" t="s">
        <v>44</v>
      </c>
      <c r="M2406">
        <v>23.6</v>
      </c>
      <c r="T2406" t="s">
        <v>45</v>
      </c>
      <c r="U2406">
        <v>1</v>
      </c>
      <c r="V2406">
        <v>5</v>
      </c>
    </row>
    <row r="2407" spans="1:22" x14ac:dyDescent="0.3">
      <c r="A2407">
        <v>2406</v>
      </c>
      <c r="B2407">
        <v>52731</v>
      </c>
      <c r="C2407" s="2">
        <v>35126</v>
      </c>
      <c r="D2407">
        <v>29</v>
      </c>
      <c r="E2407" t="s">
        <v>42</v>
      </c>
      <c r="F2407" t="s">
        <v>50</v>
      </c>
      <c r="G2407" s="2">
        <v>45655</v>
      </c>
      <c r="H2407" s="3">
        <f t="shared" si="37"/>
        <v>1.3917808219178083</v>
      </c>
      <c r="I2407">
        <v>72</v>
      </c>
      <c r="J2407" t="s">
        <v>57</v>
      </c>
      <c r="K2407" t="s">
        <v>53</v>
      </c>
      <c r="L2407" t="s">
        <v>44</v>
      </c>
      <c r="M2407">
        <v>23.6</v>
      </c>
      <c r="T2407" t="s">
        <v>52</v>
      </c>
      <c r="U2407">
        <v>4</v>
      </c>
      <c r="V2407">
        <v>6</v>
      </c>
    </row>
    <row r="2408" spans="1:22" x14ac:dyDescent="0.3">
      <c r="A2408">
        <v>2407</v>
      </c>
      <c r="B2408">
        <v>52732</v>
      </c>
      <c r="C2408" s="2">
        <v>34274</v>
      </c>
      <c r="D2408">
        <v>33</v>
      </c>
      <c r="E2408" t="s">
        <v>36</v>
      </c>
      <c r="F2408" t="s">
        <v>50</v>
      </c>
      <c r="G2408" s="2">
        <v>45514</v>
      </c>
      <c r="H2408" s="3">
        <f t="shared" si="37"/>
        <v>1.7013698630136986</v>
      </c>
      <c r="I2408">
        <v>85</v>
      </c>
      <c r="J2408" t="s">
        <v>57</v>
      </c>
      <c r="K2408" t="s">
        <v>53</v>
      </c>
      <c r="L2408" t="s">
        <v>44</v>
      </c>
      <c r="M2408">
        <v>23.6</v>
      </c>
      <c r="T2408" t="s">
        <v>49</v>
      </c>
      <c r="U2408">
        <v>6</v>
      </c>
      <c r="V2408">
        <v>5</v>
      </c>
    </row>
    <row r="2409" spans="1:22" x14ac:dyDescent="0.3">
      <c r="A2409">
        <v>2408</v>
      </c>
      <c r="B2409">
        <v>52733</v>
      </c>
      <c r="C2409" s="2">
        <v>36569</v>
      </c>
      <c r="D2409">
        <v>25</v>
      </c>
      <c r="E2409" t="s">
        <v>42</v>
      </c>
      <c r="F2409" t="s">
        <v>50</v>
      </c>
      <c r="G2409" s="2">
        <v>45401</v>
      </c>
      <c r="H2409" s="3">
        <f t="shared" si="37"/>
        <v>1.7561643835616438</v>
      </c>
      <c r="I2409">
        <v>13</v>
      </c>
      <c r="J2409" t="s">
        <v>38</v>
      </c>
      <c r="K2409" t="s">
        <v>53</v>
      </c>
      <c r="L2409" t="s">
        <v>44</v>
      </c>
      <c r="M2409">
        <v>23.6</v>
      </c>
      <c r="T2409" t="s">
        <v>52</v>
      </c>
      <c r="U2409">
        <v>4</v>
      </c>
      <c r="V2409">
        <v>6</v>
      </c>
    </row>
    <row r="2410" spans="1:22" x14ac:dyDescent="0.3">
      <c r="A2410">
        <v>2409</v>
      </c>
      <c r="B2410">
        <v>52734</v>
      </c>
      <c r="C2410" s="2">
        <v>36555</v>
      </c>
      <c r="D2410">
        <v>25</v>
      </c>
      <c r="E2410" t="s">
        <v>42</v>
      </c>
      <c r="F2410" t="s">
        <v>50</v>
      </c>
      <c r="G2410" s="2">
        <v>45381</v>
      </c>
      <c r="H2410" s="3">
        <f t="shared" si="37"/>
        <v>1.4465753424657535</v>
      </c>
      <c r="I2410">
        <v>15</v>
      </c>
      <c r="J2410" t="s">
        <v>38</v>
      </c>
      <c r="K2410" t="s">
        <v>53</v>
      </c>
      <c r="L2410" t="s">
        <v>44</v>
      </c>
      <c r="M2410">
        <v>23.6</v>
      </c>
      <c r="T2410" t="s">
        <v>45</v>
      </c>
      <c r="U2410">
        <v>3</v>
      </c>
      <c r="V2410">
        <v>7</v>
      </c>
    </row>
    <row r="2411" spans="1:22" x14ac:dyDescent="0.3">
      <c r="A2411">
        <v>2410</v>
      </c>
      <c r="B2411">
        <v>52735</v>
      </c>
      <c r="C2411" s="2">
        <v>36152</v>
      </c>
      <c r="D2411">
        <v>27</v>
      </c>
      <c r="E2411" t="s">
        <v>36</v>
      </c>
      <c r="F2411" t="s">
        <v>50</v>
      </c>
      <c r="G2411" s="2">
        <v>45494</v>
      </c>
      <c r="H2411" s="3">
        <f t="shared" si="37"/>
        <v>1.1315068493150684</v>
      </c>
      <c r="I2411">
        <v>28</v>
      </c>
      <c r="J2411" t="s">
        <v>38</v>
      </c>
      <c r="K2411" t="s">
        <v>53</v>
      </c>
      <c r="L2411" t="s">
        <v>44</v>
      </c>
      <c r="M2411">
        <v>23.6</v>
      </c>
      <c r="T2411" t="s">
        <v>52</v>
      </c>
      <c r="U2411">
        <v>6</v>
      </c>
      <c r="V2411">
        <v>7</v>
      </c>
    </row>
    <row r="2412" spans="1:22" x14ac:dyDescent="0.3">
      <c r="A2412">
        <v>2411</v>
      </c>
      <c r="B2412">
        <v>52736</v>
      </c>
      <c r="C2412" s="2">
        <v>35866</v>
      </c>
      <c r="D2412">
        <v>27</v>
      </c>
      <c r="E2412" t="s">
        <v>36</v>
      </c>
      <c r="F2412" t="s">
        <v>50</v>
      </c>
      <c r="G2412" s="2">
        <v>45609</v>
      </c>
      <c r="H2412" s="3">
        <f t="shared" si="37"/>
        <v>1.2164383561643837</v>
      </c>
      <c r="I2412">
        <v>9</v>
      </c>
      <c r="J2412" t="s">
        <v>38</v>
      </c>
      <c r="K2412" t="s">
        <v>53</v>
      </c>
      <c r="L2412" t="s">
        <v>44</v>
      </c>
      <c r="M2412">
        <v>23.6</v>
      </c>
      <c r="T2412" t="s">
        <v>49</v>
      </c>
      <c r="U2412">
        <v>3</v>
      </c>
      <c r="V2412">
        <v>6</v>
      </c>
    </row>
    <row r="2413" spans="1:22" x14ac:dyDescent="0.3">
      <c r="A2413">
        <v>2412</v>
      </c>
      <c r="B2413">
        <v>52738</v>
      </c>
      <c r="C2413" s="2">
        <v>34648</v>
      </c>
      <c r="D2413">
        <v>31</v>
      </c>
      <c r="E2413" t="s">
        <v>42</v>
      </c>
      <c r="F2413" t="s">
        <v>37</v>
      </c>
      <c r="G2413" s="2">
        <v>45578</v>
      </c>
      <c r="H2413" s="3">
        <f t="shared" si="37"/>
        <v>1.0849315068493151</v>
      </c>
      <c r="I2413">
        <v>2</v>
      </c>
      <c r="J2413" t="s">
        <v>38</v>
      </c>
      <c r="K2413" t="s">
        <v>53</v>
      </c>
      <c r="L2413" t="s">
        <v>44</v>
      </c>
      <c r="M2413">
        <v>23.6</v>
      </c>
      <c r="T2413" t="s">
        <v>45</v>
      </c>
      <c r="U2413">
        <v>2</v>
      </c>
      <c r="V2413">
        <v>5</v>
      </c>
    </row>
    <row r="2414" spans="1:22" x14ac:dyDescent="0.3">
      <c r="A2414">
        <v>2413</v>
      </c>
      <c r="B2414">
        <v>52739</v>
      </c>
      <c r="C2414" s="2">
        <v>35766</v>
      </c>
      <c r="D2414">
        <v>28</v>
      </c>
      <c r="E2414" t="s">
        <v>36</v>
      </c>
      <c r="F2414" t="s">
        <v>50</v>
      </c>
      <c r="G2414" s="2">
        <v>45626</v>
      </c>
      <c r="H2414" s="3">
        <f t="shared" si="37"/>
        <v>1.5506849315068494</v>
      </c>
      <c r="I2414">
        <v>28</v>
      </c>
      <c r="J2414" t="s">
        <v>38</v>
      </c>
      <c r="K2414" t="s">
        <v>53</v>
      </c>
      <c r="L2414" t="s">
        <v>44</v>
      </c>
      <c r="M2414">
        <v>23.6</v>
      </c>
      <c r="T2414" t="s">
        <v>49</v>
      </c>
      <c r="U2414">
        <v>1</v>
      </c>
      <c r="V2414">
        <v>5</v>
      </c>
    </row>
    <row r="2415" spans="1:22" x14ac:dyDescent="0.3">
      <c r="A2415">
        <v>2414</v>
      </c>
      <c r="B2415">
        <v>52740</v>
      </c>
      <c r="C2415" s="2">
        <v>35685</v>
      </c>
      <c r="D2415">
        <v>28</v>
      </c>
      <c r="E2415" t="s">
        <v>36</v>
      </c>
      <c r="F2415" t="s">
        <v>50</v>
      </c>
      <c r="G2415" s="2">
        <v>45456</v>
      </c>
      <c r="H2415" s="3">
        <f t="shared" si="37"/>
        <v>1.4876712328767123</v>
      </c>
      <c r="I2415">
        <v>48</v>
      </c>
      <c r="J2415" t="s">
        <v>38</v>
      </c>
      <c r="K2415" t="s">
        <v>53</v>
      </c>
      <c r="L2415" t="s">
        <v>44</v>
      </c>
      <c r="M2415">
        <v>23.6</v>
      </c>
      <c r="T2415" t="s">
        <v>47</v>
      </c>
      <c r="U2415">
        <v>5</v>
      </c>
      <c r="V2415">
        <v>4</v>
      </c>
    </row>
    <row r="2416" spans="1:22" x14ac:dyDescent="0.3">
      <c r="A2416">
        <v>2415</v>
      </c>
      <c r="B2416">
        <v>52741</v>
      </c>
      <c r="C2416" s="2">
        <v>36095</v>
      </c>
      <c r="D2416">
        <v>27</v>
      </c>
      <c r="E2416" t="s">
        <v>36</v>
      </c>
      <c r="F2416" t="s">
        <v>37</v>
      </c>
      <c r="G2416" s="2">
        <v>45479</v>
      </c>
      <c r="H2416" s="3">
        <f t="shared" si="37"/>
        <v>1.7397260273972603</v>
      </c>
      <c r="I2416">
        <v>56</v>
      </c>
      <c r="J2416" t="s">
        <v>38</v>
      </c>
      <c r="K2416" t="s">
        <v>53</v>
      </c>
      <c r="L2416" t="s">
        <v>44</v>
      </c>
      <c r="M2416">
        <v>23.6</v>
      </c>
      <c r="T2416" t="s">
        <v>49</v>
      </c>
      <c r="U2416">
        <v>4</v>
      </c>
      <c r="V2416">
        <v>5</v>
      </c>
    </row>
    <row r="2417" spans="1:22" x14ac:dyDescent="0.3">
      <c r="A2417">
        <v>2416</v>
      </c>
      <c r="B2417">
        <v>52742</v>
      </c>
      <c r="C2417" s="2">
        <v>35366</v>
      </c>
      <c r="D2417">
        <v>29</v>
      </c>
      <c r="E2417" t="s">
        <v>36</v>
      </c>
      <c r="F2417" t="s">
        <v>50</v>
      </c>
      <c r="G2417" s="2">
        <v>45387</v>
      </c>
      <c r="H2417" s="3">
        <f t="shared" si="37"/>
        <v>1.6410958904109589</v>
      </c>
      <c r="I2417">
        <v>64</v>
      </c>
      <c r="J2417" t="s">
        <v>38</v>
      </c>
      <c r="K2417" t="s">
        <v>53</v>
      </c>
      <c r="L2417" t="s">
        <v>44</v>
      </c>
      <c r="M2417">
        <v>23.6</v>
      </c>
      <c r="T2417" t="s">
        <v>47</v>
      </c>
      <c r="U2417">
        <v>2</v>
      </c>
      <c r="V2417">
        <v>4</v>
      </c>
    </row>
    <row r="2418" spans="1:22" x14ac:dyDescent="0.3">
      <c r="A2418">
        <v>2417</v>
      </c>
      <c r="B2418">
        <v>52743</v>
      </c>
      <c r="C2418" s="2">
        <v>37168</v>
      </c>
      <c r="D2418">
        <v>24</v>
      </c>
      <c r="E2418" t="s">
        <v>36</v>
      </c>
      <c r="F2418" t="s">
        <v>37</v>
      </c>
      <c r="G2418" s="2">
        <v>45423</v>
      </c>
      <c r="H2418" s="3">
        <f t="shared" si="37"/>
        <v>1.3287671232876712</v>
      </c>
      <c r="I2418">
        <v>89</v>
      </c>
      <c r="J2418" t="s">
        <v>57</v>
      </c>
      <c r="K2418" t="s">
        <v>53</v>
      </c>
      <c r="L2418" t="s">
        <v>44</v>
      </c>
      <c r="M2418">
        <v>23.6</v>
      </c>
      <c r="T2418" t="s">
        <v>47</v>
      </c>
      <c r="U2418">
        <v>5</v>
      </c>
      <c r="V2418">
        <v>5</v>
      </c>
    </row>
    <row r="2419" spans="1:22" x14ac:dyDescent="0.3">
      <c r="A2419">
        <v>2418</v>
      </c>
      <c r="B2419">
        <v>52744</v>
      </c>
      <c r="C2419" s="2">
        <v>35105</v>
      </c>
      <c r="D2419">
        <v>29</v>
      </c>
      <c r="E2419" t="s">
        <v>36</v>
      </c>
      <c r="F2419" t="s">
        <v>37</v>
      </c>
      <c r="G2419" s="2">
        <v>45537</v>
      </c>
      <c r="H2419" s="3">
        <f t="shared" si="37"/>
        <v>1.3178082191780822</v>
      </c>
      <c r="I2419">
        <v>91</v>
      </c>
      <c r="J2419" t="s">
        <v>57</v>
      </c>
      <c r="K2419" t="s">
        <v>53</v>
      </c>
      <c r="L2419" t="s">
        <v>44</v>
      </c>
      <c r="M2419">
        <v>23.6</v>
      </c>
      <c r="T2419" t="s">
        <v>52</v>
      </c>
      <c r="U2419">
        <v>6</v>
      </c>
      <c r="V2419">
        <v>5</v>
      </c>
    </row>
    <row r="2420" spans="1:22" x14ac:dyDescent="0.3">
      <c r="A2420">
        <v>2419</v>
      </c>
      <c r="B2420">
        <v>52745</v>
      </c>
      <c r="C2420" s="2">
        <v>36940</v>
      </c>
      <c r="D2420">
        <v>24</v>
      </c>
      <c r="E2420" t="s">
        <v>36</v>
      </c>
      <c r="F2420" t="s">
        <v>50</v>
      </c>
      <c r="G2420" s="2">
        <v>45541</v>
      </c>
      <c r="H2420" s="3">
        <f t="shared" si="37"/>
        <v>1.5890410958904109</v>
      </c>
      <c r="I2420">
        <v>92</v>
      </c>
      <c r="J2420" t="s">
        <v>57</v>
      </c>
      <c r="K2420" t="s">
        <v>53</v>
      </c>
      <c r="L2420" t="s">
        <v>44</v>
      </c>
      <c r="M2420">
        <v>23.6</v>
      </c>
      <c r="T2420" t="s">
        <v>45</v>
      </c>
      <c r="U2420">
        <v>6</v>
      </c>
      <c r="V2420">
        <v>5</v>
      </c>
    </row>
    <row r="2421" spans="1:22" x14ac:dyDescent="0.3">
      <c r="A2421">
        <v>2420</v>
      </c>
      <c r="B2421">
        <v>52746</v>
      </c>
      <c r="C2421" s="2">
        <v>36466</v>
      </c>
      <c r="D2421">
        <v>26</v>
      </c>
      <c r="E2421" t="s">
        <v>42</v>
      </c>
      <c r="F2421" t="s">
        <v>37</v>
      </c>
      <c r="G2421" s="2">
        <v>45442</v>
      </c>
      <c r="H2421" s="3">
        <f t="shared" si="37"/>
        <v>1.3506849315068492</v>
      </c>
      <c r="I2421">
        <v>99</v>
      </c>
      <c r="J2421" t="s">
        <v>57</v>
      </c>
      <c r="K2421" t="s">
        <v>53</v>
      </c>
      <c r="L2421" t="s">
        <v>44</v>
      </c>
      <c r="M2421">
        <v>23.6</v>
      </c>
      <c r="T2421" t="s">
        <v>49</v>
      </c>
      <c r="U2421">
        <v>2</v>
      </c>
      <c r="V2421">
        <v>6</v>
      </c>
    </row>
    <row r="2422" spans="1:22" x14ac:dyDescent="0.3">
      <c r="A2422">
        <v>2421</v>
      </c>
      <c r="B2422">
        <v>52748</v>
      </c>
      <c r="C2422" s="2">
        <v>35305</v>
      </c>
      <c r="D2422">
        <v>29</v>
      </c>
      <c r="E2422" t="s">
        <v>42</v>
      </c>
      <c r="F2422" t="s">
        <v>50</v>
      </c>
      <c r="G2422" s="2">
        <v>45529</v>
      </c>
      <c r="H2422" s="3">
        <f t="shared" si="37"/>
        <v>1.3342465753424657</v>
      </c>
      <c r="I2422">
        <v>46</v>
      </c>
      <c r="J2422" t="s">
        <v>38</v>
      </c>
      <c r="K2422" t="s">
        <v>53</v>
      </c>
      <c r="L2422" t="s">
        <v>44</v>
      </c>
      <c r="M2422">
        <v>23.6</v>
      </c>
      <c r="T2422" t="s">
        <v>45</v>
      </c>
      <c r="U2422">
        <v>6</v>
      </c>
      <c r="V2422">
        <v>7</v>
      </c>
    </row>
    <row r="2423" spans="1:22" x14ac:dyDescent="0.3">
      <c r="A2423">
        <v>2422</v>
      </c>
      <c r="B2423">
        <v>52749</v>
      </c>
      <c r="C2423" s="2">
        <v>34338</v>
      </c>
      <c r="D2423">
        <v>31</v>
      </c>
      <c r="E2423" t="s">
        <v>42</v>
      </c>
      <c r="F2423" t="s">
        <v>37</v>
      </c>
      <c r="G2423" s="2">
        <v>45535</v>
      </c>
      <c r="H2423" s="3">
        <f t="shared" si="37"/>
        <v>1.2410958904109588</v>
      </c>
      <c r="I2423">
        <v>39</v>
      </c>
      <c r="J2423" t="s">
        <v>38</v>
      </c>
      <c r="K2423" t="s">
        <v>53</v>
      </c>
      <c r="L2423" t="s">
        <v>44</v>
      </c>
      <c r="M2423">
        <v>23.6</v>
      </c>
      <c r="T2423" t="s">
        <v>45</v>
      </c>
      <c r="U2423">
        <v>3</v>
      </c>
      <c r="V2423">
        <v>4</v>
      </c>
    </row>
    <row r="2424" spans="1:22" x14ac:dyDescent="0.3">
      <c r="A2424">
        <v>2423</v>
      </c>
      <c r="B2424">
        <v>52751</v>
      </c>
      <c r="C2424" s="2">
        <v>35511</v>
      </c>
      <c r="D2424">
        <v>28</v>
      </c>
      <c r="E2424" t="s">
        <v>42</v>
      </c>
      <c r="F2424" t="s">
        <v>50</v>
      </c>
      <c r="G2424" s="2">
        <v>45569</v>
      </c>
      <c r="H2424" s="3">
        <f t="shared" si="37"/>
        <v>1.0630136986301371</v>
      </c>
      <c r="I2424">
        <v>134</v>
      </c>
      <c r="J2424" t="s">
        <v>57</v>
      </c>
      <c r="K2424" t="s">
        <v>53</v>
      </c>
      <c r="L2424" t="s">
        <v>44</v>
      </c>
      <c r="M2424">
        <v>23.6</v>
      </c>
      <c r="T2424" t="s">
        <v>45</v>
      </c>
      <c r="U2424">
        <v>5</v>
      </c>
      <c r="V2424">
        <v>7</v>
      </c>
    </row>
    <row r="2425" spans="1:22" x14ac:dyDescent="0.3">
      <c r="A2425">
        <v>2424</v>
      </c>
      <c r="B2425">
        <v>52752</v>
      </c>
      <c r="C2425" s="2">
        <v>34803</v>
      </c>
      <c r="D2425">
        <v>30</v>
      </c>
      <c r="E2425" t="s">
        <v>36</v>
      </c>
      <c r="F2425" t="s">
        <v>37</v>
      </c>
      <c r="G2425" s="2">
        <v>45634</v>
      </c>
      <c r="H2425" s="3">
        <f t="shared" si="37"/>
        <v>1.5972602739726027</v>
      </c>
      <c r="I2425">
        <v>19</v>
      </c>
      <c r="J2425" t="s">
        <v>38</v>
      </c>
      <c r="K2425" t="s">
        <v>53</v>
      </c>
      <c r="L2425" t="s">
        <v>44</v>
      </c>
      <c r="M2425">
        <v>23.6</v>
      </c>
      <c r="T2425" t="s">
        <v>45</v>
      </c>
      <c r="U2425">
        <v>3</v>
      </c>
      <c r="V2425">
        <v>4</v>
      </c>
    </row>
    <row r="2426" spans="1:22" x14ac:dyDescent="0.3">
      <c r="A2426">
        <v>2425</v>
      </c>
      <c r="B2426">
        <v>52753</v>
      </c>
      <c r="C2426" s="2">
        <v>34383</v>
      </c>
      <c r="D2426">
        <v>31</v>
      </c>
      <c r="E2426" t="s">
        <v>42</v>
      </c>
      <c r="F2426" t="s">
        <v>50</v>
      </c>
      <c r="G2426" s="2">
        <v>45439</v>
      </c>
      <c r="H2426" s="3">
        <f t="shared" si="37"/>
        <v>1.6273972602739726</v>
      </c>
      <c r="I2426">
        <v>130</v>
      </c>
      <c r="J2426" t="s">
        <v>57</v>
      </c>
      <c r="K2426" t="s">
        <v>53</v>
      </c>
      <c r="L2426" t="s">
        <v>44</v>
      </c>
      <c r="M2426">
        <v>23.6</v>
      </c>
      <c r="T2426" t="s">
        <v>52</v>
      </c>
      <c r="U2426">
        <v>6</v>
      </c>
      <c r="V2426">
        <v>7</v>
      </c>
    </row>
    <row r="2427" spans="1:22" x14ac:dyDescent="0.3">
      <c r="A2427">
        <v>2426</v>
      </c>
      <c r="B2427">
        <v>52754</v>
      </c>
      <c r="C2427" s="2">
        <v>32565</v>
      </c>
      <c r="D2427">
        <v>36</v>
      </c>
      <c r="E2427" t="s">
        <v>36</v>
      </c>
      <c r="F2427" t="s">
        <v>37</v>
      </c>
      <c r="G2427" s="2">
        <v>45428</v>
      </c>
      <c r="H2427" s="3">
        <f t="shared" si="37"/>
        <v>1.6684931506849314</v>
      </c>
      <c r="I2427">
        <v>103</v>
      </c>
      <c r="J2427" t="s">
        <v>57</v>
      </c>
      <c r="K2427" t="s">
        <v>53</v>
      </c>
      <c r="L2427" t="s">
        <v>44</v>
      </c>
      <c r="M2427">
        <v>23.6</v>
      </c>
      <c r="T2427" t="s">
        <v>47</v>
      </c>
      <c r="U2427">
        <v>5</v>
      </c>
      <c r="V2427">
        <v>5</v>
      </c>
    </row>
    <row r="2428" spans="1:22" x14ac:dyDescent="0.3">
      <c r="A2428">
        <v>2427</v>
      </c>
      <c r="B2428">
        <v>52755</v>
      </c>
      <c r="C2428" s="2">
        <v>36405</v>
      </c>
      <c r="D2428">
        <v>26</v>
      </c>
      <c r="E2428" t="s">
        <v>42</v>
      </c>
      <c r="F2428" t="s">
        <v>50</v>
      </c>
      <c r="G2428" s="2">
        <v>45413</v>
      </c>
      <c r="H2428" s="3">
        <f t="shared" si="37"/>
        <v>1.5342465753424657</v>
      </c>
      <c r="I2428">
        <v>118</v>
      </c>
      <c r="J2428" t="s">
        <v>57</v>
      </c>
      <c r="K2428" t="s">
        <v>53</v>
      </c>
      <c r="L2428" t="s">
        <v>44</v>
      </c>
      <c r="M2428">
        <v>23.6</v>
      </c>
      <c r="T2428" t="s">
        <v>47</v>
      </c>
      <c r="U2428">
        <v>2</v>
      </c>
      <c r="V2428">
        <v>6</v>
      </c>
    </row>
    <row r="2429" spans="1:22" x14ac:dyDescent="0.3">
      <c r="A2429">
        <v>2428</v>
      </c>
      <c r="B2429">
        <v>52756</v>
      </c>
      <c r="C2429" s="2">
        <v>35170</v>
      </c>
      <c r="D2429">
        <v>29</v>
      </c>
      <c r="E2429" t="s">
        <v>42</v>
      </c>
      <c r="F2429" t="s">
        <v>50</v>
      </c>
      <c r="G2429" s="2">
        <v>45462</v>
      </c>
      <c r="H2429" s="3">
        <f t="shared" si="37"/>
        <v>1.1808219178082191</v>
      </c>
      <c r="I2429">
        <v>128</v>
      </c>
      <c r="J2429" t="s">
        <v>57</v>
      </c>
      <c r="K2429" t="s">
        <v>53</v>
      </c>
      <c r="L2429" t="s">
        <v>44</v>
      </c>
      <c r="M2429">
        <v>23.6</v>
      </c>
      <c r="T2429" t="s">
        <v>47</v>
      </c>
      <c r="U2429">
        <v>2</v>
      </c>
      <c r="V2429">
        <v>6</v>
      </c>
    </row>
    <row r="2430" spans="1:22" x14ac:dyDescent="0.3">
      <c r="A2430">
        <v>2429</v>
      </c>
      <c r="B2430">
        <v>52757</v>
      </c>
      <c r="C2430" s="2">
        <v>35446</v>
      </c>
      <c r="D2430">
        <v>28</v>
      </c>
      <c r="E2430" t="s">
        <v>36</v>
      </c>
      <c r="F2430" t="s">
        <v>50</v>
      </c>
      <c r="G2430" s="2">
        <v>45591</v>
      </c>
      <c r="H2430" s="3">
        <f t="shared" si="37"/>
        <v>1.1397260273972603</v>
      </c>
      <c r="I2430">
        <v>21</v>
      </c>
      <c r="J2430" t="s">
        <v>38</v>
      </c>
      <c r="K2430" t="s">
        <v>53</v>
      </c>
      <c r="L2430" t="s">
        <v>44</v>
      </c>
      <c r="M2430">
        <v>23.6</v>
      </c>
      <c r="T2430" t="s">
        <v>47</v>
      </c>
      <c r="U2430">
        <v>3</v>
      </c>
      <c r="V2430">
        <v>6</v>
      </c>
    </row>
    <row r="2431" spans="1:22" x14ac:dyDescent="0.3">
      <c r="A2431">
        <v>2430</v>
      </c>
      <c r="B2431">
        <v>52758</v>
      </c>
      <c r="C2431" s="2">
        <v>36369</v>
      </c>
      <c r="D2431">
        <v>26</v>
      </c>
      <c r="E2431" t="s">
        <v>36</v>
      </c>
      <c r="F2431" t="s">
        <v>50</v>
      </c>
      <c r="G2431" s="2">
        <v>45606</v>
      </c>
      <c r="H2431" s="3">
        <f t="shared" si="37"/>
        <v>1.5315068493150685</v>
      </c>
      <c r="I2431">
        <v>68</v>
      </c>
      <c r="J2431" t="s">
        <v>57</v>
      </c>
      <c r="K2431" t="s">
        <v>53</v>
      </c>
      <c r="L2431" t="s">
        <v>44</v>
      </c>
      <c r="M2431">
        <v>23.6</v>
      </c>
      <c r="T2431" t="s">
        <v>45</v>
      </c>
      <c r="U2431">
        <v>5</v>
      </c>
      <c r="V2431">
        <v>6</v>
      </c>
    </row>
    <row r="2432" spans="1:22" x14ac:dyDescent="0.3">
      <c r="A2432">
        <v>2431</v>
      </c>
      <c r="B2432">
        <v>52759</v>
      </c>
      <c r="C2432" s="2">
        <v>36302</v>
      </c>
      <c r="D2432">
        <v>26</v>
      </c>
      <c r="E2432" t="s">
        <v>36</v>
      </c>
      <c r="F2432" t="s">
        <v>37</v>
      </c>
      <c r="G2432" s="2">
        <v>45463</v>
      </c>
      <c r="H2432" s="3">
        <f t="shared" si="37"/>
        <v>1.3232876712328767</v>
      </c>
      <c r="I2432">
        <v>122</v>
      </c>
      <c r="J2432" t="s">
        <v>57</v>
      </c>
      <c r="K2432" t="s">
        <v>53</v>
      </c>
      <c r="L2432" t="s">
        <v>44</v>
      </c>
      <c r="M2432">
        <v>23.6</v>
      </c>
      <c r="T2432" t="s">
        <v>52</v>
      </c>
      <c r="U2432">
        <v>3</v>
      </c>
      <c r="V2432">
        <v>3</v>
      </c>
    </row>
    <row r="2433" spans="1:22" x14ac:dyDescent="0.3">
      <c r="A2433">
        <v>2432</v>
      </c>
      <c r="B2433">
        <v>52760</v>
      </c>
      <c r="C2433" s="2">
        <v>36277</v>
      </c>
      <c r="D2433">
        <v>26</v>
      </c>
      <c r="E2433" t="s">
        <v>42</v>
      </c>
      <c r="F2433" t="s">
        <v>50</v>
      </c>
      <c r="G2433" s="2">
        <v>45539</v>
      </c>
      <c r="H2433" s="3">
        <f t="shared" si="37"/>
        <v>1.0904109589041096</v>
      </c>
      <c r="I2433">
        <v>40</v>
      </c>
      <c r="J2433" t="s">
        <v>38</v>
      </c>
      <c r="K2433" t="s">
        <v>53</v>
      </c>
      <c r="L2433" t="s">
        <v>44</v>
      </c>
      <c r="M2433">
        <v>23.6</v>
      </c>
      <c r="T2433" t="s">
        <v>45</v>
      </c>
      <c r="U2433">
        <v>1</v>
      </c>
      <c r="V2433">
        <v>6</v>
      </c>
    </row>
    <row r="2434" spans="1:22" x14ac:dyDescent="0.3">
      <c r="A2434">
        <v>2433</v>
      </c>
      <c r="B2434">
        <v>52762</v>
      </c>
      <c r="C2434" s="2">
        <v>32261</v>
      </c>
      <c r="D2434">
        <v>37</v>
      </c>
      <c r="E2434" t="s">
        <v>36</v>
      </c>
      <c r="F2434" t="s">
        <v>50</v>
      </c>
      <c r="G2434" s="2">
        <v>45624</v>
      </c>
      <c r="H2434" s="3">
        <f t="shared" si="37"/>
        <v>1.484931506849315</v>
      </c>
      <c r="I2434">
        <v>18</v>
      </c>
      <c r="J2434" t="s">
        <v>38</v>
      </c>
      <c r="K2434" t="s">
        <v>53</v>
      </c>
      <c r="L2434" t="s">
        <v>44</v>
      </c>
      <c r="M2434">
        <v>23.6</v>
      </c>
      <c r="T2434" t="s">
        <v>49</v>
      </c>
      <c r="U2434">
        <v>3</v>
      </c>
      <c r="V2434">
        <v>4</v>
      </c>
    </row>
    <row r="2435" spans="1:22" x14ac:dyDescent="0.3">
      <c r="A2435">
        <v>2434</v>
      </c>
      <c r="B2435">
        <v>52763</v>
      </c>
      <c r="C2435" s="2">
        <v>35292</v>
      </c>
      <c r="D2435">
        <v>29</v>
      </c>
      <c r="E2435" t="s">
        <v>36</v>
      </c>
      <c r="F2435" t="s">
        <v>50</v>
      </c>
      <c r="G2435" s="2">
        <v>45480</v>
      </c>
      <c r="H2435" s="3">
        <f t="shared" ref="H2435:H2498" si="38">DATEDIF(G2436,DATE(2025,12,31),"d")/365</f>
        <v>1.3068493150684932</v>
      </c>
      <c r="I2435">
        <v>29</v>
      </c>
      <c r="J2435" t="s">
        <v>38</v>
      </c>
      <c r="K2435" t="s">
        <v>53</v>
      </c>
      <c r="L2435" t="s">
        <v>44</v>
      </c>
      <c r="M2435">
        <v>23.6</v>
      </c>
      <c r="T2435" t="s">
        <v>45</v>
      </c>
      <c r="U2435">
        <v>3</v>
      </c>
      <c r="V2435">
        <v>5</v>
      </c>
    </row>
    <row r="2436" spans="1:22" x14ac:dyDescent="0.3">
      <c r="A2436">
        <v>2435</v>
      </c>
      <c r="B2436">
        <v>52764</v>
      </c>
      <c r="C2436" s="2">
        <v>36635</v>
      </c>
      <c r="D2436">
        <v>25</v>
      </c>
      <c r="E2436" t="s">
        <v>36</v>
      </c>
      <c r="F2436" t="s">
        <v>50</v>
      </c>
      <c r="G2436" s="2">
        <v>45545</v>
      </c>
      <c r="H2436" s="3">
        <f t="shared" si="38"/>
        <v>1.0301369863013699</v>
      </c>
      <c r="I2436">
        <v>70</v>
      </c>
      <c r="J2436" t="s">
        <v>57</v>
      </c>
      <c r="K2436" t="s">
        <v>53</v>
      </c>
      <c r="L2436" t="s">
        <v>44</v>
      </c>
      <c r="M2436">
        <v>23.6</v>
      </c>
      <c r="T2436" t="s">
        <v>49</v>
      </c>
      <c r="U2436">
        <v>4</v>
      </c>
      <c r="V2436">
        <v>5</v>
      </c>
    </row>
    <row r="2437" spans="1:22" x14ac:dyDescent="0.3">
      <c r="A2437">
        <v>2436</v>
      </c>
      <c r="B2437">
        <v>52765</v>
      </c>
      <c r="C2437" s="2">
        <v>36877</v>
      </c>
      <c r="D2437">
        <v>25</v>
      </c>
      <c r="E2437" t="s">
        <v>36</v>
      </c>
      <c r="F2437" t="s">
        <v>50</v>
      </c>
      <c r="G2437" s="2">
        <v>45646</v>
      </c>
      <c r="H2437" s="3">
        <f t="shared" si="38"/>
        <v>1.0054794520547945</v>
      </c>
      <c r="I2437">
        <v>78</v>
      </c>
      <c r="J2437" t="s">
        <v>57</v>
      </c>
      <c r="K2437" t="s">
        <v>53</v>
      </c>
      <c r="L2437" t="s">
        <v>44</v>
      </c>
      <c r="M2437">
        <v>23.6</v>
      </c>
      <c r="T2437" t="s">
        <v>52</v>
      </c>
      <c r="U2437">
        <v>2</v>
      </c>
      <c r="V2437">
        <v>5</v>
      </c>
    </row>
    <row r="2438" spans="1:22" x14ac:dyDescent="0.3">
      <c r="A2438">
        <v>2437</v>
      </c>
      <c r="B2438">
        <v>52766</v>
      </c>
      <c r="C2438" s="2">
        <v>35143</v>
      </c>
      <c r="D2438">
        <v>29</v>
      </c>
      <c r="E2438" t="s">
        <v>36</v>
      </c>
      <c r="F2438" t="s">
        <v>37</v>
      </c>
      <c r="G2438" s="2">
        <v>45655</v>
      </c>
      <c r="H2438" s="3">
        <f t="shared" si="38"/>
        <v>1.6493150684931508</v>
      </c>
      <c r="I2438">
        <v>14</v>
      </c>
      <c r="J2438" t="s">
        <v>38</v>
      </c>
      <c r="K2438" t="s">
        <v>53</v>
      </c>
      <c r="L2438" t="s">
        <v>44</v>
      </c>
      <c r="M2438">
        <v>23.6</v>
      </c>
      <c r="T2438" t="s">
        <v>47</v>
      </c>
      <c r="U2438">
        <v>5</v>
      </c>
      <c r="V2438">
        <v>5</v>
      </c>
    </row>
    <row r="2439" spans="1:22" x14ac:dyDescent="0.3">
      <c r="A2439">
        <v>2438</v>
      </c>
      <c r="B2439">
        <v>52767</v>
      </c>
      <c r="C2439" s="2">
        <v>35207</v>
      </c>
      <c r="D2439">
        <v>29</v>
      </c>
      <c r="E2439" t="s">
        <v>42</v>
      </c>
      <c r="F2439" t="s">
        <v>50</v>
      </c>
      <c r="G2439" s="2">
        <v>45420</v>
      </c>
      <c r="H2439" s="3">
        <f t="shared" si="38"/>
        <v>1.3205479452054794</v>
      </c>
      <c r="I2439">
        <v>25</v>
      </c>
      <c r="J2439" t="s">
        <v>38</v>
      </c>
      <c r="K2439" t="s">
        <v>53</v>
      </c>
      <c r="L2439" t="s">
        <v>44</v>
      </c>
      <c r="M2439">
        <v>23.6</v>
      </c>
      <c r="T2439" t="s">
        <v>47</v>
      </c>
      <c r="U2439">
        <v>6</v>
      </c>
      <c r="V2439">
        <v>6</v>
      </c>
    </row>
    <row r="2440" spans="1:22" x14ac:dyDescent="0.3">
      <c r="A2440">
        <v>2439</v>
      </c>
      <c r="B2440">
        <v>52768</v>
      </c>
      <c r="C2440" s="2">
        <v>34691</v>
      </c>
      <c r="D2440">
        <v>31</v>
      </c>
      <c r="E2440" t="s">
        <v>36</v>
      </c>
      <c r="F2440" t="s">
        <v>50</v>
      </c>
      <c r="G2440" s="2">
        <v>45540</v>
      </c>
      <c r="H2440" s="3">
        <f t="shared" si="38"/>
        <v>1.558904109589041</v>
      </c>
      <c r="I2440">
        <v>27</v>
      </c>
      <c r="J2440" t="s">
        <v>38</v>
      </c>
      <c r="K2440" t="s">
        <v>53</v>
      </c>
      <c r="L2440" t="s">
        <v>44</v>
      </c>
      <c r="M2440">
        <v>23.6</v>
      </c>
      <c r="T2440" t="s">
        <v>52</v>
      </c>
      <c r="U2440">
        <v>5</v>
      </c>
      <c r="V2440">
        <v>4</v>
      </c>
    </row>
    <row r="2441" spans="1:22" x14ac:dyDescent="0.3">
      <c r="A2441">
        <v>2440</v>
      </c>
      <c r="B2441">
        <v>52769</v>
      </c>
      <c r="C2441" s="2">
        <v>35288</v>
      </c>
      <c r="D2441">
        <v>29</v>
      </c>
      <c r="E2441" t="s">
        <v>36</v>
      </c>
      <c r="F2441" t="s">
        <v>50</v>
      </c>
      <c r="G2441" s="2">
        <v>45453</v>
      </c>
      <c r="H2441" s="3">
        <f t="shared" si="38"/>
        <v>1.6904109589041096</v>
      </c>
      <c r="I2441">
        <v>32</v>
      </c>
      <c r="J2441" t="s">
        <v>38</v>
      </c>
      <c r="K2441" t="s">
        <v>53</v>
      </c>
      <c r="L2441" t="s">
        <v>44</v>
      </c>
      <c r="M2441">
        <v>23.6</v>
      </c>
      <c r="T2441" t="s">
        <v>45</v>
      </c>
      <c r="U2441">
        <v>5</v>
      </c>
      <c r="V2441">
        <v>6</v>
      </c>
    </row>
    <row r="2442" spans="1:22" x14ac:dyDescent="0.3">
      <c r="A2442">
        <v>2441</v>
      </c>
      <c r="B2442">
        <v>52770</v>
      </c>
      <c r="C2442" s="2">
        <v>35767</v>
      </c>
      <c r="D2442">
        <v>28</v>
      </c>
      <c r="E2442" t="s">
        <v>36</v>
      </c>
      <c r="F2442" t="s">
        <v>50</v>
      </c>
      <c r="G2442" s="2">
        <v>45405</v>
      </c>
      <c r="H2442" s="3">
        <f t="shared" si="38"/>
        <v>1.106849315068493</v>
      </c>
      <c r="I2442">
        <v>34</v>
      </c>
      <c r="J2442" t="s">
        <v>38</v>
      </c>
      <c r="K2442" t="s">
        <v>53</v>
      </c>
      <c r="L2442" t="s">
        <v>44</v>
      </c>
      <c r="M2442">
        <v>23.6</v>
      </c>
      <c r="T2442" t="s">
        <v>47</v>
      </c>
      <c r="U2442">
        <v>1</v>
      </c>
      <c r="V2442">
        <v>5</v>
      </c>
    </row>
    <row r="2443" spans="1:22" x14ac:dyDescent="0.3">
      <c r="A2443">
        <v>2442</v>
      </c>
      <c r="B2443">
        <v>52771</v>
      </c>
      <c r="C2443" s="2">
        <v>35294</v>
      </c>
      <c r="D2443">
        <v>29</v>
      </c>
      <c r="E2443" t="s">
        <v>36</v>
      </c>
      <c r="F2443" t="s">
        <v>50</v>
      </c>
      <c r="G2443" s="2">
        <v>45618</v>
      </c>
      <c r="H2443" s="3">
        <f t="shared" si="38"/>
        <v>1.6821917808219178</v>
      </c>
      <c r="I2443">
        <v>34</v>
      </c>
      <c r="J2443" t="s">
        <v>38</v>
      </c>
      <c r="K2443" t="s">
        <v>53</v>
      </c>
      <c r="L2443" t="s">
        <v>44</v>
      </c>
      <c r="M2443">
        <v>23.6</v>
      </c>
      <c r="T2443" t="s">
        <v>52</v>
      </c>
      <c r="U2443">
        <v>4</v>
      </c>
      <c r="V2443">
        <v>5</v>
      </c>
    </row>
    <row r="2444" spans="1:22" x14ac:dyDescent="0.3">
      <c r="A2444">
        <v>2443</v>
      </c>
      <c r="B2444">
        <v>52773</v>
      </c>
      <c r="C2444" s="2">
        <v>36687</v>
      </c>
      <c r="D2444">
        <v>25</v>
      </c>
      <c r="E2444" t="s">
        <v>36</v>
      </c>
      <c r="F2444" t="s">
        <v>50</v>
      </c>
      <c r="G2444" s="2">
        <v>45408</v>
      </c>
      <c r="H2444" s="3">
        <f t="shared" si="38"/>
        <v>1.6849315068493151</v>
      </c>
      <c r="I2444">
        <v>74</v>
      </c>
      <c r="J2444" t="s">
        <v>57</v>
      </c>
      <c r="K2444" t="s">
        <v>53</v>
      </c>
      <c r="L2444" t="s">
        <v>44</v>
      </c>
      <c r="M2444">
        <v>23.6</v>
      </c>
      <c r="T2444" t="s">
        <v>45</v>
      </c>
      <c r="U2444">
        <v>4</v>
      </c>
      <c r="V2444">
        <v>5</v>
      </c>
    </row>
    <row r="2445" spans="1:22" x14ac:dyDescent="0.3">
      <c r="A2445">
        <v>2444</v>
      </c>
      <c r="B2445">
        <v>52774</v>
      </c>
      <c r="C2445" s="2">
        <v>35410</v>
      </c>
      <c r="D2445">
        <v>29</v>
      </c>
      <c r="E2445" t="s">
        <v>36</v>
      </c>
      <c r="F2445" t="s">
        <v>50</v>
      </c>
      <c r="G2445" s="2">
        <v>45407</v>
      </c>
      <c r="H2445" s="3">
        <f t="shared" si="38"/>
        <v>1.0986301369863014</v>
      </c>
      <c r="I2445">
        <v>86</v>
      </c>
      <c r="J2445" t="s">
        <v>57</v>
      </c>
      <c r="K2445" t="s">
        <v>53</v>
      </c>
      <c r="L2445" t="s">
        <v>44</v>
      </c>
      <c r="M2445">
        <v>23.6</v>
      </c>
      <c r="T2445" t="s">
        <v>47</v>
      </c>
      <c r="U2445">
        <v>6</v>
      </c>
      <c r="V2445">
        <v>5</v>
      </c>
    </row>
    <row r="2446" spans="1:22" x14ac:dyDescent="0.3">
      <c r="A2446">
        <v>2445</v>
      </c>
      <c r="B2446">
        <v>52775</v>
      </c>
      <c r="C2446" s="2">
        <v>35344</v>
      </c>
      <c r="D2446">
        <v>29</v>
      </c>
      <c r="E2446" t="s">
        <v>36</v>
      </c>
      <c r="F2446" t="s">
        <v>50</v>
      </c>
      <c r="G2446" s="2">
        <v>45621</v>
      </c>
      <c r="H2446" s="3">
        <f t="shared" si="38"/>
        <v>1.6493150684931508</v>
      </c>
      <c r="I2446">
        <v>121</v>
      </c>
      <c r="J2446" t="s">
        <v>57</v>
      </c>
      <c r="K2446" t="s">
        <v>53</v>
      </c>
      <c r="L2446" t="s">
        <v>44</v>
      </c>
      <c r="M2446">
        <v>23.6</v>
      </c>
      <c r="T2446" t="s">
        <v>47</v>
      </c>
      <c r="U2446">
        <v>4</v>
      </c>
      <c r="V2446">
        <v>4</v>
      </c>
    </row>
    <row r="2447" spans="1:22" x14ac:dyDescent="0.3">
      <c r="A2447">
        <v>2446</v>
      </c>
      <c r="B2447">
        <v>52776</v>
      </c>
      <c r="C2447" s="2">
        <v>33362</v>
      </c>
      <c r="D2447">
        <v>34</v>
      </c>
      <c r="E2447" t="s">
        <v>36</v>
      </c>
      <c r="F2447" t="s">
        <v>50</v>
      </c>
      <c r="G2447" s="2">
        <v>45420</v>
      </c>
      <c r="H2447" s="3">
        <f t="shared" si="38"/>
        <v>1.5506849315068494</v>
      </c>
      <c r="I2447">
        <v>37</v>
      </c>
      <c r="J2447" t="s">
        <v>38</v>
      </c>
      <c r="K2447" t="s">
        <v>53</v>
      </c>
      <c r="L2447" t="s">
        <v>44</v>
      </c>
      <c r="M2447">
        <v>23.6</v>
      </c>
      <c r="T2447" t="s">
        <v>47</v>
      </c>
      <c r="U2447">
        <v>3</v>
      </c>
      <c r="V2447">
        <v>4</v>
      </c>
    </row>
    <row r="2448" spans="1:22" x14ac:dyDescent="0.3">
      <c r="A2448">
        <v>2447</v>
      </c>
      <c r="B2448">
        <v>52778</v>
      </c>
      <c r="C2448" s="2">
        <v>34169</v>
      </c>
      <c r="D2448">
        <v>32</v>
      </c>
      <c r="E2448" t="s">
        <v>36</v>
      </c>
      <c r="F2448" t="s">
        <v>50</v>
      </c>
      <c r="G2448" s="2">
        <v>45456</v>
      </c>
      <c r="H2448" s="3">
        <f t="shared" si="38"/>
        <v>1.1479452054794521</v>
      </c>
      <c r="I2448">
        <v>89</v>
      </c>
      <c r="J2448" t="s">
        <v>57</v>
      </c>
      <c r="K2448" t="s">
        <v>53</v>
      </c>
      <c r="L2448" t="s">
        <v>44</v>
      </c>
      <c r="M2448">
        <v>23.6</v>
      </c>
      <c r="T2448" t="s">
        <v>45</v>
      </c>
      <c r="U2448">
        <v>4</v>
      </c>
      <c r="V2448">
        <v>5</v>
      </c>
    </row>
    <row r="2449" spans="1:22" x14ac:dyDescent="0.3">
      <c r="A2449">
        <v>2448</v>
      </c>
      <c r="B2449">
        <v>52779</v>
      </c>
      <c r="C2449" s="2">
        <v>36074</v>
      </c>
      <c r="D2449">
        <v>27</v>
      </c>
      <c r="E2449" t="s">
        <v>36</v>
      </c>
      <c r="F2449" t="s">
        <v>50</v>
      </c>
      <c r="G2449" s="2">
        <v>45603</v>
      </c>
      <c r="H2449" s="3">
        <f t="shared" si="38"/>
        <v>1.0876712328767124</v>
      </c>
      <c r="I2449">
        <v>52</v>
      </c>
      <c r="J2449" t="s">
        <v>38</v>
      </c>
      <c r="K2449" t="s">
        <v>53</v>
      </c>
      <c r="L2449" t="s">
        <v>44</v>
      </c>
      <c r="M2449">
        <v>23.6</v>
      </c>
      <c r="T2449" t="s">
        <v>52</v>
      </c>
      <c r="U2449">
        <v>4</v>
      </c>
      <c r="V2449">
        <v>4</v>
      </c>
    </row>
    <row r="2450" spans="1:22" x14ac:dyDescent="0.3">
      <c r="A2450">
        <v>2449</v>
      </c>
      <c r="B2450">
        <v>52781</v>
      </c>
      <c r="C2450" s="2">
        <v>36443</v>
      </c>
      <c r="D2450">
        <v>26</v>
      </c>
      <c r="E2450" t="s">
        <v>42</v>
      </c>
      <c r="F2450" t="s">
        <v>50</v>
      </c>
      <c r="G2450" s="2">
        <v>45625</v>
      </c>
      <c r="H2450" s="3">
        <f t="shared" si="38"/>
        <v>1.1589041095890411</v>
      </c>
      <c r="I2450">
        <v>24</v>
      </c>
      <c r="J2450" t="s">
        <v>38</v>
      </c>
      <c r="K2450" t="s">
        <v>53</v>
      </c>
      <c r="L2450" t="s">
        <v>44</v>
      </c>
      <c r="M2450">
        <v>23.6</v>
      </c>
      <c r="T2450" t="s">
        <v>47</v>
      </c>
      <c r="U2450">
        <v>5</v>
      </c>
      <c r="V2450">
        <v>6</v>
      </c>
    </row>
    <row r="2451" spans="1:22" x14ac:dyDescent="0.3">
      <c r="A2451">
        <v>2450</v>
      </c>
      <c r="B2451">
        <v>52782</v>
      </c>
      <c r="C2451" s="2">
        <v>37242</v>
      </c>
      <c r="D2451">
        <v>24</v>
      </c>
      <c r="E2451" t="s">
        <v>36</v>
      </c>
      <c r="F2451" t="s">
        <v>50</v>
      </c>
      <c r="G2451" s="2">
        <v>45599</v>
      </c>
      <c r="H2451" s="3">
        <f t="shared" si="38"/>
        <v>1.6273972602739726</v>
      </c>
      <c r="I2451">
        <v>31</v>
      </c>
      <c r="J2451" t="s">
        <v>38</v>
      </c>
      <c r="K2451" t="s">
        <v>53</v>
      </c>
      <c r="L2451" t="s">
        <v>44</v>
      </c>
      <c r="M2451">
        <v>23.6</v>
      </c>
      <c r="T2451" t="s">
        <v>45</v>
      </c>
      <c r="U2451">
        <v>6</v>
      </c>
      <c r="V2451">
        <v>5</v>
      </c>
    </row>
    <row r="2452" spans="1:22" x14ac:dyDescent="0.3">
      <c r="A2452">
        <v>2451</v>
      </c>
      <c r="B2452">
        <v>52783</v>
      </c>
      <c r="C2452" s="2">
        <v>35779</v>
      </c>
      <c r="D2452">
        <v>28</v>
      </c>
      <c r="E2452" t="s">
        <v>36</v>
      </c>
      <c r="F2452" t="s">
        <v>50</v>
      </c>
      <c r="G2452" s="2">
        <v>45428</v>
      </c>
      <c r="H2452" s="3">
        <f t="shared" si="38"/>
        <v>1.0246575342465754</v>
      </c>
      <c r="I2452">
        <v>54</v>
      </c>
      <c r="J2452" t="s">
        <v>38</v>
      </c>
      <c r="K2452" t="s">
        <v>53</v>
      </c>
      <c r="L2452" t="s">
        <v>44</v>
      </c>
      <c r="M2452">
        <v>23.6</v>
      </c>
      <c r="T2452" t="s">
        <v>45</v>
      </c>
      <c r="U2452">
        <v>2</v>
      </c>
      <c r="V2452">
        <v>5</v>
      </c>
    </row>
    <row r="2453" spans="1:22" x14ac:dyDescent="0.3">
      <c r="A2453">
        <v>2452</v>
      </c>
      <c r="B2453">
        <v>52784</v>
      </c>
      <c r="C2453" s="2">
        <v>34354</v>
      </c>
      <c r="D2453">
        <v>31</v>
      </c>
      <c r="E2453" t="s">
        <v>36</v>
      </c>
      <c r="F2453" t="s">
        <v>50</v>
      </c>
      <c r="G2453" s="2">
        <v>45648</v>
      </c>
      <c r="H2453" s="3">
        <f t="shared" si="38"/>
        <v>1.1808219178082191</v>
      </c>
      <c r="I2453">
        <v>55</v>
      </c>
      <c r="J2453" t="s">
        <v>38</v>
      </c>
      <c r="K2453" t="s">
        <v>53</v>
      </c>
      <c r="L2453" t="s">
        <v>44</v>
      </c>
      <c r="M2453">
        <v>23.6</v>
      </c>
      <c r="T2453" t="s">
        <v>45</v>
      </c>
      <c r="U2453">
        <v>5</v>
      </c>
      <c r="V2453">
        <v>5</v>
      </c>
    </row>
    <row r="2454" spans="1:22" x14ac:dyDescent="0.3">
      <c r="A2454">
        <v>2453</v>
      </c>
      <c r="B2454">
        <v>52785</v>
      </c>
      <c r="C2454" s="2">
        <v>32033</v>
      </c>
      <c r="D2454">
        <v>38</v>
      </c>
      <c r="E2454" t="s">
        <v>36</v>
      </c>
      <c r="F2454" t="s">
        <v>50</v>
      </c>
      <c r="G2454" s="2">
        <v>45591</v>
      </c>
      <c r="H2454" s="3">
        <f t="shared" si="38"/>
        <v>1.2547945205479452</v>
      </c>
      <c r="I2454">
        <v>60</v>
      </c>
      <c r="J2454" t="s">
        <v>38</v>
      </c>
      <c r="K2454" t="s">
        <v>53</v>
      </c>
      <c r="L2454" t="s">
        <v>44</v>
      </c>
      <c r="M2454">
        <v>23.6</v>
      </c>
      <c r="T2454" t="s">
        <v>52</v>
      </c>
      <c r="U2454">
        <v>3</v>
      </c>
      <c r="V2454">
        <v>4</v>
      </c>
    </row>
    <row r="2455" spans="1:22" x14ac:dyDescent="0.3">
      <c r="A2455">
        <v>2454</v>
      </c>
      <c r="B2455">
        <v>52786</v>
      </c>
      <c r="C2455" s="2">
        <v>37161</v>
      </c>
      <c r="D2455">
        <v>24</v>
      </c>
      <c r="E2455" t="s">
        <v>36</v>
      </c>
      <c r="F2455" t="s">
        <v>50</v>
      </c>
      <c r="G2455" s="2">
        <v>45564</v>
      </c>
      <c r="H2455" s="3">
        <f t="shared" si="38"/>
        <v>1.6383561643835616</v>
      </c>
      <c r="I2455">
        <v>3</v>
      </c>
      <c r="J2455" t="s">
        <v>38</v>
      </c>
      <c r="K2455" t="s">
        <v>53</v>
      </c>
      <c r="L2455" t="s">
        <v>44</v>
      </c>
      <c r="M2455">
        <v>23.6</v>
      </c>
      <c r="T2455" t="s">
        <v>49</v>
      </c>
      <c r="U2455">
        <v>6</v>
      </c>
      <c r="V2455">
        <v>6</v>
      </c>
    </row>
    <row r="2456" spans="1:22" x14ac:dyDescent="0.3">
      <c r="A2456">
        <v>2455</v>
      </c>
      <c r="B2456">
        <v>52787</v>
      </c>
      <c r="C2456" s="2">
        <v>37003</v>
      </c>
      <c r="D2456">
        <v>24</v>
      </c>
      <c r="E2456" t="s">
        <v>36</v>
      </c>
      <c r="F2456" t="s">
        <v>37</v>
      </c>
      <c r="G2456" s="2">
        <v>45424</v>
      </c>
      <c r="H2456" s="3">
        <f t="shared" si="38"/>
        <v>1.4876712328767123</v>
      </c>
      <c r="I2456">
        <v>9</v>
      </c>
      <c r="J2456" t="s">
        <v>38</v>
      </c>
      <c r="K2456" t="s">
        <v>53</v>
      </c>
      <c r="L2456" t="s">
        <v>44</v>
      </c>
      <c r="M2456">
        <v>23.6</v>
      </c>
      <c r="T2456" t="s">
        <v>49</v>
      </c>
      <c r="U2456">
        <v>6</v>
      </c>
      <c r="V2456">
        <v>5</v>
      </c>
    </row>
    <row r="2457" spans="1:22" x14ac:dyDescent="0.3">
      <c r="A2457">
        <v>2456</v>
      </c>
      <c r="B2457">
        <v>52789</v>
      </c>
      <c r="C2457" s="2">
        <v>33010</v>
      </c>
      <c r="D2457">
        <v>35</v>
      </c>
      <c r="E2457" t="s">
        <v>36</v>
      </c>
      <c r="F2457" t="s">
        <v>50</v>
      </c>
      <c r="G2457" s="2">
        <v>45479</v>
      </c>
      <c r="H2457" s="3">
        <f t="shared" si="38"/>
        <v>1.7972602739726027</v>
      </c>
      <c r="I2457">
        <v>27</v>
      </c>
      <c r="J2457" t="s">
        <v>38</v>
      </c>
      <c r="K2457" t="s">
        <v>53</v>
      </c>
      <c r="L2457" t="s">
        <v>44</v>
      </c>
      <c r="M2457">
        <v>23.6</v>
      </c>
      <c r="T2457" t="s">
        <v>52</v>
      </c>
      <c r="U2457">
        <v>6</v>
      </c>
      <c r="V2457">
        <v>4</v>
      </c>
    </row>
    <row r="2458" spans="1:22" x14ac:dyDescent="0.3">
      <c r="A2458">
        <v>2457</v>
      </c>
      <c r="B2458">
        <v>52792</v>
      </c>
      <c r="C2458" s="2">
        <v>36049</v>
      </c>
      <c r="D2458">
        <v>27</v>
      </c>
      <c r="E2458" t="s">
        <v>36</v>
      </c>
      <c r="F2458" t="s">
        <v>50</v>
      </c>
      <c r="G2458" s="2">
        <v>45366</v>
      </c>
      <c r="H2458" s="3">
        <f t="shared" si="38"/>
        <v>1.3808219178082193</v>
      </c>
      <c r="I2458">
        <v>51</v>
      </c>
      <c r="J2458" t="s">
        <v>38</v>
      </c>
      <c r="K2458" t="s">
        <v>53</v>
      </c>
      <c r="L2458" t="s">
        <v>44</v>
      </c>
      <c r="M2458">
        <v>23.6</v>
      </c>
      <c r="T2458" t="s">
        <v>45</v>
      </c>
      <c r="U2458">
        <v>6</v>
      </c>
      <c r="V2458">
        <v>4</v>
      </c>
    </row>
    <row r="2459" spans="1:22" x14ac:dyDescent="0.3">
      <c r="A2459">
        <v>2458</v>
      </c>
      <c r="B2459">
        <v>52793</v>
      </c>
      <c r="C2459" s="2">
        <v>33736</v>
      </c>
      <c r="D2459">
        <v>33</v>
      </c>
      <c r="E2459" t="s">
        <v>36</v>
      </c>
      <c r="F2459" t="s">
        <v>50</v>
      </c>
      <c r="G2459" s="2">
        <v>45518</v>
      </c>
      <c r="H2459" s="3">
        <f t="shared" si="38"/>
        <v>1.5972602739726027</v>
      </c>
      <c r="I2459">
        <v>51</v>
      </c>
      <c r="J2459" t="s">
        <v>38</v>
      </c>
      <c r="K2459" t="s">
        <v>53</v>
      </c>
      <c r="L2459" t="s">
        <v>44</v>
      </c>
      <c r="M2459">
        <v>23.6</v>
      </c>
      <c r="T2459" t="s">
        <v>52</v>
      </c>
      <c r="U2459">
        <v>2</v>
      </c>
      <c r="V2459">
        <v>5</v>
      </c>
    </row>
    <row r="2460" spans="1:22" x14ac:dyDescent="0.3">
      <c r="A2460">
        <v>2459</v>
      </c>
      <c r="B2460">
        <v>52794</v>
      </c>
      <c r="C2460" s="2">
        <v>35668</v>
      </c>
      <c r="D2460">
        <v>28</v>
      </c>
      <c r="E2460" t="s">
        <v>42</v>
      </c>
      <c r="F2460" t="s">
        <v>50</v>
      </c>
      <c r="G2460" s="2">
        <v>45439</v>
      </c>
      <c r="H2460" s="3">
        <f t="shared" si="38"/>
        <v>1.4602739726027398</v>
      </c>
      <c r="I2460">
        <v>54</v>
      </c>
      <c r="J2460" t="s">
        <v>38</v>
      </c>
      <c r="K2460" t="s">
        <v>53</v>
      </c>
      <c r="L2460" t="s">
        <v>44</v>
      </c>
      <c r="M2460">
        <v>23.6</v>
      </c>
      <c r="T2460" t="s">
        <v>52</v>
      </c>
      <c r="U2460">
        <v>2</v>
      </c>
      <c r="V2460">
        <v>7</v>
      </c>
    </row>
    <row r="2461" spans="1:22" x14ac:dyDescent="0.3">
      <c r="A2461">
        <v>2460</v>
      </c>
      <c r="B2461">
        <v>52795</v>
      </c>
      <c r="C2461" s="2">
        <v>35541</v>
      </c>
      <c r="D2461">
        <v>28</v>
      </c>
      <c r="E2461" t="s">
        <v>42</v>
      </c>
      <c r="F2461" t="s">
        <v>37</v>
      </c>
      <c r="G2461" s="2">
        <v>45489</v>
      </c>
      <c r="H2461" s="3">
        <f t="shared" si="38"/>
        <v>1.5726027397260274</v>
      </c>
      <c r="I2461">
        <v>87</v>
      </c>
      <c r="J2461" t="s">
        <v>57</v>
      </c>
      <c r="K2461" t="s">
        <v>53</v>
      </c>
      <c r="L2461" t="s">
        <v>44</v>
      </c>
      <c r="M2461">
        <v>23.6</v>
      </c>
      <c r="T2461" t="s">
        <v>47</v>
      </c>
      <c r="U2461">
        <v>2</v>
      </c>
      <c r="V2461">
        <v>6</v>
      </c>
    </row>
    <row r="2462" spans="1:22" x14ac:dyDescent="0.3">
      <c r="A2462">
        <v>2461</v>
      </c>
      <c r="B2462">
        <v>52796</v>
      </c>
      <c r="C2462" s="2">
        <v>36586</v>
      </c>
      <c r="D2462">
        <v>26</v>
      </c>
      <c r="E2462" t="s">
        <v>36</v>
      </c>
      <c r="F2462" t="s">
        <v>50</v>
      </c>
      <c r="G2462" s="2">
        <v>45448</v>
      </c>
      <c r="H2462" s="3">
        <f t="shared" si="38"/>
        <v>1.7068493150684931</v>
      </c>
      <c r="I2462">
        <v>113</v>
      </c>
      <c r="J2462" t="s">
        <v>57</v>
      </c>
      <c r="K2462" t="s">
        <v>53</v>
      </c>
      <c r="L2462" t="s">
        <v>44</v>
      </c>
      <c r="M2462">
        <v>23.6</v>
      </c>
      <c r="T2462" t="s">
        <v>45</v>
      </c>
      <c r="U2462">
        <v>0</v>
      </c>
      <c r="V2462">
        <v>6</v>
      </c>
    </row>
    <row r="2463" spans="1:22" x14ac:dyDescent="0.3">
      <c r="A2463">
        <v>2462</v>
      </c>
      <c r="B2463">
        <v>52797</v>
      </c>
      <c r="C2463" s="2">
        <v>35109</v>
      </c>
      <c r="D2463">
        <v>29</v>
      </c>
      <c r="E2463" t="s">
        <v>36</v>
      </c>
      <c r="F2463" t="s">
        <v>50</v>
      </c>
      <c r="G2463" s="2">
        <v>45399</v>
      </c>
      <c r="H2463" s="3">
        <f t="shared" si="38"/>
        <v>1.515068493150685</v>
      </c>
      <c r="I2463">
        <v>142</v>
      </c>
      <c r="J2463" t="s">
        <v>57</v>
      </c>
      <c r="K2463" t="s">
        <v>53</v>
      </c>
      <c r="L2463" t="s">
        <v>44</v>
      </c>
      <c r="M2463">
        <v>23.6</v>
      </c>
      <c r="T2463" t="s">
        <v>52</v>
      </c>
      <c r="U2463">
        <v>4</v>
      </c>
      <c r="V2463">
        <v>5</v>
      </c>
    </row>
    <row r="2464" spans="1:22" x14ac:dyDescent="0.3">
      <c r="A2464">
        <v>2463</v>
      </c>
      <c r="B2464">
        <v>52798</v>
      </c>
      <c r="C2464" s="2">
        <v>35300</v>
      </c>
      <c r="D2464">
        <v>29</v>
      </c>
      <c r="E2464" t="s">
        <v>36</v>
      </c>
      <c r="F2464" t="s">
        <v>37</v>
      </c>
      <c r="G2464" s="2">
        <v>45469</v>
      </c>
      <c r="H2464" s="3">
        <f t="shared" si="38"/>
        <v>1.0082191780821919</v>
      </c>
      <c r="I2464">
        <v>11</v>
      </c>
      <c r="J2464" t="s">
        <v>38</v>
      </c>
      <c r="K2464" t="s">
        <v>53</v>
      </c>
      <c r="L2464" t="s">
        <v>44</v>
      </c>
      <c r="M2464">
        <v>23.6</v>
      </c>
      <c r="T2464" t="s">
        <v>49</v>
      </c>
      <c r="U2464">
        <v>4</v>
      </c>
      <c r="V2464">
        <v>4</v>
      </c>
    </row>
    <row r="2465" spans="1:22" x14ac:dyDescent="0.3">
      <c r="A2465">
        <v>2464</v>
      </c>
      <c r="B2465">
        <v>52799</v>
      </c>
      <c r="C2465" s="2">
        <v>35475</v>
      </c>
      <c r="D2465">
        <v>28</v>
      </c>
      <c r="E2465" t="s">
        <v>42</v>
      </c>
      <c r="F2465" t="s">
        <v>50</v>
      </c>
      <c r="G2465" s="2">
        <v>45654</v>
      </c>
      <c r="H2465" s="3">
        <f t="shared" si="38"/>
        <v>1.0465753424657533</v>
      </c>
      <c r="I2465">
        <v>55</v>
      </c>
      <c r="J2465" t="s">
        <v>38</v>
      </c>
      <c r="K2465" t="s">
        <v>53</v>
      </c>
      <c r="L2465" t="s">
        <v>44</v>
      </c>
      <c r="M2465">
        <v>23.6</v>
      </c>
      <c r="T2465" t="s">
        <v>52</v>
      </c>
      <c r="U2465">
        <v>1</v>
      </c>
      <c r="V2465">
        <v>6</v>
      </c>
    </row>
    <row r="2466" spans="1:22" x14ac:dyDescent="0.3">
      <c r="A2466">
        <v>2465</v>
      </c>
      <c r="B2466">
        <v>52800</v>
      </c>
      <c r="C2466" s="2">
        <v>36522</v>
      </c>
      <c r="D2466">
        <v>26</v>
      </c>
      <c r="E2466" t="s">
        <v>36</v>
      </c>
      <c r="F2466" t="s">
        <v>50</v>
      </c>
      <c r="G2466" s="2">
        <v>45640</v>
      </c>
      <c r="H2466" s="3">
        <f t="shared" si="38"/>
        <v>1.6328767123287671</v>
      </c>
      <c r="I2466">
        <v>141</v>
      </c>
      <c r="J2466" t="s">
        <v>57</v>
      </c>
      <c r="K2466" t="s">
        <v>53</v>
      </c>
      <c r="L2466" t="s">
        <v>44</v>
      </c>
      <c r="M2466">
        <v>23.6</v>
      </c>
      <c r="T2466" t="s">
        <v>52</v>
      </c>
      <c r="U2466">
        <v>2</v>
      </c>
      <c r="V2466">
        <v>3</v>
      </c>
    </row>
    <row r="2467" spans="1:22" x14ac:dyDescent="0.3">
      <c r="A2467">
        <v>2466</v>
      </c>
      <c r="B2467">
        <v>52801</v>
      </c>
      <c r="C2467" s="2">
        <v>36051</v>
      </c>
      <c r="D2467">
        <v>27</v>
      </c>
      <c r="E2467" t="s">
        <v>36</v>
      </c>
      <c r="F2467" t="s">
        <v>50</v>
      </c>
      <c r="G2467" s="2">
        <v>45426</v>
      </c>
      <c r="H2467" s="3">
        <f t="shared" si="38"/>
        <v>1.4465753424657535</v>
      </c>
      <c r="I2467">
        <v>3</v>
      </c>
      <c r="J2467" t="s">
        <v>38</v>
      </c>
      <c r="K2467" t="s">
        <v>53</v>
      </c>
      <c r="L2467" t="s">
        <v>44</v>
      </c>
      <c r="M2467">
        <v>23.6</v>
      </c>
      <c r="T2467" t="s">
        <v>47</v>
      </c>
      <c r="U2467">
        <v>3</v>
      </c>
      <c r="V2467">
        <v>5</v>
      </c>
    </row>
    <row r="2468" spans="1:22" x14ac:dyDescent="0.3">
      <c r="A2468">
        <v>2467</v>
      </c>
      <c r="B2468">
        <v>52802</v>
      </c>
      <c r="C2468" s="2">
        <v>37115</v>
      </c>
      <c r="D2468">
        <v>24</v>
      </c>
      <c r="E2468" t="s">
        <v>36</v>
      </c>
      <c r="F2468" t="s">
        <v>50</v>
      </c>
      <c r="G2468" s="2">
        <v>45494</v>
      </c>
      <c r="H2468" s="3">
        <f t="shared" si="38"/>
        <v>1.5643835616438355</v>
      </c>
      <c r="I2468">
        <v>9</v>
      </c>
      <c r="J2468" t="s">
        <v>38</v>
      </c>
      <c r="K2468" t="s">
        <v>53</v>
      </c>
      <c r="L2468" t="s">
        <v>44</v>
      </c>
      <c r="M2468">
        <v>23.6</v>
      </c>
      <c r="T2468" t="s">
        <v>45</v>
      </c>
      <c r="U2468">
        <v>2</v>
      </c>
      <c r="V2468">
        <v>3</v>
      </c>
    </row>
    <row r="2469" spans="1:22" x14ac:dyDescent="0.3">
      <c r="A2469">
        <v>2468</v>
      </c>
      <c r="B2469">
        <v>52803</v>
      </c>
      <c r="C2469" s="2">
        <v>36019</v>
      </c>
      <c r="D2469">
        <v>27</v>
      </c>
      <c r="E2469" t="s">
        <v>36</v>
      </c>
      <c r="F2469" t="s">
        <v>50</v>
      </c>
      <c r="G2469" s="2">
        <v>45451</v>
      </c>
      <c r="H2469" s="3">
        <f t="shared" si="38"/>
        <v>1.1589041095890411</v>
      </c>
      <c r="I2469">
        <v>14</v>
      </c>
      <c r="J2469" t="s">
        <v>38</v>
      </c>
      <c r="K2469" t="s">
        <v>53</v>
      </c>
      <c r="L2469" t="s">
        <v>44</v>
      </c>
      <c r="M2469">
        <v>23.6</v>
      </c>
      <c r="T2469" t="s">
        <v>45</v>
      </c>
      <c r="U2469">
        <v>4</v>
      </c>
      <c r="V2469">
        <v>7</v>
      </c>
    </row>
    <row r="2470" spans="1:22" x14ac:dyDescent="0.3">
      <c r="A2470">
        <v>2469</v>
      </c>
      <c r="B2470">
        <v>52804</v>
      </c>
      <c r="C2470" s="2">
        <v>35767</v>
      </c>
      <c r="D2470">
        <v>28</v>
      </c>
      <c r="E2470" t="s">
        <v>36</v>
      </c>
      <c r="F2470" t="s">
        <v>50</v>
      </c>
      <c r="G2470" s="2">
        <v>45599</v>
      </c>
      <c r="H2470" s="3">
        <f t="shared" si="38"/>
        <v>1.4767123287671233</v>
      </c>
      <c r="I2470">
        <v>51</v>
      </c>
      <c r="J2470" t="s">
        <v>38</v>
      </c>
      <c r="K2470" t="s">
        <v>53</v>
      </c>
      <c r="L2470" t="s">
        <v>44</v>
      </c>
      <c r="M2470">
        <v>23.6</v>
      </c>
      <c r="T2470" t="s">
        <v>47</v>
      </c>
      <c r="U2470">
        <v>3</v>
      </c>
      <c r="V2470">
        <v>5</v>
      </c>
    </row>
    <row r="2471" spans="1:22" x14ac:dyDescent="0.3">
      <c r="A2471">
        <v>2470</v>
      </c>
      <c r="B2471">
        <v>52805</v>
      </c>
      <c r="C2471" s="2">
        <v>37109</v>
      </c>
      <c r="D2471">
        <v>24</v>
      </c>
      <c r="E2471" t="s">
        <v>42</v>
      </c>
      <c r="F2471" t="s">
        <v>50</v>
      </c>
      <c r="G2471" s="2">
        <v>45483</v>
      </c>
      <c r="H2471" s="3">
        <f t="shared" si="38"/>
        <v>1.7835616438356163</v>
      </c>
      <c r="I2471">
        <v>59</v>
      </c>
      <c r="J2471" t="s">
        <v>38</v>
      </c>
      <c r="K2471" t="s">
        <v>53</v>
      </c>
      <c r="L2471" t="s">
        <v>44</v>
      </c>
      <c r="M2471">
        <v>23.6</v>
      </c>
      <c r="T2471" t="s">
        <v>52</v>
      </c>
      <c r="U2471">
        <v>2</v>
      </c>
      <c r="V2471">
        <v>6</v>
      </c>
    </row>
    <row r="2472" spans="1:22" x14ac:dyDescent="0.3">
      <c r="A2472">
        <v>2471</v>
      </c>
      <c r="B2472">
        <v>52806</v>
      </c>
      <c r="C2472" s="2">
        <v>36566</v>
      </c>
      <c r="D2472">
        <v>25</v>
      </c>
      <c r="E2472" t="s">
        <v>36</v>
      </c>
      <c r="F2472" t="s">
        <v>50</v>
      </c>
      <c r="G2472" s="2">
        <v>45371</v>
      </c>
      <c r="H2472" s="3">
        <f t="shared" si="38"/>
        <v>1.3369863013698631</v>
      </c>
      <c r="I2472">
        <v>62</v>
      </c>
      <c r="J2472" t="s">
        <v>38</v>
      </c>
      <c r="K2472" t="s">
        <v>53</v>
      </c>
      <c r="L2472" t="s">
        <v>44</v>
      </c>
      <c r="M2472">
        <v>23.6</v>
      </c>
      <c r="T2472" t="s">
        <v>45</v>
      </c>
      <c r="U2472">
        <v>4</v>
      </c>
      <c r="V2472">
        <v>5</v>
      </c>
    </row>
    <row r="2473" spans="1:22" x14ac:dyDescent="0.3">
      <c r="A2473">
        <v>2472</v>
      </c>
      <c r="B2473">
        <v>52808</v>
      </c>
      <c r="C2473" s="2">
        <v>35852</v>
      </c>
      <c r="D2473">
        <v>27</v>
      </c>
      <c r="E2473" t="s">
        <v>36</v>
      </c>
      <c r="F2473" t="s">
        <v>50</v>
      </c>
      <c r="G2473" s="2">
        <v>45534</v>
      </c>
      <c r="H2473" s="3">
        <f t="shared" si="38"/>
        <v>1.3506849315068492</v>
      </c>
      <c r="I2473">
        <v>107</v>
      </c>
      <c r="J2473" t="s">
        <v>57</v>
      </c>
      <c r="K2473" t="s">
        <v>53</v>
      </c>
      <c r="L2473" t="s">
        <v>44</v>
      </c>
      <c r="M2473">
        <v>23.6</v>
      </c>
      <c r="T2473" t="s">
        <v>47</v>
      </c>
      <c r="U2473">
        <v>6</v>
      </c>
      <c r="V2473">
        <v>7</v>
      </c>
    </row>
    <row r="2474" spans="1:22" x14ac:dyDescent="0.3">
      <c r="A2474">
        <v>2473</v>
      </c>
      <c r="B2474">
        <v>52809</v>
      </c>
      <c r="C2474" s="2">
        <v>34604</v>
      </c>
      <c r="D2474">
        <v>31</v>
      </c>
      <c r="E2474" t="s">
        <v>42</v>
      </c>
      <c r="F2474" t="s">
        <v>50</v>
      </c>
      <c r="G2474" s="2">
        <v>45529</v>
      </c>
      <c r="H2474" s="3">
        <f t="shared" si="38"/>
        <v>1.5890410958904109</v>
      </c>
      <c r="I2474">
        <v>117</v>
      </c>
      <c r="J2474" t="s">
        <v>57</v>
      </c>
      <c r="K2474" t="s">
        <v>53</v>
      </c>
      <c r="L2474" t="s">
        <v>44</v>
      </c>
      <c r="M2474">
        <v>23.6</v>
      </c>
      <c r="T2474" t="s">
        <v>52</v>
      </c>
      <c r="U2474">
        <v>2</v>
      </c>
      <c r="V2474">
        <v>7</v>
      </c>
    </row>
    <row r="2475" spans="1:22" x14ac:dyDescent="0.3">
      <c r="A2475">
        <v>2474</v>
      </c>
      <c r="B2475">
        <v>52810</v>
      </c>
      <c r="C2475" s="2">
        <v>37217</v>
      </c>
      <c r="D2475">
        <v>24</v>
      </c>
      <c r="E2475" t="s">
        <v>36</v>
      </c>
      <c r="F2475" t="s">
        <v>50</v>
      </c>
      <c r="G2475" s="2">
        <v>45442</v>
      </c>
      <c r="H2475" s="3">
        <f t="shared" si="38"/>
        <v>1.4986301369863013</v>
      </c>
      <c r="I2475">
        <v>122</v>
      </c>
      <c r="J2475" t="s">
        <v>57</v>
      </c>
      <c r="K2475" t="s">
        <v>53</v>
      </c>
      <c r="L2475" t="s">
        <v>44</v>
      </c>
      <c r="M2475">
        <v>23.6</v>
      </c>
      <c r="T2475" t="s">
        <v>49</v>
      </c>
      <c r="U2475">
        <v>1</v>
      </c>
      <c r="V2475">
        <v>4</v>
      </c>
    </row>
    <row r="2476" spans="1:22" x14ac:dyDescent="0.3">
      <c r="A2476">
        <v>2475</v>
      </c>
      <c r="B2476">
        <v>52811</v>
      </c>
      <c r="C2476" s="2">
        <v>36466</v>
      </c>
      <c r="D2476">
        <v>26</v>
      </c>
      <c r="E2476" t="s">
        <v>36</v>
      </c>
      <c r="F2476" t="s">
        <v>50</v>
      </c>
      <c r="G2476" s="2">
        <v>45475</v>
      </c>
      <c r="H2476" s="3">
        <f t="shared" si="38"/>
        <v>1.2054794520547945</v>
      </c>
      <c r="I2476">
        <v>126</v>
      </c>
      <c r="J2476" t="s">
        <v>57</v>
      </c>
      <c r="K2476" t="s">
        <v>53</v>
      </c>
      <c r="L2476" t="s">
        <v>44</v>
      </c>
      <c r="M2476">
        <v>23.6</v>
      </c>
      <c r="T2476" t="s">
        <v>49</v>
      </c>
      <c r="U2476">
        <v>0</v>
      </c>
      <c r="V2476">
        <v>4</v>
      </c>
    </row>
    <row r="2477" spans="1:22" x14ac:dyDescent="0.3">
      <c r="A2477">
        <v>2476</v>
      </c>
      <c r="B2477">
        <v>52812</v>
      </c>
      <c r="C2477" s="2">
        <v>35172</v>
      </c>
      <c r="D2477">
        <v>29</v>
      </c>
      <c r="E2477" t="s">
        <v>42</v>
      </c>
      <c r="F2477" t="s">
        <v>50</v>
      </c>
      <c r="G2477" s="2">
        <v>45582</v>
      </c>
      <c r="H2477" s="3">
        <f t="shared" si="38"/>
        <v>1.0931506849315069</v>
      </c>
      <c r="I2477">
        <v>5</v>
      </c>
      <c r="J2477" t="s">
        <v>38</v>
      </c>
      <c r="K2477" t="s">
        <v>53</v>
      </c>
      <c r="L2477" t="s">
        <v>44</v>
      </c>
      <c r="M2477">
        <v>23.6</v>
      </c>
      <c r="T2477" t="s">
        <v>49</v>
      </c>
      <c r="U2477">
        <v>5</v>
      </c>
      <c r="V2477">
        <v>7</v>
      </c>
    </row>
    <row r="2478" spans="1:22" x14ac:dyDescent="0.3">
      <c r="A2478">
        <v>2477</v>
      </c>
      <c r="B2478">
        <v>52813</v>
      </c>
      <c r="C2478" s="2">
        <v>34736</v>
      </c>
      <c r="D2478">
        <v>30</v>
      </c>
      <c r="E2478" t="s">
        <v>36</v>
      </c>
      <c r="F2478" t="s">
        <v>50</v>
      </c>
      <c r="G2478" s="2">
        <v>45623</v>
      </c>
      <c r="H2478" s="3">
        <f t="shared" si="38"/>
        <v>1.1616438356164382</v>
      </c>
      <c r="I2478">
        <v>26</v>
      </c>
      <c r="J2478" t="s">
        <v>38</v>
      </c>
      <c r="K2478" t="s">
        <v>53</v>
      </c>
      <c r="L2478" t="s">
        <v>44</v>
      </c>
      <c r="M2478">
        <v>23.6</v>
      </c>
      <c r="T2478" t="s">
        <v>49</v>
      </c>
      <c r="U2478">
        <v>6</v>
      </c>
      <c r="V2478">
        <v>5</v>
      </c>
    </row>
    <row r="2479" spans="1:22" x14ac:dyDescent="0.3">
      <c r="A2479">
        <v>2478</v>
      </c>
      <c r="B2479">
        <v>52814</v>
      </c>
      <c r="C2479" s="2">
        <v>37255</v>
      </c>
      <c r="D2479">
        <v>24</v>
      </c>
      <c r="E2479" t="s">
        <v>42</v>
      </c>
      <c r="F2479" t="s">
        <v>50</v>
      </c>
      <c r="G2479" s="2">
        <v>45598</v>
      </c>
      <c r="H2479" s="3">
        <f t="shared" si="38"/>
        <v>1.3726027397260274</v>
      </c>
      <c r="I2479">
        <v>42</v>
      </c>
      <c r="J2479" t="s">
        <v>38</v>
      </c>
      <c r="K2479" t="s">
        <v>53</v>
      </c>
      <c r="L2479" t="s">
        <v>44</v>
      </c>
      <c r="M2479">
        <v>23.6</v>
      </c>
      <c r="T2479" t="s">
        <v>47</v>
      </c>
      <c r="U2479">
        <v>6</v>
      </c>
      <c r="V2479">
        <v>5</v>
      </c>
    </row>
    <row r="2480" spans="1:22" x14ac:dyDescent="0.3">
      <c r="A2480">
        <v>2479</v>
      </c>
      <c r="B2480">
        <v>52815</v>
      </c>
      <c r="C2480" s="2">
        <v>35357</v>
      </c>
      <c r="D2480">
        <v>29</v>
      </c>
      <c r="E2480" t="s">
        <v>36</v>
      </c>
      <c r="F2480" t="s">
        <v>37</v>
      </c>
      <c r="G2480" s="2">
        <v>45521</v>
      </c>
      <c r="H2480" s="3">
        <f t="shared" si="38"/>
        <v>1.526027397260274</v>
      </c>
      <c r="I2480">
        <v>48</v>
      </c>
      <c r="J2480" t="s">
        <v>38</v>
      </c>
      <c r="K2480" t="s">
        <v>53</v>
      </c>
      <c r="L2480" t="s">
        <v>44</v>
      </c>
      <c r="M2480">
        <v>23.6</v>
      </c>
      <c r="T2480" t="s">
        <v>45</v>
      </c>
      <c r="U2480">
        <v>5</v>
      </c>
      <c r="V2480">
        <v>6</v>
      </c>
    </row>
    <row r="2481" spans="1:22" x14ac:dyDescent="0.3">
      <c r="A2481">
        <v>2480</v>
      </c>
      <c r="B2481">
        <v>52816</v>
      </c>
      <c r="C2481" s="2">
        <v>36257</v>
      </c>
      <c r="D2481">
        <v>26</v>
      </c>
      <c r="E2481" t="s">
        <v>36</v>
      </c>
      <c r="F2481" t="s">
        <v>50</v>
      </c>
      <c r="G2481" s="2">
        <v>45465</v>
      </c>
      <c r="H2481" s="3">
        <f t="shared" si="38"/>
        <v>1.747945205479452</v>
      </c>
      <c r="I2481">
        <v>52</v>
      </c>
      <c r="J2481" t="s">
        <v>38</v>
      </c>
      <c r="K2481" t="s">
        <v>53</v>
      </c>
      <c r="L2481" t="s">
        <v>44</v>
      </c>
      <c r="M2481">
        <v>23.6</v>
      </c>
      <c r="T2481" t="s">
        <v>45</v>
      </c>
      <c r="U2481">
        <v>4</v>
      </c>
      <c r="V2481">
        <v>4</v>
      </c>
    </row>
    <row r="2482" spans="1:22" x14ac:dyDescent="0.3">
      <c r="A2482">
        <v>2481</v>
      </c>
      <c r="B2482">
        <v>52817</v>
      </c>
      <c r="C2482" s="2">
        <v>33786</v>
      </c>
      <c r="D2482">
        <v>34</v>
      </c>
      <c r="E2482" t="s">
        <v>36</v>
      </c>
      <c r="F2482" t="s">
        <v>50</v>
      </c>
      <c r="G2482" s="2">
        <v>45384</v>
      </c>
      <c r="H2482" s="3">
        <f t="shared" si="38"/>
        <v>1.547945205479452</v>
      </c>
      <c r="I2482">
        <v>59</v>
      </c>
      <c r="J2482" t="s">
        <v>38</v>
      </c>
      <c r="K2482" t="s">
        <v>53</v>
      </c>
      <c r="L2482" t="s">
        <v>44</v>
      </c>
      <c r="M2482">
        <v>23.6</v>
      </c>
      <c r="T2482" t="s">
        <v>49</v>
      </c>
      <c r="U2482">
        <v>4</v>
      </c>
      <c r="V2482">
        <v>6</v>
      </c>
    </row>
    <row r="2483" spans="1:22" x14ac:dyDescent="0.3">
      <c r="A2483">
        <v>2482</v>
      </c>
      <c r="B2483">
        <v>52818</v>
      </c>
      <c r="C2483" s="2">
        <v>37055</v>
      </c>
      <c r="D2483">
        <v>24</v>
      </c>
      <c r="E2483" t="s">
        <v>36</v>
      </c>
      <c r="F2483" t="s">
        <v>50</v>
      </c>
      <c r="G2483" s="2">
        <v>45457</v>
      </c>
      <c r="H2483" s="3">
        <f t="shared" si="38"/>
        <v>1.6164383561643836</v>
      </c>
      <c r="I2483">
        <v>73</v>
      </c>
      <c r="J2483" t="s">
        <v>57</v>
      </c>
      <c r="K2483" t="s">
        <v>53</v>
      </c>
      <c r="L2483" t="s">
        <v>44</v>
      </c>
      <c r="M2483">
        <v>23.6</v>
      </c>
      <c r="T2483" t="s">
        <v>45</v>
      </c>
      <c r="U2483">
        <v>4</v>
      </c>
      <c r="V2483">
        <v>5</v>
      </c>
    </row>
    <row r="2484" spans="1:22" x14ac:dyDescent="0.3">
      <c r="A2484">
        <v>2483</v>
      </c>
      <c r="B2484">
        <v>52820</v>
      </c>
      <c r="C2484" s="2">
        <v>36801</v>
      </c>
      <c r="D2484">
        <v>25</v>
      </c>
      <c r="E2484" t="s">
        <v>42</v>
      </c>
      <c r="F2484" t="s">
        <v>50</v>
      </c>
      <c r="G2484" s="2">
        <v>45432</v>
      </c>
      <c r="H2484" s="3">
        <f t="shared" si="38"/>
        <v>1.2438356164383562</v>
      </c>
      <c r="I2484">
        <v>76</v>
      </c>
      <c r="J2484" t="s">
        <v>57</v>
      </c>
      <c r="K2484" t="s">
        <v>53</v>
      </c>
      <c r="L2484" t="s">
        <v>44</v>
      </c>
      <c r="M2484">
        <v>23.6</v>
      </c>
      <c r="T2484" t="s">
        <v>49</v>
      </c>
      <c r="U2484">
        <v>4</v>
      </c>
      <c r="V2484">
        <v>7</v>
      </c>
    </row>
    <row r="2485" spans="1:22" x14ac:dyDescent="0.3">
      <c r="A2485">
        <v>2484</v>
      </c>
      <c r="B2485">
        <v>52821</v>
      </c>
      <c r="C2485" s="2">
        <v>36271</v>
      </c>
      <c r="D2485">
        <v>26</v>
      </c>
      <c r="E2485" t="s">
        <v>42</v>
      </c>
      <c r="F2485" t="s">
        <v>37</v>
      </c>
      <c r="G2485" s="2">
        <v>45568</v>
      </c>
      <c r="H2485" s="3">
        <f t="shared" si="38"/>
        <v>1.0821917808219179</v>
      </c>
      <c r="I2485">
        <v>77</v>
      </c>
      <c r="J2485" t="s">
        <v>57</v>
      </c>
      <c r="K2485" t="s">
        <v>53</v>
      </c>
      <c r="L2485" t="s">
        <v>44</v>
      </c>
      <c r="M2485">
        <v>23.6</v>
      </c>
      <c r="T2485" t="s">
        <v>47</v>
      </c>
      <c r="U2485">
        <v>3</v>
      </c>
      <c r="V2485">
        <v>6</v>
      </c>
    </row>
    <row r="2486" spans="1:22" x14ac:dyDescent="0.3">
      <c r="A2486">
        <v>2485</v>
      </c>
      <c r="B2486">
        <v>52822</v>
      </c>
      <c r="C2486" s="2">
        <v>31838</v>
      </c>
      <c r="D2486">
        <v>38</v>
      </c>
      <c r="E2486" t="s">
        <v>36</v>
      </c>
      <c r="F2486" t="s">
        <v>37</v>
      </c>
      <c r="G2486" s="2">
        <v>45627</v>
      </c>
      <c r="H2486" s="3">
        <f t="shared" si="38"/>
        <v>1.2438356164383562</v>
      </c>
      <c r="I2486">
        <v>91</v>
      </c>
      <c r="J2486" t="s">
        <v>57</v>
      </c>
      <c r="K2486" t="s">
        <v>53</v>
      </c>
      <c r="L2486" t="s">
        <v>44</v>
      </c>
      <c r="M2486">
        <v>23.6</v>
      </c>
      <c r="T2486" t="s">
        <v>49</v>
      </c>
      <c r="U2486">
        <v>3</v>
      </c>
      <c r="V2486">
        <v>5</v>
      </c>
    </row>
    <row r="2487" spans="1:22" x14ac:dyDescent="0.3">
      <c r="A2487">
        <v>2486</v>
      </c>
      <c r="B2487">
        <v>52823</v>
      </c>
      <c r="C2487" s="2">
        <v>37186</v>
      </c>
      <c r="D2487">
        <v>24</v>
      </c>
      <c r="E2487" t="s">
        <v>42</v>
      </c>
      <c r="F2487" t="s">
        <v>37</v>
      </c>
      <c r="G2487" s="2">
        <v>45568</v>
      </c>
      <c r="H2487" s="3">
        <f t="shared" si="38"/>
        <v>1.0191780821917809</v>
      </c>
      <c r="I2487">
        <v>92</v>
      </c>
      <c r="J2487" t="s">
        <v>57</v>
      </c>
      <c r="K2487" t="s">
        <v>53</v>
      </c>
      <c r="L2487" t="s">
        <v>44</v>
      </c>
      <c r="M2487">
        <v>23.6</v>
      </c>
      <c r="T2487" t="s">
        <v>52</v>
      </c>
      <c r="U2487">
        <v>6</v>
      </c>
      <c r="V2487">
        <v>7</v>
      </c>
    </row>
    <row r="2488" spans="1:22" x14ac:dyDescent="0.3">
      <c r="A2488">
        <v>2487</v>
      </c>
      <c r="B2488">
        <v>52825</v>
      </c>
      <c r="C2488" s="2">
        <v>36287</v>
      </c>
      <c r="D2488">
        <v>26</v>
      </c>
      <c r="E2488" t="s">
        <v>36</v>
      </c>
      <c r="F2488" t="s">
        <v>50</v>
      </c>
      <c r="G2488" s="2">
        <v>45650</v>
      </c>
      <c r="H2488" s="3">
        <f t="shared" si="38"/>
        <v>1.6739726027397259</v>
      </c>
      <c r="I2488">
        <v>112</v>
      </c>
      <c r="J2488" t="s">
        <v>57</v>
      </c>
      <c r="K2488" t="s">
        <v>53</v>
      </c>
      <c r="L2488" t="s">
        <v>44</v>
      </c>
      <c r="M2488">
        <v>23.6</v>
      </c>
      <c r="T2488" t="s">
        <v>45</v>
      </c>
      <c r="U2488">
        <v>4</v>
      </c>
      <c r="V2488">
        <v>5</v>
      </c>
    </row>
    <row r="2489" spans="1:22" x14ac:dyDescent="0.3">
      <c r="A2489">
        <v>2488</v>
      </c>
      <c r="B2489">
        <v>52826</v>
      </c>
      <c r="C2489" s="2">
        <v>33865</v>
      </c>
      <c r="D2489">
        <v>33</v>
      </c>
      <c r="E2489" t="s">
        <v>42</v>
      </c>
      <c r="F2489" t="s">
        <v>50</v>
      </c>
      <c r="G2489" s="2">
        <v>45411</v>
      </c>
      <c r="H2489" s="3">
        <f t="shared" si="38"/>
        <v>1.5424657534246575</v>
      </c>
      <c r="I2489">
        <v>112</v>
      </c>
      <c r="J2489" t="s">
        <v>57</v>
      </c>
      <c r="K2489" t="s">
        <v>53</v>
      </c>
      <c r="L2489" t="s">
        <v>44</v>
      </c>
      <c r="M2489">
        <v>23.6</v>
      </c>
      <c r="T2489" t="s">
        <v>45</v>
      </c>
      <c r="U2489">
        <v>4</v>
      </c>
      <c r="V2489">
        <v>6</v>
      </c>
    </row>
    <row r="2490" spans="1:22" x14ac:dyDescent="0.3">
      <c r="A2490">
        <v>2489</v>
      </c>
      <c r="B2490">
        <v>52827</v>
      </c>
      <c r="C2490" s="2">
        <v>32739</v>
      </c>
      <c r="D2490">
        <v>36</v>
      </c>
      <c r="E2490" t="s">
        <v>36</v>
      </c>
      <c r="F2490" t="s">
        <v>50</v>
      </c>
      <c r="G2490" s="2">
        <v>45459</v>
      </c>
      <c r="H2490" s="3">
        <f t="shared" si="38"/>
        <v>1.726027397260274</v>
      </c>
      <c r="I2490">
        <v>145</v>
      </c>
      <c r="J2490" t="s">
        <v>57</v>
      </c>
      <c r="K2490" t="s">
        <v>53</v>
      </c>
      <c r="L2490" t="s">
        <v>44</v>
      </c>
      <c r="M2490">
        <v>23.6</v>
      </c>
      <c r="T2490" t="s">
        <v>45</v>
      </c>
      <c r="U2490">
        <v>4</v>
      </c>
      <c r="V2490">
        <v>5</v>
      </c>
    </row>
    <row r="2491" spans="1:22" x14ac:dyDescent="0.3">
      <c r="A2491">
        <v>2490</v>
      </c>
      <c r="B2491">
        <v>52828</v>
      </c>
      <c r="C2491" s="2">
        <v>36934</v>
      </c>
      <c r="D2491">
        <v>24</v>
      </c>
      <c r="E2491" t="s">
        <v>36</v>
      </c>
      <c r="F2491" t="s">
        <v>50</v>
      </c>
      <c r="G2491" s="2">
        <v>45392</v>
      </c>
      <c r="H2491" s="3">
        <f t="shared" si="38"/>
        <v>1.8246575342465754</v>
      </c>
      <c r="I2491">
        <v>4</v>
      </c>
      <c r="J2491" t="s">
        <v>38</v>
      </c>
      <c r="K2491" t="s">
        <v>53</v>
      </c>
      <c r="L2491" t="s">
        <v>44</v>
      </c>
      <c r="M2491">
        <v>23.6</v>
      </c>
      <c r="T2491" t="s">
        <v>45</v>
      </c>
      <c r="U2491">
        <v>0</v>
      </c>
      <c r="V2491">
        <v>4</v>
      </c>
    </row>
    <row r="2492" spans="1:22" x14ac:dyDescent="0.3">
      <c r="A2492">
        <v>2491</v>
      </c>
      <c r="B2492">
        <v>52829</v>
      </c>
      <c r="C2492" s="2">
        <v>36971</v>
      </c>
      <c r="D2492">
        <v>24</v>
      </c>
      <c r="E2492" t="s">
        <v>36</v>
      </c>
      <c r="F2492" t="s">
        <v>50</v>
      </c>
      <c r="G2492" s="2">
        <v>45356</v>
      </c>
      <c r="H2492" s="3">
        <f t="shared" si="38"/>
        <v>1.5232876712328767</v>
      </c>
      <c r="I2492">
        <v>7</v>
      </c>
      <c r="J2492" t="s">
        <v>38</v>
      </c>
      <c r="K2492" t="s">
        <v>53</v>
      </c>
      <c r="L2492" t="s">
        <v>44</v>
      </c>
      <c r="M2492">
        <v>23.6</v>
      </c>
      <c r="T2492" t="s">
        <v>45</v>
      </c>
      <c r="U2492">
        <v>1</v>
      </c>
      <c r="V2492">
        <v>4</v>
      </c>
    </row>
    <row r="2493" spans="1:22" x14ac:dyDescent="0.3">
      <c r="A2493">
        <v>2492</v>
      </c>
      <c r="B2493">
        <v>52830</v>
      </c>
      <c r="C2493" s="2">
        <v>36147</v>
      </c>
      <c r="D2493">
        <v>27</v>
      </c>
      <c r="E2493" t="s">
        <v>42</v>
      </c>
      <c r="F2493" t="s">
        <v>50</v>
      </c>
      <c r="G2493" s="2">
        <v>45466</v>
      </c>
      <c r="H2493" s="3">
        <f t="shared" si="38"/>
        <v>1.4821917808219178</v>
      </c>
      <c r="I2493">
        <v>10</v>
      </c>
      <c r="J2493" t="s">
        <v>38</v>
      </c>
      <c r="K2493" t="s">
        <v>53</v>
      </c>
      <c r="L2493" t="s">
        <v>44</v>
      </c>
      <c r="M2493">
        <v>23.6</v>
      </c>
      <c r="T2493" t="s">
        <v>52</v>
      </c>
      <c r="U2493">
        <v>4</v>
      </c>
      <c r="V2493">
        <v>6</v>
      </c>
    </row>
    <row r="2494" spans="1:22" x14ac:dyDescent="0.3">
      <c r="A2494">
        <v>2493</v>
      </c>
      <c r="B2494">
        <v>52831</v>
      </c>
      <c r="C2494" s="2">
        <v>33496</v>
      </c>
      <c r="D2494">
        <v>34</v>
      </c>
      <c r="E2494" t="s">
        <v>36</v>
      </c>
      <c r="F2494" t="s">
        <v>50</v>
      </c>
      <c r="G2494" s="2">
        <v>45481</v>
      </c>
      <c r="H2494" s="3">
        <f t="shared" si="38"/>
        <v>1.2712328767123289</v>
      </c>
      <c r="I2494">
        <v>12</v>
      </c>
      <c r="J2494" t="s">
        <v>38</v>
      </c>
      <c r="K2494" t="s">
        <v>53</v>
      </c>
      <c r="L2494" t="s">
        <v>44</v>
      </c>
      <c r="M2494">
        <v>23.6</v>
      </c>
      <c r="T2494" t="s">
        <v>52</v>
      </c>
      <c r="U2494">
        <v>0</v>
      </c>
      <c r="V2494">
        <v>3</v>
      </c>
    </row>
    <row r="2495" spans="1:22" x14ac:dyDescent="0.3">
      <c r="A2495">
        <v>2494</v>
      </c>
      <c r="B2495">
        <v>52832</v>
      </c>
      <c r="C2495" s="2">
        <v>36750</v>
      </c>
      <c r="D2495">
        <v>25</v>
      </c>
      <c r="E2495" t="s">
        <v>36</v>
      </c>
      <c r="F2495" t="s">
        <v>50</v>
      </c>
      <c r="G2495" s="2">
        <v>45558</v>
      </c>
      <c r="H2495" s="3">
        <f t="shared" si="38"/>
        <v>1.0054794520547945</v>
      </c>
      <c r="I2495">
        <v>12</v>
      </c>
      <c r="J2495" t="s">
        <v>38</v>
      </c>
      <c r="K2495" t="s">
        <v>53</v>
      </c>
      <c r="L2495" t="s">
        <v>44</v>
      </c>
      <c r="M2495">
        <v>23.6</v>
      </c>
      <c r="T2495" t="s">
        <v>45</v>
      </c>
      <c r="U2495">
        <v>4</v>
      </c>
      <c r="V2495">
        <v>4</v>
      </c>
    </row>
    <row r="2496" spans="1:22" x14ac:dyDescent="0.3">
      <c r="A2496">
        <v>2495</v>
      </c>
      <c r="B2496">
        <v>52833</v>
      </c>
      <c r="C2496" s="2">
        <v>35217</v>
      </c>
      <c r="D2496">
        <v>30</v>
      </c>
      <c r="E2496" t="s">
        <v>36</v>
      </c>
      <c r="F2496" t="s">
        <v>37</v>
      </c>
      <c r="G2496" s="2">
        <v>45655</v>
      </c>
      <c r="H2496" s="3">
        <f t="shared" si="38"/>
        <v>1.284931506849315</v>
      </c>
      <c r="I2496">
        <v>17</v>
      </c>
      <c r="J2496" t="s">
        <v>38</v>
      </c>
      <c r="K2496" t="s">
        <v>53</v>
      </c>
      <c r="L2496" t="s">
        <v>44</v>
      </c>
      <c r="M2496">
        <v>23.6</v>
      </c>
      <c r="T2496" t="s">
        <v>49</v>
      </c>
      <c r="U2496">
        <v>4</v>
      </c>
      <c r="V2496">
        <v>3</v>
      </c>
    </row>
    <row r="2497" spans="1:22" x14ac:dyDescent="0.3">
      <c r="A2497">
        <v>2496</v>
      </c>
      <c r="B2497">
        <v>52834</v>
      </c>
      <c r="C2497" s="2">
        <v>34990</v>
      </c>
      <c r="D2497">
        <v>30</v>
      </c>
      <c r="E2497" t="s">
        <v>36</v>
      </c>
      <c r="F2497" t="s">
        <v>50</v>
      </c>
      <c r="G2497" s="2">
        <v>45553</v>
      </c>
      <c r="H2497" s="3">
        <f t="shared" si="38"/>
        <v>1.7232876712328766</v>
      </c>
      <c r="I2497">
        <v>18</v>
      </c>
      <c r="J2497" t="s">
        <v>38</v>
      </c>
      <c r="K2497" t="s">
        <v>53</v>
      </c>
      <c r="L2497" t="s">
        <v>44</v>
      </c>
      <c r="M2497">
        <v>23.6</v>
      </c>
      <c r="T2497" t="s">
        <v>52</v>
      </c>
      <c r="U2497">
        <v>6</v>
      </c>
      <c r="V2497">
        <v>4</v>
      </c>
    </row>
    <row r="2498" spans="1:22" x14ac:dyDescent="0.3">
      <c r="A2498">
        <v>2497</v>
      </c>
      <c r="B2498">
        <v>52835</v>
      </c>
      <c r="C2498" s="2">
        <v>36442</v>
      </c>
      <c r="D2498">
        <v>26</v>
      </c>
      <c r="E2498" t="s">
        <v>36</v>
      </c>
      <c r="F2498" t="s">
        <v>50</v>
      </c>
      <c r="G2498" s="2">
        <v>45393</v>
      </c>
      <c r="H2498" s="3">
        <f t="shared" si="38"/>
        <v>1.5068493150684932</v>
      </c>
      <c r="I2498">
        <v>23</v>
      </c>
      <c r="J2498" t="s">
        <v>38</v>
      </c>
      <c r="K2498" t="s">
        <v>53</v>
      </c>
      <c r="L2498" t="s">
        <v>44</v>
      </c>
      <c r="M2498">
        <v>23.6</v>
      </c>
      <c r="T2498" t="s">
        <v>47</v>
      </c>
      <c r="U2498">
        <v>6</v>
      </c>
      <c r="V2498">
        <v>6</v>
      </c>
    </row>
    <row r="2499" spans="1:22" x14ac:dyDescent="0.3">
      <c r="A2499">
        <v>2498</v>
      </c>
      <c r="B2499">
        <v>52836</v>
      </c>
      <c r="C2499" s="2">
        <v>35256</v>
      </c>
      <c r="D2499">
        <v>29</v>
      </c>
      <c r="E2499" t="s">
        <v>36</v>
      </c>
      <c r="F2499" t="s">
        <v>50</v>
      </c>
      <c r="G2499" s="2">
        <v>45472</v>
      </c>
      <c r="H2499" s="3">
        <f t="shared" ref="H2499:H2562" si="39">DATEDIF(G2500,DATE(2025,12,31),"d")/365</f>
        <v>1.0904109589041096</v>
      </c>
      <c r="I2499">
        <v>24</v>
      </c>
      <c r="J2499" t="s">
        <v>38</v>
      </c>
      <c r="K2499" t="s">
        <v>53</v>
      </c>
      <c r="L2499" t="s">
        <v>44</v>
      </c>
      <c r="M2499">
        <v>23.6</v>
      </c>
      <c r="T2499" t="s">
        <v>47</v>
      </c>
      <c r="U2499">
        <v>1</v>
      </c>
      <c r="V2499">
        <v>3</v>
      </c>
    </row>
    <row r="2500" spans="1:22" x14ac:dyDescent="0.3">
      <c r="A2500">
        <v>2499</v>
      </c>
      <c r="B2500">
        <v>52837</v>
      </c>
      <c r="C2500" s="2">
        <v>37159</v>
      </c>
      <c r="D2500">
        <v>24</v>
      </c>
      <c r="E2500" t="s">
        <v>42</v>
      </c>
      <c r="F2500" t="s">
        <v>50</v>
      </c>
      <c r="G2500" s="2">
        <v>45624</v>
      </c>
      <c r="H2500" s="3">
        <f t="shared" si="39"/>
        <v>1.3232876712328767</v>
      </c>
      <c r="I2500">
        <v>25</v>
      </c>
      <c r="J2500" t="s">
        <v>38</v>
      </c>
      <c r="K2500" t="s">
        <v>53</v>
      </c>
      <c r="L2500" t="s">
        <v>44</v>
      </c>
      <c r="M2500">
        <v>23.6</v>
      </c>
      <c r="T2500" t="s">
        <v>47</v>
      </c>
      <c r="U2500">
        <v>4</v>
      </c>
      <c r="V2500">
        <v>5</v>
      </c>
    </row>
    <row r="2501" spans="1:22" x14ac:dyDescent="0.3">
      <c r="A2501">
        <v>2500</v>
      </c>
      <c r="B2501">
        <v>52838</v>
      </c>
      <c r="C2501" s="2">
        <v>34549</v>
      </c>
      <c r="D2501">
        <v>31</v>
      </c>
      <c r="E2501" t="s">
        <v>42</v>
      </c>
      <c r="F2501" t="s">
        <v>50</v>
      </c>
      <c r="G2501" s="2">
        <v>45539</v>
      </c>
      <c r="H2501" s="3">
        <f t="shared" si="39"/>
        <v>1.1616438356164382</v>
      </c>
      <c r="I2501">
        <v>26</v>
      </c>
      <c r="J2501" t="s">
        <v>38</v>
      </c>
      <c r="K2501" t="s">
        <v>53</v>
      </c>
      <c r="L2501" t="s">
        <v>44</v>
      </c>
      <c r="M2501">
        <v>23.6</v>
      </c>
      <c r="T2501" t="s">
        <v>52</v>
      </c>
      <c r="U2501">
        <v>4</v>
      </c>
      <c r="V2501">
        <v>7</v>
      </c>
    </row>
    <row r="2502" spans="1:22" x14ac:dyDescent="0.3">
      <c r="A2502">
        <v>2501</v>
      </c>
      <c r="B2502">
        <v>52839</v>
      </c>
      <c r="C2502" s="2">
        <v>37051</v>
      </c>
      <c r="D2502">
        <v>24</v>
      </c>
      <c r="E2502" t="s">
        <v>36</v>
      </c>
      <c r="F2502" t="s">
        <v>50</v>
      </c>
      <c r="G2502" s="2">
        <v>45598</v>
      </c>
      <c r="H2502" s="3">
        <f t="shared" si="39"/>
        <v>1.7315068493150685</v>
      </c>
      <c r="I2502">
        <v>27</v>
      </c>
      <c r="J2502" t="s">
        <v>38</v>
      </c>
      <c r="K2502" t="s">
        <v>53</v>
      </c>
      <c r="L2502" t="s">
        <v>44</v>
      </c>
      <c r="M2502">
        <v>23.6</v>
      </c>
      <c r="T2502" t="s">
        <v>45</v>
      </c>
      <c r="U2502">
        <v>5</v>
      </c>
      <c r="V2502">
        <v>6</v>
      </c>
    </row>
    <row r="2503" spans="1:22" x14ac:dyDescent="0.3">
      <c r="A2503">
        <v>2502</v>
      </c>
      <c r="B2503">
        <v>52840</v>
      </c>
      <c r="C2503" s="2">
        <v>36678</v>
      </c>
      <c r="D2503">
        <v>26</v>
      </c>
      <c r="E2503" t="s">
        <v>42</v>
      </c>
      <c r="F2503" t="s">
        <v>50</v>
      </c>
      <c r="G2503" s="2">
        <v>45390</v>
      </c>
      <c r="H2503" s="3">
        <f t="shared" si="39"/>
        <v>1.3780821917808219</v>
      </c>
      <c r="I2503">
        <v>29</v>
      </c>
      <c r="J2503" t="s">
        <v>38</v>
      </c>
      <c r="K2503" t="s">
        <v>53</v>
      </c>
      <c r="L2503" t="s">
        <v>44</v>
      </c>
      <c r="M2503">
        <v>23.6</v>
      </c>
      <c r="T2503" t="s">
        <v>45</v>
      </c>
      <c r="U2503">
        <v>0</v>
      </c>
      <c r="V2503">
        <v>6</v>
      </c>
    </row>
    <row r="2504" spans="1:22" x14ac:dyDescent="0.3">
      <c r="A2504">
        <v>2503</v>
      </c>
      <c r="B2504">
        <v>52841</v>
      </c>
      <c r="C2504" s="2">
        <v>35786</v>
      </c>
      <c r="D2504">
        <v>28</v>
      </c>
      <c r="E2504" t="s">
        <v>36</v>
      </c>
      <c r="F2504" t="s">
        <v>50</v>
      </c>
      <c r="G2504" s="2">
        <v>45519</v>
      </c>
      <c r="H2504" s="3">
        <f t="shared" si="39"/>
        <v>1.4876712328767123</v>
      </c>
      <c r="I2504">
        <v>29</v>
      </c>
      <c r="J2504" t="s">
        <v>38</v>
      </c>
      <c r="K2504" t="s">
        <v>53</v>
      </c>
      <c r="L2504" t="s">
        <v>44</v>
      </c>
      <c r="M2504">
        <v>23.6</v>
      </c>
      <c r="T2504" t="s">
        <v>52</v>
      </c>
      <c r="U2504">
        <v>2</v>
      </c>
      <c r="V2504">
        <v>5</v>
      </c>
    </row>
    <row r="2505" spans="1:22" x14ac:dyDescent="0.3">
      <c r="A2505">
        <v>2504</v>
      </c>
      <c r="B2505">
        <v>52842</v>
      </c>
      <c r="C2505" s="2">
        <v>35999</v>
      </c>
      <c r="D2505">
        <v>27</v>
      </c>
      <c r="E2505" t="s">
        <v>36</v>
      </c>
      <c r="F2505" t="s">
        <v>50</v>
      </c>
      <c r="G2505" s="2">
        <v>45479</v>
      </c>
      <c r="H2505" s="3">
        <f t="shared" si="39"/>
        <v>1.1863013698630136</v>
      </c>
      <c r="I2505">
        <v>34</v>
      </c>
      <c r="J2505" t="s">
        <v>38</v>
      </c>
      <c r="K2505" t="s">
        <v>53</v>
      </c>
      <c r="L2505" t="s">
        <v>44</v>
      </c>
      <c r="M2505">
        <v>23.6</v>
      </c>
      <c r="T2505" t="s">
        <v>45</v>
      </c>
      <c r="U2505">
        <v>6</v>
      </c>
      <c r="V2505">
        <v>6</v>
      </c>
    </row>
    <row r="2506" spans="1:22" x14ac:dyDescent="0.3">
      <c r="A2506">
        <v>2505</v>
      </c>
      <c r="B2506">
        <v>52843</v>
      </c>
      <c r="C2506" s="2">
        <v>37168</v>
      </c>
      <c r="D2506">
        <v>24</v>
      </c>
      <c r="E2506" t="s">
        <v>36</v>
      </c>
      <c r="F2506" t="s">
        <v>50</v>
      </c>
      <c r="G2506" s="2">
        <v>45589</v>
      </c>
      <c r="H2506" s="3">
        <f t="shared" si="39"/>
        <v>1.4767123287671233</v>
      </c>
      <c r="I2506">
        <v>38</v>
      </c>
      <c r="J2506" t="s">
        <v>38</v>
      </c>
      <c r="K2506" t="s">
        <v>53</v>
      </c>
      <c r="L2506" t="s">
        <v>44</v>
      </c>
      <c r="M2506">
        <v>23.6</v>
      </c>
      <c r="T2506" t="s">
        <v>49</v>
      </c>
      <c r="U2506">
        <v>4</v>
      </c>
      <c r="V2506">
        <v>5</v>
      </c>
    </row>
    <row r="2507" spans="1:22" x14ac:dyDescent="0.3">
      <c r="A2507">
        <v>2506</v>
      </c>
      <c r="B2507">
        <v>52844</v>
      </c>
      <c r="C2507" s="2">
        <v>36681</v>
      </c>
      <c r="D2507">
        <v>25</v>
      </c>
      <c r="E2507" t="s">
        <v>42</v>
      </c>
      <c r="F2507" t="s">
        <v>50</v>
      </c>
      <c r="G2507" s="2">
        <v>45483</v>
      </c>
      <c r="H2507" s="3">
        <f t="shared" si="39"/>
        <v>1.0301369863013699</v>
      </c>
      <c r="I2507">
        <v>38</v>
      </c>
      <c r="J2507" t="s">
        <v>38</v>
      </c>
      <c r="K2507" t="s">
        <v>53</v>
      </c>
      <c r="L2507" t="s">
        <v>44</v>
      </c>
      <c r="M2507">
        <v>23.6</v>
      </c>
      <c r="T2507" t="s">
        <v>49</v>
      </c>
      <c r="U2507">
        <v>6</v>
      </c>
      <c r="V2507">
        <v>7</v>
      </c>
    </row>
    <row r="2508" spans="1:22" x14ac:dyDescent="0.3">
      <c r="A2508">
        <v>2507</v>
      </c>
      <c r="B2508">
        <v>52845</v>
      </c>
      <c r="C2508" s="2">
        <v>36205</v>
      </c>
      <c r="D2508">
        <v>26</v>
      </c>
      <c r="E2508" t="s">
        <v>36</v>
      </c>
      <c r="F2508" t="s">
        <v>50</v>
      </c>
      <c r="G2508" s="2">
        <v>45646</v>
      </c>
      <c r="H2508" s="3">
        <f t="shared" si="39"/>
        <v>1.3726027397260274</v>
      </c>
      <c r="I2508">
        <v>42</v>
      </c>
      <c r="J2508" t="s">
        <v>38</v>
      </c>
      <c r="K2508" t="s">
        <v>53</v>
      </c>
      <c r="L2508" t="s">
        <v>44</v>
      </c>
      <c r="M2508">
        <v>23.6</v>
      </c>
      <c r="T2508" t="s">
        <v>45</v>
      </c>
      <c r="U2508">
        <v>6</v>
      </c>
      <c r="V2508">
        <v>5</v>
      </c>
    </row>
    <row r="2509" spans="1:22" x14ac:dyDescent="0.3">
      <c r="A2509">
        <v>2508</v>
      </c>
      <c r="B2509">
        <v>52846</v>
      </c>
      <c r="C2509" s="2">
        <v>35923</v>
      </c>
      <c r="D2509">
        <v>27</v>
      </c>
      <c r="E2509" t="s">
        <v>36</v>
      </c>
      <c r="F2509" t="s">
        <v>50</v>
      </c>
      <c r="G2509" s="2">
        <v>45521</v>
      </c>
      <c r="H2509" s="3">
        <f t="shared" si="39"/>
        <v>1.1260273972602739</v>
      </c>
      <c r="I2509">
        <v>43</v>
      </c>
      <c r="J2509" t="s">
        <v>38</v>
      </c>
      <c r="K2509" t="s">
        <v>53</v>
      </c>
      <c r="L2509" t="s">
        <v>44</v>
      </c>
      <c r="M2509">
        <v>23.6</v>
      </c>
      <c r="T2509" t="s">
        <v>52</v>
      </c>
      <c r="U2509">
        <v>6</v>
      </c>
      <c r="V2509">
        <v>5</v>
      </c>
    </row>
    <row r="2510" spans="1:22" x14ac:dyDescent="0.3">
      <c r="A2510">
        <v>2509</v>
      </c>
      <c r="B2510">
        <v>52847</v>
      </c>
      <c r="C2510" s="2">
        <v>35144</v>
      </c>
      <c r="D2510">
        <v>29</v>
      </c>
      <c r="E2510" t="s">
        <v>36</v>
      </c>
      <c r="F2510" t="s">
        <v>50</v>
      </c>
      <c r="G2510" s="2">
        <v>45611</v>
      </c>
      <c r="H2510" s="3">
        <f t="shared" si="39"/>
        <v>1.2383561643835617</v>
      </c>
      <c r="I2510">
        <v>43</v>
      </c>
      <c r="J2510" t="s">
        <v>38</v>
      </c>
      <c r="K2510" t="s">
        <v>53</v>
      </c>
      <c r="L2510" t="s">
        <v>44</v>
      </c>
      <c r="M2510">
        <v>23.6</v>
      </c>
      <c r="T2510" t="s">
        <v>45</v>
      </c>
      <c r="U2510">
        <v>5</v>
      </c>
      <c r="V2510">
        <v>5</v>
      </c>
    </row>
    <row r="2511" spans="1:22" x14ac:dyDescent="0.3">
      <c r="A2511">
        <v>2510</v>
      </c>
      <c r="B2511">
        <v>52848</v>
      </c>
      <c r="C2511" s="2">
        <v>32248</v>
      </c>
      <c r="D2511">
        <v>37</v>
      </c>
      <c r="E2511" t="s">
        <v>36</v>
      </c>
      <c r="F2511" t="s">
        <v>50</v>
      </c>
      <c r="G2511" s="2">
        <v>45570</v>
      </c>
      <c r="H2511" s="3">
        <f t="shared" si="39"/>
        <v>1.7095890410958905</v>
      </c>
      <c r="I2511">
        <v>44</v>
      </c>
      <c r="J2511" t="s">
        <v>38</v>
      </c>
      <c r="K2511" t="s">
        <v>53</v>
      </c>
      <c r="L2511" t="s">
        <v>44</v>
      </c>
      <c r="M2511">
        <v>23.6</v>
      </c>
      <c r="T2511" t="s">
        <v>45</v>
      </c>
      <c r="U2511">
        <v>6</v>
      </c>
      <c r="V2511">
        <v>6</v>
      </c>
    </row>
    <row r="2512" spans="1:22" x14ac:dyDescent="0.3">
      <c r="A2512">
        <v>2511</v>
      </c>
      <c r="B2512">
        <v>52849</v>
      </c>
      <c r="C2512" s="2">
        <v>36672</v>
      </c>
      <c r="D2512">
        <v>25</v>
      </c>
      <c r="E2512" t="s">
        <v>36</v>
      </c>
      <c r="F2512" t="s">
        <v>50</v>
      </c>
      <c r="G2512" s="2">
        <v>45398</v>
      </c>
      <c r="H2512" s="3">
        <f t="shared" si="39"/>
        <v>1.3232876712328767</v>
      </c>
      <c r="I2512">
        <v>45</v>
      </c>
      <c r="J2512" t="s">
        <v>38</v>
      </c>
      <c r="K2512" t="s">
        <v>53</v>
      </c>
      <c r="L2512" t="s">
        <v>44</v>
      </c>
      <c r="M2512">
        <v>23.6</v>
      </c>
      <c r="T2512" t="s">
        <v>45</v>
      </c>
      <c r="U2512">
        <v>3</v>
      </c>
      <c r="V2512">
        <v>4</v>
      </c>
    </row>
    <row r="2513" spans="1:22" x14ac:dyDescent="0.3">
      <c r="A2513">
        <v>2512</v>
      </c>
      <c r="B2513">
        <v>52850</v>
      </c>
      <c r="C2513" s="2">
        <v>32008</v>
      </c>
      <c r="D2513">
        <v>38</v>
      </c>
      <c r="E2513" t="s">
        <v>36</v>
      </c>
      <c r="F2513" t="s">
        <v>50</v>
      </c>
      <c r="G2513" s="2">
        <v>45539</v>
      </c>
      <c r="H2513" s="3">
        <f t="shared" si="39"/>
        <v>1.4575342465753425</v>
      </c>
      <c r="I2513">
        <v>47</v>
      </c>
      <c r="J2513" t="s">
        <v>38</v>
      </c>
      <c r="K2513" t="s">
        <v>53</v>
      </c>
      <c r="L2513" t="s">
        <v>44</v>
      </c>
      <c r="M2513">
        <v>23.6</v>
      </c>
      <c r="T2513" t="s">
        <v>45</v>
      </c>
      <c r="U2513">
        <v>3</v>
      </c>
      <c r="V2513">
        <v>6</v>
      </c>
    </row>
    <row r="2514" spans="1:22" x14ac:dyDescent="0.3">
      <c r="A2514">
        <v>2513</v>
      </c>
      <c r="B2514">
        <v>52851</v>
      </c>
      <c r="C2514" s="2">
        <v>36506</v>
      </c>
      <c r="D2514">
        <v>26</v>
      </c>
      <c r="E2514" t="s">
        <v>42</v>
      </c>
      <c r="F2514" t="s">
        <v>50</v>
      </c>
      <c r="G2514" s="2">
        <v>45490</v>
      </c>
      <c r="H2514" s="3">
        <f t="shared" si="39"/>
        <v>1.7315068493150685</v>
      </c>
      <c r="I2514">
        <v>47</v>
      </c>
      <c r="J2514" t="s">
        <v>38</v>
      </c>
      <c r="K2514" t="s">
        <v>53</v>
      </c>
      <c r="L2514" t="s">
        <v>44</v>
      </c>
      <c r="M2514">
        <v>23.6</v>
      </c>
      <c r="T2514" t="s">
        <v>49</v>
      </c>
      <c r="U2514">
        <v>4</v>
      </c>
      <c r="V2514">
        <v>7</v>
      </c>
    </row>
    <row r="2515" spans="1:22" x14ac:dyDescent="0.3">
      <c r="A2515">
        <v>2514</v>
      </c>
      <c r="B2515">
        <v>52854</v>
      </c>
      <c r="C2515" s="2">
        <v>36835</v>
      </c>
      <c r="D2515">
        <v>25</v>
      </c>
      <c r="E2515" t="s">
        <v>36</v>
      </c>
      <c r="F2515" t="s">
        <v>50</v>
      </c>
      <c r="G2515" s="2">
        <v>45390</v>
      </c>
      <c r="H2515" s="3">
        <f t="shared" si="39"/>
        <v>1.3287671232876712</v>
      </c>
      <c r="I2515">
        <v>53</v>
      </c>
      <c r="J2515" t="s">
        <v>38</v>
      </c>
      <c r="K2515" t="s">
        <v>53</v>
      </c>
      <c r="L2515" t="s">
        <v>44</v>
      </c>
      <c r="M2515">
        <v>23.6</v>
      </c>
      <c r="T2515" t="s">
        <v>45</v>
      </c>
      <c r="U2515">
        <v>3</v>
      </c>
      <c r="V2515">
        <v>4</v>
      </c>
    </row>
    <row r="2516" spans="1:22" x14ac:dyDescent="0.3">
      <c r="A2516">
        <v>2515</v>
      </c>
      <c r="B2516">
        <v>52855</v>
      </c>
      <c r="C2516" s="2">
        <v>36119</v>
      </c>
      <c r="D2516">
        <v>27</v>
      </c>
      <c r="E2516" t="s">
        <v>36</v>
      </c>
      <c r="F2516" t="s">
        <v>50</v>
      </c>
      <c r="G2516" s="2">
        <v>45537</v>
      </c>
      <c r="H2516" s="3">
        <f t="shared" si="39"/>
        <v>1.5972602739726027</v>
      </c>
      <c r="I2516">
        <v>53</v>
      </c>
      <c r="J2516" t="s">
        <v>38</v>
      </c>
      <c r="K2516" t="s">
        <v>53</v>
      </c>
      <c r="L2516" t="s">
        <v>44</v>
      </c>
      <c r="M2516">
        <v>23.6</v>
      </c>
      <c r="T2516" t="s">
        <v>47</v>
      </c>
      <c r="U2516">
        <v>2</v>
      </c>
      <c r="V2516">
        <v>4</v>
      </c>
    </row>
    <row r="2517" spans="1:22" x14ac:dyDescent="0.3">
      <c r="A2517">
        <v>2516</v>
      </c>
      <c r="B2517">
        <v>52856</v>
      </c>
      <c r="C2517" s="2">
        <v>35587</v>
      </c>
      <c r="D2517">
        <v>28</v>
      </c>
      <c r="E2517" t="s">
        <v>36</v>
      </c>
      <c r="F2517" t="s">
        <v>37</v>
      </c>
      <c r="G2517" s="2">
        <v>45439</v>
      </c>
      <c r="H2517" s="3">
        <f t="shared" si="39"/>
        <v>1.3863013698630138</v>
      </c>
      <c r="I2517">
        <v>53</v>
      </c>
      <c r="J2517" t="s">
        <v>38</v>
      </c>
      <c r="K2517" t="s">
        <v>53</v>
      </c>
      <c r="L2517" t="s">
        <v>44</v>
      </c>
      <c r="M2517">
        <v>23.6</v>
      </c>
      <c r="T2517" t="s">
        <v>52</v>
      </c>
      <c r="U2517">
        <v>6</v>
      </c>
      <c r="V2517">
        <v>5</v>
      </c>
    </row>
    <row r="2518" spans="1:22" x14ac:dyDescent="0.3">
      <c r="A2518">
        <v>2517</v>
      </c>
      <c r="B2518">
        <v>52857</v>
      </c>
      <c r="C2518" s="2">
        <v>33706</v>
      </c>
      <c r="D2518">
        <v>33</v>
      </c>
      <c r="E2518" t="s">
        <v>42</v>
      </c>
      <c r="F2518" t="s">
        <v>50</v>
      </c>
      <c r="G2518" s="2">
        <v>45516</v>
      </c>
      <c r="H2518" s="3">
        <f t="shared" si="39"/>
        <v>1.1452054794520548</v>
      </c>
      <c r="I2518">
        <v>55</v>
      </c>
      <c r="J2518" t="s">
        <v>38</v>
      </c>
      <c r="K2518" t="s">
        <v>53</v>
      </c>
      <c r="L2518" t="s">
        <v>44</v>
      </c>
      <c r="M2518">
        <v>23.6</v>
      </c>
      <c r="T2518" t="s">
        <v>49</v>
      </c>
      <c r="U2518">
        <v>3</v>
      </c>
      <c r="V2518">
        <v>7</v>
      </c>
    </row>
    <row r="2519" spans="1:22" x14ac:dyDescent="0.3">
      <c r="A2519">
        <v>2518</v>
      </c>
      <c r="B2519">
        <v>52858</v>
      </c>
      <c r="C2519" s="2">
        <v>35376</v>
      </c>
      <c r="D2519">
        <v>29</v>
      </c>
      <c r="E2519" t="s">
        <v>36</v>
      </c>
      <c r="F2519" t="s">
        <v>50</v>
      </c>
      <c r="G2519" s="2">
        <v>45604</v>
      </c>
      <c r="H2519" s="3">
        <f t="shared" si="39"/>
        <v>1.2164383561643837</v>
      </c>
      <c r="I2519">
        <v>56</v>
      </c>
      <c r="J2519" t="s">
        <v>38</v>
      </c>
      <c r="K2519" t="s">
        <v>53</v>
      </c>
      <c r="L2519" t="s">
        <v>44</v>
      </c>
      <c r="M2519">
        <v>23.6</v>
      </c>
      <c r="T2519" t="s">
        <v>47</v>
      </c>
      <c r="U2519">
        <v>3</v>
      </c>
      <c r="V2519">
        <v>5</v>
      </c>
    </row>
    <row r="2520" spans="1:22" x14ac:dyDescent="0.3">
      <c r="A2520">
        <v>2519</v>
      </c>
      <c r="B2520">
        <v>52859</v>
      </c>
      <c r="C2520" s="2">
        <v>35604</v>
      </c>
      <c r="D2520">
        <v>28</v>
      </c>
      <c r="E2520" t="s">
        <v>42</v>
      </c>
      <c r="F2520" t="s">
        <v>50</v>
      </c>
      <c r="G2520" s="2">
        <v>45578</v>
      </c>
      <c r="H2520" s="3">
        <f t="shared" si="39"/>
        <v>1</v>
      </c>
      <c r="I2520">
        <v>58</v>
      </c>
      <c r="J2520" t="s">
        <v>38</v>
      </c>
      <c r="K2520" t="s">
        <v>53</v>
      </c>
      <c r="L2520" t="s">
        <v>44</v>
      </c>
      <c r="M2520">
        <v>23.6</v>
      </c>
      <c r="T2520" t="s">
        <v>52</v>
      </c>
      <c r="U2520">
        <v>4</v>
      </c>
      <c r="V2520">
        <v>6</v>
      </c>
    </row>
    <row r="2521" spans="1:22" x14ac:dyDescent="0.3">
      <c r="A2521">
        <v>2520</v>
      </c>
      <c r="B2521">
        <v>52860</v>
      </c>
      <c r="C2521" s="2">
        <v>34311</v>
      </c>
      <c r="D2521">
        <v>32</v>
      </c>
      <c r="E2521" t="s">
        <v>36</v>
      </c>
      <c r="F2521" t="s">
        <v>50</v>
      </c>
      <c r="G2521" s="2">
        <v>45657</v>
      </c>
      <c r="H2521" s="3">
        <f t="shared" si="39"/>
        <v>1.2904109589041095</v>
      </c>
      <c r="I2521">
        <v>59</v>
      </c>
      <c r="J2521" t="s">
        <v>38</v>
      </c>
      <c r="K2521" t="s">
        <v>53</v>
      </c>
      <c r="L2521" t="s">
        <v>44</v>
      </c>
      <c r="M2521">
        <v>23.6</v>
      </c>
      <c r="T2521" t="s">
        <v>52</v>
      </c>
      <c r="U2521">
        <v>4</v>
      </c>
      <c r="V2521">
        <v>4</v>
      </c>
    </row>
    <row r="2522" spans="1:22" x14ac:dyDescent="0.3">
      <c r="A2522">
        <v>2521</v>
      </c>
      <c r="B2522">
        <v>52861</v>
      </c>
      <c r="C2522" s="2">
        <v>36813</v>
      </c>
      <c r="D2522">
        <v>25</v>
      </c>
      <c r="E2522" t="s">
        <v>36</v>
      </c>
      <c r="F2522" t="s">
        <v>50</v>
      </c>
      <c r="G2522" s="2">
        <v>45551</v>
      </c>
      <c r="H2522" s="3">
        <f t="shared" si="39"/>
        <v>1.7534246575342465</v>
      </c>
      <c r="I2522">
        <v>60</v>
      </c>
      <c r="J2522" t="s">
        <v>38</v>
      </c>
      <c r="K2522" t="s">
        <v>53</v>
      </c>
      <c r="L2522" t="s">
        <v>44</v>
      </c>
      <c r="M2522">
        <v>23.6</v>
      </c>
      <c r="T2522" t="s">
        <v>45</v>
      </c>
      <c r="U2522">
        <v>4</v>
      </c>
      <c r="V2522">
        <v>5</v>
      </c>
    </row>
    <row r="2523" spans="1:22" x14ac:dyDescent="0.3">
      <c r="A2523">
        <v>2522</v>
      </c>
      <c r="B2523">
        <v>52862</v>
      </c>
      <c r="C2523" s="2">
        <v>36449</v>
      </c>
      <c r="D2523">
        <v>26</v>
      </c>
      <c r="E2523" t="s">
        <v>36</v>
      </c>
      <c r="F2523" t="s">
        <v>50</v>
      </c>
      <c r="G2523" s="2">
        <v>45382</v>
      </c>
      <c r="H2523" s="3">
        <f t="shared" si="39"/>
        <v>1.095890410958904</v>
      </c>
      <c r="I2523">
        <v>60</v>
      </c>
      <c r="J2523" t="s">
        <v>38</v>
      </c>
      <c r="K2523" t="s">
        <v>53</v>
      </c>
      <c r="L2523" t="s">
        <v>44</v>
      </c>
      <c r="M2523">
        <v>23.6</v>
      </c>
      <c r="T2523" t="s">
        <v>52</v>
      </c>
      <c r="U2523">
        <v>3</v>
      </c>
      <c r="V2523">
        <v>4</v>
      </c>
    </row>
    <row r="2524" spans="1:22" x14ac:dyDescent="0.3">
      <c r="A2524">
        <v>2523</v>
      </c>
      <c r="B2524">
        <v>52863</v>
      </c>
      <c r="C2524" s="2">
        <v>35501</v>
      </c>
      <c r="D2524">
        <v>28</v>
      </c>
      <c r="E2524" t="s">
        <v>42</v>
      </c>
      <c r="F2524" t="s">
        <v>50</v>
      </c>
      <c r="G2524" s="2">
        <v>45622</v>
      </c>
      <c r="H2524" s="3">
        <f t="shared" si="39"/>
        <v>1.2054794520547945</v>
      </c>
      <c r="I2524">
        <v>62</v>
      </c>
      <c r="J2524" t="s">
        <v>38</v>
      </c>
      <c r="K2524" t="s">
        <v>53</v>
      </c>
      <c r="L2524" t="s">
        <v>44</v>
      </c>
      <c r="M2524">
        <v>23.6</v>
      </c>
      <c r="T2524" t="s">
        <v>52</v>
      </c>
      <c r="U2524">
        <v>2</v>
      </c>
      <c r="V2524">
        <v>6</v>
      </c>
    </row>
    <row r="2525" spans="1:22" x14ac:dyDescent="0.3">
      <c r="A2525">
        <v>2524</v>
      </c>
      <c r="B2525">
        <v>52864</v>
      </c>
      <c r="C2525" s="2">
        <v>34895</v>
      </c>
      <c r="D2525">
        <v>30</v>
      </c>
      <c r="E2525" t="s">
        <v>36</v>
      </c>
      <c r="F2525" t="s">
        <v>50</v>
      </c>
      <c r="G2525" s="2">
        <v>45582</v>
      </c>
      <c r="H2525" s="3">
        <f t="shared" si="39"/>
        <v>1.3369863013698631</v>
      </c>
      <c r="I2525">
        <v>66</v>
      </c>
      <c r="J2525" t="s">
        <v>57</v>
      </c>
      <c r="K2525" t="s">
        <v>53</v>
      </c>
      <c r="L2525" t="s">
        <v>44</v>
      </c>
      <c r="M2525">
        <v>23.6</v>
      </c>
      <c r="T2525" t="s">
        <v>45</v>
      </c>
      <c r="U2525">
        <v>2</v>
      </c>
      <c r="V2525">
        <v>4</v>
      </c>
    </row>
    <row r="2526" spans="1:22" x14ac:dyDescent="0.3">
      <c r="A2526">
        <v>2525</v>
      </c>
      <c r="B2526">
        <v>52865</v>
      </c>
      <c r="C2526" s="2">
        <v>36193</v>
      </c>
      <c r="D2526">
        <v>26</v>
      </c>
      <c r="E2526" t="s">
        <v>36</v>
      </c>
      <c r="F2526" t="s">
        <v>50</v>
      </c>
      <c r="G2526" s="2">
        <v>45534</v>
      </c>
      <c r="H2526" s="3">
        <f t="shared" si="39"/>
        <v>1.3726027397260274</v>
      </c>
      <c r="I2526">
        <v>66</v>
      </c>
      <c r="J2526" t="s">
        <v>57</v>
      </c>
      <c r="K2526" t="s">
        <v>53</v>
      </c>
      <c r="L2526" t="s">
        <v>44</v>
      </c>
      <c r="M2526">
        <v>23.6</v>
      </c>
      <c r="T2526" t="s">
        <v>47</v>
      </c>
      <c r="U2526">
        <v>5</v>
      </c>
      <c r="V2526">
        <v>6</v>
      </c>
    </row>
    <row r="2527" spans="1:22" x14ac:dyDescent="0.3">
      <c r="A2527">
        <v>2526</v>
      </c>
      <c r="B2527">
        <v>52867</v>
      </c>
      <c r="C2527" s="2">
        <v>32311</v>
      </c>
      <c r="D2527">
        <v>37</v>
      </c>
      <c r="E2527" t="s">
        <v>36</v>
      </c>
      <c r="F2527" t="s">
        <v>50</v>
      </c>
      <c r="G2527" s="2">
        <v>45521</v>
      </c>
      <c r="H2527" s="3">
        <f t="shared" si="39"/>
        <v>1.5041095890410958</v>
      </c>
      <c r="I2527">
        <v>71</v>
      </c>
      <c r="J2527" t="s">
        <v>57</v>
      </c>
      <c r="K2527" t="s">
        <v>53</v>
      </c>
      <c r="L2527" t="s">
        <v>44</v>
      </c>
      <c r="M2527">
        <v>23.6</v>
      </c>
      <c r="T2527" t="s">
        <v>47</v>
      </c>
      <c r="U2527">
        <v>5</v>
      </c>
      <c r="V2527">
        <v>6</v>
      </c>
    </row>
    <row r="2528" spans="1:22" x14ac:dyDescent="0.3">
      <c r="A2528">
        <v>2527</v>
      </c>
      <c r="B2528">
        <v>52868</v>
      </c>
      <c r="C2528" s="2">
        <v>36349</v>
      </c>
      <c r="D2528">
        <v>26</v>
      </c>
      <c r="E2528" t="s">
        <v>42</v>
      </c>
      <c r="F2528" t="s">
        <v>50</v>
      </c>
      <c r="G2528" s="2">
        <v>45473</v>
      </c>
      <c r="H2528" s="3">
        <f t="shared" si="39"/>
        <v>1.1643835616438356</v>
      </c>
      <c r="I2528">
        <v>72</v>
      </c>
      <c r="J2528" t="s">
        <v>57</v>
      </c>
      <c r="K2528" t="s">
        <v>53</v>
      </c>
      <c r="L2528" t="s">
        <v>44</v>
      </c>
      <c r="M2528">
        <v>23.6</v>
      </c>
      <c r="T2528" t="s">
        <v>47</v>
      </c>
      <c r="U2528">
        <v>6</v>
      </c>
      <c r="V2528">
        <v>7</v>
      </c>
    </row>
    <row r="2529" spans="1:22" x14ac:dyDescent="0.3">
      <c r="A2529">
        <v>2528</v>
      </c>
      <c r="B2529">
        <v>52869</v>
      </c>
      <c r="C2529" s="2">
        <v>36076</v>
      </c>
      <c r="D2529">
        <v>27</v>
      </c>
      <c r="E2529" t="s">
        <v>36</v>
      </c>
      <c r="F2529" t="s">
        <v>50</v>
      </c>
      <c r="G2529" s="2">
        <v>45597</v>
      </c>
      <c r="H2529" s="3">
        <f t="shared" si="39"/>
        <v>1.1616438356164382</v>
      </c>
      <c r="I2529">
        <v>73</v>
      </c>
      <c r="J2529" t="s">
        <v>57</v>
      </c>
      <c r="K2529" t="s">
        <v>53</v>
      </c>
      <c r="L2529" t="s">
        <v>44</v>
      </c>
      <c r="M2529">
        <v>23.6</v>
      </c>
      <c r="T2529" t="s">
        <v>47</v>
      </c>
      <c r="U2529">
        <v>5</v>
      </c>
      <c r="V2529">
        <v>4</v>
      </c>
    </row>
    <row r="2530" spans="1:22" x14ac:dyDescent="0.3">
      <c r="A2530">
        <v>2529</v>
      </c>
      <c r="B2530">
        <v>52870</v>
      </c>
      <c r="C2530" s="2">
        <v>36893</v>
      </c>
      <c r="D2530">
        <v>24</v>
      </c>
      <c r="E2530" t="s">
        <v>42</v>
      </c>
      <c r="F2530" t="s">
        <v>37</v>
      </c>
      <c r="G2530" s="2">
        <v>45598</v>
      </c>
      <c r="H2530" s="3">
        <f t="shared" si="39"/>
        <v>1.0630136986301371</v>
      </c>
      <c r="I2530">
        <v>74</v>
      </c>
      <c r="J2530" t="s">
        <v>57</v>
      </c>
      <c r="K2530" t="s">
        <v>53</v>
      </c>
      <c r="L2530" t="s">
        <v>44</v>
      </c>
      <c r="M2530">
        <v>23.6</v>
      </c>
      <c r="T2530" t="s">
        <v>49</v>
      </c>
      <c r="U2530">
        <v>4</v>
      </c>
      <c r="V2530">
        <v>6</v>
      </c>
    </row>
    <row r="2531" spans="1:22" x14ac:dyDescent="0.3">
      <c r="A2531">
        <v>2530</v>
      </c>
      <c r="B2531">
        <v>52871</v>
      </c>
      <c r="C2531" s="2">
        <v>36121</v>
      </c>
      <c r="D2531">
        <v>27</v>
      </c>
      <c r="E2531" t="s">
        <v>36</v>
      </c>
      <c r="F2531" t="s">
        <v>37</v>
      </c>
      <c r="G2531" s="2">
        <v>45634</v>
      </c>
      <c r="H2531" s="3">
        <f t="shared" si="39"/>
        <v>1.7013698630136986</v>
      </c>
      <c r="I2531">
        <v>86</v>
      </c>
      <c r="J2531" t="s">
        <v>57</v>
      </c>
      <c r="K2531" t="s">
        <v>53</v>
      </c>
      <c r="L2531" t="s">
        <v>44</v>
      </c>
      <c r="M2531">
        <v>23.6</v>
      </c>
      <c r="T2531" t="s">
        <v>52</v>
      </c>
      <c r="U2531">
        <v>5</v>
      </c>
      <c r="V2531">
        <v>5</v>
      </c>
    </row>
    <row r="2532" spans="1:22" x14ac:dyDescent="0.3">
      <c r="A2532">
        <v>2531</v>
      </c>
      <c r="B2532">
        <v>52872</v>
      </c>
      <c r="C2532" s="2">
        <v>35219</v>
      </c>
      <c r="D2532">
        <v>29</v>
      </c>
      <c r="E2532" t="s">
        <v>42</v>
      </c>
      <c r="F2532" t="s">
        <v>50</v>
      </c>
      <c r="G2532" s="2">
        <v>45401</v>
      </c>
      <c r="H2532" s="3">
        <f t="shared" si="39"/>
        <v>1.0684931506849316</v>
      </c>
      <c r="I2532">
        <v>99</v>
      </c>
      <c r="J2532" t="s">
        <v>57</v>
      </c>
      <c r="K2532" t="s">
        <v>53</v>
      </c>
      <c r="L2532" t="s">
        <v>44</v>
      </c>
      <c r="M2532">
        <v>23.6</v>
      </c>
      <c r="T2532" t="s">
        <v>47</v>
      </c>
      <c r="U2532">
        <v>3</v>
      </c>
      <c r="V2532">
        <v>6</v>
      </c>
    </row>
    <row r="2533" spans="1:22" x14ac:dyDescent="0.3">
      <c r="A2533">
        <v>2532</v>
      </c>
      <c r="B2533">
        <v>52873</v>
      </c>
      <c r="C2533" s="2">
        <v>36586</v>
      </c>
      <c r="D2533">
        <v>26</v>
      </c>
      <c r="E2533" t="s">
        <v>36</v>
      </c>
      <c r="F2533" t="s">
        <v>50</v>
      </c>
      <c r="G2533" s="2">
        <v>45632</v>
      </c>
      <c r="H2533" s="3">
        <f t="shared" si="39"/>
        <v>1.5890410958904109</v>
      </c>
      <c r="I2533">
        <v>99</v>
      </c>
      <c r="J2533" t="s">
        <v>57</v>
      </c>
      <c r="K2533" t="s">
        <v>53</v>
      </c>
      <c r="L2533" t="s">
        <v>44</v>
      </c>
      <c r="M2533">
        <v>23.6</v>
      </c>
      <c r="T2533" t="s">
        <v>52</v>
      </c>
      <c r="U2533">
        <v>2</v>
      </c>
      <c r="V2533">
        <v>5</v>
      </c>
    </row>
    <row r="2534" spans="1:22" x14ac:dyDescent="0.3">
      <c r="A2534">
        <v>2533</v>
      </c>
      <c r="B2534">
        <v>52874</v>
      </c>
      <c r="C2534" s="2">
        <v>34763</v>
      </c>
      <c r="D2534">
        <v>30</v>
      </c>
      <c r="E2534" t="s">
        <v>36</v>
      </c>
      <c r="F2534" t="s">
        <v>50</v>
      </c>
      <c r="G2534" s="2">
        <v>45442</v>
      </c>
      <c r="H2534" s="3">
        <f t="shared" si="39"/>
        <v>1.1150684931506849</v>
      </c>
      <c r="I2534">
        <v>100</v>
      </c>
      <c r="J2534" t="s">
        <v>57</v>
      </c>
      <c r="K2534" t="s">
        <v>53</v>
      </c>
      <c r="L2534" t="s">
        <v>44</v>
      </c>
      <c r="M2534">
        <v>23.6</v>
      </c>
      <c r="T2534" t="s">
        <v>49</v>
      </c>
      <c r="U2534">
        <v>3</v>
      </c>
      <c r="V2534">
        <v>3</v>
      </c>
    </row>
    <row r="2535" spans="1:22" x14ac:dyDescent="0.3">
      <c r="A2535">
        <v>2534</v>
      </c>
      <c r="B2535">
        <v>52875</v>
      </c>
      <c r="C2535" s="2">
        <v>31569</v>
      </c>
      <c r="D2535">
        <v>39</v>
      </c>
      <c r="E2535" t="s">
        <v>36</v>
      </c>
      <c r="F2535" t="s">
        <v>50</v>
      </c>
      <c r="G2535" s="2">
        <v>45615</v>
      </c>
      <c r="H2535" s="3">
        <f t="shared" si="39"/>
        <v>1.4301369863013698</v>
      </c>
      <c r="I2535">
        <v>105</v>
      </c>
      <c r="J2535" t="s">
        <v>57</v>
      </c>
      <c r="K2535" t="s">
        <v>53</v>
      </c>
      <c r="L2535" t="s">
        <v>44</v>
      </c>
      <c r="M2535">
        <v>23.6</v>
      </c>
      <c r="T2535" t="s">
        <v>49</v>
      </c>
      <c r="U2535">
        <v>6</v>
      </c>
      <c r="V2535">
        <v>6</v>
      </c>
    </row>
    <row r="2536" spans="1:22" x14ac:dyDescent="0.3">
      <c r="A2536">
        <v>2535</v>
      </c>
      <c r="B2536">
        <v>52876</v>
      </c>
      <c r="C2536" s="2">
        <v>37206</v>
      </c>
      <c r="D2536">
        <v>24</v>
      </c>
      <c r="E2536" t="s">
        <v>36</v>
      </c>
      <c r="F2536" t="s">
        <v>50</v>
      </c>
      <c r="G2536" s="2">
        <v>45500</v>
      </c>
      <c r="H2536" s="3">
        <f t="shared" si="39"/>
        <v>1.6520547945205479</v>
      </c>
      <c r="I2536">
        <v>109</v>
      </c>
      <c r="J2536" t="s">
        <v>57</v>
      </c>
      <c r="K2536" t="s">
        <v>53</v>
      </c>
      <c r="L2536" t="s">
        <v>44</v>
      </c>
      <c r="M2536">
        <v>23.6</v>
      </c>
      <c r="T2536" t="s">
        <v>45</v>
      </c>
      <c r="U2536">
        <v>6</v>
      </c>
      <c r="V2536">
        <v>6</v>
      </c>
    </row>
    <row r="2537" spans="1:22" x14ac:dyDescent="0.3">
      <c r="A2537">
        <v>2536</v>
      </c>
      <c r="B2537">
        <v>52877</v>
      </c>
      <c r="C2537" s="2">
        <v>35899</v>
      </c>
      <c r="D2537">
        <v>27</v>
      </c>
      <c r="E2537" t="s">
        <v>36</v>
      </c>
      <c r="F2537" t="s">
        <v>37</v>
      </c>
      <c r="G2537" s="2">
        <v>45419</v>
      </c>
      <c r="H2537" s="3">
        <f t="shared" si="39"/>
        <v>1.5287671232876712</v>
      </c>
      <c r="I2537">
        <v>110</v>
      </c>
      <c r="J2537" t="s">
        <v>57</v>
      </c>
      <c r="K2537" t="s">
        <v>53</v>
      </c>
      <c r="L2537" t="s">
        <v>44</v>
      </c>
      <c r="M2537">
        <v>23.6</v>
      </c>
      <c r="T2537" t="s">
        <v>45</v>
      </c>
      <c r="U2537">
        <v>6</v>
      </c>
      <c r="V2537">
        <v>5</v>
      </c>
    </row>
    <row r="2538" spans="1:22" x14ac:dyDescent="0.3">
      <c r="A2538">
        <v>2537</v>
      </c>
      <c r="B2538">
        <v>52878</v>
      </c>
      <c r="C2538" s="2">
        <v>35754</v>
      </c>
      <c r="D2538">
        <v>28</v>
      </c>
      <c r="E2538" t="s">
        <v>42</v>
      </c>
      <c r="F2538" t="s">
        <v>37</v>
      </c>
      <c r="G2538" s="2">
        <v>45464</v>
      </c>
      <c r="H2538" s="3">
        <f t="shared" si="39"/>
        <v>1.106849315068493</v>
      </c>
      <c r="I2538">
        <v>111</v>
      </c>
      <c r="J2538" t="s">
        <v>57</v>
      </c>
      <c r="K2538" t="s">
        <v>53</v>
      </c>
      <c r="L2538" t="s">
        <v>44</v>
      </c>
      <c r="M2538">
        <v>23.6</v>
      </c>
      <c r="T2538" t="s">
        <v>45</v>
      </c>
      <c r="U2538">
        <v>5</v>
      </c>
      <c r="V2538">
        <v>6</v>
      </c>
    </row>
    <row r="2539" spans="1:22" x14ac:dyDescent="0.3">
      <c r="A2539">
        <v>2538</v>
      </c>
      <c r="B2539">
        <v>52879</v>
      </c>
      <c r="C2539" s="2">
        <v>35988</v>
      </c>
      <c r="D2539">
        <v>27</v>
      </c>
      <c r="E2539" t="s">
        <v>42</v>
      </c>
      <c r="F2539" t="s">
        <v>50</v>
      </c>
      <c r="G2539" s="2">
        <v>45618</v>
      </c>
      <c r="H2539" s="3">
        <f t="shared" si="39"/>
        <v>1.1753424657534246</v>
      </c>
      <c r="I2539">
        <v>111</v>
      </c>
      <c r="J2539" t="s">
        <v>57</v>
      </c>
      <c r="K2539" t="s">
        <v>53</v>
      </c>
      <c r="L2539" t="s">
        <v>44</v>
      </c>
      <c r="M2539">
        <v>23.6</v>
      </c>
      <c r="T2539" t="s">
        <v>49</v>
      </c>
      <c r="U2539">
        <v>0</v>
      </c>
      <c r="V2539">
        <v>5</v>
      </c>
    </row>
    <row r="2540" spans="1:22" x14ac:dyDescent="0.3">
      <c r="A2540">
        <v>2539</v>
      </c>
      <c r="B2540">
        <v>52880</v>
      </c>
      <c r="C2540" s="2">
        <v>34384</v>
      </c>
      <c r="D2540">
        <v>31</v>
      </c>
      <c r="E2540" t="s">
        <v>42</v>
      </c>
      <c r="F2540" t="s">
        <v>50</v>
      </c>
      <c r="G2540" s="2">
        <v>45593</v>
      </c>
      <c r="H2540" s="3">
        <f t="shared" si="39"/>
        <v>1.3506849315068492</v>
      </c>
      <c r="I2540">
        <v>123</v>
      </c>
      <c r="J2540" t="s">
        <v>57</v>
      </c>
      <c r="K2540" t="s">
        <v>53</v>
      </c>
      <c r="L2540" t="s">
        <v>44</v>
      </c>
      <c r="M2540">
        <v>23.6</v>
      </c>
      <c r="T2540" t="s">
        <v>52</v>
      </c>
      <c r="U2540">
        <v>6</v>
      </c>
      <c r="V2540">
        <v>6</v>
      </c>
    </row>
    <row r="2541" spans="1:22" x14ac:dyDescent="0.3">
      <c r="A2541">
        <v>2540</v>
      </c>
      <c r="B2541">
        <v>52881</v>
      </c>
      <c r="C2541" s="2">
        <v>36827</v>
      </c>
      <c r="D2541">
        <v>25</v>
      </c>
      <c r="E2541" t="s">
        <v>36</v>
      </c>
      <c r="F2541" t="s">
        <v>50</v>
      </c>
      <c r="G2541" s="2">
        <v>45529</v>
      </c>
      <c r="H2541" s="3">
        <f t="shared" si="39"/>
        <v>1.0739726027397261</v>
      </c>
      <c r="I2541">
        <v>131</v>
      </c>
      <c r="J2541" t="s">
        <v>57</v>
      </c>
      <c r="K2541" t="s">
        <v>53</v>
      </c>
      <c r="L2541" t="s">
        <v>44</v>
      </c>
      <c r="M2541">
        <v>23.6</v>
      </c>
      <c r="T2541" t="s">
        <v>47</v>
      </c>
      <c r="U2541">
        <v>3</v>
      </c>
      <c r="V2541">
        <v>4</v>
      </c>
    </row>
    <row r="2542" spans="1:22" x14ac:dyDescent="0.3">
      <c r="A2542">
        <v>2541</v>
      </c>
      <c r="B2542">
        <v>52882</v>
      </c>
      <c r="C2542" s="2">
        <v>36691</v>
      </c>
      <c r="D2542">
        <v>25</v>
      </c>
      <c r="E2542" t="s">
        <v>36</v>
      </c>
      <c r="F2542" t="s">
        <v>50</v>
      </c>
      <c r="G2542" s="2">
        <v>45630</v>
      </c>
      <c r="H2542" s="3">
        <f t="shared" si="39"/>
        <v>1.4904109589041097</v>
      </c>
      <c r="I2542">
        <v>32</v>
      </c>
      <c r="J2542" t="s">
        <v>38</v>
      </c>
      <c r="K2542" t="s">
        <v>55</v>
      </c>
      <c r="L2542" t="s">
        <v>44</v>
      </c>
      <c r="M2542">
        <v>17.59</v>
      </c>
      <c r="T2542" t="s">
        <v>52</v>
      </c>
      <c r="U2542">
        <v>2</v>
      </c>
      <c r="V2542">
        <v>4</v>
      </c>
    </row>
    <row r="2543" spans="1:22" x14ac:dyDescent="0.3">
      <c r="A2543">
        <v>2542</v>
      </c>
      <c r="B2543">
        <v>52883</v>
      </c>
      <c r="C2543" s="2">
        <v>39352</v>
      </c>
      <c r="D2543">
        <v>18</v>
      </c>
      <c r="E2543" t="s">
        <v>42</v>
      </c>
      <c r="F2543" t="s">
        <v>50</v>
      </c>
      <c r="G2543" s="2">
        <v>45478</v>
      </c>
      <c r="H2543" s="3">
        <f t="shared" si="39"/>
        <v>1.8027397260273972</v>
      </c>
      <c r="I2543">
        <v>52</v>
      </c>
      <c r="J2543" t="s">
        <v>38</v>
      </c>
      <c r="K2543" t="s">
        <v>48</v>
      </c>
      <c r="L2543" t="s">
        <v>44</v>
      </c>
      <c r="M2543">
        <v>8.4700000000000006</v>
      </c>
      <c r="T2543" t="s">
        <v>52</v>
      </c>
      <c r="U2543">
        <v>1</v>
      </c>
      <c r="V2543">
        <v>6</v>
      </c>
    </row>
    <row r="2544" spans="1:22" x14ac:dyDescent="0.3">
      <c r="A2544">
        <v>2543</v>
      </c>
      <c r="B2544">
        <v>52884</v>
      </c>
      <c r="C2544" s="2">
        <v>37669</v>
      </c>
      <c r="D2544">
        <v>22</v>
      </c>
      <c r="E2544" t="s">
        <v>42</v>
      </c>
      <c r="F2544" t="s">
        <v>37</v>
      </c>
      <c r="G2544" s="2">
        <v>45364</v>
      </c>
      <c r="H2544" s="3">
        <f t="shared" si="39"/>
        <v>1.6712328767123288</v>
      </c>
      <c r="I2544">
        <v>54</v>
      </c>
      <c r="J2544" t="s">
        <v>38</v>
      </c>
      <c r="K2544" t="s">
        <v>55</v>
      </c>
      <c r="L2544" t="s">
        <v>44</v>
      </c>
      <c r="M2544">
        <v>17.59</v>
      </c>
      <c r="T2544" t="s">
        <v>52</v>
      </c>
      <c r="U2544">
        <v>2</v>
      </c>
      <c r="V2544">
        <v>6</v>
      </c>
    </row>
    <row r="2545" spans="1:22" x14ac:dyDescent="0.3">
      <c r="A2545">
        <v>2544</v>
      </c>
      <c r="B2545">
        <v>52885</v>
      </c>
      <c r="C2545" s="2">
        <v>39035</v>
      </c>
      <c r="D2545">
        <v>19</v>
      </c>
      <c r="E2545" t="s">
        <v>42</v>
      </c>
      <c r="F2545" t="s">
        <v>37</v>
      </c>
      <c r="G2545" s="2">
        <v>45412</v>
      </c>
      <c r="H2545" s="3">
        <f t="shared" si="39"/>
        <v>1.0383561643835617</v>
      </c>
      <c r="I2545">
        <v>61</v>
      </c>
      <c r="J2545" t="s">
        <v>38</v>
      </c>
      <c r="K2545" t="s">
        <v>46</v>
      </c>
      <c r="L2545" t="s">
        <v>44</v>
      </c>
      <c r="M2545">
        <v>14.23</v>
      </c>
      <c r="T2545" t="s">
        <v>47</v>
      </c>
      <c r="U2545">
        <v>1</v>
      </c>
      <c r="V2545">
        <v>5</v>
      </c>
    </row>
    <row r="2546" spans="1:22" x14ac:dyDescent="0.3">
      <c r="A2546">
        <v>2545</v>
      </c>
      <c r="B2546">
        <v>52886</v>
      </c>
      <c r="C2546" s="2">
        <v>36053</v>
      </c>
      <c r="D2546">
        <v>27</v>
      </c>
      <c r="E2546" t="s">
        <v>36</v>
      </c>
      <c r="F2546" t="s">
        <v>50</v>
      </c>
      <c r="G2546" s="2">
        <v>45643</v>
      </c>
      <c r="H2546" s="3">
        <f t="shared" si="39"/>
        <v>1.3972602739726028</v>
      </c>
      <c r="I2546">
        <v>128</v>
      </c>
      <c r="J2546" t="s">
        <v>57</v>
      </c>
      <c r="K2546" t="s">
        <v>68</v>
      </c>
      <c r="L2546" t="s">
        <v>44</v>
      </c>
      <c r="M2546">
        <v>17</v>
      </c>
      <c r="T2546" t="s">
        <v>47</v>
      </c>
      <c r="U2546">
        <v>2</v>
      </c>
      <c r="V2546">
        <v>4</v>
      </c>
    </row>
    <row r="2547" spans="1:22" x14ac:dyDescent="0.3">
      <c r="A2547">
        <v>2546</v>
      </c>
      <c r="B2547">
        <v>52887</v>
      </c>
      <c r="C2547" s="2">
        <v>38623</v>
      </c>
      <c r="D2547">
        <v>20</v>
      </c>
      <c r="E2547" t="s">
        <v>42</v>
      </c>
      <c r="F2547" t="s">
        <v>37</v>
      </c>
      <c r="G2547" s="2">
        <v>45512</v>
      </c>
      <c r="H2547" s="3">
        <f t="shared" si="39"/>
        <v>1.1260273972602739</v>
      </c>
      <c r="I2547">
        <v>32</v>
      </c>
      <c r="J2547" t="s">
        <v>38</v>
      </c>
      <c r="K2547" t="s">
        <v>48</v>
      </c>
      <c r="L2547" t="s">
        <v>44</v>
      </c>
      <c r="M2547">
        <v>17.899999999999999</v>
      </c>
      <c r="T2547" t="s">
        <v>49</v>
      </c>
      <c r="U2547">
        <v>2</v>
      </c>
      <c r="V2547">
        <v>7</v>
      </c>
    </row>
    <row r="2548" spans="1:22" x14ac:dyDescent="0.3">
      <c r="A2548">
        <v>2547</v>
      </c>
      <c r="B2548">
        <v>52888</v>
      </c>
      <c r="C2548" s="2">
        <v>37375</v>
      </c>
      <c r="D2548">
        <v>23</v>
      </c>
      <c r="E2548" t="s">
        <v>36</v>
      </c>
      <c r="F2548" t="s">
        <v>50</v>
      </c>
      <c r="G2548" s="2">
        <v>45611</v>
      </c>
      <c r="H2548" s="3">
        <f t="shared" si="39"/>
        <v>1.0520547945205478</v>
      </c>
      <c r="I2548">
        <v>145</v>
      </c>
      <c r="J2548" t="s">
        <v>57</v>
      </c>
      <c r="K2548" t="s">
        <v>55</v>
      </c>
      <c r="L2548" t="s">
        <v>44</v>
      </c>
      <c r="M2548">
        <v>17.59</v>
      </c>
      <c r="T2548" t="s">
        <v>47</v>
      </c>
      <c r="U2548">
        <v>3</v>
      </c>
      <c r="V2548">
        <v>3</v>
      </c>
    </row>
    <row r="2549" spans="1:22" x14ac:dyDescent="0.3">
      <c r="A2549">
        <v>2548</v>
      </c>
      <c r="B2549">
        <v>52890</v>
      </c>
      <c r="C2549" s="2">
        <v>35375</v>
      </c>
      <c r="D2549">
        <v>29</v>
      </c>
      <c r="E2549" t="s">
        <v>36</v>
      </c>
      <c r="F2549" t="s">
        <v>50</v>
      </c>
      <c r="G2549" s="2">
        <v>45638</v>
      </c>
      <c r="H2549" s="3">
        <f t="shared" si="39"/>
        <v>1.2</v>
      </c>
      <c r="I2549">
        <v>10</v>
      </c>
      <c r="J2549" t="s">
        <v>38</v>
      </c>
      <c r="K2549" t="s">
        <v>55</v>
      </c>
      <c r="L2549" t="s">
        <v>44</v>
      </c>
      <c r="M2549">
        <v>17.59</v>
      </c>
      <c r="T2549" t="s">
        <v>45</v>
      </c>
      <c r="U2549">
        <v>2</v>
      </c>
      <c r="V2549">
        <v>3</v>
      </c>
    </row>
    <row r="2550" spans="1:22" x14ac:dyDescent="0.3">
      <c r="A2550">
        <v>2549</v>
      </c>
      <c r="B2550">
        <v>52891</v>
      </c>
      <c r="C2550" s="2">
        <v>34401</v>
      </c>
      <c r="D2550">
        <v>31</v>
      </c>
      <c r="E2550" t="s">
        <v>36</v>
      </c>
      <c r="F2550" t="s">
        <v>37</v>
      </c>
      <c r="G2550" s="2">
        <v>45584</v>
      </c>
      <c r="H2550" s="3">
        <f t="shared" si="39"/>
        <v>1.7643835616438357</v>
      </c>
      <c r="I2550">
        <v>120</v>
      </c>
      <c r="J2550" t="s">
        <v>57</v>
      </c>
      <c r="K2550" t="s">
        <v>55</v>
      </c>
      <c r="L2550" t="s">
        <v>44</v>
      </c>
      <c r="M2550">
        <v>17.59</v>
      </c>
      <c r="T2550" t="s">
        <v>45</v>
      </c>
      <c r="U2550">
        <v>3</v>
      </c>
      <c r="V2550">
        <v>3</v>
      </c>
    </row>
    <row r="2551" spans="1:22" x14ac:dyDescent="0.3">
      <c r="A2551">
        <v>2550</v>
      </c>
      <c r="B2551">
        <v>52892</v>
      </c>
      <c r="C2551" s="2">
        <v>34927</v>
      </c>
      <c r="D2551">
        <v>30</v>
      </c>
      <c r="E2551" t="s">
        <v>36</v>
      </c>
      <c r="F2551" t="s">
        <v>50</v>
      </c>
      <c r="G2551" s="2">
        <v>45378</v>
      </c>
      <c r="H2551" s="3">
        <f t="shared" si="39"/>
        <v>1.021917808219178</v>
      </c>
      <c r="I2551">
        <v>54</v>
      </c>
      <c r="J2551" t="s">
        <v>38</v>
      </c>
      <c r="K2551" t="s">
        <v>43</v>
      </c>
      <c r="L2551" t="s">
        <v>44</v>
      </c>
      <c r="M2551">
        <v>16.37</v>
      </c>
      <c r="T2551" t="s">
        <v>45</v>
      </c>
      <c r="U2551">
        <v>0</v>
      </c>
      <c r="V2551">
        <v>4</v>
      </c>
    </row>
    <row r="2552" spans="1:22" x14ac:dyDescent="0.3">
      <c r="A2552">
        <v>2551</v>
      </c>
      <c r="B2552">
        <v>52893</v>
      </c>
      <c r="C2552" s="2">
        <v>37429</v>
      </c>
      <c r="D2552">
        <v>23</v>
      </c>
      <c r="E2552" t="s">
        <v>36</v>
      </c>
      <c r="F2552" t="s">
        <v>50</v>
      </c>
      <c r="G2552" s="2">
        <v>45649</v>
      </c>
      <c r="H2552" s="3">
        <f t="shared" si="39"/>
        <v>1.4602739726027398</v>
      </c>
      <c r="I2552">
        <v>114</v>
      </c>
      <c r="J2552" t="s">
        <v>57</v>
      </c>
      <c r="K2552" t="s">
        <v>55</v>
      </c>
      <c r="L2552" t="s">
        <v>44</v>
      </c>
      <c r="M2552">
        <v>17.59</v>
      </c>
      <c r="T2552" t="s">
        <v>52</v>
      </c>
      <c r="U2552">
        <v>1</v>
      </c>
      <c r="V2552">
        <v>3</v>
      </c>
    </row>
    <row r="2553" spans="1:22" x14ac:dyDescent="0.3">
      <c r="A2553">
        <v>2552</v>
      </c>
      <c r="B2553">
        <v>52895</v>
      </c>
      <c r="C2553" s="2">
        <v>36315</v>
      </c>
      <c r="D2553">
        <v>26</v>
      </c>
      <c r="E2553" t="s">
        <v>36</v>
      </c>
      <c r="F2553" t="s">
        <v>37</v>
      </c>
      <c r="G2553" s="2">
        <v>45489</v>
      </c>
      <c r="H2553" s="3">
        <f t="shared" si="39"/>
        <v>1.273972602739726</v>
      </c>
      <c r="I2553">
        <v>10</v>
      </c>
      <c r="J2553" t="s">
        <v>38</v>
      </c>
      <c r="K2553" t="s">
        <v>55</v>
      </c>
      <c r="L2553" t="s">
        <v>44</v>
      </c>
      <c r="M2553">
        <v>17.59</v>
      </c>
      <c r="T2553" t="s">
        <v>47</v>
      </c>
      <c r="U2553">
        <v>2</v>
      </c>
      <c r="V2553">
        <v>4</v>
      </c>
    </row>
    <row r="2554" spans="1:22" x14ac:dyDescent="0.3">
      <c r="A2554">
        <v>2553</v>
      </c>
      <c r="B2554">
        <v>52896</v>
      </c>
      <c r="C2554" s="2">
        <v>36842</v>
      </c>
      <c r="D2554">
        <v>25</v>
      </c>
      <c r="E2554" t="s">
        <v>42</v>
      </c>
      <c r="F2554" t="s">
        <v>50</v>
      </c>
      <c r="G2554" s="2">
        <v>45557</v>
      </c>
      <c r="H2554" s="3">
        <f t="shared" si="39"/>
        <v>1.0849315068493151</v>
      </c>
      <c r="I2554">
        <v>14</v>
      </c>
      <c r="J2554" t="s">
        <v>38</v>
      </c>
      <c r="K2554" t="s">
        <v>68</v>
      </c>
      <c r="L2554" t="s">
        <v>44</v>
      </c>
      <c r="M2554">
        <v>17</v>
      </c>
      <c r="T2554" t="s">
        <v>47</v>
      </c>
      <c r="U2554">
        <v>2</v>
      </c>
      <c r="V2554">
        <v>7</v>
      </c>
    </row>
    <row r="2555" spans="1:22" x14ac:dyDescent="0.3">
      <c r="A2555">
        <v>2554</v>
      </c>
      <c r="B2555">
        <v>52897</v>
      </c>
      <c r="C2555" s="2">
        <v>38611</v>
      </c>
      <c r="D2555">
        <v>20</v>
      </c>
      <c r="E2555" t="s">
        <v>36</v>
      </c>
      <c r="F2555" t="s">
        <v>50</v>
      </c>
      <c r="G2555" s="2">
        <v>45626</v>
      </c>
      <c r="H2555" s="3">
        <f t="shared" si="39"/>
        <v>1.1726027397260275</v>
      </c>
      <c r="I2555">
        <v>44</v>
      </c>
      <c r="J2555" t="s">
        <v>38</v>
      </c>
      <c r="K2555" t="s">
        <v>65</v>
      </c>
      <c r="L2555" t="s">
        <v>44</v>
      </c>
      <c r="M2555">
        <v>10.64</v>
      </c>
      <c r="T2555" t="s">
        <v>49</v>
      </c>
      <c r="U2555">
        <v>0</v>
      </c>
      <c r="V2555">
        <v>4</v>
      </c>
    </row>
    <row r="2556" spans="1:22" x14ac:dyDescent="0.3">
      <c r="A2556">
        <v>2555</v>
      </c>
      <c r="B2556">
        <v>52898</v>
      </c>
      <c r="C2556" s="2">
        <v>34955</v>
      </c>
      <c r="D2556">
        <v>30</v>
      </c>
      <c r="E2556" t="s">
        <v>36</v>
      </c>
      <c r="F2556" t="s">
        <v>50</v>
      </c>
      <c r="G2556" s="2">
        <v>45594</v>
      </c>
      <c r="H2556" s="3">
        <f t="shared" si="39"/>
        <v>1.4876712328767123</v>
      </c>
      <c r="I2556">
        <v>55</v>
      </c>
      <c r="J2556" t="s">
        <v>38</v>
      </c>
      <c r="K2556" t="s">
        <v>46</v>
      </c>
      <c r="L2556" t="s">
        <v>44</v>
      </c>
      <c r="M2556">
        <v>14.23</v>
      </c>
      <c r="T2556" t="s">
        <v>52</v>
      </c>
      <c r="U2556">
        <v>0</v>
      </c>
      <c r="V2556">
        <v>4</v>
      </c>
    </row>
    <row r="2557" spans="1:22" x14ac:dyDescent="0.3">
      <c r="A2557">
        <v>2556</v>
      </c>
      <c r="B2557">
        <v>52899</v>
      </c>
      <c r="C2557" s="2">
        <v>37686</v>
      </c>
      <c r="D2557">
        <v>22</v>
      </c>
      <c r="E2557" t="s">
        <v>36</v>
      </c>
      <c r="F2557" t="s">
        <v>50</v>
      </c>
      <c r="G2557" s="2">
        <v>45479</v>
      </c>
      <c r="H2557" s="3">
        <f t="shared" si="39"/>
        <v>1.6575342465753424</v>
      </c>
      <c r="I2557">
        <v>82</v>
      </c>
      <c r="J2557" t="s">
        <v>57</v>
      </c>
      <c r="K2557" t="s">
        <v>54</v>
      </c>
      <c r="L2557" t="s">
        <v>44</v>
      </c>
      <c r="M2557">
        <v>23.78</v>
      </c>
      <c r="T2557" t="s">
        <v>49</v>
      </c>
      <c r="U2557">
        <v>7</v>
      </c>
      <c r="V2557">
        <v>5</v>
      </c>
    </row>
    <row r="2558" spans="1:22" x14ac:dyDescent="0.3">
      <c r="A2558">
        <v>2557</v>
      </c>
      <c r="B2558">
        <v>52900</v>
      </c>
      <c r="C2558" s="2">
        <v>34677</v>
      </c>
      <c r="D2558">
        <v>31</v>
      </c>
      <c r="E2558" t="s">
        <v>36</v>
      </c>
      <c r="F2558" t="s">
        <v>50</v>
      </c>
      <c r="G2558" s="2">
        <v>45417</v>
      </c>
      <c r="H2558" s="3">
        <f t="shared" si="39"/>
        <v>1.2082191780821918</v>
      </c>
      <c r="I2558">
        <v>111</v>
      </c>
      <c r="J2558" t="s">
        <v>57</v>
      </c>
      <c r="K2558" t="s">
        <v>55</v>
      </c>
      <c r="L2558" t="s">
        <v>44</v>
      </c>
      <c r="M2558">
        <v>17.59</v>
      </c>
      <c r="T2558" t="s">
        <v>52</v>
      </c>
      <c r="U2558">
        <v>2</v>
      </c>
      <c r="V2558">
        <v>5</v>
      </c>
    </row>
    <row r="2559" spans="1:22" x14ac:dyDescent="0.3">
      <c r="A2559">
        <v>2558</v>
      </c>
      <c r="B2559">
        <v>52901</v>
      </c>
      <c r="C2559" s="2">
        <v>34281</v>
      </c>
      <c r="D2559">
        <v>32</v>
      </c>
      <c r="E2559" t="s">
        <v>36</v>
      </c>
      <c r="F2559" t="s">
        <v>50</v>
      </c>
      <c r="G2559" s="2">
        <v>45581</v>
      </c>
      <c r="H2559" s="3">
        <f t="shared" si="39"/>
        <v>1.4082191780821918</v>
      </c>
      <c r="I2559">
        <v>111</v>
      </c>
      <c r="J2559" t="s">
        <v>57</v>
      </c>
      <c r="K2559" t="s">
        <v>56</v>
      </c>
      <c r="L2559" t="s">
        <v>44</v>
      </c>
      <c r="M2559">
        <v>8.4700000000000006</v>
      </c>
      <c r="T2559" t="s">
        <v>45</v>
      </c>
      <c r="U2559">
        <v>2</v>
      </c>
      <c r="V2559">
        <v>5</v>
      </c>
    </row>
    <row r="2560" spans="1:22" x14ac:dyDescent="0.3">
      <c r="A2560">
        <v>2559</v>
      </c>
      <c r="B2560">
        <v>52902</v>
      </c>
      <c r="C2560" s="2">
        <v>33968</v>
      </c>
      <c r="D2560">
        <v>33</v>
      </c>
      <c r="E2560" t="s">
        <v>42</v>
      </c>
      <c r="F2560" t="s">
        <v>50</v>
      </c>
      <c r="G2560" s="2">
        <v>45508</v>
      </c>
      <c r="H2560" s="3">
        <f t="shared" si="39"/>
        <v>1.2767123287671234</v>
      </c>
      <c r="I2560">
        <v>114</v>
      </c>
      <c r="J2560" t="s">
        <v>57</v>
      </c>
      <c r="K2560" t="s">
        <v>56</v>
      </c>
      <c r="L2560" t="s">
        <v>44</v>
      </c>
      <c r="M2560">
        <v>8.4700000000000006</v>
      </c>
      <c r="T2560" t="s">
        <v>52</v>
      </c>
      <c r="U2560">
        <v>0</v>
      </c>
      <c r="V2560">
        <v>6</v>
      </c>
    </row>
    <row r="2561" spans="1:22" x14ac:dyDescent="0.3">
      <c r="A2561">
        <v>2560</v>
      </c>
      <c r="B2561">
        <v>52903</v>
      </c>
      <c r="C2561" s="2">
        <v>37732</v>
      </c>
      <c r="D2561">
        <v>22</v>
      </c>
      <c r="E2561" t="s">
        <v>36</v>
      </c>
      <c r="F2561" t="s">
        <v>50</v>
      </c>
      <c r="G2561" s="2">
        <v>45556</v>
      </c>
      <c r="H2561" s="3">
        <f t="shared" si="39"/>
        <v>1.3397260273972602</v>
      </c>
      <c r="I2561">
        <v>132</v>
      </c>
      <c r="J2561" t="s">
        <v>57</v>
      </c>
      <c r="K2561" t="s">
        <v>64</v>
      </c>
      <c r="L2561" t="s">
        <v>44</v>
      </c>
      <c r="M2561">
        <v>14.07</v>
      </c>
      <c r="T2561" t="s">
        <v>47</v>
      </c>
      <c r="U2561">
        <v>0</v>
      </c>
      <c r="V2561">
        <v>3</v>
      </c>
    </row>
    <row r="2562" spans="1:22" x14ac:dyDescent="0.3">
      <c r="A2562">
        <v>2561</v>
      </c>
      <c r="B2562">
        <v>52904</v>
      </c>
      <c r="C2562" s="2">
        <v>37851</v>
      </c>
      <c r="D2562">
        <v>22</v>
      </c>
      <c r="E2562" t="s">
        <v>42</v>
      </c>
      <c r="F2562" t="s">
        <v>50</v>
      </c>
      <c r="G2562" s="2">
        <v>45533</v>
      </c>
      <c r="H2562" s="3">
        <f t="shared" si="39"/>
        <v>1.6547945205479453</v>
      </c>
      <c r="I2562">
        <v>141</v>
      </c>
      <c r="J2562" t="s">
        <v>57</v>
      </c>
      <c r="K2562" t="s">
        <v>68</v>
      </c>
      <c r="L2562" t="s">
        <v>44</v>
      </c>
      <c r="M2562">
        <v>17</v>
      </c>
      <c r="T2562" t="s">
        <v>45</v>
      </c>
      <c r="U2562">
        <v>2</v>
      </c>
      <c r="V2562">
        <v>5</v>
      </c>
    </row>
    <row r="2563" spans="1:22" x14ac:dyDescent="0.3">
      <c r="A2563">
        <v>2562</v>
      </c>
      <c r="B2563">
        <v>52906</v>
      </c>
      <c r="C2563" s="2">
        <v>38757</v>
      </c>
      <c r="D2563">
        <v>19</v>
      </c>
      <c r="E2563" t="s">
        <v>42</v>
      </c>
      <c r="F2563" t="s">
        <v>50</v>
      </c>
      <c r="G2563" s="2">
        <v>45418</v>
      </c>
      <c r="H2563" s="3">
        <f t="shared" ref="H2563:H2626" si="40">DATEDIF(G2564,DATE(2025,12,31),"d")/365</f>
        <v>1.4547945205479451</v>
      </c>
      <c r="I2563">
        <v>14</v>
      </c>
      <c r="J2563" t="s">
        <v>38</v>
      </c>
      <c r="K2563" t="s">
        <v>64</v>
      </c>
      <c r="L2563" t="s">
        <v>44</v>
      </c>
      <c r="M2563">
        <v>14.07</v>
      </c>
      <c r="T2563" t="s">
        <v>45</v>
      </c>
      <c r="U2563">
        <v>0</v>
      </c>
      <c r="V2563">
        <v>5</v>
      </c>
    </row>
    <row r="2564" spans="1:22" x14ac:dyDescent="0.3">
      <c r="A2564">
        <v>2563</v>
      </c>
      <c r="B2564">
        <v>52907</v>
      </c>
      <c r="C2564" s="2">
        <v>36755</v>
      </c>
      <c r="D2564">
        <v>25</v>
      </c>
      <c r="E2564" t="s">
        <v>36</v>
      </c>
      <c r="F2564" t="s">
        <v>50</v>
      </c>
      <c r="G2564" s="2">
        <v>45491</v>
      </c>
      <c r="H2564" s="3">
        <f t="shared" si="40"/>
        <v>1.3753424657534246</v>
      </c>
      <c r="I2564">
        <v>77</v>
      </c>
      <c r="J2564" t="s">
        <v>57</v>
      </c>
      <c r="K2564" t="s">
        <v>54</v>
      </c>
      <c r="L2564" t="s">
        <v>44</v>
      </c>
      <c r="M2564">
        <v>23.78</v>
      </c>
      <c r="T2564" t="s">
        <v>47</v>
      </c>
      <c r="U2564">
        <v>6</v>
      </c>
      <c r="V2564">
        <v>5</v>
      </c>
    </row>
    <row r="2565" spans="1:22" x14ac:dyDescent="0.3">
      <c r="A2565">
        <v>2564</v>
      </c>
      <c r="B2565">
        <v>52908</v>
      </c>
      <c r="C2565" s="2">
        <v>37301</v>
      </c>
      <c r="D2565">
        <v>23</v>
      </c>
      <c r="E2565" t="s">
        <v>42</v>
      </c>
      <c r="F2565" t="s">
        <v>50</v>
      </c>
      <c r="G2565" s="2">
        <v>45520</v>
      </c>
      <c r="H2565" s="3">
        <f t="shared" si="40"/>
        <v>1.1945205479452055</v>
      </c>
      <c r="I2565">
        <v>3</v>
      </c>
      <c r="J2565" t="s">
        <v>38</v>
      </c>
      <c r="K2565" t="s">
        <v>48</v>
      </c>
      <c r="L2565" t="s">
        <v>44</v>
      </c>
      <c r="M2565">
        <v>8.4700000000000006</v>
      </c>
      <c r="T2565" t="s">
        <v>45</v>
      </c>
      <c r="U2565">
        <v>2</v>
      </c>
      <c r="V2565">
        <v>5</v>
      </c>
    </row>
    <row r="2566" spans="1:22" x14ac:dyDescent="0.3">
      <c r="A2566">
        <v>2565</v>
      </c>
      <c r="B2566">
        <v>52909</v>
      </c>
      <c r="C2566" s="2">
        <v>36291</v>
      </c>
      <c r="D2566">
        <v>26</v>
      </c>
      <c r="E2566" t="s">
        <v>36</v>
      </c>
      <c r="F2566" t="s">
        <v>50</v>
      </c>
      <c r="G2566" s="2">
        <v>45586</v>
      </c>
      <c r="H2566" s="3">
        <f t="shared" si="40"/>
        <v>1.1972602739726028</v>
      </c>
      <c r="I2566">
        <v>2</v>
      </c>
      <c r="J2566" t="s">
        <v>38</v>
      </c>
      <c r="K2566" t="s">
        <v>55</v>
      </c>
      <c r="L2566" t="s">
        <v>44</v>
      </c>
      <c r="M2566">
        <v>17.59</v>
      </c>
      <c r="T2566" t="s">
        <v>47</v>
      </c>
      <c r="U2566">
        <v>4</v>
      </c>
      <c r="V2566">
        <v>5</v>
      </c>
    </row>
    <row r="2567" spans="1:22" x14ac:dyDescent="0.3">
      <c r="A2567">
        <v>2566</v>
      </c>
      <c r="B2567">
        <v>52910</v>
      </c>
      <c r="C2567" s="2">
        <v>38420</v>
      </c>
      <c r="D2567">
        <v>20</v>
      </c>
      <c r="E2567" t="s">
        <v>42</v>
      </c>
      <c r="F2567" t="s">
        <v>50</v>
      </c>
      <c r="G2567" s="2">
        <v>45585</v>
      </c>
      <c r="H2567" s="3">
        <f t="shared" si="40"/>
        <v>1.0739726027397261</v>
      </c>
      <c r="I2567">
        <v>97</v>
      </c>
      <c r="J2567" t="s">
        <v>57</v>
      </c>
      <c r="K2567" t="s">
        <v>56</v>
      </c>
      <c r="L2567" t="s">
        <v>44</v>
      </c>
      <c r="M2567">
        <v>8.4700000000000006</v>
      </c>
      <c r="T2567" t="s">
        <v>45</v>
      </c>
      <c r="U2567">
        <v>1</v>
      </c>
      <c r="V2567">
        <v>5</v>
      </c>
    </row>
    <row r="2568" spans="1:22" x14ac:dyDescent="0.3">
      <c r="A2568">
        <v>2567</v>
      </c>
      <c r="B2568">
        <v>52911</v>
      </c>
      <c r="C2568" s="2">
        <v>37341</v>
      </c>
      <c r="D2568">
        <v>23</v>
      </c>
      <c r="E2568" t="s">
        <v>42</v>
      </c>
      <c r="F2568" t="s">
        <v>50</v>
      </c>
      <c r="G2568" s="2">
        <v>45630</v>
      </c>
      <c r="H2568" s="3">
        <f t="shared" si="40"/>
        <v>1.0493150684931507</v>
      </c>
      <c r="I2568">
        <v>96</v>
      </c>
      <c r="J2568" t="s">
        <v>57</v>
      </c>
      <c r="K2568" t="s">
        <v>68</v>
      </c>
      <c r="L2568" t="s">
        <v>44</v>
      </c>
      <c r="M2568">
        <v>17</v>
      </c>
      <c r="T2568" t="s">
        <v>49</v>
      </c>
      <c r="U2568">
        <v>4</v>
      </c>
      <c r="V2568">
        <v>6</v>
      </c>
    </row>
    <row r="2569" spans="1:22" x14ac:dyDescent="0.3">
      <c r="A2569">
        <v>2568</v>
      </c>
      <c r="B2569">
        <v>52912</v>
      </c>
      <c r="C2569" s="2">
        <v>36079</v>
      </c>
      <c r="D2569">
        <v>27</v>
      </c>
      <c r="E2569" t="s">
        <v>42</v>
      </c>
      <c r="F2569" t="s">
        <v>50</v>
      </c>
      <c r="G2569" s="2">
        <v>45639</v>
      </c>
      <c r="H2569" s="3">
        <f t="shared" si="40"/>
        <v>1.4575342465753425</v>
      </c>
      <c r="I2569">
        <v>116</v>
      </c>
      <c r="J2569" t="s">
        <v>57</v>
      </c>
      <c r="K2569" t="s">
        <v>55</v>
      </c>
      <c r="L2569" t="s">
        <v>44</v>
      </c>
      <c r="M2569">
        <v>17.59</v>
      </c>
      <c r="T2569" t="s">
        <v>47</v>
      </c>
      <c r="U2569">
        <v>2</v>
      </c>
      <c r="V2569">
        <v>7</v>
      </c>
    </row>
    <row r="2570" spans="1:22" x14ac:dyDescent="0.3">
      <c r="A2570">
        <v>2569</v>
      </c>
      <c r="B2570">
        <v>52914</v>
      </c>
      <c r="C2570" s="2">
        <v>37064</v>
      </c>
      <c r="D2570">
        <v>24</v>
      </c>
      <c r="E2570" t="s">
        <v>42</v>
      </c>
      <c r="F2570" t="s">
        <v>50</v>
      </c>
      <c r="G2570" s="2">
        <v>45490</v>
      </c>
      <c r="H2570" s="3">
        <f t="shared" si="40"/>
        <v>1.6547945205479453</v>
      </c>
      <c r="I2570">
        <v>44</v>
      </c>
      <c r="J2570" t="s">
        <v>38</v>
      </c>
      <c r="K2570" t="s">
        <v>46</v>
      </c>
      <c r="L2570" t="s">
        <v>44</v>
      </c>
      <c r="M2570">
        <v>14.23</v>
      </c>
      <c r="T2570" t="s">
        <v>52</v>
      </c>
      <c r="U2570">
        <v>0</v>
      </c>
      <c r="V2570">
        <v>5</v>
      </c>
    </row>
    <row r="2571" spans="1:22" x14ac:dyDescent="0.3">
      <c r="A2571">
        <v>2570</v>
      </c>
      <c r="B2571">
        <v>52915</v>
      </c>
      <c r="C2571" s="2">
        <v>38523</v>
      </c>
      <c r="D2571">
        <v>20</v>
      </c>
      <c r="E2571" t="s">
        <v>42</v>
      </c>
      <c r="F2571" t="s">
        <v>37</v>
      </c>
      <c r="G2571" s="2">
        <v>45418</v>
      </c>
      <c r="H2571" s="3">
        <f t="shared" si="40"/>
        <v>1.7123287671232876</v>
      </c>
      <c r="I2571">
        <v>81</v>
      </c>
      <c r="J2571" t="s">
        <v>57</v>
      </c>
      <c r="K2571" t="s">
        <v>64</v>
      </c>
      <c r="L2571" t="s">
        <v>44</v>
      </c>
      <c r="M2571">
        <v>14.07</v>
      </c>
      <c r="T2571" t="s">
        <v>52</v>
      </c>
      <c r="U2571">
        <v>1</v>
      </c>
      <c r="V2571">
        <v>5</v>
      </c>
    </row>
    <row r="2572" spans="1:22" x14ac:dyDescent="0.3">
      <c r="A2572">
        <v>2571</v>
      </c>
      <c r="B2572">
        <v>52916</v>
      </c>
      <c r="C2572" s="2">
        <v>38018</v>
      </c>
      <c r="D2572">
        <v>22</v>
      </c>
      <c r="E2572" t="s">
        <v>42</v>
      </c>
      <c r="F2572" t="s">
        <v>50</v>
      </c>
      <c r="G2572" s="2">
        <v>45397</v>
      </c>
      <c r="H2572" s="3">
        <f t="shared" si="40"/>
        <v>1.4876712328767123</v>
      </c>
      <c r="I2572">
        <v>96</v>
      </c>
      <c r="J2572" t="s">
        <v>57</v>
      </c>
      <c r="K2572" t="s">
        <v>64</v>
      </c>
      <c r="L2572" t="s">
        <v>44</v>
      </c>
      <c r="M2572">
        <v>14.07</v>
      </c>
      <c r="T2572" t="s">
        <v>47</v>
      </c>
      <c r="U2572">
        <v>0</v>
      </c>
      <c r="V2572">
        <v>7</v>
      </c>
    </row>
    <row r="2573" spans="1:22" x14ac:dyDescent="0.3">
      <c r="A2573">
        <v>2572</v>
      </c>
      <c r="B2573">
        <v>52917</v>
      </c>
      <c r="C2573" s="2">
        <v>35403</v>
      </c>
      <c r="D2573">
        <v>29</v>
      </c>
      <c r="E2573" t="s">
        <v>36</v>
      </c>
      <c r="F2573" t="s">
        <v>50</v>
      </c>
      <c r="G2573" s="2">
        <v>45479</v>
      </c>
      <c r="H2573" s="3">
        <f t="shared" si="40"/>
        <v>1.1753424657534246</v>
      </c>
      <c r="I2573">
        <v>97</v>
      </c>
      <c r="J2573" t="s">
        <v>57</v>
      </c>
      <c r="K2573" t="s">
        <v>55</v>
      </c>
      <c r="L2573" t="s">
        <v>44</v>
      </c>
      <c r="M2573">
        <v>17.59</v>
      </c>
      <c r="T2573" t="s">
        <v>47</v>
      </c>
      <c r="U2573">
        <v>0</v>
      </c>
      <c r="V2573">
        <v>4</v>
      </c>
    </row>
    <row r="2574" spans="1:22" x14ac:dyDescent="0.3">
      <c r="A2574">
        <v>2573</v>
      </c>
      <c r="B2574">
        <v>52918</v>
      </c>
      <c r="C2574" s="2">
        <v>38929</v>
      </c>
      <c r="D2574">
        <v>19</v>
      </c>
      <c r="E2574" t="s">
        <v>42</v>
      </c>
      <c r="F2574" t="s">
        <v>50</v>
      </c>
      <c r="G2574" s="2">
        <v>45593</v>
      </c>
      <c r="H2574" s="3">
        <f t="shared" si="40"/>
        <v>1.1643835616438356</v>
      </c>
      <c r="I2574">
        <v>125</v>
      </c>
      <c r="J2574" t="s">
        <v>57</v>
      </c>
      <c r="K2574" t="s">
        <v>56</v>
      </c>
      <c r="L2574" t="s">
        <v>44</v>
      </c>
      <c r="M2574">
        <v>8.4700000000000006</v>
      </c>
      <c r="T2574" t="s">
        <v>52</v>
      </c>
      <c r="U2574">
        <v>2</v>
      </c>
      <c r="V2574">
        <v>5</v>
      </c>
    </row>
    <row r="2575" spans="1:22" x14ac:dyDescent="0.3">
      <c r="A2575">
        <v>2574</v>
      </c>
      <c r="B2575">
        <v>52919</v>
      </c>
      <c r="C2575" s="2">
        <v>39331</v>
      </c>
      <c r="D2575">
        <v>18</v>
      </c>
      <c r="E2575" t="s">
        <v>42</v>
      </c>
      <c r="F2575" t="s">
        <v>50</v>
      </c>
      <c r="G2575" s="2">
        <v>45597</v>
      </c>
      <c r="H2575" s="3">
        <f t="shared" si="40"/>
        <v>1.3506849315068492</v>
      </c>
      <c r="I2575">
        <v>3</v>
      </c>
      <c r="J2575" t="s">
        <v>38</v>
      </c>
      <c r="K2575" t="s">
        <v>56</v>
      </c>
      <c r="L2575" t="s">
        <v>44</v>
      </c>
      <c r="M2575">
        <v>8.4700000000000006</v>
      </c>
      <c r="T2575" t="s">
        <v>47</v>
      </c>
      <c r="U2575">
        <v>2</v>
      </c>
      <c r="V2575">
        <v>6</v>
      </c>
    </row>
    <row r="2576" spans="1:22" x14ac:dyDescent="0.3">
      <c r="A2576">
        <v>2575</v>
      </c>
      <c r="B2576">
        <v>52920</v>
      </c>
      <c r="C2576" s="2">
        <v>36180</v>
      </c>
      <c r="D2576">
        <v>26</v>
      </c>
      <c r="E2576" t="s">
        <v>42</v>
      </c>
      <c r="F2576" t="s">
        <v>50</v>
      </c>
      <c r="G2576" s="2">
        <v>45529</v>
      </c>
      <c r="H2576" s="3">
        <f t="shared" si="40"/>
        <v>1.2027397260273973</v>
      </c>
      <c r="I2576">
        <v>37</v>
      </c>
      <c r="J2576" t="s">
        <v>38</v>
      </c>
      <c r="K2576" t="s">
        <v>56</v>
      </c>
      <c r="L2576" t="s">
        <v>44</v>
      </c>
      <c r="M2576">
        <v>8.4700000000000006</v>
      </c>
      <c r="T2576" t="s">
        <v>45</v>
      </c>
      <c r="U2576">
        <v>2</v>
      </c>
      <c r="V2576">
        <v>7</v>
      </c>
    </row>
    <row r="2577" spans="1:22" x14ac:dyDescent="0.3">
      <c r="A2577">
        <v>2576</v>
      </c>
      <c r="B2577">
        <v>52921</v>
      </c>
      <c r="C2577" s="2">
        <v>36892</v>
      </c>
      <c r="D2577">
        <v>25</v>
      </c>
      <c r="E2577" t="s">
        <v>36</v>
      </c>
      <c r="F2577" t="s">
        <v>50</v>
      </c>
      <c r="G2577" s="2">
        <v>45583</v>
      </c>
      <c r="H2577" s="3">
        <f t="shared" si="40"/>
        <v>1.167123287671233</v>
      </c>
      <c r="I2577">
        <v>18</v>
      </c>
      <c r="J2577" t="s">
        <v>38</v>
      </c>
      <c r="K2577" t="s">
        <v>55</v>
      </c>
      <c r="L2577" t="s">
        <v>44</v>
      </c>
      <c r="M2577">
        <v>17.59</v>
      </c>
      <c r="T2577" t="s">
        <v>49</v>
      </c>
      <c r="U2577">
        <v>1</v>
      </c>
      <c r="V2577">
        <v>5</v>
      </c>
    </row>
    <row r="2578" spans="1:22" x14ac:dyDescent="0.3">
      <c r="A2578">
        <v>2577</v>
      </c>
      <c r="B2578">
        <v>52922</v>
      </c>
      <c r="C2578" s="2">
        <v>36485</v>
      </c>
      <c r="D2578">
        <v>26</v>
      </c>
      <c r="E2578" t="s">
        <v>36</v>
      </c>
      <c r="F2578" t="s">
        <v>50</v>
      </c>
      <c r="G2578" s="2">
        <v>45596</v>
      </c>
      <c r="H2578" s="3">
        <f t="shared" si="40"/>
        <v>1.0904109589041096</v>
      </c>
      <c r="I2578">
        <v>68</v>
      </c>
      <c r="J2578" t="s">
        <v>57</v>
      </c>
      <c r="K2578" t="s">
        <v>65</v>
      </c>
      <c r="L2578" t="s">
        <v>44</v>
      </c>
      <c r="M2578">
        <v>10.64</v>
      </c>
      <c r="T2578" t="s">
        <v>45</v>
      </c>
      <c r="U2578">
        <v>0</v>
      </c>
      <c r="V2578">
        <v>4</v>
      </c>
    </row>
    <row r="2579" spans="1:22" x14ac:dyDescent="0.3">
      <c r="A2579">
        <v>2578</v>
      </c>
      <c r="B2579">
        <v>52924</v>
      </c>
      <c r="C2579" s="2">
        <v>37069</v>
      </c>
      <c r="D2579">
        <v>24</v>
      </c>
      <c r="E2579" t="s">
        <v>36</v>
      </c>
      <c r="F2579" t="s">
        <v>50</v>
      </c>
      <c r="G2579" s="2">
        <v>45624</v>
      </c>
      <c r="H2579" s="3">
        <f t="shared" si="40"/>
        <v>1.1041095890410959</v>
      </c>
      <c r="I2579">
        <v>141</v>
      </c>
      <c r="J2579" t="s">
        <v>57</v>
      </c>
      <c r="K2579" t="s">
        <v>54</v>
      </c>
      <c r="L2579" t="s">
        <v>44</v>
      </c>
      <c r="M2579">
        <v>23.78</v>
      </c>
      <c r="T2579" t="s">
        <v>49</v>
      </c>
      <c r="U2579">
        <v>4</v>
      </c>
      <c r="V2579">
        <v>5</v>
      </c>
    </row>
    <row r="2580" spans="1:22" x14ac:dyDescent="0.3">
      <c r="A2580">
        <v>2579</v>
      </c>
      <c r="B2580">
        <v>52925</v>
      </c>
      <c r="C2580" s="2">
        <v>37866</v>
      </c>
      <c r="D2580">
        <v>22</v>
      </c>
      <c r="E2580" t="s">
        <v>36</v>
      </c>
      <c r="F2580" t="s">
        <v>50</v>
      </c>
      <c r="G2580" s="2">
        <v>45619</v>
      </c>
      <c r="H2580" s="3">
        <f t="shared" si="40"/>
        <v>1.4547945205479451</v>
      </c>
      <c r="I2580">
        <v>91</v>
      </c>
      <c r="J2580" t="s">
        <v>57</v>
      </c>
      <c r="K2580" t="s">
        <v>65</v>
      </c>
      <c r="L2580" t="s">
        <v>44</v>
      </c>
      <c r="M2580">
        <v>10.64</v>
      </c>
      <c r="T2580" t="s">
        <v>47</v>
      </c>
      <c r="U2580">
        <v>1</v>
      </c>
      <c r="V2580">
        <v>5</v>
      </c>
    </row>
    <row r="2581" spans="1:22" x14ac:dyDescent="0.3">
      <c r="A2581">
        <v>2580</v>
      </c>
      <c r="B2581">
        <v>52926</v>
      </c>
      <c r="C2581" s="2">
        <v>35933</v>
      </c>
      <c r="D2581">
        <v>27</v>
      </c>
      <c r="E2581" t="s">
        <v>36</v>
      </c>
      <c r="F2581" t="s">
        <v>50</v>
      </c>
      <c r="G2581" s="2">
        <v>45491</v>
      </c>
      <c r="H2581" s="3">
        <f t="shared" si="40"/>
        <v>1.6246575342465754</v>
      </c>
      <c r="I2581">
        <v>54</v>
      </c>
      <c r="J2581" t="s">
        <v>38</v>
      </c>
      <c r="K2581" t="s">
        <v>55</v>
      </c>
      <c r="L2581" t="s">
        <v>44</v>
      </c>
      <c r="M2581">
        <v>17.59</v>
      </c>
      <c r="T2581" t="s">
        <v>49</v>
      </c>
      <c r="U2581">
        <v>4</v>
      </c>
      <c r="V2581">
        <v>5</v>
      </c>
    </row>
    <row r="2582" spans="1:22" x14ac:dyDescent="0.3">
      <c r="A2582">
        <v>2581</v>
      </c>
      <c r="B2582">
        <v>52927</v>
      </c>
      <c r="C2582" s="2">
        <v>37545</v>
      </c>
      <c r="D2582">
        <v>23</v>
      </c>
      <c r="E2582" t="s">
        <v>42</v>
      </c>
      <c r="F2582" t="s">
        <v>37</v>
      </c>
      <c r="G2582" s="2">
        <v>45429</v>
      </c>
      <c r="H2582" s="3">
        <f t="shared" si="40"/>
        <v>1.6767123287671233</v>
      </c>
      <c r="I2582">
        <v>79</v>
      </c>
      <c r="J2582" t="s">
        <v>57</v>
      </c>
      <c r="K2582" t="s">
        <v>56</v>
      </c>
      <c r="L2582" t="s">
        <v>44</v>
      </c>
      <c r="M2582">
        <v>8.4700000000000006</v>
      </c>
      <c r="T2582" t="s">
        <v>47</v>
      </c>
      <c r="U2582">
        <v>2</v>
      </c>
      <c r="V2582">
        <v>5</v>
      </c>
    </row>
    <row r="2583" spans="1:22" x14ac:dyDescent="0.3">
      <c r="A2583">
        <v>2582</v>
      </c>
      <c r="B2583">
        <v>52928</v>
      </c>
      <c r="C2583" s="2">
        <v>38327</v>
      </c>
      <c r="D2583">
        <v>21</v>
      </c>
      <c r="E2583" t="s">
        <v>42</v>
      </c>
      <c r="F2583" t="s">
        <v>50</v>
      </c>
      <c r="G2583" s="2">
        <v>45410</v>
      </c>
      <c r="H2583" s="3">
        <f t="shared" si="40"/>
        <v>1.8136986301369864</v>
      </c>
      <c r="I2583">
        <v>97</v>
      </c>
      <c r="J2583" t="s">
        <v>57</v>
      </c>
      <c r="K2583" t="s">
        <v>56</v>
      </c>
      <c r="L2583" t="s">
        <v>44</v>
      </c>
      <c r="M2583">
        <v>8.4700000000000006</v>
      </c>
      <c r="T2583" t="s">
        <v>47</v>
      </c>
      <c r="U2583">
        <v>2</v>
      </c>
      <c r="V2583">
        <v>7</v>
      </c>
    </row>
    <row r="2584" spans="1:22" x14ac:dyDescent="0.3">
      <c r="A2584">
        <v>2583</v>
      </c>
      <c r="B2584">
        <v>52929</v>
      </c>
      <c r="C2584" s="2">
        <v>36805</v>
      </c>
      <c r="D2584">
        <v>25</v>
      </c>
      <c r="E2584" t="s">
        <v>42</v>
      </c>
      <c r="F2584" t="s">
        <v>50</v>
      </c>
      <c r="G2584" s="2">
        <v>45360</v>
      </c>
      <c r="H2584" s="3">
        <f t="shared" si="40"/>
        <v>1.2273972602739727</v>
      </c>
      <c r="I2584">
        <v>55</v>
      </c>
      <c r="J2584" t="s">
        <v>38</v>
      </c>
      <c r="K2584" t="s">
        <v>55</v>
      </c>
      <c r="L2584" t="s">
        <v>44</v>
      </c>
      <c r="M2584">
        <v>17.59</v>
      </c>
      <c r="T2584" t="s">
        <v>47</v>
      </c>
      <c r="U2584">
        <v>2</v>
      </c>
      <c r="V2584">
        <v>6</v>
      </c>
    </row>
    <row r="2585" spans="1:22" x14ac:dyDescent="0.3">
      <c r="A2585">
        <v>2584</v>
      </c>
      <c r="B2585">
        <v>52930</v>
      </c>
      <c r="C2585" s="2">
        <v>36696</v>
      </c>
      <c r="D2585">
        <v>25</v>
      </c>
      <c r="E2585" t="s">
        <v>42</v>
      </c>
      <c r="F2585" t="s">
        <v>37</v>
      </c>
      <c r="G2585" s="2">
        <v>45574</v>
      </c>
      <c r="H2585" s="3">
        <f t="shared" si="40"/>
        <v>1.6383561643835616</v>
      </c>
      <c r="I2585">
        <v>84</v>
      </c>
      <c r="J2585" t="s">
        <v>57</v>
      </c>
      <c r="K2585" t="s">
        <v>43</v>
      </c>
      <c r="L2585" t="s">
        <v>44</v>
      </c>
      <c r="M2585">
        <v>16.37</v>
      </c>
      <c r="T2585" t="s">
        <v>47</v>
      </c>
      <c r="U2585">
        <v>1</v>
      </c>
      <c r="V2585">
        <v>5</v>
      </c>
    </row>
    <row r="2586" spans="1:22" x14ac:dyDescent="0.3">
      <c r="A2586">
        <v>2585</v>
      </c>
      <c r="B2586">
        <v>52931</v>
      </c>
      <c r="C2586" s="2">
        <v>31305</v>
      </c>
      <c r="D2586">
        <v>40</v>
      </c>
      <c r="E2586" t="s">
        <v>36</v>
      </c>
      <c r="F2586" t="s">
        <v>50</v>
      </c>
      <c r="G2586" s="2">
        <v>45424</v>
      </c>
      <c r="H2586" s="3">
        <f t="shared" si="40"/>
        <v>1.1041095890410959</v>
      </c>
      <c r="I2586">
        <v>97</v>
      </c>
      <c r="J2586" t="s">
        <v>57</v>
      </c>
      <c r="K2586" t="s">
        <v>54</v>
      </c>
      <c r="L2586" t="s">
        <v>44</v>
      </c>
      <c r="M2586">
        <v>23.78</v>
      </c>
      <c r="T2586" t="s">
        <v>52</v>
      </c>
      <c r="U2586">
        <v>7</v>
      </c>
      <c r="V2586">
        <v>6</v>
      </c>
    </row>
    <row r="2587" spans="1:22" x14ac:dyDescent="0.3">
      <c r="A2587">
        <v>2586</v>
      </c>
      <c r="B2587">
        <v>52932</v>
      </c>
      <c r="C2587" s="2">
        <v>37964</v>
      </c>
      <c r="D2587">
        <v>22</v>
      </c>
      <c r="E2587" t="s">
        <v>42</v>
      </c>
      <c r="F2587" t="s">
        <v>50</v>
      </c>
      <c r="G2587" s="2">
        <v>45619</v>
      </c>
      <c r="H2587" s="3">
        <f t="shared" si="40"/>
        <v>1.1589041095890411</v>
      </c>
      <c r="I2587">
        <v>145</v>
      </c>
      <c r="J2587" t="s">
        <v>57</v>
      </c>
      <c r="K2587" t="s">
        <v>46</v>
      </c>
      <c r="L2587" t="s">
        <v>44</v>
      </c>
      <c r="M2587">
        <v>14.23</v>
      </c>
      <c r="T2587" t="s">
        <v>45</v>
      </c>
      <c r="U2587">
        <v>0</v>
      </c>
      <c r="V2587">
        <v>5</v>
      </c>
    </row>
    <row r="2588" spans="1:22" x14ac:dyDescent="0.3">
      <c r="A2588">
        <v>2587</v>
      </c>
      <c r="B2588">
        <v>52933</v>
      </c>
      <c r="C2588" s="2">
        <v>38164</v>
      </c>
      <c r="D2588">
        <v>21</v>
      </c>
      <c r="E2588" t="s">
        <v>42</v>
      </c>
      <c r="F2588" t="s">
        <v>37</v>
      </c>
      <c r="G2588" s="2">
        <v>45599</v>
      </c>
      <c r="H2588" s="3">
        <f t="shared" si="40"/>
        <v>1.3945205479452054</v>
      </c>
      <c r="I2588">
        <v>104</v>
      </c>
      <c r="J2588" t="s">
        <v>57</v>
      </c>
      <c r="K2588" t="s">
        <v>43</v>
      </c>
      <c r="L2588" t="s">
        <v>44</v>
      </c>
      <c r="M2588">
        <v>16.37</v>
      </c>
      <c r="T2588" t="s">
        <v>45</v>
      </c>
      <c r="U2588">
        <v>1</v>
      </c>
      <c r="V2588">
        <v>5</v>
      </c>
    </row>
    <row r="2589" spans="1:22" x14ac:dyDescent="0.3">
      <c r="A2589">
        <v>2588</v>
      </c>
      <c r="B2589">
        <v>52934</v>
      </c>
      <c r="C2589" s="2">
        <v>39039</v>
      </c>
      <c r="D2589">
        <v>19</v>
      </c>
      <c r="E2589" t="s">
        <v>42</v>
      </c>
      <c r="F2589" t="s">
        <v>50</v>
      </c>
      <c r="G2589" s="2">
        <v>45513</v>
      </c>
      <c r="H2589" s="3">
        <f t="shared" si="40"/>
        <v>1.2273972602739727</v>
      </c>
      <c r="I2589">
        <v>132</v>
      </c>
      <c r="J2589" t="s">
        <v>57</v>
      </c>
      <c r="K2589" t="s">
        <v>56</v>
      </c>
      <c r="L2589" t="s">
        <v>44</v>
      </c>
      <c r="M2589">
        <v>8.4700000000000006</v>
      </c>
      <c r="T2589" t="s">
        <v>52</v>
      </c>
      <c r="U2589">
        <v>4</v>
      </c>
      <c r="V2589">
        <v>4</v>
      </c>
    </row>
    <row r="2590" spans="1:22" x14ac:dyDescent="0.3">
      <c r="A2590">
        <v>2589</v>
      </c>
      <c r="B2590">
        <v>52935</v>
      </c>
      <c r="C2590" s="2">
        <v>35411</v>
      </c>
      <c r="D2590">
        <v>29</v>
      </c>
      <c r="E2590" t="s">
        <v>42</v>
      </c>
      <c r="F2590" t="s">
        <v>50</v>
      </c>
      <c r="G2590" s="2">
        <v>45574</v>
      </c>
      <c r="H2590" s="3">
        <f t="shared" si="40"/>
        <v>1.6027397260273972</v>
      </c>
      <c r="I2590">
        <v>145</v>
      </c>
      <c r="J2590" t="s">
        <v>57</v>
      </c>
      <c r="K2590" t="s">
        <v>56</v>
      </c>
      <c r="L2590" t="s">
        <v>44</v>
      </c>
      <c r="M2590">
        <v>8.4700000000000006</v>
      </c>
      <c r="T2590" t="s">
        <v>45</v>
      </c>
      <c r="U2590">
        <v>2</v>
      </c>
      <c r="V2590">
        <v>7</v>
      </c>
    </row>
    <row r="2591" spans="1:22" x14ac:dyDescent="0.3">
      <c r="A2591">
        <v>2590</v>
      </c>
      <c r="B2591">
        <v>52936</v>
      </c>
      <c r="C2591" s="2">
        <v>36624</v>
      </c>
      <c r="D2591">
        <v>25</v>
      </c>
      <c r="E2591" t="s">
        <v>42</v>
      </c>
      <c r="F2591" t="s">
        <v>50</v>
      </c>
      <c r="G2591" s="2">
        <v>45437</v>
      </c>
      <c r="H2591" s="3">
        <f t="shared" si="40"/>
        <v>1.6438356164383561</v>
      </c>
      <c r="I2591">
        <v>34</v>
      </c>
      <c r="J2591" t="s">
        <v>38</v>
      </c>
      <c r="K2591" t="s">
        <v>43</v>
      </c>
      <c r="L2591" t="s">
        <v>44</v>
      </c>
      <c r="M2591">
        <v>16.37</v>
      </c>
      <c r="T2591" t="s">
        <v>45</v>
      </c>
      <c r="U2591">
        <v>1</v>
      </c>
      <c r="V2591">
        <v>6</v>
      </c>
    </row>
    <row r="2592" spans="1:22" x14ac:dyDescent="0.3">
      <c r="A2592">
        <v>2591</v>
      </c>
      <c r="B2592">
        <v>52937</v>
      </c>
      <c r="C2592" s="2">
        <v>38115</v>
      </c>
      <c r="D2592">
        <v>21</v>
      </c>
      <c r="E2592" t="s">
        <v>42</v>
      </c>
      <c r="F2592" t="s">
        <v>50</v>
      </c>
      <c r="G2592" s="2">
        <v>45422</v>
      </c>
      <c r="H2592" s="3">
        <f t="shared" si="40"/>
        <v>1.1972602739726028</v>
      </c>
      <c r="I2592">
        <v>141</v>
      </c>
      <c r="J2592" t="s">
        <v>57</v>
      </c>
      <c r="K2592" t="s">
        <v>56</v>
      </c>
      <c r="L2592" t="s">
        <v>44</v>
      </c>
      <c r="M2592">
        <v>8.4700000000000006</v>
      </c>
      <c r="T2592" t="s">
        <v>47</v>
      </c>
      <c r="U2592">
        <v>3</v>
      </c>
      <c r="V2592">
        <v>7</v>
      </c>
    </row>
    <row r="2593" spans="1:22" x14ac:dyDescent="0.3">
      <c r="A2593">
        <v>2592</v>
      </c>
      <c r="B2593">
        <v>52938</v>
      </c>
      <c r="C2593" s="2">
        <v>38699</v>
      </c>
      <c r="D2593">
        <v>20</v>
      </c>
      <c r="E2593" t="s">
        <v>42</v>
      </c>
      <c r="F2593" t="s">
        <v>50</v>
      </c>
      <c r="G2593" s="2">
        <v>45585</v>
      </c>
      <c r="H2593" s="3">
        <f t="shared" si="40"/>
        <v>1.3616438356164384</v>
      </c>
      <c r="I2593">
        <v>30</v>
      </c>
      <c r="J2593" t="s">
        <v>38</v>
      </c>
      <c r="K2593" t="s">
        <v>64</v>
      </c>
      <c r="L2593" t="s">
        <v>44</v>
      </c>
      <c r="M2593">
        <v>14.07</v>
      </c>
      <c r="T2593" t="s">
        <v>49</v>
      </c>
      <c r="U2593">
        <v>0</v>
      </c>
      <c r="V2593">
        <v>6</v>
      </c>
    </row>
    <row r="2594" spans="1:22" x14ac:dyDescent="0.3">
      <c r="A2594">
        <v>2593</v>
      </c>
      <c r="B2594">
        <v>52939</v>
      </c>
      <c r="C2594" s="2">
        <v>37302</v>
      </c>
      <c r="D2594">
        <v>23</v>
      </c>
      <c r="E2594" t="s">
        <v>42</v>
      </c>
      <c r="F2594" t="s">
        <v>50</v>
      </c>
      <c r="G2594" s="2">
        <v>45525</v>
      </c>
      <c r="H2594" s="3">
        <f t="shared" si="40"/>
        <v>1.3178082191780822</v>
      </c>
      <c r="I2594">
        <v>38</v>
      </c>
      <c r="J2594" t="s">
        <v>38</v>
      </c>
      <c r="K2594" t="s">
        <v>55</v>
      </c>
      <c r="L2594" t="s">
        <v>44</v>
      </c>
      <c r="M2594">
        <v>17.59</v>
      </c>
      <c r="T2594" t="s">
        <v>47</v>
      </c>
      <c r="U2594">
        <v>2</v>
      </c>
      <c r="V2594">
        <v>7</v>
      </c>
    </row>
    <row r="2595" spans="1:22" x14ac:dyDescent="0.3">
      <c r="A2595">
        <v>2594</v>
      </c>
      <c r="B2595">
        <v>52940</v>
      </c>
      <c r="C2595" s="2">
        <v>38647</v>
      </c>
      <c r="D2595">
        <v>20</v>
      </c>
      <c r="E2595" t="s">
        <v>42</v>
      </c>
      <c r="F2595" t="s">
        <v>50</v>
      </c>
      <c r="G2595" s="2">
        <v>45541</v>
      </c>
      <c r="H2595" s="3">
        <f t="shared" si="40"/>
        <v>1.0383561643835617</v>
      </c>
      <c r="I2595">
        <v>73</v>
      </c>
      <c r="J2595" t="s">
        <v>57</v>
      </c>
      <c r="K2595" t="s">
        <v>56</v>
      </c>
      <c r="L2595" t="s">
        <v>44</v>
      </c>
      <c r="M2595">
        <v>8.4700000000000006</v>
      </c>
      <c r="T2595" t="s">
        <v>47</v>
      </c>
      <c r="U2595">
        <v>2</v>
      </c>
      <c r="V2595">
        <v>6</v>
      </c>
    </row>
    <row r="2596" spans="1:22" x14ac:dyDescent="0.3">
      <c r="A2596">
        <v>2595</v>
      </c>
      <c r="B2596">
        <v>52941</v>
      </c>
      <c r="C2596" s="2">
        <v>38266</v>
      </c>
      <c r="D2596">
        <v>21</v>
      </c>
      <c r="E2596" t="s">
        <v>42</v>
      </c>
      <c r="F2596" t="s">
        <v>37</v>
      </c>
      <c r="G2596" s="2">
        <v>45643</v>
      </c>
      <c r="H2596" s="3">
        <f t="shared" si="40"/>
        <v>1.2410958904109588</v>
      </c>
      <c r="I2596">
        <v>89</v>
      </c>
      <c r="J2596" t="s">
        <v>57</v>
      </c>
      <c r="K2596" t="s">
        <v>56</v>
      </c>
      <c r="L2596" t="s">
        <v>44</v>
      </c>
      <c r="M2596">
        <v>8.4700000000000006</v>
      </c>
      <c r="T2596" t="s">
        <v>52</v>
      </c>
      <c r="U2596">
        <v>1</v>
      </c>
      <c r="V2596">
        <v>5</v>
      </c>
    </row>
    <row r="2597" spans="1:22" x14ac:dyDescent="0.3">
      <c r="A2597">
        <v>2596</v>
      </c>
      <c r="B2597">
        <v>52942</v>
      </c>
      <c r="C2597" s="2">
        <v>37191</v>
      </c>
      <c r="D2597">
        <v>24</v>
      </c>
      <c r="E2597" t="s">
        <v>42</v>
      </c>
      <c r="F2597" t="s">
        <v>50</v>
      </c>
      <c r="G2597" s="2">
        <v>45569</v>
      </c>
      <c r="H2597" s="3">
        <f t="shared" si="40"/>
        <v>1.1205479452054794</v>
      </c>
      <c r="I2597">
        <v>8</v>
      </c>
      <c r="J2597" t="s">
        <v>38</v>
      </c>
      <c r="K2597" t="s">
        <v>56</v>
      </c>
      <c r="L2597" t="s">
        <v>44</v>
      </c>
      <c r="M2597">
        <v>8.4700000000000006</v>
      </c>
      <c r="T2597" t="s">
        <v>45</v>
      </c>
      <c r="U2597">
        <v>3</v>
      </c>
      <c r="V2597">
        <v>6</v>
      </c>
    </row>
    <row r="2598" spans="1:22" x14ac:dyDescent="0.3">
      <c r="A2598">
        <v>2597</v>
      </c>
      <c r="B2598">
        <v>52943</v>
      </c>
      <c r="C2598" s="2">
        <v>37363</v>
      </c>
      <c r="D2598">
        <v>23</v>
      </c>
      <c r="E2598" t="s">
        <v>42</v>
      </c>
      <c r="F2598" t="s">
        <v>50</v>
      </c>
      <c r="G2598" s="2">
        <v>45613</v>
      </c>
      <c r="H2598" s="3">
        <f t="shared" si="40"/>
        <v>1.4657534246575343</v>
      </c>
      <c r="I2598">
        <v>11</v>
      </c>
      <c r="J2598" t="s">
        <v>38</v>
      </c>
      <c r="K2598" t="s">
        <v>56</v>
      </c>
      <c r="L2598" t="s">
        <v>44</v>
      </c>
      <c r="M2598">
        <v>8.4700000000000006</v>
      </c>
      <c r="T2598" t="s">
        <v>47</v>
      </c>
      <c r="U2598">
        <v>2</v>
      </c>
      <c r="V2598">
        <v>6</v>
      </c>
    </row>
    <row r="2599" spans="1:22" x14ac:dyDescent="0.3">
      <c r="A2599">
        <v>2598</v>
      </c>
      <c r="B2599">
        <v>52944</v>
      </c>
      <c r="C2599" s="2">
        <v>37596</v>
      </c>
      <c r="D2599">
        <v>23</v>
      </c>
      <c r="E2599" t="s">
        <v>36</v>
      </c>
      <c r="F2599" t="s">
        <v>50</v>
      </c>
      <c r="G2599" s="2">
        <v>45487</v>
      </c>
      <c r="H2599" s="3">
        <f t="shared" si="40"/>
        <v>1.1835616438356165</v>
      </c>
      <c r="I2599">
        <v>18</v>
      </c>
      <c r="J2599" t="s">
        <v>38</v>
      </c>
      <c r="K2599" t="s">
        <v>65</v>
      </c>
      <c r="L2599" t="s">
        <v>44</v>
      </c>
      <c r="M2599">
        <v>10.64</v>
      </c>
      <c r="T2599" t="s">
        <v>47</v>
      </c>
      <c r="U2599">
        <v>0</v>
      </c>
      <c r="V2599">
        <v>4</v>
      </c>
    </row>
    <row r="2600" spans="1:22" x14ac:dyDescent="0.3">
      <c r="A2600">
        <v>2599</v>
      </c>
      <c r="B2600">
        <v>52945</v>
      </c>
      <c r="C2600" s="2">
        <v>34033</v>
      </c>
      <c r="D2600">
        <v>32</v>
      </c>
      <c r="E2600" t="s">
        <v>42</v>
      </c>
      <c r="F2600" t="s">
        <v>37</v>
      </c>
      <c r="G2600" s="2">
        <v>45590</v>
      </c>
      <c r="H2600" s="3">
        <f t="shared" si="40"/>
        <v>1.8547945205479452</v>
      </c>
      <c r="I2600">
        <v>25</v>
      </c>
      <c r="J2600" t="s">
        <v>38</v>
      </c>
      <c r="K2600" t="s">
        <v>55</v>
      </c>
      <c r="L2600" t="s">
        <v>44</v>
      </c>
      <c r="M2600">
        <v>17.59</v>
      </c>
      <c r="T2600" t="s">
        <v>49</v>
      </c>
      <c r="U2600">
        <v>4</v>
      </c>
      <c r="V2600">
        <v>5</v>
      </c>
    </row>
    <row r="2601" spans="1:22" x14ac:dyDescent="0.3">
      <c r="A2601">
        <v>2600</v>
      </c>
      <c r="B2601">
        <v>52946</v>
      </c>
      <c r="C2601" s="2">
        <v>38286</v>
      </c>
      <c r="D2601">
        <v>21</v>
      </c>
      <c r="E2601" t="s">
        <v>42</v>
      </c>
      <c r="F2601" t="s">
        <v>37</v>
      </c>
      <c r="G2601" s="2">
        <v>45345</v>
      </c>
      <c r="H2601" s="3">
        <f t="shared" si="40"/>
        <v>1.7589041095890412</v>
      </c>
      <c r="I2601">
        <v>25</v>
      </c>
      <c r="J2601" t="s">
        <v>38</v>
      </c>
      <c r="K2601" t="s">
        <v>56</v>
      </c>
      <c r="L2601" t="s">
        <v>44</v>
      </c>
      <c r="M2601">
        <v>8.4700000000000006</v>
      </c>
      <c r="T2601" t="s">
        <v>49</v>
      </c>
      <c r="U2601">
        <v>2</v>
      </c>
      <c r="V2601">
        <v>6</v>
      </c>
    </row>
    <row r="2602" spans="1:22" x14ac:dyDescent="0.3">
      <c r="A2602">
        <v>2601</v>
      </c>
      <c r="B2602">
        <v>52947</v>
      </c>
      <c r="C2602" s="2">
        <v>38026</v>
      </c>
      <c r="D2602">
        <v>21</v>
      </c>
      <c r="E2602" t="s">
        <v>42</v>
      </c>
      <c r="F2602" t="s">
        <v>50</v>
      </c>
      <c r="G2602" s="2">
        <v>45380</v>
      </c>
      <c r="H2602" s="3">
        <f t="shared" si="40"/>
        <v>1.6328767123287671</v>
      </c>
      <c r="I2602">
        <v>33</v>
      </c>
      <c r="J2602" t="s">
        <v>38</v>
      </c>
      <c r="K2602" t="s">
        <v>56</v>
      </c>
      <c r="L2602" t="s">
        <v>44</v>
      </c>
      <c r="M2602">
        <v>8.4700000000000006</v>
      </c>
      <c r="T2602" t="s">
        <v>49</v>
      </c>
      <c r="U2602">
        <v>2</v>
      </c>
      <c r="V2602">
        <v>6</v>
      </c>
    </row>
    <row r="2603" spans="1:22" x14ac:dyDescent="0.3">
      <c r="A2603">
        <v>2602</v>
      </c>
      <c r="B2603">
        <v>52948</v>
      </c>
      <c r="C2603" s="2">
        <v>36796</v>
      </c>
      <c r="D2603">
        <v>25</v>
      </c>
      <c r="E2603" t="s">
        <v>36</v>
      </c>
      <c r="F2603" t="s">
        <v>50</v>
      </c>
      <c r="G2603" s="2">
        <v>45426</v>
      </c>
      <c r="H2603" s="3">
        <f t="shared" si="40"/>
        <v>1.6082191780821917</v>
      </c>
      <c r="I2603">
        <v>42</v>
      </c>
      <c r="J2603" t="s">
        <v>38</v>
      </c>
      <c r="K2603" t="s">
        <v>46</v>
      </c>
      <c r="L2603" t="s">
        <v>44</v>
      </c>
      <c r="M2603">
        <v>14.23</v>
      </c>
      <c r="T2603" t="s">
        <v>45</v>
      </c>
      <c r="U2603">
        <v>0</v>
      </c>
      <c r="V2603">
        <v>3</v>
      </c>
    </row>
    <row r="2604" spans="1:22" x14ac:dyDescent="0.3">
      <c r="A2604">
        <v>2603</v>
      </c>
      <c r="B2604">
        <v>52949</v>
      </c>
      <c r="C2604" s="2">
        <v>36246</v>
      </c>
      <c r="D2604">
        <v>26</v>
      </c>
      <c r="E2604" t="s">
        <v>36</v>
      </c>
      <c r="F2604" t="s">
        <v>37</v>
      </c>
      <c r="G2604" s="2">
        <v>45435</v>
      </c>
      <c r="H2604" s="3">
        <f t="shared" si="40"/>
        <v>1.1643835616438356</v>
      </c>
      <c r="I2604">
        <v>44</v>
      </c>
      <c r="J2604" t="s">
        <v>38</v>
      </c>
      <c r="K2604" t="s">
        <v>56</v>
      </c>
      <c r="L2604" t="s">
        <v>44</v>
      </c>
      <c r="M2604">
        <v>8.4700000000000006</v>
      </c>
      <c r="T2604" t="s">
        <v>49</v>
      </c>
      <c r="U2604">
        <v>4</v>
      </c>
      <c r="V2604">
        <v>5</v>
      </c>
    </row>
    <row r="2605" spans="1:22" x14ac:dyDescent="0.3">
      <c r="A2605">
        <v>2604</v>
      </c>
      <c r="B2605">
        <v>52950</v>
      </c>
      <c r="C2605" s="2">
        <v>37576</v>
      </c>
      <c r="D2605">
        <v>23</v>
      </c>
      <c r="E2605" t="s">
        <v>36</v>
      </c>
      <c r="F2605" t="s">
        <v>37</v>
      </c>
      <c r="G2605" s="2">
        <v>45597</v>
      </c>
      <c r="H2605" s="3">
        <f t="shared" si="40"/>
        <v>1.8493150684931507</v>
      </c>
      <c r="I2605">
        <v>46</v>
      </c>
      <c r="J2605" t="s">
        <v>38</v>
      </c>
      <c r="K2605" t="s">
        <v>55</v>
      </c>
      <c r="L2605" t="s">
        <v>44</v>
      </c>
      <c r="M2605">
        <v>17.59</v>
      </c>
      <c r="T2605" t="s">
        <v>45</v>
      </c>
      <c r="U2605">
        <v>2</v>
      </c>
      <c r="V2605">
        <v>4</v>
      </c>
    </row>
    <row r="2606" spans="1:22" x14ac:dyDescent="0.3">
      <c r="A2606">
        <v>2605</v>
      </c>
      <c r="B2606">
        <v>52951</v>
      </c>
      <c r="C2606" s="2">
        <v>36489</v>
      </c>
      <c r="D2606">
        <v>26</v>
      </c>
      <c r="E2606" t="s">
        <v>36</v>
      </c>
      <c r="F2606" t="s">
        <v>50</v>
      </c>
      <c r="G2606" s="2">
        <v>45347</v>
      </c>
      <c r="H2606" s="3">
        <f t="shared" si="40"/>
        <v>1.1698630136986301</v>
      </c>
      <c r="I2606">
        <v>53</v>
      </c>
      <c r="J2606" t="s">
        <v>38</v>
      </c>
      <c r="K2606" t="s">
        <v>55</v>
      </c>
      <c r="L2606" t="s">
        <v>44</v>
      </c>
      <c r="M2606">
        <v>17.59</v>
      </c>
      <c r="T2606" t="s">
        <v>47</v>
      </c>
      <c r="U2606">
        <v>2</v>
      </c>
      <c r="V2606">
        <v>5</v>
      </c>
    </row>
    <row r="2607" spans="1:22" x14ac:dyDescent="0.3">
      <c r="A2607">
        <v>2606</v>
      </c>
      <c r="B2607">
        <v>52952</v>
      </c>
      <c r="C2607" s="2">
        <v>37105</v>
      </c>
      <c r="D2607">
        <v>24</v>
      </c>
      <c r="E2607" t="s">
        <v>36</v>
      </c>
      <c r="F2607" t="s">
        <v>50</v>
      </c>
      <c r="G2607" s="2">
        <v>45595</v>
      </c>
      <c r="H2607" s="3">
        <f t="shared" si="40"/>
        <v>1.515068493150685</v>
      </c>
      <c r="I2607">
        <v>68</v>
      </c>
      <c r="J2607" t="s">
        <v>57</v>
      </c>
      <c r="K2607" t="s">
        <v>65</v>
      </c>
      <c r="L2607" t="s">
        <v>44</v>
      </c>
      <c r="M2607">
        <v>10.64</v>
      </c>
      <c r="T2607" t="s">
        <v>45</v>
      </c>
      <c r="U2607">
        <v>0</v>
      </c>
      <c r="V2607">
        <v>3</v>
      </c>
    </row>
    <row r="2608" spans="1:22" x14ac:dyDescent="0.3">
      <c r="A2608">
        <v>2607</v>
      </c>
      <c r="B2608">
        <v>52953</v>
      </c>
      <c r="C2608" s="2">
        <v>36017</v>
      </c>
      <c r="D2608">
        <v>27</v>
      </c>
      <c r="E2608" t="s">
        <v>42</v>
      </c>
      <c r="F2608" t="s">
        <v>50</v>
      </c>
      <c r="G2608" s="2">
        <v>45469</v>
      </c>
      <c r="H2608" s="3">
        <f t="shared" si="40"/>
        <v>1.452054794520548</v>
      </c>
      <c r="I2608">
        <v>68</v>
      </c>
      <c r="J2608" t="s">
        <v>57</v>
      </c>
      <c r="K2608" t="s">
        <v>56</v>
      </c>
      <c r="L2608" t="s">
        <v>44</v>
      </c>
      <c r="M2608">
        <v>8.4700000000000006</v>
      </c>
      <c r="T2608" t="s">
        <v>52</v>
      </c>
      <c r="U2608">
        <v>2</v>
      </c>
      <c r="V2608">
        <v>5</v>
      </c>
    </row>
    <row r="2609" spans="1:22" x14ac:dyDescent="0.3">
      <c r="A2609">
        <v>2608</v>
      </c>
      <c r="B2609">
        <v>52954</v>
      </c>
      <c r="C2609" s="2">
        <v>37914</v>
      </c>
      <c r="D2609">
        <v>22</v>
      </c>
      <c r="E2609" t="s">
        <v>42</v>
      </c>
      <c r="F2609" t="s">
        <v>37</v>
      </c>
      <c r="G2609" s="2">
        <v>45492</v>
      </c>
      <c r="H2609" s="3">
        <f t="shared" si="40"/>
        <v>1.5397260273972602</v>
      </c>
      <c r="I2609">
        <v>80</v>
      </c>
      <c r="J2609" t="s">
        <v>57</v>
      </c>
      <c r="K2609" t="s">
        <v>56</v>
      </c>
      <c r="L2609" t="s">
        <v>44</v>
      </c>
      <c r="M2609">
        <v>8.4700000000000006</v>
      </c>
      <c r="T2609" t="s">
        <v>52</v>
      </c>
      <c r="U2609">
        <v>2</v>
      </c>
      <c r="V2609">
        <v>5</v>
      </c>
    </row>
    <row r="2610" spans="1:22" x14ac:dyDescent="0.3">
      <c r="A2610">
        <v>2609</v>
      </c>
      <c r="B2610">
        <v>52955</v>
      </c>
      <c r="C2610" s="2">
        <v>38241</v>
      </c>
      <c r="D2610">
        <v>21</v>
      </c>
      <c r="E2610" t="s">
        <v>42</v>
      </c>
      <c r="F2610" t="s">
        <v>37</v>
      </c>
      <c r="G2610" s="2">
        <v>45460</v>
      </c>
      <c r="H2610" s="3">
        <f t="shared" si="40"/>
        <v>1.3643835616438356</v>
      </c>
      <c r="I2610">
        <v>104</v>
      </c>
      <c r="J2610" t="s">
        <v>57</v>
      </c>
      <c r="K2610" t="s">
        <v>56</v>
      </c>
      <c r="L2610" t="s">
        <v>44</v>
      </c>
      <c r="M2610">
        <v>8.4700000000000006</v>
      </c>
      <c r="T2610" t="s">
        <v>45</v>
      </c>
      <c r="U2610">
        <v>4</v>
      </c>
      <c r="V2610">
        <v>6</v>
      </c>
    </row>
    <row r="2611" spans="1:22" x14ac:dyDescent="0.3">
      <c r="A2611">
        <v>2610</v>
      </c>
      <c r="B2611">
        <v>52956</v>
      </c>
      <c r="C2611" s="2">
        <v>38840</v>
      </c>
      <c r="D2611">
        <v>19</v>
      </c>
      <c r="E2611" t="s">
        <v>42</v>
      </c>
      <c r="F2611" t="s">
        <v>50</v>
      </c>
      <c r="G2611" s="2">
        <v>45524</v>
      </c>
      <c r="H2611" s="3">
        <f t="shared" si="40"/>
        <v>1.1561643835616437</v>
      </c>
      <c r="I2611">
        <v>105</v>
      </c>
      <c r="J2611" t="s">
        <v>57</v>
      </c>
      <c r="K2611" t="s">
        <v>65</v>
      </c>
      <c r="L2611" t="s">
        <v>44</v>
      </c>
      <c r="M2611">
        <v>10.64</v>
      </c>
      <c r="T2611" t="s">
        <v>52</v>
      </c>
      <c r="U2611">
        <v>0</v>
      </c>
      <c r="V2611">
        <v>5</v>
      </c>
    </row>
    <row r="2612" spans="1:22" x14ac:dyDescent="0.3">
      <c r="A2612">
        <v>2611</v>
      </c>
      <c r="B2612">
        <v>52957</v>
      </c>
      <c r="C2612" s="2">
        <v>38524</v>
      </c>
      <c r="D2612">
        <v>20</v>
      </c>
      <c r="E2612" t="s">
        <v>42</v>
      </c>
      <c r="F2612" t="s">
        <v>50</v>
      </c>
      <c r="G2612" s="2">
        <v>45600</v>
      </c>
      <c r="H2612" s="3">
        <f t="shared" si="40"/>
        <v>1.4931506849315068</v>
      </c>
      <c r="I2612">
        <v>105</v>
      </c>
      <c r="J2612" t="s">
        <v>57</v>
      </c>
      <c r="K2612" t="s">
        <v>65</v>
      </c>
      <c r="L2612" t="s">
        <v>44</v>
      </c>
      <c r="M2612">
        <v>10.64</v>
      </c>
      <c r="T2612" t="s">
        <v>45</v>
      </c>
      <c r="U2612">
        <v>1</v>
      </c>
      <c r="V2612">
        <v>5</v>
      </c>
    </row>
    <row r="2613" spans="1:22" x14ac:dyDescent="0.3">
      <c r="A2613">
        <v>2612</v>
      </c>
      <c r="B2613">
        <v>52958</v>
      </c>
      <c r="C2613" s="2">
        <v>38811</v>
      </c>
      <c r="D2613">
        <v>19</v>
      </c>
      <c r="E2613" t="s">
        <v>42</v>
      </c>
      <c r="F2613" t="s">
        <v>50</v>
      </c>
      <c r="G2613" s="2">
        <v>45477</v>
      </c>
      <c r="H2613" s="3">
        <f t="shared" si="40"/>
        <v>1.6931506849315068</v>
      </c>
      <c r="I2613">
        <v>124</v>
      </c>
      <c r="J2613" t="s">
        <v>57</v>
      </c>
      <c r="K2613" t="s">
        <v>43</v>
      </c>
      <c r="L2613" t="s">
        <v>44</v>
      </c>
      <c r="M2613">
        <v>16.37</v>
      </c>
      <c r="T2613" t="s">
        <v>49</v>
      </c>
      <c r="U2613">
        <v>0</v>
      </c>
      <c r="V2613">
        <v>6</v>
      </c>
    </row>
    <row r="2614" spans="1:22" x14ac:dyDescent="0.3">
      <c r="A2614">
        <v>2613</v>
      </c>
      <c r="B2614">
        <v>52959</v>
      </c>
      <c r="C2614" s="2">
        <v>37911</v>
      </c>
      <c r="D2614">
        <v>22</v>
      </c>
      <c r="E2614" t="s">
        <v>42</v>
      </c>
      <c r="F2614" t="s">
        <v>37</v>
      </c>
      <c r="G2614" s="2">
        <v>45404</v>
      </c>
      <c r="H2614" s="3">
        <f t="shared" si="40"/>
        <v>1.8410958904109589</v>
      </c>
      <c r="I2614">
        <v>128</v>
      </c>
      <c r="J2614" t="s">
        <v>57</v>
      </c>
      <c r="K2614" t="s">
        <v>56</v>
      </c>
      <c r="L2614" t="s">
        <v>44</v>
      </c>
      <c r="M2614">
        <v>8.4700000000000006</v>
      </c>
      <c r="T2614" t="s">
        <v>47</v>
      </c>
      <c r="U2614">
        <v>2</v>
      </c>
      <c r="V2614">
        <v>4</v>
      </c>
    </row>
    <row r="2615" spans="1:22" x14ac:dyDescent="0.3">
      <c r="A2615">
        <v>2614</v>
      </c>
      <c r="B2615">
        <v>52961</v>
      </c>
      <c r="C2615" s="2">
        <v>37686</v>
      </c>
      <c r="D2615">
        <v>22</v>
      </c>
      <c r="E2615" t="s">
        <v>36</v>
      </c>
      <c r="F2615" t="s">
        <v>50</v>
      </c>
      <c r="G2615" s="2">
        <v>45350</v>
      </c>
      <c r="H2615" s="3">
        <f t="shared" si="40"/>
        <v>1.3479452054794521</v>
      </c>
      <c r="I2615">
        <v>135</v>
      </c>
      <c r="J2615" t="s">
        <v>57</v>
      </c>
      <c r="K2615" t="s">
        <v>65</v>
      </c>
      <c r="L2615" t="s">
        <v>44</v>
      </c>
      <c r="M2615">
        <v>10.64</v>
      </c>
      <c r="T2615" t="s">
        <v>49</v>
      </c>
      <c r="U2615">
        <v>1</v>
      </c>
      <c r="V2615">
        <v>4</v>
      </c>
    </row>
    <row r="2616" spans="1:22" x14ac:dyDescent="0.3">
      <c r="A2616">
        <v>2615</v>
      </c>
      <c r="B2616">
        <v>52962</v>
      </c>
      <c r="C2616" s="2">
        <v>38484</v>
      </c>
      <c r="D2616">
        <v>20</v>
      </c>
      <c r="E2616" t="s">
        <v>42</v>
      </c>
      <c r="F2616" t="s">
        <v>37</v>
      </c>
      <c r="G2616" s="2">
        <v>45530</v>
      </c>
      <c r="H2616" s="3">
        <f t="shared" si="40"/>
        <v>1.7178082191780821</v>
      </c>
      <c r="I2616">
        <v>54</v>
      </c>
      <c r="J2616" t="s">
        <v>38</v>
      </c>
      <c r="K2616" t="s">
        <v>48</v>
      </c>
      <c r="L2616" t="s">
        <v>44</v>
      </c>
      <c r="M2616">
        <v>17.899999999999999</v>
      </c>
      <c r="T2616" t="s">
        <v>49</v>
      </c>
      <c r="U2616">
        <v>1</v>
      </c>
      <c r="V2616">
        <v>5</v>
      </c>
    </row>
    <row r="2617" spans="1:22" x14ac:dyDescent="0.3">
      <c r="A2617">
        <v>2616</v>
      </c>
      <c r="B2617">
        <v>52963</v>
      </c>
      <c r="C2617" s="2">
        <v>38242</v>
      </c>
      <c r="D2617">
        <v>21</v>
      </c>
      <c r="E2617" t="s">
        <v>36</v>
      </c>
      <c r="F2617" t="s">
        <v>50</v>
      </c>
      <c r="G2617" s="2">
        <v>45395</v>
      </c>
      <c r="H2617" s="3">
        <f t="shared" si="40"/>
        <v>1.7726027397260273</v>
      </c>
      <c r="I2617">
        <v>145</v>
      </c>
      <c r="J2617" t="s">
        <v>57</v>
      </c>
      <c r="K2617" t="s">
        <v>56</v>
      </c>
      <c r="L2617" t="s">
        <v>44</v>
      </c>
      <c r="M2617">
        <v>8.4700000000000006</v>
      </c>
      <c r="T2617" t="s">
        <v>47</v>
      </c>
      <c r="U2617">
        <v>3</v>
      </c>
      <c r="V2617">
        <v>5</v>
      </c>
    </row>
    <row r="2618" spans="1:22" x14ac:dyDescent="0.3">
      <c r="A2618">
        <v>2617</v>
      </c>
      <c r="B2618">
        <v>52964</v>
      </c>
      <c r="C2618" s="2">
        <v>35957</v>
      </c>
      <c r="D2618">
        <v>27</v>
      </c>
      <c r="E2618" t="s">
        <v>36</v>
      </c>
      <c r="F2618" t="s">
        <v>50</v>
      </c>
      <c r="G2618" s="2">
        <v>45375</v>
      </c>
      <c r="H2618" s="3">
        <f t="shared" si="40"/>
        <v>1.2301369863013698</v>
      </c>
      <c r="I2618">
        <v>69</v>
      </c>
      <c r="J2618" t="s">
        <v>57</v>
      </c>
      <c r="K2618" t="s">
        <v>46</v>
      </c>
      <c r="L2618" t="s">
        <v>44</v>
      </c>
      <c r="M2618">
        <v>14.23</v>
      </c>
      <c r="T2618" t="s">
        <v>49</v>
      </c>
      <c r="U2618">
        <v>0</v>
      </c>
      <c r="V2618">
        <v>3</v>
      </c>
    </row>
    <row r="2619" spans="1:22" x14ac:dyDescent="0.3">
      <c r="A2619">
        <v>2618</v>
      </c>
      <c r="B2619">
        <v>52965</v>
      </c>
      <c r="C2619" s="2">
        <v>36654</v>
      </c>
      <c r="D2619">
        <v>25</v>
      </c>
      <c r="E2619" t="s">
        <v>42</v>
      </c>
      <c r="F2619" t="s">
        <v>50</v>
      </c>
      <c r="G2619" s="2">
        <v>45573</v>
      </c>
      <c r="H2619" s="3">
        <f t="shared" si="40"/>
        <v>1.7013698630136986</v>
      </c>
      <c r="I2619">
        <v>114</v>
      </c>
      <c r="J2619" t="s">
        <v>57</v>
      </c>
      <c r="K2619" t="s">
        <v>55</v>
      </c>
      <c r="L2619" t="s">
        <v>44</v>
      </c>
      <c r="M2619">
        <v>17.59</v>
      </c>
      <c r="T2619" t="s">
        <v>52</v>
      </c>
      <c r="U2619">
        <v>2</v>
      </c>
      <c r="V2619">
        <v>6</v>
      </c>
    </row>
    <row r="2620" spans="1:22" x14ac:dyDescent="0.3">
      <c r="A2620">
        <v>2619</v>
      </c>
      <c r="B2620">
        <v>52966</v>
      </c>
      <c r="C2620" s="2">
        <v>31251</v>
      </c>
      <c r="D2620">
        <v>40</v>
      </c>
      <c r="E2620" t="s">
        <v>36</v>
      </c>
      <c r="F2620" t="s">
        <v>37</v>
      </c>
      <c r="G2620" s="2">
        <v>45401</v>
      </c>
      <c r="H2620" s="3">
        <f t="shared" si="40"/>
        <v>1.2876712328767124</v>
      </c>
      <c r="I2620">
        <v>136</v>
      </c>
      <c r="J2620" t="s">
        <v>57</v>
      </c>
      <c r="K2620" t="s">
        <v>54</v>
      </c>
      <c r="L2620" t="s">
        <v>44</v>
      </c>
      <c r="M2620">
        <v>23.78</v>
      </c>
      <c r="T2620" t="s">
        <v>45</v>
      </c>
      <c r="U2620">
        <v>6</v>
      </c>
      <c r="V2620">
        <v>6</v>
      </c>
    </row>
    <row r="2621" spans="1:22" x14ac:dyDescent="0.3">
      <c r="A2621">
        <v>2620</v>
      </c>
      <c r="B2621">
        <v>52967</v>
      </c>
      <c r="C2621" s="2">
        <v>37227</v>
      </c>
      <c r="D2621">
        <v>24</v>
      </c>
      <c r="E2621" t="s">
        <v>36</v>
      </c>
      <c r="F2621" t="s">
        <v>37</v>
      </c>
      <c r="G2621" s="2">
        <v>45552</v>
      </c>
      <c r="H2621" s="3">
        <f t="shared" si="40"/>
        <v>1</v>
      </c>
      <c r="I2621">
        <v>9</v>
      </c>
      <c r="J2621" t="s">
        <v>38</v>
      </c>
      <c r="K2621" t="s">
        <v>65</v>
      </c>
      <c r="L2621" t="s">
        <v>44</v>
      </c>
      <c r="M2621">
        <v>10.64</v>
      </c>
      <c r="T2621" t="s">
        <v>47</v>
      </c>
      <c r="U2621">
        <v>0</v>
      </c>
      <c r="V2621">
        <v>1</v>
      </c>
    </row>
    <row r="2622" spans="1:22" x14ac:dyDescent="0.3">
      <c r="A2622">
        <v>2621</v>
      </c>
      <c r="B2622">
        <v>52968</v>
      </c>
      <c r="C2622" s="2">
        <v>37819</v>
      </c>
      <c r="D2622">
        <v>22</v>
      </c>
      <c r="E2622" t="s">
        <v>42</v>
      </c>
      <c r="F2622" t="s">
        <v>50</v>
      </c>
      <c r="G2622" s="2">
        <v>45657</v>
      </c>
      <c r="H2622" s="3">
        <f t="shared" si="40"/>
        <v>1.7068493150684931</v>
      </c>
      <c r="I2622">
        <v>37</v>
      </c>
      <c r="J2622" t="s">
        <v>38</v>
      </c>
      <c r="K2622" t="s">
        <v>56</v>
      </c>
      <c r="L2622" t="s">
        <v>44</v>
      </c>
      <c r="M2622">
        <v>8.4700000000000006</v>
      </c>
      <c r="T2622" t="s">
        <v>49</v>
      </c>
      <c r="U2622">
        <v>2</v>
      </c>
      <c r="V2622">
        <v>6</v>
      </c>
    </row>
    <row r="2623" spans="1:22" x14ac:dyDescent="0.3">
      <c r="A2623">
        <v>2622</v>
      </c>
      <c r="B2623">
        <v>52969</v>
      </c>
      <c r="C2623" s="2">
        <v>38607</v>
      </c>
      <c r="D2623">
        <v>20</v>
      </c>
      <c r="E2623" t="s">
        <v>42</v>
      </c>
      <c r="F2623" t="s">
        <v>50</v>
      </c>
      <c r="G2623" s="2">
        <v>45399</v>
      </c>
      <c r="H2623" s="3">
        <f t="shared" si="40"/>
        <v>1.2712328767123289</v>
      </c>
      <c r="I2623">
        <v>30</v>
      </c>
      <c r="J2623" t="s">
        <v>38</v>
      </c>
      <c r="K2623" t="s">
        <v>56</v>
      </c>
      <c r="L2623" t="s">
        <v>44</v>
      </c>
      <c r="M2623">
        <v>8.4700000000000006</v>
      </c>
      <c r="T2623" t="s">
        <v>47</v>
      </c>
      <c r="U2623">
        <v>1</v>
      </c>
      <c r="V2623">
        <v>6</v>
      </c>
    </row>
    <row r="2624" spans="1:22" x14ac:dyDescent="0.3">
      <c r="A2624">
        <v>2623</v>
      </c>
      <c r="B2624">
        <v>52970</v>
      </c>
      <c r="C2624" s="2">
        <v>36220</v>
      </c>
      <c r="D2624">
        <v>27</v>
      </c>
      <c r="E2624" t="s">
        <v>42</v>
      </c>
      <c r="F2624" t="s">
        <v>50</v>
      </c>
      <c r="G2624" s="2">
        <v>45558</v>
      </c>
      <c r="H2624" s="3">
        <f t="shared" si="40"/>
        <v>1.7506849315068493</v>
      </c>
      <c r="I2624">
        <v>125</v>
      </c>
      <c r="J2624" t="s">
        <v>57</v>
      </c>
      <c r="K2624" t="s">
        <v>43</v>
      </c>
      <c r="L2624" t="s">
        <v>44</v>
      </c>
      <c r="M2624">
        <v>16.37</v>
      </c>
      <c r="T2624" t="s">
        <v>52</v>
      </c>
      <c r="U2624">
        <v>2</v>
      </c>
      <c r="V2624">
        <v>6</v>
      </c>
    </row>
    <row r="2625" spans="1:22" x14ac:dyDescent="0.3">
      <c r="A2625">
        <v>2624</v>
      </c>
      <c r="B2625">
        <v>52971</v>
      </c>
      <c r="C2625" s="2">
        <v>37197</v>
      </c>
      <c r="D2625">
        <v>24</v>
      </c>
      <c r="E2625" t="s">
        <v>42</v>
      </c>
      <c r="F2625" t="s">
        <v>50</v>
      </c>
      <c r="G2625" s="2">
        <v>45383</v>
      </c>
      <c r="H2625" s="3">
        <f t="shared" si="40"/>
        <v>1.4794520547945205</v>
      </c>
      <c r="I2625">
        <v>127</v>
      </c>
      <c r="J2625" t="s">
        <v>57</v>
      </c>
      <c r="K2625" t="s">
        <v>43</v>
      </c>
      <c r="L2625" t="s">
        <v>44</v>
      </c>
      <c r="M2625">
        <v>16.37</v>
      </c>
      <c r="T2625" t="s">
        <v>45</v>
      </c>
      <c r="U2625">
        <v>2</v>
      </c>
      <c r="V2625">
        <v>4</v>
      </c>
    </row>
    <row r="2626" spans="1:22" x14ac:dyDescent="0.3">
      <c r="A2626">
        <v>2625</v>
      </c>
      <c r="B2626">
        <v>52972</v>
      </c>
      <c r="C2626" s="2">
        <v>38036</v>
      </c>
      <c r="D2626">
        <v>21</v>
      </c>
      <c r="E2626" t="s">
        <v>42</v>
      </c>
      <c r="F2626" t="s">
        <v>37</v>
      </c>
      <c r="G2626" s="2">
        <v>45482</v>
      </c>
      <c r="H2626" s="3">
        <f t="shared" si="40"/>
        <v>1.6301369863013699</v>
      </c>
      <c r="I2626">
        <v>3</v>
      </c>
      <c r="J2626" t="s">
        <v>38</v>
      </c>
      <c r="K2626" t="s">
        <v>65</v>
      </c>
      <c r="L2626" t="s">
        <v>44</v>
      </c>
      <c r="M2626">
        <v>10.64</v>
      </c>
      <c r="T2626" t="s">
        <v>45</v>
      </c>
      <c r="U2626">
        <v>1</v>
      </c>
      <c r="V2626">
        <v>5</v>
      </c>
    </row>
    <row r="2627" spans="1:22" x14ac:dyDescent="0.3">
      <c r="A2627">
        <v>2626</v>
      </c>
      <c r="B2627">
        <v>52973</v>
      </c>
      <c r="C2627" s="2">
        <v>37810</v>
      </c>
      <c r="D2627">
        <v>22</v>
      </c>
      <c r="E2627" t="s">
        <v>36</v>
      </c>
      <c r="F2627" t="s">
        <v>37</v>
      </c>
      <c r="G2627" s="2">
        <v>45427</v>
      </c>
      <c r="H2627" s="3">
        <f t="shared" ref="H2627:H2690" si="41">DATEDIF(G2628,DATE(2025,12,31),"d")/365</f>
        <v>1.095890410958904</v>
      </c>
      <c r="I2627">
        <v>8</v>
      </c>
      <c r="J2627" t="s">
        <v>38</v>
      </c>
      <c r="K2627" t="s">
        <v>56</v>
      </c>
      <c r="L2627" t="s">
        <v>44</v>
      </c>
      <c r="M2627">
        <v>8.4700000000000006</v>
      </c>
      <c r="T2627" t="s">
        <v>52</v>
      </c>
      <c r="U2627">
        <v>2</v>
      </c>
      <c r="V2627">
        <v>4</v>
      </c>
    </row>
    <row r="2628" spans="1:22" x14ac:dyDescent="0.3">
      <c r="A2628">
        <v>2627</v>
      </c>
      <c r="B2628">
        <v>52974</v>
      </c>
      <c r="C2628" s="2">
        <v>36019</v>
      </c>
      <c r="D2628">
        <v>27</v>
      </c>
      <c r="E2628" t="s">
        <v>42</v>
      </c>
      <c r="F2628" t="s">
        <v>37</v>
      </c>
      <c r="G2628" s="2">
        <v>45622</v>
      </c>
      <c r="H2628" s="3">
        <f t="shared" si="41"/>
        <v>1.7808219178082192</v>
      </c>
      <c r="I2628">
        <v>18</v>
      </c>
      <c r="J2628" t="s">
        <v>38</v>
      </c>
      <c r="K2628" t="s">
        <v>56</v>
      </c>
      <c r="L2628" t="s">
        <v>44</v>
      </c>
      <c r="M2628">
        <v>8.4700000000000006</v>
      </c>
      <c r="T2628" t="s">
        <v>49</v>
      </c>
      <c r="U2628">
        <v>3</v>
      </c>
      <c r="V2628">
        <v>6</v>
      </c>
    </row>
    <row r="2629" spans="1:22" x14ac:dyDescent="0.3">
      <c r="A2629">
        <v>2628</v>
      </c>
      <c r="B2629">
        <v>52975</v>
      </c>
      <c r="C2629" s="2">
        <v>38341</v>
      </c>
      <c r="D2629">
        <v>21</v>
      </c>
      <c r="E2629" t="s">
        <v>36</v>
      </c>
      <c r="F2629" t="s">
        <v>50</v>
      </c>
      <c r="G2629" s="2">
        <v>45372</v>
      </c>
      <c r="H2629" s="3">
        <f t="shared" si="41"/>
        <v>1.1260273972602739</v>
      </c>
      <c r="I2629">
        <v>54</v>
      </c>
      <c r="J2629" t="s">
        <v>38</v>
      </c>
      <c r="K2629" t="s">
        <v>65</v>
      </c>
      <c r="L2629" t="s">
        <v>44</v>
      </c>
      <c r="M2629">
        <v>10.64</v>
      </c>
      <c r="T2629" t="s">
        <v>45</v>
      </c>
      <c r="U2629">
        <v>1</v>
      </c>
      <c r="V2629">
        <v>4</v>
      </c>
    </row>
    <row r="2630" spans="1:22" x14ac:dyDescent="0.3">
      <c r="A2630">
        <v>2629</v>
      </c>
      <c r="B2630">
        <v>52976</v>
      </c>
      <c r="C2630" s="2">
        <v>35747</v>
      </c>
      <c r="D2630">
        <v>28</v>
      </c>
      <c r="E2630" t="s">
        <v>42</v>
      </c>
      <c r="F2630" t="s">
        <v>50</v>
      </c>
      <c r="G2630" s="2">
        <v>45611</v>
      </c>
      <c r="H2630" s="3">
        <f t="shared" si="41"/>
        <v>1.1178082191780823</v>
      </c>
      <c r="I2630">
        <v>105</v>
      </c>
      <c r="J2630" t="s">
        <v>57</v>
      </c>
      <c r="K2630" t="s">
        <v>56</v>
      </c>
      <c r="L2630" t="s">
        <v>44</v>
      </c>
      <c r="M2630">
        <v>8.4700000000000006</v>
      </c>
      <c r="T2630" t="s">
        <v>52</v>
      </c>
      <c r="U2630">
        <v>1</v>
      </c>
      <c r="V2630">
        <v>6</v>
      </c>
    </row>
    <row r="2631" spans="1:22" x14ac:dyDescent="0.3">
      <c r="A2631">
        <v>2630</v>
      </c>
      <c r="B2631">
        <v>52977</v>
      </c>
      <c r="C2631" s="2">
        <v>36844</v>
      </c>
      <c r="D2631">
        <v>25</v>
      </c>
      <c r="E2631" t="s">
        <v>36</v>
      </c>
      <c r="F2631" t="s">
        <v>50</v>
      </c>
      <c r="G2631" s="2">
        <v>45614</v>
      </c>
      <c r="H2631" s="3">
        <f t="shared" si="41"/>
        <v>1.3506849315068492</v>
      </c>
      <c r="I2631">
        <v>16</v>
      </c>
      <c r="J2631" t="s">
        <v>38</v>
      </c>
      <c r="K2631" t="s">
        <v>55</v>
      </c>
      <c r="L2631" t="s">
        <v>44</v>
      </c>
      <c r="M2631">
        <v>17.59</v>
      </c>
      <c r="T2631" t="s">
        <v>52</v>
      </c>
      <c r="U2631">
        <v>1</v>
      </c>
      <c r="V2631">
        <v>3</v>
      </c>
    </row>
    <row r="2632" spans="1:22" x14ac:dyDescent="0.3">
      <c r="A2632">
        <v>2631</v>
      </c>
      <c r="B2632">
        <v>52978</v>
      </c>
      <c r="C2632" s="2">
        <v>38567</v>
      </c>
      <c r="D2632">
        <v>20</v>
      </c>
      <c r="E2632" t="s">
        <v>42</v>
      </c>
      <c r="F2632" t="s">
        <v>50</v>
      </c>
      <c r="G2632" s="2">
        <v>45529</v>
      </c>
      <c r="H2632" s="3">
        <f t="shared" si="41"/>
        <v>1.0082191780821919</v>
      </c>
      <c r="I2632">
        <v>90</v>
      </c>
      <c r="J2632" t="s">
        <v>57</v>
      </c>
      <c r="K2632" t="s">
        <v>48</v>
      </c>
      <c r="L2632" t="s">
        <v>44</v>
      </c>
      <c r="M2632">
        <v>8.4700000000000006</v>
      </c>
      <c r="T2632" t="s">
        <v>52</v>
      </c>
      <c r="U2632">
        <v>2</v>
      </c>
      <c r="V2632">
        <v>6</v>
      </c>
    </row>
    <row r="2633" spans="1:22" x14ac:dyDescent="0.3">
      <c r="A2633">
        <v>2632</v>
      </c>
      <c r="B2633">
        <v>52979</v>
      </c>
      <c r="C2633" s="2">
        <v>35876</v>
      </c>
      <c r="D2633">
        <v>27</v>
      </c>
      <c r="E2633" t="s">
        <v>42</v>
      </c>
      <c r="F2633" t="s">
        <v>50</v>
      </c>
      <c r="G2633" s="2">
        <v>45654</v>
      </c>
      <c r="H2633" s="3">
        <f t="shared" si="41"/>
        <v>1.5780821917808219</v>
      </c>
      <c r="I2633">
        <v>101</v>
      </c>
      <c r="J2633" t="s">
        <v>57</v>
      </c>
      <c r="K2633" t="s">
        <v>56</v>
      </c>
      <c r="L2633" t="s">
        <v>44</v>
      </c>
      <c r="M2633">
        <v>8.4700000000000006</v>
      </c>
      <c r="T2633" t="s">
        <v>52</v>
      </c>
      <c r="U2633">
        <v>2</v>
      </c>
      <c r="V2633">
        <v>7</v>
      </c>
    </row>
    <row r="2634" spans="1:22" x14ac:dyDescent="0.3">
      <c r="A2634">
        <v>2633</v>
      </c>
      <c r="B2634">
        <v>52980</v>
      </c>
      <c r="C2634" s="2">
        <v>38519</v>
      </c>
      <c r="D2634">
        <v>20</v>
      </c>
      <c r="E2634" t="s">
        <v>42</v>
      </c>
      <c r="F2634" t="s">
        <v>50</v>
      </c>
      <c r="G2634" s="2">
        <v>45446</v>
      </c>
      <c r="H2634" s="3">
        <f t="shared" si="41"/>
        <v>1.5232876712328767</v>
      </c>
      <c r="I2634">
        <v>104</v>
      </c>
      <c r="J2634" t="s">
        <v>57</v>
      </c>
      <c r="K2634" t="s">
        <v>46</v>
      </c>
      <c r="L2634" t="s">
        <v>44</v>
      </c>
      <c r="M2634">
        <v>14.23</v>
      </c>
      <c r="T2634" t="s">
        <v>45</v>
      </c>
      <c r="U2634">
        <v>1</v>
      </c>
      <c r="V2634">
        <v>4</v>
      </c>
    </row>
    <row r="2635" spans="1:22" x14ac:dyDescent="0.3">
      <c r="A2635">
        <v>2634</v>
      </c>
      <c r="B2635">
        <v>52981</v>
      </c>
      <c r="C2635" s="2">
        <v>36718</v>
      </c>
      <c r="D2635">
        <v>25</v>
      </c>
      <c r="E2635" t="s">
        <v>42</v>
      </c>
      <c r="F2635" t="s">
        <v>50</v>
      </c>
      <c r="G2635" s="2">
        <v>45466</v>
      </c>
      <c r="H2635" s="3">
        <f t="shared" si="41"/>
        <v>1.5945205479452054</v>
      </c>
      <c r="I2635">
        <v>125</v>
      </c>
      <c r="J2635" t="s">
        <v>57</v>
      </c>
      <c r="K2635" t="s">
        <v>68</v>
      </c>
      <c r="L2635" t="s">
        <v>44</v>
      </c>
      <c r="M2635">
        <v>17</v>
      </c>
      <c r="T2635" t="s">
        <v>45</v>
      </c>
      <c r="U2635">
        <v>2</v>
      </c>
      <c r="V2635">
        <v>6</v>
      </c>
    </row>
    <row r="2636" spans="1:22" x14ac:dyDescent="0.3">
      <c r="A2636">
        <v>2635</v>
      </c>
      <c r="B2636">
        <v>52982</v>
      </c>
      <c r="C2636" s="2">
        <v>39033</v>
      </c>
      <c r="D2636">
        <v>19</v>
      </c>
      <c r="E2636" t="s">
        <v>42</v>
      </c>
      <c r="F2636" t="s">
        <v>50</v>
      </c>
      <c r="G2636" s="2">
        <v>45440</v>
      </c>
      <c r="H2636" s="3">
        <f t="shared" si="41"/>
        <v>1.6191780821917807</v>
      </c>
      <c r="I2636">
        <v>144</v>
      </c>
      <c r="J2636" t="s">
        <v>57</v>
      </c>
      <c r="K2636" t="s">
        <v>56</v>
      </c>
      <c r="L2636" t="s">
        <v>44</v>
      </c>
      <c r="M2636">
        <v>8.4700000000000006</v>
      </c>
      <c r="T2636" t="s">
        <v>47</v>
      </c>
      <c r="U2636">
        <v>0</v>
      </c>
      <c r="V2636">
        <v>6</v>
      </c>
    </row>
    <row r="2637" spans="1:22" x14ac:dyDescent="0.3">
      <c r="A2637">
        <v>2636</v>
      </c>
      <c r="B2637">
        <v>52983</v>
      </c>
      <c r="C2637" s="2">
        <v>39306</v>
      </c>
      <c r="D2637">
        <v>18</v>
      </c>
      <c r="E2637" t="s">
        <v>36</v>
      </c>
      <c r="F2637" t="s">
        <v>50</v>
      </c>
      <c r="G2637" s="2">
        <v>45431</v>
      </c>
      <c r="H2637" s="3">
        <f t="shared" si="41"/>
        <v>1.4164383561643836</v>
      </c>
      <c r="I2637">
        <v>33</v>
      </c>
      <c r="J2637" t="s">
        <v>38</v>
      </c>
      <c r="K2637" t="s">
        <v>56</v>
      </c>
      <c r="L2637" t="s">
        <v>44</v>
      </c>
      <c r="M2637">
        <v>8.4700000000000006</v>
      </c>
      <c r="T2637" t="s">
        <v>47</v>
      </c>
      <c r="U2637">
        <v>2</v>
      </c>
      <c r="V2637">
        <v>5</v>
      </c>
    </row>
    <row r="2638" spans="1:22" x14ac:dyDescent="0.3">
      <c r="A2638">
        <v>2637</v>
      </c>
      <c r="B2638">
        <v>52985</v>
      </c>
      <c r="C2638" s="2">
        <v>38990</v>
      </c>
      <c r="D2638">
        <v>19</v>
      </c>
      <c r="E2638" t="s">
        <v>42</v>
      </c>
      <c r="F2638" t="s">
        <v>37</v>
      </c>
      <c r="G2638" s="2">
        <v>45505</v>
      </c>
      <c r="H2638" s="3">
        <f t="shared" si="41"/>
        <v>1.3452054794520547</v>
      </c>
      <c r="I2638">
        <v>3</v>
      </c>
      <c r="J2638" t="s">
        <v>38</v>
      </c>
      <c r="K2638" t="s">
        <v>56</v>
      </c>
      <c r="L2638" t="s">
        <v>44</v>
      </c>
      <c r="M2638">
        <v>8.4700000000000006</v>
      </c>
      <c r="T2638" t="s">
        <v>52</v>
      </c>
      <c r="U2638">
        <v>1</v>
      </c>
      <c r="V2638">
        <v>5</v>
      </c>
    </row>
    <row r="2639" spans="1:22" x14ac:dyDescent="0.3">
      <c r="A2639">
        <v>2638</v>
      </c>
      <c r="B2639">
        <v>52986</v>
      </c>
      <c r="C2639" s="2">
        <v>36773</v>
      </c>
      <c r="D2639">
        <v>25</v>
      </c>
      <c r="E2639" t="s">
        <v>36</v>
      </c>
      <c r="F2639" t="s">
        <v>50</v>
      </c>
      <c r="G2639" s="2">
        <v>45531</v>
      </c>
      <c r="H2639" s="3">
        <f t="shared" si="41"/>
        <v>1.4767123287671233</v>
      </c>
      <c r="I2639">
        <v>11</v>
      </c>
      <c r="J2639" t="s">
        <v>38</v>
      </c>
      <c r="K2639" t="s">
        <v>55</v>
      </c>
      <c r="L2639" t="s">
        <v>44</v>
      </c>
      <c r="M2639">
        <v>17.59</v>
      </c>
      <c r="T2639" t="s">
        <v>49</v>
      </c>
      <c r="U2639">
        <v>4</v>
      </c>
      <c r="V2639">
        <v>5</v>
      </c>
    </row>
    <row r="2640" spans="1:22" x14ac:dyDescent="0.3">
      <c r="A2640">
        <v>2639</v>
      </c>
      <c r="B2640">
        <v>52987</v>
      </c>
      <c r="C2640" s="2">
        <v>36696</v>
      </c>
      <c r="D2640">
        <v>25</v>
      </c>
      <c r="E2640" t="s">
        <v>36</v>
      </c>
      <c r="F2640" t="s">
        <v>37</v>
      </c>
      <c r="G2640" s="2">
        <v>45483</v>
      </c>
      <c r="H2640" s="3">
        <f t="shared" si="41"/>
        <v>1.4986301369863013</v>
      </c>
      <c r="I2640">
        <v>35</v>
      </c>
      <c r="J2640" t="s">
        <v>38</v>
      </c>
      <c r="K2640" t="s">
        <v>54</v>
      </c>
      <c r="L2640" t="s">
        <v>44</v>
      </c>
      <c r="M2640">
        <v>23.78</v>
      </c>
      <c r="T2640" t="s">
        <v>47</v>
      </c>
      <c r="U2640">
        <v>6</v>
      </c>
      <c r="V2640">
        <v>5</v>
      </c>
    </row>
    <row r="2641" spans="1:22" x14ac:dyDescent="0.3">
      <c r="A2641">
        <v>2640</v>
      </c>
      <c r="B2641">
        <v>52988</v>
      </c>
      <c r="C2641" s="2">
        <v>38715</v>
      </c>
      <c r="D2641">
        <v>20</v>
      </c>
      <c r="E2641" t="s">
        <v>36</v>
      </c>
      <c r="F2641" t="s">
        <v>50</v>
      </c>
      <c r="G2641" s="2">
        <v>45475</v>
      </c>
      <c r="H2641" s="3">
        <f t="shared" si="41"/>
        <v>1.4547945205479451</v>
      </c>
      <c r="I2641">
        <v>67</v>
      </c>
      <c r="J2641" t="s">
        <v>57</v>
      </c>
      <c r="K2641" t="s">
        <v>64</v>
      </c>
      <c r="L2641" t="s">
        <v>44</v>
      </c>
      <c r="M2641">
        <v>14.07</v>
      </c>
      <c r="T2641" t="s">
        <v>45</v>
      </c>
      <c r="U2641">
        <v>0</v>
      </c>
      <c r="V2641">
        <v>3</v>
      </c>
    </row>
    <row r="2642" spans="1:22" x14ac:dyDescent="0.3">
      <c r="A2642">
        <v>2641</v>
      </c>
      <c r="B2642">
        <v>52989</v>
      </c>
      <c r="C2642" s="2">
        <v>37083</v>
      </c>
      <c r="D2642">
        <v>24</v>
      </c>
      <c r="E2642" t="s">
        <v>42</v>
      </c>
      <c r="F2642" t="s">
        <v>50</v>
      </c>
      <c r="G2642" s="2">
        <v>45491</v>
      </c>
      <c r="H2642" s="3">
        <f t="shared" si="41"/>
        <v>1.2493150684931507</v>
      </c>
      <c r="I2642">
        <v>127</v>
      </c>
      <c r="J2642" t="s">
        <v>57</v>
      </c>
      <c r="K2642" t="s">
        <v>56</v>
      </c>
      <c r="L2642" t="s">
        <v>44</v>
      </c>
      <c r="M2642">
        <v>8.4700000000000006</v>
      </c>
      <c r="T2642" t="s">
        <v>45</v>
      </c>
      <c r="U2642">
        <v>1</v>
      </c>
      <c r="V2642">
        <v>4</v>
      </c>
    </row>
    <row r="2643" spans="1:22" x14ac:dyDescent="0.3">
      <c r="A2643">
        <v>2642</v>
      </c>
      <c r="B2643">
        <v>52990</v>
      </c>
      <c r="C2643" s="2">
        <v>37978</v>
      </c>
      <c r="D2643">
        <v>22</v>
      </c>
      <c r="E2643" t="s">
        <v>36</v>
      </c>
      <c r="F2643" t="s">
        <v>50</v>
      </c>
      <c r="G2643" s="2">
        <v>45566</v>
      </c>
      <c r="H2643" s="3">
        <f t="shared" si="41"/>
        <v>1.3095890410958904</v>
      </c>
      <c r="I2643">
        <v>18</v>
      </c>
      <c r="J2643" t="s">
        <v>38</v>
      </c>
      <c r="K2643" t="s">
        <v>64</v>
      </c>
      <c r="L2643" t="s">
        <v>44</v>
      </c>
      <c r="M2643">
        <v>14.07</v>
      </c>
      <c r="T2643" t="s">
        <v>52</v>
      </c>
      <c r="U2643">
        <v>1</v>
      </c>
      <c r="V2643">
        <v>4</v>
      </c>
    </row>
    <row r="2644" spans="1:22" x14ac:dyDescent="0.3">
      <c r="A2644">
        <v>2643</v>
      </c>
      <c r="B2644">
        <v>52991</v>
      </c>
      <c r="C2644" s="2">
        <v>39251</v>
      </c>
      <c r="D2644">
        <v>18</v>
      </c>
      <c r="E2644" t="s">
        <v>42</v>
      </c>
      <c r="F2644" t="s">
        <v>50</v>
      </c>
      <c r="G2644" s="2">
        <v>45544</v>
      </c>
      <c r="H2644" s="3">
        <f t="shared" si="41"/>
        <v>1.2136986301369863</v>
      </c>
      <c r="I2644">
        <v>18</v>
      </c>
      <c r="J2644" t="s">
        <v>38</v>
      </c>
      <c r="K2644" t="s">
        <v>56</v>
      </c>
      <c r="L2644" t="s">
        <v>44</v>
      </c>
      <c r="M2644">
        <v>8.4700000000000006</v>
      </c>
      <c r="T2644" t="s">
        <v>45</v>
      </c>
      <c r="U2644">
        <v>2</v>
      </c>
      <c r="V2644">
        <v>6</v>
      </c>
    </row>
    <row r="2645" spans="1:22" x14ac:dyDescent="0.3">
      <c r="A2645">
        <v>2644</v>
      </c>
      <c r="B2645">
        <v>52992</v>
      </c>
      <c r="C2645" s="2">
        <v>38183</v>
      </c>
      <c r="D2645">
        <v>21</v>
      </c>
      <c r="E2645" t="s">
        <v>42</v>
      </c>
      <c r="F2645" t="s">
        <v>50</v>
      </c>
      <c r="G2645" s="2">
        <v>45579</v>
      </c>
      <c r="H2645" s="3">
        <f t="shared" si="41"/>
        <v>1.4082191780821918</v>
      </c>
      <c r="I2645">
        <v>25</v>
      </c>
      <c r="J2645" t="s">
        <v>38</v>
      </c>
      <c r="K2645" t="s">
        <v>43</v>
      </c>
      <c r="L2645" t="s">
        <v>44</v>
      </c>
      <c r="M2645">
        <v>16.37</v>
      </c>
      <c r="T2645" t="s">
        <v>45</v>
      </c>
      <c r="U2645">
        <v>1</v>
      </c>
      <c r="V2645">
        <v>6</v>
      </c>
    </row>
    <row r="2646" spans="1:22" x14ac:dyDescent="0.3">
      <c r="A2646">
        <v>2645</v>
      </c>
      <c r="B2646">
        <v>52993</v>
      </c>
      <c r="C2646" s="2">
        <v>38278</v>
      </c>
      <c r="D2646">
        <v>21</v>
      </c>
      <c r="E2646" t="s">
        <v>36</v>
      </c>
      <c r="F2646" t="s">
        <v>50</v>
      </c>
      <c r="G2646" s="2">
        <v>45508</v>
      </c>
      <c r="H2646" s="3">
        <f t="shared" si="41"/>
        <v>1.441095890410959</v>
      </c>
      <c r="I2646">
        <v>25</v>
      </c>
      <c r="J2646" t="s">
        <v>38</v>
      </c>
      <c r="K2646" t="s">
        <v>46</v>
      </c>
      <c r="L2646" t="s">
        <v>44</v>
      </c>
      <c r="M2646">
        <v>14.23</v>
      </c>
      <c r="T2646" t="s">
        <v>47</v>
      </c>
      <c r="U2646">
        <v>1</v>
      </c>
      <c r="V2646">
        <v>5</v>
      </c>
    </row>
    <row r="2647" spans="1:22" x14ac:dyDescent="0.3">
      <c r="A2647">
        <v>2646</v>
      </c>
      <c r="B2647">
        <v>52994</v>
      </c>
      <c r="C2647" s="2">
        <v>39139</v>
      </c>
      <c r="D2647">
        <v>18</v>
      </c>
      <c r="E2647" t="s">
        <v>42</v>
      </c>
      <c r="F2647" t="s">
        <v>37</v>
      </c>
      <c r="G2647" s="2">
        <v>45496</v>
      </c>
      <c r="H2647" s="3">
        <f t="shared" si="41"/>
        <v>1.6849315068493151</v>
      </c>
      <c r="I2647">
        <v>30</v>
      </c>
      <c r="J2647" t="s">
        <v>38</v>
      </c>
      <c r="K2647" t="s">
        <v>56</v>
      </c>
      <c r="L2647" t="s">
        <v>44</v>
      </c>
      <c r="M2647">
        <v>8.4700000000000006</v>
      </c>
      <c r="T2647" t="s">
        <v>49</v>
      </c>
      <c r="U2647">
        <v>2</v>
      </c>
      <c r="V2647">
        <v>6</v>
      </c>
    </row>
    <row r="2648" spans="1:22" x14ac:dyDescent="0.3">
      <c r="A2648">
        <v>2647</v>
      </c>
      <c r="B2648">
        <v>52995</v>
      </c>
      <c r="C2648" s="2">
        <v>35064</v>
      </c>
      <c r="D2648">
        <v>30</v>
      </c>
      <c r="E2648" t="s">
        <v>36</v>
      </c>
      <c r="F2648" t="s">
        <v>50</v>
      </c>
      <c r="G2648" s="2">
        <v>45407</v>
      </c>
      <c r="H2648" s="3">
        <f t="shared" si="41"/>
        <v>1.0931506849315069</v>
      </c>
      <c r="I2648">
        <v>43</v>
      </c>
      <c r="J2648" t="s">
        <v>38</v>
      </c>
      <c r="K2648" t="s">
        <v>55</v>
      </c>
      <c r="L2648" t="s">
        <v>44</v>
      </c>
      <c r="M2648">
        <v>17.59</v>
      </c>
      <c r="T2648" t="s">
        <v>52</v>
      </c>
      <c r="U2648">
        <v>4</v>
      </c>
      <c r="V2648">
        <v>5</v>
      </c>
    </row>
    <row r="2649" spans="1:22" x14ac:dyDescent="0.3">
      <c r="A2649">
        <v>2648</v>
      </c>
      <c r="B2649">
        <v>52996</v>
      </c>
      <c r="C2649" s="2">
        <v>37498</v>
      </c>
      <c r="D2649">
        <v>23</v>
      </c>
      <c r="E2649" t="s">
        <v>42</v>
      </c>
      <c r="F2649" t="s">
        <v>50</v>
      </c>
      <c r="G2649" s="2">
        <v>45623</v>
      </c>
      <c r="H2649" s="3">
        <f t="shared" si="41"/>
        <v>1.3041095890410959</v>
      </c>
      <c r="I2649">
        <v>59</v>
      </c>
      <c r="J2649" t="s">
        <v>38</v>
      </c>
      <c r="K2649" t="s">
        <v>56</v>
      </c>
      <c r="L2649" t="s">
        <v>44</v>
      </c>
      <c r="M2649">
        <v>8.4700000000000006</v>
      </c>
      <c r="T2649" t="s">
        <v>47</v>
      </c>
      <c r="U2649">
        <v>3</v>
      </c>
      <c r="V2649">
        <v>7</v>
      </c>
    </row>
    <row r="2650" spans="1:22" x14ac:dyDescent="0.3">
      <c r="A2650">
        <v>2649</v>
      </c>
      <c r="B2650">
        <v>52997</v>
      </c>
      <c r="C2650" s="2">
        <v>38844</v>
      </c>
      <c r="D2650">
        <v>19</v>
      </c>
      <c r="E2650" t="s">
        <v>42</v>
      </c>
      <c r="F2650" t="s">
        <v>50</v>
      </c>
      <c r="G2650" s="2">
        <v>45546</v>
      </c>
      <c r="H2650" s="3">
        <f t="shared" si="41"/>
        <v>1.3671232876712329</v>
      </c>
      <c r="I2650">
        <v>72</v>
      </c>
      <c r="J2650" t="s">
        <v>57</v>
      </c>
      <c r="K2650" t="s">
        <v>56</v>
      </c>
      <c r="L2650" t="s">
        <v>44</v>
      </c>
      <c r="M2650">
        <v>8.4700000000000006</v>
      </c>
      <c r="T2650" t="s">
        <v>45</v>
      </c>
      <c r="U2650">
        <v>3</v>
      </c>
      <c r="V2650">
        <v>7</v>
      </c>
    </row>
    <row r="2651" spans="1:22" x14ac:dyDescent="0.3">
      <c r="A2651">
        <v>2650</v>
      </c>
      <c r="B2651">
        <v>52998</v>
      </c>
      <c r="C2651" s="2">
        <v>38332</v>
      </c>
      <c r="D2651">
        <v>21</v>
      </c>
      <c r="E2651" t="s">
        <v>42</v>
      </c>
      <c r="F2651" t="s">
        <v>50</v>
      </c>
      <c r="G2651" s="2">
        <v>45523</v>
      </c>
      <c r="H2651" s="3">
        <f t="shared" si="41"/>
        <v>1.0136986301369864</v>
      </c>
      <c r="I2651">
        <v>133</v>
      </c>
      <c r="J2651" t="s">
        <v>57</v>
      </c>
      <c r="K2651" t="s">
        <v>64</v>
      </c>
      <c r="L2651" t="s">
        <v>44</v>
      </c>
      <c r="M2651">
        <v>14.07</v>
      </c>
      <c r="T2651" t="s">
        <v>47</v>
      </c>
      <c r="U2651">
        <v>0</v>
      </c>
      <c r="V2651">
        <v>5</v>
      </c>
    </row>
    <row r="2652" spans="1:22" x14ac:dyDescent="0.3">
      <c r="A2652">
        <v>2651</v>
      </c>
      <c r="B2652">
        <v>53000</v>
      </c>
      <c r="C2652" s="2">
        <v>36245</v>
      </c>
      <c r="D2652">
        <v>26</v>
      </c>
      <c r="E2652" t="s">
        <v>42</v>
      </c>
      <c r="F2652" t="s">
        <v>50</v>
      </c>
      <c r="G2652" s="2">
        <v>45652</v>
      </c>
      <c r="H2652" s="3">
        <f t="shared" si="41"/>
        <v>1.8246575342465754</v>
      </c>
      <c r="I2652">
        <v>2</v>
      </c>
      <c r="J2652" t="s">
        <v>38</v>
      </c>
      <c r="K2652" t="s">
        <v>48</v>
      </c>
      <c r="L2652" t="s">
        <v>44</v>
      </c>
      <c r="M2652">
        <v>8.4700000000000006</v>
      </c>
      <c r="T2652" t="s">
        <v>47</v>
      </c>
      <c r="U2652">
        <v>1</v>
      </c>
      <c r="V2652">
        <v>7</v>
      </c>
    </row>
    <row r="2653" spans="1:22" x14ac:dyDescent="0.3">
      <c r="A2653">
        <v>2652</v>
      </c>
      <c r="B2653">
        <v>53001</v>
      </c>
      <c r="C2653" s="2">
        <v>36941</v>
      </c>
      <c r="D2653">
        <v>24</v>
      </c>
      <c r="E2653" t="s">
        <v>42</v>
      </c>
      <c r="F2653" t="s">
        <v>50</v>
      </c>
      <c r="G2653" s="2">
        <v>45356</v>
      </c>
      <c r="H2653" s="3">
        <f t="shared" si="41"/>
        <v>1.4246575342465753</v>
      </c>
      <c r="I2653">
        <v>4</v>
      </c>
      <c r="J2653" t="s">
        <v>38</v>
      </c>
      <c r="K2653" t="s">
        <v>56</v>
      </c>
      <c r="L2653" t="s">
        <v>44</v>
      </c>
      <c r="M2653">
        <v>8.4700000000000006</v>
      </c>
      <c r="T2653" t="s">
        <v>52</v>
      </c>
      <c r="U2653">
        <v>3</v>
      </c>
      <c r="V2653">
        <v>5</v>
      </c>
    </row>
    <row r="2654" spans="1:22" x14ac:dyDescent="0.3">
      <c r="A2654">
        <v>2653</v>
      </c>
      <c r="B2654">
        <v>53002</v>
      </c>
      <c r="C2654" s="2">
        <v>38201</v>
      </c>
      <c r="D2654">
        <v>21</v>
      </c>
      <c r="E2654" t="s">
        <v>42</v>
      </c>
      <c r="F2654" t="s">
        <v>50</v>
      </c>
      <c r="G2654" s="2">
        <v>45502</v>
      </c>
      <c r="H2654" s="3">
        <f t="shared" si="41"/>
        <v>1.3917808219178083</v>
      </c>
      <c r="I2654">
        <v>5</v>
      </c>
      <c r="J2654" t="s">
        <v>38</v>
      </c>
      <c r="K2654" t="s">
        <v>56</v>
      </c>
      <c r="L2654" t="s">
        <v>44</v>
      </c>
      <c r="M2654">
        <v>8.4700000000000006</v>
      </c>
      <c r="T2654" t="s">
        <v>52</v>
      </c>
      <c r="U2654">
        <v>2</v>
      </c>
      <c r="V2654">
        <v>6</v>
      </c>
    </row>
    <row r="2655" spans="1:22" x14ac:dyDescent="0.3">
      <c r="A2655">
        <v>2654</v>
      </c>
      <c r="B2655">
        <v>53003</v>
      </c>
      <c r="C2655" s="2">
        <v>36943</v>
      </c>
      <c r="D2655">
        <v>24</v>
      </c>
      <c r="E2655" t="s">
        <v>42</v>
      </c>
      <c r="F2655" t="s">
        <v>37</v>
      </c>
      <c r="G2655" s="2">
        <v>45514</v>
      </c>
      <c r="H2655" s="3">
        <f t="shared" si="41"/>
        <v>1.0739726027397261</v>
      </c>
      <c r="I2655">
        <v>5</v>
      </c>
      <c r="J2655" t="s">
        <v>38</v>
      </c>
      <c r="K2655" t="s">
        <v>56</v>
      </c>
      <c r="L2655" t="s">
        <v>44</v>
      </c>
      <c r="M2655">
        <v>8.4700000000000006</v>
      </c>
      <c r="T2655" t="s">
        <v>52</v>
      </c>
      <c r="U2655">
        <v>1</v>
      </c>
      <c r="V2655">
        <v>6</v>
      </c>
    </row>
    <row r="2656" spans="1:22" x14ac:dyDescent="0.3">
      <c r="A2656">
        <v>2655</v>
      </c>
      <c r="B2656">
        <v>53004</v>
      </c>
      <c r="C2656" s="2">
        <v>38838</v>
      </c>
      <c r="D2656">
        <v>20</v>
      </c>
      <c r="E2656" t="s">
        <v>42</v>
      </c>
      <c r="F2656" t="s">
        <v>50</v>
      </c>
      <c r="G2656" s="2">
        <v>45630</v>
      </c>
      <c r="H2656" s="3">
        <f t="shared" si="41"/>
        <v>1.8821917808219177</v>
      </c>
      <c r="I2656">
        <v>9</v>
      </c>
      <c r="J2656" t="s">
        <v>38</v>
      </c>
      <c r="K2656" t="s">
        <v>56</v>
      </c>
      <c r="L2656" t="s">
        <v>44</v>
      </c>
      <c r="M2656">
        <v>8.4700000000000006</v>
      </c>
      <c r="T2656" t="s">
        <v>49</v>
      </c>
      <c r="U2656">
        <v>1</v>
      </c>
      <c r="V2656">
        <v>6</v>
      </c>
    </row>
    <row r="2657" spans="1:22" x14ac:dyDescent="0.3">
      <c r="A2657">
        <v>2656</v>
      </c>
      <c r="B2657">
        <v>53005</v>
      </c>
      <c r="C2657" s="2">
        <v>38557</v>
      </c>
      <c r="D2657">
        <v>20</v>
      </c>
      <c r="E2657" t="s">
        <v>36</v>
      </c>
      <c r="F2657" t="s">
        <v>50</v>
      </c>
      <c r="G2657" s="2">
        <v>45335</v>
      </c>
      <c r="H2657" s="3">
        <f t="shared" si="41"/>
        <v>1.3452054794520547</v>
      </c>
      <c r="I2657">
        <v>10</v>
      </c>
      <c r="J2657" t="s">
        <v>38</v>
      </c>
      <c r="K2657" t="s">
        <v>65</v>
      </c>
      <c r="L2657" t="s">
        <v>44</v>
      </c>
      <c r="M2657">
        <v>10.64</v>
      </c>
      <c r="T2657" t="s">
        <v>45</v>
      </c>
      <c r="U2657">
        <v>0</v>
      </c>
      <c r="V2657">
        <v>4</v>
      </c>
    </row>
    <row r="2658" spans="1:22" x14ac:dyDescent="0.3">
      <c r="A2658">
        <v>2657</v>
      </c>
      <c r="B2658">
        <v>53006</v>
      </c>
      <c r="C2658" s="2">
        <v>37638</v>
      </c>
      <c r="D2658">
        <v>22</v>
      </c>
      <c r="E2658" t="s">
        <v>36</v>
      </c>
      <c r="F2658" t="s">
        <v>50</v>
      </c>
      <c r="G2658" s="2">
        <v>45531</v>
      </c>
      <c r="H2658" s="3">
        <f t="shared" si="41"/>
        <v>1.7726027397260273</v>
      </c>
      <c r="I2658">
        <v>11</v>
      </c>
      <c r="J2658" t="s">
        <v>38</v>
      </c>
      <c r="K2658" t="s">
        <v>46</v>
      </c>
      <c r="L2658" t="s">
        <v>44</v>
      </c>
      <c r="M2658">
        <v>14.23</v>
      </c>
      <c r="T2658" t="s">
        <v>49</v>
      </c>
      <c r="U2658">
        <v>0</v>
      </c>
      <c r="V2658">
        <v>3</v>
      </c>
    </row>
    <row r="2659" spans="1:22" x14ac:dyDescent="0.3">
      <c r="A2659">
        <v>2658</v>
      </c>
      <c r="B2659">
        <v>53007</v>
      </c>
      <c r="C2659" s="2">
        <v>38282</v>
      </c>
      <c r="D2659">
        <v>21</v>
      </c>
      <c r="E2659" t="s">
        <v>42</v>
      </c>
      <c r="F2659" t="s">
        <v>37</v>
      </c>
      <c r="G2659" s="2">
        <v>45375</v>
      </c>
      <c r="H2659" s="3">
        <f t="shared" si="41"/>
        <v>1.0301369863013699</v>
      </c>
      <c r="I2659">
        <v>11</v>
      </c>
      <c r="J2659" t="s">
        <v>38</v>
      </c>
      <c r="K2659" t="s">
        <v>56</v>
      </c>
      <c r="L2659" t="s">
        <v>44</v>
      </c>
      <c r="M2659">
        <v>8.4700000000000006</v>
      </c>
      <c r="T2659" t="s">
        <v>52</v>
      </c>
      <c r="U2659">
        <v>1</v>
      </c>
      <c r="V2659">
        <v>5</v>
      </c>
    </row>
    <row r="2660" spans="1:22" x14ac:dyDescent="0.3">
      <c r="A2660">
        <v>2659</v>
      </c>
      <c r="B2660">
        <v>53008</v>
      </c>
      <c r="C2660" s="2">
        <v>37724</v>
      </c>
      <c r="D2660">
        <v>22</v>
      </c>
      <c r="E2660" t="s">
        <v>42</v>
      </c>
      <c r="F2660" t="s">
        <v>50</v>
      </c>
      <c r="G2660" s="2">
        <v>45646</v>
      </c>
      <c r="H2660" s="3">
        <f t="shared" si="41"/>
        <v>1.7698630136986302</v>
      </c>
      <c r="I2660">
        <v>17</v>
      </c>
      <c r="J2660" t="s">
        <v>38</v>
      </c>
      <c r="K2660" t="s">
        <v>65</v>
      </c>
      <c r="L2660" t="s">
        <v>44</v>
      </c>
      <c r="M2660">
        <v>10.64</v>
      </c>
      <c r="T2660" t="s">
        <v>45</v>
      </c>
      <c r="U2660">
        <v>0</v>
      </c>
      <c r="V2660">
        <v>6</v>
      </c>
    </row>
    <row r="2661" spans="1:22" x14ac:dyDescent="0.3">
      <c r="A2661">
        <v>2660</v>
      </c>
      <c r="B2661">
        <v>53009</v>
      </c>
      <c r="C2661" s="2">
        <v>36529</v>
      </c>
      <c r="D2661">
        <v>25</v>
      </c>
      <c r="E2661" t="s">
        <v>42</v>
      </c>
      <c r="F2661" t="s">
        <v>50</v>
      </c>
      <c r="G2661" s="2">
        <v>45376</v>
      </c>
      <c r="H2661" s="3">
        <f t="shared" si="41"/>
        <v>1.704109589041096</v>
      </c>
      <c r="I2661">
        <v>22</v>
      </c>
      <c r="J2661" t="s">
        <v>38</v>
      </c>
      <c r="K2661" t="s">
        <v>46</v>
      </c>
      <c r="L2661" t="s">
        <v>44</v>
      </c>
      <c r="M2661">
        <v>14.23</v>
      </c>
      <c r="T2661" t="s">
        <v>45</v>
      </c>
      <c r="U2661">
        <v>1</v>
      </c>
      <c r="V2661">
        <v>6</v>
      </c>
    </row>
    <row r="2662" spans="1:22" x14ac:dyDescent="0.3">
      <c r="A2662">
        <v>2661</v>
      </c>
      <c r="B2662">
        <v>53010</v>
      </c>
      <c r="C2662" s="2">
        <v>37248</v>
      </c>
      <c r="D2662">
        <v>24</v>
      </c>
      <c r="E2662" t="s">
        <v>42</v>
      </c>
      <c r="F2662" t="s">
        <v>50</v>
      </c>
      <c r="G2662" s="2">
        <v>45400</v>
      </c>
      <c r="H2662" s="3">
        <f t="shared" si="41"/>
        <v>1.6547945205479453</v>
      </c>
      <c r="I2662">
        <v>23</v>
      </c>
      <c r="J2662" t="s">
        <v>38</v>
      </c>
      <c r="K2662" t="s">
        <v>56</v>
      </c>
      <c r="L2662" t="s">
        <v>44</v>
      </c>
      <c r="M2662">
        <v>8.4700000000000006</v>
      </c>
      <c r="T2662" t="s">
        <v>52</v>
      </c>
      <c r="U2662">
        <v>3</v>
      </c>
      <c r="V2662">
        <v>6</v>
      </c>
    </row>
    <row r="2663" spans="1:22" x14ac:dyDescent="0.3">
      <c r="A2663">
        <v>2662</v>
      </c>
      <c r="B2663">
        <v>53011</v>
      </c>
      <c r="C2663" s="2">
        <v>38066</v>
      </c>
      <c r="D2663">
        <v>21</v>
      </c>
      <c r="E2663" t="s">
        <v>42</v>
      </c>
      <c r="F2663" t="s">
        <v>50</v>
      </c>
      <c r="G2663" s="2">
        <v>45418</v>
      </c>
      <c r="H2663" s="3">
        <f t="shared" si="41"/>
        <v>1.4273972602739726</v>
      </c>
      <c r="I2663">
        <v>25</v>
      </c>
      <c r="J2663" t="s">
        <v>38</v>
      </c>
      <c r="K2663" t="s">
        <v>56</v>
      </c>
      <c r="L2663" t="s">
        <v>44</v>
      </c>
      <c r="M2663">
        <v>8.4700000000000006</v>
      </c>
      <c r="T2663" t="s">
        <v>52</v>
      </c>
      <c r="U2663">
        <v>1</v>
      </c>
      <c r="V2663">
        <v>5</v>
      </c>
    </row>
    <row r="2664" spans="1:22" x14ac:dyDescent="0.3">
      <c r="A2664">
        <v>2663</v>
      </c>
      <c r="B2664">
        <v>53012</v>
      </c>
      <c r="C2664" s="2">
        <v>37326</v>
      </c>
      <c r="D2664">
        <v>23</v>
      </c>
      <c r="E2664" t="s">
        <v>36</v>
      </c>
      <c r="F2664" t="s">
        <v>50</v>
      </c>
      <c r="G2664" s="2">
        <v>45501</v>
      </c>
      <c r="H2664" s="3">
        <f t="shared" si="41"/>
        <v>1.0410958904109588</v>
      </c>
      <c r="I2664">
        <v>37</v>
      </c>
      <c r="J2664" t="s">
        <v>38</v>
      </c>
      <c r="K2664" t="s">
        <v>46</v>
      </c>
      <c r="L2664" t="s">
        <v>44</v>
      </c>
      <c r="M2664">
        <v>14.23</v>
      </c>
      <c r="T2664" t="s">
        <v>45</v>
      </c>
      <c r="U2664">
        <v>0</v>
      </c>
      <c r="V2664">
        <v>4</v>
      </c>
    </row>
    <row r="2665" spans="1:22" x14ac:dyDescent="0.3">
      <c r="A2665">
        <v>2664</v>
      </c>
      <c r="B2665">
        <v>53014</v>
      </c>
      <c r="C2665" s="2">
        <v>36252</v>
      </c>
      <c r="D2665">
        <v>26</v>
      </c>
      <c r="E2665" t="s">
        <v>42</v>
      </c>
      <c r="F2665" t="s">
        <v>50</v>
      </c>
      <c r="G2665" s="2">
        <v>45642</v>
      </c>
      <c r="H2665" s="3">
        <f t="shared" si="41"/>
        <v>1.2</v>
      </c>
      <c r="I2665">
        <v>38</v>
      </c>
      <c r="J2665" t="s">
        <v>38</v>
      </c>
      <c r="K2665" t="s">
        <v>56</v>
      </c>
      <c r="L2665" t="s">
        <v>44</v>
      </c>
      <c r="M2665">
        <v>8.4700000000000006</v>
      </c>
      <c r="T2665" t="s">
        <v>47</v>
      </c>
      <c r="U2665">
        <v>2</v>
      </c>
      <c r="V2665">
        <v>6</v>
      </c>
    </row>
    <row r="2666" spans="1:22" x14ac:dyDescent="0.3">
      <c r="A2666">
        <v>2665</v>
      </c>
      <c r="B2666">
        <v>53015</v>
      </c>
      <c r="C2666" s="2">
        <v>38276</v>
      </c>
      <c r="D2666">
        <v>21</v>
      </c>
      <c r="E2666" t="s">
        <v>42</v>
      </c>
      <c r="F2666" t="s">
        <v>50</v>
      </c>
      <c r="G2666" s="2">
        <v>45584</v>
      </c>
      <c r="H2666" s="3">
        <f t="shared" si="41"/>
        <v>1.5835616438356164</v>
      </c>
      <c r="I2666">
        <v>41</v>
      </c>
      <c r="J2666" t="s">
        <v>38</v>
      </c>
      <c r="K2666" t="s">
        <v>56</v>
      </c>
      <c r="L2666" t="s">
        <v>44</v>
      </c>
      <c r="M2666">
        <v>8.4700000000000006</v>
      </c>
      <c r="T2666" t="s">
        <v>52</v>
      </c>
      <c r="U2666">
        <v>1</v>
      </c>
      <c r="V2666">
        <v>6</v>
      </c>
    </row>
    <row r="2667" spans="1:22" x14ac:dyDescent="0.3">
      <c r="A2667">
        <v>2666</v>
      </c>
      <c r="B2667">
        <v>53016</v>
      </c>
      <c r="C2667" s="2">
        <v>37970</v>
      </c>
      <c r="D2667">
        <v>22</v>
      </c>
      <c r="E2667" t="s">
        <v>42</v>
      </c>
      <c r="F2667" t="s">
        <v>50</v>
      </c>
      <c r="G2667" s="2">
        <v>45444</v>
      </c>
      <c r="H2667" s="3">
        <f t="shared" si="41"/>
        <v>1.4301369863013698</v>
      </c>
      <c r="I2667">
        <v>43</v>
      </c>
      <c r="J2667" t="s">
        <v>38</v>
      </c>
      <c r="K2667" t="s">
        <v>56</v>
      </c>
      <c r="L2667" t="s">
        <v>44</v>
      </c>
      <c r="M2667">
        <v>8.4700000000000006</v>
      </c>
      <c r="T2667" t="s">
        <v>45</v>
      </c>
      <c r="U2667">
        <v>2</v>
      </c>
      <c r="V2667">
        <v>7</v>
      </c>
    </row>
    <row r="2668" spans="1:22" x14ac:dyDescent="0.3">
      <c r="A2668">
        <v>2667</v>
      </c>
      <c r="B2668">
        <v>53017</v>
      </c>
      <c r="C2668" s="2">
        <v>38145</v>
      </c>
      <c r="D2668">
        <v>21</v>
      </c>
      <c r="E2668" t="s">
        <v>36</v>
      </c>
      <c r="F2668" t="s">
        <v>50</v>
      </c>
      <c r="G2668" s="2">
        <v>45500</v>
      </c>
      <c r="H2668" s="3">
        <f t="shared" si="41"/>
        <v>1.3561643835616439</v>
      </c>
      <c r="I2668">
        <v>54</v>
      </c>
      <c r="J2668" t="s">
        <v>38</v>
      </c>
      <c r="K2668" t="s">
        <v>48</v>
      </c>
      <c r="L2668" t="s">
        <v>44</v>
      </c>
      <c r="M2668">
        <v>8.4700000000000006</v>
      </c>
      <c r="T2668" t="s">
        <v>52</v>
      </c>
      <c r="U2668">
        <v>2</v>
      </c>
      <c r="V2668">
        <v>3</v>
      </c>
    </row>
    <row r="2669" spans="1:22" x14ac:dyDescent="0.3">
      <c r="A2669">
        <v>2668</v>
      </c>
      <c r="B2669">
        <v>53018</v>
      </c>
      <c r="C2669" s="2">
        <v>38300</v>
      </c>
      <c r="D2669">
        <v>21</v>
      </c>
      <c r="E2669" t="s">
        <v>42</v>
      </c>
      <c r="F2669" t="s">
        <v>50</v>
      </c>
      <c r="G2669" s="2">
        <v>45527</v>
      </c>
      <c r="H2669" s="3">
        <f t="shared" si="41"/>
        <v>1.4301369863013698</v>
      </c>
      <c r="I2669">
        <v>56</v>
      </c>
      <c r="J2669" t="s">
        <v>38</v>
      </c>
      <c r="K2669" t="s">
        <v>56</v>
      </c>
      <c r="L2669" t="s">
        <v>44</v>
      </c>
      <c r="M2669">
        <v>8.4700000000000006</v>
      </c>
      <c r="T2669" t="s">
        <v>52</v>
      </c>
      <c r="U2669">
        <v>1</v>
      </c>
      <c r="V2669">
        <v>5</v>
      </c>
    </row>
    <row r="2670" spans="1:22" x14ac:dyDescent="0.3">
      <c r="A2670">
        <v>2669</v>
      </c>
      <c r="B2670">
        <v>53019</v>
      </c>
      <c r="C2670" s="2">
        <v>38028</v>
      </c>
      <c r="D2670">
        <v>21</v>
      </c>
      <c r="E2670" t="s">
        <v>42</v>
      </c>
      <c r="F2670" t="s">
        <v>50</v>
      </c>
      <c r="G2670" s="2">
        <v>45500</v>
      </c>
      <c r="H2670" s="3">
        <f t="shared" si="41"/>
        <v>1.5561643835616439</v>
      </c>
      <c r="I2670">
        <v>57</v>
      </c>
      <c r="J2670" t="s">
        <v>38</v>
      </c>
      <c r="K2670" t="s">
        <v>43</v>
      </c>
      <c r="L2670" t="s">
        <v>44</v>
      </c>
      <c r="M2670">
        <v>16.37</v>
      </c>
      <c r="T2670" t="s">
        <v>47</v>
      </c>
      <c r="U2670">
        <v>1</v>
      </c>
      <c r="V2670">
        <v>5</v>
      </c>
    </row>
    <row r="2671" spans="1:22" x14ac:dyDescent="0.3">
      <c r="A2671">
        <v>2670</v>
      </c>
      <c r="B2671">
        <v>53021</v>
      </c>
      <c r="C2671" s="2">
        <v>38996</v>
      </c>
      <c r="D2671">
        <v>19</v>
      </c>
      <c r="E2671" t="s">
        <v>42</v>
      </c>
      <c r="F2671" t="s">
        <v>37</v>
      </c>
      <c r="G2671" s="2">
        <v>45454</v>
      </c>
      <c r="H2671" s="3">
        <f t="shared" si="41"/>
        <v>1.2356164383561643</v>
      </c>
      <c r="I2671">
        <v>63</v>
      </c>
      <c r="J2671" t="s">
        <v>38</v>
      </c>
      <c r="K2671" t="s">
        <v>56</v>
      </c>
      <c r="L2671" t="s">
        <v>44</v>
      </c>
      <c r="M2671">
        <v>8.4700000000000006</v>
      </c>
      <c r="T2671" t="s">
        <v>47</v>
      </c>
      <c r="U2671">
        <v>4</v>
      </c>
      <c r="V2671">
        <v>6</v>
      </c>
    </row>
    <row r="2672" spans="1:22" x14ac:dyDescent="0.3">
      <c r="A2672">
        <v>2671</v>
      </c>
      <c r="B2672">
        <v>53022</v>
      </c>
      <c r="C2672" s="2">
        <v>37973</v>
      </c>
      <c r="D2672">
        <v>22</v>
      </c>
      <c r="E2672" t="s">
        <v>36</v>
      </c>
      <c r="F2672" t="s">
        <v>50</v>
      </c>
      <c r="G2672" s="2">
        <v>45571</v>
      </c>
      <c r="H2672" s="3">
        <f t="shared" si="41"/>
        <v>1.9260273972602739</v>
      </c>
      <c r="I2672">
        <v>66</v>
      </c>
      <c r="J2672" t="s">
        <v>57</v>
      </c>
      <c r="K2672" t="s">
        <v>56</v>
      </c>
      <c r="L2672" t="s">
        <v>44</v>
      </c>
      <c r="M2672">
        <v>8.4700000000000006</v>
      </c>
      <c r="T2672" t="s">
        <v>52</v>
      </c>
      <c r="U2672">
        <v>1</v>
      </c>
      <c r="V2672">
        <v>4</v>
      </c>
    </row>
    <row r="2673" spans="1:22" x14ac:dyDescent="0.3">
      <c r="A2673">
        <v>2672</v>
      </c>
      <c r="B2673">
        <v>53023</v>
      </c>
      <c r="C2673" s="2">
        <v>34552</v>
      </c>
      <c r="D2673">
        <v>31</v>
      </c>
      <c r="E2673" t="s">
        <v>42</v>
      </c>
      <c r="F2673" t="s">
        <v>50</v>
      </c>
      <c r="G2673" s="2">
        <v>45319</v>
      </c>
      <c r="H2673" s="3">
        <f t="shared" si="41"/>
        <v>1.1095890410958904</v>
      </c>
      <c r="I2673">
        <v>72</v>
      </c>
      <c r="J2673" t="s">
        <v>57</v>
      </c>
      <c r="K2673" t="s">
        <v>54</v>
      </c>
      <c r="L2673" t="s">
        <v>44</v>
      </c>
      <c r="M2673">
        <v>23.78</v>
      </c>
      <c r="T2673" t="s">
        <v>45</v>
      </c>
      <c r="U2673">
        <v>4</v>
      </c>
      <c r="V2673">
        <v>7</v>
      </c>
    </row>
    <row r="2674" spans="1:22" x14ac:dyDescent="0.3">
      <c r="A2674">
        <v>2673</v>
      </c>
      <c r="B2674">
        <v>53024</v>
      </c>
      <c r="C2674" s="2">
        <v>38348</v>
      </c>
      <c r="D2674">
        <v>21</v>
      </c>
      <c r="E2674" t="s">
        <v>42</v>
      </c>
      <c r="F2674" t="s">
        <v>50</v>
      </c>
      <c r="G2674" s="2">
        <v>45617</v>
      </c>
      <c r="H2674" s="3">
        <f t="shared" si="41"/>
        <v>1.5123287671232877</v>
      </c>
      <c r="I2674">
        <v>79</v>
      </c>
      <c r="J2674" t="s">
        <v>57</v>
      </c>
      <c r="K2674" t="s">
        <v>56</v>
      </c>
      <c r="L2674" t="s">
        <v>44</v>
      </c>
      <c r="M2674">
        <v>8.4700000000000006</v>
      </c>
      <c r="T2674" t="s">
        <v>49</v>
      </c>
      <c r="U2674">
        <v>2</v>
      </c>
      <c r="V2674">
        <v>6</v>
      </c>
    </row>
    <row r="2675" spans="1:22" x14ac:dyDescent="0.3">
      <c r="A2675">
        <v>2674</v>
      </c>
      <c r="B2675">
        <v>53025</v>
      </c>
      <c r="C2675" s="2">
        <v>34629</v>
      </c>
      <c r="D2675">
        <v>31</v>
      </c>
      <c r="E2675" t="s">
        <v>42</v>
      </c>
      <c r="F2675" t="s">
        <v>50</v>
      </c>
      <c r="G2675" s="2">
        <v>45470</v>
      </c>
      <c r="H2675" s="3">
        <f t="shared" si="41"/>
        <v>1.4301369863013698</v>
      </c>
      <c r="I2675">
        <v>79</v>
      </c>
      <c r="J2675" t="s">
        <v>57</v>
      </c>
      <c r="K2675" t="s">
        <v>56</v>
      </c>
      <c r="L2675" t="s">
        <v>44</v>
      </c>
      <c r="M2675">
        <v>8.4700000000000006</v>
      </c>
      <c r="T2675" t="s">
        <v>52</v>
      </c>
      <c r="U2675">
        <v>2</v>
      </c>
      <c r="V2675">
        <v>5</v>
      </c>
    </row>
    <row r="2676" spans="1:22" x14ac:dyDescent="0.3">
      <c r="A2676">
        <v>2675</v>
      </c>
      <c r="B2676">
        <v>53026</v>
      </c>
      <c r="C2676" s="2">
        <v>38221</v>
      </c>
      <c r="D2676">
        <v>21</v>
      </c>
      <c r="E2676" t="s">
        <v>42</v>
      </c>
      <c r="F2676" t="s">
        <v>50</v>
      </c>
      <c r="G2676" s="2">
        <v>45500</v>
      </c>
      <c r="H2676" s="3">
        <f t="shared" si="41"/>
        <v>1.7452054794520548</v>
      </c>
      <c r="I2676">
        <v>82</v>
      </c>
      <c r="J2676" t="s">
        <v>57</v>
      </c>
      <c r="K2676" t="s">
        <v>48</v>
      </c>
      <c r="L2676" t="s">
        <v>44</v>
      </c>
      <c r="M2676">
        <v>8.4700000000000006</v>
      </c>
      <c r="T2676" t="s">
        <v>47</v>
      </c>
      <c r="U2676">
        <v>2</v>
      </c>
      <c r="V2676">
        <v>5</v>
      </c>
    </row>
    <row r="2677" spans="1:22" x14ac:dyDescent="0.3">
      <c r="A2677">
        <v>2676</v>
      </c>
      <c r="B2677">
        <v>53027</v>
      </c>
      <c r="C2677" s="2">
        <v>38959</v>
      </c>
      <c r="D2677">
        <v>19</v>
      </c>
      <c r="E2677" t="s">
        <v>42</v>
      </c>
      <c r="F2677" t="s">
        <v>50</v>
      </c>
      <c r="G2677" s="2">
        <v>45385</v>
      </c>
      <c r="H2677" s="3">
        <f t="shared" si="41"/>
        <v>1.7671232876712328</v>
      </c>
      <c r="I2677">
        <v>83</v>
      </c>
      <c r="J2677" t="s">
        <v>57</v>
      </c>
      <c r="K2677" t="s">
        <v>56</v>
      </c>
      <c r="L2677" t="s">
        <v>44</v>
      </c>
      <c r="M2677">
        <v>8.4700000000000006</v>
      </c>
      <c r="T2677" t="s">
        <v>52</v>
      </c>
      <c r="U2677">
        <v>2</v>
      </c>
      <c r="V2677">
        <v>6</v>
      </c>
    </row>
    <row r="2678" spans="1:22" x14ac:dyDescent="0.3">
      <c r="A2678">
        <v>2677</v>
      </c>
      <c r="B2678">
        <v>53028</v>
      </c>
      <c r="C2678" s="2">
        <v>37739</v>
      </c>
      <c r="D2678">
        <v>22</v>
      </c>
      <c r="E2678" t="s">
        <v>42</v>
      </c>
      <c r="F2678" t="s">
        <v>50</v>
      </c>
      <c r="G2678" s="2">
        <v>45377</v>
      </c>
      <c r="H2678" s="3">
        <f t="shared" si="41"/>
        <v>1.0602739726027397</v>
      </c>
      <c r="I2678">
        <v>90</v>
      </c>
      <c r="J2678" t="s">
        <v>57</v>
      </c>
      <c r="K2678" t="s">
        <v>56</v>
      </c>
      <c r="L2678" t="s">
        <v>44</v>
      </c>
      <c r="M2678">
        <v>8.4700000000000006</v>
      </c>
      <c r="T2678" t="s">
        <v>47</v>
      </c>
      <c r="U2678">
        <v>2</v>
      </c>
      <c r="V2678">
        <v>6</v>
      </c>
    </row>
    <row r="2679" spans="1:22" x14ac:dyDescent="0.3">
      <c r="A2679">
        <v>2678</v>
      </c>
      <c r="B2679">
        <v>53029</v>
      </c>
      <c r="C2679" s="2">
        <v>36798</v>
      </c>
      <c r="D2679">
        <v>25</v>
      </c>
      <c r="E2679" t="s">
        <v>36</v>
      </c>
      <c r="F2679" t="s">
        <v>50</v>
      </c>
      <c r="G2679" s="2">
        <v>45635</v>
      </c>
      <c r="H2679" s="3">
        <f t="shared" si="41"/>
        <v>1.2904109589041095</v>
      </c>
      <c r="I2679">
        <v>98</v>
      </c>
      <c r="J2679" t="s">
        <v>57</v>
      </c>
      <c r="K2679" t="s">
        <v>55</v>
      </c>
      <c r="L2679" t="s">
        <v>44</v>
      </c>
      <c r="M2679">
        <v>17.59</v>
      </c>
      <c r="T2679" t="s">
        <v>45</v>
      </c>
      <c r="U2679">
        <v>1</v>
      </c>
      <c r="V2679">
        <v>5</v>
      </c>
    </row>
    <row r="2680" spans="1:22" x14ac:dyDescent="0.3">
      <c r="A2680">
        <v>2679</v>
      </c>
      <c r="B2680">
        <v>53030</v>
      </c>
      <c r="C2680" s="2">
        <v>35352</v>
      </c>
      <c r="D2680">
        <v>29</v>
      </c>
      <c r="E2680" t="s">
        <v>42</v>
      </c>
      <c r="F2680" t="s">
        <v>50</v>
      </c>
      <c r="G2680" s="2">
        <v>45551</v>
      </c>
      <c r="H2680" s="3">
        <f t="shared" si="41"/>
        <v>1.7534246575342465</v>
      </c>
      <c r="I2680">
        <v>100</v>
      </c>
      <c r="J2680" t="s">
        <v>57</v>
      </c>
      <c r="K2680" t="s">
        <v>56</v>
      </c>
      <c r="L2680" t="s">
        <v>44</v>
      </c>
      <c r="M2680">
        <v>8.4700000000000006</v>
      </c>
      <c r="T2680" t="s">
        <v>52</v>
      </c>
      <c r="U2680">
        <v>4</v>
      </c>
      <c r="V2680">
        <v>6</v>
      </c>
    </row>
    <row r="2681" spans="1:22" x14ac:dyDescent="0.3">
      <c r="A2681">
        <v>2680</v>
      </c>
      <c r="B2681">
        <v>53031</v>
      </c>
      <c r="C2681" s="2">
        <v>39296</v>
      </c>
      <c r="D2681">
        <v>18</v>
      </c>
      <c r="E2681" t="s">
        <v>42</v>
      </c>
      <c r="F2681" t="s">
        <v>37</v>
      </c>
      <c r="G2681" s="2">
        <v>45382</v>
      </c>
      <c r="H2681" s="3">
        <f t="shared" si="41"/>
        <v>1.273972602739726</v>
      </c>
      <c r="I2681">
        <v>101</v>
      </c>
      <c r="J2681" t="s">
        <v>57</v>
      </c>
      <c r="K2681" t="s">
        <v>48</v>
      </c>
      <c r="L2681" t="s">
        <v>44</v>
      </c>
      <c r="M2681">
        <v>8.4700000000000006</v>
      </c>
      <c r="T2681" t="s">
        <v>52</v>
      </c>
      <c r="U2681">
        <v>4</v>
      </c>
      <c r="V2681">
        <v>6</v>
      </c>
    </row>
    <row r="2682" spans="1:22" x14ac:dyDescent="0.3">
      <c r="A2682">
        <v>2681</v>
      </c>
      <c r="B2682">
        <v>53032</v>
      </c>
      <c r="C2682" s="2">
        <v>37410</v>
      </c>
      <c r="D2682">
        <v>23</v>
      </c>
      <c r="E2682" t="s">
        <v>42</v>
      </c>
      <c r="F2682" t="s">
        <v>37</v>
      </c>
      <c r="G2682" s="2">
        <v>45557</v>
      </c>
      <c r="H2682" s="3">
        <f t="shared" si="41"/>
        <v>1.8493150684931507</v>
      </c>
      <c r="I2682">
        <v>102</v>
      </c>
      <c r="J2682" t="s">
        <v>57</v>
      </c>
      <c r="K2682" t="s">
        <v>56</v>
      </c>
      <c r="L2682" t="s">
        <v>44</v>
      </c>
      <c r="M2682">
        <v>8.4700000000000006</v>
      </c>
      <c r="T2682" t="s">
        <v>45</v>
      </c>
      <c r="U2682">
        <v>2</v>
      </c>
      <c r="V2682">
        <v>6</v>
      </c>
    </row>
    <row r="2683" spans="1:22" x14ac:dyDescent="0.3">
      <c r="A2683">
        <v>2682</v>
      </c>
      <c r="B2683">
        <v>53033</v>
      </c>
      <c r="C2683" s="2">
        <v>37669</v>
      </c>
      <c r="D2683">
        <v>22</v>
      </c>
      <c r="E2683" t="s">
        <v>42</v>
      </c>
      <c r="F2683" t="s">
        <v>50</v>
      </c>
      <c r="G2683" s="2">
        <v>45347</v>
      </c>
      <c r="H2683" s="3">
        <f t="shared" si="41"/>
        <v>1.3780821917808219</v>
      </c>
      <c r="I2683">
        <v>107</v>
      </c>
      <c r="J2683" t="s">
        <v>57</v>
      </c>
      <c r="K2683" t="s">
        <v>56</v>
      </c>
      <c r="L2683" t="s">
        <v>44</v>
      </c>
      <c r="M2683">
        <v>8.4700000000000006</v>
      </c>
      <c r="T2683" t="s">
        <v>49</v>
      </c>
      <c r="U2683">
        <v>2</v>
      </c>
      <c r="V2683">
        <v>7</v>
      </c>
    </row>
    <row r="2684" spans="1:22" x14ac:dyDescent="0.3">
      <c r="A2684">
        <v>2683</v>
      </c>
      <c r="B2684">
        <v>53034</v>
      </c>
      <c r="C2684" s="2">
        <v>38335</v>
      </c>
      <c r="D2684">
        <v>21</v>
      </c>
      <c r="E2684" t="s">
        <v>42</v>
      </c>
      <c r="F2684" t="s">
        <v>50</v>
      </c>
      <c r="G2684" s="2">
        <v>45519</v>
      </c>
      <c r="H2684" s="3">
        <f t="shared" si="41"/>
        <v>1.2904109589041095</v>
      </c>
      <c r="I2684">
        <v>110</v>
      </c>
      <c r="J2684" t="s">
        <v>57</v>
      </c>
      <c r="K2684" t="s">
        <v>56</v>
      </c>
      <c r="L2684" t="s">
        <v>44</v>
      </c>
      <c r="M2684">
        <v>8.4700000000000006</v>
      </c>
      <c r="T2684" t="s">
        <v>45</v>
      </c>
      <c r="U2684">
        <v>4</v>
      </c>
      <c r="V2684">
        <v>6</v>
      </c>
    </row>
    <row r="2685" spans="1:22" x14ac:dyDescent="0.3">
      <c r="A2685">
        <v>2684</v>
      </c>
      <c r="B2685">
        <v>53035</v>
      </c>
      <c r="C2685" s="2">
        <v>37247</v>
      </c>
      <c r="D2685">
        <v>24</v>
      </c>
      <c r="E2685" t="s">
        <v>42</v>
      </c>
      <c r="F2685" t="s">
        <v>37</v>
      </c>
      <c r="G2685" s="2">
        <v>45551</v>
      </c>
      <c r="H2685" s="3">
        <f t="shared" si="41"/>
        <v>1.6465753424657534</v>
      </c>
      <c r="I2685">
        <v>111</v>
      </c>
      <c r="J2685" t="s">
        <v>57</v>
      </c>
      <c r="K2685" t="s">
        <v>56</v>
      </c>
      <c r="L2685" t="s">
        <v>44</v>
      </c>
      <c r="M2685">
        <v>8.4700000000000006</v>
      </c>
      <c r="T2685" t="s">
        <v>47</v>
      </c>
      <c r="U2685">
        <v>1</v>
      </c>
      <c r="V2685">
        <v>7</v>
      </c>
    </row>
    <row r="2686" spans="1:22" x14ac:dyDescent="0.3">
      <c r="A2686">
        <v>2685</v>
      </c>
      <c r="B2686">
        <v>53036</v>
      </c>
      <c r="C2686" s="2">
        <v>36599</v>
      </c>
      <c r="D2686">
        <v>25</v>
      </c>
      <c r="E2686" t="s">
        <v>42</v>
      </c>
      <c r="F2686" t="s">
        <v>50</v>
      </c>
      <c r="G2686" s="2">
        <v>45421</v>
      </c>
      <c r="H2686" s="3">
        <f t="shared" si="41"/>
        <v>1.5123287671232877</v>
      </c>
      <c r="I2686">
        <v>114</v>
      </c>
      <c r="J2686" t="s">
        <v>57</v>
      </c>
      <c r="K2686" t="s">
        <v>43</v>
      </c>
      <c r="L2686" t="s">
        <v>44</v>
      </c>
      <c r="M2686">
        <v>16.37</v>
      </c>
      <c r="T2686" t="s">
        <v>45</v>
      </c>
      <c r="U2686">
        <v>1</v>
      </c>
      <c r="V2686">
        <v>6</v>
      </c>
    </row>
    <row r="2687" spans="1:22" x14ac:dyDescent="0.3">
      <c r="A2687">
        <v>2686</v>
      </c>
      <c r="B2687">
        <v>53037</v>
      </c>
      <c r="C2687" s="2">
        <v>38342</v>
      </c>
      <c r="D2687">
        <v>21</v>
      </c>
      <c r="E2687" t="s">
        <v>42</v>
      </c>
      <c r="F2687" t="s">
        <v>50</v>
      </c>
      <c r="G2687" s="2">
        <v>45470</v>
      </c>
      <c r="H2687" s="3">
        <f t="shared" si="41"/>
        <v>1.2136986301369863</v>
      </c>
      <c r="I2687">
        <v>115</v>
      </c>
      <c r="J2687" t="s">
        <v>57</v>
      </c>
      <c r="K2687" t="s">
        <v>56</v>
      </c>
      <c r="L2687" t="s">
        <v>44</v>
      </c>
      <c r="M2687">
        <v>8.4700000000000006</v>
      </c>
      <c r="T2687" t="s">
        <v>47</v>
      </c>
      <c r="U2687">
        <v>0</v>
      </c>
      <c r="V2687">
        <v>4</v>
      </c>
    </row>
    <row r="2688" spans="1:22" x14ac:dyDescent="0.3">
      <c r="A2688">
        <v>2687</v>
      </c>
      <c r="B2688">
        <v>53038</v>
      </c>
      <c r="C2688" s="2">
        <v>38474</v>
      </c>
      <c r="D2688">
        <v>20</v>
      </c>
      <c r="E2688" t="s">
        <v>42</v>
      </c>
      <c r="F2688" t="s">
        <v>50</v>
      </c>
      <c r="G2688" s="2">
        <v>45579</v>
      </c>
      <c r="H2688" s="3">
        <f t="shared" si="41"/>
        <v>1.7534246575342465</v>
      </c>
      <c r="I2688">
        <v>116</v>
      </c>
      <c r="J2688" t="s">
        <v>57</v>
      </c>
      <c r="K2688" t="s">
        <v>56</v>
      </c>
      <c r="L2688" t="s">
        <v>44</v>
      </c>
      <c r="M2688">
        <v>8.4700000000000006</v>
      </c>
      <c r="T2688" t="s">
        <v>45</v>
      </c>
      <c r="U2688">
        <v>1</v>
      </c>
      <c r="V2688">
        <v>7</v>
      </c>
    </row>
    <row r="2689" spans="1:22" x14ac:dyDescent="0.3">
      <c r="A2689">
        <v>2688</v>
      </c>
      <c r="B2689">
        <v>53039</v>
      </c>
      <c r="C2689" s="2">
        <v>38306</v>
      </c>
      <c r="D2689">
        <v>21</v>
      </c>
      <c r="E2689" t="s">
        <v>42</v>
      </c>
      <c r="F2689" t="s">
        <v>50</v>
      </c>
      <c r="G2689" s="2">
        <v>45382</v>
      </c>
      <c r="H2689" s="3">
        <f t="shared" si="41"/>
        <v>1.515068493150685</v>
      </c>
      <c r="I2689">
        <v>121</v>
      </c>
      <c r="J2689" t="s">
        <v>57</v>
      </c>
      <c r="K2689" t="s">
        <v>56</v>
      </c>
      <c r="L2689" t="s">
        <v>44</v>
      </c>
      <c r="M2689">
        <v>8.4700000000000006</v>
      </c>
      <c r="T2689" t="s">
        <v>45</v>
      </c>
      <c r="U2689">
        <v>3</v>
      </c>
      <c r="V2689">
        <v>7</v>
      </c>
    </row>
    <row r="2690" spans="1:22" x14ac:dyDescent="0.3">
      <c r="A2690">
        <v>2689</v>
      </c>
      <c r="B2690">
        <v>53040</v>
      </c>
      <c r="C2690" s="2">
        <v>31144</v>
      </c>
      <c r="D2690">
        <v>40</v>
      </c>
      <c r="E2690" t="s">
        <v>36</v>
      </c>
      <c r="F2690" t="s">
        <v>37</v>
      </c>
      <c r="G2690" s="2">
        <v>45469</v>
      </c>
      <c r="H2690" s="3">
        <f t="shared" si="41"/>
        <v>1.7808219178082192</v>
      </c>
      <c r="I2690">
        <v>124</v>
      </c>
      <c r="J2690" t="s">
        <v>57</v>
      </c>
      <c r="K2690" t="s">
        <v>54</v>
      </c>
      <c r="L2690" t="s">
        <v>44</v>
      </c>
      <c r="M2690">
        <v>23.78</v>
      </c>
      <c r="T2690" t="s">
        <v>52</v>
      </c>
      <c r="U2690">
        <v>7</v>
      </c>
      <c r="V2690">
        <v>5</v>
      </c>
    </row>
    <row r="2691" spans="1:22" x14ac:dyDescent="0.3">
      <c r="A2691">
        <v>2690</v>
      </c>
      <c r="B2691">
        <v>53041</v>
      </c>
      <c r="C2691" s="2">
        <v>37699</v>
      </c>
      <c r="D2691">
        <v>22</v>
      </c>
      <c r="E2691" t="s">
        <v>42</v>
      </c>
      <c r="F2691" t="s">
        <v>50</v>
      </c>
      <c r="G2691" s="2">
        <v>45372</v>
      </c>
      <c r="H2691" s="3">
        <f t="shared" ref="H2691:H2754" si="42">DATEDIF(G2692,DATE(2025,12,31),"d")/365</f>
        <v>1.4301369863013698</v>
      </c>
      <c r="I2691">
        <v>124</v>
      </c>
      <c r="J2691" t="s">
        <v>57</v>
      </c>
      <c r="K2691" t="s">
        <v>56</v>
      </c>
      <c r="L2691" t="s">
        <v>44</v>
      </c>
      <c r="M2691">
        <v>8.4700000000000006</v>
      </c>
      <c r="T2691" t="s">
        <v>52</v>
      </c>
      <c r="U2691">
        <v>3</v>
      </c>
      <c r="V2691">
        <v>7</v>
      </c>
    </row>
    <row r="2692" spans="1:22" x14ac:dyDescent="0.3">
      <c r="A2692">
        <v>2691</v>
      </c>
      <c r="B2692">
        <v>53042</v>
      </c>
      <c r="C2692" s="2">
        <v>36389</v>
      </c>
      <c r="D2692">
        <v>26</v>
      </c>
      <c r="E2692" t="s">
        <v>42</v>
      </c>
      <c r="F2692" t="s">
        <v>37</v>
      </c>
      <c r="G2692" s="2">
        <v>45500</v>
      </c>
      <c r="H2692" s="3">
        <f t="shared" si="42"/>
        <v>1.7342465753424658</v>
      </c>
      <c r="I2692">
        <v>124</v>
      </c>
      <c r="J2692" t="s">
        <v>57</v>
      </c>
      <c r="K2692" t="s">
        <v>56</v>
      </c>
      <c r="L2692" t="s">
        <v>44</v>
      </c>
      <c r="M2692">
        <v>8.4700000000000006</v>
      </c>
      <c r="T2692" t="s">
        <v>52</v>
      </c>
      <c r="U2692">
        <v>2</v>
      </c>
      <c r="V2692">
        <v>5</v>
      </c>
    </row>
    <row r="2693" spans="1:22" x14ac:dyDescent="0.3">
      <c r="A2693">
        <v>2692</v>
      </c>
      <c r="B2693">
        <v>53043</v>
      </c>
      <c r="C2693" s="2">
        <v>38149</v>
      </c>
      <c r="D2693">
        <v>21</v>
      </c>
      <c r="E2693" t="s">
        <v>42</v>
      </c>
      <c r="F2693" t="s">
        <v>50</v>
      </c>
      <c r="G2693" s="2">
        <v>45389</v>
      </c>
      <c r="H2693" s="3">
        <f t="shared" si="42"/>
        <v>1.4219178082191781</v>
      </c>
      <c r="I2693">
        <v>139</v>
      </c>
      <c r="J2693" t="s">
        <v>57</v>
      </c>
      <c r="K2693" t="s">
        <v>56</v>
      </c>
      <c r="L2693" t="s">
        <v>44</v>
      </c>
      <c r="M2693">
        <v>8.4700000000000006</v>
      </c>
      <c r="T2693" t="s">
        <v>49</v>
      </c>
      <c r="U2693">
        <v>2</v>
      </c>
      <c r="V2693">
        <v>6</v>
      </c>
    </row>
    <row r="2694" spans="1:22" x14ac:dyDescent="0.3">
      <c r="A2694">
        <v>2693</v>
      </c>
      <c r="B2694">
        <v>53044</v>
      </c>
      <c r="C2694" s="2">
        <v>37261</v>
      </c>
      <c r="D2694">
        <v>23</v>
      </c>
      <c r="E2694" t="s">
        <v>42</v>
      </c>
      <c r="F2694" t="s">
        <v>50</v>
      </c>
      <c r="G2694" s="2">
        <v>45503</v>
      </c>
      <c r="H2694" s="3">
        <f t="shared" si="42"/>
        <v>1.2246575342465753</v>
      </c>
      <c r="I2694">
        <v>141</v>
      </c>
      <c r="J2694" t="s">
        <v>57</v>
      </c>
      <c r="K2694" t="s">
        <v>56</v>
      </c>
      <c r="L2694" t="s">
        <v>44</v>
      </c>
      <c r="M2694">
        <v>8.4700000000000006</v>
      </c>
      <c r="T2694" t="s">
        <v>52</v>
      </c>
      <c r="U2694">
        <v>2</v>
      </c>
      <c r="V2694">
        <v>7</v>
      </c>
    </row>
    <row r="2695" spans="1:22" x14ac:dyDescent="0.3">
      <c r="A2695">
        <v>2694</v>
      </c>
      <c r="B2695">
        <v>53045</v>
      </c>
      <c r="C2695" s="2">
        <v>37814</v>
      </c>
      <c r="D2695">
        <v>22</v>
      </c>
      <c r="E2695" t="s">
        <v>42</v>
      </c>
      <c r="F2695" t="s">
        <v>50</v>
      </c>
      <c r="G2695" s="2">
        <v>45575</v>
      </c>
      <c r="H2695" s="3">
        <f t="shared" si="42"/>
        <v>1.0465753424657533</v>
      </c>
      <c r="I2695">
        <v>145</v>
      </c>
      <c r="J2695" t="s">
        <v>57</v>
      </c>
      <c r="K2695" t="s">
        <v>56</v>
      </c>
      <c r="L2695" t="s">
        <v>44</v>
      </c>
      <c r="M2695">
        <v>8.4700000000000006</v>
      </c>
      <c r="T2695" t="s">
        <v>52</v>
      </c>
      <c r="U2695">
        <v>0</v>
      </c>
      <c r="V2695">
        <v>6</v>
      </c>
    </row>
    <row r="2696" spans="1:22" x14ac:dyDescent="0.3">
      <c r="A2696">
        <v>2695</v>
      </c>
      <c r="B2696">
        <v>53046</v>
      </c>
      <c r="C2696" s="2">
        <v>35119</v>
      </c>
      <c r="D2696">
        <v>29</v>
      </c>
      <c r="E2696" t="s">
        <v>36</v>
      </c>
      <c r="F2696" t="s">
        <v>50</v>
      </c>
      <c r="G2696" s="2">
        <v>45640</v>
      </c>
      <c r="H2696" s="3">
        <f t="shared" si="42"/>
        <v>1.8273972602739725</v>
      </c>
      <c r="I2696">
        <v>23</v>
      </c>
      <c r="J2696" t="s">
        <v>38</v>
      </c>
      <c r="K2696" t="s">
        <v>55</v>
      </c>
      <c r="L2696" t="s">
        <v>44</v>
      </c>
      <c r="M2696">
        <v>17.59</v>
      </c>
      <c r="T2696" t="s">
        <v>45</v>
      </c>
      <c r="U2696">
        <v>4</v>
      </c>
      <c r="V2696">
        <v>5</v>
      </c>
    </row>
    <row r="2697" spans="1:22" x14ac:dyDescent="0.3">
      <c r="A2697">
        <v>2696</v>
      </c>
      <c r="B2697">
        <v>53047</v>
      </c>
      <c r="C2697" s="2">
        <v>37592</v>
      </c>
      <c r="D2697">
        <v>23</v>
      </c>
      <c r="E2697" t="s">
        <v>42</v>
      </c>
      <c r="F2697" t="s">
        <v>50</v>
      </c>
      <c r="G2697" s="2">
        <v>45355</v>
      </c>
      <c r="H2697" s="3">
        <f t="shared" si="42"/>
        <v>1.5863013698630137</v>
      </c>
      <c r="I2697">
        <v>39</v>
      </c>
      <c r="J2697" t="s">
        <v>38</v>
      </c>
      <c r="K2697" t="s">
        <v>65</v>
      </c>
      <c r="L2697" t="s">
        <v>44</v>
      </c>
      <c r="M2697">
        <v>10.64</v>
      </c>
      <c r="T2697" t="s">
        <v>49</v>
      </c>
      <c r="U2697">
        <v>0</v>
      </c>
      <c r="V2697">
        <v>5</v>
      </c>
    </row>
    <row r="2698" spans="1:22" x14ac:dyDescent="0.3">
      <c r="A2698">
        <v>2697</v>
      </c>
      <c r="B2698">
        <v>53048</v>
      </c>
      <c r="C2698" s="2">
        <v>38151</v>
      </c>
      <c r="D2698">
        <v>21</v>
      </c>
      <c r="E2698" t="s">
        <v>36</v>
      </c>
      <c r="F2698" t="s">
        <v>50</v>
      </c>
      <c r="G2698" s="2">
        <v>45443</v>
      </c>
      <c r="H2698" s="3">
        <f t="shared" si="42"/>
        <v>1.8027397260273972</v>
      </c>
      <c r="I2698">
        <v>62</v>
      </c>
      <c r="J2698" t="s">
        <v>38</v>
      </c>
      <c r="K2698" t="s">
        <v>65</v>
      </c>
      <c r="L2698" t="s">
        <v>44</v>
      </c>
      <c r="M2698">
        <v>10.64</v>
      </c>
      <c r="T2698" t="s">
        <v>47</v>
      </c>
      <c r="U2698">
        <v>1</v>
      </c>
      <c r="V2698">
        <v>4</v>
      </c>
    </row>
    <row r="2699" spans="1:22" x14ac:dyDescent="0.3">
      <c r="A2699">
        <v>2698</v>
      </c>
      <c r="B2699">
        <v>53049</v>
      </c>
      <c r="C2699" s="2">
        <v>36015</v>
      </c>
      <c r="D2699">
        <v>27</v>
      </c>
      <c r="E2699" t="s">
        <v>36</v>
      </c>
      <c r="F2699" t="s">
        <v>37</v>
      </c>
      <c r="G2699" s="2">
        <v>45364</v>
      </c>
      <c r="H2699" s="3">
        <f t="shared" si="42"/>
        <v>1.6821917808219178</v>
      </c>
      <c r="I2699">
        <v>10</v>
      </c>
      <c r="J2699" t="s">
        <v>38</v>
      </c>
      <c r="K2699" t="s">
        <v>46</v>
      </c>
      <c r="L2699" t="s">
        <v>44</v>
      </c>
      <c r="M2699">
        <v>14.23</v>
      </c>
      <c r="T2699" t="s">
        <v>49</v>
      </c>
      <c r="U2699">
        <v>1</v>
      </c>
      <c r="V2699">
        <v>4</v>
      </c>
    </row>
    <row r="2700" spans="1:22" x14ac:dyDescent="0.3">
      <c r="A2700">
        <v>2699</v>
      </c>
      <c r="B2700">
        <v>53050</v>
      </c>
      <c r="C2700" s="2">
        <v>34375</v>
      </c>
      <c r="D2700">
        <v>31</v>
      </c>
      <c r="E2700" t="s">
        <v>36</v>
      </c>
      <c r="F2700" t="s">
        <v>37</v>
      </c>
      <c r="G2700" s="2">
        <v>45408</v>
      </c>
      <c r="H2700" s="3">
        <f t="shared" si="42"/>
        <v>1.4547945205479451</v>
      </c>
      <c r="I2700">
        <v>63</v>
      </c>
      <c r="J2700" t="s">
        <v>38</v>
      </c>
      <c r="K2700" t="s">
        <v>55</v>
      </c>
      <c r="L2700" t="s">
        <v>44</v>
      </c>
      <c r="M2700">
        <v>17.59</v>
      </c>
      <c r="T2700" t="s">
        <v>49</v>
      </c>
      <c r="U2700">
        <v>2</v>
      </c>
      <c r="V2700">
        <v>4</v>
      </c>
    </row>
    <row r="2701" spans="1:22" x14ac:dyDescent="0.3">
      <c r="A2701">
        <v>2700</v>
      </c>
      <c r="B2701">
        <v>53051</v>
      </c>
      <c r="C2701" s="2">
        <v>37112</v>
      </c>
      <c r="D2701">
        <v>24</v>
      </c>
      <c r="E2701" t="s">
        <v>36</v>
      </c>
      <c r="F2701" t="s">
        <v>50</v>
      </c>
      <c r="G2701" s="2">
        <v>45491</v>
      </c>
      <c r="H2701" s="3">
        <f t="shared" si="42"/>
        <v>1.6438356164383561</v>
      </c>
      <c r="I2701">
        <v>95</v>
      </c>
      <c r="J2701" t="s">
        <v>57</v>
      </c>
      <c r="K2701" t="s">
        <v>55</v>
      </c>
      <c r="L2701" t="s">
        <v>44</v>
      </c>
      <c r="M2701">
        <v>17.59</v>
      </c>
      <c r="T2701" t="s">
        <v>45</v>
      </c>
      <c r="U2701">
        <v>2</v>
      </c>
      <c r="V2701">
        <v>4</v>
      </c>
    </row>
    <row r="2702" spans="1:22" x14ac:dyDescent="0.3">
      <c r="A2702">
        <v>2701</v>
      </c>
      <c r="B2702">
        <v>53052</v>
      </c>
      <c r="C2702" s="2">
        <v>37468</v>
      </c>
      <c r="D2702">
        <v>23</v>
      </c>
      <c r="E2702" t="s">
        <v>42</v>
      </c>
      <c r="F2702" t="s">
        <v>50</v>
      </c>
      <c r="G2702" s="2">
        <v>45422</v>
      </c>
      <c r="H2702" s="3">
        <f t="shared" si="42"/>
        <v>1.0684931506849316</v>
      </c>
      <c r="I2702">
        <v>71</v>
      </c>
      <c r="J2702" t="s">
        <v>57</v>
      </c>
      <c r="K2702" t="s">
        <v>46</v>
      </c>
      <c r="L2702" t="s">
        <v>44</v>
      </c>
      <c r="M2702">
        <v>14.23</v>
      </c>
      <c r="T2702" t="s">
        <v>47</v>
      </c>
      <c r="U2702">
        <v>0</v>
      </c>
      <c r="V2702">
        <v>6</v>
      </c>
    </row>
    <row r="2703" spans="1:22" x14ac:dyDescent="0.3">
      <c r="A2703">
        <v>2702</v>
      </c>
      <c r="B2703">
        <v>53054</v>
      </c>
      <c r="C2703" s="2">
        <v>37745</v>
      </c>
      <c r="D2703">
        <v>22</v>
      </c>
      <c r="E2703" t="s">
        <v>42</v>
      </c>
      <c r="F2703" t="s">
        <v>50</v>
      </c>
      <c r="G2703" s="2">
        <v>45632</v>
      </c>
      <c r="H2703" s="3">
        <f t="shared" si="42"/>
        <v>1.0054794520547945</v>
      </c>
      <c r="I2703">
        <v>140</v>
      </c>
      <c r="J2703" t="s">
        <v>57</v>
      </c>
      <c r="K2703" t="s">
        <v>56</v>
      </c>
      <c r="L2703" t="s">
        <v>44</v>
      </c>
      <c r="M2703">
        <v>8.4700000000000006</v>
      </c>
      <c r="T2703" t="s">
        <v>52</v>
      </c>
      <c r="U2703">
        <v>4</v>
      </c>
      <c r="V2703">
        <v>7</v>
      </c>
    </row>
    <row r="2704" spans="1:22" x14ac:dyDescent="0.3">
      <c r="A2704">
        <v>2703</v>
      </c>
      <c r="B2704">
        <v>53055</v>
      </c>
      <c r="C2704" s="2">
        <v>38714</v>
      </c>
      <c r="D2704">
        <v>20</v>
      </c>
      <c r="E2704" t="s">
        <v>36</v>
      </c>
      <c r="F2704" t="s">
        <v>37</v>
      </c>
      <c r="G2704" s="2">
        <v>45655</v>
      </c>
      <c r="H2704" s="3">
        <f t="shared" si="42"/>
        <v>1.0630136986301371</v>
      </c>
      <c r="I2704">
        <v>37</v>
      </c>
      <c r="J2704" t="s">
        <v>38</v>
      </c>
      <c r="K2704" t="s">
        <v>65</v>
      </c>
      <c r="L2704" t="s">
        <v>44</v>
      </c>
      <c r="M2704">
        <v>10.64</v>
      </c>
      <c r="T2704" t="s">
        <v>45</v>
      </c>
      <c r="U2704">
        <v>0</v>
      </c>
      <c r="V2704">
        <v>4</v>
      </c>
    </row>
    <row r="2705" spans="1:22" x14ac:dyDescent="0.3">
      <c r="A2705">
        <v>2704</v>
      </c>
      <c r="B2705">
        <v>53056</v>
      </c>
      <c r="C2705" s="2">
        <v>36229</v>
      </c>
      <c r="D2705">
        <v>26</v>
      </c>
      <c r="E2705" t="s">
        <v>36</v>
      </c>
      <c r="F2705" t="s">
        <v>50</v>
      </c>
      <c r="G2705" s="2">
        <v>45634</v>
      </c>
      <c r="H2705" s="3">
        <f t="shared" si="42"/>
        <v>1.1260273972602739</v>
      </c>
      <c r="I2705">
        <v>6</v>
      </c>
      <c r="J2705" t="s">
        <v>38</v>
      </c>
      <c r="K2705" t="s">
        <v>55</v>
      </c>
      <c r="L2705" t="s">
        <v>44</v>
      </c>
      <c r="M2705">
        <v>17.59</v>
      </c>
      <c r="T2705" t="s">
        <v>52</v>
      </c>
      <c r="U2705">
        <v>2</v>
      </c>
      <c r="V2705">
        <v>3</v>
      </c>
    </row>
    <row r="2706" spans="1:22" x14ac:dyDescent="0.3">
      <c r="A2706">
        <v>2705</v>
      </c>
      <c r="B2706">
        <v>53057</v>
      </c>
      <c r="C2706" s="2">
        <v>38688</v>
      </c>
      <c r="D2706">
        <v>20</v>
      </c>
      <c r="E2706" t="s">
        <v>36</v>
      </c>
      <c r="F2706" t="s">
        <v>50</v>
      </c>
      <c r="G2706" s="2">
        <v>45611</v>
      </c>
      <c r="H2706" s="3">
        <f t="shared" si="42"/>
        <v>1.0794520547945206</v>
      </c>
      <c r="I2706">
        <v>65</v>
      </c>
      <c r="J2706" t="s">
        <v>38</v>
      </c>
      <c r="K2706" t="s">
        <v>56</v>
      </c>
      <c r="L2706" t="s">
        <v>44</v>
      </c>
      <c r="M2706">
        <v>8.4700000000000006</v>
      </c>
      <c r="T2706" t="s">
        <v>49</v>
      </c>
      <c r="U2706">
        <v>1</v>
      </c>
      <c r="V2706">
        <v>3</v>
      </c>
    </row>
    <row r="2707" spans="1:22" x14ac:dyDescent="0.3">
      <c r="A2707">
        <v>2706</v>
      </c>
      <c r="B2707">
        <v>53058</v>
      </c>
      <c r="C2707" s="2">
        <v>39016</v>
      </c>
      <c r="D2707">
        <v>19</v>
      </c>
      <c r="E2707" t="s">
        <v>36</v>
      </c>
      <c r="F2707" t="s">
        <v>50</v>
      </c>
      <c r="G2707" s="2">
        <v>45628</v>
      </c>
      <c r="H2707" s="3">
        <f t="shared" si="42"/>
        <v>1.4356164383561645</v>
      </c>
      <c r="I2707">
        <v>124</v>
      </c>
      <c r="J2707" t="s">
        <v>57</v>
      </c>
      <c r="K2707" t="s">
        <v>46</v>
      </c>
      <c r="L2707" t="s">
        <v>44</v>
      </c>
      <c r="M2707">
        <v>14.23</v>
      </c>
      <c r="T2707" t="s">
        <v>49</v>
      </c>
      <c r="U2707">
        <v>1</v>
      </c>
      <c r="V2707">
        <v>4</v>
      </c>
    </row>
    <row r="2708" spans="1:22" x14ac:dyDescent="0.3">
      <c r="A2708">
        <v>2707</v>
      </c>
      <c r="B2708">
        <v>53059</v>
      </c>
      <c r="C2708" s="2">
        <v>38283</v>
      </c>
      <c r="D2708">
        <v>21</v>
      </c>
      <c r="E2708" t="s">
        <v>36</v>
      </c>
      <c r="F2708" t="s">
        <v>50</v>
      </c>
      <c r="G2708" s="2">
        <v>45498</v>
      </c>
      <c r="H2708" s="3">
        <f t="shared" si="42"/>
        <v>1.2164383561643837</v>
      </c>
      <c r="I2708">
        <v>125</v>
      </c>
      <c r="J2708" t="s">
        <v>57</v>
      </c>
      <c r="K2708" t="s">
        <v>56</v>
      </c>
      <c r="L2708" t="s">
        <v>44</v>
      </c>
      <c r="M2708">
        <v>8.4700000000000006</v>
      </c>
      <c r="T2708" t="s">
        <v>45</v>
      </c>
      <c r="U2708">
        <v>4</v>
      </c>
      <c r="V2708">
        <v>4</v>
      </c>
    </row>
    <row r="2709" spans="1:22" x14ac:dyDescent="0.3">
      <c r="A2709">
        <v>2708</v>
      </c>
      <c r="B2709">
        <v>53061</v>
      </c>
      <c r="C2709" s="2">
        <v>36976</v>
      </c>
      <c r="D2709">
        <v>24</v>
      </c>
      <c r="E2709" t="s">
        <v>42</v>
      </c>
      <c r="F2709" t="s">
        <v>50</v>
      </c>
      <c r="G2709" s="2">
        <v>45578</v>
      </c>
      <c r="H2709" s="3">
        <f t="shared" si="42"/>
        <v>1.7534246575342465</v>
      </c>
      <c r="I2709">
        <v>32</v>
      </c>
      <c r="J2709" t="s">
        <v>38</v>
      </c>
      <c r="K2709" t="s">
        <v>55</v>
      </c>
      <c r="L2709" t="s">
        <v>44</v>
      </c>
      <c r="M2709">
        <v>17.59</v>
      </c>
      <c r="T2709" t="s">
        <v>47</v>
      </c>
      <c r="U2709">
        <v>2</v>
      </c>
      <c r="V2709">
        <v>6</v>
      </c>
    </row>
    <row r="2710" spans="1:22" x14ac:dyDescent="0.3">
      <c r="A2710">
        <v>2709</v>
      </c>
      <c r="B2710">
        <v>53063</v>
      </c>
      <c r="C2710" s="2">
        <v>35713</v>
      </c>
      <c r="D2710">
        <v>28</v>
      </c>
      <c r="E2710" t="s">
        <v>36</v>
      </c>
      <c r="F2710" t="s">
        <v>50</v>
      </c>
      <c r="G2710" s="2">
        <v>45382</v>
      </c>
      <c r="H2710" s="3">
        <f t="shared" si="42"/>
        <v>1.0767123287671232</v>
      </c>
      <c r="I2710">
        <v>12</v>
      </c>
      <c r="J2710" t="s">
        <v>38</v>
      </c>
      <c r="K2710" t="s">
        <v>54</v>
      </c>
      <c r="L2710" t="s">
        <v>44</v>
      </c>
      <c r="M2710">
        <v>23.78</v>
      </c>
      <c r="T2710" t="s">
        <v>49</v>
      </c>
      <c r="U2710">
        <v>7</v>
      </c>
      <c r="V2710">
        <v>5</v>
      </c>
    </row>
    <row r="2711" spans="1:22" x14ac:dyDescent="0.3">
      <c r="A2711">
        <v>2710</v>
      </c>
      <c r="B2711">
        <v>53064</v>
      </c>
      <c r="C2711" s="2">
        <v>34725</v>
      </c>
      <c r="D2711">
        <v>30</v>
      </c>
      <c r="E2711" t="s">
        <v>42</v>
      </c>
      <c r="F2711" t="s">
        <v>50</v>
      </c>
      <c r="G2711" s="2">
        <v>45629</v>
      </c>
      <c r="H2711" s="3">
        <f t="shared" si="42"/>
        <v>1.4493150684931506</v>
      </c>
      <c r="I2711">
        <v>78</v>
      </c>
      <c r="J2711" t="s">
        <v>57</v>
      </c>
      <c r="K2711" t="s">
        <v>43</v>
      </c>
      <c r="L2711" t="s">
        <v>44</v>
      </c>
      <c r="M2711">
        <v>16.37</v>
      </c>
      <c r="T2711" t="s">
        <v>49</v>
      </c>
      <c r="U2711">
        <v>1</v>
      </c>
      <c r="V2711">
        <v>6</v>
      </c>
    </row>
    <row r="2712" spans="1:22" x14ac:dyDescent="0.3">
      <c r="A2712">
        <v>2711</v>
      </c>
      <c r="B2712">
        <v>53065</v>
      </c>
      <c r="C2712" s="2">
        <v>37803</v>
      </c>
      <c r="D2712">
        <v>23</v>
      </c>
      <c r="E2712" t="s">
        <v>36</v>
      </c>
      <c r="F2712" t="s">
        <v>37</v>
      </c>
      <c r="G2712" s="2">
        <v>45493</v>
      </c>
      <c r="H2712" s="3">
        <f t="shared" si="42"/>
        <v>1.1424657534246576</v>
      </c>
      <c r="I2712">
        <v>144</v>
      </c>
      <c r="J2712" t="s">
        <v>57</v>
      </c>
      <c r="K2712" t="s">
        <v>56</v>
      </c>
      <c r="L2712" t="s">
        <v>44</v>
      </c>
      <c r="M2712">
        <v>8.4700000000000006</v>
      </c>
      <c r="T2712" t="s">
        <v>45</v>
      </c>
      <c r="U2712">
        <v>4</v>
      </c>
      <c r="V2712">
        <v>6</v>
      </c>
    </row>
    <row r="2713" spans="1:22" x14ac:dyDescent="0.3">
      <c r="A2713">
        <v>2712</v>
      </c>
      <c r="B2713">
        <v>53066</v>
      </c>
      <c r="C2713" s="2">
        <v>37002</v>
      </c>
      <c r="D2713">
        <v>24</v>
      </c>
      <c r="E2713" t="s">
        <v>36</v>
      </c>
      <c r="F2713" t="s">
        <v>50</v>
      </c>
      <c r="G2713" s="2">
        <v>45605</v>
      </c>
      <c r="H2713" s="3">
        <f t="shared" si="42"/>
        <v>1.6136986301369862</v>
      </c>
      <c r="I2713">
        <v>110</v>
      </c>
      <c r="J2713" t="s">
        <v>57</v>
      </c>
      <c r="K2713" t="s">
        <v>55</v>
      </c>
      <c r="L2713" t="s">
        <v>44</v>
      </c>
      <c r="M2713">
        <v>17.59</v>
      </c>
      <c r="T2713" t="s">
        <v>52</v>
      </c>
      <c r="U2713">
        <v>0</v>
      </c>
      <c r="V2713">
        <v>2</v>
      </c>
    </row>
    <row r="2714" spans="1:22" x14ac:dyDescent="0.3">
      <c r="A2714">
        <v>2713</v>
      </c>
      <c r="B2714">
        <v>53067</v>
      </c>
      <c r="C2714" s="2">
        <v>35283</v>
      </c>
      <c r="D2714">
        <v>29</v>
      </c>
      <c r="E2714" t="s">
        <v>42</v>
      </c>
      <c r="F2714" t="s">
        <v>50</v>
      </c>
      <c r="G2714" s="2">
        <v>45433</v>
      </c>
      <c r="H2714" s="3">
        <f t="shared" si="42"/>
        <v>1.0328767123287672</v>
      </c>
      <c r="I2714">
        <v>34</v>
      </c>
      <c r="J2714" t="s">
        <v>38</v>
      </c>
      <c r="K2714" t="s">
        <v>46</v>
      </c>
      <c r="L2714" t="s">
        <v>44</v>
      </c>
      <c r="M2714">
        <v>14.23</v>
      </c>
      <c r="T2714" t="s">
        <v>49</v>
      </c>
      <c r="U2714">
        <v>0</v>
      </c>
      <c r="V2714">
        <v>5</v>
      </c>
    </row>
    <row r="2715" spans="1:22" x14ac:dyDescent="0.3">
      <c r="A2715">
        <v>2714</v>
      </c>
      <c r="B2715">
        <v>53068</v>
      </c>
      <c r="C2715" s="2">
        <v>37493</v>
      </c>
      <c r="D2715">
        <v>23</v>
      </c>
      <c r="E2715" t="s">
        <v>42</v>
      </c>
      <c r="F2715" t="s">
        <v>37</v>
      </c>
      <c r="G2715" s="2">
        <v>45645</v>
      </c>
      <c r="H2715" s="3">
        <f t="shared" si="42"/>
        <v>1.0027397260273974</v>
      </c>
      <c r="I2715">
        <v>69</v>
      </c>
      <c r="J2715" t="s">
        <v>57</v>
      </c>
      <c r="K2715" t="s">
        <v>56</v>
      </c>
      <c r="L2715" t="s">
        <v>44</v>
      </c>
      <c r="M2715">
        <v>8.4700000000000006</v>
      </c>
      <c r="T2715" t="s">
        <v>45</v>
      </c>
      <c r="U2715">
        <v>2</v>
      </c>
      <c r="V2715">
        <v>6</v>
      </c>
    </row>
    <row r="2716" spans="1:22" x14ac:dyDescent="0.3">
      <c r="A2716">
        <v>2715</v>
      </c>
      <c r="B2716">
        <v>53069</v>
      </c>
      <c r="C2716" s="2">
        <v>37296</v>
      </c>
      <c r="D2716">
        <v>23</v>
      </c>
      <c r="E2716" t="s">
        <v>36</v>
      </c>
      <c r="F2716" t="s">
        <v>50</v>
      </c>
      <c r="G2716" s="2">
        <v>45656</v>
      </c>
      <c r="H2716" s="3">
        <f t="shared" si="42"/>
        <v>1.7068493150684931</v>
      </c>
      <c r="I2716">
        <v>98</v>
      </c>
      <c r="J2716" t="s">
        <v>57</v>
      </c>
      <c r="K2716" t="s">
        <v>55</v>
      </c>
      <c r="L2716" t="s">
        <v>44</v>
      </c>
      <c r="M2716">
        <v>17.59</v>
      </c>
      <c r="T2716" t="s">
        <v>47</v>
      </c>
      <c r="U2716">
        <v>3</v>
      </c>
      <c r="V2716">
        <v>4</v>
      </c>
    </row>
    <row r="2717" spans="1:22" x14ac:dyDescent="0.3">
      <c r="A2717">
        <v>2716</v>
      </c>
      <c r="B2717">
        <v>53070</v>
      </c>
      <c r="C2717" s="2">
        <v>35731</v>
      </c>
      <c r="D2717">
        <v>28</v>
      </c>
      <c r="E2717" t="s">
        <v>36</v>
      </c>
      <c r="F2717" t="s">
        <v>50</v>
      </c>
      <c r="G2717" s="2">
        <v>45399</v>
      </c>
      <c r="H2717" s="3">
        <f t="shared" si="42"/>
        <v>1.3698630136986301</v>
      </c>
      <c r="I2717">
        <v>125</v>
      </c>
      <c r="J2717" t="s">
        <v>57</v>
      </c>
      <c r="K2717" t="s">
        <v>46</v>
      </c>
      <c r="L2717" t="s">
        <v>44</v>
      </c>
      <c r="M2717">
        <v>14.23</v>
      </c>
      <c r="T2717" t="s">
        <v>47</v>
      </c>
      <c r="U2717">
        <v>0</v>
      </c>
      <c r="V2717">
        <v>4</v>
      </c>
    </row>
    <row r="2718" spans="1:22" x14ac:dyDescent="0.3">
      <c r="A2718">
        <v>2717</v>
      </c>
      <c r="B2718">
        <v>53071</v>
      </c>
      <c r="C2718" s="2">
        <v>35999</v>
      </c>
      <c r="D2718">
        <v>27</v>
      </c>
      <c r="E2718" t="s">
        <v>42</v>
      </c>
      <c r="F2718" t="s">
        <v>37</v>
      </c>
      <c r="G2718" s="2">
        <v>45522</v>
      </c>
      <c r="H2718" s="3">
        <f t="shared" si="42"/>
        <v>1.484931506849315</v>
      </c>
      <c r="I2718">
        <v>48</v>
      </c>
      <c r="J2718" t="s">
        <v>38</v>
      </c>
      <c r="K2718" t="s">
        <v>46</v>
      </c>
      <c r="L2718" t="s">
        <v>44</v>
      </c>
      <c r="M2718">
        <v>14.23</v>
      </c>
      <c r="T2718" t="s">
        <v>52</v>
      </c>
      <c r="U2718">
        <v>1</v>
      </c>
      <c r="V2718">
        <v>5</v>
      </c>
    </row>
    <row r="2719" spans="1:22" x14ac:dyDescent="0.3">
      <c r="A2719">
        <v>2718</v>
      </c>
      <c r="B2719">
        <v>53072</v>
      </c>
      <c r="C2719" s="2">
        <v>35880</v>
      </c>
      <c r="D2719">
        <v>27</v>
      </c>
      <c r="E2719" t="s">
        <v>36</v>
      </c>
      <c r="F2719" t="s">
        <v>50</v>
      </c>
      <c r="G2719" s="2">
        <v>45480</v>
      </c>
      <c r="H2719" s="3">
        <f t="shared" si="42"/>
        <v>1.8602739726027397</v>
      </c>
      <c r="I2719">
        <v>69</v>
      </c>
      <c r="J2719" t="s">
        <v>57</v>
      </c>
      <c r="K2719" t="s">
        <v>55</v>
      </c>
      <c r="L2719" t="s">
        <v>44</v>
      </c>
      <c r="M2719">
        <v>17.59</v>
      </c>
      <c r="T2719" t="s">
        <v>52</v>
      </c>
      <c r="U2719">
        <v>3</v>
      </c>
      <c r="V2719">
        <v>5</v>
      </c>
    </row>
    <row r="2720" spans="1:22" x14ac:dyDescent="0.3">
      <c r="A2720">
        <v>2719</v>
      </c>
      <c r="B2720">
        <v>53073</v>
      </c>
      <c r="C2720" s="2">
        <v>36014</v>
      </c>
      <c r="D2720">
        <v>27</v>
      </c>
      <c r="E2720" t="s">
        <v>36</v>
      </c>
      <c r="F2720" t="s">
        <v>50</v>
      </c>
      <c r="G2720" s="2">
        <v>45343</v>
      </c>
      <c r="H2720" s="3">
        <f t="shared" si="42"/>
        <v>1.4</v>
      </c>
      <c r="I2720">
        <v>49</v>
      </c>
      <c r="J2720" t="s">
        <v>38</v>
      </c>
      <c r="K2720" t="s">
        <v>56</v>
      </c>
      <c r="L2720" t="s">
        <v>44</v>
      </c>
      <c r="M2720">
        <v>8.4700000000000006</v>
      </c>
      <c r="T2720" t="s">
        <v>47</v>
      </c>
      <c r="U2720">
        <v>3</v>
      </c>
      <c r="V2720">
        <v>4</v>
      </c>
    </row>
    <row r="2721" spans="1:22" x14ac:dyDescent="0.3">
      <c r="A2721">
        <v>2720</v>
      </c>
      <c r="B2721">
        <v>53074</v>
      </c>
      <c r="C2721" s="2">
        <v>35113</v>
      </c>
      <c r="D2721">
        <v>29</v>
      </c>
      <c r="E2721" t="s">
        <v>42</v>
      </c>
      <c r="F2721" t="s">
        <v>50</v>
      </c>
      <c r="G2721" s="2">
        <v>45511</v>
      </c>
      <c r="H2721" s="3">
        <f t="shared" si="42"/>
        <v>1.0465753424657533</v>
      </c>
      <c r="I2721">
        <v>31</v>
      </c>
      <c r="J2721" t="s">
        <v>38</v>
      </c>
      <c r="K2721" t="s">
        <v>68</v>
      </c>
      <c r="L2721" t="s">
        <v>44</v>
      </c>
      <c r="M2721">
        <v>17</v>
      </c>
      <c r="T2721" t="s">
        <v>49</v>
      </c>
      <c r="U2721">
        <v>4</v>
      </c>
      <c r="V2721">
        <v>7</v>
      </c>
    </row>
    <row r="2722" spans="1:22" x14ac:dyDescent="0.3">
      <c r="A2722">
        <v>2721</v>
      </c>
      <c r="B2722">
        <v>53075</v>
      </c>
      <c r="C2722" s="2">
        <v>37596</v>
      </c>
      <c r="D2722">
        <v>23</v>
      </c>
      <c r="E2722" t="s">
        <v>36</v>
      </c>
      <c r="F2722" t="s">
        <v>50</v>
      </c>
      <c r="G2722" s="2">
        <v>45640</v>
      </c>
      <c r="H2722" s="3">
        <f t="shared" si="42"/>
        <v>1.4246575342465753</v>
      </c>
      <c r="I2722">
        <v>61</v>
      </c>
      <c r="J2722" t="s">
        <v>38</v>
      </c>
      <c r="K2722" t="s">
        <v>65</v>
      </c>
      <c r="L2722" t="s">
        <v>44</v>
      </c>
      <c r="M2722">
        <v>10.64</v>
      </c>
      <c r="T2722" t="s">
        <v>49</v>
      </c>
      <c r="U2722">
        <v>0</v>
      </c>
      <c r="V2722">
        <v>4</v>
      </c>
    </row>
    <row r="2723" spans="1:22" x14ac:dyDescent="0.3">
      <c r="A2723">
        <v>2722</v>
      </c>
      <c r="B2723">
        <v>53076</v>
      </c>
      <c r="C2723" s="2">
        <v>38206</v>
      </c>
      <c r="D2723">
        <v>21</v>
      </c>
      <c r="E2723" t="s">
        <v>42</v>
      </c>
      <c r="F2723" t="s">
        <v>50</v>
      </c>
      <c r="G2723" s="2">
        <v>45502</v>
      </c>
      <c r="H2723" s="3">
        <f t="shared" si="42"/>
        <v>1.295890410958904</v>
      </c>
      <c r="I2723">
        <v>104</v>
      </c>
      <c r="J2723" t="s">
        <v>57</v>
      </c>
      <c r="K2723" t="s">
        <v>64</v>
      </c>
      <c r="L2723" t="s">
        <v>44</v>
      </c>
      <c r="M2723">
        <v>14.07</v>
      </c>
      <c r="T2723" t="s">
        <v>45</v>
      </c>
      <c r="U2723">
        <v>0</v>
      </c>
      <c r="V2723">
        <v>7</v>
      </c>
    </row>
    <row r="2724" spans="1:22" x14ac:dyDescent="0.3">
      <c r="A2724">
        <v>2723</v>
      </c>
      <c r="B2724">
        <v>53077</v>
      </c>
      <c r="C2724" s="2">
        <v>36314</v>
      </c>
      <c r="D2724">
        <v>26</v>
      </c>
      <c r="E2724" t="s">
        <v>42</v>
      </c>
      <c r="F2724" t="s">
        <v>50</v>
      </c>
      <c r="G2724" s="2">
        <v>45549</v>
      </c>
      <c r="H2724" s="3">
        <f t="shared" si="42"/>
        <v>1.8</v>
      </c>
      <c r="I2724">
        <v>136</v>
      </c>
      <c r="J2724" t="s">
        <v>57</v>
      </c>
      <c r="K2724" t="s">
        <v>56</v>
      </c>
      <c r="L2724" t="s">
        <v>44</v>
      </c>
      <c r="M2724">
        <v>8.4700000000000006</v>
      </c>
      <c r="T2724" t="s">
        <v>52</v>
      </c>
      <c r="U2724">
        <v>2</v>
      </c>
      <c r="V2724">
        <v>7</v>
      </c>
    </row>
    <row r="2725" spans="1:22" x14ac:dyDescent="0.3">
      <c r="A2725">
        <v>2724</v>
      </c>
      <c r="B2725">
        <v>53078</v>
      </c>
      <c r="C2725" s="2">
        <v>36947</v>
      </c>
      <c r="D2725">
        <v>24</v>
      </c>
      <c r="E2725" t="s">
        <v>42</v>
      </c>
      <c r="F2725" t="s">
        <v>50</v>
      </c>
      <c r="G2725" s="2">
        <v>45365</v>
      </c>
      <c r="H2725" s="3">
        <f t="shared" si="42"/>
        <v>1.7671232876712328</v>
      </c>
      <c r="I2725">
        <v>12</v>
      </c>
      <c r="J2725" t="s">
        <v>38</v>
      </c>
      <c r="K2725" t="s">
        <v>68</v>
      </c>
      <c r="L2725" t="s">
        <v>44</v>
      </c>
      <c r="M2725">
        <v>17</v>
      </c>
      <c r="T2725" t="s">
        <v>49</v>
      </c>
      <c r="U2725">
        <v>1</v>
      </c>
      <c r="V2725">
        <v>6</v>
      </c>
    </row>
    <row r="2726" spans="1:22" x14ac:dyDescent="0.3">
      <c r="A2726">
        <v>2725</v>
      </c>
      <c r="B2726">
        <v>53079</v>
      </c>
      <c r="C2726" s="2">
        <v>34917</v>
      </c>
      <c r="D2726">
        <v>30</v>
      </c>
      <c r="E2726" t="s">
        <v>36</v>
      </c>
      <c r="F2726" t="s">
        <v>37</v>
      </c>
      <c r="G2726" s="2">
        <v>45377</v>
      </c>
      <c r="H2726" s="3">
        <f t="shared" si="42"/>
        <v>1.5972602739726027</v>
      </c>
      <c r="I2726">
        <v>20</v>
      </c>
      <c r="J2726" t="s">
        <v>38</v>
      </c>
      <c r="K2726" t="s">
        <v>46</v>
      </c>
      <c r="L2726" t="s">
        <v>44</v>
      </c>
      <c r="M2726">
        <v>14.23</v>
      </c>
      <c r="T2726" t="s">
        <v>47</v>
      </c>
      <c r="U2726">
        <v>0</v>
      </c>
      <c r="V2726">
        <v>5</v>
      </c>
    </row>
    <row r="2727" spans="1:22" x14ac:dyDescent="0.3">
      <c r="A2727">
        <v>2726</v>
      </c>
      <c r="B2727">
        <v>53080</v>
      </c>
      <c r="C2727" s="2">
        <v>37958</v>
      </c>
      <c r="D2727">
        <v>22</v>
      </c>
      <c r="E2727" t="s">
        <v>42</v>
      </c>
      <c r="F2727" t="s">
        <v>50</v>
      </c>
      <c r="G2727" s="2">
        <v>45439</v>
      </c>
      <c r="H2727" s="3">
        <f t="shared" si="42"/>
        <v>1.4219178082191781</v>
      </c>
      <c r="I2727">
        <v>70</v>
      </c>
      <c r="J2727" t="s">
        <v>57</v>
      </c>
      <c r="K2727" t="s">
        <v>56</v>
      </c>
      <c r="L2727" t="s">
        <v>44</v>
      </c>
      <c r="M2727">
        <v>8.4700000000000006</v>
      </c>
      <c r="T2727" t="s">
        <v>52</v>
      </c>
      <c r="U2727">
        <v>1</v>
      </c>
      <c r="V2727">
        <v>5</v>
      </c>
    </row>
    <row r="2728" spans="1:22" x14ac:dyDescent="0.3">
      <c r="A2728">
        <v>2727</v>
      </c>
      <c r="B2728">
        <v>53082</v>
      </c>
      <c r="C2728" s="2">
        <v>36265</v>
      </c>
      <c r="D2728">
        <v>26</v>
      </c>
      <c r="E2728" t="s">
        <v>42</v>
      </c>
      <c r="F2728" t="s">
        <v>50</v>
      </c>
      <c r="G2728" s="2">
        <v>45503</v>
      </c>
      <c r="H2728" s="3">
        <f t="shared" si="42"/>
        <v>1.547945205479452</v>
      </c>
      <c r="I2728">
        <v>105</v>
      </c>
      <c r="J2728" t="s">
        <v>57</v>
      </c>
      <c r="K2728" t="s">
        <v>56</v>
      </c>
      <c r="L2728" t="s">
        <v>44</v>
      </c>
      <c r="M2728">
        <v>8.4700000000000006</v>
      </c>
      <c r="T2728" t="s">
        <v>49</v>
      </c>
      <c r="U2728">
        <v>1</v>
      </c>
      <c r="V2728">
        <v>6</v>
      </c>
    </row>
    <row r="2729" spans="1:22" x14ac:dyDescent="0.3">
      <c r="A2729">
        <v>2728</v>
      </c>
      <c r="B2729">
        <v>53083</v>
      </c>
      <c r="C2729" s="2">
        <v>37070</v>
      </c>
      <c r="D2729">
        <v>24</v>
      </c>
      <c r="E2729" t="s">
        <v>42</v>
      </c>
      <c r="F2729" t="s">
        <v>50</v>
      </c>
      <c r="G2729" s="2">
        <v>45457</v>
      </c>
      <c r="H2729" s="3">
        <f t="shared" si="42"/>
        <v>1.1643835616438356</v>
      </c>
      <c r="I2729">
        <v>106</v>
      </c>
      <c r="J2729" t="s">
        <v>57</v>
      </c>
      <c r="K2729" t="s">
        <v>68</v>
      </c>
      <c r="L2729" t="s">
        <v>44</v>
      </c>
      <c r="M2729">
        <v>17</v>
      </c>
      <c r="T2729" t="s">
        <v>52</v>
      </c>
      <c r="U2729">
        <v>2</v>
      </c>
      <c r="V2729">
        <v>5</v>
      </c>
    </row>
    <row r="2730" spans="1:22" x14ac:dyDescent="0.3">
      <c r="A2730">
        <v>2729</v>
      </c>
      <c r="B2730">
        <v>53084</v>
      </c>
      <c r="C2730" s="2">
        <v>37527</v>
      </c>
      <c r="D2730">
        <v>23</v>
      </c>
      <c r="E2730" t="s">
        <v>42</v>
      </c>
      <c r="F2730" t="s">
        <v>50</v>
      </c>
      <c r="G2730" s="2">
        <v>45597</v>
      </c>
      <c r="H2730" s="3">
        <f t="shared" si="42"/>
        <v>1.1808219178082191</v>
      </c>
      <c r="I2730">
        <v>144</v>
      </c>
      <c r="J2730" t="s">
        <v>57</v>
      </c>
      <c r="K2730" t="s">
        <v>56</v>
      </c>
      <c r="L2730" t="s">
        <v>44</v>
      </c>
      <c r="M2730">
        <v>8.4700000000000006</v>
      </c>
      <c r="T2730" t="s">
        <v>52</v>
      </c>
      <c r="U2730">
        <v>2</v>
      </c>
      <c r="V2730">
        <v>7</v>
      </c>
    </row>
    <row r="2731" spans="1:22" x14ac:dyDescent="0.3">
      <c r="A2731">
        <v>2730</v>
      </c>
      <c r="B2731">
        <v>53085</v>
      </c>
      <c r="C2731" s="2">
        <v>36491</v>
      </c>
      <c r="D2731">
        <v>26</v>
      </c>
      <c r="E2731" t="s">
        <v>36</v>
      </c>
      <c r="F2731" t="s">
        <v>37</v>
      </c>
      <c r="G2731" s="2">
        <v>45591</v>
      </c>
      <c r="H2731" s="3">
        <f t="shared" si="42"/>
        <v>1.2438356164383562</v>
      </c>
      <c r="I2731">
        <v>12</v>
      </c>
      <c r="J2731" t="s">
        <v>38</v>
      </c>
      <c r="K2731" t="s">
        <v>55</v>
      </c>
      <c r="L2731" t="s">
        <v>44</v>
      </c>
      <c r="M2731">
        <v>17.59</v>
      </c>
      <c r="T2731" t="s">
        <v>52</v>
      </c>
      <c r="U2731">
        <v>1</v>
      </c>
      <c r="V2731">
        <v>4</v>
      </c>
    </row>
    <row r="2732" spans="1:22" x14ac:dyDescent="0.3">
      <c r="A2732">
        <v>2731</v>
      </c>
      <c r="B2732">
        <v>53086</v>
      </c>
      <c r="C2732" s="2">
        <v>37052</v>
      </c>
      <c r="D2732">
        <v>24</v>
      </c>
      <c r="E2732" t="s">
        <v>36</v>
      </c>
      <c r="F2732" t="s">
        <v>50</v>
      </c>
      <c r="G2732" s="2">
        <v>45568</v>
      </c>
      <c r="H2732" s="3">
        <f t="shared" si="42"/>
        <v>1.5506849315068494</v>
      </c>
      <c r="I2732">
        <v>110</v>
      </c>
      <c r="J2732" t="s">
        <v>57</v>
      </c>
      <c r="K2732" t="s">
        <v>55</v>
      </c>
      <c r="L2732" t="s">
        <v>44</v>
      </c>
      <c r="M2732">
        <v>17.59</v>
      </c>
      <c r="T2732" t="s">
        <v>45</v>
      </c>
      <c r="U2732">
        <v>0</v>
      </c>
      <c r="V2732">
        <v>5</v>
      </c>
    </row>
    <row r="2733" spans="1:22" x14ac:dyDescent="0.3">
      <c r="A2733">
        <v>2732</v>
      </c>
      <c r="B2733">
        <v>53087</v>
      </c>
      <c r="C2733" s="2">
        <v>34058</v>
      </c>
      <c r="D2733">
        <v>32</v>
      </c>
      <c r="E2733" t="s">
        <v>36</v>
      </c>
      <c r="F2733" t="s">
        <v>37</v>
      </c>
      <c r="G2733" s="2">
        <v>45456</v>
      </c>
      <c r="H2733" s="3">
        <f t="shared" si="42"/>
        <v>1.4493150684931506</v>
      </c>
      <c r="I2733">
        <v>121</v>
      </c>
      <c r="J2733" t="s">
        <v>57</v>
      </c>
      <c r="K2733" t="s">
        <v>46</v>
      </c>
      <c r="L2733" t="s">
        <v>44</v>
      </c>
      <c r="M2733">
        <v>14.23</v>
      </c>
      <c r="T2733" t="s">
        <v>49</v>
      </c>
      <c r="U2733">
        <v>1</v>
      </c>
      <c r="V2733">
        <v>5</v>
      </c>
    </row>
    <row r="2734" spans="1:22" x14ac:dyDescent="0.3">
      <c r="A2734">
        <v>2733</v>
      </c>
      <c r="B2734">
        <v>53088</v>
      </c>
      <c r="C2734" s="2">
        <v>38685</v>
      </c>
      <c r="D2734">
        <v>20</v>
      </c>
      <c r="E2734" t="s">
        <v>42</v>
      </c>
      <c r="F2734" t="s">
        <v>37</v>
      </c>
      <c r="G2734" s="2">
        <v>45493</v>
      </c>
      <c r="H2734" s="3">
        <f t="shared" si="42"/>
        <v>1.5123287671232877</v>
      </c>
      <c r="I2734">
        <v>12</v>
      </c>
      <c r="J2734" t="s">
        <v>38</v>
      </c>
      <c r="K2734" t="s">
        <v>56</v>
      </c>
      <c r="L2734" t="s">
        <v>44</v>
      </c>
      <c r="M2734">
        <v>8.4700000000000006</v>
      </c>
      <c r="T2734" t="s">
        <v>52</v>
      </c>
      <c r="U2734">
        <v>1</v>
      </c>
      <c r="V2734">
        <v>4</v>
      </c>
    </row>
    <row r="2735" spans="1:22" x14ac:dyDescent="0.3">
      <c r="A2735">
        <v>2734</v>
      </c>
      <c r="B2735">
        <v>53089</v>
      </c>
      <c r="C2735" s="2">
        <v>36004</v>
      </c>
      <c r="D2735">
        <v>27</v>
      </c>
      <c r="E2735" t="s">
        <v>36</v>
      </c>
      <c r="F2735" t="s">
        <v>50</v>
      </c>
      <c r="G2735" s="2">
        <v>45470</v>
      </c>
      <c r="H2735" s="3">
        <f t="shared" si="42"/>
        <v>1.5835616438356164</v>
      </c>
      <c r="I2735">
        <v>69</v>
      </c>
      <c r="J2735" t="s">
        <v>57</v>
      </c>
      <c r="K2735" t="s">
        <v>55</v>
      </c>
      <c r="L2735" t="s">
        <v>44</v>
      </c>
      <c r="M2735">
        <v>17.59</v>
      </c>
      <c r="T2735" t="s">
        <v>47</v>
      </c>
      <c r="U2735">
        <v>0</v>
      </c>
      <c r="V2735">
        <v>4</v>
      </c>
    </row>
    <row r="2736" spans="1:22" x14ac:dyDescent="0.3">
      <c r="A2736">
        <v>2735</v>
      </c>
      <c r="B2736">
        <v>53090</v>
      </c>
      <c r="C2736" s="2">
        <v>34190</v>
      </c>
      <c r="D2736">
        <v>32</v>
      </c>
      <c r="E2736" t="s">
        <v>42</v>
      </c>
      <c r="F2736" t="s">
        <v>50</v>
      </c>
      <c r="G2736" s="2">
        <v>45444</v>
      </c>
      <c r="H2736" s="3">
        <f t="shared" si="42"/>
        <v>1.7534246575342465</v>
      </c>
      <c r="I2736">
        <v>114</v>
      </c>
      <c r="J2736" t="s">
        <v>57</v>
      </c>
      <c r="K2736" t="s">
        <v>55</v>
      </c>
      <c r="L2736" t="s">
        <v>44</v>
      </c>
      <c r="M2736">
        <v>17.59</v>
      </c>
      <c r="T2736" t="s">
        <v>52</v>
      </c>
      <c r="U2736">
        <v>2</v>
      </c>
      <c r="V2736">
        <v>7</v>
      </c>
    </row>
    <row r="2737" spans="1:22" x14ac:dyDescent="0.3">
      <c r="A2737">
        <v>2736</v>
      </c>
      <c r="B2737">
        <v>53091</v>
      </c>
      <c r="C2737" s="2">
        <v>37537</v>
      </c>
      <c r="D2737">
        <v>23</v>
      </c>
      <c r="E2737" t="s">
        <v>42</v>
      </c>
      <c r="F2737" t="s">
        <v>37</v>
      </c>
      <c r="G2737" s="2">
        <v>45382</v>
      </c>
      <c r="H2737" s="3">
        <f t="shared" si="42"/>
        <v>1.0876712328767124</v>
      </c>
      <c r="I2737">
        <v>32</v>
      </c>
      <c r="J2737" t="s">
        <v>38</v>
      </c>
      <c r="K2737" t="s">
        <v>68</v>
      </c>
      <c r="L2737" t="s">
        <v>44</v>
      </c>
      <c r="M2737">
        <v>17</v>
      </c>
      <c r="T2737" t="s">
        <v>52</v>
      </c>
      <c r="U2737">
        <v>3</v>
      </c>
      <c r="V2737">
        <v>7</v>
      </c>
    </row>
    <row r="2738" spans="1:22" x14ac:dyDescent="0.3">
      <c r="A2738">
        <v>2737</v>
      </c>
      <c r="B2738">
        <v>53092</v>
      </c>
      <c r="C2738" s="2">
        <v>36428</v>
      </c>
      <c r="D2738">
        <v>26</v>
      </c>
      <c r="E2738" t="s">
        <v>36</v>
      </c>
      <c r="F2738" t="s">
        <v>50</v>
      </c>
      <c r="G2738" s="2">
        <v>45625</v>
      </c>
      <c r="H2738" s="3">
        <f t="shared" si="42"/>
        <v>1.2602739726027397</v>
      </c>
      <c r="I2738">
        <v>120</v>
      </c>
      <c r="J2738" t="s">
        <v>57</v>
      </c>
      <c r="K2738" t="s">
        <v>55</v>
      </c>
      <c r="L2738" t="s">
        <v>44</v>
      </c>
      <c r="M2738">
        <v>17.59</v>
      </c>
      <c r="T2738" t="s">
        <v>52</v>
      </c>
      <c r="U2738">
        <v>4</v>
      </c>
      <c r="V2738">
        <v>5</v>
      </c>
    </row>
    <row r="2739" spans="1:22" x14ac:dyDescent="0.3">
      <c r="A2739">
        <v>2738</v>
      </c>
      <c r="B2739">
        <v>53093</v>
      </c>
      <c r="C2739" s="2">
        <v>38526</v>
      </c>
      <c r="D2739">
        <v>20</v>
      </c>
      <c r="E2739" t="s">
        <v>36</v>
      </c>
      <c r="F2739" t="s">
        <v>50</v>
      </c>
      <c r="G2739" s="2">
        <v>45562</v>
      </c>
      <c r="H2739" s="3">
        <f t="shared" si="42"/>
        <v>1.6465753424657534</v>
      </c>
      <c r="I2739">
        <v>143</v>
      </c>
      <c r="J2739" t="s">
        <v>57</v>
      </c>
      <c r="K2739" t="s">
        <v>65</v>
      </c>
      <c r="L2739" t="s">
        <v>44</v>
      </c>
      <c r="M2739">
        <v>10.64</v>
      </c>
      <c r="T2739" t="s">
        <v>52</v>
      </c>
      <c r="U2739">
        <v>0</v>
      </c>
      <c r="V2739">
        <v>3</v>
      </c>
    </row>
    <row r="2740" spans="1:22" x14ac:dyDescent="0.3">
      <c r="A2740">
        <v>2739</v>
      </c>
      <c r="B2740">
        <v>53094</v>
      </c>
      <c r="C2740" s="2">
        <v>37805</v>
      </c>
      <c r="D2740">
        <v>22</v>
      </c>
      <c r="E2740" t="s">
        <v>42</v>
      </c>
      <c r="F2740" t="s">
        <v>50</v>
      </c>
      <c r="G2740" s="2">
        <v>45421</v>
      </c>
      <c r="H2740" s="3">
        <f t="shared" si="42"/>
        <v>1.1095890410958904</v>
      </c>
      <c r="I2740">
        <v>19</v>
      </c>
      <c r="J2740" t="s">
        <v>38</v>
      </c>
      <c r="K2740" t="s">
        <v>56</v>
      </c>
      <c r="L2740" t="s">
        <v>44</v>
      </c>
      <c r="M2740">
        <v>8.4700000000000006</v>
      </c>
      <c r="T2740" t="s">
        <v>49</v>
      </c>
      <c r="U2740">
        <v>4</v>
      </c>
      <c r="V2740">
        <v>6</v>
      </c>
    </row>
    <row r="2741" spans="1:22" x14ac:dyDescent="0.3">
      <c r="A2741">
        <v>2740</v>
      </c>
      <c r="B2741">
        <v>53095</v>
      </c>
      <c r="C2741" s="2">
        <v>35617</v>
      </c>
      <c r="D2741">
        <v>28</v>
      </c>
      <c r="E2741" t="s">
        <v>42</v>
      </c>
      <c r="F2741" t="s">
        <v>50</v>
      </c>
      <c r="G2741" s="2">
        <v>45617</v>
      </c>
      <c r="H2741" s="3">
        <f t="shared" si="42"/>
        <v>1.1013698630136985</v>
      </c>
      <c r="I2741">
        <v>35</v>
      </c>
      <c r="J2741" t="s">
        <v>38</v>
      </c>
      <c r="K2741" t="s">
        <v>68</v>
      </c>
      <c r="L2741" t="s">
        <v>44</v>
      </c>
      <c r="M2741">
        <v>17</v>
      </c>
      <c r="T2741" t="s">
        <v>47</v>
      </c>
      <c r="U2741">
        <v>2</v>
      </c>
      <c r="V2741">
        <v>6</v>
      </c>
    </row>
    <row r="2742" spans="1:22" x14ac:dyDescent="0.3">
      <c r="A2742">
        <v>2741</v>
      </c>
      <c r="B2742">
        <v>53096</v>
      </c>
      <c r="C2742" s="2">
        <v>36443</v>
      </c>
      <c r="D2742">
        <v>26</v>
      </c>
      <c r="E2742" t="s">
        <v>36</v>
      </c>
      <c r="F2742" t="s">
        <v>37</v>
      </c>
      <c r="G2742" s="2">
        <v>45620</v>
      </c>
      <c r="H2742" s="3">
        <f t="shared" si="42"/>
        <v>1.7095890410958905</v>
      </c>
      <c r="I2742">
        <v>53</v>
      </c>
      <c r="J2742" t="s">
        <v>38</v>
      </c>
      <c r="K2742" t="s">
        <v>55</v>
      </c>
      <c r="L2742" t="s">
        <v>44</v>
      </c>
      <c r="M2742">
        <v>17.59</v>
      </c>
      <c r="T2742" t="s">
        <v>47</v>
      </c>
      <c r="U2742">
        <v>4</v>
      </c>
      <c r="V2742">
        <v>5</v>
      </c>
    </row>
    <row r="2743" spans="1:22" x14ac:dyDescent="0.3">
      <c r="A2743">
        <v>2742</v>
      </c>
      <c r="B2743">
        <v>53097</v>
      </c>
      <c r="C2743" s="2">
        <v>38195</v>
      </c>
      <c r="D2743">
        <v>21</v>
      </c>
      <c r="E2743" t="s">
        <v>42</v>
      </c>
      <c r="F2743" t="s">
        <v>50</v>
      </c>
      <c r="G2743" s="2">
        <v>45398</v>
      </c>
      <c r="H2743" s="3">
        <f t="shared" si="42"/>
        <v>1.7315068493150685</v>
      </c>
      <c r="I2743">
        <v>69</v>
      </c>
      <c r="J2743" t="s">
        <v>57</v>
      </c>
      <c r="K2743" t="s">
        <v>56</v>
      </c>
      <c r="L2743" t="s">
        <v>44</v>
      </c>
      <c r="M2743">
        <v>8.4700000000000006</v>
      </c>
      <c r="T2743" t="s">
        <v>52</v>
      </c>
      <c r="U2743">
        <v>4</v>
      </c>
      <c r="V2743">
        <v>7</v>
      </c>
    </row>
    <row r="2744" spans="1:22" x14ac:dyDescent="0.3">
      <c r="A2744">
        <v>2743</v>
      </c>
      <c r="B2744">
        <v>53098</v>
      </c>
      <c r="C2744" s="2">
        <v>35434</v>
      </c>
      <c r="D2744">
        <v>28</v>
      </c>
      <c r="E2744" t="s">
        <v>42</v>
      </c>
      <c r="F2744" t="s">
        <v>50</v>
      </c>
      <c r="G2744" s="2">
        <v>45390</v>
      </c>
      <c r="H2744" s="3">
        <f t="shared" si="42"/>
        <v>1.0876712328767124</v>
      </c>
      <c r="I2744">
        <v>75</v>
      </c>
      <c r="J2744" t="s">
        <v>57</v>
      </c>
      <c r="K2744" t="s">
        <v>43</v>
      </c>
      <c r="L2744" t="s">
        <v>44</v>
      </c>
      <c r="M2744">
        <v>16.37</v>
      </c>
      <c r="T2744" t="s">
        <v>52</v>
      </c>
      <c r="U2744">
        <v>0</v>
      </c>
      <c r="V2744">
        <v>5</v>
      </c>
    </row>
    <row r="2745" spans="1:22" x14ac:dyDescent="0.3">
      <c r="A2745">
        <v>2744</v>
      </c>
      <c r="B2745">
        <v>53099</v>
      </c>
      <c r="C2745" s="2">
        <v>35811</v>
      </c>
      <c r="D2745">
        <v>27</v>
      </c>
      <c r="E2745" t="s">
        <v>36</v>
      </c>
      <c r="F2745" t="s">
        <v>37</v>
      </c>
      <c r="G2745" s="2">
        <v>45625</v>
      </c>
      <c r="H2745" s="3">
        <f t="shared" si="42"/>
        <v>1.1287671232876713</v>
      </c>
      <c r="I2745">
        <v>105</v>
      </c>
      <c r="J2745" t="s">
        <v>57</v>
      </c>
      <c r="K2745" t="s">
        <v>55</v>
      </c>
      <c r="L2745" t="s">
        <v>44</v>
      </c>
      <c r="M2745">
        <v>17.59</v>
      </c>
      <c r="T2745" t="s">
        <v>45</v>
      </c>
      <c r="U2745">
        <v>4</v>
      </c>
      <c r="V2745">
        <v>4</v>
      </c>
    </row>
    <row r="2746" spans="1:22" x14ac:dyDescent="0.3">
      <c r="A2746">
        <v>2745</v>
      </c>
      <c r="B2746">
        <v>53100</v>
      </c>
      <c r="C2746" s="2">
        <v>37488</v>
      </c>
      <c r="D2746">
        <v>23</v>
      </c>
      <c r="E2746" t="s">
        <v>36</v>
      </c>
      <c r="F2746" t="s">
        <v>37</v>
      </c>
      <c r="G2746" s="2">
        <v>45610</v>
      </c>
      <c r="H2746" s="3">
        <f t="shared" si="42"/>
        <v>1.0054794520547945</v>
      </c>
      <c r="I2746">
        <v>17</v>
      </c>
      <c r="J2746" t="s">
        <v>38</v>
      </c>
      <c r="K2746" t="s">
        <v>68</v>
      </c>
      <c r="L2746" t="s">
        <v>44</v>
      </c>
      <c r="M2746">
        <v>17</v>
      </c>
      <c r="T2746" t="s">
        <v>52</v>
      </c>
      <c r="U2746">
        <v>2</v>
      </c>
      <c r="V2746">
        <v>4</v>
      </c>
    </row>
    <row r="2747" spans="1:22" x14ac:dyDescent="0.3">
      <c r="A2747">
        <v>2746</v>
      </c>
      <c r="B2747">
        <v>53102</v>
      </c>
      <c r="C2747" s="2">
        <v>37852</v>
      </c>
      <c r="D2747">
        <v>22</v>
      </c>
      <c r="E2747" t="s">
        <v>36</v>
      </c>
      <c r="F2747" t="s">
        <v>50</v>
      </c>
      <c r="G2747" s="2">
        <v>45655</v>
      </c>
      <c r="H2747" s="3">
        <f t="shared" si="42"/>
        <v>1.6630136986301369</v>
      </c>
      <c r="I2747">
        <v>40</v>
      </c>
      <c r="J2747" t="s">
        <v>38</v>
      </c>
      <c r="K2747" t="s">
        <v>65</v>
      </c>
      <c r="L2747" t="s">
        <v>44</v>
      </c>
      <c r="M2747">
        <v>10.64</v>
      </c>
      <c r="T2747" t="s">
        <v>45</v>
      </c>
      <c r="U2747">
        <v>0</v>
      </c>
      <c r="V2747">
        <v>4</v>
      </c>
    </row>
    <row r="2748" spans="1:22" x14ac:dyDescent="0.3">
      <c r="A2748">
        <v>2747</v>
      </c>
      <c r="B2748">
        <v>53103</v>
      </c>
      <c r="C2748" s="2">
        <v>37263</v>
      </c>
      <c r="D2748">
        <v>23</v>
      </c>
      <c r="E2748" t="s">
        <v>42</v>
      </c>
      <c r="F2748" t="s">
        <v>50</v>
      </c>
      <c r="G2748" s="2">
        <v>45415</v>
      </c>
      <c r="H2748" s="3">
        <f t="shared" si="42"/>
        <v>1.6767123287671233</v>
      </c>
      <c r="I2748">
        <v>44</v>
      </c>
      <c r="J2748" t="s">
        <v>38</v>
      </c>
      <c r="K2748" t="s">
        <v>46</v>
      </c>
      <c r="L2748" t="s">
        <v>44</v>
      </c>
      <c r="M2748">
        <v>14.23</v>
      </c>
      <c r="T2748" t="s">
        <v>47</v>
      </c>
      <c r="U2748">
        <v>0</v>
      </c>
      <c r="V2748">
        <v>5</v>
      </c>
    </row>
    <row r="2749" spans="1:22" x14ac:dyDescent="0.3">
      <c r="A2749">
        <v>2748</v>
      </c>
      <c r="B2749">
        <v>53104</v>
      </c>
      <c r="C2749" s="2">
        <v>38919</v>
      </c>
      <c r="D2749">
        <v>19</v>
      </c>
      <c r="E2749" t="s">
        <v>42</v>
      </c>
      <c r="F2749" t="s">
        <v>37</v>
      </c>
      <c r="G2749" s="2">
        <v>45410</v>
      </c>
      <c r="H2749" s="3">
        <f t="shared" si="42"/>
        <v>1.4602739726027398</v>
      </c>
      <c r="I2749">
        <v>136</v>
      </c>
      <c r="J2749" t="s">
        <v>57</v>
      </c>
      <c r="K2749" t="s">
        <v>56</v>
      </c>
      <c r="L2749" t="s">
        <v>44</v>
      </c>
      <c r="M2749">
        <v>8.4700000000000006</v>
      </c>
      <c r="T2749" t="s">
        <v>52</v>
      </c>
      <c r="U2749">
        <v>0</v>
      </c>
      <c r="V2749">
        <v>5</v>
      </c>
    </row>
    <row r="2750" spans="1:22" x14ac:dyDescent="0.3">
      <c r="A2750">
        <v>2749</v>
      </c>
      <c r="B2750">
        <v>53105</v>
      </c>
      <c r="C2750" s="2">
        <v>38563</v>
      </c>
      <c r="D2750">
        <v>20</v>
      </c>
      <c r="E2750" t="s">
        <v>42</v>
      </c>
      <c r="F2750" t="s">
        <v>50</v>
      </c>
      <c r="G2750" s="2">
        <v>45489</v>
      </c>
      <c r="H2750" s="3">
        <f t="shared" si="42"/>
        <v>1.726027397260274</v>
      </c>
      <c r="I2750">
        <v>136</v>
      </c>
      <c r="J2750" t="s">
        <v>57</v>
      </c>
      <c r="K2750" t="s">
        <v>56</v>
      </c>
      <c r="L2750" t="s">
        <v>44</v>
      </c>
      <c r="M2750">
        <v>8.4700000000000006</v>
      </c>
      <c r="T2750" t="s">
        <v>47</v>
      </c>
      <c r="U2750">
        <v>2</v>
      </c>
      <c r="V2750">
        <v>7</v>
      </c>
    </row>
    <row r="2751" spans="1:22" x14ac:dyDescent="0.3">
      <c r="A2751">
        <v>2750</v>
      </c>
      <c r="B2751">
        <v>53106</v>
      </c>
      <c r="C2751" s="2">
        <v>37866</v>
      </c>
      <c r="D2751">
        <v>22</v>
      </c>
      <c r="E2751" t="s">
        <v>42</v>
      </c>
      <c r="F2751" t="s">
        <v>50</v>
      </c>
      <c r="G2751" s="2">
        <v>45392</v>
      </c>
      <c r="H2751" s="3">
        <f t="shared" si="42"/>
        <v>1.4767123287671233</v>
      </c>
      <c r="I2751">
        <v>143</v>
      </c>
      <c r="J2751" t="s">
        <v>57</v>
      </c>
      <c r="K2751" t="s">
        <v>56</v>
      </c>
      <c r="L2751" t="s">
        <v>44</v>
      </c>
      <c r="M2751">
        <v>8.4700000000000006</v>
      </c>
      <c r="T2751" t="s">
        <v>47</v>
      </c>
      <c r="U2751">
        <v>1</v>
      </c>
      <c r="V2751">
        <v>7</v>
      </c>
    </row>
    <row r="2752" spans="1:22" x14ac:dyDescent="0.3">
      <c r="A2752">
        <v>2751</v>
      </c>
      <c r="B2752">
        <v>53107</v>
      </c>
      <c r="C2752" s="2">
        <v>38443</v>
      </c>
      <c r="D2752">
        <v>21</v>
      </c>
      <c r="E2752" t="s">
        <v>42</v>
      </c>
      <c r="F2752" t="s">
        <v>37</v>
      </c>
      <c r="G2752" s="2">
        <v>45483</v>
      </c>
      <c r="H2752" s="3">
        <f t="shared" si="42"/>
        <v>1.5506849315068494</v>
      </c>
      <c r="I2752">
        <v>144</v>
      </c>
      <c r="J2752" t="s">
        <v>57</v>
      </c>
      <c r="K2752" t="s">
        <v>56</v>
      </c>
      <c r="L2752" t="s">
        <v>44</v>
      </c>
      <c r="M2752">
        <v>8.4700000000000006</v>
      </c>
      <c r="T2752" t="s">
        <v>52</v>
      </c>
      <c r="U2752">
        <v>4</v>
      </c>
      <c r="V2752">
        <v>7</v>
      </c>
    </row>
    <row r="2753" spans="1:22" x14ac:dyDescent="0.3">
      <c r="A2753">
        <v>2752</v>
      </c>
      <c r="B2753">
        <v>53108</v>
      </c>
      <c r="C2753" s="2">
        <v>38332</v>
      </c>
      <c r="D2753">
        <v>21</v>
      </c>
      <c r="E2753" t="s">
        <v>42</v>
      </c>
      <c r="F2753" t="s">
        <v>37</v>
      </c>
      <c r="G2753" s="2">
        <v>45456</v>
      </c>
      <c r="H2753" s="3">
        <f t="shared" si="42"/>
        <v>1.4191780821917808</v>
      </c>
      <c r="I2753">
        <v>61</v>
      </c>
      <c r="J2753" t="s">
        <v>38</v>
      </c>
      <c r="K2753" t="s">
        <v>48</v>
      </c>
      <c r="L2753" t="s">
        <v>44</v>
      </c>
      <c r="M2753">
        <v>8.4700000000000006</v>
      </c>
      <c r="T2753" t="s">
        <v>52</v>
      </c>
      <c r="U2753">
        <v>2</v>
      </c>
      <c r="V2753">
        <v>5</v>
      </c>
    </row>
    <row r="2754" spans="1:22" x14ac:dyDescent="0.3">
      <c r="A2754">
        <v>2753</v>
      </c>
      <c r="B2754">
        <v>53109</v>
      </c>
      <c r="C2754" s="2">
        <v>35018</v>
      </c>
      <c r="D2754">
        <v>30</v>
      </c>
      <c r="E2754" t="s">
        <v>36</v>
      </c>
      <c r="F2754" t="s">
        <v>50</v>
      </c>
      <c r="G2754" s="2">
        <v>45504</v>
      </c>
      <c r="H2754" s="3">
        <f t="shared" si="42"/>
        <v>1.7452054794520548</v>
      </c>
      <c r="I2754">
        <v>4</v>
      </c>
      <c r="J2754" t="s">
        <v>38</v>
      </c>
      <c r="K2754" t="s">
        <v>55</v>
      </c>
      <c r="L2754" t="s">
        <v>44</v>
      </c>
      <c r="M2754">
        <v>17.59</v>
      </c>
      <c r="T2754" t="s">
        <v>49</v>
      </c>
      <c r="U2754">
        <v>2</v>
      </c>
      <c r="V2754">
        <v>5</v>
      </c>
    </row>
    <row r="2755" spans="1:22" x14ac:dyDescent="0.3">
      <c r="A2755">
        <v>2754</v>
      </c>
      <c r="B2755">
        <v>53110</v>
      </c>
      <c r="C2755" s="2">
        <v>37466</v>
      </c>
      <c r="D2755">
        <v>23</v>
      </c>
      <c r="E2755" t="s">
        <v>42</v>
      </c>
      <c r="F2755" t="s">
        <v>50</v>
      </c>
      <c r="G2755" s="2">
        <v>45385</v>
      </c>
      <c r="H2755" s="3">
        <f t="shared" ref="H2755:H2818" si="43">DATEDIF(G2756,DATE(2025,12,31),"d")/365</f>
        <v>1.6739726027397259</v>
      </c>
      <c r="I2755">
        <v>18</v>
      </c>
      <c r="J2755" t="s">
        <v>38</v>
      </c>
      <c r="K2755" t="s">
        <v>68</v>
      </c>
      <c r="L2755" t="s">
        <v>44</v>
      </c>
      <c r="M2755">
        <v>17</v>
      </c>
      <c r="T2755" t="s">
        <v>49</v>
      </c>
      <c r="U2755">
        <v>1</v>
      </c>
      <c r="V2755">
        <v>6</v>
      </c>
    </row>
    <row r="2756" spans="1:22" x14ac:dyDescent="0.3">
      <c r="A2756">
        <v>2755</v>
      </c>
      <c r="B2756">
        <v>53111</v>
      </c>
      <c r="C2756" s="2">
        <v>39012</v>
      </c>
      <c r="D2756">
        <v>19</v>
      </c>
      <c r="E2756" t="s">
        <v>36</v>
      </c>
      <c r="F2756" t="s">
        <v>50</v>
      </c>
      <c r="G2756" s="2">
        <v>45411</v>
      </c>
      <c r="H2756" s="3">
        <f t="shared" si="43"/>
        <v>1.4328767123287671</v>
      </c>
      <c r="I2756">
        <v>28</v>
      </c>
      <c r="J2756" t="s">
        <v>38</v>
      </c>
      <c r="K2756" t="s">
        <v>48</v>
      </c>
      <c r="L2756" t="s">
        <v>44</v>
      </c>
      <c r="M2756">
        <v>17.899999999999999</v>
      </c>
      <c r="T2756" t="s">
        <v>45</v>
      </c>
      <c r="U2756">
        <v>4</v>
      </c>
      <c r="V2756">
        <v>4</v>
      </c>
    </row>
    <row r="2757" spans="1:22" x14ac:dyDescent="0.3">
      <c r="A2757">
        <v>2756</v>
      </c>
      <c r="B2757">
        <v>53112</v>
      </c>
      <c r="C2757" s="2">
        <v>38047</v>
      </c>
      <c r="D2757">
        <v>22</v>
      </c>
      <c r="E2757" t="s">
        <v>36</v>
      </c>
      <c r="F2757" t="s">
        <v>50</v>
      </c>
      <c r="G2757" s="2">
        <v>45499</v>
      </c>
      <c r="H2757" s="3">
        <f t="shared" si="43"/>
        <v>1.473972602739726</v>
      </c>
      <c r="I2757">
        <v>37</v>
      </c>
      <c r="J2757" t="s">
        <v>38</v>
      </c>
      <c r="K2757" t="s">
        <v>43</v>
      </c>
      <c r="L2757" t="s">
        <v>44</v>
      </c>
      <c r="M2757">
        <v>16.37</v>
      </c>
      <c r="T2757" t="s">
        <v>49</v>
      </c>
      <c r="U2757">
        <v>1</v>
      </c>
      <c r="V2757">
        <v>3</v>
      </c>
    </row>
    <row r="2758" spans="1:22" x14ac:dyDescent="0.3">
      <c r="A2758">
        <v>2757</v>
      </c>
      <c r="B2758">
        <v>53114</v>
      </c>
      <c r="C2758" s="2">
        <v>37991</v>
      </c>
      <c r="D2758">
        <v>21</v>
      </c>
      <c r="E2758" t="s">
        <v>36</v>
      </c>
      <c r="F2758" t="s">
        <v>50</v>
      </c>
      <c r="G2758" s="2">
        <v>45484</v>
      </c>
      <c r="H2758" s="3">
        <f t="shared" si="43"/>
        <v>1.5315068493150685</v>
      </c>
      <c r="I2758">
        <v>144</v>
      </c>
      <c r="J2758" t="s">
        <v>57</v>
      </c>
      <c r="K2758" t="s">
        <v>54</v>
      </c>
      <c r="L2758" t="s">
        <v>44</v>
      </c>
      <c r="M2758">
        <v>23.78</v>
      </c>
      <c r="T2758" t="s">
        <v>49</v>
      </c>
      <c r="U2758">
        <v>3</v>
      </c>
      <c r="V2758">
        <v>6</v>
      </c>
    </row>
    <row r="2759" spans="1:22" x14ac:dyDescent="0.3">
      <c r="A2759">
        <v>2758</v>
      </c>
      <c r="B2759">
        <v>53115</v>
      </c>
      <c r="C2759" s="2">
        <v>37972</v>
      </c>
      <c r="D2759">
        <v>22</v>
      </c>
      <c r="E2759" t="s">
        <v>42</v>
      </c>
      <c r="F2759" t="s">
        <v>50</v>
      </c>
      <c r="G2759" s="2">
        <v>45463</v>
      </c>
      <c r="H2759" s="3">
        <f t="shared" si="43"/>
        <v>1.1698630136986301</v>
      </c>
      <c r="I2759">
        <v>47</v>
      </c>
      <c r="J2759" t="s">
        <v>38</v>
      </c>
      <c r="K2759" t="s">
        <v>64</v>
      </c>
      <c r="L2759" t="s">
        <v>44</v>
      </c>
      <c r="M2759">
        <v>14.07</v>
      </c>
      <c r="T2759" t="s">
        <v>47</v>
      </c>
      <c r="U2759">
        <v>1</v>
      </c>
      <c r="V2759">
        <v>5</v>
      </c>
    </row>
    <row r="2760" spans="1:22" x14ac:dyDescent="0.3">
      <c r="A2760">
        <v>2759</v>
      </c>
      <c r="B2760">
        <v>53116</v>
      </c>
      <c r="C2760" s="2">
        <v>36651</v>
      </c>
      <c r="D2760">
        <v>25</v>
      </c>
      <c r="E2760" t="s">
        <v>42</v>
      </c>
      <c r="F2760" t="s">
        <v>50</v>
      </c>
      <c r="G2760" s="2">
        <v>45595</v>
      </c>
      <c r="H2760" s="3">
        <f t="shared" si="43"/>
        <v>1.3561643835616439</v>
      </c>
      <c r="I2760">
        <v>104</v>
      </c>
      <c r="J2760" t="s">
        <v>57</v>
      </c>
      <c r="K2760" t="s">
        <v>68</v>
      </c>
      <c r="L2760" t="s">
        <v>44</v>
      </c>
      <c r="M2760">
        <v>17</v>
      </c>
      <c r="T2760" t="s">
        <v>52</v>
      </c>
      <c r="U2760">
        <v>3</v>
      </c>
      <c r="V2760">
        <v>7</v>
      </c>
    </row>
    <row r="2761" spans="1:22" x14ac:dyDescent="0.3">
      <c r="A2761">
        <v>2760</v>
      </c>
      <c r="B2761">
        <v>53117</v>
      </c>
      <c r="C2761" s="2">
        <v>38513</v>
      </c>
      <c r="D2761">
        <v>20</v>
      </c>
      <c r="E2761" t="s">
        <v>36</v>
      </c>
      <c r="F2761" t="s">
        <v>50</v>
      </c>
      <c r="G2761" s="2">
        <v>45527</v>
      </c>
      <c r="H2761" s="3">
        <f t="shared" si="43"/>
        <v>1.1013698630136985</v>
      </c>
      <c r="I2761">
        <v>18</v>
      </c>
      <c r="J2761" t="s">
        <v>38</v>
      </c>
      <c r="K2761" t="s">
        <v>46</v>
      </c>
      <c r="L2761" t="s">
        <v>44</v>
      </c>
      <c r="M2761">
        <v>14.23</v>
      </c>
      <c r="T2761" t="s">
        <v>47</v>
      </c>
      <c r="U2761">
        <v>1</v>
      </c>
      <c r="V2761">
        <v>3</v>
      </c>
    </row>
    <row r="2762" spans="1:22" x14ac:dyDescent="0.3">
      <c r="A2762">
        <v>2761</v>
      </c>
      <c r="B2762">
        <v>53118</v>
      </c>
      <c r="C2762" s="2">
        <v>37614</v>
      </c>
      <c r="D2762">
        <v>23</v>
      </c>
      <c r="E2762" t="s">
        <v>42</v>
      </c>
      <c r="F2762" t="s">
        <v>50</v>
      </c>
      <c r="G2762" s="2">
        <v>45620</v>
      </c>
      <c r="H2762" s="3">
        <f t="shared" si="43"/>
        <v>1.7863013698630137</v>
      </c>
      <c r="I2762">
        <v>47</v>
      </c>
      <c r="J2762" t="s">
        <v>38</v>
      </c>
      <c r="K2762" t="s">
        <v>56</v>
      </c>
      <c r="L2762" t="s">
        <v>44</v>
      </c>
      <c r="M2762">
        <v>8.4700000000000006</v>
      </c>
      <c r="T2762" t="s">
        <v>52</v>
      </c>
      <c r="U2762">
        <v>1</v>
      </c>
      <c r="V2762">
        <v>5</v>
      </c>
    </row>
    <row r="2763" spans="1:22" x14ac:dyDescent="0.3">
      <c r="A2763">
        <v>2762</v>
      </c>
      <c r="B2763">
        <v>53119</v>
      </c>
      <c r="C2763" s="2">
        <v>38345</v>
      </c>
      <c r="D2763">
        <v>21</v>
      </c>
      <c r="E2763" t="s">
        <v>36</v>
      </c>
      <c r="F2763" t="s">
        <v>37</v>
      </c>
      <c r="G2763" s="2">
        <v>45370</v>
      </c>
      <c r="H2763" s="3">
        <f t="shared" si="43"/>
        <v>1.6109589041095891</v>
      </c>
      <c r="I2763">
        <v>60</v>
      </c>
      <c r="J2763" t="s">
        <v>38</v>
      </c>
      <c r="K2763" t="s">
        <v>65</v>
      </c>
      <c r="L2763" t="s">
        <v>44</v>
      </c>
      <c r="M2763">
        <v>10.64</v>
      </c>
      <c r="T2763" t="s">
        <v>52</v>
      </c>
      <c r="U2763">
        <v>0</v>
      </c>
      <c r="V2763">
        <v>3</v>
      </c>
    </row>
    <row r="2764" spans="1:22" x14ac:dyDescent="0.3">
      <c r="A2764">
        <v>2763</v>
      </c>
      <c r="B2764">
        <v>53120</v>
      </c>
      <c r="C2764" s="2">
        <v>38005</v>
      </c>
      <c r="D2764">
        <v>21</v>
      </c>
      <c r="E2764" t="s">
        <v>36</v>
      </c>
      <c r="F2764" t="s">
        <v>50</v>
      </c>
      <c r="G2764" s="2">
        <v>45434</v>
      </c>
      <c r="H2764" s="3">
        <f t="shared" si="43"/>
        <v>1.7698630136986302</v>
      </c>
      <c r="I2764">
        <v>65</v>
      </c>
      <c r="J2764" t="s">
        <v>38</v>
      </c>
      <c r="K2764" t="s">
        <v>65</v>
      </c>
      <c r="L2764" t="s">
        <v>44</v>
      </c>
      <c r="M2764">
        <v>10.64</v>
      </c>
      <c r="T2764" t="s">
        <v>47</v>
      </c>
      <c r="U2764">
        <v>0</v>
      </c>
      <c r="V2764">
        <v>3</v>
      </c>
    </row>
    <row r="2765" spans="1:22" x14ac:dyDescent="0.3">
      <c r="A2765">
        <v>2764</v>
      </c>
      <c r="B2765">
        <v>53121</v>
      </c>
      <c r="C2765" s="2">
        <v>39363</v>
      </c>
      <c r="D2765">
        <v>18</v>
      </c>
      <c r="E2765" t="s">
        <v>42</v>
      </c>
      <c r="F2765" t="s">
        <v>50</v>
      </c>
      <c r="G2765" s="2">
        <v>45376</v>
      </c>
      <c r="H2765" s="3">
        <f t="shared" si="43"/>
        <v>1.7452054794520548</v>
      </c>
      <c r="I2765">
        <v>68</v>
      </c>
      <c r="J2765" t="s">
        <v>57</v>
      </c>
      <c r="K2765" t="s">
        <v>56</v>
      </c>
      <c r="L2765" t="s">
        <v>44</v>
      </c>
      <c r="M2765">
        <v>8.4700000000000006</v>
      </c>
      <c r="T2765" t="s">
        <v>49</v>
      </c>
      <c r="U2765">
        <v>0</v>
      </c>
      <c r="V2765">
        <v>6</v>
      </c>
    </row>
    <row r="2766" spans="1:22" x14ac:dyDescent="0.3">
      <c r="A2766">
        <v>2765</v>
      </c>
      <c r="B2766">
        <v>53122</v>
      </c>
      <c r="C2766" s="2">
        <v>38825</v>
      </c>
      <c r="D2766">
        <v>19</v>
      </c>
      <c r="E2766" t="s">
        <v>42</v>
      </c>
      <c r="F2766" t="s">
        <v>50</v>
      </c>
      <c r="G2766" s="2">
        <v>45385</v>
      </c>
      <c r="H2766" s="3">
        <f t="shared" si="43"/>
        <v>1.295890410958904</v>
      </c>
      <c r="I2766">
        <v>91</v>
      </c>
      <c r="J2766" t="s">
        <v>57</v>
      </c>
      <c r="K2766" t="s">
        <v>56</v>
      </c>
      <c r="L2766" t="s">
        <v>44</v>
      </c>
      <c r="M2766">
        <v>8.4700000000000006</v>
      </c>
      <c r="T2766" t="s">
        <v>47</v>
      </c>
      <c r="U2766">
        <v>4</v>
      </c>
      <c r="V2766">
        <v>7</v>
      </c>
    </row>
    <row r="2767" spans="1:22" x14ac:dyDescent="0.3">
      <c r="A2767">
        <v>2766</v>
      </c>
      <c r="B2767">
        <v>53123</v>
      </c>
      <c r="C2767" s="2">
        <v>38215</v>
      </c>
      <c r="D2767">
        <v>21</v>
      </c>
      <c r="E2767" t="s">
        <v>42</v>
      </c>
      <c r="F2767" t="s">
        <v>37</v>
      </c>
      <c r="G2767" s="2">
        <v>45549</v>
      </c>
      <c r="H2767" s="3">
        <f t="shared" si="43"/>
        <v>1.2438356164383562</v>
      </c>
      <c r="I2767">
        <v>143</v>
      </c>
      <c r="J2767" t="s">
        <v>57</v>
      </c>
      <c r="K2767" t="s">
        <v>56</v>
      </c>
      <c r="L2767" t="s">
        <v>44</v>
      </c>
      <c r="M2767">
        <v>8.4700000000000006</v>
      </c>
      <c r="T2767" t="s">
        <v>45</v>
      </c>
      <c r="U2767">
        <v>0</v>
      </c>
      <c r="V2767">
        <v>6</v>
      </c>
    </row>
    <row r="2768" spans="1:22" x14ac:dyDescent="0.3">
      <c r="A2768">
        <v>2767</v>
      </c>
      <c r="B2768">
        <v>53124</v>
      </c>
      <c r="C2768" s="2">
        <v>35677</v>
      </c>
      <c r="D2768">
        <v>28</v>
      </c>
      <c r="E2768" t="s">
        <v>36</v>
      </c>
      <c r="F2768" t="s">
        <v>50</v>
      </c>
      <c r="G2768" s="2">
        <v>45568</v>
      </c>
      <c r="H2768" s="3">
        <f t="shared" si="43"/>
        <v>1.3068493150684932</v>
      </c>
      <c r="I2768">
        <v>12</v>
      </c>
      <c r="J2768" t="s">
        <v>38</v>
      </c>
      <c r="K2768" t="s">
        <v>48</v>
      </c>
      <c r="L2768" t="s">
        <v>44</v>
      </c>
      <c r="M2768">
        <v>8.4700000000000006</v>
      </c>
      <c r="T2768" t="s">
        <v>45</v>
      </c>
      <c r="U2768">
        <v>3</v>
      </c>
      <c r="V2768">
        <v>5</v>
      </c>
    </row>
    <row r="2769" spans="1:22" x14ac:dyDescent="0.3">
      <c r="A2769">
        <v>2768</v>
      </c>
      <c r="B2769">
        <v>53125</v>
      </c>
      <c r="C2769" s="2">
        <v>38324</v>
      </c>
      <c r="D2769">
        <v>21</v>
      </c>
      <c r="E2769" t="s">
        <v>42</v>
      </c>
      <c r="F2769" t="s">
        <v>50</v>
      </c>
      <c r="G2769" s="2">
        <v>45545</v>
      </c>
      <c r="H2769" s="3">
        <f t="shared" si="43"/>
        <v>1.0767123287671232</v>
      </c>
      <c r="I2769">
        <v>107</v>
      </c>
      <c r="J2769" t="s">
        <v>57</v>
      </c>
      <c r="K2769" t="s">
        <v>64</v>
      </c>
      <c r="L2769" t="s">
        <v>44</v>
      </c>
      <c r="M2769">
        <v>14.07</v>
      </c>
      <c r="T2769" t="s">
        <v>45</v>
      </c>
      <c r="U2769">
        <v>1</v>
      </c>
      <c r="V2769">
        <v>7</v>
      </c>
    </row>
    <row r="2770" spans="1:22" x14ac:dyDescent="0.3">
      <c r="A2770">
        <v>2769</v>
      </c>
      <c r="B2770">
        <v>53126</v>
      </c>
      <c r="C2770" s="2">
        <v>37313</v>
      </c>
      <c r="D2770">
        <v>23</v>
      </c>
      <c r="E2770" t="s">
        <v>36</v>
      </c>
      <c r="F2770" t="s">
        <v>37</v>
      </c>
      <c r="G2770" s="2">
        <v>45629</v>
      </c>
      <c r="H2770" s="3">
        <f t="shared" si="43"/>
        <v>1.0493150684931507</v>
      </c>
      <c r="I2770">
        <v>119</v>
      </c>
      <c r="J2770" t="s">
        <v>57</v>
      </c>
      <c r="K2770" t="s">
        <v>65</v>
      </c>
      <c r="L2770" t="s">
        <v>44</v>
      </c>
      <c r="M2770">
        <v>10.64</v>
      </c>
      <c r="T2770" t="s">
        <v>49</v>
      </c>
      <c r="U2770">
        <v>0</v>
      </c>
      <c r="V2770">
        <v>4</v>
      </c>
    </row>
    <row r="2771" spans="1:22" x14ac:dyDescent="0.3">
      <c r="A2771">
        <v>2770</v>
      </c>
      <c r="B2771">
        <v>53127</v>
      </c>
      <c r="C2771" s="2">
        <v>38156</v>
      </c>
      <c r="D2771">
        <v>21</v>
      </c>
      <c r="E2771" t="s">
        <v>42</v>
      </c>
      <c r="F2771" t="s">
        <v>50</v>
      </c>
      <c r="G2771" s="2">
        <v>45639</v>
      </c>
      <c r="H2771" s="3">
        <f t="shared" si="43"/>
        <v>1.1945205479452055</v>
      </c>
      <c r="I2771">
        <v>119</v>
      </c>
      <c r="J2771" t="s">
        <v>57</v>
      </c>
      <c r="K2771" t="s">
        <v>56</v>
      </c>
      <c r="L2771" t="s">
        <v>44</v>
      </c>
      <c r="M2771">
        <v>8.4700000000000006</v>
      </c>
      <c r="T2771" t="s">
        <v>47</v>
      </c>
      <c r="U2771">
        <v>2</v>
      </c>
      <c r="V2771">
        <v>7</v>
      </c>
    </row>
    <row r="2772" spans="1:22" x14ac:dyDescent="0.3">
      <c r="A2772">
        <v>2771</v>
      </c>
      <c r="B2772">
        <v>53128</v>
      </c>
      <c r="C2772" s="2">
        <v>38645</v>
      </c>
      <c r="D2772">
        <v>20</v>
      </c>
      <c r="E2772" t="s">
        <v>42</v>
      </c>
      <c r="F2772" t="s">
        <v>37</v>
      </c>
      <c r="G2772" s="2">
        <v>45586</v>
      </c>
      <c r="H2772" s="3">
        <f t="shared" si="43"/>
        <v>1.4931506849315068</v>
      </c>
      <c r="I2772">
        <v>71</v>
      </c>
      <c r="J2772" t="s">
        <v>57</v>
      </c>
      <c r="K2772" t="s">
        <v>43</v>
      </c>
      <c r="L2772" t="s">
        <v>44</v>
      </c>
      <c r="M2772">
        <v>16.37</v>
      </c>
      <c r="T2772" t="s">
        <v>47</v>
      </c>
      <c r="U2772">
        <v>0</v>
      </c>
      <c r="V2772">
        <v>6</v>
      </c>
    </row>
    <row r="2773" spans="1:22" x14ac:dyDescent="0.3">
      <c r="A2773">
        <v>2772</v>
      </c>
      <c r="B2773">
        <v>53129</v>
      </c>
      <c r="C2773" s="2">
        <v>35421</v>
      </c>
      <c r="D2773">
        <v>29</v>
      </c>
      <c r="E2773" t="s">
        <v>42</v>
      </c>
      <c r="F2773" t="s">
        <v>50</v>
      </c>
      <c r="G2773" s="2">
        <v>45477</v>
      </c>
      <c r="H2773" s="3">
        <f t="shared" si="43"/>
        <v>1.7835616438356163</v>
      </c>
      <c r="I2773">
        <v>77</v>
      </c>
      <c r="J2773" t="s">
        <v>57</v>
      </c>
      <c r="K2773" t="s">
        <v>68</v>
      </c>
      <c r="L2773" t="s">
        <v>44</v>
      </c>
      <c r="M2773">
        <v>17</v>
      </c>
      <c r="T2773" t="s">
        <v>49</v>
      </c>
      <c r="U2773">
        <v>1</v>
      </c>
      <c r="V2773">
        <v>7</v>
      </c>
    </row>
    <row r="2774" spans="1:22" x14ac:dyDescent="0.3">
      <c r="A2774">
        <v>2773</v>
      </c>
      <c r="B2774">
        <v>53130</v>
      </c>
      <c r="C2774" s="2">
        <v>35622</v>
      </c>
      <c r="D2774">
        <v>28</v>
      </c>
      <c r="E2774" t="s">
        <v>42</v>
      </c>
      <c r="F2774" t="s">
        <v>50</v>
      </c>
      <c r="G2774" s="2">
        <v>45371</v>
      </c>
      <c r="H2774" s="3">
        <f t="shared" si="43"/>
        <v>1.2821917808219179</v>
      </c>
      <c r="I2774">
        <v>136</v>
      </c>
      <c r="J2774" t="s">
        <v>57</v>
      </c>
      <c r="K2774" t="s">
        <v>56</v>
      </c>
      <c r="L2774" t="s">
        <v>44</v>
      </c>
      <c r="M2774">
        <v>8.4700000000000006</v>
      </c>
      <c r="T2774" t="s">
        <v>45</v>
      </c>
      <c r="U2774">
        <v>0</v>
      </c>
      <c r="V2774">
        <v>7</v>
      </c>
    </row>
    <row r="2775" spans="1:22" x14ac:dyDescent="0.3">
      <c r="A2775">
        <v>2774</v>
      </c>
      <c r="B2775">
        <v>53131</v>
      </c>
      <c r="C2775" s="2">
        <v>38349</v>
      </c>
      <c r="D2775">
        <v>21</v>
      </c>
      <c r="E2775" t="s">
        <v>36</v>
      </c>
      <c r="F2775" t="s">
        <v>50</v>
      </c>
      <c r="G2775" s="2">
        <v>45554</v>
      </c>
      <c r="H2775" s="3">
        <f t="shared" si="43"/>
        <v>1.8054794520547945</v>
      </c>
      <c r="I2775">
        <v>4</v>
      </c>
      <c r="J2775" t="s">
        <v>38</v>
      </c>
      <c r="K2775" t="s">
        <v>43</v>
      </c>
      <c r="L2775" t="s">
        <v>44</v>
      </c>
      <c r="M2775">
        <v>16.37</v>
      </c>
      <c r="T2775" t="s">
        <v>47</v>
      </c>
      <c r="U2775">
        <v>1</v>
      </c>
      <c r="V2775">
        <v>5</v>
      </c>
    </row>
    <row r="2776" spans="1:22" x14ac:dyDescent="0.3">
      <c r="A2776">
        <v>2775</v>
      </c>
      <c r="B2776">
        <v>53132</v>
      </c>
      <c r="C2776" s="2">
        <v>37920</v>
      </c>
      <c r="D2776">
        <v>22</v>
      </c>
      <c r="E2776" t="s">
        <v>42</v>
      </c>
      <c r="F2776" t="s">
        <v>50</v>
      </c>
      <c r="G2776" s="2">
        <v>45363</v>
      </c>
      <c r="H2776" s="3">
        <f t="shared" si="43"/>
        <v>1.3095890410958904</v>
      </c>
      <c r="I2776">
        <v>22</v>
      </c>
      <c r="J2776" t="s">
        <v>38</v>
      </c>
      <c r="K2776" t="s">
        <v>56</v>
      </c>
      <c r="L2776" t="s">
        <v>44</v>
      </c>
      <c r="M2776">
        <v>8.4700000000000006</v>
      </c>
      <c r="T2776" t="s">
        <v>45</v>
      </c>
      <c r="U2776">
        <v>1</v>
      </c>
      <c r="V2776">
        <v>7</v>
      </c>
    </row>
    <row r="2777" spans="1:22" x14ac:dyDescent="0.3">
      <c r="A2777">
        <v>2776</v>
      </c>
      <c r="B2777">
        <v>53133</v>
      </c>
      <c r="C2777" s="2">
        <v>38492</v>
      </c>
      <c r="D2777">
        <v>20</v>
      </c>
      <c r="E2777" t="s">
        <v>42</v>
      </c>
      <c r="F2777" t="s">
        <v>50</v>
      </c>
      <c r="G2777" s="2">
        <v>45544</v>
      </c>
      <c r="H2777" s="3">
        <f t="shared" si="43"/>
        <v>1.7835616438356163</v>
      </c>
      <c r="I2777">
        <v>32</v>
      </c>
      <c r="J2777" t="s">
        <v>38</v>
      </c>
      <c r="K2777" t="s">
        <v>56</v>
      </c>
      <c r="L2777" t="s">
        <v>44</v>
      </c>
      <c r="M2777">
        <v>8.4700000000000006</v>
      </c>
      <c r="T2777" t="s">
        <v>47</v>
      </c>
      <c r="U2777">
        <v>1</v>
      </c>
      <c r="V2777">
        <v>6</v>
      </c>
    </row>
    <row r="2778" spans="1:22" x14ac:dyDescent="0.3">
      <c r="A2778">
        <v>2777</v>
      </c>
      <c r="B2778">
        <v>53134</v>
      </c>
      <c r="C2778" s="2">
        <v>35395</v>
      </c>
      <c r="D2778">
        <v>29</v>
      </c>
      <c r="E2778" t="s">
        <v>42</v>
      </c>
      <c r="F2778" t="s">
        <v>50</v>
      </c>
      <c r="G2778" s="2">
        <v>45371</v>
      </c>
      <c r="H2778" s="3">
        <f t="shared" si="43"/>
        <v>1.021917808219178</v>
      </c>
      <c r="I2778">
        <v>39</v>
      </c>
      <c r="J2778" t="s">
        <v>38</v>
      </c>
      <c r="K2778" t="s">
        <v>56</v>
      </c>
      <c r="L2778" t="s">
        <v>44</v>
      </c>
      <c r="M2778">
        <v>8.4700000000000006</v>
      </c>
      <c r="T2778" t="s">
        <v>52</v>
      </c>
      <c r="U2778">
        <v>1</v>
      </c>
      <c r="V2778">
        <v>6</v>
      </c>
    </row>
    <row r="2779" spans="1:22" x14ac:dyDescent="0.3">
      <c r="A2779">
        <v>2778</v>
      </c>
      <c r="B2779">
        <v>53135</v>
      </c>
      <c r="C2779" s="2">
        <v>37538</v>
      </c>
      <c r="D2779">
        <v>23</v>
      </c>
      <c r="E2779" t="s">
        <v>42</v>
      </c>
      <c r="F2779" t="s">
        <v>37</v>
      </c>
      <c r="G2779" s="2">
        <v>45649</v>
      </c>
      <c r="H2779" s="3">
        <f t="shared" si="43"/>
        <v>1.0684931506849316</v>
      </c>
      <c r="I2779">
        <v>43</v>
      </c>
      <c r="J2779" t="s">
        <v>38</v>
      </c>
      <c r="K2779" t="s">
        <v>56</v>
      </c>
      <c r="L2779" t="s">
        <v>44</v>
      </c>
      <c r="M2779">
        <v>8.4700000000000006</v>
      </c>
      <c r="T2779" t="s">
        <v>49</v>
      </c>
      <c r="U2779">
        <v>2</v>
      </c>
      <c r="V2779">
        <v>5</v>
      </c>
    </row>
    <row r="2780" spans="1:22" x14ac:dyDescent="0.3">
      <c r="A2780">
        <v>2779</v>
      </c>
      <c r="B2780">
        <v>53136</v>
      </c>
      <c r="C2780" s="2">
        <v>36136</v>
      </c>
      <c r="D2780">
        <v>27</v>
      </c>
      <c r="E2780" t="s">
        <v>36</v>
      </c>
      <c r="F2780" t="s">
        <v>37</v>
      </c>
      <c r="G2780" s="2">
        <v>45632</v>
      </c>
      <c r="H2780" s="3">
        <f t="shared" si="43"/>
        <v>1.6602739726027398</v>
      </c>
      <c r="I2780">
        <v>48</v>
      </c>
      <c r="J2780" t="s">
        <v>38</v>
      </c>
      <c r="K2780" t="s">
        <v>64</v>
      </c>
      <c r="L2780" t="s">
        <v>44</v>
      </c>
      <c r="M2780">
        <v>14.07</v>
      </c>
      <c r="T2780" t="s">
        <v>52</v>
      </c>
      <c r="U2780">
        <v>0</v>
      </c>
      <c r="V2780">
        <v>3</v>
      </c>
    </row>
    <row r="2781" spans="1:22" x14ac:dyDescent="0.3">
      <c r="A2781">
        <v>2780</v>
      </c>
      <c r="B2781">
        <v>53138</v>
      </c>
      <c r="C2781" s="2">
        <v>38438</v>
      </c>
      <c r="D2781">
        <v>20</v>
      </c>
      <c r="E2781" t="s">
        <v>42</v>
      </c>
      <c r="F2781" t="s">
        <v>37</v>
      </c>
      <c r="G2781" s="2">
        <v>45416</v>
      </c>
      <c r="H2781" s="3">
        <f t="shared" si="43"/>
        <v>1.2575342465753425</v>
      </c>
      <c r="I2781">
        <v>69</v>
      </c>
      <c r="J2781" t="s">
        <v>57</v>
      </c>
      <c r="K2781" t="s">
        <v>56</v>
      </c>
      <c r="L2781" t="s">
        <v>44</v>
      </c>
      <c r="M2781">
        <v>8.4700000000000006</v>
      </c>
      <c r="T2781" t="s">
        <v>47</v>
      </c>
      <c r="U2781">
        <v>2</v>
      </c>
      <c r="V2781">
        <v>6</v>
      </c>
    </row>
    <row r="2782" spans="1:22" x14ac:dyDescent="0.3">
      <c r="A2782">
        <v>2781</v>
      </c>
      <c r="B2782">
        <v>53139</v>
      </c>
      <c r="C2782" s="2">
        <v>36389</v>
      </c>
      <c r="D2782">
        <v>26</v>
      </c>
      <c r="E2782" t="s">
        <v>36</v>
      </c>
      <c r="F2782" t="s">
        <v>50</v>
      </c>
      <c r="G2782" s="2">
        <v>45563</v>
      </c>
      <c r="H2782" s="3">
        <f t="shared" si="43"/>
        <v>1.3041095890410959</v>
      </c>
      <c r="I2782">
        <v>70</v>
      </c>
      <c r="J2782" t="s">
        <v>57</v>
      </c>
      <c r="K2782" t="s">
        <v>68</v>
      </c>
      <c r="L2782" t="s">
        <v>44</v>
      </c>
      <c r="M2782">
        <v>17</v>
      </c>
      <c r="T2782" t="s">
        <v>47</v>
      </c>
      <c r="U2782">
        <v>2</v>
      </c>
      <c r="V2782">
        <v>3</v>
      </c>
    </row>
    <row r="2783" spans="1:22" x14ac:dyDescent="0.3">
      <c r="A2783">
        <v>2782</v>
      </c>
      <c r="B2783">
        <v>53140</v>
      </c>
      <c r="C2783" s="2">
        <v>35556</v>
      </c>
      <c r="D2783">
        <v>28</v>
      </c>
      <c r="E2783" t="s">
        <v>36</v>
      </c>
      <c r="F2783" t="s">
        <v>50</v>
      </c>
      <c r="G2783" s="2">
        <v>45546</v>
      </c>
      <c r="H2783" s="3">
        <f t="shared" si="43"/>
        <v>1.2767123287671234</v>
      </c>
      <c r="I2783">
        <v>113</v>
      </c>
      <c r="J2783" t="s">
        <v>57</v>
      </c>
      <c r="K2783" t="s">
        <v>54</v>
      </c>
      <c r="L2783" t="s">
        <v>44</v>
      </c>
      <c r="M2783">
        <v>23.78</v>
      </c>
      <c r="T2783" t="s">
        <v>52</v>
      </c>
      <c r="U2783">
        <v>6</v>
      </c>
      <c r="V2783">
        <v>6</v>
      </c>
    </row>
    <row r="2784" spans="1:22" x14ac:dyDescent="0.3">
      <c r="A2784">
        <v>2783</v>
      </c>
      <c r="B2784">
        <v>53141</v>
      </c>
      <c r="C2784" s="2">
        <v>36934</v>
      </c>
      <c r="D2784">
        <v>24</v>
      </c>
      <c r="E2784" t="s">
        <v>42</v>
      </c>
      <c r="F2784" t="s">
        <v>50</v>
      </c>
      <c r="G2784" s="2">
        <v>45556</v>
      </c>
      <c r="H2784" s="3">
        <f t="shared" si="43"/>
        <v>1.452054794520548</v>
      </c>
      <c r="I2784">
        <v>121</v>
      </c>
      <c r="J2784" t="s">
        <v>57</v>
      </c>
      <c r="K2784" t="s">
        <v>68</v>
      </c>
      <c r="L2784" t="s">
        <v>44</v>
      </c>
      <c r="M2784">
        <v>17</v>
      </c>
      <c r="T2784" t="s">
        <v>47</v>
      </c>
      <c r="U2784">
        <v>4</v>
      </c>
      <c r="V2784">
        <v>5</v>
      </c>
    </row>
    <row r="2785" spans="1:22" x14ac:dyDescent="0.3">
      <c r="A2785">
        <v>2784</v>
      </c>
      <c r="B2785">
        <v>53142</v>
      </c>
      <c r="C2785" s="2">
        <v>36497</v>
      </c>
      <c r="D2785">
        <v>26</v>
      </c>
      <c r="E2785" t="s">
        <v>36</v>
      </c>
      <c r="F2785" t="s">
        <v>37</v>
      </c>
      <c r="G2785" s="2">
        <v>45492</v>
      </c>
      <c r="H2785" s="3">
        <f t="shared" si="43"/>
        <v>1.3013698630136987</v>
      </c>
      <c r="I2785">
        <v>124</v>
      </c>
      <c r="J2785" t="s">
        <v>57</v>
      </c>
      <c r="K2785" t="s">
        <v>65</v>
      </c>
      <c r="L2785" t="s">
        <v>44</v>
      </c>
      <c r="M2785">
        <v>10.64</v>
      </c>
      <c r="T2785" t="s">
        <v>49</v>
      </c>
      <c r="U2785">
        <v>0</v>
      </c>
      <c r="V2785">
        <v>3</v>
      </c>
    </row>
    <row r="2786" spans="1:22" x14ac:dyDescent="0.3">
      <c r="A2786">
        <v>2785</v>
      </c>
      <c r="B2786">
        <v>53143</v>
      </c>
      <c r="C2786" s="2">
        <v>36999</v>
      </c>
      <c r="D2786">
        <v>24</v>
      </c>
      <c r="E2786" t="s">
        <v>42</v>
      </c>
      <c r="F2786" t="s">
        <v>50</v>
      </c>
      <c r="G2786" s="2">
        <v>45547</v>
      </c>
      <c r="H2786" s="3">
        <f t="shared" si="43"/>
        <v>1.2383561643835617</v>
      </c>
      <c r="I2786">
        <v>132</v>
      </c>
      <c r="J2786" t="s">
        <v>57</v>
      </c>
      <c r="K2786" t="s">
        <v>56</v>
      </c>
      <c r="L2786" t="s">
        <v>44</v>
      </c>
      <c r="M2786">
        <v>8.4700000000000006</v>
      </c>
      <c r="T2786" t="s">
        <v>52</v>
      </c>
      <c r="U2786">
        <v>1</v>
      </c>
      <c r="V2786">
        <v>6</v>
      </c>
    </row>
    <row r="2787" spans="1:22" x14ac:dyDescent="0.3">
      <c r="A2787">
        <v>2786</v>
      </c>
      <c r="B2787">
        <v>53144</v>
      </c>
      <c r="C2787" s="2">
        <v>36919</v>
      </c>
      <c r="D2787">
        <v>24</v>
      </c>
      <c r="E2787" t="s">
        <v>42</v>
      </c>
      <c r="F2787" t="s">
        <v>50</v>
      </c>
      <c r="G2787" s="2">
        <v>45570</v>
      </c>
      <c r="H2787" s="3">
        <f t="shared" si="43"/>
        <v>1.4136986301369863</v>
      </c>
      <c r="I2787">
        <v>14</v>
      </c>
      <c r="J2787" t="s">
        <v>38</v>
      </c>
      <c r="K2787" t="s">
        <v>68</v>
      </c>
      <c r="L2787" t="s">
        <v>44</v>
      </c>
      <c r="M2787">
        <v>17</v>
      </c>
      <c r="T2787" t="s">
        <v>49</v>
      </c>
      <c r="U2787">
        <v>4</v>
      </c>
      <c r="V2787">
        <v>7</v>
      </c>
    </row>
    <row r="2788" spans="1:22" x14ac:dyDescent="0.3">
      <c r="A2788">
        <v>2787</v>
      </c>
      <c r="B2788">
        <v>53145</v>
      </c>
      <c r="C2788" s="2">
        <v>37345</v>
      </c>
      <c r="D2788">
        <v>23</v>
      </c>
      <c r="E2788" t="s">
        <v>42</v>
      </c>
      <c r="F2788" t="s">
        <v>37</v>
      </c>
      <c r="G2788" s="2">
        <v>45506</v>
      </c>
      <c r="H2788" s="3">
        <f t="shared" si="43"/>
        <v>1.5397260273972602</v>
      </c>
      <c r="I2788">
        <v>129</v>
      </c>
      <c r="J2788" t="s">
        <v>57</v>
      </c>
      <c r="K2788" t="s">
        <v>48</v>
      </c>
      <c r="L2788" t="s">
        <v>44</v>
      </c>
      <c r="M2788">
        <v>8.4700000000000006</v>
      </c>
      <c r="T2788" t="s">
        <v>49</v>
      </c>
      <c r="U2788">
        <v>1</v>
      </c>
      <c r="V2788">
        <v>5</v>
      </c>
    </row>
    <row r="2789" spans="1:22" x14ac:dyDescent="0.3">
      <c r="A2789">
        <v>2788</v>
      </c>
      <c r="B2789">
        <v>53146</v>
      </c>
      <c r="C2789" s="2">
        <v>35986</v>
      </c>
      <c r="D2789">
        <v>27</v>
      </c>
      <c r="E2789" t="s">
        <v>42</v>
      </c>
      <c r="F2789" t="s">
        <v>50</v>
      </c>
      <c r="G2789" s="2">
        <v>45460</v>
      </c>
      <c r="H2789" s="3">
        <f t="shared" si="43"/>
        <v>1.484931506849315</v>
      </c>
      <c r="I2789">
        <v>131</v>
      </c>
      <c r="J2789" t="s">
        <v>57</v>
      </c>
      <c r="K2789" t="s">
        <v>43</v>
      </c>
      <c r="L2789" t="s">
        <v>44</v>
      </c>
      <c r="M2789">
        <v>16.37</v>
      </c>
      <c r="T2789" t="s">
        <v>52</v>
      </c>
      <c r="U2789">
        <v>1</v>
      </c>
      <c r="V2789">
        <v>7</v>
      </c>
    </row>
    <row r="2790" spans="1:22" x14ac:dyDescent="0.3">
      <c r="A2790">
        <v>2789</v>
      </c>
      <c r="B2790">
        <v>53147</v>
      </c>
      <c r="C2790" s="2">
        <v>37300</v>
      </c>
      <c r="D2790">
        <v>23</v>
      </c>
      <c r="E2790" t="s">
        <v>36</v>
      </c>
      <c r="F2790" t="s">
        <v>50</v>
      </c>
      <c r="G2790" s="2">
        <v>45480</v>
      </c>
      <c r="H2790" s="3">
        <f t="shared" si="43"/>
        <v>1.6821917808219178</v>
      </c>
      <c r="I2790">
        <v>8</v>
      </c>
      <c r="J2790" t="s">
        <v>38</v>
      </c>
      <c r="K2790" t="s">
        <v>55</v>
      </c>
      <c r="L2790" t="s">
        <v>44</v>
      </c>
      <c r="M2790">
        <v>17.59</v>
      </c>
      <c r="T2790" t="s">
        <v>47</v>
      </c>
      <c r="U2790">
        <v>2</v>
      </c>
      <c r="V2790">
        <v>5</v>
      </c>
    </row>
    <row r="2791" spans="1:22" x14ac:dyDescent="0.3">
      <c r="A2791">
        <v>2790</v>
      </c>
      <c r="B2791">
        <v>53148</v>
      </c>
      <c r="C2791" s="2">
        <v>37848</v>
      </c>
      <c r="D2791">
        <v>22</v>
      </c>
      <c r="E2791" t="s">
        <v>42</v>
      </c>
      <c r="F2791" t="s">
        <v>50</v>
      </c>
      <c r="G2791" s="2">
        <v>45408</v>
      </c>
      <c r="H2791" s="3">
        <f t="shared" si="43"/>
        <v>1.8739726027397261</v>
      </c>
      <c r="I2791">
        <v>8</v>
      </c>
      <c r="J2791" t="s">
        <v>38</v>
      </c>
      <c r="K2791" t="s">
        <v>56</v>
      </c>
      <c r="L2791" t="s">
        <v>44</v>
      </c>
      <c r="M2791">
        <v>8.4700000000000006</v>
      </c>
      <c r="T2791" t="s">
        <v>49</v>
      </c>
      <c r="U2791">
        <v>4</v>
      </c>
      <c r="V2791">
        <v>7</v>
      </c>
    </row>
    <row r="2792" spans="1:22" x14ac:dyDescent="0.3">
      <c r="A2792">
        <v>2791</v>
      </c>
      <c r="B2792">
        <v>53149</v>
      </c>
      <c r="C2792" s="2">
        <v>38694</v>
      </c>
      <c r="D2792">
        <v>20</v>
      </c>
      <c r="E2792" t="s">
        <v>42</v>
      </c>
      <c r="F2792" t="s">
        <v>50</v>
      </c>
      <c r="G2792" s="2">
        <v>45338</v>
      </c>
      <c r="H2792" s="3">
        <f t="shared" si="43"/>
        <v>1.5424657534246575</v>
      </c>
      <c r="I2792">
        <v>17</v>
      </c>
      <c r="J2792" t="s">
        <v>38</v>
      </c>
      <c r="K2792" t="s">
        <v>65</v>
      </c>
      <c r="L2792" t="s">
        <v>44</v>
      </c>
      <c r="M2792">
        <v>10.64</v>
      </c>
      <c r="T2792" t="s">
        <v>52</v>
      </c>
      <c r="U2792">
        <v>0</v>
      </c>
      <c r="V2792">
        <v>5</v>
      </c>
    </row>
    <row r="2793" spans="1:22" x14ac:dyDescent="0.3">
      <c r="A2793">
        <v>2792</v>
      </c>
      <c r="B2793">
        <v>53150</v>
      </c>
      <c r="C2793" s="2">
        <v>38168</v>
      </c>
      <c r="D2793">
        <v>21</v>
      </c>
      <c r="E2793" t="s">
        <v>36</v>
      </c>
      <c r="F2793" t="s">
        <v>50</v>
      </c>
      <c r="G2793" s="2">
        <v>45459</v>
      </c>
      <c r="H2793" s="3">
        <f t="shared" si="43"/>
        <v>1.8630136986301369</v>
      </c>
      <c r="I2793">
        <v>17</v>
      </c>
      <c r="J2793" t="s">
        <v>38</v>
      </c>
      <c r="K2793" t="s">
        <v>65</v>
      </c>
      <c r="L2793" t="s">
        <v>44</v>
      </c>
      <c r="M2793">
        <v>10.64</v>
      </c>
      <c r="T2793" t="s">
        <v>47</v>
      </c>
      <c r="U2793">
        <v>0</v>
      </c>
      <c r="V2793">
        <v>4</v>
      </c>
    </row>
    <row r="2794" spans="1:22" x14ac:dyDescent="0.3">
      <c r="A2794">
        <v>2793</v>
      </c>
      <c r="B2794">
        <v>53152</v>
      </c>
      <c r="C2794" s="2">
        <v>33782</v>
      </c>
      <c r="D2794">
        <v>33</v>
      </c>
      <c r="E2794" t="s">
        <v>42</v>
      </c>
      <c r="F2794" t="s">
        <v>50</v>
      </c>
      <c r="G2794" s="2">
        <v>45342</v>
      </c>
      <c r="H2794" s="3">
        <f t="shared" si="43"/>
        <v>1.6</v>
      </c>
      <c r="I2794">
        <v>40</v>
      </c>
      <c r="J2794" t="s">
        <v>38</v>
      </c>
      <c r="K2794" t="s">
        <v>43</v>
      </c>
      <c r="L2794" t="s">
        <v>44</v>
      </c>
      <c r="M2794">
        <v>16.37</v>
      </c>
      <c r="T2794" t="s">
        <v>52</v>
      </c>
      <c r="U2794">
        <v>1</v>
      </c>
      <c r="V2794">
        <v>4</v>
      </c>
    </row>
    <row r="2795" spans="1:22" x14ac:dyDescent="0.3">
      <c r="A2795">
        <v>2794</v>
      </c>
      <c r="B2795">
        <v>53153</v>
      </c>
      <c r="C2795" s="2">
        <v>34733</v>
      </c>
      <c r="D2795">
        <v>30</v>
      </c>
      <c r="E2795" t="s">
        <v>36</v>
      </c>
      <c r="F2795" t="s">
        <v>37</v>
      </c>
      <c r="G2795" s="2">
        <v>45438</v>
      </c>
      <c r="H2795" s="3">
        <f t="shared" si="43"/>
        <v>1.704109589041096</v>
      </c>
      <c r="I2795">
        <v>51</v>
      </c>
      <c r="J2795" t="s">
        <v>38</v>
      </c>
      <c r="K2795" t="s">
        <v>65</v>
      </c>
      <c r="L2795" t="s">
        <v>44</v>
      </c>
      <c r="M2795">
        <v>10.64</v>
      </c>
      <c r="T2795" t="s">
        <v>47</v>
      </c>
      <c r="U2795">
        <v>0</v>
      </c>
      <c r="V2795">
        <v>4</v>
      </c>
    </row>
    <row r="2796" spans="1:22" x14ac:dyDescent="0.3">
      <c r="A2796">
        <v>2795</v>
      </c>
      <c r="B2796">
        <v>53154</v>
      </c>
      <c r="C2796" s="2">
        <v>38522</v>
      </c>
      <c r="D2796">
        <v>20</v>
      </c>
      <c r="E2796" t="s">
        <v>42</v>
      </c>
      <c r="F2796" t="s">
        <v>50</v>
      </c>
      <c r="G2796" s="2">
        <v>45400</v>
      </c>
      <c r="H2796" s="3">
        <f t="shared" si="43"/>
        <v>1.284931506849315</v>
      </c>
      <c r="I2796">
        <v>58</v>
      </c>
      <c r="J2796" t="s">
        <v>38</v>
      </c>
      <c r="K2796" t="s">
        <v>56</v>
      </c>
      <c r="L2796" t="s">
        <v>44</v>
      </c>
      <c r="M2796">
        <v>8.4700000000000006</v>
      </c>
      <c r="T2796" t="s">
        <v>45</v>
      </c>
      <c r="U2796">
        <v>2</v>
      </c>
      <c r="V2796">
        <v>6</v>
      </c>
    </row>
    <row r="2797" spans="1:22" x14ac:dyDescent="0.3">
      <c r="A2797">
        <v>2796</v>
      </c>
      <c r="B2797">
        <v>53155</v>
      </c>
      <c r="C2797" s="2">
        <v>38817</v>
      </c>
      <c r="D2797">
        <v>19</v>
      </c>
      <c r="E2797" t="s">
        <v>42</v>
      </c>
      <c r="F2797" t="s">
        <v>37</v>
      </c>
      <c r="G2797" s="2">
        <v>45553</v>
      </c>
      <c r="H2797" s="3">
        <f t="shared" si="43"/>
        <v>1.263013698630137</v>
      </c>
      <c r="I2797">
        <v>69</v>
      </c>
      <c r="J2797" t="s">
        <v>57</v>
      </c>
      <c r="K2797" t="s">
        <v>56</v>
      </c>
      <c r="L2797" t="s">
        <v>44</v>
      </c>
      <c r="M2797">
        <v>8.4700000000000006</v>
      </c>
      <c r="T2797" t="s">
        <v>45</v>
      </c>
      <c r="U2797">
        <v>3</v>
      </c>
      <c r="V2797">
        <v>6</v>
      </c>
    </row>
    <row r="2798" spans="1:22" x14ac:dyDescent="0.3">
      <c r="A2798">
        <v>2797</v>
      </c>
      <c r="B2798">
        <v>53156</v>
      </c>
      <c r="C2798" s="2">
        <v>34343</v>
      </c>
      <c r="D2798">
        <v>31</v>
      </c>
      <c r="E2798" t="s">
        <v>42</v>
      </c>
      <c r="F2798" t="s">
        <v>50</v>
      </c>
      <c r="G2798" s="2">
        <v>45561</v>
      </c>
      <c r="H2798" s="3">
        <f t="shared" si="43"/>
        <v>1.0465753424657533</v>
      </c>
      <c r="I2798">
        <v>82</v>
      </c>
      <c r="J2798" t="s">
        <v>57</v>
      </c>
      <c r="K2798" t="s">
        <v>43</v>
      </c>
      <c r="L2798" t="s">
        <v>44</v>
      </c>
      <c r="M2798">
        <v>16.37</v>
      </c>
      <c r="T2798" t="s">
        <v>49</v>
      </c>
      <c r="U2798">
        <v>1</v>
      </c>
      <c r="V2798">
        <v>6</v>
      </c>
    </row>
    <row r="2799" spans="1:22" x14ac:dyDescent="0.3">
      <c r="A2799">
        <v>2798</v>
      </c>
      <c r="B2799">
        <v>53158</v>
      </c>
      <c r="C2799" s="2">
        <v>36039</v>
      </c>
      <c r="D2799">
        <v>28</v>
      </c>
      <c r="E2799" t="s">
        <v>42</v>
      </c>
      <c r="F2799" t="s">
        <v>37</v>
      </c>
      <c r="G2799" s="2">
        <v>45640</v>
      </c>
      <c r="H2799" s="3">
        <f t="shared" si="43"/>
        <v>1.1506849315068493</v>
      </c>
      <c r="I2799">
        <v>13</v>
      </c>
      <c r="J2799" t="s">
        <v>38</v>
      </c>
      <c r="K2799" t="s">
        <v>56</v>
      </c>
      <c r="L2799" t="s">
        <v>44</v>
      </c>
      <c r="M2799">
        <v>8.4700000000000006</v>
      </c>
      <c r="T2799" t="s">
        <v>49</v>
      </c>
      <c r="U2799">
        <v>2</v>
      </c>
      <c r="V2799">
        <v>6</v>
      </c>
    </row>
    <row r="2800" spans="1:22" x14ac:dyDescent="0.3">
      <c r="A2800">
        <v>2799</v>
      </c>
      <c r="B2800">
        <v>53159</v>
      </c>
      <c r="C2800" s="2">
        <v>36631</v>
      </c>
      <c r="D2800">
        <v>25</v>
      </c>
      <c r="E2800" t="s">
        <v>42</v>
      </c>
      <c r="F2800" t="s">
        <v>50</v>
      </c>
      <c r="G2800" s="2">
        <v>45602</v>
      </c>
      <c r="H2800" s="3">
        <f t="shared" si="43"/>
        <v>1.5945205479452054</v>
      </c>
      <c r="I2800">
        <v>31</v>
      </c>
      <c r="J2800" t="s">
        <v>38</v>
      </c>
      <c r="K2800" t="s">
        <v>56</v>
      </c>
      <c r="L2800" t="s">
        <v>44</v>
      </c>
      <c r="M2800">
        <v>8.4700000000000006</v>
      </c>
      <c r="T2800" t="s">
        <v>45</v>
      </c>
      <c r="U2800">
        <v>1</v>
      </c>
      <c r="V2800">
        <v>6</v>
      </c>
    </row>
    <row r="2801" spans="1:22" x14ac:dyDescent="0.3">
      <c r="A2801">
        <v>2800</v>
      </c>
      <c r="B2801">
        <v>53160</v>
      </c>
      <c r="C2801" s="2">
        <v>37760</v>
      </c>
      <c r="D2801">
        <v>22</v>
      </c>
      <c r="E2801" t="s">
        <v>42</v>
      </c>
      <c r="F2801" t="s">
        <v>37</v>
      </c>
      <c r="G2801" s="2">
        <v>45440</v>
      </c>
      <c r="H2801" s="3">
        <f t="shared" si="43"/>
        <v>1.5397260273972602</v>
      </c>
      <c r="I2801">
        <v>51</v>
      </c>
      <c r="J2801" t="s">
        <v>38</v>
      </c>
      <c r="K2801" t="s">
        <v>56</v>
      </c>
      <c r="L2801" t="s">
        <v>44</v>
      </c>
      <c r="M2801">
        <v>8.4700000000000006</v>
      </c>
      <c r="T2801" t="s">
        <v>47</v>
      </c>
      <c r="U2801">
        <v>2</v>
      </c>
      <c r="V2801">
        <v>6</v>
      </c>
    </row>
    <row r="2802" spans="1:22" x14ac:dyDescent="0.3">
      <c r="A2802">
        <v>2801</v>
      </c>
      <c r="B2802">
        <v>53162</v>
      </c>
      <c r="C2802" s="2">
        <v>32916</v>
      </c>
      <c r="D2802">
        <v>35</v>
      </c>
      <c r="E2802" t="s">
        <v>42</v>
      </c>
      <c r="F2802" t="s">
        <v>50</v>
      </c>
      <c r="G2802" s="2">
        <v>45460</v>
      </c>
      <c r="H2802" s="3">
        <f t="shared" si="43"/>
        <v>1.2054794520547945</v>
      </c>
      <c r="I2802">
        <v>86</v>
      </c>
      <c r="J2802" t="s">
        <v>57</v>
      </c>
      <c r="K2802" t="s">
        <v>43</v>
      </c>
      <c r="L2802" t="s">
        <v>44</v>
      </c>
      <c r="M2802">
        <v>16.37</v>
      </c>
      <c r="T2802" t="s">
        <v>45</v>
      </c>
      <c r="U2802">
        <v>1</v>
      </c>
      <c r="V2802">
        <v>7</v>
      </c>
    </row>
    <row r="2803" spans="1:22" x14ac:dyDescent="0.3">
      <c r="A2803">
        <v>2802</v>
      </c>
      <c r="B2803">
        <v>53163</v>
      </c>
      <c r="C2803" s="2">
        <v>37957</v>
      </c>
      <c r="D2803">
        <v>22</v>
      </c>
      <c r="E2803" t="s">
        <v>36</v>
      </c>
      <c r="F2803" t="s">
        <v>50</v>
      </c>
      <c r="G2803" s="2">
        <v>45582</v>
      </c>
      <c r="H2803" s="3">
        <f t="shared" si="43"/>
        <v>1.5342465753424657</v>
      </c>
      <c r="I2803">
        <v>115</v>
      </c>
      <c r="J2803" t="s">
        <v>57</v>
      </c>
      <c r="K2803" t="s">
        <v>46</v>
      </c>
      <c r="L2803" t="s">
        <v>44</v>
      </c>
      <c r="M2803">
        <v>14.23</v>
      </c>
      <c r="T2803" t="s">
        <v>45</v>
      </c>
      <c r="U2803">
        <v>1</v>
      </c>
      <c r="V2803">
        <v>5</v>
      </c>
    </row>
    <row r="2804" spans="1:22" x14ac:dyDescent="0.3">
      <c r="A2804">
        <v>2803</v>
      </c>
      <c r="B2804">
        <v>53164</v>
      </c>
      <c r="C2804" s="2">
        <v>38924</v>
      </c>
      <c r="D2804">
        <v>19</v>
      </c>
      <c r="E2804" t="s">
        <v>36</v>
      </c>
      <c r="F2804" t="s">
        <v>50</v>
      </c>
      <c r="G2804" s="2">
        <v>45462</v>
      </c>
      <c r="H2804" s="3">
        <f t="shared" si="43"/>
        <v>1.526027397260274</v>
      </c>
      <c r="I2804">
        <v>122</v>
      </c>
      <c r="J2804" t="s">
        <v>57</v>
      </c>
      <c r="K2804" t="s">
        <v>56</v>
      </c>
      <c r="L2804" t="s">
        <v>44</v>
      </c>
      <c r="M2804">
        <v>8.4700000000000006</v>
      </c>
      <c r="T2804" t="s">
        <v>47</v>
      </c>
      <c r="U2804">
        <v>2</v>
      </c>
      <c r="V2804">
        <v>5</v>
      </c>
    </row>
    <row r="2805" spans="1:22" x14ac:dyDescent="0.3">
      <c r="A2805">
        <v>2804</v>
      </c>
      <c r="B2805">
        <v>53165</v>
      </c>
      <c r="C2805" s="2">
        <v>36011</v>
      </c>
      <c r="D2805">
        <v>27</v>
      </c>
      <c r="E2805" t="s">
        <v>42</v>
      </c>
      <c r="F2805" t="s">
        <v>50</v>
      </c>
      <c r="G2805" s="2">
        <v>45465</v>
      </c>
      <c r="H2805" s="3">
        <f t="shared" si="43"/>
        <v>1.6027397260273972</v>
      </c>
      <c r="I2805">
        <v>132</v>
      </c>
      <c r="J2805" t="s">
        <v>57</v>
      </c>
      <c r="K2805" t="s">
        <v>56</v>
      </c>
      <c r="L2805" t="s">
        <v>44</v>
      </c>
      <c r="M2805">
        <v>8.4700000000000006</v>
      </c>
      <c r="T2805" t="s">
        <v>45</v>
      </c>
      <c r="U2805">
        <v>0</v>
      </c>
      <c r="V2805">
        <v>5</v>
      </c>
    </row>
    <row r="2806" spans="1:22" x14ac:dyDescent="0.3">
      <c r="A2806">
        <v>2805</v>
      </c>
      <c r="B2806">
        <v>53166</v>
      </c>
      <c r="C2806" s="2">
        <v>36196</v>
      </c>
      <c r="D2806">
        <v>26</v>
      </c>
      <c r="E2806" t="s">
        <v>42</v>
      </c>
      <c r="F2806" t="s">
        <v>50</v>
      </c>
      <c r="G2806" s="2">
        <v>45437</v>
      </c>
      <c r="H2806" s="3">
        <f t="shared" si="43"/>
        <v>1.4931506849315068</v>
      </c>
      <c r="I2806">
        <v>134</v>
      </c>
      <c r="J2806" t="s">
        <v>57</v>
      </c>
      <c r="K2806" t="s">
        <v>55</v>
      </c>
      <c r="L2806" t="s">
        <v>44</v>
      </c>
      <c r="M2806">
        <v>17.59</v>
      </c>
      <c r="T2806" t="s">
        <v>52</v>
      </c>
      <c r="U2806">
        <v>2</v>
      </c>
      <c r="V2806">
        <v>6</v>
      </c>
    </row>
    <row r="2807" spans="1:22" x14ac:dyDescent="0.3">
      <c r="A2807">
        <v>2806</v>
      </c>
      <c r="B2807">
        <v>53168</v>
      </c>
      <c r="C2807" s="2">
        <v>36673</v>
      </c>
      <c r="D2807">
        <v>25</v>
      </c>
      <c r="E2807" t="s">
        <v>36</v>
      </c>
      <c r="F2807" t="s">
        <v>50</v>
      </c>
      <c r="G2807" s="2">
        <v>45477</v>
      </c>
      <c r="H2807" s="3">
        <f t="shared" si="43"/>
        <v>1.5068493150684932</v>
      </c>
      <c r="I2807">
        <v>144</v>
      </c>
      <c r="J2807" t="s">
        <v>57</v>
      </c>
      <c r="K2807" t="s">
        <v>55</v>
      </c>
      <c r="L2807" t="s">
        <v>44</v>
      </c>
      <c r="M2807">
        <v>17.59</v>
      </c>
      <c r="T2807" t="s">
        <v>49</v>
      </c>
      <c r="U2807">
        <v>2</v>
      </c>
      <c r="V2807">
        <v>4</v>
      </c>
    </row>
    <row r="2808" spans="1:22" x14ac:dyDescent="0.3">
      <c r="A2808">
        <v>2807</v>
      </c>
      <c r="B2808">
        <v>53169</v>
      </c>
      <c r="C2808" s="2">
        <v>38322</v>
      </c>
      <c r="D2808">
        <v>22</v>
      </c>
      <c r="E2808" t="s">
        <v>42</v>
      </c>
      <c r="F2808" t="s">
        <v>37</v>
      </c>
      <c r="G2808" s="2">
        <v>45472</v>
      </c>
      <c r="H2808" s="3">
        <f t="shared" si="43"/>
        <v>1.7561643835616438</v>
      </c>
      <c r="I2808">
        <v>1</v>
      </c>
      <c r="J2808" t="s">
        <v>38</v>
      </c>
      <c r="K2808" t="s">
        <v>56</v>
      </c>
      <c r="L2808" t="s">
        <v>44</v>
      </c>
      <c r="M2808">
        <v>8.4700000000000006</v>
      </c>
      <c r="T2808" t="s">
        <v>45</v>
      </c>
      <c r="U2808">
        <v>2</v>
      </c>
      <c r="V2808">
        <v>5</v>
      </c>
    </row>
    <row r="2809" spans="1:22" x14ac:dyDescent="0.3">
      <c r="A2809">
        <v>2808</v>
      </c>
      <c r="B2809">
        <v>53170</v>
      </c>
      <c r="C2809" s="2">
        <v>35312</v>
      </c>
      <c r="D2809">
        <v>29</v>
      </c>
      <c r="E2809" t="s">
        <v>42</v>
      </c>
      <c r="F2809" t="s">
        <v>50</v>
      </c>
      <c r="G2809" s="2">
        <v>45381</v>
      </c>
      <c r="H2809" s="3">
        <f t="shared" si="43"/>
        <v>1.263013698630137</v>
      </c>
      <c r="I2809">
        <v>3</v>
      </c>
      <c r="J2809" t="s">
        <v>38</v>
      </c>
      <c r="K2809" t="s">
        <v>56</v>
      </c>
      <c r="L2809" t="s">
        <v>44</v>
      </c>
      <c r="M2809">
        <v>8.4700000000000006</v>
      </c>
      <c r="T2809" t="s">
        <v>45</v>
      </c>
      <c r="U2809">
        <v>2</v>
      </c>
      <c r="V2809">
        <v>6</v>
      </c>
    </row>
    <row r="2810" spans="1:22" x14ac:dyDescent="0.3">
      <c r="A2810">
        <v>2809</v>
      </c>
      <c r="B2810">
        <v>53171</v>
      </c>
      <c r="C2810" s="2">
        <v>37965</v>
      </c>
      <c r="D2810">
        <v>22</v>
      </c>
      <c r="E2810" t="s">
        <v>42</v>
      </c>
      <c r="F2810" t="s">
        <v>37</v>
      </c>
      <c r="G2810" s="2">
        <v>45561</v>
      </c>
      <c r="H2810" s="3">
        <f t="shared" si="43"/>
        <v>1.463013698630137</v>
      </c>
      <c r="I2810">
        <v>6</v>
      </c>
      <c r="J2810" t="s">
        <v>38</v>
      </c>
      <c r="K2810" t="s">
        <v>65</v>
      </c>
      <c r="L2810" t="s">
        <v>44</v>
      </c>
      <c r="M2810">
        <v>10.64</v>
      </c>
      <c r="T2810" t="s">
        <v>45</v>
      </c>
      <c r="U2810">
        <v>0</v>
      </c>
      <c r="V2810">
        <v>6</v>
      </c>
    </row>
    <row r="2811" spans="1:22" x14ac:dyDescent="0.3">
      <c r="A2811">
        <v>2810</v>
      </c>
      <c r="B2811">
        <v>53172</v>
      </c>
      <c r="C2811" s="2">
        <v>35890</v>
      </c>
      <c r="D2811">
        <v>27</v>
      </c>
      <c r="E2811" t="s">
        <v>42</v>
      </c>
      <c r="F2811" t="s">
        <v>37</v>
      </c>
      <c r="G2811" s="2">
        <v>45488</v>
      </c>
      <c r="H2811" s="3">
        <f t="shared" si="43"/>
        <v>1.1808219178082191</v>
      </c>
      <c r="I2811">
        <v>6</v>
      </c>
      <c r="J2811" t="s">
        <v>38</v>
      </c>
      <c r="K2811" t="s">
        <v>56</v>
      </c>
      <c r="L2811" t="s">
        <v>44</v>
      </c>
      <c r="M2811">
        <v>8.4700000000000006</v>
      </c>
      <c r="T2811" t="s">
        <v>52</v>
      </c>
      <c r="U2811">
        <v>2</v>
      </c>
      <c r="V2811">
        <v>6</v>
      </c>
    </row>
    <row r="2812" spans="1:22" x14ac:dyDescent="0.3">
      <c r="A2812">
        <v>2811</v>
      </c>
      <c r="B2812">
        <v>53173</v>
      </c>
      <c r="C2812" s="2">
        <v>37657</v>
      </c>
      <c r="D2812">
        <v>22</v>
      </c>
      <c r="E2812" t="s">
        <v>42</v>
      </c>
      <c r="F2812" t="s">
        <v>50</v>
      </c>
      <c r="G2812" s="2">
        <v>45591</v>
      </c>
      <c r="H2812" s="3">
        <f t="shared" si="43"/>
        <v>1.1424657534246576</v>
      </c>
      <c r="I2812">
        <v>9</v>
      </c>
      <c r="J2812" t="s">
        <v>38</v>
      </c>
      <c r="K2812" t="s">
        <v>56</v>
      </c>
      <c r="L2812" t="s">
        <v>44</v>
      </c>
      <c r="M2812">
        <v>8.4700000000000006</v>
      </c>
      <c r="T2812" t="s">
        <v>45</v>
      </c>
      <c r="U2812">
        <v>1</v>
      </c>
      <c r="V2812">
        <v>6</v>
      </c>
    </row>
    <row r="2813" spans="1:22" x14ac:dyDescent="0.3">
      <c r="A2813">
        <v>2812</v>
      </c>
      <c r="B2813">
        <v>53175</v>
      </c>
      <c r="C2813" s="2">
        <v>38042</v>
      </c>
      <c r="D2813">
        <v>21</v>
      </c>
      <c r="E2813" t="s">
        <v>42</v>
      </c>
      <c r="F2813" t="s">
        <v>37</v>
      </c>
      <c r="G2813" s="2">
        <v>45605</v>
      </c>
      <c r="H2813" s="3">
        <f t="shared" si="43"/>
        <v>1.704109589041096</v>
      </c>
      <c r="I2813">
        <v>11</v>
      </c>
      <c r="J2813" t="s">
        <v>38</v>
      </c>
      <c r="K2813" t="s">
        <v>65</v>
      </c>
      <c r="L2813" t="s">
        <v>44</v>
      </c>
      <c r="M2813">
        <v>10.64</v>
      </c>
      <c r="T2813" t="s">
        <v>49</v>
      </c>
      <c r="U2813">
        <v>0</v>
      </c>
      <c r="V2813">
        <v>4</v>
      </c>
    </row>
    <row r="2814" spans="1:22" x14ac:dyDescent="0.3">
      <c r="A2814">
        <v>2813</v>
      </c>
      <c r="B2814">
        <v>53176</v>
      </c>
      <c r="C2814" s="2">
        <v>34251</v>
      </c>
      <c r="D2814">
        <v>32</v>
      </c>
      <c r="E2814" t="s">
        <v>42</v>
      </c>
      <c r="F2814" t="s">
        <v>37</v>
      </c>
      <c r="G2814" s="2">
        <v>45400</v>
      </c>
      <c r="H2814" s="3">
        <f t="shared" si="43"/>
        <v>1.6410958904109589</v>
      </c>
      <c r="I2814">
        <v>11</v>
      </c>
      <c r="J2814" t="s">
        <v>38</v>
      </c>
      <c r="K2814" t="s">
        <v>56</v>
      </c>
      <c r="L2814" t="s">
        <v>44</v>
      </c>
      <c r="M2814">
        <v>8.4700000000000006</v>
      </c>
      <c r="T2814" t="s">
        <v>49</v>
      </c>
      <c r="U2814">
        <v>4</v>
      </c>
      <c r="V2814">
        <v>5</v>
      </c>
    </row>
    <row r="2815" spans="1:22" x14ac:dyDescent="0.3">
      <c r="A2815">
        <v>2814</v>
      </c>
      <c r="B2815">
        <v>53177</v>
      </c>
      <c r="C2815" s="2">
        <v>39048</v>
      </c>
      <c r="D2815">
        <v>19</v>
      </c>
      <c r="E2815" t="s">
        <v>42</v>
      </c>
      <c r="F2815" t="s">
        <v>50</v>
      </c>
      <c r="G2815" s="2">
        <v>45423</v>
      </c>
      <c r="H2815" s="3">
        <f t="shared" si="43"/>
        <v>1.0136986301369864</v>
      </c>
      <c r="I2815">
        <v>11</v>
      </c>
      <c r="J2815" t="s">
        <v>38</v>
      </c>
      <c r="K2815" t="s">
        <v>56</v>
      </c>
      <c r="L2815" t="s">
        <v>44</v>
      </c>
      <c r="M2815">
        <v>8.4700000000000006</v>
      </c>
      <c r="T2815" t="s">
        <v>52</v>
      </c>
      <c r="U2815">
        <v>2</v>
      </c>
      <c r="V2815">
        <v>6</v>
      </c>
    </row>
    <row r="2816" spans="1:22" x14ac:dyDescent="0.3">
      <c r="A2816">
        <v>2815</v>
      </c>
      <c r="B2816">
        <v>53178</v>
      </c>
      <c r="C2816" s="2">
        <v>36945</v>
      </c>
      <c r="D2816">
        <v>24</v>
      </c>
      <c r="E2816" t="s">
        <v>36</v>
      </c>
      <c r="F2816" t="s">
        <v>50</v>
      </c>
      <c r="G2816" s="2">
        <v>45652</v>
      </c>
      <c r="H2816" s="3">
        <f t="shared" si="43"/>
        <v>1.1945205479452055</v>
      </c>
      <c r="I2816">
        <v>13</v>
      </c>
      <c r="J2816" t="s">
        <v>38</v>
      </c>
      <c r="K2816" t="s">
        <v>56</v>
      </c>
      <c r="L2816" t="s">
        <v>44</v>
      </c>
      <c r="M2816">
        <v>8.4700000000000006</v>
      </c>
      <c r="T2816" t="s">
        <v>49</v>
      </c>
      <c r="U2816">
        <v>4</v>
      </c>
      <c r="V2816">
        <v>5</v>
      </c>
    </row>
    <row r="2817" spans="1:22" x14ac:dyDescent="0.3">
      <c r="A2817">
        <v>2816</v>
      </c>
      <c r="B2817">
        <v>53179</v>
      </c>
      <c r="C2817" s="2">
        <v>36389</v>
      </c>
      <c r="D2817">
        <v>26</v>
      </c>
      <c r="E2817" t="s">
        <v>42</v>
      </c>
      <c r="F2817" t="s">
        <v>50</v>
      </c>
      <c r="G2817" s="2">
        <v>45586</v>
      </c>
      <c r="H2817" s="3">
        <f t="shared" si="43"/>
        <v>1.3424657534246576</v>
      </c>
      <c r="I2817">
        <v>13</v>
      </c>
      <c r="J2817" t="s">
        <v>38</v>
      </c>
      <c r="K2817" t="s">
        <v>56</v>
      </c>
      <c r="L2817" t="s">
        <v>44</v>
      </c>
      <c r="M2817">
        <v>8.4700000000000006</v>
      </c>
      <c r="T2817" t="s">
        <v>52</v>
      </c>
      <c r="U2817">
        <v>2</v>
      </c>
      <c r="V2817">
        <v>7</v>
      </c>
    </row>
    <row r="2818" spans="1:22" x14ac:dyDescent="0.3">
      <c r="A2818">
        <v>2817</v>
      </c>
      <c r="B2818">
        <v>53180</v>
      </c>
      <c r="C2818" s="2">
        <v>37155</v>
      </c>
      <c r="D2818">
        <v>24</v>
      </c>
      <c r="E2818" t="s">
        <v>42</v>
      </c>
      <c r="F2818" t="s">
        <v>50</v>
      </c>
      <c r="G2818" s="2">
        <v>45532</v>
      </c>
      <c r="H2818" s="3">
        <f t="shared" si="43"/>
        <v>1.5863013698630137</v>
      </c>
      <c r="I2818">
        <v>14</v>
      </c>
      <c r="J2818" t="s">
        <v>38</v>
      </c>
      <c r="K2818" t="s">
        <v>68</v>
      </c>
      <c r="L2818" t="s">
        <v>44</v>
      </c>
      <c r="M2818">
        <v>17</v>
      </c>
      <c r="T2818" t="s">
        <v>45</v>
      </c>
      <c r="U2818">
        <v>2</v>
      </c>
      <c r="V2818">
        <v>7</v>
      </c>
    </row>
    <row r="2819" spans="1:22" x14ac:dyDescent="0.3">
      <c r="A2819">
        <v>2818</v>
      </c>
      <c r="B2819">
        <v>53181</v>
      </c>
      <c r="C2819" s="2">
        <v>38197</v>
      </c>
      <c r="D2819">
        <v>21</v>
      </c>
      <c r="E2819" t="s">
        <v>42</v>
      </c>
      <c r="F2819" t="s">
        <v>50</v>
      </c>
      <c r="G2819" s="2">
        <v>45443</v>
      </c>
      <c r="H2819" s="3">
        <f t="shared" ref="H2819:H2882" si="44">DATEDIF(G2820,DATE(2025,12,31),"d")/365</f>
        <v>1.8246575342465754</v>
      </c>
      <c r="I2819">
        <v>14</v>
      </c>
      <c r="J2819" t="s">
        <v>38</v>
      </c>
      <c r="K2819" t="s">
        <v>56</v>
      </c>
      <c r="L2819" t="s">
        <v>44</v>
      </c>
      <c r="M2819">
        <v>8.4700000000000006</v>
      </c>
      <c r="T2819" t="s">
        <v>45</v>
      </c>
      <c r="U2819">
        <v>2</v>
      </c>
      <c r="V2819">
        <v>6</v>
      </c>
    </row>
    <row r="2820" spans="1:22" x14ac:dyDescent="0.3">
      <c r="A2820">
        <v>2819</v>
      </c>
      <c r="B2820">
        <v>53182</v>
      </c>
      <c r="C2820" s="2">
        <v>37923</v>
      </c>
      <c r="D2820">
        <v>22</v>
      </c>
      <c r="E2820" t="s">
        <v>36</v>
      </c>
      <c r="F2820" t="s">
        <v>50</v>
      </c>
      <c r="G2820" s="2">
        <v>45356</v>
      </c>
      <c r="H2820" s="3">
        <f t="shared" si="44"/>
        <v>1.2164383561643837</v>
      </c>
      <c r="I2820">
        <v>14</v>
      </c>
      <c r="J2820" t="s">
        <v>38</v>
      </c>
      <c r="K2820" t="s">
        <v>56</v>
      </c>
      <c r="L2820" t="s">
        <v>44</v>
      </c>
      <c r="M2820">
        <v>8.4700000000000006</v>
      </c>
      <c r="T2820" t="s">
        <v>47</v>
      </c>
      <c r="U2820">
        <v>2</v>
      </c>
      <c r="V2820">
        <v>5</v>
      </c>
    </row>
    <row r="2821" spans="1:22" x14ac:dyDescent="0.3">
      <c r="A2821">
        <v>2820</v>
      </c>
      <c r="B2821">
        <v>53183</v>
      </c>
      <c r="C2821" s="2">
        <v>38261</v>
      </c>
      <c r="D2821">
        <v>22</v>
      </c>
      <c r="E2821" t="s">
        <v>42</v>
      </c>
      <c r="F2821" t="s">
        <v>37</v>
      </c>
      <c r="G2821" s="2">
        <v>45578</v>
      </c>
      <c r="H2821" s="3">
        <f t="shared" si="44"/>
        <v>1.3178082191780822</v>
      </c>
      <c r="I2821">
        <v>15</v>
      </c>
      <c r="J2821" t="s">
        <v>38</v>
      </c>
      <c r="K2821" t="s">
        <v>56</v>
      </c>
      <c r="L2821" t="s">
        <v>44</v>
      </c>
      <c r="M2821">
        <v>8.4700000000000006</v>
      </c>
      <c r="T2821" t="s">
        <v>47</v>
      </c>
      <c r="U2821">
        <v>1</v>
      </c>
      <c r="V2821">
        <v>5</v>
      </c>
    </row>
    <row r="2822" spans="1:22" x14ac:dyDescent="0.3">
      <c r="A2822">
        <v>2821</v>
      </c>
      <c r="B2822">
        <v>53184</v>
      </c>
      <c r="C2822" s="2">
        <v>37367</v>
      </c>
      <c r="D2822">
        <v>23</v>
      </c>
      <c r="E2822" t="s">
        <v>42</v>
      </c>
      <c r="F2822" t="s">
        <v>37</v>
      </c>
      <c r="G2822" s="2">
        <v>45541</v>
      </c>
      <c r="H2822" s="3">
        <f t="shared" si="44"/>
        <v>1.3205479452054794</v>
      </c>
      <c r="I2822">
        <v>18</v>
      </c>
      <c r="J2822" t="s">
        <v>38</v>
      </c>
      <c r="K2822" t="s">
        <v>68</v>
      </c>
      <c r="L2822" t="s">
        <v>44</v>
      </c>
      <c r="M2822">
        <v>17</v>
      </c>
      <c r="T2822" t="s">
        <v>47</v>
      </c>
      <c r="U2822">
        <v>3</v>
      </c>
      <c r="V2822">
        <v>6</v>
      </c>
    </row>
    <row r="2823" spans="1:22" x14ac:dyDescent="0.3">
      <c r="A2823">
        <v>2822</v>
      </c>
      <c r="B2823">
        <v>53185</v>
      </c>
      <c r="C2823" s="2">
        <v>37310</v>
      </c>
      <c r="D2823">
        <v>23</v>
      </c>
      <c r="E2823" t="s">
        <v>36</v>
      </c>
      <c r="F2823" t="s">
        <v>50</v>
      </c>
      <c r="G2823" s="2">
        <v>45540</v>
      </c>
      <c r="H2823" s="3">
        <f t="shared" si="44"/>
        <v>1.1835616438356165</v>
      </c>
      <c r="I2823">
        <v>18</v>
      </c>
      <c r="J2823" t="s">
        <v>38</v>
      </c>
      <c r="K2823" t="s">
        <v>68</v>
      </c>
      <c r="L2823" t="s">
        <v>44</v>
      </c>
      <c r="M2823">
        <v>17</v>
      </c>
      <c r="T2823" t="s">
        <v>52</v>
      </c>
      <c r="U2823">
        <v>2</v>
      </c>
      <c r="V2823">
        <v>3</v>
      </c>
    </row>
    <row r="2824" spans="1:22" x14ac:dyDescent="0.3">
      <c r="A2824">
        <v>2823</v>
      </c>
      <c r="B2824">
        <v>53186</v>
      </c>
      <c r="C2824" s="2">
        <v>37215</v>
      </c>
      <c r="D2824">
        <v>24</v>
      </c>
      <c r="E2824" t="s">
        <v>42</v>
      </c>
      <c r="F2824" t="s">
        <v>50</v>
      </c>
      <c r="G2824" s="2">
        <v>45590</v>
      </c>
      <c r="H2824" s="3">
        <f t="shared" si="44"/>
        <v>1.7013698630136986</v>
      </c>
      <c r="I2824">
        <v>18</v>
      </c>
      <c r="J2824" t="s">
        <v>38</v>
      </c>
      <c r="K2824" t="s">
        <v>56</v>
      </c>
      <c r="L2824" t="s">
        <v>44</v>
      </c>
      <c r="M2824">
        <v>8.4700000000000006</v>
      </c>
      <c r="T2824" t="s">
        <v>49</v>
      </c>
      <c r="U2824">
        <v>2</v>
      </c>
      <c r="V2824">
        <v>6</v>
      </c>
    </row>
    <row r="2825" spans="1:22" x14ac:dyDescent="0.3">
      <c r="A2825">
        <v>2824</v>
      </c>
      <c r="B2825">
        <v>53187</v>
      </c>
      <c r="C2825" s="2">
        <v>36500</v>
      </c>
      <c r="D2825">
        <v>26</v>
      </c>
      <c r="E2825" t="s">
        <v>36</v>
      </c>
      <c r="F2825" t="s">
        <v>37</v>
      </c>
      <c r="G2825" s="2">
        <v>45401</v>
      </c>
      <c r="H2825" s="3">
        <f t="shared" si="44"/>
        <v>1.0246575342465754</v>
      </c>
      <c r="I2825">
        <v>20</v>
      </c>
      <c r="J2825" t="s">
        <v>38</v>
      </c>
      <c r="K2825" t="s">
        <v>64</v>
      </c>
      <c r="L2825" t="s">
        <v>44</v>
      </c>
      <c r="M2825">
        <v>14.07</v>
      </c>
      <c r="T2825" t="s">
        <v>49</v>
      </c>
      <c r="U2825">
        <v>1</v>
      </c>
      <c r="V2825">
        <v>3</v>
      </c>
    </row>
    <row r="2826" spans="1:22" x14ac:dyDescent="0.3">
      <c r="A2826">
        <v>2825</v>
      </c>
      <c r="B2826">
        <v>53188</v>
      </c>
      <c r="C2826" s="2">
        <v>37685</v>
      </c>
      <c r="D2826">
        <v>22</v>
      </c>
      <c r="E2826" t="s">
        <v>36</v>
      </c>
      <c r="F2826" t="s">
        <v>50</v>
      </c>
      <c r="G2826" s="2">
        <v>45648</v>
      </c>
      <c r="H2826" s="3">
        <f t="shared" si="44"/>
        <v>1.8438356164383563</v>
      </c>
      <c r="I2826">
        <v>22</v>
      </c>
      <c r="J2826" t="s">
        <v>38</v>
      </c>
      <c r="K2826" t="s">
        <v>56</v>
      </c>
      <c r="L2826" t="s">
        <v>44</v>
      </c>
      <c r="M2826">
        <v>8.4700000000000006</v>
      </c>
      <c r="T2826" t="s">
        <v>45</v>
      </c>
      <c r="U2826">
        <v>4</v>
      </c>
      <c r="V2826">
        <v>3</v>
      </c>
    </row>
    <row r="2827" spans="1:22" x14ac:dyDescent="0.3">
      <c r="A2827">
        <v>2826</v>
      </c>
      <c r="B2827">
        <v>53189</v>
      </c>
      <c r="C2827" s="2">
        <v>37678</v>
      </c>
      <c r="D2827">
        <v>22</v>
      </c>
      <c r="E2827" t="s">
        <v>42</v>
      </c>
      <c r="F2827" t="s">
        <v>37</v>
      </c>
      <c r="G2827" s="2">
        <v>45349</v>
      </c>
      <c r="H2827" s="3">
        <f t="shared" si="44"/>
        <v>1.7534246575342465</v>
      </c>
      <c r="I2827">
        <v>30</v>
      </c>
      <c r="J2827" t="s">
        <v>38</v>
      </c>
      <c r="K2827" t="s">
        <v>56</v>
      </c>
      <c r="L2827" t="s">
        <v>44</v>
      </c>
      <c r="M2827">
        <v>8.4700000000000006</v>
      </c>
      <c r="T2827" t="s">
        <v>45</v>
      </c>
      <c r="U2827">
        <v>4</v>
      </c>
      <c r="V2827">
        <v>7</v>
      </c>
    </row>
    <row r="2828" spans="1:22" x14ac:dyDescent="0.3">
      <c r="A2828">
        <v>2827</v>
      </c>
      <c r="B2828">
        <v>53190</v>
      </c>
      <c r="C2828" s="2">
        <v>39247</v>
      </c>
      <c r="D2828">
        <v>18</v>
      </c>
      <c r="E2828" t="s">
        <v>42</v>
      </c>
      <c r="F2828" t="s">
        <v>50</v>
      </c>
      <c r="G2828" s="2">
        <v>45382</v>
      </c>
      <c r="H2828" s="3">
        <f t="shared" si="44"/>
        <v>1.1150684931506849</v>
      </c>
      <c r="I2828">
        <v>30</v>
      </c>
      <c r="J2828" t="s">
        <v>38</v>
      </c>
      <c r="K2828" t="s">
        <v>56</v>
      </c>
      <c r="L2828" t="s">
        <v>44</v>
      </c>
      <c r="M2828">
        <v>8.4700000000000006</v>
      </c>
      <c r="T2828" t="s">
        <v>52</v>
      </c>
      <c r="U2828">
        <v>2</v>
      </c>
      <c r="V2828">
        <v>6</v>
      </c>
    </row>
    <row r="2829" spans="1:22" x14ac:dyDescent="0.3">
      <c r="A2829">
        <v>2828</v>
      </c>
      <c r="B2829">
        <v>53191</v>
      </c>
      <c r="C2829" s="2">
        <v>36405</v>
      </c>
      <c r="D2829">
        <v>26</v>
      </c>
      <c r="E2829" t="s">
        <v>42</v>
      </c>
      <c r="F2829" t="s">
        <v>50</v>
      </c>
      <c r="G2829" s="2">
        <v>45615</v>
      </c>
      <c r="H2829" s="3">
        <f t="shared" si="44"/>
        <v>1.3945205479452054</v>
      </c>
      <c r="I2829">
        <v>31</v>
      </c>
      <c r="J2829" t="s">
        <v>38</v>
      </c>
      <c r="K2829" t="s">
        <v>56</v>
      </c>
      <c r="L2829" t="s">
        <v>44</v>
      </c>
      <c r="M2829">
        <v>8.4700000000000006</v>
      </c>
      <c r="T2829" t="s">
        <v>45</v>
      </c>
      <c r="U2829">
        <v>2</v>
      </c>
      <c r="V2829">
        <v>6</v>
      </c>
    </row>
    <row r="2830" spans="1:22" x14ac:dyDescent="0.3">
      <c r="A2830">
        <v>2829</v>
      </c>
      <c r="B2830">
        <v>53192</v>
      </c>
      <c r="C2830" s="2">
        <v>37679</v>
      </c>
      <c r="D2830">
        <v>22</v>
      </c>
      <c r="E2830" t="s">
        <v>36</v>
      </c>
      <c r="F2830" t="s">
        <v>37</v>
      </c>
      <c r="G2830" s="2">
        <v>45513</v>
      </c>
      <c r="H2830" s="3">
        <f t="shared" si="44"/>
        <v>1.7972602739726027</v>
      </c>
      <c r="I2830">
        <v>31</v>
      </c>
      <c r="J2830" t="s">
        <v>38</v>
      </c>
      <c r="K2830" t="s">
        <v>56</v>
      </c>
      <c r="L2830" t="s">
        <v>44</v>
      </c>
      <c r="M2830">
        <v>8.4700000000000006</v>
      </c>
      <c r="T2830" t="s">
        <v>52</v>
      </c>
      <c r="U2830">
        <v>2</v>
      </c>
      <c r="V2830">
        <v>4</v>
      </c>
    </row>
    <row r="2831" spans="1:22" x14ac:dyDescent="0.3">
      <c r="A2831">
        <v>2830</v>
      </c>
      <c r="B2831">
        <v>53193</v>
      </c>
      <c r="C2831" s="2">
        <v>38902</v>
      </c>
      <c r="D2831">
        <v>19</v>
      </c>
      <c r="E2831" t="s">
        <v>42</v>
      </c>
      <c r="F2831" t="s">
        <v>50</v>
      </c>
      <c r="G2831" s="2">
        <v>45366</v>
      </c>
      <c r="H2831" s="3">
        <f t="shared" si="44"/>
        <v>1.1452054794520548</v>
      </c>
      <c r="I2831">
        <v>31</v>
      </c>
      <c r="J2831" t="s">
        <v>38</v>
      </c>
      <c r="K2831" t="s">
        <v>56</v>
      </c>
      <c r="L2831" t="s">
        <v>44</v>
      </c>
      <c r="M2831">
        <v>8.4700000000000006</v>
      </c>
      <c r="T2831" t="s">
        <v>52</v>
      </c>
      <c r="U2831">
        <v>2</v>
      </c>
      <c r="V2831">
        <v>7</v>
      </c>
    </row>
    <row r="2832" spans="1:22" x14ac:dyDescent="0.3">
      <c r="A2832">
        <v>2831</v>
      </c>
      <c r="B2832">
        <v>53195</v>
      </c>
      <c r="C2832" s="2">
        <v>34581</v>
      </c>
      <c r="D2832">
        <v>31</v>
      </c>
      <c r="E2832" t="s">
        <v>42</v>
      </c>
      <c r="F2832" t="s">
        <v>37</v>
      </c>
      <c r="G2832" s="2">
        <v>45604</v>
      </c>
      <c r="H2832" s="3">
        <f t="shared" si="44"/>
        <v>1</v>
      </c>
      <c r="I2832">
        <v>32</v>
      </c>
      <c r="J2832" t="s">
        <v>38</v>
      </c>
      <c r="K2832" t="s">
        <v>56</v>
      </c>
      <c r="L2832" t="s">
        <v>44</v>
      </c>
      <c r="M2832">
        <v>8.4700000000000006</v>
      </c>
      <c r="T2832" t="s">
        <v>52</v>
      </c>
      <c r="U2832">
        <v>0</v>
      </c>
      <c r="V2832">
        <v>6</v>
      </c>
    </row>
    <row r="2833" spans="1:22" x14ac:dyDescent="0.3">
      <c r="A2833">
        <v>2832</v>
      </c>
      <c r="B2833">
        <v>53196</v>
      </c>
      <c r="C2833" s="2">
        <v>38151</v>
      </c>
      <c r="D2833">
        <v>21</v>
      </c>
      <c r="E2833" t="s">
        <v>42</v>
      </c>
      <c r="F2833" t="s">
        <v>50</v>
      </c>
      <c r="G2833" s="2">
        <v>45657</v>
      </c>
      <c r="H2833" s="3">
        <f t="shared" si="44"/>
        <v>1.1013698630136985</v>
      </c>
      <c r="I2833">
        <v>33</v>
      </c>
      <c r="J2833" t="s">
        <v>38</v>
      </c>
      <c r="K2833" t="s">
        <v>56</v>
      </c>
      <c r="L2833" t="s">
        <v>44</v>
      </c>
      <c r="M2833">
        <v>8.4700000000000006</v>
      </c>
      <c r="T2833" t="s">
        <v>45</v>
      </c>
      <c r="U2833">
        <v>3</v>
      </c>
      <c r="V2833">
        <v>7</v>
      </c>
    </row>
    <row r="2834" spans="1:22" x14ac:dyDescent="0.3">
      <c r="A2834">
        <v>2833</v>
      </c>
      <c r="B2834">
        <v>53197</v>
      </c>
      <c r="C2834" s="2">
        <v>39443</v>
      </c>
      <c r="D2834">
        <v>18</v>
      </c>
      <c r="E2834" t="s">
        <v>36</v>
      </c>
      <c r="F2834" t="s">
        <v>37</v>
      </c>
      <c r="G2834" s="2">
        <v>45620</v>
      </c>
      <c r="H2834" s="3">
        <f t="shared" si="44"/>
        <v>1.1917808219178083</v>
      </c>
      <c r="I2834">
        <v>34</v>
      </c>
      <c r="J2834" t="s">
        <v>38</v>
      </c>
      <c r="K2834" t="s">
        <v>56</v>
      </c>
      <c r="L2834" t="s">
        <v>44</v>
      </c>
      <c r="M2834">
        <v>8.4700000000000006</v>
      </c>
      <c r="T2834" t="s">
        <v>52</v>
      </c>
      <c r="U2834">
        <v>1</v>
      </c>
      <c r="V2834">
        <v>2</v>
      </c>
    </row>
    <row r="2835" spans="1:22" x14ac:dyDescent="0.3">
      <c r="A2835">
        <v>2834</v>
      </c>
      <c r="B2835">
        <v>53198</v>
      </c>
      <c r="C2835" s="2">
        <v>38670</v>
      </c>
      <c r="D2835">
        <v>20</v>
      </c>
      <c r="E2835" t="s">
        <v>42</v>
      </c>
      <c r="F2835" t="s">
        <v>50</v>
      </c>
      <c r="G2835" s="2">
        <v>45587</v>
      </c>
      <c r="H2835" s="3">
        <f t="shared" si="44"/>
        <v>1.484931506849315</v>
      </c>
      <c r="I2835">
        <v>35</v>
      </c>
      <c r="J2835" t="s">
        <v>38</v>
      </c>
      <c r="K2835" t="s">
        <v>56</v>
      </c>
      <c r="L2835" t="s">
        <v>44</v>
      </c>
      <c r="M2835">
        <v>8.4700000000000006</v>
      </c>
      <c r="T2835" t="s">
        <v>49</v>
      </c>
      <c r="U2835">
        <v>1</v>
      </c>
      <c r="V2835">
        <v>5</v>
      </c>
    </row>
    <row r="2836" spans="1:22" x14ac:dyDescent="0.3">
      <c r="A2836">
        <v>2835</v>
      </c>
      <c r="B2836">
        <v>53199</v>
      </c>
      <c r="C2836" s="2">
        <v>35261</v>
      </c>
      <c r="D2836">
        <v>29</v>
      </c>
      <c r="E2836" t="s">
        <v>42</v>
      </c>
      <c r="F2836" t="s">
        <v>50</v>
      </c>
      <c r="G2836" s="2">
        <v>45480</v>
      </c>
      <c r="H2836" s="3">
        <f t="shared" si="44"/>
        <v>1.8794520547945206</v>
      </c>
      <c r="I2836">
        <v>35</v>
      </c>
      <c r="J2836" t="s">
        <v>38</v>
      </c>
      <c r="K2836" t="s">
        <v>56</v>
      </c>
      <c r="L2836" t="s">
        <v>44</v>
      </c>
      <c r="M2836">
        <v>8.4700000000000006</v>
      </c>
      <c r="T2836" t="s">
        <v>52</v>
      </c>
      <c r="U2836">
        <v>2</v>
      </c>
      <c r="V2836">
        <v>6</v>
      </c>
    </row>
    <row r="2837" spans="1:22" x14ac:dyDescent="0.3">
      <c r="A2837">
        <v>2836</v>
      </c>
      <c r="B2837">
        <v>53200</v>
      </c>
      <c r="C2837" s="2">
        <v>36549</v>
      </c>
      <c r="D2837">
        <v>25</v>
      </c>
      <c r="E2837" t="s">
        <v>42</v>
      </c>
      <c r="F2837" t="s">
        <v>50</v>
      </c>
      <c r="G2837" s="2">
        <v>45336</v>
      </c>
      <c r="H2837" s="3">
        <f t="shared" si="44"/>
        <v>1.3260273972602741</v>
      </c>
      <c r="I2837">
        <v>35</v>
      </c>
      <c r="J2837" t="s">
        <v>38</v>
      </c>
      <c r="K2837" t="s">
        <v>56</v>
      </c>
      <c r="L2837" t="s">
        <v>44</v>
      </c>
      <c r="M2837">
        <v>8.4700000000000006</v>
      </c>
      <c r="T2837" t="s">
        <v>52</v>
      </c>
      <c r="U2837">
        <v>2</v>
      </c>
      <c r="V2837">
        <v>6</v>
      </c>
    </row>
    <row r="2838" spans="1:22" x14ac:dyDescent="0.3">
      <c r="A2838">
        <v>2837</v>
      </c>
      <c r="B2838">
        <v>53201</v>
      </c>
      <c r="C2838" s="2">
        <v>37229</v>
      </c>
      <c r="D2838">
        <v>24</v>
      </c>
      <c r="E2838" t="s">
        <v>42</v>
      </c>
      <c r="F2838" t="s">
        <v>50</v>
      </c>
      <c r="G2838" s="2">
        <v>45538</v>
      </c>
      <c r="H2838" s="3">
        <f t="shared" si="44"/>
        <v>1.6904109589041096</v>
      </c>
      <c r="I2838">
        <v>36</v>
      </c>
      <c r="J2838" t="s">
        <v>38</v>
      </c>
      <c r="K2838" t="s">
        <v>56</v>
      </c>
      <c r="L2838" t="s">
        <v>44</v>
      </c>
      <c r="M2838">
        <v>8.4700000000000006</v>
      </c>
      <c r="T2838" t="s">
        <v>47</v>
      </c>
      <c r="U2838">
        <v>2</v>
      </c>
      <c r="V2838">
        <v>6</v>
      </c>
    </row>
    <row r="2839" spans="1:22" x14ac:dyDescent="0.3">
      <c r="A2839">
        <v>2838</v>
      </c>
      <c r="B2839">
        <v>53202</v>
      </c>
      <c r="C2839" s="2">
        <v>38691</v>
      </c>
      <c r="D2839">
        <v>20</v>
      </c>
      <c r="E2839" t="s">
        <v>36</v>
      </c>
      <c r="F2839" t="s">
        <v>50</v>
      </c>
      <c r="G2839" s="2">
        <v>45405</v>
      </c>
      <c r="H2839" s="3">
        <f t="shared" si="44"/>
        <v>1.6328767123287671</v>
      </c>
      <c r="I2839">
        <v>37</v>
      </c>
      <c r="J2839" t="s">
        <v>38</v>
      </c>
      <c r="K2839" t="s">
        <v>46</v>
      </c>
      <c r="L2839" t="s">
        <v>44</v>
      </c>
      <c r="M2839">
        <v>14.23</v>
      </c>
      <c r="T2839" t="s">
        <v>45</v>
      </c>
      <c r="U2839">
        <v>1</v>
      </c>
      <c r="V2839">
        <v>4</v>
      </c>
    </row>
    <row r="2840" spans="1:22" x14ac:dyDescent="0.3">
      <c r="A2840">
        <v>2839</v>
      </c>
      <c r="B2840">
        <v>53203</v>
      </c>
      <c r="C2840" s="2">
        <v>36069</v>
      </c>
      <c r="D2840">
        <v>28</v>
      </c>
      <c r="E2840" t="s">
        <v>36</v>
      </c>
      <c r="F2840" t="s">
        <v>50</v>
      </c>
      <c r="G2840" s="2">
        <v>45426</v>
      </c>
      <c r="H2840" s="3">
        <f t="shared" si="44"/>
        <v>1.0136986301369864</v>
      </c>
      <c r="I2840">
        <v>40</v>
      </c>
      <c r="J2840" t="s">
        <v>38</v>
      </c>
      <c r="K2840" t="s">
        <v>46</v>
      </c>
      <c r="L2840" t="s">
        <v>44</v>
      </c>
      <c r="M2840">
        <v>14.23</v>
      </c>
      <c r="T2840" t="s">
        <v>45</v>
      </c>
      <c r="U2840">
        <v>0</v>
      </c>
      <c r="V2840">
        <v>3</v>
      </c>
    </row>
    <row r="2841" spans="1:22" x14ac:dyDescent="0.3">
      <c r="A2841">
        <v>2840</v>
      </c>
      <c r="B2841">
        <v>53204</v>
      </c>
      <c r="C2841" s="2">
        <v>38353</v>
      </c>
      <c r="D2841">
        <v>21</v>
      </c>
      <c r="E2841" t="s">
        <v>42</v>
      </c>
      <c r="F2841" t="s">
        <v>37</v>
      </c>
      <c r="G2841" s="2">
        <v>45652</v>
      </c>
      <c r="H2841" s="3">
        <f t="shared" si="44"/>
        <v>1.3780821917808219</v>
      </c>
      <c r="I2841">
        <v>40</v>
      </c>
      <c r="J2841" t="s">
        <v>38</v>
      </c>
      <c r="K2841" t="s">
        <v>56</v>
      </c>
      <c r="L2841" t="s">
        <v>44</v>
      </c>
      <c r="M2841">
        <v>8.4700000000000006</v>
      </c>
      <c r="T2841" t="s">
        <v>47</v>
      </c>
      <c r="U2841">
        <v>2</v>
      </c>
      <c r="V2841">
        <v>7</v>
      </c>
    </row>
    <row r="2842" spans="1:22" x14ac:dyDescent="0.3">
      <c r="A2842">
        <v>2841</v>
      </c>
      <c r="B2842">
        <v>53205</v>
      </c>
      <c r="C2842" s="2">
        <v>36868</v>
      </c>
      <c r="D2842">
        <v>25</v>
      </c>
      <c r="E2842" t="s">
        <v>36</v>
      </c>
      <c r="F2842" t="s">
        <v>37</v>
      </c>
      <c r="G2842" s="2">
        <v>45519</v>
      </c>
      <c r="H2842" s="3">
        <f t="shared" si="44"/>
        <v>1.2465753424657535</v>
      </c>
      <c r="I2842">
        <v>41</v>
      </c>
      <c r="J2842" t="s">
        <v>38</v>
      </c>
      <c r="K2842" t="s">
        <v>56</v>
      </c>
      <c r="L2842" t="s">
        <v>44</v>
      </c>
      <c r="M2842">
        <v>8.4700000000000006</v>
      </c>
      <c r="T2842" t="s">
        <v>47</v>
      </c>
      <c r="U2842">
        <v>1</v>
      </c>
      <c r="V2842">
        <v>4</v>
      </c>
    </row>
    <row r="2843" spans="1:22" x14ac:dyDescent="0.3">
      <c r="A2843">
        <v>2842</v>
      </c>
      <c r="B2843">
        <v>53206</v>
      </c>
      <c r="C2843" s="2">
        <v>36330</v>
      </c>
      <c r="D2843">
        <v>26</v>
      </c>
      <c r="E2843" t="s">
        <v>36</v>
      </c>
      <c r="F2843" t="s">
        <v>50</v>
      </c>
      <c r="G2843" s="2">
        <v>45567</v>
      </c>
      <c r="H2843" s="3">
        <f t="shared" si="44"/>
        <v>1.6986301369863013</v>
      </c>
      <c r="I2843">
        <v>41</v>
      </c>
      <c r="J2843" t="s">
        <v>38</v>
      </c>
      <c r="K2843" t="s">
        <v>56</v>
      </c>
      <c r="L2843" t="s">
        <v>44</v>
      </c>
      <c r="M2843">
        <v>8.4700000000000006</v>
      </c>
      <c r="T2843" t="s">
        <v>45</v>
      </c>
      <c r="U2843">
        <v>1</v>
      </c>
      <c r="V2843">
        <v>3</v>
      </c>
    </row>
    <row r="2844" spans="1:22" x14ac:dyDescent="0.3">
      <c r="A2844">
        <v>2843</v>
      </c>
      <c r="B2844">
        <v>53207</v>
      </c>
      <c r="C2844" s="2">
        <v>35479</v>
      </c>
      <c r="D2844">
        <v>28</v>
      </c>
      <c r="E2844" t="s">
        <v>36</v>
      </c>
      <c r="F2844" t="s">
        <v>50</v>
      </c>
      <c r="G2844" s="2">
        <v>45402</v>
      </c>
      <c r="H2844" s="3">
        <f t="shared" si="44"/>
        <v>1.5342465753424657</v>
      </c>
      <c r="I2844">
        <v>44</v>
      </c>
      <c r="J2844" t="s">
        <v>38</v>
      </c>
      <c r="K2844" t="s">
        <v>56</v>
      </c>
      <c r="L2844" t="s">
        <v>44</v>
      </c>
      <c r="M2844">
        <v>8.4700000000000006</v>
      </c>
      <c r="T2844" t="s">
        <v>45</v>
      </c>
      <c r="U2844">
        <v>4</v>
      </c>
      <c r="V2844">
        <v>5</v>
      </c>
    </row>
    <row r="2845" spans="1:22" x14ac:dyDescent="0.3">
      <c r="A2845">
        <v>2844</v>
      </c>
      <c r="B2845">
        <v>53208</v>
      </c>
      <c r="C2845" s="2">
        <v>38648</v>
      </c>
      <c r="D2845">
        <v>20</v>
      </c>
      <c r="E2845" t="s">
        <v>42</v>
      </c>
      <c r="F2845" t="s">
        <v>50</v>
      </c>
      <c r="G2845" s="2">
        <v>45462</v>
      </c>
      <c r="H2845" s="3">
        <f t="shared" si="44"/>
        <v>1.5178082191780822</v>
      </c>
      <c r="I2845">
        <v>47</v>
      </c>
      <c r="J2845" t="s">
        <v>38</v>
      </c>
      <c r="K2845" t="s">
        <v>43</v>
      </c>
      <c r="L2845" t="s">
        <v>44</v>
      </c>
      <c r="M2845">
        <v>16.37</v>
      </c>
      <c r="T2845" t="s">
        <v>52</v>
      </c>
      <c r="U2845">
        <v>1</v>
      </c>
      <c r="V2845">
        <v>7</v>
      </c>
    </row>
    <row r="2846" spans="1:22" x14ac:dyDescent="0.3">
      <c r="A2846">
        <v>2845</v>
      </c>
      <c r="B2846">
        <v>53209</v>
      </c>
      <c r="C2846" s="2">
        <v>37034</v>
      </c>
      <c r="D2846">
        <v>24</v>
      </c>
      <c r="E2846" t="s">
        <v>42</v>
      </c>
      <c r="F2846" t="s">
        <v>50</v>
      </c>
      <c r="G2846" s="2">
        <v>45468</v>
      </c>
      <c r="H2846" s="3">
        <f t="shared" si="44"/>
        <v>1.6931506849315068</v>
      </c>
      <c r="I2846">
        <v>48</v>
      </c>
      <c r="J2846" t="s">
        <v>38</v>
      </c>
      <c r="K2846" t="s">
        <v>56</v>
      </c>
      <c r="L2846" t="s">
        <v>44</v>
      </c>
      <c r="M2846">
        <v>8.4700000000000006</v>
      </c>
      <c r="T2846" t="s">
        <v>52</v>
      </c>
      <c r="U2846">
        <v>2</v>
      </c>
      <c r="V2846">
        <v>6</v>
      </c>
    </row>
    <row r="2847" spans="1:22" x14ac:dyDescent="0.3">
      <c r="A2847">
        <v>2846</v>
      </c>
      <c r="B2847">
        <v>53210</v>
      </c>
      <c r="C2847" s="2">
        <v>38222</v>
      </c>
      <c r="D2847">
        <v>21</v>
      </c>
      <c r="E2847" t="s">
        <v>42</v>
      </c>
      <c r="F2847" t="s">
        <v>37</v>
      </c>
      <c r="G2847" s="2">
        <v>45404</v>
      </c>
      <c r="H2847" s="3">
        <f t="shared" si="44"/>
        <v>1.6136986301369862</v>
      </c>
      <c r="I2847">
        <v>51</v>
      </c>
      <c r="J2847" t="s">
        <v>38</v>
      </c>
      <c r="K2847" t="s">
        <v>56</v>
      </c>
      <c r="L2847" t="s">
        <v>44</v>
      </c>
      <c r="M2847">
        <v>8.4700000000000006</v>
      </c>
      <c r="T2847" t="s">
        <v>45</v>
      </c>
      <c r="U2847">
        <v>2</v>
      </c>
      <c r="V2847">
        <v>5</v>
      </c>
    </row>
    <row r="2848" spans="1:22" x14ac:dyDescent="0.3">
      <c r="A2848">
        <v>2847</v>
      </c>
      <c r="B2848">
        <v>53211</v>
      </c>
      <c r="C2848" s="2">
        <v>37390</v>
      </c>
      <c r="D2848">
        <v>23</v>
      </c>
      <c r="E2848" t="s">
        <v>42</v>
      </c>
      <c r="F2848" t="s">
        <v>50</v>
      </c>
      <c r="G2848" s="2">
        <v>45433</v>
      </c>
      <c r="H2848" s="3">
        <f t="shared" si="44"/>
        <v>1.7643835616438357</v>
      </c>
      <c r="I2848">
        <v>52</v>
      </c>
      <c r="J2848" t="s">
        <v>38</v>
      </c>
      <c r="K2848" t="s">
        <v>68</v>
      </c>
      <c r="L2848" t="s">
        <v>44</v>
      </c>
      <c r="M2848">
        <v>17</v>
      </c>
      <c r="T2848" t="s">
        <v>45</v>
      </c>
      <c r="U2848">
        <v>2</v>
      </c>
      <c r="V2848">
        <v>7</v>
      </c>
    </row>
    <row r="2849" spans="1:22" x14ac:dyDescent="0.3">
      <c r="A2849">
        <v>2848</v>
      </c>
      <c r="B2849">
        <v>53212</v>
      </c>
      <c r="C2849" s="2">
        <v>38281</v>
      </c>
      <c r="D2849">
        <v>21</v>
      </c>
      <c r="E2849" t="s">
        <v>42</v>
      </c>
      <c r="F2849" t="s">
        <v>50</v>
      </c>
      <c r="G2849" s="2">
        <v>45378</v>
      </c>
      <c r="H2849" s="3">
        <f t="shared" si="44"/>
        <v>1.5315068493150685</v>
      </c>
      <c r="I2849">
        <v>52</v>
      </c>
      <c r="J2849" t="s">
        <v>38</v>
      </c>
      <c r="K2849" t="s">
        <v>65</v>
      </c>
      <c r="L2849" t="s">
        <v>44</v>
      </c>
      <c r="M2849">
        <v>10.64</v>
      </c>
      <c r="T2849" t="s">
        <v>45</v>
      </c>
      <c r="U2849">
        <v>1</v>
      </c>
      <c r="V2849">
        <v>5</v>
      </c>
    </row>
    <row r="2850" spans="1:22" x14ac:dyDescent="0.3">
      <c r="A2850">
        <v>2849</v>
      </c>
      <c r="B2850">
        <v>53213</v>
      </c>
      <c r="C2850" s="2">
        <v>35153</v>
      </c>
      <c r="D2850">
        <v>29</v>
      </c>
      <c r="E2850" t="s">
        <v>36</v>
      </c>
      <c r="F2850" t="s">
        <v>37</v>
      </c>
      <c r="G2850" s="2">
        <v>45463</v>
      </c>
      <c r="H2850" s="3">
        <f t="shared" si="44"/>
        <v>1.0273972602739727</v>
      </c>
      <c r="I2850">
        <v>52</v>
      </c>
      <c r="J2850" t="s">
        <v>38</v>
      </c>
      <c r="K2850" t="s">
        <v>55</v>
      </c>
      <c r="L2850" t="s">
        <v>44</v>
      </c>
      <c r="M2850">
        <v>17.59</v>
      </c>
      <c r="T2850" t="s">
        <v>45</v>
      </c>
      <c r="U2850">
        <v>0</v>
      </c>
      <c r="V2850">
        <v>4</v>
      </c>
    </row>
    <row r="2851" spans="1:22" x14ac:dyDescent="0.3">
      <c r="A2851">
        <v>2850</v>
      </c>
      <c r="B2851">
        <v>53214</v>
      </c>
      <c r="C2851" s="2">
        <v>37740</v>
      </c>
      <c r="D2851">
        <v>22</v>
      </c>
      <c r="E2851" t="s">
        <v>36</v>
      </c>
      <c r="F2851" t="s">
        <v>50</v>
      </c>
      <c r="G2851" s="2">
        <v>45647</v>
      </c>
      <c r="H2851" s="3">
        <f t="shared" si="44"/>
        <v>1.7643835616438357</v>
      </c>
      <c r="I2851">
        <v>55</v>
      </c>
      <c r="J2851" t="s">
        <v>38</v>
      </c>
      <c r="K2851" t="s">
        <v>64</v>
      </c>
      <c r="L2851" t="s">
        <v>44</v>
      </c>
      <c r="M2851">
        <v>14.07</v>
      </c>
      <c r="T2851" t="s">
        <v>45</v>
      </c>
      <c r="U2851">
        <v>0</v>
      </c>
      <c r="V2851">
        <v>3</v>
      </c>
    </row>
    <row r="2852" spans="1:22" x14ac:dyDescent="0.3">
      <c r="A2852">
        <v>2851</v>
      </c>
      <c r="B2852">
        <v>53215</v>
      </c>
      <c r="C2852" s="2">
        <v>33203</v>
      </c>
      <c r="D2852">
        <v>35</v>
      </c>
      <c r="E2852" t="s">
        <v>36</v>
      </c>
      <c r="F2852" t="s">
        <v>50</v>
      </c>
      <c r="G2852" s="2">
        <v>45378</v>
      </c>
      <c r="H2852" s="3">
        <f t="shared" si="44"/>
        <v>1.2657534246575342</v>
      </c>
      <c r="I2852">
        <v>57</v>
      </c>
      <c r="J2852" t="s">
        <v>38</v>
      </c>
      <c r="K2852" t="s">
        <v>55</v>
      </c>
      <c r="L2852" t="s">
        <v>44</v>
      </c>
      <c r="M2852">
        <v>17.59</v>
      </c>
      <c r="T2852" t="s">
        <v>47</v>
      </c>
      <c r="U2852">
        <v>4</v>
      </c>
      <c r="V2852">
        <v>5</v>
      </c>
    </row>
    <row r="2853" spans="1:22" x14ac:dyDescent="0.3">
      <c r="A2853">
        <v>2852</v>
      </c>
      <c r="B2853">
        <v>53217</v>
      </c>
      <c r="C2853" s="2">
        <v>39067</v>
      </c>
      <c r="D2853">
        <v>19</v>
      </c>
      <c r="E2853" t="s">
        <v>42</v>
      </c>
      <c r="F2853" t="s">
        <v>37</v>
      </c>
      <c r="G2853" s="2">
        <v>45560</v>
      </c>
      <c r="H2853" s="3">
        <f t="shared" si="44"/>
        <v>1.5397260273972602</v>
      </c>
      <c r="I2853">
        <v>58</v>
      </c>
      <c r="J2853" t="s">
        <v>38</v>
      </c>
      <c r="K2853" t="s">
        <v>56</v>
      </c>
      <c r="L2853" t="s">
        <v>44</v>
      </c>
      <c r="M2853">
        <v>8.4700000000000006</v>
      </c>
      <c r="T2853" t="s">
        <v>52</v>
      </c>
      <c r="U2853">
        <v>2</v>
      </c>
      <c r="V2853">
        <v>6</v>
      </c>
    </row>
    <row r="2854" spans="1:22" x14ac:dyDescent="0.3">
      <c r="A2854">
        <v>2853</v>
      </c>
      <c r="B2854">
        <v>53218</v>
      </c>
      <c r="C2854" s="2">
        <v>36357</v>
      </c>
      <c r="D2854">
        <v>26</v>
      </c>
      <c r="E2854" t="s">
        <v>36</v>
      </c>
      <c r="F2854" t="s">
        <v>50</v>
      </c>
      <c r="G2854" s="2">
        <v>45460</v>
      </c>
      <c r="H2854" s="3">
        <f t="shared" si="44"/>
        <v>1.8657534246575342</v>
      </c>
      <c r="I2854">
        <v>59</v>
      </c>
      <c r="J2854" t="s">
        <v>38</v>
      </c>
      <c r="K2854" t="s">
        <v>65</v>
      </c>
      <c r="L2854" t="s">
        <v>44</v>
      </c>
      <c r="M2854">
        <v>10.64</v>
      </c>
      <c r="T2854" t="s">
        <v>52</v>
      </c>
      <c r="U2854">
        <v>1</v>
      </c>
      <c r="V2854">
        <v>3</v>
      </c>
    </row>
    <row r="2855" spans="1:22" x14ac:dyDescent="0.3">
      <c r="A2855">
        <v>2854</v>
      </c>
      <c r="B2855">
        <v>53219</v>
      </c>
      <c r="C2855" s="2">
        <v>37953</v>
      </c>
      <c r="D2855">
        <v>22</v>
      </c>
      <c r="E2855" t="s">
        <v>36</v>
      </c>
      <c r="F2855" t="s">
        <v>50</v>
      </c>
      <c r="G2855" s="2">
        <v>45341</v>
      </c>
      <c r="H2855" s="3">
        <f t="shared" si="44"/>
        <v>1.6684931506849314</v>
      </c>
      <c r="I2855">
        <v>60</v>
      </c>
      <c r="J2855" t="s">
        <v>38</v>
      </c>
      <c r="K2855" t="s">
        <v>48</v>
      </c>
      <c r="L2855" t="s">
        <v>44</v>
      </c>
      <c r="M2855">
        <v>8.4700000000000006</v>
      </c>
      <c r="T2855" t="s">
        <v>45</v>
      </c>
      <c r="U2855">
        <v>2</v>
      </c>
      <c r="V2855">
        <v>6</v>
      </c>
    </row>
    <row r="2856" spans="1:22" x14ac:dyDescent="0.3">
      <c r="A2856">
        <v>2855</v>
      </c>
      <c r="B2856">
        <v>53220</v>
      </c>
      <c r="C2856" s="2">
        <v>35609</v>
      </c>
      <c r="D2856">
        <v>28</v>
      </c>
      <c r="E2856" t="s">
        <v>42</v>
      </c>
      <c r="F2856" t="s">
        <v>50</v>
      </c>
      <c r="G2856" s="2">
        <v>45413</v>
      </c>
      <c r="H2856" s="3">
        <f t="shared" si="44"/>
        <v>1.6520547945205479</v>
      </c>
      <c r="I2856">
        <v>61</v>
      </c>
      <c r="J2856" t="s">
        <v>38</v>
      </c>
      <c r="K2856" t="s">
        <v>68</v>
      </c>
      <c r="L2856" t="s">
        <v>44</v>
      </c>
      <c r="M2856">
        <v>17</v>
      </c>
      <c r="T2856" t="s">
        <v>52</v>
      </c>
      <c r="U2856">
        <v>0</v>
      </c>
      <c r="V2856">
        <v>6</v>
      </c>
    </row>
    <row r="2857" spans="1:22" x14ac:dyDescent="0.3">
      <c r="A2857">
        <v>2856</v>
      </c>
      <c r="B2857">
        <v>53221</v>
      </c>
      <c r="C2857" s="2">
        <v>37446</v>
      </c>
      <c r="D2857">
        <v>23</v>
      </c>
      <c r="E2857" t="s">
        <v>42</v>
      </c>
      <c r="F2857" t="s">
        <v>50</v>
      </c>
      <c r="G2857" s="2">
        <v>45419</v>
      </c>
      <c r="H2857" s="3">
        <f t="shared" si="44"/>
        <v>1.5835616438356164</v>
      </c>
      <c r="I2857">
        <v>61</v>
      </c>
      <c r="J2857" t="s">
        <v>38</v>
      </c>
      <c r="K2857" t="s">
        <v>56</v>
      </c>
      <c r="L2857" t="s">
        <v>44</v>
      </c>
      <c r="M2857">
        <v>8.4700000000000006</v>
      </c>
      <c r="T2857" t="s">
        <v>45</v>
      </c>
      <c r="U2857">
        <v>3</v>
      </c>
      <c r="V2857">
        <v>6</v>
      </c>
    </row>
    <row r="2858" spans="1:22" x14ac:dyDescent="0.3">
      <c r="A2858">
        <v>2857</v>
      </c>
      <c r="B2858">
        <v>53222</v>
      </c>
      <c r="C2858" s="2">
        <v>37448</v>
      </c>
      <c r="D2858">
        <v>23</v>
      </c>
      <c r="E2858" t="s">
        <v>36</v>
      </c>
      <c r="F2858" t="s">
        <v>37</v>
      </c>
      <c r="G2858" s="2">
        <v>45444</v>
      </c>
      <c r="H2858" s="3">
        <f t="shared" si="44"/>
        <v>1.2904109589041095</v>
      </c>
      <c r="I2858">
        <v>63</v>
      </c>
      <c r="J2858" t="s">
        <v>38</v>
      </c>
      <c r="K2858" t="s">
        <v>68</v>
      </c>
      <c r="L2858" t="s">
        <v>44</v>
      </c>
      <c r="M2858">
        <v>17</v>
      </c>
      <c r="T2858" t="s">
        <v>49</v>
      </c>
      <c r="U2858">
        <v>1</v>
      </c>
      <c r="V2858">
        <v>5</v>
      </c>
    </row>
    <row r="2859" spans="1:22" x14ac:dyDescent="0.3">
      <c r="A2859">
        <v>2858</v>
      </c>
      <c r="B2859">
        <v>53223</v>
      </c>
      <c r="C2859" s="2">
        <v>38251</v>
      </c>
      <c r="D2859">
        <v>21</v>
      </c>
      <c r="E2859" t="s">
        <v>36</v>
      </c>
      <c r="F2859" t="s">
        <v>50</v>
      </c>
      <c r="G2859" s="2">
        <v>45551</v>
      </c>
      <c r="H2859" s="3">
        <f t="shared" si="44"/>
        <v>1.3424657534246576</v>
      </c>
      <c r="I2859">
        <v>64</v>
      </c>
      <c r="J2859" t="s">
        <v>38</v>
      </c>
      <c r="K2859" t="s">
        <v>64</v>
      </c>
      <c r="L2859" t="s">
        <v>44</v>
      </c>
      <c r="M2859">
        <v>14.07</v>
      </c>
      <c r="T2859" t="s">
        <v>52</v>
      </c>
      <c r="U2859">
        <v>0</v>
      </c>
      <c r="V2859">
        <v>4</v>
      </c>
    </row>
    <row r="2860" spans="1:22" x14ac:dyDescent="0.3">
      <c r="A2860">
        <v>2859</v>
      </c>
      <c r="B2860">
        <v>53224</v>
      </c>
      <c r="C2860" s="2">
        <v>36712</v>
      </c>
      <c r="D2860">
        <v>25</v>
      </c>
      <c r="E2860" t="s">
        <v>42</v>
      </c>
      <c r="F2860" t="s">
        <v>50</v>
      </c>
      <c r="G2860" s="2">
        <v>45532</v>
      </c>
      <c r="H2860" s="3">
        <f t="shared" si="44"/>
        <v>1.1534246575342466</v>
      </c>
      <c r="I2860">
        <v>65</v>
      </c>
      <c r="J2860" t="s">
        <v>38</v>
      </c>
      <c r="K2860" t="s">
        <v>43</v>
      </c>
      <c r="L2860" t="s">
        <v>44</v>
      </c>
      <c r="M2860">
        <v>16.37</v>
      </c>
      <c r="T2860" t="s">
        <v>45</v>
      </c>
      <c r="U2860">
        <v>0</v>
      </c>
      <c r="V2860">
        <v>5</v>
      </c>
    </row>
    <row r="2861" spans="1:22" x14ac:dyDescent="0.3">
      <c r="A2861">
        <v>2860</v>
      </c>
      <c r="B2861">
        <v>53225</v>
      </c>
      <c r="C2861" s="2">
        <v>38852</v>
      </c>
      <c r="D2861">
        <v>19</v>
      </c>
      <c r="E2861" t="s">
        <v>42</v>
      </c>
      <c r="F2861" t="s">
        <v>50</v>
      </c>
      <c r="G2861" s="2">
        <v>45601</v>
      </c>
      <c r="H2861" s="3">
        <f t="shared" si="44"/>
        <v>1.5726027397260274</v>
      </c>
      <c r="I2861">
        <v>66</v>
      </c>
      <c r="J2861" t="s">
        <v>57</v>
      </c>
      <c r="K2861" t="s">
        <v>65</v>
      </c>
      <c r="L2861" t="s">
        <v>44</v>
      </c>
      <c r="M2861">
        <v>10.64</v>
      </c>
      <c r="T2861" t="s">
        <v>52</v>
      </c>
      <c r="U2861">
        <v>0</v>
      </c>
      <c r="V2861">
        <v>7</v>
      </c>
    </row>
    <row r="2862" spans="1:22" x14ac:dyDescent="0.3">
      <c r="A2862">
        <v>2861</v>
      </c>
      <c r="B2862">
        <v>53226</v>
      </c>
      <c r="C2862" s="2">
        <v>37960</v>
      </c>
      <c r="D2862">
        <v>22</v>
      </c>
      <c r="E2862" t="s">
        <v>42</v>
      </c>
      <c r="F2862" t="s">
        <v>50</v>
      </c>
      <c r="G2862" s="2">
        <v>45448</v>
      </c>
      <c r="H2862" s="3">
        <f t="shared" si="44"/>
        <v>1.3260273972602741</v>
      </c>
      <c r="I2862">
        <v>66</v>
      </c>
      <c r="J2862" t="s">
        <v>57</v>
      </c>
      <c r="K2862" t="s">
        <v>56</v>
      </c>
      <c r="L2862" t="s">
        <v>44</v>
      </c>
      <c r="M2862">
        <v>8.4700000000000006</v>
      </c>
      <c r="T2862" t="s">
        <v>52</v>
      </c>
      <c r="U2862">
        <v>2</v>
      </c>
      <c r="V2862">
        <v>5</v>
      </c>
    </row>
    <row r="2863" spans="1:22" x14ac:dyDescent="0.3">
      <c r="A2863">
        <v>2862</v>
      </c>
      <c r="B2863">
        <v>53227</v>
      </c>
      <c r="C2863" s="2">
        <v>39075</v>
      </c>
      <c r="D2863">
        <v>19</v>
      </c>
      <c r="E2863" t="s">
        <v>42</v>
      </c>
      <c r="F2863" t="s">
        <v>50</v>
      </c>
      <c r="G2863" s="2">
        <v>45538</v>
      </c>
      <c r="H2863" s="3">
        <f t="shared" si="44"/>
        <v>1.5287671232876712</v>
      </c>
      <c r="I2863">
        <v>66</v>
      </c>
      <c r="J2863" t="s">
        <v>57</v>
      </c>
      <c r="K2863" t="s">
        <v>56</v>
      </c>
      <c r="L2863" t="s">
        <v>44</v>
      </c>
      <c r="M2863">
        <v>8.4700000000000006</v>
      </c>
      <c r="T2863" t="s">
        <v>52</v>
      </c>
      <c r="U2863">
        <v>2</v>
      </c>
      <c r="V2863">
        <v>5</v>
      </c>
    </row>
    <row r="2864" spans="1:22" x14ac:dyDescent="0.3">
      <c r="A2864">
        <v>2863</v>
      </c>
      <c r="B2864">
        <v>53228</v>
      </c>
      <c r="C2864" s="2">
        <v>38227</v>
      </c>
      <c r="D2864">
        <v>21</v>
      </c>
      <c r="E2864" t="s">
        <v>42</v>
      </c>
      <c r="F2864" t="s">
        <v>50</v>
      </c>
      <c r="G2864" s="2">
        <v>45464</v>
      </c>
      <c r="H2864" s="3">
        <f t="shared" si="44"/>
        <v>1.0356164383561643</v>
      </c>
      <c r="I2864">
        <v>68</v>
      </c>
      <c r="J2864" t="s">
        <v>57</v>
      </c>
      <c r="K2864" t="s">
        <v>56</v>
      </c>
      <c r="L2864" t="s">
        <v>44</v>
      </c>
      <c r="M2864">
        <v>8.4700000000000006</v>
      </c>
      <c r="T2864" t="s">
        <v>47</v>
      </c>
      <c r="U2864">
        <v>1</v>
      </c>
      <c r="V2864">
        <v>6</v>
      </c>
    </row>
    <row r="2865" spans="1:22" x14ac:dyDescent="0.3">
      <c r="A2865">
        <v>2864</v>
      </c>
      <c r="B2865">
        <v>53229</v>
      </c>
      <c r="C2865" s="2">
        <v>35773</v>
      </c>
      <c r="D2865">
        <v>28</v>
      </c>
      <c r="E2865" t="s">
        <v>42</v>
      </c>
      <c r="F2865" t="s">
        <v>50</v>
      </c>
      <c r="G2865" s="2">
        <v>45644</v>
      </c>
      <c r="H2865" s="3">
        <f t="shared" si="44"/>
        <v>1.7424657534246575</v>
      </c>
      <c r="I2865">
        <v>69</v>
      </c>
      <c r="J2865" t="s">
        <v>57</v>
      </c>
      <c r="K2865" t="s">
        <v>56</v>
      </c>
      <c r="L2865" t="s">
        <v>44</v>
      </c>
      <c r="M2865">
        <v>8.4700000000000006</v>
      </c>
      <c r="T2865" t="s">
        <v>52</v>
      </c>
      <c r="U2865">
        <v>1</v>
      </c>
      <c r="V2865">
        <v>6</v>
      </c>
    </row>
    <row r="2866" spans="1:22" x14ac:dyDescent="0.3">
      <c r="A2866">
        <v>2865</v>
      </c>
      <c r="B2866">
        <v>53230</v>
      </c>
      <c r="C2866" s="2">
        <v>37005</v>
      </c>
      <c r="D2866">
        <v>24</v>
      </c>
      <c r="E2866" t="s">
        <v>42</v>
      </c>
      <c r="F2866" t="s">
        <v>50</v>
      </c>
      <c r="G2866" s="2">
        <v>45386</v>
      </c>
      <c r="H2866" s="3">
        <f t="shared" si="44"/>
        <v>1.3863013698630138</v>
      </c>
      <c r="I2866">
        <v>70</v>
      </c>
      <c r="J2866" t="s">
        <v>57</v>
      </c>
      <c r="K2866" t="s">
        <v>56</v>
      </c>
      <c r="L2866" t="s">
        <v>44</v>
      </c>
      <c r="M2866">
        <v>8.4700000000000006</v>
      </c>
      <c r="T2866" t="s">
        <v>47</v>
      </c>
      <c r="U2866">
        <v>2</v>
      </c>
      <c r="V2866">
        <v>7</v>
      </c>
    </row>
    <row r="2867" spans="1:22" x14ac:dyDescent="0.3">
      <c r="A2867">
        <v>2866</v>
      </c>
      <c r="B2867">
        <v>53231</v>
      </c>
      <c r="C2867" s="2">
        <v>37155</v>
      </c>
      <c r="D2867">
        <v>24</v>
      </c>
      <c r="E2867" t="s">
        <v>42</v>
      </c>
      <c r="F2867" t="s">
        <v>37</v>
      </c>
      <c r="G2867" s="2">
        <v>45516</v>
      </c>
      <c r="H2867" s="3">
        <f t="shared" si="44"/>
        <v>1.6602739726027398</v>
      </c>
      <c r="I2867">
        <v>76</v>
      </c>
      <c r="J2867" t="s">
        <v>57</v>
      </c>
      <c r="K2867" t="s">
        <v>56</v>
      </c>
      <c r="L2867" t="s">
        <v>44</v>
      </c>
      <c r="M2867">
        <v>8.4700000000000006</v>
      </c>
      <c r="T2867" t="s">
        <v>45</v>
      </c>
      <c r="U2867">
        <v>1</v>
      </c>
      <c r="V2867">
        <v>4</v>
      </c>
    </row>
    <row r="2868" spans="1:22" x14ac:dyDescent="0.3">
      <c r="A2868">
        <v>2867</v>
      </c>
      <c r="B2868">
        <v>53232</v>
      </c>
      <c r="C2868" s="2">
        <v>38285</v>
      </c>
      <c r="D2868">
        <v>21</v>
      </c>
      <c r="E2868" t="s">
        <v>42</v>
      </c>
      <c r="F2868" t="s">
        <v>50</v>
      </c>
      <c r="G2868" s="2">
        <v>45416</v>
      </c>
      <c r="H2868" s="3">
        <f t="shared" si="44"/>
        <v>1.3013698630136987</v>
      </c>
      <c r="I2868">
        <v>80</v>
      </c>
      <c r="J2868" t="s">
        <v>57</v>
      </c>
      <c r="K2868" t="s">
        <v>65</v>
      </c>
      <c r="L2868" t="s">
        <v>44</v>
      </c>
      <c r="M2868">
        <v>10.64</v>
      </c>
      <c r="T2868" t="s">
        <v>49</v>
      </c>
      <c r="U2868">
        <v>0</v>
      </c>
      <c r="V2868">
        <v>5</v>
      </c>
    </row>
    <row r="2869" spans="1:22" x14ac:dyDescent="0.3">
      <c r="A2869">
        <v>2868</v>
      </c>
      <c r="B2869">
        <v>53233</v>
      </c>
      <c r="C2869" s="2">
        <v>38087</v>
      </c>
      <c r="D2869">
        <v>21</v>
      </c>
      <c r="E2869" t="s">
        <v>42</v>
      </c>
      <c r="F2869" t="s">
        <v>50</v>
      </c>
      <c r="G2869" s="2">
        <v>45547</v>
      </c>
      <c r="H2869" s="3">
        <f t="shared" si="44"/>
        <v>1.7315068493150685</v>
      </c>
      <c r="I2869">
        <v>81</v>
      </c>
      <c r="J2869" t="s">
        <v>57</v>
      </c>
      <c r="K2869" t="s">
        <v>56</v>
      </c>
      <c r="L2869" t="s">
        <v>44</v>
      </c>
      <c r="M2869">
        <v>8.4700000000000006</v>
      </c>
      <c r="T2869" t="s">
        <v>52</v>
      </c>
      <c r="U2869">
        <v>3</v>
      </c>
      <c r="V2869">
        <v>7</v>
      </c>
    </row>
    <row r="2870" spans="1:22" x14ac:dyDescent="0.3">
      <c r="A2870">
        <v>2869</v>
      </c>
      <c r="B2870">
        <v>53234</v>
      </c>
      <c r="C2870" s="2">
        <v>38904</v>
      </c>
      <c r="D2870">
        <v>19</v>
      </c>
      <c r="E2870" t="s">
        <v>42</v>
      </c>
      <c r="F2870" t="s">
        <v>50</v>
      </c>
      <c r="G2870" s="2">
        <v>45390</v>
      </c>
      <c r="H2870" s="3">
        <f t="shared" si="44"/>
        <v>1.1095890410958904</v>
      </c>
      <c r="I2870">
        <v>82</v>
      </c>
      <c r="J2870" t="s">
        <v>57</v>
      </c>
      <c r="K2870" t="s">
        <v>56</v>
      </c>
      <c r="L2870" t="s">
        <v>44</v>
      </c>
      <c r="M2870">
        <v>8.4700000000000006</v>
      </c>
      <c r="T2870" t="s">
        <v>49</v>
      </c>
      <c r="U2870">
        <v>3</v>
      </c>
      <c r="V2870">
        <v>7</v>
      </c>
    </row>
    <row r="2871" spans="1:22" x14ac:dyDescent="0.3">
      <c r="A2871">
        <v>2870</v>
      </c>
      <c r="B2871">
        <v>53235</v>
      </c>
      <c r="C2871" s="2">
        <v>36220</v>
      </c>
      <c r="D2871">
        <v>27</v>
      </c>
      <c r="E2871" t="s">
        <v>42</v>
      </c>
      <c r="F2871" t="s">
        <v>50</v>
      </c>
      <c r="G2871" s="2">
        <v>45617</v>
      </c>
      <c r="H2871" s="3">
        <f t="shared" si="44"/>
        <v>1.1369863013698631</v>
      </c>
      <c r="I2871">
        <v>82</v>
      </c>
      <c r="J2871" t="s">
        <v>57</v>
      </c>
      <c r="K2871" t="s">
        <v>56</v>
      </c>
      <c r="L2871" t="s">
        <v>44</v>
      </c>
      <c r="M2871">
        <v>8.4700000000000006</v>
      </c>
      <c r="T2871" t="s">
        <v>47</v>
      </c>
      <c r="U2871">
        <v>4</v>
      </c>
      <c r="V2871">
        <v>7</v>
      </c>
    </row>
    <row r="2872" spans="1:22" x14ac:dyDescent="0.3">
      <c r="A2872">
        <v>2871</v>
      </c>
      <c r="B2872">
        <v>53236</v>
      </c>
      <c r="C2872" s="2">
        <v>39443</v>
      </c>
      <c r="D2872">
        <v>18</v>
      </c>
      <c r="E2872" t="s">
        <v>36</v>
      </c>
      <c r="F2872" t="s">
        <v>50</v>
      </c>
      <c r="G2872" s="2">
        <v>45607</v>
      </c>
      <c r="H2872" s="3">
        <f t="shared" si="44"/>
        <v>1.106849315068493</v>
      </c>
      <c r="I2872">
        <v>83</v>
      </c>
      <c r="J2872" t="s">
        <v>57</v>
      </c>
      <c r="K2872" t="s">
        <v>56</v>
      </c>
      <c r="L2872" t="s">
        <v>44</v>
      </c>
      <c r="M2872">
        <v>8.4700000000000006</v>
      </c>
      <c r="T2872" t="s">
        <v>47</v>
      </c>
      <c r="U2872">
        <v>2</v>
      </c>
      <c r="V2872">
        <v>4</v>
      </c>
    </row>
    <row r="2873" spans="1:22" x14ac:dyDescent="0.3">
      <c r="A2873">
        <v>2872</v>
      </c>
      <c r="B2873">
        <v>53237</v>
      </c>
      <c r="C2873" s="2">
        <v>38848</v>
      </c>
      <c r="D2873">
        <v>19</v>
      </c>
      <c r="E2873" t="s">
        <v>42</v>
      </c>
      <c r="F2873" t="s">
        <v>37</v>
      </c>
      <c r="G2873" s="2">
        <v>45618</v>
      </c>
      <c r="H2873" s="3">
        <f t="shared" si="44"/>
        <v>1.8301369863013699</v>
      </c>
      <c r="I2873">
        <v>84</v>
      </c>
      <c r="J2873" t="s">
        <v>57</v>
      </c>
      <c r="K2873" t="s">
        <v>56</v>
      </c>
      <c r="L2873" t="s">
        <v>44</v>
      </c>
      <c r="M2873">
        <v>8.4700000000000006</v>
      </c>
      <c r="T2873" t="s">
        <v>49</v>
      </c>
      <c r="U2873">
        <v>2</v>
      </c>
      <c r="V2873">
        <v>4</v>
      </c>
    </row>
    <row r="2874" spans="1:22" x14ac:dyDescent="0.3">
      <c r="A2874">
        <v>2873</v>
      </c>
      <c r="B2874">
        <v>53238</v>
      </c>
      <c r="C2874" s="2">
        <v>39018</v>
      </c>
      <c r="D2874">
        <v>19</v>
      </c>
      <c r="E2874" t="s">
        <v>42</v>
      </c>
      <c r="F2874" t="s">
        <v>50</v>
      </c>
      <c r="G2874" s="2">
        <v>45354</v>
      </c>
      <c r="H2874" s="3">
        <f t="shared" si="44"/>
        <v>1.0712328767123287</v>
      </c>
      <c r="I2874">
        <v>85</v>
      </c>
      <c r="J2874" t="s">
        <v>57</v>
      </c>
      <c r="K2874" t="s">
        <v>56</v>
      </c>
      <c r="L2874" t="s">
        <v>44</v>
      </c>
      <c r="M2874">
        <v>8.4700000000000006</v>
      </c>
      <c r="T2874" t="s">
        <v>45</v>
      </c>
      <c r="U2874">
        <v>2</v>
      </c>
      <c r="V2874">
        <v>7</v>
      </c>
    </row>
    <row r="2875" spans="1:22" x14ac:dyDescent="0.3">
      <c r="A2875">
        <v>2874</v>
      </c>
      <c r="B2875">
        <v>53239</v>
      </c>
      <c r="C2875" s="2">
        <v>37787</v>
      </c>
      <c r="D2875">
        <v>22</v>
      </c>
      <c r="E2875" t="s">
        <v>42</v>
      </c>
      <c r="F2875" t="s">
        <v>50</v>
      </c>
      <c r="G2875" s="2">
        <v>45631</v>
      </c>
      <c r="H2875" s="3">
        <f t="shared" si="44"/>
        <v>1.484931506849315</v>
      </c>
      <c r="I2875">
        <v>85</v>
      </c>
      <c r="J2875" t="s">
        <v>57</v>
      </c>
      <c r="K2875" t="s">
        <v>56</v>
      </c>
      <c r="L2875" t="s">
        <v>44</v>
      </c>
      <c r="M2875">
        <v>8.4700000000000006</v>
      </c>
      <c r="T2875" t="s">
        <v>52</v>
      </c>
      <c r="U2875">
        <v>1</v>
      </c>
      <c r="V2875">
        <v>6</v>
      </c>
    </row>
    <row r="2876" spans="1:22" x14ac:dyDescent="0.3">
      <c r="A2876">
        <v>2875</v>
      </c>
      <c r="B2876">
        <v>53240</v>
      </c>
      <c r="C2876" s="2">
        <v>38733</v>
      </c>
      <c r="D2876">
        <v>19</v>
      </c>
      <c r="E2876" t="s">
        <v>42</v>
      </c>
      <c r="F2876" t="s">
        <v>50</v>
      </c>
      <c r="G2876" s="2">
        <v>45480</v>
      </c>
      <c r="H2876" s="3">
        <f t="shared" si="44"/>
        <v>1.6</v>
      </c>
      <c r="I2876">
        <v>90</v>
      </c>
      <c r="J2876" t="s">
        <v>57</v>
      </c>
      <c r="K2876" t="s">
        <v>56</v>
      </c>
      <c r="L2876" t="s">
        <v>44</v>
      </c>
      <c r="M2876">
        <v>8.4700000000000006</v>
      </c>
      <c r="T2876" t="s">
        <v>49</v>
      </c>
      <c r="U2876">
        <v>2</v>
      </c>
      <c r="V2876">
        <v>6</v>
      </c>
    </row>
    <row r="2877" spans="1:22" x14ac:dyDescent="0.3">
      <c r="A2877">
        <v>2876</v>
      </c>
      <c r="B2877">
        <v>53241</v>
      </c>
      <c r="C2877" s="2">
        <v>36913</v>
      </c>
      <c r="D2877">
        <v>24</v>
      </c>
      <c r="E2877" t="s">
        <v>36</v>
      </c>
      <c r="F2877" t="s">
        <v>50</v>
      </c>
      <c r="G2877" s="2">
        <v>45438</v>
      </c>
      <c r="H2877" s="3">
        <f t="shared" si="44"/>
        <v>1.2328767123287672</v>
      </c>
      <c r="I2877">
        <v>97</v>
      </c>
      <c r="J2877" t="s">
        <v>57</v>
      </c>
      <c r="K2877" t="s">
        <v>65</v>
      </c>
      <c r="L2877" t="s">
        <v>44</v>
      </c>
      <c r="M2877">
        <v>10.64</v>
      </c>
      <c r="T2877" t="s">
        <v>47</v>
      </c>
      <c r="U2877">
        <v>0</v>
      </c>
      <c r="V2877">
        <v>3</v>
      </c>
    </row>
    <row r="2878" spans="1:22" x14ac:dyDescent="0.3">
      <c r="A2878">
        <v>2877</v>
      </c>
      <c r="B2878">
        <v>53242</v>
      </c>
      <c r="C2878" s="2">
        <v>36290</v>
      </c>
      <c r="D2878">
        <v>26</v>
      </c>
      <c r="E2878" t="s">
        <v>36</v>
      </c>
      <c r="F2878" t="s">
        <v>50</v>
      </c>
      <c r="G2878" s="2">
        <v>45572</v>
      </c>
      <c r="H2878" s="3">
        <f t="shared" si="44"/>
        <v>1.1534246575342466</v>
      </c>
      <c r="I2878">
        <v>97</v>
      </c>
      <c r="J2878" t="s">
        <v>57</v>
      </c>
      <c r="K2878" t="s">
        <v>56</v>
      </c>
      <c r="L2878" t="s">
        <v>44</v>
      </c>
      <c r="M2878">
        <v>8.4700000000000006</v>
      </c>
      <c r="T2878" t="s">
        <v>45</v>
      </c>
      <c r="U2878">
        <v>0</v>
      </c>
      <c r="V2878">
        <v>5</v>
      </c>
    </row>
    <row r="2879" spans="1:22" x14ac:dyDescent="0.3">
      <c r="A2879">
        <v>2878</v>
      </c>
      <c r="B2879">
        <v>53243</v>
      </c>
      <c r="C2879" s="2">
        <v>38576</v>
      </c>
      <c r="D2879">
        <v>20</v>
      </c>
      <c r="E2879" t="s">
        <v>42</v>
      </c>
      <c r="F2879" t="s">
        <v>50</v>
      </c>
      <c r="G2879" s="2">
        <v>45601</v>
      </c>
      <c r="H2879" s="3">
        <f t="shared" si="44"/>
        <v>1.3945205479452054</v>
      </c>
      <c r="I2879">
        <v>98</v>
      </c>
      <c r="J2879" t="s">
        <v>57</v>
      </c>
      <c r="K2879" t="s">
        <v>56</v>
      </c>
      <c r="L2879" t="s">
        <v>44</v>
      </c>
      <c r="M2879">
        <v>8.4700000000000006</v>
      </c>
      <c r="T2879" t="s">
        <v>52</v>
      </c>
      <c r="U2879">
        <v>1</v>
      </c>
      <c r="V2879">
        <v>5</v>
      </c>
    </row>
    <row r="2880" spans="1:22" x14ac:dyDescent="0.3">
      <c r="A2880">
        <v>2879</v>
      </c>
      <c r="B2880">
        <v>53244</v>
      </c>
      <c r="C2880" s="2">
        <v>36564</v>
      </c>
      <c r="D2880">
        <v>25</v>
      </c>
      <c r="E2880" t="s">
        <v>42</v>
      </c>
      <c r="F2880" t="s">
        <v>50</v>
      </c>
      <c r="G2880" s="2">
        <v>45513</v>
      </c>
      <c r="H2880" s="3">
        <f t="shared" si="44"/>
        <v>1.5917808219178082</v>
      </c>
      <c r="I2880">
        <v>102</v>
      </c>
      <c r="J2880" t="s">
        <v>57</v>
      </c>
      <c r="K2880" t="s">
        <v>68</v>
      </c>
      <c r="L2880" t="s">
        <v>44</v>
      </c>
      <c r="M2880">
        <v>17</v>
      </c>
      <c r="T2880" t="s">
        <v>52</v>
      </c>
      <c r="U2880">
        <v>3</v>
      </c>
      <c r="V2880">
        <v>7</v>
      </c>
    </row>
    <row r="2881" spans="1:22" x14ac:dyDescent="0.3">
      <c r="A2881">
        <v>2880</v>
      </c>
      <c r="B2881">
        <v>53245</v>
      </c>
      <c r="C2881" s="2">
        <v>38611</v>
      </c>
      <c r="D2881">
        <v>20</v>
      </c>
      <c r="E2881" t="s">
        <v>42</v>
      </c>
      <c r="F2881" t="s">
        <v>37</v>
      </c>
      <c r="G2881" s="2">
        <v>45441</v>
      </c>
      <c r="H2881" s="3">
        <f t="shared" si="44"/>
        <v>1.5178082191780822</v>
      </c>
      <c r="I2881">
        <v>102</v>
      </c>
      <c r="J2881" t="s">
        <v>57</v>
      </c>
      <c r="K2881" t="s">
        <v>56</v>
      </c>
      <c r="L2881" t="s">
        <v>44</v>
      </c>
      <c r="M2881">
        <v>8.4700000000000006</v>
      </c>
      <c r="T2881" t="s">
        <v>47</v>
      </c>
      <c r="U2881">
        <v>2</v>
      </c>
      <c r="V2881">
        <v>6</v>
      </c>
    </row>
    <row r="2882" spans="1:22" x14ac:dyDescent="0.3">
      <c r="A2882">
        <v>2881</v>
      </c>
      <c r="B2882">
        <v>53246</v>
      </c>
      <c r="C2882" s="2">
        <v>38501</v>
      </c>
      <c r="D2882">
        <v>20</v>
      </c>
      <c r="E2882" t="s">
        <v>36</v>
      </c>
      <c r="F2882" t="s">
        <v>50</v>
      </c>
      <c r="G2882" s="2">
        <v>45468</v>
      </c>
      <c r="H2882" s="3">
        <f t="shared" si="44"/>
        <v>1.0794520547945206</v>
      </c>
      <c r="I2882">
        <v>103</v>
      </c>
      <c r="J2882" t="s">
        <v>57</v>
      </c>
      <c r="K2882" t="s">
        <v>54</v>
      </c>
      <c r="L2882" t="s">
        <v>44</v>
      </c>
      <c r="M2882">
        <v>23.78</v>
      </c>
      <c r="T2882" t="s">
        <v>45</v>
      </c>
      <c r="U2882">
        <v>4</v>
      </c>
      <c r="V2882">
        <v>6</v>
      </c>
    </row>
    <row r="2883" spans="1:22" x14ac:dyDescent="0.3">
      <c r="A2883">
        <v>2882</v>
      </c>
      <c r="B2883">
        <v>53247</v>
      </c>
      <c r="C2883" s="2">
        <v>33460</v>
      </c>
      <c r="D2883">
        <v>34</v>
      </c>
      <c r="E2883" t="s">
        <v>36</v>
      </c>
      <c r="F2883" t="s">
        <v>50</v>
      </c>
      <c r="G2883" s="2">
        <v>45628</v>
      </c>
      <c r="H2883" s="3">
        <f t="shared" ref="H2883:H2946" si="45">DATEDIF(G2884,DATE(2025,12,31),"d")/365</f>
        <v>1.7643835616438357</v>
      </c>
      <c r="I2883">
        <v>104</v>
      </c>
      <c r="J2883" t="s">
        <v>57</v>
      </c>
      <c r="K2883" t="s">
        <v>46</v>
      </c>
      <c r="L2883" t="s">
        <v>44</v>
      </c>
      <c r="M2883">
        <v>14.23</v>
      </c>
      <c r="T2883" t="s">
        <v>52</v>
      </c>
      <c r="U2883">
        <v>0</v>
      </c>
      <c r="V2883">
        <v>5</v>
      </c>
    </row>
    <row r="2884" spans="1:22" x14ac:dyDescent="0.3">
      <c r="A2884">
        <v>2883</v>
      </c>
      <c r="B2884">
        <v>53248</v>
      </c>
      <c r="C2884" s="2">
        <v>38475</v>
      </c>
      <c r="D2884">
        <v>20</v>
      </c>
      <c r="E2884" t="s">
        <v>42</v>
      </c>
      <c r="F2884" t="s">
        <v>37</v>
      </c>
      <c r="G2884" s="2">
        <v>45378</v>
      </c>
      <c r="H2884" s="3">
        <f t="shared" si="45"/>
        <v>1.5890410958904109</v>
      </c>
      <c r="I2884">
        <v>104</v>
      </c>
      <c r="J2884" t="s">
        <v>57</v>
      </c>
      <c r="K2884" t="s">
        <v>56</v>
      </c>
      <c r="L2884" t="s">
        <v>44</v>
      </c>
      <c r="M2884">
        <v>8.4700000000000006</v>
      </c>
      <c r="T2884" t="s">
        <v>52</v>
      </c>
      <c r="U2884">
        <v>4</v>
      </c>
      <c r="V2884">
        <v>7</v>
      </c>
    </row>
    <row r="2885" spans="1:22" x14ac:dyDescent="0.3">
      <c r="A2885">
        <v>2884</v>
      </c>
      <c r="B2885">
        <v>53249</v>
      </c>
      <c r="C2885" s="2">
        <v>36825</v>
      </c>
      <c r="D2885">
        <v>25</v>
      </c>
      <c r="E2885" t="s">
        <v>36</v>
      </c>
      <c r="F2885" t="s">
        <v>37</v>
      </c>
      <c r="G2885" s="2">
        <v>45442</v>
      </c>
      <c r="H2885" s="3">
        <f t="shared" si="45"/>
        <v>1.7753424657534247</v>
      </c>
      <c r="I2885">
        <v>114</v>
      </c>
      <c r="J2885" t="s">
        <v>57</v>
      </c>
      <c r="K2885" t="s">
        <v>65</v>
      </c>
      <c r="L2885" t="s">
        <v>44</v>
      </c>
      <c r="M2885">
        <v>10.64</v>
      </c>
      <c r="T2885" t="s">
        <v>45</v>
      </c>
      <c r="U2885">
        <v>0</v>
      </c>
      <c r="V2885">
        <v>3</v>
      </c>
    </row>
    <row r="2886" spans="1:22" x14ac:dyDescent="0.3">
      <c r="A2886">
        <v>2885</v>
      </c>
      <c r="B2886">
        <v>53250</v>
      </c>
      <c r="C2886" s="2">
        <v>34598</v>
      </c>
      <c r="D2886">
        <v>31</v>
      </c>
      <c r="E2886" t="s">
        <v>42</v>
      </c>
      <c r="F2886" t="s">
        <v>37</v>
      </c>
      <c r="G2886" s="2">
        <v>45374</v>
      </c>
      <c r="H2886" s="3">
        <f t="shared" si="45"/>
        <v>1.1835616438356165</v>
      </c>
      <c r="I2886">
        <v>114</v>
      </c>
      <c r="J2886" t="s">
        <v>57</v>
      </c>
      <c r="K2886" t="s">
        <v>56</v>
      </c>
      <c r="L2886" t="s">
        <v>44</v>
      </c>
      <c r="M2886">
        <v>8.4700000000000006</v>
      </c>
      <c r="T2886" t="s">
        <v>52</v>
      </c>
      <c r="U2886">
        <v>2</v>
      </c>
      <c r="V2886">
        <v>6</v>
      </c>
    </row>
    <row r="2887" spans="1:22" x14ac:dyDescent="0.3">
      <c r="A2887">
        <v>2886</v>
      </c>
      <c r="B2887">
        <v>53251</v>
      </c>
      <c r="C2887" s="2">
        <v>37916</v>
      </c>
      <c r="D2887">
        <v>22</v>
      </c>
      <c r="E2887" t="s">
        <v>42</v>
      </c>
      <c r="F2887" t="s">
        <v>50</v>
      </c>
      <c r="G2887" s="2">
        <v>45590</v>
      </c>
      <c r="H2887" s="3">
        <f t="shared" si="45"/>
        <v>1.0767123287671232</v>
      </c>
      <c r="I2887">
        <v>115</v>
      </c>
      <c r="J2887" t="s">
        <v>57</v>
      </c>
      <c r="K2887" t="s">
        <v>48</v>
      </c>
      <c r="L2887" t="s">
        <v>44</v>
      </c>
      <c r="M2887">
        <v>8.4700000000000006</v>
      </c>
      <c r="T2887" t="s">
        <v>45</v>
      </c>
      <c r="U2887">
        <v>2</v>
      </c>
      <c r="V2887">
        <v>7</v>
      </c>
    </row>
    <row r="2888" spans="1:22" x14ac:dyDescent="0.3">
      <c r="A2888">
        <v>2887</v>
      </c>
      <c r="B2888">
        <v>53252</v>
      </c>
      <c r="C2888" s="2">
        <v>37824</v>
      </c>
      <c r="D2888">
        <v>22</v>
      </c>
      <c r="E2888" t="s">
        <v>36</v>
      </c>
      <c r="F2888" t="s">
        <v>50</v>
      </c>
      <c r="G2888" s="2">
        <v>45629</v>
      </c>
      <c r="H2888" s="3">
        <f t="shared" si="45"/>
        <v>1.4328767123287671</v>
      </c>
      <c r="I2888">
        <v>122</v>
      </c>
      <c r="J2888" t="s">
        <v>57</v>
      </c>
      <c r="K2888" t="s">
        <v>65</v>
      </c>
      <c r="L2888" t="s">
        <v>44</v>
      </c>
      <c r="M2888">
        <v>10.64</v>
      </c>
      <c r="T2888" t="s">
        <v>52</v>
      </c>
      <c r="U2888">
        <v>0</v>
      </c>
      <c r="V2888">
        <v>4</v>
      </c>
    </row>
    <row r="2889" spans="1:22" x14ac:dyDescent="0.3">
      <c r="A2889">
        <v>2888</v>
      </c>
      <c r="B2889">
        <v>53253</v>
      </c>
      <c r="C2889" s="2">
        <v>38423</v>
      </c>
      <c r="D2889">
        <v>20</v>
      </c>
      <c r="E2889" t="s">
        <v>42</v>
      </c>
      <c r="F2889" t="s">
        <v>37</v>
      </c>
      <c r="G2889" s="2">
        <v>45499</v>
      </c>
      <c r="H2889" s="3">
        <f t="shared" si="45"/>
        <v>1.7534246575342465</v>
      </c>
      <c r="I2889">
        <v>125</v>
      </c>
      <c r="J2889" t="s">
        <v>57</v>
      </c>
      <c r="K2889" t="s">
        <v>56</v>
      </c>
      <c r="L2889" t="s">
        <v>44</v>
      </c>
      <c r="M2889">
        <v>8.4700000000000006</v>
      </c>
      <c r="T2889" t="s">
        <v>49</v>
      </c>
      <c r="U2889">
        <v>2</v>
      </c>
      <c r="V2889">
        <v>4</v>
      </c>
    </row>
    <row r="2890" spans="1:22" x14ac:dyDescent="0.3">
      <c r="A2890">
        <v>2889</v>
      </c>
      <c r="B2890">
        <v>53254</v>
      </c>
      <c r="C2890" s="2">
        <v>37836</v>
      </c>
      <c r="D2890">
        <v>22</v>
      </c>
      <c r="E2890" t="s">
        <v>42</v>
      </c>
      <c r="F2890" t="s">
        <v>37</v>
      </c>
      <c r="G2890" s="2">
        <v>45382</v>
      </c>
      <c r="H2890" s="3">
        <f t="shared" si="45"/>
        <v>1.6219178082191781</v>
      </c>
      <c r="I2890">
        <v>126</v>
      </c>
      <c r="J2890" t="s">
        <v>57</v>
      </c>
      <c r="K2890" t="s">
        <v>56</v>
      </c>
      <c r="L2890" t="s">
        <v>44</v>
      </c>
      <c r="M2890">
        <v>8.4700000000000006</v>
      </c>
      <c r="T2890" t="s">
        <v>49</v>
      </c>
      <c r="U2890">
        <v>2</v>
      </c>
      <c r="V2890">
        <v>6</v>
      </c>
    </row>
    <row r="2891" spans="1:22" x14ac:dyDescent="0.3">
      <c r="A2891">
        <v>2890</v>
      </c>
      <c r="B2891">
        <v>53255</v>
      </c>
      <c r="C2891" s="2">
        <v>37407</v>
      </c>
      <c r="D2891">
        <v>23</v>
      </c>
      <c r="E2891" t="s">
        <v>42</v>
      </c>
      <c r="F2891" t="s">
        <v>37</v>
      </c>
      <c r="G2891" s="2">
        <v>45430</v>
      </c>
      <c r="H2891" s="3">
        <f t="shared" si="45"/>
        <v>1.8164383561643835</v>
      </c>
      <c r="I2891">
        <v>126</v>
      </c>
      <c r="J2891" t="s">
        <v>57</v>
      </c>
      <c r="K2891" t="s">
        <v>56</v>
      </c>
      <c r="L2891" t="s">
        <v>44</v>
      </c>
      <c r="M2891">
        <v>8.4700000000000006</v>
      </c>
      <c r="T2891" t="s">
        <v>49</v>
      </c>
      <c r="U2891">
        <v>0</v>
      </c>
      <c r="V2891">
        <v>6</v>
      </c>
    </row>
    <row r="2892" spans="1:22" x14ac:dyDescent="0.3">
      <c r="A2892">
        <v>2891</v>
      </c>
      <c r="B2892">
        <v>53256</v>
      </c>
      <c r="C2892" s="2">
        <v>36878</v>
      </c>
      <c r="D2892">
        <v>25</v>
      </c>
      <c r="E2892" t="s">
        <v>42</v>
      </c>
      <c r="F2892" t="s">
        <v>50</v>
      </c>
      <c r="G2892" s="2">
        <v>45359</v>
      </c>
      <c r="H2892" s="3">
        <f t="shared" si="45"/>
        <v>1.2054794520547945</v>
      </c>
      <c r="I2892">
        <v>127</v>
      </c>
      <c r="J2892" t="s">
        <v>57</v>
      </c>
      <c r="K2892" t="s">
        <v>68</v>
      </c>
      <c r="L2892" t="s">
        <v>44</v>
      </c>
      <c r="M2892">
        <v>17</v>
      </c>
      <c r="T2892" t="s">
        <v>49</v>
      </c>
      <c r="U2892">
        <v>1</v>
      </c>
      <c r="V2892">
        <v>6</v>
      </c>
    </row>
    <row r="2893" spans="1:22" x14ac:dyDescent="0.3">
      <c r="A2893">
        <v>2892</v>
      </c>
      <c r="B2893">
        <v>53257</v>
      </c>
      <c r="C2893" s="2">
        <v>38042</v>
      </c>
      <c r="D2893">
        <v>21</v>
      </c>
      <c r="E2893" t="s">
        <v>42</v>
      </c>
      <c r="F2893" t="s">
        <v>50</v>
      </c>
      <c r="G2893" s="2">
        <v>45582</v>
      </c>
      <c r="H2893" s="3">
        <f t="shared" si="45"/>
        <v>1.7232876712328766</v>
      </c>
      <c r="I2893">
        <v>127</v>
      </c>
      <c r="J2893" t="s">
        <v>57</v>
      </c>
      <c r="K2893" t="s">
        <v>46</v>
      </c>
      <c r="L2893" t="s">
        <v>44</v>
      </c>
      <c r="M2893">
        <v>14.23</v>
      </c>
      <c r="T2893" t="s">
        <v>52</v>
      </c>
      <c r="U2893">
        <v>1</v>
      </c>
      <c r="V2893">
        <v>5</v>
      </c>
    </row>
    <row r="2894" spans="1:22" x14ac:dyDescent="0.3">
      <c r="A2894">
        <v>2893</v>
      </c>
      <c r="B2894">
        <v>53258</v>
      </c>
      <c r="C2894" s="2">
        <v>38140</v>
      </c>
      <c r="D2894">
        <v>21</v>
      </c>
      <c r="E2894" t="s">
        <v>42</v>
      </c>
      <c r="F2894" t="s">
        <v>50</v>
      </c>
      <c r="G2894" s="2">
        <v>45393</v>
      </c>
      <c r="H2894" s="3">
        <f t="shared" si="45"/>
        <v>1.8876712328767122</v>
      </c>
      <c r="I2894">
        <v>127</v>
      </c>
      <c r="J2894" t="s">
        <v>57</v>
      </c>
      <c r="K2894" t="s">
        <v>56</v>
      </c>
      <c r="L2894" t="s">
        <v>44</v>
      </c>
      <c r="M2894">
        <v>8.4700000000000006</v>
      </c>
      <c r="T2894" t="s">
        <v>52</v>
      </c>
      <c r="U2894">
        <v>2</v>
      </c>
      <c r="V2894">
        <v>6</v>
      </c>
    </row>
    <row r="2895" spans="1:22" x14ac:dyDescent="0.3">
      <c r="A2895">
        <v>2894</v>
      </c>
      <c r="B2895">
        <v>53259</v>
      </c>
      <c r="C2895" s="2">
        <v>39296</v>
      </c>
      <c r="D2895">
        <v>18</v>
      </c>
      <c r="E2895" t="s">
        <v>42</v>
      </c>
      <c r="F2895" t="s">
        <v>50</v>
      </c>
      <c r="G2895" s="2">
        <v>45333</v>
      </c>
      <c r="H2895" s="3">
        <f t="shared" si="45"/>
        <v>1.6191780821917807</v>
      </c>
      <c r="I2895">
        <v>132</v>
      </c>
      <c r="J2895" t="s">
        <v>57</v>
      </c>
      <c r="K2895" t="s">
        <v>56</v>
      </c>
      <c r="L2895" t="s">
        <v>44</v>
      </c>
      <c r="M2895">
        <v>8.4700000000000006</v>
      </c>
      <c r="T2895" t="s">
        <v>45</v>
      </c>
      <c r="U2895">
        <v>4</v>
      </c>
      <c r="V2895">
        <v>7</v>
      </c>
    </row>
    <row r="2896" spans="1:22" x14ac:dyDescent="0.3">
      <c r="A2896">
        <v>2895</v>
      </c>
      <c r="B2896">
        <v>53260</v>
      </c>
      <c r="C2896" s="2">
        <v>38118</v>
      </c>
      <c r="D2896">
        <v>21</v>
      </c>
      <c r="E2896" t="s">
        <v>42</v>
      </c>
      <c r="F2896" t="s">
        <v>37</v>
      </c>
      <c r="G2896" s="2">
        <v>45431</v>
      </c>
      <c r="H2896" s="3">
        <f t="shared" si="45"/>
        <v>1.6657534246575343</v>
      </c>
      <c r="I2896">
        <v>134</v>
      </c>
      <c r="J2896" t="s">
        <v>57</v>
      </c>
      <c r="K2896" t="s">
        <v>56</v>
      </c>
      <c r="L2896" t="s">
        <v>44</v>
      </c>
      <c r="M2896">
        <v>8.4700000000000006</v>
      </c>
      <c r="T2896" t="s">
        <v>45</v>
      </c>
      <c r="U2896">
        <v>2</v>
      </c>
      <c r="V2896">
        <v>5</v>
      </c>
    </row>
    <row r="2897" spans="1:22" x14ac:dyDescent="0.3">
      <c r="A2897">
        <v>2896</v>
      </c>
      <c r="B2897">
        <v>53261</v>
      </c>
      <c r="C2897" s="2">
        <v>37691</v>
      </c>
      <c r="D2897">
        <v>22</v>
      </c>
      <c r="E2897" t="s">
        <v>42</v>
      </c>
      <c r="F2897" t="s">
        <v>37</v>
      </c>
      <c r="G2897" s="2">
        <v>45414</v>
      </c>
      <c r="H2897" s="3">
        <f t="shared" si="45"/>
        <v>1.1863013698630136</v>
      </c>
      <c r="I2897">
        <v>134</v>
      </c>
      <c r="J2897" t="s">
        <v>57</v>
      </c>
      <c r="K2897" t="s">
        <v>56</v>
      </c>
      <c r="L2897" t="s">
        <v>44</v>
      </c>
      <c r="M2897">
        <v>8.4700000000000006</v>
      </c>
      <c r="T2897" t="s">
        <v>52</v>
      </c>
      <c r="U2897">
        <v>1</v>
      </c>
      <c r="V2897">
        <v>5</v>
      </c>
    </row>
    <row r="2898" spans="1:22" x14ac:dyDescent="0.3">
      <c r="A2898">
        <v>2897</v>
      </c>
      <c r="B2898">
        <v>53262</v>
      </c>
      <c r="C2898" s="2">
        <v>37909</v>
      </c>
      <c r="D2898">
        <v>22</v>
      </c>
      <c r="E2898" t="s">
        <v>42</v>
      </c>
      <c r="F2898" t="s">
        <v>37</v>
      </c>
      <c r="G2898" s="2">
        <v>45589</v>
      </c>
      <c r="H2898" s="3">
        <f t="shared" si="45"/>
        <v>1.1041095890410959</v>
      </c>
      <c r="I2898">
        <v>136</v>
      </c>
      <c r="J2898" t="s">
        <v>57</v>
      </c>
      <c r="K2898" t="s">
        <v>56</v>
      </c>
      <c r="L2898" t="s">
        <v>44</v>
      </c>
      <c r="M2898">
        <v>8.4700000000000006</v>
      </c>
      <c r="T2898" t="s">
        <v>45</v>
      </c>
      <c r="U2898">
        <v>2</v>
      </c>
      <c r="V2898">
        <v>5</v>
      </c>
    </row>
    <row r="2899" spans="1:22" x14ac:dyDescent="0.3">
      <c r="A2899">
        <v>2898</v>
      </c>
      <c r="B2899">
        <v>53263</v>
      </c>
      <c r="C2899" s="2">
        <v>35487</v>
      </c>
      <c r="D2899">
        <v>28</v>
      </c>
      <c r="E2899" t="s">
        <v>36</v>
      </c>
      <c r="F2899" t="s">
        <v>50</v>
      </c>
      <c r="G2899" s="2">
        <v>45619</v>
      </c>
      <c r="H2899" s="3">
        <f t="shared" si="45"/>
        <v>1.5232876712328767</v>
      </c>
      <c r="I2899">
        <v>137</v>
      </c>
      <c r="J2899" t="s">
        <v>57</v>
      </c>
      <c r="K2899" t="s">
        <v>55</v>
      </c>
      <c r="L2899" t="s">
        <v>44</v>
      </c>
      <c r="M2899">
        <v>17.59</v>
      </c>
      <c r="T2899" t="s">
        <v>52</v>
      </c>
      <c r="U2899">
        <v>2</v>
      </c>
      <c r="V2899">
        <v>5</v>
      </c>
    </row>
    <row r="2900" spans="1:22" x14ac:dyDescent="0.3">
      <c r="A2900">
        <v>2899</v>
      </c>
      <c r="B2900">
        <v>53264</v>
      </c>
      <c r="C2900" s="2">
        <v>38750</v>
      </c>
      <c r="D2900">
        <v>19</v>
      </c>
      <c r="E2900" t="s">
        <v>42</v>
      </c>
      <c r="F2900" t="s">
        <v>37</v>
      </c>
      <c r="G2900" s="2">
        <v>45466</v>
      </c>
      <c r="H2900" s="3">
        <f t="shared" si="45"/>
        <v>1.8273972602739725</v>
      </c>
      <c r="I2900">
        <v>138</v>
      </c>
      <c r="J2900" t="s">
        <v>57</v>
      </c>
      <c r="K2900" t="s">
        <v>56</v>
      </c>
      <c r="L2900" t="s">
        <v>44</v>
      </c>
      <c r="M2900">
        <v>8.4700000000000006</v>
      </c>
      <c r="T2900" t="s">
        <v>49</v>
      </c>
      <c r="U2900">
        <v>4</v>
      </c>
      <c r="V2900">
        <v>7</v>
      </c>
    </row>
    <row r="2901" spans="1:22" x14ac:dyDescent="0.3">
      <c r="A2901">
        <v>2900</v>
      </c>
      <c r="B2901">
        <v>53265</v>
      </c>
      <c r="C2901" s="2">
        <v>35840</v>
      </c>
      <c r="D2901">
        <v>27</v>
      </c>
      <c r="E2901" t="s">
        <v>42</v>
      </c>
      <c r="F2901" t="s">
        <v>50</v>
      </c>
      <c r="G2901" s="2">
        <v>45355</v>
      </c>
      <c r="H2901" s="3">
        <f t="shared" si="45"/>
        <v>1.0493150684931507</v>
      </c>
      <c r="I2901">
        <v>139</v>
      </c>
      <c r="J2901" t="s">
        <v>57</v>
      </c>
      <c r="K2901" t="s">
        <v>68</v>
      </c>
      <c r="L2901" t="s">
        <v>44</v>
      </c>
      <c r="M2901">
        <v>17</v>
      </c>
      <c r="T2901" t="s">
        <v>49</v>
      </c>
      <c r="U2901">
        <v>1</v>
      </c>
      <c r="V2901">
        <v>6</v>
      </c>
    </row>
    <row r="2902" spans="1:22" x14ac:dyDescent="0.3">
      <c r="A2902">
        <v>2901</v>
      </c>
      <c r="B2902">
        <v>53266</v>
      </c>
      <c r="C2902" s="2">
        <v>38694</v>
      </c>
      <c r="D2902">
        <v>20</v>
      </c>
      <c r="E2902" t="s">
        <v>42</v>
      </c>
      <c r="F2902" t="s">
        <v>50</v>
      </c>
      <c r="G2902" s="2">
        <v>45639</v>
      </c>
      <c r="H2902" s="3">
        <f t="shared" si="45"/>
        <v>1.5671232876712329</v>
      </c>
      <c r="I2902">
        <v>145</v>
      </c>
      <c r="J2902" t="s">
        <v>57</v>
      </c>
      <c r="K2902" t="s">
        <v>56</v>
      </c>
      <c r="L2902" t="s">
        <v>44</v>
      </c>
      <c r="M2902">
        <v>8.4700000000000006</v>
      </c>
      <c r="T2902" t="s">
        <v>52</v>
      </c>
      <c r="U2902">
        <v>2</v>
      </c>
      <c r="V2902">
        <v>6</v>
      </c>
    </row>
    <row r="2903" spans="1:22" x14ac:dyDescent="0.3">
      <c r="A2903">
        <v>2902</v>
      </c>
      <c r="B2903">
        <v>53267</v>
      </c>
      <c r="C2903" s="2">
        <v>37638</v>
      </c>
      <c r="D2903">
        <v>22</v>
      </c>
      <c r="E2903" t="s">
        <v>42</v>
      </c>
      <c r="F2903" t="s">
        <v>50</v>
      </c>
      <c r="G2903" s="2">
        <v>45450</v>
      </c>
      <c r="H2903" s="3">
        <f t="shared" si="45"/>
        <v>1.4493150684931506</v>
      </c>
      <c r="I2903">
        <v>145</v>
      </c>
      <c r="J2903" t="s">
        <v>57</v>
      </c>
      <c r="K2903" t="s">
        <v>56</v>
      </c>
      <c r="L2903" t="s">
        <v>44</v>
      </c>
      <c r="M2903">
        <v>8.4700000000000006</v>
      </c>
      <c r="T2903" t="s">
        <v>52</v>
      </c>
      <c r="U2903">
        <v>1</v>
      </c>
      <c r="V2903">
        <v>4</v>
      </c>
    </row>
    <row r="2904" spans="1:22" x14ac:dyDescent="0.3">
      <c r="A2904">
        <v>2903</v>
      </c>
      <c r="B2904">
        <v>53268</v>
      </c>
      <c r="C2904" s="2">
        <v>36975</v>
      </c>
      <c r="D2904">
        <v>24</v>
      </c>
      <c r="E2904" t="s">
        <v>36</v>
      </c>
      <c r="F2904" t="s">
        <v>50</v>
      </c>
      <c r="G2904" s="2">
        <v>45493</v>
      </c>
      <c r="H2904" s="3">
        <f t="shared" si="45"/>
        <v>1.3479452054794521</v>
      </c>
      <c r="I2904">
        <v>1</v>
      </c>
      <c r="J2904" t="s">
        <v>38</v>
      </c>
      <c r="K2904" t="s">
        <v>55</v>
      </c>
      <c r="L2904" t="s">
        <v>44</v>
      </c>
      <c r="M2904">
        <v>17.59</v>
      </c>
      <c r="T2904" t="s">
        <v>49</v>
      </c>
      <c r="U2904">
        <v>4</v>
      </c>
      <c r="V2904">
        <v>6</v>
      </c>
    </row>
    <row r="2905" spans="1:22" x14ac:dyDescent="0.3">
      <c r="A2905">
        <v>2904</v>
      </c>
      <c r="B2905">
        <v>53269</v>
      </c>
      <c r="C2905" s="2">
        <v>38410</v>
      </c>
      <c r="D2905">
        <v>20</v>
      </c>
      <c r="E2905" t="s">
        <v>42</v>
      </c>
      <c r="F2905" t="s">
        <v>37</v>
      </c>
      <c r="G2905" s="2">
        <v>45530</v>
      </c>
      <c r="H2905" s="3">
        <f t="shared" si="45"/>
        <v>1.2684931506849315</v>
      </c>
      <c r="I2905">
        <v>28</v>
      </c>
      <c r="J2905" t="s">
        <v>38</v>
      </c>
      <c r="K2905" t="s">
        <v>48</v>
      </c>
      <c r="L2905" t="s">
        <v>44</v>
      </c>
      <c r="M2905">
        <v>17.899999999999999</v>
      </c>
      <c r="T2905" t="s">
        <v>45</v>
      </c>
      <c r="U2905">
        <v>0</v>
      </c>
      <c r="V2905">
        <v>6</v>
      </c>
    </row>
    <row r="2906" spans="1:22" x14ac:dyDescent="0.3">
      <c r="A2906">
        <v>2905</v>
      </c>
      <c r="B2906">
        <v>53270</v>
      </c>
      <c r="C2906" s="2">
        <v>38049</v>
      </c>
      <c r="D2906">
        <v>21</v>
      </c>
      <c r="E2906" t="s">
        <v>42</v>
      </c>
      <c r="F2906" t="s">
        <v>50</v>
      </c>
      <c r="G2906" s="2">
        <v>45559</v>
      </c>
      <c r="H2906" s="3">
        <f t="shared" si="45"/>
        <v>1.2383561643835617</v>
      </c>
      <c r="I2906">
        <v>37</v>
      </c>
      <c r="J2906" t="s">
        <v>38</v>
      </c>
      <c r="K2906" t="s">
        <v>56</v>
      </c>
      <c r="L2906" t="s">
        <v>44</v>
      </c>
      <c r="M2906">
        <v>8.4700000000000006</v>
      </c>
      <c r="T2906" t="s">
        <v>45</v>
      </c>
      <c r="U2906">
        <v>2</v>
      </c>
      <c r="V2906">
        <v>7</v>
      </c>
    </row>
    <row r="2907" spans="1:22" x14ac:dyDescent="0.3">
      <c r="A2907">
        <v>2906</v>
      </c>
      <c r="B2907">
        <v>53271</v>
      </c>
      <c r="C2907" s="2">
        <v>35851</v>
      </c>
      <c r="D2907">
        <v>27</v>
      </c>
      <c r="E2907" t="s">
        <v>42</v>
      </c>
      <c r="F2907" t="s">
        <v>50</v>
      </c>
      <c r="G2907" s="2">
        <v>45570</v>
      </c>
      <c r="H2907" s="3">
        <f t="shared" si="45"/>
        <v>1.1123287671232878</v>
      </c>
      <c r="I2907">
        <v>69</v>
      </c>
      <c r="J2907" t="s">
        <v>57</v>
      </c>
      <c r="K2907" t="s">
        <v>65</v>
      </c>
      <c r="L2907" t="s">
        <v>44</v>
      </c>
      <c r="M2907">
        <v>10.64</v>
      </c>
      <c r="T2907" t="s">
        <v>45</v>
      </c>
      <c r="U2907">
        <v>0</v>
      </c>
      <c r="V2907">
        <v>6</v>
      </c>
    </row>
    <row r="2908" spans="1:22" x14ac:dyDescent="0.3">
      <c r="A2908">
        <v>2907</v>
      </c>
      <c r="B2908">
        <v>53272</v>
      </c>
      <c r="C2908" s="2">
        <v>35889</v>
      </c>
      <c r="D2908">
        <v>27</v>
      </c>
      <c r="E2908" t="s">
        <v>42</v>
      </c>
      <c r="F2908" t="s">
        <v>50</v>
      </c>
      <c r="G2908" s="2">
        <v>45616</v>
      </c>
      <c r="H2908" s="3">
        <f t="shared" si="45"/>
        <v>1.6465753424657534</v>
      </c>
      <c r="I2908">
        <v>93</v>
      </c>
      <c r="J2908" t="s">
        <v>57</v>
      </c>
      <c r="K2908" t="s">
        <v>55</v>
      </c>
      <c r="L2908" t="s">
        <v>44</v>
      </c>
      <c r="M2908">
        <v>17.59</v>
      </c>
      <c r="T2908" t="s">
        <v>47</v>
      </c>
      <c r="U2908">
        <v>1</v>
      </c>
      <c r="V2908">
        <v>7</v>
      </c>
    </row>
    <row r="2909" spans="1:22" x14ac:dyDescent="0.3">
      <c r="A2909">
        <v>2908</v>
      </c>
      <c r="B2909">
        <v>53273</v>
      </c>
      <c r="C2909" s="2">
        <v>35153</v>
      </c>
      <c r="D2909">
        <v>29</v>
      </c>
      <c r="E2909" t="s">
        <v>36</v>
      </c>
      <c r="F2909" t="s">
        <v>50</v>
      </c>
      <c r="G2909" s="2">
        <v>45421</v>
      </c>
      <c r="H2909" s="3">
        <f t="shared" si="45"/>
        <v>1.5397260273972602</v>
      </c>
      <c r="I2909">
        <v>108</v>
      </c>
      <c r="J2909" t="s">
        <v>57</v>
      </c>
      <c r="K2909" t="s">
        <v>55</v>
      </c>
      <c r="L2909" t="s">
        <v>44</v>
      </c>
      <c r="M2909">
        <v>17.59</v>
      </c>
      <c r="T2909" t="s">
        <v>49</v>
      </c>
      <c r="U2909">
        <v>4</v>
      </c>
      <c r="V2909">
        <v>5</v>
      </c>
    </row>
    <row r="2910" spans="1:22" x14ac:dyDescent="0.3">
      <c r="A2910">
        <v>2909</v>
      </c>
      <c r="B2910">
        <v>53274</v>
      </c>
      <c r="C2910" s="2">
        <v>33690</v>
      </c>
      <c r="D2910">
        <v>33</v>
      </c>
      <c r="E2910" t="s">
        <v>42</v>
      </c>
      <c r="F2910" t="s">
        <v>50</v>
      </c>
      <c r="G2910" s="2">
        <v>45460</v>
      </c>
      <c r="H2910" s="3">
        <f t="shared" si="45"/>
        <v>1.5863013698630137</v>
      </c>
      <c r="I2910">
        <v>111</v>
      </c>
      <c r="J2910" t="s">
        <v>57</v>
      </c>
      <c r="K2910" t="s">
        <v>55</v>
      </c>
      <c r="L2910" t="s">
        <v>44</v>
      </c>
      <c r="M2910">
        <v>17.59</v>
      </c>
      <c r="T2910" t="s">
        <v>52</v>
      </c>
      <c r="U2910">
        <v>2</v>
      </c>
      <c r="V2910">
        <v>5</v>
      </c>
    </row>
    <row r="2911" spans="1:22" x14ac:dyDescent="0.3">
      <c r="A2911">
        <v>2910</v>
      </c>
      <c r="B2911">
        <v>53275</v>
      </c>
      <c r="C2911" s="2">
        <v>33604</v>
      </c>
      <c r="D2911">
        <v>34</v>
      </c>
      <c r="E2911" t="s">
        <v>42</v>
      </c>
      <c r="F2911" t="s">
        <v>50</v>
      </c>
      <c r="G2911" s="2">
        <v>45443</v>
      </c>
      <c r="H2911" s="3">
        <f t="shared" si="45"/>
        <v>1.3671232876712329</v>
      </c>
      <c r="I2911">
        <v>119</v>
      </c>
      <c r="J2911" t="s">
        <v>57</v>
      </c>
      <c r="K2911" t="s">
        <v>43</v>
      </c>
      <c r="L2911" t="s">
        <v>44</v>
      </c>
      <c r="M2911">
        <v>16.37</v>
      </c>
      <c r="T2911" t="s">
        <v>52</v>
      </c>
      <c r="U2911">
        <v>1</v>
      </c>
      <c r="V2911">
        <v>5</v>
      </c>
    </row>
    <row r="2912" spans="1:22" x14ac:dyDescent="0.3">
      <c r="A2912">
        <v>2911</v>
      </c>
      <c r="B2912">
        <v>53276</v>
      </c>
      <c r="C2912" s="2">
        <v>37963</v>
      </c>
      <c r="D2912">
        <v>22</v>
      </c>
      <c r="E2912" t="s">
        <v>42</v>
      </c>
      <c r="F2912" t="s">
        <v>50</v>
      </c>
      <c r="G2912" s="2">
        <v>45523</v>
      </c>
      <c r="H2912" s="3">
        <f t="shared" si="45"/>
        <v>1.8246575342465754</v>
      </c>
      <c r="I2912">
        <v>119</v>
      </c>
      <c r="J2912" t="s">
        <v>57</v>
      </c>
      <c r="K2912" t="s">
        <v>46</v>
      </c>
      <c r="L2912" t="s">
        <v>44</v>
      </c>
      <c r="M2912">
        <v>14.23</v>
      </c>
      <c r="T2912" t="s">
        <v>49</v>
      </c>
      <c r="U2912">
        <v>0</v>
      </c>
      <c r="V2912">
        <v>5</v>
      </c>
    </row>
    <row r="2913" spans="1:22" x14ac:dyDescent="0.3">
      <c r="A2913">
        <v>2912</v>
      </c>
      <c r="B2913">
        <v>53277</v>
      </c>
      <c r="C2913" s="2">
        <v>36029</v>
      </c>
      <c r="D2913">
        <v>27</v>
      </c>
      <c r="E2913" t="s">
        <v>42</v>
      </c>
      <c r="F2913" t="s">
        <v>37</v>
      </c>
      <c r="G2913" s="2">
        <v>45356</v>
      </c>
      <c r="H2913" s="3">
        <f t="shared" si="45"/>
        <v>1.6356164383561644</v>
      </c>
      <c r="I2913">
        <v>120</v>
      </c>
      <c r="J2913" t="s">
        <v>57</v>
      </c>
      <c r="K2913" t="s">
        <v>48</v>
      </c>
      <c r="L2913" t="s">
        <v>44</v>
      </c>
      <c r="M2913">
        <v>8.4700000000000006</v>
      </c>
      <c r="T2913" t="s">
        <v>47</v>
      </c>
      <c r="U2913">
        <v>0</v>
      </c>
      <c r="V2913">
        <v>4</v>
      </c>
    </row>
    <row r="2914" spans="1:22" x14ac:dyDescent="0.3">
      <c r="A2914">
        <v>2913</v>
      </c>
      <c r="B2914">
        <v>53278</v>
      </c>
      <c r="C2914" s="2">
        <v>37953</v>
      </c>
      <c r="D2914">
        <v>22</v>
      </c>
      <c r="E2914" t="s">
        <v>42</v>
      </c>
      <c r="F2914" t="s">
        <v>50</v>
      </c>
      <c r="G2914" s="2">
        <v>45425</v>
      </c>
      <c r="H2914" s="3">
        <f t="shared" si="45"/>
        <v>1.7397260273972603</v>
      </c>
      <c r="I2914">
        <v>10</v>
      </c>
      <c r="J2914" t="s">
        <v>38</v>
      </c>
      <c r="K2914" t="s">
        <v>55</v>
      </c>
      <c r="L2914" t="s">
        <v>44</v>
      </c>
      <c r="M2914">
        <v>17.59</v>
      </c>
      <c r="T2914" t="s">
        <v>47</v>
      </c>
      <c r="U2914">
        <v>0</v>
      </c>
      <c r="V2914">
        <v>6</v>
      </c>
    </row>
    <row r="2915" spans="1:22" x14ac:dyDescent="0.3">
      <c r="A2915">
        <v>2914</v>
      </c>
      <c r="B2915">
        <v>53279</v>
      </c>
      <c r="C2915" s="2">
        <v>35895</v>
      </c>
      <c r="D2915">
        <v>27</v>
      </c>
      <c r="E2915" t="s">
        <v>36</v>
      </c>
      <c r="F2915" t="s">
        <v>50</v>
      </c>
      <c r="G2915" s="2">
        <v>45387</v>
      </c>
      <c r="H2915" s="3">
        <f t="shared" si="45"/>
        <v>1.5917808219178082</v>
      </c>
      <c r="I2915">
        <v>15</v>
      </c>
      <c r="J2915" t="s">
        <v>38</v>
      </c>
      <c r="K2915" t="s">
        <v>65</v>
      </c>
      <c r="L2915" t="s">
        <v>44</v>
      </c>
      <c r="M2915">
        <v>10.64</v>
      </c>
      <c r="T2915" t="s">
        <v>45</v>
      </c>
      <c r="U2915">
        <v>1</v>
      </c>
      <c r="V2915">
        <v>4</v>
      </c>
    </row>
    <row r="2916" spans="1:22" x14ac:dyDescent="0.3">
      <c r="A2916">
        <v>2915</v>
      </c>
      <c r="B2916">
        <v>53281</v>
      </c>
      <c r="C2916" s="2">
        <v>36387</v>
      </c>
      <c r="D2916">
        <v>26</v>
      </c>
      <c r="E2916" t="s">
        <v>42</v>
      </c>
      <c r="F2916" t="s">
        <v>50</v>
      </c>
      <c r="G2916" s="2">
        <v>45441</v>
      </c>
      <c r="H2916" s="3">
        <f t="shared" si="45"/>
        <v>1.7561643835616438</v>
      </c>
      <c r="I2916">
        <v>96</v>
      </c>
      <c r="J2916" t="s">
        <v>57</v>
      </c>
      <c r="K2916" t="s">
        <v>56</v>
      </c>
      <c r="L2916" t="s">
        <v>44</v>
      </c>
      <c r="M2916">
        <v>8.4700000000000006</v>
      </c>
      <c r="T2916" t="s">
        <v>45</v>
      </c>
      <c r="U2916">
        <v>1</v>
      </c>
      <c r="V2916">
        <v>5</v>
      </c>
    </row>
    <row r="2917" spans="1:22" x14ac:dyDescent="0.3">
      <c r="A2917">
        <v>2916</v>
      </c>
      <c r="B2917">
        <v>53282</v>
      </c>
      <c r="C2917" s="2">
        <v>36281</v>
      </c>
      <c r="D2917">
        <v>27</v>
      </c>
      <c r="E2917" t="s">
        <v>42</v>
      </c>
      <c r="F2917" t="s">
        <v>50</v>
      </c>
      <c r="G2917" s="2">
        <v>45381</v>
      </c>
      <c r="H2917" s="3">
        <f t="shared" si="45"/>
        <v>1.2438356164383562</v>
      </c>
      <c r="I2917">
        <v>132</v>
      </c>
      <c r="J2917" t="s">
        <v>57</v>
      </c>
      <c r="K2917" t="s">
        <v>55</v>
      </c>
      <c r="L2917" t="s">
        <v>44</v>
      </c>
      <c r="M2917">
        <v>17.59</v>
      </c>
      <c r="T2917" t="s">
        <v>49</v>
      </c>
      <c r="U2917">
        <v>0</v>
      </c>
      <c r="V2917">
        <v>6</v>
      </c>
    </row>
    <row r="2918" spans="1:22" x14ac:dyDescent="0.3">
      <c r="A2918">
        <v>2917</v>
      </c>
      <c r="B2918">
        <v>53283</v>
      </c>
      <c r="C2918" s="2">
        <v>37303</v>
      </c>
      <c r="D2918">
        <v>23</v>
      </c>
      <c r="E2918" t="s">
        <v>36</v>
      </c>
      <c r="F2918" t="s">
        <v>50</v>
      </c>
      <c r="G2918" s="2">
        <v>45568</v>
      </c>
      <c r="H2918" s="3">
        <f t="shared" si="45"/>
        <v>1.0383561643835617</v>
      </c>
      <c r="I2918">
        <v>134</v>
      </c>
      <c r="J2918" t="s">
        <v>57</v>
      </c>
      <c r="K2918" t="s">
        <v>65</v>
      </c>
      <c r="L2918" t="s">
        <v>44</v>
      </c>
      <c r="M2918">
        <v>10.64</v>
      </c>
      <c r="T2918" t="s">
        <v>47</v>
      </c>
      <c r="U2918">
        <v>1</v>
      </c>
      <c r="V2918">
        <v>4</v>
      </c>
    </row>
    <row r="2919" spans="1:22" x14ac:dyDescent="0.3">
      <c r="A2919">
        <v>2918</v>
      </c>
      <c r="B2919">
        <v>53284</v>
      </c>
      <c r="C2919" s="2">
        <v>35114</v>
      </c>
      <c r="D2919">
        <v>29</v>
      </c>
      <c r="E2919" t="s">
        <v>42</v>
      </c>
      <c r="F2919" t="s">
        <v>50</v>
      </c>
      <c r="G2919" s="2">
        <v>45643</v>
      </c>
      <c r="H2919" s="3">
        <f t="shared" si="45"/>
        <v>1.5835616438356164</v>
      </c>
      <c r="I2919">
        <v>51</v>
      </c>
      <c r="J2919" t="s">
        <v>38</v>
      </c>
      <c r="K2919" t="s">
        <v>55</v>
      </c>
      <c r="L2919" t="s">
        <v>44</v>
      </c>
      <c r="M2919">
        <v>17.59</v>
      </c>
      <c r="T2919" t="s">
        <v>49</v>
      </c>
      <c r="U2919">
        <v>2</v>
      </c>
      <c r="V2919">
        <v>6</v>
      </c>
    </row>
    <row r="2920" spans="1:22" x14ac:dyDescent="0.3">
      <c r="A2920">
        <v>2919</v>
      </c>
      <c r="B2920">
        <v>53285</v>
      </c>
      <c r="C2920" s="2">
        <v>36943</v>
      </c>
      <c r="D2920">
        <v>24</v>
      </c>
      <c r="E2920" t="s">
        <v>36</v>
      </c>
      <c r="F2920" t="s">
        <v>50</v>
      </c>
      <c r="G2920" s="2">
        <v>45444</v>
      </c>
      <c r="H2920" s="3">
        <f t="shared" si="45"/>
        <v>1.3095890410958904</v>
      </c>
      <c r="I2920">
        <v>53</v>
      </c>
      <c r="J2920" t="s">
        <v>38</v>
      </c>
      <c r="K2920" t="s">
        <v>43</v>
      </c>
      <c r="L2920" t="s">
        <v>44</v>
      </c>
      <c r="M2920">
        <v>16.37</v>
      </c>
      <c r="T2920" t="s">
        <v>49</v>
      </c>
      <c r="U2920">
        <v>0</v>
      </c>
      <c r="V2920">
        <v>4</v>
      </c>
    </row>
    <row r="2921" spans="1:22" x14ac:dyDescent="0.3">
      <c r="A2921">
        <v>2920</v>
      </c>
      <c r="B2921">
        <v>53286</v>
      </c>
      <c r="C2921" s="2">
        <v>35038</v>
      </c>
      <c r="D2921">
        <v>30</v>
      </c>
      <c r="E2921" t="s">
        <v>42</v>
      </c>
      <c r="F2921" t="s">
        <v>37</v>
      </c>
      <c r="G2921" s="2">
        <v>45544</v>
      </c>
      <c r="H2921" s="3">
        <f t="shared" si="45"/>
        <v>1.3780821917808219</v>
      </c>
      <c r="I2921">
        <v>85</v>
      </c>
      <c r="J2921" t="s">
        <v>57</v>
      </c>
      <c r="K2921" t="s">
        <v>46</v>
      </c>
      <c r="L2921" t="s">
        <v>44</v>
      </c>
      <c r="M2921">
        <v>14.23</v>
      </c>
      <c r="T2921" t="s">
        <v>52</v>
      </c>
      <c r="U2921">
        <v>1</v>
      </c>
      <c r="V2921">
        <v>5</v>
      </c>
    </row>
    <row r="2922" spans="1:22" x14ac:dyDescent="0.3">
      <c r="A2922">
        <v>2921</v>
      </c>
      <c r="B2922">
        <v>53287</v>
      </c>
      <c r="C2922" s="2">
        <v>37043</v>
      </c>
      <c r="D2922">
        <v>25</v>
      </c>
      <c r="E2922" t="s">
        <v>42</v>
      </c>
      <c r="F2922" t="s">
        <v>50</v>
      </c>
      <c r="G2922" s="2">
        <v>45519</v>
      </c>
      <c r="H2922" s="3">
        <f t="shared" si="45"/>
        <v>1.7315068493150685</v>
      </c>
      <c r="I2922">
        <v>99</v>
      </c>
      <c r="J2922" t="s">
        <v>57</v>
      </c>
      <c r="K2922" t="s">
        <v>55</v>
      </c>
      <c r="L2922" t="s">
        <v>44</v>
      </c>
      <c r="M2922">
        <v>17.59</v>
      </c>
      <c r="T2922" t="s">
        <v>52</v>
      </c>
      <c r="U2922">
        <v>0</v>
      </c>
      <c r="V2922">
        <v>5</v>
      </c>
    </row>
    <row r="2923" spans="1:22" x14ac:dyDescent="0.3">
      <c r="A2923">
        <v>2922</v>
      </c>
      <c r="B2923">
        <v>53288</v>
      </c>
      <c r="C2923" s="2">
        <v>38685</v>
      </c>
      <c r="D2923">
        <v>20</v>
      </c>
      <c r="E2923" t="s">
        <v>42</v>
      </c>
      <c r="F2923" t="s">
        <v>50</v>
      </c>
      <c r="G2923" s="2">
        <v>45390</v>
      </c>
      <c r="H2923" s="3">
        <f t="shared" si="45"/>
        <v>1.3506849315068492</v>
      </c>
      <c r="I2923">
        <v>122</v>
      </c>
      <c r="J2923" t="s">
        <v>57</v>
      </c>
      <c r="K2923" t="s">
        <v>56</v>
      </c>
      <c r="L2923" t="s">
        <v>44</v>
      </c>
      <c r="M2923">
        <v>8.4700000000000006</v>
      </c>
      <c r="T2923" t="s">
        <v>45</v>
      </c>
      <c r="U2923">
        <v>2</v>
      </c>
      <c r="V2923">
        <v>6</v>
      </c>
    </row>
    <row r="2924" spans="1:22" x14ac:dyDescent="0.3">
      <c r="A2924">
        <v>2923</v>
      </c>
      <c r="B2924">
        <v>53289</v>
      </c>
      <c r="C2924" s="2">
        <v>37573</v>
      </c>
      <c r="D2924">
        <v>23</v>
      </c>
      <c r="E2924" t="s">
        <v>42</v>
      </c>
      <c r="F2924" t="s">
        <v>50</v>
      </c>
      <c r="G2924" s="2">
        <v>45529</v>
      </c>
      <c r="H2924" s="3">
        <f t="shared" si="45"/>
        <v>1.8164383561643835</v>
      </c>
      <c r="I2924">
        <v>143</v>
      </c>
      <c r="J2924" t="s">
        <v>57</v>
      </c>
      <c r="K2924" t="s">
        <v>43</v>
      </c>
      <c r="L2924" t="s">
        <v>44</v>
      </c>
      <c r="M2924">
        <v>16.37</v>
      </c>
      <c r="T2924" t="s">
        <v>52</v>
      </c>
      <c r="U2924">
        <v>2</v>
      </c>
      <c r="V2924">
        <v>5</v>
      </c>
    </row>
    <row r="2925" spans="1:22" x14ac:dyDescent="0.3">
      <c r="A2925">
        <v>2924</v>
      </c>
      <c r="B2925">
        <v>53290</v>
      </c>
      <c r="C2925" s="2">
        <v>37389</v>
      </c>
      <c r="D2925">
        <v>23</v>
      </c>
      <c r="E2925" t="s">
        <v>42</v>
      </c>
      <c r="F2925" t="s">
        <v>50</v>
      </c>
      <c r="G2925" s="2">
        <v>45359</v>
      </c>
      <c r="H2925" s="3">
        <f t="shared" si="45"/>
        <v>1.2767123287671234</v>
      </c>
      <c r="I2925">
        <v>44</v>
      </c>
      <c r="J2925" t="s">
        <v>38</v>
      </c>
      <c r="K2925" t="s">
        <v>56</v>
      </c>
      <c r="L2925" t="s">
        <v>44</v>
      </c>
      <c r="M2925">
        <v>8.4700000000000006</v>
      </c>
      <c r="T2925" t="s">
        <v>52</v>
      </c>
      <c r="U2925">
        <v>3</v>
      </c>
      <c r="V2925">
        <v>7</v>
      </c>
    </row>
    <row r="2926" spans="1:22" x14ac:dyDescent="0.3">
      <c r="A2926">
        <v>2925</v>
      </c>
      <c r="B2926">
        <v>53291</v>
      </c>
      <c r="C2926" s="2">
        <v>37924</v>
      </c>
      <c r="D2926">
        <v>22</v>
      </c>
      <c r="E2926" t="s">
        <v>42</v>
      </c>
      <c r="F2926" t="s">
        <v>50</v>
      </c>
      <c r="G2926" s="2">
        <v>45556</v>
      </c>
      <c r="H2926" s="3">
        <f t="shared" si="45"/>
        <v>1.6</v>
      </c>
      <c r="I2926">
        <v>58</v>
      </c>
      <c r="J2926" t="s">
        <v>38</v>
      </c>
      <c r="K2926" t="s">
        <v>43</v>
      </c>
      <c r="L2926" t="s">
        <v>44</v>
      </c>
      <c r="M2926">
        <v>16.37</v>
      </c>
      <c r="T2926" t="s">
        <v>52</v>
      </c>
      <c r="U2926">
        <v>1</v>
      </c>
      <c r="V2926">
        <v>6</v>
      </c>
    </row>
    <row r="2927" spans="1:22" x14ac:dyDescent="0.3">
      <c r="A2927">
        <v>2926</v>
      </c>
      <c r="B2927">
        <v>53292</v>
      </c>
      <c r="C2927" s="2">
        <v>38876</v>
      </c>
      <c r="D2927">
        <v>19</v>
      </c>
      <c r="E2927" t="s">
        <v>42</v>
      </c>
      <c r="F2927" t="s">
        <v>37</v>
      </c>
      <c r="G2927" s="2">
        <v>45438</v>
      </c>
      <c r="H2927" s="3">
        <f t="shared" si="45"/>
        <v>1.0383561643835617</v>
      </c>
      <c r="I2927">
        <v>88</v>
      </c>
      <c r="J2927" t="s">
        <v>57</v>
      </c>
      <c r="K2927" t="s">
        <v>56</v>
      </c>
      <c r="L2927" t="s">
        <v>44</v>
      </c>
      <c r="M2927">
        <v>8.4700000000000006</v>
      </c>
      <c r="T2927" t="s">
        <v>47</v>
      </c>
      <c r="U2927">
        <v>0</v>
      </c>
      <c r="V2927">
        <v>5</v>
      </c>
    </row>
    <row r="2928" spans="1:22" x14ac:dyDescent="0.3">
      <c r="A2928">
        <v>2927</v>
      </c>
      <c r="B2928">
        <v>53293</v>
      </c>
      <c r="C2928" s="2">
        <v>36516</v>
      </c>
      <c r="D2928">
        <v>26</v>
      </c>
      <c r="E2928" t="s">
        <v>42</v>
      </c>
      <c r="F2928" t="s">
        <v>50</v>
      </c>
      <c r="G2928" s="2">
        <v>45643</v>
      </c>
      <c r="H2928" s="3">
        <f t="shared" si="45"/>
        <v>1.0684931506849316</v>
      </c>
      <c r="I2928">
        <v>128</v>
      </c>
      <c r="J2928" t="s">
        <v>57</v>
      </c>
      <c r="K2928" t="s">
        <v>55</v>
      </c>
      <c r="L2928" t="s">
        <v>44</v>
      </c>
      <c r="M2928">
        <v>17.59</v>
      </c>
      <c r="T2928" t="s">
        <v>47</v>
      </c>
      <c r="U2928">
        <v>0</v>
      </c>
      <c r="V2928">
        <v>4</v>
      </c>
    </row>
    <row r="2929" spans="1:22" x14ac:dyDescent="0.3">
      <c r="A2929">
        <v>2928</v>
      </c>
      <c r="B2929">
        <v>53294</v>
      </c>
      <c r="C2929" s="2">
        <v>38056</v>
      </c>
      <c r="D2929">
        <v>21</v>
      </c>
      <c r="E2929" t="s">
        <v>36</v>
      </c>
      <c r="F2929" t="s">
        <v>50</v>
      </c>
      <c r="G2929" s="2">
        <v>45632</v>
      </c>
      <c r="H2929" s="3">
        <f t="shared" si="45"/>
        <v>1.4082191780821918</v>
      </c>
      <c r="I2929">
        <v>135</v>
      </c>
      <c r="J2929" t="s">
        <v>57</v>
      </c>
      <c r="K2929" t="s">
        <v>64</v>
      </c>
      <c r="L2929" t="s">
        <v>44</v>
      </c>
      <c r="M2929">
        <v>14.07</v>
      </c>
      <c r="T2929" t="s">
        <v>52</v>
      </c>
      <c r="U2929">
        <v>0</v>
      </c>
      <c r="V2929">
        <v>3</v>
      </c>
    </row>
    <row r="2930" spans="1:22" x14ac:dyDescent="0.3">
      <c r="A2930">
        <v>2929</v>
      </c>
      <c r="B2930">
        <v>53295</v>
      </c>
      <c r="C2930" s="2">
        <v>38180</v>
      </c>
      <c r="D2930">
        <v>21</v>
      </c>
      <c r="E2930" t="s">
        <v>36</v>
      </c>
      <c r="F2930" t="s">
        <v>50</v>
      </c>
      <c r="G2930" s="2">
        <v>45508</v>
      </c>
      <c r="H2930" s="3">
        <f t="shared" si="45"/>
        <v>1.1863013698630136</v>
      </c>
      <c r="I2930">
        <v>143</v>
      </c>
      <c r="J2930" t="s">
        <v>57</v>
      </c>
      <c r="K2930" t="s">
        <v>54</v>
      </c>
      <c r="L2930" t="s">
        <v>44</v>
      </c>
      <c r="M2930">
        <v>23.78</v>
      </c>
      <c r="T2930" t="s">
        <v>47</v>
      </c>
      <c r="U2930">
        <v>6</v>
      </c>
      <c r="V2930">
        <v>5</v>
      </c>
    </row>
    <row r="2931" spans="1:22" x14ac:dyDescent="0.3">
      <c r="A2931">
        <v>2930</v>
      </c>
      <c r="B2931">
        <v>53296</v>
      </c>
      <c r="C2931" s="2">
        <v>36722</v>
      </c>
      <c r="D2931">
        <v>25</v>
      </c>
      <c r="E2931" t="s">
        <v>42</v>
      </c>
      <c r="F2931" t="s">
        <v>50</v>
      </c>
      <c r="G2931" s="2">
        <v>45589</v>
      </c>
      <c r="H2931" s="3">
        <f t="shared" si="45"/>
        <v>1.7095890410958905</v>
      </c>
      <c r="I2931">
        <v>51</v>
      </c>
      <c r="J2931" t="s">
        <v>38</v>
      </c>
      <c r="K2931" t="s">
        <v>46</v>
      </c>
      <c r="L2931" t="s">
        <v>44</v>
      </c>
      <c r="M2931">
        <v>14.23</v>
      </c>
      <c r="T2931" t="s">
        <v>45</v>
      </c>
      <c r="U2931">
        <v>0</v>
      </c>
      <c r="V2931">
        <v>5</v>
      </c>
    </row>
    <row r="2932" spans="1:22" x14ac:dyDescent="0.3">
      <c r="A2932">
        <v>2931</v>
      </c>
      <c r="B2932">
        <v>53297</v>
      </c>
      <c r="C2932" s="2">
        <v>37547</v>
      </c>
      <c r="D2932">
        <v>23</v>
      </c>
      <c r="E2932" t="s">
        <v>36</v>
      </c>
      <c r="F2932" t="s">
        <v>50</v>
      </c>
      <c r="G2932" s="2">
        <v>45398</v>
      </c>
      <c r="H2932" s="3">
        <f t="shared" si="45"/>
        <v>1.3671232876712329</v>
      </c>
      <c r="I2932">
        <v>114</v>
      </c>
      <c r="J2932" t="s">
        <v>57</v>
      </c>
      <c r="K2932" t="s">
        <v>54</v>
      </c>
      <c r="L2932" t="s">
        <v>44</v>
      </c>
      <c r="M2932">
        <v>23.78</v>
      </c>
      <c r="T2932" t="s">
        <v>47</v>
      </c>
      <c r="U2932">
        <v>6</v>
      </c>
      <c r="V2932">
        <v>6</v>
      </c>
    </row>
    <row r="2933" spans="1:22" x14ac:dyDescent="0.3">
      <c r="A2933">
        <v>2932</v>
      </c>
      <c r="B2933">
        <v>53298</v>
      </c>
      <c r="C2933" s="2">
        <v>36869</v>
      </c>
      <c r="D2933">
        <v>25</v>
      </c>
      <c r="E2933" t="s">
        <v>36</v>
      </c>
      <c r="F2933" t="s">
        <v>50</v>
      </c>
      <c r="G2933" s="2">
        <v>45523</v>
      </c>
      <c r="H2933" s="3">
        <f t="shared" si="45"/>
        <v>1.7013698630136986</v>
      </c>
      <c r="I2933">
        <v>102</v>
      </c>
      <c r="J2933" t="s">
        <v>57</v>
      </c>
      <c r="K2933" t="s">
        <v>55</v>
      </c>
      <c r="L2933" t="s">
        <v>44</v>
      </c>
      <c r="M2933">
        <v>17.59</v>
      </c>
      <c r="T2933" t="s">
        <v>52</v>
      </c>
      <c r="U2933">
        <v>2</v>
      </c>
      <c r="V2933">
        <v>5</v>
      </c>
    </row>
    <row r="2934" spans="1:22" x14ac:dyDescent="0.3">
      <c r="A2934">
        <v>2933</v>
      </c>
      <c r="B2934">
        <v>53299</v>
      </c>
      <c r="C2934" s="2">
        <v>38637</v>
      </c>
      <c r="D2934">
        <v>20</v>
      </c>
      <c r="E2934" t="s">
        <v>36</v>
      </c>
      <c r="F2934" t="s">
        <v>50</v>
      </c>
      <c r="G2934" s="2">
        <v>45401</v>
      </c>
      <c r="H2934" s="3">
        <f t="shared" si="45"/>
        <v>1.1863013698630136</v>
      </c>
      <c r="I2934">
        <v>1</v>
      </c>
      <c r="J2934" t="s">
        <v>38</v>
      </c>
      <c r="K2934" t="s">
        <v>65</v>
      </c>
      <c r="L2934" t="s">
        <v>44</v>
      </c>
      <c r="M2934">
        <v>10.64</v>
      </c>
      <c r="T2934" t="s">
        <v>49</v>
      </c>
      <c r="U2934">
        <v>0</v>
      </c>
      <c r="V2934">
        <v>4</v>
      </c>
    </row>
    <row r="2935" spans="1:22" x14ac:dyDescent="0.3">
      <c r="A2935">
        <v>2934</v>
      </c>
      <c r="B2935">
        <v>53300</v>
      </c>
      <c r="C2935" s="2">
        <v>39254</v>
      </c>
      <c r="D2935">
        <v>18</v>
      </c>
      <c r="E2935" t="s">
        <v>42</v>
      </c>
      <c r="F2935" t="s">
        <v>37</v>
      </c>
      <c r="G2935" s="2">
        <v>45589</v>
      </c>
      <c r="H2935" s="3">
        <f t="shared" si="45"/>
        <v>1.0054794520547945</v>
      </c>
      <c r="I2935">
        <v>8</v>
      </c>
      <c r="J2935" t="s">
        <v>38</v>
      </c>
      <c r="K2935" t="s">
        <v>56</v>
      </c>
      <c r="L2935" t="s">
        <v>44</v>
      </c>
      <c r="M2935">
        <v>8.4700000000000006</v>
      </c>
      <c r="T2935" t="s">
        <v>52</v>
      </c>
      <c r="U2935">
        <v>3</v>
      </c>
      <c r="V2935">
        <v>6</v>
      </c>
    </row>
    <row r="2936" spans="1:22" x14ac:dyDescent="0.3">
      <c r="A2936">
        <v>2935</v>
      </c>
      <c r="B2936">
        <v>53301</v>
      </c>
      <c r="C2936" s="2">
        <v>37930</v>
      </c>
      <c r="D2936">
        <v>22</v>
      </c>
      <c r="E2936" t="s">
        <v>36</v>
      </c>
      <c r="F2936" t="s">
        <v>50</v>
      </c>
      <c r="G2936" s="2">
        <v>45655</v>
      </c>
      <c r="H2936" s="3">
        <f t="shared" si="45"/>
        <v>1.6575342465753424</v>
      </c>
      <c r="I2936">
        <v>30</v>
      </c>
      <c r="J2936" t="s">
        <v>38</v>
      </c>
      <c r="K2936" t="s">
        <v>65</v>
      </c>
      <c r="L2936" t="s">
        <v>44</v>
      </c>
      <c r="M2936">
        <v>10.64</v>
      </c>
      <c r="T2936" t="s">
        <v>45</v>
      </c>
      <c r="U2936">
        <v>0</v>
      </c>
      <c r="V2936">
        <v>5</v>
      </c>
    </row>
    <row r="2937" spans="1:22" x14ac:dyDescent="0.3">
      <c r="A2937">
        <v>2936</v>
      </c>
      <c r="B2937">
        <v>53302</v>
      </c>
      <c r="C2937" s="2">
        <v>36873</v>
      </c>
      <c r="D2937">
        <v>25</v>
      </c>
      <c r="E2937" t="s">
        <v>36</v>
      </c>
      <c r="F2937" t="s">
        <v>50</v>
      </c>
      <c r="G2937" s="2">
        <v>45417</v>
      </c>
      <c r="H2937" s="3">
        <f t="shared" si="45"/>
        <v>1.8246575342465754</v>
      </c>
      <c r="I2937">
        <v>77</v>
      </c>
      <c r="J2937" t="s">
        <v>57</v>
      </c>
      <c r="K2937" t="s">
        <v>55</v>
      </c>
      <c r="L2937" t="s">
        <v>44</v>
      </c>
      <c r="M2937">
        <v>17.59</v>
      </c>
      <c r="T2937" t="s">
        <v>52</v>
      </c>
      <c r="U2937">
        <v>2</v>
      </c>
      <c r="V2937">
        <v>3</v>
      </c>
    </row>
    <row r="2938" spans="1:22" x14ac:dyDescent="0.3">
      <c r="A2938">
        <v>2937</v>
      </c>
      <c r="B2938">
        <v>53303</v>
      </c>
      <c r="C2938" s="2">
        <v>35740</v>
      </c>
      <c r="D2938">
        <v>28</v>
      </c>
      <c r="E2938" t="s">
        <v>42</v>
      </c>
      <c r="F2938" t="s">
        <v>50</v>
      </c>
      <c r="G2938" s="2">
        <v>45356</v>
      </c>
      <c r="H2938" s="3">
        <f t="shared" si="45"/>
        <v>1.7178082191780821</v>
      </c>
      <c r="I2938">
        <v>141</v>
      </c>
      <c r="J2938" t="s">
        <v>57</v>
      </c>
      <c r="K2938" t="s">
        <v>56</v>
      </c>
      <c r="L2938" t="s">
        <v>44</v>
      </c>
      <c r="M2938">
        <v>8.4700000000000006</v>
      </c>
      <c r="T2938" t="s">
        <v>49</v>
      </c>
      <c r="U2938">
        <v>2</v>
      </c>
      <c r="V2938">
        <v>6</v>
      </c>
    </row>
    <row r="2939" spans="1:22" x14ac:dyDescent="0.3">
      <c r="A2939">
        <v>2938</v>
      </c>
      <c r="B2939">
        <v>53304</v>
      </c>
      <c r="C2939" s="2">
        <v>37821</v>
      </c>
      <c r="D2939">
        <v>22</v>
      </c>
      <c r="E2939" t="s">
        <v>42</v>
      </c>
      <c r="F2939" t="s">
        <v>37</v>
      </c>
      <c r="G2939" s="2">
        <v>45395</v>
      </c>
      <c r="H2939" s="3">
        <f t="shared" si="45"/>
        <v>1.5506849315068494</v>
      </c>
      <c r="I2939">
        <v>1</v>
      </c>
      <c r="J2939" t="s">
        <v>38</v>
      </c>
      <c r="K2939" t="s">
        <v>56</v>
      </c>
      <c r="L2939" t="s">
        <v>44</v>
      </c>
      <c r="M2939">
        <v>8.4700000000000006</v>
      </c>
      <c r="T2939" t="s">
        <v>52</v>
      </c>
      <c r="U2939">
        <v>2</v>
      </c>
      <c r="V2939">
        <v>4</v>
      </c>
    </row>
    <row r="2940" spans="1:22" x14ac:dyDescent="0.3">
      <c r="A2940">
        <v>2939</v>
      </c>
      <c r="B2940">
        <v>53305</v>
      </c>
      <c r="C2940" s="2">
        <v>37098</v>
      </c>
      <c r="D2940">
        <v>24</v>
      </c>
      <c r="E2940" t="s">
        <v>42</v>
      </c>
      <c r="F2940" t="s">
        <v>37</v>
      </c>
      <c r="G2940" s="2">
        <v>45456</v>
      </c>
      <c r="H2940" s="3">
        <f t="shared" si="45"/>
        <v>1.6684931506849314</v>
      </c>
      <c r="I2940">
        <v>3</v>
      </c>
      <c r="J2940" t="s">
        <v>38</v>
      </c>
      <c r="K2940" t="s">
        <v>68</v>
      </c>
      <c r="L2940" t="s">
        <v>44</v>
      </c>
      <c r="M2940">
        <v>17</v>
      </c>
      <c r="T2940" t="s">
        <v>52</v>
      </c>
      <c r="U2940">
        <v>3</v>
      </c>
      <c r="V2940">
        <v>6</v>
      </c>
    </row>
    <row r="2941" spans="1:22" x14ac:dyDescent="0.3">
      <c r="A2941">
        <v>2940</v>
      </c>
      <c r="B2941">
        <v>53306</v>
      </c>
      <c r="C2941" s="2">
        <v>37356</v>
      </c>
      <c r="D2941">
        <v>23</v>
      </c>
      <c r="E2941" t="s">
        <v>42</v>
      </c>
      <c r="F2941" t="s">
        <v>50</v>
      </c>
      <c r="G2941" s="2">
        <v>45413</v>
      </c>
      <c r="H2941" s="3">
        <f t="shared" si="45"/>
        <v>1.4438356164383561</v>
      </c>
      <c r="I2941">
        <v>20</v>
      </c>
      <c r="J2941" t="s">
        <v>38</v>
      </c>
      <c r="K2941" t="s">
        <v>56</v>
      </c>
      <c r="L2941" t="s">
        <v>44</v>
      </c>
      <c r="M2941">
        <v>8.4700000000000006</v>
      </c>
      <c r="T2941" t="s">
        <v>52</v>
      </c>
      <c r="U2941">
        <v>4</v>
      </c>
      <c r="V2941">
        <v>7</v>
      </c>
    </row>
    <row r="2942" spans="1:22" x14ac:dyDescent="0.3">
      <c r="A2942">
        <v>2941</v>
      </c>
      <c r="B2942">
        <v>53307</v>
      </c>
      <c r="C2942" s="2">
        <v>38557</v>
      </c>
      <c r="D2942">
        <v>20</v>
      </c>
      <c r="E2942" t="s">
        <v>42</v>
      </c>
      <c r="F2942" t="s">
        <v>37</v>
      </c>
      <c r="G2942" s="2">
        <v>45495</v>
      </c>
      <c r="H2942" s="3">
        <f t="shared" si="45"/>
        <v>1.526027397260274</v>
      </c>
      <c r="I2942">
        <v>26</v>
      </c>
      <c r="J2942" t="s">
        <v>38</v>
      </c>
      <c r="K2942" t="s">
        <v>64</v>
      </c>
      <c r="L2942" t="s">
        <v>44</v>
      </c>
      <c r="M2942">
        <v>14.07</v>
      </c>
      <c r="T2942" t="s">
        <v>45</v>
      </c>
      <c r="U2942">
        <v>1</v>
      </c>
      <c r="V2942">
        <v>6</v>
      </c>
    </row>
    <row r="2943" spans="1:22" x14ac:dyDescent="0.3">
      <c r="A2943">
        <v>2942</v>
      </c>
      <c r="B2943">
        <v>53308</v>
      </c>
      <c r="C2943" s="2">
        <v>38971</v>
      </c>
      <c r="D2943">
        <v>19</v>
      </c>
      <c r="E2943" t="s">
        <v>42</v>
      </c>
      <c r="F2943" t="s">
        <v>50</v>
      </c>
      <c r="G2943" s="2">
        <v>45465</v>
      </c>
      <c r="H2943" s="3">
        <f t="shared" si="45"/>
        <v>1.7397260273972603</v>
      </c>
      <c r="I2943">
        <v>29</v>
      </c>
      <c r="J2943" t="s">
        <v>38</v>
      </c>
      <c r="K2943" t="s">
        <v>56</v>
      </c>
      <c r="L2943" t="s">
        <v>44</v>
      </c>
      <c r="M2943">
        <v>8.4700000000000006</v>
      </c>
      <c r="T2943" t="s">
        <v>52</v>
      </c>
      <c r="U2943">
        <v>4</v>
      </c>
      <c r="V2943">
        <v>7</v>
      </c>
    </row>
    <row r="2944" spans="1:22" x14ac:dyDescent="0.3">
      <c r="A2944">
        <v>2943</v>
      </c>
      <c r="B2944">
        <v>53309</v>
      </c>
      <c r="C2944" s="2">
        <v>38901</v>
      </c>
      <c r="D2944">
        <v>19</v>
      </c>
      <c r="E2944" t="s">
        <v>42</v>
      </c>
      <c r="F2944" t="s">
        <v>37</v>
      </c>
      <c r="G2944" s="2">
        <v>45387</v>
      </c>
      <c r="H2944" s="3">
        <f t="shared" si="45"/>
        <v>1.4383561643835616</v>
      </c>
      <c r="I2944">
        <v>37</v>
      </c>
      <c r="J2944" t="s">
        <v>38</v>
      </c>
      <c r="K2944" t="s">
        <v>43</v>
      </c>
      <c r="L2944" t="s">
        <v>44</v>
      </c>
      <c r="M2944">
        <v>16.37</v>
      </c>
      <c r="T2944" t="s">
        <v>47</v>
      </c>
      <c r="U2944">
        <v>0</v>
      </c>
      <c r="V2944">
        <v>5</v>
      </c>
    </row>
    <row r="2945" spans="1:22" x14ac:dyDescent="0.3">
      <c r="A2945">
        <v>2944</v>
      </c>
      <c r="B2945">
        <v>53310</v>
      </c>
      <c r="C2945" s="2">
        <v>37330</v>
      </c>
      <c r="D2945">
        <v>23</v>
      </c>
      <c r="E2945" t="s">
        <v>42</v>
      </c>
      <c r="F2945" t="s">
        <v>37</v>
      </c>
      <c r="G2945" s="2">
        <v>45497</v>
      </c>
      <c r="H2945" s="3">
        <f t="shared" si="45"/>
        <v>1.0739726027397261</v>
      </c>
      <c r="I2945">
        <v>40</v>
      </c>
      <c r="J2945" t="s">
        <v>38</v>
      </c>
      <c r="K2945" t="s">
        <v>56</v>
      </c>
      <c r="L2945" t="s">
        <v>44</v>
      </c>
      <c r="M2945">
        <v>8.4700000000000006</v>
      </c>
      <c r="T2945" t="s">
        <v>49</v>
      </c>
      <c r="U2945">
        <v>2</v>
      </c>
      <c r="V2945">
        <v>7</v>
      </c>
    </row>
    <row r="2946" spans="1:22" x14ac:dyDescent="0.3">
      <c r="A2946">
        <v>2945</v>
      </c>
      <c r="B2946">
        <v>53311</v>
      </c>
      <c r="C2946" s="2">
        <v>36422</v>
      </c>
      <c r="D2946">
        <v>26</v>
      </c>
      <c r="E2946" t="s">
        <v>42</v>
      </c>
      <c r="F2946" t="s">
        <v>50</v>
      </c>
      <c r="G2946" s="2">
        <v>45630</v>
      </c>
      <c r="H2946" s="3">
        <f t="shared" si="45"/>
        <v>1.2136986301369863</v>
      </c>
      <c r="I2946">
        <v>62</v>
      </c>
      <c r="J2946" t="s">
        <v>38</v>
      </c>
      <c r="K2946" t="s">
        <v>56</v>
      </c>
      <c r="L2946" t="s">
        <v>44</v>
      </c>
      <c r="M2946">
        <v>8.4700000000000006</v>
      </c>
      <c r="T2946" t="s">
        <v>45</v>
      </c>
      <c r="U2946">
        <v>3</v>
      </c>
      <c r="V2946">
        <v>5</v>
      </c>
    </row>
    <row r="2947" spans="1:22" x14ac:dyDescent="0.3">
      <c r="A2947">
        <v>2946</v>
      </c>
      <c r="B2947">
        <v>53312</v>
      </c>
      <c r="C2947" s="2">
        <v>38116</v>
      </c>
      <c r="D2947">
        <v>21</v>
      </c>
      <c r="E2947" t="s">
        <v>42</v>
      </c>
      <c r="F2947" t="s">
        <v>50</v>
      </c>
      <c r="G2947" s="2">
        <v>45579</v>
      </c>
      <c r="H2947" s="3">
        <f t="shared" ref="H2947:H3010" si="46">DATEDIF(G2948,DATE(2025,12,31),"d")/365</f>
        <v>1.1808219178082191</v>
      </c>
      <c r="I2947">
        <v>81</v>
      </c>
      <c r="J2947" t="s">
        <v>57</v>
      </c>
      <c r="K2947" t="s">
        <v>46</v>
      </c>
      <c r="L2947" t="s">
        <v>44</v>
      </c>
      <c r="M2947">
        <v>14.23</v>
      </c>
      <c r="T2947" t="s">
        <v>52</v>
      </c>
      <c r="U2947">
        <v>0</v>
      </c>
      <c r="V2947">
        <v>5</v>
      </c>
    </row>
    <row r="2948" spans="1:22" x14ac:dyDescent="0.3">
      <c r="A2948">
        <v>2947</v>
      </c>
      <c r="B2948">
        <v>53315</v>
      </c>
      <c r="C2948" s="2">
        <v>35493</v>
      </c>
      <c r="D2948">
        <v>28</v>
      </c>
      <c r="E2948" t="s">
        <v>36</v>
      </c>
      <c r="F2948" t="s">
        <v>50</v>
      </c>
      <c r="G2948" s="2">
        <v>45591</v>
      </c>
      <c r="H2948" s="3">
        <f t="shared" si="46"/>
        <v>1.1342465753424658</v>
      </c>
      <c r="I2948">
        <v>120</v>
      </c>
      <c r="J2948" t="s">
        <v>57</v>
      </c>
      <c r="K2948" t="s">
        <v>54</v>
      </c>
      <c r="L2948" t="s">
        <v>44</v>
      </c>
      <c r="M2948">
        <v>23.78</v>
      </c>
      <c r="T2948" t="s">
        <v>49</v>
      </c>
      <c r="U2948">
        <v>5</v>
      </c>
      <c r="V2948">
        <v>5</v>
      </c>
    </row>
    <row r="2949" spans="1:22" x14ac:dyDescent="0.3">
      <c r="A2949">
        <v>2948</v>
      </c>
      <c r="B2949">
        <v>53317</v>
      </c>
      <c r="C2949" s="2">
        <v>36967</v>
      </c>
      <c r="D2949">
        <v>24</v>
      </c>
      <c r="E2949" t="s">
        <v>36</v>
      </c>
      <c r="F2949" t="s">
        <v>50</v>
      </c>
      <c r="G2949" s="2">
        <v>45608</v>
      </c>
      <c r="H2949" s="3">
        <f t="shared" si="46"/>
        <v>1.4082191780821918</v>
      </c>
      <c r="I2949">
        <v>133</v>
      </c>
      <c r="J2949" t="s">
        <v>57</v>
      </c>
      <c r="K2949" t="s">
        <v>55</v>
      </c>
      <c r="L2949" t="s">
        <v>44</v>
      </c>
      <c r="M2949">
        <v>17.59</v>
      </c>
      <c r="T2949" t="s">
        <v>49</v>
      </c>
      <c r="U2949">
        <v>2</v>
      </c>
      <c r="V2949">
        <v>4</v>
      </c>
    </row>
    <row r="2950" spans="1:22" x14ac:dyDescent="0.3">
      <c r="A2950">
        <v>2949</v>
      </c>
      <c r="B2950">
        <v>53318</v>
      </c>
      <c r="C2950" s="2">
        <v>36256</v>
      </c>
      <c r="D2950">
        <v>26</v>
      </c>
      <c r="E2950" t="s">
        <v>42</v>
      </c>
      <c r="F2950" t="s">
        <v>37</v>
      </c>
      <c r="G2950" s="2">
        <v>45508</v>
      </c>
      <c r="H2950" s="3">
        <f t="shared" si="46"/>
        <v>1.5506849315068494</v>
      </c>
      <c r="I2950">
        <v>135</v>
      </c>
      <c r="J2950" t="s">
        <v>57</v>
      </c>
      <c r="K2950" t="s">
        <v>55</v>
      </c>
      <c r="L2950" t="s">
        <v>44</v>
      </c>
      <c r="M2950">
        <v>17.59</v>
      </c>
      <c r="T2950" t="s">
        <v>45</v>
      </c>
      <c r="U2950">
        <v>2</v>
      </c>
      <c r="V2950">
        <v>5</v>
      </c>
    </row>
    <row r="2951" spans="1:22" x14ac:dyDescent="0.3">
      <c r="A2951">
        <v>2950</v>
      </c>
      <c r="B2951">
        <v>53319</v>
      </c>
      <c r="C2951" s="2">
        <v>35787</v>
      </c>
      <c r="D2951">
        <v>28</v>
      </c>
      <c r="E2951" t="s">
        <v>42</v>
      </c>
      <c r="F2951" t="s">
        <v>50</v>
      </c>
      <c r="G2951" s="2">
        <v>45456</v>
      </c>
      <c r="H2951" s="3">
        <f t="shared" si="46"/>
        <v>1.2164383561643837</v>
      </c>
      <c r="I2951">
        <v>143</v>
      </c>
      <c r="J2951" t="s">
        <v>57</v>
      </c>
      <c r="K2951" t="s">
        <v>56</v>
      </c>
      <c r="L2951" t="s">
        <v>44</v>
      </c>
      <c r="M2951">
        <v>8.4700000000000006</v>
      </c>
      <c r="T2951" t="s">
        <v>45</v>
      </c>
      <c r="U2951">
        <v>1</v>
      </c>
      <c r="V2951">
        <v>6</v>
      </c>
    </row>
    <row r="2952" spans="1:22" x14ac:dyDescent="0.3">
      <c r="A2952">
        <v>2951</v>
      </c>
      <c r="B2952">
        <v>53320</v>
      </c>
      <c r="C2952" s="2">
        <v>36989</v>
      </c>
      <c r="D2952">
        <v>24</v>
      </c>
      <c r="E2952" t="s">
        <v>36</v>
      </c>
      <c r="F2952" t="s">
        <v>50</v>
      </c>
      <c r="G2952" s="2">
        <v>45578</v>
      </c>
      <c r="H2952" s="3">
        <f t="shared" si="46"/>
        <v>1.7123287671232876</v>
      </c>
      <c r="I2952">
        <v>46</v>
      </c>
      <c r="J2952" t="s">
        <v>38</v>
      </c>
      <c r="K2952" t="s">
        <v>55</v>
      </c>
      <c r="L2952" t="s">
        <v>44</v>
      </c>
      <c r="M2952">
        <v>17.59</v>
      </c>
      <c r="T2952" t="s">
        <v>45</v>
      </c>
      <c r="U2952">
        <v>2</v>
      </c>
      <c r="V2952">
        <v>3</v>
      </c>
    </row>
    <row r="2953" spans="1:22" x14ac:dyDescent="0.3">
      <c r="A2953">
        <v>2952</v>
      </c>
      <c r="B2953">
        <v>53321</v>
      </c>
      <c r="C2953" s="2">
        <v>34801</v>
      </c>
      <c r="D2953">
        <v>30</v>
      </c>
      <c r="E2953" t="s">
        <v>36</v>
      </c>
      <c r="F2953" t="s">
        <v>50</v>
      </c>
      <c r="G2953" s="2">
        <v>45397</v>
      </c>
      <c r="H2953" s="3">
        <f t="shared" si="46"/>
        <v>1.6246575342465754</v>
      </c>
      <c r="I2953">
        <v>111</v>
      </c>
      <c r="J2953" t="s">
        <v>57</v>
      </c>
      <c r="K2953" t="s">
        <v>46</v>
      </c>
      <c r="L2953" t="s">
        <v>44</v>
      </c>
      <c r="M2953">
        <v>14.23</v>
      </c>
      <c r="T2953" t="s">
        <v>52</v>
      </c>
      <c r="U2953">
        <v>0</v>
      </c>
      <c r="V2953">
        <v>4</v>
      </c>
    </row>
    <row r="2954" spans="1:22" x14ac:dyDescent="0.3">
      <c r="A2954">
        <v>2953</v>
      </c>
      <c r="B2954">
        <v>53322</v>
      </c>
      <c r="C2954" s="2">
        <v>34807</v>
      </c>
      <c r="D2954">
        <v>30</v>
      </c>
      <c r="E2954" t="s">
        <v>36</v>
      </c>
      <c r="F2954" t="s">
        <v>37</v>
      </c>
      <c r="G2954" s="2">
        <v>45429</v>
      </c>
      <c r="H2954" s="3">
        <f t="shared" si="46"/>
        <v>1.7068493150684931</v>
      </c>
      <c r="I2954">
        <v>68</v>
      </c>
      <c r="J2954" t="s">
        <v>57</v>
      </c>
      <c r="K2954" t="s">
        <v>46</v>
      </c>
      <c r="L2954" t="s">
        <v>44</v>
      </c>
      <c r="M2954">
        <v>14.23</v>
      </c>
      <c r="T2954" t="s">
        <v>47</v>
      </c>
      <c r="U2954">
        <v>0</v>
      </c>
      <c r="V2954">
        <v>2</v>
      </c>
    </row>
    <row r="2955" spans="1:22" x14ac:dyDescent="0.3">
      <c r="A2955">
        <v>2954</v>
      </c>
      <c r="B2955">
        <v>53323</v>
      </c>
      <c r="C2955" s="2">
        <v>36971</v>
      </c>
      <c r="D2955">
        <v>24</v>
      </c>
      <c r="E2955" t="s">
        <v>42</v>
      </c>
      <c r="F2955" t="s">
        <v>37</v>
      </c>
      <c r="G2955" s="2">
        <v>45399</v>
      </c>
      <c r="H2955" s="3">
        <f t="shared" si="46"/>
        <v>1.8904109589041096</v>
      </c>
      <c r="I2955">
        <v>85</v>
      </c>
      <c r="J2955" t="s">
        <v>57</v>
      </c>
      <c r="K2955" t="s">
        <v>43</v>
      </c>
      <c r="L2955" t="s">
        <v>44</v>
      </c>
      <c r="M2955">
        <v>16.37</v>
      </c>
      <c r="T2955" t="s">
        <v>49</v>
      </c>
      <c r="U2955">
        <v>2</v>
      </c>
      <c r="V2955">
        <v>6</v>
      </c>
    </row>
    <row r="2956" spans="1:22" x14ac:dyDescent="0.3">
      <c r="A2956">
        <v>2955</v>
      </c>
      <c r="B2956">
        <v>53324</v>
      </c>
      <c r="C2956" s="2">
        <v>38092</v>
      </c>
      <c r="D2956">
        <v>21</v>
      </c>
      <c r="E2956" t="s">
        <v>42</v>
      </c>
      <c r="F2956" t="s">
        <v>37</v>
      </c>
      <c r="G2956" s="2">
        <v>45332</v>
      </c>
      <c r="H2956" s="3">
        <f t="shared" si="46"/>
        <v>1.3835616438356164</v>
      </c>
      <c r="I2956">
        <v>99</v>
      </c>
      <c r="J2956" t="s">
        <v>57</v>
      </c>
      <c r="K2956" t="s">
        <v>48</v>
      </c>
      <c r="L2956" t="s">
        <v>44</v>
      </c>
      <c r="M2956">
        <v>8.4700000000000006</v>
      </c>
      <c r="T2956" t="s">
        <v>52</v>
      </c>
      <c r="U2956">
        <v>2</v>
      </c>
      <c r="V2956">
        <v>5</v>
      </c>
    </row>
    <row r="2957" spans="1:22" x14ac:dyDescent="0.3">
      <c r="A2957">
        <v>2956</v>
      </c>
      <c r="B2957">
        <v>53325</v>
      </c>
      <c r="C2957" s="2">
        <v>38058</v>
      </c>
      <c r="D2957">
        <v>21</v>
      </c>
      <c r="E2957" t="s">
        <v>42</v>
      </c>
      <c r="F2957" t="s">
        <v>50</v>
      </c>
      <c r="G2957" s="2">
        <v>45517</v>
      </c>
      <c r="H2957" s="3">
        <f t="shared" si="46"/>
        <v>1.3369863013698631</v>
      </c>
      <c r="I2957">
        <v>108</v>
      </c>
      <c r="J2957" t="s">
        <v>57</v>
      </c>
      <c r="K2957" t="s">
        <v>48</v>
      </c>
      <c r="L2957" t="s">
        <v>44</v>
      </c>
      <c r="M2957">
        <v>8.4700000000000006</v>
      </c>
      <c r="T2957" t="s">
        <v>45</v>
      </c>
      <c r="U2957">
        <v>4</v>
      </c>
      <c r="V2957">
        <v>5</v>
      </c>
    </row>
    <row r="2958" spans="1:22" x14ac:dyDescent="0.3">
      <c r="A2958">
        <v>2957</v>
      </c>
      <c r="B2958">
        <v>53326</v>
      </c>
      <c r="C2958" s="2">
        <v>36557</v>
      </c>
      <c r="D2958">
        <v>26</v>
      </c>
      <c r="E2958" t="s">
        <v>42</v>
      </c>
      <c r="F2958" t="s">
        <v>50</v>
      </c>
      <c r="G2958" s="2">
        <v>45534</v>
      </c>
      <c r="H2958" s="3">
        <f t="shared" si="46"/>
        <v>1.7452054794520548</v>
      </c>
      <c r="I2958">
        <v>3</v>
      </c>
      <c r="J2958" t="s">
        <v>38</v>
      </c>
      <c r="K2958" t="s">
        <v>64</v>
      </c>
      <c r="L2958" t="s">
        <v>44</v>
      </c>
      <c r="M2958">
        <v>14.07</v>
      </c>
      <c r="T2958" t="s">
        <v>45</v>
      </c>
      <c r="U2958">
        <v>0</v>
      </c>
      <c r="V2958">
        <v>6</v>
      </c>
    </row>
    <row r="2959" spans="1:22" x14ac:dyDescent="0.3">
      <c r="A2959">
        <v>2958</v>
      </c>
      <c r="B2959">
        <v>53327</v>
      </c>
      <c r="C2959" s="2">
        <v>37175</v>
      </c>
      <c r="D2959">
        <v>24</v>
      </c>
      <c r="E2959" t="s">
        <v>36</v>
      </c>
      <c r="F2959" t="s">
        <v>50</v>
      </c>
      <c r="G2959" s="2">
        <v>45385</v>
      </c>
      <c r="H2959" s="3">
        <f t="shared" si="46"/>
        <v>1.3287671232876712</v>
      </c>
      <c r="I2959">
        <v>139</v>
      </c>
      <c r="J2959" t="s">
        <v>57</v>
      </c>
      <c r="K2959" t="s">
        <v>46</v>
      </c>
      <c r="L2959" t="s">
        <v>44</v>
      </c>
      <c r="M2959">
        <v>14.23</v>
      </c>
      <c r="T2959" t="s">
        <v>47</v>
      </c>
      <c r="U2959">
        <v>1</v>
      </c>
      <c r="V2959">
        <v>4</v>
      </c>
    </row>
    <row r="2960" spans="1:22" x14ac:dyDescent="0.3">
      <c r="A2960">
        <v>2959</v>
      </c>
      <c r="B2960">
        <v>53328</v>
      </c>
      <c r="C2960" s="2">
        <v>35857</v>
      </c>
      <c r="D2960">
        <v>27</v>
      </c>
      <c r="E2960" t="s">
        <v>36</v>
      </c>
      <c r="F2960" t="s">
        <v>50</v>
      </c>
      <c r="G2960" s="2">
        <v>45537</v>
      </c>
      <c r="H2960" s="3">
        <f t="shared" si="46"/>
        <v>1.010958904109589</v>
      </c>
      <c r="I2960">
        <v>139</v>
      </c>
      <c r="J2960" t="s">
        <v>57</v>
      </c>
      <c r="K2960" t="s">
        <v>55</v>
      </c>
      <c r="L2960" t="s">
        <v>44</v>
      </c>
      <c r="M2960">
        <v>17.59</v>
      </c>
      <c r="T2960" t="s">
        <v>45</v>
      </c>
      <c r="U2960">
        <v>2</v>
      </c>
      <c r="V2960">
        <v>5</v>
      </c>
    </row>
    <row r="2961" spans="1:22" x14ac:dyDescent="0.3">
      <c r="A2961">
        <v>2960</v>
      </c>
      <c r="B2961">
        <v>53329</v>
      </c>
      <c r="C2961" s="2">
        <v>35928</v>
      </c>
      <c r="D2961">
        <v>27</v>
      </c>
      <c r="E2961" t="s">
        <v>42</v>
      </c>
      <c r="F2961" t="s">
        <v>50</v>
      </c>
      <c r="G2961" s="2">
        <v>45653</v>
      </c>
      <c r="H2961" s="3">
        <f t="shared" si="46"/>
        <v>1.441095890410959</v>
      </c>
      <c r="I2961">
        <v>1</v>
      </c>
      <c r="J2961" t="s">
        <v>38</v>
      </c>
      <c r="K2961" t="s">
        <v>56</v>
      </c>
      <c r="L2961" t="s">
        <v>44</v>
      </c>
      <c r="M2961">
        <v>8.4700000000000006</v>
      </c>
      <c r="T2961" t="s">
        <v>52</v>
      </c>
      <c r="U2961">
        <v>4</v>
      </c>
      <c r="V2961">
        <v>7</v>
      </c>
    </row>
    <row r="2962" spans="1:22" x14ac:dyDescent="0.3">
      <c r="A2962">
        <v>2961</v>
      </c>
      <c r="B2962">
        <v>53330</v>
      </c>
      <c r="C2962" s="2">
        <v>36602</v>
      </c>
      <c r="D2962">
        <v>25</v>
      </c>
      <c r="E2962" t="s">
        <v>36</v>
      </c>
      <c r="F2962" t="s">
        <v>50</v>
      </c>
      <c r="G2962" s="2">
        <v>45496</v>
      </c>
      <c r="H2962" s="3">
        <f t="shared" si="46"/>
        <v>1.4602739726027398</v>
      </c>
      <c r="I2962">
        <v>102</v>
      </c>
      <c r="J2962" t="s">
        <v>57</v>
      </c>
      <c r="K2962" t="s">
        <v>65</v>
      </c>
      <c r="L2962" t="s">
        <v>44</v>
      </c>
      <c r="M2962">
        <v>10.64</v>
      </c>
      <c r="T2962" t="s">
        <v>45</v>
      </c>
      <c r="U2962">
        <v>1</v>
      </c>
      <c r="V2962">
        <v>4</v>
      </c>
    </row>
    <row r="2963" spans="1:22" x14ac:dyDescent="0.3">
      <c r="A2963">
        <v>2962</v>
      </c>
      <c r="B2963">
        <v>53331</v>
      </c>
      <c r="C2963" s="2">
        <v>38294</v>
      </c>
      <c r="D2963">
        <v>21</v>
      </c>
      <c r="E2963" t="s">
        <v>42</v>
      </c>
      <c r="F2963" t="s">
        <v>50</v>
      </c>
      <c r="G2963" s="2">
        <v>45489</v>
      </c>
      <c r="H2963" s="3">
        <f t="shared" si="46"/>
        <v>1.452054794520548</v>
      </c>
      <c r="I2963">
        <v>120</v>
      </c>
      <c r="J2963" t="s">
        <v>57</v>
      </c>
      <c r="K2963" t="s">
        <v>64</v>
      </c>
      <c r="L2963" t="s">
        <v>44</v>
      </c>
      <c r="M2963">
        <v>14.07</v>
      </c>
      <c r="T2963" t="s">
        <v>47</v>
      </c>
      <c r="U2963">
        <v>0</v>
      </c>
      <c r="V2963">
        <v>5</v>
      </c>
    </row>
    <row r="2964" spans="1:22" x14ac:dyDescent="0.3">
      <c r="A2964">
        <v>2963</v>
      </c>
      <c r="B2964">
        <v>53332</v>
      </c>
      <c r="C2964" s="2">
        <v>38429</v>
      </c>
      <c r="D2964">
        <v>20</v>
      </c>
      <c r="E2964" t="s">
        <v>36</v>
      </c>
      <c r="F2964" t="s">
        <v>50</v>
      </c>
      <c r="G2964" s="2">
        <v>45492</v>
      </c>
      <c r="H2964" s="3">
        <f t="shared" si="46"/>
        <v>1.536986301369863</v>
      </c>
      <c r="I2964">
        <v>74</v>
      </c>
      <c r="J2964" t="s">
        <v>57</v>
      </c>
      <c r="K2964" t="s">
        <v>43</v>
      </c>
      <c r="L2964" t="s">
        <v>44</v>
      </c>
      <c r="M2964">
        <v>16.37</v>
      </c>
      <c r="T2964" t="s">
        <v>47</v>
      </c>
      <c r="U2964">
        <v>1</v>
      </c>
      <c r="V2964">
        <v>4</v>
      </c>
    </row>
    <row r="2965" spans="1:22" x14ac:dyDescent="0.3">
      <c r="A2965">
        <v>2964</v>
      </c>
      <c r="B2965">
        <v>53333</v>
      </c>
      <c r="C2965" s="2">
        <v>37522</v>
      </c>
      <c r="D2965">
        <v>23</v>
      </c>
      <c r="E2965" t="s">
        <v>36</v>
      </c>
      <c r="F2965" t="s">
        <v>50</v>
      </c>
      <c r="G2965" s="2">
        <v>45461</v>
      </c>
      <c r="H2965" s="3">
        <f t="shared" si="46"/>
        <v>1.7753424657534247</v>
      </c>
      <c r="I2965">
        <v>27</v>
      </c>
      <c r="J2965" t="s">
        <v>38</v>
      </c>
      <c r="K2965" t="s">
        <v>55</v>
      </c>
      <c r="L2965" t="s">
        <v>44</v>
      </c>
      <c r="M2965">
        <v>17.59</v>
      </c>
      <c r="T2965" t="s">
        <v>52</v>
      </c>
      <c r="U2965">
        <v>2</v>
      </c>
      <c r="V2965">
        <v>4</v>
      </c>
    </row>
    <row r="2966" spans="1:22" x14ac:dyDescent="0.3">
      <c r="A2966">
        <v>2965</v>
      </c>
      <c r="B2966">
        <v>53334</v>
      </c>
      <c r="C2966" s="2">
        <v>38133</v>
      </c>
      <c r="D2966">
        <v>21</v>
      </c>
      <c r="E2966" t="s">
        <v>42</v>
      </c>
      <c r="F2966" t="s">
        <v>37</v>
      </c>
      <c r="G2966" s="2">
        <v>45374</v>
      </c>
      <c r="H2966" s="3">
        <f t="shared" si="46"/>
        <v>1.6136986301369862</v>
      </c>
      <c r="I2966">
        <v>38</v>
      </c>
      <c r="J2966" t="s">
        <v>38</v>
      </c>
      <c r="K2966" t="s">
        <v>65</v>
      </c>
      <c r="L2966" t="s">
        <v>44</v>
      </c>
      <c r="M2966">
        <v>10.64</v>
      </c>
      <c r="T2966" t="s">
        <v>49</v>
      </c>
      <c r="U2966">
        <v>0</v>
      </c>
      <c r="V2966">
        <v>3</v>
      </c>
    </row>
    <row r="2967" spans="1:22" x14ac:dyDescent="0.3">
      <c r="A2967">
        <v>2966</v>
      </c>
      <c r="B2967">
        <v>53335</v>
      </c>
      <c r="C2967" s="2">
        <v>37979</v>
      </c>
      <c r="D2967">
        <v>22</v>
      </c>
      <c r="E2967" t="s">
        <v>42</v>
      </c>
      <c r="F2967" t="s">
        <v>37</v>
      </c>
      <c r="G2967" s="2">
        <v>45433</v>
      </c>
      <c r="H2967" s="3">
        <f t="shared" si="46"/>
        <v>1.6082191780821917</v>
      </c>
      <c r="I2967">
        <v>65</v>
      </c>
      <c r="J2967" t="s">
        <v>38</v>
      </c>
      <c r="K2967" t="s">
        <v>56</v>
      </c>
      <c r="L2967" t="s">
        <v>44</v>
      </c>
      <c r="M2967">
        <v>8.4700000000000006</v>
      </c>
      <c r="T2967" t="s">
        <v>52</v>
      </c>
      <c r="U2967">
        <v>1</v>
      </c>
      <c r="V2967">
        <v>5</v>
      </c>
    </row>
    <row r="2968" spans="1:22" x14ac:dyDescent="0.3">
      <c r="A2968">
        <v>2967</v>
      </c>
      <c r="B2968">
        <v>53336</v>
      </c>
      <c r="C2968" s="2">
        <v>36668</v>
      </c>
      <c r="D2968">
        <v>25</v>
      </c>
      <c r="E2968" t="s">
        <v>42</v>
      </c>
      <c r="F2968" t="s">
        <v>50</v>
      </c>
      <c r="G2968" s="2">
        <v>45435</v>
      </c>
      <c r="H2968" s="3">
        <f t="shared" si="46"/>
        <v>1.5287671232876712</v>
      </c>
      <c r="I2968">
        <v>79</v>
      </c>
      <c r="J2968" t="s">
        <v>57</v>
      </c>
      <c r="K2968" t="s">
        <v>56</v>
      </c>
      <c r="L2968" t="s">
        <v>44</v>
      </c>
      <c r="M2968">
        <v>8.4700000000000006</v>
      </c>
      <c r="T2968" t="s">
        <v>47</v>
      </c>
      <c r="U2968">
        <v>3</v>
      </c>
      <c r="V2968">
        <v>7</v>
      </c>
    </row>
    <row r="2969" spans="1:22" x14ac:dyDescent="0.3">
      <c r="A2969">
        <v>2968</v>
      </c>
      <c r="B2969">
        <v>53337</v>
      </c>
      <c r="C2969" s="2">
        <v>33513</v>
      </c>
      <c r="D2969">
        <v>34</v>
      </c>
      <c r="E2969" t="s">
        <v>42</v>
      </c>
      <c r="F2969" t="s">
        <v>50</v>
      </c>
      <c r="G2969" s="2">
        <v>45464</v>
      </c>
      <c r="H2969" s="3">
        <f t="shared" si="46"/>
        <v>1.789041095890411</v>
      </c>
      <c r="I2969">
        <v>122</v>
      </c>
      <c r="J2969" t="s">
        <v>57</v>
      </c>
      <c r="K2969" t="s">
        <v>43</v>
      </c>
      <c r="L2969" t="s">
        <v>44</v>
      </c>
      <c r="M2969">
        <v>16.37</v>
      </c>
      <c r="T2969" t="s">
        <v>45</v>
      </c>
      <c r="U2969">
        <v>1</v>
      </c>
      <c r="V2969">
        <v>4</v>
      </c>
    </row>
    <row r="2970" spans="1:22" x14ac:dyDescent="0.3">
      <c r="A2970">
        <v>2969</v>
      </c>
      <c r="B2970">
        <v>53338</v>
      </c>
      <c r="C2970" s="2">
        <v>37322</v>
      </c>
      <c r="D2970">
        <v>23</v>
      </c>
      <c r="E2970" t="s">
        <v>42</v>
      </c>
      <c r="F2970" t="s">
        <v>50</v>
      </c>
      <c r="G2970" s="2">
        <v>45369</v>
      </c>
      <c r="H2970" s="3">
        <f t="shared" si="46"/>
        <v>1.6027397260273972</v>
      </c>
      <c r="I2970">
        <v>129</v>
      </c>
      <c r="J2970" t="s">
        <v>57</v>
      </c>
      <c r="K2970" t="s">
        <v>55</v>
      </c>
      <c r="L2970" t="s">
        <v>44</v>
      </c>
      <c r="M2970">
        <v>17.59</v>
      </c>
      <c r="T2970" t="s">
        <v>52</v>
      </c>
      <c r="U2970">
        <v>2</v>
      </c>
      <c r="V2970">
        <v>6</v>
      </c>
    </row>
    <row r="2971" spans="1:22" x14ac:dyDescent="0.3">
      <c r="A2971">
        <v>2970</v>
      </c>
      <c r="B2971">
        <v>53339</v>
      </c>
      <c r="C2971" s="2">
        <v>35584</v>
      </c>
      <c r="D2971">
        <v>28</v>
      </c>
      <c r="E2971" t="s">
        <v>42</v>
      </c>
      <c r="F2971" t="s">
        <v>50</v>
      </c>
      <c r="G2971" s="2">
        <v>45437</v>
      </c>
      <c r="H2971" s="3">
        <f t="shared" si="46"/>
        <v>1.8547945205479452</v>
      </c>
      <c r="I2971">
        <v>133</v>
      </c>
      <c r="J2971" t="s">
        <v>57</v>
      </c>
      <c r="K2971" t="s">
        <v>68</v>
      </c>
      <c r="L2971" t="s">
        <v>44</v>
      </c>
      <c r="M2971">
        <v>17</v>
      </c>
      <c r="T2971" t="s">
        <v>45</v>
      </c>
      <c r="U2971">
        <v>0</v>
      </c>
      <c r="V2971">
        <v>7</v>
      </c>
    </row>
    <row r="2972" spans="1:22" x14ac:dyDescent="0.3">
      <c r="A2972">
        <v>2971</v>
      </c>
      <c r="B2972">
        <v>53340</v>
      </c>
      <c r="C2972" s="2">
        <v>35832</v>
      </c>
      <c r="D2972">
        <v>27</v>
      </c>
      <c r="E2972" t="s">
        <v>42</v>
      </c>
      <c r="F2972" t="s">
        <v>37</v>
      </c>
      <c r="G2972" s="2">
        <v>45345</v>
      </c>
      <c r="H2972" s="3">
        <f t="shared" si="46"/>
        <v>1.0438356164383562</v>
      </c>
      <c r="I2972">
        <v>140</v>
      </c>
      <c r="J2972" t="s">
        <v>57</v>
      </c>
      <c r="K2972" t="s">
        <v>56</v>
      </c>
      <c r="L2972" t="s">
        <v>44</v>
      </c>
      <c r="M2972">
        <v>8.4700000000000006</v>
      </c>
      <c r="T2972" t="s">
        <v>45</v>
      </c>
      <c r="U2972">
        <v>2</v>
      </c>
      <c r="V2972">
        <v>5</v>
      </c>
    </row>
    <row r="2973" spans="1:22" x14ac:dyDescent="0.3">
      <c r="A2973">
        <v>2972</v>
      </c>
      <c r="B2973">
        <v>53341</v>
      </c>
      <c r="C2973" s="2">
        <v>37451</v>
      </c>
      <c r="D2973">
        <v>23</v>
      </c>
      <c r="E2973" t="s">
        <v>36</v>
      </c>
      <c r="F2973" t="s">
        <v>50</v>
      </c>
      <c r="G2973" s="2">
        <v>45641</v>
      </c>
      <c r="H2973" s="3">
        <f t="shared" si="46"/>
        <v>1.5616438356164384</v>
      </c>
      <c r="I2973">
        <v>74</v>
      </c>
      <c r="J2973" t="s">
        <v>57</v>
      </c>
      <c r="K2973" t="s">
        <v>65</v>
      </c>
      <c r="L2973" t="s">
        <v>44</v>
      </c>
      <c r="M2973">
        <v>10.64</v>
      </c>
      <c r="T2973" t="s">
        <v>49</v>
      </c>
      <c r="U2973">
        <v>1</v>
      </c>
      <c r="V2973">
        <v>3</v>
      </c>
    </row>
    <row r="2974" spans="1:22" x14ac:dyDescent="0.3">
      <c r="A2974">
        <v>2973</v>
      </c>
      <c r="B2974">
        <v>53342</v>
      </c>
      <c r="C2974" s="2">
        <v>34851</v>
      </c>
      <c r="D2974">
        <v>31</v>
      </c>
      <c r="E2974" t="s">
        <v>36</v>
      </c>
      <c r="F2974" t="s">
        <v>50</v>
      </c>
      <c r="G2974" s="2">
        <v>45452</v>
      </c>
      <c r="H2974" s="3">
        <f t="shared" si="46"/>
        <v>1.3753424657534246</v>
      </c>
      <c r="I2974">
        <v>8</v>
      </c>
      <c r="J2974" t="s">
        <v>38</v>
      </c>
      <c r="K2974" t="s">
        <v>43</v>
      </c>
      <c r="L2974" t="s">
        <v>44</v>
      </c>
      <c r="M2974">
        <v>16.37</v>
      </c>
      <c r="T2974" t="s">
        <v>49</v>
      </c>
      <c r="U2974">
        <v>1</v>
      </c>
      <c r="V2974">
        <v>5</v>
      </c>
    </row>
    <row r="2975" spans="1:22" x14ac:dyDescent="0.3">
      <c r="A2975">
        <v>2974</v>
      </c>
      <c r="B2975">
        <v>53343</v>
      </c>
      <c r="C2975" s="2">
        <v>37909</v>
      </c>
      <c r="D2975">
        <v>22</v>
      </c>
      <c r="E2975" t="s">
        <v>42</v>
      </c>
      <c r="F2975" t="s">
        <v>50</v>
      </c>
      <c r="G2975" s="2">
        <v>45520</v>
      </c>
      <c r="H2975" s="3">
        <f t="shared" si="46"/>
        <v>1.0931506849315069</v>
      </c>
      <c r="I2975">
        <v>70</v>
      </c>
      <c r="J2975" t="s">
        <v>57</v>
      </c>
      <c r="K2975" t="s">
        <v>46</v>
      </c>
      <c r="L2975" t="s">
        <v>44</v>
      </c>
      <c r="M2975">
        <v>14.23</v>
      </c>
      <c r="T2975" t="s">
        <v>52</v>
      </c>
      <c r="U2975">
        <v>1</v>
      </c>
      <c r="V2975">
        <v>7</v>
      </c>
    </row>
    <row r="2976" spans="1:22" x14ac:dyDescent="0.3">
      <c r="A2976">
        <v>2975</v>
      </c>
      <c r="B2976">
        <v>53344</v>
      </c>
      <c r="C2976" s="2">
        <v>38656</v>
      </c>
      <c r="D2976">
        <v>20</v>
      </c>
      <c r="E2976" t="s">
        <v>42</v>
      </c>
      <c r="F2976" t="s">
        <v>37</v>
      </c>
      <c r="G2976" s="2">
        <v>45623</v>
      </c>
      <c r="H2976" s="3">
        <f t="shared" si="46"/>
        <v>1.8054794520547945</v>
      </c>
      <c r="I2976">
        <v>79</v>
      </c>
      <c r="J2976" t="s">
        <v>57</v>
      </c>
      <c r="K2976" t="s">
        <v>48</v>
      </c>
      <c r="L2976" t="s">
        <v>44</v>
      </c>
      <c r="M2976">
        <v>8.4700000000000006</v>
      </c>
      <c r="T2976" t="s">
        <v>52</v>
      </c>
      <c r="U2976">
        <v>0</v>
      </c>
      <c r="V2976">
        <v>7</v>
      </c>
    </row>
    <row r="2977" spans="1:22" x14ac:dyDescent="0.3">
      <c r="A2977">
        <v>2976</v>
      </c>
      <c r="B2977">
        <v>53345</v>
      </c>
      <c r="C2977" s="2">
        <v>36684</v>
      </c>
      <c r="D2977">
        <v>25</v>
      </c>
      <c r="E2977" t="s">
        <v>42</v>
      </c>
      <c r="F2977" t="s">
        <v>50</v>
      </c>
      <c r="G2977" s="2">
        <v>45363</v>
      </c>
      <c r="H2977" s="3">
        <f t="shared" si="46"/>
        <v>1.0876712328767124</v>
      </c>
      <c r="I2977">
        <v>136</v>
      </c>
      <c r="J2977" t="s">
        <v>57</v>
      </c>
      <c r="K2977" t="s">
        <v>65</v>
      </c>
      <c r="L2977" t="s">
        <v>44</v>
      </c>
      <c r="M2977">
        <v>10.64</v>
      </c>
      <c r="T2977" t="s">
        <v>49</v>
      </c>
      <c r="U2977">
        <v>1</v>
      </c>
      <c r="V2977">
        <v>5</v>
      </c>
    </row>
    <row r="2978" spans="1:22" x14ac:dyDescent="0.3">
      <c r="A2978">
        <v>2977</v>
      </c>
      <c r="B2978">
        <v>53346</v>
      </c>
      <c r="C2978" s="2">
        <v>37196</v>
      </c>
      <c r="D2978">
        <v>25</v>
      </c>
      <c r="E2978" t="s">
        <v>42</v>
      </c>
      <c r="F2978" t="s">
        <v>37</v>
      </c>
      <c r="G2978" s="2">
        <v>45625</v>
      </c>
      <c r="H2978" s="3">
        <f t="shared" si="46"/>
        <v>1.5643835616438355</v>
      </c>
      <c r="I2978">
        <v>28</v>
      </c>
      <c r="J2978" t="s">
        <v>38</v>
      </c>
      <c r="K2978" t="s">
        <v>54</v>
      </c>
      <c r="L2978" t="s">
        <v>44</v>
      </c>
      <c r="M2978">
        <v>23.78</v>
      </c>
      <c r="T2978" t="s">
        <v>45</v>
      </c>
      <c r="U2978">
        <v>7</v>
      </c>
      <c r="V2978">
        <v>6</v>
      </c>
    </row>
    <row r="2979" spans="1:22" x14ac:dyDescent="0.3">
      <c r="A2979">
        <v>2978</v>
      </c>
      <c r="B2979">
        <v>53347</v>
      </c>
      <c r="C2979" s="2">
        <v>38330</v>
      </c>
      <c r="D2979">
        <v>21</v>
      </c>
      <c r="E2979" t="s">
        <v>42</v>
      </c>
      <c r="F2979" t="s">
        <v>50</v>
      </c>
      <c r="G2979" s="2">
        <v>45451</v>
      </c>
      <c r="H2979" s="3">
        <f t="shared" si="46"/>
        <v>1.3589041095890411</v>
      </c>
      <c r="I2979">
        <v>37</v>
      </c>
      <c r="J2979" t="s">
        <v>38</v>
      </c>
      <c r="K2979" t="s">
        <v>56</v>
      </c>
      <c r="L2979" t="s">
        <v>44</v>
      </c>
      <c r="M2979">
        <v>8.4700000000000006</v>
      </c>
      <c r="T2979" t="s">
        <v>45</v>
      </c>
      <c r="U2979">
        <v>1</v>
      </c>
      <c r="V2979">
        <v>5</v>
      </c>
    </row>
    <row r="2980" spans="1:22" x14ac:dyDescent="0.3">
      <c r="A2980">
        <v>2979</v>
      </c>
      <c r="B2980">
        <v>53348</v>
      </c>
      <c r="C2980" s="2">
        <v>38705</v>
      </c>
      <c r="D2980">
        <v>20</v>
      </c>
      <c r="E2980" t="s">
        <v>36</v>
      </c>
      <c r="F2980" t="s">
        <v>37</v>
      </c>
      <c r="G2980" s="2">
        <v>45526</v>
      </c>
      <c r="H2980" s="3">
        <f t="shared" si="46"/>
        <v>1.5123287671232877</v>
      </c>
      <c r="I2980">
        <v>40</v>
      </c>
      <c r="J2980" t="s">
        <v>38</v>
      </c>
      <c r="K2980" t="s">
        <v>65</v>
      </c>
      <c r="L2980" t="s">
        <v>44</v>
      </c>
      <c r="M2980">
        <v>10.64</v>
      </c>
      <c r="T2980" t="s">
        <v>49</v>
      </c>
      <c r="U2980">
        <v>0</v>
      </c>
      <c r="V2980">
        <v>4</v>
      </c>
    </row>
    <row r="2981" spans="1:22" x14ac:dyDescent="0.3">
      <c r="A2981">
        <v>2980</v>
      </c>
      <c r="B2981">
        <v>53349</v>
      </c>
      <c r="C2981" s="2">
        <v>38393</v>
      </c>
      <c r="D2981">
        <v>20</v>
      </c>
      <c r="E2981" t="s">
        <v>42</v>
      </c>
      <c r="F2981" t="s">
        <v>50</v>
      </c>
      <c r="G2981" s="2">
        <v>45470</v>
      </c>
      <c r="H2981" s="3">
        <f t="shared" si="46"/>
        <v>1.5753424657534247</v>
      </c>
      <c r="I2981">
        <v>45</v>
      </c>
      <c r="J2981" t="s">
        <v>38</v>
      </c>
      <c r="K2981" t="s">
        <v>56</v>
      </c>
      <c r="L2981" t="s">
        <v>44</v>
      </c>
      <c r="M2981">
        <v>8.4700000000000006</v>
      </c>
      <c r="T2981" t="s">
        <v>45</v>
      </c>
      <c r="U2981">
        <v>1</v>
      </c>
      <c r="V2981">
        <v>6</v>
      </c>
    </row>
    <row r="2982" spans="1:22" x14ac:dyDescent="0.3">
      <c r="A2982">
        <v>2981</v>
      </c>
      <c r="B2982">
        <v>53350</v>
      </c>
      <c r="C2982" s="2">
        <v>38962</v>
      </c>
      <c r="D2982">
        <v>19</v>
      </c>
      <c r="E2982" t="s">
        <v>42</v>
      </c>
      <c r="F2982" t="s">
        <v>50</v>
      </c>
      <c r="G2982" s="2">
        <v>45447</v>
      </c>
      <c r="H2982" s="3">
        <f t="shared" si="46"/>
        <v>1.6986301369863013</v>
      </c>
      <c r="I2982">
        <v>79</v>
      </c>
      <c r="J2982" t="s">
        <v>57</v>
      </c>
      <c r="K2982" t="s">
        <v>56</v>
      </c>
      <c r="L2982" t="s">
        <v>44</v>
      </c>
      <c r="M2982">
        <v>8.4700000000000006</v>
      </c>
      <c r="T2982" t="s">
        <v>45</v>
      </c>
      <c r="U2982">
        <v>1</v>
      </c>
      <c r="V2982">
        <v>6</v>
      </c>
    </row>
    <row r="2983" spans="1:22" x14ac:dyDescent="0.3">
      <c r="A2983">
        <v>2982</v>
      </c>
      <c r="B2983">
        <v>53351</v>
      </c>
      <c r="C2983" s="2">
        <v>37778</v>
      </c>
      <c r="D2983">
        <v>22</v>
      </c>
      <c r="E2983" t="s">
        <v>42</v>
      </c>
      <c r="F2983" t="s">
        <v>50</v>
      </c>
      <c r="G2983" s="2">
        <v>45402</v>
      </c>
      <c r="H2983" s="3">
        <f t="shared" si="46"/>
        <v>1.8356164383561644</v>
      </c>
      <c r="I2983">
        <v>67</v>
      </c>
      <c r="J2983" t="s">
        <v>57</v>
      </c>
      <c r="K2983" t="s">
        <v>56</v>
      </c>
      <c r="L2983" t="s">
        <v>44</v>
      </c>
      <c r="M2983">
        <v>8.4700000000000006</v>
      </c>
      <c r="T2983" t="s">
        <v>52</v>
      </c>
      <c r="U2983">
        <v>0</v>
      </c>
      <c r="V2983">
        <v>5</v>
      </c>
    </row>
    <row r="2984" spans="1:22" x14ac:dyDescent="0.3">
      <c r="A2984">
        <v>2983</v>
      </c>
      <c r="B2984">
        <v>53352</v>
      </c>
      <c r="C2984" s="2">
        <v>34675</v>
      </c>
      <c r="D2984">
        <v>31</v>
      </c>
      <c r="E2984" t="s">
        <v>36</v>
      </c>
      <c r="F2984" t="s">
        <v>37</v>
      </c>
      <c r="G2984" s="2">
        <v>45352</v>
      </c>
      <c r="H2984" s="3">
        <f t="shared" si="46"/>
        <v>1.5534246575342465</v>
      </c>
      <c r="I2984">
        <v>45</v>
      </c>
      <c r="J2984" t="s">
        <v>38</v>
      </c>
      <c r="K2984" t="s">
        <v>56</v>
      </c>
      <c r="L2984" t="s">
        <v>44</v>
      </c>
      <c r="M2984">
        <v>8.4700000000000006</v>
      </c>
      <c r="T2984" t="s">
        <v>47</v>
      </c>
      <c r="U2984">
        <v>1</v>
      </c>
      <c r="V2984">
        <v>4</v>
      </c>
    </row>
    <row r="2985" spans="1:22" x14ac:dyDescent="0.3">
      <c r="A2985">
        <v>2984</v>
      </c>
      <c r="B2985">
        <v>53353</v>
      </c>
      <c r="C2985" s="2">
        <v>33985</v>
      </c>
      <c r="D2985">
        <v>32</v>
      </c>
      <c r="E2985" t="s">
        <v>36</v>
      </c>
      <c r="F2985" t="s">
        <v>50</v>
      </c>
      <c r="G2985" s="2">
        <v>45455</v>
      </c>
      <c r="H2985" s="3">
        <f t="shared" si="46"/>
        <v>1.1698630136986301</v>
      </c>
      <c r="I2985">
        <v>85</v>
      </c>
      <c r="J2985" t="s">
        <v>57</v>
      </c>
      <c r="K2985" t="s">
        <v>55</v>
      </c>
      <c r="L2985" t="s">
        <v>44</v>
      </c>
      <c r="M2985">
        <v>17.59</v>
      </c>
      <c r="T2985" t="s">
        <v>49</v>
      </c>
      <c r="U2985">
        <v>4</v>
      </c>
      <c r="V2985">
        <v>4</v>
      </c>
    </row>
    <row r="2986" spans="1:22" x14ac:dyDescent="0.3">
      <c r="A2986">
        <v>2985</v>
      </c>
      <c r="B2986">
        <v>53354</v>
      </c>
      <c r="C2986" s="2">
        <v>37046</v>
      </c>
      <c r="D2986">
        <v>24</v>
      </c>
      <c r="E2986" t="s">
        <v>42</v>
      </c>
      <c r="F2986" t="s">
        <v>50</v>
      </c>
      <c r="G2986" s="2">
        <v>45595</v>
      </c>
      <c r="H2986" s="3">
        <f t="shared" si="46"/>
        <v>1.252054794520548</v>
      </c>
      <c r="I2986">
        <v>9</v>
      </c>
      <c r="J2986" t="s">
        <v>38</v>
      </c>
      <c r="K2986" t="s">
        <v>48</v>
      </c>
      <c r="L2986" t="s">
        <v>44</v>
      </c>
      <c r="M2986">
        <v>8.4700000000000006</v>
      </c>
      <c r="T2986" t="s">
        <v>47</v>
      </c>
      <c r="U2986">
        <v>1</v>
      </c>
      <c r="V2986">
        <v>6</v>
      </c>
    </row>
    <row r="2987" spans="1:22" x14ac:dyDescent="0.3">
      <c r="A2987">
        <v>2986</v>
      </c>
      <c r="B2987">
        <v>53355</v>
      </c>
      <c r="C2987" s="2">
        <v>36989</v>
      </c>
      <c r="D2987">
        <v>24</v>
      </c>
      <c r="E2987" t="s">
        <v>42</v>
      </c>
      <c r="F2987" t="s">
        <v>37</v>
      </c>
      <c r="G2987" s="2">
        <v>45565</v>
      </c>
      <c r="H2987" s="3">
        <f t="shared" si="46"/>
        <v>1.6027397260273972</v>
      </c>
      <c r="I2987">
        <v>140</v>
      </c>
      <c r="J2987" t="s">
        <v>57</v>
      </c>
      <c r="K2987" t="s">
        <v>55</v>
      </c>
      <c r="L2987" t="s">
        <v>44</v>
      </c>
      <c r="M2987">
        <v>17.59</v>
      </c>
      <c r="T2987" t="s">
        <v>52</v>
      </c>
      <c r="U2987">
        <v>2</v>
      </c>
      <c r="V2987">
        <v>5</v>
      </c>
    </row>
    <row r="2988" spans="1:22" x14ac:dyDescent="0.3">
      <c r="A2988">
        <v>2987</v>
      </c>
      <c r="B2988">
        <v>53357</v>
      </c>
      <c r="C2988" s="2">
        <v>36420</v>
      </c>
      <c r="D2988">
        <v>26</v>
      </c>
      <c r="E2988" t="s">
        <v>36</v>
      </c>
      <c r="F2988" t="s">
        <v>50</v>
      </c>
      <c r="G2988" s="2">
        <v>45437</v>
      </c>
      <c r="H2988" s="3">
        <f t="shared" si="46"/>
        <v>1.3890410958904109</v>
      </c>
      <c r="I2988">
        <v>46</v>
      </c>
      <c r="J2988" t="s">
        <v>38</v>
      </c>
      <c r="K2988" t="s">
        <v>56</v>
      </c>
      <c r="L2988" t="s">
        <v>44</v>
      </c>
      <c r="M2988">
        <v>8.4700000000000006</v>
      </c>
      <c r="T2988" t="s">
        <v>45</v>
      </c>
      <c r="U2988">
        <v>1</v>
      </c>
      <c r="V2988">
        <v>5</v>
      </c>
    </row>
    <row r="2989" spans="1:22" x14ac:dyDescent="0.3">
      <c r="A2989">
        <v>2988</v>
      </c>
      <c r="B2989">
        <v>53358</v>
      </c>
      <c r="C2989" s="2">
        <v>36771</v>
      </c>
      <c r="D2989">
        <v>25</v>
      </c>
      <c r="E2989" t="s">
        <v>42</v>
      </c>
      <c r="F2989" t="s">
        <v>50</v>
      </c>
      <c r="G2989" s="2">
        <v>45515</v>
      </c>
      <c r="H2989" s="3">
        <f t="shared" si="46"/>
        <v>1.7123287671232876</v>
      </c>
      <c r="I2989">
        <v>126</v>
      </c>
      <c r="J2989" t="s">
        <v>57</v>
      </c>
      <c r="K2989" t="s">
        <v>48</v>
      </c>
      <c r="L2989" t="s">
        <v>44</v>
      </c>
      <c r="M2989">
        <v>8.4700000000000006</v>
      </c>
      <c r="T2989" t="s">
        <v>49</v>
      </c>
      <c r="U2989">
        <v>0</v>
      </c>
      <c r="V2989">
        <v>6</v>
      </c>
    </row>
    <row r="2990" spans="1:22" x14ac:dyDescent="0.3">
      <c r="A2990">
        <v>2989</v>
      </c>
      <c r="B2990">
        <v>53359</v>
      </c>
      <c r="C2990" s="2">
        <v>37296</v>
      </c>
      <c r="D2990">
        <v>23</v>
      </c>
      <c r="E2990" t="s">
        <v>42</v>
      </c>
      <c r="F2990" t="s">
        <v>50</v>
      </c>
      <c r="G2990" s="2">
        <v>45397</v>
      </c>
      <c r="H2990" s="3">
        <f t="shared" si="46"/>
        <v>1.7753424657534247</v>
      </c>
      <c r="I2990">
        <v>143</v>
      </c>
      <c r="J2990" t="s">
        <v>57</v>
      </c>
      <c r="K2990" t="s">
        <v>46</v>
      </c>
      <c r="L2990" t="s">
        <v>44</v>
      </c>
      <c r="M2990">
        <v>14.23</v>
      </c>
      <c r="T2990" t="s">
        <v>52</v>
      </c>
      <c r="U2990">
        <v>1</v>
      </c>
      <c r="V2990">
        <v>5</v>
      </c>
    </row>
    <row r="2991" spans="1:22" x14ac:dyDescent="0.3">
      <c r="A2991">
        <v>2990</v>
      </c>
      <c r="B2991">
        <v>53360</v>
      </c>
      <c r="C2991" s="2">
        <v>38687</v>
      </c>
      <c r="D2991">
        <v>21</v>
      </c>
      <c r="E2991" t="s">
        <v>36</v>
      </c>
      <c r="F2991" t="s">
        <v>50</v>
      </c>
      <c r="G2991" s="2">
        <v>45374</v>
      </c>
      <c r="H2991" s="3">
        <f t="shared" si="46"/>
        <v>1.1561643835616437</v>
      </c>
      <c r="I2991">
        <v>1</v>
      </c>
      <c r="J2991" t="s">
        <v>38</v>
      </c>
      <c r="K2991" t="s">
        <v>64</v>
      </c>
      <c r="L2991" t="s">
        <v>44</v>
      </c>
      <c r="M2991">
        <v>14.07</v>
      </c>
      <c r="T2991" t="s">
        <v>47</v>
      </c>
      <c r="U2991">
        <v>0</v>
      </c>
      <c r="V2991">
        <v>4</v>
      </c>
    </row>
    <row r="2992" spans="1:22" x14ac:dyDescent="0.3">
      <c r="A2992">
        <v>2991</v>
      </c>
      <c r="B2992">
        <v>53361</v>
      </c>
      <c r="C2992" s="2">
        <v>37253</v>
      </c>
      <c r="D2992">
        <v>24</v>
      </c>
      <c r="E2992" t="s">
        <v>42</v>
      </c>
      <c r="F2992" t="s">
        <v>37</v>
      </c>
      <c r="G2992" s="2">
        <v>45600</v>
      </c>
      <c r="H2992" s="3">
        <f t="shared" si="46"/>
        <v>1.5863013698630137</v>
      </c>
      <c r="I2992">
        <v>53</v>
      </c>
      <c r="J2992" t="s">
        <v>38</v>
      </c>
      <c r="K2992" t="s">
        <v>56</v>
      </c>
      <c r="L2992" t="s">
        <v>44</v>
      </c>
      <c r="M2992">
        <v>8.4700000000000006</v>
      </c>
      <c r="T2992" t="s">
        <v>52</v>
      </c>
      <c r="U2992">
        <v>2</v>
      </c>
      <c r="V2992">
        <v>6</v>
      </c>
    </row>
    <row r="2993" spans="1:22" x14ac:dyDescent="0.3">
      <c r="A2993">
        <v>2992</v>
      </c>
      <c r="B2993">
        <v>53362</v>
      </c>
      <c r="C2993" s="2">
        <v>37000</v>
      </c>
      <c r="D2993">
        <v>24</v>
      </c>
      <c r="E2993" t="s">
        <v>42</v>
      </c>
      <c r="F2993" t="s">
        <v>50</v>
      </c>
      <c r="G2993" s="2">
        <v>45443</v>
      </c>
      <c r="H2993" s="3">
        <f t="shared" si="46"/>
        <v>1.6082191780821917</v>
      </c>
      <c r="I2993">
        <v>117</v>
      </c>
      <c r="J2993" t="s">
        <v>57</v>
      </c>
      <c r="K2993" t="s">
        <v>43</v>
      </c>
      <c r="L2993" t="s">
        <v>44</v>
      </c>
      <c r="M2993">
        <v>16.37</v>
      </c>
      <c r="T2993" t="s">
        <v>45</v>
      </c>
      <c r="U2993">
        <v>1</v>
      </c>
      <c r="V2993">
        <v>5</v>
      </c>
    </row>
    <row r="2994" spans="1:22" x14ac:dyDescent="0.3">
      <c r="A2994">
        <v>2993</v>
      </c>
      <c r="B2994">
        <v>53363</v>
      </c>
      <c r="C2994" s="2">
        <v>36152</v>
      </c>
      <c r="D2994">
        <v>27</v>
      </c>
      <c r="E2994" t="s">
        <v>42</v>
      </c>
      <c r="F2994" t="s">
        <v>50</v>
      </c>
      <c r="G2994" s="2">
        <v>45435</v>
      </c>
      <c r="H2994" s="3">
        <f t="shared" si="46"/>
        <v>1.2986301369863014</v>
      </c>
      <c r="I2994">
        <v>120</v>
      </c>
      <c r="J2994" t="s">
        <v>57</v>
      </c>
      <c r="K2994" t="s">
        <v>56</v>
      </c>
      <c r="L2994" t="s">
        <v>44</v>
      </c>
      <c r="M2994">
        <v>8.4700000000000006</v>
      </c>
      <c r="T2994" t="s">
        <v>52</v>
      </c>
      <c r="U2994">
        <v>0</v>
      </c>
      <c r="V2994">
        <v>6</v>
      </c>
    </row>
    <row r="2995" spans="1:22" x14ac:dyDescent="0.3">
      <c r="A2995">
        <v>2994</v>
      </c>
      <c r="B2995">
        <v>53364</v>
      </c>
      <c r="C2995" s="2">
        <v>37794</v>
      </c>
      <c r="D2995">
        <v>22</v>
      </c>
      <c r="E2995" t="s">
        <v>42</v>
      </c>
      <c r="F2995" t="s">
        <v>37</v>
      </c>
      <c r="G2995" s="2">
        <v>45548</v>
      </c>
      <c r="H2995" s="3">
        <f t="shared" si="46"/>
        <v>1.2821917808219179</v>
      </c>
      <c r="I2995">
        <v>4</v>
      </c>
      <c r="J2995" t="s">
        <v>38</v>
      </c>
      <c r="K2995" t="s">
        <v>56</v>
      </c>
      <c r="L2995" t="s">
        <v>44</v>
      </c>
      <c r="M2995">
        <v>8.4700000000000006</v>
      </c>
      <c r="T2995" t="s">
        <v>52</v>
      </c>
      <c r="U2995">
        <v>2</v>
      </c>
      <c r="V2995">
        <v>6</v>
      </c>
    </row>
    <row r="2996" spans="1:22" x14ac:dyDescent="0.3">
      <c r="A2996">
        <v>2995</v>
      </c>
      <c r="B2996">
        <v>53365</v>
      </c>
      <c r="C2996" s="2">
        <v>38997</v>
      </c>
      <c r="D2996">
        <v>19</v>
      </c>
      <c r="E2996" t="s">
        <v>36</v>
      </c>
      <c r="F2996" t="s">
        <v>50</v>
      </c>
      <c r="G2996" s="2">
        <v>45554</v>
      </c>
      <c r="H2996" s="3">
        <f t="shared" si="46"/>
        <v>1.1041095890410959</v>
      </c>
      <c r="I2996">
        <v>54</v>
      </c>
      <c r="J2996" t="s">
        <v>38</v>
      </c>
      <c r="K2996" t="s">
        <v>65</v>
      </c>
      <c r="L2996" t="s">
        <v>44</v>
      </c>
      <c r="M2996">
        <v>10.64</v>
      </c>
      <c r="T2996" t="s">
        <v>52</v>
      </c>
      <c r="U2996">
        <v>0</v>
      </c>
      <c r="V2996">
        <v>5</v>
      </c>
    </row>
    <row r="2997" spans="1:22" x14ac:dyDescent="0.3">
      <c r="A2997">
        <v>2996</v>
      </c>
      <c r="B2997">
        <v>53366</v>
      </c>
      <c r="C2997" s="2">
        <v>37616</v>
      </c>
      <c r="D2997">
        <v>23</v>
      </c>
      <c r="E2997" t="s">
        <v>36</v>
      </c>
      <c r="F2997" t="s">
        <v>50</v>
      </c>
      <c r="G2997" s="2">
        <v>45619</v>
      </c>
      <c r="H2997" s="3">
        <f t="shared" si="46"/>
        <v>1.515068493150685</v>
      </c>
      <c r="I2997">
        <v>56</v>
      </c>
      <c r="J2997" t="s">
        <v>38</v>
      </c>
      <c r="K2997" t="s">
        <v>55</v>
      </c>
      <c r="L2997" t="s">
        <v>44</v>
      </c>
      <c r="M2997">
        <v>17.59</v>
      </c>
      <c r="T2997" t="s">
        <v>52</v>
      </c>
      <c r="U2997">
        <v>1</v>
      </c>
      <c r="V2997">
        <v>4</v>
      </c>
    </row>
    <row r="2998" spans="1:22" x14ac:dyDescent="0.3">
      <c r="A2998">
        <v>2997</v>
      </c>
      <c r="B2998">
        <v>53368</v>
      </c>
      <c r="C2998" s="2">
        <v>37917</v>
      </c>
      <c r="D2998">
        <v>22</v>
      </c>
      <c r="E2998" t="s">
        <v>42</v>
      </c>
      <c r="F2998" t="s">
        <v>50</v>
      </c>
      <c r="G2998" s="2">
        <v>45469</v>
      </c>
      <c r="H2998" s="3">
        <f t="shared" si="46"/>
        <v>1.0520547945205478</v>
      </c>
      <c r="I2998">
        <v>92</v>
      </c>
      <c r="J2998" t="s">
        <v>57</v>
      </c>
      <c r="K2998" t="s">
        <v>43</v>
      </c>
      <c r="L2998" t="s">
        <v>44</v>
      </c>
      <c r="M2998">
        <v>16.37</v>
      </c>
      <c r="T2998" t="s">
        <v>47</v>
      </c>
      <c r="U2998">
        <v>0</v>
      </c>
      <c r="V2998">
        <v>5</v>
      </c>
    </row>
    <row r="2999" spans="1:22" x14ac:dyDescent="0.3">
      <c r="A2999">
        <v>2998</v>
      </c>
      <c r="B2999">
        <v>53369</v>
      </c>
      <c r="C2999" s="2">
        <v>37717</v>
      </c>
      <c r="D2999">
        <v>22</v>
      </c>
      <c r="E2999" t="s">
        <v>36</v>
      </c>
      <c r="F2999" t="s">
        <v>50</v>
      </c>
      <c r="G2999" s="2">
        <v>45638</v>
      </c>
      <c r="H2999" s="3">
        <f t="shared" si="46"/>
        <v>1.5780821917808219</v>
      </c>
      <c r="I2999">
        <v>143</v>
      </c>
      <c r="J2999" t="s">
        <v>57</v>
      </c>
      <c r="K2999" t="s">
        <v>55</v>
      </c>
      <c r="L2999" t="s">
        <v>44</v>
      </c>
      <c r="M2999">
        <v>17.59</v>
      </c>
      <c r="T2999" t="s">
        <v>45</v>
      </c>
      <c r="U2999">
        <v>2</v>
      </c>
      <c r="V2999">
        <v>4</v>
      </c>
    </row>
    <row r="3000" spans="1:22" x14ac:dyDescent="0.3">
      <c r="A3000">
        <v>2999</v>
      </c>
      <c r="B3000">
        <v>53370</v>
      </c>
      <c r="C3000" s="2">
        <v>36262</v>
      </c>
      <c r="D3000">
        <v>26</v>
      </c>
      <c r="E3000" t="s">
        <v>42</v>
      </c>
      <c r="F3000" t="s">
        <v>50</v>
      </c>
      <c r="G3000" s="2">
        <v>45446</v>
      </c>
      <c r="H3000" s="3">
        <f t="shared" si="46"/>
        <v>1.6602739726027398</v>
      </c>
      <c r="I3000">
        <v>5</v>
      </c>
      <c r="J3000" t="s">
        <v>38</v>
      </c>
      <c r="K3000" t="s">
        <v>56</v>
      </c>
      <c r="L3000" t="s">
        <v>44</v>
      </c>
      <c r="M3000">
        <v>8.4700000000000006</v>
      </c>
      <c r="T3000" t="s">
        <v>52</v>
      </c>
      <c r="U3000">
        <v>3</v>
      </c>
      <c r="V3000">
        <v>6</v>
      </c>
    </row>
    <row r="3001" spans="1:22" x14ac:dyDescent="0.3">
      <c r="A3001">
        <v>3000</v>
      </c>
      <c r="B3001">
        <v>53373</v>
      </c>
      <c r="C3001" s="2">
        <v>36383</v>
      </c>
      <c r="D3001">
        <v>26</v>
      </c>
      <c r="E3001" t="s">
        <v>42</v>
      </c>
      <c r="F3001" t="s">
        <v>50</v>
      </c>
      <c r="G3001" s="2">
        <v>45416</v>
      </c>
      <c r="H3001" s="3">
        <f t="shared" si="46"/>
        <v>1.1835616438356165</v>
      </c>
      <c r="I3001">
        <v>7</v>
      </c>
      <c r="J3001" t="s">
        <v>38</v>
      </c>
      <c r="K3001" t="s">
        <v>56</v>
      </c>
      <c r="L3001" t="s">
        <v>44</v>
      </c>
      <c r="M3001">
        <v>8.4700000000000006</v>
      </c>
      <c r="T3001" t="s">
        <v>45</v>
      </c>
      <c r="U3001">
        <v>4</v>
      </c>
      <c r="V3001">
        <v>7</v>
      </c>
    </row>
    <row r="3002" spans="1:22" x14ac:dyDescent="0.3">
      <c r="A3002">
        <v>3001</v>
      </c>
      <c r="B3002">
        <v>53374</v>
      </c>
      <c r="C3002" s="2">
        <v>34963</v>
      </c>
      <c r="D3002">
        <v>30</v>
      </c>
      <c r="E3002" t="s">
        <v>42</v>
      </c>
      <c r="F3002" t="s">
        <v>50</v>
      </c>
      <c r="G3002" s="2">
        <v>45590</v>
      </c>
      <c r="H3002" s="3">
        <f t="shared" si="46"/>
        <v>1.1397260273972603</v>
      </c>
      <c r="I3002">
        <v>13</v>
      </c>
      <c r="J3002" t="s">
        <v>38</v>
      </c>
      <c r="K3002" t="s">
        <v>55</v>
      </c>
      <c r="L3002" t="s">
        <v>44</v>
      </c>
      <c r="M3002">
        <v>17.59</v>
      </c>
      <c r="T3002" t="s">
        <v>45</v>
      </c>
      <c r="U3002">
        <v>0</v>
      </c>
      <c r="V3002">
        <v>5</v>
      </c>
    </row>
    <row r="3003" spans="1:22" x14ac:dyDescent="0.3">
      <c r="A3003">
        <v>3002</v>
      </c>
      <c r="B3003">
        <v>53376</v>
      </c>
      <c r="C3003" s="2">
        <v>37687</v>
      </c>
      <c r="D3003">
        <v>22</v>
      </c>
      <c r="E3003" t="s">
        <v>42</v>
      </c>
      <c r="F3003" t="s">
        <v>37</v>
      </c>
      <c r="G3003" s="2">
        <v>45606</v>
      </c>
      <c r="H3003" s="3">
        <f t="shared" si="46"/>
        <v>1.1424657534246576</v>
      </c>
      <c r="I3003">
        <v>20</v>
      </c>
      <c r="J3003" t="s">
        <v>38</v>
      </c>
      <c r="K3003" t="s">
        <v>56</v>
      </c>
      <c r="L3003" t="s">
        <v>44</v>
      </c>
      <c r="M3003">
        <v>8.4700000000000006</v>
      </c>
      <c r="T3003" t="s">
        <v>47</v>
      </c>
      <c r="U3003">
        <v>4</v>
      </c>
      <c r="V3003">
        <v>6</v>
      </c>
    </row>
    <row r="3004" spans="1:22" x14ac:dyDescent="0.3">
      <c r="A3004">
        <v>3003</v>
      </c>
      <c r="B3004">
        <v>53377</v>
      </c>
      <c r="C3004" s="2">
        <v>38816</v>
      </c>
      <c r="D3004">
        <v>19</v>
      </c>
      <c r="E3004" t="s">
        <v>36</v>
      </c>
      <c r="F3004" t="s">
        <v>50</v>
      </c>
      <c r="G3004" s="2">
        <v>45605</v>
      </c>
      <c r="H3004" s="3">
        <f t="shared" si="46"/>
        <v>1.0712328767123287</v>
      </c>
      <c r="I3004">
        <v>24</v>
      </c>
      <c r="J3004" t="s">
        <v>38</v>
      </c>
      <c r="K3004" t="s">
        <v>56</v>
      </c>
      <c r="L3004" t="s">
        <v>44</v>
      </c>
      <c r="M3004">
        <v>8.4700000000000006</v>
      </c>
      <c r="T3004" t="s">
        <v>47</v>
      </c>
      <c r="U3004">
        <v>2</v>
      </c>
      <c r="V3004">
        <v>4</v>
      </c>
    </row>
    <row r="3005" spans="1:22" x14ac:dyDescent="0.3">
      <c r="A3005">
        <v>3004</v>
      </c>
      <c r="B3005">
        <v>53378</v>
      </c>
      <c r="C3005" s="2">
        <v>38162</v>
      </c>
      <c r="D3005">
        <v>21</v>
      </c>
      <c r="E3005" t="s">
        <v>36</v>
      </c>
      <c r="F3005" t="s">
        <v>50</v>
      </c>
      <c r="G3005" s="2">
        <v>45631</v>
      </c>
      <c r="H3005" s="3">
        <f t="shared" si="46"/>
        <v>1.747945205479452</v>
      </c>
      <c r="I3005">
        <v>29</v>
      </c>
      <c r="J3005" t="s">
        <v>38</v>
      </c>
      <c r="K3005" t="s">
        <v>65</v>
      </c>
      <c r="L3005" t="s">
        <v>44</v>
      </c>
      <c r="M3005">
        <v>10.64</v>
      </c>
      <c r="T3005" t="s">
        <v>47</v>
      </c>
      <c r="U3005">
        <v>1</v>
      </c>
      <c r="V3005">
        <v>3</v>
      </c>
    </row>
    <row r="3006" spans="1:22" x14ac:dyDescent="0.3">
      <c r="A3006">
        <v>3005</v>
      </c>
      <c r="B3006">
        <v>53379</v>
      </c>
      <c r="C3006" s="2">
        <v>38157</v>
      </c>
      <c r="D3006">
        <v>21</v>
      </c>
      <c r="E3006" t="s">
        <v>42</v>
      </c>
      <c r="F3006" t="s">
        <v>50</v>
      </c>
      <c r="G3006" s="2">
        <v>45384</v>
      </c>
      <c r="H3006" s="3">
        <f t="shared" si="46"/>
        <v>1.0082191780821919</v>
      </c>
      <c r="I3006">
        <v>30</v>
      </c>
      <c r="J3006" t="s">
        <v>38</v>
      </c>
      <c r="K3006" t="s">
        <v>48</v>
      </c>
      <c r="L3006" t="s">
        <v>44</v>
      </c>
      <c r="M3006">
        <v>8.4700000000000006</v>
      </c>
      <c r="T3006" t="s">
        <v>45</v>
      </c>
      <c r="U3006">
        <v>3</v>
      </c>
      <c r="V3006">
        <v>6</v>
      </c>
    </row>
    <row r="3007" spans="1:22" x14ac:dyDescent="0.3">
      <c r="A3007">
        <v>3006</v>
      </c>
      <c r="B3007">
        <v>53381</v>
      </c>
      <c r="C3007" s="2">
        <v>37687</v>
      </c>
      <c r="D3007">
        <v>22</v>
      </c>
      <c r="E3007" t="s">
        <v>42</v>
      </c>
      <c r="F3007" t="s">
        <v>37</v>
      </c>
      <c r="G3007" s="2">
        <v>45654</v>
      </c>
      <c r="H3007" s="3">
        <f t="shared" si="46"/>
        <v>1.9452054794520548</v>
      </c>
      <c r="I3007">
        <v>41</v>
      </c>
      <c r="J3007" t="s">
        <v>38</v>
      </c>
      <c r="K3007" t="s">
        <v>56</v>
      </c>
      <c r="L3007" t="s">
        <v>44</v>
      </c>
      <c r="M3007">
        <v>8.4700000000000006</v>
      </c>
      <c r="T3007" t="s">
        <v>49</v>
      </c>
      <c r="U3007">
        <v>2</v>
      </c>
      <c r="V3007">
        <v>6</v>
      </c>
    </row>
    <row r="3008" spans="1:22" x14ac:dyDescent="0.3">
      <c r="A3008">
        <v>3007</v>
      </c>
      <c r="B3008">
        <v>53382</v>
      </c>
      <c r="C3008" s="2">
        <v>38792</v>
      </c>
      <c r="D3008">
        <v>19</v>
      </c>
      <c r="E3008" t="s">
        <v>42</v>
      </c>
      <c r="F3008" t="s">
        <v>50</v>
      </c>
      <c r="G3008" s="2">
        <v>45312</v>
      </c>
      <c r="H3008" s="3">
        <f t="shared" si="46"/>
        <v>1.5397260273972602</v>
      </c>
      <c r="I3008">
        <v>45</v>
      </c>
      <c r="J3008" t="s">
        <v>38</v>
      </c>
      <c r="K3008" t="s">
        <v>56</v>
      </c>
      <c r="L3008" t="s">
        <v>44</v>
      </c>
      <c r="M3008">
        <v>8.4700000000000006</v>
      </c>
      <c r="T3008" t="s">
        <v>52</v>
      </c>
      <c r="U3008">
        <v>2</v>
      </c>
      <c r="V3008">
        <v>5</v>
      </c>
    </row>
    <row r="3009" spans="1:22" x14ac:dyDescent="0.3">
      <c r="A3009">
        <v>3008</v>
      </c>
      <c r="B3009">
        <v>53383</v>
      </c>
      <c r="C3009" s="2">
        <v>38078</v>
      </c>
      <c r="D3009">
        <v>22</v>
      </c>
      <c r="E3009" t="s">
        <v>42</v>
      </c>
      <c r="F3009" t="s">
        <v>50</v>
      </c>
      <c r="G3009" s="2">
        <v>45460</v>
      </c>
      <c r="H3009" s="3">
        <f t="shared" si="46"/>
        <v>1.7616438356164383</v>
      </c>
      <c r="I3009">
        <v>48</v>
      </c>
      <c r="J3009" t="s">
        <v>38</v>
      </c>
      <c r="K3009" t="s">
        <v>65</v>
      </c>
      <c r="L3009" t="s">
        <v>44</v>
      </c>
      <c r="M3009">
        <v>10.64</v>
      </c>
      <c r="T3009" t="s">
        <v>52</v>
      </c>
      <c r="U3009">
        <v>0</v>
      </c>
      <c r="V3009">
        <v>5</v>
      </c>
    </row>
    <row r="3010" spans="1:22" x14ac:dyDescent="0.3">
      <c r="A3010">
        <v>3009</v>
      </c>
      <c r="B3010">
        <v>53384</v>
      </c>
      <c r="C3010" s="2">
        <v>35720</v>
      </c>
      <c r="D3010">
        <v>28</v>
      </c>
      <c r="E3010" t="s">
        <v>42</v>
      </c>
      <c r="F3010" t="s">
        <v>50</v>
      </c>
      <c r="G3010" s="2">
        <v>45379</v>
      </c>
      <c r="H3010" s="3">
        <f t="shared" si="46"/>
        <v>1.0739726027397261</v>
      </c>
      <c r="I3010">
        <v>51</v>
      </c>
      <c r="J3010" t="s">
        <v>38</v>
      </c>
      <c r="K3010" t="s">
        <v>55</v>
      </c>
      <c r="L3010" t="s">
        <v>44</v>
      </c>
      <c r="M3010">
        <v>17.59</v>
      </c>
      <c r="T3010" t="s">
        <v>49</v>
      </c>
      <c r="U3010">
        <v>1</v>
      </c>
      <c r="V3010">
        <v>7</v>
      </c>
    </row>
    <row r="3011" spans="1:22" x14ac:dyDescent="0.3">
      <c r="A3011">
        <v>3010</v>
      </c>
      <c r="B3011">
        <v>53385</v>
      </c>
      <c r="C3011" s="2">
        <v>36522</v>
      </c>
      <c r="D3011">
        <v>26</v>
      </c>
      <c r="E3011" t="s">
        <v>36</v>
      </c>
      <c r="F3011" t="s">
        <v>50</v>
      </c>
      <c r="G3011" s="2">
        <v>45630</v>
      </c>
      <c r="H3011" s="3">
        <f t="shared" ref="H3011:H3074" si="47">DATEDIF(G3012,DATE(2025,12,31),"d")/365</f>
        <v>1.3123287671232877</v>
      </c>
      <c r="I3011">
        <v>56</v>
      </c>
      <c r="J3011" t="s">
        <v>38</v>
      </c>
      <c r="K3011" t="s">
        <v>65</v>
      </c>
      <c r="L3011" t="s">
        <v>44</v>
      </c>
      <c r="M3011">
        <v>10.64</v>
      </c>
      <c r="T3011" t="s">
        <v>47</v>
      </c>
      <c r="U3011">
        <v>0</v>
      </c>
      <c r="V3011">
        <v>3</v>
      </c>
    </row>
    <row r="3012" spans="1:22" x14ac:dyDescent="0.3">
      <c r="A3012">
        <v>3011</v>
      </c>
      <c r="B3012">
        <v>53386</v>
      </c>
      <c r="C3012" s="2">
        <v>38754</v>
      </c>
      <c r="D3012">
        <v>19</v>
      </c>
      <c r="E3012" t="s">
        <v>36</v>
      </c>
      <c r="F3012" t="s">
        <v>50</v>
      </c>
      <c r="G3012" s="2">
        <v>45543</v>
      </c>
      <c r="H3012" s="3">
        <f t="shared" si="47"/>
        <v>1.6246575342465754</v>
      </c>
      <c r="I3012">
        <v>64</v>
      </c>
      <c r="J3012" t="s">
        <v>38</v>
      </c>
      <c r="K3012" t="s">
        <v>56</v>
      </c>
      <c r="L3012" t="s">
        <v>44</v>
      </c>
      <c r="M3012">
        <v>8.4700000000000006</v>
      </c>
      <c r="T3012" t="s">
        <v>52</v>
      </c>
      <c r="U3012">
        <v>2</v>
      </c>
      <c r="V3012">
        <v>4</v>
      </c>
    </row>
    <row r="3013" spans="1:22" x14ac:dyDescent="0.3">
      <c r="A3013">
        <v>3012</v>
      </c>
      <c r="B3013">
        <v>53387</v>
      </c>
      <c r="C3013" s="2">
        <v>39163</v>
      </c>
      <c r="D3013">
        <v>18</v>
      </c>
      <c r="E3013" t="s">
        <v>42</v>
      </c>
      <c r="F3013" t="s">
        <v>50</v>
      </c>
      <c r="G3013" s="2">
        <v>45429</v>
      </c>
      <c r="H3013" s="3">
        <f t="shared" si="47"/>
        <v>1.5397260273972602</v>
      </c>
      <c r="I3013">
        <v>67</v>
      </c>
      <c r="J3013" t="s">
        <v>57</v>
      </c>
      <c r="K3013" t="s">
        <v>56</v>
      </c>
      <c r="L3013" t="s">
        <v>44</v>
      </c>
      <c r="M3013">
        <v>8.4700000000000006</v>
      </c>
      <c r="T3013" t="s">
        <v>52</v>
      </c>
      <c r="U3013">
        <v>3</v>
      </c>
      <c r="V3013">
        <v>5</v>
      </c>
    </row>
    <row r="3014" spans="1:22" x14ac:dyDescent="0.3">
      <c r="A3014">
        <v>3013</v>
      </c>
      <c r="B3014">
        <v>53388</v>
      </c>
      <c r="C3014" s="2">
        <v>37548</v>
      </c>
      <c r="D3014">
        <v>23</v>
      </c>
      <c r="E3014" t="s">
        <v>42</v>
      </c>
      <c r="F3014" t="s">
        <v>37</v>
      </c>
      <c r="G3014" s="2">
        <v>45460</v>
      </c>
      <c r="H3014" s="3">
        <f t="shared" si="47"/>
        <v>1.021917808219178</v>
      </c>
      <c r="I3014">
        <v>67</v>
      </c>
      <c r="J3014" t="s">
        <v>57</v>
      </c>
      <c r="K3014" t="s">
        <v>56</v>
      </c>
      <c r="L3014" t="s">
        <v>44</v>
      </c>
      <c r="M3014">
        <v>8.4700000000000006</v>
      </c>
      <c r="T3014" t="s">
        <v>45</v>
      </c>
      <c r="U3014">
        <v>2</v>
      </c>
      <c r="V3014">
        <v>4</v>
      </c>
    </row>
    <row r="3015" spans="1:22" x14ac:dyDescent="0.3">
      <c r="A3015">
        <v>3014</v>
      </c>
      <c r="B3015">
        <v>53389</v>
      </c>
      <c r="C3015" s="2">
        <v>38019</v>
      </c>
      <c r="D3015">
        <v>21</v>
      </c>
      <c r="E3015" t="s">
        <v>42</v>
      </c>
      <c r="F3015" t="s">
        <v>37</v>
      </c>
      <c r="G3015" s="2">
        <v>45649</v>
      </c>
      <c r="H3015" s="3">
        <f t="shared" si="47"/>
        <v>1.4657534246575343</v>
      </c>
      <c r="I3015">
        <v>74</v>
      </c>
      <c r="J3015" t="s">
        <v>57</v>
      </c>
      <c r="K3015" t="s">
        <v>56</v>
      </c>
      <c r="L3015" t="s">
        <v>44</v>
      </c>
      <c r="M3015">
        <v>8.4700000000000006</v>
      </c>
      <c r="T3015" t="s">
        <v>49</v>
      </c>
      <c r="U3015">
        <v>2</v>
      </c>
      <c r="V3015">
        <v>6</v>
      </c>
    </row>
    <row r="3016" spans="1:22" x14ac:dyDescent="0.3">
      <c r="A3016">
        <v>3015</v>
      </c>
      <c r="B3016">
        <v>53392</v>
      </c>
      <c r="C3016" s="2">
        <v>36543</v>
      </c>
      <c r="D3016">
        <v>25</v>
      </c>
      <c r="E3016" t="s">
        <v>42</v>
      </c>
      <c r="F3016" t="s">
        <v>37</v>
      </c>
      <c r="G3016" s="2">
        <v>45487</v>
      </c>
      <c r="H3016" s="3">
        <f t="shared" si="47"/>
        <v>1.2602739726027397</v>
      </c>
      <c r="I3016">
        <v>84</v>
      </c>
      <c r="J3016" t="s">
        <v>57</v>
      </c>
      <c r="K3016" t="s">
        <v>56</v>
      </c>
      <c r="L3016" t="s">
        <v>44</v>
      </c>
      <c r="M3016">
        <v>8.4700000000000006</v>
      </c>
      <c r="T3016" t="s">
        <v>52</v>
      </c>
      <c r="U3016">
        <v>2</v>
      </c>
      <c r="V3016">
        <v>6</v>
      </c>
    </row>
    <row r="3017" spans="1:22" x14ac:dyDescent="0.3">
      <c r="A3017">
        <v>3016</v>
      </c>
      <c r="B3017">
        <v>53394</v>
      </c>
      <c r="C3017" s="2">
        <v>35766</v>
      </c>
      <c r="D3017">
        <v>28</v>
      </c>
      <c r="E3017" t="s">
        <v>36</v>
      </c>
      <c r="F3017" t="s">
        <v>50</v>
      </c>
      <c r="G3017" s="2">
        <v>45562</v>
      </c>
      <c r="H3017" s="3">
        <f t="shared" si="47"/>
        <v>1.2438356164383562</v>
      </c>
      <c r="I3017">
        <v>95</v>
      </c>
      <c r="J3017" t="s">
        <v>57</v>
      </c>
      <c r="K3017" t="s">
        <v>54</v>
      </c>
      <c r="L3017" t="s">
        <v>44</v>
      </c>
      <c r="M3017">
        <v>23.78</v>
      </c>
      <c r="T3017" t="s">
        <v>45</v>
      </c>
      <c r="U3017">
        <v>7</v>
      </c>
      <c r="V3017">
        <v>4</v>
      </c>
    </row>
    <row r="3018" spans="1:22" x14ac:dyDescent="0.3">
      <c r="A3018">
        <v>3017</v>
      </c>
      <c r="B3018">
        <v>53395</v>
      </c>
      <c r="C3018" s="2">
        <v>38703</v>
      </c>
      <c r="D3018">
        <v>20</v>
      </c>
      <c r="E3018" t="s">
        <v>36</v>
      </c>
      <c r="F3018" t="s">
        <v>50</v>
      </c>
      <c r="G3018" s="2">
        <v>45568</v>
      </c>
      <c r="H3018" s="3">
        <f t="shared" si="47"/>
        <v>1.4493150684931506</v>
      </c>
      <c r="I3018">
        <v>105</v>
      </c>
      <c r="J3018" t="s">
        <v>57</v>
      </c>
      <c r="K3018" t="s">
        <v>56</v>
      </c>
      <c r="L3018" t="s">
        <v>44</v>
      </c>
      <c r="M3018">
        <v>8.4700000000000006</v>
      </c>
      <c r="T3018" t="s">
        <v>45</v>
      </c>
      <c r="U3018">
        <v>4</v>
      </c>
      <c r="V3018">
        <v>3</v>
      </c>
    </row>
    <row r="3019" spans="1:22" x14ac:dyDescent="0.3">
      <c r="A3019">
        <v>3018</v>
      </c>
      <c r="B3019">
        <v>53397</v>
      </c>
      <c r="C3019" s="2">
        <v>36848</v>
      </c>
      <c r="D3019">
        <v>25</v>
      </c>
      <c r="E3019" t="s">
        <v>42</v>
      </c>
      <c r="F3019" t="s">
        <v>50</v>
      </c>
      <c r="G3019" s="2">
        <v>45493</v>
      </c>
      <c r="H3019" s="3">
        <f t="shared" si="47"/>
        <v>1.1808219178082191</v>
      </c>
      <c r="I3019">
        <v>130</v>
      </c>
      <c r="J3019" t="s">
        <v>57</v>
      </c>
      <c r="K3019" t="s">
        <v>68</v>
      </c>
      <c r="L3019" t="s">
        <v>44</v>
      </c>
      <c r="M3019">
        <v>17</v>
      </c>
      <c r="T3019" t="s">
        <v>49</v>
      </c>
      <c r="U3019">
        <v>1</v>
      </c>
      <c r="V3019">
        <v>7</v>
      </c>
    </row>
    <row r="3020" spans="1:22" x14ac:dyDescent="0.3">
      <c r="A3020">
        <v>3019</v>
      </c>
      <c r="B3020">
        <v>53398</v>
      </c>
      <c r="C3020" s="2">
        <v>38136</v>
      </c>
      <c r="D3020">
        <v>21</v>
      </c>
      <c r="E3020" t="s">
        <v>42</v>
      </c>
      <c r="F3020" t="s">
        <v>50</v>
      </c>
      <c r="G3020" s="2">
        <v>45591</v>
      </c>
      <c r="H3020" s="3">
        <f t="shared" si="47"/>
        <v>1.5123287671232877</v>
      </c>
      <c r="I3020">
        <v>133</v>
      </c>
      <c r="J3020" t="s">
        <v>57</v>
      </c>
      <c r="K3020" t="s">
        <v>56</v>
      </c>
      <c r="L3020" t="s">
        <v>44</v>
      </c>
      <c r="M3020">
        <v>8.4700000000000006</v>
      </c>
      <c r="T3020" t="s">
        <v>49</v>
      </c>
      <c r="U3020">
        <v>2</v>
      </c>
      <c r="V3020">
        <v>5</v>
      </c>
    </row>
    <row r="3021" spans="1:22" x14ac:dyDescent="0.3">
      <c r="A3021">
        <v>3020</v>
      </c>
      <c r="B3021">
        <v>53399</v>
      </c>
      <c r="C3021" s="2">
        <v>35027</v>
      </c>
      <c r="D3021">
        <v>30</v>
      </c>
      <c r="E3021" t="s">
        <v>36</v>
      </c>
      <c r="F3021" t="s">
        <v>37</v>
      </c>
      <c r="G3021" s="2">
        <v>45470</v>
      </c>
      <c r="H3021" s="3">
        <f t="shared" si="47"/>
        <v>1.3726027397260274</v>
      </c>
      <c r="I3021">
        <v>134</v>
      </c>
      <c r="J3021" t="s">
        <v>57</v>
      </c>
      <c r="K3021" t="s">
        <v>68</v>
      </c>
      <c r="L3021" t="s">
        <v>44</v>
      </c>
      <c r="M3021">
        <v>17</v>
      </c>
      <c r="T3021" t="s">
        <v>45</v>
      </c>
      <c r="U3021">
        <v>4</v>
      </c>
      <c r="V3021">
        <v>5</v>
      </c>
    </row>
    <row r="3022" spans="1:22" x14ac:dyDescent="0.3">
      <c r="A3022">
        <v>3021</v>
      </c>
      <c r="B3022">
        <v>53400</v>
      </c>
      <c r="C3022" s="2">
        <v>37894</v>
      </c>
      <c r="D3022">
        <v>22</v>
      </c>
      <c r="E3022" t="s">
        <v>42</v>
      </c>
      <c r="F3022" t="s">
        <v>50</v>
      </c>
      <c r="G3022" s="2">
        <v>45521</v>
      </c>
      <c r="H3022" s="3">
        <f t="shared" si="47"/>
        <v>1.1315068493150684</v>
      </c>
      <c r="I3022">
        <v>134</v>
      </c>
      <c r="J3022" t="s">
        <v>57</v>
      </c>
      <c r="K3022" t="s">
        <v>43</v>
      </c>
      <c r="L3022" t="s">
        <v>44</v>
      </c>
      <c r="M3022">
        <v>16.37</v>
      </c>
      <c r="T3022" t="s">
        <v>52</v>
      </c>
      <c r="U3022">
        <v>1</v>
      </c>
      <c r="V3022">
        <v>6</v>
      </c>
    </row>
    <row r="3023" spans="1:22" x14ac:dyDescent="0.3">
      <c r="A3023">
        <v>3022</v>
      </c>
      <c r="B3023">
        <v>53401</v>
      </c>
      <c r="C3023" s="2">
        <v>37278</v>
      </c>
      <c r="D3023">
        <v>23</v>
      </c>
      <c r="E3023" t="s">
        <v>42</v>
      </c>
      <c r="F3023" t="s">
        <v>37</v>
      </c>
      <c r="G3023" s="2">
        <v>45609</v>
      </c>
      <c r="H3023" s="3">
        <f t="shared" si="47"/>
        <v>1.0712328767123287</v>
      </c>
      <c r="I3023">
        <v>134</v>
      </c>
      <c r="J3023" t="s">
        <v>57</v>
      </c>
      <c r="K3023" t="s">
        <v>55</v>
      </c>
      <c r="L3023" t="s">
        <v>44</v>
      </c>
      <c r="M3023">
        <v>17.59</v>
      </c>
      <c r="T3023" t="s">
        <v>52</v>
      </c>
      <c r="U3023">
        <v>2</v>
      </c>
      <c r="V3023">
        <v>5</v>
      </c>
    </row>
    <row r="3024" spans="1:22" x14ac:dyDescent="0.3">
      <c r="A3024">
        <v>3023</v>
      </c>
      <c r="B3024">
        <v>53402</v>
      </c>
      <c r="C3024" s="2">
        <v>38466</v>
      </c>
      <c r="D3024">
        <v>20</v>
      </c>
      <c r="E3024" t="s">
        <v>42</v>
      </c>
      <c r="F3024" t="s">
        <v>50</v>
      </c>
      <c r="G3024" s="2">
        <v>45631</v>
      </c>
      <c r="H3024" s="3">
        <f t="shared" si="47"/>
        <v>1.1506849315068493</v>
      </c>
      <c r="I3024">
        <v>138</v>
      </c>
      <c r="J3024" t="s">
        <v>57</v>
      </c>
      <c r="K3024" t="s">
        <v>56</v>
      </c>
      <c r="L3024" t="s">
        <v>44</v>
      </c>
      <c r="M3024">
        <v>8.4700000000000006</v>
      </c>
      <c r="T3024" t="s">
        <v>47</v>
      </c>
      <c r="U3024">
        <v>1</v>
      </c>
      <c r="V3024">
        <v>7</v>
      </c>
    </row>
    <row r="3025" spans="1:22" x14ac:dyDescent="0.3">
      <c r="A3025">
        <v>3024</v>
      </c>
      <c r="B3025">
        <v>53403</v>
      </c>
      <c r="C3025" s="2">
        <v>33290</v>
      </c>
      <c r="D3025">
        <v>34</v>
      </c>
      <c r="E3025" t="s">
        <v>42</v>
      </c>
      <c r="F3025" t="s">
        <v>50</v>
      </c>
      <c r="G3025" s="2">
        <v>45602</v>
      </c>
      <c r="H3025" s="3">
        <f t="shared" si="47"/>
        <v>1.0684931506849316</v>
      </c>
      <c r="I3025">
        <v>139</v>
      </c>
      <c r="J3025" t="s">
        <v>57</v>
      </c>
      <c r="K3025" t="s">
        <v>55</v>
      </c>
      <c r="L3025" t="s">
        <v>44</v>
      </c>
      <c r="M3025">
        <v>17.59</v>
      </c>
      <c r="T3025" t="s">
        <v>47</v>
      </c>
      <c r="U3025">
        <v>3</v>
      </c>
      <c r="V3025">
        <v>6</v>
      </c>
    </row>
    <row r="3026" spans="1:22" x14ac:dyDescent="0.3">
      <c r="A3026">
        <v>3025</v>
      </c>
      <c r="B3026">
        <v>53404</v>
      </c>
      <c r="C3026" s="2">
        <v>37335</v>
      </c>
      <c r="D3026">
        <v>23</v>
      </c>
      <c r="E3026" t="s">
        <v>42</v>
      </c>
      <c r="F3026" t="s">
        <v>37</v>
      </c>
      <c r="G3026" s="2">
        <v>45632</v>
      </c>
      <c r="H3026" s="3">
        <f t="shared" si="47"/>
        <v>1.2657534246575342</v>
      </c>
      <c r="I3026">
        <v>58</v>
      </c>
      <c r="J3026" t="s">
        <v>38</v>
      </c>
      <c r="K3026" t="s">
        <v>48</v>
      </c>
      <c r="L3026" t="s">
        <v>44</v>
      </c>
      <c r="M3026">
        <v>8.4700000000000006</v>
      </c>
      <c r="T3026" t="s">
        <v>52</v>
      </c>
      <c r="U3026">
        <v>1</v>
      </c>
      <c r="V3026">
        <v>4</v>
      </c>
    </row>
    <row r="3027" spans="1:22" x14ac:dyDescent="0.3">
      <c r="A3027">
        <v>3026</v>
      </c>
      <c r="B3027">
        <v>53405</v>
      </c>
      <c r="C3027" s="2">
        <v>38515</v>
      </c>
      <c r="D3027">
        <v>20</v>
      </c>
      <c r="E3027" t="s">
        <v>42</v>
      </c>
      <c r="F3027" t="s">
        <v>50</v>
      </c>
      <c r="G3027" s="2">
        <v>45560</v>
      </c>
      <c r="H3027" s="3">
        <f t="shared" si="47"/>
        <v>1.0493150684931507</v>
      </c>
      <c r="I3027">
        <v>143</v>
      </c>
      <c r="J3027" t="s">
        <v>57</v>
      </c>
      <c r="K3027" t="s">
        <v>56</v>
      </c>
      <c r="L3027" t="s">
        <v>44</v>
      </c>
      <c r="M3027">
        <v>8.4700000000000006</v>
      </c>
      <c r="T3027" t="s">
        <v>47</v>
      </c>
      <c r="U3027">
        <v>2</v>
      </c>
      <c r="V3027">
        <v>7</v>
      </c>
    </row>
    <row r="3028" spans="1:22" x14ac:dyDescent="0.3">
      <c r="A3028">
        <v>3027</v>
      </c>
      <c r="B3028">
        <v>53407</v>
      </c>
      <c r="C3028" s="2">
        <v>37536</v>
      </c>
      <c r="D3028">
        <v>23</v>
      </c>
      <c r="E3028" t="s">
        <v>36</v>
      </c>
      <c r="F3028" t="s">
        <v>50</v>
      </c>
      <c r="G3028" s="2">
        <v>45639</v>
      </c>
      <c r="H3028" s="3">
        <f t="shared" si="47"/>
        <v>1.4904109589041097</v>
      </c>
      <c r="I3028">
        <v>69</v>
      </c>
      <c r="J3028" t="s">
        <v>57</v>
      </c>
      <c r="K3028" t="s">
        <v>55</v>
      </c>
      <c r="L3028" t="s">
        <v>44</v>
      </c>
      <c r="M3028">
        <v>17.59</v>
      </c>
      <c r="T3028" t="s">
        <v>49</v>
      </c>
      <c r="U3028">
        <v>3</v>
      </c>
      <c r="V3028">
        <v>5</v>
      </c>
    </row>
    <row r="3029" spans="1:22" x14ac:dyDescent="0.3">
      <c r="A3029">
        <v>3028</v>
      </c>
      <c r="B3029">
        <v>53408</v>
      </c>
      <c r="C3029" s="2">
        <v>37591</v>
      </c>
      <c r="D3029">
        <v>24</v>
      </c>
      <c r="E3029" t="s">
        <v>42</v>
      </c>
      <c r="F3029" t="s">
        <v>50</v>
      </c>
      <c r="G3029" s="2">
        <v>45478</v>
      </c>
      <c r="H3029" s="3">
        <f t="shared" si="47"/>
        <v>1.8630136986301369</v>
      </c>
      <c r="I3029">
        <v>114</v>
      </c>
      <c r="J3029" t="s">
        <v>57</v>
      </c>
      <c r="K3029" t="s">
        <v>46</v>
      </c>
      <c r="L3029" t="s">
        <v>44</v>
      </c>
      <c r="M3029">
        <v>14.23</v>
      </c>
      <c r="T3029" t="s">
        <v>49</v>
      </c>
      <c r="U3029">
        <v>0</v>
      </c>
      <c r="V3029">
        <v>6</v>
      </c>
    </row>
    <row r="3030" spans="1:22" x14ac:dyDescent="0.3">
      <c r="A3030">
        <v>3029</v>
      </c>
      <c r="B3030">
        <v>53409</v>
      </c>
      <c r="C3030" s="2">
        <v>39217</v>
      </c>
      <c r="D3030">
        <v>18</v>
      </c>
      <c r="E3030" t="s">
        <v>42</v>
      </c>
      <c r="F3030" t="s">
        <v>37</v>
      </c>
      <c r="G3030" s="2">
        <v>45342</v>
      </c>
      <c r="H3030" s="3">
        <f t="shared" si="47"/>
        <v>1.4547945205479451</v>
      </c>
      <c r="I3030">
        <v>118</v>
      </c>
      <c r="J3030" t="s">
        <v>57</v>
      </c>
      <c r="K3030" t="s">
        <v>56</v>
      </c>
      <c r="L3030" t="s">
        <v>44</v>
      </c>
      <c r="M3030">
        <v>8.4700000000000006</v>
      </c>
      <c r="T3030" t="s">
        <v>45</v>
      </c>
      <c r="U3030">
        <v>0</v>
      </c>
      <c r="V3030">
        <v>6</v>
      </c>
    </row>
    <row r="3031" spans="1:22" x14ac:dyDescent="0.3">
      <c r="A3031">
        <v>3030</v>
      </c>
      <c r="B3031">
        <v>53410</v>
      </c>
      <c r="C3031" s="2">
        <v>37814</v>
      </c>
      <c r="D3031">
        <v>22</v>
      </c>
      <c r="E3031" t="s">
        <v>42</v>
      </c>
      <c r="F3031" t="s">
        <v>50</v>
      </c>
      <c r="G3031" s="2">
        <v>45491</v>
      </c>
      <c r="H3031" s="3">
        <f t="shared" si="47"/>
        <v>1.7561643835616438</v>
      </c>
      <c r="I3031">
        <v>132</v>
      </c>
      <c r="J3031" t="s">
        <v>57</v>
      </c>
      <c r="K3031" t="s">
        <v>56</v>
      </c>
      <c r="L3031" t="s">
        <v>44</v>
      </c>
      <c r="M3031">
        <v>8.4700000000000006</v>
      </c>
      <c r="T3031" t="s">
        <v>45</v>
      </c>
      <c r="U3031">
        <v>2</v>
      </c>
      <c r="V3031">
        <v>7</v>
      </c>
    </row>
    <row r="3032" spans="1:22" x14ac:dyDescent="0.3">
      <c r="A3032">
        <v>3031</v>
      </c>
      <c r="B3032">
        <v>53411</v>
      </c>
      <c r="C3032" s="2">
        <v>37578</v>
      </c>
      <c r="D3032">
        <v>23</v>
      </c>
      <c r="E3032" t="s">
        <v>42</v>
      </c>
      <c r="F3032" t="s">
        <v>50</v>
      </c>
      <c r="G3032" s="2">
        <v>45381</v>
      </c>
      <c r="H3032" s="3">
        <f t="shared" si="47"/>
        <v>1.4191780821917808</v>
      </c>
      <c r="I3032">
        <v>40</v>
      </c>
      <c r="J3032" t="s">
        <v>38</v>
      </c>
      <c r="K3032" t="s">
        <v>43</v>
      </c>
      <c r="L3032" t="s">
        <v>44</v>
      </c>
      <c r="M3032">
        <v>16.37</v>
      </c>
      <c r="T3032" t="s">
        <v>45</v>
      </c>
      <c r="U3032">
        <v>2</v>
      </c>
      <c r="V3032">
        <v>6</v>
      </c>
    </row>
    <row r="3033" spans="1:22" x14ac:dyDescent="0.3">
      <c r="A3033">
        <v>3032</v>
      </c>
      <c r="B3033">
        <v>53412</v>
      </c>
      <c r="C3033" s="2">
        <v>38231</v>
      </c>
      <c r="D3033">
        <v>22</v>
      </c>
      <c r="E3033" t="s">
        <v>42</v>
      </c>
      <c r="F3033" t="s">
        <v>50</v>
      </c>
      <c r="G3033" s="2">
        <v>45504</v>
      </c>
      <c r="H3033" s="3">
        <f t="shared" si="47"/>
        <v>1.7945205479452055</v>
      </c>
      <c r="I3033">
        <v>144</v>
      </c>
      <c r="J3033" t="s">
        <v>57</v>
      </c>
      <c r="K3033" t="s">
        <v>65</v>
      </c>
      <c r="L3033" t="s">
        <v>44</v>
      </c>
      <c r="M3033">
        <v>10.64</v>
      </c>
      <c r="T3033" t="s">
        <v>47</v>
      </c>
      <c r="U3033">
        <v>0</v>
      </c>
      <c r="V3033">
        <v>6</v>
      </c>
    </row>
    <row r="3034" spans="1:22" x14ac:dyDescent="0.3">
      <c r="A3034">
        <v>3033</v>
      </c>
      <c r="B3034">
        <v>53413</v>
      </c>
      <c r="C3034" s="2">
        <v>37253</v>
      </c>
      <c r="D3034">
        <v>24</v>
      </c>
      <c r="E3034" t="s">
        <v>36</v>
      </c>
      <c r="F3034" t="s">
        <v>50</v>
      </c>
      <c r="G3034" s="2">
        <v>45367</v>
      </c>
      <c r="H3034" s="3">
        <f t="shared" si="47"/>
        <v>1.1369863013698631</v>
      </c>
      <c r="I3034">
        <v>10</v>
      </c>
      <c r="J3034" t="s">
        <v>38</v>
      </c>
      <c r="K3034" t="s">
        <v>56</v>
      </c>
      <c r="L3034" t="s">
        <v>44</v>
      </c>
      <c r="M3034">
        <v>8.4700000000000006</v>
      </c>
      <c r="T3034" t="s">
        <v>47</v>
      </c>
      <c r="U3034">
        <v>2</v>
      </c>
      <c r="V3034">
        <v>5</v>
      </c>
    </row>
    <row r="3035" spans="1:22" x14ac:dyDescent="0.3">
      <c r="A3035">
        <v>3034</v>
      </c>
      <c r="B3035">
        <v>53414</v>
      </c>
      <c r="C3035" s="2">
        <v>37803</v>
      </c>
      <c r="D3035">
        <v>23</v>
      </c>
      <c r="E3035" t="s">
        <v>36</v>
      </c>
      <c r="F3035" t="s">
        <v>50</v>
      </c>
      <c r="G3035" s="2">
        <v>45607</v>
      </c>
      <c r="H3035" s="3">
        <f t="shared" si="47"/>
        <v>1.2712328767123289</v>
      </c>
      <c r="I3035">
        <v>37</v>
      </c>
      <c r="J3035" t="s">
        <v>38</v>
      </c>
      <c r="K3035" t="s">
        <v>64</v>
      </c>
      <c r="L3035" t="s">
        <v>44</v>
      </c>
      <c r="M3035">
        <v>14.07</v>
      </c>
      <c r="T3035" t="s">
        <v>45</v>
      </c>
      <c r="U3035">
        <v>0</v>
      </c>
      <c r="V3035">
        <v>5</v>
      </c>
    </row>
    <row r="3036" spans="1:22" x14ac:dyDescent="0.3">
      <c r="A3036">
        <v>3035</v>
      </c>
      <c r="B3036">
        <v>53415</v>
      </c>
      <c r="C3036" s="2">
        <v>38680</v>
      </c>
      <c r="D3036">
        <v>20</v>
      </c>
      <c r="E3036" t="s">
        <v>42</v>
      </c>
      <c r="F3036" t="s">
        <v>50</v>
      </c>
      <c r="G3036" s="2">
        <v>45558</v>
      </c>
      <c r="H3036" s="3">
        <f t="shared" si="47"/>
        <v>1.2273972602739727</v>
      </c>
      <c r="I3036">
        <v>51</v>
      </c>
      <c r="J3036" t="s">
        <v>38</v>
      </c>
      <c r="K3036" t="s">
        <v>56</v>
      </c>
      <c r="L3036" t="s">
        <v>44</v>
      </c>
      <c r="M3036">
        <v>8.4700000000000006</v>
      </c>
      <c r="T3036" t="s">
        <v>47</v>
      </c>
      <c r="U3036">
        <v>2</v>
      </c>
      <c r="V3036">
        <v>6</v>
      </c>
    </row>
    <row r="3037" spans="1:22" x14ac:dyDescent="0.3">
      <c r="A3037">
        <v>3036</v>
      </c>
      <c r="B3037">
        <v>53416</v>
      </c>
      <c r="C3037" s="2">
        <v>37767</v>
      </c>
      <c r="D3037">
        <v>22</v>
      </c>
      <c r="E3037" t="s">
        <v>42</v>
      </c>
      <c r="F3037" t="s">
        <v>50</v>
      </c>
      <c r="G3037" s="2">
        <v>45574</v>
      </c>
      <c r="H3037" s="3">
        <f t="shared" si="47"/>
        <v>1.1150684931506849</v>
      </c>
      <c r="I3037">
        <v>54</v>
      </c>
      <c r="J3037" t="s">
        <v>38</v>
      </c>
      <c r="K3037" t="s">
        <v>56</v>
      </c>
      <c r="L3037" t="s">
        <v>44</v>
      </c>
      <c r="M3037">
        <v>8.4700000000000006</v>
      </c>
      <c r="T3037" t="s">
        <v>52</v>
      </c>
      <c r="U3037">
        <v>0</v>
      </c>
      <c r="V3037">
        <v>6</v>
      </c>
    </row>
    <row r="3038" spans="1:22" x14ac:dyDescent="0.3">
      <c r="A3038">
        <v>3037</v>
      </c>
      <c r="B3038">
        <v>53417</v>
      </c>
      <c r="C3038" s="2">
        <v>38689</v>
      </c>
      <c r="D3038">
        <v>20</v>
      </c>
      <c r="E3038" t="s">
        <v>36</v>
      </c>
      <c r="F3038" t="s">
        <v>50</v>
      </c>
      <c r="G3038" s="2">
        <v>45615</v>
      </c>
      <c r="H3038" s="3">
        <f t="shared" si="47"/>
        <v>1.4986301369863013</v>
      </c>
      <c r="I3038">
        <v>37</v>
      </c>
      <c r="J3038" t="s">
        <v>38</v>
      </c>
      <c r="K3038" t="s">
        <v>65</v>
      </c>
      <c r="L3038" t="s">
        <v>44</v>
      </c>
      <c r="M3038">
        <v>10.64</v>
      </c>
      <c r="T3038" t="s">
        <v>45</v>
      </c>
      <c r="U3038">
        <v>0</v>
      </c>
      <c r="V3038">
        <v>3</v>
      </c>
    </row>
    <row r="3039" spans="1:22" x14ac:dyDescent="0.3">
      <c r="A3039">
        <v>3038</v>
      </c>
      <c r="B3039">
        <v>53418</v>
      </c>
      <c r="C3039" s="2">
        <v>34901</v>
      </c>
      <c r="D3039">
        <v>30</v>
      </c>
      <c r="E3039" t="s">
        <v>36</v>
      </c>
      <c r="F3039" t="s">
        <v>50</v>
      </c>
      <c r="G3039" s="2">
        <v>45475</v>
      </c>
      <c r="H3039" s="3">
        <f t="shared" si="47"/>
        <v>1.1260273972602739</v>
      </c>
      <c r="I3039">
        <v>40</v>
      </c>
      <c r="J3039" t="s">
        <v>38</v>
      </c>
      <c r="K3039" t="s">
        <v>55</v>
      </c>
      <c r="L3039" t="s">
        <v>44</v>
      </c>
      <c r="M3039">
        <v>17.59</v>
      </c>
      <c r="T3039" t="s">
        <v>52</v>
      </c>
      <c r="U3039">
        <v>0</v>
      </c>
      <c r="V3039">
        <v>4</v>
      </c>
    </row>
    <row r="3040" spans="1:22" x14ac:dyDescent="0.3">
      <c r="A3040">
        <v>3039</v>
      </c>
      <c r="B3040">
        <v>53419</v>
      </c>
      <c r="C3040" s="2">
        <v>38348</v>
      </c>
      <c r="D3040">
        <v>21</v>
      </c>
      <c r="E3040" t="s">
        <v>36</v>
      </c>
      <c r="F3040" t="s">
        <v>37</v>
      </c>
      <c r="G3040" s="2">
        <v>45611</v>
      </c>
      <c r="H3040" s="3">
        <f t="shared" si="47"/>
        <v>1.5506849315068494</v>
      </c>
      <c r="I3040">
        <v>19</v>
      </c>
      <c r="J3040" t="s">
        <v>38</v>
      </c>
      <c r="K3040" t="s">
        <v>65</v>
      </c>
      <c r="L3040" t="s">
        <v>44</v>
      </c>
      <c r="M3040">
        <v>10.64</v>
      </c>
      <c r="T3040" t="s">
        <v>52</v>
      </c>
      <c r="U3040">
        <v>0</v>
      </c>
      <c r="V3040">
        <v>4</v>
      </c>
    </row>
    <row r="3041" spans="1:22" x14ac:dyDescent="0.3">
      <c r="A3041">
        <v>3040</v>
      </c>
      <c r="B3041">
        <v>53420</v>
      </c>
      <c r="C3041" s="2">
        <v>37886</v>
      </c>
      <c r="D3041">
        <v>22</v>
      </c>
      <c r="E3041" t="s">
        <v>42</v>
      </c>
      <c r="F3041" t="s">
        <v>50</v>
      </c>
      <c r="G3041" s="2">
        <v>45456</v>
      </c>
      <c r="H3041" s="3">
        <f t="shared" si="47"/>
        <v>1.0712328767123287</v>
      </c>
      <c r="I3041">
        <v>40</v>
      </c>
      <c r="J3041" t="s">
        <v>38</v>
      </c>
      <c r="K3041" t="s">
        <v>56</v>
      </c>
      <c r="L3041" t="s">
        <v>44</v>
      </c>
      <c r="M3041">
        <v>8.4700000000000006</v>
      </c>
      <c r="T3041" t="s">
        <v>49</v>
      </c>
      <c r="U3041">
        <v>2</v>
      </c>
      <c r="V3041">
        <v>7</v>
      </c>
    </row>
    <row r="3042" spans="1:22" x14ac:dyDescent="0.3">
      <c r="A3042">
        <v>3041</v>
      </c>
      <c r="B3042">
        <v>53421</v>
      </c>
      <c r="C3042" s="2">
        <v>34802</v>
      </c>
      <c r="D3042">
        <v>30</v>
      </c>
      <c r="E3042" t="s">
        <v>36</v>
      </c>
      <c r="F3042" t="s">
        <v>50</v>
      </c>
      <c r="G3042" s="2">
        <v>45631</v>
      </c>
      <c r="H3042" s="3">
        <f t="shared" si="47"/>
        <v>1.0273972602739727</v>
      </c>
      <c r="I3042">
        <v>63</v>
      </c>
      <c r="J3042" t="s">
        <v>38</v>
      </c>
      <c r="K3042" t="s">
        <v>54</v>
      </c>
      <c r="L3042" t="s">
        <v>44</v>
      </c>
      <c r="M3042">
        <v>23.78</v>
      </c>
      <c r="T3042" t="s">
        <v>45</v>
      </c>
      <c r="U3042">
        <v>5</v>
      </c>
      <c r="V3042">
        <v>5</v>
      </c>
    </row>
    <row r="3043" spans="1:22" x14ac:dyDescent="0.3">
      <c r="A3043">
        <v>3042</v>
      </c>
      <c r="B3043">
        <v>53422</v>
      </c>
      <c r="C3043" s="2">
        <v>37424</v>
      </c>
      <c r="D3043">
        <v>23</v>
      </c>
      <c r="E3043" t="s">
        <v>36</v>
      </c>
      <c r="F3043" t="s">
        <v>37</v>
      </c>
      <c r="G3043" s="2">
        <v>45647</v>
      </c>
      <c r="H3043" s="3">
        <f t="shared" si="47"/>
        <v>1.2465753424657535</v>
      </c>
      <c r="I3043">
        <v>19</v>
      </c>
      <c r="J3043" t="s">
        <v>38</v>
      </c>
      <c r="K3043" t="s">
        <v>46</v>
      </c>
      <c r="L3043" t="s">
        <v>44</v>
      </c>
      <c r="M3043">
        <v>14.23</v>
      </c>
      <c r="T3043" t="s">
        <v>47</v>
      </c>
      <c r="U3043">
        <v>1</v>
      </c>
      <c r="V3043">
        <v>4</v>
      </c>
    </row>
    <row r="3044" spans="1:22" x14ac:dyDescent="0.3">
      <c r="A3044">
        <v>3043</v>
      </c>
      <c r="B3044">
        <v>53424</v>
      </c>
      <c r="C3044" s="2">
        <v>38212</v>
      </c>
      <c r="D3044">
        <v>21</v>
      </c>
      <c r="E3044" t="s">
        <v>42</v>
      </c>
      <c r="F3044" t="s">
        <v>50</v>
      </c>
      <c r="G3044" s="2">
        <v>45567</v>
      </c>
      <c r="H3044" s="3">
        <f t="shared" si="47"/>
        <v>1.3315068493150686</v>
      </c>
      <c r="I3044">
        <v>30</v>
      </c>
      <c r="J3044" t="s">
        <v>38</v>
      </c>
      <c r="K3044" t="s">
        <v>56</v>
      </c>
      <c r="L3044" t="s">
        <v>44</v>
      </c>
      <c r="M3044">
        <v>8.4700000000000006</v>
      </c>
      <c r="T3044" t="s">
        <v>49</v>
      </c>
      <c r="U3044">
        <v>3</v>
      </c>
      <c r="V3044">
        <v>5</v>
      </c>
    </row>
    <row r="3045" spans="1:22" x14ac:dyDescent="0.3">
      <c r="A3045">
        <v>3044</v>
      </c>
      <c r="B3045">
        <v>53425</v>
      </c>
      <c r="C3045" s="2">
        <v>38836</v>
      </c>
      <c r="D3045">
        <v>19</v>
      </c>
      <c r="E3045" t="s">
        <v>42</v>
      </c>
      <c r="F3045" t="s">
        <v>50</v>
      </c>
      <c r="G3045" s="2">
        <v>45536</v>
      </c>
      <c r="H3045" s="3">
        <f t="shared" si="47"/>
        <v>1.4712328767123288</v>
      </c>
      <c r="I3045">
        <v>32</v>
      </c>
      <c r="J3045" t="s">
        <v>38</v>
      </c>
      <c r="K3045" t="s">
        <v>56</v>
      </c>
      <c r="L3045" t="s">
        <v>44</v>
      </c>
      <c r="M3045">
        <v>8.4700000000000006</v>
      </c>
      <c r="T3045" t="s">
        <v>49</v>
      </c>
      <c r="U3045">
        <v>1</v>
      </c>
      <c r="V3045">
        <v>7</v>
      </c>
    </row>
    <row r="3046" spans="1:22" x14ac:dyDescent="0.3">
      <c r="A3046">
        <v>3045</v>
      </c>
      <c r="B3046">
        <v>53426</v>
      </c>
      <c r="C3046" s="2">
        <v>38905</v>
      </c>
      <c r="D3046">
        <v>19</v>
      </c>
      <c r="E3046" t="s">
        <v>42</v>
      </c>
      <c r="F3046" t="s">
        <v>50</v>
      </c>
      <c r="G3046" s="2">
        <v>45485</v>
      </c>
      <c r="H3046" s="3">
        <f t="shared" si="47"/>
        <v>1.1534246575342466</v>
      </c>
      <c r="I3046">
        <v>33</v>
      </c>
      <c r="J3046" t="s">
        <v>38</v>
      </c>
      <c r="K3046" t="s">
        <v>56</v>
      </c>
      <c r="L3046" t="s">
        <v>44</v>
      </c>
      <c r="M3046">
        <v>8.4700000000000006</v>
      </c>
      <c r="T3046" t="s">
        <v>45</v>
      </c>
      <c r="U3046">
        <v>4</v>
      </c>
      <c r="V3046">
        <v>7</v>
      </c>
    </row>
    <row r="3047" spans="1:22" x14ac:dyDescent="0.3">
      <c r="A3047">
        <v>3046</v>
      </c>
      <c r="B3047">
        <v>53427</v>
      </c>
      <c r="C3047" s="2">
        <v>39137</v>
      </c>
      <c r="D3047">
        <v>18</v>
      </c>
      <c r="E3047" t="s">
        <v>42</v>
      </c>
      <c r="F3047" t="s">
        <v>50</v>
      </c>
      <c r="G3047" s="2">
        <v>45601</v>
      </c>
      <c r="H3047" s="3">
        <f t="shared" si="47"/>
        <v>1.3506849315068492</v>
      </c>
      <c r="I3047">
        <v>34</v>
      </c>
      <c r="J3047" t="s">
        <v>38</v>
      </c>
      <c r="K3047" t="s">
        <v>56</v>
      </c>
      <c r="L3047" t="s">
        <v>44</v>
      </c>
      <c r="M3047">
        <v>8.4700000000000006</v>
      </c>
      <c r="T3047" t="s">
        <v>45</v>
      </c>
      <c r="U3047">
        <v>2</v>
      </c>
      <c r="V3047">
        <v>5</v>
      </c>
    </row>
    <row r="3048" spans="1:22" x14ac:dyDescent="0.3">
      <c r="A3048">
        <v>3047</v>
      </c>
      <c r="B3048">
        <v>53428</v>
      </c>
      <c r="C3048" s="2">
        <v>38412</v>
      </c>
      <c r="D3048">
        <v>21</v>
      </c>
      <c r="E3048" t="s">
        <v>42</v>
      </c>
      <c r="F3048" t="s">
        <v>37</v>
      </c>
      <c r="G3048" s="2">
        <v>45529</v>
      </c>
      <c r="H3048" s="3">
        <f t="shared" si="47"/>
        <v>1.4958904109589042</v>
      </c>
      <c r="I3048">
        <v>37</v>
      </c>
      <c r="J3048" t="s">
        <v>38</v>
      </c>
      <c r="K3048" t="s">
        <v>56</v>
      </c>
      <c r="L3048" t="s">
        <v>44</v>
      </c>
      <c r="M3048">
        <v>8.4700000000000006</v>
      </c>
      <c r="T3048" t="s">
        <v>47</v>
      </c>
      <c r="U3048">
        <v>0</v>
      </c>
      <c r="V3048">
        <v>5</v>
      </c>
    </row>
    <row r="3049" spans="1:22" x14ac:dyDescent="0.3">
      <c r="A3049">
        <v>3048</v>
      </c>
      <c r="B3049">
        <v>53430</v>
      </c>
      <c r="C3049" s="2">
        <v>38076</v>
      </c>
      <c r="D3049">
        <v>21</v>
      </c>
      <c r="E3049" t="s">
        <v>42</v>
      </c>
      <c r="F3049" t="s">
        <v>50</v>
      </c>
      <c r="G3049" s="2">
        <v>45476</v>
      </c>
      <c r="H3049" s="3">
        <f t="shared" si="47"/>
        <v>1.3506849315068492</v>
      </c>
      <c r="I3049">
        <v>49</v>
      </c>
      <c r="J3049" t="s">
        <v>38</v>
      </c>
      <c r="K3049" t="s">
        <v>56</v>
      </c>
      <c r="L3049" t="s">
        <v>44</v>
      </c>
      <c r="M3049">
        <v>8.4700000000000006</v>
      </c>
      <c r="T3049" t="s">
        <v>47</v>
      </c>
      <c r="U3049">
        <v>2</v>
      </c>
      <c r="V3049">
        <v>6</v>
      </c>
    </row>
    <row r="3050" spans="1:22" x14ac:dyDescent="0.3">
      <c r="A3050">
        <v>3049</v>
      </c>
      <c r="B3050">
        <v>53431</v>
      </c>
      <c r="C3050" s="2">
        <v>38451</v>
      </c>
      <c r="D3050">
        <v>20</v>
      </c>
      <c r="E3050" t="s">
        <v>42</v>
      </c>
      <c r="F3050" t="s">
        <v>50</v>
      </c>
      <c r="G3050" s="2">
        <v>45529</v>
      </c>
      <c r="H3050" s="3">
        <f t="shared" si="47"/>
        <v>1.3123287671232877</v>
      </c>
      <c r="I3050">
        <v>65</v>
      </c>
      <c r="J3050" t="s">
        <v>38</v>
      </c>
      <c r="K3050" t="s">
        <v>56</v>
      </c>
      <c r="L3050" t="s">
        <v>44</v>
      </c>
      <c r="M3050">
        <v>8.4700000000000006</v>
      </c>
      <c r="T3050" t="s">
        <v>45</v>
      </c>
      <c r="U3050">
        <v>1</v>
      </c>
      <c r="V3050">
        <v>6</v>
      </c>
    </row>
    <row r="3051" spans="1:22" x14ac:dyDescent="0.3">
      <c r="A3051">
        <v>3050</v>
      </c>
      <c r="B3051">
        <v>53432</v>
      </c>
      <c r="C3051" s="2">
        <v>34307</v>
      </c>
      <c r="D3051">
        <v>32</v>
      </c>
      <c r="E3051" t="s">
        <v>42</v>
      </c>
      <c r="F3051" t="s">
        <v>50</v>
      </c>
      <c r="G3051" s="2">
        <v>45543</v>
      </c>
      <c r="H3051" s="3">
        <f t="shared" si="47"/>
        <v>1.1013698630136985</v>
      </c>
      <c r="I3051">
        <v>73</v>
      </c>
      <c r="J3051" t="s">
        <v>57</v>
      </c>
      <c r="K3051" t="s">
        <v>55</v>
      </c>
      <c r="L3051" t="s">
        <v>44</v>
      </c>
      <c r="M3051">
        <v>17.59</v>
      </c>
      <c r="T3051" t="s">
        <v>49</v>
      </c>
      <c r="U3051">
        <v>0</v>
      </c>
      <c r="V3051">
        <v>6</v>
      </c>
    </row>
    <row r="3052" spans="1:22" x14ac:dyDescent="0.3">
      <c r="A3052">
        <v>3051</v>
      </c>
      <c r="B3052">
        <v>53433</v>
      </c>
      <c r="C3052" s="2">
        <v>38393</v>
      </c>
      <c r="D3052">
        <v>20</v>
      </c>
      <c r="E3052" t="s">
        <v>42</v>
      </c>
      <c r="F3052" t="s">
        <v>50</v>
      </c>
      <c r="G3052" s="2">
        <v>45620</v>
      </c>
      <c r="H3052" s="3">
        <f t="shared" si="47"/>
        <v>1.4794520547945205</v>
      </c>
      <c r="I3052">
        <v>83</v>
      </c>
      <c r="J3052" t="s">
        <v>57</v>
      </c>
      <c r="K3052" t="s">
        <v>56</v>
      </c>
      <c r="L3052" t="s">
        <v>44</v>
      </c>
      <c r="M3052">
        <v>8.4700000000000006</v>
      </c>
      <c r="T3052" t="s">
        <v>52</v>
      </c>
      <c r="U3052">
        <v>4</v>
      </c>
      <c r="V3052">
        <v>5</v>
      </c>
    </row>
    <row r="3053" spans="1:22" x14ac:dyDescent="0.3">
      <c r="A3053">
        <v>3052</v>
      </c>
      <c r="B3053">
        <v>53434</v>
      </c>
      <c r="C3053" s="2">
        <v>38058</v>
      </c>
      <c r="D3053">
        <v>21</v>
      </c>
      <c r="E3053" t="s">
        <v>42</v>
      </c>
      <c r="F3053" t="s">
        <v>50</v>
      </c>
      <c r="G3053" s="2">
        <v>45482</v>
      </c>
      <c r="H3053" s="3">
        <f t="shared" si="47"/>
        <v>1.0356164383561643</v>
      </c>
      <c r="I3053">
        <v>99</v>
      </c>
      <c r="J3053" t="s">
        <v>57</v>
      </c>
      <c r="K3053" t="s">
        <v>56</v>
      </c>
      <c r="L3053" t="s">
        <v>44</v>
      </c>
      <c r="M3053">
        <v>8.4700000000000006</v>
      </c>
      <c r="T3053" t="s">
        <v>49</v>
      </c>
      <c r="U3053">
        <v>2</v>
      </c>
      <c r="V3053">
        <v>5</v>
      </c>
    </row>
    <row r="3054" spans="1:22" x14ac:dyDescent="0.3">
      <c r="A3054">
        <v>3053</v>
      </c>
      <c r="B3054">
        <v>53435</v>
      </c>
      <c r="C3054" s="2">
        <v>35531</v>
      </c>
      <c r="D3054">
        <v>28</v>
      </c>
      <c r="E3054" t="s">
        <v>42</v>
      </c>
      <c r="F3054" t="s">
        <v>50</v>
      </c>
      <c r="G3054" s="2">
        <v>45644</v>
      </c>
      <c r="H3054" s="3">
        <f t="shared" si="47"/>
        <v>1.095890410958904</v>
      </c>
      <c r="I3054">
        <v>108</v>
      </c>
      <c r="J3054" t="s">
        <v>57</v>
      </c>
      <c r="K3054" t="s">
        <v>56</v>
      </c>
      <c r="L3054" t="s">
        <v>44</v>
      </c>
      <c r="M3054">
        <v>8.4700000000000006</v>
      </c>
      <c r="T3054" t="s">
        <v>45</v>
      </c>
      <c r="U3054">
        <v>1</v>
      </c>
      <c r="V3054">
        <v>7</v>
      </c>
    </row>
    <row r="3055" spans="1:22" x14ac:dyDescent="0.3">
      <c r="A3055">
        <v>3054</v>
      </c>
      <c r="B3055">
        <v>53436</v>
      </c>
      <c r="C3055" s="2">
        <v>38258</v>
      </c>
      <c r="D3055">
        <v>21</v>
      </c>
      <c r="E3055" t="s">
        <v>42</v>
      </c>
      <c r="F3055" t="s">
        <v>50</v>
      </c>
      <c r="G3055" s="2">
        <v>45622</v>
      </c>
      <c r="H3055" s="3">
        <f t="shared" si="47"/>
        <v>1.7095890410958905</v>
      </c>
      <c r="I3055">
        <v>144</v>
      </c>
      <c r="J3055" t="s">
        <v>57</v>
      </c>
      <c r="K3055" t="s">
        <v>56</v>
      </c>
      <c r="L3055" t="s">
        <v>44</v>
      </c>
      <c r="M3055">
        <v>8.4700000000000006</v>
      </c>
      <c r="T3055" t="s">
        <v>47</v>
      </c>
      <c r="U3055">
        <v>1</v>
      </c>
      <c r="V3055">
        <v>6</v>
      </c>
    </row>
    <row r="3056" spans="1:22" x14ac:dyDescent="0.3">
      <c r="A3056">
        <v>3055</v>
      </c>
      <c r="B3056">
        <v>53437</v>
      </c>
      <c r="C3056" s="2">
        <v>38019</v>
      </c>
      <c r="D3056">
        <v>21</v>
      </c>
      <c r="E3056" t="s">
        <v>42</v>
      </c>
      <c r="F3056" t="s">
        <v>50</v>
      </c>
      <c r="G3056" s="2">
        <v>45398</v>
      </c>
      <c r="H3056" s="3">
        <f t="shared" si="47"/>
        <v>1.3589041095890411</v>
      </c>
      <c r="I3056">
        <v>111</v>
      </c>
      <c r="J3056" t="s">
        <v>57</v>
      </c>
      <c r="K3056" t="s">
        <v>43</v>
      </c>
      <c r="L3056" t="s">
        <v>44</v>
      </c>
      <c r="M3056">
        <v>16.37</v>
      </c>
      <c r="T3056" t="s">
        <v>45</v>
      </c>
      <c r="U3056">
        <v>1</v>
      </c>
      <c r="V3056">
        <v>6</v>
      </c>
    </row>
    <row r="3057" spans="1:22" x14ac:dyDescent="0.3">
      <c r="A3057">
        <v>3056</v>
      </c>
      <c r="B3057">
        <v>53438</v>
      </c>
      <c r="C3057" s="2">
        <v>37798</v>
      </c>
      <c r="D3057">
        <v>22</v>
      </c>
      <c r="E3057" t="s">
        <v>42</v>
      </c>
      <c r="F3057" t="s">
        <v>50</v>
      </c>
      <c r="G3057" s="2">
        <v>45526</v>
      </c>
      <c r="H3057" s="3">
        <f t="shared" si="47"/>
        <v>1.5452054794520549</v>
      </c>
      <c r="I3057">
        <v>1</v>
      </c>
      <c r="J3057" t="s">
        <v>38</v>
      </c>
      <c r="K3057" t="s">
        <v>56</v>
      </c>
      <c r="L3057" t="s">
        <v>44</v>
      </c>
      <c r="M3057">
        <v>8.4700000000000006</v>
      </c>
      <c r="T3057" t="s">
        <v>45</v>
      </c>
      <c r="U3057">
        <v>4</v>
      </c>
      <c r="V3057">
        <v>7</v>
      </c>
    </row>
    <row r="3058" spans="1:22" x14ac:dyDescent="0.3">
      <c r="A3058">
        <v>3057</v>
      </c>
      <c r="B3058">
        <v>53439</v>
      </c>
      <c r="C3058" s="2">
        <v>38399</v>
      </c>
      <c r="D3058">
        <v>20</v>
      </c>
      <c r="E3058" t="s">
        <v>42</v>
      </c>
      <c r="F3058" t="s">
        <v>50</v>
      </c>
      <c r="G3058" s="2">
        <v>45458</v>
      </c>
      <c r="H3058" s="3">
        <f t="shared" si="47"/>
        <v>1.6821917808219178</v>
      </c>
      <c r="I3058">
        <v>133</v>
      </c>
      <c r="J3058" t="s">
        <v>57</v>
      </c>
      <c r="K3058" t="s">
        <v>43</v>
      </c>
      <c r="L3058" t="s">
        <v>44</v>
      </c>
      <c r="M3058">
        <v>16.37</v>
      </c>
      <c r="T3058" t="s">
        <v>45</v>
      </c>
      <c r="U3058">
        <v>1</v>
      </c>
      <c r="V3058">
        <v>6</v>
      </c>
    </row>
    <row r="3059" spans="1:22" x14ac:dyDescent="0.3">
      <c r="A3059">
        <v>3058</v>
      </c>
      <c r="B3059">
        <v>53440</v>
      </c>
      <c r="C3059" s="2">
        <v>37037</v>
      </c>
      <c r="D3059">
        <v>24</v>
      </c>
      <c r="E3059" t="s">
        <v>36</v>
      </c>
      <c r="F3059" t="s">
        <v>50</v>
      </c>
      <c r="G3059" s="2">
        <v>45408</v>
      </c>
      <c r="H3059" s="3">
        <f t="shared" si="47"/>
        <v>1.6712328767123288</v>
      </c>
      <c r="I3059">
        <v>135</v>
      </c>
      <c r="J3059" t="s">
        <v>57</v>
      </c>
      <c r="K3059" t="s">
        <v>43</v>
      </c>
      <c r="L3059" t="s">
        <v>44</v>
      </c>
      <c r="M3059">
        <v>16.37</v>
      </c>
      <c r="T3059" t="s">
        <v>52</v>
      </c>
      <c r="U3059">
        <v>1</v>
      </c>
      <c r="V3059">
        <v>4</v>
      </c>
    </row>
    <row r="3060" spans="1:22" x14ac:dyDescent="0.3">
      <c r="A3060">
        <v>3059</v>
      </c>
      <c r="B3060">
        <v>53441</v>
      </c>
      <c r="C3060" s="2">
        <v>36125</v>
      </c>
      <c r="D3060">
        <v>27</v>
      </c>
      <c r="E3060" t="s">
        <v>36</v>
      </c>
      <c r="F3060" t="s">
        <v>50</v>
      </c>
      <c r="G3060" s="2">
        <v>45412</v>
      </c>
      <c r="H3060" s="3">
        <f t="shared" si="47"/>
        <v>1.6602739726027398</v>
      </c>
      <c r="I3060">
        <v>61</v>
      </c>
      <c r="J3060" t="s">
        <v>38</v>
      </c>
      <c r="K3060" t="s">
        <v>46</v>
      </c>
      <c r="L3060" t="s">
        <v>44</v>
      </c>
      <c r="M3060">
        <v>14.23</v>
      </c>
      <c r="T3060" t="s">
        <v>45</v>
      </c>
      <c r="U3060">
        <v>0</v>
      </c>
      <c r="V3060">
        <v>4</v>
      </c>
    </row>
    <row r="3061" spans="1:22" x14ac:dyDescent="0.3">
      <c r="A3061">
        <v>3060</v>
      </c>
      <c r="B3061">
        <v>53443</v>
      </c>
      <c r="C3061" s="2">
        <v>39342</v>
      </c>
      <c r="D3061">
        <v>18</v>
      </c>
      <c r="E3061" t="s">
        <v>42</v>
      </c>
      <c r="F3061" t="s">
        <v>50</v>
      </c>
      <c r="G3061" s="2">
        <v>45416</v>
      </c>
      <c r="H3061" s="3">
        <f t="shared" si="47"/>
        <v>1.4301369863013698</v>
      </c>
      <c r="I3061">
        <v>105</v>
      </c>
      <c r="J3061" t="s">
        <v>57</v>
      </c>
      <c r="K3061" t="s">
        <v>56</v>
      </c>
      <c r="L3061" t="s">
        <v>44</v>
      </c>
      <c r="M3061">
        <v>8.4700000000000006</v>
      </c>
      <c r="T3061" t="s">
        <v>45</v>
      </c>
      <c r="U3061">
        <v>1</v>
      </c>
      <c r="V3061">
        <v>4</v>
      </c>
    </row>
    <row r="3062" spans="1:22" x14ac:dyDescent="0.3">
      <c r="A3062">
        <v>3061</v>
      </c>
      <c r="B3062">
        <v>53444</v>
      </c>
      <c r="C3062" s="2">
        <v>35948</v>
      </c>
      <c r="D3062">
        <v>27</v>
      </c>
      <c r="E3062" t="s">
        <v>42</v>
      </c>
      <c r="F3062" t="s">
        <v>50</v>
      </c>
      <c r="G3062" s="2">
        <v>45500</v>
      </c>
      <c r="H3062" s="3">
        <f t="shared" si="47"/>
        <v>1.526027397260274</v>
      </c>
      <c r="I3062">
        <v>3</v>
      </c>
      <c r="J3062" t="s">
        <v>38</v>
      </c>
      <c r="K3062" t="s">
        <v>48</v>
      </c>
      <c r="L3062" t="s">
        <v>44</v>
      </c>
      <c r="M3062">
        <v>8.4700000000000006</v>
      </c>
      <c r="T3062" t="s">
        <v>52</v>
      </c>
      <c r="U3062">
        <v>1</v>
      </c>
      <c r="V3062">
        <v>7</v>
      </c>
    </row>
    <row r="3063" spans="1:22" x14ac:dyDescent="0.3">
      <c r="A3063">
        <v>3062</v>
      </c>
      <c r="B3063">
        <v>53445</v>
      </c>
      <c r="C3063" s="2">
        <v>36338</v>
      </c>
      <c r="D3063">
        <v>26</v>
      </c>
      <c r="E3063" t="s">
        <v>36</v>
      </c>
      <c r="F3063" t="s">
        <v>50</v>
      </c>
      <c r="G3063" s="2">
        <v>45465</v>
      </c>
      <c r="H3063" s="3">
        <f t="shared" si="47"/>
        <v>1.0739726027397261</v>
      </c>
      <c r="I3063">
        <v>70</v>
      </c>
      <c r="J3063" t="s">
        <v>57</v>
      </c>
      <c r="K3063" t="s">
        <v>68</v>
      </c>
      <c r="L3063" t="s">
        <v>44</v>
      </c>
      <c r="M3063">
        <v>17</v>
      </c>
      <c r="T3063" t="s">
        <v>52</v>
      </c>
      <c r="U3063">
        <v>3</v>
      </c>
      <c r="V3063">
        <v>6</v>
      </c>
    </row>
    <row r="3064" spans="1:22" x14ac:dyDescent="0.3">
      <c r="A3064">
        <v>3063</v>
      </c>
      <c r="B3064">
        <v>53446</v>
      </c>
      <c r="C3064" s="2">
        <v>35913</v>
      </c>
      <c r="D3064">
        <v>27</v>
      </c>
      <c r="E3064" t="s">
        <v>36</v>
      </c>
      <c r="F3064" t="s">
        <v>50</v>
      </c>
      <c r="G3064" s="2">
        <v>45630</v>
      </c>
      <c r="H3064" s="3">
        <f t="shared" si="47"/>
        <v>1.1616438356164382</v>
      </c>
      <c r="I3064">
        <v>4</v>
      </c>
      <c r="J3064" t="s">
        <v>38</v>
      </c>
      <c r="K3064" t="s">
        <v>65</v>
      </c>
      <c r="L3064" t="s">
        <v>44</v>
      </c>
      <c r="M3064">
        <v>10.64</v>
      </c>
      <c r="T3064" t="s">
        <v>49</v>
      </c>
      <c r="U3064">
        <v>0</v>
      </c>
      <c r="V3064">
        <v>4</v>
      </c>
    </row>
    <row r="3065" spans="1:22" x14ac:dyDescent="0.3">
      <c r="A3065">
        <v>3064</v>
      </c>
      <c r="B3065">
        <v>53447</v>
      </c>
      <c r="C3065" s="2">
        <v>37416</v>
      </c>
      <c r="D3065">
        <v>23</v>
      </c>
      <c r="E3065" t="s">
        <v>42</v>
      </c>
      <c r="F3065" t="s">
        <v>37</v>
      </c>
      <c r="G3065" s="2">
        <v>45598</v>
      </c>
      <c r="H3065" s="3">
        <f t="shared" si="47"/>
        <v>1.3479452054794521</v>
      </c>
      <c r="I3065">
        <v>5</v>
      </c>
      <c r="J3065" t="s">
        <v>38</v>
      </c>
      <c r="K3065" t="s">
        <v>56</v>
      </c>
      <c r="L3065" t="s">
        <v>44</v>
      </c>
      <c r="M3065">
        <v>8.4700000000000006</v>
      </c>
      <c r="T3065" t="s">
        <v>45</v>
      </c>
      <c r="U3065">
        <v>1</v>
      </c>
      <c r="V3065">
        <v>6</v>
      </c>
    </row>
    <row r="3066" spans="1:22" x14ac:dyDescent="0.3">
      <c r="A3066">
        <v>3065</v>
      </c>
      <c r="B3066">
        <v>53448</v>
      </c>
      <c r="C3066" s="2">
        <v>37302</v>
      </c>
      <c r="D3066">
        <v>23</v>
      </c>
      <c r="E3066" t="s">
        <v>42</v>
      </c>
      <c r="F3066" t="s">
        <v>37</v>
      </c>
      <c r="G3066" s="2">
        <v>45530</v>
      </c>
      <c r="H3066" s="3">
        <f t="shared" si="47"/>
        <v>1.0575342465753426</v>
      </c>
      <c r="I3066">
        <v>8</v>
      </c>
      <c r="J3066" t="s">
        <v>38</v>
      </c>
      <c r="K3066" t="s">
        <v>56</v>
      </c>
      <c r="L3066" t="s">
        <v>44</v>
      </c>
      <c r="M3066">
        <v>8.4700000000000006</v>
      </c>
      <c r="T3066" t="s">
        <v>45</v>
      </c>
      <c r="U3066">
        <v>2</v>
      </c>
      <c r="V3066">
        <v>6</v>
      </c>
    </row>
    <row r="3067" spans="1:22" x14ac:dyDescent="0.3">
      <c r="A3067">
        <v>3066</v>
      </c>
      <c r="B3067">
        <v>53449</v>
      </c>
      <c r="C3067" s="2">
        <v>37763</v>
      </c>
      <c r="D3067">
        <v>22</v>
      </c>
      <c r="E3067" t="s">
        <v>42</v>
      </c>
      <c r="F3067" t="s">
        <v>50</v>
      </c>
      <c r="G3067" s="2">
        <v>45636</v>
      </c>
      <c r="H3067" s="3">
        <f t="shared" si="47"/>
        <v>1.1616438356164382</v>
      </c>
      <c r="I3067">
        <v>13</v>
      </c>
      <c r="J3067" t="s">
        <v>38</v>
      </c>
      <c r="K3067" t="s">
        <v>65</v>
      </c>
      <c r="L3067" t="s">
        <v>44</v>
      </c>
      <c r="M3067">
        <v>10.64</v>
      </c>
      <c r="T3067" t="s">
        <v>52</v>
      </c>
      <c r="U3067">
        <v>0</v>
      </c>
      <c r="V3067">
        <v>6</v>
      </c>
    </row>
    <row r="3068" spans="1:22" x14ac:dyDescent="0.3">
      <c r="A3068">
        <v>3067</v>
      </c>
      <c r="B3068">
        <v>53450</v>
      </c>
      <c r="C3068" s="2">
        <v>34778</v>
      </c>
      <c r="D3068">
        <v>30</v>
      </c>
      <c r="E3068" t="s">
        <v>42</v>
      </c>
      <c r="F3068" t="s">
        <v>37</v>
      </c>
      <c r="G3068" s="2">
        <v>45598</v>
      </c>
      <c r="H3068" s="3">
        <f t="shared" si="47"/>
        <v>1.810958904109589</v>
      </c>
      <c r="I3068">
        <v>30</v>
      </c>
      <c r="J3068" t="s">
        <v>38</v>
      </c>
      <c r="K3068" t="s">
        <v>56</v>
      </c>
      <c r="L3068" t="s">
        <v>44</v>
      </c>
      <c r="M3068">
        <v>8.4700000000000006</v>
      </c>
      <c r="T3068" t="s">
        <v>47</v>
      </c>
      <c r="U3068">
        <v>2</v>
      </c>
      <c r="V3068">
        <v>5</v>
      </c>
    </row>
    <row r="3069" spans="1:22" x14ac:dyDescent="0.3">
      <c r="A3069">
        <v>3068</v>
      </c>
      <c r="B3069">
        <v>53451</v>
      </c>
      <c r="C3069" s="2">
        <v>37388</v>
      </c>
      <c r="D3069">
        <v>23</v>
      </c>
      <c r="E3069" t="s">
        <v>42</v>
      </c>
      <c r="F3069" t="s">
        <v>50</v>
      </c>
      <c r="G3069" s="2">
        <v>45361</v>
      </c>
      <c r="H3069" s="3">
        <f t="shared" si="47"/>
        <v>1.0054794520547945</v>
      </c>
      <c r="I3069">
        <v>34</v>
      </c>
      <c r="J3069" t="s">
        <v>38</v>
      </c>
      <c r="K3069" t="s">
        <v>65</v>
      </c>
      <c r="L3069" t="s">
        <v>44</v>
      </c>
      <c r="M3069">
        <v>10.64</v>
      </c>
      <c r="T3069" t="s">
        <v>45</v>
      </c>
      <c r="U3069">
        <v>0</v>
      </c>
      <c r="V3069">
        <v>5</v>
      </c>
    </row>
    <row r="3070" spans="1:22" x14ac:dyDescent="0.3">
      <c r="A3070">
        <v>3069</v>
      </c>
      <c r="B3070">
        <v>53452</v>
      </c>
      <c r="C3070" s="2">
        <v>38523</v>
      </c>
      <c r="D3070">
        <v>20</v>
      </c>
      <c r="E3070" t="s">
        <v>42</v>
      </c>
      <c r="F3070" t="s">
        <v>50</v>
      </c>
      <c r="G3070" s="2">
        <v>45655</v>
      </c>
      <c r="H3070" s="3">
        <f t="shared" si="47"/>
        <v>1.5972602739726027</v>
      </c>
      <c r="I3070">
        <v>41</v>
      </c>
      <c r="J3070" t="s">
        <v>38</v>
      </c>
      <c r="K3070" t="s">
        <v>56</v>
      </c>
      <c r="L3070" t="s">
        <v>44</v>
      </c>
      <c r="M3070">
        <v>8.4700000000000006</v>
      </c>
      <c r="T3070" t="s">
        <v>47</v>
      </c>
      <c r="U3070">
        <v>1</v>
      </c>
      <c r="V3070">
        <v>6</v>
      </c>
    </row>
    <row r="3071" spans="1:22" x14ac:dyDescent="0.3">
      <c r="A3071">
        <v>3070</v>
      </c>
      <c r="B3071">
        <v>53453</v>
      </c>
      <c r="C3071" s="2">
        <v>37500</v>
      </c>
      <c r="D3071">
        <v>24</v>
      </c>
      <c r="E3071" t="s">
        <v>42</v>
      </c>
      <c r="F3071" t="s">
        <v>37</v>
      </c>
      <c r="G3071" s="2">
        <v>45439</v>
      </c>
      <c r="H3071" s="3">
        <f t="shared" si="47"/>
        <v>1.3397260273972602</v>
      </c>
      <c r="I3071">
        <v>49</v>
      </c>
      <c r="J3071" t="s">
        <v>38</v>
      </c>
      <c r="K3071" t="s">
        <v>56</v>
      </c>
      <c r="L3071" t="s">
        <v>44</v>
      </c>
      <c r="M3071">
        <v>8.4700000000000006</v>
      </c>
      <c r="T3071" t="s">
        <v>47</v>
      </c>
      <c r="U3071">
        <v>4</v>
      </c>
      <c r="V3071">
        <v>7</v>
      </c>
    </row>
    <row r="3072" spans="1:22" x14ac:dyDescent="0.3">
      <c r="A3072">
        <v>3071</v>
      </c>
      <c r="B3072">
        <v>53454</v>
      </c>
      <c r="C3072" s="2">
        <v>38320</v>
      </c>
      <c r="D3072">
        <v>21</v>
      </c>
      <c r="E3072" t="s">
        <v>36</v>
      </c>
      <c r="F3072" t="s">
        <v>50</v>
      </c>
      <c r="G3072" s="2">
        <v>45533</v>
      </c>
      <c r="H3072" s="3">
        <f t="shared" si="47"/>
        <v>1.6246575342465754</v>
      </c>
      <c r="I3072">
        <v>61</v>
      </c>
      <c r="J3072" t="s">
        <v>38</v>
      </c>
      <c r="K3072" t="s">
        <v>46</v>
      </c>
      <c r="L3072" t="s">
        <v>44</v>
      </c>
      <c r="M3072">
        <v>14.23</v>
      </c>
      <c r="T3072" t="s">
        <v>47</v>
      </c>
      <c r="U3072">
        <v>1</v>
      </c>
      <c r="V3072">
        <v>4</v>
      </c>
    </row>
    <row r="3073" spans="1:22" x14ac:dyDescent="0.3">
      <c r="A3073">
        <v>3072</v>
      </c>
      <c r="B3073">
        <v>53455</v>
      </c>
      <c r="C3073" s="2">
        <v>35507</v>
      </c>
      <c r="D3073">
        <v>28</v>
      </c>
      <c r="E3073" t="s">
        <v>42</v>
      </c>
      <c r="F3073" t="s">
        <v>50</v>
      </c>
      <c r="G3073" s="2">
        <v>45429</v>
      </c>
      <c r="H3073" s="3">
        <f t="shared" si="47"/>
        <v>1.452054794520548</v>
      </c>
      <c r="I3073">
        <v>83</v>
      </c>
      <c r="J3073" t="s">
        <v>57</v>
      </c>
      <c r="K3073" t="s">
        <v>56</v>
      </c>
      <c r="L3073" t="s">
        <v>44</v>
      </c>
      <c r="M3073">
        <v>8.4700000000000006</v>
      </c>
      <c r="T3073" t="s">
        <v>49</v>
      </c>
      <c r="U3073">
        <v>2</v>
      </c>
      <c r="V3073">
        <v>5</v>
      </c>
    </row>
    <row r="3074" spans="1:22" x14ac:dyDescent="0.3">
      <c r="A3074">
        <v>3073</v>
      </c>
      <c r="B3074">
        <v>53457</v>
      </c>
      <c r="C3074" s="2">
        <v>37981</v>
      </c>
      <c r="D3074">
        <v>22</v>
      </c>
      <c r="E3074" t="s">
        <v>36</v>
      </c>
      <c r="F3074" t="s">
        <v>37</v>
      </c>
      <c r="G3074" s="2">
        <v>45492</v>
      </c>
      <c r="H3074" s="3">
        <f t="shared" si="47"/>
        <v>1.2986301369863014</v>
      </c>
      <c r="I3074">
        <v>114</v>
      </c>
      <c r="J3074" t="s">
        <v>57</v>
      </c>
      <c r="K3074" t="s">
        <v>56</v>
      </c>
      <c r="L3074" t="s">
        <v>44</v>
      </c>
      <c r="M3074">
        <v>8.4700000000000006</v>
      </c>
      <c r="T3074" t="s">
        <v>52</v>
      </c>
      <c r="U3074">
        <v>3</v>
      </c>
      <c r="V3074">
        <v>4</v>
      </c>
    </row>
    <row r="3075" spans="1:22" x14ac:dyDescent="0.3">
      <c r="A3075">
        <v>3074</v>
      </c>
      <c r="B3075">
        <v>53458</v>
      </c>
      <c r="C3075" s="2">
        <v>38877</v>
      </c>
      <c r="D3075">
        <v>19</v>
      </c>
      <c r="E3075" t="s">
        <v>42</v>
      </c>
      <c r="F3075" t="s">
        <v>50</v>
      </c>
      <c r="G3075" s="2">
        <v>45548</v>
      </c>
      <c r="H3075" s="3">
        <f t="shared" ref="H3075:H3138" si="48">DATEDIF(G3076,DATE(2025,12,31),"d")/365</f>
        <v>1.0602739726027397</v>
      </c>
      <c r="I3075">
        <v>133</v>
      </c>
      <c r="J3075" t="s">
        <v>57</v>
      </c>
      <c r="K3075" t="s">
        <v>56</v>
      </c>
      <c r="L3075" t="s">
        <v>44</v>
      </c>
      <c r="M3075">
        <v>8.4700000000000006</v>
      </c>
      <c r="T3075" t="s">
        <v>52</v>
      </c>
      <c r="U3075">
        <v>2</v>
      </c>
      <c r="V3075">
        <v>6</v>
      </c>
    </row>
    <row r="3076" spans="1:22" x14ac:dyDescent="0.3">
      <c r="A3076">
        <v>3075</v>
      </c>
      <c r="B3076">
        <v>53459</v>
      </c>
      <c r="C3076" s="2">
        <v>36211</v>
      </c>
      <c r="D3076">
        <v>26</v>
      </c>
      <c r="E3076" t="s">
        <v>42</v>
      </c>
      <c r="F3076" t="s">
        <v>50</v>
      </c>
      <c r="G3076" s="2">
        <v>45635</v>
      </c>
      <c r="H3076" s="3">
        <f t="shared" si="48"/>
        <v>1.2767123287671234</v>
      </c>
      <c r="I3076">
        <v>135</v>
      </c>
      <c r="J3076" t="s">
        <v>57</v>
      </c>
      <c r="K3076" t="s">
        <v>56</v>
      </c>
      <c r="L3076" t="s">
        <v>44</v>
      </c>
      <c r="M3076">
        <v>8.4700000000000006</v>
      </c>
      <c r="T3076" t="s">
        <v>49</v>
      </c>
      <c r="U3076">
        <v>2</v>
      </c>
      <c r="V3076">
        <v>6</v>
      </c>
    </row>
    <row r="3077" spans="1:22" x14ac:dyDescent="0.3">
      <c r="A3077">
        <v>3076</v>
      </c>
      <c r="B3077">
        <v>53461</v>
      </c>
      <c r="C3077" s="2">
        <v>36726</v>
      </c>
      <c r="D3077">
        <v>25</v>
      </c>
      <c r="E3077" t="s">
        <v>36</v>
      </c>
      <c r="F3077" t="s">
        <v>37</v>
      </c>
      <c r="G3077" s="2">
        <v>45556</v>
      </c>
      <c r="H3077" s="3">
        <f t="shared" si="48"/>
        <v>1.6356164383561644</v>
      </c>
      <c r="I3077">
        <v>119</v>
      </c>
      <c r="J3077" t="s">
        <v>57</v>
      </c>
      <c r="K3077" t="s">
        <v>46</v>
      </c>
      <c r="L3077" t="s">
        <v>44</v>
      </c>
      <c r="M3077">
        <v>14.23</v>
      </c>
      <c r="T3077" t="s">
        <v>47</v>
      </c>
      <c r="U3077">
        <v>1</v>
      </c>
      <c r="V3077">
        <v>4</v>
      </c>
    </row>
    <row r="3078" spans="1:22" x14ac:dyDescent="0.3">
      <c r="A3078">
        <v>3077</v>
      </c>
      <c r="B3078">
        <v>53462</v>
      </c>
      <c r="C3078" s="2">
        <v>37121</v>
      </c>
      <c r="D3078">
        <v>24</v>
      </c>
      <c r="E3078" t="s">
        <v>42</v>
      </c>
      <c r="F3078" t="s">
        <v>50</v>
      </c>
      <c r="G3078" s="2">
        <v>45425</v>
      </c>
      <c r="H3078" s="3">
        <f t="shared" si="48"/>
        <v>1.5753424657534247</v>
      </c>
      <c r="I3078">
        <v>39</v>
      </c>
      <c r="J3078" t="s">
        <v>38</v>
      </c>
      <c r="K3078" t="s">
        <v>68</v>
      </c>
      <c r="L3078" t="s">
        <v>44</v>
      </c>
      <c r="M3078">
        <v>17</v>
      </c>
      <c r="T3078" t="s">
        <v>45</v>
      </c>
      <c r="U3078">
        <v>1</v>
      </c>
      <c r="V3078">
        <v>6</v>
      </c>
    </row>
    <row r="3079" spans="1:22" x14ac:dyDescent="0.3">
      <c r="A3079">
        <v>3078</v>
      </c>
      <c r="B3079">
        <v>53463</v>
      </c>
      <c r="C3079" s="2">
        <v>38191</v>
      </c>
      <c r="D3079">
        <v>21</v>
      </c>
      <c r="E3079" t="s">
        <v>42</v>
      </c>
      <c r="F3079" t="s">
        <v>50</v>
      </c>
      <c r="G3079" s="2">
        <v>45447</v>
      </c>
      <c r="H3079" s="3">
        <f t="shared" si="48"/>
        <v>1.6630136986301369</v>
      </c>
      <c r="I3079">
        <v>49</v>
      </c>
      <c r="J3079" t="s">
        <v>38</v>
      </c>
      <c r="K3079" t="s">
        <v>56</v>
      </c>
      <c r="L3079" t="s">
        <v>44</v>
      </c>
      <c r="M3079">
        <v>8.4700000000000006</v>
      </c>
      <c r="T3079" t="s">
        <v>45</v>
      </c>
      <c r="U3079">
        <v>2</v>
      </c>
      <c r="V3079">
        <v>6</v>
      </c>
    </row>
    <row r="3080" spans="1:22" x14ac:dyDescent="0.3">
      <c r="A3080">
        <v>3079</v>
      </c>
      <c r="B3080">
        <v>53464</v>
      </c>
      <c r="C3080" s="2">
        <v>35212</v>
      </c>
      <c r="D3080">
        <v>29</v>
      </c>
      <c r="E3080" t="s">
        <v>42</v>
      </c>
      <c r="F3080" t="s">
        <v>50</v>
      </c>
      <c r="G3080" s="2">
        <v>45415</v>
      </c>
      <c r="H3080" s="3">
        <f t="shared" si="48"/>
        <v>1.7972602739726027</v>
      </c>
      <c r="I3080">
        <v>59</v>
      </c>
      <c r="J3080" t="s">
        <v>38</v>
      </c>
      <c r="K3080" t="s">
        <v>56</v>
      </c>
      <c r="L3080" t="s">
        <v>44</v>
      </c>
      <c r="M3080">
        <v>8.4700000000000006</v>
      </c>
      <c r="T3080" t="s">
        <v>52</v>
      </c>
      <c r="U3080">
        <v>1</v>
      </c>
      <c r="V3080">
        <v>5</v>
      </c>
    </row>
    <row r="3081" spans="1:22" x14ac:dyDescent="0.3">
      <c r="A3081">
        <v>3080</v>
      </c>
      <c r="B3081">
        <v>53465</v>
      </c>
      <c r="C3081" s="2">
        <v>38685</v>
      </c>
      <c r="D3081">
        <v>20</v>
      </c>
      <c r="E3081" t="s">
        <v>42</v>
      </c>
      <c r="F3081" t="s">
        <v>50</v>
      </c>
      <c r="G3081" s="2">
        <v>45366</v>
      </c>
      <c r="H3081" s="3">
        <f t="shared" si="48"/>
        <v>1.6657534246575343</v>
      </c>
      <c r="I3081">
        <v>122</v>
      </c>
      <c r="J3081" t="s">
        <v>57</v>
      </c>
      <c r="K3081" t="s">
        <v>64</v>
      </c>
      <c r="L3081" t="s">
        <v>44</v>
      </c>
      <c r="M3081">
        <v>14.07</v>
      </c>
      <c r="T3081" t="s">
        <v>52</v>
      </c>
      <c r="U3081">
        <v>0</v>
      </c>
      <c r="V3081">
        <v>5</v>
      </c>
    </row>
    <row r="3082" spans="1:22" x14ac:dyDescent="0.3">
      <c r="A3082">
        <v>3081</v>
      </c>
      <c r="B3082">
        <v>53467</v>
      </c>
      <c r="C3082" s="2">
        <v>37154</v>
      </c>
      <c r="D3082">
        <v>24</v>
      </c>
      <c r="E3082" t="s">
        <v>36</v>
      </c>
      <c r="F3082" t="s">
        <v>50</v>
      </c>
      <c r="G3082" s="2">
        <v>45414</v>
      </c>
      <c r="H3082" s="3">
        <f t="shared" si="48"/>
        <v>1.4575342465753425</v>
      </c>
      <c r="I3082">
        <v>80</v>
      </c>
      <c r="J3082" t="s">
        <v>57</v>
      </c>
      <c r="K3082" t="s">
        <v>55</v>
      </c>
      <c r="L3082" t="s">
        <v>44</v>
      </c>
      <c r="M3082">
        <v>17.59</v>
      </c>
      <c r="T3082" t="s">
        <v>45</v>
      </c>
      <c r="U3082">
        <v>1</v>
      </c>
      <c r="V3082">
        <v>5</v>
      </c>
    </row>
    <row r="3083" spans="1:22" x14ac:dyDescent="0.3">
      <c r="A3083">
        <v>3082</v>
      </c>
      <c r="B3083">
        <v>53468</v>
      </c>
      <c r="C3083" s="2">
        <v>38897</v>
      </c>
      <c r="D3083">
        <v>19</v>
      </c>
      <c r="E3083" t="s">
        <v>42</v>
      </c>
      <c r="F3083" t="s">
        <v>37</v>
      </c>
      <c r="G3083" s="2">
        <v>45490</v>
      </c>
      <c r="H3083" s="3">
        <f t="shared" si="48"/>
        <v>1.8575342465753424</v>
      </c>
      <c r="I3083">
        <v>6</v>
      </c>
      <c r="J3083" t="s">
        <v>38</v>
      </c>
      <c r="K3083" t="s">
        <v>56</v>
      </c>
      <c r="L3083" t="s">
        <v>44</v>
      </c>
      <c r="M3083">
        <v>8.4700000000000006</v>
      </c>
      <c r="T3083" t="s">
        <v>52</v>
      </c>
      <c r="U3083">
        <v>2</v>
      </c>
      <c r="V3083">
        <v>6</v>
      </c>
    </row>
    <row r="3084" spans="1:22" x14ac:dyDescent="0.3">
      <c r="A3084">
        <v>3083</v>
      </c>
      <c r="B3084">
        <v>53469</v>
      </c>
      <c r="C3084" s="2">
        <v>36525</v>
      </c>
      <c r="D3084">
        <v>26</v>
      </c>
      <c r="E3084" t="s">
        <v>42</v>
      </c>
      <c r="F3084" t="s">
        <v>37</v>
      </c>
      <c r="G3084" s="2">
        <v>45344</v>
      </c>
      <c r="H3084" s="3">
        <f t="shared" si="48"/>
        <v>1.0684931506849316</v>
      </c>
      <c r="I3084">
        <v>23</v>
      </c>
      <c r="J3084" t="s">
        <v>38</v>
      </c>
      <c r="K3084" t="s">
        <v>56</v>
      </c>
      <c r="L3084" t="s">
        <v>44</v>
      </c>
      <c r="M3084">
        <v>8.4700000000000006</v>
      </c>
      <c r="T3084" t="s">
        <v>47</v>
      </c>
      <c r="U3084">
        <v>4</v>
      </c>
      <c r="V3084">
        <v>6</v>
      </c>
    </row>
    <row r="3085" spans="1:22" x14ac:dyDescent="0.3">
      <c r="A3085">
        <v>3084</v>
      </c>
      <c r="B3085">
        <v>53470</v>
      </c>
      <c r="C3085" s="2">
        <v>37605</v>
      </c>
      <c r="D3085">
        <v>23</v>
      </c>
      <c r="E3085" t="s">
        <v>42</v>
      </c>
      <c r="F3085" t="s">
        <v>37</v>
      </c>
      <c r="G3085" s="2">
        <v>45632</v>
      </c>
      <c r="H3085" s="3">
        <f t="shared" si="48"/>
        <v>1.7780821917808218</v>
      </c>
      <c r="I3085">
        <v>23</v>
      </c>
      <c r="J3085" t="s">
        <v>38</v>
      </c>
      <c r="K3085" t="s">
        <v>56</v>
      </c>
      <c r="L3085" t="s">
        <v>44</v>
      </c>
      <c r="M3085">
        <v>8.4700000000000006</v>
      </c>
      <c r="T3085" t="s">
        <v>52</v>
      </c>
      <c r="U3085">
        <v>4</v>
      </c>
      <c r="V3085">
        <v>6</v>
      </c>
    </row>
    <row r="3086" spans="1:22" x14ac:dyDescent="0.3">
      <c r="A3086">
        <v>3085</v>
      </c>
      <c r="B3086">
        <v>53471</v>
      </c>
      <c r="C3086" s="2">
        <v>36359</v>
      </c>
      <c r="D3086">
        <v>26</v>
      </c>
      <c r="E3086" t="s">
        <v>42</v>
      </c>
      <c r="F3086" t="s">
        <v>50</v>
      </c>
      <c r="G3086" s="2">
        <v>45373</v>
      </c>
      <c r="H3086" s="3">
        <f t="shared" si="48"/>
        <v>1.715068493150685</v>
      </c>
      <c r="I3086">
        <v>32</v>
      </c>
      <c r="J3086" t="s">
        <v>38</v>
      </c>
      <c r="K3086" t="s">
        <v>46</v>
      </c>
      <c r="L3086" t="s">
        <v>44</v>
      </c>
      <c r="M3086">
        <v>14.23</v>
      </c>
      <c r="T3086" t="s">
        <v>47</v>
      </c>
      <c r="U3086">
        <v>0</v>
      </c>
      <c r="V3086">
        <v>5</v>
      </c>
    </row>
    <row r="3087" spans="1:22" x14ac:dyDescent="0.3">
      <c r="A3087">
        <v>3086</v>
      </c>
      <c r="B3087">
        <v>53473</v>
      </c>
      <c r="C3087" s="2">
        <v>37891</v>
      </c>
      <c r="D3087">
        <v>22</v>
      </c>
      <c r="E3087" t="s">
        <v>42</v>
      </c>
      <c r="F3087" t="s">
        <v>37</v>
      </c>
      <c r="G3087" s="2">
        <v>45396</v>
      </c>
      <c r="H3087" s="3">
        <f t="shared" si="48"/>
        <v>1.5972602739726027</v>
      </c>
      <c r="I3087">
        <v>35</v>
      </c>
      <c r="J3087" t="s">
        <v>38</v>
      </c>
      <c r="K3087" t="s">
        <v>56</v>
      </c>
      <c r="L3087" t="s">
        <v>44</v>
      </c>
      <c r="M3087">
        <v>8.4700000000000006</v>
      </c>
      <c r="T3087" t="s">
        <v>52</v>
      </c>
      <c r="U3087">
        <v>2</v>
      </c>
      <c r="V3087">
        <v>4</v>
      </c>
    </row>
    <row r="3088" spans="1:22" x14ac:dyDescent="0.3">
      <c r="A3088">
        <v>3087</v>
      </c>
      <c r="B3088">
        <v>53474</v>
      </c>
      <c r="C3088" s="2">
        <v>37926</v>
      </c>
      <c r="D3088">
        <v>23</v>
      </c>
      <c r="E3088" t="s">
        <v>36</v>
      </c>
      <c r="F3088" t="s">
        <v>50</v>
      </c>
      <c r="G3088" s="2">
        <v>45439</v>
      </c>
      <c r="H3088" s="3">
        <f t="shared" si="48"/>
        <v>1.3890410958904109</v>
      </c>
      <c r="I3088">
        <v>55</v>
      </c>
      <c r="J3088" t="s">
        <v>38</v>
      </c>
      <c r="K3088" t="s">
        <v>54</v>
      </c>
      <c r="L3088" t="s">
        <v>44</v>
      </c>
      <c r="M3088">
        <v>23.78</v>
      </c>
      <c r="T3088" t="s">
        <v>49</v>
      </c>
      <c r="U3088">
        <v>7</v>
      </c>
      <c r="V3088">
        <v>5</v>
      </c>
    </row>
    <row r="3089" spans="1:22" x14ac:dyDescent="0.3">
      <c r="A3089">
        <v>3088</v>
      </c>
      <c r="B3089">
        <v>53476</v>
      </c>
      <c r="C3089" s="2">
        <v>37926</v>
      </c>
      <c r="D3089">
        <v>23</v>
      </c>
      <c r="E3089" t="s">
        <v>42</v>
      </c>
      <c r="F3089" t="s">
        <v>50</v>
      </c>
      <c r="G3089" s="2">
        <v>45515</v>
      </c>
      <c r="H3089" s="3">
        <f t="shared" si="48"/>
        <v>1.5123287671232877</v>
      </c>
      <c r="I3089">
        <v>104</v>
      </c>
      <c r="J3089" t="s">
        <v>57</v>
      </c>
      <c r="K3089" t="s">
        <v>48</v>
      </c>
      <c r="L3089" t="s">
        <v>44</v>
      </c>
      <c r="M3089">
        <v>8.4700000000000006</v>
      </c>
      <c r="T3089" t="s">
        <v>49</v>
      </c>
      <c r="U3089">
        <v>3</v>
      </c>
      <c r="V3089">
        <v>6</v>
      </c>
    </row>
    <row r="3090" spans="1:22" x14ac:dyDescent="0.3">
      <c r="A3090">
        <v>3089</v>
      </c>
      <c r="B3090">
        <v>53477</v>
      </c>
      <c r="C3090" s="2">
        <v>37632</v>
      </c>
      <c r="D3090">
        <v>22</v>
      </c>
      <c r="E3090" t="s">
        <v>42</v>
      </c>
      <c r="F3090" t="s">
        <v>50</v>
      </c>
      <c r="G3090" s="2">
        <v>45470</v>
      </c>
      <c r="H3090" s="3">
        <f t="shared" si="48"/>
        <v>1.0246575342465754</v>
      </c>
      <c r="I3090">
        <v>107</v>
      </c>
      <c r="J3090" t="s">
        <v>57</v>
      </c>
      <c r="K3090" t="s">
        <v>48</v>
      </c>
      <c r="L3090" t="s">
        <v>44</v>
      </c>
      <c r="M3090">
        <v>8.4700000000000006</v>
      </c>
      <c r="T3090" t="s">
        <v>45</v>
      </c>
      <c r="U3090">
        <v>0</v>
      </c>
      <c r="V3090">
        <v>6</v>
      </c>
    </row>
    <row r="3091" spans="1:22" x14ac:dyDescent="0.3">
      <c r="A3091">
        <v>3090</v>
      </c>
      <c r="B3091">
        <v>53478</v>
      </c>
      <c r="C3091" s="2">
        <v>36508</v>
      </c>
      <c r="D3091">
        <v>26</v>
      </c>
      <c r="E3091" t="s">
        <v>42</v>
      </c>
      <c r="F3091" t="s">
        <v>50</v>
      </c>
      <c r="G3091" s="2">
        <v>45648</v>
      </c>
      <c r="H3091" s="3">
        <f t="shared" si="48"/>
        <v>1.0136986301369864</v>
      </c>
      <c r="I3091">
        <v>119</v>
      </c>
      <c r="J3091" t="s">
        <v>57</v>
      </c>
      <c r="K3091" t="s">
        <v>56</v>
      </c>
      <c r="L3091" t="s">
        <v>44</v>
      </c>
      <c r="M3091">
        <v>8.4700000000000006</v>
      </c>
      <c r="T3091" t="s">
        <v>45</v>
      </c>
      <c r="U3091">
        <v>0</v>
      </c>
      <c r="V3091">
        <v>5</v>
      </c>
    </row>
    <row r="3092" spans="1:22" x14ac:dyDescent="0.3">
      <c r="A3092">
        <v>3091</v>
      </c>
      <c r="B3092">
        <v>53479</v>
      </c>
      <c r="C3092" s="2">
        <v>36291</v>
      </c>
      <c r="D3092">
        <v>26</v>
      </c>
      <c r="E3092" t="s">
        <v>42</v>
      </c>
      <c r="F3092" t="s">
        <v>50</v>
      </c>
      <c r="G3092" s="2">
        <v>45652</v>
      </c>
      <c r="H3092" s="3">
        <f t="shared" si="48"/>
        <v>1.0547945205479452</v>
      </c>
      <c r="I3092">
        <v>130</v>
      </c>
      <c r="J3092" t="s">
        <v>57</v>
      </c>
      <c r="K3092" t="s">
        <v>68</v>
      </c>
      <c r="L3092" t="s">
        <v>44</v>
      </c>
      <c r="M3092">
        <v>17</v>
      </c>
      <c r="T3092" t="s">
        <v>49</v>
      </c>
      <c r="U3092">
        <v>1</v>
      </c>
      <c r="V3092">
        <v>6</v>
      </c>
    </row>
    <row r="3093" spans="1:22" x14ac:dyDescent="0.3">
      <c r="A3093">
        <v>3092</v>
      </c>
      <c r="B3093">
        <v>53480</v>
      </c>
      <c r="C3093" s="2">
        <v>36527</v>
      </c>
      <c r="D3093">
        <v>25</v>
      </c>
      <c r="E3093" t="s">
        <v>42</v>
      </c>
      <c r="F3093" t="s">
        <v>37</v>
      </c>
      <c r="G3093" s="2">
        <v>45637</v>
      </c>
      <c r="H3093" s="3">
        <f t="shared" si="48"/>
        <v>1.4547945205479451</v>
      </c>
      <c r="I3093">
        <v>133</v>
      </c>
      <c r="J3093" t="s">
        <v>57</v>
      </c>
      <c r="K3093" t="s">
        <v>68</v>
      </c>
      <c r="L3093" t="s">
        <v>44</v>
      </c>
      <c r="M3093">
        <v>17</v>
      </c>
      <c r="T3093" t="s">
        <v>52</v>
      </c>
      <c r="U3093">
        <v>2</v>
      </c>
      <c r="V3093">
        <v>5</v>
      </c>
    </row>
    <row r="3094" spans="1:22" x14ac:dyDescent="0.3">
      <c r="A3094">
        <v>3093</v>
      </c>
      <c r="B3094">
        <v>53481</v>
      </c>
      <c r="C3094" s="2">
        <v>36855</v>
      </c>
      <c r="D3094">
        <v>25</v>
      </c>
      <c r="E3094" t="s">
        <v>36</v>
      </c>
      <c r="F3094" t="s">
        <v>37</v>
      </c>
      <c r="G3094" s="2">
        <v>45491</v>
      </c>
      <c r="H3094" s="3">
        <f t="shared" si="48"/>
        <v>1.210958904109589</v>
      </c>
      <c r="I3094">
        <v>28</v>
      </c>
      <c r="J3094" t="s">
        <v>38</v>
      </c>
      <c r="K3094" t="s">
        <v>43</v>
      </c>
      <c r="L3094" t="s">
        <v>44</v>
      </c>
      <c r="M3094">
        <v>16.37</v>
      </c>
      <c r="T3094" t="s">
        <v>52</v>
      </c>
      <c r="U3094">
        <v>1</v>
      </c>
      <c r="V3094">
        <v>3</v>
      </c>
    </row>
    <row r="3095" spans="1:22" x14ac:dyDescent="0.3">
      <c r="A3095">
        <v>3094</v>
      </c>
      <c r="B3095">
        <v>53482</v>
      </c>
      <c r="C3095" s="2">
        <v>38342</v>
      </c>
      <c r="D3095">
        <v>21</v>
      </c>
      <c r="E3095" t="s">
        <v>42</v>
      </c>
      <c r="F3095" t="s">
        <v>37</v>
      </c>
      <c r="G3095" s="2">
        <v>45580</v>
      </c>
      <c r="H3095" s="3">
        <f t="shared" si="48"/>
        <v>1.3424657534246576</v>
      </c>
      <c r="I3095">
        <v>41</v>
      </c>
      <c r="J3095" t="s">
        <v>38</v>
      </c>
      <c r="K3095" t="s">
        <v>48</v>
      </c>
      <c r="L3095" t="s">
        <v>44</v>
      </c>
      <c r="M3095">
        <v>8.4700000000000006</v>
      </c>
      <c r="T3095" t="s">
        <v>47</v>
      </c>
      <c r="U3095">
        <v>4</v>
      </c>
      <c r="V3095">
        <v>6</v>
      </c>
    </row>
    <row r="3096" spans="1:22" x14ac:dyDescent="0.3">
      <c r="A3096">
        <v>3095</v>
      </c>
      <c r="B3096">
        <v>53483</v>
      </c>
      <c r="C3096" s="2">
        <v>37888</v>
      </c>
      <c r="D3096">
        <v>22</v>
      </c>
      <c r="E3096" t="s">
        <v>42</v>
      </c>
      <c r="F3096" t="s">
        <v>50</v>
      </c>
      <c r="G3096" s="2">
        <v>45532</v>
      </c>
      <c r="H3096" s="3">
        <f t="shared" si="48"/>
        <v>1.6273972602739726</v>
      </c>
      <c r="I3096">
        <v>104</v>
      </c>
      <c r="J3096" t="s">
        <v>57</v>
      </c>
      <c r="K3096" t="s">
        <v>56</v>
      </c>
      <c r="L3096" t="s">
        <v>44</v>
      </c>
      <c r="M3096">
        <v>8.4700000000000006</v>
      </c>
      <c r="T3096" t="s">
        <v>52</v>
      </c>
      <c r="U3096">
        <v>2</v>
      </c>
      <c r="V3096">
        <v>7</v>
      </c>
    </row>
    <row r="3097" spans="1:22" x14ac:dyDescent="0.3">
      <c r="A3097">
        <v>3096</v>
      </c>
      <c r="B3097">
        <v>53484</v>
      </c>
      <c r="C3097" s="2">
        <v>38185</v>
      </c>
      <c r="D3097">
        <v>21</v>
      </c>
      <c r="E3097" t="s">
        <v>42</v>
      </c>
      <c r="F3097" t="s">
        <v>50</v>
      </c>
      <c r="G3097" s="2">
        <v>45428</v>
      </c>
      <c r="H3097" s="3">
        <f t="shared" si="48"/>
        <v>1.6109589041095891</v>
      </c>
      <c r="I3097">
        <v>104</v>
      </c>
      <c r="J3097" t="s">
        <v>57</v>
      </c>
      <c r="K3097" t="s">
        <v>56</v>
      </c>
      <c r="L3097" t="s">
        <v>44</v>
      </c>
      <c r="M3097">
        <v>8.4700000000000006</v>
      </c>
      <c r="T3097" t="s">
        <v>47</v>
      </c>
      <c r="U3097">
        <v>4</v>
      </c>
      <c r="V3097">
        <v>7</v>
      </c>
    </row>
    <row r="3098" spans="1:22" x14ac:dyDescent="0.3">
      <c r="A3098">
        <v>3097</v>
      </c>
      <c r="B3098">
        <v>53485</v>
      </c>
      <c r="C3098" s="2">
        <v>39268</v>
      </c>
      <c r="D3098">
        <v>18</v>
      </c>
      <c r="E3098" t="s">
        <v>42</v>
      </c>
      <c r="F3098" t="s">
        <v>50</v>
      </c>
      <c r="G3098" s="2">
        <v>45434</v>
      </c>
      <c r="H3098" s="3">
        <f t="shared" si="48"/>
        <v>1.6904109589041096</v>
      </c>
      <c r="I3098">
        <v>1</v>
      </c>
      <c r="J3098" t="s">
        <v>38</v>
      </c>
      <c r="K3098" t="s">
        <v>56</v>
      </c>
      <c r="L3098" t="s">
        <v>44</v>
      </c>
      <c r="M3098">
        <v>8.4700000000000006</v>
      </c>
      <c r="T3098" t="s">
        <v>49</v>
      </c>
      <c r="U3098">
        <v>4</v>
      </c>
      <c r="V3098">
        <v>7</v>
      </c>
    </row>
    <row r="3099" spans="1:22" x14ac:dyDescent="0.3">
      <c r="A3099">
        <v>3098</v>
      </c>
      <c r="B3099">
        <v>53486</v>
      </c>
      <c r="C3099" s="2">
        <v>36476</v>
      </c>
      <c r="D3099">
        <v>26</v>
      </c>
      <c r="E3099" t="s">
        <v>36</v>
      </c>
      <c r="F3099" t="s">
        <v>50</v>
      </c>
      <c r="G3099" s="2">
        <v>45405</v>
      </c>
      <c r="H3099" s="3">
        <f t="shared" si="48"/>
        <v>1.3397260273972602</v>
      </c>
      <c r="I3099">
        <v>8</v>
      </c>
      <c r="J3099" t="s">
        <v>38</v>
      </c>
      <c r="K3099" t="s">
        <v>64</v>
      </c>
      <c r="L3099" t="s">
        <v>44</v>
      </c>
      <c r="M3099">
        <v>14.07</v>
      </c>
      <c r="T3099" t="s">
        <v>49</v>
      </c>
      <c r="U3099">
        <v>0</v>
      </c>
      <c r="V3099">
        <v>2</v>
      </c>
    </row>
    <row r="3100" spans="1:22" x14ac:dyDescent="0.3">
      <c r="A3100">
        <v>3099</v>
      </c>
      <c r="B3100">
        <v>53487</v>
      </c>
      <c r="C3100" s="2">
        <v>37873</v>
      </c>
      <c r="D3100">
        <v>22</v>
      </c>
      <c r="E3100" t="s">
        <v>42</v>
      </c>
      <c r="F3100" t="s">
        <v>37</v>
      </c>
      <c r="G3100" s="2">
        <v>45533</v>
      </c>
      <c r="H3100" s="3">
        <f t="shared" si="48"/>
        <v>1.6136986301369862</v>
      </c>
      <c r="I3100">
        <v>9</v>
      </c>
      <c r="J3100" t="s">
        <v>38</v>
      </c>
      <c r="K3100" t="s">
        <v>56</v>
      </c>
      <c r="L3100" t="s">
        <v>44</v>
      </c>
      <c r="M3100">
        <v>8.4700000000000006</v>
      </c>
      <c r="T3100" t="s">
        <v>47</v>
      </c>
      <c r="U3100">
        <v>2</v>
      </c>
      <c r="V3100">
        <v>7</v>
      </c>
    </row>
    <row r="3101" spans="1:22" x14ac:dyDescent="0.3">
      <c r="A3101">
        <v>3100</v>
      </c>
      <c r="B3101">
        <v>53488</v>
      </c>
      <c r="C3101" s="2">
        <v>37343</v>
      </c>
      <c r="D3101">
        <v>23</v>
      </c>
      <c r="E3101" t="s">
        <v>42</v>
      </c>
      <c r="F3101" t="s">
        <v>50</v>
      </c>
      <c r="G3101" s="2">
        <v>45433</v>
      </c>
      <c r="H3101" s="3">
        <f t="shared" si="48"/>
        <v>1.2986301369863014</v>
      </c>
      <c r="I3101">
        <v>20</v>
      </c>
      <c r="J3101" t="s">
        <v>38</v>
      </c>
      <c r="K3101" t="s">
        <v>65</v>
      </c>
      <c r="L3101" t="s">
        <v>44</v>
      </c>
      <c r="M3101">
        <v>10.64</v>
      </c>
      <c r="T3101" t="s">
        <v>49</v>
      </c>
      <c r="U3101">
        <v>0</v>
      </c>
      <c r="V3101">
        <v>5</v>
      </c>
    </row>
    <row r="3102" spans="1:22" x14ac:dyDescent="0.3">
      <c r="A3102">
        <v>3101</v>
      </c>
      <c r="B3102">
        <v>53489</v>
      </c>
      <c r="C3102" s="2">
        <v>37366</v>
      </c>
      <c r="D3102">
        <v>23</v>
      </c>
      <c r="E3102" t="s">
        <v>42</v>
      </c>
      <c r="F3102" t="s">
        <v>50</v>
      </c>
      <c r="G3102" s="2">
        <v>45548</v>
      </c>
      <c r="H3102" s="3">
        <f t="shared" si="48"/>
        <v>1.1479452054794521</v>
      </c>
      <c r="I3102">
        <v>32</v>
      </c>
      <c r="J3102" t="s">
        <v>38</v>
      </c>
      <c r="K3102" t="s">
        <v>56</v>
      </c>
      <c r="L3102" t="s">
        <v>44</v>
      </c>
      <c r="M3102">
        <v>8.4700000000000006</v>
      </c>
      <c r="T3102" t="s">
        <v>52</v>
      </c>
      <c r="U3102">
        <v>2</v>
      </c>
      <c r="V3102">
        <v>7</v>
      </c>
    </row>
    <row r="3103" spans="1:22" x14ac:dyDescent="0.3">
      <c r="A3103">
        <v>3102</v>
      </c>
      <c r="B3103">
        <v>53490</v>
      </c>
      <c r="C3103" s="2">
        <v>36681</v>
      </c>
      <c r="D3103">
        <v>25</v>
      </c>
      <c r="E3103" t="s">
        <v>36</v>
      </c>
      <c r="F3103" t="s">
        <v>50</v>
      </c>
      <c r="G3103" s="2">
        <v>45603</v>
      </c>
      <c r="H3103" s="3">
        <f t="shared" si="48"/>
        <v>1.6684931506849314</v>
      </c>
      <c r="I3103">
        <v>33</v>
      </c>
      <c r="J3103" t="s">
        <v>38</v>
      </c>
      <c r="K3103" t="s">
        <v>68</v>
      </c>
      <c r="L3103" t="s">
        <v>44</v>
      </c>
      <c r="M3103">
        <v>17</v>
      </c>
      <c r="T3103" t="s">
        <v>49</v>
      </c>
      <c r="U3103">
        <v>4</v>
      </c>
      <c r="V3103">
        <v>6</v>
      </c>
    </row>
    <row r="3104" spans="1:22" x14ac:dyDescent="0.3">
      <c r="A3104">
        <v>3103</v>
      </c>
      <c r="B3104">
        <v>53491</v>
      </c>
      <c r="C3104" s="2">
        <v>35782</v>
      </c>
      <c r="D3104">
        <v>28</v>
      </c>
      <c r="E3104" t="s">
        <v>42</v>
      </c>
      <c r="F3104" t="s">
        <v>50</v>
      </c>
      <c r="G3104" s="2">
        <v>45413</v>
      </c>
      <c r="H3104" s="3">
        <f t="shared" si="48"/>
        <v>1.4575342465753425</v>
      </c>
      <c r="I3104">
        <v>42</v>
      </c>
      <c r="J3104" t="s">
        <v>38</v>
      </c>
      <c r="K3104" t="s">
        <v>54</v>
      </c>
      <c r="L3104" t="s">
        <v>44</v>
      </c>
      <c r="M3104">
        <v>23.78</v>
      </c>
      <c r="T3104" t="s">
        <v>52</v>
      </c>
      <c r="U3104">
        <v>7</v>
      </c>
      <c r="V3104">
        <v>7</v>
      </c>
    </row>
    <row r="3105" spans="1:22" x14ac:dyDescent="0.3">
      <c r="A3105">
        <v>3104</v>
      </c>
      <c r="B3105">
        <v>53492</v>
      </c>
      <c r="C3105" s="2">
        <v>37466</v>
      </c>
      <c r="D3105">
        <v>23</v>
      </c>
      <c r="E3105" t="s">
        <v>42</v>
      </c>
      <c r="F3105" t="s">
        <v>37</v>
      </c>
      <c r="G3105" s="2">
        <v>45490</v>
      </c>
      <c r="H3105" s="3">
        <f t="shared" si="48"/>
        <v>1.6328767123287671</v>
      </c>
      <c r="I3105">
        <v>46</v>
      </c>
      <c r="J3105" t="s">
        <v>38</v>
      </c>
      <c r="K3105" t="s">
        <v>56</v>
      </c>
      <c r="L3105" t="s">
        <v>44</v>
      </c>
      <c r="M3105">
        <v>8.4700000000000006</v>
      </c>
      <c r="T3105" t="s">
        <v>52</v>
      </c>
      <c r="U3105">
        <v>4</v>
      </c>
      <c r="V3105">
        <v>5</v>
      </c>
    </row>
    <row r="3106" spans="1:22" x14ac:dyDescent="0.3">
      <c r="A3106">
        <v>3105</v>
      </c>
      <c r="B3106">
        <v>53493</v>
      </c>
      <c r="C3106" s="2">
        <v>38780</v>
      </c>
      <c r="D3106">
        <v>19</v>
      </c>
      <c r="E3106" t="s">
        <v>42</v>
      </c>
      <c r="F3106" t="s">
        <v>37</v>
      </c>
      <c r="G3106" s="2">
        <v>45426</v>
      </c>
      <c r="H3106" s="3">
        <f t="shared" si="48"/>
        <v>1.4986301369863013</v>
      </c>
      <c r="I3106">
        <v>65</v>
      </c>
      <c r="J3106" t="s">
        <v>38</v>
      </c>
      <c r="K3106" t="s">
        <v>56</v>
      </c>
      <c r="L3106" t="s">
        <v>44</v>
      </c>
      <c r="M3106">
        <v>8.4700000000000006</v>
      </c>
      <c r="T3106" t="s">
        <v>45</v>
      </c>
      <c r="U3106">
        <v>2</v>
      </c>
      <c r="V3106">
        <v>5</v>
      </c>
    </row>
    <row r="3107" spans="1:22" x14ac:dyDescent="0.3">
      <c r="A3107">
        <v>3106</v>
      </c>
      <c r="B3107">
        <v>53494</v>
      </c>
      <c r="C3107" s="2">
        <v>38461</v>
      </c>
      <c r="D3107">
        <v>20</v>
      </c>
      <c r="E3107" t="s">
        <v>42</v>
      </c>
      <c r="F3107" t="s">
        <v>50</v>
      </c>
      <c r="G3107" s="2">
        <v>45475</v>
      </c>
      <c r="H3107" s="3">
        <f t="shared" si="48"/>
        <v>1.5013698630136987</v>
      </c>
      <c r="I3107">
        <v>70</v>
      </c>
      <c r="J3107" t="s">
        <v>57</v>
      </c>
      <c r="K3107" t="s">
        <v>56</v>
      </c>
      <c r="L3107" t="s">
        <v>44</v>
      </c>
      <c r="M3107">
        <v>8.4700000000000006</v>
      </c>
      <c r="T3107" t="s">
        <v>49</v>
      </c>
      <c r="U3107">
        <v>1</v>
      </c>
      <c r="V3107">
        <v>5</v>
      </c>
    </row>
    <row r="3108" spans="1:22" x14ac:dyDescent="0.3">
      <c r="A3108">
        <v>3107</v>
      </c>
      <c r="B3108">
        <v>53495</v>
      </c>
      <c r="C3108" s="2">
        <v>38340</v>
      </c>
      <c r="D3108">
        <v>21</v>
      </c>
      <c r="E3108" t="s">
        <v>42</v>
      </c>
      <c r="F3108" t="s">
        <v>37</v>
      </c>
      <c r="G3108" s="2">
        <v>45474</v>
      </c>
      <c r="H3108" s="3">
        <f t="shared" si="48"/>
        <v>1.3315068493150686</v>
      </c>
      <c r="I3108">
        <v>79</v>
      </c>
      <c r="J3108" t="s">
        <v>57</v>
      </c>
      <c r="K3108" t="s">
        <v>48</v>
      </c>
      <c r="L3108" t="s">
        <v>44</v>
      </c>
      <c r="M3108">
        <v>8.4700000000000006</v>
      </c>
      <c r="T3108" t="s">
        <v>49</v>
      </c>
      <c r="U3108">
        <v>4</v>
      </c>
      <c r="V3108">
        <v>5</v>
      </c>
    </row>
    <row r="3109" spans="1:22" x14ac:dyDescent="0.3">
      <c r="A3109">
        <v>3108</v>
      </c>
      <c r="B3109">
        <v>53496</v>
      </c>
      <c r="C3109" s="2">
        <v>37712</v>
      </c>
      <c r="D3109">
        <v>23</v>
      </c>
      <c r="E3109" t="s">
        <v>42</v>
      </c>
      <c r="F3109" t="s">
        <v>50</v>
      </c>
      <c r="G3109" s="2">
        <v>45536</v>
      </c>
      <c r="H3109" s="3">
        <f t="shared" si="48"/>
        <v>1.6602739726027398</v>
      </c>
      <c r="I3109">
        <v>89</v>
      </c>
      <c r="J3109" t="s">
        <v>57</v>
      </c>
      <c r="K3109" t="s">
        <v>48</v>
      </c>
      <c r="L3109" t="s">
        <v>44</v>
      </c>
      <c r="M3109">
        <v>8.4700000000000006</v>
      </c>
      <c r="T3109" t="s">
        <v>52</v>
      </c>
      <c r="U3109">
        <v>2</v>
      </c>
      <c r="V3109">
        <v>6</v>
      </c>
    </row>
    <row r="3110" spans="1:22" x14ac:dyDescent="0.3">
      <c r="A3110">
        <v>3109</v>
      </c>
      <c r="B3110">
        <v>53497</v>
      </c>
      <c r="C3110" s="2">
        <v>38158</v>
      </c>
      <c r="D3110">
        <v>21</v>
      </c>
      <c r="E3110" t="s">
        <v>36</v>
      </c>
      <c r="F3110" t="s">
        <v>50</v>
      </c>
      <c r="G3110" s="2">
        <v>45416</v>
      </c>
      <c r="H3110" s="3">
        <f t="shared" si="48"/>
        <v>1.2438356164383562</v>
      </c>
      <c r="I3110">
        <v>101</v>
      </c>
      <c r="J3110" t="s">
        <v>57</v>
      </c>
      <c r="K3110" t="s">
        <v>56</v>
      </c>
      <c r="L3110" t="s">
        <v>44</v>
      </c>
      <c r="M3110">
        <v>8.4700000000000006</v>
      </c>
      <c r="T3110" t="s">
        <v>52</v>
      </c>
      <c r="U3110">
        <v>3</v>
      </c>
      <c r="V3110">
        <v>5</v>
      </c>
    </row>
    <row r="3111" spans="1:22" x14ac:dyDescent="0.3">
      <c r="A3111">
        <v>3110</v>
      </c>
      <c r="B3111">
        <v>53498</v>
      </c>
      <c r="C3111" s="2">
        <v>37412</v>
      </c>
      <c r="D3111">
        <v>23</v>
      </c>
      <c r="E3111" t="s">
        <v>42</v>
      </c>
      <c r="F3111" t="s">
        <v>50</v>
      </c>
      <c r="G3111" s="2">
        <v>45568</v>
      </c>
      <c r="H3111" s="3">
        <f t="shared" si="48"/>
        <v>1.210958904109589</v>
      </c>
      <c r="I3111">
        <v>108</v>
      </c>
      <c r="J3111" t="s">
        <v>57</v>
      </c>
      <c r="K3111" t="s">
        <v>56</v>
      </c>
      <c r="L3111" t="s">
        <v>44</v>
      </c>
      <c r="M3111">
        <v>8.4700000000000006</v>
      </c>
      <c r="T3111" t="s">
        <v>49</v>
      </c>
      <c r="U3111">
        <v>0</v>
      </c>
      <c r="V3111">
        <v>6</v>
      </c>
    </row>
    <row r="3112" spans="1:22" x14ac:dyDescent="0.3">
      <c r="A3112">
        <v>3111</v>
      </c>
      <c r="B3112">
        <v>53499</v>
      </c>
      <c r="C3112" s="2">
        <v>37033</v>
      </c>
      <c r="D3112">
        <v>24</v>
      </c>
      <c r="E3112" t="s">
        <v>36</v>
      </c>
      <c r="F3112" t="s">
        <v>37</v>
      </c>
      <c r="G3112" s="2">
        <v>45580</v>
      </c>
      <c r="H3112" s="3">
        <f t="shared" si="48"/>
        <v>1.3205479452054794</v>
      </c>
      <c r="I3112">
        <v>138</v>
      </c>
      <c r="J3112" t="s">
        <v>57</v>
      </c>
      <c r="K3112" t="s">
        <v>65</v>
      </c>
      <c r="L3112" t="s">
        <v>44</v>
      </c>
      <c r="M3112">
        <v>10.64</v>
      </c>
      <c r="T3112" t="s">
        <v>45</v>
      </c>
      <c r="U3112">
        <v>1</v>
      </c>
      <c r="V3112">
        <v>4</v>
      </c>
    </row>
    <row r="3113" spans="1:22" x14ac:dyDescent="0.3">
      <c r="A3113">
        <v>3112</v>
      </c>
      <c r="B3113">
        <v>53501</v>
      </c>
      <c r="C3113" s="2">
        <v>38345</v>
      </c>
      <c r="D3113">
        <v>21</v>
      </c>
      <c r="E3113" t="s">
        <v>42</v>
      </c>
      <c r="F3113" t="s">
        <v>37</v>
      </c>
      <c r="G3113" s="2">
        <v>45540</v>
      </c>
      <c r="H3113" s="3">
        <f t="shared" si="48"/>
        <v>1.4191780821917808</v>
      </c>
      <c r="I3113">
        <v>4</v>
      </c>
      <c r="J3113" t="s">
        <v>38</v>
      </c>
      <c r="K3113" t="s">
        <v>56</v>
      </c>
      <c r="L3113" t="s">
        <v>44</v>
      </c>
      <c r="M3113">
        <v>8.4700000000000006</v>
      </c>
      <c r="T3113" t="s">
        <v>52</v>
      </c>
      <c r="U3113">
        <v>2</v>
      </c>
      <c r="V3113">
        <v>7</v>
      </c>
    </row>
    <row r="3114" spans="1:22" x14ac:dyDescent="0.3">
      <c r="A3114">
        <v>3113</v>
      </c>
      <c r="B3114">
        <v>53502</v>
      </c>
      <c r="C3114" s="2">
        <v>38061</v>
      </c>
      <c r="D3114">
        <v>21</v>
      </c>
      <c r="E3114" t="s">
        <v>42</v>
      </c>
      <c r="F3114" t="s">
        <v>37</v>
      </c>
      <c r="G3114" s="2">
        <v>45504</v>
      </c>
      <c r="H3114" s="3">
        <f t="shared" si="48"/>
        <v>1.178082191780822</v>
      </c>
      <c r="I3114">
        <v>5</v>
      </c>
      <c r="J3114" t="s">
        <v>38</v>
      </c>
      <c r="K3114" t="s">
        <v>56</v>
      </c>
      <c r="L3114" t="s">
        <v>44</v>
      </c>
      <c r="M3114">
        <v>8.4700000000000006</v>
      </c>
      <c r="T3114" t="s">
        <v>45</v>
      </c>
      <c r="U3114">
        <v>2</v>
      </c>
      <c r="V3114">
        <v>6</v>
      </c>
    </row>
    <row r="3115" spans="1:22" x14ac:dyDescent="0.3">
      <c r="A3115">
        <v>3114</v>
      </c>
      <c r="B3115">
        <v>53503</v>
      </c>
      <c r="C3115" s="2">
        <v>38030</v>
      </c>
      <c r="D3115">
        <v>21</v>
      </c>
      <c r="E3115" t="s">
        <v>42</v>
      </c>
      <c r="F3115" t="s">
        <v>37</v>
      </c>
      <c r="G3115" s="2">
        <v>45592</v>
      </c>
      <c r="H3115" s="3">
        <f t="shared" si="48"/>
        <v>1.484931506849315</v>
      </c>
      <c r="I3115">
        <v>5</v>
      </c>
      <c r="J3115" t="s">
        <v>38</v>
      </c>
      <c r="K3115" t="s">
        <v>56</v>
      </c>
      <c r="L3115" t="s">
        <v>44</v>
      </c>
      <c r="M3115">
        <v>8.4700000000000006</v>
      </c>
      <c r="T3115" t="s">
        <v>45</v>
      </c>
      <c r="U3115">
        <v>2</v>
      </c>
      <c r="V3115">
        <v>6</v>
      </c>
    </row>
    <row r="3116" spans="1:22" x14ac:dyDescent="0.3">
      <c r="A3116">
        <v>3115</v>
      </c>
      <c r="B3116">
        <v>53504</v>
      </c>
      <c r="C3116" s="2">
        <v>35506</v>
      </c>
      <c r="D3116">
        <v>28</v>
      </c>
      <c r="E3116" t="s">
        <v>36</v>
      </c>
      <c r="F3116" t="s">
        <v>37</v>
      </c>
      <c r="G3116" s="2">
        <v>45480</v>
      </c>
      <c r="H3116" s="3">
        <f t="shared" si="48"/>
        <v>1.2301369863013698</v>
      </c>
      <c r="I3116">
        <v>8</v>
      </c>
      <c r="J3116" t="s">
        <v>38</v>
      </c>
      <c r="K3116" t="s">
        <v>56</v>
      </c>
      <c r="L3116" t="s">
        <v>44</v>
      </c>
      <c r="M3116">
        <v>8.4700000000000006</v>
      </c>
      <c r="T3116" t="s">
        <v>47</v>
      </c>
      <c r="U3116">
        <v>2</v>
      </c>
      <c r="V3116">
        <v>3</v>
      </c>
    </row>
    <row r="3117" spans="1:22" x14ac:dyDescent="0.3">
      <c r="A3117">
        <v>3116</v>
      </c>
      <c r="B3117">
        <v>53505</v>
      </c>
      <c r="C3117" s="2">
        <v>38636</v>
      </c>
      <c r="D3117">
        <v>20</v>
      </c>
      <c r="E3117" t="s">
        <v>42</v>
      </c>
      <c r="F3117" t="s">
        <v>50</v>
      </c>
      <c r="G3117" s="2">
        <v>45573</v>
      </c>
      <c r="H3117" s="3">
        <f t="shared" si="48"/>
        <v>1.5863013698630137</v>
      </c>
      <c r="I3117">
        <v>9</v>
      </c>
      <c r="J3117" t="s">
        <v>38</v>
      </c>
      <c r="K3117" t="s">
        <v>56</v>
      </c>
      <c r="L3117" t="s">
        <v>44</v>
      </c>
      <c r="M3117">
        <v>8.4700000000000006</v>
      </c>
      <c r="T3117" t="s">
        <v>45</v>
      </c>
      <c r="U3117">
        <v>1</v>
      </c>
      <c r="V3117">
        <v>5</v>
      </c>
    </row>
    <row r="3118" spans="1:22" x14ac:dyDescent="0.3">
      <c r="A3118">
        <v>3117</v>
      </c>
      <c r="B3118">
        <v>53506</v>
      </c>
      <c r="C3118" s="2">
        <v>37985</v>
      </c>
      <c r="D3118">
        <v>22</v>
      </c>
      <c r="E3118" t="s">
        <v>36</v>
      </c>
      <c r="F3118" t="s">
        <v>50</v>
      </c>
      <c r="G3118" s="2">
        <v>45443</v>
      </c>
      <c r="H3118" s="3">
        <f t="shared" si="48"/>
        <v>1.5808219178082192</v>
      </c>
      <c r="I3118">
        <v>29</v>
      </c>
      <c r="J3118" t="s">
        <v>38</v>
      </c>
      <c r="K3118" t="s">
        <v>65</v>
      </c>
      <c r="L3118" t="s">
        <v>44</v>
      </c>
      <c r="M3118">
        <v>10.64</v>
      </c>
      <c r="T3118" t="s">
        <v>45</v>
      </c>
      <c r="U3118">
        <v>0</v>
      </c>
      <c r="V3118">
        <v>4</v>
      </c>
    </row>
    <row r="3119" spans="1:22" x14ac:dyDescent="0.3">
      <c r="A3119">
        <v>3118</v>
      </c>
      <c r="B3119">
        <v>53507</v>
      </c>
      <c r="C3119" s="2">
        <v>39139</v>
      </c>
      <c r="D3119">
        <v>18</v>
      </c>
      <c r="E3119" t="s">
        <v>42</v>
      </c>
      <c r="F3119" t="s">
        <v>50</v>
      </c>
      <c r="G3119" s="2">
        <v>45445</v>
      </c>
      <c r="H3119" s="3">
        <f t="shared" si="48"/>
        <v>1.1287671232876713</v>
      </c>
      <c r="I3119">
        <v>32</v>
      </c>
      <c r="J3119" t="s">
        <v>38</v>
      </c>
      <c r="K3119" t="s">
        <v>56</v>
      </c>
      <c r="L3119" t="s">
        <v>44</v>
      </c>
      <c r="M3119">
        <v>8.4700000000000006</v>
      </c>
      <c r="T3119" t="s">
        <v>47</v>
      </c>
      <c r="U3119">
        <v>2</v>
      </c>
      <c r="V3119">
        <v>5</v>
      </c>
    </row>
    <row r="3120" spans="1:22" x14ac:dyDescent="0.3">
      <c r="A3120">
        <v>3119</v>
      </c>
      <c r="B3120">
        <v>53508</v>
      </c>
      <c r="C3120" s="2">
        <v>34245</v>
      </c>
      <c r="D3120">
        <v>32</v>
      </c>
      <c r="E3120" t="s">
        <v>42</v>
      </c>
      <c r="F3120" t="s">
        <v>50</v>
      </c>
      <c r="G3120" s="2">
        <v>45610</v>
      </c>
      <c r="H3120" s="3">
        <f t="shared" si="48"/>
        <v>1.3342465753424657</v>
      </c>
      <c r="I3120">
        <v>34</v>
      </c>
      <c r="J3120" t="s">
        <v>38</v>
      </c>
      <c r="K3120" t="s">
        <v>56</v>
      </c>
      <c r="L3120" t="s">
        <v>44</v>
      </c>
      <c r="M3120">
        <v>8.4700000000000006</v>
      </c>
      <c r="T3120" t="s">
        <v>45</v>
      </c>
      <c r="U3120">
        <v>1</v>
      </c>
      <c r="V3120">
        <v>5</v>
      </c>
    </row>
    <row r="3121" spans="1:22" x14ac:dyDescent="0.3">
      <c r="A3121">
        <v>3120</v>
      </c>
      <c r="B3121">
        <v>53509</v>
      </c>
      <c r="C3121" s="2">
        <v>38546</v>
      </c>
      <c r="D3121">
        <v>20</v>
      </c>
      <c r="E3121" t="s">
        <v>42</v>
      </c>
      <c r="F3121" t="s">
        <v>37</v>
      </c>
      <c r="G3121" s="2">
        <v>45535</v>
      </c>
      <c r="H3121" s="3">
        <f t="shared" si="48"/>
        <v>1.2301369863013698</v>
      </c>
      <c r="I3121">
        <v>40</v>
      </c>
      <c r="J3121" t="s">
        <v>38</v>
      </c>
      <c r="K3121" t="s">
        <v>56</v>
      </c>
      <c r="L3121" t="s">
        <v>44</v>
      </c>
      <c r="M3121">
        <v>8.4700000000000006</v>
      </c>
      <c r="T3121" t="s">
        <v>47</v>
      </c>
      <c r="U3121">
        <v>1</v>
      </c>
      <c r="V3121">
        <v>6</v>
      </c>
    </row>
    <row r="3122" spans="1:22" x14ac:dyDescent="0.3">
      <c r="A3122">
        <v>3121</v>
      </c>
      <c r="B3122">
        <v>53510</v>
      </c>
      <c r="C3122" s="2">
        <v>37620</v>
      </c>
      <c r="D3122">
        <v>23</v>
      </c>
      <c r="E3122" t="s">
        <v>36</v>
      </c>
      <c r="F3122" t="s">
        <v>50</v>
      </c>
      <c r="G3122" s="2">
        <v>45573</v>
      </c>
      <c r="H3122" s="3">
        <f t="shared" si="48"/>
        <v>1.4547945205479451</v>
      </c>
      <c r="I3122">
        <v>48</v>
      </c>
      <c r="J3122" t="s">
        <v>38</v>
      </c>
      <c r="K3122" t="s">
        <v>65</v>
      </c>
      <c r="L3122" t="s">
        <v>44</v>
      </c>
      <c r="M3122">
        <v>10.64</v>
      </c>
      <c r="T3122" t="s">
        <v>45</v>
      </c>
      <c r="U3122">
        <v>1</v>
      </c>
      <c r="V3122">
        <v>5</v>
      </c>
    </row>
    <row r="3123" spans="1:22" x14ac:dyDescent="0.3">
      <c r="A3123">
        <v>3122</v>
      </c>
      <c r="B3123">
        <v>53511</v>
      </c>
      <c r="C3123" s="2">
        <v>37043</v>
      </c>
      <c r="D3123">
        <v>25</v>
      </c>
      <c r="E3123" t="s">
        <v>42</v>
      </c>
      <c r="F3123" t="s">
        <v>50</v>
      </c>
      <c r="G3123" s="2">
        <v>45491</v>
      </c>
      <c r="H3123" s="3">
        <f t="shared" si="48"/>
        <v>1.2684931506849315</v>
      </c>
      <c r="I3123">
        <v>50</v>
      </c>
      <c r="J3123" t="s">
        <v>38</v>
      </c>
      <c r="K3123" t="s">
        <v>48</v>
      </c>
      <c r="L3123" t="s">
        <v>44</v>
      </c>
      <c r="M3123">
        <v>8.4700000000000006</v>
      </c>
      <c r="T3123" t="s">
        <v>49</v>
      </c>
      <c r="U3123">
        <v>2</v>
      </c>
      <c r="V3123">
        <v>6</v>
      </c>
    </row>
    <row r="3124" spans="1:22" x14ac:dyDescent="0.3">
      <c r="A3124">
        <v>3123</v>
      </c>
      <c r="B3124">
        <v>53512</v>
      </c>
      <c r="C3124" s="2">
        <v>35497</v>
      </c>
      <c r="D3124">
        <v>28</v>
      </c>
      <c r="E3124" t="s">
        <v>42</v>
      </c>
      <c r="F3124" t="s">
        <v>37</v>
      </c>
      <c r="G3124" s="2">
        <v>45559</v>
      </c>
      <c r="H3124" s="3">
        <f t="shared" si="48"/>
        <v>1.5232876712328767</v>
      </c>
      <c r="I3124">
        <v>53</v>
      </c>
      <c r="J3124" t="s">
        <v>38</v>
      </c>
      <c r="K3124" t="s">
        <v>48</v>
      </c>
      <c r="L3124" t="s">
        <v>44</v>
      </c>
      <c r="M3124">
        <v>8.4700000000000006</v>
      </c>
      <c r="T3124" t="s">
        <v>45</v>
      </c>
      <c r="U3124">
        <v>3</v>
      </c>
      <c r="V3124">
        <v>5</v>
      </c>
    </row>
    <row r="3125" spans="1:22" x14ac:dyDescent="0.3">
      <c r="A3125">
        <v>3124</v>
      </c>
      <c r="B3125">
        <v>53513</v>
      </c>
      <c r="C3125" s="2">
        <v>37792</v>
      </c>
      <c r="D3125">
        <v>22</v>
      </c>
      <c r="E3125" t="s">
        <v>36</v>
      </c>
      <c r="F3125" t="s">
        <v>50</v>
      </c>
      <c r="G3125" s="2">
        <v>45466</v>
      </c>
      <c r="H3125" s="3">
        <f t="shared" si="48"/>
        <v>1.1945205479452055</v>
      </c>
      <c r="I3125">
        <v>61</v>
      </c>
      <c r="J3125" t="s">
        <v>38</v>
      </c>
      <c r="K3125" t="s">
        <v>56</v>
      </c>
      <c r="L3125" t="s">
        <v>44</v>
      </c>
      <c r="M3125">
        <v>8.4700000000000006</v>
      </c>
      <c r="T3125" t="s">
        <v>45</v>
      </c>
      <c r="U3125">
        <v>2</v>
      </c>
      <c r="V3125">
        <v>5</v>
      </c>
    </row>
    <row r="3126" spans="1:22" x14ac:dyDescent="0.3">
      <c r="A3126">
        <v>3125</v>
      </c>
      <c r="B3126">
        <v>53514</v>
      </c>
      <c r="C3126" s="2">
        <v>35775</v>
      </c>
      <c r="D3126">
        <v>28</v>
      </c>
      <c r="E3126" t="s">
        <v>42</v>
      </c>
      <c r="F3126" t="s">
        <v>37</v>
      </c>
      <c r="G3126" s="2">
        <v>45586</v>
      </c>
      <c r="H3126" s="3">
        <f t="shared" si="48"/>
        <v>1.3205479452054794</v>
      </c>
      <c r="I3126">
        <v>62</v>
      </c>
      <c r="J3126" t="s">
        <v>38</v>
      </c>
      <c r="K3126" t="s">
        <v>56</v>
      </c>
      <c r="L3126" t="s">
        <v>44</v>
      </c>
      <c r="M3126">
        <v>8.4700000000000006</v>
      </c>
      <c r="T3126" t="s">
        <v>49</v>
      </c>
      <c r="U3126">
        <v>2</v>
      </c>
      <c r="V3126">
        <v>5</v>
      </c>
    </row>
    <row r="3127" spans="1:22" x14ac:dyDescent="0.3">
      <c r="A3127">
        <v>3126</v>
      </c>
      <c r="B3127">
        <v>53515</v>
      </c>
      <c r="C3127" s="2">
        <v>37474</v>
      </c>
      <c r="D3127">
        <v>23</v>
      </c>
      <c r="E3127" t="s">
        <v>42</v>
      </c>
      <c r="F3127" t="s">
        <v>50</v>
      </c>
      <c r="G3127" s="2">
        <v>45540</v>
      </c>
      <c r="H3127" s="3">
        <f t="shared" si="48"/>
        <v>1.1479452054794521</v>
      </c>
      <c r="I3127">
        <v>80</v>
      </c>
      <c r="J3127" t="s">
        <v>57</v>
      </c>
      <c r="K3127" t="s">
        <v>68</v>
      </c>
      <c r="L3127" t="s">
        <v>44</v>
      </c>
      <c r="M3127">
        <v>17</v>
      </c>
      <c r="T3127" t="s">
        <v>52</v>
      </c>
      <c r="U3127">
        <v>2</v>
      </c>
      <c r="V3127">
        <v>7</v>
      </c>
    </row>
    <row r="3128" spans="1:22" x14ac:dyDescent="0.3">
      <c r="A3128">
        <v>3127</v>
      </c>
      <c r="B3128">
        <v>53516</v>
      </c>
      <c r="C3128" s="2">
        <v>39048</v>
      </c>
      <c r="D3128">
        <v>19</v>
      </c>
      <c r="E3128" t="s">
        <v>42</v>
      </c>
      <c r="F3128" t="s">
        <v>37</v>
      </c>
      <c r="G3128" s="2">
        <v>45603</v>
      </c>
      <c r="H3128" s="3">
        <f t="shared" si="48"/>
        <v>1.4876712328767123</v>
      </c>
      <c r="I3128">
        <v>100</v>
      </c>
      <c r="J3128" t="s">
        <v>57</v>
      </c>
      <c r="K3128" t="s">
        <v>48</v>
      </c>
      <c r="L3128" t="s">
        <v>44</v>
      </c>
      <c r="M3128">
        <v>8.4700000000000006</v>
      </c>
      <c r="T3128" t="s">
        <v>49</v>
      </c>
      <c r="U3128">
        <v>2</v>
      </c>
      <c r="V3128">
        <v>6</v>
      </c>
    </row>
    <row r="3129" spans="1:22" x14ac:dyDescent="0.3">
      <c r="A3129">
        <v>3128</v>
      </c>
      <c r="B3129">
        <v>53517</v>
      </c>
      <c r="C3129" s="2">
        <v>37742</v>
      </c>
      <c r="D3129">
        <v>23</v>
      </c>
      <c r="E3129" t="s">
        <v>42</v>
      </c>
      <c r="F3129" t="s">
        <v>37</v>
      </c>
      <c r="G3129" s="2">
        <v>45479</v>
      </c>
      <c r="H3129" s="3">
        <f t="shared" si="48"/>
        <v>1.106849315068493</v>
      </c>
      <c r="I3129">
        <v>112</v>
      </c>
      <c r="J3129" t="s">
        <v>57</v>
      </c>
      <c r="K3129" t="s">
        <v>65</v>
      </c>
      <c r="L3129" t="s">
        <v>44</v>
      </c>
      <c r="M3129">
        <v>10.64</v>
      </c>
      <c r="T3129" t="s">
        <v>49</v>
      </c>
      <c r="U3129">
        <v>1</v>
      </c>
      <c r="V3129">
        <v>5</v>
      </c>
    </row>
    <row r="3130" spans="1:22" x14ac:dyDescent="0.3">
      <c r="A3130">
        <v>3129</v>
      </c>
      <c r="B3130">
        <v>53518</v>
      </c>
      <c r="C3130" s="2">
        <v>39071</v>
      </c>
      <c r="D3130">
        <v>19</v>
      </c>
      <c r="E3130" t="s">
        <v>42</v>
      </c>
      <c r="F3130" t="s">
        <v>37</v>
      </c>
      <c r="G3130" s="2">
        <v>45618</v>
      </c>
      <c r="H3130" s="3">
        <f t="shared" si="48"/>
        <v>1.8356164383561644</v>
      </c>
      <c r="I3130">
        <v>128</v>
      </c>
      <c r="J3130" t="s">
        <v>57</v>
      </c>
      <c r="K3130" t="s">
        <v>56</v>
      </c>
      <c r="L3130" t="s">
        <v>44</v>
      </c>
      <c r="M3130">
        <v>8.4700000000000006</v>
      </c>
      <c r="T3130" t="s">
        <v>47</v>
      </c>
      <c r="U3130">
        <v>4</v>
      </c>
      <c r="V3130">
        <v>6</v>
      </c>
    </row>
    <row r="3131" spans="1:22" x14ac:dyDescent="0.3">
      <c r="A3131">
        <v>3130</v>
      </c>
      <c r="B3131">
        <v>53519</v>
      </c>
      <c r="C3131" s="2">
        <v>38035</v>
      </c>
      <c r="D3131">
        <v>21</v>
      </c>
      <c r="E3131" t="s">
        <v>36</v>
      </c>
      <c r="F3131" t="s">
        <v>37</v>
      </c>
      <c r="G3131" s="2">
        <v>45352</v>
      </c>
      <c r="H3131" s="3">
        <f t="shared" si="48"/>
        <v>1.7315068493150685</v>
      </c>
      <c r="I3131">
        <v>134</v>
      </c>
      <c r="J3131" t="s">
        <v>57</v>
      </c>
      <c r="K3131" t="s">
        <v>65</v>
      </c>
      <c r="L3131" t="s">
        <v>44</v>
      </c>
      <c r="M3131">
        <v>10.64</v>
      </c>
      <c r="T3131" t="s">
        <v>52</v>
      </c>
      <c r="U3131">
        <v>1</v>
      </c>
      <c r="V3131">
        <v>3</v>
      </c>
    </row>
    <row r="3132" spans="1:22" x14ac:dyDescent="0.3">
      <c r="A3132">
        <v>3131</v>
      </c>
      <c r="B3132">
        <v>53520</v>
      </c>
      <c r="C3132" s="2">
        <v>37470</v>
      </c>
      <c r="D3132">
        <v>23</v>
      </c>
      <c r="E3132" t="s">
        <v>42</v>
      </c>
      <c r="F3132" t="s">
        <v>50</v>
      </c>
      <c r="G3132" s="2">
        <v>45390</v>
      </c>
      <c r="H3132" s="3">
        <f t="shared" si="48"/>
        <v>1.3123287671232877</v>
      </c>
      <c r="I3132">
        <v>1</v>
      </c>
      <c r="J3132" t="s">
        <v>38</v>
      </c>
      <c r="K3132" t="s">
        <v>56</v>
      </c>
      <c r="L3132" t="s">
        <v>44</v>
      </c>
      <c r="M3132">
        <v>8.4700000000000006</v>
      </c>
      <c r="T3132" t="s">
        <v>52</v>
      </c>
      <c r="U3132">
        <v>1</v>
      </c>
      <c r="V3132">
        <v>7</v>
      </c>
    </row>
    <row r="3133" spans="1:22" x14ac:dyDescent="0.3">
      <c r="A3133">
        <v>3132</v>
      </c>
      <c r="B3133">
        <v>53521</v>
      </c>
      <c r="C3133" s="2">
        <v>38578</v>
      </c>
      <c r="D3133">
        <v>20</v>
      </c>
      <c r="E3133" t="s">
        <v>42</v>
      </c>
      <c r="F3133" t="s">
        <v>50</v>
      </c>
      <c r="G3133" s="2">
        <v>45543</v>
      </c>
      <c r="H3133" s="3">
        <f t="shared" si="48"/>
        <v>1.2438356164383562</v>
      </c>
      <c r="I3133">
        <v>1</v>
      </c>
      <c r="J3133" t="s">
        <v>38</v>
      </c>
      <c r="K3133" t="s">
        <v>56</v>
      </c>
      <c r="L3133" t="s">
        <v>44</v>
      </c>
      <c r="M3133">
        <v>8.4700000000000006</v>
      </c>
      <c r="T3133" t="s">
        <v>49</v>
      </c>
      <c r="U3133">
        <v>1</v>
      </c>
      <c r="V3133">
        <v>6</v>
      </c>
    </row>
    <row r="3134" spans="1:22" x14ac:dyDescent="0.3">
      <c r="A3134">
        <v>3133</v>
      </c>
      <c r="B3134">
        <v>53522</v>
      </c>
      <c r="C3134" s="2">
        <v>37685</v>
      </c>
      <c r="D3134">
        <v>22</v>
      </c>
      <c r="E3134" t="s">
        <v>36</v>
      </c>
      <c r="F3134" t="s">
        <v>50</v>
      </c>
      <c r="G3134" s="2">
        <v>45568</v>
      </c>
      <c r="H3134" s="3">
        <f t="shared" si="48"/>
        <v>1.1917808219178083</v>
      </c>
      <c r="I3134">
        <v>2</v>
      </c>
      <c r="J3134" t="s">
        <v>38</v>
      </c>
      <c r="K3134" t="s">
        <v>56</v>
      </c>
      <c r="L3134" t="s">
        <v>44</v>
      </c>
      <c r="M3134">
        <v>8.4700000000000006</v>
      </c>
      <c r="T3134" t="s">
        <v>45</v>
      </c>
      <c r="U3134">
        <v>2</v>
      </c>
      <c r="V3134">
        <v>5</v>
      </c>
    </row>
    <row r="3135" spans="1:22" x14ac:dyDescent="0.3">
      <c r="A3135">
        <v>3134</v>
      </c>
      <c r="B3135">
        <v>53523</v>
      </c>
      <c r="C3135" s="2">
        <v>39334</v>
      </c>
      <c r="D3135">
        <v>18</v>
      </c>
      <c r="E3135" t="s">
        <v>36</v>
      </c>
      <c r="F3135" t="s">
        <v>50</v>
      </c>
      <c r="G3135" s="2">
        <v>45587</v>
      </c>
      <c r="H3135" s="3">
        <f t="shared" si="48"/>
        <v>1.6246575342465754</v>
      </c>
      <c r="I3135">
        <v>3</v>
      </c>
      <c r="J3135" t="s">
        <v>38</v>
      </c>
      <c r="K3135" t="s">
        <v>56</v>
      </c>
      <c r="L3135" t="s">
        <v>44</v>
      </c>
      <c r="M3135">
        <v>8.4700000000000006</v>
      </c>
      <c r="T3135" t="s">
        <v>52</v>
      </c>
      <c r="U3135">
        <v>4</v>
      </c>
      <c r="V3135">
        <v>5</v>
      </c>
    </row>
    <row r="3136" spans="1:22" x14ac:dyDescent="0.3">
      <c r="A3136">
        <v>3135</v>
      </c>
      <c r="B3136">
        <v>53524</v>
      </c>
      <c r="C3136" s="2">
        <v>37618</v>
      </c>
      <c r="D3136">
        <v>23</v>
      </c>
      <c r="E3136" t="s">
        <v>42</v>
      </c>
      <c r="F3136" t="s">
        <v>50</v>
      </c>
      <c r="G3136" s="2">
        <v>45429</v>
      </c>
      <c r="H3136" s="3">
        <f t="shared" si="48"/>
        <v>1.4657534246575343</v>
      </c>
      <c r="I3136">
        <v>3</v>
      </c>
      <c r="J3136" t="s">
        <v>38</v>
      </c>
      <c r="K3136" t="s">
        <v>56</v>
      </c>
      <c r="L3136" t="s">
        <v>44</v>
      </c>
      <c r="M3136">
        <v>8.4700000000000006</v>
      </c>
      <c r="T3136" t="s">
        <v>49</v>
      </c>
      <c r="U3136">
        <v>4</v>
      </c>
      <c r="V3136">
        <v>6</v>
      </c>
    </row>
    <row r="3137" spans="1:22" x14ac:dyDescent="0.3">
      <c r="A3137">
        <v>3136</v>
      </c>
      <c r="B3137">
        <v>53525</v>
      </c>
      <c r="C3137" s="2">
        <v>37803</v>
      </c>
      <c r="D3137">
        <v>23</v>
      </c>
      <c r="E3137" t="s">
        <v>42</v>
      </c>
      <c r="F3137" t="s">
        <v>50</v>
      </c>
      <c r="G3137" s="2">
        <v>45487</v>
      </c>
      <c r="H3137" s="3">
        <f t="shared" si="48"/>
        <v>1.7068493150684931</v>
      </c>
      <c r="I3137">
        <v>4</v>
      </c>
      <c r="J3137" t="s">
        <v>38</v>
      </c>
      <c r="K3137" t="s">
        <v>68</v>
      </c>
      <c r="L3137" t="s">
        <v>44</v>
      </c>
      <c r="M3137">
        <v>17</v>
      </c>
      <c r="T3137" t="s">
        <v>45</v>
      </c>
      <c r="U3137">
        <v>2</v>
      </c>
      <c r="V3137">
        <v>6</v>
      </c>
    </row>
    <row r="3138" spans="1:22" x14ac:dyDescent="0.3">
      <c r="A3138">
        <v>3137</v>
      </c>
      <c r="B3138">
        <v>53526</v>
      </c>
      <c r="C3138" s="2">
        <v>38232</v>
      </c>
      <c r="D3138">
        <v>21</v>
      </c>
      <c r="E3138" t="s">
        <v>42</v>
      </c>
      <c r="F3138" t="s">
        <v>50</v>
      </c>
      <c r="G3138" s="2">
        <v>45399</v>
      </c>
      <c r="H3138" s="3">
        <f t="shared" si="48"/>
        <v>1.6876712328767123</v>
      </c>
      <c r="I3138">
        <v>4</v>
      </c>
      <c r="J3138" t="s">
        <v>38</v>
      </c>
      <c r="K3138" t="s">
        <v>56</v>
      </c>
      <c r="L3138" t="s">
        <v>44</v>
      </c>
      <c r="M3138">
        <v>8.4700000000000006</v>
      </c>
      <c r="T3138" t="s">
        <v>47</v>
      </c>
      <c r="U3138">
        <v>2</v>
      </c>
      <c r="V3138">
        <v>6</v>
      </c>
    </row>
    <row r="3139" spans="1:22" x14ac:dyDescent="0.3">
      <c r="A3139">
        <v>3138</v>
      </c>
      <c r="B3139">
        <v>53527</v>
      </c>
      <c r="C3139" s="2">
        <v>37679</v>
      </c>
      <c r="D3139">
        <v>22</v>
      </c>
      <c r="E3139" t="s">
        <v>42</v>
      </c>
      <c r="F3139" t="s">
        <v>37</v>
      </c>
      <c r="G3139" s="2">
        <v>45406</v>
      </c>
      <c r="H3139" s="3">
        <f t="shared" ref="H3139:H3202" si="49">DATEDIF(G3140,DATE(2025,12,31),"d")/365</f>
        <v>1.2136986301369863</v>
      </c>
      <c r="I3139">
        <v>4</v>
      </c>
      <c r="J3139" t="s">
        <v>38</v>
      </c>
      <c r="K3139" t="s">
        <v>56</v>
      </c>
      <c r="L3139" t="s">
        <v>44</v>
      </c>
      <c r="M3139">
        <v>8.4700000000000006</v>
      </c>
      <c r="T3139" t="s">
        <v>45</v>
      </c>
      <c r="U3139">
        <v>0</v>
      </c>
      <c r="V3139">
        <v>5</v>
      </c>
    </row>
    <row r="3140" spans="1:22" x14ac:dyDescent="0.3">
      <c r="A3140">
        <v>3139</v>
      </c>
      <c r="B3140">
        <v>53528</v>
      </c>
      <c r="C3140" s="2">
        <v>38794</v>
      </c>
      <c r="D3140">
        <v>19</v>
      </c>
      <c r="E3140" t="s">
        <v>42</v>
      </c>
      <c r="F3140" t="s">
        <v>50</v>
      </c>
      <c r="G3140" s="2">
        <v>45579</v>
      </c>
      <c r="H3140" s="3">
        <f t="shared" si="49"/>
        <v>1.8191780821917809</v>
      </c>
      <c r="I3140">
        <v>4</v>
      </c>
      <c r="J3140" t="s">
        <v>38</v>
      </c>
      <c r="K3140" t="s">
        <v>56</v>
      </c>
      <c r="L3140" t="s">
        <v>44</v>
      </c>
      <c r="M3140">
        <v>8.4700000000000006</v>
      </c>
      <c r="T3140" t="s">
        <v>45</v>
      </c>
      <c r="U3140">
        <v>1</v>
      </c>
      <c r="V3140">
        <v>6</v>
      </c>
    </row>
    <row r="3141" spans="1:22" x14ac:dyDescent="0.3">
      <c r="A3141">
        <v>3140</v>
      </c>
      <c r="B3141">
        <v>53529</v>
      </c>
      <c r="C3141" s="2">
        <v>38070</v>
      </c>
      <c r="D3141">
        <v>21</v>
      </c>
      <c r="E3141" t="s">
        <v>42</v>
      </c>
      <c r="F3141" t="s">
        <v>50</v>
      </c>
      <c r="G3141" s="2">
        <v>45358</v>
      </c>
      <c r="H3141" s="3">
        <f t="shared" si="49"/>
        <v>1.2876712328767124</v>
      </c>
      <c r="I3141">
        <v>4</v>
      </c>
      <c r="J3141" t="s">
        <v>38</v>
      </c>
      <c r="K3141" t="s">
        <v>56</v>
      </c>
      <c r="L3141" t="s">
        <v>44</v>
      </c>
      <c r="M3141">
        <v>8.4700000000000006</v>
      </c>
      <c r="T3141" t="s">
        <v>45</v>
      </c>
      <c r="U3141">
        <v>2</v>
      </c>
      <c r="V3141">
        <v>6</v>
      </c>
    </row>
    <row r="3142" spans="1:22" x14ac:dyDescent="0.3">
      <c r="A3142">
        <v>3141</v>
      </c>
      <c r="B3142">
        <v>53530</v>
      </c>
      <c r="C3142" s="2">
        <v>37850</v>
      </c>
      <c r="D3142">
        <v>22</v>
      </c>
      <c r="E3142" t="s">
        <v>42</v>
      </c>
      <c r="F3142" t="s">
        <v>37</v>
      </c>
      <c r="G3142" s="2">
        <v>45552</v>
      </c>
      <c r="H3142" s="3">
        <f t="shared" si="49"/>
        <v>1.7589041095890412</v>
      </c>
      <c r="I3142">
        <v>5</v>
      </c>
      <c r="J3142" t="s">
        <v>38</v>
      </c>
      <c r="K3142" t="s">
        <v>56</v>
      </c>
      <c r="L3142" t="s">
        <v>44</v>
      </c>
      <c r="M3142">
        <v>8.4700000000000006</v>
      </c>
      <c r="T3142" t="s">
        <v>52</v>
      </c>
      <c r="U3142">
        <v>2</v>
      </c>
      <c r="V3142">
        <v>7</v>
      </c>
    </row>
    <row r="3143" spans="1:22" x14ac:dyDescent="0.3">
      <c r="A3143">
        <v>3142</v>
      </c>
      <c r="B3143">
        <v>53531</v>
      </c>
      <c r="C3143" s="2">
        <v>39220</v>
      </c>
      <c r="D3143">
        <v>18</v>
      </c>
      <c r="E3143" t="s">
        <v>42</v>
      </c>
      <c r="F3143" t="s">
        <v>50</v>
      </c>
      <c r="G3143" s="2">
        <v>45380</v>
      </c>
      <c r="H3143" s="3">
        <f t="shared" si="49"/>
        <v>1.8684931506849316</v>
      </c>
      <c r="I3143">
        <v>5</v>
      </c>
      <c r="J3143" t="s">
        <v>38</v>
      </c>
      <c r="K3143" t="s">
        <v>56</v>
      </c>
      <c r="L3143" t="s">
        <v>44</v>
      </c>
      <c r="M3143">
        <v>8.4700000000000006</v>
      </c>
      <c r="T3143" t="s">
        <v>52</v>
      </c>
      <c r="U3143">
        <v>3</v>
      </c>
      <c r="V3143">
        <v>6</v>
      </c>
    </row>
    <row r="3144" spans="1:22" x14ac:dyDescent="0.3">
      <c r="A3144">
        <v>3143</v>
      </c>
      <c r="B3144">
        <v>53532</v>
      </c>
      <c r="C3144" s="2">
        <v>37028</v>
      </c>
      <c r="D3144">
        <v>24</v>
      </c>
      <c r="E3144" t="s">
        <v>42</v>
      </c>
      <c r="F3144" t="s">
        <v>50</v>
      </c>
      <c r="G3144" s="2">
        <v>45340</v>
      </c>
      <c r="H3144" s="3">
        <f t="shared" si="49"/>
        <v>1.3726027397260274</v>
      </c>
      <c r="I3144">
        <v>6</v>
      </c>
      <c r="J3144" t="s">
        <v>38</v>
      </c>
      <c r="K3144" t="s">
        <v>68</v>
      </c>
      <c r="L3144" t="s">
        <v>44</v>
      </c>
      <c r="M3144">
        <v>17</v>
      </c>
      <c r="T3144" t="s">
        <v>45</v>
      </c>
      <c r="U3144">
        <v>4</v>
      </c>
      <c r="V3144">
        <v>6</v>
      </c>
    </row>
    <row r="3145" spans="1:22" x14ac:dyDescent="0.3">
      <c r="A3145">
        <v>3144</v>
      </c>
      <c r="B3145">
        <v>53533</v>
      </c>
      <c r="C3145" s="2">
        <v>37266</v>
      </c>
      <c r="D3145">
        <v>23</v>
      </c>
      <c r="E3145" t="s">
        <v>42</v>
      </c>
      <c r="F3145" t="s">
        <v>50</v>
      </c>
      <c r="G3145" s="2">
        <v>45521</v>
      </c>
      <c r="H3145" s="3">
        <f t="shared" si="49"/>
        <v>1.2821917808219179</v>
      </c>
      <c r="I3145">
        <v>6</v>
      </c>
      <c r="J3145" t="s">
        <v>38</v>
      </c>
      <c r="K3145" t="s">
        <v>48</v>
      </c>
      <c r="L3145" t="s">
        <v>44</v>
      </c>
      <c r="M3145">
        <v>8.4700000000000006</v>
      </c>
      <c r="T3145" t="s">
        <v>47</v>
      </c>
      <c r="U3145">
        <v>1</v>
      </c>
      <c r="V3145">
        <v>6</v>
      </c>
    </row>
    <row r="3146" spans="1:22" x14ac:dyDescent="0.3">
      <c r="A3146">
        <v>3145</v>
      </c>
      <c r="B3146">
        <v>53534</v>
      </c>
      <c r="C3146" s="2">
        <v>38657</v>
      </c>
      <c r="D3146">
        <v>21</v>
      </c>
      <c r="E3146" t="s">
        <v>42</v>
      </c>
      <c r="F3146" t="s">
        <v>50</v>
      </c>
      <c r="G3146" s="2">
        <v>45554</v>
      </c>
      <c r="H3146" s="3">
        <f t="shared" si="49"/>
        <v>1.4958904109589042</v>
      </c>
      <c r="I3146">
        <v>6</v>
      </c>
      <c r="J3146" t="s">
        <v>38</v>
      </c>
      <c r="K3146" t="s">
        <v>56</v>
      </c>
      <c r="L3146" t="s">
        <v>44</v>
      </c>
      <c r="M3146">
        <v>8.4700000000000006</v>
      </c>
      <c r="T3146" t="s">
        <v>45</v>
      </c>
      <c r="U3146">
        <v>2</v>
      </c>
      <c r="V3146">
        <v>5</v>
      </c>
    </row>
    <row r="3147" spans="1:22" x14ac:dyDescent="0.3">
      <c r="A3147">
        <v>3146</v>
      </c>
      <c r="B3147">
        <v>53535</v>
      </c>
      <c r="C3147" s="2">
        <v>38777</v>
      </c>
      <c r="D3147">
        <v>20</v>
      </c>
      <c r="E3147" t="s">
        <v>42</v>
      </c>
      <c r="F3147" t="s">
        <v>37</v>
      </c>
      <c r="G3147" s="2">
        <v>45476</v>
      </c>
      <c r="H3147" s="3">
        <f t="shared" si="49"/>
        <v>1.4438356164383561</v>
      </c>
      <c r="I3147">
        <v>6</v>
      </c>
      <c r="J3147" t="s">
        <v>38</v>
      </c>
      <c r="K3147" t="s">
        <v>56</v>
      </c>
      <c r="L3147" t="s">
        <v>44</v>
      </c>
      <c r="M3147">
        <v>8.4700000000000006</v>
      </c>
      <c r="T3147" t="s">
        <v>49</v>
      </c>
      <c r="U3147">
        <v>2</v>
      </c>
      <c r="V3147">
        <v>5</v>
      </c>
    </row>
    <row r="3148" spans="1:22" x14ac:dyDescent="0.3">
      <c r="A3148">
        <v>3147</v>
      </c>
      <c r="B3148">
        <v>53536</v>
      </c>
      <c r="C3148" s="2">
        <v>37839</v>
      </c>
      <c r="D3148">
        <v>22</v>
      </c>
      <c r="E3148" t="s">
        <v>42</v>
      </c>
      <c r="F3148" t="s">
        <v>50</v>
      </c>
      <c r="G3148" s="2">
        <v>45495</v>
      </c>
      <c r="H3148" s="3">
        <f t="shared" si="49"/>
        <v>1.7452054794520548</v>
      </c>
      <c r="I3148">
        <v>6</v>
      </c>
      <c r="J3148" t="s">
        <v>38</v>
      </c>
      <c r="K3148" t="s">
        <v>56</v>
      </c>
      <c r="L3148" t="s">
        <v>44</v>
      </c>
      <c r="M3148">
        <v>8.4700000000000006</v>
      </c>
      <c r="T3148" t="s">
        <v>49</v>
      </c>
      <c r="U3148">
        <v>2</v>
      </c>
      <c r="V3148">
        <v>7</v>
      </c>
    </row>
    <row r="3149" spans="1:22" x14ac:dyDescent="0.3">
      <c r="A3149">
        <v>3148</v>
      </c>
      <c r="B3149">
        <v>53537</v>
      </c>
      <c r="C3149" s="2">
        <v>38005</v>
      </c>
      <c r="D3149">
        <v>21</v>
      </c>
      <c r="E3149" t="s">
        <v>42</v>
      </c>
      <c r="F3149" t="s">
        <v>37</v>
      </c>
      <c r="G3149" s="2">
        <v>45385</v>
      </c>
      <c r="H3149" s="3">
        <f t="shared" si="49"/>
        <v>1.6465753424657534</v>
      </c>
      <c r="I3149">
        <v>6</v>
      </c>
      <c r="J3149" t="s">
        <v>38</v>
      </c>
      <c r="K3149" t="s">
        <v>56</v>
      </c>
      <c r="L3149" t="s">
        <v>44</v>
      </c>
      <c r="M3149">
        <v>8.4700000000000006</v>
      </c>
      <c r="T3149" t="s">
        <v>52</v>
      </c>
      <c r="U3149">
        <v>2</v>
      </c>
      <c r="V3149">
        <v>6</v>
      </c>
    </row>
    <row r="3150" spans="1:22" x14ac:dyDescent="0.3">
      <c r="A3150">
        <v>3149</v>
      </c>
      <c r="B3150">
        <v>53538</v>
      </c>
      <c r="C3150" s="2">
        <v>36002</v>
      </c>
      <c r="D3150">
        <v>27</v>
      </c>
      <c r="E3150" t="s">
        <v>42</v>
      </c>
      <c r="F3150" t="s">
        <v>50</v>
      </c>
      <c r="G3150" s="2">
        <v>45421</v>
      </c>
      <c r="H3150" s="3">
        <f t="shared" si="49"/>
        <v>1.3260273972602741</v>
      </c>
      <c r="I3150">
        <v>6</v>
      </c>
      <c r="J3150" t="s">
        <v>38</v>
      </c>
      <c r="K3150" t="s">
        <v>56</v>
      </c>
      <c r="L3150" t="s">
        <v>44</v>
      </c>
      <c r="M3150">
        <v>8.4700000000000006</v>
      </c>
      <c r="T3150" t="s">
        <v>52</v>
      </c>
      <c r="U3150">
        <v>2</v>
      </c>
      <c r="V3150">
        <v>7</v>
      </c>
    </row>
    <row r="3151" spans="1:22" x14ac:dyDescent="0.3">
      <c r="A3151">
        <v>3150</v>
      </c>
      <c r="B3151">
        <v>53540</v>
      </c>
      <c r="C3151" s="2">
        <v>38596</v>
      </c>
      <c r="D3151">
        <v>21</v>
      </c>
      <c r="E3151" t="s">
        <v>36</v>
      </c>
      <c r="F3151" t="s">
        <v>50</v>
      </c>
      <c r="G3151" s="2">
        <v>45538</v>
      </c>
      <c r="H3151" s="3">
        <f t="shared" si="49"/>
        <v>1.3095890410958904</v>
      </c>
      <c r="I3151">
        <v>7</v>
      </c>
      <c r="J3151" t="s">
        <v>38</v>
      </c>
      <c r="K3151" t="s">
        <v>65</v>
      </c>
      <c r="L3151" t="s">
        <v>44</v>
      </c>
      <c r="M3151">
        <v>10.64</v>
      </c>
      <c r="T3151" t="s">
        <v>47</v>
      </c>
      <c r="U3151">
        <v>0</v>
      </c>
      <c r="V3151">
        <v>4</v>
      </c>
    </row>
    <row r="3152" spans="1:22" x14ac:dyDescent="0.3">
      <c r="A3152">
        <v>3151</v>
      </c>
      <c r="B3152">
        <v>53541</v>
      </c>
      <c r="C3152" s="2">
        <v>36591</v>
      </c>
      <c r="D3152">
        <v>25</v>
      </c>
      <c r="E3152" t="s">
        <v>42</v>
      </c>
      <c r="F3152" t="s">
        <v>37</v>
      </c>
      <c r="G3152" s="2">
        <v>45544</v>
      </c>
      <c r="H3152" s="3">
        <f t="shared" si="49"/>
        <v>1.704109589041096</v>
      </c>
      <c r="I3152">
        <v>8</v>
      </c>
      <c r="J3152" t="s">
        <v>38</v>
      </c>
      <c r="K3152" t="s">
        <v>68</v>
      </c>
      <c r="L3152" t="s">
        <v>44</v>
      </c>
      <c r="M3152">
        <v>17</v>
      </c>
      <c r="T3152" t="s">
        <v>49</v>
      </c>
      <c r="U3152">
        <v>1</v>
      </c>
      <c r="V3152">
        <v>6</v>
      </c>
    </row>
    <row r="3153" spans="1:22" x14ac:dyDescent="0.3">
      <c r="A3153">
        <v>3152</v>
      </c>
      <c r="B3153">
        <v>53542</v>
      </c>
      <c r="C3153" s="2">
        <v>37676</v>
      </c>
      <c r="D3153">
        <v>22</v>
      </c>
      <c r="E3153" t="s">
        <v>42</v>
      </c>
      <c r="F3153" t="s">
        <v>50</v>
      </c>
      <c r="G3153" s="2">
        <v>45400</v>
      </c>
      <c r="H3153" s="3">
        <f t="shared" si="49"/>
        <v>1.7068493150684931</v>
      </c>
      <c r="I3153">
        <v>9</v>
      </c>
      <c r="J3153" t="s">
        <v>38</v>
      </c>
      <c r="K3153" t="s">
        <v>56</v>
      </c>
      <c r="L3153" t="s">
        <v>44</v>
      </c>
      <c r="M3153">
        <v>8.4700000000000006</v>
      </c>
      <c r="T3153" t="s">
        <v>47</v>
      </c>
      <c r="U3153">
        <v>4</v>
      </c>
      <c r="V3153">
        <v>6</v>
      </c>
    </row>
    <row r="3154" spans="1:22" x14ac:dyDescent="0.3">
      <c r="A3154">
        <v>3153</v>
      </c>
      <c r="B3154">
        <v>53543</v>
      </c>
      <c r="C3154" s="2">
        <v>37800</v>
      </c>
      <c r="D3154">
        <v>22</v>
      </c>
      <c r="E3154" t="s">
        <v>42</v>
      </c>
      <c r="F3154" t="s">
        <v>37</v>
      </c>
      <c r="G3154" s="2">
        <v>45399</v>
      </c>
      <c r="H3154" s="3">
        <f t="shared" si="49"/>
        <v>1.3178082191780822</v>
      </c>
      <c r="I3154">
        <v>10</v>
      </c>
      <c r="J3154" t="s">
        <v>38</v>
      </c>
      <c r="K3154" t="s">
        <v>56</v>
      </c>
      <c r="L3154" t="s">
        <v>44</v>
      </c>
      <c r="M3154">
        <v>8.4700000000000006</v>
      </c>
      <c r="T3154" t="s">
        <v>52</v>
      </c>
      <c r="U3154">
        <v>2</v>
      </c>
      <c r="V3154">
        <v>6</v>
      </c>
    </row>
    <row r="3155" spans="1:22" x14ac:dyDescent="0.3">
      <c r="A3155">
        <v>3154</v>
      </c>
      <c r="B3155">
        <v>53544</v>
      </c>
      <c r="C3155" s="2">
        <v>37575</v>
      </c>
      <c r="D3155">
        <v>23</v>
      </c>
      <c r="E3155" t="s">
        <v>42</v>
      </c>
      <c r="F3155" t="s">
        <v>50</v>
      </c>
      <c r="G3155" s="2">
        <v>45541</v>
      </c>
      <c r="H3155" s="3">
        <f t="shared" si="49"/>
        <v>1.6356164383561644</v>
      </c>
      <c r="I3155">
        <v>10</v>
      </c>
      <c r="J3155" t="s">
        <v>38</v>
      </c>
      <c r="K3155" t="s">
        <v>56</v>
      </c>
      <c r="L3155" t="s">
        <v>44</v>
      </c>
      <c r="M3155">
        <v>8.4700000000000006</v>
      </c>
      <c r="T3155" t="s">
        <v>45</v>
      </c>
      <c r="U3155">
        <v>2</v>
      </c>
      <c r="V3155">
        <v>6</v>
      </c>
    </row>
    <row r="3156" spans="1:22" x14ac:dyDescent="0.3">
      <c r="A3156">
        <v>3155</v>
      </c>
      <c r="B3156">
        <v>53545</v>
      </c>
      <c r="C3156" s="2">
        <v>39013</v>
      </c>
      <c r="D3156">
        <v>19</v>
      </c>
      <c r="E3156" t="s">
        <v>42</v>
      </c>
      <c r="F3156" t="s">
        <v>50</v>
      </c>
      <c r="G3156" s="2">
        <v>45425</v>
      </c>
      <c r="H3156" s="3">
        <f t="shared" si="49"/>
        <v>1.5561643835616439</v>
      </c>
      <c r="I3156">
        <v>10</v>
      </c>
      <c r="J3156" t="s">
        <v>38</v>
      </c>
      <c r="K3156" t="s">
        <v>56</v>
      </c>
      <c r="L3156" t="s">
        <v>44</v>
      </c>
      <c r="M3156">
        <v>8.4700000000000006</v>
      </c>
      <c r="T3156" t="s">
        <v>49</v>
      </c>
      <c r="U3156">
        <v>2</v>
      </c>
      <c r="V3156">
        <v>6</v>
      </c>
    </row>
    <row r="3157" spans="1:22" x14ac:dyDescent="0.3">
      <c r="A3157">
        <v>3156</v>
      </c>
      <c r="B3157">
        <v>53546</v>
      </c>
      <c r="C3157" s="2">
        <v>36516</v>
      </c>
      <c r="D3157">
        <v>26</v>
      </c>
      <c r="E3157" t="s">
        <v>36</v>
      </c>
      <c r="F3157" t="s">
        <v>50</v>
      </c>
      <c r="G3157" s="2">
        <v>45454</v>
      </c>
      <c r="H3157" s="3">
        <f t="shared" si="49"/>
        <v>1.1479452054794521</v>
      </c>
      <c r="I3157">
        <v>13</v>
      </c>
      <c r="J3157" t="s">
        <v>38</v>
      </c>
      <c r="K3157" t="s">
        <v>55</v>
      </c>
      <c r="L3157" t="s">
        <v>44</v>
      </c>
      <c r="M3157">
        <v>17.59</v>
      </c>
      <c r="T3157" t="s">
        <v>49</v>
      </c>
      <c r="U3157">
        <v>2</v>
      </c>
      <c r="V3157">
        <v>5</v>
      </c>
    </row>
    <row r="3158" spans="1:22" x14ac:dyDescent="0.3">
      <c r="A3158">
        <v>3157</v>
      </c>
      <c r="B3158">
        <v>53547</v>
      </c>
      <c r="C3158" s="2">
        <v>36647</v>
      </c>
      <c r="D3158">
        <v>26</v>
      </c>
      <c r="E3158" t="s">
        <v>42</v>
      </c>
      <c r="F3158" t="s">
        <v>50</v>
      </c>
      <c r="G3158" s="2">
        <v>45603</v>
      </c>
      <c r="H3158" s="3">
        <f t="shared" si="49"/>
        <v>1.3150684931506849</v>
      </c>
      <c r="I3158">
        <v>14</v>
      </c>
      <c r="J3158" t="s">
        <v>38</v>
      </c>
      <c r="K3158" t="s">
        <v>56</v>
      </c>
      <c r="L3158" t="s">
        <v>44</v>
      </c>
      <c r="M3158">
        <v>8.4700000000000006</v>
      </c>
      <c r="T3158" t="s">
        <v>47</v>
      </c>
      <c r="U3158">
        <v>4</v>
      </c>
      <c r="V3158">
        <v>7</v>
      </c>
    </row>
    <row r="3159" spans="1:22" x14ac:dyDescent="0.3">
      <c r="A3159">
        <v>3158</v>
      </c>
      <c r="B3159">
        <v>53548</v>
      </c>
      <c r="C3159" s="2">
        <v>38119</v>
      </c>
      <c r="D3159">
        <v>21</v>
      </c>
      <c r="E3159" t="s">
        <v>42</v>
      </c>
      <c r="F3159" t="s">
        <v>37</v>
      </c>
      <c r="G3159" s="2">
        <v>45542</v>
      </c>
      <c r="H3159" s="3">
        <f t="shared" si="49"/>
        <v>1.3780821917808219</v>
      </c>
      <c r="I3159">
        <v>14</v>
      </c>
      <c r="J3159" t="s">
        <v>38</v>
      </c>
      <c r="K3159" t="s">
        <v>56</v>
      </c>
      <c r="L3159" t="s">
        <v>44</v>
      </c>
      <c r="M3159">
        <v>8.4700000000000006</v>
      </c>
      <c r="T3159" t="s">
        <v>45</v>
      </c>
      <c r="U3159">
        <v>4</v>
      </c>
      <c r="V3159">
        <v>6</v>
      </c>
    </row>
    <row r="3160" spans="1:22" x14ac:dyDescent="0.3">
      <c r="A3160">
        <v>3159</v>
      </c>
      <c r="B3160">
        <v>53549</v>
      </c>
      <c r="C3160" s="2">
        <v>35960</v>
      </c>
      <c r="D3160">
        <v>27</v>
      </c>
      <c r="E3160" t="s">
        <v>42</v>
      </c>
      <c r="F3160" t="s">
        <v>50</v>
      </c>
      <c r="G3160" s="2">
        <v>45519</v>
      </c>
      <c r="H3160" s="3">
        <f t="shared" si="49"/>
        <v>1.252054794520548</v>
      </c>
      <c r="I3160">
        <v>15</v>
      </c>
      <c r="J3160" t="s">
        <v>38</v>
      </c>
      <c r="K3160" t="s">
        <v>56</v>
      </c>
      <c r="L3160" t="s">
        <v>44</v>
      </c>
      <c r="M3160">
        <v>8.4700000000000006</v>
      </c>
      <c r="T3160" t="s">
        <v>45</v>
      </c>
      <c r="U3160">
        <v>1</v>
      </c>
      <c r="V3160">
        <v>5</v>
      </c>
    </row>
    <row r="3161" spans="1:22" x14ac:dyDescent="0.3">
      <c r="A3161">
        <v>3160</v>
      </c>
      <c r="B3161">
        <v>53550</v>
      </c>
      <c r="C3161" s="2">
        <v>37324</v>
      </c>
      <c r="D3161">
        <v>23</v>
      </c>
      <c r="E3161" t="s">
        <v>42</v>
      </c>
      <c r="F3161" t="s">
        <v>50</v>
      </c>
      <c r="G3161" s="2">
        <v>45565</v>
      </c>
      <c r="H3161" s="3">
        <f t="shared" si="49"/>
        <v>1.3726027397260274</v>
      </c>
      <c r="I3161">
        <v>15</v>
      </c>
      <c r="J3161" t="s">
        <v>38</v>
      </c>
      <c r="K3161" t="s">
        <v>56</v>
      </c>
      <c r="L3161" t="s">
        <v>44</v>
      </c>
      <c r="M3161">
        <v>8.4700000000000006</v>
      </c>
      <c r="T3161" t="s">
        <v>49</v>
      </c>
      <c r="U3161">
        <v>1</v>
      </c>
      <c r="V3161">
        <v>4</v>
      </c>
    </row>
    <row r="3162" spans="1:22" x14ac:dyDescent="0.3">
      <c r="A3162">
        <v>3161</v>
      </c>
      <c r="B3162">
        <v>53551</v>
      </c>
      <c r="C3162" s="2">
        <v>35372</v>
      </c>
      <c r="D3162">
        <v>29</v>
      </c>
      <c r="E3162" t="s">
        <v>42</v>
      </c>
      <c r="F3162" t="s">
        <v>50</v>
      </c>
      <c r="G3162" s="2">
        <v>45521</v>
      </c>
      <c r="H3162" s="3">
        <f t="shared" si="49"/>
        <v>1.3424657534246576</v>
      </c>
      <c r="I3162">
        <v>15</v>
      </c>
      <c r="J3162" t="s">
        <v>38</v>
      </c>
      <c r="K3162" t="s">
        <v>56</v>
      </c>
      <c r="L3162" t="s">
        <v>44</v>
      </c>
      <c r="M3162">
        <v>8.4700000000000006</v>
      </c>
      <c r="T3162" t="s">
        <v>47</v>
      </c>
      <c r="U3162">
        <v>0</v>
      </c>
      <c r="V3162">
        <v>6</v>
      </c>
    </row>
    <row r="3163" spans="1:22" x14ac:dyDescent="0.3">
      <c r="A3163">
        <v>3162</v>
      </c>
      <c r="B3163">
        <v>53552</v>
      </c>
      <c r="C3163" s="2">
        <v>34205</v>
      </c>
      <c r="D3163">
        <v>32</v>
      </c>
      <c r="E3163" t="s">
        <v>42</v>
      </c>
      <c r="F3163" t="s">
        <v>50</v>
      </c>
      <c r="G3163" s="2">
        <v>45532</v>
      </c>
      <c r="H3163" s="3">
        <f t="shared" si="49"/>
        <v>1.6712328767123288</v>
      </c>
      <c r="I3163">
        <v>15</v>
      </c>
      <c r="J3163" t="s">
        <v>38</v>
      </c>
      <c r="K3163" t="s">
        <v>56</v>
      </c>
      <c r="L3163" t="s">
        <v>44</v>
      </c>
      <c r="M3163">
        <v>8.4700000000000006</v>
      </c>
      <c r="T3163" t="s">
        <v>52</v>
      </c>
      <c r="U3163">
        <v>1</v>
      </c>
      <c r="V3163">
        <v>7</v>
      </c>
    </row>
    <row r="3164" spans="1:22" x14ac:dyDescent="0.3">
      <c r="A3164">
        <v>3163</v>
      </c>
      <c r="B3164">
        <v>53553</v>
      </c>
      <c r="C3164" s="2">
        <v>38226</v>
      </c>
      <c r="D3164">
        <v>21</v>
      </c>
      <c r="E3164" t="s">
        <v>42</v>
      </c>
      <c r="F3164" t="s">
        <v>37</v>
      </c>
      <c r="G3164" s="2">
        <v>45412</v>
      </c>
      <c r="H3164" s="3">
        <f t="shared" si="49"/>
        <v>1.3589041095890411</v>
      </c>
      <c r="I3164">
        <v>15</v>
      </c>
      <c r="J3164" t="s">
        <v>38</v>
      </c>
      <c r="K3164" t="s">
        <v>56</v>
      </c>
      <c r="L3164" t="s">
        <v>44</v>
      </c>
      <c r="M3164">
        <v>8.4700000000000006</v>
      </c>
      <c r="T3164" t="s">
        <v>52</v>
      </c>
      <c r="U3164">
        <v>2</v>
      </c>
      <c r="V3164">
        <v>5</v>
      </c>
    </row>
    <row r="3165" spans="1:22" x14ac:dyDescent="0.3">
      <c r="A3165">
        <v>3164</v>
      </c>
      <c r="B3165">
        <v>53554</v>
      </c>
      <c r="C3165" s="2">
        <v>39064</v>
      </c>
      <c r="D3165">
        <v>19</v>
      </c>
      <c r="E3165" t="s">
        <v>42</v>
      </c>
      <c r="F3165" t="s">
        <v>50</v>
      </c>
      <c r="G3165" s="2">
        <v>45526</v>
      </c>
      <c r="H3165" s="3">
        <f t="shared" si="49"/>
        <v>1.3041095890410959</v>
      </c>
      <c r="I3165">
        <v>16</v>
      </c>
      <c r="J3165" t="s">
        <v>38</v>
      </c>
      <c r="K3165" t="s">
        <v>56</v>
      </c>
      <c r="L3165" t="s">
        <v>44</v>
      </c>
      <c r="M3165">
        <v>8.4700000000000006</v>
      </c>
      <c r="T3165" t="s">
        <v>45</v>
      </c>
      <c r="U3165">
        <v>0</v>
      </c>
      <c r="V3165">
        <v>6</v>
      </c>
    </row>
    <row r="3166" spans="1:22" x14ac:dyDescent="0.3">
      <c r="A3166">
        <v>3165</v>
      </c>
      <c r="B3166">
        <v>53555</v>
      </c>
      <c r="C3166" s="2">
        <v>37958</v>
      </c>
      <c r="D3166">
        <v>22</v>
      </c>
      <c r="E3166" t="s">
        <v>42</v>
      </c>
      <c r="F3166" t="s">
        <v>50</v>
      </c>
      <c r="G3166" s="2">
        <v>45546</v>
      </c>
      <c r="H3166" s="3">
        <f t="shared" si="49"/>
        <v>1.3589041095890411</v>
      </c>
      <c r="I3166">
        <v>16</v>
      </c>
      <c r="J3166" t="s">
        <v>38</v>
      </c>
      <c r="K3166" t="s">
        <v>56</v>
      </c>
      <c r="L3166" t="s">
        <v>44</v>
      </c>
      <c r="M3166">
        <v>8.4700000000000006</v>
      </c>
      <c r="T3166" t="s">
        <v>52</v>
      </c>
      <c r="U3166">
        <v>2</v>
      </c>
      <c r="V3166">
        <v>7</v>
      </c>
    </row>
    <row r="3167" spans="1:22" x14ac:dyDescent="0.3">
      <c r="A3167">
        <v>3166</v>
      </c>
      <c r="B3167">
        <v>53556</v>
      </c>
      <c r="C3167" s="2">
        <v>37508</v>
      </c>
      <c r="D3167">
        <v>23</v>
      </c>
      <c r="E3167" t="s">
        <v>42</v>
      </c>
      <c r="F3167" t="s">
        <v>50</v>
      </c>
      <c r="G3167" s="2">
        <v>45526</v>
      </c>
      <c r="H3167" s="3">
        <f t="shared" si="49"/>
        <v>1.3068493150684932</v>
      </c>
      <c r="I3167">
        <v>18</v>
      </c>
      <c r="J3167" t="s">
        <v>38</v>
      </c>
      <c r="K3167" t="s">
        <v>68</v>
      </c>
      <c r="L3167" t="s">
        <v>44</v>
      </c>
      <c r="M3167">
        <v>17</v>
      </c>
      <c r="T3167" t="s">
        <v>47</v>
      </c>
      <c r="U3167">
        <v>3</v>
      </c>
      <c r="V3167">
        <v>7</v>
      </c>
    </row>
    <row r="3168" spans="1:22" x14ac:dyDescent="0.3">
      <c r="A3168">
        <v>3167</v>
      </c>
      <c r="B3168">
        <v>53557</v>
      </c>
      <c r="C3168" s="2">
        <v>35367</v>
      </c>
      <c r="D3168">
        <v>29</v>
      </c>
      <c r="E3168" t="s">
        <v>42</v>
      </c>
      <c r="F3168" t="s">
        <v>37</v>
      </c>
      <c r="G3168" s="2">
        <v>45545</v>
      </c>
      <c r="H3168" s="3">
        <f t="shared" si="49"/>
        <v>1.4082191780821918</v>
      </c>
      <c r="I3168">
        <v>18</v>
      </c>
      <c r="J3168" t="s">
        <v>38</v>
      </c>
      <c r="K3168" t="s">
        <v>56</v>
      </c>
      <c r="L3168" t="s">
        <v>44</v>
      </c>
      <c r="M3168">
        <v>8.4700000000000006</v>
      </c>
      <c r="T3168" t="s">
        <v>45</v>
      </c>
      <c r="U3168">
        <v>1</v>
      </c>
      <c r="V3168">
        <v>7</v>
      </c>
    </row>
    <row r="3169" spans="1:22" x14ac:dyDescent="0.3">
      <c r="A3169">
        <v>3168</v>
      </c>
      <c r="B3169">
        <v>53558</v>
      </c>
      <c r="C3169" s="2">
        <v>38004</v>
      </c>
      <c r="D3169">
        <v>21</v>
      </c>
      <c r="E3169" t="s">
        <v>42</v>
      </c>
      <c r="F3169" t="s">
        <v>50</v>
      </c>
      <c r="G3169" s="2">
        <v>45508</v>
      </c>
      <c r="H3169" s="3">
        <f t="shared" si="49"/>
        <v>1.4684931506849315</v>
      </c>
      <c r="I3169">
        <v>18</v>
      </c>
      <c r="J3169" t="s">
        <v>38</v>
      </c>
      <c r="K3169" t="s">
        <v>56</v>
      </c>
      <c r="L3169" t="s">
        <v>44</v>
      </c>
      <c r="M3169">
        <v>8.4700000000000006</v>
      </c>
      <c r="T3169" t="s">
        <v>52</v>
      </c>
      <c r="U3169">
        <v>2</v>
      </c>
      <c r="V3169">
        <v>6</v>
      </c>
    </row>
    <row r="3170" spans="1:22" x14ac:dyDescent="0.3">
      <c r="A3170">
        <v>3169</v>
      </c>
      <c r="B3170">
        <v>53559</v>
      </c>
      <c r="C3170" s="2">
        <v>37679</v>
      </c>
      <c r="D3170">
        <v>22</v>
      </c>
      <c r="E3170" t="s">
        <v>42</v>
      </c>
      <c r="F3170" t="s">
        <v>50</v>
      </c>
      <c r="G3170" s="2">
        <v>45486</v>
      </c>
      <c r="H3170" s="3">
        <f t="shared" si="49"/>
        <v>1.5013698630136987</v>
      </c>
      <c r="I3170">
        <v>19</v>
      </c>
      <c r="J3170" t="s">
        <v>38</v>
      </c>
      <c r="K3170" t="s">
        <v>56</v>
      </c>
      <c r="L3170" t="s">
        <v>44</v>
      </c>
      <c r="M3170">
        <v>8.4700000000000006</v>
      </c>
      <c r="T3170" t="s">
        <v>49</v>
      </c>
      <c r="U3170">
        <v>4</v>
      </c>
      <c r="V3170">
        <v>6</v>
      </c>
    </row>
    <row r="3171" spans="1:22" x14ac:dyDescent="0.3">
      <c r="A3171">
        <v>3170</v>
      </c>
      <c r="B3171">
        <v>53560</v>
      </c>
      <c r="C3171" s="2">
        <v>38715</v>
      </c>
      <c r="D3171">
        <v>20</v>
      </c>
      <c r="E3171" t="s">
        <v>36</v>
      </c>
      <c r="F3171" t="s">
        <v>50</v>
      </c>
      <c r="G3171" s="2">
        <v>45474</v>
      </c>
      <c r="H3171" s="3">
        <f t="shared" si="49"/>
        <v>1.6794520547945206</v>
      </c>
      <c r="I3171">
        <v>19</v>
      </c>
      <c r="J3171" t="s">
        <v>38</v>
      </c>
      <c r="K3171" t="s">
        <v>56</v>
      </c>
      <c r="L3171" t="s">
        <v>44</v>
      </c>
      <c r="M3171">
        <v>8.4700000000000006</v>
      </c>
      <c r="T3171" t="s">
        <v>45</v>
      </c>
      <c r="U3171">
        <v>4</v>
      </c>
      <c r="V3171">
        <v>4</v>
      </c>
    </row>
    <row r="3172" spans="1:22" x14ac:dyDescent="0.3">
      <c r="A3172">
        <v>3171</v>
      </c>
      <c r="B3172">
        <v>53561</v>
      </c>
      <c r="C3172" s="2">
        <v>37809</v>
      </c>
      <c r="D3172">
        <v>22</v>
      </c>
      <c r="E3172" t="s">
        <v>42</v>
      </c>
      <c r="F3172" t="s">
        <v>50</v>
      </c>
      <c r="G3172" s="2">
        <v>45409</v>
      </c>
      <c r="H3172" s="3">
        <f t="shared" si="49"/>
        <v>1.2657534246575342</v>
      </c>
      <c r="I3172">
        <v>20</v>
      </c>
      <c r="J3172" t="s">
        <v>38</v>
      </c>
      <c r="K3172" t="s">
        <v>56</v>
      </c>
      <c r="L3172" t="s">
        <v>44</v>
      </c>
      <c r="M3172">
        <v>8.4700000000000006</v>
      </c>
      <c r="T3172" t="s">
        <v>52</v>
      </c>
      <c r="U3172">
        <v>2</v>
      </c>
      <c r="V3172">
        <v>6</v>
      </c>
    </row>
    <row r="3173" spans="1:22" x14ac:dyDescent="0.3">
      <c r="A3173">
        <v>3172</v>
      </c>
      <c r="B3173">
        <v>53562</v>
      </c>
      <c r="C3173" s="2">
        <v>38849</v>
      </c>
      <c r="D3173">
        <v>19</v>
      </c>
      <c r="E3173" t="s">
        <v>42</v>
      </c>
      <c r="F3173" t="s">
        <v>50</v>
      </c>
      <c r="G3173" s="2">
        <v>45560</v>
      </c>
      <c r="H3173" s="3">
        <f t="shared" si="49"/>
        <v>1.4383561643835616</v>
      </c>
      <c r="I3173">
        <v>23</v>
      </c>
      <c r="J3173" t="s">
        <v>38</v>
      </c>
      <c r="K3173" t="s">
        <v>56</v>
      </c>
      <c r="L3173" t="s">
        <v>44</v>
      </c>
      <c r="M3173">
        <v>8.4700000000000006</v>
      </c>
      <c r="T3173" t="s">
        <v>49</v>
      </c>
      <c r="U3173">
        <v>2</v>
      </c>
      <c r="V3173">
        <v>7</v>
      </c>
    </row>
    <row r="3174" spans="1:22" x14ac:dyDescent="0.3">
      <c r="A3174">
        <v>3173</v>
      </c>
      <c r="B3174">
        <v>53563</v>
      </c>
      <c r="C3174" s="2">
        <v>35918</v>
      </c>
      <c r="D3174">
        <v>27</v>
      </c>
      <c r="E3174" t="s">
        <v>42</v>
      </c>
      <c r="F3174" t="s">
        <v>37</v>
      </c>
      <c r="G3174" s="2">
        <v>45497</v>
      </c>
      <c r="H3174" s="3">
        <f t="shared" si="49"/>
        <v>1.0986301369863014</v>
      </c>
      <c r="I3174">
        <v>23</v>
      </c>
      <c r="J3174" t="s">
        <v>38</v>
      </c>
      <c r="K3174" t="s">
        <v>56</v>
      </c>
      <c r="L3174" t="s">
        <v>44</v>
      </c>
      <c r="M3174">
        <v>8.4700000000000006</v>
      </c>
      <c r="T3174" t="s">
        <v>49</v>
      </c>
      <c r="U3174">
        <v>1</v>
      </c>
      <c r="V3174">
        <v>5</v>
      </c>
    </row>
    <row r="3175" spans="1:22" x14ac:dyDescent="0.3">
      <c r="A3175">
        <v>3174</v>
      </c>
      <c r="B3175">
        <v>53564</v>
      </c>
      <c r="C3175" s="2">
        <v>38548</v>
      </c>
      <c r="D3175">
        <v>20</v>
      </c>
      <c r="E3175" t="s">
        <v>42</v>
      </c>
      <c r="F3175" t="s">
        <v>50</v>
      </c>
      <c r="G3175" s="2">
        <v>45621</v>
      </c>
      <c r="H3175" s="3">
        <f t="shared" si="49"/>
        <v>1.4821917808219178</v>
      </c>
      <c r="I3175">
        <v>23</v>
      </c>
      <c r="J3175" t="s">
        <v>38</v>
      </c>
      <c r="K3175" t="s">
        <v>56</v>
      </c>
      <c r="L3175" t="s">
        <v>44</v>
      </c>
      <c r="M3175">
        <v>8.4700000000000006</v>
      </c>
      <c r="T3175" t="s">
        <v>47</v>
      </c>
      <c r="U3175">
        <v>2</v>
      </c>
      <c r="V3175">
        <v>5</v>
      </c>
    </row>
    <row r="3176" spans="1:22" x14ac:dyDescent="0.3">
      <c r="A3176">
        <v>3175</v>
      </c>
      <c r="B3176">
        <v>53565</v>
      </c>
      <c r="C3176" s="2">
        <v>37403</v>
      </c>
      <c r="D3176">
        <v>23</v>
      </c>
      <c r="E3176" t="s">
        <v>42</v>
      </c>
      <c r="F3176" t="s">
        <v>37</v>
      </c>
      <c r="G3176" s="2">
        <v>45481</v>
      </c>
      <c r="H3176" s="3">
        <f t="shared" si="49"/>
        <v>1.7726027397260273</v>
      </c>
      <c r="I3176">
        <v>23</v>
      </c>
      <c r="J3176" t="s">
        <v>38</v>
      </c>
      <c r="K3176" t="s">
        <v>56</v>
      </c>
      <c r="L3176" t="s">
        <v>44</v>
      </c>
      <c r="M3176">
        <v>8.4700000000000006</v>
      </c>
      <c r="T3176" t="s">
        <v>47</v>
      </c>
      <c r="U3176">
        <v>2</v>
      </c>
      <c r="V3176">
        <v>5</v>
      </c>
    </row>
    <row r="3177" spans="1:22" x14ac:dyDescent="0.3">
      <c r="A3177">
        <v>3176</v>
      </c>
      <c r="B3177">
        <v>53566</v>
      </c>
      <c r="C3177" s="2">
        <v>38508</v>
      </c>
      <c r="D3177">
        <v>20</v>
      </c>
      <c r="E3177" t="s">
        <v>42</v>
      </c>
      <c r="F3177" t="s">
        <v>50</v>
      </c>
      <c r="G3177" s="2">
        <v>45375</v>
      </c>
      <c r="H3177" s="3">
        <f t="shared" si="49"/>
        <v>1.4602739726027398</v>
      </c>
      <c r="I3177">
        <v>23</v>
      </c>
      <c r="J3177" t="s">
        <v>38</v>
      </c>
      <c r="K3177" t="s">
        <v>56</v>
      </c>
      <c r="L3177" t="s">
        <v>44</v>
      </c>
      <c r="M3177">
        <v>8.4700000000000006</v>
      </c>
      <c r="T3177" t="s">
        <v>52</v>
      </c>
      <c r="U3177">
        <v>2</v>
      </c>
      <c r="V3177">
        <v>6</v>
      </c>
    </row>
    <row r="3178" spans="1:22" x14ac:dyDescent="0.3">
      <c r="A3178">
        <v>3177</v>
      </c>
      <c r="B3178">
        <v>53567</v>
      </c>
      <c r="C3178" s="2">
        <v>38227</v>
      </c>
      <c r="D3178">
        <v>21</v>
      </c>
      <c r="E3178" t="s">
        <v>42</v>
      </c>
      <c r="F3178" t="s">
        <v>50</v>
      </c>
      <c r="G3178" s="2">
        <v>45489</v>
      </c>
      <c r="H3178" s="3">
        <f t="shared" si="49"/>
        <v>1.3972602739726028</v>
      </c>
      <c r="I3178">
        <v>24</v>
      </c>
      <c r="J3178" t="s">
        <v>38</v>
      </c>
      <c r="K3178" t="s">
        <v>56</v>
      </c>
      <c r="L3178" t="s">
        <v>44</v>
      </c>
      <c r="M3178">
        <v>8.4700000000000006</v>
      </c>
      <c r="T3178" t="s">
        <v>45</v>
      </c>
      <c r="U3178">
        <v>2</v>
      </c>
      <c r="V3178">
        <v>6</v>
      </c>
    </row>
    <row r="3179" spans="1:22" x14ac:dyDescent="0.3">
      <c r="A3179">
        <v>3178</v>
      </c>
      <c r="B3179">
        <v>53568</v>
      </c>
      <c r="C3179" s="2">
        <v>36651</v>
      </c>
      <c r="D3179">
        <v>25</v>
      </c>
      <c r="E3179" t="s">
        <v>42</v>
      </c>
      <c r="F3179" t="s">
        <v>50</v>
      </c>
      <c r="G3179" s="2">
        <v>45512</v>
      </c>
      <c r="H3179" s="3">
        <f t="shared" si="49"/>
        <v>1.547945205479452</v>
      </c>
      <c r="I3179">
        <v>26</v>
      </c>
      <c r="J3179" t="s">
        <v>38</v>
      </c>
      <c r="K3179" t="s">
        <v>65</v>
      </c>
      <c r="L3179" t="s">
        <v>44</v>
      </c>
      <c r="M3179">
        <v>10.64</v>
      </c>
      <c r="T3179" t="s">
        <v>47</v>
      </c>
      <c r="U3179">
        <v>0</v>
      </c>
      <c r="V3179">
        <v>7</v>
      </c>
    </row>
    <row r="3180" spans="1:22" x14ac:dyDescent="0.3">
      <c r="A3180">
        <v>3179</v>
      </c>
      <c r="B3180">
        <v>53569</v>
      </c>
      <c r="C3180" s="2">
        <v>38828</v>
      </c>
      <c r="D3180">
        <v>19</v>
      </c>
      <c r="E3180" t="s">
        <v>42</v>
      </c>
      <c r="F3180" t="s">
        <v>50</v>
      </c>
      <c r="G3180" s="2">
        <v>45457</v>
      </c>
      <c r="H3180" s="3">
        <f t="shared" si="49"/>
        <v>1.452054794520548</v>
      </c>
      <c r="I3180">
        <v>26</v>
      </c>
      <c r="J3180" t="s">
        <v>38</v>
      </c>
      <c r="K3180" t="s">
        <v>56</v>
      </c>
      <c r="L3180" t="s">
        <v>44</v>
      </c>
      <c r="M3180">
        <v>8.4700000000000006</v>
      </c>
      <c r="T3180" t="s">
        <v>49</v>
      </c>
      <c r="U3180">
        <v>2</v>
      </c>
      <c r="V3180">
        <v>6</v>
      </c>
    </row>
    <row r="3181" spans="1:22" x14ac:dyDescent="0.3">
      <c r="A3181">
        <v>3180</v>
      </c>
      <c r="B3181">
        <v>53570</v>
      </c>
      <c r="C3181" s="2">
        <v>38625</v>
      </c>
      <c r="D3181">
        <v>20</v>
      </c>
      <c r="E3181" t="s">
        <v>42</v>
      </c>
      <c r="F3181" t="s">
        <v>50</v>
      </c>
      <c r="G3181" s="2">
        <v>45492</v>
      </c>
      <c r="H3181" s="3">
        <f t="shared" si="49"/>
        <v>1.3753424657534246</v>
      </c>
      <c r="I3181">
        <v>26</v>
      </c>
      <c r="J3181" t="s">
        <v>38</v>
      </c>
      <c r="K3181" t="s">
        <v>56</v>
      </c>
      <c r="L3181" t="s">
        <v>44</v>
      </c>
      <c r="M3181">
        <v>8.4700000000000006</v>
      </c>
      <c r="T3181" t="s">
        <v>47</v>
      </c>
      <c r="U3181">
        <v>1</v>
      </c>
      <c r="V3181">
        <v>6</v>
      </c>
    </row>
    <row r="3182" spans="1:22" x14ac:dyDescent="0.3">
      <c r="A3182">
        <v>3181</v>
      </c>
      <c r="B3182">
        <v>53571</v>
      </c>
      <c r="C3182" s="2">
        <v>38040</v>
      </c>
      <c r="D3182">
        <v>21</v>
      </c>
      <c r="E3182" t="s">
        <v>42</v>
      </c>
      <c r="F3182" t="s">
        <v>50</v>
      </c>
      <c r="G3182" s="2">
        <v>45520</v>
      </c>
      <c r="H3182" s="3">
        <f t="shared" si="49"/>
        <v>1.9150684931506849</v>
      </c>
      <c r="I3182">
        <v>28</v>
      </c>
      <c r="J3182" t="s">
        <v>38</v>
      </c>
      <c r="K3182" t="s">
        <v>65</v>
      </c>
      <c r="L3182" t="s">
        <v>44</v>
      </c>
      <c r="M3182">
        <v>10.64</v>
      </c>
      <c r="T3182" t="s">
        <v>45</v>
      </c>
      <c r="U3182">
        <v>0</v>
      </c>
      <c r="V3182">
        <v>7</v>
      </c>
    </row>
    <row r="3183" spans="1:22" x14ac:dyDescent="0.3">
      <c r="A3183">
        <v>3182</v>
      </c>
      <c r="B3183">
        <v>53572</v>
      </c>
      <c r="C3183" s="2">
        <v>36736</v>
      </c>
      <c r="D3183">
        <v>25</v>
      </c>
      <c r="E3183" t="s">
        <v>42</v>
      </c>
      <c r="F3183" t="s">
        <v>50</v>
      </c>
      <c r="G3183" s="2">
        <v>45323</v>
      </c>
      <c r="H3183" s="3">
        <f t="shared" si="49"/>
        <v>1.0821917808219179</v>
      </c>
      <c r="I3183">
        <v>28</v>
      </c>
      <c r="J3183" t="s">
        <v>38</v>
      </c>
      <c r="K3183" t="s">
        <v>65</v>
      </c>
      <c r="L3183" t="s">
        <v>44</v>
      </c>
      <c r="M3183">
        <v>10.64</v>
      </c>
      <c r="T3183" t="s">
        <v>52</v>
      </c>
      <c r="U3183">
        <v>1</v>
      </c>
      <c r="V3183">
        <v>5</v>
      </c>
    </row>
    <row r="3184" spans="1:22" x14ac:dyDescent="0.3">
      <c r="A3184">
        <v>3183</v>
      </c>
      <c r="B3184">
        <v>53573</v>
      </c>
      <c r="C3184" s="2">
        <v>38167</v>
      </c>
      <c r="D3184">
        <v>21</v>
      </c>
      <c r="E3184" t="s">
        <v>42</v>
      </c>
      <c r="F3184" t="s">
        <v>50</v>
      </c>
      <c r="G3184" s="2">
        <v>45627</v>
      </c>
      <c r="H3184" s="3">
        <f t="shared" si="49"/>
        <v>1.5013698630136987</v>
      </c>
      <c r="I3184">
        <v>28</v>
      </c>
      <c r="J3184" t="s">
        <v>38</v>
      </c>
      <c r="K3184" t="s">
        <v>56</v>
      </c>
      <c r="L3184" t="s">
        <v>44</v>
      </c>
      <c r="M3184">
        <v>8.4700000000000006</v>
      </c>
      <c r="T3184" t="s">
        <v>45</v>
      </c>
      <c r="U3184">
        <v>2</v>
      </c>
      <c r="V3184">
        <v>6</v>
      </c>
    </row>
    <row r="3185" spans="1:22" x14ac:dyDescent="0.3">
      <c r="A3185">
        <v>3184</v>
      </c>
      <c r="B3185">
        <v>53574</v>
      </c>
      <c r="C3185" s="2">
        <v>37366</v>
      </c>
      <c r="D3185">
        <v>23</v>
      </c>
      <c r="E3185" t="s">
        <v>42</v>
      </c>
      <c r="F3185" t="s">
        <v>50</v>
      </c>
      <c r="G3185" s="2">
        <v>45474</v>
      </c>
      <c r="H3185" s="3">
        <f t="shared" si="49"/>
        <v>1.3068493150684932</v>
      </c>
      <c r="I3185">
        <v>30</v>
      </c>
      <c r="J3185" t="s">
        <v>38</v>
      </c>
      <c r="K3185" t="s">
        <v>56</v>
      </c>
      <c r="L3185" t="s">
        <v>44</v>
      </c>
      <c r="M3185">
        <v>8.4700000000000006</v>
      </c>
      <c r="T3185" t="s">
        <v>52</v>
      </c>
      <c r="U3185">
        <v>1</v>
      </c>
      <c r="V3185">
        <v>6</v>
      </c>
    </row>
    <row r="3186" spans="1:22" x14ac:dyDescent="0.3">
      <c r="A3186">
        <v>3185</v>
      </c>
      <c r="B3186">
        <v>53575</v>
      </c>
      <c r="C3186" s="2">
        <v>39363</v>
      </c>
      <c r="D3186">
        <v>18</v>
      </c>
      <c r="E3186" t="s">
        <v>42</v>
      </c>
      <c r="F3186" t="s">
        <v>50</v>
      </c>
      <c r="G3186" s="2">
        <v>45545</v>
      </c>
      <c r="H3186" s="3">
        <f t="shared" si="49"/>
        <v>1.2575342465753425</v>
      </c>
      <c r="I3186">
        <v>30</v>
      </c>
      <c r="J3186" t="s">
        <v>38</v>
      </c>
      <c r="K3186" t="s">
        <v>56</v>
      </c>
      <c r="L3186" t="s">
        <v>44</v>
      </c>
      <c r="M3186">
        <v>8.4700000000000006</v>
      </c>
      <c r="T3186" t="s">
        <v>45</v>
      </c>
      <c r="U3186">
        <v>4</v>
      </c>
      <c r="V3186">
        <v>7</v>
      </c>
    </row>
    <row r="3187" spans="1:22" x14ac:dyDescent="0.3">
      <c r="A3187">
        <v>3186</v>
      </c>
      <c r="B3187">
        <v>53576</v>
      </c>
      <c r="C3187" s="2">
        <v>38855</v>
      </c>
      <c r="D3187">
        <v>19</v>
      </c>
      <c r="E3187" t="s">
        <v>42</v>
      </c>
      <c r="F3187" t="s">
        <v>50</v>
      </c>
      <c r="G3187" s="2">
        <v>45563</v>
      </c>
      <c r="H3187" s="3">
        <f t="shared" si="49"/>
        <v>1.1808219178082191</v>
      </c>
      <c r="I3187">
        <v>30</v>
      </c>
      <c r="J3187" t="s">
        <v>38</v>
      </c>
      <c r="K3187" t="s">
        <v>56</v>
      </c>
      <c r="L3187" t="s">
        <v>44</v>
      </c>
      <c r="M3187">
        <v>8.4700000000000006</v>
      </c>
      <c r="T3187" t="s">
        <v>49</v>
      </c>
      <c r="U3187">
        <v>1</v>
      </c>
      <c r="V3187">
        <v>6</v>
      </c>
    </row>
    <row r="3188" spans="1:22" x14ac:dyDescent="0.3">
      <c r="A3188">
        <v>3187</v>
      </c>
      <c r="B3188">
        <v>53577</v>
      </c>
      <c r="C3188" s="2">
        <v>38532</v>
      </c>
      <c r="D3188">
        <v>20</v>
      </c>
      <c r="E3188" t="s">
        <v>42</v>
      </c>
      <c r="F3188" t="s">
        <v>37</v>
      </c>
      <c r="G3188" s="2">
        <v>45591</v>
      </c>
      <c r="H3188" s="3">
        <f t="shared" si="49"/>
        <v>1.178082191780822</v>
      </c>
      <c r="I3188">
        <v>30</v>
      </c>
      <c r="J3188" t="s">
        <v>38</v>
      </c>
      <c r="K3188" t="s">
        <v>56</v>
      </c>
      <c r="L3188" t="s">
        <v>44</v>
      </c>
      <c r="M3188">
        <v>8.4700000000000006</v>
      </c>
      <c r="T3188" t="s">
        <v>52</v>
      </c>
      <c r="U3188">
        <v>0</v>
      </c>
      <c r="V3188">
        <v>3</v>
      </c>
    </row>
    <row r="3189" spans="1:22" x14ac:dyDescent="0.3">
      <c r="A3189">
        <v>3188</v>
      </c>
      <c r="B3189">
        <v>53578</v>
      </c>
      <c r="C3189" s="2">
        <v>35416</v>
      </c>
      <c r="D3189">
        <v>29</v>
      </c>
      <c r="E3189" t="s">
        <v>42</v>
      </c>
      <c r="F3189" t="s">
        <v>37</v>
      </c>
      <c r="G3189" s="2">
        <v>45592</v>
      </c>
      <c r="H3189" s="3">
        <f t="shared" si="49"/>
        <v>1.1945205479452055</v>
      </c>
      <c r="I3189">
        <v>30</v>
      </c>
      <c r="J3189" t="s">
        <v>38</v>
      </c>
      <c r="K3189" t="s">
        <v>56</v>
      </c>
      <c r="L3189" t="s">
        <v>44</v>
      </c>
      <c r="M3189">
        <v>8.4700000000000006</v>
      </c>
      <c r="T3189" t="s">
        <v>52</v>
      </c>
      <c r="U3189">
        <v>0</v>
      </c>
      <c r="V3189">
        <v>5</v>
      </c>
    </row>
    <row r="3190" spans="1:22" x14ac:dyDescent="0.3">
      <c r="A3190">
        <v>3189</v>
      </c>
      <c r="B3190">
        <v>53580</v>
      </c>
      <c r="C3190" s="2">
        <v>38670</v>
      </c>
      <c r="D3190">
        <v>20</v>
      </c>
      <c r="E3190" t="s">
        <v>36</v>
      </c>
      <c r="F3190" t="s">
        <v>50</v>
      </c>
      <c r="G3190" s="2">
        <v>45586</v>
      </c>
      <c r="H3190" s="3">
        <f t="shared" si="49"/>
        <v>1.3205479452054794</v>
      </c>
      <c r="I3190">
        <v>31</v>
      </c>
      <c r="J3190" t="s">
        <v>38</v>
      </c>
      <c r="K3190" t="s">
        <v>46</v>
      </c>
      <c r="L3190" t="s">
        <v>44</v>
      </c>
      <c r="M3190">
        <v>14.23</v>
      </c>
      <c r="T3190" t="s">
        <v>49</v>
      </c>
      <c r="U3190">
        <v>1</v>
      </c>
      <c r="V3190">
        <v>4</v>
      </c>
    </row>
    <row r="3191" spans="1:22" x14ac:dyDescent="0.3">
      <c r="A3191">
        <v>3190</v>
      </c>
      <c r="B3191">
        <v>53581</v>
      </c>
      <c r="C3191" s="2">
        <v>38696</v>
      </c>
      <c r="D3191">
        <v>20</v>
      </c>
      <c r="E3191" t="s">
        <v>36</v>
      </c>
      <c r="F3191" t="s">
        <v>50</v>
      </c>
      <c r="G3191" s="2">
        <v>45540</v>
      </c>
      <c r="H3191" s="3">
        <f t="shared" si="49"/>
        <v>1.2821917808219179</v>
      </c>
      <c r="I3191">
        <v>32</v>
      </c>
      <c r="J3191" t="s">
        <v>38</v>
      </c>
      <c r="K3191" t="s">
        <v>56</v>
      </c>
      <c r="L3191" t="s">
        <v>44</v>
      </c>
      <c r="M3191">
        <v>8.4700000000000006</v>
      </c>
      <c r="T3191" t="s">
        <v>52</v>
      </c>
      <c r="U3191">
        <v>2</v>
      </c>
      <c r="V3191">
        <v>4</v>
      </c>
    </row>
    <row r="3192" spans="1:22" x14ac:dyDescent="0.3">
      <c r="A3192">
        <v>3191</v>
      </c>
      <c r="B3192">
        <v>53582</v>
      </c>
      <c r="C3192" s="2">
        <v>38095</v>
      </c>
      <c r="D3192">
        <v>21</v>
      </c>
      <c r="E3192" t="s">
        <v>42</v>
      </c>
      <c r="F3192" t="s">
        <v>50</v>
      </c>
      <c r="G3192" s="2">
        <v>45554</v>
      </c>
      <c r="H3192" s="3">
        <f t="shared" si="49"/>
        <v>1.0383561643835617</v>
      </c>
      <c r="I3192">
        <v>32</v>
      </c>
      <c r="J3192" t="s">
        <v>38</v>
      </c>
      <c r="K3192" t="s">
        <v>56</v>
      </c>
      <c r="L3192" t="s">
        <v>44</v>
      </c>
      <c r="M3192">
        <v>8.4700000000000006</v>
      </c>
      <c r="T3192" t="s">
        <v>45</v>
      </c>
      <c r="U3192">
        <v>2</v>
      </c>
      <c r="V3192">
        <v>7</v>
      </c>
    </row>
    <row r="3193" spans="1:22" x14ac:dyDescent="0.3">
      <c r="A3193">
        <v>3192</v>
      </c>
      <c r="B3193">
        <v>53583</v>
      </c>
      <c r="C3193" s="2">
        <v>37188</v>
      </c>
      <c r="D3193">
        <v>24</v>
      </c>
      <c r="E3193" t="s">
        <v>42</v>
      </c>
      <c r="F3193" t="s">
        <v>50</v>
      </c>
      <c r="G3193" s="2">
        <v>45643</v>
      </c>
      <c r="H3193" s="3">
        <f t="shared" si="49"/>
        <v>1.095890410958904</v>
      </c>
      <c r="I3193">
        <v>32</v>
      </c>
      <c r="J3193" t="s">
        <v>38</v>
      </c>
      <c r="K3193" t="s">
        <v>56</v>
      </c>
      <c r="L3193" t="s">
        <v>44</v>
      </c>
      <c r="M3193">
        <v>8.4700000000000006</v>
      </c>
      <c r="T3193" t="s">
        <v>52</v>
      </c>
      <c r="U3193">
        <v>2</v>
      </c>
      <c r="V3193">
        <v>6</v>
      </c>
    </row>
    <row r="3194" spans="1:22" x14ac:dyDescent="0.3">
      <c r="A3194">
        <v>3193</v>
      </c>
      <c r="B3194">
        <v>53585</v>
      </c>
      <c r="C3194" s="2">
        <v>34108</v>
      </c>
      <c r="D3194">
        <v>32</v>
      </c>
      <c r="E3194" t="s">
        <v>36</v>
      </c>
      <c r="F3194" t="s">
        <v>50</v>
      </c>
      <c r="G3194" s="2">
        <v>45622</v>
      </c>
      <c r="H3194" s="3">
        <f t="shared" si="49"/>
        <v>1.6438356164383561</v>
      </c>
      <c r="I3194">
        <v>35</v>
      </c>
      <c r="J3194" t="s">
        <v>38</v>
      </c>
      <c r="K3194" t="s">
        <v>56</v>
      </c>
      <c r="L3194" t="s">
        <v>44</v>
      </c>
      <c r="M3194">
        <v>8.4700000000000006</v>
      </c>
      <c r="T3194" t="s">
        <v>52</v>
      </c>
      <c r="U3194">
        <v>0</v>
      </c>
      <c r="V3194">
        <v>4</v>
      </c>
    </row>
    <row r="3195" spans="1:22" x14ac:dyDescent="0.3">
      <c r="A3195">
        <v>3194</v>
      </c>
      <c r="B3195">
        <v>53586</v>
      </c>
      <c r="C3195" s="2">
        <v>37916</v>
      </c>
      <c r="D3195">
        <v>22</v>
      </c>
      <c r="E3195" t="s">
        <v>42</v>
      </c>
      <c r="F3195" t="s">
        <v>50</v>
      </c>
      <c r="G3195" s="2">
        <v>45422</v>
      </c>
      <c r="H3195" s="3">
        <f t="shared" si="49"/>
        <v>1.6109589041095891</v>
      </c>
      <c r="I3195">
        <v>35</v>
      </c>
      <c r="J3195" t="s">
        <v>38</v>
      </c>
      <c r="K3195" t="s">
        <v>56</v>
      </c>
      <c r="L3195" t="s">
        <v>44</v>
      </c>
      <c r="M3195">
        <v>8.4700000000000006</v>
      </c>
      <c r="T3195" t="s">
        <v>52</v>
      </c>
      <c r="U3195">
        <v>0</v>
      </c>
      <c r="V3195">
        <v>6</v>
      </c>
    </row>
    <row r="3196" spans="1:22" x14ac:dyDescent="0.3">
      <c r="A3196">
        <v>3195</v>
      </c>
      <c r="B3196">
        <v>53587</v>
      </c>
      <c r="C3196" s="2">
        <v>38907</v>
      </c>
      <c r="D3196">
        <v>19</v>
      </c>
      <c r="E3196" t="s">
        <v>42</v>
      </c>
      <c r="F3196" t="s">
        <v>50</v>
      </c>
      <c r="G3196" s="2">
        <v>45434</v>
      </c>
      <c r="H3196" s="3">
        <f t="shared" si="49"/>
        <v>1.2438356164383562</v>
      </c>
      <c r="I3196">
        <v>36</v>
      </c>
      <c r="J3196" t="s">
        <v>38</v>
      </c>
      <c r="K3196" t="s">
        <v>56</v>
      </c>
      <c r="L3196" t="s">
        <v>44</v>
      </c>
      <c r="M3196">
        <v>8.4700000000000006</v>
      </c>
      <c r="T3196" t="s">
        <v>52</v>
      </c>
      <c r="U3196">
        <v>2</v>
      </c>
      <c r="V3196">
        <v>6</v>
      </c>
    </row>
    <row r="3197" spans="1:22" x14ac:dyDescent="0.3">
      <c r="A3197">
        <v>3196</v>
      </c>
      <c r="B3197">
        <v>53588</v>
      </c>
      <c r="C3197" s="2">
        <v>36126</v>
      </c>
      <c r="D3197">
        <v>27</v>
      </c>
      <c r="E3197" t="s">
        <v>42</v>
      </c>
      <c r="F3197" t="s">
        <v>37</v>
      </c>
      <c r="G3197" s="2">
        <v>45568</v>
      </c>
      <c r="H3197" s="3">
        <f t="shared" si="49"/>
        <v>1.2027397260273973</v>
      </c>
      <c r="I3197">
        <v>36</v>
      </c>
      <c r="J3197" t="s">
        <v>38</v>
      </c>
      <c r="K3197" t="s">
        <v>56</v>
      </c>
      <c r="L3197" t="s">
        <v>44</v>
      </c>
      <c r="M3197">
        <v>8.4700000000000006</v>
      </c>
      <c r="T3197" t="s">
        <v>47</v>
      </c>
      <c r="U3197">
        <v>2</v>
      </c>
      <c r="V3197">
        <v>3</v>
      </c>
    </row>
    <row r="3198" spans="1:22" x14ac:dyDescent="0.3">
      <c r="A3198">
        <v>3197</v>
      </c>
      <c r="B3198">
        <v>53589</v>
      </c>
      <c r="C3198" s="2">
        <v>34736</v>
      </c>
      <c r="D3198">
        <v>30</v>
      </c>
      <c r="E3198" t="s">
        <v>42</v>
      </c>
      <c r="F3198" t="s">
        <v>50</v>
      </c>
      <c r="G3198" s="2">
        <v>45583</v>
      </c>
      <c r="H3198" s="3">
        <f t="shared" si="49"/>
        <v>1.6904109589041096</v>
      </c>
      <c r="I3198">
        <v>37</v>
      </c>
      <c r="J3198" t="s">
        <v>38</v>
      </c>
      <c r="K3198" t="s">
        <v>55</v>
      </c>
      <c r="L3198" t="s">
        <v>44</v>
      </c>
      <c r="M3198">
        <v>17.59</v>
      </c>
      <c r="T3198" t="s">
        <v>45</v>
      </c>
      <c r="U3198">
        <v>4</v>
      </c>
      <c r="V3198">
        <v>6</v>
      </c>
    </row>
    <row r="3199" spans="1:22" x14ac:dyDescent="0.3">
      <c r="A3199">
        <v>3198</v>
      </c>
      <c r="B3199">
        <v>53590</v>
      </c>
      <c r="C3199" s="2">
        <v>33140</v>
      </c>
      <c r="D3199">
        <v>35</v>
      </c>
      <c r="E3199" t="s">
        <v>36</v>
      </c>
      <c r="F3199" t="s">
        <v>50</v>
      </c>
      <c r="G3199" s="2">
        <v>45405</v>
      </c>
      <c r="H3199" s="3">
        <f t="shared" si="49"/>
        <v>1.021917808219178</v>
      </c>
      <c r="I3199">
        <v>39</v>
      </c>
      <c r="J3199" t="s">
        <v>38</v>
      </c>
      <c r="K3199" t="s">
        <v>46</v>
      </c>
      <c r="L3199" t="s">
        <v>44</v>
      </c>
      <c r="M3199">
        <v>14.23</v>
      </c>
      <c r="T3199" t="s">
        <v>45</v>
      </c>
      <c r="U3199">
        <v>1</v>
      </c>
      <c r="V3199">
        <v>4</v>
      </c>
    </row>
    <row r="3200" spans="1:22" x14ac:dyDescent="0.3">
      <c r="A3200">
        <v>3199</v>
      </c>
      <c r="B3200">
        <v>53591</v>
      </c>
      <c r="C3200" s="2">
        <v>39019</v>
      </c>
      <c r="D3200">
        <v>19</v>
      </c>
      <c r="E3200" t="s">
        <v>42</v>
      </c>
      <c r="F3200" t="s">
        <v>50</v>
      </c>
      <c r="G3200" s="2">
        <v>45649</v>
      </c>
      <c r="H3200" s="3">
        <f t="shared" si="49"/>
        <v>1.3561643835616439</v>
      </c>
      <c r="I3200">
        <v>39</v>
      </c>
      <c r="J3200" t="s">
        <v>38</v>
      </c>
      <c r="K3200" t="s">
        <v>56</v>
      </c>
      <c r="L3200" t="s">
        <v>44</v>
      </c>
      <c r="M3200">
        <v>8.4700000000000006</v>
      </c>
      <c r="T3200" t="s">
        <v>47</v>
      </c>
      <c r="U3200">
        <v>0</v>
      </c>
      <c r="V3200">
        <v>5</v>
      </c>
    </row>
    <row r="3201" spans="1:22" x14ac:dyDescent="0.3">
      <c r="A3201">
        <v>3200</v>
      </c>
      <c r="B3201">
        <v>53592</v>
      </c>
      <c r="C3201" s="2">
        <v>38974</v>
      </c>
      <c r="D3201">
        <v>19</v>
      </c>
      <c r="E3201" t="s">
        <v>42</v>
      </c>
      <c r="F3201" t="s">
        <v>37</v>
      </c>
      <c r="G3201" s="2">
        <v>45527</v>
      </c>
      <c r="H3201" s="3">
        <f t="shared" si="49"/>
        <v>1.0027397260273974</v>
      </c>
      <c r="I3201">
        <v>41</v>
      </c>
      <c r="J3201" t="s">
        <v>38</v>
      </c>
      <c r="K3201" t="s">
        <v>56</v>
      </c>
      <c r="L3201" t="s">
        <v>44</v>
      </c>
      <c r="M3201">
        <v>8.4700000000000006</v>
      </c>
      <c r="T3201" t="s">
        <v>45</v>
      </c>
      <c r="U3201">
        <v>3</v>
      </c>
      <c r="V3201">
        <v>6</v>
      </c>
    </row>
    <row r="3202" spans="1:22" x14ac:dyDescent="0.3">
      <c r="A3202">
        <v>3201</v>
      </c>
      <c r="B3202">
        <v>53593</v>
      </c>
      <c r="C3202" s="2">
        <v>37678</v>
      </c>
      <c r="D3202">
        <v>22</v>
      </c>
      <c r="E3202" t="s">
        <v>42</v>
      </c>
      <c r="F3202" t="s">
        <v>50</v>
      </c>
      <c r="G3202" s="2">
        <v>45656</v>
      </c>
      <c r="H3202" s="3">
        <f t="shared" si="49"/>
        <v>1.0575342465753426</v>
      </c>
      <c r="I3202">
        <v>41</v>
      </c>
      <c r="J3202" t="s">
        <v>38</v>
      </c>
      <c r="K3202" t="s">
        <v>56</v>
      </c>
      <c r="L3202" t="s">
        <v>44</v>
      </c>
      <c r="M3202">
        <v>8.4700000000000006</v>
      </c>
      <c r="T3202" t="s">
        <v>45</v>
      </c>
      <c r="U3202">
        <v>2</v>
      </c>
      <c r="V3202">
        <v>6</v>
      </c>
    </row>
    <row r="3203" spans="1:22" x14ac:dyDescent="0.3">
      <c r="A3203">
        <v>3202</v>
      </c>
      <c r="B3203">
        <v>53594</v>
      </c>
      <c r="C3203" s="2">
        <v>37966</v>
      </c>
      <c r="D3203">
        <v>22</v>
      </c>
      <c r="E3203" t="s">
        <v>42</v>
      </c>
      <c r="F3203" t="s">
        <v>50</v>
      </c>
      <c r="G3203" s="2">
        <v>45636</v>
      </c>
      <c r="H3203" s="3">
        <f t="shared" ref="H3203:H3266" si="50">DATEDIF(G3204,DATE(2025,12,31),"d")/365</f>
        <v>1.2273972602739727</v>
      </c>
      <c r="I3203">
        <v>41</v>
      </c>
      <c r="J3203" t="s">
        <v>38</v>
      </c>
      <c r="K3203" t="s">
        <v>56</v>
      </c>
      <c r="L3203" t="s">
        <v>44</v>
      </c>
      <c r="M3203">
        <v>8.4700000000000006</v>
      </c>
      <c r="T3203" t="s">
        <v>52</v>
      </c>
      <c r="U3203">
        <v>4</v>
      </c>
      <c r="V3203">
        <v>7</v>
      </c>
    </row>
    <row r="3204" spans="1:22" x14ac:dyDescent="0.3">
      <c r="A3204">
        <v>3203</v>
      </c>
      <c r="B3204">
        <v>53595</v>
      </c>
      <c r="C3204" s="2">
        <v>38699</v>
      </c>
      <c r="D3204">
        <v>20</v>
      </c>
      <c r="E3204" t="s">
        <v>42</v>
      </c>
      <c r="F3204" t="s">
        <v>37</v>
      </c>
      <c r="G3204" s="2">
        <v>45574</v>
      </c>
      <c r="H3204" s="3">
        <f t="shared" si="50"/>
        <v>1.3780821917808219</v>
      </c>
      <c r="I3204">
        <v>41</v>
      </c>
      <c r="J3204" t="s">
        <v>38</v>
      </c>
      <c r="K3204" t="s">
        <v>56</v>
      </c>
      <c r="L3204" t="s">
        <v>44</v>
      </c>
      <c r="M3204">
        <v>8.4700000000000006</v>
      </c>
      <c r="T3204" t="s">
        <v>47</v>
      </c>
      <c r="U3204">
        <v>2</v>
      </c>
      <c r="V3204">
        <v>6</v>
      </c>
    </row>
    <row r="3205" spans="1:22" x14ac:dyDescent="0.3">
      <c r="A3205">
        <v>3204</v>
      </c>
      <c r="B3205">
        <v>53596</v>
      </c>
      <c r="C3205" s="2">
        <v>36204</v>
      </c>
      <c r="D3205">
        <v>26</v>
      </c>
      <c r="E3205" t="s">
        <v>36</v>
      </c>
      <c r="F3205" t="s">
        <v>37</v>
      </c>
      <c r="G3205" s="2">
        <v>45519</v>
      </c>
      <c r="H3205" s="3">
        <f t="shared" si="50"/>
        <v>1.4794520547945205</v>
      </c>
      <c r="I3205">
        <v>41</v>
      </c>
      <c r="J3205" t="s">
        <v>38</v>
      </c>
      <c r="K3205" t="s">
        <v>56</v>
      </c>
      <c r="L3205" t="s">
        <v>44</v>
      </c>
      <c r="M3205">
        <v>8.4700000000000006</v>
      </c>
      <c r="T3205" t="s">
        <v>49</v>
      </c>
      <c r="U3205">
        <v>3</v>
      </c>
      <c r="V3205">
        <v>3</v>
      </c>
    </row>
    <row r="3206" spans="1:22" x14ac:dyDescent="0.3">
      <c r="A3206">
        <v>3205</v>
      </c>
      <c r="B3206">
        <v>53597</v>
      </c>
      <c r="C3206" s="2">
        <v>37245</v>
      </c>
      <c r="D3206">
        <v>24</v>
      </c>
      <c r="E3206" t="s">
        <v>36</v>
      </c>
      <c r="F3206" t="s">
        <v>50</v>
      </c>
      <c r="G3206" s="2">
        <v>45482</v>
      </c>
      <c r="H3206" s="3">
        <f t="shared" si="50"/>
        <v>1.3698630136986301</v>
      </c>
      <c r="I3206">
        <v>41</v>
      </c>
      <c r="J3206" t="s">
        <v>38</v>
      </c>
      <c r="K3206" t="s">
        <v>56</v>
      </c>
      <c r="L3206" t="s">
        <v>44</v>
      </c>
      <c r="M3206">
        <v>8.4700000000000006</v>
      </c>
      <c r="T3206" t="s">
        <v>47</v>
      </c>
      <c r="U3206">
        <v>1</v>
      </c>
      <c r="V3206">
        <v>5</v>
      </c>
    </row>
    <row r="3207" spans="1:22" x14ac:dyDescent="0.3">
      <c r="A3207">
        <v>3206</v>
      </c>
      <c r="B3207">
        <v>53598</v>
      </c>
      <c r="C3207" s="2">
        <v>38078</v>
      </c>
      <c r="D3207">
        <v>22</v>
      </c>
      <c r="E3207" t="s">
        <v>42</v>
      </c>
      <c r="F3207" t="s">
        <v>50</v>
      </c>
      <c r="G3207" s="2">
        <v>45522</v>
      </c>
      <c r="H3207" s="3">
        <f t="shared" si="50"/>
        <v>1.7095890410958905</v>
      </c>
      <c r="I3207">
        <v>43</v>
      </c>
      <c r="J3207" t="s">
        <v>38</v>
      </c>
      <c r="K3207" t="s">
        <v>43</v>
      </c>
      <c r="L3207" t="s">
        <v>44</v>
      </c>
      <c r="M3207">
        <v>16.37</v>
      </c>
      <c r="T3207" t="s">
        <v>45</v>
      </c>
      <c r="U3207">
        <v>1</v>
      </c>
      <c r="V3207">
        <v>7</v>
      </c>
    </row>
    <row r="3208" spans="1:22" x14ac:dyDescent="0.3">
      <c r="A3208">
        <v>3207</v>
      </c>
      <c r="B3208">
        <v>53600</v>
      </c>
      <c r="C3208" s="2">
        <v>38763</v>
      </c>
      <c r="D3208">
        <v>19</v>
      </c>
      <c r="E3208" t="s">
        <v>36</v>
      </c>
      <c r="F3208" t="s">
        <v>50</v>
      </c>
      <c r="G3208" s="2">
        <v>45398</v>
      </c>
      <c r="H3208" s="3">
        <f t="shared" si="50"/>
        <v>1.1287671232876713</v>
      </c>
      <c r="I3208">
        <v>45</v>
      </c>
      <c r="J3208" t="s">
        <v>38</v>
      </c>
      <c r="K3208" t="s">
        <v>56</v>
      </c>
      <c r="L3208" t="s">
        <v>44</v>
      </c>
      <c r="M3208">
        <v>8.4700000000000006</v>
      </c>
      <c r="T3208" t="s">
        <v>45</v>
      </c>
      <c r="U3208">
        <v>1</v>
      </c>
      <c r="V3208">
        <v>4</v>
      </c>
    </row>
    <row r="3209" spans="1:22" x14ac:dyDescent="0.3">
      <c r="A3209">
        <v>3208</v>
      </c>
      <c r="B3209">
        <v>53601</v>
      </c>
      <c r="C3209" s="2">
        <v>37863</v>
      </c>
      <c r="D3209">
        <v>22</v>
      </c>
      <c r="E3209" t="s">
        <v>42</v>
      </c>
      <c r="F3209" t="s">
        <v>37</v>
      </c>
      <c r="G3209" s="2">
        <v>45610</v>
      </c>
      <c r="H3209" s="3">
        <f t="shared" si="50"/>
        <v>1.7123287671232876</v>
      </c>
      <c r="I3209">
        <v>47</v>
      </c>
      <c r="J3209" t="s">
        <v>38</v>
      </c>
      <c r="K3209" t="s">
        <v>65</v>
      </c>
      <c r="L3209" t="s">
        <v>44</v>
      </c>
      <c r="M3209">
        <v>10.64</v>
      </c>
      <c r="T3209" t="s">
        <v>45</v>
      </c>
      <c r="U3209">
        <v>0</v>
      </c>
      <c r="V3209">
        <v>5</v>
      </c>
    </row>
    <row r="3210" spans="1:22" x14ac:dyDescent="0.3">
      <c r="A3210">
        <v>3209</v>
      </c>
      <c r="B3210">
        <v>53602</v>
      </c>
      <c r="C3210" s="2">
        <v>37337</v>
      </c>
      <c r="D3210">
        <v>23</v>
      </c>
      <c r="E3210" t="s">
        <v>42</v>
      </c>
      <c r="F3210" t="s">
        <v>50</v>
      </c>
      <c r="G3210" s="2">
        <v>45397</v>
      </c>
      <c r="H3210" s="3">
        <f t="shared" si="50"/>
        <v>1.2931506849315069</v>
      </c>
      <c r="I3210">
        <v>47</v>
      </c>
      <c r="J3210" t="s">
        <v>38</v>
      </c>
      <c r="K3210" t="s">
        <v>56</v>
      </c>
      <c r="L3210" t="s">
        <v>44</v>
      </c>
      <c r="M3210">
        <v>8.4700000000000006</v>
      </c>
      <c r="T3210" t="s">
        <v>52</v>
      </c>
      <c r="U3210">
        <v>2</v>
      </c>
      <c r="V3210">
        <v>6</v>
      </c>
    </row>
    <row r="3211" spans="1:22" x14ac:dyDescent="0.3">
      <c r="A3211">
        <v>3210</v>
      </c>
      <c r="B3211">
        <v>53603</v>
      </c>
      <c r="C3211" s="2">
        <v>35897</v>
      </c>
      <c r="D3211">
        <v>27</v>
      </c>
      <c r="E3211" t="s">
        <v>42</v>
      </c>
      <c r="F3211" t="s">
        <v>37</v>
      </c>
      <c r="G3211" s="2">
        <v>45550</v>
      </c>
      <c r="H3211" s="3">
        <f t="shared" si="50"/>
        <v>1.789041095890411</v>
      </c>
      <c r="I3211">
        <v>47</v>
      </c>
      <c r="J3211" t="s">
        <v>38</v>
      </c>
      <c r="K3211" t="s">
        <v>56</v>
      </c>
      <c r="L3211" t="s">
        <v>44</v>
      </c>
      <c r="M3211">
        <v>8.4700000000000006</v>
      </c>
      <c r="T3211" t="s">
        <v>49</v>
      </c>
      <c r="U3211">
        <v>1</v>
      </c>
      <c r="V3211">
        <v>6</v>
      </c>
    </row>
    <row r="3212" spans="1:22" x14ac:dyDescent="0.3">
      <c r="A3212">
        <v>3211</v>
      </c>
      <c r="B3212">
        <v>53604</v>
      </c>
      <c r="C3212" s="2">
        <v>37344</v>
      </c>
      <c r="D3212">
        <v>23</v>
      </c>
      <c r="E3212" t="s">
        <v>36</v>
      </c>
      <c r="F3212" t="s">
        <v>50</v>
      </c>
      <c r="G3212" s="2">
        <v>45369</v>
      </c>
      <c r="H3212" s="3">
        <f t="shared" si="50"/>
        <v>1.010958904109589</v>
      </c>
      <c r="I3212">
        <v>47</v>
      </c>
      <c r="J3212" t="s">
        <v>38</v>
      </c>
      <c r="K3212" t="s">
        <v>56</v>
      </c>
      <c r="L3212" t="s">
        <v>44</v>
      </c>
      <c r="M3212">
        <v>8.4700000000000006</v>
      </c>
      <c r="T3212" t="s">
        <v>47</v>
      </c>
      <c r="U3212">
        <v>2</v>
      </c>
      <c r="V3212">
        <v>5</v>
      </c>
    </row>
    <row r="3213" spans="1:22" x14ac:dyDescent="0.3">
      <c r="A3213">
        <v>3212</v>
      </c>
      <c r="B3213">
        <v>53605</v>
      </c>
      <c r="C3213" s="2">
        <v>38771</v>
      </c>
      <c r="D3213">
        <v>19</v>
      </c>
      <c r="E3213" t="s">
        <v>42</v>
      </c>
      <c r="F3213" t="s">
        <v>37</v>
      </c>
      <c r="G3213" s="2">
        <v>45653</v>
      </c>
      <c r="H3213" s="3">
        <f t="shared" si="50"/>
        <v>1.0876712328767124</v>
      </c>
      <c r="I3213">
        <v>47</v>
      </c>
      <c r="J3213" t="s">
        <v>38</v>
      </c>
      <c r="K3213" t="s">
        <v>56</v>
      </c>
      <c r="L3213" t="s">
        <v>44</v>
      </c>
      <c r="M3213">
        <v>8.4700000000000006</v>
      </c>
      <c r="T3213" t="s">
        <v>45</v>
      </c>
      <c r="U3213">
        <v>4</v>
      </c>
      <c r="V3213">
        <v>5</v>
      </c>
    </row>
    <row r="3214" spans="1:22" x14ac:dyDescent="0.3">
      <c r="A3214">
        <v>3213</v>
      </c>
      <c r="B3214">
        <v>53606</v>
      </c>
      <c r="C3214" s="2">
        <v>35829</v>
      </c>
      <c r="D3214">
        <v>27</v>
      </c>
      <c r="E3214" t="s">
        <v>42</v>
      </c>
      <c r="F3214" t="s">
        <v>50</v>
      </c>
      <c r="G3214" s="2">
        <v>45625</v>
      </c>
      <c r="H3214" s="3">
        <f t="shared" si="50"/>
        <v>1.5808219178082192</v>
      </c>
      <c r="I3214">
        <v>47</v>
      </c>
      <c r="J3214" t="s">
        <v>38</v>
      </c>
      <c r="K3214" t="s">
        <v>56</v>
      </c>
      <c r="L3214" t="s">
        <v>44</v>
      </c>
      <c r="M3214">
        <v>8.4700000000000006</v>
      </c>
      <c r="T3214" t="s">
        <v>45</v>
      </c>
      <c r="U3214">
        <v>2</v>
      </c>
      <c r="V3214">
        <v>7</v>
      </c>
    </row>
    <row r="3215" spans="1:22" x14ac:dyDescent="0.3">
      <c r="A3215">
        <v>3214</v>
      </c>
      <c r="B3215">
        <v>53607</v>
      </c>
      <c r="C3215" s="2">
        <v>38019</v>
      </c>
      <c r="D3215">
        <v>21</v>
      </c>
      <c r="E3215" t="s">
        <v>42</v>
      </c>
      <c r="F3215" t="s">
        <v>37</v>
      </c>
      <c r="G3215" s="2">
        <v>45445</v>
      </c>
      <c r="H3215" s="3">
        <f t="shared" si="50"/>
        <v>1.3205479452054794</v>
      </c>
      <c r="I3215">
        <v>47</v>
      </c>
      <c r="J3215" t="s">
        <v>38</v>
      </c>
      <c r="K3215" t="s">
        <v>56</v>
      </c>
      <c r="L3215" t="s">
        <v>44</v>
      </c>
      <c r="M3215">
        <v>8.4700000000000006</v>
      </c>
      <c r="T3215" t="s">
        <v>49</v>
      </c>
      <c r="U3215">
        <v>2</v>
      </c>
      <c r="V3215">
        <v>5</v>
      </c>
    </row>
    <row r="3216" spans="1:22" x14ac:dyDescent="0.3">
      <c r="A3216">
        <v>3215</v>
      </c>
      <c r="B3216">
        <v>53608</v>
      </c>
      <c r="C3216" s="2">
        <v>38450</v>
      </c>
      <c r="D3216">
        <v>20</v>
      </c>
      <c r="E3216" t="s">
        <v>42</v>
      </c>
      <c r="F3216" t="s">
        <v>50</v>
      </c>
      <c r="G3216" s="2">
        <v>45540</v>
      </c>
      <c r="H3216" s="3">
        <f t="shared" si="50"/>
        <v>1.747945205479452</v>
      </c>
      <c r="I3216">
        <v>49</v>
      </c>
      <c r="J3216" t="s">
        <v>38</v>
      </c>
      <c r="K3216" t="s">
        <v>48</v>
      </c>
      <c r="L3216" t="s">
        <v>44</v>
      </c>
      <c r="M3216">
        <v>8.4700000000000006</v>
      </c>
      <c r="T3216" t="s">
        <v>45</v>
      </c>
      <c r="U3216">
        <v>4</v>
      </c>
      <c r="V3216">
        <v>7</v>
      </c>
    </row>
    <row r="3217" spans="1:22" x14ac:dyDescent="0.3">
      <c r="A3217">
        <v>3216</v>
      </c>
      <c r="B3217">
        <v>53609</v>
      </c>
      <c r="C3217" s="2">
        <v>38700</v>
      </c>
      <c r="D3217">
        <v>20</v>
      </c>
      <c r="E3217" t="s">
        <v>42</v>
      </c>
      <c r="F3217" t="s">
        <v>50</v>
      </c>
      <c r="G3217" s="2">
        <v>45384</v>
      </c>
      <c r="H3217" s="3">
        <f t="shared" si="50"/>
        <v>1.0465753424657533</v>
      </c>
      <c r="I3217">
        <v>49</v>
      </c>
      <c r="J3217" t="s">
        <v>38</v>
      </c>
      <c r="K3217" t="s">
        <v>56</v>
      </c>
      <c r="L3217" t="s">
        <v>44</v>
      </c>
      <c r="M3217">
        <v>8.4700000000000006</v>
      </c>
      <c r="T3217" t="s">
        <v>52</v>
      </c>
      <c r="U3217">
        <v>1</v>
      </c>
      <c r="V3217">
        <v>6</v>
      </c>
    </row>
    <row r="3218" spans="1:22" x14ac:dyDescent="0.3">
      <c r="A3218">
        <v>3217</v>
      </c>
      <c r="B3218">
        <v>53610</v>
      </c>
      <c r="C3218" s="2">
        <v>38403</v>
      </c>
      <c r="D3218">
        <v>20</v>
      </c>
      <c r="E3218" t="s">
        <v>42</v>
      </c>
      <c r="F3218" t="s">
        <v>50</v>
      </c>
      <c r="G3218" s="2">
        <v>45640</v>
      </c>
      <c r="H3218" s="3">
        <f t="shared" si="50"/>
        <v>1.736986301369863</v>
      </c>
      <c r="I3218">
        <v>50</v>
      </c>
      <c r="J3218" t="s">
        <v>38</v>
      </c>
      <c r="K3218" t="s">
        <v>56</v>
      </c>
      <c r="L3218" t="s">
        <v>44</v>
      </c>
      <c r="M3218">
        <v>8.4700000000000006</v>
      </c>
      <c r="T3218" t="s">
        <v>49</v>
      </c>
      <c r="U3218">
        <v>4</v>
      </c>
      <c r="V3218">
        <v>7</v>
      </c>
    </row>
    <row r="3219" spans="1:22" x14ac:dyDescent="0.3">
      <c r="A3219">
        <v>3218</v>
      </c>
      <c r="B3219">
        <v>53611</v>
      </c>
      <c r="C3219" s="2">
        <v>37715</v>
      </c>
      <c r="D3219">
        <v>22</v>
      </c>
      <c r="E3219" t="s">
        <v>42</v>
      </c>
      <c r="F3219" t="s">
        <v>50</v>
      </c>
      <c r="G3219" s="2">
        <v>45388</v>
      </c>
      <c r="H3219" s="3">
        <f t="shared" si="50"/>
        <v>1.4575342465753425</v>
      </c>
      <c r="I3219">
        <v>50</v>
      </c>
      <c r="J3219" t="s">
        <v>38</v>
      </c>
      <c r="K3219" t="s">
        <v>56</v>
      </c>
      <c r="L3219" t="s">
        <v>44</v>
      </c>
      <c r="M3219">
        <v>8.4700000000000006</v>
      </c>
      <c r="T3219" t="s">
        <v>47</v>
      </c>
      <c r="U3219">
        <v>0</v>
      </c>
      <c r="V3219">
        <v>4</v>
      </c>
    </row>
    <row r="3220" spans="1:22" x14ac:dyDescent="0.3">
      <c r="A3220">
        <v>3219</v>
      </c>
      <c r="B3220">
        <v>53612</v>
      </c>
      <c r="C3220" s="2">
        <v>37126</v>
      </c>
      <c r="D3220">
        <v>24</v>
      </c>
      <c r="E3220" t="s">
        <v>42</v>
      </c>
      <c r="F3220" t="s">
        <v>37</v>
      </c>
      <c r="G3220" s="2">
        <v>45490</v>
      </c>
      <c r="H3220" s="3">
        <f t="shared" si="50"/>
        <v>1.4821917808219178</v>
      </c>
      <c r="I3220">
        <v>50</v>
      </c>
      <c r="J3220" t="s">
        <v>38</v>
      </c>
      <c r="K3220" t="s">
        <v>56</v>
      </c>
      <c r="L3220" t="s">
        <v>44</v>
      </c>
      <c r="M3220">
        <v>8.4700000000000006</v>
      </c>
      <c r="T3220" t="s">
        <v>45</v>
      </c>
      <c r="U3220">
        <v>3</v>
      </c>
      <c r="V3220">
        <v>6</v>
      </c>
    </row>
    <row r="3221" spans="1:22" x14ac:dyDescent="0.3">
      <c r="A3221">
        <v>3220</v>
      </c>
      <c r="B3221">
        <v>53613</v>
      </c>
      <c r="C3221" s="2">
        <v>37983</v>
      </c>
      <c r="D3221">
        <v>22</v>
      </c>
      <c r="E3221" t="s">
        <v>42</v>
      </c>
      <c r="F3221" t="s">
        <v>50</v>
      </c>
      <c r="G3221" s="2">
        <v>45481</v>
      </c>
      <c r="H3221" s="3">
        <f t="shared" si="50"/>
        <v>1.8465753424657534</v>
      </c>
      <c r="I3221">
        <v>50</v>
      </c>
      <c r="J3221" t="s">
        <v>38</v>
      </c>
      <c r="K3221" t="s">
        <v>56</v>
      </c>
      <c r="L3221" t="s">
        <v>44</v>
      </c>
      <c r="M3221">
        <v>8.4700000000000006</v>
      </c>
      <c r="T3221" t="s">
        <v>45</v>
      </c>
      <c r="U3221">
        <v>4</v>
      </c>
      <c r="V3221">
        <v>7</v>
      </c>
    </row>
    <row r="3222" spans="1:22" x14ac:dyDescent="0.3">
      <c r="A3222">
        <v>3221</v>
      </c>
      <c r="B3222">
        <v>53614</v>
      </c>
      <c r="C3222" s="2">
        <v>38928</v>
      </c>
      <c r="D3222">
        <v>19</v>
      </c>
      <c r="E3222" t="s">
        <v>42</v>
      </c>
      <c r="F3222" t="s">
        <v>50</v>
      </c>
      <c r="G3222" s="2">
        <v>45348</v>
      </c>
      <c r="H3222" s="3">
        <f t="shared" si="50"/>
        <v>1.0054794520547945</v>
      </c>
      <c r="I3222">
        <v>51</v>
      </c>
      <c r="J3222" t="s">
        <v>38</v>
      </c>
      <c r="K3222" t="s">
        <v>48</v>
      </c>
      <c r="L3222" t="s">
        <v>44</v>
      </c>
      <c r="M3222">
        <v>8.4700000000000006</v>
      </c>
      <c r="T3222" t="s">
        <v>52</v>
      </c>
      <c r="U3222">
        <v>2</v>
      </c>
      <c r="V3222">
        <v>6</v>
      </c>
    </row>
    <row r="3223" spans="1:22" x14ac:dyDescent="0.3">
      <c r="A3223">
        <v>3222</v>
      </c>
      <c r="B3223">
        <v>53615</v>
      </c>
      <c r="C3223" s="2">
        <v>35641</v>
      </c>
      <c r="D3223">
        <v>28</v>
      </c>
      <c r="E3223" t="s">
        <v>36</v>
      </c>
      <c r="F3223" t="s">
        <v>37</v>
      </c>
      <c r="G3223" s="2">
        <v>45655</v>
      </c>
      <c r="H3223" s="3">
        <f t="shared" si="50"/>
        <v>1.6904109589041096</v>
      </c>
      <c r="I3223">
        <v>51</v>
      </c>
      <c r="J3223" t="s">
        <v>38</v>
      </c>
      <c r="K3223" t="s">
        <v>56</v>
      </c>
      <c r="L3223" t="s">
        <v>44</v>
      </c>
      <c r="M3223">
        <v>8.4700000000000006</v>
      </c>
      <c r="T3223" t="s">
        <v>45</v>
      </c>
      <c r="U3223">
        <v>2</v>
      </c>
      <c r="V3223">
        <v>4</v>
      </c>
    </row>
    <row r="3224" spans="1:22" x14ac:dyDescent="0.3">
      <c r="A3224">
        <v>3223</v>
      </c>
      <c r="B3224">
        <v>53616</v>
      </c>
      <c r="C3224" s="2">
        <v>38626</v>
      </c>
      <c r="D3224">
        <v>21</v>
      </c>
      <c r="E3224" t="s">
        <v>42</v>
      </c>
      <c r="F3224" t="s">
        <v>50</v>
      </c>
      <c r="G3224" s="2">
        <v>45405</v>
      </c>
      <c r="H3224" s="3">
        <f t="shared" si="50"/>
        <v>1.6438356164383561</v>
      </c>
      <c r="I3224">
        <v>53</v>
      </c>
      <c r="J3224" t="s">
        <v>38</v>
      </c>
      <c r="K3224" t="s">
        <v>56</v>
      </c>
      <c r="L3224" t="s">
        <v>44</v>
      </c>
      <c r="M3224">
        <v>8.4700000000000006</v>
      </c>
      <c r="T3224" t="s">
        <v>52</v>
      </c>
      <c r="U3224">
        <v>2</v>
      </c>
      <c r="V3224">
        <v>6</v>
      </c>
    </row>
    <row r="3225" spans="1:22" x14ac:dyDescent="0.3">
      <c r="A3225">
        <v>3224</v>
      </c>
      <c r="B3225">
        <v>53617</v>
      </c>
      <c r="C3225" s="2">
        <v>37639</v>
      </c>
      <c r="D3225">
        <v>22</v>
      </c>
      <c r="E3225" t="s">
        <v>42</v>
      </c>
      <c r="F3225" t="s">
        <v>37</v>
      </c>
      <c r="G3225" s="2">
        <v>45422</v>
      </c>
      <c r="H3225" s="3">
        <f t="shared" si="50"/>
        <v>1.7205479452054795</v>
      </c>
      <c r="I3225">
        <v>54</v>
      </c>
      <c r="J3225" t="s">
        <v>38</v>
      </c>
      <c r="K3225" t="s">
        <v>65</v>
      </c>
      <c r="L3225" t="s">
        <v>44</v>
      </c>
      <c r="M3225">
        <v>10.64</v>
      </c>
      <c r="T3225" t="s">
        <v>47</v>
      </c>
      <c r="U3225">
        <v>0</v>
      </c>
      <c r="V3225">
        <v>5</v>
      </c>
    </row>
    <row r="3226" spans="1:22" x14ac:dyDescent="0.3">
      <c r="A3226">
        <v>3225</v>
      </c>
      <c r="B3226">
        <v>53618</v>
      </c>
      <c r="C3226" s="2">
        <v>37753</v>
      </c>
      <c r="D3226">
        <v>22</v>
      </c>
      <c r="E3226" t="s">
        <v>42</v>
      </c>
      <c r="F3226" t="s">
        <v>50</v>
      </c>
      <c r="G3226" s="2">
        <v>45394</v>
      </c>
      <c r="H3226" s="3">
        <f t="shared" si="50"/>
        <v>1.3260273972602741</v>
      </c>
      <c r="I3226">
        <v>54</v>
      </c>
      <c r="J3226" t="s">
        <v>38</v>
      </c>
      <c r="K3226" t="s">
        <v>56</v>
      </c>
      <c r="L3226" t="s">
        <v>44</v>
      </c>
      <c r="M3226">
        <v>8.4700000000000006</v>
      </c>
      <c r="T3226" t="s">
        <v>47</v>
      </c>
      <c r="U3226">
        <v>4</v>
      </c>
      <c r="V3226">
        <v>7</v>
      </c>
    </row>
    <row r="3227" spans="1:22" x14ac:dyDescent="0.3">
      <c r="A3227">
        <v>3226</v>
      </c>
      <c r="B3227">
        <v>53619</v>
      </c>
      <c r="C3227" s="2">
        <v>39234</v>
      </c>
      <c r="D3227">
        <v>19</v>
      </c>
      <c r="E3227" t="s">
        <v>42</v>
      </c>
      <c r="F3227" t="s">
        <v>50</v>
      </c>
      <c r="G3227" s="2">
        <v>45538</v>
      </c>
      <c r="H3227" s="3">
        <f t="shared" si="50"/>
        <v>1.2931506849315069</v>
      </c>
      <c r="I3227">
        <v>54</v>
      </c>
      <c r="J3227" t="s">
        <v>38</v>
      </c>
      <c r="K3227" t="s">
        <v>56</v>
      </c>
      <c r="L3227" t="s">
        <v>44</v>
      </c>
      <c r="M3227">
        <v>8.4700000000000006</v>
      </c>
      <c r="T3227" t="s">
        <v>47</v>
      </c>
      <c r="U3227">
        <v>2</v>
      </c>
      <c r="V3227">
        <v>6</v>
      </c>
    </row>
    <row r="3228" spans="1:22" x14ac:dyDescent="0.3">
      <c r="A3228">
        <v>3227</v>
      </c>
      <c r="B3228">
        <v>53620</v>
      </c>
      <c r="C3228" s="2">
        <v>38186</v>
      </c>
      <c r="D3228">
        <v>21</v>
      </c>
      <c r="E3228" t="s">
        <v>42</v>
      </c>
      <c r="F3228" t="s">
        <v>50</v>
      </c>
      <c r="G3228" s="2">
        <v>45550</v>
      </c>
      <c r="H3228" s="3">
        <f t="shared" si="50"/>
        <v>1.8465753424657534</v>
      </c>
      <c r="I3228">
        <v>54</v>
      </c>
      <c r="J3228" t="s">
        <v>38</v>
      </c>
      <c r="K3228" t="s">
        <v>56</v>
      </c>
      <c r="L3228" t="s">
        <v>44</v>
      </c>
      <c r="M3228">
        <v>8.4700000000000006</v>
      </c>
      <c r="T3228" t="s">
        <v>52</v>
      </c>
      <c r="U3228">
        <v>2</v>
      </c>
      <c r="V3228">
        <v>6</v>
      </c>
    </row>
    <row r="3229" spans="1:22" x14ac:dyDescent="0.3">
      <c r="A3229">
        <v>3228</v>
      </c>
      <c r="B3229">
        <v>53621</v>
      </c>
      <c r="C3229" s="2">
        <v>38638</v>
      </c>
      <c r="D3229">
        <v>20</v>
      </c>
      <c r="E3229" t="s">
        <v>36</v>
      </c>
      <c r="F3229" t="s">
        <v>50</v>
      </c>
      <c r="G3229" s="2">
        <v>45348</v>
      </c>
      <c r="H3229" s="3">
        <f t="shared" si="50"/>
        <v>1.0136986301369864</v>
      </c>
      <c r="I3229">
        <v>55</v>
      </c>
      <c r="J3229" t="s">
        <v>38</v>
      </c>
      <c r="K3229" t="s">
        <v>65</v>
      </c>
      <c r="L3229" t="s">
        <v>44</v>
      </c>
      <c r="M3229">
        <v>10.64</v>
      </c>
      <c r="T3229" t="s">
        <v>52</v>
      </c>
      <c r="U3229">
        <v>1</v>
      </c>
      <c r="V3229">
        <v>4</v>
      </c>
    </row>
    <row r="3230" spans="1:22" x14ac:dyDescent="0.3">
      <c r="A3230">
        <v>3229</v>
      </c>
      <c r="B3230">
        <v>53622</v>
      </c>
      <c r="C3230" s="2">
        <v>38987</v>
      </c>
      <c r="D3230">
        <v>19</v>
      </c>
      <c r="E3230" t="s">
        <v>36</v>
      </c>
      <c r="F3230" t="s">
        <v>37</v>
      </c>
      <c r="G3230" s="2">
        <v>45652</v>
      </c>
      <c r="H3230" s="3">
        <f t="shared" si="50"/>
        <v>1.3424657534246576</v>
      </c>
      <c r="I3230">
        <v>55</v>
      </c>
      <c r="J3230" t="s">
        <v>38</v>
      </c>
      <c r="K3230" t="s">
        <v>56</v>
      </c>
      <c r="L3230" t="s">
        <v>44</v>
      </c>
      <c r="M3230">
        <v>8.4700000000000006</v>
      </c>
      <c r="T3230" t="s">
        <v>45</v>
      </c>
      <c r="U3230">
        <v>4</v>
      </c>
      <c r="V3230">
        <v>4</v>
      </c>
    </row>
    <row r="3231" spans="1:22" x14ac:dyDescent="0.3">
      <c r="A3231">
        <v>3230</v>
      </c>
      <c r="B3231">
        <v>53624</v>
      </c>
      <c r="C3231" s="2">
        <v>37903</v>
      </c>
      <c r="D3231">
        <v>22</v>
      </c>
      <c r="E3231" t="s">
        <v>42</v>
      </c>
      <c r="F3231" t="s">
        <v>37</v>
      </c>
      <c r="G3231" s="2">
        <v>45532</v>
      </c>
      <c r="H3231" s="3">
        <f t="shared" si="50"/>
        <v>1.0904109589041096</v>
      </c>
      <c r="I3231">
        <v>56</v>
      </c>
      <c r="J3231" t="s">
        <v>38</v>
      </c>
      <c r="K3231" t="s">
        <v>56</v>
      </c>
      <c r="L3231" t="s">
        <v>44</v>
      </c>
      <c r="M3231">
        <v>8.4700000000000006</v>
      </c>
      <c r="T3231" t="s">
        <v>45</v>
      </c>
      <c r="U3231">
        <v>4</v>
      </c>
      <c r="V3231">
        <v>5</v>
      </c>
    </row>
    <row r="3232" spans="1:22" x14ac:dyDescent="0.3">
      <c r="A3232">
        <v>3231</v>
      </c>
      <c r="B3232">
        <v>53625</v>
      </c>
      <c r="C3232" s="2">
        <v>38200</v>
      </c>
      <c r="D3232">
        <v>22</v>
      </c>
      <c r="E3232" t="s">
        <v>42</v>
      </c>
      <c r="F3232" t="s">
        <v>37</v>
      </c>
      <c r="G3232" s="2">
        <v>45624</v>
      </c>
      <c r="H3232" s="3">
        <f t="shared" si="50"/>
        <v>1.515068493150685</v>
      </c>
      <c r="I3232">
        <v>57</v>
      </c>
      <c r="J3232" t="s">
        <v>38</v>
      </c>
      <c r="K3232" t="s">
        <v>56</v>
      </c>
      <c r="L3232" t="s">
        <v>44</v>
      </c>
      <c r="M3232">
        <v>8.4700000000000006</v>
      </c>
      <c r="T3232" t="s">
        <v>47</v>
      </c>
      <c r="U3232">
        <v>2</v>
      </c>
      <c r="V3232">
        <v>6</v>
      </c>
    </row>
    <row r="3233" spans="1:22" x14ac:dyDescent="0.3">
      <c r="A3233">
        <v>3232</v>
      </c>
      <c r="B3233">
        <v>53626</v>
      </c>
      <c r="C3233" s="2">
        <v>34510</v>
      </c>
      <c r="D3233">
        <v>31</v>
      </c>
      <c r="E3233" t="s">
        <v>36</v>
      </c>
      <c r="F3233" t="s">
        <v>50</v>
      </c>
      <c r="G3233" s="2">
        <v>45469</v>
      </c>
      <c r="H3233" s="3">
        <f t="shared" si="50"/>
        <v>1.4794520547945205</v>
      </c>
      <c r="I3233">
        <v>58</v>
      </c>
      <c r="J3233" t="s">
        <v>38</v>
      </c>
      <c r="K3233" t="s">
        <v>56</v>
      </c>
      <c r="L3233" t="s">
        <v>44</v>
      </c>
      <c r="M3233">
        <v>8.4700000000000006</v>
      </c>
      <c r="T3233" t="s">
        <v>49</v>
      </c>
      <c r="U3233">
        <v>0</v>
      </c>
      <c r="V3233">
        <v>5</v>
      </c>
    </row>
    <row r="3234" spans="1:22" x14ac:dyDescent="0.3">
      <c r="A3234">
        <v>3233</v>
      </c>
      <c r="B3234">
        <v>53627</v>
      </c>
      <c r="C3234" s="2">
        <v>37610</v>
      </c>
      <c r="D3234">
        <v>23</v>
      </c>
      <c r="E3234" t="s">
        <v>42</v>
      </c>
      <c r="F3234" t="s">
        <v>50</v>
      </c>
      <c r="G3234" s="2">
        <v>45482</v>
      </c>
      <c r="H3234" s="3">
        <f t="shared" si="50"/>
        <v>1.8493150684931507</v>
      </c>
      <c r="I3234">
        <v>59</v>
      </c>
      <c r="J3234" t="s">
        <v>38</v>
      </c>
      <c r="K3234" t="s">
        <v>56</v>
      </c>
      <c r="L3234" t="s">
        <v>44</v>
      </c>
      <c r="M3234">
        <v>8.4700000000000006</v>
      </c>
      <c r="T3234" t="s">
        <v>47</v>
      </c>
      <c r="U3234">
        <v>1</v>
      </c>
      <c r="V3234">
        <v>7</v>
      </c>
    </row>
    <row r="3235" spans="1:22" x14ac:dyDescent="0.3">
      <c r="A3235">
        <v>3234</v>
      </c>
      <c r="B3235">
        <v>53628</v>
      </c>
      <c r="C3235" s="2">
        <v>37863</v>
      </c>
      <c r="D3235">
        <v>22</v>
      </c>
      <c r="E3235" t="s">
        <v>42</v>
      </c>
      <c r="F3235" t="s">
        <v>50</v>
      </c>
      <c r="G3235" s="2">
        <v>45347</v>
      </c>
      <c r="H3235" s="3">
        <f t="shared" si="50"/>
        <v>1.7863013698630137</v>
      </c>
      <c r="I3235">
        <v>60</v>
      </c>
      <c r="J3235" t="s">
        <v>38</v>
      </c>
      <c r="K3235" t="s">
        <v>56</v>
      </c>
      <c r="L3235" t="s">
        <v>44</v>
      </c>
      <c r="M3235">
        <v>8.4700000000000006</v>
      </c>
      <c r="T3235" t="s">
        <v>52</v>
      </c>
      <c r="U3235">
        <v>4</v>
      </c>
      <c r="V3235">
        <v>7</v>
      </c>
    </row>
    <row r="3236" spans="1:22" x14ac:dyDescent="0.3">
      <c r="A3236">
        <v>3235</v>
      </c>
      <c r="B3236">
        <v>53629</v>
      </c>
      <c r="C3236" s="2">
        <v>39076</v>
      </c>
      <c r="D3236">
        <v>19</v>
      </c>
      <c r="E3236" t="s">
        <v>42</v>
      </c>
      <c r="F3236" t="s">
        <v>50</v>
      </c>
      <c r="G3236" s="2">
        <v>45370</v>
      </c>
      <c r="H3236" s="3">
        <f t="shared" si="50"/>
        <v>1.1232876712328768</v>
      </c>
      <c r="I3236">
        <v>62</v>
      </c>
      <c r="J3236" t="s">
        <v>38</v>
      </c>
      <c r="K3236" t="s">
        <v>56</v>
      </c>
      <c r="L3236" t="s">
        <v>44</v>
      </c>
      <c r="M3236">
        <v>8.4700000000000006</v>
      </c>
      <c r="T3236" t="s">
        <v>47</v>
      </c>
      <c r="U3236">
        <v>2</v>
      </c>
      <c r="V3236">
        <v>6</v>
      </c>
    </row>
    <row r="3237" spans="1:22" x14ac:dyDescent="0.3">
      <c r="A3237">
        <v>3236</v>
      </c>
      <c r="B3237">
        <v>53630</v>
      </c>
      <c r="C3237" s="2">
        <v>35986</v>
      </c>
      <c r="D3237">
        <v>27</v>
      </c>
      <c r="E3237" t="s">
        <v>42</v>
      </c>
      <c r="F3237" t="s">
        <v>50</v>
      </c>
      <c r="G3237" s="2">
        <v>45612</v>
      </c>
      <c r="H3237" s="3">
        <f t="shared" si="50"/>
        <v>1.2767123287671234</v>
      </c>
      <c r="I3237">
        <v>62</v>
      </c>
      <c r="J3237" t="s">
        <v>38</v>
      </c>
      <c r="K3237" t="s">
        <v>56</v>
      </c>
      <c r="L3237" t="s">
        <v>44</v>
      </c>
      <c r="M3237">
        <v>8.4700000000000006</v>
      </c>
      <c r="T3237" t="s">
        <v>45</v>
      </c>
      <c r="U3237">
        <v>4</v>
      </c>
      <c r="V3237">
        <v>7</v>
      </c>
    </row>
    <row r="3238" spans="1:22" x14ac:dyDescent="0.3">
      <c r="A3238">
        <v>3237</v>
      </c>
      <c r="B3238">
        <v>53631</v>
      </c>
      <c r="C3238" s="2">
        <v>36127</v>
      </c>
      <c r="D3238">
        <v>27</v>
      </c>
      <c r="E3238" t="s">
        <v>42</v>
      </c>
      <c r="F3238" t="s">
        <v>50</v>
      </c>
      <c r="G3238" s="2">
        <v>45556</v>
      </c>
      <c r="H3238" s="3">
        <f t="shared" si="50"/>
        <v>1.3835616438356164</v>
      </c>
      <c r="I3238">
        <v>63</v>
      </c>
      <c r="J3238" t="s">
        <v>38</v>
      </c>
      <c r="K3238" t="s">
        <v>56</v>
      </c>
      <c r="L3238" t="s">
        <v>44</v>
      </c>
      <c r="M3238">
        <v>8.4700000000000006</v>
      </c>
      <c r="T3238" t="s">
        <v>45</v>
      </c>
      <c r="U3238">
        <v>3</v>
      </c>
      <c r="V3238">
        <v>6</v>
      </c>
    </row>
    <row r="3239" spans="1:22" x14ac:dyDescent="0.3">
      <c r="A3239">
        <v>3238</v>
      </c>
      <c r="B3239">
        <v>53632</v>
      </c>
      <c r="C3239" s="2">
        <v>37929</v>
      </c>
      <c r="D3239">
        <v>22</v>
      </c>
      <c r="E3239" t="s">
        <v>42</v>
      </c>
      <c r="F3239" t="s">
        <v>50</v>
      </c>
      <c r="G3239" s="2">
        <v>45517</v>
      </c>
      <c r="H3239" s="3">
        <f t="shared" si="50"/>
        <v>1.5780821917808219</v>
      </c>
      <c r="I3239">
        <v>64</v>
      </c>
      <c r="J3239" t="s">
        <v>38</v>
      </c>
      <c r="K3239" t="s">
        <v>46</v>
      </c>
      <c r="L3239" t="s">
        <v>44</v>
      </c>
      <c r="M3239">
        <v>14.23</v>
      </c>
      <c r="T3239" t="s">
        <v>47</v>
      </c>
      <c r="U3239">
        <v>1</v>
      </c>
      <c r="V3239">
        <v>6</v>
      </c>
    </row>
    <row r="3240" spans="1:22" x14ac:dyDescent="0.3">
      <c r="A3240">
        <v>3239</v>
      </c>
      <c r="B3240">
        <v>53634</v>
      </c>
      <c r="C3240" s="2">
        <v>38510</v>
      </c>
      <c r="D3240">
        <v>20</v>
      </c>
      <c r="E3240" t="s">
        <v>42</v>
      </c>
      <c r="F3240" t="s">
        <v>50</v>
      </c>
      <c r="G3240" s="2">
        <v>45446</v>
      </c>
      <c r="H3240" s="3">
        <f t="shared" si="50"/>
        <v>1.7178082191780821</v>
      </c>
      <c r="I3240">
        <v>66</v>
      </c>
      <c r="J3240" t="s">
        <v>57</v>
      </c>
      <c r="K3240" t="s">
        <v>56</v>
      </c>
      <c r="L3240" t="s">
        <v>44</v>
      </c>
      <c r="M3240">
        <v>8.4700000000000006</v>
      </c>
      <c r="T3240" t="s">
        <v>49</v>
      </c>
      <c r="U3240">
        <v>3</v>
      </c>
      <c r="V3240">
        <v>7</v>
      </c>
    </row>
    <row r="3241" spans="1:22" x14ac:dyDescent="0.3">
      <c r="A3241">
        <v>3240</v>
      </c>
      <c r="B3241">
        <v>53635</v>
      </c>
      <c r="C3241" s="2">
        <v>37821</v>
      </c>
      <c r="D3241">
        <v>22</v>
      </c>
      <c r="E3241" t="s">
        <v>42</v>
      </c>
      <c r="F3241" t="s">
        <v>37</v>
      </c>
      <c r="G3241" s="2">
        <v>45395</v>
      </c>
      <c r="H3241" s="3">
        <f t="shared" si="50"/>
        <v>1.5808219178082192</v>
      </c>
      <c r="I3241">
        <v>66</v>
      </c>
      <c r="J3241" t="s">
        <v>57</v>
      </c>
      <c r="K3241" t="s">
        <v>56</v>
      </c>
      <c r="L3241" t="s">
        <v>44</v>
      </c>
      <c r="M3241">
        <v>8.4700000000000006</v>
      </c>
      <c r="T3241" t="s">
        <v>52</v>
      </c>
      <c r="U3241">
        <v>3</v>
      </c>
      <c r="V3241">
        <v>5</v>
      </c>
    </row>
    <row r="3242" spans="1:22" x14ac:dyDescent="0.3">
      <c r="A3242">
        <v>3241</v>
      </c>
      <c r="B3242">
        <v>53636</v>
      </c>
      <c r="C3242" s="2">
        <v>37042</v>
      </c>
      <c r="D3242">
        <v>24</v>
      </c>
      <c r="E3242" t="s">
        <v>36</v>
      </c>
      <c r="F3242" t="s">
        <v>37</v>
      </c>
      <c r="G3242" s="2">
        <v>45445</v>
      </c>
      <c r="H3242" s="3">
        <f t="shared" si="50"/>
        <v>1.3698630136986301</v>
      </c>
      <c r="I3242">
        <v>68</v>
      </c>
      <c r="J3242" t="s">
        <v>57</v>
      </c>
      <c r="K3242" t="s">
        <v>55</v>
      </c>
      <c r="L3242" t="s">
        <v>44</v>
      </c>
      <c r="M3242">
        <v>17.59</v>
      </c>
      <c r="T3242" t="s">
        <v>52</v>
      </c>
      <c r="U3242">
        <v>4</v>
      </c>
      <c r="V3242">
        <v>4</v>
      </c>
    </row>
    <row r="3243" spans="1:22" x14ac:dyDescent="0.3">
      <c r="A3243">
        <v>3242</v>
      </c>
      <c r="B3243">
        <v>53637</v>
      </c>
      <c r="C3243" s="2">
        <v>32800</v>
      </c>
      <c r="D3243">
        <v>36</v>
      </c>
      <c r="E3243" t="s">
        <v>36</v>
      </c>
      <c r="F3243" t="s">
        <v>50</v>
      </c>
      <c r="G3243" s="2">
        <v>45522</v>
      </c>
      <c r="H3243" s="3">
        <f t="shared" si="50"/>
        <v>1.167123287671233</v>
      </c>
      <c r="I3243">
        <v>70</v>
      </c>
      <c r="J3243" t="s">
        <v>57</v>
      </c>
      <c r="K3243" t="s">
        <v>55</v>
      </c>
      <c r="L3243" t="s">
        <v>44</v>
      </c>
      <c r="M3243">
        <v>17.59</v>
      </c>
      <c r="T3243" t="s">
        <v>52</v>
      </c>
      <c r="U3243">
        <v>3</v>
      </c>
      <c r="V3243">
        <v>4</v>
      </c>
    </row>
    <row r="3244" spans="1:22" x14ac:dyDescent="0.3">
      <c r="A3244">
        <v>3243</v>
      </c>
      <c r="B3244">
        <v>53638</v>
      </c>
      <c r="C3244" s="2">
        <v>36239</v>
      </c>
      <c r="D3244">
        <v>26</v>
      </c>
      <c r="E3244" t="s">
        <v>42</v>
      </c>
      <c r="F3244" t="s">
        <v>37</v>
      </c>
      <c r="G3244" s="2">
        <v>45596</v>
      </c>
      <c r="H3244" s="3">
        <f t="shared" si="50"/>
        <v>1.1232876712328768</v>
      </c>
      <c r="I3244">
        <v>70</v>
      </c>
      <c r="J3244" t="s">
        <v>57</v>
      </c>
      <c r="K3244" t="s">
        <v>55</v>
      </c>
      <c r="L3244" t="s">
        <v>44</v>
      </c>
      <c r="M3244">
        <v>17.59</v>
      </c>
      <c r="T3244" t="s">
        <v>45</v>
      </c>
      <c r="U3244">
        <v>0</v>
      </c>
      <c r="V3244">
        <v>6</v>
      </c>
    </row>
    <row r="3245" spans="1:22" x14ac:dyDescent="0.3">
      <c r="A3245">
        <v>3244</v>
      </c>
      <c r="B3245">
        <v>53639</v>
      </c>
      <c r="C3245" s="2">
        <v>38497</v>
      </c>
      <c r="D3245">
        <v>20</v>
      </c>
      <c r="E3245" t="s">
        <v>42</v>
      </c>
      <c r="F3245" t="s">
        <v>37</v>
      </c>
      <c r="G3245" s="2">
        <v>45612</v>
      </c>
      <c r="H3245" s="3">
        <f t="shared" si="50"/>
        <v>1.3095890410958904</v>
      </c>
      <c r="I3245">
        <v>70</v>
      </c>
      <c r="J3245" t="s">
        <v>57</v>
      </c>
      <c r="K3245" t="s">
        <v>56</v>
      </c>
      <c r="L3245" t="s">
        <v>44</v>
      </c>
      <c r="M3245">
        <v>8.4700000000000006</v>
      </c>
      <c r="T3245" t="s">
        <v>52</v>
      </c>
      <c r="U3245">
        <v>2</v>
      </c>
      <c r="V3245">
        <v>6</v>
      </c>
    </row>
    <row r="3246" spans="1:22" x14ac:dyDescent="0.3">
      <c r="A3246">
        <v>3245</v>
      </c>
      <c r="B3246">
        <v>53640</v>
      </c>
      <c r="C3246" s="2">
        <v>38506</v>
      </c>
      <c r="D3246">
        <v>20</v>
      </c>
      <c r="E3246" t="s">
        <v>42</v>
      </c>
      <c r="F3246" t="s">
        <v>50</v>
      </c>
      <c r="G3246" s="2">
        <v>45544</v>
      </c>
      <c r="H3246" s="3">
        <f t="shared" si="50"/>
        <v>1.2191780821917808</v>
      </c>
      <c r="I3246">
        <v>71</v>
      </c>
      <c r="J3246" t="s">
        <v>57</v>
      </c>
      <c r="K3246" t="s">
        <v>56</v>
      </c>
      <c r="L3246" t="s">
        <v>44</v>
      </c>
      <c r="M3246">
        <v>8.4700000000000006</v>
      </c>
      <c r="T3246" t="s">
        <v>49</v>
      </c>
      <c r="U3246">
        <v>4</v>
      </c>
      <c r="V3246">
        <v>7</v>
      </c>
    </row>
    <row r="3247" spans="1:22" x14ac:dyDescent="0.3">
      <c r="A3247">
        <v>3246</v>
      </c>
      <c r="B3247">
        <v>53641</v>
      </c>
      <c r="C3247" s="2">
        <v>37976</v>
      </c>
      <c r="D3247">
        <v>22</v>
      </c>
      <c r="E3247" t="s">
        <v>42</v>
      </c>
      <c r="F3247" t="s">
        <v>50</v>
      </c>
      <c r="G3247" s="2">
        <v>45577</v>
      </c>
      <c r="H3247" s="3">
        <f t="shared" si="50"/>
        <v>1.5972602739726027</v>
      </c>
      <c r="I3247">
        <v>75</v>
      </c>
      <c r="J3247" t="s">
        <v>57</v>
      </c>
      <c r="K3247" t="s">
        <v>56</v>
      </c>
      <c r="L3247" t="s">
        <v>44</v>
      </c>
      <c r="M3247">
        <v>8.4700000000000006</v>
      </c>
      <c r="T3247" t="s">
        <v>52</v>
      </c>
      <c r="U3247">
        <v>0</v>
      </c>
      <c r="V3247">
        <v>5</v>
      </c>
    </row>
    <row r="3248" spans="1:22" x14ac:dyDescent="0.3">
      <c r="A3248">
        <v>3247</v>
      </c>
      <c r="B3248">
        <v>53642</v>
      </c>
      <c r="C3248" s="2">
        <v>38436</v>
      </c>
      <c r="D3248">
        <v>20</v>
      </c>
      <c r="E3248" t="s">
        <v>42</v>
      </c>
      <c r="F3248" t="s">
        <v>37</v>
      </c>
      <c r="G3248" s="2">
        <v>45439</v>
      </c>
      <c r="H3248" s="3">
        <f t="shared" si="50"/>
        <v>1.6794520547945206</v>
      </c>
      <c r="I3248">
        <v>75</v>
      </c>
      <c r="J3248" t="s">
        <v>57</v>
      </c>
      <c r="K3248" t="s">
        <v>56</v>
      </c>
      <c r="L3248" t="s">
        <v>44</v>
      </c>
      <c r="M3248">
        <v>8.4700000000000006</v>
      </c>
      <c r="T3248" t="s">
        <v>49</v>
      </c>
      <c r="U3248">
        <v>2</v>
      </c>
      <c r="V3248">
        <v>6</v>
      </c>
    </row>
    <row r="3249" spans="1:22" x14ac:dyDescent="0.3">
      <c r="A3249">
        <v>3248</v>
      </c>
      <c r="B3249">
        <v>53644</v>
      </c>
      <c r="C3249" s="2">
        <v>38701</v>
      </c>
      <c r="D3249">
        <v>20</v>
      </c>
      <c r="E3249" t="s">
        <v>42</v>
      </c>
      <c r="F3249" t="s">
        <v>50</v>
      </c>
      <c r="G3249" s="2">
        <v>45409</v>
      </c>
      <c r="H3249" s="3">
        <f t="shared" si="50"/>
        <v>1.7424657534246575</v>
      </c>
      <c r="I3249">
        <v>77</v>
      </c>
      <c r="J3249" t="s">
        <v>57</v>
      </c>
      <c r="K3249" t="s">
        <v>56</v>
      </c>
      <c r="L3249" t="s">
        <v>44</v>
      </c>
      <c r="M3249">
        <v>8.4700000000000006</v>
      </c>
      <c r="T3249" t="s">
        <v>45</v>
      </c>
      <c r="U3249">
        <v>2</v>
      </c>
      <c r="V3249">
        <v>5</v>
      </c>
    </row>
    <row r="3250" spans="1:22" x14ac:dyDescent="0.3">
      <c r="A3250">
        <v>3249</v>
      </c>
      <c r="B3250">
        <v>53645</v>
      </c>
      <c r="C3250" s="2">
        <v>38072</v>
      </c>
      <c r="D3250">
        <v>21</v>
      </c>
      <c r="E3250" t="s">
        <v>42</v>
      </c>
      <c r="F3250" t="s">
        <v>37</v>
      </c>
      <c r="G3250" s="2">
        <v>45386</v>
      </c>
      <c r="H3250" s="3">
        <f t="shared" si="50"/>
        <v>1.3589041095890411</v>
      </c>
      <c r="I3250">
        <v>77</v>
      </c>
      <c r="J3250" t="s">
        <v>57</v>
      </c>
      <c r="K3250" t="s">
        <v>56</v>
      </c>
      <c r="L3250" t="s">
        <v>44</v>
      </c>
      <c r="M3250">
        <v>8.4700000000000006</v>
      </c>
      <c r="T3250" t="s">
        <v>52</v>
      </c>
      <c r="U3250">
        <v>0</v>
      </c>
      <c r="V3250">
        <v>4</v>
      </c>
    </row>
    <row r="3251" spans="1:22" x14ac:dyDescent="0.3">
      <c r="A3251">
        <v>3250</v>
      </c>
      <c r="B3251">
        <v>53646</v>
      </c>
      <c r="C3251" s="2">
        <v>38664</v>
      </c>
      <c r="D3251">
        <v>20</v>
      </c>
      <c r="E3251" t="s">
        <v>42</v>
      </c>
      <c r="F3251" t="s">
        <v>37</v>
      </c>
      <c r="G3251" s="2">
        <v>45526</v>
      </c>
      <c r="H3251" s="3">
        <f t="shared" si="50"/>
        <v>1.7698630136986302</v>
      </c>
      <c r="I3251">
        <v>77</v>
      </c>
      <c r="J3251" t="s">
        <v>57</v>
      </c>
      <c r="K3251" t="s">
        <v>56</v>
      </c>
      <c r="L3251" t="s">
        <v>44</v>
      </c>
      <c r="M3251">
        <v>8.4700000000000006</v>
      </c>
      <c r="T3251" t="s">
        <v>52</v>
      </c>
      <c r="U3251">
        <v>2</v>
      </c>
      <c r="V3251">
        <v>5</v>
      </c>
    </row>
    <row r="3252" spans="1:22" x14ac:dyDescent="0.3">
      <c r="A3252">
        <v>3251</v>
      </c>
      <c r="B3252">
        <v>53647</v>
      </c>
      <c r="C3252" s="2">
        <v>36679</v>
      </c>
      <c r="D3252">
        <v>25</v>
      </c>
      <c r="E3252" t="s">
        <v>36</v>
      </c>
      <c r="F3252" t="s">
        <v>50</v>
      </c>
      <c r="G3252" s="2">
        <v>45376</v>
      </c>
      <c r="H3252" s="3">
        <f t="shared" si="50"/>
        <v>1.2657534246575342</v>
      </c>
      <c r="I3252">
        <v>79</v>
      </c>
      <c r="J3252" t="s">
        <v>57</v>
      </c>
      <c r="K3252" t="s">
        <v>68</v>
      </c>
      <c r="L3252" t="s">
        <v>44</v>
      </c>
      <c r="M3252">
        <v>17</v>
      </c>
      <c r="T3252" t="s">
        <v>49</v>
      </c>
      <c r="U3252">
        <v>2</v>
      </c>
      <c r="V3252">
        <v>5</v>
      </c>
    </row>
    <row r="3253" spans="1:22" x14ac:dyDescent="0.3">
      <c r="A3253">
        <v>3252</v>
      </c>
      <c r="B3253">
        <v>53648</v>
      </c>
      <c r="C3253" s="2">
        <v>38396</v>
      </c>
      <c r="D3253">
        <v>20</v>
      </c>
      <c r="E3253" t="s">
        <v>42</v>
      </c>
      <c r="F3253" t="s">
        <v>50</v>
      </c>
      <c r="G3253" s="2">
        <v>45560</v>
      </c>
      <c r="H3253" s="3">
        <f t="shared" si="50"/>
        <v>1.2082191780821918</v>
      </c>
      <c r="I3253">
        <v>79</v>
      </c>
      <c r="J3253" t="s">
        <v>57</v>
      </c>
      <c r="K3253" t="s">
        <v>56</v>
      </c>
      <c r="L3253" t="s">
        <v>44</v>
      </c>
      <c r="M3253">
        <v>8.4700000000000006</v>
      </c>
      <c r="T3253" t="s">
        <v>47</v>
      </c>
      <c r="U3253">
        <v>2</v>
      </c>
      <c r="V3253">
        <v>7</v>
      </c>
    </row>
    <row r="3254" spans="1:22" x14ac:dyDescent="0.3">
      <c r="A3254">
        <v>3253</v>
      </c>
      <c r="B3254">
        <v>53649</v>
      </c>
      <c r="C3254" s="2">
        <v>34785</v>
      </c>
      <c r="D3254">
        <v>30</v>
      </c>
      <c r="E3254" t="s">
        <v>42</v>
      </c>
      <c r="F3254" t="s">
        <v>37</v>
      </c>
      <c r="G3254" s="2">
        <v>45581</v>
      </c>
      <c r="H3254" s="3">
        <f t="shared" si="50"/>
        <v>1.7808219178082192</v>
      </c>
      <c r="I3254">
        <v>81</v>
      </c>
      <c r="J3254" t="s">
        <v>57</v>
      </c>
      <c r="K3254" t="s">
        <v>56</v>
      </c>
      <c r="L3254" t="s">
        <v>44</v>
      </c>
      <c r="M3254">
        <v>8.4700000000000006</v>
      </c>
      <c r="T3254" t="s">
        <v>45</v>
      </c>
      <c r="U3254">
        <v>3</v>
      </c>
      <c r="V3254">
        <v>7</v>
      </c>
    </row>
    <row r="3255" spans="1:22" x14ac:dyDescent="0.3">
      <c r="A3255">
        <v>3254</v>
      </c>
      <c r="B3255">
        <v>53650</v>
      </c>
      <c r="C3255" s="2">
        <v>37247</v>
      </c>
      <c r="D3255">
        <v>24</v>
      </c>
      <c r="E3255" t="s">
        <v>42</v>
      </c>
      <c r="F3255" t="s">
        <v>50</v>
      </c>
      <c r="G3255" s="2">
        <v>45372</v>
      </c>
      <c r="H3255" s="3">
        <f t="shared" si="50"/>
        <v>1.7068493150684931</v>
      </c>
      <c r="I3255">
        <v>82</v>
      </c>
      <c r="J3255" t="s">
        <v>57</v>
      </c>
      <c r="K3255" t="s">
        <v>56</v>
      </c>
      <c r="L3255" t="s">
        <v>44</v>
      </c>
      <c r="M3255">
        <v>8.4700000000000006</v>
      </c>
      <c r="T3255" t="s">
        <v>47</v>
      </c>
      <c r="U3255">
        <v>2</v>
      </c>
      <c r="V3255">
        <v>5</v>
      </c>
    </row>
    <row r="3256" spans="1:22" x14ac:dyDescent="0.3">
      <c r="A3256">
        <v>3255</v>
      </c>
      <c r="B3256">
        <v>53651</v>
      </c>
      <c r="C3256" s="2">
        <v>36043</v>
      </c>
      <c r="D3256">
        <v>27</v>
      </c>
      <c r="E3256" t="s">
        <v>42</v>
      </c>
      <c r="F3256" t="s">
        <v>50</v>
      </c>
      <c r="G3256" s="2">
        <v>45399</v>
      </c>
      <c r="H3256" s="3">
        <f t="shared" si="50"/>
        <v>1.6849315068493151</v>
      </c>
      <c r="I3256">
        <v>82</v>
      </c>
      <c r="J3256" t="s">
        <v>57</v>
      </c>
      <c r="K3256" t="s">
        <v>56</v>
      </c>
      <c r="L3256" t="s">
        <v>44</v>
      </c>
      <c r="M3256">
        <v>8.4700000000000006</v>
      </c>
      <c r="T3256" t="s">
        <v>52</v>
      </c>
      <c r="U3256">
        <v>1</v>
      </c>
      <c r="V3256">
        <v>6</v>
      </c>
    </row>
    <row r="3257" spans="1:22" x14ac:dyDescent="0.3">
      <c r="A3257">
        <v>3256</v>
      </c>
      <c r="B3257">
        <v>53652</v>
      </c>
      <c r="C3257" s="2">
        <v>38418</v>
      </c>
      <c r="D3257">
        <v>20</v>
      </c>
      <c r="E3257" t="s">
        <v>42</v>
      </c>
      <c r="F3257" t="s">
        <v>50</v>
      </c>
      <c r="G3257" s="2">
        <v>45407</v>
      </c>
      <c r="H3257" s="3">
        <f t="shared" si="50"/>
        <v>1.5780821917808219</v>
      </c>
      <c r="I3257">
        <v>82</v>
      </c>
      <c r="J3257" t="s">
        <v>57</v>
      </c>
      <c r="K3257" t="s">
        <v>56</v>
      </c>
      <c r="L3257" t="s">
        <v>44</v>
      </c>
      <c r="M3257">
        <v>8.4700000000000006</v>
      </c>
      <c r="T3257" t="s">
        <v>52</v>
      </c>
      <c r="U3257">
        <v>3</v>
      </c>
      <c r="V3257">
        <v>6</v>
      </c>
    </row>
    <row r="3258" spans="1:22" x14ac:dyDescent="0.3">
      <c r="A3258">
        <v>3257</v>
      </c>
      <c r="B3258">
        <v>53653</v>
      </c>
      <c r="C3258" s="2">
        <v>38622</v>
      </c>
      <c r="D3258">
        <v>20</v>
      </c>
      <c r="E3258" t="s">
        <v>42</v>
      </c>
      <c r="F3258" t="s">
        <v>37</v>
      </c>
      <c r="G3258" s="2">
        <v>45446</v>
      </c>
      <c r="H3258" s="3">
        <f t="shared" si="50"/>
        <v>1.7616438356164383</v>
      </c>
      <c r="I3258">
        <v>84</v>
      </c>
      <c r="J3258" t="s">
        <v>57</v>
      </c>
      <c r="K3258" t="s">
        <v>56</v>
      </c>
      <c r="L3258" t="s">
        <v>44</v>
      </c>
      <c r="M3258">
        <v>8.4700000000000006</v>
      </c>
      <c r="T3258" t="s">
        <v>47</v>
      </c>
      <c r="U3258">
        <v>4</v>
      </c>
      <c r="V3258">
        <v>7</v>
      </c>
    </row>
    <row r="3259" spans="1:22" x14ac:dyDescent="0.3">
      <c r="A3259">
        <v>3258</v>
      </c>
      <c r="B3259">
        <v>53654</v>
      </c>
      <c r="C3259" s="2">
        <v>36517</v>
      </c>
      <c r="D3259">
        <v>26</v>
      </c>
      <c r="E3259" t="s">
        <v>42</v>
      </c>
      <c r="F3259" t="s">
        <v>37</v>
      </c>
      <c r="G3259" s="2">
        <v>45379</v>
      </c>
      <c r="H3259" s="3">
        <f t="shared" si="50"/>
        <v>1.6219178082191781</v>
      </c>
      <c r="I3259">
        <v>84</v>
      </c>
      <c r="J3259" t="s">
        <v>57</v>
      </c>
      <c r="K3259" t="s">
        <v>56</v>
      </c>
      <c r="L3259" t="s">
        <v>44</v>
      </c>
      <c r="M3259">
        <v>8.4700000000000006</v>
      </c>
      <c r="T3259" t="s">
        <v>47</v>
      </c>
      <c r="U3259">
        <v>2</v>
      </c>
      <c r="V3259">
        <v>6</v>
      </c>
    </row>
    <row r="3260" spans="1:22" x14ac:dyDescent="0.3">
      <c r="A3260">
        <v>3259</v>
      </c>
      <c r="B3260">
        <v>53655</v>
      </c>
      <c r="C3260" s="2">
        <v>35019</v>
      </c>
      <c r="D3260">
        <v>30</v>
      </c>
      <c r="E3260" t="s">
        <v>42</v>
      </c>
      <c r="F3260" t="s">
        <v>50</v>
      </c>
      <c r="G3260" s="2">
        <v>45430</v>
      </c>
      <c r="H3260" s="3">
        <f t="shared" si="50"/>
        <v>1.7808219178082192</v>
      </c>
      <c r="I3260">
        <v>84</v>
      </c>
      <c r="J3260" t="s">
        <v>57</v>
      </c>
      <c r="K3260" t="s">
        <v>56</v>
      </c>
      <c r="L3260" t="s">
        <v>44</v>
      </c>
      <c r="M3260">
        <v>8.4700000000000006</v>
      </c>
      <c r="T3260" t="s">
        <v>52</v>
      </c>
      <c r="U3260">
        <v>1</v>
      </c>
      <c r="V3260">
        <v>6</v>
      </c>
    </row>
    <row r="3261" spans="1:22" x14ac:dyDescent="0.3">
      <c r="A3261">
        <v>3260</v>
      </c>
      <c r="B3261">
        <v>53656</v>
      </c>
      <c r="C3261" s="2">
        <v>35866</v>
      </c>
      <c r="D3261">
        <v>27</v>
      </c>
      <c r="E3261" t="s">
        <v>42</v>
      </c>
      <c r="F3261" t="s">
        <v>37</v>
      </c>
      <c r="G3261" s="2">
        <v>45372</v>
      </c>
      <c r="H3261" s="3">
        <f t="shared" si="50"/>
        <v>1.2794520547945205</v>
      </c>
      <c r="I3261">
        <v>84</v>
      </c>
      <c r="J3261" t="s">
        <v>57</v>
      </c>
      <c r="K3261" t="s">
        <v>56</v>
      </c>
      <c r="L3261" t="s">
        <v>44</v>
      </c>
      <c r="M3261">
        <v>8.4700000000000006</v>
      </c>
      <c r="T3261" t="s">
        <v>45</v>
      </c>
      <c r="U3261">
        <v>1</v>
      </c>
      <c r="V3261">
        <v>7</v>
      </c>
    </row>
    <row r="3262" spans="1:22" x14ac:dyDescent="0.3">
      <c r="A3262">
        <v>3261</v>
      </c>
      <c r="B3262">
        <v>53657</v>
      </c>
      <c r="C3262" s="2">
        <v>35532</v>
      </c>
      <c r="D3262">
        <v>28</v>
      </c>
      <c r="E3262" t="s">
        <v>42</v>
      </c>
      <c r="F3262" t="s">
        <v>50</v>
      </c>
      <c r="G3262" s="2">
        <v>45555</v>
      </c>
      <c r="H3262" s="3">
        <f t="shared" si="50"/>
        <v>1.3479452054794521</v>
      </c>
      <c r="I3262">
        <v>85</v>
      </c>
      <c r="J3262" t="s">
        <v>57</v>
      </c>
      <c r="K3262" t="s">
        <v>56</v>
      </c>
      <c r="L3262" t="s">
        <v>44</v>
      </c>
      <c r="M3262">
        <v>8.4700000000000006</v>
      </c>
      <c r="T3262" t="s">
        <v>45</v>
      </c>
      <c r="U3262">
        <v>0</v>
      </c>
      <c r="V3262">
        <v>5</v>
      </c>
    </row>
    <row r="3263" spans="1:22" x14ac:dyDescent="0.3">
      <c r="A3263">
        <v>3262</v>
      </c>
      <c r="B3263">
        <v>53658</v>
      </c>
      <c r="C3263" s="2">
        <v>39154</v>
      </c>
      <c r="D3263">
        <v>18</v>
      </c>
      <c r="E3263" t="s">
        <v>42</v>
      </c>
      <c r="F3263" t="s">
        <v>37</v>
      </c>
      <c r="G3263" s="2">
        <v>45530</v>
      </c>
      <c r="H3263" s="3">
        <f t="shared" si="50"/>
        <v>1.7315068493150685</v>
      </c>
      <c r="I3263">
        <v>86</v>
      </c>
      <c r="J3263" t="s">
        <v>57</v>
      </c>
      <c r="K3263" t="s">
        <v>56</v>
      </c>
      <c r="L3263" t="s">
        <v>44</v>
      </c>
      <c r="M3263">
        <v>8.4700000000000006</v>
      </c>
      <c r="T3263" t="s">
        <v>52</v>
      </c>
      <c r="U3263">
        <v>3</v>
      </c>
      <c r="V3263">
        <v>6</v>
      </c>
    </row>
    <row r="3264" spans="1:22" x14ac:dyDescent="0.3">
      <c r="A3264">
        <v>3263</v>
      </c>
      <c r="B3264">
        <v>53659</v>
      </c>
      <c r="C3264" s="2">
        <v>35774</v>
      </c>
      <c r="D3264">
        <v>28</v>
      </c>
      <c r="E3264" t="s">
        <v>36</v>
      </c>
      <c r="F3264" t="s">
        <v>50</v>
      </c>
      <c r="G3264" s="2">
        <v>45390</v>
      </c>
      <c r="H3264" s="3">
        <f t="shared" si="50"/>
        <v>1.6520547945205479</v>
      </c>
      <c r="I3264">
        <v>87</v>
      </c>
      <c r="J3264" t="s">
        <v>57</v>
      </c>
      <c r="K3264" t="s">
        <v>64</v>
      </c>
      <c r="L3264" t="s">
        <v>44</v>
      </c>
      <c r="M3264">
        <v>14.07</v>
      </c>
      <c r="T3264" t="s">
        <v>49</v>
      </c>
      <c r="U3264">
        <v>0</v>
      </c>
      <c r="V3264">
        <v>3</v>
      </c>
    </row>
    <row r="3265" spans="1:22" x14ac:dyDescent="0.3">
      <c r="A3265">
        <v>3264</v>
      </c>
      <c r="B3265">
        <v>53661</v>
      </c>
      <c r="C3265" s="2">
        <v>36643</v>
      </c>
      <c r="D3265">
        <v>25</v>
      </c>
      <c r="E3265" t="s">
        <v>42</v>
      </c>
      <c r="F3265" t="s">
        <v>50</v>
      </c>
      <c r="G3265" s="2">
        <v>45419</v>
      </c>
      <c r="H3265" s="3">
        <f t="shared" si="50"/>
        <v>1.3589041095890411</v>
      </c>
      <c r="I3265">
        <v>88</v>
      </c>
      <c r="J3265" t="s">
        <v>57</v>
      </c>
      <c r="K3265" t="s">
        <v>68</v>
      </c>
      <c r="L3265" t="s">
        <v>44</v>
      </c>
      <c r="M3265">
        <v>17</v>
      </c>
      <c r="T3265" t="s">
        <v>52</v>
      </c>
      <c r="U3265">
        <v>3</v>
      </c>
      <c r="V3265">
        <v>6</v>
      </c>
    </row>
    <row r="3266" spans="1:22" x14ac:dyDescent="0.3">
      <c r="A3266">
        <v>3265</v>
      </c>
      <c r="B3266">
        <v>53662</v>
      </c>
      <c r="C3266" s="2">
        <v>37612</v>
      </c>
      <c r="D3266">
        <v>23</v>
      </c>
      <c r="E3266" t="s">
        <v>36</v>
      </c>
      <c r="F3266" t="s">
        <v>50</v>
      </c>
      <c r="G3266" s="2">
        <v>45526</v>
      </c>
      <c r="H3266" s="3">
        <f t="shared" si="50"/>
        <v>1.7561643835616438</v>
      </c>
      <c r="I3266">
        <v>89</v>
      </c>
      <c r="J3266" t="s">
        <v>57</v>
      </c>
      <c r="K3266" t="s">
        <v>56</v>
      </c>
      <c r="L3266" t="s">
        <v>44</v>
      </c>
      <c r="M3266">
        <v>8.4700000000000006</v>
      </c>
      <c r="T3266" t="s">
        <v>45</v>
      </c>
      <c r="U3266">
        <v>1</v>
      </c>
      <c r="V3266">
        <v>3</v>
      </c>
    </row>
    <row r="3267" spans="1:22" x14ac:dyDescent="0.3">
      <c r="A3267">
        <v>3266</v>
      </c>
      <c r="B3267">
        <v>53664</v>
      </c>
      <c r="C3267" s="2">
        <v>39358</v>
      </c>
      <c r="D3267">
        <v>18</v>
      </c>
      <c r="E3267" t="s">
        <v>42</v>
      </c>
      <c r="F3267" t="s">
        <v>50</v>
      </c>
      <c r="G3267" s="2">
        <v>45381</v>
      </c>
      <c r="H3267" s="3">
        <f t="shared" ref="H3267:H3330" si="51">DATEDIF(G3268,DATE(2025,12,31),"d")/365</f>
        <v>1.7561643835616438</v>
      </c>
      <c r="I3267">
        <v>90</v>
      </c>
      <c r="J3267" t="s">
        <v>57</v>
      </c>
      <c r="K3267" t="s">
        <v>56</v>
      </c>
      <c r="L3267" t="s">
        <v>44</v>
      </c>
      <c r="M3267">
        <v>8.4700000000000006</v>
      </c>
      <c r="T3267" t="s">
        <v>49</v>
      </c>
      <c r="U3267">
        <v>2</v>
      </c>
      <c r="V3267">
        <v>5</v>
      </c>
    </row>
    <row r="3268" spans="1:22" x14ac:dyDescent="0.3">
      <c r="A3268">
        <v>3267</v>
      </c>
      <c r="B3268">
        <v>53665</v>
      </c>
      <c r="C3268" s="2">
        <v>37631</v>
      </c>
      <c r="D3268">
        <v>22</v>
      </c>
      <c r="E3268" t="s">
        <v>42</v>
      </c>
      <c r="F3268" t="s">
        <v>50</v>
      </c>
      <c r="G3268" s="2">
        <v>45381</v>
      </c>
      <c r="H3268" s="3">
        <f t="shared" si="51"/>
        <v>1.6493150684931508</v>
      </c>
      <c r="I3268">
        <v>91</v>
      </c>
      <c r="J3268" t="s">
        <v>57</v>
      </c>
      <c r="K3268" t="s">
        <v>56</v>
      </c>
      <c r="L3268" t="s">
        <v>44</v>
      </c>
      <c r="M3268">
        <v>8.4700000000000006</v>
      </c>
      <c r="T3268" t="s">
        <v>49</v>
      </c>
      <c r="U3268">
        <v>2</v>
      </c>
      <c r="V3268">
        <v>5</v>
      </c>
    </row>
    <row r="3269" spans="1:22" x14ac:dyDescent="0.3">
      <c r="A3269">
        <v>3268</v>
      </c>
      <c r="B3269">
        <v>53666</v>
      </c>
      <c r="C3269" s="2">
        <v>37934</v>
      </c>
      <c r="D3269">
        <v>22</v>
      </c>
      <c r="E3269" t="s">
        <v>42</v>
      </c>
      <c r="F3269" t="s">
        <v>37</v>
      </c>
      <c r="G3269" s="2">
        <v>45420</v>
      </c>
      <c r="H3269" s="3">
        <f t="shared" si="51"/>
        <v>1.4328767123287671</v>
      </c>
      <c r="I3269">
        <v>93</v>
      </c>
      <c r="J3269" t="s">
        <v>57</v>
      </c>
      <c r="K3269" t="s">
        <v>56</v>
      </c>
      <c r="L3269" t="s">
        <v>44</v>
      </c>
      <c r="M3269">
        <v>8.4700000000000006</v>
      </c>
      <c r="T3269" t="s">
        <v>49</v>
      </c>
      <c r="U3269">
        <v>4</v>
      </c>
      <c r="V3269">
        <v>7</v>
      </c>
    </row>
    <row r="3270" spans="1:22" x14ac:dyDescent="0.3">
      <c r="A3270">
        <v>3269</v>
      </c>
      <c r="B3270">
        <v>53667</v>
      </c>
      <c r="C3270" s="2">
        <v>38220</v>
      </c>
      <c r="D3270">
        <v>21</v>
      </c>
      <c r="E3270" t="s">
        <v>36</v>
      </c>
      <c r="F3270" t="s">
        <v>37</v>
      </c>
      <c r="G3270" s="2">
        <v>45499</v>
      </c>
      <c r="H3270" s="3">
        <f t="shared" si="51"/>
        <v>1.2931506849315069</v>
      </c>
      <c r="I3270">
        <v>94</v>
      </c>
      <c r="J3270" t="s">
        <v>57</v>
      </c>
      <c r="K3270" t="s">
        <v>56</v>
      </c>
      <c r="L3270" t="s">
        <v>44</v>
      </c>
      <c r="M3270">
        <v>8.4700000000000006</v>
      </c>
      <c r="T3270" t="s">
        <v>52</v>
      </c>
      <c r="U3270">
        <v>2</v>
      </c>
      <c r="V3270">
        <v>5</v>
      </c>
    </row>
    <row r="3271" spans="1:22" x14ac:dyDescent="0.3">
      <c r="A3271">
        <v>3270</v>
      </c>
      <c r="B3271">
        <v>53668</v>
      </c>
      <c r="C3271" s="2">
        <v>37708</v>
      </c>
      <c r="D3271">
        <v>22</v>
      </c>
      <c r="E3271" t="s">
        <v>42</v>
      </c>
      <c r="F3271" t="s">
        <v>50</v>
      </c>
      <c r="G3271" s="2">
        <v>45550</v>
      </c>
      <c r="H3271" s="3">
        <f t="shared" si="51"/>
        <v>1.4684931506849315</v>
      </c>
      <c r="I3271">
        <v>95</v>
      </c>
      <c r="J3271" t="s">
        <v>57</v>
      </c>
      <c r="K3271" t="s">
        <v>56</v>
      </c>
      <c r="L3271" t="s">
        <v>44</v>
      </c>
      <c r="M3271">
        <v>8.4700000000000006</v>
      </c>
      <c r="T3271" t="s">
        <v>45</v>
      </c>
      <c r="U3271">
        <v>2</v>
      </c>
      <c r="V3271">
        <v>6</v>
      </c>
    </row>
    <row r="3272" spans="1:22" x14ac:dyDescent="0.3">
      <c r="A3272">
        <v>3271</v>
      </c>
      <c r="B3272">
        <v>53670</v>
      </c>
      <c r="C3272" s="2">
        <v>38818</v>
      </c>
      <c r="D3272">
        <v>19</v>
      </c>
      <c r="E3272" t="s">
        <v>42</v>
      </c>
      <c r="F3272" t="s">
        <v>37</v>
      </c>
      <c r="G3272" s="2">
        <v>45486</v>
      </c>
      <c r="H3272" s="3">
        <f t="shared" si="51"/>
        <v>1.1424657534246576</v>
      </c>
      <c r="I3272">
        <v>95</v>
      </c>
      <c r="J3272" t="s">
        <v>57</v>
      </c>
      <c r="K3272" t="s">
        <v>56</v>
      </c>
      <c r="L3272" t="s">
        <v>44</v>
      </c>
      <c r="M3272">
        <v>8.4700000000000006</v>
      </c>
      <c r="T3272" t="s">
        <v>49</v>
      </c>
      <c r="U3272">
        <v>1</v>
      </c>
      <c r="V3272">
        <v>5</v>
      </c>
    </row>
    <row r="3273" spans="1:22" x14ac:dyDescent="0.3">
      <c r="A3273">
        <v>3272</v>
      </c>
      <c r="B3273">
        <v>53671</v>
      </c>
      <c r="C3273" s="2">
        <v>37695</v>
      </c>
      <c r="D3273">
        <v>22</v>
      </c>
      <c r="E3273" t="s">
        <v>36</v>
      </c>
      <c r="F3273" t="s">
        <v>37</v>
      </c>
      <c r="G3273" s="2">
        <v>45605</v>
      </c>
      <c r="H3273" s="3">
        <f t="shared" si="51"/>
        <v>1.3232876712328767</v>
      </c>
      <c r="I3273">
        <v>97</v>
      </c>
      <c r="J3273" t="s">
        <v>57</v>
      </c>
      <c r="K3273" t="s">
        <v>48</v>
      </c>
      <c r="L3273" t="s">
        <v>44</v>
      </c>
      <c r="M3273">
        <v>8.4700000000000006</v>
      </c>
      <c r="T3273" t="s">
        <v>47</v>
      </c>
      <c r="U3273">
        <v>1</v>
      </c>
      <c r="V3273">
        <v>4</v>
      </c>
    </row>
    <row r="3274" spans="1:22" x14ac:dyDescent="0.3">
      <c r="A3274">
        <v>3273</v>
      </c>
      <c r="B3274">
        <v>53672</v>
      </c>
      <c r="C3274" s="2">
        <v>38120</v>
      </c>
      <c r="D3274">
        <v>21</v>
      </c>
      <c r="E3274" t="s">
        <v>42</v>
      </c>
      <c r="F3274" t="s">
        <v>37</v>
      </c>
      <c r="G3274" s="2">
        <v>45539</v>
      </c>
      <c r="H3274" s="3">
        <f t="shared" si="51"/>
        <v>1.5506849315068494</v>
      </c>
      <c r="I3274">
        <v>97</v>
      </c>
      <c r="J3274" t="s">
        <v>57</v>
      </c>
      <c r="K3274" t="s">
        <v>56</v>
      </c>
      <c r="L3274" t="s">
        <v>44</v>
      </c>
      <c r="M3274">
        <v>8.4700000000000006</v>
      </c>
      <c r="T3274" t="s">
        <v>45</v>
      </c>
      <c r="U3274">
        <v>3</v>
      </c>
      <c r="V3274">
        <v>5</v>
      </c>
    </row>
    <row r="3275" spans="1:22" x14ac:dyDescent="0.3">
      <c r="A3275">
        <v>3274</v>
      </c>
      <c r="B3275">
        <v>53673</v>
      </c>
      <c r="C3275" s="2">
        <v>36158</v>
      </c>
      <c r="D3275">
        <v>27</v>
      </c>
      <c r="E3275" t="s">
        <v>36</v>
      </c>
      <c r="F3275" t="s">
        <v>50</v>
      </c>
      <c r="G3275" s="2">
        <v>45456</v>
      </c>
      <c r="H3275" s="3">
        <f t="shared" si="51"/>
        <v>1.4383561643835616</v>
      </c>
      <c r="I3275">
        <v>97</v>
      </c>
      <c r="J3275" t="s">
        <v>57</v>
      </c>
      <c r="K3275" t="s">
        <v>56</v>
      </c>
      <c r="L3275" t="s">
        <v>44</v>
      </c>
      <c r="M3275">
        <v>8.4700000000000006</v>
      </c>
      <c r="T3275" t="s">
        <v>45</v>
      </c>
      <c r="U3275">
        <v>4</v>
      </c>
      <c r="V3275">
        <v>5</v>
      </c>
    </row>
    <row r="3276" spans="1:22" x14ac:dyDescent="0.3">
      <c r="A3276">
        <v>3275</v>
      </c>
      <c r="B3276">
        <v>53674</v>
      </c>
      <c r="C3276" s="2">
        <v>38251</v>
      </c>
      <c r="D3276">
        <v>21</v>
      </c>
      <c r="E3276" t="s">
        <v>42</v>
      </c>
      <c r="F3276" t="s">
        <v>37</v>
      </c>
      <c r="G3276" s="2">
        <v>45497</v>
      </c>
      <c r="H3276" s="3">
        <f t="shared" si="51"/>
        <v>1.4794520547945205</v>
      </c>
      <c r="I3276">
        <v>99</v>
      </c>
      <c r="J3276" t="s">
        <v>57</v>
      </c>
      <c r="K3276" t="s">
        <v>56</v>
      </c>
      <c r="L3276" t="s">
        <v>44</v>
      </c>
      <c r="M3276">
        <v>8.4700000000000006</v>
      </c>
      <c r="T3276" t="s">
        <v>49</v>
      </c>
      <c r="U3276">
        <v>2</v>
      </c>
      <c r="V3276">
        <v>6</v>
      </c>
    </row>
    <row r="3277" spans="1:22" x14ac:dyDescent="0.3">
      <c r="A3277">
        <v>3276</v>
      </c>
      <c r="B3277">
        <v>53675</v>
      </c>
      <c r="C3277" s="2">
        <v>37729</v>
      </c>
      <c r="D3277">
        <v>22</v>
      </c>
      <c r="E3277" t="s">
        <v>42</v>
      </c>
      <c r="F3277" t="s">
        <v>50</v>
      </c>
      <c r="G3277" s="2">
        <v>45482</v>
      </c>
      <c r="H3277" s="3">
        <f t="shared" si="51"/>
        <v>1.3890410958904109</v>
      </c>
      <c r="I3277">
        <v>99</v>
      </c>
      <c r="J3277" t="s">
        <v>57</v>
      </c>
      <c r="K3277" t="s">
        <v>56</v>
      </c>
      <c r="L3277" t="s">
        <v>44</v>
      </c>
      <c r="M3277">
        <v>8.4700000000000006</v>
      </c>
      <c r="T3277" t="s">
        <v>47</v>
      </c>
      <c r="U3277">
        <v>2</v>
      </c>
      <c r="V3277">
        <v>6</v>
      </c>
    </row>
    <row r="3278" spans="1:22" x14ac:dyDescent="0.3">
      <c r="A3278">
        <v>3277</v>
      </c>
      <c r="B3278">
        <v>53676</v>
      </c>
      <c r="C3278" s="2">
        <v>37062</v>
      </c>
      <c r="D3278">
        <v>24</v>
      </c>
      <c r="E3278" t="s">
        <v>42</v>
      </c>
      <c r="F3278" t="s">
        <v>50</v>
      </c>
      <c r="G3278" s="2">
        <v>45515</v>
      </c>
      <c r="H3278" s="3">
        <f t="shared" si="51"/>
        <v>1.2219178082191782</v>
      </c>
      <c r="I3278">
        <v>100</v>
      </c>
      <c r="J3278" t="s">
        <v>57</v>
      </c>
      <c r="K3278" t="s">
        <v>56</v>
      </c>
      <c r="L3278" t="s">
        <v>44</v>
      </c>
      <c r="M3278">
        <v>8.4700000000000006</v>
      </c>
      <c r="T3278" t="s">
        <v>45</v>
      </c>
      <c r="U3278">
        <v>3</v>
      </c>
      <c r="V3278">
        <v>6</v>
      </c>
    </row>
    <row r="3279" spans="1:22" x14ac:dyDescent="0.3">
      <c r="A3279">
        <v>3278</v>
      </c>
      <c r="B3279">
        <v>53677</v>
      </c>
      <c r="C3279" s="2">
        <v>38115</v>
      </c>
      <c r="D3279">
        <v>21</v>
      </c>
      <c r="E3279" t="s">
        <v>42</v>
      </c>
      <c r="F3279" t="s">
        <v>50</v>
      </c>
      <c r="G3279" s="2">
        <v>45576</v>
      </c>
      <c r="H3279" s="3">
        <f t="shared" si="51"/>
        <v>1.7561643835616438</v>
      </c>
      <c r="I3279">
        <v>100</v>
      </c>
      <c r="J3279" t="s">
        <v>57</v>
      </c>
      <c r="K3279" t="s">
        <v>56</v>
      </c>
      <c r="L3279" t="s">
        <v>44</v>
      </c>
      <c r="M3279">
        <v>8.4700000000000006</v>
      </c>
      <c r="T3279" t="s">
        <v>49</v>
      </c>
      <c r="U3279">
        <v>4</v>
      </c>
      <c r="V3279">
        <v>7</v>
      </c>
    </row>
    <row r="3280" spans="1:22" x14ac:dyDescent="0.3">
      <c r="A3280">
        <v>3279</v>
      </c>
      <c r="B3280">
        <v>53678</v>
      </c>
      <c r="C3280" s="2">
        <v>38777</v>
      </c>
      <c r="D3280">
        <v>20</v>
      </c>
      <c r="E3280" t="s">
        <v>36</v>
      </c>
      <c r="F3280" t="s">
        <v>50</v>
      </c>
      <c r="G3280" s="2">
        <v>45381</v>
      </c>
      <c r="H3280" s="3">
        <f t="shared" si="51"/>
        <v>1.2164383561643837</v>
      </c>
      <c r="I3280">
        <v>101</v>
      </c>
      <c r="J3280" t="s">
        <v>57</v>
      </c>
      <c r="K3280" t="s">
        <v>56</v>
      </c>
      <c r="L3280" t="s">
        <v>44</v>
      </c>
      <c r="M3280">
        <v>8.4700000000000006</v>
      </c>
      <c r="T3280" t="s">
        <v>47</v>
      </c>
      <c r="U3280">
        <v>4</v>
      </c>
      <c r="V3280">
        <v>4</v>
      </c>
    </row>
    <row r="3281" spans="1:22" x14ac:dyDescent="0.3">
      <c r="A3281">
        <v>3280</v>
      </c>
      <c r="B3281">
        <v>53679</v>
      </c>
      <c r="C3281" s="2">
        <v>37837</v>
      </c>
      <c r="D3281">
        <v>22</v>
      </c>
      <c r="E3281" t="s">
        <v>42</v>
      </c>
      <c r="F3281" t="s">
        <v>50</v>
      </c>
      <c r="G3281" s="2">
        <v>45578</v>
      </c>
      <c r="H3281" s="3">
        <f t="shared" si="51"/>
        <v>1.3150684931506849</v>
      </c>
      <c r="I3281">
        <v>101</v>
      </c>
      <c r="J3281" t="s">
        <v>57</v>
      </c>
      <c r="K3281" t="s">
        <v>56</v>
      </c>
      <c r="L3281" t="s">
        <v>44</v>
      </c>
      <c r="M3281">
        <v>8.4700000000000006</v>
      </c>
      <c r="T3281" t="s">
        <v>45</v>
      </c>
      <c r="U3281">
        <v>3</v>
      </c>
      <c r="V3281">
        <v>6</v>
      </c>
    </row>
    <row r="3282" spans="1:22" x14ac:dyDescent="0.3">
      <c r="A3282">
        <v>3281</v>
      </c>
      <c r="B3282">
        <v>53680</v>
      </c>
      <c r="C3282" s="2">
        <v>37638</v>
      </c>
      <c r="D3282">
        <v>22</v>
      </c>
      <c r="E3282" t="s">
        <v>42</v>
      </c>
      <c r="F3282" t="s">
        <v>50</v>
      </c>
      <c r="G3282" s="2">
        <v>45542</v>
      </c>
      <c r="H3282" s="3">
        <f t="shared" si="51"/>
        <v>1.4</v>
      </c>
      <c r="I3282">
        <v>102</v>
      </c>
      <c r="J3282" t="s">
        <v>57</v>
      </c>
      <c r="K3282" t="s">
        <v>56</v>
      </c>
      <c r="L3282" t="s">
        <v>44</v>
      </c>
      <c r="M3282">
        <v>8.4700000000000006</v>
      </c>
      <c r="T3282" t="s">
        <v>45</v>
      </c>
      <c r="U3282">
        <v>1</v>
      </c>
      <c r="V3282">
        <v>7</v>
      </c>
    </row>
    <row r="3283" spans="1:22" x14ac:dyDescent="0.3">
      <c r="A3283">
        <v>3282</v>
      </c>
      <c r="B3283">
        <v>53681</v>
      </c>
      <c r="C3283" s="2">
        <v>37950</v>
      </c>
      <c r="D3283">
        <v>22</v>
      </c>
      <c r="E3283" t="s">
        <v>36</v>
      </c>
      <c r="F3283" t="s">
        <v>50</v>
      </c>
      <c r="G3283" s="2">
        <v>45511</v>
      </c>
      <c r="H3283" s="3">
        <f t="shared" si="51"/>
        <v>1.6520547945205479</v>
      </c>
      <c r="I3283">
        <v>105</v>
      </c>
      <c r="J3283" t="s">
        <v>57</v>
      </c>
      <c r="K3283" t="s">
        <v>56</v>
      </c>
      <c r="L3283" t="s">
        <v>44</v>
      </c>
      <c r="M3283">
        <v>8.4700000000000006</v>
      </c>
      <c r="T3283" t="s">
        <v>52</v>
      </c>
      <c r="U3283">
        <v>1</v>
      </c>
      <c r="V3283">
        <v>4</v>
      </c>
    </row>
    <row r="3284" spans="1:22" x14ac:dyDescent="0.3">
      <c r="A3284">
        <v>3283</v>
      </c>
      <c r="B3284">
        <v>53682</v>
      </c>
      <c r="C3284" s="2">
        <v>36627</v>
      </c>
      <c r="D3284">
        <v>25</v>
      </c>
      <c r="E3284" t="s">
        <v>42</v>
      </c>
      <c r="F3284" t="s">
        <v>50</v>
      </c>
      <c r="G3284" s="2">
        <v>45419</v>
      </c>
      <c r="H3284" s="3">
        <f t="shared" si="51"/>
        <v>1.3260273972602741</v>
      </c>
      <c r="I3284">
        <v>105</v>
      </c>
      <c r="J3284" t="s">
        <v>57</v>
      </c>
      <c r="K3284" t="s">
        <v>56</v>
      </c>
      <c r="L3284" t="s">
        <v>44</v>
      </c>
      <c r="M3284">
        <v>8.4700000000000006</v>
      </c>
      <c r="T3284" t="s">
        <v>47</v>
      </c>
      <c r="U3284">
        <v>1</v>
      </c>
      <c r="V3284">
        <v>6</v>
      </c>
    </row>
    <row r="3285" spans="1:22" x14ac:dyDescent="0.3">
      <c r="A3285">
        <v>3284</v>
      </c>
      <c r="B3285">
        <v>53683</v>
      </c>
      <c r="C3285" s="2">
        <v>39406</v>
      </c>
      <c r="D3285">
        <v>18</v>
      </c>
      <c r="E3285" t="s">
        <v>42</v>
      </c>
      <c r="F3285" t="s">
        <v>50</v>
      </c>
      <c r="G3285" s="2">
        <v>45538</v>
      </c>
      <c r="H3285" s="3">
        <f t="shared" si="51"/>
        <v>1.526027397260274</v>
      </c>
      <c r="I3285">
        <v>106</v>
      </c>
      <c r="J3285" t="s">
        <v>57</v>
      </c>
      <c r="K3285" t="s">
        <v>56</v>
      </c>
      <c r="L3285" t="s">
        <v>44</v>
      </c>
      <c r="M3285">
        <v>8.4700000000000006</v>
      </c>
      <c r="T3285" t="s">
        <v>52</v>
      </c>
      <c r="U3285">
        <v>0</v>
      </c>
      <c r="V3285">
        <v>6</v>
      </c>
    </row>
    <row r="3286" spans="1:22" x14ac:dyDescent="0.3">
      <c r="A3286">
        <v>3285</v>
      </c>
      <c r="B3286">
        <v>53684</v>
      </c>
      <c r="C3286" s="2">
        <v>37804</v>
      </c>
      <c r="D3286">
        <v>22</v>
      </c>
      <c r="E3286" t="s">
        <v>42</v>
      </c>
      <c r="F3286" t="s">
        <v>37</v>
      </c>
      <c r="G3286" s="2">
        <v>45465</v>
      </c>
      <c r="H3286" s="3">
        <f t="shared" si="51"/>
        <v>1.178082191780822</v>
      </c>
      <c r="I3286">
        <v>106</v>
      </c>
      <c r="J3286" t="s">
        <v>57</v>
      </c>
      <c r="K3286" t="s">
        <v>56</v>
      </c>
      <c r="L3286" t="s">
        <v>44</v>
      </c>
      <c r="M3286">
        <v>8.4700000000000006</v>
      </c>
      <c r="T3286" t="s">
        <v>52</v>
      </c>
      <c r="U3286">
        <v>2</v>
      </c>
      <c r="V3286">
        <v>5</v>
      </c>
    </row>
    <row r="3287" spans="1:22" x14ac:dyDescent="0.3">
      <c r="A3287">
        <v>3286</v>
      </c>
      <c r="B3287">
        <v>53685</v>
      </c>
      <c r="C3287" s="2">
        <v>38480</v>
      </c>
      <c r="D3287">
        <v>20</v>
      </c>
      <c r="E3287" t="s">
        <v>42</v>
      </c>
      <c r="F3287" t="s">
        <v>50</v>
      </c>
      <c r="G3287" s="2">
        <v>45592</v>
      </c>
      <c r="H3287" s="3">
        <f t="shared" si="51"/>
        <v>1.1753424657534246</v>
      </c>
      <c r="I3287">
        <v>108</v>
      </c>
      <c r="J3287" t="s">
        <v>57</v>
      </c>
      <c r="K3287" t="s">
        <v>56</v>
      </c>
      <c r="L3287" t="s">
        <v>44</v>
      </c>
      <c r="M3287">
        <v>8.4700000000000006</v>
      </c>
      <c r="T3287" t="s">
        <v>52</v>
      </c>
      <c r="U3287">
        <v>4</v>
      </c>
      <c r="V3287">
        <v>7</v>
      </c>
    </row>
    <row r="3288" spans="1:22" x14ac:dyDescent="0.3">
      <c r="A3288">
        <v>3287</v>
      </c>
      <c r="B3288">
        <v>53686</v>
      </c>
      <c r="C3288" s="2">
        <v>38759</v>
      </c>
      <c r="D3288">
        <v>19</v>
      </c>
      <c r="E3288" t="s">
        <v>42</v>
      </c>
      <c r="F3288" t="s">
        <v>50</v>
      </c>
      <c r="G3288" s="2">
        <v>45593</v>
      </c>
      <c r="H3288" s="3">
        <f t="shared" si="51"/>
        <v>1.5178082191780822</v>
      </c>
      <c r="I3288">
        <v>108</v>
      </c>
      <c r="J3288" t="s">
        <v>57</v>
      </c>
      <c r="K3288" t="s">
        <v>56</v>
      </c>
      <c r="L3288" t="s">
        <v>44</v>
      </c>
      <c r="M3288">
        <v>8.4700000000000006</v>
      </c>
      <c r="T3288" t="s">
        <v>47</v>
      </c>
      <c r="U3288">
        <v>4</v>
      </c>
      <c r="V3288">
        <v>7</v>
      </c>
    </row>
    <row r="3289" spans="1:22" x14ac:dyDescent="0.3">
      <c r="A3289">
        <v>3288</v>
      </c>
      <c r="B3289">
        <v>53687</v>
      </c>
      <c r="C3289" s="2">
        <v>38521</v>
      </c>
      <c r="D3289">
        <v>20</v>
      </c>
      <c r="E3289" t="s">
        <v>42</v>
      </c>
      <c r="F3289" t="s">
        <v>50</v>
      </c>
      <c r="G3289" s="2">
        <v>45468</v>
      </c>
      <c r="H3289" s="3">
        <f t="shared" si="51"/>
        <v>1.1342465753424658</v>
      </c>
      <c r="I3289">
        <v>108</v>
      </c>
      <c r="J3289" t="s">
        <v>57</v>
      </c>
      <c r="K3289" t="s">
        <v>56</v>
      </c>
      <c r="L3289" t="s">
        <v>44</v>
      </c>
      <c r="M3289">
        <v>8.4700000000000006</v>
      </c>
      <c r="T3289" t="s">
        <v>52</v>
      </c>
      <c r="U3289">
        <v>2</v>
      </c>
      <c r="V3289">
        <v>6</v>
      </c>
    </row>
    <row r="3290" spans="1:22" x14ac:dyDescent="0.3">
      <c r="A3290">
        <v>3289</v>
      </c>
      <c r="B3290">
        <v>53688</v>
      </c>
      <c r="C3290" s="2">
        <v>36572</v>
      </c>
      <c r="D3290">
        <v>25</v>
      </c>
      <c r="E3290" t="s">
        <v>42</v>
      </c>
      <c r="F3290" t="s">
        <v>50</v>
      </c>
      <c r="G3290" s="2">
        <v>45608</v>
      </c>
      <c r="H3290" s="3">
        <f t="shared" si="51"/>
        <v>1.6301369863013699</v>
      </c>
      <c r="I3290">
        <v>113</v>
      </c>
      <c r="J3290" t="s">
        <v>57</v>
      </c>
      <c r="K3290" t="s">
        <v>55</v>
      </c>
      <c r="L3290" t="s">
        <v>44</v>
      </c>
      <c r="M3290">
        <v>17.59</v>
      </c>
      <c r="T3290" t="s">
        <v>45</v>
      </c>
      <c r="U3290">
        <v>2</v>
      </c>
      <c r="V3290">
        <v>6</v>
      </c>
    </row>
    <row r="3291" spans="1:22" x14ac:dyDescent="0.3">
      <c r="A3291">
        <v>3290</v>
      </c>
      <c r="B3291">
        <v>53689</v>
      </c>
      <c r="C3291" s="2">
        <v>38588</v>
      </c>
      <c r="D3291">
        <v>20</v>
      </c>
      <c r="E3291" t="s">
        <v>36</v>
      </c>
      <c r="F3291" t="s">
        <v>50</v>
      </c>
      <c r="G3291" s="2">
        <v>45427</v>
      </c>
      <c r="H3291" s="3">
        <f t="shared" si="51"/>
        <v>1.7178082191780821</v>
      </c>
      <c r="I3291">
        <v>113</v>
      </c>
      <c r="J3291" t="s">
        <v>57</v>
      </c>
      <c r="K3291" t="s">
        <v>56</v>
      </c>
      <c r="L3291" t="s">
        <v>44</v>
      </c>
      <c r="M3291">
        <v>8.4700000000000006</v>
      </c>
      <c r="T3291" t="s">
        <v>52</v>
      </c>
      <c r="U3291">
        <v>4</v>
      </c>
      <c r="V3291">
        <v>5</v>
      </c>
    </row>
    <row r="3292" spans="1:22" x14ac:dyDescent="0.3">
      <c r="A3292">
        <v>3291</v>
      </c>
      <c r="B3292">
        <v>53690</v>
      </c>
      <c r="C3292" s="2">
        <v>37448</v>
      </c>
      <c r="D3292">
        <v>23</v>
      </c>
      <c r="E3292" t="s">
        <v>42</v>
      </c>
      <c r="F3292" t="s">
        <v>50</v>
      </c>
      <c r="G3292" s="2">
        <v>45395</v>
      </c>
      <c r="H3292" s="3">
        <f t="shared" si="51"/>
        <v>1.7287671232876711</v>
      </c>
      <c r="I3292">
        <v>113</v>
      </c>
      <c r="J3292" t="s">
        <v>57</v>
      </c>
      <c r="K3292" t="s">
        <v>56</v>
      </c>
      <c r="L3292" t="s">
        <v>44</v>
      </c>
      <c r="M3292">
        <v>8.4700000000000006</v>
      </c>
      <c r="T3292" t="s">
        <v>52</v>
      </c>
      <c r="U3292">
        <v>1</v>
      </c>
      <c r="V3292">
        <v>6</v>
      </c>
    </row>
    <row r="3293" spans="1:22" x14ac:dyDescent="0.3">
      <c r="A3293">
        <v>3292</v>
      </c>
      <c r="B3293">
        <v>53691</v>
      </c>
      <c r="C3293" s="2">
        <v>38638</v>
      </c>
      <c r="D3293">
        <v>20</v>
      </c>
      <c r="E3293" t="s">
        <v>42</v>
      </c>
      <c r="F3293" t="s">
        <v>37</v>
      </c>
      <c r="G3293" s="2">
        <v>45391</v>
      </c>
      <c r="H3293" s="3">
        <f t="shared" si="51"/>
        <v>1.0136986301369864</v>
      </c>
      <c r="I3293">
        <v>114</v>
      </c>
      <c r="J3293" t="s">
        <v>57</v>
      </c>
      <c r="K3293" t="s">
        <v>56</v>
      </c>
      <c r="L3293" t="s">
        <v>44</v>
      </c>
      <c r="M3293">
        <v>8.4700000000000006</v>
      </c>
      <c r="T3293" t="s">
        <v>45</v>
      </c>
      <c r="U3293">
        <v>4</v>
      </c>
      <c r="V3293">
        <v>5</v>
      </c>
    </row>
    <row r="3294" spans="1:22" x14ac:dyDescent="0.3">
      <c r="A3294">
        <v>3293</v>
      </c>
      <c r="B3294">
        <v>53693</v>
      </c>
      <c r="C3294" s="2">
        <v>36701</v>
      </c>
      <c r="D3294">
        <v>25</v>
      </c>
      <c r="E3294" t="s">
        <v>42</v>
      </c>
      <c r="F3294" t="s">
        <v>37</v>
      </c>
      <c r="G3294" s="2">
        <v>45652</v>
      </c>
      <c r="H3294" s="3">
        <f t="shared" si="51"/>
        <v>1.8191780821917809</v>
      </c>
      <c r="I3294">
        <v>116</v>
      </c>
      <c r="J3294" t="s">
        <v>57</v>
      </c>
      <c r="K3294" t="s">
        <v>68</v>
      </c>
      <c r="L3294" t="s">
        <v>44</v>
      </c>
      <c r="M3294">
        <v>17</v>
      </c>
      <c r="T3294" t="s">
        <v>52</v>
      </c>
      <c r="U3294">
        <v>3</v>
      </c>
      <c r="V3294">
        <v>6</v>
      </c>
    </row>
    <row r="3295" spans="1:22" x14ac:dyDescent="0.3">
      <c r="A3295">
        <v>3294</v>
      </c>
      <c r="B3295">
        <v>53694</v>
      </c>
      <c r="C3295" s="2">
        <v>38032</v>
      </c>
      <c r="D3295">
        <v>21</v>
      </c>
      <c r="E3295" t="s">
        <v>42</v>
      </c>
      <c r="F3295" t="s">
        <v>37</v>
      </c>
      <c r="G3295" s="2">
        <v>45358</v>
      </c>
      <c r="H3295" s="3">
        <f t="shared" si="51"/>
        <v>1.8410958904109589</v>
      </c>
      <c r="I3295">
        <v>119</v>
      </c>
      <c r="J3295" t="s">
        <v>57</v>
      </c>
      <c r="K3295" t="s">
        <v>56</v>
      </c>
      <c r="L3295" t="s">
        <v>44</v>
      </c>
      <c r="M3295">
        <v>8.4700000000000006</v>
      </c>
      <c r="T3295" t="s">
        <v>45</v>
      </c>
      <c r="U3295">
        <v>4</v>
      </c>
      <c r="V3295">
        <v>6</v>
      </c>
    </row>
    <row r="3296" spans="1:22" x14ac:dyDescent="0.3">
      <c r="A3296">
        <v>3295</v>
      </c>
      <c r="B3296">
        <v>53695</v>
      </c>
      <c r="C3296" s="2">
        <v>36381</v>
      </c>
      <c r="D3296">
        <v>26</v>
      </c>
      <c r="E3296" t="s">
        <v>42</v>
      </c>
      <c r="F3296" t="s">
        <v>37</v>
      </c>
      <c r="G3296" s="2">
        <v>45350</v>
      </c>
      <c r="H3296" s="3">
        <f t="shared" si="51"/>
        <v>1.8767123287671232</v>
      </c>
      <c r="I3296">
        <v>119</v>
      </c>
      <c r="J3296" t="s">
        <v>57</v>
      </c>
      <c r="K3296" t="s">
        <v>56</v>
      </c>
      <c r="L3296" t="s">
        <v>44</v>
      </c>
      <c r="M3296">
        <v>8.4700000000000006</v>
      </c>
      <c r="T3296" t="s">
        <v>47</v>
      </c>
      <c r="U3296">
        <v>3</v>
      </c>
      <c r="V3296">
        <v>5</v>
      </c>
    </row>
    <row r="3297" spans="1:22" x14ac:dyDescent="0.3">
      <c r="A3297">
        <v>3296</v>
      </c>
      <c r="B3297">
        <v>53696</v>
      </c>
      <c r="C3297" s="2">
        <v>39153</v>
      </c>
      <c r="D3297">
        <v>18</v>
      </c>
      <c r="E3297" t="s">
        <v>42</v>
      </c>
      <c r="F3297" t="s">
        <v>50</v>
      </c>
      <c r="G3297" s="2">
        <v>45337</v>
      </c>
      <c r="H3297" s="3">
        <f t="shared" si="51"/>
        <v>1.6493150684931508</v>
      </c>
      <c r="I3297">
        <v>119</v>
      </c>
      <c r="J3297" t="s">
        <v>57</v>
      </c>
      <c r="K3297" t="s">
        <v>56</v>
      </c>
      <c r="L3297" t="s">
        <v>44</v>
      </c>
      <c r="M3297">
        <v>8.4700000000000006</v>
      </c>
      <c r="T3297" t="s">
        <v>45</v>
      </c>
      <c r="U3297">
        <v>0</v>
      </c>
      <c r="V3297">
        <v>6</v>
      </c>
    </row>
    <row r="3298" spans="1:22" x14ac:dyDescent="0.3">
      <c r="A3298">
        <v>3297</v>
      </c>
      <c r="B3298">
        <v>53697</v>
      </c>
      <c r="C3298" s="2">
        <v>38228</v>
      </c>
      <c r="D3298">
        <v>21</v>
      </c>
      <c r="E3298" t="s">
        <v>42</v>
      </c>
      <c r="F3298" t="s">
        <v>50</v>
      </c>
      <c r="G3298" s="2">
        <v>45420</v>
      </c>
      <c r="H3298" s="3">
        <f t="shared" si="51"/>
        <v>1.1150684931506849</v>
      </c>
      <c r="I3298">
        <v>122</v>
      </c>
      <c r="J3298" t="s">
        <v>57</v>
      </c>
      <c r="K3298" t="s">
        <v>46</v>
      </c>
      <c r="L3298" t="s">
        <v>44</v>
      </c>
      <c r="M3298">
        <v>14.23</v>
      </c>
      <c r="T3298" t="s">
        <v>49</v>
      </c>
      <c r="U3298">
        <v>0</v>
      </c>
      <c r="V3298">
        <v>7</v>
      </c>
    </row>
    <row r="3299" spans="1:22" x14ac:dyDescent="0.3">
      <c r="A3299">
        <v>3298</v>
      </c>
      <c r="B3299">
        <v>53698</v>
      </c>
      <c r="C3299" s="2">
        <v>37483</v>
      </c>
      <c r="D3299">
        <v>23</v>
      </c>
      <c r="E3299" t="s">
        <v>36</v>
      </c>
      <c r="F3299" t="s">
        <v>37</v>
      </c>
      <c r="G3299" s="2">
        <v>45615</v>
      </c>
      <c r="H3299" s="3">
        <f t="shared" si="51"/>
        <v>1.2712328767123289</v>
      </c>
      <c r="I3299">
        <v>123</v>
      </c>
      <c r="J3299" t="s">
        <v>57</v>
      </c>
      <c r="K3299" t="s">
        <v>56</v>
      </c>
      <c r="L3299" t="s">
        <v>44</v>
      </c>
      <c r="M3299">
        <v>8.4700000000000006</v>
      </c>
      <c r="T3299" t="s">
        <v>45</v>
      </c>
      <c r="U3299">
        <v>1</v>
      </c>
      <c r="V3299">
        <v>3</v>
      </c>
    </row>
    <row r="3300" spans="1:22" x14ac:dyDescent="0.3">
      <c r="A3300">
        <v>3299</v>
      </c>
      <c r="B3300">
        <v>53699</v>
      </c>
      <c r="C3300" s="2">
        <v>38938</v>
      </c>
      <c r="D3300">
        <v>19</v>
      </c>
      <c r="E3300" t="s">
        <v>42</v>
      </c>
      <c r="F3300" t="s">
        <v>37</v>
      </c>
      <c r="G3300" s="2">
        <v>45558</v>
      </c>
      <c r="H3300" s="3">
        <f t="shared" si="51"/>
        <v>1.189041095890411</v>
      </c>
      <c r="I3300">
        <v>124</v>
      </c>
      <c r="J3300" t="s">
        <v>57</v>
      </c>
      <c r="K3300" t="s">
        <v>65</v>
      </c>
      <c r="L3300" t="s">
        <v>44</v>
      </c>
      <c r="M3300">
        <v>10.64</v>
      </c>
      <c r="T3300" t="s">
        <v>45</v>
      </c>
      <c r="U3300">
        <v>1</v>
      </c>
      <c r="V3300">
        <v>6</v>
      </c>
    </row>
    <row r="3301" spans="1:22" x14ac:dyDescent="0.3">
      <c r="A3301">
        <v>3300</v>
      </c>
      <c r="B3301">
        <v>53700</v>
      </c>
      <c r="C3301" s="2">
        <v>37958</v>
      </c>
      <c r="D3301">
        <v>22</v>
      </c>
      <c r="E3301" t="s">
        <v>42</v>
      </c>
      <c r="F3301" t="s">
        <v>50</v>
      </c>
      <c r="G3301" s="2">
        <v>45588</v>
      </c>
      <c r="H3301" s="3">
        <f t="shared" si="51"/>
        <v>1.6876712328767123</v>
      </c>
      <c r="I3301">
        <v>125</v>
      </c>
      <c r="J3301" t="s">
        <v>57</v>
      </c>
      <c r="K3301" t="s">
        <v>56</v>
      </c>
      <c r="L3301" t="s">
        <v>44</v>
      </c>
      <c r="M3301">
        <v>8.4700000000000006</v>
      </c>
      <c r="T3301" t="s">
        <v>45</v>
      </c>
      <c r="U3301">
        <v>0</v>
      </c>
      <c r="V3301">
        <v>6</v>
      </c>
    </row>
    <row r="3302" spans="1:22" x14ac:dyDescent="0.3">
      <c r="A3302">
        <v>3301</v>
      </c>
      <c r="B3302">
        <v>53701</v>
      </c>
      <c r="C3302" s="2">
        <v>39000</v>
      </c>
      <c r="D3302">
        <v>19</v>
      </c>
      <c r="E3302" t="s">
        <v>36</v>
      </c>
      <c r="F3302" t="s">
        <v>37</v>
      </c>
      <c r="G3302" s="2">
        <v>45406</v>
      </c>
      <c r="H3302" s="3">
        <f t="shared" si="51"/>
        <v>1.3397260273972602</v>
      </c>
      <c r="I3302">
        <v>126</v>
      </c>
      <c r="J3302" t="s">
        <v>57</v>
      </c>
      <c r="K3302" t="s">
        <v>65</v>
      </c>
      <c r="L3302" t="s">
        <v>44</v>
      </c>
      <c r="M3302">
        <v>10.64</v>
      </c>
      <c r="T3302" t="s">
        <v>45</v>
      </c>
      <c r="U3302">
        <v>1</v>
      </c>
      <c r="V3302">
        <v>4</v>
      </c>
    </row>
    <row r="3303" spans="1:22" x14ac:dyDescent="0.3">
      <c r="A3303">
        <v>3302</v>
      </c>
      <c r="B3303">
        <v>53703</v>
      </c>
      <c r="C3303" s="2">
        <v>39058</v>
      </c>
      <c r="D3303">
        <v>19</v>
      </c>
      <c r="E3303" t="s">
        <v>42</v>
      </c>
      <c r="F3303" t="s">
        <v>50</v>
      </c>
      <c r="G3303" s="2">
        <v>45533</v>
      </c>
      <c r="H3303" s="3">
        <f t="shared" si="51"/>
        <v>1.8465753424657534</v>
      </c>
      <c r="I3303">
        <v>126</v>
      </c>
      <c r="J3303" t="s">
        <v>57</v>
      </c>
      <c r="K3303" t="s">
        <v>56</v>
      </c>
      <c r="L3303" t="s">
        <v>44</v>
      </c>
      <c r="M3303">
        <v>8.4700000000000006</v>
      </c>
      <c r="T3303" t="s">
        <v>49</v>
      </c>
      <c r="U3303">
        <v>2</v>
      </c>
      <c r="V3303">
        <v>7</v>
      </c>
    </row>
    <row r="3304" spans="1:22" x14ac:dyDescent="0.3">
      <c r="A3304">
        <v>3303</v>
      </c>
      <c r="B3304">
        <v>53704</v>
      </c>
      <c r="C3304" s="2">
        <v>39312</v>
      </c>
      <c r="D3304">
        <v>18</v>
      </c>
      <c r="E3304" t="s">
        <v>42</v>
      </c>
      <c r="F3304" t="s">
        <v>37</v>
      </c>
      <c r="G3304" s="2">
        <v>45348</v>
      </c>
      <c r="H3304" s="3">
        <f t="shared" si="51"/>
        <v>1.3835616438356164</v>
      </c>
      <c r="I3304">
        <v>126</v>
      </c>
      <c r="J3304" t="s">
        <v>57</v>
      </c>
      <c r="K3304" t="s">
        <v>56</v>
      </c>
      <c r="L3304" t="s">
        <v>44</v>
      </c>
      <c r="M3304">
        <v>8.4700000000000006</v>
      </c>
      <c r="T3304" t="s">
        <v>47</v>
      </c>
      <c r="U3304">
        <v>2</v>
      </c>
      <c r="V3304">
        <v>5</v>
      </c>
    </row>
    <row r="3305" spans="1:22" x14ac:dyDescent="0.3">
      <c r="A3305">
        <v>3304</v>
      </c>
      <c r="B3305">
        <v>53705</v>
      </c>
      <c r="C3305" s="2">
        <v>37697</v>
      </c>
      <c r="D3305">
        <v>22</v>
      </c>
      <c r="E3305" t="s">
        <v>36</v>
      </c>
      <c r="F3305" t="s">
        <v>50</v>
      </c>
      <c r="G3305" s="2">
        <v>45517</v>
      </c>
      <c r="H3305" s="3">
        <f t="shared" si="51"/>
        <v>1.7123287671232876</v>
      </c>
      <c r="I3305">
        <v>126</v>
      </c>
      <c r="J3305" t="s">
        <v>57</v>
      </c>
      <c r="K3305" t="s">
        <v>56</v>
      </c>
      <c r="L3305" t="s">
        <v>44</v>
      </c>
      <c r="M3305">
        <v>8.4700000000000006</v>
      </c>
      <c r="T3305" t="s">
        <v>47</v>
      </c>
      <c r="U3305">
        <v>4</v>
      </c>
      <c r="V3305">
        <v>5</v>
      </c>
    </row>
    <row r="3306" spans="1:22" x14ac:dyDescent="0.3">
      <c r="A3306">
        <v>3305</v>
      </c>
      <c r="B3306">
        <v>53706</v>
      </c>
      <c r="C3306" s="2">
        <v>38926</v>
      </c>
      <c r="D3306">
        <v>19</v>
      </c>
      <c r="E3306" t="s">
        <v>42</v>
      </c>
      <c r="F3306" t="s">
        <v>50</v>
      </c>
      <c r="G3306" s="2">
        <v>45397</v>
      </c>
      <c r="H3306" s="3">
        <f t="shared" si="51"/>
        <v>1.463013698630137</v>
      </c>
      <c r="I3306">
        <v>126</v>
      </c>
      <c r="J3306" t="s">
        <v>57</v>
      </c>
      <c r="K3306" t="s">
        <v>56</v>
      </c>
      <c r="L3306" t="s">
        <v>44</v>
      </c>
      <c r="M3306">
        <v>8.4700000000000006</v>
      </c>
      <c r="T3306" t="s">
        <v>49</v>
      </c>
      <c r="U3306">
        <v>2</v>
      </c>
      <c r="V3306">
        <v>5</v>
      </c>
    </row>
    <row r="3307" spans="1:22" x14ac:dyDescent="0.3">
      <c r="A3307">
        <v>3306</v>
      </c>
      <c r="B3307">
        <v>53707</v>
      </c>
      <c r="C3307" s="2">
        <v>37336</v>
      </c>
      <c r="D3307">
        <v>23</v>
      </c>
      <c r="E3307" t="s">
        <v>42</v>
      </c>
      <c r="F3307" t="s">
        <v>50</v>
      </c>
      <c r="G3307" s="2">
        <v>45488</v>
      </c>
      <c r="H3307" s="3">
        <f t="shared" si="51"/>
        <v>1.7095890410958905</v>
      </c>
      <c r="I3307">
        <v>127</v>
      </c>
      <c r="J3307" t="s">
        <v>57</v>
      </c>
      <c r="K3307" t="s">
        <v>56</v>
      </c>
      <c r="L3307" t="s">
        <v>44</v>
      </c>
      <c r="M3307">
        <v>8.4700000000000006</v>
      </c>
      <c r="T3307" t="s">
        <v>52</v>
      </c>
      <c r="U3307">
        <v>2</v>
      </c>
      <c r="V3307">
        <v>6</v>
      </c>
    </row>
    <row r="3308" spans="1:22" x14ac:dyDescent="0.3">
      <c r="A3308">
        <v>3307</v>
      </c>
      <c r="B3308">
        <v>53708</v>
      </c>
      <c r="C3308" s="2">
        <v>38842</v>
      </c>
      <c r="D3308">
        <v>19</v>
      </c>
      <c r="E3308" t="s">
        <v>42</v>
      </c>
      <c r="F3308" t="s">
        <v>37</v>
      </c>
      <c r="G3308" s="2">
        <v>45398</v>
      </c>
      <c r="H3308" s="3">
        <f t="shared" si="51"/>
        <v>1.6712328767123288</v>
      </c>
      <c r="I3308">
        <v>127</v>
      </c>
      <c r="J3308" t="s">
        <v>57</v>
      </c>
      <c r="K3308" t="s">
        <v>56</v>
      </c>
      <c r="L3308" t="s">
        <v>44</v>
      </c>
      <c r="M3308">
        <v>8.4700000000000006</v>
      </c>
      <c r="T3308" t="s">
        <v>52</v>
      </c>
      <c r="U3308">
        <v>2</v>
      </c>
      <c r="V3308">
        <v>5</v>
      </c>
    </row>
    <row r="3309" spans="1:22" x14ac:dyDescent="0.3">
      <c r="A3309">
        <v>3308</v>
      </c>
      <c r="B3309">
        <v>53709</v>
      </c>
      <c r="C3309" s="2">
        <v>38402</v>
      </c>
      <c r="D3309">
        <v>20</v>
      </c>
      <c r="E3309" t="s">
        <v>42</v>
      </c>
      <c r="F3309" t="s">
        <v>37</v>
      </c>
      <c r="G3309" s="2">
        <v>45412</v>
      </c>
      <c r="H3309" s="3">
        <f t="shared" si="51"/>
        <v>1.0630136986301371</v>
      </c>
      <c r="I3309">
        <v>127</v>
      </c>
      <c r="J3309" t="s">
        <v>57</v>
      </c>
      <c r="K3309" t="s">
        <v>56</v>
      </c>
      <c r="L3309" t="s">
        <v>44</v>
      </c>
      <c r="M3309">
        <v>8.4700000000000006</v>
      </c>
      <c r="T3309" t="s">
        <v>47</v>
      </c>
      <c r="U3309">
        <v>2</v>
      </c>
      <c r="V3309">
        <v>5</v>
      </c>
    </row>
    <row r="3310" spans="1:22" x14ac:dyDescent="0.3">
      <c r="A3310">
        <v>3309</v>
      </c>
      <c r="B3310">
        <v>53710</v>
      </c>
      <c r="C3310" s="2">
        <v>36183</v>
      </c>
      <c r="D3310">
        <v>26</v>
      </c>
      <c r="E3310" t="s">
        <v>42</v>
      </c>
      <c r="F3310" t="s">
        <v>50</v>
      </c>
      <c r="G3310" s="2">
        <v>45634</v>
      </c>
      <c r="H3310" s="3">
        <f t="shared" si="51"/>
        <v>1.095890410958904</v>
      </c>
      <c r="I3310">
        <v>128</v>
      </c>
      <c r="J3310" t="s">
        <v>57</v>
      </c>
      <c r="K3310" t="s">
        <v>56</v>
      </c>
      <c r="L3310" t="s">
        <v>44</v>
      </c>
      <c r="M3310">
        <v>8.4700000000000006</v>
      </c>
      <c r="T3310" t="s">
        <v>45</v>
      </c>
      <c r="U3310">
        <v>3</v>
      </c>
      <c r="V3310">
        <v>5</v>
      </c>
    </row>
    <row r="3311" spans="1:22" x14ac:dyDescent="0.3">
      <c r="A3311">
        <v>3310</v>
      </c>
      <c r="B3311">
        <v>53711</v>
      </c>
      <c r="C3311" s="2">
        <v>37174</v>
      </c>
      <c r="D3311">
        <v>24</v>
      </c>
      <c r="E3311" t="s">
        <v>42</v>
      </c>
      <c r="F3311" t="s">
        <v>50</v>
      </c>
      <c r="G3311" s="2">
        <v>45622</v>
      </c>
      <c r="H3311" s="3">
        <f t="shared" si="51"/>
        <v>1.4246575342465753</v>
      </c>
      <c r="I3311">
        <v>128</v>
      </c>
      <c r="J3311" t="s">
        <v>57</v>
      </c>
      <c r="K3311" t="s">
        <v>56</v>
      </c>
      <c r="L3311" t="s">
        <v>44</v>
      </c>
      <c r="M3311">
        <v>8.4700000000000006</v>
      </c>
      <c r="T3311" t="s">
        <v>45</v>
      </c>
      <c r="U3311">
        <v>3</v>
      </c>
      <c r="V3311">
        <v>7</v>
      </c>
    </row>
    <row r="3312" spans="1:22" x14ac:dyDescent="0.3">
      <c r="A3312">
        <v>3311</v>
      </c>
      <c r="B3312">
        <v>53712</v>
      </c>
      <c r="C3312" s="2">
        <v>37230</v>
      </c>
      <c r="D3312">
        <v>24</v>
      </c>
      <c r="E3312" t="s">
        <v>42</v>
      </c>
      <c r="F3312" t="s">
        <v>50</v>
      </c>
      <c r="G3312" s="2">
        <v>45502</v>
      </c>
      <c r="H3312" s="3">
        <f t="shared" si="51"/>
        <v>1.2301369863013698</v>
      </c>
      <c r="I3312">
        <v>129</v>
      </c>
      <c r="J3312" t="s">
        <v>57</v>
      </c>
      <c r="K3312" t="s">
        <v>56</v>
      </c>
      <c r="L3312" t="s">
        <v>44</v>
      </c>
      <c r="M3312">
        <v>8.4700000000000006</v>
      </c>
      <c r="T3312" t="s">
        <v>47</v>
      </c>
      <c r="U3312">
        <v>1</v>
      </c>
      <c r="V3312">
        <v>6</v>
      </c>
    </row>
    <row r="3313" spans="1:22" x14ac:dyDescent="0.3">
      <c r="A3313">
        <v>3312</v>
      </c>
      <c r="B3313">
        <v>53713</v>
      </c>
      <c r="C3313" s="2">
        <v>39017</v>
      </c>
      <c r="D3313">
        <v>19</v>
      </c>
      <c r="E3313" t="s">
        <v>42</v>
      </c>
      <c r="F3313" t="s">
        <v>50</v>
      </c>
      <c r="G3313" s="2">
        <v>45573</v>
      </c>
      <c r="H3313" s="3">
        <f t="shared" si="51"/>
        <v>1.3534246575342466</v>
      </c>
      <c r="I3313">
        <v>130</v>
      </c>
      <c r="J3313" t="s">
        <v>57</v>
      </c>
      <c r="K3313" t="s">
        <v>56</v>
      </c>
      <c r="L3313" t="s">
        <v>44</v>
      </c>
      <c r="M3313">
        <v>8.4700000000000006</v>
      </c>
      <c r="T3313" t="s">
        <v>45</v>
      </c>
      <c r="U3313">
        <v>4</v>
      </c>
      <c r="V3313">
        <v>7</v>
      </c>
    </row>
    <row r="3314" spans="1:22" x14ac:dyDescent="0.3">
      <c r="A3314">
        <v>3313</v>
      </c>
      <c r="B3314">
        <v>53714</v>
      </c>
      <c r="C3314" s="2">
        <v>36232</v>
      </c>
      <c r="D3314">
        <v>26</v>
      </c>
      <c r="E3314" t="s">
        <v>42</v>
      </c>
      <c r="F3314" t="s">
        <v>50</v>
      </c>
      <c r="G3314" s="2">
        <v>45528</v>
      </c>
      <c r="H3314" s="3">
        <f t="shared" si="51"/>
        <v>1.5945205479452054</v>
      </c>
      <c r="I3314">
        <v>133</v>
      </c>
      <c r="J3314" t="s">
        <v>57</v>
      </c>
      <c r="K3314" t="s">
        <v>56</v>
      </c>
      <c r="L3314" t="s">
        <v>44</v>
      </c>
      <c r="M3314">
        <v>8.4700000000000006</v>
      </c>
      <c r="T3314" t="s">
        <v>45</v>
      </c>
      <c r="U3314">
        <v>3</v>
      </c>
      <c r="V3314">
        <v>6</v>
      </c>
    </row>
    <row r="3315" spans="1:22" x14ac:dyDescent="0.3">
      <c r="A3315">
        <v>3314</v>
      </c>
      <c r="B3315">
        <v>53715</v>
      </c>
      <c r="C3315" s="2">
        <v>38013</v>
      </c>
      <c r="D3315">
        <v>21</v>
      </c>
      <c r="E3315" t="s">
        <v>42</v>
      </c>
      <c r="F3315" t="s">
        <v>50</v>
      </c>
      <c r="G3315" s="2">
        <v>45440</v>
      </c>
      <c r="H3315" s="3">
        <f t="shared" si="51"/>
        <v>1.4712328767123288</v>
      </c>
      <c r="I3315">
        <v>133</v>
      </c>
      <c r="J3315" t="s">
        <v>57</v>
      </c>
      <c r="K3315" t="s">
        <v>56</v>
      </c>
      <c r="L3315" t="s">
        <v>44</v>
      </c>
      <c r="M3315">
        <v>8.4700000000000006</v>
      </c>
      <c r="T3315" t="s">
        <v>52</v>
      </c>
      <c r="U3315">
        <v>2</v>
      </c>
      <c r="V3315">
        <v>6</v>
      </c>
    </row>
    <row r="3316" spans="1:22" x14ac:dyDescent="0.3">
      <c r="A3316">
        <v>3315</v>
      </c>
      <c r="B3316">
        <v>53716</v>
      </c>
      <c r="C3316" s="2">
        <v>39310</v>
      </c>
      <c r="D3316">
        <v>18</v>
      </c>
      <c r="E3316" t="s">
        <v>42</v>
      </c>
      <c r="F3316" t="s">
        <v>37</v>
      </c>
      <c r="G3316" s="2">
        <v>45485</v>
      </c>
      <c r="H3316" s="3">
        <f t="shared" si="51"/>
        <v>1.7397260273972603</v>
      </c>
      <c r="I3316">
        <v>135</v>
      </c>
      <c r="J3316" t="s">
        <v>57</v>
      </c>
      <c r="K3316" t="s">
        <v>56</v>
      </c>
      <c r="L3316" t="s">
        <v>44</v>
      </c>
      <c r="M3316">
        <v>8.4700000000000006</v>
      </c>
      <c r="T3316" t="s">
        <v>45</v>
      </c>
      <c r="U3316">
        <v>1</v>
      </c>
      <c r="V3316">
        <v>6</v>
      </c>
    </row>
    <row r="3317" spans="1:22" x14ac:dyDescent="0.3">
      <c r="A3317">
        <v>3316</v>
      </c>
      <c r="B3317">
        <v>53717</v>
      </c>
      <c r="C3317" s="2">
        <v>37787</v>
      </c>
      <c r="D3317">
        <v>22</v>
      </c>
      <c r="E3317" t="s">
        <v>42</v>
      </c>
      <c r="F3317" t="s">
        <v>50</v>
      </c>
      <c r="G3317" s="2">
        <v>45387</v>
      </c>
      <c r="H3317" s="3">
        <f t="shared" si="51"/>
        <v>1.4</v>
      </c>
      <c r="I3317">
        <v>135</v>
      </c>
      <c r="J3317" t="s">
        <v>57</v>
      </c>
      <c r="K3317" t="s">
        <v>56</v>
      </c>
      <c r="L3317" t="s">
        <v>44</v>
      </c>
      <c r="M3317">
        <v>8.4700000000000006</v>
      </c>
      <c r="T3317" t="s">
        <v>52</v>
      </c>
      <c r="U3317">
        <v>2</v>
      </c>
      <c r="V3317">
        <v>5</v>
      </c>
    </row>
    <row r="3318" spans="1:22" x14ac:dyDescent="0.3">
      <c r="A3318">
        <v>3317</v>
      </c>
      <c r="B3318">
        <v>53718</v>
      </c>
      <c r="C3318" s="2">
        <v>37347</v>
      </c>
      <c r="D3318">
        <v>24</v>
      </c>
      <c r="E3318" t="s">
        <v>42</v>
      </c>
      <c r="F3318" t="s">
        <v>50</v>
      </c>
      <c r="G3318" s="2">
        <v>45511</v>
      </c>
      <c r="H3318" s="3">
        <f t="shared" si="51"/>
        <v>1.6</v>
      </c>
      <c r="I3318">
        <v>136</v>
      </c>
      <c r="J3318" t="s">
        <v>57</v>
      </c>
      <c r="K3318" t="s">
        <v>68</v>
      </c>
      <c r="L3318" t="s">
        <v>44</v>
      </c>
      <c r="M3318">
        <v>17</v>
      </c>
      <c r="T3318" t="s">
        <v>52</v>
      </c>
      <c r="U3318">
        <v>2</v>
      </c>
      <c r="V3318">
        <v>7</v>
      </c>
    </row>
    <row r="3319" spans="1:22" x14ac:dyDescent="0.3">
      <c r="A3319">
        <v>3318</v>
      </c>
      <c r="B3319">
        <v>53719</v>
      </c>
      <c r="C3319" s="2">
        <v>38665</v>
      </c>
      <c r="D3319">
        <v>20</v>
      </c>
      <c r="E3319" t="s">
        <v>42</v>
      </c>
      <c r="F3319" t="s">
        <v>37</v>
      </c>
      <c r="G3319" s="2">
        <v>45438</v>
      </c>
      <c r="H3319" s="3">
        <f t="shared" si="51"/>
        <v>1.7698630136986302</v>
      </c>
      <c r="I3319">
        <v>137</v>
      </c>
      <c r="J3319" t="s">
        <v>57</v>
      </c>
      <c r="K3319" t="s">
        <v>56</v>
      </c>
      <c r="L3319" t="s">
        <v>44</v>
      </c>
      <c r="M3319">
        <v>8.4700000000000006</v>
      </c>
      <c r="T3319" t="s">
        <v>52</v>
      </c>
      <c r="U3319">
        <v>4</v>
      </c>
      <c r="V3319">
        <v>5</v>
      </c>
    </row>
    <row r="3320" spans="1:22" x14ac:dyDescent="0.3">
      <c r="A3320">
        <v>3319</v>
      </c>
      <c r="B3320">
        <v>53720</v>
      </c>
      <c r="C3320" s="2">
        <v>38072</v>
      </c>
      <c r="D3320">
        <v>21</v>
      </c>
      <c r="E3320" t="s">
        <v>42</v>
      </c>
      <c r="F3320" t="s">
        <v>50</v>
      </c>
      <c r="G3320" s="2">
        <v>45376</v>
      </c>
      <c r="H3320" s="3">
        <f t="shared" si="51"/>
        <v>1.7945205479452055</v>
      </c>
      <c r="I3320">
        <v>137</v>
      </c>
      <c r="J3320" t="s">
        <v>57</v>
      </c>
      <c r="K3320" t="s">
        <v>56</v>
      </c>
      <c r="L3320" t="s">
        <v>44</v>
      </c>
      <c r="M3320">
        <v>8.4700000000000006</v>
      </c>
      <c r="T3320" t="s">
        <v>45</v>
      </c>
      <c r="U3320">
        <v>2</v>
      </c>
      <c r="V3320">
        <v>6</v>
      </c>
    </row>
    <row r="3321" spans="1:22" x14ac:dyDescent="0.3">
      <c r="A3321">
        <v>3320</v>
      </c>
      <c r="B3321">
        <v>53721</v>
      </c>
      <c r="C3321" s="2">
        <v>35829</v>
      </c>
      <c r="D3321">
        <v>27</v>
      </c>
      <c r="E3321" t="s">
        <v>42</v>
      </c>
      <c r="F3321" t="s">
        <v>50</v>
      </c>
      <c r="G3321" s="2">
        <v>45367</v>
      </c>
      <c r="H3321" s="3">
        <f t="shared" si="51"/>
        <v>1.6383561643835616</v>
      </c>
      <c r="I3321">
        <v>139</v>
      </c>
      <c r="J3321" t="s">
        <v>57</v>
      </c>
      <c r="K3321" t="s">
        <v>56</v>
      </c>
      <c r="L3321" t="s">
        <v>44</v>
      </c>
      <c r="M3321">
        <v>8.4700000000000006</v>
      </c>
      <c r="T3321" t="s">
        <v>52</v>
      </c>
      <c r="U3321">
        <v>2</v>
      </c>
      <c r="V3321">
        <v>7</v>
      </c>
    </row>
    <row r="3322" spans="1:22" x14ac:dyDescent="0.3">
      <c r="A3322">
        <v>3321</v>
      </c>
      <c r="B3322">
        <v>53722</v>
      </c>
      <c r="C3322" s="2">
        <v>38592</v>
      </c>
      <c r="D3322">
        <v>20</v>
      </c>
      <c r="E3322" t="s">
        <v>42</v>
      </c>
      <c r="F3322" t="s">
        <v>37</v>
      </c>
      <c r="G3322" s="2">
        <v>45424</v>
      </c>
      <c r="H3322" s="3">
        <f t="shared" si="51"/>
        <v>1.2410958904109588</v>
      </c>
      <c r="I3322">
        <v>139</v>
      </c>
      <c r="J3322" t="s">
        <v>57</v>
      </c>
      <c r="K3322" t="s">
        <v>56</v>
      </c>
      <c r="L3322" t="s">
        <v>44</v>
      </c>
      <c r="M3322">
        <v>8.4700000000000006</v>
      </c>
      <c r="T3322" t="s">
        <v>49</v>
      </c>
      <c r="U3322">
        <v>2</v>
      </c>
      <c r="V3322">
        <v>6</v>
      </c>
    </row>
    <row r="3323" spans="1:22" x14ac:dyDescent="0.3">
      <c r="A3323">
        <v>3322</v>
      </c>
      <c r="B3323">
        <v>53723</v>
      </c>
      <c r="C3323" s="2">
        <v>37853</v>
      </c>
      <c r="D3323">
        <v>22</v>
      </c>
      <c r="E3323" t="s">
        <v>36</v>
      </c>
      <c r="F3323" t="s">
        <v>50</v>
      </c>
      <c r="G3323" s="2">
        <v>45569</v>
      </c>
      <c r="H3323" s="3">
        <f t="shared" si="51"/>
        <v>1.3397260273972602</v>
      </c>
      <c r="I3323">
        <v>140</v>
      </c>
      <c r="J3323" t="s">
        <v>57</v>
      </c>
      <c r="K3323" t="s">
        <v>56</v>
      </c>
      <c r="L3323" t="s">
        <v>44</v>
      </c>
      <c r="M3323">
        <v>8.4700000000000006</v>
      </c>
      <c r="T3323" t="s">
        <v>52</v>
      </c>
      <c r="U3323">
        <v>4</v>
      </c>
      <c r="V3323">
        <v>4</v>
      </c>
    </row>
    <row r="3324" spans="1:22" x14ac:dyDescent="0.3">
      <c r="A3324">
        <v>3323</v>
      </c>
      <c r="B3324">
        <v>53724</v>
      </c>
      <c r="C3324" s="2">
        <v>38685</v>
      </c>
      <c r="D3324">
        <v>20</v>
      </c>
      <c r="E3324" t="s">
        <v>42</v>
      </c>
      <c r="F3324" t="s">
        <v>37</v>
      </c>
      <c r="G3324" s="2">
        <v>45533</v>
      </c>
      <c r="H3324" s="3">
        <f t="shared" si="51"/>
        <v>1.4191780821917808</v>
      </c>
      <c r="I3324">
        <v>141</v>
      </c>
      <c r="J3324" t="s">
        <v>57</v>
      </c>
      <c r="K3324" t="s">
        <v>48</v>
      </c>
      <c r="L3324" t="s">
        <v>44</v>
      </c>
      <c r="M3324">
        <v>8.4700000000000006</v>
      </c>
      <c r="T3324" t="s">
        <v>52</v>
      </c>
      <c r="U3324">
        <v>2</v>
      </c>
      <c r="V3324">
        <v>4</v>
      </c>
    </row>
    <row r="3325" spans="1:22" x14ac:dyDescent="0.3">
      <c r="A3325">
        <v>3324</v>
      </c>
      <c r="B3325">
        <v>53725</v>
      </c>
      <c r="C3325" s="2">
        <v>39258</v>
      </c>
      <c r="D3325">
        <v>18</v>
      </c>
      <c r="E3325" t="s">
        <v>42</v>
      </c>
      <c r="F3325" t="s">
        <v>50</v>
      </c>
      <c r="G3325" s="2">
        <v>45504</v>
      </c>
      <c r="H3325" s="3">
        <f t="shared" si="51"/>
        <v>1.5397260273972602</v>
      </c>
      <c r="I3325">
        <v>141</v>
      </c>
      <c r="J3325" t="s">
        <v>57</v>
      </c>
      <c r="K3325" t="s">
        <v>56</v>
      </c>
      <c r="L3325" t="s">
        <v>44</v>
      </c>
      <c r="M3325">
        <v>8.4700000000000006</v>
      </c>
      <c r="T3325" t="s">
        <v>52</v>
      </c>
      <c r="U3325">
        <v>0</v>
      </c>
      <c r="V3325">
        <v>6</v>
      </c>
    </row>
    <row r="3326" spans="1:22" x14ac:dyDescent="0.3">
      <c r="A3326">
        <v>3325</v>
      </c>
      <c r="B3326">
        <v>53726</v>
      </c>
      <c r="C3326" s="2">
        <v>34818</v>
      </c>
      <c r="D3326">
        <v>30</v>
      </c>
      <c r="E3326" t="s">
        <v>42</v>
      </c>
      <c r="F3326" t="s">
        <v>37</v>
      </c>
      <c r="G3326" s="2">
        <v>45460</v>
      </c>
      <c r="H3326" s="3">
        <f t="shared" si="51"/>
        <v>1.284931506849315</v>
      </c>
      <c r="I3326">
        <v>143</v>
      </c>
      <c r="J3326" t="s">
        <v>57</v>
      </c>
      <c r="K3326" t="s">
        <v>56</v>
      </c>
      <c r="L3326" t="s">
        <v>44</v>
      </c>
      <c r="M3326">
        <v>8.4700000000000006</v>
      </c>
      <c r="T3326" t="s">
        <v>47</v>
      </c>
      <c r="U3326">
        <v>1</v>
      </c>
      <c r="V3326">
        <v>6</v>
      </c>
    </row>
    <row r="3327" spans="1:22" x14ac:dyDescent="0.3">
      <c r="A3327">
        <v>3326</v>
      </c>
      <c r="B3327">
        <v>53727</v>
      </c>
      <c r="C3327" s="2">
        <v>37620</v>
      </c>
      <c r="D3327">
        <v>23</v>
      </c>
      <c r="E3327" t="s">
        <v>42</v>
      </c>
      <c r="F3327" t="s">
        <v>50</v>
      </c>
      <c r="G3327" s="2">
        <v>45553</v>
      </c>
      <c r="H3327" s="3">
        <f t="shared" si="51"/>
        <v>1.4328767123287671</v>
      </c>
      <c r="I3327">
        <v>144</v>
      </c>
      <c r="J3327" t="s">
        <v>57</v>
      </c>
      <c r="K3327" t="s">
        <v>68</v>
      </c>
      <c r="L3327" t="s">
        <v>44</v>
      </c>
      <c r="M3327">
        <v>17</v>
      </c>
      <c r="T3327" t="s">
        <v>45</v>
      </c>
      <c r="U3327">
        <v>4</v>
      </c>
      <c r="V3327">
        <v>7</v>
      </c>
    </row>
    <row r="3328" spans="1:22" x14ac:dyDescent="0.3">
      <c r="A3328">
        <v>3327</v>
      </c>
      <c r="B3328">
        <v>53728</v>
      </c>
      <c r="C3328" s="2">
        <v>38983</v>
      </c>
      <c r="D3328">
        <v>19</v>
      </c>
      <c r="E3328" t="s">
        <v>42</v>
      </c>
      <c r="F3328" t="s">
        <v>50</v>
      </c>
      <c r="G3328" s="2">
        <v>45499</v>
      </c>
      <c r="H3328" s="3">
        <f t="shared" si="51"/>
        <v>1.7643835616438357</v>
      </c>
      <c r="I3328">
        <v>144</v>
      </c>
      <c r="J3328" t="s">
        <v>57</v>
      </c>
      <c r="K3328" t="s">
        <v>56</v>
      </c>
      <c r="L3328" t="s">
        <v>44</v>
      </c>
      <c r="M3328">
        <v>8.4700000000000006</v>
      </c>
      <c r="T3328" t="s">
        <v>45</v>
      </c>
      <c r="U3328">
        <v>2</v>
      </c>
      <c r="V3328">
        <v>7</v>
      </c>
    </row>
    <row r="3329" spans="1:22" x14ac:dyDescent="0.3">
      <c r="A3329">
        <v>3328</v>
      </c>
      <c r="B3329">
        <v>53730</v>
      </c>
      <c r="C3329" s="2">
        <v>39175</v>
      </c>
      <c r="D3329">
        <v>18</v>
      </c>
      <c r="E3329" t="s">
        <v>42</v>
      </c>
      <c r="F3329" t="s">
        <v>37</v>
      </c>
      <c r="G3329" s="2">
        <v>45378</v>
      </c>
      <c r="H3329" s="3">
        <f t="shared" si="51"/>
        <v>1.4657534246575343</v>
      </c>
      <c r="I3329">
        <v>144</v>
      </c>
      <c r="J3329" t="s">
        <v>57</v>
      </c>
      <c r="K3329" t="s">
        <v>56</v>
      </c>
      <c r="L3329" t="s">
        <v>44</v>
      </c>
      <c r="M3329">
        <v>8.4700000000000006</v>
      </c>
      <c r="T3329" t="s">
        <v>45</v>
      </c>
      <c r="U3329">
        <v>2</v>
      </c>
      <c r="V3329">
        <v>7</v>
      </c>
    </row>
    <row r="3330" spans="1:22" x14ac:dyDescent="0.3">
      <c r="A3330">
        <v>3329</v>
      </c>
      <c r="B3330">
        <v>53731</v>
      </c>
      <c r="C3330" s="2">
        <v>37386</v>
      </c>
      <c r="D3330">
        <v>23</v>
      </c>
      <c r="E3330" t="s">
        <v>42</v>
      </c>
      <c r="F3330" t="s">
        <v>50</v>
      </c>
      <c r="G3330" s="2">
        <v>45487</v>
      </c>
      <c r="H3330" s="3">
        <f t="shared" si="51"/>
        <v>1.6876712328767123</v>
      </c>
      <c r="I3330">
        <v>5</v>
      </c>
      <c r="J3330" t="s">
        <v>38</v>
      </c>
      <c r="K3330" t="s">
        <v>55</v>
      </c>
      <c r="L3330" t="s">
        <v>44</v>
      </c>
      <c r="M3330">
        <v>17.59</v>
      </c>
      <c r="T3330" t="s">
        <v>47</v>
      </c>
      <c r="U3330">
        <v>3</v>
      </c>
      <c r="V3330">
        <v>6</v>
      </c>
    </row>
    <row r="3331" spans="1:22" x14ac:dyDescent="0.3">
      <c r="A3331">
        <v>3330</v>
      </c>
      <c r="B3331">
        <v>53732</v>
      </c>
      <c r="C3331" s="2">
        <v>39290</v>
      </c>
      <c r="D3331">
        <v>18</v>
      </c>
      <c r="E3331" t="s">
        <v>42</v>
      </c>
      <c r="F3331" t="s">
        <v>50</v>
      </c>
      <c r="G3331" s="2">
        <v>45406</v>
      </c>
      <c r="H3331" s="3">
        <f t="shared" ref="H3331:H3394" si="52">DATEDIF(G3332,DATE(2025,12,31),"d")/365</f>
        <v>1.0273972602739727</v>
      </c>
      <c r="I3331">
        <v>10</v>
      </c>
      <c r="J3331" t="s">
        <v>38</v>
      </c>
      <c r="K3331" t="s">
        <v>48</v>
      </c>
      <c r="L3331" t="s">
        <v>44</v>
      </c>
      <c r="M3331">
        <v>8.4700000000000006</v>
      </c>
      <c r="T3331" t="s">
        <v>47</v>
      </c>
      <c r="U3331">
        <v>0</v>
      </c>
      <c r="V3331">
        <v>6</v>
      </c>
    </row>
    <row r="3332" spans="1:22" x14ac:dyDescent="0.3">
      <c r="A3332">
        <v>3331</v>
      </c>
      <c r="B3332">
        <v>53733</v>
      </c>
      <c r="C3332" s="2">
        <v>39052</v>
      </c>
      <c r="D3332">
        <v>20</v>
      </c>
      <c r="E3332" t="s">
        <v>42</v>
      </c>
      <c r="F3332" t="s">
        <v>50</v>
      </c>
      <c r="G3332" s="2">
        <v>45647</v>
      </c>
      <c r="H3332" s="3">
        <f t="shared" si="52"/>
        <v>1.3397260273972602</v>
      </c>
      <c r="I3332">
        <v>14</v>
      </c>
      <c r="J3332" t="s">
        <v>38</v>
      </c>
      <c r="K3332" t="s">
        <v>48</v>
      </c>
      <c r="L3332" t="s">
        <v>44</v>
      </c>
      <c r="M3332">
        <v>8.4700000000000006</v>
      </c>
      <c r="T3332" t="s">
        <v>49</v>
      </c>
      <c r="U3332">
        <v>2</v>
      </c>
      <c r="V3332">
        <v>5</v>
      </c>
    </row>
    <row r="3333" spans="1:22" x14ac:dyDescent="0.3">
      <c r="A3333">
        <v>3332</v>
      </c>
      <c r="B3333">
        <v>53734</v>
      </c>
      <c r="C3333" s="2">
        <v>38758</v>
      </c>
      <c r="D3333">
        <v>19</v>
      </c>
      <c r="E3333" t="s">
        <v>42</v>
      </c>
      <c r="F3333" t="s">
        <v>37</v>
      </c>
      <c r="G3333" s="2">
        <v>45533</v>
      </c>
      <c r="H3333" s="3">
        <f t="shared" si="52"/>
        <v>1.189041095890411</v>
      </c>
      <c r="I3333">
        <v>15</v>
      </c>
      <c r="J3333" t="s">
        <v>38</v>
      </c>
      <c r="K3333" t="s">
        <v>48</v>
      </c>
      <c r="L3333" t="s">
        <v>44</v>
      </c>
      <c r="M3333">
        <v>17.899999999999999</v>
      </c>
      <c r="T3333" t="s">
        <v>52</v>
      </c>
      <c r="U3333">
        <v>0</v>
      </c>
      <c r="V3333">
        <v>5</v>
      </c>
    </row>
    <row r="3334" spans="1:22" x14ac:dyDescent="0.3">
      <c r="A3334">
        <v>3333</v>
      </c>
      <c r="B3334">
        <v>53735</v>
      </c>
      <c r="C3334" s="2">
        <v>37076</v>
      </c>
      <c r="D3334">
        <v>24</v>
      </c>
      <c r="E3334" t="s">
        <v>42</v>
      </c>
      <c r="F3334" t="s">
        <v>37</v>
      </c>
      <c r="G3334" s="2">
        <v>45588</v>
      </c>
      <c r="H3334" s="3">
        <f t="shared" si="52"/>
        <v>1.0630136986301371</v>
      </c>
      <c r="I3334">
        <v>52</v>
      </c>
      <c r="J3334" t="s">
        <v>38</v>
      </c>
      <c r="K3334" t="s">
        <v>55</v>
      </c>
      <c r="L3334" t="s">
        <v>44</v>
      </c>
      <c r="M3334">
        <v>17.59</v>
      </c>
      <c r="T3334" t="s">
        <v>47</v>
      </c>
      <c r="U3334">
        <v>1</v>
      </c>
      <c r="V3334">
        <v>6</v>
      </c>
    </row>
    <row r="3335" spans="1:22" x14ac:dyDescent="0.3">
      <c r="A3335">
        <v>3334</v>
      </c>
      <c r="B3335">
        <v>53736</v>
      </c>
      <c r="C3335" s="2">
        <v>38097</v>
      </c>
      <c r="D3335">
        <v>21</v>
      </c>
      <c r="E3335" t="s">
        <v>42</v>
      </c>
      <c r="F3335" t="s">
        <v>50</v>
      </c>
      <c r="G3335" s="2">
        <v>45634</v>
      </c>
      <c r="H3335" s="3">
        <f t="shared" si="52"/>
        <v>1.0767123287671232</v>
      </c>
      <c r="I3335">
        <v>52</v>
      </c>
      <c r="J3335" t="s">
        <v>38</v>
      </c>
      <c r="K3335" t="s">
        <v>56</v>
      </c>
      <c r="L3335" t="s">
        <v>44</v>
      </c>
      <c r="M3335">
        <v>8.4700000000000006</v>
      </c>
      <c r="T3335" t="s">
        <v>47</v>
      </c>
      <c r="U3335">
        <v>0</v>
      </c>
      <c r="V3335">
        <v>7</v>
      </c>
    </row>
    <row r="3336" spans="1:22" x14ac:dyDescent="0.3">
      <c r="A3336">
        <v>3335</v>
      </c>
      <c r="B3336">
        <v>53737</v>
      </c>
      <c r="C3336" s="2">
        <v>35648</v>
      </c>
      <c r="D3336">
        <v>28</v>
      </c>
      <c r="E3336" t="s">
        <v>36</v>
      </c>
      <c r="F3336" t="s">
        <v>50</v>
      </c>
      <c r="G3336" s="2">
        <v>45629</v>
      </c>
      <c r="H3336" s="3">
        <f t="shared" si="52"/>
        <v>1.6356164383561644</v>
      </c>
      <c r="I3336">
        <v>62</v>
      </c>
      <c r="J3336" t="s">
        <v>38</v>
      </c>
      <c r="K3336" t="s">
        <v>55</v>
      </c>
      <c r="L3336" t="s">
        <v>44</v>
      </c>
      <c r="M3336">
        <v>17.59</v>
      </c>
      <c r="T3336" t="s">
        <v>45</v>
      </c>
      <c r="U3336">
        <v>2</v>
      </c>
      <c r="V3336">
        <v>4</v>
      </c>
    </row>
    <row r="3337" spans="1:22" x14ac:dyDescent="0.3">
      <c r="A3337">
        <v>3336</v>
      </c>
      <c r="B3337">
        <v>53738</v>
      </c>
      <c r="C3337" s="2">
        <v>38409</v>
      </c>
      <c r="D3337">
        <v>20</v>
      </c>
      <c r="E3337" t="s">
        <v>42</v>
      </c>
      <c r="F3337" t="s">
        <v>37</v>
      </c>
      <c r="G3337" s="2">
        <v>45425</v>
      </c>
      <c r="H3337" s="3">
        <f t="shared" si="52"/>
        <v>1.2410958904109588</v>
      </c>
      <c r="I3337">
        <v>64</v>
      </c>
      <c r="J3337" t="s">
        <v>38</v>
      </c>
      <c r="K3337" t="s">
        <v>48</v>
      </c>
      <c r="L3337" t="s">
        <v>44</v>
      </c>
      <c r="M3337">
        <v>8.4700000000000006</v>
      </c>
      <c r="T3337" t="s">
        <v>52</v>
      </c>
      <c r="U3337">
        <v>1</v>
      </c>
      <c r="V3337">
        <v>6</v>
      </c>
    </row>
    <row r="3338" spans="1:22" x14ac:dyDescent="0.3">
      <c r="A3338">
        <v>3337</v>
      </c>
      <c r="B3338">
        <v>53739</v>
      </c>
      <c r="C3338" s="2">
        <v>38273</v>
      </c>
      <c r="D3338">
        <v>21</v>
      </c>
      <c r="E3338" t="s">
        <v>42</v>
      </c>
      <c r="F3338" t="s">
        <v>50</v>
      </c>
      <c r="G3338" s="2">
        <v>45569</v>
      </c>
      <c r="H3338" s="3">
        <f t="shared" si="52"/>
        <v>1.3260273972602741</v>
      </c>
      <c r="I3338">
        <v>70</v>
      </c>
      <c r="J3338" t="s">
        <v>57</v>
      </c>
      <c r="K3338" t="s">
        <v>48</v>
      </c>
      <c r="L3338" t="s">
        <v>44</v>
      </c>
      <c r="M3338">
        <v>8.4700000000000006</v>
      </c>
      <c r="T3338" t="s">
        <v>45</v>
      </c>
      <c r="U3338">
        <v>2</v>
      </c>
      <c r="V3338">
        <v>5</v>
      </c>
    </row>
    <row r="3339" spans="1:22" x14ac:dyDescent="0.3">
      <c r="A3339">
        <v>3338</v>
      </c>
      <c r="B3339">
        <v>53740</v>
      </c>
      <c r="C3339" s="2">
        <v>36131</v>
      </c>
      <c r="D3339">
        <v>27</v>
      </c>
      <c r="E3339" t="s">
        <v>42</v>
      </c>
      <c r="F3339" t="s">
        <v>50</v>
      </c>
      <c r="G3339" s="2">
        <v>45538</v>
      </c>
      <c r="H3339" s="3">
        <f t="shared" si="52"/>
        <v>1.1452054794520548</v>
      </c>
      <c r="I3339">
        <v>81</v>
      </c>
      <c r="J3339" t="s">
        <v>57</v>
      </c>
      <c r="K3339" t="s">
        <v>55</v>
      </c>
      <c r="L3339" t="s">
        <v>44</v>
      </c>
      <c r="M3339">
        <v>17.59</v>
      </c>
      <c r="T3339" t="s">
        <v>45</v>
      </c>
      <c r="U3339">
        <v>1</v>
      </c>
      <c r="V3339">
        <v>5</v>
      </c>
    </row>
    <row r="3340" spans="1:22" x14ac:dyDescent="0.3">
      <c r="A3340">
        <v>3339</v>
      </c>
      <c r="B3340">
        <v>53741</v>
      </c>
      <c r="C3340" s="2">
        <v>36331</v>
      </c>
      <c r="D3340">
        <v>26</v>
      </c>
      <c r="E3340" t="s">
        <v>36</v>
      </c>
      <c r="F3340" t="s">
        <v>50</v>
      </c>
      <c r="G3340" s="2">
        <v>45604</v>
      </c>
      <c r="H3340" s="3">
        <f t="shared" si="52"/>
        <v>1.0301369863013699</v>
      </c>
      <c r="I3340">
        <v>108</v>
      </c>
      <c r="J3340" t="s">
        <v>57</v>
      </c>
      <c r="K3340" t="s">
        <v>55</v>
      </c>
      <c r="L3340" t="s">
        <v>44</v>
      </c>
      <c r="M3340">
        <v>17.59</v>
      </c>
      <c r="T3340" t="s">
        <v>45</v>
      </c>
      <c r="U3340">
        <v>2</v>
      </c>
      <c r="V3340">
        <v>5</v>
      </c>
    </row>
    <row r="3341" spans="1:22" x14ac:dyDescent="0.3">
      <c r="A3341">
        <v>3340</v>
      </c>
      <c r="B3341">
        <v>53742</v>
      </c>
      <c r="C3341" s="2">
        <v>38688</v>
      </c>
      <c r="D3341">
        <v>20</v>
      </c>
      <c r="E3341" t="s">
        <v>36</v>
      </c>
      <c r="F3341" t="s">
        <v>37</v>
      </c>
      <c r="G3341" s="2">
        <v>45646</v>
      </c>
      <c r="H3341" s="3">
        <f t="shared" si="52"/>
        <v>1.0410958904109588</v>
      </c>
      <c r="I3341">
        <v>3</v>
      </c>
      <c r="J3341" t="s">
        <v>38</v>
      </c>
      <c r="K3341" t="s">
        <v>65</v>
      </c>
      <c r="L3341" t="s">
        <v>44</v>
      </c>
      <c r="M3341">
        <v>10.64</v>
      </c>
      <c r="T3341" t="s">
        <v>47</v>
      </c>
      <c r="U3341">
        <v>0</v>
      </c>
      <c r="V3341">
        <v>4</v>
      </c>
    </row>
    <row r="3342" spans="1:22" x14ac:dyDescent="0.3">
      <c r="A3342">
        <v>3341</v>
      </c>
      <c r="B3342">
        <v>53743</v>
      </c>
      <c r="C3342" s="2">
        <v>38290</v>
      </c>
      <c r="D3342">
        <v>21</v>
      </c>
      <c r="E3342" t="s">
        <v>42</v>
      </c>
      <c r="F3342" t="s">
        <v>50</v>
      </c>
      <c r="G3342" s="2">
        <v>45642</v>
      </c>
      <c r="H3342" s="3">
        <f t="shared" si="52"/>
        <v>1.6054794520547946</v>
      </c>
      <c r="I3342">
        <v>23</v>
      </c>
      <c r="J3342" t="s">
        <v>38</v>
      </c>
      <c r="K3342" t="s">
        <v>48</v>
      </c>
      <c r="L3342" t="s">
        <v>44</v>
      </c>
      <c r="M3342">
        <v>8.4700000000000006</v>
      </c>
      <c r="T3342" t="s">
        <v>45</v>
      </c>
      <c r="U3342">
        <v>4</v>
      </c>
      <c r="V3342">
        <v>7</v>
      </c>
    </row>
    <row r="3343" spans="1:22" x14ac:dyDescent="0.3">
      <c r="A3343">
        <v>3342</v>
      </c>
      <c r="B3343">
        <v>53744</v>
      </c>
      <c r="C3343" s="2">
        <v>34901</v>
      </c>
      <c r="D3343">
        <v>30</v>
      </c>
      <c r="E3343" t="s">
        <v>36</v>
      </c>
      <c r="F3343" t="s">
        <v>50</v>
      </c>
      <c r="G3343" s="2">
        <v>45436</v>
      </c>
      <c r="H3343" s="3">
        <f t="shared" si="52"/>
        <v>1.7808219178082192</v>
      </c>
      <c r="I3343">
        <v>23</v>
      </c>
      <c r="J3343" t="s">
        <v>38</v>
      </c>
      <c r="K3343" t="s">
        <v>54</v>
      </c>
      <c r="L3343" t="s">
        <v>44</v>
      </c>
      <c r="M3343">
        <v>23.78</v>
      </c>
      <c r="T3343" t="s">
        <v>47</v>
      </c>
      <c r="U3343">
        <v>5</v>
      </c>
      <c r="V3343">
        <v>5</v>
      </c>
    </row>
    <row r="3344" spans="1:22" x14ac:dyDescent="0.3">
      <c r="A3344">
        <v>3343</v>
      </c>
      <c r="B3344">
        <v>53745</v>
      </c>
      <c r="C3344" s="2">
        <v>36955</v>
      </c>
      <c r="D3344">
        <v>24</v>
      </c>
      <c r="E3344" t="s">
        <v>36</v>
      </c>
      <c r="F3344" t="s">
        <v>50</v>
      </c>
      <c r="G3344" s="2">
        <v>45372</v>
      </c>
      <c r="H3344" s="3">
        <f t="shared" si="52"/>
        <v>1.789041095890411</v>
      </c>
      <c r="I3344">
        <v>29</v>
      </c>
      <c r="J3344" t="s">
        <v>38</v>
      </c>
      <c r="K3344" t="s">
        <v>46</v>
      </c>
      <c r="L3344" t="s">
        <v>44</v>
      </c>
      <c r="M3344">
        <v>14.23</v>
      </c>
      <c r="T3344" t="s">
        <v>52</v>
      </c>
      <c r="U3344">
        <v>1</v>
      </c>
      <c r="V3344">
        <v>4</v>
      </c>
    </row>
    <row r="3345" spans="1:22" x14ac:dyDescent="0.3">
      <c r="A3345">
        <v>3344</v>
      </c>
      <c r="B3345">
        <v>53746</v>
      </c>
      <c r="C3345" s="2">
        <v>39072</v>
      </c>
      <c r="D3345">
        <v>19</v>
      </c>
      <c r="E3345" t="s">
        <v>36</v>
      </c>
      <c r="F3345" t="s">
        <v>37</v>
      </c>
      <c r="G3345" s="2">
        <v>45369</v>
      </c>
      <c r="H3345" s="3">
        <f t="shared" si="52"/>
        <v>1.7205479452054795</v>
      </c>
      <c r="I3345">
        <v>42</v>
      </c>
      <c r="J3345" t="s">
        <v>38</v>
      </c>
      <c r="K3345" t="s">
        <v>43</v>
      </c>
      <c r="L3345" t="s">
        <v>44</v>
      </c>
      <c r="M3345">
        <v>16.37</v>
      </c>
      <c r="T3345" t="s">
        <v>45</v>
      </c>
      <c r="U3345">
        <v>0</v>
      </c>
      <c r="V3345">
        <v>3</v>
      </c>
    </row>
    <row r="3346" spans="1:22" x14ac:dyDescent="0.3">
      <c r="A3346">
        <v>3345</v>
      </c>
      <c r="B3346">
        <v>53747</v>
      </c>
      <c r="C3346" s="2">
        <v>36491</v>
      </c>
      <c r="D3346">
        <v>26</v>
      </c>
      <c r="E3346" t="s">
        <v>42</v>
      </c>
      <c r="F3346" t="s">
        <v>50</v>
      </c>
      <c r="G3346" s="2">
        <v>45394</v>
      </c>
      <c r="H3346" s="3">
        <f t="shared" si="52"/>
        <v>1.6520547945205479</v>
      </c>
      <c r="I3346">
        <v>58</v>
      </c>
      <c r="J3346" t="s">
        <v>38</v>
      </c>
      <c r="K3346" t="s">
        <v>65</v>
      </c>
      <c r="L3346" t="s">
        <v>44</v>
      </c>
      <c r="M3346">
        <v>10.64</v>
      </c>
      <c r="T3346" t="s">
        <v>45</v>
      </c>
      <c r="U3346">
        <v>0</v>
      </c>
      <c r="V3346">
        <v>6</v>
      </c>
    </row>
    <row r="3347" spans="1:22" x14ac:dyDescent="0.3">
      <c r="A3347">
        <v>3346</v>
      </c>
      <c r="B3347">
        <v>53748</v>
      </c>
      <c r="C3347" s="2">
        <v>36265</v>
      </c>
      <c r="D3347">
        <v>26</v>
      </c>
      <c r="E3347" t="s">
        <v>42</v>
      </c>
      <c r="F3347" t="s">
        <v>50</v>
      </c>
      <c r="G3347" s="2">
        <v>45419</v>
      </c>
      <c r="H3347" s="3">
        <f t="shared" si="52"/>
        <v>1.2136986301369863</v>
      </c>
      <c r="I3347">
        <v>72</v>
      </c>
      <c r="J3347" t="s">
        <v>57</v>
      </c>
      <c r="K3347" t="s">
        <v>55</v>
      </c>
      <c r="L3347" t="s">
        <v>44</v>
      </c>
      <c r="M3347">
        <v>17.59</v>
      </c>
      <c r="T3347" t="s">
        <v>47</v>
      </c>
      <c r="U3347">
        <v>2</v>
      </c>
      <c r="V3347">
        <v>5</v>
      </c>
    </row>
    <row r="3348" spans="1:22" x14ac:dyDescent="0.3">
      <c r="A3348">
        <v>3347</v>
      </c>
      <c r="B3348">
        <v>53749</v>
      </c>
      <c r="C3348" s="2">
        <v>33721</v>
      </c>
      <c r="D3348">
        <v>33</v>
      </c>
      <c r="E3348" t="s">
        <v>42</v>
      </c>
      <c r="F3348" t="s">
        <v>50</v>
      </c>
      <c r="G3348" s="2">
        <v>45579</v>
      </c>
      <c r="H3348" s="3">
        <f t="shared" si="52"/>
        <v>1.0821917808219179</v>
      </c>
      <c r="I3348">
        <v>85</v>
      </c>
      <c r="J3348" t="s">
        <v>57</v>
      </c>
      <c r="K3348" t="s">
        <v>48</v>
      </c>
      <c r="L3348" t="s">
        <v>44</v>
      </c>
      <c r="M3348">
        <v>8.4700000000000006</v>
      </c>
      <c r="T3348" t="s">
        <v>45</v>
      </c>
      <c r="U3348">
        <v>1</v>
      </c>
      <c r="V3348">
        <v>5</v>
      </c>
    </row>
    <row r="3349" spans="1:22" x14ac:dyDescent="0.3">
      <c r="A3349">
        <v>3348</v>
      </c>
      <c r="B3349">
        <v>53750</v>
      </c>
      <c r="C3349" s="2">
        <v>38035</v>
      </c>
      <c r="D3349">
        <v>21</v>
      </c>
      <c r="E3349" t="s">
        <v>36</v>
      </c>
      <c r="F3349" t="s">
        <v>50</v>
      </c>
      <c r="G3349" s="2">
        <v>45627</v>
      </c>
      <c r="H3349" s="3">
        <f t="shared" si="52"/>
        <v>1.9561643835616438</v>
      </c>
      <c r="I3349">
        <v>118</v>
      </c>
      <c r="J3349" t="s">
        <v>57</v>
      </c>
      <c r="K3349" t="s">
        <v>43</v>
      </c>
      <c r="L3349" t="s">
        <v>44</v>
      </c>
      <c r="M3349">
        <v>16.37</v>
      </c>
      <c r="T3349" t="s">
        <v>49</v>
      </c>
      <c r="U3349">
        <v>1</v>
      </c>
      <c r="V3349">
        <v>5</v>
      </c>
    </row>
    <row r="3350" spans="1:22" x14ac:dyDescent="0.3">
      <c r="A3350">
        <v>3349</v>
      </c>
      <c r="B3350">
        <v>53751</v>
      </c>
      <c r="C3350" s="2">
        <v>37874</v>
      </c>
      <c r="D3350">
        <v>22</v>
      </c>
      <c r="E3350" t="s">
        <v>42</v>
      </c>
      <c r="F3350" t="s">
        <v>50</v>
      </c>
      <c r="G3350" s="2">
        <v>45308</v>
      </c>
      <c r="H3350" s="3">
        <f t="shared" si="52"/>
        <v>1.095890410958904</v>
      </c>
      <c r="I3350">
        <v>3</v>
      </c>
      <c r="J3350" t="s">
        <v>38</v>
      </c>
      <c r="K3350" t="s">
        <v>48</v>
      </c>
      <c r="L3350" t="s">
        <v>44</v>
      </c>
      <c r="M3350">
        <v>8.4700000000000006</v>
      </c>
      <c r="T3350" t="s">
        <v>47</v>
      </c>
      <c r="U3350">
        <v>2</v>
      </c>
      <c r="V3350">
        <v>7</v>
      </c>
    </row>
    <row r="3351" spans="1:22" x14ac:dyDescent="0.3">
      <c r="A3351">
        <v>3350</v>
      </c>
      <c r="B3351">
        <v>53752</v>
      </c>
      <c r="C3351" s="2">
        <v>37288</v>
      </c>
      <c r="D3351">
        <v>24</v>
      </c>
      <c r="E3351" t="s">
        <v>36</v>
      </c>
      <c r="F3351" t="s">
        <v>37</v>
      </c>
      <c r="G3351" s="2">
        <v>45622</v>
      </c>
      <c r="H3351" s="3">
        <f t="shared" si="52"/>
        <v>1.2794520547945205</v>
      </c>
      <c r="I3351">
        <v>30</v>
      </c>
      <c r="J3351" t="s">
        <v>38</v>
      </c>
      <c r="K3351" t="s">
        <v>55</v>
      </c>
      <c r="L3351" t="s">
        <v>44</v>
      </c>
      <c r="M3351">
        <v>17.59</v>
      </c>
      <c r="T3351" t="s">
        <v>45</v>
      </c>
      <c r="U3351">
        <v>1</v>
      </c>
      <c r="V3351">
        <v>5</v>
      </c>
    </row>
    <row r="3352" spans="1:22" x14ac:dyDescent="0.3">
      <c r="A3352">
        <v>3351</v>
      </c>
      <c r="B3352">
        <v>53753</v>
      </c>
      <c r="C3352" s="2">
        <v>38907</v>
      </c>
      <c r="D3352">
        <v>19</v>
      </c>
      <c r="E3352" t="s">
        <v>42</v>
      </c>
      <c r="F3352" t="s">
        <v>50</v>
      </c>
      <c r="G3352" s="2">
        <v>45555</v>
      </c>
      <c r="H3352" s="3">
        <f t="shared" si="52"/>
        <v>1.1150684931506849</v>
      </c>
      <c r="I3352">
        <v>50</v>
      </c>
      <c r="J3352" t="s">
        <v>38</v>
      </c>
      <c r="K3352" t="s">
        <v>48</v>
      </c>
      <c r="L3352" t="s">
        <v>44</v>
      </c>
      <c r="M3352">
        <v>8.4700000000000006</v>
      </c>
      <c r="T3352" t="s">
        <v>45</v>
      </c>
      <c r="U3352">
        <v>0</v>
      </c>
      <c r="V3352">
        <v>5</v>
      </c>
    </row>
    <row r="3353" spans="1:22" x14ac:dyDescent="0.3">
      <c r="A3353">
        <v>3352</v>
      </c>
      <c r="B3353">
        <v>53754</v>
      </c>
      <c r="C3353" s="2">
        <v>36125</v>
      </c>
      <c r="D3353">
        <v>27</v>
      </c>
      <c r="E3353" t="s">
        <v>36</v>
      </c>
      <c r="F3353" t="s">
        <v>50</v>
      </c>
      <c r="G3353" s="2">
        <v>45615</v>
      </c>
      <c r="H3353" s="3">
        <f t="shared" si="52"/>
        <v>1.0876712328767124</v>
      </c>
      <c r="I3353">
        <v>64</v>
      </c>
      <c r="J3353" t="s">
        <v>38</v>
      </c>
      <c r="K3353" t="s">
        <v>55</v>
      </c>
      <c r="L3353" t="s">
        <v>44</v>
      </c>
      <c r="M3353">
        <v>17.59</v>
      </c>
      <c r="T3353" t="s">
        <v>47</v>
      </c>
      <c r="U3353">
        <v>3</v>
      </c>
      <c r="V3353">
        <v>4</v>
      </c>
    </row>
    <row r="3354" spans="1:22" x14ac:dyDescent="0.3">
      <c r="A3354">
        <v>3353</v>
      </c>
      <c r="B3354">
        <v>53755</v>
      </c>
      <c r="C3354" s="2">
        <v>36407</v>
      </c>
      <c r="D3354">
        <v>26</v>
      </c>
      <c r="E3354" t="s">
        <v>42</v>
      </c>
      <c r="F3354" t="s">
        <v>50</v>
      </c>
      <c r="G3354" s="2">
        <v>45625</v>
      </c>
      <c r="H3354" s="3">
        <f t="shared" si="52"/>
        <v>1.6027397260273972</v>
      </c>
      <c r="I3354">
        <v>76</v>
      </c>
      <c r="J3354" t="s">
        <v>57</v>
      </c>
      <c r="K3354" t="s">
        <v>46</v>
      </c>
      <c r="L3354" t="s">
        <v>44</v>
      </c>
      <c r="M3354">
        <v>14.23</v>
      </c>
      <c r="T3354" t="s">
        <v>52</v>
      </c>
      <c r="U3354">
        <v>0</v>
      </c>
      <c r="V3354">
        <v>5</v>
      </c>
    </row>
    <row r="3355" spans="1:22" x14ac:dyDescent="0.3">
      <c r="A3355">
        <v>3354</v>
      </c>
      <c r="B3355">
        <v>53756</v>
      </c>
      <c r="C3355" s="2">
        <v>37196</v>
      </c>
      <c r="D3355">
        <v>25</v>
      </c>
      <c r="E3355" t="s">
        <v>36</v>
      </c>
      <c r="F3355" t="s">
        <v>37</v>
      </c>
      <c r="G3355" s="2">
        <v>45437</v>
      </c>
      <c r="H3355" s="3">
        <f t="shared" si="52"/>
        <v>1.4328767123287671</v>
      </c>
      <c r="I3355">
        <v>15</v>
      </c>
      <c r="J3355" t="s">
        <v>38</v>
      </c>
      <c r="K3355" t="s">
        <v>55</v>
      </c>
      <c r="L3355" t="s">
        <v>44</v>
      </c>
      <c r="M3355">
        <v>17.59</v>
      </c>
      <c r="T3355" t="s">
        <v>45</v>
      </c>
      <c r="U3355">
        <v>3</v>
      </c>
      <c r="V3355">
        <v>5</v>
      </c>
    </row>
    <row r="3356" spans="1:22" x14ac:dyDescent="0.3">
      <c r="A3356">
        <v>3355</v>
      </c>
      <c r="B3356">
        <v>53757</v>
      </c>
      <c r="C3356" s="2">
        <v>36230</v>
      </c>
      <c r="D3356">
        <v>26</v>
      </c>
      <c r="E3356" t="s">
        <v>36</v>
      </c>
      <c r="F3356" t="s">
        <v>50</v>
      </c>
      <c r="G3356" s="2">
        <v>45499</v>
      </c>
      <c r="H3356" s="3">
        <f t="shared" si="52"/>
        <v>1.3726027397260274</v>
      </c>
      <c r="I3356">
        <v>15</v>
      </c>
      <c r="J3356" t="s">
        <v>38</v>
      </c>
      <c r="K3356" t="s">
        <v>55</v>
      </c>
      <c r="L3356" t="s">
        <v>44</v>
      </c>
      <c r="M3356">
        <v>17.59</v>
      </c>
      <c r="T3356" t="s">
        <v>49</v>
      </c>
      <c r="U3356">
        <v>2</v>
      </c>
      <c r="V3356">
        <v>5</v>
      </c>
    </row>
    <row r="3357" spans="1:22" x14ac:dyDescent="0.3">
      <c r="A3357">
        <v>3356</v>
      </c>
      <c r="B3357">
        <v>53758</v>
      </c>
      <c r="C3357" s="2">
        <v>39426</v>
      </c>
      <c r="D3357">
        <v>18</v>
      </c>
      <c r="E3357" t="s">
        <v>42</v>
      </c>
      <c r="F3357" t="s">
        <v>50</v>
      </c>
      <c r="G3357" s="2">
        <v>45521</v>
      </c>
      <c r="H3357" s="3">
        <f t="shared" si="52"/>
        <v>1.1945205479452055</v>
      </c>
      <c r="I3357">
        <v>19</v>
      </c>
      <c r="J3357" t="s">
        <v>38</v>
      </c>
      <c r="K3357" t="s">
        <v>56</v>
      </c>
      <c r="L3357" t="s">
        <v>44</v>
      </c>
      <c r="M3357">
        <v>8.4700000000000006</v>
      </c>
      <c r="T3357" t="s">
        <v>49</v>
      </c>
      <c r="U3357">
        <v>1</v>
      </c>
      <c r="V3357">
        <v>5</v>
      </c>
    </row>
    <row r="3358" spans="1:22" x14ac:dyDescent="0.3">
      <c r="A3358">
        <v>3357</v>
      </c>
      <c r="B3358">
        <v>53759</v>
      </c>
      <c r="C3358" s="2">
        <v>37226</v>
      </c>
      <c r="D3358">
        <v>25</v>
      </c>
      <c r="E3358" t="s">
        <v>36</v>
      </c>
      <c r="F3358" t="s">
        <v>37</v>
      </c>
      <c r="G3358" s="2">
        <v>45586</v>
      </c>
      <c r="H3358" s="3">
        <f t="shared" si="52"/>
        <v>1.6027397260273972</v>
      </c>
      <c r="I3358">
        <v>23</v>
      </c>
      <c r="J3358" t="s">
        <v>38</v>
      </c>
      <c r="K3358" t="s">
        <v>65</v>
      </c>
      <c r="L3358" t="s">
        <v>44</v>
      </c>
      <c r="M3358">
        <v>10.64</v>
      </c>
      <c r="T3358" t="s">
        <v>45</v>
      </c>
      <c r="U3358">
        <v>1</v>
      </c>
      <c r="V3358">
        <v>4</v>
      </c>
    </row>
    <row r="3359" spans="1:22" x14ac:dyDescent="0.3">
      <c r="A3359">
        <v>3358</v>
      </c>
      <c r="B3359">
        <v>53760</v>
      </c>
      <c r="C3359" s="2">
        <v>37025</v>
      </c>
      <c r="D3359">
        <v>24</v>
      </c>
      <c r="E3359" t="s">
        <v>42</v>
      </c>
      <c r="F3359" t="s">
        <v>50</v>
      </c>
      <c r="G3359" s="2">
        <v>45437</v>
      </c>
      <c r="H3359" s="3">
        <f t="shared" si="52"/>
        <v>1.526027397260274</v>
      </c>
      <c r="I3359">
        <v>23</v>
      </c>
      <c r="J3359" t="s">
        <v>38</v>
      </c>
      <c r="K3359" t="s">
        <v>55</v>
      </c>
      <c r="L3359" t="s">
        <v>44</v>
      </c>
      <c r="M3359">
        <v>17.59</v>
      </c>
      <c r="T3359" t="s">
        <v>47</v>
      </c>
      <c r="U3359">
        <v>3</v>
      </c>
      <c r="V3359">
        <v>5</v>
      </c>
    </row>
    <row r="3360" spans="1:22" x14ac:dyDescent="0.3">
      <c r="A3360">
        <v>3359</v>
      </c>
      <c r="B3360">
        <v>53761</v>
      </c>
      <c r="C3360" s="2">
        <v>38386</v>
      </c>
      <c r="D3360">
        <v>20</v>
      </c>
      <c r="E3360" t="s">
        <v>36</v>
      </c>
      <c r="F3360" t="s">
        <v>50</v>
      </c>
      <c r="G3360" s="2">
        <v>45465</v>
      </c>
      <c r="H3360" s="3">
        <f t="shared" si="52"/>
        <v>1.5698630136986302</v>
      </c>
      <c r="I3360">
        <v>26</v>
      </c>
      <c r="J3360" t="s">
        <v>38</v>
      </c>
      <c r="K3360" t="s">
        <v>65</v>
      </c>
      <c r="L3360" t="s">
        <v>44</v>
      </c>
      <c r="M3360">
        <v>10.64</v>
      </c>
      <c r="T3360" t="s">
        <v>52</v>
      </c>
      <c r="U3360">
        <v>1</v>
      </c>
      <c r="V3360">
        <v>4</v>
      </c>
    </row>
    <row r="3361" spans="1:22" x14ac:dyDescent="0.3">
      <c r="A3361">
        <v>3360</v>
      </c>
      <c r="B3361">
        <v>53762</v>
      </c>
      <c r="C3361" s="2">
        <v>34522</v>
      </c>
      <c r="D3361">
        <v>31</v>
      </c>
      <c r="E3361" t="s">
        <v>42</v>
      </c>
      <c r="F3361" t="s">
        <v>50</v>
      </c>
      <c r="G3361" s="2">
        <v>45449</v>
      </c>
      <c r="H3361" s="3">
        <f t="shared" si="52"/>
        <v>1.2164383561643837</v>
      </c>
      <c r="I3361">
        <v>28</v>
      </c>
      <c r="J3361" t="s">
        <v>38</v>
      </c>
      <c r="K3361" t="s">
        <v>56</v>
      </c>
      <c r="L3361" t="s">
        <v>44</v>
      </c>
      <c r="M3361">
        <v>8.4700000000000006</v>
      </c>
      <c r="T3361" t="s">
        <v>52</v>
      </c>
      <c r="U3361">
        <v>2</v>
      </c>
      <c r="V3361">
        <v>5</v>
      </c>
    </row>
    <row r="3362" spans="1:22" x14ac:dyDescent="0.3">
      <c r="A3362">
        <v>3361</v>
      </c>
      <c r="B3362">
        <v>53763</v>
      </c>
      <c r="C3362" s="2">
        <v>36521</v>
      </c>
      <c r="D3362">
        <v>26</v>
      </c>
      <c r="E3362" t="s">
        <v>36</v>
      </c>
      <c r="F3362" t="s">
        <v>50</v>
      </c>
      <c r="G3362" s="2">
        <v>45578</v>
      </c>
      <c r="H3362" s="3">
        <f t="shared" si="52"/>
        <v>1.8739726027397261</v>
      </c>
      <c r="I3362">
        <v>29</v>
      </c>
      <c r="J3362" t="s">
        <v>38</v>
      </c>
      <c r="K3362" t="s">
        <v>55</v>
      </c>
      <c r="L3362" t="s">
        <v>44</v>
      </c>
      <c r="M3362">
        <v>17.59</v>
      </c>
      <c r="T3362" t="s">
        <v>49</v>
      </c>
      <c r="U3362">
        <v>1</v>
      </c>
      <c r="V3362">
        <v>4</v>
      </c>
    </row>
    <row r="3363" spans="1:22" x14ac:dyDescent="0.3">
      <c r="A3363">
        <v>3362</v>
      </c>
      <c r="B3363">
        <v>53764</v>
      </c>
      <c r="C3363" s="2">
        <v>38349</v>
      </c>
      <c r="D3363">
        <v>21</v>
      </c>
      <c r="E3363" t="s">
        <v>36</v>
      </c>
      <c r="F3363" t="s">
        <v>50</v>
      </c>
      <c r="G3363" s="2">
        <v>45338</v>
      </c>
      <c r="H3363" s="3">
        <f t="shared" si="52"/>
        <v>1.0246575342465754</v>
      </c>
      <c r="I3363">
        <v>58</v>
      </c>
      <c r="J3363" t="s">
        <v>38</v>
      </c>
      <c r="K3363" t="s">
        <v>46</v>
      </c>
      <c r="L3363" t="s">
        <v>44</v>
      </c>
      <c r="M3363">
        <v>14.23</v>
      </c>
      <c r="T3363" t="s">
        <v>52</v>
      </c>
      <c r="U3363">
        <v>1</v>
      </c>
      <c r="V3363">
        <v>4</v>
      </c>
    </row>
    <row r="3364" spans="1:22" x14ac:dyDescent="0.3">
      <c r="A3364">
        <v>3363</v>
      </c>
      <c r="B3364">
        <v>53765</v>
      </c>
      <c r="C3364" s="2">
        <v>37623</v>
      </c>
      <c r="D3364">
        <v>22</v>
      </c>
      <c r="E3364" t="s">
        <v>36</v>
      </c>
      <c r="F3364" t="s">
        <v>37</v>
      </c>
      <c r="G3364" s="2">
        <v>45648</v>
      </c>
      <c r="H3364" s="3">
        <f t="shared" si="52"/>
        <v>1.0273972602739727</v>
      </c>
      <c r="I3364">
        <v>62</v>
      </c>
      <c r="J3364" t="s">
        <v>38</v>
      </c>
      <c r="K3364" t="s">
        <v>65</v>
      </c>
      <c r="L3364" t="s">
        <v>44</v>
      </c>
      <c r="M3364">
        <v>10.64</v>
      </c>
      <c r="T3364" t="s">
        <v>47</v>
      </c>
      <c r="U3364">
        <v>1</v>
      </c>
      <c r="V3364">
        <v>5</v>
      </c>
    </row>
    <row r="3365" spans="1:22" x14ac:dyDescent="0.3">
      <c r="A3365">
        <v>3364</v>
      </c>
      <c r="B3365">
        <v>53767</v>
      </c>
      <c r="C3365" s="2">
        <v>34951</v>
      </c>
      <c r="D3365">
        <v>30</v>
      </c>
      <c r="E3365" t="s">
        <v>36</v>
      </c>
      <c r="F3365" t="s">
        <v>50</v>
      </c>
      <c r="G3365" s="2">
        <v>45647</v>
      </c>
      <c r="H3365" s="3">
        <f t="shared" si="52"/>
        <v>1.7534246575342465</v>
      </c>
      <c r="I3365">
        <v>76</v>
      </c>
      <c r="J3365" t="s">
        <v>57</v>
      </c>
      <c r="K3365" t="s">
        <v>54</v>
      </c>
      <c r="L3365" t="s">
        <v>44</v>
      </c>
      <c r="M3365">
        <v>23.78</v>
      </c>
      <c r="T3365" t="s">
        <v>52</v>
      </c>
      <c r="U3365">
        <v>6</v>
      </c>
      <c r="V3365">
        <v>7</v>
      </c>
    </row>
    <row r="3366" spans="1:22" x14ac:dyDescent="0.3">
      <c r="A3366">
        <v>3365</v>
      </c>
      <c r="B3366">
        <v>53768</v>
      </c>
      <c r="C3366" s="2">
        <v>37556</v>
      </c>
      <c r="D3366">
        <v>23</v>
      </c>
      <c r="E3366" t="s">
        <v>36</v>
      </c>
      <c r="F3366" t="s">
        <v>37</v>
      </c>
      <c r="G3366" s="2">
        <v>45382</v>
      </c>
      <c r="H3366" s="3">
        <f t="shared" si="52"/>
        <v>1.3232876712328767</v>
      </c>
      <c r="I3366">
        <v>76</v>
      </c>
      <c r="J3366" t="s">
        <v>57</v>
      </c>
      <c r="K3366" t="s">
        <v>55</v>
      </c>
      <c r="L3366" t="s">
        <v>44</v>
      </c>
      <c r="M3366">
        <v>17.59</v>
      </c>
      <c r="T3366" t="s">
        <v>52</v>
      </c>
      <c r="U3366">
        <v>2</v>
      </c>
      <c r="V3366">
        <v>5</v>
      </c>
    </row>
    <row r="3367" spans="1:22" x14ac:dyDescent="0.3">
      <c r="A3367">
        <v>3366</v>
      </c>
      <c r="B3367">
        <v>53769</v>
      </c>
      <c r="C3367" s="2">
        <v>34063</v>
      </c>
      <c r="D3367">
        <v>32</v>
      </c>
      <c r="E3367" t="s">
        <v>42</v>
      </c>
      <c r="F3367" t="s">
        <v>50</v>
      </c>
      <c r="G3367" s="2">
        <v>45539</v>
      </c>
      <c r="H3367" s="3">
        <f t="shared" si="52"/>
        <v>1.263013698630137</v>
      </c>
      <c r="I3367">
        <v>5</v>
      </c>
      <c r="J3367" t="s">
        <v>38</v>
      </c>
      <c r="K3367" t="s">
        <v>55</v>
      </c>
      <c r="L3367" t="s">
        <v>44</v>
      </c>
      <c r="M3367">
        <v>17.59</v>
      </c>
      <c r="T3367" t="s">
        <v>47</v>
      </c>
      <c r="U3367">
        <v>1</v>
      </c>
      <c r="V3367">
        <v>5</v>
      </c>
    </row>
    <row r="3368" spans="1:22" x14ac:dyDescent="0.3">
      <c r="A3368">
        <v>3367</v>
      </c>
      <c r="B3368">
        <v>53770</v>
      </c>
      <c r="C3368" s="2">
        <v>38824</v>
      </c>
      <c r="D3368">
        <v>19</v>
      </c>
      <c r="E3368" t="s">
        <v>42</v>
      </c>
      <c r="F3368" t="s">
        <v>50</v>
      </c>
      <c r="G3368" s="2">
        <v>45561</v>
      </c>
      <c r="H3368" s="3">
        <f t="shared" si="52"/>
        <v>1.6109589041095891</v>
      </c>
      <c r="I3368">
        <v>23</v>
      </c>
      <c r="J3368" t="s">
        <v>38</v>
      </c>
      <c r="K3368" t="s">
        <v>64</v>
      </c>
      <c r="L3368" t="s">
        <v>44</v>
      </c>
      <c r="M3368">
        <v>14.07</v>
      </c>
      <c r="T3368" t="s">
        <v>45</v>
      </c>
      <c r="U3368">
        <v>1</v>
      </c>
      <c r="V3368">
        <v>5</v>
      </c>
    </row>
    <row r="3369" spans="1:22" x14ac:dyDescent="0.3">
      <c r="A3369">
        <v>3368</v>
      </c>
      <c r="B3369">
        <v>53771</v>
      </c>
      <c r="C3369" s="2">
        <v>38313</v>
      </c>
      <c r="D3369">
        <v>21</v>
      </c>
      <c r="E3369" t="s">
        <v>42</v>
      </c>
      <c r="F3369" t="s">
        <v>50</v>
      </c>
      <c r="G3369" s="2">
        <v>45434</v>
      </c>
      <c r="H3369" s="3">
        <f t="shared" si="52"/>
        <v>1.3369863013698631</v>
      </c>
      <c r="I3369">
        <v>39</v>
      </c>
      <c r="J3369" t="s">
        <v>38</v>
      </c>
      <c r="K3369" t="s">
        <v>64</v>
      </c>
      <c r="L3369" t="s">
        <v>44</v>
      </c>
      <c r="M3369">
        <v>14.07</v>
      </c>
      <c r="T3369" t="s">
        <v>45</v>
      </c>
      <c r="U3369">
        <v>1</v>
      </c>
      <c r="V3369">
        <v>5</v>
      </c>
    </row>
    <row r="3370" spans="1:22" x14ac:dyDescent="0.3">
      <c r="A3370">
        <v>3369</v>
      </c>
      <c r="B3370">
        <v>53773</v>
      </c>
      <c r="C3370" s="2">
        <v>37084</v>
      </c>
      <c r="D3370">
        <v>24</v>
      </c>
      <c r="E3370" t="s">
        <v>42</v>
      </c>
      <c r="F3370" t="s">
        <v>37</v>
      </c>
      <c r="G3370" s="2">
        <v>45534</v>
      </c>
      <c r="H3370" s="3">
        <f t="shared" si="52"/>
        <v>1.6931506849315068</v>
      </c>
      <c r="I3370">
        <v>139</v>
      </c>
      <c r="J3370" t="s">
        <v>57</v>
      </c>
      <c r="K3370" t="s">
        <v>55</v>
      </c>
      <c r="L3370" t="s">
        <v>44</v>
      </c>
      <c r="M3370">
        <v>17.59</v>
      </c>
      <c r="T3370" t="s">
        <v>49</v>
      </c>
      <c r="U3370">
        <v>0</v>
      </c>
      <c r="V3370">
        <v>5</v>
      </c>
    </row>
    <row r="3371" spans="1:22" x14ac:dyDescent="0.3">
      <c r="A3371">
        <v>3370</v>
      </c>
      <c r="B3371">
        <v>53774</v>
      </c>
      <c r="C3371" s="2">
        <v>39081</v>
      </c>
      <c r="D3371">
        <v>19</v>
      </c>
      <c r="E3371" t="s">
        <v>42</v>
      </c>
      <c r="F3371" t="s">
        <v>50</v>
      </c>
      <c r="G3371" s="2">
        <v>45404</v>
      </c>
      <c r="H3371" s="3">
        <f t="shared" si="52"/>
        <v>1.4219178082191781</v>
      </c>
      <c r="I3371">
        <v>27</v>
      </c>
      <c r="J3371" t="s">
        <v>38</v>
      </c>
      <c r="K3371" t="s">
        <v>65</v>
      </c>
      <c r="L3371" t="s">
        <v>44</v>
      </c>
      <c r="M3371">
        <v>10.64</v>
      </c>
      <c r="T3371" t="s">
        <v>52</v>
      </c>
      <c r="U3371">
        <v>1</v>
      </c>
      <c r="V3371">
        <v>5</v>
      </c>
    </row>
    <row r="3372" spans="1:22" x14ac:dyDescent="0.3">
      <c r="A3372">
        <v>3371</v>
      </c>
      <c r="B3372">
        <v>53775</v>
      </c>
      <c r="C3372" s="2">
        <v>37232</v>
      </c>
      <c r="D3372">
        <v>24</v>
      </c>
      <c r="E3372" t="s">
        <v>42</v>
      </c>
      <c r="F3372" t="s">
        <v>50</v>
      </c>
      <c r="G3372" s="2">
        <v>45503</v>
      </c>
      <c r="H3372" s="3">
        <f t="shared" si="52"/>
        <v>1.284931506849315</v>
      </c>
      <c r="I3372">
        <v>61</v>
      </c>
      <c r="J3372" t="s">
        <v>38</v>
      </c>
      <c r="K3372" t="s">
        <v>55</v>
      </c>
      <c r="L3372" t="s">
        <v>44</v>
      </c>
      <c r="M3372">
        <v>17.59</v>
      </c>
      <c r="T3372" t="s">
        <v>45</v>
      </c>
      <c r="U3372">
        <v>2</v>
      </c>
      <c r="V3372">
        <v>6</v>
      </c>
    </row>
    <row r="3373" spans="1:22" x14ac:dyDescent="0.3">
      <c r="A3373">
        <v>3372</v>
      </c>
      <c r="B3373">
        <v>53776</v>
      </c>
      <c r="C3373" s="2">
        <v>32983</v>
      </c>
      <c r="D3373">
        <v>35</v>
      </c>
      <c r="E3373" t="s">
        <v>36</v>
      </c>
      <c r="F3373" t="s">
        <v>50</v>
      </c>
      <c r="G3373" s="2">
        <v>45553</v>
      </c>
      <c r="H3373" s="3">
        <f t="shared" si="52"/>
        <v>1.6191780821917807</v>
      </c>
      <c r="I3373">
        <v>2</v>
      </c>
      <c r="J3373" t="s">
        <v>38</v>
      </c>
      <c r="K3373" t="s">
        <v>55</v>
      </c>
      <c r="L3373" t="s">
        <v>44</v>
      </c>
      <c r="M3373">
        <v>17.59</v>
      </c>
      <c r="T3373" t="s">
        <v>52</v>
      </c>
      <c r="U3373">
        <v>0</v>
      </c>
      <c r="V3373">
        <v>5</v>
      </c>
    </row>
    <row r="3374" spans="1:22" x14ac:dyDescent="0.3">
      <c r="A3374">
        <v>3373</v>
      </c>
      <c r="B3374">
        <v>53777</v>
      </c>
      <c r="C3374" s="2">
        <v>34461</v>
      </c>
      <c r="D3374">
        <v>31</v>
      </c>
      <c r="E3374" t="s">
        <v>42</v>
      </c>
      <c r="F3374" t="s">
        <v>50</v>
      </c>
      <c r="G3374" s="2">
        <v>45431</v>
      </c>
      <c r="H3374" s="3">
        <f t="shared" si="52"/>
        <v>1.021917808219178</v>
      </c>
      <c r="I3374">
        <v>6</v>
      </c>
      <c r="J3374" t="s">
        <v>38</v>
      </c>
      <c r="K3374" t="s">
        <v>56</v>
      </c>
      <c r="L3374" t="s">
        <v>44</v>
      </c>
      <c r="M3374">
        <v>8.4700000000000006</v>
      </c>
      <c r="T3374" t="s">
        <v>45</v>
      </c>
      <c r="U3374">
        <v>4</v>
      </c>
      <c r="V3374">
        <v>7</v>
      </c>
    </row>
    <row r="3375" spans="1:22" x14ac:dyDescent="0.3">
      <c r="A3375">
        <v>3374</v>
      </c>
      <c r="B3375">
        <v>53778</v>
      </c>
      <c r="C3375" s="2">
        <v>37693</v>
      </c>
      <c r="D3375">
        <v>22</v>
      </c>
      <c r="E3375" t="s">
        <v>42</v>
      </c>
      <c r="F3375" t="s">
        <v>37</v>
      </c>
      <c r="G3375" s="2">
        <v>45649</v>
      </c>
      <c r="H3375" s="3">
        <f t="shared" si="52"/>
        <v>1.4684931506849315</v>
      </c>
      <c r="I3375">
        <v>30</v>
      </c>
      <c r="J3375" t="s">
        <v>38</v>
      </c>
      <c r="K3375" t="s">
        <v>64</v>
      </c>
      <c r="L3375" t="s">
        <v>44</v>
      </c>
      <c r="M3375">
        <v>14.07</v>
      </c>
      <c r="T3375" t="s">
        <v>45</v>
      </c>
      <c r="U3375">
        <v>1</v>
      </c>
      <c r="V3375">
        <v>5</v>
      </c>
    </row>
    <row r="3376" spans="1:22" x14ac:dyDescent="0.3">
      <c r="A3376">
        <v>3375</v>
      </c>
      <c r="B3376">
        <v>53779</v>
      </c>
      <c r="C3376" s="2">
        <v>38559</v>
      </c>
      <c r="D3376">
        <v>20</v>
      </c>
      <c r="E3376" t="s">
        <v>42</v>
      </c>
      <c r="F3376" t="s">
        <v>50</v>
      </c>
      <c r="G3376" s="2">
        <v>45486</v>
      </c>
      <c r="H3376" s="3">
        <f t="shared" si="52"/>
        <v>1.3287671232876712</v>
      </c>
      <c r="I3376">
        <v>39</v>
      </c>
      <c r="J3376" t="s">
        <v>38</v>
      </c>
      <c r="K3376" t="s">
        <v>56</v>
      </c>
      <c r="L3376" t="s">
        <v>44</v>
      </c>
      <c r="M3376">
        <v>8.4700000000000006</v>
      </c>
      <c r="T3376" t="s">
        <v>47</v>
      </c>
      <c r="U3376">
        <v>2</v>
      </c>
      <c r="V3376">
        <v>6</v>
      </c>
    </row>
    <row r="3377" spans="1:22" x14ac:dyDescent="0.3">
      <c r="A3377">
        <v>3376</v>
      </c>
      <c r="B3377">
        <v>53781</v>
      </c>
      <c r="C3377" s="2">
        <v>36884</v>
      </c>
      <c r="D3377">
        <v>25</v>
      </c>
      <c r="E3377" t="s">
        <v>42</v>
      </c>
      <c r="F3377" t="s">
        <v>37</v>
      </c>
      <c r="G3377" s="2">
        <v>45537</v>
      </c>
      <c r="H3377" s="3">
        <f t="shared" si="52"/>
        <v>1.7397260273972603</v>
      </c>
      <c r="I3377">
        <v>46</v>
      </c>
      <c r="J3377" t="s">
        <v>38</v>
      </c>
      <c r="K3377" t="s">
        <v>46</v>
      </c>
      <c r="L3377" t="s">
        <v>44</v>
      </c>
      <c r="M3377">
        <v>14.23</v>
      </c>
      <c r="T3377" t="s">
        <v>47</v>
      </c>
      <c r="U3377">
        <v>0</v>
      </c>
      <c r="V3377">
        <v>5</v>
      </c>
    </row>
    <row r="3378" spans="1:22" x14ac:dyDescent="0.3">
      <c r="A3378">
        <v>3377</v>
      </c>
      <c r="B3378">
        <v>53782</v>
      </c>
      <c r="C3378" s="2">
        <v>37992</v>
      </c>
      <c r="D3378">
        <v>21</v>
      </c>
      <c r="E3378" t="s">
        <v>36</v>
      </c>
      <c r="F3378" t="s">
        <v>50</v>
      </c>
      <c r="G3378" s="2">
        <v>45387</v>
      </c>
      <c r="H3378" s="3">
        <f t="shared" si="52"/>
        <v>1.5917808219178082</v>
      </c>
      <c r="I3378">
        <v>50</v>
      </c>
      <c r="J3378" t="s">
        <v>38</v>
      </c>
      <c r="K3378" t="s">
        <v>65</v>
      </c>
      <c r="L3378" t="s">
        <v>44</v>
      </c>
      <c r="M3378">
        <v>10.64</v>
      </c>
      <c r="T3378" t="s">
        <v>52</v>
      </c>
      <c r="U3378">
        <v>0</v>
      </c>
      <c r="V3378">
        <v>4</v>
      </c>
    </row>
    <row r="3379" spans="1:22" x14ac:dyDescent="0.3">
      <c r="A3379">
        <v>3378</v>
      </c>
      <c r="B3379">
        <v>53783</v>
      </c>
      <c r="C3379" s="2">
        <v>37847</v>
      </c>
      <c r="D3379">
        <v>22</v>
      </c>
      <c r="E3379" t="s">
        <v>42</v>
      </c>
      <c r="F3379" t="s">
        <v>50</v>
      </c>
      <c r="G3379" s="2">
        <v>45441</v>
      </c>
      <c r="H3379" s="3">
        <f t="shared" si="52"/>
        <v>1.263013698630137</v>
      </c>
      <c r="I3379">
        <v>50</v>
      </c>
      <c r="J3379" t="s">
        <v>38</v>
      </c>
      <c r="K3379" t="s">
        <v>56</v>
      </c>
      <c r="L3379" t="s">
        <v>44</v>
      </c>
      <c r="M3379">
        <v>8.4700000000000006</v>
      </c>
      <c r="T3379" t="s">
        <v>52</v>
      </c>
      <c r="U3379">
        <v>2</v>
      </c>
      <c r="V3379">
        <v>7</v>
      </c>
    </row>
    <row r="3380" spans="1:22" x14ac:dyDescent="0.3">
      <c r="A3380">
        <v>3379</v>
      </c>
      <c r="B3380">
        <v>53784</v>
      </c>
      <c r="C3380" s="2">
        <v>37255</v>
      </c>
      <c r="D3380">
        <v>24</v>
      </c>
      <c r="E3380" t="s">
        <v>42</v>
      </c>
      <c r="F3380" t="s">
        <v>50</v>
      </c>
      <c r="G3380" s="2">
        <v>45561</v>
      </c>
      <c r="H3380" s="3">
        <f t="shared" si="52"/>
        <v>1.0410958904109588</v>
      </c>
      <c r="I3380">
        <v>56</v>
      </c>
      <c r="J3380" t="s">
        <v>38</v>
      </c>
      <c r="K3380" t="s">
        <v>55</v>
      </c>
      <c r="L3380" t="s">
        <v>44</v>
      </c>
      <c r="M3380">
        <v>17.59</v>
      </c>
      <c r="T3380" t="s">
        <v>45</v>
      </c>
      <c r="U3380">
        <v>3</v>
      </c>
      <c r="V3380">
        <v>5</v>
      </c>
    </row>
    <row r="3381" spans="1:22" x14ac:dyDescent="0.3">
      <c r="A3381">
        <v>3380</v>
      </c>
      <c r="B3381">
        <v>53785</v>
      </c>
      <c r="C3381" s="2">
        <v>38535</v>
      </c>
      <c r="D3381">
        <v>20</v>
      </c>
      <c r="E3381" t="s">
        <v>42</v>
      </c>
      <c r="F3381" t="s">
        <v>50</v>
      </c>
      <c r="G3381" s="2">
        <v>45642</v>
      </c>
      <c r="H3381" s="3">
        <f t="shared" si="52"/>
        <v>1.3260273972602741</v>
      </c>
      <c r="I3381">
        <v>61</v>
      </c>
      <c r="J3381" t="s">
        <v>38</v>
      </c>
      <c r="K3381" t="s">
        <v>56</v>
      </c>
      <c r="L3381" t="s">
        <v>44</v>
      </c>
      <c r="M3381">
        <v>8.4700000000000006</v>
      </c>
      <c r="T3381" t="s">
        <v>47</v>
      </c>
      <c r="U3381">
        <v>2</v>
      </c>
      <c r="V3381">
        <v>7</v>
      </c>
    </row>
    <row r="3382" spans="1:22" x14ac:dyDescent="0.3">
      <c r="A3382">
        <v>3381</v>
      </c>
      <c r="B3382">
        <v>53786</v>
      </c>
      <c r="C3382" s="2">
        <v>36294</v>
      </c>
      <c r="D3382">
        <v>26</v>
      </c>
      <c r="E3382" t="s">
        <v>42</v>
      </c>
      <c r="F3382" t="s">
        <v>37</v>
      </c>
      <c r="G3382" s="2">
        <v>45538</v>
      </c>
      <c r="H3382" s="3">
        <f t="shared" si="52"/>
        <v>1.6849315068493151</v>
      </c>
      <c r="I3382">
        <v>64</v>
      </c>
      <c r="J3382" t="s">
        <v>38</v>
      </c>
      <c r="K3382" t="s">
        <v>65</v>
      </c>
      <c r="L3382" t="s">
        <v>44</v>
      </c>
      <c r="M3382">
        <v>10.64</v>
      </c>
      <c r="T3382" t="s">
        <v>52</v>
      </c>
      <c r="U3382">
        <v>0</v>
      </c>
      <c r="V3382">
        <v>5</v>
      </c>
    </row>
    <row r="3383" spans="1:22" x14ac:dyDescent="0.3">
      <c r="A3383">
        <v>3382</v>
      </c>
      <c r="B3383">
        <v>53787</v>
      </c>
      <c r="C3383" s="2">
        <v>39425</v>
      </c>
      <c r="D3383">
        <v>18</v>
      </c>
      <c r="E3383" t="s">
        <v>36</v>
      </c>
      <c r="F3383" t="s">
        <v>50</v>
      </c>
      <c r="G3383" s="2">
        <v>45407</v>
      </c>
      <c r="H3383" s="3">
        <f t="shared" si="52"/>
        <v>1.1534246575342466</v>
      </c>
      <c r="I3383">
        <v>69</v>
      </c>
      <c r="J3383" t="s">
        <v>57</v>
      </c>
      <c r="K3383" t="s">
        <v>56</v>
      </c>
      <c r="L3383" t="s">
        <v>44</v>
      </c>
      <c r="M3383">
        <v>8.4700000000000006</v>
      </c>
      <c r="T3383" t="s">
        <v>47</v>
      </c>
      <c r="U3383">
        <v>4</v>
      </c>
      <c r="V3383">
        <v>6</v>
      </c>
    </row>
    <row r="3384" spans="1:22" x14ac:dyDescent="0.3">
      <c r="A3384">
        <v>3383</v>
      </c>
      <c r="B3384">
        <v>53789</v>
      </c>
      <c r="C3384" s="2">
        <v>37702</v>
      </c>
      <c r="D3384">
        <v>22</v>
      </c>
      <c r="E3384" t="s">
        <v>42</v>
      </c>
      <c r="F3384" t="s">
        <v>37</v>
      </c>
      <c r="G3384" s="2">
        <v>45601</v>
      </c>
      <c r="H3384" s="3">
        <f t="shared" si="52"/>
        <v>1.7424657534246575</v>
      </c>
      <c r="I3384">
        <v>86</v>
      </c>
      <c r="J3384" t="s">
        <v>57</v>
      </c>
      <c r="K3384" t="s">
        <v>46</v>
      </c>
      <c r="L3384" t="s">
        <v>44</v>
      </c>
      <c r="M3384">
        <v>14.23</v>
      </c>
      <c r="T3384" t="s">
        <v>45</v>
      </c>
      <c r="U3384">
        <v>1</v>
      </c>
      <c r="V3384">
        <v>6</v>
      </c>
    </row>
    <row r="3385" spans="1:22" x14ac:dyDescent="0.3">
      <c r="A3385">
        <v>3384</v>
      </c>
      <c r="B3385">
        <v>53790</v>
      </c>
      <c r="C3385" s="2">
        <v>38187</v>
      </c>
      <c r="D3385">
        <v>21</v>
      </c>
      <c r="E3385" t="s">
        <v>42</v>
      </c>
      <c r="F3385" t="s">
        <v>50</v>
      </c>
      <c r="G3385" s="2">
        <v>45386</v>
      </c>
      <c r="H3385" s="3">
        <f t="shared" si="52"/>
        <v>1.4328767123287671</v>
      </c>
      <c r="I3385">
        <v>117</v>
      </c>
      <c r="J3385" t="s">
        <v>57</v>
      </c>
      <c r="K3385" t="s">
        <v>56</v>
      </c>
      <c r="L3385" t="s">
        <v>44</v>
      </c>
      <c r="M3385">
        <v>8.4700000000000006</v>
      </c>
      <c r="T3385" t="s">
        <v>47</v>
      </c>
      <c r="U3385">
        <v>2</v>
      </c>
      <c r="V3385">
        <v>7</v>
      </c>
    </row>
    <row r="3386" spans="1:22" x14ac:dyDescent="0.3">
      <c r="A3386">
        <v>3385</v>
      </c>
      <c r="B3386">
        <v>53791</v>
      </c>
      <c r="C3386" s="2">
        <v>38331</v>
      </c>
      <c r="D3386">
        <v>21</v>
      </c>
      <c r="E3386" t="s">
        <v>42</v>
      </c>
      <c r="F3386" t="s">
        <v>50</v>
      </c>
      <c r="G3386" s="2">
        <v>45499</v>
      </c>
      <c r="H3386" s="3">
        <f t="shared" si="52"/>
        <v>1.5808219178082192</v>
      </c>
      <c r="I3386">
        <v>122</v>
      </c>
      <c r="J3386" t="s">
        <v>57</v>
      </c>
      <c r="K3386" t="s">
        <v>56</v>
      </c>
      <c r="L3386" t="s">
        <v>44</v>
      </c>
      <c r="M3386">
        <v>8.4700000000000006</v>
      </c>
      <c r="T3386" t="s">
        <v>52</v>
      </c>
      <c r="U3386">
        <v>0</v>
      </c>
      <c r="V3386">
        <v>6</v>
      </c>
    </row>
    <row r="3387" spans="1:22" x14ac:dyDescent="0.3">
      <c r="A3387">
        <v>3386</v>
      </c>
      <c r="B3387">
        <v>53792</v>
      </c>
      <c r="C3387" s="2">
        <v>37377</v>
      </c>
      <c r="D3387">
        <v>24</v>
      </c>
      <c r="E3387" t="s">
        <v>36</v>
      </c>
      <c r="F3387" t="s">
        <v>37</v>
      </c>
      <c r="G3387" s="2">
        <v>45445</v>
      </c>
      <c r="H3387" s="3">
        <f t="shared" si="52"/>
        <v>1.2876712328767124</v>
      </c>
      <c r="I3387">
        <v>124</v>
      </c>
      <c r="J3387" t="s">
        <v>57</v>
      </c>
      <c r="K3387" t="s">
        <v>68</v>
      </c>
      <c r="L3387" t="s">
        <v>44</v>
      </c>
      <c r="M3387">
        <v>17</v>
      </c>
      <c r="T3387" t="s">
        <v>45</v>
      </c>
      <c r="U3387">
        <v>4</v>
      </c>
      <c r="V3387">
        <v>5</v>
      </c>
    </row>
    <row r="3388" spans="1:22" x14ac:dyDescent="0.3">
      <c r="A3388">
        <v>3387</v>
      </c>
      <c r="B3388">
        <v>53793</v>
      </c>
      <c r="C3388" s="2">
        <v>32624</v>
      </c>
      <c r="D3388">
        <v>36</v>
      </c>
      <c r="E3388" t="s">
        <v>36</v>
      </c>
      <c r="F3388" t="s">
        <v>37</v>
      </c>
      <c r="G3388" s="2">
        <v>45552</v>
      </c>
      <c r="H3388" s="3">
        <f t="shared" si="52"/>
        <v>1.4054794520547946</v>
      </c>
      <c r="I3388">
        <v>133</v>
      </c>
      <c r="J3388" t="s">
        <v>57</v>
      </c>
      <c r="K3388" t="s">
        <v>55</v>
      </c>
      <c r="L3388" t="s">
        <v>44</v>
      </c>
      <c r="M3388">
        <v>17.59</v>
      </c>
      <c r="T3388" t="s">
        <v>45</v>
      </c>
      <c r="U3388">
        <v>0</v>
      </c>
      <c r="V3388">
        <v>4</v>
      </c>
    </row>
    <row r="3389" spans="1:22" x14ac:dyDescent="0.3">
      <c r="A3389">
        <v>3388</v>
      </c>
      <c r="B3389">
        <v>53794</v>
      </c>
      <c r="C3389" s="2">
        <v>37650</v>
      </c>
      <c r="D3389">
        <v>22</v>
      </c>
      <c r="E3389" t="s">
        <v>36</v>
      </c>
      <c r="F3389" t="s">
        <v>50</v>
      </c>
      <c r="G3389" s="2">
        <v>45509</v>
      </c>
      <c r="H3389" s="3">
        <f t="shared" si="52"/>
        <v>1.7780821917808218</v>
      </c>
      <c r="I3389">
        <v>139</v>
      </c>
      <c r="J3389" t="s">
        <v>57</v>
      </c>
      <c r="K3389" t="s">
        <v>54</v>
      </c>
      <c r="L3389" t="s">
        <v>44</v>
      </c>
      <c r="M3389">
        <v>23.78</v>
      </c>
      <c r="T3389" t="s">
        <v>49</v>
      </c>
      <c r="U3389">
        <v>4</v>
      </c>
      <c r="V3389">
        <v>5</v>
      </c>
    </row>
    <row r="3390" spans="1:22" x14ac:dyDescent="0.3">
      <c r="A3390">
        <v>3389</v>
      </c>
      <c r="B3390">
        <v>53795</v>
      </c>
      <c r="C3390" s="2">
        <v>36623</v>
      </c>
      <c r="D3390">
        <v>25</v>
      </c>
      <c r="E3390" t="s">
        <v>36</v>
      </c>
      <c r="F3390" t="s">
        <v>37</v>
      </c>
      <c r="G3390" s="2">
        <v>45373</v>
      </c>
      <c r="H3390" s="3">
        <f t="shared" si="52"/>
        <v>1.0191780821917809</v>
      </c>
      <c r="I3390">
        <v>23</v>
      </c>
      <c r="J3390" t="s">
        <v>38</v>
      </c>
      <c r="K3390" t="s">
        <v>55</v>
      </c>
      <c r="L3390" t="s">
        <v>44</v>
      </c>
      <c r="M3390">
        <v>17.59</v>
      </c>
      <c r="T3390" t="s">
        <v>49</v>
      </c>
      <c r="U3390">
        <v>4</v>
      </c>
      <c r="V3390">
        <v>6</v>
      </c>
    </row>
    <row r="3391" spans="1:22" x14ac:dyDescent="0.3">
      <c r="A3391">
        <v>3390</v>
      </c>
      <c r="B3391">
        <v>53796</v>
      </c>
      <c r="C3391" s="2">
        <v>38471</v>
      </c>
      <c r="D3391">
        <v>20</v>
      </c>
      <c r="E3391" t="s">
        <v>42</v>
      </c>
      <c r="F3391" t="s">
        <v>37</v>
      </c>
      <c r="G3391" s="2">
        <v>45650</v>
      </c>
      <c r="H3391" s="3">
        <f t="shared" si="52"/>
        <v>1.1013698630136985</v>
      </c>
      <c r="I3391">
        <v>40</v>
      </c>
      <c r="J3391" t="s">
        <v>38</v>
      </c>
      <c r="K3391" t="s">
        <v>56</v>
      </c>
      <c r="L3391" t="s">
        <v>44</v>
      </c>
      <c r="M3391">
        <v>8.4700000000000006</v>
      </c>
      <c r="T3391" t="s">
        <v>47</v>
      </c>
      <c r="U3391">
        <v>1</v>
      </c>
      <c r="V3391">
        <v>5</v>
      </c>
    </row>
    <row r="3392" spans="1:22" x14ac:dyDescent="0.3">
      <c r="A3392">
        <v>3391</v>
      </c>
      <c r="B3392">
        <v>53797</v>
      </c>
      <c r="C3392" s="2">
        <v>38829</v>
      </c>
      <c r="D3392">
        <v>19</v>
      </c>
      <c r="E3392" t="s">
        <v>36</v>
      </c>
      <c r="F3392" t="s">
        <v>50</v>
      </c>
      <c r="G3392" s="2">
        <v>45620</v>
      </c>
      <c r="H3392" s="3">
        <f t="shared" si="52"/>
        <v>1.6712328767123288</v>
      </c>
      <c r="I3392">
        <v>140</v>
      </c>
      <c r="J3392" t="s">
        <v>57</v>
      </c>
      <c r="K3392" t="s">
        <v>65</v>
      </c>
      <c r="L3392" t="s">
        <v>44</v>
      </c>
      <c r="M3392">
        <v>10.64</v>
      </c>
      <c r="T3392" t="s">
        <v>45</v>
      </c>
      <c r="U3392">
        <v>1</v>
      </c>
      <c r="V3392">
        <v>4</v>
      </c>
    </row>
    <row r="3393" spans="1:22" x14ac:dyDescent="0.3">
      <c r="A3393">
        <v>3392</v>
      </c>
      <c r="B3393">
        <v>53798</v>
      </c>
      <c r="C3393" s="2">
        <v>37288</v>
      </c>
      <c r="D3393">
        <v>24</v>
      </c>
      <c r="E3393" t="s">
        <v>42</v>
      </c>
      <c r="F3393" t="s">
        <v>50</v>
      </c>
      <c r="G3393" s="2">
        <v>45412</v>
      </c>
      <c r="H3393" s="3">
        <f t="shared" si="52"/>
        <v>1.4356164383561645</v>
      </c>
      <c r="I3393">
        <v>3</v>
      </c>
      <c r="J3393" t="s">
        <v>38</v>
      </c>
      <c r="K3393" t="s">
        <v>56</v>
      </c>
      <c r="L3393" t="s">
        <v>44</v>
      </c>
      <c r="M3393">
        <v>8.4700000000000006</v>
      </c>
      <c r="T3393" t="s">
        <v>45</v>
      </c>
      <c r="U3393">
        <v>1</v>
      </c>
      <c r="V3393">
        <v>6</v>
      </c>
    </row>
    <row r="3394" spans="1:22" x14ac:dyDescent="0.3">
      <c r="A3394">
        <v>3393</v>
      </c>
      <c r="B3394">
        <v>53799</v>
      </c>
      <c r="C3394" s="2">
        <v>37350</v>
      </c>
      <c r="D3394">
        <v>23</v>
      </c>
      <c r="E3394" t="s">
        <v>36</v>
      </c>
      <c r="F3394" t="s">
        <v>50</v>
      </c>
      <c r="G3394" s="2">
        <v>45498</v>
      </c>
      <c r="H3394" s="3">
        <f t="shared" si="52"/>
        <v>1.6438356164383561</v>
      </c>
      <c r="I3394">
        <v>9</v>
      </c>
      <c r="J3394" t="s">
        <v>38</v>
      </c>
      <c r="K3394" t="s">
        <v>55</v>
      </c>
      <c r="L3394" t="s">
        <v>44</v>
      </c>
      <c r="M3394">
        <v>17.59</v>
      </c>
      <c r="T3394" t="s">
        <v>52</v>
      </c>
      <c r="U3394">
        <v>4</v>
      </c>
      <c r="V3394">
        <v>3</v>
      </c>
    </row>
    <row r="3395" spans="1:22" x14ac:dyDescent="0.3">
      <c r="A3395">
        <v>3394</v>
      </c>
      <c r="B3395">
        <v>53800</v>
      </c>
      <c r="C3395" s="2">
        <v>38175</v>
      </c>
      <c r="D3395">
        <v>21</v>
      </c>
      <c r="E3395" t="s">
        <v>36</v>
      </c>
      <c r="F3395" t="s">
        <v>50</v>
      </c>
      <c r="G3395" s="2">
        <v>45422</v>
      </c>
      <c r="H3395" s="3">
        <f t="shared" ref="H3395:H3458" si="53">DATEDIF(G3396,DATE(2025,12,31),"d")/365</f>
        <v>1.715068493150685</v>
      </c>
      <c r="I3395">
        <v>46</v>
      </c>
      <c r="J3395" t="s">
        <v>38</v>
      </c>
      <c r="K3395" t="s">
        <v>65</v>
      </c>
      <c r="L3395" t="s">
        <v>44</v>
      </c>
      <c r="M3395">
        <v>10.64</v>
      </c>
      <c r="T3395" t="s">
        <v>47</v>
      </c>
      <c r="U3395">
        <v>0</v>
      </c>
      <c r="V3395">
        <v>4</v>
      </c>
    </row>
    <row r="3396" spans="1:22" x14ac:dyDescent="0.3">
      <c r="A3396">
        <v>3395</v>
      </c>
      <c r="B3396">
        <v>53802</v>
      </c>
      <c r="C3396" s="2">
        <v>38394</v>
      </c>
      <c r="D3396">
        <v>20</v>
      </c>
      <c r="E3396" t="s">
        <v>36</v>
      </c>
      <c r="F3396" t="s">
        <v>50</v>
      </c>
      <c r="G3396" s="2">
        <v>45396</v>
      </c>
      <c r="H3396" s="3">
        <f t="shared" si="53"/>
        <v>1.4657534246575343</v>
      </c>
      <c r="I3396">
        <v>98</v>
      </c>
      <c r="J3396" t="s">
        <v>57</v>
      </c>
      <c r="K3396" t="s">
        <v>54</v>
      </c>
      <c r="L3396" t="s">
        <v>44</v>
      </c>
      <c r="M3396">
        <v>23.78</v>
      </c>
      <c r="T3396" t="s">
        <v>45</v>
      </c>
      <c r="U3396">
        <v>4</v>
      </c>
      <c r="V3396">
        <v>6</v>
      </c>
    </row>
    <row r="3397" spans="1:22" x14ac:dyDescent="0.3">
      <c r="A3397">
        <v>3396</v>
      </c>
      <c r="B3397">
        <v>53803</v>
      </c>
      <c r="C3397" s="2">
        <v>37851</v>
      </c>
      <c r="D3397">
        <v>22</v>
      </c>
      <c r="E3397" t="s">
        <v>42</v>
      </c>
      <c r="F3397" t="s">
        <v>50</v>
      </c>
      <c r="G3397" s="2">
        <v>45487</v>
      </c>
      <c r="H3397" s="3">
        <f t="shared" si="53"/>
        <v>1.3260273972602741</v>
      </c>
      <c r="I3397">
        <v>119</v>
      </c>
      <c r="J3397" t="s">
        <v>57</v>
      </c>
      <c r="K3397" t="s">
        <v>56</v>
      </c>
      <c r="L3397" t="s">
        <v>44</v>
      </c>
      <c r="M3397">
        <v>8.4700000000000006</v>
      </c>
      <c r="T3397" t="s">
        <v>49</v>
      </c>
      <c r="U3397">
        <v>0</v>
      </c>
      <c r="V3397">
        <v>6</v>
      </c>
    </row>
    <row r="3398" spans="1:22" x14ac:dyDescent="0.3">
      <c r="A3398">
        <v>3397</v>
      </c>
      <c r="B3398">
        <v>53804</v>
      </c>
      <c r="C3398" s="2">
        <v>35823</v>
      </c>
      <c r="D3398">
        <v>27</v>
      </c>
      <c r="E3398" t="s">
        <v>36</v>
      </c>
      <c r="F3398" t="s">
        <v>50</v>
      </c>
      <c r="G3398" s="2">
        <v>45538</v>
      </c>
      <c r="H3398" s="3">
        <f t="shared" si="53"/>
        <v>1.8739726027397261</v>
      </c>
      <c r="I3398">
        <v>8</v>
      </c>
      <c r="J3398" t="s">
        <v>38</v>
      </c>
      <c r="K3398" t="s">
        <v>46</v>
      </c>
      <c r="L3398" t="s">
        <v>44</v>
      </c>
      <c r="M3398">
        <v>14.23</v>
      </c>
      <c r="T3398" t="s">
        <v>45</v>
      </c>
      <c r="U3398">
        <v>0</v>
      </c>
      <c r="V3398">
        <v>4</v>
      </c>
    </row>
    <row r="3399" spans="1:22" x14ac:dyDescent="0.3">
      <c r="A3399">
        <v>3398</v>
      </c>
      <c r="B3399">
        <v>53805</v>
      </c>
      <c r="C3399" s="2">
        <v>34312</v>
      </c>
      <c r="D3399">
        <v>32</v>
      </c>
      <c r="E3399" t="s">
        <v>36</v>
      </c>
      <c r="F3399" t="s">
        <v>50</v>
      </c>
      <c r="G3399" s="2">
        <v>45338</v>
      </c>
      <c r="H3399" s="3">
        <f t="shared" si="53"/>
        <v>1.6684931506849314</v>
      </c>
      <c r="I3399">
        <v>95</v>
      </c>
      <c r="J3399" t="s">
        <v>57</v>
      </c>
      <c r="K3399" t="s">
        <v>55</v>
      </c>
      <c r="L3399" t="s">
        <v>44</v>
      </c>
      <c r="M3399">
        <v>17.59</v>
      </c>
      <c r="T3399" t="s">
        <v>47</v>
      </c>
      <c r="U3399">
        <v>2</v>
      </c>
      <c r="V3399">
        <v>5</v>
      </c>
    </row>
    <row r="3400" spans="1:22" x14ac:dyDescent="0.3">
      <c r="A3400">
        <v>3399</v>
      </c>
      <c r="B3400">
        <v>53806</v>
      </c>
      <c r="C3400" s="2">
        <v>38691</v>
      </c>
      <c r="D3400">
        <v>20</v>
      </c>
      <c r="E3400" t="s">
        <v>36</v>
      </c>
      <c r="F3400" t="s">
        <v>50</v>
      </c>
      <c r="G3400" s="2">
        <v>45413</v>
      </c>
      <c r="H3400" s="3">
        <f t="shared" si="53"/>
        <v>1.7726027397260273</v>
      </c>
      <c r="I3400">
        <v>129</v>
      </c>
      <c r="J3400" t="s">
        <v>57</v>
      </c>
      <c r="K3400" t="s">
        <v>46</v>
      </c>
      <c r="L3400" t="s">
        <v>44</v>
      </c>
      <c r="M3400">
        <v>14.23</v>
      </c>
      <c r="T3400" t="s">
        <v>47</v>
      </c>
      <c r="U3400">
        <v>1</v>
      </c>
      <c r="V3400">
        <v>4</v>
      </c>
    </row>
    <row r="3401" spans="1:22" x14ac:dyDescent="0.3">
      <c r="A3401">
        <v>3400</v>
      </c>
      <c r="B3401">
        <v>53807</v>
      </c>
      <c r="C3401" s="2">
        <v>37415</v>
      </c>
      <c r="D3401">
        <v>23</v>
      </c>
      <c r="E3401" t="s">
        <v>36</v>
      </c>
      <c r="F3401" t="s">
        <v>37</v>
      </c>
      <c r="G3401" s="2">
        <v>45375</v>
      </c>
      <c r="H3401" s="3">
        <f t="shared" si="53"/>
        <v>1.2219178082191782</v>
      </c>
      <c r="I3401">
        <v>20</v>
      </c>
      <c r="J3401" t="s">
        <v>38</v>
      </c>
      <c r="K3401" t="s">
        <v>46</v>
      </c>
      <c r="L3401" t="s">
        <v>44</v>
      </c>
      <c r="M3401">
        <v>14.23</v>
      </c>
      <c r="T3401" t="s">
        <v>52</v>
      </c>
      <c r="U3401">
        <v>1</v>
      </c>
      <c r="V3401">
        <v>4</v>
      </c>
    </row>
    <row r="3402" spans="1:22" x14ac:dyDescent="0.3">
      <c r="A3402">
        <v>3401</v>
      </c>
      <c r="B3402">
        <v>53808</v>
      </c>
      <c r="C3402" s="2">
        <v>36571</v>
      </c>
      <c r="D3402">
        <v>25</v>
      </c>
      <c r="E3402" t="s">
        <v>36</v>
      </c>
      <c r="F3402" t="s">
        <v>50</v>
      </c>
      <c r="G3402" s="2">
        <v>45576</v>
      </c>
      <c r="H3402" s="3">
        <f t="shared" si="53"/>
        <v>1.0876712328767124</v>
      </c>
      <c r="I3402">
        <v>34</v>
      </c>
      <c r="J3402" t="s">
        <v>38</v>
      </c>
      <c r="K3402" t="s">
        <v>55</v>
      </c>
      <c r="L3402" t="s">
        <v>44</v>
      </c>
      <c r="M3402">
        <v>17.59</v>
      </c>
      <c r="T3402" t="s">
        <v>52</v>
      </c>
      <c r="U3402">
        <v>0</v>
      </c>
      <c r="V3402">
        <v>5</v>
      </c>
    </row>
    <row r="3403" spans="1:22" x14ac:dyDescent="0.3">
      <c r="A3403">
        <v>3402</v>
      </c>
      <c r="B3403">
        <v>53809</v>
      </c>
      <c r="C3403" s="2">
        <v>38648</v>
      </c>
      <c r="D3403">
        <v>20</v>
      </c>
      <c r="E3403" t="s">
        <v>36</v>
      </c>
      <c r="F3403" t="s">
        <v>50</v>
      </c>
      <c r="G3403" s="2">
        <v>45625</v>
      </c>
      <c r="H3403" s="3">
        <f t="shared" si="53"/>
        <v>1.2767123287671234</v>
      </c>
      <c r="I3403">
        <v>65</v>
      </c>
      <c r="J3403" t="s">
        <v>38</v>
      </c>
      <c r="K3403" t="s">
        <v>46</v>
      </c>
      <c r="L3403" t="s">
        <v>44</v>
      </c>
      <c r="M3403">
        <v>14.23</v>
      </c>
      <c r="T3403" t="s">
        <v>45</v>
      </c>
      <c r="U3403">
        <v>1</v>
      </c>
      <c r="V3403">
        <v>4</v>
      </c>
    </row>
    <row r="3404" spans="1:22" x14ac:dyDescent="0.3">
      <c r="A3404">
        <v>3403</v>
      </c>
      <c r="B3404">
        <v>53810</v>
      </c>
      <c r="C3404" s="2">
        <v>37410</v>
      </c>
      <c r="D3404">
        <v>23</v>
      </c>
      <c r="E3404" t="s">
        <v>42</v>
      </c>
      <c r="F3404" t="s">
        <v>37</v>
      </c>
      <c r="G3404" s="2">
        <v>45556</v>
      </c>
      <c r="H3404" s="3">
        <f t="shared" si="53"/>
        <v>1.0027397260273974</v>
      </c>
      <c r="I3404">
        <v>69</v>
      </c>
      <c r="J3404" t="s">
        <v>57</v>
      </c>
      <c r="K3404" t="s">
        <v>56</v>
      </c>
      <c r="L3404" t="s">
        <v>44</v>
      </c>
      <c r="M3404">
        <v>8.4700000000000006</v>
      </c>
      <c r="T3404" t="s">
        <v>45</v>
      </c>
      <c r="U3404">
        <v>2</v>
      </c>
      <c r="V3404">
        <v>6</v>
      </c>
    </row>
    <row r="3405" spans="1:22" x14ac:dyDescent="0.3">
      <c r="A3405">
        <v>3404</v>
      </c>
      <c r="B3405">
        <v>53811</v>
      </c>
      <c r="C3405" s="2">
        <v>38010</v>
      </c>
      <c r="D3405">
        <v>21</v>
      </c>
      <c r="E3405" t="s">
        <v>42</v>
      </c>
      <c r="F3405" t="s">
        <v>50</v>
      </c>
      <c r="G3405" s="2">
        <v>45656</v>
      </c>
      <c r="H3405" s="3">
        <f t="shared" si="53"/>
        <v>1.7561643835616438</v>
      </c>
      <c r="I3405">
        <v>69</v>
      </c>
      <c r="J3405" t="s">
        <v>57</v>
      </c>
      <c r="K3405" t="s">
        <v>56</v>
      </c>
      <c r="L3405" t="s">
        <v>44</v>
      </c>
      <c r="M3405">
        <v>8.4700000000000006</v>
      </c>
      <c r="T3405" t="s">
        <v>45</v>
      </c>
      <c r="U3405">
        <v>3</v>
      </c>
      <c r="V3405">
        <v>7</v>
      </c>
    </row>
    <row r="3406" spans="1:22" x14ac:dyDescent="0.3">
      <c r="A3406">
        <v>3405</v>
      </c>
      <c r="B3406">
        <v>53812</v>
      </c>
      <c r="C3406" s="2">
        <v>36422</v>
      </c>
      <c r="D3406">
        <v>26</v>
      </c>
      <c r="E3406" t="s">
        <v>42</v>
      </c>
      <c r="F3406" t="s">
        <v>50</v>
      </c>
      <c r="G3406" s="2">
        <v>45381</v>
      </c>
      <c r="H3406" s="3">
        <f t="shared" si="53"/>
        <v>1.2301369863013698</v>
      </c>
      <c r="I3406">
        <v>92</v>
      </c>
      <c r="J3406" t="s">
        <v>57</v>
      </c>
      <c r="K3406" t="s">
        <v>56</v>
      </c>
      <c r="L3406" t="s">
        <v>44</v>
      </c>
      <c r="M3406">
        <v>8.4700000000000006</v>
      </c>
      <c r="T3406" t="s">
        <v>45</v>
      </c>
      <c r="U3406">
        <v>2</v>
      </c>
      <c r="V3406">
        <v>6</v>
      </c>
    </row>
    <row r="3407" spans="1:22" x14ac:dyDescent="0.3">
      <c r="A3407">
        <v>3406</v>
      </c>
      <c r="B3407">
        <v>53813</v>
      </c>
      <c r="C3407" s="2">
        <v>35366</v>
      </c>
      <c r="D3407">
        <v>29</v>
      </c>
      <c r="E3407" t="s">
        <v>36</v>
      </c>
      <c r="F3407" t="s">
        <v>37</v>
      </c>
      <c r="G3407" s="2">
        <v>45573</v>
      </c>
      <c r="H3407" s="3">
        <f t="shared" si="53"/>
        <v>1.1863013698630136</v>
      </c>
      <c r="I3407">
        <v>95</v>
      </c>
      <c r="J3407" t="s">
        <v>57</v>
      </c>
      <c r="K3407" t="s">
        <v>46</v>
      </c>
      <c r="L3407" t="s">
        <v>44</v>
      </c>
      <c r="M3407">
        <v>14.23</v>
      </c>
      <c r="T3407" t="s">
        <v>45</v>
      </c>
      <c r="U3407">
        <v>0</v>
      </c>
      <c r="V3407">
        <v>3</v>
      </c>
    </row>
    <row r="3408" spans="1:22" x14ac:dyDescent="0.3">
      <c r="A3408">
        <v>3407</v>
      </c>
      <c r="B3408">
        <v>53814</v>
      </c>
      <c r="C3408" s="2">
        <v>37335</v>
      </c>
      <c r="D3408">
        <v>23</v>
      </c>
      <c r="E3408" t="s">
        <v>42</v>
      </c>
      <c r="F3408" t="s">
        <v>50</v>
      </c>
      <c r="G3408" s="2">
        <v>45589</v>
      </c>
      <c r="H3408" s="3">
        <f t="shared" si="53"/>
        <v>1.2904109589041095</v>
      </c>
      <c r="I3408">
        <v>96</v>
      </c>
      <c r="J3408" t="s">
        <v>57</v>
      </c>
      <c r="K3408" t="s">
        <v>48</v>
      </c>
      <c r="L3408" t="s">
        <v>44</v>
      </c>
      <c r="M3408">
        <v>8.4700000000000006</v>
      </c>
      <c r="T3408" t="s">
        <v>52</v>
      </c>
      <c r="U3408">
        <v>3</v>
      </c>
      <c r="V3408">
        <v>7</v>
      </c>
    </row>
    <row r="3409" spans="1:22" x14ac:dyDescent="0.3">
      <c r="A3409">
        <v>3408</v>
      </c>
      <c r="B3409">
        <v>53815</v>
      </c>
      <c r="C3409" s="2">
        <v>38196</v>
      </c>
      <c r="D3409">
        <v>21</v>
      </c>
      <c r="E3409" t="s">
        <v>42</v>
      </c>
      <c r="F3409" t="s">
        <v>50</v>
      </c>
      <c r="G3409" s="2">
        <v>45551</v>
      </c>
      <c r="H3409" s="3">
        <f t="shared" si="53"/>
        <v>1.273972602739726</v>
      </c>
      <c r="I3409">
        <v>129</v>
      </c>
      <c r="J3409" t="s">
        <v>57</v>
      </c>
      <c r="K3409" t="s">
        <v>56</v>
      </c>
      <c r="L3409" t="s">
        <v>44</v>
      </c>
      <c r="M3409">
        <v>8.4700000000000006</v>
      </c>
      <c r="T3409" t="s">
        <v>47</v>
      </c>
      <c r="U3409">
        <v>2</v>
      </c>
      <c r="V3409">
        <v>7</v>
      </c>
    </row>
    <row r="3410" spans="1:22" x14ac:dyDescent="0.3">
      <c r="A3410">
        <v>3409</v>
      </c>
      <c r="B3410">
        <v>53816</v>
      </c>
      <c r="C3410" s="2">
        <v>37972</v>
      </c>
      <c r="D3410">
        <v>22</v>
      </c>
      <c r="E3410" t="s">
        <v>36</v>
      </c>
      <c r="F3410" t="s">
        <v>50</v>
      </c>
      <c r="G3410" s="2">
        <v>45557</v>
      </c>
      <c r="H3410" s="3">
        <f t="shared" si="53"/>
        <v>1.821917808219178</v>
      </c>
      <c r="I3410">
        <v>7</v>
      </c>
      <c r="J3410" t="s">
        <v>38</v>
      </c>
      <c r="K3410" t="s">
        <v>65</v>
      </c>
      <c r="L3410" t="s">
        <v>44</v>
      </c>
      <c r="M3410">
        <v>10.64</v>
      </c>
      <c r="T3410" t="s">
        <v>45</v>
      </c>
      <c r="U3410">
        <v>0</v>
      </c>
      <c r="V3410">
        <v>3</v>
      </c>
    </row>
    <row r="3411" spans="1:22" x14ac:dyDescent="0.3">
      <c r="A3411">
        <v>3410</v>
      </c>
      <c r="B3411">
        <v>53817</v>
      </c>
      <c r="C3411" s="2">
        <v>38438</v>
      </c>
      <c r="D3411">
        <v>20</v>
      </c>
      <c r="E3411" t="s">
        <v>36</v>
      </c>
      <c r="F3411" t="s">
        <v>50</v>
      </c>
      <c r="G3411" s="2">
        <v>45357</v>
      </c>
      <c r="H3411" s="3">
        <f t="shared" si="53"/>
        <v>1.1452054794520548</v>
      </c>
      <c r="I3411">
        <v>15</v>
      </c>
      <c r="J3411" t="s">
        <v>38</v>
      </c>
      <c r="K3411" t="s">
        <v>65</v>
      </c>
      <c r="L3411" t="s">
        <v>44</v>
      </c>
      <c r="M3411">
        <v>10.64</v>
      </c>
      <c r="T3411" t="s">
        <v>45</v>
      </c>
      <c r="U3411">
        <v>0</v>
      </c>
      <c r="V3411">
        <v>4</v>
      </c>
    </row>
    <row r="3412" spans="1:22" x14ac:dyDescent="0.3">
      <c r="A3412">
        <v>3411</v>
      </c>
      <c r="B3412">
        <v>53818</v>
      </c>
      <c r="C3412" s="2">
        <v>37778</v>
      </c>
      <c r="D3412">
        <v>22</v>
      </c>
      <c r="E3412" t="s">
        <v>36</v>
      </c>
      <c r="F3412" t="s">
        <v>50</v>
      </c>
      <c r="G3412" s="2">
        <v>45604</v>
      </c>
      <c r="H3412" s="3">
        <f t="shared" si="53"/>
        <v>1.189041095890411</v>
      </c>
      <c r="I3412">
        <v>16</v>
      </c>
      <c r="J3412" t="s">
        <v>38</v>
      </c>
      <c r="K3412" t="s">
        <v>65</v>
      </c>
      <c r="L3412" t="s">
        <v>44</v>
      </c>
      <c r="M3412">
        <v>10.64</v>
      </c>
      <c r="T3412" t="s">
        <v>47</v>
      </c>
      <c r="U3412">
        <v>0</v>
      </c>
      <c r="V3412">
        <v>3</v>
      </c>
    </row>
    <row r="3413" spans="1:22" x14ac:dyDescent="0.3">
      <c r="A3413">
        <v>3412</v>
      </c>
      <c r="B3413">
        <v>53819</v>
      </c>
      <c r="C3413" s="2">
        <v>36173</v>
      </c>
      <c r="D3413">
        <v>26</v>
      </c>
      <c r="E3413" t="s">
        <v>36</v>
      </c>
      <c r="F3413" t="s">
        <v>50</v>
      </c>
      <c r="G3413" s="2">
        <v>45588</v>
      </c>
      <c r="H3413" s="3">
        <f t="shared" si="53"/>
        <v>1.3780821917808219</v>
      </c>
      <c r="I3413">
        <v>20</v>
      </c>
      <c r="J3413" t="s">
        <v>38</v>
      </c>
      <c r="K3413" t="s">
        <v>55</v>
      </c>
      <c r="L3413" t="s">
        <v>44</v>
      </c>
      <c r="M3413">
        <v>17.59</v>
      </c>
      <c r="T3413" t="s">
        <v>52</v>
      </c>
      <c r="U3413">
        <v>2</v>
      </c>
      <c r="V3413">
        <v>5</v>
      </c>
    </row>
    <row r="3414" spans="1:22" x14ac:dyDescent="0.3">
      <c r="A3414">
        <v>3413</v>
      </c>
      <c r="B3414">
        <v>53820</v>
      </c>
      <c r="C3414" s="2">
        <v>37399</v>
      </c>
      <c r="D3414">
        <v>23</v>
      </c>
      <c r="E3414" t="s">
        <v>42</v>
      </c>
      <c r="F3414" t="s">
        <v>50</v>
      </c>
      <c r="G3414" s="2">
        <v>45519</v>
      </c>
      <c r="H3414" s="3">
        <f t="shared" si="53"/>
        <v>1.4082191780821918</v>
      </c>
      <c r="I3414">
        <v>20</v>
      </c>
      <c r="J3414" t="s">
        <v>38</v>
      </c>
      <c r="K3414" t="s">
        <v>56</v>
      </c>
      <c r="L3414" t="s">
        <v>44</v>
      </c>
      <c r="M3414">
        <v>8.4700000000000006</v>
      </c>
      <c r="T3414" t="s">
        <v>45</v>
      </c>
      <c r="U3414">
        <v>2</v>
      </c>
      <c r="V3414">
        <v>7</v>
      </c>
    </row>
    <row r="3415" spans="1:22" x14ac:dyDescent="0.3">
      <c r="A3415">
        <v>3414</v>
      </c>
      <c r="B3415">
        <v>53821</v>
      </c>
      <c r="C3415" s="2">
        <v>39064</v>
      </c>
      <c r="D3415">
        <v>19</v>
      </c>
      <c r="E3415" t="s">
        <v>36</v>
      </c>
      <c r="F3415" t="s">
        <v>50</v>
      </c>
      <c r="G3415" s="2">
        <v>45508</v>
      </c>
      <c r="H3415" s="3">
        <f t="shared" si="53"/>
        <v>1.547945205479452</v>
      </c>
      <c r="I3415">
        <v>22</v>
      </c>
      <c r="J3415" t="s">
        <v>38</v>
      </c>
      <c r="K3415" t="s">
        <v>65</v>
      </c>
      <c r="L3415" t="s">
        <v>44</v>
      </c>
      <c r="M3415">
        <v>10.64</v>
      </c>
      <c r="T3415" t="s">
        <v>45</v>
      </c>
      <c r="U3415">
        <v>1</v>
      </c>
      <c r="V3415">
        <v>4</v>
      </c>
    </row>
    <row r="3416" spans="1:22" x14ac:dyDescent="0.3">
      <c r="A3416">
        <v>3415</v>
      </c>
      <c r="B3416">
        <v>53822</v>
      </c>
      <c r="C3416" s="2">
        <v>36884</v>
      </c>
      <c r="D3416">
        <v>25</v>
      </c>
      <c r="E3416" t="s">
        <v>36</v>
      </c>
      <c r="F3416" t="s">
        <v>37</v>
      </c>
      <c r="G3416" s="2">
        <v>45457</v>
      </c>
      <c r="H3416" s="3">
        <f t="shared" si="53"/>
        <v>1.6712328767123288</v>
      </c>
      <c r="I3416">
        <v>22</v>
      </c>
      <c r="J3416" t="s">
        <v>38</v>
      </c>
      <c r="K3416" t="s">
        <v>55</v>
      </c>
      <c r="L3416" t="s">
        <v>44</v>
      </c>
      <c r="M3416">
        <v>17.59</v>
      </c>
      <c r="T3416" t="s">
        <v>52</v>
      </c>
      <c r="U3416">
        <v>0</v>
      </c>
      <c r="V3416">
        <v>3</v>
      </c>
    </row>
    <row r="3417" spans="1:22" x14ac:dyDescent="0.3">
      <c r="A3417">
        <v>3416</v>
      </c>
      <c r="B3417">
        <v>53823</v>
      </c>
      <c r="C3417" s="2">
        <v>37884</v>
      </c>
      <c r="D3417">
        <v>22</v>
      </c>
      <c r="E3417" t="s">
        <v>36</v>
      </c>
      <c r="F3417" t="s">
        <v>50</v>
      </c>
      <c r="G3417" s="2">
        <v>45412</v>
      </c>
      <c r="H3417" s="3">
        <f t="shared" si="53"/>
        <v>1.3068493150684932</v>
      </c>
      <c r="I3417">
        <v>27</v>
      </c>
      <c r="J3417" t="s">
        <v>38</v>
      </c>
      <c r="K3417" t="s">
        <v>65</v>
      </c>
      <c r="L3417" t="s">
        <v>44</v>
      </c>
      <c r="M3417">
        <v>10.64</v>
      </c>
      <c r="T3417" t="s">
        <v>45</v>
      </c>
      <c r="U3417">
        <v>1</v>
      </c>
      <c r="V3417">
        <v>4</v>
      </c>
    </row>
    <row r="3418" spans="1:22" x14ac:dyDescent="0.3">
      <c r="A3418">
        <v>3417</v>
      </c>
      <c r="B3418">
        <v>53824</v>
      </c>
      <c r="C3418" s="2">
        <v>37506</v>
      </c>
      <c r="D3418">
        <v>23</v>
      </c>
      <c r="E3418" t="s">
        <v>42</v>
      </c>
      <c r="F3418" t="s">
        <v>50</v>
      </c>
      <c r="G3418" s="2">
        <v>45545</v>
      </c>
      <c r="H3418" s="3">
        <f t="shared" si="53"/>
        <v>1.4191780821917808</v>
      </c>
      <c r="I3418">
        <v>27</v>
      </c>
      <c r="J3418" t="s">
        <v>38</v>
      </c>
      <c r="K3418" t="s">
        <v>56</v>
      </c>
      <c r="L3418" t="s">
        <v>44</v>
      </c>
      <c r="M3418">
        <v>8.4700000000000006</v>
      </c>
      <c r="T3418" t="s">
        <v>52</v>
      </c>
      <c r="U3418">
        <v>2</v>
      </c>
      <c r="V3418">
        <v>7</v>
      </c>
    </row>
    <row r="3419" spans="1:22" x14ac:dyDescent="0.3">
      <c r="A3419">
        <v>3418</v>
      </c>
      <c r="B3419">
        <v>53825</v>
      </c>
      <c r="C3419" s="2">
        <v>37727</v>
      </c>
      <c r="D3419">
        <v>22</v>
      </c>
      <c r="E3419" t="s">
        <v>36</v>
      </c>
      <c r="F3419" t="s">
        <v>50</v>
      </c>
      <c r="G3419" s="2">
        <v>45504</v>
      </c>
      <c r="H3419" s="3">
        <f t="shared" si="53"/>
        <v>1.6520547945205479</v>
      </c>
      <c r="I3419">
        <v>32</v>
      </c>
      <c r="J3419" t="s">
        <v>38</v>
      </c>
      <c r="K3419" t="s">
        <v>46</v>
      </c>
      <c r="L3419" t="s">
        <v>44</v>
      </c>
      <c r="M3419">
        <v>14.23</v>
      </c>
      <c r="T3419" t="s">
        <v>52</v>
      </c>
      <c r="U3419">
        <v>0</v>
      </c>
      <c r="V3419">
        <v>3</v>
      </c>
    </row>
    <row r="3420" spans="1:22" x14ac:dyDescent="0.3">
      <c r="A3420">
        <v>3419</v>
      </c>
      <c r="B3420">
        <v>53826</v>
      </c>
      <c r="C3420" s="2">
        <v>37935</v>
      </c>
      <c r="D3420">
        <v>22</v>
      </c>
      <c r="E3420" t="s">
        <v>42</v>
      </c>
      <c r="F3420" t="s">
        <v>50</v>
      </c>
      <c r="G3420" s="2">
        <v>45419</v>
      </c>
      <c r="H3420" s="3">
        <f t="shared" si="53"/>
        <v>1.2904109589041095</v>
      </c>
      <c r="I3420">
        <v>33</v>
      </c>
      <c r="J3420" t="s">
        <v>38</v>
      </c>
      <c r="K3420" t="s">
        <v>56</v>
      </c>
      <c r="L3420" t="s">
        <v>44</v>
      </c>
      <c r="M3420">
        <v>8.4700000000000006</v>
      </c>
      <c r="T3420" t="s">
        <v>52</v>
      </c>
      <c r="U3420">
        <v>2</v>
      </c>
      <c r="V3420">
        <v>6</v>
      </c>
    </row>
    <row r="3421" spans="1:22" x14ac:dyDescent="0.3">
      <c r="A3421">
        <v>3420</v>
      </c>
      <c r="B3421">
        <v>53827</v>
      </c>
      <c r="C3421" s="2">
        <v>36378</v>
      </c>
      <c r="D3421">
        <v>26</v>
      </c>
      <c r="E3421" t="s">
        <v>42</v>
      </c>
      <c r="F3421" t="s">
        <v>50</v>
      </c>
      <c r="G3421" s="2">
        <v>45551</v>
      </c>
      <c r="H3421" s="3">
        <f t="shared" si="53"/>
        <v>1.5041095890410958</v>
      </c>
      <c r="I3421">
        <v>37</v>
      </c>
      <c r="J3421" t="s">
        <v>38</v>
      </c>
      <c r="K3421" t="s">
        <v>64</v>
      </c>
      <c r="L3421" t="s">
        <v>44</v>
      </c>
      <c r="M3421">
        <v>14.07</v>
      </c>
      <c r="T3421" t="s">
        <v>47</v>
      </c>
      <c r="U3421">
        <v>1</v>
      </c>
      <c r="V3421">
        <v>5</v>
      </c>
    </row>
    <row r="3422" spans="1:22" x14ac:dyDescent="0.3">
      <c r="A3422">
        <v>3421</v>
      </c>
      <c r="B3422">
        <v>53828</v>
      </c>
      <c r="C3422" s="2">
        <v>37665</v>
      </c>
      <c r="D3422">
        <v>22</v>
      </c>
      <c r="E3422" t="s">
        <v>42</v>
      </c>
      <c r="F3422" t="s">
        <v>37</v>
      </c>
      <c r="G3422" s="2">
        <v>45473</v>
      </c>
      <c r="H3422" s="3">
        <f t="shared" si="53"/>
        <v>1.3150684931506849</v>
      </c>
      <c r="I3422">
        <v>37</v>
      </c>
      <c r="J3422" t="s">
        <v>38</v>
      </c>
      <c r="K3422" t="s">
        <v>56</v>
      </c>
      <c r="L3422" t="s">
        <v>44</v>
      </c>
      <c r="M3422">
        <v>8.4700000000000006</v>
      </c>
      <c r="T3422" t="s">
        <v>47</v>
      </c>
      <c r="U3422">
        <v>2</v>
      </c>
      <c r="V3422">
        <v>4</v>
      </c>
    </row>
    <row r="3423" spans="1:22" x14ac:dyDescent="0.3">
      <c r="A3423">
        <v>3422</v>
      </c>
      <c r="B3423">
        <v>53829</v>
      </c>
      <c r="C3423" s="2">
        <v>38486</v>
      </c>
      <c r="D3423">
        <v>20</v>
      </c>
      <c r="E3423" t="s">
        <v>42</v>
      </c>
      <c r="F3423" t="s">
        <v>50</v>
      </c>
      <c r="G3423" s="2">
        <v>45542</v>
      </c>
      <c r="H3423" s="3">
        <f t="shared" si="53"/>
        <v>1.3561643835616439</v>
      </c>
      <c r="I3423">
        <v>38</v>
      </c>
      <c r="J3423" t="s">
        <v>38</v>
      </c>
      <c r="K3423" t="s">
        <v>56</v>
      </c>
      <c r="L3423" t="s">
        <v>44</v>
      </c>
      <c r="M3423">
        <v>8.4700000000000006</v>
      </c>
      <c r="T3423" t="s">
        <v>45</v>
      </c>
      <c r="U3423">
        <v>4</v>
      </c>
      <c r="V3423">
        <v>7</v>
      </c>
    </row>
    <row r="3424" spans="1:22" x14ac:dyDescent="0.3">
      <c r="A3424">
        <v>3423</v>
      </c>
      <c r="B3424">
        <v>53830</v>
      </c>
      <c r="C3424" s="2">
        <v>36636</v>
      </c>
      <c r="D3424">
        <v>25</v>
      </c>
      <c r="E3424" t="s">
        <v>42</v>
      </c>
      <c r="F3424" t="s">
        <v>50</v>
      </c>
      <c r="G3424" s="2">
        <v>45527</v>
      </c>
      <c r="H3424" s="3">
        <f t="shared" si="53"/>
        <v>1.7506849315068493</v>
      </c>
      <c r="I3424">
        <v>39</v>
      </c>
      <c r="J3424" t="s">
        <v>38</v>
      </c>
      <c r="K3424" t="s">
        <v>56</v>
      </c>
      <c r="L3424" t="s">
        <v>44</v>
      </c>
      <c r="M3424">
        <v>8.4700000000000006</v>
      </c>
      <c r="T3424" t="s">
        <v>45</v>
      </c>
      <c r="U3424">
        <v>2</v>
      </c>
      <c r="V3424">
        <v>6</v>
      </c>
    </row>
    <row r="3425" spans="1:22" x14ac:dyDescent="0.3">
      <c r="A3425">
        <v>3424</v>
      </c>
      <c r="B3425">
        <v>53831</v>
      </c>
      <c r="C3425" s="2">
        <v>38389</v>
      </c>
      <c r="D3425">
        <v>20</v>
      </c>
      <c r="E3425" t="s">
        <v>36</v>
      </c>
      <c r="F3425" t="s">
        <v>50</v>
      </c>
      <c r="G3425" s="2">
        <v>45383</v>
      </c>
      <c r="H3425" s="3">
        <f t="shared" si="53"/>
        <v>1.547945205479452</v>
      </c>
      <c r="I3425">
        <v>40</v>
      </c>
      <c r="J3425" t="s">
        <v>38</v>
      </c>
      <c r="K3425" t="s">
        <v>65</v>
      </c>
      <c r="L3425" t="s">
        <v>44</v>
      </c>
      <c r="M3425">
        <v>10.64</v>
      </c>
      <c r="T3425" t="s">
        <v>45</v>
      </c>
      <c r="U3425">
        <v>1</v>
      </c>
      <c r="V3425">
        <v>4</v>
      </c>
    </row>
    <row r="3426" spans="1:22" x14ac:dyDescent="0.3">
      <c r="A3426">
        <v>3425</v>
      </c>
      <c r="B3426">
        <v>53832</v>
      </c>
      <c r="C3426" s="2">
        <v>37597</v>
      </c>
      <c r="D3426">
        <v>23</v>
      </c>
      <c r="E3426" t="s">
        <v>42</v>
      </c>
      <c r="F3426" t="s">
        <v>50</v>
      </c>
      <c r="G3426" s="2">
        <v>45457</v>
      </c>
      <c r="H3426" s="3">
        <f t="shared" si="53"/>
        <v>1.0356164383561643</v>
      </c>
      <c r="I3426">
        <v>42</v>
      </c>
      <c r="J3426" t="s">
        <v>38</v>
      </c>
      <c r="K3426" t="s">
        <v>56</v>
      </c>
      <c r="L3426" t="s">
        <v>44</v>
      </c>
      <c r="M3426">
        <v>8.4700000000000006</v>
      </c>
      <c r="T3426" t="s">
        <v>52</v>
      </c>
      <c r="U3426">
        <v>1</v>
      </c>
      <c r="V3426">
        <v>7</v>
      </c>
    </row>
    <row r="3427" spans="1:22" x14ac:dyDescent="0.3">
      <c r="A3427">
        <v>3426</v>
      </c>
      <c r="B3427">
        <v>53833</v>
      </c>
      <c r="C3427" s="2">
        <v>30440</v>
      </c>
      <c r="D3427">
        <v>42</v>
      </c>
      <c r="E3427" t="s">
        <v>36</v>
      </c>
      <c r="F3427" t="s">
        <v>50</v>
      </c>
      <c r="G3427" s="2">
        <v>45644</v>
      </c>
      <c r="H3427" s="3">
        <f t="shared" si="53"/>
        <v>1.0054794520547945</v>
      </c>
      <c r="I3427">
        <v>49</v>
      </c>
      <c r="J3427" t="s">
        <v>38</v>
      </c>
      <c r="K3427" t="s">
        <v>46</v>
      </c>
      <c r="L3427" t="s">
        <v>44</v>
      </c>
      <c r="M3427">
        <v>14.23</v>
      </c>
      <c r="T3427" t="s">
        <v>47</v>
      </c>
      <c r="U3427">
        <v>1</v>
      </c>
      <c r="V3427">
        <v>4</v>
      </c>
    </row>
    <row r="3428" spans="1:22" x14ac:dyDescent="0.3">
      <c r="A3428">
        <v>3427</v>
      </c>
      <c r="B3428">
        <v>53834</v>
      </c>
      <c r="C3428" s="2">
        <v>39350</v>
      </c>
      <c r="D3428">
        <v>18</v>
      </c>
      <c r="E3428" t="s">
        <v>42</v>
      </c>
      <c r="F3428" t="s">
        <v>37</v>
      </c>
      <c r="G3428" s="2">
        <v>45655</v>
      </c>
      <c r="H3428" s="3">
        <f t="shared" si="53"/>
        <v>1.5753424657534247</v>
      </c>
      <c r="I3428">
        <v>62</v>
      </c>
      <c r="J3428" t="s">
        <v>38</v>
      </c>
      <c r="K3428" t="s">
        <v>56</v>
      </c>
      <c r="L3428" t="s">
        <v>44</v>
      </c>
      <c r="M3428">
        <v>8.4700000000000006</v>
      </c>
      <c r="T3428" t="s">
        <v>45</v>
      </c>
      <c r="U3428">
        <v>2</v>
      </c>
      <c r="V3428">
        <v>5</v>
      </c>
    </row>
    <row r="3429" spans="1:22" x14ac:dyDescent="0.3">
      <c r="A3429">
        <v>3428</v>
      </c>
      <c r="B3429">
        <v>53835</v>
      </c>
      <c r="C3429" s="2">
        <v>34803</v>
      </c>
      <c r="D3429">
        <v>30</v>
      </c>
      <c r="E3429" t="s">
        <v>36</v>
      </c>
      <c r="F3429" t="s">
        <v>37</v>
      </c>
      <c r="G3429" s="2">
        <v>45447</v>
      </c>
      <c r="H3429" s="3">
        <f t="shared" si="53"/>
        <v>1.6739726027397259</v>
      </c>
      <c r="I3429">
        <v>64</v>
      </c>
      <c r="J3429" t="s">
        <v>38</v>
      </c>
      <c r="K3429" t="s">
        <v>55</v>
      </c>
      <c r="L3429" t="s">
        <v>44</v>
      </c>
      <c r="M3429">
        <v>17.59</v>
      </c>
      <c r="T3429" t="s">
        <v>49</v>
      </c>
      <c r="U3429">
        <v>1</v>
      </c>
      <c r="V3429">
        <v>3</v>
      </c>
    </row>
    <row r="3430" spans="1:22" x14ac:dyDescent="0.3">
      <c r="A3430">
        <v>3429</v>
      </c>
      <c r="B3430">
        <v>53836</v>
      </c>
      <c r="C3430" s="2">
        <v>37580</v>
      </c>
      <c r="D3430">
        <v>23</v>
      </c>
      <c r="E3430" t="s">
        <v>36</v>
      </c>
      <c r="F3430" t="s">
        <v>50</v>
      </c>
      <c r="G3430" s="2">
        <v>45411</v>
      </c>
      <c r="H3430" s="3">
        <f t="shared" si="53"/>
        <v>1.7726027397260273</v>
      </c>
      <c r="I3430">
        <v>65</v>
      </c>
      <c r="J3430" t="s">
        <v>38</v>
      </c>
      <c r="K3430" t="s">
        <v>54</v>
      </c>
      <c r="L3430" t="s">
        <v>44</v>
      </c>
      <c r="M3430">
        <v>23.78</v>
      </c>
      <c r="T3430" t="s">
        <v>49</v>
      </c>
      <c r="U3430">
        <v>5</v>
      </c>
      <c r="V3430">
        <v>6</v>
      </c>
    </row>
    <row r="3431" spans="1:22" x14ac:dyDescent="0.3">
      <c r="A3431">
        <v>3430</v>
      </c>
      <c r="B3431">
        <v>53837</v>
      </c>
      <c r="C3431" s="2">
        <v>38455</v>
      </c>
      <c r="D3431">
        <v>20</v>
      </c>
      <c r="E3431" t="s">
        <v>36</v>
      </c>
      <c r="F3431" t="s">
        <v>50</v>
      </c>
      <c r="G3431" s="2">
        <v>45375</v>
      </c>
      <c r="H3431" s="3">
        <f t="shared" si="53"/>
        <v>1.5397260273972602</v>
      </c>
      <c r="I3431">
        <v>65</v>
      </c>
      <c r="J3431" t="s">
        <v>38</v>
      </c>
      <c r="K3431" t="s">
        <v>56</v>
      </c>
      <c r="L3431" t="s">
        <v>44</v>
      </c>
      <c r="M3431">
        <v>8.4700000000000006</v>
      </c>
      <c r="T3431" t="s">
        <v>52</v>
      </c>
      <c r="U3431">
        <v>4</v>
      </c>
      <c r="V3431">
        <v>5</v>
      </c>
    </row>
    <row r="3432" spans="1:22" x14ac:dyDescent="0.3">
      <c r="A3432">
        <v>3431</v>
      </c>
      <c r="B3432">
        <v>53838</v>
      </c>
      <c r="C3432" s="2">
        <v>37908</v>
      </c>
      <c r="D3432">
        <v>22</v>
      </c>
      <c r="E3432" t="s">
        <v>42</v>
      </c>
      <c r="F3432" t="s">
        <v>50</v>
      </c>
      <c r="G3432" s="2">
        <v>45460</v>
      </c>
      <c r="H3432" s="3">
        <f t="shared" si="53"/>
        <v>1.6465753424657534</v>
      </c>
      <c r="I3432">
        <v>78</v>
      </c>
      <c r="J3432" t="s">
        <v>57</v>
      </c>
      <c r="K3432" t="s">
        <v>56</v>
      </c>
      <c r="L3432" t="s">
        <v>44</v>
      </c>
      <c r="M3432">
        <v>8.4700000000000006</v>
      </c>
      <c r="T3432" t="s">
        <v>52</v>
      </c>
      <c r="U3432">
        <v>2</v>
      </c>
      <c r="V3432">
        <v>5</v>
      </c>
    </row>
    <row r="3433" spans="1:22" x14ac:dyDescent="0.3">
      <c r="A3433">
        <v>3432</v>
      </c>
      <c r="B3433">
        <v>53839</v>
      </c>
      <c r="C3433" s="2">
        <v>39192</v>
      </c>
      <c r="D3433">
        <v>18</v>
      </c>
      <c r="E3433" t="s">
        <v>42</v>
      </c>
      <c r="F3433" t="s">
        <v>50</v>
      </c>
      <c r="G3433" s="2">
        <v>45421</v>
      </c>
      <c r="H3433" s="3">
        <f t="shared" si="53"/>
        <v>1.2876712328767124</v>
      </c>
      <c r="I3433">
        <v>79</v>
      </c>
      <c r="J3433" t="s">
        <v>57</v>
      </c>
      <c r="K3433" t="s">
        <v>56</v>
      </c>
      <c r="L3433" t="s">
        <v>44</v>
      </c>
      <c r="M3433">
        <v>8.4700000000000006</v>
      </c>
      <c r="T3433" t="s">
        <v>47</v>
      </c>
      <c r="U3433">
        <v>0</v>
      </c>
      <c r="V3433">
        <v>6</v>
      </c>
    </row>
    <row r="3434" spans="1:22" x14ac:dyDescent="0.3">
      <c r="A3434">
        <v>3433</v>
      </c>
      <c r="B3434">
        <v>53840</v>
      </c>
      <c r="C3434" s="2">
        <v>38690</v>
      </c>
      <c r="D3434">
        <v>20</v>
      </c>
      <c r="E3434" t="s">
        <v>42</v>
      </c>
      <c r="F3434" t="s">
        <v>50</v>
      </c>
      <c r="G3434" s="2">
        <v>45552</v>
      </c>
      <c r="H3434" s="3">
        <f t="shared" si="53"/>
        <v>1.473972602739726</v>
      </c>
      <c r="I3434">
        <v>85</v>
      </c>
      <c r="J3434" t="s">
        <v>57</v>
      </c>
      <c r="K3434" t="s">
        <v>56</v>
      </c>
      <c r="L3434" t="s">
        <v>44</v>
      </c>
      <c r="M3434">
        <v>8.4700000000000006</v>
      </c>
      <c r="T3434" t="s">
        <v>45</v>
      </c>
      <c r="U3434">
        <v>3</v>
      </c>
      <c r="V3434">
        <v>7</v>
      </c>
    </row>
    <row r="3435" spans="1:22" x14ac:dyDescent="0.3">
      <c r="A3435">
        <v>3434</v>
      </c>
      <c r="B3435">
        <v>53841</v>
      </c>
      <c r="C3435" s="2">
        <v>37366</v>
      </c>
      <c r="D3435">
        <v>23</v>
      </c>
      <c r="E3435" t="s">
        <v>36</v>
      </c>
      <c r="F3435" t="s">
        <v>50</v>
      </c>
      <c r="G3435" s="2">
        <v>45484</v>
      </c>
      <c r="H3435" s="3">
        <f t="shared" si="53"/>
        <v>1.5643835616438355</v>
      </c>
      <c r="I3435">
        <v>91</v>
      </c>
      <c r="J3435" t="s">
        <v>57</v>
      </c>
      <c r="K3435" t="s">
        <v>46</v>
      </c>
      <c r="L3435" t="s">
        <v>44</v>
      </c>
      <c r="M3435">
        <v>14.23</v>
      </c>
      <c r="T3435" t="s">
        <v>45</v>
      </c>
      <c r="U3435">
        <v>0</v>
      </c>
      <c r="V3435">
        <v>3</v>
      </c>
    </row>
    <row r="3436" spans="1:22" x14ac:dyDescent="0.3">
      <c r="A3436">
        <v>3435</v>
      </c>
      <c r="B3436">
        <v>53842</v>
      </c>
      <c r="C3436" s="2">
        <v>38579</v>
      </c>
      <c r="D3436">
        <v>20</v>
      </c>
      <c r="E3436" t="s">
        <v>42</v>
      </c>
      <c r="F3436" t="s">
        <v>37</v>
      </c>
      <c r="G3436" s="2">
        <v>45451</v>
      </c>
      <c r="H3436" s="3">
        <f t="shared" si="53"/>
        <v>1.6958904109589041</v>
      </c>
      <c r="I3436">
        <v>96</v>
      </c>
      <c r="J3436" t="s">
        <v>57</v>
      </c>
      <c r="K3436" t="s">
        <v>56</v>
      </c>
      <c r="L3436" t="s">
        <v>44</v>
      </c>
      <c r="M3436">
        <v>8.4700000000000006</v>
      </c>
      <c r="T3436" t="s">
        <v>45</v>
      </c>
      <c r="U3436">
        <v>1</v>
      </c>
      <c r="V3436">
        <v>6</v>
      </c>
    </row>
    <row r="3437" spans="1:22" x14ac:dyDescent="0.3">
      <c r="A3437">
        <v>3436</v>
      </c>
      <c r="B3437">
        <v>53843</v>
      </c>
      <c r="C3437" s="2">
        <v>35279</v>
      </c>
      <c r="D3437">
        <v>29</v>
      </c>
      <c r="E3437" t="s">
        <v>36</v>
      </c>
      <c r="F3437" t="s">
        <v>50</v>
      </c>
      <c r="G3437" s="2">
        <v>45403</v>
      </c>
      <c r="H3437" s="3">
        <f t="shared" si="53"/>
        <v>1.8438356164383563</v>
      </c>
      <c r="I3437">
        <v>101</v>
      </c>
      <c r="J3437" t="s">
        <v>57</v>
      </c>
      <c r="K3437" t="s">
        <v>55</v>
      </c>
      <c r="L3437" t="s">
        <v>44</v>
      </c>
      <c r="M3437">
        <v>17.59</v>
      </c>
      <c r="T3437" t="s">
        <v>45</v>
      </c>
      <c r="U3437">
        <v>0</v>
      </c>
      <c r="V3437">
        <v>5</v>
      </c>
    </row>
    <row r="3438" spans="1:22" x14ac:dyDescent="0.3">
      <c r="A3438">
        <v>3437</v>
      </c>
      <c r="B3438">
        <v>53844</v>
      </c>
      <c r="C3438" s="2">
        <v>36674</v>
      </c>
      <c r="D3438">
        <v>25</v>
      </c>
      <c r="E3438" t="s">
        <v>42</v>
      </c>
      <c r="F3438" t="s">
        <v>37</v>
      </c>
      <c r="G3438" s="2">
        <v>45349</v>
      </c>
      <c r="H3438" s="3">
        <f t="shared" si="53"/>
        <v>1.441095890410959</v>
      </c>
      <c r="I3438">
        <v>107</v>
      </c>
      <c r="J3438" t="s">
        <v>57</v>
      </c>
      <c r="K3438" t="s">
        <v>56</v>
      </c>
      <c r="L3438" t="s">
        <v>44</v>
      </c>
      <c r="M3438">
        <v>8.4700000000000006</v>
      </c>
      <c r="T3438" t="s">
        <v>52</v>
      </c>
      <c r="U3438">
        <v>1</v>
      </c>
      <c r="V3438">
        <v>7</v>
      </c>
    </row>
    <row r="3439" spans="1:22" x14ac:dyDescent="0.3">
      <c r="A3439">
        <v>3438</v>
      </c>
      <c r="B3439">
        <v>53845</v>
      </c>
      <c r="C3439" s="2">
        <v>37682</v>
      </c>
      <c r="D3439">
        <v>22</v>
      </c>
      <c r="E3439" t="s">
        <v>36</v>
      </c>
      <c r="F3439" t="s">
        <v>37</v>
      </c>
      <c r="G3439" s="2">
        <v>45496</v>
      </c>
      <c r="H3439" s="3">
        <f t="shared" si="53"/>
        <v>1.1260273972602739</v>
      </c>
      <c r="I3439">
        <v>109</v>
      </c>
      <c r="J3439" t="s">
        <v>57</v>
      </c>
      <c r="K3439" t="s">
        <v>56</v>
      </c>
      <c r="L3439" t="s">
        <v>44</v>
      </c>
      <c r="M3439">
        <v>8.4700000000000006</v>
      </c>
      <c r="T3439" t="s">
        <v>52</v>
      </c>
      <c r="U3439">
        <v>2</v>
      </c>
      <c r="V3439">
        <v>5</v>
      </c>
    </row>
    <row r="3440" spans="1:22" x14ac:dyDescent="0.3">
      <c r="A3440">
        <v>3439</v>
      </c>
      <c r="B3440">
        <v>53846</v>
      </c>
      <c r="C3440" s="2">
        <v>37216</v>
      </c>
      <c r="D3440">
        <v>24</v>
      </c>
      <c r="E3440" t="s">
        <v>42</v>
      </c>
      <c r="F3440" t="s">
        <v>50</v>
      </c>
      <c r="G3440" s="2">
        <v>45611</v>
      </c>
      <c r="H3440" s="3">
        <f t="shared" si="53"/>
        <v>1.6136986301369862</v>
      </c>
      <c r="I3440">
        <v>109</v>
      </c>
      <c r="J3440" t="s">
        <v>57</v>
      </c>
      <c r="K3440" t="s">
        <v>56</v>
      </c>
      <c r="L3440" t="s">
        <v>44</v>
      </c>
      <c r="M3440">
        <v>8.4700000000000006</v>
      </c>
      <c r="T3440" t="s">
        <v>49</v>
      </c>
      <c r="U3440">
        <v>1</v>
      </c>
      <c r="V3440">
        <v>5</v>
      </c>
    </row>
    <row r="3441" spans="1:22" x14ac:dyDescent="0.3">
      <c r="A3441">
        <v>3440</v>
      </c>
      <c r="B3441">
        <v>53847</v>
      </c>
      <c r="C3441" s="2">
        <v>37423</v>
      </c>
      <c r="D3441">
        <v>23</v>
      </c>
      <c r="E3441" t="s">
        <v>42</v>
      </c>
      <c r="F3441" t="s">
        <v>37</v>
      </c>
      <c r="G3441" s="2">
        <v>45433</v>
      </c>
      <c r="H3441" s="3">
        <f t="shared" si="53"/>
        <v>1.3616438356164384</v>
      </c>
      <c r="I3441">
        <v>111</v>
      </c>
      <c r="J3441" t="s">
        <v>57</v>
      </c>
      <c r="K3441" t="s">
        <v>56</v>
      </c>
      <c r="L3441" t="s">
        <v>44</v>
      </c>
      <c r="M3441">
        <v>8.4700000000000006</v>
      </c>
      <c r="T3441" t="s">
        <v>47</v>
      </c>
      <c r="U3441">
        <v>4</v>
      </c>
      <c r="V3441">
        <v>6</v>
      </c>
    </row>
    <row r="3442" spans="1:22" x14ac:dyDescent="0.3">
      <c r="A3442">
        <v>3441</v>
      </c>
      <c r="B3442">
        <v>53848</v>
      </c>
      <c r="C3442" s="2">
        <v>37848</v>
      </c>
      <c r="D3442">
        <v>22</v>
      </c>
      <c r="E3442" t="s">
        <v>42</v>
      </c>
      <c r="F3442" t="s">
        <v>37</v>
      </c>
      <c r="G3442" s="2">
        <v>45525</v>
      </c>
      <c r="H3442" s="3">
        <f t="shared" si="53"/>
        <v>1.7287671232876711</v>
      </c>
      <c r="I3442">
        <v>117</v>
      </c>
      <c r="J3442" t="s">
        <v>57</v>
      </c>
      <c r="K3442" t="s">
        <v>56</v>
      </c>
      <c r="L3442" t="s">
        <v>44</v>
      </c>
      <c r="M3442">
        <v>8.4700000000000006</v>
      </c>
      <c r="T3442" t="s">
        <v>52</v>
      </c>
      <c r="U3442">
        <v>3</v>
      </c>
      <c r="V3442">
        <v>6</v>
      </c>
    </row>
    <row r="3443" spans="1:22" x14ac:dyDescent="0.3">
      <c r="A3443">
        <v>3442</v>
      </c>
      <c r="B3443">
        <v>53849</v>
      </c>
      <c r="C3443" s="2">
        <v>36084</v>
      </c>
      <c r="D3443">
        <v>27</v>
      </c>
      <c r="E3443" t="s">
        <v>42</v>
      </c>
      <c r="F3443" t="s">
        <v>50</v>
      </c>
      <c r="G3443" s="2">
        <v>45391</v>
      </c>
      <c r="H3443" s="3">
        <f t="shared" si="53"/>
        <v>1.1205479452054794</v>
      </c>
      <c r="I3443">
        <v>122</v>
      </c>
      <c r="J3443" t="s">
        <v>57</v>
      </c>
      <c r="K3443" t="s">
        <v>56</v>
      </c>
      <c r="L3443" t="s">
        <v>44</v>
      </c>
      <c r="M3443">
        <v>8.4700000000000006</v>
      </c>
      <c r="T3443" t="s">
        <v>49</v>
      </c>
      <c r="U3443">
        <v>0</v>
      </c>
      <c r="V3443">
        <v>5</v>
      </c>
    </row>
    <row r="3444" spans="1:22" x14ac:dyDescent="0.3">
      <c r="A3444">
        <v>3443</v>
      </c>
      <c r="B3444">
        <v>53850</v>
      </c>
      <c r="C3444" s="2">
        <v>38504</v>
      </c>
      <c r="D3444">
        <v>21</v>
      </c>
      <c r="E3444" t="s">
        <v>42</v>
      </c>
      <c r="F3444" t="s">
        <v>37</v>
      </c>
      <c r="G3444" s="2">
        <v>45613</v>
      </c>
      <c r="H3444" s="3">
        <f t="shared" si="53"/>
        <v>1.0082191780821919</v>
      </c>
      <c r="I3444">
        <v>139</v>
      </c>
      <c r="J3444" t="s">
        <v>57</v>
      </c>
      <c r="K3444" t="s">
        <v>56</v>
      </c>
      <c r="L3444" t="s">
        <v>44</v>
      </c>
      <c r="M3444">
        <v>8.4700000000000006</v>
      </c>
      <c r="T3444" t="s">
        <v>47</v>
      </c>
      <c r="U3444">
        <v>0</v>
      </c>
      <c r="V3444">
        <v>5</v>
      </c>
    </row>
    <row r="3445" spans="1:22" x14ac:dyDescent="0.3">
      <c r="A3445">
        <v>3444</v>
      </c>
      <c r="B3445">
        <v>53851</v>
      </c>
      <c r="C3445" s="2">
        <v>36445</v>
      </c>
      <c r="D3445">
        <v>26</v>
      </c>
      <c r="E3445" t="s">
        <v>42</v>
      </c>
      <c r="F3445" t="s">
        <v>37</v>
      </c>
      <c r="G3445" s="2">
        <v>45654</v>
      </c>
      <c r="H3445" s="3">
        <f t="shared" si="53"/>
        <v>1.2712328767123289</v>
      </c>
      <c r="I3445">
        <v>140</v>
      </c>
      <c r="J3445" t="s">
        <v>57</v>
      </c>
      <c r="K3445" t="s">
        <v>56</v>
      </c>
      <c r="L3445" t="s">
        <v>44</v>
      </c>
      <c r="M3445">
        <v>8.4700000000000006</v>
      </c>
      <c r="T3445" t="s">
        <v>49</v>
      </c>
      <c r="U3445">
        <v>3</v>
      </c>
      <c r="V3445">
        <v>6</v>
      </c>
    </row>
    <row r="3446" spans="1:22" x14ac:dyDescent="0.3">
      <c r="A3446">
        <v>3445</v>
      </c>
      <c r="B3446">
        <v>53852</v>
      </c>
      <c r="C3446" s="2">
        <v>38474</v>
      </c>
      <c r="D3446">
        <v>20</v>
      </c>
      <c r="E3446" t="s">
        <v>42</v>
      </c>
      <c r="F3446" t="s">
        <v>50</v>
      </c>
      <c r="G3446" s="2">
        <v>45558</v>
      </c>
      <c r="H3446" s="3">
        <f t="shared" si="53"/>
        <v>1.3342465753424657</v>
      </c>
      <c r="I3446">
        <v>145</v>
      </c>
      <c r="J3446" t="s">
        <v>57</v>
      </c>
      <c r="K3446" t="s">
        <v>65</v>
      </c>
      <c r="L3446" t="s">
        <v>44</v>
      </c>
      <c r="M3446">
        <v>10.64</v>
      </c>
      <c r="T3446" t="s">
        <v>45</v>
      </c>
      <c r="U3446">
        <v>0</v>
      </c>
      <c r="V3446">
        <v>5</v>
      </c>
    </row>
    <row r="3447" spans="1:22" x14ac:dyDescent="0.3">
      <c r="A3447">
        <v>3446</v>
      </c>
      <c r="B3447">
        <v>53853</v>
      </c>
      <c r="C3447" s="2">
        <v>33271</v>
      </c>
      <c r="D3447">
        <v>34</v>
      </c>
      <c r="E3447" t="s">
        <v>42</v>
      </c>
      <c r="F3447" t="s">
        <v>50</v>
      </c>
      <c r="G3447" s="2">
        <v>45535</v>
      </c>
      <c r="H3447" s="3">
        <f t="shared" si="53"/>
        <v>1.1452054794520548</v>
      </c>
      <c r="I3447">
        <v>68</v>
      </c>
      <c r="J3447" t="s">
        <v>57</v>
      </c>
      <c r="K3447" t="s">
        <v>55</v>
      </c>
      <c r="L3447" t="s">
        <v>44</v>
      </c>
      <c r="M3447">
        <v>17.59</v>
      </c>
      <c r="T3447" t="s">
        <v>49</v>
      </c>
      <c r="U3447">
        <v>2</v>
      </c>
      <c r="V3447">
        <v>7</v>
      </c>
    </row>
    <row r="3448" spans="1:22" x14ac:dyDescent="0.3">
      <c r="A3448">
        <v>3447</v>
      </c>
      <c r="B3448">
        <v>53854</v>
      </c>
      <c r="C3448" s="2">
        <v>38998</v>
      </c>
      <c r="D3448">
        <v>19</v>
      </c>
      <c r="E3448" t="s">
        <v>42</v>
      </c>
      <c r="F3448" t="s">
        <v>37</v>
      </c>
      <c r="G3448" s="2">
        <v>45604</v>
      </c>
      <c r="H3448" s="3">
        <f t="shared" si="53"/>
        <v>1.3479452054794521</v>
      </c>
      <c r="I3448">
        <v>18</v>
      </c>
      <c r="J3448" t="s">
        <v>38</v>
      </c>
      <c r="K3448" t="s">
        <v>64</v>
      </c>
      <c r="L3448" t="s">
        <v>44</v>
      </c>
      <c r="M3448">
        <v>14.07</v>
      </c>
      <c r="T3448" t="s">
        <v>47</v>
      </c>
      <c r="U3448">
        <v>1</v>
      </c>
      <c r="V3448">
        <v>7</v>
      </c>
    </row>
    <row r="3449" spans="1:22" x14ac:dyDescent="0.3">
      <c r="A3449">
        <v>3448</v>
      </c>
      <c r="B3449">
        <v>53855</v>
      </c>
      <c r="C3449" s="2">
        <v>36764</v>
      </c>
      <c r="D3449">
        <v>25</v>
      </c>
      <c r="E3449" t="s">
        <v>36</v>
      </c>
      <c r="F3449" t="s">
        <v>37</v>
      </c>
      <c r="G3449" s="2">
        <v>45530</v>
      </c>
      <c r="H3449" s="3">
        <f t="shared" si="53"/>
        <v>1.0410958904109588</v>
      </c>
      <c r="I3449">
        <v>40</v>
      </c>
      <c r="J3449" t="s">
        <v>38</v>
      </c>
      <c r="K3449" t="s">
        <v>55</v>
      </c>
      <c r="L3449" t="s">
        <v>44</v>
      </c>
      <c r="M3449">
        <v>17.59</v>
      </c>
      <c r="T3449" t="s">
        <v>52</v>
      </c>
      <c r="U3449">
        <v>2</v>
      </c>
      <c r="V3449">
        <v>3</v>
      </c>
    </row>
    <row r="3450" spans="1:22" x14ac:dyDescent="0.3">
      <c r="A3450">
        <v>3449</v>
      </c>
      <c r="B3450">
        <v>53856</v>
      </c>
      <c r="C3450" s="2">
        <v>36830</v>
      </c>
      <c r="D3450">
        <v>25</v>
      </c>
      <c r="E3450" t="s">
        <v>42</v>
      </c>
      <c r="F3450" t="s">
        <v>50</v>
      </c>
      <c r="G3450" s="2">
        <v>45642</v>
      </c>
      <c r="H3450" s="3">
        <f t="shared" si="53"/>
        <v>1.6356164383561644</v>
      </c>
      <c r="I3450">
        <v>111</v>
      </c>
      <c r="J3450" t="s">
        <v>57</v>
      </c>
      <c r="K3450" t="s">
        <v>55</v>
      </c>
      <c r="L3450" t="s">
        <v>44</v>
      </c>
      <c r="M3450">
        <v>17.59</v>
      </c>
      <c r="T3450" t="s">
        <v>49</v>
      </c>
      <c r="U3450">
        <v>2</v>
      </c>
      <c r="V3450">
        <v>6</v>
      </c>
    </row>
    <row r="3451" spans="1:22" x14ac:dyDescent="0.3">
      <c r="A3451">
        <v>3450</v>
      </c>
      <c r="B3451">
        <v>53857</v>
      </c>
      <c r="C3451" s="2">
        <v>37429</v>
      </c>
      <c r="D3451">
        <v>23</v>
      </c>
      <c r="E3451" t="s">
        <v>42</v>
      </c>
      <c r="F3451" t="s">
        <v>37</v>
      </c>
      <c r="G3451" s="2">
        <v>45425</v>
      </c>
      <c r="H3451" s="3">
        <f t="shared" si="53"/>
        <v>1.3671232876712329</v>
      </c>
      <c r="I3451">
        <v>18</v>
      </c>
      <c r="J3451" t="s">
        <v>38</v>
      </c>
      <c r="K3451" t="s">
        <v>55</v>
      </c>
      <c r="L3451" t="s">
        <v>44</v>
      </c>
      <c r="M3451">
        <v>17.59</v>
      </c>
      <c r="T3451" t="s">
        <v>52</v>
      </c>
      <c r="U3451">
        <v>3</v>
      </c>
      <c r="V3451">
        <v>6</v>
      </c>
    </row>
    <row r="3452" spans="1:22" x14ac:dyDescent="0.3">
      <c r="A3452">
        <v>3451</v>
      </c>
      <c r="B3452">
        <v>53858</v>
      </c>
      <c r="C3452" s="2">
        <v>37108</v>
      </c>
      <c r="D3452">
        <v>24</v>
      </c>
      <c r="E3452" t="s">
        <v>42</v>
      </c>
      <c r="F3452" t="s">
        <v>50</v>
      </c>
      <c r="G3452" s="2">
        <v>45523</v>
      </c>
      <c r="H3452" s="3">
        <f t="shared" si="53"/>
        <v>1.4657534246575343</v>
      </c>
      <c r="I3452">
        <v>30</v>
      </c>
      <c r="J3452" t="s">
        <v>38</v>
      </c>
      <c r="K3452" t="s">
        <v>55</v>
      </c>
      <c r="L3452" t="s">
        <v>44</v>
      </c>
      <c r="M3452">
        <v>17.59</v>
      </c>
      <c r="T3452" t="s">
        <v>47</v>
      </c>
      <c r="U3452">
        <v>2</v>
      </c>
      <c r="V3452">
        <v>5</v>
      </c>
    </row>
    <row r="3453" spans="1:22" x14ac:dyDescent="0.3">
      <c r="A3453">
        <v>3452</v>
      </c>
      <c r="B3453">
        <v>53859</v>
      </c>
      <c r="C3453" s="2">
        <v>37015</v>
      </c>
      <c r="D3453">
        <v>24</v>
      </c>
      <c r="E3453" t="s">
        <v>36</v>
      </c>
      <c r="F3453" t="s">
        <v>50</v>
      </c>
      <c r="G3453" s="2">
        <v>45487</v>
      </c>
      <c r="H3453" s="3">
        <f t="shared" si="53"/>
        <v>1.7123287671232876</v>
      </c>
      <c r="I3453">
        <v>86</v>
      </c>
      <c r="J3453" t="s">
        <v>57</v>
      </c>
      <c r="K3453" t="s">
        <v>54</v>
      </c>
      <c r="L3453" t="s">
        <v>44</v>
      </c>
      <c r="M3453">
        <v>23.78</v>
      </c>
      <c r="T3453" t="s">
        <v>52</v>
      </c>
      <c r="U3453">
        <v>5</v>
      </c>
      <c r="V3453">
        <v>6</v>
      </c>
    </row>
    <row r="3454" spans="1:22" x14ac:dyDescent="0.3">
      <c r="A3454">
        <v>3453</v>
      </c>
      <c r="B3454">
        <v>53860</v>
      </c>
      <c r="C3454" s="2">
        <v>35692</v>
      </c>
      <c r="D3454">
        <v>28</v>
      </c>
      <c r="E3454" t="s">
        <v>42</v>
      </c>
      <c r="F3454" t="s">
        <v>50</v>
      </c>
      <c r="G3454" s="2">
        <v>45397</v>
      </c>
      <c r="H3454" s="3">
        <f t="shared" si="53"/>
        <v>1.1013698630136985</v>
      </c>
      <c r="I3454">
        <v>97</v>
      </c>
      <c r="J3454" t="s">
        <v>57</v>
      </c>
      <c r="K3454" t="s">
        <v>43</v>
      </c>
      <c r="L3454" t="s">
        <v>44</v>
      </c>
      <c r="M3454">
        <v>16.37</v>
      </c>
      <c r="T3454" t="s">
        <v>45</v>
      </c>
      <c r="U3454">
        <v>2</v>
      </c>
      <c r="V3454">
        <v>7</v>
      </c>
    </row>
    <row r="3455" spans="1:22" x14ac:dyDescent="0.3">
      <c r="A3455">
        <v>3454</v>
      </c>
      <c r="B3455">
        <v>53861</v>
      </c>
      <c r="C3455" s="2">
        <v>33110</v>
      </c>
      <c r="D3455">
        <v>35</v>
      </c>
      <c r="E3455" t="s">
        <v>36</v>
      </c>
      <c r="F3455" t="s">
        <v>50</v>
      </c>
      <c r="G3455" s="2">
        <v>45620</v>
      </c>
      <c r="H3455" s="3">
        <f t="shared" si="53"/>
        <v>1.3205479452054794</v>
      </c>
      <c r="I3455">
        <v>130</v>
      </c>
      <c r="J3455" t="s">
        <v>57</v>
      </c>
      <c r="K3455" t="s">
        <v>54</v>
      </c>
      <c r="L3455" t="s">
        <v>44</v>
      </c>
      <c r="M3455">
        <v>23.78</v>
      </c>
      <c r="T3455" t="s">
        <v>52</v>
      </c>
      <c r="U3455">
        <v>4</v>
      </c>
      <c r="V3455">
        <v>4</v>
      </c>
    </row>
    <row r="3456" spans="1:22" x14ac:dyDescent="0.3">
      <c r="A3456">
        <v>3455</v>
      </c>
      <c r="B3456">
        <v>53864</v>
      </c>
      <c r="C3456" s="2">
        <v>35101</v>
      </c>
      <c r="D3456">
        <v>29</v>
      </c>
      <c r="E3456" t="s">
        <v>42</v>
      </c>
      <c r="F3456" t="s">
        <v>50</v>
      </c>
      <c r="G3456" s="2">
        <v>45540</v>
      </c>
      <c r="H3456" s="3">
        <f t="shared" si="53"/>
        <v>1.0383561643835617</v>
      </c>
      <c r="I3456">
        <v>46</v>
      </c>
      <c r="J3456" t="s">
        <v>38</v>
      </c>
      <c r="K3456" t="s">
        <v>56</v>
      </c>
      <c r="L3456" t="s">
        <v>44</v>
      </c>
      <c r="M3456">
        <v>8.4700000000000006</v>
      </c>
      <c r="T3456" t="s">
        <v>52</v>
      </c>
      <c r="U3456">
        <v>2</v>
      </c>
      <c r="V3456">
        <v>6</v>
      </c>
    </row>
    <row r="3457" spans="1:22" x14ac:dyDescent="0.3">
      <c r="A3457">
        <v>3456</v>
      </c>
      <c r="B3457">
        <v>53865</v>
      </c>
      <c r="C3457" s="2">
        <v>36255</v>
      </c>
      <c r="D3457">
        <v>26</v>
      </c>
      <c r="E3457" t="s">
        <v>42</v>
      </c>
      <c r="F3457" t="s">
        <v>50</v>
      </c>
      <c r="G3457" s="2">
        <v>45643</v>
      </c>
      <c r="H3457" s="3">
        <f t="shared" si="53"/>
        <v>1.484931506849315</v>
      </c>
      <c r="I3457">
        <v>62</v>
      </c>
      <c r="J3457" t="s">
        <v>38</v>
      </c>
      <c r="K3457" t="s">
        <v>55</v>
      </c>
      <c r="L3457" t="s">
        <v>44</v>
      </c>
      <c r="M3457">
        <v>17.59</v>
      </c>
      <c r="T3457" t="s">
        <v>47</v>
      </c>
      <c r="U3457">
        <v>2</v>
      </c>
      <c r="V3457">
        <v>6</v>
      </c>
    </row>
    <row r="3458" spans="1:22" x14ac:dyDescent="0.3">
      <c r="A3458">
        <v>3457</v>
      </c>
      <c r="B3458">
        <v>53866</v>
      </c>
      <c r="C3458" s="2">
        <v>34159</v>
      </c>
      <c r="D3458">
        <v>32</v>
      </c>
      <c r="E3458" t="s">
        <v>42</v>
      </c>
      <c r="F3458" t="s">
        <v>50</v>
      </c>
      <c r="G3458" s="2">
        <v>45480</v>
      </c>
      <c r="H3458" s="3">
        <f t="shared" si="53"/>
        <v>1.6493150684931508</v>
      </c>
      <c r="I3458">
        <v>117</v>
      </c>
      <c r="J3458" t="s">
        <v>57</v>
      </c>
      <c r="K3458" t="s">
        <v>56</v>
      </c>
      <c r="L3458" t="s">
        <v>44</v>
      </c>
      <c r="M3458">
        <v>8.4700000000000006</v>
      </c>
      <c r="T3458" t="s">
        <v>47</v>
      </c>
      <c r="U3458">
        <v>4</v>
      </c>
      <c r="V3458">
        <v>6</v>
      </c>
    </row>
    <row r="3459" spans="1:22" x14ac:dyDescent="0.3">
      <c r="A3459">
        <v>3458</v>
      </c>
      <c r="B3459">
        <v>53868</v>
      </c>
      <c r="C3459" s="2">
        <v>36759</v>
      </c>
      <c r="D3459">
        <v>25</v>
      </c>
      <c r="E3459" t="s">
        <v>36</v>
      </c>
      <c r="F3459" t="s">
        <v>37</v>
      </c>
      <c r="G3459" s="2">
        <v>45420</v>
      </c>
      <c r="H3459" s="3">
        <f t="shared" ref="H3459:H3522" si="54">DATEDIF(G3460,DATE(2025,12,31),"d")/365</f>
        <v>1.021917808219178</v>
      </c>
      <c r="I3459">
        <v>141</v>
      </c>
      <c r="J3459" t="s">
        <v>57</v>
      </c>
      <c r="K3459" t="s">
        <v>65</v>
      </c>
      <c r="L3459" t="s">
        <v>44</v>
      </c>
      <c r="M3459">
        <v>10.64</v>
      </c>
      <c r="T3459" t="s">
        <v>45</v>
      </c>
      <c r="U3459">
        <v>1</v>
      </c>
      <c r="V3459">
        <v>4</v>
      </c>
    </row>
    <row r="3460" spans="1:22" x14ac:dyDescent="0.3">
      <c r="A3460">
        <v>3459</v>
      </c>
      <c r="B3460">
        <v>53869</v>
      </c>
      <c r="C3460" s="2">
        <v>35114</v>
      </c>
      <c r="D3460">
        <v>29</v>
      </c>
      <c r="E3460" t="s">
        <v>36</v>
      </c>
      <c r="F3460" t="s">
        <v>50</v>
      </c>
      <c r="G3460" s="2">
        <v>45649</v>
      </c>
      <c r="H3460" s="3">
        <f t="shared" si="54"/>
        <v>1.5863013698630137</v>
      </c>
      <c r="I3460">
        <v>2</v>
      </c>
      <c r="J3460" t="s">
        <v>38</v>
      </c>
      <c r="K3460" t="s">
        <v>55</v>
      </c>
      <c r="L3460" t="s">
        <v>44</v>
      </c>
      <c r="M3460">
        <v>17.59</v>
      </c>
      <c r="T3460" t="s">
        <v>47</v>
      </c>
      <c r="U3460">
        <v>2</v>
      </c>
      <c r="V3460">
        <v>4</v>
      </c>
    </row>
    <row r="3461" spans="1:22" x14ac:dyDescent="0.3">
      <c r="A3461">
        <v>3460</v>
      </c>
      <c r="B3461">
        <v>53870</v>
      </c>
      <c r="C3461" s="2">
        <v>37683</v>
      </c>
      <c r="D3461">
        <v>22</v>
      </c>
      <c r="E3461" t="s">
        <v>42</v>
      </c>
      <c r="F3461" t="s">
        <v>50</v>
      </c>
      <c r="G3461" s="2">
        <v>45443</v>
      </c>
      <c r="H3461" s="3">
        <f t="shared" si="54"/>
        <v>1.7506849315068493</v>
      </c>
      <c r="I3461">
        <v>58</v>
      </c>
      <c r="J3461" t="s">
        <v>38</v>
      </c>
      <c r="K3461" t="s">
        <v>56</v>
      </c>
      <c r="L3461" t="s">
        <v>44</v>
      </c>
      <c r="M3461">
        <v>8.4700000000000006</v>
      </c>
      <c r="T3461" t="s">
        <v>49</v>
      </c>
      <c r="U3461">
        <v>3</v>
      </c>
      <c r="V3461">
        <v>6</v>
      </c>
    </row>
    <row r="3462" spans="1:22" x14ac:dyDescent="0.3">
      <c r="A3462">
        <v>3461</v>
      </c>
      <c r="B3462">
        <v>53871</v>
      </c>
      <c r="C3462" s="2">
        <v>38099</v>
      </c>
      <c r="D3462">
        <v>21</v>
      </c>
      <c r="E3462" t="s">
        <v>42</v>
      </c>
      <c r="F3462" t="s">
        <v>50</v>
      </c>
      <c r="G3462" s="2">
        <v>45383</v>
      </c>
      <c r="H3462" s="3">
        <f t="shared" si="54"/>
        <v>1.1397260273972603</v>
      </c>
      <c r="I3462">
        <v>85</v>
      </c>
      <c r="J3462" t="s">
        <v>57</v>
      </c>
      <c r="K3462" t="s">
        <v>64</v>
      </c>
      <c r="L3462" t="s">
        <v>44</v>
      </c>
      <c r="M3462">
        <v>14.07</v>
      </c>
      <c r="T3462" t="s">
        <v>45</v>
      </c>
      <c r="U3462">
        <v>0</v>
      </c>
      <c r="V3462">
        <v>5</v>
      </c>
    </row>
    <row r="3463" spans="1:22" x14ac:dyDescent="0.3">
      <c r="A3463">
        <v>3462</v>
      </c>
      <c r="B3463">
        <v>53872</v>
      </c>
      <c r="C3463" s="2">
        <v>38281</v>
      </c>
      <c r="D3463">
        <v>21</v>
      </c>
      <c r="E3463" t="s">
        <v>36</v>
      </c>
      <c r="F3463" t="s">
        <v>50</v>
      </c>
      <c r="G3463" s="2">
        <v>45606</v>
      </c>
      <c r="H3463" s="3">
        <f t="shared" si="54"/>
        <v>1.0602739726027397</v>
      </c>
      <c r="I3463">
        <v>2</v>
      </c>
      <c r="J3463" t="s">
        <v>38</v>
      </c>
      <c r="K3463" t="s">
        <v>65</v>
      </c>
      <c r="L3463" t="s">
        <v>44</v>
      </c>
      <c r="M3463">
        <v>10.64</v>
      </c>
      <c r="T3463" t="s">
        <v>47</v>
      </c>
      <c r="U3463">
        <v>0</v>
      </c>
      <c r="V3463">
        <v>5</v>
      </c>
    </row>
    <row r="3464" spans="1:22" x14ac:dyDescent="0.3">
      <c r="A3464">
        <v>3463</v>
      </c>
      <c r="B3464">
        <v>53873</v>
      </c>
      <c r="C3464" s="2">
        <v>37136</v>
      </c>
      <c r="D3464">
        <v>24</v>
      </c>
      <c r="E3464" t="s">
        <v>42</v>
      </c>
      <c r="F3464" t="s">
        <v>37</v>
      </c>
      <c r="G3464" s="2">
        <v>45635</v>
      </c>
      <c r="H3464" s="3">
        <f t="shared" si="54"/>
        <v>1.2547945205479452</v>
      </c>
      <c r="I3464">
        <v>23</v>
      </c>
      <c r="J3464" t="s">
        <v>38</v>
      </c>
      <c r="K3464" t="s">
        <v>55</v>
      </c>
      <c r="L3464" t="s">
        <v>44</v>
      </c>
      <c r="M3464">
        <v>17.59</v>
      </c>
      <c r="T3464" t="s">
        <v>49</v>
      </c>
      <c r="U3464">
        <v>1</v>
      </c>
      <c r="V3464">
        <v>6</v>
      </c>
    </row>
    <row r="3465" spans="1:22" x14ac:dyDescent="0.3">
      <c r="A3465">
        <v>3464</v>
      </c>
      <c r="B3465">
        <v>53874</v>
      </c>
      <c r="C3465" s="2">
        <v>37778</v>
      </c>
      <c r="D3465">
        <v>22</v>
      </c>
      <c r="E3465" t="s">
        <v>42</v>
      </c>
      <c r="F3465" t="s">
        <v>50</v>
      </c>
      <c r="G3465" s="2">
        <v>45564</v>
      </c>
      <c r="H3465" s="3">
        <f t="shared" si="54"/>
        <v>1.021917808219178</v>
      </c>
      <c r="I3465">
        <v>30</v>
      </c>
      <c r="J3465" t="s">
        <v>38</v>
      </c>
      <c r="K3465" t="s">
        <v>56</v>
      </c>
      <c r="L3465" t="s">
        <v>44</v>
      </c>
      <c r="M3465">
        <v>8.4700000000000006</v>
      </c>
      <c r="T3465" t="s">
        <v>47</v>
      </c>
      <c r="U3465">
        <v>1</v>
      </c>
      <c r="V3465">
        <v>5</v>
      </c>
    </row>
    <row r="3466" spans="1:22" x14ac:dyDescent="0.3">
      <c r="A3466">
        <v>3465</v>
      </c>
      <c r="B3466">
        <v>53875</v>
      </c>
      <c r="C3466" s="2">
        <v>31648</v>
      </c>
      <c r="D3466">
        <v>39</v>
      </c>
      <c r="E3466" t="s">
        <v>36</v>
      </c>
      <c r="F3466" t="s">
        <v>37</v>
      </c>
      <c r="G3466" s="2">
        <v>45649</v>
      </c>
      <c r="H3466" s="3">
        <f t="shared" si="54"/>
        <v>1.2246575342465753</v>
      </c>
      <c r="I3466">
        <v>101</v>
      </c>
      <c r="J3466" t="s">
        <v>57</v>
      </c>
      <c r="K3466" t="s">
        <v>54</v>
      </c>
      <c r="L3466" t="s">
        <v>44</v>
      </c>
      <c r="M3466">
        <v>23.78</v>
      </c>
      <c r="T3466" t="s">
        <v>45</v>
      </c>
      <c r="U3466">
        <v>7</v>
      </c>
      <c r="V3466">
        <v>5</v>
      </c>
    </row>
    <row r="3467" spans="1:22" x14ac:dyDescent="0.3">
      <c r="A3467">
        <v>3466</v>
      </c>
      <c r="B3467">
        <v>53876</v>
      </c>
      <c r="C3467" s="2">
        <v>36738</v>
      </c>
      <c r="D3467">
        <v>25</v>
      </c>
      <c r="E3467" t="s">
        <v>42</v>
      </c>
      <c r="F3467" t="s">
        <v>37</v>
      </c>
      <c r="G3467" s="2">
        <v>45575</v>
      </c>
      <c r="H3467" s="3">
        <f t="shared" si="54"/>
        <v>1.6136986301369862</v>
      </c>
      <c r="I3467">
        <v>136</v>
      </c>
      <c r="J3467" t="s">
        <v>57</v>
      </c>
      <c r="K3467" t="s">
        <v>68</v>
      </c>
      <c r="L3467" t="s">
        <v>44</v>
      </c>
      <c r="M3467">
        <v>17</v>
      </c>
      <c r="T3467" t="s">
        <v>45</v>
      </c>
      <c r="U3467">
        <v>2</v>
      </c>
      <c r="V3467">
        <v>6</v>
      </c>
    </row>
    <row r="3468" spans="1:22" x14ac:dyDescent="0.3">
      <c r="A3468">
        <v>3467</v>
      </c>
      <c r="B3468">
        <v>53877</v>
      </c>
      <c r="C3468" s="2">
        <v>36803</v>
      </c>
      <c r="D3468">
        <v>25</v>
      </c>
      <c r="E3468" t="s">
        <v>36</v>
      </c>
      <c r="F3468" t="s">
        <v>50</v>
      </c>
      <c r="G3468" s="2">
        <v>45433</v>
      </c>
      <c r="H3468" s="3">
        <f t="shared" si="54"/>
        <v>1.4602739726027398</v>
      </c>
      <c r="I3468">
        <v>17</v>
      </c>
      <c r="J3468" t="s">
        <v>38</v>
      </c>
      <c r="K3468" t="s">
        <v>55</v>
      </c>
      <c r="L3468" t="s">
        <v>44</v>
      </c>
      <c r="M3468">
        <v>17.59</v>
      </c>
      <c r="T3468" t="s">
        <v>52</v>
      </c>
      <c r="U3468">
        <v>1</v>
      </c>
      <c r="V3468">
        <v>4</v>
      </c>
    </row>
    <row r="3469" spans="1:22" x14ac:dyDescent="0.3">
      <c r="A3469">
        <v>3468</v>
      </c>
      <c r="B3469">
        <v>53878</v>
      </c>
      <c r="C3469" s="2">
        <v>34651</v>
      </c>
      <c r="D3469">
        <v>31</v>
      </c>
      <c r="E3469" t="s">
        <v>36</v>
      </c>
      <c r="F3469" t="s">
        <v>50</v>
      </c>
      <c r="G3469" s="2">
        <v>45489</v>
      </c>
      <c r="H3469" s="3">
        <f t="shared" si="54"/>
        <v>1.0657534246575342</v>
      </c>
      <c r="I3469">
        <v>31</v>
      </c>
      <c r="J3469" t="s">
        <v>38</v>
      </c>
      <c r="K3469" t="s">
        <v>55</v>
      </c>
      <c r="L3469" t="s">
        <v>44</v>
      </c>
      <c r="M3469">
        <v>17.59</v>
      </c>
      <c r="T3469" t="s">
        <v>49</v>
      </c>
      <c r="U3469">
        <v>1</v>
      </c>
      <c r="V3469">
        <v>4</v>
      </c>
    </row>
    <row r="3470" spans="1:22" x14ac:dyDescent="0.3">
      <c r="A3470">
        <v>3469</v>
      </c>
      <c r="B3470">
        <v>53879</v>
      </c>
      <c r="C3470" s="2">
        <v>37553</v>
      </c>
      <c r="D3470">
        <v>23</v>
      </c>
      <c r="E3470" t="s">
        <v>36</v>
      </c>
      <c r="F3470" t="s">
        <v>50</v>
      </c>
      <c r="G3470" s="2">
        <v>45633</v>
      </c>
      <c r="H3470" s="3">
        <f t="shared" si="54"/>
        <v>1.463013698630137</v>
      </c>
      <c r="I3470">
        <v>47</v>
      </c>
      <c r="J3470" t="s">
        <v>38</v>
      </c>
      <c r="K3470" t="s">
        <v>64</v>
      </c>
      <c r="L3470" t="s">
        <v>44</v>
      </c>
      <c r="M3470">
        <v>14.07</v>
      </c>
      <c r="T3470" t="s">
        <v>49</v>
      </c>
      <c r="U3470">
        <v>1</v>
      </c>
      <c r="V3470">
        <v>4</v>
      </c>
    </row>
    <row r="3471" spans="1:22" x14ac:dyDescent="0.3">
      <c r="A3471">
        <v>3470</v>
      </c>
      <c r="B3471">
        <v>53880</v>
      </c>
      <c r="C3471" s="2">
        <v>34013</v>
      </c>
      <c r="D3471">
        <v>32</v>
      </c>
      <c r="E3471" t="s">
        <v>36</v>
      </c>
      <c r="F3471" t="s">
        <v>50</v>
      </c>
      <c r="G3471" s="2">
        <v>45488</v>
      </c>
      <c r="H3471" s="3">
        <f t="shared" si="54"/>
        <v>1.178082191780822</v>
      </c>
      <c r="I3471">
        <v>71</v>
      </c>
      <c r="J3471" t="s">
        <v>57</v>
      </c>
      <c r="K3471" t="s">
        <v>55</v>
      </c>
      <c r="L3471" t="s">
        <v>44</v>
      </c>
      <c r="M3471">
        <v>17.59</v>
      </c>
      <c r="T3471" t="s">
        <v>49</v>
      </c>
      <c r="U3471">
        <v>1</v>
      </c>
      <c r="V3471">
        <v>5</v>
      </c>
    </row>
    <row r="3472" spans="1:22" x14ac:dyDescent="0.3">
      <c r="A3472">
        <v>3471</v>
      </c>
      <c r="B3472">
        <v>53881</v>
      </c>
      <c r="C3472" s="2">
        <v>33248</v>
      </c>
      <c r="D3472">
        <v>34</v>
      </c>
      <c r="E3472" t="s">
        <v>36</v>
      </c>
      <c r="F3472" t="s">
        <v>50</v>
      </c>
      <c r="G3472" s="2">
        <v>45592</v>
      </c>
      <c r="H3472" s="3">
        <f t="shared" si="54"/>
        <v>1.2904109589041095</v>
      </c>
      <c r="I3472">
        <v>85</v>
      </c>
      <c r="J3472" t="s">
        <v>57</v>
      </c>
      <c r="K3472" t="s">
        <v>55</v>
      </c>
      <c r="L3472" t="s">
        <v>44</v>
      </c>
      <c r="M3472">
        <v>17.59</v>
      </c>
      <c r="T3472" t="s">
        <v>52</v>
      </c>
      <c r="U3472">
        <v>4</v>
      </c>
      <c r="V3472">
        <v>6</v>
      </c>
    </row>
    <row r="3473" spans="1:22" x14ac:dyDescent="0.3">
      <c r="A3473">
        <v>3472</v>
      </c>
      <c r="B3473">
        <v>53882</v>
      </c>
      <c r="C3473" s="2">
        <v>38421</v>
      </c>
      <c r="D3473">
        <v>20</v>
      </c>
      <c r="E3473" t="s">
        <v>42</v>
      </c>
      <c r="F3473" t="s">
        <v>37</v>
      </c>
      <c r="G3473" s="2">
        <v>45551</v>
      </c>
      <c r="H3473" s="3">
        <f t="shared" si="54"/>
        <v>1.0794520547945206</v>
      </c>
      <c r="I3473">
        <v>96</v>
      </c>
      <c r="J3473" t="s">
        <v>57</v>
      </c>
      <c r="K3473" t="s">
        <v>43</v>
      </c>
      <c r="L3473" t="s">
        <v>44</v>
      </c>
      <c r="M3473">
        <v>16.37</v>
      </c>
      <c r="T3473" t="s">
        <v>45</v>
      </c>
      <c r="U3473">
        <v>2</v>
      </c>
      <c r="V3473">
        <v>7</v>
      </c>
    </row>
    <row r="3474" spans="1:22" x14ac:dyDescent="0.3">
      <c r="A3474">
        <v>3473</v>
      </c>
      <c r="B3474">
        <v>53884</v>
      </c>
      <c r="C3474" s="2">
        <v>38144</v>
      </c>
      <c r="D3474">
        <v>21</v>
      </c>
      <c r="E3474" t="s">
        <v>42</v>
      </c>
      <c r="F3474" t="s">
        <v>37</v>
      </c>
      <c r="G3474" s="2">
        <v>45628</v>
      </c>
      <c r="H3474" s="3">
        <f t="shared" si="54"/>
        <v>1.2054794520547945</v>
      </c>
      <c r="I3474">
        <v>119</v>
      </c>
      <c r="J3474" t="s">
        <v>57</v>
      </c>
      <c r="K3474" t="s">
        <v>48</v>
      </c>
      <c r="L3474" t="s">
        <v>44</v>
      </c>
      <c r="M3474">
        <v>8.4700000000000006</v>
      </c>
      <c r="T3474" t="s">
        <v>52</v>
      </c>
      <c r="U3474">
        <v>1</v>
      </c>
      <c r="V3474">
        <v>6</v>
      </c>
    </row>
    <row r="3475" spans="1:22" x14ac:dyDescent="0.3">
      <c r="A3475">
        <v>3474</v>
      </c>
      <c r="B3475">
        <v>53885</v>
      </c>
      <c r="C3475" s="2">
        <v>36706</v>
      </c>
      <c r="D3475">
        <v>25</v>
      </c>
      <c r="E3475" t="s">
        <v>42</v>
      </c>
      <c r="F3475" t="s">
        <v>37</v>
      </c>
      <c r="G3475" s="2">
        <v>45582</v>
      </c>
      <c r="H3475" s="3">
        <f t="shared" si="54"/>
        <v>1.0410958904109588</v>
      </c>
      <c r="I3475">
        <v>8</v>
      </c>
      <c r="J3475" t="s">
        <v>38</v>
      </c>
      <c r="K3475" t="s">
        <v>56</v>
      </c>
      <c r="L3475" t="s">
        <v>44</v>
      </c>
      <c r="M3475">
        <v>8.4700000000000006</v>
      </c>
      <c r="T3475" t="s">
        <v>52</v>
      </c>
      <c r="U3475">
        <v>4</v>
      </c>
      <c r="V3475">
        <v>5</v>
      </c>
    </row>
    <row r="3476" spans="1:22" x14ac:dyDescent="0.3">
      <c r="A3476">
        <v>3475</v>
      </c>
      <c r="B3476">
        <v>53886</v>
      </c>
      <c r="C3476" s="2">
        <v>36381</v>
      </c>
      <c r="D3476">
        <v>26</v>
      </c>
      <c r="E3476" t="s">
        <v>36</v>
      </c>
      <c r="F3476" t="s">
        <v>37</v>
      </c>
      <c r="G3476" s="2">
        <v>45642</v>
      </c>
      <c r="H3476" s="3">
        <f t="shared" si="54"/>
        <v>1.6986301369863013</v>
      </c>
      <c r="I3476">
        <v>111</v>
      </c>
      <c r="J3476" t="s">
        <v>57</v>
      </c>
      <c r="K3476" t="s">
        <v>65</v>
      </c>
      <c r="L3476" t="s">
        <v>44</v>
      </c>
      <c r="M3476">
        <v>10.64</v>
      </c>
      <c r="T3476" t="s">
        <v>47</v>
      </c>
      <c r="U3476">
        <v>0</v>
      </c>
      <c r="V3476">
        <v>4</v>
      </c>
    </row>
    <row r="3477" spans="1:22" x14ac:dyDescent="0.3">
      <c r="A3477">
        <v>3476</v>
      </c>
      <c r="B3477">
        <v>53888</v>
      </c>
      <c r="C3477" s="2">
        <v>38257</v>
      </c>
      <c r="D3477">
        <v>21</v>
      </c>
      <c r="E3477" t="s">
        <v>36</v>
      </c>
      <c r="F3477" t="s">
        <v>50</v>
      </c>
      <c r="G3477" s="2">
        <v>45402</v>
      </c>
      <c r="H3477" s="3">
        <f t="shared" si="54"/>
        <v>1.0356164383561643</v>
      </c>
      <c r="I3477">
        <v>136</v>
      </c>
      <c r="J3477" t="s">
        <v>57</v>
      </c>
      <c r="K3477" t="s">
        <v>46</v>
      </c>
      <c r="L3477" t="s">
        <v>44</v>
      </c>
      <c r="M3477">
        <v>14.23</v>
      </c>
      <c r="T3477" t="s">
        <v>47</v>
      </c>
      <c r="U3477">
        <v>0</v>
      </c>
      <c r="V3477">
        <v>3</v>
      </c>
    </row>
    <row r="3478" spans="1:22" x14ac:dyDescent="0.3">
      <c r="A3478">
        <v>3477</v>
      </c>
      <c r="B3478">
        <v>53889</v>
      </c>
      <c r="C3478" s="2">
        <v>37160</v>
      </c>
      <c r="D3478">
        <v>24</v>
      </c>
      <c r="E3478" t="s">
        <v>36</v>
      </c>
      <c r="F3478" t="s">
        <v>50</v>
      </c>
      <c r="G3478" s="2">
        <v>45644</v>
      </c>
      <c r="H3478" s="3">
        <f t="shared" si="54"/>
        <v>1.4273972602739726</v>
      </c>
      <c r="I3478">
        <v>8</v>
      </c>
      <c r="J3478" t="s">
        <v>38</v>
      </c>
      <c r="K3478" t="s">
        <v>56</v>
      </c>
      <c r="L3478" t="s">
        <v>44</v>
      </c>
      <c r="M3478">
        <v>8.4700000000000006</v>
      </c>
      <c r="T3478" t="s">
        <v>47</v>
      </c>
      <c r="U3478">
        <v>2</v>
      </c>
      <c r="V3478">
        <v>5</v>
      </c>
    </row>
    <row r="3479" spans="1:22" x14ac:dyDescent="0.3">
      <c r="A3479">
        <v>3478</v>
      </c>
      <c r="B3479">
        <v>53890</v>
      </c>
      <c r="C3479" s="2">
        <v>37241</v>
      </c>
      <c r="D3479">
        <v>24</v>
      </c>
      <c r="E3479" t="s">
        <v>42</v>
      </c>
      <c r="F3479" t="s">
        <v>50</v>
      </c>
      <c r="G3479" s="2">
        <v>45501</v>
      </c>
      <c r="H3479" s="3">
        <f t="shared" si="54"/>
        <v>1.1589041095890411</v>
      </c>
      <c r="I3479">
        <v>31</v>
      </c>
      <c r="J3479" t="s">
        <v>38</v>
      </c>
      <c r="K3479" t="s">
        <v>65</v>
      </c>
      <c r="L3479" t="s">
        <v>44</v>
      </c>
      <c r="M3479">
        <v>10.64</v>
      </c>
      <c r="T3479" t="s">
        <v>52</v>
      </c>
      <c r="U3479">
        <v>1</v>
      </c>
      <c r="V3479">
        <v>4</v>
      </c>
    </row>
    <row r="3480" spans="1:22" x14ac:dyDescent="0.3">
      <c r="A3480">
        <v>3479</v>
      </c>
      <c r="B3480">
        <v>53891</v>
      </c>
      <c r="C3480" s="2">
        <v>37294</v>
      </c>
      <c r="D3480">
        <v>23</v>
      </c>
      <c r="E3480" t="s">
        <v>36</v>
      </c>
      <c r="F3480" t="s">
        <v>37</v>
      </c>
      <c r="G3480" s="2">
        <v>45599</v>
      </c>
      <c r="H3480" s="3">
        <f t="shared" si="54"/>
        <v>1.3835616438356164</v>
      </c>
      <c r="I3480">
        <v>87</v>
      </c>
      <c r="J3480" t="s">
        <v>57</v>
      </c>
      <c r="K3480" t="s">
        <v>55</v>
      </c>
      <c r="L3480" t="s">
        <v>44</v>
      </c>
      <c r="M3480">
        <v>17.59</v>
      </c>
      <c r="T3480" t="s">
        <v>49</v>
      </c>
      <c r="U3480">
        <v>3</v>
      </c>
      <c r="V3480">
        <v>6</v>
      </c>
    </row>
    <row r="3481" spans="1:22" x14ac:dyDescent="0.3">
      <c r="A3481">
        <v>3480</v>
      </c>
      <c r="B3481">
        <v>53892</v>
      </c>
      <c r="C3481" s="2">
        <v>32816</v>
      </c>
      <c r="D3481">
        <v>36</v>
      </c>
      <c r="E3481" t="s">
        <v>42</v>
      </c>
      <c r="F3481" t="s">
        <v>50</v>
      </c>
      <c r="G3481" s="2">
        <v>45517</v>
      </c>
      <c r="H3481" s="3">
        <f t="shared" si="54"/>
        <v>1.6520547945205479</v>
      </c>
      <c r="I3481">
        <v>115</v>
      </c>
      <c r="J3481" t="s">
        <v>57</v>
      </c>
      <c r="K3481" t="s">
        <v>55</v>
      </c>
      <c r="L3481" t="s">
        <v>44</v>
      </c>
      <c r="M3481">
        <v>17.59</v>
      </c>
      <c r="T3481" t="s">
        <v>45</v>
      </c>
      <c r="U3481">
        <v>0</v>
      </c>
      <c r="V3481">
        <v>6</v>
      </c>
    </row>
    <row r="3482" spans="1:22" x14ac:dyDescent="0.3">
      <c r="A3482">
        <v>3481</v>
      </c>
      <c r="B3482">
        <v>53893</v>
      </c>
      <c r="C3482" s="2">
        <v>39144</v>
      </c>
      <c r="D3482">
        <v>18</v>
      </c>
      <c r="E3482" t="s">
        <v>36</v>
      </c>
      <c r="F3482" t="s">
        <v>50</v>
      </c>
      <c r="G3482" s="2">
        <v>45419</v>
      </c>
      <c r="H3482" s="3">
        <f t="shared" si="54"/>
        <v>1.0328767123287672</v>
      </c>
      <c r="I3482">
        <v>143</v>
      </c>
      <c r="J3482" t="s">
        <v>57</v>
      </c>
      <c r="K3482" t="s">
        <v>56</v>
      </c>
      <c r="L3482" t="s">
        <v>44</v>
      </c>
      <c r="M3482">
        <v>8.4700000000000006</v>
      </c>
      <c r="T3482" t="s">
        <v>47</v>
      </c>
      <c r="U3482">
        <v>1</v>
      </c>
      <c r="V3482">
        <v>3</v>
      </c>
    </row>
    <row r="3483" spans="1:22" x14ac:dyDescent="0.3">
      <c r="A3483">
        <v>3482</v>
      </c>
      <c r="B3483">
        <v>53894</v>
      </c>
      <c r="C3483" s="2">
        <v>38020</v>
      </c>
      <c r="D3483">
        <v>21</v>
      </c>
      <c r="E3483" t="s">
        <v>42</v>
      </c>
      <c r="F3483" t="s">
        <v>50</v>
      </c>
      <c r="G3483" s="2">
        <v>45645</v>
      </c>
      <c r="H3483" s="3">
        <f t="shared" si="54"/>
        <v>1.6520547945205479</v>
      </c>
      <c r="I3483">
        <v>19</v>
      </c>
      <c r="J3483" t="s">
        <v>38</v>
      </c>
      <c r="K3483" t="s">
        <v>56</v>
      </c>
      <c r="L3483" t="s">
        <v>44</v>
      </c>
      <c r="M3483">
        <v>8.4700000000000006</v>
      </c>
      <c r="T3483" t="s">
        <v>45</v>
      </c>
      <c r="U3483">
        <v>2</v>
      </c>
      <c r="V3483">
        <v>6</v>
      </c>
    </row>
    <row r="3484" spans="1:22" x14ac:dyDescent="0.3">
      <c r="A3484">
        <v>3483</v>
      </c>
      <c r="B3484">
        <v>53896</v>
      </c>
      <c r="C3484" s="2">
        <v>35768</v>
      </c>
      <c r="D3484">
        <v>28</v>
      </c>
      <c r="E3484" t="s">
        <v>42</v>
      </c>
      <c r="F3484" t="s">
        <v>50</v>
      </c>
      <c r="G3484" s="2">
        <v>45419</v>
      </c>
      <c r="H3484" s="3">
        <f t="shared" si="54"/>
        <v>1.0821917808219179</v>
      </c>
      <c r="I3484">
        <v>40</v>
      </c>
      <c r="J3484" t="s">
        <v>38</v>
      </c>
      <c r="K3484" t="s">
        <v>56</v>
      </c>
      <c r="L3484" t="s">
        <v>44</v>
      </c>
      <c r="M3484">
        <v>8.4700000000000006</v>
      </c>
      <c r="T3484" t="s">
        <v>47</v>
      </c>
      <c r="U3484">
        <v>4</v>
      </c>
      <c r="V3484">
        <v>7</v>
      </c>
    </row>
    <row r="3485" spans="1:22" x14ac:dyDescent="0.3">
      <c r="A3485">
        <v>3484</v>
      </c>
      <c r="B3485">
        <v>53897</v>
      </c>
      <c r="C3485" s="2">
        <v>38381</v>
      </c>
      <c r="D3485">
        <v>20</v>
      </c>
      <c r="E3485" t="s">
        <v>36</v>
      </c>
      <c r="F3485" t="s">
        <v>50</v>
      </c>
      <c r="G3485" s="2">
        <v>45627</v>
      </c>
      <c r="H3485" s="3">
        <f t="shared" si="54"/>
        <v>1.3890410958904109</v>
      </c>
      <c r="I3485">
        <v>50</v>
      </c>
      <c r="J3485" t="s">
        <v>38</v>
      </c>
      <c r="K3485" t="s">
        <v>65</v>
      </c>
      <c r="L3485" t="s">
        <v>44</v>
      </c>
      <c r="M3485">
        <v>10.64</v>
      </c>
      <c r="T3485" t="s">
        <v>52</v>
      </c>
      <c r="U3485">
        <v>0</v>
      </c>
      <c r="V3485">
        <v>3</v>
      </c>
    </row>
    <row r="3486" spans="1:22" x14ac:dyDescent="0.3">
      <c r="A3486">
        <v>3485</v>
      </c>
      <c r="B3486">
        <v>53898</v>
      </c>
      <c r="C3486" s="2">
        <v>35939</v>
      </c>
      <c r="D3486">
        <v>27</v>
      </c>
      <c r="E3486" t="s">
        <v>36</v>
      </c>
      <c r="F3486" t="s">
        <v>50</v>
      </c>
      <c r="G3486" s="2">
        <v>45515</v>
      </c>
      <c r="H3486" s="3">
        <f t="shared" si="54"/>
        <v>1.2575342465753425</v>
      </c>
      <c r="I3486">
        <v>61</v>
      </c>
      <c r="J3486" t="s">
        <v>38</v>
      </c>
      <c r="K3486" t="s">
        <v>64</v>
      </c>
      <c r="L3486" t="s">
        <v>44</v>
      </c>
      <c r="M3486">
        <v>14.07</v>
      </c>
      <c r="T3486" t="s">
        <v>52</v>
      </c>
      <c r="U3486">
        <v>1</v>
      </c>
      <c r="V3486">
        <v>5</v>
      </c>
    </row>
    <row r="3487" spans="1:22" x14ac:dyDescent="0.3">
      <c r="A3487">
        <v>3486</v>
      </c>
      <c r="B3487">
        <v>53899</v>
      </c>
      <c r="C3487" s="2">
        <v>38344</v>
      </c>
      <c r="D3487">
        <v>21</v>
      </c>
      <c r="E3487" t="s">
        <v>42</v>
      </c>
      <c r="F3487" t="s">
        <v>50</v>
      </c>
      <c r="G3487" s="2">
        <v>45563</v>
      </c>
      <c r="H3487" s="3">
        <f t="shared" si="54"/>
        <v>1.7095890410958905</v>
      </c>
      <c r="I3487">
        <v>101</v>
      </c>
      <c r="J3487" t="s">
        <v>57</v>
      </c>
      <c r="K3487" t="s">
        <v>46</v>
      </c>
      <c r="L3487" t="s">
        <v>44</v>
      </c>
      <c r="M3487">
        <v>14.23</v>
      </c>
      <c r="T3487" t="s">
        <v>45</v>
      </c>
      <c r="U3487">
        <v>0</v>
      </c>
      <c r="V3487">
        <v>5</v>
      </c>
    </row>
    <row r="3488" spans="1:22" x14ac:dyDescent="0.3">
      <c r="A3488">
        <v>3487</v>
      </c>
      <c r="B3488">
        <v>53900</v>
      </c>
      <c r="C3488" s="2">
        <v>37801</v>
      </c>
      <c r="D3488">
        <v>22</v>
      </c>
      <c r="E3488" t="s">
        <v>36</v>
      </c>
      <c r="F3488" t="s">
        <v>50</v>
      </c>
      <c r="G3488" s="2">
        <v>45398</v>
      </c>
      <c r="H3488" s="3">
        <f t="shared" si="54"/>
        <v>1.1534246575342466</v>
      </c>
      <c r="I3488">
        <v>108</v>
      </c>
      <c r="J3488" t="s">
        <v>57</v>
      </c>
      <c r="K3488" t="s">
        <v>46</v>
      </c>
      <c r="L3488" t="s">
        <v>44</v>
      </c>
      <c r="M3488">
        <v>14.23</v>
      </c>
      <c r="T3488" t="s">
        <v>52</v>
      </c>
      <c r="U3488">
        <v>1</v>
      </c>
      <c r="V3488">
        <v>4</v>
      </c>
    </row>
    <row r="3489" spans="1:22" x14ac:dyDescent="0.3">
      <c r="A3489">
        <v>3488</v>
      </c>
      <c r="B3489">
        <v>53901</v>
      </c>
      <c r="C3489" s="2">
        <v>37832</v>
      </c>
      <c r="D3489">
        <v>22</v>
      </c>
      <c r="E3489" t="s">
        <v>36</v>
      </c>
      <c r="F3489" t="s">
        <v>50</v>
      </c>
      <c r="G3489" s="2">
        <v>45601</v>
      </c>
      <c r="H3489" s="3">
        <f t="shared" si="54"/>
        <v>1.3698630136986301</v>
      </c>
      <c r="I3489">
        <v>125</v>
      </c>
      <c r="J3489" t="s">
        <v>57</v>
      </c>
      <c r="K3489" t="s">
        <v>55</v>
      </c>
      <c r="L3489" t="s">
        <v>44</v>
      </c>
      <c r="M3489">
        <v>17.59</v>
      </c>
      <c r="T3489" t="s">
        <v>52</v>
      </c>
      <c r="U3489">
        <v>1</v>
      </c>
      <c r="V3489">
        <v>3</v>
      </c>
    </row>
    <row r="3490" spans="1:22" x14ac:dyDescent="0.3">
      <c r="A3490">
        <v>3489</v>
      </c>
      <c r="B3490">
        <v>53902</v>
      </c>
      <c r="C3490" s="2">
        <v>37205</v>
      </c>
      <c r="D3490">
        <v>24</v>
      </c>
      <c r="E3490" t="s">
        <v>36</v>
      </c>
      <c r="F3490" t="s">
        <v>50</v>
      </c>
      <c r="G3490" s="2">
        <v>45522</v>
      </c>
      <c r="H3490" s="3">
        <f t="shared" si="54"/>
        <v>1.2904109589041095</v>
      </c>
      <c r="I3490">
        <v>127</v>
      </c>
      <c r="J3490" t="s">
        <v>57</v>
      </c>
      <c r="K3490" t="s">
        <v>55</v>
      </c>
      <c r="L3490" t="s">
        <v>44</v>
      </c>
      <c r="M3490">
        <v>17.59</v>
      </c>
      <c r="T3490" t="s">
        <v>52</v>
      </c>
      <c r="U3490">
        <v>1</v>
      </c>
      <c r="V3490">
        <v>4</v>
      </c>
    </row>
    <row r="3491" spans="1:22" x14ac:dyDescent="0.3">
      <c r="A3491">
        <v>3490</v>
      </c>
      <c r="B3491">
        <v>53903</v>
      </c>
      <c r="C3491" s="2">
        <v>38938</v>
      </c>
      <c r="D3491">
        <v>19</v>
      </c>
      <c r="E3491" t="s">
        <v>42</v>
      </c>
      <c r="F3491" t="s">
        <v>37</v>
      </c>
      <c r="G3491" s="2">
        <v>45551</v>
      </c>
      <c r="H3491" s="3">
        <f t="shared" si="54"/>
        <v>1.4246575342465753</v>
      </c>
      <c r="I3491">
        <v>134</v>
      </c>
      <c r="J3491" t="s">
        <v>57</v>
      </c>
      <c r="K3491" t="s">
        <v>56</v>
      </c>
      <c r="L3491" t="s">
        <v>44</v>
      </c>
      <c r="M3491">
        <v>8.4700000000000006</v>
      </c>
      <c r="T3491" t="s">
        <v>45</v>
      </c>
      <c r="U3491">
        <v>3</v>
      </c>
      <c r="V3491">
        <v>6</v>
      </c>
    </row>
    <row r="3492" spans="1:22" x14ac:dyDescent="0.3">
      <c r="A3492">
        <v>3491</v>
      </c>
      <c r="B3492">
        <v>53905</v>
      </c>
      <c r="C3492" s="2">
        <v>37757</v>
      </c>
      <c r="D3492">
        <v>22</v>
      </c>
      <c r="E3492" t="s">
        <v>42</v>
      </c>
      <c r="F3492" t="s">
        <v>50</v>
      </c>
      <c r="G3492" s="2">
        <v>45502</v>
      </c>
      <c r="H3492" s="3">
        <f t="shared" si="54"/>
        <v>1.5232876712328767</v>
      </c>
      <c r="I3492">
        <v>14</v>
      </c>
      <c r="J3492" t="s">
        <v>38</v>
      </c>
      <c r="K3492" t="s">
        <v>65</v>
      </c>
      <c r="L3492" t="s">
        <v>44</v>
      </c>
      <c r="M3492">
        <v>10.64</v>
      </c>
      <c r="T3492" t="s">
        <v>45</v>
      </c>
      <c r="U3492">
        <v>0</v>
      </c>
      <c r="V3492">
        <v>5</v>
      </c>
    </row>
    <row r="3493" spans="1:22" x14ac:dyDescent="0.3">
      <c r="A3493">
        <v>3492</v>
      </c>
      <c r="B3493">
        <v>53906</v>
      </c>
      <c r="C3493" s="2">
        <v>37743</v>
      </c>
      <c r="D3493">
        <v>22</v>
      </c>
      <c r="E3493" t="s">
        <v>42</v>
      </c>
      <c r="F3493" t="s">
        <v>37</v>
      </c>
      <c r="G3493" s="2">
        <v>45466</v>
      </c>
      <c r="H3493" s="3">
        <f t="shared" si="54"/>
        <v>1.6767123287671233</v>
      </c>
      <c r="I3493">
        <v>34</v>
      </c>
      <c r="J3493" t="s">
        <v>38</v>
      </c>
      <c r="K3493" t="s">
        <v>64</v>
      </c>
      <c r="L3493" t="s">
        <v>44</v>
      </c>
      <c r="M3493">
        <v>14.07</v>
      </c>
      <c r="T3493" t="s">
        <v>52</v>
      </c>
      <c r="U3493">
        <v>0</v>
      </c>
      <c r="V3493">
        <v>5</v>
      </c>
    </row>
    <row r="3494" spans="1:22" x14ac:dyDescent="0.3">
      <c r="A3494">
        <v>3493</v>
      </c>
      <c r="B3494">
        <v>53907</v>
      </c>
      <c r="C3494" s="2">
        <v>33933</v>
      </c>
      <c r="D3494">
        <v>33</v>
      </c>
      <c r="E3494" t="s">
        <v>36</v>
      </c>
      <c r="F3494" t="s">
        <v>37</v>
      </c>
      <c r="G3494" s="2">
        <v>45410</v>
      </c>
      <c r="H3494" s="3">
        <f t="shared" si="54"/>
        <v>1.0273972602739727</v>
      </c>
      <c r="I3494">
        <v>58</v>
      </c>
      <c r="J3494" t="s">
        <v>38</v>
      </c>
      <c r="K3494" t="s">
        <v>55</v>
      </c>
      <c r="L3494" t="s">
        <v>44</v>
      </c>
      <c r="M3494">
        <v>17.59</v>
      </c>
      <c r="T3494" t="s">
        <v>52</v>
      </c>
      <c r="U3494">
        <v>2</v>
      </c>
      <c r="V3494">
        <v>5</v>
      </c>
    </row>
    <row r="3495" spans="1:22" x14ac:dyDescent="0.3">
      <c r="A3495">
        <v>3494</v>
      </c>
      <c r="B3495">
        <v>53908</v>
      </c>
      <c r="C3495" s="2">
        <v>36496</v>
      </c>
      <c r="D3495">
        <v>26</v>
      </c>
      <c r="E3495" t="s">
        <v>42</v>
      </c>
      <c r="F3495" t="s">
        <v>37</v>
      </c>
      <c r="G3495" s="2">
        <v>45647</v>
      </c>
      <c r="H3495" s="3">
        <f t="shared" si="54"/>
        <v>1.4</v>
      </c>
      <c r="I3495">
        <v>66</v>
      </c>
      <c r="J3495" t="s">
        <v>57</v>
      </c>
      <c r="K3495" t="s">
        <v>55</v>
      </c>
      <c r="L3495" t="s">
        <v>44</v>
      </c>
      <c r="M3495">
        <v>17.59</v>
      </c>
      <c r="T3495" t="s">
        <v>49</v>
      </c>
      <c r="U3495">
        <v>2</v>
      </c>
      <c r="V3495">
        <v>5</v>
      </c>
    </row>
    <row r="3496" spans="1:22" x14ac:dyDescent="0.3">
      <c r="A3496">
        <v>3495</v>
      </c>
      <c r="B3496">
        <v>53909</v>
      </c>
      <c r="C3496" s="2">
        <v>36807</v>
      </c>
      <c r="D3496">
        <v>25</v>
      </c>
      <c r="E3496" t="s">
        <v>42</v>
      </c>
      <c r="F3496" t="s">
        <v>50</v>
      </c>
      <c r="G3496" s="2">
        <v>45511</v>
      </c>
      <c r="H3496" s="3">
        <f t="shared" si="54"/>
        <v>1.3068493150684932</v>
      </c>
      <c r="I3496">
        <v>68</v>
      </c>
      <c r="J3496" t="s">
        <v>57</v>
      </c>
      <c r="K3496" t="s">
        <v>48</v>
      </c>
      <c r="L3496" t="s">
        <v>44</v>
      </c>
      <c r="M3496">
        <v>8.4700000000000006</v>
      </c>
      <c r="T3496" t="s">
        <v>52</v>
      </c>
      <c r="U3496">
        <v>2</v>
      </c>
      <c r="V3496">
        <v>6</v>
      </c>
    </row>
    <row r="3497" spans="1:22" x14ac:dyDescent="0.3">
      <c r="A3497">
        <v>3496</v>
      </c>
      <c r="B3497">
        <v>53910</v>
      </c>
      <c r="C3497" s="2">
        <v>37922</v>
      </c>
      <c r="D3497">
        <v>22</v>
      </c>
      <c r="E3497" t="s">
        <v>42</v>
      </c>
      <c r="F3497" t="s">
        <v>50</v>
      </c>
      <c r="G3497" s="2">
        <v>45545</v>
      </c>
      <c r="H3497" s="3">
        <f t="shared" si="54"/>
        <v>1.2136986301369863</v>
      </c>
      <c r="I3497">
        <v>123</v>
      </c>
      <c r="J3497" t="s">
        <v>57</v>
      </c>
      <c r="K3497" t="s">
        <v>43</v>
      </c>
      <c r="L3497" t="s">
        <v>44</v>
      </c>
      <c r="M3497">
        <v>16.37</v>
      </c>
      <c r="T3497" t="s">
        <v>45</v>
      </c>
      <c r="U3497">
        <v>1</v>
      </c>
      <c r="V3497">
        <v>5</v>
      </c>
    </row>
    <row r="3498" spans="1:22" x14ac:dyDescent="0.3">
      <c r="A3498">
        <v>3497</v>
      </c>
      <c r="B3498">
        <v>53911</v>
      </c>
      <c r="C3498" s="2">
        <v>35896</v>
      </c>
      <c r="D3498">
        <v>27</v>
      </c>
      <c r="E3498" t="s">
        <v>42</v>
      </c>
      <c r="F3498" t="s">
        <v>50</v>
      </c>
      <c r="G3498" s="2">
        <v>45579</v>
      </c>
      <c r="H3498" s="3">
        <f t="shared" si="54"/>
        <v>1.6712328767123288</v>
      </c>
      <c r="I3498">
        <v>22</v>
      </c>
      <c r="J3498" t="s">
        <v>38</v>
      </c>
      <c r="K3498" t="s">
        <v>65</v>
      </c>
      <c r="L3498" t="s">
        <v>44</v>
      </c>
      <c r="M3498">
        <v>10.64</v>
      </c>
      <c r="T3498" t="s">
        <v>52</v>
      </c>
      <c r="U3498">
        <v>0</v>
      </c>
      <c r="V3498">
        <v>5</v>
      </c>
    </row>
    <row r="3499" spans="1:22" x14ac:dyDescent="0.3">
      <c r="A3499">
        <v>3498</v>
      </c>
      <c r="B3499">
        <v>53912</v>
      </c>
      <c r="C3499" s="2">
        <v>38520</v>
      </c>
      <c r="D3499">
        <v>20</v>
      </c>
      <c r="E3499" t="s">
        <v>42</v>
      </c>
      <c r="F3499" t="s">
        <v>50</v>
      </c>
      <c r="G3499" s="2">
        <v>45412</v>
      </c>
      <c r="H3499" s="3">
        <f t="shared" si="54"/>
        <v>1.5287671232876712</v>
      </c>
      <c r="I3499">
        <v>42</v>
      </c>
      <c r="J3499" t="s">
        <v>38</v>
      </c>
      <c r="K3499" t="s">
        <v>56</v>
      </c>
      <c r="L3499" t="s">
        <v>44</v>
      </c>
      <c r="M3499">
        <v>8.4700000000000006</v>
      </c>
      <c r="T3499" t="s">
        <v>52</v>
      </c>
      <c r="U3499">
        <v>3</v>
      </c>
      <c r="V3499">
        <v>6</v>
      </c>
    </row>
    <row r="3500" spans="1:22" x14ac:dyDescent="0.3">
      <c r="A3500">
        <v>3499</v>
      </c>
      <c r="B3500">
        <v>53913</v>
      </c>
      <c r="C3500" s="2">
        <v>38698</v>
      </c>
      <c r="D3500">
        <v>20</v>
      </c>
      <c r="E3500" t="s">
        <v>36</v>
      </c>
      <c r="F3500" t="s">
        <v>50</v>
      </c>
      <c r="G3500" s="2">
        <v>45464</v>
      </c>
      <c r="H3500" s="3">
        <f t="shared" si="54"/>
        <v>1.3315068493150686</v>
      </c>
      <c r="I3500">
        <v>47</v>
      </c>
      <c r="J3500" t="s">
        <v>38</v>
      </c>
      <c r="K3500" t="s">
        <v>65</v>
      </c>
      <c r="L3500" t="s">
        <v>44</v>
      </c>
      <c r="M3500">
        <v>10.64</v>
      </c>
      <c r="T3500" t="s">
        <v>47</v>
      </c>
      <c r="U3500">
        <v>1</v>
      </c>
      <c r="V3500">
        <v>5</v>
      </c>
    </row>
    <row r="3501" spans="1:22" x14ac:dyDescent="0.3">
      <c r="A3501">
        <v>3500</v>
      </c>
      <c r="B3501">
        <v>53914</v>
      </c>
      <c r="C3501" s="2">
        <v>38047</v>
      </c>
      <c r="D3501">
        <v>22</v>
      </c>
      <c r="E3501" t="s">
        <v>36</v>
      </c>
      <c r="F3501" t="s">
        <v>37</v>
      </c>
      <c r="G3501" s="2">
        <v>45536</v>
      </c>
      <c r="H3501" s="3">
        <f t="shared" si="54"/>
        <v>1.6246575342465754</v>
      </c>
      <c r="I3501">
        <v>51</v>
      </c>
      <c r="J3501" t="s">
        <v>38</v>
      </c>
      <c r="K3501" t="s">
        <v>54</v>
      </c>
      <c r="L3501" t="s">
        <v>44</v>
      </c>
      <c r="M3501">
        <v>23.78</v>
      </c>
      <c r="T3501" t="s">
        <v>45</v>
      </c>
      <c r="U3501">
        <v>6</v>
      </c>
      <c r="V3501">
        <v>5</v>
      </c>
    </row>
    <row r="3502" spans="1:22" x14ac:dyDescent="0.3">
      <c r="A3502">
        <v>3501</v>
      </c>
      <c r="B3502">
        <v>53915</v>
      </c>
      <c r="C3502" s="2">
        <v>38340</v>
      </c>
      <c r="D3502">
        <v>21</v>
      </c>
      <c r="E3502" t="s">
        <v>36</v>
      </c>
      <c r="F3502" t="s">
        <v>50</v>
      </c>
      <c r="G3502" s="2">
        <v>45429</v>
      </c>
      <c r="H3502" s="3">
        <f t="shared" si="54"/>
        <v>1.1698630136986301</v>
      </c>
      <c r="I3502">
        <v>91</v>
      </c>
      <c r="J3502" t="s">
        <v>57</v>
      </c>
      <c r="K3502" t="s">
        <v>56</v>
      </c>
      <c r="L3502" t="s">
        <v>44</v>
      </c>
      <c r="M3502">
        <v>8.4700000000000006</v>
      </c>
      <c r="T3502" t="s">
        <v>45</v>
      </c>
      <c r="U3502">
        <v>2</v>
      </c>
      <c r="V3502">
        <v>5</v>
      </c>
    </row>
    <row r="3503" spans="1:22" x14ac:dyDescent="0.3">
      <c r="A3503">
        <v>3502</v>
      </c>
      <c r="B3503">
        <v>53916</v>
      </c>
      <c r="C3503" s="2">
        <v>37653</v>
      </c>
      <c r="D3503">
        <v>23</v>
      </c>
      <c r="E3503" t="s">
        <v>36</v>
      </c>
      <c r="F3503" t="s">
        <v>37</v>
      </c>
      <c r="G3503" s="2">
        <v>45595</v>
      </c>
      <c r="H3503" s="3">
        <f t="shared" si="54"/>
        <v>1.3397260273972602</v>
      </c>
      <c r="I3503">
        <v>97</v>
      </c>
      <c r="J3503" t="s">
        <v>57</v>
      </c>
      <c r="K3503" t="s">
        <v>55</v>
      </c>
      <c r="L3503" t="s">
        <v>44</v>
      </c>
      <c r="M3503">
        <v>17.59</v>
      </c>
      <c r="T3503" t="s">
        <v>45</v>
      </c>
      <c r="U3503">
        <v>0</v>
      </c>
      <c r="V3503">
        <v>3</v>
      </c>
    </row>
    <row r="3504" spans="1:22" x14ac:dyDescent="0.3">
      <c r="A3504">
        <v>3503</v>
      </c>
      <c r="B3504">
        <v>53917</v>
      </c>
      <c r="C3504" s="2">
        <v>33900</v>
      </c>
      <c r="D3504">
        <v>33</v>
      </c>
      <c r="E3504" t="s">
        <v>36</v>
      </c>
      <c r="F3504" t="s">
        <v>50</v>
      </c>
      <c r="G3504" s="2">
        <v>45533</v>
      </c>
      <c r="H3504" s="3">
        <f t="shared" si="54"/>
        <v>1.0575342465753426</v>
      </c>
      <c r="I3504">
        <v>103</v>
      </c>
      <c r="J3504" t="s">
        <v>57</v>
      </c>
      <c r="K3504" t="s">
        <v>43</v>
      </c>
      <c r="L3504" t="s">
        <v>44</v>
      </c>
      <c r="M3504">
        <v>16.37</v>
      </c>
      <c r="T3504" t="s">
        <v>49</v>
      </c>
      <c r="U3504">
        <v>2</v>
      </c>
      <c r="V3504">
        <v>5</v>
      </c>
    </row>
    <row r="3505" spans="1:22" x14ac:dyDescent="0.3">
      <c r="A3505">
        <v>3504</v>
      </c>
      <c r="B3505">
        <v>53918</v>
      </c>
      <c r="C3505" s="2">
        <v>38445</v>
      </c>
      <c r="D3505">
        <v>20</v>
      </c>
      <c r="E3505" t="s">
        <v>36</v>
      </c>
      <c r="F3505" t="s">
        <v>50</v>
      </c>
      <c r="G3505" s="2">
        <v>45636</v>
      </c>
      <c r="H3505" s="3">
        <f t="shared" si="54"/>
        <v>1.8082191780821917</v>
      </c>
      <c r="I3505">
        <v>10</v>
      </c>
      <c r="J3505" t="s">
        <v>38</v>
      </c>
      <c r="K3505" t="s">
        <v>65</v>
      </c>
      <c r="L3505" t="s">
        <v>44</v>
      </c>
      <c r="M3505">
        <v>10.64</v>
      </c>
      <c r="T3505" t="s">
        <v>45</v>
      </c>
      <c r="U3505">
        <v>1</v>
      </c>
      <c r="V3505">
        <v>3</v>
      </c>
    </row>
    <row r="3506" spans="1:22" x14ac:dyDescent="0.3">
      <c r="A3506">
        <v>3505</v>
      </c>
      <c r="B3506">
        <v>53919</v>
      </c>
      <c r="C3506" s="2">
        <v>38582</v>
      </c>
      <c r="D3506">
        <v>20</v>
      </c>
      <c r="E3506" t="s">
        <v>36</v>
      </c>
      <c r="F3506" t="s">
        <v>50</v>
      </c>
      <c r="G3506" s="2">
        <v>45362</v>
      </c>
      <c r="H3506" s="3">
        <f t="shared" si="54"/>
        <v>1.4356164383561645</v>
      </c>
      <c r="I3506">
        <v>23</v>
      </c>
      <c r="J3506" t="s">
        <v>38</v>
      </c>
      <c r="K3506" t="s">
        <v>56</v>
      </c>
      <c r="L3506" t="s">
        <v>44</v>
      </c>
      <c r="M3506">
        <v>8.4700000000000006</v>
      </c>
      <c r="T3506" t="s">
        <v>47</v>
      </c>
      <c r="U3506">
        <v>3</v>
      </c>
      <c r="V3506">
        <v>4</v>
      </c>
    </row>
    <row r="3507" spans="1:22" x14ac:dyDescent="0.3">
      <c r="A3507">
        <v>3506</v>
      </c>
      <c r="B3507">
        <v>53920</v>
      </c>
      <c r="C3507" s="2">
        <v>38193</v>
      </c>
      <c r="D3507">
        <v>21</v>
      </c>
      <c r="E3507" t="s">
        <v>36</v>
      </c>
      <c r="F3507" t="s">
        <v>50</v>
      </c>
      <c r="G3507" s="2">
        <v>45498</v>
      </c>
      <c r="H3507" s="3">
        <f t="shared" si="54"/>
        <v>1.1808219178082191</v>
      </c>
      <c r="I3507">
        <v>32</v>
      </c>
      <c r="J3507" t="s">
        <v>38</v>
      </c>
      <c r="K3507" t="s">
        <v>65</v>
      </c>
      <c r="L3507" t="s">
        <v>44</v>
      </c>
      <c r="M3507">
        <v>10.64</v>
      </c>
      <c r="T3507" t="s">
        <v>47</v>
      </c>
      <c r="U3507">
        <v>0</v>
      </c>
      <c r="V3507">
        <v>4</v>
      </c>
    </row>
    <row r="3508" spans="1:22" x14ac:dyDescent="0.3">
      <c r="A3508">
        <v>3507</v>
      </c>
      <c r="B3508">
        <v>53921</v>
      </c>
      <c r="C3508" s="2">
        <v>37986</v>
      </c>
      <c r="D3508">
        <v>22</v>
      </c>
      <c r="E3508" t="s">
        <v>42</v>
      </c>
      <c r="F3508" t="s">
        <v>50</v>
      </c>
      <c r="G3508" s="2">
        <v>45591</v>
      </c>
      <c r="H3508" s="3">
        <f t="shared" si="54"/>
        <v>1.7506849315068493</v>
      </c>
      <c r="I3508">
        <v>33</v>
      </c>
      <c r="J3508" t="s">
        <v>38</v>
      </c>
      <c r="K3508" t="s">
        <v>56</v>
      </c>
      <c r="L3508" t="s">
        <v>44</v>
      </c>
      <c r="M3508">
        <v>8.4700000000000006</v>
      </c>
      <c r="T3508" t="s">
        <v>52</v>
      </c>
      <c r="U3508">
        <v>0</v>
      </c>
      <c r="V3508">
        <v>5</v>
      </c>
    </row>
    <row r="3509" spans="1:22" x14ac:dyDescent="0.3">
      <c r="A3509">
        <v>3508</v>
      </c>
      <c r="B3509">
        <v>53922</v>
      </c>
      <c r="C3509" s="2">
        <v>36298</v>
      </c>
      <c r="D3509">
        <v>26</v>
      </c>
      <c r="E3509" t="s">
        <v>42</v>
      </c>
      <c r="F3509" t="s">
        <v>50</v>
      </c>
      <c r="G3509" s="2">
        <v>45383</v>
      </c>
      <c r="H3509" s="3">
        <f t="shared" si="54"/>
        <v>1.5616438356164384</v>
      </c>
      <c r="I3509">
        <v>34</v>
      </c>
      <c r="J3509" t="s">
        <v>38</v>
      </c>
      <c r="K3509" t="s">
        <v>55</v>
      </c>
      <c r="L3509" t="s">
        <v>44</v>
      </c>
      <c r="M3509">
        <v>17.59</v>
      </c>
      <c r="T3509" t="s">
        <v>49</v>
      </c>
      <c r="U3509">
        <v>4</v>
      </c>
      <c r="V3509">
        <v>7</v>
      </c>
    </row>
    <row r="3510" spans="1:22" x14ac:dyDescent="0.3">
      <c r="A3510">
        <v>3509</v>
      </c>
      <c r="B3510">
        <v>53924</v>
      </c>
      <c r="C3510" s="2">
        <v>39005</v>
      </c>
      <c r="D3510">
        <v>19</v>
      </c>
      <c r="E3510" t="s">
        <v>36</v>
      </c>
      <c r="F3510" t="s">
        <v>50</v>
      </c>
      <c r="G3510" s="2">
        <v>45452</v>
      </c>
      <c r="H3510" s="3">
        <f t="shared" si="54"/>
        <v>1.0054794520547945</v>
      </c>
      <c r="I3510">
        <v>48</v>
      </c>
      <c r="J3510" t="s">
        <v>38</v>
      </c>
      <c r="K3510" t="s">
        <v>46</v>
      </c>
      <c r="L3510" t="s">
        <v>44</v>
      </c>
      <c r="M3510">
        <v>14.23</v>
      </c>
      <c r="T3510" t="s">
        <v>45</v>
      </c>
      <c r="U3510">
        <v>0</v>
      </c>
      <c r="V3510">
        <v>5</v>
      </c>
    </row>
    <row r="3511" spans="1:22" x14ac:dyDescent="0.3">
      <c r="A3511">
        <v>3510</v>
      </c>
      <c r="B3511">
        <v>53925</v>
      </c>
      <c r="C3511" s="2">
        <v>38020</v>
      </c>
      <c r="D3511">
        <v>21</v>
      </c>
      <c r="E3511" t="s">
        <v>42</v>
      </c>
      <c r="F3511" t="s">
        <v>50</v>
      </c>
      <c r="G3511" s="2">
        <v>45655</v>
      </c>
      <c r="H3511" s="3">
        <f t="shared" si="54"/>
        <v>1.5945205479452054</v>
      </c>
      <c r="I3511">
        <v>50</v>
      </c>
      <c r="J3511" t="s">
        <v>38</v>
      </c>
      <c r="K3511" t="s">
        <v>64</v>
      </c>
      <c r="L3511" t="s">
        <v>44</v>
      </c>
      <c r="M3511">
        <v>14.07</v>
      </c>
      <c r="T3511" t="s">
        <v>52</v>
      </c>
      <c r="U3511">
        <v>1</v>
      </c>
      <c r="V3511">
        <v>6</v>
      </c>
    </row>
    <row r="3512" spans="1:22" x14ac:dyDescent="0.3">
      <c r="A3512">
        <v>3511</v>
      </c>
      <c r="B3512">
        <v>53926</v>
      </c>
      <c r="C3512" s="2">
        <v>36816</v>
      </c>
      <c r="D3512">
        <v>25</v>
      </c>
      <c r="E3512" t="s">
        <v>42</v>
      </c>
      <c r="F3512" t="s">
        <v>50</v>
      </c>
      <c r="G3512" s="2">
        <v>45440</v>
      </c>
      <c r="H3512" s="3">
        <f t="shared" si="54"/>
        <v>1.7616438356164383</v>
      </c>
      <c r="I3512">
        <v>58</v>
      </c>
      <c r="J3512" t="s">
        <v>38</v>
      </c>
      <c r="K3512" t="s">
        <v>68</v>
      </c>
      <c r="L3512" t="s">
        <v>44</v>
      </c>
      <c r="M3512">
        <v>17</v>
      </c>
      <c r="T3512" t="s">
        <v>45</v>
      </c>
      <c r="U3512">
        <v>3</v>
      </c>
      <c r="V3512">
        <v>6</v>
      </c>
    </row>
    <row r="3513" spans="1:22" x14ac:dyDescent="0.3">
      <c r="A3513">
        <v>3512</v>
      </c>
      <c r="B3513">
        <v>53927</v>
      </c>
      <c r="C3513" s="2">
        <v>38062</v>
      </c>
      <c r="D3513">
        <v>21</v>
      </c>
      <c r="E3513" t="s">
        <v>42</v>
      </c>
      <c r="F3513" t="s">
        <v>37</v>
      </c>
      <c r="G3513" s="2">
        <v>45379</v>
      </c>
      <c r="H3513" s="3">
        <f t="shared" si="54"/>
        <v>1.7753424657534247</v>
      </c>
      <c r="I3513">
        <v>61</v>
      </c>
      <c r="J3513" t="s">
        <v>38</v>
      </c>
      <c r="K3513" t="s">
        <v>56</v>
      </c>
      <c r="L3513" t="s">
        <v>44</v>
      </c>
      <c r="M3513">
        <v>8.4700000000000006</v>
      </c>
      <c r="T3513" t="s">
        <v>45</v>
      </c>
      <c r="U3513">
        <v>4</v>
      </c>
      <c r="V3513">
        <v>6</v>
      </c>
    </row>
    <row r="3514" spans="1:22" x14ac:dyDescent="0.3">
      <c r="A3514">
        <v>3513</v>
      </c>
      <c r="B3514">
        <v>53928</v>
      </c>
      <c r="C3514" s="2">
        <v>37157</v>
      </c>
      <c r="D3514">
        <v>24</v>
      </c>
      <c r="E3514" t="s">
        <v>42</v>
      </c>
      <c r="F3514" t="s">
        <v>50</v>
      </c>
      <c r="G3514" s="2">
        <v>45374</v>
      </c>
      <c r="H3514" s="3">
        <f t="shared" si="54"/>
        <v>1.2931506849315069</v>
      </c>
      <c r="I3514">
        <v>69</v>
      </c>
      <c r="J3514" t="s">
        <v>57</v>
      </c>
      <c r="K3514" t="s">
        <v>68</v>
      </c>
      <c r="L3514" t="s">
        <v>44</v>
      </c>
      <c r="M3514">
        <v>17</v>
      </c>
      <c r="T3514" t="s">
        <v>47</v>
      </c>
      <c r="U3514">
        <v>2</v>
      </c>
      <c r="V3514">
        <v>6</v>
      </c>
    </row>
    <row r="3515" spans="1:22" x14ac:dyDescent="0.3">
      <c r="A3515">
        <v>3514</v>
      </c>
      <c r="B3515">
        <v>53929</v>
      </c>
      <c r="C3515" s="2">
        <v>38759</v>
      </c>
      <c r="D3515">
        <v>19</v>
      </c>
      <c r="E3515" t="s">
        <v>42</v>
      </c>
      <c r="F3515" t="s">
        <v>50</v>
      </c>
      <c r="G3515" s="2">
        <v>45550</v>
      </c>
      <c r="H3515" s="3">
        <f t="shared" si="54"/>
        <v>1.0821917808219179</v>
      </c>
      <c r="I3515">
        <v>81</v>
      </c>
      <c r="J3515" t="s">
        <v>57</v>
      </c>
      <c r="K3515" t="s">
        <v>56</v>
      </c>
      <c r="L3515" t="s">
        <v>44</v>
      </c>
      <c r="M3515">
        <v>8.4700000000000006</v>
      </c>
      <c r="T3515" t="s">
        <v>45</v>
      </c>
      <c r="U3515">
        <v>2</v>
      </c>
      <c r="V3515">
        <v>5</v>
      </c>
    </row>
    <row r="3516" spans="1:22" x14ac:dyDescent="0.3">
      <c r="A3516">
        <v>3515</v>
      </c>
      <c r="B3516">
        <v>53930</v>
      </c>
      <c r="C3516" s="2">
        <v>38696</v>
      </c>
      <c r="D3516">
        <v>20</v>
      </c>
      <c r="E3516" t="s">
        <v>36</v>
      </c>
      <c r="F3516" t="s">
        <v>50</v>
      </c>
      <c r="G3516" s="2">
        <v>45627</v>
      </c>
      <c r="H3516" s="3">
        <f t="shared" si="54"/>
        <v>1.0575342465753426</v>
      </c>
      <c r="I3516">
        <v>91</v>
      </c>
      <c r="J3516" t="s">
        <v>57</v>
      </c>
      <c r="K3516" t="s">
        <v>65</v>
      </c>
      <c r="L3516" t="s">
        <v>44</v>
      </c>
      <c r="M3516">
        <v>10.64</v>
      </c>
      <c r="T3516" t="s">
        <v>49</v>
      </c>
      <c r="U3516">
        <v>0</v>
      </c>
      <c r="V3516">
        <v>4</v>
      </c>
    </row>
    <row r="3517" spans="1:22" x14ac:dyDescent="0.3">
      <c r="A3517">
        <v>3516</v>
      </c>
      <c r="B3517">
        <v>53931</v>
      </c>
      <c r="C3517" s="2">
        <v>35462</v>
      </c>
      <c r="D3517">
        <v>29</v>
      </c>
      <c r="E3517" t="s">
        <v>36</v>
      </c>
      <c r="F3517" t="s">
        <v>50</v>
      </c>
      <c r="G3517" s="2">
        <v>45636</v>
      </c>
      <c r="H3517" s="3">
        <f t="shared" si="54"/>
        <v>1.5424657534246575</v>
      </c>
      <c r="I3517">
        <v>92</v>
      </c>
      <c r="J3517" t="s">
        <v>57</v>
      </c>
      <c r="K3517" t="s">
        <v>46</v>
      </c>
      <c r="L3517" t="s">
        <v>44</v>
      </c>
      <c r="M3517">
        <v>14.23</v>
      </c>
      <c r="T3517" t="s">
        <v>47</v>
      </c>
      <c r="U3517">
        <v>1</v>
      </c>
      <c r="V3517">
        <v>4</v>
      </c>
    </row>
    <row r="3518" spans="1:22" x14ac:dyDescent="0.3">
      <c r="A3518">
        <v>3517</v>
      </c>
      <c r="B3518">
        <v>53932</v>
      </c>
      <c r="C3518" s="2">
        <v>38708</v>
      </c>
      <c r="D3518">
        <v>20</v>
      </c>
      <c r="E3518" t="s">
        <v>42</v>
      </c>
      <c r="F3518" t="s">
        <v>37</v>
      </c>
      <c r="G3518" s="2">
        <v>45459</v>
      </c>
      <c r="H3518" s="3">
        <f t="shared" si="54"/>
        <v>1.5287671232876712</v>
      </c>
      <c r="I3518">
        <v>99</v>
      </c>
      <c r="J3518" t="s">
        <v>57</v>
      </c>
      <c r="K3518" t="s">
        <v>56</v>
      </c>
      <c r="L3518" t="s">
        <v>44</v>
      </c>
      <c r="M3518">
        <v>8.4700000000000006</v>
      </c>
      <c r="T3518" t="s">
        <v>49</v>
      </c>
      <c r="U3518">
        <v>4</v>
      </c>
      <c r="V3518">
        <v>6</v>
      </c>
    </row>
    <row r="3519" spans="1:22" x14ac:dyDescent="0.3">
      <c r="A3519">
        <v>3518</v>
      </c>
      <c r="B3519">
        <v>53933</v>
      </c>
      <c r="C3519" s="2">
        <v>37446</v>
      </c>
      <c r="D3519">
        <v>23</v>
      </c>
      <c r="E3519" t="s">
        <v>42</v>
      </c>
      <c r="F3519" t="s">
        <v>50</v>
      </c>
      <c r="G3519" s="2">
        <v>45464</v>
      </c>
      <c r="H3519" s="3">
        <f t="shared" si="54"/>
        <v>1.747945205479452</v>
      </c>
      <c r="I3519">
        <v>117</v>
      </c>
      <c r="J3519" t="s">
        <v>57</v>
      </c>
      <c r="K3519" t="s">
        <v>55</v>
      </c>
      <c r="L3519" t="s">
        <v>44</v>
      </c>
      <c r="M3519">
        <v>17.59</v>
      </c>
      <c r="T3519" t="s">
        <v>52</v>
      </c>
      <c r="U3519">
        <v>2</v>
      </c>
      <c r="V3519">
        <v>7</v>
      </c>
    </row>
    <row r="3520" spans="1:22" x14ac:dyDescent="0.3">
      <c r="A3520">
        <v>3519</v>
      </c>
      <c r="B3520">
        <v>53934</v>
      </c>
      <c r="C3520" s="2">
        <v>39121</v>
      </c>
      <c r="D3520">
        <v>18</v>
      </c>
      <c r="E3520" t="s">
        <v>42</v>
      </c>
      <c r="F3520" t="s">
        <v>37</v>
      </c>
      <c r="G3520" s="2">
        <v>45384</v>
      </c>
      <c r="H3520" s="3">
        <f t="shared" si="54"/>
        <v>1.189041095890411</v>
      </c>
      <c r="I3520">
        <v>122</v>
      </c>
      <c r="J3520" t="s">
        <v>57</v>
      </c>
      <c r="K3520" t="s">
        <v>56</v>
      </c>
      <c r="L3520" t="s">
        <v>44</v>
      </c>
      <c r="M3520">
        <v>8.4700000000000006</v>
      </c>
      <c r="T3520" t="s">
        <v>45</v>
      </c>
      <c r="U3520">
        <v>2</v>
      </c>
      <c r="V3520">
        <v>6</v>
      </c>
    </row>
    <row r="3521" spans="1:22" x14ac:dyDescent="0.3">
      <c r="A3521">
        <v>3520</v>
      </c>
      <c r="B3521">
        <v>53935</v>
      </c>
      <c r="C3521" s="2">
        <v>37211</v>
      </c>
      <c r="D3521">
        <v>24</v>
      </c>
      <c r="E3521" t="s">
        <v>42</v>
      </c>
      <c r="F3521" t="s">
        <v>50</v>
      </c>
      <c r="G3521" s="2">
        <v>45588</v>
      </c>
      <c r="H3521" s="3">
        <f t="shared" si="54"/>
        <v>1.2082191780821918</v>
      </c>
      <c r="I3521">
        <v>130</v>
      </c>
      <c r="J3521" t="s">
        <v>57</v>
      </c>
      <c r="K3521" t="s">
        <v>56</v>
      </c>
      <c r="L3521" t="s">
        <v>44</v>
      </c>
      <c r="M3521">
        <v>8.4700000000000006</v>
      </c>
      <c r="T3521" t="s">
        <v>47</v>
      </c>
      <c r="U3521">
        <v>1</v>
      </c>
      <c r="V3521">
        <v>5</v>
      </c>
    </row>
    <row r="3522" spans="1:22" x14ac:dyDescent="0.3">
      <c r="A3522">
        <v>3521</v>
      </c>
      <c r="B3522">
        <v>53936</v>
      </c>
      <c r="C3522" s="2">
        <v>38063</v>
      </c>
      <c r="D3522">
        <v>21</v>
      </c>
      <c r="E3522" t="s">
        <v>42</v>
      </c>
      <c r="F3522" t="s">
        <v>50</v>
      </c>
      <c r="G3522" s="2">
        <v>45581</v>
      </c>
      <c r="H3522" s="3">
        <f t="shared" si="54"/>
        <v>1.7945205479452055</v>
      </c>
      <c r="I3522">
        <v>133</v>
      </c>
      <c r="J3522" t="s">
        <v>57</v>
      </c>
      <c r="K3522" t="s">
        <v>65</v>
      </c>
      <c r="L3522" t="s">
        <v>44</v>
      </c>
      <c r="M3522">
        <v>10.64</v>
      </c>
      <c r="T3522" t="s">
        <v>52</v>
      </c>
      <c r="U3522">
        <v>0</v>
      </c>
      <c r="V3522">
        <v>7</v>
      </c>
    </row>
    <row r="3523" spans="1:22" x14ac:dyDescent="0.3">
      <c r="A3523">
        <v>3522</v>
      </c>
      <c r="B3523">
        <v>53937</v>
      </c>
      <c r="C3523" s="2">
        <v>38014</v>
      </c>
      <c r="D3523">
        <v>21</v>
      </c>
      <c r="E3523" t="s">
        <v>36</v>
      </c>
      <c r="F3523" t="s">
        <v>50</v>
      </c>
      <c r="G3523" s="2">
        <v>45367</v>
      </c>
      <c r="H3523" s="3">
        <f t="shared" ref="H3523:H3586" si="55">DATEDIF(G3524,DATE(2025,12,31),"d")/365</f>
        <v>1.3013698630136987</v>
      </c>
      <c r="I3523">
        <v>141</v>
      </c>
      <c r="J3523" t="s">
        <v>57</v>
      </c>
      <c r="K3523" t="s">
        <v>46</v>
      </c>
      <c r="L3523" t="s">
        <v>44</v>
      </c>
      <c r="M3523">
        <v>14.23</v>
      </c>
      <c r="T3523" t="s">
        <v>49</v>
      </c>
      <c r="U3523">
        <v>0</v>
      </c>
      <c r="V3523">
        <v>4</v>
      </c>
    </row>
    <row r="3524" spans="1:22" x14ac:dyDescent="0.3">
      <c r="A3524">
        <v>3523</v>
      </c>
      <c r="B3524">
        <v>53938</v>
      </c>
      <c r="C3524" s="2">
        <v>37038</v>
      </c>
      <c r="D3524">
        <v>24</v>
      </c>
      <c r="E3524" t="s">
        <v>36</v>
      </c>
      <c r="F3524" t="s">
        <v>50</v>
      </c>
      <c r="G3524" s="2">
        <v>45547</v>
      </c>
      <c r="H3524" s="3">
        <f t="shared" si="55"/>
        <v>1.5178082191780822</v>
      </c>
      <c r="I3524">
        <v>142</v>
      </c>
      <c r="J3524" t="s">
        <v>57</v>
      </c>
      <c r="K3524" t="s">
        <v>55</v>
      </c>
      <c r="L3524" t="s">
        <v>44</v>
      </c>
      <c r="M3524">
        <v>17.59</v>
      </c>
      <c r="T3524" t="s">
        <v>49</v>
      </c>
      <c r="U3524">
        <v>1</v>
      </c>
      <c r="V3524">
        <v>4</v>
      </c>
    </row>
    <row r="3525" spans="1:22" x14ac:dyDescent="0.3">
      <c r="A3525">
        <v>3524</v>
      </c>
      <c r="B3525">
        <v>53939</v>
      </c>
      <c r="C3525" s="2">
        <v>37863</v>
      </c>
      <c r="D3525">
        <v>22</v>
      </c>
      <c r="E3525" t="s">
        <v>42</v>
      </c>
      <c r="F3525" t="s">
        <v>50</v>
      </c>
      <c r="G3525" s="2">
        <v>45468</v>
      </c>
      <c r="H3525" s="3">
        <f t="shared" si="55"/>
        <v>1.3260273972602741</v>
      </c>
      <c r="I3525">
        <v>3</v>
      </c>
      <c r="J3525" t="s">
        <v>38</v>
      </c>
      <c r="K3525" t="s">
        <v>56</v>
      </c>
      <c r="L3525" t="s">
        <v>44</v>
      </c>
      <c r="M3525">
        <v>8.4700000000000006</v>
      </c>
      <c r="T3525" t="s">
        <v>52</v>
      </c>
      <c r="U3525">
        <v>0</v>
      </c>
      <c r="V3525">
        <v>5</v>
      </c>
    </row>
    <row r="3526" spans="1:22" x14ac:dyDescent="0.3">
      <c r="A3526">
        <v>3525</v>
      </c>
      <c r="B3526">
        <v>53940</v>
      </c>
      <c r="C3526" s="2">
        <v>38984</v>
      </c>
      <c r="D3526">
        <v>19</v>
      </c>
      <c r="E3526" t="s">
        <v>42</v>
      </c>
      <c r="F3526" t="s">
        <v>50</v>
      </c>
      <c r="G3526" s="2">
        <v>45538</v>
      </c>
      <c r="H3526" s="3">
        <f t="shared" si="55"/>
        <v>1.5780821917808219</v>
      </c>
      <c r="I3526">
        <v>5</v>
      </c>
      <c r="J3526" t="s">
        <v>38</v>
      </c>
      <c r="K3526" t="s">
        <v>56</v>
      </c>
      <c r="L3526" t="s">
        <v>44</v>
      </c>
      <c r="M3526">
        <v>8.4700000000000006</v>
      </c>
      <c r="T3526" t="s">
        <v>49</v>
      </c>
      <c r="U3526">
        <v>2</v>
      </c>
      <c r="V3526">
        <v>5</v>
      </c>
    </row>
    <row r="3527" spans="1:22" x14ac:dyDescent="0.3">
      <c r="A3527">
        <v>3526</v>
      </c>
      <c r="B3527">
        <v>53941</v>
      </c>
      <c r="C3527" s="2">
        <v>36974</v>
      </c>
      <c r="D3527">
        <v>24</v>
      </c>
      <c r="E3527" t="s">
        <v>42</v>
      </c>
      <c r="F3527" t="s">
        <v>37</v>
      </c>
      <c r="G3527" s="2">
        <v>45446</v>
      </c>
      <c r="H3527" s="3">
        <f t="shared" si="55"/>
        <v>1.7808219178082192</v>
      </c>
      <c r="I3527">
        <v>7</v>
      </c>
      <c r="J3527" t="s">
        <v>38</v>
      </c>
      <c r="K3527" t="s">
        <v>68</v>
      </c>
      <c r="L3527" t="s">
        <v>44</v>
      </c>
      <c r="M3527">
        <v>17</v>
      </c>
      <c r="T3527" t="s">
        <v>52</v>
      </c>
      <c r="U3527">
        <v>4</v>
      </c>
      <c r="V3527">
        <v>5</v>
      </c>
    </row>
    <row r="3528" spans="1:22" x14ac:dyDescent="0.3">
      <c r="A3528">
        <v>3527</v>
      </c>
      <c r="B3528">
        <v>53942</v>
      </c>
      <c r="C3528" s="2">
        <v>38930</v>
      </c>
      <c r="D3528">
        <v>20</v>
      </c>
      <c r="E3528" t="s">
        <v>42</v>
      </c>
      <c r="F3528" t="s">
        <v>50</v>
      </c>
      <c r="G3528" s="2">
        <v>45372</v>
      </c>
      <c r="H3528" s="3">
        <f t="shared" si="55"/>
        <v>1.6931506849315068</v>
      </c>
      <c r="I3528">
        <v>7</v>
      </c>
      <c r="J3528" t="s">
        <v>38</v>
      </c>
      <c r="K3528" t="s">
        <v>56</v>
      </c>
      <c r="L3528" t="s">
        <v>44</v>
      </c>
      <c r="M3528">
        <v>8.4700000000000006</v>
      </c>
      <c r="T3528" t="s">
        <v>47</v>
      </c>
      <c r="U3528">
        <v>3</v>
      </c>
      <c r="V3528">
        <v>6</v>
      </c>
    </row>
    <row r="3529" spans="1:22" x14ac:dyDescent="0.3">
      <c r="A3529">
        <v>3528</v>
      </c>
      <c r="B3529">
        <v>53943</v>
      </c>
      <c r="C3529" s="2">
        <v>38567</v>
      </c>
      <c r="D3529">
        <v>20</v>
      </c>
      <c r="E3529" t="s">
        <v>42</v>
      </c>
      <c r="F3529" t="s">
        <v>50</v>
      </c>
      <c r="G3529" s="2">
        <v>45404</v>
      </c>
      <c r="H3529" s="3">
        <f t="shared" si="55"/>
        <v>1.021917808219178</v>
      </c>
      <c r="I3529">
        <v>12</v>
      </c>
      <c r="J3529" t="s">
        <v>38</v>
      </c>
      <c r="K3529" t="s">
        <v>65</v>
      </c>
      <c r="L3529" t="s">
        <v>44</v>
      </c>
      <c r="M3529">
        <v>10.64</v>
      </c>
      <c r="T3529" t="s">
        <v>45</v>
      </c>
      <c r="U3529">
        <v>1</v>
      </c>
      <c r="V3529">
        <v>5</v>
      </c>
    </row>
    <row r="3530" spans="1:22" x14ac:dyDescent="0.3">
      <c r="A3530">
        <v>3529</v>
      </c>
      <c r="B3530">
        <v>53944</v>
      </c>
      <c r="C3530" s="2">
        <v>37724</v>
      </c>
      <c r="D3530">
        <v>22</v>
      </c>
      <c r="E3530" t="s">
        <v>42</v>
      </c>
      <c r="F3530" t="s">
        <v>50</v>
      </c>
      <c r="G3530" s="2">
        <v>45649</v>
      </c>
      <c r="H3530" s="3">
        <f t="shared" si="55"/>
        <v>1.7232876712328766</v>
      </c>
      <c r="I3530">
        <v>13</v>
      </c>
      <c r="J3530" t="s">
        <v>38</v>
      </c>
      <c r="K3530" t="s">
        <v>64</v>
      </c>
      <c r="L3530" t="s">
        <v>44</v>
      </c>
      <c r="M3530">
        <v>14.07</v>
      </c>
      <c r="T3530" t="s">
        <v>52</v>
      </c>
      <c r="U3530">
        <v>0</v>
      </c>
      <c r="V3530">
        <v>5</v>
      </c>
    </row>
    <row r="3531" spans="1:22" x14ac:dyDescent="0.3">
      <c r="A3531">
        <v>3530</v>
      </c>
      <c r="B3531">
        <v>53945</v>
      </c>
      <c r="C3531" s="2">
        <v>38637</v>
      </c>
      <c r="D3531">
        <v>20</v>
      </c>
      <c r="E3531" t="s">
        <v>42</v>
      </c>
      <c r="F3531" t="s">
        <v>37</v>
      </c>
      <c r="G3531" s="2">
        <v>45393</v>
      </c>
      <c r="H3531" s="3">
        <f t="shared" si="55"/>
        <v>1.1287671232876713</v>
      </c>
      <c r="I3531">
        <v>20</v>
      </c>
      <c r="J3531" t="s">
        <v>38</v>
      </c>
      <c r="K3531" t="s">
        <v>56</v>
      </c>
      <c r="L3531" t="s">
        <v>44</v>
      </c>
      <c r="M3531">
        <v>8.4700000000000006</v>
      </c>
      <c r="T3531" t="s">
        <v>45</v>
      </c>
      <c r="U3531">
        <v>2</v>
      </c>
      <c r="V3531">
        <v>6</v>
      </c>
    </row>
    <row r="3532" spans="1:22" x14ac:dyDescent="0.3">
      <c r="A3532">
        <v>3531</v>
      </c>
      <c r="B3532">
        <v>53946</v>
      </c>
      <c r="C3532" s="2">
        <v>37585</v>
      </c>
      <c r="D3532">
        <v>23</v>
      </c>
      <c r="E3532" t="s">
        <v>42</v>
      </c>
      <c r="F3532" t="s">
        <v>37</v>
      </c>
      <c r="G3532" s="2">
        <v>45610</v>
      </c>
      <c r="H3532" s="3">
        <f t="shared" si="55"/>
        <v>1.484931506849315</v>
      </c>
      <c r="I3532">
        <v>21</v>
      </c>
      <c r="J3532" t="s">
        <v>38</v>
      </c>
      <c r="K3532" t="s">
        <v>55</v>
      </c>
      <c r="L3532" t="s">
        <v>44</v>
      </c>
      <c r="M3532">
        <v>17.59</v>
      </c>
      <c r="T3532" t="s">
        <v>45</v>
      </c>
      <c r="U3532">
        <v>2</v>
      </c>
      <c r="V3532">
        <v>5</v>
      </c>
    </row>
    <row r="3533" spans="1:22" x14ac:dyDescent="0.3">
      <c r="A3533">
        <v>3532</v>
      </c>
      <c r="B3533">
        <v>53947</v>
      </c>
      <c r="C3533" s="2">
        <v>37613</v>
      </c>
      <c r="D3533">
        <v>23</v>
      </c>
      <c r="E3533" t="s">
        <v>42</v>
      </c>
      <c r="F3533" t="s">
        <v>50</v>
      </c>
      <c r="G3533" s="2">
        <v>45480</v>
      </c>
      <c r="H3533" s="3">
        <f t="shared" si="55"/>
        <v>1.0246575342465754</v>
      </c>
      <c r="I3533">
        <v>22</v>
      </c>
      <c r="J3533" t="s">
        <v>38</v>
      </c>
      <c r="K3533" t="s">
        <v>68</v>
      </c>
      <c r="L3533" t="s">
        <v>44</v>
      </c>
      <c r="M3533">
        <v>17</v>
      </c>
      <c r="T3533" t="s">
        <v>47</v>
      </c>
      <c r="U3533">
        <v>2</v>
      </c>
      <c r="V3533">
        <v>5</v>
      </c>
    </row>
    <row r="3534" spans="1:22" x14ac:dyDescent="0.3">
      <c r="A3534">
        <v>3533</v>
      </c>
      <c r="B3534">
        <v>53948</v>
      </c>
      <c r="C3534" s="2">
        <v>38434</v>
      </c>
      <c r="D3534">
        <v>20</v>
      </c>
      <c r="E3534" t="s">
        <v>42</v>
      </c>
      <c r="F3534" t="s">
        <v>50</v>
      </c>
      <c r="G3534" s="2">
        <v>45648</v>
      </c>
      <c r="H3534" s="3">
        <f t="shared" si="55"/>
        <v>1.5945205479452054</v>
      </c>
      <c r="I3534">
        <v>22</v>
      </c>
      <c r="J3534" t="s">
        <v>38</v>
      </c>
      <c r="K3534" t="s">
        <v>43</v>
      </c>
      <c r="L3534" t="s">
        <v>44</v>
      </c>
      <c r="M3534">
        <v>16.37</v>
      </c>
      <c r="T3534" t="s">
        <v>47</v>
      </c>
      <c r="U3534">
        <v>1</v>
      </c>
      <c r="V3534">
        <v>6</v>
      </c>
    </row>
    <row r="3535" spans="1:22" x14ac:dyDescent="0.3">
      <c r="A3535">
        <v>3534</v>
      </c>
      <c r="B3535">
        <v>53949</v>
      </c>
      <c r="C3535" s="2">
        <v>38350</v>
      </c>
      <c r="D3535">
        <v>21</v>
      </c>
      <c r="E3535" t="s">
        <v>42</v>
      </c>
      <c r="F3535" t="s">
        <v>37</v>
      </c>
      <c r="G3535" s="2">
        <v>45440</v>
      </c>
      <c r="H3535" s="3">
        <f t="shared" si="55"/>
        <v>1.7835616438356163</v>
      </c>
      <c r="I3535">
        <v>22</v>
      </c>
      <c r="J3535" t="s">
        <v>38</v>
      </c>
      <c r="K3535" t="s">
        <v>56</v>
      </c>
      <c r="L3535" t="s">
        <v>44</v>
      </c>
      <c r="M3535">
        <v>8.4700000000000006</v>
      </c>
      <c r="T3535" t="s">
        <v>47</v>
      </c>
      <c r="U3535">
        <v>0</v>
      </c>
      <c r="V3535">
        <v>6</v>
      </c>
    </row>
    <row r="3536" spans="1:22" x14ac:dyDescent="0.3">
      <c r="A3536">
        <v>3535</v>
      </c>
      <c r="B3536">
        <v>53950</v>
      </c>
      <c r="C3536" s="2">
        <v>39178</v>
      </c>
      <c r="D3536">
        <v>18</v>
      </c>
      <c r="E3536" t="s">
        <v>42</v>
      </c>
      <c r="F3536" t="s">
        <v>50</v>
      </c>
      <c r="G3536" s="2">
        <v>45371</v>
      </c>
      <c r="H3536" s="3">
        <f t="shared" si="55"/>
        <v>1.3589041095890411</v>
      </c>
      <c r="I3536">
        <v>22</v>
      </c>
      <c r="J3536" t="s">
        <v>38</v>
      </c>
      <c r="K3536" t="s">
        <v>56</v>
      </c>
      <c r="L3536" t="s">
        <v>44</v>
      </c>
      <c r="M3536">
        <v>8.4700000000000006</v>
      </c>
      <c r="T3536" t="s">
        <v>47</v>
      </c>
      <c r="U3536">
        <v>1</v>
      </c>
      <c r="V3536">
        <v>5</v>
      </c>
    </row>
    <row r="3537" spans="1:22" x14ac:dyDescent="0.3">
      <c r="A3537">
        <v>3536</v>
      </c>
      <c r="B3537">
        <v>53951</v>
      </c>
      <c r="C3537" s="2">
        <v>38250</v>
      </c>
      <c r="D3537">
        <v>21</v>
      </c>
      <c r="E3537" t="s">
        <v>42</v>
      </c>
      <c r="F3537" t="s">
        <v>37</v>
      </c>
      <c r="G3537" s="2">
        <v>45526</v>
      </c>
      <c r="H3537" s="3">
        <f t="shared" si="55"/>
        <v>1.904109589041096</v>
      </c>
      <c r="I3537">
        <v>22</v>
      </c>
      <c r="J3537" t="s">
        <v>38</v>
      </c>
      <c r="K3537" t="s">
        <v>56</v>
      </c>
      <c r="L3537" t="s">
        <v>44</v>
      </c>
      <c r="M3537">
        <v>8.4700000000000006</v>
      </c>
      <c r="T3537" t="s">
        <v>45</v>
      </c>
      <c r="U3537">
        <v>4</v>
      </c>
      <c r="V3537">
        <v>6</v>
      </c>
    </row>
    <row r="3538" spans="1:22" x14ac:dyDescent="0.3">
      <c r="A3538">
        <v>3537</v>
      </c>
      <c r="B3538">
        <v>53952</v>
      </c>
      <c r="C3538" s="2">
        <v>38717</v>
      </c>
      <c r="D3538">
        <v>20</v>
      </c>
      <c r="E3538" t="s">
        <v>42</v>
      </c>
      <c r="F3538" t="s">
        <v>37</v>
      </c>
      <c r="G3538" s="2">
        <v>45327</v>
      </c>
      <c r="H3538" s="3">
        <f t="shared" si="55"/>
        <v>1.5945205479452054</v>
      </c>
      <c r="I3538">
        <v>23</v>
      </c>
      <c r="J3538" t="s">
        <v>38</v>
      </c>
      <c r="K3538" t="s">
        <v>56</v>
      </c>
      <c r="L3538" t="s">
        <v>44</v>
      </c>
      <c r="M3538">
        <v>8.4700000000000006</v>
      </c>
      <c r="T3538" t="s">
        <v>49</v>
      </c>
      <c r="U3538">
        <v>1</v>
      </c>
      <c r="V3538">
        <v>6</v>
      </c>
    </row>
    <row r="3539" spans="1:22" x14ac:dyDescent="0.3">
      <c r="A3539">
        <v>3538</v>
      </c>
      <c r="B3539">
        <v>53953</v>
      </c>
      <c r="C3539" s="2">
        <v>37942</v>
      </c>
      <c r="D3539">
        <v>22</v>
      </c>
      <c r="E3539" t="s">
        <v>42</v>
      </c>
      <c r="F3539" t="s">
        <v>50</v>
      </c>
      <c r="G3539" s="2">
        <v>45440</v>
      </c>
      <c r="H3539" s="3">
        <f t="shared" si="55"/>
        <v>1.273972602739726</v>
      </c>
      <c r="I3539">
        <v>25</v>
      </c>
      <c r="J3539" t="s">
        <v>38</v>
      </c>
      <c r="K3539" t="s">
        <v>56</v>
      </c>
      <c r="L3539" t="s">
        <v>44</v>
      </c>
      <c r="M3539">
        <v>8.4700000000000006</v>
      </c>
      <c r="T3539" t="s">
        <v>52</v>
      </c>
      <c r="U3539">
        <v>2</v>
      </c>
      <c r="V3539">
        <v>6</v>
      </c>
    </row>
    <row r="3540" spans="1:22" x14ac:dyDescent="0.3">
      <c r="A3540">
        <v>3539</v>
      </c>
      <c r="B3540">
        <v>53954</v>
      </c>
      <c r="C3540" s="2">
        <v>36663</v>
      </c>
      <c r="D3540">
        <v>25</v>
      </c>
      <c r="E3540" t="s">
        <v>36</v>
      </c>
      <c r="F3540" t="s">
        <v>50</v>
      </c>
      <c r="G3540" s="2">
        <v>45557</v>
      </c>
      <c r="H3540" s="3">
        <f t="shared" si="55"/>
        <v>1.6849315068493151</v>
      </c>
      <c r="I3540">
        <v>26</v>
      </c>
      <c r="J3540" t="s">
        <v>38</v>
      </c>
      <c r="K3540" t="s">
        <v>55</v>
      </c>
      <c r="L3540" t="s">
        <v>44</v>
      </c>
      <c r="M3540">
        <v>17.59</v>
      </c>
      <c r="T3540" t="s">
        <v>49</v>
      </c>
      <c r="U3540">
        <v>1</v>
      </c>
      <c r="V3540">
        <v>4</v>
      </c>
    </row>
    <row r="3541" spans="1:22" x14ac:dyDescent="0.3">
      <c r="A3541">
        <v>3540</v>
      </c>
      <c r="B3541">
        <v>53955</v>
      </c>
      <c r="C3541" s="2">
        <v>38628</v>
      </c>
      <c r="D3541">
        <v>20</v>
      </c>
      <c r="E3541" t="s">
        <v>42</v>
      </c>
      <c r="F3541" t="s">
        <v>50</v>
      </c>
      <c r="G3541" s="2">
        <v>45407</v>
      </c>
      <c r="H3541" s="3">
        <f t="shared" si="55"/>
        <v>1.2465753424657535</v>
      </c>
      <c r="I3541">
        <v>26</v>
      </c>
      <c r="J3541" t="s">
        <v>38</v>
      </c>
      <c r="K3541" t="s">
        <v>56</v>
      </c>
      <c r="L3541" t="s">
        <v>44</v>
      </c>
      <c r="M3541">
        <v>8.4700000000000006</v>
      </c>
      <c r="T3541" t="s">
        <v>45</v>
      </c>
      <c r="U3541">
        <v>3</v>
      </c>
      <c r="V3541">
        <v>6</v>
      </c>
    </row>
    <row r="3542" spans="1:22" x14ac:dyDescent="0.3">
      <c r="A3542">
        <v>3541</v>
      </c>
      <c r="B3542">
        <v>53956</v>
      </c>
      <c r="C3542" s="2">
        <v>37061</v>
      </c>
      <c r="D3542">
        <v>24</v>
      </c>
      <c r="E3542" t="s">
        <v>42</v>
      </c>
      <c r="F3542" t="s">
        <v>37</v>
      </c>
      <c r="G3542" s="2">
        <v>45567</v>
      </c>
      <c r="H3542" s="3">
        <f t="shared" si="55"/>
        <v>1.3808219178082193</v>
      </c>
      <c r="I3542">
        <v>27</v>
      </c>
      <c r="J3542" t="s">
        <v>38</v>
      </c>
      <c r="K3542" t="s">
        <v>48</v>
      </c>
      <c r="L3542" t="s">
        <v>44</v>
      </c>
      <c r="M3542">
        <v>8.4700000000000006</v>
      </c>
      <c r="T3542" t="s">
        <v>52</v>
      </c>
      <c r="U3542">
        <v>1</v>
      </c>
      <c r="V3542">
        <v>6</v>
      </c>
    </row>
    <row r="3543" spans="1:22" x14ac:dyDescent="0.3">
      <c r="A3543">
        <v>3542</v>
      </c>
      <c r="B3543">
        <v>53957</v>
      </c>
      <c r="C3543" s="2">
        <v>35968</v>
      </c>
      <c r="D3543">
        <v>27</v>
      </c>
      <c r="E3543" t="s">
        <v>36</v>
      </c>
      <c r="F3543" t="s">
        <v>37</v>
      </c>
      <c r="G3543" s="2">
        <v>45518</v>
      </c>
      <c r="H3543" s="3">
        <f t="shared" si="55"/>
        <v>1.2356164383561643</v>
      </c>
      <c r="I3543">
        <v>27</v>
      </c>
      <c r="J3543" t="s">
        <v>38</v>
      </c>
      <c r="K3543" t="s">
        <v>56</v>
      </c>
      <c r="L3543" t="s">
        <v>44</v>
      </c>
      <c r="M3543">
        <v>8.4700000000000006</v>
      </c>
      <c r="T3543" t="s">
        <v>47</v>
      </c>
      <c r="U3543">
        <v>1</v>
      </c>
      <c r="V3543">
        <v>4</v>
      </c>
    </row>
    <row r="3544" spans="1:22" x14ac:dyDescent="0.3">
      <c r="A3544">
        <v>3543</v>
      </c>
      <c r="B3544">
        <v>53958</v>
      </c>
      <c r="C3544" s="2">
        <v>38115</v>
      </c>
      <c r="D3544">
        <v>21</v>
      </c>
      <c r="E3544" t="s">
        <v>42</v>
      </c>
      <c r="F3544" t="s">
        <v>50</v>
      </c>
      <c r="G3544" s="2">
        <v>45571</v>
      </c>
      <c r="H3544" s="3">
        <f t="shared" si="55"/>
        <v>1.189041095890411</v>
      </c>
      <c r="I3544">
        <v>29</v>
      </c>
      <c r="J3544" t="s">
        <v>38</v>
      </c>
      <c r="K3544" t="s">
        <v>64</v>
      </c>
      <c r="L3544" t="s">
        <v>44</v>
      </c>
      <c r="M3544">
        <v>14.07</v>
      </c>
      <c r="T3544" t="s">
        <v>49</v>
      </c>
      <c r="U3544">
        <v>1</v>
      </c>
      <c r="V3544">
        <v>6</v>
      </c>
    </row>
    <row r="3545" spans="1:22" x14ac:dyDescent="0.3">
      <c r="A3545">
        <v>3544</v>
      </c>
      <c r="B3545">
        <v>53959</v>
      </c>
      <c r="C3545" s="2">
        <v>37331</v>
      </c>
      <c r="D3545">
        <v>23</v>
      </c>
      <c r="E3545" t="s">
        <v>36</v>
      </c>
      <c r="F3545" t="s">
        <v>50</v>
      </c>
      <c r="G3545" s="2">
        <v>45588</v>
      </c>
      <c r="H3545" s="3">
        <f t="shared" si="55"/>
        <v>1.6136986301369862</v>
      </c>
      <c r="I3545">
        <v>29</v>
      </c>
      <c r="J3545" t="s">
        <v>38</v>
      </c>
      <c r="K3545" t="s">
        <v>55</v>
      </c>
      <c r="L3545" t="s">
        <v>44</v>
      </c>
      <c r="M3545">
        <v>17.59</v>
      </c>
      <c r="T3545" t="s">
        <v>45</v>
      </c>
      <c r="U3545">
        <v>0</v>
      </c>
      <c r="V3545">
        <v>4</v>
      </c>
    </row>
    <row r="3546" spans="1:22" x14ac:dyDescent="0.3">
      <c r="A3546">
        <v>3545</v>
      </c>
      <c r="B3546">
        <v>53961</v>
      </c>
      <c r="C3546" s="2">
        <v>39081</v>
      </c>
      <c r="D3546">
        <v>19</v>
      </c>
      <c r="E3546" t="s">
        <v>36</v>
      </c>
      <c r="F3546" t="s">
        <v>50</v>
      </c>
      <c r="G3546" s="2">
        <v>45433</v>
      </c>
      <c r="H3546" s="3">
        <f t="shared" si="55"/>
        <v>1.0794520547945206</v>
      </c>
      <c r="I3546">
        <v>30</v>
      </c>
      <c r="J3546" t="s">
        <v>38</v>
      </c>
      <c r="K3546" t="s">
        <v>56</v>
      </c>
      <c r="L3546" t="s">
        <v>44</v>
      </c>
      <c r="M3546">
        <v>8.4700000000000006</v>
      </c>
      <c r="T3546" t="s">
        <v>49</v>
      </c>
      <c r="U3546">
        <v>1</v>
      </c>
      <c r="V3546">
        <v>4</v>
      </c>
    </row>
    <row r="3547" spans="1:22" x14ac:dyDescent="0.3">
      <c r="A3547">
        <v>3546</v>
      </c>
      <c r="B3547">
        <v>53962</v>
      </c>
      <c r="C3547" s="2">
        <v>36390</v>
      </c>
      <c r="D3547">
        <v>26</v>
      </c>
      <c r="E3547" t="s">
        <v>36</v>
      </c>
      <c r="F3547" t="s">
        <v>50</v>
      </c>
      <c r="G3547" s="2">
        <v>45628</v>
      </c>
      <c r="H3547" s="3">
        <f t="shared" si="55"/>
        <v>1.295890410958904</v>
      </c>
      <c r="I3547">
        <v>31</v>
      </c>
      <c r="J3547" t="s">
        <v>38</v>
      </c>
      <c r="K3547" t="s">
        <v>56</v>
      </c>
      <c r="L3547" t="s">
        <v>44</v>
      </c>
      <c r="M3547">
        <v>8.4700000000000006</v>
      </c>
      <c r="T3547" t="s">
        <v>47</v>
      </c>
      <c r="U3547">
        <v>3</v>
      </c>
      <c r="V3547">
        <v>6</v>
      </c>
    </row>
    <row r="3548" spans="1:22" x14ac:dyDescent="0.3">
      <c r="A3548">
        <v>3547</v>
      </c>
      <c r="B3548">
        <v>53963</v>
      </c>
      <c r="C3548" s="2">
        <v>38447</v>
      </c>
      <c r="D3548">
        <v>20</v>
      </c>
      <c r="E3548" t="s">
        <v>42</v>
      </c>
      <c r="F3548" t="s">
        <v>37</v>
      </c>
      <c r="G3548" s="2">
        <v>45549</v>
      </c>
      <c r="H3548" s="3">
        <f t="shared" si="55"/>
        <v>1.7945205479452055</v>
      </c>
      <c r="I3548">
        <v>32</v>
      </c>
      <c r="J3548" t="s">
        <v>38</v>
      </c>
      <c r="K3548" t="s">
        <v>56</v>
      </c>
      <c r="L3548" t="s">
        <v>44</v>
      </c>
      <c r="M3548">
        <v>8.4700000000000006</v>
      </c>
      <c r="T3548" t="s">
        <v>49</v>
      </c>
      <c r="U3548">
        <v>3</v>
      </c>
      <c r="V3548">
        <v>6</v>
      </c>
    </row>
    <row r="3549" spans="1:22" x14ac:dyDescent="0.3">
      <c r="A3549">
        <v>3548</v>
      </c>
      <c r="B3549">
        <v>53966</v>
      </c>
      <c r="C3549" s="2">
        <v>37973</v>
      </c>
      <c r="D3549">
        <v>22</v>
      </c>
      <c r="E3549" t="s">
        <v>36</v>
      </c>
      <c r="F3549" t="s">
        <v>37</v>
      </c>
      <c r="G3549" s="2">
        <v>45367</v>
      </c>
      <c r="H3549" s="3">
        <f t="shared" si="55"/>
        <v>1.0657534246575342</v>
      </c>
      <c r="I3549">
        <v>34</v>
      </c>
      <c r="J3549" t="s">
        <v>38</v>
      </c>
      <c r="K3549" t="s">
        <v>64</v>
      </c>
      <c r="L3549" t="s">
        <v>44</v>
      </c>
      <c r="M3549">
        <v>14.07</v>
      </c>
      <c r="T3549" t="s">
        <v>45</v>
      </c>
      <c r="U3549">
        <v>1</v>
      </c>
      <c r="V3549">
        <v>4</v>
      </c>
    </row>
    <row r="3550" spans="1:22" x14ac:dyDescent="0.3">
      <c r="A3550">
        <v>3549</v>
      </c>
      <c r="B3550">
        <v>53967</v>
      </c>
      <c r="C3550" s="2">
        <v>35311</v>
      </c>
      <c r="D3550">
        <v>29</v>
      </c>
      <c r="E3550" t="s">
        <v>42</v>
      </c>
      <c r="F3550" t="s">
        <v>50</v>
      </c>
      <c r="G3550" s="2">
        <v>45633</v>
      </c>
      <c r="H3550" s="3">
        <f t="shared" si="55"/>
        <v>1.2794520547945205</v>
      </c>
      <c r="I3550">
        <v>35</v>
      </c>
      <c r="J3550" t="s">
        <v>38</v>
      </c>
      <c r="K3550" t="s">
        <v>68</v>
      </c>
      <c r="L3550" t="s">
        <v>44</v>
      </c>
      <c r="M3550">
        <v>17</v>
      </c>
      <c r="T3550" t="s">
        <v>47</v>
      </c>
      <c r="U3550">
        <v>1</v>
      </c>
      <c r="V3550">
        <v>7</v>
      </c>
    </row>
    <row r="3551" spans="1:22" x14ac:dyDescent="0.3">
      <c r="A3551">
        <v>3550</v>
      </c>
      <c r="B3551">
        <v>53968</v>
      </c>
      <c r="C3551" s="2">
        <v>38718</v>
      </c>
      <c r="D3551">
        <v>20</v>
      </c>
      <c r="E3551" t="s">
        <v>36</v>
      </c>
      <c r="F3551" t="s">
        <v>50</v>
      </c>
      <c r="G3551" s="2">
        <v>45555</v>
      </c>
      <c r="H3551" s="3">
        <f t="shared" si="55"/>
        <v>1.1397260273972603</v>
      </c>
      <c r="I3551">
        <v>35</v>
      </c>
      <c r="J3551" t="s">
        <v>38</v>
      </c>
      <c r="K3551" t="s">
        <v>65</v>
      </c>
      <c r="L3551" t="s">
        <v>44</v>
      </c>
      <c r="M3551">
        <v>10.64</v>
      </c>
      <c r="T3551" t="s">
        <v>49</v>
      </c>
      <c r="U3551">
        <v>1</v>
      </c>
      <c r="V3551">
        <v>5</v>
      </c>
    </row>
    <row r="3552" spans="1:22" x14ac:dyDescent="0.3">
      <c r="A3552">
        <v>3551</v>
      </c>
      <c r="B3552">
        <v>53969</v>
      </c>
      <c r="C3552" s="2">
        <v>38080</v>
      </c>
      <c r="D3552">
        <v>21</v>
      </c>
      <c r="E3552" t="s">
        <v>36</v>
      </c>
      <c r="F3552" t="s">
        <v>50</v>
      </c>
      <c r="G3552" s="2">
        <v>45606</v>
      </c>
      <c r="H3552" s="3">
        <f t="shared" si="55"/>
        <v>1.2876712328767124</v>
      </c>
      <c r="I3552">
        <v>36</v>
      </c>
      <c r="J3552" t="s">
        <v>38</v>
      </c>
      <c r="K3552" t="s">
        <v>65</v>
      </c>
      <c r="L3552" t="s">
        <v>44</v>
      </c>
      <c r="M3552">
        <v>10.64</v>
      </c>
      <c r="T3552" t="s">
        <v>47</v>
      </c>
      <c r="U3552">
        <v>1</v>
      </c>
      <c r="V3552">
        <v>4</v>
      </c>
    </row>
    <row r="3553" spans="1:22" x14ac:dyDescent="0.3">
      <c r="A3553">
        <v>3552</v>
      </c>
      <c r="B3553">
        <v>53970</v>
      </c>
      <c r="C3553" s="2">
        <v>34070</v>
      </c>
      <c r="D3553">
        <v>32</v>
      </c>
      <c r="E3553" t="s">
        <v>42</v>
      </c>
      <c r="F3553" t="s">
        <v>50</v>
      </c>
      <c r="G3553" s="2">
        <v>45552</v>
      </c>
      <c r="H3553" s="3">
        <f t="shared" si="55"/>
        <v>1.5890410958904109</v>
      </c>
      <c r="I3553">
        <v>37</v>
      </c>
      <c r="J3553" t="s">
        <v>38</v>
      </c>
      <c r="K3553" t="s">
        <v>56</v>
      </c>
      <c r="L3553" t="s">
        <v>44</v>
      </c>
      <c r="M3553">
        <v>8.4700000000000006</v>
      </c>
      <c r="T3553" t="s">
        <v>49</v>
      </c>
      <c r="U3553">
        <v>0</v>
      </c>
      <c r="V3553">
        <v>7</v>
      </c>
    </row>
    <row r="3554" spans="1:22" x14ac:dyDescent="0.3">
      <c r="A3554">
        <v>3553</v>
      </c>
      <c r="B3554">
        <v>53971</v>
      </c>
      <c r="C3554" s="2">
        <v>39445</v>
      </c>
      <c r="D3554">
        <v>18</v>
      </c>
      <c r="E3554" t="s">
        <v>42</v>
      </c>
      <c r="F3554" t="s">
        <v>50</v>
      </c>
      <c r="G3554" s="2">
        <v>45442</v>
      </c>
      <c r="H3554" s="3">
        <f t="shared" si="55"/>
        <v>1.8849315068493151</v>
      </c>
      <c r="I3554">
        <v>37</v>
      </c>
      <c r="J3554" t="s">
        <v>38</v>
      </c>
      <c r="K3554" t="s">
        <v>56</v>
      </c>
      <c r="L3554" t="s">
        <v>44</v>
      </c>
      <c r="M3554">
        <v>8.4700000000000006</v>
      </c>
      <c r="T3554" t="s">
        <v>52</v>
      </c>
      <c r="U3554">
        <v>3</v>
      </c>
      <c r="V3554">
        <v>6</v>
      </c>
    </row>
    <row r="3555" spans="1:22" x14ac:dyDescent="0.3">
      <c r="A3555">
        <v>3554</v>
      </c>
      <c r="B3555">
        <v>53972</v>
      </c>
      <c r="C3555" s="2">
        <v>35688</v>
      </c>
      <c r="D3555">
        <v>28</v>
      </c>
      <c r="E3555" t="s">
        <v>42</v>
      </c>
      <c r="F3555" t="s">
        <v>50</v>
      </c>
      <c r="G3555" s="2">
        <v>45334</v>
      </c>
      <c r="H3555" s="3">
        <f t="shared" si="55"/>
        <v>1.3232876712328767</v>
      </c>
      <c r="I3555">
        <v>38</v>
      </c>
      <c r="J3555" t="s">
        <v>38</v>
      </c>
      <c r="K3555" t="s">
        <v>56</v>
      </c>
      <c r="L3555" t="s">
        <v>44</v>
      </c>
      <c r="M3555">
        <v>8.4700000000000006</v>
      </c>
      <c r="T3555" t="s">
        <v>47</v>
      </c>
      <c r="U3555">
        <v>4</v>
      </c>
      <c r="V3555">
        <v>7</v>
      </c>
    </row>
    <row r="3556" spans="1:22" x14ac:dyDescent="0.3">
      <c r="A3556">
        <v>3555</v>
      </c>
      <c r="B3556">
        <v>53973</v>
      </c>
      <c r="C3556" s="2">
        <v>37397</v>
      </c>
      <c r="D3556">
        <v>23</v>
      </c>
      <c r="E3556" t="s">
        <v>36</v>
      </c>
      <c r="F3556" t="s">
        <v>50</v>
      </c>
      <c r="G3556" s="2">
        <v>45539</v>
      </c>
      <c r="H3556" s="3">
        <f t="shared" si="55"/>
        <v>1.1287671232876713</v>
      </c>
      <c r="I3556">
        <v>40</v>
      </c>
      <c r="J3556" t="s">
        <v>38</v>
      </c>
      <c r="K3556" t="s">
        <v>68</v>
      </c>
      <c r="L3556" t="s">
        <v>44</v>
      </c>
      <c r="M3556">
        <v>17</v>
      </c>
      <c r="T3556" t="s">
        <v>49</v>
      </c>
      <c r="U3556">
        <v>2</v>
      </c>
      <c r="V3556">
        <v>5</v>
      </c>
    </row>
    <row r="3557" spans="1:22" x14ac:dyDescent="0.3">
      <c r="A3557">
        <v>3556</v>
      </c>
      <c r="B3557">
        <v>53974</v>
      </c>
      <c r="C3557" s="2">
        <v>38481</v>
      </c>
      <c r="D3557">
        <v>20</v>
      </c>
      <c r="E3557" t="s">
        <v>42</v>
      </c>
      <c r="F3557" t="s">
        <v>50</v>
      </c>
      <c r="G3557" s="2">
        <v>45610</v>
      </c>
      <c r="H3557" s="3">
        <f t="shared" si="55"/>
        <v>1.6465753424657534</v>
      </c>
      <c r="I3557">
        <v>40</v>
      </c>
      <c r="J3557" t="s">
        <v>38</v>
      </c>
      <c r="K3557" t="s">
        <v>56</v>
      </c>
      <c r="L3557" t="s">
        <v>44</v>
      </c>
      <c r="M3557">
        <v>8.4700000000000006</v>
      </c>
      <c r="T3557" t="s">
        <v>45</v>
      </c>
      <c r="U3557">
        <v>3</v>
      </c>
      <c r="V3557">
        <v>6</v>
      </c>
    </row>
    <row r="3558" spans="1:22" x14ac:dyDescent="0.3">
      <c r="A3558">
        <v>3557</v>
      </c>
      <c r="B3558">
        <v>53975</v>
      </c>
      <c r="C3558" s="2">
        <v>38092</v>
      </c>
      <c r="D3558">
        <v>21</v>
      </c>
      <c r="E3558" t="s">
        <v>36</v>
      </c>
      <c r="F3558" t="s">
        <v>50</v>
      </c>
      <c r="G3558" s="2">
        <v>45421</v>
      </c>
      <c r="H3558" s="3">
        <f t="shared" si="55"/>
        <v>1.7972602739726027</v>
      </c>
      <c r="I3558">
        <v>40</v>
      </c>
      <c r="J3558" t="s">
        <v>38</v>
      </c>
      <c r="K3558" t="s">
        <v>56</v>
      </c>
      <c r="L3558" t="s">
        <v>44</v>
      </c>
      <c r="M3558">
        <v>8.4700000000000006</v>
      </c>
      <c r="T3558" t="s">
        <v>49</v>
      </c>
      <c r="U3558">
        <v>1</v>
      </c>
      <c r="V3558">
        <v>6</v>
      </c>
    </row>
    <row r="3559" spans="1:22" x14ac:dyDescent="0.3">
      <c r="A3559">
        <v>3558</v>
      </c>
      <c r="B3559">
        <v>53976</v>
      </c>
      <c r="C3559" s="2">
        <v>37664</v>
      </c>
      <c r="D3559">
        <v>22</v>
      </c>
      <c r="E3559" t="s">
        <v>36</v>
      </c>
      <c r="F3559" t="s">
        <v>50</v>
      </c>
      <c r="G3559" s="2">
        <v>45366</v>
      </c>
      <c r="H3559" s="3">
        <f t="shared" si="55"/>
        <v>1.6410958904109589</v>
      </c>
      <c r="I3559">
        <v>41</v>
      </c>
      <c r="J3559" t="s">
        <v>38</v>
      </c>
      <c r="K3559" t="s">
        <v>65</v>
      </c>
      <c r="L3559" t="s">
        <v>44</v>
      </c>
      <c r="M3559">
        <v>10.64</v>
      </c>
      <c r="T3559" t="s">
        <v>52</v>
      </c>
      <c r="U3559">
        <v>0</v>
      </c>
      <c r="V3559">
        <v>3</v>
      </c>
    </row>
    <row r="3560" spans="1:22" x14ac:dyDescent="0.3">
      <c r="A3560">
        <v>3559</v>
      </c>
      <c r="B3560">
        <v>53977</v>
      </c>
      <c r="C3560" s="2">
        <v>36678</v>
      </c>
      <c r="D3560">
        <v>26</v>
      </c>
      <c r="E3560" t="s">
        <v>42</v>
      </c>
      <c r="F3560" t="s">
        <v>50</v>
      </c>
      <c r="G3560" s="2">
        <v>45423</v>
      </c>
      <c r="H3560" s="3">
        <f t="shared" si="55"/>
        <v>1.2</v>
      </c>
      <c r="I3560">
        <v>42</v>
      </c>
      <c r="J3560" t="s">
        <v>38</v>
      </c>
      <c r="K3560" t="s">
        <v>68</v>
      </c>
      <c r="L3560" t="s">
        <v>44</v>
      </c>
      <c r="M3560">
        <v>17</v>
      </c>
      <c r="T3560" t="s">
        <v>49</v>
      </c>
      <c r="U3560">
        <v>0</v>
      </c>
      <c r="V3560">
        <v>6</v>
      </c>
    </row>
    <row r="3561" spans="1:22" x14ac:dyDescent="0.3">
      <c r="A3561">
        <v>3560</v>
      </c>
      <c r="B3561">
        <v>53978</v>
      </c>
      <c r="C3561" s="2">
        <v>38153</v>
      </c>
      <c r="D3561">
        <v>21</v>
      </c>
      <c r="E3561" t="s">
        <v>36</v>
      </c>
      <c r="F3561" t="s">
        <v>50</v>
      </c>
      <c r="G3561" s="2">
        <v>45584</v>
      </c>
      <c r="H3561" s="3">
        <f t="shared" si="55"/>
        <v>1.2767123287671234</v>
      </c>
      <c r="I3561">
        <v>42</v>
      </c>
      <c r="J3561" t="s">
        <v>38</v>
      </c>
      <c r="K3561" t="s">
        <v>65</v>
      </c>
      <c r="L3561" t="s">
        <v>44</v>
      </c>
      <c r="M3561">
        <v>10.64</v>
      </c>
      <c r="T3561" t="s">
        <v>45</v>
      </c>
      <c r="U3561">
        <v>0</v>
      </c>
      <c r="V3561">
        <v>5</v>
      </c>
    </row>
    <row r="3562" spans="1:22" x14ac:dyDescent="0.3">
      <c r="A3562">
        <v>3561</v>
      </c>
      <c r="B3562">
        <v>53979</v>
      </c>
      <c r="C3562" s="2">
        <v>36193</v>
      </c>
      <c r="D3562">
        <v>26</v>
      </c>
      <c r="E3562" t="s">
        <v>42</v>
      </c>
      <c r="F3562" t="s">
        <v>50</v>
      </c>
      <c r="G3562" s="2">
        <v>45556</v>
      </c>
      <c r="H3562" s="3">
        <f t="shared" si="55"/>
        <v>1.8849315068493151</v>
      </c>
      <c r="I3562">
        <v>42</v>
      </c>
      <c r="J3562" t="s">
        <v>38</v>
      </c>
      <c r="K3562" t="s">
        <v>48</v>
      </c>
      <c r="L3562" t="s">
        <v>44</v>
      </c>
      <c r="M3562">
        <v>8.4700000000000006</v>
      </c>
      <c r="T3562" t="s">
        <v>52</v>
      </c>
      <c r="U3562">
        <v>2</v>
      </c>
      <c r="V3562">
        <v>5</v>
      </c>
    </row>
    <row r="3563" spans="1:22" x14ac:dyDescent="0.3">
      <c r="A3563">
        <v>3562</v>
      </c>
      <c r="B3563">
        <v>53980</v>
      </c>
      <c r="C3563" s="2">
        <v>35115</v>
      </c>
      <c r="D3563">
        <v>29</v>
      </c>
      <c r="E3563" t="s">
        <v>42</v>
      </c>
      <c r="F3563" t="s">
        <v>50</v>
      </c>
      <c r="G3563" s="2">
        <v>45334</v>
      </c>
      <c r="H3563" s="3">
        <f t="shared" si="55"/>
        <v>1.1369863013698631</v>
      </c>
      <c r="I3563">
        <v>43</v>
      </c>
      <c r="J3563" t="s">
        <v>38</v>
      </c>
      <c r="K3563" t="s">
        <v>68</v>
      </c>
      <c r="L3563" t="s">
        <v>44</v>
      </c>
      <c r="M3563">
        <v>17</v>
      </c>
      <c r="T3563" t="s">
        <v>49</v>
      </c>
      <c r="U3563">
        <v>3</v>
      </c>
      <c r="V3563">
        <v>6</v>
      </c>
    </row>
    <row r="3564" spans="1:22" x14ac:dyDescent="0.3">
      <c r="A3564">
        <v>3563</v>
      </c>
      <c r="B3564">
        <v>53981</v>
      </c>
      <c r="C3564" s="2">
        <v>38494</v>
      </c>
      <c r="D3564">
        <v>20</v>
      </c>
      <c r="E3564" t="s">
        <v>42</v>
      </c>
      <c r="F3564" t="s">
        <v>50</v>
      </c>
      <c r="G3564" s="2">
        <v>45607</v>
      </c>
      <c r="H3564" s="3">
        <f t="shared" si="55"/>
        <v>1.6328767123287671</v>
      </c>
      <c r="I3564">
        <v>43</v>
      </c>
      <c r="J3564" t="s">
        <v>38</v>
      </c>
      <c r="K3564" t="s">
        <v>64</v>
      </c>
      <c r="L3564" t="s">
        <v>44</v>
      </c>
      <c r="M3564">
        <v>14.07</v>
      </c>
      <c r="T3564" t="s">
        <v>47</v>
      </c>
      <c r="U3564">
        <v>0</v>
      </c>
      <c r="V3564">
        <v>5</v>
      </c>
    </row>
    <row r="3565" spans="1:22" x14ac:dyDescent="0.3">
      <c r="A3565">
        <v>3564</v>
      </c>
      <c r="B3565">
        <v>53982</v>
      </c>
      <c r="C3565" s="2">
        <v>39273</v>
      </c>
      <c r="D3565">
        <v>18</v>
      </c>
      <c r="E3565" t="s">
        <v>42</v>
      </c>
      <c r="F3565" t="s">
        <v>37</v>
      </c>
      <c r="G3565" s="2">
        <v>45426</v>
      </c>
      <c r="H3565" s="3">
        <f t="shared" si="55"/>
        <v>1.0027397260273974</v>
      </c>
      <c r="I3565">
        <v>43</v>
      </c>
      <c r="J3565" t="s">
        <v>38</v>
      </c>
      <c r="K3565" t="s">
        <v>56</v>
      </c>
      <c r="L3565" t="s">
        <v>44</v>
      </c>
      <c r="M3565">
        <v>8.4700000000000006</v>
      </c>
      <c r="T3565" t="s">
        <v>45</v>
      </c>
      <c r="U3565">
        <v>2</v>
      </c>
      <c r="V3565">
        <v>5</v>
      </c>
    </row>
    <row r="3566" spans="1:22" x14ac:dyDescent="0.3">
      <c r="A3566">
        <v>3565</v>
      </c>
      <c r="B3566">
        <v>53983</v>
      </c>
      <c r="C3566" s="2">
        <v>37524</v>
      </c>
      <c r="D3566">
        <v>23</v>
      </c>
      <c r="E3566" t="s">
        <v>36</v>
      </c>
      <c r="F3566" t="s">
        <v>50</v>
      </c>
      <c r="G3566" s="2">
        <v>45656</v>
      </c>
      <c r="H3566" s="3">
        <f t="shared" si="55"/>
        <v>1.021917808219178</v>
      </c>
      <c r="I3566">
        <v>48</v>
      </c>
      <c r="J3566" t="s">
        <v>38</v>
      </c>
      <c r="K3566" t="s">
        <v>65</v>
      </c>
      <c r="L3566" t="s">
        <v>44</v>
      </c>
      <c r="M3566">
        <v>10.64</v>
      </c>
      <c r="T3566" t="s">
        <v>52</v>
      </c>
      <c r="U3566">
        <v>1</v>
      </c>
      <c r="V3566">
        <v>5</v>
      </c>
    </row>
    <row r="3567" spans="1:22" x14ac:dyDescent="0.3">
      <c r="A3567">
        <v>3566</v>
      </c>
      <c r="B3567">
        <v>53984</v>
      </c>
      <c r="C3567" s="2">
        <v>39408</v>
      </c>
      <c r="D3567">
        <v>18</v>
      </c>
      <c r="E3567" t="s">
        <v>42</v>
      </c>
      <c r="F3567" t="s">
        <v>50</v>
      </c>
      <c r="G3567" s="2">
        <v>45649</v>
      </c>
      <c r="H3567" s="3">
        <f t="shared" si="55"/>
        <v>1.7013698630136986</v>
      </c>
      <c r="I3567">
        <v>49</v>
      </c>
      <c r="J3567" t="s">
        <v>38</v>
      </c>
      <c r="K3567" t="s">
        <v>56</v>
      </c>
      <c r="L3567" t="s">
        <v>44</v>
      </c>
      <c r="M3567">
        <v>8.4700000000000006</v>
      </c>
      <c r="T3567" t="s">
        <v>47</v>
      </c>
      <c r="U3567">
        <v>2</v>
      </c>
      <c r="V3567">
        <v>6</v>
      </c>
    </row>
    <row r="3568" spans="1:22" x14ac:dyDescent="0.3">
      <c r="A3568">
        <v>3567</v>
      </c>
      <c r="B3568">
        <v>53985</v>
      </c>
      <c r="C3568" s="2">
        <v>37410</v>
      </c>
      <c r="D3568">
        <v>23</v>
      </c>
      <c r="E3568" t="s">
        <v>36</v>
      </c>
      <c r="F3568" t="s">
        <v>50</v>
      </c>
      <c r="G3568" s="2">
        <v>45401</v>
      </c>
      <c r="H3568" s="3">
        <f t="shared" si="55"/>
        <v>1.0794520547945206</v>
      </c>
      <c r="I3568">
        <v>51</v>
      </c>
      <c r="J3568" t="s">
        <v>38</v>
      </c>
      <c r="K3568" t="s">
        <v>68</v>
      </c>
      <c r="L3568" t="s">
        <v>44</v>
      </c>
      <c r="M3568">
        <v>17</v>
      </c>
      <c r="T3568" t="s">
        <v>52</v>
      </c>
      <c r="U3568">
        <v>4</v>
      </c>
      <c r="V3568">
        <v>5</v>
      </c>
    </row>
    <row r="3569" spans="1:22" x14ac:dyDescent="0.3">
      <c r="A3569">
        <v>3568</v>
      </c>
      <c r="B3569">
        <v>53986</v>
      </c>
      <c r="C3569" s="2">
        <v>39044</v>
      </c>
      <c r="D3569">
        <v>19</v>
      </c>
      <c r="E3569" t="s">
        <v>42</v>
      </c>
      <c r="F3569" t="s">
        <v>50</v>
      </c>
      <c r="G3569" s="2">
        <v>45628</v>
      </c>
      <c r="H3569" s="3">
        <f t="shared" si="55"/>
        <v>1.0191780821917809</v>
      </c>
      <c r="I3569">
        <v>55</v>
      </c>
      <c r="J3569" t="s">
        <v>38</v>
      </c>
      <c r="K3569" t="s">
        <v>48</v>
      </c>
      <c r="L3569" t="s">
        <v>44</v>
      </c>
      <c r="M3569">
        <v>17.899999999999999</v>
      </c>
      <c r="T3569" t="s">
        <v>49</v>
      </c>
      <c r="U3569">
        <v>1</v>
      </c>
      <c r="V3569">
        <v>6</v>
      </c>
    </row>
    <row r="3570" spans="1:22" x14ac:dyDescent="0.3">
      <c r="A3570">
        <v>3569</v>
      </c>
      <c r="B3570">
        <v>53988</v>
      </c>
      <c r="C3570" s="2">
        <v>38315</v>
      </c>
      <c r="D3570">
        <v>21</v>
      </c>
      <c r="E3570" t="s">
        <v>42</v>
      </c>
      <c r="F3570" t="s">
        <v>50</v>
      </c>
      <c r="G3570" s="2">
        <v>45650</v>
      </c>
      <c r="H3570" s="3">
        <f t="shared" si="55"/>
        <v>1.5095890410958903</v>
      </c>
      <c r="I3570">
        <v>55</v>
      </c>
      <c r="J3570" t="s">
        <v>38</v>
      </c>
      <c r="K3570" t="s">
        <v>56</v>
      </c>
      <c r="L3570" t="s">
        <v>44</v>
      </c>
      <c r="M3570">
        <v>8.4700000000000006</v>
      </c>
      <c r="T3570" t="s">
        <v>47</v>
      </c>
      <c r="U3570">
        <v>2</v>
      </c>
      <c r="V3570">
        <v>5</v>
      </c>
    </row>
    <row r="3571" spans="1:22" x14ac:dyDescent="0.3">
      <c r="A3571">
        <v>3570</v>
      </c>
      <c r="B3571">
        <v>53989</v>
      </c>
      <c r="C3571" s="2">
        <v>37645</v>
      </c>
      <c r="D3571">
        <v>22</v>
      </c>
      <c r="E3571" t="s">
        <v>42</v>
      </c>
      <c r="F3571" t="s">
        <v>50</v>
      </c>
      <c r="G3571" s="2">
        <v>45471</v>
      </c>
      <c r="H3571" s="3">
        <f t="shared" si="55"/>
        <v>1.2054794520547945</v>
      </c>
      <c r="I3571">
        <v>58</v>
      </c>
      <c r="J3571" t="s">
        <v>38</v>
      </c>
      <c r="K3571" t="s">
        <v>56</v>
      </c>
      <c r="L3571" t="s">
        <v>44</v>
      </c>
      <c r="M3571">
        <v>8.4700000000000006</v>
      </c>
      <c r="T3571" t="s">
        <v>47</v>
      </c>
      <c r="U3571">
        <v>4</v>
      </c>
      <c r="V3571">
        <v>5</v>
      </c>
    </row>
    <row r="3572" spans="1:22" x14ac:dyDescent="0.3">
      <c r="A3572">
        <v>3571</v>
      </c>
      <c r="B3572">
        <v>53990</v>
      </c>
      <c r="C3572" s="2">
        <v>37348</v>
      </c>
      <c r="D3572">
        <v>23</v>
      </c>
      <c r="E3572" t="s">
        <v>42</v>
      </c>
      <c r="F3572" t="s">
        <v>50</v>
      </c>
      <c r="G3572" s="2">
        <v>45582</v>
      </c>
      <c r="H3572" s="3">
        <f t="shared" si="55"/>
        <v>1.7068493150684931</v>
      </c>
      <c r="I3572">
        <v>60</v>
      </c>
      <c r="J3572" t="s">
        <v>38</v>
      </c>
      <c r="K3572" t="s">
        <v>55</v>
      </c>
      <c r="L3572" t="s">
        <v>44</v>
      </c>
      <c r="M3572">
        <v>17.59</v>
      </c>
      <c r="T3572" t="s">
        <v>45</v>
      </c>
      <c r="U3572">
        <v>2</v>
      </c>
      <c r="V3572">
        <v>5</v>
      </c>
    </row>
    <row r="3573" spans="1:22" x14ac:dyDescent="0.3">
      <c r="A3573">
        <v>3572</v>
      </c>
      <c r="B3573">
        <v>53991</v>
      </c>
      <c r="C3573" s="2">
        <v>37487</v>
      </c>
      <c r="D3573">
        <v>23</v>
      </c>
      <c r="E3573" t="s">
        <v>42</v>
      </c>
      <c r="F3573" t="s">
        <v>50</v>
      </c>
      <c r="G3573" s="2">
        <v>45399</v>
      </c>
      <c r="H3573" s="3">
        <f t="shared" si="55"/>
        <v>1.4931506849315068</v>
      </c>
      <c r="I3573">
        <v>61</v>
      </c>
      <c r="J3573" t="s">
        <v>38</v>
      </c>
      <c r="K3573" t="s">
        <v>68</v>
      </c>
      <c r="L3573" t="s">
        <v>44</v>
      </c>
      <c r="M3573">
        <v>17</v>
      </c>
      <c r="T3573" t="s">
        <v>49</v>
      </c>
      <c r="U3573">
        <v>1</v>
      </c>
      <c r="V3573">
        <v>6</v>
      </c>
    </row>
    <row r="3574" spans="1:22" x14ac:dyDescent="0.3">
      <c r="A3574">
        <v>3573</v>
      </c>
      <c r="B3574">
        <v>53992</v>
      </c>
      <c r="C3574" s="2">
        <v>34693</v>
      </c>
      <c r="D3574">
        <v>31</v>
      </c>
      <c r="E3574" t="s">
        <v>42</v>
      </c>
      <c r="F3574" t="s">
        <v>50</v>
      </c>
      <c r="G3574" s="2">
        <v>45477</v>
      </c>
      <c r="H3574" s="3">
        <f t="shared" si="55"/>
        <v>1.3808219178082193</v>
      </c>
      <c r="I3574">
        <v>61</v>
      </c>
      <c r="J3574" t="s">
        <v>38</v>
      </c>
      <c r="K3574" t="s">
        <v>43</v>
      </c>
      <c r="L3574" t="s">
        <v>44</v>
      </c>
      <c r="M3574">
        <v>16.37</v>
      </c>
      <c r="T3574" t="s">
        <v>47</v>
      </c>
      <c r="U3574">
        <v>1</v>
      </c>
      <c r="V3574">
        <v>6</v>
      </c>
    </row>
    <row r="3575" spans="1:22" x14ac:dyDescent="0.3">
      <c r="A3575">
        <v>3574</v>
      </c>
      <c r="B3575">
        <v>53994</v>
      </c>
      <c r="C3575" s="2">
        <v>36406</v>
      </c>
      <c r="D3575">
        <v>26</v>
      </c>
      <c r="E3575" t="s">
        <v>42</v>
      </c>
      <c r="F3575" t="s">
        <v>50</v>
      </c>
      <c r="G3575" s="2">
        <v>45518</v>
      </c>
      <c r="H3575" s="3">
        <f t="shared" si="55"/>
        <v>1.5561643835616439</v>
      </c>
      <c r="I3575">
        <v>64</v>
      </c>
      <c r="J3575" t="s">
        <v>38</v>
      </c>
      <c r="K3575" t="s">
        <v>68</v>
      </c>
      <c r="L3575" t="s">
        <v>44</v>
      </c>
      <c r="M3575">
        <v>17</v>
      </c>
      <c r="T3575" t="s">
        <v>47</v>
      </c>
      <c r="U3575">
        <v>2</v>
      </c>
      <c r="V3575">
        <v>7</v>
      </c>
    </row>
    <row r="3576" spans="1:22" x14ac:dyDescent="0.3">
      <c r="A3576">
        <v>3575</v>
      </c>
      <c r="B3576">
        <v>53995</v>
      </c>
      <c r="C3576" s="2">
        <v>37542</v>
      </c>
      <c r="D3576">
        <v>23</v>
      </c>
      <c r="E3576" t="s">
        <v>42</v>
      </c>
      <c r="F3576" t="s">
        <v>50</v>
      </c>
      <c r="G3576" s="2">
        <v>45454</v>
      </c>
      <c r="H3576" s="3">
        <f t="shared" si="55"/>
        <v>1.3945205479452054</v>
      </c>
      <c r="I3576">
        <v>65</v>
      </c>
      <c r="J3576" t="s">
        <v>38</v>
      </c>
      <c r="K3576" t="s">
        <v>64</v>
      </c>
      <c r="L3576" t="s">
        <v>44</v>
      </c>
      <c r="M3576">
        <v>14.07</v>
      </c>
      <c r="T3576" t="s">
        <v>49</v>
      </c>
      <c r="U3576">
        <v>1</v>
      </c>
      <c r="V3576">
        <v>6</v>
      </c>
    </row>
    <row r="3577" spans="1:22" x14ac:dyDescent="0.3">
      <c r="A3577">
        <v>3576</v>
      </c>
      <c r="B3577">
        <v>53996</v>
      </c>
      <c r="C3577" s="2">
        <v>36008</v>
      </c>
      <c r="D3577">
        <v>28</v>
      </c>
      <c r="E3577" t="s">
        <v>42</v>
      </c>
      <c r="F3577" t="s">
        <v>50</v>
      </c>
      <c r="G3577" s="2">
        <v>45513</v>
      </c>
      <c r="H3577" s="3">
        <f t="shared" si="55"/>
        <v>1.7863013698630137</v>
      </c>
      <c r="I3577">
        <v>65</v>
      </c>
      <c r="J3577" t="s">
        <v>38</v>
      </c>
      <c r="K3577" t="s">
        <v>55</v>
      </c>
      <c r="L3577" t="s">
        <v>44</v>
      </c>
      <c r="M3577">
        <v>17.59</v>
      </c>
      <c r="T3577" t="s">
        <v>45</v>
      </c>
      <c r="U3577">
        <v>2</v>
      </c>
      <c r="V3577">
        <v>6</v>
      </c>
    </row>
    <row r="3578" spans="1:22" x14ac:dyDescent="0.3">
      <c r="A3578">
        <v>3577</v>
      </c>
      <c r="B3578">
        <v>53997</v>
      </c>
      <c r="C3578" s="2">
        <v>36470</v>
      </c>
      <c r="D3578">
        <v>26</v>
      </c>
      <c r="E3578" t="s">
        <v>36</v>
      </c>
      <c r="F3578" t="s">
        <v>50</v>
      </c>
      <c r="G3578" s="2">
        <v>45370</v>
      </c>
      <c r="H3578" s="3">
        <f t="shared" si="55"/>
        <v>1.2054794520547945</v>
      </c>
      <c r="I3578">
        <v>65</v>
      </c>
      <c r="J3578" t="s">
        <v>38</v>
      </c>
      <c r="K3578" t="s">
        <v>55</v>
      </c>
      <c r="L3578" t="s">
        <v>44</v>
      </c>
      <c r="M3578">
        <v>17.59</v>
      </c>
      <c r="T3578" t="s">
        <v>52</v>
      </c>
      <c r="U3578">
        <v>4</v>
      </c>
      <c r="V3578">
        <v>5</v>
      </c>
    </row>
    <row r="3579" spans="1:22" x14ac:dyDescent="0.3">
      <c r="A3579">
        <v>3578</v>
      </c>
      <c r="B3579">
        <v>53998</v>
      </c>
      <c r="C3579" s="2">
        <v>37627</v>
      </c>
      <c r="D3579">
        <v>22</v>
      </c>
      <c r="E3579" t="s">
        <v>42</v>
      </c>
      <c r="F3579" t="s">
        <v>50</v>
      </c>
      <c r="G3579" s="2">
        <v>45582</v>
      </c>
      <c r="H3579" s="3">
        <f t="shared" si="55"/>
        <v>1.547945205479452</v>
      </c>
      <c r="I3579">
        <v>65</v>
      </c>
      <c r="J3579" t="s">
        <v>38</v>
      </c>
      <c r="K3579" t="s">
        <v>56</v>
      </c>
      <c r="L3579" t="s">
        <v>44</v>
      </c>
      <c r="M3579">
        <v>8.4700000000000006</v>
      </c>
      <c r="T3579" t="s">
        <v>52</v>
      </c>
      <c r="U3579">
        <v>4</v>
      </c>
      <c r="V3579">
        <v>7</v>
      </c>
    </row>
    <row r="3580" spans="1:22" x14ac:dyDescent="0.3">
      <c r="A3580">
        <v>3579</v>
      </c>
      <c r="B3580">
        <v>53999</v>
      </c>
      <c r="C3580" s="2">
        <v>38863</v>
      </c>
      <c r="D3580">
        <v>19</v>
      </c>
      <c r="E3580" t="s">
        <v>36</v>
      </c>
      <c r="F3580" t="s">
        <v>50</v>
      </c>
      <c r="G3580" s="2">
        <v>45457</v>
      </c>
      <c r="H3580" s="3">
        <f t="shared" si="55"/>
        <v>1.3232876712328767</v>
      </c>
      <c r="I3580">
        <v>65</v>
      </c>
      <c r="J3580" t="s">
        <v>38</v>
      </c>
      <c r="K3580" t="s">
        <v>56</v>
      </c>
      <c r="L3580" t="s">
        <v>44</v>
      </c>
      <c r="M3580">
        <v>8.4700000000000006</v>
      </c>
      <c r="T3580" t="s">
        <v>47</v>
      </c>
      <c r="U3580">
        <v>1</v>
      </c>
      <c r="V3580">
        <v>5</v>
      </c>
    </row>
    <row r="3581" spans="1:22" x14ac:dyDescent="0.3">
      <c r="A3581">
        <v>3580</v>
      </c>
      <c r="B3581">
        <v>54000</v>
      </c>
      <c r="C3581" s="2">
        <v>38277</v>
      </c>
      <c r="D3581">
        <v>21</v>
      </c>
      <c r="E3581" t="s">
        <v>42</v>
      </c>
      <c r="F3581" t="s">
        <v>37</v>
      </c>
      <c r="G3581" s="2">
        <v>45539</v>
      </c>
      <c r="H3581" s="3">
        <f t="shared" si="55"/>
        <v>1.0082191780821919</v>
      </c>
      <c r="I3581">
        <v>68</v>
      </c>
      <c r="J3581" t="s">
        <v>57</v>
      </c>
      <c r="K3581" t="s">
        <v>56</v>
      </c>
      <c r="L3581" t="s">
        <v>44</v>
      </c>
      <c r="M3581">
        <v>8.4700000000000006</v>
      </c>
      <c r="T3581" t="s">
        <v>52</v>
      </c>
      <c r="U3581">
        <v>2</v>
      </c>
      <c r="V3581">
        <v>6</v>
      </c>
    </row>
    <row r="3582" spans="1:22" x14ac:dyDescent="0.3">
      <c r="A3582">
        <v>3581</v>
      </c>
      <c r="B3582">
        <v>54001</v>
      </c>
      <c r="C3582" s="2">
        <v>35148</v>
      </c>
      <c r="D3582">
        <v>29</v>
      </c>
      <c r="E3582" t="s">
        <v>42</v>
      </c>
      <c r="F3582" t="s">
        <v>37</v>
      </c>
      <c r="G3582" s="2">
        <v>45654</v>
      </c>
      <c r="H3582" s="3">
        <f t="shared" si="55"/>
        <v>1.2164383561643837</v>
      </c>
      <c r="I3582">
        <v>70</v>
      </c>
      <c r="J3582" t="s">
        <v>57</v>
      </c>
      <c r="K3582" t="s">
        <v>68</v>
      </c>
      <c r="L3582" t="s">
        <v>44</v>
      </c>
      <c r="M3582">
        <v>17</v>
      </c>
      <c r="T3582" t="s">
        <v>45</v>
      </c>
      <c r="U3582">
        <v>1</v>
      </c>
      <c r="V3582">
        <v>7</v>
      </c>
    </row>
    <row r="3583" spans="1:22" x14ac:dyDescent="0.3">
      <c r="A3583">
        <v>3582</v>
      </c>
      <c r="B3583">
        <v>54002</v>
      </c>
      <c r="C3583" s="2">
        <v>36217</v>
      </c>
      <c r="D3583">
        <v>26</v>
      </c>
      <c r="E3583" t="s">
        <v>36</v>
      </c>
      <c r="F3583" t="s">
        <v>50</v>
      </c>
      <c r="G3583" s="2">
        <v>45578</v>
      </c>
      <c r="H3583" s="3">
        <f t="shared" si="55"/>
        <v>1.3835616438356164</v>
      </c>
      <c r="I3583">
        <v>71</v>
      </c>
      <c r="J3583" t="s">
        <v>57</v>
      </c>
      <c r="K3583" t="s">
        <v>46</v>
      </c>
      <c r="L3583" t="s">
        <v>44</v>
      </c>
      <c r="M3583">
        <v>14.23</v>
      </c>
      <c r="T3583" t="s">
        <v>49</v>
      </c>
      <c r="U3583">
        <v>1</v>
      </c>
      <c r="V3583">
        <v>4</v>
      </c>
    </row>
    <row r="3584" spans="1:22" x14ac:dyDescent="0.3">
      <c r="A3584">
        <v>3583</v>
      </c>
      <c r="B3584">
        <v>54003</v>
      </c>
      <c r="C3584" s="2">
        <v>37596</v>
      </c>
      <c r="D3584">
        <v>23</v>
      </c>
      <c r="E3584" t="s">
        <v>42</v>
      </c>
      <c r="F3584" t="s">
        <v>37</v>
      </c>
      <c r="G3584" s="2">
        <v>45517</v>
      </c>
      <c r="H3584" s="3">
        <f t="shared" si="55"/>
        <v>1.4191780821917808</v>
      </c>
      <c r="I3584">
        <v>71</v>
      </c>
      <c r="J3584" t="s">
        <v>57</v>
      </c>
      <c r="K3584" t="s">
        <v>56</v>
      </c>
      <c r="L3584" t="s">
        <v>44</v>
      </c>
      <c r="M3584">
        <v>8.4700000000000006</v>
      </c>
      <c r="T3584" t="s">
        <v>52</v>
      </c>
      <c r="U3584">
        <v>2</v>
      </c>
      <c r="V3584">
        <v>6</v>
      </c>
    </row>
    <row r="3585" spans="1:22" x14ac:dyDescent="0.3">
      <c r="A3585">
        <v>3584</v>
      </c>
      <c r="B3585">
        <v>54004</v>
      </c>
      <c r="C3585" s="2">
        <v>38425</v>
      </c>
      <c r="D3585">
        <v>20</v>
      </c>
      <c r="E3585" t="s">
        <v>42</v>
      </c>
      <c r="F3585" t="s">
        <v>50</v>
      </c>
      <c r="G3585" s="2">
        <v>45504</v>
      </c>
      <c r="H3585" s="3">
        <f t="shared" si="55"/>
        <v>1.1424657534246576</v>
      </c>
      <c r="I3585">
        <v>81</v>
      </c>
      <c r="J3585" t="s">
        <v>57</v>
      </c>
      <c r="K3585" t="s">
        <v>56</v>
      </c>
      <c r="L3585" t="s">
        <v>44</v>
      </c>
      <c r="M3585">
        <v>8.4700000000000006</v>
      </c>
      <c r="T3585" t="s">
        <v>49</v>
      </c>
      <c r="U3585">
        <v>4</v>
      </c>
      <c r="V3585">
        <v>7</v>
      </c>
    </row>
    <row r="3586" spans="1:22" x14ac:dyDescent="0.3">
      <c r="A3586">
        <v>3585</v>
      </c>
      <c r="B3586">
        <v>54005</v>
      </c>
      <c r="C3586" s="2">
        <v>36776</v>
      </c>
      <c r="D3586">
        <v>25</v>
      </c>
      <c r="E3586" t="s">
        <v>42</v>
      </c>
      <c r="F3586" t="s">
        <v>50</v>
      </c>
      <c r="G3586" s="2">
        <v>45605</v>
      </c>
      <c r="H3586" s="3">
        <f t="shared" si="55"/>
        <v>1.7643835616438357</v>
      </c>
      <c r="I3586">
        <v>81</v>
      </c>
      <c r="J3586" t="s">
        <v>57</v>
      </c>
      <c r="K3586" t="s">
        <v>56</v>
      </c>
      <c r="L3586" t="s">
        <v>44</v>
      </c>
      <c r="M3586">
        <v>8.4700000000000006</v>
      </c>
      <c r="T3586" t="s">
        <v>47</v>
      </c>
      <c r="U3586">
        <v>0</v>
      </c>
      <c r="V3586">
        <v>5</v>
      </c>
    </row>
    <row r="3587" spans="1:22" x14ac:dyDescent="0.3">
      <c r="A3587">
        <v>3586</v>
      </c>
      <c r="B3587">
        <v>54006</v>
      </c>
      <c r="C3587" s="2">
        <v>35553</v>
      </c>
      <c r="D3587">
        <v>28</v>
      </c>
      <c r="E3587" t="s">
        <v>42</v>
      </c>
      <c r="F3587" t="s">
        <v>50</v>
      </c>
      <c r="G3587" s="2">
        <v>45378</v>
      </c>
      <c r="H3587" s="3">
        <f t="shared" ref="H3587:H3650" si="56">DATEDIF(G3588,DATE(2025,12,31),"d")/365</f>
        <v>1.3479452054794521</v>
      </c>
      <c r="I3587">
        <v>86</v>
      </c>
      <c r="J3587" t="s">
        <v>57</v>
      </c>
      <c r="K3587" t="s">
        <v>48</v>
      </c>
      <c r="L3587" t="s">
        <v>44</v>
      </c>
      <c r="M3587">
        <v>8.4700000000000006</v>
      </c>
      <c r="T3587" t="s">
        <v>52</v>
      </c>
      <c r="U3587">
        <v>2</v>
      </c>
      <c r="V3587">
        <v>6</v>
      </c>
    </row>
    <row r="3588" spans="1:22" x14ac:dyDescent="0.3">
      <c r="A3588">
        <v>3587</v>
      </c>
      <c r="B3588">
        <v>54007</v>
      </c>
      <c r="C3588" s="2">
        <v>37879</v>
      </c>
      <c r="D3588">
        <v>22</v>
      </c>
      <c r="E3588" t="s">
        <v>42</v>
      </c>
      <c r="F3588" t="s">
        <v>50</v>
      </c>
      <c r="G3588" s="2">
        <v>45530</v>
      </c>
      <c r="H3588" s="3">
        <f t="shared" si="56"/>
        <v>1.5287671232876712</v>
      </c>
      <c r="I3588">
        <v>86</v>
      </c>
      <c r="J3588" t="s">
        <v>57</v>
      </c>
      <c r="K3588" t="s">
        <v>56</v>
      </c>
      <c r="L3588" t="s">
        <v>44</v>
      </c>
      <c r="M3588">
        <v>8.4700000000000006</v>
      </c>
      <c r="T3588" t="s">
        <v>47</v>
      </c>
      <c r="U3588">
        <v>2</v>
      </c>
      <c r="V3588">
        <v>7</v>
      </c>
    </row>
    <row r="3589" spans="1:22" x14ac:dyDescent="0.3">
      <c r="A3589">
        <v>3588</v>
      </c>
      <c r="B3589">
        <v>54008</v>
      </c>
      <c r="C3589" s="2">
        <v>36032</v>
      </c>
      <c r="D3589">
        <v>27</v>
      </c>
      <c r="E3589" t="s">
        <v>36</v>
      </c>
      <c r="F3589" t="s">
        <v>50</v>
      </c>
      <c r="G3589" s="2">
        <v>45464</v>
      </c>
      <c r="H3589" s="3">
        <f t="shared" si="56"/>
        <v>1.6082191780821917</v>
      </c>
      <c r="I3589">
        <v>86</v>
      </c>
      <c r="J3589" t="s">
        <v>57</v>
      </c>
      <c r="K3589" t="s">
        <v>56</v>
      </c>
      <c r="L3589" t="s">
        <v>44</v>
      </c>
      <c r="M3589">
        <v>8.4700000000000006</v>
      </c>
      <c r="T3589" t="s">
        <v>47</v>
      </c>
      <c r="U3589">
        <v>3</v>
      </c>
      <c r="V3589">
        <v>5</v>
      </c>
    </row>
    <row r="3590" spans="1:22" x14ac:dyDescent="0.3">
      <c r="A3590">
        <v>3589</v>
      </c>
      <c r="B3590">
        <v>54009</v>
      </c>
      <c r="C3590" s="2">
        <v>38514</v>
      </c>
      <c r="D3590">
        <v>20</v>
      </c>
      <c r="E3590" t="s">
        <v>36</v>
      </c>
      <c r="F3590" t="s">
        <v>37</v>
      </c>
      <c r="G3590" s="2">
        <v>45435</v>
      </c>
      <c r="H3590" s="3">
        <f t="shared" si="56"/>
        <v>1.0821917808219179</v>
      </c>
      <c r="I3590">
        <v>87</v>
      </c>
      <c r="J3590" t="s">
        <v>57</v>
      </c>
      <c r="K3590" t="s">
        <v>65</v>
      </c>
      <c r="L3590" t="s">
        <v>44</v>
      </c>
      <c r="M3590">
        <v>10.64</v>
      </c>
      <c r="T3590" t="s">
        <v>52</v>
      </c>
      <c r="U3590">
        <v>1</v>
      </c>
      <c r="V3590">
        <v>3</v>
      </c>
    </row>
    <row r="3591" spans="1:22" x14ac:dyDescent="0.3">
      <c r="A3591">
        <v>3590</v>
      </c>
      <c r="B3591">
        <v>54010</v>
      </c>
      <c r="C3591" s="2">
        <v>38631</v>
      </c>
      <c r="D3591">
        <v>20</v>
      </c>
      <c r="E3591" t="s">
        <v>42</v>
      </c>
      <c r="F3591" t="s">
        <v>50</v>
      </c>
      <c r="G3591" s="2">
        <v>45627</v>
      </c>
      <c r="H3591" s="3">
        <f t="shared" si="56"/>
        <v>1.189041095890411</v>
      </c>
      <c r="I3591">
        <v>95</v>
      </c>
      <c r="J3591" t="s">
        <v>57</v>
      </c>
      <c r="K3591" t="s">
        <v>56</v>
      </c>
      <c r="L3591" t="s">
        <v>44</v>
      </c>
      <c r="M3591">
        <v>8.4700000000000006</v>
      </c>
      <c r="T3591" t="s">
        <v>47</v>
      </c>
      <c r="U3591">
        <v>4</v>
      </c>
      <c r="V3591">
        <v>7</v>
      </c>
    </row>
    <row r="3592" spans="1:22" x14ac:dyDescent="0.3">
      <c r="A3592">
        <v>3591</v>
      </c>
      <c r="B3592">
        <v>54011</v>
      </c>
      <c r="C3592" s="2">
        <v>36298</v>
      </c>
      <c r="D3592">
        <v>26</v>
      </c>
      <c r="E3592" t="s">
        <v>42</v>
      </c>
      <c r="F3592" t="s">
        <v>50</v>
      </c>
      <c r="G3592" s="2">
        <v>45588</v>
      </c>
      <c r="H3592" s="3">
        <f t="shared" si="56"/>
        <v>1.5123287671232877</v>
      </c>
      <c r="I3592">
        <v>95</v>
      </c>
      <c r="J3592" t="s">
        <v>57</v>
      </c>
      <c r="K3592" t="s">
        <v>56</v>
      </c>
      <c r="L3592" t="s">
        <v>44</v>
      </c>
      <c r="M3592">
        <v>8.4700000000000006</v>
      </c>
      <c r="T3592" t="s">
        <v>49</v>
      </c>
      <c r="U3592">
        <v>3</v>
      </c>
      <c r="V3592">
        <v>4</v>
      </c>
    </row>
    <row r="3593" spans="1:22" x14ac:dyDescent="0.3">
      <c r="A3593">
        <v>3592</v>
      </c>
      <c r="B3593">
        <v>54012</v>
      </c>
      <c r="C3593" s="2">
        <v>36348</v>
      </c>
      <c r="D3593">
        <v>26</v>
      </c>
      <c r="E3593" t="s">
        <v>42</v>
      </c>
      <c r="F3593" t="s">
        <v>50</v>
      </c>
      <c r="G3593" s="2">
        <v>45470</v>
      </c>
      <c r="H3593" s="3">
        <f t="shared" si="56"/>
        <v>1.6383561643835616</v>
      </c>
      <c r="I3593">
        <v>98</v>
      </c>
      <c r="J3593" t="s">
        <v>57</v>
      </c>
      <c r="K3593" t="s">
        <v>68</v>
      </c>
      <c r="L3593" t="s">
        <v>44</v>
      </c>
      <c r="M3593">
        <v>17</v>
      </c>
      <c r="T3593" t="s">
        <v>49</v>
      </c>
      <c r="U3593">
        <v>1</v>
      </c>
      <c r="V3593">
        <v>6</v>
      </c>
    </row>
    <row r="3594" spans="1:22" x14ac:dyDescent="0.3">
      <c r="A3594">
        <v>3593</v>
      </c>
      <c r="B3594">
        <v>54013</v>
      </c>
      <c r="C3594" s="2">
        <v>36448</v>
      </c>
      <c r="D3594">
        <v>26</v>
      </c>
      <c r="E3594" t="s">
        <v>42</v>
      </c>
      <c r="F3594" t="s">
        <v>50</v>
      </c>
      <c r="G3594" s="2">
        <v>45424</v>
      </c>
      <c r="H3594" s="3">
        <f t="shared" si="56"/>
        <v>1.4904109589041097</v>
      </c>
      <c r="I3594">
        <v>98</v>
      </c>
      <c r="J3594" t="s">
        <v>57</v>
      </c>
      <c r="K3594" t="s">
        <v>46</v>
      </c>
      <c r="L3594" t="s">
        <v>44</v>
      </c>
      <c r="M3594">
        <v>14.23</v>
      </c>
      <c r="T3594" t="s">
        <v>49</v>
      </c>
      <c r="U3594">
        <v>0</v>
      </c>
      <c r="V3594">
        <v>5</v>
      </c>
    </row>
    <row r="3595" spans="1:22" x14ac:dyDescent="0.3">
      <c r="A3595">
        <v>3594</v>
      </c>
      <c r="B3595">
        <v>54014</v>
      </c>
      <c r="C3595" s="2">
        <v>38945</v>
      </c>
      <c r="D3595">
        <v>19</v>
      </c>
      <c r="E3595" t="s">
        <v>42</v>
      </c>
      <c r="F3595" t="s">
        <v>50</v>
      </c>
      <c r="G3595" s="2">
        <v>45478</v>
      </c>
      <c r="H3595" s="3">
        <f t="shared" si="56"/>
        <v>1.0301369863013699</v>
      </c>
      <c r="I3595">
        <v>98</v>
      </c>
      <c r="J3595" t="s">
        <v>57</v>
      </c>
      <c r="K3595" t="s">
        <v>48</v>
      </c>
      <c r="L3595" t="s">
        <v>44</v>
      </c>
      <c r="M3595">
        <v>8.4700000000000006</v>
      </c>
      <c r="T3595" t="s">
        <v>45</v>
      </c>
      <c r="U3595">
        <v>2</v>
      </c>
      <c r="V3595">
        <v>7</v>
      </c>
    </row>
    <row r="3596" spans="1:22" x14ac:dyDescent="0.3">
      <c r="A3596">
        <v>3595</v>
      </c>
      <c r="B3596">
        <v>54015</v>
      </c>
      <c r="C3596" s="2">
        <v>39197</v>
      </c>
      <c r="D3596">
        <v>18</v>
      </c>
      <c r="E3596" t="s">
        <v>42</v>
      </c>
      <c r="F3596" t="s">
        <v>37</v>
      </c>
      <c r="G3596" s="2">
        <v>45646</v>
      </c>
      <c r="H3596" s="3">
        <f t="shared" si="56"/>
        <v>1.1287671232876713</v>
      </c>
      <c r="I3596">
        <v>98</v>
      </c>
      <c r="J3596" t="s">
        <v>57</v>
      </c>
      <c r="K3596" t="s">
        <v>56</v>
      </c>
      <c r="L3596" t="s">
        <v>44</v>
      </c>
      <c r="M3596">
        <v>8.4700000000000006</v>
      </c>
      <c r="T3596" t="s">
        <v>52</v>
      </c>
      <c r="U3596">
        <v>2</v>
      </c>
      <c r="V3596">
        <v>6</v>
      </c>
    </row>
    <row r="3597" spans="1:22" x14ac:dyDescent="0.3">
      <c r="A3597">
        <v>3596</v>
      </c>
      <c r="B3597">
        <v>54016</v>
      </c>
      <c r="C3597" s="2">
        <v>38480</v>
      </c>
      <c r="D3597">
        <v>20</v>
      </c>
      <c r="E3597" t="s">
        <v>36</v>
      </c>
      <c r="F3597" t="s">
        <v>50</v>
      </c>
      <c r="G3597" s="2">
        <v>45610</v>
      </c>
      <c r="H3597" s="3">
        <f t="shared" si="56"/>
        <v>1.7808219178082192</v>
      </c>
      <c r="I3597">
        <v>103</v>
      </c>
      <c r="J3597" t="s">
        <v>57</v>
      </c>
      <c r="K3597" t="s">
        <v>56</v>
      </c>
      <c r="L3597" t="s">
        <v>44</v>
      </c>
      <c r="M3597">
        <v>8.4700000000000006</v>
      </c>
      <c r="T3597" t="s">
        <v>45</v>
      </c>
      <c r="U3597">
        <v>3</v>
      </c>
      <c r="V3597">
        <v>5</v>
      </c>
    </row>
    <row r="3598" spans="1:22" x14ac:dyDescent="0.3">
      <c r="A3598">
        <v>3597</v>
      </c>
      <c r="B3598">
        <v>54017</v>
      </c>
      <c r="C3598" s="2">
        <v>38679</v>
      </c>
      <c r="D3598">
        <v>20</v>
      </c>
      <c r="E3598" t="s">
        <v>42</v>
      </c>
      <c r="F3598" t="s">
        <v>37</v>
      </c>
      <c r="G3598" s="2">
        <v>45372</v>
      </c>
      <c r="H3598" s="3">
        <f t="shared" si="56"/>
        <v>1.0684931506849316</v>
      </c>
      <c r="I3598">
        <v>103</v>
      </c>
      <c r="J3598" t="s">
        <v>57</v>
      </c>
      <c r="K3598" t="s">
        <v>56</v>
      </c>
      <c r="L3598" t="s">
        <v>44</v>
      </c>
      <c r="M3598">
        <v>8.4700000000000006</v>
      </c>
      <c r="T3598" t="s">
        <v>47</v>
      </c>
      <c r="U3598">
        <v>4</v>
      </c>
      <c r="V3598">
        <v>6</v>
      </c>
    </row>
    <row r="3599" spans="1:22" x14ac:dyDescent="0.3">
      <c r="A3599">
        <v>3598</v>
      </c>
      <c r="B3599">
        <v>54018</v>
      </c>
      <c r="C3599" s="2">
        <v>37984</v>
      </c>
      <c r="D3599">
        <v>22</v>
      </c>
      <c r="E3599" t="s">
        <v>42</v>
      </c>
      <c r="F3599" t="s">
        <v>50</v>
      </c>
      <c r="G3599" s="2">
        <v>45632</v>
      </c>
      <c r="H3599" s="3">
        <f t="shared" si="56"/>
        <v>1.1013698630136985</v>
      </c>
      <c r="I3599">
        <v>107</v>
      </c>
      <c r="J3599" t="s">
        <v>57</v>
      </c>
      <c r="K3599" t="s">
        <v>56</v>
      </c>
      <c r="L3599" t="s">
        <v>44</v>
      </c>
      <c r="M3599">
        <v>8.4700000000000006</v>
      </c>
      <c r="T3599" t="s">
        <v>52</v>
      </c>
      <c r="U3599">
        <v>2</v>
      </c>
      <c r="V3599">
        <v>6</v>
      </c>
    </row>
    <row r="3600" spans="1:22" x14ac:dyDescent="0.3">
      <c r="A3600">
        <v>3599</v>
      </c>
      <c r="B3600">
        <v>54019</v>
      </c>
      <c r="C3600" s="2">
        <v>36134</v>
      </c>
      <c r="D3600">
        <v>27</v>
      </c>
      <c r="E3600" t="s">
        <v>42</v>
      </c>
      <c r="F3600" t="s">
        <v>50</v>
      </c>
      <c r="G3600" s="2">
        <v>45620</v>
      </c>
      <c r="H3600" s="3">
        <f t="shared" si="56"/>
        <v>1.789041095890411</v>
      </c>
      <c r="I3600">
        <v>108</v>
      </c>
      <c r="J3600" t="s">
        <v>57</v>
      </c>
      <c r="K3600" t="s">
        <v>56</v>
      </c>
      <c r="L3600" t="s">
        <v>44</v>
      </c>
      <c r="M3600">
        <v>8.4700000000000006</v>
      </c>
      <c r="T3600" t="s">
        <v>49</v>
      </c>
      <c r="U3600">
        <v>2</v>
      </c>
      <c r="V3600">
        <v>7</v>
      </c>
    </row>
    <row r="3601" spans="1:22" x14ac:dyDescent="0.3">
      <c r="A3601">
        <v>3600</v>
      </c>
      <c r="B3601">
        <v>54020</v>
      </c>
      <c r="C3601" s="2">
        <v>39059</v>
      </c>
      <c r="D3601">
        <v>19</v>
      </c>
      <c r="E3601" t="s">
        <v>42</v>
      </c>
      <c r="F3601" t="s">
        <v>50</v>
      </c>
      <c r="G3601" s="2">
        <v>45369</v>
      </c>
      <c r="H3601" s="3">
        <f t="shared" si="56"/>
        <v>1.2136986301369863</v>
      </c>
      <c r="I3601">
        <v>114</v>
      </c>
      <c r="J3601" t="s">
        <v>57</v>
      </c>
      <c r="K3601" t="s">
        <v>48</v>
      </c>
      <c r="L3601" t="s">
        <v>44</v>
      </c>
      <c r="M3601">
        <v>8.4700000000000006</v>
      </c>
      <c r="T3601" t="s">
        <v>45</v>
      </c>
      <c r="U3601">
        <v>1</v>
      </c>
      <c r="V3601">
        <v>6</v>
      </c>
    </row>
    <row r="3602" spans="1:22" x14ac:dyDescent="0.3">
      <c r="A3602">
        <v>3601</v>
      </c>
      <c r="B3602">
        <v>54021</v>
      </c>
      <c r="C3602" s="2">
        <v>35959</v>
      </c>
      <c r="D3602">
        <v>27</v>
      </c>
      <c r="E3602" t="s">
        <v>42</v>
      </c>
      <c r="F3602" t="s">
        <v>50</v>
      </c>
      <c r="G3602" s="2">
        <v>45579</v>
      </c>
      <c r="H3602" s="3">
        <f t="shared" si="56"/>
        <v>1.558904109589041</v>
      </c>
      <c r="I3602">
        <v>114</v>
      </c>
      <c r="J3602" t="s">
        <v>57</v>
      </c>
      <c r="K3602" t="s">
        <v>56</v>
      </c>
      <c r="L3602" t="s">
        <v>44</v>
      </c>
      <c r="M3602">
        <v>8.4700000000000006</v>
      </c>
      <c r="T3602" t="s">
        <v>45</v>
      </c>
      <c r="U3602">
        <v>4</v>
      </c>
      <c r="V3602">
        <v>7</v>
      </c>
    </row>
    <row r="3603" spans="1:22" x14ac:dyDescent="0.3">
      <c r="A3603">
        <v>3602</v>
      </c>
      <c r="B3603">
        <v>54022</v>
      </c>
      <c r="C3603" s="2">
        <v>36616</v>
      </c>
      <c r="D3603">
        <v>25</v>
      </c>
      <c r="E3603" t="s">
        <v>36</v>
      </c>
      <c r="F3603" t="s">
        <v>50</v>
      </c>
      <c r="G3603" s="2">
        <v>45453</v>
      </c>
      <c r="H3603" s="3">
        <f t="shared" si="56"/>
        <v>1.7068493150684931</v>
      </c>
      <c r="I3603">
        <v>119</v>
      </c>
      <c r="J3603" t="s">
        <v>57</v>
      </c>
      <c r="K3603" t="s">
        <v>55</v>
      </c>
      <c r="L3603" t="s">
        <v>44</v>
      </c>
      <c r="M3603">
        <v>17.59</v>
      </c>
      <c r="T3603" t="s">
        <v>47</v>
      </c>
      <c r="U3603">
        <v>2</v>
      </c>
      <c r="V3603">
        <v>3</v>
      </c>
    </row>
    <row r="3604" spans="1:22" x14ac:dyDescent="0.3">
      <c r="A3604">
        <v>3603</v>
      </c>
      <c r="B3604">
        <v>54024</v>
      </c>
      <c r="C3604" s="2">
        <v>36379</v>
      </c>
      <c r="D3604">
        <v>26</v>
      </c>
      <c r="E3604" t="s">
        <v>42</v>
      </c>
      <c r="F3604" t="s">
        <v>50</v>
      </c>
      <c r="G3604" s="2">
        <v>45399</v>
      </c>
      <c r="H3604" s="3">
        <f t="shared" si="56"/>
        <v>1.6136986301369862</v>
      </c>
      <c r="I3604">
        <v>124</v>
      </c>
      <c r="J3604" t="s">
        <v>57</v>
      </c>
      <c r="K3604" t="s">
        <v>64</v>
      </c>
      <c r="L3604" t="s">
        <v>44</v>
      </c>
      <c r="M3604">
        <v>14.07</v>
      </c>
      <c r="T3604" t="s">
        <v>45</v>
      </c>
      <c r="U3604">
        <v>0</v>
      </c>
      <c r="V3604">
        <v>6</v>
      </c>
    </row>
    <row r="3605" spans="1:22" x14ac:dyDescent="0.3">
      <c r="A3605">
        <v>3604</v>
      </c>
      <c r="B3605">
        <v>54025</v>
      </c>
      <c r="C3605" s="2">
        <v>38965</v>
      </c>
      <c r="D3605">
        <v>19</v>
      </c>
      <c r="E3605" t="s">
        <v>42</v>
      </c>
      <c r="F3605" t="s">
        <v>50</v>
      </c>
      <c r="G3605" s="2">
        <v>45433</v>
      </c>
      <c r="H3605" s="3">
        <f t="shared" si="56"/>
        <v>1.2493150684931507</v>
      </c>
      <c r="I3605">
        <v>124</v>
      </c>
      <c r="J3605" t="s">
        <v>57</v>
      </c>
      <c r="K3605" t="s">
        <v>56</v>
      </c>
      <c r="L3605" t="s">
        <v>44</v>
      </c>
      <c r="M3605">
        <v>8.4700000000000006</v>
      </c>
      <c r="T3605" t="s">
        <v>49</v>
      </c>
      <c r="U3605">
        <v>0</v>
      </c>
      <c r="V3605">
        <v>6</v>
      </c>
    </row>
    <row r="3606" spans="1:22" x14ac:dyDescent="0.3">
      <c r="A3606">
        <v>3605</v>
      </c>
      <c r="B3606">
        <v>54026</v>
      </c>
      <c r="C3606" s="2">
        <v>38034</v>
      </c>
      <c r="D3606">
        <v>21</v>
      </c>
      <c r="E3606" t="s">
        <v>36</v>
      </c>
      <c r="F3606" t="s">
        <v>50</v>
      </c>
      <c r="G3606" s="2">
        <v>45566</v>
      </c>
      <c r="H3606" s="3">
        <f t="shared" si="56"/>
        <v>1.1835616438356165</v>
      </c>
      <c r="I3606">
        <v>126</v>
      </c>
      <c r="J3606" t="s">
        <v>57</v>
      </c>
      <c r="K3606" t="s">
        <v>56</v>
      </c>
      <c r="L3606" t="s">
        <v>44</v>
      </c>
      <c r="M3606">
        <v>8.4700000000000006</v>
      </c>
      <c r="T3606" t="s">
        <v>49</v>
      </c>
      <c r="U3606">
        <v>2</v>
      </c>
      <c r="V3606">
        <v>6</v>
      </c>
    </row>
    <row r="3607" spans="1:22" x14ac:dyDescent="0.3">
      <c r="A3607">
        <v>3606</v>
      </c>
      <c r="B3607">
        <v>54027</v>
      </c>
      <c r="C3607" s="2">
        <v>35863</v>
      </c>
      <c r="D3607">
        <v>27</v>
      </c>
      <c r="E3607" t="s">
        <v>36</v>
      </c>
      <c r="F3607" t="s">
        <v>50</v>
      </c>
      <c r="G3607" s="2">
        <v>45590</v>
      </c>
      <c r="H3607" s="3">
        <f t="shared" si="56"/>
        <v>1.3397260273972602</v>
      </c>
      <c r="I3607">
        <v>127</v>
      </c>
      <c r="J3607" t="s">
        <v>57</v>
      </c>
      <c r="K3607" t="s">
        <v>56</v>
      </c>
      <c r="L3607" t="s">
        <v>44</v>
      </c>
      <c r="M3607">
        <v>8.4700000000000006</v>
      </c>
      <c r="T3607" t="s">
        <v>45</v>
      </c>
      <c r="U3607">
        <v>2</v>
      </c>
      <c r="V3607">
        <v>4</v>
      </c>
    </row>
    <row r="3608" spans="1:22" x14ac:dyDescent="0.3">
      <c r="A3608">
        <v>3607</v>
      </c>
      <c r="B3608">
        <v>54028</v>
      </c>
      <c r="C3608" s="2">
        <v>37939</v>
      </c>
      <c r="D3608">
        <v>22</v>
      </c>
      <c r="E3608" t="s">
        <v>36</v>
      </c>
      <c r="F3608" t="s">
        <v>50</v>
      </c>
      <c r="G3608" s="2">
        <v>45533</v>
      </c>
      <c r="H3608" s="3">
        <f t="shared" si="56"/>
        <v>1.0520547945205478</v>
      </c>
      <c r="I3608">
        <v>129</v>
      </c>
      <c r="J3608" t="s">
        <v>57</v>
      </c>
      <c r="K3608" t="s">
        <v>43</v>
      </c>
      <c r="L3608" t="s">
        <v>44</v>
      </c>
      <c r="M3608">
        <v>16.37</v>
      </c>
      <c r="T3608" t="s">
        <v>45</v>
      </c>
      <c r="U3608">
        <v>0</v>
      </c>
      <c r="V3608">
        <v>4</v>
      </c>
    </row>
    <row r="3609" spans="1:22" x14ac:dyDescent="0.3">
      <c r="A3609">
        <v>3608</v>
      </c>
      <c r="B3609">
        <v>54029</v>
      </c>
      <c r="C3609" s="2">
        <v>33662</v>
      </c>
      <c r="D3609">
        <v>33</v>
      </c>
      <c r="E3609" t="s">
        <v>42</v>
      </c>
      <c r="F3609" t="s">
        <v>37</v>
      </c>
      <c r="G3609" s="2">
        <v>45638</v>
      </c>
      <c r="H3609" s="3">
        <f t="shared" si="56"/>
        <v>1.1479452054794521</v>
      </c>
      <c r="I3609">
        <v>133</v>
      </c>
      <c r="J3609" t="s">
        <v>57</v>
      </c>
      <c r="K3609" t="s">
        <v>56</v>
      </c>
      <c r="L3609" t="s">
        <v>44</v>
      </c>
      <c r="M3609">
        <v>8.4700000000000006</v>
      </c>
      <c r="T3609" t="s">
        <v>52</v>
      </c>
      <c r="U3609">
        <v>1</v>
      </c>
      <c r="V3609">
        <v>6</v>
      </c>
    </row>
    <row r="3610" spans="1:22" x14ac:dyDescent="0.3">
      <c r="A3610">
        <v>3609</v>
      </c>
      <c r="B3610">
        <v>54030</v>
      </c>
      <c r="C3610" s="2">
        <v>38137</v>
      </c>
      <c r="D3610">
        <v>21</v>
      </c>
      <c r="E3610" t="s">
        <v>42</v>
      </c>
      <c r="F3610" t="s">
        <v>50</v>
      </c>
      <c r="G3610" s="2">
        <v>45603</v>
      </c>
      <c r="H3610" s="3">
        <f t="shared" si="56"/>
        <v>1.8739726027397261</v>
      </c>
      <c r="I3610">
        <v>134</v>
      </c>
      <c r="J3610" t="s">
        <v>57</v>
      </c>
      <c r="K3610" t="s">
        <v>56</v>
      </c>
      <c r="L3610" t="s">
        <v>44</v>
      </c>
      <c r="M3610">
        <v>8.4700000000000006</v>
      </c>
      <c r="T3610" t="s">
        <v>47</v>
      </c>
      <c r="U3610">
        <v>1</v>
      </c>
      <c r="V3610">
        <v>7</v>
      </c>
    </row>
    <row r="3611" spans="1:22" x14ac:dyDescent="0.3">
      <c r="A3611">
        <v>3610</v>
      </c>
      <c r="B3611">
        <v>54031</v>
      </c>
      <c r="C3611" s="2">
        <v>37465</v>
      </c>
      <c r="D3611">
        <v>23</v>
      </c>
      <c r="E3611" t="s">
        <v>42</v>
      </c>
      <c r="F3611" t="s">
        <v>50</v>
      </c>
      <c r="G3611" s="2">
        <v>45338</v>
      </c>
      <c r="H3611" s="3">
        <f t="shared" si="56"/>
        <v>1.1616438356164382</v>
      </c>
      <c r="I3611">
        <v>136</v>
      </c>
      <c r="J3611" t="s">
        <v>57</v>
      </c>
      <c r="K3611" t="s">
        <v>56</v>
      </c>
      <c r="L3611" t="s">
        <v>44</v>
      </c>
      <c r="M3611">
        <v>8.4700000000000006</v>
      </c>
      <c r="T3611" t="s">
        <v>52</v>
      </c>
      <c r="U3611">
        <v>2</v>
      </c>
      <c r="V3611">
        <v>7</v>
      </c>
    </row>
    <row r="3612" spans="1:22" x14ac:dyDescent="0.3">
      <c r="A3612">
        <v>3611</v>
      </c>
      <c r="B3612">
        <v>54032</v>
      </c>
      <c r="C3612" s="2">
        <v>38029</v>
      </c>
      <c r="D3612">
        <v>21</v>
      </c>
      <c r="E3612" t="s">
        <v>42</v>
      </c>
      <c r="F3612" t="s">
        <v>50</v>
      </c>
      <c r="G3612" s="2">
        <v>45598</v>
      </c>
      <c r="H3612" s="3">
        <f t="shared" si="56"/>
        <v>1.5671232876712329</v>
      </c>
      <c r="I3612">
        <v>138</v>
      </c>
      <c r="J3612" t="s">
        <v>57</v>
      </c>
      <c r="K3612" t="s">
        <v>56</v>
      </c>
      <c r="L3612" t="s">
        <v>44</v>
      </c>
      <c r="M3612">
        <v>8.4700000000000006</v>
      </c>
      <c r="T3612" t="s">
        <v>52</v>
      </c>
      <c r="U3612">
        <v>0</v>
      </c>
      <c r="V3612">
        <v>6</v>
      </c>
    </row>
    <row r="3613" spans="1:22" x14ac:dyDescent="0.3">
      <c r="A3613">
        <v>3612</v>
      </c>
      <c r="B3613">
        <v>54033</v>
      </c>
      <c r="C3613" s="2">
        <v>37675</v>
      </c>
      <c r="D3613">
        <v>22</v>
      </c>
      <c r="E3613" t="s">
        <v>42</v>
      </c>
      <c r="F3613" t="s">
        <v>50</v>
      </c>
      <c r="G3613" s="2">
        <v>45450</v>
      </c>
      <c r="H3613" s="3">
        <f t="shared" si="56"/>
        <v>1.2273972602739727</v>
      </c>
      <c r="I3613">
        <v>140</v>
      </c>
      <c r="J3613" t="s">
        <v>57</v>
      </c>
      <c r="K3613" t="s">
        <v>64</v>
      </c>
      <c r="L3613" t="s">
        <v>44</v>
      </c>
      <c r="M3613">
        <v>14.07</v>
      </c>
      <c r="T3613" t="s">
        <v>45</v>
      </c>
      <c r="U3613">
        <v>0</v>
      </c>
      <c r="V3613">
        <v>5</v>
      </c>
    </row>
    <row r="3614" spans="1:22" x14ac:dyDescent="0.3">
      <c r="A3614">
        <v>3613</v>
      </c>
      <c r="B3614">
        <v>54034</v>
      </c>
      <c r="C3614" s="2">
        <v>38896</v>
      </c>
      <c r="D3614">
        <v>19</v>
      </c>
      <c r="E3614" t="s">
        <v>42</v>
      </c>
      <c r="F3614" t="s">
        <v>37</v>
      </c>
      <c r="G3614" s="2">
        <v>45574</v>
      </c>
      <c r="H3614" s="3">
        <f t="shared" si="56"/>
        <v>1.0684931506849316</v>
      </c>
      <c r="I3614">
        <v>143</v>
      </c>
      <c r="J3614" t="s">
        <v>57</v>
      </c>
      <c r="K3614" t="s">
        <v>48</v>
      </c>
      <c r="L3614" t="s">
        <v>44</v>
      </c>
      <c r="M3614">
        <v>8.4700000000000006</v>
      </c>
      <c r="T3614" t="s">
        <v>52</v>
      </c>
      <c r="U3614">
        <v>2</v>
      </c>
      <c r="V3614">
        <v>6</v>
      </c>
    </row>
    <row r="3615" spans="1:22" x14ac:dyDescent="0.3">
      <c r="A3615">
        <v>3614</v>
      </c>
      <c r="B3615">
        <v>54035</v>
      </c>
      <c r="C3615" s="2">
        <v>39244</v>
      </c>
      <c r="D3615">
        <v>18</v>
      </c>
      <c r="E3615" t="s">
        <v>36</v>
      </c>
      <c r="F3615" t="s">
        <v>50</v>
      </c>
      <c r="G3615" s="2">
        <v>45632</v>
      </c>
      <c r="H3615" s="3">
        <f t="shared" si="56"/>
        <v>1.8082191780821917</v>
      </c>
      <c r="I3615">
        <v>143</v>
      </c>
      <c r="J3615" t="s">
        <v>57</v>
      </c>
      <c r="K3615" t="s">
        <v>56</v>
      </c>
      <c r="L3615" t="s">
        <v>44</v>
      </c>
      <c r="M3615">
        <v>8.4700000000000006</v>
      </c>
      <c r="T3615" t="s">
        <v>49</v>
      </c>
      <c r="U3615">
        <v>2</v>
      </c>
      <c r="V3615">
        <v>5</v>
      </c>
    </row>
    <row r="3616" spans="1:22" x14ac:dyDescent="0.3">
      <c r="A3616">
        <v>3615</v>
      </c>
      <c r="B3616">
        <v>54036</v>
      </c>
      <c r="C3616" s="2">
        <v>38937</v>
      </c>
      <c r="D3616">
        <v>19</v>
      </c>
      <c r="E3616" t="s">
        <v>42</v>
      </c>
      <c r="F3616" t="s">
        <v>37</v>
      </c>
      <c r="G3616" s="2">
        <v>45362</v>
      </c>
      <c r="H3616" s="3">
        <f t="shared" si="56"/>
        <v>1.2712328767123289</v>
      </c>
      <c r="I3616">
        <v>143</v>
      </c>
      <c r="J3616" t="s">
        <v>57</v>
      </c>
      <c r="K3616" t="s">
        <v>56</v>
      </c>
      <c r="L3616" t="s">
        <v>44</v>
      </c>
      <c r="M3616">
        <v>8.4700000000000006</v>
      </c>
      <c r="T3616" t="s">
        <v>49</v>
      </c>
      <c r="U3616">
        <v>1</v>
      </c>
      <c r="V3616">
        <v>4</v>
      </c>
    </row>
    <row r="3617" spans="1:22" x14ac:dyDescent="0.3">
      <c r="A3617">
        <v>3616</v>
      </c>
      <c r="B3617">
        <v>54037</v>
      </c>
      <c r="C3617" s="2">
        <v>35264</v>
      </c>
      <c r="D3617">
        <v>29</v>
      </c>
      <c r="E3617" t="s">
        <v>42</v>
      </c>
      <c r="F3617" t="s">
        <v>50</v>
      </c>
      <c r="G3617" s="2">
        <v>45558</v>
      </c>
      <c r="H3617" s="3">
        <f t="shared" si="56"/>
        <v>1.0273972602739727</v>
      </c>
      <c r="I3617">
        <v>5</v>
      </c>
      <c r="J3617" t="s">
        <v>38</v>
      </c>
      <c r="K3617" t="s">
        <v>48</v>
      </c>
      <c r="L3617" t="s">
        <v>44</v>
      </c>
      <c r="M3617">
        <v>8.4700000000000006</v>
      </c>
      <c r="T3617" t="s">
        <v>49</v>
      </c>
      <c r="U3617">
        <v>2</v>
      </c>
      <c r="V3617">
        <v>4</v>
      </c>
    </row>
    <row r="3618" spans="1:22" x14ac:dyDescent="0.3">
      <c r="A3618">
        <v>3617</v>
      </c>
      <c r="B3618">
        <v>54038</v>
      </c>
      <c r="C3618" s="2">
        <v>37259</v>
      </c>
      <c r="D3618">
        <v>23</v>
      </c>
      <c r="E3618" t="s">
        <v>36</v>
      </c>
      <c r="F3618" t="s">
        <v>50</v>
      </c>
      <c r="G3618" s="2">
        <v>45647</v>
      </c>
      <c r="H3618" s="3">
        <f t="shared" si="56"/>
        <v>1.5643835616438355</v>
      </c>
      <c r="I3618">
        <v>33</v>
      </c>
      <c r="J3618" t="s">
        <v>38</v>
      </c>
      <c r="K3618" t="s">
        <v>48</v>
      </c>
      <c r="L3618" t="s">
        <v>44</v>
      </c>
      <c r="M3618">
        <v>17.899999999999999</v>
      </c>
      <c r="T3618" t="s">
        <v>47</v>
      </c>
      <c r="U3618">
        <v>2</v>
      </c>
      <c r="V3618">
        <v>4</v>
      </c>
    </row>
    <row r="3619" spans="1:22" x14ac:dyDescent="0.3">
      <c r="A3619">
        <v>3618</v>
      </c>
      <c r="B3619">
        <v>54039</v>
      </c>
      <c r="C3619" s="2">
        <v>38877</v>
      </c>
      <c r="D3619">
        <v>19</v>
      </c>
      <c r="E3619" t="s">
        <v>42</v>
      </c>
      <c r="F3619" t="s">
        <v>50</v>
      </c>
      <c r="G3619" s="2">
        <v>45451</v>
      </c>
      <c r="H3619" s="3">
        <f t="shared" si="56"/>
        <v>1.3726027397260274</v>
      </c>
      <c r="I3619">
        <v>54</v>
      </c>
      <c r="J3619" t="s">
        <v>38</v>
      </c>
      <c r="K3619" t="s">
        <v>64</v>
      </c>
      <c r="L3619" t="s">
        <v>44</v>
      </c>
      <c r="M3619">
        <v>14.07</v>
      </c>
      <c r="T3619" t="s">
        <v>47</v>
      </c>
      <c r="U3619">
        <v>0</v>
      </c>
      <c r="V3619">
        <v>4</v>
      </c>
    </row>
    <row r="3620" spans="1:22" x14ac:dyDescent="0.3">
      <c r="A3620">
        <v>3619</v>
      </c>
      <c r="B3620">
        <v>54040</v>
      </c>
      <c r="C3620" s="2">
        <v>38938</v>
      </c>
      <c r="D3620">
        <v>19</v>
      </c>
      <c r="E3620" t="s">
        <v>36</v>
      </c>
      <c r="F3620" t="s">
        <v>37</v>
      </c>
      <c r="G3620" s="2">
        <v>45521</v>
      </c>
      <c r="H3620" s="3">
        <f t="shared" si="56"/>
        <v>1.2191780821917808</v>
      </c>
      <c r="I3620">
        <v>58</v>
      </c>
      <c r="J3620" t="s">
        <v>38</v>
      </c>
      <c r="K3620" t="s">
        <v>46</v>
      </c>
      <c r="L3620" t="s">
        <v>44</v>
      </c>
      <c r="M3620">
        <v>14.23</v>
      </c>
      <c r="T3620" t="s">
        <v>49</v>
      </c>
      <c r="U3620">
        <v>1</v>
      </c>
      <c r="V3620">
        <v>3</v>
      </c>
    </row>
    <row r="3621" spans="1:22" x14ac:dyDescent="0.3">
      <c r="A3621">
        <v>3620</v>
      </c>
      <c r="B3621">
        <v>54041</v>
      </c>
      <c r="C3621" s="2">
        <v>36342</v>
      </c>
      <c r="D3621">
        <v>27</v>
      </c>
      <c r="E3621" t="s">
        <v>36</v>
      </c>
      <c r="F3621" t="s">
        <v>50</v>
      </c>
      <c r="G3621" s="2">
        <v>45577</v>
      </c>
      <c r="H3621" s="3">
        <f t="shared" si="56"/>
        <v>1.4931506849315068</v>
      </c>
      <c r="I3621">
        <v>58</v>
      </c>
      <c r="J3621" t="s">
        <v>38</v>
      </c>
      <c r="K3621" t="s">
        <v>55</v>
      </c>
      <c r="L3621" t="s">
        <v>44</v>
      </c>
      <c r="M3621">
        <v>17.59</v>
      </c>
      <c r="T3621" t="s">
        <v>45</v>
      </c>
      <c r="U3621">
        <v>4</v>
      </c>
      <c r="V3621">
        <v>5</v>
      </c>
    </row>
    <row r="3622" spans="1:22" x14ac:dyDescent="0.3">
      <c r="A3622">
        <v>3621</v>
      </c>
      <c r="B3622">
        <v>54042</v>
      </c>
      <c r="C3622" s="2">
        <v>35834</v>
      </c>
      <c r="D3622">
        <v>27</v>
      </c>
      <c r="E3622" t="s">
        <v>42</v>
      </c>
      <c r="F3622" t="s">
        <v>50</v>
      </c>
      <c r="G3622" s="2">
        <v>45477</v>
      </c>
      <c r="H3622" s="3">
        <f t="shared" si="56"/>
        <v>1.2273972602739727</v>
      </c>
      <c r="I3622">
        <v>68</v>
      </c>
      <c r="J3622" t="s">
        <v>57</v>
      </c>
      <c r="K3622" t="s">
        <v>48</v>
      </c>
      <c r="L3622" t="s">
        <v>44</v>
      </c>
      <c r="M3622">
        <v>8.4700000000000006</v>
      </c>
      <c r="T3622" t="s">
        <v>52</v>
      </c>
      <c r="U3622">
        <v>2</v>
      </c>
      <c r="V3622">
        <v>7</v>
      </c>
    </row>
    <row r="3623" spans="1:22" x14ac:dyDescent="0.3">
      <c r="A3623">
        <v>3622</v>
      </c>
      <c r="B3623">
        <v>54043</v>
      </c>
      <c r="C3623" s="2">
        <v>37514</v>
      </c>
      <c r="D3623">
        <v>23</v>
      </c>
      <c r="E3623" t="s">
        <v>42</v>
      </c>
      <c r="F3623" t="s">
        <v>50</v>
      </c>
      <c r="G3623" s="2">
        <v>45574</v>
      </c>
      <c r="H3623" s="3">
        <f t="shared" si="56"/>
        <v>1.2904109589041095</v>
      </c>
      <c r="I3623">
        <v>73</v>
      </c>
      <c r="J3623" t="s">
        <v>57</v>
      </c>
      <c r="K3623" t="s">
        <v>43</v>
      </c>
      <c r="L3623" t="s">
        <v>44</v>
      </c>
      <c r="M3623">
        <v>16.37</v>
      </c>
      <c r="T3623" t="s">
        <v>49</v>
      </c>
      <c r="U3623">
        <v>0</v>
      </c>
      <c r="V3623">
        <v>6</v>
      </c>
    </row>
    <row r="3624" spans="1:22" x14ac:dyDescent="0.3">
      <c r="A3624">
        <v>3623</v>
      </c>
      <c r="B3624">
        <v>54044</v>
      </c>
      <c r="C3624" s="2">
        <v>39251</v>
      </c>
      <c r="D3624">
        <v>18</v>
      </c>
      <c r="E3624" t="s">
        <v>42</v>
      </c>
      <c r="F3624" t="s">
        <v>37</v>
      </c>
      <c r="G3624" s="2">
        <v>45551</v>
      </c>
      <c r="H3624" s="3">
        <f t="shared" si="56"/>
        <v>1.6246575342465754</v>
      </c>
      <c r="I3624">
        <v>84</v>
      </c>
      <c r="J3624" t="s">
        <v>57</v>
      </c>
      <c r="K3624" t="s">
        <v>48</v>
      </c>
      <c r="L3624" t="s">
        <v>44</v>
      </c>
      <c r="M3624">
        <v>8.4700000000000006</v>
      </c>
      <c r="T3624" t="s">
        <v>45</v>
      </c>
      <c r="U3624">
        <v>1</v>
      </c>
      <c r="V3624">
        <v>5</v>
      </c>
    </row>
    <row r="3625" spans="1:22" x14ac:dyDescent="0.3">
      <c r="A3625">
        <v>3624</v>
      </c>
      <c r="B3625">
        <v>54045</v>
      </c>
      <c r="C3625" s="2">
        <v>37741</v>
      </c>
      <c r="D3625">
        <v>22</v>
      </c>
      <c r="E3625" t="s">
        <v>36</v>
      </c>
      <c r="F3625" t="s">
        <v>50</v>
      </c>
      <c r="G3625" s="2">
        <v>45429</v>
      </c>
      <c r="H3625" s="3">
        <f t="shared" si="56"/>
        <v>1.1561643835616437</v>
      </c>
      <c r="I3625">
        <v>118</v>
      </c>
      <c r="J3625" t="s">
        <v>57</v>
      </c>
      <c r="K3625" t="s">
        <v>65</v>
      </c>
      <c r="L3625" t="s">
        <v>44</v>
      </c>
      <c r="M3625">
        <v>10.64</v>
      </c>
      <c r="T3625" t="s">
        <v>49</v>
      </c>
      <c r="U3625">
        <v>0</v>
      </c>
      <c r="V3625">
        <v>4</v>
      </c>
    </row>
    <row r="3626" spans="1:22" x14ac:dyDescent="0.3">
      <c r="A3626">
        <v>3625</v>
      </c>
      <c r="B3626">
        <v>54046</v>
      </c>
      <c r="C3626" s="2">
        <v>39330</v>
      </c>
      <c r="D3626">
        <v>18</v>
      </c>
      <c r="E3626" t="s">
        <v>42</v>
      </c>
      <c r="F3626" t="s">
        <v>50</v>
      </c>
      <c r="G3626" s="2">
        <v>45600</v>
      </c>
      <c r="H3626" s="3">
        <f t="shared" si="56"/>
        <v>1.3945205479452054</v>
      </c>
      <c r="I3626">
        <v>118</v>
      </c>
      <c r="J3626" t="s">
        <v>57</v>
      </c>
      <c r="K3626" t="s">
        <v>48</v>
      </c>
      <c r="L3626" t="s">
        <v>44</v>
      </c>
      <c r="M3626">
        <v>8.4700000000000006</v>
      </c>
      <c r="T3626" t="s">
        <v>45</v>
      </c>
      <c r="U3626">
        <v>2</v>
      </c>
      <c r="V3626">
        <v>5</v>
      </c>
    </row>
    <row r="3627" spans="1:22" x14ac:dyDescent="0.3">
      <c r="A3627">
        <v>3626</v>
      </c>
      <c r="B3627">
        <v>54047</v>
      </c>
      <c r="C3627" s="2">
        <v>38864</v>
      </c>
      <c r="D3627">
        <v>19</v>
      </c>
      <c r="E3627" t="s">
        <v>42</v>
      </c>
      <c r="F3627" t="s">
        <v>50</v>
      </c>
      <c r="G3627" s="2">
        <v>45513</v>
      </c>
      <c r="H3627" s="3">
        <f t="shared" si="56"/>
        <v>1.0410958904109588</v>
      </c>
      <c r="I3627">
        <v>118</v>
      </c>
      <c r="J3627" t="s">
        <v>57</v>
      </c>
      <c r="K3627" t="s">
        <v>48</v>
      </c>
      <c r="L3627" t="s">
        <v>44</v>
      </c>
      <c r="M3627">
        <v>8.4700000000000006</v>
      </c>
      <c r="T3627" t="s">
        <v>49</v>
      </c>
      <c r="U3627">
        <v>4</v>
      </c>
      <c r="V3627">
        <v>7</v>
      </c>
    </row>
    <row r="3628" spans="1:22" x14ac:dyDescent="0.3">
      <c r="A3628">
        <v>3627</v>
      </c>
      <c r="B3628">
        <v>54048</v>
      </c>
      <c r="C3628" s="2">
        <v>37599</v>
      </c>
      <c r="D3628">
        <v>23</v>
      </c>
      <c r="E3628" t="s">
        <v>36</v>
      </c>
      <c r="F3628" t="s">
        <v>50</v>
      </c>
      <c r="G3628" s="2">
        <v>45642</v>
      </c>
      <c r="H3628" s="3">
        <f t="shared" si="56"/>
        <v>1.3972602739726028</v>
      </c>
      <c r="I3628">
        <v>119</v>
      </c>
      <c r="J3628" t="s">
        <v>57</v>
      </c>
      <c r="K3628" t="s">
        <v>65</v>
      </c>
      <c r="L3628" t="s">
        <v>44</v>
      </c>
      <c r="M3628">
        <v>10.64</v>
      </c>
      <c r="T3628" t="s">
        <v>49</v>
      </c>
      <c r="U3628">
        <v>1</v>
      </c>
      <c r="V3628">
        <v>4</v>
      </c>
    </row>
    <row r="3629" spans="1:22" x14ac:dyDescent="0.3">
      <c r="A3629">
        <v>3628</v>
      </c>
      <c r="B3629">
        <v>54049</v>
      </c>
      <c r="C3629" s="2">
        <v>36384</v>
      </c>
      <c r="D3629">
        <v>26</v>
      </c>
      <c r="E3629" t="s">
        <v>36</v>
      </c>
      <c r="F3629" t="s">
        <v>50</v>
      </c>
      <c r="G3629" s="2">
        <v>45512</v>
      </c>
      <c r="H3629" s="3">
        <f t="shared" si="56"/>
        <v>1.1534246575342466</v>
      </c>
      <c r="I3629">
        <v>119</v>
      </c>
      <c r="J3629" t="s">
        <v>57</v>
      </c>
      <c r="K3629" t="s">
        <v>55</v>
      </c>
      <c r="L3629" t="s">
        <v>44</v>
      </c>
      <c r="M3629">
        <v>17.59</v>
      </c>
      <c r="T3629" t="s">
        <v>45</v>
      </c>
      <c r="U3629">
        <v>1</v>
      </c>
      <c r="V3629">
        <v>3</v>
      </c>
    </row>
    <row r="3630" spans="1:22" x14ac:dyDescent="0.3">
      <c r="A3630">
        <v>3629</v>
      </c>
      <c r="B3630">
        <v>54050</v>
      </c>
      <c r="C3630" s="2">
        <v>36742</v>
      </c>
      <c r="D3630">
        <v>25</v>
      </c>
      <c r="E3630" t="s">
        <v>36</v>
      </c>
      <c r="F3630" t="s">
        <v>37</v>
      </c>
      <c r="G3630" s="2">
        <v>45601</v>
      </c>
      <c r="H3630" s="3">
        <f t="shared" si="56"/>
        <v>1.0027397260273974</v>
      </c>
      <c r="I3630">
        <v>13</v>
      </c>
      <c r="J3630" t="s">
        <v>38</v>
      </c>
      <c r="K3630" t="s">
        <v>46</v>
      </c>
      <c r="L3630" t="s">
        <v>44</v>
      </c>
      <c r="M3630">
        <v>14.23</v>
      </c>
      <c r="T3630" t="s">
        <v>52</v>
      </c>
      <c r="U3630">
        <v>0</v>
      </c>
      <c r="V3630">
        <v>4</v>
      </c>
    </row>
    <row r="3631" spans="1:22" x14ac:dyDescent="0.3">
      <c r="A3631">
        <v>3630</v>
      </c>
      <c r="B3631">
        <v>54051</v>
      </c>
      <c r="C3631" s="2">
        <v>38612</v>
      </c>
      <c r="D3631">
        <v>20</v>
      </c>
      <c r="E3631" t="s">
        <v>42</v>
      </c>
      <c r="F3631" t="s">
        <v>50</v>
      </c>
      <c r="G3631" s="2">
        <v>45656</v>
      </c>
      <c r="H3631" s="3">
        <f t="shared" si="56"/>
        <v>1.7616438356164383</v>
      </c>
      <c r="I3631">
        <v>20</v>
      </c>
      <c r="J3631" t="s">
        <v>38</v>
      </c>
      <c r="K3631" t="s">
        <v>56</v>
      </c>
      <c r="L3631" t="s">
        <v>44</v>
      </c>
      <c r="M3631">
        <v>8.4700000000000006</v>
      </c>
      <c r="T3631" t="s">
        <v>49</v>
      </c>
      <c r="U3631">
        <v>4</v>
      </c>
      <c r="V3631">
        <v>6</v>
      </c>
    </row>
    <row r="3632" spans="1:22" x14ac:dyDescent="0.3">
      <c r="A3632">
        <v>3631</v>
      </c>
      <c r="B3632">
        <v>54052</v>
      </c>
      <c r="C3632" s="2">
        <v>38051</v>
      </c>
      <c r="D3632">
        <v>21</v>
      </c>
      <c r="E3632" t="s">
        <v>42</v>
      </c>
      <c r="F3632" t="s">
        <v>50</v>
      </c>
      <c r="G3632" s="2">
        <v>45379</v>
      </c>
      <c r="H3632" s="3">
        <f t="shared" si="56"/>
        <v>1.1369863013698631</v>
      </c>
      <c r="I3632">
        <v>35</v>
      </c>
      <c r="J3632" t="s">
        <v>38</v>
      </c>
      <c r="K3632" t="s">
        <v>48</v>
      </c>
      <c r="L3632" t="s">
        <v>44</v>
      </c>
      <c r="M3632">
        <v>8.4700000000000006</v>
      </c>
      <c r="T3632" t="s">
        <v>45</v>
      </c>
      <c r="U3632">
        <v>0</v>
      </c>
      <c r="V3632">
        <v>5</v>
      </c>
    </row>
    <row r="3633" spans="1:22" x14ac:dyDescent="0.3">
      <c r="A3633">
        <v>3632</v>
      </c>
      <c r="B3633">
        <v>54053</v>
      </c>
      <c r="C3633" s="2">
        <v>38239</v>
      </c>
      <c r="D3633">
        <v>21</v>
      </c>
      <c r="E3633" t="s">
        <v>36</v>
      </c>
      <c r="F3633" t="s">
        <v>50</v>
      </c>
      <c r="G3633" s="2">
        <v>45607</v>
      </c>
      <c r="H3633" s="3">
        <f t="shared" si="56"/>
        <v>1.6547945205479453</v>
      </c>
      <c r="I3633">
        <v>58</v>
      </c>
      <c r="J3633" t="s">
        <v>38</v>
      </c>
      <c r="K3633" t="s">
        <v>56</v>
      </c>
      <c r="L3633" t="s">
        <v>44</v>
      </c>
      <c r="M3633">
        <v>8.4700000000000006</v>
      </c>
      <c r="T3633" t="s">
        <v>45</v>
      </c>
      <c r="U3633">
        <v>4</v>
      </c>
      <c r="V3633">
        <v>3</v>
      </c>
    </row>
    <row r="3634" spans="1:22" x14ac:dyDescent="0.3">
      <c r="A3634">
        <v>3633</v>
      </c>
      <c r="B3634">
        <v>54054</v>
      </c>
      <c r="C3634" s="2">
        <v>38569</v>
      </c>
      <c r="D3634">
        <v>20</v>
      </c>
      <c r="E3634" t="s">
        <v>42</v>
      </c>
      <c r="F3634" t="s">
        <v>50</v>
      </c>
      <c r="G3634" s="2">
        <v>45418</v>
      </c>
      <c r="H3634" s="3">
        <f t="shared" si="56"/>
        <v>1.8054794520547945</v>
      </c>
      <c r="I3634">
        <v>71</v>
      </c>
      <c r="J3634" t="s">
        <v>57</v>
      </c>
      <c r="K3634" t="s">
        <v>48</v>
      </c>
      <c r="L3634" t="s">
        <v>44</v>
      </c>
      <c r="M3634">
        <v>8.4700000000000006</v>
      </c>
      <c r="T3634" t="s">
        <v>47</v>
      </c>
      <c r="U3634">
        <v>2</v>
      </c>
      <c r="V3634">
        <v>5</v>
      </c>
    </row>
    <row r="3635" spans="1:22" x14ac:dyDescent="0.3">
      <c r="A3635">
        <v>3634</v>
      </c>
      <c r="B3635">
        <v>54055</v>
      </c>
      <c r="C3635" s="2">
        <v>38512</v>
      </c>
      <c r="D3635">
        <v>20</v>
      </c>
      <c r="E3635" t="s">
        <v>42</v>
      </c>
      <c r="F3635" t="s">
        <v>37</v>
      </c>
      <c r="G3635" s="2">
        <v>45363</v>
      </c>
      <c r="H3635" s="3">
        <f t="shared" si="56"/>
        <v>1.1643835616438356</v>
      </c>
      <c r="I3635">
        <v>73</v>
      </c>
      <c r="J3635" t="s">
        <v>57</v>
      </c>
      <c r="K3635" t="s">
        <v>48</v>
      </c>
      <c r="L3635" t="s">
        <v>44</v>
      </c>
      <c r="M3635">
        <v>8.4700000000000006</v>
      </c>
      <c r="T3635" t="s">
        <v>49</v>
      </c>
      <c r="U3635">
        <v>0</v>
      </c>
      <c r="V3635">
        <v>5</v>
      </c>
    </row>
    <row r="3636" spans="1:22" x14ac:dyDescent="0.3">
      <c r="A3636">
        <v>3635</v>
      </c>
      <c r="B3636">
        <v>54056</v>
      </c>
      <c r="C3636" s="2">
        <v>35335</v>
      </c>
      <c r="D3636">
        <v>29</v>
      </c>
      <c r="E3636" t="s">
        <v>36</v>
      </c>
      <c r="F3636" t="s">
        <v>50</v>
      </c>
      <c r="G3636" s="2">
        <v>45597</v>
      </c>
      <c r="H3636" s="3">
        <f t="shared" si="56"/>
        <v>1.4109589041095891</v>
      </c>
      <c r="I3636">
        <v>122</v>
      </c>
      <c r="J3636" t="s">
        <v>57</v>
      </c>
      <c r="K3636" t="s">
        <v>46</v>
      </c>
      <c r="L3636" t="s">
        <v>44</v>
      </c>
      <c r="M3636">
        <v>14.23</v>
      </c>
      <c r="T3636" t="s">
        <v>45</v>
      </c>
      <c r="U3636">
        <v>0</v>
      </c>
      <c r="V3636">
        <v>4</v>
      </c>
    </row>
    <row r="3637" spans="1:22" x14ac:dyDescent="0.3">
      <c r="A3637">
        <v>3636</v>
      </c>
      <c r="B3637">
        <v>54057</v>
      </c>
      <c r="C3637" s="2">
        <v>39099</v>
      </c>
      <c r="D3637">
        <v>18</v>
      </c>
      <c r="E3637" t="s">
        <v>42</v>
      </c>
      <c r="F3637" t="s">
        <v>50</v>
      </c>
      <c r="G3637" s="2">
        <v>45507</v>
      </c>
      <c r="H3637" s="3">
        <f t="shared" si="56"/>
        <v>1.189041095890411</v>
      </c>
      <c r="I3637">
        <v>19</v>
      </c>
      <c r="J3637" t="s">
        <v>38</v>
      </c>
      <c r="K3637" t="s">
        <v>56</v>
      </c>
      <c r="L3637" t="s">
        <v>44</v>
      </c>
      <c r="M3637">
        <v>8.4700000000000006</v>
      </c>
      <c r="T3637" t="s">
        <v>52</v>
      </c>
      <c r="U3637">
        <v>2</v>
      </c>
      <c r="V3637">
        <v>7</v>
      </c>
    </row>
    <row r="3638" spans="1:22" x14ac:dyDescent="0.3">
      <c r="A3638">
        <v>3637</v>
      </c>
      <c r="B3638">
        <v>54058</v>
      </c>
      <c r="C3638" s="2">
        <v>36613</v>
      </c>
      <c r="D3638">
        <v>25</v>
      </c>
      <c r="E3638" t="s">
        <v>36</v>
      </c>
      <c r="F3638" t="s">
        <v>50</v>
      </c>
      <c r="G3638" s="2">
        <v>45588</v>
      </c>
      <c r="H3638" s="3">
        <f t="shared" si="56"/>
        <v>1.5945205479452054</v>
      </c>
      <c r="I3638">
        <v>59</v>
      </c>
      <c r="J3638" t="s">
        <v>38</v>
      </c>
      <c r="K3638" t="s">
        <v>55</v>
      </c>
      <c r="L3638" t="s">
        <v>44</v>
      </c>
      <c r="M3638">
        <v>17.59</v>
      </c>
      <c r="T3638" t="s">
        <v>47</v>
      </c>
      <c r="U3638">
        <v>2</v>
      </c>
      <c r="V3638">
        <v>4</v>
      </c>
    </row>
    <row r="3639" spans="1:22" x14ac:dyDescent="0.3">
      <c r="A3639">
        <v>3638</v>
      </c>
      <c r="B3639">
        <v>54059</v>
      </c>
      <c r="C3639" s="2">
        <v>32707</v>
      </c>
      <c r="D3639">
        <v>36</v>
      </c>
      <c r="E3639" t="s">
        <v>36</v>
      </c>
      <c r="F3639" t="s">
        <v>50</v>
      </c>
      <c r="G3639" s="2">
        <v>45440</v>
      </c>
      <c r="H3639" s="3">
        <f t="shared" si="56"/>
        <v>1.6876712328767123</v>
      </c>
      <c r="I3639">
        <v>99</v>
      </c>
      <c r="J3639" t="s">
        <v>57</v>
      </c>
      <c r="K3639" t="s">
        <v>54</v>
      </c>
      <c r="L3639" t="s">
        <v>44</v>
      </c>
      <c r="M3639">
        <v>23.78</v>
      </c>
      <c r="T3639" t="s">
        <v>47</v>
      </c>
      <c r="U3639">
        <v>7</v>
      </c>
      <c r="V3639">
        <v>6</v>
      </c>
    </row>
    <row r="3640" spans="1:22" x14ac:dyDescent="0.3">
      <c r="A3640">
        <v>3639</v>
      </c>
      <c r="B3640">
        <v>54060</v>
      </c>
      <c r="C3640" s="2">
        <v>36155</v>
      </c>
      <c r="D3640">
        <v>27</v>
      </c>
      <c r="E3640" t="s">
        <v>42</v>
      </c>
      <c r="F3640" t="s">
        <v>50</v>
      </c>
      <c r="G3640" s="2">
        <v>45406</v>
      </c>
      <c r="H3640" s="3">
        <f t="shared" si="56"/>
        <v>1.6082191780821917</v>
      </c>
      <c r="I3640">
        <v>122</v>
      </c>
      <c r="J3640" t="s">
        <v>57</v>
      </c>
      <c r="K3640" t="s">
        <v>48</v>
      </c>
      <c r="L3640" t="s">
        <v>44</v>
      </c>
      <c r="M3640">
        <v>8.4700000000000006</v>
      </c>
      <c r="T3640" t="s">
        <v>49</v>
      </c>
      <c r="U3640">
        <v>3</v>
      </c>
      <c r="V3640">
        <v>7</v>
      </c>
    </row>
    <row r="3641" spans="1:22" x14ac:dyDescent="0.3">
      <c r="A3641">
        <v>3640</v>
      </c>
      <c r="B3641">
        <v>54061</v>
      </c>
      <c r="C3641" s="2">
        <v>37561</v>
      </c>
      <c r="D3641">
        <v>24</v>
      </c>
      <c r="E3641" t="s">
        <v>42</v>
      </c>
      <c r="F3641" t="s">
        <v>50</v>
      </c>
      <c r="G3641" s="2">
        <v>45435</v>
      </c>
      <c r="H3641" s="3">
        <f t="shared" si="56"/>
        <v>1.1643835616438356</v>
      </c>
      <c r="I3641">
        <v>8</v>
      </c>
      <c r="J3641" t="s">
        <v>38</v>
      </c>
      <c r="K3641" t="s">
        <v>68</v>
      </c>
      <c r="L3641" t="s">
        <v>44</v>
      </c>
      <c r="M3641">
        <v>17</v>
      </c>
      <c r="T3641" t="s">
        <v>52</v>
      </c>
      <c r="U3641">
        <v>2</v>
      </c>
      <c r="V3641">
        <v>6</v>
      </c>
    </row>
    <row r="3642" spans="1:22" x14ac:dyDescent="0.3">
      <c r="A3642">
        <v>3641</v>
      </c>
      <c r="B3642">
        <v>54062</v>
      </c>
      <c r="C3642" s="2">
        <v>38488</v>
      </c>
      <c r="D3642">
        <v>20</v>
      </c>
      <c r="E3642" t="s">
        <v>36</v>
      </c>
      <c r="F3642" t="s">
        <v>50</v>
      </c>
      <c r="G3642" s="2">
        <v>45597</v>
      </c>
      <c r="H3642" s="3">
        <f t="shared" si="56"/>
        <v>1.7424657534246575</v>
      </c>
      <c r="I3642">
        <v>42</v>
      </c>
      <c r="J3642" t="s">
        <v>38</v>
      </c>
      <c r="K3642" t="s">
        <v>65</v>
      </c>
      <c r="L3642" t="s">
        <v>44</v>
      </c>
      <c r="M3642">
        <v>10.64</v>
      </c>
      <c r="T3642" t="s">
        <v>49</v>
      </c>
      <c r="U3642">
        <v>0</v>
      </c>
      <c r="V3642">
        <v>5</v>
      </c>
    </row>
    <row r="3643" spans="1:22" x14ac:dyDescent="0.3">
      <c r="A3643">
        <v>3642</v>
      </c>
      <c r="B3643">
        <v>54063</v>
      </c>
      <c r="C3643" s="2">
        <v>36635</v>
      </c>
      <c r="D3643">
        <v>25</v>
      </c>
      <c r="E3643" t="s">
        <v>42</v>
      </c>
      <c r="F3643" t="s">
        <v>50</v>
      </c>
      <c r="G3643" s="2">
        <v>45386</v>
      </c>
      <c r="H3643" s="3">
        <f t="shared" si="56"/>
        <v>1.4</v>
      </c>
      <c r="I3643">
        <v>50</v>
      </c>
      <c r="J3643" t="s">
        <v>38</v>
      </c>
      <c r="K3643" t="s">
        <v>56</v>
      </c>
      <c r="L3643" t="s">
        <v>44</v>
      </c>
      <c r="M3643">
        <v>8.4700000000000006</v>
      </c>
      <c r="T3643" t="s">
        <v>45</v>
      </c>
      <c r="U3643">
        <v>4</v>
      </c>
      <c r="V3643">
        <v>6</v>
      </c>
    </row>
    <row r="3644" spans="1:22" x14ac:dyDescent="0.3">
      <c r="A3644">
        <v>3643</v>
      </c>
      <c r="B3644">
        <v>54064</v>
      </c>
      <c r="C3644" s="2">
        <v>36793</v>
      </c>
      <c r="D3644">
        <v>25</v>
      </c>
      <c r="E3644" t="s">
        <v>42</v>
      </c>
      <c r="F3644" t="s">
        <v>50</v>
      </c>
      <c r="G3644" s="2">
        <v>45511</v>
      </c>
      <c r="H3644" s="3">
        <f t="shared" si="56"/>
        <v>1.2876712328767124</v>
      </c>
      <c r="I3644">
        <v>53</v>
      </c>
      <c r="J3644" t="s">
        <v>38</v>
      </c>
      <c r="K3644" t="s">
        <v>56</v>
      </c>
      <c r="L3644" t="s">
        <v>44</v>
      </c>
      <c r="M3644">
        <v>8.4700000000000006</v>
      </c>
      <c r="T3644" t="s">
        <v>52</v>
      </c>
      <c r="U3644">
        <v>1</v>
      </c>
      <c r="V3644">
        <v>6</v>
      </c>
    </row>
    <row r="3645" spans="1:22" x14ac:dyDescent="0.3">
      <c r="A3645">
        <v>3644</v>
      </c>
      <c r="B3645">
        <v>54065</v>
      </c>
      <c r="C3645" s="2">
        <v>32446</v>
      </c>
      <c r="D3645">
        <v>37</v>
      </c>
      <c r="E3645" t="s">
        <v>42</v>
      </c>
      <c r="F3645" t="s">
        <v>50</v>
      </c>
      <c r="G3645" s="2">
        <v>45552</v>
      </c>
      <c r="H3645" s="3">
        <f t="shared" si="56"/>
        <v>1.7972602739726027</v>
      </c>
      <c r="I3645">
        <v>58</v>
      </c>
      <c r="J3645" t="s">
        <v>38</v>
      </c>
      <c r="K3645" t="s">
        <v>43</v>
      </c>
      <c r="L3645" t="s">
        <v>44</v>
      </c>
      <c r="M3645">
        <v>16.37</v>
      </c>
      <c r="T3645" t="s">
        <v>52</v>
      </c>
      <c r="U3645">
        <v>1</v>
      </c>
      <c r="V3645">
        <v>6</v>
      </c>
    </row>
    <row r="3646" spans="1:22" x14ac:dyDescent="0.3">
      <c r="A3646">
        <v>3645</v>
      </c>
      <c r="B3646">
        <v>54066</v>
      </c>
      <c r="C3646" s="2">
        <v>36498</v>
      </c>
      <c r="D3646">
        <v>26</v>
      </c>
      <c r="E3646" t="s">
        <v>36</v>
      </c>
      <c r="F3646" t="s">
        <v>50</v>
      </c>
      <c r="G3646" s="2">
        <v>45366</v>
      </c>
      <c r="H3646" s="3">
        <f t="shared" si="56"/>
        <v>1.6712328767123288</v>
      </c>
      <c r="I3646">
        <v>68</v>
      </c>
      <c r="J3646" t="s">
        <v>57</v>
      </c>
      <c r="K3646" t="s">
        <v>55</v>
      </c>
      <c r="L3646" t="s">
        <v>44</v>
      </c>
      <c r="M3646">
        <v>17.59</v>
      </c>
      <c r="T3646" t="s">
        <v>45</v>
      </c>
      <c r="U3646">
        <v>2</v>
      </c>
      <c r="V3646">
        <v>4</v>
      </c>
    </row>
    <row r="3647" spans="1:22" x14ac:dyDescent="0.3">
      <c r="A3647">
        <v>3646</v>
      </c>
      <c r="B3647">
        <v>54067</v>
      </c>
      <c r="C3647" s="2">
        <v>38700</v>
      </c>
      <c r="D3647">
        <v>20</v>
      </c>
      <c r="E3647" t="s">
        <v>36</v>
      </c>
      <c r="F3647" t="s">
        <v>50</v>
      </c>
      <c r="G3647" s="2">
        <v>45412</v>
      </c>
      <c r="H3647" s="3">
        <f t="shared" si="56"/>
        <v>1.5013698630136987</v>
      </c>
      <c r="I3647">
        <v>69</v>
      </c>
      <c r="J3647" t="s">
        <v>57</v>
      </c>
      <c r="K3647" t="s">
        <v>56</v>
      </c>
      <c r="L3647" t="s">
        <v>44</v>
      </c>
      <c r="M3647">
        <v>8.4700000000000006</v>
      </c>
      <c r="T3647" t="s">
        <v>45</v>
      </c>
      <c r="U3647">
        <v>4</v>
      </c>
      <c r="V3647">
        <v>5</v>
      </c>
    </row>
    <row r="3648" spans="1:22" x14ac:dyDescent="0.3">
      <c r="A3648">
        <v>3647</v>
      </c>
      <c r="B3648">
        <v>54068</v>
      </c>
      <c r="C3648" s="2">
        <v>38669</v>
      </c>
      <c r="D3648">
        <v>20</v>
      </c>
      <c r="E3648" t="s">
        <v>42</v>
      </c>
      <c r="F3648" t="s">
        <v>50</v>
      </c>
      <c r="G3648" s="2">
        <v>45474</v>
      </c>
      <c r="H3648" s="3">
        <f t="shared" si="56"/>
        <v>1.4493150684931506</v>
      </c>
      <c r="I3648">
        <v>105</v>
      </c>
      <c r="J3648" t="s">
        <v>57</v>
      </c>
      <c r="K3648" t="s">
        <v>64</v>
      </c>
      <c r="L3648" t="s">
        <v>44</v>
      </c>
      <c r="M3648">
        <v>14.07</v>
      </c>
      <c r="T3648" t="s">
        <v>45</v>
      </c>
      <c r="U3648">
        <v>0</v>
      </c>
      <c r="V3648">
        <v>5</v>
      </c>
    </row>
    <row r="3649" spans="1:22" x14ac:dyDescent="0.3">
      <c r="A3649">
        <v>3648</v>
      </c>
      <c r="B3649">
        <v>54069</v>
      </c>
      <c r="C3649" s="2">
        <v>37153</v>
      </c>
      <c r="D3649">
        <v>24</v>
      </c>
      <c r="E3649" t="s">
        <v>42</v>
      </c>
      <c r="F3649" t="s">
        <v>50</v>
      </c>
      <c r="G3649" s="2">
        <v>45493</v>
      </c>
      <c r="H3649" s="3">
        <f t="shared" si="56"/>
        <v>1.0986301369863014</v>
      </c>
      <c r="I3649">
        <v>106</v>
      </c>
      <c r="J3649" t="s">
        <v>57</v>
      </c>
      <c r="K3649" t="s">
        <v>56</v>
      </c>
      <c r="L3649" t="s">
        <v>44</v>
      </c>
      <c r="M3649">
        <v>8.4700000000000006</v>
      </c>
      <c r="T3649" t="s">
        <v>45</v>
      </c>
      <c r="U3649">
        <v>2</v>
      </c>
      <c r="V3649">
        <v>5</v>
      </c>
    </row>
    <row r="3650" spans="1:22" x14ac:dyDescent="0.3">
      <c r="A3650">
        <v>3649</v>
      </c>
      <c r="B3650">
        <v>54070</v>
      </c>
      <c r="C3650" s="2">
        <v>36711</v>
      </c>
      <c r="D3650">
        <v>25</v>
      </c>
      <c r="E3650" t="s">
        <v>42</v>
      </c>
      <c r="F3650" t="s">
        <v>50</v>
      </c>
      <c r="G3650" s="2">
        <v>45621</v>
      </c>
      <c r="H3650" s="3">
        <f t="shared" si="56"/>
        <v>1.6931506849315068</v>
      </c>
      <c r="I3650">
        <v>46</v>
      </c>
      <c r="J3650" t="s">
        <v>38</v>
      </c>
      <c r="K3650" t="s">
        <v>68</v>
      </c>
      <c r="L3650" t="s">
        <v>44</v>
      </c>
      <c r="M3650">
        <v>17</v>
      </c>
      <c r="T3650" t="s">
        <v>45</v>
      </c>
      <c r="U3650">
        <v>0</v>
      </c>
      <c r="V3650">
        <v>7</v>
      </c>
    </row>
    <row r="3651" spans="1:22" x14ac:dyDescent="0.3">
      <c r="A3651">
        <v>3650</v>
      </c>
      <c r="B3651">
        <v>54071</v>
      </c>
      <c r="C3651" s="2">
        <v>37688</v>
      </c>
      <c r="D3651">
        <v>22</v>
      </c>
      <c r="E3651" t="s">
        <v>42</v>
      </c>
      <c r="F3651" t="s">
        <v>50</v>
      </c>
      <c r="G3651" s="2">
        <v>45404</v>
      </c>
      <c r="H3651" s="3">
        <f t="shared" ref="H3651:H3714" si="57">DATEDIF(G3652,DATE(2025,12,31),"d")/365</f>
        <v>1.1369863013698631</v>
      </c>
      <c r="I3651">
        <v>141</v>
      </c>
      <c r="J3651" t="s">
        <v>57</v>
      </c>
      <c r="K3651" t="s">
        <v>56</v>
      </c>
      <c r="L3651" t="s">
        <v>44</v>
      </c>
      <c r="M3651">
        <v>8.4700000000000006</v>
      </c>
      <c r="T3651" t="s">
        <v>52</v>
      </c>
      <c r="U3651">
        <v>2</v>
      </c>
      <c r="V3651">
        <v>4</v>
      </c>
    </row>
    <row r="3652" spans="1:22" x14ac:dyDescent="0.3">
      <c r="A3652">
        <v>3651</v>
      </c>
      <c r="B3652">
        <v>54072</v>
      </c>
      <c r="C3652" s="2">
        <v>37736</v>
      </c>
      <c r="D3652">
        <v>22</v>
      </c>
      <c r="E3652" t="s">
        <v>42</v>
      </c>
      <c r="F3652" t="s">
        <v>50</v>
      </c>
      <c r="G3652" s="2">
        <v>45607</v>
      </c>
      <c r="H3652" s="3">
        <f t="shared" si="57"/>
        <v>1.3397260273972602</v>
      </c>
      <c r="I3652">
        <v>10</v>
      </c>
      <c r="J3652" t="s">
        <v>38</v>
      </c>
      <c r="K3652" t="s">
        <v>56</v>
      </c>
      <c r="L3652" t="s">
        <v>44</v>
      </c>
      <c r="M3652">
        <v>8.4700000000000006</v>
      </c>
      <c r="T3652" t="s">
        <v>52</v>
      </c>
      <c r="U3652">
        <v>4</v>
      </c>
      <c r="V3652">
        <v>7</v>
      </c>
    </row>
    <row r="3653" spans="1:22" x14ac:dyDescent="0.3">
      <c r="A3653">
        <v>3652</v>
      </c>
      <c r="B3653">
        <v>54073</v>
      </c>
      <c r="C3653" s="2">
        <v>36609</v>
      </c>
      <c r="D3653">
        <v>25</v>
      </c>
      <c r="E3653" t="s">
        <v>36</v>
      </c>
      <c r="F3653" t="s">
        <v>50</v>
      </c>
      <c r="G3653" s="2">
        <v>45533</v>
      </c>
      <c r="H3653" s="3">
        <f t="shared" si="57"/>
        <v>1.4191780821917808</v>
      </c>
      <c r="I3653">
        <v>41</v>
      </c>
      <c r="J3653" t="s">
        <v>38</v>
      </c>
      <c r="K3653" t="s">
        <v>64</v>
      </c>
      <c r="L3653" t="s">
        <v>44</v>
      </c>
      <c r="M3653">
        <v>14.07</v>
      </c>
      <c r="T3653" t="s">
        <v>52</v>
      </c>
      <c r="U3653">
        <v>1</v>
      </c>
      <c r="V3653">
        <v>4</v>
      </c>
    </row>
    <row r="3654" spans="1:22" x14ac:dyDescent="0.3">
      <c r="A3654">
        <v>3653</v>
      </c>
      <c r="B3654">
        <v>54074</v>
      </c>
      <c r="C3654" s="2">
        <v>37038</v>
      </c>
      <c r="D3654">
        <v>24</v>
      </c>
      <c r="E3654" t="s">
        <v>42</v>
      </c>
      <c r="F3654" t="s">
        <v>50</v>
      </c>
      <c r="G3654" s="2">
        <v>45504</v>
      </c>
      <c r="H3654" s="3">
        <f t="shared" si="57"/>
        <v>1.7095890410958905</v>
      </c>
      <c r="I3654">
        <v>46</v>
      </c>
      <c r="J3654" t="s">
        <v>38</v>
      </c>
      <c r="K3654" t="s">
        <v>56</v>
      </c>
      <c r="L3654" t="s">
        <v>44</v>
      </c>
      <c r="M3654">
        <v>8.4700000000000006</v>
      </c>
      <c r="T3654" t="s">
        <v>49</v>
      </c>
      <c r="U3654">
        <v>4</v>
      </c>
      <c r="V3654">
        <v>6</v>
      </c>
    </row>
    <row r="3655" spans="1:22" x14ac:dyDescent="0.3">
      <c r="A3655">
        <v>3654</v>
      </c>
      <c r="B3655">
        <v>54075</v>
      </c>
      <c r="C3655" s="2">
        <v>38393</v>
      </c>
      <c r="D3655">
        <v>20</v>
      </c>
      <c r="E3655" t="s">
        <v>36</v>
      </c>
      <c r="F3655" t="s">
        <v>50</v>
      </c>
      <c r="G3655" s="2">
        <v>45398</v>
      </c>
      <c r="H3655" s="3">
        <f t="shared" si="57"/>
        <v>1.4301369863013698</v>
      </c>
      <c r="I3655">
        <v>88</v>
      </c>
      <c r="J3655" t="s">
        <v>57</v>
      </c>
      <c r="K3655" t="s">
        <v>64</v>
      </c>
      <c r="L3655" t="s">
        <v>44</v>
      </c>
      <c r="M3655">
        <v>14.07</v>
      </c>
      <c r="T3655" t="s">
        <v>49</v>
      </c>
      <c r="U3655">
        <v>0</v>
      </c>
      <c r="V3655">
        <v>4</v>
      </c>
    </row>
    <row r="3656" spans="1:22" x14ac:dyDescent="0.3">
      <c r="A3656">
        <v>3655</v>
      </c>
      <c r="B3656">
        <v>54078</v>
      </c>
      <c r="C3656" s="2">
        <v>35628</v>
      </c>
      <c r="D3656">
        <v>28</v>
      </c>
      <c r="E3656" t="s">
        <v>42</v>
      </c>
      <c r="F3656" t="s">
        <v>37</v>
      </c>
      <c r="G3656" s="2">
        <v>45500</v>
      </c>
      <c r="H3656" s="3">
        <f t="shared" si="57"/>
        <v>1.6082191780821917</v>
      </c>
      <c r="I3656">
        <v>58</v>
      </c>
      <c r="J3656" t="s">
        <v>38</v>
      </c>
      <c r="K3656" t="s">
        <v>48</v>
      </c>
      <c r="L3656" t="s">
        <v>44</v>
      </c>
      <c r="M3656">
        <v>8.4700000000000006</v>
      </c>
      <c r="T3656" t="s">
        <v>49</v>
      </c>
      <c r="U3656">
        <v>1</v>
      </c>
      <c r="V3656">
        <v>5</v>
      </c>
    </row>
    <row r="3657" spans="1:22" x14ac:dyDescent="0.3">
      <c r="A3657">
        <v>3656</v>
      </c>
      <c r="B3657">
        <v>54079</v>
      </c>
      <c r="C3657" s="2">
        <v>38284</v>
      </c>
      <c r="D3657">
        <v>21</v>
      </c>
      <c r="E3657" t="s">
        <v>42</v>
      </c>
      <c r="F3657" t="s">
        <v>50</v>
      </c>
      <c r="G3657" s="2">
        <v>45435</v>
      </c>
      <c r="H3657" s="3">
        <f t="shared" si="57"/>
        <v>1.7698630136986302</v>
      </c>
      <c r="I3657">
        <v>1</v>
      </c>
      <c r="J3657" t="s">
        <v>38</v>
      </c>
      <c r="K3657" t="s">
        <v>48</v>
      </c>
      <c r="L3657" t="s">
        <v>44</v>
      </c>
      <c r="M3657">
        <v>8.4700000000000006</v>
      </c>
      <c r="T3657" t="s">
        <v>52</v>
      </c>
      <c r="U3657">
        <v>0</v>
      </c>
      <c r="V3657">
        <v>6</v>
      </c>
    </row>
    <row r="3658" spans="1:22" x14ac:dyDescent="0.3">
      <c r="A3658">
        <v>3657</v>
      </c>
      <c r="B3658">
        <v>54080</v>
      </c>
      <c r="C3658" s="2">
        <v>33058</v>
      </c>
      <c r="D3658">
        <v>35</v>
      </c>
      <c r="E3658" t="s">
        <v>36</v>
      </c>
      <c r="F3658" t="s">
        <v>50</v>
      </c>
      <c r="G3658" s="2">
        <v>45376</v>
      </c>
      <c r="H3658" s="3">
        <f t="shared" si="57"/>
        <v>1.0465753424657533</v>
      </c>
      <c r="I3658">
        <v>2</v>
      </c>
      <c r="J3658" t="s">
        <v>38</v>
      </c>
      <c r="K3658" t="s">
        <v>55</v>
      </c>
      <c r="L3658" t="s">
        <v>44</v>
      </c>
      <c r="M3658">
        <v>17.59</v>
      </c>
      <c r="T3658" t="s">
        <v>52</v>
      </c>
      <c r="U3658">
        <v>2</v>
      </c>
      <c r="V3658">
        <v>5</v>
      </c>
    </row>
    <row r="3659" spans="1:22" x14ac:dyDescent="0.3">
      <c r="A3659">
        <v>3658</v>
      </c>
      <c r="B3659">
        <v>54081</v>
      </c>
      <c r="C3659" s="2">
        <v>38033</v>
      </c>
      <c r="D3659">
        <v>21</v>
      </c>
      <c r="E3659" t="s">
        <v>42</v>
      </c>
      <c r="F3659" t="s">
        <v>50</v>
      </c>
      <c r="G3659" s="2">
        <v>45640</v>
      </c>
      <c r="H3659" s="3">
        <f t="shared" si="57"/>
        <v>1.5808219178082192</v>
      </c>
      <c r="I3659">
        <v>5</v>
      </c>
      <c r="J3659" t="s">
        <v>38</v>
      </c>
      <c r="K3659" t="s">
        <v>65</v>
      </c>
      <c r="L3659" t="s">
        <v>44</v>
      </c>
      <c r="M3659">
        <v>10.64</v>
      </c>
      <c r="T3659" t="s">
        <v>52</v>
      </c>
      <c r="U3659">
        <v>0</v>
      </c>
      <c r="V3659">
        <v>4</v>
      </c>
    </row>
    <row r="3660" spans="1:22" x14ac:dyDescent="0.3">
      <c r="A3660">
        <v>3659</v>
      </c>
      <c r="B3660">
        <v>54082</v>
      </c>
      <c r="C3660" s="2">
        <v>36304</v>
      </c>
      <c r="D3660">
        <v>26</v>
      </c>
      <c r="E3660" t="s">
        <v>42</v>
      </c>
      <c r="F3660" t="s">
        <v>50</v>
      </c>
      <c r="G3660" s="2">
        <v>45445</v>
      </c>
      <c r="H3660" s="3">
        <f t="shared" si="57"/>
        <v>1.6054794520547946</v>
      </c>
      <c r="I3660">
        <v>8</v>
      </c>
      <c r="J3660" t="s">
        <v>38</v>
      </c>
      <c r="K3660" t="s">
        <v>56</v>
      </c>
      <c r="L3660" t="s">
        <v>44</v>
      </c>
      <c r="M3660">
        <v>8.4700000000000006</v>
      </c>
      <c r="T3660" t="s">
        <v>52</v>
      </c>
      <c r="U3660">
        <v>2</v>
      </c>
      <c r="V3660">
        <v>6</v>
      </c>
    </row>
    <row r="3661" spans="1:22" x14ac:dyDescent="0.3">
      <c r="A3661">
        <v>3660</v>
      </c>
      <c r="B3661">
        <v>54083</v>
      </c>
      <c r="C3661" s="2">
        <v>35019</v>
      </c>
      <c r="D3661">
        <v>30</v>
      </c>
      <c r="E3661" t="s">
        <v>42</v>
      </c>
      <c r="F3661" t="s">
        <v>50</v>
      </c>
      <c r="G3661" s="2">
        <v>45436</v>
      </c>
      <c r="H3661" s="3">
        <f t="shared" si="57"/>
        <v>1.9123287671232876</v>
      </c>
      <c r="I3661">
        <v>11</v>
      </c>
      <c r="J3661" t="s">
        <v>38</v>
      </c>
      <c r="K3661" t="s">
        <v>56</v>
      </c>
      <c r="L3661" t="s">
        <v>44</v>
      </c>
      <c r="M3661">
        <v>8.4700000000000006</v>
      </c>
      <c r="T3661" t="s">
        <v>47</v>
      </c>
      <c r="U3661">
        <v>2</v>
      </c>
      <c r="V3661">
        <v>7</v>
      </c>
    </row>
    <row r="3662" spans="1:22" x14ac:dyDescent="0.3">
      <c r="A3662">
        <v>3661</v>
      </c>
      <c r="B3662">
        <v>54084</v>
      </c>
      <c r="C3662" s="2">
        <v>36415</v>
      </c>
      <c r="D3662">
        <v>26</v>
      </c>
      <c r="E3662" t="s">
        <v>42</v>
      </c>
      <c r="F3662" t="s">
        <v>37</v>
      </c>
      <c r="G3662" s="2">
        <v>45324</v>
      </c>
      <c r="H3662" s="3">
        <f t="shared" si="57"/>
        <v>1.6054794520547946</v>
      </c>
      <c r="I3662">
        <v>12</v>
      </c>
      <c r="J3662" t="s">
        <v>38</v>
      </c>
      <c r="K3662" t="s">
        <v>56</v>
      </c>
      <c r="L3662" t="s">
        <v>44</v>
      </c>
      <c r="M3662">
        <v>8.4700000000000006</v>
      </c>
      <c r="T3662" t="s">
        <v>49</v>
      </c>
      <c r="U3662">
        <v>2</v>
      </c>
      <c r="V3662">
        <v>5</v>
      </c>
    </row>
    <row r="3663" spans="1:22" x14ac:dyDescent="0.3">
      <c r="A3663">
        <v>3662</v>
      </c>
      <c r="B3663">
        <v>54085</v>
      </c>
      <c r="C3663" s="2">
        <v>36090</v>
      </c>
      <c r="D3663">
        <v>27</v>
      </c>
      <c r="E3663" t="s">
        <v>42</v>
      </c>
      <c r="F3663" t="s">
        <v>50</v>
      </c>
      <c r="G3663" s="2">
        <v>45436</v>
      </c>
      <c r="H3663" s="3">
        <f t="shared" si="57"/>
        <v>1.1452054794520548</v>
      </c>
      <c r="I3663">
        <v>22</v>
      </c>
      <c r="J3663" t="s">
        <v>38</v>
      </c>
      <c r="K3663" t="s">
        <v>56</v>
      </c>
      <c r="L3663" t="s">
        <v>44</v>
      </c>
      <c r="M3663">
        <v>8.4700000000000006</v>
      </c>
      <c r="T3663" t="s">
        <v>45</v>
      </c>
      <c r="U3663">
        <v>2</v>
      </c>
      <c r="V3663">
        <v>7</v>
      </c>
    </row>
    <row r="3664" spans="1:22" x14ac:dyDescent="0.3">
      <c r="A3664">
        <v>3663</v>
      </c>
      <c r="B3664">
        <v>54086</v>
      </c>
      <c r="C3664" s="2">
        <v>36826</v>
      </c>
      <c r="D3664">
        <v>25</v>
      </c>
      <c r="E3664" t="s">
        <v>36</v>
      </c>
      <c r="F3664" t="s">
        <v>37</v>
      </c>
      <c r="G3664" s="2">
        <v>45604</v>
      </c>
      <c r="H3664" s="3">
        <f t="shared" si="57"/>
        <v>1.7506849315068493</v>
      </c>
      <c r="I3664">
        <v>23</v>
      </c>
      <c r="J3664" t="s">
        <v>38</v>
      </c>
      <c r="K3664" t="s">
        <v>65</v>
      </c>
      <c r="L3664" t="s">
        <v>44</v>
      </c>
      <c r="M3664">
        <v>10.64</v>
      </c>
      <c r="T3664" t="s">
        <v>45</v>
      </c>
      <c r="U3664">
        <v>0</v>
      </c>
      <c r="V3664">
        <v>3</v>
      </c>
    </row>
    <row r="3665" spans="1:22" x14ac:dyDescent="0.3">
      <c r="A3665">
        <v>3664</v>
      </c>
      <c r="B3665">
        <v>54087</v>
      </c>
      <c r="C3665" s="2">
        <v>34738</v>
      </c>
      <c r="D3665">
        <v>30</v>
      </c>
      <c r="E3665" t="s">
        <v>36</v>
      </c>
      <c r="F3665" t="s">
        <v>50</v>
      </c>
      <c r="G3665" s="2">
        <v>45383</v>
      </c>
      <c r="H3665" s="3">
        <f t="shared" si="57"/>
        <v>1.6602739726027398</v>
      </c>
      <c r="I3665">
        <v>29</v>
      </c>
      <c r="J3665" t="s">
        <v>38</v>
      </c>
      <c r="K3665" t="s">
        <v>68</v>
      </c>
      <c r="L3665" t="s">
        <v>44</v>
      </c>
      <c r="M3665">
        <v>17</v>
      </c>
      <c r="T3665" t="s">
        <v>47</v>
      </c>
      <c r="U3665">
        <v>4</v>
      </c>
      <c r="V3665">
        <v>6</v>
      </c>
    </row>
    <row r="3666" spans="1:22" x14ac:dyDescent="0.3">
      <c r="A3666">
        <v>3665</v>
      </c>
      <c r="B3666">
        <v>54088</v>
      </c>
      <c r="C3666" s="2">
        <v>36113</v>
      </c>
      <c r="D3666">
        <v>27</v>
      </c>
      <c r="E3666" t="s">
        <v>36</v>
      </c>
      <c r="F3666" t="s">
        <v>50</v>
      </c>
      <c r="G3666" s="2">
        <v>45416</v>
      </c>
      <c r="H3666" s="3">
        <f t="shared" si="57"/>
        <v>1.0191780821917809</v>
      </c>
      <c r="I3666">
        <v>36</v>
      </c>
      <c r="J3666" t="s">
        <v>38</v>
      </c>
      <c r="K3666" t="s">
        <v>56</v>
      </c>
      <c r="L3666" t="s">
        <v>44</v>
      </c>
      <c r="M3666">
        <v>8.4700000000000006</v>
      </c>
      <c r="T3666" t="s">
        <v>45</v>
      </c>
      <c r="U3666">
        <v>1</v>
      </c>
      <c r="V3666">
        <v>5</v>
      </c>
    </row>
    <row r="3667" spans="1:22" x14ac:dyDescent="0.3">
      <c r="A3667">
        <v>3666</v>
      </c>
      <c r="B3667">
        <v>54089</v>
      </c>
      <c r="C3667" s="2">
        <v>38665</v>
      </c>
      <c r="D3667">
        <v>20</v>
      </c>
      <c r="E3667" t="s">
        <v>42</v>
      </c>
      <c r="F3667" t="s">
        <v>50</v>
      </c>
      <c r="G3667" s="2">
        <v>45650</v>
      </c>
      <c r="H3667" s="3">
        <f t="shared" si="57"/>
        <v>1.1150684931506849</v>
      </c>
      <c r="I3667">
        <v>40</v>
      </c>
      <c r="J3667" t="s">
        <v>38</v>
      </c>
      <c r="K3667" t="s">
        <v>56</v>
      </c>
      <c r="L3667" t="s">
        <v>44</v>
      </c>
      <c r="M3667">
        <v>8.4700000000000006</v>
      </c>
      <c r="T3667" t="s">
        <v>47</v>
      </c>
      <c r="U3667">
        <v>2</v>
      </c>
      <c r="V3667">
        <v>5</v>
      </c>
    </row>
    <row r="3668" spans="1:22" x14ac:dyDescent="0.3">
      <c r="A3668">
        <v>3667</v>
      </c>
      <c r="B3668">
        <v>54090</v>
      </c>
      <c r="C3668" s="2">
        <v>38719</v>
      </c>
      <c r="D3668">
        <v>19</v>
      </c>
      <c r="E3668" t="s">
        <v>42</v>
      </c>
      <c r="F3668" t="s">
        <v>50</v>
      </c>
      <c r="G3668" s="2">
        <v>45615</v>
      </c>
      <c r="H3668" s="3">
        <f t="shared" si="57"/>
        <v>1.2986301369863014</v>
      </c>
      <c r="I3668">
        <v>44</v>
      </c>
      <c r="J3668" t="s">
        <v>38</v>
      </c>
      <c r="K3668" t="s">
        <v>56</v>
      </c>
      <c r="L3668" t="s">
        <v>44</v>
      </c>
      <c r="M3668">
        <v>8.4700000000000006</v>
      </c>
      <c r="T3668" t="s">
        <v>45</v>
      </c>
      <c r="U3668">
        <v>1</v>
      </c>
      <c r="V3668">
        <v>7</v>
      </c>
    </row>
    <row r="3669" spans="1:22" x14ac:dyDescent="0.3">
      <c r="A3669">
        <v>3668</v>
      </c>
      <c r="B3669">
        <v>54091</v>
      </c>
      <c r="C3669" s="2">
        <v>37408</v>
      </c>
      <c r="D3669">
        <v>24</v>
      </c>
      <c r="E3669" t="s">
        <v>36</v>
      </c>
      <c r="F3669" t="s">
        <v>37</v>
      </c>
      <c r="G3669" s="2">
        <v>45548</v>
      </c>
      <c r="H3669" s="3">
        <f t="shared" si="57"/>
        <v>1.3506849315068492</v>
      </c>
      <c r="I3669">
        <v>58</v>
      </c>
      <c r="J3669" t="s">
        <v>38</v>
      </c>
      <c r="K3669" t="s">
        <v>56</v>
      </c>
      <c r="L3669" t="s">
        <v>44</v>
      </c>
      <c r="M3669">
        <v>8.4700000000000006</v>
      </c>
      <c r="T3669" t="s">
        <v>52</v>
      </c>
      <c r="U3669">
        <v>2</v>
      </c>
      <c r="V3669">
        <v>5</v>
      </c>
    </row>
    <row r="3670" spans="1:22" x14ac:dyDescent="0.3">
      <c r="A3670">
        <v>3669</v>
      </c>
      <c r="B3670">
        <v>54092</v>
      </c>
      <c r="C3670" s="2">
        <v>38400</v>
      </c>
      <c r="D3670">
        <v>20</v>
      </c>
      <c r="E3670" t="s">
        <v>42</v>
      </c>
      <c r="F3670" t="s">
        <v>50</v>
      </c>
      <c r="G3670" s="2">
        <v>45529</v>
      </c>
      <c r="H3670" s="3">
        <f t="shared" si="57"/>
        <v>1.7506849315068493</v>
      </c>
      <c r="I3670">
        <v>63</v>
      </c>
      <c r="J3670" t="s">
        <v>38</v>
      </c>
      <c r="K3670" t="s">
        <v>56</v>
      </c>
      <c r="L3670" t="s">
        <v>44</v>
      </c>
      <c r="M3670">
        <v>8.4700000000000006</v>
      </c>
      <c r="T3670" t="s">
        <v>52</v>
      </c>
      <c r="U3670">
        <v>3</v>
      </c>
      <c r="V3670">
        <v>6</v>
      </c>
    </row>
    <row r="3671" spans="1:22" x14ac:dyDescent="0.3">
      <c r="A3671">
        <v>3670</v>
      </c>
      <c r="B3671">
        <v>54093</v>
      </c>
      <c r="C3671" s="2">
        <v>37788</v>
      </c>
      <c r="D3671">
        <v>22</v>
      </c>
      <c r="E3671" t="s">
        <v>42</v>
      </c>
      <c r="F3671" t="s">
        <v>50</v>
      </c>
      <c r="G3671" s="2">
        <v>45383</v>
      </c>
      <c r="H3671" s="3">
        <f t="shared" si="57"/>
        <v>1.0876712328767124</v>
      </c>
      <c r="I3671">
        <v>67</v>
      </c>
      <c r="J3671" t="s">
        <v>57</v>
      </c>
      <c r="K3671" t="s">
        <v>55</v>
      </c>
      <c r="L3671" t="s">
        <v>44</v>
      </c>
      <c r="M3671">
        <v>17.59</v>
      </c>
      <c r="T3671" t="s">
        <v>47</v>
      </c>
      <c r="U3671">
        <v>1</v>
      </c>
      <c r="V3671">
        <v>7</v>
      </c>
    </row>
    <row r="3672" spans="1:22" x14ac:dyDescent="0.3">
      <c r="A3672">
        <v>3671</v>
      </c>
      <c r="B3672">
        <v>54094</v>
      </c>
      <c r="C3672" s="2">
        <v>38075</v>
      </c>
      <c r="D3672">
        <v>21</v>
      </c>
      <c r="E3672" t="s">
        <v>42</v>
      </c>
      <c r="F3672" t="s">
        <v>50</v>
      </c>
      <c r="G3672" s="2">
        <v>45625</v>
      </c>
      <c r="H3672" s="3">
        <f t="shared" si="57"/>
        <v>1.726027397260274</v>
      </c>
      <c r="I3672">
        <v>67</v>
      </c>
      <c r="J3672" t="s">
        <v>57</v>
      </c>
      <c r="K3672" t="s">
        <v>56</v>
      </c>
      <c r="L3672" t="s">
        <v>44</v>
      </c>
      <c r="M3672">
        <v>8.4700000000000006</v>
      </c>
      <c r="T3672" t="s">
        <v>52</v>
      </c>
      <c r="U3672">
        <v>3</v>
      </c>
      <c r="V3672">
        <v>6</v>
      </c>
    </row>
    <row r="3673" spans="1:22" x14ac:dyDescent="0.3">
      <c r="A3673">
        <v>3672</v>
      </c>
      <c r="B3673">
        <v>54095</v>
      </c>
      <c r="C3673" s="2">
        <v>38524</v>
      </c>
      <c r="D3673">
        <v>20</v>
      </c>
      <c r="E3673" t="s">
        <v>36</v>
      </c>
      <c r="F3673" t="s">
        <v>50</v>
      </c>
      <c r="G3673" s="2">
        <v>45392</v>
      </c>
      <c r="H3673" s="3">
        <f t="shared" si="57"/>
        <v>1.3452054794520547</v>
      </c>
      <c r="I3673">
        <v>74</v>
      </c>
      <c r="J3673" t="s">
        <v>57</v>
      </c>
      <c r="K3673" t="s">
        <v>65</v>
      </c>
      <c r="L3673" t="s">
        <v>44</v>
      </c>
      <c r="M3673">
        <v>10.64</v>
      </c>
      <c r="T3673" t="s">
        <v>47</v>
      </c>
      <c r="U3673">
        <v>1</v>
      </c>
      <c r="V3673">
        <v>5</v>
      </c>
    </row>
    <row r="3674" spans="1:22" x14ac:dyDescent="0.3">
      <c r="A3674">
        <v>3673</v>
      </c>
      <c r="B3674">
        <v>54096</v>
      </c>
      <c r="C3674" s="2">
        <v>38205</v>
      </c>
      <c r="D3674">
        <v>21</v>
      </c>
      <c r="E3674" t="s">
        <v>42</v>
      </c>
      <c r="F3674" t="s">
        <v>37</v>
      </c>
      <c r="G3674" s="2">
        <v>45531</v>
      </c>
      <c r="H3674" s="3">
        <f t="shared" si="57"/>
        <v>1.5643835616438355</v>
      </c>
      <c r="I3674">
        <v>79</v>
      </c>
      <c r="J3674" t="s">
        <v>57</v>
      </c>
      <c r="K3674" t="s">
        <v>56</v>
      </c>
      <c r="L3674" t="s">
        <v>44</v>
      </c>
      <c r="M3674">
        <v>8.4700000000000006</v>
      </c>
      <c r="T3674" t="s">
        <v>47</v>
      </c>
      <c r="U3674">
        <v>0</v>
      </c>
      <c r="V3674">
        <v>6</v>
      </c>
    </row>
    <row r="3675" spans="1:22" x14ac:dyDescent="0.3">
      <c r="A3675">
        <v>3674</v>
      </c>
      <c r="B3675">
        <v>54097</v>
      </c>
      <c r="C3675" s="2">
        <v>37232</v>
      </c>
      <c r="D3675">
        <v>24</v>
      </c>
      <c r="E3675" t="s">
        <v>36</v>
      </c>
      <c r="F3675" t="s">
        <v>50</v>
      </c>
      <c r="G3675" s="2">
        <v>45451</v>
      </c>
      <c r="H3675" s="3">
        <f t="shared" si="57"/>
        <v>1.010958904109589</v>
      </c>
      <c r="I3675">
        <v>81</v>
      </c>
      <c r="J3675" t="s">
        <v>57</v>
      </c>
      <c r="K3675" t="s">
        <v>68</v>
      </c>
      <c r="L3675" t="s">
        <v>44</v>
      </c>
      <c r="M3675">
        <v>17</v>
      </c>
      <c r="T3675" t="s">
        <v>45</v>
      </c>
      <c r="U3675">
        <v>1</v>
      </c>
      <c r="V3675">
        <v>4</v>
      </c>
    </row>
    <row r="3676" spans="1:22" x14ac:dyDescent="0.3">
      <c r="A3676">
        <v>3675</v>
      </c>
      <c r="B3676">
        <v>54098</v>
      </c>
      <c r="C3676" s="2">
        <v>35203</v>
      </c>
      <c r="D3676">
        <v>29</v>
      </c>
      <c r="E3676" t="s">
        <v>42</v>
      </c>
      <c r="F3676" t="s">
        <v>50</v>
      </c>
      <c r="G3676" s="2">
        <v>45653</v>
      </c>
      <c r="H3676" s="3">
        <f t="shared" si="57"/>
        <v>1.1616438356164382</v>
      </c>
      <c r="I3676">
        <v>96</v>
      </c>
      <c r="J3676" t="s">
        <v>57</v>
      </c>
      <c r="K3676" t="s">
        <v>56</v>
      </c>
      <c r="L3676" t="s">
        <v>44</v>
      </c>
      <c r="M3676">
        <v>8.4700000000000006</v>
      </c>
      <c r="T3676" t="s">
        <v>47</v>
      </c>
      <c r="U3676">
        <v>4</v>
      </c>
      <c r="V3676">
        <v>7</v>
      </c>
    </row>
    <row r="3677" spans="1:22" x14ac:dyDescent="0.3">
      <c r="A3677">
        <v>3676</v>
      </c>
      <c r="B3677">
        <v>54099</v>
      </c>
      <c r="C3677" s="2">
        <v>35606</v>
      </c>
      <c r="D3677">
        <v>28</v>
      </c>
      <c r="E3677" t="s">
        <v>42</v>
      </c>
      <c r="F3677" t="s">
        <v>50</v>
      </c>
      <c r="G3677" s="2">
        <v>45598</v>
      </c>
      <c r="H3677" s="3">
        <f t="shared" si="57"/>
        <v>1.536986301369863</v>
      </c>
      <c r="I3677">
        <v>99</v>
      </c>
      <c r="J3677" t="s">
        <v>57</v>
      </c>
      <c r="K3677" t="s">
        <v>56</v>
      </c>
      <c r="L3677" t="s">
        <v>44</v>
      </c>
      <c r="M3677">
        <v>8.4700000000000006</v>
      </c>
      <c r="T3677" t="s">
        <v>47</v>
      </c>
      <c r="U3677">
        <v>0</v>
      </c>
      <c r="V3677">
        <v>6</v>
      </c>
    </row>
    <row r="3678" spans="1:22" x14ac:dyDescent="0.3">
      <c r="A3678">
        <v>3677</v>
      </c>
      <c r="B3678">
        <v>54100</v>
      </c>
      <c r="C3678" s="2">
        <v>35151</v>
      </c>
      <c r="D3678">
        <v>29</v>
      </c>
      <c r="E3678" t="s">
        <v>42</v>
      </c>
      <c r="F3678" t="s">
        <v>50</v>
      </c>
      <c r="G3678" s="2">
        <v>45461</v>
      </c>
      <c r="H3678" s="3">
        <f t="shared" si="57"/>
        <v>1.3452054794520547</v>
      </c>
      <c r="I3678">
        <v>99</v>
      </c>
      <c r="J3678" t="s">
        <v>57</v>
      </c>
      <c r="K3678" t="s">
        <v>56</v>
      </c>
      <c r="L3678" t="s">
        <v>44</v>
      </c>
      <c r="M3678">
        <v>8.4700000000000006</v>
      </c>
      <c r="T3678" t="s">
        <v>45</v>
      </c>
      <c r="U3678">
        <v>0</v>
      </c>
      <c r="V3678">
        <v>6</v>
      </c>
    </row>
    <row r="3679" spans="1:22" x14ac:dyDescent="0.3">
      <c r="A3679">
        <v>3678</v>
      </c>
      <c r="B3679">
        <v>54101</v>
      </c>
      <c r="C3679" s="2">
        <v>38497</v>
      </c>
      <c r="D3679">
        <v>20</v>
      </c>
      <c r="E3679" t="s">
        <v>36</v>
      </c>
      <c r="F3679" t="s">
        <v>50</v>
      </c>
      <c r="G3679" s="2">
        <v>45531</v>
      </c>
      <c r="H3679" s="3">
        <f t="shared" si="57"/>
        <v>1.4712328767123288</v>
      </c>
      <c r="I3679">
        <v>106</v>
      </c>
      <c r="J3679" t="s">
        <v>57</v>
      </c>
      <c r="K3679" t="s">
        <v>65</v>
      </c>
      <c r="L3679" t="s">
        <v>44</v>
      </c>
      <c r="M3679">
        <v>10.64</v>
      </c>
      <c r="T3679" t="s">
        <v>52</v>
      </c>
      <c r="U3679">
        <v>0</v>
      </c>
      <c r="V3679">
        <v>4</v>
      </c>
    </row>
    <row r="3680" spans="1:22" x14ac:dyDescent="0.3">
      <c r="A3680">
        <v>3679</v>
      </c>
      <c r="B3680">
        <v>54102</v>
      </c>
      <c r="C3680" s="2">
        <v>38717</v>
      </c>
      <c r="D3680">
        <v>20</v>
      </c>
      <c r="E3680" t="s">
        <v>42</v>
      </c>
      <c r="F3680" t="s">
        <v>50</v>
      </c>
      <c r="G3680" s="2">
        <v>45485</v>
      </c>
      <c r="H3680" s="3">
        <f t="shared" si="57"/>
        <v>1.0027397260273974</v>
      </c>
      <c r="I3680">
        <v>113</v>
      </c>
      <c r="J3680" t="s">
        <v>57</v>
      </c>
      <c r="K3680" t="s">
        <v>56</v>
      </c>
      <c r="L3680" t="s">
        <v>44</v>
      </c>
      <c r="M3680">
        <v>8.4700000000000006</v>
      </c>
      <c r="T3680" t="s">
        <v>52</v>
      </c>
      <c r="U3680">
        <v>2</v>
      </c>
      <c r="V3680">
        <v>6</v>
      </c>
    </row>
    <row r="3681" spans="1:22" x14ac:dyDescent="0.3">
      <c r="A3681">
        <v>3680</v>
      </c>
      <c r="B3681">
        <v>54103</v>
      </c>
      <c r="C3681" s="2">
        <v>37470</v>
      </c>
      <c r="D3681">
        <v>23</v>
      </c>
      <c r="E3681" t="s">
        <v>36</v>
      </c>
      <c r="F3681" t="s">
        <v>50</v>
      </c>
      <c r="G3681" s="2">
        <v>45656</v>
      </c>
      <c r="H3681" s="3">
        <f t="shared" si="57"/>
        <v>1.6027397260273972</v>
      </c>
      <c r="I3681">
        <v>119</v>
      </c>
      <c r="J3681" t="s">
        <v>57</v>
      </c>
      <c r="K3681" t="s">
        <v>65</v>
      </c>
      <c r="L3681" t="s">
        <v>44</v>
      </c>
      <c r="M3681">
        <v>10.64</v>
      </c>
      <c r="T3681" t="s">
        <v>52</v>
      </c>
      <c r="U3681">
        <v>0</v>
      </c>
      <c r="V3681">
        <v>3</v>
      </c>
    </row>
    <row r="3682" spans="1:22" x14ac:dyDescent="0.3">
      <c r="A3682">
        <v>3681</v>
      </c>
      <c r="B3682">
        <v>54104</v>
      </c>
      <c r="C3682" s="2">
        <v>37007</v>
      </c>
      <c r="D3682">
        <v>24</v>
      </c>
      <c r="E3682" t="s">
        <v>42</v>
      </c>
      <c r="F3682" t="s">
        <v>50</v>
      </c>
      <c r="G3682" s="2">
        <v>45437</v>
      </c>
      <c r="H3682" s="3">
        <f t="shared" si="57"/>
        <v>1.8</v>
      </c>
      <c r="I3682">
        <v>121</v>
      </c>
      <c r="J3682" t="s">
        <v>57</v>
      </c>
      <c r="K3682" t="s">
        <v>56</v>
      </c>
      <c r="L3682" t="s">
        <v>44</v>
      </c>
      <c r="M3682">
        <v>8.4700000000000006</v>
      </c>
      <c r="T3682" t="s">
        <v>45</v>
      </c>
      <c r="U3682">
        <v>3</v>
      </c>
      <c r="V3682">
        <v>7</v>
      </c>
    </row>
    <row r="3683" spans="1:22" x14ac:dyDescent="0.3">
      <c r="A3683">
        <v>3682</v>
      </c>
      <c r="B3683">
        <v>54105</v>
      </c>
      <c r="C3683" s="2">
        <v>33760</v>
      </c>
      <c r="D3683">
        <v>33</v>
      </c>
      <c r="E3683" t="s">
        <v>36</v>
      </c>
      <c r="F3683" t="s">
        <v>50</v>
      </c>
      <c r="G3683" s="2">
        <v>45365</v>
      </c>
      <c r="H3683" s="3">
        <f t="shared" si="57"/>
        <v>1.6712328767123288</v>
      </c>
      <c r="I3683">
        <v>127</v>
      </c>
      <c r="J3683" t="s">
        <v>57</v>
      </c>
      <c r="K3683" t="s">
        <v>46</v>
      </c>
      <c r="L3683" t="s">
        <v>44</v>
      </c>
      <c r="M3683">
        <v>14.23</v>
      </c>
      <c r="T3683" t="s">
        <v>52</v>
      </c>
      <c r="U3683">
        <v>0</v>
      </c>
      <c r="V3683">
        <v>3</v>
      </c>
    </row>
    <row r="3684" spans="1:22" x14ac:dyDescent="0.3">
      <c r="A3684">
        <v>3683</v>
      </c>
      <c r="B3684">
        <v>54106</v>
      </c>
      <c r="C3684" s="2">
        <v>34414</v>
      </c>
      <c r="D3684">
        <v>31</v>
      </c>
      <c r="E3684" t="s">
        <v>42</v>
      </c>
      <c r="F3684" t="s">
        <v>37</v>
      </c>
      <c r="G3684" s="2">
        <v>45412</v>
      </c>
      <c r="H3684" s="3">
        <f t="shared" si="57"/>
        <v>1.7671232876712328</v>
      </c>
      <c r="I3684">
        <v>128</v>
      </c>
      <c r="J3684" t="s">
        <v>57</v>
      </c>
      <c r="K3684" t="s">
        <v>56</v>
      </c>
      <c r="L3684" t="s">
        <v>44</v>
      </c>
      <c r="M3684">
        <v>8.4700000000000006</v>
      </c>
      <c r="T3684" t="s">
        <v>47</v>
      </c>
      <c r="U3684">
        <v>4</v>
      </c>
      <c r="V3684">
        <v>6</v>
      </c>
    </row>
    <row r="3685" spans="1:22" x14ac:dyDescent="0.3">
      <c r="A3685">
        <v>3684</v>
      </c>
      <c r="B3685">
        <v>54108</v>
      </c>
      <c r="C3685" s="2">
        <v>37112</v>
      </c>
      <c r="D3685">
        <v>24</v>
      </c>
      <c r="E3685" t="s">
        <v>42</v>
      </c>
      <c r="F3685" t="s">
        <v>50</v>
      </c>
      <c r="G3685" s="2">
        <v>45377</v>
      </c>
      <c r="H3685" s="3">
        <f t="shared" si="57"/>
        <v>1.6904109589041096</v>
      </c>
      <c r="I3685">
        <v>141</v>
      </c>
      <c r="J3685" t="s">
        <v>57</v>
      </c>
      <c r="K3685" t="s">
        <v>46</v>
      </c>
      <c r="L3685" t="s">
        <v>44</v>
      </c>
      <c r="M3685">
        <v>14.23</v>
      </c>
      <c r="T3685" t="s">
        <v>45</v>
      </c>
      <c r="U3685">
        <v>1</v>
      </c>
      <c r="V3685">
        <v>6</v>
      </c>
    </row>
    <row r="3686" spans="1:22" x14ac:dyDescent="0.3">
      <c r="A3686">
        <v>3685</v>
      </c>
      <c r="B3686">
        <v>54109</v>
      </c>
      <c r="C3686" s="2">
        <v>36639</v>
      </c>
      <c r="D3686">
        <v>25</v>
      </c>
      <c r="E3686" t="s">
        <v>36</v>
      </c>
      <c r="F3686" t="s">
        <v>50</v>
      </c>
      <c r="G3686" s="2">
        <v>45405</v>
      </c>
      <c r="H3686" s="3">
        <f t="shared" si="57"/>
        <v>1.7698630136986302</v>
      </c>
      <c r="I3686">
        <v>54</v>
      </c>
      <c r="J3686" t="s">
        <v>38</v>
      </c>
      <c r="K3686" t="s">
        <v>46</v>
      </c>
      <c r="L3686" t="s">
        <v>44</v>
      </c>
      <c r="M3686">
        <v>14.23</v>
      </c>
      <c r="T3686" t="s">
        <v>47</v>
      </c>
      <c r="U3686">
        <v>0</v>
      </c>
      <c r="V3686">
        <v>4</v>
      </c>
    </row>
    <row r="3687" spans="1:22" x14ac:dyDescent="0.3">
      <c r="A3687">
        <v>3686</v>
      </c>
      <c r="B3687">
        <v>54110</v>
      </c>
      <c r="C3687" s="2">
        <v>35088</v>
      </c>
      <c r="D3687">
        <v>29</v>
      </c>
      <c r="E3687" t="s">
        <v>42</v>
      </c>
      <c r="F3687" t="s">
        <v>50</v>
      </c>
      <c r="G3687" s="2">
        <v>45376</v>
      </c>
      <c r="H3687" s="3">
        <f t="shared" si="57"/>
        <v>1.6</v>
      </c>
      <c r="I3687">
        <v>89</v>
      </c>
      <c r="J3687" t="s">
        <v>57</v>
      </c>
      <c r="K3687" t="s">
        <v>55</v>
      </c>
      <c r="L3687" t="s">
        <v>44</v>
      </c>
      <c r="M3687">
        <v>17.59</v>
      </c>
      <c r="T3687" t="s">
        <v>45</v>
      </c>
      <c r="U3687">
        <v>2</v>
      </c>
      <c r="V3687">
        <v>6</v>
      </c>
    </row>
    <row r="3688" spans="1:22" x14ac:dyDescent="0.3">
      <c r="A3688">
        <v>3687</v>
      </c>
      <c r="B3688">
        <v>54112</v>
      </c>
      <c r="C3688" s="2">
        <v>36142</v>
      </c>
      <c r="D3688">
        <v>27</v>
      </c>
      <c r="E3688" t="s">
        <v>42</v>
      </c>
      <c r="F3688" t="s">
        <v>50</v>
      </c>
      <c r="G3688" s="2">
        <v>45438</v>
      </c>
      <c r="H3688" s="3">
        <f t="shared" si="57"/>
        <v>1.0328767123287672</v>
      </c>
      <c r="I3688">
        <v>115</v>
      </c>
      <c r="J3688" t="s">
        <v>57</v>
      </c>
      <c r="K3688" t="s">
        <v>43</v>
      </c>
      <c r="L3688" t="s">
        <v>44</v>
      </c>
      <c r="M3688">
        <v>16.37</v>
      </c>
      <c r="T3688" t="s">
        <v>52</v>
      </c>
      <c r="U3688">
        <v>1</v>
      </c>
      <c r="V3688">
        <v>5</v>
      </c>
    </row>
    <row r="3689" spans="1:22" x14ac:dyDescent="0.3">
      <c r="A3689">
        <v>3688</v>
      </c>
      <c r="B3689">
        <v>54114</v>
      </c>
      <c r="C3689" s="2">
        <v>37610</v>
      </c>
      <c r="D3689">
        <v>23</v>
      </c>
      <c r="E3689" t="s">
        <v>42</v>
      </c>
      <c r="F3689" t="s">
        <v>50</v>
      </c>
      <c r="G3689" s="2">
        <v>45645</v>
      </c>
      <c r="H3689" s="3">
        <f t="shared" si="57"/>
        <v>1.2465753424657535</v>
      </c>
      <c r="I3689">
        <v>46</v>
      </c>
      <c r="J3689" t="s">
        <v>38</v>
      </c>
      <c r="K3689" t="s">
        <v>56</v>
      </c>
      <c r="L3689" t="s">
        <v>44</v>
      </c>
      <c r="M3689">
        <v>8.4700000000000006</v>
      </c>
      <c r="T3689" t="s">
        <v>47</v>
      </c>
      <c r="U3689">
        <v>3</v>
      </c>
      <c r="V3689">
        <v>6</v>
      </c>
    </row>
    <row r="3690" spans="1:22" x14ac:dyDescent="0.3">
      <c r="A3690">
        <v>3689</v>
      </c>
      <c r="B3690">
        <v>54115</v>
      </c>
      <c r="C3690" s="2">
        <v>34497</v>
      </c>
      <c r="D3690">
        <v>31</v>
      </c>
      <c r="E3690" t="s">
        <v>36</v>
      </c>
      <c r="F3690" t="s">
        <v>50</v>
      </c>
      <c r="G3690" s="2">
        <v>45567</v>
      </c>
      <c r="H3690" s="3">
        <f t="shared" si="57"/>
        <v>1.0547945205479452</v>
      </c>
      <c r="I3690">
        <v>69</v>
      </c>
      <c r="J3690" t="s">
        <v>57</v>
      </c>
      <c r="K3690" t="s">
        <v>56</v>
      </c>
      <c r="L3690" t="s">
        <v>44</v>
      </c>
      <c r="M3690">
        <v>8.4700000000000006</v>
      </c>
      <c r="T3690" t="s">
        <v>45</v>
      </c>
      <c r="U3690">
        <v>2</v>
      </c>
      <c r="V3690">
        <v>4</v>
      </c>
    </row>
    <row r="3691" spans="1:22" x14ac:dyDescent="0.3">
      <c r="A3691">
        <v>3690</v>
      </c>
      <c r="B3691">
        <v>54116</v>
      </c>
      <c r="C3691" s="2">
        <v>35254</v>
      </c>
      <c r="D3691">
        <v>29</v>
      </c>
      <c r="E3691" t="s">
        <v>36</v>
      </c>
      <c r="F3691" t="s">
        <v>50</v>
      </c>
      <c r="G3691" s="2">
        <v>45637</v>
      </c>
      <c r="H3691" s="3">
        <f t="shared" si="57"/>
        <v>1.0383561643835617</v>
      </c>
      <c r="I3691">
        <v>72</v>
      </c>
      <c r="J3691" t="s">
        <v>57</v>
      </c>
      <c r="K3691" t="s">
        <v>55</v>
      </c>
      <c r="L3691" t="s">
        <v>44</v>
      </c>
      <c r="M3691">
        <v>17.59</v>
      </c>
      <c r="T3691" t="s">
        <v>45</v>
      </c>
      <c r="U3691">
        <v>1</v>
      </c>
      <c r="V3691">
        <v>4</v>
      </c>
    </row>
    <row r="3692" spans="1:22" x14ac:dyDescent="0.3">
      <c r="A3692">
        <v>3691</v>
      </c>
      <c r="B3692">
        <v>54117</v>
      </c>
      <c r="C3692" s="2">
        <v>36814</v>
      </c>
      <c r="D3692">
        <v>25</v>
      </c>
      <c r="E3692" t="s">
        <v>36</v>
      </c>
      <c r="F3692" t="s">
        <v>50</v>
      </c>
      <c r="G3692" s="2">
        <v>45643</v>
      </c>
      <c r="H3692" s="3">
        <f t="shared" si="57"/>
        <v>1.0136986301369864</v>
      </c>
      <c r="I3692">
        <v>119</v>
      </c>
      <c r="J3692" t="s">
        <v>57</v>
      </c>
      <c r="K3692" t="s">
        <v>55</v>
      </c>
      <c r="L3692" t="s">
        <v>44</v>
      </c>
      <c r="M3692">
        <v>17.59</v>
      </c>
      <c r="T3692" t="s">
        <v>45</v>
      </c>
      <c r="U3692">
        <v>3</v>
      </c>
      <c r="V3692">
        <v>4</v>
      </c>
    </row>
    <row r="3693" spans="1:22" x14ac:dyDescent="0.3">
      <c r="A3693">
        <v>3692</v>
      </c>
      <c r="B3693">
        <v>54118</v>
      </c>
      <c r="C3693" s="2">
        <v>37655</v>
      </c>
      <c r="D3693">
        <v>22</v>
      </c>
      <c r="E3693" t="s">
        <v>36</v>
      </c>
      <c r="F3693" t="s">
        <v>50</v>
      </c>
      <c r="G3693" s="2">
        <v>45652</v>
      </c>
      <c r="H3693" s="3">
        <f t="shared" si="57"/>
        <v>1.2465753424657535</v>
      </c>
      <c r="I3693">
        <v>131</v>
      </c>
      <c r="J3693" t="s">
        <v>57</v>
      </c>
      <c r="K3693" t="s">
        <v>55</v>
      </c>
      <c r="L3693" t="s">
        <v>44</v>
      </c>
      <c r="M3693">
        <v>17.59</v>
      </c>
      <c r="T3693" t="s">
        <v>45</v>
      </c>
      <c r="U3693">
        <v>1</v>
      </c>
      <c r="V3693">
        <v>5</v>
      </c>
    </row>
    <row r="3694" spans="1:22" x14ac:dyDescent="0.3">
      <c r="A3694">
        <v>3693</v>
      </c>
      <c r="B3694">
        <v>54119</v>
      </c>
      <c r="C3694" s="2">
        <v>37694</v>
      </c>
      <c r="D3694">
        <v>22</v>
      </c>
      <c r="E3694" t="s">
        <v>42</v>
      </c>
      <c r="F3694" t="s">
        <v>37</v>
      </c>
      <c r="G3694" s="2">
        <v>45567</v>
      </c>
      <c r="H3694" s="3">
        <f t="shared" si="57"/>
        <v>1.3726027397260274</v>
      </c>
      <c r="I3694">
        <v>75</v>
      </c>
      <c r="J3694" t="s">
        <v>57</v>
      </c>
      <c r="K3694" t="s">
        <v>48</v>
      </c>
      <c r="L3694" t="s">
        <v>44</v>
      </c>
      <c r="M3694">
        <v>8.4700000000000006</v>
      </c>
      <c r="T3694" t="s">
        <v>45</v>
      </c>
      <c r="U3694">
        <v>2</v>
      </c>
      <c r="V3694">
        <v>6</v>
      </c>
    </row>
    <row r="3695" spans="1:22" x14ac:dyDescent="0.3">
      <c r="A3695">
        <v>3694</v>
      </c>
      <c r="B3695">
        <v>54120</v>
      </c>
      <c r="C3695" s="2">
        <v>37984</v>
      </c>
      <c r="D3695">
        <v>22</v>
      </c>
      <c r="E3695" t="s">
        <v>42</v>
      </c>
      <c r="F3695" t="s">
        <v>50</v>
      </c>
      <c r="G3695" s="2">
        <v>45521</v>
      </c>
      <c r="H3695" s="3">
        <f t="shared" si="57"/>
        <v>1.6904109589041096</v>
      </c>
      <c r="I3695">
        <v>81</v>
      </c>
      <c r="J3695" t="s">
        <v>57</v>
      </c>
      <c r="K3695" t="s">
        <v>56</v>
      </c>
      <c r="L3695" t="s">
        <v>44</v>
      </c>
      <c r="M3695">
        <v>8.4700000000000006</v>
      </c>
      <c r="T3695" t="s">
        <v>49</v>
      </c>
      <c r="U3695">
        <v>2</v>
      </c>
      <c r="V3695">
        <v>6</v>
      </c>
    </row>
    <row r="3696" spans="1:22" x14ac:dyDescent="0.3">
      <c r="A3696">
        <v>3695</v>
      </c>
      <c r="B3696">
        <v>54121</v>
      </c>
      <c r="C3696" s="2">
        <v>37469</v>
      </c>
      <c r="D3696">
        <v>24</v>
      </c>
      <c r="E3696" t="s">
        <v>36</v>
      </c>
      <c r="F3696" t="s">
        <v>50</v>
      </c>
      <c r="G3696" s="2">
        <v>45405</v>
      </c>
      <c r="H3696" s="3">
        <f t="shared" si="57"/>
        <v>1.4931506849315068</v>
      </c>
      <c r="I3696">
        <v>99</v>
      </c>
      <c r="J3696" t="s">
        <v>57</v>
      </c>
      <c r="K3696" t="s">
        <v>55</v>
      </c>
      <c r="L3696" t="s">
        <v>44</v>
      </c>
      <c r="M3696">
        <v>17.59</v>
      </c>
      <c r="T3696" t="s">
        <v>52</v>
      </c>
      <c r="U3696">
        <v>1</v>
      </c>
      <c r="V3696">
        <v>5</v>
      </c>
    </row>
    <row r="3697" spans="1:22" x14ac:dyDescent="0.3">
      <c r="A3697">
        <v>3696</v>
      </c>
      <c r="B3697">
        <v>54123</v>
      </c>
      <c r="C3697" s="2">
        <v>38710</v>
      </c>
      <c r="D3697">
        <v>20</v>
      </c>
      <c r="E3697" t="s">
        <v>42</v>
      </c>
      <c r="F3697" t="s">
        <v>50</v>
      </c>
      <c r="G3697" s="2">
        <v>45477</v>
      </c>
      <c r="H3697" s="3">
        <f t="shared" si="57"/>
        <v>1.6712328767123288</v>
      </c>
      <c r="I3697">
        <v>11</v>
      </c>
      <c r="J3697" t="s">
        <v>38</v>
      </c>
      <c r="K3697" t="s">
        <v>43</v>
      </c>
      <c r="L3697" t="s">
        <v>44</v>
      </c>
      <c r="M3697">
        <v>16.37</v>
      </c>
      <c r="T3697" t="s">
        <v>47</v>
      </c>
      <c r="U3697">
        <v>0</v>
      </c>
      <c r="V3697">
        <v>6</v>
      </c>
    </row>
    <row r="3698" spans="1:22" x14ac:dyDescent="0.3">
      <c r="A3698">
        <v>3697</v>
      </c>
      <c r="B3698">
        <v>54124</v>
      </c>
      <c r="C3698" s="2">
        <v>38427</v>
      </c>
      <c r="D3698">
        <v>20</v>
      </c>
      <c r="E3698" t="s">
        <v>36</v>
      </c>
      <c r="F3698" t="s">
        <v>50</v>
      </c>
      <c r="G3698" s="2">
        <v>45412</v>
      </c>
      <c r="H3698" s="3">
        <f t="shared" si="57"/>
        <v>1.5424657534246575</v>
      </c>
      <c r="I3698">
        <v>20</v>
      </c>
      <c r="J3698" t="s">
        <v>38</v>
      </c>
      <c r="K3698" t="s">
        <v>56</v>
      </c>
      <c r="L3698" t="s">
        <v>44</v>
      </c>
      <c r="M3698">
        <v>8.4700000000000006</v>
      </c>
      <c r="T3698" t="s">
        <v>52</v>
      </c>
      <c r="U3698">
        <v>3</v>
      </c>
      <c r="V3698">
        <v>6</v>
      </c>
    </row>
    <row r="3699" spans="1:22" x14ac:dyDescent="0.3">
      <c r="A3699">
        <v>3698</v>
      </c>
      <c r="B3699">
        <v>54125</v>
      </c>
      <c r="C3699" s="2">
        <v>38184</v>
      </c>
      <c r="D3699">
        <v>21</v>
      </c>
      <c r="E3699" t="s">
        <v>36</v>
      </c>
      <c r="F3699" t="s">
        <v>50</v>
      </c>
      <c r="G3699" s="2">
        <v>45459</v>
      </c>
      <c r="H3699" s="3">
        <f t="shared" si="57"/>
        <v>1.7753424657534247</v>
      </c>
      <c r="I3699">
        <v>30</v>
      </c>
      <c r="J3699" t="s">
        <v>38</v>
      </c>
      <c r="K3699" t="s">
        <v>65</v>
      </c>
      <c r="L3699" t="s">
        <v>44</v>
      </c>
      <c r="M3699">
        <v>10.64</v>
      </c>
      <c r="T3699" t="s">
        <v>49</v>
      </c>
      <c r="U3699">
        <v>1</v>
      </c>
      <c r="V3699">
        <v>4</v>
      </c>
    </row>
    <row r="3700" spans="1:22" x14ac:dyDescent="0.3">
      <c r="A3700">
        <v>3699</v>
      </c>
      <c r="B3700">
        <v>54126</v>
      </c>
      <c r="C3700" s="2">
        <v>36910</v>
      </c>
      <c r="D3700">
        <v>24</v>
      </c>
      <c r="E3700" t="s">
        <v>42</v>
      </c>
      <c r="F3700" t="s">
        <v>50</v>
      </c>
      <c r="G3700" s="2">
        <v>45374</v>
      </c>
      <c r="H3700" s="3">
        <f t="shared" si="57"/>
        <v>1.0465753424657533</v>
      </c>
      <c r="I3700">
        <v>33</v>
      </c>
      <c r="J3700" t="s">
        <v>38</v>
      </c>
      <c r="K3700" t="s">
        <v>56</v>
      </c>
      <c r="L3700" t="s">
        <v>44</v>
      </c>
      <c r="M3700">
        <v>8.4700000000000006</v>
      </c>
      <c r="T3700" t="s">
        <v>52</v>
      </c>
      <c r="U3700">
        <v>0</v>
      </c>
      <c r="V3700">
        <v>6</v>
      </c>
    </row>
    <row r="3701" spans="1:22" x14ac:dyDescent="0.3">
      <c r="A3701">
        <v>3700</v>
      </c>
      <c r="B3701">
        <v>54127</v>
      </c>
      <c r="C3701" s="2">
        <v>35009</v>
      </c>
      <c r="D3701">
        <v>30</v>
      </c>
      <c r="E3701" t="s">
        <v>36</v>
      </c>
      <c r="F3701" t="s">
        <v>37</v>
      </c>
      <c r="G3701" s="2">
        <v>45640</v>
      </c>
      <c r="H3701" s="3">
        <f t="shared" si="57"/>
        <v>1.4684931506849315</v>
      </c>
      <c r="I3701">
        <v>46</v>
      </c>
      <c r="J3701" t="s">
        <v>38</v>
      </c>
      <c r="K3701" t="s">
        <v>43</v>
      </c>
      <c r="L3701" t="s">
        <v>44</v>
      </c>
      <c r="M3701">
        <v>16.37</v>
      </c>
      <c r="T3701" t="s">
        <v>49</v>
      </c>
      <c r="U3701">
        <v>2</v>
      </c>
      <c r="V3701">
        <v>4</v>
      </c>
    </row>
    <row r="3702" spans="1:22" x14ac:dyDescent="0.3">
      <c r="A3702">
        <v>3701</v>
      </c>
      <c r="B3702">
        <v>54129</v>
      </c>
      <c r="C3702" s="2">
        <v>38601</v>
      </c>
      <c r="D3702">
        <v>20</v>
      </c>
      <c r="E3702" t="s">
        <v>36</v>
      </c>
      <c r="F3702" t="s">
        <v>50</v>
      </c>
      <c r="G3702" s="2">
        <v>45486</v>
      </c>
      <c r="H3702" s="3">
        <f t="shared" si="57"/>
        <v>1.1205479452054794</v>
      </c>
      <c r="I3702">
        <v>54</v>
      </c>
      <c r="J3702" t="s">
        <v>38</v>
      </c>
      <c r="K3702" t="s">
        <v>64</v>
      </c>
      <c r="L3702" t="s">
        <v>44</v>
      </c>
      <c r="M3702">
        <v>14.07</v>
      </c>
      <c r="T3702" t="s">
        <v>52</v>
      </c>
      <c r="U3702">
        <v>1</v>
      </c>
      <c r="V3702">
        <v>4</v>
      </c>
    </row>
    <row r="3703" spans="1:22" x14ac:dyDescent="0.3">
      <c r="A3703">
        <v>3702</v>
      </c>
      <c r="B3703">
        <v>54131</v>
      </c>
      <c r="C3703" s="2">
        <v>39037</v>
      </c>
      <c r="D3703">
        <v>19</v>
      </c>
      <c r="E3703" t="s">
        <v>42</v>
      </c>
      <c r="F3703" t="s">
        <v>50</v>
      </c>
      <c r="G3703" s="2">
        <v>45613</v>
      </c>
      <c r="H3703" s="3">
        <f t="shared" si="57"/>
        <v>1.6575342465753424</v>
      </c>
      <c r="I3703">
        <v>61</v>
      </c>
      <c r="J3703" t="s">
        <v>38</v>
      </c>
      <c r="K3703" t="s">
        <v>56</v>
      </c>
      <c r="L3703" t="s">
        <v>44</v>
      </c>
      <c r="M3703">
        <v>8.4700000000000006</v>
      </c>
      <c r="T3703" t="s">
        <v>52</v>
      </c>
      <c r="U3703">
        <v>1</v>
      </c>
      <c r="V3703">
        <v>7</v>
      </c>
    </row>
    <row r="3704" spans="1:22" x14ac:dyDescent="0.3">
      <c r="A3704">
        <v>3703</v>
      </c>
      <c r="B3704">
        <v>54132</v>
      </c>
      <c r="C3704" s="2">
        <v>39173</v>
      </c>
      <c r="D3704">
        <v>19</v>
      </c>
      <c r="E3704" t="s">
        <v>42</v>
      </c>
      <c r="F3704" t="s">
        <v>50</v>
      </c>
      <c r="G3704" s="2">
        <v>45417</v>
      </c>
      <c r="H3704" s="3">
        <f t="shared" si="57"/>
        <v>1.8136986301369864</v>
      </c>
      <c r="I3704">
        <v>68</v>
      </c>
      <c r="J3704" t="s">
        <v>57</v>
      </c>
      <c r="K3704" t="s">
        <v>56</v>
      </c>
      <c r="L3704" t="s">
        <v>44</v>
      </c>
      <c r="M3704">
        <v>8.4700000000000006</v>
      </c>
      <c r="T3704" t="s">
        <v>47</v>
      </c>
      <c r="U3704">
        <v>1</v>
      </c>
      <c r="V3704">
        <v>7</v>
      </c>
    </row>
    <row r="3705" spans="1:22" x14ac:dyDescent="0.3">
      <c r="A3705">
        <v>3704</v>
      </c>
      <c r="B3705">
        <v>54133</v>
      </c>
      <c r="C3705" s="2">
        <v>37970</v>
      </c>
      <c r="D3705">
        <v>22</v>
      </c>
      <c r="E3705" t="s">
        <v>42</v>
      </c>
      <c r="F3705" t="s">
        <v>37</v>
      </c>
      <c r="G3705" s="2">
        <v>45360</v>
      </c>
      <c r="H3705" s="3">
        <f t="shared" si="57"/>
        <v>1.1835616438356165</v>
      </c>
      <c r="I3705">
        <v>96</v>
      </c>
      <c r="J3705" t="s">
        <v>57</v>
      </c>
      <c r="K3705" t="s">
        <v>65</v>
      </c>
      <c r="L3705" t="s">
        <v>44</v>
      </c>
      <c r="M3705">
        <v>10.64</v>
      </c>
      <c r="T3705" t="s">
        <v>45</v>
      </c>
      <c r="U3705">
        <v>1</v>
      </c>
      <c r="V3705">
        <v>4</v>
      </c>
    </row>
    <row r="3706" spans="1:22" x14ac:dyDescent="0.3">
      <c r="A3706">
        <v>3705</v>
      </c>
      <c r="B3706">
        <v>54134</v>
      </c>
      <c r="C3706" s="2">
        <v>35966</v>
      </c>
      <c r="D3706">
        <v>27</v>
      </c>
      <c r="E3706" t="s">
        <v>42</v>
      </c>
      <c r="F3706" t="s">
        <v>37</v>
      </c>
      <c r="G3706" s="2">
        <v>45590</v>
      </c>
      <c r="H3706" s="3">
        <f t="shared" si="57"/>
        <v>1.2219178082191782</v>
      </c>
      <c r="I3706">
        <v>97</v>
      </c>
      <c r="J3706" t="s">
        <v>57</v>
      </c>
      <c r="K3706" t="s">
        <v>43</v>
      </c>
      <c r="L3706" t="s">
        <v>44</v>
      </c>
      <c r="M3706">
        <v>16.37</v>
      </c>
      <c r="T3706" t="s">
        <v>49</v>
      </c>
      <c r="U3706">
        <v>1</v>
      </c>
      <c r="V3706">
        <v>7</v>
      </c>
    </row>
    <row r="3707" spans="1:22" x14ac:dyDescent="0.3">
      <c r="A3707">
        <v>3706</v>
      </c>
      <c r="B3707">
        <v>54135</v>
      </c>
      <c r="C3707" s="2">
        <v>38662</v>
      </c>
      <c r="D3707">
        <v>20</v>
      </c>
      <c r="E3707" t="s">
        <v>42</v>
      </c>
      <c r="F3707" t="s">
        <v>50</v>
      </c>
      <c r="G3707" s="2">
        <v>45576</v>
      </c>
      <c r="H3707" s="3">
        <f t="shared" si="57"/>
        <v>1.2082191780821918</v>
      </c>
      <c r="I3707">
        <v>119</v>
      </c>
      <c r="J3707" t="s">
        <v>57</v>
      </c>
      <c r="K3707" t="s">
        <v>56</v>
      </c>
      <c r="L3707" t="s">
        <v>44</v>
      </c>
      <c r="M3707">
        <v>8.4700000000000006</v>
      </c>
      <c r="T3707" t="s">
        <v>45</v>
      </c>
      <c r="U3707">
        <v>3</v>
      </c>
      <c r="V3707">
        <v>7</v>
      </c>
    </row>
    <row r="3708" spans="1:22" x14ac:dyDescent="0.3">
      <c r="A3708">
        <v>3707</v>
      </c>
      <c r="B3708">
        <v>54137</v>
      </c>
      <c r="C3708" s="2">
        <v>35067</v>
      </c>
      <c r="D3708">
        <v>29</v>
      </c>
      <c r="E3708" t="s">
        <v>36</v>
      </c>
      <c r="F3708" t="s">
        <v>50</v>
      </c>
      <c r="G3708" s="2">
        <v>45581</v>
      </c>
      <c r="H3708" s="3">
        <f t="shared" si="57"/>
        <v>1.263013698630137</v>
      </c>
      <c r="I3708">
        <v>132</v>
      </c>
      <c r="J3708" t="s">
        <v>57</v>
      </c>
      <c r="K3708" t="s">
        <v>55</v>
      </c>
      <c r="L3708" t="s">
        <v>44</v>
      </c>
      <c r="M3708">
        <v>17.59</v>
      </c>
      <c r="T3708" t="s">
        <v>52</v>
      </c>
      <c r="U3708">
        <v>0</v>
      </c>
      <c r="V3708">
        <v>3</v>
      </c>
    </row>
    <row r="3709" spans="1:22" x14ac:dyDescent="0.3">
      <c r="A3709">
        <v>3708</v>
      </c>
      <c r="B3709">
        <v>54138</v>
      </c>
      <c r="C3709" s="2">
        <v>37574</v>
      </c>
      <c r="D3709">
        <v>23</v>
      </c>
      <c r="E3709" t="s">
        <v>42</v>
      </c>
      <c r="F3709" t="s">
        <v>37</v>
      </c>
      <c r="G3709" s="2">
        <v>45561</v>
      </c>
      <c r="H3709" s="3">
        <f t="shared" si="57"/>
        <v>1.6082191780821917</v>
      </c>
      <c r="I3709">
        <v>133</v>
      </c>
      <c r="J3709" t="s">
        <v>57</v>
      </c>
      <c r="K3709" t="s">
        <v>56</v>
      </c>
      <c r="L3709" t="s">
        <v>44</v>
      </c>
      <c r="M3709">
        <v>8.4700000000000006</v>
      </c>
      <c r="T3709" t="s">
        <v>52</v>
      </c>
      <c r="U3709">
        <v>1</v>
      </c>
      <c r="V3709">
        <v>6</v>
      </c>
    </row>
    <row r="3710" spans="1:22" x14ac:dyDescent="0.3">
      <c r="A3710">
        <v>3709</v>
      </c>
      <c r="B3710">
        <v>54139</v>
      </c>
      <c r="C3710" s="2">
        <v>38331</v>
      </c>
      <c r="D3710">
        <v>21</v>
      </c>
      <c r="E3710" t="s">
        <v>36</v>
      </c>
      <c r="F3710" t="s">
        <v>37</v>
      </c>
      <c r="G3710" s="2">
        <v>45435</v>
      </c>
      <c r="H3710" s="3">
        <f t="shared" si="57"/>
        <v>1.3260273972602741</v>
      </c>
      <c r="I3710">
        <v>140</v>
      </c>
      <c r="J3710" t="s">
        <v>57</v>
      </c>
      <c r="K3710" t="s">
        <v>56</v>
      </c>
      <c r="L3710" t="s">
        <v>44</v>
      </c>
      <c r="M3710">
        <v>8.4700000000000006</v>
      </c>
      <c r="T3710" t="s">
        <v>47</v>
      </c>
      <c r="U3710">
        <v>2</v>
      </c>
      <c r="V3710">
        <v>5</v>
      </c>
    </row>
    <row r="3711" spans="1:22" x14ac:dyDescent="0.3">
      <c r="A3711">
        <v>3710</v>
      </c>
      <c r="B3711">
        <v>54140</v>
      </c>
      <c r="C3711" s="2">
        <v>37209</v>
      </c>
      <c r="D3711">
        <v>24</v>
      </c>
      <c r="E3711" t="s">
        <v>42</v>
      </c>
      <c r="F3711" t="s">
        <v>50</v>
      </c>
      <c r="G3711" s="2">
        <v>45538</v>
      </c>
      <c r="H3711" s="3">
        <f t="shared" si="57"/>
        <v>1.2767123287671234</v>
      </c>
      <c r="I3711">
        <v>142</v>
      </c>
      <c r="J3711" t="s">
        <v>57</v>
      </c>
      <c r="K3711" t="s">
        <v>68</v>
      </c>
      <c r="L3711" t="s">
        <v>44</v>
      </c>
      <c r="M3711">
        <v>17</v>
      </c>
      <c r="T3711" t="s">
        <v>49</v>
      </c>
      <c r="U3711">
        <v>1</v>
      </c>
      <c r="V3711">
        <v>5</v>
      </c>
    </row>
    <row r="3712" spans="1:22" x14ac:dyDescent="0.3">
      <c r="A3712">
        <v>3711</v>
      </c>
      <c r="B3712">
        <v>54141</v>
      </c>
      <c r="C3712" s="2">
        <v>37403</v>
      </c>
      <c r="D3712">
        <v>23</v>
      </c>
      <c r="E3712" t="s">
        <v>42</v>
      </c>
      <c r="F3712" t="s">
        <v>50</v>
      </c>
      <c r="G3712" s="2">
        <v>45556</v>
      </c>
      <c r="H3712" s="3">
        <f t="shared" si="57"/>
        <v>1.8136986301369864</v>
      </c>
      <c r="I3712">
        <v>11</v>
      </c>
      <c r="J3712" t="s">
        <v>38</v>
      </c>
      <c r="K3712" t="s">
        <v>43</v>
      </c>
      <c r="L3712" t="s">
        <v>44</v>
      </c>
      <c r="M3712">
        <v>16.37</v>
      </c>
      <c r="T3712" t="s">
        <v>45</v>
      </c>
      <c r="U3712">
        <v>1</v>
      </c>
      <c r="V3712">
        <v>6</v>
      </c>
    </row>
    <row r="3713" spans="1:22" x14ac:dyDescent="0.3">
      <c r="A3713">
        <v>3712</v>
      </c>
      <c r="B3713">
        <v>54142</v>
      </c>
      <c r="C3713" s="2">
        <v>36582</v>
      </c>
      <c r="D3713">
        <v>25</v>
      </c>
      <c r="E3713" t="s">
        <v>42</v>
      </c>
      <c r="F3713" t="s">
        <v>50</v>
      </c>
      <c r="G3713" s="2">
        <v>45360</v>
      </c>
      <c r="H3713" s="3">
        <f t="shared" si="57"/>
        <v>1.6301369863013699</v>
      </c>
      <c r="I3713">
        <v>30</v>
      </c>
      <c r="J3713" t="s">
        <v>38</v>
      </c>
      <c r="K3713" t="s">
        <v>56</v>
      </c>
      <c r="L3713" t="s">
        <v>44</v>
      </c>
      <c r="M3713">
        <v>8.4700000000000006</v>
      </c>
      <c r="T3713" t="s">
        <v>45</v>
      </c>
      <c r="U3713">
        <v>3</v>
      </c>
      <c r="V3713">
        <v>7</v>
      </c>
    </row>
    <row r="3714" spans="1:22" x14ac:dyDescent="0.3">
      <c r="A3714">
        <v>3713</v>
      </c>
      <c r="B3714">
        <v>54143</v>
      </c>
      <c r="C3714" s="2">
        <v>38786</v>
      </c>
      <c r="D3714">
        <v>19</v>
      </c>
      <c r="E3714" t="s">
        <v>42</v>
      </c>
      <c r="F3714" t="s">
        <v>50</v>
      </c>
      <c r="G3714" s="2">
        <v>45427</v>
      </c>
      <c r="H3714" s="3">
        <f t="shared" si="57"/>
        <v>1.3643835616438356</v>
      </c>
      <c r="I3714">
        <v>37</v>
      </c>
      <c r="J3714" t="s">
        <v>38</v>
      </c>
      <c r="K3714" t="s">
        <v>48</v>
      </c>
      <c r="L3714" t="s">
        <v>44</v>
      </c>
      <c r="M3714">
        <v>8.4700000000000006</v>
      </c>
      <c r="T3714" t="s">
        <v>49</v>
      </c>
      <c r="U3714">
        <v>4</v>
      </c>
      <c r="V3714">
        <v>7</v>
      </c>
    </row>
    <row r="3715" spans="1:22" x14ac:dyDescent="0.3">
      <c r="A3715">
        <v>3714</v>
      </c>
      <c r="B3715">
        <v>54144</v>
      </c>
      <c r="C3715" s="2">
        <v>35241</v>
      </c>
      <c r="D3715">
        <v>29</v>
      </c>
      <c r="E3715" t="s">
        <v>36</v>
      </c>
      <c r="F3715" t="s">
        <v>50</v>
      </c>
      <c r="G3715" s="2">
        <v>45524</v>
      </c>
      <c r="H3715" s="3">
        <f t="shared" ref="H3715:H3778" si="58">DATEDIF(G3716,DATE(2025,12,31),"d")/365</f>
        <v>1.7917808219178082</v>
      </c>
      <c r="I3715">
        <v>70</v>
      </c>
      <c r="J3715" t="s">
        <v>57</v>
      </c>
      <c r="K3715" t="s">
        <v>64</v>
      </c>
      <c r="L3715" t="s">
        <v>44</v>
      </c>
      <c r="M3715">
        <v>14.07</v>
      </c>
      <c r="T3715" t="s">
        <v>47</v>
      </c>
      <c r="U3715">
        <v>0</v>
      </c>
      <c r="V3715">
        <v>5</v>
      </c>
    </row>
    <row r="3716" spans="1:22" x14ac:dyDescent="0.3">
      <c r="A3716">
        <v>3715</v>
      </c>
      <c r="B3716">
        <v>54145</v>
      </c>
      <c r="C3716" s="2">
        <v>37962</v>
      </c>
      <c r="D3716">
        <v>22</v>
      </c>
      <c r="E3716" t="s">
        <v>36</v>
      </c>
      <c r="F3716" t="s">
        <v>50</v>
      </c>
      <c r="G3716" s="2">
        <v>45368</v>
      </c>
      <c r="H3716" s="3">
        <f t="shared" si="58"/>
        <v>1.6931506849315068</v>
      </c>
      <c r="I3716">
        <v>75</v>
      </c>
      <c r="J3716" t="s">
        <v>57</v>
      </c>
      <c r="K3716" t="s">
        <v>46</v>
      </c>
      <c r="L3716" t="s">
        <v>44</v>
      </c>
      <c r="M3716">
        <v>14.23</v>
      </c>
      <c r="T3716" t="s">
        <v>52</v>
      </c>
      <c r="U3716">
        <v>0</v>
      </c>
      <c r="V3716">
        <v>4</v>
      </c>
    </row>
    <row r="3717" spans="1:22" x14ac:dyDescent="0.3">
      <c r="A3717">
        <v>3716</v>
      </c>
      <c r="B3717">
        <v>54146</v>
      </c>
      <c r="C3717" s="2">
        <v>36994</v>
      </c>
      <c r="D3717">
        <v>24</v>
      </c>
      <c r="E3717" t="s">
        <v>36</v>
      </c>
      <c r="F3717" t="s">
        <v>50</v>
      </c>
      <c r="G3717" s="2">
        <v>45404</v>
      </c>
      <c r="H3717" s="3">
        <f t="shared" si="58"/>
        <v>1.5753424657534247</v>
      </c>
      <c r="I3717">
        <v>90</v>
      </c>
      <c r="J3717" t="s">
        <v>57</v>
      </c>
      <c r="K3717" t="s">
        <v>46</v>
      </c>
      <c r="L3717" t="s">
        <v>44</v>
      </c>
      <c r="M3717">
        <v>14.23</v>
      </c>
      <c r="T3717" t="s">
        <v>45</v>
      </c>
      <c r="U3717">
        <v>1</v>
      </c>
      <c r="V3717">
        <v>3</v>
      </c>
    </row>
    <row r="3718" spans="1:22" x14ac:dyDescent="0.3">
      <c r="A3718">
        <v>3717</v>
      </c>
      <c r="B3718">
        <v>54147</v>
      </c>
      <c r="C3718" s="2">
        <v>34743</v>
      </c>
      <c r="D3718">
        <v>30</v>
      </c>
      <c r="E3718" t="s">
        <v>36</v>
      </c>
      <c r="F3718" t="s">
        <v>50</v>
      </c>
      <c r="G3718" s="2">
        <v>45447</v>
      </c>
      <c r="H3718" s="3">
        <f t="shared" si="58"/>
        <v>1.2</v>
      </c>
      <c r="I3718">
        <v>117</v>
      </c>
      <c r="J3718" t="s">
        <v>57</v>
      </c>
      <c r="K3718" t="s">
        <v>55</v>
      </c>
      <c r="L3718" t="s">
        <v>44</v>
      </c>
      <c r="M3718">
        <v>17.59</v>
      </c>
      <c r="T3718" t="s">
        <v>49</v>
      </c>
      <c r="U3718">
        <v>3</v>
      </c>
      <c r="V3718">
        <v>5</v>
      </c>
    </row>
    <row r="3719" spans="1:22" x14ac:dyDescent="0.3">
      <c r="A3719">
        <v>3718</v>
      </c>
      <c r="B3719">
        <v>54148</v>
      </c>
      <c r="C3719" s="2">
        <v>37060</v>
      </c>
      <c r="D3719">
        <v>24</v>
      </c>
      <c r="E3719" t="s">
        <v>36</v>
      </c>
      <c r="F3719" t="s">
        <v>50</v>
      </c>
      <c r="G3719" s="2">
        <v>45584</v>
      </c>
      <c r="H3719" s="3">
        <f t="shared" si="58"/>
        <v>1.0575342465753426</v>
      </c>
      <c r="I3719">
        <v>123</v>
      </c>
      <c r="J3719" t="s">
        <v>57</v>
      </c>
      <c r="K3719" t="s">
        <v>55</v>
      </c>
      <c r="L3719" t="s">
        <v>44</v>
      </c>
      <c r="M3719">
        <v>17.59</v>
      </c>
      <c r="T3719" t="s">
        <v>52</v>
      </c>
      <c r="U3719">
        <v>0</v>
      </c>
      <c r="V3719">
        <v>2</v>
      </c>
    </row>
    <row r="3720" spans="1:22" x14ac:dyDescent="0.3">
      <c r="A3720">
        <v>3719</v>
      </c>
      <c r="B3720">
        <v>54149</v>
      </c>
      <c r="C3720" s="2">
        <v>36216</v>
      </c>
      <c r="D3720">
        <v>26</v>
      </c>
      <c r="E3720" t="s">
        <v>42</v>
      </c>
      <c r="F3720" t="s">
        <v>50</v>
      </c>
      <c r="G3720" s="2">
        <v>45636</v>
      </c>
      <c r="H3720" s="3">
        <f t="shared" si="58"/>
        <v>1.5452054794520549</v>
      </c>
      <c r="I3720">
        <v>8</v>
      </c>
      <c r="J3720" t="s">
        <v>38</v>
      </c>
      <c r="K3720" t="s">
        <v>56</v>
      </c>
      <c r="L3720" t="s">
        <v>44</v>
      </c>
      <c r="M3720">
        <v>8.4700000000000006</v>
      </c>
      <c r="T3720" t="s">
        <v>49</v>
      </c>
      <c r="U3720">
        <v>1</v>
      </c>
      <c r="V3720">
        <v>6</v>
      </c>
    </row>
    <row r="3721" spans="1:22" x14ac:dyDescent="0.3">
      <c r="A3721">
        <v>3720</v>
      </c>
      <c r="B3721">
        <v>54150</v>
      </c>
      <c r="C3721" s="2">
        <v>36987</v>
      </c>
      <c r="D3721">
        <v>24</v>
      </c>
      <c r="E3721" t="s">
        <v>36</v>
      </c>
      <c r="F3721" t="s">
        <v>50</v>
      </c>
      <c r="G3721" s="2">
        <v>45458</v>
      </c>
      <c r="H3721" s="3">
        <f t="shared" si="58"/>
        <v>1.6410958904109589</v>
      </c>
      <c r="I3721">
        <v>9</v>
      </c>
      <c r="J3721" t="s">
        <v>38</v>
      </c>
      <c r="K3721" t="s">
        <v>55</v>
      </c>
      <c r="L3721" t="s">
        <v>44</v>
      </c>
      <c r="M3721">
        <v>17.59</v>
      </c>
      <c r="T3721" t="s">
        <v>47</v>
      </c>
      <c r="U3721">
        <v>1</v>
      </c>
      <c r="V3721">
        <v>5</v>
      </c>
    </row>
    <row r="3722" spans="1:22" x14ac:dyDescent="0.3">
      <c r="A3722">
        <v>3721</v>
      </c>
      <c r="B3722">
        <v>54151</v>
      </c>
      <c r="C3722" s="2">
        <v>36837</v>
      </c>
      <c r="D3722">
        <v>25</v>
      </c>
      <c r="E3722" t="s">
        <v>42</v>
      </c>
      <c r="F3722" t="s">
        <v>50</v>
      </c>
      <c r="G3722" s="2">
        <v>45423</v>
      </c>
      <c r="H3722" s="3">
        <f t="shared" si="58"/>
        <v>1.1315068493150684</v>
      </c>
      <c r="I3722">
        <v>27</v>
      </c>
      <c r="J3722" t="s">
        <v>38</v>
      </c>
      <c r="K3722" t="s">
        <v>43</v>
      </c>
      <c r="L3722" t="s">
        <v>44</v>
      </c>
      <c r="M3722">
        <v>16.37</v>
      </c>
      <c r="T3722" t="s">
        <v>52</v>
      </c>
      <c r="U3722">
        <v>1</v>
      </c>
      <c r="V3722">
        <v>5</v>
      </c>
    </row>
    <row r="3723" spans="1:22" x14ac:dyDescent="0.3">
      <c r="A3723">
        <v>3722</v>
      </c>
      <c r="B3723">
        <v>54152</v>
      </c>
      <c r="C3723" s="2">
        <v>38638</v>
      </c>
      <c r="D3723">
        <v>20</v>
      </c>
      <c r="E3723" t="s">
        <v>42</v>
      </c>
      <c r="F3723" t="s">
        <v>50</v>
      </c>
      <c r="G3723" s="2">
        <v>45609</v>
      </c>
      <c r="H3723" s="3">
        <f t="shared" si="58"/>
        <v>1.189041095890411</v>
      </c>
      <c r="I3723">
        <v>40</v>
      </c>
      <c r="J3723" t="s">
        <v>38</v>
      </c>
      <c r="K3723" t="s">
        <v>56</v>
      </c>
      <c r="L3723" t="s">
        <v>44</v>
      </c>
      <c r="M3723">
        <v>8.4700000000000006</v>
      </c>
      <c r="T3723" t="s">
        <v>45</v>
      </c>
      <c r="U3723">
        <v>0</v>
      </c>
      <c r="V3723">
        <v>6</v>
      </c>
    </row>
    <row r="3724" spans="1:22" x14ac:dyDescent="0.3">
      <c r="A3724">
        <v>3723</v>
      </c>
      <c r="B3724">
        <v>54153</v>
      </c>
      <c r="C3724" s="2">
        <v>38635</v>
      </c>
      <c r="D3724">
        <v>20</v>
      </c>
      <c r="E3724" t="s">
        <v>42</v>
      </c>
      <c r="F3724" t="s">
        <v>50</v>
      </c>
      <c r="G3724" s="2">
        <v>45588</v>
      </c>
      <c r="H3724" s="3">
        <f t="shared" si="58"/>
        <v>1.8767123287671232</v>
      </c>
      <c r="I3724">
        <v>70</v>
      </c>
      <c r="J3724" t="s">
        <v>57</v>
      </c>
      <c r="K3724" t="s">
        <v>65</v>
      </c>
      <c r="L3724" t="s">
        <v>44</v>
      </c>
      <c r="M3724">
        <v>10.64</v>
      </c>
      <c r="T3724" t="s">
        <v>47</v>
      </c>
      <c r="U3724">
        <v>0</v>
      </c>
      <c r="V3724">
        <v>7</v>
      </c>
    </row>
    <row r="3725" spans="1:22" x14ac:dyDescent="0.3">
      <c r="A3725">
        <v>3724</v>
      </c>
      <c r="B3725">
        <v>54154</v>
      </c>
      <c r="C3725" s="2">
        <v>37752</v>
      </c>
      <c r="D3725">
        <v>22</v>
      </c>
      <c r="E3725" t="s">
        <v>36</v>
      </c>
      <c r="F3725" t="s">
        <v>50</v>
      </c>
      <c r="G3725" s="2">
        <v>45337</v>
      </c>
      <c r="H3725" s="3">
        <f t="shared" si="58"/>
        <v>1.4136986301369863</v>
      </c>
      <c r="I3725">
        <v>81</v>
      </c>
      <c r="J3725" t="s">
        <v>57</v>
      </c>
      <c r="K3725" t="s">
        <v>56</v>
      </c>
      <c r="L3725" t="s">
        <v>44</v>
      </c>
      <c r="M3725">
        <v>8.4700000000000006</v>
      </c>
      <c r="T3725" t="s">
        <v>47</v>
      </c>
      <c r="U3725">
        <v>2</v>
      </c>
      <c r="V3725">
        <v>4</v>
      </c>
    </row>
    <row r="3726" spans="1:22" x14ac:dyDescent="0.3">
      <c r="A3726">
        <v>3725</v>
      </c>
      <c r="B3726">
        <v>54155</v>
      </c>
      <c r="C3726" s="2">
        <v>34516</v>
      </c>
      <c r="D3726">
        <v>32</v>
      </c>
      <c r="E3726" t="s">
        <v>36</v>
      </c>
      <c r="F3726" t="s">
        <v>50</v>
      </c>
      <c r="G3726" s="2">
        <v>45506</v>
      </c>
      <c r="H3726" s="3">
        <f t="shared" si="58"/>
        <v>1.8684931506849316</v>
      </c>
      <c r="I3726">
        <v>83</v>
      </c>
      <c r="J3726" t="s">
        <v>57</v>
      </c>
      <c r="K3726" t="s">
        <v>55</v>
      </c>
      <c r="L3726" t="s">
        <v>44</v>
      </c>
      <c r="M3726">
        <v>17.59</v>
      </c>
      <c r="T3726" t="s">
        <v>45</v>
      </c>
      <c r="U3726">
        <v>4</v>
      </c>
      <c r="V3726">
        <v>5</v>
      </c>
    </row>
    <row r="3727" spans="1:22" x14ac:dyDescent="0.3">
      <c r="A3727">
        <v>3726</v>
      </c>
      <c r="B3727">
        <v>54156</v>
      </c>
      <c r="C3727" s="2">
        <v>38664</v>
      </c>
      <c r="D3727">
        <v>20</v>
      </c>
      <c r="E3727" t="s">
        <v>42</v>
      </c>
      <c r="F3727" t="s">
        <v>50</v>
      </c>
      <c r="G3727" s="2">
        <v>45340</v>
      </c>
      <c r="H3727" s="3">
        <f t="shared" si="58"/>
        <v>1.526027397260274</v>
      </c>
      <c r="I3727">
        <v>88</v>
      </c>
      <c r="J3727" t="s">
        <v>57</v>
      </c>
      <c r="K3727" t="s">
        <v>65</v>
      </c>
      <c r="L3727" t="s">
        <v>44</v>
      </c>
      <c r="M3727">
        <v>10.64</v>
      </c>
      <c r="T3727" t="s">
        <v>52</v>
      </c>
      <c r="U3727">
        <v>1</v>
      </c>
      <c r="V3727">
        <v>6</v>
      </c>
    </row>
    <row r="3728" spans="1:22" x14ac:dyDescent="0.3">
      <c r="A3728">
        <v>3727</v>
      </c>
      <c r="B3728">
        <v>54157</v>
      </c>
      <c r="C3728" s="2">
        <v>33686</v>
      </c>
      <c r="D3728">
        <v>33</v>
      </c>
      <c r="E3728" t="s">
        <v>42</v>
      </c>
      <c r="F3728" t="s">
        <v>37</v>
      </c>
      <c r="G3728" s="2">
        <v>45465</v>
      </c>
      <c r="H3728" s="3">
        <f t="shared" si="58"/>
        <v>1.1178082191780823</v>
      </c>
      <c r="I3728">
        <v>89</v>
      </c>
      <c r="J3728" t="s">
        <v>57</v>
      </c>
      <c r="K3728" t="s">
        <v>56</v>
      </c>
      <c r="L3728" t="s">
        <v>44</v>
      </c>
      <c r="M3728">
        <v>8.4700000000000006</v>
      </c>
      <c r="T3728" t="s">
        <v>45</v>
      </c>
      <c r="U3728">
        <v>1</v>
      </c>
      <c r="V3728">
        <v>4</v>
      </c>
    </row>
    <row r="3729" spans="1:22" x14ac:dyDescent="0.3">
      <c r="A3729">
        <v>3728</v>
      </c>
      <c r="B3729">
        <v>54158</v>
      </c>
      <c r="C3729" s="2">
        <v>38590</v>
      </c>
      <c r="D3729">
        <v>20</v>
      </c>
      <c r="E3729" t="s">
        <v>36</v>
      </c>
      <c r="F3729" t="s">
        <v>50</v>
      </c>
      <c r="G3729" s="2">
        <v>45614</v>
      </c>
      <c r="H3729" s="3">
        <f t="shared" si="58"/>
        <v>1.715068493150685</v>
      </c>
      <c r="I3729">
        <v>97</v>
      </c>
      <c r="J3729" t="s">
        <v>57</v>
      </c>
      <c r="K3729" t="s">
        <v>65</v>
      </c>
      <c r="L3729" t="s">
        <v>44</v>
      </c>
      <c r="M3729">
        <v>10.64</v>
      </c>
      <c r="T3729" t="s">
        <v>47</v>
      </c>
      <c r="U3729">
        <v>1</v>
      </c>
      <c r="V3729">
        <v>4</v>
      </c>
    </row>
    <row r="3730" spans="1:22" x14ac:dyDescent="0.3">
      <c r="A3730">
        <v>3729</v>
      </c>
      <c r="B3730">
        <v>54159</v>
      </c>
      <c r="C3730" s="2">
        <v>34181</v>
      </c>
      <c r="D3730">
        <v>32</v>
      </c>
      <c r="E3730" t="s">
        <v>42</v>
      </c>
      <c r="F3730" t="s">
        <v>37</v>
      </c>
      <c r="G3730" s="2">
        <v>45396</v>
      </c>
      <c r="H3730" s="3">
        <f t="shared" si="58"/>
        <v>1.789041095890411</v>
      </c>
      <c r="I3730">
        <v>104</v>
      </c>
      <c r="J3730" t="s">
        <v>57</v>
      </c>
      <c r="K3730" t="s">
        <v>56</v>
      </c>
      <c r="L3730" t="s">
        <v>44</v>
      </c>
      <c r="M3730">
        <v>8.4700000000000006</v>
      </c>
      <c r="T3730" t="s">
        <v>52</v>
      </c>
      <c r="U3730">
        <v>4</v>
      </c>
      <c r="V3730">
        <v>6</v>
      </c>
    </row>
    <row r="3731" spans="1:22" x14ac:dyDescent="0.3">
      <c r="A3731">
        <v>3730</v>
      </c>
      <c r="B3731">
        <v>54160</v>
      </c>
      <c r="C3731" s="2">
        <v>37058</v>
      </c>
      <c r="D3731">
        <v>24</v>
      </c>
      <c r="E3731" t="s">
        <v>36</v>
      </c>
      <c r="F3731" t="s">
        <v>50</v>
      </c>
      <c r="G3731" s="2">
        <v>45369</v>
      </c>
      <c r="H3731" s="3">
        <f t="shared" si="58"/>
        <v>1.5945205479452054</v>
      </c>
      <c r="I3731">
        <v>120</v>
      </c>
      <c r="J3731" t="s">
        <v>57</v>
      </c>
      <c r="K3731" t="s">
        <v>55</v>
      </c>
      <c r="L3731" t="s">
        <v>44</v>
      </c>
      <c r="M3731">
        <v>17.59</v>
      </c>
      <c r="T3731" t="s">
        <v>49</v>
      </c>
      <c r="U3731">
        <v>3</v>
      </c>
      <c r="V3731">
        <v>3</v>
      </c>
    </row>
    <row r="3732" spans="1:22" x14ac:dyDescent="0.3">
      <c r="A3732">
        <v>3731</v>
      </c>
      <c r="B3732">
        <v>54161</v>
      </c>
      <c r="C3732" s="2">
        <v>31402</v>
      </c>
      <c r="D3732">
        <v>40</v>
      </c>
      <c r="E3732" t="s">
        <v>36</v>
      </c>
      <c r="F3732" t="s">
        <v>50</v>
      </c>
      <c r="G3732" s="2">
        <v>45440</v>
      </c>
      <c r="H3732" s="3">
        <f t="shared" si="58"/>
        <v>1.1726027397260275</v>
      </c>
      <c r="I3732">
        <v>139</v>
      </c>
      <c r="J3732" t="s">
        <v>57</v>
      </c>
      <c r="K3732" t="s">
        <v>46</v>
      </c>
      <c r="L3732" t="s">
        <v>44</v>
      </c>
      <c r="M3732">
        <v>14.23</v>
      </c>
      <c r="T3732" t="s">
        <v>47</v>
      </c>
      <c r="U3732">
        <v>0</v>
      </c>
      <c r="V3732">
        <v>4</v>
      </c>
    </row>
    <row r="3733" spans="1:22" x14ac:dyDescent="0.3">
      <c r="A3733">
        <v>3732</v>
      </c>
      <c r="B3733">
        <v>54162</v>
      </c>
      <c r="C3733" s="2">
        <v>38369</v>
      </c>
      <c r="D3733">
        <v>20</v>
      </c>
      <c r="E3733" t="s">
        <v>42</v>
      </c>
      <c r="F3733" t="s">
        <v>50</v>
      </c>
      <c r="G3733" s="2">
        <v>45594</v>
      </c>
      <c r="H3733" s="3">
        <f t="shared" si="58"/>
        <v>1.9095890410958904</v>
      </c>
      <c r="I3733">
        <v>1</v>
      </c>
      <c r="J3733" t="s">
        <v>38</v>
      </c>
      <c r="K3733" t="s">
        <v>56</v>
      </c>
      <c r="L3733" t="s">
        <v>44</v>
      </c>
      <c r="M3733">
        <v>8.4700000000000006</v>
      </c>
      <c r="T3733" t="s">
        <v>45</v>
      </c>
      <c r="U3733">
        <v>1</v>
      </c>
      <c r="V3733">
        <v>6</v>
      </c>
    </row>
    <row r="3734" spans="1:22" x14ac:dyDescent="0.3">
      <c r="A3734">
        <v>3733</v>
      </c>
      <c r="B3734">
        <v>54163</v>
      </c>
      <c r="C3734" s="2">
        <v>37330</v>
      </c>
      <c r="D3734">
        <v>23</v>
      </c>
      <c r="E3734" t="s">
        <v>42</v>
      </c>
      <c r="F3734" t="s">
        <v>50</v>
      </c>
      <c r="G3734" s="2">
        <v>45325</v>
      </c>
      <c r="H3734" s="3">
        <f t="shared" si="58"/>
        <v>1.4164383561643836</v>
      </c>
      <c r="I3734">
        <v>4</v>
      </c>
      <c r="J3734" t="s">
        <v>38</v>
      </c>
      <c r="K3734" t="s">
        <v>56</v>
      </c>
      <c r="L3734" t="s">
        <v>44</v>
      </c>
      <c r="M3734">
        <v>8.4700000000000006</v>
      </c>
      <c r="T3734" t="s">
        <v>49</v>
      </c>
      <c r="U3734">
        <v>2</v>
      </c>
      <c r="V3734">
        <v>7</v>
      </c>
    </row>
    <row r="3735" spans="1:22" x14ac:dyDescent="0.3">
      <c r="A3735">
        <v>3734</v>
      </c>
      <c r="B3735">
        <v>54164</v>
      </c>
      <c r="C3735" s="2">
        <v>38307</v>
      </c>
      <c r="D3735">
        <v>21</v>
      </c>
      <c r="E3735" t="s">
        <v>42</v>
      </c>
      <c r="F3735" t="s">
        <v>37</v>
      </c>
      <c r="G3735" s="2">
        <v>45505</v>
      </c>
      <c r="H3735" s="3">
        <f t="shared" si="58"/>
        <v>1.6767123287671233</v>
      </c>
      <c r="I3735">
        <v>5</v>
      </c>
      <c r="J3735" t="s">
        <v>38</v>
      </c>
      <c r="K3735" t="s">
        <v>48</v>
      </c>
      <c r="L3735" t="s">
        <v>44</v>
      </c>
      <c r="M3735">
        <v>8.4700000000000006</v>
      </c>
      <c r="T3735" t="s">
        <v>47</v>
      </c>
      <c r="U3735">
        <v>2</v>
      </c>
      <c r="V3735">
        <v>7</v>
      </c>
    </row>
    <row r="3736" spans="1:22" x14ac:dyDescent="0.3">
      <c r="A3736">
        <v>3735</v>
      </c>
      <c r="B3736">
        <v>54165</v>
      </c>
      <c r="C3736" s="2">
        <v>38435</v>
      </c>
      <c r="D3736">
        <v>20</v>
      </c>
      <c r="E3736" t="s">
        <v>42</v>
      </c>
      <c r="F3736" t="s">
        <v>50</v>
      </c>
      <c r="G3736" s="2">
        <v>45410</v>
      </c>
      <c r="H3736" s="3">
        <f t="shared" si="58"/>
        <v>1.2082191780821918</v>
      </c>
      <c r="I3736">
        <v>8</v>
      </c>
      <c r="J3736" t="s">
        <v>38</v>
      </c>
      <c r="K3736" t="s">
        <v>56</v>
      </c>
      <c r="L3736" t="s">
        <v>44</v>
      </c>
      <c r="M3736">
        <v>8.4700000000000006</v>
      </c>
      <c r="T3736" t="s">
        <v>49</v>
      </c>
      <c r="U3736">
        <v>4</v>
      </c>
      <c r="V3736">
        <v>7</v>
      </c>
    </row>
    <row r="3737" spans="1:22" x14ac:dyDescent="0.3">
      <c r="A3737">
        <v>3736</v>
      </c>
      <c r="B3737">
        <v>54166</v>
      </c>
      <c r="C3737" s="2">
        <v>36831</v>
      </c>
      <c r="D3737">
        <v>26</v>
      </c>
      <c r="E3737" t="s">
        <v>42</v>
      </c>
      <c r="F3737" t="s">
        <v>37</v>
      </c>
      <c r="G3737" s="2">
        <v>45581</v>
      </c>
      <c r="H3737" s="3">
        <f t="shared" si="58"/>
        <v>1.1616438356164382</v>
      </c>
      <c r="I3737">
        <v>12</v>
      </c>
      <c r="J3737" t="s">
        <v>38</v>
      </c>
      <c r="K3737" t="s">
        <v>55</v>
      </c>
      <c r="L3737" t="s">
        <v>44</v>
      </c>
      <c r="M3737">
        <v>17.59</v>
      </c>
      <c r="T3737" t="s">
        <v>45</v>
      </c>
      <c r="U3737">
        <v>1</v>
      </c>
      <c r="V3737">
        <v>4</v>
      </c>
    </row>
    <row r="3738" spans="1:22" x14ac:dyDescent="0.3">
      <c r="A3738">
        <v>3737</v>
      </c>
      <c r="B3738">
        <v>54167</v>
      </c>
      <c r="C3738" s="2">
        <v>36755</v>
      </c>
      <c r="D3738">
        <v>25</v>
      </c>
      <c r="E3738" t="s">
        <v>36</v>
      </c>
      <c r="F3738" t="s">
        <v>50</v>
      </c>
      <c r="G3738" s="2">
        <v>45598</v>
      </c>
      <c r="H3738" s="3">
        <f t="shared" si="58"/>
        <v>1.1397260273972603</v>
      </c>
      <c r="I3738">
        <v>22</v>
      </c>
      <c r="J3738" t="s">
        <v>38</v>
      </c>
      <c r="K3738" t="s">
        <v>55</v>
      </c>
      <c r="L3738" t="s">
        <v>44</v>
      </c>
      <c r="M3738">
        <v>17.59</v>
      </c>
      <c r="T3738" t="s">
        <v>52</v>
      </c>
      <c r="U3738">
        <v>2</v>
      </c>
      <c r="V3738">
        <v>4</v>
      </c>
    </row>
    <row r="3739" spans="1:22" x14ac:dyDescent="0.3">
      <c r="A3739">
        <v>3738</v>
      </c>
      <c r="B3739">
        <v>54168</v>
      </c>
      <c r="C3739" s="2">
        <v>37932</v>
      </c>
      <c r="D3739">
        <v>22</v>
      </c>
      <c r="E3739" t="s">
        <v>42</v>
      </c>
      <c r="F3739" t="s">
        <v>50</v>
      </c>
      <c r="G3739" s="2">
        <v>45606</v>
      </c>
      <c r="H3739" s="3">
        <f t="shared" si="58"/>
        <v>1.726027397260274</v>
      </c>
      <c r="I3739">
        <v>37</v>
      </c>
      <c r="J3739" t="s">
        <v>38</v>
      </c>
      <c r="K3739" t="s">
        <v>56</v>
      </c>
      <c r="L3739" t="s">
        <v>44</v>
      </c>
      <c r="M3739">
        <v>8.4700000000000006</v>
      </c>
      <c r="T3739" t="s">
        <v>47</v>
      </c>
      <c r="U3739">
        <v>1</v>
      </c>
      <c r="V3739">
        <v>7</v>
      </c>
    </row>
    <row r="3740" spans="1:22" x14ac:dyDescent="0.3">
      <c r="A3740">
        <v>3739</v>
      </c>
      <c r="B3740">
        <v>54169</v>
      </c>
      <c r="C3740" s="2">
        <v>35177</v>
      </c>
      <c r="D3740">
        <v>29</v>
      </c>
      <c r="E3740" t="s">
        <v>36</v>
      </c>
      <c r="F3740" t="s">
        <v>50</v>
      </c>
      <c r="G3740" s="2">
        <v>45392</v>
      </c>
      <c r="H3740" s="3">
        <f t="shared" si="58"/>
        <v>1.010958904109589</v>
      </c>
      <c r="I3740">
        <v>38</v>
      </c>
      <c r="J3740" t="s">
        <v>38</v>
      </c>
      <c r="K3740" t="s">
        <v>55</v>
      </c>
      <c r="L3740" t="s">
        <v>44</v>
      </c>
      <c r="M3740">
        <v>17.59</v>
      </c>
      <c r="T3740" t="s">
        <v>52</v>
      </c>
      <c r="U3740">
        <v>2</v>
      </c>
      <c r="V3740">
        <v>5</v>
      </c>
    </row>
    <row r="3741" spans="1:22" x14ac:dyDescent="0.3">
      <c r="A3741">
        <v>3740</v>
      </c>
      <c r="B3741">
        <v>54170</v>
      </c>
      <c r="C3741" s="2">
        <v>37585</v>
      </c>
      <c r="D3741">
        <v>23</v>
      </c>
      <c r="E3741" t="s">
        <v>42</v>
      </c>
      <c r="F3741" t="s">
        <v>50</v>
      </c>
      <c r="G3741" s="2">
        <v>45653</v>
      </c>
      <c r="H3741" s="3">
        <f t="shared" si="58"/>
        <v>1.7013698630136986</v>
      </c>
      <c r="I3741">
        <v>63</v>
      </c>
      <c r="J3741" t="s">
        <v>38</v>
      </c>
      <c r="K3741" t="s">
        <v>48</v>
      </c>
      <c r="L3741" t="s">
        <v>44</v>
      </c>
      <c r="M3741">
        <v>8.4700000000000006</v>
      </c>
      <c r="T3741" t="s">
        <v>52</v>
      </c>
      <c r="U3741">
        <v>2</v>
      </c>
      <c r="V3741">
        <v>6</v>
      </c>
    </row>
    <row r="3742" spans="1:22" x14ac:dyDescent="0.3">
      <c r="A3742">
        <v>3741</v>
      </c>
      <c r="B3742">
        <v>54171</v>
      </c>
      <c r="C3742" s="2">
        <v>38955</v>
      </c>
      <c r="D3742">
        <v>19</v>
      </c>
      <c r="E3742" t="s">
        <v>42</v>
      </c>
      <c r="F3742" t="s">
        <v>50</v>
      </c>
      <c r="G3742" s="2">
        <v>45401</v>
      </c>
      <c r="H3742" s="3">
        <f t="shared" si="58"/>
        <v>1.3369863013698631</v>
      </c>
      <c r="I3742">
        <v>74</v>
      </c>
      <c r="J3742" t="s">
        <v>57</v>
      </c>
      <c r="K3742" t="s">
        <v>56</v>
      </c>
      <c r="L3742" t="s">
        <v>44</v>
      </c>
      <c r="M3742">
        <v>8.4700000000000006</v>
      </c>
      <c r="T3742" t="s">
        <v>47</v>
      </c>
      <c r="U3742">
        <v>4</v>
      </c>
      <c r="V3742">
        <v>6</v>
      </c>
    </row>
    <row r="3743" spans="1:22" x14ac:dyDescent="0.3">
      <c r="A3743">
        <v>3742</v>
      </c>
      <c r="B3743">
        <v>54172</v>
      </c>
      <c r="C3743" s="2">
        <v>38579</v>
      </c>
      <c r="D3743">
        <v>20</v>
      </c>
      <c r="E3743" t="s">
        <v>42</v>
      </c>
      <c r="F3743" t="s">
        <v>50</v>
      </c>
      <c r="G3743" s="2">
        <v>45534</v>
      </c>
      <c r="H3743" s="3">
        <f t="shared" si="58"/>
        <v>1.5917808219178082</v>
      </c>
      <c r="I3743">
        <v>90</v>
      </c>
      <c r="J3743" t="s">
        <v>57</v>
      </c>
      <c r="K3743" t="s">
        <v>48</v>
      </c>
      <c r="L3743" t="s">
        <v>44</v>
      </c>
      <c r="M3743">
        <v>8.4700000000000006</v>
      </c>
      <c r="T3743" t="s">
        <v>49</v>
      </c>
      <c r="U3743">
        <v>1</v>
      </c>
      <c r="V3743">
        <v>7</v>
      </c>
    </row>
    <row r="3744" spans="1:22" x14ac:dyDescent="0.3">
      <c r="A3744">
        <v>3743</v>
      </c>
      <c r="B3744">
        <v>54173</v>
      </c>
      <c r="C3744" s="2">
        <v>37355</v>
      </c>
      <c r="D3744">
        <v>23</v>
      </c>
      <c r="E3744" t="s">
        <v>42</v>
      </c>
      <c r="F3744" t="s">
        <v>50</v>
      </c>
      <c r="G3744" s="2">
        <v>45441</v>
      </c>
      <c r="H3744" s="3">
        <f t="shared" si="58"/>
        <v>1.0931506849315069</v>
      </c>
      <c r="I3744">
        <v>91</v>
      </c>
      <c r="J3744" t="s">
        <v>57</v>
      </c>
      <c r="K3744" t="s">
        <v>68</v>
      </c>
      <c r="L3744" t="s">
        <v>44</v>
      </c>
      <c r="M3744">
        <v>17</v>
      </c>
      <c r="T3744" t="s">
        <v>49</v>
      </c>
      <c r="U3744">
        <v>4</v>
      </c>
      <c r="V3744">
        <v>6</v>
      </c>
    </row>
    <row r="3745" spans="1:22" x14ac:dyDescent="0.3">
      <c r="A3745">
        <v>3744</v>
      </c>
      <c r="B3745">
        <v>54174</v>
      </c>
      <c r="C3745" s="2">
        <v>36434</v>
      </c>
      <c r="D3745">
        <v>27</v>
      </c>
      <c r="E3745" t="s">
        <v>36</v>
      </c>
      <c r="F3745" t="s">
        <v>50</v>
      </c>
      <c r="G3745" s="2">
        <v>45623</v>
      </c>
      <c r="H3745" s="3">
        <f t="shared" si="58"/>
        <v>1.3671232876712329</v>
      </c>
      <c r="I3745">
        <v>92</v>
      </c>
      <c r="J3745" t="s">
        <v>57</v>
      </c>
      <c r="K3745" t="s">
        <v>55</v>
      </c>
      <c r="L3745" t="s">
        <v>44</v>
      </c>
      <c r="M3745">
        <v>17.59</v>
      </c>
      <c r="T3745" t="s">
        <v>52</v>
      </c>
      <c r="U3745">
        <v>2</v>
      </c>
      <c r="V3745">
        <v>5</v>
      </c>
    </row>
    <row r="3746" spans="1:22" x14ac:dyDescent="0.3">
      <c r="A3746">
        <v>3745</v>
      </c>
      <c r="B3746">
        <v>54175</v>
      </c>
      <c r="C3746" s="2">
        <v>36087</v>
      </c>
      <c r="D3746">
        <v>27</v>
      </c>
      <c r="E3746" t="s">
        <v>42</v>
      </c>
      <c r="F3746" t="s">
        <v>50</v>
      </c>
      <c r="G3746" s="2">
        <v>45523</v>
      </c>
      <c r="H3746" s="3">
        <f t="shared" si="58"/>
        <v>1.4876712328767123</v>
      </c>
      <c r="I3746">
        <v>92</v>
      </c>
      <c r="J3746" t="s">
        <v>57</v>
      </c>
      <c r="K3746" t="s">
        <v>55</v>
      </c>
      <c r="L3746" t="s">
        <v>44</v>
      </c>
      <c r="M3746">
        <v>17.59</v>
      </c>
      <c r="T3746" t="s">
        <v>47</v>
      </c>
      <c r="U3746">
        <v>1</v>
      </c>
      <c r="V3746">
        <v>7</v>
      </c>
    </row>
    <row r="3747" spans="1:22" x14ac:dyDescent="0.3">
      <c r="A3747">
        <v>3746</v>
      </c>
      <c r="B3747">
        <v>54176</v>
      </c>
      <c r="C3747" s="2">
        <v>35997</v>
      </c>
      <c r="D3747">
        <v>27</v>
      </c>
      <c r="E3747" t="s">
        <v>36</v>
      </c>
      <c r="F3747" t="s">
        <v>50</v>
      </c>
      <c r="G3747" s="2">
        <v>45479</v>
      </c>
      <c r="H3747" s="3">
        <f t="shared" si="58"/>
        <v>1.4575342465753425</v>
      </c>
      <c r="I3747">
        <v>110</v>
      </c>
      <c r="J3747" t="s">
        <v>57</v>
      </c>
      <c r="K3747" t="s">
        <v>54</v>
      </c>
      <c r="L3747" t="s">
        <v>44</v>
      </c>
      <c r="M3747">
        <v>23.78</v>
      </c>
      <c r="T3747" t="s">
        <v>47</v>
      </c>
      <c r="U3747">
        <v>6</v>
      </c>
      <c r="V3747">
        <v>5</v>
      </c>
    </row>
    <row r="3748" spans="1:22" x14ac:dyDescent="0.3">
      <c r="A3748">
        <v>3747</v>
      </c>
      <c r="B3748">
        <v>54177</v>
      </c>
      <c r="C3748" s="2">
        <v>34314</v>
      </c>
      <c r="D3748">
        <v>32</v>
      </c>
      <c r="E3748" t="s">
        <v>42</v>
      </c>
      <c r="F3748" t="s">
        <v>50</v>
      </c>
      <c r="G3748" s="2">
        <v>45490</v>
      </c>
      <c r="H3748" s="3">
        <f t="shared" si="58"/>
        <v>1.2164383561643837</v>
      </c>
      <c r="I3748">
        <v>133</v>
      </c>
      <c r="J3748" t="s">
        <v>57</v>
      </c>
      <c r="K3748" t="s">
        <v>56</v>
      </c>
      <c r="L3748" t="s">
        <v>44</v>
      </c>
      <c r="M3748">
        <v>8.4700000000000006</v>
      </c>
      <c r="T3748" t="s">
        <v>45</v>
      </c>
      <c r="U3748">
        <v>2</v>
      </c>
      <c r="V3748">
        <v>7</v>
      </c>
    </row>
    <row r="3749" spans="1:22" x14ac:dyDescent="0.3">
      <c r="A3749">
        <v>3748</v>
      </c>
      <c r="B3749">
        <v>54178</v>
      </c>
      <c r="C3749" s="2">
        <v>38564</v>
      </c>
      <c r="D3749">
        <v>20</v>
      </c>
      <c r="E3749" t="s">
        <v>42</v>
      </c>
      <c r="F3749" t="s">
        <v>50</v>
      </c>
      <c r="G3749" s="2">
        <v>45578</v>
      </c>
      <c r="H3749" s="3">
        <f t="shared" si="58"/>
        <v>1.1589041095890411</v>
      </c>
      <c r="I3749">
        <v>134</v>
      </c>
      <c r="J3749" t="s">
        <v>57</v>
      </c>
      <c r="K3749" t="s">
        <v>48</v>
      </c>
      <c r="L3749" t="s">
        <v>44</v>
      </c>
      <c r="M3749">
        <v>8.4700000000000006</v>
      </c>
      <c r="T3749" t="s">
        <v>49</v>
      </c>
      <c r="U3749">
        <v>4</v>
      </c>
      <c r="V3749">
        <v>7</v>
      </c>
    </row>
    <row r="3750" spans="1:22" x14ac:dyDescent="0.3">
      <c r="A3750">
        <v>3749</v>
      </c>
      <c r="B3750">
        <v>54179</v>
      </c>
      <c r="C3750" s="2">
        <v>38897</v>
      </c>
      <c r="D3750">
        <v>19</v>
      </c>
      <c r="E3750" t="s">
        <v>42</v>
      </c>
      <c r="F3750" t="s">
        <v>50</v>
      </c>
      <c r="G3750" s="2">
        <v>45599</v>
      </c>
      <c r="H3750" s="3">
        <f t="shared" si="58"/>
        <v>1.821917808219178</v>
      </c>
      <c r="I3750">
        <v>143</v>
      </c>
      <c r="J3750" t="s">
        <v>57</v>
      </c>
      <c r="K3750" t="s">
        <v>56</v>
      </c>
      <c r="L3750" t="s">
        <v>44</v>
      </c>
      <c r="M3750">
        <v>8.4700000000000006</v>
      </c>
      <c r="T3750" t="s">
        <v>45</v>
      </c>
      <c r="U3750">
        <v>2</v>
      </c>
      <c r="V3750">
        <v>6</v>
      </c>
    </row>
    <row r="3751" spans="1:22" x14ac:dyDescent="0.3">
      <c r="A3751">
        <v>3750</v>
      </c>
      <c r="B3751">
        <v>54180</v>
      </c>
      <c r="C3751" s="2">
        <v>36256</v>
      </c>
      <c r="D3751">
        <v>26</v>
      </c>
      <c r="E3751" t="s">
        <v>42</v>
      </c>
      <c r="F3751" t="s">
        <v>50</v>
      </c>
      <c r="G3751" s="2">
        <v>45357</v>
      </c>
      <c r="H3751" s="3">
        <f t="shared" si="58"/>
        <v>1.2876712328767124</v>
      </c>
      <c r="I3751">
        <v>1</v>
      </c>
      <c r="J3751" t="s">
        <v>38</v>
      </c>
      <c r="K3751" t="s">
        <v>56</v>
      </c>
      <c r="L3751" t="s">
        <v>44</v>
      </c>
      <c r="M3751">
        <v>8.4700000000000006</v>
      </c>
      <c r="T3751" t="s">
        <v>52</v>
      </c>
      <c r="U3751">
        <v>2</v>
      </c>
      <c r="V3751">
        <v>6</v>
      </c>
    </row>
    <row r="3752" spans="1:22" x14ac:dyDescent="0.3">
      <c r="A3752">
        <v>3751</v>
      </c>
      <c r="B3752">
        <v>54181</v>
      </c>
      <c r="C3752" s="2">
        <v>38822</v>
      </c>
      <c r="D3752">
        <v>19</v>
      </c>
      <c r="E3752" t="s">
        <v>42</v>
      </c>
      <c r="F3752" t="s">
        <v>50</v>
      </c>
      <c r="G3752" s="2">
        <v>45552</v>
      </c>
      <c r="H3752" s="3">
        <f t="shared" si="58"/>
        <v>1.0575342465753426</v>
      </c>
      <c r="I3752">
        <v>2</v>
      </c>
      <c r="J3752" t="s">
        <v>38</v>
      </c>
      <c r="K3752" t="s">
        <v>65</v>
      </c>
      <c r="L3752" t="s">
        <v>44</v>
      </c>
      <c r="M3752">
        <v>10.64</v>
      </c>
      <c r="T3752" t="s">
        <v>47</v>
      </c>
      <c r="U3752">
        <v>0</v>
      </c>
      <c r="V3752">
        <v>4</v>
      </c>
    </row>
    <row r="3753" spans="1:22" x14ac:dyDescent="0.3">
      <c r="A3753">
        <v>3752</v>
      </c>
      <c r="B3753">
        <v>54182</v>
      </c>
      <c r="C3753" s="2">
        <v>36300</v>
      </c>
      <c r="D3753">
        <v>26</v>
      </c>
      <c r="E3753" t="s">
        <v>36</v>
      </c>
      <c r="F3753" t="s">
        <v>50</v>
      </c>
      <c r="G3753" s="2">
        <v>45636</v>
      </c>
      <c r="H3753" s="3">
        <f t="shared" si="58"/>
        <v>1.0904109589041096</v>
      </c>
      <c r="I3753">
        <v>3</v>
      </c>
      <c r="J3753" t="s">
        <v>38</v>
      </c>
      <c r="K3753" t="s">
        <v>65</v>
      </c>
      <c r="L3753" t="s">
        <v>44</v>
      </c>
      <c r="M3753">
        <v>10.64</v>
      </c>
      <c r="T3753" t="s">
        <v>52</v>
      </c>
      <c r="U3753">
        <v>0</v>
      </c>
      <c r="V3753">
        <v>4</v>
      </c>
    </row>
    <row r="3754" spans="1:22" x14ac:dyDescent="0.3">
      <c r="A3754">
        <v>3753</v>
      </c>
      <c r="B3754">
        <v>54183</v>
      </c>
      <c r="C3754" s="2">
        <v>38180</v>
      </c>
      <c r="D3754">
        <v>21</v>
      </c>
      <c r="E3754" t="s">
        <v>42</v>
      </c>
      <c r="F3754" t="s">
        <v>50</v>
      </c>
      <c r="G3754" s="2">
        <v>45624</v>
      </c>
      <c r="H3754" s="3">
        <f t="shared" si="58"/>
        <v>1.0383561643835617</v>
      </c>
      <c r="I3754">
        <v>4</v>
      </c>
      <c r="J3754" t="s">
        <v>38</v>
      </c>
      <c r="K3754" t="s">
        <v>56</v>
      </c>
      <c r="L3754" t="s">
        <v>44</v>
      </c>
      <c r="M3754">
        <v>8.4700000000000006</v>
      </c>
      <c r="T3754" t="s">
        <v>52</v>
      </c>
      <c r="U3754">
        <v>3</v>
      </c>
      <c r="V3754">
        <v>6</v>
      </c>
    </row>
    <row r="3755" spans="1:22" x14ac:dyDescent="0.3">
      <c r="A3755">
        <v>3754</v>
      </c>
      <c r="B3755">
        <v>54184</v>
      </c>
      <c r="C3755" s="2">
        <v>38406</v>
      </c>
      <c r="D3755">
        <v>20</v>
      </c>
      <c r="E3755" t="s">
        <v>42</v>
      </c>
      <c r="F3755" t="s">
        <v>37</v>
      </c>
      <c r="G3755" s="2">
        <v>45643</v>
      </c>
      <c r="H3755" s="3">
        <f t="shared" si="58"/>
        <v>1.8739726027397261</v>
      </c>
      <c r="I3755">
        <v>5</v>
      </c>
      <c r="J3755" t="s">
        <v>38</v>
      </c>
      <c r="K3755" t="s">
        <v>56</v>
      </c>
      <c r="L3755" t="s">
        <v>44</v>
      </c>
      <c r="M3755">
        <v>8.4700000000000006</v>
      </c>
      <c r="T3755" t="s">
        <v>49</v>
      </c>
      <c r="U3755">
        <v>2</v>
      </c>
      <c r="V3755">
        <v>6</v>
      </c>
    </row>
    <row r="3756" spans="1:22" x14ac:dyDescent="0.3">
      <c r="A3756">
        <v>3755</v>
      </c>
      <c r="B3756">
        <v>54185</v>
      </c>
      <c r="C3756" s="2">
        <v>37849</v>
      </c>
      <c r="D3756">
        <v>22</v>
      </c>
      <c r="E3756" t="s">
        <v>36</v>
      </c>
      <c r="F3756" t="s">
        <v>50</v>
      </c>
      <c r="G3756" s="2">
        <v>45338</v>
      </c>
      <c r="H3756" s="3">
        <f t="shared" si="58"/>
        <v>1.6986301369863013</v>
      </c>
      <c r="I3756">
        <v>5</v>
      </c>
      <c r="J3756" t="s">
        <v>38</v>
      </c>
      <c r="K3756" t="s">
        <v>56</v>
      </c>
      <c r="L3756" t="s">
        <v>44</v>
      </c>
      <c r="M3756">
        <v>8.4700000000000006</v>
      </c>
      <c r="T3756" t="s">
        <v>52</v>
      </c>
      <c r="U3756">
        <v>2</v>
      </c>
      <c r="V3756">
        <v>4</v>
      </c>
    </row>
    <row r="3757" spans="1:22" x14ac:dyDescent="0.3">
      <c r="A3757">
        <v>3756</v>
      </c>
      <c r="B3757">
        <v>54186</v>
      </c>
      <c r="C3757" s="2">
        <v>38986</v>
      </c>
      <c r="D3757">
        <v>19</v>
      </c>
      <c r="E3757" t="s">
        <v>42</v>
      </c>
      <c r="F3757" t="s">
        <v>50</v>
      </c>
      <c r="G3757" s="2">
        <v>45402</v>
      </c>
      <c r="H3757" s="3">
        <f t="shared" si="58"/>
        <v>1.1452054794520548</v>
      </c>
      <c r="I3757">
        <v>6</v>
      </c>
      <c r="J3757" t="s">
        <v>38</v>
      </c>
      <c r="K3757" t="s">
        <v>56</v>
      </c>
      <c r="L3757" t="s">
        <v>44</v>
      </c>
      <c r="M3757">
        <v>8.4700000000000006</v>
      </c>
      <c r="T3757" t="s">
        <v>49</v>
      </c>
      <c r="U3757">
        <v>2</v>
      </c>
      <c r="V3757">
        <v>7</v>
      </c>
    </row>
    <row r="3758" spans="1:22" x14ac:dyDescent="0.3">
      <c r="A3758">
        <v>3757</v>
      </c>
      <c r="B3758">
        <v>54187</v>
      </c>
      <c r="C3758" s="2">
        <v>38806</v>
      </c>
      <c r="D3758">
        <v>19</v>
      </c>
      <c r="E3758" t="s">
        <v>42</v>
      </c>
      <c r="F3758" t="s">
        <v>50</v>
      </c>
      <c r="G3758" s="2">
        <v>45604</v>
      </c>
      <c r="H3758" s="3">
        <f t="shared" si="58"/>
        <v>1.263013698630137</v>
      </c>
      <c r="I3758">
        <v>7</v>
      </c>
      <c r="J3758" t="s">
        <v>38</v>
      </c>
      <c r="K3758" t="s">
        <v>56</v>
      </c>
      <c r="L3758" t="s">
        <v>44</v>
      </c>
      <c r="M3758">
        <v>8.4700000000000006</v>
      </c>
      <c r="T3758" t="s">
        <v>49</v>
      </c>
      <c r="U3758">
        <v>3</v>
      </c>
      <c r="V3758">
        <v>5</v>
      </c>
    </row>
    <row r="3759" spans="1:22" x14ac:dyDescent="0.3">
      <c r="A3759">
        <v>3758</v>
      </c>
      <c r="B3759">
        <v>54188</v>
      </c>
      <c r="C3759" s="2">
        <v>35863</v>
      </c>
      <c r="D3759">
        <v>27</v>
      </c>
      <c r="E3759" t="s">
        <v>42</v>
      </c>
      <c r="F3759" t="s">
        <v>50</v>
      </c>
      <c r="G3759" s="2">
        <v>45561</v>
      </c>
      <c r="H3759" s="3">
        <f t="shared" si="58"/>
        <v>1.6027397260273972</v>
      </c>
      <c r="I3759">
        <v>7</v>
      </c>
      <c r="J3759" t="s">
        <v>38</v>
      </c>
      <c r="K3759" t="s">
        <v>56</v>
      </c>
      <c r="L3759" t="s">
        <v>44</v>
      </c>
      <c r="M3759">
        <v>8.4700000000000006</v>
      </c>
      <c r="T3759" t="s">
        <v>47</v>
      </c>
      <c r="U3759">
        <v>3</v>
      </c>
      <c r="V3759">
        <v>6</v>
      </c>
    </row>
    <row r="3760" spans="1:22" x14ac:dyDescent="0.3">
      <c r="A3760">
        <v>3759</v>
      </c>
      <c r="B3760">
        <v>54189</v>
      </c>
      <c r="C3760" s="2">
        <v>38208</v>
      </c>
      <c r="D3760">
        <v>21</v>
      </c>
      <c r="E3760" t="s">
        <v>42</v>
      </c>
      <c r="F3760" t="s">
        <v>50</v>
      </c>
      <c r="G3760" s="2">
        <v>45437</v>
      </c>
      <c r="H3760" s="3">
        <f t="shared" si="58"/>
        <v>1.0328767123287672</v>
      </c>
      <c r="I3760">
        <v>10</v>
      </c>
      <c r="J3760" t="s">
        <v>38</v>
      </c>
      <c r="K3760" t="s">
        <v>56</v>
      </c>
      <c r="L3760" t="s">
        <v>44</v>
      </c>
      <c r="M3760">
        <v>8.4700000000000006</v>
      </c>
      <c r="T3760" t="s">
        <v>47</v>
      </c>
      <c r="U3760">
        <v>1</v>
      </c>
      <c r="V3760">
        <v>6</v>
      </c>
    </row>
    <row r="3761" spans="1:22" x14ac:dyDescent="0.3">
      <c r="A3761">
        <v>3760</v>
      </c>
      <c r="B3761">
        <v>54190</v>
      </c>
      <c r="C3761" s="2">
        <v>38139</v>
      </c>
      <c r="D3761">
        <v>22</v>
      </c>
      <c r="E3761" t="s">
        <v>36</v>
      </c>
      <c r="F3761" t="s">
        <v>50</v>
      </c>
      <c r="G3761" s="2">
        <v>45645</v>
      </c>
      <c r="H3761" s="3">
        <f t="shared" si="58"/>
        <v>1.010958904109589</v>
      </c>
      <c r="I3761">
        <v>11</v>
      </c>
      <c r="J3761" t="s">
        <v>38</v>
      </c>
      <c r="K3761" t="s">
        <v>65</v>
      </c>
      <c r="L3761" t="s">
        <v>44</v>
      </c>
      <c r="M3761">
        <v>10.64</v>
      </c>
      <c r="T3761" t="s">
        <v>49</v>
      </c>
      <c r="U3761">
        <v>1</v>
      </c>
      <c r="V3761">
        <v>4</v>
      </c>
    </row>
    <row r="3762" spans="1:22" x14ac:dyDescent="0.3">
      <c r="A3762">
        <v>3761</v>
      </c>
      <c r="B3762">
        <v>54191</v>
      </c>
      <c r="C3762" s="2">
        <v>37792</v>
      </c>
      <c r="D3762">
        <v>22</v>
      </c>
      <c r="E3762" t="s">
        <v>36</v>
      </c>
      <c r="F3762" t="s">
        <v>50</v>
      </c>
      <c r="G3762" s="2">
        <v>45653</v>
      </c>
      <c r="H3762" s="3">
        <f t="shared" si="58"/>
        <v>1.6383561643835616</v>
      </c>
      <c r="I3762">
        <v>12</v>
      </c>
      <c r="J3762" t="s">
        <v>38</v>
      </c>
      <c r="K3762" t="s">
        <v>65</v>
      </c>
      <c r="L3762" t="s">
        <v>44</v>
      </c>
      <c r="M3762">
        <v>10.64</v>
      </c>
      <c r="T3762" t="s">
        <v>49</v>
      </c>
      <c r="U3762">
        <v>0</v>
      </c>
      <c r="V3762">
        <v>5</v>
      </c>
    </row>
    <row r="3763" spans="1:22" x14ac:dyDescent="0.3">
      <c r="A3763">
        <v>3762</v>
      </c>
      <c r="B3763">
        <v>54192</v>
      </c>
      <c r="C3763" s="2">
        <v>38017</v>
      </c>
      <c r="D3763">
        <v>21</v>
      </c>
      <c r="E3763" t="s">
        <v>42</v>
      </c>
      <c r="F3763" t="s">
        <v>50</v>
      </c>
      <c r="G3763" s="2">
        <v>45424</v>
      </c>
      <c r="H3763" s="3">
        <f t="shared" si="58"/>
        <v>1.3589041095890411</v>
      </c>
      <c r="I3763">
        <v>12</v>
      </c>
      <c r="J3763" t="s">
        <v>38</v>
      </c>
      <c r="K3763" t="s">
        <v>56</v>
      </c>
      <c r="L3763" t="s">
        <v>44</v>
      </c>
      <c r="M3763">
        <v>8.4700000000000006</v>
      </c>
      <c r="T3763" t="s">
        <v>52</v>
      </c>
      <c r="U3763">
        <v>2</v>
      </c>
      <c r="V3763">
        <v>5</v>
      </c>
    </row>
    <row r="3764" spans="1:22" x14ac:dyDescent="0.3">
      <c r="A3764">
        <v>3763</v>
      </c>
      <c r="B3764">
        <v>54193</v>
      </c>
      <c r="C3764" s="2">
        <v>39081</v>
      </c>
      <c r="D3764">
        <v>19</v>
      </c>
      <c r="E3764" t="s">
        <v>42</v>
      </c>
      <c r="F3764" t="s">
        <v>37</v>
      </c>
      <c r="G3764" s="2">
        <v>45526</v>
      </c>
      <c r="H3764" s="3">
        <f t="shared" si="58"/>
        <v>1.7671232876712328</v>
      </c>
      <c r="I3764">
        <v>13</v>
      </c>
      <c r="J3764" t="s">
        <v>38</v>
      </c>
      <c r="K3764" t="s">
        <v>46</v>
      </c>
      <c r="L3764" t="s">
        <v>44</v>
      </c>
      <c r="M3764">
        <v>14.23</v>
      </c>
      <c r="T3764" t="s">
        <v>49</v>
      </c>
      <c r="U3764">
        <v>0</v>
      </c>
      <c r="V3764">
        <v>4</v>
      </c>
    </row>
    <row r="3765" spans="1:22" x14ac:dyDescent="0.3">
      <c r="A3765">
        <v>3764</v>
      </c>
      <c r="B3765">
        <v>54194</v>
      </c>
      <c r="C3765" s="2">
        <v>37779</v>
      </c>
      <c r="D3765">
        <v>22</v>
      </c>
      <c r="E3765" t="s">
        <v>42</v>
      </c>
      <c r="F3765" t="s">
        <v>50</v>
      </c>
      <c r="G3765" s="2">
        <v>45377</v>
      </c>
      <c r="H3765" s="3">
        <f t="shared" si="58"/>
        <v>1.1534246575342466</v>
      </c>
      <c r="I3765">
        <v>16</v>
      </c>
      <c r="J3765" t="s">
        <v>38</v>
      </c>
      <c r="K3765" t="s">
        <v>65</v>
      </c>
      <c r="L3765" t="s">
        <v>44</v>
      </c>
      <c r="M3765">
        <v>10.64</v>
      </c>
      <c r="T3765" t="s">
        <v>49</v>
      </c>
      <c r="U3765">
        <v>0</v>
      </c>
      <c r="V3765">
        <v>6</v>
      </c>
    </row>
    <row r="3766" spans="1:22" x14ac:dyDescent="0.3">
      <c r="A3766">
        <v>3765</v>
      </c>
      <c r="B3766">
        <v>54195</v>
      </c>
      <c r="C3766" s="2">
        <v>37639</v>
      </c>
      <c r="D3766">
        <v>22</v>
      </c>
      <c r="E3766" t="s">
        <v>36</v>
      </c>
      <c r="F3766" t="s">
        <v>50</v>
      </c>
      <c r="G3766" s="2">
        <v>45601</v>
      </c>
      <c r="H3766" s="3">
        <f t="shared" si="58"/>
        <v>1.6082191780821917</v>
      </c>
      <c r="I3766">
        <v>17</v>
      </c>
      <c r="J3766" t="s">
        <v>38</v>
      </c>
      <c r="K3766" t="s">
        <v>68</v>
      </c>
      <c r="L3766" t="s">
        <v>44</v>
      </c>
      <c r="M3766">
        <v>17</v>
      </c>
      <c r="T3766" t="s">
        <v>52</v>
      </c>
      <c r="U3766">
        <v>2</v>
      </c>
      <c r="V3766">
        <v>5</v>
      </c>
    </row>
    <row r="3767" spans="1:22" x14ac:dyDescent="0.3">
      <c r="A3767">
        <v>3766</v>
      </c>
      <c r="B3767">
        <v>54196</v>
      </c>
      <c r="C3767" s="2">
        <v>39032</v>
      </c>
      <c r="D3767">
        <v>19</v>
      </c>
      <c r="E3767" t="s">
        <v>36</v>
      </c>
      <c r="F3767" t="s">
        <v>50</v>
      </c>
      <c r="G3767" s="2">
        <v>45435</v>
      </c>
      <c r="H3767" s="3">
        <f t="shared" si="58"/>
        <v>1.4383561643835616</v>
      </c>
      <c r="I3767">
        <v>17</v>
      </c>
      <c r="J3767" t="s">
        <v>38</v>
      </c>
      <c r="K3767" t="s">
        <v>56</v>
      </c>
      <c r="L3767" t="s">
        <v>44</v>
      </c>
      <c r="M3767">
        <v>8.4700000000000006</v>
      </c>
      <c r="T3767" t="s">
        <v>52</v>
      </c>
      <c r="U3767">
        <v>3</v>
      </c>
      <c r="V3767">
        <v>5</v>
      </c>
    </row>
    <row r="3768" spans="1:22" x14ac:dyDescent="0.3">
      <c r="A3768">
        <v>3767</v>
      </c>
      <c r="B3768">
        <v>54197</v>
      </c>
      <c r="C3768" s="2">
        <v>39109</v>
      </c>
      <c r="D3768">
        <v>18</v>
      </c>
      <c r="E3768" t="s">
        <v>42</v>
      </c>
      <c r="F3768" t="s">
        <v>37</v>
      </c>
      <c r="G3768" s="2">
        <v>45497</v>
      </c>
      <c r="H3768" s="3">
        <f t="shared" si="58"/>
        <v>1.2986301369863014</v>
      </c>
      <c r="I3768">
        <v>17</v>
      </c>
      <c r="J3768" t="s">
        <v>38</v>
      </c>
      <c r="K3768" t="s">
        <v>56</v>
      </c>
      <c r="L3768" t="s">
        <v>44</v>
      </c>
      <c r="M3768">
        <v>8.4700000000000006</v>
      </c>
      <c r="T3768" t="s">
        <v>47</v>
      </c>
      <c r="U3768">
        <v>2</v>
      </c>
      <c r="V3768">
        <v>5</v>
      </c>
    </row>
    <row r="3769" spans="1:22" x14ac:dyDescent="0.3">
      <c r="A3769">
        <v>3768</v>
      </c>
      <c r="B3769">
        <v>54198</v>
      </c>
      <c r="C3769" s="2">
        <v>37766</v>
      </c>
      <c r="D3769">
        <v>22</v>
      </c>
      <c r="E3769" t="s">
        <v>42</v>
      </c>
      <c r="F3769" t="s">
        <v>50</v>
      </c>
      <c r="G3769" s="2">
        <v>45548</v>
      </c>
      <c r="H3769" s="3">
        <f t="shared" si="58"/>
        <v>1.6273972602739726</v>
      </c>
      <c r="I3769">
        <v>20</v>
      </c>
      <c r="J3769" t="s">
        <v>38</v>
      </c>
      <c r="K3769" t="s">
        <v>68</v>
      </c>
      <c r="L3769" t="s">
        <v>44</v>
      </c>
      <c r="M3769">
        <v>17</v>
      </c>
      <c r="T3769" t="s">
        <v>47</v>
      </c>
      <c r="U3769">
        <v>2</v>
      </c>
      <c r="V3769">
        <v>6</v>
      </c>
    </row>
    <row r="3770" spans="1:22" x14ac:dyDescent="0.3">
      <c r="A3770">
        <v>3769</v>
      </c>
      <c r="B3770">
        <v>54199</v>
      </c>
      <c r="C3770" s="2">
        <v>38687</v>
      </c>
      <c r="D3770">
        <v>21</v>
      </c>
      <c r="E3770" t="s">
        <v>42</v>
      </c>
      <c r="F3770" t="s">
        <v>50</v>
      </c>
      <c r="G3770" s="2">
        <v>45428</v>
      </c>
      <c r="H3770" s="3">
        <f t="shared" si="58"/>
        <v>1.7616438356164383</v>
      </c>
      <c r="I3770">
        <v>20</v>
      </c>
      <c r="J3770" t="s">
        <v>38</v>
      </c>
      <c r="K3770" t="s">
        <v>64</v>
      </c>
      <c r="L3770" t="s">
        <v>44</v>
      </c>
      <c r="M3770">
        <v>14.07</v>
      </c>
      <c r="T3770" t="s">
        <v>49</v>
      </c>
      <c r="U3770">
        <v>1</v>
      </c>
      <c r="V3770">
        <v>5</v>
      </c>
    </row>
    <row r="3771" spans="1:22" x14ac:dyDescent="0.3">
      <c r="A3771">
        <v>3770</v>
      </c>
      <c r="B3771">
        <v>54200</v>
      </c>
      <c r="C3771" s="2">
        <v>38915</v>
      </c>
      <c r="D3771">
        <v>19</v>
      </c>
      <c r="E3771" t="s">
        <v>42</v>
      </c>
      <c r="F3771" t="s">
        <v>50</v>
      </c>
      <c r="G3771" s="2">
        <v>45379</v>
      </c>
      <c r="H3771" s="3">
        <f t="shared" si="58"/>
        <v>1.1095890410958904</v>
      </c>
      <c r="I3771">
        <v>21</v>
      </c>
      <c r="J3771" t="s">
        <v>38</v>
      </c>
      <c r="K3771" t="s">
        <v>56</v>
      </c>
      <c r="L3771" t="s">
        <v>44</v>
      </c>
      <c r="M3771">
        <v>8.4700000000000006</v>
      </c>
      <c r="T3771" t="s">
        <v>45</v>
      </c>
      <c r="U3771">
        <v>1</v>
      </c>
      <c r="V3771">
        <v>6</v>
      </c>
    </row>
    <row r="3772" spans="1:22" x14ac:dyDescent="0.3">
      <c r="A3772">
        <v>3771</v>
      </c>
      <c r="B3772">
        <v>54201</v>
      </c>
      <c r="C3772" s="2">
        <v>39074</v>
      </c>
      <c r="D3772">
        <v>19</v>
      </c>
      <c r="E3772" t="s">
        <v>36</v>
      </c>
      <c r="F3772" t="s">
        <v>50</v>
      </c>
      <c r="G3772" s="2">
        <v>45617</v>
      </c>
      <c r="H3772" s="3">
        <f t="shared" si="58"/>
        <v>1.0849315068493151</v>
      </c>
      <c r="I3772">
        <v>23</v>
      </c>
      <c r="J3772" t="s">
        <v>38</v>
      </c>
      <c r="K3772" t="s">
        <v>56</v>
      </c>
      <c r="L3772" t="s">
        <v>44</v>
      </c>
      <c r="M3772">
        <v>8.4700000000000006</v>
      </c>
      <c r="T3772" t="s">
        <v>49</v>
      </c>
      <c r="U3772">
        <v>2</v>
      </c>
      <c r="V3772">
        <v>5</v>
      </c>
    </row>
    <row r="3773" spans="1:22" x14ac:dyDescent="0.3">
      <c r="A3773">
        <v>3772</v>
      </c>
      <c r="B3773">
        <v>54202</v>
      </c>
      <c r="C3773" s="2">
        <v>37897</v>
      </c>
      <c r="D3773">
        <v>22</v>
      </c>
      <c r="E3773" t="s">
        <v>42</v>
      </c>
      <c r="F3773" t="s">
        <v>50</v>
      </c>
      <c r="G3773" s="2">
        <v>45626</v>
      </c>
      <c r="H3773" s="3">
        <f t="shared" si="58"/>
        <v>1.210958904109589</v>
      </c>
      <c r="I3773">
        <v>24</v>
      </c>
      <c r="J3773" t="s">
        <v>38</v>
      </c>
      <c r="K3773" t="s">
        <v>56</v>
      </c>
      <c r="L3773" t="s">
        <v>44</v>
      </c>
      <c r="M3773">
        <v>8.4700000000000006</v>
      </c>
      <c r="T3773" t="s">
        <v>52</v>
      </c>
      <c r="U3773">
        <v>4</v>
      </c>
      <c r="V3773">
        <v>7</v>
      </c>
    </row>
    <row r="3774" spans="1:22" x14ac:dyDescent="0.3">
      <c r="A3774">
        <v>3773</v>
      </c>
      <c r="B3774">
        <v>54203</v>
      </c>
      <c r="C3774" s="2">
        <v>38338</v>
      </c>
      <c r="D3774">
        <v>21</v>
      </c>
      <c r="E3774" t="s">
        <v>42</v>
      </c>
      <c r="F3774" t="s">
        <v>50</v>
      </c>
      <c r="G3774" s="2">
        <v>45580</v>
      </c>
      <c r="H3774" s="3">
        <f t="shared" si="58"/>
        <v>1.5643835616438355</v>
      </c>
      <c r="I3774">
        <v>24</v>
      </c>
      <c r="J3774" t="s">
        <v>38</v>
      </c>
      <c r="K3774" t="s">
        <v>56</v>
      </c>
      <c r="L3774" t="s">
        <v>44</v>
      </c>
      <c r="M3774">
        <v>8.4700000000000006</v>
      </c>
      <c r="T3774" t="s">
        <v>52</v>
      </c>
      <c r="U3774">
        <v>1</v>
      </c>
      <c r="V3774">
        <v>7</v>
      </c>
    </row>
    <row r="3775" spans="1:22" x14ac:dyDescent="0.3">
      <c r="A3775">
        <v>3774</v>
      </c>
      <c r="B3775">
        <v>54204</v>
      </c>
      <c r="C3775" s="2">
        <v>35013</v>
      </c>
      <c r="D3775">
        <v>30</v>
      </c>
      <c r="E3775" t="s">
        <v>42</v>
      </c>
      <c r="F3775" t="s">
        <v>37</v>
      </c>
      <c r="G3775" s="2">
        <v>45451</v>
      </c>
      <c r="H3775" s="3">
        <f t="shared" si="58"/>
        <v>1.2082191780821918</v>
      </c>
      <c r="I3775">
        <v>25</v>
      </c>
      <c r="J3775" t="s">
        <v>38</v>
      </c>
      <c r="K3775" t="s">
        <v>56</v>
      </c>
      <c r="L3775" t="s">
        <v>44</v>
      </c>
      <c r="M3775">
        <v>8.4700000000000006</v>
      </c>
      <c r="T3775" t="s">
        <v>45</v>
      </c>
      <c r="U3775">
        <v>3</v>
      </c>
      <c r="V3775">
        <v>6</v>
      </c>
    </row>
    <row r="3776" spans="1:22" x14ac:dyDescent="0.3">
      <c r="A3776">
        <v>3775</v>
      </c>
      <c r="B3776">
        <v>54205</v>
      </c>
      <c r="C3776" s="2">
        <v>37740</v>
      </c>
      <c r="D3776">
        <v>22</v>
      </c>
      <c r="E3776" t="s">
        <v>42</v>
      </c>
      <c r="F3776" t="s">
        <v>37</v>
      </c>
      <c r="G3776" s="2">
        <v>45581</v>
      </c>
      <c r="H3776" s="3">
        <f t="shared" si="58"/>
        <v>1.1506849315068493</v>
      </c>
      <c r="I3776">
        <v>28</v>
      </c>
      <c r="J3776" t="s">
        <v>38</v>
      </c>
      <c r="K3776" t="s">
        <v>56</v>
      </c>
      <c r="L3776" t="s">
        <v>44</v>
      </c>
      <c r="M3776">
        <v>8.4700000000000006</v>
      </c>
      <c r="T3776" t="s">
        <v>49</v>
      </c>
      <c r="U3776">
        <v>0</v>
      </c>
      <c r="V3776">
        <v>4</v>
      </c>
    </row>
    <row r="3777" spans="1:22" x14ac:dyDescent="0.3">
      <c r="A3777">
        <v>3776</v>
      </c>
      <c r="B3777">
        <v>54206</v>
      </c>
      <c r="C3777" s="2">
        <v>38145</v>
      </c>
      <c r="D3777">
        <v>21</v>
      </c>
      <c r="E3777" t="s">
        <v>42</v>
      </c>
      <c r="F3777" t="s">
        <v>37</v>
      </c>
      <c r="G3777" s="2">
        <v>45602</v>
      </c>
      <c r="H3777" s="3">
        <f t="shared" si="58"/>
        <v>1.3260273972602741</v>
      </c>
      <c r="I3777">
        <v>29</v>
      </c>
      <c r="J3777" t="s">
        <v>38</v>
      </c>
      <c r="K3777" t="s">
        <v>56</v>
      </c>
      <c r="L3777" t="s">
        <v>44</v>
      </c>
      <c r="M3777">
        <v>8.4700000000000006</v>
      </c>
      <c r="T3777" t="s">
        <v>45</v>
      </c>
      <c r="U3777">
        <v>2</v>
      </c>
      <c r="V3777">
        <v>4</v>
      </c>
    </row>
    <row r="3778" spans="1:22" x14ac:dyDescent="0.3">
      <c r="A3778">
        <v>3777</v>
      </c>
      <c r="B3778">
        <v>54207</v>
      </c>
      <c r="C3778" s="2">
        <v>36675</v>
      </c>
      <c r="D3778">
        <v>25</v>
      </c>
      <c r="E3778" t="s">
        <v>42</v>
      </c>
      <c r="F3778" t="s">
        <v>50</v>
      </c>
      <c r="G3778" s="2">
        <v>45538</v>
      </c>
      <c r="H3778" s="3">
        <f t="shared" si="58"/>
        <v>1.6876712328767123</v>
      </c>
      <c r="I3778">
        <v>33</v>
      </c>
      <c r="J3778" t="s">
        <v>38</v>
      </c>
      <c r="K3778" t="s">
        <v>56</v>
      </c>
      <c r="L3778" t="s">
        <v>44</v>
      </c>
      <c r="M3778">
        <v>8.4700000000000006</v>
      </c>
      <c r="T3778" t="s">
        <v>47</v>
      </c>
      <c r="U3778">
        <v>2</v>
      </c>
      <c r="V3778">
        <v>6</v>
      </c>
    </row>
    <row r="3779" spans="1:22" x14ac:dyDescent="0.3">
      <c r="A3779">
        <v>3778</v>
      </c>
      <c r="B3779">
        <v>54208</v>
      </c>
      <c r="C3779" s="2">
        <v>35591</v>
      </c>
      <c r="D3779">
        <v>28</v>
      </c>
      <c r="E3779" t="s">
        <v>42</v>
      </c>
      <c r="F3779" t="s">
        <v>50</v>
      </c>
      <c r="G3779" s="2">
        <v>45406</v>
      </c>
      <c r="H3779" s="3">
        <f t="shared" ref="H3779:H3842" si="59">DATEDIF(G3780,DATE(2025,12,31),"d")/365</f>
        <v>1.6986301369863013</v>
      </c>
      <c r="I3779">
        <v>33</v>
      </c>
      <c r="J3779" t="s">
        <v>38</v>
      </c>
      <c r="K3779" t="s">
        <v>56</v>
      </c>
      <c r="L3779" t="s">
        <v>44</v>
      </c>
      <c r="M3779">
        <v>8.4700000000000006</v>
      </c>
      <c r="T3779" t="s">
        <v>52</v>
      </c>
      <c r="U3779">
        <v>0</v>
      </c>
      <c r="V3779">
        <v>5</v>
      </c>
    </row>
    <row r="3780" spans="1:22" x14ac:dyDescent="0.3">
      <c r="A3780">
        <v>3779</v>
      </c>
      <c r="B3780">
        <v>54209</v>
      </c>
      <c r="C3780" s="2">
        <v>37607</v>
      </c>
      <c r="D3780">
        <v>23</v>
      </c>
      <c r="E3780" t="s">
        <v>42</v>
      </c>
      <c r="F3780" t="s">
        <v>50</v>
      </c>
      <c r="G3780" s="2">
        <v>45402</v>
      </c>
      <c r="H3780" s="3">
        <f t="shared" si="59"/>
        <v>1.0630136986301371</v>
      </c>
      <c r="I3780">
        <v>34</v>
      </c>
      <c r="J3780" t="s">
        <v>38</v>
      </c>
      <c r="K3780" t="s">
        <v>48</v>
      </c>
      <c r="L3780" t="s">
        <v>44</v>
      </c>
      <c r="M3780">
        <v>8.4700000000000006</v>
      </c>
      <c r="T3780" t="s">
        <v>52</v>
      </c>
      <c r="U3780">
        <v>1</v>
      </c>
      <c r="V3780">
        <v>6</v>
      </c>
    </row>
    <row r="3781" spans="1:22" x14ac:dyDescent="0.3">
      <c r="A3781">
        <v>3780</v>
      </c>
      <c r="B3781">
        <v>54210</v>
      </c>
      <c r="C3781" s="2">
        <v>36030</v>
      </c>
      <c r="D3781">
        <v>27</v>
      </c>
      <c r="E3781" t="s">
        <v>42</v>
      </c>
      <c r="F3781" t="s">
        <v>50</v>
      </c>
      <c r="G3781" s="2">
        <v>45634</v>
      </c>
      <c r="H3781" s="3">
        <f t="shared" si="59"/>
        <v>1.7972602739726027</v>
      </c>
      <c r="I3781">
        <v>34</v>
      </c>
      <c r="J3781" t="s">
        <v>38</v>
      </c>
      <c r="K3781" t="s">
        <v>56</v>
      </c>
      <c r="L3781" t="s">
        <v>44</v>
      </c>
      <c r="M3781">
        <v>8.4700000000000006</v>
      </c>
      <c r="T3781" t="s">
        <v>47</v>
      </c>
      <c r="U3781">
        <v>4</v>
      </c>
      <c r="V3781">
        <v>7</v>
      </c>
    </row>
    <row r="3782" spans="1:22" x14ac:dyDescent="0.3">
      <c r="A3782">
        <v>3781</v>
      </c>
      <c r="B3782">
        <v>54212</v>
      </c>
      <c r="C3782" s="2">
        <v>39137</v>
      </c>
      <c r="D3782">
        <v>18</v>
      </c>
      <c r="E3782" t="s">
        <v>42</v>
      </c>
      <c r="F3782" t="s">
        <v>37</v>
      </c>
      <c r="G3782" s="2">
        <v>45366</v>
      </c>
      <c r="H3782" s="3">
        <f t="shared" si="59"/>
        <v>1.3808219178082193</v>
      </c>
      <c r="I3782">
        <v>40</v>
      </c>
      <c r="J3782" t="s">
        <v>38</v>
      </c>
      <c r="K3782" t="s">
        <v>56</v>
      </c>
      <c r="L3782" t="s">
        <v>44</v>
      </c>
      <c r="M3782">
        <v>8.4700000000000006</v>
      </c>
      <c r="T3782" t="s">
        <v>52</v>
      </c>
      <c r="U3782">
        <v>1</v>
      </c>
      <c r="V3782">
        <v>5</v>
      </c>
    </row>
    <row r="3783" spans="1:22" x14ac:dyDescent="0.3">
      <c r="A3783">
        <v>3782</v>
      </c>
      <c r="B3783">
        <v>54213</v>
      </c>
      <c r="C3783" s="2">
        <v>38679</v>
      </c>
      <c r="D3783">
        <v>20</v>
      </c>
      <c r="E3783" t="s">
        <v>42</v>
      </c>
      <c r="F3783" t="s">
        <v>50</v>
      </c>
      <c r="G3783" s="2">
        <v>45518</v>
      </c>
      <c r="H3783" s="3">
        <f t="shared" si="59"/>
        <v>1.4246575342465753</v>
      </c>
      <c r="I3783">
        <v>41</v>
      </c>
      <c r="J3783" t="s">
        <v>38</v>
      </c>
      <c r="K3783" t="s">
        <v>65</v>
      </c>
      <c r="L3783" t="s">
        <v>44</v>
      </c>
      <c r="M3783">
        <v>10.64</v>
      </c>
      <c r="T3783" t="s">
        <v>52</v>
      </c>
      <c r="U3783">
        <v>0</v>
      </c>
      <c r="V3783">
        <v>7</v>
      </c>
    </row>
    <row r="3784" spans="1:22" x14ac:dyDescent="0.3">
      <c r="A3784">
        <v>3783</v>
      </c>
      <c r="B3784">
        <v>54214</v>
      </c>
      <c r="C3784" s="2">
        <v>35933</v>
      </c>
      <c r="D3784">
        <v>27</v>
      </c>
      <c r="E3784" t="s">
        <v>36</v>
      </c>
      <c r="F3784" t="s">
        <v>50</v>
      </c>
      <c r="G3784" s="2">
        <v>45502</v>
      </c>
      <c r="H3784" s="3">
        <f t="shared" si="59"/>
        <v>1.441095890410959</v>
      </c>
      <c r="I3784">
        <v>42</v>
      </c>
      <c r="J3784" t="s">
        <v>38</v>
      </c>
      <c r="K3784" t="s">
        <v>46</v>
      </c>
      <c r="L3784" t="s">
        <v>44</v>
      </c>
      <c r="M3784">
        <v>14.23</v>
      </c>
      <c r="T3784" t="s">
        <v>52</v>
      </c>
      <c r="U3784">
        <v>0</v>
      </c>
      <c r="V3784">
        <v>5</v>
      </c>
    </row>
    <row r="3785" spans="1:22" x14ac:dyDescent="0.3">
      <c r="A3785">
        <v>3784</v>
      </c>
      <c r="B3785">
        <v>54215</v>
      </c>
      <c r="C3785" s="2">
        <v>38367</v>
      </c>
      <c r="D3785">
        <v>20</v>
      </c>
      <c r="E3785" t="s">
        <v>42</v>
      </c>
      <c r="F3785" t="s">
        <v>50</v>
      </c>
      <c r="G3785" s="2">
        <v>45496</v>
      </c>
      <c r="H3785" s="3">
        <f t="shared" si="59"/>
        <v>1.7534246575342465</v>
      </c>
      <c r="I3785">
        <v>43</v>
      </c>
      <c r="J3785" t="s">
        <v>38</v>
      </c>
      <c r="K3785" t="s">
        <v>56</v>
      </c>
      <c r="L3785" t="s">
        <v>44</v>
      </c>
      <c r="M3785">
        <v>8.4700000000000006</v>
      </c>
      <c r="T3785" t="s">
        <v>52</v>
      </c>
      <c r="U3785">
        <v>2</v>
      </c>
      <c r="V3785">
        <v>4</v>
      </c>
    </row>
    <row r="3786" spans="1:22" x14ac:dyDescent="0.3">
      <c r="A3786">
        <v>3785</v>
      </c>
      <c r="B3786">
        <v>54216</v>
      </c>
      <c r="C3786" s="2">
        <v>34256</v>
      </c>
      <c r="D3786">
        <v>32</v>
      </c>
      <c r="E3786" t="s">
        <v>42</v>
      </c>
      <c r="F3786" t="s">
        <v>50</v>
      </c>
      <c r="G3786" s="2">
        <v>45382</v>
      </c>
      <c r="H3786" s="3">
        <f t="shared" si="59"/>
        <v>1.2383561643835617</v>
      </c>
      <c r="I3786">
        <v>43</v>
      </c>
      <c r="J3786" t="s">
        <v>38</v>
      </c>
      <c r="K3786" t="s">
        <v>56</v>
      </c>
      <c r="L3786" t="s">
        <v>44</v>
      </c>
      <c r="M3786">
        <v>8.4700000000000006</v>
      </c>
      <c r="T3786" t="s">
        <v>52</v>
      </c>
      <c r="U3786">
        <v>4</v>
      </c>
      <c r="V3786">
        <v>7</v>
      </c>
    </row>
    <row r="3787" spans="1:22" x14ac:dyDescent="0.3">
      <c r="A3787">
        <v>3786</v>
      </c>
      <c r="B3787">
        <v>54217</v>
      </c>
      <c r="C3787" s="2">
        <v>38205</v>
      </c>
      <c r="D3787">
        <v>21</v>
      </c>
      <c r="E3787" t="s">
        <v>42</v>
      </c>
      <c r="F3787" t="s">
        <v>37</v>
      </c>
      <c r="G3787" s="2">
        <v>45570</v>
      </c>
      <c r="H3787" s="3">
        <f t="shared" si="59"/>
        <v>1.6438356164383561</v>
      </c>
      <c r="I3787">
        <v>44</v>
      </c>
      <c r="J3787" t="s">
        <v>38</v>
      </c>
      <c r="K3787" t="s">
        <v>56</v>
      </c>
      <c r="L3787" t="s">
        <v>44</v>
      </c>
      <c r="M3787">
        <v>8.4700000000000006</v>
      </c>
      <c r="T3787" t="s">
        <v>49</v>
      </c>
      <c r="U3787">
        <v>0</v>
      </c>
      <c r="V3787">
        <v>6</v>
      </c>
    </row>
    <row r="3788" spans="1:22" x14ac:dyDescent="0.3">
      <c r="A3788">
        <v>3787</v>
      </c>
      <c r="B3788">
        <v>54218</v>
      </c>
      <c r="C3788" s="2">
        <v>38180</v>
      </c>
      <c r="D3788">
        <v>21</v>
      </c>
      <c r="E3788" t="s">
        <v>42</v>
      </c>
      <c r="F3788" t="s">
        <v>37</v>
      </c>
      <c r="G3788" s="2">
        <v>45422</v>
      </c>
      <c r="H3788" s="3">
        <f t="shared" si="59"/>
        <v>1.0849315068493151</v>
      </c>
      <c r="I3788">
        <v>46</v>
      </c>
      <c r="J3788" t="s">
        <v>38</v>
      </c>
      <c r="K3788" t="s">
        <v>64</v>
      </c>
      <c r="L3788" t="s">
        <v>44</v>
      </c>
      <c r="M3788">
        <v>14.07</v>
      </c>
      <c r="T3788" t="s">
        <v>49</v>
      </c>
      <c r="U3788">
        <v>1</v>
      </c>
      <c r="V3788">
        <v>5</v>
      </c>
    </row>
    <row r="3789" spans="1:22" x14ac:dyDescent="0.3">
      <c r="A3789">
        <v>3788</v>
      </c>
      <c r="B3789">
        <v>54219</v>
      </c>
      <c r="C3789" s="2">
        <v>37867</v>
      </c>
      <c r="D3789">
        <v>22</v>
      </c>
      <c r="E3789" t="s">
        <v>42</v>
      </c>
      <c r="F3789" t="s">
        <v>50</v>
      </c>
      <c r="G3789" s="2">
        <v>45626</v>
      </c>
      <c r="H3789" s="3">
        <f t="shared" si="59"/>
        <v>1.6191780821917807</v>
      </c>
      <c r="I3789">
        <v>46</v>
      </c>
      <c r="J3789" t="s">
        <v>38</v>
      </c>
      <c r="K3789" t="s">
        <v>48</v>
      </c>
      <c r="L3789" t="s">
        <v>44</v>
      </c>
      <c r="M3789">
        <v>8.4700000000000006</v>
      </c>
      <c r="T3789" t="s">
        <v>52</v>
      </c>
      <c r="U3789">
        <v>1</v>
      </c>
      <c r="V3789">
        <v>5</v>
      </c>
    </row>
    <row r="3790" spans="1:22" x14ac:dyDescent="0.3">
      <c r="A3790">
        <v>3789</v>
      </c>
      <c r="B3790">
        <v>54220</v>
      </c>
      <c r="C3790" s="2">
        <v>38368</v>
      </c>
      <c r="D3790">
        <v>20</v>
      </c>
      <c r="E3790" t="s">
        <v>42</v>
      </c>
      <c r="F3790" t="s">
        <v>50</v>
      </c>
      <c r="G3790" s="2">
        <v>45431</v>
      </c>
      <c r="H3790" s="3">
        <f t="shared" si="59"/>
        <v>1.2164383561643837</v>
      </c>
      <c r="I3790">
        <v>46</v>
      </c>
      <c r="J3790" t="s">
        <v>38</v>
      </c>
      <c r="K3790" t="s">
        <v>56</v>
      </c>
      <c r="L3790" t="s">
        <v>44</v>
      </c>
      <c r="M3790">
        <v>8.4700000000000006</v>
      </c>
      <c r="T3790" t="s">
        <v>45</v>
      </c>
      <c r="U3790">
        <v>4</v>
      </c>
      <c r="V3790">
        <v>7</v>
      </c>
    </row>
    <row r="3791" spans="1:22" x14ac:dyDescent="0.3">
      <c r="A3791">
        <v>3790</v>
      </c>
      <c r="B3791">
        <v>54221</v>
      </c>
      <c r="C3791" s="2">
        <v>38710</v>
      </c>
      <c r="D3791">
        <v>20</v>
      </c>
      <c r="E3791" t="s">
        <v>42</v>
      </c>
      <c r="F3791" t="s">
        <v>50</v>
      </c>
      <c r="G3791" s="2">
        <v>45578</v>
      </c>
      <c r="H3791" s="3">
        <f t="shared" si="59"/>
        <v>1.6054794520547946</v>
      </c>
      <c r="I3791">
        <v>46</v>
      </c>
      <c r="J3791" t="s">
        <v>38</v>
      </c>
      <c r="K3791" t="s">
        <v>56</v>
      </c>
      <c r="L3791" t="s">
        <v>44</v>
      </c>
      <c r="M3791">
        <v>8.4700000000000006</v>
      </c>
      <c r="T3791" t="s">
        <v>45</v>
      </c>
      <c r="U3791">
        <v>2</v>
      </c>
      <c r="V3791">
        <v>7</v>
      </c>
    </row>
    <row r="3792" spans="1:22" x14ac:dyDescent="0.3">
      <c r="A3792">
        <v>3791</v>
      </c>
      <c r="B3792">
        <v>54222</v>
      </c>
      <c r="C3792" s="2">
        <v>38675</v>
      </c>
      <c r="D3792">
        <v>20</v>
      </c>
      <c r="E3792" t="s">
        <v>42</v>
      </c>
      <c r="F3792" t="s">
        <v>50</v>
      </c>
      <c r="G3792" s="2">
        <v>45436</v>
      </c>
      <c r="H3792" s="3">
        <f t="shared" si="59"/>
        <v>1.5753424657534247</v>
      </c>
      <c r="I3792">
        <v>48</v>
      </c>
      <c r="J3792" t="s">
        <v>38</v>
      </c>
      <c r="K3792" t="s">
        <v>43</v>
      </c>
      <c r="L3792" t="s">
        <v>44</v>
      </c>
      <c r="M3792">
        <v>16.37</v>
      </c>
      <c r="T3792" t="s">
        <v>49</v>
      </c>
      <c r="U3792">
        <v>2</v>
      </c>
      <c r="V3792">
        <v>5</v>
      </c>
    </row>
    <row r="3793" spans="1:22" x14ac:dyDescent="0.3">
      <c r="A3793">
        <v>3792</v>
      </c>
      <c r="B3793">
        <v>54223</v>
      </c>
      <c r="C3793" s="2">
        <v>32639</v>
      </c>
      <c r="D3793">
        <v>36</v>
      </c>
      <c r="E3793" t="s">
        <v>42</v>
      </c>
      <c r="F3793" t="s">
        <v>37</v>
      </c>
      <c r="G3793" s="2">
        <v>45447</v>
      </c>
      <c r="H3793" s="3">
        <f t="shared" si="59"/>
        <v>1.5232876712328767</v>
      </c>
      <c r="I3793">
        <v>50</v>
      </c>
      <c r="J3793" t="s">
        <v>38</v>
      </c>
      <c r="K3793" t="s">
        <v>54</v>
      </c>
      <c r="L3793" t="s">
        <v>44</v>
      </c>
      <c r="M3793">
        <v>23.78</v>
      </c>
      <c r="T3793" t="s">
        <v>49</v>
      </c>
      <c r="U3793">
        <v>6</v>
      </c>
      <c r="V3793">
        <v>6</v>
      </c>
    </row>
    <row r="3794" spans="1:22" x14ac:dyDescent="0.3">
      <c r="A3794">
        <v>3793</v>
      </c>
      <c r="B3794">
        <v>54224</v>
      </c>
      <c r="C3794" s="2">
        <v>34480</v>
      </c>
      <c r="D3794">
        <v>31</v>
      </c>
      <c r="E3794" t="s">
        <v>36</v>
      </c>
      <c r="F3794" t="s">
        <v>37</v>
      </c>
      <c r="G3794" s="2">
        <v>45466</v>
      </c>
      <c r="H3794" s="3">
        <f t="shared" si="59"/>
        <v>1.1479452054794521</v>
      </c>
      <c r="I3794">
        <v>50</v>
      </c>
      <c r="J3794" t="s">
        <v>38</v>
      </c>
      <c r="K3794" t="s">
        <v>55</v>
      </c>
      <c r="L3794" t="s">
        <v>44</v>
      </c>
      <c r="M3794">
        <v>17.59</v>
      </c>
      <c r="T3794" t="s">
        <v>45</v>
      </c>
      <c r="U3794">
        <v>2</v>
      </c>
      <c r="V3794">
        <v>4</v>
      </c>
    </row>
    <row r="3795" spans="1:22" x14ac:dyDescent="0.3">
      <c r="A3795">
        <v>3794</v>
      </c>
      <c r="B3795">
        <v>54225</v>
      </c>
      <c r="C3795" s="2">
        <v>38419</v>
      </c>
      <c r="D3795">
        <v>20</v>
      </c>
      <c r="E3795" t="s">
        <v>42</v>
      </c>
      <c r="F3795" t="s">
        <v>50</v>
      </c>
      <c r="G3795" s="2">
        <v>45603</v>
      </c>
      <c r="H3795" s="3">
        <f t="shared" si="59"/>
        <v>1.1698630136986301</v>
      </c>
      <c r="I3795">
        <v>50</v>
      </c>
      <c r="J3795" t="s">
        <v>38</v>
      </c>
      <c r="K3795" t="s">
        <v>56</v>
      </c>
      <c r="L3795" t="s">
        <v>44</v>
      </c>
      <c r="M3795">
        <v>8.4700000000000006</v>
      </c>
      <c r="T3795" t="s">
        <v>52</v>
      </c>
      <c r="U3795">
        <v>3</v>
      </c>
      <c r="V3795">
        <v>6</v>
      </c>
    </row>
    <row r="3796" spans="1:22" x14ac:dyDescent="0.3">
      <c r="A3796">
        <v>3795</v>
      </c>
      <c r="B3796">
        <v>54226</v>
      </c>
      <c r="C3796" s="2">
        <v>37162</v>
      </c>
      <c r="D3796">
        <v>24</v>
      </c>
      <c r="E3796" t="s">
        <v>36</v>
      </c>
      <c r="F3796" t="s">
        <v>50</v>
      </c>
      <c r="G3796" s="2">
        <v>45595</v>
      </c>
      <c r="H3796" s="3">
        <f t="shared" si="59"/>
        <v>1.3972602739726028</v>
      </c>
      <c r="I3796">
        <v>51</v>
      </c>
      <c r="J3796" t="s">
        <v>38</v>
      </c>
      <c r="K3796" t="s">
        <v>68</v>
      </c>
      <c r="L3796" t="s">
        <v>44</v>
      </c>
      <c r="M3796">
        <v>17</v>
      </c>
      <c r="T3796" t="s">
        <v>49</v>
      </c>
      <c r="U3796">
        <v>2</v>
      </c>
      <c r="V3796">
        <v>4</v>
      </c>
    </row>
    <row r="3797" spans="1:22" x14ac:dyDescent="0.3">
      <c r="A3797">
        <v>3796</v>
      </c>
      <c r="B3797">
        <v>54227</v>
      </c>
      <c r="C3797" s="2">
        <v>39074</v>
      </c>
      <c r="D3797">
        <v>19</v>
      </c>
      <c r="E3797" t="s">
        <v>36</v>
      </c>
      <c r="F3797" t="s">
        <v>50</v>
      </c>
      <c r="G3797" s="2">
        <v>45512</v>
      </c>
      <c r="H3797" s="3">
        <f t="shared" si="59"/>
        <v>1.4438356164383561</v>
      </c>
      <c r="I3797">
        <v>51</v>
      </c>
      <c r="J3797" t="s">
        <v>38</v>
      </c>
      <c r="K3797" t="s">
        <v>65</v>
      </c>
      <c r="L3797" t="s">
        <v>44</v>
      </c>
      <c r="M3797">
        <v>10.64</v>
      </c>
      <c r="T3797" t="s">
        <v>52</v>
      </c>
      <c r="U3797">
        <v>1</v>
      </c>
      <c r="V3797">
        <v>4</v>
      </c>
    </row>
    <row r="3798" spans="1:22" x14ac:dyDescent="0.3">
      <c r="A3798">
        <v>3797</v>
      </c>
      <c r="B3798">
        <v>54228</v>
      </c>
      <c r="C3798" s="2">
        <v>38740</v>
      </c>
      <c r="D3798">
        <v>19</v>
      </c>
      <c r="E3798" t="s">
        <v>36</v>
      </c>
      <c r="F3798" t="s">
        <v>37</v>
      </c>
      <c r="G3798" s="2">
        <v>45495</v>
      </c>
      <c r="H3798" s="3">
        <f t="shared" si="59"/>
        <v>1.2136986301369863</v>
      </c>
      <c r="I3798">
        <v>51</v>
      </c>
      <c r="J3798" t="s">
        <v>38</v>
      </c>
      <c r="K3798" t="s">
        <v>65</v>
      </c>
      <c r="L3798" t="s">
        <v>44</v>
      </c>
      <c r="M3798">
        <v>10.64</v>
      </c>
      <c r="T3798" t="s">
        <v>45</v>
      </c>
      <c r="U3798">
        <v>0</v>
      </c>
      <c r="V3798">
        <v>5</v>
      </c>
    </row>
    <row r="3799" spans="1:22" x14ac:dyDescent="0.3">
      <c r="A3799">
        <v>3798</v>
      </c>
      <c r="B3799">
        <v>54229</v>
      </c>
      <c r="C3799" s="2">
        <v>38094</v>
      </c>
      <c r="D3799">
        <v>21</v>
      </c>
      <c r="E3799" t="s">
        <v>42</v>
      </c>
      <c r="F3799" t="s">
        <v>50</v>
      </c>
      <c r="G3799" s="2">
        <v>45579</v>
      </c>
      <c r="H3799" s="3">
        <f t="shared" si="59"/>
        <v>1.3643835616438356</v>
      </c>
      <c r="I3799">
        <v>52</v>
      </c>
      <c r="J3799" t="s">
        <v>38</v>
      </c>
      <c r="K3799" t="s">
        <v>56</v>
      </c>
      <c r="L3799" t="s">
        <v>44</v>
      </c>
      <c r="M3799">
        <v>8.4700000000000006</v>
      </c>
      <c r="T3799" t="s">
        <v>49</v>
      </c>
      <c r="U3799">
        <v>4</v>
      </c>
      <c r="V3799">
        <v>6</v>
      </c>
    </row>
    <row r="3800" spans="1:22" x14ac:dyDescent="0.3">
      <c r="A3800">
        <v>3799</v>
      </c>
      <c r="B3800">
        <v>54230</v>
      </c>
      <c r="C3800" s="2">
        <v>39010</v>
      </c>
      <c r="D3800">
        <v>19</v>
      </c>
      <c r="E3800" t="s">
        <v>42</v>
      </c>
      <c r="F3800" t="s">
        <v>37</v>
      </c>
      <c r="G3800" s="2">
        <v>45524</v>
      </c>
      <c r="H3800" s="3">
        <f t="shared" si="59"/>
        <v>1.8082191780821917</v>
      </c>
      <c r="I3800">
        <v>54</v>
      </c>
      <c r="J3800" t="s">
        <v>38</v>
      </c>
      <c r="K3800" t="s">
        <v>56</v>
      </c>
      <c r="L3800" t="s">
        <v>44</v>
      </c>
      <c r="M3800">
        <v>8.4700000000000006</v>
      </c>
      <c r="T3800" t="s">
        <v>52</v>
      </c>
      <c r="U3800">
        <v>2</v>
      </c>
      <c r="V3800">
        <v>6</v>
      </c>
    </row>
    <row r="3801" spans="1:22" x14ac:dyDescent="0.3">
      <c r="A3801">
        <v>3800</v>
      </c>
      <c r="B3801">
        <v>54231</v>
      </c>
      <c r="C3801" s="2">
        <v>36435</v>
      </c>
      <c r="D3801">
        <v>26</v>
      </c>
      <c r="E3801" t="s">
        <v>36</v>
      </c>
      <c r="F3801" t="s">
        <v>50</v>
      </c>
      <c r="G3801" s="2">
        <v>45362</v>
      </c>
      <c r="H3801" s="3">
        <f t="shared" si="59"/>
        <v>1.4054794520547946</v>
      </c>
      <c r="I3801">
        <v>55</v>
      </c>
      <c r="J3801" t="s">
        <v>38</v>
      </c>
      <c r="K3801" t="s">
        <v>46</v>
      </c>
      <c r="L3801" t="s">
        <v>44</v>
      </c>
      <c r="M3801">
        <v>14.23</v>
      </c>
      <c r="T3801" t="s">
        <v>52</v>
      </c>
      <c r="U3801">
        <v>0</v>
      </c>
      <c r="V3801">
        <v>4</v>
      </c>
    </row>
    <row r="3802" spans="1:22" x14ac:dyDescent="0.3">
      <c r="A3802">
        <v>3801</v>
      </c>
      <c r="B3802">
        <v>54232</v>
      </c>
      <c r="C3802" s="2">
        <v>39077</v>
      </c>
      <c r="D3802">
        <v>19</v>
      </c>
      <c r="E3802" t="s">
        <v>42</v>
      </c>
      <c r="F3802" t="s">
        <v>50</v>
      </c>
      <c r="G3802" s="2">
        <v>45509</v>
      </c>
      <c r="H3802" s="3">
        <f t="shared" si="59"/>
        <v>1.0602739726027397</v>
      </c>
      <c r="I3802">
        <v>56</v>
      </c>
      <c r="J3802" t="s">
        <v>38</v>
      </c>
      <c r="K3802" t="s">
        <v>56</v>
      </c>
      <c r="L3802" t="s">
        <v>44</v>
      </c>
      <c r="M3802">
        <v>8.4700000000000006</v>
      </c>
      <c r="T3802" t="s">
        <v>49</v>
      </c>
      <c r="U3802">
        <v>4</v>
      </c>
      <c r="V3802">
        <v>7</v>
      </c>
    </row>
    <row r="3803" spans="1:22" x14ac:dyDescent="0.3">
      <c r="A3803">
        <v>3802</v>
      </c>
      <c r="B3803">
        <v>54233</v>
      </c>
      <c r="C3803" s="2">
        <v>36426</v>
      </c>
      <c r="D3803">
        <v>26</v>
      </c>
      <c r="E3803" t="s">
        <v>42</v>
      </c>
      <c r="F3803" t="s">
        <v>37</v>
      </c>
      <c r="G3803" s="2">
        <v>45635</v>
      </c>
      <c r="H3803" s="3">
        <f t="shared" si="59"/>
        <v>1.3287671232876712</v>
      </c>
      <c r="I3803">
        <v>57</v>
      </c>
      <c r="J3803" t="s">
        <v>38</v>
      </c>
      <c r="K3803" t="s">
        <v>48</v>
      </c>
      <c r="L3803" t="s">
        <v>44</v>
      </c>
      <c r="M3803">
        <v>8.4700000000000006</v>
      </c>
      <c r="T3803" t="s">
        <v>45</v>
      </c>
      <c r="U3803">
        <v>2</v>
      </c>
      <c r="V3803">
        <v>5</v>
      </c>
    </row>
    <row r="3804" spans="1:22" x14ac:dyDescent="0.3">
      <c r="A3804">
        <v>3803</v>
      </c>
      <c r="B3804">
        <v>54234</v>
      </c>
      <c r="C3804" s="2">
        <v>38014</v>
      </c>
      <c r="D3804">
        <v>21</v>
      </c>
      <c r="E3804" t="s">
        <v>42</v>
      </c>
      <c r="F3804" t="s">
        <v>37</v>
      </c>
      <c r="G3804" s="2">
        <v>45537</v>
      </c>
      <c r="H3804" s="3">
        <f t="shared" si="59"/>
        <v>1.6301369863013699</v>
      </c>
      <c r="I3804">
        <v>58</v>
      </c>
      <c r="J3804" t="s">
        <v>38</v>
      </c>
      <c r="K3804" t="s">
        <v>56</v>
      </c>
      <c r="L3804" t="s">
        <v>44</v>
      </c>
      <c r="M3804">
        <v>8.4700000000000006</v>
      </c>
      <c r="T3804" t="s">
        <v>45</v>
      </c>
      <c r="U3804">
        <v>4</v>
      </c>
      <c r="V3804">
        <v>6</v>
      </c>
    </row>
    <row r="3805" spans="1:22" x14ac:dyDescent="0.3">
      <c r="A3805">
        <v>3804</v>
      </c>
      <c r="B3805">
        <v>54235</v>
      </c>
      <c r="C3805" s="2">
        <v>36512</v>
      </c>
      <c r="D3805">
        <v>26</v>
      </c>
      <c r="E3805" t="s">
        <v>36</v>
      </c>
      <c r="F3805" t="s">
        <v>50</v>
      </c>
      <c r="G3805" s="2">
        <v>45427</v>
      </c>
      <c r="H3805" s="3">
        <f t="shared" si="59"/>
        <v>1.7068493150684931</v>
      </c>
      <c r="I3805">
        <v>59</v>
      </c>
      <c r="J3805" t="s">
        <v>38</v>
      </c>
      <c r="K3805" t="s">
        <v>46</v>
      </c>
      <c r="L3805" t="s">
        <v>44</v>
      </c>
      <c r="M3805">
        <v>14.23</v>
      </c>
      <c r="T3805" t="s">
        <v>47</v>
      </c>
      <c r="U3805">
        <v>0</v>
      </c>
      <c r="V3805">
        <v>4</v>
      </c>
    </row>
    <row r="3806" spans="1:22" x14ac:dyDescent="0.3">
      <c r="A3806">
        <v>3805</v>
      </c>
      <c r="B3806">
        <v>54236</v>
      </c>
      <c r="C3806" s="2">
        <v>36620</v>
      </c>
      <c r="D3806">
        <v>25</v>
      </c>
      <c r="E3806" t="s">
        <v>42</v>
      </c>
      <c r="F3806" t="s">
        <v>50</v>
      </c>
      <c r="G3806" s="2">
        <v>45399</v>
      </c>
      <c r="H3806" s="3">
        <f t="shared" si="59"/>
        <v>1.5068493150684932</v>
      </c>
      <c r="I3806">
        <v>59</v>
      </c>
      <c r="J3806" t="s">
        <v>38</v>
      </c>
      <c r="K3806" t="s">
        <v>55</v>
      </c>
      <c r="L3806" t="s">
        <v>44</v>
      </c>
      <c r="M3806">
        <v>17.59</v>
      </c>
      <c r="T3806" t="s">
        <v>47</v>
      </c>
      <c r="U3806">
        <v>2</v>
      </c>
      <c r="V3806">
        <v>5</v>
      </c>
    </row>
    <row r="3807" spans="1:22" x14ac:dyDescent="0.3">
      <c r="A3807">
        <v>3806</v>
      </c>
      <c r="B3807">
        <v>54237</v>
      </c>
      <c r="C3807" s="2">
        <v>39014</v>
      </c>
      <c r="D3807">
        <v>19</v>
      </c>
      <c r="E3807" t="s">
        <v>36</v>
      </c>
      <c r="F3807" t="s">
        <v>37</v>
      </c>
      <c r="G3807" s="2">
        <v>45472</v>
      </c>
      <c r="H3807" s="3">
        <f t="shared" si="59"/>
        <v>1.2164383561643837</v>
      </c>
      <c r="I3807">
        <v>62</v>
      </c>
      <c r="J3807" t="s">
        <v>38</v>
      </c>
      <c r="K3807" t="s">
        <v>65</v>
      </c>
      <c r="L3807" t="s">
        <v>44</v>
      </c>
      <c r="M3807">
        <v>10.64</v>
      </c>
      <c r="T3807" t="s">
        <v>47</v>
      </c>
      <c r="U3807">
        <v>1</v>
      </c>
      <c r="V3807">
        <v>5</v>
      </c>
    </row>
    <row r="3808" spans="1:22" x14ac:dyDescent="0.3">
      <c r="A3808">
        <v>3807</v>
      </c>
      <c r="B3808">
        <v>54238</v>
      </c>
      <c r="C3808" s="2">
        <v>36954</v>
      </c>
      <c r="D3808">
        <v>24</v>
      </c>
      <c r="E3808" t="s">
        <v>42</v>
      </c>
      <c r="F3808" t="s">
        <v>50</v>
      </c>
      <c r="G3808" s="2">
        <v>45578</v>
      </c>
      <c r="H3808" s="3">
        <f t="shared" si="59"/>
        <v>1.0849315068493151</v>
      </c>
      <c r="I3808">
        <v>62</v>
      </c>
      <c r="J3808" t="s">
        <v>38</v>
      </c>
      <c r="K3808" t="s">
        <v>56</v>
      </c>
      <c r="L3808" t="s">
        <v>44</v>
      </c>
      <c r="M3808">
        <v>8.4700000000000006</v>
      </c>
      <c r="T3808" t="s">
        <v>52</v>
      </c>
      <c r="U3808">
        <v>3</v>
      </c>
      <c r="V3808">
        <v>6</v>
      </c>
    </row>
    <row r="3809" spans="1:22" x14ac:dyDescent="0.3">
      <c r="A3809">
        <v>3808</v>
      </c>
      <c r="B3809">
        <v>54239</v>
      </c>
      <c r="C3809" s="2">
        <v>37288</v>
      </c>
      <c r="D3809">
        <v>24</v>
      </c>
      <c r="E3809" t="s">
        <v>42</v>
      </c>
      <c r="F3809" t="s">
        <v>50</v>
      </c>
      <c r="G3809" s="2">
        <v>45626</v>
      </c>
      <c r="H3809" s="3">
        <f t="shared" si="59"/>
        <v>1.4383561643835616</v>
      </c>
      <c r="I3809">
        <v>62</v>
      </c>
      <c r="J3809" t="s">
        <v>38</v>
      </c>
      <c r="K3809" t="s">
        <v>56</v>
      </c>
      <c r="L3809" t="s">
        <v>44</v>
      </c>
      <c r="M3809">
        <v>8.4700000000000006</v>
      </c>
      <c r="T3809" t="s">
        <v>45</v>
      </c>
      <c r="U3809">
        <v>4</v>
      </c>
      <c r="V3809">
        <v>7</v>
      </c>
    </row>
    <row r="3810" spans="1:22" x14ac:dyDescent="0.3">
      <c r="A3810">
        <v>3809</v>
      </c>
      <c r="B3810">
        <v>54240</v>
      </c>
      <c r="C3810" s="2">
        <v>36373</v>
      </c>
      <c r="D3810">
        <v>27</v>
      </c>
      <c r="E3810" t="s">
        <v>42</v>
      </c>
      <c r="F3810" t="s">
        <v>50</v>
      </c>
      <c r="G3810" s="2">
        <v>45497</v>
      </c>
      <c r="H3810" s="3">
        <f t="shared" si="59"/>
        <v>1.0849315068493151</v>
      </c>
      <c r="I3810">
        <v>63</v>
      </c>
      <c r="J3810" t="s">
        <v>38</v>
      </c>
      <c r="K3810" t="s">
        <v>56</v>
      </c>
      <c r="L3810" t="s">
        <v>44</v>
      </c>
      <c r="M3810">
        <v>8.4700000000000006</v>
      </c>
      <c r="T3810" t="s">
        <v>45</v>
      </c>
      <c r="U3810">
        <v>2</v>
      </c>
      <c r="V3810">
        <v>5</v>
      </c>
    </row>
    <row r="3811" spans="1:22" x14ac:dyDescent="0.3">
      <c r="A3811">
        <v>3810</v>
      </c>
      <c r="B3811">
        <v>54241</v>
      </c>
      <c r="C3811" s="2">
        <v>38144</v>
      </c>
      <c r="D3811">
        <v>21</v>
      </c>
      <c r="E3811" t="s">
        <v>42</v>
      </c>
      <c r="F3811" t="s">
        <v>50</v>
      </c>
      <c r="G3811" s="2">
        <v>45626</v>
      </c>
      <c r="H3811" s="3">
        <f t="shared" si="59"/>
        <v>1.1479452054794521</v>
      </c>
      <c r="I3811">
        <v>63</v>
      </c>
      <c r="J3811" t="s">
        <v>38</v>
      </c>
      <c r="K3811" t="s">
        <v>56</v>
      </c>
      <c r="L3811" t="s">
        <v>44</v>
      </c>
      <c r="M3811">
        <v>8.4700000000000006</v>
      </c>
      <c r="T3811" t="s">
        <v>45</v>
      </c>
      <c r="U3811">
        <v>2</v>
      </c>
      <c r="V3811">
        <v>7</v>
      </c>
    </row>
    <row r="3812" spans="1:22" x14ac:dyDescent="0.3">
      <c r="A3812">
        <v>3811</v>
      </c>
      <c r="B3812">
        <v>54242</v>
      </c>
      <c r="C3812" s="2">
        <v>38014</v>
      </c>
      <c r="D3812">
        <v>21</v>
      </c>
      <c r="E3812" t="s">
        <v>42</v>
      </c>
      <c r="F3812" t="s">
        <v>50</v>
      </c>
      <c r="G3812" s="2">
        <v>45603</v>
      </c>
      <c r="H3812" s="3">
        <f t="shared" si="59"/>
        <v>1.5835616438356164</v>
      </c>
      <c r="I3812">
        <v>67</v>
      </c>
      <c r="J3812" t="s">
        <v>57</v>
      </c>
      <c r="K3812" t="s">
        <v>56</v>
      </c>
      <c r="L3812" t="s">
        <v>44</v>
      </c>
      <c r="M3812">
        <v>8.4700000000000006</v>
      </c>
      <c r="T3812" t="s">
        <v>45</v>
      </c>
      <c r="U3812">
        <v>2</v>
      </c>
      <c r="V3812">
        <v>7</v>
      </c>
    </row>
    <row r="3813" spans="1:22" x14ac:dyDescent="0.3">
      <c r="A3813">
        <v>3812</v>
      </c>
      <c r="B3813">
        <v>54243</v>
      </c>
      <c r="C3813" s="2">
        <v>38456</v>
      </c>
      <c r="D3813">
        <v>20</v>
      </c>
      <c r="E3813" t="s">
        <v>42</v>
      </c>
      <c r="F3813" t="s">
        <v>50</v>
      </c>
      <c r="G3813" s="2">
        <v>45444</v>
      </c>
      <c r="H3813" s="3">
        <f t="shared" si="59"/>
        <v>1.3013698630136987</v>
      </c>
      <c r="I3813">
        <v>67</v>
      </c>
      <c r="J3813" t="s">
        <v>57</v>
      </c>
      <c r="K3813" t="s">
        <v>56</v>
      </c>
      <c r="L3813" t="s">
        <v>44</v>
      </c>
      <c r="M3813">
        <v>8.4700000000000006</v>
      </c>
      <c r="T3813" t="s">
        <v>45</v>
      </c>
      <c r="U3813">
        <v>3</v>
      </c>
      <c r="V3813">
        <v>6</v>
      </c>
    </row>
    <row r="3814" spans="1:22" x14ac:dyDescent="0.3">
      <c r="A3814">
        <v>3813</v>
      </c>
      <c r="B3814">
        <v>54244</v>
      </c>
      <c r="C3814" s="2">
        <v>38606</v>
      </c>
      <c r="D3814">
        <v>20</v>
      </c>
      <c r="E3814" t="s">
        <v>36</v>
      </c>
      <c r="F3814" t="s">
        <v>50</v>
      </c>
      <c r="G3814" s="2">
        <v>45547</v>
      </c>
      <c r="H3814" s="3">
        <f t="shared" si="59"/>
        <v>1.8</v>
      </c>
      <c r="I3814">
        <v>67</v>
      </c>
      <c r="J3814" t="s">
        <v>57</v>
      </c>
      <c r="K3814" t="s">
        <v>56</v>
      </c>
      <c r="L3814" t="s">
        <v>44</v>
      </c>
      <c r="M3814">
        <v>8.4700000000000006</v>
      </c>
      <c r="T3814" t="s">
        <v>49</v>
      </c>
      <c r="U3814">
        <v>2</v>
      </c>
      <c r="V3814">
        <v>6</v>
      </c>
    </row>
    <row r="3815" spans="1:22" x14ac:dyDescent="0.3">
      <c r="A3815">
        <v>3814</v>
      </c>
      <c r="B3815">
        <v>54245</v>
      </c>
      <c r="C3815" s="2">
        <v>37418</v>
      </c>
      <c r="D3815">
        <v>23</v>
      </c>
      <c r="E3815" t="s">
        <v>42</v>
      </c>
      <c r="F3815" t="s">
        <v>50</v>
      </c>
      <c r="G3815" s="2">
        <v>45365</v>
      </c>
      <c r="H3815" s="3">
        <f t="shared" si="59"/>
        <v>1.6712328767123288</v>
      </c>
      <c r="I3815">
        <v>68</v>
      </c>
      <c r="J3815" t="s">
        <v>57</v>
      </c>
      <c r="K3815" t="s">
        <v>68</v>
      </c>
      <c r="L3815" t="s">
        <v>44</v>
      </c>
      <c r="M3815">
        <v>17</v>
      </c>
      <c r="T3815" t="s">
        <v>52</v>
      </c>
      <c r="U3815">
        <v>2</v>
      </c>
      <c r="V3815">
        <v>5</v>
      </c>
    </row>
    <row r="3816" spans="1:22" x14ac:dyDescent="0.3">
      <c r="A3816">
        <v>3815</v>
      </c>
      <c r="B3816">
        <v>54246</v>
      </c>
      <c r="C3816" s="2">
        <v>37277</v>
      </c>
      <c r="D3816">
        <v>23</v>
      </c>
      <c r="E3816" t="s">
        <v>42</v>
      </c>
      <c r="F3816" t="s">
        <v>50</v>
      </c>
      <c r="G3816" s="2">
        <v>45412</v>
      </c>
      <c r="H3816" s="3">
        <f t="shared" si="59"/>
        <v>1.0273972602739727</v>
      </c>
      <c r="I3816">
        <v>69</v>
      </c>
      <c r="J3816" t="s">
        <v>57</v>
      </c>
      <c r="K3816" t="s">
        <v>68</v>
      </c>
      <c r="L3816" t="s">
        <v>44</v>
      </c>
      <c r="M3816">
        <v>17</v>
      </c>
      <c r="T3816" t="s">
        <v>45</v>
      </c>
      <c r="U3816">
        <v>1</v>
      </c>
      <c r="V3816">
        <v>7</v>
      </c>
    </row>
    <row r="3817" spans="1:22" x14ac:dyDescent="0.3">
      <c r="A3817">
        <v>3816</v>
      </c>
      <c r="B3817">
        <v>54247</v>
      </c>
      <c r="C3817" s="2">
        <v>37322</v>
      </c>
      <c r="D3817">
        <v>23</v>
      </c>
      <c r="E3817" t="s">
        <v>36</v>
      </c>
      <c r="F3817" t="s">
        <v>50</v>
      </c>
      <c r="G3817" s="2">
        <v>45647</v>
      </c>
      <c r="H3817" s="3">
        <f t="shared" si="59"/>
        <v>1.295890410958904</v>
      </c>
      <c r="I3817">
        <v>71</v>
      </c>
      <c r="J3817" t="s">
        <v>57</v>
      </c>
      <c r="K3817" t="s">
        <v>64</v>
      </c>
      <c r="L3817" t="s">
        <v>44</v>
      </c>
      <c r="M3817">
        <v>14.07</v>
      </c>
      <c r="T3817" t="s">
        <v>47</v>
      </c>
      <c r="U3817">
        <v>1</v>
      </c>
      <c r="V3817">
        <v>4</v>
      </c>
    </row>
    <row r="3818" spans="1:22" x14ac:dyDescent="0.3">
      <c r="A3818">
        <v>3817</v>
      </c>
      <c r="B3818">
        <v>54248</v>
      </c>
      <c r="C3818" s="2">
        <v>38434</v>
      </c>
      <c r="D3818">
        <v>20</v>
      </c>
      <c r="E3818" t="s">
        <v>42</v>
      </c>
      <c r="F3818" t="s">
        <v>37</v>
      </c>
      <c r="G3818" s="2">
        <v>45549</v>
      </c>
      <c r="H3818" s="3">
        <f t="shared" si="59"/>
        <v>1.5890410958904109</v>
      </c>
      <c r="I3818">
        <v>74</v>
      </c>
      <c r="J3818" t="s">
        <v>57</v>
      </c>
      <c r="K3818" t="s">
        <v>56</v>
      </c>
      <c r="L3818" t="s">
        <v>44</v>
      </c>
      <c r="M3818">
        <v>8.4700000000000006</v>
      </c>
      <c r="T3818" t="s">
        <v>52</v>
      </c>
      <c r="U3818">
        <v>1</v>
      </c>
      <c r="V3818">
        <v>5</v>
      </c>
    </row>
    <row r="3819" spans="1:22" x14ac:dyDescent="0.3">
      <c r="A3819">
        <v>3818</v>
      </c>
      <c r="B3819">
        <v>54249</v>
      </c>
      <c r="C3819" s="2">
        <v>37027</v>
      </c>
      <c r="D3819">
        <v>24</v>
      </c>
      <c r="E3819" t="s">
        <v>36</v>
      </c>
      <c r="F3819" t="s">
        <v>37</v>
      </c>
      <c r="G3819" s="2">
        <v>45442</v>
      </c>
      <c r="H3819" s="3">
        <f t="shared" si="59"/>
        <v>1.0575342465753426</v>
      </c>
      <c r="I3819">
        <v>75</v>
      </c>
      <c r="J3819" t="s">
        <v>57</v>
      </c>
      <c r="K3819" t="s">
        <v>65</v>
      </c>
      <c r="L3819" t="s">
        <v>44</v>
      </c>
      <c r="M3819">
        <v>10.64</v>
      </c>
      <c r="T3819" t="s">
        <v>45</v>
      </c>
      <c r="U3819">
        <v>0</v>
      </c>
      <c r="V3819">
        <v>3</v>
      </c>
    </row>
    <row r="3820" spans="1:22" x14ac:dyDescent="0.3">
      <c r="A3820">
        <v>3819</v>
      </c>
      <c r="B3820">
        <v>54250</v>
      </c>
      <c r="C3820" s="2">
        <v>36505</v>
      </c>
      <c r="D3820">
        <v>26</v>
      </c>
      <c r="E3820" t="s">
        <v>42</v>
      </c>
      <c r="F3820" t="s">
        <v>50</v>
      </c>
      <c r="G3820" s="2">
        <v>45636</v>
      </c>
      <c r="H3820" s="3">
        <f t="shared" si="59"/>
        <v>1.3095890410958904</v>
      </c>
      <c r="I3820">
        <v>76</v>
      </c>
      <c r="J3820" t="s">
        <v>57</v>
      </c>
      <c r="K3820" t="s">
        <v>56</v>
      </c>
      <c r="L3820" t="s">
        <v>44</v>
      </c>
      <c r="M3820">
        <v>8.4700000000000006</v>
      </c>
      <c r="T3820" t="s">
        <v>47</v>
      </c>
      <c r="U3820">
        <v>1</v>
      </c>
      <c r="V3820">
        <v>6</v>
      </c>
    </row>
    <row r="3821" spans="1:22" x14ac:dyDescent="0.3">
      <c r="A3821">
        <v>3820</v>
      </c>
      <c r="B3821">
        <v>54251</v>
      </c>
      <c r="C3821" s="2">
        <v>38842</v>
      </c>
      <c r="D3821">
        <v>19</v>
      </c>
      <c r="E3821" t="s">
        <v>42</v>
      </c>
      <c r="F3821" t="s">
        <v>50</v>
      </c>
      <c r="G3821" s="2">
        <v>45544</v>
      </c>
      <c r="H3821" s="3">
        <f t="shared" si="59"/>
        <v>1.2767123287671234</v>
      </c>
      <c r="I3821">
        <v>76</v>
      </c>
      <c r="J3821" t="s">
        <v>57</v>
      </c>
      <c r="K3821" t="s">
        <v>56</v>
      </c>
      <c r="L3821" t="s">
        <v>44</v>
      </c>
      <c r="M3821">
        <v>8.4700000000000006</v>
      </c>
      <c r="T3821" t="s">
        <v>49</v>
      </c>
      <c r="U3821">
        <v>2</v>
      </c>
      <c r="V3821">
        <v>6</v>
      </c>
    </row>
    <row r="3822" spans="1:22" x14ac:dyDescent="0.3">
      <c r="A3822">
        <v>3821</v>
      </c>
      <c r="B3822">
        <v>54252</v>
      </c>
      <c r="C3822" s="2">
        <v>38477</v>
      </c>
      <c r="D3822">
        <v>20</v>
      </c>
      <c r="E3822" t="s">
        <v>36</v>
      </c>
      <c r="F3822" t="s">
        <v>37</v>
      </c>
      <c r="G3822" s="2">
        <v>45556</v>
      </c>
      <c r="H3822" s="3">
        <f t="shared" si="59"/>
        <v>1.2246575342465753</v>
      </c>
      <c r="I3822">
        <v>78</v>
      </c>
      <c r="J3822" t="s">
        <v>57</v>
      </c>
      <c r="K3822" t="s">
        <v>56</v>
      </c>
      <c r="L3822" t="s">
        <v>44</v>
      </c>
      <c r="M3822">
        <v>8.4700000000000006</v>
      </c>
      <c r="T3822" t="s">
        <v>45</v>
      </c>
      <c r="U3822">
        <v>1</v>
      </c>
      <c r="V3822">
        <v>5</v>
      </c>
    </row>
    <row r="3823" spans="1:22" x14ac:dyDescent="0.3">
      <c r="A3823">
        <v>3822</v>
      </c>
      <c r="B3823">
        <v>54254</v>
      </c>
      <c r="C3823" s="2">
        <v>35477</v>
      </c>
      <c r="D3823">
        <v>28</v>
      </c>
      <c r="E3823" t="s">
        <v>36</v>
      </c>
      <c r="F3823" t="s">
        <v>37</v>
      </c>
      <c r="G3823" s="2">
        <v>45575</v>
      </c>
      <c r="H3823" s="3">
        <f t="shared" si="59"/>
        <v>1.4821917808219178</v>
      </c>
      <c r="I3823">
        <v>81</v>
      </c>
      <c r="J3823" t="s">
        <v>57</v>
      </c>
      <c r="K3823" t="s">
        <v>56</v>
      </c>
      <c r="L3823" t="s">
        <v>44</v>
      </c>
      <c r="M3823">
        <v>8.4700000000000006</v>
      </c>
      <c r="T3823" t="s">
        <v>52</v>
      </c>
      <c r="U3823">
        <v>2</v>
      </c>
      <c r="V3823">
        <v>4</v>
      </c>
    </row>
    <row r="3824" spans="1:22" x14ac:dyDescent="0.3">
      <c r="A3824">
        <v>3823</v>
      </c>
      <c r="B3824">
        <v>54255</v>
      </c>
      <c r="C3824" s="2">
        <v>37087</v>
      </c>
      <c r="D3824">
        <v>24</v>
      </c>
      <c r="E3824" t="s">
        <v>42</v>
      </c>
      <c r="F3824" t="s">
        <v>50</v>
      </c>
      <c r="G3824" s="2">
        <v>45481</v>
      </c>
      <c r="H3824" s="3">
        <f t="shared" si="59"/>
        <v>1.4904109589041097</v>
      </c>
      <c r="I3824">
        <v>84</v>
      </c>
      <c r="J3824" t="s">
        <v>57</v>
      </c>
      <c r="K3824" t="s">
        <v>56</v>
      </c>
      <c r="L3824" t="s">
        <v>44</v>
      </c>
      <c r="M3824">
        <v>8.4700000000000006</v>
      </c>
      <c r="T3824" t="s">
        <v>47</v>
      </c>
      <c r="U3824">
        <v>1</v>
      </c>
      <c r="V3824">
        <v>7</v>
      </c>
    </row>
    <row r="3825" spans="1:22" x14ac:dyDescent="0.3">
      <c r="A3825">
        <v>3824</v>
      </c>
      <c r="B3825">
        <v>54256</v>
      </c>
      <c r="C3825" s="2">
        <v>37407</v>
      </c>
      <c r="D3825">
        <v>23</v>
      </c>
      <c r="E3825" t="s">
        <v>42</v>
      </c>
      <c r="F3825" t="s">
        <v>50</v>
      </c>
      <c r="G3825" s="2">
        <v>45478</v>
      </c>
      <c r="H3825" s="3">
        <f t="shared" si="59"/>
        <v>1.1123287671232878</v>
      </c>
      <c r="I3825">
        <v>85</v>
      </c>
      <c r="J3825" t="s">
        <v>57</v>
      </c>
      <c r="K3825" t="s">
        <v>56</v>
      </c>
      <c r="L3825" t="s">
        <v>44</v>
      </c>
      <c r="M3825">
        <v>8.4700000000000006</v>
      </c>
      <c r="T3825" t="s">
        <v>45</v>
      </c>
      <c r="U3825">
        <v>4</v>
      </c>
      <c r="V3825">
        <v>7</v>
      </c>
    </row>
    <row r="3826" spans="1:22" x14ac:dyDescent="0.3">
      <c r="A3826">
        <v>3825</v>
      </c>
      <c r="B3826">
        <v>54257</v>
      </c>
      <c r="C3826" s="2">
        <v>37033</v>
      </c>
      <c r="D3826">
        <v>24</v>
      </c>
      <c r="E3826" t="s">
        <v>42</v>
      </c>
      <c r="F3826" t="s">
        <v>50</v>
      </c>
      <c r="G3826" s="2">
        <v>45616</v>
      </c>
      <c r="H3826" s="3">
        <f t="shared" si="59"/>
        <v>1.5342465753424657</v>
      </c>
      <c r="I3826">
        <v>87</v>
      </c>
      <c r="J3826" t="s">
        <v>57</v>
      </c>
      <c r="K3826" t="s">
        <v>56</v>
      </c>
      <c r="L3826" t="s">
        <v>44</v>
      </c>
      <c r="M3826">
        <v>8.4700000000000006</v>
      </c>
      <c r="T3826" t="s">
        <v>47</v>
      </c>
      <c r="U3826">
        <v>2</v>
      </c>
      <c r="V3826">
        <v>6</v>
      </c>
    </row>
    <row r="3827" spans="1:22" x14ac:dyDescent="0.3">
      <c r="A3827">
        <v>3826</v>
      </c>
      <c r="B3827">
        <v>54259</v>
      </c>
      <c r="C3827" s="2">
        <v>37421</v>
      </c>
      <c r="D3827">
        <v>23</v>
      </c>
      <c r="E3827" t="s">
        <v>36</v>
      </c>
      <c r="F3827" t="s">
        <v>37</v>
      </c>
      <c r="G3827" s="2">
        <v>45462</v>
      </c>
      <c r="H3827" s="3">
        <f t="shared" si="59"/>
        <v>1.6082191780821917</v>
      </c>
      <c r="I3827">
        <v>95</v>
      </c>
      <c r="J3827" t="s">
        <v>57</v>
      </c>
      <c r="K3827" t="s">
        <v>56</v>
      </c>
      <c r="L3827" t="s">
        <v>44</v>
      </c>
      <c r="M3827">
        <v>8.4700000000000006</v>
      </c>
      <c r="T3827" t="s">
        <v>52</v>
      </c>
      <c r="U3827">
        <v>0</v>
      </c>
      <c r="V3827">
        <v>4</v>
      </c>
    </row>
    <row r="3828" spans="1:22" x14ac:dyDescent="0.3">
      <c r="A3828">
        <v>3827</v>
      </c>
      <c r="B3828">
        <v>54260</v>
      </c>
      <c r="C3828" s="2">
        <v>37871</v>
      </c>
      <c r="D3828">
        <v>22</v>
      </c>
      <c r="E3828" t="s">
        <v>42</v>
      </c>
      <c r="F3828" t="s">
        <v>37</v>
      </c>
      <c r="G3828" s="2">
        <v>45435</v>
      </c>
      <c r="H3828" s="3">
        <f t="shared" si="59"/>
        <v>1.2054794520547945</v>
      </c>
      <c r="I3828">
        <v>96</v>
      </c>
      <c r="J3828" t="s">
        <v>57</v>
      </c>
      <c r="K3828" t="s">
        <v>56</v>
      </c>
      <c r="L3828" t="s">
        <v>44</v>
      </c>
      <c r="M3828">
        <v>8.4700000000000006</v>
      </c>
      <c r="T3828" t="s">
        <v>49</v>
      </c>
      <c r="U3828">
        <v>3</v>
      </c>
      <c r="V3828">
        <v>5</v>
      </c>
    </row>
    <row r="3829" spans="1:22" x14ac:dyDescent="0.3">
      <c r="A3829">
        <v>3828</v>
      </c>
      <c r="B3829">
        <v>54261</v>
      </c>
      <c r="C3829" s="2">
        <v>36923</v>
      </c>
      <c r="D3829">
        <v>25</v>
      </c>
      <c r="E3829" t="s">
        <v>42</v>
      </c>
      <c r="F3829" t="s">
        <v>50</v>
      </c>
      <c r="G3829" s="2">
        <v>45582</v>
      </c>
      <c r="H3829" s="3">
        <f t="shared" si="59"/>
        <v>1.484931506849315</v>
      </c>
      <c r="I3829">
        <v>99</v>
      </c>
      <c r="J3829" t="s">
        <v>57</v>
      </c>
      <c r="K3829" t="s">
        <v>56</v>
      </c>
      <c r="L3829" t="s">
        <v>44</v>
      </c>
      <c r="M3829">
        <v>8.4700000000000006</v>
      </c>
      <c r="T3829" t="s">
        <v>52</v>
      </c>
      <c r="U3829">
        <v>2</v>
      </c>
      <c r="V3829">
        <v>7</v>
      </c>
    </row>
    <row r="3830" spans="1:22" x14ac:dyDescent="0.3">
      <c r="A3830">
        <v>3829</v>
      </c>
      <c r="B3830">
        <v>54262</v>
      </c>
      <c r="C3830" s="2">
        <v>37141</v>
      </c>
      <c r="D3830">
        <v>24</v>
      </c>
      <c r="E3830" t="s">
        <v>42</v>
      </c>
      <c r="F3830" t="s">
        <v>50</v>
      </c>
      <c r="G3830" s="2">
        <v>45480</v>
      </c>
      <c r="H3830" s="3">
        <f t="shared" si="59"/>
        <v>1.2356164383561643</v>
      </c>
      <c r="I3830">
        <v>104</v>
      </c>
      <c r="J3830" t="s">
        <v>57</v>
      </c>
      <c r="K3830" t="s">
        <v>43</v>
      </c>
      <c r="L3830" t="s">
        <v>44</v>
      </c>
      <c r="M3830">
        <v>16.37</v>
      </c>
      <c r="T3830" t="s">
        <v>45</v>
      </c>
      <c r="U3830">
        <v>0</v>
      </c>
      <c r="V3830">
        <v>3</v>
      </c>
    </row>
    <row r="3831" spans="1:22" x14ac:dyDescent="0.3">
      <c r="A3831">
        <v>3830</v>
      </c>
      <c r="B3831">
        <v>54263</v>
      </c>
      <c r="C3831" s="2">
        <v>37621</v>
      </c>
      <c r="D3831">
        <v>23</v>
      </c>
      <c r="E3831" t="s">
        <v>42</v>
      </c>
      <c r="F3831" t="s">
        <v>37</v>
      </c>
      <c r="G3831" s="2">
        <v>45571</v>
      </c>
      <c r="H3831" s="3">
        <f t="shared" si="59"/>
        <v>1.6493150684931508</v>
      </c>
      <c r="I3831">
        <v>104</v>
      </c>
      <c r="J3831" t="s">
        <v>57</v>
      </c>
      <c r="K3831" t="s">
        <v>56</v>
      </c>
      <c r="L3831" t="s">
        <v>44</v>
      </c>
      <c r="M3831">
        <v>8.4700000000000006</v>
      </c>
      <c r="T3831" t="s">
        <v>49</v>
      </c>
      <c r="U3831">
        <v>4</v>
      </c>
      <c r="V3831">
        <v>5</v>
      </c>
    </row>
    <row r="3832" spans="1:22" x14ac:dyDescent="0.3">
      <c r="A3832">
        <v>3831</v>
      </c>
      <c r="B3832">
        <v>54264</v>
      </c>
      <c r="C3832" s="2">
        <v>36859</v>
      </c>
      <c r="D3832">
        <v>25</v>
      </c>
      <c r="E3832" t="s">
        <v>42</v>
      </c>
      <c r="F3832" t="s">
        <v>50</v>
      </c>
      <c r="G3832" s="2">
        <v>45420</v>
      </c>
      <c r="H3832" s="3">
        <f t="shared" si="59"/>
        <v>1.5561643835616439</v>
      </c>
      <c r="I3832">
        <v>106</v>
      </c>
      <c r="J3832" t="s">
        <v>57</v>
      </c>
      <c r="K3832" t="s">
        <v>68</v>
      </c>
      <c r="L3832" t="s">
        <v>44</v>
      </c>
      <c r="M3832">
        <v>17</v>
      </c>
      <c r="T3832" t="s">
        <v>45</v>
      </c>
      <c r="U3832">
        <v>2</v>
      </c>
      <c r="V3832">
        <v>6</v>
      </c>
    </row>
    <row r="3833" spans="1:22" x14ac:dyDescent="0.3">
      <c r="A3833">
        <v>3832</v>
      </c>
      <c r="B3833">
        <v>54265</v>
      </c>
      <c r="C3833" s="2">
        <v>34923</v>
      </c>
      <c r="D3833">
        <v>30</v>
      </c>
      <c r="E3833" t="s">
        <v>36</v>
      </c>
      <c r="F3833" t="s">
        <v>50</v>
      </c>
      <c r="G3833" s="2">
        <v>45454</v>
      </c>
      <c r="H3833" s="3">
        <f t="shared" si="59"/>
        <v>1.6958904109589041</v>
      </c>
      <c r="I3833">
        <v>106</v>
      </c>
      <c r="J3833" t="s">
        <v>57</v>
      </c>
      <c r="K3833" t="s">
        <v>55</v>
      </c>
      <c r="L3833" t="s">
        <v>44</v>
      </c>
      <c r="M3833">
        <v>17.59</v>
      </c>
      <c r="T3833" t="s">
        <v>52</v>
      </c>
      <c r="U3833">
        <v>1</v>
      </c>
      <c r="V3833">
        <v>3</v>
      </c>
    </row>
    <row r="3834" spans="1:22" x14ac:dyDescent="0.3">
      <c r="A3834">
        <v>3833</v>
      </c>
      <c r="B3834">
        <v>54266</v>
      </c>
      <c r="C3834" s="2">
        <v>37610</v>
      </c>
      <c r="D3834">
        <v>23</v>
      </c>
      <c r="E3834" t="s">
        <v>42</v>
      </c>
      <c r="F3834" t="s">
        <v>50</v>
      </c>
      <c r="G3834" s="2">
        <v>45403</v>
      </c>
      <c r="H3834" s="3">
        <f t="shared" si="59"/>
        <v>1.5452054794520549</v>
      </c>
      <c r="I3834">
        <v>110</v>
      </c>
      <c r="J3834" t="s">
        <v>57</v>
      </c>
      <c r="K3834" t="s">
        <v>56</v>
      </c>
      <c r="L3834" t="s">
        <v>44</v>
      </c>
      <c r="M3834">
        <v>8.4700000000000006</v>
      </c>
      <c r="T3834" t="s">
        <v>45</v>
      </c>
      <c r="U3834">
        <v>1</v>
      </c>
      <c r="V3834">
        <v>5</v>
      </c>
    </row>
    <row r="3835" spans="1:22" x14ac:dyDescent="0.3">
      <c r="A3835">
        <v>3834</v>
      </c>
      <c r="B3835">
        <v>54267</v>
      </c>
      <c r="C3835" s="2">
        <v>38092</v>
      </c>
      <c r="D3835">
        <v>21</v>
      </c>
      <c r="E3835" t="s">
        <v>42</v>
      </c>
      <c r="F3835" t="s">
        <v>50</v>
      </c>
      <c r="G3835" s="2">
        <v>45458</v>
      </c>
      <c r="H3835" s="3">
        <f t="shared" si="59"/>
        <v>1.5123287671232877</v>
      </c>
      <c r="I3835">
        <v>115</v>
      </c>
      <c r="J3835" t="s">
        <v>57</v>
      </c>
      <c r="K3835" t="s">
        <v>56</v>
      </c>
      <c r="L3835" t="s">
        <v>44</v>
      </c>
      <c r="M3835">
        <v>8.4700000000000006</v>
      </c>
      <c r="T3835" t="s">
        <v>52</v>
      </c>
      <c r="U3835">
        <v>0</v>
      </c>
      <c r="V3835">
        <v>7</v>
      </c>
    </row>
    <row r="3836" spans="1:22" x14ac:dyDescent="0.3">
      <c r="A3836">
        <v>3835</v>
      </c>
      <c r="B3836">
        <v>54268</v>
      </c>
      <c r="C3836" s="2">
        <v>38169</v>
      </c>
      <c r="D3836">
        <v>22</v>
      </c>
      <c r="E3836" t="s">
        <v>42</v>
      </c>
      <c r="F3836" t="s">
        <v>50</v>
      </c>
      <c r="G3836" s="2">
        <v>45470</v>
      </c>
      <c r="H3836" s="3">
        <f t="shared" si="59"/>
        <v>1.5397260273972602</v>
      </c>
      <c r="I3836">
        <v>121</v>
      </c>
      <c r="J3836" t="s">
        <v>57</v>
      </c>
      <c r="K3836" t="s">
        <v>56</v>
      </c>
      <c r="L3836" t="s">
        <v>44</v>
      </c>
      <c r="M3836">
        <v>8.4700000000000006</v>
      </c>
      <c r="T3836" t="s">
        <v>47</v>
      </c>
      <c r="U3836">
        <v>1</v>
      </c>
      <c r="V3836">
        <v>6</v>
      </c>
    </row>
    <row r="3837" spans="1:22" x14ac:dyDescent="0.3">
      <c r="A3837">
        <v>3836</v>
      </c>
      <c r="B3837">
        <v>54269</v>
      </c>
      <c r="C3837" s="2">
        <v>35835</v>
      </c>
      <c r="D3837">
        <v>27</v>
      </c>
      <c r="E3837" t="s">
        <v>36</v>
      </c>
      <c r="F3837" t="s">
        <v>50</v>
      </c>
      <c r="G3837" s="2">
        <v>45460</v>
      </c>
      <c r="H3837" s="3">
        <f t="shared" si="59"/>
        <v>1.1342465753424658</v>
      </c>
      <c r="I3837">
        <v>122</v>
      </c>
      <c r="J3837" t="s">
        <v>57</v>
      </c>
      <c r="K3837" t="s">
        <v>55</v>
      </c>
      <c r="L3837" t="s">
        <v>44</v>
      </c>
      <c r="M3837">
        <v>17.59</v>
      </c>
      <c r="T3837" t="s">
        <v>49</v>
      </c>
      <c r="U3837">
        <v>1</v>
      </c>
      <c r="V3837">
        <v>4</v>
      </c>
    </row>
    <row r="3838" spans="1:22" x14ac:dyDescent="0.3">
      <c r="A3838">
        <v>3837</v>
      </c>
      <c r="B3838">
        <v>54270</v>
      </c>
      <c r="C3838" s="2">
        <v>35594</v>
      </c>
      <c r="D3838">
        <v>28</v>
      </c>
      <c r="E3838" t="s">
        <v>42</v>
      </c>
      <c r="F3838" t="s">
        <v>50</v>
      </c>
      <c r="G3838" s="2">
        <v>45608</v>
      </c>
      <c r="H3838" s="3">
        <f t="shared" si="59"/>
        <v>1.5232876712328767</v>
      </c>
      <c r="I3838">
        <v>122</v>
      </c>
      <c r="J3838" t="s">
        <v>57</v>
      </c>
      <c r="K3838" t="s">
        <v>56</v>
      </c>
      <c r="L3838" t="s">
        <v>44</v>
      </c>
      <c r="M3838">
        <v>8.4700000000000006</v>
      </c>
      <c r="T3838" t="s">
        <v>45</v>
      </c>
      <c r="U3838">
        <v>4</v>
      </c>
      <c r="V3838">
        <v>7</v>
      </c>
    </row>
    <row r="3839" spans="1:22" x14ac:dyDescent="0.3">
      <c r="A3839">
        <v>3838</v>
      </c>
      <c r="B3839">
        <v>54272</v>
      </c>
      <c r="C3839" s="2">
        <v>37180</v>
      </c>
      <c r="D3839">
        <v>24</v>
      </c>
      <c r="E3839" t="s">
        <v>42</v>
      </c>
      <c r="F3839" t="s">
        <v>37</v>
      </c>
      <c r="G3839" s="2">
        <v>45466</v>
      </c>
      <c r="H3839" s="3">
        <f t="shared" si="59"/>
        <v>1.5342465753424657</v>
      </c>
      <c r="I3839">
        <v>125</v>
      </c>
      <c r="J3839" t="s">
        <v>57</v>
      </c>
      <c r="K3839" t="s">
        <v>64</v>
      </c>
      <c r="L3839" t="s">
        <v>44</v>
      </c>
      <c r="M3839">
        <v>14.07</v>
      </c>
      <c r="T3839" t="s">
        <v>45</v>
      </c>
      <c r="U3839">
        <v>1</v>
      </c>
      <c r="V3839">
        <v>5</v>
      </c>
    </row>
    <row r="3840" spans="1:22" x14ac:dyDescent="0.3">
      <c r="A3840">
        <v>3839</v>
      </c>
      <c r="B3840">
        <v>54273</v>
      </c>
      <c r="C3840" s="2">
        <v>35248</v>
      </c>
      <c r="D3840">
        <v>29</v>
      </c>
      <c r="E3840" t="s">
        <v>42</v>
      </c>
      <c r="F3840" t="s">
        <v>37</v>
      </c>
      <c r="G3840" s="2">
        <v>45462</v>
      </c>
      <c r="H3840" s="3">
        <f t="shared" si="59"/>
        <v>1.0136986301369864</v>
      </c>
      <c r="I3840">
        <v>125</v>
      </c>
      <c r="J3840" t="s">
        <v>57</v>
      </c>
      <c r="K3840" t="s">
        <v>56</v>
      </c>
      <c r="L3840" t="s">
        <v>44</v>
      </c>
      <c r="M3840">
        <v>8.4700000000000006</v>
      </c>
      <c r="T3840" t="s">
        <v>47</v>
      </c>
      <c r="U3840">
        <v>4</v>
      </c>
      <c r="V3840">
        <v>5</v>
      </c>
    </row>
    <row r="3841" spans="1:22" x14ac:dyDescent="0.3">
      <c r="A3841">
        <v>3840</v>
      </c>
      <c r="B3841">
        <v>54274</v>
      </c>
      <c r="C3841" s="2">
        <v>34410</v>
      </c>
      <c r="D3841">
        <v>31</v>
      </c>
      <c r="E3841" t="s">
        <v>36</v>
      </c>
      <c r="F3841" t="s">
        <v>50</v>
      </c>
      <c r="G3841" s="2">
        <v>45652</v>
      </c>
      <c r="H3841" s="3">
        <f t="shared" si="59"/>
        <v>1.1945205479452055</v>
      </c>
      <c r="I3841">
        <v>126</v>
      </c>
      <c r="J3841" t="s">
        <v>57</v>
      </c>
      <c r="K3841" t="s">
        <v>65</v>
      </c>
      <c r="L3841" t="s">
        <v>44</v>
      </c>
      <c r="M3841">
        <v>10.64</v>
      </c>
      <c r="T3841" t="s">
        <v>52</v>
      </c>
      <c r="U3841">
        <v>1</v>
      </c>
      <c r="V3841">
        <v>3</v>
      </c>
    </row>
    <row r="3842" spans="1:22" x14ac:dyDescent="0.3">
      <c r="A3842">
        <v>3841</v>
      </c>
      <c r="B3842">
        <v>54275</v>
      </c>
      <c r="C3842" s="2">
        <v>39022</v>
      </c>
      <c r="D3842">
        <v>20</v>
      </c>
      <c r="E3842" t="s">
        <v>42</v>
      </c>
      <c r="F3842" t="s">
        <v>50</v>
      </c>
      <c r="G3842" s="2">
        <v>45586</v>
      </c>
      <c r="H3842" s="3">
        <f t="shared" si="59"/>
        <v>1.7671232876712328</v>
      </c>
      <c r="I3842">
        <v>130</v>
      </c>
      <c r="J3842" t="s">
        <v>57</v>
      </c>
      <c r="K3842" t="s">
        <v>56</v>
      </c>
      <c r="L3842" t="s">
        <v>44</v>
      </c>
      <c r="M3842">
        <v>8.4700000000000006</v>
      </c>
      <c r="T3842" t="s">
        <v>49</v>
      </c>
      <c r="U3842">
        <v>1</v>
      </c>
      <c r="V3842">
        <v>6</v>
      </c>
    </row>
    <row r="3843" spans="1:22" x14ac:dyDescent="0.3">
      <c r="A3843">
        <v>3842</v>
      </c>
      <c r="B3843">
        <v>54277</v>
      </c>
      <c r="C3843" s="2">
        <v>36217</v>
      </c>
      <c r="D3843">
        <v>26</v>
      </c>
      <c r="E3843" t="s">
        <v>42</v>
      </c>
      <c r="F3843" t="s">
        <v>50</v>
      </c>
      <c r="G3843" s="2">
        <v>45377</v>
      </c>
      <c r="H3843" s="3">
        <f t="shared" ref="H3843:H3906" si="60">DATEDIF(G3844,DATE(2025,12,31),"d")/365</f>
        <v>1.3369863013698631</v>
      </c>
      <c r="I3843">
        <v>132</v>
      </c>
      <c r="J3843" t="s">
        <v>57</v>
      </c>
      <c r="K3843" t="s">
        <v>56</v>
      </c>
      <c r="L3843" t="s">
        <v>44</v>
      </c>
      <c r="M3843">
        <v>8.4700000000000006</v>
      </c>
      <c r="T3843" t="s">
        <v>49</v>
      </c>
      <c r="U3843">
        <v>2</v>
      </c>
      <c r="V3843">
        <v>7</v>
      </c>
    </row>
    <row r="3844" spans="1:22" x14ac:dyDescent="0.3">
      <c r="A3844">
        <v>3843</v>
      </c>
      <c r="B3844">
        <v>54278</v>
      </c>
      <c r="C3844" s="2">
        <v>37448</v>
      </c>
      <c r="D3844">
        <v>23</v>
      </c>
      <c r="E3844" t="s">
        <v>42</v>
      </c>
      <c r="F3844" t="s">
        <v>50</v>
      </c>
      <c r="G3844" s="2">
        <v>45534</v>
      </c>
      <c r="H3844" s="3">
        <f t="shared" si="60"/>
        <v>1.273972602739726</v>
      </c>
      <c r="I3844">
        <v>133</v>
      </c>
      <c r="J3844" t="s">
        <v>57</v>
      </c>
      <c r="K3844" t="s">
        <v>56</v>
      </c>
      <c r="L3844" t="s">
        <v>44</v>
      </c>
      <c r="M3844">
        <v>8.4700000000000006</v>
      </c>
      <c r="T3844" t="s">
        <v>47</v>
      </c>
      <c r="U3844">
        <v>2</v>
      </c>
      <c r="V3844">
        <v>7</v>
      </c>
    </row>
    <row r="3845" spans="1:22" x14ac:dyDescent="0.3">
      <c r="A3845">
        <v>3844</v>
      </c>
      <c r="B3845">
        <v>54279</v>
      </c>
      <c r="C3845" s="2">
        <v>38965</v>
      </c>
      <c r="D3845">
        <v>19</v>
      </c>
      <c r="E3845" t="s">
        <v>36</v>
      </c>
      <c r="F3845" t="s">
        <v>50</v>
      </c>
      <c r="G3845" s="2">
        <v>45557</v>
      </c>
      <c r="H3845" s="3">
        <f t="shared" si="60"/>
        <v>1.7835616438356163</v>
      </c>
      <c r="I3845">
        <v>133</v>
      </c>
      <c r="J3845" t="s">
        <v>57</v>
      </c>
      <c r="K3845" t="s">
        <v>56</v>
      </c>
      <c r="L3845" t="s">
        <v>44</v>
      </c>
      <c r="M3845">
        <v>8.4700000000000006</v>
      </c>
      <c r="T3845" t="s">
        <v>52</v>
      </c>
      <c r="U3845">
        <v>2</v>
      </c>
      <c r="V3845">
        <v>5</v>
      </c>
    </row>
    <row r="3846" spans="1:22" x14ac:dyDescent="0.3">
      <c r="A3846">
        <v>3845</v>
      </c>
      <c r="B3846">
        <v>54280</v>
      </c>
      <c r="C3846" s="2">
        <v>38791</v>
      </c>
      <c r="D3846">
        <v>19</v>
      </c>
      <c r="E3846" t="s">
        <v>42</v>
      </c>
      <c r="F3846" t="s">
        <v>50</v>
      </c>
      <c r="G3846" s="2">
        <v>45371</v>
      </c>
      <c r="H3846" s="3">
        <f t="shared" si="60"/>
        <v>1.1479452054794521</v>
      </c>
      <c r="I3846">
        <v>134</v>
      </c>
      <c r="J3846" t="s">
        <v>57</v>
      </c>
      <c r="K3846" t="s">
        <v>56</v>
      </c>
      <c r="L3846" t="s">
        <v>44</v>
      </c>
      <c r="M3846">
        <v>8.4700000000000006</v>
      </c>
      <c r="T3846" t="s">
        <v>47</v>
      </c>
      <c r="U3846">
        <v>0</v>
      </c>
      <c r="V3846">
        <v>6</v>
      </c>
    </row>
    <row r="3847" spans="1:22" x14ac:dyDescent="0.3">
      <c r="A3847">
        <v>3846</v>
      </c>
      <c r="B3847">
        <v>54281</v>
      </c>
      <c r="C3847" s="2">
        <v>37479</v>
      </c>
      <c r="D3847">
        <v>23</v>
      </c>
      <c r="E3847" t="s">
        <v>42</v>
      </c>
      <c r="F3847" t="s">
        <v>37</v>
      </c>
      <c r="G3847" s="2">
        <v>45603</v>
      </c>
      <c r="H3847" s="3">
        <f t="shared" si="60"/>
        <v>1.8301369863013699</v>
      </c>
      <c r="I3847">
        <v>134</v>
      </c>
      <c r="J3847" t="s">
        <v>57</v>
      </c>
      <c r="K3847" t="s">
        <v>56</v>
      </c>
      <c r="L3847" t="s">
        <v>44</v>
      </c>
      <c r="M3847">
        <v>8.4700000000000006</v>
      </c>
      <c r="T3847" t="s">
        <v>49</v>
      </c>
      <c r="U3847">
        <v>1</v>
      </c>
      <c r="V3847">
        <v>6</v>
      </c>
    </row>
    <row r="3848" spans="1:22" x14ac:dyDescent="0.3">
      <c r="A3848">
        <v>3847</v>
      </c>
      <c r="B3848">
        <v>54282</v>
      </c>
      <c r="C3848" s="2">
        <v>37185</v>
      </c>
      <c r="D3848">
        <v>24</v>
      </c>
      <c r="E3848" t="s">
        <v>42</v>
      </c>
      <c r="F3848" t="s">
        <v>50</v>
      </c>
      <c r="G3848" s="2">
        <v>45354</v>
      </c>
      <c r="H3848" s="3">
        <f t="shared" si="60"/>
        <v>1.5753424657534247</v>
      </c>
      <c r="I3848">
        <v>135</v>
      </c>
      <c r="J3848" t="s">
        <v>57</v>
      </c>
      <c r="K3848" t="s">
        <v>56</v>
      </c>
      <c r="L3848" t="s">
        <v>44</v>
      </c>
      <c r="M3848">
        <v>8.4700000000000006</v>
      </c>
      <c r="T3848" t="s">
        <v>52</v>
      </c>
      <c r="U3848">
        <v>1</v>
      </c>
      <c r="V3848">
        <v>5</v>
      </c>
    </row>
    <row r="3849" spans="1:22" x14ac:dyDescent="0.3">
      <c r="A3849">
        <v>3848</v>
      </c>
      <c r="B3849">
        <v>54283</v>
      </c>
      <c r="C3849" s="2">
        <v>35878</v>
      </c>
      <c r="D3849">
        <v>27</v>
      </c>
      <c r="E3849" t="s">
        <v>42</v>
      </c>
      <c r="F3849" t="s">
        <v>50</v>
      </c>
      <c r="G3849" s="2">
        <v>45447</v>
      </c>
      <c r="H3849" s="3">
        <f t="shared" si="60"/>
        <v>1.295890410958904</v>
      </c>
      <c r="I3849">
        <v>136</v>
      </c>
      <c r="J3849" t="s">
        <v>57</v>
      </c>
      <c r="K3849" t="s">
        <v>68</v>
      </c>
      <c r="L3849" t="s">
        <v>44</v>
      </c>
      <c r="M3849">
        <v>17</v>
      </c>
      <c r="T3849" t="s">
        <v>52</v>
      </c>
      <c r="U3849">
        <v>1</v>
      </c>
      <c r="V3849">
        <v>5</v>
      </c>
    </row>
    <row r="3850" spans="1:22" x14ac:dyDescent="0.3">
      <c r="A3850">
        <v>3849</v>
      </c>
      <c r="B3850">
        <v>54284</v>
      </c>
      <c r="C3850" s="2">
        <v>39161</v>
      </c>
      <c r="D3850">
        <v>18</v>
      </c>
      <c r="E3850" t="s">
        <v>42</v>
      </c>
      <c r="F3850" t="s">
        <v>37</v>
      </c>
      <c r="G3850" s="2">
        <v>45549</v>
      </c>
      <c r="H3850" s="3">
        <f t="shared" si="60"/>
        <v>1.3863013698630138</v>
      </c>
      <c r="I3850">
        <v>136</v>
      </c>
      <c r="J3850" t="s">
        <v>57</v>
      </c>
      <c r="K3850" t="s">
        <v>56</v>
      </c>
      <c r="L3850" t="s">
        <v>44</v>
      </c>
      <c r="M3850">
        <v>8.4700000000000006</v>
      </c>
      <c r="T3850" t="s">
        <v>49</v>
      </c>
      <c r="U3850">
        <v>1</v>
      </c>
      <c r="V3850">
        <v>6</v>
      </c>
    </row>
    <row r="3851" spans="1:22" x14ac:dyDescent="0.3">
      <c r="A3851">
        <v>3850</v>
      </c>
      <c r="B3851">
        <v>54285</v>
      </c>
      <c r="C3851" s="2">
        <v>38654</v>
      </c>
      <c r="D3851">
        <v>20</v>
      </c>
      <c r="E3851" t="s">
        <v>42</v>
      </c>
      <c r="F3851" t="s">
        <v>50</v>
      </c>
      <c r="G3851" s="2">
        <v>45516</v>
      </c>
      <c r="H3851" s="3">
        <f t="shared" si="60"/>
        <v>1.5205479452054795</v>
      </c>
      <c r="I3851">
        <v>136</v>
      </c>
      <c r="J3851" t="s">
        <v>57</v>
      </c>
      <c r="K3851" t="s">
        <v>56</v>
      </c>
      <c r="L3851" t="s">
        <v>44</v>
      </c>
      <c r="M3851">
        <v>8.4700000000000006</v>
      </c>
      <c r="T3851" t="s">
        <v>47</v>
      </c>
      <c r="U3851">
        <v>1</v>
      </c>
      <c r="V3851">
        <v>5</v>
      </c>
    </row>
    <row r="3852" spans="1:22" x14ac:dyDescent="0.3">
      <c r="A3852">
        <v>3851</v>
      </c>
      <c r="B3852">
        <v>54286</v>
      </c>
      <c r="C3852" s="2">
        <v>37842</v>
      </c>
      <c r="D3852">
        <v>22</v>
      </c>
      <c r="E3852" t="s">
        <v>42</v>
      </c>
      <c r="F3852" t="s">
        <v>50</v>
      </c>
      <c r="G3852" s="2">
        <v>45467</v>
      </c>
      <c r="H3852" s="3">
        <f t="shared" si="60"/>
        <v>1.2410958904109588</v>
      </c>
      <c r="I3852">
        <v>137</v>
      </c>
      <c r="J3852" t="s">
        <v>57</v>
      </c>
      <c r="K3852" t="s">
        <v>56</v>
      </c>
      <c r="L3852" t="s">
        <v>44</v>
      </c>
      <c r="M3852">
        <v>8.4700000000000006</v>
      </c>
      <c r="T3852" t="s">
        <v>45</v>
      </c>
      <c r="U3852">
        <v>3</v>
      </c>
      <c r="V3852">
        <v>7</v>
      </c>
    </row>
    <row r="3853" spans="1:22" x14ac:dyDescent="0.3">
      <c r="A3853">
        <v>3852</v>
      </c>
      <c r="B3853">
        <v>54287</v>
      </c>
      <c r="C3853" s="2">
        <v>34790</v>
      </c>
      <c r="D3853">
        <v>31</v>
      </c>
      <c r="E3853" t="s">
        <v>42</v>
      </c>
      <c r="F3853" t="s">
        <v>50</v>
      </c>
      <c r="G3853" s="2">
        <v>45569</v>
      </c>
      <c r="H3853" s="3">
        <f t="shared" si="60"/>
        <v>1.4438356164383561</v>
      </c>
      <c r="I3853">
        <v>138</v>
      </c>
      <c r="J3853" t="s">
        <v>57</v>
      </c>
      <c r="K3853" t="s">
        <v>55</v>
      </c>
      <c r="L3853" t="s">
        <v>44</v>
      </c>
      <c r="M3853">
        <v>17.59</v>
      </c>
      <c r="T3853" t="s">
        <v>52</v>
      </c>
      <c r="U3853">
        <v>2</v>
      </c>
      <c r="V3853">
        <v>6</v>
      </c>
    </row>
    <row r="3854" spans="1:22" x14ac:dyDescent="0.3">
      <c r="A3854">
        <v>3853</v>
      </c>
      <c r="B3854">
        <v>54288</v>
      </c>
      <c r="C3854" s="2">
        <v>35478</v>
      </c>
      <c r="D3854">
        <v>28</v>
      </c>
      <c r="E3854" t="s">
        <v>42</v>
      </c>
      <c r="F3854" t="s">
        <v>50</v>
      </c>
      <c r="G3854" s="2">
        <v>45495</v>
      </c>
      <c r="H3854" s="3">
        <f t="shared" si="60"/>
        <v>1.2082191780821918</v>
      </c>
      <c r="I3854">
        <v>138</v>
      </c>
      <c r="J3854" t="s">
        <v>57</v>
      </c>
      <c r="K3854" t="s">
        <v>55</v>
      </c>
      <c r="L3854" t="s">
        <v>44</v>
      </c>
      <c r="M3854">
        <v>17.59</v>
      </c>
      <c r="T3854" t="s">
        <v>49</v>
      </c>
      <c r="U3854">
        <v>1</v>
      </c>
      <c r="V3854">
        <v>6</v>
      </c>
    </row>
    <row r="3855" spans="1:22" x14ac:dyDescent="0.3">
      <c r="A3855">
        <v>3854</v>
      </c>
      <c r="B3855">
        <v>54289</v>
      </c>
      <c r="C3855" s="2">
        <v>36193</v>
      </c>
      <c r="D3855">
        <v>26</v>
      </c>
      <c r="E3855" t="s">
        <v>42</v>
      </c>
      <c r="F3855" t="s">
        <v>50</v>
      </c>
      <c r="G3855" s="2">
        <v>45581</v>
      </c>
      <c r="H3855" s="3">
        <f t="shared" si="60"/>
        <v>1.7698630136986302</v>
      </c>
      <c r="I3855">
        <v>138</v>
      </c>
      <c r="J3855" t="s">
        <v>57</v>
      </c>
      <c r="K3855" t="s">
        <v>56</v>
      </c>
      <c r="L3855" t="s">
        <v>44</v>
      </c>
      <c r="M3855">
        <v>8.4700000000000006</v>
      </c>
      <c r="T3855" t="s">
        <v>52</v>
      </c>
      <c r="U3855">
        <v>2</v>
      </c>
      <c r="V3855">
        <v>5</v>
      </c>
    </row>
    <row r="3856" spans="1:22" x14ac:dyDescent="0.3">
      <c r="A3856">
        <v>3855</v>
      </c>
      <c r="B3856">
        <v>54290</v>
      </c>
      <c r="C3856" s="2">
        <v>36451</v>
      </c>
      <c r="D3856">
        <v>26</v>
      </c>
      <c r="E3856" t="s">
        <v>42</v>
      </c>
      <c r="F3856" t="s">
        <v>50</v>
      </c>
      <c r="G3856" s="2">
        <v>45376</v>
      </c>
      <c r="H3856" s="3">
        <f t="shared" si="60"/>
        <v>1.8767123287671232</v>
      </c>
      <c r="I3856">
        <v>140</v>
      </c>
      <c r="J3856" t="s">
        <v>57</v>
      </c>
      <c r="K3856" t="s">
        <v>68</v>
      </c>
      <c r="L3856" t="s">
        <v>44</v>
      </c>
      <c r="M3856">
        <v>17</v>
      </c>
      <c r="T3856" t="s">
        <v>49</v>
      </c>
      <c r="U3856">
        <v>2</v>
      </c>
      <c r="V3856">
        <v>7</v>
      </c>
    </row>
    <row r="3857" spans="1:22" x14ac:dyDescent="0.3">
      <c r="A3857">
        <v>3856</v>
      </c>
      <c r="B3857">
        <v>54291</v>
      </c>
      <c r="C3857" s="2">
        <v>39385</v>
      </c>
      <c r="D3857">
        <v>18</v>
      </c>
      <c r="E3857" t="s">
        <v>42</v>
      </c>
      <c r="F3857" t="s">
        <v>50</v>
      </c>
      <c r="G3857" s="2">
        <v>45337</v>
      </c>
      <c r="H3857" s="3">
        <f t="shared" si="60"/>
        <v>1.4438356164383561</v>
      </c>
      <c r="I3857">
        <v>140</v>
      </c>
      <c r="J3857" t="s">
        <v>57</v>
      </c>
      <c r="K3857" t="s">
        <v>56</v>
      </c>
      <c r="L3857" t="s">
        <v>44</v>
      </c>
      <c r="M3857">
        <v>8.4700000000000006</v>
      </c>
      <c r="T3857" t="s">
        <v>52</v>
      </c>
      <c r="U3857">
        <v>2</v>
      </c>
      <c r="V3857">
        <v>5</v>
      </c>
    </row>
    <row r="3858" spans="1:22" x14ac:dyDescent="0.3">
      <c r="A3858">
        <v>3857</v>
      </c>
      <c r="B3858">
        <v>54292</v>
      </c>
      <c r="C3858" s="2">
        <v>38235</v>
      </c>
      <c r="D3858">
        <v>21</v>
      </c>
      <c r="E3858" t="s">
        <v>36</v>
      </c>
      <c r="F3858" t="s">
        <v>37</v>
      </c>
      <c r="G3858" s="2">
        <v>45495</v>
      </c>
      <c r="H3858" s="3">
        <f t="shared" si="60"/>
        <v>1.4876712328767123</v>
      </c>
      <c r="I3858">
        <v>141</v>
      </c>
      <c r="J3858" t="s">
        <v>57</v>
      </c>
      <c r="K3858" t="s">
        <v>56</v>
      </c>
      <c r="L3858" t="s">
        <v>44</v>
      </c>
      <c r="M3858">
        <v>8.4700000000000006</v>
      </c>
      <c r="T3858" t="s">
        <v>45</v>
      </c>
      <c r="U3858">
        <v>1</v>
      </c>
      <c r="V3858">
        <v>4</v>
      </c>
    </row>
    <row r="3859" spans="1:22" x14ac:dyDescent="0.3">
      <c r="A3859">
        <v>3858</v>
      </c>
      <c r="B3859">
        <v>54293</v>
      </c>
      <c r="C3859" s="2">
        <v>36532</v>
      </c>
      <c r="D3859">
        <v>25</v>
      </c>
      <c r="E3859" t="s">
        <v>42</v>
      </c>
      <c r="F3859" t="s">
        <v>50</v>
      </c>
      <c r="G3859" s="2">
        <v>45479</v>
      </c>
      <c r="H3859" s="3">
        <f t="shared" si="60"/>
        <v>1.2246575342465753</v>
      </c>
      <c r="I3859">
        <v>142</v>
      </c>
      <c r="J3859" t="s">
        <v>57</v>
      </c>
      <c r="K3859" t="s">
        <v>56</v>
      </c>
      <c r="L3859" t="s">
        <v>44</v>
      </c>
      <c r="M3859">
        <v>8.4700000000000006</v>
      </c>
      <c r="T3859" t="s">
        <v>52</v>
      </c>
      <c r="U3859">
        <v>0</v>
      </c>
      <c r="V3859">
        <v>5</v>
      </c>
    </row>
    <row r="3860" spans="1:22" x14ac:dyDescent="0.3">
      <c r="A3860">
        <v>3859</v>
      </c>
      <c r="B3860">
        <v>54294</v>
      </c>
      <c r="C3860" s="2">
        <v>37118</v>
      </c>
      <c r="D3860">
        <v>24</v>
      </c>
      <c r="E3860" t="s">
        <v>42</v>
      </c>
      <c r="F3860" t="s">
        <v>50</v>
      </c>
      <c r="G3860" s="2">
        <v>45575</v>
      </c>
      <c r="H3860" s="3">
        <f t="shared" si="60"/>
        <v>1.5698630136986302</v>
      </c>
      <c r="I3860">
        <v>144</v>
      </c>
      <c r="J3860" t="s">
        <v>57</v>
      </c>
      <c r="K3860" t="s">
        <v>68</v>
      </c>
      <c r="L3860" t="s">
        <v>44</v>
      </c>
      <c r="M3860">
        <v>17</v>
      </c>
      <c r="T3860" t="s">
        <v>47</v>
      </c>
      <c r="U3860">
        <v>2</v>
      </c>
      <c r="V3860">
        <v>5</v>
      </c>
    </row>
    <row r="3861" spans="1:22" x14ac:dyDescent="0.3">
      <c r="A3861">
        <v>3860</v>
      </c>
      <c r="B3861">
        <v>54295</v>
      </c>
      <c r="C3861" s="2">
        <v>37593</v>
      </c>
      <c r="D3861">
        <v>23</v>
      </c>
      <c r="E3861" t="s">
        <v>36</v>
      </c>
      <c r="F3861" t="s">
        <v>50</v>
      </c>
      <c r="G3861" s="2">
        <v>45449</v>
      </c>
      <c r="H3861" s="3">
        <f t="shared" si="60"/>
        <v>1.4657534246575343</v>
      </c>
      <c r="I3861">
        <v>145</v>
      </c>
      <c r="J3861" t="s">
        <v>57</v>
      </c>
      <c r="K3861" t="s">
        <v>68</v>
      </c>
      <c r="L3861" t="s">
        <v>44</v>
      </c>
      <c r="M3861">
        <v>17</v>
      </c>
      <c r="T3861" t="s">
        <v>47</v>
      </c>
      <c r="U3861">
        <v>2</v>
      </c>
      <c r="V3861">
        <v>5</v>
      </c>
    </row>
    <row r="3862" spans="1:22" x14ac:dyDescent="0.3">
      <c r="A3862">
        <v>3861</v>
      </c>
      <c r="B3862">
        <v>54296</v>
      </c>
      <c r="C3862" s="2">
        <v>37208</v>
      </c>
      <c r="D3862">
        <v>24</v>
      </c>
      <c r="E3862" t="s">
        <v>42</v>
      </c>
      <c r="F3862" t="s">
        <v>50</v>
      </c>
      <c r="G3862" s="2">
        <v>45487</v>
      </c>
      <c r="H3862" s="3">
        <f t="shared" si="60"/>
        <v>1.1013698630136985</v>
      </c>
      <c r="I3862">
        <v>10</v>
      </c>
      <c r="J3862" t="s">
        <v>38</v>
      </c>
      <c r="K3862" t="s">
        <v>48</v>
      </c>
      <c r="L3862" t="s">
        <v>44</v>
      </c>
      <c r="M3862">
        <v>8.4700000000000006</v>
      </c>
      <c r="T3862" t="s">
        <v>47</v>
      </c>
      <c r="U3862">
        <v>2</v>
      </c>
      <c r="V3862">
        <v>6</v>
      </c>
    </row>
    <row r="3863" spans="1:22" x14ac:dyDescent="0.3">
      <c r="A3863">
        <v>3862</v>
      </c>
      <c r="B3863">
        <v>54297</v>
      </c>
      <c r="C3863" s="2">
        <v>39240</v>
      </c>
      <c r="D3863">
        <v>18</v>
      </c>
      <c r="E3863" t="s">
        <v>42</v>
      </c>
      <c r="F3863" t="s">
        <v>50</v>
      </c>
      <c r="G3863" s="2">
        <v>45620</v>
      </c>
      <c r="H3863" s="3">
        <f t="shared" si="60"/>
        <v>1.558904109589041</v>
      </c>
      <c r="I3863">
        <v>31</v>
      </c>
      <c r="J3863" t="s">
        <v>38</v>
      </c>
      <c r="K3863" t="s">
        <v>48</v>
      </c>
      <c r="L3863" t="s">
        <v>44</v>
      </c>
      <c r="M3863">
        <v>8.4700000000000006</v>
      </c>
      <c r="T3863" t="s">
        <v>52</v>
      </c>
      <c r="U3863">
        <v>0</v>
      </c>
      <c r="V3863">
        <v>5</v>
      </c>
    </row>
    <row r="3864" spans="1:22" x14ac:dyDescent="0.3">
      <c r="A3864">
        <v>3863</v>
      </c>
      <c r="B3864">
        <v>54298</v>
      </c>
      <c r="C3864" s="2">
        <v>37081</v>
      </c>
      <c r="D3864">
        <v>24</v>
      </c>
      <c r="E3864" t="s">
        <v>42</v>
      </c>
      <c r="F3864" t="s">
        <v>50</v>
      </c>
      <c r="G3864" s="2">
        <v>45453</v>
      </c>
      <c r="H3864" s="3">
        <f t="shared" si="60"/>
        <v>1.2054794520547945</v>
      </c>
      <c r="I3864">
        <v>45</v>
      </c>
      <c r="J3864" t="s">
        <v>38</v>
      </c>
      <c r="K3864" t="s">
        <v>56</v>
      </c>
      <c r="L3864" t="s">
        <v>44</v>
      </c>
      <c r="M3864">
        <v>8.4700000000000006</v>
      </c>
      <c r="T3864" t="s">
        <v>45</v>
      </c>
      <c r="U3864">
        <v>0</v>
      </c>
      <c r="V3864">
        <v>7</v>
      </c>
    </row>
    <row r="3865" spans="1:22" x14ac:dyDescent="0.3">
      <c r="A3865">
        <v>3864</v>
      </c>
      <c r="B3865">
        <v>54300</v>
      </c>
      <c r="C3865" s="2">
        <v>38106</v>
      </c>
      <c r="D3865">
        <v>21</v>
      </c>
      <c r="E3865" t="s">
        <v>42</v>
      </c>
      <c r="F3865" t="s">
        <v>37</v>
      </c>
      <c r="G3865" s="2">
        <v>45582</v>
      </c>
      <c r="H3865" s="3">
        <f t="shared" si="60"/>
        <v>1.5753424657534247</v>
      </c>
      <c r="I3865">
        <v>80</v>
      </c>
      <c r="J3865" t="s">
        <v>57</v>
      </c>
      <c r="K3865" t="s">
        <v>48</v>
      </c>
      <c r="L3865" t="s">
        <v>44</v>
      </c>
      <c r="M3865">
        <v>8.4700000000000006</v>
      </c>
      <c r="T3865" t="s">
        <v>49</v>
      </c>
      <c r="U3865">
        <v>2</v>
      </c>
      <c r="V3865">
        <v>4</v>
      </c>
    </row>
    <row r="3866" spans="1:22" x14ac:dyDescent="0.3">
      <c r="A3866">
        <v>3865</v>
      </c>
      <c r="B3866">
        <v>54301</v>
      </c>
      <c r="C3866" s="2">
        <v>37911</v>
      </c>
      <c r="D3866">
        <v>22</v>
      </c>
      <c r="E3866" t="s">
        <v>36</v>
      </c>
      <c r="F3866" t="s">
        <v>50</v>
      </c>
      <c r="G3866" s="2">
        <v>45447</v>
      </c>
      <c r="H3866" s="3">
        <f t="shared" si="60"/>
        <v>1.5068493150684932</v>
      </c>
      <c r="I3866">
        <v>80</v>
      </c>
      <c r="J3866" t="s">
        <v>57</v>
      </c>
      <c r="K3866" t="s">
        <v>55</v>
      </c>
      <c r="L3866" t="s">
        <v>44</v>
      </c>
      <c r="M3866">
        <v>17.59</v>
      </c>
      <c r="T3866" t="s">
        <v>47</v>
      </c>
      <c r="U3866">
        <v>4</v>
      </c>
      <c r="V3866">
        <v>5</v>
      </c>
    </row>
    <row r="3867" spans="1:22" x14ac:dyDescent="0.3">
      <c r="A3867">
        <v>3866</v>
      </c>
      <c r="B3867">
        <v>54302</v>
      </c>
      <c r="C3867" s="2">
        <v>38395</v>
      </c>
      <c r="D3867">
        <v>20</v>
      </c>
      <c r="E3867" t="s">
        <v>36</v>
      </c>
      <c r="F3867" t="s">
        <v>50</v>
      </c>
      <c r="G3867" s="2">
        <v>45472</v>
      </c>
      <c r="H3867" s="3">
        <f t="shared" si="60"/>
        <v>1.2904109589041095</v>
      </c>
      <c r="I3867">
        <v>93</v>
      </c>
      <c r="J3867" t="s">
        <v>57</v>
      </c>
      <c r="K3867" t="s">
        <v>65</v>
      </c>
      <c r="L3867" t="s">
        <v>44</v>
      </c>
      <c r="M3867">
        <v>10.64</v>
      </c>
      <c r="T3867" t="s">
        <v>45</v>
      </c>
      <c r="U3867">
        <v>0</v>
      </c>
      <c r="V3867">
        <v>4</v>
      </c>
    </row>
    <row r="3868" spans="1:22" x14ac:dyDescent="0.3">
      <c r="A3868">
        <v>3867</v>
      </c>
      <c r="B3868">
        <v>54303</v>
      </c>
      <c r="C3868" s="2">
        <v>38018</v>
      </c>
      <c r="D3868">
        <v>22</v>
      </c>
      <c r="E3868" t="s">
        <v>42</v>
      </c>
      <c r="F3868" t="s">
        <v>50</v>
      </c>
      <c r="G3868" s="2">
        <v>45551</v>
      </c>
      <c r="H3868" s="3">
        <f t="shared" si="60"/>
        <v>1.3589041095890411</v>
      </c>
      <c r="I3868">
        <v>125</v>
      </c>
      <c r="J3868" t="s">
        <v>57</v>
      </c>
      <c r="K3868" t="s">
        <v>48</v>
      </c>
      <c r="L3868" t="s">
        <v>44</v>
      </c>
      <c r="M3868">
        <v>8.4700000000000006</v>
      </c>
      <c r="T3868" t="s">
        <v>49</v>
      </c>
      <c r="U3868">
        <v>2</v>
      </c>
      <c r="V3868">
        <v>5</v>
      </c>
    </row>
    <row r="3869" spans="1:22" x14ac:dyDescent="0.3">
      <c r="A3869">
        <v>3868</v>
      </c>
      <c r="B3869">
        <v>54304</v>
      </c>
      <c r="C3869" s="2">
        <v>37675</v>
      </c>
      <c r="D3869">
        <v>22</v>
      </c>
      <c r="E3869" t="s">
        <v>42</v>
      </c>
      <c r="F3869" t="s">
        <v>37</v>
      </c>
      <c r="G3869" s="2">
        <v>45526</v>
      </c>
      <c r="H3869" s="3">
        <f t="shared" si="60"/>
        <v>1.2027397260273973</v>
      </c>
      <c r="I3869">
        <v>130</v>
      </c>
      <c r="J3869" t="s">
        <v>57</v>
      </c>
      <c r="K3869" t="s">
        <v>48</v>
      </c>
      <c r="L3869" t="s">
        <v>44</v>
      </c>
      <c r="M3869">
        <v>8.4700000000000006</v>
      </c>
      <c r="T3869" t="s">
        <v>45</v>
      </c>
      <c r="U3869">
        <v>3</v>
      </c>
      <c r="V3869">
        <v>6</v>
      </c>
    </row>
    <row r="3870" spans="1:22" x14ac:dyDescent="0.3">
      <c r="A3870">
        <v>3869</v>
      </c>
      <c r="B3870">
        <v>54305</v>
      </c>
      <c r="C3870" s="2">
        <v>35259</v>
      </c>
      <c r="D3870">
        <v>29</v>
      </c>
      <c r="E3870" t="s">
        <v>42</v>
      </c>
      <c r="F3870" t="s">
        <v>50</v>
      </c>
      <c r="G3870" s="2">
        <v>45583</v>
      </c>
      <c r="H3870" s="3">
        <f t="shared" si="60"/>
        <v>1.6054794520547946</v>
      </c>
      <c r="I3870">
        <v>11</v>
      </c>
      <c r="J3870" t="s">
        <v>38</v>
      </c>
      <c r="K3870" t="s">
        <v>56</v>
      </c>
      <c r="L3870" t="s">
        <v>44</v>
      </c>
      <c r="M3870">
        <v>8.4700000000000006</v>
      </c>
      <c r="T3870" t="s">
        <v>47</v>
      </c>
      <c r="U3870">
        <v>2</v>
      </c>
      <c r="V3870">
        <v>5</v>
      </c>
    </row>
    <row r="3871" spans="1:22" x14ac:dyDescent="0.3">
      <c r="A3871">
        <v>3870</v>
      </c>
      <c r="B3871">
        <v>54306</v>
      </c>
      <c r="C3871" s="2">
        <v>38346</v>
      </c>
      <c r="D3871">
        <v>21</v>
      </c>
      <c r="E3871" t="s">
        <v>42</v>
      </c>
      <c r="F3871" t="s">
        <v>50</v>
      </c>
      <c r="G3871" s="2">
        <v>45436</v>
      </c>
      <c r="H3871" s="3">
        <f t="shared" si="60"/>
        <v>1.5205479452054795</v>
      </c>
      <c r="I3871">
        <v>19</v>
      </c>
      <c r="J3871" t="s">
        <v>38</v>
      </c>
      <c r="K3871" t="s">
        <v>56</v>
      </c>
      <c r="L3871" t="s">
        <v>44</v>
      </c>
      <c r="M3871">
        <v>8.4700000000000006</v>
      </c>
      <c r="T3871" t="s">
        <v>52</v>
      </c>
      <c r="U3871">
        <v>1</v>
      </c>
      <c r="V3871">
        <v>7</v>
      </c>
    </row>
    <row r="3872" spans="1:22" x14ac:dyDescent="0.3">
      <c r="A3872">
        <v>3871</v>
      </c>
      <c r="B3872">
        <v>54307</v>
      </c>
      <c r="C3872" s="2">
        <v>38306</v>
      </c>
      <c r="D3872">
        <v>21</v>
      </c>
      <c r="E3872" t="s">
        <v>42</v>
      </c>
      <c r="F3872" t="s">
        <v>37</v>
      </c>
      <c r="G3872" s="2">
        <v>45467</v>
      </c>
      <c r="H3872" s="3">
        <f t="shared" si="60"/>
        <v>1.1479452054794521</v>
      </c>
      <c r="I3872">
        <v>25</v>
      </c>
      <c r="J3872" t="s">
        <v>38</v>
      </c>
      <c r="K3872" t="s">
        <v>56</v>
      </c>
      <c r="L3872" t="s">
        <v>44</v>
      </c>
      <c r="M3872">
        <v>8.4700000000000006</v>
      </c>
      <c r="T3872" t="s">
        <v>52</v>
      </c>
      <c r="U3872">
        <v>4</v>
      </c>
      <c r="V3872">
        <v>6</v>
      </c>
    </row>
    <row r="3873" spans="1:22" x14ac:dyDescent="0.3">
      <c r="A3873">
        <v>3872</v>
      </c>
      <c r="B3873">
        <v>54308</v>
      </c>
      <c r="C3873" s="2">
        <v>38059</v>
      </c>
      <c r="D3873">
        <v>21</v>
      </c>
      <c r="E3873" t="s">
        <v>42</v>
      </c>
      <c r="F3873" t="s">
        <v>37</v>
      </c>
      <c r="G3873" s="2">
        <v>45603</v>
      </c>
      <c r="H3873" s="3">
        <f t="shared" si="60"/>
        <v>1.3342465753424657</v>
      </c>
      <c r="I3873">
        <v>32</v>
      </c>
      <c r="J3873" t="s">
        <v>38</v>
      </c>
      <c r="K3873" t="s">
        <v>65</v>
      </c>
      <c r="L3873" t="s">
        <v>44</v>
      </c>
      <c r="M3873">
        <v>10.64</v>
      </c>
      <c r="T3873" t="s">
        <v>52</v>
      </c>
      <c r="U3873">
        <v>1</v>
      </c>
      <c r="V3873">
        <v>5</v>
      </c>
    </row>
    <row r="3874" spans="1:22" x14ac:dyDescent="0.3">
      <c r="A3874">
        <v>3873</v>
      </c>
      <c r="B3874">
        <v>54309</v>
      </c>
      <c r="C3874" s="2">
        <v>38334</v>
      </c>
      <c r="D3874">
        <v>21</v>
      </c>
      <c r="E3874" t="s">
        <v>42</v>
      </c>
      <c r="F3874" t="s">
        <v>50</v>
      </c>
      <c r="G3874" s="2">
        <v>45535</v>
      </c>
      <c r="H3874" s="3">
        <f t="shared" si="60"/>
        <v>1.547945205479452</v>
      </c>
      <c r="I3874">
        <v>38</v>
      </c>
      <c r="J3874" t="s">
        <v>38</v>
      </c>
      <c r="K3874" t="s">
        <v>56</v>
      </c>
      <c r="L3874" t="s">
        <v>44</v>
      </c>
      <c r="M3874">
        <v>8.4700000000000006</v>
      </c>
      <c r="T3874" t="s">
        <v>47</v>
      </c>
      <c r="U3874">
        <v>1</v>
      </c>
      <c r="V3874">
        <v>7</v>
      </c>
    </row>
    <row r="3875" spans="1:22" x14ac:dyDescent="0.3">
      <c r="A3875">
        <v>3874</v>
      </c>
      <c r="B3875">
        <v>54310</v>
      </c>
      <c r="C3875" s="2">
        <v>38820</v>
      </c>
      <c r="D3875">
        <v>19</v>
      </c>
      <c r="E3875" t="s">
        <v>36</v>
      </c>
      <c r="F3875" t="s">
        <v>50</v>
      </c>
      <c r="G3875" s="2">
        <v>45457</v>
      </c>
      <c r="H3875" s="3">
        <f t="shared" si="60"/>
        <v>1.263013698630137</v>
      </c>
      <c r="I3875">
        <v>44</v>
      </c>
      <c r="J3875" t="s">
        <v>38</v>
      </c>
      <c r="K3875" t="s">
        <v>64</v>
      </c>
      <c r="L3875" t="s">
        <v>44</v>
      </c>
      <c r="M3875">
        <v>14.07</v>
      </c>
      <c r="T3875" t="s">
        <v>47</v>
      </c>
      <c r="U3875">
        <v>0</v>
      </c>
      <c r="V3875">
        <v>4</v>
      </c>
    </row>
    <row r="3876" spans="1:22" x14ac:dyDescent="0.3">
      <c r="A3876">
        <v>3875</v>
      </c>
      <c r="B3876">
        <v>54312</v>
      </c>
      <c r="C3876" s="2">
        <v>34737</v>
      </c>
      <c r="D3876">
        <v>30</v>
      </c>
      <c r="E3876" t="s">
        <v>36</v>
      </c>
      <c r="F3876" t="s">
        <v>50</v>
      </c>
      <c r="G3876" s="2">
        <v>45561</v>
      </c>
      <c r="H3876" s="3">
        <f t="shared" si="60"/>
        <v>1.441095890410959</v>
      </c>
      <c r="I3876">
        <v>56</v>
      </c>
      <c r="J3876" t="s">
        <v>38</v>
      </c>
      <c r="K3876" t="s">
        <v>46</v>
      </c>
      <c r="L3876" t="s">
        <v>44</v>
      </c>
      <c r="M3876">
        <v>14.23</v>
      </c>
      <c r="T3876" t="s">
        <v>45</v>
      </c>
      <c r="U3876">
        <v>1</v>
      </c>
      <c r="V3876">
        <v>4</v>
      </c>
    </row>
    <row r="3877" spans="1:22" x14ac:dyDescent="0.3">
      <c r="A3877">
        <v>3876</v>
      </c>
      <c r="B3877">
        <v>54313</v>
      </c>
      <c r="C3877" s="2">
        <v>38080</v>
      </c>
      <c r="D3877">
        <v>21</v>
      </c>
      <c r="E3877" t="s">
        <v>36</v>
      </c>
      <c r="F3877" t="s">
        <v>50</v>
      </c>
      <c r="G3877" s="2">
        <v>45496</v>
      </c>
      <c r="H3877" s="3">
        <f t="shared" si="60"/>
        <v>1.5232876712328767</v>
      </c>
      <c r="I3877">
        <v>58</v>
      </c>
      <c r="J3877" t="s">
        <v>38</v>
      </c>
      <c r="K3877" t="s">
        <v>46</v>
      </c>
      <c r="L3877" t="s">
        <v>44</v>
      </c>
      <c r="M3877">
        <v>14.23</v>
      </c>
      <c r="T3877" t="s">
        <v>45</v>
      </c>
      <c r="U3877">
        <v>0</v>
      </c>
      <c r="V3877">
        <v>3</v>
      </c>
    </row>
    <row r="3878" spans="1:22" x14ac:dyDescent="0.3">
      <c r="A3878">
        <v>3877</v>
      </c>
      <c r="B3878">
        <v>54314</v>
      </c>
      <c r="C3878" s="2">
        <v>37186</v>
      </c>
      <c r="D3878">
        <v>24</v>
      </c>
      <c r="E3878" t="s">
        <v>36</v>
      </c>
      <c r="F3878" t="s">
        <v>50</v>
      </c>
      <c r="G3878" s="2">
        <v>45466</v>
      </c>
      <c r="H3878" s="3">
        <f t="shared" si="60"/>
        <v>1.3698630136986301</v>
      </c>
      <c r="I3878">
        <v>58</v>
      </c>
      <c r="J3878" t="s">
        <v>38</v>
      </c>
      <c r="K3878" t="s">
        <v>55</v>
      </c>
      <c r="L3878" t="s">
        <v>44</v>
      </c>
      <c r="M3878">
        <v>17.59</v>
      </c>
      <c r="T3878" t="s">
        <v>52</v>
      </c>
      <c r="U3878">
        <v>1</v>
      </c>
      <c r="V3878">
        <v>4</v>
      </c>
    </row>
    <row r="3879" spans="1:22" x14ac:dyDescent="0.3">
      <c r="A3879">
        <v>3878</v>
      </c>
      <c r="B3879">
        <v>54315</v>
      </c>
      <c r="C3879" s="2">
        <v>38185</v>
      </c>
      <c r="D3879">
        <v>21</v>
      </c>
      <c r="E3879" t="s">
        <v>42</v>
      </c>
      <c r="F3879" t="s">
        <v>50</v>
      </c>
      <c r="G3879" s="2">
        <v>45522</v>
      </c>
      <c r="H3879" s="3">
        <f t="shared" si="60"/>
        <v>1.3753424657534246</v>
      </c>
      <c r="I3879">
        <v>58</v>
      </c>
      <c r="J3879" t="s">
        <v>38</v>
      </c>
      <c r="K3879" t="s">
        <v>56</v>
      </c>
      <c r="L3879" t="s">
        <v>44</v>
      </c>
      <c r="M3879">
        <v>8.4700000000000006</v>
      </c>
      <c r="T3879" t="s">
        <v>45</v>
      </c>
      <c r="U3879">
        <v>3</v>
      </c>
      <c r="V3879">
        <v>6</v>
      </c>
    </row>
    <row r="3880" spans="1:22" x14ac:dyDescent="0.3">
      <c r="A3880">
        <v>3879</v>
      </c>
      <c r="B3880">
        <v>54316</v>
      </c>
      <c r="C3880" s="2">
        <v>37345</v>
      </c>
      <c r="D3880">
        <v>23</v>
      </c>
      <c r="E3880" t="s">
        <v>42</v>
      </c>
      <c r="F3880" t="s">
        <v>50</v>
      </c>
      <c r="G3880" s="2">
        <v>45520</v>
      </c>
      <c r="H3880" s="3">
        <f t="shared" si="60"/>
        <v>1.3506849315068492</v>
      </c>
      <c r="I3880">
        <v>62</v>
      </c>
      <c r="J3880" t="s">
        <v>38</v>
      </c>
      <c r="K3880" t="s">
        <v>56</v>
      </c>
      <c r="L3880" t="s">
        <v>44</v>
      </c>
      <c r="M3880">
        <v>8.4700000000000006</v>
      </c>
      <c r="T3880" t="s">
        <v>52</v>
      </c>
      <c r="U3880">
        <v>2</v>
      </c>
      <c r="V3880">
        <v>6</v>
      </c>
    </row>
    <row r="3881" spans="1:22" x14ac:dyDescent="0.3">
      <c r="A3881">
        <v>3880</v>
      </c>
      <c r="B3881">
        <v>54317</v>
      </c>
      <c r="C3881" s="2">
        <v>36623</v>
      </c>
      <c r="D3881">
        <v>25</v>
      </c>
      <c r="E3881" t="s">
        <v>36</v>
      </c>
      <c r="F3881" t="s">
        <v>37</v>
      </c>
      <c r="G3881" s="2">
        <v>45529</v>
      </c>
      <c r="H3881" s="3">
        <f t="shared" si="60"/>
        <v>1.558904109589041</v>
      </c>
      <c r="I3881">
        <v>68</v>
      </c>
      <c r="J3881" t="s">
        <v>57</v>
      </c>
      <c r="K3881" t="s">
        <v>68</v>
      </c>
      <c r="L3881" t="s">
        <v>44</v>
      </c>
      <c r="M3881">
        <v>17</v>
      </c>
      <c r="T3881" t="s">
        <v>45</v>
      </c>
      <c r="U3881">
        <v>1</v>
      </c>
      <c r="V3881">
        <v>5</v>
      </c>
    </row>
    <row r="3882" spans="1:22" x14ac:dyDescent="0.3">
      <c r="A3882">
        <v>3881</v>
      </c>
      <c r="B3882">
        <v>54318</v>
      </c>
      <c r="C3882" s="2">
        <v>38696</v>
      </c>
      <c r="D3882">
        <v>20</v>
      </c>
      <c r="E3882" t="s">
        <v>42</v>
      </c>
      <c r="F3882" t="s">
        <v>50</v>
      </c>
      <c r="G3882" s="2">
        <v>45453</v>
      </c>
      <c r="H3882" s="3">
        <f t="shared" si="60"/>
        <v>1.0630136986301371</v>
      </c>
      <c r="I3882">
        <v>69</v>
      </c>
      <c r="J3882" t="s">
        <v>57</v>
      </c>
      <c r="K3882" t="s">
        <v>56</v>
      </c>
      <c r="L3882" t="s">
        <v>44</v>
      </c>
      <c r="M3882">
        <v>8.4700000000000006</v>
      </c>
      <c r="T3882" t="s">
        <v>47</v>
      </c>
      <c r="U3882">
        <v>2</v>
      </c>
      <c r="V3882">
        <v>6</v>
      </c>
    </row>
    <row r="3883" spans="1:22" x14ac:dyDescent="0.3">
      <c r="A3883">
        <v>3882</v>
      </c>
      <c r="B3883">
        <v>54319</v>
      </c>
      <c r="C3883" s="2">
        <v>36610</v>
      </c>
      <c r="D3883">
        <v>25</v>
      </c>
      <c r="E3883" t="s">
        <v>42</v>
      </c>
      <c r="F3883" t="s">
        <v>50</v>
      </c>
      <c r="G3883" s="2">
        <v>45634</v>
      </c>
      <c r="H3883" s="3">
        <f t="shared" si="60"/>
        <v>1.5041095890410958</v>
      </c>
      <c r="I3883">
        <v>70</v>
      </c>
      <c r="J3883" t="s">
        <v>57</v>
      </c>
      <c r="K3883" t="s">
        <v>56</v>
      </c>
      <c r="L3883" t="s">
        <v>44</v>
      </c>
      <c r="M3883">
        <v>8.4700000000000006</v>
      </c>
      <c r="T3883" t="s">
        <v>45</v>
      </c>
      <c r="U3883">
        <v>2</v>
      </c>
      <c r="V3883">
        <v>6</v>
      </c>
    </row>
    <row r="3884" spans="1:22" x14ac:dyDescent="0.3">
      <c r="A3884">
        <v>3883</v>
      </c>
      <c r="B3884">
        <v>54320</v>
      </c>
      <c r="C3884" s="2">
        <v>37034</v>
      </c>
      <c r="D3884">
        <v>24</v>
      </c>
      <c r="E3884" t="s">
        <v>42</v>
      </c>
      <c r="F3884" t="s">
        <v>37</v>
      </c>
      <c r="G3884" s="2">
        <v>45473</v>
      </c>
      <c r="H3884" s="3">
        <f t="shared" si="60"/>
        <v>1.5698630136986302</v>
      </c>
      <c r="I3884">
        <v>74</v>
      </c>
      <c r="J3884" t="s">
        <v>57</v>
      </c>
      <c r="K3884" t="s">
        <v>43</v>
      </c>
      <c r="L3884" t="s">
        <v>44</v>
      </c>
      <c r="M3884">
        <v>16.37</v>
      </c>
      <c r="T3884" t="s">
        <v>47</v>
      </c>
      <c r="U3884">
        <v>1</v>
      </c>
      <c r="V3884">
        <v>5</v>
      </c>
    </row>
    <row r="3885" spans="1:22" x14ac:dyDescent="0.3">
      <c r="A3885">
        <v>3884</v>
      </c>
      <c r="B3885">
        <v>54321</v>
      </c>
      <c r="C3885" s="2">
        <v>37252</v>
      </c>
      <c r="D3885">
        <v>24</v>
      </c>
      <c r="E3885" t="s">
        <v>36</v>
      </c>
      <c r="F3885" t="s">
        <v>37</v>
      </c>
      <c r="G3885" s="2">
        <v>45449</v>
      </c>
      <c r="H3885" s="3">
        <f t="shared" si="60"/>
        <v>1.1643835616438356</v>
      </c>
      <c r="I3885">
        <v>80</v>
      </c>
      <c r="J3885" t="s">
        <v>57</v>
      </c>
      <c r="K3885" t="s">
        <v>56</v>
      </c>
      <c r="L3885" t="s">
        <v>44</v>
      </c>
      <c r="M3885">
        <v>8.4700000000000006</v>
      </c>
      <c r="T3885" t="s">
        <v>47</v>
      </c>
      <c r="U3885">
        <v>1</v>
      </c>
      <c r="V3885">
        <v>4</v>
      </c>
    </row>
    <row r="3886" spans="1:22" x14ac:dyDescent="0.3">
      <c r="A3886">
        <v>3885</v>
      </c>
      <c r="B3886">
        <v>54322</v>
      </c>
      <c r="C3886" s="2">
        <v>38528</v>
      </c>
      <c r="D3886">
        <v>20</v>
      </c>
      <c r="E3886" t="s">
        <v>42</v>
      </c>
      <c r="F3886" t="s">
        <v>50</v>
      </c>
      <c r="G3886" s="2">
        <v>45597</v>
      </c>
      <c r="H3886" s="3">
        <f t="shared" si="60"/>
        <v>1.1917808219178083</v>
      </c>
      <c r="I3886">
        <v>94</v>
      </c>
      <c r="J3886" t="s">
        <v>57</v>
      </c>
      <c r="K3886" t="s">
        <v>65</v>
      </c>
      <c r="L3886" t="s">
        <v>44</v>
      </c>
      <c r="M3886">
        <v>10.64</v>
      </c>
      <c r="T3886" t="s">
        <v>45</v>
      </c>
      <c r="U3886">
        <v>1</v>
      </c>
      <c r="V3886">
        <v>5</v>
      </c>
    </row>
    <row r="3887" spans="1:22" x14ac:dyDescent="0.3">
      <c r="A3887">
        <v>3886</v>
      </c>
      <c r="B3887">
        <v>54323</v>
      </c>
      <c r="C3887" s="2">
        <v>39238</v>
      </c>
      <c r="D3887">
        <v>18</v>
      </c>
      <c r="E3887" t="s">
        <v>42</v>
      </c>
      <c r="F3887" t="s">
        <v>50</v>
      </c>
      <c r="G3887" s="2">
        <v>45587</v>
      </c>
      <c r="H3887" s="3">
        <f t="shared" si="60"/>
        <v>1.7095890410958905</v>
      </c>
      <c r="I3887">
        <v>97</v>
      </c>
      <c r="J3887" t="s">
        <v>57</v>
      </c>
      <c r="K3887" t="s">
        <v>56</v>
      </c>
      <c r="L3887" t="s">
        <v>44</v>
      </c>
      <c r="M3887">
        <v>8.4700000000000006</v>
      </c>
      <c r="T3887" t="s">
        <v>45</v>
      </c>
      <c r="U3887">
        <v>1</v>
      </c>
      <c r="V3887">
        <v>6</v>
      </c>
    </row>
    <row r="3888" spans="1:22" x14ac:dyDescent="0.3">
      <c r="A3888">
        <v>3887</v>
      </c>
      <c r="B3888">
        <v>54324</v>
      </c>
      <c r="C3888" s="2">
        <v>37540</v>
      </c>
      <c r="D3888">
        <v>23</v>
      </c>
      <c r="E3888" t="s">
        <v>42</v>
      </c>
      <c r="F3888" t="s">
        <v>37</v>
      </c>
      <c r="G3888" s="2">
        <v>45398</v>
      </c>
      <c r="H3888" s="3">
        <f t="shared" si="60"/>
        <v>1.6767123287671233</v>
      </c>
      <c r="I3888">
        <v>56</v>
      </c>
      <c r="J3888" t="s">
        <v>38</v>
      </c>
      <c r="K3888" t="s">
        <v>43</v>
      </c>
      <c r="L3888" t="s">
        <v>44</v>
      </c>
      <c r="M3888">
        <v>16.37</v>
      </c>
      <c r="T3888" t="s">
        <v>49</v>
      </c>
      <c r="U3888">
        <v>1</v>
      </c>
      <c r="V3888">
        <v>6</v>
      </c>
    </row>
    <row r="3889" spans="1:22" x14ac:dyDescent="0.3">
      <c r="A3889">
        <v>3888</v>
      </c>
      <c r="B3889">
        <v>54325</v>
      </c>
      <c r="C3889" s="2">
        <v>39077</v>
      </c>
      <c r="D3889">
        <v>19</v>
      </c>
      <c r="E3889" t="s">
        <v>42</v>
      </c>
      <c r="F3889" t="s">
        <v>50</v>
      </c>
      <c r="G3889" s="2">
        <v>45410</v>
      </c>
      <c r="H3889" s="3">
        <f t="shared" si="60"/>
        <v>1.3917808219178083</v>
      </c>
      <c r="I3889">
        <v>61</v>
      </c>
      <c r="J3889" t="s">
        <v>38</v>
      </c>
      <c r="K3889" t="s">
        <v>48</v>
      </c>
      <c r="L3889" t="s">
        <v>44</v>
      </c>
      <c r="M3889">
        <v>8.4700000000000006</v>
      </c>
      <c r="T3889" t="s">
        <v>47</v>
      </c>
      <c r="U3889">
        <v>2</v>
      </c>
      <c r="V3889">
        <v>7</v>
      </c>
    </row>
    <row r="3890" spans="1:22" x14ac:dyDescent="0.3">
      <c r="A3890">
        <v>3889</v>
      </c>
      <c r="B3890">
        <v>54326</v>
      </c>
      <c r="C3890" s="2">
        <v>37502</v>
      </c>
      <c r="D3890">
        <v>23</v>
      </c>
      <c r="E3890" t="s">
        <v>36</v>
      </c>
      <c r="F3890" t="s">
        <v>50</v>
      </c>
      <c r="G3890" s="2">
        <v>45514</v>
      </c>
      <c r="H3890" s="3">
        <f t="shared" si="60"/>
        <v>1.3205479452054794</v>
      </c>
      <c r="I3890">
        <v>66</v>
      </c>
      <c r="J3890" t="s">
        <v>57</v>
      </c>
      <c r="K3890" t="s">
        <v>68</v>
      </c>
      <c r="L3890" t="s">
        <v>44</v>
      </c>
      <c r="M3890">
        <v>17</v>
      </c>
      <c r="T3890" t="s">
        <v>52</v>
      </c>
      <c r="U3890">
        <v>4</v>
      </c>
      <c r="V3890">
        <v>7</v>
      </c>
    </row>
    <row r="3891" spans="1:22" x14ac:dyDescent="0.3">
      <c r="A3891">
        <v>3890</v>
      </c>
      <c r="B3891">
        <v>54327</v>
      </c>
      <c r="C3891" s="2">
        <v>37421</v>
      </c>
      <c r="D3891">
        <v>23</v>
      </c>
      <c r="E3891" t="s">
        <v>36</v>
      </c>
      <c r="F3891" t="s">
        <v>50</v>
      </c>
      <c r="G3891" s="2">
        <v>45540</v>
      </c>
      <c r="H3891" s="3">
        <f t="shared" si="60"/>
        <v>1.0246575342465754</v>
      </c>
      <c r="I3891">
        <v>109</v>
      </c>
      <c r="J3891" t="s">
        <v>57</v>
      </c>
      <c r="K3891" t="s">
        <v>54</v>
      </c>
      <c r="L3891" t="s">
        <v>44</v>
      </c>
      <c r="M3891">
        <v>23.78</v>
      </c>
      <c r="T3891" t="s">
        <v>45</v>
      </c>
      <c r="U3891">
        <v>3</v>
      </c>
      <c r="V3891">
        <v>6</v>
      </c>
    </row>
    <row r="3892" spans="1:22" x14ac:dyDescent="0.3">
      <c r="A3892">
        <v>3891</v>
      </c>
      <c r="B3892">
        <v>54328</v>
      </c>
      <c r="C3892" s="2">
        <v>36232</v>
      </c>
      <c r="D3892">
        <v>26</v>
      </c>
      <c r="E3892" t="s">
        <v>42</v>
      </c>
      <c r="F3892" t="s">
        <v>50</v>
      </c>
      <c r="G3892" s="2">
        <v>45648</v>
      </c>
      <c r="H3892" s="3">
        <f t="shared" si="60"/>
        <v>1.0136986301369864</v>
      </c>
      <c r="I3892">
        <v>118</v>
      </c>
      <c r="J3892" t="s">
        <v>57</v>
      </c>
      <c r="K3892" t="s">
        <v>46</v>
      </c>
      <c r="L3892" t="s">
        <v>44</v>
      </c>
      <c r="M3892">
        <v>14.23</v>
      </c>
      <c r="T3892" t="s">
        <v>45</v>
      </c>
      <c r="U3892">
        <v>0</v>
      </c>
      <c r="V3892">
        <v>4</v>
      </c>
    </row>
    <row r="3893" spans="1:22" x14ac:dyDescent="0.3">
      <c r="A3893">
        <v>3892</v>
      </c>
      <c r="B3893">
        <v>54329</v>
      </c>
      <c r="C3893" s="2">
        <v>38329</v>
      </c>
      <c r="D3893">
        <v>21</v>
      </c>
      <c r="E3893" t="s">
        <v>36</v>
      </c>
      <c r="F3893" t="s">
        <v>50</v>
      </c>
      <c r="G3893" s="2">
        <v>45652</v>
      </c>
      <c r="H3893" s="3">
        <f t="shared" si="60"/>
        <v>1.6602739726027398</v>
      </c>
      <c r="I3893">
        <v>2</v>
      </c>
      <c r="J3893" t="s">
        <v>38</v>
      </c>
      <c r="K3893" t="s">
        <v>46</v>
      </c>
      <c r="L3893" t="s">
        <v>44</v>
      </c>
      <c r="M3893">
        <v>14.23</v>
      </c>
      <c r="T3893" t="s">
        <v>52</v>
      </c>
      <c r="U3893">
        <v>1</v>
      </c>
      <c r="V3893">
        <v>4</v>
      </c>
    </row>
    <row r="3894" spans="1:22" x14ac:dyDescent="0.3">
      <c r="A3894">
        <v>3893</v>
      </c>
      <c r="B3894">
        <v>54330</v>
      </c>
      <c r="C3894" s="2">
        <v>37060</v>
      </c>
      <c r="D3894">
        <v>24</v>
      </c>
      <c r="E3894" t="s">
        <v>42</v>
      </c>
      <c r="F3894" t="s">
        <v>50</v>
      </c>
      <c r="G3894" s="2">
        <v>45416</v>
      </c>
      <c r="H3894" s="3">
        <f t="shared" si="60"/>
        <v>1.2986301369863014</v>
      </c>
      <c r="I3894">
        <v>2</v>
      </c>
      <c r="J3894" t="s">
        <v>38</v>
      </c>
      <c r="K3894" t="s">
        <v>56</v>
      </c>
      <c r="L3894" t="s">
        <v>44</v>
      </c>
      <c r="M3894">
        <v>8.4700000000000006</v>
      </c>
      <c r="T3894" t="s">
        <v>52</v>
      </c>
      <c r="U3894">
        <v>4</v>
      </c>
      <c r="V3894">
        <v>7</v>
      </c>
    </row>
    <row r="3895" spans="1:22" x14ac:dyDescent="0.3">
      <c r="A3895">
        <v>3894</v>
      </c>
      <c r="B3895">
        <v>54332</v>
      </c>
      <c r="C3895" s="2">
        <v>37856</v>
      </c>
      <c r="D3895">
        <v>22</v>
      </c>
      <c r="E3895" t="s">
        <v>42</v>
      </c>
      <c r="F3895" t="s">
        <v>50</v>
      </c>
      <c r="G3895" s="2">
        <v>45548</v>
      </c>
      <c r="H3895" s="3">
        <f t="shared" si="60"/>
        <v>1.8684931506849316</v>
      </c>
      <c r="I3895">
        <v>6</v>
      </c>
      <c r="J3895" t="s">
        <v>38</v>
      </c>
      <c r="K3895" t="s">
        <v>56</v>
      </c>
      <c r="L3895" t="s">
        <v>44</v>
      </c>
      <c r="M3895">
        <v>8.4700000000000006</v>
      </c>
      <c r="T3895" t="s">
        <v>45</v>
      </c>
      <c r="U3895">
        <v>2</v>
      </c>
      <c r="V3895">
        <v>7</v>
      </c>
    </row>
    <row r="3896" spans="1:22" x14ac:dyDescent="0.3">
      <c r="A3896">
        <v>3895</v>
      </c>
      <c r="B3896">
        <v>54333</v>
      </c>
      <c r="C3896" s="2">
        <v>38602</v>
      </c>
      <c r="D3896">
        <v>20</v>
      </c>
      <c r="E3896" t="s">
        <v>36</v>
      </c>
      <c r="F3896" t="s">
        <v>50</v>
      </c>
      <c r="G3896" s="2">
        <v>45340</v>
      </c>
      <c r="H3896" s="3">
        <f t="shared" si="60"/>
        <v>1.1041095890410959</v>
      </c>
      <c r="I3896">
        <v>8</v>
      </c>
      <c r="J3896" t="s">
        <v>38</v>
      </c>
      <c r="K3896" t="s">
        <v>64</v>
      </c>
      <c r="L3896" t="s">
        <v>44</v>
      </c>
      <c r="M3896">
        <v>14.07</v>
      </c>
      <c r="T3896" t="s">
        <v>47</v>
      </c>
      <c r="U3896">
        <v>0</v>
      </c>
      <c r="V3896">
        <v>4</v>
      </c>
    </row>
    <row r="3897" spans="1:22" x14ac:dyDescent="0.3">
      <c r="A3897">
        <v>3896</v>
      </c>
      <c r="B3897">
        <v>54334</v>
      </c>
      <c r="C3897" s="2">
        <v>38509</v>
      </c>
      <c r="D3897">
        <v>20</v>
      </c>
      <c r="E3897" t="s">
        <v>42</v>
      </c>
      <c r="F3897" t="s">
        <v>37</v>
      </c>
      <c r="G3897" s="2">
        <v>45619</v>
      </c>
      <c r="H3897" s="3">
        <f t="shared" si="60"/>
        <v>1.7123287671232876</v>
      </c>
      <c r="I3897">
        <v>10</v>
      </c>
      <c r="J3897" t="s">
        <v>38</v>
      </c>
      <c r="K3897" t="s">
        <v>56</v>
      </c>
      <c r="L3897" t="s">
        <v>44</v>
      </c>
      <c r="M3897">
        <v>8.4700000000000006</v>
      </c>
      <c r="T3897" t="s">
        <v>52</v>
      </c>
      <c r="U3897">
        <v>4</v>
      </c>
      <c r="V3897">
        <v>5</v>
      </c>
    </row>
    <row r="3898" spans="1:22" x14ac:dyDescent="0.3">
      <c r="A3898">
        <v>3897</v>
      </c>
      <c r="B3898">
        <v>54335</v>
      </c>
      <c r="C3898" s="2">
        <v>36746</v>
      </c>
      <c r="D3898">
        <v>25</v>
      </c>
      <c r="E3898" t="s">
        <v>36</v>
      </c>
      <c r="F3898" t="s">
        <v>50</v>
      </c>
      <c r="G3898" s="2">
        <v>45397</v>
      </c>
      <c r="H3898" s="3">
        <f t="shared" si="60"/>
        <v>1.7753424657534247</v>
      </c>
      <c r="I3898">
        <v>11</v>
      </c>
      <c r="J3898" t="s">
        <v>38</v>
      </c>
      <c r="K3898" t="s">
        <v>55</v>
      </c>
      <c r="L3898" t="s">
        <v>44</v>
      </c>
      <c r="M3898">
        <v>17.59</v>
      </c>
      <c r="T3898" t="s">
        <v>52</v>
      </c>
      <c r="U3898">
        <v>1</v>
      </c>
      <c r="V3898">
        <v>5</v>
      </c>
    </row>
    <row r="3899" spans="1:22" x14ac:dyDescent="0.3">
      <c r="A3899">
        <v>3898</v>
      </c>
      <c r="B3899">
        <v>54336</v>
      </c>
      <c r="C3899" s="2">
        <v>38551</v>
      </c>
      <c r="D3899">
        <v>20</v>
      </c>
      <c r="E3899" t="s">
        <v>36</v>
      </c>
      <c r="F3899" t="s">
        <v>50</v>
      </c>
      <c r="G3899" s="2">
        <v>45374</v>
      </c>
      <c r="H3899" s="3">
        <f t="shared" si="60"/>
        <v>1.0767123287671232</v>
      </c>
      <c r="I3899">
        <v>18</v>
      </c>
      <c r="J3899" t="s">
        <v>38</v>
      </c>
      <c r="K3899" t="s">
        <v>65</v>
      </c>
      <c r="L3899" t="s">
        <v>44</v>
      </c>
      <c r="M3899">
        <v>10.64</v>
      </c>
      <c r="T3899" t="s">
        <v>45</v>
      </c>
      <c r="U3899">
        <v>0</v>
      </c>
      <c r="V3899">
        <v>4</v>
      </c>
    </row>
    <row r="3900" spans="1:22" x14ac:dyDescent="0.3">
      <c r="A3900">
        <v>3899</v>
      </c>
      <c r="B3900">
        <v>54337</v>
      </c>
      <c r="C3900" s="2">
        <v>38005</v>
      </c>
      <c r="D3900">
        <v>21</v>
      </c>
      <c r="E3900" t="s">
        <v>42</v>
      </c>
      <c r="F3900" t="s">
        <v>37</v>
      </c>
      <c r="G3900" s="2">
        <v>45629</v>
      </c>
      <c r="H3900" s="3">
        <f t="shared" si="60"/>
        <v>1.5643835616438355</v>
      </c>
      <c r="I3900">
        <v>18</v>
      </c>
      <c r="J3900" t="s">
        <v>38</v>
      </c>
      <c r="K3900" t="s">
        <v>56</v>
      </c>
      <c r="L3900" t="s">
        <v>44</v>
      </c>
      <c r="M3900">
        <v>8.4700000000000006</v>
      </c>
      <c r="T3900" t="s">
        <v>45</v>
      </c>
      <c r="U3900">
        <v>2</v>
      </c>
      <c r="V3900">
        <v>6</v>
      </c>
    </row>
    <row r="3901" spans="1:22" x14ac:dyDescent="0.3">
      <c r="A3901">
        <v>3900</v>
      </c>
      <c r="B3901">
        <v>54338</v>
      </c>
      <c r="C3901" s="2">
        <v>37932</v>
      </c>
      <c r="D3901">
        <v>22</v>
      </c>
      <c r="E3901" t="s">
        <v>42</v>
      </c>
      <c r="F3901" t="s">
        <v>50</v>
      </c>
      <c r="G3901" s="2">
        <v>45451</v>
      </c>
      <c r="H3901" s="3">
        <f t="shared" si="60"/>
        <v>1.515068493150685</v>
      </c>
      <c r="I3901">
        <v>19</v>
      </c>
      <c r="J3901" t="s">
        <v>38</v>
      </c>
      <c r="K3901" t="s">
        <v>48</v>
      </c>
      <c r="L3901" t="s">
        <v>44</v>
      </c>
      <c r="M3901">
        <v>8.4700000000000006</v>
      </c>
      <c r="T3901" t="s">
        <v>49</v>
      </c>
      <c r="U3901">
        <v>2</v>
      </c>
      <c r="V3901">
        <v>7</v>
      </c>
    </row>
    <row r="3902" spans="1:22" x14ac:dyDescent="0.3">
      <c r="A3902">
        <v>3901</v>
      </c>
      <c r="B3902">
        <v>54339</v>
      </c>
      <c r="C3902" s="2">
        <v>35870</v>
      </c>
      <c r="D3902">
        <v>27</v>
      </c>
      <c r="E3902" t="s">
        <v>36</v>
      </c>
      <c r="F3902" t="s">
        <v>37</v>
      </c>
      <c r="G3902" s="2">
        <v>45469</v>
      </c>
      <c r="H3902" s="3">
        <f t="shared" si="60"/>
        <v>1.3205479452054794</v>
      </c>
      <c r="I3902">
        <v>20</v>
      </c>
      <c r="J3902" t="s">
        <v>38</v>
      </c>
      <c r="K3902" t="s">
        <v>55</v>
      </c>
      <c r="L3902" t="s">
        <v>44</v>
      </c>
      <c r="M3902">
        <v>17.59</v>
      </c>
      <c r="T3902" t="s">
        <v>49</v>
      </c>
      <c r="U3902">
        <v>2</v>
      </c>
      <c r="V3902">
        <v>5</v>
      </c>
    </row>
    <row r="3903" spans="1:22" x14ac:dyDescent="0.3">
      <c r="A3903">
        <v>3902</v>
      </c>
      <c r="B3903">
        <v>54340</v>
      </c>
      <c r="C3903" s="2">
        <v>37139</v>
      </c>
      <c r="D3903">
        <v>24</v>
      </c>
      <c r="E3903" t="s">
        <v>42</v>
      </c>
      <c r="F3903" t="s">
        <v>37</v>
      </c>
      <c r="G3903" s="2">
        <v>45540</v>
      </c>
      <c r="H3903" s="3">
        <f t="shared" si="60"/>
        <v>1.2767123287671234</v>
      </c>
      <c r="I3903">
        <v>20</v>
      </c>
      <c r="J3903" t="s">
        <v>38</v>
      </c>
      <c r="K3903" t="s">
        <v>56</v>
      </c>
      <c r="L3903" t="s">
        <v>44</v>
      </c>
      <c r="M3903">
        <v>8.4700000000000006</v>
      </c>
      <c r="T3903" t="s">
        <v>47</v>
      </c>
      <c r="U3903">
        <v>4</v>
      </c>
      <c r="V3903">
        <v>5</v>
      </c>
    </row>
    <row r="3904" spans="1:22" x14ac:dyDescent="0.3">
      <c r="A3904">
        <v>3903</v>
      </c>
      <c r="B3904">
        <v>54341</v>
      </c>
      <c r="C3904" s="2">
        <v>37260</v>
      </c>
      <c r="D3904">
        <v>23</v>
      </c>
      <c r="E3904" t="s">
        <v>42</v>
      </c>
      <c r="F3904" t="s">
        <v>37</v>
      </c>
      <c r="G3904" s="2">
        <v>45556</v>
      </c>
      <c r="H3904" s="3">
        <f t="shared" si="60"/>
        <v>1.3835616438356164</v>
      </c>
      <c r="I3904">
        <v>21</v>
      </c>
      <c r="J3904" t="s">
        <v>38</v>
      </c>
      <c r="K3904" t="s">
        <v>64</v>
      </c>
      <c r="L3904" t="s">
        <v>44</v>
      </c>
      <c r="M3904">
        <v>14.07</v>
      </c>
      <c r="T3904" t="s">
        <v>52</v>
      </c>
      <c r="U3904">
        <v>1</v>
      </c>
      <c r="V3904">
        <v>6</v>
      </c>
    </row>
    <row r="3905" spans="1:22" x14ac:dyDescent="0.3">
      <c r="A3905">
        <v>3904</v>
      </c>
      <c r="B3905">
        <v>54342</v>
      </c>
      <c r="C3905" s="2">
        <v>37669</v>
      </c>
      <c r="D3905">
        <v>22</v>
      </c>
      <c r="E3905" t="s">
        <v>42</v>
      </c>
      <c r="F3905" t="s">
        <v>50</v>
      </c>
      <c r="G3905" s="2">
        <v>45517</v>
      </c>
      <c r="H3905" s="3">
        <f t="shared" si="60"/>
        <v>1.6219178082191781</v>
      </c>
      <c r="I3905">
        <v>28</v>
      </c>
      <c r="J3905" t="s">
        <v>38</v>
      </c>
      <c r="K3905" t="s">
        <v>55</v>
      </c>
      <c r="L3905" t="s">
        <v>44</v>
      </c>
      <c r="M3905">
        <v>17.59</v>
      </c>
      <c r="T3905" t="s">
        <v>52</v>
      </c>
      <c r="U3905">
        <v>2</v>
      </c>
      <c r="V3905">
        <v>6</v>
      </c>
    </row>
    <row r="3906" spans="1:22" x14ac:dyDescent="0.3">
      <c r="A3906">
        <v>3905</v>
      </c>
      <c r="B3906">
        <v>54343</v>
      </c>
      <c r="C3906" s="2">
        <v>34101</v>
      </c>
      <c r="D3906">
        <v>32</v>
      </c>
      <c r="E3906" t="s">
        <v>42</v>
      </c>
      <c r="F3906" t="s">
        <v>50</v>
      </c>
      <c r="G3906" s="2">
        <v>45430</v>
      </c>
      <c r="H3906" s="3">
        <f t="shared" si="60"/>
        <v>1.5945205479452054</v>
      </c>
      <c r="I3906">
        <v>30</v>
      </c>
      <c r="J3906" t="s">
        <v>38</v>
      </c>
      <c r="K3906" t="s">
        <v>46</v>
      </c>
      <c r="L3906" t="s">
        <v>44</v>
      </c>
      <c r="M3906">
        <v>14.23</v>
      </c>
      <c r="T3906" t="s">
        <v>49</v>
      </c>
      <c r="U3906">
        <v>0</v>
      </c>
      <c r="V3906">
        <v>6</v>
      </c>
    </row>
    <row r="3907" spans="1:22" x14ac:dyDescent="0.3">
      <c r="A3907">
        <v>3906</v>
      </c>
      <c r="B3907">
        <v>54344</v>
      </c>
      <c r="C3907" s="2">
        <v>37418</v>
      </c>
      <c r="D3907">
        <v>23</v>
      </c>
      <c r="E3907" t="s">
        <v>36</v>
      </c>
      <c r="F3907" t="s">
        <v>37</v>
      </c>
      <c r="G3907" s="2">
        <v>45440</v>
      </c>
      <c r="H3907" s="3">
        <f t="shared" ref="H3907:H3970" si="61">DATEDIF(G3908,DATE(2025,12,31),"d")/365</f>
        <v>1.3506849315068492</v>
      </c>
      <c r="I3907">
        <v>34</v>
      </c>
      <c r="J3907" t="s">
        <v>38</v>
      </c>
      <c r="K3907" t="s">
        <v>55</v>
      </c>
      <c r="L3907" t="s">
        <v>44</v>
      </c>
      <c r="M3907">
        <v>17.59</v>
      </c>
      <c r="T3907" t="s">
        <v>47</v>
      </c>
      <c r="U3907">
        <v>2</v>
      </c>
      <c r="V3907">
        <v>3</v>
      </c>
    </row>
    <row r="3908" spans="1:22" x14ac:dyDescent="0.3">
      <c r="A3908">
        <v>3907</v>
      </c>
      <c r="B3908">
        <v>54345</v>
      </c>
      <c r="C3908" s="2">
        <v>35425</v>
      </c>
      <c r="D3908">
        <v>29</v>
      </c>
      <c r="E3908" t="s">
        <v>42</v>
      </c>
      <c r="F3908" t="s">
        <v>37</v>
      </c>
      <c r="G3908" s="2">
        <v>45529</v>
      </c>
      <c r="H3908" s="3">
        <f t="shared" si="61"/>
        <v>1.0767123287671232</v>
      </c>
      <c r="I3908">
        <v>37</v>
      </c>
      <c r="J3908" t="s">
        <v>38</v>
      </c>
      <c r="K3908" t="s">
        <v>56</v>
      </c>
      <c r="L3908" t="s">
        <v>44</v>
      </c>
      <c r="M3908">
        <v>8.4700000000000006</v>
      </c>
      <c r="T3908" t="s">
        <v>45</v>
      </c>
      <c r="U3908">
        <v>0</v>
      </c>
      <c r="V3908">
        <v>6</v>
      </c>
    </row>
    <row r="3909" spans="1:22" x14ac:dyDescent="0.3">
      <c r="A3909">
        <v>3908</v>
      </c>
      <c r="B3909">
        <v>54347</v>
      </c>
      <c r="C3909" s="2">
        <v>36842</v>
      </c>
      <c r="D3909">
        <v>25</v>
      </c>
      <c r="E3909" t="s">
        <v>42</v>
      </c>
      <c r="F3909" t="s">
        <v>50</v>
      </c>
      <c r="G3909" s="2">
        <v>45629</v>
      </c>
      <c r="H3909" s="3">
        <f t="shared" si="61"/>
        <v>1.8164383561643835</v>
      </c>
      <c r="I3909">
        <v>44</v>
      </c>
      <c r="J3909" t="s">
        <v>38</v>
      </c>
      <c r="K3909" t="s">
        <v>68</v>
      </c>
      <c r="L3909" t="s">
        <v>44</v>
      </c>
      <c r="M3909">
        <v>17</v>
      </c>
      <c r="T3909" t="s">
        <v>45</v>
      </c>
      <c r="U3909">
        <v>1</v>
      </c>
      <c r="V3909">
        <v>6</v>
      </c>
    </row>
    <row r="3910" spans="1:22" x14ac:dyDescent="0.3">
      <c r="A3910">
        <v>3909</v>
      </c>
      <c r="B3910">
        <v>54348</v>
      </c>
      <c r="C3910" s="2">
        <v>37841</v>
      </c>
      <c r="D3910">
        <v>22</v>
      </c>
      <c r="E3910" t="s">
        <v>42</v>
      </c>
      <c r="F3910" t="s">
        <v>50</v>
      </c>
      <c r="G3910" s="2">
        <v>45359</v>
      </c>
      <c r="H3910" s="3">
        <f t="shared" si="61"/>
        <v>1.7780821917808218</v>
      </c>
      <c r="I3910">
        <v>44</v>
      </c>
      <c r="J3910" t="s">
        <v>38</v>
      </c>
      <c r="K3910" t="s">
        <v>65</v>
      </c>
      <c r="L3910" t="s">
        <v>44</v>
      </c>
      <c r="M3910">
        <v>10.64</v>
      </c>
      <c r="T3910" t="s">
        <v>47</v>
      </c>
      <c r="U3910">
        <v>1</v>
      </c>
      <c r="V3910">
        <v>6</v>
      </c>
    </row>
    <row r="3911" spans="1:22" x14ac:dyDescent="0.3">
      <c r="A3911">
        <v>3910</v>
      </c>
      <c r="B3911">
        <v>54349</v>
      </c>
      <c r="C3911" s="2">
        <v>38384</v>
      </c>
      <c r="D3911">
        <v>21</v>
      </c>
      <c r="E3911" t="s">
        <v>36</v>
      </c>
      <c r="F3911" t="s">
        <v>50</v>
      </c>
      <c r="G3911" s="2">
        <v>45373</v>
      </c>
      <c r="H3911" s="3">
        <f t="shared" si="61"/>
        <v>1.1506849315068493</v>
      </c>
      <c r="I3911">
        <v>47</v>
      </c>
      <c r="J3911" t="s">
        <v>38</v>
      </c>
      <c r="K3911" t="s">
        <v>65</v>
      </c>
      <c r="L3911" t="s">
        <v>44</v>
      </c>
      <c r="M3911">
        <v>10.64</v>
      </c>
      <c r="T3911" t="s">
        <v>49</v>
      </c>
      <c r="U3911">
        <v>0</v>
      </c>
      <c r="V3911">
        <v>4</v>
      </c>
    </row>
    <row r="3912" spans="1:22" x14ac:dyDescent="0.3">
      <c r="A3912">
        <v>3911</v>
      </c>
      <c r="B3912">
        <v>54350</v>
      </c>
      <c r="C3912" s="2">
        <v>37505</v>
      </c>
      <c r="D3912">
        <v>23</v>
      </c>
      <c r="E3912" t="s">
        <v>42</v>
      </c>
      <c r="F3912" t="s">
        <v>50</v>
      </c>
      <c r="G3912" s="2">
        <v>45602</v>
      </c>
      <c r="H3912" s="3">
        <f t="shared" si="61"/>
        <v>1.4904109589041097</v>
      </c>
      <c r="I3912">
        <v>49</v>
      </c>
      <c r="J3912" t="s">
        <v>38</v>
      </c>
      <c r="K3912" t="s">
        <v>68</v>
      </c>
      <c r="L3912" t="s">
        <v>44</v>
      </c>
      <c r="M3912">
        <v>17</v>
      </c>
      <c r="T3912" t="s">
        <v>49</v>
      </c>
      <c r="U3912">
        <v>1</v>
      </c>
      <c r="V3912">
        <v>5</v>
      </c>
    </row>
    <row r="3913" spans="1:22" x14ac:dyDescent="0.3">
      <c r="A3913">
        <v>3912</v>
      </c>
      <c r="B3913">
        <v>54351</v>
      </c>
      <c r="C3913" s="2">
        <v>38244</v>
      </c>
      <c r="D3913">
        <v>21</v>
      </c>
      <c r="E3913" t="s">
        <v>42</v>
      </c>
      <c r="F3913" t="s">
        <v>50</v>
      </c>
      <c r="G3913" s="2">
        <v>45478</v>
      </c>
      <c r="H3913" s="3">
        <f t="shared" si="61"/>
        <v>1.8712328767123287</v>
      </c>
      <c r="I3913">
        <v>53</v>
      </c>
      <c r="J3913" t="s">
        <v>38</v>
      </c>
      <c r="K3913" t="s">
        <v>56</v>
      </c>
      <c r="L3913" t="s">
        <v>44</v>
      </c>
      <c r="M3913">
        <v>8.4700000000000006</v>
      </c>
      <c r="T3913" t="s">
        <v>52</v>
      </c>
      <c r="U3913">
        <v>2</v>
      </c>
      <c r="V3913">
        <v>7</v>
      </c>
    </row>
    <row r="3914" spans="1:22" x14ac:dyDescent="0.3">
      <c r="A3914">
        <v>3913</v>
      </c>
      <c r="B3914">
        <v>54352</v>
      </c>
      <c r="C3914" s="2">
        <v>33803</v>
      </c>
      <c r="D3914">
        <v>33</v>
      </c>
      <c r="E3914" t="s">
        <v>36</v>
      </c>
      <c r="F3914" t="s">
        <v>37</v>
      </c>
      <c r="G3914" s="2">
        <v>45339</v>
      </c>
      <c r="H3914" s="3">
        <f t="shared" si="61"/>
        <v>1.3808219178082193</v>
      </c>
      <c r="I3914">
        <v>57</v>
      </c>
      <c r="J3914" t="s">
        <v>38</v>
      </c>
      <c r="K3914" t="s">
        <v>46</v>
      </c>
      <c r="L3914" t="s">
        <v>44</v>
      </c>
      <c r="M3914">
        <v>14.23</v>
      </c>
      <c r="T3914" t="s">
        <v>52</v>
      </c>
      <c r="U3914">
        <v>1</v>
      </c>
      <c r="V3914">
        <v>4</v>
      </c>
    </row>
    <row r="3915" spans="1:22" x14ac:dyDescent="0.3">
      <c r="A3915">
        <v>3914</v>
      </c>
      <c r="B3915">
        <v>54353</v>
      </c>
      <c r="C3915" s="2">
        <v>36221</v>
      </c>
      <c r="D3915">
        <v>26</v>
      </c>
      <c r="E3915" t="s">
        <v>42</v>
      </c>
      <c r="F3915" t="s">
        <v>50</v>
      </c>
      <c r="G3915" s="2">
        <v>45518</v>
      </c>
      <c r="H3915" s="3">
        <f t="shared" si="61"/>
        <v>1.2712328767123289</v>
      </c>
      <c r="I3915">
        <v>63</v>
      </c>
      <c r="J3915" t="s">
        <v>38</v>
      </c>
      <c r="K3915" t="s">
        <v>55</v>
      </c>
      <c r="L3915" t="s">
        <v>44</v>
      </c>
      <c r="M3915">
        <v>17.59</v>
      </c>
      <c r="T3915" t="s">
        <v>45</v>
      </c>
      <c r="U3915">
        <v>2</v>
      </c>
      <c r="V3915">
        <v>5</v>
      </c>
    </row>
    <row r="3916" spans="1:22" x14ac:dyDescent="0.3">
      <c r="A3916">
        <v>3915</v>
      </c>
      <c r="B3916">
        <v>54354</v>
      </c>
      <c r="C3916" s="2">
        <v>37198</v>
      </c>
      <c r="D3916">
        <v>24</v>
      </c>
      <c r="E3916" t="s">
        <v>42</v>
      </c>
      <c r="F3916" t="s">
        <v>50</v>
      </c>
      <c r="G3916" s="2">
        <v>45558</v>
      </c>
      <c r="H3916" s="3">
        <f t="shared" si="61"/>
        <v>1.4164383561643836</v>
      </c>
      <c r="I3916">
        <v>68</v>
      </c>
      <c r="J3916" t="s">
        <v>57</v>
      </c>
      <c r="K3916" t="s">
        <v>56</v>
      </c>
      <c r="L3916" t="s">
        <v>44</v>
      </c>
      <c r="M3916">
        <v>8.4700000000000006</v>
      </c>
      <c r="T3916" t="s">
        <v>47</v>
      </c>
      <c r="U3916">
        <v>0</v>
      </c>
      <c r="V3916">
        <v>6</v>
      </c>
    </row>
    <row r="3917" spans="1:22" x14ac:dyDescent="0.3">
      <c r="A3917">
        <v>3916</v>
      </c>
      <c r="B3917">
        <v>54355</v>
      </c>
      <c r="C3917" s="2">
        <v>33965</v>
      </c>
      <c r="D3917">
        <v>33</v>
      </c>
      <c r="E3917" t="s">
        <v>36</v>
      </c>
      <c r="F3917" t="s">
        <v>50</v>
      </c>
      <c r="G3917" s="2">
        <v>45505</v>
      </c>
      <c r="H3917" s="3">
        <f t="shared" si="61"/>
        <v>1.0410958904109588</v>
      </c>
      <c r="I3917">
        <v>78</v>
      </c>
      <c r="J3917" t="s">
        <v>57</v>
      </c>
      <c r="K3917" t="s">
        <v>68</v>
      </c>
      <c r="L3917" t="s">
        <v>44</v>
      </c>
      <c r="M3917">
        <v>17</v>
      </c>
      <c r="T3917" t="s">
        <v>45</v>
      </c>
      <c r="U3917">
        <v>2</v>
      </c>
      <c r="V3917">
        <v>6</v>
      </c>
    </row>
    <row r="3918" spans="1:22" x14ac:dyDescent="0.3">
      <c r="A3918">
        <v>3917</v>
      </c>
      <c r="B3918">
        <v>54356</v>
      </c>
      <c r="C3918" s="2">
        <v>37712</v>
      </c>
      <c r="D3918">
        <v>23</v>
      </c>
      <c r="E3918" t="s">
        <v>42</v>
      </c>
      <c r="F3918" t="s">
        <v>50</v>
      </c>
      <c r="G3918" s="2">
        <v>45642</v>
      </c>
      <c r="H3918" s="3">
        <f t="shared" si="61"/>
        <v>1.2164383561643837</v>
      </c>
      <c r="I3918">
        <v>78</v>
      </c>
      <c r="J3918" t="s">
        <v>57</v>
      </c>
      <c r="K3918" t="s">
        <v>65</v>
      </c>
      <c r="L3918" t="s">
        <v>44</v>
      </c>
      <c r="M3918">
        <v>10.64</v>
      </c>
      <c r="T3918" t="s">
        <v>45</v>
      </c>
      <c r="U3918">
        <v>0</v>
      </c>
      <c r="V3918">
        <v>6</v>
      </c>
    </row>
    <row r="3919" spans="1:22" x14ac:dyDescent="0.3">
      <c r="A3919">
        <v>3918</v>
      </c>
      <c r="B3919">
        <v>54357</v>
      </c>
      <c r="C3919" s="2">
        <v>34228</v>
      </c>
      <c r="D3919">
        <v>32</v>
      </c>
      <c r="E3919" t="s">
        <v>36</v>
      </c>
      <c r="F3919" t="s">
        <v>50</v>
      </c>
      <c r="G3919" s="2">
        <v>45578</v>
      </c>
      <c r="H3919" s="3">
        <f t="shared" si="61"/>
        <v>1.5013698630136987</v>
      </c>
      <c r="I3919">
        <v>94</v>
      </c>
      <c r="J3919" t="s">
        <v>57</v>
      </c>
      <c r="K3919" t="s">
        <v>46</v>
      </c>
      <c r="L3919" t="s">
        <v>44</v>
      </c>
      <c r="M3919">
        <v>14.23</v>
      </c>
      <c r="T3919" t="s">
        <v>47</v>
      </c>
      <c r="U3919">
        <v>1</v>
      </c>
      <c r="V3919">
        <v>4</v>
      </c>
    </row>
    <row r="3920" spans="1:22" x14ac:dyDescent="0.3">
      <c r="A3920">
        <v>3919</v>
      </c>
      <c r="B3920">
        <v>54358</v>
      </c>
      <c r="C3920" s="2">
        <v>38058</v>
      </c>
      <c r="D3920">
        <v>21</v>
      </c>
      <c r="E3920" t="s">
        <v>42</v>
      </c>
      <c r="F3920" t="s">
        <v>37</v>
      </c>
      <c r="G3920" s="2">
        <v>45474</v>
      </c>
      <c r="H3920" s="3">
        <f t="shared" si="61"/>
        <v>1.5452054794520549</v>
      </c>
      <c r="I3920">
        <v>103</v>
      </c>
      <c r="J3920" t="s">
        <v>57</v>
      </c>
      <c r="K3920" t="s">
        <v>65</v>
      </c>
      <c r="L3920" t="s">
        <v>44</v>
      </c>
      <c r="M3920">
        <v>10.64</v>
      </c>
      <c r="T3920" t="s">
        <v>47</v>
      </c>
      <c r="U3920">
        <v>1</v>
      </c>
      <c r="V3920">
        <v>6</v>
      </c>
    </row>
    <row r="3921" spans="1:22" x14ac:dyDescent="0.3">
      <c r="A3921">
        <v>3920</v>
      </c>
      <c r="B3921">
        <v>54359</v>
      </c>
      <c r="C3921" s="2">
        <v>37733</v>
      </c>
      <c r="D3921">
        <v>22</v>
      </c>
      <c r="E3921" t="s">
        <v>42</v>
      </c>
      <c r="F3921" t="s">
        <v>37</v>
      </c>
      <c r="G3921" s="2">
        <v>45458</v>
      </c>
      <c r="H3921" s="3">
        <f t="shared" si="61"/>
        <v>1.4082191780821918</v>
      </c>
      <c r="I3921">
        <v>106</v>
      </c>
      <c r="J3921" t="s">
        <v>57</v>
      </c>
      <c r="K3921" t="s">
        <v>56</v>
      </c>
      <c r="L3921" t="s">
        <v>44</v>
      </c>
      <c r="M3921">
        <v>8.4700000000000006</v>
      </c>
      <c r="T3921" t="s">
        <v>52</v>
      </c>
      <c r="U3921">
        <v>3</v>
      </c>
      <c r="V3921">
        <v>6</v>
      </c>
    </row>
    <row r="3922" spans="1:22" x14ac:dyDescent="0.3">
      <c r="A3922">
        <v>3921</v>
      </c>
      <c r="B3922">
        <v>54360</v>
      </c>
      <c r="C3922" s="2">
        <v>36125</v>
      </c>
      <c r="D3922">
        <v>27</v>
      </c>
      <c r="E3922" t="s">
        <v>36</v>
      </c>
      <c r="F3922" t="s">
        <v>50</v>
      </c>
      <c r="G3922" s="2">
        <v>45508</v>
      </c>
      <c r="H3922" s="3">
        <f t="shared" si="61"/>
        <v>1.5534246575342465</v>
      </c>
      <c r="I3922">
        <v>111</v>
      </c>
      <c r="J3922" t="s">
        <v>57</v>
      </c>
      <c r="K3922" t="s">
        <v>68</v>
      </c>
      <c r="L3922" t="s">
        <v>44</v>
      </c>
      <c r="M3922">
        <v>17</v>
      </c>
      <c r="T3922" t="s">
        <v>47</v>
      </c>
      <c r="U3922">
        <v>2</v>
      </c>
      <c r="V3922">
        <v>3</v>
      </c>
    </row>
    <row r="3923" spans="1:22" x14ac:dyDescent="0.3">
      <c r="A3923">
        <v>3922</v>
      </c>
      <c r="B3923">
        <v>54361</v>
      </c>
      <c r="C3923" s="2">
        <v>38773</v>
      </c>
      <c r="D3923">
        <v>19</v>
      </c>
      <c r="E3923" t="s">
        <v>36</v>
      </c>
      <c r="F3923" t="s">
        <v>50</v>
      </c>
      <c r="G3923" s="2">
        <v>45455</v>
      </c>
      <c r="H3923" s="3">
        <f t="shared" si="61"/>
        <v>1.2986301369863014</v>
      </c>
      <c r="I3923">
        <v>127</v>
      </c>
      <c r="J3923" t="s">
        <v>57</v>
      </c>
      <c r="K3923" t="s">
        <v>56</v>
      </c>
      <c r="L3923" t="s">
        <v>44</v>
      </c>
      <c r="M3923">
        <v>8.4700000000000006</v>
      </c>
      <c r="T3923" t="s">
        <v>45</v>
      </c>
      <c r="U3923">
        <v>4</v>
      </c>
      <c r="V3923">
        <v>3</v>
      </c>
    </row>
    <row r="3924" spans="1:22" x14ac:dyDescent="0.3">
      <c r="A3924">
        <v>3923</v>
      </c>
      <c r="B3924">
        <v>54362</v>
      </c>
      <c r="C3924" s="2">
        <v>37174</v>
      </c>
      <c r="D3924">
        <v>24</v>
      </c>
      <c r="E3924" t="s">
        <v>42</v>
      </c>
      <c r="F3924" t="s">
        <v>50</v>
      </c>
      <c r="G3924" s="2">
        <v>45548</v>
      </c>
      <c r="H3924" s="3">
        <f t="shared" si="61"/>
        <v>1.189041095890411</v>
      </c>
      <c r="I3924">
        <v>136</v>
      </c>
      <c r="J3924" t="s">
        <v>57</v>
      </c>
      <c r="K3924" t="s">
        <v>56</v>
      </c>
      <c r="L3924" t="s">
        <v>44</v>
      </c>
      <c r="M3924">
        <v>8.4700000000000006</v>
      </c>
      <c r="T3924" t="s">
        <v>47</v>
      </c>
      <c r="U3924">
        <v>3</v>
      </c>
      <c r="V3924">
        <v>6</v>
      </c>
    </row>
    <row r="3925" spans="1:22" x14ac:dyDescent="0.3">
      <c r="A3925">
        <v>3924</v>
      </c>
      <c r="B3925">
        <v>54363</v>
      </c>
      <c r="C3925" s="2">
        <v>38176</v>
      </c>
      <c r="D3925">
        <v>21</v>
      </c>
      <c r="E3925" t="s">
        <v>42</v>
      </c>
      <c r="F3925" t="s">
        <v>37</v>
      </c>
      <c r="G3925" s="2">
        <v>45588</v>
      </c>
      <c r="H3925" s="3">
        <f t="shared" si="61"/>
        <v>1.6684931506849314</v>
      </c>
      <c r="I3925">
        <v>41</v>
      </c>
      <c r="J3925" t="s">
        <v>38</v>
      </c>
      <c r="K3925" t="s">
        <v>56</v>
      </c>
      <c r="L3925" t="s">
        <v>44</v>
      </c>
      <c r="M3925">
        <v>8.4700000000000006</v>
      </c>
      <c r="T3925" t="s">
        <v>52</v>
      </c>
      <c r="U3925">
        <v>4</v>
      </c>
      <c r="V3925">
        <v>6</v>
      </c>
    </row>
    <row r="3926" spans="1:22" x14ac:dyDescent="0.3">
      <c r="A3926">
        <v>3925</v>
      </c>
      <c r="B3926">
        <v>54364</v>
      </c>
      <c r="C3926" s="2">
        <v>37161</v>
      </c>
      <c r="D3926">
        <v>24</v>
      </c>
      <c r="E3926" t="s">
        <v>36</v>
      </c>
      <c r="F3926" t="s">
        <v>50</v>
      </c>
      <c r="G3926" s="2">
        <v>45413</v>
      </c>
      <c r="H3926" s="3">
        <f t="shared" si="61"/>
        <v>1.0438356164383562</v>
      </c>
      <c r="I3926">
        <v>44</v>
      </c>
      <c r="J3926" t="s">
        <v>38</v>
      </c>
      <c r="K3926" t="s">
        <v>68</v>
      </c>
      <c r="L3926" t="s">
        <v>44</v>
      </c>
      <c r="M3926">
        <v>17</v>
      </c>
      <c r="T3926" t="s">
        <v>49</v>
      </c>
      <c r="U3926">
        <v>2</v>
      </c>
      <c r="V3926">
        <v>4</v>
      </c>
    </row>
    <row r="3927" spans="1:22" x14ac:dyDescent="0.3">
      <c r="A3927">
        <v>3926</v>
      </c>
      <c r="B3927">
        <v>54366</v>
      </c>
      <c r="C3927" s="2">
        <v>39392</v>
      </c>
      <c r="D3927">
        <v>18</v>
      </c>
      <c r="E3927" t="s">
        <v>42</v>
      </c>
      <c r="F3927" t="s">
        <v>37</v>
      </c>
      <c r="G3927" s="2">
        <v>45641</v>
      </c>
      <c r="H3927" s="3">
        <f t="shared" si="61"/>
        <v>1.5424657534246575</v>
      </c>
      <c r="I3927">
        <v>47</v>
      </c>
      <c r="J3927" t="s">
        <v>38</v>
      </c>
      <c r="K3927" t="s">
        <v>48</v>
      </c>
      <c r="L3927" t="s">
        <v>44</v>
      </c>
      <c r="M3927">
        <v>8.4700000000000006</v>
      </c>
      <c r="T3927" t="s">
        <v>47</v>
      </c>
      <c r="U3927">
        <v>1</v>
      </c>
      <c r="V3927">
        <v>5</v>
      </c>
    </row>
    <row r="3928" spans="1:22" x14ac:dyDescent="0.3">
      <c r="A3928">
        <v>3927</v>
      </c>
      <c r="B3928">
        <v>54367</v>
      </c>
      <c r="C3928" s="2">
        <v>31042</v>
      </c>
      <c r="D3928">
        <v>41</v>
      </c>
      <c r="E3928" t="s">
        <v>42</v>
      </c>
      <c r="F3928" t="s">
        <v>50</v>
      </c>
      <c r="G3928" s="2">
        <v>45459</v>
      </c>
      <c r="H3928" s="3">
        <f t="shared" si="61"/>
        <v>1.1534246575342466</v>
      </c>
      <c r="I3928">
        <v>78</v>
      </c>
      <c r="J3928" t="s">
        <v>57</v>
      </c>
      <c r="K3928" t="s">
        <v>54</v>
      </c>
      <c r="L3928" t="s">
        <v>44</v>
      </c>
      <c r="M3928">
        <v>23.78</v>
      </c>
      <c r="T3928" t="s">
        <v>49</v>
      </c>
      <c r="U3928">
        <v>5</v>
      </c>
      <c r="V3928">
        <v>7</v>
      </c>
    </row>
    <row r="3929" spans="1:22" x14ac:dyDescent="0.3">
      <c r="A3929">
        <v>3928</v>
      </c>
      <c r="B3929">
        <v>54368</v>
      </c>
      <c r="C3929" s="2">
        <v>37779</v>
      </c>
      <c r="D3929">
        <v>22</v>
      </c>
      <c r="E3929" t="s">
        <v>36</v>
      </c>
      <c r="F3929" t="s">
        <v>50</v>
      </c>
      <c r="G3929" s="2">
        <v>45601</v>
      </c>
      <c r="H3929" s="3">
        <f t="shared" si="61"/>
        <v>1.1397260273972603</v>
      </c>
      <c r="I3929">
        <v>101</v>
      </c>
      <c r="J3929" t="s">
        <v>57</v>
      </c>
      <c r="K3929" t="s">
        <v>46</v>
      </c>
      <c r="L3929" t="s">
        <v>44</v>
      </c>
      <c r="M3929">
        <v>14.23</v>
      </c>
      <c r="T3929" t="s">
        <v>47</v>
      </c>
      <c r="U3929">
        <v>0</v>
      </c>
      <c r="V3929">
        <v>4</v>
      </c>
    </row>
    <row r="3930" spans="1:22" x14ac:dyDescent="0.3">
      <c r="A3930">
        <v>3929</v>
      </c>
      <c r="B3930">
        <v>54370</v>
      </c>
      <c r="C3930" s="2">
        <v>34969</v>
      </c>
      <c r="D3930">
        <v>30</v>
      </c>
      <c r="E3930" t="s">
        <v>42</v>
      </c>
      <c r="F3930" t="s">
        <v>50</v>
      </c>
      <c r="G3930" s="2">
        <v>45606</v>
      </c>
      <c r="H3930" s="3">
        <f t="shared" si="61"/>
        <v>1.7643835616438357</v>
      </c>
      <c r="I3930">
        <v>13</v>
      </c>
      <c r="J3930" t="s">
        <v>38</v>
      </c>
      <c r="K3930" t="s">
        <v>55</v>
      </c>
      <c r="L3930" t="s">
        <v>44</v>
      </c>
      <c r="M3930">
        <v>17.59</v>
      </c>
      <c r="T3930" t="s">
        <v>47</v>
      </c>
      <c r="U3930">
        <v>2</v>
      </c>
      <c r="V3930">
        <v>5</v>
      </c>
    </row>
    <row r="3931" spans="1:22" x14ac:dyDescent="0.3">
      <c r="A3931">
        <v>3930</v>
      </c>
      <c r="B3931">
        <v>54371</v>
      </c>
      <c r="C3931" s="2">
        <v>35342</v>
      </c>
      <c r="D3931">
        <v>29</v>
      </c>
      <c r="E3931" t="s">
        <v>42</v>
      </c>
      <c r="F3931" t="s">
        <v>50</v>
      </c>
      <c r="G3931" s="2">
        <v>45378</v>
      </c>
      <c r="H3931" s="3">
        <f t="shared" si="61"/>
        <v>1.5534246575342465</v>
      </c>
      <c r="I3931">
        <v>19</v>
      </c>
      <c r="J3931" t="s">
        <v>38</v>
      </c>
      <c r="K3931" t="s">
        <v>68</v>
      </c>
      <c r="L3931" t="s">
        <v>44</v>
      </c>
      <c r="M3931">
        <v>17</v>
      </c>
      <c r="T3931" t="s">
        <v>45</v>
      </c>
      <c r="U3931">
        <v>0</v>
      </c>
      <c r="V3931">
        <v>5</v>
      </c>
    </row>
    <row r="3932" spans="1:22" x14ac:dyDescent="0.3">
      <c r="A3932">
        <v>3931</v>
      </c>
      <c r="B3932">
        <v>54372</v>
      </c>
      <c r="C3932" s="2">
        <v>38133</v>
      </c>
      <c r="D3932">
        <v>21</v>
      </c>
      <c r="E3932" t="s">
        <v>36</v>
      </c>
      <c r="F3932" t="s">
        <v>37</v>
      </c>
      <c r="G3932" s="2">
        <v>45455</v>
      </c>
      <c r="H3932" s="3">
        <f t="shared" si="61"/>
        <v>1.2301369863013698</v>
      </c>
      <c r="I3932">
        <v>23</v>
      </c>
      <c r="J3932" t="s">
        <v>38</v>
      </c>
      <c r="K3932" t="s">
        <v>65</v>
      </c>
      <c r="L3932" t="s">
        <v>44</v>
      </c>
      <c r="M3932">
        <v>10.64</v>
      </c>
      <c r="T3932" t="s">
        <v>47</v>
      </c>
      <c r="U3932">
        <v>1</v>
      </c>
      <c r="V3932">
        <v>3</v>
      </c>
    </row>
    <row r="3933" spans="1:22" x14ac:dyDescent="0.3">
      <c r="A3933">
        <v>3932</v>
      </c>
      <c r="B3933">
        <v>54373</v>
      </c>
      <c r="C3933" s="2">
        <v>37382</v>
      </c>
      <c r="D3933">
        <v>23</v>
      </c>
      <c r="E3933" t="s">
        <v>42</v>
      </c>
      <c r="F3933" t="s">
        <v>50</v>
      </c>
      <c r="G3933" s="2">
        <v>45573</v>
      </c>
      <c r="H3933" s="3">
        <f t="shared" si="61"/>
        <v>1.2794520547945205</v>
      </c>
      <c r="I3933">
        <v>35</v>
      </c>
      <c r="J3933" t="s">
        <v>38</v>
      </c>
      <c r="K3933" t="s">
        <v>48</v>
      </c>
      <c r="L3933" t="s">
        <v>44</v>
      </c>
      <c r="M3933">
        <v>8.4700000000000006</v>
      </c>
      <c r="T3933" t="s">
        <v>52</v>
      </c>
      <c r="U3933">
        <v>4</v>
      </c>
      <c r="V3933">
        <v>7</v>
      </c>
    </row>
    <row r="3934" spans="1:22" x14ac:dyDescent="0.3">
      <c r="A3934">
        <v>3933</v>
      </c>
      <c r="B3934">
        <v>54374</v>
      </c>
      <c r="C3934" s="2">
        <v>36652</v>
      </c>
      <c r="D3934">
        <v>25</v>
      </c>
      <c r="E3934" t="s">
        <v>42</v>
      </c>
      <c r="F3934" t="s">
        <v>50</v>
      </c>
      <c r="G3934" s="2">
        <v>45555</v>
      </c>
      <c r="H3934" s="3">
        <f t="shared" si="61"/>
        <v>1.0904109589041096</v>
      </c>
      <c r="I3934">
        <v>41</v>
      </c>
      <c r="J3934" t="s">
        <v>38</v>
      </c>
      <c r="K3934" t="s">
        <v>56</v>
      </c>
      <c r="L3934" t="s">
        <v>44</v>
      </c>
      <c r="M3934">
        <v>8.4700000000000006</v>
      </c>
      <c r="T3934" t="s">
        <v>49</v>
      </c>
      <c r="U3934">
        <v>0</v>
      </c>
      <c r="V3934">
        <v>6</v>
      </c>
    </row>
    <row r="3935" spans="1:22" x14ac:dyDescent="0.3">
      <c r="A3935">
        <v>3934</v>
      </c>
      <c r="B3935">
        <v>54375</v>
      </c>
      <c r="C3935" s="2">
        <v>36993</v>
      </c>
      <c r="D3935">
        <v>24</v>
      </c>
      <c r="E3935" t="s">
        <v>42</v>
      </c>
      <c r="F3935" t="s">
        <v>50</v>
      </c>
      <c r="G3935" s="2">
        <v>45624</v>
      </c>
      <c r="H3935" s="3">
        <f t="shared" si="61"/>
        <v>1.2904109589041095</v>
      </c>
      <c r="I3935">
        <v>48</v>
      </c>
      <c r="J3935" t="s">
        <v>38</v>
      </c>
      <c r="K3935" t="s">
        <v>46</v>
      </c>
      <c r="L3935" t="s">
        <v>44</v>
      </c>
      <c r="M3935">
        <v>14.23</v>
      </c>
      <c r="T3935" t="s">
        <v>47</v>
      </c>
      <c r="U3935">
        <v>0</v>
      </c>
      <c r="V3935">
        <v>5</v>
      </c>
    </row>
    <row r="3936" spans="1:22" x14ac:dyDescent="0.3">
      <c r="A3936">
        <v>3935</v>
      </c>
      <c r="B3936">
        <v>54376</v>
      </c>
      <c r="C3936" s="2">
        <v>35180</v>
      </c>
      <c r="D3936">
        <v>29</v>
      </c>
      <c r="E3936" t="s">
        <v>42</v>
      </c>
      <c r="F3936" t="s">
        <v>50</v>
      </c>
      <c r="G3936" s="2">
        <v>45551</v>
      </c>
      <c r="H3936" s="3">
        <f t="shared" si="61"/>
        <v>1.4712328767123288</v>
      </c>
      <c r="I3936">
        <v>63</v>
      </c>
      <c r="J3936" t="s">
        <v>38</v>
      </c>
      <c r="K3936" t="s">
        <v>55</v>
      </c>
      <c r="L3936" t="s">
        <v>44</v>
      </c>
      <c r="M3936">
        <v>17.59</v>
      </c>
      <c r="T3936" t="s">
        <v>49</v>
      </c>
      <c r="U3936">
        <v>2</v>
      </c>
      <c r="V3936">
        <v>5</v>
      </c>
    </row>
    <row r="3937" spans="1:22" x14ac:dyDescent="0.3">
      <c r="A3937">
        <v>3936</v>
      </c>
      <c r="B3937">
        <v>54377</v>
      </c>
      <c r="C3937" s="2">
        <v>33874</v>
      </c>
      <c r="D3937">
        <v>33</v>
      </c>
      <c r="E3937" t="s">
        <v>36</v>
      </c>
      <c r="F3937" t="s">
        <v>50</v>
      </c>
      <c r="G3937" s="2">
        <v>45485</v>
      </c>
      <c r="H3937" s="3">
        <f t="shared" si="61"/>
        <v>1.5561643835616439</v>
      </c>
      <c r="I3937">
        <v>74</v>
      </c>
      <c r="J3937" t="s">
        <v>57</v>
      </c>
      <c r="K3937" t="s">
        <v>55</v>
      </c>
      <c r="L3937" t="s">
        <v>44</v>
      </c>
      <c r="M3937">
        <v>17.59</v>
      </c>
      <c r="T3937" t="s">
        <v>52</v>
      </c>
      <c r="U3937">
        <v>2</v>
      </c>
      <c r="V3937">
        <v>4</v>
      </c>
    </row>
    <row r="3938" spans="1:22" x14ac:dyDescent="0.3">
      <c r="A3938">
        <v>3937</v>
      </c>
      <c r="B3938">
        <v>54378</v>
      </c>
      <c r="C3938" s="2">
        <v>33224</v>
      </c>
      <c r="D3938">
        <v>35</v>
      </c>
      <c r="E3938" t="s">
        <v>36</v>
      </c>
      <c r="F3938" t="s">
        <v>50</v>
      </c>
      <c r="G3938" s="2">
        <v>45454</v>
      </c>
      <c r="H3938" s="3">
        <f t="shared" si="61"/>
        <v>1.5890410958904109</v>
      </c>
      <c r="I3938">
        <v>100</v>
      </c>
      <c r="J3938" t="s">
        <v>57</v>
      </c>
      <c r="K3938" t="s">
        <v>55</v>
      </c>
      <c r="L3938" t="s">
        <v>44</v>
      </c>
      <c r="M3938">
        <v>17.59</v>
      </c>
      <c r="T3938" t="s">
        <v>52</v>
      </c>
      <c r="U3938">
        <v>4</v>
      </c>
      <c r="V3938">
        <v>4</v>
      </c>
    </row>
    <row r="3939" spans="1:22" x14ac:dyDescent="0.3">
      <c r="A3939">
        <v>3938</v>
      </c>
      <c r="B3939">
        <v>54379</v>
      </c>
      <c r="C3939" s="2">
        <v>38154</v>
      </c>
      <c r="D3939">
        <v>21</v>
      </c>
      <c r="E3939" t="s">
        <v>42</v>
      </c>
      <c r="F3939" t="s">
        <v>50</v>
      </c>
      <c r="G3939" s="2">
        <v>45442</v>
      </c>
      <c r="H3939" s="3">
        <f t="shared" si="61"/>
        <v>1.3589041095890411</v>
      </c>
      <c r="I3939">
        <v>103</v>
      </c>
      <c r="J3939" t="s">
        <v>57</v>
      </c>
      <c r="K3939" t="s">
        <v>43</v>
      </c>
      <c r="L3939" t="s">
        <v>44</v>
      </c>
      <c r="M3939">
        <v>16.37</v>
      </c>
      <c r="T3939" t="s">
        <v>49</v>
      </c>
      <c r="U3939">
        <v>2</v>
      </c>
      <c r="V3939">
        <v>7</v>
      </c>
    </row>
    <row r="3940" spans="1:22" x14ac:dyDescent="0.3">
      <c r="A3940">
        <v>3939</v>
      </c>
      <c r="B3940">
        <v>54380</v>
      </c>
      <c r="C3940" s="2">
        <v>39432</v>
      </c>
      <c r="D3940">
        <v>18</v>
      </c>
      <c r="E3940" t="s">
        <v>42</v>
      </c>
      <c r="F3940" t="s">
        <v>50</v>
      </c>
      <c r="G3940" s="2">
        <v>45526</v>
      </c>
      <c r="H3940" s="3">
        <f t="shared" si="61"/>
        <v>1.810958904109589</v>
      </c>
      <c r="I3940">
        <v>105</v>
      </c>
      <c r="J3940" t="s">
        <v>57</v>
      </c>
      <c r="K3940" t="s">
        <v>56</v>
      </c>
      <c r="L3940" t="s">
        <v>44</v>
      </c>
      <c r="M3940">
        <v>8.4700000000000006</v>
      </c>
      <c r="T3940" t="s">
        <v>49</v>
      </c>
      <c r="U3940">
        <v>4</v>
      </c>
      <c r="V3940">
        <v>7</v>
      </c>
    </row>
    <row r="3941" spans="1:22" x14ac:dyDescent="0.3">
      <c r="A3941">
        <v>3940</v>
      </c>
      <c r="B3941">
        <v>54381</v>
      </c>
      <c r="C3941" s="2">
        <v>38349</v>
      </c>
      <c r="D3941">
        <v>21</v>
      </c>
      <c r="E3941" t="s">
        <v>42</v>
      </c>
      <c r="F3941" t="s">
        <v>50</v>
      </c>
      <c r="G3941" s="2">
        <v>45361</v>
      </c>
      <c r="H3941" s="3">
        <f t="shared" si="61"/>
        <v>1.6904109589041096</v>
      </c>
      <c r="I3941">
        <v>107</v>
      </c>
      <c r="J3941" t="s">
        <v>57</v>
      </c>
      <c r="K3941" t="s">
        <v>43</v>
      </c>
      <c r="L3941" t="s">
        <v>44</v>
      </c>
      <c r="M3941">
        <v>16.37</v>
      </c>
      <c r="T3941" t="s">
        <v>47</v>
      </c>
      <c r="U3941">
        <v>0</v>
      </c>
      <c r="V3941">
        <v>6</v>
      </c>
    </row>
    <row r="3942" spans="1:22" x14ac:dyDescent="0.3">
      <c r="A3942">
        <v>3941</v>
      </c>
      <c r="B3942">
        <v>54382</v>
      </c>
      <c r="C3942" s="2">
        <v>37965</v>
      </c>
      <c r="D3942">
        <v>22</v>
      </c>
      <c r="E3942" t="s">
        <v>42</v>
      </c>
      <c r="F3942" t="s">
        <v>50</v>
      </c>
      <c r="G3942" s="2">
        <v>45405</v>
      </c>
      <c r="H3942" s="3">
        <f t="shared" si="61"/>
        <v>1.2383561643835617</v>
      </c>
      <c r="I3942">
        <v>136</v>
      </c>
      <c r="J3942" t="s">
        <v>57</v>
      </c>
      <c r="K3942" t="s">
        <v>43</v>
      </c>
      <c r="L3942" t="s">
        <v>44</v>
      </c>
      <c r="M3942">
        <v>16.37</v>
      </c>
      <c r="T3942" t="s">
        <v>45</v>
      </c>
      <c r="U3942">
        <v>1</v>
      </c>
      <c r="V3942">
        <v>7</v>
      </c>
    </row>
    <row r="3943" spans="1:22" x14ac:dyDescent="0.3">
      <c r="A3943">
        <v>3942</v>
      </c>
      <c r="B3943">
        <v>54383</v>
      </c>
      <c r="C3943" s="2">
        <v>35368</v>
      </c>
      <c r="D3943">
        <v>29</v>
      </c>
      <c r="E3943" t="s">
        <v>36</v>
      </c>
      <c r="F3943" t="s">
        <v>50</v>
      </c>
      <c r="G3943" s="2">
        <v>45570</v>
      </c>
      <c r="H3943" s="3">
        <f t="shared" si="61"/>
        <v>1.5643835616438355</v>
      </c>
      <c r="I3943">
        <v>140</v>
      </c>
      <c r="J3943" t="s">
        <v>57</v>
      </c>
      <c r="K3943" t="s">
        <v>68</v>
      </c>
      <c r="L3943" t="s">
        <v>44</v>
      </c>
      <c r="M3943">
        <v>17</v>
      </c>
      <c r="T3943" t="s">
        <v>52</v>
      </c>
      <c r="U3943">
        <v>4</v>
      </c>
      <c r="V3943">
        <v>5</v>
      </c>
    </row>
    <row r="3944" spans="1:22" x14ac:dyDescent="0.3">
      <c r="A3944">
        <v>3943</v>
      </c>
      <c r="B3944">
        <v>54384</v>
      </c>
      <c r="C3944" s="2">
        <v>36522</v>
      </c>
      <c r="D3944">
        <v>26</v>
      </c>
      <c r="E3944" t="s">
        <v>42</v>
      </c>
      <c r="F3944" t="s">
        <v>50</v>
      </c>
      <c r="G3944" s="2">
        <v>45451</v>
      </c>
      <c r="H3944" s="3">
        <f t="shared" si="61"/>
        <v>1.1150684931506849</v>
      </c>
      <c r="I3944">
        <v>4</v>
      </c>
      <c r="J3944" t="s">
        <v>38</v>
      </c>
      <c r="K3944" t="s">
        <v>55</v>
      </c>
      <c r="L3944" t="s">
        <v>44</v>
      </c>
      <c r="M3944">
        <v>17.59</v>
      </c>
      <c r="T3944" t="s">
        <v>45</v>
      </c>
      <c r="U3944">
        <v>2</v>
      </c>
      <c r="V3944">
        <v>6</v>
      </c>
    </row>
    <row r="3945" spans="1:22" x14ac:dyDescent="0.3">
      <c r="A3945">
        <v>3944</v>
      </c>
      <c r="B3945">
        <v>54385</v>
      </c>
      <c r="C3945" s="2">
        <v>38380</v>
      </c>
      <c r="D3945">
        <v>20</v>
      </c>
      <c r="E3945" t="s">
        <v>42</v>
      </c>
      <c r="F3945" t="s">
        <v>37</v>
      </c>
      <c r="G3945" s="2">
        <v>45615</v>
      </c>
      <c r="H3945" s="3">
        <f t="shared" si="61"/>
        <v>1.6383561643835616</v>
      </c>
      <c r="I3945">
        <v>6</v>
      </c>
      <c r="J3945" t="s">
        <v>38</v>
      </c>
      <c r="K3945" t="s">
        <v>65</v>
      </c>
      <c r="L3945" t="s">
        <v>44</v>
      </c>
      <c r="M3945">
        <v>10.64</v>
      </c>
      <c r="T3945" t="s">
        <v>47</v>
      </c>
      <c r="U3945">
        <v>0</v>
      </c>
      <c r="V3945">
        <v>5</v>
      </c>
    </row>
    <row r="3946" spans="1:22" x14ac:dyDescent="0.3">
      <c r="A3946">
        <v>3945</v>
      </c>
      <c r="B3946">
        <v>54386</v>
      </c>
      <c r="C3946" s="2">
        <v>37721</v>
      </c>
      <c r="D3946">
        <v>22</v>
      </c>
      <c r="E3946" t="s">
        <v>42</v>
      </c>
      <c r="F3946" t="s">
        <v>50</v>
      </c>
      <c r="G3946" s="2">
        <v>45424</v>
      </c>
      <c r="H3946" s="3">
        <f t="shared" si="61"/>
        <v>1.1945205479452055</v>
      </c>
      <c r="I3946">
        <v>9</v>
      </c>
      <c r="J3946" t="s">
        <v>38</v>
      </c>
      <c r="K3946" t="s">
        <v>48</v>
      </c>
      <c r="L3946" t="s">
        <v>44</v>
      </c>
      <c r="M3946">
        <v>8.4700000000000006</v>
      </c>
      <c r="T3946" t="s">
        <v>47</v>
      </c>
      <c r="U3946">
        <v>3</v>
      </c>
      <c r="V3946">
        <v>6</v>
      </c>
    </row>
    <row r="3947" spans="1:22" x14ac:dyDescent="0.3">
      <c r="A3947">
        <v>3946</v>
      </c>
      <c r="B3947">
        <v>54389</v>
      </c>
      <c r="C3947" s="2">
        <v>35914</v>
      </c>
      <c r="D3947">
        <v>27</v>
      </c>
      <c r="E3947" t="s">
        <v>42</v>
      </c>
      <c r="F3947" t="s">
        <v>50</v>
      </c>
      <c r="G3947" s="2">
        <v>45586</v>
      </c>
      <c r="H3947" s="3">
        <f t="shared" si="61"/>
        <v>1.8246575342465754</v>
      </c>
      <c r="I3947">
        <v>32</v>
      </c>
      <c r="J3947" t="s">
        <v>38</v>
      </c>
      <c r="K3947" t="s">
        <v>55</v>
      </c>
      <c r="L3947" t="s">
        <v>44</v>
      </c>
      <c r="M3947">
        <v>17.59</v>
      </c>
      <c r="T3947" t="s">
        <v>45</v>
      </c>
      <c r="U3947">
        <v>2</v>
      </c>
      <c r="V3947">
        <v>5</v>
      </c>
    </row>
    <row r="3948" spans="1:22" x14ac:dyDescent="0.3">
      <c r="A3948">
        <v>3947</v>
      </c>
      <c r="B3948">
        <v>54390</v>
      </c>
      <c r="C3948" s="2">
        <v>38838</v>
      </c>
      <c r="D3948">
        <v>20</v>
      </c>
      <c r="E3948" t="s">
        <v>36</v>
      </c>
      <c r="F3948" t="s">
        <v>50</v>
      </c>
      <c r="G3948" s="2">
        <v>45356</v>
      </c>
      <c r="H3948" s="3">
        <f t="shared" si="61"/>
        <v>1.5178082191780822</v>
      </c>
      <c r="I3948">
        <v>40</v>
      </c>
      <c r="J3948" t="s">
        <v>38</v>
      </c>
      <c r="K3948" t="s">
        <v>65</v>
      </c>
      <c r="L3948" t="s">
        <v>44</v>
      </c>
      <c r="M3948">
        <v>10.64</v>
      </c>
      <c r="T3948" t="s">
        <v>47</v>
      </c>
      <c r="U3948">
        <v>0</v>
      </c>
      <c r="V3948">
        <v>4</v>
      </c>
    </row>
    <row r="3949" spans="1:22" x14ac:dyDescent="0.3">
      <c r="A3949">
        <v>3948</v>
      </c>
      <c r="B3949">
        <v>54391</v>
      </c>
      <c r="C3949" s="2">
        <v>37035</v>
      </c>
      <c r="D3949">
        <v>24</v>
      </c>
      <c r="E3949" t="s">
        <v>42</v>
      </c>
      <c r="F3949" t="s">
        <v>50</v>
      </c>
      <c r="G3949" s="2">
        <v>45468</v>
      </c>
      <c r="H3949" s="3">
        <f t="shared" si="61"/>
        <v>1.8547945205479452</v>
      </c>
      <c r="I3949">
        <v>40</v>
      </c>
      <c r="J3949" t="s">
        <v>38</v>
      </c>
      <c r="K3949" t="s">
        <v>55</v>
      </c>
      <c r="L3949" t="s">
        <v>44</v>
      </c>
      <c r="M3949">
        <v>17.59</v>
      </c>
      <c r="T3949" t="s">
        <v>45</v>
      </c>
      <c r="U3949">
        <v>0</v>
      </c>
      <c r="V3949">
        <v>6</v>
      </c>
    </row>
    <row r="3950" spans="1:22" x14ac:dyDescent="0.3">
      <c r="A3950">
        <v>3949</v>
      </c>
      <c r="B3950">
        <v>54392</v>
      </c>
      <c r="C3950" s="2">
        <v>37692</v>
      </c>
      <c r="D3950">
        <v>22</v>
      </c>
      <c r="E3950" t="s">
        <v>36</v>
      </c>
      <c r="F3950" t="s">
        <v>50</v>
      </c>
      <c r="G3950" s="2">
        <v>45345</v>
      </c>
      <c r="H3950" s="3">
        <f t="shared" si="61"/>
        <v>1.726027397260274</v>
      </c>
      <c r="I3950">
        <v>46</v>
      </c>
      <c r="J3950" t="s">
        <v>38</v>
      </c>
      <c r="K3950" t="s">
        <v>65</v>
      </c>
      <c r="L3950" t="s">
        <v>44</v>
      </c>
      <c r="M3950">
        <v>10.64</v>
      </c>
      <c r="T3950" t="s">
        <v>45</v>
      </c>
      <c r="U3950">
        <v>0</v>
      </c>
      <c r="V3950">
        <v>3</v>
      </c>
    </row>
    <row r="3951" spans="1:22" x14ac:dyDescent="0.3">
      <c r="A3951">
        <v>3950</v>
      </c>
      <c r="B3951">
        <v>54393</v>
      </c>
      <c r="C3951" s="2">
        <v>39308</v>
      </c>
      <c r="D3951">
        <v>18</v>
      </c>
      <c r="E3951" t="s">
        <v>42</v>
      </c>
      <c r="F3951" t="s">
        <v>50</v>
      </c>
      <c r="G3951" s="2">
        <v>45392</v>
      </c>
      <c r="H3951" s="3">
        <f t="shared" si="61"/>
        <v>1.5808219178082192</v>
      </c>
      <c r="I3951">
        <v>46</v>
      </c>
      <c r="J3951" t="s">
        <v>38</v>
      </c>
      <c r="K3951" t="s">
        <v>48</v>
      </c>
      <c r="L3951" t="s">
        <v>44</v>
      </c>
      <c r="M3951">
        <v>8.4700000000000006</v>
      </c>
      <c r="T3951" t="s">
        <v>45</v>
      </c>
      <c r="U3951">
        <v>4</v>
      </c>
      <c r="V3951">
        <v>7</v>
      </c>
    </row>
    <row r="3952" spans="1:22" x14ac:dyDescent="0.3">
      <c r="A3952">
        <v>3951</v>
      </c>
      <c r="B3952">
        <v>54394</v>
      </c>
      <c r="C3952" s="2">
        <v>39253</v>
      </c>
      <c r="D3952">
        <v>18</v>
      </c>
      <c r="E3952" t="s">
        <v>42</v>
      </c>
      <c r="F3952" t="s">
        <v>50</v>
      </c>
      <c r="G3952" s="2">
        <v>45445</v>
      </c>
      <c r="H3952" s="3">
        <f t="shared" si="61"/>
        <v>1.7095890410958905</v>
      </c>
      <c r="I3952">
        <v>46</v>
      </c>
      <c r="J3952" t="s">
        <v>38</v>
      </c>
      <c r="K3952" t="s">
        <v>56</v>
      </c>
      <c r="L3952" t="s">
        <v>44</v>
      </c>
      <c r="M3952">
        <v>8.4700000000000006</v>
      </c>
      <c r="T3952" t="s">
        <v>45</v>
      </c>
      <c r="U3952">
        <v>2</v>
      </c>
      <c r="V3952">
        <v>7</v>
      </c>
    </row>
    <row r="3953" spans="1:22" x14ac:dyDescent="0.3">
      <c r="A3953">
        <v>3952</v>
      </c>
      <c r="B3953">
        <v>54395</v>
      </c>
      <c r="C3953" s="2">
        <v>36208</v>
      </c>
      <c r="D3953">
        <v>26</v>
      </c>
      <c r="E3953" t="s">
        <v>36</v>
      </c>
      <c r="F3953" t="s">
        <v>50</v>
      </c>
      <c r="G3953" s="2">
        <v>45398</v>
      </c>
      <c r="H3953" s="3">
        <f t="shared" si="61"/>
        <v>1.0082191780821919</v>
      </c>
      <c r="I3953">
        <v>48</v>
      </c>
      <c r="J3953" t="s">
        <v>38</v>
      </c>
      <c r="K3953" t="s">
        <v>55</v>
      </c>
      <c r="L3953" t="s">
        <v>44</v>
      </c>
      <c r="M3953">
        <v>17.59</v>
      </c>
      <c r="T3953" t="s">
        <v>45</v>
      </c>
      <c r="U3953">
        <v>2</v>
      </c>
      <c r="V3953">
        <v>6</v>
      </c>
    </row>
    <row r="3954" spans="1:22" x14ac:dyDescent="0.3">
      <c r="A3954">
        <v>3953</v>
      </c>
      <c r="B3954">
        <v>54396</v>
      </c>
      <c r="C3954" s="2">
        <v>38888</v>
      </c>
      <c r="D3954">
        <v>19</v>
      </c>
      <c r="E3954" t="s">
        <v>42</v>
      </c>
      <c r="F3954" t="s">
        <v>50</v>
      </c>
      <c r="G3954" s="2">
        <v>45654</v>
      </c>
      <c r="H3954" s="3">
        <f t="shared" si="61"/>
        <v>1.6219178082191781</v>
      </c>
      <c r="I3954">
        <v>73</v>
      </c>
      <c r="J3954" t="s">
        <v>57</v>
      </c>
      <c r="K3954" t="s">
        <v>56</v>
      </c>
      <c r="L3954" t="s">
        <v>44</v>
      </c>
      <c r="M3954">
        <v>8.4700000000000006</v>
      </c>
      <c r="T3954" t="s">
        <v>49</v>
      </c>
      <c r="U3954">
        <v>2</v>
      </c>
      <c r="V3954">
        <v>7</v>
      </c>
    </row>
    <row r="3955" spans="1:22" x14ac:dyDescent="0.3">
      <c r="A3955">
        <v>3954</v>
      </c>
      <c r="B3955">
        <v>54397</v>
      </c>
      <c r="C3955" s="2">
        <v>35464</v>
      </c>
      <c r="D3955">
        <v>28</v>
      </c>
      <c r="E3955" t="s">
        <v>36</v>
      </c>
      <c r="F3955" t="s">
        <v>50</v>
      </c>
      <c r="G3955" s="2">
        <v>45430</v>
      </c>
      <c r="H3955" s="3">
        <f t="shared" si="61"/>
        <v>1.3917808219178083</v>
      </c>
      <c r="I3955">
        <v>75</v>
      </c>
      <c r="J3955" t="s">
        <v>57</v>
      </c>
      <c r="K3955" t="s">
        <v>54</v>
      </c>
      <c r="L3955" t="s">
        <v>44</v>
      </c>
      <c r="M3955">
        <v>23.78</v>
      </c>
      <c r="T3955" t="s">
        <v>52</v>
      </c>
      <c r="U3955">
        <v>4</v>
      </c>
      <c r="V3955">
        <v>4</v>
      </c>
    </row>
    <row r="3956" spans="1:22" x14ac:dyDescent="0.3">
      <c r="A3956">
        <v>3955</v>
      </c>
      <c r="B3956">
        <v>54398</v>
      </c>
      <c r="C3956" s="2">
        <v>34912</v>
      </c>
      <c r="D3956">
        <v>31</v>
      </c>
      <c r="E3956" t="s">
        <v>36</v>
      </c>
      <c r="F3956" t="s">
        <v>50</v>
      </c>
      <c r="G3956" s="2">
        <v>45514</v>
      </c>
      <c r="H3956" s="3">
        <f t="shared" si="61"/>
        <v>1.7397260273972603</v>
      </c>
      <c r="I3956">
        <v>80</v>
      </c>
      <c r="J3956" t="s">
        <v>57</v>
      </c>
      <c r="K3956" t="s">
        <v>55</v>
      </c>
      <c r="L3956" t="s">
        <v>44</v>
      </c>
      <c r="M3956">
        <v>17.59</v>
      </c>
      <c r="T3956" t="s">
        <v>49</v>
      </c>
      <c r="U3956">
        <v>2</v>
      </c>
      <c r="V3956">
        <v>4</v>
      </c>
    </row>
    <row r="3957" spans="1:22" x14ac:dyDescent="0.3">
      <c r="A3957">
        <v>3956</v>
      </c>
      <c r="B3957">
        <v>54399</v>
      </c>
      <c r="C3957" s="2">
        <v>39174</v>
      </c>
      <c r="D3957">
        <v>18</v>
      </c>
      <c r="E3957" t="s">
        <v>36</v>
      </c>
      <c r="F3957" t="s">
        <v>50</v>
      </c>
      <c r="G3957" s="2">
        <v>45387</v>
      </c>
      <c r="H3957" s="3">
        <f t="shared" si="61"/>
        <v>1.7863013698630137</v>
      </c>
      <c r="I3957">
        <v>81</v>
      </c>
      <c r="J3957" t="s">
        <v>57</v>
      </c>
      <c r="K3957" t="s">
        <v>56</v>
      </c>
      <c r="L3957" t="s">
        <v>44</v>
      </c>
      <c r="M3957">
        <v>8.4700000000000006</v>
      </c>
      <c r="T3957" t="s">
        <v>47</v>
      </c>
      <c r="U3957">
        <v>2</v>
      </c>
      <c r="V3957">
        <v>5</v>
      </c>
    </row>
    <row r="3958" spans="1:22" x14ac:dyDescent="0.3">
      <c r="A3958">
        <v>3957</v>
      </c>
      <c r="B3958">
        <v>54400</v>
      </c>
      <c r="C3958" s="2">
        <v>38464</v>
      </c>
      <c r="D3958">
        <v>20</v>
      </c>
      <c r="E3958" t="s">
        <v>42</v>
      </c>
      <c r="F3958" t="s">
        <v>50</v>
      </c>
      <c r="G3958" s="2">
        <v>45370</v>
      </c>
      <c r="H3958" s="3">
        <f t="shared" si="61"/>
        <v>1.5698630136986302</v>
      </c>
      <c r="I3958">
        <v>104</v>
      </c>
      <c r="J3958" t="s">
        <v>57</v>
      </c>
      <c r="K3958" t="s">
        <v>56</v>
      </c>
      <c r="L3958" t="s">
        <v>44</v>
      </c>
      <c r="M3958">
        <v>8.4700000000000006</v>
      </c>
      <c r="T3958" t="s">
        <v>52</v>
      </c>
      <c r="U3958">
        <v>1</v>
      </c>
      <c r="V3958">
        <v>4</v>
      </c>
    </row>
    <row r="3959" spans="1:22" x14ac:dyDescent="0.3">
      <c r="A3959">
        <v>3958</v>
      </c>
      <c r="B3959">
        <v>54401</v>
      </c>
      <c r="C3959" s="2">
        <v>35774</v>
      </c>
      <c r="D3959">
        <v>28</v>
      </c>
      <c r="E3959" t="s">
        <v>42</v>
      </c>
      <c r="F3959" t="s">
        <v>37</v>
      </c>
      <c r="G3959" s="2">
        <v>45449</v>
      </c>
      <c r="H3959" s="3">
        <f t="shared" si="61"/>
        <v>1.4821917808219178</v>
      </c>
      <c r="I3959">
        <v>117</v>
      </c>
      <c r="J3959" t="s">
        <v>57</v>
      </c>
      <c r="K3959" t="s">
        <v>68</v>
      </c>
      <c r="L3959" t="s">
        <v>44</v>
      </c>
      <c r="M3959">
        <v>17</v>
      </c>
      <c r="T3959" t="s">
        <v>52</v>
      </c>
      <c r="U3959">
        <v>2</v>
      </c>
      <c r="V3959">
        <v>5</v>
      </c>
    </row>
    <row r="3960" spans="1:22" x14ac:dyDescent="0.3">
      <c r="A3960">
        <v>3959</v>
      </c>
      <c r="B3960">
        <v>54402</v>
      </c>
      <c r="C3960" s="2">
        <v>37454</v>
      </c>
      <c r="D3960">
        <v>23</v>
      </c>
      <c r="E3960" t="s">
        <v>36</v>
      </c>
      <c r="F3960" t="s">
        <v>50</v>
      </c>
      <c r="G3960" s="2">
        <v>45481</v>
      </c>
      <c r="H3960" s="3">
        <f t="shared" si="61"/>
        <v>1.2164383561643837</v>
      </c>
      <c r="I3960">
        <v>120</v>
      </c>
      <c r="J3960" t="s">
        <v>57</v>
      </c>
      <c r="K3960" t="s">
        <v>46</v>
      </c>
      <c r="L3960" t="s">
        <v>44</v>
      </c>
      <c r="M3960">
        <v>14.23</v>
      </c>
      <c r="T3960" t="s">
        <v>49</v>
      </c>
      <c r="U3960">
        <v>1</v>
      </c>
      <c r="V3960">
        <v>4</v>
      </c>
    </row>
    <row r="3961" spans="1:22" x14ac:dyDescent="0.3">
      <c r="A3961">
        <v>3960</v>
      </c>
      <c r="B3961">
        <v>54404</v>
      </c>
      <c r="C3961" s="2">
        <v>38909</v>
      </c>
      <c r="D3961">
        <v>19</v>
      </c>
      <c r="E3961" t="s">
        <v>36</v>
      </c>
      <c r="F3961" t="s">
        <v>50</v>
      </c>
      <c r="G3961" s="2">
        <v>45578</v>
      </c>
      <c r="H3961" s="3">
        <f t="shared" si="61"/>
        <v>1.2821917808219179</v>
      </c>
      <c r="I3961">
        <v>2</v>
      </c>
      <c r="J3961" t="s">
        <v>38</v>
      </c>
      <c r="K3961" t="s">
        <v>65</v>
      </c>
      <c r="L3961" t="s">
        <v>44</v>
      </c>
      <c r="M3961">
        <v>10.64</v>
      </c>
      <c r="T3961" t="s">
        <v>45</v>
      </c>
      <c r="U3961">
        <v>0</v>
      </c>
      <c r="V3961">
        <v>5</v>
      </c>
    </row>
    <row r="3962" spans="1:22" x14ac:dyDescent="0.3">
      <c r="A3962">
        <v>3961</v>
      </c>
      <c r="B3962">
        <v>54405</v>
      </c>
      <c r="C3962" s="2">
        <v>33867</v>
      </c>
      <c r="D3962">
        <v>33</v>
      </c>
      <c r="E3962" t="s">
        <v>36</v>
      </c>
      <c r="F3962" t="s">
        <v>50</v>
      </c>
      <c r="G3962" s="2">
        <v>45554</v>
      </c>
      <c r="H3962" s="3">
        <f t="shared" si="61"/>
        <v>1.1342465753424658</v>
      </c>
      <c r="I3962">
        <v>3</v>
      </c>
      <c r="J3962" t="s">
        <v>38</v>
      </c>
      <c r="K3962" t="s">
        <v>55</v>
      </c>
      <c r="L3962" t="s">
        <v>44</v>
      </c>
      <c r="M3962">
        <v>17.59</v>
      </c>
      <c r="T3962" t="s">
        <v>52</v>
      </c>
      <c r="U3962">
        <v>3</v>
      </c>
      <c r="V3962">
        <v>5</v>
      </c>
    </row>
    <row r="3963" spans="1:22" x14ac:dyDescent="0.3">
      <c r="A3963">
        <v>3962</v>
      </c>
      <c r="B3963">
        <v>54407</v>
      </c>
      <c r="C3963" s="2">
        <v>36413</v>
      </c>
      <c r="D3963">
        <v>26</v>
      </c>
      <c r="E3963" t="s">
        <v>42</v>
      </c>
      <c r="F3963" t="s">
        <v>37</v>
      </c>
      <c r="G3963" s="2">
        <v>45608</v>
      </c>
      <c r="H3963" s="3">
        <f t="shared" si="61"/>
        <v>1.4712328767123288</v>
      </c>
      <c r="I3963">
        <v>5</v>
      </c>
      <c r="J3963" t="s">
        <v>38</v>
      </c>
      <c r="K3963" t="s">
        <v>68</v>
      </c>
      <c r="L3963" t="s">
        <v>44</v>
      </c>
      <c r="M3963">
        <v>17</v>
      </c>
      <c r="T3963" t="s">
        <v>45</v>
      </c>
      <c r="U3963">
        <v>3</v>
      </c>
      <c r="V3963">
        <v>6</v>
      </c>
    </row>
    <row r="3964" spans="1:22" x14ac:dyDescent="0.3">
      <c r="A3964">
        <v>3963</v>
      </c>
      <c r="B3964">
        <v>54408</v>
      </c>
      <c r="C3964" s="2">
        <v>35087</v>
      </c>
      <c r="D3964">
        <v>29</v>
      </c>
      <c r="E3964" t="s">
        <v>42</v>
      </c>
      <c r="F3964" t="s">
        <v>50</v>
      </c>
      <c r="G3964" s="2">
        <v>45485</v>
      </c>
      <c r="H3964" s="3">
        <f t="shared" si="61"/>
        <v>1.747945205479452</v>
      </c>
      <c r="I3964">
        <v>5</v>
      </c>
      <c r="J3964" t="s">
        <v>38</v>
      </c>
      <c r="K3964" t="s">
        <v>65</v>
      </c>
      <c r="L3964" t="s">
        <v>44</v>
      </c>
      <c r="M3964">
        <v>10.64</v>
      </c>
      <c r="T3964" t="s">
        <v>52</v>
      </c>
      <c r="U3964">
        <v>0</v>
      </c>
      <c r="V3964">
        <v>5</v>
      </c>
    </row>
    <row r="3965" spans="1:22" x14ac:dyDescent="0.3">
      <c r="A3965">
        <v>3964</v>
      </c>
      <c r="B3965">
        <v>54409</v>
      </c>
      <c r="C3965" s="2">
        <v>37671</v>
      </c>
      <c r="D3965">
        <v>22</v>
      </c>
      <c r="E3965" t="s">
        <v>42</v>
      </c>
      <c r="F3965" t="s">
        <v>50</v>
      </c>
      <c r="G3965" s="2">
        <v>45384</v>
      </c>
      <c r="H3965" s="3">
        <f t="shared" si="61"/>
        <v>1.6</v>
      </c>
      <c r="I3965">
        <v>5</v>
      </c>
      <c r="J3965" t="s">
        <v>38</v>
      </c>
      <c r="K3965" t="s">
        <v>56</v>
      </c>
      <c r="L3965" t="s">
        <v>44</v>
      </c>
      <c r="M3965">
        <v>8.4700000000000006</v>
      </c>
      <c r="T3965" t="s">
        <v>52</v>
      </c>
      <c r="U3965">
        <v>3</v>
      </c>
      <c r="V3965">
        <v>6</v>
      </c>
    </row>
    <row r="3966" spans="1:22" x14ac:dyDescent="0.3">
      <c r="A3966">
        <v>3965</v>
      </c>
      <c r="B3966">
        <v>54410</v>
      </c>
      <c r="C3966" s="2">
        <v>36572</v>
      </c>
      <c r="D3966">
        <v>25</v>
      </c>
      <c r="E3966" t="s">
        <v>42</v>
      </c>
      <c r="F3966" t="s">
        <v>37</v>
      </c>
      <c r="G3966" s="2">
        <v>45438</v>
      </c>
      <c r="H3966" s="3">
        <f t="shared" si="61"/>
        <v>1.3863013698630138</v>
      </c>
      <c r="I3966">
        <v>6</v>
      </c>
      <c r="J3966" t="s">
        <v>38</v>
      </c>
      <c r="K3966" t="s">
        <v>68</v>
      </c>
      <c r="L3966" t="s">
        <v>44</v>
      </c>
      <c r="M3966">
        <v>17</v>
      </c>
      <c r="T3966" t="s">
        <v>45</v>
      </c>
      <c r="U3966">
        <v>3</v>
      </c>
      <c r="V3966">
        <v>7</v>
      </c>
    </row>
    <row r="3967" spans="1:22" x14ac:dyDescent="0.3">
      <c r="A3967">
        <v>3966</v>
      </c>
      <c r="B3967">
        <v>54411</v>
      </c>
      <c r="C3967" s="2">
        <v>37111</v>
      </c>
      <c r="D3967">
        <v>24</v>
      </c>
      <c r="E3967" t="s">
        <v>42</v>
      </c>
      <c r="F3967" t="s">
        <v>50</v>
      </c>
      <c r="G3967" s="2">
        <v>45516</v>
      </c>
      <c r="H3967" s="3">
        <f t="shared" si="61"/>
        <v>1.558904109589041</v>
      </c>
      <c r="I3967">
        <v>9</v>
      </c>
      <c r="J3967" t="s">
        <v>38</v>
      </c>
      <c r="K3967" t="s">
        <v>56</v>
      </c>
      <c r="L3967" t="s">
        <v>44</v>
      </c>
      <c r="M3967">
        <v>8.4700000000000006</v>
      </c>
      <c r="T3967" t="s">
        <v>45</v>
      </c>
      <c r="U3967">
        <v>2</v>
      </c>
      <c r="V3967">
        <v>6</v>
      </c>
    </row>
    <row r="3968" spans="1:22" x14ac:dyDescent="0.3">
      <c r="A3968">
        <v>3967</v>
      </c>
      <c r="B3968">
        <v>54412</v>
      </c>
      <c r="C3968" s="2">
        <v>36886</v>
      </c>
      <c r="D3968">
        <v>25</v>
      </c>
      <c r="E3968" t="s">
        <v>42</v>
      </c>
      <c r="F3968" t="s">
        <v>50</v>
      </c>
      <c r="G3968" s="2">
        <v>45453</v>
      </c>
      <c r="H3968" s="3">
        <f t="shared" si="61"/>
        <v>1.2767123287671234</v>
      </c>
      <c r="I3968">
        <v>10</v>
      </c>
      <c r="J3968" t="s">
        <v>38</v>
      </c>
      <c r="K3968" t="s">
        <v>56</v>
      </c>
      <c r="L3968" t="s">
        <v>44</v>
      </c>
      <c r="M3968">
        <v>8.4700000000000006</v>
      </c>
      <c r="T3968" t="s">
        <v>52</v>
      </c>
      <c r="U3968">
        <v>1</v>
      </c>
      <c r="V3968">
        <v>7</v>
      </c>
    </row>
    <row r="3969" spans="1:22" x14ac:dyDescent="0.3">
      <c r="A3969">
        <v>3968</v>
      </c>
      <c r="B3969">
        <v>54413</v>
      </c>
      <c r="C3969" s="2">
        <v>37944</v>
      </c>
      <c r="D3969">
        <v>22</v>
      </c>
      <c r="E3969" t="s">
        <v>42</v>
      </c>
      <c r="F3969" t="s">
        <v>50</v>
      </c>
      <c r="G3969" s="2">
        <v>45556</v>
      </c>
      <c r="H3969" s="3">
        <f t="shared" si="61"/>
        <v>1.3287671232876712</v>
      </c>
      <c r="I3969">
        <v>11</v>
      </c>
      <c r="J3969" t="s">
        <v>38</v>
      </c>
      <c r="K3969" t="s">
        <v>56</v>
      </c>
      <c r="L3969" t="s">
        <v>44</v>
      </c>
      <c r="M3969">
        <v>8.4700000000000006</v>
      </c>
      <c r="T3969" t="s">
        <v>45</v>
      </c>
      <c r="U3969">
        <v>3</v>
      </c>
      <c r="V3969">
        <v>6</v>
      </c>
    </row>
    <row r="3970" spans="1:22" x14ac:dyDescent="0.3">
      <c r="A3970">
        <v>3969</v>
      </c>
      <c r="B3970">
        <v>54414</v>
      </c>
      <c r="C3970" s="2">
        <v>35156</v>
      </c>
      <c r="D3970">
        <v>30</v>
      </c>
      <c r="E3970" t="s">
        <v>36</v>
      </c>
      <c r="F3970" t="s">
        <v>37</v>
      </c>
      <c r="G3970" s="2">
        <v>45537</v>
      </c>
      <c r="H3970" s="3">
        <f t="shared" si="61"/>
        <v>1.5835616438356164</v>
      </c>
      <c r="I3970">
        <v>13</v>
      </c>
      <c r="J3970" t="s">
        <v>38</v>
      </c>
      <c r="K3970" t="s">
        <v>54</v>
      </c>
      <c r="L3970" t="s">
        <v>44</v>
      </c>
      <c r="M3970">
        <v>23.78</v>
      </c>
      <c r="T3970" t="s">
        <v>49</v>
      </c>
      <c r="U3970">
        <v>3</v>
      </c>
      <c r="V3970">
        <v>6</v>
      </c>
    </row>
    <row r="3971" spans="1:22" x14ac:dyDescent="0.3">
      <c r="A3971">
        <v>3970</v>
      </c>
      <c r="B3971">
        <v>54415</v>
      </c>
      <c r="C3971" s="2">
        <v>34769</v>
      </c>
      <c r="D3971">
        <v>30</v>
      </c>
      <c r="E3971" t="s">
        <v>42</v>
      </c>
      <c r="F3971" t="s">
        <v>37</v>
      </c>
      <c r="G3971" s="2">
        <v>45444</v>
      </c>
      <c r="H3971" s="3">
        <f t="shared" ref="H3971:H4034" si="62">DATEDIF(G3972,DATE(2025,12,31),"d")/365</f>
        <v>1.5315068493150685</v>
      </c>
      <c r="I3971">
        <v>17</v>
      </c>
      <c r="J3971" t="s">
        <v>38</v>
      </c>
      <c r="K3971" t="s">
        <v>56</v>
      </c>
      <c r="L3971" t="s">
        <v>44</v>
      </c>
      <c r="M3971">
        <v>8.4700000000000006</v>
      </c>
      <c r="T3971" t="s">
        <v>45</v>
      </c>
      <c r="U3971">
        <v>2</v>
      </c>
      <c r="V3971">
        <v>7</v>
      </c>
    </row>
    <row r="3972" spans="1:22" x14ac:dyDescent="0.3">
      <c r="A3972">
        <v>3971</v>
      </c>
      <c r="B3972">
        <v>54416</v>
      </c>
      <c r="C3972" s="2">
        <v>37918</v>
      </c>
      <c r="D3972">
        <v>22</v>
      </c>
      <c r="E3972" t="s">
        <v>36</v>
      </c>
      <c r="F3972" t="s">
        <v>50</v>
      </c>
      <c r="G3972" s="2">
        <v>45463</v>
      </c>
      <c r="H3972" s="3">
        <f t="shared" si="62"/>
        <v>1.1917808219178083</v>
      </c>
      <c r="I3972">
        <v>18</v>
      </c>
      <c r="J3972" t="s">
        <v>38</v>
      </c>
      <c r="K3972" t="s">
        <v>65</v>
      </c>
      <c r="L3972" t="s">
        <v>44</v>
      </c>
      <c r="M3972">
        <v>10.64</v>
      </c>
      <c r="T3972" t="s">
        <v>45</v>
      </c>
      <c r="U3972">
        <v>0</v>
      </c>
      <c r="V3972">
        <v>3</v>
      </c>
    </row>
    <row r="3973" spans="1:22" x14ac:dyDescent="0.3">
      <c r="A3973">
        <v>3972</v>
      </c>
      <c r="B3973">
        <v>54417</v>
      </c>
      <c r="C3973" s="2">
        <v>37326</v>
      </c>
      <c r="D3973">
        <v>23</v>
      </c>
      <c r="E3973" t="s">
        <v>42</v>
      </c>
      <c r="F3973" t="s">
        <v>37</v>
      </c>
      <c r="G3973" s="2">
        <v>45587</v>
      </c>
      <c r="H3973" s="3">
        <f t="shared" si="62"/>
        <v>1.484931506849315</v>
      </c>
      <c r="I3973">
        <v>18</v>
      </c>
      <c r="J3973" t="s">
        <v>38</v>
      </c>
      <c r="K3973" t="s">
        <v>56</v>
      </c>
      <c r="L3973" t="s">
        <v>44</v>
      </c>
      <c r="M3973">
        <v>8.4700000000000006</v>
      </c>
      <c r="T3973" t="s">
        <v>45</v>
      </c>
      <c r="U3973">
        <v>4</v>
      </c>
      <c r="V3973">
        <v>6</v>
      </c>
    </row>
    <row r="3974" spans="1:22" x14ac:dyDescent="0.3">
      <c r="A3974">
        <v>3973</v>
      </c>
      <c r="B3974">
        <v>54418</v>
      </c>
      <c r="C3974" s="2">
        <v>36086</v>
      </c>
      <c r="D3974">
        <v>27</v>
      </c>
      <c r="E3974" t="s">
        <v>42</v>
      </c>
      <c r="F3974" t="s">
        <v>50</v>
      </c>
      <c r="G3974" s="2">
        <v>45480</v>
      </c>
      <c r="H3974" s="3">
        <f t="shared" si="62"/>
        <v>1</v>
      </c>
      <c r="I3974">
        <v>18</v>
      </c>
      <c r="J3974" t="s">
        <v>38</v>
      </c>
      <c r="K3974" t="s">
        <v>56</v>
      </c>
      <c r="L3974" t="s">
        <v>44</v>
      </c>
      <c r="M3974">
        <v>8.4700000000000006</v>
      </c>
      <c r="T3974" t="s">
        <v>52</v>
      </c>
      <c r="U3974">
        <v>1</v>
      </c>
      <c r="V3974">
        <v>5</v>
      </c>
    </row>
    <row r="3975" spans="1:22" x14ac:dyDescent="0.3">
      <c r="A3975">
        <v>3974</v>
      </c>
      <c r="B3975">
        <v>54419</v>
      </c>
      <c r="C3975" s="2">
        <v>37015</v>
      </c>
      <c r="D3975">
        <v>24</v>
      </c>
      <c r="E3975" t="s">
        <v>42</v>
      </c>
      <c r="F3975" t="s">
        <v>50</v>
      </c>
      <c r="G3975" s="2">
        <v>45657</v>
      </c>
      <c r="H3975" s="3">
        <f t="shared" si="62"/>
        <v>1.3890410958904109</v>
      </c>
      <c r="I3975">
        <v>19</v>
      </c>
      <c r="J3975" t="s">
        <v>38</v>
      </c>
      <c r="K3975" t="s">
        <v>56</v>
      </c>
      <c r="L3975" t="s">
        <v>44</v>
      </c>
      <c r="M3975">
        <v>8.4700000000000006</v>
      </c>
      <c r="T3975" t="s">
        <v>52</v>
      </c>
      <c r="U3975">
        <v>1</v>
      </c>
      <c r="V3975">
        <v>6</v>
      </c>
    </row>
    <row r="3976" spans="1:22" x14ac:dyDescent="0.3">
      <c r="A3976">
        <v>3975</v>
      </c>
      <c r="B3976">
        <v>54420</v>
      </c>
      <c r="C3976" s="2">
        <v>38279</v>
      </c>
      <c r="D3976">
        <v>21</v>
      </c>
      <c r="E3976" t="s">
        <v>42</v>
      </c>
      <c r="F3976" t="s">
        <v>50</v>
      </c>
      <c r="G3976" s="2">
        <v>45515</v>
      </c>
      <c r="H3976" s="3">
        <f t="shared" si="62"/>
        <v>1.5205479452054795</v>
      </c>
      <c r="I3976">
        <v>20</v>
      </c>
      <c r="J3976" t="s">
        <v>38</v>
      </c>
      <c r="K3976" t="s">
        <v>56</v>
      </c>
      <c r="L3976" t="s">
        <v>44</v>
      </c>
      <c r="M3976">
        <v>8.4700000000000006</v>
      </c>
      <c r="T3976" t="s">
        <v>49</v>
      </c>
      <c r="U3976">
        <v>0</v>
      </c>
      <c r="V3976">
        <v>5</v>
      </c>
    </row>
    <row r="3977" spans="1:22" x14ac:dyDescent="0.3">
      <c r="A3977">
        <v>3976</v>
      </c>
      <c r="B3977">
        <v>54421</v>
      </c>
      <c r="C3977" s="2">
        <v>37406</v>
      </c>
      <c r="D3977">
        <v>23</v>
      </c>
      <c r="E3977" t="s">
        <v>42</v>
      </c>
      <c r="F3977" t="s">
        <v>50</v>
      </c>
      <c r="G3977" s="2">
        <v>45467</v>
      </c>
      <c r="H3977" s="3">
        <f t="shared" si="62"/>
        <v>1.7424657534246575</v>
      </c>
      <c r="I3977">
        <v>21</v>
      </c>
      <c r="J3977" t="s">
        <v>38</v>
      </c>
      <c r="K3977" t="s">
        <v>65</v>
      </c>
      <c r="L3977" t="s">
        <v>44</v>
      </c>
      <c r="M3977">
        <v>10.64</v>
      </c>
      <c r="T3977" t="s">
        <v>45</v>
      </c>
      <c r="U3977">
        <v>1</v>
      </c>
      <c r="V3977">
        <v>5</v>
      </c>
    </row>
    <row r="3978" spans="1:22" x14ac:dyDescent="0.3">
      <c r="A3978">
        <v>3977</v>
      </c>
      <c r="B3978">
        <v>54422</v>
      </c>
      <c r="C3978" s="2">
        <v>34322</v>
      </c>
      <c r="D3978">
        <v>32</v>
      </c>
      <c r="E3978" t="s">
        <v>42</v>
      </c>
      <c r="F3978" t="s">
        <v>50</v>
      </c>
      <c r="G3978" s="2">
        <v>45386</v>
      </c>
      <c r="H3978" s="3">
        <f t="shared" si="62"/>
        <v>1.0520547945205478</v>
      </c>
      <c r="I3978">
        <v>22</v>
      </c>
      <c r="J3978" t="s">
        <v>38</v>
      </c>
      <c r="K3978" t="s">
        <v>68</v>
      </c>
      <c r="L3978" t="s">
        <v>44</v>
      </c>
      <c r="M3978">
        <v>17</v>
      </c>
      <c r="T3978" t="s">
        <v>45</v>
      </c>
      <c r="U3978">
        <v>0</v>
      </c>
      <c r="V3978">
        <v>5</v>
      </c>
    </row>
    <row r="3979" spans="1:22" x14ac:dyDescent="0.3">
      <c r="A3979">
        <v>3978</v>
      </c>
      <c r="B3979">
        <v>54423</v>
      </c>
      <c r="C3979" s="2">
        <v>38344</v>
      </c>
      <c r="D3979">
        <v>21</v>
      </c>
      <c r="E3979" t="s">
        <v>42</v>
      </c>
      <c r="F3979" t="s">
        <v>50</v>
      </c>
      <c r="G3979" s="2">
        <v>45638</v>
      </c>
      <c r="H3979" s="3">
        <f t="shared" si="62"/>
        <v>1.3013698630136987</v>
      </c>
      <c r="I3979">
        <v>25</v>
      </c>
      <c r="J3979" t="s">
        <v>38</v>
      </c>
      <c r="K3979" t="s">
        <v>56</v>
      </c>
      <c r="L3979" t="s">
        <v>44</v>
      </c>
      <c r="M3979">
        <v>8.4700000000000006</v>
      </c>
      <c r="T3979" t="s">
        <v>52</v>
      </c>
      <c r="U3979">
        <v>4</v>
      </c>
      <c r="V3979">
        <v>7</v>
      </c>
    </row>
    <row r="3980" spans="1:22" x14ac:dyDescent="0.3">
      <c r="A3980">
        <v>3979</v>
      </c>
      <c r="B3980">
        <v>54424</v>
      </c>
      <c r="C3980" s="2">
        <v>37708</v>
      </c>
      <c r="D3980">
        <v>22</v>
      </c>
      <c r="E3980" t="s">
        <v>36</v>
      </c>
      <c r="F3980" t="s">
        <v>50</v>
      </c>
      <c r="G3980" s="2">
        <v>45547</v>
      </c>
      <c r="H3980" s="3">
        <f t="shared" si="62"/>
        <v>1.1123287671232878</v>
      </c>
      <c r="I3980">
        <v>27</v>
      </c>
      <c r="J3980" t="s">
        <v>38</v>
      </c>
      <c r="K3980" t="s">
        <v>65</v>
      </c>
      <c r="L3980" t="s">
        <v>44</v>
      </c>
      <c r="M3980">
        <v>10.64</v>
      </c>
      <c r="T3980" t="s">
        <v>45</v>
      </c>
      <c r="U3980">
        <v>1</v>
      </c>
      <c r="V3980">
        <v>4</v>
      </c>
    </row>
    <row r="3981" spans="1:22" x14ac:dyDescent="0.3">
      <c r="A3981">
        <v>3980</v>
      </c>
      <c r="B3981">
        <v>54425</v>
      </c>
      <c r="C3981" s="2">
        <v>35654</v>
      </c>
      <c r="D3981">
        <v>28</v>
      </c>
      <c r="E3981" t="s">
        <v>36</v>
      </c>
      <c r="F3981" t="s">
        <v>37</v>
      </c>
      <c r="G3981" s="2">
        <v>45616</v>
      </c>
      <c r="H3981" s="3">
        <f t="shared" si="62"/>
        <v>1.7287671232876711</v>
      </c>
      <c r="I3981">
        <v>28</v>
      </c>
      <c r="J3981" t="s">
        <v>38</v>
      </c>
      <c r="K3981" t="s">
        <v>68</v>
      </c>
      <c r="L3981" t="s">
        <v>44</v>
      </c>
      <c r="M3981">
        <v>17</v>
      </c>
      <c r="T3981" t="s">
        <v>52</v>
      </c>
      <c r="U3981">
        <v>0</v>
      </c>
      <c r="V3981">
        <v>2</v>
      </c>
    </row>
    <row r="3982" spans="1:22" x14ac:dyDescent="0.3">
      <c r="A3982">
        <v>3981</v>
      </c>
      <c r="B3982">
        <v>54426</v>
      </c>
      <c r="C3982" s="2">
        <v>39146</v>
      </c>
      <c r="D3982">
        <v>18</v>
      </c>
      <c r="E3982" t="s">
        <v>36</v>
      </c>
      <c r="F3982" t="s">
        <v>50</v>
      </c>
      <c r="G3982" s="2">
        <v>45391</v>
      </c>
      <c r="H3982" s="3">
        <f t="shared" si="62"/>
        <v>1.1917808219178083</v>
      </c>
      <c r="I3982">
        <v>28</v>
      </c>
      <c r="J3982" t="s">
        <v>38</v>
      </c>
      <c r="K3982" t="s">
        <v>56</v>
      </c>
      <c r="L3982" t="s">
        <v>44</v>
      </c>
      <c r="M3982">
        <v>8.4700000000000006</v>
      </c>
      <c r="T3982" t="s">
        <v>47</v>
      </c>
      <c r="U3982">
        <v>0</v>
      </c>
      <c r="V3982">
        <v>6</v>
      </c>
    </row>
    <row r="3983" spans="1:22" x14ac:dyDescent="0.3">
      <c r="A3983">
        <v>3982</v>
      </c>
      <c r="B3983">
        <v>54427</v>
      </c>
      <c r="C3983" s="2">
        <v>32660</v>
      </c>
      <c r="D3983">
        <v>37</v>
      </c>
      <c r="E3983" t="s">
        <v>36</v>
      </c>
      <c r="F3983" t="s">
        <v>50</v>
      </c>
      <c r="G3983" s="2">
        <v>45587</v>
      </c>
      <c r="H3983" s="3">
        <f t="shared" si="62"/>
        <v>1.2986301369863014</v>
      </c>
      <c r="I3983">
        <v>29</v>
      </c>
      <c r="J3983" t="s">
        <v>38</v>
      </c>
      <c r="K3983" t="s">
        <v>55</v>
      </c>
      <c r="L3983" t="s">
        <v>44</v>
      </c>
      <c r="M3983">
        <v>17.59</v>
      </c>
      <c r="T3983" t="s">
        <v>45</v>
      </c>
      <c r="U3983">
        <v>4</v>
      </c>
      <c r="V3983">
        <v>4</v>
      </c>
    </row>
    <row r="3984" spans="1:22" x14ac:dyDescent="0.3">
      <c r="A3984">
        <v>3983</v>
      </c>
      <c r="B3984">
        <v>54428</v>
      </c>
      <c r="C3984" s="2">
        <v>37987</v>
      </c>
      <c r="D3984">
        <v>22</v>
      </c>
      <c r="E3984" t="s">
        <v>42</v>
      </c>
      <c r="F3984" t="s">
        <v>50</v>
      </c>
      <c r="G3984" s="2">
        <v>45548</v>
      </c>
      <c r="H3984" s="3">
        <f t="shared" si="62"/>
        <v>1.3315068493150686</v>
      </c>
      <c r="I3984">
        <v>30</v>
      </c>
      <c r="J3984" t="s">
        <v>38</v>
      </c>
      <c r="K3984" t="s">
        <v>65</v>
      </c>
      <c r="L3984" t="s">
        <v>44</v>
      </c>
      <c r="M3984">
        <v>10.64</v>
      </c>
      <c r="T3984" t="s">
        <v>52</v>
      </c>
      <c r="U3984">
        <v>1</v>
      </c>
      <c r="V3984">
        <v>5</v>
      </c>
    </row>
    <row r="3985" spans="1:22" x14ac:dyDescent="0.3">
      <c r="A3985">
        <v>3984</v>
      </c>
      <c r="B3985">
        <v>54429</v>
      </c>
      <c r="C3985" s="2">
        <v>37362</v>
      </c>
      <c r="D3985">
        <v>23</v>
      </c>
      <c r="E3985" t="s">
        <v>42</v>
      </c>
      <c r="F3985" t="s">
        <v>37</v>
      </c>
      <c r="G3985" s="2">
        <v>45536</v>
      </c>
      <c r="H3985" s="3">
        <f t="shared" si="62"/>
        <v>1.3068493150684932</v>
      </c>
      <c r="I3985">
        <v>31</v>
      </c>
      <c r="J3985" t="s">
        <v>38</v>
      </c>
      <c r="K3985" t="s">
        <v>43</v>
      </c>
      <c r="L3985" t="s">
        <v>44</v>
      </c>
      <c r="M3985">
        <v>16.37</v>
      </c>
      <c r="T3985" t="s">
        <v>49</v>
      </c>
      <c r="U3985">
        <v>1</v>
      </c>
      <c r="V3985">
        <v>5</v>
      </c>
    </row>
    <row r="3986" spans="1:22" x14ac:dyDescent="0.3">
      <c r="A3986">
        <v>3985</v>
      </c>
      <c r="B3986">
        <v>54430</v>
      </c>
      <c r="C3986" s="2">
        <v>36704</v>
      </c>
      <c r="D3986">
        <v>25</v>
      </c>
      <c r="E3986" t="s">
        <v>36</v>
      </c>
      <c r="F3986" t="s">
        <v>37</v>
      </c>
      <c r="G3986" s="2">
        <v>45545</v>
      </c>
      <c r="H3986" s="3">
        <f t="shared" si="62"/>
        <v>1.7534246575342465</v>
      </c>
      <c r="I3986">
        <v>32</v>
      </c>
      <c r="J3986" t="s">
        <v>38</v>
      </c>
      <c r="K3986" t="s">
        <v>65</v>
      </c>
      <c r="L3986" t="s">
        <v>44</v>
      </c>
      <c r="M3986">
        <v>10.64</v>
      </c>
      <c r="T3986" t="s">
        <v>47</v>
      </c>
      <c r="U3986">
        <v>0</v>
      </c>
      <c r="V3986">
        <v>4</v>
      </c>
    </row>
    <row r="3987" spans="1:22" x14ac:dyDescent="0.3">
      <c r="A3987">
        <v>3986</v>
      </c>
      <c r="B3987">
        <v>54431</v>
      </c>
      <c r="C3987" s="2">
        <v>38902</v>
      </c>
      <c r="D3987">
        <v>19</v>
      </c>
      <c r="E3987" t="s">
        <v>36</v>
      </c>
      <c r="F3987" t="s">
        <v>37</v>
      </c>
      <c r="G3987" s="2">
        <v>45382</v>
      </c>
      <c r="H3987" s="3">
        <f t="shared" si="62"/>
        <v>1.0465753424657533</v>
      </c>
      <c r="I3987">
        <v>32</v>
      </c>
      <c r="J3987" t="s">
        <v>38</v>
      </c>
      <c r="K3987" t="s">
        <v>56</v>
      </c>
      <c r="L3987" t="s">
        <v>44</v>
      </c>
      <c r="M3987">
        <v>8.4700000000000006</v>
      </c>
      <c r="T3987" t="s">
        <v>47</v>
      </c>
      <c r="U3987">
        <v>4</v>
      </c>
      <c r="V3987">
        <v>5</v>
      </c>
    </row>
    <row r="3988" spans="1:22" x14ac:dyDescent="0.3">
      <c r="A3988">
        <v>3987</v>
      </c>
      <c r="B3988">
        <v>54432</v>
      </c>
      <c r="C3988" s="2">
        <v>38870</v>
      </c>
      <c r="D3988">
        <v>19</v>
      </c>
      <c r="E3988" t="s">
        <v>36</v>
      </c>
      <c r="F3988" t="s">
        <v>50</v>
      </c>
      <c r="G3988" s="2">
        <v>45640</v>
      </c>
      <c r="H3988" s="3">
        <f t="shared" si="62"/>
        <v>1.6684931506849314</v>
      </c>
      <c r="I3988">
        <v>33</v>
      </c>
      <c r="J3988" t="s">
        <v>38</v>
      </c>
      <c r="K3988" t="s">
        <v>56</v>
      </c>
      <c r="L3988" t="s">
        <v>44</v>
      </c>
      <c r="M3988">
        <v>8.4700000000000006</v>
      </c>
      <c r="T3988" t="s">
        <v>45</v>
      </c>
      <c r="U3988">
        <v>2</v>
      </c>
      <c r="V3988">
        <v>4</v>
      </c>
    </row>
    <row r="3989" spans="1:22" x14ac:dyDescent="0.3">
      <c r="A3989">
        <v>3988</v>
      </c>
      <c r="B3989">
        <v>54433</v>
      </c>
      <c r="C3989" s="2">
        <v>35552</v>
      </c>
      <c r="D3989">
        <v>28</v>
      </c>
      <c r="E3989" t="s">
        <v>42</v>
      </c>
      <c r="F3989" t="s">
        <v>50</v>
      </c>
      <c r="G3989" s="2">
        <v>45413</v>
      </c>
      <c r="H3989" s="3">
        <f t="shared" si="62"/>
        <v>1.4191780821917808</v>
      </c>
      <c r="I3989">
        <v>36</v>
      </c>
      <c r="J3989" t="s">
        <v>38</v>
      </c>
      <c r="K3989" t="s">
        <v>56</v>
      </c>
      <c r="L3989" t="s">
        <v>44</v>
      </c>
      <c r="M3989">
        <v>8.4700000000000006</v>
      </c>
      <c r="T3989" t="s">
        <v>49</v>
      </c>
      <c r="U3989">
        <v>4</v>
      </c>
      <c r="V3989">
        <v>6</v>
      </c>
    </row>
    <row r="3990" spans="1:22" x14ac:dyDescent="0.3">
      <c r="A3990">
        <v>3989</v>
      </c>
      <c r="B3990">
        <v>54434</v>
      </c>
      <c r="C3990" s="2">
        <v>37368</v>
      </c>
      <c r="D3990">
        <v>23</v>
      </c>
      <c r="E3990" t="s">
        <v>36</v>
      </c>
      <c r="F3990" t="s">
        <v>37</v>
      </c>
      <c r="G3990" s="2">
        <v>45504</v>
      </c>
      <c r="H3990" s="3">
        <f t="shared" si="62"/>
        <v>1.2027397260273973</v>
      </c>
      <c r="I3990">
        <v>37</v>
      </c>
      <c r="J3990" t="s">
        <v>38</v>
      </c>
      <c r="K3990" t="s">
        <v>46</v>
      </c>
      <c r="L3990" t="s">
        <v>44</v>
      </c>
      <c r="M3990">
        <v>14.23</v>
      </c>
      <c r="T3990" t="s">
        <v>49</v>
      </c>
      <c r="U3990">
        <v>1</v>
      </c>
      <c r="V3990">
        <v>3</v>
      </c>
    </row>
    <row r="3991" spans="1:22" x14ac:dyDescent="0.3">
      <c r="A3991">
        <v>3990</v>
      </c>
      <c r="B3991">
        <v>54435</v>
      </c>
      <c r="C3991" s="2">
        <v>39080</v>
      </c>
      <c r="D3991">
        <v>19</v>
      </c>
      <c r="E3991" t="s">
        <v>42</v>
      </c>
      <c r="F3991" t="s">
        <v>50</v>
      </c>
      <c r="G3991" s="2">
        <v>45583</v>
      </c>
      <c r="H3991" s="3">
        <f t="shared" si="62"/>
        <v>1.4931506849315068</v>
      </c>
      <c r="I3991">
        <v>37</v>
      </c>
      <c r="J3991" t="s">
        <v>38</v>
      </c>
      <c r="K3991" t="s">
        <v>48</v>
      </c>
      <c r="L3991" t="s">
        <v>44</v>
      </c>
      <c r="M3991">
        <v>8.4700000000000006</v>
      </c>
      <c r="T3991" t="s">
        <v>47</v>
      </c>
      <c r="U3991">
        <v>2</v>
      </c>
      <c r="V3991">
        <v>6</v>
      </c>
    </row>
    <row r="3992" spans="1:22" x14ac:dyDescent="0.3">
      <c r="A3992">
        <v>3991</v>
      </c>
      <c r="B3992">
        <v>54436</v>
      </c>
      <c r="C3992" s="2">
        <v>38628</v>
      </c>
      <c r="D3992">
        <v>20</v>
      </c>
      <c r="E3992" t="s">
        <v>42</v>
      </c>
      <c r="F3992" t="s">
        <v>50</v>
      </c>
      <c r="G3992" s="2">
        <v>45477</v>
      </c>
      <c r="H3992" s="3">
        <f t="shared" si="62"/>
        <v>1.8986301369863015</v>
      </c>
      <c r="I3992">
        <v>37</v>
      </c>
      <c r="J3992" t="s">
        <v>38</v>
      </c>
      <c r="K3992" t="s">
        <v>56</v>
      </c>
      <c r="L3992" t="s">
        <v>44</v>
      </c>
      <c r="M3992">
        <v>8.4700000000000006</v>
      </c>
      <c r="T3992" t="s">
        <v>47</v>
      </c>
      <c r="U3992">
        <v>3</v>
      </c>
      <c r="V3992">
        <v>7</v>
      </c>
    </row>
    <row r="3993" spans="1:22" x14ac:dyDescent="0.3">
      <c r="A3993">
        <v>3992</v>
      </c>
      <c r="B3993">
        <v>54437</v>
      </c>
      <c r="C3993" s="2">
        <v>38914</v>
      </c>
      <c r="D3993">
        <v>19</v>
      </c>
      <c r="E3993" t="s">
        <v>36</v>
      </c>
      <c r="F3993" t="s">
        <v>50</v>
      </c>
      <c r="G3993" s="2">
        <v>45329</v>
      </c>
      <c r="H3993" s="3">
        <f t="shared" si="62"/>
        <v>1.2082191780821918</v>
      </c>
      <c r="I3993">
        <v>39</v>
      </c>
      <c r="J3993" t="s">
        <v>38</v>
      </c>
      <c r="K3993" t="s">
        <v>64</v>
      </c>
      <c r="L3993" t="s">
        <v>44</v>
      </c>
      <c r="M3993">
        <v>14.07</v>
      </c>
      <c r="T3993" t="s">
        <v>52</v>
      </c>
      <c r="U3993">
        <v>0</v>
      </c>
      <c r="V3993">
        <v>4</v>
      </c>
    </row>
    <row r="3994" spans="1:22" x14ac:dyDescent="0.3">
      <c r="A3994">
        <v>3993</v>
      </c>
      <c r="B3994">
        <v>54438</v>
      </c>
      <c r="C3994" s="2">
        <v>36443</v>
      </c>
      <c r="D3994">
        <v>26</v>
      </c>
      <c r="E3994" t="s">
        <v>36</v>
      </c>
      <c r="F3994" t="s">
        <v>50</v>
      </c>
      <c r="G3994" s="2">
        <v>45581</v>
      </c>
      <c r="H3994" s="3">
        <f t="shared" si="62"/>
        <v>1.1150684931506849</v>
      </c>
      <c r="I3994">
        <v>46</v>
      </c>
      <c r="J3994" t="s">
        <v>38</v>
      </c>
      <c r="K3994" t="s">
        <v>68</v>
      </c>
      <c r="L3994" t="s">
        <v>44</v>
      </c>
      <c r="M3994">
        <v>17</v>
      </c>
      <c r="T3994" t="s">
        <v>45</v>
      </c>
      <c r="U3994">
        <v>3</v>
      </c>
      <c r="V3994">
        <v>5</v>
      </c>
    </row>
    <row r="3995" spans="1:22" x14ac:dyDescent="0.3">
      <c r="A3995">
        <v>3994</v>
      </c>
      <c r="B3995">
        <v>54439</v>
      </c>
      <c r="C3995" s="2">
        <v>38650</v>
      </c>
      <c r="D3995">
        <v>20</v>
      </c>
      <c r="E3995" t="s">
        <v>42</v>
      </c>
      <c r="F3995" t="s">
        <v>37</v>
      </c>
      <c r="G3995" s="2">
        <v>45615</v>
      </c>
      <c r="H3995" s="3">
        <f t="shared" si="62"/>
        <v>1.3726027397260274</v>
      </c>
      <c r="I3995">
        <v>46</v>
      </c>
      <c r="J3995" t="s">
        <v>38</v>
      </c>
      <c r="K3995" t="s">
        <v>56</v>
      </c>
      <c r="L3995" t="s">
        <v>44</v>
      </c>
      <c r="M3995">
        <v>8.4700000000000006</v>
      </c>
      <c r="T3995" t="s">
        <v>52</v>
      </c>
      <c r="U3995">
        <v>2</v>
      </c>
      <c r="V3995">
        <v>6</v>
      </c>
    </row>
    <row r="3996" spans="1:22" x14ac:dyDescent="0.3">
      <c r="A3996">
        <v>3995</v>
      </c>
      <c r="B3996">
        <v>54440</v>
      </c>
      <c r="C3996" s="2">
        <v>35974</v>
      </c>
      <c r="D3996">
        <v>27</v>
      </c>
      <c r="E3996" t="s">
        <v>42</v>
      </c>
      <c r="F3996" t="s">
        <v>50</v>
      </c>
      <c r="G3996" s="2">
        <v>45521</v>
      </c>
      <c r="H3996" s="3">
        <f t="shared" si="62"/>
        <v>1.3287671232876712</v>
      </c>
      <c r="I3996">
        <v>47</v>
      </c>
      <c r="J3996" t="s">
        <v>38</v>
      </c>
      <c r="K3996" t="s">
        <v>56</v>
      </c>
      <c r="L3996" t="s">
        <v>44</v>
      </c>
      <c r="M3996">
        <v>8.4700000000000006</v>
      </c>
      <c r="T3996" t="s">
        <v>49</v>
      </c>
      <c r="U3996">
        <v>2</v>
      </c>
      <c r="V3996">
        <v>5</v>
      </c>
    </row>
    <row r="3997" spans="1:22" x14ac:dyDescent="0.3">
      <c r="A3997">
        <v>3996</v>
      </c>
      <c r="B3997">
        <v>54441</v>
      </c>
      <c r="C3997" s="2">
        <v>34298</v>
      </c>
      <c r="D3997">
        <v>32</v>
      </c>
      <c r="E3997" t="s">
        <v>42</v>
      </c>
      <c r="F3997" t="s">
        <v>50</v>
      </c>
      <c r="G3997" s="2">
        <v>45537</v>
      </c>
      <c r="H3997" s="3">
        <f t="shared" si="62"/>
        <v>1.189041095890411</v>
      </c>
      <c r="I3997">
        <v>48</v>
      </c>
      <c r="J3997" t="s">
        <v>38</v>
      </c>
      <c r="K3997" t="s">
        <v>68</v>
      </c>
      <c r="L3997" t="s">
        <v>44</v>
      </c>
      <c r="M3997">
        <v>17</v>
      </c>
      <c r="T3997" t="s">
        <v>52</v>
      </c>
      <c r="U3997">
        <v>2</v>
      </c>
      <c r="V3997">
        <v>7</v>
      </c>
    </row>
    <row r="3998" spans="1:22" x14ac:dyDescent="0.3">
      <c r="A3998">
        <v>3997</v>
      </c>
      <c r="B3998">
        <v>54442</v>
      </c>
      <c r="C3998" s="2">
        <v>38931</v>
      </c>
      <c r="D3998">
        <v>19</v>
      </c>
      <c r="E3998" t="s">
        <v>42</v>
      </c>
      <c r="F3998" t="s">
        <v>50</v>
      </c>
      <c r="G3998" s="2">
        <v>45588</v>
      </c>
      <c r="H3998" s="3">
        <f t="shared" si="62"/>
        <v>1.1369863013698631</v>
      </c>
      <c r="I3998">
        <v>48</v>
      </c>
      <c r="J3998" t="s">
        <v>38</v>
      </c>
      <c r="K3998" t="s">
        <v>56</v>
      </c>
      <c r="L3998" t="s">
        <v>44</v>
      </c>
      <c r="M3998">
        <v>8.4700000000000006</v>
      </c>
      <c r="T3998" t="s">
        <v>52</v>
      </c>
      <c r="U3998">
        <v>2</v>
      </c>
      <c r="V3998">
        <v>5</v>
      </c>
    </row>
    <row r="3999" spans="1:22" x14ac:dyDescent="0.3">
      <c r="A3999">
        <v>3998</v>
      </c>
      <c r="B3999">
        <v>54444</v>
      </c>
      <c r="C3999" s="2">
        <v>36287</v>
      </c>
      <c r="D3999">
        <v>26</v>
      </c>
      <c r="E3999" t="s">
        <v>42</v>
      </c>
      <c r="F3999" t="s">
        <v>37</v>
      </c>
      <c r="G3999" s="2">
        <v>45607</v>
      </c>
      <c r="H3999" s="3">
        <f t="shared" si="62"/>
        <v>1.3726027397260274</v>
      </c>
      <c r="I3999">
        <v>55</v>
      </c>
      <c r="J3999" t="s">
        <v>38</v>
      </c>
      <c r="K3999" t="s">
        <v>56</v>
      </c>
      <c r="L3999" t="s">
        <v>44</v>
      </c>
      <c r="M3999">
        <v>8.4700000000000006</v>
      </c>
      <c r="T3999" t="s">
        <v>52</v>
      </c>
      <c r="U3999">
        <v>2</v>
      </c>
      <c r="V3999">
        <v>5</v>
      </c>
    </row>
    <row r="4000" spans="1:22" x14ac:dyDescent="0.3">
      <c r="A4000">
        <v>3999</v>
      </c>
      <c r="B4000">
        <v>54446</v>
      </c>
      <c r="C4000" s="2">
        <v>39050</v>
      </c>
      <c r="D4000">
        <v>19</v>
      </c>
      <c r="E4000" t="s">
        <v>42</v>
      </c>
      <c r="F4000" t="s">
        <v>50</v>
      </c>
      <c r="G4000" s="2">
        <v>45521</v>
      </c>
      <c r="H4000" s="3">
        <f t="shared" si="62"/>
        <v>1.5095890410958903</v>
      </c>
      <c r="I4000">
        <v>56</v>
      </c>
      <c r="J4000" t="s">
        <v>38</v>
      </c>
      <c r="K4000" t="s">
        <v>56</v>
      </c>
      <c r="L4000" t="s">
        <v>44</v>
      </c>
      <c r="M4000">
        <v>8.4700000000000006</v>
      </c>
      <c r="T4000" t="s">
        <v>52</v>
      </c>
      <c r="U4000">
        <v>2</v>
      </c>
      <c r="V4000">
        <v>6</v>
      </c>
    </row>
    <row r="4001" spans="1:22" x14ac:dyDescent="0.3">
      <c r="A4001">
        <v>4000</v>
      </c>
      <c r="B4001">
        <v>54447</v>
      </c>
      <c r="C4001" s="2">
        <v>38846</v>
      </c>
      <c r="D4001">
        <v>19</v>
      </c>
      <c r="E4001" t="s">
        <v>36</v>
      </c>
      <c r="F4001" t="s">
        <v>50</v>
      </c>
      <c r="G4001" s="2">
        <v>45471</v>
      </c>
      <c r="H4001" s="3">
        <f t="shared" si="62"/>
        <v>1.1342465753424658</v>
      </c>
      <c r="I4001">
        <v>57</v>
      </c>
      <c r="J4001" t="s">
        <v>38</v>
      </c>
      <c r="K4001" t="s">
        <v>65</v>
      </c>
      <c r="L4001" t="s">
        <v>44</v>
      </c>
      <c r="M4001">
        <v>10.64</v>
      </c>
      <c r="T4001" t="s">
        <v>52</v>
      </c>
      <c r="U4001">
        <v>0</v>
      </c>
      <c r="V4001">
        <v>4</v>
      </c>
    </row>
    <row r="4002" spans="1:22" x14ac:dyDescent="0.3">
      <c r="A4002">
        <v>4001</v>
      </c>
      <c r="B4002">
        <v>54448</v>
      </c>
      <c r="C4002" s="2">
        <v>36780</v>
      </c>
      <c r="D4002">
        <v>25</v>
      </c>
      <c r="E4002" t="s">
        <v>42</v>
      </c>
      <c r="F4002" t="s">
        <v>50</v>
      </c>
      <c r="G4002" s="2">
        <v>45608</v>
      </c>
      <c r="H4002" s="3">
        <f t="shared" si="62"/>
        <v>1.1013698630136985</v>
      </c>
      <c r="I4002">
        <v>59</v>
      </c>
      <c r="J4002" t="s">
        <v>38</v>
      </c>
      <c r="K4002" t="s">
        <v>68</v>
      </c>
      <c r="L4002" t="s">
        <v>44</v>
      </c>
      <c r="M4002">
        <v>17</v>
      </c>
      <c r="T4002" t="s">
        <v>52</v>
      </c>
      <c r="U4002">
        <v>2</v>
      </c>
      <c r="V4002">
        <v>5</v>
      </c>
    </row>
    <row r="4003" spans="1:22" x14ac:dyDescent="0.3">
      <c r="A4003">
        <v>4002</v>
      </c>
      <c r="B4003">
        <v>54449</v>
      </c>
      <c r="C4003" s="2">
        <v>37010</v>
      </c>
      <c r="D4003">
        <v>24</v>
      </c>
      <c r="E4003" t="s">
        <v>42</v>
      </c>
      <c r="F4003" t="s">
        <v>50</v>
      </c>
      <c r="G4003" s="2">
        <v>45620</v>
      </c>
      <c r="H4003" s="3">
        <f t="shared" si="62"/>
        <v>1.726027397260274</v>
      </c>
      <c r="I4003">
        <v>60</v>
      </c>
      <c r="J4003" t="s">
        <v>38</v>
      </c>
      <c r="K4003" t="s">
        <v>56</v>
      </c>
      <c r="L4003" t="s">
        <v>44</v>
      </c>
      <c r="M4003">
        <v>8.4700000000000006</v>
      </c>
      <c r="T4003" t="s">
        <v>45</v>
      </c>
      <c r="U4003">
        <v>1</v>
      </c>
      <c r="V4003">
        <v>7</v>
      </c>
    </row>
    <row r="4004" spans="1:22" x14ac:dyDescent="0.3">
      <c r="A4004">
        <v>4003</v>
      </c>
      <c r="B4004">
        <v>54450</v>
      </c>
      <c r="C4004" s="2">
        <v>38862</v>
      </c>
      <c r="D4004">
        <v>19</v>
      </c>
      <c r="E4004" t="s">
        <v>42</v>
      </c>
      <c r="F4004" t="s">
        <v>50</v>
      </c>
      <c r="G4004" s="2">
        <v>45392</v>
      </c>
      <c r="H4004" s="3">
        <f t="shared" si="62"/>
        <v>1.5890410958904109</v>
      </c>
      <c r="I4004">
        <v>62</v>
      </c>
      <c r="J4004" t="s">
        <v>38</v>
      </c>
      <c r="K4004" t="s">
        <v>56</v>
      </c>
      <c r="L4004" t="s">
        <v>44</v>
      </c>
      <c r="M4004">
        <v>8.4700000000000006</v>
      </c>
      <c r="T4004" t="s">
        <v>45</v>
      </c>
      <c r="U4004">
        <v>1</v>
      </c>
      <c r="V4004">
        <v>6</v>
      </c>
    </row>
    <row r="4005" spans="1:22" x14ac:dyDescent="0.3">
      <c r="A4005">
        <v>4004</v>
      </c>
      <c r="B4005">
        <v>54451</v>
      </c>
      <c r="C4005" s="2">
        <v>33637</v>
      </c>
      <c r="D4005">
        <v>33</v>
      </c>
      <c r="E4005" t="s">
        <v>42</v>
      </c>
      <c r="F4005" t="s">
        <v>50</v>
      </c>
      <c r="G4005" s="2">
        <v>45442</v>
      </c>
      <c r="H4005" s="3">
        <f t="shared" si="62"/>
        <v>1.6575342465753424</v>
      </c>
      <c r="I4005">
        <v>63</v>
      </c>
      <c r="J4005" t="s">
        <v>38</v>
      </c>
      <c r="K4005" t="s">
        <v>48</v>
      </c>
      <c r="L4005" t="s">
        <v>44</v>
      </c>
      <c r="M4005">
        <v>8.4700000000000006</v>
      </c>
      <c r="T4005" t="s">
        <v>47</v>
      </c>
      <c r="U4005">
        <v>2</v>
      </c>
      <c r="V4005">
        <v>7</v>
      </c>
    </row>
    <row r="4006" spans="1:22" x14ac:dyDescent="0.3">
      <c r="A4006">
        <v>4005</v>
      </c>
      <c r="B4006">
        <v>54452</v>
      </c>
      <c r="C4006" s="2">
        <v>37073</v>
      </c>
      <c r="D4006">
        <v>25</v>
      </c>
      <c r="E4006" t="s">
        <v>42</v>
      </c>
      <c r="F4006" t="s">
        <v>50</v>
      </c>
      <c r="G4006" s="2">
        <v>45417</v>
      </c>
      <c r="H4006" s="3">
        <f t="shared" si="62"/>
        <v>1.4794520547945205</v>
      </c>
      <c r="I4006">
        <v>69</v>
      </c>
      <c r="J4006" t="s">
        <v>57</v>
      </c>
      <c r="K4006" t="s">
        <v>68</v>
      </c>
      <c r="L4006" t="s">
        <v>44</v>
      </c>
      <c r="M4006">
        <v>17</v>
      </c>
      <c r="T4006" t="s">
        <v>45</v>
      </c>
      <c r="U4006">
        <v>2</v>
      </c>
      <c r="V4006">
        <v>7</v>
      </c>
    </row>
    <row r="4007" spans="1:22" x14ac:dyDescent="0.3">
      <c r="A4007">
        <v>4006</v>
      </c>
      <c r="B4007">
        <v>54453</v>
      </c>
      <c r="C4007" s="2">
        <v>38384</v>
      </c>
      <c r="D4007">
        <v>21</v>
      </c>
      <c r="E4007" t="s">
        <v>42</v>
      </c>
      <c r="F4007" t="s">
        <v>37</v>
      </c>
      <c r="G4007" s="2">
        <v>45482</v>
      </c>
      <c r="H4007" s="3">
        <f t="shared" si="62"/>
        <v>1.4931506849315068</v>
      </c>
      <c r="I4007">
        <v>69</v>
      </c>
      <c r="J4007" t="s">
        <v>57</v>
      </c>
      <c r="K4007" t="s">
        <v>56</v>
      </c>
      <c r="L4007" t="s">
        <v>44</v>
      </c>
      <c r="M4007">
        <v>8.4700000000000006</v>
      </c>
      <c r="T4007" t="s">
        <v>45</v>
      </c>
      <c r="U4007">
        <v>1</v>
      </c>
      <c r="V4007">
        <v>5</v>
      </c>
    </row>
    <row r="4008" spans="1:22" x14ac:dyDescent="0.3">
      <c r="A4008">
        <v>4007</v>
      </c>
      <c r="B4008">
        <v>54454</v>
      </c>
      <c r="C4008" s="2">
        <v>38686</v>
      </c>
      <c r="D4008">
        <v>20</v>
      </c>
      <c r="E4008" t="s">
        <v>42</v>
      </c>
      <c r="F4008" t="s">
        <v>50</v>
      </c>
      <c r="G4008" s="2">
        <v>45477</v>
      </c>
      <c r="H4008" s="3">
        <f t="shared" si="62"/>
        <v>1.2191780821917808</v>
      </c>
      <c r="I4008">
        <v>71</v>
      </c>
      <c r="J4008" t="s">
        <v>57</v>
      </c>
      <c r="K4008" t="s">
        <v>56</v>
      </c>
      <c r="L4008" t="s">
        <v>44</v>
      </c>
      <c r="M4008">
        <v>8.4700000000000006</v>
      </c>
      <c r="T4008" t="s">
        <v>47</v>
      </c>
      <c r="U4008">
        <v>1</v>
      </c>
      <c r="V4008">
        <v>6</v>
      </c>
    </row>
    <row r="4009" spans="1:22" x14ac:dyDescent="0.3">
      <c r="A4009">
        <v>4008</v>
      </c>
      <c r="B4009">
        <v>54455</v>
      </c>
      <c r="C4009" s="2">
        <v>35876</v>
      </c>
      <c r="D4009">
        <v>27</v>
      </c>
      <c r="E4009" t="s">
        <v>42</v>
      </c>
      <c r="F4009" t="s">
        <v>50</v>
      </c>
      <c r="G4009" s="2">
        <v>45577</v>
      </c>
      <c r="H4009" s="3">
        <f t="shared" si="62"/>
        <v>1.1397260273972603</v>
      </c>
      <c r="I4009">
        <v>72</v>
      </c>
      <c r="J4009" t="s">
        <v>57</v>
      </c>
      <c r="K4009" t="s">
        <v>64</v>
      </c>
      <c r="L4009" t="s">
        <v>44</v>
      </c>
      <c r="M4009">
        <v>14.07</v>
      </c>
      <c r="T4009" t="s">
        <v>45</v>
      </c>
      <c r="U4009">
        <v>0</v>
      </c>
      <c r="V4009">
        <v>7</v>
      </c>
    </row>
    <row r="4010" spans="1:22" x14ac:dyDescent="0.3">
      <c r="A4010">
        <v>4009</v>
      </c>
      <c r="B4010">
        <v>54456</v>
      </c>
      <c r="C4010" s="2">
        <v>37548</v>
      </c>
      <c r="D4010">
        <v>23</v>
      </c>
      <c r="E4010" t="s">
        <v>42</v>
      </c>
      <c r="F4010" t="s">
        <v>50</v>
      </c>
      <c r="G4010" s="2">
        <v>45606</v>
      </c>
      <c r="H4010" s="3">
        <f t="shared" si="62"/>
        <v>1.4657534246575343</v>
      </c>
      <c r="I4010">
        <v>73</v>
      </c>
      <c r="J4010" t="s">
        <v>57</v>
      </c>
      <c r="K4010" t="s">
        <v>56</v>
      </c>
      <c r="L4010" t="s">
        <v>44</v>
      </c>
      <c r="M4010">
        <v>8.4700000000000006</v>
      </c>
      <c r="T4010" t="s">
        <v>47</v>
      </c>
      <c r="U4010">
        <v>0</v>
      </c>
      <c r="V4010">
        <v>6</v>
      </c>
    </row>
    <row r="4011" spans="1:22" x14ac:dyDescent="0.3">
      <c r="A4011">
        <v>4010</v>
      </c>
      <c r="B4011">
        <v>54458</v>
      </c>
      <c r="C4011" s="2">
        <v>37701</v>
      </c>
      <c r="D4011">
        <v>22</v>
      </c>
      <c r="E4011" t="s">
        <v>36</v>
      </c>
      <c r="F4011" t="s">
        <v>50</v>
      </c>
      <c r="G4011" s="2">
        <v>45487</v>
      </c>
      <c r="H4011" s="3">
        <f t="shared" si="62"/>
        <v>1.4821917808219178</v>
      </c>
      <c r="I4011">
        <v>74</v>
      </c>
      <c r="J4011" t="s">
        <v>57</v>
      </c>
      <c r="K4011" t="s">
        <v>48</v>
      </c>
      <c r="L4011" t="s">
        <v>44</v>
      </c>
      <c r="M4011">
        <v>8.4700000000000006</v>
      </c>
      <c r="T4011" t="s">
        <v>47</v>
      </c>
      <c r="U4011">
        <v>1</v>
      </c>
      <c r="V4011">
        <v>4</v>
      </c>
    </row>
    <row r="4012" spans="1:22" x14ac:dyDescent="0.3">
      <c r="A4012">
        <v>4011</v>
      </c>
      <c r="B4012">
        <v>54459</v>
      </c>
      <c r="C4012" s="2">
        <v>35251</v>
      </c>
      <c r="D4012">
        <v>29</v>
      </c>
      <c r="E4012" t="s">
        <v>42</v>
      </c>
      <c r="F4012" t="s">
        <v>50</v>
      </c>
      <c r="G4012" s="2">
        <v>45481</v>
      </c>
      <c r="H4012" s="3">
        <f t="shared" si="62"/>
        <v>1.4219178082191781</v>
      </c>
      <c r="I4012">
        <v>74</v>
      </c>
      <c r="J4012" t="s">
        <v>57</v>
      </c>
      <c r="K4012" t="s">
        <v>55</v>
      </c>
      <c r="L4012" t="s">
        <v>44</v>
      </c>
      <c r="M4012">
        <v>17.59</v>
      </c>
      <c r="T4012" t="s">
        <v>47</v>
      </c>
      <c r="U4012">
        <v>4</v>
      </c>
      <c r="V4012">
        <v>7</v>
      </c>
    </row>
    <row r="4013" spans="1:22" x14ac:dyDescent="0.3">
      <c r="A4013">
        <v>4012</v>
      </c>
      <c r="B4013">
        <v>54460</v>
      </c>
      <c r="C4013" s="2">
        <v>38385</v>
      </c>
      <c r="D4013">
        <v>20</v>
      </c>
      <c r="E4013" t="s">
        <v>36</v>
      </c>
      <c r="F4013" t="s">
        <v>50</v>
      </c>
      <c r="G4013" s="2">
        <v>45503</v>
      </c>
      <c r="H4013" s="3">
        <f t="shared" si="62"/>
        <v>1.484931506849315</v>
      </c>
      <c r="I4013">
        <v>74</v>
      </c>
      <c r="J4013" t="s">
        <v>57</v>
      </c>
      <c r="K4013" t="s">
        <v>56</v>
      </c>
      <c r="L4013" t="s">
        <v>44</v>
      </c>
      <c r="M4013">
        <v>8.4700000000000006</v>
      </c>
      <c r="T4013" t="s">
        <v>47</v>
      </c>
      <c r="U4013">
        <v>2</v>
      </c>
      <c r="V4013">
        <v>4</v>
      </c>
    </row>
    <row r="4014" spans="1:22" x14ac:dyDescent="0.3">
      <c r="A4014">
        <v>4013</v>
      </c>
      <c r="B4014">
        <v>54461</v>
      </c>
      <c r="C4014" s="2">
        <v>39080</v>
      </c>
      <c r="D4014">
        <v>19</v>
      </c>
      <c r="E4014" t="s">
        <v>42</v>
      </c>
      <c r="F4014" t="s">
        <v>50</v>
      </c>
      <c r="G4014" s="2">
        <v>45480</v>
      </c>
      <c r="H4014" s="3">
        <f t="shared" si="62"/>
        <v>1.2986301369863014</v>
      </c>
      <c r="I4014">
        <v>75</v>
      </c>
      <c r="J4014" t="s">
        <v>57</v>
      </c>
      <c r="K4014" t="s">
        <v>56</v>
      </c>
      <c r="L4014" t="s">
        <v>44</v>
      </c>
      <c r="M4014">
        <v>8.4700000000000006</v>
      </c>
      <c r="T4014" t="s">
        <v>49</v>
      </c>
      <c r="U4014">
        <v>2</v>
      </c>
      <c r="V4014">
        <v>5</v>
      </c>
    </row>
    <row r="4015" spans="1:22" x14ac:dyDescent="0.3">
      <c r="A4015">
        <v>4014</v>
      </c>
      <c r="B4015">
        <v>54462</v>
      </c>
      <c r="C4015" s="2">
        <v>37449</v>
      </c>
      <c r="D4015">
        <v>23</v>
      </c>
      <c r="E4015" t="s">
        <v>42</v>
      </c>
      <c r="F4015" t="s">
        <v>50</v>
      </c>
      <c r="G4015" s="2">
        <v>45548</v>
      </c>
      <c r="H4015" s="3">
        <f t="shared" si="62"/>
        <v>1.6191780821917807</v>
      </c>
      <c r="I4015">
        <v>77</v>
      </c>
      <c r="J4015" t="s">
        <v>57</v>
      </c>
      <c r="K4015" t="s">
        <v>56</v>
      </c>
      <c r="L4015" t="s">
        <v>44</v>
      </c>
      <c r="M4015">
        <v>8.4700000000000006</v>
      </c>
      <c r="T4015" t="s">
        <v>52</v>
      </c>
      <c r="U4015">
        <v>2</v>
      </c>
      <c r="V4015">
        <v>6</v>
      </c>
    </row>
    <row r="4016" spans="1:22" x14ac:dyDescent="0.3">
      <c r="A4016">
        <v>4015</v>
      </c>
      <c r="B4016">
        <v>54463</v>
      </c>
      <c r="C4016" s="2">
        <v>38619</v>
      </c>
      <c r="D4016">
        <v>20</v>
      </c>
      <c r="E4016" t="s">
        <v>42</v>
      </c>
      <c r="F4016" t="s">
        <v>50</v>
      </c>
      <c r="G4016" s="2">
        <v>45431</v>
      </c>
      <c r="H4016" s="3">
        <f t="shared" si="62"/>
        <v>1.4356164383561645</v>
      </c>
      <c r="I4016">
        <v>81</v>
      </c>
      <c r="J4016" t="s">
        <v>57</v>
      </c>
      <c r="K4016" t="s">
        <v>56</v>
      </c>
      <c r="L4016" t="s">
        <v>44</v>
      </c>
      <c r="M4016">
        <v>8.4700000000000006</v>
      </c>
      <c r="T4016" t="s">
        <v>47</v>
      </c>
      <c r="U4016">
        <v>0</v>
      </c>
      <c r="V4016">
        <v>5</v>
      </c>
    </row>
    <row r="4017" spans="1:22" x14ac:dyDescent="0.3">
      <c r="A4017">
        <v>4016</v>
      </c>
      <c r="B4017">
        <v>54464</v>
      </c>
      <c r="C4017" s="2">
        <v>38036</v>
      </c>
      <c r="D4017">
        <v>21</v>
      </c>
      <c r="E4017" t="s">
        <v>42</v>
      </c>
      <c r="F4017" t="s">
        <v>37</v>
      </c>
      <c r="G4017" s="2">
        <v>45498</v>
      </c>
      <c r="H4017" s="3">
        <f t="shared" si="62"/>
        <v>1.189041095890411</v>
      </c>
      <c r="I4017">
        <v>85</v>
      </c>
      <c r="J4017" t="s">
        <v>57</v>
      </c>
      <c r="K4017" t="s">
        <v>56</v>
      </c>
      <c r="L4017" t="s">
        <v>44</v>
      </c>
      <c r="M4017">
        <v>8.4700000000000006</v>
      </c>
      <c r="T4017" t="s">
        <v>47</v>
      </c>
      <c r="U4017">
        <v>2</v>
      </c>
      <c r="V4017">
        <v>5</v>
      </c>
    </row>
    <row r="4018" spans="1:22" x14ac:dyDescent="0.3">
      <c r="A4018">
        <v>4017</v>
      </c>
      <c r="B4018">
        <v>54465</v>
      </c>
      <c r="C4018" s="2">
        <v>35814</v>
      </c>
      <c r="D4018">
        <v>27</v>
      </c>
      <c r="E4018" t="s">
        <v>42</v>
      </c>
      <c r="F4018" t="s">
        <v>37</v>
      </c>
      <c r="G4018" s="2">
        <v>45588</v>
      </c>
      <c r="H4018" s="3">
        <f t="shared" si="62"/>
        <v>1.7123287671232876</v>
      </c>
      <c r="I4018">
        <v>87</v>
      </c>
      <c r="J4018" t="s">
        <v>57</v>
      </c>
      <c r="K4018" t="s">
        <v>56</v>
      </c>
      <c r="L4018" t="s">
        <v>44</v>
      </c>
      <c r="M4018">
        <v>8.4700000000000006</v>
      </c>
      <c r="T4018" t="s">
        <v>52</v>
      </c>
      <c r="U4018">
        <v>2</v>
      </c>
      <c r="V4018">
        <v>6</v>
      </c>
    </row>
    <row r="4019" spans="1:22" x14ac:dyDescent="0.3">
      <c r="A4019">
        <v>4018</v>
      </c>
      <c r="B4019">
        <v>54466</v>
      </c>
      <c r="C4019" s="2">
        <v>36617</v>
      </c>
      <c r="D4019">
        <v>26</v>
      </c>
      <c r="E4019" t="s">
        <v>42</v>
      </c>
      <c r="F4019" t="s">
        <v>37</v>
      </c>
      <c r="G4019" s="2">
        <v>45397</v>
      </c>
      <c r="H4019" s="3">
        <f t="shared" si="62"/>
        <v>1.2465753424657535</v>
      </c>
      <c r="I4019">
        <v>89</v>
      </c>
      <c r="J4019" t="s">
        <v>57</v>
      </c>
      <c r="K4019" t="s">
        <v>56</v>
      </c>
      <c r="L4019" t="s">
        <v>44</v>
      </c>
      <c r="M4019">
        <v>8.4700000000000006</v>
      </c>
      <c r="T4019" t="s">
        <v>47</v>
      </c>
      <c r="U4019">
        <v>4</v>
      </c>
      <c r="V4019">
        <v>6</v>
      </c>
    </row>
    <row r="4020" spans="1:22" x14ac:dyDescent="0.3">
      <c r="A4020">
        <v>4019</v>
      </c>
      <c r="B4020">
        <v>54467</v>
      </c>
      <c r="C4020" s="2">
        <v>34952</v>
      </c>
      <c r="D4020">
        <v>30</v>
      </c>
      <c r="E4020" t="s">
        <v>42</v>
      </c>
      <c r="F4020" t="s">
        <v>50</v>
      </c>
      <c r="G4020" s="2">
        <v>45567</v>
      </c>
      <c r="H4020" s="3">
        <f t="shared" si="62"/>
        <v>1.6328767123287671</v>
      </c>
      <c r="I4020">
        <v>91</v>
      </c>
      <c r="J4020" t="s">
        <v>57</v>
      </c>
      <c r="K4020" t="s">
        <v>43</v>
      </c>
      <c r="L4020" t="s">
        <v>44</v>
      </c>
      <c r="M4020">
        <v>16.37</v>
      </c>
      <c r="T4020" t="s">
        <v>52</v>
      </c>
      <c r="U4020">
        <v>0</v>
      </c>
      <c r="V4020">
        <v>5</v>
      </c>
    </row>
    <row r="4021" spans="1:22" x14ac:dyDescent="0.3">
      <c r="A4021">
        <v>4020</v>
      </c>
      <c r="B4021">
        <v>54468</v>
      </c>
      <c r="C4021" s="2">
        <v>36119</v>
      </c>
      <c r="D4021">
        <v>27</v>
      </c>
      <c r="E4021" t="s">
        <v>42</v>
      </c>
      <c r="F4021" t="s">
        <v>50</v>
      </c>
      <c r="G4021" s="2">
        <v>45426</v>
      </c>
      <c r="H4021" s="3">
        <f t="shared" si="62"/>
        <v>1.5287671232876712</v>
      </c>
      <c r="I4021">
        <v>91</v>
      </c>
      <c r="J4021" t="s">
        <v>57</v>
      </c>
      <c r="K4021" t="s">
        <v>48</v>
      </c>
      <c r="L4021" t="s">
        <v>44</v>
      </c>
      <c r="M4021">
        <v>17.899999999999999</v>
      </c>
      <c r="T4021" t="s">
        <v>52</v>
      </c>
      <c r="U4021">
        <v>2</v>
      </c>
      <c r="V4021">
        <v>5</v>
      </c>
    </row>
    <row r="4022" spans="1:22" x14ac:dyDescent="0.3">
      <c r="A4022">
        <v>4021</v>
      </c>
      <c r="B4022">
        <v>54469</v>
      </c>
      <c r="C4022" s="2">
        <v>35389</v>
      </c>
      <c r="D4022">
        <v>29</v>
      </c>
      <c r="E4022" t="s">
        <v>42</v>
      </c>
      <c r="F4022" t="s">
        <v>50</v>
      </c>
      <c r="G4022" s="2">
        <v>45464</v>
      </c>
      <c r="H4022" s="3">
        <f t="shared" si="62"/>
        <v>1.8794520547945206</v>
      </c>
      <c r="I4022">
        <v>91</v>
      </c>
      <c r="J4022" t="s">
        <v>57</v>
      </c>
      <c r="K4022" t="s">
        <v>56</v>
      </c>
      <c r="L4022" t="s">
        <v>44</v>
      </c>
      <c r="M4022">
        <v>8.4700000000000006</v>
      </c>
      <c r="T4022" t="s">
        <v>52</v>
      </c>
      <c r="U4022">
        <v>1</v>
      </c>
      <c r="V4022">
        <v>5</v>
      </c>
    </row>
    <row r="4023" spans="1:22" x14ac:dyDescent="0.3">
      <c r="A4023">
        <v>4022</v>
      </c>
      <c r="B4023">
        <v>54470</v>
      </c>
      <c r="C4023" s="2">
        <v>36076</v>
      </c>
      <c r="D4023">
        <v>27</v>
      </c>
      <c r="E4023" t="s">
        <v>42</v>
      </c>
      <c r="F4023" t="s">
        <v>37</v>
      </c>
      <c r="G4023" s="2">
        <v>45336</v>
      </c>
      <c r="H4023" s="3">
        <f t="shared" si="62"/>
        <v>1.5698630136986302</v>
      </c>
      <c r="I4023">
        <v>93</v>
      </c>
      <c r="J4023" t="s">
        <v>57</v>
      </c>
      <c r="K4023" t="s">
        <v>56</v>
      </c>
      <c r="L4023" t="s">
        <v>44</v>
      </c>
      <c r="M4023">
        <v>8.4700000000000006</v>
      </c>
      <c r="T4023" t="s">
        <v>45</v>
      </c>
      <c r="U4023">
        <v>0</v>
      </c>
      <c r="V4023">
        <v>6</v>
      </c>
    </row>
    <row r="4024" spans="1:22" x14ac:dyDescent="0.3">
      <c r="A4024">
        <v>4023</v>
      </c>
      <c r="B4024">
        <v>54471</v>
      </c>
      <c r="C4024" s="2">
        <v>36335</v>
      </c>
      <c r="D4024">
        <v>26</v>
      </c>
      <c r="E4024" t="s">
        <v>42</v>
      </c>
      <c r="F4024" t="s">
        <v>50</v>
      </c>
      <c r="G4024" s="2">
        <v>45449</v>
      </c>
      <c r="H4024" s="3">
        <f t="shared" si="62"/>
        <v>1.1041095890410959</v>
      </c>
      <c r="I4024">
        <v>95</v>
      </c>
      <c r="J4024" t="s">
        <v>57</v>
      </c>
      <c r="K4024" t="s">
        <v>56</v>
      </c>
      <c r="L4024" t="s">
        <v>44</v>
      </c>
      <c r="M4024">
        <v>8.4700000000000006</v>
      </c>
      <c r="T4024" t="s">
        <v>52</v>
      </c>
      <c r="U4024">
        <v>1</v>
      </c>
      <c r="V4024">
        <v>6</v>
      </c>
    </row>
    <row r="4025" spans="1:22" x14ac:dyDescent="0.3">
      <c r="A4025">
        <v>4024</v>
      </c>
      <c r="B4025">
        <v>54472</v>
      </c>
      <c r="C4025" s="2">
        <v>36438</v>
      </c>
      <c r="D4025">
        <v>26</v>
      </c>
      <c r="E4025" t="s">
        <v>36</v>
      </c>
      <c r="F4025" t="s">
        <v>37</v>
      </c>
      <c r="G4025" s="2">
        <v>45619</v>
      </c>
      <c r="H4025" s="3">
        <f t="shared" si="62"/>
        <v>1.7753424657534247</v>
      </c>
      <c r="I4025">
        <v>96</v>
      </c>
      <c r="J4025" t="s">
        <v>57</v>
      </c>
      <c r="K4025" t="s">
        <v>56</v>
      </c>
      <c r="L4025" t="s">
        <v>44</v>
      </c>
      <c r="M4025">
        <v>8.4700000000000006</v>
      </c>
      <c r="T4025" t="s">
        <v>47</v>
      </c>
      <c r="U4025">
        <v>4</v>
      </c>
      <c r="V4025">
        <v>4</v>
      </c>
    </row>
    <row r="4026" spans="1:22" x14ac:dyDescent="0.3">
      <c r="A4026">
        <v>4025</v>
      </c>
      <c r="B4026">
        <v>54473</v>
      </c>
      <c r="C4026" s="2">
        <v>35670</v>
      </c>
      <c r="D4026">
        <v>28</v>
      </c>
      <c r="E4026" t="s">
        <v>42</v>
      </c>
      <c r="F4026" t="s">
        <v>37</v>
      </c>
      <c r="G4026" s="2">
        <v>45374</v>
      </c>
      <c r="H4026" s="3">
        <f t="shared" si="62"/>
        <v>1.2356164383561643</v>
      </c>
      <c r="I4026">
        <v>96</v>
      </c>
      <c r="J4026" t="s">
        <v>57</v>
      </c>
      <c r="K4026" t="s">
        <v>56</v>
      </c>
      <c r="L4026" t="s">
        <v>44</v>
      </c>
      <c r="M4026">
        <v>8.4700000000000006</v>
      </c>
      <c r="T4026" t="s">
        <v>47</v>
      </c>
      <c r="U4026">
        <v>2</v>
      </c>
      <c r="V4026">
        <v>5</v>
      </c>
    </row>
    <row r="4027" spans="1:22" x14ac:dyDescent="0.3">
      <c r="A4027">
        <v>4026</v>
      </c>
      <c r="B4027">
        <v>54474</v>
      </c>
      <c r="C4027" s="2">
        <v>37444</v>
      </c>
      <c r="D4027">
        <v>23</v>
      </c>
      <c r="E4027" t="s">
        <v>36</v>
      </c>
      <c r="F4027" t="s">
        <v>50</v>
      </c>
      <c r="G4027" s="2">
        <v>45571</v>
      </c>
      <c r="H4027" s="3">
        <f t="shared" si="62"/>
        <v>1.7232876712328766</v>
      </c>
      <c r="I4027">
        <v>98</v>
      </c>
      <c r="J4027" t="s">
        <v>57</v>
      </c>
      <c r="K4027" t="s">
        <v>65</v>
      </c>
      <c r="L4027" t="s">
        <v>44</v>
      </c>
      <c r="M4027">
        <v>10.64</v>
      </c>
      <c r="T4027" t="s">
        <v>49</v>
      </c>
      <c r="U4027">
        <v>1</v>
      </c>
      <c r="V4027">
        <v>4</v>
      </c>
    </row>
    <row r="4028" spans="1:22" x14ac:dyDescent="0.3">
      <c r="A4028">
        <v>4027</v>
      </c>
      <c r="B4028">
        <v>54475</v>
      </c>
      <c r="C4028" s="2">
        <v>38417</v>
      </c>
      <c r="D4028">
        <v>20</v>
      </c>
      <c r="E4028" t="s">
        <v>36</v>
      </c>
      <c r="F4028" t="s">
        <v>50</v>
      </c>
      <c r="G4028" s="2">
        <v>45393</v>
      </c>
      <c r="H4028" s="3">
        <f t="shared" si="62"/>
        <v>1.4986301369863013</v>
      </c>
      <c r="I4028">
        <v>98</v>
      </c>
      <c r="J4028" t="s">
        <v>57</v>
      </c>
      <c r="K4028" t="s">
        <v>56</v>
      </c>
      <c r="L4028" t="s">
        <v>44</v>
      </c>
      <c r="M4028">
        <v>8.4700000000000006</v>
      </c>
      <c r="T4028" t="s">
        <v>47</v>
      </c>
      <c r="U4028">
        <v>1</v>
      </c>
      <c r="V4028">
        <v>4</v>
      </c>
    </row>
    <row r="4029" spans="1:22" x14ac:dyDescent="0.3">
      <c r="A4029">
        <v>4028</v>
      </c>
      <c r="B4029">
        <v>54476</v>
      </c>
      <c r="C4029" s="2">
        <v>36798</v>
      </c>
      <c r="D4029">
        <v>25</v>
      </c>
      <c r="E4029" t="s">
        <v>42</v>
      </c>
      <c r="F4029" t="s">
        <v>37</v>
      </c>
      <c r="G4029" s="2">
        <v>45475</v>
      </c>
      <c r="H4029" s="3">
        <f t="shared" si="62"/>
        <v>1.536986301369863</v>
      </c>
      <c r="I4029">
        <v>98</v>
      </c>
      <c r="J4029" t="s">
        <v>57</v>
      </c>
      <c r="K4029" t="s">
        <v>56</v>
      </c>
      <c r="L4029" t="s">
        <v>44</v>
      </c>
      <c r="M4029">
        <v>8.4700000000000006</v>
      </c>
      <c r="T4029" t="s">
        <v>45</v>
      </c>
      <c r="U4029">
        <v>3</v>
      </c>
      <c r="V4029">
        <v>7</v>
      </c>
    </row>
    <row r="4030" spans="1:22" x14ac:dyDescent="0.3">
      <c r="A4030">
        <v>4029</v>
      </c>
      <c r="B4030">
        <v>54477</v>
      </c>
      <c r="C4030" s="2">
        <v>37478</v>
      </c>
      <c r="D4030">
        <v>23</v>
      </c>
      <c r="E4030" t="s">
        <v>36</v>
      </c>
      <c r="F4030" t="s">
        <v>50</v>
      </c>
      <c r="G4030" s="2">
        <v>45461</v>
      </c>
      <c r="H4030" s="3">
        <f t="shared" si="62"/>
        <v>1.2575342465753425</v>
      </c>
      <c r="I4030">
        <v>107</v>
      </c>
      <c r="J4030" t="s">
        <v>57</v>
      </c>
      <c r="K4030" t="s">
        <v>65</v>
      </c>
      <c r="L4030" t="s">
        <v>44</v>
      </c>
      <c r="M4030">
        <v>10.64</v>
      </c>
      <c r="T4030" t="s">
        <v>45</v>
      </c>
      <c r="U4030">
        <v>0</v>
      </c>
      <c r="V4030">
        <v>4</v>
      </c>
    </row>
    <row r="4031" spans="1:22" x14ac:dyDescent="0.3">
      <c r="A4031">
        <v>4030</v>
      </c>
      <c r="B4031">
        <v>54478</v>
      </c>
      <c r="C4031" s="2">
        <v>38431</v>
      </c>
      <c r="D4031">
        <v>20</v>
      </c>
      <c r="E4031" t="s">
        <v>42</v>
      </c>
      <c r="F4031" t="s">
        <v>50</v>
      </c>
      <c r="G4031" s="2">
        <v>45563</v>
      </c>
      <c r="H4031" s="3">
        <f t="shared" si="62"/>
        <v>1.6986301369863013</v>
      </c>
      <c r="I4031">
        <v>108</v>
      </c>
      <c r="J4031" t="s">
        <v>57</v>
      </c>
      <c r="K4031" t="s">
        <v>56</v>
      </c>
      <c r="L4031" t="s">
        <v>44</v>
      </c>
      <c r="M4031">
        <v>8.4700000000000006</v>
      </c>
      <c r="T4031" t="s">
        <v>52</v>
      </c>
      <c r="U4031">
        <v>1</v>
      </c>
      <c r="V4031">
        <v>6</v>
      </c>
    </row>
    <row r="4032" spans="1:22" x14ac:dyDescent="0.3">
      <c r="A4032">
        <v>4031</v>
      </c>
      <c r="B4032">
        <v>54479</v>
      </c>
      <c r="C4032" s="2">
        <v>38099</v>
      </c>
      <c r="D4032">
        <v>21</v>
      </c>
      <c r="E4032" t="s">
        <v>42</v>
      </c>
      <c r="F4032" t="s">
        <v>50</v>
      </c>
      <c r="G4032" s="2">
        <v>45402</v>
      </c>
      <c r="H4032" s="3">
        <f t="shared" si="62"/>
        <v>1.3671232876712329</v>
      </c>
      <c r="I4032">
        <v>109</v>
      </c>
      <c r="J4032" t="s">
        <v>57</v>
      </c>
      <c r="K4032" t="s">
        <v>65</v>
      </c>
      <c r="L4032" t="s">
        <v>44</v>
      </c>
      <c r="M4032">
        <v>10.64</v>
      </c>
      <c r="T4032" t="s">
        <v>47</v>
      </c>
      <c r="U4032">
        <v>0</v>
      </c>
      <c r="V4032">
        <v>4</v>
      </c>
    </row>
    <row r="4033" spans="1:22" x14ac:dyDescent="0.3">
      <c r="A4033">
        <v>4032</v>
      </c>
      <c r="B4033">
        <v>54480</v>
      </c>
      <c r="C4033" s="2">
        <v>39224</v>
      </c>
      <c r="D4033">
        <v>18</v>
      </c>
      <c r="E4033" t="s">
        <v>42</v>
      </c>
      <c r="F4033" t="s">
        <v>50</v>
      </c>
      <c r="G4033" s="2">
        <v>45523</v>
      </c>
      <c r="H4033" s="3">
        <f t="shared" si="62"/>
        <v>1.3726027397260274</v>
      </c>
      <c r="I4033">
        <v>111</v>
      </c>
      <c r="J4033" t="s">
        <v>57</v>
      </c>
      <c r="K4033" t="s">
        <v>48</v>
      </c>
      <c r="L4033" t="s">
        <v>44</v>
      </c>
      <c r="M4033">
        <v>8.4700000000000006</v>
      </c>
      <c r="T4033" t="s">
        <v>47</v>
      </c>
      <c r="U4033">
        <v>4</v>
      </c>
      <c r="V4033">
        <v>7</v>
      </c>
    </row>
    <row r="4034" spans="1:22" x14ac:dyDescent="0.3">
      <c r="A4034">
        <v>4033</v>
      </c>
      <c r="B4034">
        <v>54481</v>
      </c>
      <c r="C4034" s="2">
        <v>37603</v>
      </c>
      <c r="D4034">
        <v>23</v>
      </c>
      <c r="E4034" t="s">
        <v>42</v>
      </c>
      <c r="F4034" t="s">
        <v>50</v>
      </c>
      <c r="G4034" s="2">
        <v>45521</v>
      </c>
      <c r="H4034" s="3">
        <f t="shared" si="62"/>
        <v>1.3232876712328767</v>
      </c>
      <c r="I4034">
        <v>111</v>
      </c>
      <c r="J4034" t="s">
        <v>57</v>
      </c>
      <c r="K4034" t="s">
        <v>56</v>
      </c>
      <c r="L4034" t="s">
        <v>44</v>
      </c>
      <c r="M4034">
        <v>8.4700000000000006</v>
      </c>
      <c r="T4034" t="s">
        <v>52</v>
      </c>
      <c r="U4034">
        <v>0</v>
      </c>
      <c r="V4034">
        <v>5</v>
      </c>
    </row>
    <row r="4035" spans="1:22" x14ac:dyDescent="0.3">
      <c r="A4035">
        <v>4034</v>
      </c>
      <c r="B4035">
        <v>54482</v>
      </c>
      <c r="C4035" s="2">
        <v>37654</v>
      </c>
      <c r="D4035">
        <v>22</v>
      </c>
      <c r="E4035" t="s">
        <v>36</v>
      </c>
      <c r="F4035" t="s">
        <v>50</v>
      </c>
      <c r="G4035" s="2">
        <v>45539</v>
      </c>
      <c r="H4035" s="3">
        <f t="shared" ref="H4035:H4098" si="63">DATEDIF(G4036,DATE(2025,12,31),"d")/365</f>
        <v>1.3863013698630138</v>
      </c>
      <c r="I4035">
        <v>116</v>
      </c>
      <c r="J4035" t="s">
        <v>57</v>
      </c>
      <c r="K4035" t="s">
        <v>65</v>
      </c>
      <c r="L4035" t="s">
        <v>44</v>
      </c>
      <c r="M4035">
        <v>10.64</v>
      </c>
      <c r="T4035" t="s">
        <v>45</v>
      </c>
      <c r="U4035">
        <v>1</v>
      </c>
      <c r="V4035">
        <v>3</v>
      </c>
    </row>
    <row r="4036" spans="1:22" x14ac:dyDescent="0.3">
      <c r="A4036">
        <v>4035</v>
      </c>
      <c r="B4036">
        <v>54483</v>
      </c>
      <c r="C4036" s="2">
        <v>38781</v>
      </c>
      <c r="D4036">
        <v>19</v>
      </c>
      <c r="E4036" t="s">
        <v>42</v>
      </c>
      <c r="F4036" t="s">
        <v>50</v>
      </c>
      <c r="G4036" s="2">
        <v>45516</v>
      </c>
      <c r="H4036" s="3">
        <f t="shared" si="63"/>
        <v>1.1041095890410959</v>
      </c>
      <c r="I4036">
        <v>116</v>
      </c>
      <c r="J4036" t="s">
        <v>57</v>
      </c>
      <c r="K4036" t="s">
        <v>56</v>
      </c>
      <c r="L4036" t="s">
        <v>44</v>
      </c>
      <c r="M4036">
        <v>8.4700000000000006</v>
      </c>
      <c r="T4036" t="s">
        <v>47</v>
      </c>
      <c r="U4036">
        <v>1</v>
      </c>
      <c r="V4036">
        <v>6</v>
      </c>
    </row>
    <row r="4037" spans="1:22" x14ac:dyDescent="0.3">
      <c r="A4037">
        <v>4036</v>
      </c>
      <c r="B4037">
        <v>54484</v>
      </c>
      <c r="C4037" s="2">
        <v>37062</v>
      </c>
      <c r="D4037">
        <v>24</v>
      </c>
      <c r="E4037" t="s">
        <v>36</v>
      </c>
      <c r="F4037" t="s">
        <v>50</v>
      </c>
      <c r="G4037" s="2">
        <v>45619</v>
      </c>
      <c r="H4037" s="3">
        <f t="shared" si="63"/>
        <v>1.1424657534246576</v>
      </c>
      <c r="I4037">
        <v>119</v>
      </c>
      <c r="J4037" t="s">
        <v>57</v>
      </c>
      <c r="K4037" t="s">
        <v>68</v>
      </c>
      <c r="L4037" t="s">
        <v>44</v>
      </c>
      <c r="M4037">
        <v>17</v>
      </c>
      <c r="T4037" t="s">
        <v>49</v>
      </c>
      <c r="U4037">
        <v>4</v>
      </c>
      <c r="V4037">
        <v>7</v>
      </c>
    </row>
    <row r="4038" spans="1:22" x14ac:dyDescent="0.3">
      <c r="A4038">
        <v>4037</v>
      </c>
      <c r="B4038">
        <v>54485</v>
      </c>
      <c r="C4038" s="2">
        <v>38788</v>
      </c>
      <c r="D4038">
        <v>19</v>
      </c>
      <c r="E4038" t="s">
        <v>36</v>
      </c>
      <c r="F4038" t="s">
        <v>37</v>
      </c>
      <c r="G4038" s="2">
        <v>45605</v>
      </c>
      <c r="H4038" s="3">
        <f t="shared" si="63"/>
        <v>1.4657534246575343</v>
      </c>
      <c r="I4038">
        <v>121</v>
      </c>
      <c r="J4038" t="s">
        <v>57</v>
      </c>
      <c r="K4038" t="s">
        <v>65</v>
      </c>
      <c r="L4038" t="s">
        <v>44</v>
      </c>
      <c r="M4038">
        <v>10.64</v>
      </c>
      <c r="T4038" t="s">
        <v>47</v>
      </c>
      <c r="U4038">
        <v>1</v>
      </c>
      <c r="V4038">
        <v>5</v>
      </c>
    </row>
    <row r="4039" spans="1:22" x14ac:dyDescent="0.3">
      <c r="A4039">
        <v>4038</v>
      </c>
      <c r="B4039">
        <v>54486</v>
      </c>
      <c r="C4039" s="2">
        <v>37676</v>
      </c>
      <c r="D4039">
        <v>22</v>
      </c>
      <c r="E4039" t="s">
        <v>42</v>
      </c>
      <c r="F4039" t="s">
        <v>50</v>
      </c>
      <c r="G4039" s="2">
        <v>45487</v>
      </c>
      <c r="H4039" s="3">
        <f t="shared" si="63"/>
        <v>1.3753424657534246</v>
      </c>
      <c r="I4039">
        <v>121</v>
      </c>
      <c r="J4039" t="s">
        <v>57</v>
      </c>
      <c r="K4039" t="s">
        <v>56</v>
      </c>
      <c r="L4039" t="s">
        <v>44</v>
      </c>
      <c r="M4039">
        <v>8.4700000000000006</v>
      </c>
      <c r="T4039" t="s">
        <v>47</v>
      </c>
      <c r="U4039">
        <v>1</v>
      </c>
      <c r="V4039">
        <v>6</v>
      </c>
    </row>
    <row r="4040" spans="1:22" x14ac:dyDescent="0.3">
      <c r="A4040">
        <v>4039</v>
      </c>
      <c r="B4040">
        <v>54487</v>
      </c>
      <c r="C4040" s="2">
        <v>37971</v>
      </c>
      <c r="D4040">
        <v>22</v>
      </c>
      <c r="E4040" t="s">
        <v>42</v>
      </c>
      <c r="F4040" t="s">
        <v>37</v>
      </c>
      <c r="G4040" s="2">
        <v>45520</v>
      </c>
      <c r="H4040" s="3">
        <f t="shared" si="63"/>
        <v>1.5561643835616439</v>
      </c>
      <c r="I4040">
        <v>121</v>
      </c>
      <c r="J4040" t="s">
        <v>57</v>
      </c>
      <c r="K4040" t="s">
        <v>56</v>
      </c>
      <c r="L4040" t="s">
        <v>44</v>
      </c>
      <c r="M4040">
        <v>8.4700000000000006</v>
      </c>
      <c r="T4040" t="s">
        <v>52</v>
      </c>
      <c r="U4040">
        <v>0</v>
      </c>
      <c r="V4040">
        <v>5</v>
      </c>
    </row>
    <row r="4041" spans="1:22" x14ac:dyDescent="0.3">
      <c r="A4041">
        <v>4040</v>
      </c>
      <c r="B4041">
        <v>54488</v>
      </c>
      <c r="C4041" s="2">
        <v>37271</v>
      </c>
      <c r="D4041">
        <v>23</v>
      </c>
      <c r="E4041" t="s">
        <v>42</v>
      </c>
      <c r="F4041" t="s">
        <v>50</v>
      </c>
      <c r="G4041" s="2">
        <v>45454</v>
      </c>
      <c r="H4041" s="3">
        <f t="shared" si="63"/>
        <v>1.7013698630136986</v>
      </c>
      <c r="I4041">
        <v>122</v>
      </c>
      <c r="J4041" t="s">
        <v>57</v>
      </c>
      <c r="K4041" t="s">
        <v>56</v>
      </c>
      <c r="L4041" t="s">
        <v>44</v>
      </c>
      <c r="M4041">
        <v>8.4700000000000006</v>
      </c>
      <c r="T4041" t="s">
        <v>52</v>
      </c>
      <c r="U4041">
        <v>2</v>
      </c>
      <c r="V4041">
        <v>6</v>
      </c>
    </row>
    <row r="4042" spans="1:22" x14ac:dyDescent="0.3">
      <c r="A4042">
        <v>4041</v>
      </c>
      <c r="B4042">
        <v>54489</v>
      </c>
      <c r="C4042" s="2">
        <v>38215</v>
      </c>
      <c r="D4042">
        <v>21</v>
      </c>
      <c r="E4042" t="s">
        <v>36</v>
      </c>
      <c r="F4042" t="s">
        <v>37</v>
      </c>
      <c r="G4042" s="2">
        <v>45401</v>
      </c>
      <c r="H4042" s="3">
        <f t="shared" si="63"/>
        <v>1.0657534246575342</v>
      </c>
      <c r="I4042">
        <v>122</v>
      </c>
      <c r="J4042" t="s">
        <v>57</v>
      </c>
      <c r="K4042" t="s">
        <v>56</v>
      </c>
      <c r="L4042" t="s">
        <v>44</v>
      </c>
      <c r="M4042">
        <v>8.4700000000000006</v>
      </c>
      <c r="T4042" t="s">
        <v>45</v>
      </c>
      <c r="U4042">
        <v>3</v>
      </c>
      <c r="V4042">
        <v>4</v>
      </c>
    </row>
    <row r="4043" spans="1:22" x14ac:dyDescent="0.3">
      <c r="A4043">
        <v>4042</v>
      </c>
      <c r="B4043">
        <v>54490</v>
      </c>
      <c r="C4043" s="2">
        <v>31898</v>
      </c>
      <c r="D4043">
        <v>39</v>
      </c>
      <c r="E4043" t="s">
        <v>36</v>
      </c>
      <c r="F4043" t="s">
        <v>37</v>
      </c>
      <c r="G4043" s="2">
        <v>45633</v>
      </c>
      <c r="H4043" s="3">
        <f t="shared" si="63"/>
        <v>1.5863013698630137</v>
      </c>
      <c r="I4043">
        <v>123</v>
      </c>
      <c r="J4043" t="s">
        <v>57</v>
      </c>
      <c r="K4043" t="s">
        <v>54</v>
      </c>
      <c r="L4043" t="s">
        <v>44</v>
      </c>
      <c r="M4043">
        <v>23.78</v>
      </c>
      <c r="T4043" t="s">
        <v>45</v>
      </c>
      <c r="U4043">
        <v>7</v>
      </c>
      <c r="V4043">
        <v>5</v>
      </c>
    </row>
    <row r="4044" spans="1:22" x14ac:dyDescent="0.3">
      <c r="A4044">
        <v>4043</v>
      </c>
      <c r="B4044">
        <v>54491</v>
      </c>
      <c r="C4044" s="2">
        <v>35724</v>
      </c>
      <c r="D4044">
        <v>28</v>
      </c>
      <c r="E4044" t="s">
        <v>42</v>
      </c>
      <c r="F4044" t="s">
        <v>37</v>
      </c>
      <c r="G4044" s="2">
        <v>45443</v>
      </c>
      <c r="H4044" s="3">
        <f t="shared" si="63"/>
        <v>1.6712328767123288</v>
      </c>
      <c r="I4044">
        <v>123</v>
      </c>
      <c r="J4044" t="s">
        <v>57</v>
      </c>
      <c r="K4044" t="s">
        <v>55</v>
      </c>
      <c r="L4044" t="s">
        <v>44</v>
      </c>
      <c r="M4044">
        <v>17.59</v>
      </c>
      <c r="T4044" t="s">
        <v>52</v>
      </c>
      <c r="U4044">
        <v>0</v>
      </c>
      <c r="V4044">
        <v>4</v>
      </c>
    </row>
    <row r="4045" spans="1:22" x14ac:dyDescent="0.3">
      <c r="A4045">
        <v>4044</v>
      </c>
      <c r="B4045">
        <v>54492</v>
      </c>
      <c r="C4045" s="2">
        <v>36753</v>
      </c>
      <c r="D4045">
        <v>25</v>
      </c>
      <c r="E4045" t="s">
        <v>36</v>
      </c>
      <c r="F4045" t="s">
        <v>50</v>
      </c>
      <c r="G4045" s="2">
        <v>45412</v>
      </c>
      <c r="H4045" s="3">
        <f t="shared" si="63"/>
        <v>1.2191780821917808</v>
      </c>
      <c r="I4045">
        <v>124</v>
      </c>
      <c r="J4045" t="s">
        <v>57</v>
      </c>
      <c r="K4045" t="s">
        <v>55</v>
      </c>
      <c r="L4045" t="s">
        <v>44</v>
      </c>
      <c r="M4045">
        <v>17.59</v>
      </c>
      <c r="T4045" t="s">
        <v>45</v>
      </c>
      <c r="U4045">
        <v>2</v>
      </c>
      <c r="V4045">
        <v>5</v>
      </c>
    </row>
    <row r="4046" spans="1:22" x14ac:dyDescent="0.3">
      <c r="A4046">
        <v>4045</v>
      </c>
      <c r="B4046">
        <v>54493</v>
      </c>
      <c r="C4046" s="2">
        <v>37412</v>
      </c>
      <c r="D4046">
        <v>23</v>
      </c>
      <c r="E4046" t="s">
        <v>42</v>
      </c>
      <c r="F4046" t="s">
        <v>37</v>
      </c>
      <c r="G4046" s="2">
        <v>45577</v>
      </c>
      <c r="H4046" s="3">
        <f t="shared" si="63"/>
        <v>1.6630136986301369</v>
      </c>
      <c r="I4046">
        <v>124</v>
      </c>
      <c r="J4046" t="s">
        <v>57</v>
      </c>
      <c r="K4046" t="s">
        <v>56</v>
      </c>
      <c r="L4046" t="s">
        <v>44</v>
      </c>
      <c r="M4046">
        <v>8.4700000000000006</v>
      </c>
      <c r="T4046" t="s">
        <v>45</v>
      </c>
      <c r="U4046">
        <v>1</v>
      </c>
      <c r="V4046">
        <v>6</v>
      </c>
    </row>
    <row r="4047" spans="1:22" x14ac:dyDescent="0.3">
      <c r="A4047">
        <v>4046</v>
      </c>
      <c r="B4047">
        <v>54494</v>
      </c>
      <c r="C4047" s="2">
        <v>38226</v>
      </c>
      <c r="D4047">
        <v>21</v>
      </c>
      <c r="E4047" t="s">
        <v>42</v>
      </c>
      <c r="F4047" t="s">
        <v>37</v>
      </c>
      <c r="G4047" s="2">
        <v>45415</v>
      </c>
      <c r="H4047" s="3">
        <f t="shared" si="63"/>
        <v>1.1013698630136985</v>
      </c>
      <c r="I4047">
        <v>124</v>
      </c>
      <c r="J4047" t="s">
        <v>57</v>
      </c>
      <c r="K4047" t="s">
        <v>56</v>
      </c>
      <c r="L4047" t="s">
        <v>44</v>
      </c>
      <c r="M4047">
        <v>8.4700000000000006</v>
      </c>
      <c r="T4047" t="s">
        <v>52</v>
      </c>
      <c r="U4047">
        <v>2</v>
      </c>
      <c r="V4047">
        <v>6</v>
      </c>
    </row>
    <row r="4048" spans="1:22" x14ac:dyDescent="0.3">
      <c r="A4048">
        <v>4047</v>
      </c>
      <c r="B4048">
        <v>54495</v>
      </c>
      <c r="C4048" s="2">
        <v>38804</v>
      </c>
      <c r="D4048">
        <v>19</v>
      </c>
      <c r="E4048" t="s">
        <v>42</v>
      </c>
      <c r="F4048" t="s">
        <v>50</v>
      </c>
      <c r="G4048" s="2">
        <v>45620</v>
      </c>
      <c r="H4048" s="3">
        <f t="shared" si="63"/>
        <v>1.0876712328767124</v>
      </c>
      <c r="I4048">
        <v>125</v>
      </c>
      <c r="J4048" t="s">
        <v>57</v>
      </c>
      <c r="K4048" t="s">
        <v>56</v>
      </c>
      <c r="L4048" t="s">
        <v>44</v>
      </c>
      <c r="M4048">
        <v>8.4700000000000006</v>
      </c>
      <c r="T4048" t="s">
        <v>49</v>
      </c>
      <c r="U4048">
        <v>2</v>
      </c>
      <c r="V4048">
        <v>5</v>
      </c>
    </row>
    <row r="4049" spans="1:22" x14ac:dyDescent="0.3">
      <c r="A4049">
        <v>4048</v>
      </c>
      <c r="B4049">
        <v>54496</v>
      </c>
      <c r="C4049" s="2">
        <v>37448</v>
      </c>
      <c r="D4049">
        <v>23</v>
      </c>
      <c r="E4049" t="s">
        <v>42</v>
      </c>
      <c r="F4049" t="s">
        <v>50</v>
      </c>
      <c r="G4049" s="2">
        <v>45625</v>
      </c>
      <c r="H4049" s="3">
        <f t="shared" si="63"/>
        <v>1.0136986301369864</v>
      </c>
      <c r="I4049">
        <v>125</v>
      </c>
      <c r="J4049" t="s">
        <v>57</v>
      </c>
      <c r="K4049" t="s">
        <v>56</v>
      </c>
      <c r="L4049" t="s">
        <v>44</v>
      </c>
      <c r="M4049">
        <v>8.4700000000000006</v>
      </c>
      <c r="T4049" t="s">
        <v>45</v>
      </c>
      <c r="U4049">
        <v>0</v>
      </c>
      <c r="V4049">
        <v>7</v>
      </c>
    </row>
    <row r="4050" spans="1:22" x14ac:dyDescent="0.3">
      <c r="A4050">
        <v>4049</v>
      </c>
      <c r="B4050">
        <v>54497</v>
      </c>
      <c r="C4050" s="2">
        <v>37693</v>
      </c>
      <c r="D4050">
        <v>22</v>
      </c>
      <c r="E4050" t="s">
        <v>42</v>
      </c>
      <c r="F4050" t="s">
        <v>50</v>
      </c>
      <c r="G4050" s="2">
        <v>45652</v>
      </c>
      <c r="H4050" s="3">
        <f t="shared" si="63"/>
        <v>1.1452054794520548</v>
      </c>
      <c r="I4050">
        <v>127</v>
      </c>
      <c r="J4050" t="s">
        <v>57</v>
      </c>
      <c r="K4050" t="s">
        <v>65</v>
      </c>
      <c r="L4050" t="s">
        <v>44</v>
      </c>
      <c r="M4050">
        <v>10.64</v>
      </c>
      <c r="T4050" t="s">
        <v>45</v>
      </c>
      <c r="U4050">
        <v>1</v>
      </c>
      <c r="V4050">
        <v>6</v>
      </c>
    </row>
    <row r="4051" spans="1:22" x14ac:dyDescent="0.3">
      <c r="A4051">
        <v>4050</v>
      </c>
      <c r="B4051">
        <v>54498</v>
      </c>
      <c r="C4051" s="2">
        <v>38499</v>
      </c>
      <c r="D4051">
        <v>20</v>
      </c>
      <c r="E4051" t="s">
        <v>42</v>
      </c>
      <c r="F4051" t="s">
        <v>50</v>
      </c>
      <c r="G4051" s="2">
        <v>45604</v>
      </c>
      <c r="H4051" s="3">
        <f t="shared" si="63"/>
        <v>1.6931506849315068</v>
      </c>
      <c r="I4051">
        <v>129</v>
      </c>
      <c r="J4051" t="s">
        <v>57</v>
      </c>
      <c r="K4051" t="s">
        <v>65</v>
      </c>
      <c r="L4051" t="s">
        <v>44</v>
      </c>
      <c r="M4051">
        <v>10.64</v>
      </c>
      <c r="T4051" t="s">
        <v>52</v>
      </c>
      <c r="U4051">
        <v>0</v>
      </c>
      <c r="V4051">
        <v>5</v>
      </c>
    </row>
    <row r="4052" spans="1:22" x14ac:dyDescent="0.3">
      <c r="A4052">
        <v>4051</v>
      </c>
      <c r="B4052">
        <v>54499</v>
      </c>
      <c r="C4052" s="2">
        <v>37048</v>
      </c>
      <c r="D4052">
        <v>24</v>
      </c>
      <c r="E4052" t="s">
        <v>42</v>
      </c>
      <c r="F4052" t="s">
        <v>50</v>
      </c>
      <c r="G4052" s="2">
        <v>45404</v>
      </c>
      <c r="H4052" s="3">
        <f t="shared" si="63"/>
        <v>1.1917808219178083</v>
      </c>
      <c r="I4052">
        <v>130</v>
      </c>
      <c r="J4052" t="s">
        <v>57</v>
      </c>
      <c r="K4052" t="s">
        <v>56</v>
      </c>
      <c r="L4052" t="s">
        <v>44</v>
      </c>
      <c r="M4052">
        <v>8.4700000000000006</v>
      </c>
      <c r="T4052" t="s">
        <v>47</v>
      </c>
      <c r="U4052">
        <v>2</v>
      </c>
      <c r="V4052">
        <v>7</v>
      </c>
    </row>
    <row r="4053" spans="1:22" x14ac:dyDescent="0.3">
      <c r="A4053">
        <v>4052</v>
      </c>
      <c r="B4053">
        <v>54500</v>
      </c>
      <c r="C4053" s="2">
        <v>36575</v>
      </c>
      <c r="D4053">
        <v>25</v>
      </c>
      <c r="E4053" t="s">
        <v>36</v>
      </c>
      <c r="F4053" t="s">
        <v>50</v>
      </c>
      <c r="G4053" s="2">
        <v>45587</v>
      </c>
      <c r="H4053" s="3">
        <f t="shared" si="63"/>
        <v>1.1534246575342466</v>
      </c>
      <c r="I4053">
        <v>130</v>
      </c>
      <c r="J4053" t="s">
        <v>57</v>
      </c>
      <c r="K4053" t="s">
        <v>56</v>
      </c>
      <c r="L4053" t="s">
        <v>44</v>
      </c>
      <c r="M4053">
        <v>8.4700000000000006</v>
      </c>
      <c r="T4053" t="s">
        <v>52</v>
      </c>
      <c r="U4053">
        <v>0</v>
      </c>
      <c r="V4053">
        <v>5</v>
      </c>
    </row>
    <row r="4054" spans="1:22" x14ac:dyDescent="0.3">
      <c r="A4054">
        <v>4053</v>
      </c>
      <c r="B4054">
        <v>54501</v>
      </c>
      <c r="C4054" s="2">
        <v>38213</v>
      </c>
      <c r="D4054">
        <v>21</v>
      </c>
      <c r="E4054" t="s">
        <v>42</v>
      </c>
      <c r="F4054" t="s">
        <v>50</v>
      </c>
      <c r="G4054" s="2">
        <v>45601</v>
      </c>
      <c r="H4054" s="3">
        <f t="shared" si="63"/>
        <v>1.7780821917808218</v>
      </c>
      <c r="I4054">
        <v>130</v>
      </c>
      <c r="J4054" t="s">
        <v>57</v>
      </c>
      <c r="K4054" t="s">
        <v>56</v>
      </c>
      <c r="L4054" t="s">
        <v>44</v>
      </c>
      <c r="M4054">
        <v>8.4700000000000006</v>
      </c>
      <c r="T4054" t="s">
        <v>47</v>
      </c>
      <c r="U4054">
        <v>4</v>
      </c>
      <c r="V4054">
        <v>7</v>
      </c>
    </row>
    <row r="4055" spans="1:22" x14ac:dyDescent="0.3">
      <c r="A4055">
        <v>4054</v>
      </c>
      <c r="B4055">
        <v>54502</v>
      </c>
      <c r="C4055" s="2">
        <v>36833</v>
      </c>
      <c r="D4055">
        <v>25</v>
      </c>
      <c r="E4055" t="s">
        <v>42</v>
      </c>
      <c r="F4055" t="s">
        <v>50</v>
      </c>
      <c r="G4055" s="2">
        <v>45373</v>
      </c>
      <c r="H4055" s="3">
        <f t="shared" si="63"/>
        <v>1.7780821917808218</v>
      </c>
      <c r="I4055">
        <v>133</v>
      </c>
      <c r="J4055" t="s">
        <v>57</v>
      </c>
      <c r="K4055" t="s">
        <v>46</v>
      </c>
      <c r="L4055" t="s">
        <v>44</v>
      </c>
      <c r="M4055">
        <v>14.23</v>
      </c>
      <c r="T4055" t="s">
        <v>52</v>
      </c>
      <c r="U4055">
        <v>0</v>
      </c>
      <c r="V4055">
        <v>5</v>
      </c>
    </row>
    <row r="4056" spans="1:22" x14ac:dyDescent="0.3">
      <c r="A4056">
        <v>4055</v>
      </c>
      <c r="B4056">
        <v>54503</v>
      </c>
      <c r="C4056" s="2">
        <v>36434</v>
      </c>
      <c r="D4056">
        <v>27</v>
      </c>
      <c r="E4056" t="s">
        <v>42</v>
      </c>
      <c r="F4056" t="s">
        <v>50</v>
      </c>
      <c r="G4056" s="2">
        <v>45373</v>
      </c>
      <c r="H4056" s="3">
        <f t="shared" si="63"/>
        <v>1.0876712328767124</v>
      </c>
      <c r="I4056">
        <v>133</v>
      </c>
      <c r="J4056" t="s">
        <v>57</v>
      </c>
      <c r="K4056" t="s">
        <v>56</v>
      </c>
      <c r="L4056" t="s">
        <v>44</v>
      </c>
      <c r="M4056">
        <v>8.4700000000000006</v>
      </c>
      <c r="T4056" t="s">
        <v>49</v>
      </c>
      <c r="U4056">
        <v>4</v>
      </c>
      <c r="V4056">
        <v>7</v>
      </c>
    </row>
    <row r="4057" spans="1:22" x14ac:dyDescent="0.3">
      <c r="A4057">
        <v>4056</v>
      </c>
      <c r="B4057">
        <v>54504</v>
      </c>
      <c r="C4057" s="2">
        <v>36262</v>
      </c>
      <c r="D4057">
        <v>26</v>
      </c>
      <c r="E4057" t="s">
        <v>42</v>
      </c>
      <c r="F4057" t="s">
        <v>37</v>
      </c>
      <c r="G4057" s="2">
        <v>45625</v>
      </c>
      <c r="H4057" s="3">
        <f t="shared" si="63"/>
        <v>1.4191780821917808</v>
      </c>
      <c r="I4057">
        <v>136</v>
      </c>
      <c r="J4057" t="s">
        <v>57</v>
      </c>
      <c r="K4057" t="s">
        <v>56</v>
      </c>
      <c r="L4057" t="s">
        <v>44</v>
      </c>
      <c r="M4057">
        <v>8.4700000000000006</v>
      </c>
      <c r="T4057" t="s">
        <v>45</v>
      </c>
      <c r="U4057">
        <v>4</v>
      </c>
      <c r="V4057">
        <v>7</v>
      </c>
    </row>
    <row r="4058" spans="1:22" x14ac:dyDescent="0.3">
      <c r="A4058">
        <v>4057</v>
      </c>
      <c r="B4058">
        <v>54505</v>
      </c>
      <c r="C4058" s="2">
        <v>37738</v>
      </c>
      <c r="D4058">
        <v>22</v>
      </c>
      <c r="E4058" t="s">
        <v>36</v>
      </c>
      <c r="F4058" t="s">
        <v>50</v>
      </c>
      <c r="G4058" s="2">
        <v>45504</v>
      </c>
      <c r="H4058" s="3">
        <f t="shared" si="63"/>
        <v>1.1150684931506849</v>
      </c>
      <c r="I4058">
        <v>139</v>
      </c>
      <c r="J4058" t="s">
        <v>57</v>
      </c>
      <c r="K4058" t="s">
        <v>68</v>
      </c>
      <c r="L4058" t="s">
        <v>44</v>
      </c>
      <c r="M4058">
        <v>17</v>
      </c>
      <c r="T4058" t="s">
        <v>52</v>
      </c>
      <c r="U4058">
        <v>1</v>
      </c>
      <c r="V4058">
        <v>3</v>
      </c>
    </row>
    <row r="4059" spans="1:22" x14ac:dyDescent="0.3">
      <c r="A4059">
        <v>4058</v>
      </c>
      <c r="B4059">
        <v>54506</v>
      </c>
      <c r="C4059" s="2">
        <v>37615</v>
      </c>
      <c r="D4059">
        <v>23</v>
      </c>
      <c r="E4059" t="s">
        <v>42</v>
      </c>
      <c r="F4059" t="s">
        <v>37</v>
      </c>
      <c r="G4059" s="2">
        <v>45615</v>
      </c>
      <c r="H4059" s="3">
        <f t="shared" si="63"/>
        <v>1.2136986301369863</v>
      </c>
      <c r="I4059">
        <v>140</v>
      </c>
      <c r="J4059" t="s">
        <v>57</v>
      </c>
      <c r="K4059" t="s">
        <v>56</v>
      </c>
      <c r="L4059" t="s">
        <v>44</v>
      </c>
      <c r="M4059">
        <v>8.4700000000000006</v>
      </c>
      <c r="T4059" t="s">
        <v>47</v>
      </c>
      <c r="U4059">
        <v>2</v>
      </c>
      <c r="V4059">
        <v>5</v>
      </c>
    </row>
    <row r="4060" spans="1:22" x14ac:dyDescent="0.3">
      <c r="A4060">
        <v>4059</v>
      </c>
      <c r="B4060">
        <v>54507</v>
      </c>
      <c r="C4060" s="2">
        <v>35624</v>
      </c>
      <c r="D4060">
        <v>28</v>
      </c>
      <c r="E4060" t="s">
        <v>36</v>
      </c>
      <c r="F4060" t="s">
        <v>37</v>
      </c>
      <c r="G4060" s="2">
        <v>45579</v>
      </c>
      <c r="H4060" s="3">
        <f t="shared" si="63"/>
        <v>1.8465753424657534</v>
      </c>
      <c r="I4060">
        <v>8</v>
      </c>
      <c r="J4060" t="s">
        <v>38</v>
      </c>
      <c r="K4060" t="s">
        <v>56</v>
      </c>
      <c r="L4060" t="s">
        <v>44</v>
      </c>
      <c r="M4060">
        <v>8.4700000000000006</v>
      </c>
      <c r="T4060" t="s">
        <v>45</v>
      </c>
      <c r="U4060">
        <v>3</v>
      </c>
      <c r="V4060">
        <v>5</v>
      </c>
    </row>
    <row r="4061" spans="1:22" x14ac:dyDescent="0.3">
      <c r="A4061">
        <v>4060</v>
      </c>
      <c r="B4061">
        <v>54508</v>
      </c>
      <c r="C4061" s="2">
        <v>34383</v>
      </c>
      <c r="D4061">
        <v>31</v>
      </c>
      <c r="E4061" t="s">
        <v>42</v>
      </c>
      <c r="F4061" t="s">
        <v>37</v>
      </c>
      <c r="G4061" s="2">
        <v>45348</v>
      </c>
      <c r="H4061" s="3">
        <f t="shared" si="63"/>
        <v>1.0602739726027397</v>
      </c>
      <c r="I4061">
        <v>8</v>
      </c>
      <c r="J4061" t="s">
        <v>38</v>
      </c>
      <c r="K4061" t="s">
        <v>56</v>
      </c>
      <c r="L4061" t="s">
        <v>44</v>
      </c>
      <c r="M4061">
        <v>8.4700000000000006</v>
      </c>
      <c r="T4061" t="s">
        <v>45</v>
      </c>
      <c r="U4061">
        <v>2</v>
      </c>
      <c r="V4061">
        <v>6</v>
      </c>
    </row>
    <row r="4062" spans="1:22" x14ac:dyDescent="0.3">
      <c r="A4062">
        <v>4061</v>
      </c>
      <c r="B4062">
        <v>54509</v>
      </c>
      <c r="C4062" s="2">
        <v>37341</v>
      </c>
      <c r="D4062">
        <v>23</v>
      </c>
      <c r="E4062" t="s">
        <v>36</v>
      </c>
      <c r="F4062" t="s">
        <v>50</v>
      </c>
      <c r="G4062" s="2">
        <v>45635</v>
      </c>
      <c r="H4062" s="3">
        <f t="shared" si="63"/>
        <v>1.4657534246575343</v>
      </c>
      <c r="I4062">
        <v>16</v>
      </c>
      <c r="J4062" t="s">
        <v>38</v>
      </c>
      <c r="K4062" t="s">
        <v>48</v>
      </c>
      <c r="L4062" t="s">
        <v>44</v>
      </c>
      <c r="M4062">
        <v>8.4700000000000006</v>
      </c>
      <c r="T4062" t="s">
        <v>49</v>
      </c>
      <c r="U4062">
        <v>2</v>
      </c>
      <c r="V4062">
        <v>4</v>
      </c>
    </row>
    <row r="4063" spans="1:22" x14ac:dyDescent="0.3">
      <c r="A4063">
        <v>4062</v>
      </c>
      <c r="B4063">
        <v>54511</v>
      </c>
      <c r="C4063" s="2">
        <v>35673</v>
      </c>
      <c r="D4063">
        <v>28</v>
      </c>
      <c r="E4063" t="s">
        <v>42</v>
      </c>
      <c r="F4063" t="s">
        <v>37</v>
      </c>
      <c r="G4063" s="2">
        <v>45487</v>
      </c>
      <c r="H4063" s="3">
        <f t="shared" si="63"/>
        <v>1.6356164383561644</v>
      </c>
      <c r="I4063">
        <v>28</v>
      </c>
      <c r="J4063" t="s">
        <v>38</v>
      </c>
      <c r="K4063" t="s">
        <v>56</v>
      </c>
      <c r="L4063" t="s">
        <v>44</v>
      </c>
      <c r="M4063">
        <v>8.4700000000000006</v>
      </c>
      <c r="T4063" t="s">
        <v>52</v>
      </c>
      <c r="U4063">
        <v>2</v>
      </c>
      <c r="V4063">
        <v>6</v>
      </c>
    </row>
    <row r="4064" spans="1:22" x14ac:dyDescent="0.3">
      <c r="A4064">
        <v>4063</v>
      </c>
      <c r="B4064">
        <v>54512</v>
      </c>
      <c r="C4064" s="2">
        <v>38777</v>
      </c>
      <c r="D4064">
        <v>20</v>
      </c>
      <c r="E4064" t="s">
        <v>42</v>
      </c>
      <c r="F4064" t="s">
        <v>50</v>
      </c>
      <c r="G4064" s="2">
        <v>45425</v>
      </c>
      <c r="H4064" s="3">
        <f t="shared" si="63"/>
        <v>1.4465753424657535</v>
      </c>
      <c r="I4064">
        <v>33</v>
      </c>
      <c r="J4064" t="s">
        <v>38</v>
      </c>
      <c r="K4064" t="s">
        <v>48</v>
      </c>
      <c r="L4064" t="s">
        <v>44</v>
      </c>
      <c r="M4064">
        <v>8.4700000000000006</v>
      </c>
      <c r="T4064" t="s">
        <v>52</v>
      </c>
      <c r="U4064">
        <v>2</v>
      </c>
      <c r="V4064">
        <v>5</v>
      </c>
    </row>
    <row r="4065" spans="1:22" x14ac:dyDescent="0.3">
      <c r="A4065">
        <v>4064</v>
      </c>
      <c r="B4065">
        <v>54513</v>
      </c>
      <c r="C4065" s="2">
        <v>34747</v>
      </c>
      <c r="D4065">
        <v>30</v>
      </c>
      <c r="E4065" t="s">
        <v>36</v>
      </c>
      <c r="F4065" t="s">
        <v>50</v>
      </c>
      <c r="G4065" s="2">
        <v>45494</v>
      </c>
      <c r="H4065" s="3">
        <f t="shared" si="63"/>
        <v>1.2356164383561643</v>
      </c>
      <c r="I4065">
        <v>33</v>
      </c>
      <c r="J4065" t="s">
        <v>38</v>
      </c>
      <c r="K4065" t="s">
        <v>55</v>
      </c>
      <c r="L4065" t="s">
        <v>44</v>
      </c>
      <c r="M4065">
        <v>17.59</v>
      </c>
      <c r="T4065" t="s">
        <v>45</v>
      </c>
      <c r="U4065">
        <v>4</v>
      </c>
      <c r="V4065">
        <v>4</v>
      </c>
    </row>
    <row r="4066" spans="1:22" x14ac:dyDescent="0.3">
      <c r="A4066">
        <v>4065</v>
      </c>
      <c r="B4066">
        <v>54514</v>
      </c>
      <c r="C4066" s="2">
        <v>36102</v>
      </c>
      <c r="D4066">
        <v>27</v>
      </c>
      <c r="E4066" t="s">
        <v>42</v>
      </c>
      <c r="F4066" t="s">
        <v>50</v>
      </c>
      <c r="G4066" s="2">
        <v>45571</v>
      </c>
      <c r="H4066" s="3">
        <f t="shared" si="63"/>
        <v>1.6410958904109589</v>
      </c>
      <c r="I4066">
        <v>33</v>
      </c>
      <c r="J4066" t="s">
        <v>38</v>
      </c>
      <c r="K4066" t="s">
        <v>56</v>
      </c>
      <c r="L4066" t="s">
        <v>44</v>
      </c>
      <c r="M4066">
        <v>8.4700000000000006</v>
      </c>
      <c r="T4066" t="s">
        <v>49</v>
      </c>
      <c r="U4066">
        <v>2</v>
      </c>
      <c r="V4066">
        <v>7</v>
      </c>
    </row>
    <row r="4067" spans="1:22" x14ac:dyDescent="0.3">
      <c r="A4067">
        <v>4066</v>
      </c>
      <c r="B4067">
        <v>54515</v>
      </c>
      <c r="C4067" s="2">
        <v>37712</v>
      </c>
      <c r="D4067">
        <v>23</v>
      </c>
      <c r="E4067" t="s">
        <v>42</v>
      </c>
      <c r="F4067" t="s">
        <v>50</v>
      </c>
      <c r="G4067" s="2">
        <v>45423</v>
      </c>
      <c r="H4067" s="3">
        <f t="shared" si="63"/>
        <v>1.6712328767123288</v>
      </c>
      <c r="I4067">
        <v>47</v>
      </c>
      <c r="J4067" t="s">
        <v>38</v>
      </c>
      <c r="K4067" t="s">
        <v>48</v>
      </c>
      <c r="L4067" t="s">
        <v>44</v>
      </c>
      <c r="M4067">
        <v>8.4700000000000006</v>
      </c>
      <c r="T4067" t="s">
        <v>52</v>
      </c>
      <c r="U4067">
        <v>0</v>
      </c>
      <c r="V4067">
        <v>4</v>
      </c>
    </row>
    <row r="4068" spans="1:22" x14ac:dyDescent="0.3">
      <c r="A4068">
        <v>4067</v>
      </c>
      <c r="B4068">
        <v>54516</v>
      </c>
      <c r="C4068" s="2">
        <v>37457</v>
      </c>
      <c r="D4068">
        <v>23</v>
      </c>
      <c r="E4068" t="s">
        <v>42</v>
      </c>
      <c r="F4068" t="s">
        <v>50</v>
      </c>
      <c r="G4068" s="2">
        <v>45412</v>
      </c>
      <c r="H4068" s="3">
        <f t="shared" si="63"/>
        <v>1.7698630136986302</v>
      </c>
      <c r="I4068">
        <v>57</v>
      </c>
      <c r="J4068" t="s">
        <v>38</v>
      </c>
      <c r="K4068" t="s">
        <v>65</v>
      </c>
      <c r="L4068" t="s">
        <v>44</v>
      </c>
      <c r="M4068">
        <v>10.64</v>
      </c>
      <c r="T4068" t="s">
        <v>52</v>
      </c>
      <c r="U4068">
        <v>0</v>
      </c>
      <c r="V4068">
        <v>5</v>
      </c>
    </row>
    <row r="4069" spans="1:22" x14ac:dyDescent="0.3">
      <c r="A4069">
        <v>4068</v>
      </c>
      <c r="B4069">
        <v>54518</v>
      </c>
      <c r="C4069" s="2">
        <v>37480</v>
      </c>
      <c r="D4069">
        <v>23</v>
      </c>
      <c r="E4069" t="s">
        <v>36</v>
      </c>
      <c r="F4069" t="s">
        <v>50</v>
      </c>
      <c r="G4069" s="2">
        <v>45376</v>
      </c>
      <c r="H4069" s="3">
        <f t="shared" si="63"/>
        <v>1.5890410958904109</v>
      </c>
      <c r="I4069">
        <v>84</v>
      </c>
      <c r="J4069" t="s">
        <v>57</v>
      </c>
      <c r="K4069" t="s">
        <v>46</v>
      </c>
      <c r="L4069" t="s">
        <v>44</v>
      </c>
      <c r="M4069">
        <v>14.23</v>
      </c>
      <c r="T4069" t="s">
        <v>52</v>
      </c>
      <c r="U4069">
        <v>1</v>
      </c>
      <c r="V4069">
        <v>6</v>
      </c>
    </row>
    <row r="4070" spans="1:22" x14ac:dyDescent="0.3">
      <c r="A4070">
        <v>4069</v>
      </c>
      <c r="B4070">
        <v>54519</v>
      </c>
      <c r="C4070" s="2">
        <v>34493</v>
      </c>
      <c r="D4070">
        <v>31</v>
      </c>
      <c r="E4070" t="s">
        <v>36</v>
      </c>
      <c r="F4070" t="s">
        <v>50</v>
      </c>
      <c r="G4070" s="2">
        <v>45442</v>
      </c>
      <c r="H4070" s="3">
        <f t="shared" si="63"/>
        <v>1.6712328767123288</v>
      </c>
      <c r="I4070">
        <v>94</v>
      </c>
      <c r="J4070" t="s">
        <v>57</v>
      </c>
      <c r="K4070" t="s">
        <v>48</v>
      </c>
      <c r="L4070" t="s">
        <v>44</v>
      </c>
      <c r="M4070">
        <v>8.4700000000000006</v>
      </c>
      <c r="T4070" t="s">
        <v>45</v>
      </c>
      <c r="U4070">
        <v>4</v>
      </c>
      <c r="V4070">
        <v>5</v>
      </c>
    </row>
    <row r="4071" spans="1:22" x14ac:dyDescent="0.3">
      <c r="A4071">
        <v>4070</v>
      </c>
      <c r="B4071">
        <v>54520</v>
      </c>
      <c r="C4071" s="2">
        <v>36850</v>
      </c>
      <c r="D4071">
        <v>25</v>
      </c>
      <c r="E4071" t="s">
        <v>42</v>
      </c>
      <c r="F4071" t="s">
        <v>37</v>
      </c>
      <c r="G4071" s="2">
        <v>45412</v>
      </c>
      <c r="H4071" s="3">
        <f t="shared" si="63"/>
        <v>1.0547945205479452</v>
      </c>
      <c r="I4071">
        <v>102</v>
      </c>
      <c r="J4071" t="s">
        <v>57</v>
      </c>
      <c r="K4071" t="s">
        <v>64</v>
      </c>
      <c r="L4071" t="s">
        <v>44</v>
      </c>
      <c r="M4071">
        <v>14.07</v>
      </c>
      <c r="T4071" t="s">
        <v>49</v>
      </c>
      <c r="U4071">
        <v>0</v>
      </c>
      <c r="V4071">
        <v>6</v>
      </c>
    </row>
    <row r="4072" spans="1:22" x14ac:dyDescent="0.3">
      <c r="A4072">
        <v>4071</v>
      </c>
      <c r="B4072">
        <v>54521</v>
      </c>
      <c r="C4072" s="2">
        <v>37981</v>
      </c>
      <c r="D4072">
        <v>22</v>
      </c>
      <c r="E4072" t="s">
        <v>36</v>
      </c>
      <c r="F4072" t="s">
        <v>37</v>
      </c>
      <c r="G4072" s="2">
        <v>45637</v>
      </c>
      <c r="H4072" s="3">
        <f t="shared" si="63"/>
        <v>1.5890410958904109</v>
      </c>
      <c r="I4072">
        <v>102</v>
      </c>
      <c r="J4072" t="s">
        <v>57</v>
      </c>
      <c r="K4072" t="s">
        <v>55</v>
      </c>
      <c r="L4072" t="s">
        <v>44</v>
      </c>
      <c r="M4072">
        <v>17.59</v>
      </c>
      <c r="T4072" t="s">
        <v>52</v>
      </c>
      <c r="U4072">
        <v>2</v>
      </c>
      <c r="V4072">
        <v>5</v>
      </c>
    </row>
    <row r="4073" spans="1:22" x14ac:dyDescent="0.3">
      <c r="A4073">
        <v>4072</v>
      </c>
      <c r="B4073">
        <v>54522</v>
      </c>
      <c r="C4073" s="2">
        <v>38411</v>
      </c>
      <c r="D4073">
        <v>20</v>
      </c>
      <c r="E4073" t="s">
        <v>42</v>
      </c>
      <c r="F4073" t="s">
        <v>50</v>
      </c>
      <c r="G4073" s="2">
        <v>45442</v>
      </c>
      <c r="H4073" s="3">
        <f t="shared" si="63"/>
        <v>1.4219178082191781</v>
      </c>
      <c r="I4073">
        <v>102</v>
      </c>
      <c r="J4073" t="s">
        <v>57</v>
      </c>
      <c r="K4073" t="s">
        <v>56</v>
      </c>
      <c r="L4073" t="s">
        <v>44</v>
      </c>
      <c r="M4073">
        <v>8.4700000000000006</v>
      </c>
      <c r="T4073" t="s">
        <v>52</v>
      </c>
      <c r="U4073">
        <v>1</v>
      </c>
      <c r="V4073">
        <v>4</v>
      </c>
    </row>
    <row r="4074" spans="1:22" x14ac:dyDescent="0.3">
      <c r="A4074">
        <v>4073</v>
      </c>
      <c r="B4074">
        <v>54523</v>
      </c>
      <c r="C4074" s="2">
        <v>35107</v>
      </c>
      <c r="D4074">
        <v>29</v>
      </c>
      <c r="E4074" t="s">
        <v>36</v>
      </c>
      <c r="F4074" t="s">
        <v>50</v>
      </c>
      <c r="G4074" s="2">
        <v>45503</v>
      </c>
      <c r="H4074" s="3">
        <f t="shared" si="63"/>
        <v>1.3095890410958904</v>
      </c>
      <c r="I4074">
        <v>113</v>
      </c>
      <c r="J4074" t="s">
        <v>57</v>
      </c>
      <c r="K4074" t="s">
        <v>46</v>
      </c>
      <c r="L4074" t="s">
        <v>44</v>
      </c>
      <c r="M4074">
        <v>14.23</v>
      </c>
      <c r="T4074" t="s">
        <v>47</v>
      </c>
      <c r="U4074">
        <v>0</v>
      </c>
      <c r="V4074">
        <v>2</v>
      </c>
    </row>
    <row r="4075" spans="1:22" x14ac:dyDescent="0.3">
      <c r="A4075">
        <v>4074</v>
      </c>
      <c r="B4075">
        <v>54524</v>
      </c>
      <c r="C4075" s="2">
        <v>38473</v>
      </c>
      <c r="D4075">
        <v>21</v>
      </c>
      <c r="E4075" t="s">
        <v>42</v>
      </c>
      <c r="F4075" t="s">
        <v>50</v>
      </c>
      <c r="G4075" s="2">
        <v>45544</v>
      </c>
      <c r="H4075" s="3">
        <f t="shared" si="63"/>
        <v>1.7342465753424658</v>
      </c>
      <c r="I4075">
        <v>114</v>
      </c>
      <c r="J4075" t="s">
        <v>57</v>
      </c>
      <c r="K4075" t="s">
        <v>48</v>
      </c>
      <c r="L4075" t="s">
        <v>44</v>
      </c>
      <c r="M4075">
        <v>8.4700000000000006</v>
      </c>
      <c r="T4075" t="s">
        <v>45</v>
      </c>
      <c r="U4075">
        <v>1</v>
      </c>
      <c r="V4075">
        <v>6</v>
      </c>
    </row>
    <row r="4076" spans="1:22" x14ac:dyDescent="0.3">
      <c r="A4076">
        <v>4075</v>
      </c>
      <c r="B4076">
        <v>54526</v>
      </c>
      <c r="C4076" s="2">
        <v>39052</v>
      </c>
      <c r="D4076">
        <v>20</v>
      </c>
      <c r="E4076" t="s">
        <v>42</v>
      </c>
      <c r="F4076" t="s">
        <v>37</v>
      </c>
      <c r="G4076" s="2">
        <v>45389</v>
      </c>
      <c r="H4076" s="3">
        <f t="shared" si="63"/>
        <v>1.2273972602739727</v>
      </c>
      <c r="I4076">
        <v>115</v>
      </c>
      <c r="J4076" t="s">
        <v>57</v>
      </c>
      <c r="K4076" t="s">
        <v>56</v>
      </c>
      <c r="L4076" t="s">
        <v>44</v>
      </c>
      <c r="M4076">
        <v>8.4700000000000006</v>
      </c>
      <c r="T4076" t="s">
        <v>49</v>
      </c>
      <c r="U4076">
        <v>2</v>
      </c>
      <c r="V4076">
        <v>6</v>
      </c>
    </row>
    <row r="4077" spans="1:22" x14ac:dyDescent="0.3">
      <c r="A4077">
        <v>4076</v>
      </c>
      <c r="B4077">
        <v>54527</v>
      </c>
      <c r="C4077" s="2">
        <v>33971</v>
      </c>
      <c r="D4077">
        <v>32</v>
      </c>
      <c r="E4077" t="s">
        <v>36</v>
      </c>
      <c r="F4077" t="s">
        <v>50</v>
      </c>
      <c r="G4077" s="2">
        <v>45574</v>
      </c>
      <c r="H4077" s="3">
        <f t="shared" si="63"/>
        <v>1.3835616438356164</v>
      </c>
      <c r="I4077">
        <v>124</v>
      </c>
      <c r="J4077" t="s">
        <v>57</v>
      </c>
      <c r="K4077" t="s">
        <v>46</v>
      </c>
      <c r="L4077" t="s">
        <v>44</v>
      </c>
      <c r="M4077">
        <v>14.23</v>
      </c>
      <c r="T4077" t="s">
        <v>52</v>
      </c>
      <c r="U4077">
        <v>0</v>
      </c>
      <c r="V4077">
        <v>5</v>
      </c>
    </row>
    <row r="4078" spans="1:22" x14ac:dyDescent="0.3">
      <c r="A4078">
        <v>4077</v>
      </c>
      <c r="B4078">
        <v>54528</v>
      </c>
      <c r="C4078" s="2">
        <v>38038</v>
      </c>
      <c r="D4078">
        <v>21</v>
      </c>
      <c r="E4078" t="s">
        <v>36</v>
      </c>
      <c r="F4078" t="s">
        <v>37</v>
      </c>
      <c r="G4078" s="2">
        <v>45517</v>
      </c>
      <c r="H4078" s="3">
        <f t="shared" si="63"/>
        <v>1.2328767123287672</v>
      </c>
      <c r="I4078">
        <v>125</v>
      </c>
      <c r="J4078" t="s">
        <v>57</v>
      </c>
      <c r="K4078" t="s">
        <v>65</v>
      </c>
      <c r="L4078" t="s">
        <v>44</v>
      </c>
      <c r="M4078">
        <v>10.64</v>
      </c>
      <c r="T4078" t="s">
        <v>52</v>
      </c>
      <c r="U4078">
        <v>0</v>
      </c>
      <c r="V4078">
        <v>3</v>
      </c>
    </row>
    <row r="4079" spans="1:22" x14ac:dyDescent="0.3">
      <c r="A4079">
        <v>4078</v>
      </c>
      <c r="B4079">
        <v>54529</v>
      </c>
      <c r="C4079" s="2">
        <v>37771</v>
      </c>
      <c r="D4079">
        <v>22</v>
      </c>
      <c r="E4079" t="s">
        <v>36</v>
      </c>
      <c r="F4079" t="s">
        <v>50</v>
      </c>
      <c r="G4079" s="2">
        <v>45572</v>
      </c>
      <c r="H4079" s="3">
        <f t="shared" si="63"/>
        <v>1.8547945205479452</v>
      </c>
      <c r="I4079">
        <v>131</v>
      </c>
      <c r="J4079" t="s">
        <v>57</v>
      </c>
      <c r="K4079" t="s">
        <v>56</v>
      </c>
      <c r="L4079" t="s">
        <v>44</v>
      </c>
      <c r="M4079">
        <v>8.4700000000000006</v>
      </c>
      <c r="T4079" t="s">
        <v>45</v>
      </c>
      <c r="U4079">
        <v>2</v>
      </c>
      <c r="V4079">
        <v>4</v>
      </c>
    </row>
    <row r="4080" spans="1:22" x14ac:dyDescent="0.3">
      <c r="A4080">
        <v>4079</v>
      </c>
      <c r="B4080">
        <v>54530</v>
      </c>
      <c r="C4080" s="2">
        <v>38418</v>
      </c>
      <c r="D4080">
        <v>20</v>
      </c>
      <c r="E4080" t="s">
        <v>42</v>
      </c>
      <c r="F4080" t="s">
        <v>50</v>
      </c>
      <c r="G4080" s="2">
        <v>45345</v>
      </c>
      <c r="H4080" s="3">
        <f t="shared" si="63"/>
        <v>1.6794520547945206</v>
      </c>
      <c r="I4080">
        <v>14</v>
      </c>
      <c r="J4080" t="s">
        <v>38</v>
      </c>
      <c r="K4080" t="s">
        <v>56</v>
      </c>
      <c r="L4080" t="s">
        <v>44</v>
      </c>
      <c r="M4080">
        <v>8.4700000000000006</v>
      </c>
      <c r="T4080" t="s">
        <v>49</v>
      </c>
      <c r="U4080">
        <v>2</v>
      </c>
      <c r="V4080">
        <v>6</v>
      </c>
    </row>
    <row r="4081" spans="1:22" x14ac:dyDescent="0.3">
      <c r="A4081">
        <v>4080</v>
      </c>
      <c r="B4081">
        <v>54531</v>
      </c>
      <c r="C4081" s="2">
        <v>36762</v>
      </c>
      <c r="D4081">
        <v>25</v>
      </c>
      <c r="E4081" t="s">
        <v>36</v>
      </c>
      <c r="F4081" t="s">
        <v>50</v>
      </c>
      <c r="G4081" s="2">
        <v>45409</v>
      </c>
      <c r="H4081" s="3">
        <f t="shared" si="63"/>
        <v>1.6082191780821917</v>
      </c>
      <c r="I4081">
        <v>23</v>
      </c>
      <c r="J4081" t="s">
        <v>38</v>
      </c>
      <c r="K4081" t="s">
        <v>65</v>
      </c>
      <c r="L4081" t="s">
        <v>44</v>
      </c>
      <c r="M4081">
        <v>10.64</v>
      </c>
      <c r="T4081" t="s">
        <v>47</v>
      </c>
      <c r="U4081">
        <v>1</v>
      </c>
      <c r="V4081">
        <v>5</v>
      </c>
    </row>
    <row r="4082" spans="1:22" x14ac:dyDescent="0.3">
      <c r="A4082">
        <v>4081</v>
      </c>
      <c r="B4082">
        <v>54532</v>
      </c>
      <c r="C4082" s="2">
        <v>39262</v>
      </c>
      <c r="D4082">
        <v>18</v>
      </c>
      <c r="E4082" t="s">
        <v>42</v>
      </c>
      <c r="F4082" t="s">
        <v>50</v>
      </c>
      <c r="G4082" s="2">
        <v>45435</v>
      </c>
      <c r="H4082" s="3">
        <f t="shared" si="63"/>
        <v>1.1013698630136985</v>
      </c>
      <c r="I4082">
        <v>38</v>
      </c>
      <c r="J4082" t="s">
        <v>38</v>
      </c>
      <c r="K4082" t="s">
        <v>48</v>
      </c>
      <c r="L4082" t="s">
        <v>44</v>
      </c>
      <c r="M4082">
        <v>8.4700000000000006</v>
      </c>
      <c r="T4082" t="s">
        <v>52</v>
      </c>
      <c r="U4082">
        <v>2</v>
      </c>
      <c r="V4082">
        <v>7</v>
      </c>
    </row>
    <row r="4083" spans="1:22" x14ac:dyDescent="0.3">
      <c r="A4083">
        <v>4082</v>
      </c>
      <c r="B4083">
        <v>54533</v>
      </c>
      <c r="C4083" s="2">
        <v>39135</v>
      </c>
      <c r="D4083">
        <v>18</v>
      </c>
      <c r="E4083" t="s">
        <v>42</v>
      </c>
      <c r="F4083" t="s">
        <v>50</v>
      </c>
      <c r="G4083" s="2">
        <v>45620</v>
      </c>
      <c r="H4083" s="3">
        <f t="shared" si="63"/>
        <v>1.1863013698630136</v>
      </c>
      <c r="I4083">
        <v>39</v>
      </c>
      <c r="J4083" t="s">
        <v>38</v>
      </c>
      <c r="K4083" t="s">
        <v>56</v>
      </c>
      <c r="L4083" t="s">
        <v>44</v>
      </c>
      <c r="M4083">
        <v>8.4700000000000006</v>
      </c>
      <c r="T4083" t="s">
        <v>49</v>
      </c>
      <c r="U4083">
        <v>4</v>
      </c>
      <c r="V4083">
        <v>6</v>
      </c>
    </row>
    <row r="4084" spans="1:22" x14ac:dyDescent="0.3">
      <c r="A4084">
        <v>4083</v>
      </c>
      <c r="B4084">
        <v>54534</v>
      </c>
      <c r="C4084" s="2">
        <v>38019</v>
      </c>
      <c r="D4084">
        <v>21</v>
      </c>
      <c r="E4084" t="s">
        <v>42</v>
      </c>
      <c r="F4084" t="s">
        <v>50</v>
      </c>
      <c r="G4084" s="2">
        <v>45589</v>
      </c>
      <c r="H4084" s="3">
        <f t="shared" si="63"/>
        <v>1.0849315068493151</v>
      </c>
      <c r="I4084">
        <v>42</v>
      </c>
      <c r="J4084" t="s">
        <v>38</v>
      </c>
      <c r="K4084" t="s">
        <v>56</v>
      </c>
      <c r="L4084" t="s">
        <v>44</v>
      </c>
      <c r="M4084">
        <v>8.4700000000000006</v>
      </c>
      <c r="T4084" t="s">
        <v>49</v>
      </c>
      <c r="U4084">
        <v>0</v>
      </c>
      <c r="V4084">
        <v>6</v>
      </c>
    </row>
    <row r="4085" spans="1:22" x14ac:dyDescent="0.3">
      <c r="A4085">
        <v>4084</v>
      </c>
      <c r="B4085">
        <v>54535</v>
      </c>
      <c r="C4085" s="2">
        <v>35648</v>
      </c>
      <c r="D4085">
        <v>28</v>
      </c>
      <c r="E4085" t="s">
        <v>42</v>
      </c>
      <c r="F4085" t="s">
        <v>50</v>
      </c>
      <c r="G4085" s="2">
        <v>45626</v>
      </c>
      <c r="H4085" s="3">
        <f t="shared" si="63"/>
        <v>1.0520547945205478</v>
      </c>
      <c r="I4085">
        <v>44</v>
      </c>
      <c r="J4085" t="s">
        <v>38</v>
      </c>
      <c r="K4085" t="s">
        <v>48</v>
      </c>
      <c r="L4085" t="s">
        <v>44</v>
      </c>
      <c r="M4085">
        <v>8.4700000000000006</v>
      </c>
      <c r="T4085" t="s">
        <v>52</v>
      </c>
      <c r="U4085">
        <v>4</v>
      </c>
      <c r="V4085">
        <v>7</v>
      </c>
    </row>
    <row r="4086" spans="1:22" x14ac:dyDescent="0.3">
      <c r="A4086">
        <v>4085</v>
      </c>
      <c r="B4086">
        <v>54536</v>
      </c>
      <c r="C4086" s="2">
        <v>38645</v>
      </c>
      <c r="D4086">
        <v>20</v>
      </c>
      <c r="E4086" t="s">
        <v>42</v>
      </c>
      <c r="F4086" t="s">
        <v>50</v>
      </c>
      <c r="G4086" s="2">
        <v>45638</v>
      </c>
      <c r="H4086" s="3">
        <f t="shared" si="63"/>
        <v>1.6356164383561644</v>
      </c>
      <c r="I4086">
        <v>45</v>
      </c>
      <c r="J4086" t="s">
        <v>38</v>
      </c>
      <c r="K4086" t="s">
        <v>56</v>
      </c>
      <c r="L4086" t="s">
        <v>44</v>
      </c>
      <c r="M4086">
        <v>8.4700000000000006</v>
      </c>
      <c r="T4086" t="s">
        <v>49</v>
      </c>
      <c r="U4086">
        <v>4</v>
      </c>
      <c r="V4086">
        <v>7</v>
      </c>
    </row>
    <row r="4087" spans="1:22" x14ac:dyDescent="0.3">
      <c r="A4087">
        <v>4086</v>
      </c>
      <c r="B4087">
        <v>54537</v>
      </c>
      <c r="C4087" s="2">
        <v>38340</v>
      </c>
      <c r="D4087">
        <v>21</v>
      </c>
      <c r="E4087" t="s">
        <v>36</v>
      </c>
      <c r="F4087" t="s">
        <v>50</v>
      </c>
      <c r="G4087" s="2">
        <v>45425</v>
      </c>
      <c r="H4087" s="3">
        <f t="shared" si="63"/>
        <v>1.463013698630137</v>
      </c>
      <c r="I4087">
        <v>56</v>
      </c>
      <c r="J4087" t="s">
        <v>38</v>
      </c>
      <c r="K4087" t="s">
        <v>48</v>
      </c>
      <c r="L4087" t="s">
        <v>44</v>
      </c>
      <c r="M4087">
        <v>8.4700000000000006</v>
      </c>
      <c r="T4087" t="s">
        <v>52</v>
      </c>
      <c r="U4087">
        <v>2</v>
      </c>
      <c r="V4087">
        <v>4</v>
      </c>
    </row>
    <row r="4088" spans="1:22" x14ac:dyDescent="0.3">
      <c r="A4088">
        <v>4087</v>
      </c>
      <c r="B4088">
        <v>54539</v>
      </c>
      <c r="C4088" s="2">
        <v>36278</v>
      </c>
      <c r="D4088">
        <v>26</v>
      </c>
      <c r="E4088" t="s">
        <v>42</v>
      </c>
      <c r="F4088" t="s">
        <v>50</v>
      </c>
      <c r="G4088" s="2">
        <v>45488</v>
      </c>
      <c r="H4088" s="3">
        <f t="shared" si="63"/>
        <v>1.6630136986301369</v>
      </c>
      <c r="I4088">
        <v>59</v>
      </c>
      <c r="J4088" t="s">
        <v>38</v>
      </c>
      <c r="K4088" t="s">
        <v>56</v>
      </c>
      <c r="L4088" t="s">
        <v>44</v>
      </c>
      <c r="M4088">
        <v>8.4700000000000006</v>
      </c>
      <c r="T4088" t="s">
        <v>45</v>
      </c>
      <c r="U4088">
        <v>2</v>
      </c>
      <c r="V4088">
        <v>6</v>
      </c>
    </row>
    <row r="4089" spans="1:22" x14ac:dyDescent="0.3">
      <c r="A4089">
        <v>4088</v>
      </c>
      <c r="B4089">
        <v>54540</v>
      </c>
      <c r="C4089" s="2">
        <v>34663</v>
      </c>
      <c r="D4089">
        <v>31</v>
      </c>
      <c r="E4089" t="s">
        <v>42</v>
      </c>
      <c r="F4089" t="s">
        <v>50</v>
      </c>
      <c r="G4089" s="2">
        <v>45415</v>
      </c>
      <c r="H4089" s="3">
        <f t="shared" si="63"/>
        <v>1.106849315068493</v>
      </c>
      <c r="I4089">
        <v>62</v>
      </c>
      <c r="J4089" t="s">
        <v>38</v>
      </c>
      <c r="K4089" t="s">
        <v>56</v>
      </c>
      <c r="L4089" t="s">
        <v>44</v>
      </c>
      <c r="M4089">
        <v>8.4700000000000006</v>
      </c>
      <c r="T4089" t="s">
        <v>47</v>
      </c>
      <c r="U4089">
        <v>2</v>
      </c>
      <c r="V4089">
        <v>4</v>
      </c>
    </row>
    <row r="4090" spans="1:22" x14ac:dyDescent="0.3">
      <c r="A4090">
        <v>4089</v>
      </c>
      <c r="B4090">
        <v>54541</v>
      </c>
      <c r="C4090" s="2">
        <v>35298</v>
      </c>
      <c r="D4090">
        <v>29</v>
      </c>
      <c r="E4090" t="s">
        <v>42</v>
      </c>
      <c r="F4090" t="s">
        <v>50</v>
      </c>
      <c r="G4090" s="2">
        <v>45618</v>
      </c>
      <c r="H4090" s="3">
        <f t="shared" si="63"/>
        <v>1.0520547945205478</v>
      </c>
      <c r="I4090">
        <v>67</v>
      </c>
      <c r="J4090" t="s">
        <v>57</v>
      </c>
      <c r="K4090" t="s">
        <v>48</v>
      </c>
      <c r="L4090" t="s">
        <v>44</v>
      </c>
      <c r="M4090">
        <v>8.4700000000000006</v>
      </c>
      <c r="T4090" t="s">
        <v>52</v>
      </c>
      <c r="U4090">
        <v>2</v>
      </c>
      <c r="V4090">
        <v>6</v>
      </c>
    </row>
    <row r="4091" spans="1:22" x14ac:dyDescent="0.3">
      <c r="A4091">
        <v>4090</v>
      </c>
      <c r="B4091">
        <v>54542</v>
      </c>
      <c r="C4091" s="2">
        <v>39068</v>
      </c>
      <c r="D4091">
        <v>19</v>
      </c>
      <c r="E4091" t="s">
        <v>42</v>
      </c>
      <c r="F4091" t="s">
        <v>50</v>
      </c>
      <c r="G4091" s="2">
        <v>45638</v>
      </c>
      <c r="H4091" s="3">
        <f t="shared" si="63"/>
        <v>1.2054794520547945</v>
      </c>
      <c r="I4091">
        <v>73</v>
      </c>
      <c r="J4091" t="s">
        <v>57</v>
      </c>
      <c r="K4091" t="s">
        <v>56</v>
      </c>
      <c r="L4091" t="s">
        <v>44</v>
      </c>
      <c r="M4091">
        <v>8.4700000000000006</v>
      </c>
      <c r="T4091" t="s">
        <v>52</v>
      </c>
      <c r="U4091">
        <v>2</v>
      </c>
      <c r="V4091">
        <v>6</v>
      </c>
    </row>
    <row r="4092" spans="1:22" x14ac:dyDescent="0.3">
      <c r="A4092">
        <v>4091</v>
      </c>
      <c r="B4092">
        <v>54543</v>
      </c>
      <c r="C4092" s="2">
        <v>37647</v>
      </c>
      <c r="D4092">
        <v>22</v>
      </c>
      <c r="E4092" t="s">
        <v>42</v>
      </c>
      <c r="F4092" t="s">
        <v>37</v>
      </c>
      <c r="G4092" s="2">
        <v>45582</v>
      </c>
      <c r="H4092" s="3">
        <f t="shared" si="63"/>
        <v>1.1506849315068493</v>
      </c>
      <c r="I4092">
        <v>77</v>
      </c>
      <c r="J4092" t="s">
        <v>57</v>
      </c>
      <c r="K4092" t="s">
        <v>56</v>
      </c>
      <c r="L4092" t="s">
        <v>44</v>
      </c>
      <c r="M4092">
        <v>8.4700000000000006</v>
      </c>
      <c r="T4092" t="s">
        <v>47</v>
      </c>
      <c r="U4092">
        <v>2</v>
      </c>
      <c r="V4092">
        <v>6</v>
      </c>
    </row>
    <row r="4093" spans="1:22" x14ac:dyDescent="0.3">
      <c r="A4093">
        <v>4092</v>
      </c>
      <c r="B4093">
        <v>54544</v>
      </c>
      <c r="C4093" s="2">
        <v>37683</v>
      </c>
      <c r="D4093">
        <v>22</v>
      </c>
      <c r="E4093" t="s">
        <v>42</v>
      </c>
      <c r="F4093" t="s">
        <v>50</v>
      </c>
      <c r="G4093" s="2">
        <v>45602</v>
      </c>
      <c r="H4093" s="3">
        <f t="shared" si="63"/>
        <v>1.4027397260273973</v>
      </c>
      <c r="I4093">
        <v>96</v>
      </c>
      <c r="J4093" t="s">
        <v>57</v>
      </c>
      <c r="K4093" t="s">
        <v>56</v>
      </c>
      <c r="L4093" t="s">
        <v>44</v>
      </c>
      <c r="M4093">
        <v>8.4700000000000006</v>
      </c>
      <c r="T4093" t="s">
        <v>49</v>
      </c>
      <c r="U4093">
        <v>2</v>
      </c>
      <c r="V4093">
        <v>7</v>
      </c>
    </row>
    <row r="4094" spans="1:22" x14ac:dyDescent="0.3">
      <c r="A4094">
        <v>4093</v>
      </c>
      <c r="B4094">
        <v>54545</v>
      </c>
      <c r="C4094" s="2">
        <v>38101</v>
      </c>
      <c r="D4094">
        <v>21</v>
      </c>
      <c r="E4094" t="s">
        <v>42</v>
      </c>
      <c r="F4094" t="s">
        <v>50</v>
      </c>
      <c r="G4094" s="2">
        <v>45510</v>
      </c>
      <c r="H4094" s="3">
        <f t="shared" si="63"/>
        <v>1.7178082191780821</v>
      </c>
      <c r="I4094">
        <v>96</v>
      </c>
      <c r="J4094" t="s">
        <v>57</v>
      </c>
      <c r="K4094" t="s">
        <v>56</v>
      </c>
      <c r="L4094" t="s">
        <v>44</v>
      </c>
      <c r="M4094">
        <v>8.4700000000000006</v>
      </c>
      <c r="T4094" t="s">
        <v>52</v>
      </c>
      <c r="U4094">
        <v>4</v>
      </c>
      <c r="V4094">
        <v>6</v>
      </c>
    </row>
    <row r="4095" spans="1:22" x14ac:dyDescent="0.3">
      <c r="A4095">
        <v>4094</v>
      </c>
      <c r="B4095">
        <v>54546</v>
      </c>
      <c r="C4095" s="2">
        <v>36431</v>
      </c>
      <c r="D4095">
        <v>26</v>
      </c>
      <c r="E4095" t="s">
        <v>42</v>
      </c>
      <c r="F4095" t="s">
        <v>37</v>
      </c>
      <c r="G4095" s="2">
        <v>45395</v>
      </c>
      <c r="H4095" s="3">
        <f t="shared" si="63"/>
        <v>1.0876712328767124</v>
      </c>
      <c r="I4095">
        <v>111</v>
      </c>
      <c r="J4095" t="s">
        <v>57</v>
      </c>
      <c r="K4095" t="s">
        <v>64</v>
      </c>
      <c r="L4095" t="s">
        <v>44</v>
      </c>
      <c r="M4095">
        <v>14.07</v>
      </c>
      <c r="T4095" t="s">
        <v>52</v>
      </c>
      <c r="U4095">
        <v>0</v>
      </c>
      <c r="V4095">
        <v>5</v>
      </c>
    </row>
    <row r="4096" spans="1:22" x14ac:dyDescent="0.3">
      <c r="A4096">
        <v>4095</v>
      </c>
      <c r="B4096">
        <v>54547</v>
      </c>
      <c r="C4096" s="2">
        <v>38729</v>
      </c>
      <c r="D4096">
        <v>19</v>
      </c>
      <c r="E4096" t="s">
        <v>42</v>
      </c>
      <c r="F4096" t="s">
        <v>37</v>
      </c>
      <c r="G4096" s="2">
        <v>45625</v>
      </c>
      <c r="H4096" s="3">
        <f t="shared" si="63"/>
        <v>1.7972602739726027</v>
      </c>
      <c r="I4096">
        <v>115</v>
      </c>
      <c r="J4096" t="s">
        <v>57</v>
      </c>
      <c r="K4096" t="s">
        <v>56</v>
      </c>
      <c r="L4096" t="s">
        <v>44</v>
      </c>
      <c r="M4096">
        <v>8.4700000000000006</v>
      </c>
      <c r="T4096" t="s">
        <v>52</v>
      </c>
      <c r="U4096">
        <v>1</v>
      </c>
      <c r="V4096">
        <v>7</v>
      </c>
    </row>
    <row r="4097" spans="1:22" x14ac:dyDescent="0.3">
      <c r="A4097">
        <v>4096</v>
      </c>
      <c r="B4097">
        <v>54548</v>
      </c>
      <c r="C4097" s="2">
        <v>39052</v>
      </c>
      <c r="D4097">
        <v>20</v>
      </c>
      <c r="E4097" t="s">
        <v>36</v>
      </c>
      <c r="F4097" t="s">
        <v>50</v>
      </c>
      <c r="G4097" s="2">
        <v>45366</v>
      </c>
      <c r="H4097" s="3">
        <f t="shared" si="63"/>
        <v>1.3726027397260274</v>
      </c>
      <c r="I4097">
        <v>117</v>
      </c>
      <c r="J4097" t="s">
        <v>57</v>
      </c>
      <c r="K4097" t="s">
        <v>65</v>
      </c>
      <c r="L4097" t="s">
        <v>44</v>
      </c>
      <c r="M4097">
        <v>10.64</v>
      </c>
      <c r="T4097" t="s">
        <v>52</v>
      </c>
      <c r="U4097">
        <v>1</v>
      </c>
      <c r="V4097">
        <v>4</v>
      </c>
    </row>
    <row r="4098" spans="1:22" x14ac:dyDescent="0.3">
      <c r="A4098">
        <v>4097</v>
      </c>
      <c r="B4098">
        <v>54549</v>
      </c>
      <c r="C4098" s="2">
        <v>39150</v>
      </c>
      <c r="D4098">
        <v>18</v>
      </c>
      <c r="E4098" t="s">
        <v>42</v>
      </c>
      <c r="F4098" t="s">
        <v>50</v>
      </c>
      <c r="G4098" s="2">
        <v>45521</v>
      </c>
      <c r="H4098" s="3">
        <f t="shared" si="63"/>
        <v>1.8630136986301369</v>
      </c>
      <c r="I4098">
        <v>117</v>
      </c>
      <c r="J4098" t="s">
        <v>57</v>
      </c>
      <c r="K4098" t="s">
        <v>56</v>
      </c>
      <c r="L4098" t="s">
        <v>44</v>
      </c>
      <c r="M4098">
        <v>8.4700000000000006</v>
      </c>
      <c r="T4098" t="s">
        <v>45</v>
      </c>
      <c r="U4098">
        <v>2</v>
      </c>
      <c r="V4098">
        <v>6</v>
      </c>
    </row>
    <row r="4099" spans="1:22" x14ac:dyDescent="0.3">
      <c r="A4099">
        <v>4098</v>
      </c>
      <c r="B4099">
        <v>54550</v>
      </c>
      <c r="C4099" s="2">
        <v>38035</v>
      </c>
      <c r="D4099">
        <v>21</v>
      </c>
      <c r="E4099" t="s">
        <v>42</v>
      </c>
      <c r="F4099" t="s">
        <v>50</v>
      </c>
      <c r="G4099" s="2">
        <v>45342</v>
      </c>
      <c r="H4099" s="3">
        <f t="shared" ref="H4099:H4162" si="64">DATEDIF(G4100,DATE(2025,12,31),"d")/365</f>
        <v>1.7205479452054795</v>
      </c>
      <c r="I4099">
        <v>117</v>
      </c>
      <c r="J4099" t="s">
        <v>57</v>
      </c>
      <c r="K4099" t="s">
        <v>56</v>
      </c>
      <c r="L4099" t="s">
        <v>44</v>
      </c>
      <c r="M4099">
        <v>8.4700000000000006</v>
      </c>
      <c r="T4099" t="s">
        <v>45</v>
      </c>
      <c r="U4099">
        <v>2</v>
      </c>
      <c r="V4099">
        <v>7</v>
      </c>
    </row>
    <row r="4100" spans="1:22" x14ac:dyDescent="0.3">
      <c r="A4100">
        <v>4099</v>
      </c>
      <c r="B4100">
        <v>54551</v>
      </c>
      <c r="C4100" s="2">
        <v>37581</v>
      </c>
      <c r="D4100">
        <v>23</v>
      </c>
      <c r="E4100" t="s">
        <v>42</v>
      </c>
      <c r="F4100" t="s">
        <v>37</v>
      </c>
      <c r="G4100" s="2">
        <v>45394</v>
      </c>
      <c r="H4100" s="3">
        <f t="shared" si="64"/>
        <v>1.6410958904109589</v>
      </c>
      <c r="I4100">
        <v>124</v>
      </c>
      <c r="J4100" t="s">
        <v>57</v>
      </c>
      <c r="K4100" t="s">
        <v>56</v>
      </c>
      <c r="L4100" t="s">
        <v>44</v>
      </c>
      <c r="M4100">
        <v>8.4700000000000006</v>
      </c>
      <c r="T4100" t="s">
        <v>49</v>
      </c>
      <c r="U4100">
        <v>1</v>
      </c>
      <c r="V4100">
        <v>6</v>
      </c>
    </row>
    <row r="4101" spans="1:22" x14ac:dyDescent="0.3">
      <c r="A4101">
        <v>4100</v>
      </c>
      <c r="B4101">
        <v>54552</v>
      </c>
      <c r="C4101" s="2">
        <v>37447</v>
      </c>
      <c r="D4101">
        <v>23</v>
      </c>
      <c r="E4101" t="s">
        <v>36</v>
      </c>
      <c r="F4101" t="s">
        <v>50</v>
      </c>
      <c r="G4101" s="2">
        <v>45423</v>
      </c>
      <c r="H4101" s="3">
        <f t="shared" si="64"/>
        <v>1.0575342465753426</v>
      </c>
      <c r="I4101">
        <v>134</v>
      </c>
      <c r="J4101" t="s">
        <v>57</v>
      </c>
      <c r="K4101" t="s">
        <v>65</v>
      </c>
      <c r="L4101" t="s">
        <v>44</v>
      </c>
      <c r="M4101">
        <v>10.64</v>
      </c>
      <c r="T4101" t="s">
        <v>52</v>
      </c>
      <c r="U4101">
        <v>0</v>
      </c>
      <c r="V4101">
        <v>3</v>
      </c>
    </row>
    <row r="4102" spans="1:22" x14ac:dyDescent="0.3">
      <c r="A4102">
        <v>4101</v>
      </c>
      <c r="B4102">
        <v>54553</v>
      </c>
      <c r="C4102" s="2">
        <v>38979</v>
      </c>
      <c r="D4102">
        <v>19</v>
      </c>
      <c r="E4102" t="s">
        <v>42</v>
      </c>
      <c r="F4102" t="s">
        <v>50</v>
      </c>
      <c r="G4102" s="2">
        <v>45636</v>
      </c>
      <c r="H4102" s="3">
        <f t="shared" si="64"/>
        <v>1.284931506849315</v>
      </c>
      <c r="I4102">
        <v>134</v>
      </c>
      <c r="J4102" t="s">
        <v>57</v>
      </c>
      <c r="K4102" t="s">
        <v>56</v>
      </c>
      <c r="L4102" t="s">
        <v>44</v>
      </c>
      <c r="M4102">
        <v>8.4700000000000006</v>
      </c>
      <c r="T4102" t="s">
        <v>45</v>
      </c>
      <c r="U4102">
        <v>0</v>
      </c>
      <c r="V4102">
        <v>5</v>
      </c>
    </row>
    <row r="4103" spans="1:22" x14ac:dyDescent="0.3">
      <c r="A4103">
        <v>4102</v>
      </c>
      <c r="B4103">
        <v>54554</v>
      </c>
      <c r="C4103" s="2">
        <v>37321</v>
      </c>
      <c r="D4103">
        <v>23</v>
      </c>
      <c r="E4103" t="s">
        <v>42</v>
      </c>
      <c r="F4103" t="s">
        <v>50</v>
      </c>
      <c r="G4103" s="2">
        <v>45553</v>
      </c>
      <c r="H4103" s="3">
        <f t="shared" si="64"/>
        <v>1.4465753424657535</v>
      </c>
      <c r="I4103">
        <v>140</v>
      </c>
      <c r="J4103" t="s">
        <v>57</v>
      </c>
      <c r="K4103" t="s">
        <v>56</v>
      </c>
      <c r="L4103" t="s">
        <v>44</v>
      </c>
      <c r="M4103">
        <v>8.4700000000000006</v>
      </c>
      <c r="T4103" t="s">
        <v>52</v>
      </c>
      <c r="U4103">
        <v>2</v>
      </c>
      <c r="V4103">
        <v>6</v>
      </c>
    </row>
    <row r="4104" spans="1:22" x14ac:dyDescent="0.3">
      <c r="A4104">
        <v>4103</v>
      </c>
      <c r="B4104">
        <v>54555</v>
      </c>
      <c r="C4104" s="2">
        <v>36597</v>
      </c>
      <c r="D4104">
        <v>25</v>
      </c>
      <c r="E4104" t="s">
        <v>36</v>
      </c>
      <c r="F4104" t="s">
        <v>50</v>
      </c>
      <c r="G4104" s="2">
        <v>45494</v>
      </c>
      <c r="H4104" s="3">
        <f t="shared" si="64"/>
        <v>1.5342465753424657</v>
      </c>
      <c r="I4104">
        <v>8</v>
      </c>
      <c r="J4104" t="s">
        <v>38</v>
      </c>
      <c r="K4104" t="s">
        <v>56</v>
      </c>
      <c r="L4104" t="s">
        <v>44</v>
      </c>
      <c r="M4104">
        <v>8.4700000000000006</v>
      </c>
      <c r="T4104" t="s">
        <v>47</v>
      </c>
      <c r="U4104">
        <v>2</v>
      </c>
      <c r="V4104">
        <v>4</v>
      </c>
    </row>
    <row r="4105" spans="1:22" x14ac:dyDescent="0.3">
      <c r="A4105">
        <v>4104</v>
      </c>
      <c r="B4105">
        <v>54556</v>
      </c>
      <c r="C4105" s="2">
        <v>38039</v>
      </c>
      <c r="D4105">
        <v>21</v>
      </c>
      <c r="E4105" t="s">
        <v>42</v>
      </c>
      <c r="F4105" t="s">
        <v>37</v>
      </c>
      <c r="G4105" s="2">
        <v>45462</v>
      </c>
      <c r="H4105" s="3">
        <f t="shared" si="64"/>
        <v>1.1972602739726028</v>
      </c>
      <c r="I4105">
        <v>40</v>
      </c>
      <c r="J4105" t="s">
        <v>38</v>
      </c>
      <c r="K4105" t="s">
        <v>56</v>
      </c>
      <c r="L4105" t="s">
        <v>44</v>
      </c>
      <c r="M4105">
        <v>8.4700000000000006</v>
      </c>
      <c r="T4105" t="s">
        <v>47</v>
      </c>
      <c r="U4105">
        <v>2</v>
      </c>
      <c r="V4105">
        <v>5</v>
      </c>
    </row>
    <row r="4106" spans="1:22" x14ac:dyDescent="0.3">
      <c r="A4106">
        <v>4105</v>
      </c>
      <c r="B4106">
        <v>54557</v>
      </c>
      <c r="C4106" s="2">
        <v>39050</v>
      </c>
      <c r="D4106">
        <v>19</v>
      </c>
      <c r="E4106" t="s">
        <v>42</v>
      </c>
      <c r="F4106" t="s">
        <v>50</v>
      </c>
      <c r="G4106" s="2">
        <v>45585</v>
      </c>
      <c r="H4106" s="3">
        <f t="shared" si="64"/>
        <v>1.3917808219178083</v>
      </c>
      <c r="I4106">
        <v>56</v>
      </c>
      <c r="J4106" t="s">
        <v>38</v>
      </c>
      <c r="K4106" t="s">
        <v>64</v>
      </c>
      <c r="L4106" t="s">
        <v>44</v>
      </c>
      <c r="M4106">
        <v>14.07</v>
      </c>
      <c r="T4106" t="s">
        <v>49</v>
      </c>
      <c r="U4106">
        <v>0</v>
      </c>
      <c r="V4106">
        <v>6</v>
      </c>
    </row>
    <row r="4107" spans="1:22" x14ac:dyDescent="0.3">
      <c r="A4107">
        <v>4106</v>
      </c>
      <c r="B4107">
        <v>54558</v>
      </c>
      <c r="C4107" s="2">
        <v>34276</v>
      </c>
      <c r="D4107">
        <v>32</v>
      </c>
      <c r="E4107" t="s">
        <v>36</v>
      </c>
      <c r="F4107" t="s">
        <v>50</v>
      </c>
      <c r="G4107" s="2">
        <v>45514</v>
      </c>
      <c r="H4107" s="3">
        <f t="shared" si="64"/>
        <v>1.5671232876712329</v>
      </c>
      <c r="I4107">
        <v>57</v>
      </c>
      <c r="J4107" t="s">
        <v>38</v>
      </c>
      <c r="K4107" t="s">
        <v>55</v>
      </c>
      <c r="L4107" t="s">
        <v>44</v>
      </c>
      <c r="M4107">
        <v>17.59</v>
      </c>
      <c r="T4107" t="s">
        <v>52</v>
      </c>
      <c r="U4107">
        <v>2</v>
      </c>
      <c r="V4107">
        <v>4</v>
      </c>
    </row>
    <row r="4108" spans="1:22" x14ac:dyDescent="0.3">
      <c r="A4108">
        <v>4107</v>
      </c>
      <c r="B4108">
        <v>54559</v>
      </c>
      <c r="C4108" s="2">
        <v>37847</v>
      </c>
      <c r="D4108">
        <v>22</v>
      </c>
      <c r="E4108" t="s">
        <v>42</v>
      </c>
      <c r="F4108" t="s">
        <v>50</v>
      </c>
      <c r="G4108" s="2">
        <v>45450</v>
      </c>
      <c r="H4108" s="3">
        <f t="shared" si="64"/>
        <v>1.263013698630137</v>
      </c>
      <c r="I4108">
        <v>76</v>
      </c>
      <c r="J4108" t="s">
        <v>57</v>
      </c>
      <c r="K4108" t="s">
        <v>56</v>
      </c>
      <c r="L4108" t="s">
        <v>44</v>
      </c>
      <c r="M4108">
        <v>8.4700000000000006</v>
      </c>
      <c r="T4108" t="s">
        <v>45</v>
      </c>
      <c r="U4108">
        <v>2</v>
      </c>
      <c r="V4108">
        <v>5</v>
      </c>
    </row>
    <row r="4109" spans="1:22" x14ac:dyDescent="0.3">
      <c r="A4109">
        <v>4108</v>
      </c>
      <c r="B4109">
        <v>54560</v>
      </c>
      <c r="C4109" s="2">
        <v>38335</v>
      </c>
      <c r="D4109">
        <v>21</v>
      </c>
      <c r="E4109" t="s">
        <v>36</v>
      </c>
      <c r="F4109" t="s">
        <v>50</v>
      </c>
      <c r="G4109" s="2">
        <v>45561</v>
      </c>
      <c r="H4109" s="3">
        <f t="shared" si="64"/>
        <v>1.1643835616438356</v>
      </c>
      <c r="I4109">
        <v>78</v>
      </c>
      <c r="J4109" t="s">
        <v>57</v>
      </c>
      <c r="K4109" t="s">
        <v>48</v>
      </c>
      <c r="L4109" t="s">
        <v>44</v>
      </c>
      <c r="M4109">
        <v>8.4700000000000006</v>
      </c>
      <c r="T4109" t="s">
        <v>45</v>
      </c>
      <c r="U4109">
        <v>4</v>
      </c>
      <c r="V4109">
        <v>5</v>
      </c>
    </row>
    <row r="4110" spans="1:22" x14ac:dyDescent="0.3">
      <c r="A4110">
        <v>4109</v>
      </c>
      <c r="B4110">
        <v>54561</v>
      </c>
      <c r="C4110" s="2">
        <v>37021</v>
      </c>
      <c r="D4110">
        <v>24</v>
      </c>
      <c r="E4110" t="s">
        <v>42</v>
      </c>
      <c r="F4110" t="s">
        <v>37</v>
      </c>
      <c r="G4110" s="2">
        <v>45597</v>
      </c>
      <c r="H4110" s="3">
        <f t="shared" si="64"/>
        <v>1.252054794520548</v>
      </c>
      <c r="I4110">
        <v>83</v>
      </c>
      <c r="J4110" t="s">
        <v>57</v>
      </c>
      <c r="K4110" t="s">
        <v>68</v>
      </c>
      <c r="L4110" t="s">
        <v>44</v>
      </c>
      <c r="M4110">
        <v>17</v>
      </c>
      <c r="T4110" t="s">
        <v>47</v>
      </c>
      <c r="U4110">
        <v>2</v>
      </c>
      <c r="V4110">
        <v>5</v>
      </c>
    </row>
    <row r="4111" spans="1:22" x14ac:dyDescent="0.3">
      <c r="A4111">
        <v>4110</v>
      </c>
      <c r="B4111">
        <v>54562</v>
      </c>
      <c r="C4111" s="2">
        <v>37523</v>
      </c>
      <c r="D4111">
        <v>23</v>
      </c>
      <c r="E4111" t="s">
        <v>42</v>
      </c>
      <c r="F4111" t="s">
        <v>50</v>
      </c>
      <c r="G4111" s="2">
        <v>45565</v>
      </c>
      <c r="H4111" s="3">
        <f t="shared" si="64"/>
        <v>1.0547945205479452</v>
      </c>
      <c r="I4111">
        <v>90</v>
      </c>
      <c r="J4111" t="s">
        <v>57</v>
      </c>
      <c r="K4111" t="s">
        <v>43</v>
      </c>
      <c r="L4111" t="s">
        <v>44</v>
      </c>
      <c r="M4111">
        <v>16.37</v>
      </c>
      <c r="T4111" t="s">
        <v>52</v>
      </c>
      <c r="U4111">
        <v>0</v>
      </c>
      <c r="V4111">
        <v>5</v>
      </c>
    </row>
    <row r="4112" spans="1:22" x14ac:dyDescent="0.3">
      <c r="A4112">
        <v>4111</v>
      </c>
      <c r="B4112">
        <v>54563</v>
      </c>
      <c r="C4112" s="2">
        <v>36287</v>
      </c>
      <c r="D4112">
        <v>26</v>
      </c>
      <c r="E4112" t="s">
        <v>36</v>
      </c>
      <c r="F4112" t="s">
        <v>50</v>
      </c>
      <c r="G4112" s="2">
        <v>45637</v>
      </c>
      <c r="H4112" s="3">
        <f t="shared" si="64"/>
        <v>1.5095890410958903</v>
      </c>
      <c r="I4112">
        <v>99</v>
      </c>
      <c r="J4112" t="s">
        <v>57</v>
      </c>
      <c r="K4112" t="s">
        <v>56</v>
      </c>
      <c r="L4112" t="s">
        <v>44</v>
      </c>
      <c r="M4112">
        <v>8.4700000000000006</v>
      </c>
      <c r="T4112" t="s">
        <v>45</v>
      </c>
      <c r="U4112">
        <v>3</v>
      </c>
      <c r="V4112">
        <v>5</v>
      </c>
    </row>
    <row r="4113" spans="1:22" x14ac:dyDescent="0.3">
      <c r="A4113">
        <v>4112</v>
      </c>
      <c r="B4113">
        <v>54564</v>
      </c>
      <c r="C4113" s="2">
        <v>38446</v>
      </c>
      <c r="D4113">
        <v>20</v>
      </c>
      <c r="E4113" t="s">
        <v>42</v>
      </c>
      <c r="F4113" t="s">
        <v>50</v>
      </c>
      <c r="G4113" s="2">
        <v>45471</v>
      </c>
      <c r="H4113" s="3">
        <f t="shared" si="64"/>
        <v>1.210958904109589</v>
      </c>
      <c r="I4113">
        <v>103</v>
      </c>
      <c r="J4113" t="s">
        <v>57</v>
      </c>
      <c r="K4113" t="s">
        <v>48</v>
      </c>
      <c r="L4113" t="s">
        <v>44</v>
      </c>
      <c r="M4113">
        <v>8.4700000000000006</v>
      </c>
      <c r="T4113" t="s">
        <v>49</v>
      </c>
      <c r="U4113">
        <v>4</v>
      </c>
      <c r="V4113">
        <v>7</v>
      </c>
    </row>
    <row r="4114" spans="1:22" x14ac:dyDescent="0.3">
      <c r="A4114">
        <v>4113</v>
      </c>
      <c r="B4114">
        <v>54565</v>
      </c>
      <c r="C4114" s="2">
        <v>37831</v>
      </c>
      <c r="D4114">
        <v>22</v>
      </c>
      <c r="E4114" t="s">
        <v>36</v>
      </c>
      <c r="F4114" t="s">
        <v>50</v>
      </c>
      <c r="G4114" s="2">
        <v>45580</v>
      </c>
      <c r="H4114" s="3">
        <f t="shared" si="64"/>
        <v>1.5726027397260274</v>
      </c>
      <c r="I4114">
        <v>114</v>
      </c>
      <c r="J4114" t="s">
        <v>57</v>
      </c>
      <c r="K4114" t="s">
        <v>56</v>
      </c>
      <c r="L4114" t="s">
        <v>44</v>
      </c>
      <c r="M4114">
        <v>8.4700000000000006</v>
      </c>
      <c r="T4114" t="s">
        <v>47</v>
      </c>
      <c r="U4114">
        <v>2</v>
      </c>
      <c r="V4114">
        <v>5</v>
      </c>
    </row>
    <row r="4115" spans="1:22" x14ac:dyDescent="0.3">
      <c r="A4115">
        <v>4114</v>
      </c>
      <c r="B4115">
        <v>54566</v>
      </c>
      <c r="C4115" s="2">
        <v>37124</v>
      </c>
      <c r="D4115">
        <v>24</v>
      </c>
      <c r="E4115" t="s">
        <v>42</v>
      </c>
      <c r="F4115" t="s">
        <v>50</v>
      </c>
      <c r="G4115" s="2">
        <v>45448</v>
      </c>
      <c r="H4115" s="3">
        <f t="shared" si="64"/>
        <v>1.4575342465753425</v>
      </c>
      <c r="I4115">
        <v>115</v>
      </c>
      <c r="J4115" t="s">
        <v>57</v>
      </c>
      <c r="K4115" t="s">
        <v>56</v>
      </c>
      <c r="L4115" t="s">
        <v>44</v>
      </c>
      <c r="M4115">
        <v>8.4700000000000006</v>
      </c>
      <c r="T4115" t="s">
        <v>49</v>
      </c>
      <c r="U4115">
        <v>0</v>
      </c>
      <c r="V4115">
        <v>7</v>
      </c>
    </row>
    <row r="4116" spans="1:22" x14ac:dyDescent="0.3">
      <c r="A4116">
        <v>4115</v>
      </c>
      <c r="B4116">
        <v>54567</v>
      </c>
      <c r="C4116" s="2">
        <v>37791</v>
      </c>
      <c r="D4116">
        <v>22</v>
      </c>
      <c r="E4116" t="s">
        <v>36</v>
      </c>
      <c r="F4116" t="s">
        <v>50</v>
      </c>
      <c r="G4116" s="2">
        <v>45490</v>
      </c>
      <c r="H4116" s="3">
        <f t="shared" si="64"/>
        <v>1.4246575342465753</v>
      </c>
      <c r="I4116">
        <v>129</v>
      </c>
      <c r="J4116" t="s">
        <v>57</v>
      </c>
      <c r="K4116" t="s">
        <v>54</v>
      </c>
      <c r="L4116" t="s">
        <v>44</v>
      </c>
      <c r="M4116">
        <v>23.78</v>
      </c>
      <c r="T4116" t="s">
        <v>49</v>
      </c>
      <c r="U4116">
        <v>5</v>
      </c>
      <c r="V4116">
        <v>5</v>
      </c>
    </row>
    <row r="4117" spans="1:22" x14ac:dyDescent="0.3">
      <c r="A4117">
        <v>4116</v>
      </c>
      <c r="B4117">
        <v>54568</v>
      </c>
      <c r="C4117" s="2">
        <v>39215</v>
      </c>
      <c r="D4117">
        <v>18</v>
      </c>
      <c r="E4117" t="s">
        <v>42</v>
      </c>
      <c r="F4117" t="s">
        <v>37</v>
      </c>
      <c r="G4117" s="2">
        <v>45502</v>
      </c>
      <c r="H4117" s="3">
        <f t="shared" si="64"/>
        <v>1.704109589041096</v>
      </c>
      <c r="I4117">
        <v>130</v>
      </c>
      <c r="J4117" t="s">
        <v>57</v>
      </c>
      <c r="K4117" t="s">
        <v>48</v>
      </c>
      <c r="L4117" t="s">
        <v>44</v>
      </c>
      <c r="M4117">
        <v>8.4700000000000006</v>
      </c>
      <c r="T4117" t="s">
        <v>49</v>
      </c>
      <c r="U4117">
        <v>2</v>
      </c>
      <c r="V4117">
        <v>6</v>
      </c>
    </row>
    <row r="4118" spans="1:22" x14ac:dyDescent="0.3">
      <c r="A4118">
        <v>4117</v>
      </c>
      <c r="B4118">
        <v>54569</v>
      </c>
      <c r="C4118" s="2">
        <v>36342</v>
      </c>
      <c r="D4118">
        <v>27</v>
      </c>
      <c r="E4118" t="s">
        <v>42</v>
      </c>
      <c r="F4118" t="s">
        <v>37</v>
      </c>
      <c r="G4118" s="2">
        <v>45400</v>
      </c>
      <c r="H4118" s="3">
        <f t="shared" si="64"/>
        <v>1.284931506849315</v>
      </c>
      <c r="I4118">
        <v>1</v>
      </c>
      <c r="J4118" t="s">
        <v>38</v>
      </c>
      <c r="K4118" t="s">
        <v>56</v>
      </c>
      <c r="L4118" t="s">
        <v>44</v>
      </c>
      <c r="M4118">
        <v>8.4700000000000006</v>
      </c>
      <c r="T4118" t="s">
        <v>45</v>
      </c>
      <c r="U4118">
        <v>2</v>
      </c>
      <c r="V4118">
        <v>6</v>
      </c>
    </row>
    <row r="4119" spans="1:22" x14ac:dyDescent="0.3">
      <c r="A4119">
        <v>4118</v>
      </c>
      <c r="B4119">
        <v>54570</v>
      </c>
      <c r="C4119" s="2">
        <v>36624</v>
      </c>
      <c r="D4119">
        <v>25</v>
      </c>
      <c r="E4119" t="s">
        <v>36</v>
      </c>
      <c r="F4119" t="s">
        <v>50</v>
      </c>
      <c r="G4119" s="2">
        <v>45553</v>
      </c>
      <c r="H4119" s="3">
        <f t="shared" si="64"/>
        <v>1.5534246575342465</v>
      </c>
      <c r="I4119">
        <v>3</v>
      </c>
      <c r="J4119" t="s">
        <v>38</v>
      </c>
      <c r="K4119" t="s">
        <v>65</v>
      </c>
      <c r="L4119" t="s">
        <v>44</v>
      </c>
      <c r="M4119">
        <v>10.64</v>
      </c>
      <c r="T4119" t="s">
        <v>52</v>
      </c>
      <c r="U4119">
        <v>1</v>
      </c>
      <c r="V4119">
        <v>4</v>
      </c>
    </row>
    <row r="4120" spans="1:22" x14ac:dyDescent="0.3">
      <c r="A4120">
        <v>4119</v>
      </c>
      <c r="B4120">
        <v>54571</v>
      </c>
      <c r="C4120" s="2">
        <v>38967</v>
      </c>
      <c r="D4120">
        <v>19</v>
      </c>
      <c r="E4120" t="s">
        <v>42</v>
      </c>
      <c r="F4120" t="s">
        <v>50</v>
      </c>
      <c r="G4120" s="2">
        <v>45455</v>
      </c>
      <c r="H4120" s="3">
        <f t="shared" si="64"/>
        <v>1.7315068493150685</v>
      </c>
      <c r="I4120">
        <v>6</v>
      </c>
      <c r="J4120" t="s">
        <v>38</v>
      </c>
      <c r="K4120" t="s">
        <v>56</v>
      </c>
      <c r="L4120" t="s">
        <v>44</v>
      </c>
      <c r="M4120">
        <v>8.4700000000000006</v>
      </c>
      <c r="T4120" t="s">
        <v>52</v>
      </c>
      <c r="U4120">
        <v>4</v>
      </c>
      <c r="V4120">
        <v>6</v>
      </c>
    </row>
    <row r="4121" spans="1:22" x14ac:dyDescent="0.3">
      <c r="A4121">
        <v>4120</v>
      </c>
      <c r="B4121">
        <v>54572</v>
      </c>
      <c r="C4121" s="2">
        <v>38550</v>
      </c>
      <c r="D4121">
        <v>20</v>
      </c>
      <c r="E4121" t="s">
        <v>42</v>
      </c>
      <c r="F4121" t="s">
        <v>37</v>
      </c>
      <c r="G4121" s="2">
        <v>45390</v>
      </c>
      <c r="H4121" s="3">
        <f t="shared" si="64"/>
        <v>1.0493150684931507</v>
      </c>
      <c r="I4121">
        <v>7</v>
      </c>
      <c r="J4121" t="s">
        <v>38</v>
      </c>
      <c r="K4121" t="s">
        <v>56</v>
      </c>
      <c r="L4121" t="s">
        <v>44</v>
      </c>
      <c r="M4121">
        <v>8.4700000000000006</v>
      </c>
      <c r="T4121" t="s">
        <v>45</v>
      </c>
      <c r="U4121">
        <v>3</v>
      </c>
      <c r="V4121">
        <v>6</v>
      </c>
    </row>
    <row r="4122" spans="1:22" x14ac:dyDescent="0.3">
      <c r="A4122">
        <v>4121</v>
      </c>
      <c r="B4122">
        <v>54574</v>
      </c>
      <c r="C4122" s="2">
        <v>38856</v>
      </c>
      <c r="D4122">
        <v>19</v>
      </c>
      <c r="E4122" t="s">
        <v>42</v>
      </c>
      <c r="F4122" t="s">
        <v>50</v>
      </c>
      <c r="G4122" s="2">
        <v>45639</v>
      </c>
      <c r="H4122" s="3">
        <f t="shared" si="64"/>
        <v>1.7589041095890412</v>
      </c>
      <c r="I4122">
        <v>13</v>
      </c>
      <c r="J4122" t="s">
        <v>38</v>
      </c>
      <c r="K4122" t="s">
        <v>65</v>
      </c>
      <c r="L4122" t="s">
        <v>44</v>
      </c>
      <c r="M4122">
        <v>10.64</v>
      </c>
      <c r="T4122" t="s">
        <v>45</v>
      </c>
      <c r="U4122">
        <v>0</v>
      </c>
      <c r="V4122">
        <v>5</v>
      </c>
    </row>
    <row r="4123" spans="1:22" x14ac:dyDescent="0.3">
      <c r="A4123">
        <v>4122</v>
      </c>
      <c r="B4123">
        <v>54575</v>
      </c>
      <c r="C4123" s="2">
        <v>37039</v>
      </c>
      <c r="D4123">
        <v>24</v>
      </c>
      <c r="E4123" t="s">
        <v>42</v>
      </c>
      <c r="F4123" t="s">
        <v>37</v>
      </c>
      <c r="G4123" s="2">
        <v>45380</v>
      </c>
      <c r="H4123" s="3">
        <f t="shared" si="64"/>
        <v>1</v>
      </c>
      <c r="I4123">
        <v>13</v>
      </c>
      <c r="J4123" t="s">
        <v>38</v>
      </c>
      <c r="K4123" t="s">
        <v>56</v>
      </c>
      <c r="L4123" t="s">
        <v>44</v>
      </c>
      <c r="M4123">
        <v>8.4700000000000006</v>
      </c>
      <c r="T4123" t="s">
        <v>49</v>
      </c>
      <c r="U4123">
        <v>2</v>
      </c>
      <c r="V4123">
        <v>5</v>
      </c>
    </row>
    <row r="4124" spans="1:22" x14ac:dyDescent="0.3">
      <c r="A4124">
        <v>4123</v>
      </c>
      <c r="B4124">
        <v>54576</v>
      </c>
      <c r="C4124" s="2">
        <v>38328</v>
      </c>
      <c r="D4124">
        <v>21</v>
      </c>
      <c r="E4124" t="s">
        <v>42</v>
      </c>
      <c r="F4124" t="s">
        <v>50</v>
      </c>
      <c r="G4124" s="2">
        <v>45657</v>
      </c>
      <c r="H4124" s="3">
        <f t="shared" si="64"/>
        <v>1.0136986301369864</v>
      </c>
      <c r="I4124">
        <v>15</v>
      </c>
      <c r="J4124" t="s">
        <v>38</v>
      </c>
      <c r="K4124" t="s">
        <v>65</v>
      </c>
      <c r="L4124" t="s">
        <v>44</v>
      </c>
      <c r="M4124">
        <v>10.64</v>
      </c>
      <c r="T4124" t="s">
        <v>47</v>
      </c>
      <c r="U4124">
        <v>0</v>
      </c>
      <c r="V4124">
        <v>6</v>
      </c>
    </row>
    <row r="4125" spans="1:22" x14ac:dyDescent="0.3">
      <c r="A4125">
        <v>4124</v>
      </c>
      <c r="B4125">
        <v>54577</v>
      </c>
      <c r="C4125" s="2">
        <v>37993</v>
      </c>
      <c r="D4125">
        <v>21</v>
      </c>
      <c r="E4125" t="s">
        <v>36</v>
      </c>
      <c r="F4125" t="s">
        <v>37</v>
      </c>
      <c r="G4125" s="2">
        <v>45652</v>
      </c>
      <c r="H4125" s="3">
        <f t="shared" si="64"/>
        <v>1.6849315068493151</v>
      </c>
      <c r="I4125">
        <v>17</v>
      </c>
      <c r="J4125" t="s">
        <v>38</v>
      </c>
      <c r="K4125" t="s">
        <v>48</v>
      </c>
      <c r="L4125" t="s">
        <v>44</v>
      </c>
      <c r="M4125">
        <v>8.4700000000000006</v>
      </c>
      <c r="T4125" t="s">
        <v>45</v>
      </c>
      <c r="U4125">
        <v>2</v>
      </c>
      <c r="V4125">
        <v>4</v>
      </c>
    </row>
    <row r="4126" spans="1:22" x14ac:dyDescent="0.3">
      <c r="A4126">
        <v>4125</v>
      </c>
      <c r="B4126">
        <v>54578</v>
      </c>
      <c r="C4126" s="2">
        <v>34538</v>
      </c>
      <c r="D4126">
        <v>31</v>
      </c>
      <c r="E4126" t="s">
        <v>42</v>
      </c>
      <c r="F4126" t="s">
        <v>37</v>
      </c>
      <c r="G4126" s="2">
        <v>45407</v>
      </c>
      <c r="H4126" s="3">
        <f t="shared" si="64"/>
        <v>1.3452054794520547</v>
      </c>
      <c r="I4126">
        <v>21</v>
      </c>
      <c r="J4126" t="s">
        <v>38</v>
      </c>
      <c r="K4126" t="s">
        <v>54</v>
      </c>
      <c r="L4126" t="s">
        <v>44</v>
      </c>
      <c r="M4126">
        <v>23.78</v>
      </c>
      <c r="T4126" t="s">
        <v>49</v>
      </c>
      <c r="U4126">
        <v>5</v>
      </c>
      <c r="V4126">
        <v>7</v>
      </c>
    </row>
    <row r="4127" spans="1:22" x14ac:dyDescent="0.3">
      <c r="A4127">
        <v>4126</v>
      </c>
      <c r="B4127">
        <v>54579</v>
      </c>
      <c r="C4127" s="2">
        <v>37471</v>
      </c>
      <c r="D4127">
        <v>23</v>
      </c>
      <c r="E4127" t="s">
        <v>42</v>
      </c>
      <c r="F4127" t="s">
        <v>50</v>
      </c>
      <c r="G4127" s="2">
        <v>45531</v>
      </c>
      <c r="H4127" s="3">
        <f t="shared" si="64"/>
        <v>1.5753424657534247</v>
      </c>
      <c r="I4127">
        <v>23</v>
      </c>
      <c r="J4127" t="s">
        <v>38</v>
      </c>
      <c r="K4127" t="s">
        <v>68</v>
      </c>
      <c r="L4127" t="s">
        <v>44</v>
      </c>
      <c r="M4127">
        <v>17</v>
      </c>
      <c r="T4127" t="s">
        <v>49</v>
      </c>
      <c r="U4127">
        <v>4</v>
      </c>
      <c r="V4127">
        <v>7</v>
      </c>
    </row>
    <row r="4128" spans="1:22" x14ac:dyDescent="0.3">
      <c r="A4128">
        <v>4127</v>
      </c>
      <c r="B4128">
        <v>54581</v>
      </c>
      <c r="C4128" s="2">
        <v>36134</v>
      </c>
      <c r="D4128">
        <v>27</v>
      </c>
      <c r="E4128" t="s">
        <v>36</v>
      </c>
      <c r="F4128" t="s">
        <v>37</v>
      </c>
      <c r="G4128" s="2">
        <v>45447</v>
      </c>
      <c r="H4128" s="3">
        <f t="shared" si="64"/>
        <v>1.4794520547945205</v>
      </c>
      <c r="I4128">
        <v>27</v>
      </c>
      <c r="J4128" t="s">
        <v>38</v>
      </c>
      <c r="K4128" t="s">
        <v>48</v>
      </c>
      <c r="L4128" t="s">
        <v>44</v>
      </c>
      <c r="M4128">
        <v>8.4700000000000006</v>
      </c>
      <c r="T4128" t="s">
        <v>49</v>
      </c>
      <c r="U4128">
        <v>2</v>
      </c>
      <c r="V4128">
        <v>4</v>
      </c>
    </row>
    <row r="4129" spans="1:22" x14ac:dyDescent="0.3">
      <c r="A4129">
        <v>4128</v>
      </c>
      <c r="B4129">
        <v>54582</v>
      </c>
      <c r="C4129" s="2">
        <v>35145</v>
      </c>
      <c r="D4129">
        <v>29</v>
      </c>
      <c r="E4129" t="s">
        <v>36</v>
      </c>
      <c r="F4129" t="s">
        <v>50</v>
      </c>
      <c r="G4129" s="2">
        <v>45482</v>
      </c>
      <c r="H4129" s="3">
        <f t="shared" si="64"/>
        <v>1.1013698630136985</v>
      </c>
      <c r="I4129">
        <v>29</v>
      </c>
      <c r="J4129" t="s">
        <v>38</v>
      </c>
      <c r="K4129" t="s">
        <v>54</v>
      </c>
      <c r="L4129" t="s">
        <v>44</v>
      </c>
      <c r="M4129">
        <v>23.78</v>
      </c>
      <c r="T4129" t="s">
        <v>52</v>
      </c>
      <c r="U4129">
        <v>7</v>
      </c>
      <c r="V4129">
        <v>6</v>
      </c>
    </row>
    <row r="4130" spans="1:22" x14ac:dyDescent="0.3">
      <c r="A4130">
        <v>4129</v>
      </c>
      <c r="B4130">
        <v>54583</v>
      </c>
      <c r="C4130" s="2">
        <v>37980</v>
      </c>
      <c r="D4130">
        <v>22</v>
      </c>
      <c r="E4130" t="s">
        <v>42</v>
      </c>
      <c r="F4130" t="s">
        <v>50</v>
      </c>
      <c r="G4130" s="2">
        <v>45620</v>
      </c>
      <c r="H4130" s="3">
        <f t="shared" si="64"/>
        <v>1.4054794520547946</v>
      </c>
      <c r="I4130">
        <v>29</v>
      </c>
      <c r="J4130" t="s">
        <v>38</v>
      </c>
      <c r="K4130" t="s">
        <v>56</v>
      </c>
      <c r="L4130" t="s">
        <v>44</v>
      </c>
      <c r="M4130">
        <v>8.4700000000000006</v>
      </c>
      <c r="T4130" t="s">
        <v>47</v>
      </c>
      <c r="U4130">
        <v>1</v>
      </c>
      <c r="V4130">
        <v>5</v>
      </c>
    </row>
    <row r="4131" spans="1:22" x14ac:dyDescent="0.3">
      <c r="A4131">
        <v>4130</v>
      </c>
      <c r="B4131">
        <v>54584</v>
      </c>
      <c r="C4131" s="2">
        <v>36393</v>
      </c>
      <c r="D4131">
        <v>26</v>
      </c>
      <c r="E4131" t="s">
        <v>36</v>
      </c>
      <c r="F4131" t="s">
        <v>50</v>
      </c>
      <c r="G4131" s="2">
        <v>45509</v>
      </c>
      <c r="H4131" s="3">
        <f t="shared" si="64"/>
        <v>1.7068493150684931</v>
      </c>
      <c r="I4131">
        <v>30</v>
      </c>
      <c r="J4131" t="s">
        <v>38</v>
      </c>
      <c r="K4131" t="s">
        <v>68</v>
      </c>
      <c r="L4131" t="s">
        <v>44</v>
      </c>
      <c r="M4131">
        <v>17</v>
      </c>
      <c r="T4131" t="s">
        <v>52</v>
      </c>
      <c r="U4131">
        <v>3</v>
      </c>
      <c r="V4131">
        <v>4</v>
      </c>
    </row>
    <row r="4132" spans="1:22" x14ac:dyDescent="0.3">
      <c r="A4132">
        <v>4131</v>
      </c>
      <c r="B4132">
        <v>54585</v>
      </c>
      <c r="C4132" s="2">
        <v>36234</v>
      </c>
      <c r="D4132">
        <v>26</v>
      </c>
      <c r="E4132" t="s">
        <v>42</v>
      </c>
      <c r="F4132" t="s">
        <v>50</v>
      </c>
      <c r="G4132" s="2">
        <v>45399</v>
      </c>
      <c r="H4132" s="3">
        <f t="shared" si="64"/>
        <v>1.6849315068493151</v>
      </c>
      <c r="I4132">
        <v>31</v>
      </c>
      <c r="J4132" t="s">
        <v>38</v>
      </c>
      <c r="K4132" t="s">
        <v>68</v>
      </c>
      <c r="L4132" t="s">
        <v>44</v>
      </c>
      <c r="M4132">
        <v>17</v>
      </c>
      <c r="T4132" t="s">
        <v>47</v>
      </c>
      <c r="U4132">
        <v>3</v>
      </c>
      <c r="V4132">
        <v>7</v>
      </c>
    </row>
    <row r="4133" spans="1:22" x14ac:dyDescent="0.3">
      <c r="A4133">
        <v>4132</v>
      </c>
      <c r="B4133">
        <v>54586</v>
      </c>
      <c r="C4133" s="2">
        <v>37507</v>
      </c>
      <c r="D4133">
        <v>23</v>
      </c>
      <c r="E4133" t="s">
        <v>36</v>
      </c>
      <c r="F4133" t="s">
        <v>50</v>
      </c>
      <c r="G4133" s="2">
        <v>45407</v>
      </c>
      <c r="H4133" s="3">
        <f t="shared" si="64"/>
        <v>1.2301369863013698</v>
      </c>
      <c r="I4133">
        <v>31</v>
      </c>
      <c r="J4133" t="s">
        <v>38</v>
      </c>
      <c r="K4133" t="s">
        <v>56</v>
      </c>
      <c r="L4133" t="s">
        <v>44</v>
      </c>
      <c r="M4133">
        <v>8.4700000000000006</v>
      </c>
      <c r="T4133" t="s">
        <v>52</v>
      </c>
      <c r="U4133">
        <v>2</v>
      </c>
      <c r="V4133">
        <v>6</v>
      </c>
    </row>
    <row r="4134" spans="1:22" x14ac:dyDescent="0.3">
      <c r="A4134">
        <v>4133</v>
      </c>
      <c r="B4134">
        <v>54587</v>
      </c>
      <c r="C4134" s="2">
        <v>34388</v>
      </c>
      <c r="D4134">
        <v>31</v>
      </c>
      <c r="E4134" t="s">
        <v>36</v>
      </c>
      <c r="F4134" t="s">
        <v>50</v>
      </c>
      <c r="G4134" s="2">
        <v>45573</v>
      </c>
      <c r="H4134" s="3">
        <f t="shared" si="64"/>
        <v>1.0438356164383562</v>
      </c>
      <c r="I4134">
        <v>32</v>
      </c>
      <c r="J4134" t="s">
        <v>38</v>
      </c>
      <c r="K4134" t="s">
        <v>55</v>
      </c>
      <c r="L4134" t="s">
        <v>44</v>
      </c>
      <c r="M4134">
        <v>17.59</v>
      </c>
      <c r="T4134" t="s">
        <v>52</v>
      </c>
      <c r="U4134">
        <v>2</v>
      </c>
      <c r="V4134">
        <v>3</v>
      </c>
    </row>
    <row r="4135" spans="1:22" x14ac:dyDescent="0.3">
      <c r="A4135">
        <v>4134</v>
      </c>
      <c r="B4135">
        <v>54588</v>
      </c>
      <c r="C4135" s="2">
        <v>37539</v>
      </c>
      <c r="D4135">
        <v>23</v>
      </c>
      <c r="E4135" t="s">
        <v>36</v>
      </c>
      <c r="F4135" t="s">
        <v>50</v>
      </c>
      <c r="G4135" s="2">
        <v>45641</v>
      </c>
      <c r="H4135" s="3">
        <f t="shared" si="64"/>
        <v>1.1561643835616437</v>
      </c>
      <c r="I4135">
        <v>32</v>
      </c>
      <c r="J4135" t="s">
        <v>38</v>
      </c>
      <c r="K4135" t="s">
        <v>56</v>
      </c>
      <c r="L4135" t="s">
        <v>44</v>
      </c>
      <c r="M4135">
        <v>8.4700000000000006</v>
      </c>
      <c r="T4135" t="s">
        <v>52</v>
      </c>
      <c r="U4135">
        <v>2</v>
      </c>
      <c r="V4135">
        <v>3</v>
      </c>
    </row>
    <row r="4136" spans="1:22" x14ac:dyDescent="0.3">
      <c r="A4136">
        <v>4135</v>
      </c>
      <c r="B4136">
        <v>54589</v>
      </c>
      <c r="C4136" s="2">
        <v>38602</v>
      </c>
      <c r="D4136">
        <v>20</v>
      </c>
      <c r="E4136" t="s">
        <v>42</v>
      </c>
      <c r="F4136" t="s">
        <v>50</v>
      </c>
      <c r="G4136" s="2">
        <v>45600</v>
      </c>
      <c r="H4136" s="3">
        <f t="shared" si="64"/>
        <v>1.0986301369863014</v>
      </c>
      <c r="I4136">
        <v>33</v>
      </c>
      <c r="J4136" t="s">
        <v>38</v>
      </c>
      <c r="K4136" t="s">
        <v>56</v>
      </c>
      <c r="L4136" t="s">
        <v>44</v>
      </c>
      <c r="M4136">
        <v>8.4700000000000006</v>
      </c>
      <c r="T4136" t="s">
        <v>52</v>
      </c>
      <c r="U4136">
        <v>4</v>
      </c>
      <c r="V4136">
        <v>7</v>
      </c>
    </row>
    <row r="4137" spans="1:22" x14ac:dyDescent="0.3">
      <c r="A4137">
        <v>4136</v>
      </c>
      <c r="B4137">
        <v>54590</v>
      </c>
      <c r="C4137" s="2">
        <v>38854</v>
      </c>
      <c r="D4137">
        <v>19</v>
      </c>
      <c r="E4137" t="s">
        <v>42</v>
      </c>
      <c r="F4137" t="s">
        <v>50</v>
      </c>
      <c r="G4137" s="2">
        <v>45621</v>
      </c>
      <c r="H4137" s="3">
        <f t="shared" si="64"/>
        <v>1.1589041095890411</v>
      </c>
      <c r="I4137">
        <v>35</v>
      </c>
      <c r="J4137" t="s">
        <v>38</v>
      </c>
      <c r="K4137" t="s">
        <v>56</v>
      </c>
      <c r="L4137" t="s">
        <v>44</v>
      </c>
      <c r="M4137">
        <v>8.4700000000000006</v>
      </c>
      <c r="T4137" t="s">
        <v>49</v>
      </c>
      <c r="U4137">
        <v>4</v>
      </c>
      <c r="V4137">
        <v>7</v>
      </c>
    </row>
    <row r="4138" spans="1:22" x14ac:dyDescent="0.3">
      <c r="A4138">
        <v>4137</v>
      </c>
      <c r="B4138">
        <v>54591</v>
      </c>
      <c r="C4138" s="2">
        <v>37174</v>
      </c>
      <c r="D4138">
        <v>24</v>
      </c>
      <c r="E4138" t="s">
        <v>42</v>
      </c>
      <c r="F4138" t="s">
        <v>50</v>
      </c>
      <c r="G4138" s="2">
        <v>45599</v>
      </c>
      <c r="H4138" s="3">
        <f t="shared" si="64"/>
        <v>1.3671232876712329</v>
      </c>
      <c r="I4138">
        <v>36</v>
      </c>
      <c r="J4138" t="s">
        <v>38</v>
      </c>
      <c r="K4138" t="s">
        <v>56</v>
      </c>
      <c r="L4138" t="s">
        <v>44</v>
      </c>
      <c r="M4138">
        <v>8.4700000000000006</v>
      </c>
      <c r="T4138" t="s">
        <v>49</v>
      </c>
      <c r="U4138">
        <v>2</v>
      </c>
      <c r="V4138">
        <v>6</v>
      </c>
    </row>
    <row r="4139" spans="1:22" x14ac:dyDescent="0.3">
      <c r="A4139">
        <v>4138</v>
      </c>
      <c r="B4139">
        <v>54592</v>
      </c>
      <c r="C4139" s="2">
        <v>37638</v>
      </c>
      <c r="D4139">
        <v>22</v>
      </c>
      <c r="E4139" t="s">
        <v>42</v>
      </c>
      <c r="F4139" t="s">
        <v>50</v>
      </c>
      <c r="G4139" s="2">
        <v>45523</v>
      </c>
      <c r="H4139" s="3">
        <f t="shared" si="64"/>
        <v>1.4931506849315068</v>
      </c>
      <c r="I4139">
        <v>36</v>
      </c>
      <c r="J4139" t="s">
        <v>38</v>
      </c>
      <c r="K4139" t="s">
        <v>56</v>
      </c>
      <c r="L4139" t="s">
        <v>44</v>
      </c>
      <c r="M4139">
        <v>8.4700000000000006</v>
      </c>
      <c r="T4139" t="s">
        <v>45</v>
      </c>
      <c r="U4139">
        <v>4</v>
      </c>
      <c r="V4139">
        <v>6</v>
      </c>
    </row>
    <row r="4140" spans="1:22" x14ac:dyDescent="0.3">
      <c r="A4140">
        <v>4139</v>
      </c>
      <c r="B4140">
        <v>54593</v>
      </c>
      <c r="C4140" s="2">
        <v>37830</v>
      </c>
      <c r="D4140">
        <v>22</v>
      </c>
      <c r="E4140" t="s">
        <v>42</v>
      </c>
      <c r="F4140" t="s">
        <v>50</v>
      </c>
      <c r="G4140" s="2">
        <v>45477</v>
      </c>
      <c r="H4140" s="3">
        <f t="shared" si="64"/>
        <v>1.0630136986301371</v>
      </c>
      <c r="I4140">
        <v>37</v>
      </c>
      <c r="J4140" t="s">
        <v>38</v>
      </c>
      <c r="K4140" t="s">
        <v>56</v>
      </c>
      <c r="L4140" t="s">
        <v>44</v>
      </c>
      <c r="M4140">
        <v>8.4700000000000006</v>
      </c>
      <c r="T4140" t="s">
        <v>45</v>
      </c>
      <c r="U4140">
        <v>1</v>
      </c>
      <c r="V4140">
        <v>6</v>
      </c>
    </row>
    <row r="4141" spans="1:22" x14ac:dyDescent="0.3">
      <c r="A4141">
        <v>4140</v>
      </c>
      <c r="B4141">
        <v>54594</v>
      </c>
      <c r="C4141" s="2">
        <v>37156</v>
      </c>
      <c r="D4141">
        <v>24</v>
      </c>
      <c r="E4141" t="s">
        <v>42</v>
      </c>
      <c r="F4141" t="s">
        <v>50</v>
      </c>
      <c r="G4141" s="2">
        <v>45634</v>
      </c>
      <c r="H4141" s="3">
        <f t="shared" si="64"/>
        <v>1.5780821917808219</v>
      </c>
      <c r="I4141">
        <v>37</v>
      </c>
      <c r="J4141" t="s">
        <v>38</v>
      </c>
      <c r="K4141" t="s">
        <v>56</v>
      </c>
      <c r="L4141" t="s">
        <v>44</v>
      </c>
      <c r="M4141">
        <v>8.4700000000000006</v>
      </c>
      <c r="T4141" t="s">
        <v>47</v>
      </c>
      <c r="U4141">
        <v>1</v>
      </c>
      <c r="V4141">
        <v>7</v>
      </c>
    </row>
    <row r="4142" spans="1:22" x14ac:dyDescent="0.3">
      <c r="A4142">
        <v>4141</v>
      </c>
      <c r="B4142">
        <v>54595</v>
      </c>
      <c r="C4142" s="2">
        <v>37967</v>
      </c>
      <c r="D4142">
        <v>22</v>
      </c>
      <c r="E4142" t="s">
        <v>42</v>
      </c>
      <c r="F4142" t="s">
        <v>50</v>
      </c>
      <c r="G4142" s="2">
        <v>45446</v>
      </c>
      <c r="H4142" s="3">
        <f t="shared" si="64"/>
        <v>1.832876712328767</v>
      </c>
      <c r="I4142">
        <v>38</v>
      </c>
      <c r="J4142" t="s">
        <v>38</v>
      </c>
      <c r="K4142" t="s">
        <v>56</v>
      </c>
      <c r="L4142" t="s">
        <v>44</v>
      </c>
      <c r="M4142">
        <v>8.4700000000000006</v>
      </c>
      <c r="T4142" t="s">
        <v>47</v>
      </c>
      <c r="U4142">
        <v>2</v>
      </c>
      <c r="V4142">
        <v>6</v>
      </c>
    </row>
    <row r="4143" spans="1:22" x14ac:dyDescent="0.3">
      <c r="A4143">
        <v>4142</v>
      </c>
      <c r="B4143">
        <v>54596</v>
      </c>
      <c r="C4143" s="2">
        <v>38378</v>
      </c>
      <c r="D4143">
        <v>20</v>
      </c>
      <c r="E4143" t="s">
        <v>42</v>
      </c>
      <c r="F4143" t="s">
        <v>50</v>
      </c>
      <c r="G4143" s="2">
        <v>45353</v>
      </c>
      <c r="H4143" s="3">
        <f t="shared" si="64"/>
        <v>1.2493150684931507</v>
      </c>
      <c r="I4143">
        <v>40</v>
      </c>
      <c r="J4143" t="s">
        <v>38</v>
      </c>
      <c r="K4143" t="s">
        <v>56</v>
      </c>
      <c r="L4143" t="s">
        <v>44</v>
      </c>
      <c r="M4143">
        <v>8.4700000000000006</v>
      </c>
      <c r="T4143" t="s">
        <v>52</v>
      </c>
      <c r="U4143">
        <v>1</v>
      </c>
      <c r="V4143">
        <v>6</v>
      </c>
    </row>
    <row r="4144" spans="1:22" x14ac:dyDescent="0.3">
      <c r="A4144">
        <v>4143</v>
      </c>
      <c r="B4144">
        <v>54597</v>
      </c>
      <c r="C4144" s="2">
        <v>37130</v>
      </c>
      <c r="D4144">
        <v>24</v>
      </c>
      <c r="E4144" t="s">
        <v>36</v>
      </c>
      <c r="F4144" t="s">
        <v>50</v>
      </c>
      <c r="G4144" s="2">
        <v>45566</v>
      </c>
      <c r="H4144" s="3">
        <f t="shared" si="64"/>
        <v>1.5452054794520549</v>
      </c>
      <c r="I4144">
        <v>41</v>
      </c>
      <c r="J4144" t="s">
        <v>38</v>
      </c>
      <c r="K4144" t="s">
        <v>68</v>
      </c>
      <c r="L4144" t="s">
        <v>44</v>
      </c>
      <c r="M4144">
        <v>17</v>
      </c>
      <c r="T4144" t="s">
        <v>52</v>
      </c>
      <c r="U4144">
        <v>2</v>
      </c>
      <c r="V4144">
        <v>5</v>
      </c>
    </row>
    <row r="4145" spans="1:22" x14ac:dyDescent="0.3">
      <c r="A4145">
        <v>4144</v>
      </c>
      <c r="B4145">
        <v>54598</v>
      </c>
      <c r="C4145" s="2">
        <v>38906</v>
      </c>
      <c r="D4145">
        <v>19</v>
      </c>
      <c r="E4145" t="s">
        <v>42</v>
      </c>
      <c r="F4145" t="s">
        <v>50</v>
      </c>
      <c r="G4145" s="2">
        <v>45458</v>
      </c>
      <c r="H4145" s="3">
        <f t="shared" si="64"/>
        <v>1.8</v>
      </c>
      <c r="I4145">
        <v>41</v>
      </c>
      <c r="J4145" t="s">
        <v>38</v>
      </c>
      <c r="K4145" t="s">
        <v>56</v>
      </c>
      <c r="L4145" t="s">
        <v>44</v>
      </c>
      <c r="M4145">
        <v>8.4700000000000006</v>
      </c>
      <c r="T4145" t="s">
        <v>49</v>
      </c>
      <c r="U4145">
        <v>4</v>
      </c>
      <c r="V4145">
        <v>7</v>
      </c>
    </row>
    <row r="4146" spans="1:22" x14ac:dyDescent="0.3">
      <c r="A4146">
        <v>4145</v>
      </c>
      <c r="B4146">
        <v>54599</v>
      </c>
      <c r="C4146" s="2">
        <v>38086</v>
      </c>
      <c r="D4146">
        <v>21</v>
      </c>
      <c r="E4146" t="s">
        <v>42</v>
      </c>
      <c r="F4146" t="s">
        <v>50</v>
      </c>
      <c r="G4146" s="2">
        <v>45365</v>
      </c>
      <c r="H4146" s="3">
        <f t="shared" si="64"/>
        <v>1.284931506849315</v>
      </c>
      <c r="I4146">
        <v>42</v>
      </c>
      <c r="J4146" t="s">
        <v>38</v>
      </c>
      <c r="K4146" t="s">
        <v>56</v>
      </c>
      <c r="L4146" t="s">
        <v>44</v>
      </c>
      <c r="M4146">
        <v>8.4700000000000006</v>
      </c>
      <c r="T4146" t="s">
        <v>52</v>
      </c>
      <c r="U4146">
        <v>1</v>
      </c>
      <c r="V4146">
        <v>5</v>
      </c>
    </row>
    <row r="4147" spans="1:22" x14ac:dyDescent="0.3">
      <c r="A4147">
        <v>4146</v>
      </c>
      <c r="B4147">
        <v>54600</v>
      </c>
      <c r="C4147" s="2">
        <v>36363</v>
      </c>
      <c r="D4147">
        <v>26</v>
      </c>
      <c r="E4147" t="s">
        <v>42</v>
      </c>
      <c r="F4147" t="s">
        <v>50</v>
      </c>
      <c r="G4147" s="2">
        <v>45553</v>
      </c>
      <c r="H4147" s="3">
        <f t="shared" si="64"/>
        <v>1.2712328767123289</v>
      </c>
      <c r="I4147">
        <v>42</v>
      </c>
      <c r="J4147" t="s">
        <v>38</v>
      </c>
      <c r="K4147" t="s">
        <v>56</v>
      </c>
      <c r="L4147" t="s">
        <v>44</v>
      </c>
      <c r="M4147">
        <v>8.4700000000000006</v>
      </c>
      <c r="T4147" t="s">
        <v>49</v>
      </c>
      <c r="U4147">
        <v>3</v>
      </c>
      <c r="V4147">
        <v>6</v>
      </c>
    </row>
    <row r="4148" spans="1:22" x14ac:dyDescent="0.3">
      <c r="A4148">
        <v>4147</v>
      </c>
      <c r="B4148">
        <v>54601</v>
      </c>
      <c r="C4148" s="2">
        <v>37292</v>
      </c>
      <c r="D4148">
        <v>23</v>
      </c>
      <c r="E4148" t="s">
        <v>42</v>
      </c>
      <c r="F4148" t="s">
        <v>37</v>
      </c>
      <c r="G4148" s="2">
        <v>45558</v>
      </c>
      <c r="H4148" s="3">
        <f t="shared" si="64"/>
        <v>1.2054794520547945</v>
      </c>
      <c r="I4148">
        <v>42</v>
      </c>
      <c r="J4148" t="s">
        <v>38</v>
      </c>
      <c r="K4148" t="s">
        <v>56</v>
      </c>
      <c r="L4148" t="s">
        <v>44</v>
      </c>
      <c r="M4148">
        <v>8.4700000000000006</v>
      </c>
      <c r="T4148" t="s">
        <v>47</v>
      </c>
      <c r="U4148">
        <v>1</v>
      </c>
      <c r="V4148">
        <v>6</v>
      </c>
    </row>
    <row r="4149" spans="1:22" x14ac:dyDescent="0.3">
      <c r="A4149">
        <v>4148</v>
      </c>
      <c r="B4149">
        <v>54602</v>
      </c>
      <c r="C4149" s="2">
        <v>37622</v>
      </c>
      <c r="D4149">
        <v>23</v>
      </c>
      <c r="E4149" t="s">
        <v>36</v>
      </c>
      <c r="F4149" t="s">
        <v>37</v>
      </c>
      <c r="G4149" s="2">
        <v>45582</v>
      </c>
      <c r="H4149" s="3">
        <f t="shared" si="64"/>
        <v>1.6904109589041096</v>
      </c>
      <c r="I4149">
        <v>43</v>
      </c>
      <c r="J4149" t="s">
        <v>38</v>
      </c>
      <c r="K4149" t="s">
        <v>65</v>
      </c>
      <c r="L4149" t="s">
        <v>44</v>
      </c>
      <c r="M4149">
        <v>10.64</v>
      </c>
      <c r="T4149" t="s">
        <v>45</v>
      </c>
      <c r="U4149">
        <v>1</v>
      </c>
      <c r="V4149">
        <v>3</v>
      </c>
    </row>
    <row r="4150" spans="1:22" x14ac:dyDescent="0.3">
      <c r="A4150">
        <v>4149</v>
      </c>
      <c r="B4150">
        <v>54603</v>
      </c>
      <c r="C4150" s="2">
        <v>37373</v>
      </c>
      <c r="D4150">
        <v>23</v>
      </c>
      <c r="E4150" t="s">
        <v>42</v>
      </c>
      <c r="F4150" t="s">
        <v>50</v>
      </c>
      <c r="G4150" s="2">
        <v>45405</v>
      </c>
      <c r="H4150" s="3">
        <f t="shared" si="64"/>
        <v>1.6904109589041096</v>
      </c>
      <c r="I4150">
        <v>43</v>
      </c>
      <c r="J4150" t="s">
        <v>38</v>
      </c>
      <c r="K4150" t="s">
        <v>46</v>
      </c>
      <c r="L4150" t="s">
        <v>44</v>
      </c>
      <c r="M4150">
        <v>14.23</v>
      </c>
      <c r="T4150" t="s">
        <v>47</v>
      </c>
      <c r="U4150">
        <v>0</v>
      </c>
      <c r="V4150">
        <v>5</v>
      </c>
    </row>
    <row r="4151" spans="1:22" x14ac:dyDescent="0.3">
      <c r="A4151">
        <v>4150</v>
      </c>
      <c r="B4151">
        <v>54604</v>
      </c>
      <c r="C4151" s="2">
        <v>38812</v>
      </c>
      <c r="D4151">
        <v>19</v>
      </c>
      <c r="E4151" t="s">
        <v>42</v>
      </c>
      <c r="F4151" t="s">
        <v>37</v>
      </c>
      <c r="G4151" s="2">
        <v>45405</v>
      </c>
      <c r="H4151" s="3">
        <f t="shared" si="64"/>
        <v>1.1506849315068493</v>
      </c>
      <c r="I4151">
        <v>43</v>
      </c>
      <c r="J4151" t="s">
        <v>38</v>
      </c>
      <c r="K4151" t="s">
        <v>56</v>
      </c>
      <c r="L4151" t="s">
        <v>44</v>
      </c>
      <c r="M4151">
        <v>8.4700000000000006</v>
      </c>
      <c r="T4151" t="s">
        <v>52</v>
      </c>
      <c r="U4151">
        <v>1</v>
      </c>
      <c r="V4151">
        <v>4</v>
      </c>
    </row>
    <row r="4152" spans="1:22" x14ac:dyDescent="0.3">
      <c r="A4152">
        <v>4151</v>
      </c>
      <c r="B4152">
        <v>54605</v>
      </c>
      <c r="C4152" s="2">
        <v>36694</v>
      </c>
      <c r="D4152">
        <v>25</v>
      </c>
      <c r="E4152" t="s">
        <v>42</v>
      </c>
      <c r="F4152" t="s">
        <v>37</v>
      </c>
      <c r="G4152" s="2">
        <v>45602</v>
      </c>
      <c r="H4152" s="3">
        <f t="shared" si="64"/>
        <v>1.295890410958904</v>
      </c>
      <c r="I4152">
        <v>44</v>
      </c>
      <c r="J4152" t="s">
        <v>38</v>
      </c>
      <c r="K4152" t="s">
        <v>56</v>
      </c>
      <c r="L4152" t="s">
        <v>44</v>
      </c>
      <c r="M4152">
        <v>8.4700000000000006</v>
      </c>
      <c r="T4152" t="s">
        <v>45</v>
      </c>
      <c r="U4152">
        <v>3</v>
      </c>
      <c r="V4152">
        <v>6</v>
      </c>
    </row>
    <row r="4153" spans="1:22" x14ac:dyDescent="0.3">
      <c r="A4153">
        <v>4152</v>
      </c>
      <c r="B4153">
        <v>54606</v>
      </c>
      <c r="C4153" s="2">
        <v>38759</v>
      </c>
      <c r="D4153">
        <v>19</v>
      </c>
      <c r="E4153" t="s">
        <v>42</v>
      </c>
      <c r="F4153" t="s">
        <v>50</v>
      </c>
      <c r="G4153" s="2">
        <v>45549</v>
      </c>
      <c r="H4153" s="3">
        <f t="shared" si="64"/>
        <v>1.3972602739726028</v>
      </c>
      <c r="I4153">
        <v>44</v>
      </c>
      <c r="J4153" t="s">
        <v>38</v>
      </c>
      <c r="K4153" t="s">
        <v>56</v>
      </c>
      <c r="L4153" t="s">
        <v>44</v>
      </c>
      <c r="M4153">
        <v>8.4700000000000006</v>
      </c>
      <c r="T4153" t="s">
        <v>52</v>
      </c>
      <c r="U4153">
        <v>1</v>
      </c>
      <c r="V4153">
        <v>5</v>
      </c>
    </row>
    <row r="4154" spans="1:22" x14ac:dyDescent="0.3">
      <c r="A4154">
        <v>4153</v>
      </c>
      <c r="B4154">
        <v>54607</v>
      </c>
      <c r="C4154" s="2">
        <v>38044</v>
      </c>
      <c r="D4154">
        <v>21</v>
      </c>
      <c r="E4154" t="s">
        <v>42</v>
      </c>
      <c r="F4154" t="s">
        <v>50</v>
      </c>
      <c r="G4154" s="2">
        <v>45512</v>
      </c>
      <c r="H4154" s="3">
        <f t="shared" si="64"/>
        <v>1.7123287671232876</v>
      </c>
      <c r="I4154">
        <v>48</v>
      </c>
      <c r="J4154" t="s">
        <v>38</v>
      </c>
      <c r="K4154" t="s">
        <v>48</v>
      </c>
      <c r="L4154" t="s">
        <v>44</v>
      </c>
      <c r="M4154">
        <v>8.4700000000000006</v>
      </c>
      <c r="T4154" t="s">
        <v>45</v>
      </c>
      <c r="U4154">
        <v>3</v>
      </c>
      <c r="V4154">
        <v>6</v>
      </c>
    </row>
    <row r="4155" spans="1:22" x14ac:dyDescent="0.3">
      <c r="A4155">
        <v>4154</v>
      </c>
      <c r="B4155">
        <v>54608</v>
      </c>
      <c r="C4155" s="2">
        <v>38936</v>
      </c>
      <c r="D4155">
        <v>19</v>
      </c>
      <c r="E4155" t="s">
        <v>42</v>
      </c>
      <c r="F4155" t="s">
        <v>50</v>
      </c>
      <c r="G4155" s="2">
        <v>45397</v>
      </c>
      <c r="H4155" s="3">
        <f t="shared" si="64"/>
        <v>1.3616438356164384</v>
      </c>
      <c r="I4155">
        <v>48</v>
      </c>
      <c r="J4155" t="s">
        <v>38</v>
      </c>
      <c r="K4155" t="s">
        <v>56</v>
      </c>
      <c r="L4155" t="s">
        <v>44</v>
      </c>
      <c r="M4155">
        <v>8.4700000000000006</v>
      </c>
      <c r="T4155" t="s">
        <v>52</v>
      </c>
      <c r="U4155">
        <v>4</v>
      </c>
      <c r="V4155">
        <v>7</v>
      </c>
    </row>
    <row r="4156" spans="1:22" x14ac:dyDescent="0.3">
      <c r="A4156">
        <v>4155</v>
      </c>
      <c r="B4156">
        <v>54609</v>
      </c>
      <c r="C4156" s="2">
        <v>38486</v>
      </c>
      <c r="D4156">
        <v>20</v>
      </c>
      <c r="E4156" t="s">
        <v>42</v>
      </c>
      <c r="F4156" t="s">
        <v>50</v>
      </c>
      <c r="G4156" s="2">
        <v>45525</v>
      </c>
      <c r="H4156" s="3">
        <f t="shared" si="64"/>
        <v>1.2301369863013698</v>
      </c>
      <c r="I4156">
        <v>48</v>
      </c>
      <c r="J4156" t="s">
        <v>38</v>
      </c>
      <c r="K4156" t="s">
        <v>56</v>
      </c>
      <c r="L4156" t="s">
        <v>44</v>
      </c>
      <c r="M4156">
        <v>8.4700000000000006</v>
      </c>
      <c r="T4156" t="s">
        <v>45</v>
      </c>
      <c r="U4156">
        <v>1</v>
      </c>
      <c r="V4156">
        <v>6</v>
      </c>
    </row>
    <row r="4157" spans="1:22" x14ac:dyDescent="0.3">
      <c r="A4157">
        <v>4156</v>
      </c>
      <c r="B4157">
        <v>54610</v>
      </c>
      <c r="C4157" s="2">
        <v>34910</v>
      </c>
      <c r="D4157">
        <v>30</v>
      </c>
      <c r="E4157" t="s">
        <v>42</v>
      </c>
      <c r="F4157" t="s">
        <v>50</v>
      </c>
      <c r="G4157" s="2">
        <v>45573</v>
      </c>
      <c r="H4157" s="3">
        <f t="shared" si="64"/>
        <v>1.5068493150684932</v>
      </c>
      <c r="I4157">
        <v>49</v>
      </c>
      <c r="J4157" t="s">
        <v>38</v>
      </c>
      <c r="K4157" t="s">
        <v>64</v>
      </c>
      <c r="L4157" t="s">
        <v>44</v>
      </c>
      <c r="M4157">
        <v>14.07</v>
      </c>
      <c r="T4157" t="s">
        <v>45</v>
      </c>
      <c r="U4157">
        <v>0</v>
      </c>
      <c r="V4157">
        <v>5</v>
      </c>
    </row>
    <row r="4158" spans="1:22" x14ac:dyDescent="0.3">
      <c r="A4158">
        <v>4157</v>
      </c>
      <c r="B4158">
        <v>54612</v>
      </c>
      <c r="C4158" s="2">
        <v>37597</v>
      </c>
      <c r="D4158">
        <v>23</v>
      </c>
      <c r="E4158" t="s">
        <v>42</v>
      </c>
      <c r="F4158" t="s">
        <v>50</v>
      </c>
      <c r="G4158" s="2">
        <v>45472</v>
      </c>
      <c r="H4158" s="3">
        <f t="shared" si="64"/>
        <v>1.2027397260273973</v>
      </c>
      <c r="I4158">
        <v>51</v>
      </c>
      <c r="J4158" t="s">
        <v>38</v>
      </c>
      <c r="K4158" t="s">
        <v>56</v>
      </c>
      <c r="L4158" t="s">
        <v>44</v>
      </c>
      <c r="M4158">
        <v>8.4700000000000006</v>
      </c>
      <c r="T4158" t="s">
        <v>52</v>
      </c>
      <c r="U4158">
        <v>2</v>
      </c>
      <c r="V4158">
        <v>6</v>
      </c>
    </row>
    <row r="4159" spans="1:22" x14ac:dyDescent="0.3">
      <c r="A4159">
        <v>4158</v>
      </c>
      <c r="B4159">
        <v>54613</v>
      </c>
      <c r="C4159" s="2">
        <v>38169</v>
      </c>
      <c r="D4159">
        <v>22</v>
      </c>
      <c r="E4159" t="s">
        <v>42</v>
      </c>
      <c r="F4159" t="s">
        <v>50</v>
      </c>
      <c r="G4159" s="2">
        <v>45583</v>
      </c>
      <c r="H4159" s="3">
        <f t="shared" si="64"/>
        <v>1.5095890410958903</v>
      </c>
      <c r="I4159">
        <v>51</v>
      </c>
      <c r="J4159" t="s">
        <v>38</v>
      </c>
      <c r="K4159" t="s">
        <v>56</v>
      </c>
      <c r="L4159" t="s">
        <v>44</v>
      </c>
      <c r="M4159">
        <v>8.4700000000000006</v>
      </c>
      <c r="T4159" t="s">
        <v>52</v>
      </c>
      <c r="U4159">
        <v>1</v>
      </c>
      <c r="V4159">
        <v>6</v>
      </c>
    </row>
    <row r="4160" spans="1:22" x14ac:dyDescent="0.3">
      <c r="A4160">
        <v>4159</v>
      </c>
      <c r="B4160">
        <v>54614</v>
      </c>
      <c r="C4160" s="2">
        <v>39070</v>
      </c>
      <c r="D4160">
        <v>19</v>
      </c>
      <c r="E4160" t="s">
        <v>42</v>
      </c>
      <c r="F4160" t="s">
        <v>50</v>
      </c>
      <c r="G4160" s="2">
        <v>45471</v>
      </c>
      <c r="H4160" s="3">
        <f t="shared" si="64"/>
        <v>1.6027397260273972</v>
      </c>
      <c r="I4160">
        <v>52</v>
      </c>
      <c r="J4160" t="s">
        <v>38</v>
      </c>
      <c r="K4160" t="s">
        <v>64</v>
      </c>
      <c r="L4160" t="s">
        <v>44</v>
      </c>
      <c r="M4160">
        <v>14.07</v>
      </c>
      <c r="T4160" t="s">
        <v>45</v>
      </c>
      <c r="U4160">
        <v>0</v>
      </c>
      <c r="V4160">
        <v>5</v>
      </c>
    </row>
    <row r="4161" spans="1:22" x14ac:dyDescent="0.3">
      <c r="A4161">
        <v>4160</v>
      </c>
      <c r="B4161">
        <v>54615</v>
      </c>
      <c r="C4161" s="2">
        <v>36245</v>
      </c>
      <c r="D4161">
        <v>26</v>
      </c>
      <c r="E4161" t="s">
        <v>36</v>
      </c>
      <c r="F4161" t="s">
        <v>50</v>
      </c>
      <c r="G4161" s="2">
        <v>45437</v>
      </c>
      <c r="H4161" s="3">
        <f t="shared" si="64"/>
        <v>1.5452054794520549</v>
      </c>
      <c r="I4161">
        <v>52</v>
      </c>
      <c r="J4161" t="s">
        <v>38</v>
      </c>
      <c r="K4161" t="s">
        <v>55</v>
      </c>
      <c r="L4161" t="s">
        <v>44</v>
      </c>
      <c r="M4161">
        <v>17.59</v>
      </c>
      <c r="T4161" t="s">
        <v>52</v>
      </c>
      <c r="U4161">
        <v>2</v>
      </c>
      <c r="V4161">
        <v>5</v>
      </c>
    </row>
    <row r="4162" spans="1:22" x14ac:dyDescent="0.3">
      <c r="A4162">
        <v>4161</v>
      </c>
      <c r="B4162">
        <v>54616</v>
      </c>
      <c r="C4162" s="2">
        <v>37858</v>
      </c>
      <c r="D4162">
        <v>22</v>
      </c>
      <c r="E4162" t="s">
        <v>42</v>
      </c>
      <c r="F4162" t="s">
        <v>50</v>
      </c>
      <c r="G4162" s="2">
        <v>45458</v>
      </c>
      <c r="H4162" s="3">
        <f t="shared" si="64"/>
        <v>1.2904109589041095</v>
      </c>
      <c r="I4162">
        <v>55</v>
      </c>
      <c r="J4162" t="s">
        <v>38</v>
      </c>
      <c r="K4162" t="s">
        <v>56</v>
      </c>
      <c r="L4162" t="s">
        <v>44</v>
      </c>
      <c r="M4162">
        <v>8.4700000000000006</v>
      </c>
      <c r="T4162" t="s">
        <v>45</v>
      </c>
      <c r="U4162">
        <v>2</v>
      </c>
      <c r="V4162">
        <v>5</v>
      </c>
    </row>
    <row r="4163" spans="1:22" x14ac:dyDescent="0.3">
      <c r="A4163">
        <v>4162</v>
      </c>
      <c r="B4163">
        <v>54617</v>
      </c>
      <c r="C4163" s="2">
        <v>38987</v>
      </c>
      <c r="D4163">
        <v>19</v>
      </c>
      <c r="E4163" t="s">
        <v>42</v>
      </c>
      <c r="F4163" t="s">
        <v>50</v>
      </c>
      <c r="G4163" s="2">
        <v>45551</v>
      </c>
      <c r="H4163" s="3">
        <f t="shared" ref="H4163:H4226" si="65">DATEDIF(G4164,DATE(2025,12,31),"d")/365</f>
        <v>1.6136986301369862</v>
      </c>
      <c r="I4163">
        <v>56</v>
      </c>
      <c r="J4163" t="s">
        <v>38</v>
      </c>
      <c r="K4163" t="s">
        <v>43</v>
      </c>
      <c r="L4163" t="s">
        <v>44</v>
      </c>
      <c r="M4163">
        <v>16.37</v>
      </c>
      <c r="T4163" t="s">
        <v>52</v>
      </c>
      <c r="U4163">
        <v>1</v>
      </c>
      <c r="V4163">
        <v>6</v>
      </c>
    </row>
    <row r="4164" spans="1:22" x14ac:dyDescent="0.3">
      <c r="A4164">
        <v>4163</v>
      </c>
      <c r="B4164">
        <v>54618</v>
      </c>
      <c r="C4164" s="2">
        <v>35873</v>
      </c>
      <c r="D4164">
        <v>27</v>
      </c>
      <c r="E4164" t="s">
        <v>42</v>
      </c>
      <c r="F4164" t="s">
        <v>50</v>
      </c>
      <c r="G4164" s="2">
        <v>45433</v>
      </c>
      <c r="H4164" s="3">
        <f t="shared" si="65"/>
        <v>1.5397260273972602</v>
      </c>
      <c r="I4164">
        <v>56</v>
      </c>
      <c r="J4164" t="s">
        <v>38</v>
      </c>
      <c r="K4164" t="s">
        <v>56</v>
      </c>
      <c r="L4164" t="s">
        <v>44</v>
      </c>
      <c r="M4164">
        <v>8.4700000000000006</v>
      </c>
      <c r="T4164" t="s">
        <v>52</v>
      </c>
      <c r="U4164">
        <v>2</v>
      </c>
      <c r="V4164">
        <v>5</v>
      </c>
    </row>
    <row r="4165" spans="1:22" x14ac:dyDescent="0.3">
      <c r="A4165">
        <v>4164</v>
      </c>
      <c r="B4165">
        <v>54619</v>
      </c>
      <c r="C4165" s="2">
        <v>37571</v>
      </c>
      <c r="D4165">
        <v>23</v>
      </c>
      <c r="E4165" t="s">
        <v>36</v>
      </c>
      <c r="F4165" t="s">
        <v>50</v>
      </c>
      <c r="G4165" s="2">
        <v>45460</v>
      </c>
      <c r="H4165" s="3">
        <f t="shared" si="65"/>
        <v>1.6767123287671233</v>
      </c>
      <c r="I4165">
        <v>57</v>
      </c>
      <c r="J4165" t="s">
        <v>38</v>
      </c>
      <c r="K4165" t="s">
        <v>65</v>
      </c>
      <c r="L4165" t="s">
        <v>44</v>
      </c>
      <c r="M4165">
        <v>10.64</v>
      </c>
      <c r="T4165" t="s">
        <v>49</v>
      </c>
      <c r="U4165">
        <v>1</v>
      </c>
      <c r="V4165">
        <v>3</v>
      </c>
    </row>
    <row r="4166" spans="1:22" x14ac:dyDescent="0.3">
      <c r="A4166">
        <v>4165</v>
      </c>
      <c r="B4166">
        <v>54620</v>
      </c>
      <c r="C4166" s="2">
        <v>38286</v>
      </c>
      <c r="D4166">
        <v>21</v>
      </c>
      <c r="E4166" t="s">
        <v>36</v>
      </c>
      <c r="F4166" t="s">
        <v>37</v>
      </c>
      <c r="G4166" s="2">
        <v>45410</v>
      </c>
      <c r="H4166" s="3">
        <f t="shared" si="65"/>
        <v>1.0986301369863014</v>
      </c>
      <c r="I4166">
        <v>57</v>
      </c>
      <c r="J4166" t="s">
        <v>38</v>
      </c>
      <c r="K4166" t="s">
        <v>65</v>
      </c>
      <c r="L4166" t="s">
        <v>44</v>
      </c>
      <c r="M4166">
        <v>10.64</v>
      </c>
      <c r="T4166" t="s">
        <v>49</v>
      </c>
      <c r="U4166">
        <v>0</v>
      </c>
      <c r="V4166">
        <v>3</v>
      </c>
    </row>
    <row r="4167" spans="1:22" x14ac:dyDescent="0.3">
      <c r="A4167">
        <v>4166</v>
      </c>
      <c r="B4167">
        <v>54621</v>
      </c>
      <c r="C4167" s="2">
        <v>38341</v>
      </c>
      <c r="D4167">
        <v>21</v>
      </c>
      <c r="E4167" t="s">
        <v>42</v>
      </c>
      <c r="F4167" t="s">
        <v>37</v>
      </c>
      <c r="G4167" s="2">
        <v>45621</v>
      </c>
      <c r="H4167" s="3">
        <f t="shared" si="65"/>
        <v>1.0520547945205478</v>
      </c>
      <c r="I4167">
        <v>57</v>
      </c>
      <c r="J4167" t="s">
        <v>38</v>
      </c>
      <c r="K4167" t="s">
        <v>56</v>
      </c>
      <c r="L4167" t="s">
        <v>44</v>
      </c>
      <c r="M4167">
        <v>8.4700000000000006</v>
      </c>
      <c r="T4167" t="s">
        <v>45</v>
      </c>
      <c r="U4167">
        <v>2</v>
      </c>
      <c r="V4167">
        <v>6</v>
      </c>
    </row>
    <row r="4168" spans="1:22" x14ac:dyDescent="0.3">
      <c r="A4168">
        <v>4167</v>
      </c>
      <c r="B4168">
        <v>54622</v>
      </c>
      <c r="C4168" s="2">
        <v>38031</v>
      </c>
      <c r="D4168">
        <v>21</v>
      </c>
      <c r="E4168" t="s">
        <v>36</v>
      </c>
      <c r="F4168" t="s">
        <v>50</v>
      </c>
      <c r="G4168" s="2">
        <v>45638</v>
      </c>
      <c r="H4168" s="3">
        <f t="shared" si="65"/>
        <v>1.5917808219178082</v>
      </c>
      <c r="I4168">
        <v>60</v>
      </c>
      <c r="J4168" t="s">
        <v>38</v>
      </c>
      <c r="K4168" t="s">
        <v>46</v>
      </c>
      <c r="L4168" t="s">
        <v>44</v>
      </c>
      <c r="M4168">
        <v>14.23</v>
      </c>
      <c r="T4168" t="s">
        <v>49</v>
      </c>
      <c r="U4168">
        <v>0</v>
      </c>
      <c r="V4168">
        <v>4</v>
      </c>
    </row>
    <row r="4169" spans="1:22" x14ac:dyDescent="0.3">
      <c r="A4169">
        <v>4168</v>
      </c>
      <c r="B4169">
        <v>54623</v>
      </c>
      <c r="C4169" s="2">
        <v>37903</v>
      </c>
      <c r="D4169">
        <v>22</v>
      </c>
      <c r="E4169" t="s">
        <v>42</v>
      </c>
      <c r="F4169" t="s">
        <v>37</v>
      </c>
      <c r="G4169" s="2">
        <v>45441</v>
      </c>
      <c r="H4169" s="3">
        <f t="shared" si="65"/>
        <v>1.284931506849315</v>
      </c>
      <c r="I4169">
        <v>60</v>
      </c>
      <c r="J4169" t="s">
        <v>38</v>
      </c>
      <c r="K4169" t="s">
        <v>56</v>
      </c>
      <c r="L4169" t="s">
        <v>44</v>
      </c>
      <c r="M4169">
        <v>8.4700000000000006</v>
      </c>
      <c r="T4169" t="s">
        <v>47</v>
      </c>
      <c r="U4169">
        <v>3</v>
      </c>
      <c r="V4169">
        <v>6</v>
      </c>
    </row>
    <row r="4170" spans="1:22" x14ac:dyDescent="0.3">
      <c r="A4170">
        <v>4169</v>
      </c>
      <c r="B4170">
        <v>54624</v>
      </c>
      <c r="C4170" s="2">
        <v>35510</v>
      </c>
      <c r="D4170">
        <v>28</v>
      </c>
      <c r="E4170" t="s">
        <v>42</v>
      </c>
      <c r="F4170" t="s">
        <v>50</v>
      </c>
      <c r="G4170" s="2">
        <v>45553</v>
      </c>
      <c r="H4170" s="3">
        <f t="shared" si="65"/>
        <v>1.3315068493150686</v>
      </c>
      <c r="I4170">
        <v>61</v>
      </c>
      <c r="J4170" t="s">
        <v>38</v>
      </c>
      <c r="K4170" t="s">
        <v>56</v>
      </c>
      <c r="L4170" t="s">
        <v>44</v>
      </c>
      <c r="M4170">
        <v>8.4700000000000006</v>
      </c>
      <c r="T4170" t="s">
        <v>47</v>
      </c>
      <c r="U4170">
        <v>4</v>
      </c>
      <c r="V4170">
        <v>5</v>
      </c>
    </row>
    <row r="4171" spans="1:22" x14ac:dyDescent="0.3">
      <c r="A4171">
        <v>4170</v>
      </c>
      <c r="B4171">
        <v>54625</v>
      </c>
      <c r="C4171" s="2">
        <v>37578</v>
      </c>
      <c r="D4171">
        <v>23</v>
      </c>
      <c r="E4171" t="s">
        <v>42</v>
      </c>
      <c r="F4171" t="s">
        <v>37</v>
      </c>
      <c r="G4171" s="2">
        <v>45536</v>
      </c>
      <c r="H4171" s="3">
        <f t="shared" si="65"/>
        <v>1.8273972602739725</v>
      </c>
      <c r="I4171">
        <v>68</v>
      </c>
      <c r="J4171" t="s">
        <v>57</v>
      </c>
      <c r="K4171" t="s">
        <v>56</v>
      </c>
      <c r="L4171" t="s">
        <v>44</v>
      </c>
      <c r="M4171">
        <v>8.4700000000000006</v>
      </c>
      <c r="T4171" t="s">
        <v>49</v>
      </c>
      <c r="U4171">
        <v>3</v>
      </c>
      <c r="V4171">
        <v>6</v>
      </c>
    </row>
    <row r="4172" spans="1:22" x14ac:dyDescent="0.3">
      <c r="A4172">
        <v>4171</v>
      </c>
      <c r="B4172">
        <v>54626</v>
      </c>
      <c r="C4172" s="2">
        <v>36631</v>
      </c>
      <c r="D4172">
        <v>25</v>
      </c>
      <c r="E4172" t="s">
        <v>42</v>
      </c>
      <c r="F4172" t="s">
        <v>50</v>
      </c>
      <c r="G4172" s="2">
        <v>45355</v>
      </c>
      <c r="H4172" s="3">
        <f t="shared" si="65"/>
        <v>1.6246575342465754</v>
      </c>
      <c r="I4172">
        <v>69</v>
      </c>
      <c r="J4172" t="s">
        <v>57</v>
      </c>
      <c r="K4172" t="s">
        <v>48</v>
      </c>
      <c r="L4172" t="s">
        <v>44</v>
      </c>
      <c r="M4172">
        <v>8.4700000000000006</v>
      </c>
      <c r="T4172" t="s">
        <v>49</v>
      </c>
      <c r="U4172">
        <v>0</v>
      </c>
      <c r="V4172">
        <v>6</v>
      </c>
    </row>
    <row r="4173" spans="1:22" x14ac:dyDescent="0.3">
      <c r="A4173">
        <v>4172</v>
      </c>
      <c r="B4173">
        <v>54627</v>
      </c>
      <c r="C4173" s="2">
        <v>39062</v>
      </c>
      <c r="D4173">
        <v>19</v>
      </c>
      <c r="E4173" t="s">
        <v>42</v>
      </c>
      <c r="F4173" t="s">
        <v>37</v>
      </c>
      <c r="G4173" s="2">
        <v>45429</v>
      </c>
      <c r="H4173" s="3">
        <f t="shared" si="65"/>
        <v>1.1534246575342466</v>
      </c>
      <c r="I4173">
        <v>70</v>
      </c>
      <c r="J4173" t="s">
        <v>57</v>
      </c>
      <c r="K4173" t="s">
        <v>56</v>
      </c>
      <c r="L4173" t="s">
        <v>44</v>
      </c>
      <c r="M4173">
        <v>8.4700000000000006</v>
      </c>
      <c r="T4173" t="s">
        <v>52</v>
      </c>
      <c r="U4173">
        <v>2</v>
      </c>
      <c r="V4173">
        <v>4</v>
      </c>
    </row>
    <row r="4174" spans="1:22" x14ac:dyDescent="0.3">
      <c r="A4174">
        <v>4173</v>
      </c>
      <c r="B4174">
        <v>54628</v>
      </c>
      <c r="C4174" s="2">
        <v>38437</v>
      </c>
      <c r="D4174">
        <v>20</v>
      </c>
      <c r="E4174" t="s">
        <v>42</v>
      </c>
      <c r="F4174" t="s">
        <v>50</v>
      </c>
      <c r="G4174" s="2">
        <v>45601</v>
      </c>
      <c r="H4174" s="3">
        <f t="shared" si="65"/>
        <v>1.4328767123287671</v>
      </c>
      <c r="I4174">
        <v>71</v>
      </c>
      <c r="J4174" t="s">
        <v>57</v>
      </c>
      <c r="K4174" t="s">
        <v>48</v>
      </c>
      <c r="L4174" t="s">
        <v>44</v>
      </c>
      <c r="M4174">
        <v>8.4700000000000006</v>
      </c>
      <c r="T4174" t="s">
        <v>49</v>
      </c>
      <c r="U4174">
        <v>2</v>
      </c>
      <c r="V4174">
        <v>6</v>
      </c>
    </row>
    <row r="4175" spans="1:22" x14ac:dyDescent="0.3">
      <c r="A4175">
        <v>4174</v>
      </c>
      <c r="B4175">
        <v>54629</v>
      </c>
      <c r="C4175" s="2">
        <v>37321</v>
      </c>
      <c r="D4175">
        <v>23</v>
      </c>
      <c r="E4175" t="s">
        <v>36</v>
      </c>
      <c r="F4175" t="s">
        <v>50</v>
      </c>
      <c r="G4175" s="2">
        <v>45499</v>
      </c>
      <c r="H4175" s="3">
        <f t="shared" si="65"/>
        <v>1.0383561643835617</v>
      </c>
      <c r="I4175">
        <v>73</v>
      </c>
      <c r="J4175" t="s">
        <v>57</v>
      </c>
      <c r="K4175" t="s">
        <v>65</v>
      </c>
      <c r="L4175" t="s">
        <v>44</v>
      </c>
      <c r="M4175">
        <v>10.64</v>
      </c>
      <c r="T4175" t="s">
        <v>47</v>
      </c>
      <c r="U4175">
        <v>0</v>
      </c>
      <c r="V4175">
        <v>3</v>
      </c>
    </row>
    <row r="4176" spans="1:22" x14ac:dyDescent="0.3">
      <c r="A4176">
        <v>4175</v>
      </c>
      <c r="B4176">
        <v>54630</v>
      </c>
      <c r="C4176" s="2">
        <v>37149</v>
      </c>
      <c r="D4176">
        <v>24</v>
      </c>
      <c r="E4176" t="s">
        <v>36</v>
      </c>
      <c r="F4176" t="s">
        <v>50</v>
      </c>
      <c r="G4176" s="2">
        <v>45643</v>
      </c>
      <c r="H4176" s="3">
        <f t="shared" si="65"/>
        <v>1.4986301369863013</v>
      </c>
      <c r="I4176">
        <v>75</v>
      </c>
      <c r="J4176" t="s">
        <v>57</v>
      </c>
      <c r="K4176" t="s">
        <v>55</v>
      </c>
      <c r="L4176" t="s">
        <v>44</v>
      </c>
      <c r="M4176">
        <v>17.59</v>
      </c>
      <c r="T4176" t="s">
        <v>52</v>
      </c>
      <c r="U4176">
        <v>3</v>
      </c>
      <c r="V4176">
        <v>4</v>
      </c>
    </row>
    <row r="4177" spans="1:22" x14ac:dyDescent="0.3">
      <c r="A4177">
        <v>4176</v>
      </c>
      <c r="B4177">
        <v>54631</v>
      </c>
      <c r="C4177" s="2">
        <v>38786</v>
      </c>
      <c r="D4177">
        <v>19</v>
      </c>
      <c r="E4177" t="s">
        <v>42</v>
      </c>
      <c r="F4177" t="s">
        <v>50</v>
      </c>
      <c r="G4177" s="2">
        <v>45475</v>
      </c>
      <c r="H4177" s="3">
        <f t="shared" si="65"/>
        <v>1.0301369863013699</v>
      </c>
      <c r="I4177">
        <v>76</v>
      </c>
      <c r="J4177" t="s">
        <v>57</v>
      </c>
      <c r="K4177" t="s">
        <v>65</v>
      </c>
      <c r="L4177" t="s">
        <v>44</v>
      </c>
      <c r="M4177">
        <v>10.64</v>
      </c>
      <c r="T4177" t="s">
        <v>45</v>
      </c>
      <c r="U4177">
        <v>0</v>
      </c>
      <c r="V4177">
        <v>6</v>
      </c>
    </row>
    <row r="4178" spans="1:22" x14ac:dyDescent="0.3">
      <c r="A4178">
        <v>4177</v>
      </c>
      <c r="B4178">
        <v>54632</v>
      </c>
      <c r="C4178" s="2">
        <v>37873</v>
      </c>
      <c r="D4178">
        <v>22</v>
      </c>
      <c r="E4178" t="s">
        <v>42</v>
      </c>
      <c r="F4178" t="s">
        <v>50</v>
      </c>
      <c r="G4178" s="2">
        <v>45646</v>
      </c>
      <c r="H4178" s="3">
        <f t="shared" si="65"/>
        <v>1.3315068493150686</v>
      </c>
      <c r="I4178">
        <v>79</v>
      </c>
      <c r="J4178" t="s">
        <v>57</v>
      </c>
      <c r="K4178" t="s">
        <v>56</v>
      </c>
      <c r="L4178" t="s">
        <v>44</v>
      </c>
      <c r="M4178">
        <v>8.4700000000000006</v>
      </c>
      <c r="T4178" t="s">
        <v>52</v>
      </c>
      <c r="U4178">
        <v>2</v>
      </c>
      <c r="V4178">
        <v>6</v>
      </c>
    </row>
    <row r="4179" spans="1:22" x14ac:dyDescent="0.3">
      <c r="A4179">
        <v>4178</v>
      </c>
      <c r="B4179">
        <v>54633</v>
      </c>
      <c r="C4179" s="2">
        <v>38720</v>
      </c>
      <c r="D4179">
        <v>19</v>
      </c>
      <c r="E4179" t="s">
        <v>42</v>
      </c>
      <c r="F4179" t="s">
        <v>50</v>
      </c>
      <c r="G4179" s="2">
        <v>45536</v>
      </c>
      <c r="H4179" s="3">
        <f t="shared" si="65"/>
        <v>1.3424657534246576</v>
      </c>
      <c r="I4179">
        <v>80</v>
      </c>
      <c r="J4179" t="s">
        <v>57</v>
      </c>
      <c r="K4179" t="s">
        <v>56</v>
      </c>
      <c r="L4179" t="s">
        <v>44</v>
      </c>
      <c r="M4179">
        <v>8.4700000000000006</v>
      </c>
      <c r="T4179" t="s">
        <v>45</v>
      </c>
      <c r="U4179">
        <v>2</v>
      </c>
      <c r="V4179">
        <v>6</v>
      </c>
    </row>
    <row r="4180" spans="1:22" x14ac:dyDescent="0.3">
      <c r="A4180">
        <v>4179</v>
      </c>
      <c r="B4180">
        <v>54634</v>
      </c>
      <c r="C4180" s="2">
        <v>38410</v>
      </c>
      <c r="D4180">
        <v>20</v>
      </c>
      <c r="E4180" t="s">
        <v>42</v>
      </c>
      <c r="F4180" t="s">
        <v>37</v>
      </c>
      <c r="G4180" s="2">
        <v>45532</v>
      </c>
      <c r="H4180" s="3">
        <f t="shared" si="65"/>
        <v>1.284931506849315</v>
      </c>
      <c r="I4180">
        <v>81</v>
      </c>
      <c r="J4180" t="s">
        <v>57</v>
      </c>
      <c r="K4180" t="s">
        <v>56</v>
      </c>
      <c r="L4180" t="s">
        <v>44</v>
      </c>
      <c r="M4180">
        <v>8.4700000000000006</v>
      </c>
      <c r="T4180" t="s">
        <v>49</v>
      </c>
      <c r="U4180">
        <v>3</v>
      </c>
      <c r="V4180">
        <v>6</v>
      </c>
    </row>
    <row r="4181" spans="1:22" x14ac:dyDescent="0.3">
      <c r="A4181">
        <v>4180</v>
      </c>
      <c r="B4181">
        <v>54635</v>
      </c>
      <c r="C4181" s="2">
        <v>37325</v>
      </c>
      <c r="D4181">
        <v>23</v>
      </c>
      <c r="E4181" t="s">
        <v>42</v>
      </c>
      <c r="F4181" t="s">
        <v>37</v>
      </c>
      <c r="G4181" s="2">
        <v>45553</v>
      </c>
      <c r="H4181" s="3">
        <f t="shared" si="65"/>
        <v>1.7123287671232876</v>
      </c>
      <c r="I4181">
        <v>82</v>
      </c>
      <c r="J4181" t="s">
        <v>57</v>
      </c>
      <c r="K4181" t="s">
        <v>56</v>
      </c>
      <c r="L4181" t="s">
        <v>44</v>
      </c>
      <c r="M4181">
        <v>8.4700000000000006</v>
      </c>
      <c r="T4181" t="s">
        <v>52</v>
      </c>
      <c r="U4181">
        <v>0</v>
      </c>
      <c r="V4181">
        <v>6</v>
      </c>
    </row>
    <row r="4182" spans="1:22" x14ac:dyDescent="0.3">
      <c r="A4182">
        <v>4181</v>
      </c>
      <c r="B4182">
        <v>54636</v>
      </c>
      <c r="C4182" s="2">
        <v>37776</v>
      </c>
      <c r="D4182">
        <v>22</v>
      </c>
      <c r="E4182" t="s">
        <v>36</v>
      </c>
      <c r="F4182" t="s">
        <v>37</v>
      </c>
      <c r="G4182" s="2">
        <v>45397</v>
      </c>
      <c r="H4182" s="3">
        <f t="shared" si="65"/>
        <v>1.3698630136986301</v>
      </c>
      <c r="I4182">
        <v>82</v>
      </c>
      <c r="J4182" t="s">
        <v>57</v>
      </c>
      <c r="K4182" t="s">
        <v>56</v>
      </c>
      <c r="L4182" t="s">
        <v>44</v>
      </c>
      <c r="M4182">
        <v>8.4700000000000006</v>
      </c>
      <c r="T4182" t="s">
        <v>52</v>
      </c>
      <c r="U4182">
        <v>4</v>
      </c>
      <c r="V4182">
        <v>4</v>
      </c>
    </row>
    <row r="4183" spans="1:22" x14ac:dyDescent="0.3">
      <c r="A4183">
        <v>4182</v>
      </c>
      <c r="B4183">
        <v>54637</v>
      </c>
      <c r="C4183" s="2">
        <v>38018</v>
      </c>
      <c r="D4183">
        <v>22</v>
      </c>
      <c r="E4183" t="s">
        <v>42</v>
      </c>
      <c r="F4183" t="s">
        <v>50</v>
      </c>
      <c r="G4183" s="2">
        <v>45522</v>
      </c>
      <c r="H4183" s="3">
        <f t="shared" si="65"/>
        <v>1.1917808219178083</v>
      </c>
      <c r="I4183">
        <v>83</v>
      </c>
      <c r="J4183" t="s">
        <v>57</v>
      </c>
      <c r="K4183" t="s">
        <v>56</v>
      </c>
      <c r="L4183" t="s">
        <v>44</v>
      </c>
      <c r="M4183">
        <v>8.4700000000000006</v>
      </c>
      <c r="T4183" t="s">
        <v>49</v>
      </c>
      <c r="U4183">
        <v>3</v>
      </c>
      <c r="V4183">
        <v>5</v>
      </c>
    </row>
    <row r="4184" spans="1:22" x14ac:dyDescent="0.3">
      <c r="A4184">
        <v>4183</v>
      </c>
      <c r="B4184">
        <v>54638</v>
      </c>
      <c r="C4184" s="2">
        <v>37244</v>
      </c>
      <c r="D4184">
        <v>24</v>
      </c>
      <c r="E4184" t="s">
        <v>42</v>
      </c>
      <c r="F4184" t="s">
        <v>50</v>
      </c>
      <c r="G4184" s="2">
        <v>45587</v>
      </c>
      <c r="H4184" s="3">
        <f t="shared" si="65"/>
        <v>1.0575342465753426</v>
      </c>
      <c r="I4184">
        <v>84</v>
      </c>
      <c r="J4184" t="s">
        <v>57</v>
      </c>
      <c r="K4184" t="s">
        <v>68</v>
      </c>
      <c r="L4184" t="s">
        <v>44</v>
      </c>
      <c r="M4184">
        <v>17</v>
      </c>
      <c r="T4184" t="s">
        <v>49</v>
      </c>
      <c r="U4184">
        <v>3</v>
      </c>
      <c r="V4184">
        <v>6</v>
      </c>
    </row>
    <row r="4185" spans="1:22" x14ac:dyDescent="0.3">
      <c r="A4185">
        <v>4184</v>
      </c>
      <c r="B4185">
        <v>54639</v>
      </c>
      <c r="C4185" s="2">
        <v>39009</v>
      </c>
      <c r="D4185">
        <v>19</v>
      </c>
      <c r="E4185" t="s">
        <v>42</v>
      </c>
      <c r="F4185" t="s">
        <v>50</v>
      </c>
      <c r="G4185" s="2">
        <v>45636</v>
      </c>
      <c r="H4185" s="3">
        <f t="shared" si="65"/>
        <v>1.6219178082191781</v>
      </c>
      <c r="I4185">
        <v>85</v>
      </c>
      <c r="J4185" t="s">
        <v>57</v>
      </c>
      <c r="K4185" t="s">
        <v>56</v>
      </c>
      <c r="L4185" t="s">
        <v>44</v>
      </c>
      <c r="M4185">
        <v>8.4700000000000006</v>
      </c>
      <c r="T4185" t="s">
        <v>45</v>
      </c>
      <c r="U4185">
        <v>2</v>
      </c>
      <c r="V4185">
        <v>6</v>
      </c>
    </row>
    <row r="4186" spans="1:22" x14ac:dyDescent="0.3">
      <c r="A4186">
        <v>4185</v>
      </c>
      <c r="B4186">
        <v>54640</v>
      </c>
      <c r="C4186" s="2">
        <v>38833</v>
      </c>
      <c r="D4186">
        <v>19</v>
      </c>
      <c r="E4186" t="s">
        <v>42</v>
      </c>
      <c r="F4186" t="s">
        <v>37</v>
      </c>
      <c r="G4186" s="2">
        <v>45430</v>
      </c>
      <c r="H4186" s="3">
        <f t="shared" si="65"/>
        <v>1.6328767123287671</v>
      </c>
      <c r="I4186">
        <v>88</v>
      </c>
      <c r="J4186" t="s">
        <v>57</v>
      </c>
      <c r="K4186" t="s">
        <v>56</v>
      </c>
      <c r="L4186" t="s">
        <v>44</v>
      </c>
      <c r="M4186">
        <v>8.4700000000000006</v>
      </c>
      <c r="T4186" t="s">
        <v>52</v>
      </c>
      <c r="U4186">
        <v>3</v>
      </c>
      <c r="V4186">
        <v>6</v>
      </c>
    </row>
    <row r="4187" spans="1:22" x14ac:dyDescent="0.3">
      <c r="A4187">
        <v>4186</v>
      </c>
      <c r="B4187">
        <v>54641</v>
      </c>
      <c r="C4187" s="2">
        <v>38810</v>
      </c>
      <c r="D4187">
        <v>19</v>
      </c>
      <c r="E4187" t="s">
        <v>42</v>
      </c>
      <c r="F4187" t="s">
        <v>37</v>
      </c>
      <c r="G4187" s="2">
        <v>45426</v>
      </c>
      <c r="H4187" s="3">
        <f t="shared" si="65"/>
        <v>1.0986301369863014</v>
      </c>
      <c r="I4187">
        <v>91</v>
      </c>
      <c r="J4187" t="s">
        <v>57</v>
      </c>
      <c r="K4187" t="s">
        <v>56</v>
      </c>
      <c r="L4187" t="s">
        <v>44</v>
      </c>
      <c r="M4187">
        <v>8.4700000000000006</v>
      </c>
      <c r="T4187" t="s">
        <v>52</v>
      </c>
      <c r="U4187">
        <v>0</v>
      </c>
      <c r="V4187">
        <v>5</v>
      </c>
    </row>
    <row r="4188" spans="1:22" x14ac:dyDescent="0.3">
      <c r="A4188">
        <v>4187</v>
      </c>
      <c r="B4188">
        <v>54642</v>
      </c>
      <c r="C4188" s="2">
        <v>37796</v>
      </c>
      <c r="D4188">
        <v>22</v>
      </c>
      <c r="E4188" t="s">
        <v>42</v>
      </c>
      <c r="F4188" t="s">
        <v>50</v>
      </c>
      <c r="G4188" s="2">
        <v>45621</v>
      </c>
      <c r="H4188" s="3">
        <f t="shared" si="65"/>
        <v>1.1835616438356165</v>
      </c>
      <c r="I4188">
        <v>96</v>
      </c>
      <c r="J4188" t="s">
        <v>57</v>
      </c>
      <c r="K4188" t="s">
        <v>68</v>
      </c>
      <c r="L4188" t="s">
        <v>44</v>
      </c>
      <c r="M4188">
        <v>17</v>
      </c>
      <c r="T4188" t="s">
        <v>52</v>
      </c>
      <c r="U4188">
        <v>2</v>
      </c>
      <c r="V4188">
        <v>7</v>
      </c>
    </row>
    <row r="4189" spans="1:22" x14ac:dyDescent="0.3">
      <c r="A4189">
        <v>4188</v>
      </c>
      <c r="B4189">
        <v>54643</v>
      </c>
      <c r="C4189" s="2">
        <v>38470</v>
      </c>
      <c r="D4189">
        <v>20</v>
      </c>
      <c r="E4189" t="s">
        <v>36</v>
      </c>
      <c r="F4189" t="s">
        <v>50</v>
      </c>
      <c r="G4189" s="2">
        <v>45590</v>
      </c>
      <c r="H4189" s="3">
        <f t="shared" si="65"/>
        <v>1.4931506849315068</v>
      </c>
      <c r="I4189">
        <v>97</v>
      </c>
      <c r="J4189" t="s">
        <v>57</v>
      </c>
      <c r="K4189" t="s">
        <v>56</v>
      </c>
      <c r="L4189" t="s">
        <v>44</v>
      </c>
      <c r="M4189">
        <v>8.4700000000000006</v>
      </c>
      <c r="T4189" t="s">
        <v>52</v>
      </c>
      <c r="U4189">
        <v>4</v>
      </c>
      <c r="V4189">
        <v>5</v>
      </c>
    </row>
    <row r="4190" spans="1:22" x14ac:dyDescent="0.3">
      <c r="A4190">
        <v>4189</v>
      </c>
      <c r="B4190">
        <v>54644</v>
      </c>
      <c r="C4190" s="2">
        <v>38354</v>
      </c>
      <c r="D4190">
        <v>20</v>
      </c>
      <c r="E4190" t="s">
        <v>42</v>
      </c>
      <c r="F4190" t="s">
        <v>50</v>
      </c>
      <c r="G4190" s="2">
        <v>45477</v>
      </c>
      <c r="H4190" s="3">
        <f t="shared" si="65"/>
        <v>1.726027397260274</v>
      </c>
      <c r="I4190">
        <v>97</v>
      </c>
      <c r="J4190" t="s">
        <v>57</v>
      </c>
      <c r="K4190" t="s">
        <v>56</v>
      </c>
      <c r="L4190" t="s">
        <v>44</v>
      </c>
      <c r="M4190">
        <v>8.4700000000000006</v>
      </c>
      <c r="T4190" t="s">
        <v>45</v>
      </c>
      <c r="U4190">
        <v>1</v>
      </c>
      <c r="V4190">
        <v>7</v>
      </c>
    </row>
    <row r="4191" spans="1:22" x14ac:dyDescent="0.3">
      <c r="A4191">
        <v>4190</v>
      </c>
      <c r="B4191">
        <v>54645</v>
      </c>
      <c r="C4191" s="2">
        <v>37673</v>
      </c>
      <c r="D4191">
        <v>22</v>
      </c>
      <c r="E4191" t="s">
        <v>42</v>
      </c>
      <c r="F4191" t="s">
        <v>50</v>
      </c>
      <c r="G4191" s="2">
        <v>45392</v>
      </c>
      <c r="H4191" s="3">
        <f t="shared" si="65"/>
        <v>1.726027397260274</v>
      </c>
      <c r="I4191">
        <v>103</v>
      </c>
      <c r="J4191" t="s">
        <v>57</v>
      </c>
      <c r="K4191" t="s">
        <v>46</v>
      </c>
      <c r="L4191" t="s">
        <v>44</v>
      </c>
      <c r="M4191">
        <v>14.23</v>
      </c>
      <c r="T4191" t="s">
        <v>52</v>
      </c>
      <c r="U4191">
        <v>0</v>
      </c>
      <c r="V4191">
        <v>4</v>
      </c>
    </row>
    <row r="4192" spans="1:22" x14ac:dyDescent="0.3">
      <c r="A4192">
        <v>4191</v>
      </c>
      <c r="B4192">
        <v>54646</v>
      </c>
      <c r="C4192" s="2">
        <v>39236</v>
      </c>
      <c r="D4192">
        <v>18</v>
      </c>
      <c r="E4192" t="s">
        <v>42</v>
      </c>
      <c r="F4192" t="s">
        <v>37</v>
      </c>
      <c r="G4192" s="2">
        <v>45392</v>
      </c>
      <c r="H4192" s="3">
        <f t="shared" si="65"/>
        <v>1.0383561643835617</v>
      </c>
      <c r="I4192">
        <v>107</v>
      </c>
      <c r="J4192" t="s">
        <v>57</v>
      </c>
      <c r="K4192" t="s">
        <v>56</v>
      </c>
      <c r="L4192" t="s">
        <v>44</v>
      </c>
      <c r="M4192">
        <v>8.4700000000000006</v>
      </c>
      <c r="T4192" t="s">
        <v>49</v>
      </c>
      <c r="U4192">
        <v>3</v>
      </c>
      <c r="V4192">
        <v>5</v>
      </c>
    </row>
    <row r="4193" spans="1:22" x14ac:dyDescent="0.3">
      <c r="A4193">
        <v>4192</v>
      </c>
      <c r="B4193">
        <v>54648</v>
      </c>
      <c r="C4193" s="2">
        <v>36084</v>
      </c>
      <c r="D4193">
        <v>27</v>
      </c>
      <c r="E4193" t="s">
        <v>36</v>
      </c>
      <c r="F4193" t="s">
        <v>50</v>
      </c>
      <c r="G4193" s="2">
        <v>45643</v>
      </c>
      <c r="H4193" s="3">
        <f t="shared" si="65"/>
        <v>1.0520547945205478</v>
      </c>
      <c r="I4193">
        <v>108</v>
      </c>
      <c r="J4193" t="s">
        <v>57</v>
      </c>
      <c r="K4193" t="s">
        <v>54</v>
      </c>
      <c r="L4193" t="s">
        <v>44</v>
      </c>
      <c r="M4193">
        <v>23.78</v>
      </c>
      <c r="T4193" t="s">
        <v>49</v>
      </c>
      <c r="U4193">
        <v>3</v>
      </c>
      <c r="V4193">
        <v>4</v>
      </c>
    </row>
    <row r="4194" spans="1:22" x14ac:dyDescent="0.3">
      <c r="A4194">
        <v>4193</v>
      </c>
      <c r="B4194">
        <v>54649</v>
      </c>
      <c r="C4194" s="2">
        <v>37910</v>
      </c>
      <c r="D4194">
        <v>22</v>
      </c>
      <c r="E4194" t="s">
        <v>42</v>
      </c>
      <c r="F4194" t="s">
        <v>50</v>
      </c>
      <c r="G4194" s="2">
        <v>45638</v>
      </c>
      <c r="H4194" s="3">
        <f t="shared" si="65"/>
        <v>1.6684931506849314</v>
      </c>
      <c r="I4194">
        <v>109</v>
      </c>
      <c r="J4194" t="s">
        <v>57</v>
      </c>
      <c r="K4194" t="s">
        <v>56</v>
      </c>
      <c r="L4194" t="s">
        <v>44</v>
      </c>
      <c r="M4194">
        <v>8.4700000000000006</v>
      </c>
      <c r="T4194" t="s">
        <v>52</v>
      </c>
      <c r="U4194">
        <v>4</v>
      </c>
      <c r="V4194">
        <v>7</v>
      </c>
    </row>
    <row r="4195" spans="1:22" x14ac:dyDescent="0.3">
      <c r="A4195">
        <v>4194</v>
      </c>
      <c r="B4195">
        <v>54650</v>
      </c>
      <c r="C4195" s="2">
        <v>36279</v>
      </c>
      <c r="D4195">
        <v>26</v>
      </c>
      <c r="E4195" t="s">
        <v>42</v>
      </c>
      <c r="F4195" t="s">
        <v>50</v>
      </c>
      <c r="G4195" s="2">
        <v>45413</v>
      </c>
      <c r="H4195" s="3">
        <f t="shared" si="65"/>
        <v>1.2164383561643837</v>
      </c>
      <c r="I4195">
        <v>113</v>
      </c>
      <c r="J4195" t="s">
        <v>57</v>
      </c>
      <c r="K4195" t="s">
        <v>68</v>
      </c>
      <c r="L4195" t="s">
        <v>44</v>
      </c>
      <c r="M4195">
        <v>17</v>
      </c>
      <c r="T4195" t="s">
        <v>52</v>
      </c>
      <c r="U4195">
        <v>2</v>
      </c>
      <c r="V4195">
        <v>4</v>
      </c>
    </row>
    <row r="4196" spans="1:22" x14ac:dyDescent="0.3">
      <c r="A4196">
        <v>4195</v>
      </c>
      <c r="B4196">
        <v>54651</v>
      </c>
      <c r="C4196" s="2">
        <v>37815</v>
      </c>
      <c r="D4196">
        <v>22</v>
      </c>
      <c r="E4196" t="s">
        <v>42</v>
      </c>
      <c r="F4196" t="s">
        <v>50</v>
      </c>
      <c r="G4196" s="2">
        <v>45578</v>
      </c>
      <c r="H4196" s="3">
        <f t="shared" si="65"/>
        <v>1.2246575342465753</v>
      </c>
      <c r="I4196">
        <v>113</v>
      </c>
      <c r="J4196" t="s">
        <v>57</v>
      </c>
      <c r="K4196" t="s">
        <v>64</v>
      </c>
      <c r="L4196" t="s">
        <v>44</v>
      </c>
      <c r="M4196">
        <v>14.07</v>
      </c>
      <c r="T4196" t="s">
        <v>45</v>
      </c>
      <c r="U4196">
        <v>0</v>
      </c>
      <c r="V4196">
        <v>6</v>
      </c>
    </row>
    <row r="4197" spans="1:22" x14ac:dyDescent="0.3">
      <c r="A4197">
        <v>4196</v>
      </c>
      <c r="B4197">
        <v>54652</v>
      </c>
      <c r="C4197" s="2">
        <v>38490</v>
      </c>
      <c r="D4197">
        <v>20</v>
      </c>
      <c r="E4197" t="s">
        <v>42</v>
      </c>
      <c r="F4197" t="s">
        <v>50</v>
      </c>
      <c r="G4197" s="2">
        <v>45575</v>
      </c>
      <c r="H4197" s="3">
        <f t="shared" si="65"/>
        <v>1.4712328767123288</v>
      </c>
      <c r="I4197">
        <v>114</v>
      </c>
      <c r="J4197" t="s">
        <v>57</v>
      </c>
      <c r="K4197" t="s">
        <v>56</v>
      </c>
      <c r="L4197" t="s">
        <v>44</v>
      </c>
      <c r="M4197">
        <v>8.4700000000000006</v>
      </c>
      <c r="T4197" t="s">
        <v>52</v>
      </c>
      <c r="U4197">
        <v>1</v>
      </c>
      <c r="V4197">
        <v>6</v>
      </c>
    </row>
    <row r="4198" spans="1:22" x14ac:dyDescent="0.3">
      <c r="A4198">
        <v>4197</v>
      </c>
      <c r="B4198">
        <v>54653</v>
      </c>
      <c r="C4198" s="2">
        <v>37705</v>
      </c>
      <c r="D4198">
        <v>22</v>
      </c>
      <c r="E4198" t="s">
        <v>42</v>
      </c>
      <c r="F4198" t="s">
        <v>50</v>
      </c>
      <c r="G4198" s="2">
        <v>45485</v>
      </c>
      <c r="H4198" s="3">
        <f t="shared" si="65"/>
        <v>1.5205479452054795</v>
      </c>
      <c r="I4198">
        <v>114</v>
      </c>
      <c r="J4198" t="s">
        <v>57</v>
      </c>
      <c r="K4198" t="s">
        <v>56</v>
      </c>
      <c r="L4198" t="s">
        <v>44</v>
      </c>
      <c r="M4198">
        <v>8.4700000000000006</v>
      </c>
      <c r="T4198" t="s">
        <v>47</v>
      </c>
      <c r="U4198">
        <v>1</v>
      </c>
      <c r="V4198">
        <v>6</v>
      </c>
    </row>
    <row r="4199" spans="1:22" x14ac:dyDescent="0.3">
      <c r="A4199">
        <v>4198</v>
      </c>
      <c r="B4199">
        <v>54654</v>
      </c>
      <c r="C4199" s="2">
        <v>36252</v>
      </c>
      <c r="D4199">
        <v>26</v>
      </c>
      <c r="E4199" t="s">
        <v>36</v>
      </c>
      <c r="F4199" t="s">
        <v>50</v>
      </c>
      <c r="G4199" s="2">
        <v>45467</v>
      </c>
      <c r="H4199" s="3">
        <f t="shared" si="65"/>
        <v>1.4602739726027398</v>
      </c>
      <c r="I4199">
        <v>116</v>
      </c>
      <c r="J4199" t="s">
        <v>57</v>
      </c>
      <c r="K4199" t="s">
        <v>56</v>
      </c>
      <c r="L4199" t="s">
        <v>44</v>
      </c>
      <c r="M4199">
        <v>8.4700000000000006</v>
      </c>
      <c r="T4199" t="s">
        <v>52</v>
      </c>
      <c r="U4199">
        <v>3</v>
      </c>
      <c r="V4199">
        <v>5</v>
      </c>
    </row>
    <row r="4200" spans="1:22" x14ac:dyDescent="0.3">
      <c r="A4200">
        <v>4199</v>
      </c>
      <c r="B4200">
        <v>54655</v>
      </c>
      <c r="C4200" s="2">
        <v>38232</v>
      </c>
      <c r="D4200">
        <v>21</v>
      </c>
      <c r="E4200" t="s">
        <v>42</v>
      </c>
      <c r="F4200" t="s">
        <v>37</v>
      </c>
      <c r="G4200" s="2">
        <v>45489</v>
      </c>
      <c r="H4200" s="3">
        <f t="shared" si="65"/>
        <v>1.5972602739726027</v>
      </c>
      <c r="I4200">
        <v>117</v>
      </c>
      <c r="J4200" t="s">
        <v>57</v>
      </c>
      <c r="K4200" t="s">
        <v>56</v>
      </c>
      <c r="L4200" t="s">
        <v>44</v>
      </c>
      <c r="M4200">
        <v>8.4700000000000006</v>
      </c>
      <c r="T4200" t="s">
        <v>49</v>
      </c>
      <c r="U4200">
        <v>3</v>
      </c>
      <c r="V4200">
        <v>7</v>
      </c>
    </row>
    <row r="4201" spans="1:22" x14ac:dyDescent="0.3">
      <c r="A4201">
        <v>4200</v>
      </c>
      <c r="B4201">
        <v>54656</v>
      </c>
      <c r="C4201" s="2">
        <v>38830</v>
      </c>
      <c r="D4201">
        <v>19</v>
      </c>
      <c r="E4201" t="s">
        <v>42</v>
      </c>
      <c r="F4201" t="s">
        <v>50</v>
      </c>
      <c r="G4201" s="2">
        <v>45439</v>
      </c>
      <c r="H4201" s="3">
        <f t="shared" si="65"/>
        <v>1.6273972602739726</v>
      </c>
      <c r="I4201">
        <v>119</v>
      </c>
      <c r="J4201" t="s">
        <v>57</v>
      </c>
      <c r="K4201" t="s">
        <v>56</v>
      </c>
      <c r="L4201" t="s">
        <v>44</v>
      </c>
      <c r="M4201">
        <v>8.4700000000000006</v>
      </c>
      <c r="T4201" t="s">
        <v>49</v>
      </c>
      <c r="U4201">
        <v>1</v>
      </c>
      <c r="V4201">
        <v>7</v>
      </c>
    </row>
    <row r="4202" spans="1:22" x14ac:dyDescent="0.3">
      <c r="A4202">
        <v>4201</v>
      </c>
      <c r="B4202">
        <v>54657</v>
      </c>
      <c r="C4202" s="2">
        <v>30302</v>
      </c>
      <c r="D4202">
        <v>43</v>
      </c>
      <c r="E4202" t="s">
        <v>36</v>
      </c>
      <c r="F4202" t="s">
        <v>50</v>
      </c>
      <c r="G4202" s="2">
        <v>45428</v>
      </c>
      <c r="H4202" s="3">
        <f t="shared" si="65"/>
        <v>1.0794520547945206</v>
      </c>
      <c r="I4202">
        <v>120</v>
      </c>
      <c r="J4202" t="s">
        <v>57</v>
      </c>
      <c r="K4202" t="s">
        <v>46</v>
      </c>
      <c r="L4202" t="s">
        <v>44</v>
      </c>
      <c r="M4202">
        <v>14.23</v>
      </c>
      <c r="T4202" t="s">
        <v>52</v>
      </c>
      <c r="U4202">
        <v>0</v>
      </c>
      <c r="V4202">
        <v>4</v>
      </c>
    </row>
    <row r="4203" spans="1:22" x14ac:dyDescent="0.3">
      <c r="A4203">
        <v>4202</v>
      </c>
      <c r="B4203">
        <v>54658</v>
      </c>
      <c r="C4203" s="2">
        <v>36043</v>
      </c>
      <c r="D4203">
        <v>27</v>
      </c>
      <c r="E4203" t="s">
        <v>42</v>
      </c>
      <c r="F4203" t="s">
        <v>37</v>
      </c>
      <c r="G4203" s="2">
        <v>45628</v>
      </c>
      <c r="H4203" s="3">
        <f t="shared" si="65"/>
        <v>1.0602739726027397</v>
      </c>
      <c r="I4203">
        <v>120</v>
      </c>
      <c r="J4203" t="s">
        <v>57</v>
      </c>
      <c r="K4203" t="s">
        <v>56</v>
      </c>
      <c r="L4203" t="s">
        <v>44</v>
      </c>
      <c r="M4203">
        <v>8.4700000000000006</v>
      </c>
      <c r="T4203" t="s">
        <v>47</v>
      </c>
      <c r="U4203">
        <v>2</v>
      </c>
      <c r="V4203">
        <v>6</v>
      </c>
    </row>
    <row r="4204" spans="1:22" x14ac:dyDescent="0.3">
      <c r="A4204">
        <v>4203</v>
      </c>
      <c r="B4204">
        <v>54659</v>
      </c>
      <c r="C4204" s="2">
        <v>36884</v>
      </c>
      <c r="D4204">
        <v>25</v>
      </c>
      <c r="E4204" t="s">
        <v>42</v>
      </c>
      <c r="F4204" t="s">
        <v>37</v>
      </c>
      <c r="G4204" s="2">
        <v>45635</v>
      </c>
      <c r="H4204" s="3">
        <f t="shared" si="65"/>
        <v>1.6246575342465754</v>
      </c>
      <c r="I4204">
        <v>121</v>
      </c>
      <c r="J4204" t="s">
        <v>57</v>
      </c>
      <c r="K4204" t="s">
        <v>55</v>
      </c>
      <c r="L4204" t="s">
        <v>44</v>
      </c>
      <c r="M4204">
        <v>17.59</v>
      </c>
      <c r="T4204" t="s">
        <v>45</v>
      </c>
      <c r="U4204">
        <v>2</v>
      </c>
      <c r="V4204">
        <v>6</v>
      </c>
    </row>
    <row r="4205" spans="1:22" x14ac:dyDescent="0.3">
      <c r="A4205">
        <v>4204</v>
      </c>
      <c r="B4205">
        <v>54660</v>
      </c>
      <c r="C4205" s="2">
        <v>38529</v>
      </c>
      <c r="D4205">
        <v>20</v>
      </c>
      <c r="E4205" t="s">
        <v>42</v>
      </c>
      <c r="F4205" t="s">
        <v>50</v>
      </c>
      <c r="G4205" s="2">
        <v>45429</v>
      </c>
      <c r="H4205" s="3">
        <f t="shared" si="65"/>
        <v>1.6794520547945206</v>
      </c>
      <c r="I4205">
        <v>122</v>
      </c>
      <c r="J4205" t="s">
        <v>57</v>
      </c>
      <c r="K4205" t="s">
        <v>56</v>
      </c>
      <c r="L4205" t="s">
        <v>44</v>
      </c>
      <c r="M4205">
        <v>8.4700000000000006</v>
      </c>
      <c r="T4205" t="s">
        <v>52</v>
      </c>
      <c r="U4205">
        <v>2</v>
      </c>
      <c r="V4205">
        <v>7</v>
      </c>
    </row>
    <row r="4206" spans="1:22" x14ac:dyDescent="0.3">
      <c r="A4206">
        <v>4205</v>
      </c>
      <c r="B4206">
        <v>54661</v>
      </c>
      <c r="C4206" s="2">
        <v>38880</v>
      </c>
      <c r="D4206">
        <v>19</v>
      </c>
      <c r="E4206" t="s">
        <v>42</v>
      </c>
      <c r="F4206" t="s">
        <v>50</v>
      </c>
      <c r="G4206" s="2">
        <v>45409</v>
      </c>
      <c r="H4206" s="3">
        <f t="shared" si="65"/>
        <v>1.2465753424657535</v>
      </c>
      <c r="I4206">
        <v>124</v>
      </c>
      <c r="J4206" t="s">
        <v>57</v>
      </c>
      <c r="K4206" t="s">
        <v>56</v>
      </c>
      <c r="L4206" t="s">
        <v>44</v>
      </c>
      <c r="M4206">
        <v>8.4700000000000006</v>
      </c>
      <c r="T4206" t="s">
        <v>52</v>
      </c>
      <c r="U4206">
        <v>0</v>
      </c>
      <c r="V4206">
        <v>6</v>
      </c>
    </row>
    <row r="4207" spans="1:22" x14ac:dyDescent="0.3">
      <c r="A4207">
        <v>4206</v>
      </c>
      <c r="B4207">
        <v>54662</v>
      </c>
      <c r="C4207" s="2">
        <v>36175</v>
      </c>
      <c r="D4207">
        <v>26</v>
      </c>
      <c r="E4207" t="s">
        <v>42</v>
      </c>
      <c r="F4207" t="s">
        <v>50</v>
      </c>
      <c r="G4207" s="2">
        <v>45567</v>
      </c>
      <c r="H4207" s="3">
        <f t="shared" si="65"/>
        <v>1.7917808219178082</v>
      </c>
      <c r="I4207">
        <v>128</v>
      </c>
      <c r="J4207" t="s">
        <v>57</v>
      </c>
      <c r="K4207" t="s">
        <v>56</v>
      </c>
      <c r="L4207" t="s">
        <v>44</v>
      </c>
      <c r="M4207">
        <v>8.4700000000000006</v>
      </c>
      <c r="T4207" t="s">
        <v>52</v>
      </c>
      <c r="U4207">
        <v>2</v>
      </c>
      <c r="V4207">
        <v>6</v>
      </c>
    </row>
    <row r="4208" spans="1:22" x14ac:dyDescent="0.3">
      <c r="A4208">
        <v>4207</v>
      </c>
      <c r="B4208">
        <v>54663</v>
      </c>
      <c r="C4208" s="2">
        <v>37222</v>
      </c>
      <c r="D4208">
        <v>24</v>
      </c>
      <c r="E4208" t="s">
        <v>42</v>
      </c>
      <c r="F4208" t="s">
        <v>37</v>
      </c>
      <c r="G4208" s="2">
        <v>45368</v>
      </c>
      <c r="H4208" s="3">
        <f t="shared" si="65"/>
        <v>1.6876712328767123</v>
      </c>
      <c r="I4208">
        <v>129</v>
      </c>
      <c r="J4208" t="s">
        <v>57</v>
      </c>
      <c r="K4208" t="s">
        <v>68</v>
      </c>
      <c r="L4208" t="s">
        <v>44</v>
      </c>
      <c r="M4208">
        <v>17</v>
      </c>
      <c r="T4208" t="s">
        <v>49</v>
      </c>
      <c r="U4208">
        <v>4</v>
      </c>
      <c r="V4208">
        <v>6</v>
      </c>
    </row>
    <row r="4209" spans="1:22" x14ac:dyDescent="0.3">
      <c r="A4209">
        <v>4208</v>
      </c>
      <c r="B4209">
        <v>54664</v>
      </c>
      <c r="C4209" s="2">
        <v>38881</v>
      </c>
      <c r="D4209">
        <v>19</v>
      </c>
      <c r="E4209" t="s">
        <v>42</v>
      </c>
      <c r="F4209" t="s">
        <v>37</v>
      </c>
      <c r="G4209" s="2">
        <v>45406</v>
      </c>
      <c r="H4209" s="3">
        <f t="shared" si="65"/>
        <v>1.0328767123287672</v>
      </c>
      <c r="I4209">
        <v>130</v>
      </c>
      <c r="J4209" t="s">
        <v>57</v>
      </c>
      <c r="K4209" t="s">
        <v>56</v>
      </c>
      <c r="L4209" t="s">
        <v>44</v>
      </c>
      <c r="M4209">
        <v>8.4700000000000006</v>
      </c>
      <c r="T4209" t="s">
        <v>52</v>
      </c>
      <c r="U4209">
        <v>2</v>
      </c>
      <c r="V4209">
        <v>5</v>
      </c>
    </row>
    <row r="4210" spans="1:22" x14ac:dyDescent="0.3">
      <c r="A4210">
        <v>4209</v>
      </c>
      <c r="B4210">
        <v>54665</v>
      </c>
      <c r="C4210" s="2">
        <v>35175</v>
      </c>
      <c r="D4210">
        <v>29</v>
      </c>
      <c r="E4210" t="s">
        <v>36</v>
      </c>
      <c r="F4210" t="s">
        <v>50</v>
      </c>
      <c r="G4210" s="2">
        <v>45645</v>
      </c>
      <c r="H4210" s="3">
        <f t="shared" si="65"/>
        <v>1.1589041095890411</v>
      </c>
      <c r="I4210">
        <v>131</v>
      </c>
      <c r="J4210" t="s">
        <v>57</v>
      </c>
      <c r="K4210" t="s">
        <v>65</v>
      </c>
      <c r="L4210" t="s">
        <v>44</v>
      </c>
      <c r="M4210">
        <v>10.64</v>
      </c>
      <c r="T4210" t="s">
        <v>49</v>
      </c>
      <c r="U4210">
        <v>0</v>
      </c>
      <c r="V4210">
        <v>3</v>
      </c>
    </row>
    <row r="4211" spans="1:22" x14ac:dyDescent="0.3">
      <c r="A4211">
        <v>4210</v>
      </c>
      <c r="B4211">
        <v>54666</v>
      </c>
      <c r="C4211" s="2">
        <v>38929</v>
      </c>
      <c r="D4211">
        <v>19</v>
      </c>
      <c r="E4211" t="s">
        <v>36</v>
      </c>
      <c r="F4211" t="s">
        <v>37</v>
      </c>
      <c r="G4211" s="2">
        <v>45599</v>
      </c>
      <c r="H4211" s="3">
        <f t="shared" si="65"/>
        <v>1.6</v>
      </c>
      <c r="I4211">
        <v>131</v>
      </c>
      <c r="J4211" t="s">
        <v>57</v>
      </c>
      <c r="K4211" t="s">
        <v>46</v>
      </c>
      <c r="L4211" t="s">
        <v>44</v>
      </c>
      <c r="M4211">
        <v>14.23</v>
      </c>
      <c r="T4211" t="s">
        <v>49</v>
      </c>
      <c r="U4211">
        <v>1</v>
      </c>
      <c r="V4211">
        <v>4</v>
      </c>
    </row>
    <row r="4212" spans="1:22" x14ac:dyDescent="0.3">
      <c r="A4212">
        <v>4211</v>
      </c>
      <c r="B4212">
        <v>54667</v>
      </c>
      <c r="C4212" s="2">
        <v>37960</v>
      </c>
      <c r="D4212">
        <v>22</v>
      </c>
      <c r="E4212" t="s">
        <v>36</v>
      </c>
      <c r="F4212" t="s">
        <v>50</v>
      </c>
      <c r="G4212" s="2">
        <v>45438</v>
      </c>
      <c r="H4212" s="3">
        <f t="shared" si="65"/>
        <v>1.441095890410959</v>
      </c>
      <c r="I4212">
        <v>131</v>
      </c>
      <c r="J4212" t="s">
        <v>57</v>
      </c>
      <c r="K4212" t="s">
        <v>56</v>
      </c>
      <c r="L4212" t="s">
        <v>44</v>
      </c>
      <c r="M4212">
        <v>8.4700000000000006</v>
      </c>
      <c r="T4212" t="s">
        <v>47</v>
      </c>
      <c r="U4212">
        <v>0</v>
      </c>
      <c r="V4212">
        <v>4</v>
      </c>
    </row>
    <row r="4213" spans="1:22" x14ac:dyDescent="0.3">
      <c r="A4213">
        <v>4212</v>
      </c>
      <c r="B4213">
        <v>54668</v>
      </c>
      <c r="C4213" s="2">
        <v>36701</v>
      </c>
      <c r="D4213">
        <v>25</v>
      </c>
      <c r="E4213" t="s">
        <v>42</v>
      </c>
      <c r="F4213" t="s">
        <v>50</v>
      </c>
      <c r="G4213" s="2">
        <v>45496</v>
      </c>
      <c r="H4213" s="3">
        <f t="shared" si="65"/>
        <v>1.6246575342465754</v>
      </c>
      <c r="I4213">
        <v>131</v>
      </c>
      <c r="J4213" t="s">
        <v>57</v>
      </c>
      <c r="K4213" t="s">
        <v>56</v>
      </c>
      <c r="L4213" t="s">
        <v>44</v>
      </c>
      <c r="M4213">
        <v>8.4700000000000006</v>
      </c>
      <c r="T4213" t="s">
        <v>47</v>
      </c>
      <c r="U4213">
        <v>2</v>
      </c>
      <c r="V4213">
        <v>6</v>
      </c>
    </row>
    <row r="4214" spans="1:22" x14ac:dyDescent="0.3">
      <c r="A4214">
        <v>4213</v>
      </c>
      <c r="B4214">
        <v>54669</v>
      </c>
      <c r="C4214" s="2">
        <v>38272</v>
      </c>
      <c r="D4214">
        <v>21</v>
      </c>
      <c r="E4214" t="s">
        <v>42</v>
      </c>
      <c r="F4214" t="s">
        <v>50</v>
      </c>
      <c r="G4214" s="2">
        <v>45429</v>
      </c>
      <c r="H4214" s="3">
        <f t="shared" si="65"/>
        <v>1.263013698630137</v>
      </c>
      <c r="I4214">
        <v>137</v>
      </c>
      <c r="J4214" t="s">
        <v>57</v>
      </c>
      <c r="K4214" t="s">
        <v>56</v>
      </c>
      <c r="L4214" t="s">
        <v>44</v>
      </c>
      <c r="M4214">
        <v>8.4700000000000006</v>
      </c>
      <c r="T4214" t="s">
        <v>52</v>
      </c>
      <c r="U4214">
        <v>4</v>
      </c>
      <c r="V4214">
        <v>6</v>
      </c>
    </row>
    <row r="4215" spans="1:22" x14ac:dyDescent="0.3">
      <c r="A4215">
        <v>4214</v>
      </c>
      <c r="B4215">
        <v>54670</v>
      </c>
      <c r="C4215" s="2">
        <v>35261</v>
      </c>
      <c r="D4215">
        <v>29</v>
      </c>
      <c r="E4215" t="s">
        <v>42</v>
      </c>
      <c r="F4215" t="s">
        <v>37</v>
      </c>
      <c r="G4215" s="2">
        <v>45561</v>
      </c>
      <c r="H4215" s="3">
        <f t="shared" si="65"/>
        <v>1.8</v>
      </c>
      <c r="I4215">
        <v>139</v>
      </c>
      <c r="J4215" t="s">
        <v>57</v>
      </c>
      <c r="K4215" t="s">
        <v>56</v>
      </c>
      <c r="L4215" t="s">
        <v>44</v>
      </c>
      <c r="M4215">
        <v>8.4700000000000006</v>
      </c>
      <c r="T4215" t="s">
        <v>52</v>
      </c>
      <c r="U4215">
        <v>2</v>
      </c>
      <c r="V4215">
        <v>5</v>
      </c>
    </row>
    <row r="4216" spans="1:22" x14ac:dyDescent="0.3">
      <c r="A4216">
        <v>4215</v>
      </c>
      <c r="B4216">
        <v>54672</v>
      </c>
      <c r="C4216" s="2">
        <v>37926</v>
      </c>
      <c r="D4216">
        <v>23</v>
      </c>
      <c r="E4216" t="s">
        <v>42</v>
      </c>
      <c r="F4216" t="s">
        <v>50</v>
      </c>
      <c r="G4216" s="2">
        <v>45365</v>
      </c>
      <c r="H4216" s="3">
        <f t="shared" si="65"/>
        <v>1.8684931506849316</v>
      </c>
      <c r="I4216">
        <v>2</v>
      </c>
      <c r="J4216" t="s">
        <v>38</v>
      </c>
      <c r="K4216" t="s">
        <v>68</v>
      </c>
      <c r="L4216" t="s">
        <v>44</v>
      </c>
      <c r="M4216">
        <v>17</v>
      </c>
      <c r="T4216" t="s">
        <v>47</v>
      </c>
      <c r="U4216">
        <v>2</v>
      </c>
      <c r="V4216">
        <v>7</v>
      </c>
    </row>
    <row r="4217" spans="1:22" x14ac:dyDescent="0.3">
      <c r="A4217">
        <v>4216</v>
      </c>
      <c r="B4217">
        <v>54673</v>
      </c>
      <c r="C4217" s="2">
        <v>38185</v>
      </c>
      <c r="D4217">
        <v>21</v>
      </c>
      <c r="E4217" t="s">
        <v>42</v>
      </c>
      <c r="F4217" t="s">
        <v>50</v>
      </c>
      <c r="G4217" s="2">
        <v>45340</v>
      </c>
      <c r="H4217" s="3">
        <f t="shared" si="65"/>
        <v>1.0054794520547945</v>
      </c>
      <c r="I4217">
        <v>4</v>
      </c>
      <c r="J4217" t="s">
        <v>38</v>
      </c>
      <c r="K4217" t="s">
        <v>64</v>
      </c>
      <c r="L4217" t="s">
        <v>44</v>
      </c>
      <c r="M4217">
        <v>14.07</v>
      </c>
      <c r="T4217" t="s">
        <v>47</v>
      </c>
      <c r="U4217">
        <v>0</v>
      </c>
      <c r="V4217">
        <v>6</v>
      </c>
    </row>
    <row r="4218" spans="1:22" x14ac:dyDescent="0.3">
      <c r="A4218">
        <v>4217</v>
      </c>
      <c r="B4218">
        <v>54674</v>
      </c>
      <c r="C4218" s="2">
        <v>37683</v>
      </c>
      <c r="D4218">
        <v>22</v>
      </c>
      <c r="E4218" t="s">
        <v>42</v>
      </c>
      <c r="F4218" t="s">
        <v>37</v>
      </c>
      <c r="G4218" s="2">
        <v>45655</v>
      </c>
      <c r="H4218" s="3">
        <f t="shared" si="65"/>
        <v>1.9232876712328768</v>
      </c>
      <c r="I4218">
        <v>4</v>
      </c>
      <c r="J4218" t="s">
        <v>38</v>
      </c>
      <c r="K4218" t="s">
        <v>48</v>
      </c>
      <c r="L4218" t="s">
        <v>44</v>
      </c>
      <c r="M4218">
        <v>8.4700000000000006</v>
      </c>
      <c r="T4218" t="s">
        <v>49</v>
      </c>
      <c r="U4218">
        <v>4</v>
      </c>
      <c r="V4218">
        <v>7</v>
      </c>
    </row>
    <row r="4219" spans="1:22" x14ac:dyDescent="0.3">
      <c r="A4219">
        <v>4218</v>
      </c>
      <c r="B4219">
        <v>54675</v>
      </c>
      <c r="C4219" s="2">
        <v>36820</v>
      </c>
      <c r="D4219">
        <v>25</v>
      </c>
      <c r="E4219" t="s">
        <v>42</v>
      </c>
      <c r="F4219" t="s">
        <v>37</v>
      </c>
      <c r="G4219" s="2">
        <v>45320</v>
      </c>
      <c r="H4219" s="3">
        <f t="shared" si="65"/>
        <v>1.1287671232876713</v>
      </c>
      <c r="I4219">
        <v>12</v>
      </c>
      <c r="J4219" t="s">
        <v>38</v>
      </c>
      <c r="K4219" t="s">
        <v>48</v>
      </c>
      <c r="L4219" t="s">
        <v>44</v>
      </c>
      <c r="M4219">
        <v>8.4700000000000006</v>
      </c>
      <c r="T4219" t="s">
        <v>45</v>
      </c>
      <c r="U4219">
        <v>2</v>
      </c>
      <c r="V4219">
        <v>6</v>
      </c>
    </row>
    <row r="4220" spans="1:22" x14ac:dyDescent="0.3">
      <c r="A4220">
        <v>4219</v>
      </c>
      <c r="B4220">
        <v>54676</v>
      </c>
      <c r="C4220" s="2">
        <v>36065</v>
      </c>
      <c r="D4220">
        <v>27</v>
      </c>
      <c r="E4220" t="s">
        <v>36</v>
      </c>
      <c r="F4220" t="s">
        <v>37</v>
      </c>
      <c r="G4220" s="2">
        <v>45610</v>
      </c>
      <c r="H4220" s="3">
        <f t="shared" si="65"/>
        <v>1.4273972602739726</v>
      </c>
      <c r="I4220">
        <v>12</v>
      </c>
      <c r="J4220" t="s">
        <v>38</v>
      </c>
      <c r="K4220" t="s">
        <v>56</v>
      </c>
      <c r="L4220" t="s">
        <v>44</v>
      </c>
      <c r="M4220">
        <v>8.4700000000000006</v>
      </c>
      <c r="T4220" t="s">
        <v>45</v>
      </c>
      <c r="U4220">
        <v>2</v>
      </c>
      <c r="V4220">
        <v>4</v>
      </c>
    </row>
    <row r="4221" spans="1:22" x14ac:dyDescent="0.3">
      <c r="A4221">
        <v>4220</v>
      </c>
      <c r="B4221">
        <v>54677</v>
      </c>
      <c r="C4221" s="2">
        <v>38076</v>
      </c>
      <c r="D4221">
        <v>21</v>
      </c>
      <c r="E4221" t="s">
        <v>36</v>
      </c>
      <c r="F4221" t="s">
        <v>37</v>
      </c>
      <c r="G4221" s="2">
        <v>45501</v>
      </c>
      <c r="H4221" s="3">
        <f t="shared" si="65"/>
        <v>1.284931506849315</v>
      </c>
      <c r="I4221">
        <v>13</v>
      </c>
      <c r="J4221" t="s">
        <v>38</v>
      </c>
      <c r="K4221" t="s">
        <v>65</v>
      </c>
      <c r="L4221" t="s">
        <v>44</v>
      </c>
      <c r="M4221">
        <v>10.64</v>
      </c>
      <c r="T4221" t="s">
        <v>52</v>
      </c>
      <c r="U4221">
        <v>1</v>
      </c>
      <c r="V4221">
        <v>2</v>
      </c>
    </row>
    <row r="4222" spans="1:22" x14ac:dyDescent="0.3">
      <c r="A4222">
        <v>4221</v>
      </c>
      <c r="B4222">
        <v>54678</v>
      </c>
      <c r="C4222" s="2">
        <v>37969</v>
      </c>
      <c r="D4222">
        <v>22</v>
      </c>
      <c r="E4222" t="s">
        <v>42</v>
      </c>
      <c r="F4222" t="s">
        <v>50</v>
      </c>
      <c r="G4222" s="2">
        <v>45553</v>
      </c>
      <c r="H4222" s="3">
        <f t="shared" si="65"/>
        <v>1.2273972602739727</v>
      </c>
      <c r="I4222">
        <v>13</v>
      </c>
      <c r="J4222" t="s">
        <v>38</v>
      </c>
      <c r="K4222" t="s">
        <v>48</v>
      </c>
      <c r="L4222" t="s">
        <v>44</v>
      </c>
      <c r="M4222">
        <v>8.4700000000000006</v>
      </c>
      <c r="T4222" t="s">
        <v>49</v>
      </c>
      <c r="U4222">
        <v>2</v>
      </c>
      <c r="V4222">
        <v>6</v>
      </c>
    </row>
    <row r="4223" spans="1:22" x14ac:dyDescent="0.3">
      <c r="A4223">
        <v>4222</v>
      </c>
      <c r="B4223">
        <v>54679</v>
      </c>
      <c r="C4223" s="2">
        <v>38843</v>
      </c>
      <c r="D4223">
        <v>19</v>
      </c>
      <c r="E4223" t="s">
        <v>42</v>
      </c>
      <c r="F4223" t="s">
        <v>50</v>
      </c>
      <c r="G4223" s="2">
        <v>45574</v>
      </c>
      <c r="H4223" s="3">
        <f t="shared" si="65"/>
        <v>1.5315068493150685</v>
      </c>
      <c r="I4223">
        <v>14</v>
      </c>
      <c r="J4223" t="s">
        <v>38</v>
      </c>
      <c r="K4223" t="s">
        <v>56</v>
      </c>
      <c r="L4223" t="s">
        <v>44</v>
      </c>
      <c r="M4223">
        <v>8.4700000000000006</v>
      </c>
      <c r="T4223" t="s">
        <v>45</v>
      </c>
      <c r="U4223">
        <v>2</v>
      </c>
      <c r="V4223">
        <v>6</v>
      </c>
    </row>
    <row r="4224" spans="1:22" x14ac:dyDescent="0.3">
      <c r="A4224">
        <v>4223</v>
      </c>
      <c r="B4224">
        <v>54680</v>
      </c>
      <c r="C4224" s="2">
        <v>37855</v>
      </c>
      <c r="D4224">
        <v>22</v>
      </c>
      <c r="E4224" t="s">
        <v>36</v>
      </c>
      <c r="F4224" t="s">
        <v>50</v>
      </c>
      <c r="G4224" s="2">
        <v>45463</v>
      </c>
      <c r="H4224" s="3">
        <f t="shared" si="65"/>
        <v>1.2246575342465753</v>
      </c>
      <c r="I4224">
        <v>16</v>
      </c>
      <c r="J4224" t="s">
        <v>38</v>
      </c>
      <c r="K4224" t="s">
        <v>65</v>
      </c>
      <c r="L4224" t="s">
        <v>44</v>
      </c>
      <c r="M4224">
        <v>10.64</v>
      </c>
      <c r="T4224" t="s">
        <v>52</v>
      </c>
      <c r="U4224">
        <v>0</v>
      </c>
      <c r="V4224">
        <v>3</v>
      </c>
    </row>
    <row r="4225" spans="1:22" x14ac:dyDescent="0.3">
      <c r="A4225">
        <v>4224</v>
      </c>
      <c r="B4225">
        <v>54681</v>
      </c>
      <c r="C4225" s="2">
        <v>38141</v>
      </c>
      <c r="D4225">
        <v>21</v>
      </c>
      <c r="E4225" t="s">
        <v>42</v>
      </c>
      <c r="F4225" t="s">
        <v>37</v>
      </c>
      <c r="G4225" s="2">
        <v>45575</v>
      </c>
      <c r="H4225" s="3">
        <f t="shared" si="65"/>
        <v>1.3534246575342466</v>
      </c>
      <c r="I4225">
        <v>16</v>
      </c>
      <c r="J4225" t="s">
        <v>38</v>
      </c>
      <c r="K4225" t="s">
        <v>56</v>
      </c>
      <c r="L4225" t="s">
        <v>44</v>
      </c>
      <c r="M4225">
        <v>8.4700000000000006</v>
      </c>
      <c r="T4225" t="s">
        <v>49</v>
      </c>
      <c r="U4225">
        <v>2</v>
      </c>
      <c r="V4225">
        <v>6</v>
      </c>
    </row>
    <row r="4226" spans="1:22" x14ac:dyDescent="0.3">
      <c r="A4226">
        <v>4225</v>
      </c>
      <c r="B4226">
        <v>54682</v>
      </c>
      <c r="C4226" s="2">
        <v>37923</v>
      </c>
      <c r="D4226">
        <v>22</v>
      </c>
      <c r="E4226" t="s">
        <v>42</v>
      </c>
      <c r="F4226" t="s">
        <v>50</v>
      </c>
      <c r="G4226" s="2">
        <v>45528</v>
      </c>
      <c r="H4226" s="3">
        <f t="shared" si="65"/>
        <v>1.8739726027397261</v>
      </c>
      <c r="I4226">
        <v>17</v>
      </c>
      <c r="J4226" t="s">
        <v>38</v>
      </c>
      <c r="K4226" t="s">
        <v>48</v>
      </c>
      <c r="L4226" t="s">
        <v>44</v>
      </c>
      <c r="M4226">
        <v>8.4700000000000006</v>
      </c>
      <c r="T4226" t="s">
        <v>47</v>
      </c>
      <c r="U4226">
        <v>2</v>
      </c>
      <c r="V4226">
        <v>6</v>
      </c>
    </row>
    <row r="4227" spans="1:22" x14ac:dyDescent="0.3">
      <c r="A4227">
        <v>4226</v>
      </c>
      <c r="B4227">
        <v>54683</v>
      </c>
      <c r="C4227" s="2">
        <v>38658</v>
      </c>
      <c r="D4227">
        <v>20</v>
      </c>
      <c r="E4227" t="s">
        <v>42</v>
      </c>
      <c r="F4227" t="s">
        <v>37</v>
      </c>
      <c r="G4227" s="2">
        <v>45338</v>
      </c>
      <c r="H4227" s="3">
        <f t="shared" ref="H4227:H4290" si="66">DATEDIF(G4228,DATE(2025,12,31),"d")/365</f>
        <v>1.7698630136986302</v>
      </c>
      <c r="I4227">
        <v>19</v>
      </c>
      <c r="J4227" t="s">
        <v>38</v>
      </c>
      <c r="K4227" t="s">
        <v>64</v>
      </c>
      <c r="L4227" t="s">
        <v>44</v>
      </c>
      <c r="M4227">
        <v>14.07</v>
      </c>
      <c r="T4227" t="s">
        <v>45</v>
      </c>
      <c r="U4227">
        <v>1</v>
      </c>
      <c r="V4227">
        <v>6</v>
      </c>
    </row>
    <row r="4228" spans="1:22" x14ac:dyDescent="0.3">
      <c r="A4228">
        <v>4227</v>
      </c>
      <c r="B4228">
        <v>54684</v>
      </c>
      <c r="C4228" s="2">
        <v>38794</v>
      </c>
      <c r="D4228">
        <v>19</v>
      </c>
      <c r="E4228" t="s">
        <v>42</v>
      </c>
      <c r="F4228" t="s">
        <v>50</v>
      </c>
      <c r="G4228" s="2">
        <v>45376</v>
      </c>
      <c r="H4228" s="3">
        <f t="shared" si="66"/>
        <v>1.515068493150685</v>
      </c>
      <c r="I4228">
        <v>20</v>
      </c>
      <c r="J4228" t="s">
        <v>38</v>
      </c>
      <c r="K4228" t="s">
        <v>48</v>
      </c>
      <c r="L4228" t="s">
        <v>44</v>
      </c>
      <c r="M4228">
        <v>8.4700000000000006</v>
      </c>
      <c r="T4228" t="s">
        <v>52</v>
      </c>
      <c r="U4228">
        <v>2</v>
      </c>
      <c r="V4228">
        <v>7</v>
      </c>
    </row>
    <row r="4229" spans="1:22" x14ac:dyDescent="0.3">
      <c r="A4229">
        <v>4228</v>
      </c>
      <c r="B4229">
        <v>54685</v>
      </c>
      <c r="C4229" s="2">
        <v>38296</v>
      </c>
      <c r="D4229">
        <v>21</v>
      </c>
      <c r="E4229" t="s">
        <v>42</v>
      </c>
      <c r="F4229" t="s">
        <v>50</v>
      </c>
      <c r="G4229" s="2">
        <v>45469</v>
      </c>
      <c r="H4229" s="3">
        <f t="shared" si="66"/>
        <v>1.4</v>
      </c>
      <c r="I4229">
        <v>21</v>
      </c>
      <c r="J4229" t="s">
        <v>38</v>
      </c>
      <c r="K4229" t="s">
        <v>56</v>
      </c>
      <c r="L4229" t="s">
        <v>44</v>
      </c>
      <c r="M4229">
        <v>8.4700000000000006</v>
      </c>
      <c r="T4229" t="s">
        <v>45</v>
      </c>
      <c r="U4229">
        <v>4</v>
      </c>
      <c r="V4229">
        <v>7</v>
      </c>
    </row>
    <row r="4230" spans="1:22" x14ac:dyDescent="0.3">
      <c r="A4230">
        <v>4229</v>
      </c>
      <c r="B4230">
        <v>54687</v>
      </c>
      <c r="C4230" s="2">
        <v>37541</v>
      </c>
      <c r="D4230">
        <v>23</v>
      </c>
      <c r="E4230" t="s">
        <v>42</v>
      </c>
      <c r="F4230" t="s">
        <v>50</v>
      </c>
      <c r="G4230" s="2">
        <v>45511</v>
      </c>
      <c r="H4230" s="3">
        <f t="shared" si="66"/>
        <v>1.4054794520547946</v>
      </c>
      <c r="I4230">
        <v>34</v>
      </c>
      <c r="J4230" t="s">
        <v>38</v>
      </c>
      <c r="K4230" t="s">
        <v>65</v>
      </c>
      <c r="L4230" t="s">
        <v>44</v>
      </c>
      <c r="M4230">
        <v>10.64</v>
      </c>
      <c r="T4230" t="s">
        <v>45</v>
      </c>
      <c r="U4230">
        <v>0</v>
      </c>
      <c r="V4230">
        <v>5</v>
      </c>
    </row>
    <row r="4231" spans="1:22" x14ac:dyDescent="0.3">
      <c r="A4231">
        <v>4230</v>
      </c>
      <c r="B4231">
        <v>54688</v>
      </c>
      <c r="C4231" s="2">
        <v>37220</v>
      </c>
      <c r="D4231">
        <v>24</v>
      </c>
      <c r="E4231" t="s">
        <v>42</v>
      </c>
      <c r="F4231" t="s">
        <v>37</v>
      </c>
      <c r="G4231" s="2">
        <v>45509</v>
      </c>
      <c r="H4231" s="3">
        <f t="shared" si="66"/>
        <v>1.1369863013698631</v>
      </c>
      <c r="I4231">
        <v>41</v>
      </c>
      <c r="J4231" t="s">
        <v>38</v>
      </c>
      <c r="K4231" t="s">
        <v>48</v>
      </c>
      <c r="L4231" t="s">
        <v>44</v>
      </c>
      <c r="M4231">
        <v>8.4700000000000006</v>
      </c>
      <c r="T4231" t="s">
        <v>49</v>
      </c>
      <c r="U4231">
        <v>1</v>
      </c>
      <c r="V4231">
        <v>4</v>
      </c>
    </row>
    <row r="4232" spans="1:22" x14ac:dyDescent="0.3">
      <c r="A4232">
        <v>4231</v>
      </c>
      <c r="B4232">
        <v>54689</v>
      </c>
      <c r="C4232" s="2">
        <v>39351</v>
      </c>
      <c r="D4232">
        <v>18</v>
      </c>
      <c r="E4232" t="s">
        <v>42</v>
      </c>
      <c r="F4232" t="s">
        <v>50</v>
      </c>
      <c r="G4232" s="2">
        <v>45607</v>
      </c>
      <c r="H4232" s="3">
        <f t="shared" si="66"/>
        <v>1.6767123287671233</v>
      </c>
      <c r="I4232">
        <v>43</v>
      </c>
      <c r="J4232" t="s">
        <v>38</v>
      </c>
      <c r="K4232" t="s">
        <v>48</v>
      </c>
      <c r="L4232" t="s">
        <v>44</v>
      </c>
      <c r="M4232">
        <v>8.4700000000000006</v>
      </c>
      <c r="T4232" t="s">
        <v>45</v>
      </c>
      <c r="U4232">
        <v>2</v>
      </c>
      <c r="V4232">
        <v>7</v>
      </c>
    </row>
    <row r="4233" spans="1:22" x14ac:dyDescent="0.3">
      <c r="A4233">
        <v>4232</v>
      </c>
      <c r="B4233">
        <v>54690</v>
      </c>
      <c r="C4233" s="2">
        <v>38460</v>
      </c>
      <c r="D4233">
        <v>20</v>
      </c>
      <c r="E4233" t="s">
        <v>42</v>
      </c>
      <c r="F4233" t="s">
        <v>50</v>
      </c>
      <c r="G4233" s="2">
        <v>45410</v>
      </c>
      <c r="H4233" s="3">
        <f t="shared" si="66"/>
        <v>1.5013698630136987</v>
      </c>
      <c r="I4233">
        <v>46</v>
      </c>
      <c r="J4233" t="s">
        <v>38</v>
      </c>
      <c r="K4233" t="s">
        <v>65</v>
      </c>
      <c r="L4233" t="s">
        <v>44</v>
      </c>
      <c r="M4233">
        <v>10.64</v>
      </c>
      <c r="T4233" t="s">
        <v>49</v>
      </c>
      <c r="U4233">
        <v>1</v>
      </c>
      <c r="V4233">
        <v>5</v>
      </c>
    </row>
    <row r="4234" spans="1:22" x14ac:dyDescent="0.3">
      <c r="A4234">
        <v>4233</v>
      </c>
      <c r="B4234">
        <v>54691</v>
      </c>
      <c r="C4234" s="2">
        <v>36065</v>
      </c>
      <c r="D4234">
        <v>27</v>
      </c>
      <c r="E4234" t="s">
        <v>42</v>
      </c>
      <c r="F4234" t="s">
        <v>37</v>
      </c>
      <c r="G4234" s="2">
        <v>45474</v>
      </c>
      <c r="H4234" s="3">
        <f t="shared" si="66"/>
        <v>1.7780821917808218</v>
      </c>
      <c r="I4234">
        <v>46</v>
      </c>
      <c r="J4234" t="s">
        <v>38</v>
      </c>
      <c r="K4234" t="s">
        <v>48</v>
      </c>
      <c r="L4234" t="s">
        <v>44</v>
      </c>
      <c r="M4234">
        <v>8.4700000000000006</v>
      </c>
      <c r="T4234" t="s">
        <v>47</v>
      </c>
      <c r="U4234">
        <v>1</v>
      </c>
      <c r="V4234">
        <v>6</v>
      </c>
    </row>
    <row r="4235" spans="1:22" x14ac:dyDescent="0.3">
      <c r="A4235">
        <v>4234</v>
      </c>
      <c r="B4235">
        <v>54692</v>
      </c>
      <c r="C4235" s="2">
        <v>38674</v>
      </c>
      <c r="D4235">
        <v>20</v>
      </c>
      <c r="E4235" t="s">
        <v>42</v>
      </c>
      <c r="F4235" t="s">
        <v>37</v>
      </c>
      <c r="G4235" s="2">
        <v>45373</v>
      </c>
      <c r="H4235" s="3">
        <f t="shared" si="66"/>
        <v>1.558904109589041</v>
      </c>
      <c r="I4235">
        <v>46</v>
      </c>
      <c r="J4235" t="s">
        <v>38</v>
      </c>
      <c r="K4235" t="s">
        <v>56</v>
      </c>
      <c r="L4235" t="s">
        <v>44</v>
      </c>
      <c r="M4235">
        <v>8.4700000000000006</v>
      </c>
      <c r="T4235" t="s">
        <v>45</v>
      </c>
      <c r="U4235">
        <v>1</v>
      </c>
      <c r="V4235">
        <v>6</v>
      </c>
    </row>
    <row r="4236" spans="1:22" x14ac:dyDescent="0.3">
      <c r="A4236">
        <v>4235</v>
      </c>
      <c r="B4236">
        <v>54693</v>
      </c>
      <c r="C4236" s="2">
        <v>38626</v>
      </c>
      <c r="D4236">
        <v>21</v>
      </c>
      <c r="E4236" t="s">
        <v>42</v>
      </c>
      <c r="F4236" t="s">
        <v>50</v>
      </c>
      <c r="G4236" s="2">
        <v>45453</v>
      </c>
      <c r="H4236" s="3">
        <f t="shared" si="66"/>
        <v>1.4493150684931506</v>
      </c>
      <c r="I4236">
        <v>46</v>
      </c>
      <c r="J4236" t="s">
        <v>38</v>
      </c>
      <c r="K4236" t="s">
        <v>56</v>
      </c>
      <c r="L4236" t="s">
        <v>44</v>
      </c>
      <c r="M4236">
        <v>8.4700000000000006</v>
      </c>
      <c r="T4236" t="s">
        <v>52</v>
      </c>
      <c r="U4236">
        <v>2</v>
      </c>
      <c r="V4236">
        <v>6</v>
      </c>
    </row>
    <row r="4237" spans="1:22" x14ac:dyDescent="0.3">
      <c r="A4237">
        <v>4236</v>
      </c>
      <c r="B4237">
        <v>54694</v>
      </c>
      <c r="C4237" s="2">
        <v>37885</v>
      </c>
      <c r="D4237">
        <v>22</v>
      </c>
      <c r="E4237" t="s">
        <v>42</v>
      </c>
      <c r="F4237" t="s">
        <v>37</v>
      </c>
      <c r="G4237" s="2">
        <v>45493</v>
      </c>
      <c r="H4237" s="3">
        <f t="shared" si="66"/>
        <v>1.6739726027397259</v>
      </c>
      <c r="I4237">
        <v>50</v>
      </c>
      <c r="J4237" t="s">
        <v>38</v>
      </c>
      <c r="K4237" t="s">
        <v>48</v>
      </c>
      <c r="L4237" t="s">
        <v>44</v>
      </c>
      <c r="M4237">
        <v>8.4700000000000006</v>
      </c>
      <c r="T4237" t="s">
        <v>45</v>
      </c>
      <c r="U4237">
        <v>4</v>
      </c>
      <c r="V4237">
        <v>5</v>
      </c>
    </row>
    <row r="4238" spans="1:22" x14ac:dyDescent="0.3">
      <c r="A4238">
        <v>4237</v>
      </c>
      <c r="B4238">
        <v>54695</v>
      </c>
      <c r="C4238" s="2">
        <v>38071</v>
      </c>
      <c r="D4238">
        <v>21</v>
      </c>
      <c r="E4238" t="s">
        <v>36</v>
      </c>
      <c r="F4238" t="s">
        <v>50</v>
      </c>
      <c r="G4238" s="2">
        <v>45411</v>
      </c>
      <c r="H4238" s="3">
        <f t="shared" si="66"/>
        <v>1.4273972602739726</v>
      </c>
      <c r="I4238">
        <v>60</v>
      </c>
      <c r="J4238" t="s">
        <v>38</v>
      </c>
      <c r="K4238" t="s">
        <v>65</v>
      </c>
      <c r="L4238" t="s">
        <v>44</v>
      </c>
      <c r="M4238">
        <v>10.64</v>
      </c>
      <c r="T4238" t="s">
        <v>47</v>
      </c>
      <c r="U4238">
        <v>0</v>
      </c>
      <c r="V4238">
        <v>4</v>
      </c>
    </row>
    <row r="4239" spans="1:22" x14ac:dyDescent="0.3">
      <c r="A4239">
        <v>4238</v>
      </c>
      <c r="B4239">
        <v>54697</v>
      </c>
      <c r="C4239" s="2">
        <v>38567</v>
      </c>
      <c r="D4239">
        <v>20</v>
      </c>
      <c r="E4239" t="s">
        <v>42</v>
      </c>
      <c r="F4239" t="s">
        <v>37</v>
      </c>
      <c r="G4239" s="2">
        <v>45501</v>
      </c>
      <c r="H4239" s="3">
        <f t="shared" si="66"/>
        <v>1.4684931506849315</v>
      </c>
      <c r="I4239">
        <v>62</v>
      </c>
      <c r="J4239" t="s">
        <v>38</v>
      </c>
      <c r="K4239" t="s">
        <v>56</v>
      </c>
      <c r="L4239" t="s">
        <v>44</v>
      </c>
      <c r="M4239">
        <v>8.4700000000000006</v>
      </c>
      <c r="T4239" t="s">
        <v>45</v>
      </c>
      <c r="U4239">
        <v>0</v>
      </c>
      <c r="V4239">
        <v>6</v>
      </c>
    </row>
    <row r="4240" spans="1:22" x14ac:dyDescent="0.3">
      <c r="A4240">
        <v>4239</v>
      </c>
      <c r="B4240">
        <v>54698</v>
      </c>
      <c r="C4240" s="2">
        <v>37026</v>
      </c>
      <c r="D4240">
        <v>24</v>
      </c>
      <c r="E4240" t="s">
        <v>36</v>
      </c>
      <c r="F4240" t="s">
        <v>50</v>
      </c>
      <c r="G4240" s="2">
        <v>45486</v>
      </c>
      <c r="H4240" s="3">
        <f t="shared" si="66"/>
        <v>1.7972602739726027</v>
      </c>
      <c r="I4240">
        <v>63</v>
      </c>
      <c r="J4240" t="s">
        <v>38</v>
      </c>
      <c r="K4240" t="s">
        <v>65</v>
      </c>
      <c r="L4240" t="s">
        <v>44</v>
      </c>
      <c r="M4240">
        <v>10.64</v>
      </c>
      <c r="T4240" t="s">
        <v>49</v>
      </c>
      <c r="U4240">
        <v>1</v>
      </c>
      <c r="V4240">
        <v>4</v>
      </c>
    </row>
    <row r="4241" spans="1:22" x14ac:dyDescent="0.3">
      <c r="A4241">
        <v>4240</v>
      </c>
      <c r="B4241">
        <v>54699</v>
      </c>
      <c r="C4241" s="2">
        <v>39181</v>
      </c>
      <c r="D4241">
        <v>18</v>
      </c>
      <c r="E4241" t="s">
        <v>42</v>
      </c>
      <c r="F4241" t="s">
        <v>50</v>
      </c>
      <c r="G4241" s="2">
        <v>45366</v>
      </c>
      <c r="H4241" s="3">
        <f t="shared" si="66"/>
        <v>1.1041095890410959</v>
      </c>
      <c r="I4241">
        <v>65</v>
      </c>
      <c r="J4241" t="s">
        <v>38</v>
      </c>
      <c r="K4241" t="s">
        <v>48</v>
      </c>
      <c r="L4241" t="s">
        <v>44</v>
      </c>
      <c r="M4241">
        <v>8.4700000000000006</v>
      </c>
      <c r="T4241" t="s">
        <v>49</v>
      </c>
      <c r="U4241">
        <v>2</v>
      </c>
      <c r="V4241">
        <v>7</v>
      </c>
    </row>
    <row r="4242" spans="1:22" x14ac:dyDescent="0.3">
      <c r="A4242">
        <v>4241</v>
      </c>
      <c r="B4242">
        <v>54700</v>
      </c>
      <c r="C4242" s="2">
        <v>36342</v>
      </c>
      <c r="D4242">
        <v>27</v>
      </c>
      <c r="E4242" t="s">
        <v>42</v>
      </c>
      <c r="F4242" t="s">
        <v>50</v>
      </c>
      <c r="G4242" s="2">
        <v>45619</v>
      </c>
      <c r="H4242" s="3">
        <f t="shared" si="66"/>
        <v>1.7123287671232876</v>
      </c>
      <c r="I4242">
        <v>65</v>
      </c>
      <c r="J4242" t="s">
        <v>38</v>
      </c>
      <c r="K4242" t="s">
        <v>56</v>
      </c>
      <c r="L4242" t="s">
        <v>44</v>
      </c>
      <c r="M4242">
        <v>8.4700000000000006</v>
      </c>
      <c r="T4242" t="s">
        <v>47</v>
      </c>
      <c r="U4242">
        <v>1</v>
      </c>
      <c r="V4242">
        <v>6</v>
      </c>
    </row>
    <row r="4243" spans="1:22" x14ac:dyDescent="0.3">
      <c r="A4243">
        <v>4242</v>
      </c>
      <c r="B4243">
        <v>54701</v>
      </c>
      <c r="C4243" s="2">
        <v>37778</v>
      </c>
      <c r="D4243">
        <v>22</v>
      </c>
      <c r="E4243" t="s">
        <v>42</v>
      </c>
      <c r="F4243" t="s">
        <v>50</v>
      </c>
      <c r="G4243" s="2">
        <v>45397</v>
      </c>
      <c r="H4243" s="3">
        <f t="shared" si="66"/>
        <v>1.1726027397260275</v>
      </c>
      <c r="I4243">
        <v>68</v>
      </c>
      <c r="J4243" t="s">
        <v>57</v>
      </c>
      <c r="K4243" t="s">
        <v>43</v>
      </c>
      <c r="L4243" t="s">
        <v>44</v>
      </c>
      <c r="M4243">
        <v>16.37</v>
      </c>
      <c r="T4243" t="s">
        <v>52</v>
      </c>
      <c r="U4243">
        <v>0</v>
      </c>
      <c r="V4243">
        <v>6</v>
      </c>
    </row>
    <row r="4244" spans="1:22" x14ac:dyDescent="0.3">
      <c r="A4244">
        <v>4243</v>
      </c>
      <c r="B4244">
        <v>54702</v>
      </c>
      <c r="C4244" s="2">
        <v>38225</v>
      </c>
      <c r="D4244">
        <v>21</v>
      </c>
      <c r="E4244" t="s">
        <v>42</v>
      </c>
      <c r="F4244" t="s">
        <v>50</v>
      </c>
      <c r="G4244" s="2">
        <v>45594</v>
      </c>
      <c r="H4244" s="3">
        <f t="shared" si="66"/>
        <v>1.4164383561643836</v>
      </c>
      <c r="I4244">
        <v>69</v>
      </c>
      <c r="J4244" t="s">
        <v>57</v>
      </c>
      <c r="K4244" t="s">
        <v>56</v>
      </c>
      <c r="L4244" t="s">
        <v>44</v>
      </c>
      <c r="M4244">
        <v>8.4700000000000006</v>
      </c>
      <c r="T4244" t="s">
        <v>45</v>
      </c>
      <c r="U4244">
        <v>1</v>
      </c>
      <c r="V4244">
        <v>5</v>
      </c>
    </row>
    <row r="4245" spans="1:22" x14ac:dyDescent="0.3">
      <c r="A4245">
        <v>4244</v>
      </c>
      <c r="B4245">
        <v>54703</v>
      </c>
      <c r="C4245" s="2">
        <v>36429</v>
      </c>
      <c r="D4245">
        <v>26</v>
      </c>
      <c r="E4245" t="s">
        <v>36</v>
      </c>
      <c r="F4245" t="s">
        <v>50</v>
      </c>
      <c r="G4245" s="2">
        <v>45505</v>
      </c>
      <c r="H4245" s="3">
        <f t="shared" si="66"/>
        <v>1.0438356164383562</v>
      </c>
      <c r="I4245">
        <v>73</v>
      </c>
      <c r="J4245" t="s">
        <v>57</v>
      </c>
      <c r="K4245" t="s">
        <v>65</v>
      </c>
      <c r="L4245" t="s">
        <v>44</v>
      </c>
      <c r="M4245">
        <v>10.64</v>
      </c>
      <c r="T4245" t="s">
        <v>45</v>
      </c>
      <c r="U4245">
        <v>1</v>
      </c>
      <c r="V4245">
        <v>3</v>
      </c>
    </row>
    <row r="4246" spans="1:22" x14ac:dyDescent="0.3">
      <c r="A4246">
        <v>4245</v>
      </c>
      <c r="B4246">
        <v>54704</v>
      </c>
      <c r="C4246" s="2">
        <v>37363</v>
      </c>
      <c r="D4246">
        <v>23</v>
      </c>
      <c r="E4246" t="s">
        <v>42</v>
      </c>
      <c r="F4246" t="s">
        <v>50</v>
      </c>
      <c r="G4246" s="2">
        <v>45641</v>
      </c>
      <c r="H4246" s="3">
        <f t="shared" si="66"/>
        <v>1.0328767123287672</v>
      </c>
      <c r="I4246">
        <v>81</v>
      </c>
      <c r="J4246" t="s">
        <v>57</v>
      </c>
      <c r="K4246" t="s">
        <v>48</v>
      </c>
      <c r="L4246" t="s">
        <v>44</v>
      </c>
      <c r="M4246">
        <v>8.4700000000000006</v>
      </c>
      <c r="T4246" t="s">
        <v>45</v>
      </c>
      <c r="U4246">
        <v>1</v>
      </c>
      <c r="V4246">
        <v>5</v>
      </c>
    </row>
    <row r="4247" spans="1:22" x14ac:dyDescent="0.3">
      <c r="A4247">
        <v>4246</v>
      </c>
      <c r="B4247">
        <v>54705</v>
      </c>
      <c r="C4247" s="2">
        <v>37740</v>
      </c>
      <c r="D4247">
        <v>22</v>
      </c>
      <c r="E4247" t="s">
        <v>36</v>
      </c>
      <c r="F4247" t="s">
        <v>37</v>
      </c>
      <c r="G4247" s="2">
        <v>45645</v>
      </c>
      <c r="H4247" s="3">
        <f t="shared" si="66"/>
        <v>1.6931506849315068</v>
      </c>
      <c r="I4247">
        <v>83</v>
      </c>
      <c r="J4247" t="s">
        <v>57</v>
      </c>
      <c r="K4247" t="s">
        <v>46</v>
      </c>
      <c r="L4247" t="s">
        <v>44</v>
      </c>
      <c r="M4247">
        <v>14.23</v>
      </c>
      <c r="T4247" t="s">
        <v>47</v>
      </c>
      <c r="U4247">
        <v>0</v>
      </c>
      <c r="V4247">
        <v>4</v>
      </c>
    </row>
    <row r="4248" spans="1:22" x14ac:dyDescent="0.3">
      <c r="A4248">
        <v>4247</v>
      </c>
      <c r="B4248">
        <v>54706</v>
      </c>
      <c r="C4248" s="2">
        <v>38892</v>
      </c>
      <c r="D4248">
        <v>19</v>
      </c>
      <c r="E4248" t="s">
        <v>42</v>
      </c>
      <c r="F4248" t="s">
        <v>50</v>
      </c>
      <c r="G4248" s="2">
        <v>45404</v>
      </c>
      <c r="H4248" s="3">
        <f t="shared" si="66"/>
        <v>1.1808219178082191</v>
      </c>
      <c r="I4248">
        <v>84</v>
      </c>
      <c r="J4248" t="s">
        <v>57</v>
      </c>
      <c r="K4248" t="s">
        <v>56</v>
      </c>
      <c r="L4248" t="s">
        <v>44</v>
      </c>
      <c r="M4248">
        <v>8.4700000000000006</v>
      </c>
      <c r="T4248" t="s">
        <v>52</v>
      </c>
      <c r="U4248">
        <v>1</v>
      </c>
      <c r="V4248">
        <v>6</v>
      </c>
    </row>
    <row r="4249" spans="1:22" x14ac:dyDescent="0.3">
      <c r="A4249">
        <v>4248</v>
      </c>
      <c r="B4249">
        <v>54707</v>
      </c>
      <c r="C4249" s="2">
        <v>39306</v>
      </c>
      <c r="D4249">
        <v>18</v>
      </c>
      <c r="E4249" t="s">
        <v>36</v>
      </c>
      <c r="F4249" t="s">
        <v>37</v>
      </c>
      <c r="G4249" s="2">
        <v>45591</v>
      </c>
      <c r="H4249" s="3">
        <f t="shared" si="66"/>
        <v>1.8082191780821917</v>
      </c>
      <c r="I4249">
        <v>86</v>
      </c>
      <c r="J4249" t="s">
        <v>57</v>
      </c>
      <c r="K4249" t="s">
        <v>56</v>
      </c>
      <c r="L4249" t="s">
        <v>44</v>
      </c>
      <c r="M4249">
        <v>8.4700000000000006</v>
      </c>
      <c r="T4249" t="s">
        <v>49</v>
      </c>
      <c r="U4249">
        <v>0</v>
      </c>
      <c r="V4249">
        <v>5</v>
      </c>
    </row>
    <row r="4250" spans="1:22" x14ac:dyDescent="0.3">
      <c r="A4250">
        <v>4249</v>
      </c>
      <c r="B4250">
        <v>54708</v>
      </c>
      <c r="C4250" s="2">
        <v>37486</v>
      </c>
      <c r="D4250">
        <v>23</v>
      </c>
      <c r="E4250" t="s">
        <v>42</v>
      </c>
      <c r="F4250" t="s">
        <v>50</v>
      </c>
      <c r="G4250" s="2">
        <v>45362</v>
      </c>
      <c r="H4250" s="3">
        <f t="shared" si="66"/>
        <v>1.4547945205479451</v>
      </c>
      <c r="I4250">
        <v>87</v>
      </c>
      <c r="J4250" t="s">
        <v>57</v>
      </c>
      <c r="K4250" t="s">
        <v>68</v>
      </c>
      <c r="L4250" t="s">
        <v>44</v>
      </c>
      <c r="M4250">
        <v>17</v>
      </c>
      <c r="T4250" t="s">
        <v>45</v>
      </c>
      <c r="U4250">
        <v>3</v>
      </c>
      <c r="V4250">
        <v>6</v>
      </c>
    </row>
    <row r="4251" spans="1:22" x14ac:dyDescent="0.3">
      <c r="A4251">
        <v>4250</v>
      </c>
      <c r="B4251">
        <v>54709</v>
      </c>
      <c r="C4251" s="2">
        <v>38467</v>
      </c>
      <c r="D4251">
        <v>20</v>
      </c>
      <c r="E4251" t="s">
        <v>36</v>
      </c>
      <c r="F4251" t="s">
        <v>50</v>
      </c>
      <c r="G4251" s="2">
        <v>45491</v>
      </c>
      <c r="H4251" s="3">
        <f t="shared" si="66"/>
        <v>1.1287671232876713</v>
      </c>
      <c r="I4251">
        <v>93</v>
      </c>
      <c r="J4251" t="s">
        <v>57</v>
      </c>
      <c r="K4251" t="s">
        <v>56</v>
      </c>
      <c r="L4251" t="s">
        <v>44</v>
      </c>
      <c r="M4251">
        <v>8.4700000000000006</v>
      </c>
      <c r="T4251" t="s">
        <v>47</v>
      </c>
      <c r="U4251">
        <v>1</v>
      </c>
      <c r="V4251">
        <v>2</v>
      </c>
    </row>
    <row r="4252" spans="1:22" x14ac:dyDescent="0.3">
      <c r="A4252">
        <v>4251</v>
      </c>
      <c r="B4252">
        <v>54710</v>
      </c>
      <c r="C4252" s="2">
        <v>37410</v>
      </c>
      <c r="D4252">
        <v>23</v>
      </c>
      <c r="E4252" t="s">
        <v>36</v>
      </c>
      <c r="F4252" t="s">
        <v>37</v>
      </c>
      <c r="G4252" s="2">
        <v>45610</v>
      </c>
      <c r="H4252" s="3">
        <f t="shared" si="66"/>
        <v>1.6164383561643836</v>
      </c>
      <c r="I4252">
        <v>98</v>
      </c>
      <c r="J4252" t="s">
        <v>57</v>
      </c>
      <c r="K4252" t="s">
        <v>55</v>
      </c>
      <c r="L4252" t="s">
        <v>44</v>
      </c>
      <c r="M4252">
        <v>17.59</v>
      </c>
      <c r="T4252" t="s">
        <v>45</v>
      </c>
      <c r="U4252">
        <v>0</v>
      </c>
      <c r="V4252">
        <v>5</v>
      </c>
    </row>
    <row r="4253" spans="1:22" x14ac:dyDescent="0.3">
      <c r="A4253">
        <v>4252</v>
      </c>
      <c r="B4253">
        <v>54711</v>
      </c>
      <c r="C4253" s="2">
        <v>37811</v>
      </c>
      <c r="D4253">
        <v>22</v>
      </c>
      <c r="E4253" t="s">
        <v>42</v>
      </c>
      <c r="F4253" t="s">
        <v>50</v>
      </c>
      <c r="G4253" s="2">
        <v>45432</v>
      </c>
      <c r="H4253" s="3">
        <f t="shared" si="66"/>
        <v>1.8356164383561644</v>
      </c>
      <c r="I4253">
        <v>100</v>
      </c>
      <c r="J4253" t="s">
        <v>57</v>
      </c>
      <c r="K4253" t="s">
        <v>56</v>
      </c>
      <c r="L4253" t="s">
        <v>44</v>
      </c>
      <c r="M4253">
        <v>8.4700000000000006</v>
      </c>
      <c r="T4253" t="s">
        <v>45</v>
      </c>
      <c r="U4253">
        <v>2</v>
      </c>
      <c r="V4253">
        <v>6</v>
      </c>
    </row>
    <row r="4254" spans="1:22" x14ac:dyDescent="0.3">
      <c r="A4254">
        <v>4253</v>
      </c>
      <c r="B4254">
        <v>54712</v>
      </c>
      <c r="C4254" s="2">
        <v>37515</v>
      </c>
      <c r="D4254">
        <v>23</v>
      </c>
      <c r="E4254" t="s">
        <v>36</v>
      </c>
      <c r="F4254" t="s">
        <v>50</v>
      </c>
      <c r="G4254" s="2">
        <v>45352</v>
      </c>
      <c r="H4254" s="3">
        <f t="shared" si="66"/>
        <v>1.2493150684931507</v>
      </c>
      <c r="I4254">
        <v>102</v>
      </c>
      <c r="J4254" t="s">
        <v>57</v>
      </c>
      <c r="K4254" t="s">
        <v>65</v>
      </c>
      <c r="L4254" t="s">
        <v>44</v>
      </c>
      <c r="M4254">
        <v>10.64</v>
      </c>
      <c r="T4254" t="s">
        <v>45</v>
      </c>
      <c r="U4254">
        <v>1</v>
      </c>
      <c r="V4254">
        <v>4</v>
      </c>
    </row>
    <row r="4255" spans="1:22" x14ac:dyDescent="0.3">
      <c r="A4255">
        <v>4254</v>
      </c>
      <c r="B4255">
        <v>54713</v>
      </c>
      <c r="C4255" s="2">
        <v>35386</v>
      </c>
      <c r="D4255">
        <v>29</v>
      </c>
      <c r="E4255" t="s">
        <v>42</v>
      </c>
      <c r="F4255" t="s">
        <v>37</v>
      </c>
      <c r="G4255" s="2">
        <v>45566</v>
      </c>
      <c r="H4255" s="3">
        <f t="shared" si="66"/>
        <v>1.4958904109589042</v>
      </c>
      <c r="I4255">
        <v>104</v>
      </c>
      <c r="J4255" t="s">
        <v>57</v>
      </c>
      <c r="K4255" t="s">
        <v>56</v>
      </c>
      <c r="L4255" t="s">
        <v>44</v>
      </c>
      <c r="M4255">
        <v>8.4700000000000006</v>
      </c>
      <c r="T4255" t="s">
        <v>52</v>
      </c>
      <c r="U4255">
        <v>0</v>
      </c>
      <c r="V4255">
        <v>5</v>
      </c>
    </row>
    <row r="4256" spans="1:22" x14ac:dyDescent="0.3">
      <c r="A4256">
        <v>4255</v>
      </c>
      <c r="B4256">
        <v>54714</v>
      </c>
      <c r="C4256" s="2">
        <v>37298</v>
      </c>
      <c r="D4256">
        <v>23</v>
      </c>
      <c r="E4256" t="s">
        <v>42</v>
      </c>
      <c r="F4256" t="s">
        <v>50</v>
      </c>
      <c r="G4256" s="2">
        <v>45476</v>
      </c>
      <c r="H4256" s="3">
        <f t="shared" si="66"/>
        <v>1.0082191780821919</v>
      </c>
      <c r="I4256">
        <v>122</v>
      </c>
      <c r="J4256" t="s">
        <v>57</v>
      </c>
      <c r="K4256" t="s">
        <v>56</v>
      </c>
      <c r="L4256" t="s">
        <v>44</v>
      </c>
      <c r="M4256">
        <v>8.4700000000000006</v>
      </c>
      <c r="T4256" t="s">
        <v>45</v>
      </c>
      <c r="U4256">
        <v>1</v>
      </c>
      <c r="V4256">
        <v>5</v>
      </c>
    </row>
    <row r="4257" spans="1:22" x14ac:dyDescent="0.3">
      <c r="A4257">
        <v>4256</v>
      </c>
      <c r="B4257">
        <v>54715</v>
      </c>
      <c r="C4257" s="2">
        <v>37454</v>
      </c>
      <c r="D4257">
        <v>23</v>
      </c>
      <c r="E4257" t="s">
        <v>36</v>
      </c>
      <c r="F4257" t="s">
        <v>50</v>
      </c>
      <c r="G4257" s="2">
        <v>45654</v>
      </c>
      <c r="H4257" s="3">
        <f t="shared" si="66"/>
        <v>1.7726027397260273</v>
      </c>
      <c r="I4257">
        <v>131</v>
      </c>
      <c r="J4257" t="s">
        <v>57</v>
      </c>
      <c r="K4257" t="s">
        <v>64</v>
      </c>
      <c r="L4257" t="s">
        <v>44</v>
      </c>
      <c r="M4257">
        <v>14.07</v>
      </c>
      <c r="T4257" t="s">
        <v>52</v>
      </c>
      <c r="U4257">
        <v>0</v>
      </c>
      <c r="V4257">
        <v>4</v>
      </c>
    </row>
    <row r="4258" spans="1:22" x14ac:dyDescent="0.3">
      <c r="A4258">
        <v>4257</v>
      </c>
      <c r="B4258">
        <v>54716</v>
      </c>
      <c r="C4258" s="2">
        <v>36002</v>
      </c>
      <c r="D4258">
        <v>27</v>
      </c>
      <c r="E4258" t="s">
        <v>42</v>
      </c>
      <c r="F4258" t="s">
        <v>50</v>
      </c>
      <c r="G4258" s="2">
        <v>45375</v>
      </c>
      <c r="H4258" s="3">
        <f t="shared" si="66"/>
        <v>1.0849315068493151</v>
      </c>
      <c r="I4258">
        <v>136</v>
      </c>
      <c r="J4258" t="s">
        <v>57</v>
      </c>
      <c r="K4258" t="s">
        <v>56</v>
      </c>
      <c r="L4258" t="s">
        <v>44</v>
      </c>
      <c r="M4258">
        <v>8.4700000000000006</v>
      </c>
      <c r="T4258" t="s">
        <v>49</v>
      </c>
      <c r="U4258">
        <v>4</v>
      </c>
      <c r="V4258">
        <v>6</v>
      </c>
    </row>
    <row r="4259" spans="1:22" x14ac:dyDescent="0.3">
      <c r="A4259">
        <v>4258</v>
      </c>
      <c r="B4259">
        <v>54717</v>
      </c>
      <c r="C4259" s="2">
        <v>36102</v>
      </c>
      <c r="D4259">
        <v>27</v>
      </c>
      <c r="E4259" t="s">
        <v>42</v>
      </c>
      <c r="F4259" t="s">
        <v>50</v>
      </c>
      <c r="G4259" s="2">
        <v>45626</v>
      </c>
      <c r="H4259" s="3">
        <f t="shared" si="66"/>
        <v>1.8027397260273972</v>
      </c>
      <c r="I4259">
        <v>139</v>
      </c>
      <c r="J4259" t="s">
        <v>57</v>
      </c>
      <c r="K4259" t="s">
        <v>48</v>
      </c>
      <c r="L4259" t="s">
        <v>44</v>
      </c>
      <c r="M4259">
        <v>8.4700000000000006</v>
      </c>
      <c r="T4259" t="s">
        <v>45</v>
      </c>
      <c r="U4259">
        <v>0</v>
      </c>
      <c r="V4259">
        <v>6</v>
      </c>
    </row>
    <row r="4260" spans="1:22" x14ac:dyDescent="0.3">
      <c r="A4260">
        <v>4259</v>
      </c>
      <c r="B4260">
        <v>54718</v>
      </c>
      <c r="C4260" s="2">
        <v>36792</v>
      </c>
      <c r="D4260">
        <v>25</v>
      </c>
      <c r="E4260" t="s">
        <v>36</v>
      </c>
      <c r="F4260" t="s">
        <v>50</v>
      </c>
      <c r="G4260" s="2">
        <v>45364</v>
      </c>
      <c r="H4260" s="3">
        <f t="shared" si="66"/>
        <v>1.9123287671232876</v>
      </c>
      <c r="I4260">
        <v>143</v>
      </c>
      <c r="J4260" t="s">
        <v>57</v>
      </c>
      <c r="K4260" t="s">
        <v>46</v>
      </c>
      <c r="L4260" t="s">
        <v>44</v>
      </c>
      <c r="M4260">
        <v>14.23</v>
      </c>
      <c r="T4260" t="s">
        <v>49</v>
      </c>
      <c r="U4260">
        <v>1</v>
      </c>
      <c r="V4260">
        <v>3</v>
      </c>
    </row>
    <row r="4261" spans="1:22" x14ac:dyDescent="0.3">
      <c r="A4261">
        <v>4260</v>
      </c>
      <c r="B4261">
        <v>54719</v>
      </c>
      <c r="C4261" s="2">
        <v>36624</v>
      </c>
      <c r="D4261">
        <v>25</v>
      </c>
      <c r="E4261" t="s">
        <v>36</v>
      </c>
      <c r="F4261" t="s">
        <v>37</v>
      </c>
      <c r="G4261" s="2">
        <v>45324</v>
      </c>
      <c r="H4261" s="3">
        <f t="shared" si="66"/>
        <v>1.5205479452054795</v>
      </c>
      <c r="I4261">
        <v>2</v>
      </c>
      <c r="J4261" t="s">
        <v>38</v>
      </c>
      <c r="K4261" t="s">
        <v>64</v>
      </c>
      <c r="L4261" t="s">
        <v>44</v>
      </c>
      <c r="M4261">
        <v>14.07</v>
      </c>
      <c r="T4261" t="s">
        <v>49</v>
      </c>
      <c r="U4261">
        <v>1</v>
      </c>
      <c r="V4261">
        <v>4</v>
      </c>
    </row>
    <row r="4262" spans="1:22" x14ac:dyDescent="0.3">
      <c r="A4262">
        <v>4261</v>
      </c>
      <c r="B4262">
        <v>54720</v>
      </c>
      <c r="C4262" s="2">
        <v>32994</v>
      </c>
      <c r="D4262">
        <v>36</v>
      </c>
      <c r="E4262" t="s">
        <v>36</v>
      </c>
      <c r="F4262" t="s">
        <v>50</v>
      </c>
      <c r="G4262" s="2">
        <v>45467</v>
      </c>
      <c r="H4262" s="3">
        <f t="shared" si="66"/>
        <v>1.7780821917808218</v>
      </c>
      <c r="I4262">
        <v>3</v>
      </c>
      <c r="J4262" t="s">
        <v>38</v>
      </c>
      <c r="K4262" t="s">
        <v>46</v>
      </c>
      <c r="L4262" t="s">
        <v>44</v>
      </c>
      <c r="M4262">
        <v>14.23</v>
      </c>
      <c r="T4262" t="s">
        <v>49</v>
      </c>
      <c r="U4262">
        <v>0</v>
      </c>
      <c r="V4262">
        <v>3</v>
      </c>
    </row>
    <row r="4263" spans="1:22" x14ac:dyDescent="0.3">
      <c r="A4263">
        <v>4262</v>
      </c>
      <c r="B4263">
        <v>54721</v>
      </c>
      <c r="C4263" s="2">
        <v>35764</v>
      </c>
      <c r="D4263">
        <v>28</v>
      </c>
      <c r="E4263" t="s">
        <v>42</v>
      </c>
      <c r="F4263" t="s">
        <v>50</v>
      </c>
      <c r="G4263" s="2">
        <v>45373</v>
      </c>
      <c r="H4263" s="3">
        <f t="shared" si="66"/>
        <v>1.4438356164383561</v>
      </c>
      <c r="I4263">
        <v>3</v>
      </c>
      <c r="J4263" t="s">
        <v>38</v>
      </c>
      <c r="K4263" t="s">
        <v>56</v>
      </c>
      <c r="L4263" t="s">
        <v>44</v>
      </c>
      <c r="M4263">
        <v>8.4700000000000006</v>
      </c>
      <c r="T4263" t="s">
        <v>49</v>
      </c>
      <c r="U4263">
        <v>2</v>
      </c>
      <c r="V4263">
        <v>6</v>
      </c>
    </row>
    <row r="4264" spans="1:22" x14ac:dyDescent="0.3">
      <c r="A4264">
        <v>4263</v>
      </c>
      <c r="B4264">
        <v>54722</v>
      </c>
      <c r="C4264" s="2">
        <v>37102</v>
      </c>
      <c r="D4264">
        <v>24</v>
      </c>
      <c r="E4264" t="s">
        <v>42</v>
      </c>
      <c r="F4264" t="s">
        <v>50</v>
      </c>
      <c r="G4264" s="2">
        <v>45495</v>
      </c>
      <c r="H4264" s="3">
        <f t="shared" si="66"/>
        <v>1.7315068493150685</v>
      </c>
      <c r="I4264">
        <v>3</v>
      </c>
      <c r="J4264" t="s">
        <v>38</v>
      </c>
      <c r="K4264" t="s">
        <v>56</v>
      </c>
      <c r="L4264" t="s">
        <v>44</v>
      </c>
      <c r="M4264">
        <v>8.4700000000000006</v>
      </c>
      <c r="T4264" t="s">
        <v>52</v>
      </c>
      <c r="U4264">
        <v>2</v>
      </c>
      <c r="V4264">
        <v>6</v>
      </c>
    </row>
    <row r="4265" spans="1:22" x14ac:dyDescent="0.3">
      <c r="A4265">
        <v>4264</v>
      </c>
      <c r="B4265">
        <v>54723</v>
      </c>
      <c r="C4265" s="2">
        <v>38435</v>
      </c>
      <c r="D4265">
        <v>20</v>
      </c>
      <c r="E4265" t="s">
        <v>42</v>
      </c>
      <c r="F4265" t="s">
        <v>50</v>
      </c>
      <c r="G4265" s="2">
        <v>45390</v>
      </c>
      <c r="H4265" s="3">
        <f t="shared" si="66"/>
        <v>1.6273972602739726</v>
      </c>
      <c r="I4265">
        <v>3</v>
      </c>
      <c r="J4265" t="s">
        <v>38</v>
      </c>
      <c r="K4265" t="s">
        <v>56</v>
      </c>
      <c r="L4265" t="s">
        <v>44</v>
      </c>
      <c r="M4265">
        <v>8.4700000000000006</v>
      </c>
      <c r="T4265" t="s">
        <v>45</v>
      </c>
      <c r="U4265">
        <v>2</v>
      </c>
      <c r="V4265">
        <v>6</v>
      </c>
    </row>
    <row r="4266" spans="1:22" x14ac:dyDescent="0.3">
      <c r="A4266">
        <v>4265</v>
      </c>
      <c r="B4266">
        <v>54724</v>
      </c>
      <c r="C4266" s="2">
        <v>38931</v>
      </c>
      <c r="D4266">
        <v>19</v>
      </c>
      <c r="E4266" t="s">
        <v>42</v>
      </c>
      <c r="F4266" t="s">
        <v>50</v>
      </c>
      <c r="G4266" s="2">
        <v>45428</v>
      </c>
      <c r="H4266" s="3">
        <f t="shared" si="66"/>
        <v>1.2054794520547945</v>
      </c>
      <c r="I4266">
        <v>5</v>
      </c>
      <c r="J4266" t="s">
        <v>38</v>
      </c>
      <c r="K4266" t="s">
        <v>56</v>
      </c>
      <c r="L4266" t="s">
        <v>44</v>
      </c>
      <c r="M4266">
        <v>8.4700000000000006</v>
      </c>
      <c r="T4266" t="s">
        <v>49</v>
      </c>
      <c r="U4266">
        <v>1</v>
      </c>
      <c r="V4266">
        <v>6</v>
      </c>
    </row>
    <row r="4267" spans="1:22" x14ac:dyDescent="0.3">
      <c r="A4267">
        <v>4266</v>
      </c>
      <c r="B4267">
        <v>54725</v>
      </c>
      <c r="C4267" s="2">
        <v>38713</v>
      </c>
      <c r="D4267">
        <v>20</v>
      </c>
      <c r="E4267" t="s">
        <v>42</v>
      </c>
      <c r="F4267" t="s">
        <v>50</v>
      </c>
      <c r="G4267" s="2">
        <v>45582</v>
      </c>
      <c r="H4267" s="3">
        <f t="shared" si="66"/>
        <v>1.6328767123287671</v>
      </c>
      <c r="I4267">
        <v>7</v>
      </c>
      <c r="J4267" t="s">
        <v>38</v>
      </c>
      <c r="K4267" t="s">
        <v>56</v>
      </c>
      <c r="L4267" t="s">
        <v>44</v>
      </c>
      <c r="M4267">
        <v>8.4700000000000006</v>
      </c>
      <c r="T4267" t="s">
        <v>47</v>
      </c>
      <c r="U4267">
        <v>2</v>
      </c>
      <c r="V4267">
        <v>7</v>
      </c>
    </row>
    <row r="4268" spans="1:22" x14ac:dyDescent="0.3">
      <c r="A4268">
        <v>4267</v>
      </c>
      <c r="B4268">
        <v>54726</v>
      </c>
      <c r="C4268" s="2">
        <v>37771</v>
      </c>
      <c r="D4268">
        <v>22</v>
      </c>
      <c r="E4268" t="s">
        <v>36</v>
      </c>
      <c r="F4268" t="s">
        <v>50</v>
      </c>
      <c r="G4268" s="2">
        <v>45426</v>
      </c>
      <c r="H4268" s="3">
        <f t="shared" si="66"/>
        <v>1.3452054794520547</v>
      </c>
      <c r="I4268">
        <v>8</v>
      </c>
      <c r="J4268" t="s">
        <v>38</v>
      </c>
      <c r="K4268" t="s">
        <v>48</v>
      </c>
      <c r="L4268" t="s">
        <v>44</v>
      </c>
      <c r="M4268">
        <v>8.4700000000000006</v>
      </c>
      <c r="T4268" t="s">
        <v>52</v>
      </c>
      <c r="U4268">
        <v>0</v>
      </c>
      <c r="V4268">
        <v>3</v>
      </c>
    </row>
    <row r="4269" spans="1:22" x14ac:dyDescent="0.3">
      <c r="A4269">
        <v>4268</v>
      </c>
      <c r="B4269">
        <v>54727</v>
      </c>
      <c r="C4269" s="2">
        <v>34684</v>
      </c>
      <c r="D4269">
        <v>31</v>
      </c>
      <c r="E4269" t="s">
        <v>42</v>
      </c>
      <c r="F4269" t="s">
        <v>50</v>
      </c>
      <c r="G4269" s="2">
        <v>45531</v>
      </c>
      <c r="H4269" s="3">
        <f t="shared" si="66"/>
        <v>1.3452054794520547</v>
      </c>
      <c r="I4269">
        <v>8</v>
      </c>
      <c r="J4269" t="s">
        <v>38</v>
      </c>
      <c r="K4269" t="s">
        <v>55</v>
      </c>
      <c r="L4269" t="s">
        <v>44</v>
      </c>
      <c r="M4269">
        <v>17.59</v>
      </c>
      <c r="T4269" t="s">
        <v>49</v>
      </c>
      <c r="U4269">
        <v>2</v>
      </c>
      <c r="V4269">
        <v>6</v>
      </c>
    </row>
    <row r="4270" spans="1:22" x14ac:dyDescent="0.3">
      <c r="A4270">
        <v>4269</v>
      </c>
      <c r="B4270">
        <v>54728</v>
      </c>
      <c r="C4270" s="2">
        <v>38054</v>
      </c>
      <c r="D4270">
        <v>21</v>
      </c>
      <c r="E4270" t="s">
        <v>36</v>
      </c>
      <c r="F4270" t="s">
        <v>50</v>
      </c>
      <c r="G4270" s="2">
        <v>45531</v>
      </c>
      <c r="H4270" s="3">
        <f t="shared" si="66"/>
        <v>1.4246575342465753</v>
      </c>
      <c r="I4270">
        <v>11</v>
      </c>
      <c r="J4270" t="s">
        <v>38</v>
      </c>
      <c r="K4270" t="s">
        <v>65</v>
      </c>
      <c r="L4270" t="s">
        <v>44</v>
      </c>
      <c r="M4270">
        <v>10.64</v>
      </c>
      <c r="T4270" t="s">
        <v>45</v>
      </c>
      <c r="U4270">
        <v>0</v>
      </c>
      <c r="V4270">
        <v>3</v>
      </c>
    </row>
    <row r="4271" spans="1:22" x14ac:dyDescent="0.3">
      <c r="A4271">
        <v>4270</v>
      </c>
      <c r="B4271">
        <v>54729</v>
      </c>
      <c r="C4271" s="2">
        <v>37845</v>
      </c>
      <c r="D4271">
        <v>22</v>
      </c>
      <c r="E4271" t="s">
        <v>36</v>
      </c>
      <c r="F4271" t="s">
        <v>50</v>
      </c>
      <c r="G4271" s="2">
        <v>45502</v>
      </c>
      <c r="H4271" s="3">
        <f t="shared" si="66"/>
        <v>1.1178082191780823</v>
      </c>
      <c r="I4271">
        <v>11</v>
      </c>
      <c r="J4271" t="s">
        <v>38</v>
      </c>
      <c r="K4271" t="s">
        <v>46</v>
      </c>
      <c r="L4271" t="s">
        <v>44</v>
      </c>
      <c r="M4271">
        <v>14.23</v>
      </c>
      <c r="T4271" t="s">
        <v>45</v>
      </c>
      <c r="U4271">
        <v>1</v>
      </c>
      <c r="V4271">
        <v>4</v>
      </c>
    </row>
    <row r="4272" spans="1:22" x14ac:dyDescent="0.3">
      <c r="A4272">
        <v>4271</v>
      </c>
      <c r="B4272">
        <v>54730</v>
      </c>
      <c r="C4272" s="2">
        <v>37460</v>
      </c>
      <c r="D4272">
        <v>23</v>
      </c>
      <c r="E4272" t="s">
        <v>36</v>
      </c>
      <c r="F4272" t="s">
        <v>37</v>
      </c>
      <c r="G4272" s="2">
        <v>45614</v>
      </c>
      <c r="H4272" s="3">
        <f t="shared" si="66"/>
        <v>1.7123287671232876</v>
      </c>
      <c r="I4272">
        <v>11</v>
      </c>
      <c r="J4272" t="s">
        <v>38</v>
      </c>
      <c r="K4272" t="s">
        <v>55</v>
      </c>
      <c r="L4272" t="s">
        <v>44</v>
      </c>
      <c r="M4272">
        <v>17.59</v>
      </c>
      <c r="T4272" t="s">
        <v>45</v>
      </c>
      <c r="U4272">
        <v>2</v>
      </c>
      <c r="V4272">
        <v>4</v>
      </c>
    </row>
    <row r="4273" spans="1:22" x14ac:dyDescent="0.3">
      <c r="A4273">
        <v>4272</v>
      </c>
      <c r="B4273">
        <v>54731</v>
      </c>
      <c r="C4273" s="2">
        <v>38876</v>
      </c>
      <c r="D4273">
        <v>19</v>
      </c>
      <c r="E4273" t="s">
        <v>42</v>
      </c>
      <c r="F4273" t="s">
        <v>50</v>
      </c>
      <c r="G4273" s="2">
        <v>45397</v>
      </c>
      <c r="H4273" s="3">
        <f t="shared" si="66"/>
        <v>1.1452054794520548</v>
      </c>
      <c r="I4273">
        <v>12</v>
      </c>
      <c r="J4273" t="s">
        <v>38</v>
      </c>
      <c r="K4273" t="s">
        <v>56</v>
      </c>
      <c r="L4273" t="s">
        <v>44</v>
      </c>
      <c r="M4273">
        <v>8.4700000000000006</v>
      </c>
      <c r="T4273" t="s">
        <v>45</v>
      </c>
      <c r="U4273">
        <v>1</v>
      </c>
      <c r="V4273">
        <v>7</v>
      </c>
    </row>
    <row r="4274" spans="1:22" x14ac:dyDescent="0.3">
      <c r="A4274">
        <v>4273</v>
      </c>
      <c r="B4274">
        <v>54733</v>
      </c>
      <c r="C4274" s="2">
        <v>38093</v>
      </c>
      <c r="D4274">
        <v>21</v>
      </c>
      <c r="E4274" t="s">
        <v>42</v>
      </c>
      <c r="F4274" t="s">
        <v>50</v>
      </c>
      <c r="G4274" s="2">
        <v>45604</v>
      </c>
      <c r="H4274" s="3">
        <f t="shared" si="66"/>
        <v>1.2</v>
      </c>
      <c r="I4274">
        <v>12</v>
      </c>
      <c r="J4274" t="s">
        <v>38</v>
      </c>
      <c r="K4274" t="s">
        <v>56</v>
      </c>
      <c r="L4274" t="s">
        <v>44</v>
      </c>
      <c r="M4274">
        <v>8.4700000000000006</v>
      </c>
      <c r="T4274" t="s">
        <v>52</v>
      </c>
      <c r="U4274">
        <v>0</v>
      </c>
      <c r="V4274">
        <v>5</v>
      </c>
    </row>
    <row r="4275" spans="1:22" x14ac:dyDescent="0.3">
      <c r="A4275">
        <v>4274</v>
      </c>
      <c r="B4275">
        <v>54734</v>
      </c>
      <c r="C4275" s="2">
        <v>34807</v>
      </c>
      <c r="D4275">
        <v>30</v>
      </c>
      <c r="E4275" t="s">
        <v>36</v>
      </c>
      <c r="F4275" t="s">
        <v>37</v>
      </c>
      <c r="G4275" s="2">
        <v>45584</v>
      </c>
      <c r="H4275" s="3">
        <f t="shared" si="66"/>
        <v>1.7917808219178082</v>
      </c>
      <c r="I4275">
        <v>14</v>
      </c>
      <c r="J4275" t="s">
        <v>38</v>
      </c>
      <c r="K4275" t="s">
        <v>54</v>
      </c>
      <c r="L4275" t="s">
        <v>44</v>
      </c>
      <c r="M4275">
        <v>23.78</v>
      </c>
      <c r="T4275" t="s">
        <v>49</v>
      </c>
      <c r="U4275">
        <v>3</v>
      </c>
      <c r="V4275">
        <v>4</v>
      </c>
    </row>
    <row r="4276" spans="1:22" x14ac:dyDescent="0.3">
      <c r="A4276">
        <v>4275</v>
      </c>
      <c r="B4276">
        <v>54735</v>
      </c>
      <c r="C4276" s="2">
        <v>37570</v>
      </c>
      <c r="D4276">
        <v>23</v>
      </c>
      <c r="E4276" t="s">
        <v>42</v>
      </c>
      <c r="F4276" t="s">
        <v>50</v>
      </c>
      <c r="G4276" s="2">
        <v>45368</v>
      </c>
      <c r="H4276" s="3">
        <f t="shared" si="66"/>
        <v>1.2136986301369863</v>
      </c>
      <c r="I4276">
        <v>15</v>
      </c>
      <c r="J4276" t="s">
        <v>38</v>
      </c>
      <c r="K4276" t="s">
        <v>65</v>
      </c>
      <c r="L4276" t="s">
        <v>44</v>
      </c>
      <c r="M4276">
        <v>10.64</v>
      </c>
      <c r="T4276" t="s">
        <v>45</v>
      </c>
      <c r="U4276">
        <v>0</v>
      </c>
      <c r="V4276">
        <v>5</v>
      </c>
    </row>
    <row r="4277" spans="1:22" x14ac:dyDescent="0.3">
      <c r="A4277">
        <v>4276</v>
      </c>
      <c r="B4277">
        <v>54736</v>
      </c>
      <c r="C4277" s="2">
        <v>38831</v>
      </c>
      <c r="D4277">
        <v>19</v>
      </c>
      <c r="E4277" t="s">
        <v>42</v>
      </c>
      <c r="F4277" t="s">
        <v>50</v>
      </c>
      <c r="G4277" s="2">
        <v>45579</v>
      </c>
      <c r="H4277" s="3">
        <f t="shared" si="66"/>
        <v>1.3452054794520547</v>
      </c>
      <c r="I4277">
        <v>17</v>
      </c>
      <c r="J4277" t="s">
        <v>38</v>
      </c>
      <c r="K4277" t="s">
        <v>65</v>
      </c>
      <c r="L4277" t="s">
        <v>44</v>
      </c>
      <c r="M4277">
        <v>10.64</v>
      </c>
      <c r="T4277" t="s">
        <v>49</v>
      </c>
      <c r="U4277">
        <v>1</v>
      </c>
      <c r="V4277">
        <v>5</v>
      </c>
    </row>
    <row r="4278" spans="1:22" x14ac:dyDescent="0.3">
      <c r="A4278">
        <v>4277</v>
      </c>
      <c r="B4278">
        <v>54737</v>
      </c>
      <c r="C4278" s="2">
        <v>37936</v>
      </c>
      <c r="D4278">
        <v>22</v>
      </c>
      <c r="E4278" t="s">
        <v>42</v>
      </c>
      <c r="F4278" t="s">
        <v>50</v>
      </c>
      <c r="G4278" s="2">
        <v>45531</v>
      </c>
      <c r="H4278" s="3">
        <f t="shared" si="66"/>
        <v>1.3808219178082193</v>
      </c>
      <c r="I4278">
        <v>19</v>
      </c>
      <c r="J4278" t="s">
        <v>38</v>
      </c>
      <c r="K4278" t="s">
        <v>56</v>
      </c>
      <c r="L4278" t="s">
        <v>44</v>
      </c>
      <c r="M4278">
        <v>8.4700000000000006</v>
      </c>
      <c r="T4278" t="s">
        <v>47</v>
      </c>
      <c r="U4278">
        <v>2</v>
      </c>
      <c r="V4278">
        <v>6</v>
      </c>
    </row>
    <row r="4279" spans="1:22" x14ac:dyDescent="0.3">
      <c r="A4279">
        <v>4278</v>
      </c>
      <c r="B4279">
        <v>54738</v>
      </c>
      <c r="C4279" s="2">
        <v>37996</v>
      </c>
      <c r="D4279">
        <v>21</v>
      </c>
      <c r="E4279" t="s">
        <v>36</v>
      </c>
      <c r="F4279" t="s">
        <v>50</v>
      </c>
      <c r="G4279" s="2">
        <v>45518</v>
      </c>
      <c r="H4279" s="3">
        <f t="shared" si="66"/>
        <v>1.2356164383561643</v>
      </c>
      <c r="I4279">
        <v>20</v>
      </c>
      <c r="J4279" t="s">
        <v>38</v>
      </c>
      <c r="K4279" t="s">
        <v>65</v>
      </c>
      <c r="L4279" t="s">
        <v>44</v>
      </c>
      <c r="M4279">
        <v>10.64</v>
      </c>
      <c r="T4279" t="s">
        <v>52</v>
      </c>
      <c r="U4279">
        <v>1</v>
      </c>
      <c r="V4279">
        <v>4</v>
      </c>
    </row>
    <row r="4280" spans="1:22" x14ac:dyDescent="0.3">
      <c r="A4280">
        <v>4279</v>
      </c>
      <c r="B4280">
        <v>54739</v>
      </c>
      <c r="C4280" s="2">
        <v>36998</v>
      </c>
      <c r="D4280">
        <v>24</v>
      </c>
      <c r="E4280" t="s">
        <v>42</v>
      </c>
      <c r="F4280" t="s">
        <v>37</v>
      </c>
      <c r="G4280" s="2">
        <v>45571</v>
      </c>
      <c r="H4280" s="3">
        <f t="shared" si="66"/>
        <v>1.5315068493150685</v>
      </c>
      <c r="I4280">
        <v>21</v>
      </c>
      <c r="J4280" t="s">
        <v>38</v>
      </c>
      <c r="K4280" t="s">
        <v>56</v>
      </c>
      <c r="L4280" t="s">
        <v>44</v>
      </c>
      <c r="M4280">
        <v>8.4700000000000006</v>
      </c>
      <c r="T4280" t="s">
        <v>45</v>
      </c>
      <c r="U4280">
        <v>2</v>
      </c>
      <c r="V4280">
        <v>6</v>
      </c>
    </row>
    <row r="4281" spans="1:22" x14ac:dyDescent="0.3">
      <c r="A4281">
        <v>4280</v>
      </c>
      <c r="B4281">
        <v>54740</v>
      </c>
      <c r="C4281" s="2">
        <v>37680</v>
      </c>
      <c r="D4281">
        <v>22</v>
      </c>
      <c r="E4281" t="s">
        <v>42</v>
      </c>
      <c r="F4281" t="s">
        <v>50</v>
      </c>
      <c r="G4281" s="2">
        <v>45463</v>
      </c>
      <c r="H4281" s="3">
        <f t="shared" si="66"/>
        <v>1.4931506849315068</v>
      </c>
      <c r="I4281">
        <v>23</v>
      </c>
      <c r="J4281" t="s">
        <v>38</v>
      </c>
      <c r="K4281" t="s">
        <v>68</v>
      </c>
      <c r="L4281" t="s">
        <v>44</v>
      </c>
      <c r="M4281">
        <v>17</v>
      </c>
      <c r="T4281" t="s">
        <v>45</v>
      </c>
      <c r="U4281">
        <v>2</v>
      </c>
      <c r="V4281">
        <v>6</v>
      </c>
    </row>
    <row r="4282" spans="1:22" x14ac:dyDescent="0.3">
      <c r="A4282">
        <v>4281</v>
      </c>
      <c r="B4282">
        <v>54741</v>
      </c>
      <c r="C4282" s="2">
        <v>36249</v>
      </c>
      <c r="D4282">
        <v>26</v>
      </c>
      <c r="E4282" t="s">
        <v>36</v>
      </c>
      <c r="F4282" t="s">
        <v>50</v>
      </c>
      <c r="G4282" s="2">
        <v>45477</v>
      </c>
      <c r="H4282" s="3">
        <f t="shared" si="66"/>
        <v>1.8246575342465754</v>
      </c>
      <c r="I4282">
        <v>24</v>
      </c>
      <c r="J4282" t="s">
        <v>38</v>
      </c>
      <c r="K4282" t="s">
        <v>55</v>
      </c>
      <c r="L4282" t="s">
        <v>44</v>
      </c>
      <c r="M4282">
        <v>17.59</v>
      </c>
      <c r="T4282" t="s">
        <v>49</v>
      </c>
      <c r="U4282">
        <v>1</v>
      </c>
      <c r="V4282">
        <v>4</v>
      </c>
    </row>
    <row r="4283" spans="1:22" x14ac:dyDescent="0.3">
      <c r="A4283">
        <v>4282</v>
      </c>
      <c r="B4283">
        <v>54742</v>
      </c>
      <c r="C4283" s="2">
        <v>37540</v>
      </c>
      <c r="D4283">
        <v>23</v>
      </c>
      <c r="E4283" t="s">
        <v>42</v>
      </c>
      <c r="F4283" t="s">
        <v>50</v>
      </c>
      <c r="G4283" s="2">
        <v>45356</v>
      </c>
      <c r="H4283" s="3">
        <f t="shared" si="66"/>
        <v>1.5342465753424657</v>
      </c>
      <c r="I4283">
        <v>28</v>
      </c>
      <c r="J4283" t="s">
        <v>38</v>
      </c>
      <c r="K4283" t="s">
        <v>65</v>
      </c>
      <c r="L4283" t="s">
        <v>44</v>
      </c>
      <c r="M4283">
        <v>10.64</v>
      </c>
      <c r="T4283" t="s">
        <v>47</v>
      </c>
      <c r="U4283">
        <v>1</v>
      </c>
      <c r="V4283">
        <v>6</v>
      </c>
    </row>
    <row r="4284" spans="1:22" x14ac:dyDescent="0.3">
      <c r="A4284">
        <v>4283</v>
      </c>
      <c r="B4284">
        <v>54743</v>
      </c>
      <c r="C4284" s="2">
        <v>37417</v>
      </c>
      <c r="D4284">
        <v>23</v>
      </c>
      <c r="E4284" t="s">
        <v>36</v>
      </c>
      <c r="F4284" t="s">
        <v>50</v>
      </c>
      <c r="G4284" s="2">
        <v>45462</v>
      </c>
      <c r="H4284" s="3">
        <f t="shared" si="66"/>
        <v>1.6904109589041096</v>
      </c>
      <c r="I4284">
        <v>28</v>
      </c>
      <c r="J4284" t="s">
        <v>38</v>
      </c>
      <c r="K4284" t="s">
        <v>46</v>
      </c>
      <c r="L4284" t="s">
        <v>44</v>
      </c>
      <c r="M4284">
        <v>14.23</v>
      </c>
      <c r="T4284" t="s">
        <v>45</v>
      </c>
      <c r="U4284">
        <v>0</v>
      </c>
      <c r="V4284">
        <v>5</v>
      </c>
    </row>
    <row r="4285" spans="1:22" x14ac:dyDescent="0.3">
      <c r="A4285">
        <v>4284</v>
      </c>
      <c r="B4285">
        <v>54744</v>
      </c>
      <c r="C4285" s="2">
        <v>39044</v>
      </c>
      <c r="D4285">
        <v>19</v>
      </c>
      <c r="E4285" t="s">
        <v>42</v>
      </c>
      <c r="F4285" t="s">
        <v>50</v>
      </c>
      <c r="G4285" s="2">
        <v>45405</v>
      </c>
      <c r="H4285" s="3">
        <f t="shared" si="66"/>
        <v>1.3232876712328767</v>
      </c>
      <c r="I4285">
        <v>29</v>
      </c>
      <c r="J4285" t="s">
        <v>38</v>
      </c>
      <c r="K4285" t="s">
        <v>56</v>
      </c>
      <c r="L4285" t="s">
        <v>44</v>
      </c>
      <c r="M4285">
        <v>8.4700000000000006</v>
      </c>
      <c r="T4285" t="s">
        <v>47</v>
      </c>
      <c r="U4285">
        <v>3</v>
      </c>
      <c r="V4285">
        <v>6</v>
      </c>
    </row>
    <row r="4286" spans="1:22" x14ac:dyDescent="0.3">
      <c r="A4286">
        <v>4285</v>
      </c>
      <c r="B4286">
        <v>54745</v>
      </c>
      <c r="C4286" s="2">
        <v>35772</v>
      </c>
      <c r="D4286">
        <v>28</v>
      </c>
      <c r="E4286" t="s">
        <v>42</v>
      </c>
      <c r="F4286" t="s">
        <v>50</v>
      </c>
      <c r="G4286" s="2">
        <v>45539</v>
      </c>
      <c r="H4286" s="3">
        <f t="shared" si="66"/>
        <v>1.3095890410958904</v>
      </c>
      <c r="I4286">
        <v>30</v>
      </c>
      <c r="J4286" t="s">
        <v>38</v>
      </c>
      <c r="K4286" t="s">
        <v>48</v>
      </c>
      <c r="L4286" t="s">
        <v>44</v>
      </c>
      <c r="M4286">
        <v>8.4700000000000006</v>
      </c>
      <c r="T4286" t="s">
        <v>45</v>
      </c>
      <c r="U4286">
        <v>2</v>
      </c>
      <c r="V4286">
        <v>7</v>
      </c>
    </row>
    <row r="4287" spans="1:22" x14ac:dyDescent="0.3">
      <c r="A4287">
        <v>4286</v>
      </c>
      <c r="B4287">
        <v>54746</v>
      </c>
      <c r="C4287" s="2">
        <v>33592</v>
      </c>
      <c r="D4287">
        <v>34</v>
      </c>
      <c r="E4287" t="s">
        <v>42</v>
      </c>
      <c r="F4287" t="s">
        <v>50</v>
      </c>
      <c r="G4287" s="2">
        <v>45544</v>
      </c>
      <c r="H4287" s="3">
        <f t="shared" si="66"/>
        <v>1.4136986301369863</v>
      </c>
      <c r="I4287">
        <v>31</v>
      </c>
      <c r="J4287" t="s">
        <v>38</v>
      </c>
      <c r="K4287" t="s">
        <v>46</v>
      </c>
      <c r="L4287" t="s">
        <v>44</v>
      </c>
      <c r="M4287">
        <v>14.23</v>
      </c>
      <c r="T4287" t="s">
        <v>49</v>
      </c>
      <c r="U4287">
        <v>0</v>
      </c>
      <c r="V4287">
        <v>5</v>
      </c>
    </row>
    <row r="4288" spans="1:22" x14ac:dyDescent="0.3">
      <c r="A4288">
        <v>4287</v>
      </c>
      <c r="B4288">
        <v>54747</v>
      </c>
      <c r="C4288" s="2">
        <v>38702</v>
      </c>
      <c r="D4288">
        <v>20</v>
      </c>
      <c r="E4288" t="s">
        <v>42</v>
      </c>
      <c r="F4288" t="s">
        <v>37</v>
      </c>
      <c r="G4288" s="2">
        <v>45506</v>
      </c>
      <c r="H4288" s="3">
        <f t="shared" si="66"/>
        <v>1.295890410958904</v>
      </c>
      <c r="I4288">
        <v>34</v>
      </c>
      <c r="J4288" t="s">
        <v>38</v>
      </c>
      <c r="K4288" t="s">
        <v>56</v>
      </c>
      <c r="L4288" t="s">
        <v>44</v>
      </c>
      <c r="M4288">
        <v>8.4700000000000006</v>
      </c>
      <c r="T4288" t="s">
        <v>52</v>
      </c>
      <c r="U4288">
        <v>2</v>
      </c>
      <c r="V4288">
        <v>6</v>
      </c>
    </row>
    <row r="4289" spans="1:22" x14ac:dyDescent="0.3">
      <c r="A4289">
        <v>4288</v>
      </c>
      <c r="B4289">
        <v>54748</v>
      </c>
      <c r="C4289" s="2">
        <v>38224</v>
      </c>
      <c r="D4289">
        <v>21</v>
      </c>
      <c r="E4289" t="s">
        <v>42</v>
      </c>
      <c r="F4289" t="s">
        <v>50</v>
      </c>
      <c r="G4289" s="2">
        <v>45549</v>
      </c>
      <c r="H4289" s="3">
        <f t="shared" si="66"/>
        <v>1.0191780821917809</v>
      </c>
      <c r="I4289">
        <v>36</v>
      </c>
      <c r="J4289" t="s">
        <v>38</v>
      </c>
      <c r="K4289" t="s">
        <v>56</v>
      </c>
      <c r="L4289" t="s">
        <v>44</v>
      </c>
      <c r="M4289">
        <v>8.4700000000000006</v>
      </c>
      <c r="T4289" t="s">
        <v>47</v>
      </c>
      <c r="U4289">
        <v>2</v>
      </c>
      <c r="V4289">
        <v>7</v>
      </c>
    </row>
    <row r="4290" spans="1:22" x14ac:dyDescent="0.3">
      <c r="A4290">
        <v>4289</v>
      </c>
      <c r="B4290">
        <v>54749</v>
      </c>
      <c r="C4290" s="2">
        <v>38279</v>
      </c>
      <c r="D4290">
        <v>21</v>
      </c>
      <c r="E4290" t="s">
        <v>42</v>
      </c>
      <c r="F4290" t="s">
        <v>50</v>
      </c>
      <c r="G4290" s="2">
        <v>45650</v>
      </c>
      <c r="H4290" s="3">
        <f t="shared" si="66"/>
        <v>1.0246575342465754</v>
      </c>
      <c r="I4290">
        <v>37</v>
      </c>
      <c r="J4290" t="s">
        <v>38</v>
      </c>
      <c r="K4290" t="s">
        <v>56</v>
      </c>
      <c r="L4290" t="s">
        <v>44</v>
      </c>
      <c r="M4290">
        <v>8.4700000000000006</v>
      </c>
      <c r="T4290" t="s">
        <v>45</v>
      </c>
      <c r="U4290">
        <v>2</v>
      </c>
      <c r="V4290">
        <v>6</v>
      </c>
    </row>
    <row r="4291" spans="1:22" x14ac:dyDescent="0.3">
      <c r="A4291">
        <v>4290</v>
      </c>
      <c r="B4291">
        <v>54750</v>
      </c>
      <c r="C4291" s="2">
        <v>38246</v>
      </c>
      <c r="D4291">
        <v>21</v>
      </c>
      <c r="E4291" t="s">
        <v>36</v>
      </c>
      <c r="F4291" t="s">
        <v>50</v>
      </c>
      <c r="G4291" s="2">
        <v>45648</v>
      </c>
      <c r="H4291" s="3">
        <f t="shared" ref="H4291:H4354" si="67">DATEDIF(G4292,DATE(2025,12,31),"d")/365</f>
        <v>1.3260273972602741</v>
      </c>
      <c r="I4291">
        <v>40</v>
      </c>
      <c r="J4291" t="s">
        <v>38</v>
      </c>
      <c r="K4291" t="s">
        <v>64</v>
      </c>
      <c r="L4291" t="s">
        <v>44</v>
      </c>
      <c r="M4291">
        <v>14.07</v>
      </c>
      <c r="T4291" t="s">
        <v>45</v>
      </c>
      <c r="U4291">
        <v>1</v>
      </c>
      <c r="V4291">
        <v>6</v>
      </c>
    </row>
    <row r="4292" spans="1:22" x14ac:dyDescent="0.3">
      <c r="A4292">
        <v>4291</v>
      </c>
      <c r="B4292">
        <v>54751</v>
      </c>
      <c r="C4292" s="2">
        <v>38583</v>
      </c>
      <c r="D4292">
        <v>20</v>
      </c>
      <c r="E4292" t="s">
        <v>42</v>
      </c>
      <c r="F4292" t="s">
        <v>50</v>
      </c>
      <c r="G4292" s="2">
        <v>45538</v>
      </c>
      <c r="H4292" s="3">
        <f t="shared" si="67"/>
        <v>1.3452054794520547</v>
      </c>
      <c r="I4292">
        <v>40</v>
      </c>
      <c r="J4292" t="s">
        <v>38</v>
      </c>
      <c r="K4292" t="s">
        <v>48</v>
      </c>
      <c r="L4292" t="s">
        <v>44</v>
      </c>
      <c r="M4292">
        <v>8.4700000000000006</v>
      </c>
      <c r="T4292" t="s">
        <v>52</v>
      </c>
      <c r="U4292">
        <v>2</v>
      </c>
      <c r="V4292">
        <v>7</v>
      </c>
    </row>
    <row r="4293" spans="1:22" x14ac:dyDescent="0.3">
      <c r="A4293">
        <v>4292</v>
      </c>
      <c r="B4293">
        <v>54752</v>
      </c>
      <c r="C4293" s="2">
        <v>35382</v>
      </c>
      <c r="D4293">
        <v>29</v>
      </c>
      <c r="E4293" t="s">
        <v>42</v>
      </c>
      <c r="F4293" t="s">
        <v>50</v>
      </c>
      <c r="G4293" s="2">
        <v>45531</v>
      </c>
      <c r="H4293" s="3">
        <f t="shared" si="67"/>
        <v>1.5808219178082192</v>
      </c>
      <c r="I4293">
        <v>40</v>
      </c>
      <c r="J4293" t="s">
        <v>38</v>
      </c>
      <c r="K4293" t="s">
        <v>56</v>
      </c>
      <c r="L4293" t="s">
        <v>44</v>
      </c>
      <c r="M4293">
        <v>8.4700000000000006</v>
      </c>
      <c r="T4293" t="s">
        <v>52</v>
      </c>
      <c r="U4293">
        <v>2</v>
      </c>
      <c r="V4293">
        <v>7</v>
      </c>
    </row>
    <row r="4294" spans="1:22" x14ac:dyDescent="0.3">
      <c r="A4294">
        <v>4293</v>
      </c>
      <c r="B4294">
        <v>54753</v>
      </c>
      <c r="C4294" s="2">
        <v>36083</v>
      </c>
      <c r="D4294">
        <v>27</v>
      </c>
      <c r="E4294" t="s">
        <v>36</v>
      </c>
      <c r="F4294" t="s">
        <v>50</v>
      </c>
      <c r="G4294" s="2">
        <v>45445</v>
      </c>
      <c r="H4294" s="3">
        <f t="shared" si="67"/>
        <v>1.1917808219178083</v>
      </c>
      <c r="I4294">
        <v>41</v>
      </c>
      <c r="J4294" t="s">
        <v>38</v>
      </c>
      <c r="K4294" t="s">
        <v>68</v>
      </c>
      <c r="L4294" t="s">
        <v>44</v>
      </c>
      <c r="M4294">
        <v>17</v>
      </c>
      <c r="T4294" t="s">
        <v>45</v>
      </c>
      <c r="U4294">
        <v>3</v>
      </c>
      <c r="V4294">
        <v>6</v>
      </c>
    </row>
    <row r="4295" spans="1:22" x14ac:dyDescent="0.3">
      <c r="A4295">
        <v>4294</v>
      </c>
      <c r="B4295">
        <v>54754</v>
      </c>
      <c r="C4295" s="2">
        <v>38096</v>
      </c>
      <c r="D4295">
        <v>21</v>
      </c>
      <c r="E4295" t="s">
        <v>42</v>
      </c>
      <c r="F4295" t="s">
        <v>50</v>
      </c>
      <c r="G4295" s="2">
        <v>45587</v>
      </c>
      <c r="H4295" s="3">
        <f t="shared" si="67"/>
        <v>1.0383561643835617</v>
      </c>
      <c r="I4295">
        <v>41</v>
      </c>
      <c r="J4295" t="s">
        <v>38</v>
      </c>
      <c r="K4295" t="s">
        <v>56</v>
      </c>
      <c r="L4295" t="s">
        <v>44</v>
      </c>
      <c r="M4295">
        <v>8.4700000000000006</v>
      </c>
      <c r="T4295" t="s">
        <v>52</v>
      </c>
      <c r="U4295">
        <v>2</v>
      </c>
      <c r="V4295">
        <v>6</v>
      </c>
    </row>
    <row r="4296" spans="1:22" x14ac:dyDescent="0.3">
      <c r="A4296">
        <v>4295</v>
      </c>
      <c r="B4296">
        <v>54755</v>
      </c>
      <c r="C4296" s="2">
        <v>37185</v>
      </c>
      <c r="D4296">
        <v>24</v>
      </c>
      <c r="E4296" t="s">
        <v>42</v>
      </c>
      <c r="F4296" t="s">
        <v>50</v>
      </c>
      <c r="G4296" s="2">
        <v>45643</v>
      </c>
      <c r="H4296" s="3">
        <f t="shared" si="67"/>
        <v>1.4712328767123288</v>
      </c>
      <c r="I4296">
        <v>47</v>
      </c>
      <c r="J4296" t="s">
        <v>38</v>
      </c>
      <c r="K4296" t="s">
        <v>46</v>
      </c>
      <c r="L4296" t="s">
        <v>44</v>
      </c>
      <c r="M4296">
        <v>14.23</v>
      </c>
      <c r="T4296" t="s">
        <v>49</v>
      </c>
      <c r="U4296">
        <v>1</v>
      </c>
      <c r="V4296">
        <v>6</v>
      </c>
    </row>
    <row r="4297" spans="1:22" x14ac:dyDescent="0.3">
      <c r="A4297">
        <v>4296</v>
      </c>
      <c r="B4297">
        <v>54756</v>
      </c>
      <c r="C4297" s="2">
        <v>38015</v>
      </c>
      <c r="D4297">
        <v>21</v>
      </c>
      <c r="E4297" t="s">
        <v>42</v>
      </c>
      <c r="F4297" t="s">
        <v>50</v>
      </c>
      <c r="G4297" s="2">
        <v>45485</v>
      </c>
      <c r="H4297" s="3">
        <f t="shared" si="67"/>
        <v>1.5315068493150685</v>
      </c>
      <c r="I4297">
        <v>47</v>
      </c>
      <c r="J4297" t="s">
        <v>38</v>
      </c>
      <c r="K4297" t="s">
        <v>48</v>
      </c>
      <c r="L4297" t="s">
        <v>44</v>
      </c>
      <c r="M4297">
        <v>8.4700000000000006</v>
      </c>
      <c r="T4297" t="s">
        <v>52</v>
      </c>
      <c r="U4297">
        <v>1</v>
      </c>
      <c r="V4297">
        <v>7</v>
      </c>
    </row>
    <row r="4298" spans="1:22" x14ac:dyDescent="0.3">
      <c r="A4298">
        <v>4297</v>
      </c>
      <c r="B4298">
        <v>54757</v>
      </c>
      <c r="C4298" s="2">
        <v>36162</v>
      </c>
      <c r="D4298">
        <v>26</v>
      </c>
      <c r="E4298" t="s">
        <v>42</v>
      </c>
      <c r="F4298" t="s">
        <v>50</v>
      </c>
      <c r="G4298" s="2">
        <v>45463</v>
      </c>
      <c r="H4298" s="3">
        <f t="shared" si="67"/>
        <v>1.5753424657534247</v>
      </c>
      <c r="I4298">
        <v>48</v>
      </c>
      <c r="J4298" t="s">
        <v>38</v>
      </c>
      <c r="K4298" t="s">
        <v>68</v>
      </c>
      <c r="L4298" t="s">
        <v>44</v>
      </c>
      <c r="M4298">
        <v>17</v>
      </c>
      <c r="T4298" t="s">
        <v>45</v>
      </c>
      <c r="U4298">
        <v>4</v>
      </c>
      <c r="V4298">
        <v>7</v>
      </c>
    </row>
    <row r="4299" spans="1:22" x14ac:dyDescent="0.3">
      <c r="A4299">
        <v>4298</v>
      </c>
      <c r="B4299">
        <v>54758</v>
      </c>
      <c r="C4299" s="2">
        <v>37884</v>
      </c>
      <c r="D4299">
        <v>22</v>
      </c>
      <c r="E4299" t="s">
        <v>42</v>
      </c>
      <c r="F4299" t="s">
        <v>50</v>
      </c>
      <c r="G4299" s="2">
        <v>45447</v>
      </c>
      <c r="H4299" s="3">
        <f t="shared" si="67"/>
        <v>1.547945205479452</v>
      </c>
      <c r="I4299">
        <v>48</v>
      </c>
      <c r="J4299" t="s">
        <v>38</v>
      </c>
      <c r="K4299" t="s">
        <v>56</v>
      </c>
      <c r="L4299" t="s">
        <v>44</v>
      </c>
      <c r="M4299">
        <v>8.4700000000000006</v>
      </c>
      <c r="T4299" t="s">
        <v>47</v>
      </c>
      <c r="U4299">
        <v>1</v>
      </c>
      <c r="V4299">
        <v>6</v>
      </c>
    </row>
    <row r="4300" spans="1:22" x14ac:dyDescent="0.3">
      <c r="A4300">
        <v>4299</v>
      </c>
      <c r="B4300">
        <v>54759</v>
      </c>
      <c r="C4300" s="2">
        <v>38139</v>
      </c>
      <c r="D4300">
        <v>22</v>
      </c>
      <c r="E4300" t="s">
        <v>42</v>
      </c>
      <c r="F4300" t="s">
        <v>50</v>
      </c>
      <c r="G4300" s="2">
        <v>45457</v>
      </c>
      <c r="H4300" s="3">
        <f t="shared" si="67"/>
        <v>1.3041095890410959</v>
      </c>
      <c r="I4300">
        <v>48</v>
      </c>
      <c r="J4300" t="s">
        <v>38</v>
      </c>
      <c r="K4300" t="s">
        <v>56</v>
      </c>
      <c r="L4300" t="s">
        <v>44</v>
      </c>
      <c r="M4300">
        <v>8.4700000000000006</v>
      </c>
      <c r="T4300" t="s">
        <v>47</v>
      </c>
      <c r="U4300">
        <v>1</v>
      </c>
      <c r="V4300">
        <v>5</v>
      </c>
    </row>
    <row r="4301" spans="1:22" x14ac:dyDescent="0.3">
      <c r="A4301">
        <v>4300</v>
      </c>
      <c r="B4301">
        <v>54760</v>
      </c>
      <c r="C4301" s="2">
        <v>38211</v>
      </c>
      <c r="D4301">
        <v>21</v>
      </c>
      <c r="E4301" t="s">
        <v>42</v>
      </c>
      <c r="F4301" t="s">
        <v>50</v>
      </c>
      <c r="G4301" s="2">
        <v>45546</v>
      </c>
      <c r="H4301" s="3">
        <f t="shared" si="67"/>
        <v>1.484931506849315</v>
      </c>
      <c r="I4301">
        <v>48</v>
      </c>
      <c r="J4301" t="s">
        <v>38</v>
      </c>
      <c r="K4301" t="s">
        <v>56</v>
      </c>
      <c r="L4301" t="s">
        <v>44</v>
      </c>
      <c r="M4301">
        <v>8.4700000000000006</v>
      </c>
      <c r="T4301" t="s">
        <v>52</v>
      </c>
      <c r="U4301">
        <v>0</v>
      </c>
      <c r="V4301">
        <v>6</v>
      </c>
    </row>
    <row r="4302" spans="1:22" x14ac:dyDescent="0.3">
      <c r="A4302">
        <v>4301</v>
      </c>
      <c r="B4302">
        <v>54761</v>
      </c>
      <c r="C4302" s="2">
        <v>38140</v>
      </c>
      <c r="D4302">
        <v>21</v>
      </c>
      <c r="E4302" t="s">
        <v>36</v>
      </c>
      <c r="F4302" t="s">
        <v>50</v>
      </c>
      <c r="G4302" s="2">
        <v>45480</v>
      </c>
      <c r="H4302" s="3">
        <f t="shared" si="67"/>
        <v>1.0273972602739727</v>
      </c>
      <c r="I4302">
        <v>49</v>
      </c>
      <c r="J4302" t="s">
        <v>38</v>
      </c>
      <c r="K4302" t="s">
        <v>56</v>
      </c>
      <c r="L4302" t="s">
        <v>44</v>
      </c>
      <c r="M4302">
        <v>8.4700000000000006</v>
      </c>
      <c r="T4302" t="s">
        <v>52</v>
      </c>
      <c r="U4302">
        <v>2</v>
      </c>
      <c r="V4302">
        <v>6</v>
      </c>
    </row>
    <row r="4303" spans="1:22" x14ac:dyDescent="0.3">
      <c r="A4303">
        <v>4302</v>
      </c>
      <c r="B4303">
        <v>54762</v>
      </c>
      <c r="C4303" s="2">
        <v>38699</v>
      </c>
      <c r="D4303">
        <v>20</v>
      </c>
      <c r="E4303" t="s">
        <v>42</v>
      </c>
      <c r="F4303" t="s">
        <v>50</v>
      </c>
      <c r="G4303" s="2">
        <v>45647</v>
      </c>
      <c r="H4303" s="3">
        <f t="shared" si="67"/>
        <v>1.4493150684931506</v>
      </c>
      <c r="I4303">
        <v>49</v>
      </c>
      <c r="J4303" t="s">
        <v>38</v>
      </c>
      <c r="K4303" t="s">
        <v>56</v>
      </c>
      <c r="L4303" t="s">
        <v>44</v>
      </c>
      <c r="M4303">
        <v>8.4700000000000006</v>
      </c>
      <c r="T4303" t="s">
        <v>49</v>
      </c>
      <c r="U4303">
        <v>2</v>
      </c>
      <c r="V4303">
        <v>7</v>
      </c>
    </row>
    <row r="4304" spans="1:22" x14ac:dyDescent="0.3">
      <c r="A4304">
        <v>4303</v>
      </c>
      <c r="B4304">
        <v>54763</v>
      </c>
      <c r="C4304" s="2">
        <v>36961</v>
      </c>
      <c r="D4304">
        <v>24</v>
      </c>
      <c r="E4304" t="s">
        <v>42</v>
      </c>
      <c r="F4304" t="s">
        <v>37</v>
      </c>
      <c r="G4304" s="2">
        <v>45493</v>
      </c>
      <c r="H4304" s="3">
        <f t="shared" si="67"/>
        <v>1.2438356164383562</v>
      </c>
      <c r="I4304">
        <v>51</v>
      </c>
      <c r="J4304" t="s">
        <v>38</v>
      </c>
      <c r="K4304" t="s">
        <v>48</v>
      </c>
      <c r="L4304" t="s">
        <v>44</v>
      </c>
      <c r="M4304">
        <v>8.4700000000000006</v>
      </c>
      <c r="T4304" t="s">
        <v>47</v>
      </c>
      <c r="U4304">
        <v>2</v>
      </c>
      <c r="V4304">
        <v>6</v>
      </c>
    </row>
    <row r="4305" spans="1:22" x14ac:dyDescent="0.3">
      <c r="A4305">
        <v>4304</v>
      </c>
      <c r="B4305">
        <v>54765</v>
      </c>
      <c r="C4305" s="2">
        <v>36705</v>
      </c>
      <c r="D4305">
        <v>25</v>
      </c>
      <c r="E4305" t="s">
        <v>42</v>
      </c>
      <c r="F4305" t="s">
        <v>50</v>
      </c>
      <c r="G4305" s="2">
        <v>45568</v>
      </c>
      <c r="H4305" s="3">
        <f t="shared" si="67"/>
        <v>1.4657534246575343</v>
      </c>
      <c r="I4305">
        <v>57</v>
      </c>
      <c r="J4305" t="s">
        <v>38</v>
      </c>
      <c r="K4305" t="s">
        <v>68</v>
      </c>
      <c r="L4305" t="s">
        <v>44</v>
      </c>
      <c r="M4305">
        <v>17</v>
      </c>
      <c r="T4305" t="s">
        <v>49</v>
      </c>
      <c r="U4305">
        <v>1</v>
      </c>
      <c r="V4305">
        <v>6</v>
      </c>
    </row>
    <row r="4306" spans="1:22" x14ac:dyDescent="0.3">
      <c r="A4306">
        <v>4305</v>
      </c>
      <c r="B4306">
        <v>54766</v>
      </c>
      <c r="C4306" s="2">
        <v>37517</v>
      </c>
      <c r="D4306">
        <v>23</v>
      </c>
      <c r="E4306" t="s">
        <v>42</v>
      </c>
      <c r="F4306" t="s">
        <v>50</v>
      </c>
      <c r="G4306" s="2">
        <v>45487</v>
      </c>
      <c r="H4306" s="3">
        <f t="shared" si="67"/>
        <v>1.6383561643835616</v>
      </c>
      <c r="I4306">
        <v>57</v>
      </c>
      <c r="J4306" t="s">
        <v>38</v>
      </c>
      <c r="K4306" t="s">
        <v>56</v>
      </c>
      <c r="L4306" t="s">
        <v>44</v>
      </c>
      <c r="M4306">
        <v>8.4700000000000006</v>
      </c>
      <c r="T4306" t="s">
        <v>45</v>
      </c>
      <c r="U4306">
        <v>0</v>
      </c>
      <c r="V4306">
        <v>6</v>
      </c>
    </row>
    <row r="4307" spans="1:22" x14ac:dyDescent="0.3">
      <c r="A4307">
        <v>4306</v>
      </c>
      <c r="B4307">
        <v>54767</v>
      </c>
      <c r="C4307" s="2">
        <v>37345</v>
      </c>
      <c r="D4307">
        <v>23</v>
      </c>
      <c r="E4307" t="s">
        <v>42</v>
      </c>
      <c r="F4307" t="s">
        <v>37</v>
      </c>
      <c r="G4307" s="2">
        <v>45424</v>
      </c>
      <c r="H4307" s="3">
        <f t="shared" si="67"/>
        <v>1.3698630136986301</v>
      </c>
      <c r="I4307">
        <v>57</v>
      </c>
      <c r="J4307" t="s">
        <v>38</v>
      </c>
      <c r="K4307" t="s">
        <v>56</v>
      </c>
      <c r="L4307" t="s">
        <v>44</v>
      </c>
      <c r="M4307">
        <v>8.4700000000000006</v>
      </c>
      <c r="T4307" t="s">
        <v>52</v>
      </c>
      <c r="U4307">
        <v>1</v>
      </c>
      <c r="V4307">
        <v>7</v>
      </c>
    </row>
    <row r="4308" spans="1:22" x14ac:dyDescent="0.3">
      <c r="A4308">
        <v>4307</v>
      </c>
      <c r="B4308">
        <v>54768</v>
      </c>
      <c r="C4308" s="2">
        <v>38903</v>
      </c>
      <c r="D4308">
        <v>19</v>
      </c>
      <c r="E4308" t="s">
        <v>42</v>
      </c>
      <c r="F4308" t="s">
        <v>50</v>
      </c>
      <c r="G4308" s="2">
        <v>45522</v>
      </c>
      <c r="H4308" s="3">
        <f t="shared" si="67"/>
        <v>1.3780821917808219</v>
      </c>
      <c r="I4308">
        <v>58</v>
      </c>
      <c r="J4308" t="s">
        <v>38</v>
      </c>
      <c r="K4308" t="s">
        <v>64</v>
      </c>
      <c r="L4308" t="s">
        <v>44</v>
      </c>
      <c r="M4308">
        <v>14.07</v>
      </c>
      <c r="T4308" t="s">
        <v>52</v>
      </c>
      <c r="U4308">
        <v>0</v>
      </c>
      <c r="V4308">
        <v>7</v>
      </c>
    </row>
    <row r="4309" spans="1:22" x14ac:dyDescent="0.3">
      <c r="A4309">
        <v>4308</v>
      </c>
      <c r="B4309">
        <v>54769</v>
      </c>
      <c r="C4309" s="2">
        <v>36682</v>
      </c>
      <c r="D4309">
        <v>25</v>
      </c>
      <c r="E4309" t="s">
        <v>36</v>
      </c>
      <c r="F4309" t="s">
        <v>50</v>
      </c>
      <c r="G4309" s="2">
        <v>45519</v>
      </c>
      <c r="H4309" s="3">
        <f t="shared" si="67"/>
        <v>1.6904109589041096</v>
      </c>
      <c r="I4309">
        <v>60</v>
      </c>
      <c r="J4309" t="s">
        <v>38</v>
      </c>
      <c r="K4309" t="s">
        <v>55</v>
      </c>
      <c r="L4309" t="s">
        <v>44</v>
      </c>
      <c r="M4309">
        <v>17.59</v>
      </c>
      <c r="T4309" t="s">
        <v>45</v>
      </c>
      <c r="U4309">
        <v>2</v>
      </c>
      <c r="V4309">
        <v>5</v>
      </c>
    </row>
    <row r="4310" spans="1:22" x14ac:dyDescent="0.3">
      <c r="A4310">
        <v>4309</v>
      </c>
      <c r="B4310">
        <v>54770</v>
      </c>
      <c r="C4310" s="2">
        <v>38610</v>
      </c>
      <c r="D4310">
        <v>20</v>
      </c>
      <c r="E4310" t="s">
        <v>42</v>
      </c>
      <c r="F4310" t="s">
        <v>50</v>
      </c>
      <c r="G4310" s="2">
        <v>45405</v>
      </c>
      <c r="H4310" s="3">
        <f t="shared" si="67"/>
        <v>1.2328767123287672</v>
      </c>
      <c r="I4310">
        <v>60</v>
      </c>
      <c r="J4310" t="s">
        <v>38</v>
      </c>
      <c r="K4310" t="s">
        <v>56</v>
      </c>
      <c r="L4310" t="s">
        <v>44</v>
      </c>
      <c r="M4310">
        <v>8.4700000000000006</v>
      </c>
      <c r="T4310" t="s">
        <v>52</v>
      </c>
      <c r="U4310">
        <v>2</v>
      </c>
      <c r="V4310">
        <v>6</v>
      </c>
    </row>
    <row r="4311" spans="1:22" x14ac:dyDescent="0.3">
      <c r="A4311">
        <v>4310</v>
      </c>
      <c r="B4311">
        <v>54771</v>
      </c>
      <c r="C4311" s="2">
        <v>39268</v>
      </c>
      <c r="D4311">
        <v>18</v>
      </c>
      <c r="E4311" t="s">
        <v>36</v>
      </c>
      <c r="F4311" t="s">
        <v>50</v>
      </c>
      <c r="G4311" s="2">
        <v>45572</v>
      </c>
      <c r="H4311" s="3">
        <f t="shared" si="67"/>
        <v>1.6794520547945206</v>
      </c>
      <c r="I4311">
        <v>61</v>
      </c>
      <c r="J4311" t="s">
        <v>38</v>
      </c>
      <c r="K4311" t="s">
        <v>48</v>
      </c>
      <c r="L4311" t="s">
        <v>44</v>
      </c>
      <c r="M4311">
        <v>8.4700000000000006</v>
      </c>
      <c r="T4311" t="s">
        <v>45</v>
      </c>
      <c r="U4311">
        <v>3</v>
      </c>
      <c r="V4311">
        <v>3</v>
      </c>
    </row>
    <row r="4312" spans="1:22" x14ac:dyDescent="0.3">
      <c r="A4312">
        <v>4311</v>
      </c>
      <c r="B4312">
        <v>54773</v>
      </c>
      <c r="C4312" s="2">
        <v>35031</v>
      </c>
      <c r="D4312">
        <v>30</v>
      </c>
      <c r="E4312" t="s">
        <v>42</v>
      </c>
      <c r="F4312" t="s">
        <v>50</v>
      </c>
      <c r="G4312" s="2">
        <v>45409</v>
      </c>
      <c r="H4312" s="3">
        <f t="shared" si="67"/>
        <v>1.1123287671232878</v>
      </c>
      <c r="I4312">
        <v>63</v>
      </c>
      <c r="J4312" t="s">
        <v>38</v>
      </c>
      <c r="K4312" t="s">
        <v>56</v>
      </c>
      <c r="L4312" t="s">
        <v>44</v>
      </c>
      <c r="M4312">
        <v>8.4700000000000006</v>
      </c>
      <c r="T4312" t="s">
        <v>47</v>
      </c>
      <c r="U4312">
        <v>3</v>
      </c>
      <c r="V4312">
        <v>7</v>
      </c>
    </row>
    <row r="4313" spans="1:22" x14ac:dyDescent="0.3">
      <c r="A4313">
        <v>4312</v>
      </c>
      <c r="B4313">
        <v>54775</v>
      </c>
      <c r="C4313" s="2">
        <v>37581</v>
      </c>
      <c r="D4313">
        <v>23</v>
      </c>
      <c r="E4313" t="s">
        <v>42</v>
      </c>
      <c r="F4313" t="s">
        <v>50</v>
      </c>
      <c r="G4313" s="2">
        <v>45616</v>
      </c>
      <c r="H4313" s="3">
        <f t="shared" si="67"/>
        <v>1.832876712328767</v>
      </c>
      <c r="I4313">
        <v>67</v>
      </c>
      <c r="J4313" t="s">
        <v>57</v>
      </c>
      <c r="K4313" t="s">
        <v>56</v>
      </c>
      <c r="L4313" t="s">
        <v>44</v>
      </c>
      <c r="M4313">
        <v>8.4700000000000006</v>
      </c>
      <c r="T4313" t="s">
        <v>45</v>
      </c>
      <c r="U4313">
        <v>2</v>
      </c>
      <c r="V4313">
        <v>6</v>
      </c>
    </row>
    <row r="4314" spans="1:22" x14ac:dyDescent="0.3">
      <c r="A4314">
        <v>4313</v>
      </c>
      <c r="B4314">
        <v>54776</v>
      </c>
      <c r="C4314" s="2">
        <v>38797</v>
      </c>
      <c r="D4314">
        <v>19</v>
      </c>
      <c r="E4314" t="s">
        <v>42</v>
      </c>
      <c r="F4314" t="s">
        <v>37</v>
      </c>
      <c r="G4314" s="2">
        <v>45353</v>
      </c>
      <c r="H4314" s="3">
        <f t="shared" si="67"/>
        <v>1.6712328767123288</v>
      </c>
      <c r="I4314">
        <v>68</v>
      </c>
      <c r="J4314" t="s">
        <v>57</v>
      </c>
      <c r="K4314" t="s">
        <v>56</v>
      </c>
      <c r="L4314" t="s">
        <v>44</v>
      </c>
      <c r="M4314">
        <v>8.4700000000000006</v>
      </c>
      <c r="T4314" t="s">
        <v>52</v>
      </c>
      <c r="U4314">
        <v>1</v>
      </c>
      <c r="V4314">
        <v>5</v>
      </c>
    </row>
    <row r="4315" spans="1:22" x14ac:dyDescent="0.3">
      <c r="A4315">
        <v>4314</v>
      </c>
      <c r="B4315">
        <v>54777</v>
      </c>
      <c r="C4315" s="2">
        <v>38956</v>
      </c>
      <c r="D4315">
        <v>19</v>
      </c>
      <c r="E4315" t="s">
        <v>42</v>
      </c>
      <c r="F4315" t="s">
        <v>37</v>
      </c>
      <c r="G4315" s="2">
        <v>45412</v>
      </c>
      <c r="H4315" s="3">
        <f t="shared" si="67"/>
        <v>1.5287671232876712</v>
      </c>
      <c r="I4315">
        <v>68</v>
      </c>
      <c r="J4315" t="s">
        <v>57</v>
      </c>
      <c r="K4315" t="s">
        <v>56</v>
      </c>
      <c r="L4315" t="s">
        <v>44</v>
      </c>
      <c r="M4315">
        <v>8.4700000000000006</v>
      </c>
      <c r="T4315" t="s">
        <v>45</v>
      </c>
      <c r="U4315">
        <v>4</v>
      </c>
      <c r="V4315">
        <v>6</v>
      </c>
    </row>
    <row r="4316" spans="1:22" x14ac:dyDescent="0.3">
      <c r="A4316">
        <v>4315</v>
      </c>
      <c r="B4316">
        <v>54778</v>
      </c>
      <c r="C4316" s="2">
        <v>38749</v>
      </c>
      <c r="D4316">
        <v>20</v>
      </c>
      <c r="E4316" t="s">
        <v>42</v>
      </c>
      <c r="F4316" t="s">
        <v>50</v>
      </c>
      <c r="G4316" s="2">
        <v>45464</v>
      </c>
      <c r="H4316" s="3">
        <f t="shared" si="67"/>
        <v>1.7205479452054795</v>
      </c>
      <c r="I4316">
        <v>68</v>
      </c>
      <c r="J4316" t="s">
        <v>57</v>
      </c>
      <c r="K4316" t="s">
        <v>56</v>
      </c>
      <c r="L4316" t="s">
        <v>44</v>
      </c>
      <c r="M4316">
        <v>8.4700000000000006</v>
      </c>
      <c r="T4316" t="s">
        <v>47</v>
      </c>
      <c r="U4316">
        <v>1</v>
      </c>
      <c r="V4316">
        <v>6</v>
      </c>
    </row>
    <row r="4317" spans="1:22" x14ac:dyDescent="0.3">
      <c r="A4317">
        <v>4316</v>
      </c>
      <c r="B4317">
        <v>54779</v>
      </c>
      <c r="C4317" s="2">
        <v>38621</v>
      </c>
      <c r="D4317">
        <v>20</v>
      </c>
      <c r="E4317" t="s">
        <v>42</v>
      </c>
      <c r="F4317" t="s">
        <v>50</v>
      </c>
      <c r="G4317" s="2">
        <v>45394</v>
      </c>
      <c r="H4317" s="3">
        <f t="shared" si="67"/>
        <v>1.1945205479452055</v>
      </c>
      <c r="I4317">
        <v>75</v>
      </c>
      <c r="J4317" t="s">
        <v>57</v>
      </c>
      <c r="K4317" t="s">
        <v>56</v>
      </c>
      <c r="L4317" t="s">
        <v>44</v>
      </c>
      <c r="M4317">
        <v>8.4700000000000006</v>
      </c>
      <c r="T4317" t="s">
        <v>47</v>
      </c>
      <c r="U4317">
        <v>2</v>
      </c>
      <c r="V4317">
        <v>7</v>
      </c>
    </row>
    <row r="4318" spans="1:22" x14ac:dyDescent="0.3">
      <c r="A4318">
        <v>4317</v>
      </c>
      <c r="B4318">
        <v>54780</v>
      </c>
      <c r="C4318" s="2">
        <v>38159</v>
      </c>
      <c r="D4318">
        <v>21</v>
      </c>
      <c r="E4318" t="s">
        <v>36</v>
      </c>
      <c r="F4318" t="s">
        <v>37</v>
      </c>
      <c r="G4318" s="2">
        <v>45586</v>
      </c>
      <c r="H4318" s="3">
        <f t="shared" si="67"/>
        <v>1.3452054794520547</v>
      </c>
      <c r="I4318">
        <v>77</v>
      </c>
      <c r="J4318" t="s">
        <v>57</v>
      </c>
      <c r="K4318" t="s">
        <v>56</v>
      </c>
      <c r="L4318" t="s">
        <v>44</v>
      </c>
      <c r="M4318">
        <v>8.4700000000000006</v>
      </c>
      <c r="T4318" t="s">
        <v>52</v>
      </c>
      <c r="U4318">
        <v>3</v>
      </c>
      <c r="V4318">
        <v>3</v>
      </c>
    </row>
    <row r="4319" spans="1:22" x14ac:dyDescent="0.3">
      <c r="A4319">
        <v>4318</v>
      </c>
      <c r="B4319">
        <v>54782</v>
      </c>
      <c r="C4319" s="2">
        <v>37019</v>
      </c>
      <c r="D4319">
        <v>24</v>
      </c>
      <c r="E4319" t="s">
        <v>36</v>
      </c>
      <c r="F4319" t="s">
        <v>37</v>
      </c>
      <c r="G4319" s="2">
        <v>45531</v>
      </c>
      <c r="H4319" s="3">
        <f t="shared" si="67"/>
        <v>1.4794520547945205</v>
      </c>
      <c r="I4319">
        <v>78</v>
      </c>
      <c r="J4319" t="s">
        <v>57</v>
      </c>
      <c r="K4319" t="s">
        <v>55</v>
      </c>
      <c r="L4319" t="s">
        <v>44</v>
      </c>
      <c r="M4319">
        <v>17.59</v>
      </c>
      <c r="T4319" t="s">
        <v>49</v>
      </c>
      <c r="U4319">
        <v>2</v>
      </c>
      <c r="V4319">
        <v>4</v>
      </c>
    </row>
    <row r="4320" spans="1:22" x14ac:dyDescent="0.3">
      <c r="A4320">
        <v>4319</v>
      </c>
      <c r="B4320">
        <v>54783</v>
      </c>
      <c r="C4320" s="2">
        <v>38108</v>
      </c>
      <c r="D4320">
        <v>22</v>
      </c>
      <c r="E4320" t="s">
        <v>42</v>
      </c>
      <c r="F4320" t="s">
        <v>37</v>
      </c>
      <c r="G4320" s="2">
        <v>45482</v>
      </c>
      <c r="H4320" s="3">
        <f t="shared" si="67"/>
        <v>1.2164383561643837</v>
      </c>
      <c r="I4320">
        <v>78</v>
      </c>
      <c r="J4320" t="s">
        <v>57</v>
      </c>
      <c r="K4320" t="s">
        <v>56</v>
      </c>
      <c r="L4320" t="s">
        <v>44</v>
      </c>
      <c r="M4320">
        <v>8.4700000000000006</v>
      </c>
      <c r="T4320" t="s">
        <v>49</v>
      </c>
      <c r="U4320">
        <v>2</v>
      </c>
      <c r="V4320">
        <v>5</v>
      </c>
    </row>
    <row r="4321" spans="1:22" x14ac:dyDescent="0.3">
      <c r="A4321">
        <v>4320</v>
      </c>
      <c r="B4321">
        <v>54784</v>
      </c>
      <c r="C4321" s="2">
        <v>37962</v>
      </c>
      <c r="D4321">
        <v>22</v>
      </c>
      <c r="E4321" t="s">
        <v>36</v>
      </c>
      <c r="F4321" t="s">
        <v>37</v>
      </c>
      <c r="G4321" s="2">
        <v>45578</v>
      </c>
      <c r="H4321" s="3">
        <f t="shared" si="67"/>
        <v>1.2684931506849315</v>
      </c>
      <c r="I4321">
        <v>79</v>
      </c>
      <c r="J4321" t="s">
        <v>57</v>
      </c>
      <c r="K4321" t="s">
        <v>55</v>
      </c>
      <c r="L4321" t="s">
        <v>44</v>
      </c>
      <c r="M4321">
        <v>17.59</v>
      </c>
      <c r="T4321" t="s">
        <v>47</v>
      </c>
      <c r="U4321">
        <v>2</v>
      </c>
      <c r="V4321">
        <v>4</v>
      </c>
    </row>
    <row r="4322" spans="1:22" x14ac:dyDescent="0.3">
      <c r="A4322">
        <v>4321</v>
      </c>
      <c r="B4322">
        <v>54785</v>
      </c>
      <c r="C4322" s="2">
        <v>37751</v>
      </c>
      <c r="D4322">
        <v>22</v>
      </c>
      <c r="E4322" t="s">
        <v>42</v>
      </c>
      <c r="F4322" t="s">
        <v>50</v>
      </c>
      <c r="G4322" s="2">
        <v>45559</v>
      </c>
      <c r="H4322" s="3">
        <f t="shared" si="67"/>
        <v>1.1726027397260275</v>
      </c>
      <c r="I4322">
        <v>80</v>
      </c>
      <c r="J4322" t="s">
        <v>57</v>
      </c>
      <c r="K4322" t="s">
        <v>46</v>
      </c>
      <c r="L4322" t="s">
        <v>44</v>
      </c>
      <c r="M4322">
        <v>14.23</v>
      </c>
      <c r="T4322" t="s">
        <v>47</v>
      </c>
      <c r="U4322">
        <v>0</v>
      </c>
      <c r="V4322">
        <v>6</v>
      </c>
    </row>
    <row r="4323" spans="1:22" x14ac:dyDescent="0.3">
      <c r="A4323">
        <v>4322</v>
      </c>
      <c r="B4323">
        <v>54786</v>
      </c>
      <c r="C4323" s="2">
        <v>38898</v>
      </c>
      <c r="D4323">
        <v>19</v>
      </c>
      <c r="E4323" t="s">
        <v>42</v>
      </c>
      <c r="F4323" t="s">
        <v>37</v>
      </c>
      <c r="G4323" s="2">
        <v>45594</v>
      </c>
      <c r="H4323" s="3">
        <f t="shared" si="67"/>
        <v>1.0301369863013699</v>
      </c>
      <c r="I4323">
        <v>82</v>
      </c>
      <c r="J4323" t="s">
        <v>57</v>
      </c>
      <c r="K4323" t="s">
        <v>56</v>
      </c>
      <c r="L4323" t="s">
        <v>44</v>
      </c>
      <c r="M4323">
        <v>8.4700000000000006</v>
      </c>
      <c r="T4323" t="s">
        <v>52</v>
      </c>
      <c r="U4323">
        <v>4</v>
      </c>
      <c r="V4323">
        <v>7</v>
      </c>
    </row>
    <row r="4324" spans="1:22" x14ac:dyDescent="0.3">
      <c r="A4324">
        <v>4323</v>
      </c>
      <c r="B4324">
        <v>54787</v>
      </c>
      <c r="C4324" s="2">
        <v>34973</v>
      </c>
      <c r="D4324">
        <v>31</v>
      </c>
      <c r="E4324" t="s">
        <v>42</v>
      </c>
      <c r="F4324" t="s">
        <v>37</v>
      </c>
      <c r="G4324" s="2">
        <v>45646</v>
      </c>
      <c r="H4324" s="3">
        <f t="shared" si="67"/>
        <v>1.5808219178082192</v>
      </c>
      <c r="I4324">
        <v>83</v>
      </c>
      <c r="J4324" t="s">
        <v>57</v>
      </c>
      <c r="K4324" t="s">
        <v>56</v>
      </c>
      <c r="L4324" t="s">
        <v>44</v>
      </c>
      <c r="M4324">
        <v>8.4700000000000006</v>
      </c>
      <c r="T4324" t="s">
        <v>52</v>
      </c>
      <c r="U4324">
        <v>1</v>
      </c>
      <c r="V4324">
        <v>5</v>
      </c>
    </row>
    <row r="4325" spans="1:22" x14ac:dyDescent="0.3">
      <c r="A4325">
        <v>4324</v>
      </c>
      <c r="B4325">
        <v>54788</v>
      </c>
      <c r="C4325" s="2">
        <v>35957</v>
      </c>
      <c r="D4325">
        <v>27</v>
      </c>
      <c r="E4325" t="s">
        <v>42</v>
      </c>
      <c r="F4325" t="s">
        <v>50</v>
      </c>
      <c r="G4325" s="2">
        <v>45445</v>
      </c>
      <c r="H4325" s="3">
        <f t="shared" si="67"/>
        <v>1.8273972602739725</v>
      </c>
      <c r="I4325">
        <v>85</v>
      </c>
      <c r="J4325" t="s">
        <v>57</v>
      </c>
      <c r="K4325" t="s">
        <v>56</v>
      </c>
      <c r="L4325" t="s">
        <v>44</v>
      </c>
      <c r="M4325">
        <v>8.4700000000000006</v>
      </c>
      <c r="T4325" t="s">
        <v>52</v>
      </c>
      <c r="U4325">
        <v>2</v>
      </c>
      <c r="V4325">
        <v>7</v>
      </c>
    </row>
    <row r="4326" spans="1:22" x14ac:dyDescent="0.3">
      <c r="A4326">
        <v>4325</v>
      </c>
      <c r="B4326">
        <v>54789</v>
      </c>
      <c r="C4326" s="2">
        <v>38159</v>
      </c>
      <c r="D4326">
        <v>21</v>
      </c>
      <c r="E4326" t="s">
        <v>42</v>
      </c>
      <c r="F4326" t="s">
        <v>50</v>
      </c>
      <c r="G4326" s="2">
        <v>45355</v>
      </c>
      <c r="H4326" s="3">
        <f t="shared" si="67"/>
        <v>1.3917808219178083</v>
      </c>
      <c r="I4326">
        <v>86</v>
      </c>
      <c r="J4326" t="s">
        <v>57</v>
      </c>
      <c r="K4326" t="s">
        <v>56</v>
      </c>
      <c r="L4326" t="s">
        <v>44</v>
      </c>
      <c r="M4326">
        <v>8.4700000000000006</v>
      </c>
      <c r="T4326" t="s">
        <v>49</v>
      </c>
      <c r="U4326">
        <v>4</v>
      </c>
      <c r="V4326">
        <v>6</v>
      </c>
    </row>
    <row r="4327" spans="1:22" x14ac:dyDescent="0.3">
      <c r="A4327">
        <v>4326</v>
      </c>
      <c r="B4327">
        <v>54790</v>
      </c>
      <c r="C4327" s="2">
        <v>38412</v>
      </c>
      <c r="D4327">
        <v>21</v>
      </c>
      <c r="E4327" t="s">
        <v>42</v>
      </c>
      <c r="F4327" t="s">
        <v>50</v>
      </c>
      <c r="G4327" s="2">
        <v>45514</v>
      </c>
      <c r="H4327" s="3">
        <f t="shared" si="67"/>
        <v>1.9095890410958904</v>
      </c>
      <c r="I4327">
        <v>86</v>
      </c>
      <c r="J4327" t="s">
        <v>57</v>
      </c>
      <c r="K4327" t="s">
        <v>56</v>
      </c>
      <c r="L4327" t="s">
        <v>44</v>
      </c>
      <c r="M4327">
        <v>8.4700000000000006</v>
      </c>
      <c r="T4327" t="s">
        <v>45</v>
      </c>
      <c r="U4327">
        <v>2</v>
      </c>
      <c r="V4327">
        <v>7</v>
      </c>
    </row>
    <row r="4328" spans="1:22" x14ac:dyDescent="0.3">
      <c r="A4328">
        <v>4327</v>
      </c>
      <c r="B4328">
        <v>54791</v>
      </c>
      <c r="C4328" s="2">
        <v>38566</v>
      </c>
      <c r="D4328">
        <v>20</v>
      </c>
      <c r="E4328" t="s">
        <v>42</v>
      </c>
      <c r="F4328" t="s">
        <v>50</v>
      </c>
      <c r="G4328" s="2">
        <v>45325</v>
      </c>
      <c r="H4328" s="3">
        <f t="shared" si="67"/>
        <v>1.5671232876712329</v>
      </c>
      <c r="I4328">
        <v>87</v>
      </c>
      <c r="J4328" t="s">
        <v>57</v>
      </c>
      <c r="K4328" t="s">
        <v>56</v>
      </c>
      <c r="L4328" t="s">
        <v>44</v>
      </c>
      <c r="M4328">
        <v>8.4700000000000006</v>
      </c>
      <c r="T4328" t="s">
        <v>45</v>
      </c>
      <c r="U4328">
        <v>2</v>
      </c>
      <c r="V4328">
        <v>6</v>
      </c>
    </row>
    <row r="4329" spans="1:22" x14ac:dyDescent="0.3">
      <c r="A4329">
        <v>4328</v>
      </c>
      <c r="B4329">
        <v>54792</v>
      </c>
      <c r="C4329" s="2">
        <v>38821</v>
      </c>
      <c r="D4329">
        <v>19</v>
      </c>
      <c r="E4329" t="s">
        <v>36</v>
      </c>
      <c r="F4329" t="s">
        <v>50</v>
      </c>
      <c r="G4329" s="2">
        <v>45450</v>
      </c>
      <c r="H4329" s="3">
        <f t="shared" si="67"/>
        <v>1.5671232876712329</v>
      </c>
      <c r="I4329">
        <v>89</v>
      </c>
      <c r="J4329" t="s">
        <v>57</v>
      </c>
      <c r="K4329" t="s">
        <v>64</v>
      </c>
      <c r="L4329" t="s">
        <v>44</v>
      </c>
      <c r="M4329">
        <v>14.07</v>
      </c>
      <c r="T4329" t="s">
        <v>47</v>
      </c>
      <c r="U4329">
        <v>0</v>
      </c>
      <c r="V4329">
        <v>4</v>
      </c>
    </row>
    <row r="4330" spans="1:22" x14ac:dyDescent="0.3">
      <c r="A4330">
        <v>4329</v>
      </c>
      <c r="B4330">
        <v>54793</v>
      </c>
      <c r="C4330" s="2">
        <v>33727</v>
      </c>
      <c r="D4330">
        <v>33</v>
      </c>
      <c r="E4330" t="s">
        <v>42</v>
      </c>
      <c r="F4330" t="s">
        <v>37</v>
      </c>
      <c r="G4330" s="2">
        <v>45450</v>
      </c>
      <c r="H4330" s="3">
        <f t="shared" si="67"/>
        <v>1.1205479452054794</v>
      </c>
      <c r="I4330">
        <v>89</v>
      </c>
      <c r="J4330" t="s">
        <v>57</v>
      </c>
      <c r="K4330" t="s">
        <v>48</v>
      </c>
      <c r="L4330" t="s">
        <v>44</v>
      </c>
      <c r="M4330">
        <v>8.4700000000000006</v>
      </c>
      <c r="T4330" t="s">
        <v>49</v>
      </c>
      <c r="U4330">
        <v>2</v>
      </c>
      <c r="V4330">
        <v>5</v>
      </c>
    </row>
    <row r="4331" spans="1:22" x14ac:dyDescent="0.3">
      <c r="A4331">
        <v>4330</v>
      </c>
      <c r="B4331">
        <v>54794</v>
      </c>
      <c r="C4331" s="2">
        <v>33937</v>
      </c>
      <c r="D4331">
        <v>33</v>
      </c>
      <c r="E4331" t="s">
        <v>42</v>
      </c>
      <c r="F4331" t="s">
        <v>37</v>
      </c>
      <c r="G4331" s="2">
        <v>45613</v>
      </c>
      <c r="H4331" s="3">
        <f t="shared" si="67"/>
        <v>1.5534246575342465</v>
      </c>
      <c r="I4331">
        <v>89</v>
      </c>
      <c r="J4331" t="s">
        <v>57</v>
      </c>
      <c r="K4331" t="s">
        <v>56</v>
      </c>
      <c r="L4331" t="s">
        <v>44</v>
      </c>
      <c r="M4331">
        <v>8.4700000000000006</v>
      </c>
      <c r="T4331" t="s">
        <v>52</v>
      </c>
      <c r="U4331">
        <v>1</v>
      </c>
      <c r="V4331">
        <v>6</v>
      </c>
    </row>
    <row r="4332" spans="1:22" x14ac:dyDescent="0.3">
      <c r="A4332">
        <v>4331</v>
      </c>
      <c r="B4332">
        <v>54795</v>
      </c>
      <c r="C4332" s="2">
        <v>36209</v>
      </c>
      <c r="D4332">
        <v>26</v>
      </c>
      <c r="E4332" t="s">
        <v>42</v>
      </c>
      <c r="F4332" t="s">
        <v>50</v>
      </c>
      <c r="G4332" s="2">
        <v>45455</v>
      </c>
      <c r="H4332" s="3">
        <f t="shared" si="67"/>
        <v>1.7589041095890412</v>
      </c>
      <c r="I4332">
        <v>91</v>
      </c>
      <c r="J4332" t="s">
        <v>57</v>
      </c>
      <c r="K4332" t="s">
        <v>68</v>
      </c>
      <c r="L4332" t="s">
        <v>44</v>
      </c>
      <c r="M4332">
        <v>17</v>
      </c>
      <c r="T4332" t="s">
        <v>49</v>
      </c>
      <c r="U4332">
        <v>2</v>
      </c>
      <c r="V4332">
        <v>6</v>
      </c>
    </row>
    <row r="4333" spans="1:22" x14ac:dyDescent="0.3">
      <c r="A4333">
        <v>4332</v>
      </c>
      <c r="B4333">
        <v>54796</v>
      </c>
      <c r="C4333" s="2">
        <v>37551</v>
      </c>
      <c r="D4333">
        <v>23</v>
      </c>
      <c r="E4333" t="s">
        <v>36</v>
      </c>
      <c r="F4333" t="s">
        <v>50</v>
      </c>
      <c r="G4333" s="2">
        <v>45380</v>
      </c>
      <c r="H4333" s="3">
        <f t="shared" si="67"/>
        <v>1.6904109589041096</v>
      </c>
      <c r="I4333">
        <v>91</v>
      </c>
      <c r="J4333" t="s">
        <v>57</v>
      </c>
      <c r="K4333" t="s">
        <v>64</v>
      </c>
      <c r="L4333" t="s">
        <v>44</v>
      </c>
      <c r="M4333">
        <v>14.07</v>
      </c>
      <c r="T4333" t="s">
        <v>47</v>
      </c>
      <c r="U4333">
        <v>1</v>
      </c>
      <c r="V4333">
        <v>4</v>
      </c>
    </row>
    <row r="4334" spans="1:22" x14ac:dyDescent="0.3">
      <c r="A4334">
        <v>4333</v>
      </c>
      <c r="B4334">
        <v>54797</v>
      </c>
      <c r="C4334" s="2">
        <v>38866</v>
      </c>
      <c r="D4334">
        <v>19</v>
      </c>
      <c r="E4334" t="s">
        <v>42</v>
      </c>
      <c r="F4334" t="s">
        <v>37</v>
      </c>
      <c r="G4334" s="2">
        <v>45405</v>
      </c>
      <c r="H4334" s="3">
        <f t="shared" si="67"/>
        <v>1.4438356164383561</v>
      </c>
      <c r="I4334">
        <v>91</v>
      </c>
      <c r="J4334" t="s">
        <v>57</v>
      </c>
      <c r="K4334" t="s">
        <v>56</v>
      </c>
      <c r="L4334" t="s">
        <v>44</v>
      </c>
      <c r="M4334">
        <v>8.4700000000000006</v>
      </c>
      <c r="T4334" t="s">
        <v>45</v>
      </c>
      <c r="U4334">
        <v>2</v>
      </c>
      <c r="V4334">
        <v>7</v>
      </c>
    </row>
    <row r="4335" spans="1:22" x14ac:dyDescent="0.3">
      <c r="A4335">
        <v>4334</v>
      </c>
      <c r="B4335">
        <v>54798</v>
      </c>
      <c r="C4335" s="2">
        <v>39069</v>
      </c>
      <c r="D4335">
        <v>19</v>
      </c>
      <c r="E4335" t="s">
        <v>42</v>
      </c>
      <c r="F4335" t="s">
        <v>50</v>
      </c>
      <c r="G4335" s="2">
        <v>45495</v>
      </c>
      <c r="H4335" s="3">
        <f t="shared" si="67"/>
        <v>1.8520547945205479</v>
      </c>
      <c r="I4335">
        <v>98</v>
      </c>
      <c r="J4335" t="s">
        <v>57</v>
      </c>
      <c r="K4335" t="s">
        <v>56</v>
      </c>
      <c r="L4335" t="s">
        <v>44</v>
      </c>
      <c r="M4335">
        <v>8.4700000000000006</v>
      </c>
      <c r="T4335" t="s">
        <v>52</v>
      </c>
      <c r="U4335">
        <v>4</v>
      </c>
      <c r="V4335">
        <v>5</v>
      </c>
    </row>
    <row r="4336" spans="1:22" x14ac:dyDescent="0.3">
      <c r="A4336">
        <v>4335</v>
      </c>
      <c r="B4336">
        <v>54799</v>
      </c>
      <c r="C4336" s="2">
        <v>38255</v>
      </c>
      <c r="D4336">
        <v>21</v>
      </c>
      <c r="E4336" t="s">
        <v>42</v>
      </c>
      <c r="F4336" t="s">
        <v>37</v>
      </c>
      <c r="G4336" s="2">
        <v>45346</v>
      </c>
      <c r="H4336" s="3">
        <f t="shared" si="67"/>
        <v>1.5972602739726027</v>
      </c>
      <c r="I4336">
        <v>98</v>
      </c>
      <c r="J4336" t="s">
        <v>57</v>
      </c>
      <c r="K4336" t="s">
        <v>56</v>
      </c>
      <c r="L4336" t="s">
        <v>44</v>
      </c>
      <c r="M4336">
        <v>8.4700000000000006</v>
      </c>
      <c r="T4336" t="s">
        <v>45</v>
      </c>
      <c r="U4336">
        <v>2</v>
      </c>
      <c r="V4336">
        <v>5</v>
      </c>
    </row>
    <row r="4337" spans="1:22" x14ac:dyDescent="0.3">
      <c r="A4337">
        <v>4336</v>
      </c>
      <c r="B4337">
        <v>54800</v>
      </c>
      <c r="C4337" s="2">
        <v>38895</v>
      </c>
      <c r="D4337">
        <v>19</v>
      </c>
      <c r="E4337" t="s">
        <v>42</v>
      </c>
      <c r="F4337" t="s">
        <v>37</v>
      </c>
      <c r="G4337" s="2">
        <v>45439</v>
      </c>
      <c r="H4337" s="3">
        <f t="shared" si="67"/>
        <v>1.0739726027397261</v>
      </c>
      <c r="I4337">
        <v>98</v>
      </c>
      <c r="J4337" t="s">
        <v>57</v>
      </c>
      <c r="K4337" t="s">
        <v>56</v>
      </c>
      <c r="L4337" t="s">
        <v>44</v>
      </c>
      <c r="M4337">
        <v>8.4700000000000006</v>
      </c>
      <c r="T4337" t="s">
        <v>49</v>
      </c>
      <c r="U4337">
        <v>2</v>
      </c>
      <c r="V4337">
        <v>4</v>
      </c>
    </row>
    <row r="4338" spans="1:22" x14ac:dyDescent="0.3">
      <c r="A4338">
        <v>4337</v>
      </c>
      <c r="B4338">
        <v>54801</v>
      </c>
      <c r="C4338" s="2">
        <v>38938</v>
      </c>
      <c r="D4338">
        <v>19</v>
      </c>
      <c r="E4338" t="s">
        <v>42</v>
      </c>
      <c r="F4338" t="s">
        <v>50</v>
      </c>
      <c r="G4338" s="2">
        <v>45630</v>
      </c>
      <c r="H4338" s="3">
        <f t="shared" si="67"/>
        <v>1.5068493150684932</v>
      </c>
      <c r="I4338">
        <v>100</v>
      </c>
      <c r="J4338" t="s">
        <v>57</v>
      </c>
      <c r="K4338" t="s">
        <v>56</v>
      </c>
      <c r="L4338" t="s">
        <v>44</v>
      </c>
      <c r="M4338">
        <v>8.4700000000000006</v>
      </c>
      <c r="T4338" t="s">
        <v>47</v>
      </c>
      <c r="U4338">
        <v>2</v>
      </c>
      <c r="V4338">
        <v>6</v>
      </c>
    </row>
    <row r="4339" spans="1:22" x14ac:dyDescent="0.3">
      <c r="A4339">
        <v>4338</v>
      </c>
      <c r="B4339">
        <v>54802</v>
      </c>
      <c r="C4339" s="2">
        <v>38703</v>
      </c>
      <c r="D4339">
        <v>20</v>
      </c>
      <c r="E4339" t="s">
        <v>42</v>
      </c>
      <c r="F4339" t="s">
        <v>37</v>
      </c>
      <c r="G4339" s="2">
        <v>45472</v>
      </c>
      <c r="H4339" s="3">
        <f t="shared" si="67"/>
        <v>1.6520547945205479</v>
      </c>
      <c r="I4339">
        <v>101</v>
      </c>
      <c r="J4339" t="s">
        <v>57</v>
      </c>
      <c r="K4339" t="s">
        <v>48</v>
      </c>
      <c r="L4339" t="s">
        <v>44</v>
      </c>
      <c r="M4339">
        <v>8.4700000000000006</v>
      </c>
      <c r="T4339" t="s">
        <v>45</v>
      </c>
      <c r="U4339">
        <v>4</v>
      </c>
      <c r="V4339">
        <v>7</v>
      </c>
    </row>
    <row r="4340" spans="1:22" x14ac:dyDescent="0.3">
      <c r="A4340">
        <v>4339</v>
      </c>
      <c r="B4340">
        <v>54803</v>
      </c>
      <c r="C4340" s="2">
        <v>38118</v>
      </c>
      <c r="D4340">
        <v>21</v>
      </c>
      <c r="E4340" t="s">
        <v>42</v>
      </c>
      <c r="F4340" t="s">
        <v>50</v>
      </c>
      <c r="G4340" s="2">
        <v>45419</v>
      </c>
      <c r="H4340" s="3">
        <f t="shared" si="67"/>
        <v>1.3150684931506849</v>
      </c>
      <c r="I4340">
        <v>101</v>
      </c>
      <c r="J4340" t="s">
        <v>57</v>
      </c>
      <c r="K4340" t="s">
        <v>56</v>
      </c>
      <c r="L4340" t="s">
        <v>44</v>
      </c>
      <c r="M4340">
        <v>8.4700000000000006</v>
      </c>
      <c r="T4340" t="s">
        <v>52</v>
      </c>
      <c r="U4340">
        <v>1</v>
      </c>
      <c r="V4340">
        <v>6</v>
      </c>
    </row>
    <row r="4341" spans="1:22" x14ac:dyDescent="0.3">
      <c r="A4341">
        <v>4340</v>
      </c>
      <c r="B4341">
        <v>54805</v>
      </c>
      <c r="C4341" s="2">
        <v>37592</v>
      </c>
      <c r="D4341">
        <v>23</v>
      </c>
      <c r="E4341" t="s">
        <v>42</v>
      </c>
      <c r="F4341" t="s">
        <v>50</v>
      </c>
      <c r="G4341" s="2">
        <v>45542</v>
      </c>
      <c r="H4341" s="3">
        <f t="shared" si="67"/>
        <v>1.3369863013698631</v>
      </c>
      <c r="I4341">
        <v>103</v>
      </c>
      <c r="J4341" t="s">
        <v>57</v>
      </c>
      <c r="K4341" t="s">
        <v>48</v>
      </c>
      <c r="L4341" t="s">
        <v>44</v>
      </c>
      <c r="M4341">
        <v>8.4700000000000006</v>
      </c>
      <c r="T4341" t="s">
        <v>47</v>
      </c>
      <c r="U4341">
        <v>2</v>
      </c>
      <c r="V4341">
        <v>7</v>
      </c>
    </row>
    <row r="4342" spans="1:22" x14ac:dyDescent="0.3">
      <c r="A4342">
        <v>4341</v>
      </c>
      <c r="B4342">
        <v>54806</v>
      </c>
      <c r="C4342" s="2">
        <v>35528</v>
      </c>
      <c r="D4342">
        <v>28</v>
      </c>
      <c r="E4342" t="s">
        <v>42</v>
      </c>
      <c r="F4342" t="s">
        <v>37</v>
      </c>
      <c r="G4342" s="2">
        <v>45534</v>
      </c>
      <c r="H4342" s="3">
        <f t="shared" si="67"/>
        <v>1.484931506849315</v>
      </c>
      <c r="I4342">
        <v>104</v>
      </c>
      <c r="J4342" t="s">
        <v>57</v>
      </c>
      <c r="K4342" t="s">
        <v>68</v>
      </c>
      <c r="L4342" t="s">
        <v>44</v>
      </c>
      <c r="M4342">
        <v>17</v>
      </c>
      <c r="T4342" t="s">
        <v>52</v>
      </c>
      <c r="U4342">
        <v>0</v>
      </c>
      <c r="V4342">
        <v>4</v>
      </c>
    </row>
    <row r="4343" spans="1:22" x14ac:dyDescent="0.3">
      <c r="A4343">
        <v>4342</v>
      </c>
      <c r="B4343">
        <v>54807</v>
      </c>
      <c r="C4343" s="2">
        <v>37823</v>
      </c>
      <c r="D4343">
        <v>22</v>
      </c>
      <c r="E4343" t="s">
        <v>36</v>
      </c>
      <c r="F4343" t="s">
        <v>50</v>
      </c>
      <c r="G4343" s="2">
        <v>45480</v>
      </c>
      <c r="H4343" s="3">
        <f t="shared" si="67"/>
        <v>1.2027397260273973</v>
      </c>
      <c r="I4343">
        <v>104</v>
      </c>
      <c r="J4343" t="s">
        <v>57</v>
      </c>
      <c r="K4343" t="s">
        <v>65</v>
      </c>
      <c r="L4343" t="s">
        <v>44</v>
      </c>
      <c r="M4343">
        <v>10.64</v>
      </c>
      <c r="T4343" t="s">
        <v>45</v>
      </c>
      <c r="U4343">
        <v>0</v>
      </c>
      <c r="V4343">
        <v>4</v>
      </c>
    </row>
    <row r="4344" spans="1:22" x14ac:dyDescent="0.3">
      <c r="A4344">
        <v>4343</v>
      </c>
      <c r="B4344">
        <v>54809</v>
      </c>
      <c r="C4344" s="2">
        <v>38783</v>
      </c>
      <c r="D4344">
        <v>19</v>
      </c>
      <c r="E4344" t="s">
        <v>42</v>
      </c>
      <c r="F4344" t="s">
        <v>50</v>
      </c>
      <c r="G4344" s="2">
        <v>45583</v>
      </c>
      <c r="H4344" s="3">
        <f t="shared" si="67"/>
        <v>1.1013698630136985</v>
      </c>
      <c r="I4344">
        <v>105</v>
      </c>
      <c r="J4344" t="s">
        <v>57</v>
      </c>
      <c r="K4344" t="s">
        <v>56</v>
      </c>
      <c r="L4344" t="s">
        <v>44</v>
      </c>
      <c r="M4344">
        <v>8.4700000000000006</v>
      </c>
      <c r="T4344" t="s">
        <v>52</v>
      </c>
      <c r="U4344">
        <v>4</v>
      </c>
      <c r="V4344">
        <v>6</v>
      </c>
    </row>
    <row r="4345" spans="1:22" x14ac:dyDescent="0.3">
      <c r="A4345">
        <v>4344</v>
      </c>
      <c r="B4345">
        <v>54810</v>
      </c>
      <c r="C4345" s="2">
        <v>36964</v>
      </c>
      <c r="D4345">
        <v>24</v>
      </c>
      <c r="E4345" t="s">
        <v>42</v>
      </c>
      <c r="F4345" t="s">
        <v>50</v>
      </c>
      <c r="G4345" s="2">
        <v>45620</v>
      </c>
      <c r="H4345" s="3">
        <f t="shared" si="67"/>
        <v>1.6301369863013699</v>
      </c>
      <c r="I4345">
        <v>108</v>
      </c>
      <c r="J4345" t="s">
        <v>57</v>
      </c>
      <c r="K4345" t="s">
        <v>68</v>
      </c>
      <c r="L4345" t="s">
        <v>44</v>
      </c>
      <c r="M4345">
        <v>17</v>
      </c>
      <c r="T4345" t="s">
        <v>45</v>
      </c>
      <c r="U4345">
        <v>3</v>
      </c>
      <c r="V4345">
        <v>6</v>
      </c>
    </row>
    <row r="4346" spans="1:22" x14ac:dyDescent="0.3">
      <c r="A4346">
        <v>4345</v>
      </c>
      <c r="B4346">
        <v>54812</v>
      </c>
      <c r="C4346" s="2">
        <v>37731</v>
      </c>
      <c r="D4346">
        <v>22</v>
      </c>
      <c r="E4346" t="s">
        <v>36</v>
      </c>
      <c r="F4346" t="s">
        <v>50</v>
      </c>
      <c r="G4346" s="2">
        <v>45427</v>
      </c>
      <c r="H4346" s="3">
        <f t="shared" si="67"/>
        <v>1.2821917808219179</v>
      </c>
      <c r="I4346">
        <v>110</v>
      </c>
      <c r="J4346" t="s">
        <v>57</v>
      </c>
      <c r="K4346" t="s">
        <v>65</v>
      </c>
      <c r="L4346" t="s">
        <v>44</v>
      </c>
      <c r="M4346">
        <v>10.64</v>
      </c>
      <c r="T4346" t="s">
        <v>45</v>
      </c>
      <c r="U4346">
        <v>1</v>
      </c>
      <c r="V4346">
        <v>5</v>
      </c>
    </row>
    <row r="4347" spans="1:22" x14ac:dyDescent="0.3">
      <c r="A4347">
        <v>4346</v>
      </c>
      <c r="B4347">
        <v>54813</v>
      </c>
      <c r="C4347" s="2">
        <v>37782</v>
      </c>
      <c r="D4347">
        <v>22</v>
      </c>
      <c r="E4347" t="s">
        <v>42</v>
      </c>
      <c r="F4347" t="s">
        <v>50</v>
      </c>
      <c r="G4347" s="2">
        <v>45554</v>
      </c>
      <c r="H4347" s="3">
        <f t="shared" si="67"/>
        <v>1.189041095890411</v>
      </c>
      <c r="I4347">
        <v>110</v>
      </c>
      <c r="J4347" t="s">
        <v>57</v>
      </c>
      <c r="K4347" t="s">
        <v>46</v>
      </c>
      <c r="L4347" t="s">
        <v>44</v>
      </c>
      <c r="M4347">
        <v>14.23</v>
      </c>
      <c r="T4347" t="s">
        <v>45</v>
      </c>
      <c r="U4347">
        <v>1</v>
      </c>
      <c r="V4347">
        <v>6</v>
      </c>
    </row>
    <row r="4348" spans="1:22" x14ac:dyDescent="0.3">
      <c r="A4348">
        <v>4347</v>
      </c>
      <c r="B4348">
        <v>54814</v>
      </c>
      <c r="C4348" s="2">
        <v>38833</v>
      </c>
      <c r="D4348">
        <v>19</v>
      </c>
      <c r="E4348" t="s">
        <v>42</v>
      </c>
      <c r="F4348" t="s">
        <v>50</v>
      </c>
      <c r="G4348" s="2">
        <v>45588</v>
      </c>
      <c r="H4348" s="3">
        <f t="shared" si="67"/>
        <v>1.1616438356164382</v>
      </c>
      <c r="I4348">
        <v>112</v>
      </c>
      <c r="J4348" t="s">
        <v>57</v>
      </c>
      <c r="K4348" t="s">
        <v>56</v>
      </c>
      <c r="L4348" t="s">
        <v>44</v>
      </c>
      <c r="M4348">
        <v>8.4700000000000006</v>
      </c>
      <c r="T4348" t="s">
        <v>49</v>
      </c>
      <c r="U4348">
        <v>2</v>
      </c>
      <c r="V4348">
        <v>5</v>
      </c>
    </row>
    <row r="4349" spans="1:22" x14ac:dyDescent="0.3">
      <c r="A4349">
        <v>4348</v>
      </c>
      <c r="B4349">
        <v>54815</v>
      </c>
      <c r="C4349" s="2">
        <v>36538</v>
      </c>
      <c r="D4349">
        <v>25</v>
      </c>
      <c r="E4349" t="s">
        <v>42</v>
      </c>
      <c r="F4349" t="s">
        <v>37</v>
      </c>
      <c r="G4349" s="2">
        <v>45598</v>
      </c>
      <c r="H4349" s="3">
        <f t="shared" si="67"/>
        <v>1.2027397260273973</v>
      </c>
      <c r="I4349">
        <v>114</v>
      </c>
      <c r="J4349" t="s">
        <v>57</v>
      </c>
      <c r="K4349" t="s">
        <v>68</v>
      </c>
      <c r="L4349" t="s">
        <v>44</v>
      </c>
      <c r="M4349">
        <v>17</v>
      </c>
      <c r="T4349" t="s">
        <v>45</v>
      </c>
      <c r="U4349">
        <v>2</v>
      </c>
      <c r="V4349">
        <v>6</v>
      </c>
    </row>
    <row r="4350" spans="1:22" x14ac:dyDescent="0.3">
      <c r="A4350">
        <v>4349</v>
      </c>
      <c r="B4350">
        <v>54816</v>
      </c>
      <c r="C4350" s="2">
        <v>36506</v>
      </c>
      <c r="D4350">
        <v>26</v>
      </c>
      <c r="E4350" t="s">
        <v>36</v>
      </c>
      <c r="F4350" t="s">
        <v>37</v>
      </c>
      <c r="G4350" s="2">
        <v>45583</v>
      </c>
      <c r="H4350" s="3">
        <f t="shared" si="67"/>
        <v>1.4794520547945205</v>
      </c>
      <c r="I4350">
        <v>117</v>
      </c>
      <c r="J4350" t="s">
        <v>57</v>
      </c>
      <c r="K4350" t="s">
        <v>68</v>
      </c>
      <c r="L4350" t="s">
        <v>44</v>
      </c>
      <c r="M4350">
        <v>17</v>
      </c>
      <c r="T4350" t="s">
        <v>45</v>
      </c>
      <c r="U4350">
        <v>2</v>
      </c>
      <c r="V4350">
        <v>5</v>
      </c>
    </row>
    <row r="4351" spans="1:22" x14ac:dyDescent="0.3">
      <c r="A4351">
        <v>4350</v>
      </c>
      <c r="B4351">
        <v>54817</v>
      </c>
      <c r="C4351" s="2">
        <v>38787</v>
      </c>
      <c r="D4351">
        <v>19</v>
      </c>
      <c r="E4351" t="s">
        <v>42</v>
      </c>
      <c r="F4351" t="s">
        <v>50</v>
      </c>
      <c r="G4351" s="2">
        <v>45482</v>
      </c>
      <c r="H4351" s="3">
        <f t="shared" si="67"/>
        <v>1.452054794520548</v>
      </c>
      <c r="I4351">
        <v>117</v>
      </c>
      <c r="J4351" t="s">
        <v>57</v>
      </c>
      <c r="K4351" t="s">
        <v>56</v>
      </c>
      <c r="L4351" t="s">
        <v>44</v>
      </c>
      <c r="M4351">
        <v>8.4700000000000006</v>
      </c>
      <c r="T4351" t="s">
        <v>47</v>
      </c>
      <c r="U4351">
        <v>2</v>
      </c>
      <c r="V4351">
        <v>7</v>
      </c>
    </row>
    <row r="4352" spans="1:22" x14ac:dyDescent="0.3">
      <c r="A4352">
        <v>4351</v>
      </c>
      <c r="B4352">
        <v>54818</v>
      </c>
      <c r="C4352" s="2">
        <v>36940</v>
      </c>
      <c r="D4352">
        <v>24</v>
      </c>
      <c r="E4352" t="s">
        <v>42</v>
      </c>
      <c r="F4352" t="s">
        <v>37</v>
      </c>
      <c r="G4352" s="2">
        <v>45492</v>
      </c>
      <c r="H4352" s="3">
        <f t="shared" si="67"/>
        <v>1.2767123287671234</v>
      </c>
      <c r="I4352">
        <v>117</v>
      </c>
      <c r="J4352" t="s">
        <v>57</v>
      </c>
      <c r="K4352" t="s">
        <v>56</v>
      </c>
      <c r="L4352" t="s">
        <v>44</v>
      </c>
      <c r="M4352">
        <v>8.4700000000000006</v>
      </c>
      <c r="T4352" t="s">
        <v>45</v>
      </c>
      <c r="U4352">
        <v>3</v>
      </c>
      <c r="V4352">
        <v>6</v>
      </c>
    </row>
    <row r="4353" spans="1:22" x14ac:dyDescent="0.3">
      <c r="A4353">
        <v>4352</v>
      </c>
      <c r="B4353">
        <v>54819</v>
      </c>
      <c r="C4353" s="2">
        <v>37616</v>
      </c>
      <c r="D4353">
        <v>23</v>
      </c>
      <c r="E4353" t="s">
        <v>42</v>
      </c>
      <c r="F4353" t="s">
        <v>50</v>
      </c>
      <c r="G4353" s="2">
        <v>45556</v>
      </c>
      <c r="H4353" s="3">
        <f t="shared" si="67"/>
        <v>1.4657534246575343</v>
      </c>
      <c r="I4353">
        <v>117</v>
      </c>
      <c r="J4353" t="s">
        <v>57</v>
      </c>
      <c r="K4353" t="s">
        <v>56</v>
      </c>
      <c r="L4353" t="s">
        <v>44</v>
      </c>
      <c r="M4353">
        <v>8.4700000000000006</v>
      </c>
      <c r="T4353" t="s">
        <v>52</v>
      </c>
      <c r="U4353">
        <v>2</v>
      </c>
      <c r="V4353">
        <v>7</v>
      </c>
    </row>
    <row r="4354" spans="1:22" x14ac:dyDescent="0.3">
      <c r="A4354">
        <v>4353</v>
      </c>
      <c r="B4354">
        <v>54820</v>
      </c>
      <c r="C4354" s="2">
        <v>38485</v>
      </c>
      <c r="D4354">
        <v>20</v>
      </c>
      <c r="E4354" t="s">
        <v>42</v>
      </c>
      <c r="F4354" t="s">
        <v>50</v>
      </c>
      <c r="G4354" s="2">
        <v>45487</v>
      </c>
      <c r="H4354" s="3">
        <f t="shared" si="67"/>
        <v>1.1205479452054794</v>
      </c>
      <c r="I4354">
        <v>119</v>
      </c>
      <c r="J4354" t="s">
        <v>57</v>
      </c>
      <c r="K4354" t="s">
        <v>56</v>
      </c>
      <c r="L4354" t="s">
        <v>44</v>
      </c>
      <c r="M4354">
        <v>8.4700000000000006</v>
      </c>
      <c r="T4354" t="s">
        <v>52</v>
      </c>
      <c r="U4354">
        <v>4</v>
      </c>
      <c r="V4354">
        <v>7</v>
      </c>
    </row>
    <row r="4355" spans="1:22" x14ac:dyDescent="0.3">
      <c r="A4355">
        <v>4354</v>
      </c>
      <c r="B4355">
        <v>54821</v>
      </c>
      <c r="C4355" s="2">
        <v>36140</v>
      </c>
      <c r="D4355">
        <v>27</v>
      </c>
      <c r="E4355" t="s">
        <v>36</v>
      </c>
      <c r="F4355" t="s">
        <v>50</v>
      </c>
      <c r="G4355" s="2">
        <v>45613</v>
      </c>
      <c r="H4355" s="3">
        <f t="shared" ref="H4355:H4418" si="68">DATEDIF(G4356,DATE(2025,12,31),"d")/365</f>
        <v>1.0136986301369864</v>
      </c>
      <c r="I4355">
        <v>121</v>
      </c>
      <c r="J4355" t="s">
        <v>57</v>
      </c>
      <c r="K4355" t="s">
        <v>46</v>
      </c>
      <c r="L4355" t="s">
        <v>44</v>
      </c>
      <c r="M4355">
        <v>14.23</v>
      </c>
      <c r="T4355" t="s">
        <v>49</v>
      </c>
      <c r="U4355">
        <v>1</v>
      </c>
      <c r="V4355">
        <v>4</v>
      </c>
    </row>
    <row r="4356" spans="1:22" x14ac:dyDescent="0.3">
      <c r="A4356">
        <v>4355</v>
      </c>
      <c r="B4356">
        <v>54822</v>
      </c>
      <c r="C4356" s="2">
        <v>37234</v>
      </c>
      <c r="D4356">
        <v>24</v>
      </c>
      <c r="E4356" t="s">
        <v>42</v>
      </c>
      <c r="F4356" t="s">
        <v>50</v>
      </c>
      <c r="G4356" s="2">
        <v>45652</v>
      </c>
      <c r="H4356" s="3">
        <f t="shared" si="68"/>
        <v>1.3452054794520547</v>
      </c>
      <c r="I4356">
        <v>122</v>
      </c>
      <c r="J4356" t="s">
        <v>57</v>
      </c>
      <c r="K4356" t="s">
        <v>56</v>
      </c>
      <c r="L4356" t="s">
        <v>44</v>
      </c>
      <c r="M4356">
        <v>8.4700000000000006</v>
      </c>
      <c r="T4356" t="s">
        <v>52</v>
      </c>
      <c r="U4356">
        <v>3</v>
      </c>
      <c r="V4356">
        <v>7</v>
      </c>
    </row>
    <row r="4357" spans="1:22" x14ac:dyDescent="0.3">
      <c r="A4357">
        <v>4356</v>
      </c>
      <c r="B4357">
        <v>54823</v>
      </c>
      <c r="C4357" s="2">
        <v>39396</v>
      </c>
      <c r="D4357">
        <v>18</v>
      </c>
      <c r="E4357" t="s">
        <v>42</v>
      </c>
      <c r="F4357" t="s">
        <v>50</v>
      </c>
      <c r="G4357" s="2">
        <v>45531</v>
      </c>
      <c r="H4357" s="3">
        <f t="shared" si="68"/>
        <v>1.0493150684931507</v>
      </c>
      <c r="I4357">
        <v>122</v>
      </c>
      <c r="J4357" t="s">
        <v>57</v>
      </c>
      <c r="K4357" t="s">
        <v>56</v>
      </c>
      <c r="L4357" t="s">
        <v>44</v>
      </c>
      <c r="M4357">
        <v>8.4700000000000006</v>
      </c>
      <c r="T4357" t="s">
        <v>49</v>
      </c>
      <c r="U4357">
        <v>2</v>
      </c>
      <c r="V4357">
        <v>6</v>
      </c>
    </row>
    <row r="4358" spans="1:22" x14ac:dyDescent="0.3">
      <c r="A4358">
        <v>4357</v>
      </c>
      <c r="B4358">
        <v>54824</v>
      </c>
      <c r="C4358" s="2">
        <v>37344</v>
      </c>
      <c r="D4358">
        <v>23</v>
      </c>
      <c r="E4358" t="s">
        <v>42</v>
      </c>
      <c r="F4358" t="s">
        <v>50</v>
      </c>
      <c r="G4358" s="2">
        <v>45639</v>
      </c>
      <c r="H4358" s="3">
        <f t="shared" si="68"/>
        <v>1.4328767123287671</v>
      </c>
      <c r="I4358">
        <v>122</v>
      </c>
      <c r="J4358" t="s">
        <v>57</v>
      </c>
      <c r="K4358" t="s">
        <v>56</v>
      </c>
      <c r="L4358" t="s">
        <v>44</v>
      </c>
      <c r="M4358">
        <v>8.4700000000000006</v>
      </c>
      <c r="T4358" t="s">
        <v>47</v>
      </c>
      <c r="U4358">
        <v>0</v>
      </c>
      <c r="V4358">
        <v>6</v>
      </c>
    </row>
    <row r="4359" spans="1:22" x14ac:dyDescent="0.3">
      <c r="A4359">
        <v>4358</v>
      </c>
      <c r="B4359">
        <v>54825</v>
      </c>
      <c r="C4359" s="2">
        <v>38963</v>
      </c>
      <c r="D4359">
        <v>19</v>
      </c>
      <c r="E4359" t="s">
        <v>42</v>
      </c>
      <c r="F4359" t="s">
        <v>37</v>
      </c>
      <c r="G4359" s="2">
        <v>45499</v>
      </c>
      <c r="H4359" s="3">
        <f t="shared" si="68"/>
        <v>1.547945205479452</v>
      </c>
      <c r="I4359">
        <v>124</v>
      </c>
      <c r="J4359" t="s">
        <v>57</v>
      </c>
      <c r="K4359" t="s">
        <v>56</v>
      </c>
      <c r="L4359" t="s">
        <v>44</v>
      </c>
      <c r="M4359">
        <v>8.4700000000000006</v>
      </c>
      <c r="T4359" t="s">
        <v>47</v>
      </c>
      <c r="U4359">
        <v>1</v>
      </c>
      <c r="V4359">
        <v>5</v>
      </c>
    </row>
    <row r="4360" spans="1:22" x14ac:dyDescent="0.3">
      <c r="A4360">
        <v>4359</v>
      </c>
      <c r="B4360">
        <v>54826</v>
      </c>
      <c r="C4360" s="2">
        <v>32771</v>
      </c>
      <c r="D4360">
        <v>36</v>
      </c>
      <c r="E4360" t="s">
        <v>42</v>
      </c>
      <c r="F4360" t="s">
        <v>50</v>
      </c>
      <c r="G4360" s="2">
        <v>45457</v>
      </c>
      <c r="H4360" s="3">
        <f t="shared" si="68"/>
        <v>1.1561643835616437</v>
      </c>
      <c r="I4360">
        <v>125</v>
      </c>
      <c r="J4360" t="s">
        <v>57</v>
      </c>
      <c r="K4360" t="s">
        <v>46</v>
      </c>
      <c r="L4360" t="s">
        <v>44</v>
      </c>
      <c r="M4360">
        <v>14.23</v>
      </c>
      <c r="T4360" t="s">
        <v>47</v>
      </c>
      <c r="U4360">
        <v>1</v>
      </c>
      <c r="V4360">
        <v>4</v>
      </c>
    </row>
    <row r="4361" spans="1:22" x14ac:dyDescent="0.3">
      <c r="A4361">
        <v>4360</v>
      </c>
      <c r="B4361">
        <v>54829</v>
      </c>
      <c r="C4361" s="2">
        <v>34628</v>
      </c>
      <c r="D4361">
        <v>31</v>
      </c>
      <c r="E4361" t="s">
        <v>36</v>
      </c>
      <c r="F4361" t="s">
        <v>50</v>
      </c>
      <c r="G4361" s="2">
        <v>45600</v>
      </c>
      <c r="H4361" s="3">
        <f t="shared" si="68"/>
        <v>1.7506849315068493</v>
      </c>
      <c r="I4361">
        <v>129</v>
      </c>
      <c r="J4361" t="s">
        <v>57</v>
      </c>
      <c r="K4361" t="s">
        <v>65</v>
      </c>
      <c r="L4361" t="s">
        <v>44</v>
      </c>
      <c r="M4361">
        <v>10.64</v>
      </c>
      <c r="T4361" t="s">
        <v>52</v>
      </c>
      <c r="U4361">
        <v>0</v>
      </c>
      <c r="V4361">
        <v>4</v>
      </c>
    </row>
    <row r="4362" spans="1:22" x14ac:dyDescent="0.3">
      <c r="A4362">
        <v>4361</v>
      </c>
      <c r="B4362">
        <v>54830</v>
      </c>
      <c r="C4362" s="2">
        <v>36011</v>
      </c>
      <c r="D4362">
        <v>27</v>
      </c>
      <c r="E4362" t="s">
        <v>36</v>
      </c>
      <c r="F4362" t="s">
        <v>37</v>
      </c>
      <c r="G4362" s="2">
        <v>45383</v>
      </c>
      <c r="H4362" s="3">
        <f t="shared" si="68"/>
        <v>1.4465753424657535</v>
      </c>
      <c r="I4362">
        <v>129</v>
      </c>
      <c r="J4362" t="s">
        <v>57</v>
      </c>
      <c r="K4362" t="s">
        <v>56</v>
      </c>
      <c r="L4362" t="s">
        <v>44</v>
      </c>
      <c r="M4362">
        <v>8.4700000000000006</v>
      </c>
      <c r="T4362" t="s">
        <v>45</v>
      </c>
      <c r="U4362">
        <v>1</v>
      </c>
      <c r="V4362">
        <v>4</v>
      </c>
    </row>
    <row r="4363" spans="1:22" x14ac:dyDescent="0.3">
      <c r="A4363">
        <v>4362</v>
      </c>
      <c r="B4363">
        <v>54831</v>
      </c>
      <c r="C4363" s="2">
        <v>38066</v>
      </c>
      <c r="D4363">
        <v>21</v>
      </c>
      <c r="E4363" t="s">
        <v>36</v>
      </c>
      <c r="F4363" t="s">
        <v>50</v>
      </c>
      <c r="G4363" s="2">
        <v>45494</v>
      </c>
      <c r="H4363" s="3">
        <f t="shared" si="68"/>
        <v>1.5616438356164384</v>
      </c>
      <c r="I4363">
        <v>130</v>
      </c>
      <c r="J4363" t="s">
        <v>57</v>
      </c>
      <c r="K4363" t="s">
        <v>46</v>
      </c>
      <c r="L4363" t="s">
        <v>44</v>
      </c>
      <c r="M4363">
        <v>14.23</v>
      </c>
      <c r="T4363" t="s">
        <v>49</v>
      </c>
      <c r="U4363">
        <v>0</v>
      </c>
      <c r="V4363">
        <v>2</v>
      </c>
    </row>
    <row r="4364" spans="1:22" x14ac:dyDescent="0.3">
      <c r="A4364">
        <v>4363</v>
      </c>
      <c r="B4364">
        <v>54832</v>
      </c>
      <c r="C4364" s="2">
        <v>39029</v>
      </c>
      <c r="D4364">
        <v>19</v>
      </c>
      <c r="E4364" t="s">
        <v>42</v>
      </c>
      <c r="F4364" t="s">
        <v>37</v>
      </c>
      <c r="G4364" s="2">
        <v>45452</v>
      </c>
      <c r="H4364" s="3">
        <f t="shared" si="68"/>
        <v>1.6</v>
      </c>
      <c r="I4364">
        <v>130</v>
      </c>
      <c r="J4364" t="s">
        <v>57</v>
      </c>
      <c r="K4364" t="s">
        <v>56</v>
      </c>
      <c r="L4364" t="s">
        <v>44</v>
      </c>
      <c r="M4364">
        <v>8.4700000000000006</v>
      </c>
      <c r="T4364" t="s">
        <v>45</v>
      </c>
      <c r="U4364">
        <v>0</v>
      </c>
      <c r="V4364">
        <v>6</v>
      </c>
    </row>
    <row r="4365" spans="1:22" x14ac:dyDescent="0.3">
      <c r="A4365">
        <v>4364</v>
      </c>
      <c r="B4365">
        <v>54833</v>
      </c>
      <c r="C4365" s="2">
        <v>37908</v>
      </c>
      <c r="D4365">
        <v>22</v>
      </c>
      <c r="E4365" t="s">
        <v>42</v>
      </c>
      <c r="F4365" t="s">
        <v>50</v>
      </c>
      <c r="G4365" s="2">
        <v>45438</v>
      </c>
      <c r="H4365" s="3">
        <f t="shared" si="68"/>
        <v>1.3369863013698631</v>
      </c>
      <c r="I4365">
        <v>131</v>
      </c>
      <c r="J4365" t="s">
        <v>57</v>
      </c>
      <c r="K4365" t="s">
        <v>65</v>
      </c>
      <c r="L4365" t="s">
        <v>44</v>
      </c>
      <c r="M4365">
        <v>10.64</v>
      </c>
      <c r="T4365" t="s">
        <v>49</v>
      </c>
      <c r="U4365">
        <v>1</v>
      </c>
      <c r="V4365">
        <v>6</v>
      </c>
    </row>
    <row r="4366" spans="1:22" x14ac:dyDescent="0.3">
      <c r="A4366">
        <v>4365</v>
      </c>
      <c r="B4366">
        <v>54834</v>
      </c>
      <c r="C4366" s="2">
        <v>38291</v>
      </c>
      <c r="D4366">
        <v>21</v>
      </c>
      <c r="E4366" t="s">
        <v>42</v>
      </c>
      <c r="F4366" t="s">
        <v>50</v>
      </c>
      <c r="G4366" s="2">
        <v>45534</v>
      </c>
      <c r="H4366" s="3">
        <f t="shared" si="68"/>
        <v>1.7013698630136986</v>
      </c>
      <c r="I4366">
        <v>131</v>
      </c>
      <c r="J4366" t="s">
        <v>57</v>
      </c>
      <c r="K4366" t="s">
        <v>56</v>
      </c>
      <c r="L4366" t="s">
        <v>44</v>
      </c>
      <c r="M4366">
        <v>8.4700000000000006</v>
      </c>
      <c r="T4366" t="s">
        <v>47</v>
      </c>
      <c r="U4366">
        <v>1</v>
      </c>
      <c r="V4366">
        <v>6</v>
      </c>
    </row>
    <row r="4367" spans="1:22" x14ac:dyDescent="0.3">
      <c r="A4367">
        <v>4366</v>
      </c>
      <c r="B4367">
        <v>54835</v>
      </c>
      <c r="C4367" s="2">
        <v>36278</v>
      </c>
      <c r="D4367">
        <v>26</v>
      </c>
      <c r="E4367" t="s">
        <v>36</v>
      </c>
      <c r="F4367" t="s">
        <v>50</v>
      </c>
      <c r="G4367" s="2">
        <v>45401</v>
      </c>
      <c r="H4367" s="3">
        <f t="shared" si="68"/>
        <v>1.2301369863013698</v>
      </c>
      <c r="I4367">
        <v>133</v>
      </c>
      <c r="J4367" t="s">
        <v>57</v>
      </c>
      <c r="K4367" t="s">
        <v>65</v>
      </c>
      <c r="L4367" t="s">
        <v>44</v>
      </c>
      <c r="M4367">
        <v>10.64</v>
      </c>
      <c r="T4367" t="s">
        <v>45</v>
      </c>
      <c r="U4367">
        <v>1</v>
      </c>
      <c r="V4367">
        <v>4</v>
      </c>
    </row>
    <row r="4368" spans="1:22" x14ac:dyDescent="0.3">
      <c r="A4368">
        <v>4367</v>
      </c>
      <c r="B4368">
        <v>54836</v>
      </c>
      <c r="C4368" s="2">
        <v>35856</v>
      </c>
      <c r="D4368">
        <v>27</v>
      </c>
      <c r="E4368" t="s">
        <v>36</v>
      </c>
      <c r="F4368" t="s">
        <v>50</v>
      </c>
      <c r="G4368" s="2">
        <v>45573</v>
      </c>
      <c r="H4368" s="3">
        <f t="shared" si="68"/>
        <v>1.2054794520547945</v>
      </c>
      <c r="I4368">
        <v>138</v>
      </c>
      <c r="J4368" t="s">
        <v>57</v>
      </c>
      <c r="K4368" t="s">
        <v>56</v>
      </c>
      <c r="L4368" t="s">
        <v>44</v>
      </c>
      <c r="M4368">
        <v>8.4700000000000006</v>
      </c>
      <c r="T4368" t="s">
        <v>49</v>
      </c>
      <c r="U4368">
        <v>3</v>
      </c>
      <c r="V4368">
        <v>5</v>
      </c>
    </row>
    <row r="4369" spans="1:22" x14ac:dyDescent="0.3">
      <c r="A4369">
        <v>4368</v>
      </c>
      <c r="B4369">
        <v>54837</v>
      </c>
      <c r="C4369" s="2">
        <v>37893</v>
      </c>
      <c r="D4369">
        <v>22</v>
      </c>
      <c r="E4369" t="s">
        <v>42</v>
      </c>
      <c r="F4369" t="s">
        <v>50</v>
      </c>
      <c r="G4369" s="2">
        <v>45582</v>
      </c>
      <c r="H4369" s="3">
        <f t="shared" si="68"/>
        <v>1.0684931506849316</v>
      </c>
      <c r="I4369">
        <v>141</v>
      </c>
      <c r="J4369" t="s">
        <v>57</v>
      </c>
      <c r="K4369" t="s">
        <v>56</v>
      </c>
      <c r="L4369" t="s">
        <v>44</v>
      </c>
      <c r="M4369">
        <v>8.4700000000000006</v>
      </c>
      <c r="T4369" t="s">
        <v>45</v>
      </c>
      <c r="U4369">
        <v>2</v>
      </c>
      <c r="V4369">
        <v>6</v>
      </c>
    </row>
    <row r="4370" spans="1:22" x14ac:dyDescent="0.3">
      <c r="A4370">
        <v>4369</v>
      </c>
      <c r="B4370">
        <v>54838</v>
      </c>
      <c r="C4370" s="2">
        <v>36877</v>
      </c>
      <c r="D4370">
        <v>25</v>
      </c>
      <c r="E4370" t="s">
        <v>42</v>
      </c>
      <c r="F4370" t="s">
        <v>50</v>
      </c>
      <c r="G4370" s="2">
        <v>45632</v>
      </c>
      <c r="H4370" s="3">
        <f t="shared" si="68"/>
        <v>1.0575342465753426</v>
      </c>
      <c r="I4370">
        <v>142</v>
      </c>
      <c r="J4370" t="s">
        <v>57</v>
      </c>
      <c r="K4370" t="s">
        <v>68</v>
      </c>
      <c r="L4370" t="s">
        <v>44</v>
      </c>
      <c r="M4370">
        <v>17</v>
      </c>
      <c r="T4370" t="s">
        <v>52</v>
      </c>
      <c r="U4370">
        <v>0</v>
      </c>
      <c r="V4370">
        <v>6</v>
      </c>
    </row>
    <row r="4371" spans="1:22" x14ac:dyDescent="0.3">
      <c r="A4371">
        <v>4370</v>
      </c>
      <c r="B4371">
        <v>54839</v>
      </c>
      <c r="C4371" s="2">
        <v>36365</v>
      </c>
      <c r="D4371">
        <v>26</v>
      </c>
      <c r="E4371" t="s">
        <v>36</v>
      </c>
      <c r="F4371" t="s">
        <v>50</v>
      </c>
      <c r="G4371" s="2">
        <v>45636</v>
      </c>
      <c r="H4371" s="3">
        <f t="shared" si="68"/>
        <v>1.0821917808219179</v>
      </c>
      <c r="I4371">
        <v>142</v>
      </c>
      <c r="J4371" t="s">
        <v>57</v>
      </c>
      <c r="K4371" t="s">
        <v>55</v>
      </c>
      <c r="L4371" t="s">
        <v>44</v>
      </c>
      <c r="M4371">
        <v>17.59</v>
      </c>
      <c r="T4371" t="s">
        <v>47</v>
      </c>
      <c r="U4371">
        <v>1</v>
      </c>
      <c r="V4371">
        <v>6</v>
      </c>
    </row>
    <row r="4372" spans="1:22" x14ac:dyDescent="0.3">
      <c r="A4372">
        <v>4371</v>
      </c>
      <c r="B4372">
        <v>54840</v>
      </c>
      <c r="C4372" s="2">
        <v>31769</v>
      </c>
      <c r="D4372">
        <v>39</v>
      </c>
      <c r="E4372" t="s">
        <v>42</v>
      </c>
      <c r="F4372" t="s">
        <v>37</v>
      </c>
      <c r="G4372" s="2">
        <v>45627</v>
      </c>
      <c r="H4372" s="3">
        <f t="shared" si="68"/>
        <v>1.0273972602739727</v>
      </c>
      <c r="I4372">
        <v>144</v>
      </c>
      <c r="J4372" t="s">
        <v>57</v>
      </c>
      <c r="K4372" t="s">
        <v>46</v>
      </c>
      <c r="L4372" t="s">
        <v>44</v>
      </c>
      <c r="M4372">
        <v>14.23</v>
      </c>
      <c r="T4372" t="s">
        <v>49</v>
      </c>
      <c r="U4372">
        <v>0</v>
      </c>
      <c r="V4372">
        <v>5</v>
      </c>
    </row>
    <row r="4373" spans="1:22" x14ac:dyDescent="0.3">
      <c r="A4373">
        <v>4372</v>
      </c>
      <c r="B4373">
        <v>54841</v>
      </c>
      <c r="C4373" s="2">
        <v>38996</v>
      </c>
      <c r="D4373">
        <v>19</v>
      </c>
      <c r="E4373" t="s">
        <v>42</v>
      </c>
      <c r="F4373" t="s">
        <v>37</v>
      </c>
      <c r="G4373" s="2">
        <v>45647</v>
      </c>
      <c r="H4373" s="3">
        <f t="shared" si="68"/>
        <v>1.6821917808219178</v>
      </c>
      <c r="I4373">
        <v>2</v>
      </c>
      <c r="J4373" t="s">
        <v>38</v>
      </c>
      <c r="K4373" t="s">
        <v>56</v>
      </c>
      <c r="L4373" t="s">
        <v>44</v>
      </c>
      <c r="M4373">
        <v>8.4700000000000006</v>
      </c>
      <c r="T4373" t="s">
        <v>49</v>
      </c>
      <c r="U4373">
        <v>0</v>
      </c>
      <c r="V4373">
        <v>4</v>
      </c>
    </row>
    <row r="4374" spans="1:22" x14ac:dyDescent="0.3">
      <c r="A4374">
        <v>4373</v>
      </c>
      <c r="B4374">
        <v>54842</v>
      </c>
      <c r="C4374" s="2">
        <v>37507</v>
      </c>
      <c r="D4374">
        <v>23</v>
      </c>
      <c r="E4374" t="s">
        <v>36</v>
      </c>
      <c r="F4374" t="s">
        <v>50</v>
      </c>
      <c r="G4374" s="2">
        <v>45408</v>
      </c>
      <c r="H4374" s="3">
        <f t="shared" si="68"/>
        <v>1.3260273972602741</v>
      </c>
      <c r="I4374">
        <v>4</v>
      </c>
      <c r="J4374" t="s">
        <v>38</v>
      </c>
      <c r="K4374" t="s">
        <v>68</v>
      </c>
      <c r="L4374" t="s">
        <v>44</v>
      </c>
      <c r="M4374">
        <v>17</v>
      </c>
      <c r="T4374" t="s">
        <v>45</v>
      </c>
      <c r="U4374">
        <v>3</v>
      </c>
      <c r="V4374">
        <v>5</v>
      </c>
    </row>
    <row r="4375" spans="1:22" x14ac:dyDescent="0.3">
      <c r="A4375">
        <v>4374</v>
      </c>
      <c r="B4375">
        <v>54843</v>
      </c>
      <c r="C4375" s="2">
        <v>34823</v>
      </c>
      <c r="D4375">
        <v>30</v>
      </c>
      <c r="E4375" t="s">
        <v>36</v>
      </c>
      <c r="F4375" t="s">
        <v>50</v>
      </c>
      <c r="G4375" s="2">
        <v>45538</v>
      </c>
      <c r="H4375" s="3">
        <f t="shared" si="68"/>
        <v>1.1835616438356165</v>
      </c>
      <c r="I4375">
        <v>4</v>
      </c>
      <c r="J4375" t="s">
        <v>38</v>
      </c>
      <c r="K4375" t="s">
        <v>46</v>
      </c>
      <c r="L4375" t="s">
        <v>44</v>
      </c>
      <c r="M4375">
        <v>14.23</v>
      </c>
      <c r="T4375" t="s">
        <v>45</v>
      </c>
      <c r="U4375">
        <v>1</v>
      </c>
      <c r="V4375">
        <v>5</v>
      </c>
    </row>
    <row r="4376" spans="1:22" x14ac:dyDescent="0.3">
      <c r="A4376">
        <v>4375</v>
      </c>
      <c r="B4376">
        <v>54844</v>
      </c>
      <c r="C4376" s="2">
        <v>35305</v>
      </c>
      <c r="D4376">
        <v>29</v>
      </c>
      <c r="E4376" t="s">
        <v>42</v>
      </c>
      <c r="F4376" t="s">
        <v>50</v>
      </c>
      <c r="G4376" s="2">
        <v>45590</v>
      </c>
      <c r="H4376" s="3">
        <f t="shared" si="68"/>
        <v>1.6602739726027398</v>
      </c>
      <c r="I4376">
        <v>6</v>
      </c>
      <c r="J4376" t="s">
        <v>38</v>
      </c>
      <c r="K4376" t="s">
        <v>65</v>
      </c>
      <c r="L4376" t="s">
        <v>44</v>
      </c>
      <c r="M4376">
        <v>10.64</v>
      </c>
      <c r="T4376" t="s">
        <v>45</v>
      </c>
      <c r="U4376">
        <v>0</v>
      </c>
      <c r="V4376">
        <v>6</v>
      </c>
    </row>
    <row r="4377" spans="1:22" x14ac:dyDescent="0.3">
      <c r="A4377">
        <v>4376</v>
      </c>
      <c r="B4377">
        <v>54845</v>
      </c>
      <c r="C4377" s="2">
        <v>38265</v>
      </c>
      <c r="D4377">
        <v>21</v>
      </c>
      <c r="E4377" t="s">
        <v>36</v>
      </c>
      <c r="F4377" t="s">
        <v>50</v>
      </c>
      <c r="G4377" s="2">
        <v>45416</v>
      </c>
      <c r="H4377" s="3">
        <f t="shared" si="68"/>
        <v>1.6493150684931508</v>
      </c>
      <c r="I4377">
        <v>6</v>
      </c>
      <c r="J4377" t="s">
        <v>38</v>
      </c>
      <c r="K4377" t="s">
        <v>48</v>
      </c>
      <c r="L4377" t="s">
        <v>44</v>
      </c>
      <c r="M4377">
        <v>8.4700000000000006</v>
      </c>
      <c r="T4377" t="s">
        <v>49</v>
      </c>
      <c r="U4377">
        <v>0</v>
      </c>
      <c r="V4377">
        <v>3</v>
      </c>
    </row>
    <row r="4378" spans="1:22" x14ac:dyDescent="0.3">
      <c r="A4378">
        <v>4377</v>
      </c>
      <c r="B4378">
        <v>54846</v>
      </c>
      <c r="C4378" s="2">
        <v>38158</v>
      </c>
      <c r="D4378">
        <v>21</v>
      </c>
      <c r="E4378" t="s">
        <v>42</v>
      </c>
      <c r="F4378" t="s">
        <v>37</v>
      </c>
      <c r="G4378" s="2">
        <v>45420</v>
      </c>
      <c r="H4378" s="3">
        <f t="shared" si="68"/>
        <v>1.704109589041096</v>
      </c>
      <c r="I4378">
        <v>7</v>
      </c>
      <c r="J4378" t="s">
        <v>38</v>
      </c>
      <c r="K4378" t="s">
        <v>43</v>
      </c>
      <c r="L4378" t="s">
        <v>44</v>
      </c>
      <c r="M4378">
        <v>16.37</v>
      </c>
      <c r="T4378" t="s">
        <v>45</v>
      </c>
      <c r="U4378">
        <v>1</v>
      </c>
      <c r="V4378">
        <v>6</v>
      </c>
    </row>
    <row r="4379" spans="1:22" x14ac:dyDescent="0.3">
      <c r="A4379">
        <v>4378</v>
      </c>
      <c r="B4379">
        <v>54847</v>
      </c>
      <c r="C4379" s="2">
        <v>34148</v>
      </c>
      <c r="D4379">
        <v>32</v>
      </c>
      <c r="E4379" t="s">
        <v>36</v>
      </c>
      <c r="F4379" t="s">
        <v>50</v>
      </c>
      <c r="G4379" s="2">
        <v>45400</v>
      </c>
      <c r="H4379" s="3">
        <f t="shared" si="68"/>
        <v>1.3315068493150686</v>
      </c>
      <c r="I4379">
        <v>7</v>
      </c>
      <c r="J4379" t="s">
        <v>38</v>
      </c>
      <c r="K4379" t="s">
        <v>46</v>
      </c>
      <c r="L4379" t="s">
        <v>44</v>
      </c>
      <c r="M4379">
        <v>14.23</v>
      </c>
      <c r="T4379" t="s">
        <v>49</v>
      </c>
      <c r="U4379">
        <v>0</v>
      </c>
      <c r="V4379">
        <v>2</v>
      </c>
    </row>
    <row r="4380" spans="1:22" x14ac:dyDescent="0.3">
      <c r="A4380">
        <v>4379</v>
      </c>
      <c r="B4380">
        <v>54848</v>
      </c>
      <c r="C4380" s="2">
        <v>38265</v>
      </c>
      <c r="D4380">
        <v>21</v>
      </c>
      <c r="E4380" t="s">
        <v>42</v>
      </c>
      <c r="F4380" t="s">
        <v>50</v>
      </c>
      <c r="G4380" s="2">
        <v>45536</v>
      </c>
      <c r="H4380" s="3">
        <f t="shared" si="68"/>
        <v>1.1506849315068493</v>
      </c>
      <c r="I4380">
        <v>8</v>
      </c>
      <c r="J4380" t="s">
        <v>38</v>
      </c>
      <c r="K4380" t="s">
        <v>56</v>
      </c>
      <c r="L4380" t="s">
        <v>44</v>
      </c>
      <c r="M4380">
        <v>8.4700000000000006</v>
      </c>
      <c r="T4380" t="s">
        <v>47</v>
      </c>
      <c r="U4380">
        <v>3</v>
      </c>
      <c r="V4380">
        <v>7</v>
      </c>
    </row>
    <row r="4381" spans="1:22" x14ac:dyDescent="0.3">
      <c r="A4381">
        <v>4380</v>
      </c>
      <c r="B4381">
        <v>54849</v>
      </c>
      <c r="C4381" s="2">
        <v>38470</v>
      </c>
      <c r="D4381">
        <v>20</v>
      </c>
      <c r="E4381" t="s">
        <v>42</v>
      </c>
      <c r="F4381" t="s">
        <v>50</v>
      </c>
      <c r="G4381" s="2">
        <v>45602</v>
      </c>
      <c r="H4381" s="3">
        <f t="shared" si="68"/>
        <v>1.5095890410958903</v>
      </c>
      <c r="I4381">
        <v>10</v>
      </c>
      <c r="J4381" t="s">
        <v>38</v>
      </c>
      <c r="K4381" t="s">
        <v>56</v>
      </c>
      <c r="L4381" t="s">
        <v>44</v>
      </c>
      <c r="M4381">
        <v>8.4700000000000006</v>
      </c>
      <c r="T4381" t="s">
        <v>52</v>
      </c>
      <c r="U4381">
        <v>3</v>
      </c>
      <c r="V4381">
        <v>7</v>
      </c>
    </row>
    <row r="4382" spans="1:22" x14ac:dyDescent="0.3">
      <c r="A4382">
        <v>4381</v>
      </c>
      <c r="B4382">
        <v>54850</v>
      </c>
      <c r="C4382" s="2">
        <v>38402</v>
      </c>
      <c r="D4382">
        <v>20</v>
      </c>
      <c r="E4382" t="s">
        <v>42</v>
      </c>
      <c r="F4382" t="s">
        <v>50</v>
      </c>
      <c r="G4382" s="2">
        <v>45471</v>
      </c>
      <c r="H4382" s="3">
        <f t="shared" si="68"/>
        <v>1.5534246575342465</v>
      </c>
      <c r="I4382">
        <v>11</v>
      </c>
      <c r="J4382" t="s">
        <v>38</v>
      </c>
      <c r="K4382" t="s">
        <v>56</v>
      </c>
      <c r="L4382" t="s">
        <v>44</v>
      </c>
      <c r="M4382">
        <v>8.4700000000000006</v>
      </c>
      <c r="T4382" t="s">
        <v>47</v>
      </c>
      <c r="U4382">
        <v>3</v>
      </c>
      <c r="V4382">
        <v>6</v>
      </c>
    </row>
    <row r="4383" spans="1:22" x14ac:dyDescent="0.3">
      <c r="A4383">
        <v>4382</v>
      </c>
      <c r="B4383">
        <v>54851</v>
      </c>
      <c r="C4383" s="2">
        <v>39092</v>
      </c>
      <c r="D4383">
        <v>18</v>
      </c>
      <c r="E4383" t="s">
        <v>42</v>
      </c>
      <c r="F4383" t="s">
        <v>50</v>
      </c>
      <c r="G4383" s="2">
        <v>45455</v>
      </c>
      <c r="H4383" s="3">
        <f t="shared" si="68"/>
        <v>1.4767123287671233</v>
      </c>
      <c r="I4383">
        <v>12</v>
      </c>
      <c r="J4383" t="s">
        <v>38</v>
      </c>
      <c r="K4383" t="s">
        <v>56</v>
      </c>
      <c r="L4383" t="s">
        <v>44</v>
      </c>
      <c r="M4383">
        <v>8.4700000000000006</v>
      </c>
      <c r="T4383" t="s">
        <v>45</v>
      </c>
      <c r="U4383">
        <v>0</v>
      </c>
      <c r="V4383">
        <v>6</v>
      </c>
    </row>
    <row r="4384" spans="1:22" x14ac:dyDescent="0.3">
      <c r="A4384">
        <v>4383</v>
      </c>
      <c r="B4384">
        <v>54852</v>
      </c>
      <c r="C4384" s="2">
        <v>37339</v>
      </c>
      <c r="D4384">
        <v>23</v>
      </c>
      <c r="E4384" t="s">
        <v>36</v>
      </c>
      <c r="F4384" t="s">
        <v>37</v>
      </c>
      <c r="G4384" s="2">
        <v>45483</v>
      </c>
      <c r="H4384" s="3">
        <f t="shared" si="68"/>
        <v>1.4191780821917808</v>
      </c>
      <c r="I4384">
        <v>13</v>
      </c>
      <c r="J4384" t="s">
        <v>38</v>
      </c>
      <c r="K4384" t="s">
        <v>68</v>
      </c>
      <c r="L4384" t="s">
        <v>44</v>
      </c>
      <c r="M4384">
        <v>17</v>
      </c>
      <c r="T4384" t="s">
        <v>52</v>
      </c>
      <c r="U4384">
        <v>4</v>
      </c>
      <c r="V4384">
        <v>6</v>
      </c>
    </row>
    <row r="4385" spans="1:22" x14ac:dyDescent="0.3">
      <c r="A4385">
        <v>4384</v>
      </c>
      <c r="B4385">
        <v>54853</v>
      </c>
      <c r="C4385" s="2">
        <v>33637</v>
      </c>
      <c r="D4385">
        <v>33</v>
      </c>
      <c r="E4385" t="s">
        <v>42</v>
      </c>
      <c r="F4385" t="s">
        <v>50</v>
      </c>
      <c r="G4385" s="2">
        <v>45504</v>
      </c>
      <c r="H4385" s="3">
        <f t="shared" si="68"/>
        <v>1.484931506849315</v>
      </c>
      <c r="I4385">
        <v>13</v>
      </c>
      <c r="J4385" t="s">
        <v>38</v>
      </c>
      <c r="K4385" t="s">
        <v>56</v>
      </c>
      <c r="L4385" t="s">
        <v>44</v>
      </c>
      <c r="M4385">
        <v>8.4700000000000006</v>
      </c>
      <c r="T4385" t="s">
        <v>49</v>
      </c>
      <c r="U4385">
        <v>3</v>
      </c>
      <c r="V4385">
        <v>6</v>
      </c>
    </row>
    <row r="4386" spans="1:22" x14ac:dyDescent="0.3">
      <c r="A4386">
        <v>4385</v>
      </c>
      <c r="B4386">
        <v>54854</v>
      </c>
      <c r="C4386" s="2">
        <v>38120</v>
      </c>
      <c r="D4386">
        <v>21</v>
      </c>
      <c r="E4386" t="s">
        <v>42</v>
      </c>
      <c r="F4386" t="s">
        <v>50</v>
      </c>
      <c r="G4386" s="2">
        <v>45480</v>
      </c>
      <c r="H4386" s="3">
        <f t="shared" si="68"/>
        <v>1.0630136986301371</v>
      </c>
      <c r="I4386">
        <v>15</v>
      </c>
      <c r="J4386" t="s">
        <v>38</v>
      </c>
      <c r="K4386" t="s">
        <v>48</v>
      </c>
      <c r="L4386" t="s">
        <v>44</v>
      </c>
      <c r="M4386">
        <v>8.4700000000000006</v>
      </c>
      <c r="T4386" t="s">
        <v>52</v>
      </c>
      <c r="U4386">
        <v>2</v>
      </c>
      <c r="V4386">
        <v>6</v>
      </c>
    </row>
    <row r="4387" spans="1:22" x14ac:dyDescent="0.3">
      <c r="A4387">
        <v>4386</v>
      </c>
      <c r="B4387">
        <v>54855</v>
      </c>
      <c r="C4387" s="2">
        <v>36608</v>
      </c>
      <c r="D4387">
        <v>25</v>
      </c>
      <c r="E4387" t="s">
        <v>42</v>
      </c>
      <c r="F4387" t="s">
        <v>37</v>
      </c>
      <c r="G4387" s="2">
        <v>45634</v>
      </c>
      <c r="H4387" s="3">
        <f t="shared" si="68"/>
        <v>1.4109589041095891</v>
      </c>
      <c r="I4387">
        <v>17</v>
      </c>
      <c r="J4387" t="s">
        <v>38</v>
      </c>
      <c r="K4387" t="s">
        <v>65</v>
      </c>
      <c r="L4387" t="s">
        <v>44</v>
      </c>
      <c r="M4387">
        <v>10.64</v>
      </c>
      <c r="T4387" t="s">
        <v>49</v>
      </c>
      <c r="U4387">
        <v>0</v>
      </c>
      <c r="V4387">
        <v>4</v>
      </c>
    </row>
    <row r="4388" spans="1:22" x14ac:dyDescent="0.3">
      <c r="A4388">
        <v>4387</v>
      </c>
      <c r="B4388">
        <v>54856</v>
      </c>
      <c r="C4388" s="2">
        <v>34306</v>
      </c>
      <c r="D4388">
        <v>32</v>
      </c>
      <c r="E4388" t="s">
        <v>36</v>
      </c>
      <c r="F4388" t="s">
        <v>50</v>
      </c>
      <c r="G4388" s="2">
        <v>45507</v>
      </c>
      <c r="H4388" s="3">
        <f t="shared" si="68"/>
        <v>1.3013698630136987</v>
      </c>
      <c r="I4388">
        <v>17</v>
      </c>
      <c r="J4388" t="s">
        <v>38</v>
      </c>
      <c r="K4388" t="s">
        <v>46</v>
      </c>
      <c r="L4388" t="s">
        <v>44</v>
      </c>
      <c r="M4388">
        <v>14.23</v>
      </c>
      <c r="T4388" t="s">
        <v>52</v>
      </c>
      <c r="U4388">
        <v>1</v>
      </c>
      <c r="V4388">
        <v>4</v>
      </c>
    </row>
    <row r="4389" spans="1:22" x14ac:dyDescent="0.3">
      <c r="A4389">
        <v>4388</v>
      </c>
      <c r="B4389">
        <v>54857</v>
      </c>
      <c r="C4389" s="2">
        <v>38061</v>
      </c>
      <c r="D4389">
        <v>21</v>
      </c>
      <c r="E4389" t="s">
        <v>36</v>
      </c>
      <c r="F4389" t="s">
        <v>50</v>
      </c>
      <c r="G4389" s="2">
        <v>45547</v>
      </c>
      <c r="H4389" s="3">
        <f t="shared" si="68"/>
        <v>1.2986301369863014</v>
      </c>
      <c r="I4389">
        <v>17</v>
      </c>
      <c r="J4389" t="s">
        <v>38</v>
      </c>
      <c r="K4389" t="s">
        <v>64</v>
      </c>
      <c r="L4389" t="s">
        <v>44</v>
      </c>
      <c r="M4389">
        <v>14.07</v>
      </c>
      <c r="T4389" t="s">
        <v>52</v>
      </c>
      <c r="U4389">
        <v>1</v>
      </c>
      <c r="V4389">
        <v>3</v>
      </c>
    </row>
    <row r="4390" spans="1:22" x14ac:dyDescent="0.3">
      <c r="A4390">
        <v>4389</v>
      </c>
      <c r="B4390">
        <v>54858</v>
      </c>
      <c r="C4390" s="2">
        <v>35753</v>
      </c>
      <c r="D4390">
        <v>28</v>
      </c>
      <c r="E4390" t="s">
        <v>42</v>
      </c>
      <c r="F4390" t="s">
        <v>37</v>
      </c>
      <c r="G4390" s="2">
        <v>45548</v>
      </c>
      <c r="H4390" s="3">
        <f t="shared" si="68"/>
        <v>1.4465753424657535</v>
      </c>
      <c r="I4390">
        <v>18</v>
      </c>
      <c r="J4390" t="s">
        <v>38</v>
      </c>
      <c r="K4390" t="s">
        <v>48</v>
      </c>
      <c r="L4390" t="s">
        <v>44</v>
      </c>
      <c r="M4390">
        <v>8.4700000000000006</v>
      </c>
      <c r="T4390" t="s">
        <v>47</v>
      </c>
      <c r="U4390">
        <v>1</v>
      </c>
      <c r="V4390">
        <v>5</v>
      </c>
    </row>
    <row r="4391" spans="1:22" x14ac:dyDescent="0.3">
      <c r="A4391">
        <v>4390</v>
      </c>
      <c r="B4391">
        <v>54859</v>
      </c>
      <c r="C4391" s="2">
        <v>36887</v>
      </c>
      <c r="D4391">
        <v>25</v>
      </c>
      <c r="E4391" t="s">
        <v>36</v>
      </c>
      <c r="F4391" t="s">
        <v>50</v>
      </c>
      <c r="G4391" s="2">
        <v>45494</v>
      </c>
      <c r="H4391" s="3">
        <f t="shared" si="68"/>
        <v>1.3013698630136987</v>
      </c>
      <c r="I4391">
        <v>19</v>
      </c>
      <c r="J4391" t="s">
        <v>38</v>
      </c>
      <c r="K4391" t="s">
        <v>56</v>
      </c>
      <c r="L4391" t="s">
        <v>44</v>
      </c>
      <c r="M4391">
        <v>8.4700000000000006</v>
      </c>
      <c r="T4391" t="s">
        <v>49</v>
      </c>
      <c r="U4391">
        <v>4</v>
      </c>
      <c r="V4391">
        <v>5</v>
      </c>
    </row>
    <row r="4392" spans="1:22" x14ac:dyDescent="0.3">
      <c r="A4392">
        <v>4391</v>
      </c>
      <c r="B4392">
        <v>54860</v>
      </c>
      <c r="C4392" s="2">
        <v>39048</v>
      </c>
      <c r="D4392">
        <v>19</v>
      </c>
      <c r="E4392" t="s">
        <v>42</v>
      </c>
      <c r="F4392" t="s">
        <v>50</v>
      </c>
      <c r="G4392" s="2">
        <v>45547</v>
      </c>
      <c r="H4392" s="3">
        <f t="shared" si="68"/>
        <v>1.5041095890410958</v>
      </c>
      <c r="I4392">
        <v>19</v>
      </c>
      <c r="J4392" t="s">
        <v>38</v>
      </c>
      <c r="K4392" t="s">
        <v>56</v>
      </c>
      <c r="L4392" t="s">
        <v>44</v>
      </c>
      <c r="M4392">
        <v>8.4700000000000006</v>
      </c>
      <c r="T4392" t="s">
        <v>47</v>
      </c>
      <c r="U4392">
        <v>0</v>
      </c>
      <c r="V4392">
        <v>6</v>
      </c>
    </row>
    <row r="4393" spans="1:22" x14ac:dyDescent="0.3">
      <c r="A4393">
        <v>4392</v>
      </c>
      <c r="B4393">
        <v>54861</v>
      </c>
      <c r="C4393" s="2">
        <v>34507</v>
      </c>
      <c r="D4393">
        <v>31</v>
      </c>
      <c r="E4393" t="s">
        <v>36</v>
      </c>
      <c r="F4393" t="s">
        <v>37</v>
      </c>
      <c r="G4393" s="2">
        <v>45473</v>
      </c>
      <c r="H4393" s="3">
        <f t="shared" si="68"/>
        <v>1.6575342465753424</v>
      </c>
      <c r="I4393">
        <v>19</v>
      </c>
      <c r="J4393" t="s">
        <v>38</v>
      </c>
      <c r="K4393" t="s">
        <v>56</v>
      </c>
      <c r="L4393" t="s">
        <v>44</v>
      </c>
      <c r="M4393">
        <v>8.4700000000000006</v>
      </c>
      <c r="T4393" t="s">
        <v>47</v>
      </c>
      <c r="U4393">
        <v>1</v>
      </c>
      <c r="V4393">
        <v>4</v>
      </c>
    </row>
    <row r="4394" spans="1:22" x14ac:dyDescent="0.3">
      <c r="A4394">
        <v>4393</v>
      </c>
      <c r="B4394">
        <v>54862</v>
      </c>
      <c r="C4394" s="2">
        <v>35844</v>
      </c>
      <c r="D4394">
        <v>27</v>
      </c>
      <c r="E4394" t="s">
        <v>42</v>
      </c>
      <c r="F4394" t="s">
        <v>37</v>
      </c>
      <c r="G4394" s="2">
        <v>45417</v>
      </c>
      <c r="H4394" s="3">
        <f t="shared" si="68"/>
        <v>1.6739726027397259</v>
      </c>
      <c r="I4394">
        <v>20</v>
      </c>
      <c r="J4394" t="s">
        <v>38</v>
      </c>
      <c r="K4394" t="s">
        <v>43</v>
      </c>
      <c r="L4394" t="s">
        <v>44</v>
      </c>
      <c r="M4394">
        <v>16.37</v>
      </c>
      <c r="T4394" t="s">
        <v>45</v>
      </c>
      <c r="U4394">
        <v>0</v>
      </c>
      <c r="V4394">
        <v>4</v>
      </c>
    </row>
    <row r="4395" spans="1:22" x14ac:dyDescent="0.3">
      <c r="A4395">
        <v>4394</v>
      </c>
      <c r="B4395">
        <v>54863</v>
      </c>
      <c r="C4395" s="2">
        <v>38343</v>
      </c>
      <c r="D4395">
        <v>21</v>
      </c>
      <c r="E4395" t="s">
        <v>42</v>
      </c>
      <c r="F4395" t="s">
        <v>50</v>
      </c>
      <c r="G4395" s="2">
        <v>45411</v>
      </c>
      <c r="H4395" s="3">
        <f t="shared" si="68"/>
        <v>1.2602739726027397</v>
      </c>
      <c r="I4395">
        <v>20</v>
      </c>
      <c r="J4395" t="s">
        <v>38</v>
      </c>
      <c r="K4395" t="s">
        <v>46</v>
      </c>
      <c r="L4395" t="s">
        <v>44</v>
      </c>
      <c r="M4395">
        <v>14.23</v>
      </c>
      <c r="T4395" t="s">
        <v>52</v>
      </c>
      <c r="U4395">
        <v>1</v>
      </c>
      <c r="V4395">
        <v>5</v>
      </c>
    </row>
    <row r="4396" spans="1:22" x14ac:dyDescent="0.3">
      <c r="A4396">
        <v>4395</v>
      </c>
      <c r="B4396">
        <v>54864</v>
      </c>
      <c r="C4396" s="2">
        <v>38698</v>
      </c>
      <c r="D4396">
        <v>20</v>
      </c>
      <c r="E4396" t="s">
        <v>42</v>
      </c>
      <c r="F4396" t="s">
        <v>50</v>
      </c>
      <c r="G4396" s="2">
        <v>45562</v>
      </c>
      <c r="H4396" s="3">
        <f t="shared" si="68"/>
        <v>1.4219178082191781</v>
      </c>
      <c r="I4396">
        <v>20</v>
      </c>
      <c r="J4396" t="s">
        <v>38</v>
      </c>
      <c r="K4396" t="s">
        <v>56</v>
      </c>
      <c r="L4396" t="s">
        <v>44</v>
      </c>
      <c r="M4396">
        <v>8.4700000000000006</v>
      </c>
      <c r="T4396" t="s">
        <v>45</v>
      </c>
      <c r="U4396">
        <v>2</v>
      </c>
      <c r="V4396">
        <v>7</v>
      </c>
    </row>
    <row r="4397" spans="1:22" x14ac:dyDescent="0.3">
      <c r="A4397">
        <v>4396</v>
      </c>
      <c r="B4397">
        <v>54865</v>
      </c>
      <c r="C4397" s="2">
        <v>39335</v>
      </c>
      <c r="D4397">
        <v>18</v>
      </c>
      <c r="E4397" t="s">
        <v>42</v>
      </c>
      <c r="F4397" t="s">
        <v>50</v>
      </c>
      <c r="G4397" s="2">
        <v>45503</v>
      </c>
      <c r="H4397" s="3">
        <f t="shared" si="68"/>
        <v>1.3452054794520547</v>
      </c>
      <c r="I4397">
        <v>20</v>
      </c>
      <c r="J4397" t="s">
        <v>38</v>
      </c>
      <c r="K4397" t="s">
        <v>56</v>
      </c>
      <c r="L4397" t="s">
        <v>44</v>
      </c>
      <c r="M4397">
        <v>8.4700000000000006</v>
      </c>
      <c r="T4397" t="s">
        <v>52</v>
      </c>
      <c r="U4397">
        <v>1</v>
      </c>
      <c r="V4397">
        <v>5</v>
      </c>
    </row>
    <row r="4398" spans="1:22" x14ac:dyDescent="0.3">
      <c r="A4398">
        <v>4397</v>
      </c>
      <c r="B4398">
        <v>54866</v>
      </c>
      <c r="C4398" s="2">
        <v>38553</v>
      </c>
      <c r="D4398">
        <v>20</v>
      </c>
      <c r="E4398" t="s">
        <v>42</v>
      </c>
      <c r="F4398" t="s">
        <v>50</v>
      </c>
      <c r="G4398" s="2">
        <v>45531</v>
      </c>
      <c r="H4398" s="3">
        <f t="shared" si="68"/>
        <v>1.0191780821917809</v>
      </c>
      <c r="I4398">
        <v>20</v>
      </c>
      <c r="J4398" t="s">
        <v>38</v>
      </c>
      <c r="K4398" t="s">
        <v>56</v>
      </c>
      <c r="L4398" t="s">
        <v>44</v>
      </c>
      <c r="M4398">
        <v>8.4700000000000006</v>
      </c>
      <c r="T4398" t="s">
        <v>47</v>
      </c>
      <c r="U4398">
        <v>2</v>
      </c>
      <c r="V4398">
        <v>6</v>
      </c>
    </row>
    <row r="4399" spans="1:22" x14ac:dyDescent="0.3">
      <c r="A4399">
        <v>4398</v>
      </c>
      <c r="B4399">
        <v>54867</v>
      </c>
      <c r="C4399" s="2">
        <v>37790</v>
      </c>
      <c r="D4399">
        <v>22</v>
      </c>
      <c r="E4399" t="s">
        <v>42</v>
      </c>
      <c r="F4399" t="s">
        <v>50</v>
      </c>
      <c r="G4399" s="2">
        <v>45650</v>
      </c>
      <c r="H4399" s="3">
        <f t="shared" si="68"/>
        <v>1.8054794520547945</v>
      </c>
      <c r="I4399">
        <v>20</v>
      </c>
      <c r="J4399" t="s">
        <v>38</v>
      </c>
      <c r="K4399" t="s">
        <v>56</v>
      </c>
      <c r="L4399" t="s">
        <v>44</v>
      </c>
      <c r="M4399">
        <v>8.4700000000000006</v>
      </c>
      <c r="T4399" t="s">
        <v>52</v>
      </c>
      <c r="U4399">
        <v>1</v>
      </c>
      <c r="V4399">
        <v>6</v>
      </c>
    </row>
    <row r="4400" spans="1:22" x14ac:dyDescent="0.3">
      <c r="A4400">
        <v>4399</v>
      </c>
      <c r="B4400">
        <v>54868</v>
      </c>
      <c r="C4400" s="2">
        <v>38205</v>
      </c>
      <c r="D4400">
        <v>21</v>
      </c>
      <c r="E4400" t="s">
        <v>42</v>
      </c>
      <c r="F4400" t="s">
        <v>50</v>
      </c>
      <c r="G4400" s="2">
        <v>45363</v>
      </c>
      <c r="H4400" s="3">
        <f t="shared" si="68"/>
        <v>1.6191780821917807</v>
      </c>
      <c r="I4400">
        <v>21</v>
      </c>
      <c r="J4400" t="s">
        <v>38</v>
      </c>
      <c r="K4400" t="s">
        <v>48</v>
      </c>
      <c r="L4400" t="s">
        <v>44</v>
      </c>
      <c r="M4400">
        <v>8.4700000000000006</v>
      </c>
      <c r="T4400" t="s">
        <v>45</v>
      </c>
      <c r="U4400">
        <v>0</v>
      </c>
      <c r="V4400">
        <v>5</v>
      </c>
    </row>
    <row r="4401" spans="1:22" x14ac:dyDescent="0.3">
      <c r="A4401">
        <v>4400</v>
      </c>
      <c r="B4401">
        <v>54869</v>
      </c>
      <c r="C4401" s="2">
        <v>39250</v>
      </c>
      <c r="D4401">
        <v>18</v>
      </c>
      <c r="E4401" t="s">
        <v>42</v>
      </c>
      <c r="F4401" t="s">
        <v>50</v>
      </c>
      <c r="G4401" s="2">
        <v>45431</v>
      </c>
      <c r="H4401" s="3">
        <f t="shared" si="68"/>
        <v>1.3945205479452054</v>
      </c>
      <c r="I4401">
        <v>21</v>
      </c>
      <c r="J4401" t="s">
        <v>38</v>
      </c>
      <c r="K4401" t="s">
        <v>56</v>
      </c>
      <c r="L4401" t="s">
        <v>44</v>
      </c>
      <c r="M4401">
        <v>8.4700000000000006</v>
      </c>
      <c r="T4401" t="s">
        <v>47</v>
      </c>
      <c r="U4401">
        <v>3</v>
      </c>
      <c r="V4401">
        <v>6</v>
      </c>
    </row>
    <row r="4402" spans="1:22" x14ac:dyDescent="0.3">
      <c r="A4402">
        <v>4401</v>
      </c>
      <c r="B4402">
        <v>54870</v>
      </c>
      <c r="C4402" s="2">
        <v>33717</v>
      </c>
      <c r="D4402">
        <v>33</v>
      </c>
      <c r="E4402" t="s">
        <v>42</v>
      </c>
      <c r="F4402" t="s">
        <v>50</v>
      </c>
      <c r="G4402" s="2">
        <v>45513</v>
      </c>
      <c r="H4402" s="3">
        <f t="shared" si="68"/>
        <v>1.1616438356164382</v>
      </c>
      <c r="I4402">
        <v>22</v>
      </c>
      <c r="J4402" t="s">
        <v>38</v>
      </c>
      <c r="K4402" t="s">
        <v>68</v>
      </c>
      <c r="L4402" t="s">
        <v>44</v>
      </c>
      <c r="M4402">
        <v>17</v>
      </c>
      <c r="T4402" t="s">
        <v>52</v>
      </c>
      <c r="U4402">
        <v>2</v>
      </c>
      <c r="V4402">
        <v>6</v>
      </c>
    </row>
    <row r="4403" spans="1:22" x14ac:dyDescent="0.3">
      <c r="A4403">
        <v>4402</v>
      </c>
      <c r="B4403">
        <v>54871</v>
      </c>
      <c r="C4403" s="2">
        <v>37371</v>
      </c>
      <c r="D4403">
        <v>23</v>
      </c>
      <c r="E4403" t="s">
        <v>42</v>
      </c>
      <c r="F4403" t="s">
        <v>50</v>
      </c>
      <c r="G4403" s="2">
        <v>45598</v>
      </c>
      <c r="H4403" s="3">
        <f t="shared" si="68"/>
        <v>1.2575342465753425</v>
      </c>
      <c r="I4403">
        <v>23</v>
      </c>
      <c r="J4403" t="s">
        <v>38</v>
      </c>
      <c r="K4403" t="s">
        <v>48</v>
      </c>
      <c r="L4403" t="s">
        <v>44</v>
      </c>
      <c r="M4403">
        <v>8.4700000000000006</v>
      </c>
      <c r="T4403" t="s">
        <v>45</v>
      </c>
      <c r="U4403">
        <v>4</v>
      </c>
      <c r="V4403">
        <v>6</v>
      </c>
    </row>
    <row r="4404" spans="1:22" x14ac:dyDescent="0.3">
      <c r="A4404">
        <v>4403</v>
      </c>
      <c r="B4404">
        <v>54872</v>
      </c>
      <c r="C4404" s="2">
        <v>38265</v>
      </c>
      <c r="D4404">
        <v>21</v>
      </c>
      <c r="E4404" t="s">
        <v>42</v>
      </c>
      <c r="F4404" t="s">
        <v>37</v>
      </c>
      <c r="G4404" s="2">
        <v>45563</v>
      </c>
      <c r="H4404" s="3">
        <f t="shared" si="68"/>
        <v>1.6109589041095891</v>
      </c>
      <c r="I4404">
        <v>23</v>
      </c>
      <c r="J4404" t="s">
        <v>38</v>
      </c>
      <c r="K4404" t="s">
        <v>48</v>
      </c>
      <c r="L4404" t="s">
        <v>44</v>
      </c>
      <c r="M4404">
        <v>8.4700000000000006</v>
      </c>
      <c r="T4404" t="s">
        <v>45</v>
      </c>
      <c r="U4404">
        <v>2</v>
      </c>
      <c r="V4404">
        <v>6</v>
      </c>
    </row>
    <row r="4405" spans="1:22" x14ac:dyDescent="0.3">
      <c r="A4405">
        <v>4404</v>
      </c>
      <c r="B4405">
        <v>54873</v>
      </c>
      <c r="C4405" s="2">
        <v>34761</v>
      </c>
      <c r="D4405">
        <v>30</v>
      </c>
      <c r="E4405" t="s">
        <v>42</v>
      </c>
      <c r="F4405" t="s">
        <v>50</v>
      </c>
      <c r="G4405" s="2">
        <v>45434</v>
      </c>
      <c r="H4405" s="3">
        <f t="shared" si="68"/>
        <v>1.3232876712328767</v>
      </c>
      <c r="I4405">
        <v>23</v>
      </c>
      <c r="J4405" t="s">
        <v>38</v>
      </c>
      <c r="K4405" t="s">
        <v>56</v>
      </c>
      <c r="L4405" t="s">
        <v>44</v>
      </c>
      <c r="M4405">
        <v>8.4700000000000006</v>
      </c>
      <c r="T4405" t="s">
        <v>47</v>
      </c>
      <c r="U4405">
        <v>2</v>
      </c>
      <c r="V4405">
        <v>7</v>
      </c>
    </row>
    <row r="4406" spans="1:22" x14ac:dyDescent="0.3">
      <c r="A4406">
        <v>4405</v>
      </c>
      <c r="B4406">
        <v>54874</v>
      </c>
      <c r="C4406" s="2">
        <v>36368</v>
      </c>
      <c r="D4406">
        <v>26</v>
      </c>
      <c r="E4406" t="s">
        <v>36</v>
      </c>
      <c r="F4406" t="s">
        <v>50</v>
      </c>
      <c r="G4406" s="2">
        <v>45539</v>
      </c>
      <c r="H4406" s="3">
        <f t="shared" si="68"/>
        <v>1.7917808219178082</v>
      </c>
      <c r="I4406">
        <v>24</v>
      </c>
      <c r="J4406" t="s">
        <v>38</v>
      </c>
      <c r="K4406" t="s">
        <v>68</v>
      </c>
      <c r="L4406" t="s">
        <v>44</v>
      </c>
      <c r="M4406">
        <v>17</v>
      </c>
      <c r="T4406" t="s">
        <v>52</v>
      </c>
      <c r="U4406">
        <v>1</v>
      </c>
      <c r="V4406">
        <v>3</v>
      </c>
    </row>
    <row r="4407" spans="1:22" x14ac:dyDescent="0.3">
      <c r="A4407">
        <v>4406</v>
      </c>
      <c r="B4407">
        <v>54875</v>
      </c>
      <c r="C4407" s="2">
        <v>39293</v>
      </c>
      <c r="D4407">
        <v>18</v>
      </c>
      <c r="E4407" t="s">
        <v>36</v>
      </c>
      <c r="F4407" t="s">
        <v>50</v>
      </c>
      <c r="G4407" s="2">
        <v>45368</v>
      </c>
      <c r="H4407" s="3">
        <f t="shared" si="68"/>
        <v>1.0301369863013699</v>
      </c>
      <c r="I4407">
        <v>24</v>
      </c>
      <c r="J4407" t="s">
        <v>38</v>
      </c>
      <c r="K4407" t="s">
        <v>48</v>
      </c>
      <c r="L4407" t="s">
        <v>44</v>
      </c>
      <c r="M4407">
        <v>8.4700000000000006</v>
      </c>
      <c r="T4407" t="s">
        <v>52</v>
      </c>
      <c r="U4407">
        <v>2</v>
      </c>
      <c r="V4407">
        <v>6</v>
      </c>
    </row>
    <row r="4408" spans="1:22" x14ac:dyDescent="0.3">
      <c r="A4408">
        <v>4407</v>
      </c>
      <c r="B4408">
        <v>54876</v>
      </c>
      <c r="C4408" s="2">
        <v>37903</v>
      </c>
      <c r="D4408">
        <v>22</v>
      </c>
      <c r="E4408" t="s">
        <v>42</v>
      </c>
      <c r="F4408" t="s">
        <v>50</v>
      </c>
      <c r="G4408" s="2">
        <v>45646</v>
      </c>
      <c r="H4408" s="3">
        <f t="shared" si="68"/>
        <v>1.2547945205479452</v>
      </c>
      <c r="I4408">
        <v>24</v>
      </c>
      <c r="J4408" t="s">
        <v>38</v>
      </c>
      <c r="K4408" t="s">
        <v>56</v>
      </c>
      <c r="L4408" t="s">
        <v>44</v>
      </c>
      <c r="M4408">
        <v>8.4700000000000006</v>
      </c>
      <c r="T4408" t="s">
        <v>49</v>
      </c>
      <c r="U4408">
        <v>1</v>
      </c>
      <c r="V4408">
        <v>6</v>
      </c>
    </row>
    <row r="4409" spans="1:22" x14ac:dyDescent="0.3">
      <c r="A4409">
        <v>4408</v>
      </c>
      <c r="B4409">
        <v>54877</v>
      </c>
      <c r="C4409" s="2">
        <v>38135</v>
      </c>
      <c r="D4409">
        <v>21</v>
      </c>
      <c r="E4409" t="s">
        <v>42</v>
      </c>
      <c r="F4409" t="s">
        <v>37</v>
      </c>
      <c r="G4409" s="2">
        <v>45564</v>
      </c>
      <c r="H4409" s="3">
        <f t="shared" si="68"/>
        <v>1.5287671232876712</v>
      </c>
      <c r="I4409">
        <v>25</v>
      </c>
      <c r="J4409" t="s">
        <v>38</v>
      </c>
      <c r="K4409" t="s">
        <v>65</v>
      </c>
      <c r="L4409" t="s">
        <v>44</v>
      </c>
      <c r="M4409">
        <v>10.64</v>
      </c>
      <c r="T4409" t="s">
        <v>52</v>
      </c>
      <c r="U4409">
        <v>0</v>
      </c>
      <c r="V4409">
        <v>4</v>
      </c>
    </row>
    <row r="4410" spans="1:22" x14ac:dyDescent="0.3">
      <c r="A4410">
        <v>4409</v>
      </c>
      <c r="B4410">
        <v>54878</v>
      </c>
      <c r="C4410" s="2">
        <v>38218</v>
      </c>
      <c r="D4410">
        <v>21</v>
      </c>
      <c r="E4410" t="s">
        <v>42</v>
      </c>
      <c r="F4410" t="s">
        <v>50</v>
      </c>
      <c r="G4410" s="2">
        <v>45464</v>
      </c>
      <c r="H4410" s="3">
        <f t="shared" si="68"/>
        <v>1.6986301369863013</v>
      </c>
      <c r="I4410">
        <v>26</v>
      </c>
      <c r="J4410" t="s">
        <v>38</v>
      </c>
      <c r="K4410" t="s">
        <v>65</v>
      </c>
      <c r="L4410" t="s">
        <v>44</v>
      </c>
      <c r="M4410">
        <v>10.64</v>
      </c>
      <c r="T4410" t="s">
        <v>45</v>
      </c>
      <c r="U4410">
        <v>1</v>
      </c>
      <c r="V4410">
        <v>5</v>
      </c>
    </row>
    <row r="4411" spans="1:22" x14ac:dyDescent="0.3">
      <c r="A4411">
        <v>4410</v>
      </c>
      <c r="B4411">
        <v>54879</v>
      </c>
      <c r="C4411" s="2">
        <v>35045</v>
      </c>
      <c r="D4411">
        <v>30</v>
      </c>
      <c r="E4411" t="s">
        <v>42</v>
      </c>
      <c r="F4411" t="s">
        <v>50</v>
      </c>
      <c r="G4411" s="2">
        <v>45402</v>
      </c>
      <c r="H4411" s="3">
        <f t="shared" si="68"/>
        <v>1.2054794520547945</v>
      </c>
      <c r="I4411">
        <v>27</v>
      </c>
      <c r="J4411" t="s">
        <v>38</v>
      </c>
      <c r="K4411" t="s">
        <v>46</v>
      </c>
      <c r="L4411" t="s">
        <v>44</v>
      </c>
      <c r="M4411">
        <v>14.23</v>
      </c>
      <c r="T4411" t="s">
        <v>49</v>
      </c>
      <c r="U4411">
        <v>1</v>
      </c>
      <c r="V4411">
        <v>7</v>
      </c>
    </row>
    <row r="4412" spans="1:22" x14ac:dyDescent="0.3">
      <c r="A4412">
        <v>4411</v>
      </c>
      <c r="B4412">
        <v>54880</v>
      </c>
      <c r="C4412" s="2">
        <v>35991</v>
      </c>
      <c r="D4412">
        <v>27</v>
      </c>
      <c r="E4412" t="s">
        <v>42</v>
      </c>
      <c r="F4412" t="s">
        <v>37</v>
      </c>
      <c r="G4412" s="2">
        <v>45582</v>
      </c>
      <c r="H4412" s="3">
        <f t="shared" si="68"/>
        <v>1.3150684931506849</v>
      </c>
      <c r="I4412">
        <v>27</v>
      </c>
      <c r="J4412" t="s">
        <v>38</v>
      </c>
      <c r="K4412" t="s">
        <v>56</v>
      </c>
      <c r="L4412" t="s">
        <v>44</v>
      </c>
      <c r="M4412">
        <v>8.4700000000000006</v>
      </c>
      <c r="T4412" t="s">
        <v>45</v>
      </c>
      <c r="U4412">
        <v>4</v>
      </c>
      <c r="V4412">
        <v>4</v>
      </c>
    </row>
    <row r="4413" spans="1:22" x14ac:dyDescent="0.3">
      <c r="A4413">
        <v>4412</v>
      </c>
      <c r="B4413">
        <v>54881</v>
      </c>
      <c r="C4413" s="2">
        <v>38093</v>
      </c>
      <c r="D4413">
        <v>21</v>
      </c>
      <c r="E4413" t="s">
        <v>42</v>
      </c>
      <c r="F4413" t="s">
        <v>50</v>
      </c>
      <c r="G4413" s="2">
        <v>45542</v>
      </c>
      <c r="H4413" s="3">
        <f t="shared" si="68"/>
        <v>1.5397260273972602</v>
      </c>
      <c r="I4413">
        <v>28</v>
      </c>
      <c r="J4413" t="s">
        <v>38</v>
      </c>
      <c r="K4413" t="s">
        <v>64</v>
      </c>
      <c r="L4413" t="s">
        <v>44</v>
      </c>
      <c r="M4413">
        <v>14.07</v>
      </c>
      <c r="T4413" t="s">
        <v>45</v>
      </c>
      <c r="U4413">
        <v>0</v>
      </c>
      <c r="V4413">
        <v>5</v>
      </c>
    </row>
    <row r="4414" spans="1:22" x14ac:dyDescent="0.3">
      <c r="A4414">
        <v>4413</v>
      </c>
      <c r="B4414">
        <v>54882</v>
      </c>
      <c r="C4414" s="2">
        <v>34823</v>
      </c>
      <c r="D4414">
        <v>30</v>
      </c>
      <c r="E4414" t="s">
        <v>42</v>
      </c>
      <c r="F4414" t="s">
        <v>37</v>
      </c>
      <c r="G4414" s="2">
        <v>45460</v>
      </c>
      <c r="H4414" s="3">
        <f t="shared" si="68"/>
        <v>1.2356164383561643</v>
      </c>
      <c r="I4414">
        <v>28</v>
      </c>
      <c r="J4414" t="s">
        <v>38</v>
      </c>
      <c r="K4414" t="s">
        <v>56</v>
      </c>
      <c r="L4414" t="s">
        <v>44</v>
      </c>
      <c r="M4414">
        <v>8.4700000000000006</v>
      </c>
      <c r="T4414" t="s">
        <v>45</v>
      </c>
      <c r="U4414">
        <v>2</v>
      </c>
      <c r="V4414">
        <v>6</v>
      </c>
    </row>
    <row r="4415" spans="1:22" x14ac:dyDescent="0.3">
      <c r="A4415">
        <v>4414</v>
      </c>
      <c r="B4415">
        <v>54883</v>
      </c>
      <c r="C4415" s="2">
        <v>35759</v>
      </c>
      <c r="D4415">
        <v>28</v>
      </c>
      <c r="E4415" t="s">
        <v>42</v>
      </c>
      <c r="F4415" t="s">
        <v>50</v>
      </c>
      <c r="G4415" s="2">
        <v>45571</v>
      </c>
      <c r="H4415" s="3">
        <f t="shared" si="68"/>
        <v>1.4383561643835616</v>
      </c>
      <c r="I4415">
        <v>28</v>
      </c>
      <c r="J4415" t="s">
        <v>38</v>
      </c>
      <c r="K4415" t="s">
        <v>56</v>
      </c>
      <c r="L4415" t="s">
        <v>44</v>
      </c>
      <c r="M4415">
        <v>8.4700000000000006</v>
      </c>
      <c r="T4415" t="s">
        <v>52</v>
      </c>
      <c r="U4415">
        <v>1</v>
      </c>
      <c r="V4415">
        <v>6</v>
      </c>
    </row>
    <row r="4416" spans="1:22" x14ac:dyDescent="0.3">
      <c r="A4416">
        <v>4415</v>
      </c>
      <c r="B4416">
        <v>54884</v>
      </c>
      <c r="C4416" s="2">
        <v>36366</v>
      </c>
      <c r="D4416">
        <v>26</v>
      </c>
      <c r="E4416" t="s">
        <v>42</v>
      </c>
      <c r="F4416" t="s">
        <v>50</v>
      </c>
      <c r="G4416" s="2">
        <v>45497</v>
      </c>
      <c r="H4416" s="3">
        <f t="shared" si="68"/>
        <v>1.3068493150684932</v>
      </c>
      <c r="I4416">
        <v>29</v>
      </c>
      <c r="J4416" t="s">
        <v>38</v>
      </c>
      <c r="K4416" t="s">
        <v>48</v>
      </c>
      <c r="L4416" t="s">
        <v>44</v>
      </c>
      <c r="M4416">
        <v>8.4700000000000006</v>
      </c>
      <c r="T4416" t="s">
        <v>49</v>
      </c>
      <c r="U4416">
        <v>1</v>
      </c>
      <c r="V4416">
        <v>5</v>
      </c>
    </row>
    <row r="4417" spans="1:22" x14ac:dyDescent="0.3">
      <c r="A4417">
        <v>4416</v>
      </c>
      <c r="B4417">
        <v>54885</v>
      </c>
      <c r="C4417" s="2">
        <v>38471</v>
      </c>
      <c r="D4417">
        <v>20</v>
      </c>
      <c r="E4417" t="s">
        <v>42</v>
      </c>
      <c r="F4417" t="s">
        <v>50</v>
      </c>
      <c r="G4417" s="2">
        <v>45545</v>
      </c>
      <c r="H4417" s="3">
        <f t="shared" si="68"/>
        <v>1.2054794520547945</v>
      </c>
      <c r="I4417">
        <v>31</v>
      </c>
      <c r="J4417" t="s">
        <v>38</v>
      </c>
      <c r="K4417" t="s">
        <v>56</v>
      </c>
      <c r="L4417" t="s">
        <v>44</v>
      </c>
      <c r="M4417">
        <v>8.4700000000000006</v>
      </c>
      <c r="T4417" t="s">
        <v>45</v>
      </c>
      <c r="U4417">
        <v>2</v>
      </c>
      <c r="V4417">
        <v>6</v>
      </c>
    </row>
    <row r="4418" spans="1:22" x14ac:dyDescent="0.3">
      <c r="A4418">
        <v>4417</v>
      </c>
      <c r="B4418">
        <v>54886</v>
      </c>
      <c r="C4418" s="2">
        <v>36871</v>
      </c>
      <c r="D4418">
        <v>25</v>
      </c>
      <c r="E4418" t="s">
        <v>42</v>
      </c>
      <c r="F4418" t="s">
        <v>37</v>
      </c>
      <c r="G4418" s="2">
        <v>45582</v>
      </c>
      <c r="H4418" s="3">
        <f t="shared" si="68"/>
        <v>1.4219178082191781</v>
      </c>
      <c r="I4418">
        <v>32</v>
      </c>
      <c r="J4418" t="s">
        <v>38</v>
      </c>
      <c r="K4418" t="s">
        <v>68</v>
      </c>
      <c r="L4418" t="s">
        <v>44</v>
      </c>
      <c r="M4418">
        <v>17</v>
      </c>
      <c r="T4418" t="s">
        <v>49</v>
      </c>
      <c r="U4418">
        <v>2</v>
      </c>
      <c r="V4418">
        <v>5</v>
      </c>
    </row>
    <row r="4419" spans="1:22" x14ac:dyDescent="0.3">
      <c r="A4419">
        <v>4418</v>
      </c>
      <c r="B4419">
        <v>54887</v>
      </c>
      <c r="C4419" s="2">
        <v>39065</v>
      </c>
      <c r="D4419">
        <v>19</v>
      </c>
      <c r="E4419" t="s">
        <v>42</v>
      </c>
      <c r="F4419" t="s">
        <v>50</v>
      </c>
      <c r="G4419" s="2">
        <v>45503</v>
      </c>
      <c r="H4419" s="3">
        <f t="shared" ref="H4419:H4482" si="69">DATEDIF(G4420,DATE(2025,12,31),"d")/365</f>
        <v>1.5917808219178082</v>
      </c>
      <c r="I4419">
        <v>32</v>
      </c>
      <c r="J4419" t="s">
        <v>38</v>
      </c>
      <c r="K4419" t="s">
        <v>48</v>
      </c>
      <c r="L4419" t="s">
        <v>44</v>
      </c>
      <c r="M4419">
        <v>8.4700000000000006</v>
      </c>
      <c r="T4419" t="s">
        <v>52</v>
      </c>
      <c r="U4419">
        <v>1</v>
      </c>
      <c r="V4419">
        <v>6</v>
      </c>
    </row>
    <row r="4420" spans="1:22" x14ac:dyDescent="0.3">
      <c r="A4420">
        <v>4419</v>
      </c>
      <c r="B4420">
        <v>54888</v>
      </c>
      <c r="C4420" s="2">
        <v>35703</v>
      </c>
      <c r="D4420">
        <v>28</v>
      </c>
      <c r="E4420" t="s">
        <v>42</v>
      </c>
      <c r="F4420" t="s">
        <v>50</v>
      </c>
      <c r="G4420" s="2">
        <v>45441</v>
      </c>
      <c r="H4420" s="3">
        <f t="shared" si="69"/>
        <v>1.3287671232876712</v>
      </c>
      <c r="I4420">
        <v>32</v>
      </c>
      <c r="J4420" t="s">
        <v>38</v>
      </c>
      <c r="K4420" t="s">
        <v>48</v>
      </c>
      <c r="L4420" t="s">
        <v>44</v>
      </c>
      <c r="M4420">
        <v>8.4700000000000006</v>
      </c>
      <c r="T4420" t="s">
        <v>45</v>
      </c>
      <c r="U4420">
        <v>1</v>
      </c>
      <c r="V4420">
        <v>6</v>
      </c>
    </row>
    <row r="4421" spans="1:22" x14ac:dyDescent="0.3">
      <c r="A4421">
        <v>4420</v>
      </c>
      <c r="B4421">
        <v>54889</v>
      </c>
      <c r="C4421" s="2">
        <v>38207</v>
      </c>
      <c r="D4421">
        <v>21</v>
      </c>
      <c r="E4421" t="s">
        <v>42</v>
      </c>
      <c r="F4421" t="s">
        <v>50</v>
      </c>
      <c r="G4421" s="2">
        <v>45537</v>
      </c>
      <c r="H4421" s="3">
        <f t="shared" si="69"/>
        <v>1.3972602739726028</v>
      </c>
      <c r="I4421">
        <v>32</v>
      </c>
      <c r="J4421" t="s">
        <v>38</v>
      </c>
      <c r="K4421" t="s">
        <v>56</v>
      </c>
      <c r="L4421" t="s">
        <v>44</v>
      </c>
      <c r="M4421">
        <v>8.4700000000000006</v>
      </c>
      <c r="T4421" t="s">
        <v>47</v>
      </c>
      <c r="U4421">
        <v>2</v>
      </c>
      <c r="V4421">
        <v>6</v>
      </c>
    </row>
    <row r="4422" spans="1:22" x14ac:dyDescent="0.3">
      <c r="A4422">
        <v>4421</v>
      </c>
      <c r="B4422">
        <v>54890</v>
      </c>
      <c r="C4422" s="2">
        <v>37500</v>
      </c>
      <c r="D4422">
        <v>24</v>
      </c>
      <c r="E4422" t="s">
        <v>42</v>
      </c>
      <c r="F4422" t="s">
        <v>37</v>
      </c>
      <c r="G4422" s="2">
        <v>45512</v>
      </c>
      <c r="H4422" s="3">
        <f t="shared" si="69"/>
        <v>1.273972602739726</v>
      </c>
      <c r="I4422">
        <v>34</v>
      </c>
      <c r="J4422" t="s">
        <v>38</v>
      </c>
      <c r="K4422" t="s">
        <v>48</v>
      </c>
      <c r="L4422" t="s">
        <v>44</v>
      </c>
      <c r="M4422">
        <v>8.4700000000000006</v>
      </c>
      <c r="T4422" t="s">
        <v>49</v>
      </c>
      <c r="U4422">
        <v>4</v>
      </c>
      <c r="V4422">
        <v>6</v>
      </c>
    </row>
    <row r="4423" spans="1:22" x14ac:dyDescent="0.3">
      <c r="A4423">
        <v>4422</v>
      </c>
      <c r="B4423">
        <v>54891</v>
      </c>
      <c r="C4423" s="2">
        <v>36257</v>
      </c>
      <c r="D4423">
        <v>26</v>
      </c>
      <c r="E4423" t="s">
        <v>42</v>
      </c>
      <c r="F4423" t="s">
        <v>50</v>
      </c>
      <c r="G4423" s="2">
        <v>45557</v>
      </c>
      <c r="H4423" s="3">
        <f t="shared" si="69"/>
        <v>1.7205479452054795</v>
      </c>
      <c r="I4423">
        <v>34</v>
      </c>
      <c r="J4423" t="s">
        <v>38</v>
      </c>
      <c r="K4423" t="s">
        <v>55</v>
      </c>
      <c r="L4423" t="s">
        <v>44</v>
      </c>
      <c r="M4423">
        <v>17.59</v>
      </c>
      <c r="T4423" t="s">
        <v>47</v>
      </c>
      <c r="U4423">
        <v>3</v>
      </c>
      <c r="V4423">
        <v>5</v>
      </c>
    </row>
    <row r="4424" spans="1:22" x14ac:dyDescent="0.3">
      <c r="A4424">
        <v>4423</v>
      </c>
      <c r="B4424">
        <v>54892</v>
      </c>
      <c r="C4424" s="2">
        <v>38710</v>
      </c>
      <c r="D4424">
        <v>20</v>
      </c>
      <c r="E4424" t="s">
        <v>42</v>
      </c>
      <c r="F4424" t="s">
        <v>50</v>
      </c>
      <c r="G4424" s="2">
        <v>45394</v>
      </c>
      <c r="H4424" s="3">
        <f t="shared" si="69"/>
        <v>1.4465753424657535</v>
      </c>
      <c r="I4424">
        <v>34</v>
      </c>
      <c r="J4424" t="s">
        <v>38</v>
      </c>
      <c r="K4424" t="s">
        <v>56</v>
      </c>
      <c r="L4424" t="s">
        <v>44</v>
      </c>
      <c r="M4424">
        <v>8.4700000000000006</v>
      </c>
      <c r="T4424" t="s">
        <v>45</v>
      </c>
      <c r="U4424">
        <v>2</v>
      </c>
      <c r="V4424">
        <v>7</v>
      </c>
    </row>
    <row r="4425" spans="1:22" x14ac:dyDescent="0.3">
      <c r="A4425">
        <v>4424</v>
      </c>
      <c r="B4425">
        <v>54893</v>
      </c>
      <c r="C4425" s="2">
        <v>37896</v>
      </c>
      <c r="D4425">
        <v>22</v>
      </c>
      <c r="E4425" t="s">
        <v>42</v>
      </c>
      <c r="F4425" t="s">
        <v>50</v>
      </c>
      <c r="G4425" s="2">
        <v>45494</v>
      </c>
      <c r="H4425" s="3">
        <f t="shared" si="69"/>
        <v>1.6794520547945206</v>
      </c>
      <c r="I4425">
        <v>34</v>
      </c>
      <c r="J4425" t="s">
        <v>38</v>
      </c>
      <c r="K4425" t="s">
        <v>56</v>
      </c>
      <c r="L4425" t="s">
        <v>44</v>
      </c>
      <c r="M4425">
        <v>8.4700000000000006</v>
      </c>
      <c r="T4425" t="s">
        <v>52</v>
      </c>
      <c r="U4425">
        <v>0</v>
      </c>
      <c r="V4425">
        <v>5</v>
      </c>
    </row>
    <row r="4426" spans="1:22" x14ac:dyDescent="0.3">
      <c r="A4426">
        <v>4425</v>
      </c>
      <c r="B4426">
        <v>54894</v>
      </c>
      <c r="C4426" s="2">
        <v>38462</v>
      </c>
      <c r="D4426">
        <v>20</v>
      </c>
      <c r="E4426" t="s">
        <v>36</v>
      </c>
      <c r="F4426" t="s">
        <v>37</v>
      </c>
      <c r="G4426" s="2">
        <v>45409</v>
      </c>
      <c r="H4426" s="3">
        <f t="shared" si="69"/>
        <v>1.7068493150684931</v>
      </c>
      <c r="I4426">
        <v>35</v>
      </c>
      <c r="J4426" t="s">
        <v>38</v>
      </c>
      <c r="K4426" t="s">
        <v>56</v>
      </c>
      <c r="L4426" t="s">
        <v>44</v>
      </c>
      <c r="M4426">
        <v>8.4700000000000006</v>
      </c>
      <c r="T4426" t="s">
        <v>52</v>
      </c>
      <c r="U4426">
        <v>2</v>
      </c>
      <c r="V4426">
        <v>2</v>
      </c>
    </row>
    <row r="4427" spans="1:22" x14ac:dyDescent="0.3">
      <c r="A4427">
        <v>4426</v>
      </c>
      <c r="B4427">
        <v>54895</v>
      </c>
      <c r="C4427" s="2">
        <v>38640</v>
      </c>
      <c r="D4427">
        <v>20</v>
      </c>
      <c r="E4427" t="s">
        <v>42</v>
      </c>
      <c r="F4427" t="s">
        <v>50</v>
      </c>
      <c r="G4427" s="2">
        <v>45399</v>
      </c>
      <c r="H4427" s="3">
        <f t="shared" si="69"/>
        <v>1.2054794520547945</v>
      </c>
      <c r="I4427">
        <v>35</v>
      </c>
      <c r="J4427" t="s">
        <v>38</v>
      </c>
      <c r="K4427" t="s">
        <v>56</v>
      </c>
      <c r="L4427" t="s">
        <v>44</v>
      </c>
      <c r="M4427">
        <v>8.4700000000000006</v>
      </c>
      <c r="T4427" t="s">
        <v>45</v>
      </c>
      <c r="U4427">
        <v>4</v>
      </c>
      <c r="V4427">
        <v>7</v>
      </c>
    </row>
    <row r="4428" spans="1:22" x14ac:dyDescent="0.3">
      <c r="A4428">
        <v>4427</v>
      </c>
      <c r="B4428">
        <v>54896</v>
      </c>
      <c r="C4428" s="2">
        <v>37521</v>
      </c>
      <c r="D4428">
        <v>23</v>
      </c>
      <c r="E4428" t="s">
        <v>42</v>
      </c>
      <c r="F4428" t="s">
        <v>50</v>
      </c>
      <c r="G4428" s="2">
        <v>45582</v>
      </c>
      <c r="H4428" s="3">
        <f t="shared" si="69"/>
        <v>1.1397260273972603</v>
      </c>
      <c r="I4428">
        <v>36</v>
      </c>
      <c r="J4428" t="s">
        <v>38</v>
      </c>
      <c r="K4428" t="s">
        <v>68</v>
      </c>
      <c r="L4428" t="s">
        <v>44</v>
      </c>
      <c r="M4428">
        <v>17</v>
      </c>
      <c r="T4428" t="s">
        <v>45</v>
      </c>
      <c r="U4428">
        <v>2</v>
      </c>
      <c r="V4428">
        <v>4</v>
      </c>
    </row>
    <row r="4429" spans="1:22" x14ac:dyDescent="0.3">
      <c r="A4429">
        <v>4428</v>
      </c>
      <c r="B4429">
        <v>54897</v>
      </c>
      <c r="C4429" s="2">
        <v>38354</v>
      </c>
      <c r="D4429">
        <v>20</v>
      </c>
      <c r="E4429" t="s">
        <v>42</v>
      </c>
      <c r="F4429" t="s">
        <v>50</v>
      </c>
      <c r="G4429" s="2">
        <v>45606</v>
      </c>
      <c r="H4429" s="3">
        <f t="shared" si="69"/>
        <v>1.1424657534246576</v>
      </c>
      <c r="I4429">
        <v>36</v>
      </c>
      <c r="J4429" t="s">
        <v>38</v>
      </c>
      <c r="K4429" t="s">
        <v>56</v>
      </c>
      <c r="L4429" t="s">
        <v>44</v>
      </c>
      <c r="M4429">
        <v>8.4700000000000006</v>
      </c>
      <c r="T4429" t="s">
        <v>47</v>
      </c>
      <c r="U4429">
        <v>1</v>
      </c>
      <c r="V4429">
        <v>5</v>
      </c>
    </row>
    <row r="4430" spans="1:22" x14ac:dyDescent="0.3">
      <c r="A4430">
        <v>4429</v>
      </c>
      <c r="B4430">
        <v>54898</v>
      </c>
      <c r="C4430" s="2">
        <v>35972</v>
      </c>
      <c r="D4430">
        <v>27</v>
      </c>
      <c r="E4430" t="s">
        <v>42</v>
      </c>
      <c r="F4430" t="s">
        <v>37</v>
      </c>
      <c r="G4430" s="2">
        <v>45605</v>
      </c>
      <c r="H4430" s="3">
        <f t="shared" si="69"/>
        <v>1.1232876712328768</v>
      </c>
      <c r="I4430">
        <v>37</v>
      </c>
      <c r="J4430" t="s">
        <v>38</v>
      </c>
      <c r="K4430" t="s">
        <v>48</v>
      </c>
      <c r="L4430" t="s">
        <v>44</v>
      </c>
      <c r="M4430">
        <v>8.4700000000000006</v>
      </c>
      <c r="T4430" t="s">
        <v>45</v>
      </c>
      <c r="U4430">
        <v>1</v>
      </c>
      <c r="V4430">
        <v>6</v>
      </c>
    </row>
    <row r="4431" spans="1:22" x14ac:dyDescent="0.3">
      <c r="A4431">
        <v>4430</v>
      </c>
      <c r="B4431">
        <v>54899</v>
      </c>
      <c r="C4431" s="2">
        <v>37913</v>
      </c>
      <c r="D4431">
        <v>22</v>
      </c>
      <c r="E4431" t="s">
        <v>36</v>
      </c>
      <c r="F4431" t="s">
        <v>37</v>
      </c>
      <c r="G4431" s="2">
        <v>45612</v>
      </c>
      <c r="H4431" s="3">
        <f t="shared" si="69"/>
        <v>1.4082191780821918</v>
      </c>
      <c r="I4431">
        <v>38</v>
      </c>
      <c r="J4431" t="s">
        <v>38</v>
      </c>
      <c r="K4431" t="s">
        <v>65</v>
      </c>
      <c r="L4431" t="s">
        <v>44</v>
      </c>
      <c r="M4431">
        <v>10.64</v>
      </c>
      <c r="T4431" t="s">
        <v>52</v>
      </c>
      <c r="U4431">
        <v>0</v>
      </c>
      <c r="V4431">
        <v>4</v>
      </c>
    </row>
    <row r="4432" spans="1:22" x14ac:dyDescent="0.3">
      <c r="A4432">
        <v>4431</v>
      </c>
      <c r="B4432">
        <v>54900</v>
      </c>
      <c r="C4432" s="2">
        <v>36624</v>
      </c>
      <c r="D4432">
        <v>25</v>
      </c>
      <c r="E4432" t="s">
        <v>42</v>
      </c>
      <c r="F4432" t="s">
        <v>50</v>
      </c>
      <c r="G4432" s="2">
        <v>45508</v>
      </c>
      <c r="H4432" s="3">
        <f t="shared" si="69"/>
        <v>1.7972602739726027</v>
      </c>
      <c r="I4432">
        <v>38</v>
      </c>
      <c r="J4432" t="s">
        <v>38</v>
      </c>
      <c r="K4432" t="s">
        <v>48</v>
      </c>
      <c r="L4432" t="s">
        <v>44</v>
      </c>
      <c r="M4432">
        <v>8.4700000000000006</v>
      </c>
      <c r="T4432" t="s">
        <v>47</v>
      </c>
      <c r="U4432">
        <v>1</v>
      </c>
      <c r="V4432">
        <v>6</v>
      </c>
    </row>
    <row r="4433" spans="1:22" x14ac:dyDescent="0.3">
      <c r="A4433">
        <v>4432</v>
      </c>
      <c r="B4433">
        <v>54901</v>
      </c>
      <c r="C4433" s="2">
        <v>38326</v>
      </c>
      <c r="D4433">
        <v>21</v>
      </c>
      <c r="E4433" t="s">
        <v>42</v>
      </c>
      <c r="F4433" t="s">
        <v>50</v>
      </c>
      <c r="G4433" s="2">
        <v>45366</v>
      </c>
      <c r="H4433" s="3">
        <f t="shared" si="69"/>
        <v>1.5561643835616439</v>
      </c>
      <c r="I4433">
        <v>38</v>
      </c>
      <c r="J4433" t="s">
        <v>38</v>
      </c>
      <c r="K4433" t="s">
        <v>56</v>
      </c>
      <c r="L4433" t="s">
        <v>44</v>
      </c>
      <c r="M4433">
        <v>8.4700000000000006</v>
      </c>
      <c r="T4433" t="s">
        <v>47</v>
      </c>
      <c r="U4433">
        <v>0</v>
      </c>
      <c r="V4433">
        <v>6</v>
      </c>
    </row>
    <row r="4434" spans="1:22" x14ac:dyDescent="0.3">
      <c r="A4434">
        <v>4433</v>
      </c>
      <c r="B4434">
        <v>54902</v>
      </c>
      <c r="C4434" s="2">
        <v>37426</v>
      </c>
      <c r="D4434">
        <v>23</v>
      </c>
      <c r="E4434" t="s">
        <v>36</v>
      </c>
      <c r="F4434" t="s">
        <v>37</v>
      </c>
      <c r="G4434" s="2">
        <v>45454</v>
      </c>
      <c r="H4434" s="3">
        <f t="shared" si="69"/>
        <v>1.0246575342465754</v>
      </c>
      <c r="I4434">
        <v>39</v>
      </c>
      <c r="J4434" t="s">
        <v>38</v>
      </c>
      <c r="K4434" t="s">
        <v>46</v>
      </c>
      <c r="L4434" t="s">
        <v>44</v>
      </c>
      <c r="M4434">
        <v>14.23</v>
      </c>
      <c r="T4434" t="s">
        <v>52</v>
      </c>
      <c r="U4434">
        <v>0</v>
      </c>
      <c r="V4434">
        <v>4</v>
      </c>
    </row>
    <row r="4435" spans="1:22" x14ac:dyDescent="0.3">
      <c r="A4435">
        <v>4434</v>
      </c>
      <c r="B4435">
        <v>54903</v>
      </c>
      <c r="C4435" s="2">
        <v>35639</v>
      </c>
      <c r="D4435">
        <v>28</v>
      </c>
      <c r="E4435" t="s">
        <v>36</v>
      </c>
      <c r="F4435" t="s">
        <v>50</v>
      </c>
      <c r="G4435" s="2">
        <v>45648</v>
      </c>
      <c r="H4435" s="3">
        <f t="shared" si="69"/>
        <v>1.6027397260273972</v>
      </c>
      <c r="I4435">
        <v>40</v>
      </c>
      <c r="J4435" t="s">
        <v>38</v>
      </c>
      <c r="K4435" t="s">
        <v>68</v>
      </c>
      <c r="L4435" t="s">
        <v>44</v>
      </c>
      <c r="M4435">
        <v>17</v>
      </c>
      <c r="T4435" t="s">
        <v>52</v>
      </c>
      <c r="U4435">
        <v>2</v>
      </c>
      <c r="V4435">
        <v>5</v>
      </c>
    </row>
    <row r="4436" spans="1:22" x14ac:dyDescent="0.3">
      <c r="A4436">
        <v>4435</v>
      </c>
      <c r="B4436">
        <v>54904</v>
      </c>
      <c r="C4436" s="2">
        <v>37140</v>
      </c>
      <c r="D4436">
        <v>24</v>
      </c>
      <c r="E4436" t="s">
        <v>42</v>
      </c>
      <c r="F4436" t="s">
        <v>50</v>
      </c>
      <c r="G4436" s="2">
        <v>45437</v>
      </c>
      <c r="H4436" s="3">
        <f t="shared" si="69"/>
        <v>1.9068493150684931</v>
      </c>
      <c r="I4436">
        <v>40</v>
      </c>
      <c r="J4436" t="s">
        <v>38</v>
      </c>
      <c r="K4436" t="s">
        <v>48</v>
      </c>
      <c r="L4436" t="s">
        <v>44</v>
      </c>
      <c r="M4436">
        <v>8.4700000000000006</v>
      </c>
      <c r="T4436" t="s">
        <v>52</v>
      </c>
      <c r="U4436">
        <v>3</v>
      </c>
      <c r="V4436">
        <v>6</v>
      </c>
    </row>
    <row r="4437" spans="1:22" x14ac:dyDescent="0.3">
      <c r="A4437">
        <v>4436</v>
      </c>
      <c r="B4437">
        <v>54905</v>
      </c>
      <c r="C4437" s="2">
        <v>36882</v>
      </c>
      <c r="D4437">
        <v>25</v>
      </c>
      <c r="E4437" t="s">
        <v>42</v>
      </c>
      <c r="F4437" t="s">
        <v>37</v>
      </c>
      <c r="G4437" s="2">
        <v>45326</v>
      </c>
      <c r="H4437" s="3">
        <f t="shared" si="69"/>
        <v>1.4657534246575343</v>
      </c>
      <c r="I4437">
        <v>40</v>
      </c>
      <c r="J4437" t="s">
        <v>38</v>
      </c>
      <c r="K4437" t="s">
        <v>56</v>
      </c>
      <c r="L4437" t="s">
        <v>44</v>
      </c>
      <c r="M4437">
        <v>8.4700000000000006</v>
      </c>
      <c r="T4437" t="s">
        <v>52</v>
      </c>
      <c r="U4437">
        <v>3</v>
      </c>
      <c r="V4437">
        <v>6</v>
      </c>
    </row>
    <row r="4438" spans="1:22" x14ac:dyDescent="0.3">
      <c r="A4438">
        <v>4437</v>
      </c>
      <c r="B4438">
        <v>54906</v>
      </c>
      <c r="C4438" s="2">
        <v>38161</v>
      </c>
      <c r="D4438">
        <v>21</v>
      </c>
      <c r="E4438" t="s">
        <v>36</v>
      </c>
      <c r="F4438" t="s">
        <v>50</v>
      </c>
      <c r="G4438" s="2">
        <v>45487</v>
      </c>
      <c r="H4438" s="3">
        <f t="shared" si="69"/>
        <v>1.6356164383561644</v>
      </c>
      <c r="I4438">
        <v>41</v>
      </c>
      <c r="J4438" t="s">
        <v>38</v>
      </c>
      <c r="K4438" t="s">
        <v>65</v>
      </c>
      <c r="L4438" t="s">
        <v>44</v>
      </c>
      <c r="M4438">
        <v>10.64</v>
      </c>
      <c r="T4438" t="s">
        <v>49</v>
      </c>
      <c r="U4438">
        <v>0</v>
      </c>
      <c r="V4438">
        <v>2</v>
      </c>
    </row>
    <row r="4439" spans="1:22" x14ac:dyDescent="0.3">
      <c r="A4439">
        <v>4438</v>
      </c>
      <c r="B4439">
        <v>54907</v>
      </c>
      <c r="C4439" s="2">
        <v>35740</v>
      </c>
      <c r="D4439">
        <v>28</v>
      </c>
      <c r="E4439" t="s">
        <v>42</v>
      </c>
      <c r="F4439" t="s">
        <v>50</v>
      </c>
      <c r="G4439" s="2">
        <v>45425</v>
      </c>
      <c r="H4439" s="3">
        <f t="shared" si="69"/>
        <v>1.4438356164383561</v>
      </c>
      <c r="I4439">
        <v>42</v>
      </c>
      <c r="J4439" t="s">
        <v>38</v>
      </c>
      <c r="K4439" t="s">
        <v>68</v>
      </c>
      <c r="L4439" t="s">
        <v>44</v>
      </c>
      <c r="M4439">
        <v>17</v>
      </c>
      <c r="T4439" t="s">
        <v>45</v>
      </c>
      <c r="U4439">
        <v>1</v>
      </c>
      <c r="V4439">
        <v>6</v>
      </c>
    </row>
    <row r="4440" spans="1:22" x14ac:dyDescent="0.3">
      <c r="A4440">
        <v>4439</v>
      </c>
      <c r="B4440">
        <v>54908</v>
      </c>
      <c r="C4440" s="2">
        <v>37155</v>
      </c>
      <c r="D4440">
        <v>24</v>
      </c>
      <c r="E4440" t="s">
        <v>42</v>
      </c>
      <c r="F4440" t="s">
        <v>37</v>
      </c>
      <c r="G4440" s="2">
        <v>45495</v>
      </c>
      <c r="H4440" s="3">
        <f t="shared" si="69"/>
        <v>1.210958904109589</v>
      </c>
      <c r="I4440">
        <v>42</v>
      </c>
      <c r="J4440" t="s">
        <v>38</v>
      </c>
      <c r="K4440" t="s">
        <v>55</v>
      </c>
      <c r="L4440" t="s">
        <v>44</v>
      </c>
      <c r="M4440">
        <v>17.59</v>
      </c>
      <c r="T4440" t="s">
        <v>45</v>
      </c>
      <c r="U4440">
        <v>2</v>
      </c>
      <c r="V4440">
        <v>6</v>
      </c>
    </row>
    <row r="4441" spans="1:22" x14ac:dyDescent="0.3">
      <c r="A4441">
        <v>4440</v>
      </c>
      <c r="B4441">
        <v>54909</v>
      </c>
      <c r="C4441" s="2">
        <v>37930</v>
      </c>
      <c r="D4441">
        <v>22</v>
      </c>
      <c r="E4441" t="s">
        <v>36</v>
      </c>
      <c r="F4441" t="s">
        <v>50</v>
      </c>
      <c r="G4441" s="2">
        <v>45580</v>
      </c>
      <c r="H4441" s="3">
        <f t="shared" si="69"/>
        <v>1.2684931506849315</v>
      </c>
      <c r="I4441">
        <v>43</v>
      </c>
      <c r="J4441" t="s">
        <v>38</v>
      </c>
      <c r="K4441" t="s">
        <v>46</v>
      </c>
      <c r="L4441" t="s">
        <v>44</v>
      </c>
      <c r="M4441">
        <v>14.23</v>
      </c>
      <c r="T4441" t="s">
        <v>49</v>
      </c>
      <c r="U4441">
        <v>1</v>
      </c>
      <c r="V4441">
        <v>5</v>
      </c>
    </row>
    <row r="4442" spans="1:22" x14ac:dyDescent="0.3">
      <c r="A4442">
        <v>4441</v>
      </c>
      <c r="B4442">
        <v>54910</v>
      </c>
      <c r="C4442" s="2">
        <v>34283</v>
      </c>
      <c r="D4442">
        <v>32</v>
      </c>
      <c r="E4442" t="s">
        <v>42</v>
      </c>
      <c r="F4442" t="s">
        <v>50</v>
      </c>
      <c r="G4442" s="2">
        <v>45559</v>
      </c>
      <c r="H4442" s="3">
        <f t="shared" si="69"/>
        <v>1.3178082191780822</v>
      </c>
      <c r="I4442">
        <v>43</v>
      </c>
      <c r="J4442" t="s">
        <v>38</v>
      </c>
      <c r="K4442" t="s">
        <v>55</v>
      </c>
      <c r="L4442" t="s">
        <v>44</v>
      </c>
      <c r="M4442">
        <v>17.59</v>
      </c>
      <c r="T4442" t="s">
        <v>49</v>
      </c>
      <c r="U4442">
        <v>4</v>
      </c>
      <c r="V4442">
        <v>6</v>
      </c>
    </row>
    <row r="4443" spans="1:22" x14ac:dyDescent="0.3">
      <c r="A4443">
        <v>4442</v>
      </c>
      <c r="B4443">
        <v>54911</v>
      </c>
      <c r="C4443" s="2">
        <v>38239</v>
      </c>
      <c r="D4443">
        <v>21</v>
      </c>
      <c r="E4443" t="s">
        <v>42</v>
      </c>
      <c r="F4443" t="s">
        <v>50</v>
      </c>
      <c r="G4443" s="2">
        <v>45541</v>
      </c>
      <c r="H4443" s="3">
        <f t="shared" si="69"/>
        <v>1.3041095890410959</v>
      </c>
      <c r="I4443">
        <v>44</v>
      </c>
      <c r="J4443" t="s">
        <v>38</v>
      </c>
      <c r="K4443" t="s">
        <v>56</v>
      </c>
      <c r="L4443" t="s">
        <v>44</v>
      </c>
      <c r="M4443">
        <v>8.4700000000000006</v>
      </c>
      <c r="T4443" t="s">
        <v>47</v>
      </c>
      <c r="U4443">
        <v>2</v>
      </c>
      <c r="V4443">
        <v>6</v>
      </c>
    </row>
    <row r="4444" spans="1:22" x14ac:dyDescent="0.3">
      <c r="A4444">
        <v>4443</v>
      </c>
      <c r="B4444">
        <v>54912</v>
      </c>
      <c r="C4444" s="2">
        <v>36227</v>
      </c>
      <c r="D4444">
        <v>26</v>
      </c>
      <c r="E4444" t="s">
        <v>36</v>
      </c>
      <c r="F4444" t="s">
        <v>37</v>
      </c>
      <c r="G4444" s="2">
        <v>45546</v>
      </c>
      <c r="H4444" s="3">
        <f t="shared" si="69"/>
        <v>1.5424657534246575</v>
      </c>
      <c r="I4444">
        <v>45</v>
      </c>
      <c r="J4444" t="s">
        <v>38</v>
      </c>
      <c r="K4444" t="s">
        <v>65</v>
      </c>
      <c r="L4444" t="s">
        <v>44</v>
      </c>
      <c r="M4444">
        <v>10.64</v>
      </c>
      <c r="T4444" t="s">
        <v>45</v>
      </c>
      <c r="U4444">
        <v>0</v>
      </c>
      <c r="V4444">
        <v>4</v>
      </c>
    </row>
    <row r="4445" spans="1:22" x14ac:dyDescent="0.3">
      <c r="A4445">
        <v>4444</v>
      </c>
      <c r="B4445">
        <v>54913</v>
      </c>
      <c r="C4445" s="2">
        <v>37820</v>
      </c>
      <c r="D4445">
        <v>22</v>
      </c>
      <c r="E4445" t="s">
        <v>42</v>
      </c>
      <c r="F4445" t="s">
        <v>37</v>
      </c>
      <c r="G4445" s="2">
        <v>45459</v>
      </c>
      <c r="H4445" s="3">
        <f t="shared" si="69"/>
        <v>1.3095890410958904</v>
      </c>
      <c r="I4445">
        <v>45</v>
      </c>
      <c r="J4445" t="s">
        <v>38</v>
      </c>
      <c r="K4445" t="s">
        <v>56</v>
      </c>
      <c r="L4445" t="s">
        <v>44</v>
      </c>
      <c r="M4445">
        <v>8.4700000000000006</v>
      </c>
      <c r="T4445" t="s">
        <v>52</v>
      </c>
      <c r="U4445">
        <v>2</v>
      </c>
      <c r="V4445">
        <v>5</v>
      </c>
    </row>
    <row r="4446" spans="1:22" x14ac:dyDescent="0.3">
      <c r="A4446">
        <v>4445</v>
      </c>
      <c r="B4446">
        <v>54914</v>
      </c>
      <c r="C4446" s="2">
        <v>37767</v>
      </c>
      <c r="D4446">
        <v>22</v>
      </c>
      <c r="E4446" t="s">
        <v>36</v>
      </c>
      <c r="F4446" t="s">
        <v>50</v>
      </c>
      <c r="G4446" s="2">
        <v>45544</v>
      </c>
      <c r="H4446" s="3">
        <f t="shared" si="69"/>
        <v>1.0602739726027397</v>
      </c>
      <c r="I4446">
        <v>45</v>
      </c>
      <c r="J4446" t="s">
        <v>38</v>
      </c>
      <c r="K4446" t="s">
        <v>56</v>
      </c>
      <c r="L4446" t="s">
        <v>44</v>
      </c>
      <c r="M4446">
        <v>8.4700000000000006</v>
      </c>
      <c r="T4446" t="s">
        <v>52</v>
      </c>
      <c r="U4446">
        <v>0</v>
      </c>
      <c r="V4446">
        <v>3</v>
      </c>
    </row>
    <row r="4447" spans="1:22" x14ac:dyDescent="0.3">
      <c r="A4447">
        <v>4446</v>
      </c>
      <c r="B4447">
        <v>54915</v>
      </c>
      <c r="C4447" s="2">
        <v>37871</v>
      </c>
      <c r="D4447">
        <v>22</v>
      </c>
      <c r="E4447" t="s">
        <v>42</v>
      </c>
      <c r="F4447" t="s">
        <v>37</v>
      </c>
      <c r="G4447" s="2">
        <v>45635</v>
      </c>
      <c r="H4447" s="3">
        <f t="shared" si="69"/>
        <v>1.6136986301369862</v>
      </c>
      <c r="I4447">
        <v>46</v>
      </c>
      <c r="J4447" t="s">
        <v>38</v>
      </c>
      <c r="K4447" t="s">
        <v>56</v>
      </c>
      <c r="L4447" t="s">
        <v>44</v>
      </c>
      <c r="M4447">
        <v>8.4700000000000006</v>
      </c>
      <c r="T4447" t="s">
        <v>52</v>
      </c>
      <c r="U4447">
        <v>0</v>
      </c>
      <c r="V4447">
        <v>5</v>
      </c>
    </row>
    <row r="4448" spans="1:22" x14ac:dyDescent="0.3">
      <c r="A4448">
        <v>4447</v>
      </c>
      <c r="B4448">
        <v>54916</v>
      </c>
      <c r="C4448" s="2">
        <v>36822</v>
      </c>
      <c r="D4448">
        <v>25</v>
      </c>
      <c r="E4448" t="s">
        <v>42</v>
      </c>
      <c r="F4448" t="s">
        <v>50</v>
      </c>
      <c r="G4448" s="2">
        <v>45433</v>
      </c>
      <c r="H4448" s="3">
        <f t="shared" si="69"/>
        <v>1.0794520547945206</v>
      </c>
      <c r="I4448">
        <v>48</v>
      </c>
      <c r="J4448" t="s">
        <v>38</v>
      </c>
      <c r="K4448" t="s">
        <v>68</v>
      </c>
      <c r="L4448" t="s">
        <v>44</v>
      </c>
      <c r="M4448">
        <v>17</v>
      </c>
      <c r="T4448" t="s">
        <v>52</v>
      </c>
      <c r="U4448">
        <v>3</v>
      </c>
      <c r="V4448">
        <v>5</v>
      </c>
    </row>
    <row r="4449" spans="1:22" x14ac:dyDescent="0.3">
      <c r="A4449">
        <v>4448</v>
      </c>
      <c r="B4449">
        <v>54917</v>
      </c>
      <c r="C4449" s="2">
        <v>35344</v>
      </c>
      <c r="D4449">
        <v>29</v>
      </c>
      <c r="E4449" t="s">
        <v>36</v>
      </c>
      <c r="F4449" t="s">
        <v>50</v>
      </c>
      <c r="G4449" s="2">
        <v>45628</v>
      </c>
      <c r="H4449" s="3">
        <f t="shared" si="69"/>
        <v>1.789041095890411</v>
      </c>
      <c r="I4449">
        <v>48</v>
      </c>
      <c r="J4449" t="s">
        <v>38</v>
      </c>
      <c r="K4449" t="s">
        <v>54</v>
      </c>
      <c r="L4449" t="s">
        <v>44</v>
      </c>
      <c r="M4449">
        <v>23.78</v>
      </c>
      <c r="T4449" t="s">
        <v>45</v>
      </c>
      <c r="U4449">
        <v>7</v>
      </c>
      <c r="V4449">
        <v>3</v>
      </c>
    </row>
    <row r="4450" spans="1:22" x14ac:dyDescent="0.3">
      <c r="A4450">
        <v>4449</v>
      </c>
      <c r="B4450">
        <v>54918</v>
      </c>
      <c r="C4450" s="2">
        <v>39253</v>
      </c>
      <c r="D4450">
        <v>18</v>
      </c>
      <c r="E4450" t="s">
        <v>42</v>
      </c>
      <c r="F4450" t="s">
        <v>37</v>
      </c>
      <c r="G4450" s="2">
        <v>45369</v>
      </c>
      <c r="H4450" s="3">
        <f t="shared" si="69"/>
        <v>1.2821917808219179</v>
      </c>
      <c r="I4450">
        <v>48</v>
      </c>
      <c r="J4450" t="s">
        <v>38</v>
      </c>
      <c r="K4450" t="s">
        <v>56</v>
      </c>
      <c r="L4450" t="s">
        <v>44</v>
      </c>
      <c r="M4450">
        <v>8.4700000000000006</v>
      </c>
      <c r="T4450" t="s">
        <v>52</v>
      </c>
      <c r="U4450">
        <v>2</v>
      </c>
      <c r="V4450">
        <v>5</v>
      </c>
    </row>
    <row r="4451" spans="1:22" x14ac:dyDescent="0.3">
      <c r="A4451">
        <v>4450</v>
      </c>
      <c r="B4451">
        <v>54919</v>
      </c>
      <c r="C4451" s="2">
        <v>38953</v>
      </c>
      <c r="D4451">
        <v>19</v>
      </c>
      <c r="E4451" t="s">
        <v>42</v>
      </c>
      <c r="F4451" t="s">
        <v>50</v>
      </c>
      <c r="G4451" s="2">
        <v>45554</v>
      </c>
      <c r="H4451" s="3">
        <f t="shared" si="69"/>
        <v>1.210958904109589</v>
      </c>
      <c r="I4451">
        <v>48</v>
      </c>
      <c r="J4451" t="s">
        <v>38</v>
      </c>
      <c r="K4451" t="s">
        <v>56</v>
      </c>
      <c r="L4451" t="s">
        <v>44</v>
      </c>
      <c r="M4451">
        <v>8.4700000000000006</v>
      </c>
      <c r="T4451" t="s">
        <v>49</v>
      </c>
      <c r="U4451">
        <v>1</v>
      </c>
      <c r="V4451">
        <v>6</v>
      </c>
    </row>
    <row r="4452" spans="1:22" x14ac:dyDescent="0.3">
      <c r="A4452">
        <v>4451</v>
      </c>
      <c r="B4452">
        <v>54921</v>
      </c>
      <c r="C4452" s="2">
        <v>37670</v>
      </c>
      <c r="D4452">
        <v>22</v>
      </c>
      <c r="E4452" t="s">
        <v>42</v>
      </c>
      <c r="F4452" t="s">
        <v>50</v>
      </c>
      <c r="G4452" s="2">
        <v>45580</v>
      </c>
      <c r="H4452" s="3">
        <f t="shared" si="69"/>
        <v>1.0356164383561643</v>
      </c>
      <c r="I4452">
        <v>52</v>
      </c>
      <c r="J4452" t="s">
        <v>38</v>
      </c>
      <c r="K4452" t="s">
        <v>56</v>
      </c>
      <c r="L4452" t="s">
        <v>44</v>
      </c>
      <c r="M4452">
        <v>8.4700000000000006</v>
      </c>
      <c r="T4452" t="s">
        <v>52</v>
      </c>
      <c r="U4452">
        <v>3</v>
      </c>
      <c r="V4452">
        <v>7</v>
      </c>
    </row>
    <row r="4453" spans="1:22" x14ac:dyDescent="0.3">
      <c r="A4453">
        <v>4452</v>
      </c>
      <c r="B4453">
        <v>54922</v>
      </c>
      <c r="C4453" s="2">
        <v>36879</v>
      </c>
      <c r="D4453">
        <v>25</v>
      </c>
      <c r="E4453" t="s">
        <v>42</v>
      </c>
      <c r="F4453" t="s">
        <v>50</v>
      </c>
      <c r="G4453" s="2">
        <v>45644</v>
      </c>
      <c r="H4453" s="3">
        <f t="shared" si="69"/>
        <v>1.5123287671232877</v>
      </c>
      <c r="I4453">
        <v>52</v>
      </c>
      <c r="J4453" t="s">
        <v>38</v>
      </c>
      <c r="K4453" t="s">
        <v>56</v>
      </c>
      <c r="L4453" t="s">
        <v>44</v>
      </c>
      <c r="M4453">
        <v>8.4700000000000006</v>
      </c>
      <c r="T4453" t="s">
        <v>52</v>
      </c>
      <c r="U4453">
        <v>2</v>
      </c>
      <c r="V4453">
        <v>6</v>
      </c>
    </row>
    <row r="4454" spans="1:22" x14ac:dyDescent="0.3">
      <c r="A4454">
        <v>4453</v>
      </c>
      <c r="B4454">
        <v>54923</v>
      </c>
      <c r="C4454" s="2">
        <v>38653</v>
      </c>
      <c r="D4454">
        <v>20</v>
      </c>
      <c r="E4454" t="s">
        <v>42</v>
      </c>
      <c r="F4454" t="s">
        <v>37</v>
      </c>
      <c r="G4454" s="2">
        <v>45470</v>
      </c>
      <c r="H4454" s="3">
        <f t="shared" si="69"/>
        <v>1.4575342465753425</v>
      </c>
      <c r="I4454">
        <v>52</v>
      </c>
      <c r="J4454" t="s">
        <v>38</v>
      </c>
      <c r="K4454" t="s">
        <v>56</v>
      </c>
      <c r="L4454" t="s">
        <v>44</v>
      </c>
      <c r="M4454">
        <v>8.4700000000000006</v>
      </c>
      <c r="T4454" t="s">
        <v>45</v>
      </c>
      <c r="U4454">
        <v>4</v>
      </c>
      <c r="V4454">
        <v>7</v>
      </c>
    </row>
    <row r="4455" spans="1:22" x14ac:dyDescent="0.3">
      <c r="A4455">
        <v>4454</v>
      </c>
      <c r="B4455">
        <v>54924</v>
      </c>
      <c r="C4455" s="2">
        <v>38816</v>
      </c>
      <c r="D4455">
        <v>19</v>
      </c>
      <c r="E4455" t="s">
        <v>42</v>
      </c>
      <c r="F4455" t="s">
        <v>37</v>
      </c>
      <c r="G4455" s="2">
        <v>45490</v>
      </c>
      <c r="H4455" s="3">
        <f t="shared" si="69"/>
        <v>1.3095890410958904</v>
      </c>
      <c r="I4455">
        <v>53</v>
      </c>
      <c r="J4455" t="s">
        <v>38</v>
      </c>
      <c r="K4455" t="s">
        <v>56</v>
      </c>
      <c r="L4455" t="s">
        <v>44</v>
      </c>
      <c r="M4455">
        <v>8.4700000000000006</v>
      </c>
      <c r="T4455" t="s">
        <v>47</v>
      </c>
      <c r="U4455">
        <v>0</v>
      </c>
      <c r="V4455">
        <v>5</v>
      </c>
    </row>
    <row r="4456" spans="1:22" x14ac:dyDescent="0.3">
      <c r="A4456">
        <v>4455</v>
      </c>
      <c r="B4456">
        <v>54925</v>
      </c>
      <c r="C4456" s="2">
        <v>37809</v>
      </c>
      <c r="D4456">
        <v>22</v>
      </c>
      <c r="E4456" t="s">
        <v>42</v>
      </c>
      <c r="F4456" t="s">
        <v>50</v>
      </c>
      <c r="G4456" s="2">
        <v>45544</v>
      </c>
      <c r="H4456" s="3">
        <f t="shared" si="69"/>
        <v>1</v>
      </c>
      <c r="I4456">
        <v>54</v>
      </c>
      <c r="J4456" t="s">
        <v>38</v>
      </c>
      <c r="K4456" t="s">
        <v>65</v>
      </c>
      <c r="L4456" t="s">
        <v>44</v>
      </c>
      <c r="M4456">
        <v>10.64</v>
      </c>
      <c r="T4456" t="s">
        <v>49</v>
      </c>
      <c r="U4456">
        <v>0</v>
      </c>
      <c r="V4456">
        <v>5</v>
      </c>
    </row>
    <row r="4457" spans="1:22" x14ac:dyDescent="0.3">
      <c r="A4457">
        <v>4456</v>
      </c>
      <c r="B4457">
        <v>54926</v>
      </c>
      <c r="C4457" s="2">
        <v>36670</v>
      </c>
      <c r="D4457">
        <v>25</v>
      </c>
      <c r="E4457" t="s">
        <v>42</v>
      </c>
      <c r="F4457" t="s">
        <v>37</v>
      </c>
      <c r="G4457" s="2">
        <v>45657</v>
      </c>
      <c r="H4457" s="3">
        <f t="shared" si="69"/>
        <v>1.726027397260274</v>
      </c>
      <c r="I4457">
        <v>54</v>
      </c>
      <c r="J4457" t="s">
        <v>38</v>
      </c>
      <c r="K4457" t="s">
        <v>48</v>
      </c>
      <c r="L4457" t="s">
        <v>44</v>
      </c>
      <c r="M4457">
        <v>8.4700000000000006</v>
      </c>
      <c r="T4457" t="s">
        <v>47</v>
      </c>
      <c r="U4457">
        <v>2</v>
      </c>
      <c r="V4457">
        <v>5</v>
      </c>
    </row>
    <row r="4458" spans="1:22" x14ac:dyDescent="0.3">
      <c r="A4458">
        <v>4457</v>
      </c>
      <c r="B4458">
        <v>54927</v>
      </c>
      <c r="C4458" s="2">
        <v>38648</v>
      </c>
      <c r="D4458">
        <v>20</v>
      </c>
      <c r="E4458" t="s">
        <v>42</v>
      </c>
      <c r="F4458" t="s">
        <v>50</v>
      </c>
      <c r="G4458" s="2">
        <v>45392</v>
      </c>
      <c r="H4458" s="3">
        <f t="shared" si="69"/>
        <v>1.7808219178082192</v>
      </c>
      <c r="I4458">
        <v>55</v>
      </c>
      <c r="J4458" t="s">
        <v>38</v>
      </c>
      <c r="K4458" t="s">
        <v>65</v>
      </c>
      <c r="L4458" t="s">
        <v>44</v>
      </c>
      <c r="M4458">
        <v>10.64</v>
      </c>
      <c r="T4458" t="s">
        <v>52</v>
      </c>
      <c r="U4458">
        <v>0</v>
      </c>
      <c r="V4458">
        <v>5</v>
      </c>
    </row>
    <row r="4459" spans="1:22" x14ac:dyDescent="0.3">
      <c r="A4459">
        <v>4458</v>
      </c>
      <c r="B4459">
        <v>54928</v>
      </c>
      <c r="C4459" s="2">
        <v>36432</v>
      </c>
      <c r="D4459">
        <v>26</v>
      </c>
      <c r="E4459" t="s">
        <v>36</v>
      </c>
      <c r="F4459" t="s">
        <v>37</v>
      </c>
      <c r="G4459" s="2">
        <v>45372</v>
      </c>
      <c r="H4459" s="3">
        <f t="shared" si="69"/>
        <v>1.2410958904109588</v>
      </c>
      <c r="I4459">
        <v>55</v>
      </c>
      <c r="J4459" t="s">
        <v>38</v>
      </c>
      <c r="K4459" t="s">
        <v>46</v>
      </c>
      <c r="L4459" t="s">
        <v>44</v>
      </c>
      <c r="M4459">
        <v>14.23</v>
      </c>
      <c r="T4459" t="s">
        <v>49</v>
      </c>
      <c r="U4459">
        <v>0</v>
      </c>
      <c r="V4459">
        <v>4</v>
      </c>
    </row>
    <row r="4460" spans="1:22" x14ac:dyDescent="0.3">
      <c r="A4460">
        <v>4459</v>
      </c>
      <c r="B4460">
        <v>54929</v>
      </c>
      <c r="C4460" s="2">
        <v>35206</v>
      </c>
      <c r="D4460">
        <v>29</v>
      </c>
      <c r="E4460" t="s">
        <v>36</v>
      </c>
      <c r="F4460" t="s">
        <v>50</v>
      </c>
      <c r="G4460" s="2">
        <v>45569</v>
      </c>
      <c r="H4460" s="3">
        <f t="shared" si="69"/>
        <v>1.1041095890410959</v>
      </c>
      <c r="I4460">
        <v>55</v>
      </c>
      <c r="J4460" t="s">
        <v>38</v>
      </c>
      <c r="K4460" t="s">
        <v>55</v>
      </c>
      <c r="L4460" t="s">
        <v>44</v>
      </c>
      <c r="M4460">
        <v>17.59</v>
      </c>
      <c r="T4460" t="s">
        <v>45</v>
      </c>
      <c r="U4460">
        <v>4</v>
      </c>
      <c r="V4460">
        <v>6</v>
      </c>
    </row>
    <row r="4461" spans="1:22" x14ac:dyDescent="0.3">
      <c r="A4461">
        <v>4460</v>
      </c>
      <c r="B4461">
        <v>54930</v>
      </c>
      <c r="C4461" s="2">
        <v>36181</v>
      </c>
      <c r="D4461">
        <v>26</v>
      </c>
      <c r="E4461" t="s">
        <v>42</v>
      </c>
      <c r="F4461" t="s">
        <v>50</v>
      </c>
      <c r="G4461" s="2">
        <v>45619</v>
      </c>
      <c r="H4461" s="3">
        <f t="shared" si="69"/>
        <v>1.3808219178082193</v>
      </c>
      <c r="I4461">
        <v>56</v>
      </c>
      <c r="J4461" t="s">
        <v>38</v>
      </c>
      <c r="K4461" t="s">
        <v>48</v>
      </c>
      <c r="L4461" t="s">
        <v>44</v>
      </c>
      <c r="M4461">
        <v>8.4700000000000006</v>
      </c>
      <c r="T4461" t="s">
        <v>52</v>
      </c>
      <c r="U4461">
        <v>2</v>
      </c>
      <c r="V4461">
        <v>5</v>
      </c>
    </row>
    <row r="4462" spans="1:22" x14ac:dyDescent="0.3">
      <c r="A4462">
        <v>4461</v>
      </c>
      <c r="B4462">
        <v>54931</v>
      </c>
      <c r="C4462" s="2">
        <v>38726</v>
      </c>
      <c r="D4462">
        <v>19</v>
      </c>
      <c r="E4462" t="s">
        <v>42</v>
      </c>
      <c r="F4462" t="s">
        <v>37</v>
      </c>
      <c r="G4462" s="2">
        <v>45518</v>
      </c>
      <c r="H4462" s="3">
        <f t="shared" si="69"/>
        <v>1.8027397260273972</v>
      </c>
      <c r="I4462">
        <v>56</v>
      </c>
      <c r="J4462" t="s">
        <v>38</v>
      </c>
      <c r="K4462" t="s">
        <v>48</v>
      </c>
      <c r="L4462" t="s">
        <v>44</v>
      </c>
      <c r="M4462">
        <v>8.4700000000000006</v>
      </c>
      <c r="T4462" t="s">
        <v>52</v>
      </c>
      <c r="U4462">
        <v>4</v>
      </c>
      <c r="V4462">
        <v>6</v>
      </c>
    </row>
    <row r="4463" spans="1:22" x14ac:dyDescent="0.3">
      <c r="A4463">
        <v>4462</v>
      </c>
      <c r="B4463">
        <v>54932</v>
      </c>
      <c r="C4463" s="2">
        <v>38306</v>
      </c>
      <c r="D4463">
        <v>21</v>
      </c>
      <c r="E4463" t="s">
        <v>42</v>
      </c>
      <c r="F4463" t="s">
        <v>50</v>
      </c>
      <c r="G4463" s="2">
        <v>45364</v>
      </c>
      <c r="H4463" s="3">
        <f t="shared" si="69"/>
        <v>1.558904109589041</v>
      </c>
      <c r="I4463">
        <v>56</v>
      </c>
      <c r="J4463" t="s">
        <v>38</v>
      </c>
      <c r="K4463" t="s">
        <v>56</v>
      </c>
      <c r="L4463" t="s">
        <v>44</v>
      </c>
      <c r="M4463">
        <v>8.4700000000000006</v>
      </c>
      <c r="T4463" t="s">
        <v>45</v>
      </c>
      <c r="U4463">
        <v>1</v>
      </c>
      <c r="V4463">
        <v>6</v>
      </c>
    </row>
    <row r="4464" spans="1:22" x14ac:dyDescent="0.3">
      <c r="A4464">
        <v>4463</v>
      </c>
      <c r="B4464">
        <v>54933</v>
      </c>
      <c r="C4464" s="2">
        <v>34933</v>
      </c>
      <c r="D4464">
        <v>30</v>
      </c>
      <c r="E4464" t="s">
        <v>36</v>
      </c>
      <c r="F4464" t="s">
        <v>50</v>
      </c>
      <c r="G4464" s="2">
        <v>45453</v>
      </c>
      <c r="H4464" s="3">
        <f t="shared" si="69"/>
        <v>1.2301369863013698</v>
      </c>
      <c r="I4464">
        <v>57</v>
      </c>
      <c r="J4464" t="s">
        <v>38</v>
      </c>
      <c r="K4464" t="s">
        <v>54</v>
      </c>
      <c r="L4464" t="s">
        <v>44</v>
      </c>
      <c r="M4464">
        <v>23.78</v>
      </c>
      <c r="T4464" t="s">
        <v>52</v>
      </c>
      <c r="U4464">
        <v>7</v>
      </c>
      <c r="V4464">
        <v>6</v>
      </c>
    </row>
    <row r="4465" spans="1:22" x14ac:dyDescent="0.3">
      <c r="A4465">
        <v>4464</v>
      </c>
      <c r="B4465">
        <v>54935</v>
      </c>
      <c r="C4465" s="2">
        <v>38724</v>
      </c>
      <c r="D4465">
        <v>19</v>
      </c>
      <c r="E4465" t="s">
        <v>42</v>
      </c>
      <c r="F4465" t="s">
        <v>50</v>
      </c>
      <c r="G4465" s="2">
        <v>45573</v>
      </c>
      <c r="H4465" s="3">
        <f t="shared" si="69"/>
        <v>1.4054794520547946</v>
      </c>
      <c r="I4465">
        <v>58</v>
      </c>
      <c r="J4465" t="s">
        <v>38</v>
      </c>
      <c r="K4465" t="s">
        <v>56</v>
      </c>
      <c r="L4465" t="s">
        <v>44</v>
      </c>
      <c r="M4465">
        <v>8.4700000000000006</v>
      </c>
      <c r="T4465" t="s">
        <v>49</v>
      </c>
      <c r="U4465">
        <v>2</v>
      </c>
      <c r="V4465">
        <v>6</v>
      </c>
    </row>
    <row r="4466" spans="1:22" x14ac:dyDescent="0.3">
      <c r="A4466">
        <v>4465</v>
      </c>
      <c r="B4466">
        <v>54936</v>
      </c>
      <c r="C4466" s="2">
        <v>37606</v>
      </c>
      <c r="D4466">
        <v>23</v>
      </c>
      <c r="E4466" t="s">
        <v>42</v>
      </c>
      <c r="F4466" t="s">
        <v>50</v>
      </c>
      <c r="G4466" s="2">
        <v>45509</v>
      </c>
      <c r="H4466" s="3">
        <f t="shared" si="69"/>
        <v>1.3178082191780822</v>
      </c>
      <c r="I4466">
        <v>58</v>
      </c>
      <c r="J4466" t="s">
        <v>38</v>
      </c>
      <c r="K4466" t="s">
        <v>56</v>
      </c>
      <c r="L4466" t="s">
        <v>44</v>
      </c>
      <c r="M4466">
        <v>8.4700000000000006</v>
      </c>
      <c r="T4466" t="s">
        <v>45</v>
      </c>
      <c r="U4466">
        <v>2</v>
      </c>
      <c r="V4466">
        <v>7</v>
      </c>
    </row>
    <row r="4467" spans="1:22" x14ac:dyDescent="0.3">
      <c r="A4467">
        <v>4466</v>
      </c>
      <c r="B4467">
        <v>54937</v>
      </c>
      <c r="C4467" s="2">
        <v>38382</v>
      </c>
      <c r="D4467">
        <v>20</v>
      </c>
      <c r="E4467" t="s">
        <v>36</v>
      </c>
      <c r="F4467" t="s">
        <v>50</v>
      </c>
      <c r="G4467" s="2">
        <v>45541</v>
      </c>
      <c r="H4467" s="3">
        <f t="shared" si="69"/>
        <v>1.2219178082191782</v>
      </c>
      <c r="I4467">
        <v>58</v>
      </c>
      <c r="J4467" t="s">
        <v>38</v>
      </c>
      <c r="K4467" t="s">
        <v>56</v>
      </c>
      <c r="L4467" t="s">
        <v>44</v>
      </c>
      <c r="M4467">
        <v>8.4700000000000006</v>
      </c>
      <c r="T4467" t="s">
        <v>52</v>
      </c>
      <c r="U4467">
        <v>4</v>
      </c>
      <c r="V4467">
        <v>5</v>
      </c>
    </row>
    <row r="4468" spans="1:22" x14ac:dyDescent="0.3">
      <c r="A4468">
        <v>4467</v>
      </c>
      <c r="B4468">
        <v>54938</v>
      </c>
      <c r="C4468" s="2">
        <v>37253</v>
      </c>
      <c r="D4468">
        <v>24</v>
      </c>
      <c r="E4468" t="s">
        <v>36</v>
      </c>
      <c r="F4468" t="s">
        <v>50</v>
      </c>
      <c r="G4468" s="2">
        <v>45576</v>
      </c>
      <c r="H4468" s="3">
        <f t="shared" si="69"/>
        <v>1.0821917808219179</v>
      </c>
      <c r="I4468">
        <v>59</v>
      </c>
      <c r="J4468" t="s">
        <v>38</v>
      </c>
      <c r="K4468" t="s">
        <v>55</v>
      </c>
      <c r="L4468" t="s">
        <v>44</v>
      </c>
      <c r="M4468">
        <v>17.59</v>
      </c>
      <c r="T4468" t="s">
        <v>47</v>
      </c>
      <c r="U4468">
        <v>0</v>
      </c>
      <c r="V4468">
        <v>4</v>
      </c>
    </row>
    <row r="4469" spans="1:22" x14ac:dyDescent="0.3">
      <c r="A4469">
        <v>4468</v>
      </c>
      <c r="B4469">
        <v>54939</v>
      </c>
      <c r="C4469" s="2">
        <v>37433</v>
      </c>
      <c r="D4469">
        <v>23</v>
      </c>
      <c r="E4469" t="s">
        <v>42</v>
      </c>
      <c r="F4469" t="s">
        <v>50</v>
      </c>
      <c r="G4469" s="2">
        <v>45627</v>
      </c>
      <c r="H4469" s="3">
        <f t="shared" si="69"/>
        <v>1.1698630136986301</v>
      </c>
      <c r="I4469">
        <v>59</v>
      </c>
      <c r="J4469" t="s">
        <v>38</v>
      </c>
      <c r="K4469" t="s">
        <v>56</v>
      </c>
      <c r="L4469" t="s">
        <v>44</v>
      </c>
      <c r="M4469">
        <v>8.4700000000000006</v>
      </c>
      <c r="T4469" t="s">
        <v>52</v>
      </c>
      <c r="U4469">
        <v>2</v>
      </c>
      <c r="V4469">
        <v>7</v>
      </c>
    </row>
    <row r="4470" spans="1:22" x14ac:dyDescent="0.3">
      <c r="A4470">
        <v>4469</v>
      </c>
      <c r="B4470">
        <v>54941</v>
      </c>
      <c r="C4470" s="2">
        <v>38260</v>
      </c>
      <c r="D4470">
        <v>21</v>
      </c>
      <c r="E4470" t="s">
        <v>36</v>
      </c>
      <c r="F4470" t="s">
        <v>50</v>
      </c>
      <c r="G4470" s="2">
        <v>45595</v>
      </c>
      <c r="H4470" s="3">
        <f t="shared" si="69"/>
        <v>1.0602739726027397</v>
      </c>
      <c r="I4470">
        <v>60</v>
      </c>
      <c r="J4470" t="s">
        <v>38</v>
      </c>
      <c r="K4470" t="s">
        <v>65</v>
      </c>
      <c r="L4470" t="s">
        <v>44</v>
      </c>
      <c r="M4470">
        <v>10.64</v>
      </c>
      <c r="T4470" t="s">
        <v>45</v>
      </c>
      <c r="U4470">
        <v>0</v>
      </c>
      <c r="V4470">
        <v>4</v>
      </c>
    </row>
    <row r="4471" spans="1:22" x14ac:dyDescent="0.3">
      <c r="A4471">
        <v>4470</v>
      </c>
      <c r="B4471">
        <v>54942</v>
      </c>
      <c r="C4471" s="2">
        <v>38004</v>
      </c>
      <c r="D4471">
        <v>21</v>
      </c>
      <c r="E4471" t="s">
        <v>36</v>
      </c>
      <c r="F4471" t="s">
        <v>50</v>
      </c>
      <c r="G4471" s="2">
        <v>45635</v>
      </c>
      <c r="H4471" s="3">
        <f t="shared" si="69"/>
        <v>1.0054794520547945</v>
      </c>
      <c r="I4471">
        <v>61</v>
      </c>
      <c r="J4471" t="s">
        <v>38</v>
      </c>
      <c r="K4471" t="s">
        <v>56</v>
      </c>
      <c r="L4471" t="s">
        <v>44</v>
      </c>
      <c r="M4471">
        <v>8.4700000000000006</v>
      </c>
      <c r="T4471" t="s">
        <v>47</v>
      </c>
      <c r="U4471">
        <v>4</v>
      </c>
      <c r="V4471">
        <v>6</v>
      </c>
    </row>
    <row r="4472" spans="1:22" x14ac:dyDescent="0.3">
      <c r="A4472">
        <v>4471</v>
      </c>
      <c r="B4472">
        <v>54943</v>
      </c>
      <c r="C4472" s="2">
        <v>38584</v>
      </c>
      <c r="D4472">
        <v>20</v>
      </c>
      <c r="E4472" t="s">
        <v>42</v>
      </c>
      <c r="F4472" t="s">
        <v>50</v>
      </c>
      <c r="G4472" s="2">
        <v>45655</v>
      </c>
      <c r="H4472" s="3">
        <f t="shared" si="69"/>
        <v>1.8958904109589041</v>
      </c>
      <c r="I4472">
        <v>62</v>
      </c>
      <c r="J4472" t="s">
        <v>38</v>
      </c>
      <c r="K4472" t="s">
        <v>56</v>
      </c>
      <c r="L4472" t="s">
        <v>44</v>
      </c>
      <c r="M4472">
        <v>8.4700000000000006</v>
      </c>
      <c r="T4472" t="s">
        <v>52</v>
      </c>
      <c r="U4472">
        <v>0</v>
      </c>
      <c r="V4472">
        <v>5</v>
      </c>
    </row>
    <row r="4473" spans="1:22" x14ac:dyDescent="0.3">
      <c r="A4473">
        <v>4472</v>
      </c>
      <c r="B4473">
        <v>54944</v>
      </c>
      <c r="C4473" s="2">
        <v>38160</v>
      </c>
      <c r="D4473">
        <v>21</v>
      </c>
      <c r="E4473" t="s">
        <v>42</v>
      </c>
      <c r="F4473" t="s">
        <v>50</v>
      </c>
      <c r="G4473" s="2">
        <v>45330</v>
      </c>
      <c r="H4473" s="3">
        <f t="shared" si="69"/>
        <v>1.3863013698630138</v>
      </c>
      <c r="I4473">
        <v>63</v>
      </c>
      <c r="J4473" t="s">
        <v>38</v>
      </c>
      <c r="K4473" t="s">
        <v>56</v>
      </c>
      <c r="L4473" t="s">
        <v>44</v>
      </c>
      <c r="M4473">
        <v>8.4700000000000006</v>
      </c>
      <c r="T4473" t="s">
        <v>45</v>
      </c>
      <c r="U4473">
        <v>2</v>
      </c>
      <c r="V4473">
        <v>7</v>
      </c>
    </row>
    <row r="4474" spans="1:22" x14ac:dyDescent="0.3">
      <c r="A4474">
        <v>4473</v>
      </c>
      <c r="B4474">
        <v>54945</v>
      </c>
      <c r="C4474" s="2">
        <v>36150</v>
      </c>
      <c r="D4474">
        <v>27</v>
      </c>
      <c r="E4474" t="s">
        <v>42</v>
      </c>
      <c r="F4474" t="s">
        <v>50</v>
      </c>
      <c r="G4474" s="2">
        <v>45516</v>
      </c>
      <c r="H4474" s="3">
        <f t="shared" si="69"/>
        <v>1.4575342465753425</v>
      </c>
      <c r="I4474">
        <v>64</v>
      </c>
      <c r="J4474" t="s">
        <v>38</v>
      </c>
      <c r="K4474" t="s">
        <v>48</v>
      </c>
      <c r="L4474" t="s">
        <v>44</v>
      </c>
      <c r="M4474">
        <v>8.4700000000000006</v>
      </c>
      <c r="T4474" t="s">
        <v>52</v>
      </c>
      <c r="U4474">
        <v>1</v>
      </c>
      <c r="V4474">
        <v>6</v>
      </c>
    </row>
    <row r="4475" spans="1:22" x14ac:dyDescent="0.3">
      <c r="A4475">
        <v>4474</v>
      </c>
      <c r="B4475">
        <v>54946</v>
      </c>
      <c r="C4475" s="2">
        <v>30804</v>
      </c>
      <c r="D4475">
        <v>41</v>
      </c>
      <c r="E4475" t="s">
        <v>42</v>
      </c>
      <c r="F4475" t="s">
        <v>50</v>
      </c>
      <c r="G4475" s="2">
        <v>45490</v>
      </c>
      <c r="H4475" s="3">
        <f t="shared" si="69"/>
        <v>1.0547945205479452</v>
      </c>
      <c r="I4475">
        <v>67</v>
      </c>
      <c r="J4475" t="s">
        <v>57</v>
      </c>
      <c r="K4475" t="s">
        <v>46</v>
      </c>
      <c r="L4475" t="s">
        <v>44</v>
      </c>
      <c r="M4475">
        <v>14.23</v>
      </c>
      <c r="T4475" t="s">
        <v>45</v>
      </c>
      <c r="U4475">
        <v>0</v>
      </c>
      <c r="V4475">
        <v>5</v>
      </c>
    </row>
    <row r="4476" spans="1:22" x14ac:dyDescent="0.3">
      <c r="A4476">
        <v>4475</v>
      </c>
      <c r="B4476">
        <v>54947</v>
      </c>
      <c r="C4476" s="2">
        <v>38059</v>
      </c>
      <c r="D4476">
        <v>21</v>
      </c>
      <c r="E4476" t="s">
        <v>36</v>
      </c>
      <c r="F4476" t="s">
        <v>50</v>
      </c>
      <c r="G4476" s="2">
        <v>45637</v>
      </c>
      <c r="H4476" s="3">
        <f t="shared" si="69"/>
        <v>1.5315068493150685</v>
      </c>
      <c r="I4476">
        <v>70</v>
      </c>
      <c r="J4476" t="s">
        <v>57</v>
      </c>
      <c r="K4476" t="s">
        <v>65</v>
      </c>
      <c r="L4476" t="s">
        <v>44</v>
      </c>
      <c r="M4476">
        <v>10.64</v>
      </c>
      <c r="T4476" t="s">
        <v>52</v>
      </c>
      <c r="U4476">
        <v>1</v>
      </c>
      <c r="V4476">
        <v>5</v>
      </c>
    </row>
    <row r="4477" spans="1:22" x14ac:dyDescent="0.3">
      <c r="A4477">
        <v>4476</v>
      </c>
      <c r="B4477">
        <v>54948</v>
      </c>
      <c r="C4477" s="2">
        <v>38206</v>
      </c>
      <c r="D4477">
        <v>21</v>
      </c>
      <c r="E4477" t="s">
        <v>42</v>
      </c>
      <c r="F4477" t="s">
        <v>50</v>
      </c>
      <c r="G4477" s="2">
        <v>45463</v>
      </c>
      <c r="H4477" s="3">
        <f t="shared" si="69"/>
        <v>1.0465753424657533</v>
      </c>
      <c r="I4477">
        <v>70</v>
      </c>
      <c r="J4477" t="s">
        <v>57</v>
      </c>
      <c r="K4477" t="s">
        <v>56</v>
      </c>
      <c r="L4477" t="s">
        <v>44</v>
      </c>
      <c r="M4477">
        <v>8.4700000000000006</v>
      </c>
      <c r="T4477" t="s">
        <v>45</v>
      </c>
      <c r="U4477">
        <v>1</v>
      </c>
      <c r="V4477">
        <v>6</v>
      </c>
    </row>
    <row r="4478" spans="1:22" x14ac:dyDescent="0.3">
      <c r="A4478">
        <v>4477</v>
      </c>
      <c r="B4478">
        <v>54949</v>
      </c>
      <c r="C4478" s="2">
        <v>37389</v>
      </c>
      <c r="D4478">
        <v>23</v>
      </c>
      <c r="E4478" t="s">
        <v>42</v>
      </c>
      <c r="F4478" t="s">
        <v>50</v>
      </c>
      <c r="G4478" s="2">
        <v>45640</v>
      </c>
      <c r="H4478" s="3">
        <f t="shared" si="69"/>
        <v>1.7698630136986302</v>
      </c>
      <c r="I4478">
        <v>70</v>
      </c>
      <c r="J4478" t="s">
        <v>57</v>
      </c>
      <c r="K4478" t="s">
        <v>56</v>
      </c>
      <c r="L4478" t="s">
        <v>44</v>
      </c>
      <c r="M4478">
        <v>8.4700000000000006</v>
      </c>
      <c r="T4478" t="s">
        <v>45</v>
      </c>
      <c r="U4478">
        <v>3</v>
      </c>
      <c r="V4478">
        <v>7</v>
      </c>
    </row>
    <row r="4479" spans="1:22" x14ac:dyDescent="0.3">
      <c r="A4479">
        <v>4478</v>
      </c>
      <c r="B4479">
        <v>54950</v>
      </c>
      <c r="C4479" s="2">
        <v>37274</v>
      </c>
      <c r="D4479">
        <v>23</v>
      </c>
      <c r="E4479" t="s">
        <v>42</v>
      </c>
      <c r="F4479" t="s">
        <v>50</v>
      </c>
      <c r="G4479" s="2">
        <v>45376</v>
      </c>
      <c r="H4479" s="3">
        <f t="shared" si="69"/>
        <v>1.6301369863013699</v>
      </c>
      <c r="I4479">
        <v>71</v>
      </c>
      <c r="J4479" t="s">
        <v>57</v>
      </c>
      <c r="K4479" t="s">
        <v>56</v>
      </c>
      <c r="L4479" t="s">
        <v>44</v>
      </c>
      <c r="M4479">
        <v>8.4700000000000006</v>
      </c>
      <c r="T4479" t="s">
        <v>49</v>
      </c>
      <c r="U4479">
        <v>0</v>
      </c>
      <c r="V4479">
        <v>6</v>
      </c>
    </row>
    <row r="4480" spans="1:22" x14ac:dyDescent="0.3">
      <c r="A4480">
        <v>4479</v>
      </c>
      <c r="B4480">
        <v>54951</v>
      </c>
      <c r="C4480" s="2">
        <v>38150</v>
      </c>
      <c r="D4480">
        <v>21</v>
      </c>
      <c r="E4480" t="s">
        <v>42</v>
      </c>
      <c r="F4480" t="s">
        <v>50</v>
      </c>
      <c r="G4480" s="2">
        <v>45427</v>
      </c>
      <c r="H4480" s="3">
        <f t="shared" si="69"/>
        <v>1.6465753424657534</v>
      </c>
      <c r="I4480">
        <v>71</v>
      </c>
      <c r="J4480" t="s">
        <v>57</v>
      </c>
      <c r="K4480" t="s">
        <v>56</v>
      </c>
      <c r="L4480" t="s">
        <v>44</v>
      </c>
      <c r="M4480">
        <v>8.4700000000000006</v>
      </c>
      <c r="T4480" t="s">
        <v>52</v>
      </c>
      <c r="U4480">
        <v>1</v>
      </c>
      <c r="V4480">
        <v>5</v>
      </c>
    </row>
    <row r="4481" spans="1:22" x14ac:dyDescent="0.3">
      <c r="A4481">
        <v>4480</v>
      </c>
      <c r="B4481">
        <v>54952</v>
      </c>
      <c r="C4481" s="2">
        <v>38986</v>
      </c>
      <c r="D4481">
        <v>19</v>
      </c>
      <c r="E4481" t="s">
        <v>42</v>
      </c>
      <c r="F4481" t="s">
        <v>50</v>
      </c>
      <c r="G4481" s="2">
        <v>45421</v>
      </c>
      <c r="H4481" s="3">
        <f t="shared" si="69"/>
        <v>1.5232876712328767</v>
      </c>
      <c r="I4481">
        <v>71</v>
      </c>
      <c r="J4481" t="s">
        <v>57</v>
      </c>
      <c r="K4481" t="s">
        <v>56</v>
      </c>
      <c r="L4481" t="s">
        <v>44</v>
      </c>
      <c r="M4481">
        <v>8.4700000000000006</v>
      </c>
      <c r="T4481" t="s">
        <v>52</v>
      </c>
      <c r="U4481">
        <v>1</v>
      </c>
      <c r="V4481">
        <v>5</v>
      </c>
    </row>
    <row r="4482" spans="1:22" x14ac:dyDescent="0.3">
      <c r="A4482">
        <v>4481</v>
      </c>
      <c r="B4482">
        <v>54953</v>
      </c>
      <c r="C4482" s="2">
        <v>35526</v>
      </c>
      <c r="D4482">
        <v>28</v>
      </c>
      <c r="E4482" t="s">
        <v>42</v>
      </c>
      <c r="F4482" t="s">
        <v>50</v>
      </c>
      <c r="G4482" s="2">
        <v>45466</v>
      </c>
      <c r="H4482" s="3">
        <f t="shared" si="69"/>
        <v>1.7780821917808218</v>
      </c>
      <c r="I4482">
        <v>71</v>
      </c>
      <c r="J4482" t="s">
        <v>57</v>
      </c>
      <c r="K4482" t="s">
        <v>56</v>
      </c>
      <c r="L4482" t="s">
        <v>44</v>
      </c>
      <c r="M4482">
        <v>8.4700000000000006</v>
      </c>
      <c r="T4482" t="s">
        <v>45</v>
      </c>
      <c r="U4482">
        <v>2</v>
      </c>
      <c r="V4482">
        <v>6</v>
      </c>
    </row>
    <row r="4483" spans="1:22" x14ac:dyDescent="0.3">
      <c r="A4483">
        <v>4482</v>
      </c>
      <c r="B4483">
        <v>54954</v>
      </c>
      <c r="C4483" s="2">
        <v>37375</v>
      </c>
      <c r="D4483">
        <v>23</v>
      </c>
      <c r="E4483" t="s">
        <v>42</v>
      </c>
      <c r="F4483" t="s">
        <v>50</v>
      </c>
      <c r="G4483" s="2">
        <v>45373</v>
      </c>
      <c r="H4483" s="3">
        <f t="shared" ref="H4483:H4546" si="70">DATEDIF(G4484,DATE(2025,12,31),"d")/365</f>
        <v>1.7068493150684931</v>
      </c>
      <c r="I4483">
        <v>72</v>
      </c>
      <c r="J4483" t="s">
        <v>57</v>
      </c>
      <c r="K4483" t="s">
        <v>56</v>
      </c>
      <c r="L4483" t="s">
        <v>44</v>
      </c>
      <c r="M4483">
        <v>8.4700000000000006</v>
      </c>
      <c r="T4483" t="s">
        <v>45</v>
      </c>
      <c r="U4483">
        <v>1</v>
      </c>
      <c r="V4483">
        <v>5</v>
      </c>
    </row>
    <row r="4484" spans="1:22" x14ac:dyDescent="0.3">
      <c r="A4484">
        <v>4483</v>
      </c>
      <c r="B4484">
        <v>54955</v>
      </c>
      <c r="C4484" s="2">
        <v>36707</v>
      </c>
      <c r="D4484">
        <v>25</v>
      </c>
      <c r="E4484" t="s">
        <v>42</v>
      </c>
      <c r="F4484" t="s">
        <v>50</v>
      </c>
      <c r="G4484" s="2">
        <v>45399</v>
      </c>
      <c r="H4484" s="3">
        <f t="shared" si="70"/>
        <v>1.3698630136986301</v>
      </c>
      <c r="I4484">
        <v>73</v>
      </c>
      <c r="J4484" t="s">
        <v>57</v>
      </c>
      <c r="K4484" t="s">
        <v>68</v>
      </c>
      <c r="L4484" t="s">
        <v>44</v>
      </c>
      <c r="M4484">
        <v>17</v>
      </c>
      <c r="T4484" t="s">
        <v>45</v>
      </c>
      <c r="U4484">
        <v>2</v>
      </c>
      <c r="V4484">
        <v>6</v>
      </c>
    </row>
    <row r="4485" spans="1:22" x14ac:dyDescent="0.3">
      <c r="A4485">
        <v>4484</v>
      </c>
      <c r="B4485">
        <v>54956</v>
      </c>
      <c r="C4485" s="2">
        <v>37557</v>
      </c>
      <c r="D4485">
        <v>23</v>
      </c>
      <c r="E4485" t="s">
        <v>42</v>
      </c>
      <c r="F4485" t="s">
        <v>37</v>
      </c>
      <c r="G4485" s="2">
        <v>45522</v>
      </c>
      <c r="H4485" s="3">
        <f t="shared" si="70"/>
        <v>1.7534246575342465</v>
      </c>
      <c r="I4485">
        <v>73</v>
      </c>
      <c r="J4485" t="s">
        <v>57</v>
      </c>
      <c r="K4485" t="s">
        <v>56</v>
      </c>
      <c r="L4485" t="s">
        <v>44</v>
      </c>
      <c r="M4485">
        <v>8.4700000000000006</v>
      </c>
      <c r="T4485" t="s">
        <v>52</v>
      </c>
      <c r="U4485">
        <v>2</v>
      </c>
      <c r="V4485">
        <v>5</v>
      </c>
    </row>
    <row r="4486" spans="1:22" x14ac:dyDescent="0.3">
      <c r="A4486">
        <v>4485</v>
      </c>
      <c r="B4486">
        <v>54957</v>
      </c>
      <c r="C4486" s="2">
        <v>37385</v>
      </c>
      <c r="D4486">
        <v>23</v>
      </c>
      <c r="E4486" t="s">
        <v>42</v>
      </c>
      <c r="F4486" t="s">
        <v>50</v>
      </c>
      <c r="G4486" s="2">
        <v>45382</v>
      </c>
      <c r="H4486" s="3">
        <f t="shared" si="70"/>
        <v>1.6246575342465754</v>
      </c>
      <c r="I4486">
        <v>74</v>
      </c>
      <c r="J4486" t="s">
        <v>57</v>
      </c>
      <c r="K4486" t="s">
        <v>56</v>
      </c>
      <c r="L4486" t="s">
        <v>44</v>
      </c>
      <c r="M4486">
        <v>8.4700000000000006</v>
      </c>
      <c r="T4486" t="s">
        <v>47</v>
      </c>
      <c r="U4486">
        <v>3</v>
      </c>
      <c r="V4486">
        <v>6</v>
      </c>
    </row>
    <row r="4487" spans="1:22" x14ac:dyDescent="0.3">
      <c r="A4487">
        <v>4486</v>
      </c>
      <c r="B4487">
        <v>54959</v>
      </c>
      <c r="C4487" s="2">
        <v>35057</v>
      </c>
      <c r="D4487">
        <v>30</v>
      </c>
      <c r="E4487" t="s">
        <v>36</v>
      </c>
      <c r="F4487" t="s">
        <v>50</v>
      </c>
      <c r="G4487" s="2">
        <v>45429</v>
      </c>
      <c r="H4487" s="3">
        <f t="shared" si="70"/>
        <v>1.3232876712328767</v>
      </c>
      <c r="I4487">
        <v>75</v>
      </c>
      <c r="J4487" t="s">
        <v>57</v>
      </c>
      <c r="K4487" t="s">
        <v>65</v>
      </c>
      <c r="L4487" t="s">
        <v>44</v>
      </c>
      <c r="M4487">
        <v>10.64</v>
      </c>
      <c r="T4487" t="s">
        <v>45</v>
      </c>
      <c r="U4487">
        <v>1</v>
      </c>
      <c r="V4487">
        <v>4</v>
      </c>
    </row>
    <row r="4488" spans="1:22" x14ac:dyDescent="0.3">
      <c r="A4488">
        <v>4487</v>
      </c>
      <c r="B4488">
        <v>54960</v>
      </c>
      <c r="C4488" s="2">
        <v>36391</v>
      </c>
      <c r="D4488">
        <v>26</v>
      </c>
      <c r="E4488" t="s">
        <v>42</v>
      </c>
      <c r="F4488" t="s">
        <v>50</v>
      </c>
      <c r="G4488" s="2">
        <v>45539</v>
      </c>
      <c r="H4488" s="3">
        <f t="shared" si="70"/>
        <v>1.0410958904109588</v>
      </c>
      <c r="I4488">
        <v>75</v>
      </c>
      <c r="J4488" t="s">
        <v>57</v>
      </c>
      <c r="K4488" t="s">
        <v>48</v>
      </c>
      <c r="L4488" t="s">
        <v>44</v>
      </c>
      <c r="M4488">
        <v>8.4700000000000006</v>
      </c>
      <c r="T4488" t="s">
        <v>52</v>
      </c>
      <c r="U4488">
        <v>1</v>
      </c>
      <c r="V4488">
        <v>7</v>
      </c>
    </row>
    <row r="4489" spans="1:22" x14ac:dyDescent="0.3">
      <c r="A4489">
        <v>4488</v>
      </c>
      <c r="B4489">
        <v>54961</v>
      </c>
      <c r="C4489" s="2">
        <v>36772</v>
      </c>
      <c r="D4489">
        <v>25</v>
      </c>
      <c r="E4489" t="s">
        <v>36</v>
      </c>
      <c r="F4489" t="s">
        <v>37</v>
      </c>
      <c r="G4489" s="2">
        <v>45642</v>
      </c>
      <c r="H4489" s="3">
        <f t="shared" si="70"/>
        <v>1.4219178082191781</v>
      </c>
      <c r="I4489">
        <v>78</v>
      </c>
      <c r="J4489" t="s">
        <v>57</v>
      </c>
      <c r="K4489" t="s">
        <v>43</v>
      </c>
      <c r="L4489" t="s">
        <v>44</v>
      </c>
      <c r="M4489">
        <v>16.37</v>
      </c>
      <c r="T4489" t="s">
        <v>45</v>
      </c>
      <c r="U4489">
        <v>0</v>
      </c>
      <c r="V4489">
        <v>4</v>
      </c>
    </row>
    <row r="4490" spans="1:22" x14ac:dyDescent="0.3">
      <c r="A4490">
        <v>4489</v>
      </c>
      <c r="B4490">
        <v>54962</v>
      </c>
      <c r="C4490" s="2">
        <v>38945</v>
      </c>
      <c r="D4490">
        <v>19</v>
      </c>
      <c r="E4490" t="s">
        <v>42</v>
      </c>
      <c r="F4490" t="s">
        <v>50</v>
      </c>
      <c r="G4490" s="2">
        <v>45503</v>
      </c>
      <c r="H4490" s="3">
        <f t="shared" si="70"/>
        <v>1.6739726027397259</v>
      </c>
      <c r="I4490">
        <v>81</v>
      </c>
      <c r="J4490" t="s">
        <v>57</v>
      </c>
      <c r="K4490" t="s">
        <v>65</v>
      </c>
      <c r="L4490" t="s">
        <v>44</v>
      </c>
      <c r="M4490">
        <v>10.64</v>
      </c>
      <c r="T4490" t="s">
        <v>49</v>
      </c>
      <c r="U4490">
        <v>0</v>
      </c>
      <c r="V4490">
        <v>5</v>
      </c>
    </row>
    <row r="4491" spans="1:22" x14ac:dyDescent="0.3">
      <c r="A4491">
        <v>4490</v>
      </c>
      <c r="B4491">
        <v>54963</v>
      </c>
      <c r="C4491" s="2">
        <v>37405</v>
      </c>
      <c r="D4491">
        <v>23</v>
      </c>
      <c r="E4491" t="s">
        <v>36</v>
      </c>
      <c r="F4491" t="s">
        <v>50</v>
      </c>
      <c r="G4491" s="2">
        <v>45411</v>
      </c>
      <c r="H4491" s="3">
        <f t="shared" si="70"/>
        <v>1.1753424657534246</v>
      </c>
      <c r="I4491">
        <v>82</v>
      </c>
      <c r="J4491" t="s">
        <v>57</v>
      </c>
      <c r="K4491" t="s">
        <v>55</v>
      </c>
      <c r="L4491" t="s">
        <v>44</v>
      </c>
      <c r="M4491">
        <v>17.59</v>
      </c>
      <c r="T4491" t="s">
        <v>52</v>
      </c>
      <c r="U4491">
        <v>1</v>
      </c>
      <c r="V4491">
        <v>4</v>
      </c>
    </row>
    <row r="4492" spans="1:22" x14ac:dyDescent="0.3">
      <c r="A4492">
        <v>4491</v>
      </c>
      <c r="B4492">
        <v>54964</v>
      </c>
      <c r="C4492" s="2">
        <v>38237</v>
      </c>
      <c r="D4492">
        <v>21</v>
      </c>
      <c r="E4492" t="s">
        <v>42</v>
      </c>
      <c r="F4492" t="s">
        <v>50</v>
      </c>
      <c r="G4492" s="2">
        <v>45593</v>
      </c>
      <c r="H4492" s="3">
        <f t="shared" si="70"/>
        <v>1.2904109589041095</v>
      </c>
      <c r="I4492">
        <v>83</v>
      </c>
      <c r="J4492" t="s">
        <v>57</v>
      </c>
      <c r="K4492" t="s">
        <v>48</v>
      </c>
      <c r="L4492" t="s">
        <v>44</v>
      </c>
      <c r="M4492">
        <v>8.4700000000000006</v>
      </c>
      <c r="T4492" t="s">
        <v>52</v>
      </c>
      <c r="U4492">
        <v>3</v>
      </c>
      <c r="V4492">
        <v>5</v>
      </c>
    </row>
    <row r="4493" spans="1:22" x14ac:dyDescent="0.3">
      <c r="A4493">
        <v>4492</v>
      </c>
      <c r="B4493">
        <v>54965</v>
      </c>
      <c r="C4493" s="2">
        <v>39308</v>
      </c>
      <c r="D4493">
        <v>18</v>
      </c>
      <c r="E4493" t="s">
        <v>42</v>
      </c>
      <c r="F4493" t="s">
        <v>50</v>
      </c>
      <c r="G4493" s="2">
        <v>45551</v>
      </c>
      <c r="H4493" s="3">
        <f t="shared" si="70"/>
        <v>1.5232876712328767</v>
      </c>
      <c r="I4493">
        <v>83</v>
      </c>
      <c r="J4493" t="s">
        <v>57</v>
      </c>
      <c r="K4493" t="s">
        <v>56</v>
      </c>
      <c r="L4493" t="s">
        <v>44</v>
      </c>
      <c r="M4493">
        <v>8.4700000000000006</v>
      </c>
      <c r="T4493" t="s">
        <v>52</v>
      </c>
      <c r="U4493">
        <v>2</v>
      </c>
      <c r="V4493">
        <v>5</v>
      </c>
    </row>
    <row r="4494" spans="1:22" x14ac:dyDescent="0.3">
      <c r="A4494">
        <v>4493</v>
      </c>
      <c r="B4494">
        <v>54966</v>
      </c>
      <c r="C4494" s="2">
        <v>37400</v>
      </c>
      <c r="D4494">
        <v>23</v>
      </c>
      <c r="E4494" t="s">
        <v>42</v>
      </c>
      <c r="F4494" t="s">
        <v>37</v>
      </c>
      <c r="G4494" s="2">
        <v>45466</v>
      </c>
      <c r="H4494" s="3">
        <f t="shared" si="70"/>
        <v>1.3342465753424657</v>
      </c>
      <c r="I4494">
        <v>85</v>
      </c>
      <c r="J4494" t="s">
        <v>57</v>
      </c>
      <c r="K4494" t="s">
        <v>65</v>
      </c>
      <c r="L4494" t="s">
        <v>44</v>
      </c>
      <c r="M4494">
        <v>10.64</v>
      </c>
      <c r="T4494" t="s">
        <v>47</v>
      </c>
      <c r="U4494">
        <v>1</v>
      </c>
      <c r="V4494">
        <v>6</v>
      </c>
    </row>
    <row r="4495" spans="1:22" x14ac:dyDescent="0.3">
      <c r="A4495">
        <v>4494</v>
      </c>
      <c r="B4495">
        <v>54967</v>
      </c>
      <c r="C4495" s="2">
        <v>36269</v>
      </c>
      <c r="D4495">
        <v>26</v>
      </c>
      <c r="E4495" t="s">
        <v>42</v>
      </c>
      <c r="F4495" t="s">
        <v>50</v>
      </c>
      <c r="G4495" s="2">
        <v>45535</v>
      </c>
      <c r="H4495" s="3">
        <f t="shared" si="70"/>
        <v>1.1150684931506849</v>
      </c>
      <c r="I4495">
        <v>87</v>
      </c>
      <c r="J4495" t="s">
        <v>57</v>
      </c>
      <c r="K4495" t="s">
        <v>48</v>
      </c>
      <c r="L4495" t="s">
        <v>44</v>
      </c>
      <c r="M4495">
        <v>8.4700000000000006</v>
      </c>
      <c r="T4495" t="s">
        <v>45</v>
      </c>
      <c r="U4495">
        <v>0</v>
      </c>
      <c r="V4495">
        <v>6</v>
      </c>
    </row>
    <row r="4496" spans="1:22" x14ac:dyDescent="0.3">
      <c r="A4496">
        <v>4495</v>
      </c>
      <c r="B4496">
        <v>54968</v>
      </c>
      <c r="C4496" s="2">
        <v>38980</v>
      </c>
      <c r="D4496">
        <v>19</v>
      </c>
      <c r="E4496" t="s">
        <v>42</v>
      </c>
      <c r="F4496" t="s">
        <v>50</v>
      </c>
      <c r="G4496" s="2">
        <v>45615</v>
      </c>
      <c r="H4496" s="3">
        <f t="shared" si="70"/>
        <v>1.1534246575342466</v>
      </c>
      <c r="I4496">
        <v>87</v>
      </c>
      <c r="J4496" t="s">
        <v>57</v>
      </c>
      <c r="K4496" t="s">
        <v>56</v>
      </c>
      <c r="L4496" t="s">
        <v>44</v>
      </c>
      <c r="M4496">
        <v>8.4700000000000006</v>
      </c>
      <c r="T4496" t="s">
        <v>47</v>
      </c>
      <c r="U4496">
        <v>1</v>
      </c>
      <c r="V4496">
        <v>6</v>
      </c>
    </row>
    <row r="4497" spans="1:22" x14ac:dyDescent="0.3">
      <c r="A4497">
        <v>4496</v>
      </c>
      <c r="B4497">
        <v>54969</v>
      </c>
      <c r="C4497" s="2">
        <v>38092</v>
      </c>
      <c r="D4497">
        <v>21</v>
      </c>
      <c r="E4497" t="s">
        <v>36</v>
      </c>
      <c r="F4497" t="s">
        <v>50</v>
      </c>
      <c r="G4497" s="2">
        <v>45601</v>
      </c>
      <c r="H4497" s="3">
        <f t="shared" si="70"/>
        <v>1.5342465753424657</v>
      </c>
      <c r="I4497">
        <v>88</v>
      </c>
      <c r="J4497" t="s">
        <v>57</v>
      </c>
      <c r="K4497" t="s">
        <v>65</v>
      </c>
      <c r="L4497" t="s">
        <v>44</v>
      </c>
      <c r="M4497">
        <v>10.64</v>
      </c>
      <c r="T4497" t="s">
        <v>52</v>
      </c>
      <c r="U4497">
        <v>0</v>
      </c>
      <c r="V4497">
        <v>4</v>
      </c>
    </row>
    <row r="4498" spans="1:22" x14ac:dyDescent="0.3">
      <c r="A4498">
        <v>4497</v>
      </c>
      <c r="B4498">
        <v>54970</v>
      </c>
      <c r="C4498" s="2">
        <v>37827</v>
      </c>
      <c r="D4498">
        <v>22</v>
      </c>
      <c r="E4498" t="s">
        <v>36</v>
      </c>
      <c r="F4498" t="s">
        <v>50</v>
      </c>
      <c r="G4498" s="2">
        <v>45462</v>
      </c>
      <c r="H4498" s="3">
        <f t="shared" si="70"/>
        <v>1.6027397260273972</v>
      </c>
      <c r="I4498">
        <v>88</v>
      </c>
      <c r="J4498" t="s">
        <v>57</v>
      </c>
      <c r="K4498" t="s">
        <v>46</v>
      </c>
      <c r="L4498" t="s">
        <v>44</v>
      </c>
      <c r="M4498">
        <v>14.23</v>
      </c>
      <c r="T4498" t="s">
        <v>49</v>
      </c>
      <c r="U4498">
        <v>1</v>
      </c>
      <c r="V4498">
        <v>4</v>
      </c>
    </row>
    <row r="4499" spans="1:22" x14ac:dyDescent="0.3">
      <c r="A4499">
        <v>4498</v>
      </c>
      <c r="B4499">
        <v>54971</v>
      </c>
      <c r="C4499" s="2">
        <v>38039</v>
      </c>
      <c r="D4499">
        <v>21</v>
      </c>
      <c r="E4499" t="s">
        <v>42</v>
      </c>
      <c r="F4499" t="s">
        <v>50</v>
      </c>
      <c r="G4499" s="2">
        <v>45437</v>
      </c>
      <c r="H4499" s="3">
        <f t="shared" si="70"/>
        <v>1.8</v>
      </c>
      <c r="I4499">
        <v>88</v>
      </c>
      <c r="J4499" t="s">
        <v>57</v>
      </c>
      <c r="K4499" t="s">
        <v>56</v>
      </c>
      <c r="L4499" t="s">
        <v>44</v>
      </c>
      <c r="M4499">
        <v>8.4700000000000006</v>
      </c>
      <c r="T4499" t="s">
        <v>49</v>
      </c>
      <c r="U4499">
        <v>0</v>
      </c>
      <c r="V4499">
        <v>6</v>
      </c>
    </row>
    <row r="4500" spans="1:22" x14ac:dyDescent="0.3">
      <c r="A4500">
        <v>4499</v>
      </c>
      <c r="B4500">
        <v>54972</v>
      </c>
      <c r="C4500" s="2">
        <v>37329</v>
      </c>
      <c r="D4500">
        <v>23</v>
      </c>
      <c r="E4500" t="s">
        <v>36</v>
      </c>
      <c r="F4500" t="s">
        <v>50</v>
      </c>
      <c r="G4500" s="2">
        <v>45365</v>
      </c>
      <c r="H4500" s="3">
        <f t="shared" si="70"/>
        <v>1.7232876712328766</v>
      </c>
      <c r="I4500">
        <v>90</v>
      </c>
      <c r="J4500" t="s">
        <v>57</v>
      </c>
      <c r="K4500" t="s">
        <v>68</v>
      </c>
      <c r="L4500" t="s">
        <v>44</v>
      </c>
      <c r="M4500">
        <v>17</v>
      </c>
      <c r="T4500" t="s">
        <v>45</v>
      </c>
      <c r="U4500">
        <v>2</v>
      </c>
      <c r="V4500">
        <v>4</v>
      </c>
    </row>
    <row r="4501" spans="1:22" x14ac:dyDescent="0.3">
      <c r="A4501">
        <v>4500</v>
      </c>
      <c r="B4501">
        <v>54973</v>
      </c>
      <c r="C4501" s="2">
        <v>36477</v>
      </c>
      <c r="D4501">
        <v>26</v>
      </c>
      <c r="E4501" t="s">
        <v>42</v>
      </c>
      <c r="F4501" t="s">
        <v>37</v>
      </c>
      <c r="G4501" s="2">
        <v>45393</v>
      </c>
      <c r="H4501" s="3">
        <f t="shared" si="70"/>
        <v>1.5397260273972602</v>
      </c>
      <c r="I4501">
        <v>90</v>
      </c>
      <c r="J4501" t="s">
        <v>57</v>
      </c>
      <c r="K4501" t="s">
        <v>65</v>
      </c>
      <c r="L4501" t="s">
        <v>44</v>
      </c>
      <c r="M4501">
        <v>10.64</v>
      </c>
      <c r="T4501" t="s">
        <v>45</v>
      </c>
      <c r="U4501">
        <v>0</v>
      </c>
      <c r="V4501">
        <v>6</v>
      </c>
    </row>
    <row r="4502" spans="1:22" x14ac:dyDescent="0.3">
      <c r="A4502">
        <v>4501</v>
      </c>
      <c r="B4502">
        <v>54974</v>
      </c>
      <c r="C4502" s="2">
        <v>39422</v>
      </c>
      <c r="D4502">
        <v>18</v>
      </c>
      <c r="E4502" t="s">
        <v>42</v>
      </c>
      <c r="F4502" t="s">
        <v>37</v>
      </c>
      <c r="G4502" s="2">
        <v>45460</v>
      </c>
      <c r="H4502" s="3">
        <f t="shared" si="70"/>
        <v>1.2246575342465753</v>
      </c>
      <c r="I4502">
        <v>90</v>
      </c>
      <c r="J4502" t="s">
        <v>57</v>
      </c>
      <c r="K4502" t="s">
        <v>56</v>
      </c>
      <c r="L4502" t="s">
        <v>44</v>
      </c>
      <c r="M4502">
        <v>8.4700000000000006</v>
      </c>
      <c r="T4502" t="s">
        <v>52</v>
      </c>
      <c r="U4502">
        <v>1</v>
      </c>
      <c r="V4502">
        <v>5</v>
      </c>
    </row>
    <row r="4503" spans="1:22" x14ac:dyDescent="0.3">
      <c r="A4503">
        <v>4502</v>
      </c>
      <c r="B4503">
        <v>54975</v>
      </c>
      <c r="C4503" s="2">
        <v>33656</v>
      </c>
      <c r="D4503">
        <v>33</v>
      </c>
      <c r="E4503" t="s">
        <v>36</v>
      </c>
      <c r="F4503" t="s">
        <v>50</v>
      </c>
      <c r="G4503" s="2">
        <v>45575</v>
      </c>
      <c r="H4503" s="3">
        <f t="shared" si="70"/>
        <v>1.5890410958904109</v>
      </c>
      <c r="I4503">
        <v>91</v>
      </c>
      <c r="J4503" t="s">
        <v>57</v>
      </c>
      <c r="K4503" t="s">
        <v>55</v>
      </c>
      <c r="L4503" t="s">
        <v>44</v>
      </c>
      <c r="M4503">
        <v>17.59</v>
      </c>
      <c r="T4503" t="s">
        <v>52</v>
      </c>
      <c r="U4503">
        <v>1</v>
      </c>
      <c r="V4503">
        <v>4</v>
      </c>
    </row>
    <row r="4504" spans="1:22" x14ac:dyDescent="0.3">
      <c r="A4504">
        <v>4503</v>
      </c>
      <c r="B4504">
        <v>54976</v>
      </c>
      <c r="C4504" s="2">
        <v>38225</v>
      </c>
      <c r="D4504">
        <v>21</v>
      </c>
      <c r="E4504" t="s">
        <v>42</v>
      </c>
      <c r="F4504" t="s">
        <v>37</v>
      </c>
      <c r="G4504" s="2">
        <v>45442</v>
      </c>
      <c r="H4504" s="3">
        <f t="shared" si="70"/>
        <v>1.4438356164383561</v>
      </c>
      <c r="I4504">
        <v>91</v>
      </c>
      <c r="J4504" t="s">
        <v>57</v>
      </c>
      <c r="K4504" t="s">
        <v>56</v>
      </c>
      <c r="L4504" t="s">
        <v>44</v>
      </c>
      <c r="M4504">
        <v>8.4700000000000006</v>
      </c>
      <c r="T4504" t="s">
        <v>52</v>
      </c>
      <c r="U4504">
        <v>1</v>
      </c>
      <c r="V4504">
        <v>5</v>
      </c>
    </row>
    <row r="4505" spans="1:22" x14ac:dyDescent="0.3">
      <c r="A4505">
        <v>4504</v>
      </c>
      <c r="B4505">
        <v>54977</v>
      </c>
      <c r="C4505" s="2">
        <v>37231</v>
      </c>
      <c r="D4505">
        <v>24</v>
      </c>
      <c r="E4505" t="s">
        <v>42</v>
      </c>
      <c r="F4505" t="s">
        <v>37</v>
      </c>
      <c r="G4505" s="2">
        <v>45495</v>
      </c>
      <c r="H4505" s="3">
        <f t="shared" si="70"/>
        <v>1.3452054794520547</v>
      </c>
      <c r="I4505">
        <v>92</v>
      </c>
      <c r="J4505" t="s">
        <v>57</v>
      </c>
      <c r="K4505" t="s">
        <v>48</v>
      </c>
      <c r="L4505" t="s">
        <v>44</v>
      </c>
      <c r="M4505">
        <v>8.4700000000000006</v>
      </c>
      <c r="T4505" t="s">
        <v>52</v>
      </c>
      <c r="U4505">
        <v>4</v>
      </c>
      <c r="V4505">
        <v>6</v>
      </c>
    </row>
    <row r="4506" spans="1:22" x14ac:dyDescent="0.3">
      <c r="A4506">
        <v>4505</v>
      </c>
      <c r="B4506">
        <v>54978</v>
      </c>
      <c r="C4506" s="2">
        <v>37527</v>
      </c>
      <c r="D4506">
        <v>23</v>
      </c>
      <c r="E4506" t="s">
        <v>42</v>
      </c>
      <c r="F4506" t="s">
        <v>50</v>
      </c>
      <c r="G4506" s="2">
        <v>45531</v>
      </c>
      <c r="H4506" s="3">
        <f t="shared" si="70"/>
        <v>1.2</v>
      </c>
      <c r="I4506">
        <v>92</v>
      </c>
      <c r="J4506" t="s">
        <v>57</v>
      </c>
      <c r="K4506" t="s">
        <v>56</v>
      </c>
      <c r="L4506" t="s">
        <v>44</v>
      </c>
      <c r="M4506">
        <v>8.4700000000000006</v>
      </c>
      <c r="T4506" t="s">
        <v>47</v>
      </c>
      <c r="U4506">
        <v>2</v>
      </c>
      <c r="V4506">
        <v>6</v>
      </c>
    </row>
    <row r="4507" spans="1:22" x14ac:dyDescent="0.3">
      <c r="A4507">
        <v>4506</v>
      </c>
      <c r="B4507">
        <v>54979</v>
      </c>
      <c r="C4507" s="2">
        <v>37643</v>
      </c>
      <c r="D4507">
        <v>22</v>
      </c>
      <c r="E4507" t="s">
        <v>42</v>
      </c>
      <c r="F4507" t="s">
        <v>37</v>
      </c>
      <c r="G4507" s="2">
        <v>45584</v>
      </c>
      <c r="H4507" s="3">
        <f t="shared" si="70"/>
        <v>1.5726027397260274</v>
      </c>
      <c r="I4507">
        <v>92</v>
      </c>
      <c r="J4507" t="s">
        <v>57</v>
      </c>
      <c r="K4507" t="s">
        <v>56</v>
      </c>
      <c r="L4507" t="s">
        <v>44</v>
      </c>
      <c r="M4507">
        <v>8.4700000000000006</v>
      </c>
      <c r="T4507" t="s">
        <v>47</v>
      </c>
      <c r="U4507">
        <v>4</v>
      </c>
      <c r="V4507">
        <v>6</v>
      </c>
    </row>
    <row r="4508" spans="1:22" x14ac:dyDescent="0.3">
      <c r="A4508">
        <v>4507</v>
      </c>
      <c r="B4508">
        <v>54980</v>
      </c>
      <c r="C4508" s="2">
        <v>35862</v>
      </c>
      <c r="D4508">
        <v>27</v>
      </c>
      <c r="E4508" t="s">
        <v>36</v>
      </c>
      <c r="F4508" t="s">
        <v>50</v>
      </c>
      <c r="G4508" s="2">
        <v>45448</v>
      </c>
      <c r="H4508" s="3">
        <f t="shared" si="70"/>
        <v>1.0493150684931507</v>
      </c>
      <c r="I4508">
        <v>95</v>
      </c>
      <c r="J4508" t="s">
        <v>57</v>
      </c>
      <c r="K4508" t="s">
        <v>68</v>
      </c>
      <c r="L4508" t="s">
        <v>44</v>
      </c>
      <c r="M4508">
        <v>17</v>
      </c>
      <c r="T4508" t="s">
        <v>45</v>
      </c>
      <c r="U4508">
        <v>4</v>
      </c>
      <c r="V4508">
        <v>4</v>
      </c>
    </row>
    <row r="4509" spans="1:22" x14ac:dyDescent="0.3">
      <c r="A4509">
        <v>4508</v>
      </c>
      <c r="B4509">
        <v>54981</v>
      </c>
      <c r="C4509" s="2">
        <v>34528</v>
      </c>
      <c r="D4509">
        <v>31</v>
      </c>
      <c r="E4509" t="s">
        <v>42</v>
      </c>
      <c r="F4509" t="s">
        <v>50</v>
      </c>
      <c r="G4509" s="2">
        <v>45639</v>
      </c>
      <c r="H4509" s="3">
        <f t="shared" si="70"/>
        <v>1.0876712328767124</v>
      </c>
      <c r="I4509">
        <v>95</v>
      </c>
      <c r="J4509" t="s">
        <v>57</v>
      </c>
      <c r="K4509" t="s">
        <v>48</v>
      </c>
      <c r="L4509" t="s">
        <v>44</v>
      </c>
      <c r="M4509">
        <v>8.4700000000000006</v>
      </c>
      <c r="T4509" t="s">
        <v>45</v>
      </c>
      <c r="U4509">
        <v>1</v>
      </c>
      <c r="V4509">
        <v>6</v>
      </c>
    </row>
    <row r="4510" spans="1:22" x14ac:dyDescent="0.3">
      <c r="A4510">
        <v>4509</v>
      </c>
      <c r="B4510">
        <v>54982</v>
      </c>
      <c r="C4510" s="2">
        <v>38843</v>
      </c>
      <c r="D4510">
        <v>19</v>
      </c>
      <c r="E4510" t="s">
        <v>42</v>
      </c>
      <c r="F4510" t="s">
        <v>50</v>
      </c>
      <c r="G4510" s="2">
        <v>45625</v>
      </c>
      <c r="H4510" s="3">
        <f t="shared" si="70"/>
        <v>1.5671232876712329</v>
      </c>
      <c r="I4510">
        <v>95</v>
      </c>
      <c r="J4510" t="s">
        <v>57</v>
      </c>
      <c r="K4510" t="s">
        <v>56</v>
      </c>
      <c r="L4510" t="s">
        <v>44</v>
      </c>
      <c r="M4510">
        <v>8.4700000000000006</v>
      </c>
      <c r="T4510" t="s">
        <v>45</v>
      </c>
      <c r="U4510">
        <v>1</v>
      </c>
      <c r="V4510">
        <v>5</v>
      </c>
    </row>
    <row r="4511" spans="1:22" x14ac:dyDescent="0.3">
      <c r="A4511">
        <v>4510</v>
      </c>
      <c r="B4511">
        <v>54983</v>
      </c>
      <c r="C4511" s="2">
        <v>38516</v>
      </c>
      <c r="D4511">
        <v>20</v>
      </c>
      <c r="E4511" t="s">
        <v>36</v>
      </c>
      <c r="F4511" t="s">
        <v>50</v>
      </c>
      <c r="G4511" s="2">
        <v>45450</v>
      </c>
      <c r="H4511" s="3">
        <f t="shared" si="70"/>
        <v>1.178082191780822</v>
      </c>
      <c r="I4511">
        <v>96</v>
      </c>
      <c r="J4511" t="s">
        <v>57</v>
      </c>
      <c r="K4511" t="s">
        <v>46</v>
      </c>
      <c r="L4511" t="s">
        <v>44</v>
      </c>
      <c r="M4511">
        <v>14.23</v>
      </c>
      <c r="T4511" t="s">
        <v>45</v>
      </c>
      <c r="U4511">
        <v>1</v>
      </c>
      <c r="V4511">
        <v>4</v>
      </c>
    </row>
    <row r="4512" spans="1:22" x14ac:dyDescent="0.3">
      <c r="A4512">
        <v>4511</v>
      </c>
      <c r="B4512">
        <v>54984</v>
      </c>
      <c r="C4512" s="2">
        <v>36210</v>
      </c>
      <c r="D4512">
        <v>26</v>
      </c>
      <c r="E4512" t="s">
        <v>42</v>
      </c>
      <c r="F4512" t="s">
        <v>50</v>
      </c>
      <c r="G4512" s="2">
        <v>45592</v>
      </c>
      <c r="H4512" s="3">
        <f t="shared" si="70"/>
        <v>1.7424657534246575</v>
      </c>
      <c r="I4512">
        <v>99</v>
      </c>
      <c r="J4512" t="s">
        <v>57</v>
      </c>
      <c r="K4512" t="s">
        <v>48</v>
      </c>
      <c r="L4512" t="s">
        <v>44</v>
      </c>
      <c r="M4512">
        <v>8.4700000000000006</v>
      </c>
      <c r="T4512" t="s">
        <v>49</v>
      </c>
      <c r="U4512">
        <v>2</v>
      </c>
      <c r="V4512">
        <v>6</v>
      </c>
    </row>
    <row r="4513" spans="1:22" x14ac:dyDescent="0.3">
      <c r="A4513">
        <v>4512</v>
      </c>
      <c r="B4513">
        <v>54985</v>
      </c>
      <c r="C4513" s="2">
        <v>39417</v>
      </c>
      <c r="D4513">
        <v>19</v>
      </c>
      <c r="E4513" t="s">
        <v>42</v>
      </c>
      <c r="F4513" t="s">
        <v>50</v>
      </c>
      <c r="G4513" s="2">
        <v>45386</v>
      </c>
      <c r="H4513" s="3">
        <f t="shared" si="70"/>
        <v>1.6657534246575343</v>
      </c>
      <c r="I4513">
        <v>99</v>
      </c>
      <c r="J4513" t="s">
        <v>57</v>
      </c>
      <c r="K4513" t="s">
        <v>56</v>
      </c>
      <c r="L4513" t="s">
        <v>44</v>
      </c>
      <c r="M4513">
        <v>8.4700000000000006</v>
      </c>
      <c r="T4513" t="s">
        <v>52</v>
      </c>
      <c r="U4513">
        <v>2</v>
      </c>
      <c r="V4513">
        <v>7</v>
      </c>
    </row>
    <row r="4514" spans="1:22" x14ac:dyDescent="0.3">
      <c r="A4514">
        <v>4513</v>
      </c>
      <c r="B4514">
        <v>54986</v>
      </c>
      <c r="C4514" s="2">
        <v>38536</v>
      </c>
      <c r="D4514">
        <v>20</v>
      </c>
      <c r="E4514" t="s">
        <v>42</v>
      </c>
      <c r="F4514" t="s">
        <v>50</v>
      </c>
      <c r="G4514" s="2">
        <v>45414</v>
      </c>
      <c r="H4514" s="3">
        <f t="shared" si="70"/>
        <v>1.1863013698630136</v>
      </c>
      <c r="I4514">
        <v>100</v>
      </c>
      <c r="J4514" t="s">
        <v>57</v>
      </c>
      <c r="K4514" t="s">
        <v>48</v>
      </c>
      <c r="L4514" t="s">
        <v>44</v>
      </c>
      <c r="M4514">
        <v>8.4700000000000006</v>
      </c>
      <c r="T4514" t="s">
        <v>49</v>
      </c>
      <c r="U4514">
        <v>2</v>
      </c>
      <c r="V4514">
        <v>6</v>
      </c>
    </row>
    <row r="4515" spans="1:22" x14ac:dyDescent="0.3">
      <c r="A4515">
        <v>4514</v>
      </c>
      <c r="B4515">
        <v>54988</v>
      </c>
      <c r="C4515" s="2">
        <v>38337</v>
      </c>
      <c r="D4515">
        <v>21</v>
      </c>
      <c r="E4515" t="s">
        <v>42</v>
      </c>
      <c r="F4515" t="s">
        <v>50</v>
      </c>
      <c r="G4515" s="2">
        <v>45589</v>
      </c>
      <c r="H4515" s="3">
        <f t="shared" si="70"/>
        <v>1.0904109589041096</v>
      </c>
      <c r="I4515">
        <v>100</v>
      </c>
      <c r="J4515" t="s">
        <v>57</v>
      </c>
      <c r="K4515" t="s">
        <v>56</v>
      </c>
      <c r="L4515" t="s">
        <v>44</v>
      </c>
      <c r="M4515">
        <v>8.4700000000000006</v>
      </c>
      <c r="T4515" t="s">
        <v>45</v>
      </c>
      <c r="U4515">
        <v>1</v>
      </c>
      <c r="V4515">
        <v>5</v>
      </c>
    </row>
    <row r="4516" spans="1:22" x14ac:dyDescent="0.3">
      <c r="A4516">
        <v>4515</v>
      </c>
      <c r="B4516">
        <v>54989</v>
      </c>
      <c r="C4516" s="2">
        <v>38055</v>
      </c>
      <c r="D4516">
        <v>21</v>
      </c>
      <c r="E4516" t="s">
        <v>42</v>
      </c>
      <c r="F4516" t="s">
        <v>37</v>
      </c>
      <c r="G4516" s="2">
        <v>45624</v>
      </c>
      <c r="H4516" s="3">
        <f t="shared" si="70"/>
        <v>1.8273972602739725</v>
      </c>
      <c r="I4516">
        <v>100</v>
      </c>
      <c r="J4516" t="s">
        <v>57</v>
      </c>
      <c r="K4516" t="s">
        <v>56</v>
      </c>
      <c r="L4516" t="s">
        <v>44</v>
      </c>
      <c r="M4516">
        <v>8.4700000000000006</v>
      </c>
      <c r="T4516" t="s">
        <v>45</v>
      </c>
      <c r="U4516">
        <v>1</v>
      </c>
      <c r="V4516">
        <v>4</v>
      </c>
    </row>
    <row r="4517" spans="1:22" x14ac:dyDescent="0.3">
      <c r="A4517">
        <v>4516</v>
      </c>
      <c r="B4517">
        <v>54990</v>
      </c>
      <c r="C4517" s="2">
        <v>30891</v>
      </c>
      <c r="D4517">
        <v>41</v>
      </c>
      <c r="E4517" t="s">
        <v>42</v>
      </c>
      <c r="F4517" t="s">
        <v>37</v>
      </c>
      <c r="G4517" s="2">
        <v>45355</v>
      </c>
      <c r="H4517" s="3">
        <f t="shared" si="70"/>
        <v>1.4</v>
      </c>
      <c r="I4517">
        <v>103</v>
      </c>
      <c r="J4517" t="s">
        <v>57</v>
      </c>
      <c r="K4517" t="s">
        <v>46</v>
      </c>
      <c r="L4517" t="s">
        <v>44</v>
      </c>
      <c r="M4517">
        <v>14.23</v>
      </c>
      <c r="T4517" t="s">
        <v>52</v>
      </c>
      <c r="U4517">
        <v>0</v>
      </c>
      <c r="V4517">
        <v>4</v>
      </c>
    </row>
    <row r="4518" spans="1:22" x14ac:dyDescent="0.3">
      <c r="A4518">
        <v>4517</v>
      </c>
      <c r="B4518">
        <v>54991</v>
      </c>
      <c r="C4518" s="2">
        <v>37053</v>
      </c>
      <c r="D4518">
        <v>24</v>
      </c>
      <c r="E4518" t="s">
        <v>36</v>
      </c>
      <c r="F4518" t="s">
        <v>37</v>
      </c>
      <c r="G4518" s="2">
        <v>45511</v>
      </c>
      <c r="H4518" s="3">
        <f t="shared" si="70"/>
        <v>1.6849315068493151</v>
      </c>
      <c r="I4518">
        <v>103</v>
      </c>
      <c r="J4518" t="s">
        <v>57</v>
      </c>
      <c r="K4518" t="s">
        <v>55</v>
      </c>
      <c r="L4518" t="s">
        <v>44</v>
      </c>
      <c r="M4518">
        <v>17.59</v>
      </c>
      <c r="T4518" t="s">
        <v>52</v>
      </c>
      <c r="U4518">
        <v>3</v>
      </c>
      <c r="V4518">
        <v>5</v>
      </c>
    </row>
    <row r="4519" spans="1:22" x14ac:dyDescent="0.3">
      <c r="A4519">
        <v>4518</v>
      </c>
      <c r="B4519">
        <v>54992</v>
      </c>
      <c r="C4519" s="2">
        <v>38539</v>
      </c>
      <c r="D4519">
        <v>20</v>
      </c>
      <c r="E4519" t="s">
        <v>42</v>
      </c>
      <c r="F4519" t="s">
        <v>50</v>
      </c>
      <c r="G4519" s="2">
        <v>45407</v>
      </c>
      <c r="H4519" s="3">
        <f t="shared" si="70"/>
        <v>1.2383561643835617</v>
      </c>
      <c r="I4519">
        <v>103</v>
      </c>
      <c r="J4519" t="s">
        <v>57</v>
      </c>
      <c r="K4519" t="s">
        <v>56</v>
      </c>
      <c r="L4519" t="s">
        <v>44</v>
      </c>
      <c r="M4519">
        <v>8.4700000000000006</v>
      </c>
      <c r="T4519" t="s">
        <v>49</v>
      </c>
      <c r="U4519">
        <v>2</v>
      </c>
      <c r="V4519">
        <v>5</v>
      </c>
    </row>
    <row r="4520" spans="1:22" x14ac:dyDescent="0.3">
      <c r="A4520">
        <v>4519</v>
      </c>
      <c r="B4520">
        <v>54993</v>
      </c>
      <c r="C4520" s="2">
        <v>38545</v>
      </c>
      <c r="D4520">
        <v>20</v>
      </c>
      <c r="E4520" t="s">
        <v>42</v>
      </c>
      <c r="F4520" t="s">
        <v>37</v>
      </c>
      <c r="G4520" s="2">
        <v>45570</v>
      </c>
      <c r="H4520" s="3">
        <f t="shared" si="70"/>
        <v>1.5287671232876712</v>
      </c>
      <c r="I4520">
        <v>103</v>
      </c>
      <c r="J4520" t="s">
        <v>57</v>
      </c>
      <c r="K4520" t="s">
        <v>56</v>
      </c>
      <c r="L4520" t="s">
        <v>44</v>
      </c>
      <c r="M4520">
        <v>8.4700000000000006</v>
      </c>
      <c r="T4520" t="s">
        <v>45</v>
      </c>
      <c r="U4520">
        <v>4</v>
      </c>
      <c r="V4520">
        <v>5</v>
      </c>
    </row>
    <row r="4521" spans="1:22" x14ac:dyDescent="0.3">
      <c r="A4521">
        <v>4520</v>
      </c>
      <c r="B4521">
        <v>54994</v>
      </c>
      <c r="C4521" s="2">
        <v>38438</v>
      </c>
      <c r="D4521">
        <v>20</v>
      </c>
      <c r="E4521" t="s">
        <v>42</v>
      </c>
      <c r="F4521" t="s">
        <v>37</v>
      </c>
      <c r="G4521" s="2">
        <v>45464</v>
      </c>
      <c r="H4521" s="3">
        <f t="shared" si="70"/>
        <v>1.7945205479452055</v>
      </c>
      <c r="I4521">
        <v>103</v>
      </c>
      <c r="J4521" t="s">
        <v>57</v>
      </c>
      <c r="K4521" t="s">
        <v>56</v>
      </c>
      <c r="L4521" t="s">
        <v>44</v>
      </c>
      <c r="M4521">
        <v>8.4700000000000006</v>
      </c>
      <c r="T4521" t="s">
        <v>52</v>
      </c>
      <c r="U4521">
        <v>0</v>
      </c>
      <c r="V4521">
        <v>5</v>
      </c>
    </row>
    <row r="4522" spans="1:22" x14ac:dyDescent="0.3">
      <c r="A4522">
        <v>4521</v>
      </c>
      <c r="B4522">
        <v>54995</v>
      </c>
      <c r="C4522" s="2">
        <v>35302</v>
      </c>
      <c r="D4522">
        <v>29</v>
      </c>
      <c r="E4522" t="s">
        <v>42</v>
      </c>
      <c r="F4522" t="s">
        <v>50</v>
      </c>
      <c r="G4522" s="2">
        <v>45367</v>
      </c>
      <c r="H4522" s="3">
        <f t="shared" si="70"/>
        <v>1.2986301369863014</v>
      </c>
      <c r="I4522">
        <v>103</v>
      </c>
      <c r="J4522" t="s">
        <v>57</v>
      </c>
      <c r="K4522" t="s">
        <v>56</v>
      </c>
      <c r="L4522" t="s">
        <v>44</v>
      </c>
      <c r="M4522">
        <v>8.4700000000000006</v>
      </c>
      <c r="T4522" t="s">
        <v>45</v>
      </c>
      <c r="U4522">
        <v>0</v>
      </c>
      <c r="V4522">
        <v>5</v>
      </c>
    </row>
    <row r="4523" spans="1:22" x14ac:dyDescent="0.3">
      <c r="A4523">
        <v>4522</v>
      </c>
      <c r="B4523">
        <v>54996</v>
      </c>
      <c r="C4523" s="2">
        <v>36200</v>
      </c>
      <c r="D4523">
        <v>26</v>
      </c>
      <c r="E4523" t="s">
        <v>42</v>
      </c>
      <c r="F4523" t="s">
        <v>50</v>
      </c>
      <c r="G4523" s="2">
        <v>45548</v>
      </c>
      <c r="H4523" s="3">
        <f t="shared" si="70"/>
        <v>1.726027397260274</v>
      </c>
      <c r="I4523">
        <v>103</v>
      </c>
      <c r="J4523" t="s">
        <v>57</v>
      </c>
      <c r="K4523" t="s">
        <v>56</v>
      </c>
      <c r="L4523" t="s">
        <v>44</v>
      </c>
      <c r="M4523">
        <v>8.4700000000000006</v>
      </c>
      <c r="T4523" t="s">
        <v>45</v>
      </c>
      <c r="U4523">
        <v>2</v>
      </c>
      <c r="V4523">
        <v>5</v>
      </c>
    </row>
    <row r="4524" spans="1:22" x14ac:dyDescent="0.3">
      <c r="A4524">
        <v>4523</v>
      </c>
      <c r="B4524">
        <v>54997</v>
      </c>
      <c r="C4524" s="2">
        <v>38744</v>
      </c>
      <c r="D4524">
        <v>19</v>
      </c>
      <c r="E4524" t="s">
        <v>42</v>
      </c>
      <c r="F4524" t="s">
        <v>50</v>
      </c>
      <c r="G4524" s="2">
        <v>45392</v>
      </c>
      <c r="H4524" s="3">
        <f t="shared" si="70"/>
        <v>1.1835616438356165</v>
      </c>
      <c r="I4524">
        <v>104</v>
      </c>
      <c r="J4524" t="s">
        <v>57</v>
      </c>
      <c r="K4524" t="s">
        <v>56</v>
      </c>
      <c r="L4524" t="s">
        <v>44</v>
      </c>
      <c r="M4524">
        <v>8.4700000000000006</v>
      </c>
      <c r="T4524" t="s">
        <v>52</v>
      </c>
      <c r="U4524">
        <v>0</v>
      </c>
      <c r="V4524">
        <v>6</v>
      </c>
    </row>
    <row r="4525" spans="1:22" x14ac:dyDescent="0.3">
      <c r="A4525">
        <v>4524</v>
      </c>
      <c r="B4525">
        <v>54998</v>
      </c>
      <c r="C4525" s="2">
        <v>38107</v>
      </c>
      <c r="D4525">
        <v>21</v>
      </c>
      <c r="E4525" t="s">
        <v>42</v>
      </c>
      <c r="F4525" t="s">
        <v>50</v>
      </c>
      <c r="G4525" s="2">
        <v>45590</v>
      </c>
      <c r="H4525" s="3">
        <f t="shared" si="70"/>
        <v>1.6657534246575343</v>
      </c>
      <c r="I4525">
        <v>105</v>
      </c>
      <c r="J4525" t="s">
        <v>57</v>
      </c>
      <c r="K4525" t="s">
        <v>56</v>
      </c>
      <c r="L4525" t="s">
        <v>44</v>
      </c>
      <c r="M4525">
        <v>8.4700000000000006</v>
      </c>
      <c r="T4525" t="s">
        <v>52</v>
      </c>
      <c r="U4525">
        <v>2</v>
      </c>
      <c r="V4525">
        <v>5</v>
      </c>
    </row>
    <row r="4526" spans="1:22" x14ac:dyDescent="0.3">
      <c r="A4526">
        <v>4525</v>
      </c>
      <c r="B4526">
        <v>54999</v>
      </c>
      <c r="C4526" s="2">
        <v>35497</v>
      </c>
      <c r="D4526">
        <v>28</v>
      </c>
      <c r="E4526" t="s">
        <v>42</v>
      </c>
      <c r="F4526" t="s">
        <v>37</v>
      </c>
      <c r="G4526" s="2">
        <v>45414</v>
      </c>
      <c r="H4526" s="3">
        <f t="shared" si="70"/>
        <v>1.704109589041096</v>
      </c>
      <c r="I4526">
        <v>106</v>
      </c>
      <c r="J4526" t="s">
        <v>57</v>
      </c>
      <c r="K4526" t="s">
        <v>48</v>
      </c>
      <c r="L4526" t="s">
        <v>44</v>
      </c>
      <c r="M4526">
        <v>8.4700000000000006</v>
      </c>
      <c r="T4526" t="s">
        <v>47</v>
      </c>
      <c r="U4526">
        <v>4</v>
      </c>
      <c r="V4526">
        <v>7</v>
      </c>
    </row>
    <row r="4527" spans="1:22" x14ac:dyDescent="0.3">
      <c r="A4527">
        <v>4526</v>
      </c>
      <c r="B4527">
        <v>55000</v>
      </c>
      <c r="C4527" s="2">
        <v>39072</v>
      </c>
      <c r="D4527">
        <v>19</v>
      </c>
      <c r="E4527" t="s">
        <v>36</v>
      </c>
      <c r="F4527" t="s">
        <v>50</v>
      </c>
      <c r="G4527" s="2">
        <v>45400</v>
      </c>
      <c r="H4527" s="3">
        <f t="shared" si="70"/>
        <v>1.8465753424657534</v>
      </c>
      <c r="I4527">
        <v>108</v>
      </c>
      <c r="J4527" t="s">
        <v>57</v>
      </c>
      <c r="K4527" t="s">
        <v>65</v>
      </c>
      <c r="L4527" t="s">
        <v>44</v>
      </c>
      <c r="M4527">
        <v>10.64</v>
      </c>
      <c r="T4527" t="s">
        <v>47</v>
      </c>
      <c r="U4527">
        <v>0</v>
      </c>
      <c r="V4527">
        <v>5</v>
      </c>
    </row>
    <row r="4528" spans="1:22" x14ac:dyDescent="0.3">
      <c r="A4528">
        <v>4527</v>
      </c>
      <c r="B4528">
        <v>55001</v>
      </c>
      <c r="C4528" s="2">
        <v>38597</v>
      </c>
      <c r="D4528">
        <v>20</v>
      </c>
      <c r="E4528" t="s">
        <v>42</v>
      </c>
      <c r="F4528" t="s">
        <v>50</v>
      </c>
      <c r="G4528" s="2">
        <v>45348</v>
      </c>
      <c r="H4528" s="3">
        <f t="shared" si="70"/>
        <v>1.6876712328767123</v>
      </c>
      <c r="I4528">
        <v>108</v>
      </c>
      <c r="J4528" t="s">
        <v>57</v>
      </c>
      <c r="K4528" t="s">
        <v>56</v>
      </c>
      <c r="L4528" t="s">
        <v>44</v>
      </c>
      <c r="M4528">
        <v>8.4700000000000006</v>
      </c>
      <c r="T4528" t="s">
        <v>45</v>
      </c>
      <c r="U4528">
        <v>3</v>
      </c>
      <c r="V4528">
        <v>7</v>
      </c>
    </row>
    <row r="4529" spans="1:22" x14ac:dyDescent="0.3">
      <c r="A4529">
        <v>4528</v>
      </c>
      <c r="B4529">
        <v>55002</v>
      </c>
      <c r="C4529" s="2">
        <v>36832</v>
      </c>
      <c r="D4529">
        <v>25</v>
      </c>
      <c r="E4529" t="s">
        <v>42</v>
      </c>
      <c r="F4529" t="s">
        <v>50</v>
      </c>
      <c r="G4529" s="2">
        <v>45406</v>
      </c>
      <c r="H4529" s="3">
        <f t="shared" si="70"/>
        <v>1.536986301369863</v>
      </c>
      <c r="I4529">
        <v>109</v>
      </c>
      <c r="J4529" t="s">
        <v>57</v>
      </c>
      <c r="K4529" t="s">
        <v>56</v>
      </c>
      <c r="L4529" t="s">
        <v>44</v>
      </c>
      <c r="M4529">
        <v>8.4700000000000006</v>
      </c>
      <c r="T4529" t="s">
        <v>52</v>
      </c>
      <c r="U4529">
        <v>2</v>
      </c>
      <c r="V4529">
        <v>5</v>
      </c>
    </row>
    <row r="4530" spans="1:22" x14ac:dyDescent="0.3">
      <c r="A4530">
        <v>4529</v>
      </c>
      <c r="B4530">
        <v>55003</v>
      </c>
      <c r="C4530" s="2">
        <v>38890</v>
      </c>
      <c r="D4530">
        <v>19</v>
      </c>
      <c r="E4530" t="s">
        <v>36</v>
      </c>
      <c r="F4530" t="s">
        <v>37</v>
      </c>
      <c r="G4530" s="2">
        <v>45461</v>
      </c>
      <c r="H4530" s="3">
        <f t="shared" si="70"/>
        <v>1.2383561643835617</v>
      </c>
      <c r="I4530">
        <v>110</v>
      </c>
      <c r="J4530" t="s">
        <v>57</v>
      </c>
      <c r="K4530" t="s">
        <v>65</v>
      </c>
      <c r="L4530" t="s">
        <v>44</v>
      </c>
      <c r="M4530">
        <v>10.64</v>
      </c>
      <c r="T4530" t="s">
        <v>45</v>
      </c>
      <c r="U4530">
        <v>1</v>
      </c>
      <c r="V4530">
        <v>4</v>
      </c>
    </row>
    <row r="4531" spans="1:22" x14ac:dyDescent="0.3">
      <c r="A4531">
        <v>4530</v>
      </c>
      <c r="B4531">
        <v>55004</v>
      </c>
      <c r="C4531" s="2">
        <v>37948</v>
      </c>
      <c r="D4531">
        <v>22</v>
      </c>
      <c r="E4531" t="s">
        <v>42</v>
      </c>
      <c r="F4531" t="s">
        <v>50</v>
      </c>
      <c r="G4531" s="2">
        <v>45570</v>
      </c>
      <c r="H4531" s="3">
        <f t="shared" si="70"/>
        <v>1.2328767123287672</v>
      </c>
      <c r="I4531">
        <v>110</v>
      </c>
      <c r="J4531" t="s">
        <v>57</v>
      </c>
      <c r="K4531" t="s">
        <v>56</v>
      </c>
      <c r="L4531" t="s">
        <v>44</v>
      </c>
      <c r="M4531">
        <v>8.4700000000000006</v>
      </c>
      <c r="T4531" t="s">
        <v>45</v>
      </c>
      <c r="U4531">
        <v>1</v>
      </c>
      <c r="V4531">
        <v>6</v>
      </c>
    </row>
    <row r="4532" spans="1:22" x14ac:dyDescent="0.3">
      <c r="A4532">
        <v>4531</v>
      </c>
      <c r="B4532">
        <v>55005</v>
      </c>
      <c r="C4532" s="2">
        <v>37363</v>
      </c>
      <c r="D4532">
        <v>23</v>
      </c>
      <c r="E4532" t="s">
        <v>42</v>
      </c>
      <c r="F4532" t="s">
        <v>50</v>
      </c>
      <c r="G4532" s="2">
        <v>45572</v>
      </c>
      <c r="H4532" s="3">
        <f t="shared" si="70"/>
        <v>1.263013698630137</v>
      </c>
      <c r="I4532">
        <v>112</v>
      </c>
      <c r="J4532" t="s">
        <v>57</v>
      </c>
      <c r="K4532" t="s">
        <v>56</v>
      </c>
      <c r="L4532" t="s">
        <v>44</v>
      </c>
      <c r="M4532">
        <v>8.4700000000000006</v>
      </c>
      <c r="T4532" t="s">
        <v>52</v>
      </c>
      <c r="U4532">
        <v>1</v>
      </c>
      <c r="V4532">
        <v>6</v>
      </c>
    </row>
    <row r="4533" spans="1:22" x14ac:dyDescent="0.3">
      <c r="A4533">
        <v>4532</v>
      </c>
      <c r="B4533">
        <v>55006</v>
      </c>
      <c r="C4533" s="2">
        <v>38986</v>
      </c>
      <c r="D4533">
        <v>19</v>
      </c>
      <c r="E4533" t="s">
        <v>42</v>
      </c>
      <c r="F4533" t="s">
        <v>50</v>
      </c>
      <c r="G4533" s="2">
        <v>45561</v>
      </c>
      <c r="H4533" s="3">
        <f t="shared" si="70"/>
        <v>1.6739726027397259</v>
      </c>
      <c r="I4533">
        <v>112</v>
      </c>
      <c r="J4533" t="s">
        <v>57</v>
      </c>
      <c r="K4533" t="s">
        <v>56</v>
      </c>
      <c r="L4533" t="s">
        <v>44</v>
      </c>
      <c r="M4533">
        <v>8.4700000000000006</v>
      </c>
      <c r="T4533" t="s">
        <v>49</v>
      </c>
      <c r="U4533">
        <v>1</v>
      </c>
      <c r="V4533">
        <v>7</v>
      </c>
    </row>
    <row r="4534" spans="1:22" x14ac:dyDescent="0.3">
      <c r="A4534">
        <v>4533</v>
      </c>
      <c r="B4534">
        <v>55007</v>
      </c>
      <c r="C4534" s="2">
        <v>37231</v>
      </c>
      <c r="D4534">
        <v>24</v>
      </c>
      <c r="E4534" t="s">
        <v>42</v>
      </c>
      <c r="F4534" t="s">
        <v>50</v>
      </c>
      <c r="G4534" s="2">
        <v>45411</v>
      </c>
      <c r="H4534" s="3">
        <f t="shared" si="70"/>
        <v>1.6246575342465754</v>
      </c>
      <c r="I4534">
        <v>113</v>
      </c>
      <c r="J4534" t="s">
        <v>57</v>
      </c>
      <c r="K4534" t="s">
        <v>43</v>
      </c>
      <c r="L4534" t="s">
        <v>44</v>
      </c>
      <c r="M4534">
        <v>16.37</v>
      </c>
      <c r="T4534" t="s">
        <v>52</v>
      </c>
      <c r="U4534">
        <v>1</v>
      </c>
      <c r="V4534">
        <v>6</v>
      </c>
    </row>
    <row r="4535" spans="1:22" x14ac:dyDescent="0.3">
      <c r="A4535">
        <v>4534</v>
      </c>
      <c r="B4535">
        <v>55008</v>
      </c>
      <c r="C4535" s="2">
        <v>37791</v>
      </c>
      <c r="D4535">
        <v>22</v>
      </c>
      <c r="E4535" t="s">
        <v>36</v>
      </c>
      <c r="F4535" t="s">
        <v>50</v>
      </c>
      <c r="G4535" s="2">
        <v>45429</v>
      </c>
      <c r="H4535" s="3">
        <f t="shared" si="70"/>
        <v>1.3178082191780822</v>
      </c>
      <c r="I4535">
        <v>113</v>
      </c>
      <c r="J4535" t="s">
        <v>57</v>
      </c>
      <c r="K4535" t="s">
        <v>46</v>
      </c>
      <c r="L4535" t="s">
        <v>44</v>
      </c>
      <c r="M4535">
        <v>14.23</v>
      </c>
      <c r="T4535" t="s">
        <v>45</v>
      </c>
      <c r="U4535">
        <v>0</v>
      </c>
      <c r="V4535">
        <v>3</v>
      </c>
    </row>
    <row r="4536" spans="1:22" x14ac:dyDescent="0.3">
      <c r="A4536">
        <v>4535</v>
      </c>
      <c r="B4536">
        <v>55009</v>
      </c>
      <c r="C4536" s="2">
        <v>35674</v>
      </c>
      <c r="D4536">
        <v>29</v>
      </c>
      <c r="E4536" t="s">
        <v>42</v>
      </c>
      <c r="F4536" t="s">
        <v>50</v>
      </c>
      <c r="G4536" s="2">
        <v>45541</v>
      </c>
      <c r="H4536" s="3">
        <f t="shared" si="70"/>
        <v>1.2191780821917808</v>
      </c>
      <c r="I4536">
        <v>114</v>
      </c>
      <c r="J4536" t="s">
        <v>57</v>
      </c>
      <c r="K4536" t="s">
        <v>65</v>
      </c>
      <c r="L4536" t="s">
        <v>44</v>
      </c>
      <c r="M4536">
        <v>10.64</v>
      </c>
      <c r="T4536" t="s">
        <v>45</v>
      </c>
      <c r="U4536">
        <v>0</v>
      </c>
      <c r="V4536">
        <v>5</v>
      </c>
    </row>
    <row r="4537" spans="1:22" x14ac:dyDescent="0.3">
      <c r="A4537">
        <v>4536</v>
      </c>
      <c r="B4537">
        <v>55010</v>
      </c>
      <c r="C4537" s="2">
        <v>36696</v>
      </c>
      <c r="D4537">
        <v>25</v>
      </c>
      <c r="E4537" t="s">
        <v>42</v>
      </c>
      <c r="F4537" t="s">
        <v>50</v>
      </c>
      <c r="G4537" s="2">
        <v>45577</v>
      </c>
      <c r="H4537" s="3">
        <f t="shared" si="70"/>
        <v>1.2493150684931507</v>
      </c>
      <c r="I4537">
        <v>114</v>
      </c>
      <c r="J4537" t="s">
        <v>57</v>
      </c>
      <c r="K4537" t="s">
        <v>56</v>
      </c>
      <c r="L4537" t="s">
        <v>44</v>
      </c>
      <c r="M4537">
        <v>8.4700000000000006</v>
      </c>
      <c r="T4537" t="s">
        <v>45</v>
      </c>
      <c r="U4537">
        <v>1</v>
      </c>
      <c r="V4537">
        <v>5</v>
      </c>
    </row>
    <row r="4538" spans="1:22" x14ac:dyDescent="0.3">
      <c r="A4538">
        <v>4537</v>
      </c>
      <c r="B4538">
        <v>55011</v>
      </c>
      <c r="C4538" s="2">
        <v>35994</v>
      </c>
      <c r="D4538">
        <v>27</v>
      </c>
      <c r="E4538" t="s">
        <v>42</v>
      </c>
      <c r="F4538" t="s">
        <v>50</v>
      </c>
      <c r="G4538" s="2">
        <v>45566</v>
      </c>
      <c r="H4538" s="3">
        <f t="shared" si="70"/>
        <v>1.6794520547945206</v>
      </c>
      <c r="I4538">
        <v>114</v>
      </c>
      <c r="J4538" t="s">
        <v>57</v>
      </c>
      <c r="K4538" t="s">
        <v>56</v>
      </c>
      <c r="L4538" t="s">
        <v>44</v>
      </c>
      <c r="M4538">
        <v>8.4700000000000006</v>
      </c>
      <c r="T4538" t="s">
        <v>52</v>
      </c>
      <c r="U4538">
        <v>1</v>
      </c>
      <c r="V4538">
        <v>6</v>
      </c>
    </row>
    <row r="4539" spans="1:22" x14ac:dyDescent="0.3">
      <c r="A4539">
        <v>4538</v>
      </c>
      <c r="B4539">
        <v>55012</v>
      </c>
      <c r="C4539" s="2">
        <v>38475</v>
      </c>
      <c r="D4539">
        <v>20</v>
      </c>
      <c r="E4539" t="s">
        <v>42</v>
      </c>
      <c r="F4539" t="s">
        <v>50</v>
      </c>
      <c r="G4539" s="2">
        <v>45409</v>
      </c>
      <c r="H4539" s="3">
        <f t="shared" si="70"/>
        <v>1.3041095890410959</v>
      </c>
      <c r="I4539">
        <v>115</v>
      </c>
      <c r="J4539" t="s">
        <v>57</v>
      </c>
      <c r="K4539" t="s">
        <v>65</v>
      </c>
      <c r="L4539" t="s">
        <v>44</v>
      </c>
      <c r="M4539">
        <v>10.64</v>
      </c>
      <c r="T4539" t="s">
        <v>45</v>
      </c>
      <c r="U4539">
        <v>0</v>
      </c>
      <c r="V4539">
        <v>5</v>
      </c>
    </row>
    <row r="4540" spans="1:22" x14ac:dyDescent="0.3">
      <c r="A4540">
        <v>4539</v>
      </c>
      <c r="B4540">
        <v>55013</v>
      </c>
      <c r="C4540" s="2">
        <v>36603</v>
      </c>
      <c r="D4540">
        <v>25</v>
      </c>
      <c r="E4540" t="s">
        <v>36</v>
      </c>
      <c r="F4540" t="s">
        <v>50</v>
      </c>
      <c r="G4540" s="2">
        <v>45546</v>
      </c>
      <c r="H4540" s="3">
        <f t="shared" si="70"/>
        <v>1.2931506849315069</v>
      </c>
      <c r="I4540">
        <v>116</v>
      </c>
      <c r="J4540" t="s">
        <v>57</v>
      </c>
      <c r="K4540" t="s">
        <v>55</v>
      </c>
      <c r="L4540" t="s">
        <v>44</v>
      </c>
      <c r="M4540">
        <v>17.59</v>
      </c>
      <c r="T4540" t="s">
        <v>47</v>
      </c>
      <c r="U4540">
        <v>4</v>
      </c>
      <c r="V4540">
        <v>3</v>
      </c>
    </row>
    <row r="4541" spans="1:22" x14ac:dyDescent="0.3">
      <c r="A4541">
        <v>4540</v>
      </c>
      <c r="B4541">
        <v>55014</v>
      </c>
      <c r="C4541" s="2">
        <v>38900</v>
      </c>
      <c r="D4541">
        <v>19</v>
      </c>
      <c r="E4541" t="s">
        <v>36</v>
      </c>
      <c r="F4541" t="s">
        <v>37</v>
      </c>
      <c r="G4541" s="2">
        <v>45550</v>
      </c>
      <c r="H4541" s="3">
        <f t="shared" si="70"/>
        <v>1.526027397260274</v>
      </c>
      <c r="I4541">
        <v>117</v>
      </c>
      <c r="J4541" t="s">
        <v>57</v>
      </c>
      <c r="K4541" t="s">
        <v>56</v>
      </c>
      <c r="L4541" t="s">
        <v>44</v>
      </c>
      <c r="M4541">
        <v>8.4700000000000006</v>
      </c>
      <c r="T4541" t="s">
        <v>45</v>
      </c>
      <c r="U4541">
        <v>1</v>
      </c>
      <c r="V4541">
        <v>5</v>
      </c>
    </row>
    <row r="4542" spans="1:22" x14ac:dyDescent="0.3">
      <c r="A4542">
        <v>4541</v>
      </c>
      <c r="B4542">
        <v>55015</v>
      </c>
      <c r="C4542" s="2">
        <v>38827</v>
      </c>
      <c r="D4542">
        <v>19</v>
      </c>
      <c r="E4542" t="s">
        <v>42</v>
      </c>
      <c r="F4542" t="s">
        <v>37</v>
      </c>
      <c r="G4542" s="2">
        <v>45465</v>
      </c>
      <c r="H4542" s="3">
        <f t="shared" si="70"/>
        <v>1.5643835616438355</v>
      </c>
      <c r="I4542">
        <v>118</v>
      </c>
      <c r="J4542" t="s">
        <v>57</v>
      </c>
      <c r="K4542" t="s">
        <v>56</v>
      </c>
      <c r="L4542" t="s">
        <v>44</v>
      </c>
      <c r="M4542">
        <v>8.4700000000000006</v>
      </c>
      <c r="T4542" t="s">
        <v>45</v>
      </c>
      <c r="U4542">
        <v>2</v>
      </c>
      <c r="V4542">
        <v>5</v>
      </c>
    </row>
    <row r="4543" spans="1:22" x14ac:dyDescent="0.3">
      <c r="A4543">
        <v>4542</v>
      </c>
      <c r="B4543">
        <v>55016</v>
      </c>
      <c r="C4543" s="2">
        <v>34190</v>
      </c>
      <c r="D4543">
        <v>32</v>
      </c>
      <c r="E4543" t="s">
        <v>36</v>
      </c>
      <c r="F4543" t="s">
        <v>50</v>
      </c>
      <c r="G4543" s="2">
        <v>45451</v>
      </c>
      <c r="H4543" s="3">
        <f t="shared" si="70"/>
        <v>1.4876712328767123</v>
      </c>
      <c r="I4543">
        <v>119</v>
      </c>
      <c r="J4543" t="s">
        <v>57</v>
      </c>
      <c r="K4543" t="s">
        <v>54</v>
      </c>
      <c r="L4543" t="s">
        <v>44</v>
      </c>
      <c r="M4543">
        <v>23.78</v>
      </c>
      <c r="T4543" t="s">
        <v>45</v>
      </c>
      <c r="U4543">
        <v>6</v>
      </c>
      <c r="V4543">
        <v>6</v>
      </c>
    </row>
    <row r="4544" spans="1:22" x14ac:dyDescent="0.3">
      <c r="A4544">
        <v>4543</v>
      </c>
      <c r="B4544">
        <v>55017</v>
      </c>
      <c r="C4544" s="2">
        <v>39001</v>
      </c>
      <c r="D4544">
        <v>19</v>
      </c>
      <c r="E4544" t="s">
        <v>42</v>
      </c>
      <c r="F4544" t="s">
        <v>50</v>
      </c>
      <c r="G4544" s="2">
        <v>45479</v>
      </c>
      <c r="H4544" s="3">
        <f t="shared" si="70"/>
        <v>1.2328767123287672</v>
      </c>
      <c r="I4544">
        <v>121</v>
      </c>
      <c r="J4544" t="s">
        <v>57</v>
      </c>
      <c r="K4544" t="s">
        <v>56</v>
      </c>
      <c r="L4544" t="s">
        <v>44</v>
      </c>
      <c r="M4544">
        <v>8.4700000000000006</v>
      </c>
      <c r="T4544" t="s">
        <v>49</v>
      </c>
      <c r="U4544">
        <v>1</v>
      </c>
      <c r="V4544">
        <v>6</v>
      </c>
    </row>
    <row r="4545" spans="1:22" x14ac:dyDescent="0.3">
      <c r="A4545">
        <v>4544</v>
      </c>
      <c r="B4545">
        <v>55018</v>
      </c>
      <c r="C4545" s="2">
        <v>38109</v>
      </c>
      <c r="D4545">
        <v>21</v>
      </c>
      <c r="E4545" t="s">
        <v>36</v>
      </c>
      <c r="F4545" t="s">
        <v>50</v>
      </c>
      <c r="G4545" s="2">
        <v>45572</v>
      </c>
      <c r="H4545" s="3">
        <f t="shared" si="70"/>
        <v>1.3726027397260274</v>
      </c>
      <c r="I4545">
        <v>123</v>
      </c>
      <c r="J4545" t="s">
        <v>57</v>
      </c>
      <c r="K4545" t="s">
        <v>65</v>
      </c>
      <c r="L4545" t="s">
        <v>44</v>
      </c>
      <c r="M4545">
        <v>10.64</v>
      </c>
      <c r="T4545" t="s">
        <v>45</v>
      </c>
      <c r="U4545">
        <v>1</v>
      </c>
      <c r="V4545">
        <v>3</v>
      </c>
    </row>
    <row r="4546" spans="1:22" x14ac:dyDescent="0.3">
      <c r="A4546">
        <v>4545</v>
      </c>
      <c r="B4546">
        <v>55019</v>
      </c>
      <c r="C4546" s="2">
        <v>36662</v>
      </c>
      <c r="D4546">
        <v>25</v>
      </c>
      <c r="E4546" t="s">
        <v>42</v>
      </c>
      <c r="F4546" t="s">
        <v>37</v>
      </c>
      <c r="G4546" s="2">
        <v>45521</v>
      </c>
      <c r="H4546" s="3">
        <f t="shared" si="70"/>
        <v>1.6657534246575343</v>
      </c>
      <c r="I4546">
        <v>123</v>
      </c>
      <c r="J4546" t="s">
        <v>57</v>
      </c>
      <c r="K4546" t="s">
        <v>48</v>
      </c>
      <c r="L4546" t="s">
        <v>44</v>
      </c>
      <c r="M4546">
        <v>8.4700000000000006</v>
      </c>
      <c r="T4546" t="s">
        <v>47</v>
      </c>
      <c r="U4546">
        <v>2</v>
      </c>
      <c r="V4546">
        <v>6</v>
      </c>
    </row>
    <row r="4547" spans="1:22" x14ac:dyDescent="0.3">
      <c r="A4547">
        <v>4546</v>
      </c>
      <c r="B4547">
        <v>55020</v>
      </c>
      <c r="C4547" s="2">
        <v>37438</v>
      </c>
      <c r="D4547">
        <v>24</v>
      </c>
      <c r="E4547" t="s">
        <v>42</v>
      </c>
      <c r="F4547" t="s">
        <v>50</v>
      </c>
      <c r="G4547" s="2">
        <v>45414</v>
      </c>
      <c r="H4547" s="3">
        <f t="shared" ref="H4547:H4610" si="71">DATEDIF(G4548,DATE(2025,12,31),"d")/365</f>
        <v>1.7698630136986302</v>
      </c>
      <c r="I4547">
        <v>124</v>
      </c>
      <c r="J4547" t="s">
        <v>57</v>
      </c>
      <c r="K4547" t="s">
        <v>55</v>
      </c>
      <c r="L4547" t="s">
        <v>44</v>
      </c>
      <c r="M4547">
        <v>17.59</v>
      </c>
      <c r="T4547" t="s">
        <v>47</v>
      </c>
      <c r="U4547">
        <v>2</v>
      </c>
      <c r="V4547">
        <v>6</v>
      </c>
    </row>
    <row r="4548" spans="1:22" x14ac:dyDescent="0.3">
      <c r="A4548">
        <v>4547</v>
      </c>
      <c r="B4548">
        <v>55021</v>
      </c>
      <c r="C4548" s="2">
        <v>38343</v>
      </c>
      <c r="D4548">
        <v>21</v>
      </c>
      <c r="E4548" t="s">
        <v>36</v>
      </c>
      <c r="F4548" t="s">
        <v>37</v>
      </c>
      <c r="G4548" s="2">
        <v>45376</v>
      </c>
      <c r="H4548" s="3">
        <f t="shared" si="71"/>
        <v>1.0191780821917809</v>
      </c>
      <c r="I4548">
        <v>127</v>
      </c>
      <c r="J4548" t="s">
        <v>57</v>
      </c>
      <c r="K4548" t="s">
        <v>65</v>
      </c>
      <c r="L4548" t="s">
        <v>44</v>
      </c>
      <c r="M4548">
        <v>10.64</v>
      </c>
      <c r="T4548" t="s">
        <v>47</v>
      </c>
      <c r="U4548">
        <v>1</v>
      </c>
      <c r="V4548">
        <v>4</v>
      </c>
    </row>
    <row r="4549" spans="1:22" x14ac:dyDescent="0.3">
      <c r="A4549">
        <v>4548</v>
      </c>
      <c r="B4549">
        <v>55022</v>
      </c>
      <c r="C4549" s="2">
        <v>39018</v>
      </c>
      <c r="D4549">
        <v>19</v>
      </c>
      <c r="E4549" t="s">
        <v>42</v>
      </c>
      <c r="F4549" t="s">
        <v>50</v>
      </c>
      <c r="G4549" s="2">
        <v>45650</v>
      </c>
      <c r="H4549" s="3">
        <f t="shared" si="71"/>
        <v>1.5917808219178082</v>
      </c>
      <c r="I4549">
        <v>127</v>
      </c>
      <c r="J4549" t="s">
        <v>57</v>
      </c>
      <c r="K4549" t="s">
        <v>48</v>
      </c>
      <c r="L4549" t="s">
        <v>44</v>
      </c>
      <c r="M4549">
        <v>8.4700000000000006</v>
      </c>
      <c r="T4549" t="s">
        <v>47</v>
      </c>
      <c r="U4549">
        <v>2</v>
      </c>
      <c r="V4549">
        <v>7</v>
      </c>
    </row>
    <row r="4550" spans="1:22" x14ac:dyDescent="0.3">
      <c r="A4550">
        <v>4549</v>
      </c>
      <c r="B4550">
        <v>55023</v>
      </c>
      <c r="C4550" s="2">
        <v>35709</v>
      </c>
      <c r="D4550">
        <v>28</v>
      </c>
      <c r="E4550" t="s">
        <v>42</v>
      </c>
      <c r="F4550" t="s">
        <v>37</v>
      </c>
      <c r="G4550" s="2">
        <v>45441</v>
      </c>
      <c r="H4550" s="3">
        <f t="shared" si="71"/>
        <v>1.0684931506849316</v>
      </c>
      <c r="I4550">
        <v>128</v>
      </c>
      <c r="J4550" t="s">
        <v>57</v>
      </c>
      <c r="K4550" t="s">
        <v>56</v>
      </c>
      <c r="L4550" t="s">
        <v>44</v>
      </c>
      <c r="M4550">
        <v>8.4700000000000006</v>
      </c>
      <c r="T4550" t="s">
        <v>45</v>
      </c>
      <c r="U4550">
        <v>1</v>
      </c>
      <c r="V4550">
        <v>7</v>
      </c>
    </row>
    <row r="4551" spans="1:22" x14ac:dyDescent="0.3">
      <c r="A4551">
        <v>4550</v>
      </c>
      <c r="B4551">
        <v>55024</v>
      </c>
      <c r="C4551" s="2">
        <v>38769</v>
      </c>
      <c r="D4551">
        <v>19</v>
      </c>
      <c r="E4551" t="s">
        <v>42</v>
      </c>
      <c r="F4551" t="s">
        <v>50</v>
      </c>
      <c r="G4551" s="2">
        <v>45632</v>
      </c>
      <c r="H4551" s="3">
        <f t="shared" si="71"/>
        <v>1.6958904109589041</v>
      </c>
      <c r="I4551">
        <v>129</v>
      </c>
      <c r="J4551" t="s">
        <v>57</v>
      </c>
      <c r="K4551" t="s">
        <v>48</v>
      </c>
      <c r="L4551" t="s">
        <v>44</v>
      </c>
      <c r="M4551">
        <v>8.4700000000000006</v>
      </c>
      <c r="T4551" t="s">
        <v>47</v>
      </c>
      <c r="U4551">
        <v>2</v>
      </c>
      <c r="V4551">
        <v>7</v>
      </c>
    </row>
    <row r="4552" spans="1:22" x14ac:dyDescent="0.3">
      <c r="A4552">
        <v>4551</v>
      </c>
      <c r="B4552">
        <v>55025</v>
      </c>
      <c r="C4552" s="2">
        <v>36871</v>
      </c>
      <c r="D4552">
        <v>25</v>
      </c>
      <c r="E4552" t="s">
        <v>42</v>
      </c>
      <c r="F4552" t="s">
        <v>50</v>
      </c>
      <c r="G4552" s="2">
        <v>45403</v>
      </c>
      <c r="H4552" s="3">
        <f t="shared" si="71"/>
        <v>1.1589041095890411</v>
      </c>
      <c r="I4552">
        <v>130</v>
      </c>
      <c r="J4552" t="s">
        <v>57</v>
      </c>
      <c r="K4552" t="s">
        <v>68</v>
      </c>
      <c r="L4552" t="s">
        <v>44</v>
      </c>
      <c r="M4552">
        <v>17</v>
      </c>
      <c r="T4552" t="s">
        <v>49</v>
      </c>
      <c r="U4552">
        <v>4</v>
      </c>
      <c r="V4552">
        <v>6</v>
      </c>
    </row>
    <row r="4553" spans="1:22" x14ac:dyDescent="0.3">
      <c r="A4553">
        <v>4552</v>
      </c>
      <c r="B4553">
        <v>55026</v>
      </c>
      <c r="C4553" s="2">
        <v>37868</v>
      </c>
      <c r="D4553">
        <v>22</v>
      </c>
      <c r="E4553" t="s">
        <v>42</v>
      </c>
      <c r="F4553" t="s">
        <v>50</v>
      </c>
      <c r="G4553" s="2">
        <v>45599</v>
      </c>
      <c r="H4553" s="3">
        <f t="shared" si="71"/>
        <v>1.2410958904109588</v>
      </c>
      <c r="I4553">
        <v>130</v>
      </c>
      <c r="J4553" t="s">
        <v>57</v>
      </c>
      <c r="K4553" t="s">
        <v>65</v>
      </c>
      <c r="L4553" t="s">
        <v>44</v>
      </c>
      <c r="M4553">
        <v>10.64</v>
      </c>
      <c r="T4553" t="s">
        <v>52</v>
      </c>
      <c r="U4553">
        <v>1</v>
      </c>
      <c r="V4553">
        <v>7</v>
      </c>
    </row>
    <row r="4554" spans="1:22" x14ac:dyDescent="0.3">
      <c r="A4554">
        <v>4553</v>
      </c>
      <c r="B4554">
        <v>55027</v>
      </c>
      <c r="C4554" s="2">
        <v>38005</v>
      </c>
      <c r="D4554">
        <v>21</v>
      </c>
      <c r="E4554" t="s">
        <v>42</v>
      </c>
      <c r="F4554" t="s">
        <v>37</v>
      </c>
      <c r="G4554" s="2">
        <v>45569</v>
      </c>
      <c r="H4554" s="3">
        <f t="shared" si="71"/>
        <v>1.4931506849315068</v>
      </c>
      <c r="I4554">
        <v>130</v>
      </c>
      <c r="J4554" t="s">
        <v>57</v>
      </c>
      <c r="K4554" t="s">
        <v>56</v>
      </c>
      <c r="L4554" t="s">
        <v>44</v>
      </c>
      <c r="M4554">
        <v>8.4700000000000006</v>
      </c>
      <c r="T4554" t="s">
        <v>52</v>
      </c>
      <c r="U4554">
        <v>1</v>
      </c>
      <c r="V4554">
        <v>7</v>
      </c>
    </row>
    <row r="4555" spans="1:22" x14ac:dyDescent="0.3">
      <c r="A4555">
        <v>4554</v>
      </c>
      <c r="B4555">
        <v>55028</v>
      </c>
      <c r="C4555" s="2">
        <v>36404</v>
      </c>
      <c r="D4555">
        <v>27</v>
      </c>
      <c r="E4555" t="s">
        <v>42</v>
      </c>
      <c r="F4555" t="s">
        <v>50</v>
      </c>
      <c r="G4555" s="2">
        <v>45477</v>
      </c>
      <c r="H4555" s="3">
        <f t="shared" si="71"/>
        <v>1.4547945205479451</v>
      </c>
      <c r="I4555">
        <v>131</v>
      </c>
      <c r="J4555" t="s">
        <v>57</v>
      </c>
      <c r="K4555" t="s">
        <v>68</v>
      </c>
      <c r="L4555" t="s">
        <v>44</v>
      </c>
      <c r="M4555">
        <v>17</v>
      </c>
      <c r="T4555" t="s">
        <v>52</v>
      </c>
      <c r="U4555">
        <v>4</v>
      </c>
      <c r="V4555">
        <v>6</v>
      </c>
    </row>
    <row r="4556" spans="1:22" x14ac:dyDescent="0.3">
      <c r="A4556">
        <v>4555</v>
      </c>
      <c r="B4556">
        <v>55029</v>
      </c>
      <c r="C4556" s="2">
        <v>38373</v>
      </c>
      <c r="D4556">
        <v>20</v>
      </c>
      <c r="E4556" t="s">
        <v>36</v>
      </c>
      <c r="F4556" t="s">
        <v>37</v>
      </c>
      <c r="G4556" s="2">
        <v>45491</v>
      </c>
      <c r="H4556" s="3">
        <f t="shared" si="71"/>
        <v>1.3068493150684932</v>
      </c>
      <c r="I4556">
        <v>131</v>
      </c>
      <c r="J4556" t="s">
        <v>57</v>
      </c>
      <c r="K4556" t="s">
        <v>48</v>
      </c>
      <c r="L4556" t="s">
        <v>44</v>
      </c>
      <c r="M4556">
        <v>8.4700000000000006</v>
      </c>
      <c r="T4556" t="s">
        <v>45</v>
      </c>
      <c r="U4556">
        <v>0</v>
      </c>
      <c r="V4556">
        <v>4</v>
      </c>
    </row>
    <row r="4557" spans="1:22" x14ac:dyDescent="0.3">
      <c r="A4557">
        <v>4556</v>
      </c>
      <c r="B4557">
        <v>55031</v>
      </c>
      <c r="C4557" s="2">
        <v>35559</v>
      </c>
      <c r="D4557">
        <v>28</v>
      </c>
      <c r="E4557" t="s">
        <v>42</v>
      </c>
      <c r="F4557" t="s">
        <v>50</v>
      </c>
      <c r="G4557" s="2">
        <v>45545</v>
      </c>
      <c r="H4557" s="3">
        <f t="shared" si="71"/>
        <v>1.5972602739726027</v>
      </c>
      <c r="I4557">
        <v>132</v>
      </c>
      <c r="J4557" t="s">
        <v>57</v>
      </c>
      <c r="K4557" t="s">
        <v>65</v>
      </c>
      <c r="L4557" t="s">
        <v>44</v>
      </c>
      <c r="M4557">
        <v>10.64</v>
      </c>
      <c r="T4557" t="s">
        <v>47</v>
      </c>
      <c r="U4557">
        <v>0</v>
      </c>
      <c r="V4557">
        <v>5</v>
      </c>
    </row>
    <row r="4558" spans="1:22" x14ac:dyDescent="0.3">
      <c r="A4558">
        <v>4557</v>
      </c>
      <c r="B4558">
        <v>55032</v>
      </c>
      <c r="C4558" s="2">
        <v>39356</v>
      </c>
      <c r="D4558">
        <v>19</v>
      </c>
      <c r="E4558" t="s">
        <v>42</v>
      </c>
      <c r="F4558" t="s">
        <v>37</v>
      </c>
      <c r="G4558" s="2">
        <v>45439</v>
      </c>
      <c r="H4558" s="3">
        <f t="shared" si="71"/>
        <v>1.3671232876712329</v>
      </c>
      <c r="I4558">
        <v>132</v>
      </c>
      <c r="J4558" t="s">
        <v>57</v>
      </c>
      <c r="K4558" t="s">
        <v>48</v>
      </c>
      <c r="L4558" t="s">
        <v>44</v>
      </c>
      <c r="M4558">
        <v>8.4700000000000006</v>
      </c>
      <c r="T4558" t="s">
        <v>49</v>
      </c>
      <c r="U4558">
        <v>3</v>
      </c>
      <c r="V4558">
        <v>6</v>
      </c>
    </row>
    <row r="4559" spans="1:22" x14ac:dyDescent="0.3">
      <c r="A4559">
        <v>4558</v>
      </c>
      <c r="B4559">
        <v>55033</v>
      </c>
      <c r="C4559" s="2">
        <v>36607</v>
      </c>
      <c r="D4559">
        <v>25</v>
      </c>
      <c r="E4559" t="s">
        <v>42</v>
      </c>
      <c r="F4559" t="s">
        <v>50</v>
      </c>
      <c r="G4559" s="2">
        <v>45523</v>
      </c>
      <c r="H4559" s="3">
        <f t="shared" si="71"/>
        <v>1.4876712328767123</v>
      </c>
      <c r="I4559">
        <v>135</v>
      </c>
      <c r="J4559" t="s">
        <v>57</v>
      </c>
      <c r="K4559" t="s">
        <v>68</v>
      </c>
      <c r="L4559" t="s">
        <v>44</v>
      </c>
      <c r="M4559">
        <v>17</v>
      </c>
      <c r="T4559" t="s">
        <v>45</v>
      </c>
      <c r="U4559">
        <v>4</v>
      </c>
      <c r="V4559">
        <v>7</v>
      </c>
    </row>
    <row r="4560" spans="1:22" x14ac:dyDescent="0.3">
      <c r="A4560">
        <v>4559</v>
      </c>
      <c r="B4560">
        <v>55035</v>
      </c>
      <c r="C4560" s="2">
        <v>36234</v>
      </c>
      <c r="D4560">
        <v>26</v>
      </c>
      <c r="E4560" t="s">
        <v>36</v>
      </c>
      <c r="F4560" t="s">
        <v>50</v>
      </c>
      <c r="G4560" s="2">
        <v>45479</v>
      </c>
      <c r="H4560" s="3">
        <f t="shared" si="71"/>
        <v>1.7178082191780821</v>
      </c>
      <c r="I4560">
        <v>138</v>
      </c>
      <c r="J4560" t="s">
        <v>57</v>
      </c>
      <c r="K4560" t="s">
        <v>55</v>
      </c>
      <c r="L4560" t="s">
        <v>44</v>
      </c>
      <c r="M4560">
        <v>17.59</v>
      </c>
      <c r="T4560" t="s">
        <v>47</v>
      </c>
      <c r="U4560">
        <v>3</v>
      </c>
      <c r="V4560">
        <v>5</v>
      </c>
    </row>
    <row r="4561" spans="1:22" x14ac:dyDescent="0.3">
      <c r="A4561">
        <v>4560</v>
      </c>
      <c r="B4561">
        <v>55036</v>
      </c>
      <c r="C4561" s="2">
        <v>34995</v>
      </c>
      <c r="D4561">
        <v>30</v>
      </c>
      <c r="E4561" t="s">
        <v>42</v>
      </c>
      <c r="F4561" t="s">
        <v>50</v>
      </c>
      <c r="G4561" s="2">
        <v>45395</v>
      </c>
      <c r="H4561" s="3">
        <f t="shared" si="71"/>
        <v>1.3945205479452054</v>
      </c>
      <c r="I4561">
        <v>140</v>
      </c>
      <c r="J4561" t="s">
        <v>57</v>
      </c>
      <c r="K4561" t="s">
        <v>65</v>
      </c>
      <c r="L4561" t="s">
        <v>44</v>
      </c>
      <c r="M4561">
        <v>10.64</v>
      </c>
      <c r="T4561" t="s">
        <v>47</v>
      </c>
      <c r="U4561">
        <v>0</v>
      </c>
      <c r="V4561">
        <v>4</v>
      </c>
    </row>
    <row r="4562" spans="1:22" x14ac:dyDescent="0.3">
      <c r="A4562">
        <v>4561</v>
      </c>
      <c r="B4562">
        <v>55037</v>
      </c>
      <c r="C4562" s="2">
        <v>38927</v>
      </c>
      <c r="D4562">
        <v>19</v>
      </c>
      <c r="E4562" t="s">
        <v>42</v>
      </c>
      <c r="F4562" t="s">
        <v>50</v>
      </c>
      <c r="G4562" s="2">
        <v>45513</v>
      </c>
      <c r="H4562" s="3">
        <f t="shared" si="71"/>
        <v>1.1013698630136985</v>
      </c>
      <c r="I4562">
        <v>141</v>
      </c>
      <c r="J4562" t="s">
        <v>57</v>
      </c>
      <c r="K4562" t="s">
        <v>56</v>
      </c>
      <c r="L4562" t="s">
        <v>44</v>
      </c>
      <c r="M4562">
        <v>8.4700000000000006</v>
      </c>
      <c r="T4562" t="s">
        <v>49</v>
      </c>
      <c r="U4562">
        <v>2</v>
      </c>
      <c r="V4562">
        <v>5</v>
      </c>
    </row>
    <row r="4563" spans="1:22" x14ac:dyDescent="0.3">
      <c r="A4563">
        <v>4562</v>
      </c>
      <c r="B4563">
        <v>55038</v>
      </c>
      <c r="C4563" s="2">
        <v>38051</v>
      </c>
      <c r="D4563">
        <v>21</v>
      </c>
      <c r="E4563" t="s">
        <v>42</v>
      </c>
      <c r="F4563" t="s">
        <v>37</v>
      </c>
      <c r="G4563" s="2">
        <v>45620</v>
      </c>
      <c r="H4563" s="3">
        <f t="shared" si="71"/>
        <v>1.7397260273972603</v>
      </c>
      <c r="I4563">
        <v>142</v>
      </c>
      <c r="J4563" t="s">
        <v>57</v>
      </c>
      <c r="K4563" t="s">
        <v>65</v>
      </c>
      <c r="L4563" t="s">
        <v>44</v>
      </c>
      <c r="M4563">
        <v>10.64</v>
      </c>
      <c r="T4563" t="s">
        <v>49</v>
      </c>
      <c r="U4563">
        <v>1</v>
      </c>
      <c r="V4563">
        <v>7</v>
      </c>
    </row>
    <row r="4564" spans="1:22" x14ac:dyDescent="0.3">
      <c r="A4564">
        <v>4563</v>
      </c>
      <c r="B4564">
        <v>55039</v>
      </c>
      <c r="C4564" s="2">
        <v>37586</v>
      </c>
      <c r="D4564">
        <v>23</v>
      </c>
      <c r="E4564" t="s">
        <v>36</v>
      </c>
      <c r="F4564" t="s">
        <v>50</v>
      </c>
      <c r="G4564" s="2">
        <v>45387</v>
      </c>
      <c r="H4564" s="3">
        <f t="shared" si="71"/>
        <v>1.0767123287671232</v>
      </c>
      <c r="I4564">
        <v>143</v>
      </c>
      <c r="J4564" t="s">
        <v>57</v>
      </c>
      <c r="K4564" t="s">
        <v>56</v>
      </c>
      <c r="L4564" t="s">
        <v>44</v>
      </c>
      <c r="M4564">
        <v>8.4700000000000006</v>
      </c>
      <c r="T4564" t="s">
        <v>47</v>
      </c>
      <c r="U4564">
        <v>2</v>
      </c>
      <c r="V4564">
        <v>4</v>
      </c>
    </row>
    <row r="4565" spans="1:22" x14ac:dyDescent="0.3">
      <c r="A4565">
        <v>4564</v>
      </c>
      <c r="B4565">
        <v>55040</v>
      </c>
      <c r="C4565" s="2">
        <v>38018</v>
      </c>
      <c r="D4565">
        <v>22</v>
      </c>
      <c r="E4565" t="s">
        <v>42</v>
      </c>
      <c r="F4565" t="s">
        <v>50</v>
      </c>
      <c r="G4565" s="2">
        <v>45629</v>
      </c>
      <c r="H4565" s="3">
        <f t="shared" si="71"/>
        <v>1.0191780821917809</v>
      </c>
      <c r="I4565">
        <v>143</v>
      </c>
      <c r="J4565" t="s">
        <v>57</v>
      </c>
      <c r="K4565" t="s">
        <v>56</v>
      </c>
      <c r="L4565" t="s">
        <v>44</v>
      </c>
      <c r="M4565">
        <v>8.4700000000000006</v>
      </c>
      <c r="T4565" t="s">
        <v>45</v>
      </c>
      <c r="U4565">
        <v>0</v>
      </c>
      <c r="V4565">
        <v>5</v>
      </c>
    </row>
    <row r="4566" spans="1:22" x14ac:dyDescent="0.3">
      <c r="A4566">
        <v>4565</v>
      </c>
      <c r="B4566">
        <v>55041</v>
      </c>
      <c r="C4566" s="2">
        <v>38519</v>
      </c>
      <c r="D4566">
        <v>20</v>
      </c>
      <c r="E4566" t="s">
        <v>42</v>
      </c>
      <c r="F4566" t="s">
        <v>50</v>
      </c>
      <c r="G4566" s="2">
        <v>45650</v>
      </c>
      <c r="H4566" s="3">
        <f t="shared" si="71"/>
        <v>1.5315068493150685</v>
      </c>
      <c r="I4566">
        <v>144</v>
      </c>
      <c r="J4566" t="s">
        <v>57</v>
      </c>
      <c r="K4566" t="s">
        <v>56</v>
      </c>
      <c r="L4566" t="s">
        <v>44</v>
      </c>
      <c r="M4566">
        <v>8.4700000000000006</v>
      </c>
      <c r="T4566" t="s">
        <v>49</v>
      </c>
      <c r="U4566">
        <v>2</v>
      </c>
      <c r="V4566">
        <v>6</v>
      </c>
    </row>
    <row r="4567" spans="1:22" x14ac:dyDescent="0.3">
      <c r="A4567">
        <v>4566</v>
      </c>
      <c r="B4567">
        <v>55043</v>
      </c>
      <c r="C4567" s="2">
        <v>37671</v>
      </c>
      <c r="D4567">
        <v>22</v>
      </c>
      <c r="E4567" t="s">
        <v>42</v>
      </c>
      <c r="F4567" t="s">
        <v>50</v>
      </c>
      <c r="G4567" s="2">
        <v>45463</v>
      </c>
      <c r="H4567" s="3">
        <f t="shared" si="71"/>
        <v>1.2602739726027397</v>
      </c>
      <c r="I4567">
        <v>1</v>
      </c>
      <c r="J4567" t="s">
        <v>38</v>
      </c>
      <c r="K4567" t="s">
        <v>68</v>
      </c>
      <c r="L4567" t="s">
        <v>44</v>
      </c>
      <c r="M4567">
        <v>17</v>
      </c>
      <c r="T4567" t="s">
        <v>45</v>
      </c>
      <c r="U4567">
        <v>1</v>
      </c>
      <c r="V4567">
        <v>6</v>
      </c>
    </row>
    <row r="4568" spans="1:22" x14ac:dyDescent="0.3">
      <c r="A4568">
        <v>4567</v>
      </c>
      <c r="B4568">
        <v>55044</v>
      </c>
      <c r="C4568" s="2">
        <v>36880</v>
      </c>
      <c r="D4568">
        <v>25</v>
      </c>
      <c r="E4568" t="s">
        <v>42</v>
      </c>
      <c r="F4568" t="s">
        <v>50</v>
      </c>
      <c r="G4568" s="2">
        <v>45562</v>
      </c>
      <c r="H4568" s="3">
        <f t="shared" si="71"/>
        <v>1.8027397260273972</v>
      </c>
      <c r="I4568">
        <v>1</v>
      </c>
      <c r="J4568" t="s">
        <v>38</v>
      </c>
      <c r="K4568" t="s">
        <v>68</v>
      </c>
      <c r="L4568" t="s">
        <v>44</v>
      </c>
      <c r="M4568">
        <v>17</v>
      </c>
      <c r="T4568" t="s">
        <v>47</v>
      </c>
      <c r="U4568">
        <v>1</v>
      </c>
      <c r="V4568">
        <v>6</v>
      </c>
    </row>
    <row r="4569" spans="1:22" x14ac:dyDescent="0.3">
      <c r="A4569">
        <v>4568</v>
      </c>
      <c r="B4569">
        <v>55045</v>
      </c>
      <c r="C4569" s="2">
        <v>37870</v>
      </c>
      <c r="D4569">
        <v>22</v>
      </c>
      <c r="E4569" t="s">
        <v>42</v>
      </c>
      <c r="F4569" t="s">
        <v>50</v>
      </c>
      <c r="G4569" s="2">
        <v>45364</v>
      </c>
      <c r="H4569" s="3">
        <f t="shared" si="71"/>
        <v>1.1260273972602739</v>
      </c>
      <c r="I4569">
        <v>1</v>
      </c>
      <c r="J4569" t="s">
        <v>38</v>
      </c>
      <c r="K4569" t="s">
        <v>65</v>
      </c>
      <c r="L4569" t="s">
        <v>44</v>
      </c>
      <c r="M4569">
        <v>10.64</v>
      </c>
      <c r="T4569" t="s">
        <v>52</v>
      </c>
      <c r="U4569">
        <v>1</v>
      </c>
      <c r="V4569">
        <v>5</v>
      </c>
    </row>
    <row r="4570" spans="1:22" x14ac:dyDescent="0.3">
      <c r="A4570">
        <v>4569</v>
      </c>
      <c r="B4570">
        <v>55046</v>
      </c>
      <c r="C4570" s="2">
        <v>38951</v>
      </c>
      <c r="D4570">
        <v>19</v>
      </c>
      <c r="E4570" t="s">
        <v>42</v>
      </c>
      <c r="F4570" t="s">
        <v>37</v>
      </c>
      <c r="G4570" s="2">
        <v>45611</v>
      </c>
      <c r="H4570" s="3">
        <f t="shared" si="71"/>
        <v>1.6547945205479453</v>
      </c>
      <c r="I4570">
        <v>1</v>
      </c>
      <c r="J4570" t="s">
        <v>38</v>
      </c>
      <c r="K4570" t="s">
        <v>56</v>
      </c>
      <c r="L4570" t="s">
        <v>44</v>
      </c>
      <c r="M4570">
        <v>8.4700000000000006</v>
      </c>
      <c r="T4570" t="s">
        <v>52</v>
      </c>
      <c r="U4570">
        <v>2</v>
      </c>
      <c r="V4570">
        <v>7</v>
      </c>
    </row>
    <row r="4571" spans="1:22" x14ac:dyDescent="0.3">
      <c r="A4571">
        <v>4570</v>
      </c>
      <c r="B4571">
        <v>55047</v>
      </c>
      <c r="C4571" s="2">
        <v>38033</v>
      </c>
      <c r="D4571">
        <v>21</v>
      </c>
      <c r="E4571" t="s">
        <v>42</v>
      </c>
      <c r="F4571" t="s">
        <v>50</v>
      </c>
      <c r="G4571" s="2">
        <v>45418</v>
      </c>
      <c r="H4571" s="3">
        <f t="shared" si="71"/>
        <v>1.7013698630136986</v>
      </c>
      <c r="I4571">
        <v>1</v>
      </c>
      <c r="J4571" t="s">
        <v>38</v>
      </c>
      <c r="K4571" t="s">
        <v>56</v>
      </c>
      <c r="L4571" t="s">
        <v>44</v>
      </c>
      <c r="M4571">
        <v>8.4700000000000006</v>
      </c>
      <c r="T4571" t="s">
        <v>52</v>
      </c>
      <c r="U4571">
        <v>2</v>
      </c>
      <c r="V4571">
        <v>6</v>
      </c>
    </row>
    <row r="4572" spans="1:22" x14ac:dyDescent="0.3">
      <c r="A4572">
        <v>4571</v>
      </c>
      <c r="B4572">
        <v>55048</v>
      </c>
      <c r="C4572" s="2">
        <v>37836</v>
      </c>
      <c r="D4572">
        <v>22</v>
      </c>
      <c r="E4572" t="s">
        <v>42</v>
      </c>
      <c r="F4572" t="s">
        <v>50</v>
      </c>
      <c r="G4572" s="2">
        <v>45401</v>
      </c>
      <c r="H4572" s="3">
        <f t="shared" si="71"/>
        <v>1.0986301369863014</v>
      </c>
      <c r="I4572">
        <v>1</v>
      </c>
      <c r="J4572" t="s">
        <v>38</v>
      </c>
      <c r="K4572" t="s">
        <v>56</v>
      </c>
      <c r="L4572" t="s">
        <v>44</v>
      </c>
      <c r="M4572">
        <v>8.4700000000000006</v>
      </c>
      <c r="T4572" t="s">
        <v>49</v>
      </c>
      <c r="U4572">
        <v>2</v>
      </c>
      <c r="V4572">
        <v>5</v>
      </c>
    </row>
    <row r="4573" spans="1:22" x14ac:dyDescent="0.3">
      <c r="A4573">
        <v>4572</v>
      </c>
      <c r="B4573">
        <v>55049</v>
      </c>
      <c r="C4573" s="2">
        <v>38022</v>
      </c>
      <c r="D4573">
        <v>21</v>
      </c>
      <c r="E4573" t="s">
        <v>42</v>
      </c>
      <c r="F4573" t="s">
        <v>50</v>
      </c>
      <c r="G4573" s="2">
        <v>45621</v>
      </c>
      <c r="H4573" s="3">
        <f t="shared" si="71"/>
        <v>1.2328767123287672</v>
      </c>
      <c r="I4573">
        <v>1</v>
      </c>
      <c r="J4573" t="s">
        <v>38</v>
      </c>
      <c r="K4573" t="s">
        <v>56</v>
      </c>
      <c r="L4573" t="s">
        <v>44</v>
      </c>
      <c r="M4573">
        <v>8.4700000000000006</v>
      </c>
      <c r="T4573" t="s">
        <v>47</v>
      </c>
      <c r="U4573">
        <v>1</v>
      </c>
      <c r="V4573">
        <v>5</v>
      </c>
    </row>
    <row r="4574" spans="1:22" x14ac:dyDescent="0.3">
      <c r="A4574">
        <v>4573</v>
      </c>
      <c r="B4574">
        <v>55050</v>
      </c>
      <c r="C4574" s="2">
        <v>37889</v>
      </c>
      <c r="D4574">
        <v>22</v>
      </c>
      <c r="E4574" t="s">
        <v>42</v>
      </c>
      <c r="F4574" t="s">
        <v>50</v>
      </c>
      <c r="G4574" s="2">
        <v>45572</v>
      </c>
      <c r="H4574" s="3">
        <f t="shared" si="71"/>
        <v>1.1342465753424658</v>
      </c>
      <c r="I4574">
        <v>1</v>
      </c>
      <c r="J4574" t="s">
        <v>38</v>
      </c>
      <c r="K4574" t="s">
        <v>56</v>
      </c>
      <c r="L4574" t="s">
        <v>44</v>
      </c>
      <c r="M4574">
        <v>8.4700000000000006</v>
      </c>
      <c r="T4574" t="s">
        <v>45</v>
      </c>
      <c r="U4574">
        <v>1</v>
      </c>
      <c r="V4574">
        <v>5</v>
      </c>
    </row>
    <row r="4575" spans="1:22" x14ac:dyDescent="0.3">
      <c r="A4575">
        <v>4574</v>
      </c>
      <c r="B4575">
        <v>55052</v>
      </c>
      <c r="C4575" s="2">
        <v>38060</v>
      </c>
      <c r="D4575">
        <v>21</v>
      </c>
      <c r="E4575" t="s">
        <v>42</v>
      </c>
      <c r="F4575" t="s">
        <v>37</v>
      </c>
      <c r="G4575" s="2">
        <v>45608</v>
      </c>
      <c r="H4575" s="3">
        <f t="shared" si="71"/>
        <v>1.2712328767123289</v>
      </c>
      <c r="I4575">
        <v>1</v>
      </c>
      <c r="J4575" t="s">
        <v>38</v>
      </c>
      <c r="K4575" t="s">
        <v>56</v>
      </c>
      <c r="L4575" t="s">
        <v>44</v>
      </c>
      <c r="M4575">
        <v>8.4700000000000006</v>
      </c>
      <c r="T4575" t="s">
        <v>49</v>
      </c>
      <c r="U4575">
        <v>2</v>
      </c>
      <c r="V4575">
        <v>6</v>
      </c>
    </row>
    <row r="4576" spans="1:22" x14ac:dyDescent="0.3">
      <c r="A4576">
        <v>4575</v>
      </c>
      <c r="B4576">
        <v>55053</v>
      </c>
      <c r="C4576" s="2">
        <v>35354</v>
      </c>
      <c r="D4576">
        <v>29</v>
      </c>
      <c r="E4576" t="s">
        <v>36</v>
      </c>
      <c r="F4576" t="s">
        <v>50</v>
      </c>
      <c r="G4576" s="2">
        <v>45558</v>
      </c>
      <c r="H4576" s="3">
        <f t="shared" si="71"/>
        <v>1.6301369863013699</v>
      </c>
      <c r="I4576">
        <v>2</v>
      </c>
      <c r="J4576" t="s">
        <v>38</v>
      </c>
      <c r="K4576" t="s">
        <v>68</v>
      </c>
      <c r="L4576" t="s">
        <v>44</v>
      </c>
      <c r="M4576">
        <v>17</v>
      </c>
      <c r="T4576" t="s">
        <v>52</v>
      </c>
      <c r="U4576">
        <v>4</v>
      </c>
      <c r="V4576">
        <v>6</v>
      </c>
    </row>
    <row r="4577" spans="1:22" x14ac:dyDescent="0.3">
      <c r="A4577">
        <v>4576</v>
      </c>
      <c r="B4577">
        <v>55054</v>
      </c>
      <c r="C4577" s="2">
        <v>37595</v>
      </c>
      <c r="D4577">
        <v>23</v>
      </c>
      <c r="E4577" t="s">
        <v>36</v>
      </c>
      <c r="F4577" t="s">
        <v>50</v>
      </c>
      <c r="G4577" s="2">
        <v>45427</v>
      </c>
      <c r="H4577" s="3">
        <f t="shared" si="71"/>
        <v>1.0356164383561643</v>
      </c>
      <c r="I4577">
        <v>2</v>
      </c>
      <c r="J4577" t="s">
        <v>38</v>
      </c>
      <c r="K4577" t="s">
        <v>65</v>
      </c>
      <c r="L4577" t="s">
        <v>44</v>
      </c>
      <c r="M4577">
        <v>10.64</v>
      </c>
      <c r="T4577" t="s">
        <v>45</v>
      </c>
      <c r="U4577">
        <v>0</v>
      </c>
      <c r="V4577">
        <v>4</v>
      </c>
    </row>
    <row r="4578" spans="1:22" x14ac:dyDescent="0.3">
      <c r="A4578">
        <v>4577</v>
      </c>
      <c r="B4578">
        <v>55055</v>
      </c>
      <c r="C4578" s="2">
        <v>37033</v>
      </c>
      <c r="D4578">
        <v>24</v>
      </c>
      <c r="E4578" t="s">
        <v>42</v>
      </c>
      <c r="F4578" t="s">
        <v>50</v>
      </c>
      <c r="G4578" s="2">
        <v>45644</v>
      </c>
      <c r="H4578" s="3">
        <f t="shared" si="71"/>
        <v>1.4986301369863013</v>
      </c>
      <c r="I4578">
        <v>2</v>
      </c>
      <c r="J4578" t="s">
        <v>38</v>
      </c>
      <c r="K4578" t="s">
        <v>43</v>
      </c>
      <c r="L4578" t="s">
        <v>44</v>
      </c>
      <c r="M4578">
        <v>16.37</v>
      </c>
      <c r="T4578" t="s">
        <v>45</v>
      </c>
      <c r="U4578">
        <v>1</v>
      </c>
      <c r="V4578">
        <v>7</v>
      </c>
    </row>
    <row r="4579" spans="1:22" x14ac:dyDescent="0.3">
      <c r="A4579">
        <v>4578</v>
      </c>
      <c r="B4579">
        <v>55056</v>
      </c>
      <c r="C4579" s="2">
        <v>38429</v>
      </c>
      <c r="D4579">
        <v>20</v>
      </c>
      <c r="E4579" t="s">
        <v>42</v>
      </c>
      <c r="F4579" t="s">
        <v>50</v>
      </c>
      <c r="G4579" s="2">
        <v>45475</v>
      </c>
      <c r="H4579" s="3">
        <f t="shared" si="71"/>
        <v>1.263013698630137</v>
      </c>
      <c r="I4579">
        <v>2</v>
      </c>
      <c r="J4579" t="s">
        <v>38</v>
      </c>
      <c r="K4579" t="s">
        <v>56</v>
      </c>
      <c r="L4579" t="s">
        <v>44</v>
      </c>
      <c r="M4579">
        <v>8.4700000000000006</v>
      </c>
      <c r="T4579" t="s">
        <v>45</v>
      </c>
      <c r="U4579">
        <v>2</v>
      </c>
      <c r="V4579">
        <v>6</v>
      </c>
    </row>
    <row r="4580" spans="1:22" x14ac:dyDescent="0.3">
      <c r="A4580">
        <v>4579</v>
      </c>
      <c r="B4580">
        <v>55057</v>
      </c>
      <c r="C4580" s="2">
        <v>35906</v>
      </c>
      <c r="D4580">
        <v>27</v>
      </c>
      <c r="E4580" t="s">
        <v>36</v>
      </c>
      <c r="F4580" t="s">
        <v>50</v>
      </c>
      <c r="G4580" s="2">
        <v>45561</v>
      </c>
      <c r="H4580" s="3">
        <f t="shared" si="71"/>
        <v>1.0301369863013699</v>
      </c>
      <c r="I4580">
        <v>2</v>
      </c>
      <c r="J4580" t="s">
        <v>38</v>
      </c>
      <c r="K4580" t="s">
        <v>56</v>
      </c>
      <c r="L4580" t="s">
        <v>44</v>
      </c>
      <c r="M4580">
        <v>8.4700000000000006</v>
      </c>
      <c r="T4580" t="s">
        <v>47</v>
      </c>
      <c r="U4580">
        <v>3</v>
      </c>
      <c r="V4580">
        <v>6</v>
      </c>
    </row>
    <row r="4581" spans="1:22" x14ac:dyDescent="0.3">
      <c r="A4581">
        <v>4580</v>
      </c>
      <c r="B4581">
        <v>55058</v>
      </c>
      <c r="C4581" s="2">
        <v>34003</v>
      </c>
      <c r="D4581">
        <v>32</v>
      </c>
      <c r="E4581" t="s">
        <v>42</v>
      </c>
      <c r="F4581" t="s">
        <v>50</v>
      </c>
      <c r="G4581" s="2">
        <v>45646</v>
      </c>
      <c r="H4581" s="3">
        <f t="shared" si="71"/>
        <v>1.5561643835616439</v>
      </c>
      <c r="I4581">
        <v>2</v>
      </c>
      <c r="J4581" t="s">
        <v>38</v>
      </c>
      <c r="K4581" t="s">
        <v>56</v>
      </c>
      <c r="L4581" t="s">
        <v>44</v>
      </c>
      <c r="M4581">
        <v>8.4700000000000006</v>
      </c>
      <c r="T4581" t="s">
        <v>49</v>
      </c>
      <c r="U4581">
        <v>2</v>
      </c>
      <c r="V4581">
        <v>5</v>
      </c>
    </row>
    <row r="4582" spans="1:22" x14ac:dyDescent="0.3">
      <c r="A4582">
        <v>4581</v>
      </c>
      <c r="B4582">
        <v>55059</v>
      </c>
      <c r="C4582" s="2">
        <v>37777</v>
      </c>
      <c r="D4582">
        <v>22</v>
      </c>
      <c r="E4582" t="s">
        <v>42</v>
      </c>
      <c r="F4582" t="s">
        <v>50</v>
      </c>
      <c r="G4582" s="2">
        <v>45454</v>
      </c>
      <c r="H4582" s="3">
        <f t="shared" si="71"/>
        <v>1.5397260273972602</v>
      </c>
      <c r="I4582">
        <v>2</v>
      </c>
      <c r="J4582" t="s">
        <v>38</v>
      </c>
      <c r="K4582" t="s">
        <v>56</v>
      </c>
      <c r="L4582" t="s">
        <v>44</v>
      </c>
      <c r="M4582">
        <v>8.4700000000000006</v>
      </c>
      <c r="T4582" t="s">
        <v>52</v>
      </c>
      <c r="U4582">
        <v>4</v>
      </c>
      <c r="V4582">
        <v>6</v>
      </c>
    </row>
    <row r="4583" spans="1:22" x14ac:dyDescent="0.3">
      <c r="A4583">
        <v>4582</v>
      </c>
      <c r="B4583">
        <v>55060</v>
      </c>
      <c r="C4583" s="2">
        <v>38613</v>
      </c>
      <c r="D4583">
        <v>20</v>
      </c>
      <c r="E4583" t="s">
        <v>42</v>
      </c>
      <c r="F4583" t="s">
        <v>50</v>
      </c>
      <c r="G4583" s="2">
        <v>45460</v>
      </c>
      <c r="H4583" s="3">
        <f t="shared" si="71"/>
        <v>1.4684931506849315</v>
      </c>
      <c r="I4583">
        <v>2</v>
      </c>
      <c r="J4583" t="s">
        <v>38</v>
      </c>
      <c r="K4583" t="s">
        <v>56</v>
      </c>
      <c r="L4583" t="s">
        <v>44</v>
      </c>
      <c r="M4583">
        <v>8.4700000000000006</v>
      </c>
      <c r="T4583" t="s">
        <v>45</v>
      </c>
      <c r="U4583">
        <v>0</v>
      </c>
      <c r="V4583">
        <v>5</v>
      </c>
    </row>
    <row r="4584" spans="1:22" x14ac:dyDescent="0.3">
      <c r="A4584">
        <v>4583</v>
      </c>
      <c r="B4584">
        <v>55061</v>
      </c>
      <c r="C4584" s="2">
        <v>36940</v>
      </c>
      <c r="D4584">
        <v>24</v>
      </c>
      <c r="E4584" t="s">
        <v>42</v>
      </c>
      <c r="F4584" t="s">
        <v>37</v>
      </c>
      <c r="G4584" s="2">
        <v>45486</v>
      </c>
      <c r="H4584" s="3">
        <f t="shared" si="71"/>
        <v>1.441095890410959</v>
      </c>
      <c r="I4584">
        <v>2</v>
      </c>
      <c r="J4584" t="s">
        <v>38</v>
      </c>
      <c r="K4584" t="s">
        <v>56</v>
      </c>
      <c r="L4584" t="s">
        <v>44</v>
      </c>
      <c r="M4584">
        <v>8.4700000000000006</v>
      </c>
      <c r="T4584" t="s">
        <v>47</v>
      </c>
      <c r="U4584">
        <v>4</v>
      </c>
      <c r="V4584">
        <v>7</v>
      </c>
    </row>
    <row r="4585" spans="1:22" x14ac:dyDescent="0.3">
      <c r="A4585">
        <v>4584</v>
      </c>
      <c r="B4585">
        <v>55062</v>
      </c>
      <c r="C4585" s="2">
        <v>38495</v>
      </c>
      <c r="D4585">
        <v>20</v>
      </c>
      <c r="E4585" t="s">
        <v>42</v>
      </c>
      <c r="F4585" t="s">
        <v>37</v>
      </c>
      <c r="G4585" s="2">
        <v>45496</v>
      </c>
      <c r="H4585" s="3">
        <f t="shared" si="71"/>
        <v>1.8273972602739725</v>
      </c>
      <c r="I4585">
        <v>2</v>
      </c>
      <c r="J4585" t="s">
        <v>38</v>
      </c>
      <c r="K4585" t="s">
        <v>56</v>
      </c>
      <c r="L4585" t="s">
        <v>44</v>
      </c>
      <c r="M4585">
        <v>8.4700000000000006</v>
      </c>
      <c r="T4585" t="s">
        <v>49</v>
      </c>
      <c r="U4585">
        <v>3</v>
      </c>
      <c r="V4585">
        <v>5</v>
      </c>
    </row>
    <row r="4586" spans="1:22" x14ac:dyDescent="0.3">
      <c r="A4586">
        <v>4585</v>
      </c>
      <c r="B4586">
        <v>55063</v>
      </c>
      <c r="C4586" s="2">
        <v>37588</v>
      </c>
      <c r="D4586">
        <v>23</v>
      </c>
      <c r="E4586" t="s">
        <v>36</v>
      </c>
      <c r="F4586" t="s">
        <v>50</v>
      </c>
      <c r="G4586" s="2">
        <v>45355</v>
      </c>
      <c r="H4586" s="3">
        <f t="shared" si="71"/>
        <v>1.5287671232876712</v>
      </c>
      <c r="I4586">
        <v>2</v>
      </c>
      <c r="J4586" t="s">
        <v>38</v>
      </c>
      <c r="K4586" t="s">
        <v>56</v>
      </c>
      <c r="L4586" t="s">
        <v>44</v>
      </c>
      <c r="M4586">
        <v>8.4700000000000006</v>
      </c>
      <c r="T4586" t="s">
        <v>49</v>
      </c>
      <c r="U4586">
        <v>2</v>
      </c>
      <c r="V4586">
        <v>4</v>
      </c>
    </row>
    <row r="4587" spans="1:22" x14ac:dyDescent="0.3">
      <c r="A4587">
        <v>4586</v>
      </c>
      <c r="B4587">
        <v>55064</v>
      </c>
      <c r="C4587" s="2">
        <v>36879</v>
      </c>
      <c r="D4587">
        <v>25</v>
      </c>
      <c r="E4587" t="s">
        <v>36</v>
      </c>
      <c r="F4587" t="s">
        <v>50</v>
      </c>
      <c r="G4587" s="2">
        <v>45464</v>
      </c>
      <c r="H4587" s="3">
        <f t="shared" si="71"/>
        <v>1.3753424657534246</v>
      </c>
      <c r="I4587">
        <v>2</v>
      </c>
      <c r="J4587" t="s">
        <v>38</v>
      </c>
      <c r="K4587" t="s">
        <v>56</v>
      </c>
      <c r="L4587" t="s">
        <v>44</v>
      </c>
      <c r="M4587">
        <v>8.4700000000000006</v>
      </c>
      <c r="T4587" t="s">
        <v>49</v>
      </c>
      <c r="U4587">
        <v>2</v>
      </c>
      <c r="V4587">
        <v>4</v>
      </c>
    </row>
    <row r="4588" spans="1:22" x14ac:dyDescent="0.3">
      <c r="A4588">
        <v>4587</v>
      </c>
      <c r="B4588">
        <v>55065</v>
      </c>
      <c r="C4588" s="2">
        <v>38775</v>
      </c>
      <c r="D4588">
        <v>19</v>
      </c>
      <c r="E4588" t="s">
        <v>42</v>
      </c>
      <c r="F4588" t="s">
        <v>37</v>
      </c>
      <c r="G4588" s="2">
        <v>45520</v>
      </c>
      <c r="H4588" s="3">
        <f t="shared" si="71"/>
        <v>1.189041095890411</v>
      </c>
      <c r="I4588">
        <v>2</v>
      </c>
      <c r="J4588" t="s">
        <v>38</v>
      </c>
      <c r="K4588" t="s">
        <v>56</v>
      </c>
      <c r="L4588" t="s">
        <v>44</v>
      </c>
      <c r="M4588">
        <v>8.4700000000000006</v>
      </c>
      <c r="T4588" t="s">
        <v>52</v>
      </c>
      <c r="U4588">
        <v>2</v>
      </c>
      <c r="V4588">
        <v>5</v>
      </c>
    </row>
    <row r="4589" spans="1:22" x14ac:dyDescent="0.3">
      <c r="A4589">
        <v>4588</v>
      </c>
      <c r="B4589">
        <v>55066</v>
      </c>
      <c r="C4589" s="2">
        <v>37791</v>
      </c>
      <c r="D4589">
        <v>22</v>
      </c>
      <c r="E4589" t="s">
        <v>36</v>
      </c>
      <c r="F4589" t="s">
        <v>50</v>
      </c>
      <c r="G4589" s="2">
        <v>45588</v>
      </c>
      <c r="H4589" s="3">
        <f t="shared" si="71"/>
        <v>1.0246575342465754</v>
      </c>
      <c r="I4589">
        <v>2</v>
      </c>
      <c r="J4589" t="s">
        <v>38</v>
      </c>
      <c r="K4589" t="s">
        <v>56</v>
      </c>
      <c r="L4589" t="s">
        <v>44</v>
      </c>
      <c r="M4589">
        <v>8.4700000000000006</v>
      </c>
      <c r="T4589" t="s">
        <v>47</v>
      </c>
      <c r="U4589">
        <v>4</v>
      </c>
      <c r="V4589">
        <v>6</v>
      </c>
    </row>
    <row r="4590" spans="1:22" x14ac:dyDescent="0.3">
      <c r="A4590">
        <v>4589</v>
      </c>
      <c r="B4590">
        <v>55067</v>
      </c>
      <c r="C4590" s="2">
        <v>38042</v>
      </c>
      <c r="D4590">
        <v>21</v>
      </c>
      <c r="E4590" t="s">
        <v>42</v>
      </c>
      <c r="F4590" t="s">
        <v>50</v>
      </c>
      <c r="G4590" s="2">
        <v>45648</v>
      </c>
      <c r="H4590" s="3">
        <f t="shared" si="71"/>
        <v>1.704109589041096</v>
      </c>
      <c r="I4590">
        <v>2</v>
      </c>
      <c r="J4590" t="s">
        <v>38</v>
      </c>
      <c r="K4590" t="s">
        <v>56</v>
      </c>
      <c r="L4590" t="s">
        <v>44</v>
      </c>
      <c r="M4590">
        <v>8.4700000000000006</v>
      </c>
      <c r="T4590" t="s">
        <v>52</v>
      </c>
      <c r="U4590">
        <v>2</v>
      </c>
      <c r="V4590">
        <v>7</v>
      </c>
    </row>
    <row r="4591" spans="1:22" x14ac:dyDescent="0.3">
      <c r="A4591">
        <v>4590</v>
      </c>
      <c r="B4591">
        <v>55068</v>
      </c>
      <c r="C4591" s="2">
        <v>39224</v>
      </c>
      <c r="D4591">
        <v>18</v>
      </c>
      <c r="E4591" t="s">
        <v>42</v>
      </c>
      <c r="F4591" t="s">
        <v>50</v>
      </c>
      <c r="G4591" s="2">
        <v>45400</v>
      </c>
      <c r="H4591" s="3">
        <f t="shared" si="71"/>
        <v>1.2054794520547945</v>
      </c>
      <c r="I4591">
        <v>2</v>
      </c>
      <c r="J4591" t="s">
        <v>38</v>
      </c>
      <c r="K4591" t="s">
        <v>56</v>
      </c>
      <c r="L4591" t="s">
        <v>44</v>
      </c>
      <c r="M4591">
        <v>8.4700000000000006</v>
      </c>
      <c r="T4591" t="s">
        <v>45</v>
      </c>
      <c r="U4591">
        <v>2</v>
      </c>
      <c r="V4591">
        <v>7</v>
      </c>
    </row>
    <row r="4592" spans="1:22" x14ac:dyDescent="0.3">
      <c r="A4592">
        <v>4591</v>
      </c>
      <c r="B4592">
        <v>55069</v>
      </c>
      <c r="C4592" s="2">
        <v>37739</v>
      </c>
      <c r="D4592">
        <v>22</v>
      </c>
      <c r="E4592" t="s">
        <v>42</v>
      </c>
      <c r="F4592" t="s">
        <v>37</v>
      </c>
      <c r="G4592" s="2">
        <v>45582</v>
      </c>
      <c r="H4592" s="3">
        <f t="shared" si="71"/>
        <v>1.1315068493150684</v>
      </c>
      <c r="I4592">
        <v>2</v>
      </c>
      <c r="J4592" t="s">
        <v>38</v>
      </c>
      <c r="K4592" t="s">
        <v>56</v>
      </c>
      <c r="L4592" t="s">
        <v>44</v>
      </c>
      <c r="M4592">
        <v>8.4700000000000006</v>
      </c>
      <c r="T4592" t="s">
        <v>49</v>
      </c>
      <c r="U4592">
        <v>2</v>
      </c>
      <c r="V4592">
        <v>4</v>
      </c>
    </row>
    <row r="4593" spans="1:22" x14ac:dyDescent="0.3">
      <c r="A4593">
        <v>4592</v>
      </c>
      <c r="B4593">
        <v>55070</v>
      </c>
      <c r="C4593" s="2">
        <v>36337</v>
      </c>
      <c r="D4593">
        <v>26</v>
      </c>
      <c r="E4593" t="s">
        <v>42</v>
      </c>
      <c r="F4593" t="s">
        <v>37</v>
      </c>
      <c r="G4593" s="2">
        <v>45609</v>
      </c>
      <c r="H4593" s="3">
        <f t="shared" si="71"/>
        <v>1.5095890410958903</v>
      </c>
      <c r="I4593">
        <v>2</v>
      </c>
      <c r="J4593" t="s">
        <v>38</v>
      </c>
      <c r="K4593" t="s">
        <v>56</v>
      </c>
      <c r="L4593" t="s">
        <v>44</v>
      </c>
      <c r="M4593">
        <v>8.4700000000000006</v>
      </c>
      <c r="T4593" t="s">
        <v>45</v>
      </c>
      <c r="U4593">
        <v>2</v>
      </c>
      <c r="V4593">
        <v>5</v>
      </c>
    </row>
    <row r="4594" spans="1:22" x14ac:dyDescent="0.3">
      <c r="A4594">
        <v>4593</v>
      </c>
      <c r="B4594">
        <v>55071</v>
      </c>
      <c r="C4594" s="2">
        <v>38163</v>
      </c>
      <c r="D4594">
        <v>21</v>
      </c>
      <c r="E4594" t="s">
        <v>42</v>
      </c>
      <c r="F4594" t="s">
        <v>50</v>
      </c>
      <c r="G4594" s="2">
        <v>45471</v>
      </c>
      <c r="H4594" s="3">
        <f t="shared" si="71"/>
        <v>1.4493150684931506</v>
      </c>
      <c r="I4594">
        <v>2</v>
      </c>
      <c r="J4594" t="s">
        <v>38</v>
      </c>
      <c r="K4594" t="s">
        <v>56</v>
      </c>
      <c r="L4594" t="s">
        <v>44</v>
      </c>
      <c r="M4594">
        <v>8.4700000000000006</v>
      </c>
      <c r="T4594" t="s">
        <v>49</v>
      </c>
      <c r="U4594">
        <v>0</v>
      </c>
      <c r="V4594">
        <v>5</v>
      </c>
    </row>
    <row r="4595" spans="1:22" x14ac:dyDescent="0.3">
      <c r="A4595">
        <v>4594</v>
      </c>
      <c r="B4595">
        <v>55072</v>
      </c>
      <c r="C4595" s="2">
        <v>35972</v>
      </c>
      <c r="D4595">
        <v>27</v>
      </c>
      <c r="E4595" t="s">
        <v>42</v>
      </c>
      <c r="F4595" t="s">
        <v>50</v>
      </c>
      <c r="G4595" s="2">
        <v>45493</v>
      </c>
      <c r="H4595" s="3">
        <f t="shared" si="71"/>
        <v>1.7643835616438357</v>
      </c>
      <c r="I4595">
        <v>2</v>
      </c>
      <c r="J4595" t="s">
        <v>38</v>
      </c>
      <c r="K4595" t="s">
        <v>56</v>
      </c>
      <c r="L4595" t="s">
        <v>44</v>
      </c>
      <c r="M4595">
        <v>8.4700000000000006</v>
      </c>
      <c r="T4595" t="s">
        <v>52</v>
      </c>
      <c r="U4595">
        <v>3</v>
      </c>
      <c r="V4595">
        <v>6</v>
      </c>
    </row>
    <row r="4596" spans="1:22" x14ac:dyDescent="0.3">
      <c r="A4596">
        <v>4595</v>
      </c>
      <c r="B4596">
        <v>55073</v>
      </c>
      <c r="C4596" s="2">
        <v>38429</v>
      </c>
      <c r="D4596">
        <v>20</v>
      </c>
      <c r="E4596" t="s">
        <v>42</v>
      </c>
      <c r="F4596" t="s">
        <v>50</v>
      </c>
      <c r="G4596" s="2">
        <v>45378</v>
      </c>
      <c r="H4596" s="3">
        <f t="shared" si="71"/>
        <v>1.6219178082191781</v>
      </c>
      <c r="I4596">
        <v>2</v>
      </c>
      <c r="J4596" t="s">
        <v>38</v>
      </c>
      <c r="K4596" t="s">
        <v>56</v>
      </c>
      <c r="L4596" t="s">
        <v>44</v>
      </c>
      <c r="M4596">
        <v>8.4700000000000006</v>
      </c>
      <c r="T4596" t="s">
        <v>52</v>
      </c>
      <c r="U4596">
        <v>2</v>
      </c>
      <c r="V4596">
        <v>5</v>
      </c>
    </row>
    <row r="4597" spans="1:22" x14ac:dyDescent="0.3">
      <c r="A4597">
        <v>4596</v>
      </c>
      <c r="B4597">
        <v>55074</v>
      </c>
      <c r="C4597" s="2">
        <v>35264</v>
      </c>
      <c r="D4597">
        <v>29</v>
      </c>
      <c r="E4597" t="s">
        <v>42</v>
      </c>
      <c r="F4597" t="s">
        <v>37</v>
      </c>
      <c r="G4597" s="2">
        <v>45430</v>
      </c>
      <c r="H4597" s="3">
        <f t="shared" si="71"/>
        <v>1.4136986301369863</v>
      </c>
      <c r="I4597">
        <v>2</v>
      </c>
      <c r="J4597" t="s">
        <v>38</v>
      </c>
      <c r="K4597" t="s">
        <v>56</v>
      </c>
      <c r="L4597" t="s">
        <v>44</v>
      </c>
      <c r="M4597">
        <v>8.4700000000000006</v>
      </c>
      <c r="T4597" t="s">
        <v>45</v>
      </c>
      <c r="U4597">
        <v>4</v>
      </c>
      <c r="V4597">
        <v>5</v>
      </c>
    </row>
    <row r="4598" spans="1:22" x14ac:dyDescent="0.3">
      <c r="A4598">
        <v>4597</v>
      </c>
      <c r="B4598">
        <v>55075</v>
      </c>
      <c r="C4598" s="2">
        <v>35931</v>
      </c>
      <c r="D4598">
        <v>27</v>
      </c>
      <c r="E4598" t="s">
        <v>42</v>
      </c>
      <c r="F4598" t="s">
        <v>50</v>
      </c>
      <c r="G4598" s="2">
        <v>45506</v>
      </c>
      <c r="H4598" s="3">
        <f t="shared" si="71"/>
        <v>1.1589041095890411</v>
      </c>
      <c r="I4598">
        <v>2</v>
      </c>
      <c r="J4598" t="s">
        <v>38</v>
      </c>
      <c r="K4598" t="s">
        <v>56</v>
      </c>
      <c r="L4598" t="s">
        <v>44</v>
      </c>
      <c r="M4598">
        <v>8.4700000000000006</v>
      </c>
      <c r="T4598" t="s">
        <v>52</v>
      </c>
      <c r="U4598">
        <v>2</v>
      </c>
      <c r="V4598">
        <v>7</v>
      </c>
    </row>
    <row r="4599" spans="1:22" x14ac:dyDescent="0.3">
      <c r="A4599">
        <v>4598</v>
      </c>
      <c r="B4599">
        <v>55076</v>
      </c>
      <c r="C4599" s="2">
        <v>36584</v>
      </c>
      <c r="D4599">
        <v>25</v>
      </c>
      <c r="E4599" t="s">
        <v>42</v>
      </c>
      <c r="F4599" t="s">
        <v>50</v>
      </c>
      <c r="G4599" s="2">
        <v>45599</v>
      </c>
      <c r="H4599" s="3">
        <f t="shared" si="71"/>
        <v>1.1561643835616437</v>
      </c>
      <c r="I4599">
        <v>3</v>
      </c>
      <c r="J4599" t="s">
        <v>38</v>
      </c>
      <c r="K4599" t="s">
        <v>68</v>
      </c>
      <c r="L4599" t="s">
        <v>44</v>
      </c>
      <c r="M4599">
        <v>17</v>
      </c>
      <c r="T4599" t="s">
        <v>49</v>
      </c>
      <c r="U4599">
        <v>1</v>
      </c>
      <c r="V4599">
        <v>5</v>
      </c>
    </row>
    <row r="4600" spans="1:22" x14ac:dyDescent="0.3">
      <c r="A4600">
        <v>4599</v>
      </c>
      <c r="B4600">
        <v>55077</v>
      </c>
      <c r="C4600" s="2">
        <v>36757</v>
      </c>
      <c r="D4600">
        <v>25</v>
      </c>
      <c r="E4600" t="s">
        <v>42</v>
      </c>
      <c r="F4600" t="s">
        <v>50</v>
      </c>
      <c r="G4600" s="2">
        <v>45600</v>
      </c>
      <c r="H4600" s="3">
        <f t="shared" si="71"/>
        <v>1.6273972602739726</v>
      </c>
      <c r="I4600">
        <v>3</v>
      </c>
      <c r="J4600" t="s">
        <v>38</v>
      </c>
      <c r="K4600" t="s">
        <v>68</v>
      </c>
      <c r="L4600" t="s">
        <v>44</v>
      </c>
      <c r="M4600">
        <v>17</v>
      </c>
      <c r="T4600" t="s">
        <v>52</v>
      </c>
      <c r="U4600">
        <v>4</v>
      </c>
      <c r="V4600">
        <v>6</v>
      </c>
    </row>
    <row r="4601" spans="1:22" x14ac:dyDescent="0.3">
      <c r="A4601">
        <v>4600</v>
      </c>
      <c r="B4601">
        <v>55078</v>
      </c>
      <c r="C4601" s="2">
        <v>37445</v>
      </c>
      <c r="D4601">
        <v>23</v>
      </c>
      <c r="E4601" t="s">
        <v>42</v>
      </c>
      <c r="F4601" t="s">
        <v>50</v>
      </c>
      <c r="G4601" s="2">
        <v>45428</v>
      </c>
      <c r="H4601" s="3">
        <f t="shared" si="71"/>
        <v>1.8904109589041096</v>
      </c>
      <c r="I4601">
        <v>3</v>
      </c>
      <c r="J4601" t="s">
        <v>38</v>
      </c>
      <c r="K4601" t="s">
        <v>65</v>
      </c>
      <c r="L4601" t="s">
        <v>44</v>
      </c>
      <c r="M4601">
        <v>10.64</v>
      </c>
      <c r="T4601" t="s">
        <v>52</v>
      </c>
      <c r="U4601">
        <v>0</v>
      </c>
      <c r="V4601">
        <v>5</v>
      </c>
    </row>
    <row r="4602" spans="1:22" x14ac:dyDescent="0.3">
      <c r="A4602">
        <v>4601</v>
      </c>
      <c r="B4602">
        <v>55079</v>
      </c>
      <c r="C4602" s="2">
        <v>38724</v>
      </c>
      <c r="D4602">
        <v>19</v>
      </c>
      <c r="E4602" t="s">
        <v>42</v>
      </c>
      <c r="F4602" t="s">
        <v>37</v>
      </c>
      <c r="G4602" s="2">
        <v>45332</v>
      </c>
      <c r="H4602" s="3">
        <f t="shared" si="71"/>
        <v>1.0438356164383562</v>
      </c>
      <c r="I4602">
        <v>3</v>
      </c>
      <c r="J4602" t="s">
        <v>38</v>
      </c>
      <c r="K4602" t="s">
        <v>56</v>
      </c>
      <c r="L4602" t="s">
        <v>44</v>
      </c>
      <c r="M4602">
        <v>8.4700000000000006</v>
      </c>
      <c r="T4602" t="s">
        <v>49</v>
      </c>
      <c r="U4602">
        <v>1</v>
      </c>
      <c r="V4602">
        <v>5</v>
      </c>
    </row>
    <row r="4603" spans="1:22" x14ac:dyDescent="0.3">
      <c r="A4603">
        <v>4602</v>
      </c>
      <c r="B4603">
        <v>55080</v>
      </c>
      <c r="C4603" s="2">
        <v>36684</v>
      </c>
      <c r="D4603">
        <v>25</v>
      </c>
      <c r="E4603" t="s">
        <v>42</v>
      </c>
      <c r="F4603" t="s">
        <v>50</v>
      </c>
      <c r="G4603" s="2">
        <v>45641</v>
      </c>
      <c r="H4603" s="3">
        <f t="shared" si="71"/>
        <v>1.2273972602739727</v>
      </c>
      <c r="I4603">
        <v>3</v>
      </c>
      <c r="J4603" t="s">
        <v>38</v>
      </c>
      <c r="K4603" t="s">
        <v>56</v>
      </c>
      <c r="L4603" t="s">
        <v>44</v>
      </c>
      <c r="M4603">
        <v>8.4700000000000006</v>
      </c>
      <c r="T4603" t="s">
        <v>52</v>
      </c>
      <c r="U4603">
        <v>1</v>
      </c>
      <c r="V4603">
        <v>7</v>
      </c>
    </row>
    <row r="4604" spans="1:22" x14ac:dyDescent="0.3">
      <c r="A4604">
        <v>4603</v>
      </c>
      <c r="B4604">
        <v>55081</v>
      </c>
      <c r="C4604" s="2">
        <v>38603</v>
      </c>
      <c r="D4604">
        <v>20</v>
      </c>
      <c r="E4604" t="s">
        <v>42</v>
      </c>
      <c r="F4604" t="s">
        <v>50</v>
      </c>
      <c r="G4604" s="2">
        <v>45574</v>
      </c>
      <c r="H4604" s="3">
        <f t="shared" si="71"/>
        <v>1.4931506849315068</v>
      </c>
      <c r="I4604">
        <v>3</v>
      </c>
      <c r="J4604" t="s">
        <v>38</v>
      </c>
      <c r="K4604" t="s">
        <v>56</v>
      </c>
      <c r="L4604" t="s">
        <v>44</v>
      </c>
      <c r="M4604">
        <v>8.4700000000000006</v>
      </c>
      <c r="T4604" t="s">
        <v>52</v>
      </c>
      <c r="U4604">
        <v>2</v>
      </c>
      <c r="V4604">
        <v>6</v>
      </c>
    </row>
    <row r="4605" spans="1:22" x14ac:dyDescent="0.3">
      <c r="A4605">
        <v>4604</v>
      </c>
      <c r="B4605">
        <v>55082</v>
      </c>
      <c r="C4605" s="2">
        <v>38882</v>
      </c>
      <c r="D4605">
        <v>19</v>
      </c>
      <c r="E4605" t="s">
        <v>42</v>
      </c>
      <c r="F4605" t="s">
        <v>50</v>
      </c>
      <c r="G4605" s="2">
        <v>45477</v>
      </c>
      <c r="H4605" s="3">
        <f t="shared" si="71"/>
        <v>1.284931506849315</v>
      </c>
      <c r="I4605">
        <v>3</v>
      </c>
      <c r="J4605" t="s">
        <v>38</v>
      </c>
      <c r="K4605" t="s">
        <v>56</v>
      </c>
      <c r="L4605" t="s">
        <v>44</v>
      </c>
      <c r="M4605">
        <v>8.4700000000000006</v>
      </c>
      <c r="T4605" t="s">
        <v>45</v>
      </c>
      <c r="U4605">
        <v>2</v>
      </c>
      <c r="V4605">
        <v>6</v>
      </c>
    </row>
    <row r="4606" spans="1:22" x14ac:dyDescent="0.3">
      <c r="A4606">
        <v>4605</v>
      </c>
      <c r="B4606">
        <v>55083</v>
      </c>
      <c r="C4606" s="2">
        <v>37975</v>
      </c>
      <c r="D4606">
        <v>22</v>
      </c>
      <c r="E4606" t="s">
        <v>42</v>
      </c>
      <c r="F4606" t="s">
        <v>37</v>
      </c>
      <c r="G4606" s="2">
        <v>45553</v>
      </c>
      <c r="H4606" s="3">
        <f t="shared" si="71"/>
        <v>1.0082191780821919</v>
      </c>
      <c r="I4606">
        <v>3</v>
      </c>
      <c r="J4606" t="s">
        <v>38</v>
      </c>
      <c r="K4606" t="s">
        <v>56</v>
      </c>
      <c r="L4606" t="s">
        <v>44</v>
      </c>
      <c r="M4606">
        <v>8.4700000000000006</v>
      </c>
      <c r="T4606" t="s">
        <v>49</v>
      </c>
      <c r="U4606">
        <v>2</v>
      </c>
      <c r="V4606">
        <v>6</v>
      </c>
    </row>
    <row r="4607" spans="1:22" x14ac:dyDescent="0.3">
      <c r="A4607">
        <v>4606</v>
      </c>
      <c r="B4607">
        <v>55084</v>
      </c>
      <c r="C4607" s="2">
        <v>35548</v>
      </c>
      <c r="D4607">
        <v>28</v>
      </c>
      <c r="E4607" t="s">
        <v>42</v>
      </c>
      <c r="F4607" t="s">
        <v>50</v>
      </c>
      <c r="G4607" s="2">
        <v>45654</v>
      </c>
      <c r="H4607" s="3">
        <f t="shared" si="71"/>
        <v>1.3917808219178083</v>
      </c>
      <c r="I4607">
        <v>3</v>
      </c>
      <c r="J4607" t="s">
        <v>38</v>
      </c>
      <c r="K4607" t="s">
        <v>56</v>
      </c>
      <c r="L4607" t="s">
        <v>44</v>
      </c>
      <c r="M4607">
        <v>8.4700000000000006</v>
      </c>
      <c r="T4607" t="s">
        <v>49</v>
      </c>
      <c r="U4607">
        <v>1</v>
      </c>
      <c r="V4607">
        <v>5</v>
      </c>
    </row>
    <row r="4608" spans="1:22" x14ac:dyDescent="0.3">
      <c r="A4608">
        <v>4607</v>
      </c>
      <c r="B4608">
        <v>55085</v>
      </c>
      <c r="C4608" s="2">
        <v>38660</v>
      </c>
      <c r="D4608">
        <v>20</v>
      </c>
      <c r="E4608" t="s">
        <v>42</v>
      </c>
      <c r="F4608" t="s">
        <v>50</v>
      </c>
      <c r="G4608" s="2">
        <v>45514</v>
      </c>
      <c r="H4608" s="3">
        <f t="shared" si="71"/>
        <v>1.0684931506849316</v>
      </c>
      <c r="I4608">
        <v>3</v>
      </c>
      <c r="J4608" t="s">
        <v>38</v>
      </c>
      <c r="K4608" t="s">
        <v>56</v>
      </c>
      <c r="L4608" t="s">
        <v>44</v>
      </c>
      <c r="M4608">
        <v>8.4700000000000006</v>
      </c>
      <c r="T4608" t="s">
        <v>52</v>
      </c>
      <c r="U4608">
        <v>2</v>
      </c>
      <c r="V4608">
        <v>7</v>
      </c>
    </row>
    <row r="4609" spans="1:22" x14ac:dyDescent="0.3">
      <c r="A4609">
        <v>4608</v>
      </c>
      <c r="B4609">
        <v>55086</v>
      </c>
      <c r="C4609" s="2">
        <v>37705</v>
      </c>
      <c r="D4609">
        <v>22</v>
      </c>
      <c r="E4609" t="s">
        <v>42</v>
      </c>
      <c r="F4609" t="s">
        <v>50</v>
      </c>
      <c r="G4609" s="2">
        <v>45632</v>
      </c>
      <c r="H4609" s="3">
        <f t="shared" si="71"/>
        <v>1.6739726027397259</v>
      </c>
      <c r="I4609">
        <v>3</v>
      </c>
      <c r="J4609" t="s">
        <v>38</v>
      </c>
      <c r="K4609" t="s">
        <v>56</v>
      </c>
      <c r="L4609" t="s">
        <v>44</v>
      </c>
      <c r="M4609">
        <v>8.4700000000000006</v>
      </c>
      <c r="T4609" t="s">
        <v>45</v>
      </c>
      <c r="U4609">
        <v>0</v>
      </c>
      <c r="V4609">
        <v>6</v>
      </c>
    </row>
    <row r="4610" spans="1:22" x14ac:dyDescent="0.3">
      <c r="A4610">
        <v>4609</v>
      </c>
      <c r="B4610">
        <v>55087</v>
      </c>
      <c r="C4610" s="2">
        <v>36964</v>
      </c>
      <c r="D4610">
        <v>24</v>
      </c>
      <c r="E4610" t="s">
        <v>42</v>
      </c>
      <c r="F4610" t="s">
        <v>50</v>
      </c>
      <c r="G4610" s="2">
        <v>45411</v>
      </c>
      <c r="H4610" s="3">
        <f t="shared" si="71"/>
        <v>1.5123287671232877</v>
      </c>
      <c r="I4610">
        <v>3</v>
      </c>
      <c r="J4610" t="s">
        <v>38</v>
      </c>
      <c r="K4610" t="s">
        <v>56</v>
      </c>
      <c r="L4610" t="s">
        <v>44</v>
      </c>
      <c r="M4610">
        <v>8.4700000000000006</v>
      </c>
      <c r="T4610" t="s">
        <v>45</v>
      </c>
      <c r="U4610">
        <v>2</v>
      </c>
      <c r="V4610">
        <v>7</v>
      </c>
    </row>
    <row r="4611" spans="1:22" x14ac:dyDescent="0.3">
      <c r="A4611">
        <v>4610</v>
      </c>
      <c r="B4611">
        <v>55088</v>
      </c>
      <c r="C4611" s="2">
        <v>37474</v>
      </c>
      <c r="D4611">
        <v>23</v>
      </c>
      <c r="E4611" t="s">
        <v>42</v>
      </c>
      <c r="F4611" t="s">
        <v>50</v>
      </c>
      <c r="G4611" s="2">
        <v>45470</v>
      </c>
      <c r="H4611" s="3">
        <f t="shared" ref="H4611:H4674" si="72">DATEDIF(G4612,DATE(2025,12,31),"d")/365</f>
        <v>1.4767123287671233</v>
      </c>
      <c r="I4611">
        <v>3</v>
      </c>
      <c r="J4611" t="s">
        <v>38</v>
      </c>
      <c r="K4611" t="s">
        <v>56</v>
      </c>
      <c r="L4611" t="s">
        <v>44</v>
      </c>
      <c r="M4611">
        <v>8.4700000000000006</v>
      </c>
      <c r="T4611" t="s">
        <v>45</v>
      </c>
      <c r="U4611">
        <v>0</v>
      </c>
      <c r="V4611">
        <v>7</v>
      </c>
    </row>
    <row r="4612" spans="1:22" x14ac:dyDescent="0.3">
      <c r="A4612">
        <v>4611</v>
      </c>
      <c r="B4612">
        <v>55090</v>
      </c>
      <c r="C4612" s="2">
        <v>34738</v>
      </c>
      <c r="D4612">
        <v>30</v>
      </c>
      <c r="E4612" t="s">
        <v>42</v>
      </c>
      <c r="F4612" t="s">
        <v>50</v>
      </c>
      <c r="G4612" s="2">
        <v>45483</v>
      </c>
      <c r="H4612" s="3">
        <f t="shared" si="72"/>
        <v>1.2876712328767124</v>
      </c>
      <c r="I4612">
        <v>3</v>
      </c>
      <c r="J4612" t="s">
        <v>38</v>
      </c>
      <c r="K4612" t="s">
        <v>56</v>
      </c>
      <c r="L4612" t="s">
        <v>44</v>
      </c>
      <c r="M4612">
        <v>8.4700000000000006</v>
      </c>
      <c r="T4612" t="s">
        <v>47</v>
      </c>
      <c r="U4612">
        <v>3</v>
      </c>
      <c r="V4612">
        <v>6</v>
      </c>
    </row>
    <row r="4613" spans="1:22" x14ac:dyDescent="0.3">
      <c r="A4613">
        <v>4612</v>
      </c>
      <c r="B4613">
        <v>55091</v>
      </c>
      <c r="C4613" s="2">
        <v>37441</v>
      </c>
      <c r="D4613">
        <v>23</v>
      </c>
      <c r="E4613" t="s">
        <v>42</v>
      </c>
      <c r="F4613" t="s">
        <v>50</v>
      </c>
      <c r="G4613" s="2">
        <v>45552</v>
      </c>
      <c r="H4613" s="3">
        <f t="shared" si="72"/>
        <v>1.3424657534246576</v>
      </c>
      <c r="I4613">
        <v>4</v>
      </c>
      <c r="J4613" t="s">
        <v>38</v>
      </c>
      <c r="K4613" t="s">
        <v>68</v>
      </c>
      <c r="L4613" t="s">
        <v>44</v>
      </c>
      <c r="M4613">
        <v>17</v>
      </c>
      <c r="T4613" t="s">
        <v>52</v>
      </c>
      <c r="U4613">
        <v>3</v>
      </c>
      <c r="V4613">
        <v>6</v>
      </c>
    </row>
    <row r="4614" spans="1:22" x14ac:dyDescent="0.3">
      <c r="A4614">
        <v>4613</v>
      </c>
      <c r="B4614">
        <v>55092</v>
      </c>
      <c r="C4614" s="2">
        <v>38635</v>
      </c>
      <c r="D4614">
        <v>20</v>
      </c>
      <c r="E4614" t="s">
        <v>42</v>
      </c>
      <c r="F4614" t="s">
        <v>37</v>
      </c>
      <c r="G4614" s="2">
        <v>45532</v>
      </c>
      <c r="H4614" s="3">
        <f t="shared" si="72"/>
        <v>1.4493150684931506</v>
      </c>
      <c r="I4614">
        <v>4</v>
      </c>
      <c r="J4614" t="s">
        <v>38</v>
      </c>
      <c r="K4614" t="s">
        <v>65</v>
      </c>
      <c r="L4614" t="s">
        <v>44</v>
      </c>
      <c r="M4614">
        <v>10.64</v>
      </c>
      <c r="T4614" t="s">
        <v>47</v>
      </c>
      <c r="U4614">
        <v>1</v>
      </c>
      <c r="V4614">
        <v>6</v>
      </c>
    </row>
    <row r="4615" spans="1:22" x14ac:dyDescent="0.3">
      <c r="A4615">
        <v>4614</v>
      </c>
      <c r="B4615">
        <v>55093</v>
      </c>
      <c r="C4615" s="2">
        <v>38670</v>
      </c>
      <c r="D4615">
        <v>20</v>
      </c>
      <c r="E4615" t="s">
        <v>42</v>
      </c>
      <c r="F4615" t="s">
        <v>50</v>
      </c>
      <c r="G4615" s="2">
        <v>45493</v>
      </c>
      <c r="H4615" s="3">
        <f t="shared" si="72"/>
        <v>1.178082191780822</v>
      </c>
      <c r="I4615">
        <v>4</v>
      </c>
      <c r="J4615" t="s">
        <v>38</v>
      </c>
      <c r="K4615" t="s">
        <v>56</v>
      </c>
      <c r="L4615" t="s">
        <v>44</v>
      </c>
      <c r="M4615">
        <v>8.4700000000000006</v>
      </c>
      <c r="T4615" t="s">
        <v>47</v>
      </c>
      <c r="U4615">
        <v>2</v>
      </c>
      <c r="V4615">
        <v>5</v>
      </c>
    </row>
    <row r="4616" spans="1:22" x14ac:dyDescent="0.3">
      <c r="A4616">
        <v>4615</v>
      </c>
      <c r="B4616">
        <v>55094</v>
      </c>
      <c r="C4616" s="2">
        <v>33970</v>
      </c>
      <c r="D4616">
        <v>33</v>
      </c>
      <c r="E4616" t="s">
        <v>42</v>
      </c>
      <c r="F4616" t="s">
        <v>50</v>
      </c>
      <c r="G4616" s="2">
        <v>45592</v>
      </c>
      <c r="H4616" s="3">
        <f t="shared" si="72"/>
        <v>1.3041095890410959</v>
      </c>
      <c r="I4616">
        <v>4</v>
      </c>
      <c r="J4616" t="s">
        <v>38</v>
      </c>
      <c r="K4616" t="s">
        <v>56</v>
      </c>
      <c r="L4616" t="s">
        <v>44</v>
      </c>
      <c r="M4616">
        <v>8.4700000000000006</v>
      </c>
      <c r="T4616" t="s">
        <v>45</v>
      </c>
      <c r="U4616">
        <v>2</v>
      </c>
      <c r="V4616">
        <v>7</v>
      </c>
    </row>
    <row r="4617" spans="1:22" x14ac:dyDescent="0.3">
      <c r="A4617">
        <v>4616</v>
      </c>
      <c r="B4617">
        <v>55095</v>
      </c>
      <c r="C4617" s="2">
        <v>36635</v>
      </c>
      <c r="D4617">
        <v>25</v>
      </c>
      <c r="E4617" t="s">
        <v>36</v>
      </c>
      <c r="F4617" t="s">
        <v>50</v>
      </c>
      <c r="G4617" s="2">
        <v>45546</v>
      </c>
      <c r="H4617" s="3">
        <f t="shared" si="72"/>
        <v>1.4301369863013698</v>
      </c>
      <c r="I4617">
        <v>4</v>
      </c>
      <c r="J4617" t="s">
        <v>38</v>
      </c>
      <c r="K4617" t="s">
        <v>56</v>
      </c>
      <c r="L4617" t="s">
        <v>44</v>
      </c>
      <c r="M4617">
        <v>8.4700000000000006</v>
      </c>
      <c r="T4617" t="s">
        <v>52</v>
      </c>
      <c r="U4617">
        <v>0</v>
      </c>
      <c r="V4617">
        <v>3</v>
      </c>
    </row>
    <row r="4618" spans="1:22" x14ac:dyDescent="0.3">
      <c r="A4618">
        <v>4617</v>
      </c>
      <c r="B4618">
        <v>55096</v>
      </c>
      <c r="C4618" s="2">
        <v>37298</v>
      </c>
      <c r="D4618">
        <v>23</v>
      </c>
      <c r="E4618" t="s">
        <v>42</v>
      </c>
      <c r="F4618" t="s">
        <v>37</v>
      </c>
      <c r="G4618" s="2">
        <v>45500</v>
      </c>
      <c r="H4618" s="3">
        <f t="shared" si="72"/>
        <v>1.6</v>
      </c>
      <c r="I4618">
        <v>4</v>
      </c>
      <c r="J4618" t="s">
        <v>38</v>
      </c>
      <c r="K4618" t="s">
        <v>56</v>
      </c>
      <c r="L4618" t="s">
        <v>44</v>
      </c>
      <c r="M4618">
        <v>8.4700000000000006</v>
      </c>
      <c r="T4618" t="s">
        <v>52</v>
      </c>
      <c r="U4618">
        <v>2</v>
      </c>
      <c r="V4618">
        <v>5</v>
      </c>
    </row>
    <row r="4619" spans="1:22" x14ac:dyDescent="0.3">
      <c r="A4619">
        <v>4618</v>
      </c>
      <c r="B4619">
        <v>55097</v>
      </c>
      <c r="C4619" s="2">
        <v>37825</v>
      </c>
      <c r="D4619">
        <v>22</v>
      </c>
      <c r="E4619" t="s">
        <v>36</v>
      </c>
      <c r="F4619" t="s">
        <v>50</v>
      </c>
      <c r="G4619" s="2">
        <v>45438</v>
      </c>
      <c r="H4619" s="3">
        <f t="shared" si="72"/>
        <v>1.2493150684931507</v>
      </c>
      <c r="I4619">
        <v>4</v>
      </c>
      <c r="J4619" t="s">
        <v>38</v>
      </c>
      <c r="K4619" t="s">
        <v>56</v>
      </c>
      <c r="L4619" t="s">
        <v>44</v>
      </c>
      <c r="M4619">
        <v>8.4700000000000006</v>
      </c>
      <c r="T4619" t="s">
        <v>45</v>
      </c>
      <c r="U4619">
        <v>2</v>
      </c>
      <c r="V4619">
        <v>5</v>
      </c>
    </row>
    <row r="4620" spans="1:22" x14ac:dyDescent="0.3">
      <c r="A4620">
        <v>4619</v>
      </c>
      <c r="B4620">
        <v>55098</v>
      </c>
      <c r="C4620" s="2">
        <v>38540</v>
      </c>
      <c r="D4620">
        <v>20</v>
      </c>
      <c r="E4620" t="s">
        <v>42</v>
      </c>
      <c r="F4620" t="s">
        <v>50</v>
      </c>
      <c r="G4620" s="2">
        <v>45566</v>
      </c>
      <c r="H4620" s="3">
        <f t="shared" si="72"/>
        <v>1.3835616438356164</v>
      </c>
      <c r="I4620">
        <v>4</v>
      </c>
      <c r="J4620" t="s">
        <v>38</v>
      </c>
      <c r="K4620" t="s">
        <v>56</v>
      </c>
      <c r="L4620" t="s">
        <v>44</v>
      </c>
      <c r="M4620">
        <v>8.4700000000000006</v>
      </c>
      <c r="T4620" t="s">
        <v>49</v>
      </c>
      <c r="U4620">
        <v>0</v>
      </c>
      <c r="V4620">
        <v>6</v>
      </c>
    </row>
    <row r="4621" spans="1:22" x14ac:dyDescent="0.3">
      <c r="A4621">
        <v>4620</v>
      </c>
      <c r="B4621">
        <v>55099</v>
      </c>
      <c r="C4621" s="2">
        <v>34127</v>
      </c>
      <c r="D4621">
        <v>32</v>
      </c>
      <c r="E4621" t="s">
        <v>42</v>
      </c>
      <c r="F4621" t="s">
        <v>50</v>
      </c>
      <c r="G4621" s="2">
        <v>45517</v>
      </c>
      <c r="H4621" s="3">
        <f t="shared" si="72"/>
        <v>1.010958904109589</v>
      </c>
      <c r="I4621">
        <v>4</v>
      </c>
      <c r="J4621" t="s">
        <v>38</v>
      </c>
      <c r="K4621" t="s">
        <v>56</v>
      </c>
      <c r="L4621" t="s">
        <v>44</v>
      </c>
      <c r="M4621">
        <v>8.4700000000000006</v>
      </c>
      <c r="T4621" t="s">
        <v>47</v>
      </c>
      <c r="U4621">
        <v>1</v>
      </c>
      <c r="V4621">
        <v>5</v>
      </c>
    </row>
    <row r="4622" spans="1:22" x14ac:dyDescent="0.3">
      <c r="A4622">
        <v>4621</v>
      </c>
      <c r="B4622">
        <v>55100</v>
      </c>
      <c r="C4622" s="2">
        <v>39045</v>
      </c>
      <c r="D4622">
        <v>19</v>
      </c>
      <c r="E4622" t="s">
        <v>42</v>
      </c>
      <c r="F4622" t="s">
        <v>50</v>
      </c>
      <c r="G4622" s="2">
        <v>45653</v>
      </c>
      <c r="H4622" s="3">
        <f t="shared" si="72"/>
        <v>1.8849315068493151</v>
      </c>
      <c r="I4622">
        <v>4</v>
      </c>
      <c r="J4622" t="s">
        <v>38</v>
      </c>
      <c r="K4622" t="s">
        <v>56</v>
      </c>
      <c r="L4622" t="s">
        <v>44</v>
      </c>
      <c r="M4622">
        <v>8.4700000000000006</v>
      </c>
      <c r="T4622" t="s">
        <v>49</v>
      </c>
      <c r="U4622">
        <v>1</v>
      </c>
      <c r="V4622">
        <v>7</v>
      </c>
    </row>
    <row r="4623" spans="1:22" x14ac:dyDescent="0.3">
      <c r="A4623">
        <v>4622</v>
      </c>
      <c r="B4623">
        <v>55101</v>
      </c>
      <c r="C4623" s="2">
        <v>38312</v>
      </c>
      <c r="D4623">
        <v>21</v>
      </c>
      <c r="E4623" t="s">
        <v>42</v>
      </c>
      <c r="F4623" t="s">
        <v>50</v>
      </c>
      <c r="G4623" s="2">
        <v>45334</v>
      </c>
      <c r="H4623" s="3">
        <f t="shared" si="72"/>
        <v>1.5178082191780822</v>
      </c>
      <c r="I4623">
        <v>4</v>
      </c>
      <c r="J4623" t="s">
        <v>38</v>
      </c>
      <c r="K4623" t="s">
        <v>56</v>
      </c>
      <c r="L4623" t="s">
        <v>44</v>
      </c>
      <c r="M4623">
        <v>8.4700000000000006</v>
      </c>
      <c r="T4623" t="s">
        <v>49</v>
      </c>
      <c r="U4623">
        <v>2</v>
      </c>
      <c r="V4623">
        <v>7</v>
      </c>
    </row>
    <row r="4624" spans="1:22" x14ac:dyDescent="0.3">
      <c r="A4624">
        <v>4623</v>
      </c>
      <c r="B4624">
        <v>55102</v>
      </c>
      <c r="C4624" s="2">
        <v>37499</v>
      </c>
      <c r="D4624">
        <v>23</v>
      </c>
      <c r="E4624" t="s">
        <v>42</v>
      </c>
      <c r="F4624" t="s">
        <v>37</v>
      </c>
      <c r="G4624" s="2">
        <v>45468</v>
      </c>
      <c r="H4624" s="3">
        <f t="shared" si="72"/>
        <v>1.0136986301369864</v>
      </c>
      <c r="I4624">
        <v>5</v>
      </c>
      <c r="J4624" t="s">
        <v>38</v>
      </c>
      <c r="K4624" t="s">
        <v>68</v>
      </c>
      <c r="L4624" t="s">
        <v>44</v>
      </c>
      <c r="M4624">
        <v>17</v>
      </c>
      <c r="T4624" t="s">
        <v>47</v>
      </c>
      <c r="U4624">
        <v>4</v>
      </c>
      <c r="V4624">
        <v>6</v>
      </c>
    </row>
    <row r="4625" spans="1:22" x14ac:dyDescent="0.3">
      <c r="A4625">
        <v>4624</v>
      </c>
      <c r="B4625">
        <v>55103</v>
      </c>
      <c r="C4625" s="2">
        <v>37515</v>
      </c>
      <c r="D4625">
        <v>23</v>
      </c>
      <c r="E4625" t="s">
        <v>36</v>
      </c>
      <c r="F4625" t="s">
        <v>50</v>
      </c>
      <c r="G4625" s="2">
        <v>45652</v>
      </c>
      <c r="H4625" s="3">
        <f t="shared" si="72"/>
        <v>1.5561643835616439</v>
      </c>
      <c r="I4625">
        <v>5</v>
      </c>
      <c r="J4625" t="s">
        <v>38</v>
      </c>
      <c r="K4625" t="s">
        <v>48</v>
      </c>
      <c r="L4625" t="s">
        <v>44</v>
      </c>
      <c r="M4625">
        <v>8.4700000000000006</v>
      </c>
      <c r="T4625" t="s">
        <v>47</v>
      </c>
      <c r="U4625">
        <v>2</v>
      </c>
      <c r="V4625">
        <v>4</v>
      </c>
    </row>
    <row r="4626" spans="1:22" x14ac:dyDescent="0.3">
      <c r="A4626">
        <v>4625</v>
      </c>
      <c r="B4626">
        <v>55105</v>
      </c>
      <c r="C4626" s="2">
        <v>36057</v>
      </c>
      <c r="D4626">
        <v>27</v>
      </c>
      <c r="E4626" t="s">
        <v>36</v>
      </c>
      <c r="F4626" t="s">
        <v>50</v>
      </c>
      <c r="G4626" s="2">
        <v>45454</v>
      </c>
      <c r="H4626" s="3">
        <f t="shared" si="72"/>
        <v>1.5808219178082192</v>
      </c>
      <c r="I4626">
        <v>5</v>
      </c>
      <c r="J4626" t="s">
        <v>38</v>
      </c>
      <c r="K4626" t="s">
        <v>56</v>
      </c>
      <c r="L4626" t="s">
        <v>44</v>
      </c>
      <c r="M4626">
        <v>8.4700000000000006</v>
      </c>
      <c r="T4626" t="s">
        <v>45</v>
      </c>
      <c r="U4626">
        <v>0</v>
      </c>
      <c r="V4626">
        <v>3</v>
      </c>
    </row>
    <row r="4627" spans="1:22" x14ac:dyDescent="0.3">
      <c r="A4627">
        <v>4626</v>
      </c>
      <c r="B4627">
        <v>55106</v>
      </c>
      <c r="C4627" s="2">
        <v>38449</v>
      </c>
      <c r="D4627">
        <v>20</v>
      </c>
      <c r="E4627" t="s">
        <v>42</v>
      </c>
      <c r="F4627" t="s">
        <v>50</v>
      </c>
      <c r="G4627" s="2">
        <v>45445</v>
      </c>
      <c r="H4627" s="3">
        <f t="shared" si="72"/>
        <v>1.021917808219178</v>
      </c>
      <c r="I4627">
        <v>5</v>
      </c>
      <c r="J4627" t="s">
        <v>38</v>
      </c>
      <c r="K4627" t="s">
        <v>56</v>
      </c>
      <c r="L4627" t="s">
        <v>44</v>
      </c>
      <c r="M4627">
        <v>8.4700000000000006</v>
      </c>
      <c r="T4627" t="s">
        <v>47</v>
      </c>
      <c r="U4627">
        <v>1</v>
      </c>
      <c r="V4627">
        <v>5</v>
      </c>
    </row>
    <row r="4628" spans="1:22" x14ac:dyDescent="0.3">
      <c r="A4628">
        <v>4627</v>
      </c>
      <c r="B4628">
        <v>55107</v>
      </c>
      <c r="C4628" s="2">
        <v>37702</v>
      </c>
      <c r="D4628">
        <v>22</v>
      </c>
      <c r="E4628" t="s">
        <v>42</v>
      </c>
      <c r="F4628" t="s">
        <v>50</v>
      </c>
      <c r="G4628" s="2">
        <v>45649</v>
      </c>
      <c r="H4628" s="3">
        <f t="shared" si="72"/>
        <v>1.1917808219178083</v>
      </c>
      <c r="I4628">
        <v>5</v>
      </c>
      <c r="J4628" t="s">
        <v>38</v>
      </c>
      <c r="K4628" t="s">
        <v>56</v>
      </c>
      <c r="L4628" t="s">
        <v>44</v>
      </c>
      <c r="M4628">
        <v>8.4700000000000006</v>
      </c>
      <c r="T4628" t="s">
        <v>49</v>
      </c>
      <c r="U4628">
        <v>4</v>
      </c>
      <c r="V4628">
        <v>5</v>
      </c>
    </row>
    <row r="4629" spans="1:22" x14ac:dyDescent="0.3">
      <c r="A4629">
        <v>4628</v>
      </c>
      <c r="B4629">
        <v>55108</v>
      </c>
      <c r="C4629" s="2">
        <v>38575</v>
      </c>
      <c r="D4629">
        <v>20</v>
      </c>
      <c r="E4629" t="s">
        <v>42</v>
      </c>
      <c r="F4629" t="s">
        <v>50</v>
      </c>
      <c r="G4629" s="2">
        <v>45587</v>
      </c>
      <c r="H4629" s="3">
        <f t="shared" si="72"/>
        <v>1.4904109589041097</v>
      </c>
      <c r="I4629">
        <v>5</v>
      </c>
      <c r="J4629" t="s">
        <v>38</v>
      </c>
      <c r="K4629" t="s">
        <v>56</v>
      </c>
      <c r="L4629" t="s">
        <v>44</v>
      </c>
      <c r="M4629">
        <v>8.4700000000000006</v>
      </c>
      <c r="T4629" t="s">
        <v>52</v>
      </c>
      <c r="U4629">
        <v>2</v>
      </c>
      <c r="V4629">
        <v>6</v>
      </c>
    </row>
    <row r="4630" spans="1:22" x14ac:dyDescent="0.3">
      <c r="A4630">
        <v>4629</v>
      </c>
      <c r="B4630">
        <v>55110</v>
      </c>
      <c r="C4630" s="2">
        <v>37577</v>
      </c>
      <c r="D4630">
        <v>23</v>
      </c>
      <c r="E4630" t="s">
        <v>42</v>
      </c>
      <c r="F4630" t="s">
        <v>50</v>
      </c>
      <c r="G4630" s="2">
        <v>45478</v>
      </c>
      <c r="H4630" s="3">
        <f t="shared" si="72"/>
        <v>1.4931506849315068</v>
      </c>
      <c r="I4630">
        <v>5</v>
      </c>
      <c r="J4630" t="s">
        <v>38</v>
      </c>
      <c r="K4630" t="s">
        <v>56</v>
      </c>
      <c r="L4630" t="s">
        <v>44</v>
      </c>
      <c r="M4630">
        <v>8.4700000000000006</v>
      </c>
      <c r="T4630" t="s">
        <v>49</v>
      </c>
      <c r="U4630">
        <v>1</v>
      </c>
      <c r="V4630">
        <v>7</v>
      </c>
    </row>
    <row r="4631" spans="1:22" x14ac:dyDescent="0.3">
      <c r="A4631">
        <v>4630</v>
      </c>
      <c r="B4631">
        <v>55111</v>
      </c>
      <c r="C4631" s="2">
        <v>39067</v>
      </c>
      <c r="D4631">
        <v>19</v>
      </c>
      <c r="E4631" t="s">
        <v>42</v>
      </c>
      <c r="F4631" t="s">
        <v>37</v>
      </c>
      <c r="G4631" s="2">
        <v>45477</v>
      </c>
      <c r="H4631" s="3">
        <f t="shared" si="72"/>
        <v>1.4493150684931506</v>
      </c>
      <c r="I4631">
        <v>5</v>
      </c>
      <c r="J4631" t="s">
        <v>38</v>
      </c>
      <c r="K4631" t="s">
        <v>56</v>
      </c>
      <c r="L4631" t="s">
        <v>44</v>
      </c>
      <c r="M4631">
        <v>8.4700000000000006</v>
      </c>
      <c r="T4631" t="s">
        <v>45</v>
      </c>
      <c r="U4631">
        <v>4</v>
      </c>
      <c r="V4631">
        <v>5</v>
      </c>
    </row>
    <row r="4632" spans="1:22" x14ac:dyDescent="0.3">
      <c r="A4632">
        <v>4631</v>
      </c>
      <c r="B4632">
        <v>55112</v>
      </c>
      <c r="C4632" s="2">
        <v>34007</v>
      </c>
      <c r="D4632">
        <v>32</v>
      </c>
      <c r="E4632" t="s">
        <v>42</v>
      </c>
      <c r="F4632" t="s">
        <v>50</v>
      </c>
      <c r="G4632" s="2">
        <v>45493</v>
      </c>
      <c r="H4632" s="3">
        <f t="shared" si="72"/>
        <v>1.6328767123287671</v>
      </c>
      <c r="I4632">
        <v>5</v>
      </c>
      <c r="J4632" t="s">
        <v>38</v>
      </c>
      <c r="K4632" t="s">
        <v>56</v>
      </c>
      <c r="L4632" t="s">
        <v>44</v>
      </c>
      <c r="M4632">
        <v>8.4700000000000006</v>
      </c>
      <c r="T4632" t="s">
        <v>52</v>
      </c>
      <c r="U4632">
        <v>2</v>
      </c>
      <c r="V4632">
        <v>7</v>
      </c>
    </row>
    <row r="4633" spans="1:22" x14ac:dyDescent="0.3">
      <c r="A4633">
        <v>4632</v>
      </c>
      <c r="B4633">
        <v>55113</v>
      </c>
      <c r="C4633" s="2">
        <v>37392</v>
      </c>
      <c r="D4633">
        <v>23</v>
      </c>
      <c r="E4633" t="s">
        <v>42</v>
      </c>
      <c r="F4633" t="s">
        <v>50</v>
      </c>
      <c r="G4633" s="2">
        <v>45426</v>
      </c>
      <c r="H4633" s="3">
        <f t="shared" si="72"/>
        <v>1.6794520547945206</v>
      </c>
      <c r="I4633">
        <v>6</v>
      </c>
      <c r="J4633" t="s">
        <v>38</v>
      </c>
      <c r="K4633" t="s">
        <v>68</v>
      </c>
      <c r="L4633" t="s">
        <v>44</v>
      </c>
      <c r="M4633">
        <v>17</v>
      </c>
      <c r="T4633" t="s">
        <v>45</v>
      </c>
      <c r="U4633">
        <v>1</v>
      </c>
      <c r="V4633">
        <v>6</v>
      </c>
    </row>
    <row r="4634" spans="1:22" x14ac:dyDescent="0.3">
      <c r="A4634">
        <v>4633</v>
      </c>
      <c r="B4634">
        <v>55114</v>
      </c>
      <c r="C4634" s="2">
        <v>38963</v>
      </c>
      <c r="D4634">
        <v>19</v>
      </c>
      <c r="E4634" t="s">
        <v>42</v>
      </c>
      <c r="F4634" t="s">
        <v>50</v>
      </c>
      <c r="G4634" s="2">
        <v>45409</v>
      </c>
      <c r="H4634" s="3">
        <f t="shared" si="72"/>
        <v>1.6191780821917807</v>
      </c>
      <c r="I4634">
        <v>6</v>
      </c>
      <c r="J4634" t="s">
        <v>38</v>
      </c>
      <c r="K4634" t="s">
        <v>56</v>
      </c>
      <c r="L4634" t="s">
        <v>44</v>
      </c>
      <c r="M4634">
        <v>8.4700000000000006</v>
      </c>
      <c r="T4634" t="s">
        <v>45</v>
      </c>
      <c r="U4634">
        <v>3</v>
      </c>
      <c r="V4634">
        <v>7</v>
      </c>
    </row>
    <row r="4635" spans="1:22" x14ac:dyDescent="0.3">
      <c r="A4635">
        <v>4634</v>
      </c>
      <c r="B4635">
        <v>55116</v>
      </c>
      <c r="C4635" s="2">
        <v>38266</v>
      </c>
      <c r="D4635">
        <v>21</v>
      </c>
      <c r="E4635" t="s">
        <v>36</v>
      </c>
      <c r="F4635" t="s">
        <v>50</v>
      </c>
      <c r="G4635" s="2">
        <v>45431</v>
      </c>
      <c r="H4635" s="3">
        <f t="shared" si="72"/>
        <v>1.7808219178082192</v>
      </c>
      <c r="I4635">
        <v>6</v>
      </c>
      <c r="J4635" t="s">
        <v>38</v>
      </c>
      <c r="K4635" t="s">
        <v>56</v>
      </c>
      <c r="L4635" t="s">
        <v>44</v>
      </c>
      <c r="M4635">
        <v>8.4700000000000006</v>
      </c>
      <c r="T4635" t="s">
        <v>52</v>
      </c>
      <c r="U4635">
        <v>4</v>
      </c>
      <c r="V4635">
        <v>4</v>
      </c>
    </row>
    <row r="4636" spans="1:22" x14ac:dyDescent="0.3">
      <c r="A4636">
        <v>4635</v>
      </c>
      <c r="B4636">
        <v>55117</v>
      </c>
      <c r="C4636" s="2">
        <v>36644</v>
      </c>
      <c r="D4636">
        <v>25</v>
      </c>
      <c r="E4636" t="s">
        <v>42</v>
      </c>
      <c r="F4636" t="s">
        <v>50</v>
      </c>
      <c r="G4636" s="2">
        <v>45372</v>
      </c>
      <c r="H4636" s="3">
        <f t="shared" si="72"/>
        <v>1.7863013698630137</v>
      </c>
      <c r="I4636">
        <v>6</v>
      </c>
      <c r="J4636" t="s">
        <v>38</v>
      </c>
      <c r="K4636" t="s">
        <v>56</v>
      </c>
      <c r="L4636" t="s">
        <v>44</v>
      </c>
      <c r="M4636">
        <v>8.4700000000000006</v>
      </c>
      <c r="T4636" t="s">
        <v>52</v>
      </c>
      <c r="U4636">
        <v>1</v>
      </c>
      <c r="V4636">
        <v>6</v>
      </c>
    </row>
    <row r="4637" spans="1:22" x14ac:dyDescent="0.3">
      <c r="A4637">
        <v>4636</v>
      </c>
      <c r="B4637">
        <v>55118</v>
      </c>
      <c r="C4637" s="2">
        <v>39297</v>
      </c>
      <c r="D4637">
        <v>18</v>
      </c>
      <c r="E4637" t="s">
        <v>42</v>
      </c>
      <c r="F4637" t="s">
        <v>50</v>
      </c>
      <c r="G4637" s="2">
        <v>45370</v>
      </c>
      <c r="H4637" s="3">
        <f t="shared" si="72"/>
        <v>1.210958904109589</v>
      </c>
      <c r="I4637">
        <v>6</v>
      </c>
      <c r="J4637" t="s">
        <v>38</v>
      </c>
      <c r="K4637" t="s">
        <v>56</v>
      </c>
      <c r="L4637" t="s">
        <v>44</v>
      </c>
      <c r="M4637">
        <v>8.4700000000000006</v>
      </c>
      <c r="T4637" t="s">
        <v>45</v>
      </c>
      <c r="U4637">
        <v>2</v>
      </c>
      <c r="V4637">
        <v>7</v>
      </c>
    </row>
    <row r="4638" spans="1:22" x14ac:dyDescent="0.3">
      <c r="A4638">
        <v>4637</v>
      </c>
      <c r="B4638">
        <v>55119</v>
      </c>
      <c r="C4638" s="2">
        <v>35168</v>
      </c>
      <c r="D4638">
        <v>29</v>
      </c>
      <c r="E4638" t="s">
        <v>42</v>
      </c>
      <c r="F4638" t="s">
        <v>50</v>
      </c>
      <c r="G4638" s="2">
        <v>45580</v>
      </c>
      <c r="H4638" s="3">
        <f t="shared" si="72"/>
        <v>1.1506849315068493</v>
      </c>
      <c r="I4638">
        <v>6</v>
      </c>
      <c r="J4638" t="s">
        <v>38</v>
      </c>
      <c r="K4638" t="s">
        <v>56</v>
      </c>
      <c r="L4638" t="s">
        <v>44</v>
      </c>
      <c r="M4638">
        <v>8.4700000000000006</v>
      </c>
      <c r="T4638" t="s">
        <v>52</v>
      </c>
      <c r="U4638">
        <v>2</v>
      </c>
      <c r="V4638">
        <v>6</v>
      </c>
    </row>
    <row r="4639" spans="1:22" x14ac:dyDescent="0.3">
      <c r="A4639">
        <v>4638</v>
      </c>
      <c r="B4639">
        <v>55120</v>
      </c>
      <c r="C4639" s="2">
        <v>36277</v>
      </c>
      <c r="D4639">
        <v>26</v>
      </c>
      <c r="E4639" t="s">
        <v>42</v>
      </c>
      <c r="F4639" t="s">
        <v>50</v>
      </c>
      <c r="G4639" s="2">
        <v>45602</v>
      </c>
      <c r="H4639" s="3">
        <f t="shared" si="72"/>
        <v>1.0602739726027397</v>
      </c>
      <c r="I4639">
        <v>6</v>
      </c>
      <c r="J4639" t="s">
        <v>38</v>
      </c>
      <c r="K4639" t="s">
        <v>56</v>
      </c>
      <c r="L4639" t="s">
        <v>44</v>
      </c>
      <c r="M4639">
        <v>8.4700000000000006</v>
      </c>
      <c r="T4639" t="s">
        <v>47</v>
      </c>
      <c r="U4639">
        <v>2</v>
      </c>
      <c r="V4639">
        <v>5</v>
      </c>
    </row>
    <row r="4640" spans="1:22" x14ac:dyDescent="0.3">
      <c r="A4640">
        <v>4639</v>
      </c>
      <c r="B4640">
        <v>55121</v>
      </c>
      <c r="C4640" s="2">
        <v>35661</v>
      </c>
      <c r="D4640">
        <v>28</v>
      </c>
      <c r="E4640" t="s">
        <v>42</v>
      </c>
      <c r="F4640" t="s">
        <v>50</v>
      </c>
      <c r="G4640" s="2">
        <v>45635</v>
      </c>
      <c r="H4640" s="3">
        <f t="shared" si="72"/>
        <v>1.5917808219178082</v>
      </c>
      <c r="I4640">
        <v>6</v>
      </c>
      <c r="J4640" t="s">
        <v>38</v>
      </c>
      <c r="K4640" t="s">
        <v>56</v>
      </c>
      <c r="L4640" t="s">
        <v>44</v>
      </c>
      <c r="M4640">
        <v>8.4700000000000006</v>
      </c>
      <c r="T4640" t="s">
        <v>45</v>
      </c>
      <c r="U4640">
        <v>4</v>
      </c>
      <c r="V4640">
        <v>6</v>
      </c>
    </row>
    <row r="4641" spans="1:22" x14ac:dyDescent="0.3">
      <c r="A4641">
        <v>4640</v>
      </c>
      <c r="B4641">
        <v>55122</v>
      </c>
      <c r="C4641" s="2">
        <v>36536</v>
      </c>
      <c r="D4641">
        <v>25</v>
      </c>
      <c r="E4641" t="s">
        <v>42</v>
      </c>
      <c r="F4641" t="s">
        <v>37</v>
      </c>
      <c r="G4641" s="2">
        <v>45441</v>
      </c>
      <c r="H4641" s="3">
        <f t="shared" si="72"/>
        <v>1.5890410958904109</v>
      </c>
      <c r="I4641">
        <v>7</v>
      </c>
      <c r="J4641" t="s">
        <v>38</v>
      </c>
      <c r="K4641" t="s">
        <v>68</v>
      </c>
      <c r="L4641" t="s">
        <v>44</v>
      </c>
      <c r="M4641">
        <v>17</v>
      </c>
      <c r="T4641" t="s">
        <v>45</v>
      </c>
      <c r="U4641">
        <v>4</v>
      </c>
      <c r="V4641">
        <v>5</v>
      </c>
    </row>
    <row r="4642" spans="1:22" x14ac:dyDescent="0.3">
      <c r="A4642">
        <v>4641</v>
      </c>
      <c r="B4642">
        <v>55123</v>
      </c>
      <c r="C4642" s="2">
        <v>36566</v>
      </c>
      <c r="D4642">
        <v>25</v>
      </c>
      <c r="E4642" t="s">
        <v>42</v>
      </c>
      <c r="F4642" t="s">
        <v>50</v>
      </c>
      <c r="G4642" s="2">
        <v>45442</v>
      </c>
      <c r="H4642" s="3">
        <f t="shared" si="72"/>
        <v>1.4383561643835616</v>
      </c>
      <c r="I4642">
        <v>7</v>
      </c>
      <c r="J4642" t="s">
        <v>38</v>
      </c>
      <c r="K4642" t="s">
        <v>68</v>
      </c>
      <c r="L4642" t="s">
        <v>44</v>
      </c>
      <c r="M4642">
        <v>17</v>
      </c>
      <c r="T4642" t="s">
        <v>45</v>
      </c>
      <c r="U4642">
        <v>2</v>
      </c>
      <c r="V4642">
        <v>7</v>
      </c>
    </row>
    <row r="4643" spans="1:22" x14ac:dyDescent="0.3">
      <c r="A4643">
        <v>4642</v>
      </c>
      <c r="B4643">
        <v>55124</v>
      </c>
      <c r="C4643" s="2">
        <v>38692</v>
      </c>
      <c r="D4643">
        <v>20</v>
      </c>
      <c r="E4643" t="s">
        <v>36</v>
      </c>
      <c r="F4643" t="s">
        <v>50</v>
      </c>
      <c r="G4643" s="2">
        <v>45497</v>
      </c>
      <c r="H4643" s="3">
        <f t="shared" si="72"/>
        <v>1.3424657534246576</v>
      </c>
      <c r="I4643">
        <v>7</v>
      </c>
      <c r="J4643" t="s">
        <v>38</v>
      </c>
      <c r="K4643" t="s">
        <v>65</v>
      </c>
      <c r="L4643" t="s">
        <v>44</v>
      </c>
      <c r="M4643">
        <v>10.64</v>
      </c>
      <c r="T4643" t="s">
        <v>49</v>
      </c>
      <c r="U4643">
        <v>0</v>
      </c>
      <c r="V4643">
        <v>4</v>
      </c>
    </row>
    <row r="4644" spans="1:22" x14ac:dyDescent="0.3">
      <c r="A4644">
        <v>4643</v>
      </c>
      <c r="B4644">
        <v>55125</v>
      </c>
      <c r="C4644" s="2">
        <v>36615</v>
      </c>
      <c r="D4644">
        <v>25</v>
      </c>
      <c r="E4644" t="s">
        <v>36</v>
      </c>
      <c r="F4644" t="s">
        <v>50</v>
      </c>
      <c r="G4644" s="2">
        <v>45532</v>
      </c>
      <c r="H4644" s="3">
        <f t="shared" si="72"/>
        <v>1.6767123287671233</v>
      </c>
      <c r="I4644">
        <v>7</v>
      </c>
      <c r="J4644" t="s">
        <v>38</v>
      </c>
      <c r="K4644" t="s">
        <v>65</v>
      </c>
      <c r="L4644" t="s">
        <v>44</v>
      </c>
      <c r="M4644">
        <v>10.64</v>
      </c>
      <c r="T4644" t="s">
        <v>49</v>
      </c>
      <c r="U4644">
        <v>0</v>
      </c>
      <c r="V4644">
        <v>4</v>
      </c>
    </row>
    <row r="4645" spans="1:22" x14ac:dyDescent="0.3">
      <c r="A4645">
        <v>4644</v>
      </c>
      <c r="B4645">
        <v>55126</v>
      </c>
      <c r="C4645" s="2">
        <v>35044</v>
      </c>
      <c r="D4645">
        <v>30</v>
      </c>
      <c r="E4645" t="s">
        <v>36</v>
      </c>
      <c r="F4645" t="s">
        <v>50</v>
      </c>
      <c r="G4645" s="2">
        <v>45410</v>
      </c>
      <c r="H4645" s="3">
        <f t="shared" si="72"/>
        <v>1.4191780821917808</v>
      </c>
      <c r="I4645">
        <v>7</v>
      </c>
      <c r="J4645" t="s">
        <v>38</v>
      </c>
      <c r="K4645" t="s">
        <v>43</v>
      </c>
      <c r="L4645" t="s">
        <v>44</v>
      </c>
      <c r="M4645">
        <v>16.37</v>
      </c>
      <c r="T4645" t="s">
        <v>47</v>
      </c>
      <c r="U4645">
        <v>1</v>
      </c>
      <c r="V4645">
        <v>5</v>
      </c>
    </row>
    <row r="4646" spans="1:22" x14ac:dyDescent="0.3">
      <c r="A4646">
        <v>4645</v>
      </c>
      <c r="B4646">
        <v>55127</v>
      </c>
      <c r="C4646" s="2">
        <v>36890</v>
      </c>
      <c r="D4646">
        <v>25</v>
      </c>
      <c r="E4646" t="s">
        <v>36</v>
      </c>
      <c r="F4646" t="s">
        <v>50</v>
      </c>
      <c r="G4646" s="2">
        <v>45504</v>
      </c>
      <c r="H4646" s="3">
        <f t="shared" si="72"/>
        <v>1.6109589041095891</v>
      </c>
      <c r="I4646">
        <v>7</v>
      </c>
      <c r="J4646" t="s">
        <v>38</v>
      </c>
      <c r="K4646" t="s">
        <v>46</v>
      </c>
      <c r="L4646" t="s">
        <v>44</v>
      </c>
      <c r="M4646">
        <v>14.23</v>
      </c>
      <c r="T4646" t="s">
        <v>52</v>
      </c>
      <c r="U4646">
        <v>0</v>
      </c>
      <c r="V4646">
        <v>5</v>
      </c>
    </row>
    <row r="4647" spans="1:22" x14ac:dyDescent="0.3">
      <c r="A4647">
        <v>4646</v>
      </c>
      <c r="B4647">
        <v>55128</v>
      </c>
      <c r="C4647" s="2">
        <v>38390</v>
      </c>
      <c r="D4647">
        <v>20</v>
      </c>
      <c r="E4647" t="s">
        <v>42</v>
      </c>
      <c r="F4647" t="s">
        <v>50</v>
      </c>
      <c r="G4647" s="2">
        <v>45434</v>
      </c>
      <c r="H4647" s="3">
        <f t="shared" si="72"/>
        <v>1.2027397260273973</v>
      </c>
      <c r="I4647">
        <v>7</v>
      </c>
      <c r="J4647" t="s">
        <v>38</v>
      </c>
      <c r="K4647" t="s">
        <v>64</v>
      </c>
      <c r="L4647" t="s">
        <v>44</v>
      </c>
      <c r="M4647">
        <v>14.07</v>
      </c>
      <c r="T4647" t="s">
        <v>45</v>
      </c>
      <c r="U4647">
        <v>0</v>
      </c>
      <c r="V4647">
        <v>5</v>
      </c>
    </row>
    <row r="4648" spans="1:22" x14ac:dyDescent="0.3">
      <c r="A4648">
        <v>4647</v>
      </c>
      <c r="B4648">
        <v>55129</v>
      </c>
      <c r="C4648" s="2">
        <v>38638</v>
      </c>
      <c r="D4648">
        <v>20</v>
      </c>
      <c r="E4648" t="s">
        <v>42</v>
      </c>
      <c r="F4648" t="s">
        <v>50</v>
      </c>
      <c r="G4648" s="2">
        <v>45583</v>
      </c>
      <c r="H4648" s="3">
        <f t="shared" si="72"/>
        <v>1.5205479452054795</v>
      </c>
      <c r="I4648">
        <v>7</v>
      </c>
      <c r="J4648" t="s">
        <v>38</v>
      </c>
      <c r="K4648" t="s">
        <v>48</v>
      </c>
      <c r="L4648" t="s">
        <v>44</v>
      </c>
      <c r="M4648">
        <v>8.4700000000000006</v>
      </c>
      <c r="T4648" t="s">
        <v>49</v>
      </c>
      <c r="U4648">
        <v>0</v>
      </c>
      <c r="V4648">
        <v>6</v>
      </c>
    </row>
    <row r="4649" spans="1:22" x14ac:dyDescent="0.3">
      <c r="A4649">
        <v>4648</v>
      </c>
      <c r="B4649">
        <v>55131</v>
      </c>
      <c r="C4649" s="2">
        <v>37543</v>
      </c>
      <c r="D4649">
        <v>23</v>
      </c>
      <c r="E4649" t="s">
        <v>36</v>
      </c>
      <c r="F4649" t="s">
        <v>37</v>
      </c>
      <c r="G4649" s="2">
        <v>45467</v>
      </c>
      <c r="H4649" s="3">
        <f t="shared" si="72"/>
        <v>1.1753424657534246</v>
      </c>
      <c r="I4649">
        <v>7</v>
      </c>
      <c r="J4649" t="s">
        <v>38</v>
      </c>
      <c r="K4649" t="s">
        <v>54</v>
      </c>
      <c r="L4649" t="s">
        <v>44</v>
      </c>
      <c r="M4649">
        <v>23.78</v>
      </c>
      <c r="T4649" t="s">
        <v>47</v>
      </c>
      <c r="U4649">
        <v>5</v>
      </c>
      <c r="V4649">
        <v>5</v>
      </c>
    </row>
    <row r="4650" spans="1:22" x14ac:dyDescent="0.3">
      <c r="A4650">
        <v>4649</v>
      </c>
      <c r="B4650">
        <v>55132</v>
      </c>
      <c r="C4650" s="2">
        <v>36305</v>
      </c>
      <c r="D4650">
        <v>26</v>
      </c>
      <c r="E4650" t="s">
        <v>36</v>
      </c>
      <c r="F4650" t="s">
        <v>50</v>
      </c>
      <c r="G4650" s="2">
        <v>45593</v>
      </c>
      <c r="H4650" s="3">
        <f t="shared" si="72"/>
        <v>1.6191780821917807</v>
      </c>
      <c r="I4650">
        <v>7</v>
      </c>
      <c r="J4650" t="s">
        <v>38</v>
      </c>
      <c r="K4650" t="s">
        <v>55</v>
      </c>
      <c r="L4650" t="s">
        <v>44</v>
      </c>
      <c r="M4650">
        <v>17.59</v>
      </c>
      <c r="T4650" t="s">
        <v>52</v>
      </c>
      <c r="U4650">
        <v>1</v>
      </c>
      <c r="V4650">
        <v>5</v>
      </c>
    </row>
    <row r="4651" spans="1:22" x14ac:dyDescent="0.3">
      <c r="A4651">
        <v>4650</v>
      </c>
      <c r="B4651">
        <v>55134</v>
      </c>
      <c r="C4651" s="2">
        <v>38668</v>
      </c>
      <c r="D4651">
        <v>20</v>
      </c>
      <c r="E4651" t="s">
        <v>42</v>
      </c>
      <c r="F4651" t="s">
        <v>37</v>
      </c>
      <c r="G4651" s="2">
        <v>45431</v>
      </c>
      <c r="H4651" s="3">
        <f t="shared" si="72"/>
        <v>1.0876712328767124</v>
      </c>
      <c r="I4651">
        <v>7</v>
      </c>
      <c r="J4651" t="s">
        <v>38</v>
      </c>
      <c r="K4651" t="s">
        <v>56</v>
      </c>
      <c r="L4651" t="s">
        <v>44</v>
      </c>
      <c r="M4651">
        <v>8.4700000000000006</v>
      </c>
      <c r="T4651" t="s">
        <v>45</v>
      </c>
      <c r="U4651">
        <v>1</v>
      </c>
      <c r="V4651">
        <v>6</v>
      </c>
    </row>
    <row r="4652" spans="1:22" x14ac:dyDescent="0.3">
      <c r="A4652">
        <v>4651</v>
      </c>
      <c r="B4652">
        <v>55135</v>
      </c>
      <c r="C4652" s="2">
        <v>38922</v>
      </c>
      <c r="D4652">
        <v>19</v>
      </c>
      <c r="E4652" t="s">
        <v>42</v>
      </c>
      <c r="F4652" t="s">
        <v>50</v>
      </c>
      <c r="G4652" s="2">
        <v>45625</v>
      </c>
      <c r="H4652" s="3">
        <f t="shared" si="72"/>
        <v>1.5178082191780822</v>
      </c>
      <c r="I4652">
        <v>7</v>
      </c>
      <c r="J4652" t="s">
        <v>38</v>
      </c>
      <c r="K4652" t="s">
        <v>56</v>
      </c>
      <c r="L4652" t="s">
        <v>44</v>
      </c>
      <c r="M4652">
        <v>8.4700000000000006</v>
      </c>
      <c r="T4652" t="s">
        <v>49</v>
      </c>
      <c r="U4652">
        <v>1</v>
      </c>
      <c r="V4652">
        <v>6</v>
      </c>
    </row>
    <row r="4653" spans="1:22" x14ac:dyDescent="0.3">
      <c r="A4653">
        <v>4652</v>
      </c>
      <c r="B4653">
        <v>55136</v>
      </c>
      <c r="C4653" s="2">
        <v>33960</v>
      </c>
      <c r="D4653">
        <v>33</v>
      </c>
      <c r="E4653" t="s">
        <v>42</v>
      </c>
      <c r="F4653" t="s">
        <v>37</v>
      </c>
      <c r="G4653" s="2">
        <v>45468</v>
      </c>
      <c r="H4653" s="3">
        <f t="shared" si="72"/>
        <v>1.0547945205479452</v>
      </c>
      <c r="I4653">
        <v>7</v>
      </c>
      <c r="J4653" t="s">
        <v>38</v>
      </c>
      <c r="K4653" t="s">
        <v>56</v>
      </c>
      <c r="L4653" t="s">
        <v>44</v>
      </c>
      <c r="M4653">
        <v>8.4700000000000006</v>
      </c>
      <c r="T4653" t="s">
        <v>47</v>
      </c>
      <c r="U4653">
        <v>2</v>
      </c>
      <c r="V4653">
        <v>7</v>
      </c>
    </row>
    <row r="4654" spans="1:22" x14ac:dyDescent="0.3">
      <c r="A4654">
        <v>4653</v>
      </c>
      <c r="B4654">
        <v>55137</v>
      </c>
      <c r="C4654" s="2">
        <v>38645</v>
      </c>
      <c r="D4654">
        <v>20</v>
      </c>
      <c r="E4654" t="s">
        <v>42</v>
      </c>
      <c r="F4654" t="s">
        <v>37</v>
      </c>
      <c r="G4654" s="2">
        <v>45637</v>
      </c>
      <c r="H4654" s="3">
        <f t="shared" si="72"/>
        <v>1.106849315068493</v>
      </c>
      <c r="I4654">
        <v>7</v>
      </c>
      <c r="J4654" t="s">
        <v>38</v>
      </c>
      <c r="K4654" t="s">
        <v>56</v>
      </c>
      <c r="L4654" t="s">
        <v>44</v>
      </c>
      <c r="M4654">
        <v>8.4700000000000006</v>
      </c>
      <c r="T4654" t="s">
        <v>45</v>
      </c>
      <c r="U4654">
        <v>3</v>
      </c>
      <c r="V4654">
        <v>5</v>
      </c>
    </row>
    <row r="4655" spans="1:22" x14ac:dyDescent="0.3">
      <c r="A4655">
        <v>4654</v>
      </c>
      <c r="B4655">
        <v>55138</v>
      </c>
      <c r="C4655" s="2">
        <v>38714</v>
      </c>
      <c r="D4655">
        <v>20</v>
      </c>
      <c r="E4655" t="s">
        <v>42</v>
      </c>
      <c r="F4655" t="s">
        <v>50</v>
      </c>
      <c r="G4655" s="2">
        <v>45618</v>
      </c>
      <c r="H4655" s="3">
        <f t="shared" si="72"/>
        <v>1.4328767123287671</v>
      </c>
      <c r="I4655">
        <v>7</v>
      </c>
      <c r="J4655" t="s">
        <v>38</v>
      </c>
      <c r="K4655" t="s">
        <v>56</v>
      </c>
      <c r="L4655" t="s">
        <v>44</v>
      </c>
      <c r="M4655">
        <v>8.4700000000000006</v>
      </c>
      <c r="T4655" t="s">
        <v>45</v>
      </c>
      <c r="U4655">
        <v>2</v>
      </c>
      <c r="V4655">
        <v>6</v>
      </c>
    </row>
    <row r="4656" spans="1:22" x14ac:dyDescent="0.3">
      <c r="A4656">
        <v>4655</v>
      </c>
      <c r="B4656">
        <v>55139</v>
      </c>
      <c r="C4656" s="2">
        <v>37371</v>
      </c>
      <c r="D4656">
        <v>23</v>
      </c>
      <c r="E4656" t="s">
        <v>42</v>
      </c>
      <c r="F4656" t="s">
        <v>50</v>
      </c>
      <c r="G4656" s="2">
        <v>45499</v>
      </c>
      <c r="H4656" s="3">
        <f t="shared" si="72"/>
        <v>1.6219178082191781</v>
      </c>
      <c r="I4656">
        <v>7</v>
      </c>
      <c r="J4656" t="s">
        <v>38</v>
      </c>
      <c r="K4656" t="s">
        <v>56</v>
      </c>
      <c r="L4656" t="s">
        <v>44</v>
      </c>
      <c r="M4656">
        <v>8.4700000000000006</v>
      </c>
      <c r="T4656" t="s">
        <v>52</v>
      </c>
      <c r="U4656">
        <v>2</v>
      </c>
      <c r="V4656">
        <v>6</v>
      </c>
    </row>
    <row r="4657" spans="1:22" x14ac:dyDescent="0.3">
      <c r="A4657">
        <v>4656</v>
      </c>
      <c r="B4657">
        <v>55140</v>
      </c>
      <c r="C4657" s="2">
        <v>37429</v>
      </c>
      <c r="D4657">
        <v>23</v>
      </c>
      <c r="E4657" t="s">
        <v>36</v>
      </c>
      <c r="F4657" t="s">
        <v>37</v>
      </c>
      <c r="G4657" s="2">
        <v>45430</v>
      </c>
      <c r="H4657" s="3">
        <f t="shared" si="72"/>
        <v>1.7726027397260273</v>
      </c>
      <c r="I4657">
        <v>7</v>
      </c>
      <c r="J4657" t="s">
        <v>38</v>
      </c>
      <c r="K4657" t="s">
        <v>56</v>
      </c>
      <c r="L4657" t="s">
        <v>44</v>
      </c>
      <c r="M4657">
        <v>8.4700000000000006</v>
      </c>
      <c r="T4657" t="s">
        <v>52</v>
      </c>
      <c r="U4657">
        <v>2</v>
      </c>
      <c r="V4657">
        <v>5</v>
      </c>
    </row>
    <row r="4658" spans="1:22" x14ac:dyDescent="0.3">
      <c r="A4658">
        <v>4657</v>
      </c>
      <c r="B4658">
        <v>55141</v>
      </c>
      <c r="C4658" s="2">
        <v>38113</v>
      </c>
      <c r="D4658">
        <v>21</v>
      </c>
      <c r="E4658" t="s">
        <v>36</v>
      </c>
      <c r="F4658" t="s">
        <v>50</v>
      </c>
      <c r="G4658" s="2">
        <v>45375</v>
      </c>
      <c r="H4658" s="3">
        <f t="shared" si="72"/>
        <v>1.3342465753424657</v>
      </c>
      <c r="I4658">
        <v>7</v>
      </c>
      <c r="J4658" t="s">
        <v>38</v>
      </c>
      <c r="K4658" t="s">
        <v>56</v>
      </c>
      <c r="L4658" t="s">
        <v>44</v>
      </c>
      <c r="M4658">
        <v>8.4700000000000006</v>
      </c>
      <c r="T4658" t="s">
        <v>47</v>
      </c>
      <c r="U4658">
        <v>2</v>
      </c>
      <c r="V4658">
        <v>5</v>
      </c>
    </row>
    <row r="4659" spans="1:22" x14ac:dyDescent="0.3">
      <c r="A4659">
        <v>4658</v>
      </c>
      <c r="B4659">
        <v>55142</v>
      </c>
      <c r="C4659" s="2">
        <v>38639</v>
      </c>
      <c r="D4659">
        <v>20</v>
      </c>
      <c r="E4659" t="s">
        <v>42</v>
      </c>
      <c r="F4659" t="s">
        <v>50</v>
      </c>
      <c r="G4659" s="2">
        <v>45535</v>
      </c>
      <c r="H4659" s="3">
        <f t="shared" si="72"/>
        <v>1.2821917808219179</v>
      </c>
      <c r="I4659">
        <v>7</v>
      </c>
      <c r="J4659" t="s">
        <v>38</v>
      </c>
      <c r="K4659" t="s">
        <v>56</v>
      </c>
      <c r="L4659" t="s">
        <v>44</v>
      </c>
      <c r="M4659">
        <v>8.4700000000000006</v>
      </c>
      <c r="T4659" t="s">
        <v>45</v>
      </c>
      <c r="U4659">
        <v>0</v>
      </c>
      <c r="V4659">
        <v>5</v>
      </c>
    </row>
    <row r="4660" spans="1:22" x14ac:dyDescent="0.3">
      <c r="A4660">
        <v>4659</v>
      </c>
      <c r="B4660">
        <v>55143</v>
      </c>
      <c r="C4660" s="2">
        <v>36014</v>
      </c>
      <c r="D4660">
        <v>27</v>
      </c>
      <c r="E4660" t="s">
        <v>42</v>
      </c>
      <c r="F4660" t="s">
        <v>37</v>
      </c>
      <c r="G4660" s="2">
        <v>45554</v>
      </c>
      <c r="H4660" s="3">
        <f t="shared" si="72"/>
        <v>1.5534246575342465</v>
      </c>
      <c r="I4660">
        <v>7</v>
      </c>
      <c r="J4660" t="s">
        <v>38</v>
      </c>
      <c r="K4660" t="s">
        <v>56</v>
      </c>
      <c r="L4660" t="s">
        <v>44</v>
      </c>
      <c r="M4660">
        <v>8.4700000000000006</v>
      </c>
      <c r="T4660" t="s">
        <v>52</v>
      </c>
      <c r="U4660">
        <v>3</v>
      </c>
      <c r="V4660">
        <v>5</v>
      </c>
    </row>
    <row r="4661" spans="1:22" x14ac:dyDescent="0.3">
      <c r="A4661">
        <v>4660</v>
      </c>
      <c r="B4661">
        <v>55144</v>
      </c>
      <c r="C4661" s="2">
        <v>35008</v>
      </c>
      <c r="D4661">
        <v>30</v>
      </c>
      <c r="E4661" t="s">
        <v>42</v>
      </c>
      <c r="F4661" t="s">
        <v>50</v>
      </c>
      <c r="G4661" s="2">
        <v>45455</v>
      </c>
      <c r="H4661" s="3">
        <f t="shared" si="72"/>
        <v>1.3863013698630138</v>
      </c>
      <c r="I4661">
        <v>7</v>
      </c>
      <c r="J4661" t="s">
        <v>38</v>
      </c>
      <c r="K4661" t="s">
        <v>56</v>
      </c>
      <c r="L4661" t="s">
        <v>44</v>
      </c>
      <c r="M4661">
        <v>8.4700000000000006</v>
      </c>
      <c r="T4661" t="s">
        <v>52</v>
      </c>
      <c r="U4661">
        <v>0</v>
      </c>
      <c r="V4661">
        <v>6</v>
      </c>
    </row>
    <row r="4662" spans="1:22" x14ac:dyDescent="0.3">
      <c r="A4662">
        <v>4661</v>
      </c>
      <c r="B4662">
        <v>55145</v>
      </c>
      <c r="C4662" s="2">
        <v>33786</v>
      </c>
      <c r="D4662">
        <v>34</v>
      </c>
      <c r="E4662" t="s">
        <v>42</v>
      </c>
      <c r="F4662" t="s">
        <v>50</v>
      </c>
      <c r="G4662" s="2">
        <v>45516</v>
      </c>
      <c r="H4662" s="3">
        <f t="shared" si="72"/>
        <v>1.2164383561643837</v>
      </c>
      <c r="I4662">
        <v>8</v>
      </c>
      <c r="J4662" t="s">
        <v>38</v>
      </c>
      <c r="K4662" t="s">
        <v>56</v>
      </c>
      <c r="L4662" t="s">
        <v>44</v>
      </c>
      <c r="M4662">
        <v>8.4700000000000006</v>
      </c>
      <c r="T4662" t="s">
        <v>52</v>
      </c>
      <c r="U4662">
        <v>3</v>
      </c>
      <c r="V4662">
        <v>6</v>
      </c>
    </row>
    <row r="4663" spans="1:22" x14ac:dyDescent="0.3">
      <c r="A4663">
        <v>4662</v>
      </c>
      <c r="B4663">
        <v>55146</v>
      </c>
      <c r="C4663" s="2">
        <v>38508</v>
      </c>
      <c r="D4663">
        <v>20</v>
      </c>
      <c r="E4663" t="s">
        <v>42</v>
      </c>
      <c r="F4663" t="s">
        <v>50</v>
      </c>
      <c r="G4663" s="2">
        <v>45578</v>
      </c>
      <c r="H4663" s="3">
        <f t="shared" si="72"/>
        <v>1.3835616438356164</v>
      </c>
      <c r="I4663">
        <v>8</v>
      </c>
      <c r="J4663" t="s">
        <v>38</v>
      </c>
      <c r="K4663" t="s">
        <v>56</v>
      </c>
      <c r="L4663" t="s">
        <v>44</v>
      </c>
      <c r="M4663">
        <v>8.4700000000000006</v>
      </c>
      <c r="T4663" t="s">
        <v>52</v>
      </c>
      <c r="U4663">
        <v>2</v>
      </c>
      <c r="V4663">
        <v>5</v>
      </c>
    </row>
    <row r="4664" spans="1:22" x14ac:dyDescent="0.3">
      <c r="A4664">
        <v>4663</v>
      </c>
      <c r="B4664">
        <v>55147</v>
      </c>
      <c r="C4664" s="2">
        <v>36543</v>
      </c>
      <c r="D4664">
        <v>25</v>
      </c>
      <c r="E4664" t="s">
        <v>42</v>
      </c>
      <c r="F4664" t="s">
        <v>37</v>
      </c>
      <c r="G4664" s="2">
        <v>45517</v>
      </c>
      <c r="H4664" s="3">
        <f t="shared" si="72"/>
        <v>1.4986301369863013</v>
      </c>
      <c r="I4664">
        <v>8</v>
      </c>
      <c r="J4664" t="s">
        <v>38</v>
      </c>
      <c r="K4664" t="s">
        <v>56</v>
      </c>
      <c r="L4664" t="s">
        <v>44</v>
      </c>
      <c r="M4664">
        <v>8.4700000000000006</v>
      </c>
      <c r="T4664" t="s">
        <v>47</v>
      </c>
      <c r="U4664">
        <v>1</v>
      </c>
      <c r="V4664">
        <v>5</v>
      </c>
    </row>
    <row r="4665" spans="1:22" x14ac:dyDescent="0.3">
      <c r="A4665">
        <v>4664</v>
      </c>
      <c r="B4665">
        <v>55148</v>
      </c>
      <c r="C4665" s="2">
        <v>37506</v>
      </c>
      <c r="D4665">
        <v>23</v>
      </c>
      <c r="E4665" t="s">
        <v>42</v>
      </c>
      <c r="F4665" t="s">
        <v>50</v>
      </c>
      <c r="G4665" s="2">
        <v>45475</v>
      </c>
      <c r="H4665" s="3">
        <f t="shared" si="72"/>
        <v>1.0547945205479452</v>
      </c>
      <c r="I4665">
        <v>9</v>
      </c>
      <c r="J4665" t="s">
        <v>38</v>
      </c>
      <c r="K4665" t="s">
        <v>68</v>
      </c>
      <c r="L4665" t="s">
        <v>44</v>
      </c>
      <c r="M4665">
        <v>17</v>
      </c>
      <c r="T4665" t="s">
        <v>49</v>
      </c>
      <c r="U4665">
        <v>1</v>
      </c>
      <c r="V4665">
        <v>6</v>
      </c>
    </row>
    <row r="4666" spans="1:22" x14ac:dyDescent="0.3">
      <c r="A4666">
        <v>4665</v>
      </c>
      <c r="B4666">
        <v>55149</v>
      </c>
      <c r="C4666" s="2">
        <v>37530</v>
      </c>
      <c r="D4666">
        <v>24</v>
      </c>
      <c r="E4666" t="s">
        <v>36</v>
      </c>
      <c r="F4666" t="s">
        <v>37</v>
      </c>
      <c r="G4666" s="2">
        <v>45637</v>
      </c>
      <c r="H4666" s="3">
        <f t="shared" si="72"/>
        <v>1.1232876712328768</v>
      </c>
      <c r="I4666">
        <v>9</v>
      </c>
      <c r="J4666" t="s">
        <v>38</v>
      </c>
      <c r="K4666" t="s">
        <v>68</v>
      </c>
      <c r="L4666" t="s">
        <v>44</v>
      </c>
      <c r="M4666">
        <v>17</v>
      </c>
      <c r="T4666" t="s">
        <v>45</v>
      </c>
      <c r="U4666">
        <v>2</v>
      </c>
      <c r="V4666">
        <v>4</v>
      </c>
    </row>
    <row r="4667" spans="1:22" x14ac:dyDescent="0.3">
      <c r="A4667">
        <v>4666</v>
      </c>
      <c r="B4667">
        <v>55151</v>
      </c>
      <c r="C4667" s="2">
        <v>37209</v>
      </c>
      <c r="D4667">
        <v>24</v>
      </c>
      <c r="E4667" t="s">
        <v>42</v>
      </c>
      <c r="F4667" t="s">
        <v>37</v>
      </c>
      <c r="G4667" s="2">
        <v>45612</v>
      </c>
      <c r="H4667" s="3">
        <f t="shared" si="72"/>
        <v>1.2712328767123289</v>
      </c>
      <c r="I4667">
        <v>9</v>
      </c>
      <c r="J4667" t="s">
        <v>38</v>
      </c>
      <c r="K4667" t="s">
        <v>56</v>
      </c>
      <c r="L4667" t="s">
        <v>44</v>
      </c>
      <c r="M4667">
        <v>8.4700000000000006</v>
      </c>
      <c r="T4667" t="s">
        <v>45</v>
      </c>
      <c r="U4667">
        <v>2</v>
      </c>
      <c r="V4667">
        <v>5</v>
      </c>
    </row>
    <row r="4668" spans="1:22" x14ac:dyDescent="0.3">
      <c r="A4668">
        <v>4667</v>
      </c>
      <c r="B4668">
        <v>55152</v>
      </c>
      <c r="C4668" s="2">
        <v>38083</v>
      </c>
      <c r="D4668">
        <v>21</v>
      </c>
      <c r="E4668" t="s">
        <v>42</v>
      </c>
      <c r="F4668" t="s">
        <v>50</v>
      </c>
      <c r="G4668" s="2">
        <v>45558</v>
      </c>
      <c r="H4668" s="3">
        <f t="shared" si="72"/>
        <v>1.2876712328767124</v>
      </c>
      <c r="I4668">
        <v>9</v>
      </c>
      <c r="J4668" t="s">
        <v>38</v>
      </c>
      <c r="K4668" t="s">
        <v>56</v>
      </c>
      <c r="L4668" t="s">
        <v>44</v>
      </c>
      <c r="M4668">
        <v>8.4700000000000006</v>
      </c>
      <c r="T4668" t="s">
        <v>49</v>
      </c>
      <c r="U4668">
        <v>1</v>
      </c>
      <c r="V4668">
        <v>5</v>
      </c>
    </row>
    <row r="4669" spans="1:22" x14ac:dyDescent="0.3">
      <c r="A4669">
        <v>4668</v>
      </c>
      <c r="B4669">
        <v>55153</v>
      </c>
      <c r="C4669" s="2">
        <v>36201</v>
      </c>
      <c r="D4669">
        <v>26</v>
      </c>
      <c r="E4669" t="s">
        <v>36</v>
      </c>
      <c r="F4669" t="s">
        <v>50</v>
      </c>
      <c r="G4669" s="2">
        <v>45552</v>
      </c>
      <c r="H4669" s="3">
        <f t="shared" si="72"/>
        <v>1.3315068493150686</v>
      </c>
      <c r="I4669">
        <v>9</v>
      </c>
      <c r="J4669" t="s">
        <v>38</v>
      </c>
      <c r="K4669" t="s">
        <v>56</v>
      </c>
      <c r="L4669" t="s">
        <v>44</v>
      </c>
      <c r="M4669">
        <v>8.4700000000000006</v>
      </c>
      <c r="T4669" t="s">
        <v>45</v>
      </c>
      <c r="U4669">
        <v>0</v>
      </c>
      <c r="V4669">
        <v>5</v>
      </c>
    </row>
    <row r="4670" spans="1:22" x14ac:dyDescent="0.3">
      <c r="A4670">
        <v>4669</v>
      </c>
      <c r="B4670">
        <v>55154</v>
      </c>
      <c r="C4670" s="2">
        <v>37842</v>
      </c>
      <c r="D4670">
        <v>22</v>
      </c>
      <c r="E4670" t="s">
        <v>42</v>
      </c>
      <c r="F4670" t="s">
        <v>50</v>
      </c>
      <c r="G4670" s="2">
        <v>45536</v>
      </c>
      <c r="H4670" s="3">
        <f t="shared" si="72"/>
        <v>1.6767123287671233</v>
      </c>
      <c r="I4670">
        <v>9</v>
      </c>
      <c r="J4670" t="s">
        <v>38</v>
      </c>
      <c r="K4670" t="s">
        <v>56</v>
      </c>
      <c r="L4670" t="s">
        <v>44</v>
      </c>
      <c r="M4670">
        <v>8.4700000000000006</v>
      </c>
      <c r="T4670" t="s">
        <v>49</v>
      </c>
      <c r="U4670">
        <v>2</v>
      </c>
      <c r="V4670">
        <v>5</v>
      </c>
    </row>
    <row r="4671" spans="1:22" x14ac:dyDescent="0.3">
      <c r="A4671">
        <v>4670</v>
      </c>
      <c r="B4671">
        <v>55155</v>
      </c>
      <c r="C4671" s="2">
        <v>39058</v>
      </c>
      <c r="D4671">
        <v>19</v>
      </c>
      <c r="E4671" t="s">
        <v>36</v>
      </c>
      <c r="F4671" t="s">
        <v>50</v>
      </c>
      <c r="G4671" s="2">
        <v>45410</v>
      </c>
      <c r="H4671" s="3">
        <f t="shared" si="72"/>
        <v>1.4054794520547946</v>
      </c>
      <c r="I4671">
        <v>9</v>
      </c>
      <c r="J4671" t="s">
        <v>38</v>
      </c>
      <c r="K4671" t="s">
        <v>56</v>
      </c>
      <c r="L4671" t="s">
        <v>44</v>
      </c>
      <c r="M4671">
        <v>8.4700000000000006</v>
      </c>
      <c r="T4671" t="s">
        <v>47</v>
      </c>
      <c r="U4671">
        <v>3</v>
      </c>
      <c r="V4671">
        <v>4</v>
      </c>
    </row>
    <row r="4672" spans="1:22" x14ac:dyDescent="0.3">
      <c r="A4672">
        <v>4671</v>
      </c>
      <c r="B4672">
        <v>55156</v>
      </c>
      <c r="C4672" s="2">
        <v>38500</v>
      </c>
      <c r="D4672">
        <v>20</v>
      </c>
      <c r="E4672" t="s">
        <v>36</v>
      </c>
      <c r="F4672" t="s">
        <v>50</v>
      </c>
      <c r="G4672" s="2">
        <v>45509</v>
      </c>
      <c r="H4672" s="3">
        <f t="shared" si="72"/>
        <v>1.2191780821917808</v>
      </c>
      <c r="I4672">
        <v>9</v>
      </c>
      <c r="J4672" t="s">
        <v>38</v>
      </c>
      <c r="K4672" t="s">
        <v>56</v>
      </c>
      <c r="L4672" t="s">
        <v>44</v>
      </c>
      <c r="M4672">
        <v>8.4700000000000006</v>
      </c>
      <c r="T4672" t="s">
        <v>49</v>
      </c>
      <c r="U4672">
        <v>4</v>
      </c>
      <c r="V4672">
        <v>3</v>
      </c>
    </row>
    <row r="4673" spans="1:22" x14ac:dyDescent="0.3">
      <c r="A4673">
        <v>4672</v>
      </c>
      <c r="B4673">
        <v>55157</v>
      </c>
      <c r="C4673" s="2">
        <v>38207</v>
      </c>
      <c r="D4673">
        <v>21</v>
      </c>
      <c r="E4673" t="s">
        <v>42</v>
      </c>
      <c r="F4673" t="s">
        <v>50</v>
      </c>
      <c r="G4673" s="2">
        <v>45577</v>
      </c>
      <c r="H4673" s="3">
        <f t="shared" si="72"/>
        <v>1.1095890410958904</v>
      </c>
      <c r="I4673">
        <v>9</v>
      </c>
      <c r="J4673" t="s">
        <v>38</v>
      </c>
      <c r="K4673" t="s">
        <v>56</v>
      </c>
      <c r="L4673" t="s">
        <v>44</v>
      </c>
      <c r="M4673">
        <v>8.4700000000000006</v>
      </c>
      <c r="T4673" t="s">
        <v>45</v>
      </c>
      <c r="U4673">
        <v>1</v>
      </c>
      <c r="V4673">
        <v>5</v>
      </c>
    </row>
    <row r="4674" spans="1:22" x14ac:dyDescent="0.3">
      <c r="A4674">
        <v>4673</v>
      </c>
      <c r="B4674">
        <v>55158</v>
      </c>
      <c r="C4674" s="2">
        <v>38827</v>
      </c>
      <c r="D4674">
        <v>19</v>
      </c>
      <c r="E4674" t="s">
        <v>42</v>
      </c>
      <c r="F4674" t="s">
        <v>50</v>
      </c>
      <c r="G4674" s="2">
        <v>45617</v>
      </c>
      <c r="H4674" s="3">
        <f t="shared" si="72"/>
        <v>1.5232876712328767</v>
      </c>
      <c r="I4674">
        <v>9</v>
      </c>
      <c r="J4674" t="s">
        <v>38</v>
      </c>
      <c r="K4674" t="s">
        <v>56</v>
      </c>
      <c r="L4674" t="s">
        <v>44</v>
      </c>
      <c r="M4674">
        <v>8.4700000000000006</v>
      </c>
      <c r="T4674" t="s">
        <v>52</v>
      </c>
      <c r="U4674">
        <v>3</v>
      </c>
      <c r="V4674">
        <v>7</v>
      </c>
    </row>
    <row r="4675" spans="1:22" x14ac:dyDescent="0.3">
      <c r="A4675">
        <v>4674</v>
      </c>
      <c r="B4675">
        <v>55159</v>
      </c>
      <c r="C4675" s="2">
        <v>37738</v>
      </c>
      <c r="D4675">
        <v>22</v>
      </c>
      <c r="E4675" t="s">
        <v>42</v>
      </c>
      <c r="F4675" t="s">
        <v>50</v>
      </c>
      <c r="G4675" s="2">
        <v>45466</v>
      </c>
      <c r="H4675" s="3">
        <f t="shared" ref="H4675:H4738" si="73">DATEDIF(G4676,DATE(2025,12,31),"d")/365</f>
        <v>1.8465753424657534</v>
      </c>
      <c r="I4675">
        <v>9</v>
      </c>
      <c r="J4675" t="s">
        <v>38</v>
      </c>
      <c r="K4675" t="s">
        <v>56</v>
      </c>
      <c r="L4675" t="s">
        <v>44</v>
      </c>
      <c r="M4675">
        <v>8.4700000000000006</v>
      </c>
      <c r="T4675" t="s">
        <v>45</v>
      </c>
      <c r="U4675">
        <v>4</v>
      </c>
      <c r="V4675">
        <v>7</v>
      </c>
    </row>
    <row r="4676" spans="1:22" x14ac:dyDescent="0.3">
      <c r="A4676">
        <v>4675</v>
      </c>
      <c r="B4676">
        <v>55160</v>
      </c>
      <c r="C4676" s="2">
        <v>36861</v>
      </c>
      <c r="D4676">
        <v>26</v>
      </c>
      <c r="E4676" t="s">
        <v>36</v>
      </c>
      <c r="F4676" t="s">
        <v>50</v>
      </c>
      <c r="G4676" s="2">
        <v>45348</v>
      </c>
      <c r="H4676" s="3">
        <f t="shared" si="73"/>
        <v>1.7534246575342465</v>
      </c>
      <c r="I4676">
        <v>10</v>
      </c>
      <c r="J4676" t="s">
        <v>38</v>
      </c>
      <c r="K4676" t="s">
        <v>68</v>
      </c>
      <c r="L4676" t="s">
        <v>44</v>
      </c>
      <c r="M4676">
        <v>17</v>
      </c>
      <c r="T4676" t="s">
        <v>49</v>
      </c>
      <c r="U4676">
        <v>2</v>
      </c>
      <c r="V4676">
        <v>3</v>
      </c>
    </row>
    <row r="4677" spans="1:22" x14ac:dyDescent="0.3">
      <c r="A4677">
        <v>4676</v>
      </c>
      <c r="B4677">
        <v>55161</v>
      </c>
      <c r="C4677" s="2">
        <v>37737</v>
      </c>
      <c r="D4677">
        <v>22</v>
      </c>
      <c r="E4677" t="s">
        <v>42</v>
      </c>
      <c r="F4677" t="s">
        <v>50</v>
      </c>
      <c r="G4677" s="2">
        <v>45382</v>
      </c>
      <c r="H4677" s="3">
        <f t="shared" si="73"/>
        <v>1.3917808219178083</v>
      </c>
      <c r="I4677">
        <v>10</v>
      </c>
      <c r="J4677" t="s">
        <v>38</v>
      </c>
      <c r="K4677" t="s">
        <v>68</v>
      </c>
      <c r="L4677" t="s">
        <v>44</v>
      </c>
      <c r="M4677">
        <v>17</v>
      </c>
      <c r="T4677" t="s">
        <v>49</v>
      </c>
      <c r="U4677">
        <v>4</v>
      </c>
      <c r="V4677">
        <v>7</v>
      </c>
    </row>
    <row r="4678" spans="1:22" x14ac:dyDescent="0.3">
      <c r="A4678">
        <v>4677</v>
      </c>
      <c r="B4678">
        <v>55162</v>
      </c>
      <c r="C4678" s="2">
        <v>38350</v>
      </c>
      <c r="D4678">
        <v>21</v>
      </c>
      <c r="E4678" t="s">
        <v>36</v>
      </c>
      <c r="F4678" t="s">
        <v>37</v>
      </c>
      <c r="G4678" s="2">
        <v>45514</v>
      </c>
      <c r="H4678" s="3">
        <f t="shared" si="73"/>
        <v>1.3260273972602741</v>
      </c>
      <c r="I4678">
        <v>10</v>
      </c>
      <c r="J4678" t="s">
        <v>38</v>
      </c>
      <c r="K4678" t="s">
        <v>65</v>
      </c>
      <c r="L4678" t="s">
        <v>44</v>
      </c>
      <c r="M4678">
        <v>10.64</v>
      </c>
      <c r="T4678" t="s">
        <v>45</v>
      </c>
      <c r="U4678">
        <v>0</v>
      </c>
      <c r="V4678">
        <v>3</v>
      </c>
    </row>
    <row r="4679" spans="1:22" x14ac:dyDescent="0.3">
      <c r="A4679">
        <v>4678</v>
      </c>
      <c r="B4679">
        <v>55163</v>
      </c>
      <c r="C4679" s="2">
        <v>38246</v>
      </c>
      <c r="D4679">
        <v>21</v>
      </c>
      <c r="E4679" t="s">
        <v>42</v>
      </c>
      <c r="F4679" t="s">
        <v>50</v>
      </c>
      <c r="G4679" s="2">
        <v>45538</v>
      </c>
      <c r="H4679" s="3">
        <f t="shared" si="73"/>
        <v>1.295890410958904</v>
      </c>
      <c r="I4679">
        <v>10</v>
      </c>
      <c r="J4679" t="s">
        <v>38</v>
      </c>
      <c r="K4679" t="s">
        <v>56</v>
      </c>
      <c r="L4679" t="s">
        <v>44</v>
      </c>
      <c r="M4679">
        <v>8.4700000000000006</v>
      </c>
      <c r="T4679" t="s">
        <v>47</v>
      </c>
      <c r="U4679">
        <v>0</v>
      </c>
      <c r="V4679">
        <v>5</v>
      </c>
    </row>
    <row r="4680" spans="1:22" x14ac:dyDescent="0.3">
      <c r="A4680">
        <v>4679</v>
      </c>
      <c r="B4680">
        <v>55164</v>
      </c>
      <c r="C4680" s="2">
        <v>34291</v>
      </c>
      <c r="D4680">
        <v>32</v>
      </c>
      <c r="E4680" t="s">
        <v>42</v>
      </c>
      <c r="F4680" t="s">
        <v>50</v>
      </c>
      <c r="G4680" s="2">
        <v>45549</v>
      </c>
      <c r="H4680" s="3">
        <f t="shared" si="73"/>
        <v>1.7506849315068493</v>
      </c>
      <c r="I4680">
        <v>10</v>
      </c>
      <c r="J4680" t="s">
        <v>38</v>
      </c>
      <c r="K4680" t="s">
        <v>56</v>
      </c>
      <c r="L4680" t="s">
        <v>44</v>
      </c>
      <c r="M4680">
        <v>8.4700000000000006</v>
      </c>
      <c r="T4680" t="s">
        <v>47</v>
      </c>
      <c r="U4680">
        <v>4</v>
      </c>
      <c r="V4680">
        <v>5</v>
      </c>
    </row>
    <row r="4681" spans="1:22" x14ac:dyDescent="0.3">
      <c r="A4681">
        <v>4680</v>
      </c>
      <c r="B4681">
        <v>55165</v>
      </c>
      <c r="C4681" s="2">
        <v>37526</v>
      </c>
      <c r="D4681">
        <v>23</v>
      </c>
      <c r="E4681" t="s">
        <v>42</v>
      </c>
      <c r="F4681" t="s">
        <v>37</v>
      </c>
      <c r="G4681" s="2">
        <v>45383</v>
      </c>
      <c r="H4681" s="3">
        <f t="shared" si="73"/>
        <v>1.2356164383561643</v>
      </c>
      <c r="I4681">
        <v>10</v>
      </c>
      <c r="J4681" t="s">
        <v>38</v>
      </c>
      <c r="K4681" t="s">
        <v>56</v>
      </c>
      <c r="L4681" t="s">
        <v>44</v>
      </c>
      <c r="M4681">
        <v>8.4700000000000006</v>
      </c>
      <c r="T4681" t="s">
        <v>52</v>
      </c>
      <c r="U4681">
        <v>4</v>
      </c>
      <c r="V4681">
        <v>7</v>
      </c>
    </row>
    <row r="4682" spans="1:22" x14ac:dyDescent="0.3">
      <c r="A4682">
        <v>4681</v>
      </c>
      <c r="B4682">
        <v>55166</v>
      </c>
      <c r="C4682" s="2">
        <v>38232</v>
      </c>
      <c r="D4682">
        <v>21</v>
      </c>
      <c r="E4682" t="s">
        <v>36</v>
      </c>
      <c r="F4682" t="s">
        <v>50</v>
      </c>
      <c r="G4682" s="2">
        <v>45571</v>
      </c>
      <c r="H4682" s="3">
        <f t="shared" si="73"/>
        <v>1.3917808219178083</v>
      </c>
      <c r="I4682">
        <v>10</v>
      </c>
      <c r="J4682" t="s">
        <v>38</v>
      </c>
      <c r="K4682" t="s">
        <v>56</v>
      </c>
      <c r="L4682" t="s">
        <v>44</v>
      </c>
      <c r="M4682">
        <v>8.4700000000000006</v>
      </c>
      <c r="T4682" t="s">
        <v>45</v>
      </c>
      <c r="U4682">
        <v>3</v>
      </c>
      <c r="V4682">
        <v>3</v>
      </c>
    </row>
    <row r="4683" spans="1:22" x14ac:dyDescent="0.3">
      <c r="A4683">
        <v>4682</v>
      </c>
      <c r="B4683">
        <v>55167</v>
      </c>
      <c r="C4683" s="2">
        <v>38460</v>
      </c>
      <c r="D4683">
        <v>20</v>
      </c>
      <c r="E4683" t="s">
        <v>36</v>
      </c>
      <c r="F4683" t="s">
        <v>50</v>
      </c>
      <c r="G4683" s="2">
        <v>45514</v>
      </c>
      <c r="H4683" s="3">
        <f t="shared" si="73"/>
        <v>1.2246575342465753</v>
      </c>
      <c r="I4683">
        <v>10</v>
      </c>
      <c r="J4683" t="s">
        <v>38</v>
      </c>
      <c r="K4683" t="s">
        <v>56</v>
      </c>
      <c r="L4683" t="s">
        <v>44</v>
      </c>
      <c r="M4683">
        <v>8.4700000000000006</v>
      </c>
      <c r="T4683" t="s">
        <v>49</v>
      </c>
      <c r="U4683">
        <v>4</v>
      </c>
      <c r="V4683">
        <v>5</v>
      </c>
    </row>
    <row r="4684" spans="1:22" x14ac:dyDescent="0.3">
      <c r="A4684">
        <v>4683</v>
      </c>
      <c r="B4684">
        <v>55168</v>
      </c>
      <c r="C4684" s="2">
        <v>38519</v>
      </c>
      <c r="D4684">
        <v>20</v>
      </c>
      <c r="E4684" t="s">
        <v>42</v>
      </c>
      <c r="F4684" t="s">
        <v>50</v>
      </c>
      <c r="G4684" s="2">
        <v>45575</v>
      </c>
      <c r="H4684" s="3">
        <f t="shared" si="73"/>
        <v>1.4136986301369863</v>
      </c>
      <c r="I4684">
        <v>10</v>
      </c>
      <c r="J4684" t="s">
        <v>38</v>
      </c>
      <c r="K4684" t="s">
        <v>56</v>
      </c>
      <c r="L4684" t="s">
        <v>44</v>
      </c>
      <c r="M4684">
        <v>8.4700000000000006</v>
      </c>
      <c r="T4684" t="s">
        <v>52</v>
      </c>
      <c r="U4684">
        <v>2</v>
      </c>
      <c r="V4684">
        <v>6</v>
      </c>
    </row>
    <row r="4685" spans="1:22" x14ac:dyDescent="0.3">
      <c r="A4685">
        <v>4684</v>
      </c>
      <c r="B4685">
        <v>55169</v>
      </c>
      <c r="C4685" s="2">
        <v>33899</v>
      </c>
      <c r="D4685">
        <v>33</v>
      </c>
      <c r="E4685" t="s">
        <v>42</v>
      </c>
      <c r="F4685" t="s">
        <v>50</v>
      </c>
      <c r="G4685" s="2">
        <v>45506</v>
      </c>
      <c r="H4685" s="3">
        <f t="shared" si="73"/>
        <v>1.736986301369863</v>
      </c>
      <c r="I4685">
        <v>10</v>
      </c>
      <c r="J4685" t="s">
        <v>38</v>
      </c>
      <c r="K4685" t="s">
        <v>56</v>
      </c>
      <c r="L4685" t="s">
        <v>44</v>
      </c>
      <c r="M4685">
        <v>8.4700000000000006</v>
      </c>
      <c r="T4685" t="s">
        <v>52</v>
      </c>
      <c r="U4685">
        <v>4</v>
      </c>
      <c r="V4685">
        <v>6</v>
      </c>
    </row>
    <row r="4686" spans="1:22" x14ac:dyDescent="0.3">
      <c r="A4686">
        <v>4685</v>
      </c>
      <c r="B4686">
        <v>55170</v>
      </c>
      <c r="C4686" s="2">
        <v>38899</v>
      </c>
      <c r="D4686">
        <v>20</v>
      </c>
      <c r="E4686" t="s">
        <v>42</v>
      </c>
      <c r="F4686" t="s">
        <v>50</v>
      </c>
      <c r="G4686" s="2">
        <v>45388</v>
      </c>
      <c r="H4686" s="3">
        <f t="shared" si="73"/>
        <v>1.6410958904109589</v>
      </c>
      <c r="I4686">
        <v>10</v>
      </c>
      <c r="J4686" t="s">
        <v>38</v>
      </c>
      <c r="K4686" t="s">
        <v>56</v>
      </c>
      <c r="L4686" t="s">
        <v>44</v>
      </c>
      <c r="M4686">
        <v>8.4700000000000006</v>
      </c>
      <c r="T4686" t="s">
        <v>47</v>
      </c>
      <c r="U4686">
        <v>2</v>
      </c>
      <c r="V4686">
        <v>4</v>
      </c>
    </row>
    <row r="4687" spans="1:22" x14ac:dyDescent="0.3">
      <c r="A4687">
        <v>4686</v>
      </c>
      <c r="B4687">
        <v>55171</v>
      </c>
      <c r="C4687" s="2">
        <v>37690</v>
      </c>
      <c r="D4687">
        <v>22</v>
      </c>
      <c r="E4687" t="s">
        <v>42</v>
      </c>
      <c r="F4687" t="s">
        <v>50</v>
      </c>
      <c r="G4687" s="2">
        <v>45423</v>
      </c>
      <c r="H4687" s="3">
        <f t="shared" si="73"/>
        <v>1.4465753424657535</v>
      </c>
      <c r="I4687">
        <v>10</v>
      </c>
      <c r="J4687" t="s">
        <v>38</v>
      </c>
      <c r="K4687" t="s">
        <v>56</v>
      </c>
      <c r="L4687" t="s">
        <v>44</v>
      </c>
      <c r="M4687">
        <v>8.4700000000000006</v>
      </c>
      <c r="T4687" t="s">
        <v>49</v>
      </c>
      <c r="U4687">
        <v>2</v>
      </c>
      <c r="V4687">
        <v>6</v>
      </c>
    </row>
    <row r="4688" spans="1:22" x14ac:dyDescent="0.3">
      <c r="A4688">
        <v>4687</v>
      </c>
      <c r="B4688">
        <v>55173</v>
      </c>
      <c r="C4688" s="2">
        <v>35480</v>
      </c>
      <c r="D4688">
        <v>28</v>
      </c>
      <c r="E4688" t="s">
        <v>36</v>
      </c>
      <c r="F4688" t="s">
        <v>50</v>
      </c>
      <c r="G4688" s="2">
        <v>45494</v>
      </c>
      <c r="H4688" s="3">
        <f t="shared" si="73"/>
        <v>1.0986301369863014</v>
      </c>
      <c r="I4688">
        <v>11</v>
      </c>
      <c r="J4688" t="s">
        <v>38</v>
      </c>
      <c r="K4688" t="s">
        <v>68</v>
      </c>
      <c r="L4688" t="s">
        <v>44</v>
      </c>
      <c r="M4688">
        <v>17</v>
      </c>
      <c r="T4688" t="s">
        <v>49</v>
      </c>
      <c r="U4688">
        <v>4</v>
      </c>
      <c r="V4688">
        <v>6</v>
      </c>
    </row>
    <row r="4689" spans="1:22" x14ac:dyDescent="0.3">
      <c r="A4689">
        <v>4688</v>
      </c>
      <c r="B4689">
        <v>55174</v>
      </c>
      <c r="C4689" s="2">
        <v>36870</v>
      </c>
      <c r="D4689">
        <v>25</v>
      </c>
      <c r="E4689" t="s">
        <v>42</v>
      </c>
      <c r="F4689" t="s">
        <v>50</v>
      </c>
      <c r="G4689" s="2">
        <v>45621</v>
      </c>
      <c r="H4689" s="3">
        <f t="shared" si="73"/>
        <v>1.2356164383561643</v>
      </c>
      <c r="I4689">
        <v>11</v>
      </c>
      <c r="J4689" t="s">
        <v>38</v>
      </c>
      <c r="K4689" t="s">
        <v>68</v>
      </c>
      <c r="L4689" t="s">
        <v>44</v>
      </c>
      <c r="M4689">
        <v>17</v>
      </c>
      <c r="T4689" t="s">
        <v>49</v>
      </c>
      <c r="U4689">
        <v>2</v>
      </c>
      <c r="V4689">
        <v>6</v>
      </c>
    </row>
    <row r="4690" spans="1:22" x14ac:dyDescent="0.3">
      <c r="A4690">
        <v>4689</v>
      </c>
      <c r="B4690">
        <v>55176</v>
      </c>
      <c r="C4690" s="2">
        <v>37193</v>
      </c>
      <c r="D4690">
        <v>24</v>
      </c>
      <c r="E4690" t="s">
        <v>36</v>
      </c>
      <c r="F4690" t="s">
        <v>37</v>
      </c>
      <c r="G4690" s="2">
        <v>45571</v>
      </c>
      <c r="H4690" s="3">
        <f t="shared" si="73"/>
        <v>1.4109589041095891</v>
      </c>
      <c r="I4690">
        <v>11</v>
      </c>
      <c r="J4690" t="s">
        <v>38</v>
      </c>
      <c r="K4690" t="s">
        <v>64</v>
      </c>
      <c r="L4690" t="s">
        <v>44</v>
      </c>
      <c r="M4690">
        <v>14.07</v>
      </c>
      <c r="T4690" t="s">
        <v>52</v>
      </c>
      <c r="U4690">
        <v>1</v>
      </c>
      <c r="V4690">
        <v>3</v>
      </c>
    </row>
    <row r="4691" spans="1:22" x14ac:dyDescent="0.3">
      <c r="A4691">
        <v>4690</v>
      </c>
      <c r="B4691">
        <v>55177</v>
      </c>
      <c r="C4691" s="2">
        <v>38858</v>
      </c>
      <c r="D4691">
        <v>19</v>
      </c>
      <c r="E4691" t="s">
        <v>42</v>
      </c>
      <c r="F4691" t="s">
        <v>50</v>
      </c>
      <c r="G4691" s="2">
        <v>45507</v>
      </c>
      <c r="H4691" s="3">
        <f t="shared" si="73"/>
        <v>1.2712328767123289</v>
      </c>
      <c r="I4691">
        <v>11</v>
      </c>
      <c r="J4691" t="s">
        <v>38</v>
      </c>
      <c r="K4691" t="s">
        <v>48</v>
      </c>
      <c r="L4691" t="s">
        <v>44</v>
      </c>
      <c r="M4691">
        <v>8.4700000000000006</v>
      </c>
      <c r="T4691" t="s">
        <v>45</v>
      </c>
      <c r="U4691">
        <v>2</v>
      </c>
      <c r="V4691">
        <v>5</v>
      </c>
    </row>
    <row r="4692" spans="1:22" x14ac:dyDescent="0.3">
      <c r="A4692">
        <v>4691</v>
      </c>
      <c r="B4692">
        <v>55178</v>
      </c>
      <c r="C4692" s="2">
        <v>39333</v>
      </c>
      <c r="D4692">
        <v>18</v>
      </c>
      <c r="E4692" t="s">
        <v>42</v>
      </c>
      <c r="F4692" t="s">
        <v>50</v>
      </c>
      <c r="G4692" s="2">
        <v>45558</v>
      </c>
      <c r="H4692" s="3">
        <f t="shared" si="73"/>
        <v>1.3424657534246576</v>
      </c>
      <c r="I4692">
        <v>11</v>
      </c>
      <c r="J4692" t="s">
        <v>38</v>
      </c>
      <c r="K4692" t="s">
        <v>48</v>
      </c>
      <c r="L4692" t="s">
        <v>44</v>
      </c>
      <c r="M4692">
        <v>8.4700000000000006</v>
      </c>
      <c r="T4692" t="s">
        <v>47</v>
      </c>
      <c r="U4692">
        <v>1</v>
      </c>
      <c r="V4692">
        <v>6</v>
      </c>
    </row>
    <row r="4693" spans="1:22" x14ac:dyDescent="0.3">
      <c r="A4693">
        <v>4692</v>
      </c>
      <c r="B4693">
        <v>55179</v>
      </c>
      <c r="C4693" s="2">
        <v>38714</v>
      </c>
      <c r="D4693">
        <v>20</v>
      </c>
      <c r="E4693" t="s">
        <v>42</v>
      </c>
      <c r="F4693" t="s">
        <v>50</v>
      </c>
      <c r="G4693" s="2">
        <v>45532</v>
      </c>
      <c r="H4693" s="3">
        <f t="shared" si="73"/>
        <v>1.3561643835616439</v>
      </c>
      <c r="I4693">
        <v>11</v>
      </c>
      <c r="J4693" t="s">
        <v>38</v>
      </c>
      <c r="K4693" t="s">
        <v>56</v>
      </c>
      <c r="L4693" t="s">
        <v>44</v>
      </c>
      <c r="M4693">
        <v>8.4700000000000006</v>
      </c>
      <c r="T4693" t="s">
        <v>45</v>
      </c>
      <c r="U4693">
        <v>4</v>
      </c>
      <c r="V4693">
        <v>6</v>
      </c>
    </row>
    <row r="4694" spans="1:22" x14ac:dyDescent="0.3">
      <c r="A4694">
        <v>4693</v>
      </c>
      <c r="B4694">
        <v>55180</v>
      </c>
      <c r="C4694" s="2">
        <v>36790</v>
      </c>
      <c r="D4694">
        <v>25</v>
      </c>
      <c r="E4694" t="s">
        <v>42</v>
      </c>
      <c r="F4694" t="s">
        <v>50</v>
      </c>
      <c r="G4694" s="2">
        <v>45527</v>
      </c>
      <c r="H4694" s="3">
        <f t="shared" si="73"/>
        <v>1.9452054794520548</v>
      </c>
      <c r="I4694">
        <v>11</v>
      </c>
      <c r="J4694" t="s">
        <v>38</v>
      </c>
      <c r="K4694" t="s">
        <v>56</v>
      </c>
      <c r="L4694" t="s">
        <v>44</v>
      </c>
      <c r="M4694">
        <v>8.4700000000000006</v>
      </c>
      <c r="T4694" t="s">
        <v>45</v>
      </c>
      <c r="U4694">
        <v>2</v>
      </c>
      <c r="V4694">
        <v>7</v>
      </c>
    </row>
    <row r="4695" spans="1:22" x14ac:dyDescent="0.3">
      <c r="A4695">
        <v>4694</v>
      </c>
      <c r="B4695">
        <v>55181</v>
      </c>
      <c r="C4695" s="2">
        <v>35432</v>
      </c>
      <c r="D4695">
        <v>28</v>
      </c>
      <c r="E4695" t="s">
        <v>42</v>
      </c>
      <c r="F4695" t="s">
        <v>50</v>
      </c>
      <c r="G4695" s="2">
        <v>45312</v>
      </c>
      <c r="H4695" s="3">
        <f t="shared" si="73"/>
        <v>1.0904109589041096</v>
      </c>
      <c r="I4695">
        <v>11</v>
      </c>
      <c r="J4695" t="s">
        <v>38</v>
      </c>
      <c r="K4695" t="s">
        <v>56</v>
      </c>
      <c r="L4695" t="s">
        <v>44</v>
      </c>
      <c r="M4695">
        <v>8.4700000000000006</v>
      </c>
      <c r="T4695" t="s">
        <v>45</v>
      </c>
      <c r="U4695">
        <v>2</v>
      </c>
      <c r="V4695">
        <v>5</v>
      </c>
    </row>
    <row r="4696" spans="1:22" x14ac:dyDescent="0.3">
      <c r="A4696">
        <v>4695</v>
      </c>
      <c r="B4696">
        <v>55182</v>
      </c>
      <c r="C4696" s="2">
        <v>39248</v>
      </c>
      <c r="D4696">
        <v>18</v>
      </c>
      <c r="E4696" t="s">
        <v>42</v>
      </c>
      <c r="F4696" t="s">
        <v>37</v>
      </c>
      <c r="G4696" s="2">
        <v>45624</v>
      </c>
      <c r="H4696" s="3">
        <f t="shared" si="73"/>
        <v>1.3178082191780822</v>
      </c>
      <c r="I4696">
        <v>11</v>
      </c>
      <c r="J4696" t="s">
        <v>38</v>
      </c>
      <c r="K4696" t="s">
        <v>56</v>
      </c>
      <c r="L4696" t="s">
        <v>44</v>
      </c>
      <c r="M4696">
        <v>8.4700000000000006</v>
      </c>
      <c r="T4696" t="s">
        <v>45</v>
      </c>
      <c r="U4696">
        <v>2</v>
      </c>
      <c r="V4696">
        <v>5</v>
      </c>
    </row>
    <row r="4697" spans="1:22" x14ac:dyDescent="0.3">
      <c r="A4697">
        <v>4696</v>
      </c>
      <c r="B4697">
        <v>55183</v>
      </c>
      <c r="C4697" s="2">
        <v>34449</v>
      </c>
      <c r="D4697">
        <v>31</v>
      </c>
      <c r="E4697" t="s">
        <v>42</v>
      </c>
      <c r="F4697" t="s">
        <v>50</v>
      </c>
      <c r="G4697" s="2">
        <v>45541</v>
      </c>
      <c r="H4697" s="3">
        <f t="shared" si="73"/>
        <v>1.6136986301369862</v>
      </c>
      <c r="I4697">
        <v>11</v>
      </c>
      <c r="J4697" t="s">
        <v>38</v>
      </c>
      <c r="K4697" t="s">
        <v>56</v>
      </c>
      <c r="L4697" t="s">
        <v>44</v>
      </c>
      <c r="M4697">
        <v>8.4700000000000006</v>
      </c>
      <c r="T4697" t="s">
        <v>49</v>
      </c>
      <c r="U4697">
        <v>2</v>
      </c>
      <c r="V4697">
        <v>7</v>
      </c>
    </row>
    <row r="4698" spans="1:22" x14ac:dyDescent="0.3">
      <c r="A4698">
        <v>4697</v>
      </c>
      <c r="B4698">
        <v>55185</v>
      </c>
      <c r="C4698" s="2">
        <v>36819</v>
      </c>
      <c r="D4698">
        <v>25</v>
      </c>
      <c r="E4698" t="s">
        <v>42</v>
      </c>
      <c r="F4698" t="s">
        <v>50</v>
      </c>
      <c r="G4698" s="2">
        <v>45433</v>
      </c>
      <c r="H4698" s="3">
        <f t="shared" si="73"/>
        <v>1.4547945205479451</v>
      </c>
      <c r="I4698">
        <v>11</v>
      </c>
      <c r="J4698" t="s">
        <v>38</v>
      </c>
      <c r="K4698" t="s">
        <v>56</v>
      </c>
      <c r="L4698" t="s">
        <v>44</v>
      </c>
      <c r="M4698">
        <v>8.4700000000000006</v>
      </c>
      <c r="T4698" t="s">
        <v>52</v>
      </c>
      <c r="U4698">
        <v>2</v>
      </c>
      <c r="V4698">
        <v>7</v>
      </c>
    </row>
    <row r="4699" spans="1:22" x14ac:dyDescent="0.3">
      <c r="A4699">
        <v>4698</v>
      </c>
      <c r="B4699">
        <v>55186</v>
      </c>
      <c r="C4699" s="2">
        <v>38195</v>
      </c>
      <c r="D4699">
        <v>21</v>
      </c>
      <c r="E4699" t="s">
        <v>42</v>
      </c>
      <c r="F4699" t="s">
        <v>37</v>
      </c>
      <c r="G4699" s="2">
        <v>45491</v>
      </c>
      <c r="H4699" s="3">
        <f t="shared" si="73"/>
        <v>1.3232876712328767</v>
      </c>
      <c r="I4699">
        <v>11</v>
      </c>
      <c r="J4699" t="s">
        <v>38</v>
      </c>
      <c r="K4699" t="s">
        <v>56</v>
      </c>
      <c r="L4699" t="s">
        <v>44</v>
      </c>
      <c r="M4699">
        <v>8.4700000000000006</v>
      </c>
      <c r="T4699" t="s">
        <v>52</v>
      </c>
      <c r="U4699">
        <v>2</v>
      </c>
      <c r="V4699">
        <v>5</v>
      </c>
    </row>
    <row r="4700" spans="1:22" x14ac:dyDescent="0.3">
      <c r="A4700">
        <v>4699</v>
      </c>
      <c r="B4700">
        <v>55187</v>
      </c>
      <c r="C4700" s="2">
        <v>37891</v>
      </c>
      <c r="D4700">
        <v>22</v>
      </c>
      <c r="E4700" t="s">
        <v>42</v>
      </c>
      <c r="F4700" t="s">
        <v>50</v>
      </c>
      <c r="G4700" s="2">
        <v>45539</v>
      </c>
      <c r="H4700" s="3">
        <f t="shared" si="73"/>
        <v>1.5123287671232877</v>
      </c>
      <c r="I4700">
        <v>11</v>
      </c>
      <c r="J4700" t="s">
        <v>38</v>
      </c>
      <c r="K4700" t="s">
        <v>56</v>
      </c>
      <c r="L4700" t="s">
        <v>44</v>
      </c>
      <c r="M4700">
        <v>8.4700000000000006</v>
      </c>
      <c r="T4700" t="s">
        <v>47</v>
      </c>
      <c r="U4700">
        <v>4</v>
      </c>
      <c r="V4700">
        <v>7</v>
      </c>
    </row>
    <row r="4701" spans="1:22" x14ac:dyDescent="0.3">
      <c r="A4701">
        <v>4700</v>
      </c>
      <c r="B4701">
        <v>55188</v>
      </c>
      <c r="C4701" s="2">
        <v>37761</v>
      </c>
      <c r="D4701">
        <v>22</v>
      </c>
      <c r="E4701" t="s">
        <v>42</v>
      </c>
      <c r="F4701" t="s">
        <v>37</v>
      </c>
      <c r="G4701" s="2">
        <v>45470</v>
      </c>
      <c r="H4701" s="3">
        <f t="shared" si="73"/>
        <v>1.2986301369863014</v>
      </c>
      <c r="I4701">
        <v>11</v>
      </c>
      <c r="J4701" t="s">
        <v>38</v>
      </c>
      <c r="K4701" t="s">
        <v>56</v>
      </c>
      <c r="L4701" t="s">
        <v>44</v>
      </c>
      <c r="M4701">
        <v>8.4700000000000006</v>
      </c>
      <c r="T4701" t="s">
        <v>45</v>
      </c>
      <c r="U4701">
        <v>3</v>
      </c>
      <c r="V4701">
        <v>5</v>
      </c>
    </row>
    <row r="4702" spans="1:22" x14ac:dyDescent="0.3">
      <c r="A4702">
        <v>4701</v>
      </c>
      <c r="B4702">
        <v>55189</v>
      </c>
      <c r="C4702" s="2">
        <v>35865</v>
      </c>
      <c r="D4702">
        <v>27</v>
      </c>
      <c r="E4702" t="s">
        <v>36</v>
      </c>
      <c r="F4702" t="s">
        <v>37</v>
      </c>
      <c r="G4702" s="2">
        <v>45548</v>
      </c>
      <c r="H4702" s="3">
        <f t="shared" si="73"/>
        <v>1.167123287671233</v>
      </c>
      <c r="I4702">
        <v>11</v>
      </c>
      <c r="J4702" t="s">
        <v>38</v>
      </c>
      <c r="K4702" t="s">
        <v>56</v>
      </c>
      <c r="L4702" t="s">
        <v>44</v>
      </c>
      <c r="M4702">
        <v>8.4700000000000006</v>
      </c>
      <c r="T4702" t="s">
        <v>47</v>
      </c>
      <c r="U4702">
        <v>2</v>
      </c>
      <c r="V4702">
        <v>3</v>
      </c>
    </row>
    <row r="4703" spans="1:22" x14ac:dyDescent="0.3">
      <c r="A4703">
        <v>4702</v>
      </c>
      <c r="B4703">
        <v>55190</v>
      </c>
      <c r="C4703" s="2">
        <v>37472</v>
      </c>
      <c r="D4703">
        <v>23</v>
      </c>
      <c r="E4703" t="s">
        <v>42</v>
      </c>
      <c r="F4703" t="s">
        <v>50</v>
      </c>
      <c r="G4703" s="2">
        <v>45596</v>
      </c>
      <c r="H4703" s="3">
        <f t="shared" si="73"/>
        <v>1.0493150684931507</v>
      </c>
      <c r="I4703">
        <v>11</v>
      </c>
      <c r="J4703" t="s">
        <v>38</v>
      </c>
      <c r="K4703" t="s">
        <v>56</v>
      </c>
      <c r="L4703" t="s">
        <v>44</v>
      </c>
      <c r="M4703">
        <v>8.4700000000000006</v>
      </c>
      <c r="T4703" t="s">
        <v>45</v>
      </c>
      <c r="U4703">
        <v>3</v>
      </c>
      <c r="V4703">
        <v>7</v>
      </c>
    </row>
    <row r="4704" spans="1:22" x14ac:dyDescent="0.3">
      <c r="A4704">
        <v>4703</v>
      </c>
      <c r="B4704">
        <v>55191</v>
      </c>
      <c r="C4704" s="2">
        <v>39081</v>
      </c>
      <c r="D4704">
        <v>19</v>
      </c>
      <c r="E4704" t="s">
        <v>42</v>
      </c>
      <c r="F4704" t="s">
        <v>50</v>
      </c>
      <c r="G4704" s="2">
        <v>45639</v>
      </c>
      <c r="H4704" s="3">
        <f t="shared" si="73"/>
        <v>1.1561643835616437</v>
      </c>
      <c r="I4704">
        <v>11</v>
      </c>
      <c r="J4704" t="s">
        <v>38</v>
      </c>
      <c r="K4704" t="s">
        <v>56</v>
      </c>
      <c r="L4704" t="s">
        <v>44</v>
      </c>
      <c r="M4704">
        <v>8.4700000000000006</v>
      </c>
      <c r="T4704" t="s">
        <v>45</v>
      </c>
      <c r="U4704">
        <v>2</v>
      </c>
      <c r="V4704">
        <v>6</v>
      </c>
    </row>
    <row r="4705" spans="1:22" x14ac:dyDescent="0.3">
      <c r="A4705">
        <v>4704</v>
      </c>
      <c r="B4705">
        <v>55192</v>
      </c>
      <c r="C4705" s="2">
        <v>37692</v>
      </c>
      <c r="D4705">
        <v>22</v>
      </c>
      <c r="E4705" t="s">
        <v>42</v>
      </c>
      <c r="F4705" t="s">
        <v>50</v>
      </c>
      <c r="G4705" s="2">
        <v>45600</v>
      </c>
      <c r="H4705" s="3">
        <f t="shared" si="73"/>
        <v>1.8520547945205479</v>
      </c>
      <c r="I4705">
        <v>12</v>
      </c>
      <c r="J4705" t="s">
        <v>38</v>
      </c>
      <c r="K4705" t="s">
        <v>68</v>
      </c>
      <c r="L4705" t="s">
        <v>44</v>
      </c>
      <c r="M4705">
        <v>17</v>
      </c>
      <c r="T4705" t="s">
        <v>49</v>
      </c>
      <c r="U4705">
        <v>0</v>
      </c>
      <c r="V4705">
        <v>7</v>
      </c>
    </row>
    <row r="4706" spans="1:22" x14ac:dyDescent="0.3">
      <c r="A4706">
        <v>4705</v>
      </c>
      <c r="B4706">
        <v>55193</v>
      </c>
      <c r="C4706" s="2">
        <v>36619</v>
      </c>
      <c r="D4706">
        <v>25</v>
      </c>
      <c r="E4706" t="s">
        <v>42</v>
      </c>
      <c r="F4706" t="s">
        <v>37</v>
      </c>
      <c r="G4706" s="2">
        <v>45346</v>
      </c>
      <c r="H4706" s="3">
        <f t="shared" si="73"/>
        <v>1.5287671232876712</v>
      </c>
      <c r="I4706">
        <v>12</v>
      </c>
      <c r="J4706" t="s">
        <v>38</v>
      </c>
      <c r="K4706" t="s">
        <v>68</v>
      </c>
      <c r="L4706" t="s">
        <v>44</v>
      </c>
      <c r="M4706">
        <v>17</v>
      </c>
      <c r="T4706" t="s">
        <v>52</v>
      </c>
      <c r="U4706">
        <v>0</v>
      </c>
      <c r="V4706">
        <v>4</v>
      </c>
    </row>
    <row r="4707" spans="1:22" x14ac:dyDescent="0.3">
      <c r="A4707">
        <v>4706</v>
      </c>
      <c r="B4707">
        <v>55194</v>
      </c>
      <c r="C4707" s="2">
        <v>37847</v>
      </c>
      <c r="D4707">
        <v>22</v>
      </c>
      <c r="E4707" t="s">
        <v>42</v>
      </c>
      <c r="F4707" t="s">
        <v>50</v>
      </c>
      <c r="G4707" s="2">
        <v>45464</v>
      </c>
      <c r="H4707" s="3">
        <f t="shared" si="73"/>
        <v>1.6767123287671233</v>
      </c>
      <c r="I4707">
        <v>12</v>
      </c>
      <c r="J4707" t="s">
        <v>38</v>
      </c>
      <c r="K4707" t="s">
        <v>65</v>
      </c>
      <c r="L4707" t="s">
        <v>44</v>
      </c>
      <c r="M4707">
        <v>10.64</v>
      </c>
      <c r="T4707" t="s">
        <v>52</v>
      </c>
      <c r="U4707">
        <v>1</v>
      </c>
      <c r="V4707">
        <v>6</v>
      </c>
    </row>
    <row r="4708" spans="1:22" x14ac:dyDescent="0.3">
      <c r="A4708">
        <v>4707</v>
      </c>
      <c r="B4708">
        <v>55195</v>
      </c>
      <c r="C4708" s="2">
        <v>38414</v>
      </c>
      <c r="D4708">
        <v>20</v>
      </c>
      <c r="E4708" t="s">
        <v>42</v>
      </c>
      <c r="F4708" t="s">
        <v>37</v>
      </c>
      <c r="G4708" s="2">
        <v>45410</v>
      </c>
      <c r="H4708" s="3">
        <f t="shared" si="73"/>
        <v>1.5041095890410958</v>
      </c>
      <c r="I4708">
        <v>12</v>
      </c>
      <c r="J4708" t="s">
        <v>38</v>
      </c>
      <c r="K4708" t="s">
        <v>65</v>
      </c>
      <c r="L4708" t="s">
        <v>44</v>
      </c>
      <c r="M4708">
        <v>10.64</v>
      </c>
      <c r="T4708" t="s">
        <v>47</v>
      </c>
      <c r="U4708">
        <v>1</v>
      </c>
      <c r="V4708">
        <v>6</v>
      </c>
    </row>
    <row r="4709" spans="1:22" x14ac:dyDescent="0.3">
      <c r="A4709">
        <v>4708</v>
      </c>
      <c r="B4709">
        <v>55196</v>
      </c>
      <c r="C4709" s="2">
        <v>35874</v>
      </c>
      <c r="D4709">
        <v>27</v>
      </c>
      <c r="E4709" t="s">
        <v>42</v>
      </c>
      <c r="F4709" t="s">
        <v>50</v>
      </c>
      <c r="G4709" s="2">
        <v>45473</v>
      </c>
      <c r="H4709" s="3">
        <f t="shared" si="73"/>
        <v>1.704109589041096</v>
      </c>
      <c r="I4709">
        <v>12</v>
      </c>
      <c r="J4709" t="s">
        <v>38</v>
      </c>
      <c r="K4709" t="s">
        <v>56</v>
      </c>
      <c r="L4709" t="s">
        <v>44</v>
      </c>
      <c r="M4709">
        <v>8.4700000000000006</v>
      </c>
      <c r="T4709" t="s">
        <v>52</v>
      </c>
      <c r="U4709">
        <v>2</v>
      </c>
      <c r="V4709">
        <v>6</v>
      </c>
    </row>
    <row r="4710" spans="1:22" x14ac:dyDescent="0.3">
      <c r="A4710">
        <v>4709</v>
      </c>
      <c r="B4710">
        <v>55197</v>
      </c>
      <c r="C4710" s="2">
        <v>37488</v>
      </c>
      <c r="D4710">
        <v>23</v>
      </c>
      <c r="E4710" t="s">
        <v>42</v>
      </c>
      <c r="F4710" t="s">
        <v>50</v>
      </c>
      <c r="G4710" s="2">
        <v>45400</v>
      </c>
      <c r="H4710" s="3">
        <f t="shared" si="73"/>
        <v>1.0657534246575342</v>
      </c>
      <c r="I4710">
        <v>12</v>
      </c>
      <c r="J4710" t="s">
        <v>38</v>
      </c>
      <c r="K4710" t="s">
        <v>56</v>
      </c>
      <c r="L4710" t="s">
        <v>44</v>
      </c>
      <c r="M4710">
        <v>8.4700000000000006</v>
      </c>
      <c r="T4710" t="s">
        <v>45</v>
      </c>
      <c r="U4710">
        <v>2</v>
      </c>
      <c r="V4710">
        <v>5</v>
      </c>
    </row>
    <row r="4711" spans="1:22" x14ac:dyDescent="0.3">
      <c r="A4711">
        <v>4710</v>
      </c>
      <c r="B4711">
        <v>55198</v>
      </c>
      <c r="C4711" s="2">
        <v>38873</v>
      </c>
      <c r="D4711">
        <v>19</v>
      </c>
      <c r="E4711" t="s">
        <v>42</v>
      </c>
      <c r="F4711" t="s">
        <v>50</v>
      </c>
      <c r="G4711" s="2">
        <v>45633</v>
      </c>
      <c r="H4711" s="3">
        <f t="shared" si="73"/>
        <v>1.2794520547945205</v>
      </c>
      <c r="I4711">
        <v>12</v>
      </c>
      <c r="J4711" t="s">
        <v>38</v>
      </c>
      <c r="K4711" t="s">
        <v>56</v>
      </c>
      <c r="L4711" t="s">
        <v>44</v>
      </c>
      <c r="M4711">
        <v>8.4700000000000006</v>
      </c>
      <c r="T4711" t="s">
        <v>45</v>
      </c>
      <c r="U4711">
        <v>2</v>
      </c>
      <c r="V4711">
        <v>7</v>
      </c>
    </row>
    <row r="4712" spans="1:22" x14ac:dyDescent="0.3">
      <c r="A4712">
        <v>4711</v>
      </c>
      <c r="B4712">
        <v>55199</v>
      </c>
      <c r="C4712" s="2">
        <v>38777</v>
      </c>
      <c r="D4712">
        <v>20</v>
      </c>
      <c r="E4712" t="s">
        <v>42</v>
      </c>
      <c r="F4712" t="s">
        <v>50</v>
      </c>
      <c r="G4712" s="2">
        <v>45555</v>
      </c>
      <c r="H4712" s="3">
        <f t="shared" si="73"/>
        <v>1.9287671232876713</v>
      </c>
      <c r="I4712">
        <v>12</v>
      </c>
      <c r="J4712" t="s">
        <v>38</v>
      </c>
      <c r="K4712" t="s">
        <v>56</v>
      </c>
      <c r="L4712" t="s">
        <v>44</v>
      </c>
      <c r="M4712">
        <v>8.4700000000000006</v>
      </c>
      <c r="T4712" t="s">
        <v>52</v>
      </c>
      <c r="U4712">
        <v>2</v>
      </c>
      <c r="V4712">
        <v>7</v>
      </c>
    </row>
    <row r="4713" spans="1:22" x14ac:dyDescent="0.3">
      <c r="A4713">
        <v>4712</v>
      </c>
      <c r="B4713">
        <v>55200</v>
      </c>
      <c r="C4713" s="2">
        <v>36379</v>
      </c>
      <c r="D4713">
        <v>26</v>
      </c>
      <c r="E4713" t="s">
        <v>42</v>
      </c>
      <c r="F4713" t="s">
        <v>50</v>
      </c>
      <c r="G4713" s="2">
        <v>45318</v>
      </c>
      <c r="H4713" s="3">
        <f t="shared" si="73"/>
        <v>1.0383561643835617</v>
      </c>
      <c r="I4713">
        <v>12</v>
      </c>
      <c r="J4713" t="s">
        <v>38</v>
      </c>
      <c r="K4713" t="s">
        <v>56</v>
      </c>
      <c r="L4713" t="s">
        <v>44</v>
      </c>
      <c r="M4713">
        <v>8.4700000000000006</v>
      </c>
      <c r="T4713" t="s">
        <v>52</v>
      </c>
      <c r="U4713">
        <v>4</v>
      </c>
      <c r="V4713">
        <v>7</v>
      </c>
    </row>
    <row r="4714" spans="1:22" x14ac:dyDescent="0.3">
      <c r="A4714">
        <v>4713</v>
      </c>
      <c r="B4714">
        <v>55201</v>
      </c>
      <c r="C4714" s="2">
        <v>38716</v>
      </c>
      <c r="D4714">
        <v>20</v>
      </c>
      <c r="E4714" t="s">
        <v>42</v>
      </c>
      <c r="F4714" t="s">
        <v>50</v>
      </c>
      <c r="G4714" s="2">
        <v>45643</v>
      </c>
      <c r="H4714" s="3">
        <f t="shared" si="73"/>
        <v>1.2</v>
      </c>
      <c r="I4714">
        <v>12</v>
      </c>
      <c r="J4714" t="s">
        <v>38</v>
      </c>
      <c r="K4714" t="s">
        <v>56</v>
      </c>
      <c r="L4714" t="s">
        <v>44</v>
      </c>
      <c r="M4714">
        <v>8.4700000000000006</v>
      </c>
      <c r="T4714" t="s">
        <v>47</v>
      </c>
      <c r="U4714">
        <v>4</v>
      </c>
      <c r="V4714">
        <v>6</v>
      </c>
    </row>
    <row r="4715" spans="1:22" x14ac:dyDescent="0.3">
      <c r="A4715">
        <v>4714</v>
      </c>
      <c r="B4715">
        <v>55202</v>
      </c>
      <c r="C4715" s="2">
        <v>37807</v>
      </c>
      <c r="D4715">
        <v>22</v>
      </c>
      <c r="E4715" t="s">
        <v>42</v>
      </c>
      <c r="F4715" t="s">
        <v>50</v>
      </c>
      <c r="G4715" s="2">
        <v>45584</v>
      </c>
      <c r="H4715" s="3">
        <f t="shared" si="73"/>
        <v>1.3205479452054794</v>
      </c>
      <c r="I4715">
        <v>12</v>
      </c>
      <c r="J4715" t="s">
        <v>38</v>
      </c>
      <c r="K4715" t="s">
        <v>56</v>
      </c>
      <c r="L4715" t="s">
        <v>44</v>
      </c>
      <c r="M4715">
        <v>8.4700000000000006</v>
      </c>
      <c r="T4715" t="s">
        <v>52</v>
      </c>
      <c r="U4715">
        <v>3</v>
      </c>
      <c r="V4715">
        <v>6</v>
      </c>
    </row>
    <row r="4716" spans="1:22" x14ac:dyDescent="0.3">
      <c r="A4716">
        <v>4715</v>
      </c>
      <c r="B4716">
        <v>55203</v>
      </c>
      <c r="C4716" s="2">
        <v>38524</v>
      </c>
      <c r="D4716">
        <v>20</v>
      </c>
      <c r="E4716" t="s">
        <v>36</v>
      </c>
      <c r="F4716" t="s">
        <v>37</v>
      </c>
      <c r="G4716" s="2">
        <v>45540</v>
      </c>
      <c r="H4716" s="3">
        <f t="shared" si="73"/>
        <v>1.7452054794520548</v>
      </c>
      <c r="I4716">
        <v>12</v>
      </c>
      <c r="J4716" t="s">
        <v>38</v>
      </c>
      <c r="K4716" t="s">
        <v>56</v>
      </c>
      <c r="L4716" t="s">
        <v>44</v>
      </c>
      <c r="M4716">
        <v>8.4700000000000006</v>
      </c>
      <c r="T4716" t="s">
        <v>45</v>
      </c>
      <c r="U4716">
        <v>2</v>
      </c>
      <c r="V4716">
        <v>4</v>
      </c>
    </row>
    <row r="4717" spans="1:22" x14ac:dyDescent="0.3">
      <c r="A4717">
        <v>4716</v>
      </c>
      <c r="B4717">
        <v>55204</v>
      </c>
      <c r="C4717" s="2">
        <v>37216</v>
      </c>
      <c r="D4717">
        <v>24</v>
      </c>
      <c r="E4717" t="s">
        <v>42</v>
      </c>
      <c r="F4717" t="s">
        <v>50</v>
      </c>
      <c r="G4717" s="2">
        <v>45385</v>
      </c>
      <c r="H4717" s="3">
        <f t="shared" si="73"/>
        <v>1.3589041095890411</v>
      </c>
      <c r="I4717">
        <v>12</v>
      </c>
      <c r="J4717" t="s">
        <v>38</v>
      </c>
      <c r="K4717" t="s">
        <v>56</v>
      </c>
      <c r="L4717" t="s">
        <v>44</v>
      </c>
      <c r="M4717">
        <v>8.4700000000000006</v>
      </c>
      <c r="T4717" t="s">
        <v>49</v>
      </c>
      <c r="U4717">
        <v>1</v>
      </c>
      <c r="V4717">
        <v>6</v>
      </c>
    </row>
    <row r="4718" spans="1:22" x14ac:dyDescent="0.3">
      <c r="A4718">
        <v>4717</v>
      </c>
      <c r="B4718">
        <v>55205</v>
      </c>
      <c r="C4718" s="2">
        <v>36590</v>
      </c>
      <c r="D4718">
        <v>25</v>
      </c>
      <c r="E4718" t="s">
        <v>42</v>
      </c>
      <c r="F4718" t="s">
        <v>50</v>
      </c>
      <c r="G4718" s="2">
        <v>45526</v>
      </c>
      <c r="H4718" s="3">
        <f t="shared" si="73"/>
        <v>1.7616438356164383</v>
      </c>
      <c r="I4718">
        <v>12</v>
      </c>
      <c r="J4718" t="s">
        <v>38</v>
      </c>
      <c r="K4718" t="s">
        <v>56</v>
      </c>
      <c r="L4718" t="s">
        <v>44</v>
      </c>
      <c r="M4718">
        <v>8.4700000000000006</v>
      </c>
      <c r="T4718" t="s">
        <v>45</v>
      </c>
      <c r="U4718">
        <v>1</v>
      </c>
      <c r="V4718">
        <v>6</v>
      </c>
    </row>
    <row r="4719" spans="1:22" x14ac:dyDescent="0.3">
      <c r="A4719">
        <v>4718</v>
      </c>
      <c r="B4719">
        <v>55206</v>
      </c>
      <c r="C4719" s="2">
        <v>38559</v>
      </c>
      <c r="D4719">
        <v>20</v>
      </c>
      <c r="E4719" t="s">
        <v>42</v>
      </c>
      <c r="F4719" t="s">
        <v>37</v>
      </c>
      <c r="G4719" s="2">
        <v>45379</v>
      </c>
      <c r="H4719" s="3">
        <f t="shared" si="73"/>
        <v>1.2465753424657535</v>
      </c>
      <c r="I4719">
        <v>12</v>
      </c>
      <c r="J4719" t="s">
        <v>38</v>
      </c>
      <c r="K4719" t="s">
        <v>56</v>
      </c>
      <c r="L4719" t="s">
        <v>44</v>
      </c>
      <c r="M4719">
        <v>8.4700000000000006</v>
      </c>
      <c r="T4719" t="s">
        <v>49</v>
      </c>
      <c r="U4719">
        <v>2</v>
      </c>
      <c r="V4719">
        <v>5</v>
      </c>
    </row>
    <row r="4720" spans="1:22" x14ac:dyDescent="0.3">
      <c r="A4720">
        <v>4719</v>
      </c>
      <c r="B4720">
        <v>55207</v>
      </c>
      <c r="C4720" s="2">
        <v>35183</v>
      </c>
      <c r="D4720">
        <v>29</v>
      </c>
      <c r="E4720" t="s">
        <v>42</v>
      </c>
      <c r="F4720" t="s">
        <v>37</v>
      </c>
      <c r="G4720" s="2">
        <v>45567</v>
      </c>
      <c r="H4720" s="3">
        <f t="shared" si="73"/>
        <v>1.0465753424657533</v>
      </c>
      <c r="I4720">
        <v>12</v>
      </c>
      <c r="J4720" t="s">
        <v>38</v>
      </c>
      <c r="K4720" t="s">
        <v>56</v>
      </c>
      <c r="L4720" t="s">
        <v>44</v>
      </c>
      <c r="M4720">
        <v>8.4700000000000006</v>
      </c>
      <c r="T4720" t="s">
        <v>45</v>
      </c>
      <c r="U4720">
        <v>4</v>
      </c>
      <c r="V4720">
        <v>5</v>
      </c>
    </row>
    <row r="4721" spans="1:22" x14ac:dyDescent="0.3">
      <c r="A4721">
        <v>4720</v>
      </c>
      <c r="B4721">
        <v>55208</v>
      </c>
      <c r="C4721" s="2">
        <v>34516</v>
      </c>
      <c r="D4721">
        <v>32</v>
      </c>
      <c r="E4721" t="s">
        <v>42</v>
      </c>
      <c r="F4721" t="s">
        <v>50</v>
      </c>
      <c r="G4721" s="2">
        <v>45640</v>
      </c>
      <c r="H4721" s="3">
        <f t="shared" si="73"/>
        <v>1.536986301369863</v>
      </c>
      <c r="I4721">
        <v>12</v>
      </c>
      <c r="J4721" t="s">
        <v>38</v>
      </c>
      <c r="K4721" t="s">
        <v>56</v>
      </c>
      <c r="L4721" t="s">
        <v>44</v>
      </c>
      <c r="M4721">
        <v>8.4700000000000006</v>
      </c>
      <c r="T4721" t="s">
        <v>45</v>
      </c>
      <c r="U4721">
        <v>2</v>
      </c>
      <c r="V4721">
        <v>6</v>
      </c>
    </row>
    <row r="4722" spans="1:22" x14ac:dyDescent="0.3">
      <c r="A4722">
        <v>4721</v>
      </c>
      <c r="B4722">
        <v>55209</v>
      </c>
      <c r="C4722" s="2">
        <v>39027</v>
      </c>
      <c r="D4722">
        <v>19</v>
      </c>
      <c r="E4722" t="s">
        <v>42</v>
      </c>
      <c r="F4722" t="s">
        <v>37</v>
      </c>
      <c r="G4722" s="2">
        <v>45461</v>
      </c>
      <c r="H4722" s="3">
        <f t="shared" si="73"/>
        <v>1.2301369863013698</v>
      </c>
      <c r="I4722">
        <v>12</v>
      </c>
      <c r="J4722" t="s">
        <v>38</v>
      </c>
      <c r="K4722" t="s">
        <v>56</v>
      </c>
      <c r="L4722" t="s">
        <v>44</v>
      </c>
      <c r="M4722">
        <v>8.4700000000000006</v>
      </c>
      <c r="T4722" t="s">
        <v>45</v>
      </c>
      <c r="U4722">
        <v>2</v>
      </c>
      <c r="V4722">
        <v>6</v>
      </c>
    </row>
    <row r="4723" spans="1:22" x14ac:dyDescent="0.3">
      <c r="A4723">
        <v>4722</v>
      </c>
      <c r="B4723">
        <v>55210</v>
      </c>
      <c r="C4723" s="2">
        <v>37338</v>
      </c>
      <c r="D4723">
        <v>23</v>
      </c>
      <c r="E4723" t="s">
        <v>36</v>
      </c>
      <c r="F4723" t="s">
        <v>50</v>
      </c>
      <c r="G4723" s="2">
        <v>45573</v>
      </c>
      <c r="H4723" s="3">
        <f t="shared" si="73"/>
        <v>1.6109589041095891</v>
      </c>
      <c r="I4723">
        <v>13</v>
      </c>
      <c r="J4723" t="s">
        <v>38</v>
      </c>
      <c r="K4723" t="s">
        <v>68</v>
      </c>
      <c r="L4723" t="s">
        <v>44</v>
      </c>
      <c r="M4723">
        <v>17</v>
      </c>
      <c r="T4723" t="s">
        <v>47</v>
      </c>
      <c r="U4723">
        <v>4</v>
      </c>
      <c r="V4723">
        <v>5</v>
      </c>
    </row>
    <row r="4724" spans="1:22" x14ac:dyDescent="0.3">
      <c r="A4724">
        <v>4723</v>
      </c>
      <c r="B4724">
        <v>55211</v>
      </c>
      <c r="C4724" s="2">
        <v>37533</v>
      </c>
      <c r="D4724">
        <v>23</v>
      </c>
      <c r="E4724" t="s">
        <v>42</v>
      </c>
      <c r="F4724" t="s">
        <v>37</v>
      </c>
      <c r="G4724" s="2">
        <v>45434</v>
      </c>
      <c r="H4724" s="3">
        <f t="shared" si="73"/>
        <v>1.1726027397260275</v>
      </c>
      <c r="I4724">
        <v>13</v>
      </c>
      <c r="J4724" t="s">
        <v>38</v>
      </c>
      <c r="K4724" t="s">
        <v>68</v>
      </c>
      <c r="L4724" t="s">
        <v>44</v>
      </c>
      <c r="M4724">
        <v>17</v>
      </c>
      <c r="T4724" t="s">
        <v>45</v>
      </c>
      <c r="U4724">
        <v>3</v>
      </c>
      <c r="V4724">
        <v>6</v>
      </c>
    </row>
    <row r="4725" spans="1:22" x14ac:dyDescent="0.3">
      <c r="A4725">
        <v>4724</v>
      </c>
      <c r="B4725">
        <v>55212</v>
      </c>
      <c r="C4725" s="2">
        <v>38076</v>
      </c>
      <c r="D4725">
        <v>21</v>
      </c>
      <c r="E4725" t="s">
        <v>36</v>
      </c>
      <c r="F4725" t="s">
        <v>50</v>
      </c>
      <c r="G4725" s="2">
        <v>45594</v>
      </c>
      <c r="H4725" s="3">
        <f t="shared" si="73"/>
        <v>1.189041095890411</v>
      </c>
      <c r="I4725">
        <v>13</v>
      </c>
      <c r="J4725" t="s">
        <v>38</v>
      </c>
      <c r="K4725" t="s">
        <v>65</v>
      </c>
      <c r="L4725" t="s">
        <v>44</v>
      </c>
      <c r="M4725">
        <v>10.64</v>
      </c>
      <c r="T4725" t="s">
        <v>49</v>
      </c>
      <c r="U4725">
        <v>0</v>
      </c>
      <c r="V4725">
        <v>4</v>
      </c>
    </row>
    <row r="4726" spans="1:22" x14ac:dyDescent="0.3">
      <c r="A4726">
        <v>4725</v>
      </c>
      <c r="B4726">
        <v>55213</v>
      </c>
      <c r="C4726" s="2">
        <v>37647</v>
      </c>
      <c r="D4726">
        <v>22</v>
      </c>
      <c r="E4726" t="s">
        <v>42</v>
      </c>
      <c r="F4726" t="s">
        <v>50</v>
      </c>
      <c r="G4726" s="2">
        <v>45588</v>
      </c>
      <c r="H4726" s="3">
        <f t="shared" si="73"/>
        <v>1.7315068493150685</v>
      </c>
      <c r="I4726">
        <v>13</v>
      </c>
      <c r="J4726" t="s">
        <v>38</v>
      </c>
      <c r="K4726" t="s">
        <v>43</v>
      </c>
      <c r="L4726" t="s">
        <v>44</v>
      </c>
      <c r="M4726">
        <v>16.37</v>
      </c>
      <c r="T4726" t="s">
        <v>49</v>
      </c>
      <c r="U4726">
        <v>1</v>
      </c>
      <c r="V4726">
        <v>7</v>
      </c>
    </row>
    <row r="4727" spans="1:22" x14ac:dyDescent="0.3">
      <c r="A4727">
        <v>4726</v>
      </c>
      <c r="B4727">
        <v>55214</v>
      </c>
      <c r="C4727" s="2">
        <v>34741</v>
      </c>
      <c r="D4727">
        <v>30</v>
      </c>
      <c r="E4727" t="s">
        <v>42</v>
      </c>
      <c r="F4727" t="s">
        <v>37</v>
      </c>
      <c r="G4727" s="2">
        <v>45390</v>
      </c>
      <c r="H4727" s="3">
        <f t="shared" si="73"/>
        <v>1.6</v>
      </c>
      <c r="I4727">
        <v>13</v>
      </c>
      <c r="J4727" t="s">
        <v>38</v>
      </c>
      <c r="K4727" t="s">
        <v>43</v>
      </c>
      <c r="L4727" t="s">
        <v>44</v>
      </c>
      <c r="M4727">
        <v>16.37</v>
      </c>
      <c r="T4727" t="s">
        <v>45</v>
      </c>
      <c r="U4727">
        <v>2</v>
      </c>
      <c r="V4727">
        <v>6</v>
      </c>
    </row>
    <row r="4728" spans="1:22" x14ac:dyDescent="0.3">
      <c r="A4728">
        <v>4727</v>
      </c>
      <c r="B4728">
        <v>55215</v>
      </c>
      <c r="C4728" s="2">
        <v>36810</v>
      </c>
      <c r="D4728">
        <v>25</v>
      </c>
      <c r="E4728" t="s">
        <v>36</v>
      </c>
      <c r="F4728" t="s">
        <v>50</v>
      </c>
      <c r="G4728" s="2">
        <v>45438</v>
      </c>
      <c r="H4728" s="3">
        <f t="shared" si="73"/>
        <v>1.7068493150684931</v>
      </c>
      <c r="I4728">
        <v>13</v>
      </c>
      <c r="J4728" t="s">
        <v>38</v>
      </c>
      <c r="K4728" t="s">
        <v>46</v>
      </c>
      <c r="L4728" t="s">
        <v>44</v>
      </c>
      <c r="M4728">
        <v>14.23</v>
      </c>
      <c r="T4728" t="s">
        <v>47</v>
      </c>
      <c r="U4728">
        <v>1</v>
      </c>
      <c r="V4728">
        <v>5</v>
      </c>
    </row>
    <row r="4729" spans="1:22" x14ac:dyDescent="0.3">
      <c r="A4729">
        <v>4728</v>
      </c>
      <c r="B4729">
        <v>55217</v>
      </c>
      <c r="C4729" s="2">
        <v>37838</v>
      </c>
      <c r="D4729">
        <v>22</v>
      </c>
      <c r="E4729" t="s">
        <v>42</v>
      </c>
      <c r="F4729" t="s">
        <v>50</v>
      </c>
      <c r="G4729" s="2">
        <v>45399</v>
      </c>
      <c r="H4729" s="3">
        <f t="shared" si="73"/>
        <v>1.4821917808219178</v>
      </c>
      <c r="I4729">
        <v>13</v>
      </c>
      <c r="J4729" t="s">
        <v>38</v>
      </c>
      <c r="K4729" t="s">
        <v>48</v>
      </c>
      <c r="L4729" t="s">
        <v>44</v>
      </c>
      <c r="M4729">
        <v>8.4700000000000006</v>
      </c>
      <c r="T4729" t="s">
        <v>52</v>
      </c>
      <c r="U4729">
        <v>1</v>
      </c>
      <c r="V4729">
        <v>7</v>
      </c>
    </row>
    <row r="4730" spans="1:22" x14ac:dyDescent="0.3">
      <c r="A4730">
        <v>4729</v>
      </c>
      <c r="B4730">
        <v>55218</v>
      </c>
      <c r="C4730" s="2">
        <v>36637</v>
      </c>
      <c r="D4730">
        <v>25</v>
      </c>
      <c r="E4730" t="s">
        <v>42</v>
      </c>
      <c r="F4730" t="s">
        <v>50</v>
      </c>
      <c r="G4730" s="2">
        <v>45481</v>
      </c>
      <c r="H4730" s="3">
        <f t="shared" si="73"/>
        <v>1.7671232876712328</v>
      </c>
      <c r="I4730">
        <v>13</v>
      </c>
      <c r="J4730" t="s">
        <v>38</v>
      </c>
      <c r="K4730" t="s">
        <v>48</v>
      </c>
      <c r="L4730" t="s">
        <v>44</v>
      </c>
      <c r="M4730">
        <v>8.4700000000000006</v>
      </c>
      <c r="T4730" t="s">
        <v>52</v>
      </c>
      <c r="U4730">
        <v>2</v>
      </c>
      <c r="V4730">
        <v>7</v>
      </c>
    </row>
    <row r="4731" spans="1:22" x14ac:dyDescent="0.3">
      <c r="A4731">
        <v>4730</v>
      </c>
      <c r="B4731">
        <v>55219</v>
      </c>
      <c r="C4731" s="2">
        <v>38563</v>
      </c>
      <c r="D4731">
        <v>20</v>
      </c>
      <c r="E4731" t="s">
        <v>42</v>
      </c>
      <c r="F4731" t="s">
        <v>50</v>
      </c>
      <c r="G4731" s="2">
        <v>45377</v>
      </c>
      <c r="H4731" s="3">
        <f t="shared" si="73"/>
        <v>1.6602739726027398</v>
      </c>
      <c r="I4731">
        <v>13</v>
      </c>
      <c r="J4731" t="s">
        <v>38</v>
      </c>
      <c r="K4731" t="s">
        <v>56</v>
      </c>
      <c r="L4731" t="s">
        <v>44</v>
      </c>
      <c r="M4731">
        <v>8.4700000000000006</v>
      </c>
      <c r="T4731" t="s">
        <v>52</v>
      </c>
      <c r="U4731">
        <v>4</v>
      </c>
      <c r="V4731">
        <v>7</v>
      </c>
    </row>
    <row r="4732" spans="1:22" x14ac:dyDescent="0.3">
      <c r="A4732">
        <v>4731</v>
      </c>
      <c r="B4732">
        <v>55220</v>
      </c>
      <c r="C4732" s="2">
        <v>38680</v>
      </c>
      <c r="D4732">
        <v>20</v>
      </c>
      <c r="E4732" t="s">
        <v>42</v>
      </c>
      <c r="F4732" t="s">
        <v>50</v>
      </c>
      <c r="G4732" s="2">
        <v>45416</v>
      </c>
      <c r="H4732" s="3">
        <f t="shared" si="73"/>
        <v>1.3726027397260274</v>
      </c>
      <c r="I4732">
        <v>13</v>
      </c>
      <c r="J4732" t="s">
        <v>38</v>
      </c>
      <c r="K4732" t="s">
        <v>56</v>
      </c>
      <c r="L4732" t="s">
        <v>44</v>
      </c>
      <c r="M4732">
        <v>8.4700000000000006</v>
      </c>
      <c r="T4732" t="s">
        <v>47</v>
      </c>
      <c r="U4732">
        <v>2</v>
      </c>
      <c r="V4732">
        <v>4</v>
      </c>
    </row>
    <row r="4733" spans="1:22" x14ac:dyDescent="0.3">
      <c r="A4733">
        <v>4732</v>
      </c>
      <c r="B4733">
        <v>55221</v>
      </c>
      <c r="C4733" s="2">
        <v>38067</v>
      </c>
      <c r="D4733">
        <v>21</v>
      </c>
      <c r="E4733" t="s">
        <v>42</v>
      </c>
      <c r="F4733" t="s">
        <v>37</v>
      </c>
      <c r="G4733" s="2">
        <v>45521</v>
      </c>
      <c r="H4733" s="3">
        <f t="shared" si="73"/>
        <v>1.2602739726027397</v>
      </c>
      <c r="I4733">
        <v>13</v>
      </c>
      <c r="J4733" t="s">
        <v>38</v>
      </c>
      <c r="K4733" t="s">
        <v>56</v>
      </c>
      <c r="L4733" t="s">
        <v>44</v>
      </c>
      <c r="M4733">
        <v>8.4700000000000006</v>
      </c>
      <c r="T4733" t="s">
        <v>49</v>
      </c>
      <c r="U4733">
        <v>3</v>
      </c>
      <c r="V4733">
        <v>6</v>
      </c>
    </row>
    <row r="4734" spans="1:22" x14ac:dyDescent="0.3">
      <c r="A4734">
        <v>4733</v>
      </c>
      <c r="B4734">
        <v>55222</v>
      </c>
      <c r="C4734" s="2">
        <v>38216</v>
      </c>
      <c r="D4734">
        <v>21</v>
      </c>
      <c r="E4734" t="s">
        <v>42</v>
      </c>
      <c r="F4734" t="s">
        <v>50</v>
      </c>
      <c r="G4734" s="2">
        <v>45562</v>
      </c>
      <c r="H4734" s="3">
        <f t="shared" si="73"/>
        <v>1.189041095890411</v>
      </c>
      <c r="I4734">
        <v>13</v>
      </c>
      <c r="J4734" t="s">
        <v>38</v>
      </c>
      <c r="K4734" t="s">
        <v>56</v>
      </c>
      <c r="L4734" t="s">
        <v>44</v>
      </c>
      <c r="M4734">
        <v>8.4700000000000006</v>
      </c>
      <c r="T4734" t="s">
        <v>49</v>
      </c>
      <c r="U4734">
        <v>2</v>
      </c>
      <c r="V4734">
        <v>5</v>
      </c>
    </row>
    <row r="4735" spans="1:22" x14ac:dyDescent="0.3">
      <c r="A4735">
        <v>4734</v>
      </c>
      <c r="B4735">
        <v>55223</v>
      </c>
      <c r="C4735" s="2">
        <v>34588</v>
      </c>
      <c r="D4735">
        <v>31</v>
      </c>
      <c r="E4735" t="s">
        <v>42</v>
      </c>
      <c r="F4735" t="s">
        <v>50</v>
      </c>
      <c r="G4735" s="2">
        <v>45588</v>
      </c>
      <c r="H4735" s="3">
        <f t="shared" si="73"/>
        <v>1.2356164383561643</v>
      </c>
      <c r="I4735">
        <v>13</v>
      </c>
      <c r="J4735" t="s">
        <v>38</v>
      </c>
      <c r="K4735" t="s">
        <v>56</v>
      </c>
      <c r="L4735" t="s">
        <v>44</v>
      </c>
      <c r="M4735">
        <v>8.4700000000000006</v>
      </c>
      <c r="T4735" t="s">
        <v>49</v>
      </c>
      <c r="U4735">
        <v>2</v>
      </c>
      <c r="V4735">
        <v>7</v>
      </c>
    </row>
    <row r="4736" spans="1:22" x14ac:dyDescent="0.3">
      <c r="A4736">
        <v>4735</v>
      </c>
      <c r="B4736">
        <v>55224</v>
      </c>
      <c r="C4736" s="2">
        <v>38355</v>
      </c>
      <c r="D4736">
        <v>20</v>
      </c>
      <c r="E4736" t="s">
        <v>42</v>
      </c>
      <c r="F4736" t="s">
        <v>50</v>
      </c>
      <c r="G4736" s="2">
        <v>45571</v>
      </c>
      <c r="H4736" s="3">
        <f t="shared" si="73"/>
        <v>1.8164383561643835</v>
      </c>
      <c r="I4736">
        <v>13</v>
      </c>
      <c r="J4736" t="s">
        <v>38</v>
      </c>
      <c r="K4736" t="s">
        <v>56</v>
      </c>
      <c r="L4736" t="s">
        <v>44</v>
      </c>
      <c r="M4736">
        <v>8.4700000000000006</v>
      </c>
      <c r="T4736" t="s">
        <v>47</v>
      </c>
      <c r="U4736">
        <v>2</v>
      </c>
      <c r="V4736">
        <v>7</v>
      </c>
    </row>
    <row r="4737" spans="1:22" x14ac:dyDescent="0.3">
      <c r="A4737">
        <v>4736</v>
      </c>
      <c r="B4737">
        <v>55225</v>
      </c>
      <c r="C4737" s="2">
        <v>38587</v>
      </c>
      <c r="D4737">
        <v>20</v>
      </c>
      <c r="E4737" t="s">
        <v>42</v>
      </c>
      <c r="F4737" t="s">
        <v>37</v>
      </c>
      <c r="G4737" s="2">
        <v>45359</v>
      </c>
      <c r="H4737" s="3">
        <f t="shared" si="73"/>
        <v>1.1150684931506849</v>
      </c>
      <c r="I4737">
        <v>13</v>
      </c>
      <c r="J4737" t="s">
        <v>38</v>
      </c>
      <c r="K4737" t="s">
        <v>56</v>
      </c>
      <c r="L4737" t="s">
        <v>44</v>
      </c>
      <c r="M4737">
        <v>8.4700000000000006</v>
      </c>
      <c r="T4737" t="s">
        <v>49</v>
      </c>
      <c r="U4737">
        <v>2</v>
      </c>
      <c r="V4737">
        <v>5</v>
      </c>
    </row>
    <row r="4738" spans="1:22" x14ac:dyDescent="0.3">
      <c r="A4738">
        <v>4737</v>
      </c>
      <c r="B4738">
        <v>55226</v>
      </c>
      <c r="C4738" s="2">
        <v>34155</v>
      </c>
      <c r="D4738">
        <v>32</v>
      </c>
      <c r="E4738" t="s">
        <v>42</v>
      </c>
      <c r="F4738" t="s">
        <v>37</v>
      </c>
      <c r="G4738" s="2">
        <v>45615</v>
      </c>
      <c r="H4738" s="3">
        <f t="shared" si="73"/>
        <v>1.3863013698630138</v>
      </c>
      <c r="I4738">
        <v>13</v>
      </c>
      <c r="J4738" t="s">
        <v>38</v>
      </c>
      <c r="K4738" t="s">
        <v>56</v>
      </c>
      <c r="L4738" t="s">
        <v>44</v>
      </c>
      <c r="M4738">
        <v>8.4700000000000006</v>
      </c>
      <c r="T4738" t="s">
        <v>49</v>
      </c>
      <c r="U4738">
        <v>4</v>
      </c>
      <c r="V4738">
        <v>7</v>
      </c>
    </row>
    <row r="4739" spans="1:22" x14ac:dyDescent="0.3">
      <c r="A4739">
        <v>4738</v>
      </c>
      <c r="B4739">
        <v>55227</v>
      </c>
      <c r="C4739" s="2">
        <v>39433</v>
      </c>
      <c r="D4739">
        <v>18</v>
      </c>
      <c r="E4739" t="s">
        <v>42</v>
      </c>
      <c r="F4739" t="s">
        <v>50</v>
      </c>
      <c r="G4739" s="2">
        <v>45516</v>
      </c>
      <c r="H4739" s="3">
        <f t="shared" ref="H4739:H4802" si="74">DATEDIF(G4740,DATE(2025,12,31),"d")/365</f>
        <v>1.4301369863013698</v>
      </c>
      <c r="I4739">
        <v>13</v>
      </c>
      <c r="J4739" t="s">
        <v>38</v>
      </c>
      <c r="K4739" t="s">
        <v>56</v>
      </c>
      <c r="L4739" t="s">
        <v>44</v>
      </c>
      <c r="M4739">
        <v>8.4700000000000006</v>
      </c>
      <c r="T4739" t="s">
        <v>52</v>
      </c>
      <c r="U4739">
        <v>1</v>
      </c>
      <c r="V4739">
        <v>6</v>
      </c>
    </row>
    <row r="4740" spans="1:22" x14ac:dyDescent="0.3">
      <c r="A4740">
        <v>4739</v>
      </c>
      <c r="B4740">
        <v>55228</v>
      </c>
      <c r="C4740" s="2">
        <v>37881</v>
      </c>
      <c r="D4740">
        <v>22</v>
      </c>
      <c r="E4740" t="s">
        <v>42</v>
      </c>
      <c r="F4740" t="s">
        <v>50</v>
      </c>
      <c r="G4740" s="2">
        <v>45500</v>
      </c>
      <c r="H4740" s="3">
        <f t="shared" si="74"/>
        <v>1.0027397260273974</v>
      </c>
      <c r="I4740">
        <v>13</v>
      </c>
      <c r="J4740" t="s">
        <v>38</v>
      </c>
      <c r="K4740" t="s">
        <v>56</v>
      </c>
      <c r="L4740" t="s">
        <v>44</v>
      </c>
      <c r="M4740">
        <v>8.4700000000000006</v>
      </c>
      <c r="T4740" t="s">
        <v>45</v>
      </c>
      <c r="U4740">
        <v>1</v>
      </c>
      <c r="V4740">
        <v>5</v>
      </c>
    </row>
    <row r="4741" spans="1:22" x14ac:dyDescent="0.3">
      <c r="A4741">
        <v>4740</v>
      </c>
      <c r="B4741">
        <v>55229</v>
      </c>
      <c r="C4741" s="2">
        <v>37320</v>
      </c>
      <c r="D4741">
        <v>23</v>
      </c>
      <c r="E4741" t="s">
        <v>42</v>
      </c>
      <c r="F4741" t="s">
        <v>50</v>
      </c>
      <c r="G4741" s="2">
        <v>45656</v>
      </c>
      <c r="H4741" s="3">
        <f t="shared" si="74"/>
        <v>1.3945205479452054</v>
      </c>
      <c r="I4741">
        <v>13</v>
      </c>
      <c r="J4741" t="s">
        <v>38</v>
      </c>
      <c r="K4741" t="s">
        <v>56</v>
      </c>
      <c r="L4741" t="s">
        <v>44</v>
      </c>
      <c r="M4741">
        <v>8.4700000000000006</v>
      </c>
      <c r="T4741" t="s">
        <v>52</v>
      </c>
      <c r="U4741">
        <v>1</v>
      </c>
      <c r="V4741">
        <v>6</v>
      </c>
    </row>
    <row r="4742" spans="1:22" x14ac:dyDescent="0.3">
      <c r="A4742">
        <v>4741</v>
      </c>
      <c r="B4742">
        <v>55230</v>
      </c>
      <c r="C4742" s="2">
        <v>38848</v>
      </c>
      <c r="D4742">
        <v>19</v>
      </c>
      <c r="E4742" t="s">
        <v>42</v>
      </c>
      <c r="F4742" t="s">
        <v>50</v>
      </c>
      <c r="G4742" s="2">
        <v>45513</v>
      </c>
      <c r="H4742" s="3">
        <f t="shared" si="74"/>
        <v>1.441095890410959</v>
      </c>
      <c r="I4742">
        <v>13</v>
      </c>
      <c r="J4742" t="s">
        <v>38</v>
      </c>
      <c r="K4742" t="s">
        <v>56</v>
      </c>
      <c r="L4742" t="s">
        <v>44</v>
      </c>
      <c r="M4742">
        <v>8.4700000000000006</v>
      </c>
      <c r="T4742" t="s">
        <v>45</v>
      </c>
      <c r="U4742">
        <v>2</v>
      </c>
      <c r="V4742">
        <v>6</v>
      </c>
    </row>
    <row r="4743" spans="1:22" x14ac:dyDescent="0.3">
      <c r="A4743">
        <v>4742</v>
      </c>
      <c r="B4743">
        <v>55231</v>
      </c>
      <c r="C4743" s="2">
        <v>36139</v>
      </c>
      <c r="D4743">
        <v>27</v>
      </c>
      <c r="E4743" t="s">
        <v>36</v>
      </c>
      <c r="F4743" t="s">
        <v>50</v>
      </c>
      <c r="G4743" s="2">
        <v>45496</v>
      </c>
      <c r="H4743" s="3">
        <f t="shared" si="74"/>
        <v>1.5205479452054795</v>
      </c>
      <c r="I4743">
        <v>13</v>
      </c>
      <c r="J4743" t="s">
        <v>38</v>
      </c>
      <c r="K4743" t="s">
        <v>56</v>
      </c>
      <c r="L4743" t="s">
        <v>44</v>
      </c>
      <c r="M4743">
        <v>8.4700000000000006</v>
      </c>
      <c r="T4743" t="s">
        <v>47</v>
      </c>
      <c r="U4743">
        <v>2</v>
      </c>
      <c r="V4743">
        <v>3</v>
      </c>
    </row>
    <row r="4744" spans="1:22" x14ac:dyDescent="0.3">
      <c r="A4744">
        <v>4743</v>
      </c>
      <c r="B4744">
        <v>55232</v>
      </c>
      <c r="C4744" s="2">
        <v>37031</v>
      </c>
      <c r="D4744">
        <v>24</v>
      </c>
      <c r="E4744" t="s">
        <v>42</v>
      </c>
      <c r="F4744" t="s">
        <v>50</v>
      </c>
      <c r="G4744" s="2">
        <v>45467</v>
      </c>
      <c r="H4744" s="3">
        <f t="shared" si="74"/>
        <v>1.452054794520548</v>
      </c>
      <c r="I4744">
        <v>13</v>
      </c>
      <c r="J4744" t="s">
        <v>38</v>
      </c>
      <c r="K4744" t="s">
        <v>56</v>
      </c>
      <c r="L4744" t="s">
        <v>44</v>
      </c>
      <c r="M4744">
        <v>8.4700000000000006</v>
      </c>
      <c r="T4744" t="s">
        <v>47</v>
      </c>
      <c r="U4744">
        <v>1</v>
      </c>
      <c r="V4744">
        <v>6</v>
      </c>
    </row>
    <row r="4745" spans="1:22" x14ac:dyDescent="0.3">
      <c r="A4745">
        <v>4744</v>
      </c>
      <c r="B4745">
        <v>55233</v>
      </c>
      <c r="C4745" s="2">
        <v>38626</v>
      </c>
      <c r="D4745">
        <v>21</v>
      </c>
      <c r="E4745" t="s">
        <v>42</v>
      </c>
      <c r="F4745" t="s">
        <v>50</v>
      </c>
      <c r="G4745" s="2">
        <v>45492</v>
      </c>
      <c r="H4745" s="3">
        <f t="shared" si="74"/>
        <v>1.4931506849315068</v>
      </c>
      <c r="I4745">
        <v>13</v>
      </c>
      <c r="J4745" t="s">
        <v>38</v>
      </c>
      <c r="K4745" t="s">
        <v>56</v>
      </c>
      <c r="L4745" t="s">
        <v>44</v>
      </c>
      <c r="M4745">
        <v>8.4700000000000006</v>
      </c>
      <c r="T4745" t="s">
        <v>47</v>
      </c>
      <c r="U4745">
        <v>1</v>
      </c>
      <c r="V4745">
        <v>6</v>
      </c>
    </row>
    <row r="4746" spans="1:22" x14ac:dyDescent="0.3">
      <c r="A4746">
        <v>4745</v>
      </c>
      <c r="B4746">
        <v>55234</v>
      </c>
      <c r="C4746" s="2">
        <v>36205</v>
      </c>
      <c r="D4746">
        <v>26</v>
      </c>
      <c r="E4746" t="s">
        <v>42</v>
      </c>
      <c r="F4746" t="s">
        <v>37</v>
      </c>
      <c r="G4746" s="2">
        <v>45477</v>
      </c>
      <c r="H4746" s="3">
        <f t="shared" si="74"/>
        <v>1.6931506849315068</v>
      </c>
      <c r="I4746">
        <v>13</v>
      </c>
      <c r="J4746" t="s">
        <v>38</v>
      </c>
      <c r="K4746" t="s">
        <v>56</v>
      </c>
      <c r="L4746" t="s">
        <v>44</v>
      </c>
      <c r="M4746">
        <v>8.4700000000000006</v>
      </c>
      <c r="T4746" t="s">
        <v>52</v>
      </c>
      <c r="U4746">
        <v>3</v>
      </c>
      <c r="V4746">
        <v>5</v>
      </c>
    </row>
    <row r="4747" spans="1:22" x14ac:dyDescent="0.3">
      <c r="A4747">
        <v>4746</v>
      </c>
      <c r="B4747">
        <v>55235</v>
      </c>
      <c r="C4747" s="2">
        <v>35472</v>
      </c>
      <c r="D4747">
        <v>28</v>
      </c>
      <c r="E4747" t="s">
        <v>42</v>
      </c>
      <c r="F4747" t="s">
        <v>50</v>
      </c>
      <c r="G4747" s="2">
        <v>45404</v>
      </c>
      <c r="H4747" s="3">
        <f t="shared" si="74"/>
        <v>1.7342465753424658</v>
      </c>
      <c r="I4747">
        <v>13</v>
      </c>
      <c r="J4747" t="s">
        <v>38</v>
      </c>
      <c r="K4747" t="s">
        <v>56</v>
      </c>
      <c r="L4747" t="s">
        <v>44</v>
      </c>
      <c r="M4747">
        <v>8.4700000000000006</v>
      </c>
      <c r="T4747" t="s">
        <v>52</v>
      </c>
      <c r="U4747">
        <v>2</v>
      </c>
      <c r="V4747">
        <v>6</v>
      </c>
    </row>
    <row r="4748" spans="1:22" x14ac:dyDescent="0.3">
      <c r="A4748">
        <v>4747</v>
      </c>
      <c r="B4748">
        <v>55236</v>
      </c>
      <c r="C4748" s="2">
        <v>35417</v>
      </c>
      <c r="D4748">
        <v>29</v>
      </c>
      <c r="E4748" t="s">
        <v>42</v>
      </c>
      <c r="F4748" t="s">
        <v>50</v>
      </c>
      <c r="G4748" s="2">
        <v>45389</v>
      </c>
      <c r="H4748" s="3">
        <f t="shared" si="74"/>
        <v>1.2438356164383562</v>
      </c>
      <c r="I4748">
        <v>14</v>
      </c>
      <c r="J4748" t="s">
        <v>38</v>
      </c>
      <c r="K4748" t="s">
        <v>68</v>
      </c>
      <c r="L4748" t="s">
        <v>44</v>
      </c>
      <c r="M4748">
        <v>17</v>
      </c>
      <c r="T4748" t="s">
        <v>52</v>
      </c>
      <c r="U4748">
        <v>2</v>
      </c>
      <c r="V4748">
        <v>5</v>
      </c>
    </row>
    <row r="4749" spans="1:22" x14ac:dyDescent="0.3">
      <c r="A4749">
        <v>4748</v>
      </c>
      <c r="B4749">
        <v>55237</v>
      </c>
      <c r="C4749" s="2">
        <v>37452</v>
      </c>
      <c r="D4749">
        <v>23</v>
      </c>
      <c r="E4749" t="s">
        <v>36</v>
      </c>
      <c r="F4749" t="s">
        <v>50</v>
      </c>
      <c r="G4749" s="2">
        <v>45568</v>
      </c>
      <c r="H4749" s="3">
        <f t="shared" si="74"/>
        <v>1.1150684931506849</v>
      </c>
      <c r="I4749">
        <v>14</v>
      </c>
      <c r="J4749" t="s">
        <v>38</v>
      </c>
      <c r="K4749" t="s">
        <v>65</v>
      </c>
      <c r="L4749" t="s">
        <v>44</v>
      </c>
      <c r="M4749">
        <v>10.64</v>
      </c>
      <c r="T4749" t="s">
        <v>52</v>
      </c>
      <c r="U4749">
        <v>0</v>
      </c>
      <c r="V4749">
        <v>4</v>
      </c>
    </row>
    <row r="4750" spans="1:22" x14ac:dyDescent="0.3">
      <c r="A4750">
        <v>4749</v>
      </c>
      <c r="B4750">
        <v>55238</v>
      </c>
      <c r="C4750" s="2">
        <v>37718</v>
      </c>
      <c r="D4750">
        <v>22</v>
      </c>
      <c r="E4750" t="s">
        <v>42</v>
      </c>
      <c r="F4750" t="s">
        <v>50</v>
      </c>
      <c r="G4750" s="2">
        <v>45615</v>
      </c>
      <c r="H4750" s="3">
        <f t="shared" si="74"/>
        <v>1.0931506849315069</v>
      </c>
      <c r="I4750">
        <v>14</v>
      </c>
      <c r="J4750" t="s">
        <v>38</v>
      </c>
      <c r="K4750" t="s">
        <v>64</v>
      </c>
      <c r="L4750" t="s">
        <v>44</v>
      </c>
      <c r="M4750">
        <v>14.07</v>
      </c>
      <c r="T4750" t="s">
        <v>49</v>
      </c>
      <c r="U4750">
        <v>0</v>
      </c>
      <c r="V4750">
        <v>7</v>
      </c>
    </row>
    <row r="4751" spans="1:22" x14ac:dyDescent="0.3">
      <c r="A4751">
        <v>4750</v>
      </c>
      <c r="B4751">
        <v>55239</v>
      </c>
      <c r="C4751" s="2">
        <v>37951</v>
      </c>
      <c r="D4751">
        <v>22</v>
      </c>
      <c r="E4751" t="s">
        <v>42</v>
      </c>
      <c r="F4751" t="s">
        <v>50</v>
      </c>
      <c r="G4751" s="2">
        <v>45623</v>
      </c>
      <c r="H4751" s="3">
        <f t="shared" si="74"/>
        <v>1.3205479452054794</v>
      </c>
      <c r="I4751">
        <v>14</v>
      </c>
      <c r="J4751" t="s">
        <v>38</v>
      </c>
      <c r="K4751" t="s">
        <v>48</v>
      </c>
      <c r="L4751" t="s">
        <v>44</v>
      </c>
      <c r="M4751">
        <v>8.4700000000000006</v>
      </c>
      <c r="T4751" t="s">
        <v>52</v>
      </c>
      <c r="U4751">
        <v>4</v>
      </c>
      <c r="V4751">
        <v>7</v>
      </c>
    </row>
    <row r="4752" spans="1:22" x14ac:dyDescent="0.3">
      <c r="A4752">
        <v>4751</v>
      </c>
      <c r="B4752">
        <v>55240</v>
      </c>
      <c r="C4752" s="2">
        <v>37729</v>
      </c>
      <c r="D4752">
        <v>22</v>
      </c>
      <c r="E4752" t="s">
        <v>42</v>
      </c>
      <c r="F4752" t="s">
        <v>50</v>
      </c>
      <c r="G4752" s="2">
        <v>45540</v>
      </c>
      <c r="H4752" s="3">
        <f t="shared" si="74"/>
        <v>1.1945205479452055</v>
      </c>
      <c r="I4752">
        <v>14</v>
      </c>
      <c r="J4752" t="s">
        <v>38</v>
      </c>
      <c r="K4752" t="s">
        <v>48</v>
      </c>
      <c r="L4752" t="s">
        <v>44</v>
      </c>
      <c r="M4752">
        <v>8.4700000000000006</v>
      </c>
      <c r="T4752" t="s">
        <v>49</v>
      </c>
      <c r="U4752">
        <v>1</v>
      </c>
      <c r="V4752">
        <v>6</v>
      </c>
    </row>
    <row r="4753" spans="1:22" x14ac:dyDescent="0.3">
      <c r="A4753">
        <v>4752</v>
      </c>
      <c r="B4753">
        <v>55241</v>
      </c>
      <c r="C4753" s="2">
        <v>38254</v>
      </c>
      <c r="D4753">
        <v>21</v>
      </c>
      <c r="E4753" t="s">
        <v>42</v>
      </c>
      <c r="F4753" t="s">
        <v>50</v>
      </c>
      <c r="G4753" s="2">
        <v>45586</v>
      </c>
      <c r="H4753" s="3">
        <f t="shared" si="74"/>
        <v>1.0794520547945206</v>
      </c>
      <c r="I4753">
        <v>14</v>
      </c>
      <c r="J4753" t="s">
        <v>38</v>
      </c>
      <c r="K4753" t="s">
        <v>56</v>
      </c>
      <c r="L4753" t="s">
        <v>44</v>
      </c>
      <c r="M4753">
        <v>8.4700000000000006</v>
      </c>
      <c r="T4753" t="s">
        <v>45</v>
      </c>
      <c r="U4753">
        <v>3</v>
      </c>
      <c r="V4753">
        <v>6</v>
      </c>
    </row>
    <row r="4754" spans="1:22" x14ac:dyDescent="0.3">
      <c r="A4754">
        <v>4753</v>
      </c>
      <c r="B4754">
        <v>55242</v>
      </c>
      <c r="C4754" s="2">
        <v>36472</v>
      </c>
      <c r="D4754">
        <v>26</v>
      </c>
      <c r="E4754" t="s">
        <v>42</v>
      </c>
      <c r="F4754" t="s">
        <v>50</v>
      </c>
      <c r="G4754" s="2">
        <v>45628</v>
      </c>
      <c r="H4754" s="3">
        <f t="shared" si="74"/>
        <v>1.4821917808219178</v>
      </c>
      <c r="I4754">
        <v>14</v>
      </c>
      <c r="J4754" t="s">
        <v>38</v>
      </c>
      <c r="K4754" t="s">
        <v>56</v>
      </c>
      <c r="L4754" t="s">
        <v>44</v>
      </c>
      <c r="M4754">
        <v>8.4700000000000006</v>
      </c>
      <c r="T4754" t="s">
        <v>49</v>
      </c>
      <c r="U4754">
        <v>1</v>
      </c>
      <c r="V4754">
        <v>7</v>
      </c>
    </row>
    <row r="4755" spans="1:22" x14ac:dyDescent="0.3">
      <c r="A4755">
        <v>4754</v>
      </c>
      <c r="B4755">
        <v>55243</v>
      </c>
      <c r="C4755" s="2">
        <v>34625</v>
      </c>
      <c r="D4755">
        <v>31</v>
      </c>
      <c r="E4755" t="s">
        <v>42</v>
      </c>
      <c r="F4755" t="s">
        <v>50</v>
      </c>
      <c r="G4755" s="2">
        <v>45481</v>
      </c>
      <c r="H4755" s="3">
        <f t="shared" si="74"/>
        <v>1.3890410958904109</v>
      </c>
      <c r="I4755">
        <v>14</v>
      </c>
      <c r="J4755" t="s">
        <v>38</v>
      </c>
      <c r="K4755" t="s">
        <v>56</v>
      </c>
      <c r="L4755" t="s">
        <v>44</v>
      </c>
      <c r="M4755">
        <v>8.4700000000000006</v>
      </c>
      <c r="T4755" t="s">
        <v>47</v>
      </c>
      <c r="U4755">
        <v>2</v>
      </c>
      <c r="V4755">
        <v>7</v>
      </c>
    </row>
    <row r="4756" spans="1:22" x14ac:dyDescent="0.3">
      <c r="A4756">
        <v>4755</v>
      </c>
      <c r="B4756">
        <v>55244</v>
      </c>
      <c r="C4756" s="2">
        <v>38994</v>
      </c>
      <c r="D4756">
        <v>19</v>
      </c>
      <c r="E4756" t="s">
        <v>42</v>
      </c>
      <c r="F4756" t="s">
        <v>37</v>
      </c>
      <c r="G4756" s="2">
        <v>45515</v>
      </c>
      <c r="H4756" s="3">
        <f t="shared" si="74"/>
        <v>1.5123287671232877</v>
      </c>
      <c r="I4756">
        <v>14</v>
      </c>
      <c r="J4756" t="s">
        <v>38</v>
      </c>
      <c r="K4756" t="s">
        <v>56</v>
      </c>
      <c r="L4756" t="s">
        <v>44</v>
      </c>
      <c r="M4756">
        <v>8.4700000000000006</v>
      </c>
      <c r="T4756" t="s">
        <v>49</v>
      </c>
      <c r="U4756">
        <v>4</v>
      </c>
      <c r="V4756">
        <v>5</v>
      </c>
    </row>
    <row r="4757" spans="1:22" x14ac:dyDescent="0.3">
      <c r="A4757">
        <v>4756</v>
      </c>
      <c r="B4757">
        <v>55245</v>
      </c>
      <c r="C4757" s="2">
        <v>35821</v>
      </c>
      <c r="D4757">
        <v>27</v>
      </c>
      <c r="E4757" t="s">
        <v>42</v>
      </c>
      <c r="F4757" t="s">
        <v>50</v>
      </c>
      <c r="G4757" s="2">
        <v>45470</v>
      </c>
      <c r="H4757" s="3">
        <f t="shared" si="74"/>
        <v>1.6273972602739726</v>
      </c>
      <c r="I4757">
        <v>14</v>
      </c>
      <c r="J4757" t="s">
        <v>38</v>
      </c>
      <c r="K4757" t="s">
        <v>56</v>
      </c>
      <c r="L4757" t="s">
        <v>44</v>
      </c>
      <c r="M4757">
        <v>8.4700000000000006</v>
      </c>
      <c r="T4757" t="s">
        <v>47</v>
      </c>
      <c r="U4757">
        <v>1</v>
      </c>
      <c r="V4757">
        <v>7</v>
      </c>
    </row>
    <row r="4758" spans="1:22" x14ac:dyDescent="0.3">
      <c r="A4758">
        <v>4757</v>
      </c>
      <c r="B4758">
        <v>55246</v>
      </c>
      <c r="C4758" s="2">
        <v>37416</v>
      </c>
      <c r="D4758">
        <v>23</v>
      </c>
      <c r="E4758" t="s">
        <v>36</v>
      </c>
      <c r="F4758" t="s">
        <v>50</v>
      </c>
      <c r="G4758" s="2">
        <v>45428</v>
      </c>
      <c r="H4758" s="3">
        <f t="shared" si="74"/>
        <v>1.6876712328767123</v>
      </c>
      <c r="I4758">
        <v>14</v>
      </c>
      <c r="J4758" t="s">
        <v>38</v>
      </c>
      <c r="K4758" t="s">
        <v>56</v>
      </c>
      <c r="L4758" t="s">
        <v>44</v>
      </c>
      <c r="M4758">
        <v>8.4700000000000006</v>
      </c>
      <c r="T4758" t="s">
        <v>45</v>
      </c>
      <c r="U4758">
        <v>1</v>
      </c>
      <c r="V4758">
        <v>5</v>
      </c>
    </row>
    <row r="4759" spans="1:22" x14ac:dyDescent="0.3">
      <c r="A4759">
        <v>4758</v>
      </c>
      <c r="B4759">
        <v>55247</v>
      </c>
      <c r="C4759" s="2">
        <v>38213</v>
      </c>
      <c r="D4759">
        <v>21</v>
      </c>
      <c r="E4759" t="s">
        <v>42</v>
      </c>
      <c r="F4759" t="s">
        <v>50</v>
      </c>
      <c r="G4759" s="2">
        <v>45406</v>
      </c>
      <c r="H4759" s="3">
        <f t="shared" si="74"/>
        <v>1.6739726027397259</v>
      </c>
      <c r="I4759">
        <v>14</v>
      </c>
      <c r="J4759" t="s">
        <v>38</v>
      </c>
      <c r="K4759" t="s">
        <v>56</v>
      </c>
      <c r="L4759" t="s">
        <v>44</v>
      </c>
      <c r="M4759">
        <v>8.4700000000000006</v>
      </c>
      <c r="T4759" t="s">
        <v>52</v>
      </c>
      <c r="U4759">
        <v>4</v>
      </c>
      <c r="V4759">
        <v>6</v>
      </c>
    </row>
    <row r="4760" spans="1:22" x14ac:dyDescent="0.3">
      <c r="A4760">
        <v>4759</v>
      </c>
      <c r="B4760">
        <v>55248</v>
      </c>
      <c r="C4760" s="2">
        <v>38290</v>
      </c>
      <c r="D4760">
        <v>21</v>
      </c>
      <c r="E4760" t="s">
        <v>42</v>
      </c>
      <c r="F4760" t="s">
        <v>50</v>
      </c>
      <c r="G4760" s="2">
        <v>45411</v>
      </c>
      <c r="H4760" s="3">
        <f t="shared" si="74"/>
        <v>1.6136986301369862</v>
      </c>
      <c r="I4760">
        <v>14</v>
      </c>
      <c r="J4760" t="s">
        <v>38</v>
      </c>
      <c r="K4760" t="s">
        <v>56</v>
      </c>
      <c r="L4760" t="s">
        <v>44</v>
      </c>
      <c r="M4760">
        <v>8.4700000000000006</v>
      </c>
      <c r="T4760" t="s">
        <v>52</v>
      </c>
      <c r="U4760">
        <v>2</v>
      </c>
      <c r="V4760">
        <v>7</v>
      </c>
    </row>
    <row r="4761" spans="1:22" x14ac:dyDescent="0.3">
      <c r="A4761">
        <v>4760</v>
      </c>
      <c r="B4761">
        <v>55249</v>
      </c>
      <c r="C4761" s="2">
        <v>39432</v>
      </c>
      <c r="D4761">
        <v>18</v>
      </c>
      <c r="E4761" t="s">
        <v>42</v>
      </c>
      <c r="F4761" t="s">
        <v>50</v>
      </c>
      <c r="G4761" s="2">
        <v>45433</v>
      </c>
      <c r="H4761" s="3">
        <f t="shared" si="74"/>
        <v>1.6547945205479453</v>
      </c>
      <c r="I4761">
        <v>14</v>
      </c>
      <c r="J4761" t="s">
        <v>38</v>
      </c>
      <c r="K4761" t="s">
        <v>56</v>
      </c>
      <c r="L4761" t="s">
        <v>44</v>
      </c>
      <c r="M4761">
        <v>8.4700000000000006</v>
      </c>
      <c r="T4761" t="s">
        <v>52</v>
      </c>
      <c r="U4761">
        <v>4</v>
      </c>
      <c r="V4761">
        <v>5</v>
      </c>
    </row>
    <row r="4762" spans="1:22" x14ac:dyDescent="0.3">
      <c r="A4762">
        <v>4761</v>
      </c>
      <c r="B4762">
        <v>55250</v>
      </c>
      <c r="C4762" s="2">
        <v>37476</v>
      </c>
      <c r="D4762">
        <v>23</v>
      </c>
      <c r="E4762" t="s">
        <v>42</v>
      </c>
      <c r="F4762" t="s">
        <v>50</v>
      </c>
      <c r="G4762" s="2">
        <v>45418</v>
      </c>
      <c r="H4762" s="3">
        <f t="shared" si="74"/>
        <v>1.189041095890411</v>
      </c>
      <c r="I4762">
        <v>14</v>
      </c>
      <c r="J4762" t="s">
        <v>38</v>
      </c>
      <c r="K4762" t="s">
        <v>56</v>
      </c>
      <c r="L4762" t="s">
        <v>44</v>
      </c>
      <c r="M4762">
        <v>8.4700000000000006</v>
      </c>
      <c r="T4762" t="s">
        <v>52</v>
      </c>
      <c r="U4762">
        <v>1</v>
      </c>
      <c r="V4762">
        <v>6</v>
      </c>
    </row>
    <row r="4763" spans="1:22" x14ac:dyDescent="0.3">
      <c r="A4763">
        <v>4762</v>
      </c>
      <c r="B4763">
        <v>55251</v>
      </c>
      <c r="C4763" s="2">
        <v>36885</v>
      </c>
      <c r="D4763">
        <v>25</v>
      </c>
      <c r="E4763" t="s">
        <v>36</v>
      </c>
      <c r="F4763" t="s">
        <v>50</v>
      </c>
      <c r="G4763" s="2">
        <v>45588</v>
      </c>
      <c r="H4763" s="3">
        <f t="shared" si="74"/>
        <v>1.3534246575342466</v>
      </c>
      <c r="I4763">
        <v>14</v>
      </c>
      <c r="J4763" t="s">
        <v>38</v>
      </c>
      <c r="K4763" t="s">
        <v>56</v>
      </c>
      <c r="L4763" t="s">
        <v>44</v>
      </c>
      <c r="M4763">
        <v>8.4700000000000006</v>
      </c>
      <c r="T4763" t="s">
        <v>45</v>
      </c>
      <c r="U4763">
        <v>2</v>
      </c>
      <c r="V4763">
        <v>5</v>
      </c>
    </row>
    <row r="4764" spans="1:22" x14ac:dyDescent="0.3">
      <c r="A4764">
        <v>4763</v>
      </c>
      <c r="B4764">
        <v>55252</v>
      </c>
      <c r="C4764" s="2">
        <v>38385</v>
      </c>
      <c r="D4764">
        <v>20</v>
      </c>
      <c r="E4764" t="s">
        <v>42</v>
      </c>
      <c r="F4764" t="s">
        <v>50</v>
      </c>
      <c r="G4764" s="2">
        <v>45528</v>
      </c>
      <c r="H4764" s="3">
        <f t="shared" si="74"/>
        <v>1.8712328767123287</v>
      </c>
      <c r="I4764">
        <v>14</v>
      </c>
      <c r="J4764" t="s">
        <v>38</v>
      </c>
      <c r="K4764" t="s">
        <v>56</v>
      </c>
      <c r="L4764" t="s">
        <v>44</v>
      </c>
      <c r="M4764">
        <v>8.4700000000000006</v>
      </c>
      <c r="T4764" t="s">
        <v>47</v>
      </c>
      <c r="U4764">
        <v>1</v>
      </c>
      <c r="V4764">
        <v>5</v>
      </c>
    </row>
    <row r="4765" spans="1:22" x14ac:dyDescent="0.3">
      <c r="A4765">
        <v>4764</v>
      </c>
      <c r="B4765">
        <v>55253</v>
      </c>
      <c r="C4765" s="2">
        <v>36536</v>
      </c>
      <c r="D4765">
        <v>25</v>
      </c>
      <c r="E4765" t="s">
        <v>42</v>
      </c>
      <c r="F4765" t="s">
        <v>50</v>
      </c>
      <c r="G4765" s="2">
        <v>45339</v>
      </c>
      <c r="H4765" s="3">
        <f t="shared" si="74"/>
        <v>1.4136986301369863</v>
      </c>
      <c r="I4765">
        <v>14</v>
      </c>
      <c r="J4765" t="s">
        <v>38</v>
      </c>
      <c r="K4765" t="s">
        <v>56</v>
      </c>
      <c r="L4765" t="s">
        <v>44</v>
      </c>
      <c r="M4765">
        <v>8.4700000000000006</v>
      </c>
      <c r="T4765" t="s">
        <v>52</v>
      </c>
      <c r="U4765">
        <v>4</v>
      </c>
      <c r="V4765">
        <v>6</v>
      </c>
    </row>
    <row r="4766" spans="1:22" x14ac:dyDescent="0.3">
      <c r="A4766">
        <v>4765</v>
      </c>
      <c r="B4766">
        <v>55254</v>
      </c>
      <c r="C4766" s="2">
        <v>38905</v>
      </c>
      <c r="D4766">
        <v>19</v>
      </c>
      <c r="E4766" t="s">
        <v>42</v>
      </c>
      <c r="F4766" t="s">
        <v>50</v>
      </c>
      <c r="G4766" s="2">
        <v>45506</v>
      </c>
      <c r="H4766" s="3">
        <f t="shared" si="74"/>
        <v>1.0767123287671232</v>
      </c>
      <c r="I4766">
        <v>14</v>
      </c>
      <c r="J4766" t="s">
        <v>38</v>
      </c>
      <c r="K4766" t="s">
        <v>56</v>
      </c>
      <c r="L4766" t="s">
        <v>44</v>
      </c>
      <c r="M4766">
        <v>8.4700000000000006</v>
      </c>
      <c r="T4766" t="s">
        <v>45</v>
      </c>
      <c r="U4766">
        <v>4</v>
      </c>
      <c r="V4766">
        <v>7</v>
      </c>
    </row>
    <row r="4767" spans="1:22" x14ac:dyDescent="0.3">
      <c r="A4767">
        <v>4766</v>
      </c>
      <c r="B4767">
        <v>55255</v>
      </c>
      <c r="C4767" s="2">
        <v>38389</v>
      </c>
      <c r="D4767">
        <v>20</v>
      </c>
      <c r="E4767" t="s">
        <v>42</v>
      </c>
      <c r="F4767" t="s">
        <v>50</v>
      </c>
      <c r="G4767" s="2">
        <v>45629</v>
      </c>
      <c r="H4767" s="3">
        <f t="shared" si="74"/>
        <v>1.6712328767123288</v>
      </c>
      <c r="I4767">
        <v>14</v>
      </c>
      <c r="J4767" t="s">
        <v>38</v>
      </c>
      <c r="K4767" t="s">
        <v>56</v>
      </c>
      <c r="L4767" t="s">
        <v>44</v>
      </c>
      <c r="M4767">
        <v>8.4700000000000006</v>
      </c>
      <c r="T4767" t="s">
        <v>45</v>
      </c>
      <c r="U4767">
        <v>0</v>
      </c>
      <c r="V4767">
        <v>4</v>
      </c>
    </row>
    <row r="4768" spans="1:22" x14ac:dyDescent="0.3">
      <c r="A4768">
        <v>4767</v>
      </c>
      <c r="B4768">
        <v>55256</v>
      </c>
      <c r="C4768" s="2">
        <v>36678</v>
      </c>
      <c r="D4768">
        <v>26</v>
      </c>
      <c r="E4768" t="s">
        <v>42</v>
      </c>
      <c r="F4768" t="s">
        <v>50</v>
      </c>
      <c r="G4768" s="2">
        <v>45412</v>
      </c>
      <c r="H4768" s="3">
        <f t="shared" si="74"/>
        <v>1.1123287671232878</v>
      </c>
      <c r="I4768">
        <v>14</v>
      </c>
      <c r="J4768" t="s">
        <v>38</v>
      </c>
      <c r="K4768" t="s">
        <v>56</v>
      </c>
      <c r="L4768" t="s">
        <v>44</v>
      </c>
      <c r="M4768">
        <v>8.4700000000000006</v>
      </c>
      <c r="T4768" t="s">
        <v>52</v>
      </c>
      <c r="U4768">
        <v>4</v>
      </c>
      <c r="V4768">
        <v>7</v>
      </c>
    </row>
    <row r="4769" spans="1:22" x14ac:dyDescent="0.3">
      <c r="A4769">
        <v>4768</v>
      </c>
      <c r="B4769">
        <v>55257</v>
      </c>
      <c r="C4769" s="2">
        <v>38864</v>
      </c>
      <c r="D4769">
        <v>19</v>
      </c>
      <c r="E4769" t="s">
        <v>42</v>
      </c>
      <c r="F4769" t="s">
        <v>50</v>
      </c>
      <c r="G4769" s="2">
        <v>45616</v>
      </c>
      <c r="H4769" s="3">
        <f t="shared" si="74"/>
        <v>1.5835616438356164</v>
      </c>
      <c r="I4769">
        <v>14</v>
      </c>
      <c r="J4769" t="s">
        <v>38</v>
      </c>
      <c r="K4769" t="s">
        <v>56</v>
      </c>
      <c r="L4769" t="s">
        <v>44</v>
      </c>
      <c r="M4769">
        <v>8.4700000000000006</v>
      </c>
      <c r="T4769" t="s">
        <v>45</v>
      </c>
      <c r="U4769">
        <v>0</v>
      </c>
      <c r="V4769">
        <v>5</v>
      </c>
    </row>
    <row r="4770" spans="1:22" x14ac:dyDescent="0.3">
      <c r="A4770">
        <v>4769</v>
      </c>
      <c r="B4770">
        <v>55258</v>
      </c>
      <c r="C4770" s="2">
        <v>35852</v>
      </c>
      <c r="D4770">
        <v>27</v>
      </c>
      <c r="E4770" t="s">
        <v>42</v>
      </c>
      <c r="F4770" t="s">
        <v>50</v>
      </c>
      <c r="G4770" s="2">
        <v>45444</v>
      </c>
      <c r="H4770" s="3">
        <f t="shared" si="74"/>
        <v>1.5424657534246575</v>
      </c>
      <c r="I4770">
        <v>15</v>
      </c>
      <c r="J4770" t="s">
        <v>38</v>
      </c>
      <c r="K4770" t="s">
        <v>68</v>
      </c>
      <c r="L4770" t="s">
        <v>44</v>
      </c>
      <c r="M4770">
        <v>17</v>
      </c>
      <c r="T4770" t="s">
        <v>52</v>
      </c>
      <c r="U4770">
        <v>2</v>
      </c>
      <c r="V4770">
        <v>6</v>
      </c>
    </row>
    <row r="4771" spans="1:22" x14ac:dyDescent="0.3">
      <c r="A4771">
        <v>4770</v>
      </c>
      <c r="B4771">
        <v>55259</v>
      </c>
      <c r="C4771" s="2">
        <v>37605</v>
      </c>
      <c r="D4771">
        <v>23</v>
      </c>
      <c r="E4771" t="s">
        <v>42</v>
      </c>
      <c r="F4771" t="s">
        <v>37</v>
      </c>
      <c r="G4771" s="2">
        <v>45459</v>
      </c>
      <c r="H4771" s="3">
        <f t="shared" si="74"/>
        <v>1.252054794520548</v>
      </c>
      <c r="I4771">
        <v>15</v>
      </c>
      <c r="J4771" t="s">
        <v>38</v>
      </c>
      <c r="K4771" t="s">
        <v>68</v>
      </c>
      <c r="L4771" t="s">
        <v>44</v>
      </c>
      <c r="M4771">
        <v>17</v>
      </c>
      <c r="T4771" t="s">
        <v>52</v>
      </c>
      <c r="U4771">
        <v>4</v>
      </c>
      <c r="V4771">
        <v>6</v>
      </c>
    </row>
    <row r="4772" spans="1:22" x14ac:dyDescent="0.3">
      <c r="A4772">
        <v>4771</v>
      </c>
      <c r="B4772">
        <v>55260</v>
      </c>
      <c r="C4772" s="2">
        <v>38333</v>
      </c>
      <c r="D4772">
        <v>21</v>
      </c>
      <c r="E4772" t="s">
        <v>36</v>
      </c>
      <c r="F4772" t="s">
        <v>50</v>
      </c>
      <c r="G4772" s="2">
        <v>45565</v>
      </c>
      <c r="H4772" s="3">
        <f t="shared" si="74"/>
        <v>1.8273972602739725</v>
      </c>
      <c r="I4772">
        <v>15</v>
      </c>
      <c r="J4772" t="s">
        <v>38</v>
      </c>
      <c r="K4772" t="s">
        <v>65</v>
      </c>
      <c r="L4772" t="s">
        <v>44</v>
      </c>
      <c r="M4772">
        <v>10.64</v>
      </c>
      <c r="T4772" t="s">
        <v>49</v>
      </c>
      <c r="U4772">
        <v>1</v>
      </c>
      <c r="V4772">
        <v>3</v>
      </c>
    </row>
    <row r="4773" spans="1:22" x14ac:dyDescent="0.3">
      <c r="A4773">
        <v>4772</v>
      </c>
      <c r="B4773">
        <v>55262</v>
      </c>
      <c r="C4773" s="2">
        <v>38605</v>
      </c>
      <c r="D4773">
        <v>20</v>
      </c>
      <c r="E4773" t="s">
        <v>42</v>
      </c>
      <c r="F4773" t="s">
        <v>50</v>
      </c>
      <c r="G4773" s="2">
        <v>45355</v>
      </c>
      <c r="H4773" s="3">
        <f t="shared" si="74"/>
        <v>1.3123287671232877</v>
      </c>
      <c r="I4773">
        <v>15</v>
      </c>
      <c r="J4773" t="s">
        <v>38</v>
      </c>
      <c r="K4773" t="s">
        <v>56</v>
      </c>
      <c r="L4773" t="s">
        <v>44</v>
      </c>
      <c r="M4773">
        <v>8.4700000000000006</v>
      </c>
      <c r="T4773" t="s">
        <v>52</v>
      </c>
      <c r="U4773">
        <v>2</v>
      </c>
      <c r="V4773">
        <v>5</v>
      </c>
    </row>
    <row r="4774" spans="1:22" x14ac:dyDescent="0.3">
      <c r="A4774">
        <v>4773</v>
      </c>
      <c r="B4774">
        <v>55263</v>
      </c>
      <c r="C4774" s="2">
        <v>37186</v>
      </c>
      <c r="D4774">
        <v>24</v>
      </c>
      <c r="E4774" t="s">
        <v>42</v>
      </c>
      <c r="F4774" t="s">
        <v>37</v>
      </c>
      <c r="G4774" s="2">
        <v>45543</v>
      </c>
      <c r="H4774" s="3">
        <f t="shared" si="74"/>
        <v>1.010958904109589</v>
      </c>
      <c r="I4774">
        <v>15</v>
      </c>
      <c r="J4774" t="s">
        <v>38</v>
      </c>
      <c r="K4774" t="s">
        <v>56</v>
      </c>
      <c r="L4774" t="s">
        <v>44</v>
      </c>
      <c r="M4774">
        <v>8.4700000000000006</v>
      </c>
      <c r="T4774" t="s">
        <v>52</v>
      </c>
      <c r="U4774">
        <v>0</v>
      </c>
      <c r="V4774">
        <v>4</v>
      </c>
    </row>
    <row r="4775" spans="1:22" x14ac:dyDescent="0.3">
      <c r="A4775">
        <v>4774</v>
      </c>
      <c r="B4775">
        <v>55264</v>
      </c>
      <c r="C4775" s="2">
        <v>37579</v>
      </c>
      <c r="D4775">
        <v>23</v>
      </c>
      <c r="E4775" t="s">
        <v>42</v>
      </c>
      <c r="F4775" t="s">
        <v>50</v>
      </c>
      <c r="G4775" s="2">
        <v>45653</v>
      </c>
      <c r="H4775" s="3">
        <f t="shared" si="74"/>
        <v>1.3972602739726028</v>
      </c>
      <c r="I4775">
        <v>15</v>
      </c>
      <c r="J4775" t="s">
        <v>38</v>
      </c>
      <c r="K4775" t="s">
        <v>56</v>
      </c>
      <c r="L4775" t="s">
        <v>44</v>
      </c>
      <c r="M4775">
        <v>8.4700000000000006</v>
      </c>
      <c r="T4775" t="s">
        <v>45</v>
      </c>
      <c r="U4775">
        <v>2</v>
      </c>
      <c r="V4775">
        <v>6</v>
      </c>
    </row>
    <row r="4776" spans="1:22" x14ac:dyDescent="0.3">
      <c r="A4776">
        <v>4775</v>
      </c>
      <c r="B4776">
        <v>55265</v>
      </c>
      <c r="C4776" s="2">
        <v>37744</v>
      </c>
      <c r="D4776">
        <v>22</v>
      </c>
      <c r="E4776" t="s">
        <v>42</v>
      </c>
      <c r="F4776" t="s">
        <v>50</v>
      </c>
      <c r="G4776" s="2">
        <v>45512</v>
      </c>
      <c r="H4776" s="3">
        <f t="shared" si="74"/>
        <v>1.747945205479452</v>
      </c>
      <c r="I4776">
        <v>15</v>
      </c>
      <c r="J4776" t="s">
        <v>38</v>
      </c>
      <c r="K4776" t="s">
        <v>56</v>
      </c>
      <c r="L4776" t="s">
        <v>44</v>
      </c>
      <c r="M4776">
        <v>8.4700000000000006</v>
      </c>
      <c r="T4776" t="s">
        <v>45</v>
      </c>
      <c r="U4776">
        <v>0</v>
      </c>
      <c r="V4776">
        <v>6</v>
      </c>
    </row>
    <row r="4777" spans="1:22" x14ac:dyDescent="0.3">
      <c r="A4777">
        <v>4776</v>
      </c>
      <c r="B4777">
        <v>55266</v>
      </c>
      <c r="C4777" s="2">
        <v>38244</v>
      </c>
      <c r="D4777">
        <v>21</v>
      </c>
      <c r="E4777" t="s">
        <v>42</v>
      </c>
      <c r="F4777" t="s">
        <v>37</v>
      </c>
      <c r="G4777" s="2">
        <v>45384</v>
      </c>
      <c r="H4777" s="3">
        <f t="shared" si="74"/>
        <v>1.0904109589041096</v>
      </c>
      <c r="I4777">
        <v>15</v>
      </c>
      <c r="J4777" t="s">
        <v>38</v>
      </c>
      <c r="K4777" t="s">
        <v>56</v>
      </c>
      <c r="L4777" t="s">
        <v>44</v>
      </c>
      <c r="M4777">
        <v>8.4700000000000006</v>
      </c>
      <c r="T4777" t="s">
        <v>45</v>
      </c>
      <c r="U4777">
        <v>4</v>
      </c>
      <c r="V4777">
        <v>7</v>
      </c>
    </row>
    <row r="4778" spans="1:22" x14ac:dyDescent="0.3">
      <c r="A4778">
        <v>4777</v>
      </c>
      <c r="B4778">
        <v>55267</v>
      </c>
      <c r="C4778" s="2">
        <v>37964</v>
      </c>
      <c r="D4778">
        <v>22</v>
      </c>
      <c r="E4778" t="s">
        <v>42</v>
      </c>
      <c r="F4778" t="s">
        <v>50</v>
      </c>
      <c r="G4778" s="2">
        <v>45624</v>
      </c>
      <c r="H4778" s="3">
        <f t="shared" si="74"/>
        <v>1.0273972602739727</v>
      </c>
      <c r="I4778">
        <v>15</v>
      </c>
      <c r="J4778" t="s">
        <v>38</v>
      </c>
      <c r="K4778" t="s">
        <v>56</v>
      </c>
      <c r="L4778" t="s">
        <v>44</v>
      </c>
      <c r="M4778">
        <v>8.4700000000000006</v>
      </c>
      <c r="T4778" t="s">
        <v>45</v>
      </c>
      <c r="U4778">
        <v>1</v>
      </c>
      <c r="V4778">
        <v>5</v>
      </c>
    </row>
    <row r="4779" spans="1:22" x14ac:dyDescent="0.3">
      <c r="A4779">
        <v>4778</v>
      </c>
      <c r="B4779">
        <v>55268</v>
      </c>
      <c r="C4779" s="2">
        <v>37019</v>
      </c>
      <c r="D4779">
        <v>24</v>
      </c>
      <c r="E4779" t="s">
        <v>42</v>
      </c>
      <c r="F4779" t="s">
        <v>37</v>
      </c>
      <c r="G4779" s="2">
        <v>45647</v>
      </c>
      <c r="H4779" s="3">
        <f t="shared" si="74"/>
        <v>1.4986301369863013</v>
      </c>
      <c r="I4779">
        <v>15</v>
      </c>
      <c r="J4779" t="s">
        <v>38</v>
      </c>
      <c r="K4779" t="s">
        <v>56</v>
      </c>
      <c r="L4779" t="s">
        <v>44</v>
      </c>
      <c r="M4779">
        <v>8.4700000000000006</v>
      </c>
      <c r="T4779" t="s">
        <v>45</v>
      </c>
      <c r="U4779">
        <v>2</v>
      </c>
      <c r="V4779">
        <v>4</v>
      </c>
    </row>
    <row r="4780" spans="1:22" x14ac:dyDescent="0.3">
      <c r="A4780">
        <v>4779</v>
      </c>
      <c r="B4780">
        <v>55269</v>
      </c>
      <c r="C4780" s="2">
        <v>37014</v>
      </c>
      <c r="D4780">
        <v>24</v>
      </c>
      <c r="E4780" t="s">
        <v>42</v>
      </c>
      <c r="F4780" t="s">
        <v>37</v>
      </c>
      <c r="G4780" s="2">
        <v>45475</v>
      </c>
      <c r="H4780" s="3">
        <f t="shared" si="74"/>
        <v>1.4986301369863013</v>
      </c>
      <c r="I4780">
        <v>15</v>
      </c>
      <c r="J4780" t="s">
        <v>38</v>
      </c>
      <c r="K4780" t="s">
        <v>56</v>
      </c>
      <c r="L4780" t="s">
        <v>44</v>
      </c>
      <c r="M4780">
        <v>8.4700000000000006</v>
      </c>
      <c r="T4780" t="s">
        <v>47</v>
      </c>
      <c r="U4780">
        <v>2</v>
      </c>
      <c r="V4780">
        <v>6</v>
      </c>
    </row>
    <row r="4781" spans="1:22" x14ac:dyDescent="0.3">
      <c r="A4781">
        <v>4780</v>
      </c>
      <c r="B4781">
        <v>55270</v>
      </c>
      <c r="C4781" s="2">
        <v>37822</v>
      </c>
      <c r="D4781">
        <v>22</v>
      </c>
      <c r="E4781" t="s">
        <v>42</v>
      </c>
      <c r="F4781" t="s">
        <v>50</v>
      </c>
      <c r="G4781" s="2">
        <v>45475</v>
      </c>
      <c r="H4781" s="3">
        <f t="shared" si="74"/>
        <v>1.6712328767123288</v>
      </c>
      <c r="I4781">
        <v>15</v>
      </c>
      <c r="J4781" t="s">
        <v>38</v>
      </c>
      <c r="K4781" t="s">
        <v>56</v>
      </c>
      <c r="L4781" t="s">
        <v>44</v>
      </c>
      <c r="M4781">
        <v>8.4700000000000006</v>
      </c>
      <c r="T4781" t="s">
        <v>45</v>
      </c>
      <c r="U4781">
        <v>3</v>
      </c>
      <c r="V4781">
        <v>6</v>
      </c>
    </row>
    <row r="4782" spans="1:22" x14ac:dyDescent="0.3">
      <c r="A4782">
        <v>4781</v>
      </c>
      <c r="B4782">
        <v>55271</v>
      </c>
      <c r="C4782" s="2">
        <v>38552</v>
      </c>
      <c r="D4782">
        <v>20</v>
      </c>
      <c r="E4782" t="s">
        <v>36</v>
      </c>
      <c r="F4782" t="s">
        <v>50</v>
      </c>
      <c r="G4782" s="2">
        <v>45412</v>
      </c>
      <c r="H4782" s="3">
        <f t="shared" si="74"/>
        <v>1.726027397260274</v>
      </c>
      <c r="I4782">
        <v>15</v>
      </c>
      <c r="J4782" t="s">
        <v>38</v>
      </c>
      <c r="K4782" t="s">
        <v>56</v>
      </c>
      <c r="L4782" t="s">
        <v>44</v>
      </c>
      <c r="M4782">
        <v>8.4700000000000006</v>
      </c>
      <c r="T4782" t="s">
        <v>45</v>
      </c>
      <c r="U4782">
        <v>4</v>
      </c>
      <c r="V4782">
        <v>5</v>
      </c>
    </row>
    <row r="4783" spans="1:22" x14ac:dyDescent="0.3">
      <c r="A4783">
        <v>4782</v>
      </c>
      <c r="B4783">
        <v>55272</v>
      </c>
      <c r="C4783" s="2">
        <v>37797</v>
      </c>
      <c r="D4783">
        <v>22</v>
      </c>
      <c r="E4783" t="s">
        <v>36</v>
      </c>
      <c r="F4783" t="s">
        <v>37</v>
      </c>
      <c r="G4783" s="2">
        <v>45392</v>
      </c>
      <c r="H4783" s="3">
        <f t="shared" si="74"/>
        <v>1.5452054794520549</v>
      </c>
      <c r="I4783">
        <v>15</v>
      </c>
      <c r="J4783" t="s">
        <v>38</v>
      </c>
      <c r="K4783" t="s">
        <v>56</v>
      </c>
      <c r="L4783" t="s">
        <v>44</v>
      </c>
      <c r="M4783">
        <v>8.4700000000000006</v>
      </c>
      <c r="T4783" t="s">
        <v>52</v>
      </c>
      <c r="U4783">
        <v>1</v>
      </c>
      <c r="V4783">
        <v>4</v>
      </c>
    </row>
    <row r="4784" spans="1:22" x14ac:dyDescent="0.3">
      <c r="A4784">
        <v>4783</v>
      </c>
      <c r="B4784">
        <v>55273</v>
      </c>
      <c r="C4784" s="2">
        <v>38462</v>
      </c>
      <c r="D4784">
        <v>20</v>
      </c>
      <c r="E4784" t="s">
        <v>42</v>
      </c>
      <c r="F4784" t="s">
        <v>37</v>
      </c>
      <c r="G4784" s="2">
        <v>45458</v>
      </c>
      <c r="H4784" s="3">
        <f t="shared" si="74"/>
        <v>1.8493150684931507</v>
      </c>
      <c r="I4784">
        <v>15</v>
      </c>
      <c r="J4784" t="s">
        <v>38</v>
      </c>
      <c r="K4784" t="s">
        <v>56</v>
      </c>
      <c r="L4784" t="s">
        <v>44</v>
      </c>
      <c r="M4784">
        <v>8.4700000000000006</v>
      </c>
      <c r="T4784" t="s">
        <v>49</v>
      </c>
      <c r="U4784">
        <v>3</v>
      </c>
      <c r="V4784">
        <v>5</v>
      </c>
    </row>
    <row r="4785" spans="1:22" x14ac:dyDescent="0.3">
      <c r="A4785">
        <v>4784</v>
      </c>
      <c r="B4785">
        <v>55274</v>
      </c>
      <c r="C4785" s="2">
        <v>35506</v>
      </c>
      <c r="D4785">
        <v>28</v>
      </c>
      <c r="E4785" t="s">
        <v>42</v>
      </c>
      <c r="F4785" t="s">
        <v>50</v>
      </c>
      <c r="G4785" s="2">
        <v>45347</v>
      </c>
      <c r="H4785" s="3">
        <f t="shared" si="74"/>
        <v>1.3041095890410959</v>
      </c>
      <c r="I4785">
        <v>16</v>
      </c>
      <c r="J4785" t="s">
        <v>38</v>
      </c>
      <c r="K4785" t="s">
        <v>68</v>
      </c>
      <c r="L4785" t="s">
        <v>44</v>
      </c>
      <c r="M4785">
        <v>17</v>
      </c>
      <c r="T4785" t="s">
        <v>45</v>
      </c>
      <c r="U4785">
        <v>2</v>
      </c>
      <c r="V4785">
        <v>6</v>
      </c>
    </row>
    <row r="4786" spans="1:22" x14ac:dyDescent="0.3">
      <c r="A4786">
        <v>4785</v>
      </c>
      <c r="B4786">
        <v>55275</v>
      </c>
      <c r="C4786" s="2">
        <v>37582</v>
      </c>
      <c r="D4786">
        <v>23</v>
      </c>
      <c r="E4786" t="s">
        <v>42</v>
      </c>
      <c r="F4786" t="s">
        <v>50</v>
      </c>
      <c r="G4786" s="2">
        <v>45546</v>
      </c>
      <c r="H4786" s="3">
        <f t="shared" si="74"/>
        <v>1.3808219178082193</v>
      </c>
      <c r="I4786">
        <v>16</v>
      </c>
      <c r="J4786" t="s">
        <v>38</v>
      </c>
      <c r="K4786" t="s">
        <v>68</v>
      </c>
      <c r="L4786" t="s">
        <v>44</v>
      </c>
      <c r="M4786">
        <v>17</v>
      </c>
      <c r="T4786" t="s">
        <v>45</v>
      </c>
      <c r="U4786">
        <v>4</v>
      </c>
      <c r="V4786">
        <v>5</v>
      </c>
    </row>
    <row r="4787" spans="1:22" x14ac:dyDescent="0.3">
      <c r="A4787">
        <v>4786</v>
      </c>
      <c r="B4787">
        <v>55276</v>
      </c>
      <c r="C4787" s="2">
        <v>37084</v>
      </c>
      <c r="D4787">
        <v>24</v>
      </c>
      <c r="E4787" t="s">
        <v>42</v>
      </c>
      <c r="F4787" t="s">
        <v>50</v>
      </c>
      <c r="G4787" s="2">
        <v>45518</v>
      </c>
      <c r="H4787" s="3">
        <f t="shared" si="74"/>
        <v>1.2219178082191782</v>
      </c>
      <c r="I4787">
        <v>16</v>
      </c>
      <c r="J4787" t="s">
        <v>38</v>
      </c>
      <c r="K4787" t="s">
        <v>68</v>
      </c>
      <c r="L4787" t="s">
        <v>44</v>
      </c>
      <c r="M4787">
        <v>17</v>
      </c>
      <c r="T4787" t="s">
        <v>49</v>
      </c>
      <c r="U4787">
        <v>2</v>
      </c>
      <c r="V4787">
        <v>7</v>
      </c>
    </row>
    <row r="4788" spans="1:22" x14ac:dyDescent="0.3">
      <c r="A4788">
        <v>4787</v>
      </c>
      <c r="B4788">
        <v>55277</v>
      </c>
      <c r="C4788" s="2">
        <v>35749</v>
      </c>
      <c r="D4788">
        <v>28</v>
      </c>
      <c r="E4788" t="s">
        <v>42</v>
      </c>
      <c r="F4788" t="s">
        <v>50</v>
      </c>
      <c r="G4788" s="2">
        <v>45576</v>
      </c>
      <c r="H4788" s="3">
        <f t="shared" si="74"/>
        <v>1.2438356164383562</v>
      </c>
      <c r="I4788">
        <v>16</v>
      </c>
      <c r="J4788" t="s">
        <v>38</v>
      </c>
      <c r="K4788" t="s">
        <v>68</v>
      </c>
      <c r="L4788" t="s">
        <v>44</v>
      </c>
      <c r="M4788">
        <v>17</v>
      </c>
      <c r="T4788" t="s">
        <v>52</v>
      </c>
      <c r="U4788">
        <v>2</v>
      </c>
      <c r="V4788">
        <v>6</v>
      </c>
    </row>
    <row r="4789" spans="1:22" x14ac:dyDescent="0.3">
      <c r="A4789">
        <v>4788</v>
      </c>
      <c r="B4789">
        <v>55278</v>
      </c>
      <c r="C4789" s="2">
        <v>37388</v>
      </c>
      <c r="D4789">
        <v>23</v>
      </c>
      <c r="E4789" t="s">
        <v>36</v>
      </c>
      <c r="F4789" t="s">
        <v>50</v>
      </c>
      <c r="G4789" s="2">
        <v>45568</v>
      </c>
      <c r="H4789" s="3">
        <f t="shared" si="74"/>
        <v>1.7780821917808218</v>
      </c>
      <c r="I4789">
        <v>16</v>
      </c>
      <c r="J4789" t="s">
        <v>38</v>
      </c>
      <c r="K4789" t="s">
        <v>65</v>
      </c>
      <c r="L4789" t="s">
        <v>44</v>
      </c>
      <c r="M4789">
        <v>10.64</v>
      </c>
      <c r="T4789" t="s">
        <v>52</v>
      </c>
      <c r="U4789">
        <v>0</v>
      </c>
      <c r="V4789">
        <v>3</v>
      </c>
    </row>
    <row r="4790" spans="1:22" x14ac:dyDescent="0.3">
      <c r="A4790">
        <v>4789</v>
      </c>
      <c r="B4790">
        <v>55279</v>
      </c>
      <c r="C4790" s="2">
        <v>37736</v>
      </c>
      <c r="D4790">
        <v>22</v>
      </c>
      <c r="E4790" t="s">
        <v>36</v>
      </c>
      <c r="F4790" t="s">
        <v>50</v>
      </c>
      <c r="G4790" s="2">
        <v>45373</v>
      </c>
      <c r="H4790" s="3">
        <f t="shared" si="74"/>
        <v>1.3150684931506849</v>
      </c>
      <c r="I4790">
        <v>16</v>
      </c>
      <c r="J4790" t="s">
        <v>38</v>
      </c>
      <c r="K4790" t="s">
        <v>65</v>
      </c>
      <c r="L4790" t="s">
        <v>44</v>
      </c>
      <c r="M4790">
        <v>10.64</v>
      </c>
      <c r="T4790" t="s">
        <v>49</v>
      </c>
      <c r="U4790">
        <v>0</v>
      </c>
      <c r="V4790">
        <v>5</v>
      </c>
    </row>
    <row r="4791" spans="1:22" x14ac:dyDescent="0.3">
      <c r="A4791">
        <v>4790</v>
      </c>
      <c r="B4791">
        <v>55280</v>
      </c>
      <c r="C4791" s="2">
        <v>35782</v>
      </c>
      <c r="D4791">
        <v>28</v>
      </c>
      <c r="E4791" t="s">
        <v>42</v>
      </c>
      <c r="F4791" t="s">
        <v>50</v>
      </c>
      <c r="G4791" s="2">
        <v>45542</v>
      </c>
      <c r="H4791" s="3">
        <f t="shared" si="74"/>
        <v>1.821917808219178</v>
      </c>
      <c r="I4791">
        <v>16</v>
      </c>
      <c r="J4791" t="s">
        <v>38</v>
      </c>
      <c r="K4791" t="s">
        <v>48</v>
      </c>
      <c r="L4791" t="s">
        <v>44</v>
      </c>
      <c r="M4791">
        <v>8.4700000000000006</v>
      </c>
      <c r="T4791" t="s">
        <v>49</v>
      </c>
      <c r="U4791">
        <v>1</v>
      </c>
      <c r="V4791">
        <v>5</v>
      </c>
    </row>
    <row r="4792" spans="1:22" x14ac:dyDescent="0.3">
      <c r="A4792">
        <v>4791</v>
      </c>
      <c r="B4792">
        <v>55281</v>
      </c>
      <c r="C4792" s="2">
        <v>38644</v>
      </c>
      <c r="D4792">
        <v>20</v>
      </c>
      <c r="E4792" t="s">
        <v>36</v>
      </c>
      <c r="F4792" t="s">
        <v>50</v>
      </c>
      <c r="G4792" s="2">
        <v>45357</v>
      </c>
      <c r="H4792" s="3">
        <f t="shared" si="74"/>
        <v>1.5041095890410958</v>
      </c>
      <c r="I4792">
        <v>16</v>
      </c>
      <c r="J4792" t="s">
        <v>38</v>
      </c>
      <c r="K4792" t="s">
        <v>56</v>
      </c>
      <c r="L4792" t="s">
        <v>44</v>
      </c>
      <c r="M4792">
        <v>8.4700000000000006</v>
      </c>
      <c r="T4792" t="s">
        <v>49</v>
      </c>
      <c r="U4792">
        <v>2</v>
      </c>
      <c r="V4792">
        <v>4</v>
      </c>
    </row>
    <row r="4793" spans="1:22" x14ac:dyDescent="0.3">
      <c r="A4793">
        <v>4792</v>
      </c>
      <c r="B4793">
        <v>55282</v>
      </c>
      <c r="C4793" s="2">
        <v>38802</v>
      </c>
      <c r="D4793">
        <v>19</v>
      </c>
      <c r="E4793" t="s">
        <v>42</v>
      </c>
      <c r="F4793" t="s">
        <v>50</v>
      </c>
      <c r="G4793" s="2">
        <v>45473</v>
      </c>
      <c r="H4793" s="3">
        <f t="shared" si="74"/>
        <v>1.7315068493150685</v>
      </c>
      <c r="I4793">
        <v>16</v>
      </c>
      <c r="J4793" t="s">
        <v>38</v>
      </c>
      <c r="K4793" t="s">
        <v>56</v>
      </c>
      <c r="L4793" t="s">
        <v>44</v>
      </c>
      <c r="M4793">
        <v>8.4700000000000006</v>
      </c>
      <c r="T4793" t="s">
        <v>45</v>
      </c>
      <c r="U4793">
        <v>0</v>
      </c>
      <c r="V4793">
        <v>6</v>
      </c>
    </row>
    <row r="4794" spans="1:22" x14ac:dyDescent="0.3">
      <c r="A4794">
        <v>4793</v>
      </c>
      <c r="B4794">
        <v>55283</v>
      </c>
      <c r="C4794" s="2">
        <v>38404</v>
      </c>
      <c r="D4794">
        <v>20</v>
      </c>
      <c r="E4794" t="s">
        <v>36</v>
      </c>
      <c r="F4794" t="s">
        <v>37</v>
      </c>
      <c r="G4794" s="2">
        <v>45390</v>
      </c>
      <c r="H4794" s="3">
        <f t="shared" si="74"/>
        <v>1.2493150684931507</v>
      </c>
      <c r="I4794">
        <v>16</v>
      </c>
      <c r="J4794" t="s">
        <v>38</v>
      </c>
      <c r="K4794" t="s">
        <v>56</v>
      </c>
      <c r="L4794" t="s">
        <v>44</v>
      </c>
      <c r="M4794">
        <v>8.4700000000000006</v>
      </c>
      <c r="T4794" t="s">
        <v>45</v>
      </c>
      <c r="U4794">
        <v>4</v>
      </c>
      <c r="V4794">
        <v>5</v>
      </c>
    </row>
    <row r="4795" spans="1:22" x14ac:dyDescent="0.3">
      <c r="A4795">
        <v>4794</v>
      </c>
      <c r="B4795">
        <v>55284</v>
      </c>
      <c r="C4795" s="2">
        <v>36538</v>
      </c>
      <c r="D4795">
        <v>25</v>
      </c>
      <c r="E4795" t="s">
        <v>42</v>
      </c>
      <c r="F4795" t="s">
        <v>50</v>
      </c>
      <c r="G4795" s="2">
        <v>45566</v>
      </c>
      <c r="H4795" s="3">
        <f t="shared" si="74"/>
        <v>1.7534246575342465</v>
      </c>
      <c r="I4795">
        <v>16</v>
      </c>
      <c r="J4795" t="s">
        <v>38</v>
      </c>
      <c r="K4795" t="s">
        <v>56</v>
      </c>
      <c r="L4795" t="s">
        <v>44</v>
      </c>
      <c r="M4795">
        <v>8.4700000000000006</v>
      </c>
      <c r="T4795" t="s">
        <v>47</v>
      </c>
      <c r="U4795">
        <v>4</v>
      </c>
      <c r="V4795">
        <v>6</v>
      </c>
    </row>
    <row r="4796" spans="1:22" x14ac:dyDescent="0.3">
      <c r="A4796">
        <v>4795</v>
      </c>
      <c r="B4796">
        <v>55285</v>
      </c>
      <c r="C4796" s="2">
        <v>38952</v>
      </c>
      <c r="D4796">
        <v>19</v>
      </c>
      <c r="E4796" t="s">
        <v>36</v>
      </c>
      <c r="F4796" t="s">
        <v>50</v>
      </c>
      <c r="G4796" s="2">
        <v>45382</v>
      </c>
      <c r="H4796" s="3">
        <f t="shared" si="74"/>
        <v>1.7506849315068493</v>
      </c>
      <c r="I4796">
        <v>16</v>
      </c>
      <c r="J4796" t="s">
        <v>38</v>
      </c>
      <c r="K4796" t="s">
        <v>56</v>
      </c>
      <c r="L4796" t="s">
        <v>44</v>
      </c>
      <c r="M4796">
        <v>8.4700000000000006</v>
      </c>
      <c r="T4796" t="s">
        <v>52</v>
      </c>
      <c r="U4796">
        <v>2</v>
      </c>
      <c r="V4796">
        <v>5</v>
      </c>
    </row>
    <row r="4797" spans="1:22" x14ac:dyDescent="0.3">
      <c r="A4797">
        <v>4796</v>
      </c>
      <c r="B4797">
        <v>55286</v>
      </c>
      <c r="C4797" s="2">
        <v>39104</v>
      </c>
      <c r="D4797">
        <v>18</v>
      </c>
      <c r="E4797" t="s">
        <v>42</v>
      </c>
      <c r="F4797" t="s">
        <v>50</v>
      </c>
      <c r="G4797" s="2">
        <v>45383</v>
      </c>
      <c r="H4797" s="3">
        <f t="shared" si="74"/>
        <v>1.5671232876712329</v>
      </c>
      <c r="I4797">
        <v>16</v>
      </c>
      <c r="J4797" t="s">
        <v>38</v>
      </c>
      <c r="K4797" t="s">
        <v>56</v>
      </c>
      <c r="L4797" t="s">
        <v>44</v>
      </c>
      <c r="M4797">
        <v>8.4700000000000006</v>
      </c>
      <c r="T4797" t="s">
        <v>49</v>
      </c>
      <c r="U4797">
        <v>4</v>
      </c>
      <c r="V4797">
        <v>7</v>
      </c>
    </row>
    <row r="4798" spans="1:22" x14ac:dyDescent="0.3">
      <c r="A4798">
        <v>4797</v>
      </c>
      <c r="B4798">
        <v>55287</v>
      </c>
      <c r="C4798" s="2">
        <v>34900</v>
      </c>
      <c r="D4798">
        <v>30</v>
      </c>
      <c r="E4798" t="s">
        <v>42</v>
      </c>
      <c r="F4798" t="s">
        <v>50</v>
      </c>
      <c r="G4798" s="2">
        <v>45450</v>
      </c>
      <c r="H4798" s="3">
        <f t="shared" si="74"/>
        <v>1.6821917808219178</v>
      </c>
      <c r="I4798">
        <v>16</v>
      </c>
      <c r="J4798" t="s">
        <v>38</v>
      </c>
      <c r="K4798" t="s">
        <v>56</v>
      </c>
      <c r="L4798" t="s">
        <v>44</v>
      </c>
      <c r="M4798">
        <v>8.4700000000000006</v>
      </c>
      <c r="T4798" t="s">
        <v>47</v>
      </c>
      <c r="U4798">
        <v>1</v>
      </c>
      <c r="V4798">
        <v>6</v>
      </c>
    </row>
    <row r="4799" spans="1:22" x14ac:dyDescent="0.3">
      <c r="A4799">
        <v>4798</v>
      </c>
      <c r="B4799">
        <v>55288</v>
      </c>
      <c r="C4799" s="2">
        <v>37731</v>
      </c>
      <c r="D4799">
        <v>22</v>
      </c>
      <c r="E4799" t="s">
        <v>42</v>
      </c>
      <c r="F4799" t="s">
        <v>50</v>
      </c>
      <c r="G4799" s="2">
        <v>45408</v>
      </c>
      <c r="H4799" s="3">
        <f t="shared" si="74"/>
        <v>1.4465753424657535</v>
      </c>
      <c r="I4799">
        <v>16</v>
      </c>
      <c r="J4799" t="s">
        <v>38</v>
      </c>
      <c r="K4799" t="s">
        <v>56</v>
      </c>
      <c r="L4799" t="s">
        <v>44</v>
      </c>
      <c r="M4799">
        <v>8.4700000000000006</v>
      </c>
      <c r="T4799" t="s">
        <v>45</v>
      </c>
      <c r="U4799">
        <v>2</v>
      </c>
      <c r="V4799">
        <v>5</v>
      </c>
    </row>
    <row r="4800" spans="1:22" x14ac:dyDescent="0.3">
      <c r="A4800">
        <v>4799</v>
      </c>
      <c r="B4800">
        <v>55289</v>
      </c>
      <c r="C4800" s="2">
        <v>38112</v>
      </c>
      <c r="D4800">
        <v>21</v>
      </c>
      <c r="E4800" t="s">
        <v>42</v>
      </c>
      <c r="F4800" t="s">
        <v>50</v>
      </c>
      <c r="G4800" s="2">
        <v>45494</v>
      </c>
      <c r="H4800" s="3">
        <f t="shared" si="74"/>
        <v>1.0191780821917809</v>
      </c>
      <c r="I4800">
        <v>16</v>
      </c>
      <c r="J4800" t="s">
        <v>38</v>
      </c>
      <c r="K4800" t="s">
        <v>56</v>
      </c>
      <c r="L4800" t="s">
        <v>44</v>
      </c>
      <c r="M4800">
        <v>8.4700000000000006</v>
      </c>
      <c r="T4800" t="s">
        <v>45</v>
      </c>
      <c r="U4800">
        <v>2</v>
      </c>
      <c r="V4800">
        <v>5</v>
      </c>
    </row>
    <row r="4801" spans="1:22" x14ac:dyDescent="0.3">
      <c r="A4801">
        <v>4800</v>
      </c>
      <c r="B4801">
        <v>55290</v>
      </c>
      <c r="C4801" s="2">
        <v>35367</v>
      </c>
      <c r="D4801">
        <v>29</v>
      </c>
      <c r="E4801" t="s">
        <v>42</v>
      </c>
      <c r="F4801" t="s">
        <v>50</v>
      </c>
      <c r="G4801" s="2">
        <v>45650</v>
      </c>
      <c r="H4801" s="3">
        <f t="shared" si="74"/>
        <v>1.4164383561643836</v>
      </c>
      <c r="I4801">
        <v>16</v>
      </c>
      <c r="J4801" t="s">
        <v>38</v>
      </c>
      <c r="K4801" t="s">
        <v>56</v>
      </c>
      <c r="L4801" t="s">
        <v>44</v>
      </c>
      <c r="M4801">
        <v>8.4700000000000006</v>
      </c>
      <c r="T4801" t="s">
        <v>52</v>
      </c>
      <c r="U4801">
        <v>2</v>
      </c>
      <c r="V4801">
        <v>7</v>
      </c>
    </row>
    <row r="4802" spans="1:22" x14ac:dyDescent="0.3">
      <c r="A4802">
        <v>4801</v>
      </c>
      <c r="B4802">
        <v>55291</v>
      </c>
      <c r="C4802" s="2">
        <v>37951</v>
      </c>
      <c r="D4802">
        <v>22</v>
      </c>
      <c r="E4802" t="s">
        <v>42</v>
      </c>
      <c r="F4802" t="s">
        <v>50</v>
      </c>
      <c r="G4802" s="2">
        <v>45505</v>
      </c>
      <c r="H4802" s="3">
        <f t="shared" si="74"/>
        <v>1.484931506849315</v>
      </c>
      <c r="I4802">
        <v>16</v>
      </c>
      <c r="J4802" t="s">
        <v>38</v>
      </c>
      <c r="K4802" t="s">
        <v>56</v>
      </c>
      <c r="L4802" t="s">
        <v>44</v>
      </c>
      <c r="M4802">
        <v>8.4700000000000006</v>
      </c>
      <c r="T4802" t="s">
        <v>52</v>
      </c>
      <c r="U4802">
        <v>3</v>
      </c>
      <c r="V4802">
        <v>6</v>
      </c>
    </row>
    <row r="4803" spans="1:22" x14ac:dyDescent="0.3">
      <c r="A4803">
        <v>4802</v>
      </c>
      <c r="B4803">
        <v>55292</v>
      </c>
      <c r="C4803" s="2">
        <v>38417</v>
      </c>
      <c r="D4803">
        <v>20</v>
      </c>
      <c r="E4803" t="s">
        <v>42</v>
      </c>
      <c r="F4803" t="s">
        <v>37</v>
      </c>
      <c r="G4803" s="2">
        <v>45480</v>
      </c>
      <c r="H4803" s="3">
        <f t="shared" ref="H4803:H4866" si="75">DATEDIF(G4804,DATE(2025,12,31),"d")/365</f>
        <v>1.6493150684931508</v>
      </c>
      <c r="I4803">
        <v>16</v>
      </c>
      <c r="J4803" t="s">
        <v>38</v>
      </c>
      <c r="K4803" t="s">
        <v>56</v>
      </c>
      <c r="L4803" t="s">
        <v>44</v>
      </c>
      <c r="M4803">
        <v>8.4700000000000006</v>
      </c>
      <c r="T4803" t="s">
        <v>49</v>
      </c>
      <c r="U4803">
        <v>1</v>
      </c>
      <c r="V4803">
        <v>5</v>
      </c>
    </row>
    <row r="4804" spans="1:22" x14ac:dyDescent="0.3">
      <c r="A4804">
        <v>4803</v>
      </c>
      <c r="B4804">
        <v>55293</v>
      </c>
      <c r="C4804" s="2">
        <v>36258</v>
      </c>
      <c r="D4804">
        <v>26</v>
      </c>
      <c r="E4804" t="s">
        <v>42</v>
      </c>
      <c r="F4804" t="s">
        <v>50</v>
      </c>
      <c r="G4804" s="2">
        <v>45420</v>
      </c>
      <c r="H4804" s="3">
        <f t="shared" si="75"/>
        <v>1.4657534246575343</v>
      </c>
      <c r="I4804">
        <v>16</v>
      </c>
      <c r="J4804" t="s">
        <v>38</v>
      </c>
      <c r="K4804" t="s">
        <v>56</v>
      </c>
      <c r="L4804" t="s">
        <v>44</v>
      </c>
      <c r="M4804">
        <v>8.4700000000000006</v>
      </c>
      <c r="T4804" t="s">
        <v>52</v>
      </c>
      <c r="U4804">
        <v>2</v>
      </c>
      <c r="V4804">
        <v>7</v>
      </c>
    </row>
    <row r="4805" spans="1:22" x14ac:dyDescent="0.3">
      <c r="A4805">
        <v>4804</v>
      </c>
      <c r="B4805">
        <v>55294</v>
      </c>
      <c r="C4805" s="2">
        <v>37231</v>
      </c>
      <c r="D4805">
        <v>24</v>
      </c>
      <c r="E4805" t="s">
        <v>42</v>
      </c>
      <c r="F4805" t="s">
        <v>50</v>
      </c>
      <c r="G4805" s="2">
        <v>45487</v>
      </c>
      <c r="H4805" s="3">
        <f t="shared" si="75"/>
        <v>1.1808219178082191</v>
      </c>
      <c r="I4805">
        <v>16</v>
      </c>
      <c r="J4805" t="s">
        <v>38</v>
      </c>
      <c r="K4805" t="s">
        <v>56</v>
      </c>
      <c r="L4805" t="s">
        <v>44</v>
      </c>
      <c r="M4805">
        <v>8.4700000000000006</v>
      </c>
      <c r="T4805" t="s">
        <v>45</v>
      </c>
      <c r="U4805">
        <v>2</v>
      </c>
      <c r="V4805">
        <v>7</v>
      </c>
    </row>
    <row r="4806" spans="1:22" x14ac:dyDescent="0.3">
      <c r="A4806">
        <v>4805</v>
      </c>
      <c r="B4806">
        <v>55295</v>
      </c>
      <c r="C4806" s="2">
        <v>34503</v>
      </c>
      <c r="D4806">
        <v>31</v>
      </c>
      <c r="E4806" t="s">
        <v>42</v>
      </c>
      <c r="F4806" t="s">
        <v>50</v>
      </c>
      <c r="G4806" s="2">
        <v>45591</v>
      </c>
      <c r="H4806" s="3">
        <f t="shared" si="75"/>
        <v>1.7726027397260273</v>
      </c>
      <c r="I4806">
        <v>17</v>
      </c>
      <c r="J4806" t="s">
        <v>38</v>
      </c>
      <c r="K4806" t="s">
        <v>68</v>
      </c>
      <c r="L4806" t="s">
        <v>44</v>
      </c>
      <c r="M4806">
        <v>17</v>
      </c>
      <c r="T4806" t="s">
        <v>52</v>
      </c>
      <c r="U4806">
        <v>4</v>
      </c>
      <c r="V4806">
        <v>5</v>
      </c>
    </row>
    <row r="4807" spans="1:22" x14ac:dyDescent="0.3">
      <c r="A4807">
        <v>4806</v>
      </c>
      <c r="B4807">
        <v>55296</v>
      </c>
      <c r="C4807" s="2">
        <v>35523</v>
      </c>
      <c r="D4807">
        <v>28</v>
      </c>
      <c r="E4807" t="s">
        <v>42</v>
      </c>
      <c r="F4807" t="s">
        <v>50</v>
      </c>
      <c r="G4807" s="2">
        <v>45375</v>
      </c>
      <c r="H4807" s="3">
        <f t="shared" si="75"/>
        <v>1.3041095890410959</v>
      </c>
      <c r="I4807">
        <v>17</v>
      </c>
      <c r="J4807" t="s">
        <v>38</v>
      </c>
      <c r="K4807" t="s">
        <v>68</v>
      </c>
      <c r="L4807" t="s">
        <v>44</v>
      </c>
      <c r="M4807">
        <v>17</v>
      </c>
      <c r="T4807" t="s">
        <v>45</v>
      </c>
      <c r="U4807">
        <v>2</v>
      </c>
      <c r="V4807">
        <v>7</v>
      </c>
    </row>
    <row r="4808" spans="1:22" x14ac:dyDescent="0.3">
      <c r="A4808">
        <v>4807</v>
      </c>
      <c r="B4808">
        <v>55297</v>
      </c>
      <c r="C4808" s="2">
        <v>30450</v>
      </c>
      <c r="D4808">
        <v>42</v>
      </c>
      <c r="E4808" t="s">
        <v>36</v>
      </c>
      <c r="F4808" t="s">
        <v>50</v>
      </c>
      <c r="G4808" s="2">
        <v>45546</v>
      </c>
      <c r="H4808" s="3">
        <f t="shared" si="75"/>
        <v>1.6657534246575343</v>
      </c>
      <c r="I4808">
        <v>17</v>
      </c>
      <c r="J4808" t="s">
        <v>38</v>
      </c>
      <c r="K4808" t="s">
        <v>46</v>
      </c>
      <c r="L4808" t="s">
        <v>44</v>
      </c>
      <c r="M4808">
        <v>14.23</v>
      </c>
      <c r="T4808" t="s">
        <v>47</v>
      </c>
      <c r="U4808">
        <v>1</v>
      </c>
      <c r="V4808">
        <v>5</v>
      </c>
    </row>
    <row r="4809" spans="1:22" x14ac:dyDescent="0.3">
      <c r="A4809">
        <v>4808</v>
      </c>
      <c r="B4809">
        <v>55299</v>
      </c>
      <c r="C4809" s="2">
        <v>38594</v>
      </c>
      <c r="D4809">
        <v>20</v>
      </c>
      <c r="E4809" t="s">
        <v>42</v>
      </c>
      <c r="F4809" t="s">
        <v>50</v>
      </c>
      <c r="G4809" s="2">
        <v>45414</v>
      </c>
      <c r="H4809" s="3">
        <f t="shared" si="75"/>
        <v>1.4931506849315068</v>
      </c>
      <c r="I4809">
        <v>17</v>
      </c>
      <c r="J4809" t="s">
        <v>38</v>
      </c>
      <c r="K4809" t="s">
        <v>56</v>
      </c>
      <c r="L4809" t="s">
        <v>44</v>
      </c>
      <c r="M4809">
        <v>8.4700000000000006</v>
      </c>
      <c r="T4809" t="s">
        <v>52</v>
      </c>
      <c r="U4809">
        <v>4</v>
      </c>
      <c r="V4809">
        <v>6</v>
      </c>
    </row>
    <row r="4810" spans="1:22" x14ac:dyDescent="0.3">
      <c r="A4810">
        <v>4809</v>
      </c>
      <c r="B4810">
        <v>55300</v>
      </c>
      <c r="C4810" s="2">
        <v>37952</v>
      </c>
      <c r="D4810">
        <v>22</v>
      </c>
      <c r="E4810" t="s">
        <v>42</v>
      </c>
      <c r="F4810" t="s">
        <v>50</v>
      </c>
      <c r="G4810" s="2">
        <v>45477</v>
      </c>
      <c r="H4810" s="3">
        <f t="shared" si="75"/>
        <v>1.7671232876712328</v>
      </c>
      <c r="I4810">
        <v>17</v>
      </c>
      <c r="J4810" t="s">
        <v>38</v>
      </c>
      <c r="K4810" t="s">
        <v>56</v>
      </c>
      <c r="L4810" t="s">
        <v>44</v>
      </c>
      <c r="M4810">
        <v>8.4700000000000006</v>
      </c>
      <c r="T4810" t="s">
        <v>49</v>
      </c>
      <c r="U4810">
        <v>2</v>
      </c>
      <c r="V4810">
        <v>6</v>
      </c>
    </row>
    <row r="4811" spans="1:22" x14ac:dyDescent="0.3">
      <c r="A4811">
        <v>4810</v>
      </c>
      <c r="B4811">
        <v>55301</v>
      </c>
      <c r="C4811" s="2">
        <v>38732</v>
      </c>
      <c r="D4811">
        <v>19</v>
      </c>
      <c r="E4811" t="s">
        <v>42</v>
      </c>
      <c r="F4811" t="s">
        <v>50</v>
      </c>
      <c r="G4811" s="2">
        <v>45377</v>
      </c>
      <c r="H4811" s="3">
        <f t="shared" si="75"/>
        <v>1.2246575342465753</v>
      </c>
      <c r="I4811">
        <v>17</v>
      </c>
      <c r="J4811" t="s">
        <v>38</v>
      </c>
      <c r="K4811" t="s">
        <v>56</v>
      </c>
      <c r="L4811" t="s">
        <v>44</v>
      </c>
      <c r="M4811">
        <v>8.4700000000000006</v>
      </c>
      <c r="T4811" t="s">
        <v>45</v>
      </c>
      <c r="U4811">
        <v>4</v>
      </c>
      <c r="V4811">
        <v>6</v>
      </c>
    </row>
    <row r="4812" spans="1:22" x14ac:dyDescent="0.3">
      <c r="A4812">
        <v>4811</v>
      </c>
      <c r="B4812">
        <v>55302</v>
      </c>
      <c r="C4812" s="2">
        <v>36003</v>
      </c>
      <c r="D4812">
        <v>27</v>
      </c>
      <c r="E4812" t="s">
        <v>36</v>
      </c>
      <c r="F4812" t="s">
        <v>50</v>
      </c>
      <c r="G4812" s="2">
        <v>45575</v>
      </c>
      <c r="H4812" s="3">
        <f t="shared" si="75"/>
        <v>1.7917808219178082</v>
      </c>
      <c r="I4812">
        <v>17</v>
      </c>
      <c r="J4812" t="s">
        <v>38</v>
      </c>
      <c r="K4812" t="s">
        <v>56</v>
      </c>
      <c r="L4812" t="s">
        <v>44</v>
      </c>
      <c r="M4812">
        <v>8.4700000000000006</v>
      </c>
      <c r="T4812" t="s">
        <v>45</v>
      </c>
      <c r="U4812">
        <v>4</v>
      </c>
      <c r="V4812">
        <v>6</v>
      </c>
    </row>
    <row r="4813" spans="1:22" x14ac:dyDescent="0.3">
      <c r="A4813">
        <v>4812</v>
      </c>
      <c r="B4813">
        <v>55303</v>
      </c>
      <c r="C4813" s="2">
        <v>39157</v>
      </c>
      <c r="D4813">
        <v>18</v>
      </c>
      <c r="E4813" t="s">
        <v>42</v>
      </c>
      <c r="F4813" t="s">
        <v>37</v>
      </c>
      <c r="G4813" s="2">
        <v>45368</v>
      </c>
      <c r="H4813" s="3">
        <f t="shared" si="75"/>
        <v>1.2219178082191782</v>
      </c>
      <c r="I4813">
        <v>17</v>
      </c>
      <c r="J4813" t="s">
        <v>38</v>
      </c>
      <c r="K4813" t="s">
        <v>56</v>
      </c>
      <c r="L4813" t="s">
        <v>44</v>
      </c>
      <c r="M4813">
        <v>8.4700000000000006</v>
      </c>
      <c r="T4813" t="s">
        <v>49</v>
      </c>
      <c r="U4813">
        <v>2</v>
      </c>
      <c r="V4813">
        <v>5</v>
      </c>
    </row>
    <row r="4814" spans="1:22" x14ac:dyDescent="0.3">
      <c r="A4814">
        <v>4813</v>
      </c>
      <c r="B4814">
        <v>55304</v>
      </c>
      <c r="C4814" s="2">
        <v>38711</v>
      </c>
      <c r="D4814">
        <v>20</v>
      </c>
      <c r="E4814" t="s">
        <v>36</v>
      </c>
      <c r="F4814" t="s">
        <v>50</v>
      </c>
      <c r="G4814" s="2">
        <v>45576</v>
      </c>
      <c r="H4814" s="3">
        <f t="shared" si="75"/>
        <v>1.4054794520547946</v>
      </c>
      <c r="I4814">
        <v>17</v>
      </c>
      <c r="J4814" t="s">
        <v>38</v>
      </c>
      <c r="K4814" t="s">
        <v>56</v>
      </c>
      <c r="L4814" t="s">
        <v>44</v>
      </c>
      <c r="M4814">
        <v>8.4700000000000006</v>
      </c>
      <c r="T4814" t="s">
        <v>47</v>
      </c>
      <c r="U4814">
        <v>0</v>
      </c>
      <c r="V4814">
        <v>3</v>
      </c>
    </row>
    <row r="4815" spans="1:22" x14ac:dyDescent="0.3">
      <c r="A4815">
        <v>4814</v>
      </c>
      <c r="B4815">
        <v>55305</v>
      </c>
      <c r="C4815" s="2">
        <v>38052</v>
      </c>
      <c r="D4815">
        <v>21</v>
      </c>
      <c r="E4815" t="s">
        <v>42</v>
      </c>
      <c r="F4815" t="s">
        <v>50</v>
      </c>
      <c r="G4815" s="2">
        <v>45509</v>
      </c>
      <c r="H4815" s="3">
        <f t="shared" si="75"/>
        <v>1.1452054794520548</v>
      </c>
      <c r="I4815">
        <v>17</v>
      </c>
      <c r="J4815" t="s">
        <v>38</v>
      </c>
      <c r="K4815" t="s">
        <v>56</v>
      </c>
      <c r="L4815" t="s">
        <v>44</v>
      </c>
      <c r="M4815">
        <v>8.4700000000000006</v>
      </c>
      <c r="T4815" t="s">
        <v>52</v>
      </c>
      <c r="U4815">
        <v>3</v>
      </c>
      <c r="V4815">
        <v>5</v>
      </c>
    </row>
    <row r="4816" spans="1:22" x14ac:dyDescent="0.3">
      <c r="A4816">
        <v>4815</v>
      </c>
      <c r="B4816">
        <v>55306</v>
      </c>
      <c r="C4816" s="2">
        <v>38670</v>
      </c>
      <c r="D4816">
        <v>20</v>
      </c>
      <c r="E4816" t="s">
        <v>42</v>
      </c>
      <c r="F4816" t="s">
        <v>50</v>
      </c>
      <c r="G4816" s="2">
        <v>45604</v>
      </c>
      <c r="H4816" s="3">
        <f t="shared" si="75"/>
        <v>1.3232876712328767</v>
      </c>
      <c r="I4816">
        <v>17</v>
      </c>
      <c r="J4816" t="s">
        <v>38</v>
      </c>
      <c r="K4816" t="s">
        <v>56</v>
      </c>
      <c r="L4816" t="s">
        <v>44</v>
      </c>
      <c r="M4816">
        <v>8.4700000000000006</v>
      </c>
      <c r="T4816" t="s">
        <v>45</v>
      </c>
      <c r="U4816">
        <v>2</v>
      </c>
      <c r="V4816">
        <v>6</v>
      </c>
    </row>
    <row r="4817" spans="1:22" x14ac:dyDescent="0.3">
      <c r="A4817">
        <v>4816</v>
      </c>
      <c r="B4817">
        <v>55307</v>
      </c>
      <c r="C4817" s="2">
        <v>37716</v>
      </c>
      <c r="D4817">
        <v>22</v>
      </c>
      <c r="E4817" t="s">
        <v>42</v>
      </c>
      <c r="F4817" t="s">
        <v>37</v>
      </c>
      <c r="G4817" s="2">
        <v>45539</v>
      </c>
      <c r="H4817" s="3">
        <f t="shared" si="75"/>
        <v>1.0493150684931507</v>
      </c>
      <c r="I4817">
        <v>17</v>
      </c>
      <c r="J4817" t="s">
        <v>38</v>
      </c>
      <c r="K4817" t="s">
        <v>56</v>
      </c>
      <c r="L4817" t="s">
        <v>44</v>
      </c>
      <c r="M4817">
        <v>8.4700000000000006</v>
      </c>
      <c r="T4817" t="s">
        <v>47</v>
      </c>
      <c r="U4817">
        <v>1</v>
      </c>
      <c r="V4817">
        <v>5</v>
      </c>
    </row>
    <row r="4818" spans="1:22" x14ac:dyDescent="0.3">
      <c r="A4818">
        <v>4817</v>
      </c>
      <c r="B4818">
        <v>55308</v>
      </c>
      <c r="C4818" s="2">
        <v>38457</v>
      </c>
      <c r="D4818">
        <v>20</v>
      </c>
      <c r="E4818" t="s">
        <v>42</v>
      </c>
      <c r="F4818" t="s">
        <v>50</v>
      </c>
      <c r="G4818" s="2">
        <v>45639</v>
      </c>
      <c r="H4818" s="3">
        <f t="shared" si="75"/>
        <v>1.0630136986301371</v>
      </c>
      <c r="I4818">
        <v>17</v>
      </c>
      <c r="J4818" t="s">
        <v>38</v>
      </c>
      <c r="K4818" t="s">
        <v>56</v>
      </c>
      <c r="L4818" t="s">
        <v>44</v>
      </c>
      <c r="M4818">
        <v>8.4700000000000006</v>
      </c>
      <c r="T4818" t="s">
        <v>52</v>
      </c>
      <c r="U4818">
        <v>0</v>
      </c>
      <c r="V4818">
        <v>6</v>
      </c>
    </row>
    <row r="4819" spans="1:22" x14ac:dyDescent="0.3">
      <c r="A4819">
        <v>4818</v>
      </c>
      <c r="B4819">
        <v>55309</v>
      </c>
      <c r="C4819" s="2">
        <v>37858</v>
      </c>
      <c r="D4819">
        <v>22</v>
      </c>
      <c r="E4819" t="s">
        <v>42</v>
      </c>
      <c r="F4819" t="s">
        <v>50</v>
      </c>
      <c r="G4819" s="2">
        <v>45634</v>
      </c>
      <c r="H4819" s="3">
        <f t="shared" si="75"/>
        <v>1.6054794520547946</v>
      </c>
      <c r="I4819">
        <v>17</v>
      </c>
      <c r="J4819" t="s">
        <v>38</v>
      </c>
      <c r="K4819" t="s">
        <v>56</v>
      </c>
      <c r="L4819" t="s">
        <v>44</v>
      </c>
      <c r="M4819">
        <v>8.4700000000000006</v>
      </c>
      <c r="T4819" t="s">
        <v>47</v>
      </c>
      <c r="U4819">
        <v>1</v>
      </c>
      <c r="V4819">
        <v>5</v>
      </c>
    </row>
    <row r="4820" spans="1:22" x14ac:dyDescent="0.3">
      <c r="A4820">
        <v>4819</v>
      </c>
      <c r="B4820">
        <v>55310</v>
      </c>
      <c r="C4820" s="2">
        <v>38200</v>
      </c>
      <c r="D4820">
        <v>22</v>
      </c>
      <c r="E4820" t="s">
        <v>42</v>
      </c>
      <c r="F4820" t="s">
        <v>50</v>
      </c>
      <c r="G4820" s="2">
        <v>45436</v>
      </c>
      <c r="H4820" s="3">
        <f t="shared" si="75"/>
        <v>1.2602739726027397</v>
      </c>
      <c r="I4820">
        <v>17</v>
      </c>
      <c r="J4820" t="s">
        <v>38</v>
      </c>
      <c r="K4820" t="s">
        <v>56</v>
      </c>
      <c r="L4820" t="s">
        <v>44</v>
      </c>
      <c r="M4820">
        <v>8.4700000000000006</v>
      </c>
      <c r="T4820" t="s">
        <v>45</v>
      </c>
      <c r="U4820">
        <v>3</v>
      </c>
      <c r="V4820">
        <v>6</v>
      </c>
    </row>
    <row r="4821" spans="1:22" x14ac:dyDescent="0.3">
      <c r="A4821">
        <v>4820</v>
      </c>
      <c r="B4821">
        <v>55311</v>
      </c>
      <c r="C4821" s="2">
        <v>35240</v>
      </c>
      <c r="D4821">
        <v>29</v>
      </c>
      <c r="E4821" t="s">
        <v>42</v>
      </c>
      <c r="F4821" t="s">
        <v>50</v>
      </c>
      <c r="G4821" s="2">
        <v>45562</v>
      </c>
      <c r="H4821" s="3">
        <f t="shared" si="75"/>
        <v>1.3643835616438356</v>
      </c>
      <c r="I4821">
        <v>17</v>
      </c>
      <c r="J4821" t="s">
        <v>38</v>
      </c>
      <c r="K4821" t="s">
        <v>56</v>
      </c>
      <c r="L4821" t="s">
        <v>44</v>
      </c>
      <c r="M4821">
        <v>8.4700000000000006</v>
      </c>
      <c r="T4821" t="s">
        <v>45</v>
      </c>
      <c r="U4821">
        <v>2</v>
      </c>
      <c r="V4821">
        <v>4</v>
      </c>
    </row>
    <row r="4822" spans="1:22" x14ac:dyDescent="0.3">
      <c r="A4822">
        <v>4821</v>
      </c>
      <c r="B4822">
        <v>55312</v>
      </c>
      <c r="C4822" s="2">
        <v>37908</v>
      </c>
      <c r="D4822">
        <v>22</v>
      </c>
      <c r="E4822" t="s">
        <v>42</v>
      </c>
      <c r="F4822" t="s">
        <v>50</v>
      </c>
      <c r="G4822" s="2">
        <v>45524</v>
      </c>
      <c r="H4822" s="3">
        <f t="shared" si="75"/>
        <v>1.547945205479452</v>
      </c>
      <c r="I4822">
        <v>17</v>
      </c>
      <c r="J4822" t="s">
        <v>38</v>
      </c>
      <c r="K4822" t="s">
        <v>56</v>
      </c>
      <c r="L4822" t="s">
        <v>44</v>
      </c>
      <c r="M4822">
        <v>8.4700000000000006</v>
      </c>
      <c r="T4822" t="s">
        <v>49</v>
      </c>
      <c r="U4822">
        <v>4</v>
      </c>
      <c r="V4822">
        <v>7</v>
      </c>
    </row>
    <row r="4823" spans="1:22" x14ac:dyDescent="0.3">
      <c r="A4823">
        <v>4822</v>
      </c>
      <c r="B4823">
        <v>55313</v>
      </c>
      <c r="C4823" s="2">
        <v>36486</v>
      </c>
      <c r="D4823">
        <v>26</v>
      </c>
      <c r="E4823" t="s">
        <v>42</v>
      </c>
      <c r="F4823" t="s">
        <v>50</v>
      </c>
      <c r="G4823" s="2">
        <v>45457</v>
      </c>
      <c r="H4823" s="3">
        <f t="shared" si="75"/>
        <v>1.8164383561643835</v>
      </c>
      <c r="I4823">
        <v>17</v>
      </c>
      <c r="J4823" t="s">
        <v>38</v>
      </c>
      <c r="K4823" t="s">
        <v>56</v>
      </c>
      <c r="L4823" t="s">
        <v>44</v>
      </c>
      <c r="M4823">
        <v>8.4700000000000006</v>
      </c>
      <c r="T4823" t="s">
        <v>47</v>
      </c>
      <c r="U4823">
        <v>2</v>
      </c>
      <c r="V4823">
        <v>5</v>
      </c>
    </row>
    <row r="4824" spans="1:22" x14ac:dyDescent="0.3">
      <c r="A4824">
        <v>4823</v>
      </c>
      <c r="B4824">
        <v>55315</v>
      </c>
      <c r="C4824" s="2">
        <v>36149</v>
      </c>
      <c r="D4824">
        <v>27</v>
      </c>
      <c r="E4824" t="s">
        <v>36</v>
      </c>
      <c r="F4824" t="s">
        <v>50</v>
      </c>
      <c r="G4824" s="2">
        <v>45359</v>
      </c>
      <c r="H4824" s="3">
        <f t="shared" si="75"/>
        <v>1.0876712328767124</v>
      </c>
      <c r="I4824">
        <v>18</v>
      </c>
      <c r="J4824" t="s">
        <v>38</v>
      </c>
      <c r="K4824" t="s">
        <v>54</v>
      </c>
      <c r="L4824" t="s">
        <v>44</v>
      </c>
      <c r="M4824">
        <v>23.78</v>
      </c>
      <c r="T4824" t="s">
        <v>47</v>
      </c>
      <c r="U4824">
        <v>4</v>
      </c>
      <c r="V4824">
        <v>4</v>
      </c>
    </row>
    <row r="4825" spans="1:22" x14ac:dyDescent="0.3">
      <c r="A4825">
        <v>4824</v>
      </c>
      <c r="B4825">
        <v>55316</v>
      </c>
      <c r="C4825" s="2">
        <v>36920</v>
      </c>
      <c r="D4825">
        <v>24</v>
      </c>
      <c r="E4825" t="s">
        <v>36</v>
      </c>
      <c r="F4825" t="s">
        <v>50</v>
      </c>
      <c r="G4825" s="2">
        <v>45625</v>
      </c>
      <c r="H4825" s="3">
        <f t="shared" si="75"/>
        <v>1.4328767123287671</v>
      </c>
      <c r="I4825">
        <v>18</v>
      </c>
      <c r="J4825" t="s">
        <v>38</v>
      </c>
      <c r="K4825" t="s">
        <v>56</v>
      </c>
      <c r="L4825" t="s">
        <v>44</v>
      </c>
      <c r="M4825">
        <v>8.4700000000000006</v>
      </c>
      <c r="T4825" t="s">
        <v>49</v>
      </c>
      <c r="U4825">
        <v>4</v>
      </c>
      <c r="V4825">
        <v>6</v>
      </c>
    </row>
    <row r="4826" spans="1:22" x14ac:dyDescent="0.3">
      <c r="A4826">
        <v>4825</v>
      </c>
      <c r="B4826">
        <v>55317</v>
      </c>
      <c r="C4826" s="2">
        <v>38779</v>
      </c>
      <c r="D4826">
        <v>19</v>
      </c>
      <c r="E4826" t="s">
        <v>36</v>
      </c>
      <c r="F4826" t="s">
        <v>37</v>
      </c>
      <c r="G4826" s="2">
        <v>45499</v>
      </c>
      <c r="H4826" s="3">
        <f t="shared" si="75"/>
        <v>1.7561643835616438</v>
      </c>
      <c r="I4826">
        <v>18</v>
      </c>
      <c r="J4826" t="s">
        <v>38</v>
      </c>
      <c r="K4826" t="s">
        <v>56</v>
      </c>
      <c r="L4826" t="s">
        <v>44</v>
      </c>
      <c r="M4826">
        <v>8.4700000000000006</v>
      </c>
      <c r="T4826" t="s">
        <v>45</v>
      </c>
      <c r="U4826">
        <v>2</v>
      </c>
      <c r="V4826">
        <v>5</v>
      </c>
    </row>
    <row r="4827" spans="1:22" x14ac:dyDescent="0.3">
      <c r="A4827">
        <v>4826</v>
      </c>
      <c r="B4827">
        <v>55318</v>
      </c>
      <c r="C4827" s="2">
        <v>38608</v>
      </c>
      <c r="D4827">
        <v>20</v>
      </c>
      <c r="E4827" t="s">
        <v>42</v>
      </c>
      <c r="F4827" t="s">
        <v>50</v>
      </c>
      <c r="G4827" s="2">
        <v>45381</v>
      </c>
      <c r="H4827" s="3">
        <f t="shared" si="75"/>
        <v>1.5123287671232877</v>
      </c>
      <c r="I4827">
        <v>18</v>
      </c>
      <c r="J4827" t="s">
        <v>38</v>
      </c>
      <c r="K4827" t="s">
        <v>56</v>
      </c>
      <c r="L4827" t="s">
        <v>44</v>
      </c>
      <c r="M4827">
        <v>8.4700000000000006</v>
      </c>
      <c r="T4827" t="s">
        <v>47</v>
      </c>
      <c r="U4827">
        <v>2</v>
      </c>
      <c r="V4827">
        <v>5</v>
      </c>
    </row>
    <row r="4828" spans="1:22" x14ac:dyDescent="0.3">
      <c r="A4828">
        <v>4827</v>
      </c>
      <c r="B4828">
        <v>55319</v>
      </c>
      <c r="C4828" s="2">
        <v>35841</v>
      </c>
      <c r="D4828">
        <v>27</v>
      </c>
      <c r="E4828" t="s">
        <v>42</v>
      </c>
      <c r="F4828" t="s">
        <v>50</v>
      </c>
      <c r="G4828" s="2">
        <v>45470</v>
      </c>
      <c r="H4828" s="3">
        <f t="shared" si="75"/>
        <v>1.284931506849315</v>
      </c>
      <c r="I4828">
        <v>18</v>
      </c>
      <c r="J4828" t="s">
        <v>38</v>
      </c>
      <c r="K4828" t="s">
        <v>56</v>
      </c>
      <c r="L4828" t="s">
        <v>44</v>
      </c>
      <c r="M4828">
        <v>8.4700000000000006</v>
      </c>
      <c r="T4828" t="s">
        <v>47</v>
      </c>
      <c r="U4828">
        <v>2</v>
      </c>
      <c r="V4828">
        <v>6</v>
      </c>
    </row>
    <row r="4829" spans="1:22" x14ac:dyDescent="0.3">
      <c r="A4829">
        <v>4828</v>
      </c>
      <c r="B4829">
        <v>55320</v>
      </c>
      <c r="C4829" s="2">
        <v>38575</v>
      </c>
      <c r="D4829">
        <v>20</v>
      </c>
      <c r="E4829" t="s">
        <v>42</v>
      </c>
      <c r="F4829" t="s">
        <v>37</v>
      </c>
      <c r="G4829" s="2">
        <v>45553</v>
      </c>
      <c r="H4829" s="3">
        <f t="shared" si="75"/>
        <v>1.8575342465753424</v>
      </c>
      <c r="I4829">
        <v>18</v>
      </c>
      <c r="J4829" t="s">
        <v>38</v>
      </c>
      <c r="K4829" t="s">
        <v>56</v>
      </c>
      <c r="L4829" t="s">
        <v>44</v>
      </c>
      <c r="M4829">
        <v>8.4700000000000006</v>
      </c>
      <c r="T4829" t="s">
        <v>45</v>
      </c>
      <c r="U4829">
        <v>2</v>
      </c>
      <c r="V4829">
        <v>4</v>
      </c>
    </row>
    <row r="4830" spans="1:22" x14ac:dyDescent="0.3">
      <c r="A4830">
        <v>4829</v>
      </c>
      <c r="B4830">
        <v>55322</v>
      </c>
      <c r="C4830" s="2">
        <v>37057</v>
      </c>
      <c r="D4830">
        <v>24</v>
      </c>
      <c r="E4830" t="s">
        <v>42</v>
      </c>
      <c r="F4830" t="s">
        <v>37</v>
      </c>
      <c r="G4830" s="2">
        <v>45344</v>
      </c>
      <c r="H4830" s="3">
        <f t="shared" si="75"/>
        <v>1.5753424657534247</v>
      </c>
      <c r="I4830">
        <v>18</v>
      </c>
      <c r="J4830" t="s">
        <v>38</v>
      </c>
      <c r="K4830" t="s">
        <v>56</v>
      </c>
      <c r="L4830" t="s">
        <v>44</v>
      </c>
      <c r="M4830">
        <v>8.4700000000000006</v>
      </c>
      <c r="T4830" t="s">
        <v>45</v>
      </c>
      <c r="U4830">
        <v>2</v>
      </c>
      <c r="V4830">
        <v>6</v>
      </c>
    </row>
    <row r="4831" spans="1:22" x14ac:dyDescent="0.3">
      <c r="A4831">
        <v>4830</v>
      </c>
      <c r="B4831">
        <v>55323</v>
      </c>
      <c r="C4831" s="2">
        <v>38710</v>
      </c>
      <c r="D4831">
        <v>20</v>
      </c>
      <c r="E4831" t="s">
        <v>36</v>
      </c>
      <c r="F4831" t="s">
        <v>37</v>
      </c>
      <c r="G4831" s="2">
        <v>45447</v>
      </c>
      <c r="H4831" s="3">
        <f t="shared" si="75"/>
        <v>1.8630136986301369</v>
      </c>
      <c r="I4831">
        <v>18</v>
      </c>
      <c r="J4831" t="s">
        <v>38</v>
      </c>
      <c r="K4831" t="s">
        <v>56</v>
      </c>
      <c r="L4831" t="s">
        <v>44</v>
      </c>
      <c r="M4831">
        <v>8.4700000000000006</v>
      </c>
      <c r="T4831" t="s">
        <v>45</v>
      </c>
      <c r="U4831">
        <v>1</v>
      </c>
      <c r="V4831">
        <v>4</v>
      </c>
    </row>
    <row r="4832" spans="1:22" x14ac:dyDescent="0.3">
      <c r="A4832">
        <v>4831</v>
      </c>
      <c r="B4832">
        <v>55324</v>
      </c>
      <c r="C4832" s="2">
        <v>38170</v>
      </c>
      <c r="D4832">
        <v>21</v>
      </c>
      <c r="E4832" t="s">
        <v>36</v>
      </c>
      <c r="F4832" t="s">
        <v>50</v>
      </c>
      <c r="G4832" s="2">
        <v>45342</v>
      </c>
      <c r="H4832" s="3">
        <f t="shared" si="75"/>
        <v>1.2219178082191782</v>
      </c>
      <c r="I4832">
        <v>18</v>
      </c>
      <c r="J4832" t="s">
        <v>38</v>
      </c>
      <c r="K4832" t="s">
        <v>56</v>
      </c>
      <c r="L4832" t="s">
        <v>44</v>
      </c>
      <c r="M4832">
        <v>8.4700000000000006</v>
      </c>
      <c r="T4832" t="s">
        <v>49</v>
      </c>
      <c r="U4832">
        <v>2</v>
      </c>
      <c r="V4832">
        <v>4</v>
      </c>
    </row>
    <row r="4833" spans="1:22" x14ac:dyDescent="0.3">
      <c r="A4833">
        <v>4832</v>
      </c>
      <c r="B4833">
        <v>55326</v>
      </c>
      <c r="C4833" s="2">
        <v>38478</v>
      </c>
      <c r="D4833">
        <v>20</v>
      </c>
      <c r="E4833" t="s">
        <v>36</v>
      </c>
      <c r="F4833" t="s">
        <v>50</v>
      </c>
      <c r="G4833" s="2">
        <v>45576</v>
      </c>
      <c r="H4833" s="3">
        <f t="shared" si="75"/>
        <v>1.7506849315068493</v>
      </c>
      <c r="I4833">
        <v>18</v>
      </c>
      <c r="J4833" t="s">
        <v>38</v>
      </c>
      <c r="K4833" t="s">
        <v>56</v>
      </c>
      <c r="L4833" t="s">
        <v>44</v>
      </c>
      <c r="M4833">
        <v>8.4700000000000006</v>
      </c>
      <c r="T4833" t="s">
        <v>49</v>
      </c>
      <c r="U4833">
        <v>2</v>
      </c>
      <c r="V4833">
        <v>5</v>
      </c>
    </row>
    <row r="4834" spans="1:22" x14ac:dyDescent="0.3">
      <c r="A4834">
        <v>4833</v>
      </c>
      <c r="B4834">
        <v>55327</v>
      </c>
      <c r="C4834" s="2">
        <v>37237</v>
      </c>
      <c r="D4834">
        <v>24</v>
      </c>
      <c r="E4834" t="s">
        <v>42</v>
      </c>
      <c r="F4834" t="s">
        <v>37</v>
      </c>
      <c r="G4834" s="2">
        <v>45383</v>
      </c>
      <c r="H4834" s="3">
        <f t="shared" si="75"/>
        <v>1.2328767123287672</v>
      </c>
      <c r="I4834">
        <v>18</v>
      </c>
      <c r="J4834" t="s">
        <v>38</v>
      </c>
      <c r="K4834" t="s">
        <v>56</v>
      </c>
      <c r="L4834" t="s">
        <v>44</v>
      </c>
      <c r="M4834">
        <v>8.4700000000000006</v>
      </c>
      <c r="T4834" t="s">
        <v>45</v>
      </c>
      <c r="U4834">
        <v>4</v>
      </c>
      <c r="V4834">
        <v>6</v>
      </c>
    </row>
    <row r="4835" spans="1:22" x14ac:dyDescent="0.3">
      <c r="A4835">
        <v>4834</v>
      </c>
      <c r="B4835">
        <v>55328</v>
      </c>
      <c r="C4835" s="2">
        <v>38803</v>
      </c>
      <c r="D4835">
        <v>19</v>
      </c>
      <c r="E4835" t="s">
        <v>42</v>
      </c>
      <c r="F4835" t="s">
        <v>50</v>
      </c>
      <c r="G4835" s="2">
        <v>45572</v>
      </c>
      <c r="H4835" s="3">
        <f t="shared" si="75"/>
        <v>1.5753424657534247</v>
      </c>
      <c r="I4835">
        <v>18</v>
      </c>
      <c r="J4835" t="s">
        <v>38</v>
      </c>
      <c r="K4835" t="s">
        <v>56</v>
      </c>
      <c r="L4835" t="s">
        <v>44</v>
      </c>
      <c r="M4835">
        <v>8.4700000000000006</v>
      </c>
      <c r="T4835" t="s">
        <v>45</v>
      </c>
      <c r="U4835">
        <v>2</v>
      </c>
      <c r="V4835">
        <v>5</v>
      </c>
    </row>
    <row r="4836" spans="1:22" x14ac:dyDescent="0.3">
      <c r="A4836">
        <v>4835</v>
      </c>
      <c r="B4836">
        <v>55329</v>
      </c>
      <c r="C4836" s="2">
        <v>36512</v>
      </c>
      <c r="D4836">
        <v>26</v>
      </c>
      <c r="E4836" t="s">
        <v>42</v>
      </c>
      <c r="F4836" t="s">
        <v>37</v>
      </c>
      <c r="G4836" s="2">
        <v>45447</v>
      </c>
      <c r="H4836" s="3">
        <f t="shared" si="75"/>
        <v>1.5561643835616439</v>
      </c>
      <c r="I4836">
        <v>19</v>
      </c>
      <c r="J4836" t="s">
        <v>38</v>
      </c>
      <c r="K4836" t="s">
        <v>68</v>
      </c>
      <c r="L4836" t="s">
        <v>44</v>
      </c>
      <c r="M4836">
        <v>17</v>
      </c>
      <c r="T4836" t="s">
        <v>49</v>
      </c>
      <c r="U4836">
        <v>4</v>
      </c>
      <c r="V4836">
        <v>6</v>
      </c>
    </row>
    <row r="4837" spans="1:22" x14ac:dyDescent="0.3">
      <c r="A4837">
        <v>4836</v>
      </c>
      <c r="B4837">
        <v>55330</v>
      </c>
      <c r="C4837" s="2">
        <v>36238</v>
      </c>
      <c r="D4837">
        <v>26</v>
      </c>
      <c r="E4837" t="s">
        <v>36</v>
      </c>
      <c r="F4837" t="s">
        <v>37</v>
      </c>
      <c r="G4837" s="2">
        <v>45454</v>
      </c>
      <c r="H4837" s="3">
        <f t="shared" si="75"/>
        <v>1.0438356164383562</v>
      </c>
      <c r="I4837">
        <v>19</v>
      </c>
      <c r="J4837" t="s">
        <v>38</v>
      </c>
      <c r="K4837" t="s">
        <v>55</v>
      </c>
      <c r="L4837" t="s">
        <v>44</v>
      </c>
      <c r="M4837">
        <v>17.59</v>
      </c>
      <c r="T4837" t="s">
        <v>45</v>
      </c>
      <c r="U4837">
        <v>4</v>
      </c>
      <c r="V4837">
        <v>4</v>
      </c>
    </row>
    <row r="4838" spans="1:22" x14ac:dyDescent="0.3">
      <c r="A4838">
        <v>4837</v>
      </c>
      <c r="B4838">
        <v>55331</v>
      </c>
      <c r="C4838" s="2">
        <v>38156</v>
      </c>
      <c r="D4838">
        <v>21</v>
      </c>
      <c r="E4838" t="s">
        <v>42</v>
      </c>
      <c r="F4838" t="s">
        <v>50</v>
      </c>
      <c r="G4838" s="2">
        <v>45641</v>
      </c>
      <c r="H4838" s="3">
        <f t="shared" si="75"/>
        <v>1.3506849315068492</v>
      </c>
      <c r="I4838">
        <v>19</v>
      </c>
      <c r="J4838" t="s">
        <v>38</v>
      </c>
      <c r="K4838" t="s">
        <v>56</v>
      </c>
      <c r="L4838" t="s">
        <v>44</v>
      </c>
      <c r="M4838">
        <v>8.4700000000000006</v>
      </c>
      <c r="T4838" t="s">
        <v>52</v>
      </c>
      <c r="U4838">
        <v>2</v>
      </c>
      <c r="V4838">
        <v>5</v>
      </c>
    </row>
    <row r="4839" spans="1:22" x14ac:dyDescent="0.3">
      <c r="A4839">
        <v>4838</v>
      </c>
      <c r="B4839">
        <v>55332</v>
      </c>
      <c r="C4839" s="2">
        <v>38414</v>
      </c>
      <c r="D4839">
        <v>20</v>
      </c>
      <c r="E4839" t="s">
        <v>42</v>
      </c>
      <c r="F4839" t="s">
        <v>37</v>
      </c>
      <c r="G4839" s="2">
        <v>45529</v>
      </c>
      <c r="H4839" s="3">
        <f t="shared" si="75"/>
        <v>1.2164383561643837</v>
      </c>
      <c r="I4839">
        <v>19</v>
      </c>
      <c r="J4839" t="s">
        <v>38</v>
      </c>
      <c r="K4839" t="s">
        <v>56</v>
      </c>
      <c r="L4839" t="s">
        <v>44</v>
      </c>
      <c r="M4839">
        <v>8.4700000000000006</v>
      </c>
      <c r="T4839" t="s">
        <v>52</v>
      </c>
      <c r="U4839">
        <v>4</v>
      </c>
      <c r="V4839">
        <v>6</v>
      </c>
    </row>
    <row r="4840" spans="1:22" x14ac:dyDescent="0.3">
      <c r="A4840">
        <v>4839</v>
      </c>
      <c r="B4840">
        <v>55333</v>
      </c>
      <c r="C4840" s="2">
        <v>39277</v>
      </c>
      <c r="D4840">
        <v>18</v>
      </c>
      <c r="E4840" t="s">
        <v>36</v>
      </c>
      <c r="F4840" t="s">
        <v>50</v>
      </c>
      <c r="G4840" s="2">
        <v>45578</v>
      </c>
      <c r="H4840" s="3">
        <f t="shared" si="75"/>
        <v>1.5315068493150685</v>
      </c>
      <c r="I4840">
        <v>19</v>
      </c>
      <c r="J4840" t="s">
        <v>38</v>
      </c>
      <c r="K4840" t="s">
        <v>56</v>
      </c>
      <c r="L4840" t="s">
        <v>44</v>
      </c>
      <c r="M4840">
        <v>8.4700000000000006</v>
      </c>
      <c r="T4840" t="s">
        <v>47</v>
      </c>
      <c r="U4840">
        <v>3</v>
      </c>
      <c r="V4840">
        <v>5</v>
      </c>
    </row>
    <row r="4841" spans="1:22" x14ac:dyDescent="0.3">
      <c r="A4841">
        <v>4840</v>
      </c>
      <c r="B4841">
        <v>55334</v>
      </c>
      <c r="C4841" s="2">
        <v>37529</v>
      </c>
      <c r="D4841">
        <v>23</v>
      </c>
      <c r="E4841" t="s">
        <v>42</v>
      </c>
      <c r="F4841" t="s">
        <v>50</v>
      </c>
      <c r="G4841" s="2">
        <v>45463</v>
      </c>
      <c r="H4841" s="3">
        <f t="shared" si="75"/>
        <v>1.1616438356164382</v>
      </c>
      <c r="I4841">
        <v>20</v>
      </c>
      <c r="J4841" t="s">
        <v>38</v>
      </c>
      <c r="K4841" t="s">
        <v>68</v>
      </c>
      <c r="L4841" t="s">
        <v>44</v>
      </c>
      <c r="M4841">
        <v>17</v>
      </c>
      <c r="T4841" t="s">
        <v>47</v>
      </c>
      <c r="U4841">
        <v>2</v>
      </c>
      <c r="V4841">
        <v>6</v>
      </c>
    </row>
    <row r="4842" spans="1:22" x14ac:dyDescent="0.3">
      <c r="A4842">
        <v>4841</v>
      </c>
      <c r="B4842">
        <v>55335</v>
      </c>
      <c r="C4842" s="2">
        <v>36473</v>
      </c>
      <c r="D4842">
        <v>26</v>
      </c>
      <c r="E4842" t="s">
        <v>42</v>
      </c>
      <c r="F4842" t="s">
        <v>50</v>
      </c>
      <c r="G4842" s="2">
        <v>45598</v>
      </c>
      <c r="H4842" s="3">
        <f t="shared" si="75"/>
        <v>1.8410958904109589</v>
      </c>
      <c r="I4842">
        <v>20</v>
      </c>
      <c r="J4842" t="s">
        <v>38</v>
      </c>
      <c r="K4842" t="s">
        <v>68</v>
      </c>
      <c r="L4842" t="s">
        <v>44</v>
      </c>
      <c r="M4842">
        <v>17</v>
      </c>
      <c r="T4842" t="s">
        <v>45</v>
      </c>
      <c r="U4842">
        <v>4</v>
      </c>
      <c r="V4842">
        <v>6</v>
      </c>
    </row>
    <row r="4843" spans="1:22" x14ac:dyDescent="0.3">
      <c r="A4843">
        <v>4842</v>
      </c>
      <c r="B4843">
        <v>55336</v>
      </c>
      <c r="C4843" s="2">
        <v>35334</v>
      </c>
      <c r="D4843">
        <v>29</v>
      </c>
      <c r="E4843" t="s">
        <v>36</v>
      </c>
      <c r="F4843" t="s">
        <v>37</v>
      </c>
      <c r="G4843" s="2">
        <v>45350</v>
      </c>
      <c r="H4843" s="3">
        <f t="shared" si="75"/>
        <v>1.4136986301369863</v>
      </c>
      <c r="I4843">
        <v>20</v>
      </c>
      <c r="J4843" t="s">
        <v>38</v>
      </c>
      <c r="K4843" t="s">
        <v>65</v>
      </c>
      <c r="L4843" t="s">
        <v>44</v>
      </c>
      <c r="M4843">
        <v>10.64</v>
      </c>
      <c r="T4843" t="s">
        <v>52</v>
      </c>
      <c r="U4843">
        <v>1</v>
      </c>
      <c r="V4843">
        <v>5</v>
      </c>
    </row>
    <row r="4844" spans="1:22" x14ac:dyDescent="0.3">
      <c r="A4844">
        <v>4843</v>
      </c>
      <c r="B4844">
        <v>55337</v>
      </c>
      <c r="C4844" s="2">
        <v>37151</v>
      </c>
      <c r="D4844">
        <v>24</v>
      </c>
      <c r="E4844" t="s">
        <v>36</v>
      </c>
      <c r="F4844" t="s">
        <v>50</v>
      </c>
      <c r="G4844" s="2">
        <v>45506</v>
      </c>
      <c r="H4844" s="3">
        <f t="shared" si="75"/>
        <v>1.5506849315068494</v>
      </c>
      <c r="I4844">
        <v>20</v>
      </c>
      <c r="J4844" t="s">
        <v>38</v>
      </c>
      <c r="K4844" t="s">
        <v>43</v>
      </c>
      <c r="L4844" t="s">
        <v>44</v>
      </c>
      <c r="M4844">
        <v>16.37</v>
      </c>
      <c r="T4844" t="s">
        <v>52</v>
      </c>
      <c r="U4844">
        <v>1</v>
      </c>
      <c r="V4844">
        <v>3</v>
      </c>
    </row>
    <row r="4845" spans="1:22" x14ac:dyDescent="0.3">
      <c r="A4845">
        <v>4844</v>
      </c>
      <c r="B4845">
        <v>55338</v>
      </c>
      <c r="C4845" s="2">
        <v>37923</v>
      </c>
      <c r="D4845">
        <v>22</v>
      </c>
      <c r="E4845" t="s">
        <v>42</v>
      </c>
      <c r="F4845" t="s">
        <v>50</v>
      </c>
      <c r="G4845" s="2">
        <v>45456</v>
      </c>
      <c r="H4845" s="3">
        <f t="shared" si="75"/>
        <v>1.5698630136986302</v>
      </c>
      <c r="I4845">
        <v>20</v>
      </c>
      <c r="J4845" t="s">
        <v>38</v>
      </c>
      <c r="K4845" t="s">
        <v>48</v>
      </c>
      <c r="L4845" t="s">
        <v>44</v>
      </c>
      <c r="M4845">
        <v>8.4700000000000006</v>
      </c>
      <c r="T4845" t="s">
        <v>49</v>
      </c>
      <c r="U4845">
        <v>2</v>
      </c>
      <c r="V4845">
        <v>7</v>
      </c>
    </row>
    <row r="4846" spans="1:22" x14ac:dyDescent="0.3">
      <c r="A4846">
        <v>4845</v>
      </c>
      <c r="B4846">
        <v>55339</v>
      </c>
      <c r="C4846" s="2">
        <v>38942</v>
      </c>
      <c r="D4846">
        <v>19</v>
      </c>
      <c r="E4846" t="s">
        <v>42</v>
      </c>
      <c r="F4846" t="s">
        <v>50</v>
      </c>
      <c r="G4846" s="2">
        <v>45449</v>
      </c>
      <c r="H4846" s="3">
        <f t="shared" si="75"/>
        <v>1.4876712328767123</v>
      </c>
      <c r="I4846">
        <v>20</v>
      </c>
      <c r="J4846" t="s">
        <v>38</v>
      </c>
      <c r="K4846" t="s">
        <v>56</v>
      </c>
      <c r="L4846" t="s">
        <v>44</v>
      </c>
      <c r="M4846">
        <v>8.4700000000000006</v>
      </c>
      <c r="T4846" t="s">
        <v>45</v>
      </c>
      <c r="U4846">
        <v>2</v>
      </c>
      <c r="V4846">
        <v>5</v>
      </c>
    </row>
    <row r="4847" spans="1:22" x14ac:dyDescent="0.3">
      <c r="A4847">
        <v>4846</v>
      </c>
      <c r="B4847">
        <v>55341</v>
      </c>
      <c r="C4847" s="2">
        <v>38257</v>
      </c>
      <c r="D4847">
        <v>21</v>
      </c>
      <c r="E4847" t="s">
        <v>42</v>
      </c>
      <c r="F4847" t="s">
        <v>50</v>
      </c>
      <c r="G4847" s="2">
        <v>45479</v>
      </c>
      <c r="H4847" s="3">
        <f t="shared" si="75"/>
        <v>1.0273972602739727</v>
      </c>
      <c r="I4847">
        <v>20</v>
      </c>
      <c r="J4847" t="s">
        <v>38</v>
      </c>
      <c r="K4847" t="s">
        <v>56</v>
      </c>
      <c r="L4847" t="s">
        <v>44</v>
      </c>
      <c r="M4847">
        <v>8.4700000000000006</v>
      </c>
      <c r="T4847" t="s">
        <v>45</v>
      </c>
      <c r="U4847">
        <v>2</v>
      </c>
      <c r="V4847">
        <v>7</v>
      </c>
    </row>
    <row r="4848" spans="1:22" x14ac:dyDescent="0.3">
      <c r="A4848">
        <v>4847</v>
      </c>
      <c r="B4848">
        <v>55342</v>
      </c>
      <c r="C4848" s="2">
        <v>38939</v>
      </c>
      <c r="D4848">
        <v>19</v>
      </c>
      <c r="E4848" t="s">
        <v>36</v>
      </c>
      <c r="F4848" t="s">
        <v>50</v>
      </c>
      <c r="G4848" s="2">
        <v>45647</v>
      </c>
      <c r="H4848" s="3">
        <f t="shared" si="75"/>
        <v>1.189041095890411</v>
      </c>
      <c r="I4848">
        <v>20</v>
      </c>
      <c r="J4848" t="s">
        <v>38</v>
      </c>
      <c r="K4848" t="s">
        <v>56</v>
      </c>
      <c r="L4848" t="s">
        <v>44</v>
      </c>
      <c r="M4848">
        <v>8.4700000000000006</v>
      </c>
      <c r="T4848" t="s">
        <v>45</v>
      </c>
      <c r="U4848">
        <v>3</v>
      </c>
      <c r="V4848">
        <v>5</v>
      </c>
    </row>
    <row r="4849" spans="1:22" x14ac:dyDescent="0.3">
      <c r="A4849">
        <v>4848</v>
      </c>
      <c r="B4849">
        <v>55344</v>
      </c>
      <c r="C4849" s="2">
        <v>35721</v>
      </c>
      <c r="D4849">
        <v>28</v>
      </c>
      <c r="E4849" t="s">
        <v>42</v>
      </c>
      <c r="F4849" t="s">
        <v>50</v>
      </c>
      <c r="G4849" s="2">
        <v>45588</v>
      </c>
      <c r="H4849" s="3">
        <f t="shared" si="75"/>
        <v>1.0383561643835617</v>
      </c>
      <c r="I4849">
        <v>20</v>
      </c>
      <c r="J4849" t="s">
        <v>38</v>
      </c>
      <c r="K4849" t="s">
        <v>56</v>
      </c>
      <c r="L4849" t="s">
        <v>44</v>
      </c>
      <c r="M4849">
        <v>8.4700000000000006</v>
      </c>
      <c r="T4849" t="s">
        <v>45</v>
      </c>
      <c r="U4849">
        <v>1</v>
      </c>
      <c r="V4849">
        <v>5</v>
      </c>
    </row>
    <row r="4850" spans="1:22" x14ac:dyDescent="0.3">
      <c r="A4850">
        <v>4849</v>
      </c>
      <c r="B4850">
        <v>55345</v>
      </c>
      <c r="C4850" s="2">
        <v>36806</v>
      </c>
      <c r="D4850">
        <v>25</v>
      </c>
      <c r="E4850" t="s">
        <v>42</v>
      </c>
      <c r="F4850" t="s">
        <v>50</v>
      </c>
      <c r="G4850" s="2">
        <v>45643</v>
      </c>
      <c r="H4850" s="3">
        <f t="shared" si="75"/>
        <v>1.3534246575342466</v>
      </c>
      <c r="I4850">
        <v>21</v>
      </c>
      <c r="J4850" t="s">
        <v>38</v>
      </c>
      <c r="K4850" t="s">
        <v>68</v>
      </c>
      <c r="L4850" t="s">
        <v>44</v>
      </c>
      <c r="M4850">
        <v>17</v>
      </c>
      <c r="T4850" t="s">
        <v>52</v>
      </c>
      <c r="U4850">
        <v>2</v>
      </c>
      <c r="V4850">
        <v>5</v>
      </c>
    </row>
    <row r="4851" spans="1:22" x14ac:dyDescent="0.3">
      <c r="A4851">
        <v>4850</v>
      </c>
      <c r="B4851">
        <v>55346</v>
      </c>
      <c r="C4851" s="2">
        <v>36060</v>
      </c>
      <c r="D4851">
        <v>27</v>
      </c>
      <c r="E4851" t="s">
        <v>36</v>
      </c>
      <c r="F4851" t="s">
        <v>37</v>
      </c>
      <c r="G4851" s="2">
        <v>45528</v>
      </c>
      <c r="H4851" s="3">
        <f t="shared" si="75"/>
        <v>1.3643835616438356</v>
      </c>
      <c r="I4851">
        <v>21</v>
      </c>
      <c r="J4851" t="s">
        <v>38</v>
      </c>
      <c r="K4851" t="s">
        <v>65</v>
      </c>
      <c r="L4851" t="s">
        <v>44</v>
      </c>
      <c r="M4851">
        <v>10.64</v>
      </c>
      <c r="T4851" t="s">
        <v>47</v>
      </c>
      <c r="U4851">
        <v>0</v>
      </c>
      <c r="V4851">
        <v>3</v>
      </c>
    </row>
    <row r="4852" spans="1:22" x14ac:dyDescent="0.3">
      <c r="A4852">
        <v>4851</v>
      </c>
      <c r="B4852">
        <v>55347</v>
      </c>
      <c r="C4852" s="2">
        <v>38287</v>
      </c>
      <c r="D4852">
        <v>21</v>
      </c>
      <c r="E4852" t="s">
        <v>42</v>
      </c>
      <c r="F4852" t="s">
        <v>37</v>
      </c>
      <c r="G4852" s="2">
        <v>45524</v>
      </c>
      <c r="H4852" s="3">
        <f t="shared" si="75"/>
        <v>1.547945205479452</v>
      </c>
      <c r="I4852">
        <v>21</v>
      </c>
      <c r="J4852" t="s">
        <v>38</v>
      </c>
      <c r="K4852" t="s">
        <v>48</v>
      </c>
      <c r="L4852" t="s">
        <v>44</v>
      </c>
      <c r="M4852">
        <v>8.4700000000000006</v>
      </c>
      <c r="T4852" t="s">
        <v>49</v>
      </c>
      <c r="U4852">
        <v>1</v>
      </c>
      <c r="V4852">
        <v>5</v>
      </c>
    </row>
    <row r="4853" spans="1:22" x14ac:dyDescent="0.3">
      <c r="A4853">
        <v>4852</v>
      </c>
      <c r="B4853">
        <v>55349</v>
      </c>
      <c r="C4853" s="2">
        <v>37932</v>
      </c>
      <c r="D4853">
        <v>22</v>
      </c>
      <c r="E4853" t="s">
        <v>42</v>
      </c>
      <c r="F4853" t="s">
        <v>50</v>
      </c>
      <c r="G4853" s="2">
        <v>45457</v>
      </c>
      <c r="H4853" s="3">
        <f t="shared" si="75"/>
        <v>1.1479452054794521</v>
      </c>
      <c r="I4853">
        <v>21</v>
      </c>
      <c r="J4853" t="s">
        <v>38</v>
      </c>
      <c r="K4853" t="s">
        <v>56</v>
      </c>
      <c r="L4853" t="s">
        <v>44</v>
      </c>
      <c r="M4853">
        <v>8.4700000000000006</v>
      </c>
      <c r="T4853" t="s">
        <v>49</v>
      </c>
      <c r="U4853">
        <v>2</v>
      </c>
      <c r="V4853">
        <v>7</v>
      </c>
    </row>
    <row r="4854" spans="1:22" x14ac:dyDescent="0.3">
      <c r="A4854">
        <v>4853</v>
      </c>
      <c r="B4854">
        <v>55351</v>
      </c>
      <c r="C4854" s="2">
        <v>37552</v>
      </c>
      <c r="D4854">
        <v>23</v>
      </c>
      <c r="E4854" t="s">
        <v>42</v>
      </c>
      <c r="F4854" t="s">
        <v>50</v>
      </c>
      <c r="G4854" s="2">
        <v>45603</v>
      </c>
      <c r="H4854" s="3">
        <f t="shared" si="75"/>
        <v>1.2082191780821918</v>
      </c>
      <c r="I4854">
        <v>21</v>
      </c>
      <c r="J4854" t="s">
        <v>38</v>
      </c>
      <c r="K4854" t="s">
        <v>56</v>
      </c>
      <c r="L4854" t="s">
        <v>44</v>
      </c>
      <c r="M4854">
        <v>8.4700000000000006</v>
      </c>
      <c r="T4854" t="s">
        <v>49</v>
      </c>
      <c r="U4854">
        <v>1</v>
      </c>
      <c r="V4854">
        <v>7</v>
      </c>
    </row>
    <row r="4855" spans="1:22" x14ac:dyDescent="0.3">
      <c r="A4855">
        <v>4854</v>
      </c>
      <c r="B4855">
        <v>55352</v>
      </c>
      <c r="C4855" s="2">
        <v>37871</v>
      </c>
      <c r="D4855">
        <v>22</v>
      </c>
      <c r="E4855" t="s">
        <v>36</v>
      </c>
      <c r="F4855" t="s">
        <v>50</v>
      </c>
      <c r="G4855" s="2">
        <v>45581</v>
      </c>
      <c r="H4855" s="3">
        <f t="shared" si="75"/>
        <v>1.7178082191780821</v>
      </c>
      <c r="I4855">
        <v>21</v>
      </c>
      <c r="J4855" t="s">
        <v>38</v>
      </c>
      <c r="K4855" t="s">
        <v>56</v>
      </c>
      <c r="L4855" t="s">
        <v>44</v>
      </c>
      <c r="M4855">
        <v>8.4700000000000006</v>
      </c>
      <c r="T4855" t="s">
        <v>49</v>
      </c>
      <c r="U4855">
        <v>1</v>
      </c>
      <c r="V4855">
        <v>5</v>
      </c>
    </row>
    <row r="4856" spans="1:22" x14ac:dyDescent="0.3">
      <c r="A4856">
        <v>4855</v>
      </c>
      <c r="B4856">
        <v>55353</v>
      </c>
      <c r="C4856" s="2">
        <v>39399</v>
      </c>
      <c r="D4856">
        <v>18</v>
      </c>
      <c r="E4856" t="s">
        <v>42</v>
      </c>
      <c r="F4856" t="s">
        <v>50</v>
      </c>
      <c r="G4856" s="2">
        <v>45395</v>
      </c>
      <c r="H4856" s="3">
        <f t="shared" si="75"/>
        <v>1.4465753424657535</v>
      </c>
      <c r="I4856">
        <v>21</v>
      </c>
      <c r="J4856" t="s">
        <v>38</v>
      </c>
      <c r="K4856" t="s">
        <v>56</v>
      </c>
      <c r="L4856" t="s">
        <v>44</v>
      </c>
      <c r="M4856">
        <v>8.4700000000000006</v>
      </c>
      <c r="T4856" t="s">
        <v>52</v>
      </c>
      <c r="U4856">
        <v>0</v>
      </c>
      <c r="V4856">
        <v>6</v>
      </c>
    </row>
    <row r="4857" spans="1:22" x14ac:dyDescent="0.3">
      <c r="A4857">
        <v>4856</v>
      </c>
      <c r="B4857">
        <v>55354</v>
      </c>
      <c r="C4857" s="2">
        <v>37561</v>
      </c>
      <c r="D4857">
        <v>24</v>
      </c>
      <c r="E4857" t="s">
        <v>42</v>
      </c>
      <c r="F4857" t="s">
        <v>37</v>
      </c>
      <c r="G4857" s="2">
        <v>45494</v>
      </c>
      <c r="H4857" s="3">
        <f t="shared" si="75"/>
        <v>1</v>
      </c>
      <c r="I4857">
        <v>21</v>
      </c>
      <c r="J4857" t="s">
        <v>38</v>
      </c>
      <c r="K4857" t="s">
        <v>56</v>
      </c>
      <c r="L4857" t="s">
        <v>44</v>
      </c>
      <c r="M4857">
        <v>8.4700000000000006</v>
      </c>
      <c r="T4857" t="s">
        <v>52</v>
      </c>
      <c r="U4857">
        <v>4</v>
      </c>
      <c r="V4857">
        <v>6</v>
      </c>
    </row>
    <row r="4858" spans="1:22" x14ac:dyDescent="0.3">
      <c r="A4858">
        <v>4857</v>
      </c>
      <c r="B4858">
        <v>55355</v>
      </c>
      <c r="C4858" s="2">
        <v>36090</v>
      </c>
      <c r="D4858">
        <v>27</v>
      </c>
      <c r="E4858" t="s">
        <v>42</v>
      </c>
      <c r="F4858" t="s">
        <v>50</v>
      </c>
      <c r="G4858" s="2">
        <v>45657</v>
      </c>
      <c r="H4858" s="3">
        <f t="shared" si="75"/>
        <v>1.4547945205479451</v>
      </c>
      <c r="I4858">
        <v>21</v>
      </c>
      <c r="J4858" t="s">
        <v>38</v>
      </c>
      <c r="K4858" t="s">
        <v>56</v>
      </c>
      <c r="L4858" t="s">
        <v>44</v>
      </c>
      <c r="M4858">
        <v>8.4700000000000006</v>
      </c>
      <c r="T4858" t="s">
        <v>45</v>
      </c>
      <c r="U4858">
        <v>2</v>
      </c>
      <c r="V4858">
        <v>7</v>
      </c>
    </row>
    <row r="4859" spans="1:22" x14ac:dyDescent="0.3">
      <c r="A4859">
        <v>4858</v>
      </c>
      <c r="B4859">
        <v>55356</v>
      </c>
      <c r="C4859" s="2">
        <v>38201</v>
      </c>
      <c r="D4859">
        <v>21</v>
      </c>
      <c r="E4859" t="s">
        <v>42</v>
      </c>
      <c r="F4859" t="s">
        <v>50</v>
      </c>
      <c r="G4859" s="2">
        <v>45491</v>
      </c>
      <c r="H4859" s="3">
        <f t="shared" si="75"/>
        <v>1.0630136986301371</v>
      </c>
      <c r="I4859">
        <v>21</v>
      </c>
      <c r="J4859" t="s">
        <v>38</v>
      </c>
      <c r="K4859" t="s">
        <v>56</v>
      </c>
      <c r="L4859" t="s">
        <v>44</v>
      </c>
      <c r="M4859">
        <v>8.4700000000000006</v>
      </c>
      <c r="T4859" t="s">
        <v>52</v>
      </c>
      <c r="U4859">
        <v>2</v>
      </c>
      <c r="V4859">
        <v>7</v>
      </c>
    </row>
    <row r="4860" spans="1:22" x14ac:dyDescent="0.3">
      <c r="A4860">
        <v>4859</v>
      </c>
      <c r="B4860">
        <v>55357</v>
      </c>
      <c r="C4860" s="2">
        <v>38671</v>
      </c>
      <c r="D4860">
        <v>20</v>
      </c>
      <c r="E4860" t="s">
        <v>42</v>
      </c>
      <c r="F4860" t="s">
        <v>37</v>
      </c>
      <c r="G4860" s="2">
        <v>45634</v>
      </c>
      <c r="H4860" s="3">
        <f t="shared" si="75"/>
        <v>1.4219178082191781</v>
      </c>
      <c r="I4860">
        <v>21</v>
      </c>
      <c r="J4860" t="s">
        <v>38</v>
      </c>
      <c r="K4860" t="s">
        <v>56</v>
      </c>
      <c r="L4860" t="s">
        <v>44</v>
      </c>
      <c r="M4860">
        <v>8.4700000000000006</v>
      </c>
      <c r="T4860" t="s">
        <v>45</v>
      </c>
      <c r="U4860">
        <v>4</v>
      </c>
      <c r="V4860">
        <v>6</v>
      </c>
    </row>
    <row r="4861" spans="1:22" x14ac:dyDescent="0.3">
      <c r="A4861">
        <v>4860</v>
      </c>
      <c r="B4861">
        <v>55358</v>
      </c>
      <c r="C4861" s="2">
        <v>34329</v>
      </c>
      <c r="D4861">
        <v>32</v>
      </c>
      <c r="E4861" t="s">
        <v>42</v>
      </c>
      <c r="F4861" t="s">
        <v>50</v>
      </c>
      <c r="G4861" s="2">
        <v>45503</v>
      </c>
      <c r="H4861" s="3">
        <f t="shared" si="75"/>
        <v>1.6821917808219178</v>
      </c>
      <c r="I4861">
        <v>21</v>
      </c>
      <c r="J4861" t="s">
        <v>38</v>
      </c>
      <c r="K4861" t="s">
        <v>56</v>
      </c>
      <c r="L4861" t="s">
        <v>44</v>
      </c>
      <c r="M4861">
        <v>8.4700000000000006</v>
      </c>
      <c r="T4861" t="s">
        <v>45</v>
      </c>
      <c r="U4861">
        <v>4</v>
      </c>
      <c r="V4861">
        <v>7</v>
      </c>
    </row>
    <row r="4862" spans="1:22" x14ac:dyDescent="0.3">
      <c r="A4862">
        <v>4861</v>
      </c>
      <c r="B4862">
        <v>55359</v>
      </c>
      <c r="C4862" s="2">
        <v>36479</v>
      </c>
      <c r="D4862">
        <v>26</v>
      </c>
      <c r="E4862" t="s">
        <v>42</v>
      </c>
      <c r="F4862" t="s">
        <v>37</v>
      </c>
      <c r="G4862" s="2">
        <v>45408</v>
      </c>
      <c r="H4862" s="3">
        <f t="shared" si="75"/>
        <v>1.726027397260274</v>
      </c>
      <c r="I4862">
        <v>21</v>
      </c>
      <c r="J4862" t="s">
        <v>38</v>
      </c>
      <c r="K4862" t="s">
        <v>56</v>
      </c>
      <c r="L4862" t="s">
        <v>44</v>
      </c>
      <c r="M4862">
        <v>8.4700000000000006</v>
      </c>
      <c r="T4862" t="s">
        <v>52</v>
      </c>
      <c r="U4862">
        <v>1</v>
      </c>
      <c r="V4862">
        <v>4</v>
      </c>
    </row>
    <row r="4863" spans="1:22" x14ac:dyDescent="0.3">
      <c r="A4863">
        <v>4862</v>
      </c>
      <c r="B4863">
        <v>55360</v>
      </c>
      <c r="C4863" s="2">
        <v>37781</v>
      </c>
      <c r="D4863">
        <v>22</v>
      </c>
      <c r="E4863" t="s">
        <v>36</v>
      </c>
      <c r="F4863" t="s">
        <v>50</v>
      </c>
      <c r="G4863" s="2">
        <v>45392</v>
      </c>
      <c r="H4863" s="3">
        <f t="shared" si="75"/>
        <v>1.4684931506849315</v>
      </c>
      <c r="I4863">
        <v>21</v>
      </c>
      <c r="J4863" t="s">
        <v>38</v>
      </c>
      <c r="K4863" t="s">
        <v>56</v>
      </c>
      <c r="L4863" t="s">
        <v>44</v>
      </c>
      <c r="M4863">
        <v>8.4700000000000006</v>
      </c>
      <c r="T4863" t="s">
        <v>52</v>
      </c>
      <c r="U4863">
        <v>1</v>
      </c>
      <c r="V4863">
        <v>3</v>
      </c>
    </row>
    <row r="4864" spans="1:22" x14ac:dyDescent="0.3">
      <c r="A4864">
        <v>4863</v>
      </c>
      <c r="B4864">
        <v>55361</v>
      </c>
      <c r="C4864" s="2">
        <v>37404</v>
      </c>
      <c r="D4864">
        <v>23</v>
      </c>
      <c r="E4864" t="s">
        <v>42</v>
      </c>
      <c r="F4864" t="s">
        <v>50</v>
      </c>
      <c r="G4864" s="2">
        <v>45486</v>
      </c>
      <c r="H4864" s="3">
        <f t="shared" si="75"/>
        <v>1.1041095890410959</v>
      </c>
      <c r="I4864">
        <v>21</v>
      </c>
      <c r="J4864" t="s">
        <v>38</v>
      </c>
      <c r="K4864" t="s">
        <v>56</v>
      </c>
      <c r="L4864" t="s">
        <v>44</v>
      </c>
      <c r="M4864">
        <v>8.4700000000000006</v>
      </c>
      <c r="T4864" t="s">
        <v>45</v>
      </c>
      <c r="U4864">
        <v>4</v>
      </c>
      <c r="V4864">
        <v>5</v>
      </c>
    </row>
    <row r="4865" spans="1:22" x14ac:dyDescent="0.3">
      <c r="A4865">
        <v>4864</v>
      </c>
      <c r="B4865">
        <v>55362</v>
      </c>
      <c r="C4865" s="2">
        <v>36589</v>
      </c>
      <c r="D4865">
        <v>25</v>
      </c>
      <c r="E4865" t="s">
        <v>42</v>
      </c>
      <c r="F4865" t="s">
        <v>37</v>
      </c>
      <c r="G4865" s="2">
        <v>45619</v>
      </c>
      <c r="H4865" s="3">
        <f t="shared" si="75"/>
        <v>1.4712328767123288</v>
      </c>
      <c r="I4865">
        <v>21</v>
      </c>
      <c r="J4865" t="s">
        <v>38</v>
      </c>
      <c r="K4865" t="s">
        <v>56</v>
      </c>
      <c r="L4865" t="s">
        <v>44</v>
      </c>
      <c r="M4865">
        <v>8.4700000000000006</v>
      </c>
      <c r="T4865" t="s">
        <v>47</v>
      </c>
      <c r="U4865">
        <v>1</v>
      </c>
      <c r="V4865">
        <v>6</v>
      </c>
    </row>
    <row r="4866" spans="1:22" x14ac:dyDescent="0.3">
      <c r="A4866">
        <v>4865</v>
      </c>
      <c r="B4866">
        <v>55363</v>
      </c>
      <c r="C4866" s="2">
        <v>39013</v>
      </c>
      <c r="D4866">
        <v>19</v>
      </c>
      <c r="E4866" t="s">
        <v>42</v>
      </c>
      <c r="F4866" t="s">
        <v>50</v>
      </c>
      <c r="G4866" s="2">
        <v>45485</v>
      </c>
      <c r="H4866" s="3">
        <f t="shared" si="75"/>
        <v>1.021917808219178</v>
      </c>
      <c r="I4866">
        <v>21</v>
      </c>
      <c r="J4866" t="s">
        <v>38</v>
      </c>
      <c r="K4866" t="s">
        <v>56</v>
      </c>
      <c r="L4866" t="s">
        <v>44</v>
      </c>
      <c r="M4866">
        <v>8.4700000000000006</v>
      </c>
      <c r="T4866" t="s">
        <v>47</v>
      </c>
      <c r="U4866">
        <v>2</v>
      </c>
      <c r="V4866">
        <v>7</v>
      </c>
    </row>
    <row r="4867" spans="1:22" x14ac:dyDescent="0.3">
      <c r="A4867">
        <v>4866</v>
      </c>
      <c r="B4867">
        <v>55364</v>
      </c>
      <c r="C4867" s="2">
        <v>39078</v>
      </c>
      <c r="D4867">
        <v>19</v>
      </c>
      <c r="E4867" t="s">
        <v>42</v>
      </c>
      <c r="F4867" t="s">
        <v>37</v>
      </c>
      <c r="G4867" s="2">
        <v>45649</v>
      </c>
      <c r="H4867" s="3">
        <f t="shared" ref="H4867:H4930" si="76">DATEDIF(G4868,DATE(2025,12,31),"d")/365</f>
        <v>1.6931506849315068</v>
      </c>
      <c r="I4867">
        <v>21</v>
      </c>
      <c r="J4867" t="s">
        <v>38</v>
      </c>
      <c r="K4867" t="s">
        <v>56</v>
      </c>
      <c r="L4867" t="s">
        <v>44</v>
      </c>
      <c r="M4867">
        <v>8.4700000000000006</v>
      </c>
      <c r="T4867" t="s">
        <v>52</v>
      </c>
      <c r="U4867">
        <v>2</v>
      </c>
      <c r="V4867">
        <v>5</v>
      </c>
    </row>
    <row r="4868" spans="1:22" x14ac:dyDescent="0.3">
      <c r="A4868">
        <v>4867</v>
      </c>
      <c r="B4868">
        <v>55365</v>
      </c>
      <c r="C4868" s="2">
        <v>38696</v>
      </c>
      <c r="D4868">
        <v>20</v>
      </c>
      <c r="E4868" t="s">
        <v>42</v>
      </c>
      <c r="F4868" t="s">
        <v>50</v>
      </c>
      <c r="G4868" s="2">
        <v>45404</v>
      </c>
      <c r="H4868" s="3">
        <f t="shared" si="76"/>
        <v>1.1616438356164382</v>
      </c>
      <c r="I4868">
        <v>21</v>
      </c>
      <c r="J4868" t="s">
        <v>38</v>
      </c>
      <c r="K4868" t="s">
        <v>56</v>
      </c>
      <c r="L4868" t="s">
        <v>44</v>
      </c>
      <c r="M4868">
        <v>8.4700000000000006</v>
      </c>
      <c r="T4868" t="s">
        <v>45</v>
      </c>
      <c r="U4868">
        <v>0</v>
      </c>
      <c r="V4868">
        <v>5</v>
      </c>
    </row>
    <row r="4869" spans="1:22" x14ac:dyDescent="0.3">
      <c r="A4869">
        <v>4868</v>
      </c>
      <c r="B4869">
        <v>55366</v>
      </c>
      <c r="C4869" s="2">
        <v>37976</v>
      </c>
      <c r="D4869">
        <v>22</v>
      </c>
      <c r="E4869" t="s">
        <v>42</v>
      </c>
      <c r="F4869" t="s">
        <v>50</v>
      </c>
      <c r="G4869" s="2">
        <v>45598</v>
      </c>
      <c r="H4869" s="3">
        <f t="shared" si="76"/>
        <v>1.8082191780821917</v>
      </c>
      <c r="I4869">
        <v>22</v>
      </c>
      <c r="J4869" t="s">
        <v>38</v>
      </c>
      <c r="K4869" t="s">
        <v>68</v>
      </c>
      <c r="L4869" t="s">
        <v>44</v>
      </c>
      <c r="M4869">
        <v>17</v>
      </c>
      <c r="T4869" t="s">
        <v>52</v>
      </c>
      <c r="U4869">
        <v>4</v>
      </c>
      <c r="V4869">
        <v>7</v>
      </c>
    </row>
    <row r="4870" spans="1:22" x14ac:dyDescent="0.3">
      <c r="A4870">
        <v>4869</v>
      </c>
      <c r="B4870">
        <v>55367</v>
      </c>
      <c r="C4870" s="2">
        <v>38585</v>
      </c>
      <c r="D4870">
        <v>20</v>
      </c>
      <c r="E4870" t="s">
        <v>42</v>
      </c>
      <c r="F4870" t="s">
        <v>50</v>
      </c>
      <c r="G4870" s="2">
        <v>45362</v>
      </c>
      <c r="H4870" s="3">
        <f t="shared" si="76"/>
        <v>1.5013698630136987</v>
      </c>
      <c r="I4870">
        <v>22</v>
      </c>
      <c r="J4870" t="s">
        <v>38</v>
      </c>
      <c r="K4870" t="s">
        <v>65</v>
      </c>
      <c r="L4870" t="s">
        <v>44</v>
      </c>
      <c r="M4870">
        <v>10.64</v>
      </c>
      <c r="T4870" t="s">
        <v>49</v>
      </c>
      <c r="U4870">
        <v>0</v>
      </c>
      <c r="V4870">
        <v>7</v>
      </c>
    </row>
    <row r="4871" spans="1:22" x14ac:dyDescent="0.3">
      <c r="A4871">
        <v>4870</v>
      </c>
      <c r="B4871">
        <v>55368</v>
      </c>
      <c r="C4871" s="2">
        <v>34235</v>
      </c>
      <c r="D4871">
        <v>32</v>
      </c>
      <c r="E4871" t="s">
        <v>42</v>
      </c>
      <c r="F4871" t="s">
        <v>50</v>
      </c>
      <c r="G4871" s="2">
        <v>45474</v>
      </c>
      <c r="H4871" s="3">
        <f t="shared" si="76"/>
        <v>1.2301369863013698</v>
      </c>
      <c r="I4871">
        <v>22</v>
      </c>
      <c r="J4871" t="s">
        <v>38</v>
      </c>
      <c r="K4871" t="s">
        <v>46</v>
      </c>
      <c r="L4871" t="s">
        <v>44</v>
      </c>
      <c r="M4871">
        <v>14.23</v>
      </c>
      <c r="T4871" t="s">
        <v>47</v>
      </c>
      <c r="U4871">
        <v>1</v>
      </c>
      <c r="V4871">
        <v>4</v>
      </c>
    </row>
    <row r="4872" spans="1:22" x14ac:dyDescent="0.3">
      <c r="A4872">
        <v>4871</v>
      </c>
      <c r="B4872">
        <v>55369</v>
      </c>
      <c r="C4872" s="2">
        <v>38384</v>
      </c>
      <c r="D4872">
        <v>21</v>
      </c>
      <c r="E4872" t="s">
        <v>36</v>
      </c>
      <c r="F4872" t="s">
        <v>50</v>
      </c>
      <c r="G4872" s="2">
        <v>45573</v>
      </c>
      <c r="H4872" s="3">
        <f t="shared" si="76"/>
        <v>1.0657534246575342</v>
      </c>
      <c r="I4872">
        <v>22</v>
      </c>
      <c r="J4872" t="s">
        <v>38</v>
      </c>
      <c r="K4872" t="s">
        <v>64</v>
      </c>
      <c r="L4872" t="s">
        <v>44</v>
      </c>
      <c r="M4872">
        <v>14.07</v>
      </c>
      <c r="T4872" t="s">
        <v>52</v>
      </c>
      <c r="U4872">
        <v>0</v>
      </c>
      <c r="V4872">
        <v>3</v>
      </c>
    </row>
    <row r="4873" spans="1:22" x14ac:dyDescent="0.3">
      <c r="A4873">
        <v>4872</v>
      </c>
      <c r="B4873">
        <v>55370</v>
      </c>
      <c r="C4873" s="2">
        <v>37511</v>
      </c>
      <c r="D4873">
        <v>23</v>
      </c>
      <c r="E4873" t="s">
        <v>42</v>
      </c>
      <c r="F4873" t="s">
        <v>50</v>
      </c>
      <c r="G4873" s="2">
        <v>45633</v>
      </c>
      <c r="H4873" s="3">
        <f t="shared" si="76"/>
        <v>1.6465753424657534</v>
      </c>
      <c r="I4873">
        <v>22</v>
      </c>
      <c r="J4873" t="s">
        <v>38</v>
      </c>
      <c r="K4873" t="s">
        <v>64</v>
      </c>
      <c r="L4873" t="s">
        <v>44</v>
      </c>
      <c r="M4873">
        <v>14.07</v>
      </c>
      <c r="T4873" t="s">
        <v>47</v>
      </c>
      <c r="U4873">
        <v>0</v>
      </c>
      <c r="V4873">
        <v>5</v>
      </c>
    </row>
    <row r="4874" spans="1:22" x14ac:dyDescent="0.3">
      <c r="A4874">
        <v>4873</v>
      </c>
      <c r="B4874">
        <v>55371</v>
      </c>
      <c r="C4874" s="2">
        <v>37326</v>
      </c>
      <c r="D4874">
        <v>23</v>
      </c>
      <c r="E4874" t="s">
        <v>42</v>
      </c>
      <c r="F4874" t="s">
        <v>37</v>
      </c>
      <c r="G4874" s="2">
        <v>45421</v>
      </c>
      <c r="H4874" s="3">
        <f t="shared" si="76"/>
        <v>1.7726027397260273</v>
      </c>
      <c r="I4874">
        <v>22</v>
      </c>
      <c r="J4874" t="s">
        <v>38</v>
      </c>
      <c r="K4874" t="s">
        <v>48</v>
      </c>
      <c r="L4874" t="s">
        <v>44</v>
      </c>
      <c r="M4874">
        <v>8.4700000000000006</v>
      </c>
      <c r="T4874" t="s">
        <v>45</v>
      </c>
      <c r="U4874">
        <v>4</v>
      </c>
      <c r="V4874">
        <v>6</v>
      </c>
    </row>
    <row r="4875" spans="1:22" x14ac:dyDescent="0.3">
      <c r="A4875">
        <v>4874</v>
      </c>
      <c r="B4875">
        <v>55372</v>
      </c>
      <c r="C4875" s="2">
        <v>39050</v>
      </c>
      <c r="D4875">
        <v>19</v>
      </c>
      <c r="E4875" t="s">
        <v>42</v>
      </c>
      <c r="F4875" t="s">
        <v>50</v>
      </c>
      <c r="G4875" s="2">
        <v>45375</v>
      </c>
      <c r="H4875" s="3">
        <f t="shared" si="76"/>
        <v>1.0273972602739727</v>
      </c>
      <c r="I4875">
        <v>22</v>
      </c>
      <c r="J4875" t="s">
        <v>38</v>
      </c>
      <c r="K4875" t="s">
        <v>48</v>
      </c>
      <c r="L4875" t="s">
        <v>44</v>
      </c>
      <c r="M4875">
        <v>8.4700000000000006</v>
      </c>
      <c r="T4875" t="s">
        <v>45</v>
      </c>
      <c r="U4875">
        <v>1</v>
      </c>
      <c r="V4875">
        <v>5</v>
      </c>
    </row>
    <row r="4876" spans="1:22" x14ac:dyDescent="0.3">
      <c r="A4876">
        <v>4875</v>
      </c>
      <c r="B4876">
        <v>55373</v>
      </c>
      <c r="C4876" s="2">
        <v>37246</v>
      </c>
      <c r="D4876">
        <v>24</v>
      </c>
      <c r="E4876" t="s">
        <v>36</v>
      </c>
      <c r="F4876" t="s">
        <v>50</v>
      </c>
      <c r="G4876" s="2">
        <v>45647</v>
      </c>
      <c r="H4876" s="3">
        <f t="shared" si="76"/>
        <v>1.106849315068493</v>
      </c>
      <c r="I4876">
        <v>22</v>
      </c>
      <c r="J4876" t="s">
        <v>38</v>
      </c>
      <c r="K4876" t="s">
        <v>55</v>
      </c>
      <c r="L4876" t="s">
        <v>44</v>
      </c>
      <c r="M4876">
        <v>17.59</v>
      </c>
      <c r="T4876" t="s">
        <v>45</v>
      </c>
      <c r="U4876">
        <v>2</v>
      </c>
      <c r="V4876">
        <v>6</v>
      </c>
    </row>
    <row r="4877" spans="1:22" x14ac:dyDescent="0.3">
      <c r="A4877">
        <v>4876</v>
      </c>
      <c r="B4877">
        <v>55374</v>
      </c>
      <c r="C4877" s="2">
        <v>37866</v>
      </c>
      <c r="D4877">
        <v>22</v>
      </c>
      <c r="E4877" t="s">
        <v>42</v>
      </c>
      <c r="F4877" t="s">
        <v>50</v>
      </c>
      <c r="G4877" s="2">
        <v>45618</v>
      </c>
      <c r="H4877" s="3">
        <f t="shared" si="76"/>
        <v>1.295890410958904</v>
      </c>
      <c r="I4877">
        <v>22</v>
      </c>
      <c r="J4877" t="s">
        <v>38</v>
      </c>
      <c r="K4877" t="s">
        <v>56</v>
      </c>
      <c r="L4877" t="s">
        <v>44</v>
      </c>
      <c r="M4877">
        <v>8.4700000000000006</v>
      </c>
      <c r="T4877" t="s">
        <v>45</v>
      </c>
      <c r="U4877">
        <v>2</v>
      </c>
      <c r="V4877">
        <v>6</v>
      </c>
    </row>
    <row r="4878" spans="1:22" x14ac:dyDescent="0.3">
      <c r="A4878">
        <v>4877</v>
      </c>
      <c r="B4878">
        <v>55376</v>
      </c>
      <c r="C4878" s="2">
        <v>38833</v>
      </c>
      <c r="D4878">
        <v>19</v>
      </c>
      <c r="E4878" t="s">
        <v>36</v>
      </c>
      <c r="F4878" t="s">
        <v>50</v>
      </c>
      <c r="G4878" s="2">
        <v>45549</v>
      </c>
      <c r="H4878" s="3">
        <f t="shared" si="76"/>
        <v>1.3753424657534246</v>
      </c>
      <c r="I4878">
        <v>22</v>
      </c>
      <c r="J4878" t="s">
        <v>38</v>
      </c>
      <c r="K4878" t="s">
        <v>56</v>
      </c>
      <c r="L4878" t="s">
        <v>44</v>
      </c>
      <c r="M4878">
        <v>8.4700000000000006</v>
      </c>
      <c r="T4878" t="s">
        <v>52</v>
      </c>
      <c r="U4878">
        <v>2</v>
      </c>
      <c r="V4878">
        <v>3</v>
      </c>
    </row>
    <row r="4879" spans="1:22" x14ac:dyDescent="0.3">
      <c r="A4879">
        <v>4878</v>
      </c>
      <c r="B4879">
        <v>55377</v>
      </c>
      <c r="C4879" s="2">
        <v>39376</v>
      </c>
      <c r="D4879">
        <v>18</v>
      </c>
      <c r="E4879" t="s">
        <v>42</v>
      </c>
      <c r="F4879" t="s">
        <v>50</v>
      </c>
      <c r="G4879" s="2">
        <v>45520</v>
      </c>
      <c r="H4879" s="3">
        <f t="shared" si="76"/>
        <v>1.7780821917808218</v>
      </c>
      <c r="I4879">
        <v>22</v>
      </c>
      <c r="J4879" t="s">
        <v>38</v>
      </c>
      <c r="K4879" t="s">
        <v>56</v>
      </c>
      <c r="L4879" t="s">
        <v>44</v>
      </c>
      <c r="M4879">
        <v>8.4700000000000006</v>
      </c>
      <c r="T4879" t="s">
        <v>49</v>
      </c>
      <c r="U4879">
        <v>3</v>
      </c>
      <c r="V4879">
        <v>7</v>
      </c>
    </row>
    <row r="4880" spans="1:22" x14ac:dyDescent="0.3">
      <c r="A4880">
        <v>4879</v>
      </c>
      <c r="B4880">
        <v>55378</v>
      </c>
      <c r="C4880" s="2">
        <v>38310</v>
      </c>
      <c r="D4880">
        <v>21</v>
      </c>
      <c r="E4880" t="s">
        <v>42</v>
      </c>
      <c r="F4880" t="s">
        <v>50</v>
      </c>
      <c r="G4880" s="2">
        <v>45373</v>
      </c>
      <c r="H4880" s="3">
        <f t="shared" si="76"/>
        <v>1.7972602739726027</v>
      </c>
      <c r="I4880">
        <v>22</v>
      </c>
      <c r="J4880" t="s">
        <v>38</v>
      </c>
      <c r="K4880" t="s">
        <v>56</v>
      </c>
      <c r="L4880" t="s">
        <v>44</v>
      </c>
      <c r="M4880">
        <v>8.4700000000000006</v>
      </c>
      <c r="T4880" t="s">
        <v>52</v>
      </c>
      <c r="U4880">
        <v>2</v>
      </c>
      <c r="V4880">
        <v>6</v>
      </c>
    </row>
    <row r="4881" spans="1:22" x14ac:dyDescent="0.3">
      <c r="A4881">
        <v>4880</v>
      </c>
      <c r="B4881">
        <v>55379</v>
      </c>
      <c r="C4881" s="2">
        <v>37395</v>
      </c>
      <c r="D4881">
        <v>23</v>
      </c>
      <c r="E4881" t="s">
        <v>42</v>
      </c>
      <c r="F4881" t="s">
        <v>50</v>
      </c>
      <c r="G4881" s="2">
        <v>45366</v>
      </c>
      <c r="H4881" s="3">
        <f t="shared" si="76"/>
        <v>1.6027397260273972</v>
      </c>
      <c r="I4881">
        <v>22</v>
      </c>
      <c r="J4881" t="s">
        <v>38</v>
      </c>
      <c r="K4881" t="s">
        <v>56</v>
      </c>
      <c r="L4881" t="s">
        <v>44</v>
      </c>
      <c r="M4881">
        <v>8.4700000000000006</v>
      </c>
      <c r="T4881" t="s">
        <v>47</v>
      </c>
      <c r="U4881">
        <v>2</v>
      </c>
      <c r="V4881">
        <v>5</v>
      </c>
    </row>
    <row r="4882" spans="1:22" x14ac:dyDescent="0.3">
      <c r="A4882">
        <v>4881</v>
      </c>
      <c r="B4882">
        <v>55380</v>
      </c>
      <c r="C4882" s="2">
        <v>35417</v>
      </c>
      <c r="D4882">
        <v>29</v>
      </c>
      <c r="E4882" t="s">
        <v>42</v>
      </c>
      <c r="F4882" t="s">
        <v>37</v>
      </c>
      <c r="G4882" s="2">
        <v>45437</v>
      </c>
      <c r="H4882" s="3">
        <f t="shared" si="76"/>
        <v>1.747945205479452</v>
      </c>
      <c r="I4882">
        <v>22</v>
      </c>
      <c r="J4882" t="s">
        <v>38</v>
      </c>
      <c r="K4882" t="s">
        <v>56</v>
      </c>
      <c r="L4882" t="s">
        <v>44</v>
      </c>
      <c r="M4882">
        <v>8.4700000000000006</v>
      </c>
      <c r="T4882" t="s">
        <v>45</v>
      </c>
      <c r="U4882">
        <v>2</v>
      </c>
      <c r="V4882">
        <v>6</v>
      </c>
    </row>
    <row r="4883" spans="1:22" x14ac:dyDescent="0.3">
      <c r="A4883">
        <v>4882</v>
      </c>
      <c r="B4883">
        <v>55381</v>
      </c>
      <c r="C4883" s="2">
        <v>38115</v>
      </c>
      <c r="D4883">
        <v>21</v>
      </c>
      <c r="E4883" t="s">
        <v>42</v>
      </c>
      <c r="F4883" t="s">
        <v>50</v>
      </c>
      <c r="G4883" s="2">
        <v>45384</v>
      </c>
      <c r="H4883" s="3">
        <f t="shared" si="76"/>
        <v>1.3424657534246576</v>
      </c>
      <c r="I4883">
        <v>22</v>
      </c>
      <c r="J4883" t="s">
        <v>38</v>
      </c>
      <c r="K4883" t="s">
        <v>56</v>
      </c>
      <c r="L4883" t="s">
        <v>44</v>
      </c>
      <c r="M4883">
        <v>8.4700000000000006</v>
      </c>
      <c r="T4883" t="s">
        <v>47</v>
      </c>
      <c r="U4883">
        <v>2</v>
      </c>
      <c r="V4883">
        <v>6</v>
      </c>
    </row>
    <row r="4884" spans="1:22" x14ac:dyDescent="0.3">
      <c r="A4884">
        <v>4883</v>
      </c>
      <c r="B4884">
        <v>55382</v>
      </c>
      <c r="C4884" s="2">
        <v>38133</v>
      </c>
      <c r="D4884">
        <v>21</v>
      </c>
      <c r="E4884" t="s">
        <v>42</v>
      </c>
      <c r="F4884" t="s">
        <v>37</v>
      </c>
      <c r="G4884" s="2">
        <v>45532</v>
      </c>
      <c r="H4884" s="3">
        <f t="shared" si="76"/>
        <v>1.1397260273972603</v>
      </c>
      <c r="I4884">
        <v>22</v>
      </c>
      <c r="J4884" t="s">
        <v>38</v>
      </c>
      <c r="K4884" t="s">
        <v>56</v>
      </c>
      <c r="L4884" t="s">
        <v>44</v>
      </c>
      <c r="M4884">
        <v>8.4700000000000006</v>
      </c>
      <c r="T4884" t="s">
        <v>49</v>
      </c>
      <c r="U4884">
        <v>2</v>
      </c>
      <c r="V4884">
        <v>4</v>
      </c>
    </row>
    <row r="4885" spans="1:22" x14ac:dyDescent="0.3">
      <c r="A4885">
        <v>4884</v>
      </c>
      <c r="B4885">
        <v>55383</v>
      </c>
      <c r="C4885" s="2">
        <v>36978</v>
      </c>
      <c r="D4885">
        <v>24</v>
      </c>
      <c r="E4885" t="s">
        <v>36</v>
      </c>
      <c r="F4885" t="s">
        <v>50</v>
      </c>
      <c r="G4885" s="2">
        <v>45606</v>
      </c>
      <c r="H4885" s="3">
        <f t="shared" si="76"/>
        <v>1.2986301369863014</v>
      </c>
      <c r="I4885">
        <v>22</v>
      </c>
      <c r="J4885" t="s">
        <v>38</v>
      </c>
      <c r="K4885" t="s">
        <v>56</v>
      </c>
      <c r="L4885" t="s">
        <v>44</v>
      </c>
      <c r="M4885">
        <v>8.4700000000000006</v>
      </c>
      <c r="T4885" t="s">
        <v>52</v>
      </c>
      <c r="U4885">
        <v>2</v>
      </c>
      <c r="V4885">
        <v>5</v>
      </c>
    </row>
    <row r="4886" spans="1:22" x14ac:dyDescent="0.3">
      <c r="A4886">
        <v>4885</v>
      </c>
      <c r="B4886">
        <v>55384</v>
      </c>
      <c r="C4886" s="2">
        <v>38780</v>
      </c>
      <c r="D4886">
        <v>19</v>
      </c>
      <c r="E4886" t="s">
        <v>42</v>
      </c>
      <c r="F4886" t="s">
        <v>37</v>
      </c>
      <c r="G4886" s="2">
        <v>45548</v>
      </c>
      <c r="H4886" s="3">
        <f t="shared" si="76"/>
        <v>1.810958904109589</v>
      </c>
      <c r="I4886">
        <v>22</v>
      </c>
      <c r="J4886" t="s">
        <v>38</v>
      </c>
      <c r="K4886" t="s">
        <v>56</v>
      </c>
      <c r="L4886" t="s">
        <v>44</v>
      </c>
      <c r="M4886">
        <v>8.4700000000000006</v>
      </c>
      <c r="T4886" t="s">
        <v>52</v>
      </c>
      <c r="U4886">
        <v>1</v>
      </c>
      <c r="V4886">
        <v>4</v>
      </c>
    </row>
    <row r="4887" spans="1:22" x14ac:dyDescent="0.3">
      <c r="A4887">
        <v>4886</v>
      </c>
      <c r="B4887">
        <v>55385</v>
      </c>
      <c r="C4887" s="2">
        <v>38147</v>
      </c>
      <c r="D4887">
        <v>21</v>
      </c>
      <c r="E4887" t="s">
        <v>42</v>
      </c>
      <c r="F4887" t="s">
        <v>37</v>
      </c>
      <c r="G4887" s="2">
        <v>45361</v>
      </c>
      <c r="H4887" s="3">
        <f t="shared" si="76"/>
        <v>1.1369863013698631</v>
      </c>
      <c r="I4887">
        <v>22</v>
      </c>
      <c r="J4887" t="s">
        <v>38</v>
      </c>
      <c r="K4887" t="s">
        <v>56</v>
      </c>
      <c r="L4887" t="s">
        <v>44</v>
      </c>
      <c r="M4887">
        <v>8.4700000000000006</v>
      </c>
      <c r="T4887" t="s">
        <v>52</v>
      </c>
      <c r="U4887">
        <v>1</v>
      </c>
      <c r="V4887">
        <v>6</v>
      </c>
    </row>
    <row r="4888" spans="1:22" x14ac:dyDescent="0.3">
      <c r="A4888">
        <v>4887</v>
      </c>
      <c r="B4888">
        <v>55386</v>
      </c>
      <c r="C4888" s="2">
        <v>38250</v>
      </c>
      <c r="D4888">
        <v>21</v>
      </c>
      <c r="E4888" t="s">
        <v>42</v>
      </c>
      <c r="F4888" t="s">
        <v>50</v>
      </c>
      <c r="G4888" s="2">
        <v>45607</v>
      </c>
      <c r="H4888" s="3">
        <f t="shared" si="76"/>
        <v>1.0767123287671232</v>
      </c>
      <c r="I4888">
        <v>22</v>
      </c>
      <c r="J4888" t="s">
        <v>38</v>
      </c>
      <c r="K4888" t="s">
        <v>56</v>
      </c>
      <c r="L4888" t="s">
        <v>44</v>
      </c>
      <c r="M4888">
        <v>8.4700000000000006</v>
      </c>
      <c r="T4888" t="s">
        <v>49</v>
      </c>
      <c r="U4888">
        <v>1</v>
      </c>
      <c r="V4888">
        <v>6</v>
      </c>
    </row>
    <row r="4889" spans="1:22" x14ac:dyDescent="0.3">
      <c r="A4889">
        <v>4888</v>
      </c>
      <c r="B4889">
        <v>55387</v>
      </c>
      <c r="C4889" s="2">
        <v>38410</v>
      </c>
      <c r="D4889">
        <v>20</v>
      </c>
      <c r="E4889" t="s">
        <v>42</v>
      </c>
      <c r="F4889" t="s">
        <v>50</v>
      </c>
      <c r="G4889" s="2">
        <v>45629</v>
      </c>
      <c r="H4889" s="3">
        <f t="shared" si="76"/>
        <v>1.3342465753424657</v>
      </c>
      <c r="I4889">
        <v>22</v>
      </c>
      <c r="J4889" t="s">
        <v>38</v>
      </c>
      <c r="K4889" t="s">
        <v>56</v>
      </c>
      <c r="L4889" t="s">
        <v>44</v>
      </c>
      <c r="M4889">
        <v>8.4700000000000006</v>
      </c>
      <c r="T4889" t="s">
        <v>49</v>
      </c>
      <c r="U4889">
        <v>0</v>
      </c>
      <c r="V4889">
        <v>7</v>
      </c>
    </row>
    <row r="4890" spans="1:22" x14ac:dyDescent="0.3">
      <c r="A4890">
        <v>4889</v>
      </c>
      <c r="B4890">
        <v>55388</v>
      </c>
      <c r="C4890" s="2">
        <v>37162</v>
      </c>
      <c r="D4890">
        <v>24</v>
      </c>
      <c r="E4890" t="s">
        <v>36</v>
      </c>
      <c r="F4890" t="s">
        <v>50</v>
      </c>
      <c r="G4890" s="2">
        <v>45535</v>
      </c>
      <c r="H4890" s="3">
        <f t="shared" si="76"/>
        <v>1.2493150684931507</v>
      </c>
      <c r="I4890">
        <v>22</v>
      </c>
      <c r="J4890" t="s">
        <v>38</v>
      </c>
      <c r="K4890" t="s">
        <v>56</v>
      </c>
      <c r="L4890" t="s">
        <v>44</v>
      </c>
      <c r="M4890">
        <v>8.4700000000000006</v>
      </c>
      <c r="T4890" t="s">
        <v>45</v>
      </c>
      <c r="U4890">
        <v>2</v>
      </c>
      <c r="V4890">
        <v>4</v>
      </c>
    </row>
    <row r="4891" spans="1:22" x14ac:dyDescent="0.3">
      <c r="A4891">
        <v>4890</v>
      </c>
      <c r="B4891">
        <v>55389</v>
      </c>
      <c r="C4891" s="2">
        <v>38657</v>
      </c>
      <c r="D4891">
        <v>21</v>
      </c>
      <c r="E4891" t="s">
        <v>42</v>
      </c>
      <c r="F4891" t="s">
        <v>37</v>
      </c>
      <c r="G4891" s="2">
        <v>45566</v>
      </c>
      <c r="H4891" s="3">
        <f t="shared" si="76"/>
        <v>1.0520547945205478</v>
      </c>
      <c r="I4891">
        <v>22</v>
      </c>
      <c r="J4891" t="s">
        <v>38</v>
      </c>
      <c r="K4891" t="s">
        <v>56</v>
      </c>
      <c r="L4891" t="s">
        <v>44</v>
      </c>
      <c r="M4891">
        <v>8.4700000000000006</v>
      </c>
      <c r="T4891" t="s">
        <v>52</v>
      </c>
      <c r="U4891">
        <v>1</v>
      </c>
      <c r="V4891">
        <v>4</v>
      </c>
    </row>
    <row r="4892" spans="1:22" x14ac:dyDescent="0.3">
      <c r="A4892">
        <v>4891</v>
      </c>
      <c r="B4892">
        <v>55390</v>
      </c>
      <c r="C4892" s="2">
        <v>36397</v>
      </c>
      <c r="D4892">
        <v>26</v>
      </c>
      <c r="E4892" t="s">
        <v>36</v>
      </c>
      <c r="F4892" t="s">
        <v>50</v>
      </c>
      <c r="G4892" s="2">
        <v>45638</v>
      </c>
      <c r="H4892" s="3">
        <f t="shared" si="76"/>
        <v>1.3041095890410959</v>
      </c>
      <c r="I4892">
        <v>22</v>
      </c>
      <c r="J4892" t="s">
        <v>38</v>
      </c>
      <c r="K4892" t="s">
        <v>56</v>
      </c>
      <c r="L4892" t="s">
        <v>44</v>
      </c>
      <c r="M4892">
        <v>8.4700000000000006</v>
      </c>
      <c r="T4892" t="s">
        <v>47</v>
      </c>
      <c r="U4892">
        <v>4</v>
      </c>
      <c r="V4892">
        <v>4</v>
      </c>
    </row>
    <row r="4893" spans="1:22" x14ac:dyDescent="0.3">
      <c r="A4893">
        <v>4892</v>
      </c>
      <c r="B4893">
        <v>55391</v>
      </c>
      <c r="C4893" s="2">
        <v>37320</v>
      </c>
      <c r="D4893">
        <v>23</v>
      </c>
      <c r="E4893" t="s">
        <v>42</v>
      </c>
      <c r="F4893" t="s">
        <v>50</v>
      </c>
      <c r="G4893" s="2">
        <v>45546</v>
      </c>
      <c r="H4893" s="3">
        <f t="shared" si="76"/>
        <v>1.1835616438356165</v>
      </c>
      <c r="I4893">
        <v>23</v>
      </c>
      <c r="J4893" t="s">
        <v>38</v>
      </c>
      <c r="K4893" t="s">
        <v>68</v>
      </c>
      <c r="L4893" t="s">
        <v>44</v>
      </c>
      <c r="M4893">
        <v>17</v>
      </c>
      <c r="T4893" t="s">
        <v>47</v>
      </c>
      <c r="U4893">
        <v>1</v>
      </c>
      <c r="V4893">
        <v>7</v>
      </c>
    </row>
    <row r="4894" spans="1:22" x14ac:dyDescent="0.3">
      <c r="A4894">
        <v>4893</v>
      </c>
      <c r="B4894">
        <v>55392</v>
      </c>
      <c r="C4894" s="2">
        <v>38706</v>
      </c>
      <c r="D4894">
        <v>20</v>
      </c>
      <c r="E4894" t="s">
        <v>36</v>
      </c>
      <c r="F4894" t="s">
        <v>37</v>
      </c>
      <c r="G4894" s="2">
        <v>45590</v>
      </c>
      <c r="H4894" s="3">
        <f t="shared" si="76"/>
        <v>1.1013698630136985</v>
      </c>
      <c r="I4894">
        <v>23</v>
      </c>
      <c r="J4894" t="s">
        <v>38</v>
      </c>
      <c r="K4894" t="s">
        <v>65</v>
      </c>
      <c r="L4894" t="s">
        <v>44</v>
      </c>
      <c r="M4894">
        <v>10.64</v>
      </c>
      <c r="T4894" t="s">
        <v>45</v>
      </c>
      <c r="U4894">
        <v>1</v>
      </c>
      <c r="V4894">
        <v>4</v>
      </c>
    </row>
    <row r="4895" spans="1:22" x14ac:dyDescent="0.3">
      <c r="A4895">
        <v>4894</v>
      </c>
      <c r="B4895">
        <v>55393</v>
      </c>
      <c r="C4895" s="2">
        <v>37373</v>
      </c>
      <c r="D4895">
        <v>23</v>
      </c>
      <c r="E4895" t="s">
        <v>42</v>
      </c>
      <c r="F4895" t="s">
        <v>37</v>
      </c>
      <c r="G4895" s="2">
        <v>45620</v>
      </c>
      <c r="H4895" s="3">
        <f t="shared" si="76"/>
        <v>1.8547945205479452</v>
      </c>
      <c r="I4895">
        <v>23</v>
      </c>
      <c r="J4895" t="s">
        <v>38</v>
      </c>
      <c r="K4895" t="s">
        <v>56</v>
      </c>
      <c r="L4895" t="s">
        <v>44</v>
      </c>
      <c r="M4895">
        <v>8.4700000000000006</v>
      </c>
      <c r="T4895" t="s">
        <v>49</v>
      </c>
      <c r="U4895">
        <v>2</v>
      </c>
      <c r="V4895">
        <v>5</v>
      </c>
    </row>
    <row r="4896" spans="1:22" x14ac:dyDescent="0.3">
      <c r="A4896">
        <v>4895</v>
      </c>
      <c r="B4896">
        <v>55394</v>
      </c>
      <c r="C4896" s="2">
        <v>38282</v>
      </c>
      <c r="D4896">
        <v>21</v>
      </c>
      <c r="E4896" t="s">
        <v>36</v>
      </c>
      <c r="F4896" t="s">
        <v>50</v>
      </c>
      <c r="G4896" s="2">
        <v>45345</v>
      </c>
      <c r="H4896" s="3">
        <f t="shared" si="76"/>
        <v>1.1342465753424658</v>
      </c>
      <c r="I4896">
        <v>23</v>
      </c>
      <c r="J4896" t="s">
        <v>38</v>
      </c>
      <c r="K4896" t="s">
        <v>56</v>
      </c>
      <c r="L4896" t="s">
        <v>44</v>
      </c>
      <c r="M4896">
        <v>8.4700000000000006</v>
      </c>
      <c r="T4896" t="s">
        <v>47</v>
      </c>
      <c r="U4896">
        <v>2</v>
      </c>
      <c r="V4896">
        <v>3</v>
      </c>
    </row>
    <row r="4897" spans="1:22" x14ac:dyDescent="0.3">
      <c r="A4897">
        <v>4896</v>
      </c>
      <c r="B4897">
        <v>55395</v>
      </c>
      <c r="C4897" s="2">
        <v>38058</v>
      </c>
      <c r="D4897">
        <v>21</v>
      </c>
      <c r="E4897" t="s">
        <v>42</v>
      </c>
      <c r="F4897" t="s">
        <v>50</v>
      </c>
      <c r="G4897" s="2">
        <v>45608</v>
      </c>
      <c r="H4897" s="3">
        <f t="shared" si="76"/>
        <v>1.4931506849315068</v>
      </c>
      <c r="I4897">
        <v>23</v>
      </c>
      <c r="J4897" t="s">
        <v>38</v>
      </c>
      <c r="K4897" t="s">
        <v>56</v>
      </c>
      <c r="L4897" t="s">
        <v>44</v>
      </c>
      <c r="M4897">
        <v>8.4700000000000006</v>
      </c>
      <c r="T4897" t="s">
        <v>47</v>
      </c>
      <c r="U4897">
        <v>4</v>
      </c>
      <c r="V4897">
        <v>7</v>
      </c>
    </row>
    <row r="4898" spans="1:22" x14ac:dyDescent="0.3">
      <c r="A4898">
        <v>4897</v>
      </c>
      <c r="B4898">
        <v>55396</v>
      </c>
      <c r="C4898" s="2">
        <v>39029</v>
      </c>
      <c r="D4898">
        <v>19</v>
      </c>
      <c r="E4898" t="s">
        <v>42</v>
      </c>
      <c r="F4898" t="s">
        <v>50</v>
      </c>
      <c r="G4898" s="2">
        <v>45477</v>
      </c>
      <c r="H4898" s="3">
        <f t="shared" si="76"/>
        <v>1.4027397260273973</v>
      </c>
      <c r="I4898">
        <v>23</v>
      </c>
      <c r="J4898" t="s">
        <v>38</v>
      </c>
      <c r="K4898" t="s">
        <v>56</v>
      </c>
      <c r="L4898" t="s">
        <v>44</v>
      </c>
      <c r="M4898">
        <v>8.4700000000000006</v>
      </c>
      <c r="T4898" t="s">
        <v>52</v>
      </c>
      <c r="U4898">
        <v>0</v>
      </c>
      <c r="V4898">
        <v>5</v>
      </c>
    </row>
    <row r="4899" spans="1:22" x14ac:dyDescent="0.3">
      <c r="A4899">
        <v>4898</v>
      </c>
      <c r="B4899">
        <v>55397</v>
      </c>
      <c r="C4899" s="2">
        <v>38400</v>
      </c>
      <c r="D4899">
        <v>20</v>
      </c>
      <c r="E4899" t="s">
        <v>42</v>
      </c>
      <c r="F4899" t="s">
        <v>50</v>
      </c>
      <c r="G4899" s="2">
        <v>45510</v>
      </c>
      <c r="H4899" s="3">
        <f t="shared" si="76"/>
        <v>1.6164383561643836</v>
      </c>
      <c r="I4899">
        <v>23</v>
      </c>
      <c r="J4899" t="s">
        <v>38</v>
      </c>
      <c r="K4899" t="s">
        <v>56</v>
      </c>
      <c r="L4899" t="s">
        <v>44</v>
      </c>
      <c r="M4899">
        <v>8.4700000000000006</v>
      </c>
      <c r="T4899" t="s">
        <v>49</v>
      </c>
      <c r="U4899">
        <v>2</v>
      </c>
      <c r="V4899">
        <v>6</v>
      </c>
    </row>
    <row r="4900" spans="1:22" x14ac:dyDescent="0.3">
      <c r="A4900">
        <v>4899</v>
      </c>
      <c r="B4900">
        <v>55398</v>
      </c>
      <c r="C4900" s="2">
        <v>39415</v>
      </c>
      <c r="D4900">
        <v>18</v>
      </c>
      <c r="E4900" t="s">
        <v>42</v>
      </c>
      <c r="F4900" t="s">
        <v>50</v>
      </c>
      <c r="G4900" s="2">
        <v>45432</v>
      </c>
      <c r="H4900" s="3">
        <f t="shared" si="76"/>
        <v>1.5753424657534247</v>
      </c>
      <c r="I4900">
        <v>23</v>
      </c>
      <c r="J4900" t="s">
        <v>38</v>
      </c>
      <c r="K4900" t="s">
        <v>56</v>
      </c>
      <c r="L4900" t="s">
        <v>44</v>
      </c>
      <c r="M4900">
        <v>8.4700000000000006</v>
      </c>
      <c r="T4900" t="s">
        <v>52</v>
      </c>
      <c r="U4900">
        <v>3</v>
      </c>
      <c r="V4900">
        <v>7</v>
      </c>
    </row>
    <row r="4901" spans="1:22" x14ac:dyDescent="0.3">
      <c r="A4901">
        <v>4900</v>
      </c>
      <c r="B4901">
        <v>55399</v>
      </c>
      <c r="C4901" s="2">
        <v>35605</v>
      </c>
      <c r="D4901">
        <v>28</v>
      </c>
      <c r="E4901" t="s">
        <v>42</v>
      </c>
      <c r="F4901" t="s">
        <v>37</v>
      </c>
      <c r="G4901" s="2">
        <v>45447</v>
      </c>
      <c r="H4901" s="3">
        <f t="shared" si="76"/>
        <v>1.2410958904109588</v>
      </c>
      <c r="I4901">
        <v>23</v>
      </c>
      <c r="J4901" t="s">
        <v>38</v>
      </c>
      <c r="K4901" t="s">
        <v>56</v>
      </c>
      <c r="L4901" t="s">
        <v>44</v>
      </c>
      <c r="M4901">
        <v>8.4700000000000006</v>
      </c>
      <c r="T4901" t="s">
        <v>52</v>
      </c>
      <c r="U4901">
        <v>2</v>
      </c>
      <c r="V4901">
        <v>5</v>
      </c>
    </row>
    <row r="4902" spans="1:22" x14ac:dyDescent="0.3">
      <c r="A4902">
        <v>4901</v>
      </c>
      <c r="B4902">
        <v>55400</v>
      </c>
      <c r="C4902" s="2">
        <v>38862</v>
      </c>
      <c r="D4902">
        <v>19</v>
      </c>
      <c r="E4902" t="s">
        <v>42</v>
      </c>
      <c r="F4902" t="s">
        <v>50</v>
      </c>
      <c r="G4902" s="2">
        <v>45569</v>
      </c>
      <c r="H4902" s="3">
        <f t="shared" si="76"/>
        <v>1.6191780821917807</v>
      </c>
      <c r="I4902">
        <v>23</v>
      </c>
      <c r="J4902" t="s">
        <v>38</v>
      </c>
      <c r="K4902" t="s">
        <v>56</v>
      </c>
      <c r="L4902" t="s">
        <v>44</v>
      </c>
      <c r="M4902">
        <v>8.4700000000000006</v>
      </c>
      <c r="T4902" t="s">
        <v>47</v>
      </c>
      <c r="U4902">
        <v>1</v>
      </c>
      <c r="V4902">
        <v>6</v>
      </c>
    </row>
    <row r="4903" spans="1:22" x14ac:dyDescent="0.3">
      <c r="A4903">
        <v>4902</v>
      </c>
      <c r="B4903">
        <v>55401</v>
      </c>
      <c r="C4903" s="2">
        <v>37132</v>
      </c>
      <c r="D4903">
        <v>24</v>
      </c>
      <c r="E4903" t="s">
        <v>42</v>
      </c>
      <c r="F4903" t="s">
        <v>37</v>
      </c>
      <c r="G4903" s="2">
        <v>45431</v>
      </c>
      <c r="H4903" s="3">
        <f t="shared" si="76"/>
        <v>1.5123287671232877</v>
      </c>
      <c r="I4903">
        <v>24</v>
      </c>
      <c r="J4903" t="s">
        <v>38</v>
      </c>
      <c r="K4903" t="s">
        <v>68</v>
      </c>
      <c r="L4903" t="s">
        <v>44</v>
      </c>
      <c r="M4903">
        <v>17</v>
      </c>
      <c r="T4903" t="s">
        <v>45</v>
      </c>
      <c r="U4903">
        <v>2</v>
      </c>
      <c r="V4903">
        <v>6</v>
      </c>
    </row>
    <row r="4904" spans="1:22" x14ac:dyDescent="0.3">
      <c r="A4904">
        <v>4903</v>
      </c>
      <c r="B4904">
        <v>55402</v>
      </c>
      <c r="C4904" s="2">
        <v>37457</v>
      </c>
      <c r="D4904">
        <v>23</v>
      </c>
      <c r="E4904" t="s">
        <v>42</v>
      </c>
      <c r="F4904" t="s">
        <v>50</v>
      </c>
      <c r="G4904" s="2">
        <v>45470</v>
      </c>
      <c r="H4904" s="3">
        <f t="shared" si="76"/>
        <v>1.3150684931506849</v>
      </c>
      <c r="I4904">
        <v>24</v>
      </c>
      <c r="J4904" t="s">
        <v>38</v>
      </c>
      <c r="K4904" t="s">
        <v>68</v>
      </c>
      <c r="L4904" t="s">
        <v>44</v>
      </c>
      <c r="M4904">
        <v>17</v>
      </c>
      <c r="T4904" t="s">
        <v>52</v>
      </c>
      <c r="U4904">
        <v>2</v>
      </c>
      <c r="V4904">
        <v>6</v>
      </c>
    </row>
    <row r="4905" spans="1:22" x14ac:dyDescent="0.3">
      <c r="A4905">
        <v>4904</v>
      </c>
      <c r="B4905">
        <v>55403</v>
      </c>
      <c r="C4905" s="2">
        <v>36229</v>
      </c>
      <c r="D4905">
        <v>26</v>
      </c>
      <c r="E4905" t="s">
        <v>42</v>
      </c>
      <c r="F4905" t="s">
        <v>50</v>
      </c>
      <c r="G4905" s="2">
        <v>45542</v>
      </c>
      <c r="H4905" s="3">
        <f t="shared" si="76"/>
        <v>1.5205479452054795</v>
      </c>
      <c r="I4905">
        <v>24</v>
      </c>
      <c r="J4905" t="s">
        <v>38</v>
      </c>
      <c r="K4905" t="s">
        <v>65</v>
      </c>
      <c r="L4905" t="s">
        <v>44</v>
      </c>
      <c r="M4905">
        <v>10.64</v>
      </c>
      <c r="T4905" t="s">
        <v>52</v>
      </c>
      <c r="U4905">
        <v>1</v>
      </c>
      <c r="V4905">
        <v>6</v>
      </c>
    </row>
    <row r="4906" spans="1:22" x14ac:dyDescent="0.3">
      <c r="A4906">
        <v>4905</v>
      </c>
      <c r="B4906">
        <v>55404</v>
      </c>
      <c r="C4906" s="2">
        <v>39048</v>
      </c>
      <c r="D4906">
        <v>19</v>
      </c>
      <c r="E4906" t="s">
        <v>36</v>
      </c>
      <c r="F4906" t="s">
        <v>50</v>
      </c>
      <c r="G4906" s="2">
        <v>45467</v>
      </c>
      <c r="H4906" s="3">
        <f t="shared" si="76"/>
        <v>1.6575342465753424</v>
      </c>
      <c r="I4906">
        <v>24</v>
      </c>
      <c r="J4906" t="s">
        <v>38</v>
      </c>
      <c r="K4906" t="s">
        <v>48</v>
      </c>
      <c r="L4906" t="s">
        <v>44</v>
      </c>
      <c r="M4906">
        <v>8.4700000000000006</v>
      </c>
      <c r="T4906" t="s">
        <v>45</v>
      </c>
      <c r="U4906">
        <v>0</v>
      </c>
      <c r="V4906">
        <v>1</v>
      </c>
    </row>
    <row r="4907" spans="1:22" x14ac:dyDescent="0.3">
      <c r="A4907">
        <v>4906</v>
      </c>
      <c r="B4907">
        <v>55406</v>
      </c>
      <c r="C4907" s="2">
        <v>37654</v>
      </c>
      <c r="D4907">
        <v>22</v>
      </c>
      <c r="E4907" t="s">
        <v>36</v>
      </c>
      <c r="F4907" t="s">
        <v>50</v>
      </c>
      <c r="G4907" s="2">
        <v>45417</v>
      </c>
      <c r="H4907" s="3">
        <f t="shared" si="76"/>
        <v>1.1150684931506849</v>
      </c>
      <c r="I4907">
        <v>24</v>
      </c>
      <c r="J4907" t="s">
        <v>38</v>
      </c>
      <c r="K4907" t="s">
        <v>56</v>
      </c>
      <c r="L4907" t="s">
        <v>44</v>
      </c>
      <c r="M4907">
        <v>8.4700000000000006</v>
      </c>
      <c r="T4907" t="s">
        <v>52</v>
      </c>
      <c r="U4907">
        <v>2</v>
      </c>
      <c r="V4907">
        <v>4</v>
      </c>
    </row>
    <row r="4908" spans="1:22" x14ac:dyDescent="0.3">
      <c r="A4908">
        <v>4907</v>
      </c>
      <c r="B4908">
        <v>55407</v>
      </c>
      <c r="C4908" s="2">
        <v>38318</v>
      </c>
      <c r="D4908">
        <v>21</v>
      </c>
      <c r="E4908" t="s">
        <v>42</v>
      </c>
      <c r="F4908" t="s">
        <v>50</v>
      </c>
      <c r="G4908" s="2">
        <v>45615</v>
      </c>
      <c r="H4908" s="3">
        <f t="shared" si="76"/>
        <v>1.5863013698630137</v>
      </c>
      <c r="I4908">
        <v>24</v>
      </c>
      <c r="J4908" t="s">
        <v>38</v>
      </c>
      <c r="K4908" t="s">
        <v>56</v>
      </c>
      <c r="L4908" t="s">
        <v>44</v>
      </c>
      <c r="M4908">
        <v>8.4700000000000006</v>
      </c>
      <c r="T4908" t="s">
        <v>52</v>
      </c>
      <c r="U4908">
        <v>2</v>
      </c>
      <c r="V4908">
        <v>6</v>
      </c>
    </row>
    <row r="4909" spans="1:22" x14ac:dyDescent="0.3">
      <c r="A4909">
        <v>4908</v>
      </c>
      <c r="B4909">
        <v>55408</v>
      </c>
      <c r="C4909" s="2">
        <v>38330</v>
      </c>
      <c r="D4909">
        <v>21</v>
      </c>
      <c r="E4909" t="s">
        <v>42</v>
      </c>
      <c r="F4909" t="s">
        <v>50</v>
      </c>
      <c r="G4909" s="2">
        <v>45443</v>
      </c>
      <c r="H4909" s="3">
        <f t="shared" si="76"/>
        <v>1.0027397260273974</v>
      </c>
      <c r="I4909">
        <v>24</v>
      </c>
      <c r="J4909" t="s">
        <v>38</v>
      </c>
      <c r="K4909" t="s">
        <v>56</v>
      </c>
      <c r="L4909" t="s">
        <v>44</v>
      </c>
      <c r="M4909">
        <v>8.4700000000000006</v>
      </c>
      <c r="T4909" t="s">
        <v>45</v>
      </c>
      <c r="U4909">
        <v>2</v>
      </c>
      <c r="V4909">
        <v>6</v>
      </c>
    </row>
    <row r="4910" spans="1:22" x14ac:dyDescent="0.3">
      <c r="A4910">
        <v>4909</v>
      </c>
      <c r="B4910">
        <v>55409</v>
      </c>
      <c r="C4910" s="2">
        <v>38109</v>
      </c>
      <c r="D4910">
        <v>21</v>
      </c>
      <c r="E4910" t="s">
        <v>42</v>
      </c>
      <c r="F4910" t="s">
        <v>50</v>
      </c>
      <c r="G4910" s="2">
        <v>45656</v>
      </c>
      <c r="H4910" s="3">
        <f t="shared" si="76"/>
        <v>1.4602739726027398</v>
      </c>
      <c r="I4910">
        <v>24</v>
      </c>
      <c r="J4910" t="s">
        <v>38</v>
      </c>
      <c r="K4910" t="s">
        <v>56</v>
      </c>
      <c r="L4910" t="s">
        <v>44</v>
      </c>
      <c r="M4910">
        <v>8.4700000000000006</v>
      </c>
      <c r="T4910" t="s">
        <v>49</v>
      </c>
      <c r="U4910">
        <v>2</v>
      </c>
      <c r="V4910">
        <v>6</v>
      </c>
    </row>
    <row r="4911" spans="1:22" x14ac:dyDescent="0.3">
      <c r="A4911">
        <v>4910</v>
      </c>
      <c r="B4911">
        <v>55410</v>
      </c>
      <c r="C4911" s="2">
        <v>38224</v>
      </c>
      <c r="D4911">
        <v>21</v>
      </c>
      <c r="E4911" t="s">
        <v>42</v>
      </c>
      <c r="F4911" t="s">
        <v>37</v>
      </c>
      <c r="G4911" s="2">
        <v>45489</v>
      </c>
      <c r="H4911" s="3">
        <f t="shared" si="76"/>
        <v>1.2575342465753425</v>
      </c>
      <c r="I4911">
        <v>24</v>
      </c>
      <c r="J4911" t="s">
        <v>38</v>
      </c>
      <c r="K4911" t="s">
        <v>56</v>
      </c>
      <c r="L4911" t="s">
        <v>44</v>
      </c>
      <c r="M4911">
        <v>8.4700000000000006</v>
      </c>
      <c r="T4911" t="s">
        <v>45</v>
      </c>
      <c r="U4911">
        <v>1</v>
      </c>
      <c r="V4911">
        <v>5</v>
      </c>
    </row>
    <row r="4912" spans="1:22" x14ac:dyDescent="0.3">
      <c r="A4912">
        <v>4911</v>
      </c>
      <c r="B4912">
        <v>55411</v>
      </c>
      <c r="C4912" s="2">
        <v>37754</v>
      </c>
      <c r="D4912">
        <v>22</v>
      </c>
      <c r="E4912" t="s">
        <v>42</v>
      </c>
      <c r="F4912" t="s">
        <v>50</v>
      </c>
      <c r="G4912" s="2">
        <v>45563</v>
      </c>
      <c r="H4912" s="3">
        <f t="shared" si="76"/>
        <v>1.0876712328767124</v>
      </c>
      <c r="I4912">
        <v>24</v>
      </c>
      <c r="J4912" t="s">
        <v>38</v>
      </c>
      <c r="K4912" t="s">
        <v>56</v>
      </c>
      <c r="L4912" t="s">
        <v>44</v>
      </c>
      <c r="M4912">
        <v>8.4700000000000006</v>
      </c>
      <c r="T4912" t="s">
        <v>45</v>
      </c>
      <c r="U4912">
        <v>2</v>
      </c>
      <c r="V4912">
        <v>7</v>
      </c>
    </row>
    <row r="4913" spans="1:22" x14ac:dyDescent="0.3">
      <c r="A4913">
        <v>4912</v>
      </c>
      <c r="B4913">
        <v>55412</v>
      </c>
      <c r="C4913" s="2">
        <v>38211</v>
      </c>
      <c r="D4913">
        <v>21</v>
      </c>
      <c r="E4913" t="s">
        <v>42</v>
      </c>
      <c r="F4913" t="s">
        <v>37</v>
      </c>
      <c r="G4913" s="2">
        <v>45625</v>
      </c>
      <c r="H4913" s="3">
        <f t="shared" si="76"/>
        <v>1.8054794520547945</v>
      </c>
      <c r="I4913">
        <v>24</v>
      </c>
      <c r="J4913" t="s">
        <v>38</v>
      </c>
      <c r="K4913" t="s">
        <v>56</v>
      </c>
      <c r="L4913" t="s">
        <v>44</v>
      </c>
      <c r="M4913">
        <v>8.4700000000000006</v>
      </c>
      <c r="T4913" t="s">
        <v>49</v>
      </c>
      <c r="U4913">
        <v>1</v>
      </c>
      <c r="V4913">
        <v>5</v>
      </c>
    </row>
    <row r="4914" spans="1:22" x14ac:dyDescent="0.3">
      <c r="A4914">
        <v>4913</v>
      </c>
      <c r="B4914">
        <v>55413</v>
      </c>
      <c r="C4914" s="2">
        <v>35952</v>
      </c>
      <c r="D4914">
        <v>27</v>
      </c>
      <c r="E4914" t="s">
        <v>36</v>
      </c>
      <c r="F4914" t="s">
        <v>37</v>
      </c>
      <c r="G4914" s="2">
        <v>45363</v>
      </c>
      <c r="H4914" s="3">
        <f t="shared" si="76"/>
        <v>1.2301369863013698</v>
      </c>
      <c r="I4914">
        <v>24</v>
      </c>
      <c r="J4914" t="s">
        <v>38</v>
      </c>
      <c r="K4914" t="s">
        <v>56</v>
      </c>
      <c r="L4914" t="s">
        <v>44</v>
      </c>
      <c r="M4914">
        <v>8.4700000000000006</v>
      </c>
      <c r="T4914" t="s">
        <v>45</v>
      </c>
      <c r="U4914">
        <v>2</v>
      </c>
      <c r="V4914">
        <v>5</v>
      </c>
    </row>
    <row r="4915" spans="1:22" x14ac:dyDescent="0.3">
      <c r="A4915">
        <v>4914</v>
      </c>
      <c r="B4915">
        <v>55414</v>
      </c>
      <c r="C4915" s="2">
        <v>37559</v>
      </c>
      <c r="D4915">
        <v>23</v>
      </c>
      <c r="E4915" t="s">
        <v>42</v>
      </c>
      <c r="F4915" t="s">
        <v>50</v>
      </c>
      <c r="G4915" s="2">
        <v>45573</v>
      </c>
      <c r="H4915" s="3">
        <f t="shared" si="76"/>
        <v>1.5808219178082192</v>
      </c>
      <c r="I4915">
        <v>24</v>
      </c>
      <c r="J4915" t="s">
        <v>38</v>
      </c>
      <c r="K4915" t="s">
        <v>56</v>
      </c>
      <c r="L4915" t="s">
        <v>44</v>
      </c>
      <c r="M4915">
        <v>8.4700000000000006</v>
      </c>
      <c r="T4915" t="s">
        <v>47</v>
      </c>
      <c r="U4915">
        <v>2</v>
      </c>
      <c r="V4915">
        <v>7</v>
      </c>
    </row>
    <row r="4916" spans="1:22" x14ac:dyDescent="0.3">
      <c r="A4916">
        <v>4915</v>
      </c>
      <c r="B4916">
        <v>55415</v>
      </c>
      <c r="C4916" s="2">
        <v>37429</v>
      </c>
      <c r="D4916">
        <v>23</v>
      </c>
      <c r="E4916" t="s">
        <v>42</v>
      </c>
      <c r="F4916" t="s">
        <v>50</v>
      </c>
      <c r="G4916" s="2">
        <v>45445</v>
      </c>
      <c r="H4916" s="3">
        <f t="shared" si="76"/>
        <v>1.452054794520548</v>
      </c>
      <c r="I4916">
        <v>24</v>
      </c>
      <c r="J4916" t="s">
        <v>38</v>
      </c>
      <c r="K4916" t="s">
        <v>56</v>
      </c>
      <c r="L4916" t="s">
        <v>44</v>
      </c>
      <c r="M4916">
        <v>8.4700000000000006</v>
      </c>
      <c r="T4916" t="s">
        <v>45</v>
      </c>
      <c r="U4916">
        <v>3</v>
      </c>
      <c r="V4916">
        <v>7</v>
      </c>
    </row>
    <row r="4917" spans="1:22" x14ac:dyDescent="0.3">
      <c r="A4917">
        <v>4916</v>
      </c>
      <c r="B4917">
        <v>55417</v>
      </c>
      <c r="C4917" s="2">
        <v>37616</v>
      </c>
      <c r="D4917">
        <v>23</v>
      </c>
      <c r="E4917" t="s">
        <v>36</v>
      </c>
      <c r="F4917" t="s">
        <v>50</v>
      </c>
      <c r="G4917" s="2">
        <v>45492</v>
      </c>
      <c r="H4917" s="3">
        <f t="shared" si="76"/>
        <v>1.8520547945205479</v>
      </c>
      <c r="I4917">
        <v>24</v>
      </c>
      <c r="J4917" t="s">
        <v>38</v>
      </c>
      <c r="K4917" t="s">
        <v>56</v>
      </c>
      <c r="L4917" t="s">
        <v>44</v>
      </c>
      <c r="M4917">
        <v>8.4700000000000006</v>
      </c>
      <c r="T4917" t="s">
        <v>49</v>
      </c>
      <c r="U4917">
        <v>3</v>
      </c>
      <c r="V4917">
        <v>4</v>
      </c>
    </row>
    <row r="4918" spans="1:22" x14ac:dyDescent="0.3">
      <c r="A4918">
        <v>4917</v>
      </c>
      <c r="B4918">
        <v>55418</v>
      </c>
      <c r="C4918" s="2">
        <v>38436</v>
      </c>
      <c r="D4918">
        <v>20</v>
      </c>
      <c r="E4918" t="s">
        <v>36</v>
      </c>
      <c r="F4918" t="s">
        <v>50</v>
      </c>
      <c r="G4918" s="2">
        <v>45346</v>
      </c>
      <c r="H4918" s="3">
        <f t="shared" si="76"/>
        <v>1.0136986301369864</v>
      </c>
      <c r="I4918">
        <v>24</v>
      </c>
      <c r="J4918" t="s">
        <v>38</v>
      </c>
      <c r="K4918" t="s">
        <v>56</v>
      </c>
      <c r="L4918" t="s">
        <v>44</v>
      </c>
      <c r="M4918">
        <v>8.4700000000000006</v>
      </c>
      <c r="T4918" t="s">
        <v>49</v>
      </c>
      <c r="U4918">
        <v>3</v>
      </c>
      <c r="V4918">
        <v>3</v>
      </c>
    </row>
    <row r="4919" spans="1:22" x14ac:dyDescent="0.3">
      <c r="A4919">
        <v>4918</v>
      </c>
      <c r="B4919">
        <v>55419</v>
      </c>
      <c r="C4919" s="2">
        <v>39210</v>
      </c>
      <c r="D4919">
        <v>18</v>
      </c>
      <c r="E4919" t="s">
        <v>42</v>
      </c>
      <c r="F4919" t="s">
        <v>37</v>
      </c>
      <c r="G4919" s="2">
        <v>45652</v>
      </c>
      <c r="H4919" s="3">
        <f t="shared" si="76"/>
        <v>1.4191780821917808</v>
      </c>
      <c r="I4919">
        <v>24</v>
      </c>
      <c r="J4919" t="s">
        <v>38</v>
      </c>
      <c r="K4919" t="s">
        <v>56</v>
      </c>
      <c r="L4919" t="s">
        <v>44</v>
      </c>
      <c r="M4919">
        <v>8.4700000000000006</v>
      </c>
      <c r="T4919" t="s">
        <v>52</v>
      </c>
      <c r="U4919">
        <v>2</v>
      </c>
      <c r="V4919">
        <v>6</v>
      </c>
    </row>
    <row r="4920" spans="1:22" x14ac:dyDescent="0.3">
      <c r="A4920">
        <v>4919</v>
      </c>
      <c r="B4920">
        <v>55420</v>
      </c>
      <c r="C4920" s="2">
        <v>38238</v>
      </c>
      <c r="D4920">
        <v>21</v>
      </c>
      <c r="E4920" t="s">
        <v>42</v>
      </c>
      <c r="F4920" t="s">
        <v>50</v>
      </c>
      <c r="G4920" s="2">
        <v>45504</v>
      </c>
      <c r="H4920" s="3">
        <f t="shared" si="76"/>
        <v>1.441095890410959</v>
      </c>
      <c r="I4920">
        <v>24</v>
      </c>
      <c r="J4920" t="s">
        <v>38</v>
      </c>
      <c r="K4920" t="s">
        <v>56</v>
      </c>
      <c r="L4920" t="s">
        <v>44</v>
      </c>
      <c r="M4920">
        <v>8.4700000000000006</v>
      </c>
      <c r="T4920" t="s">
        <v>49</v>
      </c>
      <c r="U4920">
        <v>2</v>
      </c>
      <c r="V4920">
        <v>6</v>
      </c>
    </row>
    <row r="4921" spans="1:22" x14ac:dyDescent="0.3">
      <c r="A4921">
        <v>4920</v>
      </c>
      <c r="B4921">
        <v>55421</v>
      </c>
      <c r="C4921" s="2">
        <v>36184</v>
      </c>
      <c r="D4921">
        <v>26</v>
      </c>
      <c r="E4921" t="s">
        <v>36</v>
      </c>
      <c r="F4921" t="s">
        <v>50</v>
      </c>
      <c r="G4921" s="2">
        <v>45496</v>
      </c>
      <c r="H4921" s="3">
        <f t="shared" si="76"/>
        <v>1.6630136986301369</v>
      </c>
      <c r="I4921">
        <v>25</v>
      </c>
      <c r="J4921" t="s">
        <v>38</v>
      </c>
      <c r="K4921" t="s">
        <v>68</v>
      </c>
      <c r="L4921" t="s">
        <v>44</v>
      </c>
      <c r="M4921">
        <v>17</v>
      </c>
      <c r="T4921" t="s">
        <v>47</v>
      </c>
      <c r="U4921">
        <v>0</v>
      </c>
      <c r="V4921">
        <v>4</v>
      </c>
    </row>
    <row r="4922" spans="1:22" x14ac:dyDescent="0.3">
      <c r="A4922">
        <v>4921</v>
      </c>
      <c r="B4922">
        <v>55422</v>
      </c>
      <c r="C4922" s="2">
        <v>37356</v>
      </c>
      <c r="D4922">
        <v>23</v>
      </c>
      <c r="E4922" t="s">
        <v>36</v>
      </c>
      <c r="F4922" t="s">
        <v>50</v>
      </c>
      <c r="G4922" s="2">
        <v>45415</v>
      </c>
      <c r="H4922" s="3">
        <f t="shared" si="76"/>
        <v>1.0356164383561643</v>
      </c>
      <c r="I4922">
        <v>25</v>
      </c>
      <c r="J4922" t="s">
        <v>38</v>
      </c>
      <c r="K4922" t="s">
        <v>68</v>
      </c>
      <c r="L4922" t="s">
        <v>44</v>
      </c>
      <c r="M4922">
        <v>17</v>
      </c>
      <c r="T4922" t="s">
        <v>52</v>
      </c>
      <c r="U4922">
        <v>2</v>
      </c>
      <c r="V4922">
        <v>5</v>
      </c>
    </row>
    <row r="4923" spans="1:22" x14ac:dyDescent="0.3">
      <c r="A4923">
        <v>4922</v>
      </c>
      <c r="B4923">
        <v>55423</v>
      </c>
      <c r="C4923" s="2">
        <v>36654</v>
      </c>
      <c r="D4923">
        <v>25</v>
      </c>
      <c r="E4923" t="s">
        <v>42</v>
      </c>
      <c r="F4923" t="s">
        <v>37</v>
      </c>
      <c r="G4923" s="2">
        <v>45644</v>
      </c>
      <c r="H4923" s="3">
        <f t="shared" si="76"/>
        <v>1.1945205479452055</v>
      </c>
      <c r="I4923">
        <v>25</v>
      </c>
      <c r="J4923" t="s">
        <v>38</v>
      </c>
      <c r="K4923" t="s">
        <v>68</v>
      </c>
      <c r="L4923" t="s">
        <v>44</v>
      </c>
      <c r="M4923">
        <v>17</v>
      </c>
      <c r="T4923" t="s">
        <v>49</v>
      </c>
      <c r="U4923">
        <v>2</v>
      </c>
      <c r="V4923">
        <v>7</v>
      </c>
    </row>
    <row r="4924" spans="1:22" x14ac:dyDescent="0.3">
      <c r="A4924">
        <v>4923</v>
      </c>
      <c r="B4924">
        <v>55424</v>
      </c>
      <c r="C4924" s="2">
        <v>37669</v>
      </c>
      <c r="D4924">
        <v>22</v>
      </c>
      <c r="E4924" t="s">
        <v>36</v>
      </c>
      <c r="F4924" t="s">
        <v>50</v>
      </c>
      <c r="G4924" s="2">
        <v>45586</v>
      </c>
      <c r="H4924" s="3">
        <f t="shared" si="76"/>
        <v>1.2931506849315069</v>
      </c>
      <c r="I4924">
        <v>25</v>
      </c>
      <c r="J4924" t="s">
        <v>38</v>
      </c>
      <c r="K4924" t="s">
        <v>65</v>
      </c>
      <c r="L4924" t="s">
        <v>44</v>
      </c>
      <c r="M4924">
        <v>10.64</v>
      </c>
      <c r="T4924" t="s">
        <v>45</v>
      </c>
      <c r="U4924">
        <v>0</v>
      </c>
      <c r="V4924">
        <v>3</v>
      </c>
    </row>
    <row r="4925" spans="1:22" x14ac:dyDescent="0.3">
      <c r="A4925">
        <v>4924</v>
      </c>
      <c r="B4925">
        <v>55425</v>
      </c>
      <c r="C4925" s="2">
        <v>38714</v>
      </c>
      <c r="D4925">
        <v>20</v>
      </c>
      <c r="E4925" t="s">
        <v>36</v>
      </c>
      <c r="F4925" t="s">
        <v>50</v>
      </c>
      <c r="G4925" s="2">
        <v>45550</v>
      </c>
      <c r="H4925" s="3">
        <f t="shared" si="76"/>
        <v>1.6328767123287671</v>
      </c>
      <c r="I4925">
        <v>25</v>
      </c>
      <c r="J4925" t="s">
        <v>38</v>
      </c>
      <c r="K4925" t="s">
        <v>65</v>
      </c>
      <c r="L4925" t="s">
        <v>44</v>
      </c>
      <c r="M4925">
        <v>10.64</v>
      </c>
      <c r="T4925" t="s">
        <v>45</v>
      </c>
      <c r="U4925">
        <v>1</v>
      </c>
      <c r="V4925">
        <v>4</v>
      </c>
    </row>
    <row r="4926" spans="1:22" x14ac:dyDescent="0.3">
      <c r="A4926">
        <v>4925</v>
      </c>
      <c r="B4926">
        <v>55426</v>
      </c>
      <c r="C4926" s="2">
        <v>36938</v>
      </c>
      <c r="D4926">
        <v>24</v>
      </c>
      <c r="E4926" t="s">
        <v>42</v>
      </c>
      <c r="F4926" t="s">
        <v>37</v>
      </c>
      <c r="G4926" s="2">
        <v>45426</v>
      </c>
      <c r="H4926" s="3">
        <f t="shared" si="76"/>
        <v>1.7561643835616438</v>
      </c>
      <c r="I4926">
        <v>25</v>
      </c>
      <c r="J4926" t="s">
        <v>38</v>
      </c>
      <c r="K4926" t="s">
        <v>46</v>
      </c>
      <c r="L4926" t="s">
        <v>44</v>
      </c>
      <c r="M4926">
        <v>14.23</v>
      </c>
      <c r="T4926" t="s">
        <v>52</v>
      </c>
      <c r="U4926">
        <v>0</v>
      </c>
      <c r="V4926">
        <v>4</v>
      </c>
    </row>
    <row r="4927" spans="1:22" x14ac:dyDescent="0.3">
      <c r="A4927">
        <v>4926</v>
      </c>
      <c r="B4927">
        <v>55427</v>
      </c>
      <c r="C4927" s="2">
        <v>37787</v>
      </c>
      <c r="D4927">
        <v>22</v>
      </c>
      <c r="E4927" t="s">
        <v>42</v>
      </c>
      <c r="F4927" t="s">
        <v>50</v>
      </c>
      <c r="G4927" s="2">
        <v>45381</v>
      </c>
      <c r="H4927" s="3">
        <f t="shared" si="76"/>
        <v>1.6438356164383561</v>
      </c>
      <c r="I4927">
        <v>25</v>
      </c>
      <c r="J4927" t="s">
        <v>38</v>
      </c>
      <c r="K4927" t="s">
        <v>64</v>
      </c>
      <c r="L4927" t="s">
        <v>44</v>
      </c>
      <c r="M4927">
        <v>14.07</v>
      </c>
      <c r="T4927" t="s">
        <v>52</v>
      </c>
      <c r="U4927">
        <v>1</v>
      </c>
      <c r="V4927">
        <v>7</v>
      </c>
    </row>
    <row r="4928" spans="1:22" x14ac:dyDescent="0.3">
      <c r="A4928">
        <v>4927</v>
      </c>
      <c r="B4928">
        <v>55428</v>
      </c>
      <c r="C4928" s="2">
        <v>39204</v>
      </c>
      <c r="D4928">
        <v>18</v>
      </c>
      <c r="E4928" t="s">
        <v>42</v>
      </c>
      <c r="F4928" t="s">
        <v>50</v>
      </c>
      <c r="G4928" s="2">
        <v>45422</v>
      </c>
      <c r="H4928" s="3">
        <f t="shared" si="76"/>
        <v>1.6684931506849314</v>
      </c>
      <c r="I4928">
        <v>25</v>
      </c>
      <c r="J4928" t="s">
        <v>38</v>
      </c>
      <c r="K4928" t="s">
        <v>48</v>
      </c>
      <c r="L4928" t="s">
        <v>44</v>
      </c>
      <c r="M4928">
        <v>8.4700000000000006</v>
      </c>
      <c r="T4928" t="s">
        <v>47</v>
      </c>
      <c r="U4928">
        <v>0</v>
      </c>
      <c r="V4928">
        <v>6</v>
      </c>
    </row>
    <row r="4929" spans="1:22" x14ac:dyDescent="0.3">
      <c r="A4929">
        <v>4928</v>
      </c>
      <c r="B4929">
        <v>55429</v>
      </c>
      <c r="C4929" s="2">
        <v>36386</v>
      </c>
      <c r="D4929">
        <v>26</v>
      </c>
      <c r="E4929" t="s">
        <v>42</v>
      </c>
      <c r="F4929" t="s">
        <v>50</v>
      </c>
      <c r="G4929" s="2">
        <v>45413</v>
      </c>
      <c r="H4929" s="3">
        <f t="shared" si="76"/>
        <v>1.3287671232876712</v>
      </c>
      <c r="I4929">
        <v>25</v>
      </c>
      <c r="J4929" t="s">
        <v>38</v>
      </c>
      <c r="K4929" t="s">
        <v>48</v>
      </c>
      <c r="L4929" t="s">
        <v>44</v>
      </c>
      <c r="M4929">
        <v>8.4700000000000006</v>
      </c>
      <c r="T4929" t="s">
        <v>52</v>
      </c>
      <c r="U4929">
        <v>4</v>
      </c>
      <c r="V4929">
        <v>6</v>
      </c>
    </row>
    <row r="4930" spans="1:22" x14ac:dyDescent="0.3">
      <c r="A4930">
        <v>4929</v>
      </c>
      <c r="B4930">
        <v>55430</v>
      </c>
      <c r="C4930" s="2">
        <v>36725</v>
      </c>
      <c r="D4930">
        <v>25</v>
      </c>
      <c r="E4930" t="s">
        <v>42</v>
      </c>
      <c r="F4930" t="s">
        <v>50</v>
      </c>
      <c r="G4930" s="2">
        <v>45537</v>
      </c>
      <c r="H4930" s="3">
        <f t="shared" si="76"/>
        <v>1.3452054794520547</v>
      </c>
      <c r="I4930">
        <v>25</v>
      </c>
      <c r="J4930" t="s">
        <v>38</v>
      </c>
      <c r="K4930" t="s">
        <v>56</v>
      </c>
      <c r="L4930" t="s">
        <v>44</v>
      </c>
      <c r="M4930">
        <v>8.4700000000000006</v>
      </c>
      <c r="T4930" t="s">
        <v>47</v>
      </c>
      <c r="U4930">
        <v>2</v>
      </c>
      <c r="V4930">
        <v>5</v>
      </c>
    </row>
    <row r="4931" spans="1:22" x14ac:dyDescent="0.3">
      <c r="A4931">
        <v>4930</v>
      </c>
      <c r="B4931">
        <v>55431</v>
      </c>
      <c r="C4931" s="2">
        <v>35690</v>
      </c>
      <c r="D4931">
        <v>28</v>
      </c>
      <c r="E4931" t="s">
        <v>42</v>
      </c>
      <c r="F4931" t="s">
        <v>50</v>
      </c>
      <c r="G4931" s="2">
        <v>45531</v>
      </c>
      <c r="H4931" s="3">
        <f t="shared" ref="H4931:H4994" si="77">DATEDIF(G4932,DATE(2025,12,31),"d")/365</f>
        <v>1.4328767123287671</v>
      </c>
      <c r="I4931">
        <v>25</v>
      </c>
      <c r="J4931" t="s">
        <v>38</v>
      </c>
      <c r="K4931" t="s">
        <v>56</v>
      </c>
      <c r="L4931" t="s">
        <v>44</v>
      </c>
      <c r="M4931">
        <v>8.4700000000000006</v>
      </c>
      <c r="T4931" t="s">
        <v>52</v>
      </c>
      <c r="U4931">
        <v>2</v>
      </c>
      <c r="V4931">
        <v>6</v>
      </c>
    </row>
    <row r="4932" spans="1:22" x14ac:dyDescent="0.3">
      <c r="A4932">
        <v>4931</v>
      </c>
      <c r="B4932">
        <v>55432</v>
      </c>
      <c r="C4932" s="2">
        <v>37320</v>
      </c>
      <c r="D4932">
        <v>23</v>
      </c>
      <c r="E4932" t="s">
        <v>42</v>
      </c>
      <c r="F4932" t="s">
        <v>50</v>
      </c>
      <c r="G4932" s="2">
        <v>45499</v>
      </c>
      <c r="H4932" s="3">
        <f t="shared" si="77"/>
        <v>1.1945205479452055</v>
      </c>
      <c r="I4932">
        <v>25</v>
      </c>
      <c r="J4932" t="s">
        <v>38</v>
      </c>
      <c r="K4932" t="s">
        <v>56</v>
      </c>
      <c r="L4932" t="s">
        <v>44</v>
      </c>
      <c r="M4932">
        <v>8.4700000000000006</v>
      </c>
      <c r="T4932" t="s">
        <v>52</v>
      </c>
      <c r="U4932">
        <v>0</v>
      </c>
      <c r="V4932">
        <v>4</v>
      </c>
    </row>
    <row r="4933" spans="1:22" x14ac:dyDescent="0.3">
      <c r="A4933">
        <v>4932</v>
      </c>
      <c r="B4933">
        <v>55434</v>
      </c>
      <c r="C4933" s="2">
        <v>34726</v>
      </c>
      <c r="D4933">
        <v>30</v>
      </c>
      <c r="E4933" t="s">
        <v>42</v>
      </c>
      <c r="F4933" t="s">
        <v>50</v>
      </c>
      <c r="G4933" s="2">
        <v>45586</v>
      </c>
      <c r="H4933" s="3">
        <f t="shared" si="77"/>
        <v>1.0438356164383562</v>
      </c>
      <c r="I4933">
        <v>25</v>
      </c>
      <c r="J4933" t="s">
        <v>38</v>
      </c>
      <c r="K4933" t="s">
        <v>56</v>
      </c>
      <c r="L4933" t="s">
        <v>44</v>
      </c>
      <c r="M4933">
        <v>8.4700000000000006</v>
      </c>
      <c r="T4933" t="s">
        <v>45</v>
      </c>
      <c r="U4933">
        <v>3</v>
      </c>
      <c r="V4933">
        <v>5</v>
      </c>
    </row>
    <row r="4934" spans="1:22" x14ac:dyDescent="0.3">
      <c r="A4934">
        <v>4933</v>
      </c>
      <c r="B4934">
        <v>55435</v>
      </c>
      <c r="C4934" s="2">
        <v>39104</v>
      </c>
      <c r="D4934">
        <v>18</v>
      </c>
      <c r="E4934" t="s">
        <v>42</v>
      </c>
      <c r="F4934" t="s">
        <v>37</v>
      </c>
      <c r="G4934" s="2">
        <v>45641</v>
      </c>
      <c r="H4934" s="3">
        <f t="shared" si="77"/>
        <v>1.4328767123287671</v>
      </c>
      <c r="I4934">
        <v>25</v>
      </c>
      <c r="J4934" t="s">
        <v>38</v>
      </c>
      <c r="K4934" t="s">
        <v>56</v>
      </c>
      <c r="L4934" t="s">
        <v>44</v>
      </c>
      <c r="M4934">
        <v>8.4700000000000006</v>
      </c>
      <c r="T4934" t="s">
        <v>47</v>
      </c>
      <c r="U4934">
        <v>4</v>
      </c>
      <c r="V4934">
        <v>5</v>
      </c>
    </row>
    <row r="4935" spans="1:22" x14ac:dyDescent="0.3">
      <c r="A4935">
        <v>4934</v>
      </c>
      <c r="B4935">
        <v>55436</v>
      </c>
      <c r="C4935" s="2">
        <v>38585</v>
      </c>
      <c r="D4935">
        <v>20</v>
      </c>
      <c r="E4935" t="s">
        <v>42</v>
      </c>
      <c r="F4935" t="s">
        <v>50</v>
      </c>
      <c r="G4935" s="2">
        <v>45499</v>
      </c>
      <c r="H4935" s="3">
        <f t="shared" si="77"/>
        <v>1.6958904109589041</v>
      </c>
      <c r="I4935">
        <v>25</v>
      </c>
      <c r="J4935" t="s">
        <v>38</v>
      </c>
      <c r="K4935" t="s">
        <v>56</v>
      </c>
      <c r="L4935" t="s">
        <v>44</v>
      </c>
      <c r="M4935">
        <v>8.4700000000000006</v>
      </c>
      <c r="T4935" t="s">
        <v>45</v>
      </c>
      <c r="U4935">
        <v>2</v>
      </c>
      <c r="V4935">
        <v>7</v>
      </c>
    </row>
    <row r="4936" spans="1:22" x14ac:dyDescent="0.3">
      <c r="A4936">
        <v>4935</v>
      </c>
      <c r="B4936">
        <v>55437</v>
      </c>
      <c r="C4936" s="2">
        <v>38603</v>
      </c>
      <c r="D4936">
        <v>20</v>
      </c>
      <c r="E4936" t="s">
        <v>42</v>
      </c>
      <c r="F4936" t="s">
        <v>37</v>
      </c>
      <c r="G4936" s="2">
        <v>45403</v>
      </c>
      <c r="H4936" s="3">
        <f t="shared" si="77"/>
        <v>1.6054794520547946</v>
      </c>
      <c r="I4936">
        <v>25</v>
      </c>
      <c r="J4936" t="s">
        <v>38</v>
      </c>
      <c r="K4936" t="s">
        <v>56</v>
      </c>
      <c r="L4936" t="s">
        <v>44</v>
      </c>
      <c r="M4936">
        <v>8.4700000000000006</v>
      </c>
      <c r="T4936" t="s">
        <v>45</v>
      </c>
      <c r="U4936">
        <v>2</v>
      </c>
      <c r="V4936">
        <v>6</v>
      </c>
    </row>
    <row r="4937" spans="1:22" x14ac:dyDescent="0.3">
      <c r="A4937">
        <v>4936</v>
      </c>
      <c r="B4937">
        <v>55438</v>
      </c>
      <c r="C4937" s="2">
        <v>37874</v>
      </c>
      <c r="D4937">
        <v>22</v>
      </c>
      <c r="E4937" t="s">
        <v>42</v>
      </c>
      <c r="F4937" t="s">
        <v>37</v>
      </c>
      <c r="G4937" s="2">
        <v>45436</v>
      </c>
      <c r="H4937" s="3">
        <f t="shared" si="77"/>
        <v>1.2383561643835617</v>
      </c>
      <c r="I4937">
        <v>25</v>
      </c>
      <c r="J4937" t="s">
        <v>38</v>
      </c>
      <c r="K4937" t="s">
        <v>56</v>
      </c>
      <c r="L4937" t="s">
        <v>44</v>
      </c>
      <c r="M4937">
        <v>8.4700000000000006</v>
      </c>
      <c r="T4937" t="s">
        <v>45</v>
      </c>
      <c r="U4937">
        <v>1</v>
      </c>
      <c r="V4937">
        <v>6</v>
      </c>
    </row>
    <row r="4938" spans="1:22" x14ac:dyDescent="0.3">
      <c r="A4938">
        <v>4937</v>
      </c>
      <c r="B4938">
        <v>55439</v>
      </c>
      <c r="C4938" s="2">
        <v>38249</v>
      </c>
      <c r="D4938">
        <v>21</v>
      </c>
      <c r="E4938" t="s">
        <v>42</v>
      </c>
      <c r="F4938" t="s">
        <v>50</v>
      </c>
      <c r="G4938" s="2">
        <v>45570</v>
      </c>
      <c r="H4938" s="3">
        <f t="shared" si="77"/>
        <v>1.5972602739726027</v>
      </c>
      <c r="I4938">
        <v>25</v>
      </c>
      <c r="J4938" t="s">
        <v>38</v>
      </c>
      <c r="K4938" t="s">
        <v>56</v>
      </c>
      <c r="L4938" t="s">
        <v>44</v>
      </c>
      <c r="M4938">
        <v>8.4700000000000006</v>
      </c>
      <c r="T4938" t="s">
        <v>45</v>
      </c>
      <c r="U4938">
        <v>2</v>
      </c>
      <c r="V4938">
        <v>7</v>
      </c>
    </row>
    <row r="4939" spans="1:22" x14ac:dyDescent="0.3">
      <c r="A4939">
        <v>4938</v>
      </c>
      <c r="B4939">
        <v>55440</v>
      </c>
      <c r="C4939" s="2">
        <v>38823</v>
      </c>
      <c r="D4939">
        <v>19</v>
      </c>
      <c r="E4939" t="s">
        <v>42</v>
      </c>
      <c r="F4939" t="s">
        <v>50</v>
      </c>
      <c r="G4939" s="2">
        <v>45439</v>
      </c>
      <c r="H4939" s="3">
        <f t="shared" si="77"/>
        <v>1.4547945205479451</v>
      </c>
      <c r="I4939">
        <v>25</v>
      </c>
      <c r="J4939" t="s">
        <v>38</v>
      </c>
      <c r="K4939" t="s">
        <v>56</v>
      </c>
      <c r="L4939" t="s">
        <v>44</v>
      </c>
      <c r="M4939">
        <v>8.4700000000000006</v>
      </c>
      <c r="T4939" t="s">
        <v>47</v>
      </c>
      <c r="U4939">
        <v>4</v>
      </c>
      <c r="V4939">
        <v>7</v>
      </c>
    </row>
    <row r="4940" spans="1:22" x14ac:dyDescent="0.3">
      <c r="A4940">
        <v>4939</v>
      </c>
      <c r="B4940">
        <v>55441</v>
      </c>
      <c r="C4940" s="2">
        <v>37111</v>
      </c>
      <c r="D4940">
        <v>24</v>
      </c>
      <c r="E4940" t="s">
        <v>42</v>
      </c>
      <c r="F4940" t="s">
        <v>50</v>
      </c>
      <c r="G4940" s="2">
        <v>45491</v>
      </c>
      <c r="H4940" s="3">
        <f t="shared" si="77"/>
        <v>1.6684931506849314</v>
      </c>
      <c r="I4940">
        <v>25</v>
      </c>
      <c r="J4940" t="s">
        <v>38</v>
      </c>
      <c r="K4940" t="s">
        <v>56</v>
      </c>
      <c r="L4940" t="s">
        <v>44</v>
      </c>
      <c r="M4940">
        <v>8.4700000000000006</v>
      </c>
      <c r="T4940" t="s">
        <v>52</v>
      </c>
      <c r="U4940">
        <v>4</v>
      </c>
      <c r="V4940">
        <v>7</v>
      </c>
    </row>
    <row r="4941" spans="1:22" x14ac:dyDescent="0.3">
      <c r="A4941">
        <v>4940</v>
      </c>
      <c r="B4941">
        <v>55442</v>
      </c>
      <c r="C4941" s="2">
        <v>37338</v>
      </c>
      <c r="D4941">
        <v>23</v>
      </c>
      <c r="E4941" t="s">
        <v>42</v>
      </c>
      <c r="F4941" t="s">
        <v>50</v>
      </c>
      <c r="G4941" s="2">
        <v>45413</v>
      </c>
      <c r="H4941" s="3">
        <f t="shared" si="77"/>
        <v>1.6328767123287671</v>
      </c>
      <c r="I4941">
        <v>25</v>
      </c>
      <c r="J4941" t="s">
        <v>38</v>
      </c>
      <c r="K4941" t="s">
        <v>56</v>
      </c>
      <c r="L4941" t="s">
        <v>44</v>
      </c>
      <c r="M4941">
        <v>8.4700000000000006</v>
      </c>
      <c r="T4941" t="s">
        <v>52</v>
      </c>
      <c r="U4941">
        <v>0</v>
      </c>
      <c r="V4941">
        <v>7</v>
      </c>
    </row>
    <row r="4942" spans="1:22" x14ac:dyDescent="0.3">
      <c r="A4942">
        <v>4941</v>
      </c>
      <c r="B4942">
        <v>55443</v>
      </c>
      <c r="C4942" s="2">
        <v>38803</v>
      </c>
      <c r="D4942">
        <v>19</v>
      </c>
      <c r="E4942" t="s">
        <v>42</v>
      </c>
      <c r="F4942" t="s">
        <v>50</v>
      </c>
      <c r="G4942" s="2">
        <v>45426</v>
      </c>
      <c r="H4942" s="3">
        <f t="shared" si="77"/>
        <v>1.4136986301369863</v>
      </c>
      <c r="I4942">
        <v>25</v>
      </c>
      <c r="J4942" t="s">
        <v>38</v>
      </c>
      <c r="K4942" t="s">
        <v>56</v>
      </c>
      <c r="L4942" t="s">
        <v>44</v>
      </c>
      <c r="M4942">
        <v>8.4700000000000006</v>
      </c>
      <c r="T4942" t="s">
        <v>45</v>
      </c>
      <c r="U4942">
        <v>2</v>
      </c>
      <c r="V4942">
        <v>6</v>
      </c>
    </row>
    <row r="4943" spans="1:22" x14ac:dyDescent="0.3">
      <c r="A4943">
        <v>4942</v>
      </c>
      <c r="B4943">
        <v>55444</v>
      </c>
      <c r="C4943" s="2">
        <v>35943</v>
      </c>
      <c r="D4943">
        <v>27</v>
      </c>
      <c r="E4943" t="s">
        <v>36</v>
      </c>
      <c r="F4943" t="s">
        <v>50</v>
      </c>
      <c r="G4943" s="2">
        <v>45506</v>
      </c>
      <c r="H4943" s="3">
        <f t="shared" si="77"/>
        <v>1.1863013698630136</v>
      </c>
      <c r="I4943">
        <v>26</v>
      </c>
      <c r="J4943" t="s">
        <v>38</v>
      </c>
      <c r="K4943" t="s">
        <v>68</v>
      </c>
      <c r="L4943" t="s">
        <v>44</v>
      </c>
      <c r="M4943">
        <v>17</v>
      </c>
      <c r="T4943" t="s">
        <v>49</v>
      </c>
      <c r="U4943">
        <v>3</v>
      </c>
      <c r="V4943">
        <v>3</v>
      </c>
    </row>
    <row r="4944" spans="1:22" x14ac:dyDescent="0.3">
      <c r="A4944">
        <v>4943</v>
      </c>
      <c r="B4944">
        <v>55445</v>
      </c>
      <c r="C4944" s="2">
        <v>35618</v>
      </c>
      <c r="D4944">
        <v>28</v>
      </c>
      <c r="E4944" t="s">
        <v>42</v>
      </c>
      <c r="F4944" t="s">
        <v>50</v>
      </c>
      <c r="G4944" s="2">
        <v>45589</v>
      </c>
      <c r="H4944" s="3">
        <f t="shared" si="77"/>
        <v>1.4219178082191781</v>
      </c>
      <c r="I4944">
        <v>26</v>
      </c>
      <c r="J4944" t="s">
        <v>38</v>
      </c>
      <c r="K4944" t="s">
        <v>68</v>
      </c>
      <c r="L4944" t="s">
        <v>44</v>
      </c>
      <c r="M4944">
        <v>17</v>
      </c>
      <c r="T4944" t="s">
        <v>52</v>
      </c>
      <c r="U4944">
        <v>0</v>
      </c>
      <c r="V4944">
        <v>4</v>
      </c>
    </row>
    <row r="4945" spans="1:22" x14ac:dyDescent="0.3">
      <c r="A4945">
        <v>4944</v>
      </c>
      <c r="B4945">
        <v>55446</v>
      </c>
      <c r="C4945" s="2">
        <v>37946</v>
      </c>
      <c r="D4945">
        <v>22</v>
      </c>
      <c r="E4945" t="s">
        <v>36</v>
      </c>
      <c r="F4945" t="s">
        <v>37</v>
      </c>
      <c r="G4945" s="2">
        <v>45503</v>
      </c>
      <c r="H4945" s="3">
        <f t="shared" si="77"/>
        <v>1.0493150684931507</v>
      </c>
      <c r="I4945">
        <v>26</v>
      </c>
      <c r="J4945" t="s">
        <v>38</v>
      </c>
      <c r="K4945" t="s">
        <v>68</v>
      </c>
      <c r="L4945" t="s">
        <v>44</v>
      </c>
      <c r="M4945">
        <v>17</v>
      </c>
      <c r="T4945" t="s">
        <v>52</v>
      </c>
      <c r="U4945">
        <v>1</v>
      </c>
      <c r="V4945">
        <v>5</v>
      </c>
    </row>
    <row r="4946" spans="1:22" x14ac:dyDescent="0.3">
      <c r="A4946">
        <v>4945</v>
      </c>
      <c r="B4946">
        <v>55447</v>
      </c>
      <c r="C4946" s="2">
        <v>37793</v>
      </c>
      <c r="D4946">
        <v>22</v>
      </c>
      <c r="E4946" t="s">
        <v>36</v>
      </c>
      <c r="F4946" t="s">
        <v>50</v>
      </c>
      <c r="G4946" s="2">
        <v>45639</v>
      </c>
      <c r="H4946" s="3">
        <f t="shared" si="77"/>
        <v>1.3945205479452054</v>
      </c>
      <c r="I4946">
        <v>26</v>
      </c>
      <c r="J4946" t="s">
        <v>38</v>
      </c>
      <c r="K4946" t="s">
        <v>65</v>
      </c>
      <c r="L4946" t="s">
        <v>44</v>
      </c>
      <c r="M4946">
        <v>10.64</v>
      </c>
      <c r="T4946" t="s">
        <v>49</v>
      </c>
      <c r="U4946">
        <v>1</v>
      </c>
      <c r="V4946">
        <v>3</v>
      </c>
    </row>
    <row r="4947" spans="1:22" x14ac:dyDescent="0.3">
      <c r="A4947">
        <v>4946</v>
      </c>
      <c r="B4947">
        <v>55448</v>
      </c>
      <c r="C4947" s="2">
        <v>37730</v>
      </c>
      <c r="D4947">
        <v>22</v>
      </c>
      <c r="E4947" t="s">
        <v>36</v>
      </c>
      <c r="F4947" t="s">
        <v>37</v>
      </c>
      <c r="G4947" s="2">
        <v>45513</v>
      </c>
      <c r="H4947" s="3">
        <f t="shared" si="77"/>
        <v>1.5315068493150685</v>
      </c>
      <c r="I4947">
        <v>26</v>
      </c>
      <c r="J4947" t="s">
        <v>38</v>
      </c>
      <c r="K4947" t="s">
        <v>46</v>
      </c>
      <c r="L4947" t="s">
        <v>44</v>
      </c>
      <c r="M4947">
        <v>14.23</v>
      </c>
      <c r="T4947" t="s">
        <v>52</v>
      </c>
      <c r="U4947">
        <v>1</v>
      </c>
      <c r="V4947">
        <v>3</v>
      </c>
    </row>
    <row r="4948" spans="1:22" x14ac:dyDescent="0.3">
      <c r="A4948">
        <v>4947</v>
      </c>
      <c r="B4948">
        <v>55449</v>
      </c>
      <c r="C4948" s="2">
        <v>36789</v>
      </c>
      <c r="D4948">
        <v>25</v>
      </c>
      <c r="E4948" t="s">
        <v>36</v>
      </c>
      <c r="F4948" t="s">
        <v>50</v>
      </c>
      <c r="G4948" s="2">
        <v>45463</v>
      </c>
      <c r="H4948" s="3">
        <f t="shared" si="77"/>
        <v>1.2301369863013698</v>
      </c>
      <c r="I4948">
        <v>26</v>
      </c>
      <c r="J4948" t="s">
        <v>38</v>
      </c>
      <c r="K4948" t="s">
        <v>64</v>
      </c>
      <c r="L4948" t="s">
        <v>44</v>
      </c>
      <c r="M4948">
        <v>14.07</v>
      </c>
      <c r="T4948" t="s">
        <v>49</v>
      </c>
      <c r="U4948">
        <v>0</v>
      </c>
      <c r="V4948">
        <v>3</v>
      </c>
    </row>
    <row r="4949" spans="1:22" x14ac:dyDescent="0.3">
      <c r="A4949">
        <v>4948</v>
      </c>
      <c r="B4949">
        <v>55450</v>
      </c>
      <c r="C4949" s="2">
        <v>36476</v>
      </c>
      <c r="D4949">
        <v>26</v>
      </c>
      <c r="E4949" t="s">
        <v>42</v>
      </c>
      <c r="F4949" t="s">
        <v>50</v>
      </c>
      <c r="G4949" s="2">
        <v>45573</v>
      </c>
      <c r="H4949" s="3">
        <f t="shared" si="77"/>
        <v>1.0136986301369864</v>
      </c>
      <c r="I4949">
        <v>26</v>
      </c>
      <c r="J4949" t="s">
        <v>38</v>
      </c>
      <c r="K4949" t="s">
        <v>48</v>
      </c>
      <c r="L4949" t="s">
        <v>44</v>
      </c>
      <c r="M4949">
        <v>8.4700000000000006</v>
      </c>
      <c r="T4949" t="s">
        <v>49</v>
      </c>
      <c r="U4949">
        <v>2</v>
      </c>
      <c r="V4949">
        <v>6</v>
      </c>
    </row>
    <row r="4950" spans="1:22" x14ac:dyDescent="0.3">
      <c r="A4950">
        <v>4949</v>
      </c>
      <c r="B4950">
        <v>55451</v>
      </c>
      <c r="C4950" s="2">
        <v>37776</v>
      </c>
      <c r="D4950">
        <v>22</v>
      </c>
      <c r="E4950" t="s">
        <v>42</v>
      </c>
      <c r="F4950" t="s">
        <v>50</v>
      </c>
      <c r="G4950" s="2">
        <v>45652</v>
      </c>
      <c r="H4950" s="3">
        <f t="shared" si="77"/>
        <v>1.8493150684931507</v>
      </c>
      <c r="I4950">
        <v>26</v>
      </c>
      <c r="J4950" t="s">
        <v>38</v>
      </c>
      <c r="K4950" t="s">
        <v>56</v>
      </c>
      <c r="L4950" t="s">
        <v>44</v>
      </c>
      <c r="M4950">
        <v>8.4700000000000006</v>
      </c>
      <c r="T4950" t="s">
        <v>47</v>
      </c>
      <c r="U4950">
        <v>1</v>
      </c>
      <c r="V4950">
        <v>6</v>
      </c>
    </row>
    <row r="4951" spans="1:22" x14ac:dyDescent="0.3">
      <c r="A4951">
        <v>4950</v>
      </c>
      <c r="B4951">
        <v>55452</v>
      </c>
      <c r="C4951" s="2">
        <v>37369</v>
      </c>
      <c r="D4951">
        <v>23</v>
      </c>
      <c r="E4951" t="s">
        <v>42</v>
      </c>
      <c r="F4951" t="s">
        <v>50</v>
      </c>
      <c r="G4951" s="2">
        <v>45347</v>
      </c>
      <c r="H4951" s="3">
        <f t="shared" si="77"/>
        <v>1.0767123287671232</v>
      </c>
      <c r="I4951">
        <v>26</v>
      </c>
      <c r="J4951" t="s">
        <v>38</v>
      </c>
      <c r="K4951" t="s">
        <v>56</v>
      </c>
      <c r="L4951" t="s">
        <v>44</v>
      </c>
      <c r="M4951">
        <v>8.4700000000000006</v>
      </c>
      <c r="T4951" t="s">
        <v>49</v>
      </c>
      <c r="U4951">
        <v>2</v>
      </c>
      <c r="V4951">
        <v>6</v>
      </c>
    </row>
    <row r="4952" spans="1:22" x14ac:dyDescent="0.3">
      <c r="A4952">
        <v>4951</v>
      </c>
      <c r="B4952">
        <v>55453</v>
      </c>
      <c r="C4952" s="2">
        <v>38696</v>
      </c>
      <c r="D4952">
        <v>20</v>
      </c>
      <c r="E4952" t="s">
        <v>42</v>
      </c>
      <c r="F4952" t="s">
        <v>50</v>
      </c>
      <c r="G4952" s="2">
        <v>45629</v>
      </c>
      <c r="H4952" s="3">
        <f t="shared" si="77"/>
        <v>1.0712328767123287</v>
      </c>
      <c r="I4952">
        <v>26</v>
      </c>
      <c r="J4952" t="s">
        <v>38</v>
      </c>
      <c r="K4952" t="s">
        <v>56</v>
      </c>
      <c r="L4952" t="s">
        <v>44</v>
      </c>
      <c r="M4952">
        <v>8.4700000000000006</v>
      </c>
      <c r="T4952" t="s">
        <v>47</v>
      </c>
      <c r="U4952">
        <v>3</v>
      </c>
      <c r="V4952">
        <v>6</v>
      </c>
    </row>
    <row r="4953" spans="1:22" x14ac:dyDescent="0.3">
      <c r="A4953">
        <v>4952</v>
      </c>
      <c r="B4953">
        <v>55454</v>
      </c>
      <c r="C4953" s="2">
        <v>37411</v>
      </c>
      <c r="D4953">
        <v>23</v>
      </c>
      <c r="E4953" t="s">
        <v>36</v>
      </c>
      <c r="F4953" t="s">
        <v>50</v>
      </c>
      <c r="G4953" s="2">
        <v>45631</v>
      </c>
      <c r="H4953" s="3">
        <f t="shared" si="77"/>
        <v>1.6958904109589041</v>
      </c>
      <c r="I4953">
        <v>26</v>
      </c>
      <c r="J4953" t="s">
        <v>38</v>
      </c>
      <c r="K4953" t="s">
        <v>56</v>
      </c>
      <c r="L4953" t="s">
        <v>44</v>
      </c>
      <c r="M4953">
        <v>8.4700000000000006</v>
      </c>
      <c r="T4953" t="s">
        <v>49</v>
      </c>
      <c r="U4953">
        <v>1</v>
      </c>
      <c r="V4953">
        <v>3</v>
      </c>
    </row>
    <row r="4954" spans="1:22" x14ac:dyDescent="0.3">
      <c r="A4954">
        <v>4953</v>
      </c>
      <c r="B4954">
        <v>55455</v>
      </c>
      <c r="C4954" s="2">
        <v>37747</v>
      </c>
      <c r="D4954">
        <v>22</v>
      </c>
      <c r="E4954" t="s">
        <v>42</v>
      </c>
      <c r="F4954" t="s">
        <v>37</v>
      </c>
      <c r="G4954" s="2">
        <v>45403</v>
      </c>
      <c r="H4954" s="3">
        <f t="shared" si="77"/>
        <v>1.4876712328767123</v>
      </c>
      <c r="I4954">
        <v>26</v>
      </c>
      <c r="J4954" t="s">
        <v>38</v>
      </c>
      <c r="K4954" t="s">
        <v>56</v>
      </c>
      <c r="L4954" t="s">
        <v>44</v>
      </c>
      <c r="M4954">
        <v>8.4700000000000006</v>
      </c>
      <c r="T4954" t="s">
        <v>49</v>
      </c>
      <c r="U4954">
        <v>2</v>
      </c>
      <c r="V4954">
        <v>7</v>
      </c>
    </row>
    <row r="4955" spans="1:22" x14ac:dyDescent="0.3">
      <c r="A4955">
        <v>4954</v>
      </c>
      <c r="B4955">
        <v>55456</v>
      </c>
      <c r="C4955" s="2">
        <v>37184</v>
      </c>
      <c r="D4955">
        <v>24</v>
      </c>
      <c r="E4955" t="s">
        <v>42</v>
      </c>
      <c r="F4955" t="s">
        <v>50</v>
      </c>
      <c r="G4955" s="2">
        <v>45479</v>
      </c>
      <c r="H4955" s="3">
        <f t="shared" si="77"/>
        <v>1.7178082191780821</v>
      </c>
      <c r="I4955">
        <v>26</v>
      </c>
      <c r="J4955" t="s">
        <v>38</v>
      </c>
      <c r="K4955" t="s">
        <v>56</v>
      </c>
      <c r="L4955" t="s">
        <v>44</v>
      </c>
      <c r="M4955">
        <v>8.4700000000000006</v>
      </c>
      <c r="T4955" t="s">
        <v>45</v>
      </c>
      <c r="U4955">
        <v>2</v>
      </c>
      <c r="V4955">
        <v>7</v>
      </c>
    </row>
    <row r="4956" spans="1:22" x14ac:dyDescent="0.3">
      <c r="A4956">
        <v>4955</v>
      </c>
      <c r="B4956">
        <v>55457</v>
      </c>
      <c r="C4956" s="2">
        <v>38426</v>
      </c>
      <c r="D4956">
        <v>20</v>
      </c>
      <c r="E4956" t="s">
        <v>42</v>
      </c>
      <c r="F4956" t="s">
        <v>50</v>
      </c>
      <c r="G4956" s="2">
        <v>45395</v>
      </c>
      <c r="H4956" s="3">
        <f t="shared" si="77"/>
        <v>1.1041095890410959</v>
      </c>
      <c r="I4956">
        <v>26</v>
      </c>
      <c r="J4956" t="s">
        <v>38</v>
      </c>
      <c r="K4956" t="s">
        <v>56</v>
      </c>
      <c r="L4956" t="s">
        <v>44</v>
      </c>
      <c r="M4956">
        <v>8.4700000000000006</v>
      </c>
      <c r="T4956" t="s">
        <v>52</v>
      </c>
      <c r="U4956">
        <v>4</v>
      </c>
      <c r="V4956">
        <v>6</v>
      </c>
    </row>
    <row r="4957" spans="1:22" x14ac:dyDescent="0.3">
      <c r="A4957">
        <v>4956</v>
      </c>
      <c r="B4957">
        <v>55458</v>
      </c>
      <c r="C4957" s="2">
        <v>36565</v>
      </c>
      <c r="D4957">
        <v>25</v>
      </c>
      <c r="E4957" t="s">
        <v>42</v>
      </c>
      <c r="F4957" t="s">
        <v>50</v>
      </c>
      <c r="G4957" s="2">
        <v>45619</v>
      </c>
      <c r="H4957" s="3">
        <f t="shared" si="77"/>
        <v>1.7123287671232876</v>
      </c>
      <c r="I4957">
        <v>26</v>
      </c>
      <c r="J4957" t="s">
        <v>38</v>
      </c>
      <c r="K4957" t="s">
        <v>56</v>
      </c>
      <c r="L4957" t="s">
        <v>44</v>
      </c>
      <c r="M4957">
        <v>8.4700000000000006</v>
      </c>
      <c r="T4957" t="s">
        <v>52</v>
      </c>
      <c r="U4957">
        <v>2</v>
      </c>
      <c r="V4957">
        <v>6</v>
      </c>
    </row>
    <row r="4958" spans="1:22" x14ac:dyDescent="0.3">
      <c r="A4958">
        <v>4957</v>
      </c>
      <c r="B4958">
        <v>55459</v>
      </c>
      <c r="C4958" s="2">
        <v>39172</v>
      </c>
      <c r="D4958">
        <v>18</v>
      </c>
      <c r="E4958" t="s">
        <v>42</v>
      </c>
      <c r="F4958" t="s">
        <v>50</v>
      </c>
      <c r="G4958" s="2">
        <v>45397</v>
      </c>
      <c r="H4958" s="3">
        <f t="shared" si="77"/>
        <v>1.5917808219178082</v>
      </c>
      <c r="I4958">
        <v>26</v>
      </c>
      <c r="J4958" t="s">
        <v>38</v>
      </c>
      <c r="K4958" t="s">
        <v>56</v>
      </c>
      <c r="L4958" t="s">
        <v>44</v>
      </c>
      <c r="M4958">
        <v>8.4700000000000006</v>
      </c>
      <c r="T4958" t="s">
        <v>49</v>
      </c>
      <c r="U4958">
        <v>0</v>
      </c>
      <c r="V4958">
        <v>4</v>
      </c>
    </row>
    <row r="4959" spans="1:22" x14ac:dyDescent="0.3">
      <c r="A4959">
        <v>4958</v>
      </c>
      <c r="B4959">
        <v>55460</v>
      </c>
      <c r="C4959" s="2">
        <v>38915</v>
      </c>
      <c r="D4959">
        <v>19</v>
      </c>
      <c r="E4959" t="s">
        <v>42</v>
      </c>
      <c r="F4959" t="s">
        <v>37</v>
      </c>
      <c r="G4959" s="2">
        <v>45441</v>
      </c>
      <c r="H4959" s="3">
        <f t="shared" si="77"/>
        <v>1.1287671232876713</v>
      </c>
      <c r="I4959">
        <v>26</v>
      </c>
      <c r="J4959" t="s">
        <v>38</v>
      </c>
      <c r="K4959" t="s">
        <v>56</v>
      </c>
      <c r="L4959" t="s">
        <v>44</v>
      </c>
      <c r="M4959">
        <v>8.4700000000000006</v>
      </c>
      <c r="T4959" t="s">
        <v>52</v>
      </c>
      <c r="U4959">
        <v>2</v>
      </c>
      <c r="V4959">
        <v>6</v>
      </c>
    </row>
    <row r="4960" spans="1:22" x14ac:dyDescent="0.3">
      <c r="A4960">
        <v>4959</v>
      </c>
      <c r="B4960">
        <v>55462</v>
      </c>
      <c r="C4960" s="2">
        <v>38777</v>
      </c>
      <c r="D4960">
        <v>20</v>
      </c>
      <c r="E4960" t="s">
        <v>36</v>
      </c>
      <c r="F4960" t="s">
        <v>37</v>
      </c>
      <c r="G4960" s="2">
        <v>45610</v>
      </c>
      <c r="H4960" s="3">
        <f t="shared" si="77"/>
        <v>1.0630136986301371</v>
      </c>
      <c r="I4960">
        <v>26</v>
      </c>
      <c r="J4960" t="s">
        <v>38</v>
      </c>
      <c r="K4960" t="s">
        <v>56</v>
      </c>
      <c r="L4960" t="s">
        <v>44</v>
      </c>
      <c r="M4960">
        <v>8.4700000000000006</v>
      </c>
      <c r="T4960" t="s">
        <v>47</v>
      </c>
      <c r="U4960">
        <v>3</v>
      </c>
      <c r="V4960">
        <v>4</v>
      </c>
    </row>
    <row r="4961" spans="1:22" x14ac:dyDescent="0.3">
      <c r="A4961">
        <v>4960</v>
      </c>
      <c r="B4961">
        <v>55463</v>
      </c>
      <c r="C4961" s="2">
        <v>38719</v>
      </c>
      <c r="D4961">
        <v>19</v>
      </c>
      <c r="E4961" t="s">
        <v>42</v>
      </c>
      <c r="F4961" t="s">
        <v>50</v>
      </c>
      <c r="G4961" s="2">
        <v>45634</v>
      </c>
      <c r="H4961" s="3">
        <f t="shared" si="77"/>
        <v>1.3917808219178083</v>
      </c>
      <c r="I4961">
        <v>26</v>
      </c>
      <c r="J4961" t="s">
        <v>38</v>
      </c>
      <c r="K4961" t="s">
        <v>56</v>
      </c>
      <c r="L4961" t="s">
        <v>44</v>
      </c>
      <c r="M4961">
        <v>8.4700000000000006</v>
      </c>
      <c r="T4961" t="s">
        <v>52</v>
      </c>
      <c r="U4961">
        <v>2</v>
      </c>
      <c r="V4961">
        <v>6</v>
      </c>
    </row>
    <row r="4962" spans="1:22" x14ac:dyDescent="0.3">
      <c r="A4962">
        <v>4961</v>
      </c>
      <c r="B4962">
        <v>55464</v>
      </c>
      <c r="C4962" s="2">
        <v>38030</v>
      </c>
      <c r="D4962">
        <v>21</v>
      </c>
      <c r="E4962" t="s">
        <v>36</v>
      </c>
      <c r="F4962" t="s">
        <v>50</v>
      </c>
      <c r="G4962" s="2">
        <v>45514</v>
      </c>
      <c r="H4962" s="3">
        <f t="shared" si="77"/>
        <v>1.6904109589041096</v>
      </c>
      <c r="I4962">
        <v>26</v>
      </c>
      <c r="J4962" t="s">
        <v>38</v>
      </c>
      <c r="K4962" t="s">
        <v>56</v>
      </c>
      <c r="L4962" t="s">
        <v>44</v>
      </c>
      <c r="M4962">
        <v>8.4700000000000006</v>
      </c>
      <c r="T4962" t="s">
        <v>45</v>
      </c>
      <c r="U4962">
        <v>1</v>
      </c>
      <c r="V4962">
        <v>4</v>
      </c>
    </row>
    <row r="4963" spans="1:22" x14ac:dyDescent="0.3">
      <c r="A4963">
        <v>4962</v>
      </c>
      <c r="B4963">
        <v>55465</v>
      </c>
      <c r="C4963" s="2">
        <v>38485</v>
      </c>
      <c r="D4963">
        <v>20</v>
      </c>
      <c r="E4963" t="s">
        <v>42</v>
      </c>
      <c r="F4963" t="s">
        <v>50</v>
      </c>
      <c r="G4963" s="2">
        <v>45405</v>
      </c>
      <c r="H4963" s="3">
        <f t="shared" si="77"/>
        <v>1.1095890410958904</v>
      </c>
      <c r="I4963">
        <v>26</v>
      </c>
      <c r="J4963" t="s">
        <v>38</v>
      </c>
      <c r="K4963" t="s">
        <v>56</v>
      </c>
      <c r="L4963" t="s">
        <v>44</v>
      </c>
      <c r="M4963">
        <v>8.4700000000000006</v>
      </c>
      <c r="T4963" t="s">
        <v>47</v>
      </c>
      <c r="U4963">
        <v>0</v>
      </c>
      <c r="V4963">
        <v>5</v>
      </c>
    </row>
    <row r="4964" spans="1:22" x14ac:dyDescent="0.3">
      <c r="A4964">
        <v>4963</v>
      </c>
      <c r="B4964">
        <v>55466</v>
      </c>
      <c r="C4964" s="2">
        <v>36699</v>
      </c>
      <c r="D4964">
        <v>25</v>
      </c>
      <c r="E4964" t="s">
        <v>42</v>
      </c>
      <c r="F4964" t="s">
        <v>50</v>
      </c>
      <c r="G4964" s="2">
        <v>45617</v>
      </c>
      <c r="H4964" s="3">
        <f t="shared" si="77"/>
        <v>1.4273972602739726</v>
      </c>
      <c r="I4964">
        <v>27</v>
      </c>
      <c r="J4964" t="s">
        <v>38</v>
      </c>
      <c r="K4964" t="s">
        <v>68</v>
      </c>
      <c r="L4964" t="s">
        <v>44</v>
      </c>
      <c r="M4964">
        <v>17</v>
      </c>
      <c r="T4964" t="s">
        <v>45</v>
      </c>
      <c r="U4964">
        <v>2</v>
      </c>
      <c r="V4964">
        <v>7</v>
      </c>
    </row>
    <row r="4965" spans="1:22" x14ac:dyDescent="0.3">
      <c r="A4965">
        <v>4964</v>
      </c>
      <c r="B4965">
        <v>55467</v>
      </c>
      <c r="C4965" s="2">
        <v>36521</v>
      </c>
      <c r="D4965">
        <v>26</v>
      </c>
      <c r="E4965" t="s">
        <v>42</v>
      </c>
      <c r="F4965" t="s">
        <v>37</v>
      </c>
      <c r="G4965" s="2">
        <v>45501</v>
      </c>
      <c r="H4965" s="3">
        <f t="shared" si="77"/>
        <v>1.5753424657534247</v>
      </c>
      <c r="I4965">
        <v>27</v>
      </c>
      <c r="J4965" t="s">
        <v>38</v>
      </c>
      <c r="K4965" t="s">
        <v>68</v>
      </c>
      <c r="L4965" t="s">
        <v>44</v>
      </c>
      <c r="M4965">
        <v>17</v>
      </c>
      <c r="T4965" t="s">
        <v>45</v>
      </c>
      <c r="U4965">
        <v>2</v>
      </c>
      <c r="V4965">
        <v>5</v>
      </c>
    </row>
    <row r="4966" spans="1:22" x14ac:dyDescent="0.3">
      <c r="A4966">
        <v>4965</v>
      </c>
      <c r="B4966">
        <v>55468</v>
      </c>
      <c r="C4966" s="2">
        <v>35130</v>
      </c>
      <c r="D4966">
        <v>29</v>
      </c>
      <c r="E4966" t="s">
        <v>42</v>
      </c>
      <c r="F4966" t="s">
        <v>50</v>
      </c>
      <c r="G4966" s="2">
        <v>45447</v>
      </c>
      <c r="H4966" s="3">
        <f t="shared" si="77"/>
        <v>1.515068493150685</v>
      </c>
      <c r="I4966">
        <v>27</v>
      </c>
      <c r="J4966" t="s">
        <v>38</v>
      </c>
      <c r="K4966" t="s">
        <v>68</v>
      </c>
      <c r="L4966" t="s">
        <v>44</v>
      </c>
      <c r="M4966">
        <v>17</v>
      </c>
      <c r="T4966" t="s">
        <v>47</v>
      </c>
      <c r="U4966">
        <v>2</v>
      </c>
      <c r="V4966">
        <v>7</v>
      </c>
    </row>
    <row r="4967" spans="1:22" x14ac:dyDescent="0.3">
      <c r="A4967">
        <v>4966</v>
      </c>
      <c r="B4967">
        <v>55469</v>
      </c>
      <c r="C4967" s="2">
        <v>38009</v>
      </c>
      <c r="D4967">
        <v>21</v>
      </c>
      <c r="E4967" t="s">
        <v>36</v>
      </c>
      <c r="F4967" t="s">
        <v>50</v>
      </c>
      <c r="G4967" s="2">
        <v>45469</v>
      </c>
      <c r="H4967" s="3">
        <f t="shared" si="77"/>
        <v>1.273972602739726</v>
      </c>
      <c r="I4967">
        <v>27</v>
      </c>
      <c r="J4967" t="s">
        <v>38</v>
      </c>
      <c r="K4967" t="s">
        <v>65</v>
      </c>
      <c r="L4967" t="s">
        <v>44</v>
      </c>
      <c r="M4967">
        <v>10.64</v>
      </c>
      <c r="T4967" t="s">
        <v>45</v>
      </c>
      <c r="U4967">
        <v>1</v>
      </c>
      <c r="V4967">
        <v>4</v>
      </c>
    </row>
    <row r="4968" spans="1:22" x14ac:dyDescent="0.3">
      <c r="A4968">
        <v>4967</v>
      </c>
      <c r="B4968">
        <v>55470</v>
      </c>
      <c r="C4968" s="2">
        <v>37295</v>
      </c>
      <c r="D4968">
        <v>23</v>
      </c>
      <c r="E4968" t="s">
        <v>36</v>
      </c>
      <c r="F4968" t="s">
        <v>50</v>
      </c>
      <c r="G4968" s="2">
        <v>45557</v>
      </c>
      <c r="H4968" s="3">
        <f t="shared" si="77"/>
        <v>1.4054794520547946</v>
      </c>
      <c r="I4968">
        <v>27</v>
      </c>
      <c r="J4968" t="s">
        <v>38</v>
      </c>
      <c r="K4968" t="s">
        <v>65</v>
      </c>
      <c r="L4968" t="s">
        <v>44</v>
      </c>
      <c r="M4968">
        <v>10.64</v>
      </c>
      <c r="T4968" t="s">
        <v>52</v>
      </c>
      <c r="U4968">
        <v>1</v>
      </c>
      <c r="V4968">
        <v>4</v>
      </c>
    </row>
    <row r="4969" spans="1:22" x14ac:dyDescent="0.3">
      <c r="A4969">
        <v>4968</v>
      </c>
      <c r="B4969">
        <v>55471</v>
      </c>
      <c r="C4969" s="2">
        <v>36356</v>
      </c>
      <c r="D4969">
        <v>26</v>
      </c>
      <c r="E4969" t="s">
        <v>36</v>
      </c>
      <c r="F4969" t="s">
        <v>37</v>
      </c>
      <c r="G4969" s="2">
        <v>45509</v>
      </c>
      <c r="H4969" s="3">
        <f t="shared" si="77"/>
        <v>1.736986301369863</v>
      </c>
      <c r="I4969">
        <v>27</v>
      </c>
      <c r="J4969" t="s">
        <v>38</v>
      </c>
      <c r="K4969" t="s">
        <v>43</v>
      </c>
      <c r="L4969" t="s">
        <v>44</v>
      </c>
      <c r="M4969">
        <v>16.37</v>
      </c>
      <c r="T4969" t="s">
        <v>49</v>
      </c>
      <c r="U4969">
        <v>0</v>
      </c>
      <c r="V4969">
        <v>4</v>
      </c>
    </row>
    <row r="4970" spans="1:22" x14ac:dyDescent="0.3">
      <c r="A4970">
        <v>4969</v>
      </c>
      <c r="B4970">
        <v>55472</v>
      </c>
      <c r="C4970" s="2">
        <v>38569</v>
      </c>
      <c r="D4970">
        <v>20</v>
      </c>
      <c r="E4970" t="s">
        <v>36</v>
      </c>
      <c r="F4970" t="s">
        <v>50</v>
      </c>
      <c r="G4970" s="2">
        <v>45388</v>
      </c>
      <c r="H4970" s="3">
        <f t="shared" si="77"/>
        <v>1.5808219178082192</v>
      </c>
      <c r="I4970">
        <v>27</v>
      </c>
      <c r="J4970" t="s">
        <v>38</v>
      </c>
      <c r="K4970" t="s">
        <v>46</v>
      </c>
      <c r="L4970" t="s">
        <v>44</v>
      </c>
      <c r="M4970">
        <v>14.23</v>
      </c>
      <c r="T4970" t="s">
        <v>47</v>
      </c>
      <c r="U4970">
        <v>0</v>
      </c>
      <c r="V4970">
        <v>5</v>
      </c>
    </row>
    <row r="4971" spans="1:22" x14ac:dyDescent="0.3">
      <c r="A4971">
        <v>4970</v>
      </c>
      <c r="B4971">
        <v>55473</v>
      </c>
      <c r="C4971" s="2">
        <v>34970</v>
      </c>
      <c r="D4971">
        <v>30</v>
      </c>
      <c r="E4971" t="s">
        <v>42</v>
      </c>
      <c r="F4971" t="s">
        <v>50</v>
      </c>
      <c r="G4971" s="2">
        <v>45445</v>
      </c>
      <c r="H4971" s="3">
        <f t="shared" si="77"/>
        <v>1.2383561643835617</v>
      </c>
      <c r="I4971">
        <v>27</v>
      </c>
      <c r="J4971" t="s">
        <v>38</v>
      </c>
      <c r="K4971" t="s">
        <v>64</v>
      </c>
      <c r="L4971" t="s">
        <v>44</v>
      </c>
      <c r="M4971">
        <v>14.07</v>
      </c>
      <c r="T4971" t="s">
        <v>52</v>
      </c>
      <c r="U4971">
        <v>0</v>
      </c>
      <c r="V4971">
        <v>6</v>
      </c>
    </row>
    <row r="4972" spans="1:22" x14ac:dyDescent="0.3">
      <c r="A4972">
        <v>4971</v>
      </c>
      <c r="B4972">
        <v>55474</v>
      </c>
      <c r="C4972" s="2">
        <v>37114</v>
      </c>
      <c r="D4972">
        <v>24</v>
      </c>
      <c r="E4972" t="s">
        <v>42</v>
      </c>
      <c r="F4972" t="s">
        <v>50</v>
      </c>
      <c r="G4972" s="2">
        <v>45570</v>
      </c>
      <c r="H4972" s="3">
        <f t="shared" si="77"/>
        <v>1.0301369863013699</v>
      </c>
      <c r="I4972">
        <v>27</v>
      </c>
      <c r="J4972" t="s">
        <v>38</v>
      </c>
      <c r="K4972" t="s">
        <v>64</v>
      </c>
      <c r="L4972" t="s">
        <v>44</v>
      </c>
      <c r="M4972">
        <v>14.07</v>
      </c>
      <c r="T4972" t="s">
        <v>52</v>
      </c>
      <c r="U4972">
        <v>0</v>
      </c>
      <c r="V4972">
        <v>5</v>
      </c>
    </row>
    <row r="4973" spans="1:22" x14ac:dyDescent="0.3">
      <c r="A4973">
        <v>4972</v>
      </c>
      <c r="B4973">
        <v>55475</v>
      </c>
      <c r="C4973" s="2">
        <v>37571</v>
      </c>
      <c r="D4973">
        <v>23</v>
      </c>
      <c r="E4973" t="s">
        <v>42</v>
      </c>
      <c r="F4973" t="s">
        <v>50</v>
      </c>
      <c r="G4973" s="2">
        <v>45646</v>
      </c>
      <c r="H4973" s="3">
        <f t="shared" si="77"/>
        <v>1.0684931506849316</v>
      </c>
      <c r="I4973">
        <v>27</v>
      </c>
      <c r="J4973" t="s">
        <v>38</v>
      </c>
      <c r="K4973" t="s">
        <v>48</v>
      </c>
      <c r="L4973" t="s">
        <v>44</v>
      </c>
      <c r="M4973">
        <v>8.4700000000000006</v>
      </c>
      <c r="T4973" t="s">
        <v>49</v>
      </c>
      <c r="U4973">
        <v>3</v>
      </c>
      <c r="V4973">
        <v>6</v>
      </c>
    </row>
    <row r="4974" spans="1:22" x14ac:dyDescent="0.3">
      <c r="A4974">
        <v>4973</v>
      </c>
      <c r="B4974">
        <v>55476</v>
      </c>
      <c r="C4974" s="2">
        <v>34928</v>
      </c>
      <c r="D4974">
        <v>30</v>
      </c>
      <c r="E4974" t="s">
        <v>36</v>
      </c>
      <c r="F4974" t="s">
        <v>37</v>
      </c>
      <c r="G4974" s="2">
        <v>45632</v>
      </c>
      <c r="H4974" s="3">
        <f t="shared" si="77"/>
        <v>1.3698630136986301</v>
      </c>
      <c r="I4974">
        <v>27</v>
      </c>
      <c r="J4974" t="s">
        <v>38</v>
      </c>
      <c r="K4974" t="s">
        <v>55</v>
      </c>
      <c r="L4974" t="s">
        <v>44</v>
      </c>
      <c r="M4974">
        <v>17.59</v>
      </c>
      <c r="T4974" t="s">
        <v>49</v>
      </c>
      <c r="U4974">
        <v>1</v>
      </c>
      <c r="V4974">
        <v>4</v>
      </c>
    </row>
    <row r="4975" spans="1:22" x14ac:dyDescent="0.3">
      <c r="A4975">
        <v>4974</v>
      </c>
      <c r="B4975">
        <v>55477</v>
      </c>
      <c r="C4975" s="2">
        <v>35641</v>
      </c>
      <c r="D4975">
        <v>28</v>
      </c>
      <c r="E4975" t="s">
        <v>36</v>
      </c>
      <c r="F4975" t="s">
        <v>50</v>
      </c>
      <c r="G4975" s="2">
        <v>45522</v>
      </c>
      <c r="H4975" s="3">
        <f t="shared" si="77"/>
        <v>1.7178082191780821</v>
      </c>
      <c r="I4975">
        <v>27</v>
      </c>
      <c r="J4975" t="s">
        <v>38</v>
      </c>
      <c r="K4975" t="s">
        <v>55</v>
      </c>
      <c r="L4975" t="s">
        <v>44</v>
      </c>
      <c r="M4975">
        <v>17.59</v>
      </c>
      <c r="T4975" t="s">
        <v>49</v>
      </c>
      <c r="U4975">
        <v>4</v>
      </c>
      <c r="V4975">
        <v>4</v>
      </c>
    </row>
    <row r="4976" spans="1:22" x14ac:dyDescent="0.3">
      <c r="A4976">
        <v>4975</v>
      </c>
      <c r="B4976">
        <v>55478</v>
      </c>
      <c r="C4976" s="2">
        <v>35280</v>
      </c>
      <c r="D4976">
        <v>29</v>
      </c>
      <c r="E4976" t="s">
        <v>36</v>
      </c>
      <c r="F4976" t="s">
        <v>50</v>
      </c>
      <c r="G4976" s="2">
        <v>45395</v>
      </c>
      <c r="H4976" s="3">
        <f t="shared" si="77"/>
        <v>1.4109589041095891</v>
      </c>
      <c r="I4976">
        <v>27</v>
      </c>
      <c r="J4976" t="s">
        <v>38</v>
      </c>
      <c r="K4976" t="s">
        <v>55</v>
      </c>
      <c r="L4976" t="s">
        <v>44</v>
      </c>
      <c r="M4976">
        <v>17.59</v>
      </c>
      <c r="T4976" t="s">
        <v>47</v>
      </c>
      <c r="U4976">
        <v>2</v>
      </c>
      <c r="V4976">
        <v>5</v>
      </c>
    </row>
    <row r="4977" spans="1:22" x14ac:dyDescent="0.3">
      <c r="A4977">
        <v>4976</v>
      </c>
      <c r="B4977">
        <v>55479</v>
      </c>
      <c r="C4977" s="2">
        <v>37020</v>
      </c>
      <c r="D4977">
        <v>24</v>
      </c>
      <c r="E4977" t="s">
        <v>42</v>
      </c>
      <c r="F4977" t="s">
        <v>50</v>
      </c>
      <c r="G4977" s="2">
        <v>45507</v>
      </c>
      <c r="H4977" s="3">
        <f t="shared" si="77"/>
        <v>1.8164383561643835</v>
      </c>
      <c r="I4977">
        <v>27</v>
      </c>
      <c r="J4977" t="s">
        <v>38</v>
      </c>
      <c r="K4977" t="s">
        <v>56</v>
      </c>
      <c r="L4977" t="s">
        <v>44</v>
      </c>
      <c r="M4977">
        <v>8.4700000000000006</v>
      </c>
      <c r="T4977" t="s">
        <v>45</v>
      </c>
      <c r="U4977">
        <v>1</v>
      </c>
      <c r="V4977">
        <v>7</v>
      </c>
    </row>
    <row r="4978" spans="1:22" x14ac:dyDescent="0.3">
      <c r="A4978">
        <v>4977</v>
      </c>
      <c r="B4978">
        <v>55480</v>
      </c>
      <c r="C4978" s="2">
        <v>39397</v>
      </c>
      <c r="D4978">
        <v>18</v>
      </c>
      <c r="E4978" t="s">
        <v>36</v>
      </c>
      <c r="F4978" t="s">
        <v>50</v>
      </c>
      <c r="G4978" s="2">
        <v>45359</v>
      </c>
      <c r="H4978" s="3">
        <f t="shared" si="77"/>
        <v>1.3150684931506849</v>
      </c>
      <c r="I4978">
        <v>27</v>
      </c>
      <c r="J4978" t="s">
        <v>38</v>
      </c>
      <c r="K4978" t="s">
        <v>56</v>
      </c>
      <c r="L4978" t="s">
        <v>44</v>
      </c>
      <c r="M4978">
        <v>8.4700000000000006</v>
      </c>
      <c r="T4978" t="s">
        <v>52</v>
      </c>
      <c r="U4978">
        <v>0</v>
      </c>
      <c r="V4978">
        <v>5</v>
      </c>
    </row>
    <row r="4979" spans="1:22" x14ac:dyDescent="0.3">
      <c r="A4979">
        <v>4978</v>
      </c>
      <c r="B4979">
        <v>55481</v>
      </c>
      <c r="C4979" s="2">
        <v>36328</v>
      </c>
      <c r="D4979">
        <v>26</v>
      </c>
      <c r="E4979" t="s">
        <v>42</v>
      </c>
      <c r="F4979" t="s">
        <v>50</v>
      </c>
      <c r="G4979" s="2">
        <v>45542</v>
      </c>
      <c r="H4979" s="3">
        <f t="shared" si="77"/>
        <v>1.6849315068493151</v>
      </c>
      <c r="I4979">
        <v>27</v>
      </c>
      <c r="J4979" t="s">
        <v>38</v>
      </c>
      <c r="K4979" t="s">
        <v>56</v>
      </c>
      <c r="L4979" t="s">
        <v>44</v>
      </c>
      <c r="M4979">
        <v>8.4700000000000006</v>
      </c>
      <c r="T4979" t="s">
        <v>47</v>
      </c>
      <c r="U4979">
        <v>2</v>
      </c>
      <c r="V4979">
        <v>7</v>
      </c>
    </row>
    <row r="4980" spans="1:22" x14ac:dyDescent="0.3">
      <c r="A4980">
        <v>4979</v>
      </c>
      <c r="B4980">
        <v>55482</v>
      </c>
      <c r="C4980" s="2">
        <v>37602</v>
      </c>
      <c r="D4980">
        <v>23</v>
      </c>
      <c r="E4980" t="s">
        <v>42</v>
      </c>
      <c r="F4980" t="s">
        <v>50</v>
      </c>
      <c r="G4980" s="2">
        <v>45407</v>
      </c>
      <c r="H4980" s="3">
        <f t="shared" si="77"/>
        <v>1.3397260273972602</v>
      </c>
      <c r="I4980">
        <v>27</v>
      </c>
      <c r="J4980" t="s">
        <v>38</v>
      </c>
      <c r="K4980" t="s">
        <v>56</v>
      </c>
      <c r="L4980" t="s">
        <v>44</v>
      </c>
      <c r="M4980">
        <v>8.4700000000000006</v>
      </c>
      <c r="T4980" t="s">
        <v>52</v>
      </c>
      <c r="U4980">
        <v>0</v>
      </c>
      <c r="V4980">
        <v>7</v>
      </c>
    </row>
    <row r="4981" spans="1:22" x14ac:dyDescent="0.3">
      <c r="A4981">
        <v>4980</v>
      </c>
      <c r="B4981">
        <v>55483</v>
      </c>
      <c r="C4981" s="2">
        <v>37418</v>
      </c>
      <c r="D4981">
        <v>23</v>
      </c>
      <c r="E4981" t="s">
        <v>42</v>
      </c>
      <c r="F4981" t="s">
        <v>37</v>
      </c>
      <c r="G4981" s="2">
        <v>45533</v>
      </c>
      <c r="H4981" s="3">
        <f t="shared" si="77"/>
        <v>1.263013698630137</v>
      </c>
      <c r="I4981">
        <v>27</v>
      </c>
      <c r="J4981" t="s">
        <v>38</v>
      </c>
      <c r="K4981" t="s">
        <v>56</v>
      </c>
      <c r="L4981" t="s">
        <v>44</v>
      </c>
      <c r="M4981">
        <v>8.4700000000000006</v>
      </c>
      <c r="T4981" t="s">
        <v>52</v>
      </c>
      <c r="U4981">
        <v>1</v>
      </c>
      <c r="V4981">
        <v>7</v>
      </c>
    </row>
    <row r="4982" spans="1:22" x14ac:dyDescent="0.3">
      <c r="A4982">
        <v>4981</v>
      </c>
      <c r="B4982">
        <v>55484</v>
      </c>
      <c r="C4982" s="2">
        <v>38728</v>
      </c>
      <c r="D4982">
        <v>19</v>
      </c>
      <c r="E4982" t="s">
        <v>42</v>
      </c>
      <c r="F4982" t="s">
        <v>50</v>
      </c>
      <c r="G4982" s="2">
        <v>45561</v>
      </c>
      <c r="H4982" s="3">
        <f t="shared" si="77"/>
        <v>1.4767123287671233</v>
      </c>
      <c r="I4982">
        <v>27</v>
      </c>
      <c r="J4982" t="s">
        <v>38</v>
      </c>
      <c r="K4982" t="s">
        <v>56</v>
      </c>
      <c r="L4982" t="s">
        <v>44</v>
      </c>
      <c r="M4982">
        <v>8.4700000000000006</v>
      </c>
      <c r="T4982" t="s">
        <v>52</v>
      </c>
      <c r="U4982">
        <v>1</v>
      </c>
      <c r="V4982">
        <v>4</v>
      </c>
    </row>
    <row r="4983" spans="1:22" x14ac:dyDescent="0.3">
      <c r="A4983">
        <v>4982</v>
      </c>
      <c r="B4983">
        <v>55485</v>
      </c>
      <c r="C4983" s="2">
        <v>37813</v>
      </c>
      <c r="D4983">
        <v>22</v>
      </c>
      <c r="E4983" t="s">
        <v>42</v>
      </c>
      <c r="F4983" t="s">
        <v>50</v>
      </c>
      <c r="G4983" s="2">
        <v>45483</v>
      </c>
      <c r="H4983" s="3">
        <f t="shared" si="77"/>
        <v>1.4493150684931506</v>
      </c>
      <c r="I4983">
        <v>27</v>
      </c>
      <c r="J4983" t="s">
        <v>38</v>
      </c>
      <c r="K4983" t="s">
        <v>56</v>
      </c>
      <c r="L4983" t="s">
        <v>44</v>
      </c>
      <c r="M4983">
        <v>8.4700000000000006</v>
      </c>
      <c r="T4983" t="s">
        <v>52</v>
      </c>
      <c r="U4983">
        <v>3</v>
      </c>
      <c r="V4983">
        <v>5</v>
      </c>
    </row>
    <row r="4984" spans="1:22" x14ac:dyDescent="0.3">
      <c r="A4984">
        <v>4983</v>
      </c>
      <c r="B4984">
        <v>55486</v>
      </c>
      <c r="C4984" s="2">
        <v>38024</v>
      </c>
      <c r="D4984">
        <v>21</v>
      </c>
      <c r="E4984" t="s">
        <v>42</v>
      </c>
      <c r="F4984" t="s">
        <v>50</v>
      </c>
      <c r="G4984" s="2">
        <v>45493</v>
      </c>
      <c r="H4984" s="3">
        <f t="shared" si="77"/>
        <v>1.0273972602739727</v>
      </c>
      <c r="I4984">
        <v>27</v>
      </c>
      <c r="J4984" t="s">
        <v>38</v>
      </c>
      <c r="K4984" t="s">
        <v>56</v>
      </c>
      <c r="L4984" t="s">
        <v>44</v>
      </c>
      <c r="M4984">
        <v>8.4700000000000006</v>
      </c>
      <c r="T4984" t="s">
        <v>45</v>
      </c>
      <c r="U4984">
        <v>1</v>
      </c>
      <c r="V4984">
        <v>7</v>
      </c>
    </row>
    <row r="4985" spans="1:22" x14ac:dyDescent="0.3">
      <c r="A4985">
        <v>4984</v>
      </c>
      <c r="B4985">
        <v>55487</v>
      </c>
      <c r="C4985" s="2">
        <v>38883</v>
      </c>
      <c r="D4985">
        <v>19</v>
      </c>
      <c r="E4985" t="s">
        <v>42</v>
      </c>
      <c r="F4985" t="s">
        <v>50</v>
      </c>
      <c r="G4985" s="2">
        <v>45647</v>
      </c>
      <c r="H4985" s="3">
        <f t="shared" si="77"/>
        <v>1.2410958904109588</v>
      </c>
      <c r="I4985">
        <v>27</v>
      </c>
      <c r="J4985" t="s">
        <v>38</v>
      </c>
      <c r="K4985" t="s">
        <v>56</v>
      </c>
      <c r="L4985" t="s">
        <v>44</v>
      </c>
      <c r="M4985">
        <v>8.4700000000000006</v>
      </c>
      <c r="T4985" t="s">
        <v>47</v>
      </c>
      <c r="U4985">
        <v>2</v>
      </c>
      <c r="V4985">
        <v>6</v>
      </c>
    </row>
    <row r="4986" spans="1:22" x14ac:dyDescent="0.3">
      <c r="A4986">
        <v>4985</v>
      </c>
      <c r="B4986">
        <v>55488</v>
      </c>
      <c r="C4986" s="2">
        <v>38505</v>
      </c>
      <c r="D4986">
        <v>20</v>
      </c>
      <c r="E4986" t="s">
        <v>36</v>
      </c>
      <c r="F4986" t="s">
        <v>50</v>
      </c>
      <c r="G4986" s="2">
        <v>45569</v>
      </c>
      <c r="H4986" s="3">
        <f t="shared" si="77"/>
        <v>1.2328767123287672</v>
      </c>
      <c r="I4986">
        <v>27</v>
      </c>
      <c r="J4986" t="s">
        <v>38</v>
      </c>
      <c r="K4986" t="s">
        <v>56</v>
      </c>
      <c r="L4986" t="s">
        <v>44</v>
      </c>
      <c r="M4986">
        <v>8.4700000000000006</v>
      </c>
      <c r="T4986" t="s">
        <v>49</v>
      </c>
      <c r="U4986">
        <v>3</v>
      </c>
      <c r="V4986">
        <v>4</v>
      </c>
    </row>
    <row r="4987" spans="1:22" x14ac:dyDescent="0.3">
      <c r="A4987">
        <v>4986</v>
      </c>
      <c r="B4987">
        <v>55489</v>
      </c>
      <c r="C4987" s="2">
        <v>38809</v>
      </c>
      <c r="D4987">
        <v>19</v>
      </c>
      <c r="E4987" t="s">
        <v>42</v>
      </c>
      <c r="F4987" t="s">
        <v>50</v>
      </c>
      <c r="G4987" s="2">
        <v>45572</v>
      </c>
      <c r="H4987" s="3">
        <f t="shared" si="77"/>
        <v>1.7013698630136986</v>
      </c>
      <c r="I4987">
        <v>27</v>
      </c>
      <c r="J4987" t="s">
        <v>38</v>
      </c>
      <c r="K4987" t="s">
        <v>56</v>
      </c>
      <c r="L4987" t="s">
        <v>44</v>
      </c>
      <c r="M4987">
        <v>8.4700000000000006</v>
      </c>
      <c r="T4987" t="s">
        <v>49</v>
      </c>
      <c r="U4987">
        <v>3</v>
      </c>
      <c r="V4987">
        <v>6</v>
      </c>
    </row>
    <row r="4988" spans="1:22" x14ac:dyDescent="0.3">
      <c r="A4988">
        <v>4987</v>
      </c>
      <c r="B4988">
        <v>55490</v>
      </c>
      <c r="C4988" s="2">
        <v>39053</v>
      </c>
      <c r="D4988">
        <v>19</v>
      </c>
      <c r="E4988" t="s">
        <v>42</v>
      </c>
      <c r="F4988" t="s">
        <v>37</v>
      </c>
      <c r="G4988" s="2">
        <v>45401</v>
      </c>
      <c r="H4988" s="3">
        <f t="shared" si="77"/>
        <v>1</v>
      </c>
      <c r="I4988">
        <v>27</v>
      </c>
      <c r="J4988" t="s">
        <v>38</v>
      </c>
      <c r="K4988" t="s">
        <v>56</v>
      </c>
      <c r="L4988" t="s">
        <v>44</v>
      </c>
      <c r="M4988">
        <v>8.4700000000000006</v>
      </c>
      <c r="T4988" t="s">
        <v>45</v>
      </c>
      <c r="U4988">
        <v>3</v>
      </c>
      <c r="V4988">
        <v>6</v>
      </c>
    </row>
    <row r="4989" spans="1:22" x14ac:dyDescent="0.3">
      <c r="A4989">
        <v>4988</v>
      </c>
      <c r="B4989">
        <v>55491</v>
      </c>
      <c r="C4989" s="2">
        <v>35678</v>
      </c>
      <c r="D4989">
        <v>28</v>
      </c>
      <c r="E4989" t="s">
        <v>42</v>
      </c>
      <c r="F4989" t="s">
        <v>37</v>
      </c>
      <c r="G4989" s="2">
        <v>45657</v>
      </c>
      <c r="H4989" s="3">
        <f t="shared" si="77"/>
        <v>1.1917808219178083</v>
      </c>
      <c r="I4989">
        <v>27</v>
      </c>
      <c r="J4989" t="s">
        <v>38</v>
      </c>
      <c r="K4989" t="s">
        <v>56</v>
      </c>
      <c r="L4989" t="s">
        <v>44</v>
      </c>
      <c r="M4989">
        <v>8.4700000000000006</v>
      </c>
      <c r="T4989" t="s">
        <v>49</v>
      </c>
      <c r="U4989">
        <v>2</v>
      </c>
      <c r="V4989">
        <v>4</v>
      </c>
    </row>
    <row r="4990" spans="1:22" x14ac:dyDescent="0.3">
      <c r="A4990">
        <v>4989</v>
      </c>
      <c r="B4990">
        <v>55492</v>
      </c>
      <c r="C4990" s="2">
        <v>38720</v>
      </c>
      <c r="D4990">
        <v>19</v>
      </c>
      <c r="E4990" t="s">
        <v>42</v>
      </c>
      <c r="F4990" t="s">
        <v>50</v>
      </c>
      <c r="G4990" s="2">
        <v>45587</v>
      </c>
      <c r="H4990" s="3">
        <f t="shared" si="77"/>
        <v>1.7232876712328766</v>
      </c>
      <c r="I4990">
        <v>27</v>
      </c>
      <c r="J4990" t="s">
        <v>38</v>
      </c>
      <c r="K4990" t="s">
        <v>56</v>
      </c>
      <c r="L4990" t="s">
        <v>44</v>
      </c>
      <c r="M4990">
        <v>8.4700000000000006</v>
      </c>
      <c r="T4990" t="s">
        <v>47</v>
      </c>
      <c r="U4990">
        <v>4</v>
      </c>
      <c r="V4990">
        <v>5</v>
      </c>
    </row>
    <row r="4991" spans="1:22" x14ac:dyDescent="0.3">
      <c r="A4991">
        <v>4990</v>
      </c>
      <c r="B4991">
        <v>55493</v>
      </c>
      <c r="C4991" s="2">
        <v>37340</v>
      </c>
      <c r="D4991">
        <v>23</v>
      </c>
      <c r="E4991" t="s">
        <v>42</v>
      </c>
      <c r="F4991" t="s">
        <v>50</v>
      </c>
      <c r="G4991" s="2">
        <v>45393</v>
      </c>
      <c r="H4991" s="3">
        <f t="shared" si="77"/>
        <v>1.8356164383561644</v>
      </c>
      <c r="I4991">
        <v>27</v>
      </c>
      <c r="J4991" t="s">
        <v>38</v>
      </c>
      <c r="K4991" t="s">
        <v>56</v>
      </c>
      <c r="L4991" t="s">
        <v>44</v>
      </c>
      <c r="M4991">
        <v>8.4700000000000006</v>
      </c>
      <c r="T4991" t="s">
        <v>45</v>
      </c>
      <c r="U4991">
        <v>0</v>
      </c>
      <c r="V4991">
        <v>6</v>
      </c>
    </row>
    <row r="4992" spans="1:22" x14ac:dyDescent="0.3">
      <c r="A4992">
        <v>4991</v>
      </c>
      <c r="B4992">
        <v>55494</v>
      </c>
      <c r="C4992" s="2">
        <v>36497</v>
      </c>
      <c r="D4992">
        <v>26</v>
      </c>
      <c r="E4992" t="s">
        <v>42</v>
      </c>
      <c r="F4992" t="s">
        <v>50</v>
      </c>
      <c r="G4992" s="2">
        <v>45352</v>
      </c>
      <c r="H4992" s="3">
        <f t="shared" si="77"/>
        <v>1.5972602739726027</v>
      </c>
      <c r="I4992">
        <v>27</v>
      </c>
      <c r="J4992" t="s">
        <v>38</v>
      </c>
      <c r="K4992" t="s">
        <v>56</v>
      </c>
      <c r="L4992" t="s">
        <v>44</v>
      </c>
      <c r="M4992">
        <v>8.4700000000000006</v>
      </c>
      <c r="T4992" t="s">
        <v>52</v>
      </c>
      <c r="U4992">
        <v>2</v>
      </c>
      <c r="V4992">
        <v>6</v>
      </c>
    </row>
    <row r="4993" spans="1:22" x14ac:dyDescent="0.3">
      <c r="A4993">
        <v>4992</v>
      </c>
      <c r="B4993">
        <v>55496</v>
      </c>
      <c r="C4993" s="2">
        <v>38206</v>
      </c>
      <c r="D4993">
        <v>21</v>
      </c>
      <c r="E4993" t="s">
        <v>42</v>
      </c>
      <c r="F4993" t="s">
        <v>50</v>
      </c>
      <c r="G4993" s="2">
        <v>45439</v>
      </c>
      <c r="H4993" s="3">
        <f t="shared" si="77"/>
        <v>1.441095890410959</v>
      </c>
      <c r="I4993">
        <v>27</v>
      </c>
      <c r="J4993" t="s">
        <v>38</v>
      </c>
      <c r="K4993" t="s">
        <v>56</v>
      </c>
      <c r="L4993" t="s">
        <v>44</v>
      </c>
      <c r="M4993">
        <v>8.4700000000000006</v>
      </c>
      <c r="T4993" t="s">
        <v>47</v>
      </c>
      <c r="U4993">
        <v>2</v>
      </c>
      <c r="V4993">
        <v>6</v>
      </c>
    </row>
    <row r="4994" spans="1:22" x14ac:dyDescent="0.3">
      <c r="A4994">
        <v>4993</v>
      </c>
      <c r="B4994">
        <v>55497</v>
      </c>
      <c r="C4994" s="2">
        <v>35753</v>
      </c>
      <c r="D4994">
        <v>28</v>
      </c>
      <c r="E4994" t="s">
        <v>42</v>
      </c>
      <c r="F4994" t="s">
        <v>50</v>
      </c>
      <c r="G4994" s="2">
        <v>45496</v>
      </c>
      <c r="H4994" s="3">
        <f t="shared" si="77"/>
        <v>1.1315068493150684</v>
      </c>
      <c r="I4994">
        <v>28</v>
      </c>
      <c r="J4994" t="s">
        <v>38</v>
      </c>
      <c r="K4994" t="s">
        <v>68</v>
      </c>
      <c r="L4994" t="s">
        <v>44</v>
      </c>
      <c r="M4994">
        <v>17</v>
      </c>
      <c r="T4994" t="s">
        <v>45</v>
      </c>
      <c r="U4994">
        <v>3</v>
      </c>
      <c r="V4994">
        <v>6</v>
      </c>
    </row>
    <row r="4995" spans="1:22" x14ac:dyDescent="0.3">
      <c r="A4995">
        <v>4994</v>
      </c>
      <c r="B4995">
        <v>55498</v>
      </c>
      <c r="C4995" s="2">
        <v>36411</v>
      </c>
      <c r="D4995">
        <v>26</v>
      </c>
      <c r="E4995" t="s">
        <v>42</v>
      </c>
      <c r="F4995" t="s">
        <v>50</v>
      </c>
      <c r="G4995" s="2">
        <v>45609</v>
      </c>
      <c r="H4995" s="3">
        <f t="shared" ref="H4995:H5058" si="78">DATEDIF(G4996,DATE(2025,12,31),"d")/365</f>
        <v>1.832876712328767</v>
      </c>
      <c r="I4995">
        <v>28</v>
      </c>
      <c r="J4995" t="s">
        <v>38</v>
      </c>
      <c r="K4995" t="s">
        <v>68</v>
      </c>
      <c r="L4995" t="s">
        <v>44</v>
      </c>
      <c r="M4995">
        <v>17</v>
      </c>
      <c r="T4995" t="s">
        <v>52</v>
      </c>
      <c r="U4995">
        <v>1</v>
      </c>
      <c r="V4995">
        <v>5</v>
      </c>
    </row>
    <row r="4996" spans="1:22" x14ac:dyDescent="0.3">
      <c r="A4996">
        <v>4995</v>
      </c>
      <c r="B4996">
        <v>55500</v>
      </c>
      <c r="C4996" s="2">
        <v>35801</v>
      </c>
      <c r="D4996">
        <v>27</v>
      </c>
      <c r="E4996" t="s">
        <v>36</v>
      </c>
      <c r="F4996" t="s">
        <v>50</v>
      </c>
      <c r="G4996" s="2">
        <v>45353</v>
      </c>
      <c r="H4996" s="3">
        <f t="shared" si="78"/>
        <v>1.3863013698630138</v>
      </c>
      <c r="I4996">
        <v>28</v>
      </c>
      <c r="J4996" t="s">
        <v>38</v>
      </c>
      <c r="K4996" t="s">
        <v>65</v>
      </c>
      <c r="L4996" t="s">
        <v>44</v>
      </c>
      <c r="M4996">
        <v>10.64</v>
      </c>
      <c r="T4996" t="s">
        <v>52</v>
      </c>
      <c r="U4996">
        <v>0</v>
      </c>
      <c r="V4996">
        <v>3</v>
      </c>
    </row>
    <row r="4997" spans="1:22" x14ac:dyDescent="0.3">
      <c r="A4997">
        <v>4996</v>
      </c>
      <c r="B4997">
        <v>55501</v>
      </c>
      <c r="C4997" s="2">
        <v>38297</v>
      </c>
      <c r="D4997">
        <v>21</v>
      </c>
      <c r="E4997" t="s">
        <v>36</v>
      </c>
      <c r="F4997" t="s">
        <v>50</v>
      </c>
      <c r="G4997" s="2">
        <v>45516</v>
      </c>
      <c r="H4997" s="3">
        <f t="shared" si="78"/>
        <v>1.263013698630137</v>
      </c>
      <c r="I4997">
        <v>28</v>
      </c>
      <c r="J4997" t="s">
        <v>38</v>
      </c>
      <c r="K4997" t="s">
        <v>46</v>
      </c>
      <c r="L4997" t="s">
        <v>44</v>
      </c>
      <c r="M4997">
        <v>14.23</v>
      </c>
      <c r="T4997" t="s">
        <v>47</v>
      </c>
      <c r="U4997">
        <v>0</v>
      </c>
      <c r="V4997">
        <v>6</v>
      </c>
    </row>
    <row r="4998" spans="1:22" x14ac:dyDescent="0.3">
      <c r="A4998">
        <v>4997</v>
      </c>
      <c r="B4998">
        <v>55502</v>
      </c>
      <c r="C4998" s="2">
        <v>38266</v>
      </c>
      <c r="D4998">
        <v>21</v>
      </c>
      <c r="E4998" t="s">
        <v>36</v>
      </c>
      <c r="F4998" t="s">
        <v>50</v>
      </c>
      <c r="G4998" s="2">
        <v>45561</v>
      </c>
      <c r="H4998" s="3">
        <f t="shared" si="78"/>
        <v>1.2931506849315069</v>
      </c>
      <c r="I4998">
        <v>28</v>
      </c>
      <c r="J4998" t="s">
        <v>38</v>
      </c>
      <c r="K4998" t="s">
        <v>46</v>
      </c>
      <c r="L4998" t="s">
        <v>44</v>
      </c>
      <c r="M4998">
        <v>14.23</v>
      </c>
      <c r="T4998" t="s">
        <v>49</v>
      </c>
      <c r="U4998">
        <v>0</v>
      </c>
      <c r="V4998">
        <v>5</v>
      </c>
    </row>
    <row r="4999" spans="1:22" x14ac:dyDescent="0.3">
      <c r="A4999">
        <v>4998</v>
      </c>
      <c r="B4999">
        <v>55503</v>
      </c>
      <c r="C4999" s="2">
        <v>38454</v>
      </c>
      <c r="D4999">
        <v>20</v>
      </c>
      <c r="E4999" t="s">
        <v>42</v>
      </c>
      <c r="F4999" t="s">
        <v>50</v>
      </c>
      <c r="G4999" s="2">
        <v>45550</v>
      </c>
      <c r="H4999" s="3">
        <f t="shared" si="78"/>
        <v>1.1123287671232878</v>
      </c>
      <c r="I4999">
        <v>28</v>
      </c>
      <c r="J4999" t="s">
        <v>38</v>
      </c>
      <c r="K4999" t="s">
        <v>64</v>
      </c>
      <c r="L4999" t="s">
        <v>44</v>
      </c>
      <c r="M4999">
        <v>14.07</v>
      </c>
      <c r="T4999" t="s">
        <v>45</v>
      </c>
      <c r="U4999">
        <v>0</v>
      </c>
      <c r="V4999">
        <v>6</v>
      </c>
    </row>
    <row r="5000" spans="1:22" x14ac:dyDescent="0.3">
      <c r="A5000">
        <v>4999</v>
      </c>
      <c r="B5000">
        <v>55504</v>
      </c>
      <c r="C5000" s="2">
        <v>38137</v>
      </c>
      <c r="D5000">
        <v>21</v>
      </c>
      <c r="E5000" t="s">
        <v>42</v>
      </c>
      <c r="F5000" t="s">
        <v>50</v>
      </c>
      <c r="G5000" s="2">
        <v>45616</v>
      </c>
      <c r="H5000" s="3">
        <f t="shared" si="78"/>
        <v>1.7698630136986302</v>
      </c>
      <c r="I5000">
        <v>28</v>
      </c>
      <c r="J5000" t="s">
        <v>38</v>
      </c>
      <c r="K5000" t="s">
        <v>48</v>
      </c>
      <c r="L5000" t="s">
        <v>44</v>
      </c>
      <c r="M5000">
        <v>8.4700000000000006</v>
      </c>
      <c r="T5000" t="s">
        <v>49</v>
      </c>
      <c r="U5000">
        <v>2</v>
      </c>
      <c r="V5000">
        <v>6</v>
      </c>
    </row>
    <row r="5001" spans="1:22" x14ac:dyDescent="0.3">
      <c r="A5001">
        <v>5000</v>
      </c>
      <c r="B5001">
        <v>55505</v>
      </c>
      <c r="C5001" s="2">
        <v>35304</v>
      </c>
      <c r="D5001">
        <v>29</v>
      </c>
      <c r="E5001" t="s">
        <v>36</v>
      </c>
      <c r="F5001" t="s">
        <v>37</v>
      </c>
      <c r="G5001" s="2">
        <v>45376</v>
      </c>
      <c r="H5001" s="3">
        <f t="shared" si="78"/>
        <v>1.8602739726027397</v>
      </c>
      <c r="I5001">
        <v>28</v>
      </c>
      <c r="J5001" t="s">
        <v>38</v>
      </c>
      <c r="K5001" t="s">
        <v>55</v>
      </c>
      <c r="L5001" t="s">
        <v>44</v>
      </c>
      <c r="M5001">
        <v>17.59</v>
      </c>
      <c r="T5001" t="s">
        <v>47</v>
      </c>
      <c r="U5001">
        <v>1</v>
      </c>
      <c r="V5001">
        <v>2</v>
      </c>
    </row>
    <row r="5002" spans="1:22" x14ac:dyDescent="0.3">
      <c r="A5002">
        <v>5001</v>
      </c>
      <c r="B5002">
        <v>55506</v>
      </c>
      <c r="C5002" s="2">
        <v>34502</v>
      </c>
      <c r="D5002">
        <v>31</v>
      </c>
      <c r="E5002" t="s">
        <v>36</v>
      </c>
      <c r="F5002" t="s">
        <v>50</v>
      </c>
      <c r="G5002" s="2">
        <v>45343</v>
      </c>
      <c r="H5002" s="3">
        <f t="shared" si="78"/>
        <v>1.1561643835616437</v>
      </c>
      <c r="I5002">
        <v>28</v>
      </c>
      <c r="J5002" t="s">
        <v>38</v>
      </c>
      <c r="K5002" t="s">
        <v>56</v>
      </c>
      <c r="L5002" t="s">
        <v>44</v>
      </c>
      <c r="M5002">
        <v>8.4700000000000006</v>
      </c>
      <c r="T5002" t="s">
        <v>52</v>
      </c>
      <c r="U5002">
        <v>2</v>
      </c>
      <c r="V5002">
        <v>5</v>
      </c>
    </row>
    <row r="5003" spans="1:22" x14ac:dyDescent="0.3">
      <c r="A5003">
        <v>5002</v>
      </c>
      <c r="B5003">
        <v>55507</v>
      </c>
      <c r="C5003" s="2">
        <v>35731</v>
      </c>
      <c r="D5003">
        <v>28</v>
      </c>
      <c r="E5003" t="s">
        <v>42</v>
      </c>
      <c r="F5003" t="s">
        <v>37</v>
      </c>
      <c r="G5003" s="2">
        <v>45600</v>
      </c>
      <c r="H5003" s="3">
        <f t="shared" si="78"/>
        <v>1.6191780821917807</v>
      </c>
      <c r="I5003">
        <v>28</v>
      </c>
      <c r="J5003" t="s">
        <v>38</v>
      </c>
      <c r="K5003" t="s">
        <v>56</v>
      </c>
      <c r="L5003" t="s">
        <v>44</v>
      </c>
      <c r="M5003">
        <v>8.4700000000000006</v>
      </c>
      <c r="T5003" t="s">
        <v>45</v>
      </c>
      <c r="U5003">
        <v>1</v>
      </c>
      <c r="V5003">
        <v>5</v>
      </c>
    </row>
    <row r="5004" spans="1:22" x14ac:dyDescent="0.3">
      <c r="A5004">
        <v>5003</v>
      </c>
      <c r="B5004">
        <v>55509</v>
      </c>
      <c r="C5004" s="2">
        <v>38590</v>
      </c>
      <c r="D5004">
        <v>20</v>
      </c>
      <c r="E5004" t="s">
        <v>36</v>
      </c>
      <c r="F5004" t="s">
        <v>37</v>
      </c>
      <c r="G5004" s="2">
        <v>45431</v>
      </c>
      <c r="H5004" s="3">
        <f t="shared" si="78"/>
        <v>1.263013698630137</v>
      </c>
      <c r="I5004">
        <v>28</v>
      </c>
      <c r="J5004" t="s">
        <v>38</v>
      </c>
      <c r="K5004" t="s">
        <v>56</v>
      </c>
      <c r="L5004" t="s">
        <v>44</v>
      </c>
      <c r="M5004">
        <v>8.4700000000000006</v>
      </c>
      <c r="T5004" t="s">
        <v>49</v>
      </c>
      <c r="U5004">
        <v>4</v>
      </c>
      <c r="V5004">
        <v>6</v>
      </c>
    </row>
    <row r="5005" spans="1:22" x14ac:dyDescent="0.3">
      <c r="A5005">
        <v>5004</v>
      </c>
      <c r="B5005">
        <v>55510</v>
      </c>
      <c r="C5005" s="2">
        <v>38561</v>
      </c>
      <c r="D5005">
        <v>20</v>
      </c>
      <c r="E5005" t="s">
        <v>42</v>
      </c>
      <c r="F5005" t="s">
        <v>50</v>
      </c>
      <c r="G5005" s="2">
        <v>45561</v>
      </c>
      <c r="H5005" s="3">
        <f t="shared" si="78"/>
        <v>1.1753424657534246</v>
      </c>
      <c r="I5005">
        <v>28</v>
      </c>
      <c r="J5005" t="s">
        <v>38</v>
      </c>
      <c r="K5005" t="s">
        <v>56</v>
      </c>
      <c r="L5005" t="s">
        <v>44</v>
      </c>
      <c r="M5005">
        <v>8.4700000000000006</v>
      </c>
      <c r="T5005" t="s">
        <v>49</v>
      </c>
      <c r="U5005">
        <v>2</v>
      </c>
      <c r="V5005">
        <v>6</v>
      </c>
    </row>
    <row r="5006" spans="1:22" x14ac:dyDescent="0.3">
      <c r="A5006">
        <v>5005</v>
      </c>
      <c r="B5006">
        <v>55511</v>
      </c>
      <c r="C5006" s="2">
        <v>37739</v>
      </c>
      <c r="D5006">
        <v>22</v>
      </c>
      <c r="E5006" t="s">
        <v>42</v>
      </c>
      <c r="F5006" t="s">
        <v>50</v>
      </c>
      <c r="G5006" s="2">
        <v>45593</v>
      </c>
      <c r="H5006" s="3">
        <f t="shared" si="78"/>
        <v>1.0794520547945206</v>
      </c>
      <c r="I5006">
        <v>28</v>
      </c>
      <c r="J5006" t="s">
        <v>38</v>
      </c>
      <c r="K5006" t="s">
        <v>56</v>
      </c>
      <c r="L5006" t="s">
        <v>44</v>
      </c>
      <c r="M5006">
        <v>8.4700000000000006</v>
      </c>
      <c r="T5006" t="s">
        <v>47</v>
      </c>
      <c r="U5006">
        <v>2</v>
      </c>
      <c r="V5006">
        <v>6</v>
      </c>
    </row>
    <row r="5007" spans="1:22" x14ac:dyDescent="0.3">
      <c r="A5007">
        <v>5006</v>
      </c>
      <c r="B5007">
        <v>55512</v>
      </c>
      <c r="C5007" s="2">
        <v>35853</v>
      </c>
      <c r="D5007">
        <v>27</v>
      </c>
      <c r="E5007" t="s">
        <v>42</v>
      </c>
      <c r="F5007" t="s">
        <v>37</v>
      </c>
      <c r="G5007" s="2">
        <v>45628</v>
      </c>
      <c r="H5007" s="3">
        <f t="shared" si="78"/>
        <v>1.2547945205479452</v>
      </c>
      <c r="I5007">
        <v>28</v>
      </c>
      <c r="J5007" t="s">
        <v>38</v>
      </c>
      <c r="K5007" t="s">
        <v>56</v>
      </c>
      <c r="L5007" t="s">
        <v>44</v>
      </c>
      <c r="M5007">
        <v>8.4700000000000006</v>
      </c>
      <c r="T5007" t="s">
        <v>49</v>
      </c>
      <c r="U5007">
        <v>1</v>
      </c>
      <c r="V5007">
        <v>6</v>
      </c>
    </row>
    <row r="5008" spans="1:22" x14ac:dyDescent="0.3">
      <c r="A5008">
        <v>5007</v>
      </c>
      <c r="B5008">
        <v>55513</v>
      </c>
      <c r="C5008" s="2">
        <v>38809</v>
      </c>
      <c r="D5008">
        <v>19</v>
      </c>
      <c r="E5008" t="s">
        <v>36</v>
      </c>
      <c r="F5008" t="s">
        <v>50</v>
      </c>
      <c r="G5008" s="2">
        <v>45564</v>
      </c>
      <c r="H5008" s="3">
        <f t="shared" si="78"/>
        <v>1.263013698630137</v>
      </c>
      <c r="I5008">
        <v>28</v>
      </c>
      <c r="J5008" t="s">
        <v>38</v>
      </c>
      <c r="K5008" t="s">
        <v>56</v>
      </c>
      <c r="L5008" t="s">
        <v>44</v>
      </c>
      <c r="M5008">
        <v>8.4700000000000006</v>
      </c>
      <c r="T5008" t="s">
        <v>45</v>
      </c>
      <c r="U5008">
        <v>2</v>
      </c>
      <c r="V5008">
        <v>6</v>
      </c>
    </row>
    <row r="5009" spans="1:22" x14ac:dyDescent="0.3">
      <c r="A5009">
        <v>5008</v>
      </c>
      <c r="B5009">
        <v>55514</v>
      </c>
      <c r="C5009" s="2">
        <v>36080</v>
      </c>
      <c r="D5009">
        <v>27</v>
      </c>
      <c r="E5009" t="s">
        <v>42</v>
      </c>
      <c r="F5009" t="s">
        <v>50</v>
      </c>
      <c r="G5009" s="2">
        <v>45561</v>
      </c>
      <c r="H5009" s="3">
        <f t="shared" si="78"/>
        <v>1.4054794520547946</v>
      </c>
      <c r="I5009">
        <v>28</v>
      </c>
      <c r="J5009" t="s">
        <v>38</v>
      </c>
      <c r="K5009" t="s">
        <v>56</v>
      </c>
      <c r="L5009" t="s">
        <v>44</v>
      </c>
      <c r="M5009">
        <v>8.4700000000000006</v>
      </c>
      <c r="T5009" t="s">
        <v>52</v>
      </c>
      <c r="U5009">
        <v>4</v>
      </c>
      <c r="V5009">
        <v>7</v>
      </c>
    </row>
    <row r="5010" spans="1:22" x14ac:dyDescent="0.3">
      <c r="A5010">
        <v>5009</v>
      </c>
      <c r="B5010">
        <v>55515</v>
      </c>
      <c r="C5010" s="2">
        <v>34096</v>
      </c>
      <c r="D5010">
        <v>32</v>
      </c>
      <c r="E5010" t="s">
        <v>42</v>
      </c>
      <c r="F5010" t="s">
        <v>50</v>
      </c>
      <c r="G5010" s="2">
        <v>45509</v>
      </c>
      <c r="H5010" s="3">
        <f t="shared" si="78"/>
        <v>1.3095890410958904</v>
      </c>
      <c r="I5010">
        <v>28</v>
      </c>
      <c r="J5010" t="s">
        <v>38</v>
      </c>
      <c r="K5010" t="s">
        <v>56</v>
      </c>
      <c r="L5010" t="s">
        <v>44</v>
      </c>
      <c r="M5010">
        <v>8.4700000000000006</v>
      </c>
      <c r="T5010" t="s">
        <v>47</v>
      </c>
      <c r="U5010">
        <v>2</v>
      </c>
      <c r="V5010">
        <v>6</v>
      </c>
    </row>
    <row r="5011" spans="1:22" x14ac:dyDescent="0.3">
      <c r="A5011">
        <v>5010</v>
      </c>
      <c r="B5011">
        <v>55516</v>
      </c>
      <c r="C5011" s="2">
        <v>38144</v>
      </c>
      <c r="D5011">
        <v>21</v>
      </c>
      <c r="E5011" t="s">
        <v>42</v>
      </c>
      <c r="F5011" t="s">
        <v>37</v>
      </c>
      <c r="G5011" s="2">
        <v>45544</v>
      </c>
      <c r="H5011" s="3">
        <f t="shared" si="78"/>
        <v>1.2602739726027397</v>
      </c>
      <c r="I5011">
        <v>28</v>
      </c>
      <c r="J5011" t="s">
        <v>38</v>
      </c>
      <c r="K5011" t="s">
        <v>56</v>
      </c>
      <c r="L5011" t="s">
        <v>44</v>
      </c>
      <c r="M5011">
        <v>8.4700000000000006</v>
      </c>
      <c r="T5011" t="s">
        <v>45</v>
      </c>
      <c r="U5011">
        <v>2</v>
      </c>
      <c r="V5011">
        <v>6</v>
      </c>
    </row>
    <row r="5012" spans="1:22" x14ac:dyDescent="0.3">
      <c r="A5012">
        <v>5011</v>
      </c>
      <c r="B5012">
        <v>55517</v>
      </c>
      <c r="C5012" s="2">
        <v>37082</v>
      </c>
      <c r="D5012">
        <v>24</v>
      </c>
      <c r="E5012" t="s">
        <v>42</v>
      </c>
      <c r="F5012" t="s">
        <v>37</v>
      </c>
      <c r="G5012" s="2">
        <v>45562</v>
      </c>
      <c r="H5012" s="3">
        <f t="shared" si="78"/>
        <v>1.8191780821917809</v>
      </c>
      <c r="I5012">
        <v>28</v>
      </c>
      <c r="J5012" t="s">
        <v>38</v>
      </c>
      <c r="K5012" t="s">
        <v>56</v>
      </c>
      <c r="L5012" t="s">
        <v>44</v>
      </c>
      <c r="M5012">
        <v>8.4700000000000006</v>
      </c>
      <c r="T5012" t="s">
        <v>45</v>
      </c>
      <c r="U5012">
        <v>2</v>
      </c>
      <c r="V5012">
        <v>6</v>
      </c>
    </row>
    <row r="5013" spans="1:22" x14ac:dyDescent="0.3">
      <c r="A5013">
        <v>5012</v>
      </c>
      <c r="B5013">
        <v>55518</v>
      </c>
      <c r="C5013" s="2">
        <v>39065</v>
      </c>
      <c r="D5013">
        <v>19</v>
      </c>
      <c r="E5013" t="s">
        <v>42</v>
      </c>
      <c r="F5013" t="s">
        <v>37</v>
      </c>
      <c r="G5013" s="2">
        <v>45358</v>
      </c>
      <c r="H5013" s="3">
        <f t="shared" si="78"/>
        <v>1.1808219178082191</v>
      </c>
      <c r="I5013">
        <v>28</v>
      </c>
      <c r="J5013" t="s">
        <v>38</v>
      </c>
      <c r="K5013" t="s">
        <v>56</v>
      </c>
      <c r="L5013" t="s">
        <v>44</v>
      </c>
      <c r="M5013">
        <v>8.4700000000000006</v>
      </c>
      <c r="T5013" t="s">
        <v>49</v>
      </c>
      <c r="U5013">
        <v>1</v>
      </c>
      <c r="V5013">
        <v>5</v>
      </c>
    </row>
    <row r="5014" spans="1:22" x14ac:dyDescent="0.3">
      <c r="A5014">
        <v>5013</v>
      </c>
      <c r="B5014">
        <v>55519</v>
      </c>
      <c r="C5014" s="2">
        <v>37665</v>
      </c>
      <c r="D5014">
        <v>22</v>
      </c>
      <c r="E5014" t="s">
        <v>42</v>
      </c>
      <c r="F5014" t="s">
        <v>50</v>
      </c>
      <c r="G5014" s="2">
        <v>45591</v>
      </c>
      <c r="H5014" s="3">
        <f t="shared" si="78"/>
        <v>1.2876712328767124</v>
      </c>
      <c r="I5014">
        <v>28</v>
      </c>
      <c r="J5014" t="s">
        <v>38</v>
      </c>
      <c r="K5014" t="s">
        <v>56</v>
      </c>
      <c r="L5014" t="s">
        <v>44</v>
      </c>
      <c r="M5014">
        <v>8.4700000000000006</v>
      </c>
      <c r="T5014" t="s">
        <v>52</v>
      </c>
      <c r="U5014">
        <v>2</v>
      </c>
      <c r="V5014">
        <v>6</v>
      </c>
    </row>
    <row r="5015" spans="1:22" x14ac:dyDescent="0.3">
      <c r="A5015">
        <v>5014</v>
      </c>
      <c r="B5015">
        <v>55520</v>
      </c>
      <c r="C5015" s="2">
        <v>37536</v>
      </c>
      <c r="D5015">
        <v>23</v>
      </c>
      <c r="E5015" t="s">
        <v>42</v>
      </c>
      <c r="F5015" t="s">
        <v>37</v>
      </c>
      <c r="G5015" s="2">
        <v>45552</v>
      </c>
      <c r="H5015" s="3">
        <f t="shared" si="78"/>
        <v>1.4931506849315068</v>
      </c>
      <c r="I5015">
        <v>29</v>
      </c>
      <c r="J5015" t="s">
        <v>38</v>
      </c>
      <c r="K5015" t="s">
        <v>68</v>
      </c>
      <c r="L5015" t="s">
        <v>44</v>
      </c>
      <c r="M5015">
        <v>17</v>
      </c>
      <c r="T5015" t="s">
        <v>45</v>
      </c>
      <c r="U5015">
        <v>4</v>
      </c>
      <c r="V5015">
        <v>7</v>
      </c>
    </row>
    <row r="5016" spans="1:22" x14ac:dyDescent="0.3">
      <c r="A5016">
        <v>5015</v>
      </c>
      <c r="B5016">
        <v>55521</v>
      </c>
      <c r="C5016" s="2">
        <v>35540</v>
      </c>
      <c r="D5016">
        <v>28</v>
      </c>
      <c r="E5016" t="s">
        <v>42</v>
      </c>
      <c r="F5016" t="s">
        <v>37</v>
      </c>
      <c r="G5016" s="2">
        <v>45477</v>
      </c>
      <c r="H5016" s="3">
        <f t="shared" si="78"/>
        <v>1.6849315068493151</v>
      </c>
      <c r="I5016">
        <v>29</v>
      </c>
      <c r="J5016" t="s">
        <v>38</v>
      </c>
      <c r="K5016" t="s">
        <v>68</v>
      </c>
      <c r="L5016" t="s">
        <v>44</v>
      </c>
      <c r="M5016">
        <v>17</v>
      </c>
      <c r="T5016" t="s">
        <v>49</v>
      </c>
      <c r="U5016">
        <v>3</v>
      </c>
      <c r="V5016">
        <v>6</v>
      </c>
    </row>
    <row r="5017" spans="1:22" x14ac:dyDescent="0.3">
      <c r="A5017">
        <v>5016</v>
      </c>
      <c r="B5017">
        <v>55522</v>
      </c>
      <c r="C5017" s="2">
        <v>35060</v>
      </c>
      <c r="D5017">
        <v>30</v>
      </c>
      <c r="E5017" t="s">
        <v>42</v>
      </c>
      <c r="F5017" t="s">
        <v>50</v>
      </c>
      <c r="G5017" s="2">
        <v>45407</v>
      </c>
      <c r="H5017" s="3">
        <f t="shared" si="78"/>
        <v>1.3835616438356164</v>
      </c>
      <c r="I5017">
        <v>29</v>
      </c>
      <c r="J5017" t="s">
        <v>38</v>
      </c>
      <c r="K5017" t="s">
        <v>68</v>
      </c>
      <c r="L5017" t="s">
        <v>44</v>
      </c>
      <c r="M5017">
        <v>17</v>
      </c>
      <c r="T5017" t="s">
        <v>45</v>
      </c>
      <c r="U5017">
        <v>2</v>
      </c>
      <c r="V5017">
        <v>7</v>
      </c>
    </row>
    <row r="5018" spans="1:22" x14ac:dyDescent="0.3">
      <c r="A5018">
        <v>5017</v>
      </c>
      <c r="B5018">
        <v>55523</v>
      </c>
      <c r="C5018" s="2">
        <v>36683</v>
      </c>
      <c r="D5018">
        <v>25</v>
      </c>
      <c r="E5018" t="s">
        <v>36</v>
      </c>
      <c r="F5018" t="s">
        <v>50</v>
      </c>
      <c r="G5018" s="2">
        <v>45517</v>
      </c>
      <c r="H5018" s="3">
        <f t="shared" si="78"/>
        <v>1.3205479452054794</v>
      </c>
      <c r="I5018">
        <v>29</v>
      </c>
      <c r="J5018" t="s">
        <v>38</v>
      </c>
      <c r="K5018" t="s">
        <v>65</v>
      </c>
      <c r="L5018" t="s">
        <v>44</v>
      </c>
      <c r="M5018">
        <v>10.64</v>
      </c>
      <c r="T5018" t="s">
        <v>45</v>
      </c>
      <c r="U5018">
        <v>0</v>
      </c>
      <c r="V5018">
        <v>4</v>
      </c>
    </row>
    <row r="5019" spans="1:22" x14ac:dyDescent="0.3">
      <c r="A5019">
        <v>5018</v>
      </c>
      <c r="B5019">
        <v>55524</v>
      </c>
      <c r="C5019" s="2">
        <v>36424</v>
      </c>
      <c r="D5019">
        <v>26</v>
      </c>
      <c r="E5019" t="s">
        <v>42</v>
      </c>
      <c r="F5019" t="s">
        <v>37</v>
      </c>
      <c r="G5019" s="2">
        <v>45540</v>
      </c>
      <c r="H5019" s="3">
        <f t="shared" si="78"/>
        <v>1.747945205479452</v>
      </c>
      <c r="I5019">
        <v>29</v>
      </c>
      <c r="J5019" t="s">
        <v>38</v>
      </c>
      <c r="K5019" t="s">
        <v>46</v>
      </c>
      <c r="L5019" t="s">
        <v>44</v>
      </c>
      <c r="M5019">
        <v>14.23</v>
      </c>
      <c r="T5019" t="s">
        <v>52</v>
      </c>
      <c r="U5019">
        <v>1</v>
      </c>
      <c r="V5019">
        <v>5</v>
      </c>
    </row>
    <row r="5020" spans="1:22" x14ac:dyDescent="0.3">
      <c r="A5020">
        <v>5019</v>
      </c>
      <c r="B5020">
        <v>55525</v>
      </c>
      <c r="C5020" s="2">
        <v>37871</v>
      </c>
      <c r="D5020">
        <v>22</v>
      </c>
      <c r="E5020" t="s">
        <v>42</v>
      </c>
      <c r="F5020" t="s">
        <v>50</v>
      </c>
      <c r="G5020" s="2">
        <v>45384</v>
      </c>
      <c r="H5020" s="3">
        <f t="shared" si="78"/>
        <v>1.7917808219178082</v>
      </c>
      <c r="I5020">
        <v>29</v>
      </c>
      <c r="J5020" t="s">
        <v>38</v>
      </c>
      <c r="K5020" t="s">
        <v>46</v>
      </c>
      <c r="L5020" t="s">
        <v>44</v>
      </c>
      <c r="M5020">
        <v>14.23</v>
      </c>
      <c r="T5020" t="s">
        <v>45</v>
      </c>
      <c r="U5020">
        <v>1</v>
      </c>
      <c r="V5020">
        <v>4</v>
      </c>
    </row>
    <row r="5021" spans="1:22" x14ac:dyDescent="0.3">
      <c r="A5021">
        <v>5020</v>
      </c>
      <c r="B5021">
        <v>55527</v>
      </c>
      <c r="C5021" s="2">
        <v>37861</v>
      </c>
      <c r="D5021">
        <v>22</v>
      </c>
      <c r="E5021" t="s">
        <v>42</v>
      </c>
      <c r="F5021" t="s">
        <v>50</v>
      </c>
      <c r="G5021" s="2">
        <v>45368</v>
      </c>
      <c r="H5021" s="3">
        <f t="shared" si="78"/>
        <v>1.1452054794520548</v>
      </c>
      <c r="I5021">
        <v>29</v>
      </c>
      <c r="J5021" t="s">
        <v>38</v>
      </c>
      <c r="K5021" t="s">
        <v>48</v>
      </c>
      <c r="L5021" t="s">
        <v>44</v>
      </c>
      <c r="M5021">
        <v>8.4700000000000006</v>
      </c>
      <c r="T5021" t="s">
        <v>47</v>
      </c>
      <c r="U5021">
        <v>2</v>
      </c>
      <c r="V5021">
        <v>6</v>
      </c>
    </row>
    <row r="5022" spans="1:22" x14ac:dyDescent="0.3">
      <c r="A5022">
        <v>5021</v>
      </c>
      <c r="B5022">
        <v>55528</v>
      </c>
      <c r="C5022" s="2">
        <v>38589</v>
      </c>
      <c r="D5022">
        <v>20</v>
      </c>
      <c r="E5022" t="s">
        <v>42</v>
      </c>
      <c r="F5022" t="s">
        <v>50</v>
      </c>
      <c r="G5022" s="2">
        <v>45604</v>
      </c>
      <c r="H5022" s="3">
        <f t="shared" si="78"/>
        <v>1.7643835616438357</v>
      </c>
      <c r="I5022">
        <v>29</v>
      </c>
      <c r="J5022" t="s">
        <v>38</v>
      </c>
      <c r="K5022" t="s">
        <v>48</v>
      </c>
      <c r="L5022" t="s">
        <v>44</v>
      </c>
      <c r="M5022">
        <v>8.4700000000000006</v>
      </c>
      <c r="T5022" t="s">
        <v>52</v>
      </c>
      <c r="U5022">
        <v>1</v>
      </c>
      <c r="V5022">
        <v>6</v>
      </c>
    </row>
    <row r="5023" spans="1:22" x14ac:dyDescent="0.3">
      <c r="A5023">
        <v>5022</v>
      </c>
      <c r="B5023">
        <v>55529</v>
      </c>
      <c r="C5023" s="2">
        <v>36043</v>
      </c>
      <c r="D5023">
        <v>27</v>
      </c>
      <c r="E5023" t="s">
        <v>42</v>
      </c>
      <c r="F5023" t="s">
        <v>50</v>
      </c>
      <c r="G5023" s="2">
        <v>45378</v>
      </c>
      <c r="H5023" s="3">
        <f t="shared" si="78"/>
        <v>1.2054794520547945</v>
      </c>
      <c r="I5023">
        <v>29</v>
      </c>
      <c r="J5023" t="s">
        <v>38</v>
      </c>
      <c r="K5023" t="s">
        <v>55</v>
      </c>
      <c r="L5023" t="s">
        <v>44</v>
      </c>
      <c r="M5023">
        <v>17.59</v>
      </c>
      <c r="T5023" t="s">
        <v>47</v>
      </c>
      <c r="U5023">
        <v>0</v>
      </c>
      <c r="V5023">
        <v>6</v>
      </c>
    </row>
    <row r="5024" spans="1:22" x14ac:dyDescent="0.3">
      <c r="A5024">
        <v>5023</v>
      </c>
      <c r="B5024">
        <v>55530</v>
      </c>
      <c r="C5024" s="2">
        <v>38457</v>
      </c>
      <c r="D5024">
        <v>20</v>
      </c>
      <c r="E5024" t="s">
        <v>42</v>
      </c>
      <c r="F5024" t="s">
        <v>50</v>
      </c>
      <c r="G5024" s="2">
        <v>45582</v>
      </c>
      <c r="H5024" s="3">
        <f t="shared" si="78"/>
        <v>1.452054794520548</v>
      </c>
      <c r="I5024">
        <v>29</v>
      </c>
      <c r="J5024" t="s">
        <v>38</v>
      </c>
      <c r="K5024" t="s">
        <v>56</v>
      </c>
      <c r="L5024" t="s">
        <v>44</v>
      </c>
      <c r="M5024">
        <v>8.4700000000000006</v>
      </c>
      <c r="T5024" t="s">
        <v>52</v>
      </c>
      <c r="U5024">
        <v>0</v>
      </c>
      <c r="V5024">
        <v>6</v>
      </c>
    </row>
    <row r="5025" spans="1:22" x14ac:dyDescent="0.3">
      <c r="A5025">
        <v>5024</v>
      </c>
      <c r="B5025">
        <v>55531</v>
      </c>
      <c r="C5025" s="2">
        <v>38819</v>
      </c>
      <c r="D5025">
        <v>19</v>
      </c>
      <c r="E5025" t="s">
        <v>42</v>
      </c>
      <c r="F5025" t="s">
        <v>50</v>
      </c>
      <c r="G5025" s="2">
        <v>45492</v>
      </c>
      <c r="H5025" s="3">
        <f t="shared" si="78"/>
        <v>1.1726027397260275</v>
      </c>
      <c r="I5025">
        <v>29</v>
      </c>
      <c r="J5025" t="s">
        <v>38</v>
      </c>
      <c r="K5025" t="s">
        <v>56</v>
      </c>
      <c r="L5025" t="s">
        <v>44</v>
      </c>
      <c r="M5025">
        <v>8.4700000000000006</v>
      </c>
      <c r="T5025" t="s">
        <v>52</v>
      </c>
      <c r="U5025">
        <v>2</v>
      </c>
      <c r="V5025">
        <v>7</v>
      </c>
    </row>
    <row r="5026" spans="1:22" x14ac:dyDescent="0.3">
      <c r="A5026">
        <v>5025</v>
      </c>
      <c r="B5026">
        <v>55532</v>
      </c>
      <c r="C5026" s="2">
        <v>37872</v>
      </c>
      <c r="D5026">
        <v>22</v>
      </c>
      <c r="E5026" t="s">
        <v>42</v>
      </c>
      <c r="F5026" t="s">
        <v>50</v>
      </c>
      <c r="G5026" s="2">
        <v>45594</v>
      </c>
      <c r="H5026" s="3">
        <f t="shared" si="78"/>
        <v>1.1041095890410959</v>
      </c>
      <c r="I5026">
        <v>29</v>
      </c>
      <c r="J5026" t="s">
        <v>38</v>
      </c>
      <c r="K5026" t="s">
        <v>56</v>
      </c>
      <c r="L5026" t="s">
        <v>44</v>
      </c>
      <c r="M5026">
        <v>8.4700000000000006</v>
      </c>
      <c r="T5026" t="s">
        <v>49</v>
      </c>
      <c r="U5026">
        <v>1</v>
      </c>
      <c r="V5026">
        <v>7</v>
      </c>
    </row>
    <row r="5027" spans="1:22" x14ac:dyDescent="0.3">
      <c r="A5027">
        <v>5026</v>
      </c>
      <c r="B5027">
        <v>55533</v>
      </c>
      <c r="C5027" s="2">
        <v>35970</v>
      </c>
      <c r="D5027">
        <v>27</v>
      </c>
      <c r="E5027" t="s">
        <v>36</v>
      </c>
      <c r="F5027" t="s">
        <v>50</v>
      </c>
      <c r="G5027" s="2">
        <v>45619</v>
      </c>
      <c r="H5027" s="3">
        <f t="shared" si="78"/>
        <v>1.547945205479452</v>
      </c>
      <c r="I5027">
        <v>29</v>
      </c>
      <c r="J5027" t="s">
        <v>38</v>
      </c>
      <c r="K5027" t="s">
        <v>56</v>
      </c>
      <c r="L5027" t="s">
        <v>44</v>
      </c>
      <c r="M5027">
        <v>8.4700000000000006</v>
      </c>
      <c r="T5027" t="s">
        <v>47</v>
      </c>
      <c r="U5027">
        <v>2</v>
      </c>
      <c r="V5027">
        <v>5</v>
      </c>
    </row>
    <row r="5028" spans="1:22" x14ac:dyDescent="0.3">
      <c r="A5028">
        <v>5027</v>
      </c>
      <c r="B5028">
        <v>55534</v>
      </c>
      <c r="C5028" s="2">
        <v>38655</v>
      </c>
      <c r="D5028">
        <v>20</v>
      </c>
      <c r="E5028" t="s">
        <v>42</v>
      </c>
      <c r="F5028" t="s">
        <v>37</v>
      </c>
      <c r="G5028" s="2">
        <v>45457</v>
      </c>
      <c r="H5028" s="3">
        <f t="shared" si="78"/>
        <v>1.7808219178082192</v>
      </c>
      <c r="I5028">
        <v>29</v>
      </c>
      <c r="J5028" t="s">
        <v>38</v>
      </c>
      <c r="K5028" t="s">
        <v>56</v>
      </c>
      <c r="L5028" t="s">
        <v>44</v>
      </c>
      <c r="M5028">
        <v>8.4700000000000006</v>
      </c>
      <c r="T5028" t="s">
        <v>52</v>
      </c>
      <c r="U5028">
        <v>2</v>
      </c>
      <c r="V5028">
        <v>7</v>
      </c>
    </row>
    <row r="5029" spans="1:22" x14ac:dyDescent="0.3">
      <c r="A5029">
        <v>5028</v>
      </c>
      <c r="B5029">
        <v>55536</v>
      </c>
      <c r="C5029" s="2">
        <v>37251</v>
      </c>
      <c r="D5029">
        <v>24</v>
      </c>
      <c r="E5029" t="s">
        <v>42</v>
      </c>
      <c r="F5029" t="s">
        <v>50</v>
      </c>
      <c r="G5029" s="2">
        <v>45372</v>
      </c>
      <c r="H5029" s="3">
        <f t="shared" si="78"/>
        <v>1.0273972602739727</v>
      </c>
      <c r="I5029">
        <v>29</v>
      </c>
      <c r="J5029" t="s">
        <v>38</v>
      </c>
      <c r="K5029" t="s">
        <v>56</v>
      </c>
      <c r="L5029" t="s">
        <v>44</v>
      </c>
      <c r="M5029">
        <v>8.4700000000000006</v>
      </c>
      <c r="T5029" t="s">
        <v>45</v>
      </c>
      <c r="U5029">
        <v>2</v>
      </c>
      <c r="V5029">
        <v>5</v>
      </c>
    </row>
    <row r="5030" spans="1:22" x14ac:dyDescent="0.3">
      <c r="A5030">
        <v>5029</v>
      </c>
      <c r="B5030">
        <v>55537</v>
      </c>
      <c r="C5030" s="2">
        <v>37406</v>
      </c>
      <c r="D5030">
        <v>23</v>
      </c>
      <c r="E5030" t="s">
        <v>42</v>
      </c>
      <c r="F5030" t="s">
        <v>37</v>
      </c>
      <c r="G5030" s="2">
        <v>45647</v>
      </c>
      <c r="H5030" s="3">
        <f t="shared" si="78"/>
        <v>1.0246575342465754</v>
      </c>
      <c r="I5030">
        <v>29</v>
      </c>
      <c r="J5030" t="s">
        <v>38</v>
      </c>
      <c r="K5030" t="s">
        <v>56</v>
      </c>
      <c r="L5030" t="s">
        <v>44</v>
      </c>
      <c r="M5030">
        <v>8.4700000000000006</v>
      </c>
      <c r="T5030" t="s">
        <v>52</v>
      </c>
      <c r="U5030">
        <v>1</v>
      </c>
      <c r="V5030">
        <v>5</v>
      </c>
    </row>
    <row r="5031" spans="1:22" x14ac:dyDescent="0.3">
      <c r="A5031">
        <v>5030</v>
      </c>
      <c r="B5031">
        <v>55538</v>
      </c>
      <c r="C5031" s="2">
        <v>36377</v>
      </c>
      <c r="D5031">
        <v>26</v>
      </c>
      <c r="E5031" t="s">
        <v>42</v>
      </c>
      <c r="F5031" t="s">
        <v>50</v>
      </c>
      <c r="G5031" s="2">
        <v>45648</v>
      </c>
      <c r="H5031" s="3">
        <f t="shared" si="78"/>
        <v>1.5972602739726027</v>
      </c>
      <c r="I5031">
        <v>29</v>
      </c>
      <c r="J5031" t="s">
        <v>38</v>
      </c>
      <c r="K5031" t="s">
        <v>56</v>
      </c>
      <c r="L5031" t="s">
        <v>44</v>
      </c>
      <c r="M5031">
        <v>8.4700000000000006</v>
      </c>
      <c r="T5031" t="s">
        <v>45</v>
      </c>
      <c r="U5031">
        <v>1</v>
      </c>
      <c r="V5031">
        <v>6</v>
      </c>
    </row>
    <row r="5032" spans="1:22" x14ac:dyDescent="0.3">
      <c r="A5032">
        <v>5031</v>
      </c>
      <c r="B5032">
        <v>55539</v>
      </c>
      <c r="C5032" s="2">
        <v>37663</v>
      </c>
      <c r="D5032">
        <v>22</v>
      </c>
      <c r="E5032" t="s">
        <v>42</v>
      </c>
      <c r="F5032" t="s">
        <v>50</v>
      </c>
      <c r="G5032" s="2">
        <v>45439</v>
      </c>
      <c r="H5032" s="3">
        <f t="shared" si="78"/>
        <v>1.4246575342465753</v>
      </c>
      <c r="I5032">
        <v>29</v>
      </c>
      <c r="J5032" t="s">
        <v>38</v>
      </c>
      <c r="K5032" t="s">
        <v>56</v>
      </c>
      <c r="L5032" t="s">
        <v>44</v>
      </c>
      <c r="M5032">
        <v>8.4700000000000006</v>
      </c>
      <c r="T5032" t="s">
        <v>47</v>
      </c>
      <c r="U5032">
        <v>2</v>
      </c>
      <c r="V5032">
        <v>5</v>
      </c>
    </row>
    <row r="5033" spans="1:22" x14ac:dyDescent="0.3">
      <c r="A5033">
        <v>5032</v>
      </c>
      <c r="B5033">
        <v>55540</v>
      </c>
      <c r="C5033" s="2">
        <v>37319</v>
      </c>
      <c r="D5033">
        <v>23</v>
      </c>
      <c r="E5033" t="s">
        <v>42</v>
      </c>
      <c r="F5033" t="s">
        <v>50</v>
      </c>
      <c r="G5033" s="2">
        <v>45502</v>
      </c>
      <c r="H5033" s="3">
        <f t="shared" si="78"/>
        <v>1.0027397260273974</v>
      </c>
      <c r="I5033">
        <v>29</v>
      </c>
      <c r="J5033" t="s">
        <v>38</v>
      </c>
      <c r="K5033" t="s">
        <v>56</v>
      </c>
      <c r="L5033" t="s">
        <v>44</v>
      </c>
      <c r="M5033">
        <v>8.4700000000000006</v>
      </c>
      <c r="T5033" t="s">
        <v>52</v>
      </c>
      <c r="U5033">
        <v>3</v>
      </c>
      <c r="V5033">
        <v>5</v>
      </c>
    </row>
    <row r="5034" spans="1:22" x14ac:dyDescent="0.3">
      <c r="A5034">
        <v>5033</v>
      </c>
      <c r="B5034">
        <v>55542</v>
      </c>
      <c r="C5034" s="2">
        <v>36425</v>
      </c>
      <c r="D5034">
        <v>26</v>
      </c>
      <c r="E5034" t="s">
        <v>42</v>
      </c>
      <c r="F5034" t="s">
        <v>50</v>
      </c>
      <c r="G5034" s="2">
        <v>45656</v>
      </c>
      <c r="H5034" s="3">
        <f t="shared" si="78"/>
        <v>1.6931506849315068</v>
      </c>
      <c r="I5034">
        <v>29</v>
      </c>
      <c r="J5034" t="s">
        <v>38</v>
      </c>
      <c r="K5034" t="s">
        <v>56</v>
      </c>
      <c r="L5034" t="s">
        <v>44</v>
      </c>
      <c r="M5034">
        <v>8.4700000000000006</v>
      </c>
      <c r="T5034" t="s">
        <v>49</v>
      </c>
      <c r="U5034">
        <v>2</v>
      </c>
      <c r="V5034">
        <v>6</v>
      </c>
    </row>
    <row r="5035" spans="1:22" x14ac:dyDescent="0.3">
      <c r="A5035">
        <v>5034</v>
      </c>
      <c r="B5035">
        <v>55543</v>
      </c>
      <c r="C5035" s="2">
        <v>38501</v>
      </c>
      <c r="D5035">
        <v>20</v>
      </c>
      <c r="E5035" t="s">
        <v>42</v>
      </c>
      <c r="F5035" t="s">
        <v>50</v>
      </c>
      <c r="G5035" s="2">
        <v>45404</v>
      </c>
      <c r="H5035" s="3">
        <f t="shared" si="78"/>
        <v>1.5205479452054795</v>
      </c>
      <c r="I5035">
        <v>29</v>
      </c>
      <c r="J5035" t="s">
        <v>38</v>
      </c>
      <c r="K5035" t="s">
        <v>56</v>
      </c>
      <c r="L5035" t="s">
        <v>44</v>
      </c>
      <c r="M5035">
        <v>8.4700000000000006</v>
      </c>
      <c r="T5035" t="s">
        <v>49</v>
      </c>
      <c r="U5035">
        <v>0</v>
      </c>
      <c r="V5035">
        <v>5</v>
      </c>
    </row>
    <row r="5036" spans="1:22" x14ac:dyDescent="0.3">
      <c r="A5036">
        <v>5035</v>
      </c>
      <c r="B5036">
        <v>55544</v>
      </c>
      <c r="C5036" s="2">
        <v>36135</v>
      </c>
      <c r="D5036">
        <v>27</v>
      </c>
      <c r="E5036" t="s">
        <v>42</v>
      </c>
      <c r="F5036" t="s">
        <v>50</v>
      </c>
      <c r="G5036" s="2">
        <v>45467</v>
      </c>
      <c r="H5036" s="3">
        <f t="shared" si="78"/>
        <v>1.4575342465753425</v>
      </c>
      <c r="I5036">
        <v>29</v>
      </c>
      <c r="J5036" t="s">
        <v>38</v>
      </c>
      <c r="K5036" t="s">
        <v>56</v>
      </c>
      <c r="L5036" t="s">
        <v>44</v>
      </c>
      <c r="M5036">
        <v>8.4700000000000006</v>
      </c>
      <c r="T5036" t="s">
        <v>45</v>
      </c>
      <c r="U5036">
        <v>2</v>
      </c>
      <c r="V5036">
        <v>6</v>
      </c>
    </row>
    <row r="5037" spans="1:22" x14ac:dyDescent="0.3">
      <c r="A5037">
        <v>5036</v>
      </c>
      <c r="B5037">
        <v>55545</v>
      </c>
      <c r="C5037" s="2">
        <v>38257</v>
      </c>
      <c r="D5037">
        <v>21</v>
      </c>
      <c r="E5037" t="s">
        <v>42</v>
      </c>
      <c r="F5037" t="s">
        <v>37</v>
      </c>
      <c r="G5037" s="2">
        <v>45490</v>
      </c>
      <c r="H5037" s="3">
        <f t="shared" si="78"/>
        <v>1.9397260273972603</v>
      </c>
      <c r="I5037">
        <v>29</v>
      </c>
      <c r="J5037" t="s">
        <v>38</v>
      </c>
      <c r="K5037" t="s">
        <v>56</v>
      </c>
      <c r="L5037" t="s">
        <v>44</v>
      </c>
      <c r="M5037">
        <v>8.4700000000000006</v>
      </c>
      <c r="T5037" t="s">
        <v>45</v>
      </c>
      <c r="U5037">
        <v>2</v>
      </c>
      <c r="V5037">
        <v>5</v>
      </c>
    </row>
    <row r="5038" spans="1:22" x14ac:dyDescent="0.3">
      <c r="A5038">
        <v>5037</v>
      </c>
      <c r="B5038">
        <v>55546</v>
      </c>
      <c r="C5038" s="2">
        <v>39109</v>
      </c>
      <c r="D5038">
        <v>18</v>
      </c>
      <c r="E5038" t="s">
        <v>42</v>
      </c>
      <c r="F5038" t="s">
        <v>50</v>
      </c>
      <c r="G5038" s="2">
        <v>45314</v>
      </c>
      <c r="H5038" s="3">
        <f t="shared" si="78"/>
        <v>1.273972602739726</v>
      </c>
      <c r="I5038">
        <v>29</v>
      </c>
      <c r="J5038" t="s">
        <v>38</v>
      </c>
      <c r="K5038" t="s">
        <v>56</v>
      </c>
      <c r="L5038" t="s">
        <v>44</v>
      </c>
      <c r="M5038">
        <v>8.4700000000000006</v>
      </c>
      <c r="T5038" t="s">
        <v>49</v>
      </c>
      <c r="U5038">
        <v>3</v>
      </c>
      <c r="V5038">
        <v>5</v>
      </c>
    </row>
    <row r="5039" spans="1:22" x14ac:dyDescent="0.3">
      <c r="A5039">
        <v>5038</v>
      </c>
      <c r="B5039">
        <v>55547</v>
      </c>
      <c r="C5039" s="2">
        <v>39261</v>
      </c>
      <c r="D5039">
        <v>18</v>
      </c>
      <c r="E5039" t="s">
        <v>42</v>
      </c>
      <c r="F5039" t="s">
        <v>50</v>
      </c>
      <c r="G5039" s="2">
        <v>45557</v>
      </c>
      <c r="H5039" s="3">
        <f t="shared" si="78"/>
        <v>1.263013698630137</v>
      </c>
      <c r="I5039">
        <v>29</v>
      </c>
      <c r="J5039" t="s">
        <v>38</v>
      </c>
      <c r="K5039" t="s">
        <v>56</v>
      </c>
      <c r="L5039" t="s">
        <v>44</v>
      </c>
      <c r="M5039">
        <v>8.4700000000000006</v>
      </c>
      <c r="T5039" t="s">
        <v>49</v>
      </c>
      <c r="U5039">
        <v>2</v>
      </c>
      <c r="V5039">
        <v>5</v>
      </c>
    </row>
    <row r="5040" spans="1:22" x14ac:dyDescent="0.3">
      <c r="A5040">
        <v>5039</v>
      </c>
      <c r="B5040">
        <v>55548</v>
      </c>
      <c r="C5040" s="2">
        <v>36947</v>
      </c>
      <c r="D5040">
        <v>24</v>
      </c>
      <c r="E5040" t="s">
        <v>42</v>
      </c>
      <c r="F5040" t="s">
        <v>37</v>
      </c>
      <c r="G5040" s="2">
        <v>45561</v>
      </c>
      <c r="H5040" s="3">
        <f t="shared" si="78"/>
        <v>1.5643835616438355</v>
      </c>
      <c r="I5040">
        <v>30</v>
      </c>
      <c r="J5040" t="s">
        <v>38</v>
      </c>
      <c r="K5040" t="s">
        <v>68</v>
      </c>
      <c r="L5040" t="s">
        <v>44</v>
      </c>
      <c r="M5040">
        <v>17</v>
      </c>
      <c r="T5040" t="s">
        <v>45</v>
      </c>
      <c r="U5040">
        <v>2</v>
      </c>
      <c r="V5040">
        <v>5</v>
      </c>
    </row>
    <row r="5041" spans="1:22" x14ac:dyDescent="0.3">
      <c r="A5041">
        <v>5040</v>
      </c>
      <c r="B5041">
        <v>55549</v>
      </c>
      <c r="C5041" s="2">
        <v>39019</v>
      </c>
      <c r="D5041">
        <v>19</v>
      </c>
      <c r="E5041" t="s">
        <v>42</v>
      </c>
      <c r="F5041" t="s">
        <v>37</v>
      </c>
      <c r="G5041" s="2">
        <v>45451</v>
      </c>
      <c r="H5041" s="3">
        <f t="shared" si="78"/>
        <v>1.1095890410958904</v>
      </c>
      <c r="I5041">
        <v>30</v>
      </c>
      <c r="J5041" t="s">
        <v>38</v>
      </c>
      <c r="K5041" t="s">
        <v>48</v>
      </c>
      <c r="L5041" t="s">
        <v>44</v>
      </c>
      <c r="M5041">
        <v>8.4700000000000006</v>
      </c>
      <c r="T5041" t="s">
        <v>52</v>
      </c>
      <c r="U5041">
        <v>1</v>
      </c>
      <c r="V5041">
        <v>6</v>
      </c>
    </row>
    <row r="5042" spans="1:22" x14ac:dyDescent="0.3">
      <c r="A5042">
        <v>5041</v>
      </c>
      <c r="B5042">
        <v>55550</v>
      </c>
      <c r="C5042" s="2">
        <v>38874</v>
      </c>
      <c r="D5042">
        <v>19</v>
      </c>
      <c r="E5042" t="s">
        <v>42</v>
      </c>
      <c r="F5042" t="s">
        <v>50</v>
      </c>
      <c r="G5042" s="2">
        <v>45617</v>
      </c>
      <c r="H5042" s="3">
        <f t="shared" si="78"/>
        <v>1.4493150684931506</v>
      </c>
      <c r="I5042">
        <v>30</v>
      </c>
      <c r="J5042" t="s">
        <v>38</v>
      </c>
      <c r="K5042" t="s">
        <v>56</v>
      </c>
      <c r="L5042" t="s">
        <v>44</v>
      </c>
      <c r="M5042">
        <v>8.4700000000000006</v>
      </c>
      <c r="T5042" t="s">
        <v>45</v>
      </c>
      <c r="U5042">
        <v>1</v>
      </c>
      <c r="V5042">
        <v>5</v>
      </c>
    </row>
    <row r="5043" spans="1:22" x14ac:dyDescent="0.3">
      <c r="A5043">
        <v>5042</v>
      </c>
      <c r="B5043">
        <v>55551</v>
      </c>
      <c r="C5043" s="2">
        <v>36135</v>
      </c>
      <c r="D5043">
        <v>27</v>
      </c>
      <c r="E5043" t="s">
        <v>42</v>
      </c>
      <c r="F5043" t="s">
        <v>50</v>
      </c>
      <c r="G5043" s="2">
        <v>45493</v>
      </c>
      <c r="H5043" s="3">
        <f t="shared" si="78"/>
        <v>1.2328767123287672</v>
      </c>
      <c r="I5043">
        <v>30</v>
      </c>
      <c r="J5043" t="s">
        <v>38</v>
      </c>
      <c r="K5043" t="s">
        <v>56</v>
      </c>
      <c r="L5043" t="s">
        <v>44</v>
      </c>
      <c r="M5043">
        <v>8.4700000000000006</v>
      </c>
      <c r="T5043" t="s">
        <v>52</v>
      </c>
      <c r="U5043">
        <v>1</v>
      </c>
      <c r="V5043">
        <v>6</v>
      </c>
    </row>
    <row r="5044" spans="1:22" x14ac:dyDescent="0.3">
      <c r="A5044">
        <v>5043</v>
      </c>
      <c r="B5044">
        <v>55552</v>
      </c>
      <c r="C5044" s="2">
        <v>38290</v>
      </c>
      <c r="D5044">
        <v>21</v>
      </c>
      <c r="E5044" t="s">
        <v>36</v>
      </c>
      <c r="F5044" t="s">
        <v>50</v>
      </c>
      <c r="G5044" s="2">
        <v>45572</v>
      </c>
      <c r="H5044" s="3">
        <f t="shared" si="78"/>
        <v>1.893150684931507</v>
      </c>
      <c r="I5044">
        <v>30</v>
      </c>
      <c r="J5044" t="s">
        <v>38</v>
      </c>
      <c r="K5044" t="s">
        <v>56</v>
      </c>
      <c r="L5044" t="s">
        <v>44</v>
      </c>
      <c r="M5044">
        <v>8.4700000000000006</v>
      </c>
      <c r="T5044" t="s">
        <v>45</v>
      </c>
      <c r="U5044">
        <v>2</v>
      </c>
      <c r="V5044">
        <v>6</v>
      </c>
    </row>
    <row r="5045" spans="1:22" x14ac:dyDescent="0.3">
      <c r="A5045">
        <v>5044</v>
      </c>
      <c r="B5045">
        <v>55553</v>
      </c>
      <c r="C5045" s="2">
        <v>37071</v>
      </c>
      <c r="D5045">
        <v>24</v>
      </c>
      <c r="E5045" t="s">
        <v>42</v>
      </c>
      <c r="F5045" t="s">
        <v>50</v>
      </c>
      <c r="G5045" s="2">
        <v>45331</v>
      </c>
      <c r="H5045" s="3">
        <f t="shared" si="78"/>
        <v>1.5397260273972602</v>
      </c>
      <c r="I5045">
        <v>30</v>
      </c>
      <c r="J5045" t="s">
        <v>38</v>
      </c>
      <c r="K5045" t="s">
        <v>56</v>
      </c>
      <c r="L5045" t="s">
        <v>44</v>
      </c>
      <c r="M5045">
        <v>8.4700000000000006</v>
      </c>
      <c r="T5045" t="s">
        <v>45</v>
      </c>
      <c r="U5045">
        <v>0</v>
      </c>
      <c r="V5045">
        <v>6</v>
      </c>
    </row>
    <row r="5046" spans="1:22" x14ac:dyDescent="0.3">
      <c r="A5046">
        <v>5045</v>
      </c>
      <c r="B5046">
        <v>55554</v>
      </c>
      <c r="C5046" s="2">
        <v>35871</v>
      </c>
      <c r="D5046">
        <v>27</v>
      </c>
      <c r="E5046" t="s">
        <v>42</v>
      </c>
      <c r="F5046" t="s">
        <v>50</v>
      </c>
      <c r="G5046" s="2">
        <v>45460</v>
      </c>
      <c r="H5046" s="3">
        <f t="shared" si="78"/>
        <v>1.6356164383561644</v>
      </c>
      <c r="I5046">
        <v>31</v>
      </c>
      <c r="J5046" t="s">
        <v>38</v>
      </c>
      <c r="K5046" t="s">
        <v>68</v>
      </c>
      <c r="L5046" t="s">
        <v>44</v>
      </c>
      <c r="M5046">
        <v>17</v>
      </c>
      <c r="T5046" t="s">
        <v>45</v>
      </c>
      <c r="U5046">
        <v>3</v>
      </c>
      <c r="V5046">
        <v>5</v>
      </c>
    </row>
    <row r="5047" spans="1:22" x14ac:dyDescent="0.3">
      <c r="A5047">
        <v>5046</v>
      </c>
      <c r="B5047">
        <v>55555</v>
      </c>
      <c r="C5047" s="2">
        <v>38183</v>
      </c>
      <c r="D5047">
        <v>21</v>
      </c>
      <c r="E5047" t="s">
        <v>42</v>
      </c>
      <c r="F5047" t="s">
        <v>50</v>
      </c>
      <c r="G5047" s="2">
        <v>45425</v>
      </c>
      <c r="H5047" s="3">
        <f t="shared" si="78"/>
        <v>1.5178082191780822</v>
      </c>
      <c r="I5047">
        <v>31</v>
      </c>
      <c r="J5047" t="s">
        <v>38</v>
      </c>
      <c r="K5047" t="s">
        <v>65</v>
      </c>
      <c r="L5047" t="s">
        <v>44</v>
      </c>
      <c r="M5047">
        <v>10.64</v>
      </c>
      <c r="T5047" t="s">
        <v>45</v>
      </c>
      <c r="U5047">
        <v>1</v>
      </c>
      <c r="V5047">
        <v>5</v>
      </c>
    </row>
    <row r="5048" spans="1:22" x14ac:dyDescent="0.3">
      <c r="A5048">
        <v>5047</v>
      </c>
      <c r="B5048">
        <v>55556</v>
      </c>
      <c r="C5048" s="2">
        <v>36361</v>
      </c>
      <c r="D5048">
        <v>26</v>
      </c>
      <c r="E5048" t="s">
        <v>42</v>
      </c>
      <c r="F5048" t="s">
        <v>50</v>
      </c>
      <c r="G5048" s="2">
        <v>45468</v>
      </c>
      <c r="H5048" s="3">
        <f t="shared" si="78"/>
        <v>1.0136986301369864</v>
      </c>
      <c r="I5048">
        <v>31</v>
      </c>
      <c r="J5048" t="s">
        <v>38</v>
      </c>
      <c r="K5048" t="s">
        <v>65</v>
      </c>
      <c r="L5048" t="s">
        <v>44</v>
      </c>
      <c r="M5048">
        <v>10.64</v>
      </c>
      <c r="T5048" t="s">
        <v>47</v>
      </c>
      <c r="U5048">
        <v>0</v>
      </c>
      <c r="V5048">
        <v>6</v>
      </c>
    </row>
    <row r="5049" spans="1:22" x14ac:dyDescent="0.3">
      <c r="A5049">
        <v>5048</v>
      </c>
      <c r="B5049">
        <v>55558</v>
      </c>
      <c r="C5049" s="2">
        <v>38511</v>
      </c>
      <c r="D5049">
        <v>20</v>
      </c>
      <c r="E5049" t="s">
        <v>42</v>
      </c>
      <c r="F5049" t="s">
        <v>50</v>
      </c>
      <c r="G5049" s="2">
        <v>45652</v>
      </c>
      <c r="H5049" s="3">
        <f t="shared" si="78"/>
        <v>1.8082191780821917</v>
      </c>
      <c r="I5049">
        <v>31</v>
      </c>
      <c r="J5049" t="s">
        <v>38</v>
      </c>
      <c r="K5049" t="s">
        <v>64</v>
      </c>
      <c r="L5049" t="s">
        <v>44</v>
      </c>
      <c r="M5049">
        <v>14.07</v>
      </c>
      <c r="T5049" t="s">
        <v>45</v>
      </c>
      <c r="U5049">
        <v>0</v>
      </c>
      <c r="V5049">
        <v>6</v>
      </c>
    </row>
    <row r="5050" spans="1:22" x14ac:dyDescent="0.3">
      <c r="A5050">
        <v>5049</v>
      </c>
      <c r="B5050">
        <v>55559</v>
      </c>
      <c r="C5050" s="2">
        <v>38455</v>
      </c>
      <c r="D5050">
        <v>20</v>
      </c>
      <c r="E5050" t="s">
        <v>42</v>
      </c>
      <c r="F5050" t="s">
        <v>50</v>
      </c>
      <c r="G5050" s="2">
        <v>45362</v>
      </c>
      <c r="H5050" s="3">
        <f t="shared" si="78"/>
        <v>1.452054794520548</v>
      </c>
      <c r="I5050">
        <v>31</v>
      </c>
      <c r="J5050" t="s">
        <v>38</v>
      </c>
      <c r="K5050" t="s">
        <v>64</v>
      </c>
      <c r="L5050" t="s">
        <v>44</v>
      </c>
      <c r="M5050">
        <v>14.07</v>
      </c>
      <c r="T5050" t="s">
        <v>47</v>
      </c>
      <c r="U5050">
        <v>1</v>
      </c>
      <c r="V5050">
        <v>4</v>
      </c>
    </row>
    <row r="5051" spans="1:22" x14ac:dyDescent="0.3">
      <c r="A5051">
        <v>5050</v>
      </c>
      <c r="B5051">
        <v>55560</v>
      </c>
      <c r="C5051" s="2">
        <v>37757</v>
      </c>
      <c r="D5051">
        <v>22</v>
      </c>
      <c r="E5051" t="s">
        <v>42</v>
      </c>
      <c r="F5051" t="s">
        <v>50</v>
      </c>
      <c r="G5051" s="2">
        <v>45492</v>
      </c>
      <c r="H5051" s="3">
        <f t="shared" si="78"/>
        <v>1.3232876712328767</v>
      </c>
      <c r="I5051">
        <v>31</v>
      </c>
      <c r="J5051" t="s">
        <v>38</v>
      </c>
      <c r="K5051" t="s">
        <v>48</v>
      </c>
      <c r="L5051" t="s">
        <v>44</v>
      </c>
      <c r="M5051">
        <v>8.4700000000000006</v>
      </c>
      <c r="T5051" t="s">
        <v>49</v>
      </c>
      <c r="U5051">
        <v>1</v>
      </c>
      <c r="V5051">
        <v>5</v>
      </c>
    </row>
    <row r="5052" spans="1:22" x14ac:dyDescent="0.3">
      <c r="A5052">
        <v>5051</v>
      </c>
      <c r="B5052">
        <v>55561</v>
      </c>
      <c r="C5052" s="2">
        <v>38809</v>
      </c>
      <c r="D5052">
        <v>19</v>
      </c>
      <c r="E5052" t="s">
        <v>42</v>
      </c>
      <c r="F5052" t="s">
        <v>50</v>
      </c>
      <c r="G5052" s="2">
        <v>45539</v>
      </c>
      <c r="H5052" s="3">
        <f t="shared" si="78"/>
        <v>1.6136986301369862</v>
      </c>
      <c r="I5052">
        <v>31</v>
      </c>
      <c r="J5052" t="s">
        <v>38</v>
      </c>
      <c r="K5052" t="s">
        <v>56</v>
      </c>
      <c r="L5052" t="s">
        <v>44</v>
      </c>
      <c r="M5052">
        <v>8.4700000000000006</v>
      </c>
      <c r="T5052" t="s">
        <v>45</v>
      </c>
      <c r="U5052">
        <v>1</v>
      </c>
      <c r="V5052">
        <v>5</v>
      </c>
    </row>
    <row r="5053" spans="1:22" x14ac:dyDescent="0.3">
      <c r="A5053">
        <v>5052</v>
      </c>
      <c r="B5053">
        <v>55562</v>
      </c>
      <c r="C5053" s="2">
        <v>37726</v>
      </c>
      <c r="D5053">
        <v>22</v>
      </c>
      <c r="E5053" t="s">
        <v>42</v>
      </c>
      <c r="F5053" t="s">
        <v>50</v>
      </c>
      <c r="G5053" s="2">
        <v>45433</v>
      </c>
      <c r="H5053" s="3">
        <f t="shared" si="78"/>
        <v>1.7315068493150685</v>
      </c>
      <c r="I5053">
        <v>31</v>
      </c>
      <c r="J5053" t="s">
        <v>38</v>
      </c>
      <c r="K5053" t="s">
        <v>56</v>
      </c>
      <c r="L5053" t="s">
        <v>44</v>
      </c>
      <c r="M5053">
        <v>8.4700000000000006</v>
      </c>
      <c r="T5053" t="s">
        <v>45</v>
      </c>
      <c r="U5053">
        <v>2</v>
      </c>
      <c r="V5053">
        <v>7</v>
      </c>
    </row>
    <row r="5054" spans="1:22" x14ac:dyDescent="0.3">
      <c r="A5054">
        <v>5053</v>
      </c>
      <c r="B5054">
        <v>55563</v>
      </c>
      <c r="C5054" s="2">
        <v>37348</v>
      </c>
      <c r="D5054">
        <v>23</v>
      </c>
      <c r="E5054" t="s">
        <v>42</v>
      </c>
      <c r="F5054" t="s">
        <v>50</v>
      </c>
      <c r="G5054" s="2">
        <v>45390</v>
      </c>
      <c r="H5054" s="3">
        <f t="shared" si="78"/>
        <v>1.4109589041095891</v>
      </c>
      <c r="I5054">
        <v>31</v>
      </c>
      <c r="J5054" t="s">
        <v>38</v>
      </c>
      <c r="K5054" t="s">
        <v>56</v>
      </c>
      <c r="L5054" t="s">
        <v>44</v>
      </c>
      <c r="M5054">
        <v>8.4700000000000006</v>
      </c>
      <c r="T5054" t="s">
        <v>49</v>
      </c>
      <c r="U5054">
        <v>1</v>
      </c>
      <c r="V5054">
        <v>5</v>
      </c>
    </row>
    <row r="5055" spans="1:22" x14ac:dyDescent="0.3">
      <c r="A5055">
        <v>5054</v>
      </c>
      <c r="B5055">
        <v>55564</v>
      </c>
      <c r="C5055" s="2">
        <v>35401</v>
      </c>
      <c r="D5055">
        <v>29</v>
      </c>
      <c r="E5055" t="s">
        <v>36</v>
      </c>
      <c r="F5055" t="s">
        <v>37</v>
      </c>
      <c r="G5055" s="2">
        <v>45507</v>
      </c>
      <c r="H5055" s="3">
        <f t="shared" si="78"/>
        <v>1.1506849315068493</v>
      </c>
      <c r="I5055">
        <v>31</v>
      </c>
      <c r="J5055" t="s">
        <v>38</v>
      </c>
      <c r="K5055" t="s">
        <v>56</v>
      </c>
      <c r="L5055" t="s">
        <v>44</v>
      </c>
      <c r="M5055">
        <v>8.4700000000000006</v>
      </c>
      <c r="T5055" t="s">
        <v>49</v>
      </c>
      <c r="U5055">
        <v>1</v>
      </c>
      <c r="V5055">
        <v>3</v>
      </c>
    </row>
    <row r="5056" spans="1:22" x14ac:dyDescent="0.3">
      <c r="A5056">
        <v>5055</v>
      </c>
      <c r="B5056">
        <v>55565</v>
      </c>
      <c r="C5056" s="2">
        <v>38885</v>
      </c>
      <c r="D5056">
        <v>19</v>
      </c>
      <c r="E5056" t="s">
        <v>42</v>
      </c>
      <c r="F5056" t="s">
        <v>50</v>
      </c>
      <c r="G5056" s="2">
        <v>45602</v>
      </c>
      <c r="H5056" s="3">
        <f t="shared" si="78"/>
        <v>1.8465753424657534</v>
      </c>
      <c r="I5056">
        <v>31</v>
      </c>
      <c r="J5056" t="s">
        <v>38</v>
      </c>
      <c r="K5056" t="s">
        <v>56</v>
      </c>
      <c r="L5056" t="s">
        <v>44</v>
      </c>
      <c r="M5056">
        <v>8.4700000000000006</v>
      </c>
      <c r="T5056" t="s">
        <v>45</v>
      </c>
      <c r="U5056">
        <v>1</v>
      </c>
      <c r="V5056">
        <v>5</v>
      </c>
    </row>
    <row r="5057" spans="1:22" x14ac:dyDescent="0.3">
      <c r="A5057">
        <v>5056</v>
      </c>
      <c r="B5057">
        <v>55566</v>
      </c>
      <c r="C5057" s="2">
        <v>38089</v>
      </c>
      <c r="D5057">
        <v>21</v>
      </c>
      <c r="E5057" t="s">
        <v>36</v>
      </c>
      <c r="F5057" t="s">
        <v>50</v>
      </c>
      <c r="G5057" s="2">
        <v>45348</v>
      </c>
      <c r="H5057" s="3">
        <f t="shared" si="78"/>
        <v>1.2465753424657535</v>
      </c>
      <c r="I5057">
        <v>31</v>
      </c>
      <c r="J5057" t="s">
        <v>38</v>
      </c>
      <c r="K5057" t="s">
        <v>56</v>
      </c>
      <c r="L5057" t="s">
        <v>44</v>
      </c>
      <c r="M5057">
        <v>8.4700000000000006</v>
      </c>
      <c r="T5057" t="s">
        <v>49</v>
      </c>
      <c r="U5057">
        <v>2</v>
      </c>
      <c r="V5057">
        <v>5</v>
      </c>
    </row>
    <row r="5058" spans="1:22" x14ac:dyDescent="0.3">
      <c r="A5058">
        <v>5057</v>
      </c>
      <c r="B5058">
        <v>55567</v>
      </c>
      <c r="C5058" s="2">
        <v>38055</v>
      </c>
      <c r="D5058">
        <v>21</v>
      </c>
      <c r="E5058" t="s">
        <v>42</v>
      </c>
      <c r="F5058" t="s">
        <v>50</v>
      </c>
      <c r="G5058" s="2">
        <v>45567</v>
      </c>
      <c r="H5058" s="3">
        <f t="shared" si="78"/>
        <v>1.7972602739726027</v>
      </c>
      <c r="I5058">
        <v>31</v>
      </c>
      <c r="J5058" t="s">
        <v>38</v>
      </c>
      <c r="K5058" t="s">
        <v>56</v>
      </c>
      <c r="L5058" t="s">
        <v>44</v>
      </c>
      <c r="M5058">
        <v>8.4700000000000006</v>
      </c>
      <c r="T5058" t="s">
        <v>49</v>
      </c>
      <c r="U5058">
        <v>2</v>
      </c>
      <c r="V5058">
        <v>5</v>
      </c>
    </row>
    <row r="5059" spans="1:22" x14ac:dyDescent="0.3">
      <c r="A5059">
        <v>5058</v>
      </c>
      <c r="B5059">
        <v>55568</v>
      </c>
      <c r="C5059" s="2">
        <v>37653</v>
      </c>
      <c r="D5059">
        <v>23</v>
      </c>
      <c r="E5059" t="s">
        <v>36</v>
      </c>
      <c r="F5059" t="s">
        <v>37</v>
      </c>
      <c r="G5059" s="2">
        <v>45366</v>
      </c>
      <c r="H5059" s="3">
        <f t="shared" ref="H5059:H5122" si="79">DATEDIF(G5060,DATE(2025,12,31),"d")/365</f>
        <v>1.0082191780821919</v>
      </c>
      <c r="I5059">
        <v>31</v>
      </c>
      <c r="J5059" t="s">
        <v>38</v>
      </c>
      <c r="K5059" t="s">
        <v>56</v>
      </c>
      <c r="L5059" t="s">
        <v>44</v>
      </c>
      <c r="M5059">
        <v>8.4700000000000006</v>
      </c>
      <c r="T5059" t="s">
        <v>47</v>
      </c>
      <c r="U5059">
        <v>4</v>
      </c>
      <c r="V5059">
        <v>4</v>
      </c>
    </row>
    <row r="5060" spans="1:22" x14ac:dyDescent="0.3">
      <c r="A5060">
        <v>5059</v>
      </c>
      <c r="B5060">
        <v>55569</v>
      </c>
      <c r="C5060" s="2">
        <v>33946</v>
      </c>
      <c r="D5060">
        <v>33</v>
      </c>
      <c r="E5060" t="s">
        <v>42</v>
      </c>
      <c r="F5060" t="s">
        <v>37</v>
      </c>
      <c r="G5060" s="2">
        <v>45654</v>
      </c>
      <c r="H5060" s="3">
        <f t="shared" si="79"/>
        <v>1.4684931506849315</v>
      </c>
      <c r="I5060">
        <v>31</v>
      </c>
      <c r="J5060" t="s">
        <v>38</v>
      </c>
      <c r="K5060" t="s">
        <v>56</v>
      </c>
      <c r="L5060" t="s">
        <v>44</v>
      </c>
      <c r="M5060">
        <v>8.4700000000000006</v>
      </c>
      <c r="T5060" t="s">
        <v>45</v>
      </c>
      <c r="U5060">
        <v>3</v>
      </c>
      <c r="V5060">
        <v>5</v>
      </c>
    </row>
    <row r="5061" spans="1:22" x14ac:dyDescent="0.3">
      <c r="A5061">
        <v>5060</v>
      </c>
      <c r="B5061">
        <v>55570</v>
      </c>
      <c r="C5061" s="2">
        <v>38824</v>
      </c>
      <c r="D5061">
        <v>19</v>
      </c>
      <c r="E5061" t="s">
        <v>42</v>
      </c>
      <c r="F5061" t="s">
        <v>50</v>
      </c>
      <c r="G5061" s="2">
        <v>45486</v>
      </c>
      <c r="H5061" s="3">
        <f t="shared" si="79"/>
        <v>1.7972602739726027</v>
      </c>
      <c r="I5061">
        <v>31</v>
      </c>
      <c r="J5061" t="s">
        <v>38</v>
      </c>
      <c r="K5061" t="s">
        <v>56</v>
      </c>
      <c r="L5061" t="s">
        <v>44</v>
      </c>
      <c r="M5061">
        <v>8.4700000000000006</v>
      </c>
      <c r="T5061" t="s">
        <v>49</v>
      </c>
      <c r="U5061">
        <v>3</v>
      </c>
      <c r="V5061">
        <v>6</v>
      </c>
    </row>
    <row r="5062" spans="1:22" x14ac:dyDescent="0.3">
      <c r="A5062">
        <v>5061</v>
      </c>
      <c r="B5062">
        <v>55571</v>
      </c>
      <c r="C5062" s="2">
        <v>37439</v>
      </c>
      <c r="D5062">
        <v>23</v>
      </c>
      <c r="E5062" t="s">
        <v>42</v>
      </c>
      <c r="F5062" t="s">
        <v>37</v>
      </c>
      <c r="G5062" s="2">
        <v>45366</v>
      </c>
      <c r="H5062" s="3">
        <f t="shared" si="79"/>
        <v>1.6082191780821917</v>
      </c>
      <c r="I5062">
        <v>31</v>
      </c>
      <c r="J5062" t="s">
        <v>38</v>
      </c>
      <c r="K5062" t="s">
        <v>56</v>
      </c>
      <c r="L5062" t="s">
        <v>44</v>
      </c>
      <c r="M5062">
        <v>8.4700000000000006</v>
      </c>
      <c r="T5062" t="s">
        <v>45</v>
      </c>
      <c r="U5062">
        <v>3</v>
      </c>
      <c r="V5062">
        <v>5</v>
      </c>
    </row>
    <row r="5063" spans="1:22" x14ac:dyDescent="0.3">
      <c r="A5063">
        <v>5062</v>
      </c>
      <c r="B5063">
        <v>55572</v>
      </c>
      <c r="C5063" s="2">
        <v>38259</v>
      </c>
      <c r="D5063">
        <v>21</v>
      </c>
      <c r="E5063" t="s">
        <v>42</v>
      </c>
      <c r="F5063" t="s">
        <v>50</v>
      </c>
      <c r="G5063" s="2">
        <v>45435</v>
      </c>
      <c r="H5063" s="3">
        <f t="shared" si="79"/>
        <v>1.295890410958904</v>
      </c>
      <c r="I5063">
        <v>31</v>
      </c>
      <c r="J5063" t="s">
        <v>38</v>
      </c>
      <c r="K5063" t="s">
        <v>56</v>
      </c>
      <c r="L5063" t="s">
        <v>44</v>
      </c>
      <c r="M5063">
        <v>8.4700000000000006</v>
      </c>
      <c r="T5063" t="s">
        <v>49</v>
      </c>
      <c r="U5063">
        <v>1</v>
      </c>
      <c r="V5063">
        <v>6</v>
      </c>
    </row>
    <row r="5064" spans="1:22" x14ac:dyDescent="0.3">
      <c r="A5064">
        <v>5063</v>
      </c>
      <c r="B5064">
        <v>55573</v>
      </c>
      <c r="C5064" s="2">
        <v>37000</v>
      </c>
      <c r="D5064">
        <v>24</v>
      </c>
      <c r="E5064" t="s">
        <v>36</v>
      </c>
      <c r="F5064" t="s">
        <v>50</v>
      </c>
      <c r="G5064" s="2">
        <v>45549</v>
      </c>
      <c r="H5064" s="3">
        <f t="shared" si="79"/>
        <v>1.0821917808219179</v>
      </c>
      <c r="I5064">
        <v>31</v>
      </c>
      <c r="J5064" t="s">
        <v>38</v>
      </c>
      <c r="K5064" t="s">
        <v>56</v>
      </c>
      <c r="L5064" t="s">
        <v>44</v>
      </c>
      <c r="M5064">
        <v>8.4700000000000006</v>
      </c>
      <c r="T5064" t="s">
        <v>45</v>
      </c>
      <c r="U5064">
        <v>4</v>
      </c>
      <c r="V5064">
        <v>5</v>
      </c>
    </row>
    <row r="5065" spans="1:22" x14ac:dyDescent="0.3">
      <c r="A5065">
        <v>5064</v>
      </c>
      <c r="B5065">
        <v>55575</v>
      </c>
      <c r="C5065" s="2">
        <v>37838</v>
      </c>
      <c r="D5065">
        <v>22</v>
      </c>
      <c r="E5065" t="s">
        <v>42</v>
      </c>
      <c r="F5065" t="s">
        <v>37</v>
      </c>
      <c r="G5065" s="2">
        <v>45627</v>
      </c>
      <c r="H5065" s="3">
        <f t="shared" si="79"/>
        <v>1.4684931506849315</v>
      </c>
      <c r="I5065">
        <v>32</v>
      </c>
      <c r="J5065" t="s">
        <v>38</v>
      </c>
      <c r="K5065" t="s">
        <v>56</v>
      </c>
      <c r="L5065" t="s">
        <v>44</v>
      </c>
      <c r="M5065">
        <v>8.4700000000000006</v>
      </c>
      <c r="T5065" t="s">
        <v>49</v>
      </c>
      <c r="U5065">
        <v>2</v>
      </c>
      <c r="V5065">
        <v>6</v>
      </c>
    </row>
    <row r="5066" spans="1:22" x14ac:dyDescent="0.3">
      <c r="A5066">
        <v>5065</v>
      </c>
      <c r="B5066">
        <v>55576</v>
      </c>
      <c r="C5066" s="2">
        <v>35571</v>
      </c>
      <c r="D5066">
        <v>28</v>
      </c>
      <c r="E5066" t="s">
        <v>42</v>
      </c>
      <c r="F5066" t="s">
        <v>50</v>
      </c>
      <c r="G5066" s="2">
        <v>45486</v>
      </c>
      <c r="H5066" s="3">
        <f t="shared" si="79"/>
        <v>1.5917808219178082</v>
      </c>
      <c r="I5066">
        <v>32</v>
      </c>
      <c r="J5066" t="s">
        <v>38</v>
      </c>
      <c r="K5066" t="s">
        <v>56</v>
      </c>
      <c r="L5066" t="s">
        <v>44</v>
      </c>
      <c r="M5066">
        <v>8.4700000000000006</v>
      </c>
      <c r="T5066" t="s">
        <v>47</v>
      </c>
      <c r="U5066">
        <v>0</v>
      </c>
      <c r="V5066">
        <v>6</v>
      </c>
    </row>
    <row r="5067" spans="1:22" x14ac:dyDescent="0.3">
      <c r="A5067">
        <v>5066</v>
      </c>
      <c r="B5067">
        <v>55577</v>
      </c>
      <c r="C5067" s="2">
        <v>35608</v>
      </c>
      <c r="D5067">
        <v>28</v>
      </c>
      <c r="E5067" t="s">
        <v>42</v>
      </c>
      <c r="F5067" t="s">
        <v>37</v>
      </c>
      <c r="G5067" s="2">
        <v>45441</v>
      </c>
      <c r="H5067" s="3">
        <f t="shared" si="79"/>
        <v>1.6219178082191781</v>
      </c>
      <c r="I5067">
        <v>32</v>
      </c>
      <c r="J5067" t="s">
        <v>38</v>
      </c>
      <c r="K5067" t="s">
        <v>56</v>
      </c>
      <c r="L5067" t="s">
        <v>44</v>
      </c>
      <c r="M5067">
        <v>8.4700000000000006</v>
      </c>
      <c r="T5067" t="s">
        <v>49</v>
      </c>
      <c r="U5067">
        <v>1</v>
      </c>
      <c r="V5067">
        <v>5</v>
      </c>
    </row>
    <row r="5068" spans="1:22" x14ac:dyDescent="0.3">
      <c r="A5068">
        <v>5067</v>
      </c>
      <c r="B5068">
        <v>55578</v>
      </c>
      <c r="C5068" s="2">
        <v>38713</v>
      </c>
      <c r="D5068">
        <v>20</v>
      </c>
      <c r="E5068" t="s">
        <v>42</v>
      </c>
      <c r="F5068" t="s">
        <v>50</v>
      </c>
      <c r="G5068" s="2">
        <v>45430</v>
      </c>
      <c r="H5068" s="3">
        <f t="shared" si="79"/>
        <v>1.1287671232876713</v>
      </c>
      <c r="I5068">
        <v>32</v>
      </c>
      <c r="J5068" t="s">
        <v>38</v>
      </c>
      <c r="K5068" t="s">
        <v>56</v>
      </c>
      <c r="L5068" t="s">
        <v>44</v>
      </c>
      <c r="M5068">
        <v>8.4700000000000006</v>
      </c>
      <c r="T5068" t="s">
        <v>52</v>
      </c>
      <c r="U5068">
        <v>4</v>
      </c>
      <c r="V5068">
        <v>5</v>
      </c>
    </row>
    <row r="5069" spans="1:22" x14ac:dyDescent="0.3">
      <c r="A5069">
        <v>5068</v>
      </c>
      <c r="B5069">
        <v>55579</v>
      </c>
      <c r="C5069" s="2">
        <v>37587</v>
      </c>
      <c r="D5069">
        <v>23</v>
      </c>
      <c r="E5069" t="s">
        <v>42</v>
      </c>
      <c r="F5069" t="s">
        <v>50</v>
      </c>
      <c r="G5069" s="2">
        <v>45610</v>
      </c>
      <c r="H5069" s="3">
        <f t="shared" si="79"/>
        <v>1.3808219178082193</v>
      </c>
      <c r="I5069">
        <v>32</v>
      </c>
      <c r="J5069" t="s">
        <v>38</v>
      </c>
      <c r="K5069" t="s">
        <v>56</v>
      </c>
      <c r="L5069" t="s">
        <v>44</v>
      </c>
      <c r="M5069">
        <v>8.4700000000000006</v>
      </c>
      <c r="T5069" t="s">
        <v>52</v>
      </c>
      <c r="U5069">
        <v>2</v>
      </c>
      <c r="V5069">
        <v>7</v>
      </c>
    </row>
    <row r="5070" spans="1:22" x14ac:dyDescent="0.3">
      <c r="A5070">
        <v>5069</v>
      </c>
      <c r="B5070">
        <v>55580</v>
      </c>
      <c r="C5070" s="2">
        <v>38092</v>
      </c>
      <c r="D5070">
        <v>21</v>
      </c>
      <c r="E5070" t="s">
        <v>42</v>
      </c>
      <c r="F5070" t="s">
        <v>50</v>
      </c>
      <c r="G5070" s="2">
        <v>45518</v>
      </c>
      <c r="H5070" s="3">
        <f t="shared" si="79"/>
        <v>1.2410958904109588</v>
      </c>
      <c r="I5070">
        <v>32</v>
      </c>
      <c r="J5070" t="s">
        <v>38</v>
      </c>
      <c r="K5070" t="s">
        <v>56</v>
      </c>
      <c r="L5070" t="s">
        <v>44</v>
      </c>
      <c r="M5070">
        <v>8.4700000000000006</v>
      </c>
      <c r="T5070" t="s">
        <v>49</v>
      </c>
      <c r="U5070">
        <v>0</v>
      </c>
      <c r="V5070">
        <v>5</v>
      </c>
    </row>
    <row r="5071" spans="1:22" x14ac:dyDescent="0.3">
      <c r="A5071">
        <v>5070</v>
      </c>
      <c r="B5071">
        <v>55581</v>
      </c>
      <c r="C5071" s="2">
        <v>36701</v>
      </c>
      <c r="D5071">
        <v>25</v>
      </c>
      <c r="E5071" t="s">
        <v>36</v>
      </c>
      <c r="F5071" t="s">
        <v>37</v>
      </c>
      <c r="G5071" s="2">
        <v>45569</v>
      </c>
      <c r="H5071" s="3">
        <f t="shared" si="79"/>
        <v>1.8739726027397261</v>
      </c>
      <c r="I5071">
        <v>32</v>
      </c>
      <c r="J5071" t="s">
        <v>38</v>
      </c>
      <c r="K5071" t="s">
        <v>56</v>
      </c>
      <c r="L5071" t="s">
        <v>44</v>
      </c>
      <c r="M5071">
        <v>8.4700000000000006</v>
      </c>
      <c r="T5071" t="s">
        <v>45</v>
      </c>
      <c r="U5071">
        <v>4</v>
      </c>
      <c r="V5071">
        <v>5</v>
      </c>
    </row>
    <row r="5072" spans="1:22" x14ac:dyDescent="0.3">
      <c r="A5072">
        <v>5071</v>
      </c>
      <c r="B5072">
        <v>55582</v>
      </c>
      <c r="C5072" s="2">
        <v>36752</v>
      </c>
      <c r="D5072">
        <v>25</v>
      </c>
      <c r="E5072" t="s">
        <v>36</v>
      </c>
      <c r="F5072" t="s">
        <v>50</v>
      </c>
      <c r="G5072" s="2">
        <v>45338</v>
      </c>
      <c r="H5072" s="3">
        <f t="shared" si="79"/>
        <v>1.3561643835616439</v>
      </c>
      <c r="I5072">
        <v>33</v>
      </c>
      <c r="J5072" t="s">
        <v>38</v>
      </c>
      <c r="K5072" t="s">
        <v>68</v>
      </c>
      <c r="L5072" t="s">
        <v>44</v>
      </c>
      <c r="M5072">
        <v>17</v>
      </c>
      <c r="T5072" t="s">
        <v>45</v>
      </c>
      <c r="U5072">
        <v>2</v>
      </c>
      <c r="V5072">
        <v>5</v>
      </c>
    </row>
    <row r="5073" spans="1:22" x14ac:dyDescent="0.3">
      <c r="A5073">
        <v>5072</v>
      </c>
      <c r="B5073">
        <v>55584</v>
      </c>
      <c r="C5073" s="2">
        <v>33668</v>
      </c>
      <c r="D5073">
        <v>33</v>
      </c>
      <c r="E5073" t="s">
        <v>36</v>
      </c>
      <c r="F5073" t="s">
        <v>50</v>
      </c>
      <c r="G5073" s="2">
        <v>45527</v>
      </c>
      <c r="H5073" s="3">
        <f t="shared" si="79"/>
        <v>1.3452054794520547</v>
      </c>
      <c r="I5073">
        <v>33</v>
      </c>
      <c r="J5073" t="s">
        <v>38</v>
      </c>
      <c r="K5073" t="s">
        <v>56</v>
      </c>
      <c r="L5073" t="s">
        <v>44</v>
      </c>
      <c r="M5073">
        <v>8.4700000000000006</v>
      </c>
      <c r="T5073" t="s">
        <v>49</v>
      </c>
      <c r="U5073">
        <v>4</v>
      </c>
      <c r="V5073">
        <v>5</v>
      </c>
    </row>
    <row r="5074" spans="1:22" x14ac:dyDescent="0.3">
      <c r="A5074">
        <v>5073</v>
      </c>
      <c r="B5074">
        <v>55585</v>
      </c>
      <c r="C5074" s="2">
        <v>38956</v>
      </c>
      <c r="D5074">
        <v>19</v>
      </c>
      <c r="E5074" t="s">
        <v>42</v>
      </c>
      <c r="F5074" t="s">
        <v>50</v>
      </c>
      <c r="G5074" s="2">
        <v>45531</v>
      </c>
      <c r="H5074" s="3">
        <f t="shared" si="79"/>
        <v>1.1589041095890411</v>
      </c>
      <c r="I5074">
        <v>33</v>
      </c>
      <c r="J5074" t="s">
        <v>38</v>
      </c>
      <c r="K5074" t="s">
        <v>56</v>
      </c>
      <c r="L5074" t="s">
        <v>44</v>
      </c>
      <c r="M5074">
        <v>8.4700000000000006</v>
      </c>
      <c r="T5074" t="s">
        <v>49</v>
      </c>
      <c r="U5074">
        <v>0</v>
      </c>
      <c r="V5074">
        <v>6</v>
      </c>
    </row>
    <row r="5075" spans="1:22" x14ac:dyDescent="0.3">
      <c r="A5075">
        <v>5074</v>
      </c>
      <c r="B5075">
        <v>55586</v>
      </c>
      <c r="C5075" s="2">
        <v>37974</v>
      </c>
      <c r="D5075">
        <v>22</v>
      </c>
      <c r="E5075" t="s">
        <v>42</v>
      </c>
      <c r="F5075" t="s">
        <v>37</v>
      </c>
      <c r="G5075" s="2">
        <v>45599</v>
      </c>
      <c r="H5075" s="3">
        <f t="shared" si="79"/>
        <v>1.5671232876712329</v>
      </c>
      <c r="I5075">
        <v>33</v>
      </c>
      <c r="J5075" t="s">
        <v>38</v>
      </c>
      <c r="K5075" t="s">
        <v>56</v>
      </c>
      <c r="L5075" t="s">
        <v>44</v>
      </c>
      <c r="M5075">
        <v>8.4700000000000006</v>
      </c>
      <c r="T5075" t="s">
        <v>49</v>
      </c>
      <c r="U5075">
        <v>3</v>
      </c>
      <c r="V5075">
        <v>7</v>
      </c>
    </row>
    <row r="5076" spans="1:22" x14ac:dyDescent="0.3">
      <c r="A5076">
        <v>5075</v>
      </c>
      <c r="B5076">
        <v>55587</v>
      </c>
      <c r="C5076" s="2">
        <v>37334</v>
      </c>
      <c r="D5076">
        <v>23</v>
      </c>
      <c r="E5076" t="s">
        <v>42</v>
      </c>
      <c r="F5076" t="s">
        <v>50</v>
      </c>
      <c r="G5076" s="2">
        <v>45450</v>
      </c>
      <c r="H5076" s="3">
        <f t="shared" si="79"/>
        <v>1.5452054794520549</v>
      </c>
      <c r="I5076">
        <v>34</v>
      </c>
      <c r="J5076" t="s">
        <v>38</v>
      </c>
      <c r="K5076" t="s">
        <v>68</v>
      </c>
      <c r="L5076" t="s">
        <v>44</v>
      </c>
      <c r="M5076">
        <v>17</v>
      </c>
      <c r="T5076" t="s">
        <v>45</v>
      </c>
      <c r="U5076">
        <v>0</v>
      </c>
      <c r="V5076">
        <v>6</v>
      </c>
    </row>
    <row r="5077" spans="1:22" x14ac:dyDescent="0.3">
      <c r="A5077">
        <v>5076</v>
      </c>
      <c r="B5077">
        <v>55588</v>
      </c>
      <c r="C5077" s="2">
        <v>35999</v>
      </c>
      <c r="D5077">
        <v>27</v>
      </c>
      <c r="E5077" t="s">
        <v>42</v>
      </c>
      <c r="F5077" t="s">
        <v>50</v>
      </c>
      <c r="G5077" s="2">
        <v>45458</v>
      </c>
      <c r="H5077" s="3">
        <f t="shared" si="79"/>
        <v>1.1178082191780823</v>
      </c>
      <c r="I5077">
        <v>34</v>
      </c>
      <c r="J5077" t="s">
        <v>38</v>
      </c>
      <c r="K5077" t="s">
        <v>68</v>
      </c>
      <c r="L5077" t="s">
        <v>44</v>
      </c>
      <c r="M5077">
        <v>17</v>
      </c>
      <c r="T5077" t="s">
        <v>47</v>
      </c>
      <c r="U5077">
        <v>2</v>
      </c>
      <c r="V5077">
        <v>5</v>
      </c>
    </row>
    <row r="5078" spans="1:22" x14ac:dyDescent="0.3">
      <c r="A5078">
        <v>5077</v>
      </c>
      <c r="B5078">
        <v>55589</v>
      </c>
      <c r="C5078" s="2">
        <v>36602</v>
      </c>
      <c r="D5078">
        <v>25</v>
      </c>
      <c r="E5078" t="s">
        <v>42</v>
      </c>
      <c r="F5078" t="s">
        <v>37</v>
      </c>
      <c r="G5078" s="2">
        <v>45614</v>
      </c>
      <c r="H5078" s="3">
        <f t="shared" si="79"/>
        <v>1.7232876712328766</v>
      </c>
      <c r="I5078">
        <v>34</v>
      </c>
      <c r="J5078" t="s">
        <v>38</v>
      </c>
      <c r="K5078" t="s">
        <v>68</v>
      </c>
      <c r="L5078" t="s">
        <v>44</v>
      </c>
      <c r="M5078">
        <v>17</v>
      </c>
      <c r="T5078" t="s">
        <v>45</v>
      </c>
      <c r="U5078">
        <v>2</v>
      </c>
      <c r="V5078">
        <v>5</v>
      </c>
    </row>
    <row r="5079" spans="1:22" x14ac:dyDescent="0.3">
      <c r="A5079">
        <v>5078</v>
      </c>
      <c r="B5079">
        <v>55590</v>
      </c>
      <c r="C5079" s="2">
        <v>38352</v>
      </c>
      <c r="D5079">
        <v>21</v>
      </c>
      <c r="E5079" t="s">
        <v>42</v>
      </c>
      <c r="F5079" t="s">
        <v>50</v>
      </c>
      <c r="G5079" s="2">
        <v>45393</v>
      </c>
      <c r="H5079" s="3">
        <f t="shared" si="79"/>
        <v>1.2136986301369863</v>
      </c>
      <c r="I5079">
        <v>34</v>
      </c>
      <c r="J5079" t="s">
        <v>38</v>
      </c>
      <c r="K5079" t="s">
        <v>65</v>
      </c>
      <c r="L5079" t="s">
        <v>44</v>
      </c>
      <c r="M5079">
        <v>10.64</v>
      </c>
      <c r="T5079" t="s">
        <v>52</v>
      </c>
      <c r="U5079">
        <v>0</v>
      </c>
      <c r="V5079">
        <v>5</v>
      </c>
    </row>
    <row r="5080" spans="1:22" x14ac:dyDescent="0.3">
      <c r="A5080">
        <v>5079</v>
      </c>
      <c r="B5080">
        <v>55591</v>
      </c>
      <c r="C5080" s="2">
        <v>39338</v>
      </c>
      <c r="D5080">
        <v>18</v>
      </c>
      <c r="E5080" t="s">
        <v>36</v>
      </c>
      <c r="F5080" t="s">
        <v>50</v>
      </c>
      <c r="G5080" s="2">
        <v>45579</v>
      </c>
      <c r="H5080" s="3">
        <f t="shared" si="79"/>
        <v>1.1753424657534246</v>
      </c>
      <c r="I5080">
        <v>34</v>
      </c>
      <c r="J5080" t="s">
        <v>38</v>
      </c>
      <c r="K5080" t="s">
        <v>56</v>
      </c>
      <c r="L5080" t="s">
        <v>44</v>
      </c>
      <c r="M5080">
        <v>8.4700000000000006</v>
      </c>
      <c r="T5080" t="s">
        <v>45</v>
      </c>
      <c r="U5080">
        <v>4</v>
      </c>
      <c r="V5080">
        <v>4</v>
      </c>
    </row>
    <row r="5081" spans="1:22" x14ac:dyDescent="0.3">
      <c r="A5081">
        <v>5080</v>
      </c>
      <c r="B5081">
        <v>55592</v>
      </c>
      <c r="C5081" s="2">
        <v>38548</v>
      </c>
      <c r="D5081">
        <v>20</v>
      </c>
      <c r="E5081" t="s">
        <v>42</v>
      </c>
      <c r="F5081" t="s">
        <v>37</v>
      </c>
      <c r="G5081" s="2">
        <v>45593</v>
      </c>
      <c r="H5081" s="3">
        <f t="shared" si="79"/>
        <v>1.210958904109589</v>
      </c>
      <c r="I5081">
        <v>34</v>
      </c>
      <c r="J5081" t="s">
        <v>38</v>
      </c>
      <c r="K5081" t="s">
        <v>56</v>
      </c>
      <c r="L5081" t="s">
        <v>44</v>
      </c>
      <c r="M5081">
        <v>8.4700000000000006</v>
      </c>
      <c r="T5081" t="s">
        <v>52</v>
      </c>
      <c r="U5081">
        <v>4</v>
      </c>
      <c r="V5081">
        <v>4</v>
      </c>
    </row>
    <row r="5082" spans="1:22" x14ac:dyDescent="0.3">
      <c r="A5082">
        <v>5081</v>
      </c>
      <c r="B5082">
        <v>55593</v>
      </c>
      <c r="C5082" s="2">
        <v>38611</v>
      </c>
      <c r="D5082">
        <v>20</v>
      </c>
      <c r="E5082" t="s">
        <v>42</v>
      </c>
      <c r="F5082" t="s">
        <v>37</v>
      </c>
      <c r="G5082" s="2">
        <v>45580</v>
      </c>
      <c r="H5082" s="3">
        <f t="shared" si="79"/>
        <v>1.3561643835616439</v>
      </c>
      <c r="I5082">
        <v>34</v>
      </c>
      <c r="J5082" t="s">
        <v>38</v>
      </c>
      <c r="K5082" t="s">
        <v>56</v>
      </c>
      <c r="L5082" t="s">
        <v>44</v>
      </c>
      <c r="M5082">
        <v>8.4700000000000006</v>
      </c>
      <c r="T5082" t="s">
        <v>52</v>
      </c>
      <c r="U5082">
        <v>1</v>
      </c>
      <c r="V5082">
        <v>5</v>
      </c>
    </row>
    <row r="5083" spans="1:22" x14ac:dyDescent="0.3">
      <c r="A5083">
        <v>5082</v>
      </c>
      <c r="B5083">
        <v>55594</v>
      </c>
      <c r="C5083" s="2">
        <v>38358</v>
      </c>
      <c r="D5083">
        <v>20</v>
      </c>
      <c r="E5083" t="s">
        <v>42</v>
      </c>
      <c r="F5083" t="s">
        <v>50</v>
      </c>
      <c r="G5083" s="2">
        <v>45527</v>
      </c>
      <c r="H5083" s="3">
        <f t="shared" si="79"/>
        <v>1.2821917808219179</v>
      </c>
      <c r="I5083">
        <v>34</v>
      </c>
      <c r="J5083" t="s">
        <v>38</v>
      </c>
      <c r="K5083" t="s">
        <v>56</v>
      </c>
      <c r="L5083" t="s">
        <v>44</v>
      </c>
      <c r="M5083">
        <v>8.4700000000000006</v>
      </c>
      <c r="T5083" t="s">
        <v>47</v>
      </c>
      <c r="U5083">
        <v>0</v>
      </c>
      <c r="V5083">
        <v>6</v>
      </c>
    </row>
    <row r="5084" spans="1:22" x14ac:dyDescent="0.3">
      <c r="A5084">
        <v>5083</v>
      </c>
      <c r="B5084">
        <v>55595</v>
      </c>
      <c r="C5084" s="2">
        <v>37957</v>
      </c>
      <c r="D5084">
        <v>22</v>
      </c>
      <c r="E5084" t="s">
        <v>42</v>
      </c>
      <c r="F5084" t="s">
        <v>50</v>
      </c>
      <c r="G5084" s="2">
        <v>45554</v>
      </c>
      <c r="H5084" s="3">
        <f t="shared" si="79"/>
        <v>1.5863013698630137</v>
      </c>
      <c r="I5084">
        <v>34</v>
      </c>
      <c r="J5084" t="s">
        <v>38</v>
      </c>
      <c r="K5084" t="s">
        <v>56</v>
      </c>
      <c r="L5084" t="s">
        <v>44</v>
      </c>
      <c r="M5084">
        <v>8.4700000000000006</v>
      </c>
      <c r="T5084" t="s">
        <v>45</v>
      </c>
      <c r="U5084">
        <v>1</v>
      </c>
      <c r="V5084">
        <v>4</v>
      </c>
    </row>
    <row r="5085" spans="1:22" x14ac:dyDescent="0.3">
      <c r="A5085">
        <v>5084</v>
      </c>
      <c r="B5085">
        <v>55596</v>
      </c>
      <c r="C5085" s="2">
        <v>39028</v>
      </c>
      <c r="D5085">
        <v>19</v>
      </c>
      <c r="E5085" t="s">
        <v>42</v>
      </c>
      <c r="F5085" t="s">
        <v>37</v>
      </c>
      <c r="G5085" s="2">
        <v>45443</v>
      </c>
      <c r="H5085" s="3">
        <f t="shared" si="79"/>
        <v>1.273972602739726</v>
      </c>
      <c r="I5085">
        <v>34</v>
      </c>
      <c r="J5085" t="s">
        <v>38</v>
      </c>
      <c r="K5085" t="s">
        <v>56</v>
      </c>
      <c r="L5085" t="s">
        <v>44</v>
      </c>
      <c r="M5085">
        <v>8.4700000000000006</v>
      </c>
      <c r="T5085" t="s">
        <v>45</v>
      </c>
      <c r="U5085">
        <v>1</v>
      </c>
      <c r="V5085">
        <v>5</v>
      </c>
    </row>
    <row r="5086" spans="1:22" x14ac:dyDescent="0.3">
      <c r="A5086">
        <v>5085</v>
      </c>
      <c r="B5086">
        <v>55597</v>
      </c>
      <c r="C5086" s="2">
        <v>38549</v>
      </c>
      <c r="D5086">
        <v>20</v>
      </c>
      <c r="E5086" t="s">
        <v>42</v>
      </c>
      <c r="F5086" t="s">
        <v>50</v>
      </c>
      <c r="G5086" s="2">
        <v>45557</v>
      </c>
      <c r="H5086" s="3">
        <f t="shared" si="79"/>
        <v>1.8082191780821917</v>
      </c>
      <c r="I5086">
        <v>34</v>
      </c>
      <c r="J5086" t="s">
        <v>38</v>
      </c>
      <c r="K5086" t="s">
        <v>56</v>
      </c>
      <c r="L5086" t="s">
        <v>44</v>
      </c>
      <c r="M5086">
        <v>8.4700000000000006</v>
      </c>
      <c r="T5086" t="s">
        <v>45</v>
      </c>
      <c r="U5086">
        <v>2</v>
      </c>
      <c r="V5086">
        <v>6</v>
      </c>
    </row>
    <row r="5087" spans="1:22" x14ac:dyDescent="0.3">
      <c r="A5087">
        <v>5086</v>
      </c>
      <c r="B5087">
        <v>55598</v>
      </c>
      <c r="C5087" s="2">
        <v>38065</v>
      </c>
      <c r="D5087">
        <v>21</v>
      </c>
      <c r="E5087" t="s">
        <v>42</v>
      </c>
      <c r="F5087" t="s">
        <v>50</v>
      </c>
      <c r="G5087" s="2">
        <v>45362</v>
      </c>
      <c r="H5087" s="3">
        <f t="shared" si="79"/>
        <v>1.1808219178082191</v>
      </c>
      <c r="I5087">
        <v>34</v>
      </c>
      <c r="J5087" t="s">
        <v>38</v>
      </c>
      <c r="K5087" t="s">
        <v>56</v>
      </c>
      <c r="L5087" t="s">
        <v>44</v>
      </c>
      <c r="M5087">
        <v>8.4700000000000006</v>
      </c>
      <c r="T5087" t="s">
        <v>52</v>
      </c>
      <c r="U5087">
        <v>2</v>
      </c>
      <c r="V5087">
        <v>6</v>
      </c>
    </row>
    <row r="5088" spans="1:22" x14ac:dyDescent="0.3">
      <c r="A5088">
        <v>5087</v>
      </c>
      <c r="B5088">
        <v>55600</v>
      </c>
      <c r="C5088" s="2">
        <v>34207</v>
      </c>
      <c r="D5088">
        <v>32</v>
      </c>
      <c r="E5088" t="s">
        <v>42</v>
      </c>
      <c r="F5088" t="s">
        <v>50</v>
      </c>
      <c r="G5088" s="2">
        <v>45591</v>
      </c>
      <c r="H5088" s="3">
        <f t="shared" si="79"/>
        <v>1.2356164383561643</v>
      </c>
      <c r="I5088">
        <v>34</v>
      </c>
      <c r="J5088" t="s">
        <v>38</v>
      </c>
      <c r="K5088" t="s">
        <v>56</v>
      </c>
      <c r="L5088" t="s">
        <v>44</v>
      </c>
      <c r="M5088">
        <v>8.4700000000000006</v>
      </c>
      <c r="T5088" t="s">
        <v>45</v>
      </c>
      <c r="U5088">
        <v>0</v>
      </c>
      <c r="V5088">
        <v>7</v>
      </c>
    </row>
    <row r="5089" spans="1:22" x14ac:dyDescent="0.3">
      <c r="A5089">
        <v>5088</v>
      </c>
      <c r="B5089">
        <v>55601</v>
      </c>
      <c r="C5089" s="2">
        <v>37788</v>
      </c>
      <c r="D5089">
        <v>22</v>
      </c>
      <c r="E5089" t="s">
        <v>42</v>
      </c>
      <c r="F5089" t="s">
        <v>50</v>
      </c>
      <c r="G5089" s="2">
        <v>45571</v>
      </c>
      <c r="H5089" s="3">
        <f t="shared" si="79"/>
        <v>1.6493150684931508</v>
      </c>
      <c r="I5089">
        <v>34</v>
      </c>
      <c r="J5089" t="s">
        <v>38</v>
      </c>
      <c r="K5089" t="s">
        <v>56</v>
      </c>
      <c r="L5089" t="s">
        <v>44</v>
      </c>
      <c r="M5089">
        <v>8.4700000000000006</v>
      </c>
      <c r="T5089" t="s">
        <v>49</v>
      </c>
      <c r="U5089">
        <v>0</v>
      </c>
      <c r="V5089">
        <v>4</v>
      </c>
    </row>
    <row r="5090" spans="1:22" x14ac:dyDescent="0.3">
      <c r="A5090">
        <v>5089</v>
      </c>
      <c r="B5090">
        <v>55602</v>
      </c>
      <c r="C5090" s="2">
        <v>38132</v>
      </c>
      <c r="D5090">
        <v>21</v>
      </c>
      <c r="E5090" t="s">
        <v>42</v>
      </c>
      <c r="F5090" t="s">
        <v>50</v>
      </c>
      <c r="G5090" s="2">
        <v>45420</v>
      </c>
      <c r="H5090" s="3">
        <f t="shared" si="79"/>
        <v>1.4164383561643836</v>
      </c>
      <c r="I5090">
        <v>34</v>
      </c>
      <c r="J5090" t="s">
        <v>38</v>
      </c>
      <c r="K5090" t="s">
        <v>56</v>
      </c>
      <c r="L5090" t="s">
        <v>44</v>
      </c>
      <c r="M5090">
        <v>8.4700000000000006</v>
      </c>
      <c r="T5090" t="s">
        <v>52</v>
      </c>
      <c r="U5090">
        <v>2</v>
      </c>
      <c r="V5090">
        <v>7</v>
      </c>
    </row>
    <row r="5091" spans="1:22" x14ac:dyDescent="0.3">
      <c r="A5091">
        <v>5090</v>
      </c>
      <c r="B5091">
        <v>55603</v>
      </c>
      <c r="C5091" s="2">
        <v>37387</v>
      </c>
      <c r="D5091">
        <v>23</v>
      </c>
      <c r="E5091" t="s">
        <v>42</v>
      </c>
      <c r="F5091" t="s">
        <v>50</v>
      </c>
      <c r="G5091" s="2">
        <v>45505</v>
      </c>
      <c r="H5091" s="3">
        <f t="shared" si="79"/>
        <v>1</v>
      </c>
      <c r="I5091">
        <v>34</v>
      </c>
      <c r="J5091" t="s">
        <v>38</v>
      </c>
      <c r="K5091" t="s">
        <v>56</v>
      </c>
      <c r="L5091" t="s">
        <v>44</v>
      </c>
      <c r="M5091">
        <v>8.4700000000000006</v>
      </c>
      <c r="T5091" t="s">
        <v>45</v>
      </c>
      <c r="U5091">
        <v>4</v>
      </c>
      <c r="V5091">
        <v>7</v>
      </c>
    </row>
    <row r="5092" spans="1:22" x14ac:dyDescent="0.3">
      <c r="A5092">
        <v>5091</v>
      </c>
      <c r="B5092">
        <v>55605</v>
      </c>
      <c r="C5092" s="2">
        <v>37683</v>
      </c>
      <c r="D5092">
        <v>22</v>
      </c>
      <c r="E5092" t="s">
        <v>42</v>
      </c>
      <c r="F5092" t="s">
        <v>37</v>
      </c>
      <c r="G5092" s="2">
        <v>45657</v>
      </c>
      <c r="H5092" s="3">
        <f t="shared" si="79"/>
        <v>1.7205479452054795</v>
      </c>
      <c r="I5092">
        <v>34</v>
      </c>
      <c r="J5092" t="s">
        <v>38</v>
      </c>
      <c r="K5092" t="s">
        <v>56</v>
      </c>
      <c r="L5092" t="s">
        <v>44</v>
      </c>
      <c r="M5092">
        <v>8.4700000000000006</v>
      </c>
      <c r="T5092" t="s">
        <v>52</v>
      </c>
      <c r="U5092">
        <v>2</v>
      </c>
      <c r="V5092">
        <v>5</v>
      </c>
    </row>
    <row r="5093" spans="1:22" x14ac:dyDescent="0.3">
      <c r="A5093">
        <v>5092</v>
      </c>
      <c r="B5093">
        <v>55606</v>
      </c>
      <c r="C5093" s="2">
        <v>37653</v>
      </c>
      <c r="D5093">
        <v>23</v>
      </c>
      <c r="E5093" t="s">
        <v>42</v>
      </c>
      <c r="F5093" t="s">
        <v>50</v>
      </c>
      <c r="G5093" s="2">
        <v>45394</v>
      </c>
      <c r="H5093" s="3">
        <f t="shared" si="79"/>
        <v>1.4109589041095891</v>
      </c>
      <c r="I5093">
        <v>35</v>
      </c>
      <c r="J5093" t="s">
        <v>38</v>
      </c>
      <c r="K5093" t="s">
        <v>56</v>
      </c>
      <c r="L5093" t="s">
        <v>44</v>
      </c>
      <c r="M5093">
        <v>8.4700000000000006</v>
      </c>
      <c r="T5093" t="s">
        <v>49</v>
      </c>
      <c r="U5093">
        <v>2</v>
      </c>
      <c r="V5093">
        <v>6</v>
      </c>
    </row>
    <row r="5094" spans="1:22" x14ac:dyDescent="0.3">
      <c r="A5094">
        <v>5093</v>
      </c>
      <c r="B5094">
        <v>55607</v>
      </c>
      <c r="C5094" s="2">
        <v>38716</v>
      </c>
      <c r="D5094">
        <v>20</v>
      </c>
      <c r="E5094" t="s">
        <v>42</v>
      </c>
      <c r="F5094" t="s">
        <v>50</v>
      </c>
      <c r="G5094" s="2">
        <v>45507</v>
      </c>
      <c r="H5094" s="3">
        <f t="shared" si="79"/>
        <v>1.515068493150685</v>
      </c>
      <c r="I5094">
        <v>35</v>
      </c>
      <c r="J5094" t="s">
        <v>38</v>
      </c>
      <c r="K5094" t="s">
        <v>56</v>
      </c>
      <c r="L5094" t="s">
        <v>44</v>
      </c>
      <c r="M5094">
        <v>8.4700000000000006</v>
      </c>
      <c r="T5094" t="s">
        <v>52</v>
      </c>
      <c r="U5094">
        <v>1</v>
      </c>
      <c r="V5094">
        <v>6</v>
      </c>
    </row>
    <row r="5095" spans="1:22" x14ac:dyDescent="0.3">
      <c r="A5095">
        <v>5094</v>
      </c>
      <c r="B5095">
        <v>55608</v>
      </c>
      <c r="C5095" s="2">
        <v>35170</v>
      </c>
      <c r="D5095">
        <v>29</v>
      </c>
      <c r="E5095" t="s">
        <v>42</v>
      </c>
      <c r="F5095" t="s">
        <v>37</v>
      </c>
      <c r="G5095" s="2">
        <v>45469</v>
      </c>
      <c r="H5095" s="3">
        <f t="shared" si="79"/>
        <v>1.2602739726027397</v>
      </c>
      <c r="I5095">
        <v>35</v>
      </c>
      <c r="J5095" t="s">
        <v>38</v>
      </c>
      <c r="K5095" t="s">
        <v>56</v>
      </c>
      <c r="L5095" t="s">
        <v>44</v>
      </c>
      <c r="M5095">
        <v>8.4700000000000006</v>
      </c>
      <c r="T5095" t="s">
        <v>47</v>
      </c>
      <c r="U5095">
        <v>2</v>
      </c>
      <c r="V5095">
        <v>5</v>
      </c>
    </row>
    <row r="5096" spans="1:22" x14ac:dyDescent="0.3">
      <c r="A5096">
        <v>5095</v>
      </c>
      <c r="B5096">
        <v>55609</v>
      </c>
      <c r="C5096" s="2">
        <v>38006</v>
      </c>
      <c r="D5096">
        <v>21</v>
      </c>
      <c r="E5096" t="s">
        <v>42</v>
      </c>
      <c r="F5096" t="s">
        <v>50</v>
      </c>
      <c r="G5096" s="2">
        <v>45562</v>
      </c>
      <c r="H5096" s="3">
        <f t="shared" si="79"/>
        <v>1.3945205479452054</v>
      </c>
      <c r="I5096">
        <v>35</v>
      </c>
      <c r="J5096" t="s">
        <v>38</v>
      </c>
      <c r="K5096" t="s">
        <v>56</v>
      </c>
      <c r="L5096" t="s">
        <v>44</v>
      </c>
      <c r="M5096">
        <v>8.4700000000000006</v>
      </c>
      <c r="T5096" t="s">
        <v>52</v>
      </c>
      <c r="U5096">
        <v>1</v>
      </c>
      <c r="V5096">
        <v>5</v>
      </c>
    </row>
    <row r="5097" spans="1:22" x14ac:dyDescent="0.3">
      <c r="A5097">
        <v>5096</v>
      </c>
      <c r="B5097">
        <v>55610</v>
      </c>
      <c r="C5097" s="2">
        <v>38279</v>
      </c>
      <c r="D5097">
        <v>21</v>
      </c>
      <c r="E5097" t="s">
        <v>36</v>
      </c>
      <c r="F5097" t="s">
        <v>37</v>
      </c>
      <c r="G5097" s="2">
        <v>45513</v>
      </c>
      <c r="H5097" s="3">
        <f t="shared" si="79"/>
        <v>1.4876712328767123</v>
      </c>
      <c r="I5097">
        <v>35</v>
      </c>
      <c r="J5097" t="s">
        <v>38</v>
      </c>
      <c r="K5097" t="s">
        <v>56</v>
      </c>
      <c r="L5097" t="s">
        <v>44</v>
      </c>
      <c r="M5097">
        <v>8.4700000000000006</v>
      </c>
      <c r="T5097" t="s">
        <v>52</v>
      </c>
      <c r="U5097">
        <v>3</v>
      </c>
      <c r="V5097">
        <v>5</v>
      </c>
    </row>
    <row r="5098" spans="1:22" x14ac:dyDescent="0.3">
      <c r="A5098">
        <v>5097</v>
      </c>
      <c r="B5098">
        <v>55611</v>
      </c>
      <c r="C5098" s="2">
        <v>37619</v>
      </c>
      <c r="D5098">
        <v>23</v>
      </c>
      <c r="E5098" t="s">
        <v>36</v>
      </c>
      <c r="F5098" t="s">
        <v>50</v>
      </c>
      <c r="G5098" s="2">
        <v>45479</v>
      </c>
      <c r="H5098" s="3">
        <f t="shared" si="79"/>
        <v>1.1178082191780823</v>
      </c>
      <c r="I5098">
        <v>35</v>
      </c>
      <c r="J5098" t="s">
        <v>38</v>
      </c>
      <c r="K5098" t="s">
        <v>56</v>
      </c>
      <c r="L5098" t="s">
        <v>44</v>
      </c>
      <c r="M5098">
        <v>8.4700000000000006</v>
      </c>
      <c r="T5098" t="s">
        <v>49</v>
      </c>
      <c r="U5098">
        <v>2</v>
      </c>
      <c r="V5098">
        <v>5</v>
      </c>
    </row>
    <row r="5099" spans="1:22" x14ac:dyDescent="0.3">
      <c r="A5099">
        <v>5098</v>
      </c>
      <c r="B5099">
        <v>55612</v>
      </c>
      <c r="C5099" s="2">
        <v>36671</v>
      </c>
      <c r="D5099">
        <v>25</v>
      </c>
      <c r="E5099" t="s">
        <v>36</v>
      </c>
      <c r="F5099" t="s">
        <v>50</v>
      </c>
      <c r="G5099" s="2">
        <v>45614</v>
      </c>
      <c r="H5099" s="3">
        <f t="shared" si="79"/>
        <v>1.2575342465753425</v>
      </c>
      <c r="I5099">
        <v>35</v>
      </c>
      <c r="J5099" t="s">
        <v>38</v>
      </c>
      <c r="K5099" t="s">
        <v>56</v>
      </c>
      <c r="L5099" t="s">
        <v>44</v>
      </c>
      <c r="M5099">
        <v>8.4700000000000006</v>
      </c>
      <c r="T5099" t="s">
        <v>52</v>
      </c>
      <c r="U5099">
        <v>2</v>
      </c>
      <c r="V5099">
        <v>5</v>
      </c>
    </row>
    <row r="5100" spans="1:22" x14ac:dyDescent="0.3">
      <c r="A5100">
        <v>5099</v>
      </c>
      <c r="B5100">
        <v>55613</v>
      </c>
      <c r="C5100" s="2">
        <v>37427</v>
      </c>
      <c r="D5100">
        <v>23</v>
      </c>
      <c r="E5100" t="s">
        <v>42</v>
      </c>
      <c r="F5100" t="s">
        <v>50</v>
      </c>
      <c r="G5100" s="2">
        <v>45563</v>
      </c>
      <c r="H5100" s="3">
        <f t="shared" si="79"/>
        <v>1.726027397260274</v>
      </c>
      <c r="I5100">
        <v>35</v>
      </c>
      <c r="J5100" t="s">
        <v>38</v>
      </c>
      <c r="K5100" t="s">
        <v>56</v>
      </c>
      <c r="L5100" t="s">
        <v>44</v>
      </c>
      <c r="M5100">
        <v>8.4700000000000006</v>
      </c>
      <c r="T5100" t="s">
        <v>49</v>
      </c>
      <c r="U5100">
        <v>2</v>
      </c>
      <c r="V5100">
        <v>6</v>
      </c>
    </row>
    <row r="5101" spans="1:22" x14ac:dyDescent="0.3">
      <c r="A5101">
        <v>5100</v>
      </c>
      <c r="B5101">
        <v>55614</v>
      </c>
      <c r="C5101" s="2">
        <v>37450</v>
      </c>
      <c r="D5101">
        <v>23</v>
      </c>
      <c r="E5101" t="s">
        <v>36</v>
      </c>
      <c r="F5101" t="s">
        <v>37</v>
      </c>
      <c r="G5101" s="2">
        <v>45392</v>
      </c>
      <c r="H5101" s="3">
        <f t="shared" si="79"/>
        <v>1.4136986301369863</v>
      </c>
      <c r="I5101">
        <v>36</v>
      </c>
      <c r="J5101" t="s">
        <v>38</v>
      </c>
      <c r="K5101" t="s">
        <v>68</v>
      </c>
      <c r="L5101" t="s">
        <v>44</v>
      </c>
      <c r="M5101">
        <v>17</v>
      </c>
      <c r="T5101" t="s">
        <v>52</v>
      </c>
      <c r="U5101">
        <v>4</v>
      </c>
      <c r="V5101">
        <v>3</v>
      </c>
    </row>
    <row r="5102" spans="1:22" x14ac:dyDescent="0.3">
      <c r="A5102">
        <v>5101</v>
      </c>
      <c r="B5102">
        <v>55615</v>
      </c>
      <c r="C5102" s="2">
        <v>33701</v>
      </c>
      <c r="D5102">
        <v>33</v>
      </c>
      <c r="E5102" t="s">
        <v>42</v>
      </c>
      <c r="F5102" t="s">
        <v>50</v>
      </c>
      <c r="G5102" s="2">
        <v>45506</v>
      </c>
      <c r="H5102" s="3">
        <f t="shared" si="79"/>
        <v>1.6219178082191781</v>
      </c>
      <c r="I5102">
        <v>36</v>
      </c>
      <c r="J5102" t="s">
        <v>38</v>
      </c>
      <c r="K5102" t="s">
        <v>68</v>
      </c>
      <c r="L5102" t="s">
        <v>44</v>
      </c>
      <c r="M5102">
        <v>17</v>
      </c>
      <c r="T5102" t="s">
        <v>45</v>
      </c>
      <c r="U5102">
        <v>1</v>
      </c>
      <c r="V5102">
        <v>7</v>
      </c>
    </row>
    <row r="5103" spans="1:22" x14ac:dyDescent="0.3">
      <c r="A5103">
        <v>5102</v>
      </c>
      <c r="B5103">
        <v>55616</v>
      </c>
      <c r="C5103" s="2">
        <v>37136</v>
      </c>
      <c r="D5103">
        <v>24</v>
      </c>
      <c r="E5103" t="s">
        <v>42</v>
      </c>
      <c r="F5103" t="s">
        <v>37</v>
      </c>
      <c r="G5103" s="2">
        <v>45430</v>
      </c>
      <c r="H5103" s="3">
        <f t="shared" si="79"/>
        <v>1.2027397260273973</v>
      </c>
      <c r="I5103">
        <v>36</v>
      </c>
      <c r="J5103" t="s">
        <v>38</v>
      </c>
      <c r="K5103" t="s">
        <v>65</v>
      </c>
      <c r="L5103" t="s">
        <v>44</v>
      </c>
      <c r="M5103">
        <v>10.64</v>
      </c>
      <c r="T5103" t="s">
        <v>52</v>
      </c>
      <c r="U5103">
        <v>1</v>
      </c>
      <c r="V5103">
        <v>5</v>
      </c>
    </row>
    <row r="5104" spans="1:22" x14ac:dyDescent="0.3">
      <c r="A5104">
        <v>5103</v>
      </c>
      <c r="B5104">
        <v>55617</v>
      </c>
      <c r="C5104" s="2">
        <v>36465</v>
      </c>
      <c r="D5104">
        <v>27</v>
      </c>
      <c r="E5104" t="s">
        <v>42</v>
      </c>
      <c r="F5104" t="s">
        <v>37</v>
      </c>
      <c r="G5104" s="2">
        <v>45583</v>
      </c>
      <c r="H5104" s="3">
        <f t="shared" si="79"/>
        <v>1.2027397260273973</v>
      </c>
      <c r="I5104">
        <v>36</v>
      </c>
      <c r="J5104" t="s">
        <v>38</v>
      </c>
      <c r="K5104" t="s">
        <v>65</v>
      </c>
      <c r="L5104" t="s">
        <v>44</v>
      </c>
      <c r="M5104">
        <v>10.64</v>
      </c>
      <c r="T5104" t="s">
        <v>47</v>
      </c>
      <c r="U5104">
        <v>1</v>
      </c>
      <c r="V5104">
        <v>6</v>
      </c>
    </row>
    <row r="5105" spans="1:22" x14ac:dyDescent="0.3">
      <c r="A5105">
        <v>5104</v>
      </c>
      <c r="B5105">
        <v>55618</v>
      </c>
      <c r="C5105" s="2">
        <v>39074</v>
      </c>
      <c r="D5105">
        <v>19</v>
      </c>
      <c r="E5105" t="s">
        <v>36</v>
      </c>
      <c r="F5105" t="s">
        <v>50</v>
      </c>
      <c r="G5105" s="2">
        <v>45583</v>
      </c>
      <c r="H5105" s="3">
        <f t="shared" si="79"/>
        <v>1.2767123287671234</v>
      </c>
      <c r="I5105">
        <v>36</v>
      </c>
      <c r="J5105" t="s">
        <v>38</v>
      </c>
      <c r="K5105" t="s">
        <v>65</v>
      </c>
      <c r="L5105" t="s">
        <v>44</v>
      </c>
      <c r="M5105">
        <v>10.64</v>
      </c>
      <c r="T5105" t="s">
        <v>45</v>
      </c>
      <c r="U5105">
        <v>1</v>
      </c>
      <c r="V5105">
        <v>4</v>
      </c>
    </row>
    <row r="5106" spans="1:22" x14ac:dyDescent="0.3">
      <c r="A5106">
        <v>5105</v>
      </c>
      <c r="B5106">
        <v>55620</v>
      </c>
      <c r="C5106" s="2">
        <v>38208</v>
      </c>
      <c r="D5106">
        <v>21</v>
      </c>
      <c r="E5106" t="s">
        <v>42</v>
      </c>
      <c r="F5106" t="s">
        <v>50</v>
      </c>
      <c r="G5106" s="2">
        <v>45556</v>
      </c>
      <c r="H5106" s="3">
        <f t="shared" si="79"/>
        <v>1.3205479452054794</v>
      </c>
      <c r="I5106">
        <v>36</v>
      </c>
      <c r="J5106" t="s">
        <v>38</v>
      </c>
      <c r="K5106" t="s">
        <v>48</v>
      </c>
      <c r="L5106" t="s">
        <v>44</v>
      </c>
      <c r="M5106">
        <v>8.4700000000000006</v>
      </c>
      <c r="T5106" t="s">
        <v>52</v>
      </c>
      <c r="U5106">
        <v>0</v>
      </c>
      <c r="V5106">
        <v>5</v>
      </c>
    </row>
    <row r="5107" spans="1:22" x14ac:dyDescent="0.3">
      <c r="A5107">
        <v>5106</v>
      </c>
      <c r="B5107">
        <v>55621</v>
      </c>
      <c r="C5107" s="2">
        <v>38222</v>
      </c>
      <c r="D5107">
        <v>21</v>
      </c>
      <c r="E5107" t="s">
        <v>42</v>
      </c>
      <c r="F5107" t="s">
        <v>50</v>
      </c>
      <c r="G5107" s="2">
        <v>45540</v>
      </c>
      <c r="H5107" s="3">
        <f t="shared" si="79"/>
        <v>1.1424657534246576</v>
      </c>
      <c r="I5107">
        <v>36</v>
      </c>
      <c r="J5107" t="s">
        <v>38</v>
      </c>
      <c r="K5107" t="s">
        <v>56</v>
      </c>
      <c r="L5107" t="s">
        <v>44</v>
      </c>
      <c r="M5107">
        <v>8.4700000000000006</v>
      </c>
      <c r="T5107" t="s">
        <v>45</v>
      </c>
      <c r="U5107">
        <v>1</v>
      </c>
      <c r="V5107">
        <v>5</v>
      </c>
    </row>
    <row r="5108" spans="1:22" x14ac:dyDescent="0.3">
      <c r="A5108">
        <v>5107</v>
      </c>
      <c r="B5108">
        <v>55622</v>
      </c>
      <c r="C5108" s="2">
        <v>37872</v>
      </c>
      <c r="D5108">
        <v>22</v>
      </c>
      <c r="E5108" t="s">
        <v>42</v>
      </c>
      <c r="F5108" t="s">
        <v>50</v>
      </c>
      <c r="G5108" s="2">
        <v>45605</v>
      </c>
      <c r="H5108" s="3">
        <f t="shared" si="79"/>
        <v>1.3232876712328767</v>
      </c>
      <c r="I5108">
        <v>36</v>
      </c>
      <c r="J5108" t="s">
        <v>38</v>
      </c>
      <c r="K5108" t="s">
        <v>56</v>
      </c>
      <c r="L5108" t="s">
        <v>44</v>
      </c>
      <c r="M5108">
        <v>8.4700000000000006</v>
      </c>
      <c r="T5108" t="s">
        <v>52</v>
      </c>
      <c r="U5108">
        <v>2</v>
      </c>
      <c r="V5108">
        <v>5</v>
      </c>
    </row>
    <row r="5109" spans="1:22" x14ac:dyDescent="0.3">
      <c r="A5109">
        <v>5108</v>
      </c>
      <c r="B5109">
        <v>55623</v>
      </c>
      <c r="C5109" s="2">
        <v>38317</v>
      </c>
      <c r="D5109">
        <v>21</v>
      </c>
      <c r="E5109" t="s">
        <v>42</v>
      </c>
      <c r="F5109" t="s">
        <v>50</v>
      </c>
      <c r="G5109" s="2">
        <v>45539</v>
      </c>
      <c r="H5109" s="3">
        <f t="shared" si="79"/>
        <v>1.7123287671232876</v>
      </c>
      <c r="I5109">
        <v>36</v>
      </c>
      <c r="J5109" t="s">
        <v>38</v>
      </c>
      <c r="K5109" t="s">
        <v>56</v>
      </c>
      <c r="L5109" t="s">
        <v>44</v>
      </c>
      <c r="M5109">
        <v>8.4700000000000006</v>
      </c>
      <c r="T5109" t="s">
        <v>45</v>
      </c>
      <c r="U5109">
        <v>2</v>
      </c>
      <c r="V5109">
        <v>4</v>
      </c>
    </row>
    <row r="5110" spans="1:22" x14ac:dyDescent="0.3">
      <c r="A5110">
        <v>5109</v>
      </c>
      <c r="B5110">
        <v>55624</v>
      </c>
      <c r="C5110" s="2">
        <v>36811</v>
      </c>
      <c r="D5110">
        <v>25</v>
      </c>
      <c r="E5110" t="s">
        <v>36</v>
      </c>
      <c r="F5110" t="s">
        <v>50</v>
      </c>
      <c r="G5110" s="2">
        <v>45397</v>
      </c>
      <c r="H5110" s="3">
        <f t="shared" si="79"/>
        <v>1.3260273972602741</v>
      </c>
      <c r="I5110">
        <v>36</v>
      </c>
      <c r="J5110" t="s">
        <v>38</v>
      </c>
      <c r="K5110" t="s">
        <v>56</v>
      </c>
      <c r="L5110" t="s">
        <v>44</v>
      </c>
      <c r="M5110">
        <v>8.4700000000000006</v>
      </c>
      <c r="T5110" t="s">
        <v>47</v>
      </c>
      <c r="U5110">
        <v>1</v>
      </c>
      <c r="V5110">
        <v>6</v>
      </c>
    </row>
    <row r="5111" spans="1:22" x14ac:dyDescent="0.3">
      <c r="A5111">
        <v>5110</v>
      </c>
      <c r="B5111">
        <v>55625</v>
      </c>
      <c r="C5111" s="2">
        <v>36621</v>
      </c>
      <c r="D5111">
        <v>25</v>
      </c>
      <c r="E5111" t="s">
        <v>42</v>
      </c>
      <c r="F5111" t="s">
        <v>37</v>
      </c>
      <c r="G5111" s="2">
        <v>45538</v>
      </c>
      <c r="H5111" s="3">
        <f t="shared" si="79"/>
        <v>1.263013698630137</v>
      </c>
      <c r="I5111">
        <v>36</v>
      </c>
      <c r="J5111" t="s">
        <v>38</v>
      </c>
      <c r="K5111" t="s">
        <v>56</v>
      </c>
      <c r="L5111" t="s">
        <v>44</v>
      </c>
      <c r="M5111">
        <v>8.4700000000000006</v>
      </c>
      <c r="T5111" t="s">
        <v>47</v>
      </c>
      <c r="U5111">
        <v>3</v>
      </c>
      <c r="V5111">
        <v>6</v>
      </c>
    </row>
    <row r="5112" spans="1:22" x14ac:dyDescent="0.3">
      <c r="A5112">
        <v>5111</v>
      </c>
      <c r="B5112">
        <v>55626</v>
      </c>
      <c r="C5112" s="2">
        <v>39203</v>
      </c>
      <c r="D5112">
        <v>19</v>
      </c>
      <c r="E5112" t="s">
        <v>42</v>
      </c>
      <c r="F5112" t="s">
        <v>50</v>
      </c>
      <c r="G5112" s="2">
        <v>45561</v>
      </c>
      <c r="H5112" s="3">
        <f t="shared" si="79"/>
        <v>1.536986301369863</v>
      </c>
      <c r="I5112">
        <v>36</v>
      </c>
      <c r="J5112" t="s">
        <v>38</v>
      </c>
      <c r="K5112" t="s">
        <v>56</v>
      </c>
      <c r="L5112" t="s">
        <v>44</v>
      </c>
      <c r="M5112">
        <v>8.4700000000000006</v>
      </c>
      <c r="T5112" t="s">
        <v>47</v>
      </c>
      <c r="U5112">
        <v>4</v>
      </c>
      <c r="V5112">
        <v>6</v>
      </c>
    </row>
    <row r="5113" spans="1:22" x14ac:dyDescent="0.3">
      <c r="A5113">
        <v>5112</v>
      </c>
      <c r="B5113">
        <v>55627</v>
      </c>
      <c r="C5113" s="2">
        <v>38121</v>
      </c>
      <c r="D5113">
        <v>21</v>
      </c>
      <c r="E5113" t="s">
        <v>42</v>
      </c>
      <c r="F5113" t="s">
        <v>37</v>
      </c>
      <c r="G5113" s="2">
        <v>45461</v>
      </c>
      <c r="H5113" s="3">
        <f t="shared" si="79"/>
        <v>1.1945205479452055</v>
      </c>
      <c r="I5113">
        <v>36</v>
      </c>
      <c r="J5113" t="s">
        <v>38</v>
      </c>
      <c r="K5113" t="s">
        <v>56</v>
      </c>
      <c r="L5113" t="s">
        <v>44</v>
      </c>
      <c r="M5113">
        <v>8.4700000000000006</v>
      </c>
      <c r="T5113" t="s">
        <v>52</v>
      </c>
      <c r="U5113">
        <v>2</v>
      </c>
      <c r="V5113">
        <v>5</v>
      </c>
    </row>
    <row r="5114" spans="1:22" x14ac:dyDescent="0.3">
      <c r="A5114">
        <v>5113</v>
      </c>
      <c r="B5114">
        <v>55628</v>
      </c>
      <c r="C5114" s="2">
        <v>35311</v>
      </c>
      <c r="D5114">
        <v>29</v>
      </c>
      <c r="E5114" t="s">
        <v>42</v>
      </c>
      <c r="F5114" t="s">
        <v>50</v>
      </c>
      <c r="G5114" s="2">
        <v>45586</v>
      </c>
      <c r="H5114" s="3">
        <f t="shared" si="79"/>
        <v>1.3287671232876712</v>
      </c>
      <c r="I5114">
        <v>36</v>
      </c>
      <c r="J5114" t="s">
        <v>38</v>
      </c>
      <c r="K5114" t="s">
        <v>56</v>
      </c>
      <c r="L5114" t="s">
        <v>44</v>
      </c>
      <c r="M5114">
        <v>8.4700000000000006</v>
      </c>
      <c r="T5114" t="s">
        <v>49</v>
      </c>
      <c r="U5114">
        <v>1</v>
      </c>
      <c r="V5114">
        <v>5</v>
      </c>
    </row>
    <row r="5115" spans="1:22" x14ac:dyDescent="0.3">
      <c r="A5115">
        <v>5114</v>
      </c>
      <c r="B5115">
        <v>55629</v>
      </c>
      <c r="C5115" s="2">
        <v>38535</v>
      </c>
      <c r="D5115">
        <v>20</v>
      </c>
      <c r="E5115" t="s">
        <v>36</v>
      </c>
      <c r="F5115" t="s">
        <v>50</v>
      </c>
      <c r="G5115" s="2">
        <v>45537</v>
      </c>
      <c r="H5115" s="3">
        <f t="shared" si="79"/>
        <v>1.2191780821917808</v>
      </c>
      <c r="I5115">
        <v>36</v>
      </c>
      <c r="J5115" t="s">
        <v>38</v>
      </c>
      <c r="K5115" t="s">
        <v>56</v>
      </c>
      <c r="L5115" t="s">
        <v>44</v>
      </c>
      <c r="M5115">
        <v>8.4700000000000006</v>
      </c>
      <c r="T5115" t="s">
        <v>47</v>
      </c>
      <c r="U5115">
        <v>4</v>
      </c>
      <c r="V5115">
        <v>5</v>
      </c>
    </row>
    <row r="5116" spans="1:22" x14ac:dyDescent="0.3">
      <c r="A5116">
        <v>5115</v>
      </c>
      <c r="B5116">
        <v>55630</v>
      </c>
      <c r="C5116" s="2">
        <v>38021</v>
      </c>
      <c r="D5116">
        <v>21</v>
      </c>
      <c r="E5116" t="s">
        <v>42</v>
      </c>
      <c r="F5116" t="s">
        <v>50</v>
      </c>
      <c r="G5116" s="2">
        <v>45577</v>
      </c>
      <c r="H5116" s="3">
        <f t="shared" si="79"/>
        <v>1.4904109589041097</v>
      </c>
      <c r="I5116">
        <v>36</v>
      </c>
      <c r="J5116" t="s">
        <v>38</v>
      </c>
      <c r="K5116" t="s">
        <v>56</v>
      </c>
      <c r="L5116" t="s">
        <v>44</v>
      </c>
      <c r="M5116">
        <v>8.4700000000000006</v>
      </c>
      <c r="T5116" t="s">
        <v>45</v>
      </c>
      <c r="U5116">
        <v>2</v>
      </c>
      <c r="V5116">
        <v>7</v>
      </c>
    </row>
    <row r="5117" spans="1:22" x14ac:dyDescent="0.3">
      <c r="A5117">
        <v>5116</v>
      </c>
      <c r="B5117">
        <v>55631</v>
      </c>
      <c r="C5117" s="2">
        <v>38759</v>
      </c>
      <c r="D5117">
        <v>19</v>
      </c>
      <c r="E5117" t="s">
        <v>42</v>
      </c>
      <c r="F5117" t="s">
        <v>37</v>
      </c>
      <c r="G5117" s="2">
        <v>45478</v>
      </c>
      <c r="H5117" s="3">
        <f t="shared" si="79"/>
        <v>1.4986301369863013</v>
      </c>
      <c r="I5117">
        <v>36</v>
      </c>
      <c r="J5117" t="s">
        <v>38</v>
      </c>
      <c r="K5117" t="s">
        <v>56</v>
      </c>
      <c r="L5117" t="s">
        <v>44</v>
      </c>
      <c r="M5117">
        <v>8.4700000000000006</v>
      </c>
      <c r="T5117" t="s">
        <v>45</v>
      </c>
      <c r="U5117">
        <v>4</v>
      </c>
      <c r="V5117">
        <v>6</v>
      </c>
    </row>
    <row r="5118" spans="1:22" x14ac:dyDescent="0.3">
      <c r="A5118">
        <v>5117</v>
      </c>
      <c r="B5118">
        <v>55632</v>
      </c>
      <c r="C5118" s="2">
        <v>37369</v>
      </c>
      <c r="D5118">
        <v>23</v>
      </c>
      <c r="E5118" t="s">
        <v>42</v>
      </c>
      <c r="F5118" t="s">
        <v>50</v>
      </c>
      <c r="G5118" s="2">
        <v>45475</v>
      </c>
      <c r="H5118" s="3">
        <f t="shared" si="79"/>
        <v>1.7698630136986302</v>
      </c>
      <c r="I5118">
        <v>37</v>
      </c>
      <c r="J5118" t="s">
        <v>38</v>
      </c>
      <c r="K5118" t="s">
        <v>68</v>
      </c>
      <c r="L5118" t="s">
        <v>44</v>
      </c>
      <c r="M5118">
        <v>17</v>
      </c>
      <c r="T5118" t="s">
        <v>52</v>
      </c>
      <c r="U5118">
        <v>4</v>
      </c>
      <c r="V5118">
        <v>6</v>
      </c>
    </row>
    <row r="5119" spans="1:22" x14ac:dyDescent="0.3">
      <c r="A5119">
        <v>5118</v>
      </c>
      <c r="B5119">
        <v>55633</v>
      </c>
      <c r="C5119" s="2">
        <v>36816</v>
      </c>
      <c r="D5119">
        <v>25</v>
      </c>
      <c r="E5119" t="s">
        <v>42</v>
      </c>
      <c r="F5119" t="s">
        <v>50</v>
      </c>
      <c r="G5119" s="2">
        <v>45376</v>
      </c>
      <c r="H5119" s="3">
        <f t="shared" si="79"/>
        <v>1.5945205479452054</v>
      </c>
      <c r="I5119">
        <v>37</v>
      </c>
      <c r="J5119" t="s">
        <v>38</v>
      </c>
      <c r="K5119" t="s">
        <v>56</v>
      </c>
      <c r="L5119" t="s">
        <v>44</v>
      </c>
      <c r="M5119">
        <v>8.4700000000000006</v>
      </c>
      <c r="T5119" t="s">
        <v>45</v>
      </c>
      <c r="U5119">
        <v>2</v>
      </c>
      <c r="V5119">
        <v>6</v>
      </c>
    </row>
    <row r="5120" spans="1:22" x14ac:dyDescent="0.3">
      <c r="A5120">
        <v>5119</v>
      </c>
      <c r="B5120">
        <v>55634</v>
      </c>
      <c r="C5120" s="2">
        <v>36715</v>
      </c>
      <c r="D5120">
        <v>25</v>
      </c>
      <c r="E5120" t="s">
        <v>42</v>
      </c>
      <c r="F5120" t="s">
        <v>37</v>
      </c>
      <c r="G5120" s="2">
        <v>45440</v>
      </c>
      <c r="H5120" s="3">
        <f t="shared" si="79"/>
        <v>1.3753424657534246</v>
      </c>
      <c r="I5120">
        <v>37</v>
      </c>
      <c r="J5120" t="s">
        <v>38</v>
      </c>
      <c r="K5120" t="s">
        <v>56</v>
      </c>
      <c r="L5120" t="s">
        <v>44</v>
      </c>
      <c r="M5120">
        <v>8.4700000000000006</v>
      </c>
      <c r="T5120" t="s">
        <v>47</v>
      </c>
      <c r="U5120">
        <v>1</v>
      </c>
      <c r="V5120">
        <v>5</v>
      </c>
    </row>
    <row r="5121" spans="1:22" x14ac:dyDescent="0.3">
      <c r="A5121">
        <v>5120</v>
      </c>
      <c r="B5121">
        <v>55635</v>
      </c>
      <c r="C5121" s="2">
        <v>35943</v>
      </c>
      <c r="D5121">
        <v>27</v>
      </c>
      <c r="E5121" t="s">
        <v>42</v>
      </c>
      <c r="F5121" t="s">
        <v>50</v>
      </c>
      <c r="G5121" s="2">
        <v>45520</v>
      </c>
      <c r="H5121" s="3">
        <f t="shared" si="79"/>
        <v>1.747945205479452</v>
      </c>
      <c r="I5121">
        <v>37</v>
      </c>
      <c r="J5121" t="s">
        <v>38</v>
      </c>
      <c r="K5121" t="s">
        <v>56</v>
      </c>
      <c r="L5121" t="s">
        <v>44</v>
      </c>
      <c r="M5121">
        <v>8.4700000000000006</v>
      </c>
      <c r="T5121" t="s">
        <v>52</v>
      </c>
      <c r="U5121">
        <v>3</v>
      </c>
      <c r="V5121">
        <v>5</v>
      </c>
    </row>
    <row r="5122" spans="1:22" x14ac:dyDescent="0.3">
      <c r="A5122">
        <v>5121</v>
      </c>
      <c r="B5122">
        <v>55636</v>
      </c>
      <c r="C5122" s="2">
        <v>35877</v>
      </c>
      <c r="D5122">
        <v>27</v>
      </c>
      <c r="E5122" t="s">
        <v>36</v>
      </c>
      <c r="F5122" t="s">
        <v>50</v>
      </c>
      <c r="G5122" s="2">
        <v>45384</v>
      </c>
      <c r="H5122" s="3">
        <f t="shared" si="79"/>
        <v>1.536986301369863</v>
      </c>
      <c r="I5122">
        <v>37</v>
      </c>
      <c r="J5122" t="s">
        <v>38</v>
      </c>
      <c r="K5122" t="s">
        <v>56</v>
      </c>
      <c r="L5122" t="s">
        <v>44</v>
      </c>
      <c r="M5122">
        <v>8.4700000000000006</v>
      </c>
      <c r="T5122" t="s">
        <v>47</v>
      </c>
      <c r="U5122">
        <v>1</v>
      </c>
      <c r="V5122">
        <v>4</v>
      </c>
    </row>
    <row r="5123" spans="1:22" x14ac:dyDescent="0.3">
      <c r="A5123">
        <v>5122</v>
      </c>
      <c r="B5123">
        <v>55637</v>
      </c>
      <c r="C5123" s="2">
        <v>37342</v>
      </c>
      <c r="D5123">
        <v>23</v>
      </c>
      <c r="E5123" t="s">
        <v>36</v>
      </c>
      <c r="F5123" t="s">
        <v>50</v>
      </c>
      <c r="G5123" s="2">
        <v>45461</v>
      </c>
      <c r="H5123" s="3">
        <f t="shared" ref="H5123:H5186" si="80">DATEDIF(G5124,DATE(2025,12,31),"d")/365</f>
        <v>1.558904109589041</v>
      </c>
      <c r="I5123">
        <v>38</v>
      </c>
      <c r="J5123" t="s">
        <v>38</v>
      </c>
      <c r="K5123" t="s">
        <v>68</v>
      </c>
      <c r="L5123" t="s">
        <v>44</v>
      </c>
      <c r="M5123">
        <v>17</v>
      </c>
      <c r="T5123" t="s">
        <v>47</v>
      </c>
      <c r="U5123">
        <v>4</v>
      </c>
      <c r="V5123">
        <v>4</v>
      </c>
    </row>
    <row r="5124" spans="1:22" x14ac:dyDescent="0.3">
      <c r="A5124">
        <v>5123</v>
      </c>
      <c r="B5124">
        <v>55638</v>
      </c>
      <c r="C5124" s="2">
        <v>36443</v>
      </c>
      <c r="D5124">
        <v>26</v>
      </c>
      <c r="E5124" t="s">
        <v>42</v>
      </c>
      <c r="F5124" t="s">
        <v>50</v>
      </c>
      <c r="G5124" s="2">
        <v>45453</v>
      </c>
      <c r="H5124" s="3">
        <f t="shared" si="80"/>
        <v>1.0712328767123287</v>
      </c>
      <c r="I5124">
        <v>38</v>
      </c>
      <c r="J5124" t="s">
        <v>38</v>
      </c>
      <c r="K5124" t="s">
        <v>68</v>
      </c>
      <c r="L5124" t="s">
        <v>44</v>
      </c>
      <c r="M5124">
        <v>17</v>
      </c>
      <c r="T5124" t="s">
        <v>45</v>
      </c>
      <c r="U5124">
        <v>3</v>
      </c>
      <c r="V5124">
        <v>7</v>
      </c>
    </row>
    <row r="5125" spans="1:22" x14ac:dyDescent="0.3">
      <c r="A5125">
        <v>5124</v>
      </c>
      <c r="B5125">
        <v>55639</v>
      </c>
      <c r="C5125" s="2">
        <v>37834</v>
      </c>
      <c r="D5125">
        <v>23</v>
      </c>
      <c r="E5125" t="s">
        <v>42</v>
      </c>
      <c r="F5125" t="s">
        <v>50</v>
      </c>
      <c r="G5125" s="2">
        <v>45631</v>
      </c>
      <c r="H5125" s="3">
        <f t="shared" si="80"/>
        <v>1.526027397260274</v>
      </c>
      <c r="I5125">
        <v>38</v>
      </c>
      <c r="J5125" t="s">
        <v>38</v>
      </c>
      <c r="K5125" t="s">
        <v>68</v>
      </c>
      <c r="L5125" t="s">
        <v>44</v>
      </c>
      <c r="M5125">
        <v>17</v>
      </c>
      <c r="T5125" t="s">
        <v>49</v>
      </c>
      <c r="U5125">
        <v>2</v>
      </c>
      <c r="V5125">
        <v>5</v>
      </c>
    </row>
    <row r="5126" spans="1:22" x14ac:dyDescent="0.3">
      <c r="A5126">
        <v>5125</v>
      </c>
      <c r="B5126">
        <v>55640</v>
      </c>
      <c r="C5126" s="2">
        <v>37551</v>
      </c>
      <c r="D5126">
        <v>23</v>
      </c>
      <c r="E5126" t="s">
        <v>36</v>
      </c>
      <c r="F5126" t="s">
        <v>50</v>
      </c>
      <c r="G5126" s="2">
        <v>45465</v>
      </c>
      <c r="H5126" s="3">
        <f t="shared" si="80"/>
        <v>1.0082191780821919</v>
      </c>
      <c r="I5126">
        <v>38</v>
      </c>
      <c r="J5126" t="s">
        <v>38</v>
      </c>
      <c r="K5126" t="s">
        <v>65</v>
      </c>
      <c r="L5126" t="s">
        <v>44</v>
      </c>
      <c r="M5126">
        <v>10.64</v>
      </c>
      <c r="T5126" t="s">
        <v>49</v>
      </c>
      <c r="U5126">
        <v>0</v>
      </c>
      <c r="V5126">
        <v>5</v>
      </c>
    </row>
    <row r="5127" spans="1:22" x14ac:dyDescent="0.3">
      <c r="A5127">
        <v>5126</v>
      </c>
      <c r="B5127">
        <v>55641</v>
      </c>
      <c r="C5127" s="2">
        <v>37714</v>
      </c>
      <c r="D5127">
        <v>22</v>
      </c>
      <c r="E5127" t="s">
        <v>42</v>
      </c>
      <c r="F5127" t="s">
        <v>50</v>
      </c>
      <c r="G5127" s="2">
        <v>45654</v>
      </c>
      <c r="H5127" s="3">
        <f t="shared" si="80"/>
        <v>1.252054794520548</v>
      </c>
      <c r="I5127">
        <v>38</v>
      </c>
      <c r="J5127" t="s">
        <v>38</v>
      </c>
      <c r="K5127" t="s">
        <v>56</v>
      </c>
      <c r="L5127" t="s">
        <v>44</v>
      </c>
      <c r="M5127">
        <v>8.4700000000000006</v>
      </c>
      <c r="T5127" t="s">
        <v>45</v>
      </c>
      <c r="U5127">
        <v>0</v>
      </c>
      <c r="V5127">
        <v>6</v>
      </c>
    </row>
    <row r="5128" spans="1:22" x14ac:dyDescent="0.3">
      <c r="A5128">
        <v>5127</v>
      </c>
      <c r="B5128">
        <v>55642</v>
      </c>
      <c r="C5128" s="2">
        <v>39019</v>
      </c>
      <c r="D5128">
        <v>19</v>
      </c>
      <c r="E5128" t="s">
        <v>42</v>
      </c>
      <c r="F5128" t="s">
        <v>50</v>
      </c>
      <c r="G5128" s="2">
        <v>45565</v>
      </c>
      <c r="H5128" s="3">
        <f t="shared" si="80"/>
        <v>1.6356164383561644</v>
      </c>
      <c r="I5128">
        <v>38</v>
      </c>
      <c r="J5128" t="s">
        <v>38</v>
      </c>
      <c r="K5128" t="s">
        <v>56</v>
      </c>
      <c r="L5128" t="s">
        <v>44</v>
      </c>
      <c r="M5128">
        <v>8.4700000000000006</v>
      </c>
      <c r="T5128" t="s">
        <v>52</v>
      </c>
      <c r="U5128">
        <v>4</v>
      </c>
      <c r="V5128">
        <v>6</v>
      </c>
    </row>
    <row r="5129" spans="1:22" x14ac:dyDescent="0.3">
      <c r="A5129">
        <v>5128</v>
      </c>
      <c r="B5129">
        <v>55643</v>
      </c>
      <c r="C5129" s="2">
        <v>38471</v>
      </c>
      <c r="D5129">
        <v>20</v>
      </c>
      <c r="E5129" t="s">
        <v>42</v>
      </c>
      <c r="F5129" t="s">
        <v>50</v>
      </c>
      <c r="G5129" s="2">
        <v>45425</v>
      </c>
      <c r="H5129" s="3">
        <f t="shared" si="80"/>
        <v>1.1397260273972603</v>
      </c>
      <c r="I5129">
        <v>38</v>
      </c>
      <c r="J5129" t="s">
        <v>38</v>
      </c>
      <c r="K5129" t="s">
        <v>56</v>
      </c>
      <c r="L5129" t="s">
        <v>44</v>
      </c>
      <c r="M5129">
        <v>8.4700000000000006</v>
      </c>
      <c r="T5129" t="s">
        <v>45</v>
      </c>
      <c r="U5129">
        <v>1</v>
      </c>
      <c r="V5129">
        <v>6</v>
      </c>
    </row>
    <row r="5130" spans="1:22" x14ac:dyDescent="0.3">
      <c r="A5130">
        <v>5129</v>
      </c>
      <c r="B5130">
        <v>55644</v>
      </c>
      <c r="C5130" s="2">
        <v>38940</v>
      </c>
      <c r="D5130">
        <v>19</v>
      </c>
      <c r="E5130" t="s">
        <v>42</v>
      </c>
      <c r="F5130" t="s">
        <v>37</v>
      </c>
      <c r="G5130" s="2">
        <v>45606</v>
      </c>
      <c r="H5130" s="3">
        <f t="shared" si="80"/>
        <v>1.5616438356164384</v>
      </c>
      <c r="I5130">
        <v>38</v>
      </c>
      <c r="J5130" t="s">
        <v>38</v>
      </c>
      <c r="K5130" t="s">
        <v>56</v>
      </c>
      <c r="L5130" t="s">
        <v>44</v>
      </c>
      <c r="M5130">
        <v>8.4700000000000006</v>
      </c>
      <c r="T5130" t="s">
        <v>49</v>
      </c>
      <c r="U5130">
        <v>2</v>
      </c>
      <c r="V5130">
        <v>5</v>
      </c>
    </row>
    <row r="5131" spans="1:22" x14ac:dyDescent="0.3">
      <c r="A5131">
        <v>5130</v>
      </c>
      <c r="B5131">
        <v>55645</v>
      </c>
      <c r="C5131" s="2">
        <v>37729</v>
      </c>
      <c r="D5131">
        <v>22</v>
      </c>
      <c r="E5131" t="s">
        <v>42</v>
      </c>
      <c r="F5131" t="s">
        <v>37</v>
      </c>
      <c r="G5131" s="2">
        <v>45452</v>
      </c>
      <c r="H5131" s="3">
        <f t="shared" si="80"/>
        <v>1.4136986301369863</v>
      </c>
      <c r="I5131">
        <v>38</v>
      </c>
      <c r="J5131" t="s">
        <v>38</v>
      </c>
      <c r="K5131" t="s">
        <v>56</v>
      </c>
      <c r="L5131" t="s">
        <v>44</v>
      </c>
      <c r="M5131">
        <v>8.4700000000000006</v>
      </c>
      <c r="T5131" t="s">
        <v>45</v>
      </c>
      <c r="U5131">
        <v>2</v>
      </c>
      <c r="V5131">
        <v>5</v>
      </c>
    </row>
    <row r="5132" spans="1:22" x14ac:dyDescent="0.3">
      <c r="A5132">
        <v>5131</v>
      </c>
      <c r="B5132">
        <v>55646</v>
      </c>
      <c r="C5132" s="2">
        <v>35582</v>
      </c>
      <c r="D5132">
        <v>29</v>
      </c>
      <c r="E5132" t="s">
        <v>42</v>
      </c>
      <c r="F5132" t="s">
        <v>50</v>
      </c>
      <c r="G5132" s="2">
        <v>45506</v>
      </c>
      <c r="H5132" s="3">
        <f t="shared" si="80"/>
        <v>1.7917808219178082</v>
      </c>
      <c r="I5132">
        <v>38</v>
      </c>
      <c r="J5132" t="s">
        <v>38</v>
      </c>
      <c r="K5132" t="s">
        <v>56</v>
      </c>
      <c r="L5132" t="s">
        <v>44</v>
      </c>
      <c r="M5132">
        <v>8.4700000000000006</v>
      </c>
      <c r="T5132" t="s">
        <v>45</v>
      </c>
      <c r="U5132">
        <v>2</v>
      </c>
      <c r="V5132">
        <v>7</v>
      </c>
    </row>
    <row r="5133" spans="1:22" x14ac:dyDescent="0.3">
      <c r="A5133">
        <v>5132</v>
      </c>
      <c r="B5133">
        <v>55647</v>
      </c>
      <c r="C5133" s="2">
        <v>36244</v>
      </c>
      <c r="D5133">
        <v>26</v>
      </c>
      <c r="E5133" t="s">
        <v>42</v>
      </c>
      <c r="F5133" t="s">
        <v>50</v>
      </c>
      <c r="G5133" s="2">
        <v>45368</v>
      </c>
      <c r="H5133" s="3">
        <f t="shared" si="80"/>
        <v>1.8356164383561644</v>
      </c>
      <c r="I5133">
        <v>38</v>
      </c>
      <c r="J5133" t="s">
        <v>38</v>
      </c>
      <c r="K5133" t="s">
        <v>56</v>
      </c>
      <c r="L5133" t="s">
        <v>44</v>
      </c>
      <c r="M5133">
        <v>8.4700000000000006</v>
      </c>
      <c r="T5133" t="s">
        <v>47</v>
      </c>
      <c r="U5133">
        <v>4</v>
      </c>
      <c r="V5133">
        <v>7</v>
      </c>
    </row>
    <row r="5134" spans="1:22" x14ac:dyDescent="0.3">
      <c r="A5134">
        <v>5133</v>
      </c>
      <c r="B5134">
        <v>55648</v>
      </c>
      <c r="C5134" s="2">
        <v>36770</v>
      </c>
      <c r="D5134">
        <v>26</v>
      </c>
      <c r="E5134" t="s">
        <v>42</v>
      </c>
      <c r="F5134" t="s">
        <v>50</v>
      </c>
      <c r="G5134" s="2">
        <v>45352</v>
      </c>
      <c r="H5134" s="3">
        <f t="shared" si="80"/>
        <v>1.4273972602739726</v>
      </c>
      <c r="I5134">
        <v>38</v>
      </c>
      <c r="J5134" t="s">
        <v>38</v>
      </c>
      <c r="K5134" t="s">
        <v>56</v>
      </c>
      <c r="L5134" t="s">
        <v>44</v>
      </c>
      <c r="M5134">
        <v>8.4700000000000006</v>
      </c>
      <c r="T5134" t="s">
        <v>45</v>
      </c>
      <c r="U5134">
        <v>4</v>
      </c>
      <c r="V5134">
        <v>6</v>
      </c>
    </row>
    <row r="5135" spans="1:22" x14ac:dyDescent="0.3">
      <c r="A5135">
        <v>5134</v>
      </c>
      <c r="B5135">
        <v>55649</v>
      </c>
      <c r="C5135" s="2">
        <v>37829</v>
      </c>
      <c r="D5135">
        <v>22</v>
      </c>
      <c r="E5135" t="s">
        <v>42</v>
      </c>
      <c r="F5135" t="s">
        <v>50</v>
      </c>
      <c r="G5135" s="2">
        <v>45501</v>
      </c>
      <c r="H5135" s="3">
        <f t="shared" si="80"/>
        <v>1.5342465753424657</v>
      </c>
      <c r="I5135">
        <v>38</v>
      </c>
      <c r="J5135" t="s">
        <v>38</v>
      </c>
      <c r="K5135" t="s">
        <v>56</v>
      </c>
      <c r="L5135" t="s">
        <v>44</v>
      </c>
      <c r="M5135">
        <v>8.4700000000000006</v>
      </c>
      <c r="T5135" t="s">
        <v>49</v>
      </c>
      <c r="U5135">
        <v>2</v>
      </c>
      <c r="V5135">
        <v>5</v>
      </c>
    </row>
    <row r="5136" spans="1:22" x14ac:dyDescent="0.3">
      <c r="A5136">
        <v>5135</v>
      </c>
      <c r="B5136">
        <v>55650</v>
      </c>
      <c r="C5136" s="2">
        <v>38361</v>
      </c>
      <c r="D5136">
        <v>20</v>
      </c>
      <c r="E5136" t="s">
        <v>42</v>
      </c>
      <c r="F5136" t="s">
        <v>37</v>
      </c>
      <c r="G5136" s="2">
        <v>45462</v>
      </c>
      <c r="H5136" s="3">
        <f t="shared" si="80"/>
        <v>1.5890410958904109</v>
      </c>
      <c r="I5136">
        <v>38</v>
      </c>
      <c r="J5136" t="s">
        <v>38</v>
      </c>
      <c r="K5136" t="s">
        <v>56</v>
      </c>
      <c r="L5136" t="s">
        <v>44</v>
      </c>
      <c r="M5136">
        <v>8.4700000000000006</v>
      </c>
      <c r="T5136" t="s">
        <v>49</v>
      </c>
      <c r="U5136">
        <v>2</v>
      </c>
      <c r="V5136">
        <v>6</v>
      </c>
    </row>
    <row r="5137" spans="1:22" x14ac:dyDescent="0.3">
      <c r="A5137">
        <v>5136</v>
      </c>
      <c r="B5137">
        <v>55651</v>
      </c>
      <c r="C5137" s="2">
        <v>37663</v>
      </c>
      <c r="D5137">
        <v>22</v>
      </c>
      <c r="E5137" t="s">
        <v>42</v>
      </c>
      <c r="F5137" t="s">
        <v>50</v>
      </c>
      <c r="G5137" s="2">
        <v>45442</v>
      </c>
      <c r="H5137" s="3">
        <f t="shared" si="80"/>
        <v>1.0136986301369864</v>
      </c>
      <c r="I5137">
        <v>38</v>
      </c>
      <c r="J5137" t="s">
        <v>38</v>
      </c>
      <c r="K5137" t="s">
        <v>56</v>
      </c>
      <c r="L5137" t="s">
        <v>44</v>
      </c>
      <c r="M5137">
        <v>8.4700000000000006</v>
      </c>
      <c r="T5137" t="s">
        <v>47</v>
      </c>
      <c r="U5137">
        <v>1</v>
      </c>
      <c r="V5137">
        <v>5</v>
      </c>
    </row>
    <row r="5138" spans="1:22" x14ac:dyDescent="0.3">
      <c r="A5138">
        <v>5137</v>
      </c>
      <c r="B5138">
        <v>55652</v>
      </c>
      <c r="C5138" s="2">
        <v>38048</v>
      </c>
      <c r="D5138">
        <v>21</v>
      </c>
      <c r="E5138" t="s">
        <v>42</v>
      </c>
      <c r="F5138" t="s">
        <v>50</v>
      </c>
      <c r="G5138" s="2">
        <v>45652</v>
      </c>
      <c r="H5138" s="3">
        <f t="shared" si="80"/>
        <v>1.2575342465753425</v>
      </c>
      <c r="I5138">
        <v>38</v>
      </c>
      <c r="J5138" t="s">
        <v>38</v>
      </c>
      <c r="K5138" t="s">
        <v>56</v>
      </c>
      <c r="L5138" t="s">
        <v>44</v>
      </c>
      <c r="M5138">
        <v>8.4700000000000006</v>
      </c>
      <c r="T5138" t="s">
        <v>45</v>
      </c>
      <c r="U5138">
        <v>2</v>
      </c>
      <c r="V5138">
        <v>5</v>
      </c>
    </row>
    <row r="5139" spans="1:22" x14ac:dyDescent="0.3">
      <c r="A5139">
        <v>5138</v>
      </c>
      <c r="B5139">
        <v>55653</v>
      </c>
      <c r="C5139" s="2">
        <v>38932</v>
      </c>
      <c r="D5139">
        <v>19</v>
      </c>
      <c r="E5139" t="s">
        <v>42</v>
      </c>
      <c r="F5139" t="s">
        <v>50</v>
      </c>
      <c r="G5139" s="2">
        <v>45563</v>
      </c>
      <c r="H5139" s="3">
        <f t="shared" si="80"/>
        <v>1.484931506849315</v>
      </c>
      <c r="I5139">
        <v>38</v>
      </c>
      <c r="J5139" t="s">
        <v>38</v>
      </c>
      <c r="K5139" t="s">
        <v>56</v>
      </c>
      <c r="L5139" t="s">
        <v>44</v>
      </c>
      <c r="M5139">
        <v>8.4700000000000006</v>
      </c>
      <c r="T5139" t="s">
        <v>49</v>
      </c>
      <c r="U5139">
        <v>2</v>
      </c>
      <c r="V5139">
        <v>5</v>
      </c>
    </row>
    <row r="5140" spans="1:22" x14ac:dyDescent="0.3">
      <c r="A5140">
        <v>5139</v>
      </c>
      <c r="B5140">
        <v>55654</v>
      </c>
      <c r="C5140" s="2">
        <v>38694</v>
      </c>
      <c r="D5140">
        <v>20</v>
      </c>
      <c r="E5140" t="s">
        <v>36</v>
      </c>
      <c r="F5140" t="s">
        <v>50</v>
      </c>
      <c r="G5140" s="2">
        <v>45480</v>
      </c>
      <c r="H5140" s="3">
        <f t="shared" si="80"/>
        <v>1.6684931506849314</v>
      </c>
      <c r="I5140">
        <v>39</v>
      </c>
      <c r="J5140" t="s">
        <v>38</v>
      </c>
      <c r="K5140" t="s">
        <v>65</v>
      </c>
      <c r="L5140" t="s">
        <v>44</v>
      </c>
      <c r="M5140">
        <v>10.64</v>
      </c>
      <c r="T5140" t="s">
        <v>47</v>
      </c>
      <c r="U5140">
        <v>1</v>
      </c>
      <c r="V5140">
        <v>4</v>
      </c>
    </row>
    <row r="5141" spans="1:22" x14ac:dyDescent="0.3">
      <c r="A5141">
        <v>5140</v>
      </c>
      <c r="B5141">
        <v>55655</v>
      </c>
      <c r="C5141" s="2">
        <v>38160</v>
      </c>
      <c r="D5141">
        <v>21</v>
      </c>
      <c r="E5141" t="s">
        <v>42</v>
      </c>
      <c r="F5141" t="s">
        <v>50</v>
      </c>
      <c r="G5141" s="2">
        <v>45413</v>
      </c>
      <c r="H5141" s="3">
        <f t="shared" si="80"/>
        <v>1.1397260273972603</v>
      </c>
      <c r="I5141">
        <v>39</v>
      </c>
      <c r="J5141" t="s">
        <v>38</v>
      </c>
      <c r="K5141" t="s">
        <v>48</v>
      </c>
      <c r="L5141" t="s">
        <v>44</v>
      </c>
      <c r="M5141">
        <v>8.4700000000000006</v>
      </c>
      <c r="T5141" t="s">
        <v>45</v>
      </c>
      <c r="U5141">
        <v>2</v>
      </c>
      <c r="V5141">
        <v>6</v>
      </c>
    </row>
    <row r="5142" spans="1:22" x14ac:dyDescent="0.3">
      <c r="A5142">
        <v>5141</v>
      </c>
      <c r="B5142">
        <v>55656</v>
      </c>
      <c r="C5142" s="2">
        <v>38632</v>
      </c>
      <c r="D5142">
        <v>20</v>
      </c>
      <c r="E5142" t="s">
        <v>42</v>
      </c>
      <c r="F5142" t="s">
        <v>37</v>
      </c>
      <c r="G5142" s="2">
        <v>45606</v>
      </c>
      <c r="H5142" s="3">
        <f t="shared" si="80"/>
        <v>1.7424657534246575</v>
      </c>
      <c r="I5142">
        <v>39</v>
      </c>
      <c r="J5142" t="s">
        <v>38</v>
      </c>
      <c r="K5142" t="s">
        <v>56</v>
      </c>
      <c r="L5142" t="s">
        <v>44</v>
      </c>
      <c r="M5142">
        <v>8.4700000000000006</v>
      </c>
      <c r="T5142" t="s">
        <v>47</v>
      </c>
      <c r="U5142">
        <v>2</v>
      </c>
      <c r="V5142">
        <v>5</v>
      </c>
    </row>
    <row r="5143" spans="1:22" x14ac:dyDescent="0.3">
      <c r="A5143">
        <v>5142</v>
      </c>
      <c r="B5143">
        <v>55657</v>
      </c>
      <c r="C5143" s="2">
        <v>38584</v>
      </c>
      <c r="D5143">
        <v>20</v>
      </c>
      <c r="E5143" t="s">
        <v>42</v>
      </c>
      <c r="F5143" t="s">
        <v>37</v>
      </c>
      <c r="G5143" s="2">
        <v>45386</v>
      </c>
      <c r="H5143" s="3">
        <f t="shared" si="80"/>
        <v>1.0328767123287672</v>
      </c>
      <c r="I5143">
        <v>39</v>
      </c>
      <c r="J5143" t="s">
        <v>38</v>
      </c>
      <c r="K5143" t="s">
        <v>56</v>
      </c>
      <c r="L5143" t="s">
        <v>44</v>
      </c>
      <c r="M5143">
        <v>8.4700000000000006</v>
      </c>
      <c r="T5143" t="s">
        <v>52</v>
      </c>
      <c r="U5143">
        <v>4</v>
      </c>
      <c r="V5143">
        <v>6</v>
      </c>
    </row>
    <row r="5144" spans="1:22" x14ac:dyDescent="0.3">
      <c r="A5144">
        <v>5143</v>
      </c>
      <c r="B5144">
        <v>55658</v>
      </c>
      <c r="C5144" s="2">
        <v>37108</v>
      </c>
      <c r="D5144">
        <v>24</v>
      </c>
      <c r="E5144" t="s">
        <v>42</v>
      </c>
      <c r="F5144" t="s">
        <v>50</v>
      </c>
      <c r="G5144" s="2">
        <v>45645</v>
      </c>
      <c r="H5144" s="3">
        <f t="shared" si="80"/>
        <v>1.6410958904109589</v>
      </c>
      <c r="I5144">
        <v>39</v>
      </c>
      <c r="J5144" t="s">
        <v>38</v>
      </c>
      <c r="K5144" t="s">
        <v>56</v>
      </c>
      <c r="L5144" t="s">
        <v>44</v>
      </c>
      <c r="M5144">
        <v>8.4700000000000006</v>
      </c>
      <c r="T5144" t="s">
        <v>49</v>
      </c>
      <c r="U5144">
        <v>2</v>
      </c>
      <c r="V5144">
        <v>7</v>
      </c>
    </row>
    <row r="5145" spans="1:22" x14ac:dyDescent="0.3">
      <c r="A5145">
        <v>5144</v>
      </c>
      <c r="B5145">
        <v>55659</v>
      </c>
      <c r="C5145" s="2">
        <v>38793</v>
      </c>
      <c r="D5145">
        <v>19</v>
      </c>
      <c r="E5145" t="s">
        <v>42</v>
      </c>
      <c r="F5145" t="s">
        <v>50</v>
      </c>
      <c r="G5145" s="2">
        <v>45423</v>
      </c>
      <c r="H5145" s="3">
        <f t="shared" si="80"/>
        <v>1.4684931506849315</v>
      </c>
      <c r="I5145">
        <v>39</v>
      </c>
      <c r="J5145" t="s">
        <v>38</v>
      </c>
      <c r="K5145" t="s">
        <v>56</v>
      </c>
      <c r="L5145" t="s">
        <v>44</v>
      </c>
      <c r="M5145">
        <v>8.4700000000000006</v>
      </c>
      <c r="T5145" t="s">
        <v>52</v>
      </c>
      <c r="U5145">
        <v>2</v>
      </c>
      <c r="V5145">
        <v>6</v>
      </c>
    </row>
    <row r="5146" spans="1:22" x14ac:dyDescent="0.3">
      <c r="A5146">
        <v>5145</v>
      </c>
      <c r="B5146">
        <v>55660</v>
      </c>
      <c r="C5146" s="2">
        <v>38439</v>
      </c>
      <c r="D5146">
        <v>20</v>
      </c>
      <c r="E5146" t="s">
        <v>42</v>
      </c>
      <c r="F5146" t="s">
        <v>50</v>
      </c>
      <c r="G5146" s="2">
        <v>45486</v>
      </c>
      <c r="H5146" s="3">
        <f t="shared" si="80"/>
        <v>1.2684931506849315</v>
      </c>
      <c r="I5146">
        <v>39</v>
      </c>
      <c r="J5146" t="s">
        <v>38</v>
      </c>
      <c r="K5146" t="s">
        <v>56</v>
      </c>
      <c r="L5146" t="s">
        <v>44</v>
      </c>
      <c r="M5146">
        <v>8.4700000000000006</v>
      </c>
      <c r="T5146" t="s">
        <v>49</v>
      </c>
      <c r="U5146">
        <v>1</v>
      </c>
      <c r="V5146">
        <v>7</v>
      </c>
    </row>
    <row r="5147" spans="1:22" x14ac:dyDescent="0.3">
      <c r="A5147">
        <v>5146</v>
      </c>
      <c r="B5147">
        <v>55661</v>
      </c>
      <c r="C5147" s="2">
        <v>35568</v>
      </c>
      <c r="D5147">
        <v>28</v>
      </c>
      <c r="E5147" t="s">
        <v>42</v>
      </c>
      <c r="F5147" t="s">
        <v>37</v>
      </c>
      <c r="G5147" s="2">
        <v>45559</v>
      </c>
      <c r="H5147" s="3">
        <f t="shared" si="80"/>
        <v>1.2712328767123289</v>
      </c>
      <c r="I5147">
        <v>39</v>
      </c>
      <c r="J5147" t="s">
        <v>38</v>
      </c>
      <c r="K5147" t="s">
        <v>56</v>
      </c>
      <c r="L5147" t="s">
        <v>44</v>
      </c>
      <c r="M5147">
        <v>8.4700000000000006</v>
      </c>
      <c r="T5147" t="s">
        <v>47</v>
      </c>
      <c r="U5147">
        <v>4</v>
      </c>
      <c r="V5147">
        <v>6</v>
      </c>
    </row>
    <row r="5148" spans="1:22" x14ac:dyDescent="0.3">
      <c r="A5148">
        <v>5147</v>
      </c>
      <c r="B5148">
        <v>55662</v>
      </c>
      <c r="C5148" s="2">
        <v>36324</v>
      </c>
      <c r="D5148">
        <v>26</v>
      </c>
      <c r="E5148" t="s">
        <v>42</v>
      </c>
      <c r="F5148" t="s">
        <v>50</v>
      </c>
      <c r="G5148" s="2">
        <v>45558</v>
      </c>
      <c r="H5148" s="3">
        <f t="shared" si="80"/>
        <v>1.8136986301369864</v>
      </c>
      <c r="I5148">
        <v>39</v>
      </c>
      <c r="J5148" t="s">
        <v>38</v>
      </c>
      <c r="K5148" t="s">
        <v>56</v>
      </c>
      <c r="L5148" t="s">
        <v>44</v>
      </c>
      <c r="M5148">
        <v>8.4700000000000006</v>
      </c>
      <c r="T5148" t="s">
        <v>47</v>
      </c>
      <c r="U5148">
        <v>0</v>
      </c>
      <c r="V5148">
        <v>5</v>
      </c>
    </row>
    <row r="5149" spans="1:22" x14ac:dyDescent="0.3">
      <c r="A5149">
        <v>5148</v>
      </c>
      <c r="B5149">
        <v>55663</v>
      </c>
      <c r="C5149" s="2">
        <v>34685</v>
      </c>
      <c r="D5149">
        <v>31</v>
      </c>
      <c r="E5149" t="s">
        <v>42</v>
      </c>
      <c r="F5149" t="s">
        <v>50</v>
      </c>
      <c r="G5149" s="2">
        <v>45360</v>
      </c>
      <c r="H5149" s="3">
        <f t="shared" si="80"/>
        <v>1.0986301369863014</v>
      </c>
      <c r="I5149">
        <v>39</v>
      </c>
      <c r="J5149" t="s">
        <v>38</v>
      </c>
      <c r="K5149" t="s">
        <v>56</v>
      </c>
      <c r="L5149" t="s">
        <v>44</v>
      </c>
      <c r="M5149">
        <v>8.4700000000000006</v>
      </c>
      <c r="T5149" t="s">
        <v>45</v>
      </c>
      <c r="U5149">
        <v>4</v>
      </c>
      <c r="V5149">
        <v>6</v>
      </c>
    </row>
    <row r="5150" spans="1:22" x14ac:dyDescent="0.3">
      <c r="A5150">
        <v>5149</v>
      </c>
      <c r="B5150">
        <v>55664</v>
      </c>
      <c r="C5150" s="2">
        <v>38464</v>
      </c>
      <c r="D5150">
        <v>20</v>
      </c>
      <c r="E5150" t="s">
        <v>42</v>
      </c>
      <c r="F5150" t="s">
        <v>50</v>
      </c>
      <c r="G5150" s="2">
        <v>45621</v>
      </c>
      <c r="H5150" s="3">
        <f t="shared" si="80"/>
        <v>1.6383561643835616</v>
      </c>
      <c r="I5150">
        <v>39</v>
      </c>
      <c r="J5150" t="s">
        <v>38</v>
      </c>
      <c r="K5150" t="s">
        <v>56</v>
      </c>
      <c r="L5150" t="s">
        <v>44</v>
      </c>
      <c r="M5150">
        <v>8.4700000000000006</v>
      </c>
      <c r="T5150" t="s">
        <v>47</v>
      </c>
      <c r="U5150">
        <v>2</v>
      </c>
      <c r="V5150">
        <v>6</v>
      </c>
    </row>
    <row r="5151" spans="1:22" x14ac:dyDescent="0.3">
      <c r="A5151">
        <v>5150</v>
      </c>
      <c r="B5151">
        <v>55665</v>
      </c>
      <c r="C5151" s="2">
        <v>36075</v>
      </c>
      <c r="D5151">
        <v>27</v>
      </c>
      <c r="E5151" t="s">
        <v>42</v>
      </c>
      <c r="F5151" t="s">
        <v>50</v>
      </c>
      <c r="G5151" s="2">
        <v>45424</v>
      </c>
      <c r="H5151" s="3">
        <f t="shared" si="80"/>
        <v>1.1972602739726028</v>
      </c>
      <c r="I5151">
        <v>39</v>
      </c>
      <c r="J5151" t="s">
        <v>38</v>
      </c>
      <c r="K5151" t="s">
        <v>56</v>
      </c>
      <c r="L5151" t="s">
        <v>44</v>
      </c>
      <c r="M5151">
        <v>8.4700000000000006</v>
      </c>
      <c r="T5151" t="s">
        <v>49</v>
      </c>
      <c r="U5151">
        <v>2</v>
      </c>
      <c r="V5151">
        <v>6</v>
      </c>
    </row>
    <row r="5152" spans="1:22" x14ac:dyDescent="0.3">
      <c r="A5152">
        <v>5151</v>
      </c>
      <c r="B5152">
        <v>55666</v>
      </c>
      <c r="C5152" s="2">
        <v>39001</v>
      </c>
      <c r="D5152">
        <v>19</v>
      </c>
      <c r="E5152" t="s">
        <v>42</v>
      </c>
      <c r="F5152" t="s">
        <v>50</v>
      </c>
      <c r="G5152" s="2">
        <v>45585</v>
      </c>
      <c r="H5152" s="3">
        <f t="shared" si="80"/>
        <v>1.3205479452054794</v>
      </c>
      <c r="I5152">
        <v>39</v>
      </c>
      <c r="J5152" t="s">
        <v>38</v>
      </c>
      <c r="K5152" t="s">
        <v>56</v>
      </c>
      <c r="L5152" t="s">
        <v>44</v>
      </c>
      <c r="M5152">
        <v>8.4700000000000006</v>
      </c>
      <c r="T5152" t="s">
        <v>52</v>
      </c>
      <c r="U5152">
        <v>3</v>
      </c>
      <c r="V5152">
        <v>7</v>
      </c>
    </row>
    <row r="5153" spans="1:22" x14ac:dyDescent="0.3">
      <c r="A5153">
        <v>5152</v>
      </c>
      <c r="B5153">
        <v>55667</v>
      </c>
      <c r="C5153" s="2">
        <v>35979</v>
      </c>
      <c r="D5153">
        <v>27</v>
      </c>
      <c r="E5153" t="s">
        <v>42</v>
      </c>
      <c r="F5153" t="s">
        <v>50</v>
      </c>
      <c r="G5153" s="2">
        <v>45540</v>
      </c>
      <c r="H5153" s="3">
        <f t="shared" si="80"/>
        <v>1.4328767123287671</v>
      </c>
      <c r="I5153">
        <v>40</v>
      </c>
      <c r="J5153" t="s">
        <v>38</v>
      </c>
      <c r="K5153" t="s">
        <v>68</v>
      </c>
      <c r="L5153" t="s">
        <v>44</v>
      </c>
      <c r="M5153">
        <v>17</v>
      </c>
      <c r="T5153" t="s">
        <v>49</v>
      </c>
      <c r="U5153">
        <v>2</v>
      </c>
      <c r="V5153">
        <v>7</v>
      </c>
    </row>
    <row r="5154" spans="1:22" x14ac:dyDescent="0.3">
      <c r="A5154">
        <v>5153</v>
      </c>
      <c r="B5154">
        <v>55668</v>
      </c>
      <c r="C5154" s="2">
        <v>37889</v>
      </c>
      <c r="D5154">
        <v>22</v>
      </c>
      <c r="E5154" t="s">
        <v>42</v>
      </c>
      <c r="F5154" t="s">
        <v>50</v>
      </c>
      <c r="G5154" s="2">
        <v>45499</v>
      </c>
      <c r="H5154" s="3">
        <f t="shared" si="80"/>
        <v>1.2794520547945205</v>
      </c>
      <c r="I5154">
        <v>40</v>
      </c>
      <c r="J5154" t="s">
        <v>38</v>
      </c>
      <c r="K5154" t="s">
        <v>68</v>
      </c>
      <c r="L5154" t="s">
        <v>44</v>
      </c>
      <c r="M5154">
        <v>17</v>
      </c>
      <c r="T5154" t="s">
        <v>52</v>
      </c>
      <c r="U5154">
        <v>1</v>
      </c>
      <c r="V5154">
        <v>5</v>
      </c>
    </row>
    <row r="5155" spans="1:22" x14ac:dyDescent="0.3">
      <c r="A5155">
        <v>5154</v>
      </c>
      <c r="B5155">
        <v>55669</v>
      </c>
      <c r="C5155" s="2">
        <v>34834</v>
      </c>
      <c r="D5155">
        <v>30</v>
      </c>
      <c r="E5155" t="s">
        <v>42</v>
      </c>
      <c r="F5155" t="s">
        <v>37</v>
      </c>
      <c r="G5155" s="2">
        <v>45555</v>
      </c>
      <c r="H5155" s="3">
        <f t="shared" si="80"/>
        <v>1.5890410958904109</v>
      </c>
      <c r="I5155">
        <v>40</v>
      </c>
      <c r="J5155" t="s">
        <v>38</v>
      </c>
      <c r="K5155" t="s">
        <v>56</v>
      </c>
      <c r="L5155" t="s">
        <v>44</v>
      </c>
      <c r="M5155">
        <v>8.4700000000000006</v>
      </c>
      <c r="T5155" t="s">
        <v>47</v>
      </c>
      <c r="U5155">
        <v>0</v>
      </c>
      <c r="V5155">
        <v>4</v>
      </c>
    </row>
    <row r="5156" spans="1:22" x14ac:dyDescent="0.3">
      <c r="A5156">
        <v>5155</v>
      </c>
      <c r="B5156">
        <v>55670</v>
      </c>
      <c r="C5156" s="2">
        <v>37969</v>
      </c>
      <c r="D5156">
        <v>22</v>
      </c>
      <c r="E5156" t="s">
        <v>42</v>
      </c>
      <c r="F5156" t="s">
        <v>50</v>
      </c>
      <c r="G5156" s="2">
        <v>45442</v>
      </c>
      <c r="H5156" s="3">
        <f t="shared" si="80"/>
        <v>1.2082191780821918</v>
      </c>
      <c r="I5156">
        <v>40</v>
      </c>
      <c r="J5156" t="s">
        <v>38</v>
      </c>
      <c r="K5156" t="s">
        <v>56</v>
      </c>
      <c r="L5156" t="s">
        <v>44</v>
      </c>
      <c r="M5156">
        <v>8.4700000000000006</v>
      </c>
      <c r="T5156" t="s">
        <v>47</v>
      </c>
      <c r="U5156">
        <v>4</v>
      </c>
      <c r="V5156">
        <v>6</v>
      </c>
    </row>
    <row r="5157" spans="1:22" x14ac:dyDescent="0.3">
      <c r="A5157">
        <v>5156</v>
      </c>
      <c r="B5157">
        <v>55672</v>
      </c>
      <c r="C5157" s="2">
        <v>38340</v>
      </c>
      <c r="D5157">
        <v>21</v>
      </c>
      <c r="E5157" t="s">
        <v>42</v>
      </c>
      <c r="F5157" t="s">
        <v>50</v>
      </c>
      <c r="G5157" s="2">
        <v>45581</v>
      </c>
      <c r="H5157" s="3">
        <f t="shared" si="80"/>
        <v>1.3726027397260274</v>
      </c>
      <c r="I5157">
        <v>40</v>
      </c>
      <c r="J5157" t="s">
        <v>38</v>
      </c>
      <c r="K5157" t="s">
        <v>56</v>
      </c>
      <c r="L5157" t="s">
        <v>44</v>
      </c>
      <c r="M5157">
        <v>8.4700000000000006</v>
      </c>
      <c r="T5157" t="s">
        <v>47</v>
      </c>
      <c r="U5157">
        <v>2</v>
      </c>
      <c r="V5157">
        <v>6</v>
      </c>
    </row>
    <row r="5158" spans="1:22" x14ac:dyDescent="0.3">
      <c r="A5158">
        <v>5157</v>
      </c>
      <c r="B5158">
        <v>55673</v>
      </c>
      <c r="C5158" s="2">
        <v>37961</v>
      </c>
      <c r="D5158">
        <v>22</v>
      </c>
      <c r="E5158" t="s">
        <v>42</v>
      </c>
      <c r="F5158" t="s">
        <v>37</v>
      </c>
      <c r="G5158" s="2">
        <v>45521</v>
      </c>
      <c r="H5158" s="3">
        <f t="shared" si="80"/>
        <v>1.284931506849315</v>
      </c>
      <c r="I5158">
        <v>40</v>
      </c>
      <c r="J5158" t="s">
        <v>38</v>
      </c>
      <c r="K5158" t="s">
        <v>56</v>
      </c>
      <c r="L5158" t="s">
        <v>44</v>
      </c>
      <c r="M5158">
        <v>8.4700000000000006</v>
      </c>
      <c r="T5158" t="s">
        <v>47</v>
      </c>
      <c r="U5158">
        <v>3</v>
      </c>
      <c r="V5158">
        <v>5</v>
      </c>
    </row>
    <row r="5159" spans="1:22" x14ac:dyDescent="0.3">
      <c r="A5159">
        <v>5158</v>
      </c>
      <c r="B5159">
        <v>55674</v>
      </c>
      <c r="C5159" s="2">
        <v>37463</v>
      </c>
      <c r="D5159">
        <v>23</v>
      </c>
      <c r="E5159" t="s">
        <v>42</v>
      </c>
      <c r="F5159" t="s">
        <v>50</v>
      </c>
      <c r="G5159" s="2">
        <v>45553</v>
      </c>
      <c r="H5159" s="3">
        <f t="shared" si="80"/>
        <v>1.295890410958904</v>
      </c>
      <c r="I5159">
        <v>41</v>
      </c>
      <c r="J5159" t="s">
        <v>38</v>
      </c>
      <c r="K5159" t="s">
        <v>68</v>
      </c>
      <c r="L5159" t="s">
        <v>44</v>
      </c>
      <c r="M5159">
        <v>17</v>
      </c>
      <c r="T5159" t="s">
        <v>49</v>
      </c>
      <c r="U5159">
        <v>4</v>
      </c>
      <c r="V5159">
        <v>7</v>
      </c>
    </row>
    <row r="5160" spans="1:22" x14ac:dyDescent="0.3">
      <c r="A5160">
        <v>5159</v>
      </c>
      <c r="B5160">
        <v>55675</v>
      </c>
      <c r="C5160" s="2">
        <v>36457</v>
      </c>
      <c r="D5160">
        <v>26</v>
      </c>
      <c r="E5160" t="s">
        <v>42</v>
      </c>
      <c r="F5160" t="s">
        <v>50</v>
      </c>
      <c r="G5160" s="2">
        <v>45549</v>
      </c>
      <c r="H5160" s="3">
        <f t="shared" si="80"/>
        <v>1.8</v>
      </c>
      <c r="I5160">
        <v>41</v>
      </c>
      <c r="J5160" t="s">
        <v>38</v>
      </c>
      <c r="K5160" t="s">
        <v>65</v>
      </c>
      <c r="L5160" t="s">
        <v>44</v>
      </c>
      <c r="M5160">
        <v>10.64</v>
      </c>
      <c r="T5160" t="s">
        <v>52</v>
      </c>
      <c r="U5160">
        <v>1</v>
      </c>
      <c r="V5160">
        <v>6</v>
      </c>
    </row>
    <row r="5161" spans="1:22" x14ac:dyDescent="0.3">
      <c r="A5161">
        <v>5160</v>
      </c>
      <c r="B5161">
        <v>55676</v>
      </c>
      <c r="C5161" s="2">
        <v>38487</v>
      </c>
      <c r="D5161">
        <v>20</v>
      </c>
      <c r="E5161" t="s">
        <v>42</v>
      </c>
      <c r="F5161" t="s">
        <v>50</v>
      </c>
      <c r="G5161" s="2">
        <v>45365</v>
      </c>
      <c r="H5161" s="3">
        <f t="shared" si="80"/>
        <v>1.0328767123287672</v>
      </c>
      <c r="I5161">
        <v>41</v>
      </c>
      <c r="J5161" t="s">
        <v>38</v>
      </c>
      <c r="K5161" t="s">
        <v>65</v>
      </c>
      <c r="L5161" t="s">
        <v>44</v>
      </c>
      <c r="M5161">
        <v>10.64</v>
      </c>
      <c r="T5161" t="s">
        <v>52</v>
      </c>
      <c r="U5161">
        <v>0</v>
      </c>
      <c r="V5161">
        <v>4</v>
      </c>
    </row>
    <row r="5162" spans="1:22" x14ac:dyDescent="0.3">
      <c r="A5162">
        <v>5161</v>
      </c>
      <c r="B5162">
        <v>55677</v>
      </c>
      <c r="C5162" s="2">
        <v>37891</v>
      </c>
      <c r="D5162">
        <v>22</v>
      </c>
      <c r="E5162" t="s">
        <v>42</v>
      </c>
      <c r="F5162" t="s">
        <v>50</v>
      </c>
      <c r="G5162" s="2">
        <v>45645</v>
      </c>
      <c r="H5162" s="3">
        <f t="shared" si="80"/>
        <v>1.3917808219178083</v>
      </c>
      <c r="I5162">
        <v>41</v>
      </c>
      <c r="J5162" t="s">
        <v>38</v>
      </c>
      <c r="K5162" t="s">
        <v>48</v>
      </c>
      <c r="L5162" t="s">
        <v>44</v>
      </c>
      <c r="M5162">
        <v>8.4700000000000006</v>
      </c>
      <c r="T5162" t="s">
        <v>52</v>
      </c>
      <c r="U5162">
        <v>0</v>
      </c>
      <c r="V5162">
        <v>5</v>
      </c>
    </row>
    <row r="5163" spans="1:22" x14ac:dyDescent="0.3">
      <c r="A5163">
        <v>5162</v>
      </c>
      <c r="B5163">
        <v>55678</v>
      </c>
      <c r="C5163" s="2">
        <v>34437</v>
      </c>
      <c r="D5163">
        <v>31</v>
      </c>
      <c r="E5163" t="s">
        <v>42</v>
      </c>
      <c r="F5163" t="s">
        <v>50</v>
      </c>
      <c r="G5163" s="2">
        <v>45514</v>
      </c>
      <c r="H5163" s="3">
        <f t="shared" si="80"/>
        <v>1.2712328767123289</v>
      </c>
      <c r="I5163">
        <v>41</v>
      </c>
      <c r="J5163" t="s">
        <v>38</v>
      </c>
      <c r="K5163" t="s">
        <v>56</v>
      </c>
      <c r="L5163" t="s">
        <v>44</v>
      </c>
      <c r="M5163">
        <v>8.4700000000000006</v>
      </c>
      <c r="T5163" t="s">
        <v>52</v>
      </c>
      <c r="U5163">
        <v>2</v>
      </c>
      <c r="V5163">
        <v>7</v>
      </c>
    </row>
    <row r="5164" spans="1:22" x14ac:dyDescent="0.3">
      <c r="A5164">
        <v>5163</v>
      </c>
      <c r="B5164">
        <v>55679</v>
      </c>
      <c r="C5164" s="2">
        <v>36932</v>
      </c>
      <c r="D5164">
        <v>24</v>
      </c>
      <c r="E5164" t="s">
        <v>42</v>
      </c>
      <c r="F5164" t="s">
        <v>50</v>
      </c>
      <c r="G5164" s="2">
        <v>45558</v>
      </c>
      <c r="H5164" s="3">
        <f t="shared" si="80"/>
        <v>1.4712328767123288</v>
      </c>
      <c r="I5164">
        <v>41</v>
      </c>
      <c r="J5164" t="s">
        <v>38</v>
      </c>
      <c r="K5164" t="s">
        <v>56</v>
      </c>
      <c r="L5164" t="s">
        <v>44</v>
      </c>
      <c r="M5164">
        <v>8.4700000000000006</v>
      </c>
      <c r="T5164" t="s">
        <v>52</v>
      </c>
      <c r="U5164">
        <v>2</v>
      </c>
      <c r="V5164">
        <v>6</v>
      </c>
    </row>
    <row r="5165" spans="1:22" x14ac:dyDescent="0.3">
      <c r="A5165">
        <v>5164</v>
      </c>
      <c r="B5165">
        <v>55680</v>
      </c>
      <c r="C5165" s="2">
        <v>36434</v>
      </c>
      <c r="D5165">
        <v>27</v>
      </c>
      <c r="E5165" t="s">
        <v>42</v>
      </c>
      <c r="F5165" t="s">
        <v>50</v>
      </c>
      <c r="G5165" s="2">
        <v>45485</v>
      </c>
      <c r="H5165" s="3">
        <f t="shared" si="80"/>
        <v>1.0328767123287672</v>
      </c>
      <c r="I5165">
        <v>41</v>
      </c>
      <c r="J5165" t="s">
        <v>38</v>
      </c>
      <c r="K5165" t="s">
        <v>56</v>
      </c>
      <c r="L5165" t="s">
        <v>44</v>
      </c>
      <c r="M5165">
        <v>8.4700000000000006</v>
      </c>
      <c r="T5165" t="s">
        <v>52</v>
      </c>
      <c r="U5165">
        <v>1</v>
      </c>
      <c r="V5165">
        <v>6</v>
      </c>
    </row>
    <row r="5166" spans="1:22" x14ac:dyDescent="0.3">
      <c r="A5166">
        <v>5165</v>
      </c>
      <c r="B5166">
        <v>55681</v>
      </c>
      <c r="C5166" s="2">
        <v>39146</v>
      </c>
      <c r="D5166">
        <v>18</v>
      </c>
      <c r="E5166" t="s">
        <v>42</v>
      </c>
      <c r="F5166" t="s">
        <v>50</v>
      </c>
      <c r="G5166" s="2">
        <v>45645</v>
      </c>
      <c r="H5166" s="3">
        <f t="shared" si="80"/>
        <v>1.1863013698630136</v>
      </c>
      <c r="I5166">
        <v>41</v>
      </c>
      <c r="J5166" t="s">
        <v>38</v>
      </c>
      <c r="K5166" t="s">
        <v>56</v>
      </c>
      <c r="L5166" t="s">
        <v>44</v>
      </c>
      <c r="M5166">
        <v>8.4700000000000006</v>
      </c>
      <c r="T5166" t="s">
        <v>52</v>
      </c>
      <c r="U5166">
        <v>4</v>
      </c>
      <c r="V5166">
        <v>6</v>
      </c>
    </row>
    <row r="5167" spans="1:22" x14ac:dyDescent="0.3">
      <c r="A5167">
        <v>5166</v>
      </c>
      <c r="B5167">
        <v>55682</v>
      </c>
      <c r="C5167" s="2">
        <v>36863</v>
      </c>
      <c r="D5167">
        <v>25</v>
      </c>
      <c r="E5167" t="s">
        <v>36</v>
      </c>
      <c r="F5167" t="s">
        <v>37</v>
      </c>
      <c r="G5167" s="2">
        <v>45589</v>
      </c>
      <c r="H5167" s="3">
        <f t="shared" si="80"/>
        <v>1.6904109589041096</v>
      </c>
      <c r="I5167">
        <v>42</v>
      </c>
      <c r="J5167" t="s">
        <v>38</v>
      </c>
      <c r="K5167" t="s">
        <v>68</v>
      </c>
      <c r="L5167" t="s">
        <v>44</v>
      </c>
      <c r="M5167">
        <v>17</v>
      </c>
      <c r="T5167" t="s">
        <v>52</v>
      </c>
      <c r="U5167">
        <v>4</v>
      </c>
      <c r="V5167">
        <v>4</v>
      </c>
    </row>
    <row r="5168" spans="1:22" x14ac:dyDescent="0.3">
      <c r="A5168">
        <v>5167</v>
      </c>
      <c r="B5168">
        <v>55683</v>
      </c>
      <c r="C5168" s="2">
        <v>37474</v>
      </c>
      <c r="D5168">
        <v>23</v>
      </c>
      <c r="E5168" t="s">
        <v>36</v>
      </c>
      <c r="F5168" t="s">
        <v>50</v>
      </c>
      <c r="G5168" s="2">
        <v>45405</v>
      </c>
      <c r="H5168" s="3">
        <f t="shared" si="80"/>
        <v>1.2767123287671234</v>
      </c>
      <c r="I5168">
        <v>42</v>
      </c>
      <c r="J5168" t="s">
        <v>38</v>
      </c>
      <c r="K5168" t="s">
        <v>65</v>
      </c>
      <c r="L5168" t="s">
        <v>44</v>
      </c>
      <c r="M5168">
        <v>10.64</v>
      </c>
      <c r="T5168" t="s">
        <v>52</v>
      </c>
      <c r="U5168">
        <v>0</v>
      </c>
      <c r="V5168">
        <v>3</v>
      </c>
    </row>
    <row r="5169" spans="1:22" x14ac:dyDescent="0.3">
      <c r="A5169">
        <v>5168</v>
      </c>
      <c r="B5169">
        <v>55684</v>
      </c>
      <c r="C5169" s="2">
        <v>33049</v>
      </c>
      <c r="D5169">
        <v>35</v>
      </c>
      <c r="E5169" t="s">
        <v>42</v>
      </c>
      <c r="F5169" t="s">
        <v>50</v>
      </c>
      <c r="G5169" s="2">
        <v>45556</v>
      </c>
      <c r="H5169" s="3">
        <f t="shared" si="80"/>
        <v>1.2054794520547945</v>
      </c>
      <c r="I5169">
        <v>42</v>
      </c>
      <c r="J5169" t="s">
        <v>38</v>
      </c>
      <c r="K5169" t="s">
        <v>46</v>
      </c>
      <c r="L5169" t="s">
        <v>44</v>
      </c>
      <c r="M5169">
        <v>14.23</v>
      </c>
      <c r="T5169" t="s">
        <v>45</v>
      </c>
      <c r="U5169">
        <v>1</v>
      </c>
      <c r="V5169">
        <v>6</v>
      </c>
    </row>
    <row r="5170" spans="1:22" x14ac:dyDescent="0.3">
      <c r="A5170">
        <v>5169</v>
      </c>
      <c r="B5170">
        <v>55685</v>
      </c>
      <c r="C5170" s="2">
        <v>37020</v>
      </c>
      <c r="D5170">
        <v>24</v>
      </c>
      <c r="E5170" t="s">
        <v>42</v>
      </c>
      <c r="F5170" t="s">
        <v>50</v>
      </c>
      <c r="G5170" s="2">
        <v>45582</v>
      </c>
      <c r="H5170" s="3">
        <f t="shared" si="80"/>
        <v>1.2712328767123289</v>
      </c>
      <c r="I5170">
        <v>42</v>
      </c>
      <c r="J5170" t="s">
        <v>38</v>
      </c>
      <c r="K5170" t="s">
        <v>48</v>
      </c>
      <c r="L5170" t="s">
        <v>44</v>
      </c>
      <c r="M5170">
        <v>8.4700000000000006</v>
      </c>
      <c r="T5170" t="s">
        <v>49</v>
      </c>
      <c r="U5170">
        <v>1</v>
      </c>
      <c r="V5170">
        <v>7</v>
      </c>
    </row>
    <row r="5171" spans="1:22" x14ac:dyDescent="0.3">
      <c r="A5171">
        <v>5170</v>
      </c>
      <c r="B5171">
        <v>55686</v>
      </c>
      <c r="C5171" s="2">
        <v>33623</v>
      </c>
      <c r="D5171">
        <v>33</v>
      </c>
      <c r="E5171" t="s">
        <v>36</v>
      </c>
      <c r="F5171" t="s">
        <v>50</v>
      </c>
      <c r="G5171" s="2">
        <v>45558</v>
      </c>
      <c r="H5171" s="3">
        <f t="shared" si="80"/>
        <v>1.1315068493150684</v>
      </c>
      <c r="I5171">
        <v>42</v>
      </c>
      <c r="J5171" t="s">
        <v>38</v>
      </c>
      <c r="K5171" t="s">
        <v>55</v>
      </c>
      <c r="L5171" t="s">
        <v>44</v>
      </c>
      <c r="M5171">
        <v>17.59</v>
      </c>
      <c r="T5171" t="s">
        <v>45</v>
      </c>
      <c r="U5171">
        <v>4</v>
      </c>
      <c r="V5171">
        <v>6</v>
      </c>
    </row>
    <row r="5172" spans="1:22" x14ac:dyDescent="0.3">
      <c r="A5172">
        <v>5171</v>
      </c>
      <c r="B5172">
        <v>55687</v>
      </c>
      <c r="C5172" s="2">
        <v>36835</v>
      </c>
      <c r="D5172">
        <v>25</v>
      </c>
      <c r="E5172" t="s">
        <v>36</v>
      </c>
      <c r="F5172" t="s">
        <v>50</v>
      </c>
      <c r="G5172" s="2">
        <v>45609</v>
      </c>
      <c r="H5172" s="3">
        <f t="shared" si="80"/>
        <v>1.6136986301369862</v>
      </c>
      <c r="I5172">
        <v>42</v>
      </c>
      <c r="J5172" t="s">
        <v>38</v>
      </c>
      <c r="K5172" t="s">
        <v>56</v>
      </c>
      <c r="L5172" t="s">
        <v>44</v>
      </c>
      <c r="M5172">
        <v>8.4700000000000006</v>
      </c>
      <c r="T5172" t="s">
        <v>52</v>
      </c>
      <c r="U5172">
        <v>2</v>
      </c>
      <c r="V5172">
        <v>6</v>
      </c>
    </row>
    <row r="5173" spans="1:22" x14ac:dyDescent="0.3">
      <c r="A5173">
        <v>5172</v>
      </c>
      <c r="B5173">
        <v>55688</v>
      </c>
      <c r="C5173" s="2">
        <v>38836</v>
      </c>
      <c r="D5173">
        <v>19</v>
      </c>
      <c r="E5173" t="s">
        <v>42</v>
      </c>
      <c r="F5173" t="s">
        <v>50</v>
      </c>
      <c r="G5173" s="2">
        <v>45433</v>
      </c>
      <c r="H5173" s="3">
        <f t="shared" si="80"/>
        <v>1.7561643835616438</v>
      </c>
      <c r="I5173">
        <v>42</v>
      </c>
      <c r="J5173" t="s">
        <v>38</v>
      </c>
      <c r="K5173" t="s">
        <v>56</v>
      </c>
      <c r="L5173" t="s">
        <v>44</v>
      </c>
      <c r="M5173">
        <v>8.4700000000000006</v>
      </c>
      <c r="T5173" t="s">
        <v>45</v>
      </c>
      <c r="U5173">
        <v>2</v>
      </c>
      <c r="V5173">
        <v>6</v>
      </c>
    </row>
    <row r="5174" spans="1:22" x14ac:dyDescent="0.3">
      <c r="A5174">
        <v>5173</v>
      </c>
      <c r="B5174">
        <v>55689</v>
      </c>
      <c r="C5174" s="2">
        <v>38448</v>
      </c>
      <c r="D5174">
        <v>20</v>
      </c>
      <c r="E5174" t="s">
        <v>42</v>
      </c>
      <c r="F5174" t="s">
        <v>37</v>
      </c>
      <c r="G5174" s="2">
        <v>45381</v>
      </c>
      <c r="H5174" s="3">
        <f t="shared" si="80"/>
        <v>1.4931506849315068</v>
      </c>
      <c r="I5174">
        <v>42</v>
      </c>
      <c r="J5174" t="s">
        <v>38</v>
      </c>
      <c r="K5174" t="s">
        <v>56</v>
      </c>
      <c r="L5174" t="s">
        <v>44</v>
      </c>
      <c r="M5174">
        <v>8.4700000000000006</v>
      </c>
      <c r="T5174" t="s">
        <v>49</v>
      </c>
      <c r="U5174">
        <v>2</v>
      </c>
      <c r="V5174">
        <v>5</v>
      </c>
    </row>
    <row r="5175" spans="1:22" x14ac:dyDescent="0.3">
      <c r="A5175">
        <v>5174</v>
      </c>
      <c r="B5175">
        <v>55690</v>
      </c>
      <c r="C5175" s="2">
        <v>37366</v>
      </c>
      <c r="D5175">
        <v>23</v>
      </c>
      <c r="E5175" t="s">
        <v>42</v>
      </c>
      <c r="F5175" t="s">
        <v>50</v>
      </c>
      <c r="G5175" s="2">
        <v>45477</v>
      </c>
      <c r="H5175" s="3">
        <f t="shared" si="80"/>
        <v>1.9452054794520548</v>
      </c>
      <c r="I5175">
        <v>42</v>
      </c>
      <c r="J5175" t="s">
        <v>38</v>
      </c>
      <c r="K5175" t="s">
        <v>56</v>
      </c>
      <c r="L5175" t="s">
        <v>44</v>
      </c>
      <c r="M5175">
        <v>8.4700000000000006</v>
      </c>
      <c r="T5175" t="s">
        <v>47</v>
      </c>
      <c r="U5175">
        <v>0</v>
      </c>
      <c r="V5175">
        <v>7</v>
      </c>
    </row>
    <row r="5176" spans="1:22" x14ac:dyDescent="0.3">
      <c r="A5176">
        <v>5175</v>
      </c>
      <c r="B5176">
        <v>55691</v>
      </c>
      <c r="C5176" s="2">
        <v>35313</v>
      </c>
      <c r="D5176">
        <v>29</v>
      </c>
      <c r="E5176" t="s">
        <v>42</v>
      </c>
      <c r="F5176" t="s">
        <v>50</v>
      </c>
      <c r="G5176" s="2">
        <v>45312</v>
      </c>
      <c r="H5176" s="3">
        <f t="shared" si="80"/>
        <v>1.1726027397260275</v>
      </c>
      <c r="I5176">
        <v>42</v>
      </c>
      <c r="J5176" t="s">
        <v>38</v>
      </c>
      <c r="K5176" t="s">
        <v>56</v>
      </c>
      <c r="L5176" t="s">
        <v>44</v>
      </c>
      <c r="M5176">
        <v>8.4700000000000006</v>
      </c>
      <c r="T5176" t="s">
        <v>47</v>
      </c>
      <c r="U5176">
        <v>2</v>
      </c>
      <c r="V5176">
        <v>7</v>
      </c>
    </row>
    <row r="5177" spans="1:22" x14ac:dyDescent="0.3">
      <c r="A5177">
        <v>5176</v>
      </c>
      <c r="B5177">
        <v>55692</v>
      </c>
      <c r="C5177" s="2">
        <v>38709</v>
      </c>
      <c r="D5177">
        <v>20</v>
      </c>
      <c r="E5177" t="s">
        <v>42</v>
      </c>
      <c r="F5177" t="s">
        <v>37</v>
      </c>
      <c r="G5177" s="2">
        <v>45594</v>
      </c>
      <c r="H5177" s="3">
        <f t="shared" si="80"/>
        <v>1.7397260273972603</v>
      </c>
      <c r="I5177">
        <v>42</v>
      </c>
      <c r="J5177" t="s">
        <v>38</v>
      </c>
      <c r="K5177" t="s">
        <v>56</v>
      </c>
      <c r="L5177" t="s">
        <v>44</v>
      </c>
      <c r="M5177">
        <v>8.4700000000000006</v>
      </c>
      <c r="T5177" t="s">
        <v>47</v>
      </c>
      <c r="U5177">
        <v>4</v>
      </c>
      <c r="V5177">
        <v>5</v>
      </c>
    </row>
    <row r="5178" spans="1:22" x14ac:dyDescent="0.3">
      <c r="A5178">
        <v>5177</v>
      </c>
      <c r="B5178">
        <v>55693</v>
      </c>
      <c r="C5178" s="2">
        <v>39385</v>
      </c>
      <c r="D5178">
        <v>18</v>
      </c>
      <c r="E5178" t="s">
        <v>42</v>
      </c>
      <c r="F5178" t="s">
        <v>50</v>
      </c>
      <c r="G5178" s="2">
        <v>45387</v>
      </c>
      <c r="H5178" s="3">
        <f t="shared" si="80"/>
        <v>1.4712328767123288</v>
      </c>
      <c r="I5178">
        <v>42</v>
      </c>
      <c r="J5178" t="s">
        <v>38</v>
      </c>
      <c r="K5178" t="s">
        <v>56</v>
      </c>
      <c r="L5178" t="s">
        <v>44</v>
      </c>
      <c r="M5178">
        <v>8.4700000000000006</v>
      </c>
      <c r="T5178" t="s">
        <v>45</v>
      </c>
      <c r="U5178">
        <v>4</v>
      </c>
      <c r="V5178">
        <v>6</v>
      </c>
    </row>
    <row r="5179" spans="1:22" x14ac:dyDescent="0.3">
      <c r="A5179">
        <v>5178</v>
      </c>
      <c r="B5179">
        <v>55694</v>
      </c>
      <c r="C5179" s="2">
        <v>33952</v>
      </c>
      <c r="D5179">
        <v>33</v>
      </c>
      <c r="E5179" t="s">
        <v>42</v>
      </c>
      <c r="F5179" t="s">
        <v>50</v>
      </c>
      <c r="G5179" s="2">
        <v>45485</v>
      </c>
      <c r="H5179" s="3">
        <f t="shared" si="80"/>
        <v>1.1369863013698631</v>
      </c>
      <c r="I5179">
        <v>42</v>
      </c>
      <c r="J5179" t="s">
        <v>38</v>
      </c>
      <c r="K5179" t="s">
        <v>56</v>
      </c>
      <c r="L5179" t="s">
        <v>44</v>
      </c>
      <c r="M5179">
        <v>8.4700000000000006</v>
      </c>
      <c r="T5179" t="s">
        <v>47</v>
      </c>
      <c r="U5179">
        <v>2</v>
      </c>
      <c r="V5179">
        <v>5</v>
      </c>
    </row>
    <row r="5180" spans="1:22" x14ac:dyDescent="0.3">
      <c r="A5180">
        <v>5179</v>
      </c>
      <c r="B5180">
        <v>55695</v>
      </c>
      <c r="C5180" s="2">
        <v>35480</v>
      </c>
      <c r="D5180">
        <v>28</v>
      </c>
      <c r="E5180" t="s">
        <v>42</v>
      </c>
      <c r="F5180" t="s">
        <v>50</v>
      </c>
      <c r="G5180" s="2">
        <v>45607</v>
      </c>
      <c r="H5180" s="3">
        <f t="shared" si="80"/>
        <v>1.2602739726027397</v>
      </c>
      <c r="I5180">
        <v>42</v>
      </c>
      <c r="J5180" t="s">
        <v>38</v>
      </c>
      <c r="K5180" t="s">
        <v>56</v>
      </c>
      <c r="L5180" t="s">
        <v>44</v>
      </c>
      <c r="M5180">
        <v>8.4700000000000006</v>
      </c>
      <c r="T5180" t="s">
        <v>45</v>
      </c>
      <c r="U5180">
        <v>2</v>
      </c>
      <c r="V5180">
        <v>6</v>
      </c>
    </row>
    <row r="5181" spans="1:22" x14ac:dyDescent="0.3">
      <c r="A5181">
        <v>5180</v>
      </c>
      <c r="B5181">
        <v>55696</v>
      </c>
      <c r="C5181" s="2">
        <v>38848</v>
      </c>
      <c r="D5181">
        <v>19</v>
      </c>
      <c r="E5181" t="s">
        <v>42</v>
      </c>
      <c r="F5181" t="s">
        <v>50</v>
      </c>
      <c r="G5181" s="2">
        <v>45562</v>
      </c>
      <c r="H5181" s="3">
        <f t="shared" si="80"/>
        <v>1.4219178082191781</v>
      </c>
      <c r="I5181">
        <v>42</v>
      </c>
      <c r="J5181" t="s">
        <v>38</v>
      </c>
      <c r="K5181" t="s">
        <v>56</v>
      </c>
      <c r="L5181" t="s">
        <v>44</v>
      </c>
      <c r="M5181">
        <v>8.4700000000000006</v>
      </c>
      <c r="T5181" t="s">
        <v>45</v>
      </c>
      <c r="U5181">
        <v>2</v>
      </c>
      <c r="V5181">
        <v>5</v>
      </c>
    </row>
    <row r="5182" spans="1:22" x14ac:dyDescent="0.3">
      <c r="A5182">
        <v>5181</v>
      </c>
      <c r="B5182">
        <v>55697</v>
      </c>
      <c r="C5182" s="2">
        <v>37077</v>
      </c>
      <c r="D5182">
        <v>24</v>
      </c>
      <c r="E5182" t="s">
        <v>42</v>
      </c>
      <c r="F5182" t="s">
        <v>50</v>
      </c>
      <c r="G5182" s="2">
        <v>45503</v>
      </c>
      <c r="H5182" s="3">
        <f t="shared" si="80"/>
        <v>1.1835616438356165</v>
      </c>
      <c r="I5182">
        <v>42</v>
      </c>
      <c r="J5182" t="s">
        <v>38</v>
      </c>
      <c r="K5182" t="s">
        <v>56</v>
      </c>
      <c r="L5182" t="s">
        <v>44</v>
      </c>
      <c r="M5182">
        <v>8.4700000000000006</v>
      </c>
      <c r="T5182" t="s">
        <v>47</v>
      </c>
      <c r="U5182">
        <v>2</v>
      </c>
      <c r="V5182">
        <v>6</v>
      </c>
    </row>
    <row r="5183" spans="1:22" x14ac:dyDescent="0.3">
      <c r="A5183">
        <v>5182</v>
      </c>
      <c r="B5183">
        <v>55699</v>
      </c>
      <c r="C5183" s="2">
        <v>37334</v>
      </c>
      <c r="D5183">
        <v>23</v>
      </c>
      <c r="E5183" t="s">
        <v>42</v>
      </c>
      <c r="F5183" t="s">
        <v>50</v>
      </c>
      <c r="G5183" s="2">
        <v>45590</v>
      </c>
      <c r="H5183" s="3">
        <f t="shared" si="80"/>
        <v>1.0794520547945206</v>
      </c>
      <c r="I5183">
        <v>42</v>
      </c>
      <c r="J5183" t="s">
        <v>38</v>
      </c>
      <c r="K5183" t="s">
        <v>56</v>
      </c>
      <c r="L5183" t="s">
        <v>44</v>
      </c>
      <c r="M5183">
        <v>8.4700000000000006</v>
      </c>
      <c r="T5183" t="s">
        <v>52</v>
      </c>
      <c r="U5183">
        <v>3</v>
      </c>
      <c r="V5183">
        <v>6</v>
      </c>
    </row>
    <row r="5184" spans="1:22" x14ac:dyDescent="0.3">
      <c r="A5184">
        <v>5183</v>
      </c>
      <c r="B5184">
        <v>55700</v>
      </c>
      <c r="C5184" s="2">
        <v>37371</v>
      </c>
      <c r="D5184">
        <v>23</v>
      </c>
      <c r="E5184" t="s">
        <v>42</v>
      </c>
      <c r="F5184" t="s">
        <v>37</v>
      </c>
      <c r="G5184" s="2">
        <v>45628</v>
      </c>
      <c r="H5184" s="3">
        <f t="shared" si="80"/>
        <v>1.0794520547945206</v>
      </c>
      <c r="I5184">
        <v>42</v>
      </c>
      <c r="J5184" t="s">
        <v>38</v>
      </c>
      <c r="K5184" t="s">
        <v>56</v>
      </c>
      <c r="L5184" t="s">
        <v>44</v>
      </c>
      <c r="M5184">
        <v>8.4700000000000006</v>
      </c>
      <c r="T5184" t="s">
        <v>47</v>
      </c>
      <c r="U5184">
        <v>2</v>
      </c>
      <c r="V5184">
        <v>6</v>
      </c>
    </row>
    <row r="5185" spans="1:22" x14ac:dyDescent="0.3">
      <c r="A5185">
        <v>5184</v>
      </c>
      <c r="B5185">
        <v>55701</v>
      </c>
      <c r="C5185" s="2">
        <v>35677</v>
      </c>
      <c r="D5185">
        <v>28</v>
      </c>
      <c r="E5185" t="s">
        <v>42</v>
      </c>
      <c r="F5185" t="s">
        <v>37</v>
      </c>
      <c r="G5185" s="2">
        <v>45628</v>
      </c>
      <c r="H5185" s="3">
        <f t="shared" si="80"/>
        <v>1.1534246575342466</v>
      </c>
      <c r="I5185">
        <v>42</v>
      </c>
      <c r="J5185" t="s">
        <v>38</v>
      </c>
      <c r="K5185" t="s">
        <v>56</v>
      </c>
      <c r="L5185" t="s">
        <v>44</v>
      </c>
      <c r="M5185">
        <v>8.4700000000000006</v>
      </c>
      <c r="T5185" t="s">
        <v>45</v>
      </c>
      <c r="U5185">
        <v>4</v>
      </c>
      <c r="V5185">
        <v>5</v>
      </c>
    </row>
    <row r="5186" spans="1:22" x14ac:dyDescent="0.3">
      <c r="A5186">
        <v>5185</v>
      </c>
      <c r="B5186">
        <v>55703</v>
      </c>
      <c r="C5186" s="2">
        <v>37304</v>
      </c>
      <c r="D5186">
        <v>23</v>
      </c>
      <c r="E5186" t="s">
        <v>42</v>
      </c>
      <c r="F5186" t="s">
        <v>50</v>
      </c>
      <c r="G5186" s="2">
        <v>45601</v>
      </c>
      <c r="H5186" s="3">
        <f t="shared" si="80"/>
        <v>1.3835616438356164</v>
      </c>
      <c r="I5186">
        <v>43</v>
      </c>
      <c r="J5186" t="s">
        <v>38</v>
      </c>
      <c r="K5186" t="s">
        <v>68</v>
      </c>
      <c r="L5186" t="s">
        <v>44</v>
      </c>
      <c r="M5186">
        <v>17</v>
      </c>
      <c r="T5186" t="s">
        <v>47</v>
      </c>
      <c r="U5186">
        <v>1</v>
      </c>
      <c r="V5186">
        <v>6</v>
      </c>
    </row>
    <row r="5187" spans="1:22" x14ac:dyDescent="0.3">
      <c r="A5187">
        <v>5186</v>
      </c>
      <c r="B5187">
        <v>55704</v>
      </c>
      <c r="C5187" s="2">
        <v>36249</v>
      </c>
      <c r="D5187">
        <v>26</v>
      </c>
      <c r="E5187" t="s">
        <v>42</v>
      </c>
      <c r="F5187" t="s">
        <v>50</v>
      </c>
      <c r="G5187" s="2">
        <v>45517</v>
      </c>
      <c r="H5187" s="3">
        <f t="shared" ref="H5187:H5250" si="81">DATEDIF(G5188,DATE(2025,12,31),"d")/365</f>
        <v>1.6547945205479453</v>
      </c>
      <c r="I5187">
        <v>43</v>
      </c>
      <c r="J5187" t="s">
        <v>38</v>
      </c>
      <c r="K5187" t="s">
        <v>68</v>
      </c>
      <c r="L5187" t="s">
        <v>44</v>
      </c>
      <c r="M5187">
        <v>17</v>
      </c>
      <c r="T5187" t="s">
        <v>47</v>
      </c>
      <c r="U5187">
        <v>2</v>
      </c>
      <c r="V5187">
        <v>6</v>
      </c>
    </row>
    <row r="5188" spans="1:22" x14ac:dyDescent="0.3">
      <c r="A5188">
        <v>5187</v>
      </c>
      <c r="B5188">
        <v>55705</v>
      </c>
      <c r="C5188" s="2">
        <v>36844</v>
      </c>
      <c r="D5188">
        <v>25</v>
      </c>
      <c r="E5188" t="s">
        <v>36</v>
      </c>
      <c r="F5188" t="s">
        <v>50</v>
      </c>
      <c r="G5188" s="2">
        <v>45418</v>
      </c>
      <c r="H5188" s="3">
        <f t="shared" si="81"/>
        <v>1.452054794520548</v>
      </c>
      <c r="I5188">
        <v>43</v>
      </c>
      <c r="J5188" t="s">
        <v>38</v>
      </c>
      <c r="K5188" t="s">
        <v>46</v>
      </c>
      <c r="L5188" t="s">
        <v>44</v>
      </c>
      <c r="M5188">
        <v>14.23</v>
      </c>
      <c r="T5188" t="s">
        <v>49</v>
      </c>
      <c r="U5188">
        <v>0</v>
      </c>
      <c r="V5188">
        <v>4</v>
      </c>
    </row>
    <row r="5189" spans="1:22" x14ac:dyDescent="0.3">
      <c r="A5189">
        <v>5188</v>
      </c>
      <c r="B5189">
        <v>55706</v>
      </c>
      <c r="C5189" s="2">
        <v>37886</v>
      </c>
      <c r="D5189">
        <v>22</v>
      </c>
      <c r="E5189" t="s">
        <v>42</v>
      </c>
      <c r="F5189" t="s">
        <v>50</v>
      </c>
      <c r="G5189" s="2">
        <v>45492</v>
      </c>
      <c r="H5189" s="3">
        <f t="shared" si="81"/>
        <v>1.4383561643835616</v>
      </c>
      <c r="I5189">
        <v>43</v>
      </c>
      <c r="J5189" t="s">
        <v>38</v>
      </c>
      <c r="K5189" t="s">
        <v>48</v>
      </c>
      <c r="L5189" t="s">
        <v>44</v>
      </c>
      <c r="M5189">
        <v>8.4700000000000006</v>
      </c>
      <c r="T5189" t="s">
        <v>47</v>
      </c>
      <c r="U5189">
        <v>2</v>
      </c>
      <c r="V5189">
        <v>7</v>
      </c>
    </row>
    <row r="5190" spans="1:22" x14ac:dyDescent="0.3">
      <c r="A5190">
        <v>5189</v>
      </c>
      <c r="B5190">
        <v>55707</v>
      </c>
      <c r="C5190" s="2">
        <v>38570</v>
      </c>
      <c r="D5190">
        <v>20</v>
      </c>
      <c r="E5190" t="s">
        <v>42</v>
      </c>
      <c r="F5190" t="s">
        <v>50</v>
      </c>
      <c r="G5190" s="2">
        <v>45497</v>
      </c>
      <c r="H5190" s="3">
        <f t="shared" si="81"/>
        <v>1.0356164383561643</v>
      </c>
      <c r="I5190">
        <v>43</v>
      </c>
      <c r="J5190" t="s">
        <v>38</v>
      </c>
      <c r="K5190" t="s">
        <v>48</v>
      </c>
      <c r="L5190" t="s">
        <v>44</v>
      </c>
      <c r="M5190">
        <v>8.4700000000000006</v>
      </c>
      <c r="T5190" t="s">
        <v>45</v>
      </c>
      <c r="U5190">
        <v>1</v>
      </c>
      <c r="V5190">
        <v>5</v>
      </c>
    </row>
    <row r="5191" spans="1:22" x14ac:dyDescent="0.3">
      <c r="A5191">
        <v>5190</v>
      </c>
      <c r="B5191">
        <v>55708</v>
      </c>
      <c r="C5191" s="2">
        <v>36041</v>
      </c>
      <c r="D5191">
        <v>27</v>
      </c>
      <c r="E5191" t="s">
        <v>36</v>
      </c>
      <c r="F5191" t="s">
        <v>50</v>
      </c>
      <c r="G5191" s="2">
        <v>45644</v>
      </c>
      <c r="H5191" s="3">
        <f t="shared" si="81"/>
        <v>1.2301369863013698</v>
      </c>
      <c r="I5191">
        <v>43</v>
      </c>
      <c r="J5191" t="s">
        <v>38</v>
      </c>
      <c r="K5191" t="s">
        <v>55</v>
      </c>
      <c r="L5191" t="s">
        <v>44</v>
      </c>
      <c r="M5191">
        <v>17.59</v>
      </c>
      <c r="T5191" t="s">
        <v>52</v>
      </c>
      <c r="U5191">
        <v>2</v>
      </c>
      <c r="V5191">
        <v>5</v>
      </c>
    </row>
    <row r="5192" spans="1:22" x14ac:dyDescent="0.3">
      <c r="A5192">
        <v>5191</v>
      </c>
      <c r="B5192">
        <v>55709</v>
      </c>
      <c r="C5192" s="2">
        <v>38776</v>
      </c>
      <c r="D5192">
        <v>19</v>
      </c>
      <c r="E5192" t="s">
        <v>42</v>
      </c>
      <c r="F5192" t="s">
        <v>37</v>
      </c>
      <c r="G5192" s="2">
        <v>45573</v>
      </c>
      <c r="H5192" s="3">
        <f t="shared" si="81"/>
        <v>1.6273972602739726</v>
      </c>
      <c r="I5192">
        <v>43</v>
      </c>
      <c r="J5192" t="s">
        <v>38</v>
      </c>
      <c r="K5192" t="s">
        <v>56</v>
      </c>
      <c r="L5192" t="s">
        <v>44</v>
      </c>
      <c r="M5192">
        <v>8.4700000000000006</v>
      </c>
      <c r="T5192" t="s">
        <v>49</v>
      </c>
      <c r="U5192">
        <v>2</v>
      </c>
      <c r="V5192">
        <v>6</v>
      </c>
    </row>
    <row r="5193" spans="1:22" x14ac:dyDescent="0.3">
      <c r="A5193">
        <v>5192</v>
      </c>
      <c r="B5193">
        <v>55710</v>
      </c>
      <c r="C5193" s="2">
        <v>37669</v>
      </c>
      <c r="D5193">
        <v>22</v>
      </c>
      <c r="E5193" t="s">
        <v>42</v>
      </c>
      <c r="F5193" t="s">
        <v>37</v>
      </c>
      <c r="G5193" s="2">
        <v>45428</v>
      </c>
      <c r="H5193" s="3">
        <f t="shared" si="81"/>
        <v>1.726027397260274</v>
      </c>
      <c r="I5193">
        <v>43</v>
      </c>
      <c r="J5193" t="s">
        <v>38</v>
      </c>
      <c r="K5193" t="s">
        <v>56</v>
      </c>
      <c r="L5193" t="s">
        <v>44</v>
      </c>
      <c r="M5193">
        <v>8.4700000000000006</v>
      </c>
      <c r="T5193" t="s">
        <v>47</v>
      </c>
      <c r="U5193">
        <v>1</v>
      </c>
      <c r="V5193">
        <v>5</v>
      </c>
    </row>
    <row r="5194" spans="1:22" x14ac:dyDescent="0.3">
      <c r="A5194">
        <v>5193</v>
      </c>
      <c r="B5194">
        <v>55712</v>
      </c>
      <c r="C5194" s="2">
        <v>35285</v>
      </c>
      <c r="D5194">
        <v>29</v>
      </c>
      <c r="E5194" t="s">
        <v>42</v>
      </c>
      <c r="F5194" t="s">
        <v>50</v>
      </c>
      <c r="G5194" s="2">
        <v>45392</v>
      </c>
      <c r="H5194" s="3">
        <f t="shared" si="81"/>
        <v>1.3671232876712329</v>
      </c>
      <c r="I5194">
        <v>43</v>
      </c>
      <c r="J5194" t="s">
        <v>38</v>
      </c>
      <c r="K5194" t="s">
        <v>56</v>
      </c>
      <c r="L5194" t="s">
        <v>44</v>
      </c>
      <c r="M5194">
        <v>8.4700000000000006</v>
      </c>
      <c r="T5194" t="s">
        <v>49</v>
      </c>
      <c r="U5194">
        <v>2</v>
      </c>
      <c r="V5194">
        <v>7</v>
      </c>
    </row>
    <row r="5195" spans="1:22" x14ac:dyDescent="0.3">
      <c r="A5195">
        <v>5194</v>
      </c>
      <c r="B5195">
        <v>55713</v>
      </c>
      <c r="C5195" s="2">
        <v>38666</v>
      </c>
      <c r="D5195">
        <v>20</v>
      </c>
      <c r="E5195" t="s">
        <v>36</v>
      </c>
      <c r="F5195" t="s">
        <v>37</v>
      </c>
      <c r="G5195" s="2">
        <v>45523</v>
      </c>
      <c r="H5195" s="3">
        <f t="shared" si="81"/>
        <v>1.3890410958904109</v>
      </c>
      <c r="I5195">
        <v>43</v>
      </c>
      <c r="J5195" t="s">
        <v>38</v>
      </c>
      <c r="K5195" t="s">
        <v>56</v>
      </c>
      <c r="L5195" t="s">
        <v>44</v>
      </c>
      <c r="M5195">
        <v>8.4700000000000006</v>
      </c>
      <c r="T5195" t="s">
        <v>45</v>
      </c>
      <c r="U5195">
        <v>2</v>
      </c>
      <c r="V5195">
        <v>3</v>
      </c>
    </row>
    <row r="5196" spans="1:22" x14ac:dyDescent="0.3">
      <c r="A5196">
        <v>5195</v>
      </c>
      <c r="B5196">
        <v>55714</v>
      </c>
      <c r="C5196" s="2">
        <v>36017</v>
      </c>
      <c r="D5196">
        <v>27</v>
      </c>
      <c r="E5196" t="s">
        <v>42</v>
      </c>
      <c r="F5196" t="s">
        <v>50</v>
      </c>
      <c r="G5196" s="2">
        <v>45515</v>
      </c>
      <c r="H5196" s="3">
        <f t="shared" si="81"/>
        <v>1.484931506849315</v>
      </c>
      <c r="I5196">
        <v>43</v>
      </c>
      <c r="J5196" t="s">
        <v>38</v>
      </c>
      <c r="K5196" t="s">
        <v>56</v>
      </c>
      <c r="L5196" t="s">
        <v>44</v>
      </c>
      <c r="M5196">
        <v>8.4700000000000006</v>
      </c>
      <c r="T5196" t="s">
        <v>52</v>
      </c>
      <c r="U5196">
        <v>2</v>
      </c>
      <c r="V5196">
        <v>6</v>
      </c>
    </row>
    <row r="5197" spans="1:22" x14ac:dyDescent="0.3">
      <c r="A5197">
        <v>5196</v>
      </c>
      <c r="B5197">
        <v>55715</v>
      </c>
      <c r="C5197" s="2">
        <v>37737</v>
      </c>
      <c r="D5197">
        <v>22</v>
      </c>
      <c r="E5197" t="s">
        <v>42</v>
      </c>
      <c r="F5197" t="s">
        <v>37</v>
      </c>
      <c r="G5197" s="2">
        <v>45480</v>
      </c>
      <c r="H5197" s="3">
        <f t="shared" si="81"/>
        <v>1.6493150684931508</v>
      </c>
      <c r="I5197">
        <v>43</v>
      </c>
      <c r="J5197" t="s">
        <v>38</v>
      </c>
      <c r="K5197" t="s">
        <v>56</v>
      </c>
      <c r="L5197" t="s">
        <v>44</v>
      </c>
      <c r="M5197">
        <v>8.4700000000000006</v>
      </c>
      <c r="T5197" t="s">
        <v>49</v>
      </c>
      <c r="U5197">
        <v>1</v>
      </c>
      <c r="V5197">
        <v>6</v>
      </c>
    </row>
    <row r="5198" spans="1:22" x14ac:dyDescent="0.3">
      <c r="A5198">
        <v>5197</v>
      </c>
      <c r="B5198">
        <v>55716</v>
      </c>
      <c r="C5198" s="2">
        <v>38198</v>
      </c>
      <c r="D5198">
        <v>21</v>
      </c>
      <c r="E5198" t="s">
        <v>42</v>
      </c>
      <c r="F5198" t="s">
        <v>37</v>
      </c>
      <c r="G5198" s="2">
        <v>45420</v>
      </c>
      <c r="H5198" s="3">
        <f t="shared" si="81"/>
        <v>1.1616438356164382</v>
      </c>
      <c r="I5198">
        <v>43</v>
      </c>
      <c r="J5198" t="s">
        <v>38</v>
      </c>
      <c r="K5198" t="s">
        <v>56</v>
      </c>
      <c r="L5198" t="s">
        <v>44</v>
      </c>
      <c r="M5198">
        <v>8.4700000000000006</v>
      </c>
      <c r="T5198" t="s">
        <v>47</v>
      </c>
      <c r="U5198">
        <v>2</v>
      </c>
      <c r="V5198">
        <v>7</v>
      </c>
    </row>
    <row r="5199" spans="1:22" x14ac:dyDescent="0.3">
      <c r="A5199">
        <v>5198</v>
      </c>
      <c r="B5199">
        <v>55717</v>
      </c>
      <c r="C5199" s="2">
        <v>38711</v>
      </c>
      <c r="D5199">
        <v>20</v>
      </c>
      <c r="E5199" t="s">
        <v>42</v>
      </c>
      <c r="F5199" t="s">
        <v>50</v>
      </c>
      <c r="G5199" s="2">
        <v>45598</v>
      </c>
      <c r="H5199" s="3">
        <f t="shared" si="81"/>
        <v>1.6575342465753424</v>
      </c>
      <c r="I5199">
        <v>43</v>
      </c>
      <c r="J5199" t="s">
        <v>38</v>
      </c>
      <c r="K5199" t="s">
        <v>56</v>
      </c>
      <c r="L5199" t="s">
        <v>44</v>
      </c>
      <c r="M5199">
        <v>8.4700000000000006</v>
      </c>
      <c r="T5199" t="s">
        <v>47</v>
      </c>
      <c r="U5199">
        <v>1</v>
      </c>
      <c r="V5199">
        <v>6</v>
      </c>
    </row>
    <row r="5200" spans="1:22" x14ac:dyDescent="0.3">
      <c r="A5200">
        <v>5199</v>
      </c>
      <c r="B5200">
        <v>55718</v>
      </c>
      <c r="C5200" s="2">
        <v>36777</v>
      </c>
      <c r="D5200">
        <v>25</v>
      </c>
      <c r="E5200" t="s">
        <v>42</v>
      </c>
      <c r="F5200" t="s">
        <v>37</v>
      </c>
      <c r="G5200" s="2">
        <v>45417</v>
      </c>
      <c r="H5200" s="3">
        <f t="shared" si="81"/>
        <v>1.2082191780821918</v>
      </c>
      <c r="I5200">
        <v>43</v>
      </c>
      <c r="J5200" t="s">
        <v>38</v>
      </c>
      <c r="K5200" t="s">
        <v>56</v>
      </c>
      <c r="L5200" t="s">
        <v>44</v>
      </c>
      <c r="M5200">
        <v>8.4700000000000006</v>
      </c>
      <c r="T5200" t="s">
        <v>52</v>
      </c>
      <c r="U5200">
        <v>2</v>
      </c>
      <c r="V5200">
        <v>6</v>
      </c>
    </row>
    <row r="5201" spans="1:22" x14ac:dyDescent="0.3">
      <c r="A5201">
        <v>5200</v>
      </c>
      <c r="B5201">
        <v>55719</v>
      </c>
      <c r="C5201" s="2">
        <v>38116</v>
      </c>
      <c r="D5201">
        <v>21</v>
      </c>
      <c r="E5201" t="s">
        <v>42</v>
      </c>
      <c r="F5201" t="s">
        <v>50</v>
      </c>
      <c r="G5201" s="2">
        <v>45581</v>
      </c>
      <c r="H5201" s="3">
        <f t="shared" si="81"/>
        <v>1.3452054794520547</v>
      </c>
      <c r="I5201">
        <v>43</v>
      </c>
      <c r="J5201" t="s">
        <v>38</v>
      </c>
      <c r="K5201" t="s">
        <v>56</v>
      </c>
      <c r="L5201" t="s">
        <v>44</v>
      </c>
      <c r="M5201">
        <v>8.4700000000000006</v>
      </c>
      <c r="T5201" t="s">
        <v>45</v>
      </c>
      <c r="U5201">
        <v>2</v>
      </c>
      <c r="V5201">
        <v>6</v>
      </c>
    </row>
    <row r="5202" spans="1:22" x14ac:dyDescent="0.3">
      <c r="A5202">
        <v>5201</v>
      </c>
      <c r="B5202">
        <v>55720</v>
      </c>
      <c r="C5202" s="2">
        <v>38094</v>
      </c>
      <c r="D5202">
        <v>21</v>
      </c>
      <c r="E5202" t="s">
        <v>42</v>
      </c>
      <c r="F5202" t="s">
        <v>37</v>
      </c>
      <c r="G5202" s="2">
        <v>45531</v>
      </c>
      <c r="H5202" s="3">
        <f t="shared" si="81"/>
        <v>1.284931506849315</v>
      </c>
      <c r="I5202">
        <v>43</v>
      </c>
      <c r="J5202" t="s">
        <v>38</v>
      </c>
      <c r="K5202" t="s">
        <v>56</v>
      </c>
      <c r="L5202" t="s">
        <v>44</v>
      </c>
      <c r="M5202">
        <v>8.4700000000000006</v>
      </c>
      <c r="T5202" t="s">
        <v>47</v>
      </c>
      <c r="U5202">
        <v>1</v>
      </c>
      <c r="V5202">
        <v>5</v>
      </c>
    </row>
    <row r="5203" spans="1:22" x14ac:dyDescent="0.3">
      <c r="A5203">
        <v>5202</v>
      </c>
      <c r="B5203">
        <v>55721</v>
      </c>
      <c r="C5203" s="2">
        <v>37867</v>
      </c>
      <c r="D5203">
        <v>22</v>
      </c>
      <c r="E5203" t="s">
        <v>42</v>
      </c>
      <c r="F5203" t="s">
        <v>37</v>
      </c>
      <c r="G5203" s="2">
        <v>45553</v>
      </c>
      <c r="H5203" s="3">
        <f t="shared" si="81"/>
        <v>1.2219178082191782</v>
      </c>
      <c r="I5203">
        <v>43</v>
      </c>
      <c r="J5203" t="s">
        <v>38</v>
      </c>
      <c r="K5203" t="s">
        <v>56</v>
      </c>
      <c r="L5203" t="s">
        <v>44</v>
      </c>
      <c r="M5203">
        <v>8.4700000000000006</v>
      </c>
      <c r="T5203" t="s">
        <v>52</v>
      </c>
      <c r="U5203">
        <v>0</v>
      </c>
      <c r="V5203">
        <v>4</v>
      </c>
    </row>
    <row r="5204" spans="1:22" x14ac:dyDescent="0.3">
      <c r="A5204">
        <v>5203</v>
      </c>
      <c r="B5204">
        <v>55724</v>
      </c>
      <c r="C5204" s="2">
        <v>37846</v>
      </c>
      <c r="D5204">
        <v>22</v>
      </c>
      <c r="E5204" t="s">
        <v>42</v>
      </c>
      <c r="F5204" t="s">
        <v>37</v>
      </c>
      <c r="G5204" s="2">
        <v>45576</v>
      </c>
      <c r="H5204" s="3">
        <f t="shared" si="81"/>
        <v>1.2712328767123289</v>
      </c>
      <c r="I5204">
        <v>43</v>
      </c>
      <c r="J5204" t="s">
        <v>38</v>
      </c>
      <c r="K5204" t="s">
        <v>56</v>
      </c>
      <c r="L5204" t="s">
        <v>44</v>
      </c>
      <c r="M5204">
        <v>8.4700000000000006</v>
      </c>
      <c r="T5204" t="s">
        <v>49</v>
      </c>
      <c r="U5204">
        <v>2</v>
      </c>
      <c r="V5204">
        <v>6</v>
      </c>
    </row>
    <row r="5205" spans="1:22" x14ac:dyDescent="0.3">
      <c r="A5205">
        <v>5204</v>
      </c>
      <c r="B5205">
        <v>55725</v>
      </c>
      <c r="C5205" s="2">
        <v>38382</v>
      </c>
      <c r="D5205">
        <v>20</v>
      </c>
      <c r="E5205" t="s">
        <v>42</v>
      </c>
      <c r="F5205" t="s">
        <v>50</v>
      </c>
      <c r="G5205" s="2">
        <v>45558</v>
      </c>
      <c r="H5205" s="3">
        <f t="shared" si="81"/>
        <v>1.5698630136986302</v>
      </c>
      <c r="I5205">
        <v>43</v>
      </c>
      <c r="J5205" t="s">
        <v>38</v>
      </c>
      <c r="K5205" t="s">
        <v>56</v>
      </c>
      <c r="L5205" t="s">
        <v>44</v>
      </c>
      <c r="M5205">
        <v>8.4700000000000006</v>
      </c>
      <c r="T5205" t="s">
        <v>49</v>
      </c>
      <c r="U5205">
        <v>2</v>
      </c>
      <c r="V5205">
        <v>6</v>
      </c>
    </row>
    <row r="5206" spans="1:22" x14ac:dyDescent="0.3">
      <c r="A5206">
        <v>5205</v>
      </c>
      <c r="B5206">
        <v>55726</v>
      </c>
      <c r="C5206" s="2">
        <v>34321</v>
      </c>
      <c r="D5206">
        <v>32</v>
      </c>
      <c r="E5206" t="s">
        <v>42</v>
      </c>
      <c r="F5206" t="s">
        <v>50</v>
      </c>
      <c r="G5206" s="2">
        <v>45449</v>
      </c>
      <c r="H5206" s="3">
        <f t="shared" si="81"/>
        <v>1.1123287671232878</v>
      </c>
      <c r="I5206">
        <v>44</v>
      </c>
      <c r="J5206" t="s">
        <v>38</v>
      </c>
      <c r="K5206" t="s">
        <v>68</v>
      </c>
      <c r="L5206" t="s">
        <v>44</v>
      </c>
      <c r="M5206">
        <v>17</v>
      </c>
      <c r="T5206" t="s">
        <v>47</v>
      </c>
      <c r="U5206">
        <v>1</v>
      </c>
      <c r="V5206">
        <v>5</v>
      </c>
    </row>
    <row r="5207" spans="1:22" x14ac:dyDescent="0.3">
      <c r="A5207">
        <v>5206</v>
      </c>
      <c r="B5207">
        <v>55727</v>
      </c>
      <c r="C5207" s="2">
        <v>36874</v>
      </c>
      <c r="D5207">
        <v>25</v>
      </c>
      <c r="E5207" t="s">
        <v>42</v>
      </c>
      <c r="F5207" t="s">
        <v>50</v>
      </c>
      <c r="G5207" s="2">
        <v>45616</v>
      </c>
      <c r="H5207" s="3">
        <f t="shared" si="81"/>
        <v>1.821917808219178</v>
      </c>
      <c r="I5207">
        <v>44</v>
      </c>
      <c r="J5207" t="s">
        <v>38</v>
      </c>
      <c r="K5207" t="s">
        <v>68</v>
      </c>
      <c r="L5207" t="s">
        <v>44</v>
      </c>
      <c r="M5207">
        <v>17</v>
      </c>
      <c r="T5207" t="s">
        <v>52</v>
      </c>
      <c r="U5207">
        <v>2</v>
      </c>
      <c r="V5207">
        <v>7</v>
      </c>
    </row>
    <row r="5208" spans="1:22" x14ac:dyDescent="0.3">
      <c r="A5208">
        <v>5207</v>
      </c>
      <c r="B5208">
        <v>55728</v>
      </c>
      <c r="C5208" s="2">
        <v>37680</v>
      </c>
      <c r="D5208">
        <v>22</v>
      </c>
      <c r="E5208" t="s">
        <v>42</v>
      </c>
      <c r="F5208" t="s">
        <v>37</v>
      </c>
      <c r="G5208" s="2">
        <v>45357</v>
      </c>
      <c r="H5208" s="3">
        <f t="shared" si="81"/>
        <v>1.0438356164383562</v>
      </c>
      <c r="I5208">
        <v>44</v>
      </c>
      <c r="J5208" t="s">
        <v>38</v>
      </c>
      <c r="K5208" t="s">
        <v>43</v>
      </c>
      <c r="L5208" t="s">
        <v>44</v>
      </c>
      <c r="M5208">
        <v>16.37</v>
      </c>
      <c r="T5208" t="s">
        <v>52</v>
      </c>
      <c r="U5208">
        <v>1</v>
      </c>
      <c r="V5208">
        <v>4</v>
      </c>
    </row>
    <row r="5209" spans="1:22" x14ac:dyDescent="0.3">
      <c r="A5209">
        <v>5208</v>
      </c>
      <c r="B5209">
        <v>55729</v>
      </c>
      <c r="C5209" s="2">
        <v>38311</v>
      </c>
      <c r="D5209">
        <v>21</v>
      </c>
      <c r="E5209" t="s">
        <v>36</v>
      </c>
      <c r="F5209" t="s">
        <v>50</v>
      </c>
      <c r="G5209" s="2">
        <v>45641</v>
      </c>
      <c r="H5209" s="3">
        <f t="shared" si="81"/>
        <v>1.3452054794520547</v>
      </c>
      <c r="I5209">
        <v>44</v>
      </c>
      <c r="J5209" t="s">
        <v>38</v>
      </c>
      <c r="K5209" t="s">
        <v>64</v>
      </c>
      <c r="L5209" t="s">
        <v>44</v>
      </c>
      <c r="M5209">
        <v>14.07</v>
      </c>
      <c r="T5209" t="s">
        <v>52</v>
      </c>
      <c r="U5209">
        <v>0</v>
      </c>
      <c r="V5209">
        <v>4</v>
      </c>
    </row>
    <row r="5210" spans="1:22" x14ac:dyDescent="0.3">
      <c r="A5210">
        <v>5209</v>
      </c>
      <c r="B5210">
        <v>55730</v>
      </c>
      <c r="C5210" s="2">
        <v>35900</v>
      </c>
      <c r="D5210">
        <v>27</v>
      </c>
      <c r="E5210" t="s">
        <v>42</v>
      </c>
      <c r="F5210" t="s">
        <v>37</v>
      </c>
      <c r="G5210" s="2">
        <v>45531</v>
      </c>
      <c r="H5210" s="3">
        <f t="shared" si="81"/>
        <v>1.4356164383561645</v>
      </c>
      <c r="I5210">
        <v>44</v>
      </c>
      <c r="J5210" t="s">
        <v>38</v>
      </c>
      <c r="K5210" t="s">
        <v>48</v>
      </c>
      <c r="L5210" t="s">
        <v>44</v>
      </c>
      <c r="M5210">
        <v>8.4700000000000006</v>
      </c>
      <c r="T5210" t="s">
        <v>52</v>
      </c>
      <c r="U5210">
        <v>1</v>
      </c>
      <c r="V5210">
        <v>5</v>
      </c>
    </row>
    <row r="5211" spans="1:22" x14ac:dyDescent="0.3">
      <c r="A5211">
        <v>5210</v>
      </c>
      <c r="B5211">
        <v>55731</v>
      </c>
      <c r="C5211" s="2">
        <v>38752</v>
      </c>
      <c r="D5211">
        <v>19</v>
      </c>
      <c r="E5211" t="s">
        <v>42</v>
      </c>
      <c r="F5211" t="s">
        <v>37</v>
      </c>
      <c r="G5211" s="2">
        <v>45498</v>
      </c>
      <c r="H5211" s="3">
        <f t="shared" si="81"/>
        <v>1.4602739726027398</v>
      </c>
      <c r="I5211">
        <v>44</v>
      </c>
      <c r="J5211" t="s">
        <v>38</v>
      </c>
      <c r="K5211" t="s">
        <v>48</v>
      </c>
      <c r="L5211" t="s">
        <v>44</v>
      </c>
      <c r="M5211">
        <v>8.4700000000000006</v>
      </c>
      <c r="T5211" t="s">
        <v>49</v>
      </c>
      <c r="U5211">
        <v>0</v>
      </c>
      <c r="V5211">
        <v>5</v>
      </c>
    </row>
    <row r="5212" spans="1:22" x14ac:dyDescent="0.3">
      <c r="A5212">
        <v>5211</v>
      </c>
      <c r="B5212">
        <v>55732</v>
      </c>
      <c r="C5212" s="2">
        <v>35032</v>
      </c>
      <c r="D5212">
        <v>30</v>
      </c>
      <c r="E5212" t="s">
        <v>36</v>
      </c>
      <c r="F5212" t="s">
        <v>50</v>
      </c>
      <c r="G5212" s="2">
        <v>45489</v>
      </c>
      <c r="H5212" s="3">
        <f t="shared" si="81"/>
        <v>1.6191780821917807</v>
      </c>
      <c r="I5212">
        <v>44</v>
      </c>
      <c r="J5212" t="s">
        <v>38</v>
      </c>
      <c r="K5212" t="s">
        <v>55</v>
      </c>
      <c r="L5212" t="s">
        <v>44</v>
      </c>
      <c r="M5212">
        <v>17.59</v>
      </c>
      <c r="T5212" t="s">
        <v>45</v>
      </c>
      <c r="U5212">
        <v>0</v>
      </c>
      <c r="V5212">
        <v>3</v>
      </c>
    </row>
    <row r="5213" spans="1:22" x14ac:dyDescent="0.3">
      <c r="A5213">
        <v>5212</v>
      </c>
      <c r="B5213">
        <v>55733</v>
      </c>
      <c r="C5213" s="2">
        <v>36974</v>
      </c>
      <c r="D5213">
        <v>24</v>
      </c>
      <c r="E5213" t="s">
        <v>36</v>
      </c>
      <c r="F5213" t="s">
        <v>50</v>
      </c>
      <c r="G5213" s="2">
        <v>45431</v>
      </c>
      <c r="H5213" s="3">
        <f t="shared" si="81"/>
        <v>1.5287671232876712</v>
      </c>
      <c r="I5213">
        <v>44</v>
      </c>
      <c r="J5213" t="s">
        <v>38</v>
      </c>
      <c r="K5213" t="s">
        <v>55</v>
      </c>
      <c r="L5213" t="s">
        <v>44</v>
      </c>
      <c r="M5213">
        <v>17.59</v>
      </c>
      <c r="T5213" t="s">
        <v>52</v>
      </c>
      <c r="U5213">
        <v>3</v>
      </c>
      <c r="V5213">
        <v>5</v>
      </c>
    </row>
    <row r="5214" spans="1:22" x14ac:dyDescent="0.3">
      <c r="A5214">
        <v>5213</v>
      </c>
      <c r="B5214">
        <v>55734</v>
      </c>
      <c r="C5214" s="2">
        <v>35405</v>
      </c>
      <c r="D5214">
        <v>29</v>
      </c>
      <c r="E5214" t="s">
        <v>36</v>
      </c>
      <c r="F5214" t="s">
        <v>50</v>
      </c>
      <c r="G5214" s="2">
        <v>45464</v>
      </c>
      <c r="H5214" s="3">
        <f t="shared" si="81"/>
        <v>1.3643835616438356</v>
      </c>
      <c r="I5214">
        <v>44</v>
      </c>
      <c r="J5214" t="s">
        <v>38</v>
      </c>
      <c r="K5214" t="s">
        <v>55</v>
      </c>
      <c r="L5214" t="s">
        <v>44</v>
      </c>
      <c r="M5214">
        <v>17.59</v>
      </c>
      <c r="T5214" t="s">
        <v>47</v>
      </c>
      <c r="U5214">
        <v>1</v>
      </c>
      <c r="V5214">
        <v>4</v>
      </c>
    </row>
    <row r="5215" spans="1:22" x14ac:dyDescent="0.3">
      <c r="A5215">
        <v>5214</v>
      </c>
      <c r="B5215">
        <v>55735</v>
      </c>
      <c r="C5215" s="2">
        <v>36150</v>
      </c>
      <c r="D5215">
        <v>27</v>
      </c>
      <c r="E5215" t="s">
        <v>42</v>
      </c>
      <c r="F5215" t="s">
        <v>50</v>
      </c>
      <c r="G5215" s="2">
        <v>45524</v>
      </c>
      <c r="H5215" s="3">
        <f t="shared" si="81"/>
        <v>1.5726027397260274</v>
      </c>
      <c r="I5215">
        <v>44</v>
      </c>
      <c r="J5215" t="s">
        <v>38</v>
      </c>
      <c r="K5215" t="s">
        <v>55</v>
      </c>
      <c r="L5215" t="s">
        <v>44</v>
      </c>
      <c r="M5215">
        <v>17.59</v>
      </c>
      <c r="T5215" t="s">
        <v>45</v>
      </c>
      <c r="U5215">
        <v>2</v>
      </c>
      <c r="V5215">
        <v>6</v>
      </c>
    </row>
    <row r="5216" spans="1:22" x14ac:dyDescent="0.3">
      <c r="A5216">
        <v>5215</v>
      </c>
      <c r="B5216">
        <v>55736</v>
      </c>
      <c r="C5216" s="2">
        <v>38426</v>
      </c>
      <c r="D5216">
        <v>20</v>
      </c>
      <c r="E5216" t="s">
        <v>36</v>
      </c>
      <c r="F5216" t="s">
        <v>50</v>
      </c>
      <c r="G5216" s="2">
        <v>45448</v>
      </c>
      <c r="H5216" s="3">
        <f t="shared" si="81"/>
        <v>1.4027397260273973</v>
      </c>
      <c r="I5216">
        <v>44</v>
      </c>
      <c r="J5216" t="s">
        <v>38</v>
      </c>
      <c r="K5216" t="s">
        <v>56</v>
      </c>
      <c r="L5216" t="s">
        <v>44</v>
      </c>
      <c r="M5216">
        <v>8.4700000000000006</v>
      </c>
      <c r="T5216" t="s">
        <v>45</v>
      </c>
      <c r="U5216">
        <v>0</v>
      </c>
      <c r="V5216">
        <v>3</v>
      </c>
    </row>
    <row r="5217" spans="1:22" x14ac:dyDescent="0.3">
      <c r="A5217">
        <v>5216</v>
      </c>
      <c r="B5217">
        <v>55737</v>
      </c>
      <c r="C5217" s="2">
        <v>36609</v>
      </c>
      <c r="D5217">
        <v>25</v>
      </c>
      <c r="E5217" t="s">
        <v>42</v>
      </c>
      <c r="F5217" t="s">
        <v>50</v>
      </c>
      <c r="G5217" s="2">
        <v>45510</v>
      </c>
      <c r="H5217" s="3">
        <f t="shared" si="81"/>
        <v>1.1863013698630136</v>
      </c>
      <c r="I5217">
        <v>44</v>
      </c>
      <c r="J5217" t="s">
        <v>38</v>
      </c>
      <c r="K5217" t="s">
        <v>56</v>
      </c>
      <c r="L5217" t="s">
        <v>44</v>
      </c>
      <c r="M5217">
        <v>8.4700000000000006</v>
      </c>
      <c r="T5217" t="s">
        <v>52</v>
      </c>
      <c r="U5217">
        <v>4</v>
      </c>
      <c r="V5217">
        <v>6</v>
      </c>
    </row>
    <row r="5218" spans="1:22" x14ac:dyDescent="0.3">
      <c r="A5218">
        <v>5217</v>
      </c>
      <c r="B5218">
        <v>55738</v>
      </c>
      <c r="C5218" s="2">
        <v>37257</v>
      </c>
      <c r="D5218">
        <v>24</v>
      </c>
      <c r="E5218" t="s">
        <v>42</v>
      </c>
      <c r="F5218" t="s">
        <v>50</v>
      </c>
      <c r="G5218" s="2">
        <v>45589</v>
      </c>
      <c r="H5218" s="3">
        <f t="shared" si="81"/>
        <v>1.0931506849315069</v>
      </c>
      <c r="I5218">
        <v>44</v>
      </c>
      <c r="J5218" t="s">
        <v>38</v>
      </c>
      <c r="K5218" t="s">
        <v>56</v>
      </c>
      <c r="L5218" t="s">
        <v>44</v>
      </c>
      <c r="M5218">
        <v>8.4700000000000006</v>
      </c>
      <c r="T5218" t="s">
        <v>47</v>
      </c>
      <c r="U5218">
        <v>1</v>
      </c>
      <c r="V5218">
        <v>6</v>
      </c>
    </row>
    <row r="5219" spans="1:22" x14ac:dyDescent="0.3">
      <c r="A5219">
        <v>5218</v>
      </c>
      <c r="B5219">
        <v>55739</v>
      </c>
      <c r="C5219" s="2">
        <v>37539</v>
      </c>
      <c r="D5219">
        <v>23</v>
      </c>
      <c r="E5219" t="s">
        <v>42</v>
      </c>
      <c r="F5219" t="s">
        <v>37</v>
      </c>
      <c r="G5219" s="2">
        <v>45623</v>
      </c>
      <c r="H5219" s="3">
        <f t="shared" si="81"/>
        <v>1.3506849315068492</v>
      </c>
      <c r="I5219">
        <v>44</v>
      </c>
      <c r="J5219" t="s">
        <v>38</v>
      </c>
      <c r="K5219" t="s">
        <v>56</v>
      </c>
      <c r="L5219" t="s">
        <v>44</v>
      </c>
      <c r="M5219">
        <v>8.4700000000000006</v>
      </c>
      <c r="T5219" t="s">
        <v>52</v>
      </c>
      <c r="U5219">
        <v>4</v>
      </c>
      <c r="V5219">
        <v>5</v>
      </c>
    </row>
    <row r="5220" spans="1:22" x14ac:dyDescent="0.3">
      <c r="A5220">
        <v>5219</v>
      </c>
      <c r="B5220">
        <v>55740</v>
      </c>
      <c r="C5220" s="2">
        <v>35832</v>
      </c>
      <c r="D5220">
        <v>27</v>
      </c>
      <c r="E5220" t="s">
        <v>42</v>
      </c>
      <c r="F5220" t="s">
        <v>50</v>
      </c>
      <c r="G5220" s="2">
        <v>45529</v>
      </c>
      <c r="H5220" s="3">
        <f t="shared" si="81"/>
        <v>1.1013698630136985</v>
      </c>
      <c r="I5220">
        <v>44</v>
      </c>
      <c r="J5220" t="s">
        <v>38</v>
      </c>
      <c r="K5220" t="s">
        <v>56</v>
      </c>
      <c r="L5220" t="s">
        <v>44</v>
      </c>
      <c r="M5220">
        <v>8.4700000000000006</v>
      </c>
      <c r="T5220" t="s">
        <v>47</v>
      </c>
      <c r="U5220">
        <v>0</v>
      </c>
      <c r="V5220">
        <v>4</v>
      </c>
    </row>
    <row r="5221" spans="1:22" x14ac:dyDescent="0.3">
      <c r="A5221">
        <v>5220</v>
      </c>
      <c r="B5221">
        <v>55741</v>
      </c>
      <c r="C5221" s="2">
        <v>39165</v>
      </c>
      <c r="D5221">
        <v>18</v>
      </c>
      <c r="E5221" t="s">
        <v>36</v>
      </c>
      <c r="F5221" t="s">
        <v>50</v>
      </c>
      <c r="G5221" s="2">
        <v>45620</v>
      </c>
      <c r="H5221" s="3">
        <f t="shared" si="81"/>
        <v>1.3561643835616439</v>
      </c>
      <c r="I5221">
        <v>44</v>
      </c>
      <c r="J5221" t="s">
        <v>38</v>
      </c>
      <c r="K5221" t="s">
        <v>56</v>
      </c>
      <c r="L5221" t="s">
        <v>44</v>
      </c>
      <c r="M5221">
        <v>8.4700000000000006</v>
      </c>
      <c r="T5221" t="s">
        <v>52</v>
      </c>
      <c r="U5221">
        <v>2</v>
      </c>
      <c r="V5221">
        <v>5</v>
      </c>
    </row>
    <row r="5222" spans="1:22" x14ac:dyDescent="0.3">
      <c r="A5222">
        <v>5221</v>
      </c>
      <c r="B5222">
        <v>55742</v>
      </c>
      <c r="C5222" s="2">
        <v>39040</v>
      </c>
      <c r="D5222">
        <v>19</v>
      </c>
      <c r="E5222" t="s">
        <v>42</v>
      </c>
      <c r="F5222" t="s">
        <v>50</v>
      </c>
      <c r="G5222" s="2">
        <v>45527</v>
      </c>
      <c r="H5222" s="3">
        <f t="shared" si="81"/>
        <v>1.789041095890411</v>
      </c>
      <c r="I5222">
        <v>44</v>
      </c>
      <c r="J5222" t="s">
        <v>38</v>
      </c>
      <c r="K5222" t="s">
        <v>56</v>
      </c>
      <c r="L5222" t="s">
        <v>44</v>
      </c>
      <c r="M5222">
        <v>8.4700000000000006</v>
      </c>
      <c r="T5222" t="s">
        <v>45</v>
      </c>
      <c r="U5222">
        <v>1</v>
      </c>
      <c r="V5222">
        <v>5</v>
      </c>
    </row>
    <row r="5223" spans="1:22" x14ac:dyDescent="0.3">
      <c r="A5223">
        <v>5222</v>
      </c>
      <c r="B5223">
        <v>55743</v>
      </c>
      <c r="C5223" s="2">
        <v>37910</v>
      </c>
      <c r="D5223">
        <v>22</v>
      </c>
      <c r="E5223" t="s">
        <v>42</v>
      </c>
      <c r="F5223" t="s">
        <v>50</v>
      </c>
      <c r="G5223" s="2">
        <v>45369</v>
      </c>
      <c r="H5223" s="3">
        <f t="shared" si="81"/>
        <v>1.2410958904109588</v>
      </c>
      <c r="I5223">
        <v>44</v>
      </c>
      <c r="J5223" t="s">
        <v>38</v>
      </c>
      <c r="K5223" t="s">
        <v>56</v>
      </c>
      <c r="L5223" t="s">
        <v>44</v>
      </c>
      <c r="M5223">
        <v>8.4700000000000006</v>
      </c>
      <c r="T5223" t="s">
        <v>45</v>
      </c>
      <c r="U5223">
        <v>2</v>
      </c>
      <c r="V5223">
        <v>5</v>
      </c>
    </row>
    <row r="5224" spans="1:22" x14ac:dyDescent="0.3">
      <c r="A5224">
        <v>5223</v>
      </c>
      <c r="B5224">
        <v>55744</v>
      </c>
      <c r="C5224" s="2">
        <v>39344</v>
      </c>
      <c r="D5224">
        <v>18</v>
      </c>
      <c r="E5224" t="s">
        <v>42</v>
      </c>
      <c r="F5224" t="s">
        <v>50</v>
      </c>
      <c r="G5224" s="2">
        <v>45569</v>
      </c>
      <c r="H5224" s="3">
        <f t="shared" si="81"/>
        <v>1.1315068493150684</v>
      </c>
      <c r="I5224">
        <v>44</v>
      </c>
      <c r="J5224" t="s">
        <v>38</v>
      </c>
      <c r="K5224" t="s">
        <v>56</v>
      </c>
      <c r="L5224" t="s">
        <v>44</v>
      </c>
      <c r="M5224">
        <v>8.4700000000000006</v>
      </c>
      <c r="T5224" t="s">
        <v>45</v>
      </c>
      <c r="U5224">
        <v>4</v>
      </c>
      <c r="V5224">
        <v>6</v>
      </c>
    </row>
    <row r="5225" spans="1:22" x14ac:dyDescent="0.3">
      <c r="A5225">
        <v>5224</v>
      </c>
      <c r="B5225">
        <v>55745</v>
      </c>
      <c r="C5225" s="2">
        <v>36588</v>
      </c>
      <c r="D5225">
        <v>25</v>
      </c>
      <c r="E5225" t="s">
        <v>42</v>
      </c>
      <c r="F5225" t="s">
        <v>37</v>
      </c>
      <c r="G5225" s="2">
        <v>45609</v>
      </c>
      <c r="H5225" s="3">
        <f t="shared" si="81"/>
        <v>1.747945205479452</v>
      </c>
      <c r="I5225">
        <v>44</v>
      </c>
      <c r="J5225" t="s">
        <v>38</v>
      </c>
      <c r="K5225" t="s">
        <v>56</v>
      </c>
      <c r="L5225" t="s">
        <v>44</v>
      </c>
      <c r="M5225">
        <v>8.4700000000000006</v>
      </c>
      <c r="T5225" t="s">
        <v>52</v>
      </c>
      <c r="U5225">
        <v>2</v>
      </c>
      <c r="V5225">
        <v>6</v>
      </c>
    </row>
    <row r="5226" spans="1:22" x14ac:dyDescent="0.3">
      <c r="A5226">
        <v>5225</v>
      </c>
      <c r="B5226">
        <v>55746</v>
      </c>
      <c r="C5226" s="2">
        <v>37825</v>
      </c>
      <c r="D5226">
        <v>22</v>
      </c>
      <c r="E5226" t="s">
        <v>36</v>
      </c>
      <c r="F5226" t="s">
        <v>50</v>
      </c>
      <c r="G5226" s="2">
        <v>45384</v>
      </c>
      <c r="H5226" s="3">
        <f t="shared" si="81"/>
        <v>1.7095890410958905</v>
      </c>
      <c r="I5226">
        <v>44</v>
      </c>
      <c r="J5226" t="s">
        <v>38</v>
      </c>
      <c r="K5226" t="s">
        <v>56</v>
      </c>
      <c r="L5226" t="s">
        <v>44</v>
      </c>
      <c r="M5226">
        <v>8.4700000000000006</v>
      </c>
      <c r="T5226" t="s">
        <v>47</v>
      </c>
      <c r="U5226">
        <v>2</v>
      </c>
      <c r="V5226">
        <v>5</v>
      </c>
    </row>
    <row r="5227" spans="1:22" x14ac:dyDescent="0.3">
      <c r="A5227">
        <v>5226</v>
      </c>
      <c r="B5227">
        <v>55747</v>
      </c>
      <c r="C5227" s="2">
        <v>38076</v>
      </c>
      <c r="D5227">
        <v>21</v>
      </c>
      <c r="E5227" t="s">
        <v>42</v>
      </c>
      <c r="F5227" t="s">
        <v>37</v>
      </c>
      <c r="G5227" s="2">
        <v>45398</v>
      </c>
      <c r="H5227" s="3">
        <f t="shared" si="81"/>
        <v>1.1424657534246576</v>
      </c>
      <c r="I5227">
        <v>44</v>
      </c>
      <c r="J5227" t="s">
        <v>38</v>
      </c>
      <c r="K5227" t="s">
        <v>56</v>
      </c>
      <c r="L5227" t="s">
        <v>44</v>
      </c>
      <c r="M5227">
        <v>8.4700000000000006</v>
      </c>
      <c r="T5227" t="s">
        <v>49</v>
      </c>
      <c r="U5227">
        <v>2</v>
      </c>
      <c r="V5227">
        <v>5</v>
      </c>
    </row>
    <row r="5228" spans="1:22" x14ac:dyDescent="0.3">
      <c r="A5228">
        <v>5227</v>
      </c>
      <c r="B5228">
        <v>55748</v>
      </c>
      <c r="C5228" s="2">
        <v>33875</v>
      </c>
      <c r="D5228">
        <v>33</v>
      </c>
      <c r="E5228" t="s">
        <v>42</v>
      </c>
      <c r="F5228" t="s">
        <v>37</v>
      </c>
      <c r="G5228" s="2">
        <v>45605</v>
      </c>
      <c r="H5228" s="3">
        <f t="shared" si="81"/>
        <v>1.2219178082191782</v>
      </c>
      <c r="I5228">
        <v>44</v>
      </c>
      <c r="J5228" t="s">
        <v>38</v>
      </c>
      <c r="K5228" t="s">
        <v>56</v>
      </c>
      <c r="L5228" t="s">
        <v>44</v>
      </c>
      <c r="M5228">
        <v>8.4700000000000006</v>
      </c>
      <c r="T5228" t="s">
        <v>52</v>
      </c>
      <c r="U5228">
        <v>2</v>
      </c>
      <c r="V5228">
        <v>5</v>
      </c>
    </row>
    <row r="5229" spans="1:22" x14ac:dyDescent="0.3">
      <c r="A5229">
        <v>5228</v>
      </c>
      <c r="B5229">
        <v>55749</v>
      </c>
      <c r="C5229" s="2">
        <v>37414</v>
      </c>
      <c r="D5229">
        <v>23</v>
      </c>
      <c r="E5229" t="s">
        <v>42</v>
      </c>
      <c r="F5229" t="s">
        <v>50</v>
      </c>
      <c r="G5229" s="2">
        <v>45576</v>
      </c>
      <c r="H5229" s="3">
        <f t="shared" si="81"/>
        <v>1.167123287671233</v>
      </c>
      <c r="I5229">
        <v>44</v>
      </c>
      <c r="J5229" t="s">
        <v>38</v>
      </c>
      <c r="K5229" t="s">
        <v>56</v>
      </c>
      <c r="L5229" t="s">
        <v>44</v>
      </c>
      <c r="M5229">
        <v>8.4700000000000006</v>
      </c>
      <c r="T5229" t="s">
        <v>49</v>
      </c>
      <c r="U5229">
        <v>2</v>
      </c>
      <c r="V5229">
        <v>6</v>
      </c>
    </row>
    <row r="5230" spans="1:22" x14ac:dyDescent="0.3">
      <c r="A5230">
        <v>5229</v>
      </c>
      <c r="B5230">
        <v>55750</v>
      </c>
      <c r="C5230" s="2">
        <v>38272</v>
      </c>
      <c r="D5230">
        <v>21</v>
      </c>
      <c r="E5230" t="s">
        <v>36</v>
      </c>
      <c r="F5230" t="s">
        <v>50</v>
      </c>
      <c r="G5230" s="2">
        <v>45596</v>
      </c>
      <c r="H5230" s="3">
        <f t="shared" si="81"/>
        <v>1.3315068493150686</v>
      </c>
      <c r="I5230">
        <v>45</v>
      </c>
      <c r="J5230" t="s">
        <v>38</v>
      </c>
      <c r="K5230" t="s">
        <v>65</v>
      </c>
      <c r="L5230" t="s">
        <v>44</v>
      </c>
      <c r="M5230">
        <v>10.64</v>
      </c>
      <c r="T5230" t="s">
        <v>52</v>
      </c>
      <c r="U5230">
        <v>1</v>
      </c>
      <c r="V5230">
        <v>3</v>
      </c>
    </row>
    <row r="5231" spans="1:22" x14ac:dyDescent="0.3">
      <c r="A5231">
        <v>5230</v>
      </c>
      <c r="B5231">
        <v>55751</v>
      </c>
      <c r="C5231" s="2">
        <v>37618</v>
      </c>
      <c r="D5231">
        <v>23</v>
      </c>
      <c r="E5231" t="s">
        <v>36</v>
      </c>
      <c r="F5231" t="s">
        <v>37</v>
      </c>
      <c r="G5231" s="2">
        <v>45536</v>
      </c>
      <c r="H5231" s="3">
        <f t="shared" si="81"/>
        <v>1.526027397260274</v>
      </c>
      <c r="I5231">
        <v>45</v>
      </c>
      <c r="J5231" t="s">
        <v>38</v>
      </c>
      <c r="K5231" t="s">
        <v>65</v>
      </c>
      <c r="L5231" t="s">
        <v>44</v>
      </c>
      <c r="M5231">
        <v>10.64</v>
      </c>
      <c r="T5231" t="s">
        <v>52</v>
      </c>
      <c r="U5231">
        <v>0</v>
      </c>
      <c r="V5231">
        <v>4</v>
      </c>
    </row>
    <row r="5232" spans="1:22" x14ac:dyDescent="0.3">
      <c r="A5232">
        <v>5231</v>
      </c>
      <c r="B5232">
        <v>55752</v>
      </c>
      <c r="C5232" s="2">
        <v>34410</v>
      </c>
      <c r="D5232">
        <v>31</v>
      </c>
      <c r="E5232" t="s">
        <v>42</v>
      </c>
      <c r="F5232" t="s">
        <v>37</v>
      </c>
      <c r="G5232" s="2">
        <v>45465</v>
      </c>
      <c r="H5232" s="3">
        <f t="shared" si="81"/>
        <v>1.106849315068493</v>
      </c>
      <c r="I5232">
        <v>45</v>
      </c>
      <c r="J5232" t="s">
        <v>38</v>
      </c>
      <c r="K5232" t="s">
        <v>54</v>
      </c>
      <c r="L5232" t="s">
        <v>44</v>
      </c>
      <c r="M5232">
        <v>23.78</v>
      </c>
      <c r="T5232" t="s">
        <v>45</v>
      </c>
      <c r="U5232">
        <v>5</v>
      </c>
      <c r="V5232">
        <v>7</v>
      </c>
    </row>
    <row r="5233" spans="1:22" x14ac:dyDescent="0.3">
      <c r="A5233">
        <v>5232</v>
      </c>
      <c r="B5233">
        <v>55753</v>
      </c>
      <c r="C5233" s="2">
        <v>38986</v>
      </c>
      <c r="D5233">
        <v>19</v>
      </c>
      <c r="E5233" t="s">
        <v>42</v>
      </c>
      <c r="F5233" t="s">
        <v>37</v>
      </c>
      <c r="G5233" s="2">
        <v>45618</v>
      </c>
      <c r="H5233" s="3">
        <f t="shared" si="81"/>
        <v>1.3917808219178083</v>
      </c>
      <c r="I5233">
        <v>45</v>
      </c>
      <c r="J5233" t="s">
        <v>38</v>
      </c>
      <c r="K5233" t="s">
        <v>56</v>
      </c>
      <c r="L5233" t="s">
        <v>44</v>
      </c>
      <c r="M5233">
        <v>8.4700000000000006</v>
      </c>
      <c r="T5233" t="s">
        <v>52</v>
      </c>
      <c r="U5233">
        <v>0</v>
      </c>
      <c r="V5233">
        <v>4</v>
      </c>
    </row>
    <row r="5234" spans="1:22" x14ac:dyDescent="0.3">
      <c r="A5234">
        <v>5233</v>
      </c>
      <c r="B5234">
        <v>55754</v>
      </c>
      <c r="C5234" s="2">
        <v>37223</v>
      </c>
      <c r="D5234">
        <v>24</v>
      </c>
      <c r="E5234" t="s">
        <v>42</v>
      </c>
      <c r="F5234" t="s">
        <v>50</v>
      </c>
      <c r="G5234" s="2">
        <v>45514</v>
      </c>
      <c r="H5234" s="3">
        <f t="shared" si="81"/>
        <v>1.295890410958904</v>
      </c>
      <c r="I5234">
        <v>45</v>
      </c>
      <c r="J5234" t="s">
        <v>38</v>
      </c>
      <c r="K5234" t="s">
        <v>56</v>
      </c>
      <c r="L5234" t="s">
        <v>44</v>
      </c>
      <c r="M5234">
        <v>8.4700000000000006</v>
      </c>
      <c r="T5234" t="s">
        <v>49</v>
      </c>
      <c r="U5234">
        <v>1</v>
      </c>
      <c r="V5234">
        <v>7</v>
      </c>
    </row>
    <row r="5235" spans="1:22" x14ac:dyDescent="0.3">
      <c r="A5235">
        <v>5234</v>
      </c>
      <c r="B5235">
        <v>55755</v>
      </c>
      <c r="C5235" s="2">
        <v>38141</v>
      </c>
      <c r="D5235">
        <v>21</v>
      </c>
      <c r="E5235" t="s">
        <v>42</v>
      </c>
      <c r="F5235" t="s">
        <v>37</v>
      </c>
      <c r="G5235" s="2">
        <v>45549</v>
      </c>
      <c r="H5235" s="3">
        <f t="shared" si="81"/>
        <v>1.5917808219178082</v>
      </c>
      <c r="I5235">
        <v>45</v>
      </c>
      <c r="J5235" t="s">
        <v>38</v>
      </c>
      <c r="K5235" t="s">
        <v>56</v>
      </c>
      <c r="L5235" t="s">
        <v>44</v>
      </c>
      <c r="M5235">
        <v>8.4700000000000006</v>
      </c>
      <c r="T5235" t="s">
        <v>49</v>
      </c>
      <c r="U5235">
        <v>0</v>
      </c>
      <c r="V5235">
        <v>4</v>
      </c>
    </row>
    <row r="5236" spans="1:22" x14ac:dyDescent="0.3">
      <c r="A5236">
        <v>5235</v>
      </c>
      <c r="B5236">
        <v>55756</v>
      </c>
      <c r="C5236" s="2">
        <v>36265</v>
      </c>
      <c r="D5236">
        <v>26</v>
      </c>
      <c r="E5236" t="s">
        <v>42</v>
      </c>
      <c r="F5236" t="s">
        <v>37</v>
      </c>
      <c r="G5236" s="2">
        <v>45441</v>
      </c>
      <c r="H5236" s="3">
        <f t="shared" si="81"/>
        <v>1.0136986301369864</v>
      </c>
      <c r="I5236">
        <v>45</v>
      </c>
      <c r="J5236" t="s">
        <v>38</v>
      </c>
      <c r="K5236" t="s">
        <v>56</v>
      </c>
      <c r="L5236" t="s">
        <v>44</v>
      </c>
      <c r="M5236">
        <v>8.4700000000000006</v>
      </c>
      <c r="T5236" t="s">
        <v>47</v>
      </c>
      <c r="U5236">
        <v>1</v>
      </c>
      <c r="V5236">
        <v>5</v>
      </c>
    </row>
    <row r="5237" spans="1:22" x14ac:dyDescent="0.3">
      <c r="A5237">
        <v>5236</v>
      </c>
      <c r="B5237">
        <v>55757</v>
      </c>
      <c r="C5237" s="2">
        <v>35619</v>
      </c>
      <c r="D5237">
        <v>28</v>
      </c>
      <c r="E5237" t="s">
        <v>42</v>
      </c>
      <c r="F5237" t="s">
        <v>37</v>
      </c>
      <c r="G5237" s="2">
        <v>45652</v>
      </c>
      <c r="H5237" s="3">
        <f t="shared" si="81"/>
        <v>1.2027397260273973</v>
      </c>
      <c r="I5237">
        <v>45</v>
      </c>
      <c r="J5237" t="s">
        <v>38</v>
      </c>
      <c r="K5237" t="s">
        <v>56</v>
      </c>
      <c r="L5237" t="s">
        <v>44</v>
      </c>
      <c r="M5237">
        <v>8.4700000000000006</v>
      </c>
      <c r="T5237" t="s">
        <v>49</v>
      </c>
      <c r="U5237">
        <v>4</v>
      </c>
      <c r="V5237">
        <v>5</v>
      </c>
    </row>
    <row r="5238" spans="1:22" x14ac:dyDescent="0.3">
      <c r="A5238">
        <v>5237</v>
      </c>
      <c r="B5238">
        <v>55758</v>
      </c>
      <c r="C5238" s="2">
        <v>37828</v>
      </c>
      <c r="D5238">
        <v>22</v>
      </c>
      <c r="E5238" t="s">
        <v>42</v>
      </c>
      <c r="F5238" t="s">
        <v>50</v>
      </c>
      <c r="G5238" s="2">
        <v>45583</v>
      </c>
      <c r="H5238" s="3">
        <f t="shared" si="81"/>
        <v>1.6109589041095891</v>
      </c>
      <c r="I5238">
        <v>45</v>
      </c>
      <c r="J5238" t="s">
        <v>38</v>
      </c>
      <c r="K5238" t="s">
        <v>56</v>
      </c>
      <c r="L5238" t="s">
        <v>44</v>
      </c>
      <c r="M5238">
        <v>8.4700000000000006</v>
      </c>
      <c r="T5238" t="s">
        <v>52</v>
      </c>
      <c r="U5238">
        <v>2</v>
      </c>
      <c r="V5238">
        <v>5</v>
      </c>
    </row>
    <row r="5239" spans="1:22" x14ac:dyDescent="0.3">
      <c r="A5239">
        <v>5238</v>
      </c>
      <c r="B5239">
        <v>55759</v>
      </c>
      <c r="C5239" s="2">
        <v>39445</v>
      </c>
      <c r="D5239">
        <v>18</v>
      </c>
      <c r="E5239" t="s">
        <v>42</v>
      </c>
      <c r="F5239" t="s">
        <v>37</v>
      </c>
      <c r="G5239" s="2">
        <v>45434</v>
      </c>
      <c r="H5239" s="3">
        <f t="shared" si="81"/>
        <v>1.6383561643835616</v>
      </c>
      <c r="I5239">
        <v>45</v>
      </c>
      <c r="J5239" t="s">
        <v>38</v>
      </c>
      <c r="K5239" t="s">
        <v>56</v>
      </c>
      <c r="L5239" t="s">
        <v>44</v>
      </c>
      <c r="M5239">
        <v>8.4700000000000006</v>
      </c>
      <c r="T5239" t="s">
        <v>52</v>
      </c>
      <c r="U5239">
        <v>4</v>
      </c>
      <c r="V5239">
        <v>5</v>
      </c>
    </row>
    <row r="5240" spans="1:22" x14ac:dyDescent="0.3">
      <c r="A5240">
        <v>5239</v>
      </c>
      <c r="B5240">
        <v>55760</v>
      </c>
      <c r="C5240" s="2">
        <v>39314</v>
      </c>
      <c r="D5240">
        <v>18</v>
      </c>
      <c r="E5240" t="s">
        <v>42</v>
      </c>
      <c r="F5240" t="s">
        <v>50</v>
      </c>
      <c r="G5240" s="2">
        <v>45424</v>
      </c>
      <c r="H5240" s="3">
        <f t="shared" si="81"/>
        <v>1.6191780821917807</v>
      </c>
      <c r="I5240">
        <v>45</v>
      </c>
      <c r="J5240" t="s">
        <v>38</v>
      </c>
      <c r="K5240" t="s">
        <v>56</v>
      </c>
      <c r="L5240" t="s">
        <v>44</v>
      </c>
      <c r="M5240">
        <v>8.4700000000000006</v>
      </c>
      <c r="T5240" t="s">
        <v>45</v>
      </c>
      <c r="U5240">
        <v>1</v>
      </c>
      <c r="V5240">
        <v>5</v>
      </c>
    </row>
    <row r="5241" spans="1:22" x14ac:dyDescent="0.3">
      <c r="A5241">
        <v>5240</v>
      </c>
      <c r="B5241">
        <v>55761</v>
      </c>
      <c r="C5241" s="2">
        <v>37578</v>
      </c>
      <c r="D5241">
        <v>23</v>
      </c>
      <c r="E5241" t="s">
        <v>42</v>
      </c>
      <c r="F5241" t="s">
        <v>50</v>
      </c>
      <c r="G5241" s="2">
        <v>45431</v>
      </c>
      <c r="H5241" s="3">
        <f t="shared" si="81"/>
        <v>1.9315068493150684</v>
      </c>
      <c r="I5241">
        <v>45</v>
      </c>
      <c r="J5241" t="s">
        <v>38</v>
      </c>
      <c r="K5241" t="s">
        <v>56</v>
      </c>
      <c r="L5241" t="s">
        <v>44</v>
      </c>
      <c r="M5241">
        <v>8.4700000000000006</v>
      </c>
      <c r="T5241" t="s">
        <v>45</v>
      </c>
      <c r="U5241">
        <v>4</v>
      </c>
      <c r="V5241">
        <v>7</v>
      </c>
    </row>
    <row r="5242" spans="1:22" x14ac:dyDescent="0.3">
      <c r="A5242">
        <v>5241</v>
      </c>
      <c r="B5242">
        <v>55762</v>
      </c>
      <c r="C5242" s="2">
        <v>37546</v>
      </c>
      <c r="D5242">
        <v>23</v>
      </c>
      <c r="E5242" t="s">
        <v>42</v>
      </c>
      <c r="F5242" t="s">
        <v>50</v>
      </c>
      <c r="G5242" s="2">
        <v>45317</v>
      </c>
      <c r="H5242" s="3">
        <f t="shared" si="81"/>
        <v>1.0273972602739727</v>
      </c>
      <c r="I5242">
        <v>46</v>
      </c>
      <c r="J5242" t="s">
        <v>38</v>
      </c>
      <c r="K5242" t="s">
        <v>68</v>
      </c>
      <c r="L5242" t="s">
        <v>44</v>
      </c>
      <c r="M5242">
        <v>17</v>
      </c>
      <c r="T5242" t="s">
        <v>45</v>
      </c>
      <c r="U5242">
        <v>2</v>
      </c>
      <c r="V5242">
        <v>6</v>
      </c>
    </row>
    <row r="5243" spans="1:22" x14ac:dyDescent="0.3">
      <c r="A5243">
        <v>5242</v>
      </c>
      <c r="B5243">
        <v>55763</v>
      </c>
      <c r="C5243" s="2">
        <v>37984</v>
      </c>
      <c r="D5243">
        <v>22</v>
      </c>
      <c r="E5243" t="s">
        <v>36</v>
      </c>
      <c r="F5243" t="s">
        <v>50</v>
      </c>
      <c r="G5243" s="2">
        <v>45647</v>
      </c>
      <c r="H5243" s="3">
        <f t="shared" si="81"/>
        <v>1.0438356164383562</v>
      </c>
      <c r="I5243">
        <v>46</v>
      </c>
      <c r="J5243" t="s">
        <v>38</v>
      </c>
      <c r="K5243" t="s">
        <v>68</v>
      </c>
      <c r="L5243" t="s">
        <v>44</v>
      </c>
      <c r="M5243">
        <v>17</v>
      </c>
      <c r="T5243" t="s">
        <v>52</v>
      </c>
      <c r="U5243">
        <v>3</v>
      </c>
      <c r="V5243">
        <v>6</v>
      </c>
    </row>
    <row r="5244" spans="1:22" x14ac:dyDescent="0.3">
      <c r="A5244">
        <v>5243</v>
      </c>
      <c r="B5244">
        <v>55764</v>
      </c>
      <c r="C5244" s="2">
        <v>34417</v>
      </c>
      <c r="D5244">
        <v>31</v>
      </c>
      <c r="E5244" t="s">
        <v>36</v>
      </c>
      <c r="F5244" t="s">
        <v>37</v>
      </c>
      <c r="G5244" s="2">
        <v>45641</v>
      </c>
      <c r="H5244" s="3">
        <f t="shared" si="81"/>
        <v>1.6301369863013699</v>
      </c>
      <c r="I5244">
        <v>46</v>
      </c>
      <c r="J5244" t="s">
        <v>38</v>
      </c>
      <c r="K5244" t="s">
        <v>64</v>
      </c>
      <c r="L5244" t="s">
        <v>44</v>
      </c>
      <c r="M5244">
        <v>14.07</v>
      </c>
      <c r="T5244" t="s">
        <v>45</v>
      </c>
      <c r="U5244">
        <v>1</v>
      </c>
      <c r="V5244">
        <v>3</v>
      </c>
    </row>
    <row r="5245" spans="1:22" x14ac:dyDescent="0.3">
      <c r="A5245">
        <v>5244</v>
      </c>
      <c r="B5245">
        <v>55765</v>
      </c>
      <c r="C5245" s="2">
        <v>37970</v>
      </c>
      <c r="D5245">
        <v>22</v>
      </c>
      <c r="E5245" t="s">
        <v>42</v>
      </c>
      <c r="F5245" t="s">
        <v>50</v>
      </c>
      <c r="G5245" s="2">
        <v>45427</v>
      </c>
      <c r="H5245" s="3">
        <f t="shared" si="81"/>
        <v>1.284931506849315</v>
      </c>
      <c r="I5245">
        <v>46</v>
      </c>
      <c r="J5245" t="s">
        <v>38</v>
      </c>
      <c r="K5245" t="s">
        <v>56</v>
      </c>
      <c r="L5245" t="s">
        <v>44</v>
      </c>
      <c r="M5245">
        <v>8.4700000000000006</v>
      </c>
      <c r="T5245" t="s">
        <v>45</v>
      </c>
      <c r="U5245">
        <v>2</v>
      </c>
      <c r="V5245">
        <v>6</v>
      </c>
    </row>
    <row r="5246" spans="1:22" x14ac:dyDescent="0.3">
      <c r="A5246">
        <v>5245</v>
      </c>
      <c r="B5246">
        <v>55766</v>
      </c>
      <c r="C5246" s="2">
        <v>36959</v>
      </c>
      <c r="D5246">
        <v>24</v>
      </c>
      <c r="E5246" t="s">
        <v>42</v>
      </c>
      <c r="F5246" t="s">
        <v>50</v>
      </c>
      <c r="G5246" s="2">
        <v>45553</v>
      </c>
      <c r="H5246" s="3">
        <f t="shared" si="81"/>
        <v>1.4273972602739726</v>
      </c>
      <c r="I5246">
        <v>46</v>
      </c>
      <c r="J5246" t="s">
        <v>38</v>
      </c>
      <c r="K5246" t="s">
        <v>56</v>
      </c>
      <c r="L5246" t="s">
        <v>44</v>
      </c>
      <c r="M5246">
        <v>8.4700000000000006</v>
      </c>
      <c r="T5246" t="s">
        <v>52</v>
      </c>
      <c r="U5246">
        <v>2</v>
      </c>
      <c r="V5246">
        <v>7</v>
      </c>
    </row>
    <row r="5247" spans="1:22" x14ac:dyDescent="0.3">
      <c r="A5247">
        <v>5246</v>
      </c>
      <c r="B5247">
        <v>55767</v>
      </c>
      <c r="C5247" s="2">
        <v>38025</v>
      </c>
      <c r="D5247">
        <v>21</v>
      </c>
      <c r="E5247" t="s">
        <v>42</v>
      </c>
      <c r="F5247" t="s">
        <v>37</v>
      </c>
      <c r="G5247" s="2">
        <v>45501</v>
      </c>
      <c r="H5247" s="3">
        <f t="shared" si="81"/>
        <v>1.5095890410958903</v>
      </c>
      <c r="I5247">
        <v>46</v>
      </c>
      <c r="J5247" t="s">
        <v>38</v>
      </c>
      <c r="K5247" t="s">
        <v>56</v>
      </c>
      <c r="L5247" t="s">
        <v>44</v>
      </c>
      <c r="M5247">
        <v>8.4700000000000006</v>
      </c>
      <c r="T5247" t="s">
        <v>49</v>
      </c>
      <c r="U5247">
        <v>1</v>
      </c>
      <c r="V5247">
        <v>6</v>
      </c>
    </row>
    <row r="5248" spans="1:22" x14ac:dyDescent="0.3">
      <c r="A5248">
        <v>5247</v>
      </c>
      <c r="B5248">
        <v>55768</v>
      </c>
      <c r="C5248" s="2">
        <v>37094</v>
      </c>
      <c r="D5248">
        <v>24</v>
      </c>
      <c r="E5248" t="s">
        <v>42</v>
      </c>
      <c r="F5248" t="s">
        <v>50</v>
      </c>
      <c r="G5248" s="2">
        <v>45471</v>
      </c>
      <c r="H5248" s="3">
        <f t="shared" si="81"/>
        <v>1.0054794520547945</v>
      </c>
      <c r="I5248">
        <v>46</v>
      </c>
      <c r="J5248" t="s">
        <v>38</v>
      </c>
      <c r="K5248" t="s">
        <v>56</v>
      </c>
      <c r="L5248" t="s">
        <v>44</v>
      </c>
      <c r="M5248">
        <v>8.4700000000000006</v>
      </c>
      <c r="T5248" t="s">
        <v>47</v>
      </c>
      <c r="U5248">
        <v>1</v>
      </c>
      <c r="V5248">
        <v>6</v>
      </c>
    </row>
    <row r="5249" spans="1:22" x14ac:dyDescent="0.3">
      <c r="A5249">
        <v>5248</v>
      </c>
      <c r="B5249">
        <v>55769</v>
      </c>
      <c r="C5249" s="2">
        <v>37016</v>
      </c>
      <c r="D5249">
        <v>24</v>
      </c>
      <c r="E5249" t="s">
        <v>42</v>
      </c>
      <c r="F5249" t="s">
        <v>50</v>
      </c>
      <c r="G5249" s="2">
        <v>45655</v>
      </c>
      <c r="H5249" s="3">
        <f t="shared" si="81"/>
        <v>1.5780821917808219</v>
      </c>
      <c r="I5249">
        <v>46</v>
      </c>
      <c r="J5249" t="s">
        <v>38</v>
      </c>
      <c r="K5249" t="s">
        <v>56</v>
      </c>
      <c r="L5249" t="s">
        <v>44</v>
      </c>
      <c r="M5249">
        <v>8.4700000000000006</v>
      </c>
      <c r="T5249" t="s">
        <v>49</v>
      </c>
      <c r="U5249">
        <v>2</v>
      </c>
      <c r="V5249">
        <v>6</v>
      </c>
    </row>
    <row r="5250" spans="1:22" x14ac:dyDescent="0.3">
      <c r="A5250">
        <v>5249</v>
      </c>
      <c r="B5250">
        <v>55770</v>
      </c>
      <c r="C5250" s="2">
        <v>37918</v>
      </c>
      <c r="D5250">
        <v>22</v>
      </c>
      <c r="E5250" t="s">
        <v>42</v>
      </c>
      <c r="F5250" t="s">
        <v>37</v>
      </c>
      <c r="G5250" s="2">
        <v>45446</v>
      </c>
      <c r="H5250" s="3">
        <f t="shared" si="81"/>
        <v>1.7178082191780821</v>
      </c>
      <c r="I5250">
        <v>46</v>
      </c>
      <c r="J5250" t="s">
        <v>38</v>
      </c>
      <c r="K5250" t="s">
        <v>56</v>
      </c>
      <c r="L5250" t="s">
        <v>44</v>
      </c>
      <c r="M5250">
        <v>8.4700000000000006</v>
      </c>
      <c r="T5250" t="s">
        <v>52</v>
      </c>
      <c r="U5250">
        <v>1</v>
      </c>
      <c r="V5250">
        <v>5</v>
      </c>
    </row>
    <row r="5251" spans="1:22" x14ac:dyDescent="0.3">
      <c r="A5251">
        <v>5250</v>
      </c>
      <c r="B5251">
        <v>55772</v>
      </c>
      <c r="C5251" s="2">
        <v>38252</v>
      </c>
      <c r="D5251">
        <v>21</v>
      </c>
      <c r="E5251" t="s">
        <v>42</v>
      </c>
      <c r="F5251" t="s">
        <v>50</v>
      </c>
      <c r="G5251" s="2">
        <v>45395</v>
      </c>
      <c r="H5251" s="3">
        <f t="shared" ref="H5251:H5314" si="82">DATEDIF(G5252,DATE(2025,12,31),"d")/365</f>
        <v>1.3616438356164384</v>
      </c>
      <c r="I5251">
        <v>47</v>
      </c>
      <c r="J5251" t="s">
        <v>38</v>
      </c>
      <c r="K5251" t="s">
        <v>65</v>
      </c>
      <c r="L5251" t="s">
        <v>44</v>
      </c>
      <c r="M5251">
        <v>10.64</v>
      </c>
      <c r="T5251" t="s">
        <v>47</v>
      </c>
      <c r="U5251">
        <v>1</v>
      </c>
      <c r="V5251">
        <v>6</v>
      </c>
    </row>
    <row r="5252" spans="1:22" x14ac:dyDescent="0.3">
      <c r="A5252">
        <v>5251</v>
      </c>
      <c r="B5252">
        <v>55773</v>
      </c>
      <c r="C5252" s="2">
        <v>35663</v>
      </c>
      <c r="D5252">
        <v>28</v>
      </c>
      <c r="E5252" t="s">
        <v>36</v>
      </c>
      <c r="F5252" t="s">
        <v>50</v>
      </c>
      <c r="G5252" s="2">
        <v>45525</v>
      </c>
      <c r="H5252" s="3">
        <f t="shared" si="82"/>
        <v>1.2684931506849315</v>
      </c>
      <c r="I5252">
        <v>47</v>
      </c>
      <c r="J5252" t="s">
        <v>38</v>
      </c>
      <c r="K5252" t="s">
        <v>65</v>
      </c>
      <c r="L5252" t="s">
        <v>44</v>
      </c>
      <c r="M5252">
        <v>10.64</v>
      </c>
      <c r="T5252" t="s">
        <v>45</v>
      </c>
      <c r="U5252">
        <v>0</v>
      </c>
      <c r="V5252">
        <v>5</v>
      </c>
    </row>
    <row r="5253" spans="1:22" x14ac:dyDescent="0.3">
      <c r="A5253">
        <v>5252</v>
      </c>
      <c r="B5253">
        <v>55774</v>
      </c>
      <c r="C5253" s="2">
        <v>39017</v>
      </c>
      <c r="D5253">
        <v>19</v>
      </c>
      <c r="E5253" t="s">
        <v>42</v>
      </c>
      <c r="F5253" t="s">
        <v>50</v>
      </c>
      <c r="G5253" s="2">
        <v>45559</v>
      </c>
      <c r="H5253" s="3">
        <f t="shared" si="82"/>
        <v>1.2547945205479452</v>
      </c>
      <c r="I5253">
        <v>47</v>
      </c>
      <c r="J5253" t="s">
        <v>38</v>
      </c>
      <c r="K5253" t="s">
        <v>56</v>
      </c>
      <c r="L5253" t="s">
        <v>44</v>
      </c>
      <c r="M5253">
        <v>8.4700000000000006</v>
      </c>
      <c r="T5253" t="s">
        <v>47</v>
      </c>
      <c r="U5253">
        <v>2</v>
      </c>
      <c r="V5253">
        <v>7</v>
      </c>
    </row>
    <row r="5254" spans="1:22" x14ac:dyDescent="0.3">
      <c r="A5254">
        <v>5253</v>
      </c>
      <c r="B5254">
        <v>55775</v>
      </c>
      <c r="C5254" s="2">
        <v>38696</v>
      </c>
      <c r="D5254">
        <v>20</v>
      </c>
      <c r="E5254" t="s">
        <v>42</v>
      </c>
      <c r="F5254" t="s">
        <v>50</v>
      </c>
      <c r="G5254" s="2">
        <v>45564</v>
      </c>
      <c r="H5254" s="3">
        <f t="shared" si="82"/>
        <v>1.1808219178082191</v>
      </c>
      <c r="I5254">
        <v>47</v>
      </c>
      <c r="J5254" t="s">
        <v>38</v>
      </c>
      <c r="K5254" t="s">
        <v>56</v>
      </c>
      <c r="L5254" t="s">
        <v>44</v>
      </c>
      <c r="M5254">
        <v>8.4700000000000006</v>
      </c>
      <c r="T5254" t="s">
        <v>45</v>
      </c>
      <c r="U5254">
        <v>2</v>
      </c>
      <c r="V5254">
        <v>6</v>
      </c>
    </row>
    <row r="5255" spans="1:22" x14ac:dyDescent="0.3">
      <c r="A5255">
        <v>5254</v>
      </c>
      <c r="B5255">
        <v>55776</v>
      </c>
      <c r="C5255" s="2">
        <v>35048</v>
      </c>
      <c r="D5255">
        <v>30</v>
      </c>
      <c r="E5255" t="s">
        <v>42</v>
      </c>
      <c r="F5255" t="s">
        <v>50</v>
      </c>
      <c r="G5255" s="2">
        <v>45591</v>
      </c>
      <c r="H5255" s="3">
        <f t="shared" si="82"/>
        <v>1.1863013698630136</v>
      </c>
      <c r="I5255">
        <v>47</v>
      </c>
      <c r="J5255" t="s">
        <v>38</v>
      </c>
      <c r="K5255" t="s">
        <v>56</v>
      </c>
      <c r="L5255" t="s">
        <v>44</v>
      </c>
      <c r="M5255">
        <v>8.4700000000000006</v>
      </c>
      <c r="T5255" t="s">
        <v>49</v>
      </c>
      <c r="U5255">
        <v>2</v>
      </c>
      <c r="V5255">
        <v>7</v>
      </c>
    </row>
    <row r="5256" spans="1:22" x14ac:dyDescent="0.3">
      <c r="A5256">
        <v>5255</v>
      </c>
      <c r="B5256">
        <v>55777</v>
      </c>
      <c r="C5256" s="2">
        <v>37662</v>
      </c>
      <c r="D5256">
        <v>22</v>
      </c>
      <c r="E5256" t="s">
        <v>42</v>
      </c>
      <c r="F5256" t="s">
        <v>37</v>
      </c>
      <c r="G5256" s="2">
        <v>45589</v>
      </c>
      <c r="H5256" s="3">
        <f t="shared" si="82"/>
        <v>1.0027397260273974</v>
      </c>
      <c r="I5256">
        <v>47</v>
      </c>
      <c r="J5256" t="s">
        <v>38</v>
      </c>
      <c r="K5256" t="s">
        <v>56</v>
      </c>
      <c r="L5256" t="s">
        <v>44</v>
      </c>
      <c r="M5256">
        <v>8.4700000000000006</v>
      </c>
      <c r="T5256" t="s">
        <v>45</v>
      </c>
      <c r="U5256">
        <v>2</v>
      </c>
      <c r="V5256">
        <v>7</v>
      </c>
    </row>
    <row r="5257" spans="1:22" x14ac:dyDescent="0.3">
      <c r="A5257">
        <v>5256</v>
      </c>
      <c r="B5257">
        <v>55778</v>
      </c>
      <c r="C5257" s="2">
        <v>37300</v>
      </c>
      <c r="D5257">
        <v>23</v>
      </c>
      <c r="E5257" t="s">
        <v>42</v>
      </c>
      <c r="F5257" t="s">
        <v>50</v>
      </c>
      <c r="G5257" s="2">
        <v>45656</v>
      </c>
      <c r="H5257" s="3">
        <f t="shared" si="82"/>
        <v>1.0328767123287672</v>
      </c>
      <c r="I5257">
        <v>47</v>
      </c>
      <c r="J5257" t="s">
        <v>38</v>
      </c>
      <c r="K5257" t="s">
        <v>56</v>
      </c>
      <c r="L5257" t="s">
        <v>44</v>
      </c>
      <c r="M5257">
        <v>8.4700000000000006</v>
      </c>
      <c r="T5257" t="s">
        <v>47</v>
      </c>
      <c r="U5257">
        <v>4</v>
      </c>
      <c r="V5257">
        <v>6</v>
      </c>
    </row>
    <row r="5258" spans="1:22" x14ac:dyDescent="0.3">
      <c r="A5258">
        <v>5257</v>
      </c>
      <c r="B5258">
        <v>55779</v>
      </c>
      <c r="C5258" s="2">
        <v>38805</v>
      </c>
      <c r="D5258">
        <v>19</v>
      </c>
      <c r="E5258" t="s">
        <v>42</v>
      </c>
      <c r="F5258" t="s">
        <v>50</v>
      </c>
      <c r="G5258" s="2">
        <v>45645</v>
      </c>
      <c r="H5258" s="3">
        <f t="shared" si="82"/>
        <v>1.0575342465753426</v>
      </c>
      <c r="I5258">
        <v>47</v>
      </c>
      <c r="J5258" t="s">
        <v>38</v>
      </c>
      <c r="K5258" t="s">
        <v>56</v>
      </c>
      <c r="L5258" t="s">
        <v>44</v>
      </c>
      <c r="M5258">
        <v>8.4700000000000006</v>
      </c>
      <c r="T5258" t="s">
        <v>52</v>
      </c>
      <c r="U5258">
        <v>1</v>
      </c>
      <c r="V5258">
        <v>6</v>
      </c>
    </row>
    <row r="5259" spans="1:22" x14ac:dyDescent="0.3">
      <c r="A5259">
        <v>5258</v>
      </c>
      <c r="B5259">
        <v>55780</v>
      </c>
      <c r="C5259" s="2">
        <v>37617</v>
      </c>
      <c r="D5259">
        <v>23</v>
      </c>
      <c r="E5259" t="s">
        <v>42</v>
      </c>
      <c r="F5259" t="s">
        <v>50</v>
      </c>
      <c r="G5259" s="2">
        <v>45636</v>
      </c>
      <c r="H5259" s="3">
        <f t="shared" si="82"/>
        <v>1.3424657534246576</v>
      </c>
      <c r="I5259">
        <v>47</v>
      </c>
      <c r="J5259" t="s">
        <v>38</v>
      </c>
      <c r="K5259" t="s">
        <v>56</v>
      </c>
      <c r="L5259" t="s">
        <v>44</v>
      </c>
      <c r="M5259">
        <v>8.4700000000000006</v>
      </c>
      <c r="T5259" t="s">
        <v>52</v>
      </c>
      <c r="U5259">
        <v>4</v>
      </c>
      <c r="V5259">
        <v>5</v>
      </c>
    </row>
    <row r="5260" spans="1:22" x14ac:dyDescent="0.3">
      <c r="A5260">
        <v>5259</v>
      </c>
      <c r="B5260">
        <v>55781</v>
      </c>
      <c r="C5260" s="2">
        <v>37372</v>
      </c>
      <c r="D5260">
        <v>23</v>
      </c>
      <c r="E5260" t="s">
        <v>42</v>
      </c>
      <c r="F5260" t="s">
        <v>50</v>
      </c>
      <c r="G5260" s="2">
        <v>45532</v>
      </c>
      <c r="H5260" s="3">
        <f t="shared" si="82"/>
        <v>1.6027397260273972</v>
      </c>
      <c r="I5260">
        <v>47</v>
      </c>
      <c r="J5260" t="s">
        <v>38</v>
      </c>
      <c r="K5260" t="s">
        <v>56</v>
      </c>
      <c r="L5260" t="s">
        <v>44</v>
      </c>
      <c r="M5260">
        <v>8.4700000000000006</v>
      </c>
      <c r="T5260" t="s">
        <v>45</v>
      </c>
      <c r="U5260">
        <v>2</v>
      </c>
      <c r="V5260">
        <v>7</v>
      </c>
    </row>
    <row r="5261" spans="1:22" x14ac:dyDescent="0.3">
      <c r="A5261">
        <v>5260</v>
      </c>
      <c r="B5261">
        <v>55782</v>
      </c>
      <c r="C5261" s="2">
        <v>36747</v>
      </c>
      <c r="D5261">
        <v>25</v>
      </c>
      <c r="E5261" t="s">
        <v>42</v>
      </c>
      <c r="F5261" t="s">
        <v>50</v>
      </c>
      <c r="G5261" s="2">
        <v>45437</v>
      </c>
      <c r="H5261" s="3">
        <f t="shared" si="82"/>
        <v>1.4246575342465753</v>
      </c>
      <c r="I5261">
        <v>47</v>
      </c>
      <c r="J5261" t="s">
        <v>38</v>
      </c>
      <c r="K5261" t="s">
        <v>56</v>
      </c>
      <c r="L5261" t="s">
        <v>44</v>
      </c>
      <c r="M5261">
        <v>8.4700000000000006</v>
      </c>
      <c r="T5261" t="s">
        <v>49</v>
      </c>
      <c r="U5261">
        <v>4</v>
      </c>
      <c r="V5261">
        <v>7</v>
      </c>
    </row>
    <row r="5262" spans="1:22" x14ac:dyDescent="0.3">
      <c r="A5262">
        <v>5261</v>
      </c>
      <c r="B5262">
        <v>55783</v>
      </c>
      <c r="C5262" s="2">
        <v>37523</v>
      </c>
      <c r="D5262">
        <v>23</v>
      </c>
      <c r="E5262" t="s">
        <v>42</v>
      </c>
      <c r="F5262" t="s">
        <v>50</v>
      </c>
      <c r="G5262" s="2">
        <v>45502</v>
      </c>
      <c r="H5262" s="3">
        <f t="shared" si="82"/>
        <v>1.6136986301369862</v>
      </c>
      <c r="I5262">
        <v>47</v>
      </c>
      <c r="J5262" t="s">
        <v>38</v>
      </c>
      <c r="K5262" t="s">
        <v>56</v>
      </c>
      <c r="L5262" t="s">
        <v>44</v>
      </c>
      <c r="M5262">
        <v>8.4700000000000006</v>
      </c>
      <c r="T5262" t="s">
        <v>49</v>
      </c>
      <c r="U5262">
        <v>4</v>
      </c>
      <c r="V5262">
        <v>7</v>
      </c>
    </row>
    <row r="5263" spans="1:22" x14ac:dyDescent="0.3">
      <c r="A5263">
        <v>5262</v>
      </c>
      <c r="B5263">
        <v>55784</v>
      </c>
      <c r="C5263" s="2">
        <v>38888</v>
      </c>
      <c r="D5263">
        <v>19</v>
      </c>
      <c r="E5263" t="s">
        <v>42</v>
      </c>
      <c r="F5263" t="s">
        <v>50</v>
      </c>
      <c r="G5263" s="2">
        <v>45433</v>
      </c>
      <c r="H5263" s="3">
        <f t="shared" si="82"/>
        <v>1.5917808219178082</v>
      </c>
      <c r="I5263">
        <v>47</v>
      </c>
      <c r="J5263" t="s">
        <v>38</v>
      </c>
      <c r="K5263" t="s">
        <v>56</v>
      </c>
      <c r="L5263" t="s">
        <v>44</v>
      </c>
      <c r="M5263">
        <v>8.4700000000000006</v>
      </c>
      <c r="T5263" t="s">
        <v>47</v>
      </c>
      <c r="U5263">
        <v>2</v>
      </c>
      <c r="V5263">
        <v>6</v>
      </c>
    </row>
    <row r="5264" spans="1:22" x14ac:dyDescent="0.3">
      <c r="A5264">
        <v>5263</v>
      </c>
      <c r="B5264">
        <v>55785</v>
      </c>
      <c r="C5264" s="2">
        <v>37822</v>
      </c>
      <c r="D5264">
        <v>22</v>
      </c>
      <c r="E5264" t="s">
        <v>42</v>
      </c>
      <c r="F5264" t="s">
        <v>50</v>
      </c>
      <c r="G5264" s="2">
        <v>45441</v>
      </c>
      <c r="H5264" s="3">
        <f t="shared" si="82"/>
        <v>1.2191780821917808</v>
      </c>
      <c r="I5264">
        <v>47</v>
      </c>
      <c r="J5264" t="s">
        <v>38</v>
      </c>
      <c r="K5264" t="s">
        <v>56</v>
      </c>
      <c r="L5264" t="s">
        <v>44</v>
      </c>
      <c r="M5264">
        <v>8.4700000000000006</v>
      </c>
      <c r="T5264" t="s">
        <v>49</v>
      </c>
      <c r="U5264">
        <v>2</v>
      </c>
      <c r="V5264">
        <v>6</v>
      </c>
    </row>
    <row r="5265" spans="1:22" x14ac:dyDescent="0.3">
      <c r="A5265">
        <v>5264</v>
      </c>
      <c r="B5265">
        <v>55786</v>
      </c>
      <c r="C5265" s="2">
        <v>38766</v>
      </c>
      <c r="D5265">
        <v>19</v>
      </c>
      <c r="E5265" t="s">
        <v>42</v>
      </c>
      <c r="F5265" t="s">
        <v>37</v>
      </c>
      <c r="G5265" s="2">
        <v>45577</v>
      </c>
      <c r="H5265" s="3">
        <f t="shared" si="82"/>
        <v>1.904109589041096</v>
      </c>
      <c r="I5265">
        <v>47</v>
      </c>
      <c r="J5265" t="s">
        <v>38</v>
      </c>
      <c r="K5265" t="s">
        <v>56</v>
      </c>
      <c r="L5265" t="s">
        <v>44</v>
      </c>
      <c r="M5265">
        <v>8.4700000000000006</v>
      </c>
      <c r="T5265" t="s">
        <v>49</v>
      </c>
      <c r="U5265">
        <v>2</v>
      </c>
      <c r="V5265">
        <v>5</v>
      </c>
    </row>
    <row r="5266" spans="1:22" x14ac:dyDescent="0.3">
      <c r="A5266">
        <v>5265</v>
      </c>
      <c r="B5266">
        <v>55787</v>
      </c>
      <c r="C5266" s="2">
        <v>37008</v>
      </c>
      <c r="D5266">
        <v>24</v>
      </c>
      <c r="E5266" t="s">
        <v>42</v>
      </c>
      <c r="F5266" t="s">
        <v>50</v>
      </c>
      <c r="G5266" s="2">
        <v>45327</v>
      </c>
      <c r="H5266" s="3">
        <f t="shared" si="82"/>
        <v>1.3972602739726028</v>
      </c>
      <c r="I5266">
        <v>47</v>
      </c>
      <c r="J5266" t="s">
        <v>38</v>
      </c>
      <c r="K5266" t="s">
        <v>56</v>
      </c>
      <c r="L5266" t="s">
        <v>44</v>
      </c>
      <c r="M5266">
        <v>8.4700000000000006</v>
      </c>
      <c r="T5266" t="s">
        <v>47</v>
      </c>
      <c r="U5266">
        <v>4</v>
      </c>
      <c r="V5266">
        <v>6</v>
      </c>
    </row>
    <row r="5267" spans="1:22" x14ac:dyDescent="0.3">
      <c r="A5267">
        <v>5266</v>
      </c>
      <c r="B5267">
        <v>55788</v>
      </c>
      <c r="C5267" s="2">
        <v>37890</v>
      </c>
      <c r="D5267">
        <v>22</v>
      </c>
      <c r="E5267" t="s">
        <v>42</v>
      </c>
      <c r="F5267" t="s">
        <v>50</v>
      </c>
      <c r="G5267" s="2">
        <v>45512</v>
      </c>
      <c r="H5267" s="3">
        <f t="shared" si="82"/>
        <v>1.7945205479452055</v>
      </c>
      <c r="I5267">
        <v>47</v>
      </c>
      <c r="J5267" t="s">
        <v>38</v>
      </c>
      <c r="K5267" t="s">
        <v>56</v>
      </c>
      <c r="L5267" t="s">
        <v>44</v>
      </c>
      <c r="M5267">
        <v>8.4700000000000006</v>
      </c>
      <c r="T5267" t="s">
        <v>47</v>
      </c>
      <c r="U5267">
        <v>4</v>
      </c>
      <c r="V5267">
        <v>7</v>
      </c>
    </row>
    <row r="5268" spans="1:22" x14ac:dyDescent="0.3">
      <c r="A5268">
        <v>5267</v>
      </c>
      <c r="B5268">
        <v>55789</v>
      </c>
      <c r="C5268" s="2">
        <v>36768</v>
      </c>
      <c r="D5268">
        <v>25</v>
      </c>
      <c r="E5268" t="s">
        <v>36</v>
      </c>
      <c r="F5268" t="s">
        <v>50</v>
      </c>
      <c r="G5268" s="2">
        <v>45367</v>
      </c>
      <c r="H5268" s="3">
        <f t="shared" si="82"/>
        <v>1.3041095890410959</v>
      </c>
      <c r="I5268">
        <v>48</v>
      </c>
      <c r="J5268" t="s">
        <v>38</v>
      </c>
      <c r="K5268" t="s">
        <v>68</v>
      </c>
      <c r="L5268" t="s">
        <v>44</v>
      </c>
      <c r="M5268">
        <v>17</v>
      </c>
      <c r="T5268" t="s">
        <v>49</v>
      </c>
      <c r="U5268">
        <v>2</v>
      </c>
      <c r="V5268">
        <v>5</v>
      </c>
    </row>
    <row r="5269" spans="1:22" x14ac:dyDescent="0.3">
      <c r="A5269">
        <v>5268</v>
      </c>
      <c r="B5269">
        <v>55790</v>
      </c>
      <c r="C5269" s="2">
        <v>37956</v>
      </c>
      <c r="D5269">
        <v>23</v>
      </c>
      <c r="E5269" t="s">
        <v>36</v>
      </c>
      <c r="F5269" t="s">
        <v>50</v>
      </c>
      <c r="G5269" s="2">
        <v>45546</v>
      </c>
      <c r="H5269" s="3">
        <f t="shared" si="82"/>
        <v>1.4082191780821918</v>
      </c>
      <c r="I5269">
        <v>48</v>
      </c>
      <c r="J5269" t="s">
        <v>38</v>
      </c>
      <c r="K5269" t="s">
        <v>65</v>
      </c>
      <c r="L5269" t="s">
        <v>44</v>
      </c>
      <c r="M5269">
        <v>10.64</v>
      </c>
      <c r="T5269" t="s">
        <v>49</v>
      </c>
      <c r="U5269">
        <v>1</v>
      </c>
      <c r="V5269">
        <v>4</v>
      </c>
    </row>
    <row r="5270" spans="1:22" x14ac:dyDescent="0.3">
      <c r="A5270">
        <v>5269</v>
      </c>
      <c r="B5270">
        <v>55791</v>
      </c>
      <c r="C5270" s="2">
        <v>34247</v>
      </c>
      <c r="D5270">
        <v>32</v>
      </c>
      <c r="E5270" t="s">
        <v>42</v>
      </c>
      <c r="F5270" t="s">
        <v>50</v>
      </c>
      <c r="G5270" s="2">
        <v>45508</v>
      </c>
      <c r="H5270" s="3">
        <f t="shared" si="82"/>
        <v>1.0054794520547945</v>
      </c>
      <c r="I5270">
        <v>48</v>
      </c>
      <c r="J5270" t="s">
        <v>38</v>
      </c>
      <c r="K5270" t="s">
        <v>43</v>
      </c>
      <c r="L5270" t="s">
        <v>44</v>
      </c>
      <c r="M5270">
        <v>16.37</v>
      </c>
      <c r="T5270" t="s">
        <v>47</v>
      </c>
      <c r="U5270">
        <v>0</v>
      </c>
      <c r="V5270">
        <v>5</v>
      </c>
    </row>
    <row r="5271" spans="1:22" x14ac:dyDescent="0.3">
      <c r="A5271">
        <v>5270</v>
      </c>
      <c r="B5271">
        <v>55792</v>
      </c>
      <c r="C5271" s="2">
        <v>38991</v>
      </c>
      <c r="D5271">
        <v>20</v>
      </c>
      <c r="E5271" t="s">
        <v>42</v>
      </c>
      <c r="F5271" t="s">
        <v>50</v>
      </c>
      <c r="G5271" s="2">
        <v>45655</v>
      </c>
      <c r="H5271" s="3">
        <f t="shared" si="82"/>
        <v>1.2493150684931507</v>
      </c>
      <c r="I5271">
        <v>48</v>
      </c>
      <c r="J5271" t="s">
        <v>38</v>
      </c>
      <c r="K5271" t="s">
        <v>48</v>
      </c>
      <c r="L5271" t="s">
        <v>44</v>
      </c>
      <c r="M5271">
        <v>8.4700000000000006</v>
      </c>
      <c r="T5271" t="s">
        <v>47</v>
      </c>
      <c r="U5271">
        <v>2</v>
      </c>
      <c r="V5271">
        <v>6</v>
      </c>
    </row>
    <row r="5272" spans="1:22" x14ac:dyDescent="0.3">
      <c r="A5272">
        <v>5271</v>
      </c>
      <c r="B5272">
        <v>55793</v>
      </c>
      <c r="C5272" s="2">
        <v>37794</v>
      </c>
      <c r="D5272">
        <v>22</v>
      </c>
      <c r="E5272" t="s">
        <v>42</v>
      </c>
      <c r="F5272" t="s">
        <v>50</v>
      </c>
      <c r="G5272" s="2">
        <v>45566</v>
      </c>
      <c r="H5272" s="3">
        <f t="shared" si="82"/>
        <v>1.4383561643835616</v>
      </c>
      <c r="I5272">
        <v>48</v>
      </c>
      <c r="J5272" t="s">
        <v>38</v>
      </c>
      <c r="K5272" t="s">
        <v>48</v>
      </c>
      <c r="L5272" t="s">
        <v>44</v>
      </c>
      <c r="M5272">
        <v>8.4700000000000006</v>
      </c>
      <c r="T5272" t="s">
        <v>52</v>
      </c>
      <c r="U5272">
        <v>1</v>
      </c>
      <c r="V5272">
        <v>7</v>
      </c>
    </row>
    <row r="5273" spans="1:22" x14ac:dyDescent="0.3">
      <c r="A5273">
        <v>5272</v>
      </c>
      <c r="B5273">
        <v>55794</v>
      </c>
      <c r="C5273" s="2">
        <v>35947</v>
      </c>
      <c r="D5273">
        <v>28</v>
      </c>
      <c r="E5273" t="s">
        <v>36</v>
      </c>
      <c r="F5273" t="s">
        <v>50</v>
      </c>
      <c r="G5273" s="2">
        <v>45497</v>
      </c>
      <c r="H5273" s="3">
        <f t="shared" si="82"/>
        <v>1.7726027397260273</v>
      </c>
      <c r="I5273">
        <v>48</v>
      </c>
      <c r="J5273" t="s">
        <v>38</v>
      </c>
      <c r="K5273" t="s">
        <v>55</v>
      </c>
      <c r="L5273" t="s">
        <v>44</v>
      </c>
      <c r="M5273">
        <v>17.59</v>
      </c>
      <c r="T5273" t="s">
        <v>45</v>
      </c>
      <c r="U5273">
        <v>3</v>
      </c>
      <c r="V5273">
        <v>7</v>
      </c>
    </row>
    <row r="5274" spans="1:22" x14ac:dyDescent="0.3">
      <c r="A5274">
        <v>5273</v>
      </c>
      <c r="B5274">
        <v>55795</v>
      </c>
      <c r="C5274" s="2">
        <v>37774</v>
      </c>
      <c r="D5274">
        <v>22</v>
      </c>
      <c r="E5274" t="s">
        <v>42</v>
      </c>
      <c r="F5274" t="s">
        <v>37</v>
      </c>
      <c r="G5274" s="2">
        <v>45375</v>
      </c>
      <c r="H5274" s="3">
        <f t="shared" si="82"/>
        <v>1.515068493150685</v>
      </c>
      <c r="I5274">
        <v>48</v>
      </c>
      <c r="J5274" t="s">
        <v>38</v>
      </c>
      <c r="K5274" t="s">
        <v>56</v>
      </c>
      <c r="L5274" t="s">
        <v>44</v>
      </c>
      <c r="M5274">
        <v>8.4700000000000006</v>
      </c>
      <c r="T5274" t="s">
        <v>45</v>
      </c>
      <c r="U5274">
        <v>2</v>
      </c>
      <c r="V5274">
        <v>6</v>
      </c>
    </row>
    <row r="5275" spans="1:22" x14ac:dyDescent="0.3">
      <c r="A5275">
        <v>5274</v>
      </c>
      <c r="B5275">
        <v>55796</v>
      </c>
      <c r="C5275" s="2">
        <v>38521</v>
      </c>
      <c r="D5275">
        <v>20</v>
      </c>
      <c r="E5275" t="s">
        <v>42</v>
      </c>
      <c r="F5275" t="s">
        <v>50</v>
      </c>
      <c r="G5275" s="2">
        <v>45469</v>
      </c>
      <c r="H5275" s="3">
        <f t="shared" si="82"/>
        <v>1.1808219178082191</v>
      </c>
      <c r="I5275">
        <v>48</v>
      </c>
      <c r="J5275" t="s">
        <v>38</v>
      </c>
      <c r="K5275" t="s">
        <v>56</v>
      </c>
      <c r="L5275" t="s">
        <v>44</v>
      </c>
      <c r="M5275">
        <v>8.4700000000000006</v>
      </c>
      <c r="T5275" t="s">
        <v>49</v>
      </c>
      <c r="U5275">
        <v>4</v>
      </c>
      <c r="V5275">
        <v>6</v>
      </c>
    </row>
    <row r="5276" spans="1:22" x14ac:dyDescent="0.3">
      <c r="A5276">
        <v>5275</v>
      </c>
      <c r="B5276">
        <v>55797</v>
      </c>
      <c r="C5276" s="2">
        <v>38028</v>
      </c>
      <c r="D5276">
        <v>21</v>
      </c>
      <c r="E5276" t="s">
        <v>42</v>
      </c>
      <c r="F5276" t="s">
        <v>50</v>
      </c>
      <c r="G5276" s="2">
        <v>45591</v>
      </c>
      <c r="H5276" s="3">
        <f t="shared" si="82"/>
        <v>1.0712328767123287</v>
      </c>
      <c r="I5276">
        <v>48</v>
      </c>
      <c r="J5276" t="s">
        <v>38</v>
      </c>
      <c r="K5276" t="s">
        <v>56</v>
      </c>
      <c r="L5276" t="s">
        <v>44</v>
      </c>
      <c r="M5276">
        <v>8.4700000000000006</v>
      </c>
      <c r="T5276" t="s">
        <v>49</v>
      </c>
      <c r="U5276">
        <v>2</v>
      </c>
      <c r="V5276">
        <v>6</v>
      </c>
    </row>
    <row r="5277" spans="1:22" x14ac:dyDescent="0.3">
      <c r="A5277">
        <v>5276</v>
      </c>
      <c r="B5277">
        <v>55798</v>
      </c>
      <c r="C5277" s="2">
        <v>37676</v>
      </c>
      <c r="D5277">
        <v>22</v>
      </c>
      <c r="E5277" t="s">
        <v>42</v>
      </c>
      <c r="F5277" t="s">
        <v>50</v>
      </c>
      <c r="G5277" s="2">
        <v>45631</v>
      </c>
      <c r="H5277" s="3">
        <f t="shared" si="82"/>
        <v>1.0136986301369864</v>
      </c>
      <c r="I5277">
        <v>48</v>
      </c>
      <c r="J5277" t="s">
        <v>38</v>
      </c>
      <c r="K5277" t="s">
        <v>56</v>
      </c>
      <c r="L5277" t="s">
        <v>44</v>
      </c>
      <c r="M5277">
        <v>8.4700000000000006</v>
      </c>
      <c r="T5277" t="s">
        <v>52</v>
      </c>
      <c r="U5277">
        <v>2</v>
      </c>
      <c r="V5277">
        <v>7</v>
      </c>
    </row>
    <row r="5278" spans="1:22" x14ac:dyDescent="0.3">
      <c r="A5278">
        <v>5277</v>
      </c>
      <c r="B5278">
        <v>55799</v>
      </c>
      <c r="C5278" s="2">
        <v>39305</v>
      </c>
      <c r="D5278">
        <v>18</v>
      </c>
      <c r="E5278" t="s">
        <v>42</v>
      </c>
      <c r="F5278" t="s">
        <v>50</v>
      </c>
      <c r="G5278" s="2">
        <v>45652</v>
      </c>
      <c r="H5278" s="3">
        <f t="shared" si="82"/>
        <v>1.3369863013698631</v>
      </c>
      <c r="I5278">
        <v>48</v>
      </c>
      <c r="J5278" t="s">
        <v>38</v>
      </c>
      <c r="K5278" t="s">
        <v>56</v>
      </c>
      <c r="L5278" t="s">
        <v>44</v>
      </c>
      <c r="M5278">
        <v>8.4700000000000006</v>
      </c>
      <c r="T5278" t="s">
        <v>45</v>
      </c>
      <c r="U5278">
        <v>4</v>
      </c>
      <c r="V5278">
        <v>7</v>
      </c>
    </row>
    <row r="5279" spans="1:22" x14ac:dyDescent="0.3">
      <c r="A5279">
        <v>5278</v>
      </c>
      <c r="B5279">
        <v>55800</v>
      </c>
      <c r="C5279" s="2">
        <v>36229</v>
      </c>
      <c r="D5279">
        <v>26</v>
      </c>
      <c r="E5279" t="s">
        <v>42</v>
      </c>
      <c r="F5279" t="s">
        <v>50</v>
      </c>
      <c r="G5279" s="2">
        <v>45534</v>
      </c>
      <c r="H5279" s="3">
        <f t="shared" si="82"/>
        <v>1.5890410958904109</v>
      </c>
      <c r="I5279">
        <v>48</v>
      </c>
      <c r="J5279" t="s">
        <v>38</v>
      </c>
      <c r="K5279" t="s">
        <v>56</v>
      </c>
      <c r="L5279" t="s">
        <v>44</v>
      </c>
      <c r="M5279">
        <v>8.4700000000000006</v>
      </c>
      <c r="T5279" t="s">
        <v>45</v>
      </c>
      <c r="U5279">
        <v>0</v>
      </c>
      <c r="V5279">
        <v>6</v>
      </c>
    </row>
    <row r="5280" spans="1:22" x14ac:dyDescent="0.3">
      <c r="A5280">
        <v>5279</v>
      </c>
      <c r="B5280">
        <v>55801</v>
      </c>
      <c r="C5280" s="2">
        <v>37145</v>
      </c>
      <c r="D5280">
        <v>24</v>
      </c>
      <c r="E5280" t="s">
        <v>42</v>
      </c>
      <c r="F5280" t="s">
        <v>50</v>
      </c>
      <c r="G5280" s="2">
        <v>45442</v>
      </c>
      <c r="H5280" s="3">
        <f t="shared" si="82"/>
        <v>1.7205479452054795</v>
      </c>
      <c r="I5280">
        <v>48</v>
      </c>
      <c r="J5280" t="s">
        <v>38</v>
      </c>
      <c r="K5280" t="s">
        <v>56</v>
      </c>
      <c r="L5280" t="s">
        <v>44</v>
      </c>
      <c r="M5280">
        <v>8.4700000000000006</v>
      </c>
      <c r="T5280" t="s">
        <v>45</v>
      </c>
      <c r="U5280">
        <v>4</v>
      </c>
      <c r="V5280">
        <v>7</v>
      </c>
    </row>
    <row r="5281" spans="1:22" x14ac:dyDescent="0.3">
      <c r="A5281">
        <v>5280</v>
      </c>
      <c r="B5281">
        <v>55802</v>
      </c>
      <c r="C5281" s="2">
        <v>37143</v>
      </c>
      <c r="D5281">
        <v>24</v>
      </c>
      <c r="E5281" t="s">
        <v>42</v>
      </c>
      <c r="F5281" t="s">
        <v>37</v>
      </c>
      <c r="G5281" s="2">
        <v>45394</v>
      </c>
      <c r="H5281" s="3">
        <f t="shared" si="82"/>
        <v>1.6191780821917807</v>
      </c>
      <c r="I5281">
        <v>48</v>
      </c>
      <c r="J5281" t="s">
        <v>38</v>
      </c>
      <c r="K5281" t="s">
        <v>56</v>
      </c>
      <c r="L5281" t="s">
        <v>44</v>
      </c>
      <c r="M5281">
        <v>8.4700000000000006</v>
      </c>
      <c r="T5281" t="s">
        <v>45</v>
      </c>
      <c r="U5281">
        <v>4</v>
      </c>
      <c r="V5281">
        <v>6</v>
      </c>
    </row>
    <row r="5282" spans="1:22" x14ac:dyDescent="0.3">
      <c r="A5282">
        <v>5281</v>
      </c>
      <c r="B5282">
        <v>55803</v>
      </c>
      <c r="C5282" s="2">
        <v>38911</v>
      </c>
      <c r="D5282">
        <v>19</v>
      </c>
      <c r="E5282" t="s">
        <v>42</v>
      </c>
      <c r="F5282" t="s">
        <v>50</v>
      </c>
      <c r="G5282" s="2">
        <v>45431</v>
      </c>
      <c r="H5282" s="3">
        <f t="shared" si="82"/>
        <v>1.0849315068493151</v>
      </c>
      <c r="I5282">
        <v>48</v>
      </c>
      <c r="J5282" t="s">
        <v>38</v>
      </c>
      <c r="K5282" t="s">
        <v>56</v>
      </c>
      <c r="L5282" t="s">
        <v>44</v>
      </c>
      <c r="M5282">
        <v>8.4700000000000006</v>
      </c>
      <c r="T5282" t="s">
        <v>52</v>
      </c>
      <c r="U5282">
        <v>4</v>
      </c>
      <c r="V5282">
        <v>5</v>
      </c>
    </row>
    <row r="5283" spans="1:22" x14ac:dyDescent="0.3">
      <c r="A5283">
        <v>5282</v>
      </c>
      <c r="B5283">
        <v>55804</v>
      </c>
      <c r="C5283" s="2">
        <v>34665</v>
      </c>
      <c r="D5283">
        <v>31</v>
      </c>
      <c r="E5283" t="s">
        <v>42</v>
      </c>
      <c r="F5283" t="s">
        <v>50</v>
      </c>
      <c r="G5283" s="2">
        <v>45626</v>
      </c>
      <c r="H5283" s="3">
        <f t="shared" si="82"/>
        <v>1.6575342465753424</v>
      </c>
      <c r="I5283">
        <v>48</v>
      </c>
      <c r="J5283" t="s">
        <v>38</v>
      </c>
      <c r="K5283" t="s">
        <v>56</v>
      </c>
      <c r="L5283" t="s">
        <v>44</v>
      </c>
      <c r="M5283">
        <v>8.4700000000000006</v>
      </c>
      <c r="T5283" t="s">
        <v>47</v>
      </c>
      <c r="U5283">
        <v>3</v>
      </c>
      <c r="V5283">
        <v>6</v>
      </c>
    </row>
    <row r="5284" spans="1:22" x14ac:dyDescent="0.3">
      <c r="A5284">
        <v>5283</v>
      </c>
      <c r="B5284">
        <v>55805</v>
      </c>
      <c r="C5284" s="2">
        <v>39135</v>
      </c>
      <c r="D5284">
        <v>18</v>
      </c>
      <c r="E5284" t="s">
        <v>36</v>
      </c>
      <c r="F5284" t="s">
        <v>50</v>
      </c>
      <c r="G5284" s="2">
        <v>45417</v>
      </c>
      <c r="H5284" s="3">
        <f t="shared" si="82"/>
        <v>1.263013698630137</v>
      </c>
      <c r="I5284">
        <v>48</v>
      </c>
      <c r="J5284" t="s">
        <v>38</v>
      </c>
      <c r="K5284" t="s">
        <v>56</v>
      </c>
      <c r="L5284" t="s">
        <v>44</v>
      </c>
      <c r="M5284">
        <v>8.4700000000000006</v>
      </c>
      <c r="T5284" t="s">
        <v>45</v>
      </c>
      <c r="U5284">
        <v>2</v>
      </c>
      <c r="V5284">
        <v>5</v>
      </c>
    </row>
    <row r="5285" spans="1:22" x14ac:dyDescent="0.3">
      <c r="A5285">
        <v>5284</v>
      </c>
      <c r="B5285">
        <v>55806</v>
      </c>
      <c r="C5285" s="2">
        <v>37784</v>
      </c>
      <c r="D5285">
        <v>22</v>
      </c>
      <c r="E5285" t="s">
        <v>36</v>
      </c>
      <c r="F5285" t="s">
        <v>50</v>
      </c>
      <c r="G5285" s="2">
        <v>45561</v>
      </c>
      <c r="H5285" s="3">
        <f t="shared" si="82"/>
        <v>1.0821917808219179</v>
      </c>
      <c r="I5285">
        <v>48</v>
      </c>
      <c r="J5285" t="s">
        <v>38</v>
      </c>
      <c r="K5285" t="s">
        <v>56</v>
      </c>
      <c r="L5285" t="s">
        <v>44</v>
      </c>
      <c r="M5285">
        <v>8.4700000000000006</v>
      </c>
      <c r="T5285" t="s">
        <v>52</v>
      </c>
      <c r="U5285">
        <v>4</v>
      </c>
      <c r="V5285">
        <v>5</v>
      </c>
    </row>
    <row r="5286" spans="1:22" x14ac:dyDescent="0.3">
      <c r="A5286">
        <v>5285</v>
      </c>
      <c r="B5286">
        <v>55807</v>
      </c>
      <c r="C5286" s="2">
        <v>37419</v>
      </c>
      <c r="D5286">
        <v>23</v>
      </c>
      <c r="E5286" t="s">
        <v>42</v>
      </c>
      <c r="F5286" t="s">
        <v>37</v>
      </c>
      <c r="G5286" s="2">
        <v>45627</v>
      </c>
      <c r="H5286" s="3">
        <f t="shared" si="82"/>
        <v>1.0575342465753426</v>
      </c>
      <c r="I5286">
        <v>48</v>
      </c>
      <c r="J5286" t="s">
        <v>38</v>
      </c>
      <c r="K5286" t="s">
        <v>56</v>
      </c>
      <c r="L5286" t="s">
        <v>44</v>
      </c>
      <c r="M5286">
        <v>8.4700000000000006</v>
      </c>
      <c r="T5286" t="s">
        <v>45</v>
      </c>
      <c r="U5286">
        <v>4</v>
      </c>
      <c r="V5286">
        <v>7</v>
      </c>
    </row>
    <row r="5287" spans="1:22" x14ac:dyDescent="0.3">
      <c r="A5287">
        <v>5286</v>
      </c>
      <c r="B5287">
        <v>55808</v>
      </c>
      <c r="C5287" s="2">
        <v>36846</v>
      </c>
      <c r="D5287">
        <v>25</v>
      </c>
      <c r="E5287" t="s">
        <v>42</v>
      </c>
      <c r="F5287" t="s">
        <v>50</v>
      </c>
      <c r="G5287" s="2">
        <v>45636</v>
      </c>
      <c r="H5287" s="3">
        <f t="shared" si="82"/>
        <v>1.4712328767123288</v>
      </c>
      <c r="I5287">
        <v>49</v>
      </c>
      <c r="J5287" t="s">
        <v>38</v>
      </c>
      <c r="K5287" t="s">
        <v>68</v>
      </c>
      <c r="L5287" t="s">
        <v>44</v>
      </c>
      <c r="M5287">
        <v>17</v>
      </c>
      <c r="T5287" t="s">
        <v>52</v>
      </c>
      <c r="U5287">
        <v>2</v>
      </c>
      <c r="V5287">
        <v>6</v>
      </c>
    </row>
    <row r="5288" spans="1:22" x14ac:dyDescent="0.3">
      <c r="A5288">
        <v>5287</v>
      </c>
      <c r="B5288">
        <v>55809</v>
      </c>
      <c r="C5288" s="2">
        <v>37245</v>
      </c>
      <c r="D5288">
        <v>24</v>
      </c>
      <c r="E5288" t="s">
        <v>42</v>
      </c>
      <c r="F5288" t="s">
        <v>50</v>
      </c>
      <c r="G5288" s="2">
        <v>45485</v>
      </c>
      <c r="H5288" s="3">
        <f t="shared" si="82"/>
        <v>1.4082191780821918</v>
      </c>
      <c r="I5288">
        <v>49</v>
      </c>
      <c r="J5288" t="s">
        <v>38</v>
      </c>
      <c r="K5288" t="s">
        <v>46</v>
      </c>
      <c r="L5288" t="s">
        <v>44</v>
      </c>
      <c r="M5288">
        <v>14.23</v>
      </c>
      <c r="T5288" t="s">
        <v>45</v>
      </c>
      <c r="U5288">
        <v>0</v>
      </c>
      <c r="V5288">
        <v>4</v>
      </c>
    </row>
    <row r="5289" spans="1:22" x14ac:dyDescent="0.3">
      <c r="A5289">
        <v>5288</v>
      </c>
      <c r="B5289">
        <v>55810</v>
      </c>
      <c r="C5289" s="2">
        <v>36223</v>
      </c>
      <c r="D5289">
        <v>26</v>
      </c>
      <c r="E5289" t="s">
        <v>42</v>
      </c>
      <c r="F5289" t="s">
        <v>50</v>
      </c>
      <c r="G5289" s="2">
        <v>45508</v>
      </c>
      <c r="H5289" s="3">
        <f t="shared" si="82"/>
        <v>1.4493150684931506</v>
      </c>
      <c r="I5289">
        <v>49</v>
      </c>
      <c r="J5289" t="s">
        <v>38</v>
      </c>
      <c r="K5289" t="s">
        <v>56</v>
      </c>
      <c r="L5289" t="s">
        <v>44</v>
      </c>
      <c r="M5289">
        <v>8.4700000000000006</v>
      </c>
      <c r="T5289" t="s">
        <v>47</v>
      </c>
      <c r="U5289">
        <v>4</v>
      </c>
      <c r="V5289">
        <v>6</v>
      </c>
    </row>
    <row r="5290" spans="1:22" x14ac:dyDescent="0.3">
      <c r="A5290">
        <v>5289</v>
      </c>
      <c r="B5290">
        <v>55811</v>
      </c>
      <c r="C5290" s="2">
        <v>39349</v>
      </c>
      <c r="D5290">
        <v>18</v>
      </c>
      <c r="E5290" t="s">
        <v>36</v>
      </c>
      <c r="F5290" t="s">
        <v>37</v>
      </c>
      <c r="G5290" s="2">
        <v>45493</v>
      </c>
      <c r="H5290" s="3">
        <f t="shared" si="82"/>
        <v>1.6410958904109589</v>
      </c>
      <c r="I5290">
        <v>49</v>
      </c>
      <c r="J5290" t="s">
        <v>38</v>
      </c>
      <c r="K5290" t="s">
        <v>56</v>
      </c>
      <c r="L5290" t="s">
        <v>44</v>
      </c>
      <c r="M5290">
        <v>8.4700000000000006</v>
      </c>
      <c r="T5290" t="s">
        <v>52</v>
      </c>
      <c r="U5290">
        <v>1</v>
      </c>
      <c r="V5290">
        <v>4</v>
      </c>
    </row>
    <row r="5291" spans="1:22" x14ac:dyDescent="0.3">
      <c r="A5291">
        <v>5290</v>
      </c>
      <c r="B5291">
        <v>55812</v>
      </c>
      <c r="C5291" s="2">
        <v>38866</v>
      </c>
      <c r="D5291">
        <v>19</v>
      </c>
      <c r="E5291" t="s">
        <v>42</v>
      </c>
      <c r="F5291" t="s">
        <v>50</v>
      </c>
      <c r="G5291" s="2">
        <v>45423</v>
      </c>
      <c r="H5291" s="3">
        <f t="shared" si="82"/>
        <v>1.1726027397260275</v>
      </c>
      <c r="I5291">
        <v>49</v>
      </c>
      <c r="J5291" t="s">
        <v>38</v>
      </c>
      <c r="K5291" t="s">
        <v>56</v>
      </c>
      <c r="L5291" t="s">
        <v>44</v>
      </c>
      <c r="M5291">
        <v>8.4700000000000006</v>
      </c>
      <c r="T5291" t="s">
        <v>52</v>
      </c>
      <c r="U5291">
        <v>2</v>
      </c>
      <c r="V5291">
        <v>6</v>
      </c>
    </row>
    <row r="5292" spans="1:22" x14ac:dyDescent="0.3">
      <c r="A5292">
        <v>5291</v>
      </c>
      <c r="B5292">
        <v>55813</v>
      </c>
      <c r="C5292" s="2">
        <v>38577</v>
      </c>
      <c r="D5292">
        <v>20</v>
      </c>
      <c r="E5292" t="s">
        <v>42</v>
      </c>
      <c r="F5292" t="s">
        <v>37</v>
      </c>
      <c r="G5292" s="2">
        <v>45594</v>
      </c>
      <c r="H5292" s="3">
        <f t="shared" si="82"/>
        <v>1.2547945205479452</v>
      </c>
      <c r="I5292">
        <v>49</v>
      </c>
      <c r="J5292" t="s">
        <v>38</v>
      </c>
      <c r="K5292" t="s">
        <v>56</v>
      </c>
      <c r="L5292" t="s">
        <v>44</v>
      </c>
      <c r="M5292">
        <v>8.4700000000000006</v>
      </c>
      <c r="T5292" t="s">
        <v>45</v>
      </c>
      <c r="U5292">
        <v>1</v>
      </c>
      <c r="V5292">
        <v>6</v>
      </c>
    </row>
    <row r="5293" spans="1:22" x14ac:dyDescent="0.3">
      <c r="A5293">
        <v>5292</v>
      </c>
      <c r="B5293">
        <v>55814</v>
      </c>
      <c r="C5293" s="2">
        <v>37500</v>
      </c>
      <c r="D5293">
        <v>24</v>
      </c>
      <c r="E5293" t="s">
        <v>42</v>
      </c>
      <c r="F5293" t="s">
        <v>50</v>
      </c>
      <c r="G5293" s="2">
        <v>45564</v>
      </c>
      <c r="H5293" s="3">
        <f t="shared" si="82"/>
        <v>1.010958904109589</v>
      </c>
      <c r="I5293">
        <v>49</v>
      </c>
      <c r="J5293" t="s">
        <v>38</v>
      </c>
      <c r="K5293" t="s">
        <v>56</v>
      </c>
      <c r="L5293" t="s">
        <v>44</v>
      </c>
      <c r="M5293">
        <v>8.4700000000000006</v>
      </c>
      <c r="T5293" t="s">
        <v>47</v>
      </c>
      <c r="U5293">
        <v>0</v>
      </c>
      <c r="V5293">
        <v>7</v>
      </c>
    </row>
    <row r="5294" spans="1:22" x14ac:dyDescent="0.3">
      <c r="A5294">
        <v>5293</v>
      </c>
      <c r="B5294">
        <v>55815</v>
      </c>
      <c r="C5294" s="2">
        <v>35929</v>
      </c>
      <c r="D5294">
        <v>27</v>
      </c>
      <c r="E5294" t="s">
        <v>42</v>
      </c>
      <c r="F5294" t="s">
        <v>50</v>
      </c>
      <c r="G5294" s="2">
        <v>45653</v>
      </c>
      <c r="H5294" s="3">
        <f t="shared" si="82"/>
        <v>1.4712328767123288</v>
      </c>
      <c r="I5294">
        <v>49</v>
      </c>
      <c r="J5294" t="s">
        <v>38</v>
      </c>
      <c r="K5294" t="s">
        <v>56</v>
      </c>
      <c r="L5294" t="s">
        <v>44</v>
      </c>
      <c r="M5294">
        <v>8.4700000000000006</v>
      </c>
      <c r="T5294" t="s">
        <v>45</v>
      </c>
      <c r="U5294">
        <v>3</v>
      </c>
      <c r="V5294">
        <v>5</v>
      </c>
    </row>
    <row r="5295" spans="1:22" x14ac:dyDescent="0.3">
      <c r="A5295">
        <v>5294</v>
      </c>
      <c r="B5295">
        <v>55816</v>
      </c>
      <c r="C5295" s="2">
        <v>38941</v>
      </c>
      <c r="D5295">
        <v>19</v>
      </c>
      <c r="E5295" t="s">
        <v>42</v>
      </c>
      <c r="F5295" t="s">
        <v>50</v>
      </c>
      <c r="G5295" s="2">
        <v>45485</v>
      </c>
      <c r="H5295" s="3">
        <f t="shared" si="82"/>
        <v>1.4904109589041097</v>
      </c>
      <c r="I5295">
        <v>49</v>
      </c>
      <c r="J5295" t="s">
        <v>38</v>
      </c>
      <c r="K5295" t="s">
        <v>56</v>
      </c>
      <c r="L5295" t="s">
        <v>44</v>
      </c>
      <c r="M5295">
        <v>8.4700000000000006</v>
      </c>
      <c r="T5295" t="s">
        <v>47</v>
      </c>
      <c r="U5295">
        <v>1</v>
      </c>
      <c r="V5295">
        <v>5</v>
      </c>
    </row>
    <row r="5296" spans="1:22" x14ac:dyDescent="0.3">
      <c r="A5296">
        <v>5295</v>
      </c>
      <c r="B5296">
        <v>55817</v>
      </c>
      <c r="C5296" s="2">
        <v>38584</v>
      </c>
      <c r="D5296">
        <v>20</v>
      </c>
      <c r="E5296" t="s">
        <v>42</v>
      </c>
      <c r="F5296" t="s">
        <v>50</v>
      </c>
      <c r="G5296" s="2">
        <v>45478</v>
      </c>
      <c r="H5296" s="3">
        <f t="shared" si="82"/>
        <v>1.5068493150684932</v>
      </c>
      <c r="I5296">
        <v>49</v>
      </c>
      <c r="J5296" t="s">
        <v>38</v>
      </c>
      <c r="K5296" t="s">
        <v>56</v>
      </c>
      <c r="L5296" t="s">
        <v>44</v>
      </c>
      <c r="M5296">
        <v>8.4700000000000006</v>
      </c>
      <c r="T5296" t="s">
        <v>52</v>
      </c>
      <c r="U5296">
        <v>2</v>
      </c>
      <c r="V5296">
        <v>7</v>
      </c>
    </row>
    <row r="5297" spans="1:22" x14ac:dyDescent="0.3">
      <c r="A5297">
        <v>5296</v>
      </c>
      <c r="B5297">
        <v>55818</v>
      </c>
      <c r="C5297" s="2">
        <v>36647</v>
      </c>
      <c r="D5297">
        <v>26</v>
      </c>
      <c r="E5297" t="s">
        <v>36</v>
      </c>
      <c r="F5297" t="s">
        <v>50</v>
      </c>
      <c r="G5297" s="2">
        <v>45472</v>
      </c>
      <c r="H5297" s="3">
        <f t="shared" si="82"/>
        <v>1.6684931506849314</v>
      </c>
      <c r="I5297">
        <v>50</v>
      </c>
      <c r="J5297" t="s">
        <v>38</v>
      </c>
      <c r="K5297" t="s">
        <v>68</v>
      </c>
      <c r="L5297" t="s">
        <v>44</v>
      </c>
      <c r="M5297">
        <v>17</v>
      </c>
      <c r="T5297" t="s">
        <v>45</v>
      </c>
      <c r="U5297">
        <v>2</v>
      </c>
      <c r="V5297">
        <v>5</v>
      </c>
    </row>
    <row r="5298" spans="1:22" x14ac:dyDescent="0.3">
      <c r="A5298">
        <v>5297</v>
      </c>
      <c r="B5298">
        <v>55820</v>
      </c>
      <c r="C5298" s="2">
        <v>36501</v>
      </c>
      <c r="D5298">
        <v>26</v>
      </c>
      <c r="E5298" t="s">
        <v>42</v>
      </c>
      <c r="F5298" t="s">
        <v>37</v>
      </c>
      <c r="G5298" s="2">
        <v>45413</v>
      </c>
      <c r="H5298" s="3">
        <f t="shared" si="82"/>
        <v>1.6602739726027398</v>
      </c>
      <c r="I5298">
        <v>50</v>
      </c>
      <c r="J5298" t="s">
        <v>38</v>
      </c>
      <c r="K5298" t="s">
        <v>68</v>
      </c>
      <c r="L5298" t="s">
        <v>44</v>
      </c>
      <c r="M5298">
        <v>17</v>
      </c>
      <c r="T5298" t="s">
        <v>52</v>
      </c>
      <c r="U5298">
        <v>1</v>
      </c>
      <c r="V5298">
        <v>5</v>
      </c>
    </row>
    <row r="5299" spans="1:22" x14ac:dyDescent="0.3">
      <c r="A5299">
        <v>5298</v>
      </c>
      <c r="B5299">
        <v>55821</v>
      </c>
      <c r="C5299" s="2">
        <v>37698</v>
      </c>
      <c r="D5299">
        <v>22</v>
      </c>
      <c r="E5299" t="s">
        <v>36</v>
      </c>
      <c r="F5299" t="s">
        <v>50</v>
      </c>
      <c r="G5299" s="2">
        <v>45416</v>
      </c>
      <c r="H5299" s="3">
        <f t="shared" si="82"/>
        <v>1.189041095890411</v>
      </c>
      <c r="I5299">
        <v>50</v>
      </c>
      <c r="J5299" t="s">
        <v>38</v>
      </c>
      <c r="K5299" t="s">
        <v>65</v>
      </c>
      <c r="L5299" t="s">
        <v>44</v>
      </c>
      <c r="M5299">
        <v>10.64</v>
      </c>
      <c r="T5299" t="s">
        <v>49</v>
      </c>
      <c r="U5299">
        <v>1</v>
      </c>
      <c r="V5299">
        <v>4</v>
      </c>
    </row>
    <row r="5300" spans="1:22" x14ac:dyDescent="0.3">
      <c r="A5300">
        <v>5299</v>
      </c>
      <c r="B5300">
        <v>55822</v>
      </c>
      <c r="C5300" s="2">
        <v>39255</v>
      </c>
      <c r="D5300">
        <v>18</v>
      </c>
      <c r="E5300" t="s">
        <v>42</v>
      </c>
      <c r="F5300" t="s">
        <v>50</v>
      </c>
      <c r="G5300" s="2">
        <v>45588</v>
      </c>
      <c r="H5300" s="3">
        <f t="shared" si="82"/>
        <v>1.8575342465753424</v>
      </c>
      <c r="I5300">
        <v>50</v>
      </c>
      <c r="J5300" t="s">
        <v>38</v>
      </c>
      <c r="K5300" t="s">
        <v>56</v>
      </c>
      <c r="L5300" t="s">
        <v>44</v>
      </c>
      <c r="M5300">
        <v>8.4700000000000006</v>
      </c>
      <c r="T5300" t="s">
        <v>47</v>
      </c>
      <c r="U5300">
        <v>4</v>
      </c>
      <c r="V5300">
        <v>5</v>
      </c>
    </row>
    <row r="5301" spans="1:22" x14ac:dyDescent="0.3">
      <c r="A5301">
        <v>5300</v>
      </c>
      <c r="B5301">
        <v>55823</v>
      </c>
      <c r="C5301" s="2">
        <v>37235</v>
      </c>
      <c r="D5301">
        <v>24</v>
      </c>
      <c r="E5301" t="s">
        <v>42</v>
      </c>
      <c r="F5301" t="s">
        <v>50</v>
      </c>
      <c r="G5301" s="2">
        <v>45344</v>
      </c>
      <c r="H5301" s="3">
        <f t="shared" si="82"/>
        <v>1.3863013698630138</v>
      </c>
      <c r="I5301">
        <v>50</v>
      </c>
      <c r="J5301" t="s">
        <v>38</v>
      </c>
      <c r="K5301" t="s">
        <v>56</v>
      </c>
      <c r="L5301" t="s">
        <v>44</v>
      </c>
      <c r="M5301">
        <v>8.4700000000000006</v>
      </c>
      <c r="T5301" t="s">
        <v>52</v>
      </c>
      <c r="U5301">
        <v>2</v>
      </c>
      <c r="V5301">
        <v>5</v>
      </c>
    </row>
    <row r="5302" spans="1:22" x14ac:dyDescent="0.3">
      <c r="A5302">
        <v>5301</v>
      </c>
      <c r="B5302">
        <v>55824</v>
      </c>
      <c r="C5302" s="2">
        <v>36330</v>
      </c>
      <c r="D5302">
        <v>26</v>
      </c>
      <c r="E5302" t="s">
        <v>42</v>
      </c>
      <c r="F5302" t="s">
        <v>50</v>
      </c>
      <c r="G5302" s="2">
        <v>45516</v>
      </c>
      <c r="H5302" s="3">
        <f t="shared" si="82"/>
        <v>1.5726027397260274</v>
      </c>
      <c r="I5302">
        <v>50</v>
      </c>
      <c r="J5302" t="s">
        <v>38</v>
      </c>
      <c r="K5302" t="s">
        <v>56</v>
      </c>
      <c r="L5302" t="s">
        <v>44</v>
      </c>
      <c r="M5302">
        <v>8.4700000000000006</v>
      </c>
      <c r="T5302" t="s">
        <v>47</v>
      </c>
      <c r="U5302">
        <v>2</v>
      </c>
      <c r="V5302">
        <v>6</v>
      </c>
    </row>
    <row r="5303" spans="1:22" x14ac:dyDescent="0.3">
      <c r="A5303">
        <v>5302</v>
      </c>
      <c r="B5303">
        <v>55825</v>
      </c>
      <c r="C5303" s="2">
        <v>37843</v>
      </c>
      <c r="D5303">
        <v>22</v>
      </c>
      <c r="E5303" t="s">
        <v>42</v>
      </c>
      <c r="F5303" t="s">
        <v>50</v>
      </c>
      <c r="G5303" s="2">
        <v>45448</v>
      </c>
      <c r="H5303" s="3">
        <f t="shared" si="82"/>
        <v>1.3616438356164384</v>
      </c>
      <c r="I5303">
        <v>50</v>
      </c>
      <c r="J5303" t="s">
        <v>38</v>
      </c>
      <c r="K5303" t="s">
        <v>56</v>
      </c>
      <c r="L5303" t="s">
        <v>44</v>
      </c>
      <c r="M5303">
        <v>8.4700000000000006</v>
      </c>
      <c r="T5303" t="s">
        <v>52</v>
      </c>
      <c r="U5303">
        <v>2</v>
      </c>
      <c r="V5303">
        <v>5</v>
      </c>
    </row>
    <row r="5304" spans="1:22" x14ac:dyDescent="0.3">
      <c r="A5304">
        <v>5303</v>
      </c>
      <c r="B5304">
        <v>55826</v>
      </c>
      <c r="C5304" s="2">
        <v>37853</v>
      </c>
      <c r="D5304">
        <v>22</v>
      </c>
      <c r="E5304" t="s">
        <v>42</v>
      </c>
      <c r="F5304" t="s">
        <v>50</v>
      </c>
      <c r="G5304" s="2">
        <v>45525</v>
      </c>
      <c r="H5304" s="3">
        <f t="shared" si="82"/>
        <v>1.832876712328767</v>
      </c>
      <c r="I5304">
        <v>50</v>
      </c>
      <c r="J5304" t="s">
        <v>38</v>
      </c>
      <c r="K5304" t="s">
        <v>56</v>
      </c>
      <c r="L5304" t="s">
        <v>44</v>
      </c>
      <c r="M5304">
        <v>8.4700000000000006</v>
      </c>
      <c r="T5304" t="s">
        <v>52</v>
      </c>
      <c r="U5304">
        <v>0</v>
      </c>
      <c r="V5304">
        <v>7</v>
      </c>
    </row>
    <row r="5305" spans="1:22" x14ac:dyDescent="0.3">
      <c r="A5305">
        <v>5304</v>
      </c>
      <c r="B5305">
        <v>55827</v>
      </c>
      <c r="C5305" s="2">
        <v>37724</v>
      </c>
      <c r="D5305">
        <v>22</v>
      </c>
      <c r="E5305" t="s">
        <v>42</v>
      </c>
      <c r="F5305" t="s">
        <v>50</v>
      </c>
      <c r="G5305" s="2">
        <v>45353</v>
      </c>
      <c r="H5305" s="3">
        <f t="shared" si="82"/>
        <v>1.2246575342465753</v>
      </c>
      <c r="I5305">
        <v>50</v>
      </c>
      <c r="J5305" t="s">
        <v>38</v>
      </c>
      <c r="K5305" t="s">
        <v>56</v>
      </c>
      <c r="L5305" t="s">
        <v>44</v>
      </c>
      <c r="M5305">
        <v>8.4700000000000006</v>
      </c>
      <c r="T5305" t="s">
        <v>52</v>
      </c>
      <c r="U5305">
        <v>0</v>
      </c>
      <c r="V5305">
        <v>5</v>
      </c>
    </row>
    <row r="5306" spans="1:22" x14ac:dyDescent="0.3">
      <c r="A5306">
        <v>5305</v>
      </c>
      <c r="B5306">
        <v>55828</v>
      </c>
      <c r="C5306" s="2">
        <v>34000</v>
      </c>
      <c r="D5306">
        <v>32</v>
      </c>
      <c r="E5306" t="s">
        <v>42</v>
      </c>
      <c r="F5306" t="s">
        <v>50</v>
      </c>
      <c r="G5306" s="2">
        <v>45575</v>
      </c>
      <c r="H5306" s="3">
        <f t="shared" si="82"/>
        <v>1.3041095890410959</v>
      </c>
      <c r="I5306">
        <v>50</v>
      </c>
      <c r="J5306" t="s">
        <v>38</v>
      </c>
      <c r="K5306" t="s">
        <v>56</v>
      </c>
      <c r="L5306" t="s">
        <v>44</v>
      </c>
      <c r="M5306">
        <v>8.4700000000000006</v>
      </c>
      <c r="T5306" t="s">
        <v>45</v>
      </c>
      <c r="U5306">
        <v>2</v>
      </c>
      <c r="V5306">
        <v>7</v>
      </c>
    </row>
    <row r="5307" spans="1:22" x14ac:dyDescent="0.3">
      <c r="A5307">
        <v>5306</v>
      </c>
      <c r="B5307">
        <v>55829</v>
      </c>
      <c r="C5307" s="2">
        <v>38023</v>
      </c>
      <c r="D5307">
        <v>21</v>
      </c>
      <c r="E5307" t="s">
        <v>42</v>
      </c>
      <c r="F5307" t="s">
        <v>37</v>
      </c>
      <c r="G5307" s="2">
        <v>45546</v>
      </c>
      <c r="H5307" s="3">
        <f t="shared" si="82"/>
        <v>1.2575342465753425</v>
      </c>
      <c r="I5307">
        <v>50</v>
      </c>
      <c r="J5307" t="s">
        <v>38</v>
      </c>
      <c r="K5307" t="s">
        <v>56</v>
      </c>
      <c r="L5307" t="s">
        <v>44</v>
      </c>
      <c r="M5307">
        <v>8.4700000000000006</v>
      </c>
      <c r="T5307" t="s">
        <v>49</v>
      </c>
      <c r="U5307">
        <v>1</v>
      </c>
      <c r="V5307">
        <v>5</v>
      </c>
    </row>
    <row r="5308" spans="1:22" x14ac:dyDescent="0.3">
      <c r="A5308">
        <v>5307</v>
      </c>
      <c r="B5308">
        <v>55830</v>
      </c>
      <c r="C5308" s="2">
        <v>38835</v>
      </c>
      <c r="D5308">
        <v>19</v>
      </c>
      <c r="E5308" t="s">
        <v>42</v>
      </c>
      <c r="F5308" t="s">
        <v>50</v>
      </c>
      <c r="G5308" s="2">
        <v>45563</v>
      </c>
      <c r="H5308" s="3">
        <f t="shared" si="82"/>
        <v>1.6876712328767123</v>
      </c>
      <c r="I5308">
        <v>51</v>
      </c>
      <c r="J5308" t="s">
        <v>38</v>
      </c>
      <c r="K5308" t="s">
        <v>65</v>
      </c>
      <c r="L5308" t="s">
        <v>44</v>
      </c>
      <c r="M5308">
        <v>10.64</v>
      </c>
      <c r="T5308" t="s">
        <v>45</v>
      </c>
      <c r="U5308">
        <v>0</v>
      </c>
      <c r="V5308">
        <v>5</v>
      </c>
    </row>
    <row r="5309" spans="1:22" x14ac:dyDescent="0.3">
      <c r="A5309">
        <v>5308</v>
      </c>
      <c r="B5309">
        <v>55831</v>
      </c>
      <c r="C5309" s="2">
        <v>38429</v>
      </c>
      <c r="D5309">
        <v>20</v>
      </c>
      <c r="E5309" t="s">
        <v>42</v>
      </c>
      <c r="F5309" t="s">
        <v>50</v>
      </c>
      <c r="G5309" s="2">
        <v>45406</v>
      </c>
      <c r="H5309" s="3">
        <f t="shared" si="82"/>
        <v>1.7616438356164383</v>
      </c>
      <c r="I5309">
        <v>51</v>
      </c>
      <c r="J5309" t="s">
        <v>38</v>
      </c>
      <c r="K5309" t="s">
        <v>48</v>
      </c>
      <c r="L5309" t="s">
        <v>44</v>
      </c>
      <c r="M5309">
        <v>8.4700000000000006</v>
      </c>
      <c r="T5309" t="s">
        <v>45</v>
      </c>
      <c r="U5309">
        <v>3</v>
      </c>
      <c r="V5309">
        <v>7</v>
      </c>
    </row>
    <row r="5310" spans="1:22" x14ac:dyDescent="0.3">
      <c r="A5310">
        <v>5309</v>
      </c>
      <c r="B5310">
        <v>55832</v>
      </c>
      <c r="C5310" s="2">
        <v>35966</v>
      </c>
      <c r="D5310">
        <v>27</v>
      </c>
      <c r="E5310" t="s">
        <v>36</v>
      </c>
      <c r="F5310" t="s">
        <v>50</v>
      </c>
      <c r="G5310" s="2">
        <v>45379</v>
      </c>
      <c r="H5310" s="3">
        <f t="shared" si="82"/>
        <v>1.6684931506849314</v>
      </c>
      <c r="I5310">
        <v>51</v>
      </c>
      <c r="J5310" t="s">
        <v>38</v>
      </c>
      <c r="K5310" t="s">
        <v>55</v>
      </c>
      <c r="L5310" t="s">
        <v>44</v>
      </c>
      <c r="M5310">
        <v>17.59</v>
      </c>
      <c r="T5310" t="s">
        <v>47</v>
      </c>
      <c r="U5310">
        <v>2</v>
      </c>
      <c r="V5310">
        <v>4</v>
      </c>
    </row>
    <row r="5311" spans="1:22" x14ac:dyDescent="0.3">
      <c r="A5311">
        <v>5310</v>
      </c>
      <c r="B5311">
        <v>55833</v>
      </c>
      <c r="C5311" s="2">
        <v>38550</v>
      </c>
      <c r="D5311">
        <v>20</v>
      </c>
      <c r="E5311" t="s">
        <v>42</v>
      </c>
      <c r="F5311" t="s">
        <v>50</v>
      </c>
      <c r="G5311" s="2">
        <v>45413</v>
      </c>
      <c r="H5311" s="3">
        <f t="shared" si="82"/>
        <v>1.3315068493150686</v>
      </c>
      <c r="I5311">
        <v>51</v>
      </c>
      <c r="J5311" t="s">
        <v>38</v>
      </c>
      <c r="K5311" t="s">
        <v>56</v>
      </c>
      <c r="L5311" t="s">
        <v>44</v>
      </c>
      <c r="M5311">
        <v>8.4700000000000006</v>
      </c>
      <c r="T5311" t="s">
        <v>52</v>
      </c>
      <c r="U5311">
        <v>2</v>
      </c>
      <c r="V5311">
        <v>5</v>
      </c>
    </row>
    <row r="5312" spans="1:22" x14ac:dyDescent="0.3">
      <c r="A5312">
        <v>5311</v>
      </c>
      <c r="B5312">
        <v>55834</v>
      </c>
      <c r="C5312" s="2">
        <v>36001</v>
      </c>
      <c r="D5312">
        <v>27</v>
      </c>
      <c r="E5312" t="s">
        <v>42</v>
      </c>
      <c r="F5312" t="s">
        <v>37</v>
      </c>
      <c r="G5312" s="2">
        <v>45536</v>
      </c>
      <c r="H5312" s="3">
        <f t="shared" si="82"/>
        <v>1.715068493150685</v>
      </c>
      <c r="I5312">
        <v>51</v>
      </c>
      <c r="J5312" t="s">
        <v>38</v>
      </c>
      <c r="K5312" t="s">
        <v>56</v>
      </c>
      <c r="L5312" t="s">
        <v>44</v>
      </c>
      <c r="M5312">
        <v>8.4700000000000006</v>
      </c>
      <c r="T5312" t="s">
        <v>45</v>
      </c>
      <c r="U5312">
        <v>1</v>
      </c>
      <c r="V5312">
        <v>6</v>
      </c>
    </row>
    <row r="5313" spans="1:22" x14ac:dyDescent="0.3">
      <c r="A5313">
        <v>5312</v>
      </c>
      <c r="B5313">
        <v>55835</v>
      </c>
      <c r="C5313" s="2">
        <v>38129</v>
      </c>
      <c r="D5313">
        <v>21</v>
      </c>
      <c r="E5313" t="s">
        <v>42</v>
      </c>
      <c r="F5313" t="s">
        <v>50</v>
      </c>
      <c r="G5313" s="2">
        <v>45396</v>
      </c>
      <c r="H5313" s="3">
        <f t="shared" si="82"/>
        <v>1.0739726027397261</v>
      </c>
      <c r="I5313">
        <v>51</v>
      </c>
      <c r="J5313" t="s">
        <v>38</v>
      </c>
      <c r="K5313" t="s">
        <v>56</v>
      </c>
      <c r="L5313" t="s">
        <v>44</v>
      </c>
      <c r="M5313">
        <v>8.4700000000000006</v>
      </c>
      <c r="T5313" t="s">
        <v>47</v>
      </c>
      <c r="U5313">
        <v>1</v>
      </c>
      <c r="V5313">
        <v>6</v>
      </c>
    </row>
    <row r="5314" spans="1:22" x14ac:dyDescent="0.3">
      <c r="A5314">
        <v>5313</v>
      </c>
      <c r="B5314">
        <v>55836</v>
      </c>
      <c r="C5314" s="2">
        <v>38820</v>
      </c>
      <c r="D5314">
        <v>19</v>
      </c>
      <c r="E5314" t="s">
        <v>42</v>
      </c>
      <c r="F5314" t="s">
        <v>37</v>
      </c>
      <c r="G5314" s="2">
        <v>45630</v>
      </c>
      <c r="H5314" s="3">
        <f t="shared" si="82"/>
        <v>1.4493150684931506</v>
      </c>
      <c r="I5314">
        <v>51</v>
      </c>
      <c r="J5314" t="s">
        <v>38</v>
      </c>
      <c r="K5314" t="s">
        <v>56</v>
      </c>
      <c r="L5314" t="s">
        <v>44</v>
      </c>
      <c r="M5314">
        <v>8.4700000000000006</v>
      </c>
      <c r="T5314" t="s">
        <v>52</v>
      </c>
      <c r="U5314">
        <v>0</v>
      </c>
      <c r="V5314">
        <v>5</v>
      </c>
    </row>
    <row r="5315" spans="1:22" x14ac:dyDescent="0.3">
      <c r="A5315">
        <v>5314</v>
      </c>
      <c r="B5315">
        <v>55837</v>
      </c>
      <c r="C5315" s="2">
        <v>38830</v>
      </c>
      <c r="D5315">
        <v>19</v>
      </c>
      <c r="E5315" t="s">
        <v>42</v>
      </c>
      <c r="F5315" t="s">
        <v>37</v>
      </c>
      <c r="G5315" s="2">
        <v>45493</v>
      </c>
      <c r="H5315" s="3">
        <f t="shared" ref="H5315:H5378" si="83">DATEDIF(G5316,DATE(2025,12,31),"d")/365</f>
        <v>1.021917808219178</v>
      </c>
      <c r="I5315">
        <v>51</v>
      </c>
      <c r="J5315" t="s">
        <v>38</v>
      </c>
      <c r="K5315" t="s">
        <v>56</v>
      </c>
      <c r="L5315" t="s">
        <v>44</v>
      </c>
      <c r="M5315">
        <v>8.4700000000000006</v>
      </c>
      <c r="T5315" t="s">
        <v>49</v>
      </c>
      <c r="U5315">
        <v>4</v>
      </c>
      <c r="V5315">
        <v>6</v>
      </c>
    </row>
    <row r="5316" spans="1:22" x14ac:dyDescent="0.3">
      <c r="A5316">
        <v>5315</v>
      </c>
      <c r="B5316">
        <v>55838</v>
      </c>
      <c r="C5316" s="2">
        <v>37801</v>
      </c>
      <c r="D5316">
        <v>22</v>
      </c>
      <c r="E5316" t="s">
        <v>42</v>
      </c>
      <c r="F5316" t="s">
        <v>50</v>
      </c>
      <c r="G5316" s="2">
        <v>45649</v>
      </c>
      <c r="H5316" s="3">
        <f t="shared" si="83"/>
        <v>1.4904109589041097</v>
      </c>
      <c r="I5316">
        <v>51</v>
      </c>
      <c r="J5316" t="s">
        <v>38</v>
      </c>
      <c r="K5316" t="s">
        <v>56</v>
      </c>
      <c r="L5316" t="s">
        <v>44</v>
      </c>
      <c r="M5316">
        <v>8.4700000000000006</v>
      </c>
      <c r="T5316" t="s">
        <v>52</v>
      </c>
      <c r="U5316">
        <v>2</v>
      </c>
      <c r="V5316">
        <v>6</v>
      </c>
    </row>
    <row r="5317" spans="1:22" x14ac:dyDescent="0.3">
      <c r="A5317">
        <v>5316</v>
      </c>
      <c r="B5317">
        <v>55839</v>
      </c>
      <c r="C5317" s="2">
        <v>38638</v>
      </c>
      <c r="D5317">
        <v>20</v>
      </c>
      <c r="E5317" t="s">
        <v>36</v>
      </c>
      <c r="F5317" t="s">
        <v>50</v>
      </c>
      <c r="G5317" s="2">
        <v>45478</v>
      </c>
      <c r="H5317" s="3">
        <f t="shared" si="83"/>
        <v>1.3835616438356164</v>
      </c>
      <c r="I5317">
        <v>51</v>
      </c>
      <c r="J5317" t="s">
        <v>38</v>
      </c>
      <c r="K5317" t="s">
        <v>56</v>
      </c>
      <c r="L5317" t="s">
        <v>44</v>
      </c>
      <c r="M5317">
        <v>8.4700000000000006</v>
      </c>
      <c r="T5317" t="s">
        <v>45</v>
      </c>
      <c r="U5317">
        <v>0</v>
      </c>
      <c r="V5317">
        <v>4</v>
      </c>
    </row>
    <row r="5318" spans="1:22" x14ac:dyDescent="0.3">
      <c r="A5318">
        <v>5317</v>
      </c>
      <c r="B5318">
        <v>55840</v>
      </c>
      <c r="C5318" s="2">
        <v>38069</v>
      </c>
      <c r="D5318">
        <v>21</v>
      </c>
      <c r="E5318" t="s">
        <v>42</v>
      </c>
      <c r="F5318" t="s">
        <v>37</v>
      </c>
      <c r="G5318" s="2">
        <v>45517</v>
      </c>
      <c r="H5318" s="3">
        <f t="shared" si="83"/>
        <v>1.0602739726027397</v>
      </c>
      <c r="I5318">
        <v>51</v>
      </c>
      <c r="J5318" t="s">
        <v>38</v>
      </c>
      <c r="K5318" t="s">
        <v>56</v>
      </c>
      <c r="L5318" t="s">
        <v>44</v>
      </c>
      <c r="M5318">
        <v>8.4700000000000006</v>
      </c>
      <c r="T5318" t="s">
        <v>52</v>
      </c>
      <c r="U5318">
        <v>2</v>
      </c>
      <c r="V5318">
        <v>6</v>
      </c>
    </row>
    <row r="5319" spans="1:22" x14ac:dyDescent="0.3">
      <c r="A5319">
        <v>5318</v>
      </c>
      <c r="B5319">
        <v>55841</v>
      </c>
      <c r="C5319" s="2">
        <v>39365</v>
      </c>
      <c r="D5319">
        <v>18</v>
      </c>
      <c r="E5319" t="s">
        <v>42</v>
      </c>
      <c r="F5319" t="s">
        <v>50</v>
      </c>
      <c r="G5319" s="2">
        <v>45635</v>
      </c>
      <c r="H5319" s="3">
        <f t="shared" si="83"/>
        <v>1.2191780821917808</v>
      </c>
      <c r="I5319">
        <v>51</v>
      </c>
      <c r="J5319" t="s">
        <v>38</v>
      </c>
      <c r="K5319" t="s">
        <v>56</v>
      </c>
      <c r="L5319" t="s">
        <v>44</v>
      </c>
      <c r="M5319">
        <v>8.4700000000000006</v>
      </c>
      <c r="T5319" t="s">
        <v>47</v>
      </c>
      <c r="U5319">
        <v>3</v>
      </c>
      <c r="V5319">
        <v>6</v>
      </c>
    </row>
    <row r="5320" spans="1:22" x14ac:dyDescent="0.3">
      <c r="A5320">
        <v>5319</v>
      </c>
      <c r="B5320">
        <v>55842</v>
      </c>
      <c r="C5320" s="2">
        <v>38420</v>
      </c>
      <c r="D5320">
        <v>20</v>
      </c>
      <c r="E5320" t="s">
        <v>42</v>
      </c>
      <c r="F5320" t="s">
        <v>50</v>
      </c>
      <c r="G5320" s="2">
        <v>45577</v>
      </c>
      <c r="H5320" s="3">
        <f t="shared" si="83"/>
        <v>1.5753424657534247</v>
      </c>
      <c r="I5320">
        <v>51</v>
      </c>
      <c r="J5320" t="s">
        <v>38</v>
      </c>
      <c r="K5320" t="s">
        <v>56</v>
      </c>
      <c r="L5320" t="s">
        <v>44</v>
      </c>
      <c r="M5320">
        <v>8.4700000000000006</v>
      </c>
      <c r="T5320" t="s">
        <v>52</v>
      </c>
      <c r="U5320">
        <v>2</v>
      </c>
      <c r="V5320">
        <v>5</v>
      </c>
    </row>
    <row r="5321" spans="1:22" x14ac:dyDescent="0.3">
      <c r="A5321">
        <v>5320</v>
      </c>
      <c r="B5321">
        <v>55843</v>
      </c>
      <c r="C5321" s="2">
        <v>35634</v>
      </c>
      <c r="D5321">
        <v>28</v>
      </c>
      <c r="E5321" t="s">
        <v>42</v>
      </c>
      <c r="F5321" t="s">
        <v>37</v>
      </c>
      <c r="G5321" s="2">
        <v>45447</v>
      </c>
      <c r="H5321" s="3">
        <f t="shared" si="83"/>
        <v>1.0657534246575342</v>
      </c>
      <c r="I5321">
        <v>51</v>
      </c>
      <c r="J5321" t="s">
        <v>38</v>
      </c>
      <c r="K5321" t="s">
        <v>56</v>
      </c>
      <c r="L5321" t="s">
        <v>44</v>
      </c>
      <c r="M5321">
        <v>8.4700000000000006</v>
      </c>
      <c r="T5321" t="s">
        <v>45</v>
      </c>
      <c r="U5321">
        <v>4</v>
      </c>
      <c r="V5321">
        <v>6</v>
      </c>
    </row>
    <row r="5322" spans="1:22" x14ac:dyDescent="0.3">
      <c r="A5322">
        <v>5321</v>
      </c>
      <c r="B5322">
        <v>55844</v>
      </c>
      <c r="C5322" s="2">
        <v>34855</v>
      </c>
      <c r="D5322">
        <v>30</v>
      </c>
      <c r="E5322" t="s">
        <v>42</v>
      </c>
      <c r="F5322" t="s">
        <v>50</v>
      </c>
      <c r="G5322" s="2">
        <v>45633</v>
      </c>
      <c r="H5322" s="3">
        <f t="shared" si="83"/>
        <v>1.747945205479452</v>
      </c>
      <c r="I5322">
        <v>51</v>
      </c>
      <c r="J5322" t="s">
        <v>38</v>
      </c>
      <c r="K5322" t="s">
        <v>56</v>
      </c>
      <c r="L5322" t="s">
        <v>44</v>
      </c>
      <c r="M5322">
        <v>8.4700000000000006</v>
      </c>
      <c r="T5322" t="s">
        <v>52</v>
      </c>
      <c r="U5322">
        <v>0</v>
      </c>
      <c r="V5322">
        <v>6</v>
      </c>
    </row>
    <row r="5323" spans="1:22" x14ac:dyDescent="0.3">
      <c r="A5323">
        <v>5322</v>
      </c>
      <c r="B5323">
        <v>55845</v>
      </c>
      <c r="C5323" s="2">
        <v>39433</v>
      </c>
      <c r="D5323">
        <v>18</v>
      </c>
      <c r="E5323" t="s">
        <v>42</v>
      </c>
      <c r="F5323" t="s">
        <v>50</v>
      </c>
      <c r="G5323" s="2">
        <v>45384</v>
      </c>
      <c r="H5323" s="3">
        <f t="shared" si="83"/>
        <v>1.3616438356164384</v>
      </c>
      <c r="I5323">
        <v>51</v>
      </c>
      <c r="J5323" t="s">
        <v>38</v>
      </c>
      <c r="K5323" t="s">
        <v>56</v>
      </c>
      <c r="L5323" t="s">
        <v>44</v>
      </c>
      <c r="M5323">
        <v>8.4700000000000006</v>
      </c>
      <c r="T5323" t="s">
        <v>52</v>
      </c>
      <c r="U5323">
        <v>4</v>
      </c>
      <c r="V5323">
        <v>7</v>
      </c>
    </row>
    <row r="5324" spans="1:22" x14ac:dyDescent="0.3">
      <c r="A5324">
        <v>5323</v>
      </c>
      <c r="B5324">
        <v>55846</v>
      </c>
      <c r="C5324" s="2">
        <v>35849</v>
      </c>
      <c r="D5324">
        <v>27</v>
      </c>
      <c r="E5324" t="s">
        <v>42</v>
      </c>
      <c r="F5324" t="s">
        <v>50</v>
      </c>
      <c r="G5324" s="2">
        <v>45525</v>
      </c>
      <c r="H5324" s="3">
        <f t="shared" si="83"/>
        <v>1.0191780821917809</v>
      </c>
      <c r="I5324">
        <v>51</v>
      </c>
      <c r="J5324" t="s">
        <v>38</v>
      </c>
      <c r="K5324" t="s">
        <v>56</v>
      </c>
      <c r="L5324" t="s">
        <v>44</v>
      </c>
      <c r="M5324">
        <v>8.4700000000000006</v>
      </c>
      <c r="T5324" t="s">
        <v>45</v>
      </c>
      <c r="U5324">
        <v>2</v>
      </c>
      <c r="V5324">
        <v>6</v>
      </c>
    </row>
    <row r="5325" spans="1:22" x14ac:dyDescent="0.3">
      <c r="A5325">
        <v>5324</v>
      </c>
      <c r="B5325">
        <v>55847</v>
      </c>
      <c r="C5325" s="2">
        <v>36877</v>
      </c>
      <c r="D5325">
        <v>25</v>
      </c>
      <c r="E5325" t="s">
        <v>42</v>
      </c>
      <c r="F5325" t="s">
        <v>37</v>
      </c>
      <c r="G5325" s="2">
        <v>45650</v>
      </c>
      <c r="H5325" s="3">
        <f t="shared" si="83"/>
        <v>1.0301369863013699</v>
      </c>
      <c r="I5325">
        <v>51</v>
      </c>
      <c r="J5325" t="s">
        <v>38</v>
      </c>
      <c r="K5325" t="s">
        <v>56</v>
      </c>
      <c r="L5325" t="s">
        <v>44</v>
      </c>
      <c r="M5325">
        <v>8.4700000000000006</v>
      </c>
      <c r="T5325" t="s">
        <v>52</v>
      </c>
      <c r="U5325">
        <v>2</v>
      </c>
      <c r="V5325">
        <v>6</v>
      </c>
    </row>
    <row r="5326" spans="1:22" x14ac:dyDescent="0.3">
      <c r="A5326">
        <v>5325</v>
      </c>
      <c r="B5326">
        <v>55848</v>
      </c>
      <c r="C5326" s="2">
        <v>38487</v>
      </c>
      <c r="D5326">
        <v>20</v>
      </c>
      <c r="E5326" t="s">
        <v>42</v>
      </c>
      <c r="F5326" t="s">
        <v>50</v>
      </c>
      <c r="G5326" s="2">
        <v>45646</v>
      </c>
      <c r="H5326" s="3">
        <f t="shared" si="83"/>
        <v>1.0657534246575342</v>
      </c>
      <c r="I5326">
        <v>51</v>
      </c>
      <c r="J5326" t="s">
        <v>38</v>
      </c>
      <c r="K5326" t="s">
        <v>56</v>
      </c>
      <c r="L5326" t="s">
        <v>44</v>
      </c>
      <c r="M5326">
        <v>8.4700000000000006</v>
      </c>
      <c r="T5326" t="s">
        <v>45</v>
      </c>
      <c r="U5326">
        <v>4</v>
      </c>
      <c r="V5326">
        <v>6</v>
      </c>
    </row>
    <row r="5327" spans="1:22" x14ac:dyDescent="0.3">
      <c r="A5327">
        <v>5326</v>
      </c>
      <c r="B5327">
        <v>55849</v>
      </c>
      <c r="C5327" s="2">
        <v>37983</v>
      </c>
      <c r="D5327">
        <v>22</v>
      </c>
      <c r="E5327" t="s">
        <v>42</v>
      </c>
      <c r="F5327" t="s">
        <v>50</v>
      </c>
      <c r="G5327" s="2">
        <v>45633</v>
      </c>
      <c r="H5327" s="3">
        <f t="shared" si="83"/>
        <v>1.6465753424657534</v>
      </c>
      <c r="I5327">
        <v>52</v>
      </c>
      <c r="J5327" t="s">
        <v>38</v>
      </c>
      <c r="K5327" t="s">
        <v>68</v>
      </c>
      <c r="L5327" t="s">
        <v>44</v>
      </c>
      <c r="M5327">
        <v>17</v>
      </c>
      <c r="T5327" t="s">
        <v>45</v>
      </c>
      <c r="U5327">
        <v>2</v>
      </c>
      <c r="V5327">
        <v>7</v>
      </c>
    </row>
    <row r="5328" spans="1:22" x14ac:dyDescent="0.3">
      <c r="A5328">
        <v>5327</v>
      </c>
      <c r="B5328">
        <v>55850</v>
      </c>
      <c r="C5328" s="2">
        <v>39025</v>
      </c>
      <c r="D5328">
        <v>19</v>
      </c>
      <c r="E5328" t="s">
        <v>36</v>
      </c>
      <c r="F5328" t="s">
        <v>50</v>
      </c>
      <c r="G5328" s="2">
        <v>45421</v>
      </c>
      <c r="H5328" s="3">
        <f t="shared" si="83"/>
        <v>1.3945205479452054</v>
      </c>
      <c r="I5328">
        <v>52</v>
      </c>
      <c r="J5328" t="s">
        <v>38</v>
      </c>
      <c r="K5328" t="s">
        <v>65</v>
      </c>
      <c r="L5328" t="s">
        <v>44</v>
      </c>
      <c r="M5328">
        <v>10.64</v>
      </c>
      <c r="T5328" t="s">
        <v>52</v>
      </c>
      <c r="U5328">
        <v>1</v>
      </c>
      <c r="V5328">
        <v>4</v>
      </c>
    </row>
    <row r="5329" spans="1:22" x14ac:dyDescent="0.3">
      <c r="A5329">
        <v>5328</v>
      </c>
      <c r="B5329">
        <v>55851</v>
      </c>
      <c r="C5329" s="2">
        <v>38321</v>
      </c>
      <c r="D5329">
        <v>21</v>
      </c>
      <c r="E5329" t="s">
        <v>36</v>
      </c>
      <c r="F5329" t="s">
        <v>50</v>
      </c>
      <c r="G5329" s="2">
        <v>45513</v>
      </c>
      <c r="H5329" s="3">
        <f t="shared" si="83"/>
        <v>1.0301369863013699</v>
      </c>
      <c r="I5329">
        <v>52</v>
      </c>
      <c r="J5329" t="s">
        <v>38</v>
      </c>
      <c r="K5329" t="s">
        <v>65</v>
      </c>
      <c r="L5329" t="s">
        <v>44</v>
      </c>
      <c r="M5329">
        <v>10.64</v>
      </c>
      <c r="T5329" t="s">
        <v>52</v>
      </c>
      <c r="U5329">
        <v>1</v>
      </c>
      <c r="V5329">
        <v>4</v>
      </c>
    </row>
    <row r="5330" spans="1:22" x14ac:dyDescent="0.3">
      <c r="A5330">
        <v>5329</v>
      </c>
      <c r="B5330">
        <v>55853</v>
      </c>
      <c r="C5330" s="2">
        <v>36478</v>
      </c>
      <c r="D5330">
        <v>26</v>
      </c>
      <c r="E5330" t="s">
        <v>42</v>
      </c>
      <c r="F5330" t="s">
        <v>37</v>
      </c>
      <c r="G5330" s="2">
        <v>45646</v>
      </c>
      <c r="H5330" s="3">
        <f t="shared" si="83"/>
        <v>1.4054794520547946</v>
      </c>
      <c r="I5330">
        <v>52</v>
      </c>
      <c r="J5330" t="s">
        <v>38</v>
      </c>
      <c r="K5330" t="s">
        <v>65</v>
      </c>
      <c r="L5330" t="s">
        <v>44</v>
      </c>
      <c r="M5330">
        <v>10.64</v>
      </c>
      <c r="T5330" t="s">
        <v>45</v>
      </c>
      <c r="U5330">
        <v>0</v>
      </c>
      <c r="V5330">
        <v>6</v>
      </c>
    </row>
    <row r="5331" spans="1:22" x14ac:dyDescent="0.3">
      <c r="A5331">
        <v>5330</v>
      </c>
      <c r="B5331">
        <v>55854</v>
      </c>
      <c r="C5331" s="2">
        <v>36565</v>
      </c>
      <c r="D5331">
        <v>25</v>
      </c>
      <c r="E5331" t="s">
        <v>36</v>
      </c>
      <c r="F5331" t="s">
        <v>37</v>
      </c>
      <c r="G5331" s="2">
        <v>45509</v>
      </c>
      <c r="H5331" s="3">
        <f t="shared" si="83"/>
        <v>1.0876712328767124</v>
      </c>
      <c r="I5331">
        <v>52</v>
      </c>
      <c r="J5331" t="s">
        <v>38</v>
      </c>
      <c r="K5331" t="s">
        <v>48</v>
      </c>
      <c r="L5331" t="s">
        <v>44</v>
      </c>
      <c r="M5331">
        <v>8.4700000000000006</v>
      </c>
      <c r="T5331" t="s">
        <v>49</v>
      </c>
      <c r="U5331">
        <v>2</v>
      </c>
      <c r="V5331">
        <v>3</v>
      </c>
    </row>
    <row r="5332" spans="1:22" x14ac:dyDescent="0.3">
      <c r="A5332">
        <v>5331</v>
      </c>
      <c r="B5332">
        <v>55855</v>
      </c>
      <c r="C5332" s="2">
        <v>35876</v>
      </c>
      <c r="D5332">
        <v>27</v>
      </c>
      <c r="E5332" t="s">
        <v>36</v>
      </c>
      <c r="F5332" t="s">
        <v>50</v>
      </c>
      <c r="G5332" s="2">
        <v>45625</v>
      </c>
      <c r="H5332" s="3">
        <f t="shared" si="83"/>
        <v>1.6465753424657534</v>
      </c>
      <c r="I5332">
        <v>52</v>
      </c>
      <c r="J5332" t="s">
        <v>38</v>
      </c>
      <c r="K5332" t="s">
        <v>55</v>
      </c>
      <c r="L5332" t="s">
        <v>44</v>
      </c>
      <c r="M5332">
        <v>17.59</v>
      </c>
      <c r="T5332" t="s">
        <v>45</v>
      </c>
      <c r="U5332">
        <v>2</v>
      </c>
      <c r="V5332">
        <v>4</v>
      </c>
    </row>
    <row r="5333" spans="1:22" x14ac:dyDescent="0.3">
      <c r="A5333">
        <v>5332</v>
      </c>
      <c r="B5333">
        <v>55856</v>
      </c>
      <c r="C5333" s="2">
        <v>37629</v>
      </c>
      <c r="D5333">
        <v>22</v>
      </c>
      <c r="E5333" t="s">
        <v>42</v>
      </c>
      <c r="F5333" t="s">
        <v>37</v>
      </c>
      <c r="G5333" s="2">
        <v>45421</v>
      </c>
      <c r="H5333" s="3">
        <f t="shared" si="83"/>
        <v>1.6876712328767123</v>
      </c>
      <c r="I5333">
        <v>52</v>
      </c>
      <c r="J5333" t="s">
        <v>38</v>
      </c>
      <c r="K5333" t="s">
        <v>56</v>
      </c>
      <c r="L5333" t="s">
        <v>44</v>
      </c>
      <c r="M5333">
        <v>8.4700000000000006</v>
      </c>
      <c r="T5333" t="s">
        <v>45</v>
      </c>
      <c r="U5333">
        <v>4</v>
      </c>
      <c r="V5333">
        <v>6</v>
      </c>
    </row>
    <row r="5334" spans="1:22" x14ac:dyDescent="0.3">
      <c r="A5334">
        <v>5333</v>
      </c>
      <c r="B5334">
        <v>55857</v>
      </c>
      <c r="C5334" s="2">
        <v>36416</v>
      </c>
      <c r="D5334">
        <v>26</v>
      </c>
      <c r="E5334" t="s">
        <v>42</v>
      </c>
      <c r="F5334" t="s">
        <v>50</v>
      </c>
      <c r="G5334" s="2">
        <v>45406</v>
      </c>
      <c r="H5334" s="3">
        <f t="shared" si="83"/>
        <v>1.0054794520547945</v>
      </c>
      <c r="I5334">
        <v>52</v>
      </c>
      <c r="J5334" t="s">
        <v>38</v>
      </c>
      <c r="K5334" t="s">
        <v>56</v>
      </c>
      <c r="L5334" t="s">
        <v>44</v>
      </c>
      <c r="M5334">
        <v>8.4700000000000006</v>
      </c>
      <c r="T5334" t="s">
        <v>52</v>
      </c>
      <c r="U5334">
        <v>1</v>
      </c>
      <c r="V5334">
        <v>6</v>
      </c>
    </row>
    <row r="5335" spans="1:22" x14ac:dyDescent="0.3">
      <c r="A5335">
        <v>5334</v>
      </c>
      <c r="B5335">
        <v>55858</v>
      </c>
      <c r="C5335" s="2">
        <v>38696</v>
      </c>
      <c r="D5335">
        <v>20</v>
      </c>
      <c r="E5335" t="s">
        <v>36</v>
      </c>
      <c r="F5335" t="s">
        <v>37</v>
      </c>
      <c r="G5335" s="2">
        <v>45655</v>
      </c>
      <c r="H5335" s="3">
        <f t="shared" si="83"/>
        <v>1.1095890410958904</v>
      </c>
      <c r="I5335">
        <v>52</v>
      </c>
      <c r="J5335" t="s">
        <v>38</v>
      </c>
      <c r="K5335" t="s">
        <v>56</v>
      </c>
      <c r="L5335" t="s">
        <v>44</v>
      </c>
      <c r="M5335">
        <v>8.4700000000000006</v>
      </c>
      <c r="T5335" t="s">
        <v>47</v>
      </c>
      <c r="U5335">
        <v>4</v>
      </c>
      <c r="V5335">
        <v>3</v>
      </c>
    </row>
    <row r="5336" spans="1:22" x14ac:dyDescent="0.3">
      <c r="A5336">
        <v>5335</v>
      </c>
      <c r="B5336">
        <v>55859</v>
      </c>
      <c r="C5336" s="2">
        <v>38263</v>
      </c>
      <c r="D5336">
        <v>21</v>
      </c>
      <c r="E5336" t="s">
        <v>36</v>
      </c>
      <c r="F5336" t="s">
        <v>50</v>
      </c>
      <c r="G5336" s="2">
        <v>45617</v>
      </c>
      <c r="H5336" s="3">
        <f t="shared" si="83"/>
        <v>1.2191780821917808</v>
      </c>
      <c r="I5336">
        <v>52</v>
      </c>
      <c r="J5336" t="s">
        <v>38</v>
      </c>
      <c r="K5336" t="s">
        <v>56</v>
      </c>
      <c r="L5336" t="s">
        <v>44</v>
      </c>
      <c r="M5336">
        <v>8.4700000000000006</v>
      </c>
      <c r="T5336" t="s">
        <v>52</v>
      </c>
      <c r="U5336">
        <v>1</v>
      </c>
      <c r="V5336">
        <v>5</v>
      </c>
    </row>
    <row r="5337" spans="1:22" x14ac:dyDescent="0.3">
      <c r="A5337">
        <v>5336</v>
      </c>
      <c r="B5337">
        <v>55860</v>
      </c>
      <c r="C5337" s="2">
        <v>36354</v>
      </c>
      <c r="D5337">
        <v>26</v>
      </c>
      <c r="E5337" t="s">
        <v>42</v>
      </c>
      <c r="F5337" t="s">
        <v>37</v>
      </c>
      <c r="G5337" s="2">
        <v>45577</v>
      </c>
      <c r="H5337" s="3">
        <f t="shared" si="83"/>
        <v>1.0136986301369864</v>
      </c>
      <c r="I5337">
        <v>52</v>
      </c>
      <c r="J5337" t="s">
        <v>38</v>
      </c>
      <c r="K5337" t="s">
        <v>56</v>
      </c>
      <c r="L5337" t="s">
        <v>44</v>
      </c>
      <c r="M5337">
        <v>8.4700000000000006</v>
      </c>
      <c r="T5337" t="s">
        <v>52</v>
      </c>
      <c r="U5337">
        <v>3</v>
      </c>
      <c r="V5337">
        <v>5</v>
      </c>
    </row>
    <row r="5338" spans="1:22" x14ac:dyDescent="0.3">
      <c r="A5338">
        <v>5337</v>
      </c>
      <c r="B5338">
        <v>55861</v>
      </c>
      <c r="C5338" s="2">
        <v>38323</v>
      </c>
      <c r="D5338">
        <v>21</v>
      </c>
      <c r="E5338" t="s">
        <v>42</v>
      </c>
      <c r="F5338" t="s">
        <v>50</v>
      </c>
      <c r="G5338" s="2">
        <v>45652</v>
      </c>
      <c r="H5338" s="3">
        <f t="shared" si="83"/>
        <v>1.4684931506849315</v>
      </c>
      <c r="I5338">
        <v>52</v>
      </c>
      <c r="J5338" t="s">
        <v>38</v>
      </c>
      <c r="K5338" t="s">
        <v>56</v>
      </c>
      <c r="L5338" t="s">
        <v>44</v>
      </c>
      <c r="M5338">
        <v>8.4700000000000006</v>
      </c>
      <c r="T5338" t="s">
        <v>49</v>
      </c>
      <c r="U5338">
        <v>0</v>
      </c>
      <c r="V5338">
        <v>6</v>
      </c>
    </row>
    <row r="5339" spans="1:22" x14ac:dyDescent="0.3">
      <c r="A5339">
        <v>5338</v>
      </c>
      <c r="B5339">
        <v>55862</v>
      </c>
      <c r="C5339" s="2">
        <v>37088</v>
      </c>
      <c r="D5339">
        <v>24</v>
      </c>
      <c r="E5339" t="s">
        <v>42</v>
      </c>
      <c r="F5339" t="s">
        <v>37</v>
      </c>
      <c r="G5339" s="2">
        <v>45486</v>
      </c>
      <c r="H5339" s="3">
        <f t="shared" si="83"/>
        <v>1.1397260273972603</v>
      </c>
      <c r="I5339">
        <v>52</v>
      </c>
      <c r="J5339" t="s">
        <v>38</v>
      </c>
      <c r="K5339" t="s">
        <v>56</v>
      </c>
      <c r="L5339" t="s">
        <v>44</v>
      </c>
      <c r="M5339">
        <v>8.4700000000000006</v>
      </c>
      <c r="T5339" t="s">
        <v>52</v>
      </c>
      <c r="U5339">
        <v>3</v>
      </c>
      <c r="V5339">
        <v>6</v>
      </c>
    </row>
    <row r="5340" spans="1:22" x14ac:dyDescent="0.3">
      <c r="A5340">
        <v>5339</v>
      </c>
      <c r="B5340">
        <v>55863</v>
      </c>
      <c r="C5340" s="2">
        <v>39206</v>
      </c>
      <c r="D5340">
        <v>18</v>
      </c>
      <c r="E5340" t="s">
        <v>42</v>
      </c>
      <c r="F5340" t="s">
        <v>37</v>
      </c>
      <c r="G5340" s="2">
        <v>45606</v>
      </c>
      <c r="H5340" s="3">
        <f t="shared" si="83"/>
        <v>1.747945205479452</v>
      </c>
      <c r="I5340">
        <v>52</v>
      </c>
      <c r="J5340" t="s">
        <v>38</v>
      </c>
      <c r="K5340" t="s">
        <v>56</v>
      </c>
      <c r="L5340" t="s">
        <v>44</v>
      </c>
      <c r="M5340">
        <v>8.4700000000000006</v>
      </c>
      <c r="T5340" t="s">
        <v>52</v>
      </c>
      <c r="U5340">
        <v>1</v>
      </c>
      <c r="V5340">
        <v>6</v>
      </c>
    </row>
    <row r="5341" spans="1:22" x14ac:dyDescent="0.3">
      <c r="A5341">
        <v>5340</v>
      </c>
      <c r="B5341">
        <v>55864</v>
      </c>
      <c r="C5341" s="2">
        <v>36094</v>
      </c>
      <c r="D5341">
        <v>27</v>
      </c>
      <c r="E5341" t="s">
        <v>42</v>
      </c>
      <c r="F5341" t="s">
        <v>50</v>
      </c>
      <c r="G5341" s="2">
        <v>45384</v>
      </c>
      <c r="H5341" s="3">
        <f t="shared" si="83"/>
        <v>1.5452054794520549</v>
      </c>
      <c r="I5341">
        <v>52</v>
      </c>
      <c r="J5341" t="s">
        <v>38</v>
      </c>
      <c r="K5341" t="s">
        <v>56</v>
      </c>
      <c r="L5341" t="s">
        <v>44</v>
      </c>
      <c r="M5341">
        <v>8.4700000000000006</v>
      </c>
      <c r="T5341" t="s">
        <v>47</v>
      </c>
      <c r="U5341">
        <v>4</v>
      </c>
      <c r="V5341">
        <v>5</v>
      </c>
    </row>
    <row r="5342" spans="1:22" x14ac:dyDescent="0.3">
      <c r="A5342">
        <v>5341</v>
      </c>
      <c r="B5342">
        <v>55865</v>
      </c>
      <c r="C5342" s="2">
        <v>37759</v>
      </c>
      <c r="D5342">
        <v>22</v>
      </c>
      <c r="E5342" t="s">
        <v>42</v>
      </c>
      <c r="F5342" t="s">
        <v>50</v>
      </c>
      <c r="G5342" s="2">
        <v>45458</v>
      </c>
      <c r="H5342" s="3">
        <f t="shared" si="83"/>
        <v>1.1013698630136985</v>
      </c>
      <c r="I5342">
        <v>52</v>
      </c>
      <c r="J5342" t="s">
        <v>38</v>
      </c>
      <c r="K5342" t="s">
        <v>56</v>
      </c>
      <c r="L5342" t="s">
        <v>44</v>
      </c>
      <c r="M5342">
        <v>8.4700000000000006</v>
      </c>
      <c r="T5342" t="s">
        <v>52</v>
      </c>
      <c r="U5342">
        <v>1</v>
      </c>
      <c r="V5342">
        <v>7</v>
      </c>
    </row>
    <row r="5343" spans="1:22" x14ac:dyDescent="0.3">
      <c r="A5343">
        <v>5342</v>
      </c>
      <c r="B5343">
        <v>55866</v>
      </c>
      <c r="C5343" s="2">
        <v>38073</v>
      </c>
      <c r="D5343">
        <v>21</v>
      </c>
      <c r="E5343" t="s">
        <v>42</v>
      </c>
      <c r="F5343" t="s">
        <v>50</v>
      </c>
      <c r="G5343" s="2">
        <v>45620</v>
      </c>
      <c r="H5343" s="3">
        <f t="shared" si="83"/>
        <v>1.1123287671232878</v>
      </c>
      <c r="I5343">
        <v>52</v>
      </c>
      <c r="J5343" t="s">
        <v>38</v>
      </c>
      <c r="K5343" t="s">
        <v>56</v>
      </c>
      <c r="L5343" t="s">
        <v>44</v>
      </c>
      <c r="M5343">
        <v>8.4700000000000006</v>
      </c>
      <c r="T5343" t="s">
        <v>52</v>
      </c>
      <c r="U5343">
        <v>2</v>
      </c>
      <c r="V5343">
        <v>6</v>
      </c>
    </row>
    <row r="5344" spans="1:22" x14ac:dyDescent="0.3">
      <c r="A5344">
        <v>5343</v>
      </c>
      <c r="B5344">
        <v>55867</v>
      </c>
      <c r="C5344" s="2">
        <v>37132</v>
      </c>
      <c r="D5344">
        <v>24</v>
      </c>
      <c r="E5344" t="s">
        <v>42</v>
      </c>
      <c r="F5344" t="s">
        <v>50</v>
      </c>
      <c r="G5344" s="2">
        <v>45616</v>
      </c>
      <c r="H5344" s="3">
        <f t="shared" si="83"/>
        <v>1.4356164383561645</v>
      </c>
      <c r="I5344">
        <v>52</v>
      </c>
      <c r="J5344" t="s">
        <v>38</v>
      </c>
      <c r="K5344" t="s">
        <v>56</v>
      </c>
      <c r="L5344" t="s">
        <v>44</v>
      </c>
      <c r="M5344">
        <v>8.4700000000000006</v>
      </c>
      <c r="T5344" t="s">
        <v>45</v>
      </c>
      <c r="U5344">
        <v>1</v>
      </c>
      <c r="V5344">
        <v>5</v>
      </c>
    </row>
    <row r="5345" spans="1:22" x14ac:dyDescent="0.3">
      <c r="A5345">
        <v>5344</v>
      </c>
      <c r="B5345">
        <v>55868</v>
      </c>
      <c r="C5345" s="2">
        <v>38180</v>
      </c>
      <c r="D5345">
        <v>21</v>
      </c>
      <c r="E5345" t="s">
        <v>42</v>
      </c>
      <c r="F5345" t="s">
        <v>37</v>
      </c>
      <c r="G5345" s="2">
        <v>45498</v>
      </c>
      <c r="H5345" s="3">
        <f t="shared" si="83"/>
        <v>1.2931506849315069</v>
      </c>
      <c r="I5345">
        <v>52</v>
      </c>
      <c r="J5345" t="s">
        <v>38</v>
      </c>
      <c r="K5345" t="s">
        <v>56</v>
      </c>
      <c r="L5345" t="s">
        <v>44</v>
      </c>
      <c r="M5345">
        <v>8.4700000000000006</v>
      </c>
      <c r="T5345" t="s">
        <v>52</v>
      </c>
      <c r="U5345">
        <v>2</v>
      </c>
      <c r="V5345">
        <v>5</v>
      </c>
    </row>
    <row r="5346" spans="1:22" x14ac:dyDescent="0.3">
      <c r="A5346">
        <v>5345</v>
      </c>
      <c r="B5346">
        <v>55869</v>
      </c>
      <c r="C5346" s="2">
        <v>38943</v>
      </c>
      <c r="D5346">
        <v>19</v>
      </c>
      <c r="E5346" t="s">
        <v>42</v>
      </c>
      <c r="F5346" t="s">
        <v>50</v>
      </c>
      <c r="G5346" s="2">
        <v>45550</v>
      </c>
      <c r="H5346" s="3">
        <f t="shared" si="83"/>
        <v>1.1561643835616437</v>
      </c>
      <c r="I5346">
        <v>52</v>
      </c>
      <c r="J5346" t="s">
        <v>38</v>
      </c>
      <c r="K5346" t="s">
        <v>56</v>
      </c>
      <c r="L5346" t="s">
        <v>44</v>
      </c>
      <c r="M5346">
        <v>8.4700000000000006</v>
      </c>
      <c r="T5346" t="s">
        <v>49</v>
      </c>
      <c r="U5346">
        <v>3</v>
      </c>
      <c r="V5346">
        <v>6</v>
      </c>
    </row>
    <row r="5347" spans="1:22" x14ac:dyDescent="0.3">
      <c r="A5347">
        <v>5346</v>
      </c>
      <c r="B5347">
        <v>55870</v>
      </c>
      <c r="C5347" s="2">
        <v>38989</v>
      </c>
      <c r="D5347">
        <v>19</v>
      </c>
      <c r="E5347" t="s">
        <v>36</v>
      </c>
      <c r="F5347" t="s">
        <v>37</v>
      </c>
      <c r="G5347" s="2">
        <v>45600</v>
      </c>
      <c r="H5347" s="3">
        <f t="shared" si="83"/>
        <v>1.6876712328767123</v>
      </c>
      <c r="I5347">
        <v>52</v>
      </c>
      <c r="J5347" t="s">
        <v>38</v>
      </c>
      <c r="K5347" t="s">
        <v>56</v>
      </c>
      <c r="L5347" t="s">
        <v>44</v>
      </c>
      <c r="M5347">
        <v>8.4700000000000006</v>
      </c>
      <c r="T5347" t="s">
        <v>52</v>
      </c>
      <c r="U5347">
        <v>0</v>
      </c>
      <c r="V5347">
        <v>4</v>
      </c>
    </row>
    <row r="5348" spans="1:22" x14ac:dyDescent="0.3">
      <c r="A5348">
        <v>5347</v>
      </c>
      <c r="B5348">
        <v>55871</v>
      </c>
      <c r="C5348" s="2">
        <v>35788</v>
      </c>
      <c r="D5348">
        <v>28</v>
      </c>
      <c r="E5348" t="s">
        <v>42</v>
      </c>
      <c r="F5348" t="s">
        <v>50</v>
      </c>
      <c r="G5348" s="2">
        <v>45406</v>
      </c>
      <c r="H5348" s="3">
        <f t="shared" si="83"/>
        <v>1.6684931506849314</v>
      </c>
      <c r="I5348">
        <v>53</v>
      </c>
      <c r="J5348" t="s">
        <v>38</v>
      </c>
      <c r="K5348" t="s">
        <v>68</v>
      </c>
      <c r="L5348" t="s">
        <v>44</v>
      </c>
      <c r="M5348">
        <v>17</v>
      </c>
      <c r="T5348" t="s">
        <v>45</v>
      </c>
      <c r="U5348">
        <v>1</v>
      </c>
      <c r="V5348">
        <v>7</v>
      </c>
    </row>
    <row r="5349" spans="1:22" x14ac:dyDescent="0.3">
      <c r="A5349">
        <v>5348</v>
      </c>
      <c r="B5349">
        <v>55872</v>
      </c>
      <c r="C5349" s="2">
        <v>36885</v>
      </c>
      <c r="D5349">
        <v>25</v>
      </c>
      <c r="E5349" t="s">
        <v>36</v>
      </c>
      <c r="F5349" t="s">
        <v>50</v>
      </c>
      <c r="G5349" s="2">
        <v>45413</v>
      </c>
      <c r="H5349" s="3">
        <f t="shared" si="83"/>
        <v>1.0356164383561643</v>
      </c>
      <c r="I5349">
        <v>53</v>
      </c>
      <c r="J5349" t="s">
        <v>38</v>
      </c>
      <c r="K5349" t="s">
        <v>68</v>
      </c>
      <c r="L5349" t="s">
        <v>44</v>
      </c>
      <c r="M5349">
        <v>17</v>
      </c>
      <c r="T5349" t="s">
        <v>49</v>
      </c>
      <c r="U5349">
        <v>1</v>
      </c>
      <c r="V5349">
        <v>3</v>
      </c>
    </row>
    <row r="5350" spans="1:22" x14ac:dyDescent="0.3">
      <c r="A5350">
        <v>5349</v>
      </c>
      <c r="B5350">
        <v>55873</v>
      </c>
      <c r="C5350" s="2">
        <v>33928</v>
      </c>
      <c r="D5350">
        <v>33</v>
      </c>
      <c r="E5350" t="s">
        <v>42</v>
      </c>
      <c r="F5350" t="s">
        <v>37</v>
      </c>
      <c r="G5350" s="2">
        <v>45644</v>
      </c>
      <c r="H5350" s="3">
        <f t="shared" si="83"/>
        <v>1.0547945205479452</v>
      </c>
      <c r="I5350">
        <v>53</v>
      </c>
      <c r="J5350" t="s">
        <v>38</v>
      </c>
      <c r="K5350" t="s">
        <v>68</v>
      </c>
      <c r="L5350" t="s">
        <v>44</v>
      </c>
      <c r="M5350">
        <v>17</v>
      </c>
      <c r="T5350" t="s">
        <v>52</v>
      </c>
      <c r="U5350">
        <v>4</v>
      </c>
      <c r="V5350">
        <v>6</v>
      </c>
    </row>
    <row r="5351" spans="1:22" x14ac:dyDescent="0.3">
      <c r="A5351">
        <v>5350</v>
      </c>
      <c r="B5351">
        <v>55874</v>
      </c>
      <c r="C5351" s="2">
        <v>36044</v>
      </c>
      <c r="D5351">
        <v>27</v>
      </c>
      <c r="E5351" t="s">
        <v>36</v>
      </c>
      <c r="F5351" t="s">
        <v>50</v>
      </c>
      <c r="G5351" s="2">
        <v>45637</v>
      </c>
      <c r="H5351" s="3">
        <f t="shared" si="83"/>
        <v>1.452054794520548</v>
      </c>
      <c r="I5351">
        <v>53</v>
      </c>
      <c r="J5351" t="s">
        <v>38</v>
      </c>
      <c r="K5351" t="s">
        <v>65</v>
      </c>
      <c r="L5351" t="s">
        <v>44</v>
      </c>
      <c r="M5351">
        <v>10.64</v>
      </c>
      <c r="T5351" t="s">
        <v>52</v>
      </c>
      <c r="U5351">
        <v>0</v>
      </c>
      <c r="V5351">
        <v>3</v>
      </c>
    </row>
    <row r="5352" spans="1:22" x14ac:dyDescent="0.3">
      <c r="A5352">
        <v>5351</v>
      </c>
      <c r="B5352">
        <v>55875</v>
      </c>
      <c r="C5352" s="2">
        <v>37761</v>
      </c>
      <c r="D5352">
        <v>22</v>
      </c>
      <c r="E5352" t="s">
        <v>36</v>
      </c>
      <c r="F5352" t="s">
        <v>50</v>
      </c>
      <c r="G5352" s="2">
        <v>45492</v>
      </c>
      <c r="H5352" s="3">
        <f t="shared" si="83"/>
        <v>1.6849315068493151</v>
      </c>
      <c r="I5352">
        <v>53</v>
      </c>
      <c r="J5352" t="s">
        <v>38</v>
      </c>
      <c r="K5352" t="s">
        <v>65</v>
      </c>
      <c r="L5352" t="s">
        <v>44</v>
      </c>
      <c r="M5352">
        <v>10.64</v>
      </c>
      <c r="T5352" t="s">
        <v>52</v>
      </c>
      <c r="U5352">
        <v>0</v>
      </c>
      <c r="V5352">
        <v>4</v>
      </c>
    </row>
    <row r="5353" spans="1:22" x14ac:dyDescent="0.3">
      <c r="A5353">
        <v>5352</v>
      </c>
      <c r="B5353">
        <v>55876</v>
      </c>
      <c r="C5353" s="2">
        <v>34943</v>
      </c>
      <c r="D5353">
        <v>31</v>
      </c>
      <c r="E5353" t="s">
        <v>42</v>
      </c>
      <c r="F5353" t="s">
        <v>50</v>
      </c>
      <c r="G5353" s="2">
        <v>45407</v>
      </c>
      <c r="H5353" s="3">
        <f t="shared" si="83"/>
        <v>1.3095890410958904</v>
      </c>
      <c r="I5353">
        <v>53</v>
      </c>
      <c r="J5353" t="s">
        <v>38</v>
      </c>
      <c r="K5353" t="s">
        <v>48</v>
      </c>
      <c r="L5353" t="s">
        <v>44</v>
      </c>
      <c r="M5353">
        <v>8.4700000000000006</v>
      </c>
      <c r="T5353" t="s">
        <v>45</v>
      </c>
      <c r="U5353">
        <v>0</v>
      </c>
      <c r="V5353">
        <v>6</v>
      </c>
    </row>
    <row r="5354" spans="1:22" x14ac:dyDescent="0.3">
      <c r="A5354">
        <v>5353</v>
      </c>
      <c r="B5354">
        <v>55877</v>
      </c>
      <c r="C5354" s="2">
        <v>38474</v>
      </c>
      <c r="D5354">
        <v>20</v>
      </c>
      <c r="E5354" t="s">
        <v>42</v>
      </c>
      <c r="F5354" t="s">
        <v>50</v>
      </c>
      <c r="G5354" s="2">
        <v>45544</v>
      </c>
      <c r="H5354" s="3">
        <f t="shared" si="83"/>
        <v>1.8465753424657534</v>
      </c>
      <c r="I5354">
        <v>53</v>
      </c>
      <c r="J5354" t="s">
        <v>38</v>
      </c>
      <c r="K5354" t="s">
        <v>48</v>
      </c>
      <c r="L5354" t="s">
        <v>44</v>
      </c>
      <c r="M5354">
        <v>8.4700000000000006</v>
      </c>
      <c r="T5354" t="s">
        <v>52</v>
      </c>
      <c r="U5354">
        <v>4</v>
      </c>
      <c r="V5354">
        <v>7</v>
      </c>
    </row>
    <row r="5355" spans="1:22" x14ac:dyDescent="0.3">
      <c r="A5355">
        <v>5354</v>
      </c>
      <c r="B5355">
        <v>55878</v>
      </c>
      <c r="C5355" s="2">
        <v>36151</v>
      </c>
      <c r="D5355">
        <v>27</v>
      </c>
      <c r="E5355" t="s">
        <v>42</v>
      </c>
      <c r="F5355" t="s">
        <v>37</v>
      </c>
      <c r="G5355" s="2">
        <v>45348</v>
      </c>
      <c r="H5355" s="3">
        <f t="shared" si="83"/>
        <v>1.6</v>
      </c>
      <c r="I5355">
        <v>53</v>
      </c>
      <c r="J5355" t="s">
        <v>38</v>
      </c>
      <c r="K5355" t="s">
        <v>56</v>
      </c>
      <c r="L5355" t="s">
        <v>44</v>
      </c>
      <c r="M5355">
        <v>8.4700000000000006</v>
      </c>
      <c r="T5355" t="s">
        <v>45</v>
      </c>
      <c r="U5355">
        <v>2</v>
      </c>
      <c r="V5355">
        <v>6</v>
      </c>
    </row>
    <row r="5356" spans="1:22" x14ac:dyDescent="0.3">
      <c r="A5356">
        <v>5355</v>
      </c>
      <c r="B5356">
        <v>55879</v>
      </c>
      <c r="C5356" s="2">
        <v>39315</v>
      </c>
      <c r="D5356">
        <v>18</v>
      </c>
      <c r="E5356" t="s">
        <v>42</v>
      </c>
      <c r="F5356" t="s">
        <v>50</v>
      </c>
      <c r="G5356" s="2">
        <v>45438</v>
      </c>
      <c r="H5356" s="3">
        <f t="shared" si="83"/>
        <v>1.4246575342465753</v>
      </c>
      <c r="I5356">
        <v>53</v>
      </c>
      <c r="J5356" t="s">
        <v>38</v>
      </c>
      <c r="K5356" t="s">
        <v>56</v>
      </c>
      <c r="L5356" t="s">
        <v>44</v>
      </c>
      <c r="M5356">
        <v>8.4700000000000006</v>
      </c>
      <c r="T5356" t="s">
        <v>52</v>
      </c>
      <c r="U5356">
        <v>4</v>
      </c>
      <c r="V5356">
        <v>7</v>
      </c>
    </row>
    <row r="5357" spans="1:22" x14ac:dyDescent="0.3">
      <c r="A5357">
        <v>5356</v>
      </c>
      <c r="B5357">
        <v>55880</v>
      </c>
      <c r="C5357" s="2">
        <v>34836</v>
      </c>
      <c r="D5357">
        <v>30</v>
      </c>
      <c r="E5357" t="s">
        <v>42</v>
      </c>
      <c r="F5357" t="s">
        <v>50</v>
      </c>
      <c r="G5357" s="2">
        <v>45502</v>
      </c>
      <c r="H5357" s="3">
        <f t="shared" si="83"/>
        <v>1.9479452054794522</v>
      </c>
      <c r="I5357">
        <v>53</v>
      </c>
      <c r="J5357" t="s">
        <v>38</v>
      </c>
      <c r="K5357" t="s">
        <v>56</v>
      </c>
      <c r="L5357" t="s">
        <v>44</v>
      </c>
      <c r="M5357">
        <v>8.4700000000000006</v>
      </c>
      <c r="T5357" t="s">
        <v>47</v>
      </c>
      <c r="U5357">
        <v>0</v>
      </c>
      <c r="V5357">
        <v>6</v>
      </c>
    </row>
    <row r="5358" spans="1:22" x14ac:dyDescent="0.3">
      <c r="A5358">
        <v>5357</v>
      </c>
      <c r="B5358">
        <v>55881</v>
      </c>
      <c r="C5358" s="2">
        <v>37368</v>
      </c>
      <c r="D5358">
        <v>23</v>
      </c>
      <c r="E5358" t="s">
        <v>42</v>
      </c>
      <c r="F5358" t="s">
        <v>50</v>
      </c>
      <c r="G5358" s="2">
        <v>45311</v>
      </c>
      <c r="H5358" s="3">
        <f t="shared" si="83"/>
        <v>1.263013698630137</v>
      </c>
      <c r="I5358">
        <v>53</v>
      </c>
      <c r="J5358" t="s">
        <v>38</v>
      </c>
      <c r="K5358" t="s">
        <v>56</v>
      </c>
      <c r="L5358" t="s">
        <v>44</v>
      </c>
      <c r="M5358">
        <v>8.4700000000000006</v>
      </c>
      <c r="T5358" t="s">
        <v>45</v>
      </c>
      <c r="U5358">
        <v>2</v>
      </c>
      <c r="V5358">
        <v>5</v>
      </c>
    </row>
    <row r="5359" spans="1:22" x14ac:dyDescent="0.3">
      <c r="A5359">
        <v>5358</v>
      </c>
      <c r="B5359">
        <v>55882</v>
      </c>
      <c r="C5359" s="2">
        <v>38348</v>
      </c>
      <c r="D5359">
        <v>21</v>
      </c>
      <c r="E5359" t="s">
        <v>42</v>
      </c>
      <c r="F5359" t="s">
        <v>37</v>
      </c>
      <c r="G5359" s="2">
        <v>45561</v>
      </c>
      <c r="H5359" s="3">
        <f t="shared" si="83"/>
        <v>1.6493150684931508</v>
      </c>
      <c r="I5359">
        <v>53</v>
      </c>
      <c r="J5359" t="s">
        <v>38</v>
      </c>
      <c r="K5359" t="s">
        <v>56</v>
      </c>
      <c r="L5359" t="s">
        <v>44</v>
      </c>
      <c r="M5359">
        <v>8.4700000000000006</v>
      </c>
      <c r="T5359" t="s">
        <v>52</v>
      </c>
      <c r="U5359">
        <v>4</v>
      </c>
      <c r="V5359">
        <v>7</v>
      </c>
    </row>
    <row r="5360" spans="1:22" x14ac:dyDescent="0.3">
      <c r="A5360">
        <v>5359</v>
      </c>
      <c r="B5360">
        <v>55883</v>
      </c>
      <c r="C5360" s="2">
        <v>39300</v>
      </c>
      <c r="D5360">
        <v>18</v>
      </c>
      <c r="E5360" t="s">
        <v>42</v>
      </c>
      <c r="F5360" t="s">
        <v>50</v>
      </c>
      <c r="G5360" s="2">
        <v>45420</v>
      </c>
      <c r="H5360" s="3">
        <f t="shared" si="83"/>
        <v>1.4136986301369863</v>
      </c>
      <c r="I5360">
        <v>53</v>
      </c>
      <c r="J5360" t="s">
        <v>38</v>
      </c>
      <c r="K5360" t="s">
        <v>56</v>
      </c>
      <c r="L5360" t="s">
        <v>44</v>
      </c>
      <c r="M5360">
        <v>8.4700000000000006</v>
      </c>
      <c r="T5360" t="s">
        <v>49</v>
      </c>
      <c r="U5360">
        <v>1</v>
      </c>
      <c r="V5360">
        <v>5</v>
      </c>
    </row>
    <row r="5361" spans="1:22" x14ac:dyDescent="0.3">
      <c r="A5361">
        <v>5360</v>
      </c>
      <c r="B5361">
        <v>55884</v>
      </c>
      <c r="C5361" s="2">
        <v>38280</v>
      </c>
      <c r="D5361">
        <v>21</v>
      </c>
      <c r="E5361" t="s">
        <v>42</v>
      </c>
      <c r="F5361" t="s">
        <v>50</v>
      </c>
      <c r="G5361" s="2">
        <v>45506</v>
      </c>
      <c r="H5361" s="3">
        <f t="shared" si="83"/>
        <v>1.1424657534246576</v>
      </c>
      <c r="I5361">
        <v>53</v>
      </c>
      <c r="J5361" t="s">
        <v>38</v>
      </c>
      <c r="K5361" t="s">
        <v>56</v>
      </c>
      <c r="L5361" t="s">
        <v>44</v>
      </c>
      <c r="M5361">
        <v>8.4700000000000006</v>
      </c>
      <c r="T5361" t="s">
        <v>52</v>
      </c>
      <c r="U5361">
        <v>0</v>
      </c>
      <c r="V5361">
        <v>6</v>
      </c>
    </row>
    <row r="5362" spans="1:22" x14ac:dyDescent="0.3">
      <c r="A5362">
        <v>5361</v>
      </c>
      <c r="B5362">
        <v>55885</v>
      </c>
      <c r="C5362" s="2">
        <v>38142</v>
      </c>
      <c r="D5362">
        <v>21</v>
      </c>
      <c r="E5362" t="s">
        <v>42</v>
      </c>
      <c r="F5362" t="s">
        <v>50</v>
      </c>
      <c r="G5362" s="2">
        <v>45605</v>
      </c>
      <c r="H5362" s="3">
        <f t="shared" si="83"/>
        <v>1.558904109589041</v>
      </c>
      <c r="I5362">
        <v>53</v>
      </c>
      <c r="J5362" t="s">
        <v>38</v>
      </c>
      <c r="K5362" t="s">
        <v>56</v>
      </c>
      <c r="L5362" t="s">
        <v>44</v>
      </c>
      <c r="M5362">
        <v>8.4700000000000006</v>
      </c>
      <c r="T5362" t="s">
        <v>45</v>
      </c>
      <c r="U5362">
        <v>1</v>
      </c>
      <c r="V5362">
        <v>6</v>
      </c>
    </row>
    <row r="5363" spans="1:22" x14ac:dyDescent="0.3">
      <c r="A5363">
        <v>5362</v>
      </c>
      <c r="B5363">
        <v>55886</v>
      </c>
      <c r="C5363" s="2">
        <v>36594</v>
      </c>
      <c r="D5363">
        <v>25</v>
      </c>
      <c r="E5363" t="s">
        <v>36</v>
      </c>
      <c r="F5363" t="s">
        <v>50</v>
      </c>
      <c r="G5363" s="2">
        <v>45453</v>
      </c>
      <c r="H5363" s="3">
        <f t="shared" si="83"/>
        <v>1.6520547945205479</v>
      </c>
      <c r="I5363">
        <v>53</v>
      </c>
      <c r="J5363" t="s">
        <v>38</v>
      </c>
      <c r="K5363" t="s">
        <v>56</v>
      </c>
      <c r="L5363" t="s">
        <v>44</v>
      </c>
      <c r="M5363">
        <v>8.4700000000000006</v>
      </c>
      <c r="T5363" t="s">
        <v>52</v>
      </c>
      <c r="U5363">
        <v>2</v>
      </c>
      <c r="V5363">
        <v>5</v>
      </c>
    </row>
    <row r="5364" spans="1:22" x14ac:dyDescent="0.3">
      <c r="A5364">
        <v>5363</v>
      </c>
      <c r="B5364">
        <v>55887</v>
      </c>
      <c r="C5364" s="2">
        <v>37643</v>
      </c>
      <c r="D5364">
        <v>22</v>
      </c>
      <c r="E5364" t="s">
        <v>42</v>
      </c>
      <c r="F5364" t="s">
        <v>50</v>
      </c>
      <c r="G5364" s="2">
        <v>45419</v>
      </c>
      <c r="H5364" s="3">
        <f t="shared" si="83"/>
        <v>1.5835616438356164</v>
      </c>
      <c r="I5364">
        <v>53</v>
      </c>
      <c r="J5364" t="s">
        <v>38</v>
      </c>
      <c r="K5364" t="s">
        <v>56</v>
      </c>
      <c r="L5364" t="s">
        <v>44</v>
      </c>
      <c r="M5364">
        <v>8.4700000000000006</v>
      </c>
      <c r="T5364" t="s">
        <v>45</v>
      </c>
      <c r="U5364">
        <v>2</v>
      </c>
      <c r="V5364">
        <v>6</v>
      </c>
    </row>
    <row r="5365" spans="1:22" x14ac:dyDescent="0.3">
      <c r="A5365">
        <v>5364</v>
      </c>
      <c r="B5365">
        <v>55888</v>
      </c>
      <c r="C5365" s="2">
        <v>37411</v>
      </c>
      <c r="D5365">
        <v>23</v>
      </c>
      <c r="E5365" t="s">
        <v>42</v>
      </c>
      <c r="F5365" t="s">
        <v>50</v>
      </c>
      <c r="G5365" s="2">
        <v>45444</v>
      </c>
      <c r="H5365" s="3">
        <f t="shared" si="83"/>
        <v>1.0493150684931507</v>
      </c>
      <c r="I5365">
        <v>53</v>
      </c>
      <c r="J5365" t="s">
        <v>38</v>
      </c>
      <c r="K5365" t="s">
        <v>56</v>
      </c>
      <c r="L5365" t="s">
        <v>44</v>
      </c>
      <c r="M5365">
        <v>8.4700000000000006</v>
      </c>
      <c r="T5365" t="s">
        <v>49</v>
      </c>
      <c r="U5365">
        <v>0</v>
      </c>
      <c r="V5365">
        <v>5</v>
      </c>
    </row>
    <row r="5366" spans="1:22" x14ac:dyDescent="0.3">
      <c r="A5366">
        <v>5365</v>
      </c>
      <c r="B5366">
        <v>55889</v>
      </c>
      <c r="C5366" s="2">
        <v>34092</v>
      </c>
      <c r="D5366">
        <v>32</v>
      </c>
      <c r="E5366" t="s">
        <v>42</v>
      </c>
      <c r="F5366" t="s">
        <v>50</v>
      </c>
      <c r="G5366" s="2">
        <v>45639</v>
      </c>
      <c r="H5366" s="3">
        <f t="shared" si="83"/>
        <v>1.2684931506849315</v>
      </c>
      <c r="I5366">
        <v>53</v>
      </c>
      <c r="J5366" t="s">
        <v>38</v>
      </c>
      <c r="K5366" t="s">
        <v>56</v>
      </c>
      <c r="L5366" t="s">
        <v>44</v>
      </c>
      <c r="M5366">
        <v>8.4700000000000006</v>
      </c>
      <c r="T5366" t="s">
        <v>49</v>
      </c>
      <c r="U5366">
        <v>1</v>
      </c>
      <c r="V5366">
        <v>6</v>
      </c>
    </row>
    <row r="5367" spans="1:22" x14ac:dyDescent="0.3">
      <c r="A5367">
        <v>5366</v>
      </c>
      <c r="B5367">
        <v>55890</v>
      </c>
      <c r="C5367" s="2">
        <v>37936</v>
      </c>
      <c r="D5367">
        <v>22</v>
      </c>
      <c r="E5367" t="s">
        <v>42</v>
      </c>
      <c r="F5367" t="s">
        <v>50</v>
      </c>
      <c r="G5367" s="2">
        <v>45559</v>
      </c>
      <c r="H5367" s="3">
        <f t="shared" si="83"/>
        <v>1.4301369863013698</v>
      </c>
      <c r="I5367">
        <v>53</v>
      </c>
      <c r="J5367" t="s">
        <v>38</v>
      </c>
      <c r="K5367" t="s">
        <v>56</v>
      </c>
      <c r="L5367" t="s">
        <v>44</v>
      </c>
      <c r="M5367">
        <v>8.4700000000000006</v>
      </c>
      <c r="T5367" t="s">
        <v>52</v>
      </c>
      <c r="U5367">
        <v>1</v>
      </c>
      <c r="V5367">
        <v>7</v>
      </c>
    </row>
    <row r="5368" spans="1:22" x14ac:dyDescent="0.3">
      <c r="A5368">
        <v>5367</v>
      </c>
      <c r="B5368">
        <v>55891</v>
      </c>
      <c r="C5368" s="2">
        <v>38720</v>
      </c>
      <c r="D5368">
        <v>19</v>
      </c>
      <c r="E5368" t="s">
        <v>42</v>
      </c>
      <c r="F5368" t="s">
        <v>50</v>
      </c>
      <c r="G5368" s="2">
        <v>45500</v>
      </c>
      <c r="H5368" s="3">
        <f t="shared" si="83"/>
        <v>1.4986301369863013</v>
      </c>
      <c r="I5368">
        <v>53</v>
      </c>
      <c r="J5368" t="s">
        <v>38</v>
      </c>
      <c r="K5368" t="s">
        <v>56</v>
      </c>
      <c r="L5368" t="s">
        <v>44</v>
      </c>
      <c r="M5368">
        <v>8.4700000000000006</v>
      </c>
      <c r="T5368" t="s">
        <v>49</v>
      </c>
      <c r="U5368">
        <v>1</v>
      </c>
      <c r="V5368">
        <v>4</v>
      </c>
    </row>
    <row r="5369" spans="1:22" x14ac:dyDescent="0.3">
      <c r="A5369">
        <v>5368</v>
      </c>
      <c r="B5369">
        <v>55892</v>
      </c>
      <c r="C5369" s="2">
        <v>37019</v>
      </c>
      <c r="D5369">
        <v>24</v>
      </c>
      <c r="E5369" t="s">
        <v>42</v>
      </c>
      <c r="F5369" t="s">
        <v>50</v>
      </c>
      <c r="G5369" s="2">
        <v>45475</v>
      </c>
      <c r="H5369" s="3">
        <f t="shared" si="83"/>
        <v>1.5890410958904109</v>
      </c>
      <c r="I5369">
        <v>54</v>
      </c>
      <c r="J5369" t="s">
        <v>38</v>
      </c>
      <c r="K5369" t="s">
        <v>68</v>
      </c>
      <c r="L5369" t="s">
        <v>44</v>
      </c>
      <c r="M5369">
        <v>17</v>
      </c>
      <c r="T5369" t="s">
        <v>52</v>
      </c>
      <c r="U5369">
        <v>1</v>
      </c>
      <c r="V5369">
        <v>5</v>
      </c>
    </row>
    <row r="5370" spans="1:22" x14ac:dyDescent="0.3">
      <c r="A5370">
        <v>5369</v>
      </c>
      <c r="B5370">
        <v>55893</v>
      </c>
      <c r="C5370" s="2">
        <v>36071</v>
      </c>
      <c r="D5370">
        <v>27</v>
      </c>
      <c r="E5370" t="s">
        <v>36</v>
      </c>
      <c r="F5370" t="s">
        <v>37</v>
      </c>
      <c r="G5370" s="2">
        <v>45442</v>
      </c>
      <c r="H5370" s="3">
        <f t="shared" si="83"/>
        <v>1.1260273972602739</v>
      </c>
      <c r="I5370">
        <v>54</v>
      </c>
      <c r="J5370" t="s">
        <v>38</v>
      </c>
      <c r="K5370" t="s">
        <v>68</v>
      </c>
      <c r="L5370" t="s">
        <v>44</v>
      </c>
      <c r="M5370">
        <v>17</v>
      </c>
      <c r="T5370" t="s">
        <v>49</v>
      </c>
      <c r="U5370">
        <v>0</v>
      </c>
      <c r="V5370">
        <v>3</v>
      </c>
    </row>
    <row r="5371" spans="1:22" x14ac:dyDescent="0.3">
      <c r="A5371">
        <v>5370</v>
      </c>
      <c r="B5371">
        <v>55894</v>
      </c>
      <c r="C5371" s="2">
        <v>37538</v>
      </c>
      <c r="D5371">
        <v>23</v>
      </c>
      <c r="E5371" t="s">
        <v>36</v>
      </c>
      <c r="F5371" t="s">
        <v>50</v>
      </c>
      <c r="G5371" s="2">
        <v>45611</v>
      </c>
      <c r="H5371" s="3">
        <f t="shared" si="83"/>
        <v>1.284931506849315</v>
      </c>
      <c r="I5371">
        <v>54</v>
      </c>
      <c r="J5371" t="s">
        <v>38</v>
      </c>
      <c r="K5371" t="s">
        <v>65</v>
      </c>
      <c r="L5371" t="s">
        <v>44</v>
      </c>
      <c r="M5371">
        <v>10.64</v>
      </c>
      <c r="T5371" t="s">
        <v>47</v>
      </c>
      <c r="U5371">
        <v>0</v>
      </c>
      <c r="V5371">
        <v>4</v>
      </c>
    </row>
    <row r="5372" spans="1:22" x14ac:dyDescent="0.3">
      <c r="A5372">
        <v>5371</v>
      </c>
      <c r="B5372">
        <v>55895</v>
      </c>
      <c r="C5372" s="2">
        <v>38338</v>
      </c>
      <c r="D5372">
        <v>21</v>
      </c>
      <c r="E5372" t="s">
        <v>42</v>
      </c>
      <c r="F5372" t="s">
        <v>37</v>
      </c>
      <c r="G5372" s="2">
        <v>45553</v>
      </c>
      <c r="H5372" s="3">
        <f t="shared" si="83"/>
        <v>1.7068493150684931</v>
      </c>
      <c r="I5372">
        <v>54</v>
      </c>
      <c r="J5372" t="s">
        <v>38</v>
      </c>
      <c r="K5372" t="s">
        <v>56</v>
      </c>
      <c r="L5372" t="s">
        <v>44</v>
      </c>
      <c r="M5372">
        <v>8.4700000000000006</v>
      </c>
      <c r="T5372" t="s">
        <v>49</v>
      </c>
      <c r="U5372">
        <v>2</v>
      </c>
      <c r="V5372">
        <v>6</v>
      </c>
    </row>
    <row r="5373" spans="1:22" x14ac:dyDescent="0.3">
      <c r="A5373">
        <v>5372</v>
      </c>
      <c r="B5373">
        <v>55896</v>
      </c>
      <c r="C5373" s="2">
        <v>38758</v>
      </c>
      <c r="D5373">
        <v>19</v>
      </c>
      <c r="E5373" t="s">
        <v>36</v>
      </c>
      <c r="F5373" t="s">
        <v>50</v>
      </c>
      <c r="G5373" s="2">
        <v>45399</v>
      </c>
      <c r="H5373" s="3">
        <f t="shared" si="83"/>
        <v>1.4712328767123288</v>
      </c>
      <c r="I5373">
        <v>54</v>
      </c>
      <c r="J5373" t="s">
        <v>38</v>
      </c>
      <c r="K5373" t="s">
        <v>56</v>
      </c>
      <c r="L5373" t="s">
        <v>44</v>
      </c>
      <c r="M5373">
        <v>8.4700000000000006</v>
      </c>
      <c r="T5373" t="s">
        <v>45</v>
      </c>
      <c r="U5373">
        <v>2</v>
      </c>
      <c r="V5373">
        <v>6</v>
      </c>
    </row>
    <row r="5374" spans="1:22" x14ac:dyDescent="0.3">
      <c r="A5374">
        <v>5373</v>
      </c>
      <c r="B5374">
        <v>55897</v>
      </c>
      <c r="C5374" s="2">
        <v>37688</v>
      </c>
      <c r="D5374">
        <v>22</v>
      </c>
      <c r="E5374" t="s">
        <v>42</v>
      </c>
      <c r="F5374" t="s">
        <v>50</v>
      </c>
      <c r="G5374" s="2">
        <v>45485</v>
      </c>
      <c r="H5374" s="3">
        <f t="shared" si="83"/>
        <v>1.6630136986301369</v>
      </c>
      <c r="I5374">
        <v>54</v>
      </c>
      <c r="J5374" t="s">
        <v>38</v>
      </c>
      <c r="K5374" t="s">
        <v>56</v>
      </c>
      <c r="L5374" t="s">
        <v>44</v>
      </c>
      <c r="M5374">
        <v>8.4700000000000006</v>
      </c>
      <c r="T5374" t="s">
        <v>52</v>
      </c>
      <c r="U5374">
        <v>2</v>
      </c>
      <c r="V5374">
        <v>7</v>
      </c>
    </row>
    <row r="5375" spans="1:22" x14ac:dyDescent="0.3">
      <c r="A5375">
        <v>5374</v>
      </c>
      <c r="B5375">
        <v>55898</v>
      </c>
      <c r="C5375" s="2">
        <v>38290</v>
      </c>
      <c r="D5375">
        <v>21</v>
      </c>
      <c r="E5375" t="s">
        <v>42</v>
      </c>
      <c r="F5375" t="s">
        <v>50</v>
      </c>
      <c r="G5375" s="2">
        <v>45415</v>
      </c>
      <c r="H5375" s="3">
        <f t="shared" si="83"/>
        <v>1.5726027397260274</v>
      </c>
      <c r="I5375">
        <v>54</v>
      </c>
      <c r="J5375" t="s">
        <v>38</v>
      </c>
      <c r="K5375" t="s">
        <v>56</v>
      </c>
      <c r="L5375" t="s">
        <v>44</v>
      </c>
      <c r="M5375">
        <v>8.4700000000000006</v>
      </c>
      <c r="T5375" t="s">
        <v>52</v>
      </c>
      <c r="U5375">
        <v>3</v>
      </c>
      <c r="V5375">
        <v>7</v>
      </c>
    </row>
    <row r="5376" spans="1:22" x14ac:dyDescent="0.3">
      <c r="A5376">
        <v>5375</v>
      </c>
      <c r="B5376">
        <v>55899</v>
      </c>
      <c r="C5376" s="2">
        <v>34930</v>
      </c>
      <c r="D5376">
        <v>30</v>
      </c>
      <c r="E5376" t="s">
        <v>42</v>
      </c>
      <c r="F5376" t="s">
        <v>50</v>
      </c>
      <c r="G5376" s="2">
        <v>45448</v>
      </c>
      <c r="H5376" s="3">
        <f t="shared" si="83"/>
        <v>1.4876712328767123</v>
      </c>
      <c r="I5376">
        <v>54</v>
      </c>
      <c r="J5376" t="s">
        <v>38</v>
      </c>
      <c r="K5376" t="s">
        <v>56</v>
      </c>
      <c r="L5376" t="s">
        <v>44</v>
      </c>
      <c r="M5376">
        <v>8.4700000000000006</v>
      </c>
      <c r="T5376" t="s">
        <v>49</v>
      </c>
      <c r="U5376">
        <v>2</v>
      </c>
      <c r="V5376">
        <v>7</v>
      </c>
    </row>
    <row r="5377" spans="1:22" x14ac:dyDescent="0.3">
      <c r="A5377">
        <v>5376</v>
      </c>
      <c r="B5377">
        <v>55900</v>
      </c>
      <c r="C5377" s="2">
        <v>37102</v>
      </c>
      <c r="D5377">
        <v>24</v>
      </c>
      <c r="E5377" t="s">
        <v>42</v>
      </c>
      <c r="F5377" t="s">
        <v>50</v>
      </c>
      <c r="G5377" s="2">
        <v>45479</v>
      </c>
      <c r="H5377" s="3">
        <f t="shared" si="83"/>
        <v>1.9205479452054794</v>
      </c>
      <c r="I5377">
        <v>54</v>
      </c>
      <c r="J5377" t="s">
        <v>38</v>
      </c>
      <c r="K5377" t="s">
        <v>56</v>
      </c>
      <c r="L5377" t="s">
        <v>44</v>
      </c>
      <c r="M5377">
        <v>8.4700000000000006</v>
      </c>
      <c r="T5377" t="s">
        <v>47</v>
      </c>
      <c r="U5377">
        <v>1</v>
      </c>
      <c r="V5377">
        <v>6</v>
      </c>
    </row>
    <row r="5378" spans="1:22" x14ac:dyDescent="0.3">
      <c r="A5378">
        <v>5377</v>
      </c>
      <c r="B5378">
        <v>55901</v>
      </c>
      <c r="C5378" s="2">
        <v>38521</v>
      </c>
      <c r="D5378">
        <v>20</v>
      </c>
      <c r="E5378" t="s">
        <v>42</v>
      </c>
      <c r="F5378" t="s">
        <v>37</v>
      </c>
      <c r="G5378" s="2">
        <v>45321</v>
      </c>
      <c r="H5378" s="3">
        <f t="shared" si="83"/>
        <v>1.7452054794520548</v>
      </c>
      <c r="I5378">
        <v>54</v>
      </c>
      <c r="J5378" t="s">
        <v>38</v>
      </c>
      <c r="K5378" t="s">
        <v>56</v>
      </c>
      <c r="L5378" t="s">
        <v>44</v>
      </c>
      <c r="M5378">
        <v>8.4700000000000006</v>
      </c>
      <c r="T5378" t="s">
        <v>47</v>
      </c>
      <c r="U5378">
        <v>3</v>
      </c>
      <c r="V5378">
        <v>6</v>
      </c>
    </row>
    <row r="5379" spans="1:22" x14ac:dyDescent="0.3">
      <c r="A5379">
        <v>5378</v>
      </c>
      <c r="B5379">
        <v>55902</v>
      </c>
      <c r="C5379" s="2">
        <v>37307</v>
      </c>
      <c r="D5379">
        <v>23</v>
      </c>
      <c r="E5379" t="s">
        <v>42</v>
      </c>
      <c r="F5379" t="s">
        <v>50</v>
      </c>
      <c r="G5379" s="2">
        <v>45385</v>
      </c>
      <c r="H5379" s="3">
        <f t="shared" ref="H5379:H5442" si="84">DATEDIF(G5380,DATE(2025,12,31),"d")/365</f>
        <v>1.2410958904109588</v>
      </c>
      <c r="I5379">
        <v>54</v>
      </c>
      <c r="J5379" t="s">
        <v>38</v>
      </c>
      <c r="K5379" t="s">
        <v>56</v>
      </c>
      <c r="L5379" t="s">
        <v>44</v>
      </c>
      <c r="M5379">
        <v>8.4700000000000006</v>
      </c>
      <c r="T5379" t="s">
        <v>45</v>
      </c>
      <c r="U5379">
        <v>4</v>
      </c>
      <c r="V5379">
        <v>7</v>
      </c>
    </row>
    <row r="5380" spans="1:22" x14ac:dyDescent="0.3">
      <c r="A5380">
        <v>5379</v>
      </c>
      <c r="B5380">
        <v>55903</v>
      </c>
      <c r="C5380" s="2">
        <v>39141</v>
      </c>
      <c r="D5380">
        <v>18</v>
      </c>
      <c r="E5380" t="s">
        <v>42</v>
      </c>
      <c r="F5380" t="s">
        <v>50</v>
      </c>
      <c r="G5380" s="2">
        <v>45569</v>
      </c>
      <c r="H5380" s="3">
        <f t="shared" si="84"/>
        <v>1.8876712328767122</v>
      </c>
      <c r="I5380">
        <v>54</v>
      </c>
      <c r="J5380" t="s">
        <v>38</v>
      </c>
      <c r="K5380" t="s">
        <v>56</v>
      </c>
      <c r="L5380" t="s">
        <v>44</v>
      </c>
      <c r="M5380">
        <v>8.4700000000000006</v>
      </c>
      <c r="T5380" t="s">
        <v>47</v>
      </c>
      <c r="U5380">
        <v>0</v>
      </c>
      <c r="V5380">
        <v>4</v>
      </c>
    </row>
    <row r="5381" spans="1:22" x14ac:dyDescent="0.3">
      <c r="A5381">
        <v>5380</v>
      </c>
      <c r="B5381">
        <v>55904</v>
      </c>
      <c r="C5381" s="2">
        <v>37336</v>
      </c>
      <c r="D5381">
        <v>23</v>
      </c>
      <c r="E5381" t="s">
        <v>42</v>
      </c>
      <c r="F5381" t="s">
        <v>50</v>
      </c>
      <c r="G5381" s="2">
        <v>45333</v>
      </c>
      <c r="H5381" s="3">
        <f t="shared" si="84"/>
        <v>1.5232876712328767</v>
      </c>
      <c r="I5381">
        <v>54</v>
      </c>
      <c r="J5381" t="s">
        <v>38</v>
      </c>
      <c r="K5381" t="s">
        <v>56</v>
      </c>
      <c r="L5381" t="s">
        <v>44</v>
      </c>
      <c r="M5381">
        <v>8.4700000000000006</v>
      </c>
      <c r="T5381" t="s">
        <v>49</v>
      </c>
      <c r="U5381">
        <v>1</v>
      </c>
      <c r="V5381">
        <v>7</v>
      </c>
    </row>
    <row r="5382" spans="1:22" x14ac:dyDescent="0.3">
      <c r="A5382">
        <v>5381</v>
      </c>
      <c r="B5382">
        <v>55905</v>
      </c>
      <c r="C5382" s="2">
        <v>34695</v>
      </c>
      <c r="D5382">
        <v>31</v>
      </c>
      <c r="E5382" t="s">
        <v>42</v>
      </c>
      <c r="F5382" t="s">
        <v>50</v>
      </c>
      <c r="G5382" s="2">
        <v>45466</v>
      </c>
      <c r="H5382" s="3">
        <f t="shared" si="84"/>
        <v>1.1917808219178083</v>
      </c>
      <c r="I5382">
        <v>54</v>
      </c>
      <c r="J5382" t="s">
        <v>38</v>
      </c>
      <c r="K5382" t="s">
        <v>56</v>
      </c>
      <c r="L5382" t="s">
        <v>44</v>
      </c>
      <c r="M5382">
        <v>8.4700000000000006</v>
      </c>
      <c r="T5382" t="s">
        <v>52</v>
      </c>
      <c r="U5382">
        <v>2</v>
      </c>
      <c r="V5382">
        <v>7</v>
      </c>
    </row>
    <row r="5383" spans="1:22" x14ac:dyDescent="0.3">
      <c r="A5383">
        <v>5382</v>
      </c>
      <c r="B5383">
        <v>55906</v>
      </c>
      <c r="C5383" s="2">
        <v>37435</v>
      </c>
      <c r="D5383">
        <v>23</v>
      </c>
      <c r="E5383" t="s">
        <v>42</v>
      </c>
      <c r="F5383" t="s">
        <v>50</v>
      </c>
      <c r="G5383" s="2">
        <v>45587</v>
      </c>
      <c r="H5383" s="3">
        <f t="shared" si="84"/>
        <v>1.7698630136986302</v>
      </c>
      <c r="I5383">
        <v>54</v>
      </c>
      <c r="J5383" t="s">
        <v>38</v>
      </c>
      <c r="K5383" t="s">
        <v>56</v>
      </c>
      <c r="L5383" t="s">
        <v>44</v>
      </c>
      <c r="M5383">
        <v>8.4700000000000006</v>
      </c>
      <c r="T5383" t="s">
        <v>52</v>
      </c>
      <c r="U5383">
        <v>2</v>
      </c>
      <c r="V5383">
        <v>6</v>
      </c>
    </row>
    <row r="5384" spans="1:22" x14ac:dyDescent="0.3">
      <c r="A5384">
        <v>5383</v>
      </c>
      <c r="B5384">
        <v>55907</v>
      </c>
      <c r="C5384" s="2">
        <v>37528</v>
      </c>
      <c r="D5384">
        <v>23</v>
      </c>
      <c r="E5384" t="s">
        <v>42</v>
      </c>
      <c r="F5384" t="s">
        <v>50</v>
      </c>
      <c r="G5384" s="2">
        <v>45376</v>
      </c>
      <c r="H5384" s="3">
        <f t="shared" si="84"/>
        <v>1.3260273972602741</v>
      </c>
      <c r="I5384">
        <v>54</v>
      </c>
      <c r="J5384" t="s">
        <v>38</v>
      </c>
      <c r="K5384" t="s">
        <v>56</v>
      </c>
      <c r="L5384" t="s">
        <v>44</v>
      </c>
      <c r="M5384">
        <v>8.4700000000000006</v>
      </c>
      <c r="T5384" t="s">
        <v>47</v>
      </c>
      <c r="U5384">
        <v>3</v>
      </c>
      <c r="V5384">
        <v>7</v>
      </c>
    </row>
    <row r="5385" spans="1:22" x14ac:dyDescent="0.3">
      <c r="A5385">
        <v>5384</v>
      </c>
      <c r="B5385">
        <v>55908</v>
      </c>
      <c r="C5385" s="2">
        <v>37835</v>
      </c>
      <c r="D5385">
        <v>22</v>
      </c>
      <c r="E5385" t="s">
        <v>42</v>
      </c>
      <c r="F5385" t="s">
        <v>37</v>
      </c>
      <c r="G5385" s="2">
        <v>45538</v>
      </c>
      <c r="H5385" s="3">
        <f t="shared" si="84"/>
        <v>1.4958904109589042</v>
      </c>
      <c r="I5385">
        <v>54</v>
      </c>
      <c r="J5385" t="s">
        <v>38</v>
      </c>
      <c r="K5385" t="s">
        <v>56</v>
      </c>
      <c r="L5385" t="s">
        <v>44</v>
      </c>
      <c r="M5385">
        <v>8.4700000000000006</v>
      </c>
      <c r="T5385" t="s">
        <v>52</v>
      </c>
      <c r="U5385">
        <v>2</v>
      </c>
      <c r="V5385">
        <v>5</v>
      </c>
    </row>
    <row r="5386" spans="1:22" x14ac:dyDescent="0.3">
      <c r="A5386">
        <v>5385</v>
      </c>
      <c r="B5386">
        <v>55909</v>
      </c>
      <c r="C5386" s="2">
        <v>37802</v>
      </c>
      <c r="D5386">
        <v>22</v>
      </c>
      <c r="E5386" t="s">
        <v>42</v>
      </c>
      <c r="F5386" t="s">
        <v>50</v>
      </c>
      <c r="G5386" s="2">
        <v>45476</v>
      </c>
      <c r="H5386" s="3">
        <f t="shared" si="84"/>
        <v>1.473972602739726</v>
      </c>
      <c r="I5386">
        <v>54</v>
      </c>
      <c r="J5386" t="s">
        <v>38</v>
      </c>
      <c r="K5386" t="s">
        <v>56</v>
      </c>
      <c r="L5386" t="s">
        <v>44</v>
      </c>
      <c r="M5386">
        <v>8.4700000000000006</v>
      </c>
      <c r="T5386" t="s">
        <v>52</v>
      </c>
      <c r="U5386">
        <v>3</v>
      </c>
      <c r="V5386">
        <v>6</v>
      </c>
    </row>
    <row r="5387" spans="1:22" x14ac:dyDescent="0.3">
      <c r="A5387">
        <v>5386</v>
      </c>
      <c r="B5387">
        <v>55910</v>
      </c>
      <c r="C5387" s="2">
        <v>35427</v>
      </c>
      <c r="D5387">
        <v>29</v>
      </c>
      <c r="E5387" t="s">
        <v>42</v>
      </c>
      <c r="F5387" t="s">
        <v>37</v>
      </c>
      <c r="G5387" s="2">
        <v>45484</v>
      </c>
      <c r="H5387" s="3">
        <f t="shared" si="84"/>
        <v>1.7506849315068493</v>
      </c>
      <c r="I5387">
        <v>54</v>
      </c>
      <c r="J5387" t="s">
        <v>38</v>
      </c>
      <c r="K5387" t="s">
        <v>56</v>
      </c>
      <c r="L5387" t="s">
        <v>44</v>
      </c>
      <c r="M5387">
        <v>8.4700000000000006</v>
      </c>
      <c r="T5387" t="s">
        <v>45</v>
      </c>
      <c r="U5387">
        <v>2</v>
      </c>
      <c r="V5387">
        <v>7</v>
      </c>
    </row>
    <row r="5388" spans="1:22" x14ac:dyDescent="0.3">
      <c r="A5388">
        <v>5387</v>
      </c>
      <c r="B5388">
        <v>55911</v>
      </c>
      <c r="C5388" s="2">
        <v>36758</v>
      </c>
      <c r="D5388">
        <v>25</v>
      </c>
      <c r="E5388" t="s">
        <v>42</v>
      </c>
      <c r="F5388" t="s">
        <v>50</v>
      </c>
      <c r="G5388" s="2">
        <v>45383</v>
      </c>
      <c r="H5388" s="3">
        <f t="shared" si="84"/>
        <v>1.6684931506849314</v>
      </c>
      <c r="I5388">
        <v>55</v>
      </c>
      <c r="J5388" t="s">
        <v>38</v>
      </c>
      <c r="K5388" t="s">
        <v>68</v>
      </c>
      <c r="L5388" t="s">
        <v>44</v>
      </c>
      <c r="M5388">
        <v>17</v>
      </c>
      <c r="T5388" t="s">
        <v>52</v>
      </c>
      <c r="U5388">
        <v>3</v>
      </c>
      <c r="V5388">
        <v>7</v>
      </c>
    </row>
    <row r="5389" spans="1:22" x14ac:dyDescent="0.3">
      <c r="A5389">
        <v>5388</v>
      </c>
      <c r="B5389">
        <v>55912</v>
      </c>
      <c r="C5389" s="2">
        <v>37486</v>
      </c>
      <c r="D5389">
        <v>23</v>
      </c>
      <c r="E5389" t="s">
        <v>42</v>
      </c>
      <c r="F5389" t="s">
        <v>50</v>
      </c>
      <c r="G5389" s="2">
        <v>45413</v>
      </c>
      <c r="H5389" s="3">
        <f t="shared" si="84"/>
        <v>1.5013698630136987</v>
      </c>
      <c r="I5389">
        <v>55</v>
      </c>
      <c r="J5389" t="s">
        <v>38</v>
      </c>
      <c r="K5389" t="s">
        <v>68</v>
      </c>
      <c r="L5389" t="s">
        <v>44</v>
      </c>
      <c r="M5389">
        <v>17</v>
      </c>
      <c r="T5389" t="s">
        <v>52</v>
      </c>
      <c r="U5389">
        <v>2</v>
      </c>
      <c r="V5389">
        <v>6</v>
      </c>
    </row>
    <row r="5390" spans="1:22" x14ac:dyDescent="0.3">
      <c r="A5390">
        <v>5389</v>
      </c>
      <c r="B5390">
        <v>55913</v>
      </c>
      <c r="C5390" s="2">
        <v>37383</v>
      </c>
      <c r="D5390">
        <v>23</v>
      </c>
      <c r="E5390" t="s">
        <v>36</v>
      </c>
      <c r="F5390" t="s">
        <v>37</v>
      </c>
      <c r="G5390" s="2">
        <v>45474</v>
      </c>
      <c r="H5390" s="3">
        <f t="shared" si="84"/>
        <v>1.7452054794520548</v>
      </c>
      <c r="I5390">
        <v>55</v>
      </c>
      <c r="J5390" t="s">
        <v>38</v>
      </c>
      <c r="K5390" t="s">
        <v>68</v>
      </c>
      <c r="L5390" t="s">
        <v>44</v>
      </c>
      <c r="M5390">
        <v>17</v>
      </c>
      <c r="T5390" t="s">
        <v>52</v>
      </c>
      <c r="U5390">
        <v>2</v>
      </c>
      <c r="V5390">
        <v>4</v>
      </c>
    </row>
    <row r="5391" spans="1:22" x14ac:dyDescent="0.3">
      <c r="A5391">
        <v>5390</v>
      </c>
      <c r="B5391">
        <v>55914</v>
      </c>
      <c r="C5391" s="2">
        <v>37905</v>
      </c>
      <c r="D5391">
        <v>22</v>
      </c>
      <c r="E5391" t="s">
        <v>36</v>
      </c>
      <c r="F5391" t="s">
        <v>50</v>
      </c>
      <c r="G5391" s="2">
        <v>45385</v>
      </c>
      <c r="H5391" s="3">
        <f t="shared" si="84"/>
        <v>1.6684931506849314</v>
      </c>
      <c r="I5391">
        <v>55</v>
      </c>
      <c r="J5391" t="s">
        <v>38</v>
      </c>
      <c r="K5391" t="s">
        <v>65</v>
      </c>
      <c r="L5391" t="s">
        <v>44</v>
      </c>
      <c r="M5391">
        <v>10.64</v>
      </c>
      <c r="T5391" t="s">
        <v>52</v>
      </c>
      <c r="U5391">
        <v>0</v>
      </c>
      <c r="V5391">
        <v>5</v>
      </c>
    </row>
    <row r="5392" spans="1:22" x14ac:dyDescent="0.3">
      <c r="A5392">
        <v>5391</v>
      </c>
      <c r="B5392">
        <v>55915</v>
      </c>
      <c r="C5392" s="2">
        <v>37483</v>
      </c>
      <c r="D5392">
        <v>23</v>
      </c>
      <c r="E5392" t="s">
        <v>36</v>
      </c>
      <c r="F5392" t="s">
        <v>50</v>
      </c>
      <c r="G5392" s="2">
        <v>45413</v>
      </c>
      <c r="H5392" s="3">
        <f t="shared" si="84"/>
        <v>1.3863013698630138</v>
      </c>
      <c r="I5392">
        <v>55</v>
      </c>
      <c r="J5392" t="s">
        <v>38</v>
      </c>
      <c r="K5392" t="s">
        <v>65</v>
      </c>
      <c r="L5392" t="s">
        <v>44</v>
      </c>
      <c r="M5392">
        <v>10.64</v>
      </c>
      <c r="T5392" t="s">
        <v>47</v>
      </c>
      <c r="U5392">
        <v>0</v>
      </c>
      <c r="V5392">
        <v>3</v>
      </c>
    </row>
    <row r="5393" spans="1:22" x14ac:dyDescent="0.3">
      <c r="A5393">
        <v>5392</v>
      </c>
      <c r="B5393">
        <v>55916</v>
      </c>
      <c r="C5393" s="2">
        <v>37838</v>
      </c>
      <c r="D5393">
        <v>22</v>
      </c>
      <c r="E5393" t="s">
        <v>36</v>
      </c>
      <c r="F5393" t="s">
        <v>50</v>
      </c>
      <c r="G5393" s="2">
        <v>45516</v>
      </c>
      <c r="H5393" s="3">
        <f t="shared" si="84"/>
        <v>1.7123287671232876</v>
      </c>
      <c r="I5393">
        <v>55</v>
      </c>
      <c r="J5393" t="s">
        <v>38</v>
      </c>
      <c r="K5393" t="s">
        <v>64</v>
      </c>
      <c r="L5393" t="s">
        <v>44</v>
      </c>
      <c r="M5393">
        <v>14.07</v>
      </c>
      <c r="T5393" t="s">
        <v>45</v>
      </c>
      <c r="U5393">
        <v>0</v>
      </c>
      <c r="V5393">
        <v>3</v>
      </c>
    </row>
    <row r="5394" spans="1:22" x14ac:dyDescent="0.3">
      <c r="A5394">
        <v>5393</v>
      </c>
      <c r="B5394">
        <v>55917</v>
      </c>
      <c r="C5394" s="2">
        <v>38759</v>
      </c>
      <c r="D5394">
        <v>19</v>
      </c>
      <c r="E5394" t="s">
        <v>42</v>
      </c>
      <c r="F5394" t="s">
        <v>50</v>
      </c>
      <c r="G5394" s="2">
        <v>45397</v>
      </c>
      <c r="H5394" s="3">
        <f t="shared" si="84"/>
        <v>1.4164383561643836</v>
      </c>
      <c r="I5394">
        <v>55</v>
      </c>
      <c r="J5394" t="s">
        <v>38</v>
      </c>
      <c r="K5394" t="s">
        <v>48</v>
      </c>
      <c r="L5394" t="s">
        <v>44</v>
      </c>
      <c r="M5394">
        <v>8.4700000000000006</v>
      </c>
      <c r="T5394" t="s">
        <v>45</v>
      </c>
      <c r="U5394">
        <v>1</v>
      </c>
      <c r="V5394">
        <v>6</v>
      </c>
    </row>
    <row r="5395" spans="1:22" x14ac:dyDescent="0.3">
      <c r="A5395">
        <v>5394</v>
      </c>
      <c r="B5395">
        <v>55918</v>
      </c>
      <c r="C5395" s="2">
        <v>39418</v>
      </c>
      <c r="D5395">
        <v>18</v>
      </c>
      <c r="E5395" t="s">
        <v>42</v>
      </c>
      <c r="F5395" t="s">
        <v>37</v>
      </c>
      <c r="G5395" s="2">
        <v>45505</v>
      </c>
      <c r="H5395" s="3">
        <f t="shared" si="84"/>
        <v>1.178082191780822</v>
      </c>
      <c r="I5395">
        <v>55</v>
      </c>
      <c r="J5395" t="s">
        <v>38</v>
      </c>
      <c r="K5395" t="s">
        <v>56</v>
      </c>
      <c r="L5395" t="s">
        <v>44</v>
      </c>
      <c r="M5395">
        <v>8.4700000000000006</v>
      </c>
      <c r="T5395" t="s">
        <v>49</v>
      </c>
      <c r="U5395">
        <v>1</v>
      </c>
      <c r="V5395">
        <v>5</v>
      </c>
    </row>
    <row r="5396" spans="1:22" x14ac:dyDescent="0.3">
      <c r="A5396">
        <v>5395</v>
      </c>
      <c r="B5396">
        <v>55919</v>
      </c>
      <c r="C5396" s="2">
        <v>38052</v>
      </c>
      <c r="D5396">
        <v>21</v>
      </c>
      <c r="E5396" t="s">
        <v>42</v>
      </c>
      <c r="F5396" t="s">
        <v>50</v>
      </c>
      <c r="G5396" s="2">
        <v>45592</v>
      </c>
      <c r="H5396" s="3">
        <f t="shared" si="84"/>
        <v>1.6438356164383561</v>
      </c>
      <c r="I5396">
        <v>55</v>
      </c>
      <c r="J5396" t="s">
        <v>38</v>
      </c>
      <c r="K5396" t="s">
        <v>56</v>
      </c>
      <c r="L5396" t="s">
        <v>44</v>
      </c>
      <c r="M5396">
        <v>8.4700000000000006</v>
      </c>
      <c r="T5396" t="s">
        <v>49</v>
      </c>
      <c r="U5396">
        <v>3</v>
      </c>
      <c r="V5396">
        <v>6</v>
      </c>
    </row>
    <row r="5397" spans="1:22" x14ac:dyDescent="0.3">
      <c r="A5397">
        <v>5396</v>
      </c>
      <c r="B5397">
        <v>55920</v>
      </c>
      <c r="C5397" s="2">
        <v>39386</v>
      </c>
      <c r="D5397">
        <v>18</v>
      </c>
      <c r="E5397" t="s">
        <v>42</v>
      </c>
      <c r="F5397" t="s">
        <v>50</v>
      </c>
      <c r="G5397" s="2">
        <v>45422</v>
      </c>
      <c r="H5397" s="3">
        <f t="shared" si="84"/>
        <v>1.7013698630136986</v>
      </c>
      <c r="I5397">
        <v>55</v>
      </c>
      <c r="J5397" t="s">
        <v>38</v>
      </c>
      <c r="K5397" t="s">
        <v>56</v>
      </c>
      <c r="L5397" t="s">
        <v>44</v>
      </c>
      <c r="M5397">
        <v>8.4700000000000006</v>
      </c>
      <c r="T5397" t="s">
        <v>47</v>
      </c>
      <c r="U5397">
        <v>2</v>
      </c>
      <c r="V5397">
        <v>6</v>
      </c>
    </row>
    <row r="5398" spans="1:22" x14ac:dyDescent="0.3">
      <c r="A5398">
        <v>5397</v>
      </c>
      <c r="B5398">
        <v>55921</v>
      </c>
      <c r="C5398" s="2">
        <v>39209</v>
      </c>
      <c r="D5398">
        <v>18</v>
      </c>
      <c r="E5398" t="s">
        <v>42</v>
      </c>
      <c r="F5398" t="s">
        <v>50</v>
      </c>
      <c r="G5398" s="2">
        <v>45401</v>
      </c>
      <c r="H5398" s="3">
        <f t="shared" si="84"/>
        <v>1.2575342465753425</v>
      </c>
      <c r="I5398">
        <v>55</v>
      </c>
      <c r="J5398" t="s">
        <v>38</v>
      </c>
      <c r="K5398" t="s">
        <v>56</v>
      </c>
      <c r="L5398" t="s">
        <v>44</v>
      </c>
      <c r="M5398">
        <v>8.4700000000000006</v>
      </c>
      <c r="T5398" t="s">
        <v>47</v>
      </c>
      <c r="U5398">
        <v>2</v>
      </c>
      <c r="V5398">
        <v>7</v>
      </c>
    </row>
    <row r="5399" spans="1:22" x14ac:dyDescent="0.3">
      <c r="A5399">
        <v>5398</v>
      </c>
      <c r="B5399">
        <v>55922</v>
      </c>
      <c r="C5399" s="2">
        <v>39076</v>
      </c>
      <c r="D5399">
        <v>19</v>
      </c>
      <c r="E5399" t="s">
        <v>42</v>
      </c>
      <c r="F5399" t="s">
        <v>50</v>
      </c>
      <c r="G5399" s="2">
        <v>45563</v>
      </c>
      <c r="H5399" s="3">
        <f t="shared" si="84"/>
        <v>1.2082191780821918</v>
      </c>
      <c r="I5399">
        <v>55</v>
      </c>
      <c r="J5399" t="s">
        <v>38</v>
      </c>
      <c r="K5399" t="s">
        <v>56</v>
      </c>
      <c r="L5399" t="s">
        <v>44</v>
      </c>
      <c r="M5399">
        <v>8.4700000000000006</v>
      </c>
      <c r="T5399" t="s">
        <v>52</v>
      </c>
      <c r="U5399">
        <v>1</v>
      </c>
      <c r="V5399">
        <v>5</v>
      </c>
    </row>
    <row r="5400" spans="1:22" x14ac:dyDescent="0.3">
      <c r="A5400">
        <v>5399</v>
      </c>
      <c r="B5400">
        <v>55923</v>
      </c>
      <c r="C5400" s="2">
        <v>36133</v>
      </c>
      <c r="D5400">
        <v>27</v>
      </c>
      <c r="E5400" t="s">
        <v>42</v>
      </c>
      <c r="F5400" t="s">
        <v>50</v>
      </c>
      <c r="G5400" s="2">
        <v>45581</v>
      </c>
      <c r="H5400" s="3">
        <f t="shared" si="84"/>
        <v>1.1123287671232878</v>
      </c>
      <c r="I5400">
        <v>55</v>
      </c>
      <c r="J5400" t="s">
        <v>38</v>
      </c>
      <c r="K5400" t="s">
        <v>56</v>
      </c>
      <c r="L5400" t="s">
        <v>44</v>
      </c>
      <c r="M5400">
        <v>8.4700000000000006</v>
      </c>
      <c r="T5400" t="s">
        <v>52</v>
      </c>
      <c r="U5400">
        <v>0</v>
      </c>
      <c r="V5400">
        <v>6</v>
      </c>
    </row>
    <row r="5401" spans="1:22" x14ac:dyDescent="0.3">
      <c r="A5401">
        <v>5400</v>
      </c>
      <c r="B5401">
        <v>55924</v>
      </c>
      <c r="C5401" s="2">
        <v>38872</v>
      </c>
      <c r="D5401">
        <v>19</v>
      </c>
      <c r="E5401" t="s">
        <v>42</v>
      </c>
      <c r="F5401" t="s">
        <v>50</v>
      </c>
      <c r="G5401" s="2">
        <v>45616</v>
      </c>
      <c r="H5401" s="3">
        <f t="shared" si="84"/>
        <v>1.5561643835616439</v>
      </c>
      <c r="I5401">
        <v>55</v>
      </c>
      <c r="J5401" t="s">
        <v>38</v>
      </c>
      <c r="K5401" t="s">
        <v>56</v>
      </c>
      <c r="L5401" t="s">
        <v>44</v>
      </c>
      <c r="M5401">
        <v>8.4700000000000006</v>
      </c>
      <c r="T5401" t="s">
        <v>49</v>
      </c>
      <c r="U5401">
        <v>2</v>
      </c>
      <c r="V5401">
        <v>5</v>
      </c>
    </row>
    <row r="5402" spans="1:22" x14ac:dyDescent="0.3">
      <c r="A5402">
        <v>5401</v>
      </c>
      <c r="B5402">
        <v>55925</v>
      </c>
      <c r="C5402" s="2">
        <v>37735</v>
      </c>
      <c r="D5402">
        <v>22</v>
      </c>
      <c r="E5402" t="s">
        <v>42</v>
      </c>
      <c r="F5402" t="s">
        <v>37</v>
      </c>
      <c r="G5402" s="2">
        <v>45454</v>
      </c>
      <c r="H5402" s="3">
        <f t="shared" si="84"/>
        <v>1.3945205479452054</v>
      </c>
      <c r="I5402">
        <v>55</v>
      </c>
      <c r="J5402" t="s">
        <v>38</v>
      </c>
      <c r="K5402" t="s">
        <v>56</v>
      </c>
      <c r="L5402" t="s">
        <v>44</v>
      </c>
      <c r="M5402">
        <v>8.4700000000000006</v>
      </c>
      <c r="T5402" t="s">
        <v>45</v>
      </c>
      <c r="U5402">
        <v>3</v>
      </c>
      <c r="V5402">
        <v>7</v>
      </c>
    </row>
    <row r="5403" spans="1:22" x14ac:dyDescent="0.3">
      <c r="A5403">
        <v>5402</v>
      </c>
      <c r="B5403">
        <v>55926</v>
      </c>
      <c r="C5403" s="2">
        <v>37929</v>
      </c>
      <c r="D5403">
        <v>22</v>
      </c>
      <c r="E5403" t="s">
        <v>42</v>
      </c>
      <c r="F5403" t="s">
        <v>50</v>
      </c>
      <c r="G5403" s="2">
        <v>45513</v>
      </c>
      <c r="H5403" s="3">
        <f t="shared" si="84"/>
        <v>1.4931506849315068</v>
      </c>
      <c r="I5403">
        <v>55</v>
      </c>
      <c r="J5403" t="s">
        <v>38</v>
      </c>
      <c r="K5403" t="s">
        <v>56</v>
      </c>
      <c r="L5403" t="s">
        <v>44</v>
      </c>
      <c r="M5403">
        <v>8.4700000000000006</v>
      </c>
      <c r="T5403" t="s">
        <v>52</v>
      </c>
      <c r="U5403">
        <v>0</v>
      </c>
      <c r="V5403">
        <v>6</v>
      </c>
    </row>
    <row r="5404" spans="1:22" x14ac:dyDescent="0.3">
      <c r="A5404">
        <v>5403</v>
      </c>
      <c r="B5404">
        <v>55927</v>
      </c>
      <c r="C5404" s="2">
        <v>38958</v>
      </c>
      <c r="D5404">
        <v>19</v>
      </c>
      <c r="E5404" t="s">
        <v>42</v>
      </c>
      <c r="F5404" t="s">
        <v>37</v>
      </c>
      <c r="G5404" s="2">
        <v>45477</v>
      </c>
      <c r="H5404" s="3">
        <f t="shared" si="84"/>
        <v>1.3753424657534246</v>
      </c>
      <c r="I5404">
        <v>55</v>
      </c>
      <c r="J5404" t="s">
        <v>38</v>
      </c>
      <c r="K5404" t="s">
        <v>56</v>
      </c>
      <c r="L5404" t="s">
        <v>44</v>
      </c>
      <c r="M5404">
        <v>8.4700000000000006</v>
      </c>
      <c r="T5404" t="s">
        <v>45</v>
      </c>
      <c r="U5404">
        <v>2</v>
      </c>
      <c r="V5404">
        <v>5</v>
      </c>
    </row>
    <row r="5405" spans="1:22" x14ac:dyDescent="0.3">
      <c r="A5405">
        <v>5404</v>
      </c>
      <c r="B5405">
        <v>55928</v>
      </c>
      <c r="C5405" s="2">
        <v>36813</v>
      </c>
      <c r="D5405">
        <v>25</v>
      </c>
      <c r="E5405" t="s">
        <v>42</v>
      </c>
      <c r="F5405" t="s">
        <v>50</v>
      </c>
      <c r="G5405" s="2">
        <v>45520</v>
      </c>
      <c r="H5405" s="3">
        <f t="shared" si="84"/>
        <v>1.3178082191780822</v>
      </c>
      <c r="I5405">
        <v>55</v>
      </c>
      <c r="J5405" t="s">
        <v>38</v>
      </c>
      <c r="K5405" t="s">
        <v>56</v>
      </c>
      <c r="L5405" t="s">
        <v>44</v>
      </c>
      <c r="M5405">
        <v>8.4700000000000006</v>
      </c>
      <c r="T5405" t="s">
        <v>47</v>
      </c>
      <c r="U5405">
        <v>4</v>
      </c>
      <c r="V5405">
        <v>6</v>
      </c>
    </row>
    <row r="5406" spans="1:22" x14ac:dyDescent="0.3">
      <c r="A5406">
        <v>5405</v>
      </c>
      <c r="B5406">
        <v>55929</v>
      </c>
      <c r="C5406" s="2">
        <v>37688</v>
      </c>
      <c r="D5406">
        <v>22</v>
      </c>
      <c r="E5406" t="s">
        <v>42</v>
      </c>
      <c r="F5406" t="s">
        <v>50</v>
      </c>
      <c r="G5406" s="2">
        <v>45541</v>
      </c>
      <c r="H5406" s="3">
        <f t="shared" si="84"/>
        <v>1.0630136986301371</v>
      </c>
      <c r="I5406">
        <v>55</v>
      </c>
      <c r="J5406" t="s">
        <v>38</v>
      </c>
      <c r="K5406" t="s">
        <v>56</v>
      </c>
      <c r="L5406" t="s">
        <v>44</v>
      </c>
      <c r="M5406">
        <v>8.4700000000000006</v>
      </c>
      <c r="T5406" t="s">
        <v>52</v>
      </c>
      <c r="U5406">
        <v>1</v>
      </c>
      <c r="V5406">
        <v>5</v>
      </c>
    </row>
    <row r="5407" spans="1:22" x14ac:dyDescent="0.3">
      <c r="A5407">
        <v>5406</v>
      </c>
      <c r="B5407">
        <v>55930</v>
      </c>
      <c r="C5407" s="2">
        <v>36016</v>
      </c>
      <c r="D5407">
        <v>27</v>
      </c>
      <c r="E5407" t="s">
        <v>42</v>
      </c>
      <c r="F5407" t="s">
        <v>37</v>
      </c>
      <c r="G5407" s="2">
        <v>45634</v>
      </c>
      <c r="H5407" s="3">
        <f t="shared" si="84"/>
        <v>1.2054794520547945</v>
      </c>
      <c r="I5407">
        <v>55</v>
      </c>
      <c r="J5407" t="s">
        <v>38</v>
      </c>
      <c r="K5407" t="s">
        <v>56</v>
      </c>
      <c r="L5407" t="s">
        <v>44</v>
      </c>
      <c r="M5407">
        <v>8.4700000000000006</v>
      </c>
      <c r="T5407" t="s">
        <v>45</v>
      </c>
      <c r="U5407">
        <v>2</v>
      </c>
      <c r="V5407">
        <v>7</v>
      </c>
    </row>
    <row r="5408" spans="1:22" x14ac:dyDescent="0.3">
      <c r="A5408">
        <v>5407</v>
      </c>
      <c r="B5408">
        <v>55931</v>
      </c>
      <c r="C5408" s="2">
        <v>36888</v>
      </c>
      <c r="D5408">
        <v>25</v>
      </c>
      <c r="E5408" t="s">
        <v>42</v>
      </c>
      <c r="F5408" t="s">
        <v>37</v>
      </c>
      <c r="G5408" s="2">
        <v>45582</v>
      </c>
      <c r="H5408" s="3">
        <f t="shared" si="84"/>
        <v>1.5561643835616439</v>
      </c>
      <c r="I5408">
        <v>55</v>
      </c>
      <c r="J5408" t="s">
        <v>38</v>
      </c>
      <c r="K5408" t="s">
        <v>56</v>
      </c>
      <c r="L5408" t="s">
        <v>44</v>
      </c>
      <c r="M5408">
        <v>8.4700000000000006</v>
      </c>
      <c r="T5408" t="s">
        <v>47</v>
      </c>
      <c r="U5408">
        <v>1</v>
      </c>
      <c r="V5408">
        <v>5</v>
      </c>
    </row>
    <row r="5409" spans="1:22" x14ac:dyDescent="0.3">
      <c r="A5409">
        <v>5408</v>
      </c>
      <c r="B5409">
        <v>55932</v>
      </c>
      <c r="C5409" s="2">
        <v>37785</v>
      </c>
      <c r="D5409">
        <v>22</v>
      </c>
      <c r="E5409" t="s">
        <v>42</v>
      </c>
      <c r="F5409" t="s">
        <v>37</v>
      </c>
      <c r="G5409" s="2">
        <v>45454</v>
      </c>
      <c r="H5409" s="3">
        <f t="shared" si="84"/>
        <v>1.1287671232876713</v>
      </c>
      <c r="I5409">
        <v>55</v>
      </c>
      <c r="J5409" t="s">
        <v>38</v>
      </c>
      <c r="K5409" t="s">
        <v>56</v>
      </c>
      <c r="L5409" t="s">
        <v>44</v>
      </c>
      <c r="M5409">
        <v>8.4700000000000006</v>
      </c>
      <c r="T5409" t="s">
        <v>47</v>
      </c>
      <c r="U5409">
        <v>1</v>
      </c>
      <c r="V5409">
        <v>6</v>
      </c>
    </row>
    <row r="5410" spans="1:22" x14ac:dyDescent="0.3">
      <c r="A5410">
        <v>5409</v>
      </c>
      <c r="B5410">
        <v>55933</v>
      </c>
      <c r="C5410" s="2">
        <v>39228</v>
      </c>
      <c r="D5410">
        <v>18</v>
      </c>
      <c r="E5410" t="s">
        <v>36</v>
      </c>
      <c r="F5410" t="s">
        <v>50</v>
      </c>
      <c r="G5410" s="2">
        <v>45610</v>
      </c>
      <c r="H5410" s="3">
        <f t="shared" si="84"/>
        <v>1.4575342465753425</v>
      </c>
      <c r="I5410">
        <v>55</v>
      </c>
      <c r="J5410" t="s">
        <v>38</v>
      </c>
      <c r="K5410" t="s">
        <v>56</v>
      </c>
      <c r="L5410" t="s">
        <v>44</v>
      </c>
      <c r="M5410">
        <v>8.4700000000000006</v>
      </c>
      <c r="T5410" t="s">
        <v>52</v>
      </c>
      <c r="U5410">
        <v>4</v>
      </c>
      <c r="V5410">
        <v>5</v>
      </c>
    </row>
    <row r="5411" spans="1:22" x14ac:dyDescent="0.3">
      <c r="A5411">
        <v>5410</v>
      </c>
      <c r="B5411">
        <v>55934</v>
      </c>
      <c r="C5411" s="2">
        <v>37591</v>
      </c>
      <c r="D5411">
        <v>24</v>
      </c>
      <c r="E5411" t="s">
        <v>42</v>
      </c>
      <c r="F5411" t="s">
        <v>37</v>
      </c>
      <c r="G5411" s="2">
        <v>45490</v>
      </c>
      <c r="H5411" s="3">
        <f t="shared" si="84"/>
        <v>1.3863013698630138</v>
      </c>
      <c r="I5411">
        <v>55</v>
      </c>
      <c r="J5411" t="s">
        <v>38</v>
      </c>
      <c r="K5411" t="s">
        <v>56</v>
      </c>
      <c r="L5411" t="s">
        <v>44</v>
      </c>
      <c r="M5411">
        <v>8.4700000000000006</v>
      </c>
      <c r="T5411" t="s">
        <v>45</v>
      </c>
      <c r="U5411">
        <v>2</v>
      </c>
      <c r="V5411">
        <v>6</v>
      </c>
    </row>
    <row r="5412" spans="1:22" x14ac:dyDescent="0.3">
      <c r="A5412">
        <v>5411</v>
      </c>
      <c r="B5412">
        <v>55936</v>
      </c>
      <c r="C5412" s="2">
        <v>37634</v>
      </c>
      <c r="D5412">
        <v>22</v>
      </c>
      <c r="E5412" t="s">
        <v>42</v>
      </c>
      <c r="F5412" t="s">
        <v>50</v>
      </c>
      <c r="G5412" s="2">
        <v>45516</v>
      </c>
      <c r="H5412" s="3">
        <f t="shared" si="84"/>
        <v>1.5808219178082192</v>
      </c>
      <c r="I5412">
        <v>55</v>
      </c>
      <c r="J5412" t="s">
        <v>38</v>
      </c>
      <c r="K5412" t="s">
        <v>56</v>
      </c>
      <c r="L5412" t="s">
        <v>44</v>
      </c>
      <c r="M5412">
        <v>8.4700000000000006</v>
      </c>
      <c r="T5412" t="s">
        <v>52</v>
      </c>
      <c r="U5412">
        <v>1</v>
      </c>
      <c r="V5412">
        <v>5</v>
      </c>
    </row>
    <row r="5413" spans="1:22" x14ac:dyDescent="0.3">
      <c r="A5413">
        <v>5412</v>
      </c>
      <c r="B5413">
        <v>55937</v>
      </c>
      <c r="C5413" s="2">
        <v>37591</v>
      </c>
      <c r="D5413">
        <v>24</v>
      </c>
      <c r="E5413" t="s">
        <v>42</v>
      </c>
      <c r="F5413" t="s">
        <v>50</v>
      </c>
      <c r="G5413" s="2">
        <v>45445</v>
      </c>
      <c r="H5413" s="3">
        <f t="shared" si="84"/>
        <v>1.7753424657534247</v>
      </c>
      <c r="I5413">
        <v>56</v>
      </c>
      <c r="J5413" t="s">
        <v>38</v>
      </c>
      <c r="K5413" t="s">
        <v>65</v>
      </c>
      <c r="L5413" t="s">
        <v>44</v>
      </c>
      <c r="M5413">
        <v>10.64</v>
      </c>
      <c r="T5413" t="s">
        <v>49</v>
      </c>
      <c r="U5413">
        <v>0</v>
      </c>
      <c r="V5413">
        <v>7</v>
      </c>
    </row>
    <row r="5414" spans="1:22" x14ac:dyDescent="0.3">
      <c r="A5414">
        <v>5413</v>
      </c>
      <c r="B5414">
        <v>55938</v>
      </c>
      <c r="C5414" s="2">
        <v>38150</v>
      </c>
      <c r="D5414">
        <v>21</v>
      </c>
      <c r="E5414" t="s">
        <v>42</v>
      </c>
      <c r="F5414" t="s">
        <v>37</v>
      </c>
      <c r="G5414" s="2">
        <v>45374</v>
      </c>
      <c r="H5414" s="3">
        <f t="shared" si="84"/>
        <v>1.0438356164383562</v>
      </c>
      <c r="I5414">
        <v>56</v>
      </c>
      <c r="J5414" t="s">
        <v>38</v>
      </c>
      <c r="K5414" t="s">
        <v>56</v>
      </c>
      <c r="L5414" t="s">
        <v>44</v>
      </c>
      <c r="M5414">
        <v>8.4700000000000006</v>
      </c>
      <c r="T5414" t="s">
        <v>52</v>
      </c>
      <c r="U5414">
        <v>1</v>
      </c>
      <c r="V5414">
        <v>6</v>
      </c>
    </row>
    <row r="5415" spans="1:22" x14ac:dyDescent="0.3">
      <c r="A5415">
        <v>5414</v>
      </c>
      <c r="B5415">
        <v>55939</v>
      </c>
      <c r="C5415" s="2">
        <v>38557</v>
      </c>
      <c r="D5415">
        <v>20</v>
      </c>
      <c r="E5415" t="s">
        <v>36</v>
      </c>
      <c r="F5415" t="s">
        <v>50</v>
      </c>
      <c r="G5415" s="2">
        <v>45641</v>
      </c>
      <c r="H5415" s="3">
        <f t="shared" si="84"/>
        <v>1.3041095890410959</v>
      </c>
      <c r="I5415">
        <v>56</v>
      </c>
      <c r="J5415" t="s">
        <v>38</v>
      </c>
      <c r="K5415" t="s">
        <v>56</v>
      </c>
      <c r="L5415" t="s">
        <v>44</v>
      </c>
      <c r="M5415">
        <v>8.4700000000000006</v>
      </c>
      <c r="T5415" t="s">
        <v>47</v>
      </c>
      <c r="U5415">
        <v>2</v>
      </c>
      <c r="V5415">
        <v>5</v>
      </c>
    </row>
    <row r="5416" spans="1:22" x14ac:dyDescent="0.3">
      <c r="A5416">
        <v>5415</v>
      </c>
      <c r="B5416">
        <v>55940</v>
      </c>
      <c r="C5416" s="2">
        <v>37672</v>
      </c>
      <c r="D5416">
        <v>22</v>
      </c>
      <c r="E5416" t="s">
        <v>42</v>
      </c>
      <c r="F5416" t="s">
        <v>37</v>
      </c>
      <c r="G5416" s="2">
        <v>45546</v>
      </c>
      <c r="H5416" s="3">
        <f t="shared" si="84"/>
        <v>1.2027397260273973</v>
      </c>
      <c r="I5416">
        <v>56</v>
      </c>
      <c r="J5416" t="s">
        <v>38</v>
      </c>
      <c r="K5416" t="s">
        <v>56</v>
      </c>
      <c r="L5416" t="s">
        <v>44</v>
      </c>
      <c r="M5416">
        <v>8.4700000000000006</v>
      </c>
      <c r="T5416" t="s">
        <v>45</v>
      </c>
      <c r="U5416">
        <v>1</v>
      </c>
      <c r="V5416">
        <v>6</v>
      </c>
    </row>
    <row r="5417" spans="1:22" x14ac:dyDescent="0.3">
      <c r="A5417">
        <v>5416</v>
      </c>
      <c r="B5417">
        <v>55941</v>
      </c>
      <c r="C5417" s="2">
        <v>37038</v>
      </c>
      <c r="D5417">
        <v>24</v>
      </c>
      <c r="E5417" t="s">
        <v>42</v>
      </c>
      <c r="F5417" t="s">
        <v>50</v>
      </c>
      <c r="G5417" s="2">
        <v>45583</v>
      </c>
      <c r="H5417" s="3">
        <f t="shared" si="84"/>
        <v>1.7726027397260273</v>
      </c>
      <c r="I5417">
        <v>56</v>
      </c>
      <c r="J5417" t="s">
        <v>38</v>
      </c>
      <c r="K5417" t="s">
        <v>56</v>
      </c>
      <c r="L5417" t="s">
        <v>44</v>
      </c>
      <c r="M5417">
        <v>8.4700000000000006</v>
      </c>
      <c r="T5417" t="s">
        <v>52</v>
      </c>
      <c r="U5417">
        <v>1</v>
      </c>
      <c r="V5417">
        <v>7</v>
      </c>
    </row>
    <row r="5418" spans="1:22" x14ac:dyDescent="0.3">
      <c r="A5418">
        <v>5417</v>
      </c>
      <c r="B5418">
        <v>55942</v>
      </c>
      <c r="C5418" s="2">
        <v>38705</v>
      </c>
      <c r="D5418">
        <v>20</v>
      </c>
      <c r="E5418" t="s">
        <v>42</v>
      </c>
      <c r="F5418" t="s">
        <v>50</v>
      </c>
      <c r="G5418" s="2">
        <v>45375</v>
      </c>
      <c r="H5418" s="3">
        <f t="shared" si="84"/>
        <v>1.8136986301369864</v>
      </c>
      <c r="I5418">
        <v>56</v>
      </c>
      <c r="J5418" t="s">
        <v>38</v>
      </c>
      <c r="K5418" t="s">
        <v>56</v>
      </c>
      <c r="L5418" t="s">
        <v>44</v>
      </c>
      <c r="M5418">
        <v>8.4700000000000006</v>
      </c>
      <c r="T5418" t="s">
        <v>45</v>
      </c>
      <c r="U5418">
        <v>2</v>
      </c>
      <c r="V5418">
        <v>6</v>
      </c>
    </row>
    <row r="5419" spans="1:22" x14ac:dyDescent="0.3">
      <c r="A5419">
        <v>5418</v>
      </c>
      <c r="B5419">
        <v>55943</v>
      </c>
      <c r="C5419" s="2">
        <v>37738</v>
      </c>
      <c r="D5419">
        <v>22</v>
      </c>
      <c r="E5419" t="s">
        <v>42</v>
      </c>
      <c r="F5419" t="s">
        <v>50</v>
      </c>
      <c r="G5419" s="2">
        <v>45360</v>
      </c>
      <c r="H5419" s="3">
        <f t="shared" si="84"/>
        <v>1.4876712328767123</v>
      </c>
      <c r="I5419">
        <v>56</v>
      </c>
      <c r="J5419" t="s">
        <v>38</v>
      </c>
      <c r="K5419" t="s">
        <v>56</v>
      </c>
      <c r="L5419" t="s">
        <v>44</v>
      </c>
      <c r="M5419">
        <v>8.4700000000000006</v>
      </c>
      <c r="T5419" t="s">
        <v>52</v>
      </c>
      <c r="U5419">
        <v>1</v>
      </c>
      <c r="V5419">
        <v>6</v>
      </c>
    </row>
    <row r="5420" spans="1:22" x14ac:dyDescent="0.3">
      <c r="A5420">
        <v>5419</v>
      </c>
      <c r="B5420">
        <v>55944</v>
      </c>
      <c r="C5420" s="2">
        <v>38052</v>
      </c>
      <c r="D5420">
        <v>21</v>
      </c>
      <c r="E5420" t="s">
        <v>42</v>
      </c>
      <c r="F5420" t="s">
        <v>37</v>
      </c>
      <c r="G5420" s="2">
        <v>45479</v>
      </c>
      <c r="H5420" s="3">
        <f t="shared" si="84"/>
        <v>1.5726027397260274</v>
      </c>
      <c r="I5420">
        <v>56</v>
      </c>
      <c r="J5420" t="s">
        <v>38</v>
      </c>
      <c r="K5420" t="s">
        <v>56</v>
      </c>
      <c r="L5420" t="s">
        <v>44</v>
      </c>
      <c r="M5420">
        <v>8.4700000000000006</v>
      </c>
      <c r="T5420" t="s">
        <v>52</v>
      </c>
      <c r="U5420">
        <v>4</v>
      </c>
      <c r="V5420">
        <v>5</v>
      </c>
    </row>
    <row r="5421" spans="1:22" x14ac:dyDescent="0.3">
      <c r="A5421">
        <v>5420</v>
      </c>
      <c r="B5421">
        <v>55945</v>
      </c>
      <c r="C5421" s="2">
        <v>38960</v>
      </c>
      <c r="D5421">
        <v>19</v>
      </c>
      <c r="E5421" t="s">
        <v>36</v>
      </c>
      <c r="F5421" t="s">
        <v>50</v>
      </c>
      <c r="G5421" s="2">
        <v>45448</v>
      </c>
      <c r="H5421" s="3">
        <f t="shared" si="84"/>
        <v>1.2136986301369863</v>
      </c>
      <c r="I5421">
        <v>56</v>
      </c>
      <c r="J5421" t="s">
        <v>38</v>
      </c>
      <c r="K5421" t="s">
        <v>56</v>
      </c>
      <c r="L5421" t="s">
        <v>44</v>
      </c>
      <c r="M5421">
        <v>8.4700000000000006</v>
      </c>
      <c r="T5421" t="s">
        <v>52</v>
      </c>
      <c r="U5421">
        <v>3</v>
      </c>
      <c r="V5421">
        <v>5</v>
      </c>
    </row>
    <row r="5422" spans="1:22" x14ac:dyDescent="0.3">
      <c r="A5422">
        <v>5421</v>
      </c>
      <c r="B5422">
        <v>55946</v>
      </c>
      <c r="C5422" s="2">
        <v>37672</v>
      </c>
      <c r="D5422">
        <v>22</v>
      </c>
      <c r="E5422" t="s">
        <v>42</v>
      </c>
      <c r="F5422" t="s">
        <v>50</v>
      </c>
      <c r="G5422" s="2">
        <v>45579</v>
      </c>
      <c r="H5422" s="3">
        <f t="shared" si="84"/>
        <v>1.3150684931506849</v>
      </c>
      <c r="I5422">
        <v>56</v>
      </c>
      <c r="J5422" t="s">
        <v>38</v>
      </c>
      <c r="K5422" t="s">
        <v>56</v>
      </c>
      <c r="L5422" t="s">
        <v>44</v>
      </c>
      <c r="M5422">
        <v>8.4700000000000006</v>
      </c>
      <c r="T5422" t="s">
        <v>52</v>
      </c>
      <c r="U5422">
        <v>1</v>
      </c>
      <c r="V5422">
        <v>5</v>
      </c>
    </row>
    <row r="5423" spans="1:22" x14ac:dyDescent="0.3">
      <c r="A5423">
        <v>5422</v>
      </c>
      <c r="B5423">
        <v>55947</v>
      </c>
      <c r="C5423" s="2">
        <v>39339</v>
      </c>
      <c r="D5423">
        <v>18</v>
      </c>
      <c r="E5423" t="s">
        <v>42</v>
      </c>
      <c r="F5423" t="s">
        <v>37</v>
      </c>
      <c r="G5423" s="2">
        <v>45542</v>
      </c>
      <c r="H5423" s="3">
        <f t="shared" si="84"/>
        <v>1.821917808219178</v>
      </c>
      <c r="I5423">
        <v>56</v>
      </c>
      <c r="J5423" t="s">
        <v>38</v>
      </c>
      <c r="K5423" t="s">
        <v>56</v>
      </c>
      <c r="L5423" t="s">
        <v>44</v>
      </c>
      <c r="M5423">
        <v>8.4700000000000006</v>
      </c>
      <c r="T5423" t="s">
        <v>45</v>
      </c>
      <c r="U5423">
        <v>4</v>
      </c>
      <c r="V5423">
        <v>6</v>
      </c>
    </row>
    <row r="5424" spans="1:22" x14ac:dyDescent="0.3">
      <c r="A5424">
        <v>5423</v>
      </c>
      <c r="B5424">
        <v>55948</v>
      </c>
      <c r="C5424" s="2">
        <v>38568</v>
      </c>
      <c r="D5424">
        <v>20</v>
      </c>
      <c r="E5424" t="s">
        <v>42</v>
      </c>
      <c r="F5424" t="s">
        <v>37</v>
      </c>
      <c r="G5424" s="2">
        <v>45357</v>
      </c>
      <c r="H5424" s="3">
        <f t="shared" si="84"/>
        <v>1.2356164383561643</v>
      </c>
      <c r="I5424">
        <v>56</v>
      </c>
      <c r="J5424" t="s">
        <v>38</v>
      </c>
      <c r="K5424" t="s">
        <v>56</v>
      </c>
      <c r="L5424" t="s">
        <v>44</v>
      </c>
      <c r="M5424">
        <v>8.4700000000000006</v>
      </c>
      <c r="T5424" t="s">
        <v>45</v>
      </c>
      <c r="U5424">
        <v>2</v>
      </c>
      <c r="V5424">
        <v>5</v>
      </c>
    </row>
    <row r="5425" spans="1:22" x14ac:dyDescent="0.3">
      <c r="A5425">
        <v>5424</v>
      </c>
      <c r="B5425">
        <v>55949</v>
      </c>
      <c r="C5425" s="2">
        <v>35840</v>
      </c>
      <c r="D5425">
        <v>27</v>
      </c>
      <c r="E5425" t="s">
        <v>36</v>
      </c>
      <c r="F5425" t="s">
        <v>50</v>
      </c>
      <c r="G5425" s="2">
        <v>45571</v>
      </c>
      <c r="H5425" s="3">
        <f t="shared" si="84"/>
        <v>1.2712328767123289</v>
      </c>
      <c r="I5425">
        <v>56</v>
      </c>
      <c r="J5425" t="s">
        <v>38</v>
      </c>
      <c r="K5425" t="s">
        <v>56</v>
      </c>
      <c r="L5425" t="s">
        <v>44</v>
      </c>
      <c r="M5425">
        <v>8.4700000000000006</v>
      </c>
      <c r="T5425" t="s">
        <v>52</v>
      </c>
      <c r="U5425">
        <v>1</v>
      </c>
      <c r="V5425">
        <v>5</v>
      </c>
    </row>
    <row r="5426" spans="1:22" x14ac:dyDescent="0.3">
      <c r="A5426">
        <v>5425</v>
      </c>
      <c r="B5426">
        <v>55950</v>
      </c>
      <c r="C5426" s="2">
        <v>38997</v>
      </c>
      <c r="D5426">
        <v>19</v>
      </c>
      <c r="E5426" t="s">
        <v>42</v>
      </c>
      <c r="F5426" t="s">
        <v>50</v>
      </c>
      <c r="G5426" s="2">
        <v>45558</v>
      </c>
      <c r="H5426" s="3">
        <f t="shared" si="84"/>
        <v>1.0904109589041096</v>
      </c>
      <c r="I5426">
        <v>56</v>
      </c>
      <c r="J5426" t="s">
        <v>38</v>
      </c>
      <c r="K5426" t="s">
        <v>56</v>
      </c>
      <c r="L5426" t="s">
        <v>44</v>
      </c>
      <c r="M5426">
        <v>8.4700000000000006</v>
      </c>
      <c r="T5426" t="s">
        <v>45</v>
      </c>
      <c r="U5426">
        <v>3</v>
      </c>
      <c r="V5426">
        <v>6</v>
      </c>
    </row>
    <row r="5427" spans="1:22" x14ac:dyDescent="0.3">
      <c r="A5427">
        <v>5426</v>
      </c>
      <c r="B5427">
        <v>55951</v>
      </c>
      <c r="C5427" s="2">
        <v>35868</v>
      </c>
      <c r="D5427">
        <v>27</v>
      </c>
      <c r="E5427" t="s">
        <v>36</v>
      </c>
      <c r="F5427" t="s">
        <v>50</v>
      </c>
      <c r="G5427" s="2">
        <v>45624</v>
      </c>
      <c r="H5427" s="3">
        <f t="shared" si="84"/>
        <v>1.3123287671232877</v>
      </c>
      <c r="I5427">
        <v>56</v>
      </c>
      <c r="J5427" t="s">
        <v>38</v>
      </c>
      <c r="K5427" t="s">
        <v>56</v>
      </c>
      <c r="L5427" t="s">
        <v>44</v>
      </c>
      <c r="M5427">
        <v>8.4700000000000006</v>
      </c>
      <c r="T5427" t="s">
        <v>52</v>
      </c>
      <c r="U5427">
        <v>2</v>
      </c>
      <c r="V5427">
        <v>4</v>
      </c>
    </row>
    <row r="5428" spans="1:22" x14ac:dyDescent="0.3">
      <c r="A5428">
        <v>5427</v>
      </c>
      <c r="B5428">
        <v>55953</v>
      </c>
      <c r="C5428" s="2">
        <v>39441</v>
      </c>
      <c r="D5428">
        <v>18</v>
      </c>
      <c r="E5428" t="s">
        <v>42</v>
      </c>
      <c r="F5428" t="s">
        <v>50</v>
      </c>
      <c r="G5428" s="2">
        <v>45543</v>
      </c>
      <c r="H5428" s="3">
        <f t="shared" si="84"/>
        <v>1.3452054794520547</v>
      </c>
      <c r="I5428">
        <v>56</v>
      </c>
      <c r="J5428" t="s">
        <v>38</v>
      </c>
      <c r="K5428" t="s">
        <v>56</v>
      </c>
      <c r="L5428" t="s">
        <v>44</v>
      </c>
      <c r="M5428">
        <v>8.4700000000000006</v>
      </c>
      <c r="T5428" t="s">
        <v>52</v>
      </c>
      <c r="U5428">
        <v>4</v>
      </c>
      <c r="V5428">
        <v>7</v>
      </c>
    </row>
    <row r="5429" spans="1:22" x14ac:dyDescent="0.3">
      <c r="A5429">
        <v>5428</v>
      </c>
      <c r="B5429">
        <v>55954</v>
      </c>
      <c r="C5429" s="2">
        <v>36719</v>
      </c>
      <c r="D5429">
        <v>25</v>
      </c>
      <c r="E5429" t="s">
        <v>42</v>
      </c>
      <c r="F5429" t="s">
        <v>37</v>
      </c>
      <c r="G5429" s="2">
        <v>45531</v>
      </c>
      <c r="H5429" s="3">
        <f t="shared" si="84"/>
        <v>1.7068493150684931</v>
      </c>
      <c r="I5429">
        <v>57</v>
      </c>
      <c r="J5429" t="s">
        <v>38</v>
      </c>
      <c r="K5429" t="s">
        <v>68</v>
      </c>
      <c r="L5429" t="s">
        <v>44</v>
      </c>
      <c r="M5429">
        <v>17</v>
      </c>
      <c r="T5429" t="s">
        <v>45</v>
      </c>
      <c r="U5429">
        <v>2</v>
      </c>
      <c r="V5429">
        <v>6</v>
      </c>
    </row>
    <row r="5430" spans="1:22" x14ac:dyDescent="0.3">
      <c r="A5430">
        <v>5429</v>
      </c>
      <c r="B5430">
        <v>55955</v>
      </c>
      <c r="C5430" s="2">
        <v>37390</v>
      </c>
      <c r="D5430">
        <v>23</v>
      </c>
      <c r="E5430" t="s">
        <v>42</v>
      </c>
      <c r="F5430" t="s">
        <v>37</v>
      </c>
      <c r="G5430" s="2">
        <v>45399</v>
      </c>
      <c r="H5430" s="3">
        <f t="shared" si="84"/>
        <v>1.0767123287671232</v>
      </c>
      <c r="I5430">
        <v>57</v>
      </c>
      <c r="J5430" t="s">
        <v>38</v>
      </c>
      <c r="K5430" t="s">
        <v>68</v>
      </c>
      <c r="L5430" t="s">
        <v>44</v>
      </c>
      <c r="M5430">
        <v>17</v>
      </c>
      <c r="T5430" t="s">
        <v>47</v>
      </c>
      <c r="U5430">
        <v>4</v>
      </c>
      <c r="V5430">
        <v>6</v>
      </c>
    </row>
    <row r="5431" spans="1:22" x14ac:dyDescent="0.3">
      <c r="A5431">
        <v>5430</v>
      </c>
      <c r="B5431">
        <v>55956</v>
      </c>
      <c r="C5431" s="2">
        <v>36874</v>
      </c>
      <c r="D5431">
        <v>25</v>
      </c>
      <c r="E5431" t="s">
        <v>36</v>
      </c>
      <c r="F5431" t="s">
        <v>37</v>
      </c>
      <c r="G5431" s="2">
        <v>45629</v>
      </c>
      <c r="H5431" s="3">
        <f t="shared" si="84"/>
        <v>1.2602739726027397</v>
      </c>
      <c r="I5431">
        <v>57</v>
      </c>
      <c r="J5431" t="s">
        <v>38</v>
      </c>
      <c r="K5431" t="s">
        <v>43</v>
      </c>
      <c r="L5431" t="s">
        <v>44</v>
      </c>
      <c r="M5431">
        <v>16.37</v>
      </c>
      <c r="T5431" t="s">
        <v>52</v>
      </c>
      <c r="U5431">
        <v>0</v>
      </c>
      <c r="V5431">
        <v>4</v>
      </c>
    </row>
    <row r="5432" spans="1:22" x14ac:dyDescent="0.3">
      <c r="A5432">
        <v>5431</v>
      </c>
      <c r="B5432">
        <v>55957</v>
      </c>
      <c r="C5432" s="2">
        <v>38457</v>
      </c>
      <c r="D5432">
        <v>20</v>
      </c>
      <c r="E5432" t="s">
        <v>36</v>
      </c>
      <c r="F5432" t="s">
        <v>50</v>
      </c>
      <c r="G5432" s="2">
        <v>45562</v>
      </c>
      <c r="H5432" s="3">
        <f t="shared" si="84"/>
        <v>1.0767123287671232</v>
      </c>
      <c r="I5432">
        <v>57</v>
      </c>
      <c r="J5432" t="s">
        <v>38</v>
      </c>
      <c r="K5432" t="s">
        <v>46</v>
      </c>
      <c r="L5432" t="s">
        <v>44</v>
      </c>
      <c r="M5432">
        <v>14.23</v>
      </c>
      <c r="T5432" t="s">
        <v>45</v>
      </c>
      <c r="U5432">
        <v>1</v>
      </c>
      <c r="V5432">
        <v>4</v>
      </c>
    </row>
    <row r="5433" spans="1:22" x14ac:dyDescent="0.3">
      <c r="A5433">
        <v>5432</v>
      </c>
      <c r="B5433">
        <v>55958</v>
      </c>
      <c r="C5433" s="2">
        <v>37714</v>
      </c>
      <c r="D5433">
        <v>22</v>
      </c>
      <c r="E5433" t="s">
        <v>42</v>
      </c>
      <c r="F5433" t="s">
        <v>50</v>
      </c>
      <c r="G5433" s="2">
        <v>45629</v>
      </c>
      <c r="H5433" s="3">
        <f t="shared" si="84"/>
        <v>1.5972602739726027</v>
      </c>
      <c r="I5433">
        <v>57</v>
      </c>
      <c r="J5433" t="s">
        <v>38</v>
      </c>
      <c r="K5433" t="s">
        <v>64</v>
      </c>
      <c r="L5433" t="s">
        <v>44</v>
      </c>
      <c r="M5433">
        <v>14.07</v>
      </c>
      <c r="T5433" t="s">
        <v>49</v>
      </c>
      <c r="U5433">
        <v>0</v>
      </c>
      <c r="V5433">
        <v>6</v>
      </c>
    </row>
    <row r="5434" spans="1:22" x14ac:dyDescent="0.3">
      <c r="A5434">
        <v>5433</v>
      </c>
      <c r="B5434">
        <v>55959</v>
      </c>
      <c r="C5434" s="2">
        <v>38311</v>
      </c>
      <c r="D5434">
        <v>21</v>
      </c>
      <c r="E5434" t="s">
        <v>42</v>
      </c>
      <c r="F5434" t="s">
        <v>50</v>
      </c>
      <c r="G5434" s="2">
        <v>45439</v>
      </c>
      <c r="H5434" s="3">
        <f t="shared" si="84"/>
        <v>1.5863013698630137</v>
      </c>
      <c r="I5434">
        <v>57</v>
      </c>
      <c r="J5434" t="s">
        <v>38</v>
      </c>
      <c r="K5434" t="s">
        <v>64</v>
      </c>
      <c r="L5434" t="s">
        <v>44</v>
      </c>
      <c r="M5434">
        <v>14.07</v>
      </c>
      <c r="T5434" t="s">
        <v>52</v>
      </c>
      <c r="U5434">
        <v>0</v>
      </c>
      <c r="V5434">
        <v>5</v>
      </c>
    </row>
    <row r="5435" spans="1:22" x14ac:dyDescent="0.3">
      <c r="A5435">
        <v>5434</v>
      </c>
      <c r="B5435">
        <v>55960</v>
      </c>
      <c r="C5435" s="2">
        <v>36361</v>
      </c>
      <c r="D5435">
        <v>26</v>
      </c>
      <c r="E5435" t="s">
        <v>36</v>
      </c>
      <c r="F5435" t="s">
        <v>50</v>
      </c>
      <c r="G5435" s="2">
        <v>45443</v>
      </c>
      <c r="H5435" s="3">
        <f t="shared" si="84"/>
        <v>1.4136986301369863</v>
      </c>
      <c r="I5435">
        <v>57</v>
      </c>
      <c r="J5435" t="s">
        <v>38</v>
      </c>
      <c r="K5435" t="s">
        <v>55</v>
      </c>
      <c r="L5435" t="s">
        <v>44</v>
      </c>
      <c r="M5435">
        <v>17.59</v>
      </c>
      <c r="T5435" t="s">
        <v>45</v>
      </c>
      <c r="U5435">
        <v>2</v>
      </c>
      <c r="V5435">
        <v>5</v>
      </c>
    </row>
    <row r="5436" spans="1:22" x14ac:dyDescent="0.3">
      <c r="A5436">
        <v>5435</v>
      </c>
      <c r="B5436">
        <v>55961</v>
      </c>
      <c r="C5436" s="2">
        <v>39115</v>
      </c>
      <c r="D5436">
        <v>18</v>
      </c>
      <c r="E5436" t="s">
        <v>36</v>
      </c>
      <c r="F5436" t="s">
        <v>37</v>
      </c>
      <c r="G5436" s="2">
        <v>45506</v>
      </c>
      <c r="H5436" s="3">
        <f t="shared" si="84"/>
        <v>1.6684931506849314</v>
      </c>
      <c r="I5436">
        <v>57</v>
      </c>
      <c r="J5436" t="s">
        <v>38</v>
      </c>
      <c r="K5436" t="s">
        <v>56</v>
      </c>
      <c r="L5436" t="s">
        <v>44</v>
      </c>
      <c r="M5436">
        <v>8.4700000000000006</v>
      </c>
      <c r="T5436" t="s">
        <v>47</v>
      </c>
      <c r="U5436">
        <v>4</v>
      </c>
      <c r="V5436">
        <v>5</v>
      </c>
    </row>
    <row r="5437" spans="1:22" x14ac:dyDescent="0.3">
      <c r="A5437">
        <v>5436</v>
      </c>
      <c r="B5437">
        <v>55962</v>
      </c>
      <c r="C5437" s="2">
        <v>36142</v>
      </c>
      <c r="D5437">
        <v>27</v>
      </c>
      <c r="E5437" t="s">
        <v>42</v>
      </c>
      <c r="F5437" t="s">
        <v>50</v>
      </c>
      <c r="G5437" s="2">
        <v>45413</v>
      </c>
      <c r="H5437" s="3">
        <f t="shared" si="84"/>
        <v>1.0547945205479452</v>
      </c>
      <c r="I5437">
        <v>57</v>
      </c>
      <c r="J5437" t="s">
        <v>38</v>
      </c>
      <c r="K5437" t="s">
        <v>56</v>
      </c>
      <c r="L5437" t="s">
        <v>44</v>
      </c>
      <c r="M5437">
        <v>8.4700000000000006</v>
      </c>
      <c r="T5437" t="s">
        <v>52</v>
      </c>
      <c r="U5437">
        <v>2</v>
      </c>
      <c r="V5437">
        <v>4</v>
      </c>
    </row>
    <row r="5438" spans="1:22" x14ac:dyDescent="0.3">
      <c r="A5438">
        <v>5437</v>
      </c>
      <c r="B5438">
        <v>55964</v>
      </c>
      <c r="C5438" s="2">
        <v>35513</v>
      </c>
      <c r="D5438">
        <v>28</v>
      </c>
      <c r="E5438" t="s">
        <v>36</v>
      </c>
      <c r="F5438" t="s">
        <v>37</v>
      </c>
      <c r="G5438" s="2">
        <v>45637</v>
      </c>
      <c r="H5438" s="3">
        <f t="shared" si="84"/>
        <v>1.3726027397260274</v>
      </c>
      <c r="I5438">
        <v>57</v>
      </c>
      <c r="J5438" t="s">
        <v>38</v>
      </c>
      <c r="K5438" t="s">
        <v>56</v>
      </c>
      <c r="L5438" t="s">
        <v>44</v>
      </c>
      <c r="M5438">
        <v>8.4700000000000006</v>
      </c>
      <c r="T5438" t="s">
        <v>47</v>
      </c>
      <c r="U5438">
        <v>3</v>
      </c>
      <c r="V5438">
        <v>5</v>
      </c>
    </row>
    <row r="5439" spans="1:22" x14ac:dyDescent="0.3">
      <c r="A5439">
        <v>5438</v>
      </c>
      <c r="B5439">
        <v>55965</v>
      </c>
      <c r="C5439" s="2">
        <v>38329</v>
      </c>
      <c r="D5439">
        <v>21</v>
      </c>
      <c r="E5439" t="s">
        <v>36</v>
      </c>
      <c r="F5439" t="s">
        <v>50</v>
      </c>
      <c r="G5439" s="2">
        <v>45521</v>
      </c>
      <c r="H5439" s="3">
        <f t="shared" si="84"/>
        <v>1.3972602739726028</v>
      </c>
      <c r="I5439">
        <v>57</v>
      </c>
      <c r="J5439" t="s">
        <v>38</v>
      </c>
      <c r="K5439" t="s">
        <v>56</v>
      </c>
      <c r="L5439" t="s">
        <v>44</v>
      </c>
      <c r="M5439">
        <v>8.4700000000000006</v>
      </c>
      <c r="T5439" t="s">
        <v>52</v>
      </c>
      <c r="U5439">
        <v>4</v>
      </c>
      <c r="V5439">
        <v>4</v>
      </c>
    </row>
    <row r="5440" spans="1:22" x14ac:dyDescent="0.3">
      <c r="A5440">
        <v>5439</v>
      </c>
      <c r="B5440">
        <v>55966</v>
      </c>
      <c r="C5440" s="2">
        <v>36304</v>
      </c>
      <c r="D5440">
        <v>26</v>
      </c>
      <c r="E5440" t="s">
        <v>42</v>
      </c>
      <c r="F5440" t="s">
        <v>37</v>
      </c>
      <c r="G5440" s="2">
        <v>45512</v>
      </c>
      <c r="H5440" s="3">
        <f t="shared" si="84"/>
        <v>1.1150684931506849</v>
      </c>
      <c r="I5440">
        <v>57</v>
      </c>
      <c r="J5440" t="s">
        <v>38</v>
      </c>
      <c r="K5440" t="s">
        <v>56</v>
      </c>
      <c r="L5440" t="s">
        <v>44</v>
      </c>
      <c r="M5440">
        <v>8.4700000000000006</v>
      </c>
      <c r="T5440" t="s">
        <v>52</v>
      </c>
      <c r="U5440">
        <v>1</v>
      </c>
      <c r="V5440">
        <v>5</v>
      </c>
    </row>
    <row r="5441" spans="1:22" x14ac:dyDescent="0.3">
      <c r="A5441">
        <v>5440</v>
      </c>
      <c r="B5441">
        <v>55967</v>
      </c>
      <c r="C5441" s="2">
        <v>38629</v>
      </c>
      <c r="D5441">
        <v>20</v>
      </c>
      <c r="E5441" t="s">
        <v>42</v>
      </c>
      <c r="F5441" t="s">
        <v>37</v>
      </c>
      <c r="G5441" s="2">
        <v>45615</v>
      </c>
      <c r="H5441" s="3">
        <f t="shared" si="84"/>
        <v>1.4136986301369863</v>
      </c>
      <c r="I5441">
        <v>57</v>
      </c>
      <c r="J5441" t="s">
        <v>38</v>
      </c>
      <c r="K5441" t="s">
        <v>56</v>
      </c>
      <c r="L5441" t="s">
        <v>44</v>
      </c>
      <c r="M5441">
        <v>8.4700000000000006</v>
      </c>
      <c r="T5441" t="s">
        <v>49</v>
      </c>
      <c r="U5441">
        <v>1</v>
      </c>
      <c r="V5441">
        <v>7</v>
      </c>
    </row>
    <row r="5442" spans="1:22" x14ac:dyDescent="0.3">
      <c r="A5442">
        <v>5441</v>
      </c>
      <c r="B5442">
        <v>55968</v>
      </c>
      <c r="C5442" s="2">
        <v>37658</v>
      </c>
      <c r="D5442">
        <v>22</v>
      </c>
      <c r="E5442" t="s">
        <v>42</v>
      </c>
      <c r="F5442" t="s">
        <v>50</v>
      </c>
      <c r="G5442" s="2">
        <v>45506</v>
      </c>
      <c r="H5442" s="3">
        <f t="shared" si="84"/>
        <v>1.095890410958904</v>
      </c>
      <c r="I5442">
        <v>57</v>
      </c>
      <c r="J5442" t="s">
        <v>38</v>
      </c>
      <c r="K5442" t="s">
        <v>56</v>
      </c>
      <c r="L5442" t="s">
        <v>44</v>
      </c>
      <c r="M5442">
        <v>8.4700000000000006</v>
      </c>
      <c r="T5442" t="s">
        <v>47</v>
      </c>
      <c r="U5442">
        <v>1</v>
      </c>
      <c r="V5442">
        <v>7</v>
      </c>
    </row>
    <row r="5443" spans="1:22" x14ac:dyDescent="0.3">
      <c r="A5443">
        <v>5442</v>
      </c>
      <c r="B5443">
        <v>55969</v>
      </c>
      <c r="C5443" s="2">
        <v>39055</v>
      </c>
      <c r="D5443">
        <v>19</v>
      </c>
      <c r="E5443" t="s">
        <v>42</v>
      </c>
      <c r="F5443" t="s">
        <v>37</v>
      </c>
      <c r="G5443" s="2">
        <v>45622</v>
      </c>
      <c r="H5443" s="3">
        <f t="shared" ref="H5443:H5506" si="85">DATEDIF(G5444,DATE(2025,12,31),"d")/365</f>
        <v>1.5726027397260274</v>
      </c>
      <c r="I5443">
        <v>57</v>
      </c>
      <c r="J5443" t="s">
        <v>38</v>
      </c>
      <c r="K5443" t="s">
        <v>56</v>
      </c>
      <c r="L5443" t="s">
        <v>44</v>
      </c>
      <c r="M5443">
        <v>8.4700000000000006</v>
      </c>
      <c r="T5443" t="s">
        <v>45</v>
      </c>
      <c r="U5443">
        <v>2</v>
      </c>
      <c r="V5443">
        <v>6</v>
      </c>
    </row>
    <row r="5444" spans="1:22" x14ac:dyDescent="0.3">
      <c r="A5444">
        <v>5443</v>
      </c>
      <c r="B5444">
        <v>55970</v>
      </c>
      <c r="C5444" s="2">
        <v>37565</v>
      </c>
      <c r="D5444">
        <v>23</v>
      </c>
      <c r="E5444" t="s">
        <v>42</v>
      </c>
      <c r="F5444" t="s">
        <v>37</v>
      </c>
      <c r="G5444" s="2">
        <v>45448</v>
      </c>
      <c r="H5444" s="3">
        <f t="shared" si="85"/>
        <v>1.7013698630136986</v>
      </c>
      <c r="I5444">
        <v>57</v>
      </c>
      <c r="J5444" t="s">
        <v>38</v>
      </c>
      <c r="K5444" t="s">
        <v>56</v>
      </c>
      <c r="L5444" t="s">
        <v>44</v>
      </c>
      <c r="M5444">
        <v>8.4700000000000006</v>
      </c>
      <c r="T5444" t="s">
        <v>45</v>
      </c>
      <c r="U5444">
        <v>4</v>
      </c>
      <c r="V5444">
        <v>7</v>
      </c>
    </row>
    <row r="5445" spans="1:22" x14ac:dyDescent="0.3">
      <c r="A5445">
        <v>5444</v>
      </c>
      <c r="B5445">
        <v>55971</v>
      </c>
      <c r="C5445" s="2">
        <v>34504</v>
      </c>
      <c r="D5445">
        <v>31</v>
      </c>
      <c r="E5445" t="s">
        <v>36</v>
      </c>
      <c r="F5445" t="s">
        <v>50</v>
      </c>
      <c r="G5445" s="2">
        <v>45401</v>
      </c>
      <c r="H5445" s="3">
        <f t="shared" si="85"/>
        <v>1.3945205479452054</v>
      </c>
      <c r="I5445">
        <v>57</v>
      </c>
      <c r="J5445" t="s">
        <v>38</v>
      </c>
      <c r="K5445" t="s">
        <v>56</v>
      </c>
      <c r="L5445" t="s">
        <v>44</v>
      </c>
      <c r="M5445">
        <v>8.4700000000000006</v>
      </c>
      <c r="T5445" t="s">
        <v>52</v>
      </c>
      <c r="U5445">
        <v>1</v>
      </c>
      <c r="V5445">
        <v>5</v>
      </c>
    </row>
    <row r="5446" spans="1:22" x14ac:dyDescent="0.3">
      <c r="A5446">
        <v>5445</v>
      </c>
      <c r="B5446">
        <v>55973</v>
      </c>
      <c r="C5446" s="2">
        <v>37290</v>
      </c>
      <c r="D5446">
        <v>23</v>
      </c>
      <c r="E5446" t="s">
        <v>42</v>
      </c>
      <c r="F5446" t="s">
        <v>50</v>
      </c>
      <c r="G5446" s="2">
        <v>45513</v>
      </c>
      <c r="H5446" s="3">
        <f t="shared" si="85"/>
        <v>1.8246575342465754</v>
      </c>
      <c r="I5446">
        <v>57</v>
      </c>
      <c r="J5446" t="s">
        <v>38</v>
      </c>
      <c r="K5446" t="s">
        <v>56</v>
      </c>
      <c r="L5446" t="s">
        <v>44</v>
      </c>
      <c r="M5446">
        <v>8.4700000000000006</v>
      </c>
      <c r="T5446" t="s">
        <v>45</v>
      </c>
      <c r="U5446">
        <v>2</v>
      </c>
      <c r="V5446">
        <v>6</v>
      </c>
    </row>
    <row r="5447" spans="1:22" x14ac:dyDescent="0.3">
      <c r="A5447">
        <v>5446</v>
      </c>
      <c r="B5447">
        <v>55974</v>
      </c>
      <c r="C5447" s="2">
        <v>37593</v>
      </c>
      <c r="D5447">
        <v>23</v>
      </c>
      <c r="E5447" t="s">
        <v>42</v>
      </c>
      <c r="F5447" t="s">
        <v>50</v>
      </c>
      <c r="G5447" s="2">
        <v>45356</v>
      </c>
      <c r="H5447" s="3">
        <f t="shared" si="85"/>
        <v>1.4657534246575343</v>
      </c>
      <c r="I5447">
        <v>57</v>
      </c>
      <c r="J5447" t="s">
        <v>38</v>
      </c>
      <c r="K5447" t="s">
        <v>56</v>
      </c>
      <c r="L5447" t="s">
        <v>44</v>
      </c>
      <c r="M5447">
        <v>8.4700000000000006</v>
      </c>
      <c r="T5447" t="s">
        <v>45</v>
      </c>
      <c r="U5447">
        <v>4</v>
      </c>
      <c r="V5447">
        <v>7</v>
      </c>
    </row>
    <row r="5448" spans="1:22" x14ac:dyDescent="0.3">
      <c r="A5448">
        <v>5447</v>
      </c>
      <c r="B5448">
        <v>55975</v>
      </c>
      <c r="C5448" s="2">
        <v>39192</v>
      </c>
      <c r="D5448">
        <v>18</v>
      </c>
      <c r="E5448" t="s">
        <v>42</v>
      </c>
      <c r="F5448" t="s">
        <v>50</v>
      </c>
      <c r="G5448" s="2">
        <v>45487</v>
      </c>
      <c r="H5448" s="3">
        <f t="shared" si="85"/>
        <v>1.6602739726027398</v>
      </c>
      <c r="I5448">
        <v>57</v>
      </c>
      <c r="J5448" t="s">
        <v>38</v>
      </c>
      <c r="K5448" t="s">
        <v>56</v>
      </c>
      <c r="L5448" t="s">
        <v>44</v>
      </c>
      <c r="M5448">
        <v>8.4700000000000006</v>
      </c>
      <c r="T5448" t="s">
        <v>49</v>
      </c>
      <c r="U5448">
        <v>2</v>
      </c>
      <c r="V5448">
        <v>7</v>
      </c>
    </row>
    <row r="5449" spans="1:22" x14ac:dyDescent="0.3">
      <c r="A5449">
        <v>5448</v>
      </c>
      <c r="B5449">
        <v>55976</v>
      </c>
      <c r="C5449" s="2">
        <v>37086</v>
      </c>
      <c r="D5449">
        <v>24</v>
      </c>
      <c r="E5449" t="s">
        <v>42</v>
      </c>
      <c r="F5449" t="s">
        <v>50</v>
      </c>
      <c r="G5449" s="2">
        <v>45416</v>
      </c>
      <c r="H5449" s="3">
        <f t="shared" si="85"/>
        <v>1.736986301369863</v>
      </c>
      <c r="I5449">
        <v>58</v>
      </c>
      <c r="J5449" t="s">
        <v>38</v>
      </c>
      <c r="K5449" t="s">
        <v>68</v>
      </c>
      <c r="L5449" t="s">
        <v>44</v>
      </c>
      <c r="M5449">
        <v>17</v>
      </c>
      <c r="T5449" t="s">
        <v>47</v>
      </c>
      <c r="U5449">
        <v>0</v>
      </c>
      <c r="V5449">
        <v>5</v>
      </c>
    </row>
    <row r="5450" spans="1:22" x14ac:dyDescent="0.3">
      <c r="A5450">
        <v>5449</v>
      </c>
      <c r="B5450">
        <v>55977</v>
      </c>
      <c r="C5450" s="2">
        <v>37146</v>
      </c>
      <c r="D5450">
        <v>24</v>
      </c>
      <c r="E5450" t="s">
        <v>42</v>
      </c>
      <c r="F5450" t="s">
        <v>50</v>
      </c>
      <c r="G5450" s="2">
        <v>45388</v>
      </c>
      <c r="H5450" s="3">
        <f t="shared" si="85"/>
        <v>1.7506849315068493</v>
      </c>
      <c r="I5450">
        <v>58</v>
      </c>
      <c r="J5450" t="s">
        <v>38</v>
      </c>
      <c r="K5450" t="s">
        <v>68</v>
      </c>
      <c r="L5450" t="s">
        <v>44</v>
      </c>
      <c r="M5450">
        <v>17</v>
      </c>
      <c r="T5450" t="s">
        <v>52</v>
      </c>
      <c r="U5450">
        <v>1</v>
      </c>
      <c r="V5450">
        <v>6</v>
      </c>
    </row>
    <row r="5451" spans="1:22" x14ac:dyDescent="0.3">
      <c r="A5451">
        <v>5450</v>
      </c>
      <c r="B5451">
        <v>55978</v>
      </c>
      <c r="C5451" s="2">
        <v>36406</v>
      </c>
      <c r="D5451">
        <v>26</v>
      </c>
      <c r="E5451" t="s">
        <v>42</v>
      </c>
      <c r="F5451" t="s">
        <v>50</v>
      </c>
      <c r="G5451" s="2">
        <v>45383</v>
      </c>
      <c r="H5451" s="3">
        <f t="shared" si="85"/>
        <v>1.7808219178082192</v>
      </c>
      <c r="I5451">
        <v>58</v>
      </c>
      <c r="J5451" t="s">
        <v>38</v>
      </c>
      <c r="K5451" t="s">
        <v>65</v>
      </c>
      <c r="L5451" t="s">
        <v>44</v>
      </c>
      <c r="M5451">
        <v>10.64</v>
      </c>
      <c r="T5451" t="s">
        <v>47</v>
      </c>
      <c r="U5451">
        <v>0</v>
      </c>
      <c r="V5451">
        <v>5</v>
      </c>
    </row>
    <row r="5452" spans="1:22" x14ac:dyDescent="0.3">
      <c r="A5452">
        <v>5451</v>
      </c>
      <c r="B5452">
        <v>55979</v>
      </c>
      <c r="C5452" s="2">
        <v>36053</v>
      </c>
      <c r="D5452">
        <v>27</v>
      </c>
      <c r="E5452" t="s">
        <v>36</v>
      </c>
      <c r="F5452" t="s">
        <v>50</v>
      </c>
      <c r="G5452" s="2">
        <v>45372</v>
      </c>
      <c r="H5452" s="3">
        <f t="shared" si="85"/>
        <v>1.5890410958904109</v>
      </c>
      <c r="I5452">
        <v>58</v>
      </c>
      <c r="J5452" t="s">
        <v>38</v>
      </c>
      <c r="K5452" t="s">
        <v>65</v>
      </c>
      <c r="L5452" t="s">
        <v>44</v>
      </c>
      <c r="M5452">
        <v>10.64</v>
      </c>
      <c r="T5452" t="s">
        <v>52</v>
      </c>
      <c r="U5452">
        <v>1</v>
      </c>
      <c r="V5452">
        <v>5</v>
      </c>
    </row>
    <row r="5453" spans="1:22" x14ac:dyDescent="0.3">
      <c r="A5453">
        <v>5452</v>
      </c>
      <c r="B5453">
        <v>55980</v>
      </c>
      <c r="C5453" s="2">
        <v>37721</v>
      </c>
      <c r="D5453">
        <v>22</v>
      </c>
      <c r="E5453" t="s">
        <v>42</v>
      </c>
      <c r="F5453" t="s">
        <v>50</v>
      </c>
      <c r="G5453" s="2">
        <v>45442</v>
      </c>
      <c r="H5453" s="3">
        <f t="shared" si="85"/>
        <v>1.7397260273972603</v>
      </c>
      <c r="I5453">
        <v>58</v>
      </c>
      <c r="J5453" t="s">
        <v>38</v>
      </c>
      <c r="K5453" t="s">
        <v>56</v>
      </c>
      <c r="L5453" t="s">
        <v>44</v>
      </c>
      <c r="M5453">
        <v>8.4700000000000006</v>
      </c>
      <c r="T5453" t="s">
        <v>47</v>
      </c>
      <c r="U5453">
        <v>4</v>
      </c>
      <c r="V5453">
        <v>6</v>
      </c>
    </row>
    <row r="5454" spans="1:22" x14ac:dyDescent="0.3">
      <c r="A5454">
        <v>5453</v>
      </c>
      <c r="B5454">
        <v>55981</v>
      </c>
      <c r="C5454" s="2">
        <v>38093</v>
      </c>
      <c r="D5454">
        <v>21</v>
      </c>
      <c r="E5454" t="s">
        <v>42</v>
      </c>
      <c r="F5454" t="s">
        <v>50</v>
      </c>
      <c r="G5454" s="2">
        <v>45387</v>
      </c>
      <c r="H5454" s="3">
        <f t="shared" si="85"/>
        <v>1.0657534246575342</v>
      </c>
      <c r="I5454">
        <v>58</v>
      </c>
      <c r="J5454" t="s">
        <v>38</v>
      </c>
      <c r="K5454" t="s">
        <v>56</v>
      </c>
      <c r="L5454" t="s">
        <v>44</v>
      </c>
      <c r="M5454">
        <v>8.4700000000000006</v>
      </c>
      <c r="T5454" t="s">
        <v>45</v>
      </c>
      <c r="U5454">
        <v>1</v>
      </c>
      <c r="V5454">
        <v>5</v>
      </c>
    </row>
    <row r="5455" spans="1:22" x14ac:dyDescent="0.3">
      <c r="A5455">
        <v>5454</v>
      </c>
      <c r="B5455">
        <v>55982</v>
      </c>
      <c r="C5455" s="2">
        <v>38497</v>
      </c>
      <c r="D5455">
        <v>20</v>
      </c>
      <c r="E5455" t="s">
        <v>42</v>
      </c>
      <c r="F5455" t="s">
        <v>37</v>
      </c>
      <c r="G5455" s="2">
        <v>45633</v>
      </c>
      <c r="H5455" s="3">
        <f t="shared" si="85"/>
        <v>1.3150684931506849</v>
      </c>
      <c r="I5455">
        <v>58</v>
      </c>
      <c r="J5455" t="s">
        <v>38</v>
      </c>
      <c r="K5455" t="s">
        <v>56</v>
      </c>
      <c r="L5455" t="s">
        <v>44</v>
      </c>
      <c r="M5455">
        <v>8.4700000000000006</v>
      </c>
      <c r="T5455" t="s">
        <v>45</v>
      </c>
      <c r="U5455">
        <v>2</v>
      </c>
      <c r="V5455">
        <v>6</v>
      </c>
    </row>
    <row r="5456" spans="1:22" x14ac:dyDescent="0.3">
      <c r="A5456">
        <v>5455</v>
      </c>
      <c r="B5456">
        <v>55983</v>
      </c>
      <c r="C5456" s="2">
        <v>35485</v>
      </c>
      <c r="D5456">
        <v>28</v>
      </c>
      <c r="E5456" t="s">
        <v>42</v>
      </c>
      <c r="F5456" t="s">
        <v>50</v>
      </c>
      <c r="G5456" s="2">
        <v>45542</v>
      </c>
      <c r="H5456" s="3">
        <f t="shared" si="85"/>
        <v>1</v>
      </c>
      <c r="I5456">
        <v>58</v>
      </c>
      <c r="J5456" t="s">
        <v>38</v>
      </c>
      <c r="K5456" t="s">
        <v>56</v>
      </c>
      <c r="L5456" t="s">
        <v>44</v>
      </c>
      <c r="M5456">
        <v>8.4700000000000006</v>
      </c>
      <c r="T5456" t="s">
        <v>49</v>
      </c>
      <c r="U5456">
        <v>1</v>
      </c>
      <c r="V5456">
        <v>7</v>
      </c>
    </row>
    <row r="5457" spans="1:22" x14ac:dyDescent="0.3">
      <c r="A5457">
        <v>5456</v>
      </c>
      <c r="B5457">
        <v>55984</v>
      </c>
      <c r="C5457" s="2">
        <v>37598</v>
      </c>
      <c r="D5457">
        <v>23</v>
      </c>
      <c r="E5457" t="s">
        <v>42</v>
      </c>
      <c r="F5457" t="s">
        <v>37</v>
      </c>
      <c r="G5457" s="2">
        <v>45657</v>
      </c>
      <c r="H5457" s="3">
        <f t="shared" si="85"/>
        <v>1.3616438356164384</v>
      </c>
      <c r="I5457">
        <v>58</v>
      </c>
      <c r="J5457" t="s">
        <v>38</v>
      </c>
      <c r="K5457" t="s">
        <v>56</v>
      </c>
      <c r="L5457" t="s">
        <v>44</v>
      </c>
      <c r="M5457">
        <v>8.4700000000000006</v>
      </c>
      <c r="T5457" t="s">
        <v>47</v>
      </c>
      <c r="U5457">
        <v>2</v>
      </c>
      <c r="V5457">
        <v>6</v>
      </c>
    </row>
    <row r="5458" spans="1:22" x14ac:dyDescent="0.3">
      <c r="A5458">
        <v>5457</v>
      </c>
      <c r="B5458">
        <v>55985</v>
      </c>
      <c r="C5458" s="2">
        <v>37303</v>
      </c>
      <c r="D5458">
        <v>23</v>
      </c>
      <c r="E5458" t="s">
        <v>42</v>
      </c>
      <c r="F5458" t="s">
        <v>50</v>
      </c>
      <c r="G5458" s="2">
        <v>45525</v>
      </c>
      <c r="H5458" s="3">
        <f t="shared" si="85"/>
        <v>1.1698630136986301</v>
      </c>
      <c r="I5458">
        <v>58</v>
      </c>
      <c r="J5458" t="s">
        <v>38</v>
      </c>
      <c r="K5458" t="s">
        <v>56</v>
      </c>
      <c r="L5458" t="s">
        <v>44</v>
      </c>
      <c r="M5458">
        <v>8.4700000000000006</v>
      </c>
      <c r="T5458" t="s">
        <v>52</v>
      </c>
      <c r="U5458">
        <v>2</v>
      </c>
      <c r="V5458">
        <v>7</v>
      </c>
    </row>
    <row r="5459" spans="1:22" x14ac:dyDescent="0.3">
      <c r="A5459">
        <v>5458</v>
      </c>
      <c r="B5459">
        <v>55986</v>
      </c>
      <c r="C5459" s="2">
        <v>37964</v>
      </c>
      <c r="D5459">
        <v>22</v>
      </c>
      <c r="E5459" t="s">
        <v>42</v>
      </c>
      <c r="F5459" t="s">
        <v>50</v>
      </c>
      <c r="G5459" s="2">
        <v>45595</v>
      </c>
      <c r="H5459" s="3">
        <f t="shared" si="85"/>
        <v>1.0986301369863014</v>
      </c>
      <c r="I5459">
        <v>58</v>
      </c>
      <c r="J5459" t="s">
        <v>38</v>
      </c>
      <c r="K5459" t="s">
        <v>56</v>
      </c>
      <c r="L5459" t="s">
        <v>44</v>
      </c>
      <c r="M5459">
        <v>8.4700000000000006</v>
      </c>
      <c r="T5459" t="s">
        <v>47</v>
      </c>
      <c r="U5459">
        <v>3</v>
      </c>
      <c r="V5459">
        <v>7</v>
      </c>
    </row>
    <row r="5460" spans="1:22" x14ac:dyDescent="0.3">
      <c r="A5460">
        <v>5459</v>
      </c>
      <c r="B5460">
        <v>55987</v>
      </c>
      <c r="C5460" s="2">
        <v>38089</v>
      </c>
      <c r="D5460">
        <v>21</v>
      </c>
      <c r="E5460" t="s">
        <v>42</v>
      </c>
      <c r="F5460" t="s">
        <v>50</v>
      </c>
      <c r="G5460" s="2">
        <v>45621</v>
      </c>
      <c r="H5460" s="3">
        <f t="shared" si="85"/>
        <v>1.7506849315068493</v>
      </c>
      <c r="I5460">
        <v>58</v>
      </c>
      <c r="J5460" t="s">
        <v>38</v>
      </c>
      <c r="K5460" t="s">
        <v>56</v>
      </c>
      <c r="L5460" t="s">
        <v>44</v>
      </c>
      <c r="M5460">
        <v>8.4700000000000006</v>
      </c>
      <c r="T5460" t="s">
        <v>47</v>
      </c>
      <c r="U5460">
        <v>2</v>
      </c>
      <c r="V5460">
        <v>6</v>
      </c>
    </row>
    <row r="5461" spans="1:22" x14ac:dyDescent="0.3">
      <c r="A5461">
        <v>5460</v>
      </c>
      <c r="B5461">
        <v>55988</v>
      </c>
      <c r="C5461" s="2">
        <v>36729</v>
      </c>
      <c r="D5461">
        <v>25</v>
      </c>
      <c r="E5461" t="s">
        <v>42</v>
      </c>
      <c r="F5461" t="s">
        <v>50</v>
      </c>
      <c r="G5461" s="2">
        <v>45383</v>
      </c>
      <c r="H5461" s="3">
        <f t="shared" si="85"/>
        <v>1.4904109589041097</v>
      </c>
      <c r="I5461">
        <v>58</v>
      </c>
      <c r="J5461" t="s">
        <v>38</v>
      </c>
      <c r="K5461" t="s">
        <v>56</v>
      </c>
      <c r="L5461" t="s">
        <v>44</v>
      </c>
      <c r="M5461">
        <v>8.4700000000000006</v>
      </c>
      <c r="T5461" t="s">
        <v>47</v>
      </c>
      <c r="U5461">
        <v>1</v>
      </c>
      <c r="V5461">
        <v>5</v>
      </c>
    </row>
    <row r="5462" spans="1:22" x14ac:dyDescent="0.3">
      <c r="A5462">
        <v>5461</v>
      </c>
      <c r="B5462">
        <v>55989</v>
      </c>
      <c r="C5462" s="2">
        <v>37505</v>
      </c>
      <c r="D5462">
        <v>23</v>
      </c>
      <c r="E5462" t="s">
        <v>36</v>
      </c>
      <c r="F5462" t="s">
        <v>50</v>
      </c>
      <c r="G5462" s="2">
        <v>45478</v>
      </c>
      <c r="H5462" s="3">
        <f t="shared" si="85"/>
        <v>1.0191780821917809</v>
      </c>
      <c r="I5462">
        <v>59</v>
      </c>
      <c r="J5462" t="s">
        <v>38</v>
      </c>
      <c r="K5462" t="s">
        <v>68</v>
      </c>
      <c r="L5462" t="s">
        <v>44</v>
      </c>
      <c r="M5462">
        <v>17</v>
      </c>
      <c r="T5462" t="s">
        <v>45</v>
      </c>
      <c r="U5462">
        <v>2</v>
      </c>
      <c r="V5462">
        <v>4</v>
      </c>
    </row>
    <row r="5463" spans="1:22" x14ac:dyDescent="0.3">
      <c r="A5463">
        <v>5462</v>
      </c>
      <c r="B5463">
        <v>55990</v>
      </c>
      <c r="C5463" s="2">
        <v>37926</v>
      </c>
      <c r="D5463">
        <v>23</v>
      </c>
      <c r="E5463" t="s">
        <v>42</v>
      </c>
      <c r="F5463" t="s">
        <v>37</v>
      </c>
      <c r="G5463" s="2">
        <v>45650</v>
      </c>
      <c r="H5463" s="3">
        <f t="shared" si="85"/>
        <v>1.2684931506849315</v>
      </c>
      <c r="I5463">
        <v>59</v>
      </c>
      <c r="J5463" t="s">
        <v>38</v>
      </c>
      <c r="K5463" t="s">
        <v>65</v>
      </c>
      <c r="L5463" t="s">
        <v>44</v>
      </c>
      <c r="M5463">
        <v>10.64</v>
      </c>
      <c r="T5463" t="s">
        <v>45</v>
      </c>
      <c r="U5463">
        <v>1</v>
      </c>
      <c r="V5463">
        <v>5</v>
      </c>
    </row>
    <row r="5464" spans="1:22" x14ac:dyDescent="0.3">
      <c r="A5464">
        <v>5463</v>
      </c>
      <c r="B5464">
        <v>55991</v>
      </c>
      <c r="C5464" s="2">
        <v>38501</v>
      </c>
      <c r="D5464">
        <v>20</v>
      </c>
      <c r="E5464" t="s">
        <v>36</v>
      </c>
      <c r="F5464" t="s">
        <v>37</v>
      </c>
      <c r="G5464" s="2">
        <v>45559</v>
      </c>
      <c r="H5464" s="3">
        <f t="shared" si="85"/>
        <v>1.8465753424657534</v>
      </c>
      <c r="I5464">
        <v>59</v>
      </c>
      <c r="J5464" t="s">
        <v>38</v>
      </c>
      <c r="K5464" t="s">
        <v>65</v>
      </c>
      <c r="L5464" t="s">
        <v>44</v>
      </c>
      <c r="M5464">
        <v>10.64</v>
      </c>
      <c r="T5464" t="s">
        <v>49</v>
      </c>
      <c r="U5464">
        <v>0</v>
      </c>
      <c r="V5464">
        <v>4</v>
      </c>
    </row>
    <row r="5465" spans="1:22" x14ac:dyDescent="0.3">
      <c r="A5465">
        <v>5464</v>
      </c>
      <c r="B5465">
        <v>55992</v>
      </c>
      <c r="C5465" s="2">
        <v>38230</v>
      </c>
      <c r="D5465">
        <v>21</v>
      </c>
      <c r="E5465" t="s">
        <v>36</v>
      </c>
      <c r="F5465" t="s">
        <v>50</v>
      </c>
      <c r="G5465" s="2">
        <v>45348</v>
      </c>
      <c r="H5465" s="3">
        <f t="shared" si="85"/>
        <v>1.295890410958904</v>
      </c>
      <c r="I5465">
        <v>59</v>
      </c>
      <c r="J5465" t="s">
        <v>38</v>
      </c>
      <c r="K5465" t="s">
        <v>65</v>
      </c>
      <c r="L5465" t="s">
        <v>44</v>
      </c>
      <c r="M5465">
        <v>10.64</v>
      </c>
      <c r="T5465" t="s">
        <v>45</v>
      </c>
      <c r="U5465">
        <v>0</v>
      </c>
      <c r="V5465">
        <v>3</v>
      </c>
    </row>
    <row r="5466" spans="1:22" x14ac:dyDescent="0.3">
      <c r="A5466">
        <v>5465</v>
      </c>
      <c r="B5466">
        <v>55993</v>
      </c>
      <c r="C5466" s="2">
        <v>36961</v>
      </c>
      <c r="D5466">
        <v>24</v>
      </c>
      <c r="E5466" t="s">
        <v>42</v>
      </c>
      <c r="F5466" t="s">
        <v>37</v>
      </c>
      <c r="G5466" s="2">
        <v>45549</v>
      </c>
      <c r="H5466" s="3">
        <f t="shared" si="85"/>
        <v>1.6328767123287671</v>
      </c>
      <c r="I5466">
        <v>59</v>
      </c>
      <c r="J5466" t="s">
        <v>38</v>
      </c>
      <c r="K5466" t="s">
        <v>56</v>
      </c>
      <c r="L5466" t="s">
        <v>44</v>
      </c>
      <c r="M5466">
        <v>8.4700000000000006</v>
      </c>
      <c r="T5466" t="s">
        <v>45</v>
      </c>
      <c r="U5466">
        <v>0</v>
      </c>
      <c r="V5466">
        <v>5</v>
      </c>
    </row>
    <row r="5467" spans="1:22" x14ac:dyDescent="0.3">
      <c r="A5467">
        <v>5466</v>
      </c>
      <c r="B5467">
        <v>55994</v>
      </c>
      <c r="C5467" s="2">
        <v>39310</v>
      </c>
      <c r="D5467">
        <v>18</v>
      </c>
      <c r="E5467" t="s">
        <v>36</v>
      </c>
      <c r="F5467" t="s">
        <v>50</v>
      </c>
      <c r="G5467" s="2">
        <v>45426</v>
      </c>
      <c r="H5467" s="3">
        <f t="shared" si="85"/>
        <v>1.0136986301369864</v>
      </c>
      <c r="I5467">
        <v>59</v>
      </c>
      <c r="J5467" t="s">
        <v>38</v>
      </c>
      <c r="K5467" t="s">
        <v>56</v>
      </c>
      <c r="L5467" t="s">
        <v>44</v>
      </c>
      <c r="M5467">
        <v>8.4700000000000006</v>
      </c>
      <c r="T5467" t="s">
        <v>45</v>
      </c>
      <c r="U5467">
        <v>0</v>
      </c>
      <c r="V5467">
        <v>5</v>
      </c>
    </row>
    <row r="5468" spans="1:22" x14ac:dyDescent="0.3">
      <c r="A5468">
        <v>5467</v>
      </c>
      <c r="B5468">
        <v>55995</v>
      </c>
      <c r="C5468" s="2">
        <v>36954</v>
      </c>
      <c r="D5468">
        <v>24</v>
      </c>
      <c r="E5468" t="s">
        <v>42</v>
      </c>
      <c r="F5468" t="s">
        <v>50</v>
      </c>
      <c r="G5468" s="2">
        <v>45652</v>
      </c>
      <c r="H5468" s="3">
        <f t="shared" si="85"/>
        <v>1.3178082191780822</v>
      </c>
      <c r="I5468">
        <v>59</v>
      </c>
      <c r="J5468" t="s">
        <v>38</v>
      </c>
      <c r="K5468" t="s">
        <v>56</v>
      </c>
      <c r="L5468" t="s">
        <v>44</v>
      </c>
      <c r="M5468">
        <v>8.4700000000000006</v>
      </c>
      <c r="T5468" t="s">
        <v>45</v>
      </c>
      <c r="U5468">
        <v>2</v>
      </c>
      <c r="V5468">
        <v>7</v>
      </c>
    </row>
    <row r="5469" spans="1:22" x14ac:dyDescent="0.3">
      <c r="A5469">
        <v>5468</v>
      </c>
      <c r="B5469">
        <v>55996</v>
      </c>
      <c r="C5469" s="2">
        <v>35844</v>
      </c>
      <c r="D5469">
        <v>27</v>
      </c>
      <c r="E5469" t="s">
        <v>42</v>
      </c>
      <c r="F5469" t="s">
        <v>50</v>
      </c>
      <c r="G5469" s="2">
        <v>45541</v>
      </c>
      <c r="H5469" s="3">
        <f t="shared" si="85"/>
        <v>1.3890410958904109</v>
      </c>
      <c r="I5469">
        <v>59</v>
      </c>
      <c r="J5469" t="s">
        <v>38</v>
      </c>
      <c r="K5469" t="s">
        <v>56</v>
      </c>
      <c r="L5469" t="s">
        <v>44</v>
      </c>
      <c r="M5469">
        <v>8.4700000000000006</v>
      </c>
      <c r="T5469" t="s">
        <v>45</v>
      </c>
      <c r="U5469">
        <v>1</v>
      </c>
      <c r="V5469">
        <v>6</v>
      </c>
    </row>
    <row r="5470" spans="1:22" x14ac:dyDescent="0.3">
      <c r="A5470">
        <v>5469</v>
      </c>
      <c r="B5470">
        <v>55997</v>
      </c>
      <c r="C5470" s="2">
        <v>37537</v>
      </c>
      <c r="D5470">
        <v>23</v>
      </c>
      <c r="E5470" t="s">
        <v>42</v>
      </c>
      <c r="F5470" t="s">
        <v>37</v>
      </c>
      <c r="G5470" s="2">
        <v>45515</v>
      </c>
      <c r="H5470" s="3">
        <f t="shared" si="85"/>
        <v>1.704109589041096</v>
      </c>
      <c r="I5470">
        <v>59</v>
      </c>
      <c r="J5470" t="s">
        <v>38</v>
      </c>
      <c r="K5470" t="s">
        <v>56</v>
      </c>
      <c r="L5470" t="s">
        <v>44</v>
      </c>
      <c r="M5470">
        <v>8.4700000000000006</v>
      </c>
      <c r="T5470" t="s">
        <v>52</v>
      </c>
      <c r="U5470">
        <v>2</v>
      </c>
      <c r="V5470">
        <v>6</v>
      </c>
    </row>
    <row r="5471" spans="1:22" x14ac:dyDescent="0.3">
      <c r="A5471">
        <v>5470</v>
      </c>
      <c r="B5471">
        <v>55998</v>
      </c>
      <c r="C5471" s="2">
        <v>38226</v>
      </c>
      <c r="D5471">
        <v>21</v>
      </c>
      <c r="E5471" t="s">
        <v>42</v>
      </c>
      <c r="F5471" t="s">
        <v>50</v>
      </c>
      <c r="G5471" s="2">
        <v>45400</v>
      </c>
      <c r="H5471" s="3">
        <f t="shared" si="85"/>
        <v>1.295890410958904</v>
      </c>
      <c r="I5471">
        <v>59</v>
      </c>
      <c r="J5471" t="s">
        <v>38</v>
      </c>
      <c r="K5471" t="s">
        <v>56</v>
      </c>
      <c r="L5471" t="s">
        <v>44</v>
      </c>
      <c r="M5471">
        <v>8.4700000000000006</v>
      </c>
      <c r="T5471" t="s">
        <v>52</v>
      </c>
      <c r="U5471">
        <v>2</v>
      </c>
      <c r="V5471">
        <v>7</v>
      </c>
    </row>
    <row r="5472" spans="1:22" x14ac:dyDescent="0.3">
      <c r="A5472">
        <v>5471</v>
      </c>
      <c r="B5472">
        <v>55999</v>
      </c>
      <c r="C5472" s="2">
        <v>38689</v>
      </c>
      <c r="D5472">
        <v>20</v>
      </c>
      <c r="E5472" t="s">
        <v>36</v>
      </c>
      <c r="F5472" t="s">
        <v>50</v>
      </c>
      <c r="G5472" s="2">
        <v>45549</v>
      </c>
      <c r="H5472" s="3">
        <f t="shared" si="85"/>
        <v>1.5534246575342465</v>
      </c>
      <c r="I5472">
        <v>59</v>
      </c>
      <c r="J5472" t="s">
        <v>38</v>
      </c>
      <c r="K5472" t="s">
        <v>56</v>
      </c>
      <c r="L5472" t="s">
        <v>44</v>
      </c>
      <c r="M5472">
        <v>8.4700000000000006</v>
      </c>
      <c r="T5472" t="s">
        <v>45</v>
      </c>
      <c r="U5472">
        <v>2</v>
      </c>
      <c r="V5472">
        <v>5</v>
      </c>
    </row>
    <row r="5473" spans="1:22" x14ac:dyDescent="0.3">
      <c r="A5473">
        <v>5472</v>
      </c>
      <c r="B5473">
        <v>56000</v>
      </c>
      <c r="C5473" s="2">
        <v>38591</v>
      </c>
      <c r="D5473">
        <v>20</v>
      </c>
      <c r="E5473" t="s">
        <v>42</v>
      </c>
      <c r="F5473" t="s">
        <v>37</v>
      </c>
      <c r="G5473" s="2">
        <v>45455</v>
      </c>
      <c r="H5473" s="3">
        <f t="shared" si="85"/>
        <v>1.6739726027397259</v>
      </c>
      <c r="I5473">
        <v>59</v>
      </c>
      <c r="J5473" t="s">
        <v>38</v>
      </c>
      <c r="K5473" t="s">
        <v>56</v>
      </c>
      <c r="L5473" t="s">
        <v>44</v>
      </c>
      <c r="M5473">
        <v>8.4700000000000006</v>
      </c>
      <c r="T5473" t="s">
        <v>52</v>
      </c>
      <c r="U5473">
        <v>4</v>
      </c>
      <c r="V5473">
        <v>5</v>
      </c>
    </row>
    <row r="5474" spans="1:22" x14ac:dyDescent="0.3">
      <c r="A5474">
        <v>5473</v>
      </c>
      <c r="B5474">
        <v>56001</v>
      </c>
      <c r="C5474" s="2">
        <v>38055</v>
      </c>
      <c r="D5474">
        <v>21</v>
      </c>
      <c r="E5474" t="s">
        <v>42</v>
      </c>
      <c r="F5474" t="s">
        <v>50</v>
      </c>
      <c r="G5474" s="2">
        <v>45411</v>
      </c>
      <c r="H5474" s="3">
        <f t="shared" si="85"/>
        <v>1.1260273972602739</v>
      </c>
      <c r="I5474">
        <v>59</v>
      </c>
      <c r="J5474" t="s">
        <v>38</v>
      </c>
      <c r="K5474" t="s">
        <v>56</v>
      </c>
      <c r="L5474" t="s">
        <v>44</v>
      </c>
      <c r="M5474">
        <v>8.4700000000000006</v>
      </c>
      <c r="T5474" t="s">
        <v>49</v>
      </c>
      <c r="U5474">
        <v>2</v>
      </c>
      <c r="V5474">
        <v>7</v>
      </c>
    </row>
    <row r="5475" spans="1:22" x14ac:dyDescent="0.3">
      <c r="A5475">
        <v>5474</v>
      </c>
      <c r="B5475">
        <v>56002</v>
      </c>
      <c r="C5475" s="2">
        <v>38588</v>
      </c>
      <c r="D5475">
        <v>20</v>
      </c>
      <c r="E5475" t="s">
        <v>36</v>
      </c>
      <c r="F5475" t="s">
        <v>50</v>
      </c>
      <c r="G5475" s="2">
        <v>45611</v>
      </c>
      <c r="H5475" s="3">
        <f t="shared" si="85"/>
        <v>1.7342465753424658</v>
      </c>
      <c r="I5475">
        <v>59</v>
      </c>
      <c r="J5475" t="s">
        <v>38</v>
      </c>
      <c r="K5475" t="s">
        <v>56</v>
      </c>
      <c r="L5475" t="s">
        <v>44</v>
      </c>
      <c r="M5475">
        <v>8.4700000000000006</v>
      </c>
      <c r="T5475" t="s">
        <v>47</v>
      </c>
      <c r="U5475">
        <v>1</v>
      </c>
      <c r="V5475">
        <v>5</v>
      </c>
    </row>
    <row r="5476" spans="1:22" x14ac:dyDescent="0.3">
      <c r="A5476">
        <v>5475</v>
      </c>
      <c r="B5476">
        <v>56003</v>
      </c>
      <c r="C5476" s="2">
        <v>38879</v>
      </c>
      <c r="D5476">
        <v>19</v>
      </c>
      <c r="E5476" t="s">
        <v>36</v>
      </c>
      <c r="F5476" t="s">
        <v>50</v>
      </c>
      <c r="G5476" s="2">
        <v>45389</v>
      </c>
      <c r="H5476" s="3">
        <f t="shared" si="85"/>
        <v>1.6630136986301369</v>
      </c>
      <c r="I5476">
        <v>59</v>
      </c>
      <c r="J5476" t="s">
        <v>38</v>
      </c>
      <c r="K5476" t="s">
        <v>56</v>
      </c>
      <c r="L5476" t="s">
        <v>44</v>
      </c>
      <c r="M5476">
        <v>8.4700000000000006</v>
      </c>
      <c r="T5476" t="s">
        <v>52</v>
      </c>
      <c r="U5476">
        <v>4</v>
      </c>
      <c r="V5476">
        <v>5</v>
      </c>
    </row>
    <row r="5477" spans="1:22" x14ac:dyDescent="0.3">
      <c r="A5477">
        <v>5476</v>
      </c>
      <c r="B5477">
        <v>56004</v>
      </c>
      <c r="C5477" s="2">
        <v>34068</v>
      </c>
      <c r="D5477">
        <v>32</v>
      </c>
      <c r="E5477" t="s">
        <v>42</v>
      </c>
      <c r="F5477" t="s">
        <v>50</v>
      </c>
      <c r="G5477" s="2">
        <v>45415</v>
      </c>
      <c r="H5477" s="3">
        <f t="shared" si="85"/>
        <v>1.2821917808219179</v>
      </c>
      <c r="I5477">
        <v>59</v>
      </c>
      <c r="J5477" t="s">
        <v>38</v>
      </c>
      <c r="K5477" t="s">
        <v>56</v>
      </c>
      <c r="L5477" t="s">
        <v>44</v>
      </c>
      <c r="M5477">
        <v>8.4700000000000006</v>
      </c>
      <c r="T5477" t="s">
        <v>45</v>
      </c>
      <c r="U5477">
        <v>1</v>
      </c>
      <c r="V5477">
        <v>5</v>
      </c>
    </row>
    <row r="5478" spans="1:22" x14ac:dyDescent="0.3">
      <c r="A5478">
        <v>5477</v>
      </c>
      <c r="B5478">
        <v>56005</v>
      </c>
      <c r="C5478" s="2">
        <v>38462</v>
      </c>
      <c r="D5478">
        <v>20</v>
      </c>
      <c r="E5478" t="s">
        <v>42</v>
      </c>
      <c r="F5478" t="s">
        <v>50</v>
      </c>
      <c r="G5478" s="2">
        <v>45554</v>
      </c>
      <c r="H5478" s="3">
        <f t="shared" si="85"/>
        <v>1.3835616438356164</v>
      </c>
      <c r="I5478">
        <v>59</v>
      </c>
      <c r="J5478" t="s">
        <v>38</v>
      </c>
      <c r="K5478" t="s">
        <v>56</v>
      </c>
      <c r="L5478" t="s">
        <v>44</v>
      </c>
      <c r="M5478">
        <v>8.4700000000000006</v>
      </c>
      <c r="T5478" t="s">
        <v>52</v>
      </c>
      <c r="U5478">
        <v>3</v>
      </c>
      <c r="V5478">
        <v>6</v>
      </c>
    </row>
    <row r="5479" spans="1:22" x14ac:dyDescent="0.3">
      <c r="A5479">
        <v>5478</v>
      </c>
      <c r="B5479">
        <v>56006</v>
      </c>
      <c r="C5479" s="2">
        <v>38479</v>
      </c>
      <c r="D5479">
        <v>20</v>
      </c>
      <c r="E5479" t="s">
        <v>42</v>
      </c>
      <c r="F5479" t="s">
        <v>50</v>
      </c>
      <c r="G5479" s="2">
        <v>45517</v>
      </c>
      <c r="H5479" s="3">
        <f t="shared" si="85"/>
        <v>1.8356164383561644</v>
      </c>
      <c r="I5479">
        <v>59</v>
      </c>
      <c r="J5479" t="s">
        <v>38</v>
      </c>
      <c r="K5479" t="s">
        <v>56</v>
      </c>
      <c r="L5479" t="s">
        <v>44</v>
      </c>
      <c r="M5479">
        <v>8.4700000000000006</v>
      </c>
      <c r="T5479" t="s">
        <v>47</v>
      </c>
      <c r="U5479">
        <v>3</v>
      </c>
      <c r="V5479">
        <v>7</v>
      </c>
    </row>
    <row r="5480" spans="1:22" x14ac:dyDescent="0.3">
      <c r="A5480">
        <v>5479</v>
      </c>
      <c r="B5480">
        <v>56007</v>
      </c>
      <c r="C5480" s="2">
        <v>35103</v>
      </c>
      <c r="D5480">
        <v>29</v>
      </c>
      <c r="E5480" t="s">
        <v>36</v>
      </c>
      <c r="F5480" t="s">
        <v>50</v>
      </c>
      <c r="G5480" s="2">
        <v>45352</v>
      </c>
      <c r="H5480" s="3">
        <f t="shared" si="85"/>
        <v>1.1232876712328768</v>
      </c>
      <c r="I5480">
        <v>60</v>
      </c>
      <c r="J5480" t="s">
        <v>38</v>
      </c>
      <c r="K5480" t="s">
        <v>68</v>
      </c>
      <c r="L5480" t="s">
        <v>44</v>
      </c>
      <c r="M5480">
        <v>17</v>
      </c>
      <c r="T5480" t="s">
        <v>49</v>
      </c>
      <c r="U5480">
        <v>2</v>
      </c>
      <c r="V5480">
        <v>4</v>
      </c>
    </row>
    <row r="5481" spans="1:22" x14ac:dyDescent="0.3">
      <c r="A5481">
        <v>5480</v>
      </c>
      <c r="B5481">
        <v>56008</v>
      </c>
      <c r="C5481" s="2">
        <v>35951</v>
      </c>
      <c r="D5481">
        <v>27</v>
      </c>
      <c r="E5481" t="s">
        <v>42</v>
      </c>
      <c r="F5481" t="s">
        <v>37</v>
      </c>
      <c r="G5481" s="2">
        <v>45612</v>
      </c>
      <c r="H5481" s="3">
        <f t="shared" si="85"/>
        <v>1.0520547945205478</v>
      </c>
      <c r="I5481">
        <v>60</v>
      </c>
      <c r="J5481" t="s">
        <v>38</v>
      </c>
      <c r="K5481" t="s">
        <v>68</v>
      </c>
      <c r="L5481" t="s">
        <v>44</v>
      </c>
      <c r="M5481">
        <v>17</v>
      </c>
      <c r="T5481" t="s">
        <v>47</v>
      </c>
      <c r="U5481">
        <v>0</v>
      </c>
      <c r="V5481">
        <v>7</v>
      </c>
    </row>
    <row r="5482" spans="1:22" x14ac:dyDescent="0.3">
      <c r="A5482">
        <v>5481</v>
      </c>
      <c r="B5482">
        <v>56010</v>
      </c>
      <c r="C5482" s="2">
        <v>35053</v>
      </c>
      <c r="D5482">
        <v>30</v>
      </c>
      <c r="E5482" t="s">
        <v>42</v>
      </c>
      <c r="F5482" t="s">
        <v>50</v>
      </c>
      <c r="G5482" s="2">
        <v>45638</v>
      </c>
      <c r="H5482" s="3">
        <f t="shared" si="85"/>
        <v>1.167123287671233</v>
      </c>
      <c r="I5482">
        <v>60</v>
      </c>
      <c r="J5482" t="s">
        <v>38</v>
      </c>
      <c r="K5482" t="s">
        <v>68</v>
      </c>
      <c r="L5482" t="s">
        <v>44</v>
      </c>
      <c r="M5482">
        <v>17</v>
      </c>
      <c r="T5482" t="s">
        <v>52</v>
      </c>
      <c r="U5482">
        <v>0</v>
      </c>
      <c r="V5482">
        <v>6</v>
      </c>
    </row>
    <row r="5483" spans="1:22" x14ac:dyDescent="0.3">
      <c r="A5483">
        <v>5482</v>
      </c>
      <c r="B5483">
        <v>56011</v>
      </c>
      <c r="C5483" s="2">
        <v>38421</v>
      </c>
      <c r="D5483">
        <v>20</v>
      </c>
      <c r="E5483" t="s">
        <v>36</v>
      </c>
      <c r="F5483" t="s">
        <v>37</v>
      </c>
      <c r="G5483" s="2">
        <v>45596</v>
      </c>
      <c r="H5483" s="3">
        <f t="shared" si="85"/>
        <v>1.0301369863013699</v>
      </c>
      <c r="I5483">
        <v>60</v>
      </c>
      <c r="J5483" t="s">
        <v>38</v>
      </c>
      <c r="K5483" t="s">
        <v>65</v>
      </c>
      <c r="L5483" t="s">
        <v>44</v>
      </c>
      <c r="M5483">
        <v>10.64</v>
      </c>
      <c r="T5483" t="s">
        <v>52</v>
      </c>
      <c r="U5483">
        <v>1</v>
      </c>
      <c r="V5483">
        <v>2</v>
      </c>
    </row>
    <row r="5484" spans="1:22" x14ac:dyDescent="0.3">
      <c r="A5484">
        <v>5483</v>
      </c>
      <c r="B5484">
        <v>56012</v>
      </c>
      <c r="C5484" s="2">
        <v>38292</v>
      </c>
      <c r="D5484">
        <v>22</v>
      </c>
      <c r="E5484" t="s">
        <v>42</v>
      </c>
      <c r="F5484" t="s">
        <v>50</v>
      </c>
      <c r="G5484" s="2">
        <v>45646</v>
      </c>
      <c r="H5484" s="3">
        <f t="shared" si="85"/>
        <v>1.4767123287671233</v>
      </c>
      <c r="I5484">
        <v>60</v>
      </c>
      <c r="J5484" t="s">
        <v>38</v>
      </c>
      <c r="K5484" t="s">
        <v>43</v>
      </c>
      <c r="L5484" t="s">
        <v>44</v>
      </c>
      <c r="M5484">
        <v>16.37</v>
      </c>
      <c r="T5484" t="s">
        <v>47</v>
      </c>
      <c r="U5484">
        <v>1</v>
      </c>
      <c r="V5484">
        <v>6</v>
      </c>
    </row>
    <row r="5485" spans="1:22" x14ac:dyDescent="0.3">
      <c r="A5485">
        <v>5484</v>
      </c>
      <c r="B5485">
        <v>56013</v>
      </c>
      <c r="C5485" s="2">
        <v>36819</v>
      </c>
      <c r="D5485">
        <v>25</v>
      </c>
      <c r="E5485" t="s">
        <v>36</v>
      </c>
      <c r="F5485" t="s">
        <v>50</v>
      </c>
      <c r="G5485" s="2">
        <v>45483</v>
      </c>
      <c r="H5485" s="3">
        <f t="shared" si="85"/>
        <v>1.2164383561643837</v>
      </c>
      <c r="I5485">
        <v>60</v>
      </c>
      <c r="J5485" t="s">
        <v>38</v>
      </c>
      <c r="K5485" t="s">
        <v>46</v>
      </c>
      <c r="L5485" t="s">
        <v>44</v>
      </c>
      <c r="M5485">
        <v>14.23</v>
      </c>
      <c r="T5485" t="s">
        <v>52</v>
      </c>
      <c r="U5485">
        <v>0</v>
      </c>
      <c r="V5485">
        <v>4</v>
      </c>
    </row>
    <row r="5486" spans="1:22" x14ac:dyDescent="0.3">
      <c r="A5486">
        <v>5485</v>
      </c>
      <c r="B5486">
        <v>56014</v>
      </c>
      <c r="C5486" s="2">
        <v>36207</v>
      </c>
      <c r="D5486">
        <v>26</v>
      </c>
      <c r="E5486" t="s">
        <v>36</v>
      </c>
      <c r="F5486" t="s">
        <v>50</v>
      </c>
      <c r="G5486" s="2">
        <v>45578</v>
      </c>
      <c r="H5486" s="3">
        <f t="shared" si="85"/>
        <v>1.0630136986301371</v>
      </c>
      <c r="I5486">
        <v>60</v>
      </c>
      <c r="J5486" t="s">
        <v>38</v>
      </c>
      <c r="K5486" t="s">
        <v>46</v>
      </c>
      <c r="L5486" t="s">
        <v>44</v>
      </c>
      <c r="M5486">
        <v>14.23</v>
      </c>
      <c r="T5486" t="s">
        <v>47</v>
      </c>
      <c r="U5486">
        <v>0</v>
      </c>
      <c r="V5486">
        <v>3</v>
      </c>
    </row>
    <row r="5487" spans="1:22" x14ac:dyDescent="0.3">
      <c r="A5487">
        <v>5486</v>
      </c>
      <c r="B5487">
        <v>56015</v>
      </c>
      <c r="C5487" s="2">
        <v>36063</v>
      </c>
      <c r="D5487">
        <v>27</v>
      </c>
      <c r="E5487" t="s">
        <v>42</v>
      </c>
      <c r="F5487" t="s">
        <v>37</v>
      </c>
      <c r="G5487" s="2">
        <v>45634</v>
      </c>
      <c r="H5487" s="3">
        <f t="shared" si="85"/>
        <v>1.5068493150684932</v>
      </c>
      <c r="I5487">
        <v>60</v>
      </c>
      <c r="J5487" t="s">
        <v>38</v>
      </c>
      <c r="K5487" t="s">
        <v>64</v>
      </c>
      <c r="L5487" t="s">
        <v>44</v>
      </c>
      <c r="M5487">
        <v>14.07</v>
      </c>
      <c r="T5487" t="s">
        <v>49</v>
      </c>
      <c r="U5487">
        <v>0</v>
      </c>
      <c r="V5487">
        <v>6</v>
      </c>
    </row>
    <row r="5488" spans="1:22" x14ac:dyDescent="0.3">
      <c r="A5488">
        <v>5487</v>
      </c>
      <c r="B5488">
        <v>56016</v>
      </c>
      <c r="C5488" s="2">
        <v>37411</v>
      </c>
      <c r="D5488">
        <v>23</v>
      </c>
      <c r="E5488" t="s">
        <v>42</v>
      </c>
      <c r="F5488" t="s">
        <v>37</v>
      </c>
      <c r="G5488" s="2">
        <v>45472</v>
      </c>
      <c r="H5488" s="3">
        <f t="shared" si="85"/>
        <v>1.526027397260274</v>
      </c>
      <c r="I5488">
        <v>60</v>
      </c>
      <c r="J5488" t="s">
        <v>38</v>
      </c>
      <c r="K5488" t="s">
        <v>48</v>
      </c>
      <c r="L5488" t="s">
        <v>44</v>
      </c>
      <c r="M5488">
        <v>8.4700000000000006</v>
      </c>
      <c r="T5488" t="s">
        <v>47</v>
      </c>
      <c r="U5488">
        <v>2</v>
      </c>
      <c r="V5488">
        <v>6</v>
      </c>
    </row>
    <row r="5489" spans="1:22" x14ac:dyDescent="0.3">
      <c r="A5489">
        <v>5488</v>
      </c>
      <c r="B5489">
        <v>56017</v>
      </c>
      <c r="C5489" s="2">
        <v>37127</v>
      </c>
      <c r="D5489">
        <v>24</v>
      </c>
      <c r="E5489" t="s">
        <v>42</v>
      </c>
      <c r="F5489" t="s">
        <v>37</v>
      </c>
      <c r="G5489" s="2">
        <v>45465</v>
      </c>
      <c r="H5489" s="3">
        <f t="shared" si="85"/>
        <v>1.5561643835616439</v>
      </c>
      <c r="I5489">
        <v>60</v>
      </c>
      <c r="J5489" t="s">
        <v>38</v>
      </c>
      <c r="K5489" t="s">
        <v>56</v>
      </c>
      <c r="L5489" t="s">
        <v>44</v>
      </c>
      <c r="M5489">
        <v>8.4700000000000006</v>
      </c>
      <c r="T5489" t="s">
        <v>45</v>
      </c>
      <c r="U5489">
        <v>1</v>
      </c>
      <c r="V5489">
        <v>5</v>
      </c>
    </row>
    <row r="5490" spans="1:22" x14ac:dyDescent="0.3">
      <c r="A5490">
        <v>5489</v>
      </c>
      <c r="B5490">
        <v>56018</v>
      </c>
      <c r="C5490" s="2">
        <v>36388</v>
      </c>
      <c r="D5490">
        <v>26</v>
      </c>
      <c r="E5490" t="s">
        <v>36</v>
      </c>
      <c r="F5490" t="s">
        <v>50</v>
      </c>
      <c r="G5490" s="2">
        <v>45454</v>
      </c>
      <c r="H5490" s="3">
        <f t="shared" si="85"/>
        <v>1.0931506849315069</v>
      </c>
      <c r="I5490">
        <v>60</v>
      </c>
      <c r="J5490" t="s">
        <v>38</v>
      </c>
      <c r="K5490" t="s">
        <v>56</v>
      </c>
      <c r="L5490" t="s">
        <v>44</v>
      </c>
      <c r="M5490">
        <v>8.4700000000000006</v>
      </c>
      <c r="T5490" t="s">
        <v>45</v>
      </c>
      <c r="U5490">
        <v>3</v>
      </c>
      <c r="V5490">
        <v>4</v>
      </c>
    </row>
    <row r="5491" spans="1:22" x14ac:dyDescent="0.3">
      <c r="A5491">
        <v>5490</v>
      </c>
      <c r="B5491">
        <v>56020</v>
      </c>
      <c r="C5491" s="2">
        <v>39025</v>
      </c>
      <c r="D5491">
        <v>19</v>
      </c>
      <c r="E5491" t="s">
        <v>42</v>
      </c>
      <c r="F5491" t="s">
        <v>50</v>
      </c>
      <c r="G5491" s="2">
        <v>45623</v>
      </c>
      <c r="H5491" s="3">
        <f t="shared" si="85"/>
        <v>1.106849315068493</v>
      </c>
      <c r="I5491">
        <v>60</v>
      </c>
      <c r="J5491" t="s">
        <v>38</v>
      </c>
      <c r="K5491" t="s">
        <v>56</v>
      </c>
      <c r="L5491" t="s">
        <v>44</v>
      </c>
      <c r="M5491">
        <v>8.4700000000000006</v>
      </c>
      <c r="T5491" t="s">
        <v>52</v>
      </c>
      <c r="U5491">
        <v>2</v>
      </c>
      <c r="V5491">
        <v>6</v>
      </c>
    </row>
    <row r="5492" spans="1:22" x14ac:dyDescent="0.3">
      <c r="A5492">
        <v>5491</v>
      </c>
      <c r="B5492">
        <v>56021</v>
      </c>
      <c r="C5492" s="2">
        <v>36460</v>
      </c>
      <c r="D5492">
        <v>26</v>
      </c>
      <c r="E5492" t="s">
        <v>42</v>
      </c>
      <c r="F5492" t="s">
        <v>37</v>
      </c>
      <c r="G5492" s="2">
        <v>45618</v>
      </c>
      <c r="H5492" s="3">
        <f t="shared" si="85"/>
        <v>1.1534246575342466</v>
      </c>
      <c r="I5492">
        <v>60</v>
      </c>
      <c r="J5492" t="s">
        <v>38</v>
      </c>
      <c r="K5492" t="s">
        <v>56</v>
      </c>
      <c r="L5492" t="s">
        <v>44</v>
      </c>
      <c r="M5492">
        <v>8.4700000000000006</v>
      </c>
      <c r="T5492" t="s">
        <v>52</v>
      </c>
      <c r="U5492">
        <v>3</v>
      </c>
      <c r="V5492">
        <v>4</v>
      </c>
    </row>
    <row r="5493" spans="1:22" x14ac:dyDescent="0.3">
      <c r="A5493">
        <v>5492</v>
      </c>
      <c r="B5493">
        <v>56022</v>
      </c>
      <c r="C5493" s="2">
        <v>39289</v>
      </c>
      <c r="D5493">
        <v>18</v>
      </c>
      <c r="E5493" t="s">
        <v>42</v>
      </c>
      <c r="F5493" t="s">
        <v>37</v>
      </c>
      <c r="G5493" s="2">
        <v>45601</v>
      </c>
      <c r="H5493" s="3">
        <f t="shared" si="85"/>
        <v>1.7232876712328766</v>
      </c>
      <c r="I5493">
        <v>60</v>
      </c>
      <c r="J5493" t="s">
        <v>38</v>
      </c>
      <c r="K5493" t="s">
        <v>56</v>
      </c>
      <c r="L5493" t="s">
        <v>44</v>
      </c>
      <c r="M5493">
        <v>8.4700000000000006</v>
      </c>
      <c r="T5493" t="s">
        <v>45</v>
      </c>
      <c r="U5493">
        <v>2</v>
      </c>
      <c r="V5493">
        <v>5</v>
      </c>
    </row>
    <row r="5494" spans="1:22" x14ac:dyDescent="0.3">
      <c r="A5494">
        <v>5493</v>
      </c>
      <c r="B5494">
        <v>56023</v>
      </c>
      <c r="C5494" s="2">
        <v>38394</v>
      </c>
      <c r="D5494">
        <v>20</v>
      </c>
      <c r="E5494" t="s">
        <v>42</v>
      </c>
      <c r="F5494" t="s">
        <v>50</v>
      </c>
      <c r="G5494" s="2">
        <v>45393</v>
      </c>
      <c r="H5494" s="3">
        <f t="shared" si="85"/>
        <v>1.2602739726027397</v>
      </c>
      <c r="I5494">
        <v>60</v>
      </c>
      <c r="J5494" t="s">
        <v>38</v>
      </c>
      <c r="K5494" t="s">
        <v>56</v>
      </c>
      <c r="L5494" t="s">
        <v>44</v>
      </c>
      <c r="M5494">
        <v>8.4700000000000006</v>
      </c>
      <c r="T5494" t="s">
        <v>49</v>
      </c>
      <c r="U5494">
        <v>1</v>
      </c>
      <c r="V5494">
        <v>6</v>
      </c>
    </row>
    <row r="5495" spans="1:22" x14ac:dyDescent="0.3">
      <c r="A5495">
        <v>5494</v>
      </c>
      <c r="B5495">
        <v>56024</v>
      </c>
      <c r="C5495" s="2">
        <v>36213</v>
      </c>
      <c r="D5495">
        <v>26</v>
      </c>
      <c r="E5495" t="s">
        <v>36</v>
      </c>
      <c r="F5495" t="s">
        <v>37</v>
      </c>
      <c r="G5495" s="2">
        <v>45562</v>
      </c>
      <c r="H5495" s="3">
        <f t="shared" si="85"/>
        <v>1.2794520547945205</v>
      </c>
      <c r="I5495">
        <v>60</v>
      </c>
      <c r="J5495" t="s">
        <v>38</v>
      </c>
      <c r="K5495" t="s">
        <v>56</v>
      </c>
      <c r="L5495" t="s">
        <v>44</v>
      </c>
      <c r="M5495">
        <v>8.4700000000000006</v>
      </c>
      <c r="T5495" t="s">
        <v>49</v>
      </c>
      <c r="U5495">
        <v>2</v>
      </c>
      <c r="V5495">
        <v>6</v>
      </c>
    </row>
    <row r="5496" spans="1:22" x14ac:dyDescent="0.3">
      <c r="A5496">
        <v>5495</v>
      </c>
      <c r="B5496">
        <v>56025</v>
      </c>
      <c r="C5496" s="2">
        <v>38330</v>
      </c>
      <c r="D5496">
        <v>21</v>
      </c>
      <c r="E5496" t="s">
        <v>42</v>
      </c>
      <c r="F5496" t="s">
        <v>37</v>
      </c>
      <c r="G5496" s="2">
        <v>45555</v>
      </c>
      <c r="H5496" s="3">
        <f t="shared" si="85"/>
        <v>1.2082191780821918</v>
      </c>
      <c r="I5496">
        <v>60</v>
      </c>
      <c r="J5496" t="s">
        <v>38</v>
      </c>
      <c r="K5496" t="s">
        <v>56</v>
      </c>
      <c r="L5496" t="s">
        <v>44</v>
      </c>
      <c r="M5496">
        <v>8.4700000000000006</v>
      </c>
      <c r="T5496" t="s">
        <v>45</v>
      </c>
      <c r="U5496">
        <v>4</v>
      </c>
      <c r="V5496">
        <v>5</v>
      </c>
    </row>
    <row r="5497" spans="1:22" x14ac:dyDescent="0.3">
      <c r="A5497">
        <v>5496</v>
      </c>
      <c r="B5497">
        <v>56026</v>
      </c>
      <c r="C5497" s="2">
        <v>38962</v>
      </c>
      <c r="D5497">
        <v>19</v>
      </c>
      <c r="E5497" t="s">
        <v>36</v>
      </c>
      <c r="F5497" t="s">
        <v>50</v>
      </c>
      <c r="G5497" s="2">
        <v>45581</v>
      </c>
      <c r="H5497" s="3">
        <f t="shared" si="85"/>
        <v>1.7068493150684931</v>
      </c>
      <c r="I5497">
        <v>60</v>
      </c>
      <c r="J5497" t="s">
        <v>38</v>
      </c>
      <c r="K5497" t="s">
        <v>56</v>
      </c>
      <c r="L5497" t="s">
        <v>44</v>
      </c>
      <c r="M5497">
        <v>8.4700000000000006</v>
      </c>
      <c r="T5497" t="s">
        <v>47</v>
      </c>
      <c r="U5497">
        <v>3</v>
      </c>
      <c r="V5497">
        <v>5</v>
      </c>
    </row>
    <row r="5498" spans="1:22" x14ac:dyDescent="0.3">
      <c r="A5498">
        <v>5497</v>
      </c>
      <c r="B5498">
        <v>56028</v>
      </c>
      <c r="C5498" s="2">
        <v>37068</v>
      </c>
      <c r="D5498">
        <v>24</v>
      </c>
      <c r="E5498" t="s">
        <v>42</v>
      </c>
      <c r="F5498" t="s">
        <v>50</v>
      </c>
      <c r="G5498" s="2">
        <v>45399</v>
      </c>
      <c r="H5498" s="3">
        <f t="shared" si="85"/>
        <v>1.3397260273972602</v>
      </c>
      <c r="I5498">
        <v>60</v>
      </c>
      <c r="J5498" t="s">
        <v>38</v>
      </c>
      <c r="K5498" t="s">
        <v>56</v>
      </c>
      <c r="L5498" t="s">
        <v>44</v>
      </c>
      <c r="M5498">
        <v>8.4700000000000006</v>
      </c>
      <c r="T5498" t="s">
        <v>52</v>
      </c>
      <c r="U5498">
        <v>0</v>
      </c>
      <c r="V5498">
        <v>3</v>
      </c>
    </row>
    <row r="5499" spans="1:22" x14ac:dyDescent="0.3">
      <c r="A5499">
        <v>5498</v>
      </c>
      <c r="B5499">
        <v>56029</v>
      </c>
      <c r="C5499" s="2">
        <v>34202</v>
      </c>
      <c r="D5499">
        <v>32</v>
      </c>
      <c r="E5499" t="s">
        <v>42</v>
      </c>
      <c r="F5499" t="s">
        <v>50</v>
      </c>
      <c r="G5499" s="2">
        <v>45533</v>
      </c>
      <c r="H5499" s="3">
        <f t="shared" si="85"/>
        <v>1.4219178082191781</v>
      </c>
      <c r="I5499">
        <v>60</v>
      </c>
      <c r="J5499" t="s">
        <v>38</v>
      </c>
      <c r="K5499" t="s">
        <v>56</v>
      </c>
      <c r="L5499" t="s">
        <v>44</v>
      </c>
      <c r="M5499">
        <v>8.4700000000000006</v>
      </c>
      <c r="T5499" t="s">
        <v>52</v>
      </c>
      <c r="U5499">
        <v>3</v>
      </c>
      <c r="V5499">
        <v>6</v>
      </c>
    </row>
    <row r="5500" spans="1:22" x14ac:dyDescent="0.3">
      <c r="A5500">
        <v>5499</v>
      </c>
      <c r="B5500">
        <v>56030</v>
      </c>
      <c r="C5500" s="2">
        <v>34423</v>
      </c>
      <c r="D5500">
        <v>31</v>
      </c>
      <c r="E5500" t="s">
        <v>42</v>
      </c>
      <c r="F5500" t="s">
        <v>50</v>
      </c>
      <c r="G5500" s="2">
        <v>45503</v>
      </c>
      <c r="H5500" s="3">
        <f t="shared" si="85"/>
        <v>1.0876712328767124</v>
      </c>
      <c r="I5500">
        <v>60</v>
      </c>
      <c r="J5500" t="s">
        <v>38</v>
      </c>
      <c r="K5500" t="s">
        <v>56</v>
      </c>
      <c r="L5500" t="s">
        <v>44</v>
      </c>
      <c r="M5500">
        <v>8.4700000000000006</v>
      </c>
      <c r="T5500" t="s">
        <v>47</v>
      </c>
      <c r="U5500">
        <v>2</v>
      </c>
      <c r="V5500">
        <v>5</v>
      </c>
    </row>
    <row r="5501" spans="1:22" x14ac:dyDescent="0.3">
      <c r="A5501">
        <v>5500</v>
      </c>
      <c r="B5501">
        <v>56031</v>
      </c>
      <c r="C5501" s="2">
        <v>38344</v>
      </c>
      <c r="D5501">
        <v>21</v>
      </c>
      <c r="E5501" t="s">
        <v>42</v>
      </c>
      <c r="F5501" t="s">
        <v>37</v>
      </c>
      <c r="G5501" s="2">
        <v>45625</v>
      </c>
      <c r="H5501" s="3">
        <f t="shared" si="85"/>
        <v>1.6986301369863013</v>
      </c>
      <c r="I5501">
        <v>60</v>
      </c>
      <c r="J5501" t="s">
        <v>38</v>
      </c>
      <c r="K5501" t="s">
        <v>56</v>
      </c>
      <c r="L5501" t="s">
        <v>44</v>
      </c>
      <c r="M5501">
        <v>8.4700000000000006</v>
      </c>
      <c r="T5501" t="s">
        <v>45</v>
      </c>
      <c r="U5501">
        <v>1</v>
      </c>
      <c r="V5501">
        <v>6</v>
      </c>
    </row>
    <row r="5502" spans="1:22" x14ac:dyDescent="0.3">
      <c r="A5502">
        <v>5501</v>
      </c>
      <c r="B5502">
        <v>56032</v>
      </c>
      <c r="C5502" s="2">
        <v>38460</v>
      </c>
      <c r="D5502">
        <v>20</v>
      </c>
      <c r="E5502" t="s">
        <v>36</v>
      </c>
      <c r="F5502" t="s">
        <v>50</v>
      </c>
      <c r="G5502" s="2">
        <v>45402</v>
      </c>
      <c r="H5502" s="3">
        <f t="shared" si="85"/>
        <v>1.0301369863013699</v>
      </c>
      <c r="I5502">
        <v>60</v>
      </c>
      <c r="J5502" t="s">
        <v>38</v>
      </c>
      <c r="K5502" t="s">
        <v>56</v>
      </c>
      <c r="L5502" t="s">
        <v>44</v>
      </c>
      <c r="M5502">
        <v>8.4700000000000006</v>
      </c>
      <c r="T5502" t="s">
        <v>49</v>
      </c>
      <c r="U5502">
        <v>1</v>
      </c>
      <c r="V5502">
        <v>5</v>
      </c>
    </row>
    <row r="5503" spans="1:22" x14ac:dyDescent="0.3">
      <c r="A5503">
        <v>5502</v>
      </c>
      <c r="B5503">
        <v>56033</v>
      </c>
      <c r="C5503" s="2">
        <v>37545</v>
      </c>
      <c r="D5503">
        <v>23</v>
      </c>
      <c r="E5503" t="s">
        <v>42</v>
      </c>
      <c r="F5503" t="s">
        <v>37</v>
      </c>
      <c r="G5503" s="2">
        <v>45646</v>
      </c>
      <c r="H5503" s="3">
        <f t="shared" si="85"/>
        <v>1.5643835616438355</v>
      </c>
      <c r="I5503">
        <v>60</v>
      </c>
      <c r="J5503" t="s">
        <v>38</v>
      </c>
      <c r="K5503" t="s">
        <v>56</v>
      </c>
      <c r="L5503" t="s">
        <v>44</v>
      </c>
      <c r="M5503">
        <v>8.4700000000000006</v>
      </c>
      <c r="T5503" t="s">
        <v>52</v>
      </c>
      <c r="U5503">
        <v>1</v>
      </c>
      <c r="V5503">
        <v>5</v>
      </c>
    </row>
    <row r="5504" spans="1:22" x14ac:dyDescent="0.3">
      <c r="A5504">
        <v>5503</v>
      </c>
      <c r="B5504">
        <v>56034</v>
      </c>
      <c r="C5504" s="2">
        <v>36945</v>
      </c>
      <c r="D5504">
        <v>24</v>
      </c>
      <c r="E5504" t="s">
        <v>42</v>
      </c>
      <c r="F5504" t="s">
        <v>50</v>
      </c>
      <c r="G5504" s="2">
        <v>45451</v>
      </c>
      <c r="H5504" s="3">
        <f t="shared" si="85"/>
        <v>1.1561643835616437</v>
      </c>
      <c r="I5504">
        <v>61</v>
      </c>
      <c r="J5504" t="s">
        <v>38</v>
      </c>
      <c r="K5504" t="s">
        <v>68</v>
      </c>
      <c r="L5504" t="s">
        <v>44</v>
      </c>
      <c r="M5504">
        <v>17</v>
      </c>
      <c r="T5504" t="s">
        <v>52</v>
      </c>
      <c r="U5504">
        <v>1</v>
      </c>
      <c r="V5504">
        <v>7</v>
      </c>
    </row>
    <row r="5505" spans="1:22" x14ac:dyDescent="0.3">
      <c r="A5505">
        <v>5504</v>
      </c>
      <c r="B5505">
        <v>56035</v>
      </c>
      <c r="C5505" s="2">
        <v>38865</v>
      </c>
      <c r="D5505">
        <v>19</v>
      </c>
      <c r="E5505" t="s">
        <v>36</v>
      </c>
      <c r="F5505" t="s">
        <v>37</v>
      </c>
      <c r="G5505" s="2">
        <v>45600</v>
      </c>
      <c r="H5505" s="3">
        <f t="shared" si="85"/>
        <v>1.8739726027397261</v>
      </c>
      <c r="I5505">
        <v>61</v>
      </c>
      <c r="J5505" t="s">
        <v>38</v>
      </c>
      <c r="K5505" t="s">
        <v>65</v>
      </c>
      <c r="L5505" t="s">
        <v>44</v>
      </c>
      <c r="M5505">
        <v>10.64</v>
      </c>
      <c r="T5505" t="s">
        <v>52</v>
      </c>
      <c r="U5505">
        <v>0</v>
      </c>
      <c r="V5505">
        <v>3</v>
      </c>
    </row>
    <row r="5506" spans="1:22" x14ac:dyDescent="0.3">
      <c r="A5506">
        <v>5505</v>
      </c>
      <c r="B5506">
        <v>56037</v>
      </c>
      <c r="C5506" s="2">
        <v>39423</v>
      </c>
      <c r="D5506">
        <v>18</v>
      </c>
      <c r="E5506" t="s">
        <v>42</v>
      </c>
      <c r="F5506" t="s">
        <v>50</v>
      </c>
      <c r="G5506" s="2">
        <v>45338</v>
      </c>
      <c r="H5506" s="3">
        <f t="shared" si="85"/>
        <v>1.0876712328767124</v>
      </c>
      <c r="I5506">
        <v>61</v>
      </c>
      <c r="J5506" t="s">
        <v>38</v>
      </c>
      <c r="K5506" t="s">
        <v>56</v>
      </c>
      <c r="L5506" t="s">
        <v>44</v>
      </c>
      <c r="M5506">
        <v>8.4700000000000006</v>
      </c>
      <c r="T5506" t="s">
        <v>45</v>
      </c>
      <c r="U5506">
        <v>4</v>
      </c>
      <c r="V5506">
        <v>7</v>
      </c>
    </row>
    <row r="5507" spans="1:22" x14ac:dyDescent="0.3">
      <c r="A5507">
        <v>5506</v>
      </c>
      <c r="B5507">
        <v>56038</v>
      </c>
      <c r="C5507" s="2">
        <v>37979</v>
      </c>
      <c r="D5507">
        <v>22</v>
      </c>
      <c r="E5507" t="s">
        <v>42</v>
      </c>
      <c r="F5507" t="s">
        <v>50</v>
      </c>
      <c r="G5507" s="2">
        <v>45625</v>
      </c>
      <c r="H5507" s="3">
        <f t="shared" ref="H5507:H5570" si="86">DATEDIF(G5508,DATE(2025,12,31),"d")/365</f>
        <v>1.2273972602739727</v>
      </c>
      <c r="I5507">
        <v>61</v>
      </c>
      <c r="J5507" t="s">
        <v>38</v>
      </c>
      <c r="K5507" t="s">
        <v>56</v>
      </c>
      <c r="L5507" t="s">
        <v>44</v>
      </c>
      <c r="M5507">
        <v>8.4700000000000006</v>
      </c>
      <c r="T5507" t="s">
        <v>45</v>
      </c>
      <c r="U5507">
        <v>1</v>
      </c>
      <c r="V5507">
        <v>5</v>
      </c>
    </row>
    <row r="5508" spans="1:22" x14ac:dyDescent="0.3">
      <c r="A5508">
        <v>5507</v>
      </c>
      <c r="B5508">
        <v>56039</v>
      </c>
      <c r="C5508" s="2">
        <v>38995</v>
      </c>
      <c r="D5508">
        <v>19</v>
      </c>
      <c r="E5508" t="s">
        <v>42</v>
      </c>
      <c r="F5508" t="s">
        <v>50</v>
      </c>
      <c r="G5508" s="2">
        <v>45574</v>
      </c>
      <c r="H5508" s="3">
        <f t="shared" si="86"/>
        <v>1.0630136986301371</v>
      </c>
      <c r="I5508">
        <v>61</v>
      </c>
      <c r="J5508" t="s">
        <v>38</v>
      </c>
      <c r="K5508" t="s">
        <v>56</v>
      </c>
      <c r="L5508" t="s">
        <v>44</v>
      </c>
      <c r="M5508">
        <v>8.4700000000000006</v>
      </c>
      <c r="T5508" t="s">
        <v>47</v>
      </c>
      <c r="U5508">
        <v>4</v>
      </c>
      <c r="V5508">
        <v>6</v>
      </c>
    </row>
    <row r="5509" spans="1:22" x14ac:dyDescent="0.3">
      <c r="A5509">
        <v>5508</v>
      </c>
      <c r="B5509">
        <v>56040</v>
      </c>
      <c r="C5509" s="2">
        <v>39364</v>
      </c>
      <c r="D5509">
        <v>18</v>
      </c>
      <c r="E5509" t="s">
        <v>42</v>
      </c>
      <c r="F5509" t="s">
        <v>50</v>
      </c>
      <c r="G5509" s="2">
        <v>45634</v>
      </c>
      <c r="H5509" s="3">
        <f t="shared" si="86"/>
        <v>1.6438356164383561</v>
      </c>
      <c r="I5509">
        <v>61</v>
      </c>
      <c r="J5509" t="s">
        <v>38</v>
      </c>
      <c r="K5509" t="s">
        <v>56</v>
      </c>
      <c r="L5509" t="s">
        <v>44</v>
      </c>
      <c r="M5509">
        <v>8.4700000000000006</v>
      </c>
      <c r="T5509" t="s">
        <v>49</v>
      </c>
      <c r="U5509">
        <v>0</v>
      </c>
      <c r="V5509">
        <v>7</v>
      </c>
    </row>
    <row r="5510" spans="1:22" x14ac:dyDescent="0.3">
      <c r="A5510">
        <v>5509</v>
      </c>
      <c r="B5510">
        <v>56041</v>
      </c>
      <c r="C5510" s="2">
        <v>39364</v>
      </c>
      <c r="D5510">
        <v>18</v>
      </c>
      <c r="E5510" t="s">
        <v>42</v>
      </c>
      <c r="F5510" t="s">
        <v>50</v>
      </c>
      <c r="G5510" s="2">
        <v>45422</v>
      </c>
      <c r="H5510" s="3">
        <f t="shared" si="86"/>
        <v>1.3123287671232877</v>
      </c>
      <c r="I5510">
        <v>61</v>
      </c>
      <c r="J5510" t="s">
        <v>38</v>
      </c>
      <c r="K5510" t="s">
        <v>56</v>
      </c>
      <c r="L5510" t="s">
        <v>44</v>
      </c>
      <c r="M5510">
        <v>8.4700000000000006</v>
      </c>
      <c r="T5510" t="s">
        <v>45</v>
      </c>
      <c r="U5510">
        <v>0</v>
      </c>
      <c r="V5510">
        <v>6</v>
      </c>
    </row>
    <row r="5511" spans="1:22" x14ac:dyDescent="0.3">
      <c r="A5511">
        <v>5510</v>
      </c>
      <c r="B5511">
        <v>56042</v>
      </c>
      <c r="C5511" s="2">
        <v>38844</v>
      </c>
      <c r="D5511">
        <v>19</v>
      </c>
      <c r="E5511" t="s">
        <v>42</v>
      </c>
      <c r="F5511" t="s">
        <v>37</v>
      </c>
      <c r="G5511" s="2">
        <v>45543</v>
      </c>
      <c r="H5511" s="3">
        <f t="shared" si="86"/>
        <v>1.7589041095890412</v>
      </c>
      <c r="I5511">
        <v>61</v>
      </c>
      <c r="J5511" t="s">
        <v>38</v>
      </c>
      <c r="K5511" t="s">
        <v>56</v>
      </c>
      <c r="L5511" t="s">
        <v>44</v>
      </c>
      <c r="M5511">
        <v>8.4700000000000006</v>
      </c>
      <c r="T5511" t="s">
        <v>45</v>
      </c>
      <c r="U5511">
        <v>1</v>
      </c>
      <c r="V5511">
        <v>6</v>
      </c>
    </row>
    <row r="5512" spans="1:22" x14ac:dyDescent="0.3">
      <c r="A5512">
        <v>5511</v>
      </c>
      <c r="B5512">
        <v>56043</v>
      </c>
      <c r="C5512" s="2">
        <v>34951</v>
      </c>
      <c r="D5512">
        <v>30</v>
      </c>
      <c r="E5512" t="s">
        <v>42</v>
      </c>
      <c r="F5512" t="s">
        <v>37</v>
      </c>
      <c r="G5512" s="2">
        <v>45380</v>
      </c>
      <c r="H5512" s="3">
        <f t="shared" si="86"/>
        <v>1.6493150684931508</v>
      </c>
      <c r="I5512">
        <v>61</v>
      </c>
      <c r="J5512" t="s">
        <v>38</v>
      </c>
      <c r="K5512" t="s">
        <v>56</v>
      </c>
      <c r="L5512" t="s">
        <v>44</v>
      </c>
      <c r="M5512">
        <v>8.4700000000000006</v>
      </c>
      <c r="T5512" t="s">
        <v>52</v>
      </c>
      <c r="U5512">
        <v>2</v>
      </c>
      <c r="V5512">
        <v>6</v>
      </c>
    </row>
    <row r="5513" spans="1:22" x14ac:dyDescent="0.3">
      <c r="A5513">
        <v>5512</v>
      </c>
      <c r="B5513">
        <v>56045</v>
      </c>
      <c r="C5513" s="2">
        <v>37780</v>
      </c>
      <c r="D5513">
        <v>22</v>
      </c>
      <c r="E5513" t="s">
        <v>42</v>
      </c>
      <c r="F5513" t="s">
        <v>50</v>
      </c>
      <c r="G5513" s="2">
        <v>45420</v>
      </c>
      <c r="H5513" s="3">
        <f t="shared" si="86"/>
        <v>1.1260273972602739</v>
      </c>
      <c r="I5513">
        <v>61</v>
      </c>
      <c r="J5513" t="s">
        <v>38</v>
      </c>
      <c r="K5513" t="s">
        <v>56</v>
      </c>
      <c r="L5513" t="s">
        <v>44</v>
      </c>
      <c r="M5513">
        <v>8.4700000000000006</v>
      </c>
      <c r="T5513" t="s">
        <v>49</v>
      </c>
      <c r="U5513">
        <v>0</v>
      </c>
      <c r="V5513">
        <v>6</v>
      </c>
    </row>
    <row r="5514" spans="1:22" x14ac:dyDescent="0.3">
      <c r="A5514">
        <v>5513</v>
      </c>
      <c r="B5514">
        <v>56046</v>
      </c>
      <c r="C5514" s="2">
        <v>36941</v>
      </c>
      <c r="D5514">
        <v>24</v>
      </c>
      <c r="E5514" t="s">
        <v>42</v>
      </c>
      <c r="F5514" t="s">
        <v>50</v>
      </c>
      <c r="G5514" s="2">
        <v>45611</v>
      </c>
      <c r="H5514" s="3">
        <f t="shared" si="86"/>
        <v>1.1616438356164382</v>
      </c>
      <c r="I5514">
        <v>62</v>
      </c>
      <c r="J5514" t="s">
        <v>38</v>
      </c>
      <c r="K5514" t="s">
        <v>68</v>
      </c>
      <c r="L5514" t="s">
        <v>44</v>
      </c>
      <c r="M5514">
        <v>17</v>
      </c>
      <c r="T5514" t="s">
        <v>45</v>
      </c>
      <c r="U5514">
        <v>0</v>
      </c>
      <c r="V5514">
        <v>7</v>
      </c>
    </row>
    <row r="5515" spans="1:22" x14ac:dyDescent="0.3">
      <c r="A5515">
        <v>5514</v>
      </c>
      <c r="B5515">
        <v>56047</v>
      </c>
      <c r="C5515" s="2">
        <v>36698</v>
      </c>
      <c r="D5515">
        <v>25</v>
      </c>
      <c r="E5515" t="s">
        <v>36</v>
      </c>
      <c r="F5515" t="s">
        <v>50</v>
      </c>
      <c r="G5515" s="2">
        <v>45598</v>
      </c>
      <c r="H5515" s="3">
        <f t="shared" si="86"/>
        <v>1.7095890410958905</v>
      </c>
      <c r="I5515">
        <v>62</v>
      </c>
      <c r="J5515" t="s">
        <v>38</v>
      </c>
      <c r="K5515" t="s">
        <v>68</v>
      </c>
      <c r="L5515" t="s">
        <v>44</v>
      </c>
      <c r="M5515">
        <v>17</v>
      </c>
      <c r="T5515" t="s">
        <v>45</v>
      </c>
      <c r="U5515">
        <v>2</v>
      </c>
      <c r="V5515">
        <v>3</v>
      </c>
    </row>
    <row r="5516" spans="1:22" x14ac:dyDescent="0.3">
      <c r="A5516">
        <v>5515</v>
      </c>
      <c r="B5516">
        <v>56048</v>
      </c>
      <c r="C5516" s="2">
        <v>36867</v>
      </c>
      <c r="D5516">
        <v>25</v>
      </c>
      <c r="E5516" t="s">
        <v>42</v>
      </c>
      <c r="F5516" t="s">
        <v>50</v>
      </c>
      <c r="G5516" s="2">
        <v>45398</v>
      </c>
      <c r="H5516" s="3">
        <f t="shared" si="86"/>
        <v>1.2465753424657535</v>
      </c>
      <c r="I5516">
        <v>62</v>
      </c>
      <c r="J5516" t="s">
        <v>38</v>
      </c>
      <c r="K5516" t="s">
        <v>64</v>
      </c>
      <c r="L5516" t="s">
        <v>44</v>
      </c>
      <c r="M5516">
        <v>14.07</v>
      </c>
      <c r="T5516" t="s">
        <v>45</v>
      </c>
      <c r="U5516">
        <v>0</v>
      </c>
      <c r="V5516">
        <v>6</v>
      </c>
    </row>
    <row r="5517" spans="1:22" x14ac:dyDescent="0.3">
      <c r="A5517">
        <v>5516</v>
      </c>
      <c r="B5517">
        <v>56049</v>
      </c>
      <c r="C5517" s="2">
        <v>39258</v>
      </c>
      <c r="D5517">
        <v>18</v>
      </c>
      <c r="E5517" t="s">
        <v>42</v>
      </c>
      <c r="F5517" t="s">
        <v>50</v>
      </c>
      <c r="G5517" s="2">
        <v>45567</v>
      </c>
      <c r="H5517" s="3">
        <f t="shared" si="86"/>
        <v>1.5232876712328767</v>
      </c>
      <c r="I5517">
        <v>62</v>
      </c>
      <c r="J5517" t="s">
        <v>38</v>
      </c>
      <c r="K5517" t="s">
        <v>48</v>
      </c>
      <c r="L5517" t="s">
        <v>44</v>
      </c>
      <c r="M5517">
        <v>8.4700000000000006</v>
      </c>
      <c r="T5517" t="s">
        <v>52</v>
      </c>
      <c r="U5517">
        <v>2</v>
      </c>
      <c r="V5517">
        <v>5</v>
      </c>
    </row>
    <row r="5518" spans="1:22" x14ac:dyDescent="0.3">
      <c r="A5518">
        <v>5517</v>
      </c>
      <c r="B5518">
        <v>56050</v>
      </c>
      <c r="C5518" s="2">
        <v>38351</v>
      </c>
      <c r="D5518">
        <v>21</v>
      </c>
      <c r="E5518" t="s">
        <v>42</v>
      </c>
      <c r="F5518" t="s">
        <v>50</v>
      </c>
      <c r="G5518" s="2">
        <v>45466</v>
      </c>
      <c r="H5518" s="3">
        <f t="shared" si="86"/>
        <v>1.484931506849315</v>
      </c>
      <c r="I5518">
        <v>62</v>
      </c>
      <c r="J5518" t="s">
        <v>38</v>
      </c>
      <c r="K5518" t="s">
        <v>56</v>
      </c>
      <c r="L5518" t="s">
        <v>44</v>
      </c>
      <c r="M5518">
        <v>8.4700000000000006</v>
      </c>
      <c r="T5518" t="s">
        <v>45</v>
      </c>
      <c r="U5518">
        <v>1</v>
      </c>
      <c r="V5518">
        <v>6</v>
      </c>
    </row>
    <row r="5519" spans="1:22" x14ac:dyDescent="0.3">
      <c r="A5519">
        <v>5518</v>
      </c>
      <c r="B5519">
        <v>56051</v>
      </c>
      <c r="C5519" s="2">
        <v>38615</v>
      </c>
      <c r="D5519">
        <v>20</v>
      </c>
      <c r="E5519" t="s">
        <v>42</v>
      </c>
      <c r="F5519" t="s">
        <v>50</v>
      </c>
      <c r="G5519" s="2">
        <v>45480</v>
      </c>
      <c r="H5519" s="3">
        <f t="shared" si="86"/>
        <v>1.9205479452054794</v>
      </c>
      <c r="I5519">
        <v>62</v>
      </c>
      <c r="J5519" t="s">
        <v>38</v>
      </c>
      <c r="K5519" t="s">
        <v>56</v>
      </c>
      <c r="L5519" t="s">
        <v>44</v>
      </c>
      <c r="M5519">
        <v>8.4700000000000006</v>
      </c>
      <c r="T5519" t="s">
        <v>52</v>
      </c>
      <c r="U5519">
        <v>2</v>
      </c>
      <c r="V5519">
        <v>7</v>
      </c>
    </row>
    <row r="5520" spans="1:22" x14ac:dyDescent="0.3">
      <c r="A5520">
        <v>5519</v>
      </c>
      <c r="B5520">
        <v>56053</v>
      </c>
      <c r="C5520" s="2">
        <v>37089</v>
      </c>
      <c r="D5520">
        <v>24</v>
      </c>
      <c r="E5520" t="s">
        <v>42</v>
      </c>
      <c r="F5520" t="s">
        <v>37</v>
      </c>
      <c r="G5520" s="2">
        <v>45321</v>
      </c>
      <c r="H5520" s="3">
        <f t="shared" si="86"/>
        <v>1.4219178082191781</v>
      </c>
      <c r="I5520">
        <v>62</v>
      </c>
      <c r="J5520" t="s">
        <v>38</v>
      </c>
      <c r="K5520" t="s">
        <v>56</v>
      </c>
      <c r="L5520" t="s">
        <v>44</v>
      </c>
      <c r="M5520">
        <v>8.4700000000000006</v>
      </c>
      <c r="T5520" t="s">
        <v>45</v>
      </c>
      <c r="U5520">
        <v>2</v>
      </c>
      <c r="V5520">
        <v>6</v>
      </c>
    </row>
    <row r="5521" spans="1:22" x14ac:dyDescent="0.3">
      <c r="A5521">
        <v>5520</v>
      </c>
      <c r="B5521">
        <v>56054</v>
      </c>
      <c r="C5521" s="2">
        <v>38390</v>
      </c>
      <c r="D5521">
        <v>20</v>
      </c>
      <c r="E5521" t="s">
        <v>42</v>
      </c>
      <c r="F5521" t="s">
        <v>50</v>
      </c>
      <c r="G5521" s="2">
        <v>45503</v>
      </c>
      <c r="H5521" s="3">
        <f t="shared" si="86"/>
        <v>1.536986301369863</v>
      </c>
      <c r="I5521">
        <v>62</v>
      </c>
      <c r="J5521" t="s">
        <v>38</v>
      </c>
      <c r="K5521" t="s">
        <v>56</v>
      </c>
      <c r="L5521" t="s">
        <v>44</v>
      </c>
      <c r="M5521">
        <v>8.4700000000000006</v>
      </c>
      <c r="T5521" t="s">
        <v>45</v>
      </c>
      <c r="U5521">
        <v>2</v>
      </c>
      <c r="V5521">
        <v>7</v>
      </c>
    </row>
    <row r="5522" spans="1:22" x14ac:dyDescent="0.3">
      <c r="A5522">
        <v>5521</v>
      </c>
      <c r="B5522">
        <v>56055</v>
      </c>
      <c r="C5522" s="2">
        <v>37896</v>
      </c>
      <c r="D5522">
        <v>22</v>
      </c>
      <c r="E5522" t="s">
        <v>42</v>
      </c>
      <c r="F5522" t="s">
        <v>50</v>
      </c>
      <c r="G5522" s="2">
        <v>45461</v>
      </c>
      <c r="H5522" s="3">
        <f t="shared" si="86"/>
        <v>1.6328767123287671</v>
      </c>
      <c r="I5522">
        <v>62</v>
      </c>
      <c r="J5522" t="s">
        <v>38</v>
      </c>
      <c r="K5522" t="s">
        <v>56</v>
      </c>
      <c r="L5522" t="s">
        <v>44</v>
      </c>
      <c r="M5522">
        <v>8.4700000000000006</v>
      </c>
      <c r="T5522" t="s">
        <v>49</v>
      </c>
      <c r="U5522">
        <v>1</v>
      </c>
      <c r="V5522">
        <v>7</v>
      </c>
    </row>
    <row r="5523" spans="1:22" x14ac:dyDescent="0.3">
      <c r="A5523">
        <v>5522</v>
      </c>
      <c r="B5523">
        <v>56056</v>
      </c>
      <c r="C5523" s="2">
        <v>38680</v>
      </c>
      <c r="D5523">
        <v>20</v>
      </c>
      <c r="E5523" t="s">
        <v>42</v>
      </c>
      <c r="F5523" t="s">
        <v>37</v>
      </c>
      <c r="G5523" s="2">
        <v>45426</v>
      </c>
      <c r="H5523" s="3">
        <f t="shared" si="86"/>
        <v>1.3041095890410959</v>
      </c>
      <c r="I5523">
        <v>62</v>
      </c>
      <c r="J5523" t="s">
        <v>38</v>
      </c>
      <c r="K5523" t="s">
        <v>56</v>
      </c>
      <c r="L5523" t="s">
        <v>44</v>
      </c>
      <c r="M5523">
        <v>8.4700000000000006</v>
      </c>
      <c r="T5523" t="s">
        <v>49</v>
      </c>
      <c r="U5523">
        <v>4</v>
      </c>
      <c r="V5523">
        <v>7</v>
      </c>
    </row>
    <row r="5524" spans="1:22" x14ac:dyDescent="0.3">
      <c r="A5524">
        <v>5523</v>
      </c>
      <c r="B5524">
        <v>56057</v>
      </c>
      <c r="C5524" s="2">
        <v>34160</v>
      </c>
      <c r="D5524">
        <v>32</v>
      </c>
      <c r="E5524" t="s">
        <v>42</v>
      </c>
      <c r="F5524" t="s">
        <v>50</v>
      </c>
      <c r="G5524" s="2">
        <v>45546</v>
      </c>
      <c r="H5524" s="3">
        <f t="shared" si="86"/>
        <v>1.1315068493150684</v>
      </c>
      <c r="I5524">
        <v>62</v>
      </c>
      <c r="J5524" t="s">
        <v>38</v>
      </c>
      <c r="K5524" t="s">
        <v>56</v>
      </c>
      <c r="L5524" t="s">
        <v>44</v>
      </c>
      <c r="M5524">
        <v>8.4700000000000006</v>
      </c>
      <c r="T5524" t="s">
        <v>52</v>
      </c>
      <c r="U5524">
        <v>1</v>
      </c>
      <c r="V5524">
        <v>5</v>
      </c>
    </row>
    <row r="5525" spans="1:22" x14ac:dyDescent="0.3">
      <c r="A5525">
        <v>5524</v>
      </c>
      <c r="B5525">
        <v>56058</v>
      </c>
      <c r="C5525" s="2">
        <v>37709</v>
      </c>
      <c r="D5525">
        <v>22</v>
      </c>
      <c r="E5525" t="s">
        <v>36</v>
      </c>
      <c r="F5525" t="s">
        <v>37</v>
      </c>
      <c r="G5525" s="2">
        <v>45609</v>
      </c>
      <c r="H5525" s="3">
        <f t="shared" si="86"/>
        <v>1.0136986301369864</v>
      </c>
      <c r="I5525">
        <v>62</v>
      </c>
      <c r="J5525" t="s">
        <v>38</v>
      </c>
      <c r="K5525" t="s">
        <v>56</v>
      </c>
      <c r="L5525" t="s">
        <v>44</v>
      </c>
      <c r="M5525">
        <v>8.4700000000000006</v>
      </c>
      <c r="T5525" t="s">
        <v>47</v>
      </c>
      <c r="U5525">
        <v>2</v>
      </c>
      <c r="V5525">
        <v>4</v>
      </c>
    </row>
    <row r="5526" spans="1:22" x14ac:dyDescent="0.3">
      <c r="A5526">
        <v>5525</v>
      </c>
      <c r="B5526">
        <v>56059</v>
      </c>
      <c r="C5526" s="2">
        <v>37223</v>
      </c>
      <c r="D5526">
        <v>24</v>
      </c>
      <c r="E5526" t="s">
        <v>42</v>
      </c>
      <c r="F5526" t="s">
        <v>50</v>
      </c>
      <c r="G5526" s="2">
        <v>45652</v>
      </c>
      <c r="H5526" s="3">
        <f t="shared" si="86"/>
        <v>1.4082191780821918</v>
      </c>
      <c r="I5526">
        <v>63</v>
      </c>
      <c r="J5526" t="s">
        <v>38</v>
      </c>
      <c r="K5526" t="s">
        <v>68</v>
      </c>
      <c r="L5526" t="s">
        <v>44</v>
      </c>
      <c r="M5526">
        <v>17</v>
      </c>
      <c r="T5526" t="s">
        <v>45</v>
      </c>
      <c r="U5526">
        <v>4</v>
      </c>
      <c r="V5526">
        <v>5</v>
      </c>
    </row>
    <row r="5527" spans="1:22" x14ac:dyDescent="0.3">
      <c r="A5527">
        <v>5526</v>
      </c>
      <c r="B5527">
        <v>56060</v>
      </c>
      <c r="C5527" s="2">
        <v>37715</v>
      </c>
      <c r="D5527">
        <v>22</v>
      </c>
      <c r="E5527" t="s">
        <v>42</v>
      </c>
      <c r="F5527" t="s">
        <v>50</v>
      </c>
      <c r="G5527" s="2">
        <v>45508</v>
      </c>
      <c r="H5527" s="3">
        <f t="shared" si="86"/>
        <v>1.6301369863013699</v>
      </c>
      <c r="I5527">
        <v>63</v>
      </c>
      <c r="J5527" t="s">
        <v>38</v>
      </c>
      <c r="K5527" t="s">
        <v>68</v>
      </c>
      <c r="L5527" t="s">
        <v>44</v>
      </c>
      <c r="M5527">
        <v>17</v>
      </c>
      <c r="T5527" t="s">
        <v>49</v>
      </c>
      <c r="U5527">
        <v>0</v>
      </c>
      <c r="V5527">
        <v>6</v>
      </c>
    </row>
    <row r="5528" spans="1:22" x14ac:dyDescent="0.3">
      <c r="A5528">
        <v>5527</v>
      </c>
      <c r="B5528">
        <v>56061</v>
      </c>
      <c r="C5528" s="2">
        <v>37260</v>
      </c>
      <c r="D5528">
        <v>23</v>
      </c>
      <c r="E5528" t="s">
        <v>36</v>
      </c>
      <c r="F5528" t="s">
        <v>37</v>
      </c>
      <c r="G5528" s="2">
        <v>45427</v>
      </c>
      <c r="H5528" s="3">
        <f t="shared" si="86"/>
        <v>1.0684931506849316</v>
      </c>
      <c r="I5528">
        <v>63</v>
      </c>
      <c r="J5528" t="s">
        <v>38</v>
      </c>
      <c r="K5528" t="s">
        <v>65</v>
      </c>
      <c r="L5528" t="s">
        <v>44</v>
      </c>
      <c r="M5528">
        <v>10.64</v>
      </c>
      <c r="T5528" t="s">
        <v>52</v>
      </c>
      <c r="U5528">
        <v>1</v>
      </c>
      <c r="V5528">
        <v>6</v>
      </c>
    </row>
    <row r="5529" spans="1:22" x14ac:dyDescent="0.3">
      <c r="A5529">
        <v>5528</v>
      </c>
      <c r="B5529">
        <v>56062</v>
      </c>
      <c r="C5529" s="2">
        <v>37249</v>
      </c>
      <c r="D5529">
        <v>24</v>
      </c>
      <c r="E5529" t="s">
        <v>42</v>
      </c>
      <c r="F5529" t="s">
        <v>50</v>
      </c>
      <c r="G5529" s="2">
        <v>45632</v>
      </c>
      <c r="H5529" s="3">
        <f t="shared" si="86"/>
        <v>1.2027397260273973</v>
      </c>
      <c r="I5529">
        <v>63</v>
      </c>
      <c r="J5529" t="s">
        <v>38</v>
      </c>
      <c r="K5529" t="s">
        <v>65</v>
      </c>
      <c r="L5529" t="s">
        <v>44</v>
      </c>
      <c r="M5529">
        <v>10.64</v>
      </c>
      <c r="T5529" t="s">
        <v>47</v>
      </c>
      <c r="U5529">
        <v>0</v>
      </c>
      <c r="V5529">
        <v>6</v>
      </c>
    </row>
    <row r="5530" spans="1:22" x14ac:dyDescent="0.3">
      <c r="A5530">
        <v>5529</v>
      </c>
      <c r="B5530">
        <v>56063</v>
      </c>
      <c r="C5530" s="2">
        <v>38143</v>
      </c>
      <c r="D5530">
        <v>21</v>
      </c>
      <c r="E5530" t="s">
        <v>42</v>
      </c>
      <c r="F5530" t="s">
        <v>37</v>
      </c>
      <c r="G5530" s="2">
        <v>45583</v>
      </c>
      <c r="H5530" s="3">
        <f t="shared" si="86"/>
        <v>1.2136986301369863</v>
      </c>
      <c r="I5530">
        <v>63</v>
      </c>
      <c r="J5530" t="s">
        <v>38</v>
      </c>
      <c r="K5530" t="s">
        <v>56</v>
      </c>
      <c r="L5530" t="s">
        <v>44</v>
      </c>
      <c r="M5530">
        <v>8.4700000000000006</v>
      </c>
      <c r="T5530" t="s">
        <v>52</v>
      </c>
      <c r="U5530">
        <v>1</v>
      </c>
      <c r="V5530">
        <v>6</v>
      </c>
    </row>
    <row r="5531" spans="1:22" x14ac:dyDescent="0.3">
      <c r="A5531">
        <v>5530</v>
      </c>
      <c r="B5531">
        <v>56064</v>
      </c>
      <c r="C5531" s="2">
        <v>38323</v>
      </c>
      <c r="D5531">
        <v>21</v>
      </c>
      <c r="E5531" t="s">
        <v>42</v>
      </c>
      <c r="F5531" t="s">
        <v>50</v>
      </c>
      <c r="G5531" s="2">
        <v>45579</v>
      </c>
      <c r="H5531" s="3">
        <f t="shared" si="86"/>
        <v>1.167123287671233</v>
      </c>
      <c r="I5531">
        <v>63</v>
      </c>
      <c r="J5531" t="s">
        <v>38</v>
      </c>
      <c r="K5531" t="s">
        <v>56</v>
      </c>
      <c r="L5531" t="s">
        <v>44</v>
      </c>
      <c r="M5531">
        <v>8.4700000000000006</v>
      </c>
      <c r="T5531" t="s">
        <v>49</v>
      </c>
      <c r="U5531">
        <v>2</v>
      </c>
      <c r="V5531">
        <v>6</v>
      </c>
    </row>
    <row r="5532" spans="1:22" x14ac:dyDescent="0.3">
      <c r="A5532">
        <v>5531</v>
      </c>
      <c r="B5532">
        <v>56065</v>
      </c>
      <c r="C5532" s="2">
        <v>38980</v>
      </c>
      <c r="D5532">
        <v>19</v>
      </c>
      <c r="E5532" t="s">
        <v>42</v>
      </c>
      <c r="F5532" t="s">
        <v>50</v>
      </c>
      <c r="G5532" s="2">
        <v>45596</v>
      </c>
      <c r="H5532" s="3">
        <f t="shared" si="86"/>
        <v>1.0356164383561643</v>
      </c>
      <c r="I5532">
        <v>63</v>
      </c>
      <c r="J5532" t="s">
        <v>38</v>
      </c>
      <c r="K5532" t="s">
        <v>56</v>
      </c>
      <c r="L5532" t="s">
        <v>44</v>
      </c>
      <c r="M5532">
        <v>8.4700000000000006</v>
      </c>
      <c r="T5532" t="s">
        <v>49</v>
      </c>
      <c r="U5532">
        <v>1</v>
      </c>
      <c r="V5532">
        <v>5</v>
      </c>
    </row>
    <row r="5533" spans="1:22" x14ac:dyDescent="0.3">
      <c r="A5533">
        <v>5532</v>
      </c>
      <c r="B5533">
        <v>56066</v>
      </c>
      <c r="C5533" s="2">
        <v>38819</v>
      </c>
      <c r="D5533">
        <v>19</v>
      </c>
      <c r="E5533" t="s">
        <v>36</v>
      </c>
      <c r="F5533" t="s">
        <v>50</v>
      </c>
      <c r="G5533" s="2">
        <v>45644</v>
      </c>
      <c r="H5533" s="3">
        <f t="shared" si="86"/>
        <v>1.6301369863013699</v>
      </c>
      <c r="I5533">
        <v>63</v>
      </c>
      <c r="J5533" t="s">
        <v>38</v>
      </c>
      <c r="K5533" t="s">
        <v>56</v>
      </c>
      <c r="L5533" t="s">
        <v>44</v>
      </c>
      <c r="M5533">
        <v>8.4700000000000006</v>
      </c>
      <c r="T5533" t="s">
        <v>52</v>
      </c>
      <c r="U5533">
        <v>2</v>
      </c>
      <c r="V5533">
        <v>5</v>
      </c>
    </row>
    <row r="5534" spans="1:22" x14ac:dyDescent="0.3">
      <c r="A5534">
        <v>5533</v>
      </c>
      <c r="B5534">
        <v>56067</v>
      </c>
      <c r="C5534" s="2">
        <v>39333</v>
      </c>
      <c r="D5534">
        <v>18</v>
      </c>
      <c r="E5534" t="s">
        <v>42</v>
      </c>
      <c r="F5534" t="s">
        <v>50</v>
      </c>
      <c r="G5534" s="2">
        <v>45427</v>
      </c>
      <c r="H5534" s="3">
        <f t="shared" si="86"/>
        <v>1.3260273972602741</v>
      </c>
      <c r="I5534">
        <v>63</v>
      </c>
      <c r="J5534" t="s">
        <v>38</v>
      </c>
      <c r="K5534" t="s">
        <v>56</v>
      </c>
      <c r="L5534" t="s">
        <v>44</v>
      </c>
      <c r="M5534">
        <v>8.4700000000000006</v>
      </c>
      <c r="T5534" t="s">
        <v>52</v>
      </c>
      <c r="U5534">
        <v>2</v>
      </c>
      <c r="V5534">
        <v>5</v>
      </c>
    </row>
    <row r="5535" spans="1:22" x14ac:dyDescent="0.3">
      <c r="A5535">
        <v>5534</v>
      </c>
      <c r="B5535">
        <v>56068</v>
      </c>
      <c r="C5535" s="2">
        <v>36153</v>
      </c>
      <c r="D5535">
        <v>27</v>
      </c>
      <c r="E5535" t="s">
        <v>42</v>
      </c>
      <c r="F5535" t="s">
        <v>50</v>
      </c>
      <c r="G5535" s="2">
        <v>45538</v>
      </c>
      <c r="H5535" s="3">
        <f t="shared" si="86"/>
        <v>1.2054794520547945</v>
      </c>
      <c r="I5535">
        <v>63</v>
      </c>
      <c r="J5535" t="s">
        <v>38</v>
      </c>
      <c r="K5535" t="s">
        <v>56</v>
      </c>
      <c r="L5535" t="s">
        <v>44</v>
      </c>
      <c r="M5535">
        <v>8.4700000000000006</v>
      </c>
      <c r="T5535" t="s">
        <v>52</v>
      </c>
      <c r="U5535">
        <v>0</v>
      </c>
      <c r="V5535">
        <v>6</v>
      </c>
    </row>
    <row r="5536" spans="1:22" x14ac:dyDescent="0.3">
      <c r="A5536">
        <v>5535</v>
      </c>
      <c r="B5536">
        <v>56069</v>
      </c>
      <c r="C5536" s="2">
        <v>38958</v>
      </c>
      <c r="D5536">
        <v>19</v>
      </c>
      <c r="E5536" t="s">
        <v>42</v>
      </c>
      <c r="F5536" t="s">
        <v>37</v>
      </c>
      <c r="G5536" s="2">
        <v>45582</v>
      </c>
      <c r="H5536" s="3">
        <f t="shared" si="86"/>
        <v>1.4328767123287671</v>
      </c>
      <c r="I5536">
        <v>63</v>
      </c>
      <c r="J5536" t="s">
        <v>38</v>
      </c>
      <c r="K5536" t="s">
        <v>56</v>
      </c>
      <c r="L5536" t="s">
        <v>44</v>
      </c>
      <c r="M5536">
        <v>8.4700000000000006</v>
      </c>
      <c r="T5536" t="s">
        <v>45</v>
      </c>
      <c r="U5536">
        <v>2</v>
      </c>
      <c r="V5536">
        <v>6</v>
      </c>
    </row>
    <row r="5537" spans="1:22" x14ac:dyDescent="0.3">
      <c r="A5537">
        <v>5536</v>
      </c>
      <c r="B5537">
        <v>56070</v>
      </c>
      <c r="C5537" s="2">
        <v>38439</v>
      </c>
      <c r="D5537">
        <v>20</v>
      </c>
      <c r="E5537" t="s">
        <v>42</v>
      </c>
      <c r="F5537" t="s">
        <v>50</v>
      </c>
      <c r="G5537" s="2">
        <v>45499</v>
      </c>
      <c r="H5537" s="3">
        <f t="shared" si="86"/>
        <v>1.7452054794520548</v>
      </c>
      <c r="I5537">
        <v>63</v>
      </c>
      <c r="J5537" t="s">
        <v>38</v>
      </c>
      <c r="K5537" t="s">
        <v>56</v>
      </c>
      <c r="L5537" t="s">
        <v>44</v>
      </c>
      <c r="M5537">
        <v>8.4700000000000006</v>
      </c>
      <c r="T5537" t="s">
        <v>47</v>
      </c>
      <c r="U5537">
        <v>2</v>
      </c>
      <c r="V5537">
        <v>5</v>
      </c>
    </row>
    <row r="5538" spans="1:22" x14ac:dyDescent="0.3">
      <c r="A5538">
        <v>5537</v>
      </c>
      <c r="B5538">
        <v>56071</v>
      </c>
      <c r="C5538" s="2">
        <v>34778</v>
      </c>
      <c r="D5538">
        <v>30</v>
      </c>
      <c r="E5538" t="s">
        <v>42</v>
      </c>
      <c r="F5538" t="s">
        <v>50</v>
      </c>
      <c r="G5538" s="2">
        <v>45385</v>
      </c>
      <c r="H5538" s="3">
        <f t="shared" si="86"/>
        <v>1.4931506849315068</v>
      </c>
      <c r="I5538">
        <v>63</v>
      </c>
      <c r="J5538" t="s">
        <v>38</v>
      </c>
      <c r="K5538" t="s">
        <v>56</v>
      </c>
      <c r="L5538" t="s">
        <v>44</v>
      </c>
      <c r="M5538">
        <v>8.4700000000000006</v>
      </c>
      <c r="T5538" t="s">
        <v>52</v>
      </c>
      <c r="U5538">
        <v>2</v>
      </c>
      <c r="V5538">
        <v>5</v>
      </c>
    </row>
    <row r="5539" spans="1:22" x14ac:dyDescent="0.3">
      <c r="A5539">
        <v>5538</v>
      </c>
      <c r="B5539">
        <v>56072</v>
      </c>
      <c r="C5539" s="2">
        <v>37288</v>
      </c>
      <c r="D5539">
        <v>24</v>
      </c>
      <c r="E5539" t="s">
        <v>42</v>
      </c>
      <c r="F5539" t="s">
        <v>37</v>
      </c>
      <c r="G5539" s="2">
        <v>45477</v>
      </c>
      <c r="H5539" s="3">
        <f t="shared" si="86"/>
        <v>1.558904109589041</v>
      </c>
      <c r="I5539">
        <v>63</v>
      </c>
      <c r="J5539" t="s">
        <v>38</v>
      </c>
      <c r="K5539" t="s">
        <v>56</v>
      </c>
      <c r="L5539" t="s">
        <v>44</v>
      </c>
      <c r="M5539">
        <v>8.4700000000000006</v>
      </c>
      <c r="T5539" t="s">
        <v>45</v>
      </c>
      <c r="U5539">
        <v>2</v>
      </c>
      <c r="V5539">
        <v>6</v>
      </c>
    </row>
    <row r="5540" spans="1:22" x14ac:dyDescent="0.3">
      <c r="A5540">
        <v>5539</v>
      </c>
      <c r="B5540">
        <v>56073</v>
      </c>
      <c r="C5540" s="2">
        <v>38334</v>
      </c>
      <c r="D5540">
        <v>21</v>
      </c>
      <c r="E5540" t="s">
        <v>36</v>
      </c>
      <c r="F5540" t="s">
        <v>50</v>
      </c>
      <c r="G5540" s="2">
        <v>45453</v>
      </c>
      <c r="H5540" s="3">
        <f t="shared" si="86"/>
        <v>1.736986301369863</v>
      </c>
      <c r="I5540">
        <v>63</v>
      </c>
      <c r="J5540" t="s">
        <v>38</v>
      </c>
      <c r="K5540" t="s">
        <v>56</v>
      </c>
      <c r="L5540" t="s">
        <v>44</v>
      </c>
      <c r="M5540">
        <v>8.4700000000000006</v>
      </c>
      <c r="T5540" t="s">
        <v>45</v>
      </c>
      <c r="U5540">
        <v>4</v>
      </c>
      <c r="V5540">
        <v>5</v>
      </c>
    </row>
    <row r="5541" spans="1:22" x14ac:dyDescent="0.3">
      <c r="A5541">
        <v>5540</v>
      </c>
      <c r="B5541">
        <v>56074</v>
      </c>
      <c r="C5541" s="2">
        <v>37583</v>
      </c>
      <c r="D5541">
        <v>23</v>
      </c>
      <c r="E5541" t="s">
        <v>42</v>
      </c>
      <c r="F5541" t="s">
        <v>50</v>
      </c>
      <c r="G5541" s="2">
        <v>45388</v>
      </c>
      <c r="H5541" s="3">
        <f t="shared" si="86"/>
        <v>1.2383561643835617</v>
      </c>
      <c r="I5541">
        <v>63</v>
      </c>
      <c r="J5541" t="s">
        <v>38</v>
      </c>
      <c r="K5541" t="s">
        <v>56</v>
      </c>
      <c r="L5541" t="s">
        <v>44</v>
      </c>
      <c r="M5541">
        <v>8.4700000000000006</v>
      </c>
      <c r="T5541" t="s">
        <v>49</v>
      </c>
      <c r="U5541">
        <v>1</v>
      </c>
      <c r="V5541">
        <v>5</v>
      </c>
    </row>
    <row r="5542" spans="1:22" x14ac:dyDescent="0.3">
      <c r="A5542">
        <v>5541</v>
      </c>
      <c r="B5542">
        <v>56076</v>
      </c>
      <c r="C5542" s="2">
        <v>39264</v>
      </c>
      <c r="D5542">
        <v>19</v>
      </c>
      <c r="E5542" t="s">
        <v>42</v>
      </c>
      <c r="F5542" t="s">
        <v>50</v>
      </c>
      <c r="G5542" s="2">
        <v>45570</v>
      </c>
      <c r="H5542" s="3">
        <f t="shared" si="86"/>
        <v>1.1561643835616437</v>
      </c>
      <c r="I5542">
        <v>63</v>
      </c>
      <c r="J5542" t="s">
        <v>38</v>
      </c>
      <c r="K5542" t="s">
        <v>56</v>
      </c>
      <c r="L5542" t="s">
        <v>44</v>
      </c>
      <c r="M5542">
        <v>8.4700000000000006</v>
      </c>
      <c r="T5542" t="s">
        <v>49</v>
      </c>
      <c r="U5542">
        <v>2</v>
      </c>
      <c r="V5542">
        <v>6</v>
      </c>
    </row>
    <row r="5543" spans="1:22" x14ac:dyDescent="0.3">
      <c r="A5543">
        <v>5542</v>
      </c>
      <c r="B5543">
        <v>56077</v>
      </c>
      <c r="C5543" s="2">
        <v>36941</v>
      </c>
      <c r="D5543">
        <v>24</v>
      </c>
      <c r="E5543" t="s">
        <v>42</v>
      </c>
      <c r="F5543" t="s">
        <v>50</v>
      </c>
      <c r="G5543" s="2">
        <v>45600</v>
      </c>
      <c r="H5543" s="3">
        <f t="shared" si="86"/>
        <v>1.3506849315068492</v>
      </c>
      <c r="I5543">
        <v>64</v>
      </c>
      <c r="J5543" t="s">
        <v>38</v>
      </c>
      <c r="K5543" t="s">
        <v>68</v>
      </c>
      <c r="L5543" t="s">
        <v>44</v>
      </c>
      <c r="M5543">
        <v>17</v>
      </c>
      <c r="T5543" t="s">
        <v>49</v>
      </c>
      <c r="U5543">
        <v>1</v>
      </c>
      <c r="V5543">
        <v>5</v>
      </c>
    </row>
    <row r="5544" spans="1:22" x14ac:dyDescent="0.3">
      <c r="A5544">
        <v>5543</v>
      </c>
      <c r="B5544">
        <v>56078</v>
      </c>
      <c r="C5544" s="2">
        <v>36670</v>
      </c>
      <c r="D5544">
        <v>25</v>
      </c>
      <c r="E5544" t="s">
        <v>42</v>
      </c>
      <c r="F5544" t="s">
        <v>37</v>
      </c>
      <c r="G5544" s="2">
        <v>45529</v>
      </c>
      <c r="H5544" s="3">
        <f t="shared" si="86"/>
        <v>1.1863013698630136</v>
      </c>
      <c r="I5544">
        <v>64</v>
      </c>
      <c r="J5544" t="s">
        <v>38</v>
      </c>
      <c r="K5544" t="s">
        <v>68</v>
      </c>
      <c r="L5544" t="s">
        <v>44</v>
      </c>
      <c r="M5544">
        <v>17</v>
      </c>
      <c r="T5544" t="s">
        <v>45</v>
      </c>
      <c r="U5544">
        <v>2</v>
      </c>
      <c r="V5544">
        <v>6</v>
      </c>
    </row>
    <row r="5545" spans="1:22" x14ac:dyDescent="0.3">
      <c r="A5545">
        <v>5544</v>
      </c>
      <c r="B5545">
        <v>56079</v>
      </c>
      <c r="C5545" s="2">
        <v>38208</v>
      </c>
      <c r="D5545">
        <v>21</v>
      </c>
      <c r="E5545" t="s">
        <v>42</v>
      </c>
      <c r="F5545" t="s">
        <v>50</v>
      </c>
      <c r="G5545" s="2">
        <v>45589</v>
      </c>
      <c r="H5545" s="3">
        <f t="shared" si="86"/>
        <v>1.6821917808219178</v>
      </c>
      <c r="I5545">
        <v>64</v>
      </c>
      <c r="J5545" t="s">
        <v>38</v>
      </c>
      <c r="K5545" t="s">
        <v>65</v>
      </c>
      <c r="L5545" t="s">
        <v>44</v>
      </c>
      <c r="M5545">
        <v>10.64</v>
      </c>
      <c r="T5545" t="s">
        <v>52</v>
      </c>
      <c r="U5545">
        <v>1</v>
      </c>
      <c r="V5545">
        <v>5</v>
      </c>
    </row>
    <row r="5546" spans="1:22" x14ac:dyDescent="0.3">
      <c r="A5546">
        <v>5545</v>
      </c>
      <c r="B5546">
        <v>56080</v>
      </c>
      <c r="C5546" s="2">
        <v>37965</v>
      </c>
      <c r="D5546">
        <v>22</v>
      </c>
      <c r="E5546" t="s">
        <v>42</v>
      </c>
      <c r="F5546" t="s">
        <v>37</v>
      </c>
      <c r="G5546" s="2">
        <v>45408</v>
      </c>
      <c r="H5546" s="3">
        <f t="shared" si="86"/>
        <v>1.2493150684931507</v>
      </c>
      <c r="I5546">
        <v>64</v>
      </c>
      <c r="J5546" t="s">
        <v>38</v>
      </c>
      <c r="K5546" t="s">
        <v>56</v>
      </c>
      <c r="L5546" t="s">
        <v>44</v>
      </c>
      <c r="M5546">
        <v>8.4700000000000006</v>
      </c>
      <c r="T5546" t="s">
        <v>45</v>
      </c>
      <c r="U5546">
        <v>2</v>
      </c>
      <c r="V5546">
        <v>6</v>
      </c>
    </row>
    <row r="5547" spans="1:22" x14ac:dyDescent="0.3">
      <c r="A5547">
        <v>5546</v>
      </c>
      <c r="B5547">
        <v>56081</v>
      </c>
      <c r="C5547" s="2">
        <v>38912</v>
      </c>
      <c r="D5547">
        <v>19</v>
      </c>
      <c r="E5547" t="s">
        <v>42</v>
      </c>
      <c r="F5547" t="s">
        <v>50</v>
      </c>
      <c r="G5547" s="2">
        <v>45566</v>
      </c>
      <c r="H5547" s="3">
        <f t="shared" si="86"/>
        <v>1.5424657534246575</v>
      </c>
      <c r="I5547">
        <v>64</v>
      </c>
      <c r="J5547" t="s">
        <v>38</v>
      </c>
      <c r="K5547" t="s">
        <v>56</v>
      </c>
      <c r="L5547" t="s">
        <v>44</v>
      </c>
      <c r="M5547">
        <v>8.4700000000000006</v>
      </c>
      <c r="T5547" t="s">
        <v>45</v>
      </c>
      <c r="U5547">
        <v>2</v>
      </c>
      <c r="V5547">
        <v>6</v>
      </c>
    </row>
    <row r="5548" spans="1:22" x14ac:dyDescent="0.3">
      <c r="A5548">
        <v>5547</v>
      </c>
      <c r="B5548">
        <v>56082</v>
      </c>
      <c r="C5548" s="2">
        <v>36198</v>
      </c>
      <c r="D5548">
        <v>26</v>
      </c>
      <c r="E5548" t="s">
        <v>42</v>
      </c>
      <c r="F5548" t="s">
        <v>50</v>
      </c>
      <c r="G5548" s="2">
        <v>45459</v>
      </c>
      <c r="H5548" s="3">
        <f t="shared" si="86"/>
        <v>1.5315068493150685</v>
      </c>
      <c r="I5548">
        <v>64</v>
      </c>
      <c r="J5548" t="s">
        <v>38</v>
      </c>
      <c r="K5548" t="s">
        <v>56</v>
      </c>
      <c r="L5548" t="s">
        <v>44</v>
      </c>
      <c r="M5548">
        <v>8.4700000000000006</v>
      </c>
      <c r="T5548" t="s">
        <v>49</v>
      </c>
      <c r="U5548">
        <v>1</v>
      </c>
      <c r="V5548">
        <v>6</v>
      </c>
    </row>
    <row r="5549" spans="1:22" x14ac:dyDescent="0.3">
      <c r="A5549">
        <v>5548</v>
      </c>
      <c r="B5549">
        <v>56084</v>
      </c>
      <c r="C5549" s="2">
        <v>38792</v>
      </c>
      <c r="D5549">
        <v>19</v>
      </c>
      <c r="E5549" t="s">
        <v>42</v>
      </c>
      <c r="F5549" t="s">
        <v>37</v>
      </c>
      <c r="G5549" s="2">
        <v>45463</v>
      </c>
      <c r="H5549" s="3">
        <f t="shared" si="86"/>
        <v>1.1835616438356165</v>
      </c>
      <c r="I5549">
        <v>64</v>
      </c>
      <c r="J5549" t="s">
        <v>38</v>
      </c>
      <c r="K5549" t="s">
        <v>56</v>
      </c>
      <c r="L5549" t="s">
        <v>44</v>
      </c>
      <c r="M5549">
        <v>8.4700000000000006</v>
      </c>
      <c r="T5549" t="s">
        <v>49</v>
      </c>
      <c r="U5549">
        <v>0</v>
      </c>
      <c r="V5549">
        <v>3</v>
      </c>
    </row>
    <row r="5550" spans="1:22" x14ac:dyDescent="0.3">
      <c r="A5550">
        <v>5549</v>
      </c>
      <c r="B5550">
        <v>56085</v>
      </c>
      <c r="C5550" s="2">
        <v>35421</v>
      </c>
      <c r="D5550">
        <v>29</v>
      </c>
      <c r="E5550" t="s">
        <v>36</v>
      </c>
      <c r="F5550" t="s">
        <v>50</v>
      </c>
      <c r="G5550" s="2">
        <v>45590</v>
      </c>
      <c r="H5550" s="3">
        <f t="shared" si="86"/>
        <v>1.0739726027397261</v>
      </c>
      <c r="I5550">
        <v>64</v>
      </c>
      <c r="J5550" t="s">
        <v>38</v>
      </c>
      <c r="K5550" t="s">
        <v>56</v>
      </c>
      <c r="L5550" t="s">
        <v>44</v>
      </c>
      <c r="M5550">
        <v>8.4700000000000006</v>
      </c>
      <c r="T5550" t="s">
        <v>49</v>
      </c>
      <c r="U5550">
        <v>2</v>
      </c>
      <c r="V5550">
        <v>5</v>
      </c>
    </row>
    <row r="5551" spans="1:22" x14ac:dyDescent="0.3">
      <c r="A5551">
        <v>5550</v>
      </c>
      <c r="B5551">
        <v>56086</v>
      </c>
      <c r="C5551" s="2">
        <v>38293</v>
      </c>
      <c r="D5551">
        <v>21</v>
      </c>
      <c r="E5551" t="s">
        <v>42</v>
      </c>
      <c r="F5551" t="s">
        <v>50</v>
      </c>
      <c r="G5551" s="2">
        <v>45630</v>
      </c>
      <c r="H5551" s="3">
        <f t="shared" si="86"/>
        <v>1.4191780821917808</v>
      </c>
      <c r="I5551">
        <v>64</v>
      </c>
      <c r="J5551" t="s">
        <v>38</v>
      </c>
      <c r="K5551" t="s">
        <v>56</v>
      </c>
      <c r="L5551" t="s">
        <v>44</v>
      </c>
      <c r="M5551">
        <v>8.4700000000000006</v>
      </c>
      <c r="T5551" t="s">
        <v>49</v>
      </c>
      <c r="U5551">
        <v>2</v>
      </c>
      <c r="V5551">
        <v>7</v>
      </c>
    </row>
    <row r="5552" spans="1:22" x14ac:dyDescent="0.3">
      <c r="A5552">
        <v>5551</v>
      </c>
      <c r="B5552">
        <v>56087</v>
      </c>
      <c r="C5552" s="2">
        <v>36195</v>
      </c>
      <c r="D5552">
        <v>26</v>
      </c>
      <c r="E5552" t="s">
        <v>42</v>
      </c>
      <c r="F5552" t="s">
        <v>50</v>
      </c>
      <c r="G5552" s="2">
        <v>45504</v>
      </c>
      <c r="H5552" s="3">
        <f t="shared" si="86"/>
        <v>1.5780821917808219</v>
      </c>
      <c r="I5552">
        <v>64</v>
      </c>
      <c r="J5552" t="s">
        <v>38</v>
      </c>
      <c r="K5552" t="s">
        <v>56</v>
      </c>
      <c r="L5552" t="s">
        <v>44</v>
      </c>
      <c r="M5552">
        <v>8.4700000000000006</v>
      </c>
      <c r="T5552" t="s">
        <v>45</v>
      </c>
      <c r="U5552">
        <v>0</v>
      </c>
      <c r="V5552">
        <v>5</v>
      </c>
    </row>
    <row r="5553" spans="1:22" x14ac:dyDescent="0.3">
      <c r="A5553">
        <v>5552</v>
      </c>
      <c r="B5553">
        <v>56088</v>
      </c>
      <c r="C5553" s="2">
        <v>38244</v>
      </c>
      <c r="D5553">
        <v>21</v>
      </c>
      <c r="E5553" t="s">
        <v>42</v>
      </c>
      <c r="F5553" t="s">
        <v>37</v>
      </c>
      <c r="G5553" s="2">
        <v>45446</v>
      </c>
      <c r="H5553" s="3">
        <f t="shared" si="86"/>
        <v>1.8054794520547945</v>
      </c>
      <c r="I5553">
        <v>64</v>
      </c>
      <c r="J5553" t="s">
        <v>38</v>
      </c>
      <c r="K5553" t="s">
        <v>56</v>
      </c>
      <c r="L5553" t="s">
        <v>44</v>
      </c>
      <c r="M5553">
        <v>8.4700000000000006</v>
      </c>
      <c r="T5553" t="s">
        <v>45</v>
      </c>
      <c r="U5553">
        <v>2</v>
      </c>
      <c r="V5553">
        <v>6</v>
      </c>
    </row>
    <row r="5554" spans="1:22" x14ac:dyDescent="0.3">
      <c r="A5554">
        <v>5553</v>
      </c>
      <c r="B5554">
        <v>56089</v>
      </c>
      <c r="C5554" s="2">
        <v>38632</v>
      </c>
      <c r="D5554">
        <v>20</v>
      </c>
      <c r="E5554" t="s">
        <v>42</v>
      </c>
      <c r="F5554" t="s">
        <v>50</v>
      </c>
      <c r="G5554" s="2">
        <v>45363</v>
      </c>
      <c r="H5554" s="3">
        <f t="shared" si="86"/>
        <v>1.5397260273972602</v>
      </c>
      <c r="I5554">
        <v>64</v>
      </c>
      <c r="J5554" t="s">
        <v>38</v>
      </c>
      <c r="K5554" t="s">
        <v>56</v>
      </c>
      <c r="L5554" t="s">
        <v>44</v>
      </c>
      <c r="M5554">
        <v>8.4700000000000006</v>
      </c>
      <c r="T5554" t="s">
        <v>45</v>
      </c>
      <c r="U5554">
        <v>3</v>
      </c>
      <c r="V5554">
        <v>5</v>
      </c>
    </row>
    <row r="5555" spans="1:22" x14ac:dyDescent="0.3">
      <c r="A5555">
        <v>5554</v>
      </c>
      <c r="B5555">
        <v>56090</v>
      </c>
      <c r="C5555" s="2">
        <v>38480</v>
      </c>
      <c r="D5555">
        <v>20</v>
      </c>
      <c r="E5555" t="s">
        <v>42</v>
      </c>
      <c r="F5555" t="s">
        <v>50</v>
      </c>
      <c r="G5555" s="2">
        <v>45460</v>
      </c>
      <c r="H5555" s="3">
        <f t="shared" si="86"/>
        <v>1.3780821917808219</v>
      </c>
      <c r="I5555">
        <v>64</v>
      </c>
      <c r="J5555" t="s">
        <v>38</v>
      </c>
      <c r="K5555" t="s">
        <v>56</v>
      </c>
      <c r="L5555" t="s">
        <v>44</v>
      </c>
      <c r="M5555">
        <v>8.4700000000000006</v>
      </c>
      <c r="T5555" t="s">
        <v>45</v>
      </c>
      <c r="U5555">
        <v>2</v>
      </c>
      <c r="V5555">
        <v>7</v>
      </c>
    </row>
    <row r="5556" spans="1:22" x14ac:dyDescent="0.3">
      <c r="A5556">
        <v>5555</v>
      </c>
      <c r="B5556">
        <v>56091</v>
      </c>
      <c r="C5556" s="2">
        <v>37984</v>
      </c>
      <c r="D5556">
        <v>22</v>
      </c>
      <c r="E5556" t="s">
        <v>42</v>
      </c>
      <c r="F5556" t="s">
        <v>50</v>
      </c>
      <c r="G5556" s="2">
        <v>45519</v>
      </c>
      <c r="H5556" s="3">
        <f t="shared" si="86"/>
        <v>1.2493150684931507</v>
      </c>
      <c r="I5556">
        <v>64</v>
      </c>
      <c r="J5556" t="s">
        <v>38</v>
      </c>
      <c r="K5556" t="s">
        <v>56</v>
      </c>
      <c r="L5556" t="s">
        <v>44</v>
      </c>
      <c r="M5556">
        <v>8.4700000000000006</v>
      </c>
      <c r="T5556" t="s">
        <v>47</v>
      </c>
      <c r="U5556">
        <v>2</v>
      </c>
      <c r="V5556">
        <v>6</v>
      </c>
    </row>
    <row r="5557" spans="1:22" x14ac:dyDescent="0.3">
      <c r="A5557">
        <v>5556</v>
      </c>
      <c r="B5557">
        <v>56093</v>
      </c>
      <c r="C5557" s="2">
        <v>37411</v>
      </c>
      <c r="D5557">
        <v>23</v>
      </c>
      <c r="E5557" t="s">
        <v>42</v>
      </c>
      <c r="F5557" t="s">
        <v>50</v>
      </c>
      <c r="G5557" s="2">
        <v>45566</v>
      </c>
      <c r="H5557" s="3">
        <f t="shared" si="86"/>
        <v>1.6602739726027398</v>
      </c>
      <c r="I5557">
        <v>64</v>
      </c>
      <c r="J5557" t="s">
        <v>38</v>
      </c>
      <c r="K5557" t="s">
        <v>56</v>
      </c>
      <c r="L5557" t="s">
        <v>44</v>
      </c>
      <c r="M5557">
        <v>8.4700000000000006</v>
      </c>
      <c r="T5557" t="s">
        <v>49</v>
      </c>
      <c r="U5557">
        <v>2</v>
      </c>
      <c r="V5557">
        <v>6</v>
      </c>
    </row>
    <row r="5558" spans="1:22" x14ac:dyDescent="0.3">
      <c r="A5558">
        <v>5557</v>
      </c>
      <c r="B5558">
        <v>56095</v>
      </c>
      <c r="C5558" s="2">
        <v>37442</v>
      </c>
      <c r="D5558">
        <v>23</v>
      </c>
      <c r="E5558" t="s">
        <v>42</v>
      </c>
      <c r="F5558" t="s">
        <v>50</v>
      </c>
      <c r="G5558" s="2">
        <v>45416</v>
      </c>
      <c r="H5558" s="3">
        <f t="shared" si="86"/>
        <v>1.4027397260273973</v>
      </c>
      <c r="I5558">
        <v>65</v>
      </c>
      <c r="J5558" t="s">
        <v>38</v>
      </c>
      <c r="K5558" t="s">
        <v>68</v>
      </c>
      <c r="L5558" t="s">
        <v>44</v>
      </c>
      <c r="M5558">
        <v>17</v>
      </c>
      <c r="T5558" t="s">
        <v>45</v>
      </c>
      <c r="U5558">
        <v>2</v>
      </c>
      <c r="V5558">
        <v>7</v>
      </c>
    </row>
    <row r="5559" spans="1:22" x14ac:dyDescent="0.3">
      <c r="A5559">
        <v>5558</v>
      </c>
      <c r="B5559">
        <v>56096</v>
      </c>
      <c r="C5559" s="2">
        <v>35870</v>
      </c>
      <c r="D5559">
        <v>27</v>
      </c>
      <c r="E5559" t="s">
        <v>36</v>
      </c>
      <c r="F5559" t="s">
        <v>50</v>
      </c>
      <c r="G5559" s="2">
        <v>45510</v>
      </c>
      <c r="H5559" s="3">
        <f t="shared" si="86"/>
        <v>1.6246575342465754</v>
      </c>
      <c r="I5559">
        <v>65</v>
      </c>
      <c r="J5559" t="s">
        <v>38</v>
      </c>
      <c r="K5559" t="s">
        <v>68</v>
      </c>
      <c r="L5559" t="s">
        <v>44</v>
      </c>
      <c r="M5559">
        <v>17</v>
      </c>
      <c r="T5559" t="s">
        <v>45</v>
      </c>
      <c r="U5559">
        <v>1</v>
      </c>
      <c r="V5559">
        <v>5</v>
      </c>
    </row>
    <row r="5560" spans="1:22" x14ac:dyDescent="0.3">
      <c r="A5560">
        <v>5559</v>
      </c>
      <c r="B5560">
        <v>56097</v>
      </c>
      <c r="C5560" s="2">
        <v>39072</v>
      </c>
      <c r="D5560">
        <v>19</v>
      </c>
      <c r="E5560" t="s">
        <v>42</v>
      </c>
      <c r="F5560" t="s">
        <v>50</v>
      </c>
      <c r="G5560" s="2">
        <v>45429</v>
      </c>
      <c r="H5560" s="3">
        <f t="shared" si="86"/>
        <v>1.441095890410959</v>
      </c>
      <c r="I5560">
        <v>65</v>
      </c>
      <c r="J5560" t="s">
        <v>38</v>
      </c>
      <c r="K5560" t="s">
        <v>48</v>
      </c>
      <c r="L5560" t="s">
        <v>44</v>
      </c>
      <c r="M5560">
        <v>8.4700000000000006</v>
      </c>
      <c r="T5560" t="s">
        <v>45</v>
      </c>
      <c r="U5560">
        <v>3</v>
      </c>
      <c r="V5560">
        <v>6</v>
      </c>
    </row>
    <row r="5561" spans="1:22" x14ac:dyDescent="0.3">
      <c r="A5561">
        <v>5560</v>
      </c>
      <c r="B5561">
        <v>56098</v>
      </c>
      <c r="C5561" s="2">
        <v>39265</v>
      </c>
      <c r="D5561">
        <v>18</v>
      </c>
      <c r="E5561" t="s">
        <v>42</v>
      </c>
      <c r="F5561" t="s">
        <v>50</v>
      </c>
      <c r="G5561" s="2">
        <v>45496</v>
      </c>
      <c r="H5561" s="3">
        <f t="shared" si="86"/>
        <v>1.536986301369863</v>
      </c>
      <c r="I5561">
        <v>65</v>
      </c>
      <c r="J5561" t="s">
        <v>38</v>
      </c>
      <c r="K5561" t="s">
        <v>48</v>
      </c>
      <c r="L5561" t="s">
        <v>44</v>
      </c>
      <c r="M5561">
        <v>8.4700000000000006</v>
      </c>
      <c r="T5561" t="s">
        <v>49</v>
      </c>
      <c r="U5561">
        <v>1</v>
      </c>
      <c r="V5561">
        <v>6</v>
      </c>
    </row>
    <row r="5562" spans="1:22" x14ac:dyDescent="0.3">
      <c r="A5562">
        <v>5561</v>
      </c>
      <c r="B5562">
        <v>56100</v>
      </c>
      <c r="C5562" s="2">
        <v>38820</v>
      </c>
      <c r="D5562">
        <v>19</v>
      </c>
      <c r="E5562" t="s">
        <v>42</v>
      </c>
      <c r="F5562" t="s">
        <v>50</v>
      </c>
      <c r="G5562" s="2">
        <v>45461</v>
      </c>
      <c r="H5562" s="3">
        <f t="shared" si="86"/>
        <v>1.2356164383561643</v>
      </c>
      <c r="I5562">
        <v>65</v>
      </c>
      <c r="J5562" t="s">
        <v>38</v>
      </c>
      <c r="K5562" t="s">
        <v>56</v>
      </c>
      <c r="L5562" t="s">
        <v>44</v>
      </c>
      <c r="M5562">
        <v>8.4700000000000006</v>
      </c>
      <c r="T5562" t="s">
        <v>52</v>
      </c>
      <c r="U5562">
        <v>4</v>
      </c>
      <c r="V5562">
        <v>6</v>
      </c>
    </row>
    <row r="5563" spans="1:22" x14ac:dyDescent="0.3">
      <c r="A5563">
        <v>5562</v>
      </c>
      <c r="B5563">
        <v>56103</v>
      </c>
      <c r="C5563" s="2">
        <v>39066</v>
      </c>
      <c r="D5563">
        <v>19</v>
      </c>
      <c r="E5563" t="s">
        <v>36</v>
      </c>
      <c r="F5563" t="s">
        <v>37</v>
      </c>
      <c r="G5563" s="2">
        <v>45571</v>
      </c>
      <c r="H5563" s="3">
        <f t="shared" si="86"/>
        <v>1.2657534246575342</v>
      </c>
      <c r="I5563">
        <v>65</v>
      </c>
      <c r="J5563" t="s">
        <v>38</v>
      </c>
      <c r="K5563" t="s">
        <v>56</v>
      </c>
      <c r="L5563" t="s">
        <v>44</v>
      </c>
      <c r="M5563">
        <v>8.4700000000000006</v>
      </c>
      <c r="T5563" t="s">
        <v>45</v>
      </c>
      <c r="U5563">
        <v>4</v>
      </c>
      <c r="V5563">
        <v>5</v>
      </c>
    </row>
    <row r="5564" spans="1:22" x14ac:dyDescent="0.3">
      <c r="A5564">
        <v>5563</v>
      </c>
      <c r="B5564">
        <v>56104</v>
      </c>
      <c r="C5564" s="2">
        <v>39376</v>
      </c>
      <c r="D5564">
        <v>18</v>
      </c>
      <c r="E5564" t="s">
        <v>42</v>
      </c>
      <c r="F5564" t="s">
        <v>50</v>
      </c>
      <c r="G5564" s="2">
        <v>45560</v>
      </c>
      <c r="H5564" s="3">
        <f t="shared" si="86"/>
        <v>1.0465753424657533</v>
      </c>
      <c r="I5564">
        <v>65</v>
      </c>
      <c r="J5564" t="s">
        <v>38</v>
      </c>
      <c r="K5564" t="s">
        <v>56</v>
      </c>
      <c r="L5564" t="s">
        <v>44</v>
      </c>
      <c r="M5564">
        <v>8.4700000000000006</v>
      </c>
      <c r="T5564" t="s">
        <v>49</v>
      </c>
      <c r="U5564">
        <v>2</v>
      </c>
      <c r="V5564">
        <v>5</v>
      </c>
    </row>
    <row r="5565" spans="1:22" x14ac:dyDescent="0.3">
      <c r="A5565">
        <v>5564</v>
      </c>
      <c r="B5565">
        <v>56105</v>
      </c>
      <c r="C5565" s="2">
        <v>38212</v>
      </c>
      <c r="D5565">
        <v>21</v>
      </c>
      <c r="E5565" t="s">
        <v>42</v>
      </c>
      <c r="F5565" t="s">
        <v>50</v>
      </c>
      <c r="G5565" s="2">
        <v>45640</v>
      </c>
      <c r="H5565" s="3">
        <f t="shared" si="86"/>
        <v>1.6986301369863013</v>
      </c>
      <c r="I5565">
        <v>65</v>
      </c>
      <c r="J5565" t="s">
        <v>38</v>
      </c>
      <c r="K5565" t="s">
        <v>56</v>
      </c>
      <c r="L5565" t="s">
        <v>44</v>
      </c>
      <c r="M5565">
        <v>8.4700000000000006</v>
      </c>
      <c r="T5565" t="s">
        <v>52</v>
      </c>
      <c r="U5565">
        <v>4</v>
      </c>
      <c r="V5565">
        <v>7</v>
      </c>
    </row>
    <row r="5566" spans="1:22" x14ac:dyDescent="0.3">
      <c r="A5566">
        <v>5565</v>
      </c>
      <c r="B5566">
        <v>56106</v>
      </c>
      <c r="C5566" s="2">
        <v>38983</v>
      </c>
      <c r="D5566">
        <v>19</v>
      </c>
      <c r="E5566" t="s">
        <v>42</v>
      </c>
      <c r="F5566" t="s">
        <v>50</v>
      </c>
      <c r="G5566" s="2">
        <v>45402</v>
      </c>
      <c r="H5566" s="3">
        <f t="shared" si="86"/>
        <v>1.5917808219178082</v>
      </c>
      <c r="I5566">
        <v>65</v>
      </c>
      <c r="J5566" t="s">
        <v>38</v>
      </c>
      <c r="K5566" t="s">
        <v>56</v>
      </c>
      <c r="L5566" t="s">
        <v>44</v>
      </c>
      <c r="M5566">
        <v>8.4700000000000006</v>
      </c>
      <c r="T5566" t="s">
        <v>47</v>
      </c>
      <c r="U5566">
        <v>3</v>
      </c>
      <c r="V5566">
        <v>6</v>
      </c>
    </row>
    <row r="5567" spans="1:22" x14ac:dyDescent="0.3">
      <c r="A5567">
        <v>5566</v>
      </c>
      <c r="B5567">
        <v>56107</v>
      </c>
      <c r="C5567" s="2">
        <v>37753</v>
      </c>
      <c r="D5567">
        <v>22</v>
      </c>
      <c r="E5567" t="s">
        <v>42</v>
      </c>
      <c r="F5567" t="s">
        <v>50</v>
      </c>
      <c r="G5567" s="2">
        <v>45441</v>
      </c>
      <c r="H5567" s="3">
        <f t="shared" si="86"/>
        <v>1.3315068493150686</v>
      </c>
      <c r="I5567">
        <v>65</v>
      </c>
      <c r="J5567" t="s">
        <v>38</v>
      </c>
      <c r="K5567" t="s">
        <v>56</v>
      </c>
      <c r="L5567" t="s">
        <v>44</v>
      </c>
      <c r="M5567">
        <v>8.4700000000000006</v>
      </c>
      <c r="T5567" t="s">
        <v>52</v>
      </c>
      <c r="U5567">
        <v>0</v>
      </c>
      <c r="V5567">
        <v>6</v>
      </c>
    </row>
    <row r="5568" spans="1:22" x14ac:dyDescent="0.3">
      <c r="A5568">
        <v>5567</v>
      </c>
      <c r="B5568">
        <v>56108</v>
      </c>
      <c r="C5568" s="2">
        <v>37686</v>
      </c>
      <c r="D5568">
        <v>22</v>
      </c>
      <c r="E5568" t="s">
        <v>42</v>
      </c>
      <c r="F5568" t="s">
        <v>50</v>
      </c>
      <c r="G5568" s="2">
        <v>45536</v>
      </c>
      <c r="H5568" s="3">
        <f t="shared" si="86"/>
        <v>1.4684931506849315</v>
      </c>
      <c r="I5568">
        <v>65</v>
      </c>
      <c r="J5568" t="s">
        <v>38</v>
      </c>
      <c r="K5568" t="s">
        <v>56</v>
      </c>
      <c r="L5568" t="s">
        <v>44</v>
      </c>
      <c r="M5568">
        <v>8.4700000000000006</v>
      </c>
      <c r="T5568" t="s">
        <v>45</v>
      </c>
      <c r="U5568">
        <v>0</v>
      </c>
      <c r="V5568">
        <v>6</v>
      </c>
    </row>
    <row r="5569" spans="1:22" x14ac:dyDescent="0.3">
      <c r="A5569">
        <v>5568</v>
      </c>
      <c r="B5569">
        <v>56109</v>
      </c>
      <c r="C5569" s="2">
        <v>39292</v>
      </c>
      <c r="D5569">
        <v>18</v>
      </c>
      <c r="E5569" t="s">
        <v>42</v>
      </c>
      <c r="F5569" t="s">
        <v>50</v>
      </c>
      <c r="G5569" s="2">
        <v>45486</v>
      </c>
      <c r="H5569" s="3">
        <f t="shared" si="86"/>
        <v>1.263013698630137</v>
      </c>
      <c r="I5569">
        <v>65</v>
      </c>
      <c r="J5569" t="s">
        <v>38</v>
      </c>
      <c r="K5569" t="s">
        <v>56</v>
      </c>
      <c r="L5569" t="s">
        <v>44</v>
      </c>
      <c r="M5569">
        <v>8.4700000000000006</v>
      </c>
      <c r="T5569" t="s">
        <v>52</v>
      </c>
      <c r="U5569">
        <v>3</v>
      </c>
      <c r="V5569">
        <v>7</v>
      </c>
    </row>
    <row r="5570" spans="1:22" x14ac:dyDescent="0.3">
      <c r="A5570">
        <v>5569</v>
      </c>
      <c r="B5570">
        <v>56110</v>
      </c>
      <c r="C5570" s="2">
        <v>39320</v>
      </c>
      <c r="D5570">
        <v>18</v>
      </c>
      <c r="E5570" t="s">
        <v>42</v>
      </c>
      <c r="F5570" t="s">
        <v>37</v>
      </c>
      <c r="G5570" s="2">
        <v>45561</v>
      </c>
      <c r="H5570" s="3">
        <f t="shared" si="86"/>
        <v>1.5178082191780822</v>
      </c>
      <c r="I5570">
        <v>65</v>
      </c>
      <c r="J5570" t="s">
        <v>38</v>
      </c>
      <c r="K5570" t="s">
        <v>56</v>
      </c>
      <c r="L5570" t="s">
        <v>44</v>
      </c>
      <c r="M5570">
        <v>8.4700000000000006</v>
      </c>
      <c r="T5570" t="s">
        <v>52</v>
      </c>
      <c r="U5570">
        <v>3</v>
      </c>
      <c r="V5570">
        <v>7</v>
      </c>
    </row>
    <row r="5571" spans="1:22" x14ac:dyDescent="0.3">
      <c r="A5571">
        <v>5570</v>
      </c>
      <c r="B5571">
        <v>56111</v>
      </c>
      <c r="C5571" s="2">
        <v>35282</v>
      </c>
      <c r="D5571">
        <v>29</v>
      </c>
      <c r="E5571" t="s">
        <v>42</v>
      </c>
      <c r="F5571" t="s">
        <v>50</v>
      </c>
      <c r="G5571" s="2">
        <v>45468</v>
      </c>
      <c r="H5571" s="3">
        <f t="shared" ref="H5571:H5634" si="87">DATEDIF(G5572,DATE(2025,12,31),"d")/365</f>
        <v>1.4547945205479451</v>
      </c>
      <c r="I5571">
        <v>66</v>
      </c>
      <c r="J5571" t="s">
        <v>57</v>
      </c>
      <c r="K5571" t="s">
        <v>68</v>
      </c>
      <c r="L5571" t="s">
        <v>44</v>
      </c>
      <c r="M5571">
        <v>17</v>
      </c>
      <c r="T5571" t="s">
        <v>52</v>
      </c>
      <c r="U5571">
        <v>2</v>
      </c>
      <c r="V5571">
        <v>6</v>
      </c>
    </row>
    <row r="5572" spans="1:22" x14ac:dyDescent="0.3">
      <c r="A5572">
        <v>5571</v>
      </c>
      <c r="B5572">
        <v>56112</v>
      </c>
      <c r="C5572" s="2">
        <v>34751</v>
      </c>
      <c r="D5572">
        <v>30</v>
      </c>
      <c r="E5572" t="s">
        <v>42</v>
      </c>
      <c r="F5572" t="s">
        <v>37</v>
      </c>
      <c r="G5572" s="2">
        <v>45491</v>
      </c>
      <c r="H5572" s="3">
        <f t="shared" si="87"/>
        <v>1.0082191780821919</v>
      </c>
      <c r="I5572">
        <v>66</v>
      </c>
      <c r="J5572" t="s">
        <v>57</v>
      </c>
      <c r="K5572" t="s">
        <v>65</v>
      </c>
      <c r="L5572" t="s">
        <v>44</v>
      </c>
      <c r="M5572">
        <v>10.64</v>
      </c>
      <c r="T5572" t="s">
        <v>45</v>
      </c>
      <c r="U5572">
        <v>0</v>
      </c>
      <c r="V5572">
        <v>5</v>
      </c>
    </row>
    <row r="5573" spans="1:22" x14ac:dyDescent="0.3">
      <c r="A5573">
        <v>5572</v>
      </c>
      <c r="B5573">
        <v>56113</v>
      </c>
      <c r="C5573" s="2">
        <v>39058</v>
      </c>
      <c r="D5573">
        <v>19</v>
      </c>
      <c r="E5573" t="s">
        <v>42</v>
      </c>
      <c r="F5573" t="s">
        <v>37</v>
      </c>
      <c r="G5573" s="2">
        <v>45654</v>
      </c>
      <c r="H5573" s="3">
        <f t="shared" si="87"/>
        <v>1.1287671232876713</v>
      </c>
      <c r="I5573">
        <v>66</v>
      </c>
      <c r="J5573" t="s">
        <v>57</v>
      </c>
      <c r="K5573" t="s">
        <v>56</v>
      </c>
      <c r="L5573" t="s">
        <v>44</v>
      </c>
      <c r="M5573">
        <v>8.4700000000000006</v>
      </c>
      <c r="T5573" t="s">
        <v>52</v>
      </c>
      <c r="U5573">
        <v>3</v>
      </c>
      <c r="V5573">
        <v>6</v>
      </c>
    </row>
    <row r="5574" spans="1:22" x14ac:dyDescent="0.3">
      <c r="A5574">
        <v>5573</v>
      </c>
      <c r="B5574">
        <v>56114</v>
      </c>
      <c r="C5574" s="2">
        <v>35837</v>
      </c>
      <c r="D5574">
        <v>27</v>
      </c>
      <c r="E5574" t="s">
        <v>42</v>
      </c>
      <c r="F5574" t="s">
        <v>50</v>
      </c>
      <c r="G5574" s="2">
        <v>45610</v>
      </c>
      <c r="H5574" s="3">
        <f t="shared" si="87"/>
        <v>1.8164383561643835</v>
      </c>
      <c r="I5574">
        <v>66</v>
      </c>
      <c r="J5574" t="s">
        <v>57</v>
      </c>
      <c r="K5574" t="s">
        <v>56</v>
      </c>
      <c r="L5574" t="s">
        <v>44</v>
      </c>
      <c r="M5574">
        <v>8.4700000000000006</v>
      </c>
      <c r="T5574" t="s">
        <v>52</v>
      </c>
      <c r="U5574">
        <v>0</v>
      </c>
      <c r="V5574">
        <v>5</v>
      </c>
    </row>
    <row r="5575" spans="1:22" x14ac:dyDescent="0.3">
      <c r="A5575">
        <v>5574</v>
      </c>
      <c r="B5575">
        <v>56115</v>
      </c>
      <c r="C5575" s="2">
        <v>38552</v>
      </c>
      <c r="D5575">
        <v>20</v>
      </c>
      <c r="E5575" t="s">
        <v>42</v>
      </c>
      <c r="F5575" t="s">
        <v>50</v>
      </c>
      <c r="G5575" s="2">
        <v>45359</v>
      </c>
      <c r="H5575" s="3">
        <f t="shared" si="87"/>
        <v>1.4383561643835616</v>
      </c>
      <c r="I5575">
        <v>66</v>
      </c>
      <c r="J5575" t="s">
        <v>57</v>
      </c>
      <c r="K5575" t="s">
        <v>56</v>
      </c>
      <c r="L5575" t="s">
        <v>44</v>
      </c>
      <c r="M5575">
        <v>8.4700000000000006</v>
      </c>
      <c r="T5575" t="s">
        <v>52</v>
      </c>
      <c r="U5575">
        <v>3</v>
      </c>
      <c r="V5575">
        <v>7</v>
      </c>
    </row>
    <row r="5576" spans="1:22" x14ac:dyDescent="0.3">
      <c r="A5576">
        <v>5575</v>
      </c>
      <c r="B5576">
        <v>56116</v>
      </c>
      <c r="C5576" s="2">
        <v>38777</v>
      </c>
      <c r="D5576">
        <v>20</v>
      </c>
      <c r="E5576" t="s">
        <v>42</v>
      </c>
      <c r="F5576" t="s">
        <v>37</v>
      </c>
      <c r="G5576" s="2">
        <v>45497</v>
      </c>
      <c r="H5576" s="3">
        <f t="shared" si="87"/>
        <v>1.3726027397260274</v>
      </c>
      <c r="I5576">
        <v>66</v>
      </c>
      <c r="J5576" t="s">
        <v>57</v>
      </c>
      <c r="K5576" t="s">
        <v>56</v>
      </c>
      <c r="L5576" t="s">
        <v>44</v>
      </c>
      <c r="M5576">
        <v>8.4700000000000006</v>
      </c>
      <c r="T5576" t="s">
        <v>45</v>
      </c>
      <c r="U5576">
        <v>4</v>
      </c>
      <c r="V5576">
        <v>6</v>
      </c>
    </row>
    <row r="5577" spans="1:22" x14ac:dyDescent="0.3">
      <c r="A5577">
        <v>5576</v>
      </c>
      <c r="B5577">
        <v>56117</v>
      </c>
      <c r="C5577" s="2">
        <v>36583</v>
      </c>
      <c r="D5577">
        <v>25</v>
      </c>
      <c r="E5577" t="s">
        <v>42</v>
      </c>
      <c r="F5577" t="s">
        <v>50</v>
      </c>
      <c r="G5577" s="2">
        <v>45521</v>
      </c>
      <c r="H5577" s="3">
        <f t="shared" si="87"/>
        <v>1.6191780821917807</v>
      </c>
      <c r="I5577">
        <v>66</v>
      </c>
      <c r="J5577" t="s">
        <v>57</v>
      </c>
      <c r="K5577" t="s">
        <v>56</v>
      </c>
      <c r="L5577" t="s">
        <v>44</v>
      </c>
      <c r="M5577">
        <v>8.4700000000000006</v>
      </c>
      <c r="T5577" t="s">
        <v>45</v>
      </c>
      <c r="U5577">
        <v>2</v>
      </c>
      <c r="V5577">
        <v>5</v>
      </c>
    </row>
    <row r="5578" spans="1:22" x14ac:dyDescent="0.3">
      <c r="A5578">
        <v>5577</v>
      </c>
      <c r="B5578">
        <v>56118</v>
      </c>
      <c r="C5578" s="2">
        <v>38402</v>
      </c>
      <c r="D5578">
        <v>20</v>
      </c>
      <c r="E5578" t="s">
        <v>36</v>
      </c>
      <c r="F5578" t="s">
        <v>50</v>
      </c>
      <c r="G5578" s="2">
        <v>45431</v>
      </c>
      <c r="H5578" s="3">
        <f t="shared" si="87"/>
        <v>1.273972602739726</v>
      </c>
      <c r="I5578">
        <v>66</v>
      </c>
      <c r="J5578" t="s">
        <v>57</v>
      </c>
      <c r="K5578" t="s">
        <v>56</v>
      </c>
      <c r="L5578" t="s">
        <v>44</v>
      </c>
      <c r="M5578">
        <v>8.4700000000000006</v>
      </c>
      <c r="T5578" t="s">
        <v>52</v>
      </c>
      <c r="U5578">
        <v>3</v>
      </c>
      <c r="V5578">
        <v>5</v>
      </c>
    </row>
    <row r="5579" spans="1:22" x14ac:dyDescent="0.3">
      <c r="A5579">
        <v>5578</v>
      </c>
      <c r="B5579">
        <v>56119</v>
      </c>
      <c r="C5579" s="2">
        <v>35827</v>
      </c>
      <c r="D5579">
        <v>28</v>
      </c>
      <c r="E5579" t="s">
        <v>42</v>
      </c>
      <c r="F5579" t="s">
        <v>50</v>
      </c>
      <c r="G5579" s="2">
        <v>45557</v>
      </c>
      <c r="H5579" s="3">
        <f t="shared" si="87"/>
        <v>1.295890410958904</v>
      </c>
      <c r="I5579">
        <v>66</v>
      </c>
      <c r="J5579" t="s">
        <v>57</v>
      </c>
      <c r="K5579" t="s">
        <v>56</v>
      </c>
      <c r="L5579" t="s">
        <v>44</v>
      </c>
      <c r="M5579">
        <v>8.4700000000000006</v>
      </c>
      <c r="T5579" t="s">
        <v>45</v>
      </c>
      <c r="U5579">
        <v>2</v>
      </c>
      <c r="V5579">
        <v>6</v>
      </c>
    </row>
    <row r="5580" spans="1:22" x14ac:dyDescent="0.3">
      <c r="A5580">
        <v>5579</v>
      </c>
      <c r="B5580">
        <v>56120</v>
      </c>
      <c r="C5580" s="2">
        <v>38342</v>
      </c>
      <c r="D5580">
        <v>21</v>
      </c>
      <c r="E5580" t="s">
        <v>42</v>
      </c>
      <c r="F5580" t="s">
        <v>37</v>
      </c>
      <c r="G5580" s="2">
        <v>45549</v>
      </c>
      <c r="H5580" s="3">
        <f t="shared" si="87"/>
        <v>1.7342465753424658</v>
      </c>
      <c r="I5580">
        <v>66</v>
      </c>
      <c r="J5580" t="s">
        <v>57</v>
      </c>
      <c r="K5580" t="s">
        <v>56</v>
      </c>
      <c r="L5580" t="s">
        <v>44</v>
      </c>
      <c r="M5580">
        <v>8.4700000000000006</v>
      </c>
      <c r="T5580" t="s">
        <v>47</v>
      </c>
      <c r="U5580">
        <v>2</v>
      </c>
      <c r="V5580">
        <v>5</v>
      </c>
    </row>
    <row r="5581" spans="1:22" x14ac:dyDescent="0.3">
      <c r="A5581">
        <v>5580</v>
      </c>
      <c r="B5581">
        <v>56121</v>
      </c>
      <c r="C5581" s="2">
        <v>37572</v>
      </c>
      <c r="D5581">
        <v>23</v>
      </c>
      <c r="E5581" t="s">
        <v>42</v>
      </c>
      <c r="F5581" t="s">
        <v>50</v>
      </c>
      <c r="G5581" s="2">
        <v>45389</v>
      </c>
      <c r="H5581" s="3">
        <f t="shared" si="87"/>
        <v>1.4027397260273973</v>
      </c>
      <c r="I5581">
        <v>66</v>
      </c>
      <c r="J5581" t="s">
        <v>57</v>
      </c>
      <c r="K5581" t="s">
        <v>56</v>
      </c>
      <c r="L5581" t="s">
        <v>44</v>
      </c>
      <c r="M5581">
        <v>8.4700000000000006</v>
      </c>
      <c r="T5581" t="s">
        <v>52</v>
      </c>
      <c r="U5581">
        <v>4</v>
      </c>
      <c r="V5581">
        <v>6</v>
      </c>
    </row>
    <row r="5582" spans="1:22" x14ac:dyDescent="0.3">
      <c r="A5582">
        <v>5581</v>
      </c>
      <c r="B5582">
        <v>56122</v>
      </c>
      <c r="C5582" s="2">
        <v>38571</v>
      </c>
      <c r="D5582">
        <v>20</v>
      </c>
      <c r="E5582" t="s">
        <v>36</v>
      </c>
      <c r="F5582" t="s">
        <v>50</v>
      </c>
      <c r="G5582" s="2">
        <v>45510</v>
      </c>
      <c r="H5582" s="3">
        <f t="shared" si="87"/>
        <v>1.0410958904109588</v>
      </c>
      <c r="I5582">
        <v>66</v>
      </c>
      <c r="J5582" t="s">
        <v>57</v>
      </c>
      <c r="K5582" t="s">
        <v>56</v>
      </c>
      <c r="L5582" t="s">
        <v>44</v>
      </c>
      <c r="M5582">
        <v>8.4700000000000006</v>
      </c>
      <c r="T5582" t="s">
        <v>52</v>
      </c>
      <c r="U5582">
        <v>2</v>
      </c>
      <c r="V5582">
        <v>5</v>
      </c>
    </row>
    <row r="5583" spans="1:22" x14ac:dyDescent="0.3">
      <c r="A5583">
        <v>5582</v>
      </c>
      <c r="B5583">
        <v>56123</v>
      </c>
      <c r="C5583" s="2">
        <v>38504</v>
      </c>
      <c r="D5583">
        <v>21</v>
      </c>
      <c r="E5583" t="s">
        <v>42</v>
      </c>
      <c r="F5583" t="s">
        <v>50</v>
      </c>
      <c r="G5583" s="2">
        <v>45642</v>
      </c>
      <c r="H5583" s="3">
        <f t="shared" si="87"/>
        <v>1.6575342465753424</v>
      </c>
      <c r="I5583">
        <v>66</v>
      </c>
      <c r="J5583" t="s">
        <v>57</v>
      </c>
      <c r="K5583" t="s">
        <v>56</v>
      </c>
      <c r="L5583" t="s">
        <v>44</v>
      </c>
      <c r="M5583">
        <v>8.4700000000000006</v>
      </c>
      <c r="T5583" t="s">
        <v>47</v>
      </c>
      <c r="U5583">
        <v>0</v>
      </c>
      <c r="V5583">
        <v>5</v>
      </c>
    </row>
    <row r="5584" spans="1:22" x14ac:dyDescent="0.3">
      <c r="A5584">
        <v>5583</v>
      </c>
      <c r="B5584">
        <v>56124</v>
      </c>
      <c r="C5584" s="2">
        <v>38911</v>
      </c>
      <c r="D5584">
        <v>19</v>
      </c>
      <c r="E5584" t="s">
        <v>42</v>
      </c>
      <c r="F5584" t="s">
        <v>50</v>
      </c>
      <c r="G5584" s="2">
        <v>45417</v>
      </c>
      <c r="H5584" s="3">
        <f t="shared" si="87"/>
        <v>1.5863013698630137</v>
      </c>
      <c r="I5584">
        <v>66</v>
      </c>
      <c r="J5584" t="s">
        <v>57</v>
      </c>
      <c r="K5584" t="s">
        <v>56</v>
      </c>
      <c r="L5584" t="s">
        <v>44</v>
      </c>
      <c r="M5584">
        <v>8.4700000000000006</v>
      </c>
      <c r="T5584" t="s">
        <v>45</v>
      </c>
      <c r="U5584">
        <v>2</v>
      </c>
      <c r="V5584">
        <v>7</v>
      </c>
    </row>
    <row r="5585" spans="1:22" x14ac:dyDescent="0.3">
      <c r="A5585">
        <v>5584</v>
      </c>
      <c r="B5585">
        <v>56125</v>
      </c>
      <c r="C5585" s="2">
        <v>36613</v>
      </c>
      <c r="D5585">
        <v>25</v>
      </c>
      <c r="E5585" t="s">
        <v>42</v>
      </c>
      <c r="F5585" t="s">
        <v>37</v>
      </c>
      <c r="G5585" s="2">
        <v>45443</v>
      </c>
      <c r="H5585" s="3">
        <f t="shared" si="87"/>
        <v>1.3397260273972602</v>
      </c>
      <c r="I5585">
        <v>67</v>
      </c>
      <c r="J5585" t="s">
        <v>57</v>
      </c>
      <c r="K5585" t="s">
        <v>68</v>
      </c>
      <c r="L5585" t="s">
        <v>44</v>
      </c>
      <c r="M5585">
        <v>17</v>
      </c>
      <c r="T5585" t="s">
        <v>47</v>
      </c>
      <c r="U5585">
        <v>2</v>
      </c>
      <c r="V5585">
        <v>6</v>
      </c>
    </row>
    <row r="5586" spans="1:22" x14ac:dyDescent="0.3">
      <c r="A5586">
        <v>5585</v>
      </c>
      <c r="B5586">
        <v>56126</v>
      </c>
      <c r="C5586" s="2">
        <v>38951</v>
      </c>
      <c r="D5586">
        <v>19</v>
      </c>
      <c r="E5586" t="s">
        <v>42</v>
      </c>
      <c r="F5586" t="s">
        <v>37</v>
      </c>
      <c r="G5586" s="2">
        <v>45533</v>
      </c>
      <c r="H5586" s="3">
        <f t="shared" si="87"/>
        <v>1.6410958904109589</v>
      </c>
      <c r="I5586">
        <v>67</v>
      </c>
      <c r="J5586" t="s">
        <v>57</v>
      </c>
      <c r="K5586" t="s">
        <v>43</v>
      </c>
      <c r="L5586" t="s">
        <v>44</v>
      </c>
      <c r="M5586">
        <v>16.37</v>
      </c>
      <c r="T5586" t="s">
        <v>47</v>
      </c>
      <c r="U5586">
        <v>1</v>
      </c>
      <c r="V5586">
        <v>6</v>
      </c>
    </row>
    <row r="5587" spans="1:22" x14ac:dyDescent="0.3">
      <c r="A5587">
        <v>5586</v>
      </c>
      <c r="B5587">
        <v>56127</v>
      </c>
      <c r="C5587" s="2">
        <v>36033</v>
      </c>
      <c r="D5587">
        <v>27</v>
      </c>
      <c r="E5587" t="s">
        <v>36</v>
      </c>
      <c r="F5587" t="s">
        <v>37</v>
      </c>
      <c r="G5587" s="2">
        <v>45423</v>
      </c>
      <c r="H5587" s="3">
        <f t="shared" si="87"/>
        <v>1.4575342465753425</v>
      </c>
      <c r="I5587">
        <v>67</v>
      </c>
      <c r="J5587" t="s">
        <v>57</v>
      </c>
      <c r="K5587" t="s">
        <v>56</v>
      </c>
      <c r="L5587" t="s">
        <v>44</v>
      </c>
      <c r="M5587">
        <v>8.4700000000000006</v>
      </c>
      <c r="T5587" t="s">
        <v>47</v>
      </c>
      <c r="U5587">
        <v>3</v>
      </c>
      <c r="V5587">
        <v>5</v>
      </c>
    </row>
    <row r="5588" spans="1:22" x14ac:dyDescent="0.3">
      <c r="A5588">
        <v>5587</v>
      </c>
      <c r="B5588">
        <v>56128</v>
      </c>
      <c r="C5588" s="2">
        <v>37950</v>
      </c>
      <c r="D5588">
        <v>22</v>
      </c>
      <c r="E5588" t="s">
        <v>42</v>
      </c>
      <c r="F5588" t="s">
        <v>37</v>
      </c>
      <c r="G5588" s="2">
        <v>45490</v>
      </c>
      <c r="H5588" s="3">
        <f t="shared" si="87"/>
        <v>1.8027397260273972</v>
      </c>
      <c r="I5588">
        <v>67</v>
      </c>
      <c r="J5588" t="s">
        <v>57</v>
      </c>
      <c r="K5588" t="s">
        <v>56</v>
      </c>
      <c r="L5588" t="s">
        <v>44</v>
      </c>
      <c r="M5588">
        <v>8.4700000000000006</v>
      </c>
      <c r="T5588" t="s">
        <v>52</v>
      </c>
      <c r="U5588">
        <v>3</v>
      </c>
      <c r="V5588">
        <v>5</v>
      </c>
    </row>
    <row r="5589" spans="1:22" x14ac:dyDescent="0.3">
      <c r="A5589">
        <v>5588</v>
      </c>
      <c r="B5589">
        <v>56129</v>
      </c>
      <c r="C5589" s="2">
        <v>38376</v>
      </c>
      <c r="D5589">
        <v>20</v>
      </c>
      <c r="E5589" t="s">
        <v>42</v>
      </c>
      <c r="F5589" t="s">
        <v>50</v>
      </c>
      <c r="G5589" s="2">
        <v>45364</v>
      </c>
      <c r="H5589" s="3">
        <f t="shared" si="87"/>
        <v>1.6273972602739726</v>
      </c>
      <c r="I5589">
        <v>68</v>
      </c>
      <c r="J5589" t="s">
        <v>57</v>
      </c>
      <c r="K5589" t="s">
        <v>56</v>
      </c>
      <c r="L5589" t="s">
        <v>44</v>
      </c>
      <c r="M5589">
        <v>8.4700000000000006</v>
      </c>
      <c r="T5589" t="s">
        <v>45</v>
      </c>
      <c r="U5589">
        <v>2</v>
      </c>
      <c r="V5589">
        <v>6</v>
      </c>
    </row>
    <row r="5590" spans="1:22" x14ac:dyDescent="0.3">
      <c r="A5590">
        <v>5589</v>
      </c>
      <c r="B5590">
        <v>56130</v>
      </c>
      <c r="C5590" s="2">
        <v>36338</v>
      </c>
      <c r="D5590">
        <v>26</v>
      </c>
      <c r="E5590" t="s">
        <v>42</v>
      </c>
      <c r="F5590" t="s">
        <v>50</v>
      </c>
      <c r="G5590" s="2">
        <v>45428</v>
      </c>
      <c r="H5590" s="3">
        <f t="shared" si="87"/>
        <v>1.0136986301369864</v>
      </c>
      <c r="I5590">
        <v>68</v>
      </c>
      <c r="J5590" t="s">
        <v>57</v>
      </c>
      <c r="K5590" t="s">
        <v>56</v>
      </c>
      <c r="L5590" t="s">
        <v>44</v>
      </c>
      <c r="M5590">
        <v>8.4700000000000006</v>
      </c>
      <c r="T5590" t="s">
        <v>49</v>
      </c>
      <c r="U5590">
        <v>2</v>
      </c>
      <c r="V5590">
        <v>7</v>
      </c>
    </row>
    <row r="5591" spans="1:22" x14ac:dyDescent="0.3">
      <c r="A5591">
        <v>5590</v>
      </c>
      <c r="B5591">
        <v>56131</v>
      </c>
      <c r="C5591" s="2">
        <v>37031</v>
      </c>
      <c r="D5591">
        <v>24</v>
      </c>
      <c r="E5591" t="s">
        <v>42</v>
      </c>
      <c r="F5591" t="s">
        <v>50</v>
      </c>
      <c r="G5591" s="2">
        <v>45652</v>
      </c>
      <c r="H5591" s="3">
        <f t="shared" si="87"/>
        <v>1.0794520547945206</v>
      </c>
      <c r="I5591">
        <v>68</v>
      </c>
      <c r="J5591" t="s">
        <v>57</v>
      </c>
      <c r="K5591" t="s">
        <v>56</v>
      </c>
      <c r="L5591" t="s">
        <v>44</v>
      </c>
      <c r="M5591">
        <v>8.4700000000000006</v>
      </c>
      <c r="T5591" t="s">
        <v>49</v>
      </c>
      <c r="U5591">
        <v>2</v>
      </c>
      <c r="V5591">
        <v>6</v>
      </c>
    </row>
    <row r="5592" spans="1:22" x14ac:dyDescent="0.3">
      <c r="A5592">
        <v>5591</v>
      </c>
      <c r="B5592">
        <v>56133</v>
      </c>
      <c r="C5592" s="2">
        <v>36622</v>
      </c>
      <c r="D5592">
        <v>25</v>
      </c>
      <c r="E5592" t="s">
        <v>42</v>
      </c>
      <c r="F5592" t="s">
        <v>37</v>
      </c>
      <c r="G5592" s="2">
        <v>45628</v>
      </c>
      <c r="H5592" s="3">
        <f t="shared" si="87"/>
        <v>1.5616438356164384</v>
      </c>
      <c r="I5592">
        <v>69</v>
      </c>
      <c r="J5592" t="s">
        <v>57</v>
      </c>
      <c r="K5592" t="s">
        <v>65</v>
      </c>
      <c r="L5592" t="s">
        <v>44</v>
      </c>
      <c r="M5592">
        <v>10.64</v>
      </c>
      <c r="T5592" t="s">
        <v>47</v>
      </c>
      <c r="U5592">
        <v>0</v>
      </c>
      <c r="V5592">
        <v>5</v>
      </c>
    </row>
    <row r="5593" spans="1:22" x14ac:dyDescent="0.3">
      <c r="A5593">
        <v>5592</v>
      </c>
      <c r="B5593">
        <v>56134</v>
      </c>
      <c r="C5593" s="2">
        <v>37883</v>
      </c>
      <c r="D5593">
        <v>22</v>
      </c>
      <c r="E5593" t="s">
        <v>42</v>
      </c>
      <c r="F5593" t="s">
        <v>50</v>
      </c>
      <c r="G5593" s="2">
        <v>45452</v>
      </c>
      <c r="H5593" s="3">
        <f t="shared" si="87"/>
        <v>1.3260273972602741</v>
      </c>
      <c r="I5593">
        <v>69</v>
      </c>
      <c r="J5593" t="s">
        <v>57</v>
      </c>
      <c r="K5593" t="s">
        <v>56</v>
      </c>
      <c r="L5593" t="s">
        <v>44</v>
      </c>
      <c r="M5593">
        <v>8.4700000000000006</v>
      </c>
      <c r="T5593" t="s">
        <v>52</v>
      </c>
      <c r="U5593">
        <v>4</v>
      </c>
      <c r="V5593">
        <v>7</v>
      </c>
    </row>
    <row r="5594" spans="1:22" x14ac:dyDescent="0.3">
      <c r="A5594">
        <v>5593</v>
      </c>
      <c r="B5594">
        <v>56135</v>
      </c>
      <c r="C5594" s="2">
        <v>36836</v>
      </c>
      <c r="D5594">
        <v>25</v>
      </c>
      <c r="E5594" t="s">
        <v>42</v>
      </c>
      <c r="F5594" t="s">
        <v>50</v>
      </c>
      <c r="G5594" s="2">
        <v>45538</v>
      </c>
      <c r="H5594" s="3">
        <f t="shared" si="87"/>
        <v>1.6054794520547946</v>
      </c>
      <c r="I5594">
        <v>70</v>
      </c>
      <c r="J5594" t="s">
        <v>57</v>
      </c>
      <c r="K5594" t="s">
        <v>56</v>
      </c>
      <c r="L5594" t="s">
        <v>44</v>
      </c>
      <c r="M5594">
        <v>8.4700000000000006</v>
      </c>
      <c r="T5594" t="s">
        <v>47</v>
      </c>
      <c r="U5594">
        <v>0</v>
      </c>
      <c r="V5594">
        <v>5</v>
      </c>
    </row>
    <row r="5595" spans="1:22" x14ac:dyDescent="0.3">
      <c r="A5595">
        <v>5594</v>
      </c>
      <c r="B5595">
        <v>56136</v>
      </c>
      <c r="C5595" s="2">
        <v>37976</v>
      </c>
      <c r="D5595">
        <v>22</v>
      </c>
      <c r="E5595" t="s">
        <v>42</v>
      </c>
      <c r="F5595" t="s">
        <v>50</v>
      </c>
      <c r="G5595" s="2">
        <v>45436</v>
      </c>
      <c r="H5595" s="3">
        <f t="shared" si="87"/>
        <v>1.6821917808219178</v>
      </c>
      <c r="I5595">
        <v>70</v>
      </c>
      <c r="J5595" t="s">
        <v>57</v>
      </c>
      <c r="K5595" t="s">
        <v>56</v>
      </c>
      <c r="L5595" t="s">
        <v>44</v>
      </c>
      <c r="M5595">
        <v>8.4700000000000006</v>
      </c>
      <c r="T5595" t="s">
        <v>52</v>
      </c>
      <c r="U5595">
        <v>4</v>
      </c>
      <c r="V5595">
        <v>7</v>
      </c>
    </row>
    <row r="5596" spans="1:22" x14ac:dyDescent="0.3">
      <c r="A5596">
        <v>5595</v>
      </c>
      <c r="B5596">
        <v>56137</v>
      </c>
      <c r="C5596" s="2">
        <v>35898</v>
      </c>
      <c r="D5596">
        <v>27</v>
      </c>
      <c r="E5596" t="s">
        <v>42</v>
      </c>
      <c r="F5596" t="s">
        <v>50</v>
      </c>
      <c r="G5596" s="2">
        <v>45408</v>
      </c>
      <c r="H5596" s="3">
        <f t="shared" si="87"/>
        <v>1.0136986301369864</v>
      </c>
      <c r="I5596">
        <v>70</v>
      </c>
      <c r="J5596" t="s">
        <v>57</v>
      </c>
      <c r="K5596" t="s">
        <v>56</v>
      </c>
      <c r="L5596" t="s">
        <v>44</v>
      </c>
      <c r="M5596">
        <v>8.4700000000000006</v>
      </c>
      <c r="T5596" t="s">
        <v>49</v>
      </c>
      <c r="U5596">
        <v>2</v>
      </c>
      <c r="V5596">
        <v>4</v>
      </c>
    </row>
    <row r="5597" spans="1:22" x14ac:dyDescent="0.3">
      <c r="A5597">
        <v>5596</v>
      </c>
      <c r="B5597">
        <v>56138</v>
      </c>
      <c r="C5597" s="2">
        <v>35513</v>
      </c>
      <c r="D5597">
        <v>28</v>
      </c>
      <c r="E5597" t="s">
        <v>36</v>
      </c>
      <c r="F5597" t="s">
        <v>50</v>
      </c>
      <c r="G5597" s="2">
        <v>45652</v>
      </c>
      <c r="H5597" s="3">
        <f t="shared" si="87"/>
        <v>1.3780821917808219</v>
      </c>
      <c r="I5597">
        <v>70</v>
      </c>
      <c r="J5597" t="s">
        <v>57</v>
      </c>
      <c r="K5597" t="s">
        <v>56</v>
      </c>
      <c r="L5597" t="s">
        <v>44</v>
      </c>
      <c r="M5597">
        <v>8.4700000000000006</v>
      </c>
      <c r="T5597" t="s">
        <v>49</v>
      </c>
      <c r="U5597">
        <v>4</v>
      </c>
      <c r="V5597">
        <v>5</v>
      </c>
    </row>
    <row r="5598" spans="1:22" x14ac:dyDescent="0.3">
      <c r="A5598">
        <v>5597</v>
      </c>
      <c r="B5598">
        <v>56139</v>
      </c>
      <c r="C5598" s="2">
        <v>38412</v>
      </c>
      <c r="D5598">
        <v>21</v>
      </c>
      <c r="E5598" t="s">
        <v>42</v>
      </c>
      <c r="F5598" t="s">
        <v>50</v>
      </c>
      <c r="G5598" s="2">
        <v>45519</v>
      </c>
      <c r="H5598" s="3">
        <f t="shared" si="87"/>
        <v>1.6547945205479453</v>
      </c>
      <c r="I5598">
        <v>70</v>
      </c>
      <c r="J5598" t="s">
        <v>57</v>
      </c>
      <c r="K5598" t="s">
        <v>56</v>
      </c>
      <c r="L5598" t="s">
        <v>44</v>
      </c>
      <c r="M5598">
        <v>8.4700000000000006</v>
      </c>
      <c r="T5598" t="s">
        <v>45</v>
      </c>
      <c r="U5598">
        <v>4</v>
      </c>
      <c r="V5598">
        <v>7</v>
      </c>
    </row>
    <row r="5599" spans="1:22" x14ac:dyDescent="0.3">
      <c r="A5599">
        <v>5598</v>
      </c>
      <c r="B5599">
        <v>56140</v>
      </c>
      <c r="C5599" s="2">
        <v>36607</v>
      </c>
      <c r="D5599">
        <v>25</v>
      </c>
      <c r="E5599" t="s">
        <v>42</v>
      </c>
      <c r="F5599" t="s">
        <v>50</v>
      </c>
      <c r="G5599" s="2">
        <v>45418</v>
      </c>
      <c r="H5599" s="3">
        <f t="shared" si="87"/>
        <v>1.6164383561643836</v>
      </c>
      <c r="I5599">
        <v>70</v>
      </c>
      <c r="J5599" t="s">
        <v>57</v>
      </c>
      <c r="K5599" t="s">
        <v>56</v>
      </c>
      <c r="L5599" t="s">
        <v>44</v>
      </c>
      <c r="M5599">
        <v>8.4700000000000006</v>
      </c>
      <c r="T5599" t="s">
        <v>47</v>
      </c>
      <c r="U5599">
        <v>0</v>
      </c>
      <c r="V5599">
        <v>6</v>
      </c>
    </row>
    <row r="5600" spans="1:22" x14ac:dyDescent="0.3">
      <c r="A5600">
        <v>5599</v>
      </c>
      <c r="B5600">
        <v>56141</v>
      </c>
      <c r="C5600" s="2">
        <v>37966</v>
      </c>
      <c r="D5600">
        <v>22</v>
      </c>
      <c r="E5600" t="s">
        <v>42</v>
      </c>
      <c r="F5600" t="s">
        <v>50</v>
      </c>
      <c r="G5600" s="2">
        <v>45432</v>
      </c>
      <c r="H5600" s="3">
        <f t="shared" si="87"/>
        <v>1.8410958904109589</v>
      </c>
      <c r="I5600">
        <v>71</v>
      </c>
      <c r="J5600" t="s">
        <v>57</v>
      </c>
      <c r="K5600" t="s">
        <v>68</v>
      </c>
      <c r="L5600" t="s">
        <v>44</v>
      </c>
      <c r="M5600">
        <v>17</v>
      </c>
      <c r="T5600" t="s">
        <v>49</v>
      </c>
      <c r="U5600">
        <v>2</v>
      </c>
      <c r="V5600">
        <v>6</v>
      </c>
    </row>
    <row r="5601" spans="1:22" x14ac:dyDescent="0.3">
      <c r="A5601">
        <v>5600</v>
      </c>
      <c r="B5601">
        <v>56142</v>
      </c>
      <c r="C5601" s="2">
        <v>35128</v>
      </c>
      <c r="D5601">
        <v>29</v>
      </c>
      <c r="E5601" t="s">
        <v>36</v>
      </c>
      <c r="F5601" t="s">
        <v>50</v>
      </c>
      <c r="G5601" s="2">
        <v>45350</v>
      </c>
      <c r="H5601" s="3">
        <f t="shared" si="87"/>
        <v>1.6383561643835616</v>
      </c>
      <c r="I5601">
        <v>71</v>
      </c>
      <c r="J5601" t="s">
        <v>57</v>
      </c>
      <c r="K5601" t="s">
        <v>65</v>
      </c>
      <c r="L5601" t="s">
        <v>44</v>
      </c>
      <c r="M5601">
        <v>10.64</v>
      </c>
      <c r="T5601" t="s">
        <v>52</v>
      </c>
      <c r="U5601">
        <v>1</v>
      </c>
      <c r="V5601">
        <v>3</v>
      </c>
    </row>
    <row r="5602" spans="1:22" x14ac:dyDescent="0.3">
      <c r="A5602">
        <v>5601</v>
      </c>
      <c r="B5602">
        <v>56143</v>
      </c>
      <c r="C5602" s="2">
        <v>37253</v>
      </c>
      <c r="D5602">
        <v>24</v>
      </c>
      <c r="E5602" t="s">
        <v>36</v>
      </c>
      <c r="F5602" t="s">
        <v>50</v>
      </c>
      <c r="G5602" s="2">
        <v>45424</v>
      </c>
      <c r="H5602" s="3">
        <f t="shared" si="87"/>
        <v>1.1013698630136985</v>
      </c>
      <c r="I5602">
        <v>71</v>
      </c>
      <c r="J5602" t="s">
        <v>57</v>
      </c>
      <c r="K5602" t="s">
        <v>65</v>
      </c>
      <c r="L5602" t="s">
        <v>44</v>
      </c>
      <c r="M5602">
        <v>10.64</v>
      </c>
      <c r="T5602" t="s">
        <v>45</v>
      </c>
      <c r="U5602">
        <v>0</v>
      </c>
      <c r="V5602">
        <v>3</v>
      </c>
    </row>
    <row r="5603" spans="1:22" x14ac:dyDescent="0.3">
      <c r="A5603">
        <v>5602</v>
      </c>
      <c r="B5603">
        <v>56144</v>
      </c>
      <c r="C5603" s="2">
        <v>32041</v>
      </c>
      <c r="D5603">
        <v>38</v>
      </c>
      <c r="E5603" t="s">
        <v>42</v>
      </c>
      <c r="F5603" t="s">
        <v>50</v>
      </c>
      <c r="G5603" s="2">
        <v>45620</v>
      </c>
      <c r="H5603" s="3">
        <f t="shared" si="87"/>
        <v>1.7808219178082192</v>
      </c>
      <c r="I5603">
        <v>71</v>
      </c>
      <c r="J5603" t="s">
        <v>57</v>
      </c>
      <c r="K5603" t="s">
        <v>54</v>
      </c>
      <c r="L5603" t="s">
        <v>44</v>
      </c>
      <c r="M5603">
        <v>23.78</v>
      </c>
      <c r="T5603" t="s">
        <v>45</v>
      </c>
      <c r="U5603">
        <v>3</v>
      </c>
      <c r="V5603">
        <v>7</v>
      </c>
    </row>
    <row r="5604" spans="1:22" x14ac:dyDescent="0.3">
      <c r="A5604">
        <v>5603</v>
      </c>
      <c r="B5604">
        <v>56145</v>
      </c>
      <c r="C5604" s="2">
        <v>37821</v>
      </c>
      <c r="D5604">
        <v>22</v>
      </c>
      <c r="E5604" t="s">
        <v>42</v>
      </c>
      <c r="F5604" t="s">
        <v>50</v>
      </c>
      <c r="G5604" s="2">
        <v>45372</v>
      </c>
      <c r="H5604" s="3">
        <f t="shared" si="87"/>
        <v>1.8082191780821917</v>
      </c>
      <c r="I5604">
        <v>71</v>
      </c>
      <c r="J5604" t="s">
        <v>57</v>
      </c>
      <c r="K5604" t="s">
        <v>56</v>
      </c>
      <c r="L5604" t="s">
        <v>44</v>
      </c>
      <c r="M5604">
        <v>8.4700000000000006</v>
      </c>
      <c r="T5604" t="s">
        <v>49</v>
      </c>
      <c r="U5604">
        <v>2</v>
      </c>
      <c r="V5604">
        <v>6</v>
      </c>
    </row>
    <row r="5605" spans="1:22" x14ac:dyDescent="0.3">
      <c r="A5605">
        <v>5604</v>
      </c>
      <c r="B5605">
        <v>56146</v>
      </c>
      <c r="C5605" s="2">
        <v>37863</v>
      </c>
      <c r="D5605">
        <v>22</v>
      </c>
      <c r="E5605" t="s">
        <v>42</v>
      </c>
      <c r="F5605" t="s">
        <v>37</v>
      </c>
      <c r="G5605" s="2">
        <v>45362</v>
      </c>
      <c r="H5605" s="3">
        <f t="shared" si="87"/>
        <v>1.0356164383561643</v>
      </c>
      <c r="I5605">
        <v>71</v>
      </c>
      <c r="J5605" t="s">
        <v>57</v>
      </c>
      <c r="K5605" t="s">
        <v>56</v>
      </c>
      <c r="L5605" t="s">
        <v>44</v>
      </c>
      <c r="M5605">
        <v>8.4700000000000006</v>
      </c>
      <c r="T5605" t="s">
        <v>47</v>
      </c>
      <c r="U5605">
        <v>2</v>
      </c>
      <c r="V5605">
        <v>6</v>
      </c>
    </row>
    <row r="5606" spans="1:22" x14ac:dyDescent="0.3">
      <c r="A5606">
        <v>5605</v>
      </c>
      <c r="B5606">
        <v>56147</v>
      </c>
      <c r="C5606" s="2">
        <v>37557</v>
      </c>
      <c r="D5606">
        <v>23</v>
      </c>
      <c r="E5606" t="s">
        <v>42</v>
      </c>
      <c r="F5606" t="s">
        <v>50</v>
      </c>
      <c r="G5606" s="2">
        <v>45644</v>
      </c>
      <c r="H5606" s="3">
        <f t="shared" si="87"/>
        <v>1.6767123287671233</v>
      </c>
      <c r="I5606">
        <v>71</v>
      </c>
      <c r="J5606" t="s">
        <v>57</v>
      </c>
      <c r="K5606" t="s">
        <v>56</v>
      </c>
      <c r="L5606" t="s">
        <v>44</v>
      </c>
      <c r="M5606">
        <v>8.4700000000000006</v>
      </c>
      <c r="T5606" t="s">
        <v>45</v>
      </c>
      <c r="U5606">
        <v>0</v>
      </c>
      <c r="V5606">
        <v>7</v>
      </c>
    </row>
    <row r="5607" spans="1:22" x14ac:dyDescent="0.3">
      <c r="A5607">
        <v>5606</v>
      </c>
      <c r="B5607">
        <v>56148</v>
      </c>
      <c r="C5607" s="2">
        <v>38402</v>
      </c>
      <c r="D5607">
        <v>20</v>
      </c>
      <c r="E5607" t="s">
        <v>42</v>
      </c>
      <c r="F5607" t="s">
        <v>50</v>
      </c>
      <c r="G5607" s="2">
        <v>45410</v>
      </c>
      <c r="H5607" s="3">
        <f t="shared" si="87"/>
        <v>1.7315068493150685</v>
      </c>
      <c r="I5607">
        <v>71</v>
      </c>
      <c r="J5607" t="s">
        <v>57</v>
      </c>
      <c r="K5607" t="s">
        <v>56</v>
      </c>
      <c r="L5607" t="s">
        <v>44</v>
      </c>
      <c r="M5607">
        <v>8.4700000000000006</v>
      </c>
      <c r="T5607" t="s">
        <v>47</v>
      </c>
      <c r="U5607">
        <v>2</v>
      </c>
      <c r="V5607">
        <v>6</v>
      </c>
    </row>
    <row r="5608" spans="1:22" x14ac:dyDescent="0.3">
      <c r="A5608">
        <v>5607</v>
      </c>
      <c r="B5608">
        <v>56149</v>
      </c>
      <c r="C5608" s="2">
        <v>38388</v>
      </c>
      <c r="D5608">
        <v>20</v>
      </c>
      <c r="E5608" t="s">
        <v>42</v>
      </c>
      <c r="F5608" t="s">
        <v>50</v>
      </c>
      <c r="G5608" s="2">
        <v>45390</v>
      </c>
      <c r="H5608" s="3">
        <f t="shared" si="87"/>
        <v>1.3452054794520547</v>
      </c>
      <c r="I5608">
        <v>71</v>
      </c>
      <c r="J5608" t="s">
        <v>57</v>
      </c>
      <c r="K5608" t="s">
        <v>56</v>
      </c>
      <c r="L5608" t="s">
        <v>44</v>
      </c>
      <c r="M5608">
        <v>8.4700000000000006</v>
      </c>
      <c r="T5608" t="s">
        <v>47</v>
      </c>
      <c r="U5608">
        <v>2</v>
      </c>
      <c r="V5608">
        <v>5</v>
      </c>
    </row>
    <row r="5609" spans="1:22" x14ac:dyDescent="0.3">
      <c r="A5609">
        <v>5608</v>
      </c>
      <c r="B5609">
        <v>56150</v>
      </c>
      <c r="C5609" s="2">
        <v>39282</v>
      </c>
      <c r="D5609">
        <v>18</v>
      </c>
      <c r="E5609" t="s">
        <v>42</v>
      </c>
      <c r="F5609" t="s">
        <v>50</v>
      </c>
      <c r="G5609" s="2">
        <v>45531</v>
      </c>
      <c r="H5609" s="3">
        <f t="shared" si="87"/>
        <v>1.0383561643835617</v>
      </c>
      <c r="I5609">
        <v>71</v>
      </c>
      <c r="J5609" t="s">
        <v>57</v>
      </c>
      <c r="K5609" t="s">
        <v>56</v>
      </c>
      <c r="L5609" t="s">
        <v>44</v>
      </c>
      <c r="M5609">
        <v>8.4700000000000006</v>
      </c>
      <c r="T5609" t="s">
        <v>45</v>
      </c>
      <c r="U5609">
        <v>2</v>
      </c>
      <c r="V5609">
        <v>6</v>
      </c>
    </row>
    <row r="5610" spans="1:22" x14ac:dyDescent="0.3">
      <c r="A5610">
        <v>5609</v>
      </c>
      <c r="B5610">
        <v>56151</v>
      </c>
      <c r="C5610" s="2">
        <v>37527</v>
      </c>
      <c r="D5610">
        <v>23</v>
      </c>
      <c r="E5610" t="s">
        <v>42</v>
      </c>
      <c r="F5610" t="s">
        <v>37</v>
      </c>
      <c r="G5610" s="2">
        <v>45643</v>
      </c>
      <c r="H5610" s="3">
        <f t="shared" si="87"/>
        <v>1.167123287671233</v>
      </c>
      <c r="I5610">
        <v>71</v>
      </c>
      <c r="J5610" t="s">
        <v>57</v>
      </c>
      <c r="K5610" t="s">
        <v>56</v>
      </c>
      <c r="L5610" t="s">
        <v>44</v>
      </c>
      <c r="M5610">
        <v>8.4700000000000006</v>
      </c>
      <c r="T5610" t="s">
        <v>52</v>
      </c>
      <c r="U5610">
        <v>1</v>
      </c>
      <c r="V5610">
        <v>5</v>
      </c>
    </row>
    <row r="5611" spans="1:22" x14ac:dyDescent="0.3">
      <c r="A5611">
        <v>5610</v>
      </c>
      <c r="B5611">
        <v>56152</v>
      </c>
      <c r="C5611" s="2">
        <v>37695</v>
      </c>
      <c r="D5611">
        <v>22</v>
      </c>
      <c r="E5611" t="s">
        <v>42</v>
      </c>
      <c r="F5611" t="s">
        <v>50</v>
      </c>
      <c r="G5611" s="2">
        <v>45596</v>
      </c>
      <c r="H5611" s="3">
        <f t="shared" si="87"/>
        <v>1.6520547945205479</v>
      </c>
      <c r="I5611">
        <v>71</v>
      </c>
      <c r="J5611" t="s">
        <v>57</v>
      </c>
      <c r="K5611" t="s">
        <v>56</v>
      </c>
      <c r="L5611" t="s">
        <v>44</v>
      </c>
      <c r="M5611">
        <v>8.4700000000000006</v>
      </c>
      <c r="T5611" t="s">
        <v>52</v>
      </c>
      <c r="U5611">
        <v>2</v>
      </c>
      <c r="V5611">
        <v>7</v>
      </c>
    </row>
    <row r="5612" spans="1:22" x14ac:dyDescent="0.3">
      <c r="A5612">
        <v>5611</v>
      </c>
      <c r="B5612">
        <v>56153</v>
      </c>
      <c r="C5612" s="2">
        <v>38776</v>
      </c>
      <c r="D5612">
        <v>19</v>
      </c>
      <c r="E5612" t="s">
        <v>42</v>
      </c>
      <c r="F5612" t="s">
        <v>50</v>
      </c>
      <c r="G5612" s="2">
        <v>45419</v>
      </c>
      <c r="H5612" s="3">
        <f t="shared" si="87"/>
        <v>1.1808219178082191</v>
      </c>
      <c r="I5612">
        <v>71</v>
      </c>
      <c r="J5612" t="s">
        <v>57</v>
      </c>
      <c r="K5612" t="s">
        <v>56</v>
      </c>
      <c r="L5612" t="s">
        <v>44</v>
      </c>
      <c r="M5612">
        <v>8.4700000000000006</v>
      </c>
      <c r="T5612" t="s">
        <v>45</v>
      </c>
      <c r="U5612">
        <v>4</v>
      </c>
      <c r="V5612">
        <v>7</v>
      </c>
    </row>
    <row r="5613" spans="1:22" x14ac:dyDescent="0.3">
      <c r="A5613">
        <v>5612</v>
      </c>
      <c r="B5613">
        <v>56154</v>
      </c>
      <c r="C5613" s="2">
        <v>36505</v>
      </c>
      <c r="D5613">
        <v>26</v>
      </c>
      <c r="E5613" t="s">
        <v>42</v>
      </c>
      <c r="F5613" t="s">
        <v>50</v>
      </c>
      <c r="G5613" s="2">
        <v>45591</v>
      </c>
      <c r="H5613" s="3">
        <f t="shared" si="87"/>
        <v>1.0849315068493151</v>
      </c>
      <c r="I5613">
        <v>72</v>
      </c>
      <c r="J5613" t="s">
        <v>57</v>
      </c>
      <c r="K5613" t="s">
        <v>68</v>
      </c>
      <c r="L5613" t="s">
        <v>44</v>
      </c>
      <c r="M5613">
        <v>17</v>
      </c>
      <c r="T5613" t="s">
        <v>45</v>
      </c>
      <c r="U5613">
        <v>2</v>
      </c>
      <c r="V5613">
        <v>5</v>
      </c>
    </row>
    <row r="5614" spans="1:22" x14ac:dyDescent="0.3">
      <c r="A5614">
        <v>5613</v>
      </c>
      <c r="B5614">
        <v>56155</v>
      </c>
      <c r="C5614" s="2">
        <v>37304</v>
      </c>
      <c r="D5614">
        <v>23</v>
      </c>
      <c r="E5614" t="s">
        <v>36</v>
      </c>
      <c r="F5614" t="s">
        <v>50</v>
      </c>
      <c r="G5614" s="2">
        <v>45626</v>
      </c>
      <c r="H5614" s="3">
        <f t="shared" si="87"/>
        <v>1.3397260273972602</v>
      </c>
      <c r="I5614">
        <v>72</v>
      </c>
      <c r="J5614" t="s">
        <v>57</v>
      </c>
      <c r="K5614" t="s">
        <v>65</v>
      </c>
      <c r="L5614" t="s">
        <v>44</v>
      </c>
      <c r="M5614">
        <v>10.64</v>
      </c>
      <c r="T5614" t="s">
        <v>45</v>
      </c>
      <c r="U5614">
        <v>0</v>
      </c>
      <c r="V5614">
        <v>4</v>
      </c>
    </row>
    <row r="5615" spans="1:22" x14ac:dyDescent="0.3">
      <c r="A5615">
        <v>5614</v>
      </c>
      <c r="B5615">
        <v>56156</v>
      </c>
      <c r="C5615" s="2">
        <v>38537</v>
      </c>
      <c r="D5615">
        <v>20</v>
      </c>
      <c r="E5615" t="s">
        <v>42</v>
      </c>
      <c r="F5615" t="s">
        <v>50</v>
      </c>
      <c r="G5615" s="2">
        <v>45533</v>
      </c>
      <c r="H5615" s="3">
        <f t="shared" si="87"/>
        <v>1.4191780821917808</v>
      </c>
      <c r="I5615">
        <v>72</v>
      </c>
      <c r="J5615" t="s">
        <v>57</v>
      </c>
      <c r="K5615" t="s">
        <v>65</v>
      </c>
      <c r="L5615" t="s">
        <v>44</v>
      </c>
      <c r="M5615">
        <v>10.64</v>
      </c>
      <c r="T5615" t="s">
        <v>45</v>
      </c>
      <c r="U5615">
        <v>0</v>
      </c>
      <c r="V5615">
        <v>5</v>
      </c>
    </row>
    <row r="5616" spans="1:22" x14ac:dyDescent="0.3">
      <c r="A5616">
        <v>5615</v>
      </c>
      <c r="B5616">
        <v>56157</v>
      </c>
      <c r="C5616" s="2">
        <v>38473</v>
      </c>
      <c r="D5616">
        <v>21</v>
      </c>
      <c r="E5616" t="s">
        <v>36</v>
      </c>
      <c r="F5616" t="s">
        <v>50</v>
      </c>
      <c r="G5616" s="2">
        <v>45504</v>
      </c>
      <c r="H5616" s="3">
        <f t="shared" si="87"/>
        <v>1.7780821917808218</v>
      </c>
      <c r="I5616">
        <v>72</v>
      </c>
      <c r="J5616" t="s">
        <v>57</v>
      </c>
      <c r="K5616" t="s">
        <v>65</v>
      </c>
      <c r="L5616" t="s">
        <v>44</v>
      </c>
      <c r="M5616">
        <v>10.64</v>
      </c>
      <c r="T5616" t="s">
        <v>47</v>
      </c>
      <c r="U5616">
        <v>0</v>
      </c>
      <c r="V5616">
        <v>3</v>
      </c>
    </row>
    <row r="5617" spans="1:22" x14ac:dyDescent="0.3">
      <c r="A5617">
        <v>5616</v>
      </c>
      <c r="B5617">
        <v>56159</v>
      </c>
      <c r="C5617" s="2">
        <v>36024</v>
      </c>
      <c r="D5617">
        <v>27</v>
      </c>
      <c r="E5617" t="s">
        <v>42</v>
      </c>
      <c r="F5617" t="s">
        <v>37</v>
      </c>
      <c r="G5617" s="2">
        <v>45373</v>
      </c>
      <c r="H5617" s="3">
        <f t="shared" si="87"/>
        <v>1.189041095890411</v>
      </c>
      <c r="I5617">
        <v>72</v>
      </c>
      <c r="J5617" t="s">
        <v>57</v>
      </c>
      <c r="K5617" t="s">
        <v>56</v>
      </c>
      <c r="L5617" t="s">
        <v>44</v>
      </c>
      <c r="M5617">
        <v>8.4700000000000006</v>
      </c>
      <c r="T5617" t="s">
        <v>52</v>
      </c>
      <c r="U5617">
        <v>4</v>
      </c>
      <c r="V5617">
        <v>7</v>
      </c>
    </row>
    <row r="5618" spans="1:22" x14ac:dyDescent="0.3">
      <c r="A5618">
        <v>5617</v>
      </c>
      <c r="B5618">
        <v>56160</v>
      </c>
      <c r="C5618" s="2">
        <v>38911</v>
      </c>
      <c r="D5618">
        <v>19</v>
      </c>
      <c r="E5618" t="s">
        <v>42</v>
      </c>
      <c r="F5618" t="s">
        <v>50</v>
      </c>
      <c r="G5618" s="2">
        <v>45588</v>
      </c>
      <c r="H5618" s="3">
        <f t="shared" si="87"/>
        <v>1.8547945205479452</v>
      </c>
      <c r="I5618">
        <v>72</v>
      </c>
      <c r="J5618" t="s">
        <v>57</v>
      </c>
      <c r="K5618" t="s">
        <v>56</v>
      </c>
      <c r="L5618" t="s">
        <v>44</v>
      </c>
      <c r="M5618">
        <v>8.4700000000000006</v>
      </c>
      <c r="T5618" t="s">
        <v>52</v>
      </c>
      <c r="U5618">
        <v>2</v>
      </c>
      <c r="V5618">
        <v>6</v>
      </c>
    </row>
    <row r="5619" spans="1:22" x14ac:dyDescent="0.3">
      <c r="A5619">
        <v>5618</v>
      </c>
      <c r="B5619">
        <v>56161</v>
      </c>
      <c r="C5619" s="2">
        <v>38089</v>
      </c>
      <c r="D5619">
        <v>21</v>
      </c>
      <c r="E5619" t="s">
        <v>42</v>
      </c>
      <c r="F5619" t="s">
        <v>50</v>
      </c>
      <c r="G5619" s="2">
        <v>45345</v>
      </c>
      <c r="H5619" s="3">
        <f t="shared" si="87"/>
        <v>1.4219178082191781</v>
      </c>
      <c r="I5619">
        <v>72</v>
      </c>
      <c r="J5619" t="s">
        <v>57</v>
      </c>
      <c r="K5619" t="s">
        <v>56</v>
      </c>
      <c r="L5619" t="s">
        <v>44</v>
      </c>
      <c r="M5619">
        <v>8.4700000000000006</v>
      </c>
      <c r="T5619" t="s">
        <v>47</v>
      </c>
      <c r="U5619">
        <v>2</v>
      </c>
      <c r="V5619">
        <v>6</v>
      </c>
    </row>
    <row r="5620" spans="1:22" x14ac:dyDescent="0.3">
      <c r="A5620">
        <v>5619</v>
      </c>
      <c r="B5620">
        <v>56162</v>
      </c>
      <c r="C5620" s="2">
        <v>38855</v>
      </c>
      <c r="D5620">
        <v>19</v>
      </c>
      <c r="E5620" t="s">
        <v>42</v>
      </c>
      <c r="F5620" t="s">
        <v>50</v>
      </c>
      <c r="G5620" s="2">
        <v>45503</v>
      </c>
      <c r="H5620" s="3">
        <f t="shared" si="87"/>
        <v>1.4821917808219178</v>
      </c>
      <c r="I5620">
        <v>72</v>
      </c>
      <c r="J5620" t="s">
        <v>57</v>
      </c>
      <c r="K5620" t="s">
        <v>56</v>
      </c>
      <c r="L5620" t="s">
        <v>44</v>
      </c>
      <c r="M5620">
        <v>8.4700000000000006</v>
      </c>
      <c r="T5620" t="s">
        <v>52</v>
      </c>
      <c r="U5620">
        <v>3</v>
      </c>
      <c r="V5620">
        <v>6</v>
      </c>
    </row>
    <row r="5621" spans="1:22" x14ac:dyDescent="0.3">
      <c r="A5621">
        <v>5620</v>
      </c>
      <c r="B5621">
        <v>56163</v>
      </c>
      <c r="C5621" s="2">
        <v>39304</v>
      </c>
      <c r="D5621">
        <v>18</v>
      </c>
      <c r="E5621" t="s">
        <v>42</v>
      </c>
      <c r="F5621" t="s">
        <v>50</v>
      </c>
      <c r="G5621" s="2">
        <v>45481</v>
      </c>
      <c r="H5621" s="3">
        <f t="shared" si="87"/>
        <v>1.6712328767123288</v>
      </c>
      <c r="I5621">
        <v>72</v>
      </c>
      <c r="J5621" t="s">
        <v>57</v>
      </c>
      <c r="K5621" t="s">
        <v>56</v>
      </c>
      <c r="L5621" t="s">
        <v>44</v>
      </c>
      <c r="M5621">
        <v>8.4700000000000006</v>
      </c>
      <c r="T5621" t="s">
        <v>47</v>
      </c>
      <c r="U5621">
        <v>2</v>
      </c>
      <c r="V5621">
        <v>6</v>
      </c>
    </row>
    <row r="5622" spans="1:22" x14ac:dyDescent="0.3">
      <c r="A5622">
        <v>5621</v>
      </c>
      <c r="B5622">
        <v>56164</v>
      </c>
      <c r="C5622" s="2">
        <v>37512</v>
      </c>
      <c r="D5622">
        <v>23</v>
      </c>
      <c r="E5622" t="s">
        <v>42</v>
      </c>
      <c r="F5622" t="s">
        <v>50</v>
      </c>
      <c r="G5622" s="2">
        <v>45412</v>
      </c>
      <c r="H5622" s="3">
        <f t="shared" si="87"/>
        <v>1.7424657534246575</v>
      </c>
      <c r="I5622">
        <v>72</v>
      </c>
      <c r="J5622" t="s">
        <v>57</v>
      </c>
      <c r="K5622" t="s">
        <v>56</v>
      </c>
      <c r="L5622" t="s">
        <v>44</v>
      </c>
      <c r="M5622">
        <v>8.4700000000000006</v>
      </c>
      <c r="T5622" t="s">
        <v>47</v>
      </c>
      <c r="U5622">
        <v>2</v>
      </c>
      <c r="V5622">
        <v>6</v>
      </c>
    </row>
    <row r="5623" spans="1:22" x14ac:dyDescent="0.3">
      <c r="A5623">
        <v>5622</v>
      </c>
      <c r="B5623">
        <v>56165</v>
      </c>
      <c r="C5623" s="2">
        <v>39151</v>
      </c>
      <c r="D5623">
        <v>18</v>
      </c>
      <c r="E5623" t="s">
        <v>42</v>
      </c>
      <c r="F5623" t="s">
        <v>50</v>
      </c>
      <c r="G5623" s="2">
        <v>45386</v>
      </c>
      <c r="H5623" s="3">
        <f t="shared" si="87"/>
        <v>1.2575342465753425</v>
      </c>
      <c r="I5623">
        <v>72</v>
      </c>
      <c r="J5623" t="s">
        <v>57</v>
      </c>
      <c r="K5623" t="s">
        <v>56</v>
      </c>
      <c r="L5623" t="s">
        <v>44</v>
      </c>
      <c r="M5623">
        <v>8.4700000000000006</v>
      </c>
      <c r="T5623" t="s">
        <v>49</v>
      </c>
      <c r="U5623">
        <v>4</v>
      </c>
      <c r="V5623">
        <v>5</v>
      </c>
    </row>
    <row r="5624" spans="1:22" x14ac:dyDescent="0.3">
      <c r="A5624">
        <v>5623</v>
      </c>
      <c r="B5624">
        <v>56166</v>
      </c>
      <c r="C5624" s="2">
        <v>37995</v>
      </c>
      <c r="D5624">
        <v>21</v>
      </c>
      <c r="E5624" t="s">
        <v>42</v>
      </c>
      <c r="F5624" t="s">
        <v>37</v>
      </c>
      <c r="G5624" s="2">
        <v>45563</v>
      </c>
      <c r="H5624" s="3">
        <f t="shared" si="87"/>
        <v>1.789041095890411</v>
      </c>
      <c r="I5624">
        <v>72</v>
      </c>
      <c r="J5624" t="s">
        <v>57</v>
      </c>
      <c r="K5624" t="s">
        <v>56</v>
      </c>
      <c r="L5624" t="s">
        <v>44</v>
      </c>
      <c r="M5624">
        <v>8.4700000000000006</v>
      </c>
      <c r="T5624" t="s">
        <v>52</v>
      </c>
      <c r="U5624">
        <v>1</v>
      </c>
      <c r="V5624">
        <v>5</v>
      </c>
    </row>
    <row r="5625" spans="1:22" x14ac:dyDescent="0.3">
      <c r="A5625">
        <v>5624</v>
      </c>
      <c r="B5625">
        <v>56167</v>
      </c>
      <c r="C5625" s="2">
        <v>39329</v>
      </c>
      <c r="D5625">
        <v>18</v>
      </c>
      <c r="E5625" t="s">
        <v>42</v>
      </c>
      <c r="F5625" t="s">
        <v>50</v>
      </c>
      <c r="G5625" s="2">
        <v>45369</v>
      </c>
      <c r="H5625" s="3">
        <f t="shared" si="87"/>
        <v>1.6410958904109589</v>
      </c>
      <c r="I5625">
        <v>72</v>
      </c>
      <c r="J5625" t="s">
        <v>57</v>
      </c>
      <c r="K5625" t="s">
        <v>56</v>
      </c>
      <c r="L5625" t="s">
        <v>44</v>
      </c>
      <c r="M5625">
        <v>8.4700000000000006</v>
      </c>
      <c r="T5625" t="s">
        <v>52</v>
      </c>
      <c r="U5625">
        <v>0</v>
      </c>
      <c r="V5625">
        <v>6</v>
      </c>
    </row>
    <row r="5626" spans="1:22" x14ac:dyDescent="0.3">
      <c r="A5626">
        <v>5625</v>
      </c>
      <c r="B5626">
        <v>56168</v>
      </c>
      <c r="C5626" s="2">
        <v>35814</v>
      </c>
      <c r="D5626">
        <v>27</v>
      </c>
      <c r="E5626" t="s">
        <v>42</v>
      </c>
      <c r="F5626" t="s">
        <v>37</v>
      </c>
      <c r="G5626" s="2">
        <v>45423</v>
      </c>
      <c r="H5626" s="3">
        <f t="shared" si="87"/>
        <v>1.7917808219178082</v>
      </c>
      <c r="I5626">
        <v>72</v>
      </c>
      <c r="J5626" t="s">
        <v>57</v>
      </c>
      <c r="K5626" t="s">
        <v>56</v>
      </c>
      <c r="L5626" t="s">
        <v>44</v>
      </c>
      <c r="M5626">
        <v>8.4700000000000006</v>
      </c>
      <c r="T5626" t="s">
        <v>52</v>
      </c>
      <c r="U5626">
        <v>1</v>
      </c>
      <c r="V5626">
        <v>6</v>
      </c>
    </row>
    <row r="5627" spans="1:22" x14ac:dyDescent="0.3">
      <c r="A5627">
        <v>5626</v>
      </c>
      <c r="B5627">
        <v>56169</v>
      </c>
      <c r="C5627" s="2">
        <v>38973</v>
      </c>
      <c r="D5627">
        <v>19</v>
      </c>
      <c r="E5627" t="s">
        <v>42</v>
      </c>
      <c r="F5627" t="s">
        <v>50</v>
      </c>
      <c r="G5627" s="2">
        <v>45368</v>
      </c>
      <c r="H5627" s="3">
        <f t="shared" si="87"/>
        <v>1.6465753424657534</v>
      </c>
      <c r="I5627">
        <v>72</v>
      </c>
      <c r="J5627" t="s">
        <v>57</v>
      </c>
      <c r="K5627" t="s">
        <v>56</v>
      </c>
      <c r="L5627" t="s">
        <v>44</v>
      </c>
      <c r="M5627">
        <v>8.4700000000000006</v>
      </c>
      <c r="T5627" t="s">
        <v>49</v>
      </c>
      <c r="U5627">
        <v>2</v>
      </c>
      <c r="V5627">
        <v>7</v>
      </c>
    </row>
    <row r="5628" spans="1:22" x14ac:dyDescent="0.3">
      <c r="A5628">
        <v>5627</v>
      </c>
      <c r="B5628">
        <v>56170</v>
      </c>
      <c r="C5628" s="2">
        <v>33974</v>
      </c>
      <c r="D5628">
        <v>32</v>
      </c>
      <c r="E5628" t="s">
        <v>42</v>
      </c>
      <c r="F5628" t="s">
        <v>50</v>
      </c>
      <c r="G5628" s="2">
        <v>45421</v>
      </c>
      <c r="H5628" s="3">
        <f t="shared" si="87"/>
        <v>1.6712328767123288</v>
      </c>
      <c r="I5628">
        <v>72</v>
      </c>
      <c r="J5628" t="s">
        <v>57</v>
      </c>
      <c r="K5628" t="s">
        <v>56</v>
      </c>
      <c r="L5628" t="s">
        <v>44</v>
      </c>
      <c r="M5628">
        <v>8.4700000000000006</v>
      </c>
      <c r="T5628" t="s">
        <v>52</v>
      </c>
      <c r="U5628">
        <v>1</v>
      </c>
      <c r="V5628">
        <v>5</v>
      </c>
    </row>
    <row r="5629" spans="1:22" x14ac:dyDescent="0.3">
      <c r="A5629">
        <v>5628</v>
      </c>
      <c r="B5629">
        <v>56171</v>
      </c>
      <c r="C5629" s="2">
        <v>38158</v>
      </c>
      <c r="D5629">
        <v>21</v>
      </c>
      <c r="E5629" t="s">
        <v>42</v>
      </c>
      <c r="F5629" t="s">
        <v>50</v>
      </c>
      <c r="G5629" s="2">
        <v>45412</v>
      </c>
      <c r="H5629" s="3">
        <f t="shared" si="87"/>
        <v>1.6931506849315068</v>
      </c>
      <c r="I5629">
        <v>72</v>
      </c>
      <c r="J5629" t="s">
        <v>57</v>
      </c>
      <c r="K5629" t="s">
        <v>56</v>
      </c>
      <c r="L5629" t="s">
        <v>44</v>
      </c>
      <c r="M5629">
        <v>8.4700000000000006</v>
      </c>
      <c r="T5629" t="s">
        <v>52</v>
      </c>
      <c r="U5629">
        <v>2</v>
      </c>
      <c r="V5629">
        <v>6</v>
      </c>
    </row>
    <row r="5630" spans="1:22" x14ac:dyDescent="0.3">
      <c r="A5630">
        <v>5629</v>
      </c>
      <c r="B5630">
        <v>56172</v>
      </c>
      <c r="C5630" s="2">
        <v>37874</v>
      </c>
      <c r="D5630">
        <v>22</v>
      </c>
      <c r="E5630" t="s">
        <v>36</v>
      </c>
      <c r="F5630" t="s">
        <v>37</v>
      </c>
      <c r="G5630" s="2">
        <v>45404</v>
      </c>
      <c r="H5630" s="3">
        <f t="shared" si="87"/>
        <v>1.2027397260273973</v>
      </c>
      <c r="I5630">
        <v>72</v>
      </c>
      <c r="J5630" t="s">
        <v>57</v>
      </c>
      <c r="K5630" t="s">
        <v>56</v>
      </c>
      <c r="L5630" t="s">
        <v>44</v>
      </c>
      <c r="M5630">
        <v>8.4700000000000006</v>
      </c>
      <c r="T5630" t="s">
        <v>45</v>
      </c>
      <c r="U5630">
        <v>0</v>
      </c>
      <c r="V5630">
        <v>3</v>
      </c>
    </row>
    <row r="5631" spans="1:22" x14ac:dyDescent="0.3">
      <c r="A5631">
        <v>5630</v>
      </c>
      <c r="B5631">
        <v>56173</v>
      </c>
      <c r="C5631" s="2">
        <v>38986</v>
      </c>
      <c r="D5631">
        <v>19</v>
      </c>
      <c r="E5631" t="s">
        <v>42</v>
      </c>
      <c r="F5631" t="s">
        <v>50</v>
      </c>
      <c r="G5631" s="2">
        <v>45583</v>
      </c>
      <c r="H5631" s="3">
        <f t="shared" si="87"/>
        <v>1.6301369863013699</v>
      </c>
      <c r="I5631">
        <v>72</v>
      </c>
      <c r="J5631" t="s">
        <v>57</v>
      </c>
      <c r="K5631" t="s">
        <v>56</v>
      </c>
      <c r="L5631" t="s">
        <v>44</v>
      </c>
      <c r="M5631">
        <v>8.4700000000000006</v>
      </c>
      <c r="T5631" t="s">
        <v>49</v>
      </c>
      <c r="U5631">
        <v>1</v>
      </c>
      <c r="V5631">
        <v>5</v>
      </c>
    </row>
    <row r="5632" spans="1:22" x14ac:dyDescent="0.3">
      <c r="A5632">
        <v>5631</v>
      </c>
      <c r="B5632">
        <v>56174</v>
      </c>
      <c r="C5632" s="2">
        <v>37615</v>
      </c>
      <c r="D5632">
        <v>23</v>
      </c>
      <c r="E5632" t="s">
        <v>42</v>
      </c>
      <c r="F5632" t="s">
        <v>50</v>
      </c>
      <c r="G5632" s="2">
        <v>45427</v>
      </c>
      <c r="H5632" s="3">
        <f t="shared" si="87"/>
        <v>1.8082191780821917</v>
      </c>
      <c r="I5632">
        <v>72</v>
      </c>
      <c r="J5632" t="s">
        <v>57</v>
      </c>
      <c r="K5632" t="s">
        <v>56</v>
      </c>
      <c r="L5632" t="s">
        <v>44</v>
      </c>
      <c r="M5632">
        <v>8.4700000000000006</v>
      </c>
      <c r="T5632" t="s">
        <v>45</v>
      </c>
      <c r="U5632">
        <v>2</v>
      </c>
      <c r="V5632">
        <v>6</v>
      </c>
    </row>
    <row r="5633" spans="1:22" x14ac:dyDescent="0.3">
      <c r="A5633">
        <v>5632</v>
      </c>
      <c r="B5633">
        <v>56176</v>
      </c>
      <c r="C5633" s="2">
        <v>37926</v>
      </c>
      <c r="D5633">
        <v>23</v>
      </c>
      <c r="E5633" t="s">
        <v>42</v>
      </c>
      <c r="F5633" t="s">
        <v>50</v>
      </c>
      <c r="G5633" s="2">
        <v>45362</v>
      </c>
      <c r="H5633" s="3">
        <f t="shared" si="87"/>
        <v>1.6739726027397259</v>
      </c>
      <c r="I5633">
        <v>73</v>
      </c>
      <c r="J5633" t="s">
        <v>57</v>
      </c>
      <c r="K5633" t="s">
        <v>64</v>
      </c>
      <c r="L5633" t="s">
        <v>44</v>
      </c>
      <c r="M5633">
        <v>14.07</v>
      </c>
      <c r="T5633" t="s">
        <v>52</v>
      </c>
      <c r="U5633">
        <v>0</v>
      </c>
      <c r="V5633">
        <v>5</v>
      </c>
    </row>
    <row r="5634" spans="1:22" x14ac:dyDescent="0.3">
      <c r="A5634">
        <v>5633</v>
      </c>
      <c r="B5634">
        <v>56177</v>
      </c>
      <c r="C5634" s="2">
        <v>36576</v>
      </c>
      <c r="D5634">
        <v>25</v>
      </c>
      <c r="E5634" t="s">
        <v>42</v>
      </c>
      <c r="F5634" t="s">
        <v>50</v>
      </c>
      <c r="G5634" s="2">
        <v>45411</v>
      </c>
      <c r="H5634" s="3">
        <f t="shared" si="87"/>
        <v>1.6876712328767123</v>
      </c>
      <c r="I5634">
        <v>73</v>
      </c>
      <c r="J5634" t="s">
        <v>57</v>
      </c>
      <c r="K5634" t="s">
        <v>56</v>
      </c>
      <c r="L5634" t="s">
        <v>44</v>
      </c>
      <c r="M5634">
        <v>8.4700000000000006</v>
      </c>
      <c r="T5634" t="s">
        <v>52</v>
      </c>
      <c r="U5634">
        <v>3</v>
      </c>
      <c r="V5634">
        <v>7</v>
      </c>
    </row>
    <row r="5635" spans="1:22" x14ac:dyDescent="0.3">
      <c r="A5635">
        <v>5634</v>
      </c>
      <c r="B5635">
        <v>56178</v>
      </c>
      <c r="C5635" s="2">
        <v>35519</v>
      </c>
      <c r="D5635">
        <v>28</v>
      </c>
      <c r="E5635" t="s">
        <v>42</v>
      </c>
      <c r="F5635" t="s">
        <v>50</v>
      </c>
      <c r="G5635" s="2">
        <v>45406</v>
      </c>
      <c r="H5635" s="3">
        <f t="shared" ref="H5635:H5698" si="88">DATEDIF(G5636,DATE(2025,12,31),"d")/365</f>
        <v>1.3890410958904109</v>
      </c>
      <c r="I5635">
        <v>73</v>
      </c>
      <c r="J5635" t="s">
        <v>57</v>
      </c>
      <c r="K5635" t="s">
        <v>56</v>
      </c>
      <c r="L5635" t="s">
        <v>44</v>
      </c>
      <c r="M5635">
        <v>8.4700000000000006</v>
      </c>
      <c r="T5635" t="s">
        <v>52</v>
      </c>
      <c r="U5635">
        <v>2</v>
      </c>
      <c r="V5635">
        <v>7</v>
      </c>
    </row>
    <row r="5636" spans="1:22" x14ac:dyDescent="0.3">
      <c r="A5636">
        <v>5635</v>
      </c>
      <c r="B5636">
        <v>56179</v>
      </c>
      <c r="C5636" s="2">
        <v>35239</v>
      </c>
      <c r="D5636">
        <v>29</v>
      </c>
      <c r="E5636" t="s">
        <v>36</v>
      </c>
      <c r="F5636" t="s">
        <v>50</v>
      </c>
      <c r="G5636" s="2">
        <v>45515</v>
      </c>
      <c r="H5636" s="3">
        <f t="shared" si="88"/>
        <v>1.5123287671232877</v>
      </c>
      <c r="I5636">
        <v>73</v>
      </c>
      <c r="J5636" t="s">
        <v>57</v>
      </c>
      <c r="K5636" t="s">
        <v>56</v>
      </c>
      <c r="L5636" t="s">
        <v>44</v>
      </c>
      <c r="M5636">
        <v>8.4700000000000006</v>
      </c>
      <c r="T5636" t="s">
        <v>52</v>
      </c>
      <c r="U5636">
        <v>4</v>
      </c>
      <c r="V5636">
        <v>5</v>
      </c>
    </row>
    <row r="5637" spans="1:22" x14ac:dyDescent="0.3">
      <c r="A5637">
        <v>5636</v>
      </c>
      <c r="B5637">
        <v>56180</v>
      </c>
      <c r="C5637" s="2">
        <v>38974</v>
      </c>
      <c r="D5637">
        <v>19</v>
      </c>
      <c r="E5637" t="s">
        <v>42</v>
      </c>
      <c r="F5637" t="s">
        <v>50</v>
      </c>
      <c r="G5637" s="2">
        <v>45470</v>
      </c>
      <c r="H5637" s="3">
        <f t="shared" si="88"/>
        <v>1</v>
      </c>
      <c r="I5637">
        <v>73</v>
      </c>
      <c r="J5637" t="s">
        <v>57</v>
      </c>
      <c r="K5637" t="s">
        <v>56</v>
      </c>
      <c r="L5637" t="s">
        <v>44</v>
      </c>
      <c r="M5637">
        <v>8.4700000000000006</v>
      </c>
      <c r="T5637" t="s">
        <v>52</v>
      </c>
      <c r="U5637">
        <v>3</v>
      </c>
      <c r="V5637">
        <v>6</v>
      </c>
    </row>
    <row r="5638" spans="1:22" x14ac:dyDescent="0.3">
      <c r="A5638">
        <v>5637</v>
      </c>
      <c r="B5638">
        <v>56181</v>
      </c>
      <c r="C5638" s="2">
        <v>38905</v>
      </c>
      <c r="D5638">
        <v>19</v>
      </c>
      <c r="E5638" t="s">
        <v>42</v>
      </c>
      <c r="F5638" t="s">
        <v>50</v>
      </c>
      <c r="G5638" s="2">
        <v>45657</v>
      </c>
      <c r="H5638" s="3">
        <f t="shared" si="88"/>
        <v>1.7397260273972603</v>
      </c>
      <c r="I5638">
        <v>73</v>
      </c>
      <c r="J5638" t="s">
        <v>57</v>
      </c>
      <c r="K5638" t="s">
        <v>56</v>
      </c>
      <c r="L5638" t="s">
        <v>44</v>
      </c>
      <c r="M5638">
        <v>8.4700000000000006</v>
      </c>
      <c r="T5638" t="s">
        <v>45</v>
      </c>
      <c r="U5638">
        <v>3</v>
      </c>
      <c r="V5638">
        <v>6</v>
      </c>
    </row>
    <row r="5639" spans="1:22" x14ac:dyDescent="0.3">
      <c r="A5639">
        <v>5638</v>
      </c>
      <c r="B5639">
        <v>56182</v>
      </c>
      <c r="C5639" s="2">
        <v>37594</v>
      </c>
      <c r="D5639">
        <v>23</v>
      </c>
      <c r="E5639" t="s">
        <v>42</v>
      </c>
      <c r="F5639" t="s">
        <v>50</v>
      </c>
      <c r="G5639" s="2">
        <v>45387</v>
      </c>
      <c r="H5639" s="3">
        <f t="shared" si="88"/>
        <v>1.3643835616438356</v>
      </c>
      <c r="I5639">
        <v>73</v>
      </c>
      <c r="J5639" t="s">
        <v>57</v>
      </c>
      <c r="K5639" t="s">
        <v>56</v>
      </c>
      <c r="L5639" t="s">
        <v>44</v>
      </c>
      <c r="M5639">
        <v>8.4700000000000006</v>
      </c>
      <c r="T5639" t="s">
        <v>47</v>
      </c>
      <c r="U5639">
        <v>2</v>
      </c>
      <c r="V5639">
        <v>5</v>
      </c>
    </row>
    <row r="5640" spans="1:22" x14ac:dyDescent="0.3">
      <c r="A5640">
        <v>5639</v>
      </c>
      <c r="B5640">
        <v>56183</v>
      </c>
      <c r="C5640" s="2">
        <v>38953</v>
      </c>
      <c r="D5640">
        <v>19</v>
      </c>
      <c r="E5640" t="s">
        <v>42</v>
      </c>
      <c r="F5640" t="s">
        <v>50</v>
      </c>
      <c r="G5640" s="2">
        <v>45524</v>
      </c>
      <c r="H5640" s="3">
        <f t="shared" si="88"/>
        <v>1.8493150684931507</v>
      </c>
      <c r="I5640">
        <v>73</v>
      </c>
      <c r="J5640" t="s">
        <v>57</v>
      </c>
      <c r="K5640" t="s">
        <v>56</v>
      </c>
      <c r="L5640" t="s">
        <v>44</v>
      </c>
      <c r="M5640">
        <v>8.4700000000000006</v>
      </c>
      <c r="T5640" t="s">
        <v>45</v>
      </c>
      <c r="U5640">
        <v>1</v>
      </c>
      <c r="V5640">
        <v>7</v>
      </c>
    </row>
    <row r="5641" spans="1:22" x14ac:dyDescent="0.3">
      <c r="A5641">
        <v>5640</v>
      </c>
      <c r="B5641">
        <v>56184</v>
      </c>
      <c r="C5641" s="2">
        <v>37708</v>
      </c>
      <c r="D5641">
        <v>22</v>
      </c>
      <c r="E5641" t="s">
        <v>42</v>
      </c>
      <c r="F5641" t="s">
        <v>50</v>
      </c>
      <c r="G5641" s="2">
        <v>45347</v>
      </c>
      <c r="H5641" s="3">
        <f t="shared" si="88"/>
        <v>1.3342465753424657</v>
      </c>
      <c r="I5641">
        <v>73</v>
      </c>
      <c r="J5641" t="s">
        <v>57</v>
      </c>
      <c r="K5641" t="s">
        <v>56</v>
      </c>
      <c r="L5641" t="s">
        <v>44</v>
      </c>
      <c r="M5641">
        <v>8.4700000000000006</v>
      </c>
      <c r="T5641" t="s">
        <v>52</v>
      </c>
      <c r="U5641">
        <v>4</v>
      </c>
      <c r="V5641">
        <v>5</v>
      </c>
    </row>
    <row r="5642" spans="1:22" x14ac:dyDescent="0.3">
      <c r="A5642">
        <v>5641</v>
      </c>
      <c r="B5642">
        <v>56185</v>
      </c>
      <c r="C5642" s="2">
        <v>38894</v>
      </c>
      <c r="D5642">
        <v>19</v>
      </c>
      <c r="E5642" t="s">
        <v>42</v>
      </c>
      <c r="F5642" t="s">
        <v>37</v>
      </c>
      <c r="G5642" s="2">
        <v>45535</v>
      </c>
      <c r="H5642" s="3">
        <f t="shared" si="88"/>
        <v>1.6109589041095891</v>
      </c>
      <c r="I5642">
        <v>73</v>
      </c>
      <c r="J5642" t="s">
        <v>57</v>
      </c>
      <c r="K5642" t="s">
        <v>56</v>
      </c>
      <c r="L5642" t="s">
        <v>44</v>
      </c>
      <c r="M5642">
        <v>8.4700000000000006</v>
      </c>
      <c r="T5642" t="s">
        <v>45</v>
      </c>
      <c r="U5642">
        <v>1</v>
      </c>
      <c r="V5642">
        <v>5</v>
      </c>
    </row>
    <row r="5643" spans="1:22" x14ac:dyDescent="0.3">
      <c r="A5643">
        <v>5642</v>
      </c>
      <c r="B5643">
        <v>56186</v>
      </c>
      <c r="C5643" s="2">
        <v>35111</v>
      </c>
      <c r="D5643">
        <v>29</v>
      </c>
      <c r="E5643" t="s">
        <v>42</v>
      </c>
      <c r="F5643" t="s">
        <v>50</v>
      </c>
      <c r="G5643" s="2">
        <v>45434</v>
      </c>
      <c r="H5643" s="3">
        <f t="shared" si="88"/>
        <v>1.167123287671233</v>
      </c>
      <c r="I5643">
        <v>73</v>
      </c>
      <c r="J5643" t="s">
        <v>57</v>
      </c>
      <c r="K5643" t="s">
        <v>56</v>
      </c>
      <c r="L5643" t="s">
        <v>44</v>
      </c>
      <c r="M5643">
        <v>8.4700000000000006</v>
      </c>
      <c r="T5643" t="s">
        <v>49</v>
      </c>
      <c r="U5643">
        <v>4</v>
      </c>
      <c r="V5643">
        <v>7</v>
      </c>
    </row>
    <row r="5644" spans="1:22" x14ac:dyDescent="0.3">
      <c r="A5644">
        <v>5643</v>
      </c>
      <c r="B5644">
        <v>56187</v>
      </c>
      <c r="C5644" s="2">
        <v>37965</v>
      </c>
      <c r="D5644">
        <v>22</v>
      </c>
      <c r="E5644" t="s">
        <v>36</v>
      </c>
      <c r="F5644" t="s">
        <v>37</v>
      </c>
      <c r="G5644" s="2">
        <v>45596</v>
      </c>
      <c r="H5644" s="3">
        <f t="shared" si="88"/>
        <v>1.0657534246575342</v>
      </c>
      <c r="I5644">
        <v>74</v>
      </c>
      <c r="J5644" t="s">
        <v>57</v>
      </c>
      <c r="K5644" t="s">
        <v>68</v>
      </c>
      <c r="L5644" t="s">
        <v>44</v>
      </c>
      <c r="M5644">
        <v>17</v>
      </c>
      <c r="T5644" t="s">
        <v>45</v>
      </c>
      <c r="U5644">
        <v>3</v>
      </c>
      <c r="V5644">
        <v>4</v>
      </c>
    </row>
    <row r="5645" spans="1:22" x14ac:dyDescent="0.3">
      <c r="A5645">
        <v>5644</v>
      </c>
      <c r="B5645">
        <v>56188</v>
      </c>
      <c r="C5645" s="2">
        <v>36863</v>
      </c>
      <c r="D5645">
        <v>25</v>
      </c>
      <c r="E5645" t="s">
        <v>42</v>
      </c>
      <c r="F5645" t="s">
        <v>50</v>
      </c>
      <c r="G5645" s="2">
        <v>45633</v>
      </c>
      <c r="H5645" s="3">
        <f t="shared" si="88"/>
        <v>1.6630136986301369</v>
      </c>
      <c r="I5645">
        <v>74</v>
      </c>
      <c r="J5645" t="s">
        <v>57</v>
      </c>
      <c r="K5645" t="s">
        <v>68</v>
      </c>
      <c r="L5645" t="s">
        <v>44</v>
      </c>
      <c r="M5645">
        <v>17</v>
      </c>
      <c r="T5645" t="s">
        <v>45</v>
      </c>
      <c r="U5645">
        <v>2</v>
      </c>
      <c r="V5645">
        <v>7</v>
      </c>
    </row>
    <row r="5646" spans="1:22" x14ac:dyDescent="0.3">
      <c r="A5646">
        <v>5645</v>
      </c>
      <c r="B5646">
        <v>56189</v>
      </c>
      <c r="C5646" s="2">
        <v>34340</v>
      </c>
      <c r="D5646">
        <v>31</v>
      </c>
      <c r="E5646" t="s">
        <v>42</v>
      </c>
      <c r="F5646" t="s">
        <v>37</v>
      </c>
      <c r="G5646" s="2">
        <v>45415</v>
      </c>
      <c r="H5646" s="3">
        <f t="shared" si="88"/>
        <v>1.1041095890410959</v>
      </c>
      <c r="I5646">
        <v>74</v>
      </c>
      <c r="J5646" t="s">
        <v>57</v>
      </c>
      <c r="K5646" t="s">
        <v>68</v>
      </c>
      <c r="L5646" t="s">
        <v>44</v>
      </c>
      <c r="M5646">
        <v>17</v>
      </c>
      <c r="T5646" t="s">
        <v>52</v>
      </c>
      <c r="U5646">
        <v>2</v>
      </c>
      <c r="V5646">
        <v>6</v>
      </c>
    </row>
    <row r="5647" spans="1:22" x14ac:dyDescent="0.3">
      <c r="A5647">
        <v>5646</v>
      </c>
      <c r="B5647">
        <v>56190</v>
      </c>
      <c r="C5647" s="2">
        <v>35382</v>
      </c>
      <c r="D5647">
        <v>29</v>
      </c>
      <c r="E5647" t="s">
        <v>36</v>
      </c>
      <c r="F5647" t="s">
        <v>50</v>
      </c>
      <c r="G5647" s="2">
        <v>45619</v>
      </c>
      <c r="H5647" s="3">
        <f t="shared" si="88"/>
        <v>1.6246575342465754</v>
      </c>
      <c r="I5647">
        <v>74</v>
      </c>
      <c r="J5647" t="s">
        <v>57</v>
      </c>
      <c r="K5647" t="s">
        <v>46</v>
      </c>
      <c r="L5647" t="s">
        <v>44</v>
      </c>
      <c r="M5647">
        <v>14.23</v>
      </c>
      <c r="T5647" t="s">
        <v>52</v>
      </c>
      <c r="U5647">
        <v>0</v>
      </c>
      <c r="V5647">
        <v>3</v>
      </c>
    </row>
    <row r="5648" spans="1:22" x14ac:dyDescent="0.3">
      <c r="A5648">
        <v>5647</v>
      </c>
      <c r="B5648">
        <v>56191</v>
      </c>
      <c r="C5648" s="2">
        <v>36823</v>
      </c>
      <c r="D5648">
        <v>25</v>
      </c>
      <c r="E5648" t="s">
        <v>42</v>
      </c>
      <c r="F5648" t="s">
        <v>50</v>
      </c>
      <c r="G5648" s="2">
        <v>45429</v>
      </c>
      <c r="H5648" s="3">
        <f t="shared" si="88"/>
        <v>1.7287671232876711</v>
      </c>
      <c r="I5648">
        <v>74</v>
      </c>
      <c r="J5648" t="s">
        <v>57</v>
      </c>
      <c r="K5648" t="s">
        <v>46</v>
      </c>
      <c r="L5648" t="s">
        <v>44</v>
      </c>
      <c r="M5648">
        <v>14.23</v>
      </c>
      <c r="T5648" t="s">
        <v>52</v>
      </c>
      <c r="U5648">
        <v>1</v>
      </c>
      <c r="V5648">
        <v>5</v>
      </c>
    </row>
    <row r="5649" spans="1:22" x14ac:dyDescent="0.3">
      <c r="A5649">
        <v>5648</v>
      </c>
      <c r="B5649">
        <v>56192</v>
      </c>
      <c r="C5649" s="2">
        <v>37702</v>
      </c>
      <c r="D5649">
        <v>22</v>
      </c>
      <c r="E5649" t="s">
        <v>42</v>
      </c>
      <c r="F5649" t="s">
        <v>50</v>
      </c>
      <c r="G5649" s="2">
        <v>45391</v>
      </c>
      <c r="H5649" s="3">
        <f t="shared" si="88"/>
        <v>1.2684931506849315</v>
      </c>
      <c r="I5649">
        <v>74</v>
      </c>
      <c r="J5649" t="s">
        <v>57</v>
      </c>
      <c r="K5649" t="s">
        <v>64</v>
      </c>
      <c r="L5649" t="s">
        <v>44</v>
      </c>
      <c r="M5649">
        <v>14.07</v>
      </c>
      <c r="T5649" t="s">
        <v>45</v>
      </c>
      <c r="U5649">
        <v>0</v>
      </c>
      <c r="V5649">
        <v>6</v>
      </c>
    </row>
    <row r="5650" spans="1:22" x14ac:dyDescent="0.3">
      <c r="A5650">
        <v>5649</v>
      </c>
      <c r="B5650">
        <v>56193</v>
      </c>
      <c r="C5650" s="2">
        <v>38574</v>
      </c>
      <c r="D5650">
        <v>20</v>
      </c>
      <c r="E5650" t="s">
        <v>42</v>
      </c>
      <c r="F5650" t="s">
        <v>37</v>
      </c>
      <c r="G5650" s="2">
        <v>45559</v>
      </c>
      <c r="H5650" s="3">
        <f t="shared" si="88"/>
        <v>1.4054794520547946</v>
      </c>
      <c r="I5650">
        <v>74</v>
      </c>
      <c r="J5650" t="s">
        <v>57</v>
      </c>
      <c r="K5650" t="s">
        <v>48</v>
      </c>
      <c r="L5650" t="s">
        <v>44</v>
      </c>
      <c r="M5650">
        <v>8.4700000000000006</v>
      </c>
      <c r="T5650" t="s">
        <v>49</v>
      </c>
      <c r="U5650">
        <v>1</v>
      </c>
      <c r="V5650">
        <v>7</v>
      </c>
    </row>
    <row r="5651" spans="1:22" x14ac:dyDescent="0.3">
      <c r="A5651">
        <v>5650</v>
      </c>
      <c r="B5651">
        <v>56194</v>
      </c>
      <c r="C5651" s="2">
        <v>36220</v>
      </c>
      <c r="D5651">
        <v>27</v>
      </c>
      <c r="E5651" t="s">
        <v>36</v>
      </c>
      <c r="F5651" t="s">
        <v>50</v>
      </c>
      <c r="G5651" s="2">
        <v>45509</v>
      </c>
      <c r="H5651" s="3">
        <f t="shared" si="88"/>
        <v>1.010958904109589</v>
      </c>
      <c r="I5651">
        <v>74</v>
      </c>
      <c r="J5651" t="s">
        <v>57</v>
      </c>
      <c r="K5651" t="s">
        <v>55</v>
      </c>
      <c r="L5651" t="s">
        <v>44</v>
      </c>
      <c r="M5651">
        <v>17.59</v>
      </c>
      <c r="T5651" t="s">
        <v>52</v>
      </c>
      <c r="U5651">
        <v>0</v>
      </c>
      <c r="V5651">
        <v>4</v>
      </c>
    </row>
    <row r="5652" spans="1:22" x14ac:dyDescent="0.3">
      <c r="A5652">
        <v>5651</v>
      </c>
      <c r="B5652">
        <v>56195</v>
      </c>
      <c r="C5652" s="2">
        <v>35394</v>
      </c>
      <c r="D5652">
        <v>29</v>
      </c>
      <c r="E5652" t="s">
        <v>42</v>
      </c>
      <c r="F5652" t="s">
        <v>50</v>
      </c>
      <c r="G5652" s="2">
        <v>45653</v>
      </c>
      <c r="H5652" s="3">
        <f t="shared" si="88"/>
        <v>1.5342465753424657</v>
      </c>
      <c r="I5652">
        <v>74</v>
      </c>
      <c r="J5652" t="s">
        <v>57</v>
      </c>
      <c r="K5652" t="s">
        <v>56</v>
      </c>
      <c r="L5652" t="s">
        <v>44</v>
      </c>
      <c r="M5652">
        <v>8.4700000000000006</v>
      </c>
      <c r="T5652" t="s">
        <v>45</v>
      </c>
      <c r="U5652">
        <v>3</v>
      </c>
      <c r="V5652">
        <v>7</v>
      </c>
    </row>
    <row r="5653" spans="1:22" x14ac:dyDescent="0.3">
      <c r="A5653">
        <v>5652</v>
      </c>
      <c r="B5653">
        <v>56196</v>
      </c>
      <c r="C5653" s="2">
        <v>38999</v>
      </c>
      <c r="D5653">
        <v>19</v>
      </c>
      <c r="E5653" t="s">
        <v>42</v>
      </c>
      <c r="F5653" t="s">
        <v>37</v>
      </c>
      <c r="G5653" s="2">
        <v>45462</v>
      </c>
      <c r="H5653" s="3">
        <f t="shared" si="88"/>
        <v>1.3863013698630138</v>
      </c>
      <c r="I5653">
        <v>74</v>
      </c>
      <c r="J5653" t="s">
        <v>57</v>
      </c>
      <c r="K5653" t="s">
        <v>56</v>
      </c>
      <c r="L5653" t="s">
        <v>44</v>
      </c>
      <c r="M5653">
        <v>8.4700000000000006</v>
      </c>
      <c r="T5653" t="s">
        <v>47</v>
      </c>
      <c r="U5653">
        <v>4</v>
      </c>
      <c r="V5653">
        <v>7</v>
      </c>
    </row>
    <row r="5654" spans="1:22" x14ac:dyDescent="0.3">
      <c r="A5654">
        <v>5653</v>
      </c>
      <c r="B5654">
        <v>56197</v>
      </c>
      <c r="C5654" s="2">
        <v>39082</v>
      </c>
      <c r="D5654">
        <v>19</v>
      </c>
      <c r="E5654" t="s">
        <v>42</v>
      </c>
      <c r="F5654" t="s">
        <v>50</v>
      </c>
      <c r="G5654" s="2">
        <v>45516</v>
      </c>
      <c r="H5654" s="3">
        <f t="shared" si="88"/>
        <v>1.178082191780822</v>
      </c>
      <c r="I5654">
        <v>74</v>
      </c>
      <c r="J5654" t="s">
        <v>57</v>
      </c>
      <c r="K5654" t="s">
        <v>56</v>
      </c>
      <c r="L5654" t="s">
        <v>44</v>
      </c>
      <c r="M5654">
        <v>8.4700000000000006</v>
      </c>
      <c r="T5654" t="s">
        <v>52</v>
      </c>
      <c r="U5654">
        <v>2</v>
      </c>
      <c r="V5654">
        <v>7</v>
      </c>
    </row>
    <row r="5655" spans="1:22" x14ac:dyDescent="0.3">
      <c r="A5655">
        <v>5654</v>
      </c>
      <c r="B5655">
        <v>56198</v>
      </c>
      <c r="C5655" s="2">
        <v>37966</v>
      </c>
      <c r="D5655">
        <v>22</v>
      </c>
      <c r="E5655" t="s">
        <v>42</v>
      </c>
      <c r="F5655" t="s">
        <v>50</v>
      </c>
      <c r="G5655" s="2">
        <v>45592</v>
      </c>
      <c r="H5655" s="3">
        <f t="shared" si="88"/>
        <v>1.2767123287671234</v>
      </c>
      <c r="I5655">
        <v>74</v>
      </c>
      <c r="J5655" t="s">
        <v>57</v>
      </c>
      <c r="K5655" t="s">
        <v>56</v>
      </c>
      <c r="L5655" t="s">
        <v>44</v>
      </c>
      <c r="M5655">
        <v>8.4700000000000006</v>
      </c>
      <c r="T5655" t="s">
        <v>52</v>
      </c>
      <c r="U5655">
        <v>4</v>
      </c>
      <c r="V5655">
        <v>6</v>
      </c>
    </row>
    <row r="5656" spans="1:22" x14ac:dyDescent="0.3">
      <c r="A5656">
        <v>5655</v>
      </c>
      <c r="B5656">
        <v>56199</v>
      </c>
      <c r="C5656" s="2">
        <v>38571</v>
      </c>
      <c r="D5656">
        <v>20</v>
      </c>
      <c r="E5656" t="s">
        <v>42</v>
      </c>
      <c r="F5656" t="s">
        <v>37</v>
      </c>
      <c r="G5656" s="2">
        <v>45556</v>
      </c>
      <c r="H5656" s="3">
        <f t="shared" si="88"/>
        <v>1.2575342465753425</v>
      </c>
      <c r="I5656">
        <v>74</v>
      </c>
      <c r="J5656" t="s">
        <v>57</v>
      </c>
      <c r="K5656" t="s">
        <v>56</v>
      </c>
      <c r="L5656" t="s">
        <v>44</v>
      </c>
      <c r="M5656">
        <v>8.4700000000000006</v>
      </c>
      <c r="T5656" t="s">
        <v>45</v>
      </c>
      <c r="U5656">
        <v>0</v>
      </c>
      <c r="V5656">
        <v>5</v>
      </c>
    </row>
    <row r="5657" spans="1:22" x14ac:dyDescent="0.3">
      <c r="A5657">
        <v>5656</v>
      </c>
      <c r="B5657">
        <v>56201</v>
      </c>
      <c r="C5657" s="2">
        <v>36633</v>
      </c>
      <c r="D5657">
        <v>25</v>
      </c>
      <c r="E5657" t="s">
        <v>42</v>
      </c>
      <c r="F5657" t="s">
        <v>50</v>
      </c>
      <c r="G5657" s="2">
        <v>45563</v>
      </c>
      <c r="H5657" s="3">
        <f t="shared" si="88"/>
        <v>1.210958904109589</v>
      </c>
      <c r="I5657">
        <v>74</v>
      </c>
      <c r="J5657" t="s">
        <v>57</v>
      </c>
      <c r="K5657" t="s">
        <v>56</v>
      </c>
      <c r="L5657" t="s">
        <v>44</v>
      </c>
      <c r="M5657">
        <v>8.4700000000000006</v>
      </c>
      <c r="T5657" t="s">
        <v>52</v>
      </c>
      <c r="U5657">
        <v>2</v>
      </c>
      <c r="V5657">
        <v>7</v>
      </c>
    </row>
    <row r="5658" spans="1:22" x14ac:dyDescent="0.3">
      <c r="A5658">
        <v>5657</v>
      </c>
      <c r="B5658">
        <v>56203</v>
      </c>
      <c r="C5658" s="2">
        <v>38905</v>
      </c>
      <c r="D5658">
        <v>19</v>
      </c>
      <c r="E5658" t="s">
        <v>42</v>
      </c>
      <c r="F5658" t="s">
        <v>50</v>
      </c>
      <c r="G5658" s="2">
        <v>45580</v>
      </c>
      <c r="H5658" s="3">
        <f t="shared" si="88"/>
        <v>1.6410958904109589</v>
      </c>
      <c r="I5658">
        <v>74</v>
      </c>
      <c r="J5658" t="s">
        <v>57</v>
      </c>
      <c r="K5658" t="s">
        <v>56</v>
      </c>
      <c r="L5658" t="s">
        <v>44</v>
      </c>
      <c r="M5658">
        <v>8.4700000000000006</v>
      </c>
      <c r="T5658" t="s">
        <v>52</v>
      </c>
      <c r="U5658">
        <v>1</v>
      </c>
      <c r="V5658">
        <v>5</v>
      </c>
    </row>
    <row r="5659" spans="1:22" x14ac:dyDescent="0.3">
      <c r="A5659">
        <v>5658</v>
      </c>
      <c r="B5659">
        <v>56204</v>
      </c>
      <c r="C5659" s="2">
        <v>38796</v>
      </c>
      <c r="D5659">
        <v>19</v>
      </c>
      <c r="E5659" t="s">
        <v>36</v>
      </c>
      <c r="F5659" t="s">
        <v>50</v>
      </c>
      <c r="G5659" s="2">
        <v>45423</v>
      </c>
      <c r="H5659" s="3">
        <f t="shared" si="88"/>
        <v>1.6712328767123288</v>
      </c>
      <c r="I5659">
        <v>74</v>
      </c>
      <c r="J5659" t="s">
        <v>57</v>
      </c>
      <c r="K5659" t="s">
        <v>56</v>
      </c>
      <c r="L5659" t="s">
        <v>44</v>
      </c>
      <c r="M5659">
        <v>8.4700000000000006</v>
      </c>
      <c r="T5659" t="s">
        <v>45</v>
      </c>
      <c r="U5659">
        <v>2</v>
      </c>
      <c r="V5659">
        <v>4</v>
      </c>
    </row>
    <row r="5660" spans="1:22" x14ac:dyDescent="0.3">
      <c r="A5660">
        <v>5659</v>
      </c>
      <c r="B5660">
        <v>56205</v>
      </c>
      <c r="C5660" s="2">
        <v>36412</v>
      </c>
      <c r="D5660">
        <v>26</v>
      </c>
      <c r="E5660" t="s">
        <v>42</v>
      </c>
      <c r="F5660" t="s">
        <v>50</v>
      </c>
      <c r="G5660" s="2">
        <v>45412</v>
      </c>
      <c r="H5660" s="3">
        <f t="shared" si="88"/>
        <v>1.3534246575342466</v>
      </c>
      <c r="I5660">
        <v>74</v>
      </c>
      <c r="J5660" t="s">
        <v>57</v>
      </c>
      <c r="K5660" t="s">
        <v>56</v>
      </c>
      <c r="L5660" t="s">
        <v>44</v>
      </c>
      <c r="M5660">
        <v>8.4700000000000006</v>
      </c>
      <c r="T5660" t="s">
        <v>45</v>
      </c>
      <c r="U5660">
        <v>1</v>
      </c>
      <c r="V5660">
        <v>5</v>
      </c>
    </row>
    <row r="5661" spans="1:22" x14ac:dyDescent="0.3">
      <c r="A5661">
        <v>5660</v>
      </c>
      <c r="B5661">
        <v>56206</v>
      </c>
      <c r="C5661" s="2">
        <v>39354</v>
      </c>
      <c r="D5661">
        <v>18</v>
      </c>
      <c r="E5661" t="s">
        <v>42</v>
      </c>
      <c r="F5661" t="s">
        <v>50</v>
      </c>
      <c r="G5661" s="2">
        <v>45528</v>
      </c>
      <c r="H5661" s="3">
        <f t="shared" si="88"/>
        <v>1.4493150684931506</v>
      </c>
      <c r="I5661">
        <v>74</v>
      </c>
      <c r="J5661" t="s">
        <v>57</v>
      </c>
      <c r="K5661" t="s">
        <v>56</v>
      </c>
      <c r="L5661" t="s">
        <v>44</v>
      </c>
      <c r="M5661">
        <v>8.4700000000000006</v>
      </c>
      <c r="T5661" t="s">
        <v>45</v>
      </c>
      <c r="U5661">
        <v>4</v>
      </c>
      <c r="V5661">
        <v>6</v>
      </c>
    </row>
    <row r="5662" spans="1:22" x14ac:dyDescent="0.3">
      <c r="A5662">
        <v>5661</v>
      </c>
      <c r="B5662">
        <v>56207</v>
      </c>
      <c r="C5662" s="2">
        <v>37199</v>
      </c>
      <c r="D5662">
        <v>24</v>
      </c>
      <c r="E5662" t="s">
        <v>42</v>
      </c>
      <c r="F5662" t="s">
        <v>50</v>
      </c>
      <c r="G5662" s="2">
        <v>45493</v>
      </c>
      <c r="H5662" s="3">
        <f t="shared" si="88"/>
        <v>1.4356164383561645</v>
      </c>
      <c r="I5662">
        <v>75</v>
      </c>
      <c r="J5662" t="s">
        <v>57</v>
      </c>
      <c r="K5662" t="s">
        <v>68</v>
      </c>
      <c r="L5662" t="s">
        <v>44</v>
      </c>
      <c r="M5662">
        <v>17</v>
      </c>
      <c r="T5662" t="s">
        <v>47</v>
      </c>
      <c r="U5662">
        <v>3</v>
      </c>
      <c r="V5662">
        <v>7</v>
      </c>
    </row>
    <row r="5663" spans="1:22" x14ac:dyDescent="0.3">
      <c r="A5663">
        <v>5662</v>
      </c>
      <c r="B5663">
        <v>56209</v>
      </c>
      <c r="C5663" s="2">
        <v>37853</v>
      </c>
      <c r="D5663">
        <v>22</v>
      </c>
      <c r="E5663" t="s">
        <v>42</v>
      </c>
      <c r="F5663" t="s">
        <v>50</v>
      </c>
      <c r="G5663" s="2">
        <v>45498</v>
      </c>
      <c r="H5663" s="3">
        <f t="shared" si="88"/>
        <v>1.2438356164383562</v>
      </c>
      <c r="I5663">
        <v>75</v>
      </c>
      <c r="J5663" t="s">
        <v>57</v>
      </c>
      <c r="K5663" t="s">
        <v>46</v>
      </c>
      <c r="L5663" t="s">
        <v>44</v>
      </c>
      <c r="M5663">
        <v>14.23</v>
      </c>
      <c r="T5663" t="s">
        <v>47</v>
      </c>
      <c r="U5663">
        <v>1</v>
      </c>
      <c r="V5663">
        <v>6</v>
      </c>
    </row>
    <row r="5664" spans="1:22" x14ac:dyDescent="0.3">
      <c r="A5664">
        <v>5663</v>
      </c>
      <c r="B5664">
        <v>56211</v>
      </c>
      <c r="C5664" s="2">
        <v>38106</v>
      </c>
      <c r="D5664">
        <v>21</v>
      </c>
      <c r="E5664" t="s">
        <v>42</v>
      </c>
      <c r="F5664" t="s">
        <v>37</v>
      </c>
      <c r="G5664" s="2">
        <v>45568</v>
      </c>
      <c r="H5664" s="3">
        <f t="shared" si="88"/>
        <v>1.0986301369863014</v>
      </c>
      <c r="I5664">
        <v>75</v>
      </c>
      <c r="J5664" t="s">
        <v>57</v>
      </c>
      <c r="K5664" t="s">
        <v>56</v>
      </c>
      <c r="L5664" t="s">
        <v>44</v>
      </c>
      <c r="M5664">
        <v>8.4700000000000006</v>
      </c>
      <c r="T5664" t="s">
        <v>49</v>
      </c>
      <c r="U5664">
        <v>1</v>
      </c>
      <c r="V5664">
        <v>6</v>
      </c>
    </row>
    <row r="5665" spans="1:22" x14ac:dyDescent="0.3">
      <c r="A5665">
        <v>5664</v>
      </c>
      <c r="B5665">
        <v>56212</v>
      </c>
      <c r="C5665" s="2">
        <v>35781</v>
      </c>
      <c r="D5665">
        <v>28</v>
      </c>
      <c r="E5665" t="s">
        <v>42</v>
      </c>
      <c r="F5665" t="s">
        <v>50</v>
      </c>
      <c r="G5665" s="2">
        <v>45621</v>
      </c>
      <c r="H5665" s="3">
        <f t="shared" si="88"/>
        <v>1.1863013698630136</v>
      </c>
      <c r="I5665">
        <v>75</v>
      </c>
      <c r="J5665" t="s">
        <v>57</v>
      </c>
      <c r="K5665" t="s">
        <v>56</v>
      </c>
      <c r="L5665" t="s">
        <v>44</v>
      </c>
      <c r="M5665">
        <v>8.4700000000000006</v>
      </c>
      <c r="T5665" t="s">
        <v>52</v>
      </c>
      <c r="U5665">
        <v>3</v>
      </c>
      <c r="V5665">
        <v>7</v>
      </c>
    </row>
    <row r="5666" spans="1:22" x14ac:dyDescent="0.3">
      <c r="A5666">
        <v>5665</v>
      </c>
      <c r="B5666">
        <v>56213</v>
      </c>
      <c r="C5666" s="2">
        <v>38723</v>
      </c>
      <c r="D5666">
        <v>19</v>
      </c>
      <c r="E5666" t="s">
        <v>36</v>
      </c>
      <c r="F5666" t="s">
        <v>50</v>
      </c>
      <c r="G5666" s="2">
        <v>45589</v>
      </c>
      <c r="H5666" s="3">
        <f t="shared" si="88"/>
        <v>1.5945205479452054</v>
      </c>
      <c r="I5666">
        <v>75</v>
      </c>
      <c r="J5666" t="s">
        <v>57</v>
      </c>
      <c r="K5666" t="s">
        <v>56</v>
      </c>
      <c r="L5666" t="s">
        <v>44</v>
      </c>
      <c r="M5666">
        <v>8.4700000000000006</v>
      </c>
      <c r="T5666" t="s">
        <v>47</v>
      </c>
      <c r="U5666">
        <v>1</v>
      </c>
      <c r="V5666">
        <v>4</v>
      </c>
    </row>
    <row r="5667" spans="1:22" x14ac:dyDescent="0.3">
      <c r="A5667">
        <v>5666</v>
      </c>
      <c r="B5667">
        <v>56214</v>
      </c>
      <c r="C5667" s="2">
        <v>39307</v>
      </c>
      <c r="D5667">
        <v>18</v>
      </c>
      <c r="E5667" t="s">
        <v>36</v>
      </c>
      <c r="F5667" t="s">
        <v>37</v>
      </c>
      <c r="G5667" s="2">
        <v>45440</v>
      </c>
      <c r="H5667" s="3">
        <f t="shared" si="88"/>
        <v>1.3698630136986301</v>
      </c>
      <c r="I5667">
        <v>75</v>
      </c>
      <c r="J5667" t="s">
        <v>57</v>
      </c>
      <c r="K5667" t="s">
        <v>56</v>
      </c>
      <c r="L5667" t="s">
        <v>44</v>
      </c>
      <c r="M5667">
        <v>8.4700000000000006</v>
      </c>
      <c r="T5667" t="s">
        <v>45</v>
      </c>
      <c r="U5667">
        <v>2</v>
      </c>
      <c r="V5667">
        <v>3</v>
      </c>
    </row>
    <row r="5668" spans="1:22" x14ac:dyDescent="0.3">
      <c r="A5668">
        <v>5667</v>
      </c>
      <c r="B5668">
        <v>56215</v>
      </c>
      <c r="C5668" s="2">
        <v>37667</v>
      </c>
      <c r="D5668">
        <v>22</v>
      </c>
      <c r="E5668" t="s">
        <v>42</v>
      </c>
      <c r="F5668" t="s">
        <v>50</v>
      </c>
      <c r="G5668" s="2">
        <v>45522</v>
      </c>
      <c r="H5668" s="3">
        <f t="shared" si="88"/>
        <v>1.2904109589041095</v>
      </c>
      <c r="I5668">
        <v>75</v>
      </c>
      <c r="J5668" t="s">
        <v>57</v>
      </c>
      <c r="K5668" t="s">
        <v>56</v>
      </c>
      <c r="L5668" t="s">
        <v>44</v>
      </c>
      <c r="M5668">
        <v>8.4700000000000006</v>
      </c>
      <c r="T5668" t="s">
        <v>52</v>
      </c>
      <c r="U5668">
        <v>0</v>
      </c>
      <c r="V5668">
        <v>5</v>
      </c>
    </row>
    <row r="5669" spans="1:22" x14ac:dyDescent="0.3">
      <c r="A5669">
        <v>5668</v>
      </c>
      <c r="B5669">
        <v>56216</v>
      </c>
      <c r="C5669" s="2">
        <v>37964</v>
      </c>
      <c r="D5669">
        <v>22</v>
      </c>
      <c r="E5669" t="s">
        <v>42</v>
      </c>
      <c r="F5669" t="s">
        <v>50</v>
      </c>
      <c r="G5669" s="2">
        <v>45551</v>
      </c>
      <c r="H5669" s="3">
        <f t="shared" si="88"/>
        <v>1.3534246575342466</v>
      </c>
      <c r="I5669">
        <v>75</v>
      </c>
      <c r="J5669" t="s">
        <v>57</v>
      </c>
      <c r="K5669" t="s">
        <v>56</v>
      </c>
      <c r="L5669" t="s">
        <v>44</v>
      </c>
      <c r="M5669">
        <v>8.4700000000000006</v>
      </c>
      <c r="T5669" t="s">
        <v>45</v>
      </c>
      <c r="U5669">
        <v>3</v>
      </c>
      <c r="V5669">
        <v>7</v>
      </c>
    </row>
    <row r="5670" spans="1:22" x14ac:dyDescent="0.3">
      <c r="A5670">
        <v>5669</v>
      </c>
      <c r="B5670">
        <v>56217</v>
      </c>
      <c r="C5670" s="2">
        <v>37543</v>
      </c>
      <c r="D5670">
        <v>23</v>
      </c>
      <c r="E5670" t="s">
        <v>42</v>
      </c>
      <c r="F5670" t="s">
        <v>50</v>
      </c>
      <c r="G5670" s="2">
        <v>45528</v>
      </c>
      <c r="H5670" s="3">
        <f t="shared" si="88"/>
        <v>1.4767123287671233</v>
      </c>
      <c r="I5670">
        <v>75</v>
      </c>
      <c r="J5670" t="s">
        <v>57</v>
      </c>
      <c r="K5670" t="s">
        <v>56</v>
      </c>
      <c r="L5670" t="s">
        <v>44</v>
      </c>
      <c r="M5670">
        <v>8.4700000000000006</v>
      </c>
      <c r="T5670" t="s">
        <v>47</v>
      </c>
      <c r="U5670">
        <v>2</v>
      </c>
      <c r="V5670">
        <v>7</v>
      </c>
    </row>
    <row r="5671" spans="1:22" x14ac:dyDescent="0.3">
      <c r="A5671">
        <v>5670</v>
      </c>
      <c r="B5671">
        <v>56218</v>
      </c>
      <c r="C5671" s="2">
        <v>35544</v>
      </c>
      <c r="D5671">
        <v>28</v>
      </c>
      <c r="E5671" t="s">
        <v>42</v>
      </c>
      <c r="F5671" t="s">
        <v>50</v>
      </c>
      <c r="G5671" s="2">
        <v>45483</v>
      </c>
      <c r="H5671" s="3">
        <f t="shared" si="88"/>
        <v>1.5123287671232877</v>
      </c>
      <c r="I5671">
        <v>75</v>
      </c>
      <c r="J5671" t="s">
        <v>57</v>
      </c>
      <c r="K5671" t="s">
        <v>56</v>
      </c>
      <c r="L5671" t="s">
        <v>44</v>
      </c>
      <c r="M5671">
        <v>8.4700000000000006</v>
      </c>
      <c r="T5671" t="s">
        <v>52</v>
      </c>
      <c r="U5671">
        <v>2</v>
      </c>
      <c r="V5671">
        <v>6</v>
      </c>
    </row>
    <row r="5672" spans="1:22" x14ac:dyDescent="0.3">
      <c r="A5672">
        <v>5671</v>
      </c>
      <c r="B5672">
        <v>56219</v>
      </c>
      <c r="C5672" s="2">
        <v>38264</v>
      </c>
      <c r="D5672">
        <v>21</v>
      </c>
      <c r="E5672" t="s">
        <v>42</v>
      </c>
      <c r="F5672" t="s">
        <v>37</v>
      </c>
      <c r="G5672" s="2">
        <v>45470</v>
      </c>
      <c r="H5672" s="3">
        <f t="shared" si="88"/>
        <v>1.4958904109589042</v>
      </c>
      <c r="I5672">
        <v>75</v>
      </c>
      <c r="J5672" t="s">
        <v>57</v>
      </c>
      <c r="K5672" t="s">
        <v>56</v>
      </c>
      <c r="L5672" t="s">
        <v>44</v>
      </c>
      <c r="M5672">
        <v>8.4700000000000006</v>
      </c>
      <c r="T5672" t="s">
        <v>52</v>
      </c>
      <c r="U5672">
        <v>2</v>
      </c>
      <c r="V5672">
        <v>5</v>
      </c>
    </row>
    <row r="5673" spans="1:22" x14ac:dyDescent="0.3">
      <c r="A5673">
        <v>5672</v>
      </c>
      <c r="B5673">
        <v>56220</v>
      </c>
      <c r="C5673" s="2">
        <v>35970</v>
      </c>
      <c r="D5673">
        <v>27</v>
      </c>
      <c r="E5673" t="s">
        <v>42</v>
      </c>
      <c r="F5673" t="s">
        <v>50</v>
      </c>
      <c r="G5673" s="2">
        <v>45476</v>
      </c>
      <c r="H5673" s="3">
        <f t="shared" si="88"/>
        <v>1.5863013698630137</v>
      </c>
      <c r="I5673">
        <v>75</v>
      </c>
      <c r="J5673" t="s">
        <v>57</v>
      </c>
      <c r="K5673" t="s">
        <v>56</v>
      </c>
      <c r="L5673" t="s">
        <v>44</v>
      </c>
      <c r="M5673">
        <v>8.4700000000000006</v>
      </c>
      <c r="T5673" t="s">
        <v>47</v>
      </c>
      <c r="U5673">
        <v>0</v>
      </c>
      <c r="V5673">
        <v>5</v>
      </c>
    </row>
    <row r="5674" spans="1:22" x14ac:dyDescent="0.3">
      <c r="A5674">
        <v>5673</v>
      </c>
      <c r="B5674">
        <v>56221</v>
      </c>
      <c r="C5674" s="2">
        <v>38270</v>
      </c>
      <c r="D5674">
        <v>21</v>
      </c>
      <c r="E5674" t="s">
        <v>42</v>
      </c>
      <c r="F5674" t="s">
        <v>37</v>
      </c>
      <c r="G5674" s="2">
        <v>45443</v>
      </c>
      <c r="H5674" s="3">
        <f t="shared" si="88"/>
        <v>1.8054794520547945</v>
      </c>
      <c r="I5674">
        <v>75</v>
      </c>
      <c r="J5674" t="s">
        <v>57</v>
      </c>
      <c r="K5674" t="s">
        <v>56</v>
      </c>
      <c r="L5674" t="s">
        <v>44</v>
      </c>
      <c r="M5674">
        <v>8.4700000000000006</v>
      </c>
      <c r="T5674" t="s">
        <v>52</v>
      </c>
      <c r="U5674">
        <v>2</v>
      </c>
      <c r="V5674">
        <v>5</v>
      </c>
    </row>
    <row r="5675" spans="1:22" x14ac:dyDescent="0.3">
      <c r="A5675">
        <v>5674</v>
      </c>
      <c r="B5675">
        <v>56222</v>
      </c>
      <c r="C5675" s="2">
        <v>38215</v>
      </c>
      <c r="D5675">
        <v>21</v>
      </c>
      <c r="E5675" t="s">
        <v>36</v>
      </c>
      <c r="F5675" t="s">
        <v>50</v>
      </c>
      <c r="G5675" s="2">
        <v>45363</v>
      </c>
      <c r="H5675" s="3">
        <f t="shared" si="88"/>
        <v>1.0712328767123287</v>
      </c>
      <c r="I5675">
        <v>75</v>
      </c>
      <c r="J5675" t="s">
        <v>57</v>
      </c>
      <c r="K5675" t="s">
        <v>56</v>
      </c>
      <c r="L5675" t="s">
        <v>44</v>
      </c>
      <c r="M5675">
        <v>8.4700000000000006</v>
      </c>
      <c r="T5675" t="s">
        <v>52</v>
      </c>
      <c r="U5675">
        <v>2</v>
      </c>
      <c r="V5675">
        <v>3</v>
      </c>
    </row>
    <row r="5676" spans="1:22" x14ac:dyDescent="0.3">
      <c r="A5676">
        <v>5675</v>
      </c>
      <c r="B5676">
        <v>56223</v>
      </c>
      <c r="C5676" s="2">
        <v>36504</v>
      </c>
      <c r="D5676">
        <v>26</v>
      </c>
      <c r="E5676" t="s">
        <v>42</v>
      </c>
      <c r="F5676" t="s">
        <v>50</v>
      </c>
      <c r="G5676" s="2">
        <v>45631</v>
      </c>
      <c r="H5676" s="3">
        <f t="shared" si="88"/>
        <v>1.6273972602739726</v>
      </c>
      <c r="I5676">
        <v>76</v>
      </c>
      <c r="J5676" t="s">
        <v>57</v>
      </c>
      <c r="K5676" t="s">
        <v>68</v>
      </c>
      <c r="L5676" t="s">
        <v>44</v>
      </c>
      <c r="M5676">
        <v>17</v>
      </c>
      <c r="T5676" t="s">
        <v>52</v>
      </c>
      <c r="U5676">
        <v>4</v>
      </c>
      <c r="V5676">
        <v>7</v>
      </c>
    </row>
    <row r="5677" spans="1:22" x14ac:dyDescent="0.3">
      <c r="A5677">
        <v>5676</v>
      </c>
      <c r="B5677">
        <v>56224</v>
      </c>
      <c r="C5677" s="2">
        <v>38687</v>
      </c>
      <c r="D5677">
        <v>21</v>
      </c>
      <c r="E5677" t="s">
        <v>36</v>
      </c>
      <c r="F5677" t="s">
        <v>50</v>
      </c>
      <c r="G5677" s="2">
        <v>45428</v>
      </c>
      <c r="H5677" s="3">
        <f t="shared" si="88"/>
        <v>1.6</v>
      </c>
      <c r="I5677">
        <v>76</v>
      </c>
      <c r="J5677" t="s">
        <v>57</v>
      </c>
      <c r="K5677" t="s">
        <v>65</v>
      </c>
      <c r="L5677" t="s">
        <v>44</v>
      </c>
      <c r="M5677">
        <v>10.64</v>
      </c>
      <c r="T5677" t="s">
        <v>45</v>
      </c>
      <c r="U5677">
        <v>0</v>
      </c>
      <c r="V5677">
        <v>3</v>
      </c>
    </row>
    <row r="5678" spans="1:22" x14ac:dyDescent="0.3">
      <c r="A5678">
        <v>5677</v>
      </c>
      <c r="B5678">
        <v>56225</v>
      </c>
      <c r="C5678" s="2">
        <v>38276</v>
      </c>
      <c r="D5678">
        <v>21</v>
      </c>
      <c r="E5678" t="s">
        <v>42</v>
      </c>
      <c r="F5678" t="s">
        <v>50</v>
      </c>
      <c r="G5678" s="2">
        <v>45438</v>
      </c>
      <c r="H5678" s="3">
        <f t="shared" si="88"/>
        <v>1.6246575342465754</v>
      </c>
      <c r="I5678">
        <v>76</v>
      </c>
      <c r="J5678" t="s">
        <v>57</v>
      </c>
      <c r="K5678" t="s">
        <v>65</v>
      </c>
      <c r="L5678" t="s">
        <v>44</v>
      </c>
      <c r="M5678">
        <v>10.64</v>
      </c>
      <c r="T5678" t="s">
        <v>45</v>
      </c>
      <c r="U5678">
        <v>0</v>
      </c>
      <c r="V5678">
        <v>4</v>
      </c>
    </row>
    <row r="5679" spans="1:22" x14ac:dyDescent="0.3">
      <c r="A5679">
        <v>5678</v>
      </c>
      <c r="B5679">
        <v>56226</v>
      </c>
      <c r="C5679" s="2">
        <v>39328</v>
      </c>
      <c r="D5679">
        <v>18</v>
      </c>
      <c r="E5679" t="s">
        <v>42</v>
      </c>
      <c r="F5679" t="s">
        <v>50</v>
      </c>
      <c r="G5679" s="2">
        <v>45429</v>
      </c>
      <c r="H5679" s="3">
        <f t="shared" si="88"/>
        <v>1.7835616438356163</v>
      </c>
      <c r="I5679">
        <v>76</v>
      </c>
      <c r="J5679" t="s">
        <v>57</v>
      </c>
      <c r="K5679" t="s">
        <v>48</v>
      </c>
      <c r="L5679" t="s">
        <v>44</v>
      </c>
      <c r="M5679">
        <v>8.4700000000000006</v>
      </c>
      <c r="T5679" t="s">
        <v>47</v>
      </c>
      <c r="U5679">
        <v>0</v>
      </c>
      <c r="V5679">
        <v>6</v>
      </c>
    </row>
    <row r="5680" spans="1:22" x14ac:dyDescent="0.3">
      <c r="A5680">
        <v>5679</v>
      </c>
      <c r="B5680">
        <v>56227</v>
      </c>
      <c r="C5680" s="2">
        <v>37966</v>
      </c>
      <c r="D5680">
        <v>22</v>
      </c>
      <c r="E5680" t="s">
        <v>42</v>
      </c>
      <c r="F5680" t="s">
        <v>50</v>
      </c>
      <c r="G5680" s="2">
        <v>45371</v>
      </c>
      <c r="H5680" s="3">
        <f t="shared" si="88"/>
        <v>1.536986301369863</v>
      </c>
      <c r="I5680">
        <v>76</v>
      </c>
      <c r="J5680" t="s">
        <v>57</v>
      </c>
      <c r="K5680" t="s">
        <v>56</v>
      </c>
      <c r="L5680" t="s">
        <v>44</v>
      </c>
      <c r="M5680">
        <v>8.4700000000000006</v>
      </c>
      <c r="T5680" t="s">
        <v>45</v>
      </c>
      <c r="U5680">
        <v>4</v>
      </c>
      <c r="V5680">
        <v>7</v>
      </c>
    </row>
    <row r="5681" spans="1:22" x14ac:dyDescent="0.3">
      <c r="A5681">
        <v>5680</v>
      </c>
      <c r="B5681">
        <v>56228</v>
      </c>
      <c r="C5681" s="2">
        <v>34403</v>
      </c>
      <c r="D5681">
        <v>31</v>
      </c>
      <c r="E5681" t="s">
        <v>42</v>
      </c>
      <c r="F5681" t="s">
        <v>50</v>
      </c>
      <c r="G5681" s="2">
        <v>45461</v>
      </c>
      <c r="H5681" s="3">
        <f t="shared" si="88"/>
        <v>1.5616438356164384</v>
      </c>
      <c r="I5681">
        <v>76</v>
      </c>
      <c r="J5681" t="s">
        <v>57</v>
      </c>
      <c r="K5681" t="s">
        <v>56</v>
      </c>
      <c r="L5681" t="s">
        <v>44</v>
      </c>
      <c r="M5681">
        <v>8.4700000000000006</v>
      </c>
      <c r="T5681" t="s">
        <v>49</v>
      </c>
      <c r="U5681">
        <v>2</v>
      </c>
      <c r="V5681">
        <v>6</v>
      </c>
    </row>
    <row r="5682" spans="1:22" x14ac:dyDescent="0.3">
      <c r="A5682">
        <v>5681</v>
      </c>
      <c r="B5682">
        <v>56229</v>
      </c>
      <c r="C5682" s="2">
        <v>37202</v>
      </c>
      <c r="D5682">
        <v>24</v>
      </c>
      <c r="E5682" t="s">
        <v>42</v>
      </c>
      <c r="F5682" t="s">
        <v>50</v>
      </c>
      <c r="G5682" s="2">
        <v>45452</v>
      </c>
      <c r="H5682" s="3">
        <f t="shared" si="88"/>
        <v>1.7753424657534247</v>
      </c>
      <c r="I5682">
        <v>76</v>
      </c>
      <c r="J5682" t="s">
        <v>57</v>
      </c>
      <c r="K5682" t="s">
        <v>56</v>
      </c>
      <c r="L5682" t="s">
        <v>44</v>
      </c>
      <c r="M5682">
        <v>8.4700000000000006</v>
      </c>
      <c r="T5682" t="s">
        <v>45</v>
      </c>
      <c r="U5682">
        <v>2</v>
      </c>
      <c r="V5682">
        <v>5</v>
      </c>
    </row>
    <row r="5683" spans="1:22" x14ac:dyDescent="0.3">
      <c r="A5683">
        <v>5682</v>
      </c>
      <c r="B5683">
        <v>56230</v>
      </c>
      <c r="C5683" s="2">
        <v>36864</v>
      </c>
      <c r="D5683">
        <v>25</v>
      </c>
      <c r="E5683" t="s">
        <v>42</v>
      </c>
      <c r="F5683" t="s">
        <v>37</v>
      </c>
      <c r="G5683" s="2">
        <v>45374</v>
      </c>
      <c r="H5683" s="3">
        <f t="shared" si="88"/>
        <v>1.526027397260274</v>
      </c>
      <c r="I5683">
        <v>76</v>
      </c>
      <c r="J5683" t="s">
        <v>57</v>
      </c>
      <c r="K5683" t="s">
        <v>56</v>
      </c>
      <c r="L5683" t="s">
        <v>44</v>
      </c>
      <c r="M5683">
        <v>8.4700000000000006</v>
      </c>
      <c r="T5683" t="s">
        <v>45</v>
      </c>
      <c r="U5683">
        <v>1</v>
      </c>
      <c r="V5683">
        <v>6</v>
      </c>
    </row>
    <row r="5684" spans="1:22" x14ac:dyDescent="0.3">
      <c r="A5684">
        <v>5683</v>
      </c>
      <c r="B5684">
        <v>56231</v>
      </c>
      <c r="C5684" s="2">
        <v>35625</v>
      </c>
      <c r="D5684">
        <v>28</v>
      </c>
      <c r="E5684" t="s">
        <v>42</v>
      </c>
      <c r="F5684" t="s">
        <v>37</v>
      </c>
      <c r="G5684" s="2">
        <v>45465</v>
      </c>
      <c r="H5684" s="3">
        <f t="shared" si="88"/>
        <v>1.4767123287671233</v>
      </c>
      <c r="I5684">
        <v>76</v>
      </c>
      <c r="J5684" t="s">
        <v>57</v>
      </c>
      <c r="K5684" t="s">
        <v>56</v>
      </c>
      <c r="L5684" t="s">
        <v>44</v>
      </c>
      <c r="M5684">
        <v>8.4700000000000006</v>
      </c>
      <c r="T5684" t="s">
        <v>45</v>
      </c>
      <c r="U5684">
        <v>3</v>
      </c>
      <c r="V5684">
        <v>5</v>
      </c>
    </row>
    <row r="5685" spans="1:22" x14ac:dyDescent="0.3">
      <c r="A5685">
        <v>5684</v>
      </c>
      <c r="B5685">
        <v>56232</v>
      </c>
      <c r="C5685" s="2">
        <v>37366</v>
      </c>
      <c r="D5685">
        <v>23</v>
      </c>
      <c r="E5685" t="s">
        <v>36</v>
      </c>
      <c r="F5685" t="s">
        <v>50</v>
      </c>
      <c r="G5685" s="2">
        <v>45483</v>
      </c>
      <c r="H5685" s="3">
        <f t="shared" si="88"/>
        <v>1.547945205479452</v>
      </c>
      <c r="I5685">
        <v>76</v>
      </c>
      <c r="J5685" t="s">
        <v>57</v>
      </c>
      <c r="K5685" t="s">
        <v>56</v>
      </c>
      <c r="L5685" t="s">
        <v>44</v>
      </c>
      <c r="M5685">
        <v>8.4700000000000006</v>
      </c>
      <c r="T5685" t="s">
        <v>52</v>
      </c>
      <c r="U5685">
        <v>2</v>
      </c>
      <c r="V5685">
        <v>4</v>
      </c>
    </row>
    <row r="5686" spans="1:22" x14ac:dyDescent="0.3">
      <c r="A5686">
        <v>5685</v>
      </c>
      <c r="B5686">
        <v>56233</v>
      </c>
      <c r="C5686" s="2">
        <v>38570</v>
      </c>
      <c r="D5686">
        <v>20</v>
      </c>
      <c r="E5686" t="s">
        <v>42</v>
      </c>
      <c r="F5686" t="s">
        <v>50</v>
      </c>
      <c r="G5686" s="2">
        <v>45457</v>
      </c>
      <c r="H5686" s="3">
        <f t="shared" si="88"/>
        <v>1.1643835616438356</v>
      </c>
      <c r="I5686">
        <v>76</v>
      </c>
      <c r="J5686" t="s">
        <v>57</v>
      </c>
      <c r="K5686" t="s">
        <v>56</v>
      </c>
      <c r="L5686" t="s">
        <v>44</v>
      </c>
      <c r="M5686">
        <v>8.4700000000000006</v>
      </c>
      <c r="T5686" t="s">
        <v>47</v>
      </c>
      <c r="U5686">
        <v>1</v>
      </c>
      <c r="V5686">
        <v>5</v>
      </c>
    </row>
    <row r="5687" spans="1:22" x14ac:dyDescent="0.3">
      <c r="A5687">
        <v>5686</v>
      </c>
      <c r="B5687">
        <v>56234</v>
      </c>
      <c r="C5687" s="2">
        <v>34692</v>
      </c>
      <c r="D5687">
        <v>31</v>
      </c>
      <c r="E5687" t="s">
        <v>36</v>
      </c>
      <c r="F5687" t="s">
        <v>37</v>
      </c>
      <c r="G5687" s="2">
        <v>45597</v>
      </c>
      <c r="H5687" s="3">
        <f t="shared" si="88"/>
        <v>1.5452054794520549</v>
      </c>
      <c r="I5687">
        <v>77</v>
      </c>
      <c r="J5687" t="s">
        <v>57</v>
      </c>
      <c r="K5687" t="s">
        <v>68</v>
      </c>
      <c r="L5687" t="s">
        <v>44</v>
      </c>
      <c r="M5687">
        <v>17</v>
      </c>
      <c r="T5687" t="s">
        <v>52</v>
      </c>
      <c r="U5687">
        <v>2</v>
      </c>
      <c r="V5687">
        <v>4</v>
      </c>
    </row>
    <row r="5688" spans="1:22" x14ac:dyDescent="0.3">
      <c r="A5688">
        <v>5687</v>
      </c>
      <c r="B5688">
        <v>56236</v>
      </c>
      <c r="C5688" s="2">
        <v>38610</v>
      </c>
      <c r="D5688">
        <v>20</v>
      </c>
      <c r="E5688" t="s">
        <v>42</v>
      </c>
      <c r="F5688" t="s">
        <v>37</v>
      </c>
      <c r="G5688" s="2">
        <v>45458</v>
      </c>
      <c r="H5688" s="3">
        <f t="shared" si="88"/>
        <v>1.6273972602739726</v>
      </c>
      <c r="I5688">
        <v>77</v>
      </c>
      <c r="J5688" t="s">
        <v>57</v>
      </c>
      <c r="K5688" t="s">
        <v>56</v>
      </c>
      <c r="L5688" t="s">
        <v>44</v>
      </c>
      <c r="M5688">
        <v>8.4700000000000006</v>
      </c>
      <c r="T5688" t="s">
        <v>52</v>
      </c>
      <c r="U5688">
        <v>2</v>
      </c>
      <c r="V5688">
        <v>6</v>
      </c>
    </row>
    <row r="5689" spans="1:22" x14ac:dyDescent="0.3">
      <c r="A5689">
        <v>5688</v>
      </c>
      <c r="B5689">
        <v>56237</v>
      </c>
      <c r="C5689" s="2">
        <v>38415</v>
      </c>
      <c r="D5689">
        <v>20</v>
      </c>
      <c r="E5689" t="s">
        <v>42</v>
      </c>
      <c r="F5689" t="s">
        <v>50</v>
      </c>
      <c r="G5689" s="2">
        <v>45428</v>
      </c>
      <c r="H5689" s="3">
        <f t="shared" si="88"/>
        <v>1.5972602739726027</v>
      </c>
      <c r="I5689">
        <v>77</v>
      </c>
      <c r="J5689" t="s">
        <v>57</v>
      </c>
      <c r="K5689" t="s">
        <v>56</v>
      </c>
      <c r="L5689" t="s">
        <v>44</v>
      </c>
      <c r="M5689">
        <v>8.4700000000000006</v>
      </c>
      <c r="T5689" t="s">
        <v>52</v>
      </c>
      <c r="U5689">
        <v>4</v>
      </c>
      <c r="V5689">
        <v>7</v>
      </c>
    </row>
    <row r="5690" spans="1:22" x14ac:dyDescent="0.3">
      <c r="A5690">
        <v>5689</v>
      </c>
      <c r="B5690">
        <v>56238</v>
      </c>
      <c r="C5690" s="2">
        <v>37759</v>
      </c>
      <c r="D5690">
        <v>22</v>
      </c>
      <c r="E5690" t="s">
        <v>42</v>
      </c>
      <c r="F5690" t="s">
        <v>37</v>
      </c>
      <c r="G5690" s="2">
        <v>45439</v>
      </c>
      <c r="H5690" s="3">
        <f t="shared" si="88"/>
        <v>1.736986301369863</v>
      </c>
      <c r="I5690">
        <v>77</v>
      </c>
      <c r="J5690" t="s">
        <v>57</v>
      </c>
      <c r="K5690" t="s">
        <v>56</v>
      </c>
      <c r="L5690" t="s">
        <v>44</v>
      </c>
      <c r="M5690">
        <v>8.4700000000000006</v>
      </c>
      <c r="T5690" t="s">
        <v>45</v>
      </c>
      <c r="U5690">
        <v>0</v>
      </c>
      <c r="V5690">
        <v>6</v>
      </c>
    </row>
    <row r="5691" spans="1:22" x14ac:dyDescent="0.3">
      <c r="A5691">
        <v>5690</v>
      </c>
      <c r="B5691">
        <v>56239</v>
      </c>
      <c r="C5691" s="2">
        <v>35859</v>
      </c>
      <c r="D5691">
        <v>27</v>
      </c>
      <c r="E5691" t="s">
        <v>42</v>
      </c>
      <c r="F5691" t="s">
        <v>37</v>
      </c>
      <c r="G5691" s="2">
        <v>45388</v>
      </c>
      <c r="H5691" s="3">
        <f t="shared" si="88"/>
        <v>1.295890410958904</v>
      </c>
      <c r="I5691">
        <v>77</v>
      </c>
      <c r="J5691" t="s">
        <v>57</v>
      </c>
      <c r="K5691" t="s">
        <v>56</v>
      </c>
      <c r="L5691" t="s">
        <v>44</v>
      </c>
      <c r="M5691">
        <v>8.4700000000000006</v>
      </c>
      <c r="T5691" t="s">
        <v>49</v>
      </c>
      <c r="U5691">
        <v>2</v>
      </c>
      <c r="V5691">
        <v>5</v>
      </c>
    </row>
    <row r="5692" spans="1:22" x14ac:dyDescent="0.3">
      <c r="A5692">
        <v>5691</v>
      </c>
      <c r="B5692">
        <v>56240</v>
      </c>
      <c r="C5692" s="2">
        <v>37472</v>
      </c>
      <c r="D5692">
        <v>23</v>
      </c>
      <c r="E5692" t="s">
        <v>42</v>
      </c>
      <c r="F5692" t="s">
        <v>50</v>
      </c>
      <c r="G5692" s="2">
        <v>45549</v>
      </c>
      <c r="H5692" s="3">
        <f t="shared" si="88"/>
        <v>1.3972602739726028</v>
      </c>
      <c r="I5692">
        <v>77</v>
      </c>
      <c r="J5692" t="s">
        <v>57</v>
      </c>
      <c r="K5692" t="s">
        <v>56</v>
      </c>
      <c r="L5692" t="s">
        <v>44</v>
      </c>
      <c r="M5692">
        <v>8.4700000000000006</v>
      </c>
      <c r="T5692" t="s">
        <v>52</v>
      </c>
      <c r="U5692">
        <v>4</v>
      </c>
      <c r="V5692">
        <v>6</v>
      </c>
    </row>
    <row r="5693" spans="1:22" x14ac:dyDescent="0.3">
      <c r="A5693">
        <v>5692</v>
      </c>
      <c r="B5693">
        <v>56242</v>
      </c>
      <c r="C5693" s="2">
        <v>37810</v>
      </c>
      <c r="D5693">
        <v>22</v>
      </c>
      <c r="E5693" t="s">
        <v>42</v>
      </c>
      <c r="F5693" t="s">
        <v>37</v>
      </c>
      <c r="G5693" s="2">
        <v>45512</v>
      </c>
      <c r="H5693" s="3">
        <f t="shared" si="88"/>
        <v>1.2575342465753425</v>
      </c>
      <c r="I5693">
        <v>77</v>
      </c>
      <c r="J5693" t="s">
        <v>57</v>
      </c>
      <c r="K5693" t="s">
        <v>56</v>
      </c>
      <c r="L5693" t="s">
        <v>44</v>
      </c>
      <c r="M5693">
        <v>8.4700000000000006</v>
      </c>
      <c r="T5693" t="s">
        <v>52</v>
      </c>
      <c r="U5693">
        <v>2</v>
      </c>
      <c r="V5693">
        <v>6</v>
      </c>
    </row>
    <row r="5694" spans="1:22" x14ac:dyDescent="0.3">
      <c r="A5694">
        <v>5693</v>
      </c>
      <c r="B5694">
        <v>56244</v>
      </c>
      <c r="C5694" s="2">
        <v>36688</v>
      </c>
      <c r="D5694">
        <v>25</v>
      </c>
      <c r="E5694" t="s">
        <v>42</v>
      </c>
      <c r="F5694" t="s">
        <v>50</v>
      </c>
      <c r="G5694" s="2">
        <v>45563</v>
      </c>
      <c r="H5694" s="3">
        <f t="shared" si="88"/>
        <v>1.8712328767123287</v>
      </c>
      <c r="I5694">
        <v>78</v>
      </c>
      <c r="J5694" t="s">
        <v>57</v>
      </c>
      <c r="K5694" t="s">
        <v>68</v>
      </c>
      <c r="L5694" t="s">
        <v>44</v>
      </c>
      <c r="M5694">
        <v>17</v>
      </c>
      <c r="T5694" t="s">
        <v>47</v>
      </c>
      <c r="U5694">
        <v>1</v>
      </c>
      <c r="V5694">
        <v>5</v>
      </c>
    </row>
    <row r="5695" spans="1:22" x14ac:dyDescent="0.3">
      <c r="A5695">
        <v>5694</v>
      </c>
      <c r="B5695">
        <v>56245</v>
      </c>
      <c r="C5695" s="2">
        <v>36442</v>
      </c>
      <c r="D5695">
        <v>26</v>
      </c>
      <c r="E5695" t="s">
        <v>42</v>
      </c>
      <c r="F5695" t="s">
        <v>50</v>
      </c>
      <c r="G5695" s="2">
        <v>45339</v>
      </c>
      <c r="H5695" s="3">
        <f t="shared" si="88"/>
        <v>1.1095890410958904</v>
      </c>
      <c r="I5695">
        <v>78</v>
      </c>
      <c r="J5695" t="s">
        <v>57</v>
      </c>
      <c r="K5695" t="s">
        <v>65</v>
      </c>
      <c r="L5695" t="s">
        <v>44</v>
      </c>
      <c r="M5695">
        <v>10.64</v>
      </c>
      <c r="T5695" t="s">
        <v>47</v>
      </c>
      <c r="U5695">
        <v>1</v>
      </c>
      <c r="V5695">
        <v>6</v>
      </c>
    </row>
    <row r="5696" spans="1:22" x14ac:dyDescent="0.3">
      <c r="A5696">
        <v>5695</v>
      </c>
      <c r="B5696">
        <v>56246</v>
      </c>
      <c r="C5696" s="2">
        <v>37254</v>
      </c>
      <c r="D5696">
        <v>24</v>
      </c>
      <c r="E5696" t="s">
        <v>36</v>
      </c>
      <c r="F5696" t="s">
        <v>50</v>
      </c>
      <c r="G5696" s="2">
        <v>45617</v>
      </c>
      <c r="H5696" s="3">
        <f t="shared" si="88"/>
        <v>1.0657534246575342</v>
      </c>
      <c r="I5696">
        <v>78</v>
      </c>
      <c r="J5696" t="s">
        <v>57</v>
      </c>
      <c r="K5696" t="s">
        <v>46</v>
      </c>
      <c r="L5696" t="s">
        <v>44</v>
      </c>
      <c r="M5696">
        <v>14.23</v>
      </c>
      <c r="T5696" t="s">
        <v>49</v>
      </c>
      <c r="U5696">
        <v>0</v>
      </c>
      <c r="V5696">
        <v>6</v>
      </c>
    </row>
    <row r="5697" spans="1:22" x14ac:dyDescent="0.3">
      <c r="A5697">
        <v>5696</v>
      </c>
      <c r="B5697">
        <v>56247</v>
      </c>
      <c r="C5697" s="2">
        <v>38882</v>
      </c>
      <c r="D5697">
        <v>19</v>
      </c>
      <c r="E5697" t="s">
        <v>36</v>
      </c>
      <c r="F5697" t="s">
        <v>50</v>
      </c>
      <c r="G5697" s="2">
        <v>45633</v>
      </c>
      <c r="H5697" s="3">
        <f t="shared" si="88"/>
        <v>1.4356164383561645</v>
      </c>
      <c r="I5697">
        <v>78</v>
      </c>
      <c r="J5697" t="s">
        <v>57</v>
      </c>
      <c r="K5697" t="s">
        <v>64</v>
      </c>
      <c r="L5697" t="s">
        <v>44</v>
      </c>
      <c r="M5697">
        <v>14.07</v>
      </c>
      <c r="T5697" t="s">
        <v>49</v>
      </c>
      <c r="U5697">
        <v>0</v>
      </c>
      <c r="V5697">
        <v>3</v>
      </c>
    </row>
    <row r="5698" spans="1:22" x14ac:dyDescent="0.3">
      <c r="A5698">
        <v>5697</v>
      </c>
      <c r="B5698">
        <v>56248</v>
      </c>
      <c r="C5698" s="2">
        <v>37005</v>
      </c>
      <c r="D5698">
        <v>24</v>
      </c>
      <c r="E5698" t="s">
        <v>36</v>
      </c>
      <c r="F5698" t="s">
        <v>50</v>
      </c>
      <c r="G5698" s="2">
        <v>45498</v>
      </c>
      <c r="H5698" s="3">
        <f t="shared" si="88"/>
        <v>1.4164383561643836</v>
      </c>
      <c r="I5698">
        <v>78</v>
      </c>
      <c r="J5698" t="s">
        <v>57</v>
      </c>
      <c r="K5698" t="s">
        <v>48</v>
      </c>
      <c r="L5698" t="s">
        <v>44</v>
      </c>
      <c r="M5698">
        <v>8.4700000000000006</v>
      </c>
      <c r="T5698" t="s">
        <v>47</v>
      </c>
      <c r="U5698">
        <v>3</v>
      </c>
      <c r="V5698">
        <v>4</v>
      </c>
    </row>
    <row r="5699" spans="1:22" x14ac:dyDescent="0.3">
      <c r="A5699">
        <v>5698</v>
      </c>
      <c r="B5699">
        <v>56249</v>
      </c>
      <c r="C5699" s="2">
        <v>37563</v>
      </c>
      <c r="D5699">
        <v>23</v>
      </c>
      <c r="E5699" t="s">
        <v>42</v>
      </c>
      <c r="F5699" t="s">
        <v>50</v>
      </c>
      <c r="G5699" s="2">
        <v>45505</v>
      </c>
      <c r="H5699" s="3">
        <f t="shared" ref="H5699:H5762" si="89">DATEDIF(G5700,DATE(2025,12,31),"d")/365</f>
        <v>1.484931506849315</v>
      </c>
      <c r="I5699">
        <v>78</v>
      </c>
      <c r="J5699" t="s">
        <v>57</v>
      </c>
      <c r="K5699" t="s">
        <v>56</v>
      </c>
      <c r="L5699" t="s">
        <v>44</v>
      </c>
      <c r="M5699">
        <v>8.4700000000000006</v>
      </c>
      <c r="T5699" t="s">
        <v>45</v>
      </c>
      <c r="U5699">
        <v>2</v>
      </c>
      <c r="V5699">
        <v>7</v>
      </c>
    </row>
    <row r="5700" spans="1:22" x14ac:dyDescent="0.3">
      <c r="A5700">
        <v>5699</v>
      </c>
      <c r="B5700">
        <v>56250</v>
      </c>
      <c r="C5700" s="2">
        <v>34693</v>
      </c>
      <c r="D5700">
        <v>31</v>
      </c>
      <c r="E5700" t="s">
        <v>42</v>
      </c>
      <c r="F5700" t="s">
        <v>50</v>
      </c>
      <c r="G5700" s="2">
        <v>45480</v>
      </c>
      <c r="H5700" s="3">
        <f t="shared" si="89"/>
        <v>1.4986301369863013</v>
      </c>
      <c r="I5700">
        <v>78</v>
      </c>
      <c r="J5700" t="s">
        <v>57</v>
      </c>
      <c r="K5700" t="s">
        <v>56</v>
      </c>
      <c r="L5700" t="s">
        <v>44</v>
      </c>
      <c r="M5700">
        <v>8.4700000000000006</v>
      </c>
      <c r="T5700" t="s">
        <v>45</v>
      </c>
      <c r="U5700">
        <v>3</v>
      </c>
      <c r="V5700">
        <v>6</v>
      </c>
    </row>
    <row r="5701" spans="1:22" x14ac:dyDescent="0.3">
      <c r="A5701">
        <v>5700</v>
      </c>
      <c r="B5701">
        <v>56251</v>
      </c>
      <c r="C5701" s="2">
        <v>34917</v>
      </c>
      <c r="D5701">
        <v>30</v>
      </c>
      <c r="E5701" t="s">
        <v>42</v>
      </c>
      <c r="F5701" t="s">
        <v>50</v>
      </c>
      <c r="G5701" s="2">
        <v>45475</v>
      </c>
      <c r="H5701" s="3">
        <f t="shared" si="89"/>
        <v>1.5890410958904109</v>
      </c>
      <c r="I5701">
        <v>78</v>
      </c>
      <c r="J5701" t="s">
        <v>57</v>
      </c>
      <c r="K5701" t="s">
        <v>56</v>
      </c>
      <c r="L5701" t="s">
        <v>44</v>
      </c>
      <c r="M5701">
        <v>8.4700000000000006</v>
      </c>
      <c r="T5701" t="s">
        <v>47</v>
      </c>
      <c r="U5701">
        <v>1</v>
      </c>
      <c r="V5701">
        <v>5</v>
      </c>
    </row>
    <row r="5702" spans="1:22" x14ac:dyDescent="0.3">
      <c r="A5702">
        <v>5701</v>
      </c>
      <c r="B5702">
        <v>56252</v>
      </c>
      <c r="C5702" s="2">
        <v>38357</v>
      </c>
      <c r="D5702">
        <v>20</v>
      </c>
      <c r="E5702" t="s">
        <v>42</v>
      </c>
      <c r="F5702" t="s">
        <v>50</v>
      </c>
      <c r="G5702" s="2">
        <v>45442</v>
      </c>
      <c r="H5702" s="3">
        <f t="shared" si="89"/>
        <v>1.6876712328767123</v>
      </c>
      <c r="I5702">
        <v>78</v>
      </c>
      <c r="J5702" t="s">
        <v>57</v>
      </c>
      <c r="K5702" t="s">
        <v>56</v>
      </c>
      <c r="L5702" t="s">
        <v>44</v>
      </c>
      <c r="M5702">
        <v>8.4700000000000006</v>
      </c>
      <c r="T5702" t="s">
        <v>47</v>
      </c>
      <c r="U5702">
        <v>4</v>
      </c>
      <c r="V5702">
        <v>7</v>
      </c>
    </row>
    <row r="5703" spans="1:22" x14ac:dyDescent="0.3">
      <c r="A5703">
        <v>5702</v>
      </c>
      <c r="B5703">
        <v>56253</v>
      </c>
      <c r="C5703" s="2">
        <v>38655</v>
      </c>
      <c r="D5703">
        <v>20</v>
      </c>
      <c r="E5703" t="s">
        <v>42</v>
      </c>
      <c r="F5703" t="s">
        <v>37</v>
      </c>
      <c r="G5703" s="2">
        <v>45406</v>
      </c>
      <c r="H5703" s="3">
        <f t="shared" si="89"/>
        <v>1.4602739726027398</v>
      </c>
      <c r="I5703">
        <v>78</v>
      </c>
      <c r="J5703" t="s">
        <v>57</v>
      </c>
      <c r="K5703" t="s">
        <v>56</v>
      </c>
      <c r="L5703" t="s">
        <v>44</v>
      </c>
      <c r="M5703">
        <v>8.4700000000000006</v>
      </c>
      <c r="T5703" t="s">
        <v>45</v>
      </c>
      <c r="U5703">
        <v>4</v>
      </c>
      <c r="V5703">
        <v>6</v>
      </c>
    </row>
    <row r="5704" spans="1:22" x14ac:dyDescent="0.3">
      <c r="A5704">
        <v>5703</v>
      </c>
      <c r="B5704">
        <v>56254</v>
      </c>
      <c r="C5704" s="2">
        <v>38921</v>
      </c>
      <c r="D5704">
        <v>19</v>
      </c>
      <c r="E5704" t="s">
        <v>36</v>
      </c>
      <c r="F5704" t="s">
        <v>37</v>
      </c>
      <c r="G5704" s="2">
        <v>45489</v>
      </c>
      <c r="H5704" s="3">
        <f t="shared" si="89"/>
        <v>1.5561643835616439</v>
      </c>
      <c r="I5704">
        <v>78</v>
      </c>
      <c r="J5704" t="s">
        <v>57</v>
      </c>
      <c r="K5704" t="s">
        <v>56</v>
      </c>
      <c r="L5704" t="s">
        <v>44</v>
      </c>
      <c r="M5704">
        <v>8.4700000000000006</v>
      </c>
      <c r="T5704" t="s">
        <v>47</v>
      </c>
      <c r="U5704">
        <v>0</v>
      </c>
      <c r="V5704">
        <v>5</v>
      </c>
    </row>
    <row r="5705" spans="1:22" x14ac:dyDescent="0.3">
      <c r="A5705">
        <v>5704</v>
      </c>
      <c r="B5705">
        <v>56255</v>
      </c>
      <c r="C5705" s="2">
        <v>39039</v>
      </c>
      <c r="D5705">
        <v>19</v>
      </c>
      <c r="E5705" t="s">
        <v>42</v>
      </c>
      <c r="F5705" t="s">
        <v>37</v>
      </c>
      <c r="G5705" s="2">
        <v>45454</v>
      </c>
      <c r="H5705" s="3">
        <f t="shared" si="89"/>
        <v>1.1041095890410959</v>
      </c>
      <c r="I5705">
        <v>78</v>
      </c>
      <c r="J5705" t="s">
        <v>57</v>
      </c>
      <c r="K5705" t="s">
        <v>56</v>
      </c>
      <c r="L5705" t="s">
        <v>44</v>
      </c>
      <c r="M5705">
        <v>8.4700000000000006</v>
      </c>
      <c r="T5705" t="s">
        <v>45</v>
      </c>
      <c r="U5705">
        <v>2</v>
      </c>
      <c r="V5705">
        <v>5</v>
      </c>
    </row>
    <row r="5706" spans="1:22" x14ac:dyDescent="0.3">
      <c r="A5706">
        <v>5705</v>
      </c>
      <c r="B5706">
        <v>56257</v>
      </c>
      <c r="C5706" s="2">
        <v>38957</v>
      </c>
      <c r="D5706">
        <v>19</v>
      </c>
      <c r="E5706" t="s">
        <v>42</v>
      </c>
      <c r="F5706" t="s">
        <v>50</v>
      </c>
      <c r="G5706" s="2">
        <v>45619</v>
      </c>
      <c r="H5706" s="3">
        <f t="shared" si="89"/>
        <v>1.4191780821917808</v>
      </c>
      <c r="I5706">
        <v>78</v>
      </c>
      <c r="J5706" t="s">
        <v>57</v>
      </c>
      <c r="K5706" t="s">
        <v>56</v>
      </c>
      <c r="L5706" t="s">
        <v>44</v>
      </c>
      <c r="M5706">
        <v>8.4700000000000006</v>
      </c>
      <c r="T5706" t="s">
        <v>47</v>
      </c>
      <c r="U5706">
        <v>2</v>
      </c>
      <c r="V5706">
        <v>6</v>
      </c>
    </row>
    <row r="5707" spans="1:22" x14ac:dyDescent="0.3">
      <c r="A5707">
        <v>5706</v>
      </c>
      <c r="B5707">
        <v>56258</v>
      </c>
      <c r="C5707" s="2">
        <v>35740</v>
      </c>
      <c r="D5707">
        <v>28</v>
      </c>
      <c r="E5707" t="s">
        <v>42</v>
      </c>
      <c r="F5707" t="s">
        <v>50</v>
      </c>
      <c r="G5707" s="2">
        <v>45504</v>
      </c>
      <c r="H5707" s="3">
        <f t="shared" si="89"/>
        <v>1.7972602739726027</v>
      </c>
      <c r="I5707">
        <v>78</v>
      </c>
      <c r="J5707" t="s">
        <v>57</v>
      </c>
      <c r="K5707" t="s">
        <v>56</v>
      </c>
      <c r="L5707" t="s">
        <v>44</v>
      </c>
      <c r="M5707">
        <v>8.4700000000000006</v>
      </c>
      <c r="T5707" t="s">
        <v>47</v>
      </c>
      <c r="U5707">
        <v>1</v>
      </c>
      <c r="V5707">
        <v>7</v>
      </c>
    </row>
    <row r="5708" spans="1:22" x14ac:dyDescent="0.3">
      <c r="A5708">
        <v>5707</v>
      </c>
      <c r="B5708">
        <v>56259</v>
      </c>
      <c r="C5708" s="2">
        <v>34391</v>
      </c>
      <c r="D5708">
        <v>31</v>
      </c>
      <c r="E5708" t="s">
        <v>42</v>
      </c>
      <c r="F5708" t="s">
        <v>50</v>
      </c>
      <c r="G5708" s="2">
        <v>45366</v>
      </c>
      <c r="H5708" s="3">
        <f t="shared" si="89"/>
        <v>1.4493150684931506</v>
      </c>
      <c r="I5708">
        <v>78</v>
      </c>
      <c r="J5708" t="s">
        <v>57</v>
      </c>
      <c r="K5708" t="s">
        <v>56</v>
      </c>
      <c r="L5708" t="s">
        <v>44</v>
      </c>
      <c r="M5708">
        <v>8.4700000000000006</v>
      </c>
      <c r="T5708" t="s">
        <v>52</v>
      </c>
      <c r="U5708">
        <v>1</v>
      </c>
      <c r="V5708">
        <v>6</v>
      </c>
    </row>
    <row r="5709" spans="1:22" x14ac:dyDescent="0.3">
      <c r="A5709">
        <v>5708</v>
      </c>
      <c r="B5709">
        <v>56260</v>
      </c>
      <c r="C5709" s="2">
        <v>37965</v>
      </c>
      <c r="D5709">
        <v>22</v>
      </c>
      <c r="E5709" t="s">
        <v>42</v>
      </c>
      <c r="F5709" t="s">
        <v>50</v>
      </c>
      <c r="G5709" s="2">
        <v>45493</v>
      </c>
      <c r="H5709" s="3">
        <f t="shared" si="89"/>
        <v>1.0191780821917809</v>
      </c>
      <c r="I5709">
        <v>78</v>
      </c>
      <c r="J5709" t="s">
        <v>57</v>
      </c>
      <c r="K5709" t="s">
        <v>56</v>
      </c>
      <c r="L5709" t="s">
        <v>44</v>
      </c>
      <c r="M5709">
        <v>8.4700000000000006</v>
      </c>
      <c r="T5709" t="s">
        <v>47</v>
      </c>
      <c r="U5709">
        <v>2</v>
      </c>
      <c r="V5709">
        <v>6</v>
      </c>
    </row>
    <row r="5710" spans="1:22" x14ac:dyDescent="0.3">
      <c r="A5710">
        <v>5709</v>
      </c>
      <c r="B5710">
        <v>56261</v>
      </c>
      <c r="C5710" s="2">
        <v>34385</v>
      </c>
      <c r="D5710">
        <v>31</v>
      </c>
      <c r="E5710" t="s">
        <v>42</v>
      </c>
      <c r="F5710" t="s">
        <v>50</v>
      </c>
      <c r="G5710" s="2">
        <v>45650</v>
      </c>
      <c r="H5710" s="3">
        <f t="shared" si="89"/>
        <v>1.1698630136986301</v>
      </c>
      <c r="I5710">
        <v>79</v>
      </c>
      <c r="J5710" t="s">
        <v>57</v>
      </c>
      <c r="K5710" t="s">
        <v>68</v>
      </c>
      <c r="L5710" t="s">
        <v>44</v>
      </c>
      <c r="M5710">
        <v>17</v>
      </c>
      <c r="T5710" t="s">
        <v>47</v>
      </c>
      <c r="U5710">
        <v>2</v>
      </c>
      <c r="V5710">
        <v>6</v>
      </c>
    </row>
    <row r="5711" spans="1:22" x14ac:dyDescent="0.3">
      <c r="A5711">
        <v>5710</v>
      </c>
      <c r="B5711">
        <v>56263</v>
      </c>
      <c r="C5711" s="2">
        <v>39220</v>
      </c>
      <c r="D5711">
        <v>18</v>
      </c>
      <c r="E5711" t="s">
        <v>42</v>
      </c>
      <c r="F5711" t="s">
        <v>50</v>
      </c>
      <c r="G5711" s="2">
        <v>45595</v>
      </c>
      <c r="H5711" s="3">
        <f t="shared" si="89"/>
        <v>1.5232876712328767</v>
      </c>
      <c r="I5711">
        <v>79</v>
      </c>
      <c r="J5711" t="s">
        <v>57</v>
      </c>
      <c r="K5711" t="s">
        <v>56</v>
      </c>
      <c r="L5711" t="s">
        <v>44</v>
      </c>
      <c r="M5711">
        <v>8.4700000000000006</v>
      </c>
      <c r="T5711" t="s">
        <v>47</v>
      </c>
      <c r="U5711">
        <v>2</v>
      </c>
      <c r="V5711">
        <v>7</v>
      </c>
    </row>
    <row r="5712" spans="1:22" x14ac:dyDescent="0.3">
      <c r="A5712">
        <v>5711</v>
      </c>
      <c r="B5712">
        <v>56264</v>
      </c>
      <c r="C5712" s="2">
        <v>38272</v>
      </c>
      <c r="D5712">
        <v>21</v>
      </c>
      <c r="E5712" t="s">
        <v>42</v>
      </c>
      <c r="F5712" t="s">
        <v>50</v>
      </c>
      <c r="G5712" s="2">
        <v>45466</v>
      </c>
      <c r="H5712" s="3">
        <f t="shared" si="89"/>
        <v>1.2328767123287672</v>
      </c>
      <c r="I5712">
        <v>79</v>
      </c>
      <c r="J5712" t="s">
        <v>57</v>
      </c>
      <c r="K5712" t="s">
        <v>56</v>
      </c>
      <c r="L5712" t="s">
        <v>44</v>
      </c>
      <c r="M5712">
        <v>8.4700000000000006</v>
      </c>
      <c r="T5712" t="s">
        <v>52</v>
      </c>
      <c r="U5712">
        <v>2</v>
      </c>
      <c r="V5712">
        <v>6</v>
      </c>
    </row>
    <row r="5713" spans="1:22" x14ac:dyDescent="0.3">
      <c r="A5713">
        <v>5712</v>
      </c>
      <c r="B5713">
        <v>56265</v>
      </c>
      <c r="C5713" s="2">
        <v>39056</v>
      </c>
      <c r="D5713">
        <v>19</v>
      </c>
      <c r="E5713" t="s">
        <v>42</v>
      </c>
      <c r="F5713" t="s">
        <v>50</v>
      </c>
      <c r="G5713" s="2">
        <v>45572</v>
      </c>
      <c r="H5713" s="3">
        <f t="shared" si="89"/>
        <v>1.6739726027397259</v>
      </c>
      <c r="I5713">
        <v>79</v>
      </c>
      <c r="J5713" t="s">
        <v>57</v>
      </c>
      <c r="K5713" t="s">
        <v>56</v>
      </c>
      <c r="L5713" t="s">
        <v>44</v>
      </c>
      <c r="M5713">
        <v>8.4700000000000006</v>
      </c>
      <c r="T5713" t="s">
        <v>49</v>
      </c>
      <c r="U5713">
        <v>1</v>
      </c>
      <c r="V5713">
        <v>5</v>
      </c>
    </row>
    <row r="5714" spans="1:22" x14ac:dyDescent="0.3">
      <c r="A5714">
        <v>5713</v>
      </c>
      <c r="B5714">
        <v>56266</v>
      </c>
      <c r="C5714" s="2">
        <v>34060</v>
      </c>
      <c r="D5714">
        <v>33</v>
      </c>
      <c r="E5714" t="s">
        <v>42</v>
      </c>
      <c r="F5714" t="s">
        <v>50</v>
      </c>
      <c r="G5714" s="2">
        <v>45411</v>
      </c>
      <c r="H5714" s="3">
        <f t="shared" si="89"/>
        <v>1.515068493150685</v>
      </c>
      <c r="I5714">
        <v>79</v>
      </c>
      <c r="J5714" t="s">
        <v>57</v>
      </c>
      <c r="K5714" t="s">
        <v>56</v>
      </c>
      <c r="L5714" t="s">
        <v>44</v>
      </c>
      <c r="M5714">
        <v>8.4700000000000006</v>
      </c>
      <c r="T5714" t="s">
        <v>45</v>
      </c>
      <c r="U5714">
        <v>1</v>
      </c>
      <c r="V5714">
        <v>5</v>
      </c>
    </row>
    <row r="5715" spans="1:22" x14ac:dyDescent="0.3">
      <c r="A5715">
        <v>5714</v>
      </c>
      <c r="B5715">
        <v>56267</v>
      </c>
      <c r="C5715" s="2">
        <v>37507</v>
      </c>
      <c r="D5715">
        <v>23</v>
      </c>
      <c r="E5715" t="s">
        <v>42</v>
      </c>
      <c r="F5715" t="s">
        <v>50</v>
      </c>
      <c r="G5715" s="2">
        <v>45469</v>
      </c>
      <c r="H5715" s="3">
        <f t="shared" si="89"/>
        <v>1.2602739726027397</v>
      </c>
      <c r="I5715">
        <v>79</v>
      </c>
      <c r="J5715" t="s">
        <v>57</v>
      </c>
      <c r="K5715" t="s">
        <v>56</v>
      </c>
      <c r="L5715" t="s">
        <v>44</v>
      </c>
      <c r="M5715">
        <v>8.4700000000000006</v>
      </c>
      <c r="T5715" t="s">
        <v>52</v>
      </c>
      <c r="U5715">
        <v>1</v>
      </c>
      <c r="V5715">
        <v>5</v>
      </c>
    </row>
    <row r="5716" spans="1:22" x14ac:dyDescent="0.3">
      <c r="A5716">
        <v>5715</v>
      </c>
      <c r="B5716">
        <v>56268</v>
      </c>
      <c r="C5716" s="2">
        <v>38710</v>
      </c>
      <c r="D5716">
        <v>20</v>
      </c>
      <c r="E5716" t="s">
        <v>42</v>
      </c>
      <c r="F5716" t="s">
        <v>37</v>
      </c>
      <c r="G5716" s="2">
        <v>45562</v>
      </c>
      <c r="H5716" s="3">
        <f t="shared" si="89"/>
        <v>1.8</v>
      </c>
      <c r="I5716">
        <v>79</v>
      </c>
      <c r="J5716" t="s">
        <v>57</v>
      </c>
      <c r="K5716" t="s">
        <v>56</v>
      </c>
      <c r="L5716" t="s">
        <v>44</v>
      </c>
      <c r="M5716">
        <v>8.4700000000000006</v>
      </c>
      <c r="T5716" t="s">
        <v>47</v>
      </c>
      <c r="U5716">
        <v>2</v>
      </c>
      <c r="V5716">
        <v>4</v>
      </c>
    </row>
    <row r="5717" spans="1:22" x14ac:dyDescent="0.3">
      <c r="A5717">
        <v>5716</v>
      </c>
      <c r="B5717">
        <v>56269</v>
      </c>
      <c r="C5717" s="2">
        <v>37976</v>
      </c>
      <c r="D5717">
        <v>22</v>
      </c>
      <c r="E5717" t="s">
        <v>42</v>
      </c>
      <c r="F5717" t="s">
        <v>37</v>
      </c>
      <c r="G5717" s="2">
        <v>45365</v>
      </c>
      <c r="H5717" s="3">
        <f t="shared" si="89"/>
        <v>1.4438356164383561</v>
      </c>
      <c r="I5717">
        <v>79</v>
      </c>
      <c r="J5717" t="s">
        <v>57</v>
      </c>
      <c r="K5717" t="s">
        <v>56</v>
      </c>
      <c r="L5717" t="s">
        <v>44</v>
      </c>
      <c r="M5717">
        <v>8.4700000000000006</v>
      </c>
      <c r="T5717" t="s">
        <v>47</v>
      </c>
      <c r="U5717">
        <v>2</v>
      </c>
      <c r="V5717">
        <v>7</v>
      </c>
    </row>
    <row r="5718" spans="1:22" x14ac:dyDescent="0.3">
      <c r="A5718">
        <v>5717</v>
      </c>
      <c r="B5718">
        <v>56270</v>
      </c>
      <c r="C5718" s="2">
        <v>33846</v>
      </c>
      <c r="D5718">
        <v>33</v>
      </c>
      <c r="E5718" t="s">
        <v>42</v>
      </c>
      <c r="F5718" t="s">
        <v>37</v>
      </c>
      <c r="G5718" s="2">
        <v>45495</v>
      </c>
      <c r="H5718" s="3">
        <f t="shared" si="89"/>
        <v>1.526027397260274</v>
      </c>
      <c r="I5718">
        <v>80</v>
      </c>
      <c r="J5718" t="s">
        <v>57</v>
      </c>
      <c r="K5718" t="s">
        <v>68</v>
      </c>
      <c r="L5718" t="s">
        <v>44</v>
      </c>
      <c r="M5718">
        <v>17</v>
      </c>
      <c r="T5718" t="s">
        <v>45</v>
      </c>
      <c r="U5718">
        <v>4</v>
      </c>
      <c r="V5718">
        <v>6</v>
      </c>
    </row>
    <row r="5719" spans="1:22" x14ac:dyDescent="0.3">
      <c r="A5719">
        <v>5718</v>
      </c>
      <c r="B5719">
        <v>56271</v>
      </c>
      <c r="C5719" s="2">
        <v>36842</v>
      </c>
      <c r="D5719">
        <v>25</v>
      </c>
      <c r="E5719" t="s">
        <v>42</v>
      </c>
      <c r="F5719" t="s">
        <v>37</v>
      </c>
      <c r="G5719" s="2">
        <v>45465</v>
      </c>
      <c r="H5719" s="3">
        <f t="shared" si="89"/>
        <v>1.2246575342465753</v>
      </c>
      <c r="I5719">
        <v>80</v>
      </c>
      <c r="J5719" t="s">
        <v>57</v>
      </c>
      <c r="K5719" t="s">
        <v>68</v>
      </c>
      <c r="L5719" t="s">
        <v>44</v>
      </c>
      <c r="M5719">
        <v>17</v>
      </c>
      <c r="T5719" t="s">
        <v>49</v>
      </c>
      <c r="U5719">
        <v>1</v>
      </c>
      <c r="V5719">
        <v>6</v>
      </c>
    </row>
    <row r="5720" spans="1:22" x14ac:dyDescent="0.3">
      <c r="A5720">
        <v>5719</v>
      </c>
      <c r="B5720">
        <v>56272</v>
      </c>
      <c r="C5720" s="2">
        <v>37766</v>
      </c>
      <c r="D5720">
        <v>22</v>
      </c>
      <c r="E5720" t="s">
        <v>42</v>
      </c>
      <c r="F5720" t="s">
        <v>50</v>
      </c>
      <c r="G5720" s="2">
        <v>45575</v>
      </c>
      <c r="H5720" s="3">
        <f t="shared" si="89"/>
        <v>1.3287671232876712</v>
      </c>
      <c r="I5720">
        <v>80</v>
      </c>
      <c r="J5720" t="s">
        <v>57</v>
      </c>
      <c r="K5720" t="s">
        <v>65</v>
      </c>
      <c r="L5720" t="s">
        <v>44</v>
      </c>
      <c r="M5720">
        <v>10.64</v>
      </c>
      <c r="T5720" t="s">
        <v>52</v>
      </c>
      <c r="U5720">
        <v>0</v>
      </c>
      <c r="V5720">
        <v>6</v>
      </c>
    </row>
    <row r="5721" spans="1:22" x14ac:dyDescent="0.3">
      <c r="A5721">
        <v>5720</v>
      </c>
      <c r="B5721">
        <v>56273</v>
      </c>
      <c r="C5721" s="2">
        <v>38457</v>
      </c>
      <c r="D5721">
        <v>20</v>
      </c>
      <c r="E5721" t="s">
        <v>42</v>
      </c>
      <c r="F5721" t="s">
        <v>50</v>
      </c>
      <c r="G5721" s="2">
        <v>45537</v>
      </c>
      <c r="H5721" s="3">
        <f t="shared" si="89"/>
        <v>1.167123287671233</v>
      </c>
      <c r="I5721">
        <v>80</v>
      </c>
      <c r="J5721" t="s">
        <v>57</v>
      </c>
      <c r="K5721" t="s">
        <v>56</v>
      </c>
      <c r="L5721" t="s">
        <v>44</v>
      </c>
      <c r="M5721">
        <v>8.4700000000000006</v>
      </c>
      <c r="T5721" t="s">
        <v>49</v>
      </c>
      <c r="U5721">
        <v>1</v>
      </c>
      <c r="V5721">
        <v>6</v>
      </c>
    </row>
    <row r="5722" spans="1:22" x14ac:dyDescent="0.3">
      <c r="A5722">
        <v>5721</v>
      </c>
      <c r="B5722">
        <v>56274</v>
      </c>
      <c r="C5722" s="2">
        <v>38057</v>
      </c>
      <c r="D5722">
        <v>21</v>
      </c>
      <c r="E5722" t="s">
        <v>42</v>
      </c>
      <c r="F5722" t="s">
        <v>50</v>
      </c>
      <c r="G5722" s="2">
        <v>45596</v>
      </c>
      <c r="H5722" s="3">
        <f t="shared" si="89"/>
        <v>1.6136986301369862</v>
      </c>
      <c r="I5722">
        <v>80</v>
      </c>
      <c r="J5722" t="s">
        <v>57</v>
      </c>
      <c r="K5722" t="s">
        <v>56</v>
      </c>
      <c r="L5722" t="s">
        <v>44</v>
      </c>
      <c r="M5722">
        <v>8.4700000000000006</v>
      </c>
      <c r="T5722" t="s">
        <v>49</v>
      </c>
      <c r="U5722">
        <v>4</v>
      </c>
      <c r="V5722">
        <v>5</v>
      </c>
    </row>
    <row r="5723" spans="1:22" x14ac:dyDescent="0.3">
      <c r="A5723">
        <v>5722</v>
      </c>
      <c r="B5723">
        <v>56275</v>
      </c>
      <c r="C5723" s="2">
        <v>37069</v>
      </c>
      <c r="D5723">
        <v>24</v>
      </c>
      <c r="E5723" t="s">
        <v>42</v>
      </c>
      <c r="F5723" t="s">
        <v>50</v>
      </c>
      <c r="G5723" s="2">
        <v>45433</v>
      </c>
      <c r="H5723" s="3">
        <f t="shared" si="89"/>
        <v>1.8520547945205479</v>
      </c>
      <c r="I5723">
        <v>80</v>
      </c>
      <c r="J5723" t="s">
        <v>57</v>
      </c>
      <c r="K5723" t="s">
        <v>56</v>
      </c>
      <c r="L5723" t="s">
        <v>44</v>
      </c>
      <c r="M5723">
        <v>8.4700000000000006</v>
      </c>
      <c r="T5723" t="s">
        <v>52</v>
      </c>
      <c r="U5723">
        <v>1</v>
      </c>
      <c r="V5723">
        <v>6</v>
      </c>
    </row>
    <row r="5724" spans="1:22" x14ac:dyDescent="0.3">
      <c r="A5724">
        <v>5723</v>
      </c>
      <c r="B5724">
        <v>56276</v>
      </c>
      <c r="C5724" s="2">
        <v>38507</v>
      </c>
      <c r="D5724">
        <v>20</v>
      </c>
      <c r="E5724" t="s">
        <v>36</v>
      </c>
      <c r="F5724" t="s">
        <v>37</v>
      </c>
      <c r="G5724" s="2">
        <v>45346</v>
      </c>
      <c r="H5724" s="3">
        <f t="shared" si="89"/>
        <v>1.0465753424657533</v>
      </c>
      <c r="I5724">
        <v>80</v>
      </c>
      <c r="J5724" t="s">
        <v>57</v>
      </c>
      <c r="K5724" t="s">
        <v>56</v>
      </c>
      <c r="L5724" t="s">
        <v>44</v>
      </c>
      <c r="M5724">
        <v>8.4700000000000006</v>
      </c>
      <c r="T5724" t="s">
        <v>52</v>
      </c>
      <c r="U5724">
        <v>4</v>
      </c>
      <c r="V5724">
        <v>5</v>
      </c>
    </row>
    <row r="5725" spans="1:22" x14ac:dyDescent="0.3">
      <c r="A5725">
        <v>5724</v>
      </c>
      <c r="B5725">
        <v>56277</v>
      </c>
      <c r="C5725" s="2">
        <v>37531</v>
      </c>
      <c r="D5725">
        <v>23</v>
      </c>
      <c r="E5725" t="s">
        <v>42</v>
      </c>
      <c r="F5725" t="s">
        <v>50</v>
      </c>
      <c r="G5725" s="2">
        <v>45640</v>
      </c>
      <c r="H5725" s="3">
        <f t="shared" si="89"/>
        <v>1.5506849315068494</v>
      </c>
      <c r="I5725">
        <v>80</v>
      </c>
      <c r="J5725" t="s">
        <v>57</v>
      </c>
      <c r="K5725" t="s">
        <v>56</v>
      </c>
      <c r="L5725" t="s">
        <v>44</v>
      </c>
      <c r="M5725">
        <v>8.4700000000000006</v>
      </c>
      <c r="T5725" t="s">
        <v>45</v>
      </c>
      <c r="U5725">
        <v>2</v>
      </c>
      <c r="V5725">
        <v>7</v>
      </c>
    </row>
    <row r="5726" spans="1:22" x14ac:dyDescent="0.3">
      <c r="A5726">
        <v>5725</v>
      </c>
      <c r="B5726">
        <v>56278</v>
      </c>
      <c r="C5726" s="2">
        <v>37548</v>
      </c>
      <c r="D5726">
        <v>23</v>
      </c>
      <c r="E5726" t="s">
        <v>42</v>
      </c>
      <c r="F5726" t="s">
        <v>50</v>
      </c>
      <c r="G5726" s="2">
        <v>45456</v>
      </c>
      <c r="H5726" s="3">
        <f t="shared" si="89"/>
        <v>1.1369863013698631</v>
      </c>
      <c r="I5726">
        <v>80</v>
      </c>
      <c r="J5726" t="s">
        <v>57</v>
      </c>
      <c r="K5726" t="s">
        <v>56</v>
      </c>
      <c r="L5726" t="s">
        <v>44</v>
      </c>
      <c r="M5726">
        <v>8.4700000000000006</v>
      </c>
      <c r="T5726" t="s">
        <v>52</v>
      </c>
      <c r="U5726">
        <v>3</v>
      </c>
      <c r="V5726">
        <v>6</v>
      </c>
    </row>
    <row r="5727" spans="1:22" x14ac:dyDescent="0.3">
      <c r="A5727">
        <v>5726</v>
      </c>
      <c r="B5727">
        <v>56279</v>
      </c>
      <c r="C5727" s="2">
        <v>38596</v>
      </c>
      <c r="D5727">
        <v>21</v>
      </c>
      <c r="E5727" t="s">
        <v>42</v>
      </c>
      <c r="F5727" t="s">
        <v>50</v>
      </c>
      <c r="G5727" s="2">
        <v>45607</v>
      </c>
      <c r="H5727" s="3">
        <f t="shared" si="89"/>
        <v>1.4465753424657535</v>
      </c>
      <c r="I5727">
        <v>80</v>
      </c>
      <c r="J5727" t="s">
        <v>57</v>
      </c>
      <c r="K5727" t="s">
        <v>56</v>
      </c>
      <c r="L5727" t="s">
        <v>44</v>
      </c>
      <c r="M5727">
        <v>8.4700000000000006</v>
      </c>
      <c r="T5727" t="s">
        <v>49</v>
      </c>
      <c r="U5727">
        <v>2</v>
      </c>
      <c r="V5727">
        <v>7</v>
      </c>
    </row>
    <row r="5728" spans="1:22" x14ac:dyDescent="0.3">
      <c r="A5728">
        <v>5727</v>
      </c>
      <c r="B5728">
        <v>56280</v>
      </c>
      <c r="C5728" s="2">
        <v>38388</v>
      </c>
      <c r="D5728">
        <v>20</v>
      </c>
      <c r="E5728" t="s">
        <v>42</v>
      </c>
      <c r="F5728" t="s">
        <v>50</v>
      </c>
      <c r="G5728" s="2">
        <v>45494</v>
      </c>
      <c r="H5728" s="3">
        <f t="shared" si="89"/>
        <v>1.8082191780821917</v>
      </c>
      <c r="I5728">
        <v>80</v>
      </c>
      <c r="J5728" t="s">
        <v>57</v>
      </c>
      <c r="K5728" t="s">
        <v>56</v>
      </c>
      <c r="L5728" t="s">
        <v>44</v>
      </c>
      <c r="M5728">
        <v>8.4700000000000006</v>
      </c>
      <c r="T5728" t="s">
        <v>47</v>
      </c>
      <c r="U5728">
        <v>1</v>
      </c>
      <c r="V5728">
        <v>7</v>
      </c>
    </row>
    <row r="5729" spans="1:22" x14ac:dyDescent="0.3">
      <c r="A5729">
        <v>5728</v>
      </c>
      <c r="B5729">
        <v>56281</v>
      </c>
      <c r="C5729" s="2">
        <v>37991</v>
      </c>
      <c r="D5729">
        <v>21</v>
      </c>
      <c r="E5729" t="s">
        <v>42</v>
      </c>
      <c r="F5729" t="s">
        <v>37</v>
      </c>
      <c r="G5729" s="2">
        <v>45362</v>
      </c>
      <c r="H5729" s="3">
        <f t="shared" si="89"/>
        <v>1.5287671232876712</v>
      </c>
      <c r="I5729">
        <v>80</v>
      </c>
      <c r="J5729" t="s">
        <v>57</v>
      </c>
      <c r="K5729" t="s">
        <v>56</v>
      </c>
      <c r="L5729" t="s">
        <v>44</v>
      </c>
      <c r="M5729">
        <v>8.4700000000000006</v>
      </c>
      <c r="T5729" t="s">
        <v>52</v>
      </c>
      <c r="U5729">
        <v>2</v>
      </c>
      <c r="V5729">
        <v>6</v>
      </c>
    </row>
    <row r="5730" spans="1:22" x14ac:dyDescent="0.3">
      <c r="A5730">
        <v>5729</v>
      </c>
      <c r="B5730">
        <v>56282</v>
      </c>
      <c r="C5730" s="2">
        <v>38323</v>
      </c>
      <c r="D5730">
        <v>21</v>
      </c>
      <c r="E5730" t="s">
        <v>42</v>
      </c>
      <c r="F5730" t="s">
        <v>50</v>
      </c>
      <c r="G5730" s="2">
        <v>45464</v>
      </c>
      <c r="H5730" s="3">
        <f t="shared" si="89"/>
        <v>1.2657534246575342</v>
      </c>
      <c r="I5730">
        <v>80</v>
      </c>
      <c r="J5730" t="s">
        <v>57</v>
      </c>
      <c r="K5730" t="s">
        <v>56</v>
      </c>
      <c r="L5730" t="s">
        <v>44</v>
      </c>
      <c r="M5730">
        <v>8.4700000000000006</v>
      </c>
      <c r="T5730" t="s">
        <v>49</v>
      </c>
      <c r="U5730">
        <v>2</v>
      </c>
      <c r="V5730">
        <v>7</v>
      </c>
    </row>
    <row r="5731" spans="1:22" x14ac:dyDescent="0.3">
      <c r="A5731">
        <v>5730</v>
      </c>
      <c r="B5731">
        <v>56283</v>
      </c>
      <c r="C5731" s="2">
        <v>38188</v>
      </c>
      <c r="D5731">
        <v>21</v>
      </c>
      <c r="E5731" t="s">
        <v>42</v>
      </c>
      <c r="F5731" t="s">
        <v>50</v>
      </c>
      <c r="G5731" s="2">
        <v>45560</v>
      </c>
      <c r="H5731" s="3">
        <f t="shared" si="89"/>
        <v>1.6630136986301369</v>
      </c>
      <c r="I5731">
        <v>80</v>
      </c>
      <c r="J5731" t="s">
        <v>57</v>
      </c>
      <c r="K5731" t="s">
        <v>56</v>
      </c>
      <c r="L5731" t="s">
        <v>44</v>
      </c>
      <c r="M5731">
        <v>8.4700000000000006</v>
      </c>
      <c r="T5731" t="s">
        <v>45</v>
      </c>
      <c r="U5731">
        <v>1</v>
      </c>
      <c r="V5731">
        <v>5</v>
      </c>
    </row>
    <row r="5732" spans="1:22" x14ac:dyDescent="0.3">
      <c r="A5732">
        <v>5731</v>
      </c>
      <c r="B5732">
        <v>56284</v>
      </c>
      <c r="C5732" s="2">
        <v>39099</v>
      </c>
      <c r="D5732">
        <v>18</v>
      </c>
      <c r="E5732" t="s">
        <v>42</v>
      </c>
      <c r="F5732" t="s">
        <v>50</v>
      </c>
      <c r="G5732" s="2">
        <v>45415</v>
      </c>
      <c r="H5732" s="3">
        <f t="shared" si="89"/>
        <v>1.1232876712328768</v>
      </c>
      <c r="I5732">
        <v>80</v>
      </c>
      <c r="J5732" t="s">
        <v>57</v>
      </c>
      <c r="K5732" t="s">
        <v>56</v>
      </c>
      <c r="L5732" t="s">
        <v>44</v>
      </c>
      <c r="M5732">
        <v>8.4700000000000006</v>
      </c>
      <c r="T5732" t="s">
        <v>45</v>
      </c>
      <c r="U5732">
        <v>2</v>
      </c>
      <c r="V5732">
        <v>7</v>
      </c>
    </row>
    <row r="5733" spans="1:22" x14ac:dyDescent="0.3">
      <c r="A5733">
        <v>5732</v>
      </c>
      <c r="B5733">
        <v>56285</v>
      </c>
      <c r="C5733" s="2">
        <v>36651</v>
      </c>
      <c r="D5733">
        <v>25</v>
      </c>
      <c r="E5733" t="s">
        <v>42</v>
      </c>
      <c r="F5733" t="s">
        <v>50</v>
      </c>
      <c r="G5733" s="2">
        <v>45612</v>
      </c>
      <c r="H5733" s="3">
        <f t="shared" si="89"/>
        <v>1.473972602739726</v>
      </c>
      <c r="I5733">
        <v>81</v>
      </c>
      <c r="J5733" t="s">
        <v>57</v>
      </c>
      <c r="K5733" t="s">
        <v>68</v>
      </c>
      <c r="L5733" t="s">
        <v>44</v>
      </c>
      <c r="M5733">
        <v>17</v>
      </c>
      <c r="T5733" t="s">
        <v>52</v>
      </c>
      <c r="U5733">
        <v>2</v>
      </c>
      <c r="V5733">
        <v>7</v>
      </c>
    </row>
    <row r="5734" spans="1:22" x14ac:dyDescent="0.3">
      <c r="A5734">
        <v>5733</v>
      </c>
      <c r="B5734">
        <v>56286</v>
      </c>
      <c r="C5734" s="2">
        <v>37803</v>
      </c>
      <c r="D5734">
        <v>23</v>
      </c>
      <c r="E5734" t="s">
        <v>42</v>
      </c>
      <c r="F5734" t="s">
        <v>50</v>
      </c>
      <c r="G5734" s="2">
        <v>45484</v>
      </c>
      <c r="H5734" s="3">
        <f t="shared" si="89"/>
        <v>1.6301369863013699</v>
      </c>
      <c r="I5734">
        <v>81</v>
      </c>
      <c r="J5734" t="s">
        <v>57</v>
      </c>
      <c r="K5734" t="s">
        <v>68</v>
      </c>
      <c r="L5734" t="s">
        <v>44</v>
      </c>
      <c r="M5734">
        <v>17</v>
      </c>
      <c r="T5734" t="s">
        <v>47</v>
      </c>
      <c r="U5734">
        <v>4</v>
      </c>
      <c r="V5734">
        <v>6</v>
      </c>
    </row>
    <row r="5735" spans="1:22" x14ac:dyDescent="0.3">
      <c r="A5735">
        <v>5734</v>
      </c>
      <c r="B5735">
        <v>56287</v>
      </c>
      <c r="C5735" s="2">
        <v>38476</v>
      </c>
      <c r="D5735">
        <v>20</v>
      </c>
      <c r="E5735" t="s">
        <v>42</v>
      </c>
      <c r="F5735" t="s">
        <v>50</v>
      </c>
      <c r="G5735" s="2">
        <v>45427</v>
      </c>
      <c r="H5735" s="3">
        <f t="shared" si="89"/>
        <v>1.5780821917808219</v>
      </c>
      <c r="I5735">
        <v>81</v>
      </c>
      <c r="J5735" t="s">
        <v>57</v>
      </c>
      <c r="K5735" t="s">
        <v>65</v>
      </c>
      <c r="L5735" t="s">
        <v>44</v>
      </c>
      <c r="M5735">
        <v>10.64</v>
      </c>
      <c r="T5735" t="s">
        <v>49</v>
      </c>
      <c r="U5735">
        <v>0</v>
      </c>
      <c r="V5735">
        <v>6</v>
      </c>
    </row>
    <row r="5736" spans="1:22" x14ac:dyDescent="0.3">
      <c r="A5736">
        <v>5735</v>
      </c>
      <c r="B5736">
        <v>56288</v>
      </c>
      <c r="C5736" s="2">
        <v>38053</v>
      </c>
      <c r="D5736">
        <v>21</v>
      </c>
      <c r="E5736" t="s">
        <v>42</v>
      </c>
      <c r="F5736" t="s">
        <v>50</v>
      </c>
      <c r="G5736" s="2">
        <v>45446</v>
      </c>
      <c r="H5736" s="3">
        <f t="shared" si="89"/>
        <v>1.1342465753424658</v>
      </c>
      <c r="I5736">
        <v>81</v>
      </c>
      <c r="J5736" t="s">
        <v>57</v>
      </c>
      <c r="K5736" t="s">
        <v>48</v>
      </c>
      <c r="L5736" t="s">
        <v>44</v>
      </c>
      <c r="M5736">
        <v>8.4700000000000006</v>
      </c>
      <c r="T5736" t="s">
        <v>47</v>
      </c>
      <c r="U5736">
        <v>3</v>
      </c>
      <c r="V5736">
        <v>7</v>
      </c>
    </row>
    <row r="5737" spans="1:22" x14ac:dyDescent="0.3">
      <c r="A5737">
        <v>5736</v>
      </c>
      <c r="B5737">
        <v>56289</v>
      </c>
      <c r="C5737" s="2">
        <v>37097</v>
      </c>
      <c r="D5737">
        <v>24</v>
      </c>
      <c r="E5737" t="s">
        <v>36</v>
      </c>
      <c r="F5737" t="s">
        <v>50</v>
      </c>
      <c r="G5737" s="2">
        <v>45608</v>
      </c>
      <c r="H5737" s="3">
        <f t="shared" si="89"/>
        <v>1.2575342465753425</v>
      </c>
      <c r="I5737">
        <v>81</v>
      </c>
      <c r="J5737" t="s">
        <v>57</v>
      </c>
      <c r="K5737" t="s">
        <v>56</v>
      </c>
      <c r="L5737" t="s">
        <v>44</v>
      </c>
      <c r="M5737">
        <v>8.4700000000000006</v>
      </c>
      <c r="T5737" t="s">
        <v>52</v>
      </c>
      <c r="U5737">
        <v>2</v>
      </c>
      <c r="V5737">
        <v>4</v>
      </c>
    </row>
    <row r="5738" spans="1:22" x14ac:dyDescent="0.3">
      <c r="A5738">
        <v>5737</v>
      </c>
      <c r="B5738">
        <v>56290</v>
      </c>
      <c r="C5738" s="2">
        <v>38092</v>
      </c>
      <c r="D5738">
        <v>21</v>
      </c>
      <c r="E5738" t="s">
        <v>42</v>
      </c>
      <c r="F5738" t="s">
        <v>50</v>
      </c>
      <c r="G5738" s="2">
        <v>45563</v>
      </c>
      <c r="H5738" s="3">
        <f t="shared" si="89"/>
        <v>1.7917808219178082</v>
      </c>
      <c r="I5738">
        <v>81</v>
      </c>
      <c r="J5738" t="s">
        <v>57</v>
      </c>
      <c r="K5738" t="s">
        <v>56</v>
      </c>
      <c r="L5738" t="s">
        <v>44</v>
      </c>
      <c r="M5738">
        <v>8.4700000000000006</v>
      </c>
      <c r="T5738" t="s">
        <v>47</v>
      </c>
      <c r="U5738">
        <v>3</v>
      </c>
      <c r="V5738">
        <v>7</v>
      </c>
    </row>
    <row r="5739" spans="1:22" x14ac:dyDescent="0.3">
      <c r="A5739">
        <v>5738</v>
      </c>
      <c r="B5739">
        <v>56291</v>
      </c>
      <c r="C5739" s="2">
        <v>38714</v>
      </c>
      <c r="D5739">
        <v>20</v>
      </c>
      <c r="E5739" t="s">
        <v>42</v>
      </c>
      <c r="F5739" t="s">
        <v>50</v>
      </c>
      <c r="G5739" s="2">
        <v>45368</v>
      </c>
      <c r="H5739" s="3">
        <f t="shared" si="89"/>
        <v>1.1863013698630136</v>
      </c>
      <c r="I5739">
        <v>81</v>
      </c>
      <c r="J5739" t="s">
        <v>57</v>
      </c>
      <c r="K5739" t="s">
        <v>56</v>
      </c>
      <c r="L5739" t="s">
        <v>44</v>
      </c>
      <c r="M5739">
        <v>8.4700000000000006</v>
      </c>
      <c r="T5739" t="s">
        <v>47</v>
      </c>
      <c r="U5739">
        <v>2</v>
      </c>
      <c r="V5739">
        <v>6</v>
      </c>
    </row>
    <row r="5740" spans="1:22" x14ac:dyDescent="0.3">
      <c r="A5740">
        <v>5739</v>
      </c>
      <c r="B5740">
        <v>56292</v>
      </c>
      <c r="C5740" s="2">
        <v>36423</v>
      </c>
      <c r="D5740">
        <v>26</v>
      </c>
      <c r="E5740" t="s">
        <v>42</v>
      </c>
      <c r="F5740" t="s">
        <v>37</v>
      </c>
      <c r="G5740" s="2">
        <v>45589</v>
      </c>
      <c r="H5740" s="3">
        <f t="shared" si="89"/>
        <v>1.4246575342465753</v>
      </c>
      <c r="I5740">
        <v>81</v>
      </c>
      <c r="J5740" t="s">
        <v>57</v>
      </c>
      <c r="K5740" t="s">
        <v>56</v>
      </c>
      <c r="L5740" t="s">
        <v>44</v>
      </c>
      <c r="M5740">
        <v>8.4700000000000006</v>
      </c>
      <c r="T5740" t="s">
        <v>45</v>
      </c>
      <c r="U5740">
        <v>1</v>
      </c>
      <c r="V5740">
        <v>5</v>
      </c>
    </row>
    <row r="5741" spans="1:22" x14ac:dyDescent="0.3">
      <c r="A5741">
        <v>5740</v>
      </c>
      <c r="B5741">
        <v>56293</v>
      </c>
      <c r="C5741" s="2">
        <v>36195</v>
      </c>
      <c r="D5741">
        <v>26</v>
      </c>
      <c r="E5741" t="s">
        <v>42</v>
      </c>
      <c r="F5741" t="s">
        <v>50</v>
      </c>
      <c r="G5741" s="2">
        <v>45502</v>
      </c>
      <c r="H5741" s="3">
        <f t="shared" si="89"/>
        <v>1.4575342465753425</v>
      </c>
      <c r="I5741">
        <v>81</v>
      </c>
      <c r="J5741" t="s">
        <v>57</v>
      </c>
      <c r="K5741" t="s">
        <v>56</v>
      </c>
      <c r="L5741" t="s">
        <v>44</v>
      </c>
      <c r="M5741">
        <v>8.4700000000000006</v>
      </c>
      <c r="T5741" t="s">
        <v>47</v>
      </c>
      <c r="U5741">
        <v>2</v>
      </c>
      <c r="V5741">
        <v>6</v>
      </c>
    </row>
    <row r="5742" spans="1:22" x14ac:dyDescent="0.3">
      <c r="A5742">
        <v>5741</v>
      </c>
      <c r="B5742">
        <v>56294</v>
      </c>
      <c r="C5742" s="2">
        <v>37723</v>
      </c>
      <c r="D5742">
        <v>22</v>
      </c>
      <c r="E5742" t="s">
        <v>42</v>
      </c>
      <c r="F5742" t="s">
        <v>37</v>
      </c>
      <c r="G5742" s="2">
        <v>45490</v>
      </c>
      <c r="H5742" s="3">
        <f t="shared" si="89"/>
        <v>1.7835616438356163</v>
      </c>
      <c r="I5742">
        <v>81</v>
      </c>
      <c r="J5742" t="s">
        <v>57</v>
      </c>
      <c r="K5742" t="s">
        <v>56</v>
      </c>
      <c r="L5742" t="s">
        <v>44</v>
      </c>
      <c r="M5742">
        <v>8.4700000000000006</v>
      </c>
      <c r="T5742" t="s">
        <v>47</v>
      </c>
      <c r="U5742">
        <v>2</v>
      </c>
      <c r="V5742">
        <v>5</v>
      </c>
    </row>
    <row r="5743" spans="1:22" x14ac:dyDescent="0.3">
      <c r="A5743">
        <v>5742</v>
      </c>
      <c r="B5743">
        <v>56295</v>
      </c>
      <c r="C5743" s="2">
        <v>37513</v>
      </c>
      <c r="D5743">
        <v>23</v>
      </c>
      <c r="E5743" t="s">
        <v>42</v>
      </c>
      <c r="F5743" t="s">
        <v>50</v>
      </c>
      <c r="G5743" s="2">
        <v>45371</v>
      </c>
      <c r="H5743" s="3">
        <f t="shared" si="89"/>
        <v>1.0136986301369864</v>
      </c>
      <c r="I5743">
        <v>81</v>
      </c>
      <c r="J5743" t="s">
        <v>57</v>
      </c>
      <c r="K5743" t="s">
        <v>56</v>
      </c>
      <c r="L5743" t="s">
        <v>44</v>
      </c>
      <c r="M5743">
        <v>8.4700000000000006</v>
      </c>
      <c r="T5743" t="s">
        <v>52</v>
      </c>
      <c r="U5743">
        <v>4</v>
      </c>
      <c r="V5743">
        <v>7</v>
      </c>
    </row>
    <row r="5744" spans="1:22" x14ac:dyDescent="0.3">
      <c r="A5744">
        <v>5743</v>
      </c>
      <c r="B5744">
        <v>56296</v>
      </c>
      <c r="C5744" s="2">
        <v>36868</v>
      </c>
      <c r="D5744">
        <v>25</v>
      </c>
      <c r="E5744" t="s">
        <v>42</v>
      </c>
      <c r="F5744" t="s">
        <v>50</v>
      </c>
      <c r="G5744" s="2">
        <v>45652</v>
      </c>
      <c r="H5744" s="3">
        <f t="shared" si="89"/>
        <v>1.189041095890411</v>
      </c>
      <c r="I5744">
        <v>82</v>
      </c>
      <c r="J5744" t="s">
        <v>57</v>
      </c>
      <c r="K5744" t="s">
        <v>68</v>
      </c>
      <c r="L5744" t="s">
        <v>44</v>
      </c>
      <c r="M5744">
        <v>17</v>
      </c>
      <c r="T5744" t="s">
        <v>47</v>
      </c>
      <c r="U5744">
        <v>4</v>
      </c>
      <c r="V5744">
        <v>7</v>
      </c>
    </row>
    <row r="5745" spans="1:22" x14ac:dyDescent="0.3">
      <c r="A5745">
        <v>5744</v>
      </c>
      <c r="B5745">
        <v>56297</v>
      </c>
      <c r="C5745" s="2">
        <v>36525</v>
      </c>
      <c r="D5745">
        <v>26</v>
      </c>
      <c r="E5745" t="s">
        <v>42</v>
      </c>
      <c r="F5745" t="s">
        <v>50</v>
      </c>
      <c r="G5745" s="2">
        <v>45588</v>
      </c>
      <c r="H5745" s="3">
        <f t="shared" si="89"/>
        <v>1.3917808219178083</v>
      </c>
      <c r="I5745">
        <v>82</v>
      </c>
      <c r="J5745" t="s">
        <v>57</v>
      </c>
      <c r="K5745" t="s">
        <v>68</v>
      </c>
      <c r="L5745" t="s">
        <v>44</v>
      </c>
      <c r="M5745">
        <v>17</v>
      </c>
      <c r="T5745" t="s">
        <v>52</v>
      </c>
      <c r="U5745">
        <v>2</v>
      </c>
      <c r="V5745">
        <v>7</v>
      </c>
    </row>
    <row r="5746" spans="1:22" x14ac:dyDescent="0.3">
      <c r="A5746">
        <v>5745</v>
      </c>
      <c r="B5746">
        <v>56299</v>
      </c>
      <c r="C5746" s="2">
        <v>37008</v>
      </c>
      <c r="D5746">
        <v>24</v>
      </c>
      <c r="E5746" t="s">
        <v>42</v>
      </c>
      <c r="F5746" t="s">
        <v>50</v>
      </c>
      <c r="G5746" s="2">
        <v>45514</v>
      </c>
      <c r="H5746" s="3">
        <f t="shared" si="89"/>
        <v>1.736986301369863</v>
      </c>
      <c r="I5746">
        <v>82</v>
      </c>
      <c r="J5746" t="s">
        <v>57</v>
      </c>
      <c r="K5746" t="s">
        <v>65</v>
      </c>
      <c r="L5746" t="s">
        <v>44</v>
      </c>
      <c r="M5746">
        <v>10.64</v>
      </c>
      <c r="T5746" t="s">
        <v>47</v>
      </c>
      <c r="U5746">
        <v>0</v>
      </c>
      <c r="V5746">
        <v>6</v>
      </c>
    </row>
    <row r="5747" spans="1:22" x14ac:dyDescent="0.3">
      <c r="A5747">
        <v>5746</v>
      </c>
      <c r="B5747">
        <v>56300</v>
      </c>
      <c r="C5747" s="2">
        <v>36736</v>
      </c>
      <c r="D5747">
        <v>25</v>
      </c>
      <c r="E5747" t="s">
        <v>36</v>
      </c>
      <c r="F5747" t="s">
        <v>37</v>
      </c>
      <c r="G5747" s="2">
        <v>45388</v>
      </c>
      <c r="H5747" s="3">
        <f t="shared" si="89"/>
        <v>1.8410958904109589</v>
      </c>
      <c r="I5747">
        <v>82</v>
      </c>
      <c r="J5747" t="s">
        <v>57</v>
      </c>
      <c r="K5747" t="s">
        <v>65</v>
      </c>
      <c r="L5747" t="s">
        <v>44</v>
      </c>
      <c r="M5747">
        <v>10.64</v>
      </c>
      <c r="T5747" t="s">
        <v>49</v>
      </c>
      <c r="U5747">
        <v>0</v>
      </c>
      <c r="V5747">
        <v>4</v>
      </c>
    </row>
    <row r="5748" spans="1:22" x14ac:dyDescent="0.3">
      <c r="A5748">
        <v>5747</v>
      </c>
      <c r="B5748">
        <v>56301</v>
      </c>
      <c r="C5748" s="2">
        <v>37604</v>
      </c>
      <c r="D5748">
        <v>23</v>
      </c>
      <c r="E5748" t="s">
        <v>42</v>
      </c>
      <c r="F5748" t="s">
        <v>37</v>
      </c>
      <c r="G5748" s="2">
        <v>45350</v>
      </c>
      <c r="H5748" s="3">
        <f t="shared" si="89"/>
        <v>1.210958904109589</v>
      </c>
      <c r="I5748">
        <v>82</v>
      </c>
      <c r="J5748" t="s">
        <v>57</v>
      </c>
      <c r="K5748" t="s">
        <v>56</v>
      </c>
      <c r="L5748" t="s">
        <v>44</v>
      </c>
      <c r="M5748">
        <v>8.4700000000000006</v>
      </c>
      <c r="T5748" t="s">
        <v>52</v>
      </c>
      <c r="U5748">
        <v>2</v>
      </c>
      <c r="V5748">
        <v>5</v>
      </c>
    </row>
    <row r="5749" spans="1:22" x14ac:dyDescent="0.3">
      <c r="A5749">
        <v>5748</v>
      </c>
      <c r="B5749">
        <v>56302</v>
      </c>
      <c r="C5749" s="2">
        <v>35638</v>
      </c>
      <c r="D5749">
        <v>28</v>
      </c>
      <c r="E5749" t="s">
        <v>42</v>
      </c>
      <c r="F5749" t="s">
        <v>50</v>
      </c>
      <c r="G5749" s="2">
        <v>45580</v>
      </c>
      <c r="H5749" s="3">
        <f t="shared" si="89"/>
        <v>1.7698630136986302</v>
      </c>
      <c r="I5749">
        <v>82</v>
      </c>
      <c r="J5749" t="s">
        <v>57</v>
      </c>
      <c r="K5749" t="s">
        <v>56</v>
      </c>
      <c r="L5749" t="s">
        <v>44</v>
      </c>
      <c r="M5749">
        <v>8.4700000000000006</v>
      </c>
      <c r="T5749" t="s">
        <v>47</v>
      </c>
      <c r="U5749">
        <v>1</v>
      </c>
      <c r="V5749">
        <v>7</v>
      </c>
    </row>
    <row r="5750" spans="1:22" x14ac:dyDescent="0.3">
      <c r="A5750">
        <v>5749</v>
      </c>
      <c r="B5750">
        <v>56303</v>
      </c>
      <c r="C5750" s="2">
        <v>38680</v>
      </c>
      <c r="D5750">
        <v>20</v>
      </c>
      <c r="E5750" t="s">
        <v>36</v>
      </c>
      <c r="F5750" t="s">
        <v>50</v>
      </c>
      <c r="G5750" s="2">
        <v>45376</v>
      </c>
      <c r="H5750" s="3">
        <f t="shared" si="89"/>
        <v>1.1643835616438356</v>
      </c>
      <c r="I5750">
        <v>82</v>
      </c>
      <c r="J5750" t="s">
        <v>57</v>
      </c>
      <c r="K5750" t="s">
        <v>56</v>
      </c>
      <c r="L5750" t="s">
        <v>44</v>
      </c>
      <c r="M5750">
        <v>8.4700000000000006</v>
      </c>
      <c r="T5750" t="s">
        <v>49</v>
      </c>
      <c r="U5750">
        <v>2</v>
      </c>
      <c r="V5750">
        <v>4</v>
      </c>
    </row>
    <row r="5751" spans="1:22" x14ac:dyDescent="0.3">
      <c r="A5751">
        <v>5750</v>
      </c>
      <c r="B5751">
        <v>56304</v>
      </c>
      <c r="C5751" s="2">
        <v>38324</v>
      </c>
      <c r="D5751">
        <v>21</v>
      </c>
      <c r="E5751" t="s">
        <v>42</v>
      </c>
      <c r="F5751" t="s">
        <v>50</v>
      </c>
      <c r="G5751" s="2">
        <v>45597</v>
      </c>
      <c r="H5751" s="3">
        <f t="shared" si="89"/>
        <v>1.0876712328767124</v>
      </c>
      <c r="I5751">
        <v>82</v>
      </c>
      <c r="J5751" t="s">
        <v>57</v>
      </c>
      <c r="K5751" t="s">
        <v>56</v>
      </c>
      <c r="L5751" t="s">
        <v>44</v>
      </c>
      <c r="M5751">
        <v>8.4700000000000006</v>
      </c>
      <c r="T5751" t="s">
        <v>52</v>
      </c>
      <c r="U5751">
        <v>1</v>
      </c>
      <c r="V5751">
        <v>4</v>
      </c>
    </row>
    <row r="5752" spans="1:22" x14ac:dyDescent="0.3">
      <c r="A5752">
        <v>5751</v>
      </c>
      <c r="B5752">
        <v>56305</v>
      </c>
      <c r="C5752" s="2">
        <v>38943</v>
      </c>
      <c r="D5752">
        <v>19</v>
      </c>
      <c r="E5752" t="s">
        <v>42</v>
      </c>
      <c r="F5752" t="s">
        <v>50</v>
      </c>
      <c r="G5752" s="2">
        <v>45625</v>
      </c>
      <c r="H5752" s="3">
        <f t="shared" si="89"/>
        <v>1.7068493150684931</v>
      </c>
      <c r="I5752">
        <v>82</v>
      </c>
      <c r="J5752" t="s">
        <v>57</v>
      </c>
      <c r="K5752" t="s">
        <v>56</v>
      </c>
      <c r="L5752" t="s">
        <v>44</v>
      </c>
      <c r="M5752">
        <v>8.4700000000000006</v>
      </c>
      <c r="T5752" t="s">
        <v>47</v>
      </c>
      <c r="U5752">
        <v>2</v>
      </c>
      <c r="V5752">
        <v>6</v>
      </c>
    </row>
    <row r="5753" spans="1:22" x14ac:dyDescent="0.3">
      <c r="A5753">
        <v>5752</v>
      </c>
      <c r="B5753">
        <v>56306</v>
      </c>
      <c r="C5753" s="2">
        <v>38716</v>
      </c>
      <c r="D5753">
        <v>20</v>
      </c>
      <c r="E5753" t="s">
        <v>42</v>
      </c>
      <c r="F5753" t="s">
        <v>50</v>
      </c>
      <c r="G5753" s="2">
        <v>45399</v>
      </c>
      <c r="H5753" s="3">
        <f t="shared" si="89"/>
        <v>1.0657534246575342</v>
      </c>
      <c r="I5753">
        <v>82</v>
      </c>
      <c r="J5753" t="s">
        <v>57</v>
      </c>
      <c r="K5753" t="s">
        <v>56</v>
      </c>
      <c r="L5753" t="s">
        <v>44</v>
      </c>
      <c r="M5753">
        <v>8.4700000000000006</v>
      </c>
      <c r="T5753" t="s">
        <v>47</v>
      </c>
      <c r="U5753">
        <v>2</v>
      </c>
      <c r="V5753">
        <v>6</v>
      </c>
    </row>
    <row r="5754" spans="1:22" x14ac:dyDescent="0.3">
      <c r="A5754">
        <v>5753</v>
      </c>
      <c r="B5754">
        <v>56307</v>
      </c>
      <c r="C5754" s="2">
        <v>38639</v>
      </c>
      <c r="D5754">
        <v>20</v>
      </c>
      <c r="E5754" t="s">
        <v>36</v>
      </c>
      <c r="F5754" t="s">
        <v>50</v>
      </c>
      <c r="G5754" s="2">
        <v>45633</v>
      </c>
      <c r="H5754" s="3">
        <f t="shared" si="89"/>
        <v>1.3534246575342466</v>
      </c>
      <c r="I5754">
        <v>82</v>
      </c>
      <c r="J5754" t="s">
        <v>57</v>
      </c>
      <c r="K5754" t="s">
        <v>56</v>
      </c>
      <c r="L5754" t="s">
        <v>44</v>
      </c>
      <c r="M5754">
        <v>8.4700000000000006</v>
      </c>
      <c r="T5754" t="s">
        <v>52</v>
      </c>
      <c r="U5754">
        <v>2</v>
      </c>
      <c r="V5754">
        <v>3</v>
      </c>
    </row>
    <row r="5755" spans="1:22" x14ac:dyDescent="0.3">
      <c r="A5755">
        <v>5754</v>
      </c>
      <c r="B5755">
        <v>56308</v>
      </c>
      <c r="C5755" s="2">
        <v>38668</v>
      </c>
      <c r="D5755">
        <v>20</v>
      </c>
      <c r="E5755" t="s">
        <v>42</v>
      </c>
      <c r="F5755" t="s">
        <v>37</v>
      </c>
      <c r="G5755" s="2">
        <v>45528</v>
      </c>
      <c r="H5755" s="3">
        <f t="shared" si="89"/>
        <v>1.715068493150685</v>
      </c>
      <c r="I5755">
        <v>82</v>
      </c>
      <c r="J5755" t="s">
        <v>57</v>
      </c>
      <c r="K5755" t="s">
        <v>56</v>
      </c>
      <c r="L5755" t="s">
        <v>44</v>
      </c>
      <c r="M5755">
        <v>8.4700000000000006</v>
      </c>
      <c r="T5755" t="s">
        <v>47</v>
      </c>
      <c r="U5755">
        <v>2</v>
      </c>
      <c r="V5755">
        <v>5</v>
      </c>
    </row>
    <row r="5756" spans="1:22" x14ac:dyDescent="0.3">
      <c r="A5756">
        <v>5755</v>
      </c>
      <c r="B5756">
        <v>56310</v>
      </c>
      <c r="C5756" s="2">
        <v>38293</v>
      </c>
      <c r="D5756">
        <v>21</v>
      </c>
      <c r="E5756" t="s">
        <v>42</v>
      </c>
      <c r="F5756" t="s">
        <v>50</v>
      </c>
      <c r="G5756" s="2">
        <v>45396</v>
      </c>
      <c r="H5756" s="3">
        <f t="shared" si="89"/>
        <v>1.0465753424657533</v>
      </c>
      <c r="I5756">
        <v>82</v>
      </c>
      <c r="J5756" t="s">
        <v>57</v>
      </c>
      <c r="K5756" t="s">
        <v>56</v>
      </c>
      <c r="L5756" t="s">
        <v>44</v>
      </c>
      <c r="M5756">
        <v>8.4700000000000006</v>
      </c>
      <c r="T5756" t="s">
        <v>47</v>
      </c>
      <c r="U5756">
        <v>2</v>
      </c>
      <c r="V5756">
        <v>5</v>
      </c>
    </row>
    <row r="5757" spans="1:22" x14ac:dyDescent="0.3">
      <c r="A5757">
        <v>5756</v>
      </c>
      <c r="B5757">
        <v>56311</v>
      </c>
      <c r="C5757" s="2">
        <v>38519</v>
      </c>
      <c r="D5757">
        <v>20</v>
      </c>
      <c r="E5757" t="s">
        <v>36</v>
      </c>
      <c r="F5757" t="s">
        <v>50</v>
      </c>
      <c r="G5757" s="2">
        <v>45640</v>
      </c>
      <c r="H5757" s="3">
        <f t="shared" si="89"/>
        <v>1.5315068493150685</v>
      </c>
      <c r="I5757">
        <v>82</v>
      </c>
      <c r="J5757" t="s">
        <v>57</v>
      </c>
      <c r="K5757" t="s">
        <v>56</v>
      </c>
      <c r="L5757" t="s">
        <v>44</v>
      </c>
      <c r="M5757">
        <v>8.4700000000000006</v>
      </c>
      <c r="T5757" t="s">
        <v>45</v>
      </c>
      <c r="U5757">
        <v>2</v>
      </c>
      <c r="V5757">
        <v>3</v>
      </c>
    </row>
    <row r="5758" spans="1:22" x14ac:dyDescent="0.3">
      <c r="A5758">
        <v>5757</v>
      </c>
      <c r="B5758">
        <v>56312</v>
      </c>
      <c r="C5758" s="2">
        <v>38687</v>
      </c>
      <c r="D5758">
        <v>21</v>
      </c>
      <c r="E5758" t="s">
        <v>42</v>
      </c>
      <c r="F5758" t="s">
        <v>37</v>
      </c>
      <c r="G5758" s="2">
        <v>45463</v>
      </c>
      <c r="H5758" s="3">
        <f t="shared" si="89"/>
        <v>1.178082191780822</v>
      </c>
      <c r="I5758">
        <v>82</v>
      </c>
      <c r="J5758" t="s">
        <v>57</v>
      </c>
      <c r="K5758" t="s">
        <v>56</v>
      </c>
      <c r="L5758" t="s">
        <v>44</v>
      </c>
      <c r="M5758">
        <v>8.4700000000000006</v>
      </c>
      <c r="T5758" t="s">
        <v>49</v>
      </c>
      <c r="U5758">
        <v>1</v>
      </c>
      <c r="V5758">
        <v>7</v>
      </c>
    </row>
    <row r="5759" spans="1:22" x14ac:dyDescent="0.3">
      <c r="A5759">
        <v>5758</v>
      </c>
      <c r="B5759">
        <v>56313</v>
      </c>
      <c r="C5759" s="2">
        <v>38953</v>
      </c>
      <c r="D5759">
        <v>19</v>
      </c>
      <c r="E5759" t="s">
        <v>36</v>
      </c>
      <c r="F5759" t="s">
        <v>37</v>
      </c>
      <c r="G5759" s="2">
        <v>45592</v>
      </c>
      <c r="H5759" s="3">
        <f t="shared" si="89"/>
        <v>1.2410958904109588</v>
      </c>
      <c r="I5759">
        <v>83</v>
      </c>
      <c r="J5759" t="s">
        <v>57</v>
      </c>
      <c r="K5759" t="s">
        <v>56</v>
      </c>
      <c r="L5759" t="s">
        <v>44</v>
      </c>
      <c r="M5759">
        <v>8.4700000000000006</v>
      </c>
      <c r="T5759" t="s">
        <v>45</v>
      </c>
      <c r="U5759">
        <v>2</v>
      </c>
      <c r="V5759">
        <v>4</v>
      </c>
    </row>
    <row r="5760" spans="1:22" x14ac:dyDescent="0.3">
      <c r="A5760">
        <v>5759</v>
      </c>
      <c r="B5760">
        <v>56314</v>
      </c>
      <c r="C5760" s="2">
        <v>36037</v>
      </c>
      <c r="D5760">
        <v>27</v>
      </c>
      <c r="E5760" t="s">
        <v>42</v>
      </c>
      <c r="F5760" t="s">
        <v>50</v>
      </c>
      <c r="G5760" s="2">
        <v>45569</v>
      </c>
      <c r="H5760" s="3">
        <f t="shared" si="89"/>
        <v>1.6273972602739726</v>
      </c>
      <c r="I5760">
        <v>83</v>
      </c>
      <c r="J5760" t="s">
        <v>57</v>
      </c>
      <c r="K5760" t="s">
        <v>56</v>
      </c>
      <c r="L5760" t="s">
        <v>44</v>
      </c>
      <c r="M5760">
        <v>8.4700000000000006</v>
      </c>
      <c r="T5760" t="s">
        <v>47</v>
      </c>
      <c r="U5760">
        <v>1</v>
      </c>
      <c r="V5760">
        <v>6</v>
      </c>
    </row>
    <row r="5761" spans="1:22" x14ac:dyDescent="0.3">
      <c r="A5761">
        <v>5760</v>
      </c>
      <c r="B5761">
        <v>56315</v>
      </c>
      <c r="C5761" s="2">
        <v>38558</v>
      </c>
      <c r="D5761">
        <v>20</v>
      </c>
      <c r="E5761" t="s">
        <v>42</v>
      </c>
      <c r="F5761" t="s">
        <v>50</v>
      </c>
      <c r="G5761" s="2">
        <v>45428</v>
      </c>
      <c r="H5761" s="3">
        <f t="shared" si="89"/>
        <v>1.5945205479452054</v>
      </c>
      <c r="I5761">
        <v>83</v>
      </c>
      <c r="J5761" t="s">
        <v>57</v>
      </c>
      <c r="K5761" t="s">
        <v>56</v>
      </c>
      <c r="L5761" t="s">
        <v>44</v>
      </c>
      <c r="M5761">
        <v>8.4700000000000006</v>
      </c>
      <c r="T5761" t="s">
        <v>52</v>
      </c>
      <c r="U5761">
        <v>3</v>
      </c>
      <c r="V5761">
        <v>7</v>
      </c>
    </row>
    <row r="5762" spans="1:22" x14ac:dyDescent="0.3">
      <c r="A5762">
        <v>5761</v>
      </c>
      <c r="B5762">
        <v>56316</v>
      </c>
      <c r="C5762" s="2">
        <v>38693</v>
      </c>
      <c r="D5762">
        <v>20</v>
      </c>
      <c r="E5762" t="s">
        <v>42</v>
      </c>
      <c r="F5762" t="s">
        <v>50</v>
      </c>
      <c r="G5762" s="2">
        <v>45440</v>
      </c>
      <c r="H5762" s="3">
        <f t="shared" si="89"/>
        <v>1.3643835616438356</v>
      </c>
      <c r="I5762">
        <v>83</v>
      </c>
      <c r="J5762" t="s">
        <v>57</v>
      </c>
      <c r="K5762" t="s">
        <v>56</v>
      </c>
      <c r="L5762" t="s">
        <v>44</v>
      </c>
      <c r="M5762">
        <v>8.4700000000000006</v>
      </c>
      <c r="T5762" t="s">
        <v>47</v>
      </c>
      <c r="U5762">
        <v>4</v>
      </c>
      <c r="V5762">
        <v>7</v>
      </c>
    </row>
    <row r="5763" spans="1:22" x14ac:dyDescent="0.3">
      <c r="A5763">
        <v>5762</v>
      </c>
      <c r="B5763">
        <v>56317</v>
      </c>
      <c r="C5763" s="2">
        <v>35902</v>
      </c>
      <c r="D5763">
        <v>27</v>
      </c>
      <c r="E5763" t="s">
        <v>42</v>
      </c>
      <c r="F5763" t="s">
        <v>50</v>
      </c>
      <c r="G5763" s="2">
        <v>45524</v>
      </c>
      <c r="H5763" s="3">
        <f t="shared" ref="H5763:H5826" si="90">DATEDIF(G5764,DATE(2025,12,31),"d")/365</f>
        <v>1.715068493150685</v>
      </c>
      <c r="I5763">
        <v>83</v>
      </c>
      <c r="J5763" t="s">
        <v>57</v>
      </c>
      <c r="K5763" t="s">
        <v>56</v>
      </c>
      <c r="L5763" t="s">
        <v>44</v>
      </c>
      <c r="M5763">
        <v>8.4700000000000006</v>
      </c>
      <c r="T5763" t="s">
        <v>45</v>
      </c>
      <c r="U5763">
        <v>3</v>
      </c>
      <c r="V5763">
        <v>5</v>
      </c>
    </row>
    <row r="5764" spans="1:22" x14ac:dyDescent="0.3">
      <c r="A5764">
        <v>5763</v>
      </c>
      <c r="B5764">
        <v>56318</v>
      </c>
      <c r="C5764" s="2">
        <v>38678</v>
      </c>
      <c r="D5764">
        <v>20</v>
      </c>
      <c r="E5764" t="s">
        <v>42</v>
      </c>
      <c r="F5764" t="s">
        <v>50</v>
      </c>
      <c r="G5764" s="2">
        <v>45396</v>
      </c>
      <c r="H5764" s="3">
        <f t="shared" si="90"/>
        <v>1.3041095890410959</v>
      </c>
      <c r="I5764">
        <v>84</v>
      </c>
      <c r="J5764" t="s">
        <v>57</v>
      </c>
      <c r="K5764" t="s">
        <v>56</v>
      </c>
      <c r="L5764" t="s">
        <v>44</v>
      </c>
      <c r="M5764">
        <v>8.4700000000000006</v>
      </c>
      <c r="T5764" t="s">
        <v>47</v>
      </c>
      <c r="U5764">
        <v>0</v>
      </c>
      <c r="V5764">
        <v>6</v>
      </c>
    </row>
    <row r="5765" spans="1:22" x14ac:dyDescent="0.3">
      <c r="A5765">
        <v>5764</v>
      </c>
      <c r="B5765">
        <v>56319</v>
      </c>
      <c r="C5765" s="2">
        <v>36641</v>
      </c>
      <c r="D5765">
        <v>25</v>
      </c>
      <c r="E5765" t="s">
        <v>42</v>
      </c>
      <c r="F5765" t="s">
        <v>50</v>
      </c>
      <c r="G5765" s="2">
        <v>45546</v>
      </c>
      <c r="H5765" s="3">
        <f t="shared" si="90"/>
        <v>1.4767123287671233</v>
      </c>
      <c r="I5765">
        <v>84</v>
      </c>
      <c r="J5765" t="s">
        <v>57</v>
      </c>
      <c r="K5765" t="s">
        <v>56</v>
      </c>
      <c r="L5765" t="s">
        <v>44</v>
      </c>
      <c r="M5765">
        <v>8.4700000000000006</v>
      </c>
      <c r="T5765" t="s">
        <v>45</v>
      </c>
      <c r="U5765">
        <v>1</v>
      </c>
      <c r="V5765">
        <v>5</v>
      </c>
    </row>
    <row r="5766" spans="1:22" x14ac:dyDescent="0.3">
      <c r="A5766">
        <v>5765</v>
      </c>
      <c r="B5766">
        <v>56320</v>
      </c>
      <c r="C5766" s="2">
        <v>35130</v>
      </c>
      <c r="D5766">
        <v>29</v>
      </c>
      <c r="E5766" t="s">
        <v>42</v>
      </c>
      <c r="F5766" t="s">
        <v>50</v>
      </c>
      <c r="G5766" s="2">
        <v>45483</v>
      </c>
      <c r="H5766" s="3">
        <f t="shared" si="90"/>
        <v>1.6356164383561644</v>
      </c>
      <c r="I5766">
        <v>84</v>
      </c>
      <c r="J5766" t="s">
        <v>57</v>
      </c>
      <c r="K5766" t="s">
        <v>56</v>
      </c>
      <c r="L5766" t="s">
        <v>44</v>
      </c>
      <c r="M5766">
        <v>8.4700000000000006</v>
      </c>
      <c r="T5766" t="s">
        <v>52</v>
      </c>
      <c r="U5766">
        <v>1</v>
      </c>
      <c r="V5766">
        <v>5</v>
      </c>
    </row>
    <row r="5767" spans="1:22" x14ac:dyDescent="0.3">
      <c r="A5767">
        <v>5766</v>
      </c>
      <c r="B5767">
        <v>56321</v>
      </c>
      <c r="C5767" s="2">
        <v>38847</v>
      </c>
      <c r="D5767">
        <v>19</v>
      </c>
      <c r="E5767" t="s">
        <v>42</v>
      </c>
      <c r="F5767" t="s">
        <v>50</v>
      </c>
      <c r="G5767" s="2">
        <v>45425</v>
      </c>
      <c r="H5767" s="3">
        <f t="shared" si="90"/>
        <v>1.3726027397260274</v>
      </c>
      <c r="I5767">
        <v>84</v>
      </c>
      <c r="J5767" t="s">
        <v>57</v>
      </c>
      <c r="K5767" t="s">
        <v>56</v>
      </c>
      <c r="L5767" t="s">
        <v>44</v>
      </c>
      <c r="M5767">
        <v>8.4700000000000006</v>
      </c>
      <c r="T5767" t="s">
        <v>47</v>
      </c>
      <c r="U5767">
        <v>2</v>
      </c>
      <c r="V5767">
        <v>5</v>
      </c>
    </row>
    <row r="5768" spans="1:22" x14ac:dyDescent="0.3">
      <c r="A5768">
        <v>5767</v>
      </c>
      <c r="B5768">
        <v>56323</v>
      </c>
      <c r="C5768" s="2">
        <v>36792</v>
      </c>
      <c r="D5768">
        <v>25</v>
      </c>
      <c r="E5768" t="s">
        <v>42</v>
      </c>
      <c r="F5768" t="s">
        <v>50</v>
      </c>
      <c r="G5768" s="2">
        <v>45521</v>
      </c>
      <c r="H5768" s="3">
        <f t="shared" si="90"/>
        <v>1.263013698630137</v>
      </c>
      <c r="I5768">
        <v>84</v>
      </c>
      <c r="J5768" t="s">
        <v>57</v>
      </c>
      <c r="K5768" t="s">
        <v>56</v>
      </c>
      <c r="L5768" t="s">
        <v>44</v>
      </c>
      <c r="M5768">
        <v>8.4700000000000006</v>
      </c>
      <c r="T5768" t="s">
        <v>52</v>
      </c>
      <c r="U5768">
        <v>0</v>
      </c>
      <c r="V5768">
        <v>6</v>
      </c>
    </row>
    <row r="5769" spans="1:22" x14ac:dyDescent="0.3">
      <c r="A5769">
        <v>5768</v>
      </c>
      <c r="B5769">
        <v>56324</v>
      </c>
      <c r="C5769" s="2">
        <v>36103</v>
      </c>
      <c r="D5769">
        <v>27</v>
      </c>
      <c r="E5769" t="s">
        <v>42</v>
      </c>
      <c r="F5769" t="s">
        <v>50</v>
      </c>
      <c r="G5769" s="2">
        <v>45561</v>
      </c>
      <c r="H5769" s="3">
        <f t="shared" si="90"/>
        <v>1.8465753424657534</v>
      </c>
      <c r="I5769">
        <v>84</v>
      </c>
      <c r="J5769" t="s">
        <v>57</v>
      </c>
      <c r="K5769" t="s">
        <v>56</v>
      </c>
      <c r="L5769" t="s">
        <v>44</v>
      </c>
      <c r="M5769">
        <v>8.4700000000000006</v>
      </c>
      <c r="T5769" t="s">
        <v>47</v>
      </c>
      <c r="U5769">
        <v>2</v>
      </c>
      <c r="V5769">
        <v>7</v>
      </c>
    </row>
    <row r="5770" spans="1:22" x14ac:dyDescent="0.3">
      <c r="A5770">
        <v>5769</v>
      </c>
      <c r="B5770">
        <v>56325</v>
      </c>
      <c r="C5770" s="2">
        <v>35874</v>
      </c>
      <c r="D5770">
        <v>27</v>
      </c>
      <c r="E5770" t="s">
        <v>36</v>
      </c>
      <c r="F5770" t="s">
        <v>50</v>
      </c>
      <c r="G5770" s="2">
        <v>45348</v>
      </c>
      <c r="H5770" s="3">
        <f t="shared" si="90"/>
        <v>1.789041095890411</v>
      </c>
      <c r="I5770">
        <v>85</v>
      </c>
      <c r="J5770" t="s">
        <v>57</v>
      </c>
      <c r="K5770" t="s">
        <v>68</v>
      </c>
      <c r="L5770" t="s">
        <v>44</v>
      </c>
      <c r="M5770">
        <v>17</v>
      </c>
      <c r="T5770" t="s">
        <v>49</v>
      </c>
      <c r="U5770">
        <v>1</v>
      </c>
      <c r="V5770">
        <v>3</v>
      </c>
    </row>
    <row r="5771" spans="1:22" x14ac:dyDescent="0.3">
      <c r="A5771">
        <v>5770</v>
      </c>
      <c r="B5771">
        <v>56326</v>
      </c>
      <c r="C5771" s="2">
        <v>37027</v>
      </c>
      <c r="D5771">
        <v>24</v>
      </c>
      <c r="E5771" t="s">
        <v>42</v>
      </c>
      <c r="F5771" t="s">
        <v>50</v>
      </c>
      <c r="G5771" s="2">
        <v>45369</v>
      </c>
      <c r="H5771" s="3">
        <f t="shared" si="90"/>
        <v>1.7726027397260273</v>
      </c>
      <c r="I5771">
        <v>85</v>
      </c>
      <c r="J5771" t="s">
        <v>57</v>
      </c>
      <c r="K5771" t="s">
        <v>68</v>
      </c>
      <c r="L5771" t="s">
        <v>44</v>
      </c>
      <c r="M5771">
        <v>17</v>
      </c>
      <c r="T5771" t="s">
        <v>52</v>
      </c>
      <c r="U5771">
        <v>4</v>
      </c>
      <c r="V5771">
        <v>7</v>
      </c>
    </row>
    <row r="5772" spans="1:22" x14ac:dyDescent="0.3">
      <c r="A5772">
        <v>5771</v>
      </c>
      <c r="B5772">
        <v>56328</v>
      </c>
      <c r="C5772" s="2">
        <v>38887</v>
      </c>
      <c r="D5772">
        <v>19</v>
      </c>
      <c r="E5772" t="s">
        <v>42</v>
      </c>
      <c r="F5772" t="s">
        <v>50</v>
      </c>
      <c r="G5772" s="2">
        <v>45375</v>
      </c>
      <c r="H5772" s="3">
        <f t="shared" si="90"/>
        <v>1.4109589041095891</v>
      </c>
      <c r="I5772">
        <v>85</v>
      </c>
      <c r="J5772" t="s">
        <v>57</v>
      </c>
      <c r="K5772" t="s">
        <v>65</v>
      </c>
      <c r="L5772" t="s">
        <v>44</v>
      </c>
      <c r="M5772">
        <v>10.64</v>
      </c>
      <c r="T5772" t="s">
        <v>45</v>
      </c>
      <c r="U5772">
        <v>0</v>
      </c>
      <c r="V5772">
        <v>6</v>
      </c>
    </row>
    <row r="5773" spans="1:22" x14ac:dyDescent="0.3">
      <c r="A5773">
        <v>5772</v>
      </c>
      <c r="B5773">
        <v>56329</v>
      </c>
      <c r="C5773" s="2">
        <v>38700</v>
      </c>
      <c r="D5773">
        <v>20</v>
      </c>
      <c r="E5773" t="s">
        <v>42</v>
      </c>
      <c r="F5773" t="s">
        <v>50</v>
      </c>
      <c r="G5773" s="2">
        <v>45507</v>
      </c>
      <c r="H5773" s="3">
        <f t="shared" si="90"/>
        <v>1.8027397260273972</v>
      </c>
      <c r="I5773">
        <v>85</v>
      </c>
      <c r="J5773" t="s">
        <v>57</v>
      </c>
      <c r="K5773" t="s">
        <v>48</v>
      </c>
      <c r="L5773" t="s">
        <v>44</v>
      </c>
      <c r="M5773">
        <v>8.4700000000000006</v>
      </c>
      <c r="T5773" t="s">
        <v>52</v>
      </c>
      <c r="U5773">
        <v>2</v>
      </c>
      <c r="V5773">
        <v>5</v>
      </c>
    </row>
    <row r="5774" spans="1:22" x14ac:dyDescent="0.3">
      <c r="A5774">
        <v>5773</v>
      </c>
      <c r="B5774">
        <v>56330</v>
      </c>
      <c r="C5774" s="2">
        <v>37857</v>
      </c>
      <c r="D5774">
        <v>22</v>
      </c>
      <c r="E5774" t="s">
        <v>42</v>
      </c>
      <c r="F5774" t="s">
        <v>37</v>
      </c>
      <c r="G5774" s="2">
        <v>45364</v>
      </c>
      <c r="H5774" s="3">
        <f t="shared" si="90"/>
        <v>1.8082191780821917</v>
      </c>
      <c r="I5774">
        <v>85</v>
      </c>
      <c r="J5774" t="s">
        <v>57</v>
      </c>
      <c r="K5774" t="s">
        <v>56</v>
      </c>
      <c r="L5774" t="s">
        <v>44</v>
      </c>
      <c r="M5774">
        <v>8.4700000000000006</v>
      </c>
      <c r="T5774" t="s">
        <v>45</v>
      </c>
      <c r="U5774">
        <v>1</v>
      </c>
      <c r="V5774">
        <v>5</v>
      </c>
    </row>
    <row r="5775" spans="1:22" x14ac:dyDescent="0.3">
      <c r="A5775">
        <v>5774</v>
      </c>
      <c r="B5775">
        <v>56331</v>
      </c>
      <c r="C5775" s="2">
        <v>37780</v>
      </c>
      <c r="D5775">
        <v>22</v>
      </c>
      <c r="E5775" t="s">
        <v>42</v>
      </c>
      <c r="F5775" t="s">
        <v>50</v>
      </c>
      <c r="G5775" s="2">
        <v>45362</v>
      </c>
      <c r="H5775" s="3">
        <f t="shared" si="90"/>
        <v>1.1397260273972603</v>
      </c>
      <c r="I5775">
        <v>85</v>
      </c>
      <c r="J5775" t="s">
        <v>57</v>
      </c>
      <c r="K5775" t="s">
        <v>56</v>
      </c>
      <c r="L5775" t="s">
        <v>44</v>
      </c>
      <c r="M5775">
        <v>8.4700000000000006</v>
      </c>
      <c r="T5775" t="s">
        <v>45</v>
      </c>
      <c r="U5775">
        <v>0</v>
      </c>
      <c r="V5775">
        <v>7</v>
      </c>
    </row>
    <row r="5776" spans="1:22" x14ac:dyDescent="0.3">
      <c r="A5776">
        <v>5775</v>
      </c>
      <c r="B5776">
        <v>56332</v>
      </c>
      <c r="C5776" s="2">
        <v>38322</v>
      </c>
      <c r="D5776">
        <v>22</v>
      </c>
      <c r="E5776" t="s">
        <v>42</v>
      </c>
      <c r="F5776" t="s">
        <v>50</v>
      </c>
      <c r="G5776" s="2">
        <v>45606</v>
      </c>
      <c r="H5776" s="3">
        <f t="shared" si="90"/>
        <v>1.0931506849315069</v>
      </c>
      <c r="I5776">
        <v>85</v>
      </c>
      <c r="J5776" t="s">
        <v>57</v>
      </c>
      <c r="K5776" t="s">
        <v>56</v>
      </c>
      <c r="L5776" t="s">
        <v>44</v>
      </c>
      <c r="M5776">
        <v>8.4700000000000006</v>
      </c>
      <c r="T5776" t="s">
        <v>49</v>
      </c>
      <c r="U5776">
        <v>0</v>
      </c>
      <c r="V5776">
        <v>5</v>
      </c>
    </row>
    <row r="5777" spans="1:22" x14ac:dyDescent="0.3">
      <c r="A5777">
        <v>5776</v>
      </c>
      <c r="B5777">
        <v>56333</v>
      </c>
      <c r="C5777" s="2">
        <v>36243</v>
      </c>
      <c r="D5777">
        <v>26</v>
      </c>
      <c r="E5777" t="s">
        <v>42</v>
      </c>
      <c r="F5777" t="s">
        <v>37</v>
      </c>
      <c r="G5777" s="2">
        <v>45623</v>
      </c>
      <c r="H5777" s="3">
        <f t="shared" si="90"/>
        <v>1.0136986301369864</v>
      </c>
      <c r="I5777">
        <v>85</v>
      </c>
      <c r="J5777" t="s">
        <v>57</v>
      </c>
      <c r="K5777" t="s">
        <v>56</v>
      </c>
      <c r="L5777" t="s">
        <v>44</v>
      </c>
      <c r="M5777">
        <v>8.4700000000000006</v>
      </c>
      <c r="T5777" t="s">
        <v>49</v>
      </c>
      <c r="U5777">
        <v>0</v>
      </c>
      <c r="V5777">
        <v>5</v>
      </c>
    </row>
    <row r="5778" spans="1:22" x14ac:dyDescent="0.3">
      <c r="A5778">
        <v>5777</v>
      </c>
      <c r="B5778">
        <v>56334</v>
      </c>
      <c r="C5778" s="2">
        <v>39059</v>
      </c>
      <c r="D5778">
        <v>19</v>
      </c>
      <c r="E5778" t="s">
        <v>42</v>
      </c>
      <c r="F5778" t="s">
        <v>37</v>
      </c>
      <c r="G5778" s="2">
        <v>45652</v>
      </c>
      <c r="H5778" s="3">
        <f t="shared" si="90"/>
        <v>1.4164383561643836</v>
      </c>
      <c r="I5778">
        <v>85</v>
      </c>
      <c r="J5778" t="s">
        <v>57</v>
      </c>
      <c r="K5778" t="s">
        <v>56</v>
      </c>
      <c r="L5778" t="s">
        <v>44</v>
      </c>
      <c r="M5778">
        <v>8.4700000000000006</v>
      </c>
      <c r="T5778" t="s">
        <v>47</v>
      </c>
      <c r="U5778">
        <v>2</v>
      </c>
      <c r="V5778">
        <v>5</v>
      </c>
    </row>
    <row r="5779" spans="1:22" x14ac:dyDescent="0.3">
      <c r="A5779">
        <v>5778</v>
      </c>
      <c r="B5779">
        <v>56335</v>
      </c>
      <c r="C5779" s="2">
        <v>36331</v>
      </c>
      <c r="D5779">
        <v>26</v>
      </c>
      <c r="E5779" t="s">
        <v>42</v>
      </c>
      <c r="F5779" t="s">
        <v>50</v>
      </c>
      <c r="G5779" s="2">
        <v>45505</v>
      </c>
      <c r="H5779" s="3">
        <f t="shared" si="90"/>
        <v>1.5561643835616439</v>
      </c>
      <c r="I5779">
        <v>85</v>
      </c>
      <c r="J5779" t="s">
        <v>57</v>
      </c>
      <c r="K5779" t="s">
        <v>56</v>
      </c>
      <c r="L5779" t="s">
        <v>44</v>
      </c>
      <c r="M5779">
        <v>8.4700000000000006</v>
      </c>
      <c r="T5779" t="s">
        <v>47</v>
      </c>
      <c r="U5779">
        <v>4</v>
      </c>
      <c r="V5779">
        <v>7</v>
      </c>
    </row>
    <row r="5780" spans="1:22" x14ac:dyDescent="0.3">
      <c r="A5780">
        <v>5779</v>
      </c>
      <c r="B5780">
        <v>56336</v>
      </c>
      <c r="C5780" s="2">
        <v>37312</v>
      </c>
      <c r="D5780">
        <v>23</v>
      </c>
      <c r="E5780" t="s">
        <v>42</v>
      </c>
      <c r="F5780" t="s">
        <v>37</v>
      </c>
      <c r="G5780" s="2">
        <v>45454</v>
      </c>
      <c r="H5780" s="3">
        <f t="shared" si="90"/>
        <v>1.2547945205479452</v>
      </c>
      <c r="I5780">
        <v>85</v>
      </c>
      <c r="J5780" t="s">
        <v>57</v>
      </c>
      <c r="K5780" t="s">
        <v>56</v>
      </c>
      <c r="L5780" t="s">
        <v>44</v>
      </c>
      <c r="M5780">
        <v>8.4700000000000006</v>
      </c>
      <c r="T5780" t="s">
        <v>49</v>
      </c>
      <c r="U5780">
        <v>4</v>
      </c>
      <c r="V5780">
        <v>6</v>
      </c>
    </row>
    <row r="5781" spans="1:22" x14ac:dyDescent="0.3">
      <c r="A5781">
        <v>5780</v>
      </c>
      <c r="B5781">
        <v>56337</v>
      </c>
      <c r="C5781" s="2">
        <v>37412</v>
      </c>
      <c r="D5781">
        <v>23</v>
      </c>
      <c r="E5781" t="s">
        <v>42</v>
      </c>
      <c r="F5781" t="s">
        <v>50</v>
      </c>
      <c r="G5781" s="2">
        <v>45564</v>
      </c>
      <c r="H5781" s="3">
        <f t="shared" si="90"/>
        <v>1.2684931506849315</v>
      </c>
      <c r="I5781">
        <v>85</v>
      </c>
      <c r="J5781" t="s">
        <v>57</v>
      </c>
      <c r="K5781" t="s">
        <v>56</v>
      </c>
      <c r="L5781" t="s">
        <v>44</v>
      </c>
      <c r="M5781">
        <v>8.4700000000000006</v>
      </c>
      <c r="T5781" t="s">
        <v>49</v>
      </c>
      <c r="U5781">
        <v>2</v>
      </c>
      <c r="V5781">
        <v>7</v>
      </c>
    </row>
    <row r="5782" spans="1:22" x14ac:dyDescent="0.3">
      <c r="A5782">
        <v>5781</v>
      </c>
      <c r="B5782">
        <v>56338</v>
      </c>
      <c r="C5782" s="2">
        <v>38068</v>
      </c>
      <c r="D5782">
        <v>21</v>
      </c>
      <c r="E5782" t="s">
        <v>42</v>
      </c>
      <c r="F5782" t="s">
        <v>50</v>
      </c>
      <c r="G5782" s="2">
        <v>45559</v>
      </c>
      <c r="H5782" s="3">
        <f t="shared" si="90"/>
        <v>1.4246575342465753</v>
      </c>
      <c r="I5782">
        <v>85</v>
      </c>
      <c r="J5782" t="s">
        <v>57</v>
      </c>
      <c r="K5782" t="s">
        <v>56</v>
      </c>
      <c r="L5782" t="s">
        <v>44</v>
      </c>
      <c r="M5782">
        <v>8.4700000000000006</v>
      </c>
      <c r="T5782" t="s">
        <v>52</v>
      </c>
      <c r="U5782">
        <v>2</v>
      </c>
      <c r="V5782">
        <v>6</v>
      </c>
    </row>
    <row r="5783" spans="1:22" x14ac:dyDescent="0.3">
      <c r="A5783">
        <v>5782</v>
      </c>
      <c r="B5783">
        <v>56339</v>
      </c>
      <c r="C5783" s="2">
        <v>39006</v>
      </c>
      <c r="D5783">
        <v>19</v>
      </c>
      <c r="E5783" t="s">
        <v>42</v>
      </c>
      <c r="F5783" t="s">
        <v>50</v>
      </c>
      <c r="G5783" s="2">
        <v>45502</v>
      </c>
      <c r="H5783" s="3">
        <f t="shared" si="90"/>
        <v>1.295890410958904</v>
      </c>
      <c r="I5783">
        <v>85</v>
      </c>
      <c r="J5783" t="s">
        <v>57</v>
      </c>
      <c r="K5783" t="s">
        <v>56</v>
      </c>
      <c r="L5783" t="s">
        <v>44</v>
      </c>
      <c r="M5783">
        <v>8.4700000000000006</v>
      </c>
      <c r="T5783" t="s">
        <v>52</v>
      </c>
      <c r="U5783">
        <v>2</v>
      </c>
      <c r="V5783">
        <v>6</v>
      </c>
    </row>
    <row r="5784" spans="1:22" x14ac:dyDescent="0.3">
      <c r="A5784">
        <v>5783</v>
      </c>
      <c r="B5784">
        <v>56340</v>
      </c>
      <c r="C5784" s="2">
        <v>38621</v>
      </c>
      <c r="D5784">
        <v>20</v>
      </c>
      <c r="E5784" t="s">
        <v>42</v>
      </c>
      <c r="F5784" t="s">
        <v>37</v>
      </c>
      <c r="G5784" s="2">
        <v>45549</v>
      </c>
      <c r="H5784" s="3">
        <f t="shared" si="90"/>
        <v>1.5315068493150685</v>
      </c>
      <c r="I5784">
        <v>85</v>
      </c>
      <c r="J5784" t="s">
        <v>57</v>
      </c>
      <c r="K5784" t="s">
        <v>56</v>
      </c>
      <c r="L5784" t="s">
        <v>44</v>
      </c>
      <c r="M5784">
        <v>8.4700000000000006</v>
      </c>
      <c r="T5784" t="s">
        <v>52</v>
      </c>
      <c r="U5784">
        <v>2</v>
      </c>
      <c r="V5784">
        <v>7</v>
      </c>
    </row>
    <row r="5785" spans="1:22" x14ac:dyDescent="0.3">
      <c r="A5785">
        <v>5784</v>
      </c>
      <c r="B5785">
        <v>56341</v>
      </c>
      <c r="C5785" s="2">
        <v>36209</v>
      </c>
      <c r="D5785">
        <v>26</v>
      </c>
      <c r="E5785" t="s">
        <v>36</v>
      </c>
      <c r="F5785" t="s">
        <v>50</v>
      </c>
      <c r="G5785" s="2">
        <v>45463</v>
      </c>
      <c r="H5785" s="3">
        <f t="shared" si="90"/>
        <v>1.3671232876712329</v>
      </c>
      <c r="I5785">
        <v>86</v>
      </c>
      <c r="J5785" t="s">
        <v>57</v>
      </c>
      <c r="K5785" t="s">
        <v>68</v>
      </c>
      <c r="L5785" t="s">
        <v>44</v>
      </c>
      <c r="M5785">
        <v>17</v>
      </c>
      <c r="T5785" t="s">
        <v>47</v>
      </c>
      <c r="U5785">
        <v>2</v>
      </c>
      <c r="V5785">
        <v>6</v>
      </c>
    </row>
    <row r="5786" spans="1:22" x14ac:dyDescent="0.3">
      <c r="A5786">
        <v>5785</v>
      </c>
      <c r="B5786">
        <v>56342</v>
      </c>
      <c r="C5786" s="2">
        <v>34513</v>
      </c>
      <c r="D5786">
        <v>31</v>
      </c>
      <c r="E5786" t="s">
        <v>42</v>
      </c>
      <c r="F5786" t="s">
        <v>50</v>
      </c>
      <c r="G5786" s="2">
        <v>45523</v>
      </c>
      <c r="H5786" s="3">
        <f t="shared" si="90"/>
        <v>1.6054794520547946</v>
      </c>
      <c r="I5786">
        <v>86</v>
      </c>
      <c r="J5786" t="s">
        <v>57</v>
      </c>
      <c r="K5786" t="s">
        <v>68</v>
      </c>
      <c r="L5786" t="s">
        <v>44</v>
      </c>
      <c r="M5786">
        <v>17</v>
      </c>
      <c r="T5786" t="s">
        <v>47</v>
      </c>
      <c r="U5786">
        <v>4</v>
      </c>
      <c r="V5786">
        <v>6</v>
      </c>
    </row>
    <row r="5787" spans="1:22" x14ac:dyDescent="0.3">
      <c r="A5787">
        <v>5786</v>
      </c>
      <c r="B5787">
        <v>56343</v>
      </c>
      <c r="C5787" s="2">
        <v>35086</v>
      </c>
      <c r="D5787">
        <v>29</v>
      </c>
      <c r="E5787" t="s">
        <v>36</v>
      </c>
      <c r="F5787" t="s">
        <v>50</v>
      </c>
      <c r="G5787" s="2">
        <v>45436</v>
      </c>
      <c r="H5787" s="3">
        <f t="shared" si="90"/>
        <v>1.5397260273972602</v>
      </c>
      <c r="I5787">
        <v>86</v>
      </c>
      <c r="J5787" t="s">
        <v>57</v>
      </c>
      <c r="K5787" t="s">
        <v>68</v>
      </c>
      <c r="L5787" t="s">
        <v>44</v>
      </c>
      <c r="M5787">
        <v>17</v>
      </c>
      <c r="T5787" t="s">
        <v>45</v>
      </c>
      <c r="U5787">
        <v>2</v>
      </c>
      <c r="V5787">
        <v>6</v>
      </c>
    </row>
    <row r="5788" spans="1:22" x14ac:dyDescent="0.3">
      <c r="A5788">
        <v>5787</v>
      </c>
      <c r="B5788">
        <v>56344</v>
      </c>
      <c r="C5788" s="2">
        <v>38435</v>
      </c>
      <c r="D5788">
        <v>20</v>
      </c>
      <c r="E5788" t="s">
        <v>36</v>
      </c>
      <c r="F5788" t="s">
        <v>50</v>
      </c>
      <c r="G5788" s="2">
        <v>45460</v>
      </c>
      <c r="H5788" s="3">
        <f t="shared" si="90"/>
        <v>1.8767123287671232</v>
      </c>
      <c r="I5788">
        <v>86</v>
      </c>
      <c r="J5788" t="s">
        <v>57</v>
      </c>
      <c r="K5788" t="s">
        <v>65</v>
      </c>
      <c r="L5788" t="s">
        <v>44</v>
      </c>
      <c r="M5788">
        <v>10.64</v>
      </c>
      <c r="T5788" t="s">
        <v>47</v>
      </c>
      <c r="U5788">
        <v>0</v>
      </c>
      <c r="V5788">
        <v>5</v>
      </c>
    </row>
    <row r="5789" spans="1:22" x14ac:dyDescent="0.3">
      <c r="A5789">
        <v>5788</v>
      </c>
      <c r="B5789">
        <v>56345</v>
      </c>
      <c r="C5789" s="2">
        <v>35134</v>
      </c>
      <c r="D5789">
        <v>29</v>
      </c>
      <c r="E5789" t="s">
        <v>36</v>
      </c>
      <c r="F5789" t="s">
        <v>50</v>
      </c>
      <c r="G5789" s="2">
        <v>45337</v>
      </c>
      <c r="H5789" s="3">
        <f t="shared" si="90"/>
        <v>1.2328767123287672</v>
      </c>
      <c r="I5789">
        <v>86</v>
      </c>
      <c r="J5789" t="s">
        <v>57</v>
      </c>
      <c r="K5789" t="s">
        <v>46</v>
      </c>
      <c r="L5789" t="s">
        <v>44</v>
      </c>
      <c r="M5789">
        <v>14.23</v>
      </c>
      <c r="T5789" t="s">
        <v>52</v>
      </c>
      <c r="U5789">
        <v>0</v>
      </c>
      <c r="V5789">
        <v>3</v>
      </c>
    </row>
    <row r="5790" spans="1:22" x14ac:dyDescent="0.3">
      <c r="A5790">
        <v>5789</v>
      </c>
      <c r="B5790">
        <v>56346</v>
      </c>
      <c r="C5790" s="2">
        <v>37853</v>
      </c>
      <c r="D5790">
        <v>22</v>
      </c>
      <c r="E5790" t="s">
        <v>42</v>
      </c>
      <c r="F5790" t="s">
        <v>50</v>
      </c>
      <c r="G5790" s="2">
        <v>45572</v>
      </c>
      <c r="H5790" s="3">
        <f t="shared" si="90"/>
        <v>1.3260273972602741</v>
      </c>
      <c r="I5790">
        <v>86</v>
      </c>
      <c r="J5790" t="s">
        <v>57</v>
      </c>
      <c r="K5790" t="s">
        <v>64</v>
      </c>
      <c r="L5790" t="s">
        <v>44</v>
      </c>
      <c r="M5790">
        <v>14.07</v>
      </c>
      <c r="T5790" t="s">
        <v>52</v>
      </c>
      <c r="U5790">
        <v>0</v>
      </c>
      <c r="V5790">
        <v>4</v>
      </c>
    </row>
    <row r="5791" spans="1:22" x14ac:dyDescent="0.3">
      <c r="A5791">
        <v>5790</v>
      </c>
      <c r="B5791">
        <v>56347</v>
      </c>
      <c r="C5791" s="2">
        <v>38060</v>
      </c>
      <c r="D5791">
        <v>21</v>
      </c>
      <c r="E5791" t="s">
        <v>42</v>
      </c>
      <c r="F5791" t="s">
        <v>50</v>
      </c>
      <c r="G5791" s="2">
        <v>45538</v>
      </c>
      <c r="H5791" s="3">
        <f t="shared" si="90"/>
        <v>1.5068493150684932</v>
      </c>
      <c r="I5791">
        <v>86</v>
      </c>
      <c r="J5791" t="s">
        <v>57</v>
      </c>
      <c r="K5791" t="s">
        <v>48</v>
      </c>
      <c r="L5791" t="s">
        <v>44</v>
      </c>
      <c r="M5791">
        <v>8.4700000000000006</v>
      </c>
      <c r="T5791" t="s">
        <v>52</v>
      </c>
      <c r="U5791">
        <v>4</v>
      </c>
      <c r="V5791">
        <v>6</v>
      </c>
    </row>
    <row r="5792" spans="1:22" x14ac:dyDescent="0.3">
      <c r="A5792">
        <v>5791</v>
      </c>
      <c r="B5792">
        <v>56348</v>
      </c>
      <c r="C5792" s="2">
        <v>36588</v>
      </c>
      <c r="D5792">
        <v>25</v>
      </c>
      <c r="E5792" t="s">
        <v>36</v>
      </c>
      <c r="F5792" t="s">
        <v>50</v>
      </c>
      <c r="G5792" s="2">
        <v>45472</v>
      </c>
      <c r="H5792" s="3">
        <f t="shared" si="90"/>
        <v>1.4109589041095891</v>
      </c>
      <c r="I5792">
        <v>86</v>
      </c>
      <c r="J5792" t="s">
        <v>57</v>
      </c>
      <c r="K5792" t="s">
        <v>55</v>
      </c>
      <c r="L5792" t="s">
        <v>44</v>
      </c>
      <c r="M5792">
        <v>17.59</v>
      </c>
      <c r="T5792" t="s">
        <v>49</v>
      </c>
      <c r="U5792">
        <v>0</v>
      </c>
      <c r="V5792">
        <v>3</v>
      </c>
    </row>
    <row r="5793" spans="1:22" x14ac:dyDescent="0.3">
      <c r="A5793">
        <v>5792</v>
      </c>
      <c r="B5793">
        <v>56349</v>
      </c>
      <c r="C5793" s="2">
        <v>36598</v>
      </c>
      <c r="D5793">
        <v>25</v>
      </c>
      <c r="E5793" t="s">
        <v>36</v>
      </c>
      <c r="F5793" t="s">
        <v>37</v>
      </c>
      <c r="G5793" s="2">
        <v>45507</v>
      </c>
      <c r="H5793" s="3">
        <f t="shared" si="90"/>
        <v>1.5780821917808219</v>
      </c>
      <c r="I5793">
        <v>86</v>
      </c>
      <c r="J5793" t="s">
        <v>57</v>
      </c>
      <c r="K5793" t="s">
        <v>55</v>
      </c>
      <c r="L5793" t="s">
        <v>44</v>
      </c>
      <c r="M5793">
        <v>17.59</v>
      </c>
      <c r="T5793" t="s">
        <v>49</v>
      </c>
      <c r="U5793">
        <v>4</v>
      </c>
      <c r="V5793">
        <v>5</v>
      </c>
    </row>
    <row r="5794" spans="1:22" x14ac:dyDescent="0.3">
      <c r="A5794">
        <v>5793</v>
      </c>
      <c r="B5794">
        <v>56350</v>
      </c>
      <c r="C5794" s="2">
        <v>35864</v>
      </c>
      <c r="D5794">
        <v>27</v>
      </c>
      <c r="E5794" t="s">
        <v>42</v>
      </c>
      <c r="F5794" t="s">
        <v>50</v>
      </c>
      <c r="G5794" s="2">
        <v>45446</v>
      </c>
      <c r="H5794" s="3">
        <f t="shared" si="90"/>
        <v>1.2191780821917808</v>
      </c>
      <c r="I5794">
        <v>86</v>
      </c>
      <c r="J5794" t="s">
        <v>57</v>
      </c>
      <c r="K5794" t="s">
        <v>55</v>
      </c>
      <c r="L5794" t="s">
        <v>44</v>
      </c>
      <c r="M5794">
        <v>17.59</v>
      </c>
      <c r="T5794" t="s">
        <v>52</v>
      </c>
      <c r="U5794">
        <v>0</v>
      </c>
      <c r="V5794">
        <v>5</v>
      </c>
    </row>
    <row r="5795" spans="1:22" x14ac:dyDescent="0.3">
      <c r="A5795">
        <v>5794</v>
      </c>
      <c r="B5795">
        <v>56351</v>
      </c>
      <c r="C5795" s="2">
        <v>36787</v>
      </c>
      <c r="D5795">
        <v>25</v>
      </c>
      <c r="E5795" t="s">
        <v>36</v>
      </c>
      <c r="F5795" t="s">
        <v>50</v>
      </c>
      <c r="G5795" s="2">
        <v>45577</v>
      </c>
      <c r="H5795" s="3">
        <f t="shared" si="90"/>
        <v>1.6109589041095891</v>
      </c>
      <c r="I5795">
        <v>86</v>
      </c>
      <c r="J5795" t="s">
        <v>57</v>
      </c>
      <c r="K5795" t="s">
        <v>56</v>
      </c>
      <c r="L5795" t="s">
        <v>44</v>
      </c>
      <c r="M5795">
        <v>8.4700000000000006</v>
      </c>
      <c r="T5795" t="s">
        <v>45</v>
      </c>
      <c r="U5795">
        <v>2</v>
      </c>
      <c r="V5795">
        <v>6</v>
      </c>
    </row>
    <row r="5796" spans="1:22" x14ac:dyDescent="0.3">
      <c r="A5796">
        <v>5795</v>
      </c>
      <c r="B5796">
        <v>56352</v>
      </c>
      <c r="C5796" s="2">
        <v>38125</v>
      </c>
      <c r="D5796">
        <v>21</v>
      </c>
      <c r="E5796" t="s">
        <v>42</v>
      </c>
      <c r="F5796" t="s">
        <v>37</v>
      </c>
      <c r="G5796" s="2">
        <v>45434</v>
      </c>
      <c r="H5796" s="3">
        <f t="shared" si="90"/>
        <v>1.2904109589041095</v>
      </c>
      <c r="I5796">
        <v>86</v>
      </c>
      <c r="J5796" t="s">
        <v>57</v>
      </c>
      <c r="K5796" t="s">
        <v>56</v>
      </c>
      <c r="L5796" t="s">
        <v>44</v>
      </c>
      <c r="M5796">
        <v>8.4700000000000006</v>
      </c>
      <c r="T5796" t="s">
        <v>45</v>
      </c>
      <c r="U5796">
        <v>2</v>
      </c>
      <c r="V5796">
        <v>7</v>
      </c>
    </row>
    <row r="5797" spans="1:22" x14ac:dyDescent="0.3">
      <c r="A5797">
        <v>5796</v>
      </c>
      <c r="B5797">
        <v>56353</v>
      </c>
      <c r="C5797" s="2">
        <v>37604</v>
      </c>
      <c r="D5797">
        <v>23</v>
      </c>
      <c r="E5797" t="s">
        <v>42</v>
      </c>
      <c r="F5797" t="s">
        <v>50</v>
      </c>
      <c r="G5797" s="2">
        <v>45551</v>
      </c>
      <c r="H5797" s="3">
        <f t="shared" si="90"/>
        <v>1.2027397260273973</v>
      </c>
      <c r="I5797">
        <v>86</v>
      </c>
      <c r="J5797" t="s">
        <v>57</v>
      </c>
      <c r="K5797" t="s">
        <v>56</v>
      </c>
      <c r="L5797" t="s">
        <v>44</v>
      </c>
      <c r="M5797">
        <v>8.4700000000000006</v>
      </c>
      <c r="T5797" t="s">
        <v>52</v>
      </c>
      <c r="U5797">
        <v>4</v>
      </c>
      <c r="V5797">
        <v>6</v>
      </c>
    </row>
    <row r="5798" spans="1:22" x14ac:dyDescent="0.3">
      <c r="A5798">
        <v>5797</v>
      </c>
      <c r="B5798">
        <v>56354</v>
      </c>
      <c r="C5798" s="2">
        <v>38498</v>
      </c>
      <c r="D5798">
        <v>20</v>
      </c>
      <c r="E5798" t="s">
        <v>42</v>
      </c>
      <c r="F5798" t="s">
        <v>37</v>
      </c>
      <c r="G5798" s="2">
        <v>45583</v>
      </c>
      <c r="H5798" s="3">
        <f t="shared" si="90"/>
        <v>1.7095890410958905</v>
      </c>
      <c r="I5798">
        <v>86</v>
      </c>
      <c r="J5798" t="s">
        <v>57</v>
      </c>
      <c r="K5798" t="s">
        <v>56</v>
      </c>
      <c r="L5798" t="s">
        <v>44</v>
      </c>
      <c r="M5798">
        <v>8.4700000000000006</v>
      </c>
      <c r="T5798" t="s">
        <v>49</v>
      </c>
      <c r="U5798">
        <v>3</v>
      </c>
      <c r="V5798">
        <v>6</v>
      </c>
    </row>
    <row r="5799" spans="1:22" x14ac:dyDescent="0.3">
      <c r="A5799">
        <v>5798</v>
      </c>
      <c r="B5799">
        <v>56355</v>
      </c>
      <c r="C5799" s="2">
        <v>38148</v>
      </c>
      <c r="D5799">
        <v>21</v>
      </c>
      <c r="E5799" t="s">
        <v>42</v>
      </c>
      <c r="F5799" t="s">
        <v>37</v>
      </c>
      <c r="G5799" s="2">
        <v>45398</v>
      </c>
      <c r="H5799" s="3">
        <f t="shared" si="90"/>
        <v>1.6082191780821917</v>
      </c>
      <c r="I5799">
        <v>86</v>
      </c>
      <c r="J5799" t="s">
        <v>57</v>
      </c>
      <c r="K5799" t="s">
        <v>56</v>
      </c>
      <c r="L5799" t="s">
        <v>44</v>
      </c>
      <c r="M5799">
        <v>8.4700000000000006</v>
      </c>
      <c r="T5799" t="s">
        <v>47</v>
      </c>
      <c r="U5799">
        <v>2</v>
      </c>
      <c r="V5799">
        <v>5</v>
      </c>
    </row>
    <row r="5800" spans="1:22" x14ac:dyDescent="0.3">
      <c r="A5800">
        <v>5799</v>
      </c>
      <c r="B5800">
        <v>56356</v>
      </c>
      <c r="C5800" s="2">
        <v>39191</v>
      </c>
      <c r="D5800">
        <v>18</v>
      </c>
      <c r="E5800" t="s">
        <v>36</v>
      </c>
      <c r="F5800" t="s">
        <v>50</v>
      </c>
      <c r="G5800" s="2">
        <v>45435</v>
      </c>
      <c r="H5800" s="3">
        <f t="shared" si="90"/>
        <v>1.1369863013698631</v>
      </c>
      <c r="I5800">
        <v>86</v>
      </c>
      <c r="J5800" t="s">
        <v>57</v>
      </c>
      <c r="K5800" t="s">
        <v>56</v>
      </c>
      <c r="L5800" t="s">
        <v>44</v>
      </c>
      <c r="M5800">
        <v>8.4700000000000006</v>
      </c>
      <c r="T5800" t="s">
        <v>52</v>
      </c>
      <c r="U5800">
        <v>1</v>
      </c>
      <c r="V5800">
        <v>5</v>
      </c>
    </row>
    <row r="5801" spans="1:22" x14ac:dyDescent="0.3">
      <c r="A5801">
        <v>5800</v>
      </c>
      <c r="B5801">
        <v>56357</v>
      </c>
      <c r="C5801" s="2">
        <v>38823</v>
      </c>
      <c r="D5801">
        <v>19</v>
      </c>
      <c r="E5801" t="s">
        <v>42</v>
      </c>
      <c r="F5801" t="s">
        <v>50</v>
      </c>
      <c r="G5801" s="2">
        <v>45607</v>
      </c>
      <c r="H5801" s="3">
        <f t="shared" si="90"/>
        <v>1.0904109589041096</v>
      </c>
      <c r="I5801">
        <v>86</v>
      </c>
      <c r="J5801" t="s">
        <v>57</v>
      </c>
      <c r="K5801" t="s">
        <v>56</v>
      </c>
      <c r="L5801" t="s">
        <v>44</v>
      </c>
      <c r="M5801">
        <v>8.4700000000000006</v>
      </c>
      <c r="T5801" t="s">
        <v>45</v>
      </c>
      <c r="U5801">
        <v>1</v>
      </c>
      <c r="V5801">
        <v>6</v>
      </c>
    </row>
    <row r="5802" spans="1:22" x14ac:dyDescent="0.3">
      <c r="A5802">
        <v>5801</v>
      </c>
      <c r="B5802">
        <v>56358</v>
      </c>
      <c r="C5802" s="2">
        <v>35434</v>
      </c>
      <c r="D5802">
        <v>28</v>
      </c>
      <c r="E5802" t="s">
        <v>42</v>
      </c>
      <c r="F5802" t="s">
        <v>37</v>
      </c>
      <c r="G5802" s="2">
        <v>45624</v>
      </c>
      <c r="H5802" s="3">
        <f t="shared" si="90"/>
        <v>1.6493150684931508</v>
      </c>
      <c r="I5802">
        <v>86</v>
      </c>
      <c r="J5802" t="s">
        <v>57</v>
      </c>
      <c r="K5802" t="s">
        <v>56</v>
      </c>
      <c r="L5802" t="s">
        <v>44</v>
      </c>
      <c r="M5802">
        <v>8.4700000000000006</v>
      </c>
      <c r="T5802" t="s">
        <v>52</v>
      </c>
      <c r="U5802">
        <v>1</v>
      </c>
      <c r="V5802">
        <v>5</v>
      </c>
    </row>
    <row r="5803" spans="1:22" x14ac:dyDescent="0.3">
      <c r="A5803">
        <v>5802</v>
      </c>
      <c r="B5803">
        <v>56359</v>
      </c>
      <c r="C5803" s="2">
        <v>37982</v>
      </c>
      <c r="D5803">
        <v>22</v>
      </c>
      <c r="E5803" t="s">
        <v>42</v>
      </c>
      <c r="F5803" t="s">
        <v>37</v>
      </c>
      <c r="G5803" s="2">
        <v>45420</v>
      </c>
      <c r="H5803" s="3">
        <f t="shared" si="90"/>
        <v>1.3424657534246576</v>
      </c>
      <c r="I5803">
        <v>86</v>
      </c>
      <c r="J5803" t="s">
        <v>57</v>
      </c>
      <c r="K5803" t="s">
        <v>56</v>
      </c>
      <c r="L5803" t="s">
        <v>44</v>
      </c>
      <c r="M5803">
        <v>8.4700000000000006</v>
      </c>
      <c r="T5803" t="s">
        <v>45</v>
      </c>
      <c r="U5803">
        <v>2</v>
      </c>
      <c r="V5803">
        <v>6</v>
      </c>
    </row>
    <row r="5804" spans="1:22" x14ac:dyDescent="0.3">
      <c r="A5804">
        <v>5803</v>
      </c>
      <c r="B5804">
        <v>56360</v>
      </c>
      <c r="C5804" s="2">
        <v>36819</v>
      </c>
      <c r="D5804">
        <v>25</v>
      </c>
      <c r="E5804" t="s">
        <v>42</v>
      </c>
      <c r="F5804" t="s">
        <v>50</v>
      </c>
      <c r="G5804" s="2">
        <v>45532</v>
      </c>
      <c r="H5804" s="3">
        <f t="shared" si="90"/>
        <v>1.4904109589041097</v>
      </c>
      <c r="I5804">
        <v>86</v>
      </c>
      <c r="J5804" t="s">
        <v>57</v>
      </c>
      <c r="K5804" t="s">
        <v>56</v>
      </c>
      <c r="L5804" t="s">
        <v>44</v>
      </c>
      <c r="M5804">
        <v>8.4700000000000006</v>
      </c>
      <c r="T5804" t="s">
        <v>52</v>
      </c>
      <c r="U5804">
        <v>1</v>
      </c>
      <c r="V5804">
        <v>5</v>
      </c>
    </row>
    <row r="5805" spans="1:22" x14ac:dyDescent="0.3">
      <c r="A5805">
        <v>5804</v>
      </c>
      <c r="B5805">
        <v>56361</v>
      </c>
      <c r="C5805" s="2">
        <v>37898</v>
      </c>
      <c r="D5805">
        <v>22</v>
      </c>
      <c r="E5805" t="s">
        <v>42</v>
      </c>
      <c r="F5805" t="s">
        <v>50</v>
      </c>
      <c r="G5805" s="2">
        <v>45478</v>
      </c>
      <c r="H5805" s="3">
        <f t="shared" si="90"/>
        <v>1.6164383561643836</v>
      </c>
      <c r="I5805">
        <v>86</v>
      </c>
      <c r="J5805" t="s">
        <v>57</v>
      </c>
      <c r="K5805" t="s">
        <v>56</v>
      </c>
      <c r="L5805" t="s">
        <v>44</v>
      </c>
      <c r="M5805">
        <v>8.4700000000000006</v>
      </c>
      <c r="T5805" t="s">
        <v>49</v>
      </c>
      <c r="U5805">
        <v>4</v>
      </c>
      <c r="V5805">
        <v>7</v>
      </c>
    </row>
    <row r="5806" spans="1:22" x14ac:dyDescent="0.3">
      <c r="A5806">
        <v>5805</v>
      </c>
      <c r="B5806">
        <v>56362</v>
      </c>
      <c r="C5806" s="2">
        <v>34106</v>
      </c>
      <c r="D5806">
        <v>32</v>
      </c>
      <c r="E5806" t="s">
        <v>42</v>
      </c>
      <c r="F5806" t="s">
        <v>37</v>
      </c>
      <c r="G5806" s="2">
        <v>45432</v>
      </c>
      <c r="H5806" s="3">
        <f t="shared" si="90"/>
        <v>1.7780821917808218</v>
      </c>
      <c r="I5806">
        <v>86</v>
      </c>
      <c r="J5806" t="s">
        <v>57</v>
      </c>
      <c r="K5806" t="s">
        <v>56</v>
      </c>
      <c r="L5806" t="s">
        <v>44</v>
      </c>
      <c r="M5806">
        <v>8.4700000000000006</v>
      </c>
      <c r="T5806" t="s">
        <v>47</v>
      </c>
      <c r="U5806">
        <v>3</v>
      </c>
      <c r="V5806">
        <v>4</v>
      </c>
    </row>
    <row r="5807" spans="1:22" x14ac:dyDescent="0.3">
      <c r="A5807">
        <v>5806</v>
      </c>
      <c r="B5807">
        <v>56363</v>
      </c>
      <c r="C5807" s="2">
        <v>38613</v>
      </c>
      <c r="D5807">
        <v>20</v>
      </c>
      <c r="E5807" t="s">
        <v>42</v>
      </c>
      <c r="F5807" t="s">
        <v>37</v>
      </c>
      <c r="G5807" s="2">
        <v>45373</v>
      </c>
      <c r="H5807" s="3">
        <f t="shared" si="90"/>
        <v>1.3534246575342466</v>
      </c>
      <c r="I5807">
        <v>86</v>
      </c>
      <c r="J5807" t="s">
        <v>57</v>
      </c>
      <c r="K5807" t="s">
        <v>56</v>
      </c>
      <c r="L5807" t="s">
        <v>44</v>
      </c>
      <c r="M5807">
        <v>8.4700000000000006</v>
      </c>
      <c r="T5807" t="s">
        <v>47</v>
      </c>
      <c r="U5807">
        <v>2</v>
      </c>
      <c r="V5807">
        <v>4</v>
      </c>
    </row>
    <row r="5808" spans="1:22" x14ac:dyDescent="0.3">
      <c r="A5808">
        <v>5807</v>
      </c>
      <c r="B5808">
        <v>56364</v>
      </c>
      <c r="C5808" s="2">
        <v>36774</v>
      </c>
      <c r="D5808">
        <v>25</v>
      </c>
      <c r="E5808" t="s">
        <v>42</v>
      </c>
      <c r="F5808" t="s">
        <v>37</v>
      </c>
      <c r="G5808" s="2">
        <v>45528</v>
      </c>
      <c r="H5808" s="3">
        <f t="shared" si="90"/>
        <v>1.6054794520547946</v>
      </c>
      <c r="I5808">
        <v>87</v>
      </c>
      <c r="J5808" t="s">
        <v>57</v>
      </c>
      <c r="K5808" t="s">
        <v>68</v>
      </c>
      <c r="L5808" t="s">
        <v>44</v>
      </c>
      <c r="M5808">
        <v>17</v>
      </c>
      <c r="T5808" t="s">
        <v>45</v>
      </c>
      <c r="U5808">
        <v>1</v>
      </c>
      <c r="V5808">
        <v>6</v>
      </c>
    </row>
    <row r="5809" spans="1:22" x14ac:dyDescent="0.3">
      <c r="A5809">
        <v>5808</v>
      </c>
      <c r="B5809">
        <v>56365</v>
      </c>
      <c r="C5809" s="2">
        <v>34832</v>
      </c>
      <c r="D5809">
        <v>30</v>
      </c>
      <c r="E5809" t="s">
        <v>42</v>
      </c>
      <c r="F5809" t="s">
        <v>50</v>
      </c>
      <c r="G5809" s="2">
        <v>45436</v>
      </c>
      <c r="H5809" s="3">
        <f t="shared" si="90"/>
        <v>1.6739726027397259</v>
      </c>
      <c r="I5809">
        <v>87</v>
      </c>
      <c r="J5809" t="s">
        <v>57</v>
      </c>
      <c r="K5809" t="s">
        <v>48</v>
      </c>
      <c r="L5809" t="s">
        <v>44</v>
      </c>
      <c r="M5809">
        <v>8.4700000000000006</v>
      </c>
      <c r="T5809" t="s">
        <v>45</v>
      </c>
      <c r="U5809">
        <v>2</v>
      </c>
      <c r="V5809">
        <v>6</v>
      </c>
    </row>
    <row r="5810" spans="1:22" x14ac:dyDescent="0.3">
      <c r="A5810">
        <v>5809</v>
      </c>
      <c r="B5810">
        <v>56366</v>
      </c>
      <c r="C5810" s="2">
        <v>38640</v>
      </c>
      <c r="D5810">
        <v>20</v>
      </c>
      <c r="E5810" t="s">
        <v>42</v>
      </c>
      <c r="F5810" t="s">
        <v>50</v>
      </c>
      <c r="G5810" s="2">
        <v>45411</v>
      </c>
      <c r="H5810" s="3">
        <f t="shared" si="90"/>
        <v>1.5835616438356164</v>
      </c>
      <c r="I5810">
        <v>87</v>
      </c>
      <c r="J5810" t="s">
        <v>57</v>
      </c>
      <c r="K5810" t="s">
        <v>56</v>
      </c>
      <c r="L5810" t="s">
        <v>44</v>
      </c>
      <c r="M5810">
        <v>8.4700000000000006</v>
      </c>
      <c r="T5810" t="s">
        <v>45</v>
      </c>
      <c r="U5810">
        <v>1</v>
      </c>
      <c r="V5810">
        <v>6</v>
      </c>
    </row>
    <row r="5811" spans="1:22" x14ac:dyDescent="0.3">
      <c r="A5811">
        <v>5810</v>
      </c>
      <c r="B5811">
        <v>56367</v>
      </c>
      <c r="C5811" s="2">
        <v>37332</v>
      </c>
      <c r="D5811">
        <v>23</v>
      </c>
      <c r="E5811" t="s">
        <v>42</v>
      </c>
      <c r="F5811" t="s">
        <v>50</v>
      </c>
      <c r="G5811" s="2">
        <v>45444</v>
      </c>
      <c r="H5811" s="3">
        <f t="shared" si="90"/>
        <v>1.6931506849315068</v>
      </c>
      <c r="I5811">
        <v>87</v>
      </c>
      <c r="J5811" t="s">
        <v>57</v>
      </c>
      <c r="K5811" t="s">
        <v>56</v>
      </c>
      <c r="L5811" t="s">
        <v>44</v>
      </c>
      <c r="M5811">
        <v>8.4700000000000006</v>
      </c>
      <c r="T5811" t="s">
        <v>52</v>
      </c>
      <c r="U5811">
        <v>4</v>
      </c>
      <c r="V5811">
        <v>6</v>
      </c>
    </row>
    <row r="5812" spans="1:22" x14ac:dyDescent="0.3">
      <c r="A5812">
        <v>5811</v>
      </c>
      <c r="B5812">
        <v>56368</v>
      </c>
      <c r="C5812" s="2">
        <v>38172</v>
      </c>
      <c r="D5812">
        <v>21</v>
      </c>
      <c r="E5812" t="s">
        <v>36</v>
      </c>
      <c r="F5812" t="s">
        <v>50</v>
      </c>
      <c r="G5812" s="2">
        <v>45404</v>
      </c>
      <c r="H5812" s="3">
        <f t="shared" si="90"/>
        <v>1.7232876712328766</v>
      </c>
      <c r="I5812">
        <v>87</v>
      </c>
      <c r="J5812" t="s">
        <v>57</v>
      </c>
      <c r="K5812" t="s">
        <v>56</v>
      </c>
      <c r="L5812" t="s">
        <v>44</v>
      </c>
      <c r="M5812">
        <v>8.4700000000000006</v>
      </c>
      <c r="T5812" t="s">
        <v>52</v>
      </c>
      <c r="U5812">
        <v>1</v>
      </c>
      <c r="V5812">
        <v>5</v>
      </c>
    </row>
    <row r="5813" spans="1:22" x14ac:dyDescent="0.3">
      <c r="A5813">
        <v>5812</v>
      </c>
      <c r="B5813">
        <v>56369</v>
      </c>
      <c r="C5813" s="2">
        <v>36586</v>
      </c>
      <c r="D5813">
        <v>26</v>
      </c>
      <c r="E5813" t="s">
        <v>42</v>
      </c>
      <c r="F5813" t="s">
        <v>50</v>
      </c>
      <c r="G5813" s="2">
        <v>45393</v>
      </c>
      <c r="H5813" s="3">
        <f t="shared" si="90"/>
        <v>1.0821917808219179</v>
      </c>
      <c r="I5813">
        <v>87</v>
      </c>
      <c r="J5813" t="s">
        <v>57</v>
      </c>
      <c r="K5813" t="s">
        <v>56</v>
      </c>
      <c r="L5813" t="s">
        <v>44</v>
      </c>
      <c r="M5813">
        <v>8.4700000000000006</v>
      </c>
      <c r="T5813" t="s">
        <v>47</v>
      </c>
      <c r="U5813">
        <v>4</v>
      </c>
      <c r="V5813">
        <v>6</v>
      </c>
    </row>
    <row r="5814" spans="1:22" x14ac:dyDescent="0.3">
      <c r="A5814">
        <v>5813</v>
      </c>
      <c r="B5814">
        <v>56370</v>
      </c>
      <c r="C5814" s="2">
        <v>35827</v>
      </c>
      <c r="D5814">
        <v>28</v>
      </c>
      <c r="E5814" t="s">
        <v>42</v>
      </c>
      <c r="F5814" t="s">
        <v>50</v>
      </c>
      <c r="G5814" s="2">
        <v>45627</v>
      </c>
      <c r="H5814" s="3">
        <f t="shared" si="90"/>
        <v>1.273972602739726</v>
      </c>
      <c r="I5814">
        <v>87</v>
      </c>
      <c r="J5814" t="s">
        <v>57</v>
      </c>
      <c r="K5814" t="s">
        <v>56</v>
      </c>
      <c r="L5814" t="s">
        <v>44</v>
      </c>
      <c r="M5814">
        <v>8.4700000000000006</v>
      </c>
      <c r="T5814" t="s">
        <v>49</v>
      </c>
      <c r="U5814">
        <v>2</v>
      </c>
      <c r="V5814">
        <v>5</v>
      </c>
    </row>
    <row r="5815" spans="1:22" x14ac:dyDescent="0.3">
      <c r="A5815">
        <v>5814</v>
      </c>
      <c r="B5815">
        <v>56371</v>
      </c>
      <c r="C5815" s="2">
        <v>36126</v>
      </c>
      <c r="D5815">
        <v>27</v>
      </c>
      <c r="E5815" t="s">
        <v>42</v>
      </c>
      <c r="F5815" t="s">
        <v>50</v>
      </c>
      <c r="G5815" s="2">
        <v>45557</v>
      </c>
      <c r="H5815" s="3">
        <f t="shared" si="90"/>
        <v>1.6520547945205479</v>
      </c>
      <c r="I5815">
        <v>87</v>
      </c>
      <c r="J5815" t="s">
        <v>57</v>
      </c>
      <c r="K5815" t="s">
        <v>56</v>
      </c>
      <c r="L5815" t="s">
        <v>44</v>
      </c>
      <c r="M5815">
        <v>8.4700000000000006</v>
      </c>
      <c r="T5815" t="s">
        <v>52</v>
      </c>
      <c r="U5815">
        <v>2</v>
      </c>
      <c r="V5815">
        <v>5</v>
      </c>
    </row>
    <row r="5816" spans="1:22" x14ac:dyDescent="0.3">
      <c r="A5816">
        <v>5815</v>
      </c>
      <c r="B5816">
        <v>56372</v>
      </c>
      <c r="C5816" s="2">
        <v>38974</v>
      </c>
      <c r="D5816">
        <v>19</v>
      </c>
      <c r="E5816" t="s">
        <v>36</v>
      </c>
      <c r="F5816" t="s">
        <v>50</v>
      </c>
      <c r="G5816" s="2">
        <v>45419</v>
      </c>
      <c r="H5816" s="3">
        <f t="shared" si="90"/>
        <v>1.0986301369863014</v>
      </c>
      <c r="I5816">
        <v>87</v>
      </c>
      <c r="J5816" t="s">
        <v>57</v>
      </c>
      <c r="K5816" t="s">
        <v>56</v>
      </c>
      <c r="L5816" t="s">
        <v>44</v>
      </c>
      <c r="M5816">
        <v>8.4700000000000006</v>
      </c>
      <c r="T5816" t="s">
        <v>45</v>
      </c>
      <c r="U5816">
        <v>3</v>
      </c>
      <c r="V5816">
        <v>6</v>
      </c>
    </row>
    <row r="5817" spans="1:22" x14ac:dyDescent="0.3">
      <c r="A5817">
        <v>5816</v>
      </c>
      <c r="B5817">
        <v>56373</v>
      </c>
      <c r="C5817" s="2">
        <v>34757</v>
      </c>
      <c r="D5817">
        <v>30</v>
      </c>
      <c r="E5817" t="s">
        <v>42</v>
      </c>
      <c r="F5817" t="s">
        <v>50</v>
      </c>
      <c r="G5817" s="2">
        <v>45621</v>
      </c>
      <c r="H5817" s="3">
        <f t="shared" si="90"/>
        <v>1.1534246575342466</v>
      </c>
      <c r="I5817">
        <v>87</v>
      </c>
      <c r="J5817" t="s">
        <v>57</v>
      </c>
      <c r="K5817" t="s">
        <v>56</v>
      </c>
      <c r="L5817" t="s">
        <v>44</v>
      </c>
      <c r="M5817">
        <v>8.4700000000000006</v>
      </c>
      <c r="T5817" t="s">
        <v>47</v>
      </c>
      <c r="U5817">
        <v>4</v>
      </c>
      <c r="V5817">
        <v>6</v>
      </c>
    </row>
    <row r="5818" spans="1:22" x14ac:dyDescent="0.3">
      <c r="A5818">
        <v>5817</v>
      </c>
      <c r="B5818">
        <v>56374</v>
      </c>
      <c r="C5818" s="2">
        <v>38222</v>
      </c>
      <c r="D5818">
        <v>21</v>
      </c>
      <c r="E5818" t="s">
        <v>42</v>
      </c>
      <c r="F5818" t="s">
        <v>50</v>
      </c>
      <c r="G5818" s="2">
        <v>45601</v>
      </c>
      <c r="H5818" s="3">
        <f t="shared" si="90"/>
        <v>1.1397260273972603</v>
      </c>
      <c r="I5818">
        <v>87</v>
      </c>
      <c r="J5818" t="s">
        <v>57</v>
      </c>
      <c r="K5818" t="s">
        <v>56</v>
      </c>
      <c r="L5818" t="s">
        <v>44</v>
      </c>
      <c r="M5818">
        <v>8.4700000000000006</v>
      </c>
      <c r="T5818" t="s">
        <v>45</v>
      </c>
      <c r="U5818">
        <v>3</v>
      </c>
      <c r="V5818">
        <v>7</v>
      </c>
    </row>
    <row r="5819" spans="1:22" x14ac:dyDescent="0.3">
      <c r="A5819">
        <v>5818</v>
      </c>
      <c r="B5819">
        <v>56375</v>
      </c>
      <c r="C5819" s="2">
        <v>37301</v>
      </c>
      <c r="D5819">
        <v>23</v>
      </c>
      <c r="E5819" t="s">
        <v>42</v>
      </c>
      <c r="F5819" t="s">
        <v>50</v>
      </c>
      <c r="G5819" s="2">
        <v>45606</v>
      </c>
      <c r="H5819" s="3">
        <f t="shared" si="90"/>
        <v>1.9397260273972603</v>
      </c>
      <c r="I5819">
        <v>87</v>
      </c>
      <c r="J5819" t="s">
        <v>57</v>
      </c>
      <c r="K5819" t="s">
        <v>56</v>
      </c>
      <c r="L5819" t="s">
        <v>44</v>
      </c>
      <c r="M5819">
        <v>8.4700000000000006</v>
      </c>
      <c r="T5819" t="s">
        <v>52</v>
      </c>
      <c r="U5819">
        <v>2</v>
      </c>
      <c r="V5819">
        <v>7</v>
      </c>
    </row>
    <row r="5820" spans="1:22" x14ac:dyDescent="0.3">
      <c r="A5820">
        <v>5819</v>
      </c>
      <c r="B5820">
        <v>56378</v>
      </c>
      <c r="C5820" s="2">
        <v>37340</v>
      </c>
      <c r="D5820">
        <v>23</v>
      </c>
      <c r="E5820" t="s">
        <v>42</v>
      </c>
      <c r="F5820" t="s">
        <v>37</v>
      </c>
      <c r="G5820" s="2">
        <v>45314</v>
      </c>
      <c r="H5820" s="3">
        <f t="shared" si="90"/>
        <v>1.452054794520548</v>
      </c>
      <c r="I5820">
        <v>88</v>
      </c>
      <c r="J5820" t="s">
        <v>57</v>
      </c>
      <c r="K5820" t="s">
        <v>68</v>
      </c>
      <c r="L5820" t="s">
        <v>44</v>
      </c>
      <c r="M5820">
        <v>17</v>
      </c>
      <c r="T5820" t="s">
        <v>45</v>
      </c>
      <c r="U5820">
        <v>2</v>
      </c>
      <c r="V5820">
        <v>6</v>
      </c>
    </row>
    <row r="5821" spans="1:22" x14ac:dyDescent="0.3">
      <c r="A5821">
        <v>5820</v>
      </c>
      <c r="B5821">
        <v>56379</v>
      </c>
      <c r="C5821" s="2">
        <v>36694</v>
      </c>
      <c r="D5821">
        <v>25</v>
      </c>
      <c r="E5821" t="s">
        <v>42</v>
      </c>
      <c r="F5821" t="s">
        <v>50</v>
      </c>
      <c r="G5821" s="2">
        <v>45492</v>
      </c>
      <c r="H5821" s="3">
        <f t="shared" si="90"/>
        <v>1.1287671232876713</v>
      </c>
      <c r="I5821">
        <v>88</v>
      </c>
      <c r="J5821" t="s">
        <v>57</v>
      </c>
      <c r="K5821" t="s">
        <v>43</v>
      </c>
      <c r="L5821" t="s">
        <v>44</v>
      </c>
      <c r="M5821">
        <v>16.37</v>
      </c>
      <c r="T5821" t="s">
        <v>45</v>
      </c>
      <c r="U5821">
        <v>0</v>
      </c>
      <c r="V5821">
        <v>7</v>
      </c>
    </row>
    <row r="5822" spans="1:22" x14ac:dyDescent="0.3">
      <c r="A5822">
        <v>5821</v>
      </c>
      <c r="B5822">
        <v>56380</v>
      </c>
      <c r="C5822" s="2">
        <v>37814</v>
      </c>
      <c r="D5822">
        <v>22</v>
      </c>
      <c r="E5822" t="s">
        <v>42</v>
      </c>
      <c r="F5822" t="s">
        <v>37</v>
      </c>
      <c r="G5822" s="2">
        <v>45610</v>
      </c>
      <c r="H5822" s="3">
        <f t="shared" si="90"/>
        <v>1.3342465753424657</v>
      </c>
      <c r="I5822">
        <v>88</v>
      </c>
      <c r="J5822" t="s">
        <v>57</v>
      </c>
      <c r="K5822" t="s">
        <v>48</v>
      </c>
      <c r="L5822" t="s">
        <v>44</v>
      </c>
      <c r="M5822">
        <v>8.4700000000000006</v>
      </c>
      <c r="T5822" t="s">
        <v>52</v>
      </c>
      <c r="U5822">
        <v>2</v>
      </c>
      <c r="V5822">
        <v>6</v>
      </c>
    </row>
    <row r="5823" spans="1:22" x14ac:dyDescent="0.3">
      <c r="A5823">
        <v>5822</v>
      </c>
      <c r="B5823">
        <v>56381</v>
      </c>
      <c r="C5823" s="2">
        <v>37589</v>
      </c>
      <c r="D5823">
        <v>23</v>
      </c>
      <c r="E5823" t="s">
        <v>42</v>
      </c>
      <c r="F5823" t="s">
        <v>50</v>
      </c>
      <c r="G5823" s="2">
        <v>45535</v>
      </c>
      <c r="H5823" s="3">
        <f t="shared" si="90"/>
        <v>1.7616438356164383</v>
      </c>
      <c r="I5823">
        <v>88</v>
      </c>
      <c r="J5823" t="s">
        <v>57</v>
      </c>
      <c r="K5823" t="s">
        <v>48</v>
      </c>
      <c r="L5823" t="s">
        <v>44</v>
      </c>
      <c r="M5823">
        <v>8.4700000000000006</v>
      </c>
      <c r="T5823" t="s">
        <v>47</v>
      </c>
      <c r="U5823">
        <v>4</v>
      </c>
      <c r="V5823">
        <v>6</v>
      </c>
    </row>
    <row r="5824" spans="1:22" x14ac:dyDescent="0.3">
      <c r="A5824">
        <v>5823</v>
      </c>
      <c r="B5824">
        <v>56382</v>
      </c>
      <c r="C5824" s="2">
        <v>33480</v>
      </c>
      <c r="D5824">
        <v>34</v>
      </c>
      <c r="E5824" t="s">
        <v>36</v>
      </c>
      <c r="F5824" t="s">
        <v>50</v>
      </c>
      <c r="G5824" s="2">
        <v>45379</v>
      </c>
      <c r="H5824" s="3">
        <f t="shared" si="90"/>
        <v>1.2438356164383562</v>
      </c>
      <c r="I5824">
        <v>88</v>
      </c>
      <c r="J5824" t="s">
        <v>57</v>
      </c>
      <c r="K5824" t="s">
        <v>55</v>
      </c>
      <c r="L5824" t="s">
        <v>44</v>
      </c>
      <c r="M5824">
        <v>17.59</v>
      </c>
      <c r="T5824" t="s">
        <v>47</v>
      </c>
      <c r="U5824">
        <v>2</v>
      </c>
      <c r="V5824">
        <v>5</v>
      </c>
    </row>
    <row r="5825" spans="1:22" x14ac:dyDescent="0.3">
      <c r="A5825">
        <v>5824</v>
      </c>
      <c r="B5825">
        <v>56383</v>
      </c>
      <c r="C5825" s="2">
        <v>35057</v>
      </c>
      <c r="D5825">
        <v>30</v>
      </c>
      <c r="E5825" t="s">
        <v>36</v>
      </c>
      <c r="F5825" t="s">
        <v>50</v>
      </c>
      <c r="G5825" s="2">
        <v>45568</v>
      </c>
      <c r="H5825" s="3">
        <f t="shared" si="90"/>
        <v>1.0027397260273974</v>
      </c>
      <c r="I5825">
        <v>88</v>
      </c>
      <c r="J5825" t="s">
        <v>57</v>
      </c>
      <c r="K5825" t="s">
        <v>56</v>
      </c>
      <c r="L5825" t="s">
        <v>44</v>
      </c>
      <c r="M5825">
        <v>8.4700000000000006</v>
      </c>
      <c r="T5825" t="s">
        <v>47</v>
      </c>
      <c r="U5825">
        <v>2</v>
      </c>
      <c r="V5825">
        <v>5</v>
      </c>
    </row>
    <row r="5826" spans="1:22" x14ac:dyDescent="0.3">
      <c r="A5826">
        <v>5825</v>
      </c>
      <c r="B5826">
        <v>56384</v>
      </c>
      <c r="C5826" s="2">
        <v>38605</v>
      </c>
      <c r="D5826">
        <v>20</v>
      </c>
      <c r="E5826" t="s">
        <v>42</v>
      </c>
      <c r="F5826" t="s">
        <v>37</v>
      </c>
      <c r="G5826" s="2">
        <v>45656</v>
      </c>
      <c r="H5826" s="3">
        <f t="shared" si="90"/>
        <v>1.2301369863013698</v>
      </c>
      <c r="I5826">
        <v>88</v>
      </c>
      <c r="J5826" t="s">
        <v>57</v>
      </c>
      <c r="K5826" t="s">
        <v>56</v>
      </c>
      <c r="L5826" t="s">
        <v>44</v>
      </c>
      <c r="M5826">
        <v>8.4700000000000006</v>
      </c>
      <c r="T5826" t="s">
        <v>52</v>
      </c>
      <c r="U5826">
        <v>1</v>
      </c>
      <c r="V5826">
        <v>4</v>
      </c>
    </row>
    <row r="5827" spans="1:22" x14ac:dyDescent="0.3">
      <c r="A5827">
        <v>5826</v>
      </c>
      <c r="B5827">
        <v>56385</v>
      </c>
      <c r="C5827" s="2">
        <v>37428</v>
      </c>
      <c r="D5827">
        <v>23</v>
      </c>
      <c r="E5827" t="s">
        <v>42</v>
      </c>
      <c r="F5827" t="s">
        <v>37</v>
      </c>
      <c r="G5827" s="2">
        <v>45573</v>
      </c>
      <c r="H5827" s="3">
        <f t="shared" ref="H5827:H5890" si="91">DATEDIF(G5828,DATE(2025,12,31),"d")/365</f>
        <v>1.0246575342465754</v>
      </c>
      <c r="I5827">
        <v>88</v>
      </c>
      <c r="J5827" t="s">
        <v>57</v>
      </c>
      <c r="K5827" t="s">
        <v>56</v>
      </c>
      <c r="L5827" t="s">
        <v>44</v>
      </c>
      <c r="M5827">
        <v>8.4700000000000006</v>
      </c>
      <c r="T5827" t="s">
        <v>45</v>
      </c>
      <c r="U5827">
        <v>4</v>
      </c>
      <c r="V5827">
        <v>6</v>
      </c>
    </row>
    <row r="5828" spans="1:22" x14ac:dyDescent="0.3">
      <c r="A5828">
        <v>5827</v>
      </c>
      <c r="B5828">
        <v>56386</v>
      </c>
      <c r="C5828" s="2">
        <v>38032</v>
      </c>
      <c r="D5828">
        <v>21</v>
      </c>
      <c r="E5828" t="s">
        <v>42</v>
      </c>
      <c r="F5828" t="s">
        <v>37</v>
      </c>
      <c r="G5828" s="2">
        <v>45648</v>
      </c>
      <c r="H5828" s="3">
        <f t="shared" si="91"/>
        <v>1.4684931506849315</v>
      </c>
      <c r="I5828">
        <v>88</v>
      </c>
      <c r="J5828" t="s">
        <v>57</v>
      </c>
      <c r="K5828" t="s">
        <v>56</v>
      </c>
      <c r="L5828" t="s">
        <v>44</v>
      </c>
      <c r="M5828">
        <v>8.4700000000000006</v>
      </c>
      <c r="T5828" t="s">
        <v>45</v>
      </c>
      <c r="U5828">
        <v>1</v>
      </c>
      <c r="V5828">
        <v>5</v>
      </c>
    </row>
    <row r="5829" spans="1:22" x14ac:dyDescent="0.3">
      <c r="A5829">
        <v>5828</v>
      </c>
      <c r="B5829">
        <v>56387</v>
      </c>
      <c r="C5829" s="2">
        <v>38170</v>
      </c>
      <c r="D5829">
        <v>21</v>
      </c>
      <c r="E5829" t="s">
        <v>42</v>
      </c>
      <c r="F5829" t="s">
        <v>37</v>
      </c>
      <c r="G5829" s="2">
        <v>45486</v>
      </c>
      <c r="H5829" s="3">
        <f t="shared" si="91"/>
        <v>1.263013698630137</v>
      </c>
      <c r="I5829">
        <v>88</v>
      </c>
      <c r="J5829" t="s">
        <v>57</v>
      </c>
      <c r="K5829" t="s">
        <v>56</v>
      </c>
      <c r="L5829" t="s">
        <v>44</v>
      </c>
      <c r="M5829">
        <v>8.4700000000000006</v>
      </c>
      <c r="T5829" t="s">
        <v>47</v>
      </c>
      <c r="U5829">
        <v>2</v>
      </c>
      <c r="V5829">
        <v>5</v>
      </c>
    </row>
    <row r="5830" spans="1:22" x14ac:dyDescent="0.3">
      <c r="A5830">
        <v>5829</v>
      </c>
      <c r="B5830">
        <v>56388</v>
      </c>
      <c r="C5830" s="2">
        <v>38440</v>
      </c>
      <c r="D5830">
        <v>20</v>
      </c>
      <c r="E5830" t="s">
        <v>42</v>
      </c>
      <c r="F5830" t="s">
        <v>50</v>
      </c>
      <c r="G5830" s="2">
        <v>45561</v>
      </c>
      <c r="H5830" s="3">
        <f t="shared" si="91"/>
        <v>1.5287671232876712</v>
      </c>
      <c r="I5830">
        <v>88</v>
      </c>
      <c r="J5830" t="s">
        <v>57</v>
      </c>
      <c r="K5830" t="s">
        <v>56</v>
      </c>
      <c r="L5830" t="s">
        <v>44</v>
      </c>
      <c r="M5830">
        <v>8.4700000000000006</v>
      </c>
      <c r="T5830" t="s">
        <v>52</v>
      </c>
      <c r="U5830">
        <v>2</v>
      </c>
      <c r="V5830">
        <v>6</v>
      </c>
    </row>
    <row r="5831" spans="1:22" x14ac:dyDescent="0.3">
      <c r="A5831">
        <v>5830</v>
      </c>
      <c r="B5831">
        <v>56389</v>
      </c>
      <c r="C5831" s="2">
        <v>34968</v>
      </c>
      <c r="D5831">
        <v>30</v>
      </c>
      <c r="E5831" t="s">
        <v>42</v>
      </c>
      <c r="F5831" t="s">
        <v>50</v>
      </c>
      <c r="G5831" s="2">
        <v>45464</v>
      </c>
      <c r="H5831" s="3">
        <f t="shared" si="91"/>
        <v>1.295890410958904</v>
      </c>
      <c r="I5831">
        <v>88</v>
      </c>
      <c r="J5831" t="s">
        <v>57</v>
      </c>
      <c r="K5831" t="s">
        <v>56</v>
      </c>
      <c r="L5831" t="s">
        <v>44</v>
      </c>
      <c r="M5831">
        <v>8.4700000000000006</v>
      </c>
      <c r="T5831" t="s">
        <v>47</v>
      </c>
      <c r="U5831">
        <v>0</v>
      </c>
      <c r="V5831">
        <v>5</v>
      </c>
    </row>
    <row r="5832" spans="1:22" x14ac:dyDescent="0.3">
      <c r="A5832">
        <v>5831</v>
      </c>
      <c r="B5832">
        <v>56390</v>
      </c>
      <c r="C5832" s="2">
        <v>38955</v>
      </c>
      <c r="D5832">
        <v>19</v>
      </c>
      <c r="E5832" t="s">
        <v>42</v>
      </c>
      <c r="F5832" t="s">
        <v>50</v>
      </c>
      <c r="G5832" s="2">
        <v>45549</v>
      </c>
      <c r="H5832" s="3">
        <f t="shared" si="91"/>
        <v>1.789041095890411</v>
      </c>
      <c r="I5832">
        <v>88</v>
      </c>
      <c r="J5832" t="s">
        <v>57</v>
      </c>
      <c r="K5832" t="s">
        <v>56</v>
      </c>
      <c r="L5832" t="s">
        <v>44</v>
      </c>
      <c r="M5832">
        <v>8.4700000000000006</v>
      </c>
      <c r="T5832" t="s">
        <v>47</v>
      </c>
      <c r="U5832">
        <v>0</v>
      </c>
      <c r="V5832">
        <v>5</v>
      </c>
    </row>
    <row r="5833" spans="1:22" x14ac:dyDescent="0.3">
      <c r="A5833">
        <v>5832</v>
      </c>
      <c r="B5833">
        <v>56391</v>
      </c>
      <c r="C5833" s="2">
        <v>37541</v>
      </c>
      <c r="D5833">
        <v>23</v>
      </c>
      <c r="E5833" t="s">
        <v>42</v>
      </c>
      <c r="F5833" t="s">
        <v>50</v>
      </c>
      <c r="G5833" s="2">
        <v>45369</v>
      </c>
      <c r="H5833" s="3">
        <f t="shared" si="91"/>
        <v>1.1753424657534246</v>
      </c>
      <c r="I5833">
        <v>88</v>
      </c>
      <c r="J5833" t="s">
        <v>57</v>
      </c>
      <c r="K5833" t="s">
        <v>56</v>
      </c>
      <c r="L5833" t="s">
        <v>44</v>
      </c>
      <c r="M5833">
        <v>8.4700000000000006</v>
      </c>
      <c r="T5833" t="s">
        <v>45</v>
      </c>
      <c r="U5833">
        <v>2</v>
      </c>
      <c r="V5833">
        <v>6</v>
      </c>
    </row>
    <row r="5834" spans="1:22" x14ac:dyDescent="0.3">
      <c r="A5834">
        <v>5833</v>
      </c>
      <c r="B5834">
        <v>56392</v>
      </c>
      <c r="C5834" s="2">
        <v>38761</v>
      </c>
      <c r="D5834">
        <v>19</v>
      </c>
      <c r="E5834" t="s">
        <v>42</v>
      </c>
      <c r="F5834" t="s">
        <v>50</v>
      </c>
      <c r="G5834" s="2">
        <v>45593</v>
      </c>
      <c r="H5834" s="3">
        <f t="shared" si="91"/>
        <v>1.178082191780822</v>
      </c>
      <c r="I5834">
        <v>88</v>
      </c>
      <c r="J5834" t="s">
        <v>57</v>
      </c>
      <c r="K5834" t="s">
        <v>56</v>
      </c>
      <c r="L5834" t="s">
        <v>44</v>
      </c>
      <c r="M5834">
        <v>8.4700000000000006</v>
      </c>
      <c r="T5834" t="s">
        <v>45</v>
      </c>
      <c r="U5834">
        <v>2</v>
      </c>
      <c r="V5834">
        <v>6</v>
      </c>
    </row>
    <row r="5835" spans="1:22" x14ac:dyDescent="0.3">
      <c r="A5835">
        <v>5834</v>
      </c>
      <c r="B5835">
        <v>56393</v>
      </c>
      <c r="C5835" s="2">
        <v>37816</v>
      </c>
      <c r="D5835">
        <v>22</v>
      </c>
      <c r="E5835" t="s">
        <v>42</v>
      </c>
      <c r="F5835" t="s">
        <v>50</v>
      </c>
      <c r="G5835" s="2">
        <v>45592</v>
      </c>
      <c r="H5835" s="3">
        <f t="shared" si="91"/>
        <v>1.0602739726027397</v>
      </c>
      <c r="I5835">
        <v>88</v>
      </c>
      <c r="J5835" t="s">
        <v>57</v>
      </c>
      <c r="K5835" t="s">
        <v>56</v>
      </c>
      <c r="L5835" t="s">
        <v>44</v>
      </c>
      <c r="M5835">
        <v>8.4700000000000006</v>
      </c>
      <c r="T5835" t="s">
        <v>52</v>
      </c>
      <c r="U5835">
        <v>2</v>
      </c>
      <c r="V5835">
        <v>7</v>
      </c>
    </row>
    <row r="5836" spans="1:22" x14ac:dyDescent="0.3">
      <c r="A5836">
        <v>5835</v>
      </c>
      <c r="B5836">
        <v>56394</v>
      </c>
      <c r="C5836" s="2">
        <v>39178</v>
      </c>
      <c r="D5836">
        <v>18</v>
      </c>
      <c r="E5836" t="s">
        <v>42</v>
      </c>
      <c r="F5836" t="s">
        <v>50</v>
      </c>
      <c r="G5836" s="2">
        <v>45635</v>
      </c>
      <c r="H5836" s="3">
        <f t="shared" si="91"/>
        <v>1.7698630136986302</v>
      </c>
      <c r="I5836">
        <v>88</v>
      </c>
      <c r="J5836" t="s">
        <v>57</v>
      </c>
      <c r="K5836" t="s">
        <v>56</v>
      </c>
      <c r="L5836" t="s">
        <v>44</v>
      </c>
      <c r="M5836">
        <v>8.4700000000000006</v>
      </c>
      <c r="T5836" t="s">
        <v>47</v>
      </c>
      <c r="U5836">
        <v>2</v>
      </c>
      <c r="V5836">
        <v>6</v>
      </c>
    </row>
    <row r="5837" spans="1:22" x14ac:dyDescent="0.3">
      <c r="A5837">
        <v>5836</v>
      </c>
      <c r="B5837">
        <v>56395</v>
      </c>
      <c r="C5837" s="2">
        <v>38318</v>
      </c>
      <c r="D5837">
        <v>21</v>
      </c>
      <c r="E5837" t="s">
        <v>42</v>
      </c>
      <c r="F5837" t="s">
        <v>37</v>
      </c>
      <c r="G5837" s="2">
        <v>45376</v>
      </c>
      <c r="H5837" s="3">
        <f t="shared" si="91"/>
        <v>1.8493150684931507</v>
      </c>
      <c r="I5837">
        <v>88</v>
      </c>
      <c r="J5837" t="s">
        <v>57</v>
      </c>
      <c r="K5837" t="s">
        <v>56</v>
      </c>
      <c r="L5837" t="s">
        <v>44</v>
      </c>
      <c r="M5837">
        <v>8.4700000000000006</v>
      </c>
      <c r="T5837" t="s">
        <v>45</v>
      </c>
      <c r="U5837">
        <v>3</v>
      </c>
      <c r="V5837">
        <v>6</v>
      </c>
    </row>
    <row r="5838" spans="1:22" x14ac:dyDescent="0.3">
      <c r="A5838">
        <v>5837</v>
      </c>
      <c r="B5838">
        <v>56396</v>
      </c>
      <c r="C5838" s="2">
        <v>34144</v>
      </c>
      <c r="D5838">
        <v>32</v>
      </c>
      <c r="E5838" t="s">
        <v>42</v>
      </c>
      <c r="F5838" t="s">
        <v>50</v>
      </c>
      <c r="G5838" s="2">
        <v>45347</v>
      </c>
      <c r="H5838" s="3">
        <f t="shared" si="91"/>
        <v>1.2493150684931507</v>
      </c>
      <c r="I5838">
        <v>88</v>
      </c>
      <c r="J5838" t="s">
        <v>57</v>
      </c>
      <c r="K5838" t="s">
        <v>56</v>
      </c>
      <c r="L5838" t="s">
        <v>44</v>
      </c>
      <c r="M5838">
        <v>8.4700000000000006</v>
      </c>
      <c r="T5838" t="s">
        <v>52</v>
      </c>
      <c r="U5838">
        <v>2</v>
      </c>
      <c r="V5838">
        <v>7</v>
      </c>
    </row>
    <row r="5839" spans="1:22" x14ac:dyDescent="0.3">
      <c r="A5839">
        <v>5838</v>
      </c>
      <c r="B5839">
        <v>56397</v>
      </c>
      <c r="C5839" s="2">
        <v>38243</v>
      </c>
      <c r="D5839">
        <v>21</v>
      </c>
      <c r="E5839" t="s">
        <v>42</v>
      </c>
      <c r="F5839" t="s">
        <v>37</v>
      </c>
      <c r="G5839" s="2">
        <v>45566</v>
      </c>
      <c r="H5839" s="3">
        <f t="shared" si="91"/>
        <v>1.7726027397260273</v>
      </c>
      <c r="I5839">
        <v>88</v>
      </c>
      <c r="J5839" t="s">
        <v>57</v>
      </c>
      <c r="K5839" t="s">
        <v>56</v>
      </c>
      <c r="L5839" t="s">
        <v>44</v>
      </c>
      <c r="M5839">
        <v>8.4700000000000006</v>
      </c>
      <c r="T5839" t="s">
        <v>52</v>
      </c>
      <c r="U5839">
        <v>1</v>
      </c>
      <c r="V5839">
        <v>5</v>
      </c>
    </row>
    <row r="5840" spans="1:22" x14ac:dyDescent="0.3">
      <c r="A5840">
        <v>5839</v>
      </c>
      <c r="B5840">
        <v>56398</v>
      </c>
      <c r="C5840" s="2">
        <v>39008</v>
      </c>
      <c r="D5840">
        <v>19</v>
      </c>
      <c r="E5840" t="s">
        <v>42</v>
      </c>
      <c r="F5840" t="s">
        <v>50</v>
      </c>
      <c r="G5840" s="2">
        <v>45375</v>
      </c>
      <c r="H5840" s="3">
        <f t="shared" si="91"/>
        <v>1.7753424657534247</v>
      </c>
      <c r="I5840">
        <v>88</v>
      </c>
      <c r="J5840" t="s">
        <v>57</v>
      </c>
      <c r="K5840" t="s">
        <v>56</v>
      </c>
      <c r="L5840" t="s">
        <v>44</v>
      </c>
      <c r="M5840">
        <v>8.4700000000000006</v>
      </c>
      <c r="T5840" t="s">
        <v>47</v>
      </c>
      <c r="U5840">
        <v>2</v>
      </c>
      <c r="V5840">
        <v>6</v>
      </c>
    </row>
    <row r="5841" spans="1:22" x14ac:dyDescent="0.3">
      <c r="A5841">
        <v>5840</v>
      </c>
      <c r="B5841">
        <v>56399</v>
      </c>
      <c r="C5841" s="2">
        <v>35274</v>
      </c>
      <c r="D5841">
        <v>29</v>
      </c>
      <c r="E5841" t="s">
        <v>42</v>
      </c>
      <c r="F5841" t="s">
        <v>50</v>
      </c>
      <c r="G5841" s="2">
        <v>45374</v>
      </c>
      <c r="H5841" s="3">
        <f t="shared" si="91"/>
        <v>1.8027397260273972</v>
      </c>
      <c r="I5841">
        <v>89</v>
      </c>
      <c r="J5841" t="s">
        <v>57</v>
      </c>
      <c r="K5841" t="s">
        <v>68</v>
      </c>
      <c r="L5841" t="s">
        <v>44</v>
      </c>
      <c r="M5841">
        <v>17</v>
      </c>
      <c r="T5841" t="s">
        <v>52</v>
      </c>
      <c r="U5841">
        <v>1</v>
      </c>
      <c r="V5841">
        <v>7</v>
      </c>
    </row>
    <row r="5842" spans="1:22" x14ac:dyDescent="0.3">
      <c r="A5842">
        <v>5841</v>
      </c>
      <c r="B5842">
        <v>56400</v>
      </c>
      <c r="C5842" s="2">
        <v>36447</v>
      </c>
      <c r="D5842">
        <v>26</v>
      </c>
      <c r="E5842" t="s">
        <v>36</v>
      </c>
      <c r="F5842" t="s">
        <v>50</v>
      </c>
      <c r="G5842" s="2">
        <v>45364</v>
      </c>
      <c r="H5842" s="3">
        <f t="shared" si="91"/>
        <v>1.2767123287671234</v>
      </c>
      <c r="I5842">
        <v>89</v>
      </c>
      <c r="J5842" t="s">
        <v>57</v>
      </c>
      <c r="K5842" t="s">
        <v>68</v>
      </c>
      <c r="L5842" t="s">
        <v>44</v>
      </c>
      <c r="M5842">
        <v>17</v>
      </c>
      <c r="T5842" t="s">
        <v>52</v>
      </c>
      <c r="U5842">
        <v>2</v>
      </c>
      <c r="V5842">
        <v>3</v>
      </c>
    </row>
    <row r="5843" spans="1:22" x14ac:dyDescent="0.3">
      <c r="A5843">
        <v>5842</v>
      </c>
      <c r="B5843">
        <v>56401</v>
      </c>
      <c r="C5843" s="2">
        <v>37524</v>
      </c>
      <c r="D5843">
        <v>23</v>
      </c>
      <c r="E5843" t="s">
        <v>42</v>
      </c>
      <c r="F5843" t="s">
        <v>50</v>
      </c>
      <c r="G5843" s="2">
        <v>45556</v>
      </c>
      <c r="H5843" s="3">
        <f t="shared" si="91"/>
        <v>1.095890410958904</v>
      </c>
      <c r="I5843">
        <v>89</v>
      </c>
      <c r="J5843" t="s">
        <v>57</v>
      </c>
      <c r="K5843" t="s">
        <v>56</v>
      </c>
      <c r="L5843" t="s">
        <v>44</v>
      </c>
      <c r="M5843">
        <v>8.4700000000000006</v>
      </c>
      <c r="T5843" t="s">
        <v>47</v>
      </c>
      <c r="U5843">
        <v>4</v>
      </c>
      <c r="V5843">
        <v>4</v>
      </c>
    </row>
    <row r="5844" spans="1:22" x14ac:dyDescent="0.3">
      <c r="A5844">
        <v>5843</v>
      </c>
      <c r="B5844">
        <v>56402</v>
      </c>
      <c r="C5844" s="2">
        <v>37581</v>
      </c>
      <c r="D5844">
        <v>23</v>
      </c>
      <c r="E5844" t="s">
        <v>36</v>
      </c>
      <c r="F5844" t="s">
        <v>50</v>
      </c>
      <c r="G5844" s="2">
        <v>45622</v>
      </c>
      <c r="H5844" s="3">
        <f t="shared" si="91"/>
        <v>1.6739726027397259</v>
      </c>
      <c r="I5844">
        <v>89</v>
      </c>
      <c r="J5844" t="s">
        <v>57</v>
      </c>
      <c r="K5844" t="s">
        <v>56</v>
      </c>
      <c r="L5844" t="s">
        <v>44</v>
      </c>
      <c r="M5844">
        <v>8.4700000000000006</v>
      </c>
      <c r="T5844" t="s">
        <v>49</v>
      </c>
      <c r="U5844">
        <v>3</v>
      </c>
      <c r="V5844">
        <v>5</v>
      </c>
    </row>
    <row r="5845" spans="1:22" x14ac:dyDescent="0.3">
      <c r="A5845">
        <v>5844</v>
      </c>
      <c r="B5845">
        <v>56403</v>
      </c>
      <c r="C5845" s="2">
        <v>37965</v>
      </c>
      <c r="D5845">
        <v>22</v>
      </c>
      <c r="E5845" t="s">
        <v>42</v>
      </c>
      <c r="F5845" t="s">
        <v>50</v>
      </c>
      <c r="G5845" s="2">
        <v>45411</v>
      </c>
      <c r="H5845" s="3">
        <f t="shared" si="91"/>
        <v>1.0986301369863014</v>
      </c>
      <c r="I5845">
        <v>89</v>
      </c>
      <c r="J5845" t="s">
        <v>57</v>
      </c>
      <c r="K5845" t="s">
        <v>56</v>
      </c>
      <c r="L5845" t="s">
        <v>44</v>
      </c>
      <c r="M5845">
        <v>8.4700000000000006</v>
      </c>
      <c r="T5845" t="s">
        <v>49</v>
      </c>
      <c r="U5845">
        <v>1</v>
      </c>
      <c r="V5845">
        <v>5</v>
      </c>
    </row>
    <row r="5846" spans="1:22" x14ac:dyDescent="0.3">
      <c r="A5846">
        <v>5845</v>
      </c>
      <c r="B5846">
        <v>56404</v>
      </c>
      <c r="C5846" s="2">
        <v>35916</v>
      </c>
      <c r="D5846">
        <v>28</v>
      </c>
      <c r="E5846" t="s">
        <v>42</v>
      </c>
      <c r="F5846" t="s">
        <v>37</v>
      </c>
      <c r="G5846" s="2">
        <v>45621</v>
      </c>
      <c r="H5846" s="3">
        <f t="shared" si="91"/>
        <v>1.6246575342465754</v>
      </c>
      <c r="I5846">
        <v>89</v>
      </c>
      <c r="J5846" t="s">
        <v>57</v>
      </c>
      <c r="K5846" t="s">
        <v>56</v>
      </c>
      <c r="L5846" t="s">
        <v>44</v>
      </c>
      <c r="M5846">
        <v>8.4700000000000006</v>
      </c>
      <c r="T5846" t="s">
        <v>52</v>
      </c>
      <c r="U5846">
        <v>4</v>
      </c>
      <c r="V5846">
        <v>6</v>
      </c>
    </row>
    <row r="5847" spans="1:22" x14ac:dyDescent="0.3">
      <c r="A5847">
        <v>5846</v>
      </c>
      <c r="B5847">
        <v>56405</v>
      </c>
      <c r="C5847" s="2">
        <v>38767</v>
      </c>
      <c r="D5847">
        <v>19</v>
      </c>
      <c r="E5847" t="s">
        <v>42</v>
      </c>
      <c r="F5847" t="s">
        <v>50</v>
      </c>
      <c r="G5847" s="2">
        <v>45429</v>
      </c>
      <c r="H5847" s="3">
        <f t="shared" si="91"/>
        <v>1.0931506849315069</v>
      </c>
      <c r="I5847">
        <v>89</v>
      </c>
      <c r="J5847" t="s">
        <v>57</v>
      </c>
      <c r="K5847" t="s">
        <v>56</v>
      </c>
      <c r="L5847" t="s">
        <v>44</v>
      </c>
      <c r="M5847">
        <v>8.4700000000000006</v>
      </c>
      <c r="T5847" t="s">
        <v>45</v>
      </c>
      <c r="U5847">
        <v>1</v>
      </c>
      <c r="V5847">
        <v>6</v>
      </c>
    </row>
    <row r="5848" spans="1:22" x14ac:dyDescent="0.3">
      <c r="A5848">
        <v>5847</v>
      </c>
      <c r="B5848">
        <v>56406</v>
      </c>
      <c r="C5848" s="2">
        <v>38149</v>
      </c>
      <c r="D5848">
        <v>21</v>
      </c>
      <c r="E5848" t="s">
        <v>42</v>
      </c>
      <c r="F5848" t="s">
        <v>50</v>
      </c>
      <c r="G5848" s="2">
        <v>45623</v>
      </c>
      <c r="H5848" s="3">
        <f t="shared" si="91"/>
        <v>1.1123287671232878</v>
      </c>
      <c r="I5848">
        <v>89</v>
      </c>
      <c r="J5848" t="s">
        <v>57</v>
      </c>
      <c r="K5848" t="s">
        <v>56</v>
      </c>
      <c r="L5848" t="s">
        <v>44</v>
      </c>
      <c r="M5848">
        <v>8.4700000000000006</v>
      </c>
      <c r="T5848" t="s">
        <v>45</v>
      </c>
      <c r="U5848">
        <v>1</v>
      </c>
      <c r="V5848">
        <v>6</v>
      </c>
    </row>
    <row r="5849" spans="1:22" x14ac:dyDescent="0.3">
      <c r="A5849">
        <v>5848</v>
      </c>
      <c r="B5849">
        <v>56407</v>
      </c>
      <c r="C5849" s="2">
        <v>37906</v>
      </c>
      <c r="D5849">
        <v>22</v>
      </c>
      <c r="E5849" t="s">
        <v>42</v>
      </c>
      <c r="F5849" t="s">
        <v>37</v>
      </c>
      <c r="G5849" s="2">
        <v>45616</v>
      </c>
      <c r="H5849" s="3">
        <f t="shared" si="91"/>
        <v>1.3260273972602741</v>
      </c>
      <c r="I5849">
        <v>89</v>
      </c>
      <c r="J5849" t="s">
        <v>57</v>
      </c>
      <c r="K5849" t="s">
        <v>56</v>
      </c>
      <c r="L5849" t="s">
        <v>44</v>
      </c>
      <c r="M5849">
        <v>8.4700000000000006</v>
      </c>
      <c r="T5849" t="s">
        <v>52</v>
      </c>
      <c r="U5849">
        <v>4</v>
      </c>
      <c r="V5849">
        <v>6</v>
      </c>
    </row>
    <row r="5850" spans="1:22" x14ac:dyDescent="0.3">
      <c r="A5850">
        <v>5849</v>
      </c>
      <c r="B5850">
        <v>56409</v>
      </c>
      <c r="C5850" s="2">
        <v>38461</v>
      </c>
      <c r="D5850">
        <v>20</v>
      </c>
      <c r="E5850" t="s">
        <v>42</v>
      </c>
      <c r="F5850" t="s">
        <v>37</v>
      </c>
      <c r="G5850" s="2">
        <v>45538</v>
      </c>
      <c r="H5850" s="3">
        <f t="shared" si="91"/>
        <v>1.1315068493150684</v>
      </c>
      <c r="I5850">
        <v>89</v>
      </c>
      <c r="J5850" t="s">
        <v>57</v>
      </c>
      <c r="K5850" t="s">
        <v>56</v>
      </c>
      <c r="L5850" t="s">
        <v>44</v>
      </c>
      <c r="M5850">
        <v>8.4700000000000006</v>
      </c>
      <c r="T5850" t="s">
        <v>52</v>
      </c>
      <c r="U5850">
        <v>2</v>
      </c>
      <c r="V5850">
        <v>7</v>
      </c>
    </row>
    <row r="5851" spans="1:22" x14ac:dyDescent="0.3">
      <c r="A5851">
        <v>5850</v>
      </c>
      <c r="B5851">
        <v>56410</v>
      </c>
      <c r="C5851" s="2">
        <v>36116</v>
      </c>
      <c r="D5851">
        <v>27</v>
      </c>
      <c r="E5851" t="s">
        <v>42</v>
      </c>
      <c r="F5851" t="s">
        <v>37</v>
      </c>
      <c r="G5851" s="2">
        <v>45609</v>
      </c>
      <c r="H5851" s="3">
        <f t="shared" si="91"/>
        <v>1.6465753424657534</v>
      </c>
      <c r="I5851">
        <v>89</v>
      </c>
      <c r="J5851" t="s">
        <v>57</v>
      </c>
      <c r="K5851" t="s">
        <v>56</v>
      </c>
      <c r="L5851" t="s">
        <v>44</v>
      </c>
      <c r="M5851">
        <v>8.4700000000000006</v>
      </c>
      <c r="T5851" t="s">
        <v>49</v>
      </c>
      <c r="U5851">
        <v>0</v>
      </c>
      <c r="V5851">
        <v>5</v>
      </c>
    </row>
    <row r="5852" spans="1:22" x14ac:dyDescent="0.3">
      <c r="A5852">
        <v>5851</v>
      </c>
      <c r="B5852">
        <v>56412</v>
      </c>
      <c r="C5852" s="2">
        <v>37239</v>
      </c>
      <c r="D5852">
        <v>24</v>
      </c>
      <c r="E5852" t="s">
        <v>36</v>
      </c>
      <c r="F5852" t="s">
        <v>50</v>
      </c>
      <c r="G5852" s="2">
        <v>45421</v>
      </c>
      <c r="H5852" s="3">
        <f t="shared" si="91"/>
        <v>1.558904109589041</v>
      </c>
      <c r="I5852">
        <v>90</v>
      </c>
      <c r="J5852" t="s">
        <v>57</v>
      </c>
      <c r="K5852" t="s">
        <v>68</v>
      </c>
      <c r="L5852" t="s">
        <v>44</v>
      </c>
      <c r="M5852">
        <v>17</v>
      </c>
      <c r="T5852" t="s">
        <v>45</v>
      </c>
      <c r="U5852">
        <v>0</v>
      </c>
      <c r="V5852">
        <v>5</v>
      </c>
    </row>
    <row r="5853" spans="1:22" x14ac:dyDescent="0.3">
      <c r="A5853">
        <v>5852</v>
      </c>
      <c r="B5853">
        <v>56413</v>
      </c>
      <c r="C5853" s="2">
        <v>37871</v>
      </c>
      <c r="D5853">
        <v>22</v>
      </c>
      <c r="E5853" t="s">
        <v>42</v>
      </c>
      <c r="F5853" t="s">
        <v>50</v>
      </c>
      <c r="G5853" s="2">
        <v>45453</v>
      </c>
      <c r="H5853" s="3">
        <f t="shared" si="91"/>
        <v>1.5945205479452054</v>
      </c>
      <c r="I5853">
        <v>90</v>
      </c>
      <c r="J5853" t="s">
        <v>57</v>
      </c>
      <c r="K5853" t="s">
        <v>68</v>
      </c>
      <c r="L5853" t="s">
        <v>44</v>
      </c>
      <c r="M5853">
        <v>17</v>
      </c>
      <c r="T5853" t="s">
        <v>49</v>
      </c>
      <c r="U5853">
        <v>1</v>
      </c>
      <c r="V5853">
        <v>6</v>
      </c>
    </row>
    <row r="5854" spans="1:22" x14ac:dyDescent="0.3">
      <c r="A5854">
        <v>5853</v>
      </c>
      <c r="B5854">
        <v>56414</v>
      </c>
      <c r="C5854" s="2">
        <v>37598</v>
      </c>
      <c r="D5854">
        <v>23</v>
      </c>
      <c r="E5854" t="s">
        <v>36</v>
      </c>
      <c r="F5854" t="s">
        <v>50</v>
      </c>
      <c r="G5854" s="2">
        <v>45440</v>
      </c>
      <c r="H5854" s="3">
        <f t="shared" si="91"/>
        <v>1.2054794520547945</v>
      </c>
      <c r="I5854">
        <v>90</v>
      </c>
      <c r="J5854" t="s">
        <v>57</v>
      </c>
      <c r="K5854" t="s">
        <v>65</v>
      </c>
      <c r="L5854" t="s">
        <v>44</v>
      </c>
      <c r="M5854">
        <v>10.64</v>
      </c>
      <c r="T5854" t="s">
        <v>52</v>
      </c>
      <c r="U5854">
        <v>1</v>
      </c>
      <c r="V5854">
        <v>4</v>
      </c>
    </row>
    <row r="5855" spans="1:22" x14ac:dyDescent="0.3">
      <c r="A5855">
        <v>5854</v>
      </c>
      <c r="B5855">
        <v>56415</v>
      </c>
      <c r="C5855" s="2">
        <v>38126</v>
      </c>
      <c r="D5855">
        <v>21</v>
      </c>
      <c r="E5855" t="s">
        <v>42</v>
      </c>
      <c r="F5855" t="s">
        <v>50</v>
      </c>
      <c r="G5855" s="2">
        <v>45582</v>
      </c>
      <c r="H5855" s="3">
        <f t="shared" si="91"/>
        <v>1.8767123287671232</v>
      </c>
      <c r="I5855">
        <v>90</v>
      </c>
      <c r="J5855" t="s">
        <v>57</v>
      </c>
      <c r="K5855" t="s">
        <v>65</v>
      </c>
      <c r="L5855" t="s">
        <v>44</v>
      </c>
      <c r="M5855">
        <v>10.64</v>
      </c>
      <c r="T5855" t="s">
        <v>45</v>
      </c>
      <c r="U5855">
        <v>0</v>
      </c>
      <c r="V5855">
        <v>4</v>
      </c>
    </row>
    <row r="5856" spans="1:22" x14ac:dyDescent="0.3">
      <c r="A5856">
        <v>5855</v>
      </c>
      <c r="B5856">
        <v>56416</v>
      </c>
      <c r="C5856" s="2">
        <v>37143</v>
      </c>
      <c r="D5856">
        <v>24</v>
      </c>
      <c r="E5856" t="s">
        <v>36</v>
      </c>
      <c r="F5856" t="s">
        <v>37</v>
      </c>
      <c r="G5856" s="2">
        <v>45337</v>
      </c>
      <c r="H5856" s="3">
        <f t="shared" si="91"/>
        <v>1.6986301369863013</v>
      </c>
      <c r="I5856">
        <v>90</v>
      </c>
      <c r="J5856" t="s">
        <v>57</v>
      </c>
      <c r="K5856" t="s">
        <v>46</v>
      </c>
      <c r="L5856" t="s">
        <v>44</v>
      </c>
      <c r="M5856">
        <v>14.23</v>
      </c>
      <c r="T5856" t="s">
        <v>49</v>
      </c>
      <c r="U5856">
        <v>1</v>
      </c>
      <c r="V5856">
        <v>4</v>
      </c>
    </row>
    <row r="5857" spans="1:22" x14ac:dyDescent="0.3">
      <c r="A5857">
        <v>5856</v>
      </c>
      <c r="B5857">
        <v>56417</v>
      </c>
      <c r="C5857" s="2">
        <v>34764</v>
      </c>
      <c r="D5857">
        <v>30</v>
      </c>
      <c r="E5857" t="s">
        <v>36</v>
      </c>
      <c r="F5857" t="s">
        <v>50</v>
      </c>
      <c r="G5857" s="2">
        <v>45402</v>
      </c>
      <c r="H5857" s="3">
        <f t="shared" si="91"/>
        <v>1.7753424657534247</v>
      </c>
      <c r="I5857">
        <v>90</v>
      </c>
      <c r="J5857" t="s">
        <v>57</v>
      </c>
      <c r="K5857" t="s">
        <v>55</v>
      </c>
      <c r="L5857" t="s">
        <v>44</v>
      </c>
      <c r="M5857">
        <v>17.59</v>
      </c>
      <c r="T5857" t="s">
        <v>52</v>
      </c>
      <c r="U5857">
        <v>2</v>
      </c>
      <c r="V5857">
        <v>4</v>
      </c>
    </row>
    <row r="5858" spans="1:22" x14ac:dyDescent="0.3">
      <c r="A5858">
        <v>5857</v>
      </c>
      <c r="B5858">
        <v>56418</v>
      </c>
      <c r="C5858" s="2">
        <v>38607</v>
      </c>
      <c r="D5858">
        <v>20</v>
      </c>
      <c r="E5858" t="s">
        <v>42</v>
      </c>
      <c r="F5858" t="s">
        <v>50</v>
      </c>
      <c r="G5858" s="2">
        <v>45374</v>
      </c>
      <c r="H5858" s="3">
        <f t="shared" si="91"/>
        <v>1.3808219178082193</v>
      </c>
      <c r="I5858">
        <v>90</v>
      </c>
      <c r="J5858" t="s">
        <v>57</v>
      </c>
      <c r="K5858" t="s">
        <v>56</v>
      </c>
      <c r="L5858" t="s">
        <v>44</v>
      </c>
      <c r="M5858">
        <v>8.4700000000000006</v>
      </c>
      <c r="T5858" t="s">
        <v>45</v>
      </c>
      <c r="U5858">
        <v>2</v>
      </c>
      <c r="V5858">
        <v>5</v>
      </c>
    </row>
    <row r="5859" spans="1:22" x14ac:dyDescent="0.3">
      <c r="A5859">
        <v>5858</v>
      </c>
      <c r="B5859">
        <v>56419</v>
      </c>
      <c r="C5859" s="2">
        <v>38097</v>
      </c>
      <c r="D5859">
        <v>21</v>
      </c>
      <c r="E5859" t="s">
        <v>42</v>
      </c>
      <c r="F5859" t="s">
        <v>50</v>
      </c>
      <c r="G5859" s="2">
        <v>45518</v>
      </c>
      <c r="H5859" s="3">
        <f t="shared" si="91"/>
        <v>1.4465753424657535</v>
      </c>
      <c r="I5859">
        <v>90</v>
      </c>
      <c r="J5859" t="s">
        <v>57</v>
      </c>
      <c r="K5859" t="s">
        <v>56</v>
      </c>
      <c r="L5859" t="s">
        <v>44</v>
      </c>
      <c r="M5859">
        <v>8.4700000000000006</v>
      </c>
      <c r="T5859" t="s">
        <v>52</v>
      </c>
      <c r="U5859">
        <v>3</v>
      </c>
      <c r="V5859">
        <v>7</v>
      </c>
    </row>
    <row r="5860" spans="1:22" x14ac:dyDescent="0.3">
      <c r="A5860">
        <v>5859</v>
      </c>
      <c r="B5860">
        <v>56421</v>
      </c>
      <c r="C5860" s="2">
        <v>38525</v>
      </c>
      <c r="D5860">
        <v>20</v>
      </c>
      <c r="E5860" t="s">
        <v>42</v>
      </c>
      <c r="F5860" t="s">
        <v>50</v>
      </c>
      <c r="G5860" s="2">
        <v>45494</v>
      </c>
      <c r="H5860" s="3">
        <f t="shared" si="91"/>
        <v>1.5287671232876712</v>
      </c>
      <c r="I5860">
        <v>90</v>
      </c>
      <c r="J5860" t="s">
        <v>57</v>
      </c>
      <c r="K5860" t="s">
        <v>56</v>
      </c>
      <c r="L5860" t="s">
        <v>44</v>
      </c>
      <c r="M5860">
        <v>8.4700000000000006</v>
      </c>
      <c r="T5860" t="s">
        <v>52</v>
      </c>
      <c r="U5860">
        <v>1</v>
      </c>
      <c r="V5860">
        <v>6</v>
      </c>
    </row>
    <row r="5861" spans="1:22" x14ac:dyDescent="0.3">
      <c r="A5861">
        <v>5860</v>
      </c>
      <c r="B5861">
        <v>56422</v>
      </c>
      <c r="C5861" s="2">
        <v>35757</v>
      </c>
      <c r="D5861">
        <v>28</v>
      </c>
      <c r="E5861" t="s">
        <v>36</v>
      </c>
      <c r="F5861" t="s">
        <v>37</v>
      </c>
      <c r="G5861" s="2">
        <v>45464</v>
      </c>
      <c r="H5861" s="3">
        <f t="shared" si="91"/>
        <v>1.5726027397260274</v>
      </c>
      <c r="I5861">
        <v>90</v>
      </c>
      <c r="J5861" t="s">
        <v>57</v>
      </c>
      <c r="K5861" t="s">
        <v>56</v>
      </c>
      <c r="L5861" t="s">
        <v>44</v>
      </c>
      <c r="M5861">
        <v>8.4700000000000006</v>
      </c>
      <c r="T5861" t="s">
        <v>52</v>
      </c>
      <c r="U5861">
        <v>2</v>
      </c>
      <c r="V5861">
        <v>4</v>
      </c>
    </row>
    <row r="5862" spans="1:22" x14ac:dyDescent="0.3">
      <c r="A5862">
        <v>5861</v>
      </c>
      <c r="B5862">
        <v>56423</v>
      </c>
      <c r="C5862" s="2">
        <v>38370</v>
      </c>
      <c r="D5862">
        <v>20</v>
      </c>
      <c r="E5862" t="s">
        <v>42</v>
      </c>
      <c r="F5862" t="s">
        <v>50</v>
      </c>
      <c r="G5862" s="2">
        <v>45448</v>
      </c>
      <c r="H5862" s="3">
        <f t="shared" si="91"/>
        <v>1.0904109589041096</v>
      </c>
      <c r="I5862">
        <v>90</v>
      </c>
      <c r="J5862" t="s">
        <v>57</v>
      </c>
      <c r="K5862" t="s">
        <v>56</v>
      </c>
      <c r="L5862" t="s">
        <v>44</v>
      </c>
      <c r="M5862">
        <v>8.4700000000000006</v>
      </c>
      <c r="T5862" t="s">
        <v>52</v>
      </c>
      <c r="U5862">
        <v>0</v>
      </c>
      <c r="V5862">
        <v>5</v>
      </c>
    </row>
    <row r="5863" spans="1:22" x14ac:dyDescent="0.3">
      <c r="A5863">
        <v>5862</v>
      </c>
      <c r="B5863">
        <v>56424</v>
      </c>
      <c r="C5863" s="2">
        <v>35281</v>
      </c>
      <c r="D5863">
        <v>29</v>
      </c>
      <c r="E5863" t="s">
        <v>42</v>
      </c>
      <c r="F5863" t="s">
        <v>37</v>
      </c>
      <c r="G5863" s="2">
        <v>45624</v>
      </c>
      <c r="H5863" s="3">
        <f t="shared" si="91"/>
        <v>1.2465753424657535</v>
      </c>
      <c r="I5863">
        <v>90</v>
      </c>
      <c r="J5863" t="s">
        <v>57</v>
      </c>
      <c r="K5863" t="s">
        <v>56</v>
      </c>
      <c r="L5863" t="s">
        <v>44</v>
      </c>
      <c r="M5863">
        <v>8.4700000000000006</v>
      </c>
      <c r="T5863" t="s">
        <v>45</v>
      </c>
      <c r="U5863">
        <v>4</v>
      </c>
      <c r="V5863">
        <v>7</v>
      </c>
    </row>
    <row r="5864" spans="1:22" x14ac:dyDescent="0.3">
      <c r="A5864">
        <v>5863</v>
      </c>
      <c r="B5864">
        <v>56425</v>
      </c>
      <c r="C5864" s="2">
        <v>34116</v>
      </c>
      <c r="D5864">
        <v>32</v>
      </c>
      <c r="E5864" t="s">
        <v>42</v>
      </c>
      <c r="F5864" t="s">
        <v>37</v>
      </c>
      <c r="G5864" s="2">
        <v>45567</v>
      </c>
      <c r="H5864" s="3">
        <f t="shared" si="91"/>
        <v>1.9095890410958904</v>
      </c>
      <c r="I5864">
        <v>90</v>
      </c>
      <c r="J5864" t="s">
        <v>57</v>
      </c>
      <c r="K5864" t="s">
        <v>56</v>
      </c>
      <c r="L5864" t="s">
        <v>44</v>
      </c>
      <c r="M5864">
        <v>8.4700000000000006</v>
      </c>
      <c r="T5864" t="s">
        <v>52</v>
      </c>
      <c r="U5864">
        <v>2</v>
      </c>
      <c r="V5864">
        <v>6</v>
      </c>
    </row>
    <row r="5865" spans="1:22" x14ac:dyDescent="0.3">
      <c r="A5865">
        <v>5864</v>
      </c>
      <c r="B5865">
        <v>56427</v>
      </c>
      <c r="C5865" s="2">
        <v>37494</v>
      </c>
      <c r="D5865">
        <v>23</v>
      </c>
      <c r="E5865" t="s">
        <v>42</v>
      </c>
      <c r="F5865" t="s">
        <v>50</v>
      </c>
      <c r="G5865" s="2">
        <v>45325</v>
      </c>
      <c r="H5865" s="3">
        <f t="shared" si="91"/>
        <v>1.484931506849315</v>
      </c>
      <c r="I5865">
        <v>90</v>
      </c>
      <c r="J5865" t="s">
        <v>57</v>
      </c>
      <c r="K5865" t="s">
        <v>56</v>
      </c>
      <c r="L5865" t="s">
        <v>44</v>
      </c>
      <c r="M5865">
        <v>8.4700000000000006</v>
      </c>
      <c r="T5865" t="s">
        <v>52</v>
      </c>
      <c r="U5865">
        <v>2</v>
      </c>
      <c r="V5865">
        <v>7</v>
      </c>
    </row>
    <row r="5866" spans="1:22" x14ac:dyDescent="0.3">
      <c r="A5866">
        <v>5865</v>
      </c>
      <c r="B5866">
        <v>56428</v>
      </c>
      <c r="C5866" s="2">
        <v>38763</v>
      </c>
      <c r="D5866">
        <v>19</v>
      </c>
      <c r="E5866" t="s">
        <v>42</v>
      </c>
      <c r="F5866" t="s">
        <v>50</v>
      </c>
      <c r="G5866" s="2">
        <v>45480</v>
      </c>
      <c r="H5866" s="3">
        <f t="shared" si="91"/>
        <v>1.7506849315068493</v>
      </c>
      <c r="I5866">
        <v>90</v>
      </c>
      <c r="J5866" t="s">
        <v>57</v>
      </c>
      <c r="K5866" t="s">
        <v>56</v>
      </c>
      <c r="L5866" t="s">
        <v>44</v>
      </c>
      <c r="M5866">
        <v>8.4700000000000006</v>
      </c>
      <c r="T5866" t="s">
        <v>49</v>
      </c>
      <c r="U5866">
        <v>1</v>
      </c>
      <c r="V5866">
        <v>6</v>
      </c>
    </row>
    <row r="5867" spans="1:22" x14ac:dyDescent="0.3">
      <c r="A5867">
        <v>5866</v>
      </c>
      <c r="B5867">
        <v>56429</v>
      </c>
      <c r="C5867" s="2">
        <v>39099</v>
      </c>
      <c r="D5867">
        <v>18</v>
      </c>
      <c r="E5867" t="s">
        <v>42</v>
      </c>
      <c r="F5867" t="s">
        <v>50</v>
      </c>
      <c r="G5867" s="2">
        <v>45383</v>
      </c>
      <c r="H5867" s="3">
        <f t="shared" si="91"/>
        <v>1.2712328767123289</v>
      </c>
      <c r="I5867">
        <v>90</v>
      </c>
      <c r="J5867" t="s">
        <v>57</v>
      </c>
      <c r="K5867" t="s">
        <v>56</v>
      </c>
      <c r="L5867" t="s">
        <v>44</v>
      </c>
      <c r="M5867">
        <v>8.4700000000000006</v>
      </c>
      <c r="T5867" t="s">
        <v>47</v>
      </c>
      <c r="U5867">
        <v>0</v>
      </c>
      <c r="V5867">
        <v>6</v>
      </c>
    </row>
    <row r="5868" spans="1:22" x14ac:dyDescent="0.3">
      <c r="A5868">
        <v>5867</v>
      </c>
      <c r="B5868">
        <v>56430</v>
      </c>
      <c r="C5868" s="2">
        <v>38407</v>
      </c>
      <c r="D5868">
        <v>20</v>
      </c>
      <c r="E5868" t="s">
        <v>42</v>
      </c>
      <c r="F5868" t="s">
        <v>50</v>
      </c>
      <c r="G5868" s="2">
        <v>45558</v>
      </c>
      <c r="H5868" s="3">
        <f t="shared" si="91"/>
        <v>1.5616438356164384</v>
      </c>
      <c r="I5868">
        <v>90</v>
      </c>
      <c r="J5868" t="s">
        <v>57</v>
      </c>
      <c r="K5868" t="s">
        <v>56</v>
      </c>
      <c r="L5868" t="s">
        <v>44</v>
      </c>
      <c r="M5868">
        <v>8.4700000000000006</v>
      </c>
      <c r="T5868" t="s">
        <v>45</v>
      </c>
      <c r="U5868">
        <v>1</v>
      </c>
      <c r="V5868">
        <v>7</v>
      </c>
    </row>
    <row r="5869" spans="1:22" x14ac:dyDescent="0.3">
      <c r="A5869">
        <v>5868</v>
      </c>
      <c r="B5869">
        <v>56431</v>
      </c>
      <c r="C5869" s="2">
        <v>38472</v>
      </c>
      <c r="D5869">
        <v>20</v>
      </c>
      <c r="E5869" t="s">
        <v>42</v>
      </c>
      <c r="F5869" t="s">
        <v>50</v>
      </c>
      <c r="G5869" s="2">
        <v>45452</v>
      </c>
      <c r="H5869" s="3">
        <f t="shared" si="91"/>
        <v>1.2684931506849315</v>
      </c>
      <c r="I5869">
        <v>90</v>
      </c>
      <c r="J5869" t="s">
        <v>57</v>
      </c>
      <c r="K5869" t="s">
        <v>56</v>
      </c>
      <c r="L5869" t="s">
        <v>44</v>
      </c>
      <c r="M5869">
        <v>8.4700000000000006</v>
      </c>
      <c r="T5869" t="s">
        <v>49</v>
      </c>
      <c r="U5869">
        <v>4</v>
      </c>
      <c r="V5869">
        <v>7</v>
      </c>
    </row>
    <row r="5870" spans="1:22" x14ac:dyDescent="0.3">
      <c r="A5870">
        <v>5869</v>
      </c>
      <c r="B5870">
        <v>56432</v>
      </c>
      <c r="C5870" s="2">
        <v>38523</v>
      </c>
      <c r="D5870">
        <v>20</v>
      </c>
      <c r="E5870" t="s">
        <v>36</v>
      </c>
      <c r="F5870" t="s">
        <v>50</v>
      </c>
      <c r="G5870" s="2">
        <v>45559</v>
      </c>
      <c r="H5870" s="3">
        <f t="shared" si="91"/>
        <v>1.5671232876712329</v>
      </c>
      <c r="I5870">
        <v>91</v>
      </c>
      <c r="J5870" t="s">
        <v>57</v>
      </c>
      <c r="K5870" t="s">
        <v>43</v>
      </c>
      <c r="L5870" t="s">
        <v>44</v>
      </c>
      <c r="M5870">
        <v>16.37</v>
      </c>
      <c r="T5870" t="s">
        <v>45</v>
      </c>
      <c r="U5870">
        <v>1</v>
      </c>
      <c r="V5870">
        <v>4</v>
      </c>
    </row>
    <row r="5871" spans="1:22" x14ac:dyDescent="0.3">
      <c r="A5871">
        <v>5870</v>
      </c>
      <c r="B5871">
        <v>56433</v>
      </c>
      <c r="C5871" s="2">
        <v>37416</v>
      </c>
      <c r="D5871">
        <v>23</v>
      </c>
      <c r="E5871" t="s">
        <v>36</v>
      </c>
      <c r="F5871" t="s">
        <v>50</v>
      </c>
      <c r="G5871" s="2">
        <v>45450</v>
      </c>
      <c r="H5871" s="3">
        <f t="shared" si="91"/>
        <v>1.3452054794520547</v>
      </c>
      <c r="I5871">
        <v>91</v>
      </c>
      <c r="J5871" t="s">
        <v>57</v>
      </c>
      <c r="K5871" t="s">
        <v>46</v>
      </c>
      <c r="L5871" t="s">
        <v>44</v>
      </c>
      <c r="M5871">
        <v>14.23</v>
      </c>
      <c r="T5871" t="s">
        <v>49</v>
      </c>
      <c r="U5871">
        <v>1</v>
      </c>
      <c r="V5871">
        <v>4</v>
      </c>
    </row>
    <row r="5872" spans="1:22" x14ac:dyDescent="0.3">
      <c r="A5872">
        <v>5871</v>
      </c>
      <c r="B5872">
        <v>56434</v>
      </c>
      <c r="C5872" s="2">
        <v>37948</v>
      </c>
      <c r="D5872">
        <v>22</v>
      </c>
      <c r="E5872" t="s">
        <v>42</v>
      </c>
      <c r="F5872" t="s">
        <v>37</v>
      </c>
      <c r="G5872" s="2">
        <v>45531</v>
      </c>
      <c r="H5872" s="3">
        <f t="shared" si="91"/>
        <v>1.2410958904109588</v>
      </c>
      <c r="I5872">
        <v>91</v>
      </c>
      <c r="J5872" t="s">
        <v>57</v>
      </c>
      <c r="K5872" t="s">
        <v>48</v>
      </c>
      <c r="L5872" t="s">
        <v>44</v>
      </c>
      <c r="M5872">
        <v>8.4700000000000006</v>
      </c>
      <c r="T5872" t="s">
        <v>52</v>
      </c>
      <c r="U5872">
        <v>1</v>
      </c>
      <c r="V5872">
        <v>6</v>
      </c>
    </row>
    <row r="5873" spans="1:22" x14ac:dyDescent="0.3">
      <c r="A5873">
        <v>5872</v>
      </c>
      <c r="B5873">
        <v>56435</v>
      </c>
      <c r="C5873" s="2">
        <v>35915</v>
      </c>
      <c r="D5873">
        <v>27</v>
      </c>
      <c r="E5873" t="s">
        <v>36</v>
      </c>
      <c r="F5873" t="s">
        <v>37</v>
      </c>
      <c r="G5873" s="2">
        <v>45569</v>
      </c>
      <c r="H5873" s="3">
        <f t="shared" si="91"/>
        <v>1.0273972602739727</v>
      </c>
      <c r="I5873">
        <v>91</v>
      </c>
      <c r="J5873" t="s">
        <v>57</v>
      </c>
      <c r="K5873" t="s">
        <v>54</v>
      </c>
      <c r="L5873" t="s">
        <v>44</v>
      </c>
      <c r="M5873">
        <v>23.78</v>
      </c>
      <c r="T5873" t="s">
        <v>45</v>
      </c>
      <c r="U5873">
        <v>3</v>
      </c>
      <c r="V5873">
        <v>3</v>
      </c>
    </row>
    <row r="5874" spans="1:22" x14ac:dyDescent="0.3">
      <c r="A5874">
        <v>5873</v>
      </c>
      <c r="B5874">
        <v>56436</v>
      </c>
      <c r="C5874" s="2">
        <v>38556</v>
      </c>
      <c r="D5874">
        <v>20</v>
      </c>
      <c r="E5874" t="s">
        <v>42</v>
      </c>
      <c r="F5874" t="s">
        <v>37</v>
      </c>
      <c r="G5874" s="2">
        <v>45647</v>
      </c>
      <c r="H5874" s="3">
        <f t="shared" si="91"/>
        <v>1.5972602739726027</v>
      </c>
      <c r="I5874">
        <v>91</v>
      </c>
      <c r="J5874" t="s">
        <v>57</v>
      </c>
      <c r="K5874" t="s">
        <v>56</v>
      </c>
      <c r="L5874" t="s">
        <v>44</v>
      </c>
      <c r="M5874">
        <v>8.4700000000000006</v>
      </c>
      <c r="T5874" t="s">
        <v>52</v>
      </c>
      <c r="U5874">
        <v>3</v>
      </c>
      <c r="V5874">
        <v>5</v>
      </c>
    </row>
    <row r="5875" spans="1:22" x14ac:dyDescent="0.3">
      <c r="A5875">
        <v>5874</v>
      </c>
      <c r="B5875">
        <v>56437</v>
      </c>
      <c r="C5875" s="2">
        <v>39315</v>
      </c>
      <c r="D5875">
        <v>18</v>
      </c>
      <c r="E5875" t="s">
        <v>42</v>
      </c>
      <c r="F5875" t="s">
        <v>37</v>
      </c>
      <c r="G5875" s="2">
        <v>45439</v>
      </c>
      <c r="H5875" s="3">
        <f t="shared" si="91"/>
        <v>1.3068493150684932</v>
      </c>
      <c r="I5875">
        <v>91</v>
      </c>
      <c r="J5875" t="s">
        <v>57</v>
      </c>
      <c r="K5875" t="s">
        <v>56</v>
      </c>
      <c r="L5875" t="s">
        <v>44</v>
      </c>
      <c r="M5875">
        <v>8.4700000000000006</v>
      </c>
      <c r="T5875" t="s">
        <v>52</v>
      </c>
      <c r="U5875">
        <v>1</v>
      </c>
      <c r="V5875">
        <v>5</v>
      </c>
    </row>
    <row r="5876" spans="1:22" x14ac:dyDescent="0.3">
      <c r="A5876">
        <v>5875</v>
      </c>
      <c r="B5876">
        <v>56438</v>
      </c>
      <c r="C5876" s="2">
        <v>37373</v>
      </c>
      <c r="D5876">
        <v>23</v>
      </c>
      <c r="E5876" t="s">
        <v>42</v>
      </c>
      <c r="F5876" t="s">
        <v>37</v>
      </c>
      <c r="G5876" s="2">
        <v>45545</v>
      </c>
      <c r="H5876" s="3">
        <f t="shared" si="91"/>
        <v>1.441095890410959</v>
      </c>
      <c r="I5876">
        <v>91</v>
      </c>
      <c r="J5876" t="s">
        <v>57</v>
      </c>
      <c r="K5876" t="s">
        <v>56</v>
      </c>
      <c r="L5876" t="s">
        <v>44</v>
      </c>
      <c r="M5876">
        <v>8.4700000000000006</v>
      </c>
      <c r="T5876" t="s">
        <v>45</v>
      </c>
      <c r="U5876">
        <v>1</v>
      </c>
      <c r="V5876">
        <v>6</v>
      </c>
    </row>
    <row r="5877" spans="1:22" x14ac:dyDescent="0.3">
      <c r="A5877">
        <v>5876</v>
      </c>
      <c r="B5877">
        <v>56439</v>
      </c>
      <c r="C5877" s="2">
        <v>38749</v>
      </c>
      <c r="D5877">
        <v>20</v>
      </c>
      <c r="E5877" t="s">
        <v>42</v>
      </c>
      <c r="F5877" t="s">
        <v>50</v>
      </c>
      <c r="G5877" s="2">
        <v>45496</v>
      </c>
      <c r="H5877" s="3">
        <f t="shared" si="91"/>
        <v>1.0465753424657533</v>
      </c>
      <c r="I5877">
        <v>91</v>
      </c>
      <c r="J5877" t="s">
        <v>57</v>
      </c>
      <c r="K5877" t="s">
        <v>56</v>
      </c>
      <c r="L5877" t="s">
        <v>44</v>
      </c>
      <c r="M5877">
        <v>8.4700000000000006</v>
      </c>
      <c r="T5877" t="s">
        <v>49</v>
      </c>
      <c r="U5877">
        <v>1</v>
      </c>
      <c r="V5877">
        <v>5</v>
      </c>
    </row>
    <row r="5878" spans="1:22" x14ac:dyDescent="0.3">
      <c r="A5878">
        <v>5877</v>
      </c>
      <c r="B5878">
        <v>56440</v>
      </c>
      <c r="C5878" s="2">
        <v>36768</v>
      </c>
      <c r="D5878">
        <v>25</v>
      </c>
      <c r="E5878" t="s">
        <v>42</v>
      </c>
      <c r="F5878" t="s">
        <v>37</v>
      </c>
      <c r="G5878" s="2">
        <v>45640</v>
      </c>
      <c r="H5878" s="3">
        <f t="shared" si="91"/>
        <v>1.3945205479452054</v>
      </c>
      <c r="I5878">
        <v>91</v>
      </c>
      <c r="J5878" t="s">
        <v>57</v>
      </c>
      <c r="K5878" t="s">
        <v>56</v>
      </c>
      <c r="L5878" t="s">
        <v>44</v>
      </c>
      <c r="M5878">
        <v>8.4700000000000006</v>
      </c>
      <c r="T5878" t="s">
        <v>45</v>
      </c>
      <c r="U5878">
        <v>2</v>
      </c>
      <c r="V5878">
        <v>7</v>
      </c>
    </row>
    <row r="5879" spans="1:22" x14ac:dyDescent="0.3">
      <c r="A5879">
        <v>5878</v>
      </c>
      <c r="B5879">
        <v>56441</v>
      </c>
      <c r="C5879" s="2">
        <v>38782</v>
      </c>
      <c r="D5879">
        <v>19</v>
      </c>
      <c r="E5879" t="s">
        <v>36</v>
      </c>
      <c r="F5879" t="s">
        <v>37</v>
      </c>
      <c r="G5879" s="2">
        <v>45513</v>
      </c>
      <c r="H5879" s="3">
        <f t="shared" si="91"/>
        <v>1.5123287671232877</v>
      </c>
      <c r="I5879">
        <v>91</v>
      </c>
      <c r="J5879" t="s">
        <v>57</v>
      </c>
      <c r="K5879" t="s">
        <v>56</v>
      </c>
      <c r="L5879" t="s">
        <v>44</v>
      </c>
      <c r="M5879">
        <v>8.4700000000000006</v>
      </c>
      <c r="T5879" t="s">
        <v>49</v>
      </c>
      <c r="U5879">
        <v>1</v>
      </c>
      <c r="V5879">
        <v>4</v>
      </c>
    </row>
    <row r="5880" spans="1:22" x14ac:dyDescent="0.3">
      <c r="A5880">
        <v>5879</v>
      </c>
      <c r="B5880">
        <v>56442</v>
      </c>
      <c r="C5880" s="2">
        <v>35281</v>
      </c>
      <c r="D5880">
        <v>29</v>
      </c>
      <c r="E5880" t="s">
        <v>42</v>
      </c>
      <c r="F5880" t="s">
        <v>50</v>
      </c>
      <c r="G5880" s="2">
        <v>45470</v>
      </c>
      <c r="H5880" s="3">
        <f t="shared" si="91"/>
        <v>1.2438356164383562</v>
      </c>
      <c r="I5880">
        <v>91</v>
      </c>
      <c r="J5880" t="s">
        <v>57</v>
      </c>
      <c r="K5880" t="s">
        <v>56</v>
      </c>
      <c r="L5880" t="s">
        <v>44</v>
      </c>
      <c r="M5880">
        <v>8.4700000000000006</v>
      </c>
      <c r="T5880" t="s">
        <v>52</v>
      </c>
      <c r="U5880">
        <v>2</v>
      </c>
      <c r="V5880">
        <v>4</v>
      </c>
    </row>
    <row r="5881" spans="1:22" x14ac:dyDescent="0.3">
      <c r="A5881">
        <v>5880</v>
      </c>
      <c r="B5881">
        <v>56443</v>
      </c>
      <c r="C5881" s="2">
        <v>38002</v>
      </c>
      <c r="D5881">
        <v>21</v>
      </c>
      <c r="E5881" t="s">
        <v>42</v>
      </c>
      <c r="F5881" t="s">
        <v>37</v>
      </c>
      <c r="G5881" s="2">
        <v>45568</v>
      </c>
      <c r="H5881" s="3">
        <f t="shared" si="91"/>
        <v>1.0684931506849316</v>
      </c>
      <c r="I5881">
        <v>91</v>
      </c>
      <c r="J5881" t="s">
        <v>57</v>
      </c>
      <c r="K5881" t="s">
        <v>56</v>
      </c>
      <c r="L5881" t="s">
        <v>44</v>
      </c>
      <c r="M5881">
        <v>8.4700000000000006</v>
      </c>
      <c r="T5881" t="s">
        <v>47</v>
      </c>
      <c r="U5881">
        <v>4</v>
      </c>
      <c r="V5881">
        <v>7</v>
      </c>
    </row>
    <row r="5882" spans="1:22" x14ac:dyDescent="0.3">
      <c r="A5882">
        <v>5881</v>
      </c>
      <c r="B5882">
        <v>56444</v>
      </c>
      <c r="C5882" s="2">
        <v>38339</v>
      </c>
      <c r="D5882">
        <v>21</v>
      </c>
      <c r="E5882" t="s">
        <v>42</v>
      </c>
      <c r="F5882" t="s">
        <v>50</v>
      </c>
      <c r="G5882" s="2">
        <v>45632</v>
      </c>
      <c r="H5882" s="3">
        <f t="shared" si="91"/>
        <v>1.704109589041096</v>
      </c>
      <c r="I5882">
        <v>91</v>
      </c>
      <c r="J5882" t="s">
        <v>57</v>
      </c>
      <c r="K5882" t="s">
        <v>56</v>
      </c>
      <c r="L5882" t="s">
        <v>44</v>
      </c>
      <c r="M5882">
        <v>8.4700000000000006</v>
      </c>
      <c r="T5882" t="s">
        <v>47</v>
      </c>
      <c r="U5882">
        <v>0</v>
      </c>
      <c r="V5882">
        <v>7</v>
      </c>
    </row>
    <row r="5883" spans="1:22" x14ac:dyDescent="0.3">
      <c r="A5883">
        <v>5882</v>
      </c>
      <c r="B5883">
        <v>56445</v>
      </c>
      <c r="C5883" s="2">
        <v>37436</v>
      </c>
      <c r="D5883">
        <v>23</v>
      </c>
      <c r="E5883" t="s">
        <v>42</v>
      </c>
      <c r="F5883" t="s">
        <v>50</v>
      </c>
      <c r="G5883" s="2">
        <v>45400</v>
      </c>
      <c r="H5883" s="3">
        <f t="shared" si="91"/>
        <v>1.6219178082191781</v>
      </c>
      <c r="I5883">
        <v>91</v>
      </c>
      <c r="J5883" t="s">
        <v>57</v>
      </c>
      <c r="K5883" t="s">
        <v>56</v>
      </c>
      <c r="L5883" t="s">
        <v>44</v>
      </c>
      <c r="M5883">
        <v>8.4700000000000006</v>
      </c>
      <c r="T5883" t="s">
        <v>52</v>
      </c>
      <c r="U5883">
        <v>2</v>
      </c>
      <c r="V5883">
        <v>7</v>
      </c>
    </row>
    <row r="5884" spans="1:22" x14ac:dyDescent="0.3">
      <c r="A5884">
        <v>5883</v>
      </c>
      <c r="B5884">
        <v>56446</v>
      </c>
      <c r="C5884" s="2">
        <v>38508</v>
      </c>
      <c r="D5884">
        <v>20</v>
      </c>
      <c r="E5884" t="s">
        <v>42</v>
      </c>
      <c r="F5884" t="s">
        <v>50</v>
      </c>
      <c r="G5884" s="2">
        <v>45430</v>
      </c>
      <c r="H5884" s="3">
        <f t="shared" si="91"/>
        <v>1.7561643835616438</v>
      </c>
      <c r="I5884">
        <v>91</v>
      </c>
      <c r="J5884" t="s">
        <v>57</v>
      </c>
      <c r="K5884" t="s">
        <v>56</v>
      </c>
      <c r="L5884" t="s">
        <v>44</v>
      </c>
      <c r="M5884">
        <v>8.4700000000000006</v>
      </c>
      <c r="T5884" t="s">
        <v>52</v>
      </c>
      <c r="U5884">
        <v>3</v>
      </c>
      <c r="V5884">
        <v>6</v>
      </c>
    </row>
    <row r="5885" spans="1:22" x14ac:dyDescent="0.3">
      <c r="A5885">
        <v>5884</v>
      </c>
      <c r="B5885">
        <v>56447</v>
      </c>
      <c r="C5885" s="2">
        <v>37117</v>
      </c>
      <c r="D5885">
        <v>24</v>
      </c>
      <c r="E5885" t="s">
        <v>42</v>
      </c>
      <c r="F5885" t="s">
        <v>50</v>
      </c>
      <c r="G5885" s="2">
        <v>45381</v>
      </c>
      <c r="H5885" s="3">
        <f t="shared" si="91"/>
        <v>1.1945205479452055</v>
      </c>
      <c r="I5885">
        <v>92</v>
      </c>
      <c r="J5885" t="s">
        <v>57</v>
      </c>
      <c r="K5885" t="s">
        <v>68</v>
      </c>
      <c r="L5885" t="s">
        <v>44</v>
      </c>
      <c r="M5885">
        <v>17</v>
      </c>
      <c r="T5885" t="s">
        <v>47</v>
      </c>
      <c r="U5885">
        <v>2</v>
      </c>
      <c r="V5885">
        <v>7</v>
      </c>
    </row>
    <row r="5886" spans="1:22" x14ac:dyDescent="0.3">
      <c r="A5886">
        <v>5885</v>
      </c>
      <c r="B5886">
        <v>56448</v>
      </c>
      <c r="C5886" s="2">
        <v>38528</v>
      </c>
      <c r="D5886">
        <v>20</v>
      </c>
      <c r="E5886" t="s">
        <v>36</v>
      </c>
      <c r="F5886" t="s">
        <v>37</v>
      </c>
      <c r="G5886" s="2">
        <v>45586</v>
      </c>
      <c r="H5886" s="3">
        <f t="shared" si="91"/>
        <v>1.6328767123287671</v>
      </c>
      <c r="I5886">
        <v>92</v>
      </c>
      <c r="J5886" t="s">
        <v>57</v>
      </c>
      <c r="K5886" t="s">
        <v>65</v>
      </c>
      <c r="L5886" t="s">
        <v>44</v>
      </c>
      <c r="M5886">
        <v>10.64</v>
      </c>
      <c r="T5886" t="s">
        <v>52</v>
      </c>
      <c r="U5886">
        <v>0</v>
      </c>
      <c r="V5886">
        <v>2</v>
      </c>
    </row>
    <row r="5887" spans="1:22" x14ac:dyDescent="0.3">
      <c r="A5887">
        <v>5886</v>
      </c>
      <c r="B5887">
        <v>56449</v>
      </c>
      <c r="C5887" s="2">
        <v>38348</v>
      </c>
      <c r="D5887">
        <v>21</v>
      </c>
      <c r="E5887" t="s">
        <v>36</v>
      </c>
      <c r="F5887" t="s">
        <v>50</v>
      </c>
      <c r="G5887" s="2">
        <v>45426</v>
      </c>
      <c r="H5887" s="3">
        <f t="shared" si="91"/>
        <v>1.252054794520548</v>
      </c>
      <c r="I5887">
        <v>92</v>
      </c>
      <c r="J5887" t="s">
        <v>57</v>
      </c>
      <c r="K5887" t="s">
        <v>65</v>
      </c>
      <c r="L5887" t="s">
        <v>44</v>
      </c>
      <c r="M5887">
        <v>10.64</v>
      </c>
      <c r="T5887" t="s">
        <v>52</v>
      </c>
      <c r="U5887">
        <v>1</v>
      </c>
      <c r="V5887">
        <v>3</v>
      </c>
    </row>
    <row r="5888" spans="1:22" x14ac:dyDescent="0.3">
      <c r="A5888">
        <v>5887</v>
      </c>
      <c r="B5888">
        <v>56450</v>
      </c>
      <c r="C5888" s="2">
        <v>38302</v>
      </c>
      <c r="D5888">
        <v>21</v>
      </c>
      <c r="E5888" t="s">
        <v>42</v>
      </c>
      <c r="F5888" t="s">
        <v>50</v>
      </c>
      <c r="G5888" s="2">
        <v>45565</v>
      </c>
      <c r="H5888" s="3">
        <f t="shared" si="91"/>
        <v>1.2547945205479452</v>
      </c>
      <c r="I5888">
        <v>92</v>
      </c>
      <c r="J5888" t="s">
        <v>57</v>
      </c>
      <c r="K5888" t="s">
        <v>56</v>
      </c>
      <c r="L5888" t="s">
        <v>44</v>
      </c>
      <c r="M5888">
        <v>8.4700000000000006</v>
      </c>
      <c r="T5888" t="s">
        <v>45</v>
      </c>
      <c r="U5888">
        <v>2</v>
      </c>
      <c r="V5888">
        <v>6</v>
      </c>
    </row>
    <row r="5889" spans="1:22" x14ac:dyDescent="0.3">
      <c r="A5889">
        <v>5888</v>
      </c>
      <c r="B5889">
        <v>56451</v>
      </c>
      <c r="C5889" s="2">
        <v>37155</v>
      </c>
      <c r="D5889">
        <v>24</v>
      </c>
      <c r="E5889" t="s">
        <v>36</v>
      </c>
      <c r="F5889" t="s">
        <v>50</v>
      </c>
      <c r="G5889" s="2">
        <v>45564</v>
      </c>
      <c r="H5889" s="3">
        <f t="shared" si="91"/>
        <v>1.3041095890410959</v>
      </c>
      <c r="I5889">
        <v>92</v>
      </c>
      <c r="J5889" t="s">
        <v>57</v>
      </c>
      <c r="K5889" t="s">
        <v>56</v>
      </c>
      <c r="L5889" t="s">
        <v>44</v>
      </c>
      <c r="M5889">
        <v>8.4700000000000006</v>
      </c>
      <c r="T5889" t="s">
        <v>47</v>
      </c>
      <c r="U5889">
        <v>1</v>
      </c>
      <c r="V5889">
        <v>3</v>
      </c>
    </row>
    <row r="5890" spans="1:22" x14ac:dyDescent="0.3">
      <c r="A5890">
        <v>5889</v>
      </c>
      <c r="B5890">
        <v>56452</v>
      </c>
      <c r="C5890" s="2">
        <v>38902</v>
      </c>
      <c r="D5890">
        <v>19</v>
      </c>
      <c r="E5890" t="s">
        <v>42</v>
      </c>
      <c r="F5890" t="s">
        <v>37</v>
      </c>
      <c r="G5890" s="2">
        <v>45546</v>
      </c>
      <c r="H5890" s="3">
        <f t="shared" si="91"/>
        <v>1.1232876712328768</v>
      </c>
      <c r="I5890">
        <v>92</v>
      </c>
      <c r="J5890" t="s">
        <v>57</v>
      </c>
      <c r="K5890" t="s">
        <v>56</v>
      </c>
      <c r="L5890" t="s">
        <v>44</v>
      </c>
      <c r="M5890">
        <v>8.4700000000000006</v>
      </c>
      <c r="T5890" t="s">
        <v>52</v>
      </c>
      <c r="U5890">
        <v>2</v>
      </c>
      <c r="V5890">
        <v>7</v>
      </c>
    </row>
    <row r="5891" spans="1:22" x14ac:dyDescent="0.3">
      <c r="A5891">
        <v>5890</v>
      </c>
      <c r="B5891">
        <v>56453</v>
      </c>
      <c r="C5891" s="2">
        <v>38704</v>
      </c>
      <c r="D5891">
        <v>20</v>
      </c>
      <c r="E5891" t="s">
        <v>42</v>
      </c>
      <c r="F5891" t="s">
        <v>50</v>
      </c>
      <c r="G5891" s="2">
        <v>45612</v>
      </c>
      <c r="H5891" s="3">
        <f t="shared" ref="H5891:H5954" si="92">DATEDIF(G5892,DATE(2025,12,31),"d")/365</f>
        <v>1.6493150684931508</v>
      </c>
      <c r="I5891">
        <v>92</v>
      </c>
      <c r="J5891" t="s">
        <v>57</v>
      </c>
      <c r="K5891" t="s">
        <v>56</v>
      </c>
      <c r="L5891" t="s">
        <v>44</v>
      </c>
      <c r="M5891">
        <v>8.4700000000000006</v>
      </c>
      <c r="T5891" t="s">
        <v>45</v>
      </c>
      <c r="U5891">
        <v>1</v>
      </c>
      <c r="V5891">
        <v>7</v>
      </c>
    </row>
    <row r="5892" spans="1:22" x14ac:dyDescent="0.3">
      <c r="A5892">
        <v>5891</v>
      </c>
      <c r="B5892">
        <v>56454</v>
      </c>
      <c r="C5892" s="2">
        <v>38120</v>
      </c>
      <c r="D5892">
        <v>21</v>
      </c>
      <c r="E5892" t="s">
        <v>42</v>
      </c>
      <c r="F5892" t="s">
        <v>37</v>
      </c>
      <c r="G5892" s="2">
        <v>45420</v>
      </c>
      <c r="H5892" s="3">
        <f t="shared" si="92"/>
        <v>1.2794520547945205</v>
      </c>
      <c r="I5892">
        <v>92</v>
      </c>
      <c r="J5892" t="s">
        <v>57</v>
      </c>
      <c r="K5892" t="s">
        <v>56</v>
      </c>
      <c r="L5892" t="s">
        <v>44</v>
      </c>
      <c r="M5892">
        <v>8.4700000000000006</v>
      </c>
      <c r="T5892" t="s">
        <v>52</v>
      </c>
      <c r="U5892">
        <v>1</v>
      </c>
      <c r="V5892">
        <v>6</v>
      </c>
    </row>
    <row r="5893" spans="1:22" x14ac:dyDescent="0.3">
      <c r="A5893">
        <v>5892</v>
      </c>
      <c r="B5893">
        <v>56455</v>
      </c>
      <c r="C5893" s="2">
        <v>37746</v>
      </c>
      <c r="D5893">
        <v>22</v>
      </c>
      <c r="E5893" t="s">
        <v>42</v>
      </c>
      <c r="F5893" t="s">
        <v>50</v>
      </c>
      <c r="G5893" s="2">
        <v>45555</v>
      </c>
      <c r="H5893" s="3">
        <f t="shared" si="92"/>
        <v>1.2876712328767124</v>
      </c>
      <c r="I5893">
        <v>92</v>
      </c>
      <c r="J5893" t="s">
        <v>57</v>
      </c>
      <c r="K5893" t="s">
        <v>56</v>
      </c>
      <c r="L5893" t="s">
        <v>44</v>
      </c>
      <c r="M5893">
        <v>8.4700000000000006</v>
      </c>
      <c r="T5893" t="s">
        <v>47</v>
      </c>
      <c r="U5893">
        <v>4</v>
      </c>
      <c r="V5893">
        <v>6</v>
      </c>
    </row>
    <row r="5894" spans="1:22" x14ac:dyDescent="0.3">
      <c r="A5894">
        <v>5893</v>
      </c>
      <c r="B5894">
        <v>56456</v>
      </c>
      <c r="C5894" s="2">
        <v>38861</v>
      </c>
      <c r="D5894">
        <v>19</v>
      </c>
      <c r="E5894" t="s">
        <v>42</v>
      </c>
      <c r="F5894" t="s">
        <v>50</v>
      </c>
      <c r="G5894" s="2">
        <v>45552</v>
      </c>
      <c r="H5894" s="3">
        <f t="shared" si="92"/>
        <v>1.6712328767123288</v>
      </c>
      <c r="I5894">
        <v>92</v>
      </c>
      <c r="J5894" t="s">
        <v>57</v>
      </c>
      <c r="K5894" t="s">
        <v>56</v>
      </c>
      <c r="L5894" t="s">
        <v>44</v>
      </c>
      <c r="M5894">
        <v>8.4700000000000006</v>
      </c>
      <c r="T5894" t="s">
        <v>52</v>
      </c>
      <c r="U5894">
        <v>1</v>
      </c>
      <c r="V5894">
        <v>6</v>
      </c>
    </row>
    <row r="5895" spans="1:22" x14ac:dyDescent="0.3">
      <c r="A5895">
        <v>5894</v>
      </c>
      <c r="B5895">
        <v>56457</v>
      </c>
      <c r="C5895" s="2">
        <v>34817</v>
      </c>
      <c r="D5895">
        <v>30</v>
      </c>
      <c r="E5895" t="s">
        <v>42</v>
      </c>
      <c r="F5895" t="s">
        <v>37</v>
      </c>
      <c r="G5895" s="2">
        <v>45412</v>
      </c>
      <c r="H5895" s="3">
        <f t="shared" si="92"/>
        <v>1.6904109589041096</v>
      </c>
      <c r="I5895">
        <v>92</v>
      </c>
      <c r="J5895" t="s">
        <v>57</v>
      </c>
      <c r="K5895" t="s">
        <v>56</v>
      </c>
      <c r="L5895" t="s">
        <v>44</v>
      </c>
      <c r="M5895">
        <v>8.4700000000000006</v>
      </c>
      <c r="T5895" t="s">
        <v>45</v>
      </c>
      <c r="U5895">
        <v>1</v>
      </c>
      <c r="V5895">
        <v>5</v>
      </c>
    </row>
    <row r="5896" spans="1:22" x14ac:dyDescent="0.3">
      <c r="A5896">
        <v>5895</v>
      </c>
      <c r="B5896">
        <v>56458</v>
      </c>
      <c r="C5896" s="2">
        <v>37838</v>
      </c>
      <c r="D5896">
        <v>22</v>
      </c>
      <c r="E5896" t="s">
        <v>36</v>
      </c>
      <c r="F5896" t="s">
        <v>50</v>
      </c>
      <c r="G5896" s="2">
        <v>45405</v>
      </c>
      <c r="H5896" s="3">
        <f t="shared" si="92"/>
        <v>1.3561643835616439</v>
      </c>
      <c r="I5896">
        <v>92</v>
      </c>
      <c r="J5896" t="s">
        <v>57</v>
      </c>
      <c r="K5896" t="s">
        <v>56</v>
      </c>
      <c r="L5896" t="s">
        <v>44</v>
      </c>
      <c r="M5896">
        <v>8.4700000000000006</v>
      </c>
      <c r="T5896" t="s">
        <v>52</v>
      </c>
      <c r="U5896">
        <v>1</v>
      </c>
      <c r="V5896">
        <v>4</v>
      </c>
    </row>
    <row r="5897" spans="1:22" x14ac:dyDescent="0.3">
      <c r="A5897">
        <v>5896</v>
      </c>
      <c r="B5897">
        <v>56459</v>
      </c>
      <c r="C5897" s="2">
        <v>38757</v>
      </c>
      <c r="D5897">
        <v>19</v>
      </c>
      <c r="E5897" t="s">
        <v>42</v>
      </c>
      <c r="F5897" t="s">
        <v>37</v>
      </c>
      <c r="G5897" s="2">
        <v>45527</v>
      </c>
      <c r="H5897" s="3">
        <f t="shared" si="92"/>
        <v>1.4136986301369863</v>
      </c>
      <c r="I5897">
        <v>92</v>
      </c>
      <c r="J5897" t="s">
        <v>57</v>
      </c>
      <c r="K5897" t="s">
        <v>56</v>
      </c>
      <c r="L5897" t="s">
        <v>44</v>
      </c>
      <c r="M5897">
        <v>8.4700000000000006</v>
      </c>
      <c r="T5897" t="s">
        <v>47</v>
      </c>
      <c r="U5897">
        <v>2</v>
      </c>
      <c r="V5897">
        <v>6</v>
      </c>
    </row>
    <row r="5898" spans="1:22" x14ac:dyDescent="0.3">
      <c r="A5898">
        <v>5897</v>
      </c>
      <c r="B5898">
        <v>56460</v>
      </c>
      <c r="C5898" s="2">
        <v>37431</v>
      </c>
      <c r="D5898">
        <v>23</v>
      </c>
      <c r="E5898" t="s">
        <v>36</v>
      </c>
      <c r="F5898" t="s">
        <v>50</v>
      </c>
      <c r="G5898" s="2">
        <v>45506</v>
      </c>
      <c r="H5898" s="3">
        <f t="shared" si="92"/>
        <v>1.3178082191780822</v>
      </c>
      <c r="I5898">
        <v>92</v>
      </c>
      <c r="J5898" t="s">
        <v>57</v>
      </c>
      <c r="K5898" t="s">
        <v>56</v>
      </c>
      <c r="L5898" t="s">
        <v>44</v>
      </c>
      <c r="M5898">
        <v>8.4700000000000006</v>
      </c>
      <c r="T5898" t="s">
        <v>45</v>
      </c>
      <c r="U5898">
        <v>3</v>
      </c>
      <c r="V5898">
        <v>4</v>
      </c>
    </row>
    <row r="5899" spans="1:22" x14ac:dyDescent="0.3">
      <c r="A5899">
        <v>5898</v>
      </c>
      <c r="B5899">
        <v>56461</v>
      </c>
      <c r="C5899" s="2">
        <v>36709</v>
      </c>
      <c r="D5899">
        <v>25</v>
      </c>
      <c r="E5899" t="s">
        <v>42</v>
      </c>
      <c r="F5899" t="s">
        <v>50</v>
      </c>
      <c r="G5899" s="2">
        <v>45541</v>
      </c>
      <c r="H5899" s="3">
        <f t="shared" si="92"/>
        <v>1.8027397260273972</v>
      </c>
      <c r="I5899">
        <v>93</v>
      </c>
      <c r="J5899" t="s">
        <v>57</v>
      </c>
      <c r="K5899" t="s">
        <v>68</v>
      </c>
      <c r="L5899" t="s">
        <v>44</v>
      </c>
      <c r="M5899">
        <v>17</v>
      </c>
      <c r="T5899" t="s">
        <v>49</v>
      </c>
      <c r="U5899">
        <v>2</v>
      </c>
      <c r="V5899">
        <v>6</v>
      </c>
    </row>
    <row r="5900" spans="1:22" x14ac:dyDescent="0.3">
      <c r="A5900">
        <v>5899</v>
      </c>
      <c r="B5900">
        <v>56462</v>
      </c>
      <c r="C5900" s="2">
        <v>36696</v>
      </c>
      <c r="D5900">
        <v>25</v>
      </c>
      <c r="E5900" t="s">
        <v>42</v>
      </c>
      <c r="F5900" t="s">
        <v>50</v>
      </c>
      <c r="G5900" s="2">
        <v>45364</v>
      </c>
      <c r="H5900" s="3">
        <f t="shared" si="92"/>
        <v>1.0602739726027397</v>
      </c>
      <c r="I5900">
        <v>93</v>
      </c>
      <c r="J5900" t="s">
        <v>57</v>
      </c>
      <c r="K5900" t="s">
        <v>68</v>
      </c>
      <c r="L5900" t="s">
        <v>44</v>
      </c>
      <c r="M5900">
        <v>17</v>
      </c>
      <c r="T5900" t="s">
        <v>47</v>
      </c>
      <c r="U5900">
        <v>3</v>
      </c>
      <c r="V5900">
        <v>6</v>
      </c>
    </row>
    <row r="5901" spans="1:22" x14ac:dyDescent="0.3">
      <c r="A5901">
        <v>5900</v>
      </c>
      <c r="B5901">
        <v>56463</v>
      </c>
      <c r="C5901" s="2">
        <v>38254</v>
      </c>
      <c r="D5901">
        <v>21</v>
      </c>
      <c r="E5901" t="s">
        <v>36</v>
      </c>
      <c r="F5901" t="s">
        <v>50</v>
      </c>
      <c r="G5901" s="2">
        <v>45635</v>
      </c>
      <c r="H5901" s="3">
        <f t="shared" si="92"/>
        <v>1.832876712328767</v>
      </c>
      <c r="I5901">
        <v>93</v>
      </c>
      <c r="J5901" t="s">
        <v>57</v>
      </c>
      <c r="K5901" t="s">
        <v>56</v>
      </c>
      <c r="L5901" t="s">
        <v>44</v>
      </c>
      <c r="M5901">
        <v>8.4700000000000006</v>
      </c>
      <c r="T5901" t="s">
        <v>45</v>
      </c>
      <c r="U5901">
        <v>4</v>
      </c>
      <c r="V5901">
        <v>5</v>
      </c>
    </row>
    <row r="5902" spans="1:22" x14ac:dyDescent="0.3">
      <c r="A5902">
        <v>5901</v>
      </c>
      <c r="B5902">
        <v>56464</v>
      </c>
      <c r="C5902" s="2">
        <v>37516</v>
      </c>
      <c r="D5902">
        <v>23</v>
      </c>
      <c r="E5902" t="s">
        <v>36</v>
      </c>
      <c r="F5902" t="s">
        <v>50</v>
      </c>
      <c r="G5902" s="2">
        <v>45353</v>
      </c>
      <c r="H5902" s="3">
        <f t="shared" si="92"/>
        <v>1.6383561643835616</v>
      </c>
      <c r="I5902">
        <v>93</v>
      </c>
      <c r="J5902" t="s">
        <v>57</v>
      </c>
      <c r="K5902" t="s">
        <v>56</v>
      </c>
      <c r="L5902" t="s">
        <v>44</v>
      </c>
      <c r="M5902">
        <v>8.4700000000000006</v>
      </c>
      <c r="T5902" t="s">
        <v>52</v>
      </c>
      <c r="U5902">
        <v>2</v>
      </c>
      <c r="V5902">
        <v>4</v>
      </c>
    </row>
    <row r="5903" spans="1:22" x14ac:dyDescent="0.3">
      <c r="A5903">
        <v>5902</v>
      </c>
      <c r="B5903">
        <v>56465</v>
      </c>
      <c r="C5903" s="2">
        <v>36336</v>
      </c>
      <c r="D5903">
        <v>26</v>
      </c>
      <c r="E5903" t="s">
        <v>42</v>
      </c>
      <c r="F5903" t="s">
        <v>50</v>
      </c>
      <c r="G5903" s="2">
        <v>45424</v>
      </c>
      <c r="H5903" s="3">
        <f t="shared" si="92"/>
        <v>1.8465753424657534</v>
      </c>
      <c r="I5903">
        <v>93</v>
      </c>
      <c r="J5903" t="s">
        <v>57</v>
      </c>
      <c r="K5903" t="s">
        <v>56</v>
      </c>
      <c r="L5903" t="s">
        <v>44</v>
      </c>
      <c r="M5903">
        <v>8.4700000000000006</v>
      </c>
      <c r="T5903" t="s">
        <v>47</v>
      </c>
      <c r="U5903">
        <v>2</v>
      </c>
      <c r="V5903">
        <v>5</v>
      </c>
    </row>
    <row r="5904" spans="1:22" x14ac:dyDescent="0.3">
      <c r="A5904">
        <v>5903</v>
      </c>
      <c r="B5904">
        <v>56466</v>
      </c>
      <c r="C5904" s="2">
        <v>35494</v>
      </c>
      <c r="D5904">
        <v>28</v>
      </c>
      <c r="E5904" t="s">
        <v>42</v>
      </c>
      <c r="F5904" t="s">
        <v>50</v>
      </c>
      <c r="G5904" s="2">
        <v>45348</v>
      </c>
      <c r="H5904" s="3">
        <f t="shared" si="92"/>
        <v>1.7342465753424658</v>
      </c>
      <c r="I5904">
        <v>93</v>
      </c>
      <c r="J5904" t="s">
        <v>57</v>
      </c>
      <c r="K5904" t="s">
        <v>56</v>
      </c>
      <c r="L5904" t="s">
        <v>44</v>
      </c>
      <c r="M5904">
        <v>8.4700000000000006</v>
      </c>
      <c r="T5904" t="s">
        <v>45</v>
      </c>
      <c r="U5904">
        <v>2</v>
      </c>
      <c r="V5904">
        <v>6</v>
      </c>
    </row>
    <row r="5905" spans="1:22" x14ac:dyDescent="0.3">
      <c r="A5905">
        <v>5904</v>
      </c>
      <c r="B5905">
        <v>56467</v>
      </c>
      <c r="C5905" s="2">
        <v>34118</v>
      </c>
      <c r="D5905">
        <v>32</v>
      </c>
      <c r="E5905" t="s">
        <v>42</v>
      </c>
      <c r="F5905" t="s">
        <v>37</v>
      </c>
      <c r="G5905" s="2">
        <v>45389</v>
      </c>
      <c r="H5905" s="3">
        <f t="shared" si="92"/>
        <v>1.0904109589041096</v>
      </c>
      <c r="I5905">
        <v>93</v>
      </c>
      <c r="J5905" t="s">
        <v>57</v>
      </c>
      <c r="K5905" t="s">
        <v>56</v>
      </c>
      <c r="L5905" t="s">
        <v>44</v>
      </c>
      <c r="M5905">
        <v>8.4700000000000006</v>
      </c>
      <c r="T5905" t="s">
        <v>52</v>
      </c>
      <c r="U5905">
        <v>0</v>
      </c>
      <c r="V5905">
        <v>5</v>
      </c>
    </row>
    <row r="5906" spans="1:22" x14ac:dyDescent="0.3">
      <c r="A5906">
        <v>5905</v>
      </c>
      <c r="B5906">
        <v>56468</v>
      </c>
      <c r="C5906" s="2">
        <v>38140</v>
      </c>
      <c r="D5906">
        <v>21</v>
      </c>
      <c r="E5906" t="s">
        <v>42</v>
      </c>
      <c r="F5906" t="s">
        <v>50</v>
      </c>
      <c r="G5906" s="2">
        <v>45624</v>
      </c>
      <c r="H5906" s="3">
        <f t="shared" si="92"/>
        <v>1.5342465753424657</v>
      </c>
      <c r="I5906">
        <v>93</v>
      </c>
      <c r="J5906" t="s">
        <v>57</v>
      </c>
      <c r="K5906" t="s">
        <v>56</v>
      </c>
      <c r="L5906" t="s">
        <v>44</v>
      </c>
      <c r="M5906">
        <v>8.4700000000000006</v>
      </c>
      <c r="T5906" t="s">
        <v>49</v>
      </c>
      <c r="U5906">
        <v>2</v>
      </c>
      <c r="V5906">
        <v>6</v>
      </c>
    </row>
    <row r="5907" spans="1:22" x14ac:dyDescent="0.3">
      <c r="A5907">
        <v>5906</v>
      </c>
      <c r="B5907">
        <v>56469</v>
      </c>
      <c r="C5907" s="2">
        <v>37951</v>
      </c>
      <c r="D5907">
        <v>22</v>
      </c>
      <c r="E5907" t="s">
        <v>42</v>
      </c>
      <c r="F5907" t="s">
        <v>50</v>
      </c>
      <c r="G5907" s="2">
        <v>45462</v>
      </c>
      <c r="H5907" s="3">
        <f t="shared" si="92"/>
        <v>1.4986301369863013</v>
      </c>
      <c r="I5907">
        <v>93</v>
      </c>
      <c r="J5907" t="s">
        <v>57</v>
      </c>
      <c r="K5907" t="s">
        <v>56</v>
      </c>
      <c r="L5907" t="s">
        <v>44</v>
      </c>
      <c r="M5907">
        <v>8.4700000000000006</v>
      </c>
      <c r="T5907" t="s">
        <v>45</v>
      </c>
      <c r="U5907">
        <v>2</v>
      </c>
      <c r="V5907">
        <v>6</v>
      </c>
    </row>
    <row r="5908" spans="1:22" x14ac:dyDescent="0.3">
      <c r="A5908">
        <v>5907</v>
      </c>
      <c r="B5908">
        <v>56470</v>
      </c>
      <c r="C5908" s="2">
        <v>38434</v>
      </c>
      <c r="D5908">
        <v>20</v>
      </c>
      <c r="E5908" t="s">
        <v>42</v>
      </c>
      <c r="F5908" t="s">
        <v>50</v>
      </c>
      <c r="G5908" s="2">
        <v>45475</v>
      </c>
      <c r="H5908" s="3">
        <f t="shared" si="92"/>
        <v>1.5506849315068494</v>
      </c>
      <c r="I5908">
        <v>93</v>
      </c>
      <c r="J5908" t="s">
        <v>57</v>
      </c>
      <c r="K5908" t="s">
        <v>56</v>
      </c>
      <c r="L5908" t="s">
        <v>44</v>
      </c>
      <c r="M5908">
        <v>8.4700000000000006</v>
      </c>
      <c r="T5908" t="s">
        <v>45</v>
      </c>
      <c r="U5908">
        <v>2</v>
      </c>
      <c r="V5908">
        <v>7</v>
      </c>
    </row>
    <row r="5909" spans="1:22" x14ac:dyDescent="0.3">
      <c r="A5909">
        <v>5908</v>
      </c>
      <c r="B5909">
        <v>56471</v>
      </c>
      <c r="C5909" s="2">
        <v>36782</v>
      </c>
      <c r="D5909">
        <v>25</v>
      </c>
      <c r="E5909" t="s">
        <v>42</v>
      </c>
      <c r="F5909" t="s">
        <v>50</v>
      </c>
      <c r="G5909" s="2">
        <v>45456</v>
      </c>
      <c r="H5909" s="3">
        <f t="shared" si="92"/>
        <v>1.263013698630137</v>
      </c>
      <c r="I5909">
        <v>93</v>
      </c>
      <c r="J5909" t="s">
        <v>57</v>
      </c>
      <c r="K5909" t="s">
        <v>56</v>
      </c>
      <c r="L5909" t="s">
        <v>44</v>
      </c>
      <c r="M5909">
        <v>8.4700000000000006</v>
      </c>
      <c r="T5909" t="s">
        <v>47</v>
      </c>
      <c r="U5909">
        <v>2</v>
      </c>
      <c r="V5909">
        <v>6</v>
      </c>
    </row>
    <row r="5910" spans="1:22" x14ac:dyDescent="0.3">
      <c r="A5910">
        <v>5909</v>
      </c>
      <c r="B5910">
        <v>56472</v>
      </c>
      <c r="C5910" s="2">
        <v>38337</v>
      </c>
      <c r="D5910">
        <v>21</v>
      </c>
      <c r="E5910" t="s">
        <v>42</v>
      </c>
      <c r="F5910" t="s">
        <v>37</v>
      </c>
      <c r="G5910" s="2">
        <v>45561</v>
      </c>
      <c r="H5910" s="3">
        <f t="shared" si="92"/>
        <v>1.8602739726027397</v>
      </c>
      <c r="I5910">
        <v>93</v>
      </c>
      <c r="J5910" t="s">
        <v>57</v>
      </c>
      <c r="K5910" t="s">
        <v>56</v>
      </c>
      <c r="L5910" t="s">
        <v>44</v>
      </c>
      <c r="M5910">
        <v>8.4700000000000006</v>
      </c>
      <c r="T5910" t="s">
        <v>45</v>
      </c>
      <c r="U5910">
        <v>3</v>
      </c>
      <c r="V5910">
        <v>5</v>
      </c>
    </row>
    <row r="5911" spans="1:22" x14ac:dyDescent="0.3">
      <c r="A5911">
        <v>5910</v>
      </c>
      <c r="B5911">
        <v>56473</v>
      </c>
      <c r="C5911" s="2">
        <v>37507</v>
      </c>
      <c r="D5911">
        <v>23</v>
      </c>
      <c r="E5911" t="s">
        <v>42</v>
      </c>
      <c r="F5911" t="s">
        <v>37</v>
      </c>
      <c r="G5911" s="2">
        <v>45343</v>
      </c>
      <c r="H5911" s="3">
        <f t="shared" si="92"/>
        <v>1.1232876712328768</v>
      </c>
      <c r="I5911">
        <v>93</v>
      </c>
      <c r="J5911" t="s">
        <v>57</v>
      </c>
      <c r="K5911" t="s">
        <v>56</v>
      </c>
      <c r="L5911" t="s">
        <v>44</v>
      </c>
      <c r="M5911">
        <v>8.4700000000000006</v>
      </c>
      <c r="T5911" t="s">
        <v>45</v>
      </c>
      <c r="U5911">
        <v>4</v>
      </c>
      <c r="V5911">
        <v>7</v>
      </c>
    </row>
    <row r="5912" spans="1:22" x14ac:dyDescent="0.3">
      <c r="A5912">
        <v>5911</v>
      </c>
      <c r="B5912">
        <v>56474</v>
      </c>
      <c r="C5912" s="2">
        <v>37676</v>
      </c>
      <c r="D5912">
        <v>22</v>
      </c>
      <c r="E5912" t="s">
        <v>42</v>
      </c>
      <c r="F5912" t="s">
        <v>50</v>
      </c>
      <c r="G5912" s="2">
        <v>45612</v>
      </c>
      <c r="H5912" s="3">
        <f t="shared" si="92"/>
        <v>1.8547945205479452</v>
      </c>
      <c r="I5912">
        <v>93</v>
      </c>
      <c r="J5912" t="s">
        <v>57</v>
      </c>
      <c r="K5912" t="s">
        <v>56</v>
      </c>
      <c r="L5912" t="s">
        <v>44</v>
      </c>
      <c r="M5912">
        <v>8.4700000000000006</v>
      </c>
      <c r="T5912" t="s">
        <v>45</v>
      </c>
      <c r="U5912">
        <v>1</v>
      </c>
      <c r="V5912">
        <v>6</v>
      </c>
    </row>
    <row r="5913" spans="1:22" x14ac:dyDescent="0.3">
      <c r="A5913">
        <v>5912</v>
      </c>
      <c r="B5913">
        <v>56475</v>
      </c>
      <c r="C5913" s="2">
        <v>38487</v>
      </c>
      <c r="D5913">
        <v>20</v>
      </c>
      <c r="E5913" t="s">
        <v>42</v>
      </c>
      <c r="F5913" t="s">
        <v>50</v>
      </c>
      <c r="G5913" s="2">
        <v>45345</v>
      </c>
      <c r="H5913" s="3">
        <f t="shared" si="92"/>
        <v>1.3178082191780822</v>
      </c>
      <c r="I5913">
        <v>93</v>
      </c>
      <c r="J5913" t="s">
        <v>57</v>
      </c>
      <c r="K5913" t="s">
        <v>56</v>
      </c>
      <c r="L5913" t="s">
        <v>44</v>
      </c>
      <c r="M5913">
        <v>8.4700000000000006</v>
      </c>
      <c r="T5913" t="s">
        <v>47</v>
      </c>
      <c r="U5913">
        <v>2</v>
      </c>
      <c r="V5913">
        <v>6</v>
      </c>
    </row>
    <row r="5914" spans="1:22" x14ac:dyDescent="0.3">
      <c r="A5914">
        <v>5913</v>
      </c>
      <c r="B5914">
        <v>56476</v>
      </c>
      <c r="C5914" s="2">
        <v>36945</v>
      </c>
      <c r="D5914">
        <v>24</v>
      </c>
      <c r="E5914" t="s">
        <v>42</v>
      </c>
      <c r="F5914" t="s">
        <v>50</v>
      </c>
      <c r="G5914" s="2">
        <v>45541</v>
      </c>
      <c r="H5914" s="3">
        <f t="shared" si="92"/>
        <v>1.8027397260273972</v>
      </c>
      <c r="I5914">
        <v>94</v>
      </c>
      <c r="J5914" t="s">
        <v>57</v>
      </c>
      <c r="K5914" t="s">
        <v>68</v>
      </c>
      <c r="L5914" t="s">
        <v>44</v>
      </c>
      <c r="M5914">
        <v>17</v>
      </c>
      <c r="T5914" t="s">
        <v>47</v>
      </c>
      <c r="U5914">
        <v>2</v>
      </c>
      <c r="V5914">
        <v>7</v>
      </c>
    </row>
    <row r="5915" spans="1:22" x14ac:dyDescent="0.3">
      <c r="A5915">
        <v>5914</v>
      </c>
      <c r="B5915">
        <v>56477</v>
      </c>
      <c r="C5915" s="2">
        <v>38554</v>
      </c>
      <c r="D5915">
        <v>20</v>
      </c>
      <c r="E5915" t="s">
        <v>42</v>
      </c>
      <c r="F5915" t="s">
        <v>50</v>
      </c>
      <c r="G5915" s="2">
        <v>45364</v>
      </c>
      <c r="H5915" s="3">
        <f t="shared" si="92"/>
        <v>1.5534246575342465</v>
      </c>
      <c r="I5915">
        <v>94</v>
      </c>
      <c r="J5915" t="s">
        <v>57</v>
      </c>
      <c r="K5915" t="s">
        <v>56</v>
      </c>
      <c r="L5915" t="s">
        <v>44</v>
      </c>
      <c r="M5915">
        <v>8.4700000000000006</v>
      </c>
      <c r="T5915" t="s">
        <v>49</v>
      </c>
      <c r="U5915">
        <v>0</v>
      </c>
      <c r="V5915">
        <v>6</v>
      </c>
    </row>
    <row r="5916" spans="1:22" x14ac:dyDescent="0.3">
      <c r="A5916">
        <v>5915</v>
      </c>
      <c r="B5916">
        <v>56478</v>
      </c>
      <c r="C5916" s="2">
        <v>38151</v>
      </c>
      <c r="D5916">
        <v>21</v>
      </c>
      <c r="E5916" t="s">
        <v>36</v>
      </c>
      <c r="F5916" t="s">
        <v>50</v>
      </c>
      <c r="G5916" s="2">
        <v>45455</v>
      </c>
      <c r="H5916" s="3">
        <f t="shared" si="92"/>
        <v>1.2438356164383562</v>
      </c>
      <c r="I5916">
        <v>94</v>
      </c>
      <c r="J5916" t="s">
        <v>57</v>
      </c>
      <c r="K5916" t="s">
        <v>56</v>
      </c>
      <c r="L5916" t="s">
        <v>44</v>
      </c>
      <c r="M5916">
        <v>8.4700000000000006</v>
      </c>
      <c r="T5916" t="s">
        <v>49</v>
      </c>
      <c r="U5916">
        <v>4</v>
      </c>
      <c r="V5916">
        <v>4</v>
      </c>
    </row>
    <row r="5917" spans="1:22" x14ac:dyDescent="0.3">
      <c r="A5917">
        <v>5916</v>
      </c>
      <c r="B5917">
        <v>56479</v>
      </c>
      <c r="C5917" s="2">
        <v>39250</v>
      </c>
      <c r="D5917">
        <v>18</v>
      </c>
      <c r="E5917" t="s">
        <v>42</v>
      </c>
      <c r="F5917" t="s">
        <v>50</v>
      </c>
      <c r="G5917" s="2">
        <v>45568</v>
      </c>
      <c r="H5917" s="3">
        <f t="shared" si="92"/>
        <v>1.1452054794520548</v>
      </c>
      <c r="I5917">
        <v>94</v>
      </c>
      <c r="J5917" t="s">
        <v>57</v>
      </c>
      <c r="K5917" t="s">
        <v>56</v>
      </c>
      <c r="L5917" t="s">
        <v>44</v>
      </c>
      <c r="M5917">
        <v>8.4700000000000006</v>
      </c>
      <c r="T5917" t="s">
        <v>47</v>
      </c>
      <c r="U5917">
        <v>3</v>
      </c>
      <c r="V5917">
        <v>7</v>
      </c>
    </row>
    <row r="5918" spans="1:22" x14ac:dyDescent="0.3">
      <c r="A5918">
        <v>5917</v>
      </c>
      <c r="B5918">
        <v>56480</v>
      </c>
      <c r="C5918" s="2">
        <v>37324</v>
      </c>
      <c r="D5918">
        <v>23</v>
      </c>
      <c r="E5918" t="s">
        <v>42</v>
      </c>
      <c r="F5918" t="s">
        <v>50</v>
      </c>
      <c r="G5918" s="2">
        <v>45604</v>
      </c>
      <c r="H5918" s="3">
        <f t="shared" si="92"/>
        <v>1.0301369863013699</v>
      </c>
      <c r="I5918">
        <v>94</v>
      </c>
      <c r="J5918" t="s">
        <v>57</v>
      </c>
      <c r="K5918" t="s">
        <v>56</v>
      </c>
      <c r="L5918" t="s">
        <v>44</v>
      </c>
      <c r="M5918">
        <v>8.4700000000000006</v>
      </c>
      <c r="T5918" t="s">
        <v>52</v>
      </c>
      <c r="U5918">
        <v>1</v>
      </c>
      <c r="V5918">
        <v>5</v>
      </c>
    </row>
    <row r="5919" spans="1:22" x14ac:dyDescent="0.3">
      <c r="A5919">
        <v>5918</v>
      </c>
      <c r="B5919">
        <v>56481</v>
      </c>
      <c r="C5919" s="2">
        <v>38636</v>
      </c>
      <c r="D5919">
        <v>20</v>
      </c>
      <c r="E5919" t="s">
        <v>36</v>
      </c>
      <c r="F5919" t="s">
        <v>50</v>
      </c>
      <c r="G5919" s="2">
        <v>45646</v>
      </c>
      <c r="H5919" s="3">
        <f t="shared" si="92"/>
        <v>1.5342465753424657</v>
      </c>
      <c r="I5919">
        <v>94</v>
      </c>
      <c r="J5919" t="s">
        <v>57</v>
      </c>
      <c r="K5919" t="s">
        <v>56</v>
      </c>
      <c r="L5919" t="s">
        <v>44</v>
      </c>
      <c r="M5919">
        <v>8.4700000000000006</v>
      </c>
      <c r="T5919" t="s">
        <v>45</v>
      </c>
      <c r="U5919">
        <v>4</v>
      </c>
      <c r="V5919">
        <v>4</v>
      </c>
    </row>
    <row r="5920" spans="1:22" x14ac:dyDescent="0.3">
      <c r="A5920">
        <v>5919</v>
      </c>
      <c r="B5920">
        <v>56482</v>
      </c>
      <c r="C5920" s="2">
        <v>35282</v>
      </c>
      <c r="D5920">
        <v>29</v>
      </c>
      <c r="E5920" t="s">
        <v>42</v>
      </c>
      <c r="F5920" t="s">
        <v>50</v>
      </c>
      <c r="G5920" s="2">
        <v>45462</v>
      </c>
      <c r="H5920" s="3">
        <f t="shared" si="92"/>
        <v>1.6246575342465754</v>
      </c>
      <c r="I5920">
        <v>94</v>
      </c>
      <c r="J5920" t="s">
        <v>57</v>
      </c>
      <c r="K5920" t="s">
        <v>56</v>
      </c>
      <c r="L5920" t="s">
        <v>44</v>
      </c>
      <c r="M5920">
        <v>8.4700000000000006</v>
      </c>
      <c r="T5920" t="s">
        <v>52</v>
      </c>
      <c r="U5920">
        <v>2</v>
      </c>
      <c r="V5920">
        <v>6</v>
      </c>
    </row>
    <row r="5921" spans="1:22" x14ac:dyDescent="0.3">
      <c r="A5921">
        <v>5920</v>
      </c>
      <c r="B5921">
        <v>56483</v>
      </c>
      <c r="C5921" s="2">
        <v>38692</v>
      </c>
      <c r="D5921">
        <v>20</v>
      </c>
      <c r="E5921" t="s">
        <v>42</v>
      </c>
      <c r="F5921" t="s">
        <v>50</v>
      </c>
      <c r="G5921" s="2">
        <v>45429</v>
      </c>
      <c r="H5921" s="3">
        <f t="shared" si="92"/>
        <v>1.5643835616438355</v>
      </c>
      <c r="I5921">
        <v>94</v>
      </c>
      <c r="J5921" t="s">
        <v>57</v>
      </c>
      <c r="K5921" t="s">
        <v>56</v>
      </c>
      <c r="L5921" t="s">
        <v>44</v>
      </c>
      <c r="M5921">
        <v>8.4700000000000006</v>
      </c>
      <c r="T5921" t="s">
        <v>49</v>
      </c>
      <c r="U5921">
        <v>2</v>
      </c>
      <c r="V5921">
        <v>6</v>
      </c>
    </row>
    <row r="5922" spans="1:22" x14ac:dyDescent="0.3">
      <c r="A5922">
        <v>5921</v>
      </c>
      <c r="B5922">
        <v>56484</v>
      </c>
      <c r="C5922" s="2">
        <v>38708</v>
      </c>
      <c r="D5922">
        <v>20</v>
      </c>
      <c r="E5922" t="s">
        <v>42</v>
      </c>
      <c r="F5922" t="s">
        <v>37</v>
      </c>
      <c r="G5922" s="2">
        <v>45451</v>
      </c>
      <c r="H5922" s="3">
        <f t="shared" si="92"/>
        <v>1.3150684931506849</v>
      </c>
      <c r="I5922">
        <v>94</v>
      </c>
      <c r="J5922" t="s">
        <v>57</v>
      </c>
      <c r="K5922" t="s">
        <v>56</v>
      </c>
      <c r="L5922" t="s">
        <v>44</v>
      </c>
      <c r="M5922">
        <v>8.4700000000000006</v>
      </c>
      <c r="T5922" t="s">
        <v>47</v>
      </c>
      <c r="U5922">
        <v>0</v>
      </c>
      <c r="V5922">
        <v>6</v>
      </c>
    </row>
    <row r="5923" spans="1:22" x14ac:dyDescent="0.3">
      <c r="A5923">
        <v>5922</v>
      </c>
      <c r="B5923">
        <v>56485</v>
      </c>
      <c r="C5923" s="2">
        <v>38726</v>
      </c>
      <c r="D5923">
        <v>19</v>
      </c>
      <c r="E5923" t="s">
        <v>42</v>
      </c>
      <c r="F5923" t="s">
        <v>50</v>
      </c>
      <c r="G5923" s="2">
        <v>45542</v>
      </c>
      <c r="H5923" s="3">
        <f t="shared" si="92"/>
        <v>1.3013698630136987</v>
      </c>
      <c r="I5923">
        <v>94</v>
      </c>
      <c r="J5923" t="s">
        <v>57</v>
      </c>
      <c r="K5923" t="s">
        <v>56</v>
      </c>
      <c r="L5923" t="s">
        <v>44</v>
      </c>
      <c r="M5923">
        <v>8.4700000000000006</v>
      </c>
      <c r="T5923" t="s">
        <v>52</v>
      </c>
      <c r="U5923">
        <v>1</v>
      </c>
      <c r="V5923">
        <v>6</v>
      </c>
    </row>
    <row r="5924" spans="1:22" x14ac:dyDescent="0.3">
      <c r="A5924">
        <v>5923</v>
      </c>
      <c r="B5924">
        <v>56486</v>
      </c>
      <c r="C5924" s="2">
        <v>39093</v>
      </c>
      <c r="D5924">
        <v>18</v>
      </c>
      <c r="E5924" t="s">
        <v>42</v>
      </c>
      <c r="F5924" t="s">
        <v>50</v>
      </c>
      <c r="G5924" s="2">
        <v>45547</v>
      </c>
      <c r="H5924" s="3">
        <f t="shared" si="92"/>
        <v>1.3369863013698631</v>
      </c>
      <c r="I5924">
        <v>94</v>
      </c>
      <c r="J5924" t="s">
        <v>57</v>
      </c>
      <c r="K5924" t="s">
        <v>56</v>
      </c>
      <c r="L5924" t="s">
        <v>44</v>
      </c>
      <c r="M5924">
        <v>8.4700000000000006</v>
      </c>
      <c r="T5924" t="s">
        <v>49</v>
      </c>
      <c r="U5924">
        <v>4</v>
      </c>
      <c r="V5924">
        <v>7</v>
      </c>
    </row>
    <row r="5925" spans="1:22" x14ac:dyDescent="0.3">
      <c r="A5925">
        <v>5924</v>
      </c>
      <c r="B5925">
        <v>56487</v>
      </c>
      <c r="C5925" s="2">
        <v>34096</v>
      </c>
      <c r="D5925">
        <v>32</v>
      </c>
      <c r="E5925" t="s">
        <v>42</v>
      </c>
      <c r="F5925" t="s">
        <v>50</v>
      </c>
      <c r="G5925" s="2">
        <v>45534</v>
      </c>
      <c r="H5925" s="3">
        <f t="shared" si="92"/>
        <v>1.3013698630136987</v>
      </c>
      <c r="I5925">
        <v>94</v>
      </c>
      <c r="J5925" t="s">
        <v>57</v>
      </c>
      <c r="K5925" t="s">
        <v>56</v>
      </c>
      <c r="L5925" t="s">
        <v>44</v>
      </c>
      <c r="M5925">
        <v>8.4700000000000006</v>
      </c>
      <c r="T5925" t="s">
        <v>49</v>
      </c>
      <c r="U5925">
        <v>1</v>
      </c>
      <c r="V5925">
        <v>6</v>
      </c>
    </row>
    <row r="5926" spans="1:22" x14ac:dyDescent="0.3">
      <c r="A5926">
        <v>5925</v>
      </c>
      <c r="B5926">
        <v>56488</v>
      </c>
      <c r="C5926" s="2">
        <v>36839</v>
      </c>
      <c r="D5926">
        <v>25</v>
      </c>
      <c r="E5926" t="s">
        <v>42</v>
      </c>
      <c r="F5926" t="s">
        <v>50</v>
      </c>
      <c r="G5926" s="2">
        <v>45547</v>
      </c>
      <c r="H5926" s="3">
        <f t="shared" si="92"/>
        <v>1.4821917808219178</v>
      </c>
      <c r="I5926">
        <v>94</v>
      </c>
      <c r="J5926" t="s">
        <v>57</v>
      </c>
      <c r="K5926" t="s">
        <v>56</v>
      </c>
      <c r="L5926" t="s">
        <v>44</v>
      </c>
      <c r="M5926">
        <v>8.4700000000000006</v>
      </c>
      <c r="T5926" t="s">
        <v>52</v>
      </c>
      <c r="U5926">
        <v>0</v>
      </c>
      <c r="V5926">
        <v>7</v>
      </c>
    </row>
    <row r="5927" spans="1:22" x14ac:dyDescent="0.3">
      <c r="A5927">
        <v>5926</v>
      </c>
      <c r="B5927">
        <v>56489</v>
      </c>
      <c r="C5927" s="2">
        <v>38331</v>
      </c>
      <c r="D5927">
        <v>21</v>
      </c>
      <c r="E5927" t="s">
        <v>42</v>
      </c>
      <c r="F5927" t="s">
        <v>50</v>
      </c>
      <c r="G5927" s="2">
        <v>45481</v>
      </c>
      <c r="H5927" s="3">
        <f t="shared" si="92"/>
        <v>1.2082191780821918</v>
      </c>
      <c r="I5927">
        <v>94</v>
      </c>
      <c r="J5927" t="s">
        <v>57</v>
      </c>
      <c r="K5927" t="s">
        <v>56</v>
      </c>
      <c r="L5927" t="s">
        <v>44</v>
      </c>
      <c r="M5927">
        <v>8.4700000000000006</v>
      </c>
      <c r="T5927" t="s">
        <v>49</v>
      </c>
      <c r="U5927">
        <v>3</v>
      </c>
      <c r="V5927">
        <v>7</v>
      </c>
    </row>
    <row r="5928" spans="1:22" x14ac:dyDescent="0.3">
      <c r="A5928">
        <v>5927</v>
      </c>
      <c r="B5928">
        <v>56490</v>
      </c>
      <c r="C5928" s="2">
        <v>38760</v>
      </c>
      <c r="D5928">
        <v>19</v>
      </c>
      <c r="E5928" t="s">
        <v>42</v>
      </c>
      <c r="F5928" t="s">
        <v>50</v>
      </c>
      <c r="G5928" s="2">
        <v>45581</v>
      </c>
      <c r="H5928" s="3">
        <f t="shared" si="92"/>
        <v>1.7205479452054795</v>
      </c>
      <c r="I5928">
        <v>94</v>
      </c>
      <c r="J5928" t="s">
        <v>57</v>
      </c>
      <c r="K5928" t="s">
        <v>56</v>
      </c>
      <c r="L5928" t="s">
        <v>44</v>
      </c>
      <c r="M5928">
        <v>8.4700000000000006</v>
      </c>
      <c r="T5928" t="s">
        <v>45</v>
      </c>
      <c r="U5928">
        <v>1</v>
      </c>
      <c r="V5928">
        <v>5</v>
      </c>
    </row>
    <row r="5929" spans="1:22" x14ac:dyDescent="0.3">
      <c r="A5929">
        <v>5928</v>
      </c>
      <c r="B5929">
        <v>56492</v>
      </c>
      <c r="C5929" s="2">
        <v>37288</v>
      </c>
      <c r="D5929">
        <v>24</v>
      </c>
      <c r="E5929" t="s">
        <v>42</v>
      </c>
      <c r="F5929" t="s">
        <v>50</v>
      </c>
      <c r="G5929" s="2">
        <v>45394</v>
      </c>
      <c r="H5929" s="3">
        <f t="shared" si="92"/>
        <v>1.0191780821917809</v>
      </c>
      <c r="I5929">
        <v>95</v>
      </c>
      <c r="J5929" t="s">
        <v>57</v>
      </c>
      <c r="K5929" t="s">
        <v>68</v>
      </c>
      <c r="L5929" t="s">
        <v>44</v>
      </c>
      <c r="M5929">
        <v>17</v>
      </c>
      <c r="T5929" t="s">
        <v>49</v>
      </c>
      <c r="U5929">
        <v>0</v>
      </c>
      <c r="V5929">
        <v>5</v>
      </c>
    </row>
    <row r="5930" spans="1:22" x14ac:dyDescent="0.3">
      <c r="A5930">
        <v>5929</v>
      </c>
      <c r="B5930">
        <v>56493</v>
      </c>
      <c r="C5930" s="2">
        <v>36590</v>
      </c>
      <c r="D5930">
        <v>25</v>
      </c>
      <c r="E5930" t="s">
        <v>42</v>
      </c>
      <c r="F5930" t="s">
        <v>50</v>
      </c>
      <c r="G5930" s="2">
        <v>45650</v>
      </c>
      <c r="H5930" s="3">
        <f t="shared" si="92"/>
        <v>1.0136986301369864</v>
      </c>
      <c r="I5930">
        <v>95</v>
      </c>
      <c r="J5930" t="s">
        <v>57</v>
      </c>
      <c r="K5930" t="s">
        <v>68</v>
      </c>
      <c r="L5930" t="s">
        <v>44</v>
      </c>
      <c r="M5930">
        <v>17</v>
      </c>
      <c r="T5930" t="s">
        <v>49</v>
      </c>
      <c r="U5930">
        <v>2</v>
      </c>
      <c r="V5930">
        <v>6</v>
      </c>
    </row>
    <row r="5931" spans="1:22" x14ac:dyDescent="0.3">
      <c r="A5931">
        <v>5930</v>
      </c>
      <c r="B5931">
        <v>56494</v>
      </c>
      <c r="C5931" s="2">
        <v>36741</v>
      </c>
      <c r="D5931">
        <v>25</v>
      </c>
      <c r="E5931" t="s">
        <v>36</v>
      </c>
      <c r="F5931" t="s">
        <v>50</v>
      </c>
      <c r="G5931" s="2">
        <v>45652</v>
      </c>
      <c r="H5931" s="3">
        <f t="shared" si="92"/>
        <v>1.3424657534246576</v>
      </c>
      <c r="I5931">
        <v>95</v>
      </c>
      <c r="J5931" t="s">
        <v>57</v>
      </c>
      <c r="K5931" t="s">
        <v>65</v>
      </c>
      <c r="L5931" t="s">
        <v>44</v>
      </c>
      <c r="M5931">
        <v>10.64</v>
      </c>
      <c r="T5931" t="s">
        <v>45</v>
      </c>
      <c r="U5931">
        <v>1</v>
      </c>
      <c r="V5931">
        <v>4</v>
      </c>
    </row>
    <row r="5932" spans="1:22" x14ac:dyDescent="0.3">
      <c r="A5932">
        <v>5931</v>
      </c>
      <c r="B5932">
        <v>56495</v>
      </c>
      <c r="C5932" s="2">
        <v>38941</v>
      </c>
      <c r="D5932">
        <v>19</v>
      </c>
      <c r="E5932" t="s">
        <v>42</v>
      </c>
      <c r="F5932" t="s">
        <v>37</v>
      </c>
      <c r="G5932" s="2">
        <v>45532</v>
      </c>
      <c r="H5932" s="3">
        <f t="shared" si="92"/>
        <v>1.8547945205479452</v>
      </c>
      <c r="I5932">
        <v>95</v>
      </c>
      <c r="J5932" t="s">
        <v>57</v>
      </c>
      <c r="K5932" t="s">
        <v>48</v>
      </c>
      <c r="L5932" t="s">
        <v>44</v>
      </c>
      <c r="M5932">
        <v>8.4700000000000006</v>
      </c>
      <c r="T5932" t="s">
        <v>45</v>
      </c>
      <c r="U5932">
        <v>1</v>
      </c>
      <c r="V5932">
        <v>4</v>
      </c>
    </row>
    <row r="5933" spans="1:22" x14ac:dyDescent="0.3">
      <c r="A5933">
        <v>5932</v>
      </c>
      <c r="B5933">
        <v>56496</v>
      </c>
      <c r="C5933" s="2">
        <v>37467</v>
      </c>
      <c r="D5933">
        <v>23</v>
      </c>
      <c r="E5933" t="s">
        <v>42</v>
      </c>
      <c r="F5933" t="s">
        <v>50</v>
      </c>
      <c r="G5933" s="2">
        <v>45345</v>
      </c>
      <c r="H5933" s="3">
        <f t="shared" si="92"/>
        <v>1.7452054794520548</v>
      </c>
      <c r="I5933">
        <v>95</v>
      </c>
      <c r="J5933" t="s">
        <v>57</v>
      </c>
      <c r="K5933" t="s">
        <v>56</v>
      </c>
      <c r="L5933" t="s">
        <v>44</v>
      </c>
      <c r="M5933">
        <v>8.4700000000000006</v>
      </c>
      <c r="T5933" t="s">
        <v>45</v>
      </c>
      <c r="U5933">
        <v>2</v>
      </c>
      <c r="V5933">
        <v>7</v>
      </c>
    </row>
    <row r="5934" spans="1:22" x14ac:dyDescent="0.3">
      <c r="A5934">
        <v>5933</v>
      </c>
      <c r="B5934">
        <v>56498</v>
      </c>
      <c r="C5934" s="2">
        <v>38049</v>
      </c>
      <c r="D5934">
        <v>21</v>
      </c>
      <c r="E5934" t="s">
        <v>42</v>
      </c>
      <c r="F5934" t="s">
        <v>50</v>
      </c>
      <c r="G5934" s="2">
        <v>45385</v>
      </c>
      <c r="H5934" s="3">
        <f t="shared" si="92"/>
        <v>1.095890410958904</v>
      </c>
      <c r="I5934">
        <v>95</v>
      </c>
      <c r="J5934" t="s">
        <v>57</v>
      </c>
      <c r="K5934" t="s">
        <v>56</v>
      </c>
      <c r="L5934" t="s">
        <v>44</v>
      </c>
      <c r="M5934">
        <v>8.4700000000000006</v>
      </c>
      <c r="T5934" t="s">
        <v>49</v>
      </c>
      <c r="U5934">
        <v>2</v>
      </c>
      <c r="V5934">
        <v>5</v>
      </c>
    </row>
    <row r="5935" spans="1:22" x14ac:dyDescent="0.3">
      <c r="A5935">
        <v>5934</v>
      </c>
      <c r="B5935">
        <v>56499</v>
      </c>
      <c r="C5935" s="2">
        <v>37607</v>
      </c>
      <c r="D5935">
        <v>23</v>
      </c>
      <c r="E5935" t="s">
        <v>42</v>
      </c>
      <c r="F5935" t="s">
        <v>50</v>
      </c>
      <c r="G5935" s="2">
        <v>45622</v>
      </c>
      <c r="H5935" s="3">
        <f t="shared" si="92"/>
        <v>1.8054794520547945</v>
      </c>
      <c r="I5935">
        <v>95</v>
      </c>
      <c r="J5935" t="s">
        <v>57</v>
      </c>
      <c r="K5935" t="s">
        <v>56</v>
      </c>
      <c r="L5935" t="s">
        <v>44</v>
      </c>
      <c r="M5935">
        <v>8.4700000000000006</v>
      </c>
      <c r="T5935" t="s">
        <v>47</v>
      </c>
      <c r="U5935">
        <v>2</v>
      </c>
      <c r="V5935">
        <v>7</v>
      </c>
    </row>
    <row r="5936" spans="1:22" x14ac:dyDescent="0.3">
      <c r="A5936">
        <v>5935</v>
      </c>
      <c r="B5936">
        <v>56500</v>
      </c>
      <c r="C5936" s="2">
        <v>37351</v>
      </c>
      <c r="D5936">
        <v>23</v>
      </c>
      <c r="E5936" t="s">
        <v>42</v>
      </c>
      <c r="F5936" t="s">
        <v>37</v>
      </c>
      <c r="G5936" s="2">
        <v>45363</v>
      </c>
      <c r="H5936" s="3">
        <f t="shared" si="92"/>
        <v>1.6821917808219178</v>
      </c>
      <c r="I5936">
        <v>95</v>
      </c>
      <c r="J5936" t="s">
        <v>57</v>
      </c>
      <c r="K5936" t="s">
        <v>56</v>
      </c>
      <c r="L5936" t="s">
        <v>44</v>
      </c>
      <c r="M5936">
        <v>8.4700000000000006</v>
      </c>
      <c r="T5936" t="s">
        <v>52</v>
      </c>
      <c r="U5936">
        <v>1</v>
      </c>
      <c r="V5936">
        <v>6</v>
      </c>
    </row>
    <row r="5937" spans="1:22" x14ac:dyDescent="0.3">
      <c r="A5937">
        <v>5936</v>
      </c>
      <c r="B5937">
        <v>56501</v>
      </c>
      <c r="C5937" s="2">
        <v>37263</v>
      </c>
      <c r="D5937">
        <v>23</v>
      </c>
      <c r="E5937" t="s">
        <v>42</v>
      </c>
      <c r="F5937" t="s">
        <v>50</v>
      </c>
      <c r="G5937" s="2">
        <v>45408</v>
      </c>
      <c r="H5937" s="3">
        <f t="shared" si="92"/>
        <v>1.3835616438356164</v>
      </c>
      <c r="I5937">
        <v>95</v>
      </c>
      <c r="J5937" t="s">
        <v>57</v>
      </c>
      <c r="K5937" t="s">
        <v>56</v>
      </c>
      <c r="L5937" t="s">
        <v>44</v>
      </c>
      <c r="M5937">
        <v>8.4700000000000006</v>
      </c>
      <c r="T5937" t="s">
        <v>49</v>
      </c>
      <c r="U5937">
        <v>2</v>
      </c>
      <c r="V5937">
        <v>6</v>
      </c>
    </row>
    <row r="5938" spans="1:22" x14ac:dyDescent="0.3">
      <c r="A5938">
        <v>5937</v>
      </c>
      <c r="B5938">
        <v>56502</v>
      </c>
      <c r="C5938" s="2">
        <v>37804</v>
      </c>
      <c r="D5938">
        <v>22</v>
      </c>
      <c r="E5938" t="s">
        <v>42</v>
      </c>
      <c r="F5938" t="s">
        <v>50</v>
      </c>
      <c r="G5938" s="2">
        <v>45517</v>
      </c>
      <c r="H5938" s="3">
        <f t="shared" si="92"/>
        <v>1.4136986301369863</v>
      </c>
      <c r="I5938">
        <v>95</v>
      </c>
      <c r="J5938" t="s">
        <v>57</v>
      </c>
      <c r="K5938" t="s">
        <v>56</v>
      </c>
      <c r="L5938" t="s">
        <v>44</v>
      </c>
      <c r="M5938">
        <v>8.4700000000000006</v>
      </c>
      <c r="T5938" t="s">
        <v>52</v>
      </c>
      <c r="U5938">
        <v>2</v>
      </c>
      <c r="V5938">
        <v>6</v>
      </c>
    </row>
    <row r="5939" spans="1:22" x14ac:dyDescent="0.3">
      <c r="A5939">
        <v>5938</v>
      </c>
      <c r="B5939">
        <v>56503</v>
      </c>
      <c r="C5939" s="2">
        <v>36292</v>
      </c>
      <c r="D5939">
        <v>26</v>
      </c>
      <c r="E5939" t="s">
        <v>42</v>
      </c>
      <c r="F5939" t="s">
        <v>50</v>
      </c>
      <c r="G5939" s="2">
        <v>45506</v>
      </c>
      <c r="H5939" s="3">
        <f t="shared" si="92"/>
        <v>1.3424657534246576</v>
      </c>
      <c r="I5939">
        <v>95</v>
      </c>
      <c r="J5939" t="s">
        <v>57</v>
      </c>
      <c r="K5939" t="s">
        <v>56</v>
      </c>
      <c r="L5939" t="s">
        <v>44</v>
      </c>
      <c r="M5939">
        <v>8.4700000000000006</v>
      </c>
      <c r="T5939" t="s">
        <v>45</v>
      </c>
      <c r="U5939">
        <v>4</v>
      </c>
      <c r="V5939">
        <v>6</v>
      </c>
    </row>
    <row r="5940" spans="1:22" x14ac:dyDescent="0.3">
      <c r="A5940">
        <v>5939</v>
      </c>
      <c r="B5940">
        <v>56504</v>
      </c>
      <c r="C5940" s="2">
        <v>37275</v>
      </c>
      <c r="D5940">
        <v>23</v>
      </c>
      <c r="E5940" t="s">
        <v>42</v>
      </c>
      <c r="F5940" t="s">
        <v>50</v>
      </c>
      <c r="G5940" s="2">
        <v>45532</v>
      </c>
      <c r="H5940" s="3">
        <f t="shared" si="92"/>
        <v>1.7726027397260273</v>
      </c>
      <c r="I5940">
        <v>95</v>
      </c>
      <c r="J5940" t="s">
        <v>57</v>
      </c>
      <c r="K5940" t="s">
        <v>56</v>
      </c>
      <c r="L5940" t="s">
        <v>44</v>
      </c>
      <c r="M5940">
        <v>8.4700000000000006</v>
      </c>
      <c r="T5940" t="s">
        <v>52</v>
      </c>
      <c r="U5940">
        <v>2</v>
      </c>
      <c r="V5940">
        <v>6</v>
      </c>
    </row>
    <row r="5941" spans="1:22" x14ac:dyDescent="0.3">
      <c r="A5941">
        <v>5940</v>
      </c>
      <c r="B5941">
        <v>56505</v>
      </c>
      <c r="C5941" s="2">
        <v>37927</v>
      </c>
      <c r="D5941">
        <v>22</v>
      </c>
      <c r="E5941" t="s">
        <v>42</v>
      </c>
      <c r="F5941" t="s">
        <v>50</v>
      </c>
      <c r="G5941" s="2">
        <v>45375</v>
      </c>
      <c r="H5941" s="3">
        <f t="shared" si="92"/>
        <v>1.252054794520548</v>
      </c>
      <c r="I5941">
        <v>96</v>
      </c>
      <c r="J5941" t="s">
        <v>57</v>
      </c>
      <c r="K5941" t="s">
        <v>46</v>
      </c>
      <c r="L5941" t="s">
        <v>44</v>
      </c>
      <c r="M5941">
        <v>14.23</v>
      </c>
      <c r="T5941" t="s">
        <v>47</v>
      </c>
      <c r="U5941">
        <v>0</v>
      </c>
      <c r="V5941">
        <v>5</v>
      </c>
    </row>
    <row r="5942" spans="1:22" x14ac:dyDescent="0.3">
      <c r="A5942">
        <v>5941</v>
      </c>
      <c r="B5942">
        <v>56506</v>
      </c>
      <c r="C5942" s="2">
        <v>34181</v>
      </c>
      <c r="D5942">
        <v>32</v>
      </c>
      <c r="E5942" t="s">
        <v>42</v>
      </c>
      <c r="F5942" t="s">
        <v>50</v>
      </c>
      <c r="G5942" s="2">
        <v>45565</v>
      </c>
      <c r="H5942" s="3">
        <f t="shared" si="92"/>
        <v>1.4301369863013698</v>
      </c>
      <c r="I5942">
        <v>96</v>
      </c>
      <c r="J5942" t="s">
        <v>57</v>
      </c>
      <c r="K5942" t="s">
        <v>48</v>
      </c>
      <c r="L5942" t="s">
        <v>44</v>
      </c>
      <c r="M5942">
        <v>8.4700000000000006</v>
      </c>
      <c r="T5942" t="s">
        <v>52</v>
      </c>
      <c r="U5942">
        <v>2</v>
      </c>
      <c r="V5942">
        <v>5</v>
      </c>
    </row>
    <row r="5943" spans="1:22" x14ac:dyDescent="0.3">
      <c r="A5943">
        <v>5942</v>
      </c>
      <c r="B5943">
        <v>56507</v>
      </c>
      <c r="C5943" s="2">
        <v>37297</v>
      </c>
      <c r="D5943">
        <v>23</v>
      </c>
      <c r="E5943" t="s">
        <v>42</v>
      </c>
      <c r="F5943" t="s">
        <v>50</v>
      </c>
      <c r="G5943" s="2">
        <v>45500</v>
      </c>
      <c r="H5943" s="3">
        <f t="shared" si="92"/>
        <v>1.6273972602739726</v>
      </c>
      <c r="I5943">
        <v>96</v>
      </c>
      <c r="J5943" t="s">
        <v>57</v>
      </c>
      <c r="K5943" t="s">
        <v>56</v>
      </c>
      <c r="L5943" t="s">
        <v>44</v>
      </c>
      <c r="M5943">
        <v>8.4700000000000006</v>
      </c>
      <c r="T5943" t="s">
        <v>45</v>
      </c>
      <c r="U5943">
        <v>1</v>
      </c>
      <c r="V5943">
        <v>5</v>
      </c>
    </row>
    <row r="5944" spans="1:22" x14ac:dyDescent="0.3">
      <c r="A5944">
        <v>5943</v>
      </c>
      <c r="B5944">
        <v>56508</v>
      </c>
      <c r="C5944" s="2">
        <v>36373</v>
      </c>
      <c r="D5944">
        <v>27</v>
      </c>
      <c r="E5944" t="s">
        <v>42</v>
      </c>
      <c r="F5944" t="s">
        <v>50</v>
      </c>
      <c r="G5944" s="2">
        <v>45428</v>
      </c>
      <c r="H5944" s="3">
        <f t="shared" si="92"/>
        <v>1.0931506849315069</v>
      </c>
      <c r="I5944">
        <v>96</v>
      </c>
      <c r="J5944" t="s">
        <v>57</v>
      </c>
      <c r="K5944" t="s">
        <v>56</v>
      </c>
      <c r="L5944" t="s">
        <v>44</v>
      </c>
      <c r="M5944">
        <v>8.4700000000000006</v>
      </c>
      <c r="T5944" t="s">
        <v>49</v>
      </c>
      <c r="U5944">
        <v>4</v>
      </c>
      <c r="V5944">
        <v>7</v>
      </c>
    </row>
    <row r="5945" spans="1:22" x14ac:dyDescent="0.3">
      <c r="A5945">
        <v>5944</v>
      </c>
      <c r="B5945">
        <v>56509</v>
      </c>
      <c r="C5945" s="2">
        <v>38948</v>
      </c>
      <c r="D5945">
        <v>19</v>
      </c>
      <c r="E5945" t="s">
        <v>42</v>
      </c>
      <c r="F5945" t="s">
        <v>50</v>
      </c>
      <c r="G5945" s="2">
        <v>45623</v>
      </c>
      <c r="H5945" s="3">
        <f t="shared" si="92"/>
        <v>1.2684931506849315</v>
      </c>
      <c r="I5945">
        <v>96</v>
      </c>
      <c r="J5945" t="s">
        <v>57</v>
      </c>
      <c r="K5945" t="s">
        <v>56</v>
      </c>
      <c r="L5945" t="s">
        <v>44</v>
      </c>
      <c r="M5945">
        <v>8.4700000000000006</v>
      </c>
      <c r="T5945" t="s">
        <v>52</v>
      </c>
      <c r="U5945">
        <v>0</v>
      </c>
      <c r="V5945">
        <v>6</v>
      </c>
    </row>
    <row r="5946" spans="1:22" x14ac:dyDescent="0.3">
      <c r="A5946">
        <v>5945</v>
      </c>
      <c r="B5946">
        <v>56510</v>
      </c>
      <c r="C5946" s="2">
        <v>38072</v>
      </c>
      <c r="D5946">
        <v>21</v>
      </c>
      <c r="E5946" t="s">
        <v>42</v>
      </c>
      <c r="F5946" t="s">
        <v>37</v>
      </c>
      <c r="G5946" s="2">
        <v>45559</v>
      </c>
      <c r="H5946" s="3">
        <f t="shared" si="92"/>
        <v>1.4438356164383561</v>
      </c>
      <c r="I5946">
        <v>96</v>
      </c>
      <c r="J5946" t="s">
        <v>57</v>
      </c>
      <c r="K5946" t="s">
        <v>56</v>
      </c>
      <c r="L5946" t="s">
        <v>44</v>
      </c>
      <c r="M5946">
        <v>8.4700000000000006</v>
      </c>
      <c r="T5946" t="s">
        <v>52</v>
      </c>
      <c r="U5946">
        <v>4</v>
      </c>
      <c r="V5946">
        <v>6</v>
      </c>
    </row>
    <row r="5947" spans="1:22" x14ac:dyDescent="0.3">
      <c r="A5947">
        <v>5946</v>
      </c>
      <c r="B5947">
        <v>56511</v>
      </c>
      <c r="C5947" s="2">
        <v>38615</v>
      </c>
      <c r="D5947">
        <v>20</v>
      </c>
      <c r="E5947" t="s">
        <v>42</v>
      </c>
      <c r="F5947" t="s">
        <v>37</v>
      </c>
      <c r="G5947" s="2">
        <v>45495</v>
      </c>
      <c r="H5947" s="3">
        <f t="shared" si="92"/>
        <v>1.3698630136986301</v>
      </c>
      <c r="I5947">
        <v>96</v>
      </c>
      <c r="J5947" t="s">
        <v>57</v>
      </c>
      <c r="K5947" t="s">
        <v>56</v>
      </c>
      <c r="L5947" t="s">
        <v>44</v>
      </c>
      <c r="M5947">
        <v>8.4700000000000006</v>
      </c>
      <c r="T5947" t="s">
        <v>52</v>
      </c>
      <c r="U5947">
        <v>3</v>
      </c>
      <c r="V5947">
        <v>5</v>
      </c>
    </row>
    <row r="5948" spans="1:22" x14ac:dyDescent="0.3">
      <c r="A5948">
        <v>5947</v>
      </c>
      <c r="B5948">
        <v>56512</v>
      </c>
      <c r="C5948" s="2">
        <v>36663</v>
      </c>
      <c r="D5948">
        <v>25</v>
      </c>
      <c r="E5948" t="s">
        <v>42</v>
      </c>
      <c r="F5948" t="s">
        <v>37</v>
      </c>
      <c r="G5948" s="2">
        <v>45522</v>
      </c>
      <c r="H5948" s="3">
        <f t="shared" si="92"/>
        <v>1.832876712328767</v>
      </c>
      <c r="I5948">
        <v>96</v>
      </c>
      <c r="J5948" t="s">
        <v>57</v>
      </c>
      <c r="K5948" t="s">
        <v>56</v>
      </c>
      <c r="L5948" t="s">
        <v>44</v>
      </c>
      <c r="M5948">
        <v>8.4700000000000006</v>
      </c>
      <c r="T5948" t="s">
        <v>45</v>
      </c>
      <c r="U5948">
        <v>2</v>
      </c>
      <c r="V5948">
        <v>5</v>
      </c>
    </row>
    <row r="5949" spans="1:22" x14ac:dyDescent="0.3">
      <c r="A5949">
        <v>5948</v>
      </c>
      <c r="B5949">
        <v>56513</v>
      </c>
      <c r="C5949" s="2">
        <v>39078</v>
      </c>
      <c r="D5949">
        <v>19</v>
      </c>
      <c r="E5949" t="s">
        <v>36</v>
      </c>
      <c r="F5949" t="s">
        <v>50</v>
      </c>
      <c r="G5949" s="2">
        <v>45353</v>
      </c>
      <c r="H5949" s="3">
        <f t="shared" si="92"/>
        <v>1.6328767123287671</v>
      </c>
      <c r="I5949">
        <v>96</v>
      </c>
      <c r="J5949" t="s">
        <v>57</v>
      </c>
      <c r="K5949" t="s">
        <v>56</v>
      </c>
      <c r="L5949" t="s">
        <v>44</v>
      </c>
      <c r="M5949">
        <v>8.4700000000000006</v>
      </c>
      <c r="T5949" t="s">
        <v>52</v>
      </c>
      <c r="U5949">
        <v>4</v>
      </c>
      <c r="V5949">
        <v>6</v>
      </c>
    </row>
    <row r="5950" spans="1:22" x14ac:dyDescent="0.3">
      <c r="A5950">
        <v>5949</v>
      </c>
      <c r="B5950">
        <v>56514</v>
      </c>
      <c r="C5950" s="2">
        <v>37565</v>
      </c>
      <c r="D5950">
        <v>23</v>
      </c>
      <c r="E5950" t="s">
        <v>42</v>
      </c>
      <c r="F5950" t="s">
        <v>37</v>
      </c>
      <c r="G5950" s="2">
        <v>45426</v>
      </c>
      <c r="H5950" s="3">
        <f t="shared" si="92"/>
        <v>1.4958904109589042</v>
      </c>
      <c r="I5950">
        <v>96</v>
      </c>
      <c r="J5950" t="s">
        <v>57</v>
      </c>
      <c r="K5950" t="s">
        <v>56</v>
      </c>
      <c r="L5950" t="s">
        <v>44</v>
      </c>
      <c r="M5950">
        <v>8.4700000000000006</v>
      </c>
      <c r="T5950" t="s">
        <v>52</v>
      </c>
      <c r="U5950">
        <v>2</v>
      </c>
      <c r="V5950">
        <v>6</v>
      </c>
    </row>
    <row r="5951" spans="1:22" x14ac:dyDescent="0.3">
      <c r="A5951">
        <v>5950</v>
      </c>
      <c r="B5951">
        <v>56515</v>
      </c>
      <c r="C5951" s="2">
        <v>37788</v>
      </c>
      <c r="D5951">
        <v>22</v>
      </c>
      <c r="E5951" t="s">
        <v>42</v>
      </c>
      <c r="F5951" t="s">
        <v>50</v>
      </c>
      <c r="G5951" s="2">
        <v>45476</v>
      </c>
      <c r="H5951" s="3">
        <f t="shared" si="92"/>
        <v>1.7287671232876711</v>
      </c>
      <c r="I5951">
        <v>97</v>
      </c>
      <c r="J5951" t="s">
        <v>57</v>
      </c>
      <c r="K5951" t="s">
        <v>68</v>
      </c>
      <c r="L5951" t="s">
        <v>44</v>
      </c>
      <c r="M5951">
        <v>17</v>
      </c>
      <c r="T5951" t="s">
        <v>47</v>
      </c>
      <c r="U5951">
        <v>4</v>
      </c>
      <c r="V5951">
        <v>6</v>
      </c>
    </row>
    <row r="5952" spans="1:22" x14ac:dyDescent="0.3">
      <c r="A5952">
        <v>5951</v>
      </c>
      <c r="B5952">
        <v>56516</v>
      </c>
      <c r="C5952" s="2">
        <v>36419</v>
      </c>
      <c r="D5952">
        <v>26</v>
      </c>
      <c r="E5952" t="s">
        <v>42</v>
      </c>
      <c r="F5952" t="s">
        <v>37</v>
      </c>
      <c r="G5952" s="2">
        <v>45391</v>
      </c>
      <c r="H5952" s="3">
        <f t="shared" si="92"/>
        <v>1.4876712328767123</v>
      </c>
      <c r="I5952">
        <v>97</v>
      </c>
      <c r="J5952" t="s">
        <v>57</v>
      </c>
      <c r="K5952" t="s">
        <v>68</v>
      </c>
      <c r="L5952" t="s">
        <v>44</v>
      </c>
      <c r="M5952">
        <v>17</v>
      </c>
      <c r="T5952" t="s">
        <v>52</v>
      </c>
      <c r="U5952">
        <v>4</v>
      </c>
      <c r="V5952">
        <v>5</v>
      </c>
    </row>
    <row r="5953" spans="1:22" x14ac:dyDescent="0.3">
      <c r="A5953">
        <v>5952</v>
      </c>
      <c r="B5953">
        <v>56517</v>
      </c>
      <c r="C5953" s="2">
        <v>38254</v>
      </c>
      <c r="D5953">
        <v>21</v>
      </c>
      <c r="E5953" t="s">
        <v>36</v>
      </c>
      <c r="F5953" t="s">
        <v>50</v>
      </c>
      <c r="G5953" s="2">
        <v>45479</v>
      </c>
      <c r="H5953" s="3">
        <f t="shared" si="92"/>
        <v>1.7589041095890412</v>
      </c>
      <c r="I5953">
        <v>97</v>
      </c>
      <c r="J5953" t="s">
        <v>57</v>
      </c>
      <c r="K5953" t="s">
        <v>64</v>
      </c>
      <c r="L5953" t="s">
        <v>44</v>
      </c>
      <c r="M5953">
        <v>14.07</v>
      </c>
      <c r="T5953" t="s">
        <v>47</v>
      </c>
      <c r="U5953">
        <v>0</v>
      </c>
      <c r="V5953">
        <v>3</v>
      </c>
    </row>
    <row r="5954" spans="1:22" x14ac:dyDescent="0.3">
      <c r="A5954">
        <v>5953</v>
      </c>
      <c r="B5954">
        <v>56518</v>
      </c>
      <c r="C5954" s="2">
        <v>38261</v>
      </c>
      <c r="D5954">
        <v>22</v>
      </c>
      <c r="E5954" t="s">
        <v>42</v>
      </c>
      <c r="F5954" t="s">
        <v>50</v>
      </c>
      <c r="G5954" s="2">
        <v>45380</v>
      </c>
      <c r="H5954" s="3">
        <f t="shared" si="92"/>
        <v>1.7534246575342465</v>
      </c>
      <c r="I5954">
        <v>97</v>
      </c>
      <c r="J5954" t="s">
        <v>57</v>
      </c>
      <c r="K5954" t="s">
        <v>56</v>
      </c>
      <c r="L5954" t="s">
        <v>44</v>
      </c>
      <c r="M5954">
        <v>8.4700000000000006</v>
      </c>
      <c r="T5954" t="s">
        <v>52</v>
      </c>
      <c r="U5954">
        <v>2</v>
      </c>
      <c r="V5954">
        <v>6</v>
      </c>
    </row>
    <row r="5955" spans="1:22" x14ac:dyDescent="0.3">
      <c r="A5955">
        <v>5954</v>
      </c>
      <c r="B5955">
        <v>56519</v>
      </c>
      <c r="C5955" s="2">
        <v>38183</v>
      </c>
      <c r="D5955">
        <v>21</v>
      </c>
      <c r="E5955" t="s">
        <v>42</v>
      </c>
      <c r="F5955" t="s">
        <v>50</v>
      </c>
      <c r="G5955" s="2">
        <v>45382</v>
      </c>
      <c r="H5955" s="3">
        <f t="shared" ref="H5955:H6018" si="93">DATEDIF(G5956,DATE(2025,12,31),"d")/365</f>
        <v>1.3890410958904109</v>
      </c>
      <c r="I5955">
        <v>97</v>
      </c>
      <c r="J5955" t="s">
        <v>57</v>
      </c>
      <c r="K5955" t="s">
        <v>56</v>
      </c>
      <c r="L5955" t="s">
        <v>44</v>
      </c>
      <c r="M5955">
        <v>8.4700000000000006</v>
      </c>
      <c r="T5955" t="s">
        <v>45</v>
      </c>
      <c r="U5955">
        <v>2</v>
      </c>
      <c r="V5955">
        <v>6</v>
      </c>
    </row>
    <row r="5956" spans="1:22" x14ac:dyDescent="0.3">
      <c r="A5956">
        <v>5955</v>
      </c>
      <c r="B5956">
        <v>56520</v>
      </c>
      <c r="C5956" s="2">
        <v>37519</v>
      </c>
      <c r="D5956">
        <v>23</v>
      </c>
      <c r="E5956" t="s">
        <v>42</v>
      </c>
      <c r="F5956" t="s">
        <v>50</v>
      </c>
      <c r="G5956" s="2">
        <v>45515</v>
      </c>
      <c r="H5956" s="3">
        <f t="shared" si="93"/>
        <v>1.4273972602739726</v>
      </c>
      <c r="I5956">
        <v>97</v>
      </c>
      <c r="J5956" t="s">
        <v>57</v>
      </c>
      <c r="K5956" t="s">
        <v>56</v>
      </c>
      <c r="L5956" t="s">
        <v>44</v>
      </c>
      <c r="M5956">
        <v>8.4700000000000006</v>
      </c>
      <c r="T5956" t="s">
        <v>52</v>
      </c>
      <c r="U5956">
        <v>4</v>
      </c>
      <c r="V5956">
        <v>6</v>
      </c>
    </row>
    <row r="5957" spans="1:22" x14ac:dyDescent="0.3">
      <c r="A5957">
        <v>5956</v>
      </c>
      <c r="B5957">
        <v>56521</v>
      </c>
      <c r="C5957" s="2">
        <v>35561</v>
      </c>
      <c r="D5957">
        <v>28</v>
      </c>
      <c r="E5957" t="s">
        <v>42</v>
      </c>
      <c r="F5957" t="s">
        <v>37</v>
      </c>
      <c r="G5957" s="2">
        <v>45501</v>
      </c>
      <c r="H5957" s="3">
        <f t="shared" si="93"/>
        <v>1.3123287671232877</v>
      </c>
      <c r="I5957">
        <v>97</v>
      </c>
      <c r="J5957" t="s">
        <v>57</v>
      </c>
      <c r="K5957" t="s">
        <v>56</v>
      </c>
      <c r="L5957" t="s">
        <v>44</v>
      </c>
      <c r="M5957">
        <v>8.4700000000000006</v>
      </c>
      <c r="T5957" t="s">
        <v>47</v>
      </c>
      <c r="U5957">
        <v>1</v>
      </c>
      <c r="V5957">
        <v>5</v>
      </c>
    </row>
    <row r="5958" spans="1:22" x14ac:dyDescent="0.3">
      <c r="A5958">
        <v>5957</v>
      </c>
      <c r="B5958">
        <v>56522</v>
      </c>
      <c r="C5958" s="2">
        <v>37690</v>
      </c>
      <c r="D5958">
        <v>22</v>
      </c>
      <c r="E5958" t="s">
        <v>42</v>
      </c>
      <c r="F5958" t="s">
        <v>37</v>
      </c>
      <c r="G5958" s="2">
        <v>45543</v>
      </c>
      <c r="H5958" s="3">
        <f t="shared" si="93"/>
        <v>1.0931506849315069</v>
      </c>
      <c r="I5958">
        <v>97</v>
      </c>
      <c r="J5958" t="s">
        <v>57</v>
      </c>
      <c r="K5958" t="s">
        <v>56</v>
      </c>
      <c r="L5958" t="s">
        <v>44</v>
      </c>
      <c r="M5958">
        <v>8.4700000000000006</v>
      </c>
      <c r="T5958" t="s">
        <v>47</v>
      </c>
      <c r="U5958">
        <v>2</v>
      </c>
      <c r="V5958">
        <v>5</v>
      </c>
    </row>
    <row r="5959" spans="1:22" x14ac:dyDescent="0.3">
      <c r="A5959">
        <v>5958</v>
      </c>
      <c r="B5959">
        <v>56523</v>
      </c>
      <c r="C5959" s="2">
        <v>35341</v>
      </c>
      <c r="D5959">
        <v>29</v>
      </c>
      <c r="E5959" t="s">
        <v>42</v>
      </c>
      <c r="F5959" t="s">
        <v>50</v>
      </c>
      <c r="G5959" s="2">
        <v>45623</v>
      </c>
      <c r="H5959" s="3">
        <f t="shared" si="93"/>
        <v>1.295890410958904</v>
      </c>
      <c r="I5959">
        <v>97</v>
      </c>
      <c r="J5959" t="s">
        <v>57</v>
      </c>
      <c r="K5959" t="s">
        <v>56</v>
      </c>
      <c r="L5959" t="s">
        <v>44</v>
      </c>
      <c r="M5959">
        <v>8.4700000000000006</v>
      </c>
      <c r="T5959" t="s">
        <v>45</v>
      </c>
      <c r="U5959">
        <v>1</v>
      </c>
      <c r="V5959">
        <v>5</v>
      </c>
    </row>
    <row r="5960" spans="1:22" x14ac:dyDescent="0.3">
      <c r="A5960">
        <v>5959</v>
      </c>
      <c r="B5960">
        <v>56525</v>
      </c>
      <c r="C5960" s="2">
        <v>34762</v>
      </c>
      <c r="D5960">
        <v>30</v>
      </c>
      <c r="E5960" t="s">
        <v>42</v>
      </c>
      <c r="F5960" t="s">
        <v>50</v>
      </c>
      <c r="G5960" s="2">
        <v>45549</v>
      </c>
      <c r="H5960" s="3">
        <f t="shared" si="93"/>
        <v>1.4575342465753425</v>
      </c>
      <c r="I5960">
        <v>98</v>
      </c>
      <c r="J5960" t="s">
        <v>57</v>
      </c>
      <c r="K5960" t="s">
        <v>68</v>
      </c>
      <c r="L5960" t="s">
        <v>44</v>
      </c>
      <c r="M5960">
        <v>17</v>
      </c>
      <c r="T5960" t="s">
        <v>47</v>
      </c>
      <c r="U5960">
        <v>4</v>
      </c>
      <c r="V5960">
        <v>7</v>
      </c>
    </row>
    <row r="5961" spans="1:22" x14ac:dyDescent="0.3">
      <c r="A5961">
        <v>5960</v>
      </c>
      <c r="B5961">
        <v>56526</v>
      </c>
      <c r="C5961" s="2">
        <v>36623</v>
      </c>
      <c r="D5961">
        <v>25</v>
      </c>
      <c r="E5961" t="s">
        <v>36</v>
      </c>
      <c r="F5961" t="s">
        <v>50</v>
      </c>
      <c r="G5961" s="2">
        <v>45490</v>
      </c>
      <c r="H5961" s="3">
        <f t="shared" si="93"/>
        <v>1.1972602739726028</v>
      </c>
      <c r="I5961">
        <v>98</v>
      </c>
      <c r="J5961" t="s">
        <v>57</v>
      </c>
      <c r="K5961" t="s">
        <v>68</v>
      </c>
      <c r="L5961" t="s">
        <v>44</v>
      </c>
      <c r="M5961">
        <v>17</v>
      </c>
      <c r="T5961" t="s">
        <v>52</v>
      </c>
      <c r="U5961">
        <v>2</v>
      </c>
      <c r="V5961">
        <v>5</v>
      </c>
    </row>
    <row r="5962" spans="1:22" x14ac:dyDescent="0.3">
      <c r="A5962">
        <v>5961</v>
      </c>
      <c r="B5962">
        <v>56527</v>
      </c>
      <c r="C5962" s="2">
        <v>36907</v>
      </c>
      <c r="D5962">
        <v>24</v>
      </c>
      <c r="E5962" t="s">
        <v>42</v>
      </c>
      <c r="F5962" t="s">
        <v>50</v>
      </c>
      <c r="G5962" s="2">
        <v>45585</v>
      </c>
      <c r="H5962" s="3">
        <f t="shared" si="93"/>
        <v>1.5945205479452054</v>
      </c>
      <c r="I5962">
        <v>98</v>
      </c>
      <c r="J5962" t="s">
        <v>57</v>
      </c>
      <c r="K5962" t="s">
        <v>65</v>
      </c>
      <c r="L5962" t="s">
        <v>44</v>
      </c>
      <c r="M5962">
        <v>10.64</v>
      </c>
      <c r="T5962" t="s">
        <v>45</v>
      </c>
      <c r="U5962">
        <v>1</v>
      </c>
      <c r="V5962">
        <v>5</v>
      </c>
    </row>
    <row r="5963" spans="1:22" x14ac:dyDescent="0.3">
      <c r="A5963">
        <v>5962</v>
      </c>
      <c r="B5963">
        <v>56528</v>
      </c>
      <c r="C5963" s="2">
        <v>36878</v>
      </c>
      <c r="D5963">
        <v>25</v>
      </c>
      <c r="E5963" t="s">
        <v>36</v>
      </c>
      <c r="F5963" t="s">
        <v>50</v>
      </c>
      <c r="G5963" s="2">
        <v>45440</v>
      </c>
      <c r="H5963" s="3">
        <f t="shared" si="93"/>
        <v>1.6027397260273972</v>
      </c>
      <c r="I5963">
        <v>98</v>
      </c>
      <c r="J5963" t="s">
        <v>57</v>
      </c>
      <c r="K5963" t="s">
        <v>46</v>
      </c>
      <c r="L5963" t="s">
        <v>44</v>
      </c>
      <c r="M5963">
        <v>14.23</v>
      </c>
      <c r="T5963" t="s">
        <v>52</v>
      </c>
      <c r="U5963">
        <v>1</v>
      </c>
      <c r="V5963">
        <v>4</v>
      </c>
    </row>
    <row r="5964" spans="1:22" x14ac:dyDescent="0.3">
      <c r="A5964">
        <v>5963</v>
      </c>
      <c r="B5964">
        <v>56529</v>
      </c>
      <c r="C5964" s="2">
        <v>37180</v>
      </c>
      <c r="D5964">
        <v>24</v>
      </c>
      <c r="E5964" t="s">
        <v>42</v>
      </c>
      <c r="F5964" t="s">
        <v>50</v>
      </c>
      <c r="G5964" s="2">
        <v>45437</v>
      </c>
      <c r="H5964" s="3">
        <f t="shared" si="93"/>
        <v>1.3342465753424657</v>
      </c>
      <c r="I5964">
        <v>98</v>
      </c>
      <c r="J5964" t="s">
        <v>57</v>
      </c>
      <c r="K5964" t="s">
        <v>48</v>
      </c>
      <c r="L5964" t="s">
        <v>44</v>
      </c>
      <c r="M5964">
        <v>8.4700000000000006</v>
      </c>
      <c r="T5964" t="s">
        <v>45</v>
      </c>
      <c r="U5964">
        <v>4</v>
      </c>
      <c r="V5964">
        <v>7</v>
      </c>
    </row>
    <row r="5965" spans="1:22" x14ac:dyDescent="0.3">
      <c r="A5965">
        <v>5964</v>
      </c>
      <c r="B5965">
        <v>56530</v>
      </c>
      <c r="C5965" s="2">
        <v>38976</v>
      </c>
      <c r="D5965">
        <v>19</v>
      </c>
      <c r="E5965" t="s">
        <v>42</v>
      </c>
      <c r="F5965" t="s">
        <v>50</v>
      </c>
      <c r="G5965" s="2">
        <v>45535</v>
      </c>
      <c r="H5965" s="3">
        <f t="shared" si="93"/>
        <v>1.2575342465753425</v>
      </c>
      <c r="I5965">
        <v>98</v>
      </c>
      <c r="J5965" t="s">
        <v>57</v>
      </c>
      <c r="K5965" t="s">
        <v>56</v>
      </c>
      <c r="L5965" t="s">
        <v>44</v>
      </c>
      <c r="M5965">
        <v>8.4700000000000006</v>
      </c>
      <c r="T5965" t="s">
        <v>47</v>
      </c>
      <c r="U5965">
        <v>2</v>
      </c>
      <c r="V5965">
        <v>5</v>
      </c>
    </row>
    <row r="5966" spans="1:22" x14ac:dyDescent="0.3">
      <c r="A5966">
        <v>5965</v>
      </c>
      <c r="B5966">
        <v>56531</v>
      </c>
      <c r="C5966" s="2">
        <v>38399</v>
      </c>
      <c r="D5966">
        <v>20</v>
      </c>
      <c r="E5966" t="s">
        <v>42</v>
      </c>
      <c r="F5966" t="s">
        <v>50</v>
      </c>
      <c r="G5966" s="2">
        <v>45563</v>
      </c>
      <c r="H5966" s="3">
        <f t="shared" si="93"/>
        <v>1.5315068493150685</v>
      </c>
      <c r="I5966">
        <v>98</v>
      </c>
      <c r="J5966" t="s">
        <v>57</v>
      </c>
      <c r="K5966" t="s">
        <v>56</v>
      </c>
      <c r="L5966" t="s">
        <v>44</v>
      </c>
      <c r="M5966">
        <v>8.4700000000000006</v>
      </c>
      <c r="T5966" t="s">
        <v>45</v>
      </c>
      <c r="U5966">
        <v>2</v>
      </c>
      <c r="V5966">
        <v>7</v>
      </c>
    </row>
    <row r="5967" spans="1:22" x14ac:dyDescent="0.3">
      <c r="A5967">
        <v>5966</v>
      </c>
      <c r="B5967">
        <v>56532</v>
      </c>
      <c r="C5967" s="2">
        <v>38293</v>
      </c>
      <c r="D5967">
        <v>21</v>
      </c>
      <c r="E5967" t="s">
        <v>42</v>
      </c>
      <c r="F5967" t="s">
        <v>37</v>
      </c>
      <c r="G5967" s="2">
        <v>45463</v>
      </c>
      <c r="H5967" s="3">
        <f t="shared" si="93"/>
        <v>1.3315068493150686</v>
      </c>
      <c r="I5967">
        <v>98</v>
      </c>
      <c r="J5967" t="s">
        <v>57</v>
      </c>
      <c r="K5967" t="s">
        <v>56</v>
      </c>
      <c r="L5967" t="s">
        <v>44</v>
      </c>
      <c r="M5967">
        <v>8.4700000000000006</v>
      </c>
      <c r="T5967" t="s">
        <v>45</v>
      </c>
      <c r="U5967">
        <v>2</v>
      </c>
      <c r="V5967">
        <v>6</v>
      </c>
    </row>
    <row r="5968" spans="1:22" x14ac:dyDescent="0.3">
      <c r="A5968">
        <v>5967</v>
      </c>
      <c r="B5968">
        <v>56533</v>
      </c>
      <c r="C5968" s="2">
        <v>37816</v>
      </c>
      <c r="D5968">
        <v>22</v>
      </c>
      <c r="E5968" t="s">
        <v>36</v>
      </c>
      <c r="F5968" t="s">
        <v>50</v>
      </c>
      <c r="G5968" s="2">
        <v>45536</v>
      </c>
      <c r="H5968" s="3">
        <f t="shared" si="93"/>
        <v>1.5726027397260274</v>
      </c>
      <c r="I5968">
        <v>98</v>
      </c>
      <c r="J5968" t="s">
        <v>57</v>
      </c>
      <c r="K5968" t="s">
        <v>56</v>
      </c>
      <c r="L5968" t="s">
        <v>44</v>
      </c>
      <c r="M5968">
        <v>8.4700000000000006</v>
      </c>
      <c r="T5968" t="s">
        <v>52</v>
      </c>
      <c r="U5968">
        <v>0</v>
      </c>
      <c r="V5968">
        <v>4</v>
      </c>
    </row>
    <row r="5969" spans="1:22" x14ac:dyDescent="0.3">
      <c r="A5969">
        <v>5968</v>
      </c>
      <c r="B5969">
        <v>56534</v>
      </c>
      <c r="C5969" s="2">
        <v>37920</v>
      </c>
      <c r="D5969">
        <v>22</v>
      </c>
      <c r="E5969" t="s">
        <v>42</v>
      </c>
      <c r="F5969" t="s">
        <v>50</v>
      </c>
      <c r="G5969" s="2">
        <v>45448</v>
      </c>
      <c r="H5969" s="3">
        <f t="shared" si="93"/>
        <v>1.2547945205479452</v>
      </c>
      <c r="I5969">
        <v>98</v>
      </c>
      <c r="J5969" t="s">
        <v>57</v>
      </c>
      <c r="K5969" t="s">
        <v>56</v>
      </c>
      <c r="L5969" t="s">
        <v>44</v>
      </c>
      <c r="M5969">
        <v>8.4700000000000006</v>
      </c>
      <c r="T5969" t="s">
        <v>47</v>
      </c>
      <c r="U5969">
        <v>1</v>
      </c>
      <c r="V5969">
        <v>7</v>
      </c>
    </row>
    <row r="5970" spans="1:22" x14ac:dyDescent="0.3">
      <c r="A5970">
        <v>5969</v>
      </c>
      <c r="B5970">
        <v>56535</v>
      </c>
      <c r="C5970" s="2">
        <v>36249</v>
      </c>
      <c r="D5970">
        <v>26</v>
      </c>
      <c r="E5970" t="s">
        <v>42</v>
      </c>
      <c r="F5970" t="s">
        <v>50</v>
      </c>
      <c r="G5970" s="2">
        <v>45564</v>
      </c>
      <c r="H5970" s="3">
        <f t="shared" si="93"/>
        <v>1.7726027397260273</v>
      </c>
      <c r="I5970">
        <v>98</v>
      </c>
      <c r="J5970" t="s">
        <v>57</v>
      </c>
      <c r="K5970" t="s">
        <v>56</v>
      </c>
      <c r="L5970" t="s">
        <v>44</v>
      </c>
      <c r="M5970">
        <v>8.4700000000000006</v>
      </c>
      <c r="T5970" t="s">
        <v>47</v>
      </c>
      <c r="U5970">
        <v>4</v>
      </c>
      <c r="V5970">
        <v>6</v>
      </c>
    </row>
    <row r="5971" spans="1:22" x14ac:dyDescent="0.3">
      <c r="A5971">
        <v>5970</v>
      </c>
      <c r="B5971">
        <v>56536</v>
      </c>
      <c r="C5971" s="2">
        <v>37505</v>
      </c>
      <c r="D5971">
        <v>23</v>
      </c>
      <c r="E5971" t="s">
        <v>42</v>
      </c>
      <c r="F5971" t="s">
        <v>50</v>
      </c>
      <c r="G5971" s="2">
        <v>45375</v>
      </c>
      <c r="H5971" s="3">
        <f t="shared" si="93"/>
        <v>1.3753424657534246</v>
      </c>
      <c r="I5971">
        <v>98</v>
      </c>
      <c r="J5971" t="s">
        <v>57</v>
      </c>
      <c r="K5971" t="s">
        <v>56</v>
      </c>
      <c r="L5971" t="s">
        <v>44</v>
      </c>
      <c r="M5971">
        <v>8.4700000000000006</v>
      </c>
      <c r="T5971" t="s">
        <v>45</v>
      </c>
      <c r="U5971">
        <v>2</v>
      </c>
      <c r="V5971">
        <v>7</v>
      </c>
    </row>
    <row r="5972" spans="1:22" x14ac:dyDescent="0.3">
      <c r="A5972">
        <v>5971</v>
      </c>
      <c r="B5972">
        <v>56537</v>
      </c>
      <c r="C5972" s="2">
        <v>37363</v>
      </c>
      <c r="D5972">
        <v>23</v>
      </c>
      <c r="E5972" t="s">
        <v>36</v>
      </c>
      <c r="F5972" t="s">
        <v>37</v>
      </c>
      <c r="G5972" s="2">
        <v>45520</v>
      </c>
      <c r="H5972" s="3">
        <f t="shared" si="93"/>
        <v>1.2219178082191782</v>
      </c>
      <c r="I5972">
        <v>98</v>
      </c>
      <c r="J5972" t="s">
        <v>57</v>
      </c>
      <c r="K5972" t="s">
        <v>56</v>
      </c>
      <c r="L5972" t="s">
        <v>44</v>
      </c>
      <c r="M5972">
        <v>8.4700000000000006</v>
      </c>
      <c r="T5972" t="s">
        <v>47</v>
      </c>
      <c r="U5972">
        <v>2</v>
      </c>
      <c r="V5972">
        <v>4</v>
      </c>
    </row>
    <row r="5973" spans="1:22" x14ac:dyDescent="0.3">
      <c r="A5973">
        <v>5972</v>
      </c>
      <c r="B5973">
        <v>56538</v>
      </c>
      <c r="C5973" s="2">
        <v>36110</v>
      </c>
      <c r="D5973">
        <v>27</v>
      </c>
      <c r="E5973" t="s">
        <v>42</v>
      </c>
      <c r="F5973" t="s">
        <v>50</v>
      </c>
      <c r="G5973" s="2">
        <v>45576</v>
      </c>
      <c r="H5973" s="3">
        <f t="shared" si="93"/>
        <v>1.4356164383561645</v>
      </c>
      <c r="I5973">
        <v>98</v>
      </c>
      <c r="J5973" t="s">
        <v>57</v>
      </c>
      <c r="K5973" t="s">
        <v>56</v>
      </c>
      <c r="L5973" t="s">
        <v>44</v>
      </c>
      <c r="M5973">
        <v>8.4700000000000006</v>
      </c>
      <c r="T5973" t="s">
        <v>45</v>
      </c>
      <c r="U5973">
        <v>2</v>
      </c>
      <c r="V5973">
        <v>5</v>
      </c>
    </row>
    <row r="5974" spans="1:22" x14ac:dyDescent="0.3">
      <c r="A5974">
        <v>5973</v>
      </c>
      <c r="B5974">
        <v>56539</v>
      </c>
      <c r="C5974" s="2">
        <v>36710</v>
      </c>
      <c r="D5974">
        <v>25</v>
      </c>
      <c r="E5974" t="s">
        <v>36</v>
      </c>
      <c r="F5974" t="s">
        <v>50</v>
      </c>
      <c r="G5974" s="2">
        <v>45498</v>
      </c>
      <c r="H5974" s="3">
        <f t="shared" si="93"/>
        <v>1.8054794520547945</v>
      </c>
      <c r="I5974">
        <v>98</v>
      </c>
      <c r="J5974" t="s">
        <v>57</v>
      </c>
      <c r="K5974" t="s">
        <v>56</v>
      </c>
      <c r="L5974" t="s">
        <v>44</v>
      </c>
      <c r="M5974">
        <v>8.4700000000000006</v>
      </c>
      <c r="T5974" t="s">
        <v>47</v>
      </c>
      <c r="U5974">
        <v>2</v>
      </c>
      <c r="V5974">
        <v>4</v>
      </c>
    </row>
    <row r="5975" spans="1:22" x14ac:dyDescent="0.3">
      <c r="A5975">
        <v>5974</v>
      </c>
      <c r="B5975">
        <v>56540</v>
      </c>
      <c r="C5975" s="2">
        <v>36412</v>
      </c>
      <c r="D5975">
        <v>26</v>
      </c>
      <c r="E5975" t="s">
        <v>42</v>
      </c>
      <c r="F5975" t="s">
        <v>50</v>
      </c>
      <c r="G5975" s="2">
        <v>45363</v>
      </c>
      <c r="H5975" s="3">
        <f t="shared" si="93"/>
        <v>1.558904109589041</v>
      </c>
      <c r="I5975">
        <v>99</v>
      </c>
      <c r="J5975" t="s">
        <v>57</v>
      </c>
      <c r="K5975" t="s">
        <v>68</v>
      </c>
      <c r="L5975" t="s">
        <v>44</v>
      </c>
      <c r="M5975">
        <v>17</v>
      </c>
      <c r="T5975" t="s">
        <v>47</v>
      </c>
      <c r="U5975">
        <v>2</v>
      </c>
      <c r="V5975">
        <v>7</v>
      </c>
    </row>
    <row r="5976" spans="1:22" x14ac:dyDescent="0.3">
      <c r="A5976">
        <v>5975</v>
      </c>
      <c r="B5976">
        <v>56542</v>
      </c>
      <c r="C5976" s="2">
        <v>37942</v>
      </c>
      <c r="D5976">
        <v>22</v>
      </c>
      <c r="E5976" t="s">
        <v>42</v>
      </c>
      <c r="F5976" t="s">
        <v>37</v>
      </c>
      <c r="G5976" s="2">
        <v>45453</v>
      </c>
      <c r="H5976" s="3">
        <f t="shared" si="93"/>
        <v>1.6520547945205479</v>
      </c>
      <c r="I5976">
        <v>99</v>
      </c>
      <c r="J5976" t="s">
        <v>57</v>
      </c>
      <c r="K5976" t="s">
        <v>56</v>
      </c>
      <c r="L5976" t="s">
        <v>44</v>
      </c>
      <c r="M5976">
        <v>8.4700000000000006</v>
      </c>
      <c r="T5976" t="s">
        <v>47</v>
      </c>
      <c r="U5976">
        <v>2</v>
      </c>
      <c r="V5976">
        <v>5</v>
      </c>
    </row>
    <row r="5977" spans="1:22" x14ac:dyDescent="0.3">
      <c r="A5977">
        <v>5976</v>
      </c>
      <c r="B5977">
        <v>56543</v>
      </c>
      <c r="C5977" s="2">
        <v>37719</v>
      </c>
      <c r="D5977">
        <v>22</v>
      </c>
      <c r="E5977" t="s">
        <v>42</v>
      </c>
      <c r="F5977" t="s">
        <v>37</v>
      </c>
      <c r="G5977" s="2">
        <v>45419</v>
      </c>
      <c r="H5977" s="3">
        <f t="shared" si="93"/>
        <v>1.8027397260273972</v>
      </c>
      <c r="I5977">
        <v>99</v>
      </c>
      <c r="J5977" t="s">
        <v>57</v>
      </c>
      <c r="K5977" t="s">
        <v>56</v>
      </c>
      <c r="L5977" t="s">
        <v>44</v>
      </c>
      <c r="M5977">
        <v>8.4700000000000006</v>
      </c>
      <c r="T5977" t="s">
        <v>49</v>
      </c>
      <c r="U5977">
        <v>4</v>
      </c>
      <c r="V5977">
        <v>6</v>
      </c>
    </row>
    <row r="5978" spans="1:22" x14ac:dyDescent="0.3">
      <c r="A5978">
        <v>5977</v>
      </c>
      <c r="B5978">
        <v>56544</v>
      </c>
      <c r="C5978" s="2">
        <v>39055</v>
      </c>
      <c r="D5978">
        <v>19</v>
      </c>
      <c r="E5978" t="s">
        <v>42</v>
      </c>
      <c r="F5978" t="s">
        <v>50</v>
      </c>
      <c r="G5978" s="2">
        <v>45364</v>
      </c>
      <c r="H5978" s="3">
        <f t="shared" si="93"/>
        <v>1.2164383561643837</v>
      </c>
      <c r="I5978">
        <v>99</v>
      </c>
      <c r="J5978" t="s">
        <v>57</v>
      </c>
      <c r="K5978" t="s">
        <v>56</v>
      </c>
      <c r="L5978" t="s">
        <v>44</v>
      </c>
      <c r="M5978">
        <v>8.4700000000000006</v>
      </c>
      <c r="T5978" t="s">
        <v>45</v>
      </c>
      <c r="U5978">
        <v>3</v>
      </c>
      <c r="V5978">
        <v>5</v>
      </c>
    </row>
    <row r="5979" spans="1:22" x14ac:dyDescent="0.3">
      <c r="A5979">
        <v>5978</v>
      </c>
      <c r="B5979">
        <v>56545</v>
      </c>
      <c r="C5979" s="2">
        <v>38718</v>
      </c>
      <c r="D5979">
        <v>20</v>
      </c>
      <c r="E5979" t="s">
        <v>42</v>
      </c>
      <c r="F5979" t="s">
        <v>37</v>
      </c>
      <c r="G5979" s="2">
        <v>45578</v>
      </c>
      <c r="H5979" s="3">
        <f t="shared" si="93"/>
        <v>1.2136986301369863</v>
      </c>
      <c r="I5979">
        <v>99</v>
      </c>
      <c r="J5979" t="s">
        <v>57</v>
      </c>
      <c r="K5979" t="s">
        <v>56</v>
      </c>
      <c r="L5979" t="s">
        <v>44</v>
      </c>
      <c r="M5979">
        <v>8.4700000000000006</v>
      </c>
      <c r="T5979" t="s">
        <v>52</v>
      </c>
      <c r="U5979">
        <v>1</v>
      </c>
      <c r="V5979">
        <v>5</v>
      </c>
    </row>
    <row r="5980" spans="1:22" x14ac:dyDescent="0.3">
      <c r="A5980">
        <v>5979</v>
      </c>
      <c r="B5980">
        <v>56546</v>
      </c>
      <c r="C5980" s="2">
        <v>35606</v>
      </c>
      <c r="D5980">
        <v>28</v>
      </c>
      <c r="E5980" t="s">
        <v>42</v>
      </c>
      <c r="F5980" t="s">
        <v>50</v>
      </c>
      <c r="G5980" s="2">
        <v>45579</v>
      </c>
      <c r="H5980" s="3">
        <f t="shared" si="93"/>
        <v>1.1643835616438356</v>
      </c>
      <c r="I5980">
        <v>99</v>
      </c>
      <c r="J5980" t="s">
        <v>57</v>
      </c>
      <c r="K5980" t="s">
        <v>56</v>
      </c>
      <c r="L5980" t="s">
        <v>44</v>
      </c>
      <c r="M5980">
        <v>8.4700000000000006</v>
      </c>
      <c r="T5980" t="s">
        <v>47</v>
      </c>
      <c r="U5980">
        <v>1</v>
      </c>
      <c r="V5980">
        <v>7</v>
      </c>
    </row>
    <row r="5981" spans="1:22" x14ac:dyDescent="0.3">
      <c r="A5981">
        <v>5980</v>
      </c>
      <c r="B5981">
        <v>56548</v>
      </c>
      <c r="C5981" s="2">
        <v>38029</v>
      </c>
      <c r="D5981">
        <v>21</v>
      </c>
      <c r="E5981" t="s">
        <v>42</v>
      </c>
      <c r="F5981" t="s">
        <v>37</v>
      </c>
      <c r="G5981" s="2">
        <v>45597</v>
      </c>
      <c r="H5981" s="3">
        <f t="shared" si="93"/>
        <v>1.4109589041095891</v>
      </c>
      <c r="I5981">
        <v>99</v>
      </c>
      <c r="J5981" t="s">
        <v>57</v>
      </c>
      <c r="K5981" t="s">
        <v>56</v>
      </c>
      <c r="L5981" t="s">
        <v>44</v>
      </c>
      <c r="M5981">
        <v>8.4700000000000006</v>
      </c>
      <c r="T5981" t="s">
        <v>52</v>
      </c>
      <c r="U5981">
        <v>4</v>
      </c>
      <c r="V5981">
        <v>7</v>
      </c>
    </row>
    <row r="5982" spans="1:22" x14ac:dyDescent="0.3">
      <c r="A5982">
        <v>5981</v>
      </c>
      <c r="B5982">
        <v>56549</v>
      </c>
      <c r="C5982" s="2">
        <v>36533</v>
      </c>
      <c r="D5982">
        <v>25</v>
      </c>
      <c r="E5982" t="s">
        <v>42</v>
      </c>
      <c r="F5982" t="s">
        <v>50</v>
      </c>
      <c r="G5982" s="2">
        <v>45507</v>
      </c>
      <c r="H5982" s="3">
        <f t="shared" si="93"/>
        <v>1.7726027397260273</v>
      </c>
      <c r="I5982">
        <v>100</v>
      </c>
      <c r="J5982" t="s">
        <v>57</v>
      </c>
      <c r="K5982" t="s">
        <v>68</v>
      </c>
      <c r="L5982" t="s">
        <v>44</v>
      </c>
      <c r="M5982">
        <v>17</v>
      </c>
      <c r="T5982" t="s">
        <v>49</v>
      </c>
      <c r="U5982">
        <v>1</v>
      </c>
      <c r="V5982">
        <v>6</v>
      </c>
    </row>
    <row r="5983" spans="1:22" x14ac:dyDescent="0.3">
      <c r="A5983">
        <v>5982</v>
      </c>
      <c r="B5983">
        <v>56550</v>
      </c>
      <c r="C5983" s="2">
        <v>36964</v>
      </c>
      <c r="D5983">
        <v>24</v>
      </c>
      <c r="E5983" t="s">
        <v>42</v>
      </c>
      <c r="F5983" t="s">
        <v>50</v>
      </c>
      <c r="G5983" s="2">
        <v>45375</v>
      </c>
      <c r="H5983" s="3">
        <f t="shared" si="93"/>
        <v>1.2410958904109588</v>
      </c>
      <c r="I5983">
        <v>100</v>
      </c>
      <c r="J5983" t="s">
        <v>57</v>
      </c>
      <c r="K5983" t="s">
        <v>65</v>
      </c>
      <c r="L5983" t="s">
        <v>44</v>
      </c>
      <c r="M5983">
        <v>10.64</v>
      </c>
      <c r="T5983" t="s">
        <v>49</v>
      </c>
      <c r="U5983">
        <v>0</v>
      </c>
      <c r="V5983">
        <v>5</v>
      </c>
    </row>
    <row r="5984" spans="1:22" x14ac:dyDescent="0.3">
      <c r="A5984">
        <v>5983</v>
      </c>
      <c r="B5984">
        <v>56551</v>
      </c>
      <c r="C5984" s="2">
        <v>38468</v>
      </c>
      <c r="D5984">
        <v>20</v>
      </c>
      <c r="E5984" t="s">
        <v>36</v>
      </c>
      <c r="F5984" t="s">
        <v>50</v>
      </c>
      <c r="G5984" s="2">
        <v>45569</v>
      </c>
      <c r="H5984" s="3">
        <f t="shared" si="93"/>
        <v>1.010958904109589</v>
      </c>
      <c r="I5984">
        <v>100</v>
      </c>
      <c r="J5984" t="s">
        <v>57</v>
      </c>
      <c r="K5984" t="s">
        <v>65</v>
      </c>
      <c r="L5984" t="s">
        <v>44</v>
      </c>
      <c r="M5984">
        <v>10.64</v>
      </c>
      <c r="T5984" t="s">
        <v>45</v>
      </c>
      <c r="U5984">
        <v>0</v>
      </c>
      <c r="V5984">
        <v>4</v>
      </c>
    </row>
    <row r="5985" spans="1:22" x14ac:dyDescent="0.3">
      <c r="A5985">
        <v>5984</v>
      </c>
      <c r="B5985">
        <v>56552</v>
      </c>
      <c r="C5985" s="2">
        <v>38132</v>
      </c>
      <c r="D5985">
        <v>21</v>
      </c>
      <c r="E5985" t="s">
        <v>42</v>
      </c>
      <c r="F5985" t="s">
        <v>50</v>
      </c>
      <c r="G5985" s="2">
        <v>45653</v>
      </c>
      <c r="H5985" s="3">
        <f t="shared" si="93"/>
        <v>1.4191780821917808</v>
      </c>
      <c r="I5985">
        <v>100</v>
      </c>
      <c r="J5985" t="s">
        <v>57</v>
      </c>
      <c r="K5985" t="s">
        <v>56</v>
      </c>
      <c r="L5985" t="s">
        <v>44</v>
      </c>
      <c r="M5985">
        <v>8.4700000000000006</v>
      </c>
      <c r="T5985" t="s">
        <v>52</v>
      </c>
      <c r="U5985">
        <v>2</v>
      </c>
      <c r="V5985">
        <v>6</v>
      </c>
    </row>
    <row r="5986" spans="1:22" x14ac:dyDescent="0.3">
      <c r="A5986">
        <v>5985</v>
      </c>
      <c r="B5986">
        <v>56553</v>
      </c>
      <c r="C5986" s="2">
        <v>38680</v>
      </c>
      <c r="D5986">
        <v>20</v>
      </c>
      <c r="E5986" t="s">
        <v>42</v>
      </c>
      <c r="F5986" t="s">
        <v>37</v>
      </c>
      <c r="G5986" s="2">
        <v>45504</v>
      </c>
      <c r="H5986" s="3">
        <f t="shared" si="93"/>
        <v>1.7616438356164383</v>
      </c>
      <c r="I5986">
        <v>100</v>
      </c>
      <c r="J5986" t="s">
        <v>57</v>
      </c>
      <c r="K5986" t="s">
        <v>56</v>
      </c>
      <c r="L5986" t="s">
        <v>44</v>
      </c>
      <c r="M5986">
        <v>8.4700000000000006</v>
      </c>
      <c r="T5986" t="s">
        <v>52</v>
      </c>
      <c r="U5986">
        <v>2</v>
      </c>
      <c r="V5986">
        <v>6</v>
      </c>
    </row>
    <row r="5987" spans="1:22" x14ac:dyDescent="0.3">
      <c r="A5987">
        <v>5986</v>
      </c>
      <c r="B5987">
        <v>56554</v>
      </c>
      <c r="C5987" s="2">
        <v>38795</v>
      </c>
      <c r="D5987">
        <v>19</v>
      </c>
      <c r="E5987" t="s">
        <v>36</v>
      </c>
      <c r="F5987" t="s">
        <v>50</v>
      </c>
      <c r="G5987" s="2">
        <v>45379</v>
      </c>
      <c r="H5987" s="3">
        <f t="shared" si="93"/>
        <v>1.1013698630136985</v>
      </c>
      <c r="I5987">
        <v>100</v>
      </c>
      <c r="J5987" t="s">
        <v>57</v>
      </c>
      <c r="K5987" t="s">
        <v>56</v>
      </c>
      <c r="L5987" t="s">
        <v>44</v>
      </c>
      <c r="M5987">
        <v>8.4700000000000006</v>
      </c>
      <c r="T5987" t="s">
        <v>47</v>
      </c>
      <c r="U5987">
        <v>4</v>
      </c>
      <c r="V5987">
        <v>5</v>
      </c>
    </row>
    <row r="5988" spans="1:22" x14ac:dyDescent="0.3">
      <c r="A5988">
        <v>5987</v>
      </c>
      <c r="B5988">
        <v>56555</v>
      </c>
      <c r="C5988" s="2">
        <v>37882</v>
      </c>
      <c r="D5988">
        <v>22</v>
      </c>
      <c r="E5988" t="s">
        <v>42</v>
      </c>
      <c r="F5988" t="s">
        <v>50</v>
      </c>
      <c r="G5988" s="2">
        <v>45620</v>
      </c>
      <c r="H5988" s="3">
        <f t="shared" si="93"/>
        <v>1</v>
      </c>
      <c r="I5988">
        <v>100</v>
      </c>
      <c r="J5988" t="s">
        <v>57</v>
      </c>
      <c r="K5988" t="s">
        <v>56</v>
      </c>
      <c r="L5988" t="s">
        <v>44</v>
      </c>
      <c r="M5988">
        <v>8.4700000000000006</v>
      </c>
      <c r="T5988" t="s">
        <v>52</v>
      </c>
      <c r="U5988">
        <v>1</v>
      </c>
      <c r="V5988">
        <v>7</v>
      </c>
    </row>
    <row r="5989" spans="1:22" x14ac:dyDescent="0.3">
      <c r="A5989">
        <v>5988</v>
      </c>
      <c r="B5989">
        <v>56556</v>
      </c>
      <c r="C5989" s="2">
        <v>38767</v>
      </c>
      <c r="D5989">
        <v>19</v>
      </c>
      <c r="E5989" t="s">
        <v>42</v>
      </c>
      <c r="F5989" t="s">
        <v>50</v>
      </c>
      <c r="G5989" s="2">
        <v>45657</v>
      </c>
      <c r="H5989" s="3">
        <f t="shared" si="93"/>
        <v>1.558904109589041</v>
      </c>
      <c r="I5989">
        <v>100</v>
      </c>
      <c r="J5989" t="s">
        <v>57</v>
      </c>
      <c r="K5989" t="s">
        <v>56</v>
      </c>
      <c r="L5989" t="s">
        <v>44</v>
      </c>
      <c r="M5989">
        <v>8.4700000000000006</v>
      </c>
      <c r="T5989" t="s">
        <v>52</v>
      </c>
      <c r="U5989">
        <v>1</v>
      </c>
      <c r="V5989">
        <v>7</v>
      </c>
    </row>
    <row r="5990" spans="1:22" x14ac:dyDescent="0.3">
      <c r="A5990">
        <v>5989</v>
      </c>
      <c r="B5990">
        <v>56557</v>
      </c>
      <c r="C5990" s="2">
        <v>33957</v>
      </c>
      <c r="D5990">
        <v>33</v>
      </c>
      <c r="E5990" t="s">
        <v>42</v>
      </c>
      <c r="F5990" t="s">
        <v>50</v>
      </c>
      <c r="G5990" s="2">
        <v>45453</v>
      </c>
      <c r="H5990" s="3">
        <f t="shared" si="93"/>
        <v>1.726027397260274</v>
      </c>
      <c r="I5990">
        <v>100</v>
      </c>
      <c r="J5990" t="s">
        <v>57</v>
      </c>
      <c r="K5990" t="s">
        <v>56</v>
      </c>
      <c r="L5990" t="s">
        <v>44</v>
      </c>
      <c r="M5990">
        <v>8.4700000000000006</v>
      </c>
      <c r="T5990" t="s">
        <v>47</v>
      </c>
      <c r="U5990">
        <v>2</v>
      </c>
      <c r="V5990">
        <v>5</v>
      </c>
    </row>
    <row r="5991" spans="1:22" x14ac:dyDescent="0.3">
      <c r="A5991">
        <v>5990</v>
      </c>
      <c r="B5991">
        <v>56558</v>
      </c>
      <c r="C5991" s="2">
        <v>38562</v>
      </c>
      <c r="D5991">
        <v>20</v>
      </c>
      <c r="E5991" t="s">
        <v>42</v>
      </c>
      <c r="F5991" t="s">
        <v>50</v>
      </c>
      <c r="G5991" s="2">
        <v>45392</v>
      </c>
      <c r="H5991" s="3">
        <f t="shared" si="93"/>
        <v>1.0273972602739727</v>
      </c>
      <c r="I5991">
        <v>100</v>
      </c>
      <c r="J5991" t="s">
        <v>57</v>
      </c>
      <c r="K5991" t="s">
        <v>56</v>
      </c>
      <c r="L5991" t="s">
        <v>44</v>
      </c>
      <c r="M5991">
        <v>8.4700000000000006</v>
      </c>
      <c r="T5991" t="s">
        <v>49</v>
      </c>
      <c r="U5991">
        <v>2</v>
      </c>
      <c r="V5991">
        <v>6</v>
      </c>
    </row>
    <row r="5992" spans="1:22" x14ac:dyDescent="0.3">
      <c r="A5992">
        <v>5991</v>
      </c>
      <c r="B5992">
        <v>56559</v>
      </c>
      <c r="C5992" s="2">
        <v>34369</v>
      </c>
      <c r="D5992">
        <v>31</v>
      </c>
      <c r="E5992" t="s">
        <v>42</v>
      </c>
      <c r="F5992" t="s">
        <v>50</v>
      </c>
      <c r="G5992" s="2">
        <v>45647</v>
      </c>
      <c r="H5992" s="3">
        <f t="shared" si="93"/>
        <v>1.6383561643835616</v>
      </c>
      <c r="I5992">
        <v>100</v>
      </c>
      <c r="J5992" t="s">
        <v>57</v>
      </c>
      <c r="K5992" t="s">
        <v>56</v>
      </c>
      <c r="L5992" t="s">
        <v>44</v>
      </c>
      <c r="M5992">
        <v>8.4700000000000006</v>
      </c>
      <c r="T5992" t="s">
        <v>45</v>
      </c>
      <c r="U5992">
        <v>3</v>
      </c>
      <c r="V5992">
        <v>6</v>
      </c>
    </row>
    <row r="5993" spans="1:22" x14ac:dyDescent="0.3">
      <c r="A5993">
        <v>5992</v>
      </c>
      <c r="B5993">
        <v>56560</v>
      </c>
      <c r="C5993" s="2">
        <v>36864</v>
      </c>
      <c r="D5993">
        <v>25</v>
      </c>
      <c r="E5993" t="s">
        <v>42</v>
      </c>
      <c r="F5993" t="s">
        <v>50</v>
      </c>
      <c r="G5993" s="2">
        <v>45424</v>
      </c>
      <c r="H5993" s="3">
        <f t="shared" si="93"/>
        <v>1.7095890410958905</v>
      </c>
      <c r="I5993">
        <v>101</v>
      </c>
      <c r="J5993" t="s">
        <v>57</v>
      </c>
      <c r="K5993" t="s">
        <v>68</v>
      </c>
      <c r="L5993" t="s">
        <v>44</v>
      </c>
      <c r="M5993">
        <v>17</v>
      </c>
      <c r="T5993" t="s">
        <v>47</v>
      </c>
      <c r="U5993">
        <v>4</v>
      </c>
      <c r="V5993">
        <v>7</v>
      </c>
    </row>
    <row r="5994" spans="1:22" x14ac:dyDescent="0.3">
      <c r="A5994">
        <v>5993</v>
      </c>
      <c r="B5994">
        <v>56561</v>
      </c>
      <c r="C5994" s="2">
        <v>34608</v>
      </c>
      <c r="D5994">
        <v>32</v>
      </c>
      <c r="E5994" t="s">
        <v>42</v>
      </c>
      <c r="F5994" t="s">
        <v>50</v>
      </c>
      <c r="G5994" s="2">
        <v>45398</v>
      </c>
      <c r="H5994" s="3">
        <f t="shared" si="93"/>
        <v>1.1178082191780823</v>
      </c>
      <c r="I5994">
        <v>101</v>
      </c>
      <c r="J5994" t="s">
        <v>57</v>
      </c>
      <c r="K5994" t="s">
        <v>68</v>
      </c>
      <c r="L5994" t="s">
        <v>44</v>
      </c>
      <c r="M5994">
        <v>17</v>
      </c>
      <c r="T5994" t="s">
        <v>49</v>
      </c>
      <c r="U5994">
        <v>4</v>
      </c>
      <c r="V5994">
        <v>7</v>
      </c>
    </row>
    <row r="5995" spans="1:22" x14ac:dyDescent="0.3">
      <c r="A5995">
        <v>5994</v>
      </c>
      <c r="B5995">
        <v>56562</v>
      </c>
      <c r="C5995" s="2">
        <v>37190</v>
      </c>
      <c r="D5995">
        <v>24</v>
      </c>
      <c r="E5995" t="s">
        <v>36</v>
      </c>
      <c r="F5995" t="s">
        <v>50</v>
      </c>
      <c r="G5995" s="2">
        <v>45614</v>
      </c>
      <c r="H5995" s="3">
        <f t="shared" si="93"/>
        <v>1.2438356164383562</v>
      </c>
      <c r="I5995">
        <v>101</v>
      </c>
      <c r="J5995" t="s">
        <v>57</v>
      </c>
      <c r="K5995" t="s">
        <v>68</v>
      </c>
      <c r="L5995" t="s">
        <v>44</v>
      </c>
      <c r="M5995">
        <v>17</v>
      </c>
      <c r="T5995" t="s">
        <v>47</v>
      </c>
      <c r="U5995">
        <v>1</v>
      </c>
      <c r="V5995">
        <v>4</v>
      </c>
    </row>
    <row r="5996" spans="1:22" x14ac:dyDescent="0.3">
      <c r="A5996">
        <v>5995</v>
      </c>
      <c r="B5996">
        <v>56563</v>
      </c>
      <c r="C5996" s="2">
        <v>37728</v>
      </c>
      <c r="D5996">
        <v>22</v>
      </c>
      <c r="E5996" t="s">
        <v>42</v>
      </c>
      <c r="F5996" t="s">
        <v>50</v>
      </c>
      <c r="G5996" s="2">
        <v>45568</v>
      </c>
      <c r="H5996" s="3">
        <f t="shared" si="93"/>
        <v>1.4109589041095891</v>
      </c>
      <c r="I5996">
        <v>101</v>
      </c>
      <c r="J5996" t="s">
        <v>57</v>
      </c>
      <c r="K5996" t="s">
        <v>65</v>
      </c>
      <c r="L5996" t="s">
        <v>44</v>
      </c>
      <c r="M5996">
        <v>10.64</v>
      </c>
      <c r="T5996" t="s">
        <v>52</v>
      </c>
      <c r="U5996">
        <v>1</v>
      </c>
      <c r="V5996">
        <v>5</v>
      </c>
    </row>
    <row r="5997" spans="1:22" x14ac:dyDescent="0.3">
      <c r="A5997">
        <v>5996</v>
      </c>
      <c r="B5997">
        <v>56564</v>
      </c>
      <c r="C5997" s="2">
        <v>37408</v>
      </c>
      <c r="D5997">
        <v>24</v>
      </c>
      <c r="E5997" t="s">
        <v>42</v>
      </c>
      <c r="F5997" t="s">
        <v>50</v>
      </c>
      <c r="G5997" s="2">
        <v>45507</v>
      </c>
      <c r="H5997" s="3">
        <f t="shared" si="93"/>
        <v>1.0438356164383562</v>
      </c>
      <c r="I5997">
        <v>101</v>
      </c>
      <c r="J5997" t="s">
        <v>57</v>
      </c>
      <c r="K5997" t="s">
        <v>56</v>
      </c>
      <c r="L5997" t="s">
        <v>44</v>
      </c>
      <c r="M5997">
        <v>8.4700000000000006</v>
      </c>
      <c r="T5997" t="s">
        <v>45</v>
      </c>
      <c r="U5997">
        <v>2</v>
      </c>
      <c r="V5997">
        <v>7</v>
      </c>
    </row>
    <row r="5998" spans="1:22" x14ac:dyDescent="0.3">
      <c r="A5998">
        <v>5997</v>
      </c>
      <c r="B5998">
        <v>56565</v>
      </c>
      <c r="C5998" s="2">
        <v>37400</v>
      </c>
      <c r="D5998">
        <v>23</v>
      </c>
      <c r="E5998" t="s">
        <v>42</v>
      </c>
      <c r="F5998" t="s">
        <v>50</v>
      </c>
      <c r="G5998" s="2">
        <v>45641</v>
      </c>
      <c r="H5998" s="3">
        <f t="shared" si="93"/>
        <v>1.704109589041096</v>
      </c>
      <c r="I5998">
        <v>101</v>
      </c>
      <c r="J5998" t="s">
        <v>57</v>
      </c>
      <c r="K5998" t="s">
        <v>56</v>
      </c>
      <c r="L5998" t="s">
        <v>44</v>
      </c>
      <c r="M5998">
        <v>8.4700000000000006</v>
      </c>
      <c r="T5998" t="s">
        <v>49</v>
      </c>
      <c r="U5998">
        <v>3</v>
      </c>
      <c r="V5998">
        <v>6</v>
      </c>
    </row>
    <row r="5999" spans="1:22" x14ac:dyDescent="0.3">
      <c r="A5999">
        <v>5998</v>
      </c>
      <c r="B5999">
        <v>56566</v>
      </c>
      <c r="C5999" s="2">
        <v>36258</v>
      </c>
      <c r="D5999">
        <v>26</v>
      </c>
      <c r="E5999" t="s">
        <v>42</v>
      </c>
      <c r="F5999" t="s">
        <v>50</v>
      </c>
      <c r="G5999" s="2">
        <v>45400</v>
      </c>
      <c r="H5999" s="3">
        <f t="shared" si="93"/>
        <v>1.6493150684931508</v>
      </c>
      <c r="I5999">
        <v>101</v>
      </c>
      <c r="J5999" t="s">
        <v>57</v>
      </c>
      <c r="K5999" t="s">
        <v>56</v>
      </c>
      <c r="L5999" t="s">
        <v>44</v>
      </c>
      <c r="M5999">
        <v>8.4700000000000006</v>
      </c>
      <c r="T5999" t="s">
        <v>52</v>
      </c>
      <c r="U5999">
        <v>0</v>
      </c>
      <c r="V5999">
        <v>5</v>
      </c>
    </row>
    <row r="6000" spans="1:22" x14ac:dyDescent="0.3">
      <c r="A6000">
        <v>5999</v>
      </c>
      <c r="B6000">
        <v>56567</v>
      </c>
      <c r="C6000" s="2">
        <v>33767</v>
      </c>
      <c r="D6000">
        <v>33</v>
      </c>
      <c r="E6000" t="s">
        <v>42</v>
      </c>
      <c r="F6000" t="s">
        <v>50</v>
      </c>
      <c r="G6000" s="2">
        <v>45420</v>
      </c>
      <c r="H6000" s="3">
        <f t="shared" si="93"/>
        <v>1.5424657534246575</v>
      </c>
      <c r="I6000">
        <v>101</v>
      </c>
      <c r="J6000" t="s">
        <v>57</v>
      </c>
      <c r="K6000" t="s">
        <v>56</v>
      </c>
      <c r="L6000" t="s">
        <v>44</v>
      </c>
      <c r="M6000">
        <v>8.4700000000000006</v>
      </c>
      <c r="T6000" t="s">
        <v>52</v>
      </c>
      <c r="U6000">
        <v>1</v>
      </c>
      <c r="V6000">
        <v>5</v>
      </c>
    </row>
    <row r="6001" spans="1:22" x14ac:dyDescent="0.3">
      <c r="A6001">
        <v>6000</v>
      </c>
      <c r="B6001">
        <v>56568</v>
      </c>
      <c r="C6001" s="2">
        <v>37677</v>
      </c>
      <c r="D6001">
        <v>22</v>
      </c>
      <c r="E6001" t="s">
        <v>36</v>
      </c>
      <c r="F6001" t="s">
        <v>50</v>
      </c>
      <c r="G6001" s="2">
        <v>45459</v>
      </c>
      <c r="H6001" s="3">
        <f t="shared" si="93"/>
        <v>1.4904109589041097</v>
      </c>
      <c r="I6001">
        <v>101</v>
      </c>
      <c r="J6001" t="s">
        <v>57</v>
      </c>
      <c r="K6001" t="s">
        <v>56</v>
      </c>
      <c r="L6001" t="s">
        <v>44</v>
      </c>
      <c r="M6001">
        <v>8.4700000000000006</v>
      </c>
      <c r="T6001" t="s">
        <v>47</v>
      </c>
      <c r="U6001">
        <v>2</v>
      </c>
      <c r="V6001">
        <v>4</v>
      </c>
    </row>
    <row r="6002" spans="1:22" x14ac:dyDescent="0.3">
      <c r="A6002">
        <v>6001</v>
      </c>
      <c r="B6002">
        <v>56570</v>
      </c>
      <c r="C6002" s="2">
        <v>37013</v>
      </c>
      <c r="D6002">
        <v>24</v>
      </c>
      <c r="E6002" t="s">
        <v>42</v>
      </c>
      <c r="F6002" t="s">
        <v>50</v>
      </c>
      <c r="G6002" s="2">
        <v>45478</v>
      </c>
      <c r="H6002" s="3">
        <f t="shared" si="93"/>
        <v>1.5890410958904109</v>
      </c>
      <c r="I6002">
        <v>101</v>
      </c>
      <c r="J6002" t="s">
        <v>57</v>
      </c>
      <c r="K6002" t="s">
        <v>56</v>
      </c>
      <c r="L6002" t="s">
        <v>44</v>
      </c>
      <c r="M6002">
        <v>8.4700000000000006</v>
      </c>
      <c r="T6002" t="s">
        <v>52</v>
      </c>
      <c r="U6002">
        <v>2</v>
      </c>
      <c r="V6002">
        <v>6</v>
      </c>
    </row>
    <row r="6003" spans="1:22" x14ac:dyDescent="0.3">
      <c r="A6003">
        <v>6002</v>
      </c>
      <c r="B6003">
        <v>56571</v>
      </c>
      <c r="C6003" s="2">
        <v>37963</v>
      </c>
      <c r="D6003">
        <v>22</v>
      </c>
      <c r="E6003" t="s">
        <v>42</v>
      </c>
      <c r="F6003" t="s">
        <v>50</v>
      </c>
      <c r="G6003" s="2">
        <v>45442</v>
      </c>
      <c r="H6003" s="3">
        <f t="shared" si="93"/>
        <v>1.273972602739726</v>
      </c>
      <c r="I6003">
        <v>101</v>
      </c>
      <c r="J6003" t="s">
        <v>57</v>
      </c>
      <c r="K6003" t="s">
        <v>56</v>
      </c>
      <c r="L6003" t="s">
        <v>44</v>
      </c>
      <c r="M6003">
        <v>8.4700000000000006</v>
      </c>
      <c r="T6003" t="s">
        <v>52</v>
      </c>
      <c r="U6003">
        <v>0</v>
      </c>
      <c r="V6003">
        <v>5</v>
      </c>
    </row>
    <row r="6004" spans="1:22" x14ac:dyDescent="0.3">
      <c r="A6004">
        <v>6003</v>
      </c>
      <c r="B6004">
        <v>56572</v>
      </c>
      <c r="C6004" s="2">
        <v>39045</v>
      </c>
      <c r="D6004">
        <v>19</v>
      </c>
      <c r="E6004" t="s">
        <v>42</v>
      </c>
      <c r="F6004" t="s">
        <v>50</v>
      </c>
      <c r="G6004" s="2">
        <v>45557</v>
      </c>
      <c r="H6004" s="3">
        <f t="shared" si="93"/>
        <v>1.0602739726027397</v>
      </c>
      <c r="I6004">
        <v>101</v>
      </c>
      <c r="J6004" t="s">
        <v>57</v>
      </c>
      <c r="K6004" t="s">
        <v>56</v>
      </c>
      <c r="L6004" t="s">
        <v>44</v>
      </c>
      <c r="M6004">
        <v>8.4700000000000006</v>
      </c>
      <c r="T6004" t="s">
        <v>49</v>
      </c>
      <c r="U6004">
        <v>0</v>
      </c>
      <c r="V6004">
        <v>6</v>
      </c>
    </row>
    <row r="6005" spans="1:22" x14ac:dyDescent="0.3">
      <c r="A6005">
        <v>6004</v>
      </c>
      <c r="B6005">
        <v>56573</v>
      </c>
      <c r="C6005" s="2">
        <v>38963</v>
      </c>
      <c r="D6005">
        <v>19</v>
      </c>
      <c r="E6005" t="s">
        <v>36</v>
      </c>
      <c r="F6005" t="s">
        <v>37</v>
      </c>
      <c r="G6005" s="2">
        <v>45635</v>
      </c>
      <c r="H6005" s="3">
        <f t="shared" si="93"/>
        <v>1.2821917808219179</v>
      </c>
      <c r="I6005">
        <v>101</v>
      </c>
      <c r="J6005" t="s">
        <v>57</v>
      </c>
      <c r="K6005" t="s">
        <v>56</v>
      </c>
      <c r="L6005" t="s">
        <v>44</v>
      </c>
      <c r="M6005">
        <v>8.4700000000000006</v>
      </c>
      <c r="T6005" t="s">
        <v>45</v>
      </c>
      <c r="U6005">
        <v>2</v>
      </c>
      <c r="V6005">
        <v>3</v>
      </c>
    </row>
    <row r="6006" spans="1:22" x14ac:dyDescent="0.3">
      <c r="A6006">
        <v>6005</v>
      </c>
      <c r="B6006">
        <v>56574</v>
      </c>
      <c r="C6006" s="2">
        <v>38406</v>
      </c>
      <c r="D6006">
        <v>20</v>
      </c>
      <c r="E6006" t="s">
        <v>42</v>
      </c>
      <c r="F6006" t="s">
        <v>50</v>
      </c>
      <c r="G6006" s="2">
        <v>45554</v>
      </c>
      <c r="H6006" s="3">
        <f t="shared" si="93"/>
        <v>1.4821917808219178</v>
      </c>
      <c r="I6006">
        <v>101</v>
      </c>
      <c r="J6006" t="s">
        <v>57</v>
      </c>
      <c r="K6006" t="s">
        <v>56</v>
      </c>
      <c r="L6006" t="s">
        <v>44</v>
      </c>
      <c r="M6006">
        <v>8.4700000000000006</v>
      </c>
      <c r="T6006" t="s">
        <v>47</v>
      </c>
      <c r="U6006">
        <v>1</v>
      </c>
      <c r="V6006">
        <v>6</v>
      </c>
    </row>
    <row r="6007" spans="1:22" x14ac:dyDescent="0.3">
      <c r="A6007">
        <v>6006</v>
      </c>
      <c r="B6007">
        <v>56575</v>
      </c>
      <c r="C6007" s="2">
        <v>36864</v>
      </c>
      <c r="D6007">
        <v>25</v>
      </c>
      <c r="E6007" t="s">
        <v>42</v>
      </c>
      <c r="F6007" t="s">
        <v>50</v>
      </c>
      <c r="G6007" s="2">
        <v>45481</v>
      </c>
      <c r="H6007" s="3">
        <f t="shared" si="93"/>
        <v>1.452054794520548</v>
      </c>
      <c r="I6007">
        <v>102</v>
      </c>
      <c r="J6007" t="s">
        <v>57</v>
      </c>
      <c r="K6007" t="s">
        <v>68</v>
      </c>
      <c r="L6007" t="s">
        <v>44</v>
      </c>
      <c r="M6007">
        <v>17</v>
      </c>
      <c r="T6007" t="s">
        <v>52</v>
      </c>
      <c r="U6007">
        <v>4</v>
      </c>
      <c r="V6007">
        <v>7</v>
      </c>
    </row>
    <row r="6008" spans="1:22" x14ac:dyDescent="0.3">
      <c r="A6008">
        <v>6007</v>
      </c>
      <c r="B6008">
        <v>56576</v>
      </c>
      <c r="C6008" s="2">
        <v>38612</v>
      </c>
      <c r="D6008">
        <v>20</v>
      </c>
      <c r="E6008" t="s">
        <v>42</v>
      </c>
      <c r="F6008" t="s">
        <v>50</v>
      </c>
      <c r="G6008" s="2">
        <v>45492</v>
      </c>
      <c r="H6008" s="3">
        <f t="shared" si="93"/>
        <v>1.6082191780821917</v>
      </c>
      <c r="I6008">
        <v>102</v>
      </c>
      <c r="J6008" t="s">
        <v>57</v>
      </c>
      <c r="K6008" t="s">
        <v>48</v>
      </c>
      <c r="L6008" t="s">
        <v>44</v>
      </c>
      <c r="M6008">
        <v>8.4700000000000006</v>
      </c>
      <c r="T6008" t="s">
        <v>52</v>
      </c>
      <c r="U6008">
        <v>1</v>
      </c>
      <c r="V6008">
        <v>5</v>
      </c>
    </row>
    <row r="6009" spans="1:22" x14ac:dyDescent="0.3">
      <c r="A6009">
        <v>6008</v>
      </c>
      <c r="B6009">
        <v>56577</v>
      </c>
      <c r="C6009" s="2">
        <v>38248</v>
      </c>
      <c r="D6009">
        <v>21</v>
      </c>
      <c r="E6009" t="s">
        <v>42</v>
      </c>
      <c r="F6009" t="s">
        <v>50</v>
      </c>
      <c r="G6009" s="2">
        <v>45435</v>
      </c>
      <c r="H6009" s="3">
        <f t="shared" si="93"/>
        <v>1.5972602739726027</v>
      </c>
      <c r="I6009">
        <v>102</v>
      </c>
      <c r="J6009" t="s">
        <v>57</v>
      </c>
      <c r="K6009" t="s">
        <v>48</v>
      </c>
      <c r="L6009" t="s">
        <v>44</v>
      </c>
      <c r="M6009">
        <v>8.4700000000000006</v>
      </c>
      <c r="T6009" t="s">
        <v>47</v>
      </c>
      <c r="U6009">
        <v>1</v>
      </c>
      <c r="V6009">
        <v>6</v>
      </c>
    </row>
    <row r="6010" spans="1:22" x14ac:dyDescent="0.3">
      <c r="A6010">
        <v>6009</v>
      </c>
      <c r="B6010">
        <v>56578</v>
      </c>
      <c r="C6010" s="2">
        <v>35404</v>
      </c>
      <c r="D6010">
        <v>29</v>
      </c>
      <c r="E6010" t="s">
        <v>42</v>
      </c>
      <c r="F6010" t="s">
        <v>50</v>
      </c>
      <c r="G6010" s="2">
        <v>45439</v>
      </c>
      <c r="H6010" s="3">
        <f t="shared" si="93"/>
        <v>1</v>
      </c>
      <c r="I6010">
        <v>102</v>
      </c>
      <c r="J6010" t="s">
        <v>57</v>
      </c>
      <c r="K6010" t="s">
        <v>56</v>
      </c>
      <c r="L6010" t="s">
        <v>44</v>
      </c>
      <c r="M6010">
        <v>8.4700000000000006</v>
      </c>
      <c r="T6010" t="s">
        <v>52</v>
      </c>
      <c r="U6010">
        <v>0</v>
      </c>
      <c r="V6010">
        <v>5</v>
      </c>
    </row>
    <row r="6011" spans="1:22" x14ac:dyDescent="0.3">
      <c r="A6011">
        <v>6010</v>
      </c>
      <c r="B6011">
        <v>56579</v>
      </c>
      <c r="C6011" s="2">
        <v>34393</v>
      </c>
      <c r="D6011">
        <v>31</v>
      </c>
      <c r="E6011" t="s">
        <v>36</v>
      </c>
      <c r="F6011" t="s">
        <v>50</v>
      </c>
      <c r="G6011" s="2">
        <v>45657</v>
      </c>
      <c r="H6011" s="3">
        <f t="shared" si="93"/>
        <v>1.4904109589041097</v>
      </c>
      <c r="I6011">
        <v>102</v>
      </c>
      <c r="J6011" t="s">
        <v>57</v>
      </c>
      <c r="K6011" t="s">
        <v>56</v>
      </c>
      <c r="L6011" t="s">
        <v>44</v>
      </c>
      <c r="M6011">
        <v>8.4700000000000006</v>
      </c>
      <c r="T6011" t="s">
        <v>49</v>
      </c>
      <c r="U6011">
        <v>2</v>
      </c>
      <c r="V6011">
        <v>4</v>
      </c>
    </row>
    <row r="6012" spans="1:22" x14ac:dyDescent="0.3">
      <c r="A6012">
        <v>6011</v>
      </c>
      <c r="B6012">
        <v>56580</v>
      </c>
      <c r="C6012" s="2">
        <v>37328</v>
      </c>
      <c r="D6012">
        <v>23</v>
      </c>
      <c r="E6012" t="s">
        <v>42</v>
      </c>
      <c r="F6012" t="s">
        <v>37</v>
      </c>
      <c r="G6012" s="2">
        <v>45478</v>
      </c>
      <c r="H6012" s="3">
        <f t="shared" si="93"/>
        <v>1.5945205479452054</v>
      </c>
      <c r="I6012">
        <v>102</v>
      </c>
      <c r="J6012" t="s">
        <v>57</v>
      </c>
      <c r="K6012" t="s">
        <v>56</v>
      </c>
      <c r="L6012" t="s">
        <v>44</v>
      </c>
      <c r="M6012">
        <v>8.4700000000000006</v>
      </c>
      <c r="T6012" t="s">
        <v>47</v>
      </c>
      <c r="U6012">
        <v>2</v>
      </c>
      <c r="V6012">
        <v>6</v>
      </c>
    </row>
    <row r="6013" spans="1:22" x14ac:dyDescent="0.3">
      <c r="A6013">
        <v>6012</v>
      </c>
      <c r="B6013">
        <v>56582</v>
      </c>
      <c r="C6013" s="2">
        <v>39357</v>
      </c>
      <c r="D6013">
        <v>18</v>
      </c>
      <c r="E6013" t="s">
        <v>42</v>
      </c>
      <c r="F6013" t="s">
        <v>50</v>
      </c>
      <c r="G6013" s="2">
        <v>45440</v>
      </c>
      <c r="H6013" s="3">
        <f t="shared" si="93"/>
        <v>1.3150684931506849</v>
      </c>
      <c r="I6013">
        <v>102</v>
      </c>
      <c r="J6013" t="s">
        <v>57</v>
      </c>
      <c r="K6013" t="s">
        <v>56</v>
      </c>
      <c r="L6013" t="s">
        <v>44</v>
      </c>
      <c r="M6013">
        <v>8.4700000000000006</v>
      </c>
      <c r="T6013" t="s">
        <v>45</v>
      </c>
      <c r="U6013">
        <v>1</v>
      </c>
      <c r="V6013">
        <v>6</v>
      </c>
    </row>
    <row r="6014" spans="1:22" x14ac:dyDescent="0.3">
      <c r="A6014">
        <v>6013</v>
      </c>
      <c r="B6014">
        <v>56583</v>
      </c>
      <c r="C6014" s="2">
        <v>39384</v>
      </c>
      <c r="D6014">
        <v>18</v>
      </c>
      <c r="E6014" t="s">
        <v>42</v>
      </c>
      <c r="F6014" t="s">
        <v>50</v>
      </c>
      <c r="G6014" s="2">
        <v>45542</v>
      </c>
      <c r="H6014" s="3">
        <f t="shared" si="93"/>
        <v>1.1424657534246576</v>
      </c>
      <c r="I6014">
        <v>102</v>
      </c>
      <c r="J6014" t="s">
        <v>57</v>
      </c>
      <c r="K6014" t="s">
        <v>56</v>
      </c>
      <c r="L6014" t="s">
        <v>44</v>
      </c>
      <c r="M6014">
        <v>8.4700000000000006</v>
      </c>
      <c r="T6014" t="s">
        <v>47</v>
      </c>
      <c r="U6014">
        <v>2</v>
      </c>
      <c r="V6014">
        <v>7</v>
      </c>
    </row>
    <row r="6015" spans="1:22" x14ac:dyDescent="0.3">
      <c r="A6015">
        <v>6014</v>
      </c>
      <c r="B6015">
        <v>56584</v>
      </c>
      <c r="C6015" s="2">
        <v>37736</v>
      </c>
      <c r="D6015">
        <v>22</v>
      </c>
      <c r="E6015" t="s">
        <v>42</v>
      </c>
      <c r="F6015" t="s">
        <v>37</v>
      </c>
      <c r="G6015" s="2">
        <v>45605</v>
      </c>
      <c r="H6015" s="3">
        <f t="shared" si="93"/>
        <v>1.1479452054794521</v>
      </c>
      <c r="I6015">
        <v>102</v>
      </c>
      <c r="J6015" t="s">
        <v>57</v>
      </c>
      <c r="K6015" t="s">
        <v>56</v>
      </c>
      <c r="L6015" t="s">
        <v>44</v>
      </c>
      <c r="M6015">
        <v>8.4700000000000006</v>
      </c>
      <c r="T6015" t="s">
        <v>52</v>
      </c>
      <c r="U6015">
        <v>2</v>
      </c>
      <c r="V6015">
        <v>4</v>
      </c>
    </row>
    <row r="6016" spans="1:22" x14ac:dyDescent="0.3">
      <c r="A6016">
        <v>6015</v>
      </c>
      <c r="B6016">
        <v>56586</v>
      </c>
      <c r="C6016" s="2">
        <v>39298</v>
      </c>
      <c r="D6016">
        <v>18</v>
      </c>
      <c r="E6016" t="s">
        <v>42</v>
      </c>
      <c r="F6016" t="s">
        <v>50</v>
      </c>
      <c r="G6016" s="2">
        <v>45603</v>
      </c>
      <c r="H6016" s="3">
        <f t="shared" si="93"/>
        <v>1.484931506849315</v>
      </c>
      <c r="I6016">
        <v>102</v>
      </c>
      <c r="J6016" t="s">
        <v>57</v>
      </c>
      <c r="K6016" t="s">
        <v>56</v>
      </c>
      <c r="L6016" t="s">
        <v>44</v>
      </c>
      <c r="M6016">
        <v>8.4700000000000006</v>
      </c>
      <c r="T6016" t="s">
        <v>49</v>
      </c>
      <c r="U6016">
        <v>2</v>
      </c>
      <c r="V6016">
        <v>6</v>
      </c>
    </row>
    <row r="6017" spans="1:22" x14ac:dyDescent="0.3">
      <c r="A6017">
        <v>6016</v>
      </c>
      <c r="B6017">
        <v>56587</v>
      </c>
      <c r="C6017" s="2">
        <v>35466</v>
      </c>
      <c r="D6017">
        <v>28</v>
      </c>
      <c r="E6017" t="s">
        <v>36</v>
      </c>
      <c r="F6017" t="s">
        <v>37</v>
      </c>
      <c r="G6017" s="2">
        <v>45480</v>
      </c>
      <c r="H6017" s="3">
        <f t="shared" si="93"/>
        <v>1.6191780821917807</v>
      </c>
      <c r="I6017">
        <v>103</v>
      </c>
      <c r="J6017" t="s">
        <v>57</v>
      </c>
      <c r="K6017" t="s">
        <v>68</v>
      </c>
      <c r="L6017" t="s">
        <v>44</v>
      </c>
      <c r="M6017">
        <v>17</v>
      </c>
      <c r="T6017" t="s">
        <v>45</v>
      </c>
      <c r="U6017">
        <v>1</v>
      </c>
      <c r="V6017">
        <v>4</v>
      </c>
    </row>
    <row r="6018" spans="1:22" x14ac:dyDescent="0.3">
      <c r="A6018">
        <v>6017</v>
      </c>
      <c r="B6018">
        <v>56588</v>
      </c>
      <c r="C6018" s="2">
        <v>37983</v>
      </c>
      <c r="D6018">
        <v>22</v>
      </c>
      <c r="E6018" t="s">
        <v>36</v>
      </c>
      <c r="F6018" t="s">
        <v>50</v>
      </c>
      <c r="G6018" s="2">
        <v>45431</v>
      </c>
      <c r="H6018" s="3">
        <f t="shared" si="93"/>
        <v>1.2027397260273973</v>
      </c>
      <c r="I6018">
        <v>103</v>
      </c>
      <c r="J6018" t="s">
        <v>57</v>
      </c>
      <c r="K6018" t="s">
        <v>65</v>
      </c>
      <c r="L6018" t="s">
        <v>44</v>
      </c>
      <c r="M6018">
        <v>10.64</v>
      </c>
      <c r="T6018" t="s">
        <v>45</v>
      </c>
      <c r="U6018">
        <v>1</v>
      </c>
      <c r="V6018">
        <v>4</v>
      </c>
    </row>
    <row r="6019" spans="1:22" x14ac:dyDescent="0.3">
      <c r="A6019">
        <v>6018</v>
      </c>
      <c r="B6019">
        <v>56589</v>
      </c>
      <c r="C6019" s="2">
        <v>39032</v>
      </c>
      <c r="D6019">
        <v>19</v>
      </c>
      <c r="E6019" t="s">
        <v>42</v>
      </c>
      <c r="F6019" t="s">
        <v>50</v>
      </c>
      <c r="G6019" s="2">
        <v>45583</v>
      </c>
      <c r="H6019" s="3">
        <f t="shared" ref="H6019:H6082" si="94">DATEDIF(G6020,DATE(2025,12,31),"d")/365</f>
        <v>1.0876712328767124</v>
      </c>
      <c r="I6019">
        <v>103</v>
      </c>
      <c r="J6019" t="s">
        <v>57</v>
      </c>
      <c r="K6019" t="s">
        <v>65</v>
      </c>
      <c r="L6019" t="s">
        <v>44</v>
      </c>
      <c r="M6019">
        <v>10.64</v>
      </c>
      <c r="T6019" t="s">
        <v>47</v>
      </c>
      <c r="U6019">
        <v>0</v>
      </c>
      <c r="V6019">
        <v>5</v>
      </c>
    </row>
    <row r="6020" spans="1:22" x14ac:dyDescent="0.3">
      <c r="A6020">
        <v>6019</v>
      </c>
      <c r="B6020">
        <v>56590</v>
      </c>
      <c r="C6020" s="2">
        <v>38329</v>
      </c>
      <c r="D6020">
        <v>21</v>
      </c>
      <c r="E6020" t="s">
        <v>36</v>
      </c>
      <c r="F6020" t="s">
        <v>50</v>
      </c>
      <c r="G6020" s="2">
        <v>45625</v>
      </c>
      <c r="H6020" s="3">
        <f t="shared" si="94"/>
        <v>1.3424657534246576</v>
      </c>
      <c r="I6020">
        <v>103</v>
      </c>
      <c r="J6020" t="s">
        <v>57</v>
      </c>
      <c r="K6020" t="s">
        <v>64</v>
      </c>
      <c r="L6020" t="s">
        <v>44</v>
      </c>
      <c r="M6020">
        <v>14.07</v>
      </c>
      <c r="T6020" t="s">
        <v>45</v>
      </c>
      <c r="U6020">
        <v>0</v>
      </c>
      <c r="V6020">
        <v>5</v>
      </c>
    </row>
    <row r="6021" spans="1:22" x14ac:dyDescent="0.3">
      <c r="A6021">
        <v>6020</v>
      </c>
      <c r="B6021">
        <v>56591</v>
      </c>
      <c r="C6021" s="2">
        <v>38297</v>
      </c>
      <c r="D6021">
        <v>21</v>
      </c>
      <c r="E6021" t="s">
        <v>42</v>
      </c>
      <c r="F6021" t="s">
        <v>37</v>
      </c>
      <c r="G6021" s="2">
        <v>45532</v>
      </c>
      <c r="H6021" s="3">
        <f t="shared" si="94"/>
        <v>1.4876712328767123</v>
      </c>
      <c r="I6021">
        <v>103</v>
      </c>
      <c r="J6021" t="s">
        <v>57</v>
      </c>
      <c r="K6021" t="s">
        <v>56</v>
      </c>
      <c r="L6021" t="s">
        <v>44</v>
      </c>
      <c r="M6021">
        <v>8.4700000000000006</v>
      </c>
      <c r="T6021" t="s">
        <v>47</v>
      </c>
      <c r="U6021">
        <v>2</v>
      </c>
      <c r="V6021">
        <v>6</v>
      </c>
    </row>
    <row r="6022" spans="1:22" x14ac:dyDescent="0.3">
      <c r="A6022">
        <v>6021</v>
      </c>
      <c r="B6022">
        <v>56592</v>
      </c>
      <c r="C6022" s="2">
        <v>37469</v>
      </c>
      <c r="D6022">
        <v>24</v>
      </c>
      <c r="E6022" t="s">
        <v>42</v>
      </c>
      <c r="F6022" t="s">
        <v>50</v>
      </c>
      <c r="G6022" s="2">
        <v>45479</v>
      </c>
      <c r="H6022" s="3">
        <f t="shared" si="94"/>
        <v>1.4602739726027398</v>
      </c>
      <c r="I6022">
        <v>103</v>
      </c>
      <c r="J6022" t="s">
        <v>57</v>
      </c>
      <c r="K6022" t="s">
        <v>56</v>
      </c>
      <c r="L6022" t="s">
        <v>44</v>
      </c>
      <c r="M6022">
        <v>8.4700000000000006</v>
      </c>
      <c r="T6022" t="s">
        <v>52</v>
      </c>
      <c r="U6022">
        <v>2</v>
      </c>
      <c r="V6022">
        <v>7</v>
      </c>
    </row>
    <row r="6023" spans="1:22" x14ac:dyDescent="0.3">
      <c r="A6023">
        <v>6022</v>
      </c>
      <c r="B6023">
        <v>56594</v>
      </c>
      <c r="C6023" s="2">
        <v>37672</v>
      </c>
      <c r="D6023">
        <v>22</v>
      </c>
      <c r="E6023" t="s">
        <v>36</v>
      </c>
      <c r="F6023" t="s">
        <v>37</v>
      </c>
      <c r="G6023" s="2">
        <v>45489</v>
      </c>
      <c r="H6023" s="3">
        <f t="shared" si="94"/>
        <v>1.4986301369863013</v>
      </c>
      <c r="I6023">
        <v>103</v>
      </c>
      <c r="J6023" t="s">
        <v>57</v>
      </c>
      <c r="K6023" t="s">
        <v>56</v>
      </c>
      <c r="L6023" t="s">
        <v>44</v>
      </c>
      <c r="M6023">
        <v>8.4700000000000006</v>
      </c>
      <c r="T6023" t="s">
        <v>47</v>
      </c>
      <c r="U6023">
        <v>4</v>
      </c>
      <c r="V6023">
        <v>5</v>
      </c>
    </row>
    <row r="6024" spans="1:22" x14ac:dyDescent="0.3">
      <c r="A6024">
        <v>6023</v>
      </c>
      <c r="B6024">
        <v>56595</v>
      </c>
      <c r="C6024" s="2">
        <v>38236</v>
      </c>
      <c r="D6024">
        <v>21</v>
      </c>
      <c r="E6024" t="s">
        <v>42</v>
      </c>
      <c r="F6024" t="s">
        <v>37</v>
      </c>
      <c r="G6024" s="2">
        <v>45475</v>
      </c>
      <c r="H6024" s="3">
        <f t="shared" si="94"/>
        <v>1.5013698630136987</v>
      </c>
      <c r="I6024">
        <v>103</v>
      </c>
      <c r="J6024" t="s">
        <v>57</v>
      </c>
      <c r="K6024" t="s">
        <v>56</v>
      </c>
      <c r="L6024" t="s">
        <v>44</v>
      </c>
      <c r="M6024">
        <v>8.4700000000000006</v>
      </c>
      <c r="T6024" t="s">
        <v>49</v>
      </c>
      <c r="U6024">
        <v>0</v>
      </c>
      <c r="V6024">
        <v>5</v>
      </c>
    </row>
    <row r="6025" spans="1:22" x14ac:dyDescent="0.3">
      <c r="A6025">
        <v>6024</v>
      </c>
      <c r="B6025">
        <v>56596</v>
      </c>
      <c r="C6025" s="2">
        <v>37880</v>
      </c>
      <c r="D6025">
        <v>22</v>
      </c>
      <c r="E6025" t="s">
        <v>42</v>
      </c>
      <c r="F6025" t="s">
        <v>37</v>
      </c>
      <c r="G6025" s="2">
        <v>45474</v>
      </c>
      <c r="H6025" s="3">
        <f t="shared" si="94"/>
        <v>1.4191780821917808</v>
      </c>
      <c r="I6025">
        <v>103</v>
      </c>
      <c r="J6025" t="s">
        <v>57</v>
      </c>
      <c r="K6025" t="s">
        <v>56</v>
      </c>
      <c r="L6025" t="s">
        <v>44</v>
      </c>
      <c r="M6025">
        <v>8.4700000000000006</v>
      </c>
      <c r="T6025" t="s">
        <v>52</v>
      </c>
      <c r="U6025">
        <v>2</v>
      </c>
      <c r="V6025">
        <v>5</v>
      </c>
    </row>
    <row r="6026" spans="1:22" x14ac:dyDescent="0.3">
      <c r="A6026">
        <v>6025</v>
      </c>
      <c r="B6026">
        <v>56597</v>
      </c>
      <c r="C6026" s="2">
        <v>37810</v>
      </c>
      <c r="D6026">
        <v>22</v>
      </c>
      <c r="E6026" t="s">
        <v>42</v>
      </c>
      <c r="F6026" t="s">
        <v>50</v>
      </c>
      <c r="G6026" s="2">
        <v>45504</v>
      </c>
      <c r="H6026" s="3">
        <f t="shared" si="94"/>
        <v>1.1616438356164382</v>
      </c>
      <c r="I6026">
        <v>103</v>
      </c>
      <c r="J6026" t="s">
        <v>57</v>
      </c>
      <c r="K6026" t="s">
        <v>56</v>
      </c>
      <c r="L6026" t="s">
        <v>44</v>
      </c>
      <c r="M6026">
        <v>8.4700000000000006</v>
      </c>
      <c r="T6026" t="s">
        <v>45</v>
      </c>
      <c r="U6026">
        <v>1</v>
      </c>
      <c r="V6026">
        <v>7</v>
      </c>
    </row>
    <row r="6027" spans="1:22" x14ac:dyDescent="0.3">
      <c r="A6027">
        <v>6026</v>
      </c>
      <c r="B6027">
        <v>56598</v>
      </c>
      <c r="C6027" s="2">
        <v>38864</v>
      </c>
      <c r="D6027">
        <v>19</v>
      </c>
      <c r="E6027" t="s">
        <v>36</v>
      </c>
      <c r="F6027" t="s">
        <v>50</v>
      </c>
      <c r="G6027" s="2">
        <v>45598</v>
      </c>
      <c r="H6027" s="3">
        <f t="shared" si="94"/>
        <v>1.4493150684931506</v>
      </c>
      <c r="I6027">
        <v>103</v>
      </c>
      <c r="J6027" t="s">
        <v>57</v>
      </c>
      <c r="K6027" t="s">
        <v>56</v>
      </c>
      <c r="L6027" t="s">
        <v>44</v>
      </c>
      <c r="M6027">
        <v>8.4700000000000006</v>
      </c>
      <c r="T6027" t="s">
        <v>49</v>
      </c>
      <c r="U6027">
        <v>2</v>
      </c>
      <c r="V6027">
        <v>5</v>
      </c>
    </row>
    <row r="6028" spans="1:22" x14ac:dyDescent="0.3">
      <c r="A6028">
        <v>6027</v>
      </c>
      <c r="B6028">
        <v>56599</v>
      </c>
      <c r="C6028" s="2">
        <v>37672</v>
      </c>
      <c r="D6028">
        <v>22</v>
      </c>
      <c r="E6028" t="s">
        <v>42</v>
      </c>
      <c r="F6028" t="s">
        <v>50</v>
      </c>
      <c r="G6028" s="2">
        <v>45493</v>
      </c>
      <c r="H6028" s="3">
        <f t="shared" si="94"/>
        <v>1.810958904109589</v>
      </c>
      <c r="I6028">
        <v>103</v>
      </c>
      <c r="J6028" t="s">
        <v>57</v>
      </c>
      <c r="K6028" t="s">
        <v>56</v>
      </c>
      <c r="L6028" t="s">
        <v>44</v>
      </c>
      <c r="M6028">
        <v>8.4700000000000006</v>
      </c>
      <c r="T6028" t="s">
        <v>45</v>
      </c>
      <c r="U6028">
        <v>1</v>
      </c>
      <c r="V6028">
        <v>6</v>
      </c>
    </row>
    <row r="6029" spans="1:22" x14ac:dyDescent="0.3">
      <c r="A6029">
        <v>6028</v>
      </c>
      <c r="B6029">
        <v>56600</v>
      </c>
      <c r="C6029" s="2">
        <v>35519</v>
      </c>
      <c r="D6029">
        <v>28</v>
      </c>
      <c r="E6029" t="s">
        <v>42</v>
      </c>
      <c r="F6029" t="s">
        <v>50</v>
      </c>
      <c r="G6029" s="2">
        <v>45361</v>
      </c>
      <c r="H6029" s="3">
        <f t="shared" si="94"/>
        <v>1.6958904109589041</v>
      </c>
      <c r="I6029">
        <v>103</v>
      </c>
      <c r="J6029" t="s">
        <v>57</v>
      </c>
      <c r="K6029" t="s">
        <v>56</v>
      </c>
      <c r="L6029" t="s">
        <v>44</v>
      </c>
      <c r="M6029">
        <v>8.4700000000000006</v>
      </c>
      <c r="T6029" t="s">
        <v>52</v>
      </c>
      <c r="U6029">
        <v>1</v>
      </c>
      <c r="V6029">
        <v>6</v>
      </c>
    </row>
    <row r="6030" spans="1:22" x14ac:dyDescent="0.3">
      <c r="A6030">
        <v>6029</v>
      </c>
      <c r="B6030">
        <v>56601</v>
      </c>
      <c r="C6030" s="2">
        <v>35456</v>
      </c>
      <c r="D6030">
        <v>28</v>
      </c>
      <c r="E6030" t="s">
        <v>42</v>
      </c>
      <c r="F6030" t="s">
        <v>50</v>
      </c>
      <c r="G6030" s="2">
        <v>45403</v>
      </c>
      <c r="H6030" s="3">
        <f t="shared" si="94"/>
        <v>1.8191780821917809</v>
      </c>
      <c r="I6030">
        <v>103</v>
      </c>
      <c r="J6030" t="s">
        <v>57</v>
      </c>
      <c r="K6030" t="s">
        <v>56</v>
      </c>
      <c r="L6030" t="s">
        <v>44</v>
      </c>
      <c r="M6030">
        <v>8.4700000000000006</v>
      </c>
      <c r="T6030" t="s">
        <v>52</v>
      </c>
      <c r="U6030">
        <v>4</v>
      </c>
      <c r="V6030">
        <v>7</v>
      </c>
    </row>
    <row r="6031" spans="1:22" x14ac:dyDescent="0.3">
      <c r="A6031">
        <v>6030</v>
      </c>
      <c r="B6031">
        <v>56602</v>
      </c>
      <c r="C6031" s="2">
        <v>37024</v>
      </c>
      <c r="D6031">
        <v>24</v>
      </c>
      <c r="E6031" t="s">
        <v>42</v>
      </c>
      <c r="F6031" t="s">
        <v>50</v>
      </c>
      <c r="G6031" s="2">
        <v>45358</v>
      </c>
      <c r="H6031" s="3">
        <f t="shared" si="94"/>
        <v>1.2356164383561643</v>
      </c>
      <c r="I6031">
        <v>104</v>
      </c>
      <c r="J6031" t="s">
        <v>57</v>
      </c>
      <c r="K6031" t="s">
        <v>68</v>
      </c>
      <c r="L6031" t="s">
        <v>44</v>
      </c>
      <c r="M6031">
        <v>17</v>
      </c>
      <c r="T6031" t="s">
        <v>45</v>
      </c>
      <c r="U6031">
        <v>3</v>
      </c>
      <c r="V6031">
        <v>7</v>
      </c>
    </row>
    <row r="6032" spans="1:22" x14ac:dyDescent="0.3">
      <c r="A6032">
        <v>6031</v>
      </c>
      <c r="B6032">
        <v>56603</v>
      </c>
      <c r="C6032" s="2">
        <v>35965</v>
      </c>
      <c r="D6032">
        <v>27</v>
      </c>
      <c r="E6032" t="s">
        <v>36</v>
      </c>
      <c r="F6032" t="s">
        <v>50</v>
      </c>
      <c r="G6032" s="2">
        <v>45571</v>
      </c>
      <c r="H6032" s="3">
        <f t="shared" si="94"/>
        <v>1.515068493150685</v>
      </c>
      <c r="I6032">
        <v>104</v>
      </c>
      <c r="J6032" t="s">
        <v>57</v>
      </c>
      <c r="K6032" t="s">
        <v>65</v>
      </c>
      <c r="L6032" t="s">
        <v>44</v>
      </c>
      <c r="M6032">
        <v>10.64</v>
      </c>
      <c r="T6032" t="s">
        <v>52</v>
      </c>
      <c r="U6032">
        <v>0</v>
      </c>
      <c r="V6032">
        <v>4</v>
      </c>
    </row>
    <row r="6033" spans="1:22" x14ac:dyDescent="0.3">
      <c r="A6033">
        <v>6032</v>
      </c>
      <c r="B6033">
        <v>56604</v>
      </c>
      <c r="C6033" s="2">
        <v>36107</v>
      </c>
      <c r="D6033">
        <v>27</v>
      </c>
      <c r="E6033" t="s">
        <v>42</v>
      </c>
      <c r="F6033" t="s">
        <v>37</v>
      </c>
      <c r="G6033" s="2">
        <v>45469</v>
      </c>
      <c r="H6033" s="3">
        <f t="shared" si="94"/>
        <v>1.0602739726027397</v>
      </c>
      <c r="I6033">
        <v>104</v>
      </c>
      <c r="J6033" t="s">
        <v>57</v>
      </c>
      <c r="K6033" t="s">
        <v>56</v>
      </c>
      <c r="L6033" t="s">
        <v>44</v>
      </c>
      <c r="M6033">
        <v>8.4700000000000006</v>
      </c>
      <c r="T6033" t="s">
        <v>45</v>
      </c>
      <c r="U6033">
        <v>2</v>
      </c>
      <c r="V6033">
        <v>7</v>
      </c>
    </row>
    <row r="6034" spans="1:22" x14ac:dyDescent="0.3">
      <c r="A6034">
        <v>6033</v>
      </c>
      <c r="B6034">
        <v>56605</v>
      </c>
      <c r="C6034" s="2">
        <v>38796</v>
      </c>
      <c r="D6034">
        <v>19</v>
      </c>
      <c r="E6034" t="s">
        <v>42</v>
      </c>
      <c r="F6034" t="s">
        <v>37</v>
      </c>
      <c r="G6034" s="2">
        <v>45635</v>
      </c>
      <c r="H6034" s="3">
        <f t="shared" si="94"/>
        <v>1.3397260273972602</v>
      </c>
      <c r="I6034">
        <v>104</v>
      </c>
      <c r="J6034" t="s">
        <v>57</v>
      </c>
      <c r="K6034" t="s">
        <v>56</v>
      </c>
      <c r="L6034" t="s">
        <v>44</v>
      </c>
      <c r="M6034">
        <v>8.4700000000000006</v>
      </c>
      <c r="T6034" t="s">
        <v>47</v>
      </c>
      <c r="U6034">
        <v>0</v>
      </c>
      <c r="V6034">
        <v>6</v>
      </c>
    </row>
    <row r="6035" spans="1:22" x14ac:dyDescent="0.3">
      <c r="A6035">
        <v>6034</v>
      </c>
      <c r="B6035">
        <v>56606</v>
      </c>
      <c r="C6035" s="2">
        <v>37190</v>
      </c>
      <c r="D6035">
        <v>24</v>
      </c>
      <c r="E6035" t="s">
        <v>42</v>
      </c>
      <c r="F6035" t="s">
        <v>37</v>
      </c>
      <c r="G6035" s="2">
        <v>45533</v>
      </c>
      <c r="H6035" s="3">
        <f t="shared" si="94"/>
        <v>1.5917808219178082</v>
      </c>
      <c r="I6035">
        <v>104</v>
      </c>
      <c r="J6035" t="s">
        <v>57</v>
      </c>
      <c r="K6035" t="s">
        <v>56</v>
      </c>
      <c r="L6035" t="s">
        <v>44</v>
      </c>
      <c r="M6035">
        <v>8.4700000000000006</v>
      </c>
      <c r="T6035" t="s">
        <v>52</v>
      </c>
      <c r="U6035">
        <v>1</v>
      </c>
      <c r="V6035">
        <v>6</v>
      </c>
    </row>
    <row r="6036" spans="1:22" x14ac:dyDescent="0.3">
      <c r="A6036">
        <v>6035</v>
      </c>
      <c r="B6036">
        <v>56607</v>
      </c>
      <c r="C6036" s="2">
        <v>38712</v>
      </c>
      <c r="D6036">
        <v>20</v>
      </c>
      <c r="E6036" t="s">
        <v>42</v>
      </c>
      <c r="F6036" t="s">
        <v>50</v>
      </c>
      <c r="G6036" s="2">
        <v>45441</v>
      </c>
      <c r="H6036" s="3">
        <f t="shared" si="94"/>
        <v>1.0876712328767124</v>
      </c>
      <c r="I6036">
        <v>104</v>
      </c>
      <c r="J6036" t="s">
        <v>57</v>
      </c>
      <c r="K6036" t="s">
        <v>56</v>
      </c>
      <c r="L6036" t="s">
        <v>44</v>
      </c>
      <c r="M6036">
        <v>8.4700000000000006</v>
      </c>
      <c r="T6036" t="s">
        <v>52</v>
      </c>
      <c r="U6036">
        <v>3</v>
      </c>
      <c r="V6036">
        <v>7</v>
      </c>
    </row>
    <row r="6037" spans="1:22" x14ac:dyDescent="0.3">
      <c r="A6037">
        <v>6036</v>
      </c>
      <c r="B6037">
        <v>56608</v>
      </c>
      <c r="C6037" s="2">
        <v>39112</v>
      </c>
      <c r="D6037">
        <v>18</v>
      </c>
      <c r="E6037" t="s">
        <v>42</v>
      </c>
      <c r="F6037" t="s">
        <v>50</v>
      </c>
      <c r="G6037" s="2">
        <v>45625</v>
      </c>
      <c r="H6037" s="3">
        <f t="shared" si="94"/>
        <v>1.3917808219178083</v>
      </c>
      <c r="I6037">
        <v>104</v>
      </c>
      <c r="J6037" t="s">
        <v>57</v>
      </c>
      <c r="K6037" t="s">
        <v>56</v>
      </c>
      <c r="L6037" t="s">
        <v>44</v>
      </c>
      <c r="M6037">
        <v>8.4700000000000006</v>
      </c>
      <c r="T6037" t="s">
        <v>45</v>
      </c>
      <c r="U6037">
        <v>3</v>
      </c>
      <c r="V6037">
        <v>6</v>
      </c>
    </row>
    <row r="6038" spans="1:22" x14ac:dyDescent="0.3">
      <c r="A6038">
        <v>6037</v>
      </c>
      <c r="B6038">
        <v>56609</v>
      </c>
      <c r="C6038" s="2">
        <v>38841</v>
      </c>
      <c r="D6038">
        <v>19</v>
      </c>
      <c r="E6038" t="s">
        <v>42</v>
      </c>
      <c r="F6038" t="s">
        <v>37</v>
      </c>
      <c r="G6038" s="2">
        <v>45514</v>
      </c>
      <c r="H6038" s="3">
        <f t="shared" si="94"/>
        <v>1.3260273972602741</v>
      </c>
      <c r="I6038">
        <v>104</v>
      </c>
      <c r="J6038" t="s">
        <v>57</v>
      </c>
      <c r="K6038" t="s">
        <v>56</v>
      </c>
      <c r="L6038" t="s">
        <v>44</v>
      </c>
      <c r="M6038">
        <v>8.4700000000000006</v>
      </c>
      <c r="T6038" t="s">
        <v>45</v>
      </c>
      <c r="U6038">
        <v>4</v>
      </c>
      <c r="V6038">
        <v>7</v>
      </c>
    </row>
    <row r="6039" spans="1:22" x14ac:dyDescent="0.3">
      <c r="A6039">
        <v>6038</v>
      </c>
      <c r="B6039">
        <v>56610</v>
      </c>
      <c r="C6039" s="2">
        <v>38286</v>
      </c>
      <c r="D6039">
        <v>21</v>
      </c>
      <c r="E6039" t="s">
        <v>42</v>
      </c>
      <c r="F6039" t="s">
        <v>50</v>
      </c>
      <c r="G6039" s="2">
        <v>45538</v>
      </c>
      <c r="H6039" s="3">
        <f t="shared" si="94"/>
        <v>1.0904109589041096</v>
      </c>
      <c r="I6039">
        <v>104</v>
      </c>
      <c r="J6039" t="s">
        <v>57</v>
      </c>
      <c r="K6039" t="s">
        <v>56</v>
      </c>
      <c r="L6039" t="s">
        <v>44</v>
      </c>
      <c r="M6039">
        <v>8.4700000000000006</v>
      </c>
      <c r="T6039" t="s">
        <v>47</v>
      </c>
      <c r="U6039">
        <v>1</v>
      </c>
      <c r="V6039">
        <v>6</v>
      </c>
    </row>
    <row r="6040" spans="1:22" x14ac:dyDescent="0.3">
      <c r="A6040">
        <v>6039</v>
      </c>
      <c r="B6040">
        <v>56612</v>
      </c>
      <c r="C6040" s="2">
        <v>36636</v>
      </c>
      <c r="D6040">
        <v>25</v>
      </c>
      <c r="E6040" t="s">
        <v>42</v>
      </c>
      <c r="F6040" t="s">
        <v>50</v>
      </c>
      <c r="G6040" s="2">
        <v>45624</v>
      </c>
      <c r="H6040" s="3">
        <f t="shared" si="94"/>
        <v>1.6520547945205479</v>
      </c>
      <c r="I6040">
        <v>105</v>
      </c>
      <c r="J6040" t="s">
        <v>57</v>
      </c>
      <c r="K6040" t="s">
        <v>68</v>
      </c>
      <c r="L6040" t="s">
        <v>44</v>
      </c>
      <c r="M6040">
        <v>17</v>
      </c>
      <c r="T6040" t="s">
        <v>52</v>
      </c>
      <c r="U6040">
        <v>2</v>
      </c>
      <c r="V6040">
        <v>7</v>
      </c>
    </row>
    <row r="6041" spans="1:22" x14ac:dyDescent="0.3">
      <c r="A6041">
        <v>6040</v>
      </c>
      <c r="B6041">
        <v>56613</v>
      </c>
      <c r="C6041" s="2">
        <v>34622</v>
      </c>
      <c r="D6041">
        <v>31</v>
      </c>
      <c r="E6041" t="s">
        <v>42</v>
      </c>
      <c r="F6041" t="s">
        <v>37</v>
      </c>
      <c r="G6041" s="2">
        <v>45419</v>
      </c>
      <c r="H6041" s="3">
        <f t="shared" si="94"/>
        <v>1.2328767123287672</v>
      </c>
      <c r="I6041">
        <v>105</v>
      </c>
      <c r="J6041" t="s">
        <v>57</v>
      </c>
      <c r="K6041" t="s">
        <v>68</v>
      </c>
      <c r="L6041" t="s">
        <v>44</v>
      </c>
      <c r="M6041">
        <v>17</v>
      </c>
      <c r="T6041" t="s">
        <v>52</v>
      </c>
      <c r="U6041">
        <v>2</v>
      </c>
      <c r="V6041">
        <v>5</v>
      </c>
    </row>
    <row r="6042" spans="1:22" x14ac:dyDescent="0.3">
      <c r="A6042">
        <v>6041</v>
      </c>
      <c r="B6042">
        <v>56614</v>
      </c>
      <c r="C6042" s="2">
        <v>35248</v>
      </c>
      <c r="D6042">
        <v>29</v>
      </c>
      <c r="E6042" t="s">
        <v>42</v>
      </c>
      <c r="F6042" t="s">
        <v>50</v>
      </c>
      <c r="G6042" s="2">
        <v>45572</v>
      </c>
      <c r="H6042" s="3">
        <f t="shared" si="94"/>
        <v>1.095890410958904</v>
      </c>
      <c r="I6042">
        <v>105</v>
      </c>
      <c r="J6042" t="s">
        <v>57</v>
      </c>
      <c r="K6042" t="s">
        <v>48</v>
      </c>
      <c r="L6042" t="s">
        <v>44</v>
      </c>
      <c r="M6042">
        <v>8.4700000000000006</v>
      </c>
      <c r="T6042" t="s">
        <v>52</v>
      </c>
      <c r="U6042">
        <v>0</v>
      </c>
      <c r="V6042">
        <v>7</v>
      </c>
    </row>
    <row r="6043" spans="1:22" x14ac:dyDescent="0.3">
      <c r="A6043">
        <v>6042</v>
      </c>
      <c r="B6043">
        <v>56615</v>
      </c>
      <c r="C6043" s="2">
        <v>38881</v>
      </c>
      <c r="D6043">
        <v>19</v>
      </c>
      <c r="E6043" t="s">
        <v>42</v>
      </c>
      <c r="F6043" t="s">
        <v>37</v>
      </c>
      <c r="G6043" s="2">
        <v>45622</v>
      </c>
      <c r="H6043" s="3">
        <f t="shared" si="94"/>
        <v>1.3698630136986301</v>
      </c>
      <c r="I6043">
        <v>105</v>
      </c>
      <c r="J6043" t="s">
        <v>57</v>
      </c>
      <c r="K6043" t="s">
        <v>56</v>
      </c>
      <c r="L6043" t="s">
        <v>44</v>
      </c>
      <c r="M6043">
        <v>8.4700000000000006</v>
      </c>
      <c r="T6043" t="s">
        <v>52</v>
      </c>
      <c r="U6043">
        <v>2</v>
      </c>
      <c r="V6043">
        <v>6</v>
      </c>
    </row>
    <row r="6044" spans="1:22" x14ac:dyDescent="0.3">
      <c r="A6044">
        <v>6043</v>
      </c>
      <c r="B6044">
        <v>56616</v>
      </c>
      <c r="C6044" s="2">
        <v>37865</v>
      </c>
      <c r="D6044">
        <v>23</v>
      </c>
      <c r="E6044" t="s">
        <v>36</v>
      </c>
      <c r="F6044" t="s">
        <v>50</v>
      </c>
      <c r="G6044" s="2">
        <v>45522</v>
      </c>
      <c r="H6044" s="3">
        <f t="shared" si="94"/>
        <v>1.263013698630137</v>
      </c>
      <c r="I6044">
        <v>105</v>
      </c>
      <c r="J6044" t="s">
        <v>57</v>
      </c>
      <c r="K6044" t="s">
        <v>56</v>
      </c>
      <c r="L6044" t="s">
        <v>44</v>
      </c>
      <c r="M6044">
        <v>8.4700000000000006</v>
      </c>
      <c r="T6044" t="s">
        <v>47</v>
      </c>
      <c r="U6044">
        <v>1</v>
      </c>
      <c r="V6044">
        <v>6</v>
      </c>
    </row>
    <row r="6045" spans="1:22" x14ac:dyDescent="0.3">
      <c r="A6045">
        <v>6044</v>
      </c>
      <c r="B6045">
        <v>56617</v>
      </c>
      <c r="C6045" s="2">
        <v>38604</v>
      </c>
      <c r="D6045">
        <v>20</v>
      </c>
      <c r="E6045" t="s">
        <v>42</v>
      </c>
      <c r="F6045" t="s">
        <v>50</v>
      </c>
      <c r="G6045" s="2">
        <v>45561</v>
      </c>
      <c r="H6045" s="3">
        <f t="shared" si="94"/>
        <v>1.178082191780822</v>
      </c>
      <c r="I6045">
        <v>105</v>
      </c>
      <c r="J6045" t="s">
        <v>57</v>
      </c>
      <c r="K6045" t="s">
        <v>56</v>
      </c>
      <c r="L6045" t="s">
        <v>44</v>
      </c>
      <c r="M6045">
        <v>8.4700000000000006</v>
      </c>
      <c r="T6045" t="s">
        <v>49</v>
      </c>
      <c r="U6045">
        <v>2</v>
      </c>
      <c r="V6045">
        <v>6</v>
      </c>
    </row>
    <row r="6046" spans="1:22" x14ac:dyDescent="0.3">
      <c r="A6046">
        <v>6045</v>
      </c>
      <c r="B6046">
        <v>56618</v>
      </c>
      <c r="C6046" s="2">
        <v>36932</v>
      </c>
      <c r="D6046">
        <v>24</v>
      </c>
      <c r="E6046" t="s">
        <v>42</v>
      </c>
      <c r="F6046" t="s">
        <v>50</v>
      </c>
      <c r="G6046" s="2">
        <v>45592</v>
      </c>
      <c r="H6046" s="3">
        <f t="shared" si="94"/>
        <v>1.4958904109589042</v>
      </c>
      <c r="I6046">
        <v>105</v>
      </c>
      <c r="J6046" t="s">
        <v>57</v>
      </c>
      <c r="K6046" t="s">
        <v>56</v>
      </c>
      <c r="L6046" t="s">
        <v>44</v>
      </c>
      <c r="M6046">
        <v>8.4700000000000006</v>
      </c>
      <c r="T6046" t="s">
        <v>45</v>
      </c>
      <c r="U6046">
        <v>3</v>
      </c>
      <c r="V6046">
        <v>6</v>
      </c>
    </row>
    <row r="6047" spans="1:22" x14ac:dyDescent="0.3">
      <c r="A6047">
        <v>6046</v>
      </c>
      <c r="B6047">
        <v>56619</v>
      </c>
      <c r="C6047" s="2">
        <v>37489</v>
      </c>
      <c r="D6047">
        <v>23</v>
      </c>
      <c r="E6047" t="s">
        <v>42</v>
      </c>
      <c r="F6047" t="s">
        <v>50</v>
      </c>
      <c r="G6047" s="2">
        <v>45476</v>
      </c>
      <c r="H6047" s="3">
        <f t="shared" si="94"/>
        <v>1.0986301369863014</v>
      </c>
      <c r="I6047">
        <v>105</v>
      </c>
      <c r="J6047" t="s">
        <v>57</v>
      </c>
      <c r="K6047" t="s">
        <v>56</v>
      </c>
      <c r="L6047" t="s">
        <v>44</v>
      </c>
      <c r="M6047">
        <v>8.4700000000000006</v>
      </c>
      <c r="T6047" t="s">
        <v>47</v>
      </c>
      <c r="U6047">
        <v>0</v>
      </c>
      <c r="V6047">
        <v>6</v>
      </c>
    </row>
    <row r="6048" spans="1:22" x14ac:dyDescent="0.3">
      <c r="A6048">
        <v>6047</v>
      </c>
      <c r="B6048">
        <v>56620</v>
      </c>
      <c r="C6048" s="2">
        <v>38078</v>
      </c>
      <c r="D6048">
        <v>22</v>
      </c>
      <c r="E6048" t="s">
        <v>42</v>
      </c>
      <c r="F6048" t="s">
        <v>50</v>
      </c>
      <c r="G6048" s="2">
        <v>45621</v>
      </c>
      <c r="H6048" s="3">
        <f t="shared" si="94"/>
        <v>1.3397260273972602</v>
      </c>
      <c r="I6048">
        <v>105</v>
      </c>
      <c r="J6048" t="s">
        <v>57</v>
      </c>
      <c r="K6048" t="s">
        <v>56</v>
      </c>
      <c r="L6048" t="s">
        <v>44</v>
      </c>
      <c r="M6048">
        <v>8.4700000000000006</v>
      </c>
      <c r="T6048" t="s">
        <v>52</v>
      </c>
      <c r="U6048">
        <v>4</v>
      </c>
      <c r="V6048">
        <v>6</v>
      </c>
    </row>
    <row r="6049" spans="1:22" x14ac:dyDescent="0.3">
      <c r="A6049">
        <v>6048</v>
      </c>
      <c r="B6049">
        <v>56621</v>
      </c>
      <c r="C6049" s="2">
        <v>34344</v>
      </c>
      <c r="D6049">
        <v>31</v>
      </c>
      <c r="E6049" t="s">
        <v>42</v>
      </c>
      <c r="F6049" t="s">
        <v>50</v>
      </c>
      <c r="G6049" s="2">
        <v>45533</v>
      </c>
      <c r="H6049" s="3">
        <f t="shared" si="94"/>
        <v>1.6383561643835616</v>
      </c>
      <c r="I6049">
        <v>106</v>
      </c>
      <c r="J6049" t="s">
        <v>57</v>
      </c>
      <c r="K6049" t="s">
        <v>48</v>
      </c>
      <c r="L6049" t="s">
        <v>44</v>
      </c>
      <c r="M6049">
        <v>8.4700000000000006</v>
      </c>
      <c r="T6049" t="s">
        <v>52</v>
      </c>
      <c r="U6049">
        <v>4</v>
      </c>
      <c r="V6049">
        <v>7</v>
      </c>
    </row>
    <row r="6050" spans="1:22" x14ac:dyDescent="0.3">
      <c r="A6050">
        <v>6049</v>
      </c>
      <c r="B6050">
        <v>56622</v>
      </c>
      <c r="C6050" s="2">
        <v>38950</v>
      </c>
      <c r="D6050">
        <v>19</v>
      </c>
      <c r="E6050" t="s">
        <v>42</v>
      </c>
      <c r="F6050" t="s">
        <v>50</v>
      </c>
      <c r="G6050" s="2">
        <v>45424</v>
      </c>
      <c r="H6050" s="3">
        <f t="shared" si="94"/>
        <v>1.8794520547945206</v>
      </c>
      <c r="I6050">
        <v>106</v>
      </c>
      <c r="J6050" t="s">
        <v>57</v>
      </c>
      <c r="K6050" t="s">
        <v>56</v>
      </c>
      <c r="L6050" t="s">
        <v>44</v>
      </c>
      <c r="M6050">
        <v>8.4700000000000006</v>
      </c>
      <c r="T6050" t="s">
        <v>47</v>
      </c>
      <c r="U6050">
        <v>4</v>
      </c>
      <c r="V6050">
        <v>5</v>
      </c>
    </row>
    <row r="6051" spans="1:22" x14ac:dyDescent="0.3">
      <c r="A6051">
        <v>6050</v>
      </c>
      <c r="B6051">
        <v>56623</v>
      </c>
      <c r="C6051" s="2">
        <v>37538</v>
      </c>
      <c r="D6051">
        <v>23</v>
      </c>
      <c r="E6051" t="s">
        <v>36</v>
      </c>
      <c r="F6051" t="s">
        <v>50</v>
      </c>
      <c r="G6051" s="2">
        <v>45336</v>
      </c>
      <c r="H6051" s="3">
        <f t="shared" si="94"/>
        <v>1.5315068493150685</v>
      </c>
      <c r="I6051">
        <v>106</v>
      </c>
      <c r="J6051" t="s">
        <v>57</v>
      </c>
      <c r="K6051" t="s">
        <v>56</v>
      </c>
      <c r="L6051" t="s">
        <v>44</v>
      </c>
      <c r="M6051">
        <v>8.4700000000000006</v>
      </c>
      <c r="T6051" t="s">
        <v>49</v>
      </c>
      <c r="U6051">
        <v>3</v>
      </c>
      <c r="V6051">
        <v>5</v>
      </c>
    </row>
    <row r="6052" spans="1:22" x14ac:dyDescent="0.3">
      <c r="A6052">
        <v>6051</v>
      </c>
      <c r="B6052">
        <v>56624</v>
      </c>
      <c r="C6052" s="2">
        <v>38369</v>
      </c>
      <c r="D6052">
        <v>20</v>
      </c>
      <c r="E6052" t="s">
        <v>42</v>
      </c>
      <c r="F6052" t="s">
        <v>37</v>
      </c>
      <c r="G6052" s="2">
        <v>45463</v>
      </c>
      <c r="H6052" s="3">
        <f t="shared" si="94"/>
        <v>1.0684931506849316</v>
      </c>
      <c r="I6052">
        <v>106</v>
      </c>
      <c r="J6052" t="s">
        <v>57</v>
      </c>
      <c r="K6052" t="s">
        <v>56</v>
      </c>
      <c r="L6052" t="s">
        <v>44</v>
      </c>
      <c r="M6052">
        <v>8.4700000000000006</v>
      </c>
      <c r="T6052" t="s">
        <v>52</v>
      </c>
      <c r="U6052">
        <v>2</v>
      </c>
      <c r="V6052">
        <v>6</v>
      </c>
    </row>
    <row r="6053" spans="1:22" x14ac:dyDescent="0.3">
      <c r="A6053">
        <v>6052</v>
      </c>
      <c r="B6053">
        <v>56625</v>
      </c>
      <c r="C6053" s="2">
        <v>35235</v>
      </c>
      <c r="D6053">
        <v>29</v>
      </c>
      <c r="E6053" t="s">
        <v>42</v>
      </c>
      <c r="F6053" t="s">
        <v>37</v>
      </c>
      <c r="G6053" s="2">
        <v>45632</v>
      </c>
      <c r="H6053" s="3">
        <f t="shared" si="94"/>
        <v>1.6821917808219178</v>
      </c>
      <c r="I6053">
        <v>106</v>
      </c>
      <c r="J6053" t="s">
        <v>57</v>
      </c>
      <c r="K6053" t="s">
        <v>56</v>
      </c>
      <c r="L6053" t="s">
        <v>44</v>
      </c>
      <c r="M6053">
        <v>8.4700000000000006</v>
      </c>
      <c r="T6053" t="s">
        <v>47</v>
      </c>
      <c r="U6053">
        <v>2</v>
      </c>
      <c r="V6053">
        <v>6</v>
      </c>
    </row>
    <row r="6054" spans="1:22" x14ac:dyDescent="0.3">
      <c r="A6054">
        <v>6053</v>
      </c>
      <c r="B6054">
        <v>56626</v>
      </c>
      <c r="C6054" s="2">
        <v>37413</v>
      </c>
      <c r="D6054">
        <v>23</v>
      </c>
      <c r="E6054" t="s">
        <v>42</v>
      </c>
      <c r="F6054" t="s">
        <v>37</v>
      </c>
      <c r="G6054" s="2">
        <v>45408</v>
      </c>
      <c r="H6054" s="3">
        <f t="shared" si="94"/>
        <v>1.2465753424657535</v>
      </c>
      <c r="I6054">
        <v>106</v>
      </c>
      <c r="J6054" t="s">
        <v>57</v>
      </c>
      <c r="K6054" t="s">
        <v>56</v>
      </c>
      <c r="L6054" t="s">
        <v>44</v>
      </c>
      <c r="M6054">
        <v>8.4700000000000006</v>
      </c>
      <c r="T6054" t="s">
        <v>52</v>
      </c>
      <c r="U6054">
        <v>4</v>
      </c>
      <c r="V6054">
        <v>6</v>
      </c>
    </row>
    <row r="6055" spans="1:22" x14ac:dyDescent="0.3">
      <c r="A6055">
        <v>6054</v>
      </c>
      <c r="B6055">
        <v>56627</v>
      </c>
      <c r="C6055" s="2">
        <v>38464</v>
      </c>
      <c r="D6055">
        <v>20</v>
      </c>
      <c r="E6055" t="s">
        <v>42</v>
      </c>
      <c r="F6055" t="s">
        <v>50</v>
      </c>
      <c r="G6055" s="2">
        <v>45567</v>
      </c>
      <c r="H6055" s="3">
        <f t="shared" si="94"/>
        <v>1.6027397260273972</v>
      </c>
      <c r="I6055">
        <v>106</v>
      </c>
      <c r="J6055" t="s">
        <v>57</v>
      </c>
      <c r="K6055" t="s">
        <v>56</v>
      </c>
      <c r="L6055" t="s">
        <v>44</v>
      </c>
      <c r="M6055">
        <v>8.4700000000000006</v>
      </c>
      <c r="T6055" t="s">
        <v>47</v>
      </c>
      <c r="U6055">
        <v>1</v>
      </c>
      <c r="V6055">
        <v>6</v>
      </c>
    </row>
    <row r="6056" spans="1:22" x14ac:dyDescent="0.3">
      <c r="A6056">
        <v>6055</v>
      </c>
      <c r="B6056">
        <v>56628</v>
      </c>
      <c r="C6056" s="2">
        <v>37546</v>
      </c>
      <c r="D6056">
        <v>23</v>
      </c>
      <c r="E6056" t="s">
        <v>36</v>
      </c>
      <c r="F6056" t="s">
        <v>37</v>
      </c>
      <c r="G6056" s="2">
        <v>45437</v>
      </c>
      <c r="H6056" s="3">
        <f t="shared" si="94"/>
        <v>1.0547945205479452</v>
      </c>
      <c r="I6056">
        <v>106</v>
      </c>
      <c r="J6056" t="s">
        <v>57</v>
      </c>
      <c r="K6056" t="s">
        <v>56</v>
      </c>
      <c r="L6056" t="s">
        <v>44</v>
      </c>
      <c r="M6056">
        <v>8.4700000000000006</v>
      </c>
      <c r="T6056" t="s">
        <v>47</v>
      </c>
      <c r="U6056">
        <v>1</v>
      </c>
      <c r="V6056">
        <v>3</v>
      </c>
    </row>
    <row r="6057" spans="1:22" x14ac:dyDescent="0.3">
      <c r="A6057">
        <v>6056</v>
      </c>
      <c r="B6057">
        <v>56629</v>
      </c>
      <c r="C6057" s="2">
        <v>38912</v>
      </c>
      <c r="D6057">
        <v>19</v>
      </c>
      <c r="E6057" t="s">
        <v>42</v>
      </c>
      <c r="F6057" t="s">
        <v>50</v>
      </c>
      <c r="G6057" s="2">
        <v>45637</v>
      </c>
      <c r="H6057" s="3">
        <f t="shared" si="94"/>
        <v>1.7013698630136986</v>
      </c>
      <c r="I6057">
        <v>106</v>
      </c>
      <c r="J6057" t="s">
        <v>57</v>
      </c>
      <c r="K6057" t="s">
        <v>56</v>
      </c>
      <c r="L6057" t="s">
        <v>44</v>
      </c>
      <c r="M6057">
        <v>8.4700000000000006</v>
      </c>
      <c r="T6057" t="s">
        <v>45</v>
      </c>
      <c r="U6057">
        <v>0</v>
      </c>
      <c r="V6057">
        <v>5</v>
      </c>
    </row>
    <row r="6058" spans="1:22" x14ac:dyDescent="0.3">
      <c r="A6058">
        <v>6057</v>
      </c>
      <c r="B6058">
        <v>56630</v>
      </c>
      <c r="C6058" s="2">
        <v>37444</v>
      </c>
      <c r="D6058">
        <v>23</v>
      </c>
      <c r="E6058" t="s">
        <v>42</v>
      </c>
      <c r="F6058" t="s">
        <v>50</v>
      </c>
      <c r="G6058" s="2">
        <v>45401</v>
      </c>
      <c r="H6058" s="3">
        <f t="shared" si="94"/>
        <v>1.1369863013698631</v>
      </c>
      <c r="I6058">
        <v>106</v>
      </c>
      <c r="J6058" t="s">
        <v>57</v>
      </c>
      <c r="K6058" t="s">
        <v>56</v>
      </c>
      <c r="L6058" t="s">
        <v>44</v>
      </c>
      <c r="M6058">
        <v>8.4700000000000006</v>
      </c>
      <c r="T6058" t="s">
        <v>47</v>
      </c>
      <c r="U6058">
        <v>1</v>
      </c>
      <c r="V6058">
        <v>7</v>
      </c>
    </row>
    <row r="6059" spans="1:22" x14ac:dyDescent="0.3">
      <c r="A6059">
        <v>6058</v>
      </c>
      <c r="B6059">
        <v>56631</v>
      </c>
      <c r="C6059" s="2">
        <v>34553</v>
      </c>
      <c r="D6059">
        <v>31</v>
      </c>
      <c r="E6059" t="s">
        <v>36</v>
      </c>
      <c r="F6059" t="s">
        <v>50</v>
      </c>
      <c r="G6059" s="2">
        <v>45607</v>
      </c>
      <c r="H6059" s="3">
        <f t="shared" si="94"/>
        <v>1.7095890410958905</v>
      </c>
      <c r="I6059">
        <v>106</v>
      </c>
      <c r="J6059" t="s">
        <v>57</v>
      </c>
      <c r="K6059" t="s">
        <v>56</v>
      </c>
      <c r="L6059" t="s">
        <v>44</v>
      </c>
      <c r="M6059">
        <v>8.4700000000000006</v>
      </c>
      <c r="T6059" t="s">
        <v>52</v>
      </c>
      <c r="U6059">
        <v>2</v>
      </c>
      <c r="V6059">
        <v>3</v>
      </c>
    </row>
    <row r="6060" spans="1:22" x14ac:dyDescent="0.3">
      <c r="A6060">
        <v>6059</v>
      </c>
      <c r="B6060">
        <v>56632</v>
      </c>
      <c r="C6060" s="2">
        <v>37853</v>
      </c>
      <c r="D6060">
        <v>22</v>
      </c>
      <c r="E6060" t="s">
        <v>42</v>
      </c>
      <c r="F6060" t="s">
        <v>37</v>
      </c>
      <c r="G6060" s="2">
        <v>45398</v>
      </c>
      <c r="H6060" s="3">
        <f t="shared" si="94"/>
        <v>1.263013698630137</v>
      </c>
      <c r="I6060">
        <v>106</v>
      </c>
      <c r="J6060" t="s">
        <v>57</v>
      </c>
      <c r="K6060" t="s">
        <v>56</v>
      </c>
      <c r="L6060" t="s">
        <v>44</v>
      </c>
      <c r="M6060">
        <v>8.4700000000000006</v>
      </c>
      <c r="T6060" t="s">
        <v>47</v>
      </c>
      <c r="U6060">
        <v>1</v>
      </c>
      <c r="V6060">
        <v>6</v>
      </c>
    </row>
    <row r="6061" spans="1:22" x14ac:dyDescent="0.3">
      <c r="A6061">
        <v>6060</v>
      </c>
      <c r="B6061">
        <v>56633</v>
      </c>
      <c r="C6061" s="2">
        <v>37784</v>
      </c>
      <c r="D6061">
        <v>22</v>
      </c>
      <c r="E6061" t="s">
        <v>36</v>
      </c>
      <c r="F6061" t="s">
        <v>50</v>
      </c>
      <c r="G6061" s="2">
        <v>45561</v>
      </c>
      <c r="H6061" s="3">
        <f t="shared" si="94"/>
        <v>1.6657534246575343</v>
      </c>
      <c r="I6061">
        <v>107</v>
      </c>
      <c r="J6061" t="s">
        <v>57</v>
      </c>
      <c r="K6061" t="s">
        <v>68</v>
      </c>
      <c r="L6061" t="s">
        <v>44</v>
      </c>
      <c r="M6061">
        <v>17</v>
      </c>
      <c r="T6061" t="s">
        <v>49</v>
      </c>
      <c r="U6061">
        <v>2</v>
      </c>
      <c r="V6061">
        <v>4</v>
      </c>
    </row>
    <row r="6062" spans="1:22" x14ac:dyDescent="0.3">
      <c r="A6062">
        <v>6061</v>
      </c>
      <c r="B6062">
        <v>56634</v>
      </c>
      <c r="C6062" s="2">
        <v>35385</v>
      </c>
      <c r="D6062">
        <v>29</v>
      </c>
      <c r="E6062" t="s">
        <v>36</v>
      </c>
      <c r="F6062" t="s">
        <v>50</v>
      </c>
      <c r="G6062" s="2">
        <v>45414</v>
      </c>
      <c r="H6062" s="3">
        <f t="shared" si="94"/>
        <v>1.2465753424657535</v>
      </c>
      <c r="I6062">
        <v>107</v>
      </c>
      <c r="J6062" t="s">
        <v>57</v>
      </c>
      <c r="K6062" t="s">
        <v>68</v>
      </c>
      <c r="L6062" t="s">
        <v>44</v>
      </c>
      <c r="M6062">
        <v>17</v>
      </c>
      <c r="T6062" t="s">
        <v>52</v>
      </c>
      <c r="U6062">
        <v>4</v>
      </c>
      <c r="V6062">
        <v>6</v>
      </c>
    </row>
    <row r="6063" spans="1:22" x14ac:dyDescent="0.3">
      <c r="A6063">
        <v>6062</v>
      </c>
      <c r="B6063">
        <v>56635</v>
      </c>
      <c r="C6063" s="2">
        <v>37534</v>
      </c>
      <c r="D6063">
        <v>23</v>
      </c>
      <c r="E6063" t="s">
        <v>42</v>
      </c>
      <c r="F6063" t="s">
        <v>50</v>
      </c>
      <c r="G6063" s="2">
        <v>45567</v>
      </c>
      <c r="H6063" s="3">
        <f t="shared" si="94"/>
        <v>1.2986301369863014</v>
      </c>
      <c r="I6063">
        <v>107</v>
      </c>
      <c r="J6063" t="s">
        <v>57</v>
      </c>
      <c r="K6063" t="s">
        <v>68</v>
      </c>
      <c r="L6063" t="s">
        <v>44</v>
      </c>
      <c r="M6063">
        <v>17</v>
      </c>
      <c r="T6063" t="s">
        <v>52</v>
      </c>
      <c r="U6063">
        <v>0</v>
      </c>
      <c r="V6063">
        <v>4</v>
      </c>
    </row>
    <row r="6064" spans="1:22" x14ac:dyDescent="0.3">
      <c r="A6064">
        <v>6063</v>
      </c>
      <c r="B6064">
        <v>56636</v>
      </c>
      <c r="C6064" s="2">
        <v>38343</v>
      </c>
      <c r="D6064">
        <v>21</v>
      </c>
      <c r="E6064" t="s">
        <v>36</v>
      </c>
      <c r="F6064" t="s">
        <v>50</v>
      </c>
      <c r="G6064" s="2">
        <v>45548</v>
      </c>
      <c r="H6064" s="3">
        <f t="shared" si="94"/>
        <v>1.7671232876712328</v>
      </c>
      <c r="I6064">
        <v>107</v>
      </c>
      <c r="J6064" t="s">
        <v>57</v>
      </c>
      <c r="K6064" t="s">
        <v>54</v>
      </c>
      <c r="L6064" t="s">
        <v>44</v>
      </c>
      <c r="M6064">
        <v>23.78</v>
      </c>
      <c r="T6064" t="s">
        <v>52</v>
      </c>
      <c r="U6064">
        <v>4</v>
      </c>
      <c r="V6064">
        <v>6</v>
      </c>
    </row>
    <row r="6065" spans="1:22" x14ac:dyDescent="0.3">
      <c r="A6065">
        <v>6064</v>
      </c>
      <c r="B6065">
        <v>56637</v>
      </c>
      <c r="C6065" s="2">
        <v>37610</v>
      </c>
      <c r="D6065">
        <v>23</v>
      </c>
      <c r="E6065" t="s">
        <v>36</v>
      </c>
      <c r="F6065" t="s">
        <v>50</v>
      </c>
      <c r="G6065" s="2">
        <v>45377</v>
      </c>
      <c r="H6065" s="3">
        <f t="shared" si="94"/>
        <v>1.6191780821917807</v>
      </c>
      <c r="I6065">
        <v>107</v>
      </c>
      <c r="J6065" t="s">
        <v>57</v>
      </c>
      <c r="K6065" t="s">
        <v>56</v>
      </c>
      <c r="L6065" t="s">
        <v>44</v>
      </c>
      <c r="M6065">
        <v>8.4700000000000006</v>
      </c>
      <c r="T6065" t="s">
        <v>45</v>
      </c>
      <c r="U6065">
        <v>4</v>
      </c>
      <c r="V6065">
        <v>5</v>
      </c>
    </row>
    <row r="6066" spans="1:22" x14ac:dyDescent="0.3">
      <c r="A6066">
        <v>6065</v>
      </c>
      <c r="B6066">
        <v>56638</v>
      </c>
      <c r="C6066" s="2">
        <v>37760</v>
      </c>
      <c r="D6066">
        <v>22</v>
      </c>
      <c r="E6066" t="s">
        <v>36</v>
      </c>
      <c r="F6066" t="s">
        <v>50</v>
      </c>
      <c r="G6066" s="2">
        <v>45431</v>
      </c>
      <c r="H6066" s="3">
        <f t="shared" si="94"/>
        <v>1.2246575342465753</v>
      </c>
      <c r="I6066">
        <v>107</v>
      </c>
      <c r="J6066" t="s">
        <v>57</v>
      </c>
      <c r="K6066" t="s">
        <v>56</v>
      </c>
      <c r="L6066" t="s">
        <v>44</v>
      </c>
      <c r="M6066">
        <v>8.4700000000000006</v>
      </c>
      <c r="T6066" t="s">
        <v>47</v>
      </c>
      <c r="U6066">
        <v>2</v>
      </c>
      <c r="V6066">
        <v>5</v>
      </c>
    </row>
    <row r="6067" spans="1:22" x14ac:dyDescent="0.3">
      <c r="A6067">
        <v>6066</v>
      </c>
      <c r="B6067">
        <v>56639</v>
      </c>
      <c r="C6067" s="2">
        <v>38302</v>
      </c>
      <c r="D6067">
        <v>21</v>
      </c>
      <c r="E6067" t="s">
        <v>42</v>
      </c>
      <c r="F6067" t="s">
        <v>50</v>
      </c>
      <c r="G6067" s="2">
        <v>45575</v>
      </c>
      <c r="H6067" s="3">
        <f t="shared" si="94"/>
        <v>1.7726027397260273</v>
      </c>
      <c r="I6067">
        <v>107</v>
      </c>
      <c r="J6067" t="s">
        <v>57</v>
      </c>
      <c r="K6067" t="s">
        <v>56</v>
      </c>
      <c r="L6067" t="s">
        <v>44</v>
      </c>
      <c r="M6067">
        <v>8.4700000000000006</v>
      </c>
      <c r="T6067" t="s">
        <v>45</v>
      </c>
      <c r="U6067">
        <v>4</v>
      </c>
      <c r="V6067">
        <v>7</v>
      </c>
    </row>
    <row r="6068" spans="1:22" x14ac:dyDescent="0.3">
      <c r="A6068">
        <v>6067</v>
      </c>
      <c r="B6068">
        <v>56640</v>
      </c>
      <c r="C6068" s="2">
        <v>35695</v>
      </c>
      <c r="D6068">
        <v>28</v>
      </c>
      <c r="E6068" t="s">
        <v>42</v>
      </c>
      <c r="F6068" t="s">
        <v>50</v>
      </c>
      <c r="G6068" s="2">
        <v>45375</v>
      </c>
      <c r="H6068" s="3">
        <f t="shared" si="94"/>
        <v>1.452054794520548</v>
      </c>
      <c r="I6068">
        <v>107</v>
      </c>
      <c r="J6068" t="s">
        <v>57</v>
      </c>
      <c r="K6068" t="s">
        <v>56</v>
      </c>
      <c r="L6068" t="s">
        <v>44</v>
      </c>
      <c r="M6068">
        <v>8.4700000000000006</v>
      </c>
      <c r="T6068" t="s">
        <v>49</v>
      </c>
      <c r="U6068">
        <v>4</v>
      </c>
      <c r="V6068">
        <v>5</v>
      </c>
    </row>
    <row r="6069" spans="1:22" x14ac:dyDescent="0.3">
      <c r="A6069">
        <v>6068</v>
      </c>
      <c r="B6069">
        <v>56641</v>
      </c>
      <c r="C6069" s="2">
        <v>36851</v>
      </c>
      <c r="D6069">
        <v>25</v>
      </c>
      <c r="E6069" t="s">
        <v>42</v>
      </c>
      <c r="F6069" t="s">
        <v>37</v>
      </c>
      <c r="G6069" s="2">
        <v>45492</v>
      </c>
      <c r="H6069" s="3">
        <f t="shared" si="94"/>
        <v>1.2219178082191782</v>
      </c>
      <c r="I6069">
        <v>107</v>
      </c>
      <c r="J6069" t="s">
        <v>57</v>
      </c>
      <c r="K6069" t="s">
        <v>56</v>
      </c>
      <c r="L6069" t="s">
        <v>44</v>
      </c>
      <c r="M6069">
        <v>8.4700000000000006</v>
      </c>
      <c r="T6069" t="s">
        <v>49</v>
      </c>
      <c r="U6069">
        <v>2</v>
      </c>
      <c r="V6069">
        <v>4</v>
      </c>
    </row>
    <row r="6070" spans="1:22" x14ac:dyDescent="0.3">
      <c r="A6070">
        <v>6069</v>
      </c>
      <c r="B6070">
        <v>56642</v>
      </c>
      <c r="C6070" s="2">
        <v>39229</v>
      </c>
      <c r="D6070">
        <v>18</v>
      </c>
      <c r="E6070" t="s">
        <v>42</v>
      </c>
      <c r="F6070" t="s">
        <v>50</v>
      </c>
      <c r="G6070" s="2">
        <v>45576</v>
      </c>
      <c r="H6070" s="3">
        <f t="shared" si="94"/>
        <v>1.6383561643835616</v>
      </c>
      <c r="I6070">
        <v>107</v>
      </c>
      <c r="J6070" t="s">
        <v>57</v>
      </c>
      <c r="K6070" t="s">
        <v>56</v>
      </c>
      <c r="L6070" t="s">
        <v>44</v>
      </c>
      <c r="M6070">
        <v>8.4700000000000006</v>
      </c>
      <c r="T6070" t="s">
        <v>49</v>
      </c>
      <c r="U6070">
        <v>1</v>
      </c>
      <c r="V6070">
        <v>7</v>
      </c>
    </row>
    <row r="6071" spans="1:22" x14ac:dyDescent="0.3">
      <c r="A6071">
        <v>6070</v>
      </c>
      <c r="B6071">
        <v>56643</v>
      </c>
      <c r="C6071" s="2">
        <v>38608</v>
      </c>
      <c r="D6071">
        <v>20</v>
      </c>
      <c r="E6071" t="s">
        <v>42</v>
      </c>
      <c r="F6071" t="s">
        <v>37</v>
      </c>
      <c r="G6071" s="2">
        <v>45424</v>
      </c>
      <c r="H6071" s="3">
        <f t="shared" si="94"/>
        <v>1.8191780821917809</v>
      </c>
      <c r="I6071">
        <v>107</v>
      </c>
      <c r="J6071" t="s">
        <v>57</v>
      </c>
      <c r="K6071" t="s">
        <v>56</v>
      </c>
      <c r="L6071" t="s">
        <v>44</v>
      </c>
      <c r="M6071">
        <v>8.4700000000000006</v>
      </c>
      <c r="T6071" t="s">
        <v>47</v>
      </c>
      <c r="U6071">
        <v>3</v>
      </c>
      <c r="V6071">
        <v>6</v>
      </c>
    </row>
    <row r="6072" spans="1:22" x14ac:dyDescent="0.3">
      <c r="A6072">
        <v>6071</v>
      </c>
      <c r="B6072">
        <v>56644</v>
      </c>
      <c r="C6072" s="2">
        <v>38053</v>
      </c>
      <c r="D6072">
        <v>21</v>
      </c>
      <c r="E6072" t="s">
        <v>42</v>
      </c>
      <c r="F6072" t="s">
        <v>50</v>
      </c>
      <c r="G6072" s="2">
        <v>45358</v>
      </c>
      <c r="H6072" s="3">
        <f t="shared" si="94"/>
        <v>1.7780821917808218</v>
      </c>
      <c r="I6072">
        <v>107</v>
      </c>
      <c r="J6072" t="s">
        <v>57</v>
      </c>
      <c r="K6072" t="s">
        <v>56</v>
      </c>
      <c r="L6072" t="s">
        <v>44</v>
      </c>
      <c r="M6072">
        <v>8.4700000000000006</v>
      </c>
      <c r="T6072" t="s">
        <v>45</v>
      </c>
      <c r="U6072">
        <v>2</v>
      </c>
      <c r="V6072">
        <v>5</v>
      </c>
    </row>
    <row r="6073" spans="1:22" x14ac:dyDescent="0.3">
      <c r="A6073">
        <v>6072</v>
      </c>
      <c r="B6073">
        <v>56645</v>
      </c>
      <c r="C6073" s="2">
        <v>38384</v>
      </c>
      <c r="D6073">
        <v>21</v>
      </c>
      <c r="E6073" t="s">
        <v>42</v>
      </c>
      <c r="F6073" t="s">
        <v>50</v>
      </c>
      <c r="G6073" s="2">
        <v>45373</v>
      </c>
      <c r="H6073" s="3">
        <f t="shared" si="94"/>
        <v>1.4493150684931506</v>
      </c>
      <c r="I6073">
        <v>107</v>
      </c>
      <c r="J6073" t="s">
        <v>57</v>
      </c>
      <c r="K6073" t="s">
        <v>56</v>
      </c>
      <c r="L6073" t="s">
        <v>44</v>
      </c>
      <c r="M6073">
        <v>8.4700000000000006</v>
      </c>
      <c r="T6073" t="s">
        <v>45</v>
      </c>
      <c r="U6073">
        <v>2</v>
      </c>
      <c r="V6073">
        <v>7</v>
      </c>
    </row>
    <row r="6074" spans="1:22" x14ac:dyDescent="0.3">
      <c r="A6074">
        <v>6073</v>
      </c>
      <c r="B6074">
        <v>56646</v>
      </c>
      <c r="C6074" s="2">
        <v>34056</v>
      </c>
      <c r="D6074">
        <v>32</v>
      </c>
      <c r="E6074" t="s">
        <v>42</v>
      </c>
      <c r="F6074" t="s">
        <v>50</v>
      </c>
      <c r="G6074" s="2">
        <v>45493</v>
      </c>
      <c r="H6074" s="3">
        <f t="shared" si="94"/>
        <v>1.2328767123287672</v>
      </c>
      <c r="I6074">
        <v>107</v>
      </c>
      <c r="J6074" t="s">
        <v>57</v>
      </c>
      <c r="K6074" t="s">
        <v>56</v>
      </c>
      <c r="L6074" t="s">
        <v>44</v>
      </c>
      <c r="M6074">
        <v>8.4700000000000006</v>
      </c>
      <c r="T6074" t="s">
        <v>45</v>
      </c>
      <c r="U6074">
        <v>2</v>
      </c>
      <c r="V6074">
        <v>5</v>
      </c>
    </row>
    <row r="6075" spans="1:22" x14ac:dyDescent="0.3">
      <c r="A6075">
        <v>6074</v>
      </c>
      <c r="B6075">
        <v>56647</v>
      </c>
      <c r="C6075" s="2">
        <v>38362</v>
      </c>
      <c r="D6075">
        <v>20</v>
      </c>
      <c r="E6075" t="s">
        <v>42</v>
      </c>
      <c r="F6075" t="s">
        <v>37</v>
      </c>
      <c r="G6075" s="2">
        <v>45572</v>
      </c>
      <c r="H6075" s="3">
        <f t="shared" si="94"/>
        <v>1.0520547945205478</v>
      </c>
      <c r="I6075">
        <v>107</v>
      </c>
      <c r="J6075" t="s">
        <v>57</v>
      </c>
      <c r="K6075" t="s">
        <v>56</v>
      </c>
      <c r="L6075" t="s">
        <v>44</v>
      </c>
      <c r="M6075">
        <v>8.4700000000000006</v>
      </c>
      <c r="T6075" t="s">
        <v>45</v>
      </c>
      <c r="U6075">
        <v>0</v>
      </c>
      <c r="V6075">
        <v>5</v>
      </c>
    </row>
    <row r="6076" spans="1:22" x14ac:dyDescent="0.3">
      <c r="A6076">
        <v>6075</v>
      </c>
      <c r="B6076">
        <v>56648</v>
      </c>
      <c r="C6076" s="2">
        <v>37135</v>
      </c>
      <c r="D6076">
        <v>25</v>
      </c>
      <c r="E6076" t="s">
        <v>42</v>
      </c>
      <c r="F6076" t="s">
        <v>37</v>
      </c>
      <c r="G6076" s="2">
        <v>45638</v>
      </c>
      <c r="H6076" s="3">
        <f t="shared" si="94"/>
        <v>1.2931506849315069</v>
      </c>
      <c r="I6076">
        <v>107</v>
      </c>
      <c r="J6076" t="s">
        <v>57</v>
      </c>
      <c r="K6076" t="s">
        <v>56</v>
      </c>
      <c r="L6076" t="s">
        <v>44</v>
      </c>
      <c r="M6076">
        <v>8.4700000000000006</v>
      </c>
      <c r="T6076" t="s">
        <v>47</v>
      </c>
      <c r="U6076">
        <v>2</v>
      </c>
      <c r="V6076">
        <v>5</v>
      </c>
    </row>
    <row r="6077" spans="1:22" x14ac:dyDescent="0.3">
      <c r="A6077">
        <v>6076</v>
      </c>
      <c r="B6077">
        <v>56649</v>
      </c>
      <c r="C6077" s="2">
        <v>36831</v>
      </c>
      <c r="D6077">
        <v>26</v>
      </c>
      <c r="E6077" t="s">
        <v>36</v>
      </c>
      <c r="F6077" t="s">
        <v>50</v>
      </c>
      <c r="G6077" s="2">
        <v>45550</v>
      </c>
      <c r="H6077" s="3">
        <f t="shared" si="94"/>
        <v>1.1972602739726028</v>
      </c>
      <c r="I6077">
        <v>108</v>
      </c>
      <c r="J6077" t="s">
        <v>57</v>
      </c>
      <c r="K6077" t="s">
        <v>68</v>
      </c>
      <c r="L6077" t="s">
        <v>44</v>
      </c>
      <c r="M6077">
        <v>17</v>
      </c>
      <c r="T6077" t="s">
        <v>45</v>
      </c>
      <c r="U6077">
        <v>4</v>
      </c>
      <c r="V6077">
        <v>5</v>
      </c>
    </row>
    <row r="6078" spans="1:22" x14ac:dyDescent="0.3">
      <c r="A6078">
        <v>6077</v>
      </c>
      <c r="B6078">
        <v>56650</v>
      </c>
      <c r="C6078" s="2">
        <v>36203</v>
      </c>
      <c r="D6078">
        <v>26</v>
      </c>
      <c r="E6078" t="s">
        <v>42</v>
      </c>
      <c r="F6078" t="s">
        <v>50</v>
      </c>
      <c r="G6078" s="2">
        <v>45585</v>
      </c>
      <c r="H6078" s="3">
        <f t="shared" si="94"/>
        <v>1.1232876712328768</v>
      </c>
      <c r="I6078">
        <v>108</v>
      </c>
      <c r="J6078" t="s">
        <v>57</v>
      </c>
      <c r="K6078" t="s">
        <v>65</v>
      </c>
      <c r="L6078" t="s">
        <v>44</v>
      </c>
      <c r="M6078">
        <v>10.64</v>
      </c>
      <c r="T6078" t="s">
        <v>49</v>
      </c>
      <c r="U6078">
        <v>0</v>
      </c>
      <c r="V6078">
        <v>5</v>
      </c>
    </row>
    <row r="6079" spans="1:22" x14ac:dyDescent="0.3">
      <c r="A6079">
        <v>6078</v>
      </c>
      <c r="B6079">
        <v>56651</v>
      </c>
      <c r="C6079" s="2">
        <v>37277</v>
      </c>
      <c r="D6079">
        <v>23</v>
      </c>
      <c r="E6079" t="s">
        <v>42</v>
      </c>
      <c r="F6079" t="s">
        <v>50</v>
      </c>
      <c r="G6079" s="2">
        <v>45612</v>
      </c>
      <c r="H6079" s="3">
        <f t="shared" si="94"/>
        <v>1.2684931506849315</v>
      </c>
      <c r="I6079">
        <v>108</v>
      </c>
      <c r="J6079" t="s">
        <v>57</v>
      </c>
      <c r="K6079" t="s">
        <v>64</v>
      </c>
      <c r="L6079" t="s">
        <v>44</v>
      </c>
      <c r="M6079">
        <v>14.07</v>
      </c>
      <c r="T6079" t="s">
        <v>47</v>
      </c>
      <c r="U6079">
        <v>0</v>
      </c>
      <c r="V6079">
        <v>5</v>
      </c>
    </row>
    <row r="6080" spans="1:22" x14ac:dyDescent="0.3">
      <c r="A6080">
        <v>6079</v>
      </c>
      <c r="B6080">
        <v>56652</v>
      </c>
      <c r="C6080" s="2">
        <v>38585</v>
      </c>
      <c r="D6080">
        <v>20</v>
      </c>
      <c r="E6080" t="s">
        <v>42</v>
      </c>
      <c r="F6080" t="s">
        <v>37</v>
      </c>
      <c r="G6080" s="2">
        <v>45559</v>
      </c>
      <c r="H6080" s="3">
        <f t="shared" si="94"/>
        <v>1.3561643835616439</v>
      </c>
      <c r="I6080">
        <v>108</v>
      </c>
      <c r="J6080" t="s">
        <v>57</v>
      </c>
      <c r="K6080" t="s">
        <v>48</v>
      </c>
      <c r="L6080" t="s">
        <v>44</v>
      </c>
      <c r="M6080">
        <v>8.4700000000000006</v>
      </c>
      <c r="T6080" t="s">
        <v>49</v>
      </c>
      <c r="U6080">
        <v>1</v>
      </c>
      <c r="V6080">
        <v>5</v>
      </c>
    </row>
    <row r="6081" spans="1:22" x14ac:dyDescent="0.3">
      <c r="A6081">
        <v>6080</v>
      </c>
      <c r="B6081">
        <v>56654</v>
      </c>
      <c r="C6081" s="2">
        <v>36223</v>
      </c>
      <c r="D6081">
        <v>26</v>
      </c>
      <c r="E6081" t="s">
        <v>42</v>
      </c>
      <c r="F6081" t="s">
        <v>50</v>
      </c>
      <c r="G6081" s="2">
        <v>45527</v>
      </c>
      <c r="H6081" s="3">
        <f t="shared" si="94"/>
        <v>1.2986301369863014</v>
      </c>
      <c r="I6081">
        <v>108</v>
      </c>
      <c r="J6081" t="s">
        <v>57</v>
      </c>
      <c r="K6081" t="s">
        <v>56</v>
      </c>
      <c r="L6081" t="s">
        <v>44</v>
      </c>
      <c r="M6081">
        <v>8.4700000000000006</v>
      </c>
      <c r="T6081" t="s">
        <v>47</v>
      </c>
      <c r="U6081">
        <v>1</v>
      </c>
      <c r="V6081">
        <v>6</v>
      </c>
    </row>
    <row r="6082" spans="1:22" x14ac:dyDescent="0.3">
      <c r="A6082">
        <v>6081</v>
      </c>
      <c r="B6082">
        <v>56655</v>
      </c>
      <c r="C6082" s="2">
        <v>38227</v>
      </c>
      <c r="D6082">
        <v>21</v>
      </c>
      <c r="E6082" t="s">
        <v>42</v>
      </c>
      <c r="F6082" t="s">
        <v>50</v>
      </c>
      <c r="G6082" s="2">
        <v>45548</v>
      </c>
      <c r="H6082" s="3">
        <f t="shared" si="94"/>
        <v>1.3534246575342466</v>
      </c>
      <c r="I6082">
        <v>108</v>
      </c>
      <c r="J6082" t="s">
        <v>57</v>
      </c>
      <c r="K6082" t="s">
        <v>56</v>
      </c>
      <c r="L6082" t="s">
        <v>44</v>
      </c>
      <c r="M6082">
        <v>8.4700000000000006</v>
      </c>
      <c r="T6082" t="s">
        <v>45</v>
      </c>
      <c r="U6082">
        <v>4</v>
      </c>
      <c r="V6082">
        <v>6</v>
      </c>
    </row>
    <row r="6083" spans="1:22" x14ac:dyDescent="0.3">
      <c r="A6083">
        <v>6082</v>
      </c>
      <c r="B6083">
        <v>56656</v>
      </c>
      <c r="C6083" s="2">
        <v>39238</v>
      </c>
      <c r="D6083">
        <v>18</v>
      </c>
      <c r="E6083" t="s">
        <v>42</v>
      </c>
      <c r="F6083" t="s">
        <v>37</v>
      </c>
      <c r="G6083" s="2">
        <v>45528</v>
      </c>
      <c r="H6083" s="3">
        <f t="shared" ref="H6083:H6146" si="95">DATEDIF(G6084,DATE(2025,12,31),"d")/365</f>
        <v>1.3753424657534246</v>
      </c>
      <c r="I6083">
        <v>108</v>
      </c>
      <c r="J6083" t="s">
        <v>57</v>
      </c>
      <c r="K6083" t="s">
        <v>56</v>
      </c>
      <c r="L6083" t="s">
        <v>44</v>
      </c>
      <c r="M6083">
        <v>8.4700000000000006</v>
      </c>
      <c r="T6083" t="s">
        <v>52</v>
      </c>
      <c r="U6083">
        <v>2</v>
      </c>
      <c r="V6083">
        <v>6</v>
      </c>
    </row>
    <row r="6084" spans="1:22" x14ac:dyDescent="0.3">
      <c r="A6084">
        <v>6083</v>
      </c>
      <c r="B6084">
        <v>56657</v>
      </c>
      <c r="C6084" s="2">
        <v>38851</v>
      </c>
      <c r="D6084">
        <v>19</v>
      </c>
      <c r="E6084" t="s">
        <v>42</v>
      </c>
      <c r="F6084" t="s">
        <v>50</v>
      </c>
      <c r="G6084" s="2">
        <v>45520</v>
      </c>
      <c r="H6084" s="3">
        <f t="shared" si="95"/>
        <v>1.4876712328767123</v>
      </c>
      <c r="I6084">
        <v>108</v>
      </c>
      <c r="J6084" t="s">
        <v>57</v>
      </c>
      <c r="K6084" t="s">
        <v>56</v>
      </c>
      <c r="L6084" t="s">
        <v>44</v>
      </c>
      <c r="M6084">
        <v>8.4700000000000006</v>
      </c>
      <c r="T6084" t="s">
        <v>52</v>
      </c>
      <c r="U6084">
        <v>0</v>
      </c>
      <c r="V6084">
        <v>6</v>
      </c>
    </row>
    <row r="6085" spans="1:22" x14ac:dyDescent="0.3">
      <c r="A6085">
        <v>6084</v>
      </c>
      <c r="B6085">
        <v>56658</v>
      </c>
      <c r="C6085" s="2">
        <v>34304</v>
      </c>
      <c r="D6085">
        <v>33</v>
      </c>
      <c r="E6085" t="s">
        <v>42</v>
      </c>
      <c r="F6085" t="s">
        <v>50</v>
      </c>
      <c r="G6085" s="2">
        <v>45479</v>
      </c>
      <c r="H6085" s="3">
        <f t="shared" si="95"/>
        <v>1.1260273972602739</v>
      </c>
      <c r="I6085">
        <v>108</v>
      </c>
      <c r="J6085" t="s">
        <v>57</v>
      </c>
      <c r="K6085" t="s">
        <v>56</v>
      </c>
      <c r="L6085" t="s">
        <v>44</v>
      </c>
      <c r="M6085">
        <v>8.4700000000000006</v>
      </c>
      <c r="T6085" t="s">
        <v>45</v>
      </c>
      <c r="U6085">
        <v>1</v>
      </c>
      <c r="V6085">
        <v>6</v>
      </c>
    </row>
    <row r="6086" spans="1:22" x14ac:dyDescent="0.3">
      <c r="A6086">
        <v>6085</v>
      </c>
      <c r="B6086">
        <v>56659</v>
      </c>
      <c r="C6086" s="2">
        <v>37877</v>
      </c>
      <c r="D6086">
        <v>22</v>
      </c>
      <c r="E6086" t="s">
        <v>42</v>
      </c>
      <c r="F6086" t="s">
        <v>50</v>
      </c>
      <c r="G6086" s="2">
        <v>45611</v>
      </c>
      <c r="H6086" s="3">
        <f t="shared" si="95"/>
        <v>1.5205479452054795</v>
      </c>
      <c r="I6086">
        <v>108</v>
      </c>
      <c r="J6086" t="s">
        <v>57</v>
      </c>
      <c r="K6086" t="s">
        <v>56</v>
      </c>
      <c r="L6086" t="s">
        <v>44</v>
      </c>
      <c r="M6086">
        <v>8.4700000000000006</v>
      </c>
      <c r="T6086" t="s">
        <v>47</v>
      </c>
      <c r="U6086">
        <v>2</v>
      </c>
      <c r="V6086">
        <v>7</v>
      </c>
    </row>
    <row r="6087" spans="1:22" x14ac:dyDescent="0.3">
      <c r="A6087">
        <v>6086</v>
      </c>
      <c r="B6087">
        <v>56660</v>
      </c>
      <c r="C6087" s="2">
        <v>35458</v>
      </c>
      <c r="D6087">
        <v>28</v>
      </c>
      <c r="E6087" t="s">
        <v>42</v>
      </c>
      <c r="F6087" t="s">
        <v>50</v>
      </c>
      <c r="G6087" s="2">
        <v>45467</v>
      </c>
      <c r="H6087" s="3">
        <f t="shared" si="95"/>
        <v>1.5753424657534247</v>
      </c>
      <c r="I6087">
        <v>109</v>
      </c>
      <c r="J6087" t="s">
        <v>57</v>
      </c>
      <c r="K6087" t="s">
        <v>68</v>
      </c>
      <c r="L6087" t="s">
        <v>44</v>
      </c>
      <c r="M6087">
        <v>17</v>
      </c>
      <c r="T6087" t="s">
        <v>45</v>
      </c>
      <c r="U6087">
        <v>1</v>
      </c>
      <c r="V6087">
        <v>7</v>
      </c>
    </row>
    <row r="6088" spans="1:22" x14ac:dyDescent="0.3">
      <c r="A6088">
        <v>6087</v>
      </c>
      <c r="B6088">
        <v>56661</v>
      </c>
      <c r="C6088" s="2">
        <v>36251</v>
      </c>
      <c r="D6088">
        <v>27</v>
      </c>
      <c r="E6088" t="s">
        <v>36</v>
      </c>
      <c r="F6088" t="s">
        <v>37</v>
      </c>
      <c r="G6088" s="2">
        <v>45447</v>
      </c>
      <c r="H6088" s="3">
        <f t="shared" si="95"/>
        <v>1.4575342465753425</v>
      </c>
      <c r="I6088">
        <v>109</v>
      </c>
      <c r="J6088" t="s">
        <v>57</v>
      </c>
      <c r="K6088" t="s">
        <v>68</v>
      </c>
      <c r="L6088" t="s">
        <v>44</v>
      </c>
      <c r="M6088">
        <v>17</v>
      </c>
      <c r="T6088" t="s">
        <v>52</v>
      </c>
      <c r="U6088">
        <v>2</v>
      </c>
      <c r="V6088">
        <v>5</v>
      </c>
    </row>
    <row r="6089" spans="1:22" x14ac:dyDescent="0.3">
      <c r="A6089">
        <v>6088</v>
      </c>
      <c r="B6089">
        <v>56662</v>
      </c>
      <c r="C6089" s="2">
        <v>37852</v>
      </c>
      <c r="D6089">
        <v>22</v>
      </c>
      <c r="E6089" t="s">
        <v>42</v>
      </c>
      <c r="F6089" t="s">
        <v>50</v>
      </c>
      <c r="G6089" s="2">
        <v>45490</v>
      </c>
      <c r="H6089" s="3">
        <f t="shared" si="95"/>
        <v>1.5698630136986302</v>
      </c>
      <c r="I6089">
        <v>109</v>
      </c>
      <c r="J6089" t="s">
        <v>57</v>
      </c>
      <c r="K6089" t="s">
        <v>65</v>
      </c>
      <c r="L6089" t="s">
        <v>44</v>
      </c>
      <c r="M6089">
        <v>10.64</v>
      </c>
      <c r="T6089" t="s">
        <v>52</v>
      </c>
      <c r="U6089">
        <v>1</v>
      </c>
      <c r="V6089">
        <v>5</v>
      </c>
    </row>
    <row r="6090" spans="1:22" x14ac:dyDescent="0.3">
      <c r="A6090">
        <v>6089</v>
      </c>
      <c r="B6090">
        <v>56663</v>
      </c>
      <c r="C6090" s="2">
        <v>38939</v>
      </c>
      <c r="D6090">
        <v>19</v>
      </c>
      <c r="E6090" t="s">
        <v>42</v>
      </c>
      <c r="F6090" t="s">
        <v>50</v>
      </c>
      <c r="G6090" s="2">
        <v>45449</v>
      </c>
      <c r="H6090" s="3">
        <f t="shared" si="95"/>
        <v>1.2191780821917808</v>
      </c>
      <c r="I6090">
        <v>109</v>
      </c>
      <c r="J6090" t="s">
        <v>57</v>
      </c>
      <c r="K6090" t="s">
        <v>48</v>
      </c>
      <c r="L6090" t="s">
        <v>44</v>
      </c>
      <c r="M6090">
        <v>8.4700000000000006</v>
      </c>
      <c r="T6090" t="s">
        <v>52</v>
      </c>
      <c r="U6090">
        <v>2</v>
      </c>
      <c r="V6090">
        <v>6</v>
      </c>
    </row>
    <row r="6091" spans="1:22" x14ac:dyDescent="0.3">
      <c r="A6091">
        <v>6090</v>
      </c>
      <c r="B6091">
        <v>56664</v>
      </c>
      <c r="C6091" s="2">
        <v>35697</v>
      </c>
      <c r="D6091">
        <v>28</v>
      </c>
      <c r="E6091" t="s">
        <v>42</v>
      </c>
      <c r="F6091" t="s">
        <v>50</v>
      </c>
      <c r="G6091" s="2">
        <v>45577</v>
      </c>
      <c r="H6091" s="3">
        <f t="shared" si="95"/>
        <v>1.7068493150684931</v>
      </c>
      <c r="I6091">
        <v>109</v>
      </c>
      <c r="J6091" t="s">
        <v>57</v>
      </c>
      <c r="K6091" t="s">
        <v>56</v>
      </c>
      <c r="L6091" t="s">
        <v>44</v>
      </c>
      <c r="M6091">
        <v>8.4700000000000006</v>
      </c>
      <c r="T6091" t="s">
        <v>49</v>
      </c>
      <c r="U6091">
        <v>2</v>
      </c>
      <c r="V6091">
        <v>7</v>
      </c>
    </row>
    <row r="6092" spans="1:22" x14ac:dyDescent="0.3">
      <c r="A6092">
        <v>6091</v>
      </c>
      <c r="B6092">
        <v>56665</v>
      </c>
      <c r="C6092" s="2">
        <v>38073</v>
      </c>
      <c r="D6092">
        <v>21</v>
      </c>
      <c r="E6092" t="s">
        <v>42</v>
      </c>
      <c r="F6092" t="s">
        <v>37</v>
      </c>
      <c r="G6092" s="2">
        <v>45399</v>
      </c>
      <c r="H6092" s="3">
        <f t="shared" si="95"/>
        <v>1.2986301369863014</v>
      </c>
      <c r="I6092">
        <v>109</v>
      </c>
      <c r="J6092" t="s">
        <v>57</v>
      </c>
      <c r="K6092" t="s">
        <v>56</v>
      </c>
      <c r="L6092" t="s">
        <v>44</v>
      </c>
      <c r="M6092">
        <v>8.4700000000000006</v>
      </c>
      <c r="T6092" t="s">
        <v>49</v>
      </c>
      <c r="U6092">
        <v>0</v>
      </c>
      <c r="V6092">
        <v>6</v>
      </c>
    </row>
    <row r="6093" spans="1:22" x14ac:dyDescent="0.3">
      <c r="A6093">
        <v>6092</v>
      </c>
      <c r="B6093">
        <v>56666</v>
      </c>
      <c r="C6093" s="2">
        <v>35963</v>
      </c>
      <c r="D6093">
        <v>27</v>
      </c>
      <c r="E6093" t="s">
        <v>42</v>
      </c>
      <c r="F6093" t="s">
        <v>50</v>
      </c>
      <c r="G6093" s="2">
        <v>45548</v>
      </c>
      <c r="H6093" s="3">
        <f t="shared" si="95"/>
        <v>1.4301369863013698</v>
      </c>
      <c r="I6093">
        <v>109</v>
      </c>
      <c r="J6093" t="s">
        <v>57</v>
      </c>
      <c r="K6093" t="s">
        <v>56</v>
      </c>
      <c r="L6093" t="s">
        <v>44</v>
      </c>
      <c r="M6093">
        <v>8.4700000000000006</v>
      </c>
      <c r="T6093" t="s">
        <v>45</v>
      </c>
      <c r="U6093">
        <v>1</v>
      </c>
      <c r="V6093">
        <v>6</v>
      </c>
    </row>
    <row r="6094" spans="1:22" x14ac:dyDescent="0.3">
      <c r="A6094">
        <v>6093</v>
      </c>
      <c r="B6094">
        <v>56667</v>
      </c>
      <c r="C6094" s="2">
        <v>38932</v>
      </c>
      <c r="D6094">
        <v>19</v>
      </c>
      <c r="E6094" t="s">
        <v>42</v>
      </c>
      <c r="F6094" t="s">
        <v>37</v>
      </c>
      <c r="G6094" s="2">
        <v>45500</v>
      </c>
      <c r="H6094" s="3">
        <f t="shared" si="95"/>
        <v>1.726027397260274</v>
      </c>
      <c r="I6094">
        <v>109</v>
      </c>
      <c r="J6094" t="s">
        <v>57</v>
      </c>
      <c r="K6094" t="s">
        <v>56</v>
      </c>
      <c r="L6094" t="s">
        <v>44</v>
      </c>
      <c r="M6094">
        <v>8.4700000000000006</v>
      </c>
      <c r="T6094" t="s">
        <v>45</v>
      </c>
      <c r="U6094">
        <v>2</v>
      </c>
      <c r="V6094">
        <v>5</v>
      </c>
    </row>
    <row r="6095" spans="1:22" x14ac:dyDescent="0.3">
      <c r="A6095">
        <v>6094</v>
      </c>
      <c r="B6095">
        <v>56669</v>
      </c>
      <c r="C6095" s="2">
        <v>37804</v>
      </c>
      <c r="D6095">
        <v>22</v>
      </c>
      <c r="E6095" t="s">
        <v>42</v>
      </c>
      <c r="F6095" t="s">
        <v>50</v>
      </c>
      <c r="G6095" s="2">
        <v>45392</v>
      </c>
      <c r="H6095" s="3">
        <f t="shared" si="95"/>
        <v>1.0054794520547945</v>
      </c>
      <c r="I6095">
        <v>109</v>
      </c>
      <c r="J6095" t="s">
        <v>57</v>
      </c>
      <c r="K6095" t="s">
        <v>56</v>
      </c>
      <c r="L6095" t="s">
        <v>44</v>
      </c>
      <c r="M6095">
        <v>8.4700000000000006</v>
      </c>
      <c r="T6095" t="s">
        <v>45</v>
      </c>
      <c r="U6095">
        <v>2</v>
      </c>
      <c r="V6095">
        <v>6</v>
      </c>
    </row>
    <row r="6096" spans="1:22" x14ac:dyDescent="0.3">
      <c r="A6096">
        <v>6095</v>
      </c>
      <c r="B6096">
        <v>56670</v>
      </c>
      <c r="C6096" s="2">
        <v>36193</v>
      </c>
      <c r="D6096">
        <v>26</v>
      </c>
      <c r="E6096" t="s">
        <v>42</v>
      </c>
      <c r="F6096" t="s">
        <v>37</v>
      </c>
      <c r="G6096" s="2">
        <v>45655</v>
      </c>
      <c r="H6096" s="3">
        <f t="shared" si="95"/>
        <v>1.4027397260273973</v>
      </c>
      <c r="I6096">
        <v>109</v>
      </c>
      <c r="J6096" t="s">
        <v>57</v>
      </c>
      <c r="K6096" t="s">
        <v>56</v>
      </c>
      <c r="L6096" t="s">
        <v>44</v>
      </c>
      <c r="M6096">
        <v>8.4700000000000006</v>
      </c>
      <c r="T6096" t="s">
        <v>47</v>
      </c>
      <c r="U6096">
        <v>4</v>
      </c>
      <c r="V6096">
        <v>5</v>
      </c>
    </row>
    <row r="6097" spans="1:22" x14ac:dyDescent="0.3">
      <c r="A6097">
        <v>6096</v>
      </c>
      <c r="B6097">
        <v>56671</v>
      </c>
      <c r="C6097" s="2">
        <v>37252</v>
      </c>
      <c r="D6097">
        <v>24</v>
      </c>
      <c r="E6097" t="s">
        <v>42</v>
      </c>
      <c r="F6097" t="s">
        <v>37</v>
      </c>
      <c r="G6097" s="2">
        <v>45510</v>
      </c>
      <c r="H6097" s="3">
        <f t="shared" si="95"/>
        <v>1.4712328767123288</v>
      </c>
      <c r="I6097">
        <v>109</v>
      </c>
      <c r="J6097" t="s">
        <v>57</v>
      </c>
      <c r="K6097" t="s">
        <v>56</v>
      </c>
      <c r="L6097" t="s">
        <v>44</v>
      </c>
      <c r="M6097">
        <v>8.4700000000000006</v>
      </c>
      <c r="T6097" t="s">
        <v>49</v>
      </c>
      <c r="U6097">
        <v>1</v>
      </c>
      <c r="V6097">
        <v>7</v>
      </c>
    </row>
    <row r="6098" spans="1:22" x14ac:dyDescent="0.3">
      <c r="A6098">
        <v>6097</v>
      </c>
      <c r="B6098">
        <v>56672</v>
      </c>
      <c r="C6098" s="2">
        <v>37979</v>
      </c>
      <c r="D6098">
        <v>22</v>
      </c>
      <c r="E6098" t="s">
        <v>42</v>
      </c>
      <c r="F6098" t="s">
        <v>50</v>
      </c>
      <c r="G6098" s="2">
        <v>45485</v>
      </c>
      <c r="H6098" s="3">
        <f t="shared" si="95"/>
        <v>1.021917808219178</v>
      </c>
      <c r="I6098">
        <v>109</v>
      </c>
      <c r="J6098" t="s">
        <v>57</v>
      </c>
      <c r="K6098" t="s">
        <v>56</v>
      </c>
      <c r="L6098" t="s">
        <v>44</v>
      </c>
      <c r="M6098">
        <v>8.4700000000000006</v>
      </c>
      <c r="T6098" t="s">
        <v>52</v>
      </c>
      <c r="U6098">
        <v>2</v>
      </c>
      <c r="V6098">
        <v>6</v>
      </c>
    </row>
    <row r="6099" spans="1:22" x14ac:dyDescent="0.3">
      <c r="A6099">
        <v>6098</v>
      </c>
      <c r="B6099">
        <v>56673</v>
      </c>
      <c r="C6099" s="2">
        <v>39439</v>
      </c>
      <c r="D6099">
        <v>18</v>
      </c>
      <c r="E6099" t="s">
        <v>42</v>
      </c>
      <c r="F6099" t="s">
        <v>50</v>
      </c>
      <c r="G6099" s="2">
        <v>45649</v>
      </c>
      <c r="H6099" s="3">
        <f t="shared" si="95"/>
        <v>1.189041095890411</v>
      </c>
      <c r="I6099">
        <v>109</v>
      </c>
      <c r="J6099" t="s">
        <v>57</v>
      </c>
      <c r="K6099" t="s">
        <v>56</v>
      </c>
      <c r="L6099" t="s">
        <v>44</v>
      </c>
      <c r="M6099">
        <v>8.4700000000000006</v>
      </c>
      <c r="T6099" t="s">
        <v>49</v>
      </c>
      <c r="U6099">
        <v>4</v>
      </c>
      <c r="V6099">
        <v>7</v>
      </c>
    </row>
    <row r="6100" spans="1:22" x14ac:dyDescent="0.3">
      <c r="A6100">
        <v>6099</v>
      </c>
      <c r="B6100">
        <v>56674</v>
      </c>
      <c r="C6100" s="2">
        <v>39281</v>
      </c>
      <c r="D6100">
        <v>18</v>
      </c>
      <c r="E6100" t="s">
        <v>36</v>
      </c>
      <c r="F6100" t="s">
        <v>50</v>
      </c>
      <c r="G6100" s="2">
        <v>45588</v>
      </c>
      <c r="H6100" s="3">
        <f t="shared" si="95"/>
        <v>1.0356164383561643</v>
      </c>
      <c r="I6100">
        <v>109</v>
      </c>
      <c r="J6100" t="s">
        <v>57</v>
      </c>
      <c r="K6100" t="s">
        <v>56</v>
      </c>
      <c r="L6100" t="s">
        <v>44</v>
      </c>
      <c r="M6100">
        <v>8.4700000000000006</v>
      </c>
      <c r="T6100" t="s">
        <v>47</v>
      </c>
      <c r="U6100">
        <v>1</v>
      </c>
      <c r="V6100">
        <v>4</v>
      </c>
    </row>
    <row r="6101" spans="1:22" x14ac:dyDescent="0.3">
      <c r="A6101">
        <v>6100</v>
      </c>
      <c r="B6101">
        <v>56675</v>
      </c>
      <c r="C6101" s="2">
        <v>38445</v>
      </c>
      <c r="D6101">
        <v>20</v>
      </c>
      <c r="E6101" t="s">
        <v>42</v>
      </c>
      <c r="F6101" t="s">
        <v>50</v>
      </c>
      <c r="G6101" s="2">
        <v>45644</v>
      </c>
      <c r="H6101" s="3">
        <f t="shared" si="95"/>
        <v>1.0931506849315069</v>
      </c>
      <c r="I6101">
        <v>109</v>
      </c>
      <c r="J6101" t="s">
        <v>57</v>
      </c>
      <c r="K6101" t="s">
        <v>56</v>
      </c>
      <c r="L6101" t="s">
        <v>44</v>
      </c>
      <c r="M6101">
        <v>8.4700000000000006</v>
      </c>
      <c r="T6101" t="s">
        <v>52</v>
      </c>
      <c r="U6101">
        <v>2</v>
      </c>
      <c r="V6101">
        <v>7</v>
      </c>
    </row>
    <row r="6102" spans="1:22" x14ac:dyDescent="0.3">
      <c r="A6102">
        <v>6101</v>
      </c>
      <c r="B6102">
        <v>56676</v>
      </c>
      <c r="C6102" s="2">
        <v>38474</v>
      </c>
      <c r="D6102">
        <v>20</v>
      </c>
      <c r="E6102" t="s">
        <v>42</v>
      </c>
      <c r="F6102" t="s">
        <v>50</v>
      </c>
      <c r="G6102" s="2">
        <v>45623</v>
      </c>
      <c r="H6102" s="3">
        <f t="shared" si="95"/>
        <v>1.5753424657534247</v>
      </c>
      <c r="I6102">
        <v>109</v>
      </c>
      <c r="J6102" t="s">
        <v>57</v>
      </c>
      <c r="K6102" t="s">
        <v>56</v>
      </c>
      <c r="L6102" t="s">
        <v>44</v>
      </c>
      <c r="M6102">
        <v>8.4700000000000006</v>
      </c>
      <c r="T6102" t="s">
        <v>47</v>
      </c>
      <c r="U6102">
        <v>3</v>
      </c>
      <c r="V6102">
        <v>5</v>
      </c>
    </row>
    <row r="6103" spans="1:22" x14ac:dyDescent="0.3">
      <c r="A6103">
        <v>6102</v>
      </c>
      <c r="B6103">
        <v>56677</v>
      </c>
      <c r="C6103" s="2">
        <v>37131</v>
      </c>
      <c r="D6103">
        <v>24</v>
      </c>
      <c r="E6103" t="s">
        <v>36</v>
      </c>
      <c r="F6103" t="s">
        <v>37</v>
      </c>
      <c r="G6103" s="2">
        <v>45447</v>
      </c>
      <c r="H6103" s="3">
        <f t="shared" si="95"/>
        <v>1.189041095890411</v>
      </c>
      <c r="I6103">
        <v>110</v>
      </c>
      <c r="J6103" t="s">
        <v>57</v>
      </c>
      <c r="K6103" t="s">
        <v>68</v>
      </c>
      <c r="L6103" t="s">
        <v>44</v>
      </c>
      <c r="M6103">
        <v>17</v>
      </c>
      <c r="T6103" t="s">
        <v>45</v>
      </c>
      <c r="U6103">
        <v>2</v>
      </c>
      <c r="V6103">
        <v>5</v>
      </c>
    </row>
    <row r="6104" spans="1:22" x14ac:dyDescent="0.3">
      <c r="A6104">
        <v>6103</v>
      </c>
      <c r="B6104">
        <v>56678</v>
      </c>
      <c r="C6104" s="2">
        <v>37200</v>
      </c>
      <c r="D6104">
        <v>24</v>
      </c>
      <c r="E6104" t="s">
        <v>42</v>
      </c>
      <c r="F6104" t="s">
        <v>50</v>
      </c>
      <c r="G6104" s="2">
        <v>45588</v>
      </c>
      <c r="H6104" s="3">
        <f t="shared" si="95"/>
        <v>1.736986301369863</v>
      </c>
      <c r="I6104">
        <v>110</v>
      </c>
      <c r="J6104" t="s">
        <v>57</v>
      </c>
      <c r="K6104" t="s">
        <v>68</v>
      </c>
      <c r="L6104" t="s">
        <v>44</v>
      </c>
      <c r="M6104">
        <v>17</v>
      </c>
      <c r="T6104" t="s">
        <v>47</v>
      </c>
      <c r="U6104">
        <v>4</v>
      </c>
      <c r="V6104">
        <v>7</v>
      </c>
    </row>
    <row r="6105" spans="1:22" x14ac:dyDescent="0.3">
      <c r="A6105">
        <v>6104</v>
      </c>
      <c r="B6105">
        <v>56679</v>
      </c>
      <c r="C6105" s="2">
        <v>36408</v>
      </c>
      <c r="D6105">
        <v>26</v>
      </c>
      <c r="E6105" t="s">
        <v>42</v>
      </c>
      <c r="F6105" t="s">
        <v>50</v>
      </c>
      <c r="G6105" s="2">
        <v>45388</v>
      </c>
      <c r="H6105" s="3">
        <f t="shared" si="95"/>
        <v>1.4712328767123288</v>
      </c>
      <c r="I6105">
        <v>110</v>
      </c>
      <c r="J6105" t="s">
        <v>57</v>
      </c>
      <c r="K6105" t="s">
        <v>68</v>
      </c>
      <c r="L6105" t="s">
        <v>44</v>
      </c>
      <c r="M6105">
        <v>17</v>
      </c>
      <c r="T6105" t="s">
        <v>49</v>
      </c>
      <c r="U6105">
        <v>4</v>
      </c>
      <c r="V6105">
        <v>7</v>
      </c>
    </row>
    <row r="6106" spans="1:22" x14ac:dyDescent="0.3">
      <c r="A6106">
        <v>6105</v>
      </c>
      <c r="B6106">
        <v>56680</v>
      </c>
      <c r="C6106" s="2">
        <v>38627</v>
      </c>
      <c r="D6106">
        <v>20</v>
      </c>
      <c r="E6106" t="s">
        <v>36</v>
      </c>
      <c r="F6106" t="s">
        <v>50</v>
      </c>
      <c r="G6106" s="2">
        <v>45485</v>
      </c>
      <c r="H6106" s="3">
        <f t="shared" si="95"/>
        <v>1.3917808219178083</v>
      </c>
      <c r="I6106">
        <v>110</v>
      </c>
      <c r="J6106" t="s">
        <v>57</v>
      </c>
      <c r="K6106" t="s">
        <v>43</v>
      </c>
      <c r="L6106" t="s">
        <v>44</v>
      </c>
      <c r="M6106">
        <v>16.37</v>
      </c>
      <c r="T6106" t="s">
        <v>52</v>
      </c>
      <c r="U6106">
        <v>1</v>
      </c>
      <c r="V6106">
        <v>4</v>
      </c>
    </row>
    <row r="6107" spans="1:22" x14ac:dyDescent="0.3">
      <c r="A6107">
        <v>6106</v>
      </c>
      <c r="B6107">
        <v>56681</v>
      </c>
      <c r="C6107" s="2">
        <v>37894</v>
      </c>
      <c r="D6107">
        <v>22</v>
      </c>
      <c r="E6107" t="s">
        <v>36</v>
      </c>
      <c r="F6107" t="s">
        <v>50</v>
      </c>
      <c r="G6107" s="2">
        <v>45514</v>
      </c>
      <c r="H6107" s="3">
        <f t="shared" si="95"/>
        <v>1.5123287671232877</v>
      </c>
      <c r="I6107">
        <v>110</v>
      </c>
      <c r="J6107" t="s">
        <v>57</v>
      </c>
      <c r="K6107" t="s">
        <v>64</v>
      </c>
      <c r="L6107" t="s">
        <v>44</v>
      </c>
      <c r="M6107">
        <v>14.07</v>
      </c>
      <c r="T6107" t="s">
        <v>52</v>
      </c>
      <c r="U6107">
        <v>1</v>
      </c>
      <c r="V6107">
        <v>4</v>
      </c>
    </row>
    <row r="6108" spans="1:22" x14ac:dyDescent="0.3">
      <c r="A6108">
        <v>6107</v>
      </c>
      <c r="B6108">
        <v>56682</v>
      </c>
      <c r="C6108" s="2">
        <v>38019</v>
      </c>
      <c r="D6108">
        <v>21</v>
      </c>
      <c r="E6108" t="s">
        <v>42</v>
      </c>
      <c r="F6108" t="s">
        <v>50</v>
      </c>
      <c r="G6108" s="2">
        <v>45470</v>
      </c>
      <c r="H6108" s="3">
        <f t="shared" si="95"/>
        <v>1.3178082191780822</v>
      </c>
      <c r="I6108">
        <v>110</v>
      </c>
      <c r="J6108" t="s">
        <v>57</v>
      </c>
      <c r="K6108" t="s">
        <v>48</v>
      </c>
      <c r="L6108" t="s">
        <v>44</v>
      </c>
      <c r="M6108">
        <v>8.4700000000000006</v>
      </c>
      <c r="T6108" t="s">
        <v>45</v>
      </c>
      <c r="U6108">
        <v>3</v>
      </c>
      <c r="V6108">
        <v>5</v>
      </c>
    </row>
    <row r="6109" spans="1:22" x14ac:dyDescent="0.3">
      <c r="A6109">
        <v>6108</v>
      </c>
      <c r="B6109">
        <v>56683</v>
      </c>
      <c r="C6109" s="2">
        <v>36493</v>
      </c>
      <c r="D6109">
        <v>26</v>
      </c>
      <c r="E6109" t="s">
        <v>42</v>
      </c>
      <c r="F6109" t="s">
        <v>37</v>
      </c>
      <c r="G6109" s="2">
        <v>45541</v>
      </c>
      <c r="H6109" s="3">
        <f t="shared" si="95"/>
        <v>1.1424657534246576</v>
      </c>
      <c r="I6109">
        <v>110</v>
      </c>
      <c r="J6109" t="s">
        <v>57</v>
      </c>
      <c r="K6109" t="s">
        <v>48</v>
      </c>
      <c r="L6109" t="s">
        <v>44</v>
      </c>
      <c r="M6109">
        <v>8.4700000000000006</v>
      </c>
      <c r="T6109" t="s">
        <v>52</v>
      </c>
      <c r="U6109">
        <v>2</v>
      </c>
      <c r="V6109">
        <v>6</v>
      </c>
    </row>
    <row r="6110" spans="1:22" x14ac:dyDescent="0.3">
      <c r="A6110">
        <v>6109</v>
      </c>
      <c r="B6110">
        <v>56684</v>
      </c>
      <c r="C6110" s="2">
        <v>37269</v>
      </c>
      <c r="D6110">
        <v>23</v>
      </c>
      <c r="E6110" t="s">
        <v>42</v>
      </c>
      <c r="F6110" t="s">
        <v>37</v>
      </c>
      <c r="G6110" s="2">
        <v>45605</v>
      </c>
      <c r="H6110" s="3">
        <f t="shared" si="95"/>
        <v>1.4</v>
      </c>
      <c r="I6110">
        <v>110</v>
      </c>
      <c r="J6110" t="s">
        <v>57</v>
      </c>
      <c r="K6110" t="s">
        <v>56</v>
      </c>
      <c r="L6110" t="s">
        <v>44</v>
      </c>
      <c r="M6110">
        <v>8.4700000000000006</v>
      </c>
      <c r="T6110" t="s">
        <v>47</v>
      </c>
      <c r="U6110">
        <v>1</v>
      </c>
      <c r="V6110">
        <v>6</v>
      </c>
    </row>
    <row r="6111" spans="1:22" x14ac:dyDescent="0.3">
      <c r="A6111">
        <v>6110</v>
      </c>
      <c r="B6111">
        <v>56685</v>
      </c>
      <c r="C6111" s="2">
        <v>35934</v>
      </c>
      <c r="D6111">
        <v>27</v>
      </c>
      <c r="E6111" t="s">
        <v>42</v>
      </c>
      <c r="F6111" t="s">
        <v>50</v>
      </c>
      <c r="G6111" s="2">
        <v>45511</v>
      </c>
      <c r="H6111" s="3">
        <f t="shared" si="95"/>
        <v>1.1013698630136985</v>
      </c>
      <c r="I6111">
        <v>110</v>
      </c>
      <c r="J6111" t="s">
        <v>57</v>
      </c>
      <c r="K6111" t="s">
        <v>56</v>
      </c>
      <c r="L6111" t="s">
        <v>44</v>
      </c>
      <c r="M6111">
        <v>8.4700000000000006</v>
      </c>
      <c r="T6111" t="s">
        <v>47</v>
      </c>
      <c r="U6111">
        <v>3</v>
      </c>
      <c r="V6111">
        <v>6</v>
      </c>
    </row>
    <row r="6112" spans="1:22" x14ac:dyDescent="0.3">
      <c r="A6112">
        <v>6111</v>
      </c>
      <c r="B6112">
        <v>56686</v>
      </c>
      <c r="C6112" s="2">
        <v>35710</v>
      </c>
      <c r="D6112">
        <v>28</v>
      </c>
      <c r="E6112" t="s">
        <v>42</v>
      </c>
      <c r="F6112" t="s">
        <v>50</v>
      </c>
      <c r="G6112" s="2">
        <v>45620</v>
      </c>
      <c r="H6112" s="3">
        <f t="shared" si="95"/>
        <v>1.0794520547945206</v>
      </c>
      <c r="I6112">
        <v>110</v>
      </c>
      <c r="J6112" t="s">
        <v>57</v>
      </c>
      <c r="K6112" t="s">
        <v>56</v>
      </c>
      <c r="L6112" t="s">
        <v>44</v>
      </c>
      <c r="M6112">
        <v>8.4700000000000006</v>
      </c>
      <c r="T6112" t="s">
        <v>49</v>
      </c>
      <c r="U6112">
        <v>2</v>
      </c>
      <c r="V6112">
        <v>5</v>
      </c>
    </row>
    <row r="6113" spans="1:22" x14ac:dyDescent="0.3">
      <c r="A6113">
        <v>6112</v>
      </c>
      <c r="B6113">
        <v>56687</v>
      </c>
      <c r="C6113" s="2">
        <v>33738</v>
      </c>
      <c r="D6113">
        <v>33</v>
      </c>
      <c r="E6113" t="s">
        <v>42</v>
      </c>
      <c r="F6113" t="s">
        <v>50</v>
      </c>
      <c r="G6113" s="2">
        <v>45628</v>
      </c>
      <c r="H6113" s="3">
        <f t="shared" si="95"/>
        <v>1.3671232876712329</v>
      </c>
      <c r="I6113">
        <v>110</v>
      </c>
      <c r="J6113" t="s">
        <v>57</v>
      </c>
      <c r="K6113" t="s">
        <v>56</v>
      </c>
      <c r="L6113" t="s">
        <v>44</v>
      </c>
      <c r="M6113">
        <v>8.4700000000000006</v>
      </c>
      <c r="T6113" t="s">
        <v>47</v>
      </c>
      <c r="U6113">
        <v>2</v>
      </c>
      <c r="V6113">
        <v>7</v>
      </c>
    </row>
    <row r="6114" spans="1:22" x14ac:dyDescent="0.3">
      <c r="A6114">
        <v>6113</v>
      </c>
      <c r="B6114">
        <v>56688</v>
      </c>
      <c r="C6114" s="2">
        <v>37681</v>
      </c>
      <c r="D6114">
        <v>23</v>
      </c>
      <c r="E6114" t="s">
        <v>42</v>
      </c>
      <c r="F6114" t="s">
        <v>50</v>
      </c>
      <c r="G6114" s="2">
        <v>45523</v>
      </c>
      <c r="H6114" s="3">
        <f t="shared" si="95"/>
        <v>1.3315068493150686</v>
      </c>
      <c r="I6114">
        <v>110</v>
      </c>
      <c r="J6114" t="s">
        <v>57</v>
      </c>
      <c r="K6114" t="s">
        <v>56</v>
      </c>
      <c r="L6114" t="s">
        <v>44</v>
      </c>
      <c r="M6114">
        <v>8.4700000000000006</v>
      </c>
      <c r="T6114" t="s">
        <v>45</v>
      </c>
      <c r="U6114">
        <v>0</v>
      </c>
      <c r="V6114">
        <v>6</v>
      </c>
    </row>
    <row r="6115" spans="1:22" x14ac:dyDescent="0.3">
      <c r="A6115">
        <v>6114</v>
      </c>
      <c r="B6115">
        <v>56689</v>
      </c>
      <c r="C6115" s="2">
        <v>37874</v>
      </c>
      <c r="D6115">
        <v>22</v>
      </c>
      <c r="E6115" t="s">
        <v>42</v>
      </c>
      <c r="F6115" t="s">
        <v>50</v>
      </c>
      <c r="G6115" s="2">
        <v>45536</v>
      </c>
      <c r="H6115" s="3">
        <f t="shared" si="95"/>
        <v>1.6794520547945206</v>
      </c>
      <c r="I6115">
        <v>110</v>
      </c>
      <c r="J6115" t="s">
        <v>57</v>
      </c>
      <c r="K6115" t="s">
        <v>56</v>
      </c>
      <c r="L6115" t="s">
        <v>44</v>
      </c>
      <c r="M6115">
        <v>8.4700000000000006</v>
      </c>
      <c r="T6115" t="s">
        <v>47</v>
      </c>
      <c r="U6115">
        <v>2</v>
      </c>
      <c r="V6115">
        <v>5</v>
      </c>
    </row>
    <row r="6116" spans="1:22" x14ac:dyDescent="0.3">
      <c r="A6116">
        <v>6115</v>
      </c>
      <c r="B6116">
        <v>56690</v>
      </c>
      <c r="C6116" s="2">
        <v>35806</v>
      </c>
      <c r="D6116">
        <v>27</v>
      </c>
      <c r="E6116" t="s">
        <v>42</v>
      </c>
      <c r="F6116" t="s">
        <v>37</v>
      </c>
      <c r="G6116" s="2">
        <v>45409</v>
      </c>
      <c r="H6116" s="3">
        <f t="shared" si="95"/>
        <v>1.5342465753424657</v>
      </c>
      <c r="I6116">
        <v>110</v>
      </c>
      <c r="J6116" t="s">
        <v>57</v>
      </c>
      <c r="K6116" t="s">
        <v>56</v>
      </c>
      <c r="L6116" t="s">
        <v>44</v>
      </c>
      <c r="M6116">
        <v>8.4700000000000006</v>
      </c>
      <c r="T6116" t="s">
        <v>45</v>
      </c>
      <c r="U6116">
        <v>2</v>
      </c>
      <c r="V6116">
        <v>6</v>
      </c>
    </row>
    <row r="6117" spans="1:22" x14ac:dyDescent="0.3">
      <c r="A6117">
        <v>6116</v>
      </c>
      <c r="B6117">
        <v>56691</v>
      </c>
      <c r="C6117" s="2">
        <v>38671</v>
      </c>
      <c r="D6117">
        <v>20</v>
      </c>
      <c r="E6117" t="s">
        <v>36</v>
      </c>
      <c r="F6117" t="s">
        <v>50</v>
      </c>
      <c r="G6117" s="2">
        <v>45462</v>
      </c>
      <c r="H6117" s="3">
        <f t="shared" si="95"/>
        <v>1.7726027397260273</v>
      </c>
      <c r="I6117">
        <v>110</v>
      </c>
      <c r="J6117" t="s">
        <v>57</v>
      </c>
      <c r="K6117" t="s">
        <v>56</v>
      </c>
      <c r="L6117" t="s">
        <v>44</v>
      </c>
      <c r="M6117">
        <v>8.4700000000000006</v>
      </c>
      <c r="T6117" t="s">
        <v>45</v>
      </c>
      <c r="U6117">
        <v>2</v>
      </c>
      <c r="V6117">
        <v>5</v>
      </c>
    </row>
    <row r="6118" spans="1:22" x14ac:dyDescent="0.3">
      <c r="A6118">
        <v>6117</v>
      </c>
      <c r="B6118">
        <v>56692</v>
      </c>
      <c r="C6118" s="2">
        <v>38450</v>
      </c>
      <c r="D6118">
        <v>20</v>
      </c>
      <c r="E6118" t="s">
        <v>36</v>
      </c>
      <c r="F6118" t="s">
        <v>50</v>
      </c>
      <c r="G6118" s="2">
        <v>45375</v>
      </c>
      <c r="H6118" s="3">
        <f t="shared" si="95"/>
        <v>1.3479452054794521</v>
      </c>
      <c r="I6118">
        <v>110</v>
      </c>
      <c r="J6118" t="s">
        <v>57</v>
      </c>
      <c r="K6118" t="s">
        <v>56</v>
      </c>
      <c r="L6118" t="s">
        <v>44</v>
      </c>
      <c r="M6118">
        <v>8.4700000000000006</v>
      </c>
      <c r="T6118" t="s">
        <v>47</v>
      </c>
      <c r="U6118">
        <v>1</v>
      </c>
      <c r="V6118">
        <v>4</v>
      </c>
    </row>
    <row r="6119" spans="1:22" x14ac:dyDescent="0.3">
      <c r="A6119">
        <v>6118</v>
      </c>
      <c r="B6119">
        <v>56693</v>
      </c>
      <c r="C6119" s="2">
        <v>37309</v>
      </c>
      <c r="D6119">
        <v>23</v>
      </c>
      <c r="E6119" t="s">
        <v>42</v>
      </c>
      <c r="F6119" t="s">
        <v>50</v>
      </c>
      <c r="G6119" s="2">
        <v>45530</v>
      </c>
      <c r="H6119" s="3">
        <f t="shared" si="95"/>
        <v>1.0931506849315069</v>
      </c>
      <c r="I6119">
        <v>110</v>
      </c>
      <c r="J6119" t="s">
        <v>57</v>
      </c>
      <c r="K6119" t="s">
        <v>56</v>
      </c>
      <c r="L6119" t="s">
        <v>44</v>
      </c>
      <c r="M6119">
        <v>8.4700000000000006</v>
      </c>
      <c r="T6119" t="s">
        <v>52</v>
      </c>
      <c r="U6119">
        <v>2</v>
      </c>
      <c r="V6119">
        <v>6</v>
      </c>
    </row>
    <row r="6120" spans="1:22" x14ac:dyDescent="0.3">
      <c r="A6120">
        <v>6119</v>
      </c>
      <c r="B6120">
        <v>56694</v>
      </c>
      <c r="C6120" s="2">
        <v>38678</v>
      </c>
      <c r="D6120">
        <v>20</v>
      </c>
      <c r="E6120" t="s">
        <v>36</v>
      </c>
      <c r="F6120" t="s">
        <v>50</v>
      </c>
      <c r="G6120" s="2">
        <v>45623</v>
      </c>
      <c r="H6120" s="3">
        <f t="shared" si="95"/>
        <v>1.0191780821917809</v>
      </c>
      <c r="I6120">
        <v>110</v>
      </c>
      <c r="J6120" t="s">
        <v>57</v>
      </c>
      <c r="K6120" t="s">
        <v>56</v>
      </c>
      <c r="L6120" t="s">
        <v>44</v>
      </c>
      <c r="M6120">
        <v>8.4700000000000006</v>
      </c>
      <c r="T6120" t="s">
        <v>47</v>
      </c>
      <c r="U6120">
        <v>1</v>
      </c>
      <c r="V6120">
        <v>5</v>
      </c>
    </row>
    <row r="6121" spans="1:22" x14ac:dyDescent="0.3">
      <c r="A6121">
        <v>6120</v>
      </c>
      <c r="B6121">
        <v>56695</v>
      </c>
      <c r="C6121" s="2">
        <v>37801</v>
      </c>
      <c r="D6121">
        <v>22</v>
      </c>
      <c r="E6121" t="s">
        <v>42</v>
      </c>
      <c r="F6121" t="s">
        <v>50</v>
      </c>
      <c r="G6121" s="2">
        <v>45650</v>
      </c>
      <c r="H6121" s="3">
        <f t="shared" si="95"/>
        <v>1.8082191780821917</v>
      </c>
      <c r="I6121">
        <v>110</v>
      </c>
      <c r="J6121" t="s">
        <v>57</v>
      </c>
      <c r="K6121" t="s">
        <v>56</v>
      </c>
      <c r="L6121" t="s">
        <v>44</v>
      </c>
      <c r="M6121">
        <v>8.4700000000000006</v>
      </c>
      <c r="T6121" t="s">
        <v>45</v>
      </c>
      <c r="U6121">
        <v>2</v>
      </c>
      <c r="V6121">
        <v>6</v>
      </c>
    </row>
    <row r="6122" spans="1:22" x14ac:dyDescent="0.3">
      <c r="A6122">
        <v>6121</v>
      </c>
      <c r="B6122">
        <v>56696</v>
      </c>
      <c r="C6122" s="2">
        <v>38867</v>
      </c>
      <c r="D6122">
        <v>19</v>
      </c>
      <c r="E6122" t="s">
        <v>42</v>
      </c>
      <c r="F6122" t="s">
        <v>50</v>
      </c>
      <c r="G6122" s="2">
        <v>45362</v>
      </c>
      <c r="H6122" s="3">
        <f t="shared" si="95"/>
        <v>1.2876712328767124</v>
      </c>
      <c r="I6122">
        <v>110</v>
      </c>
      <c r="J6122" t="s">
        <v>57</v>
      </c>
      <c r="K6122" t="s">
        <v>56</v>
      </c>
      <c r="L6122" t="s">
        <v>44</v>
      </c>
      <c r="M6122">
        <v>8.4700000000000006</v>
      </c>
      <c r="T6122" t="s">
        <v>47</v>
      </c>
      <c r="U6122">
        <v>3</v>
      </c>
      <c r="V6122">
        <v>6</v>
      </c>
    </row>
    <row r="6123" spans="1:22" x14ac:dyDescent="0.3">
      <c r="A6123">
        <v>6122</v>
      </c>
      <c r="B6123">
        <v>56697</v>
      </c>
      <c r="C6123" s="2">
        <v>39300</v>
      </c>
      <c r="D6123">
        <v>18</v>
      </c>
      <c r="E6123" t="s">
        <v>42</v>
      </c>
      <c r="F6123" t="s">
        <v>50</v>
      </c>
      <c r="G6123" s="2">
        <v>45552</v>
      </c>
      <c r="H6123" s="3">
        <f t="shared" si="95"/>
        <v>1.106849315068493</v>
      </c>
      <c r="I6123">
        <v>110</v>
      </c>
      <c r="J6123" t="s">
        <v>57</v>
      </c>
      <c r="K6123" t="s">
        <v>56</v>
      </c>
      <c r="L6123" t="s">
        <v>44</v>
      </c>
      <c r="M6123">
        <v>8.4700000000000006</v>
      </c>
      <c r="T6123" t="s">
        <v>52</v>
      </c>
      <c r="U6123">
        <v>1</v>
      </c>
      <c r="V6123">
        <v>6</v>
      </c>
    </row>
    <row r="6124" spans="1:22" x14ac:dyDescent="0.3">
      <c r="A6124">
        <v>6123</v>
      </c>
      <c r="B6124">
        <v>56698</v>
      </c>
      <c r="C6124" s="2">
        <v>35713</v>
      </c>
      <c r="D6124">
        <v>28</v>
      </c>
      <c r="E6124" t="s">
        <v>36</v>
      </c>
      <c r="F6124" t="s">
        <v>50</v>
      </c>
      <c r="G6124" s="2">
        <v>45618</v>
      </c>
      <c r="H6124" s="3">
        <f t="shared" si="95"/>
        <v>1.1041095890410959</v>
      </c>
      <c r="I6124">
        <v>111</v>
      </c>
      <c r="J6124" t="s">
        <v>57</v>
      </c>
      <c r="K6124" t="s">
        <v>68</v>
      </c>
      <c r="L6124" t="s">
        <v>44</v>
      </c>
      <c r="M6124">
        <v>17</v>
      </c>
      <c r="T6124" t="s">
        <v>49</v>
      </c>
      <c r="U6124">
        <v>4</v>
      </c>
      <c r="V6124">
        <v>5</v>
      </c>
    </row>
    <row r="6125" spans="1:22" x14ac:dyDescent="0.3">
      <c r="A6125">
        <v>6124</v>
      </c>
      <c r="B6125">
        <v>56699</v>
      </c>
      <c r="C6125" s="2">
        <v>37349</v>
      </c>
      <c r="D6125">
        <v>23</v>
      </c>
      <c r="E6125" t="s">
        <v>42</v>
      </c>
      <c r="F6125" t="s">
        <v>50</v>
      </c>
      <c r="G6125" s="2">
        <v>45619</v>
      </c>
      <c r="H6125" s="3">
        <f t="shared" si="95"/>
        <v>1.7863013698630137</v>
      </c>
      <c r="I6125">
        <v>111</v>
      </c>
      <c r="J6125" t="s">
        <v>57</v>
      </c>
      <c r="K6125" t="s">
        <v>65</v>
      </c>
      <c r="L6125" t="s">
        <v>44</v>
      </c>
      <c r="M6125">
        <v>10.64</v>
      </c>
      <c r="T6125" t="s">
        <v>52</v>
      </c>
      <c r="U6125">
        <v>0</v>
      </c>
      <c r="V6125">
        <v>5</v>
      </c>
    </row>
    <row r="6126" spans="1:22" x14ac:dyDescent="0.3">
      <c r="A6126">
        <v>6125</v>
      </c>
      <c r="B6126">
        <v>56700</v>
      </c>
      <c r="C6126" s="2">
        <v>34091</v>
      </c>
      <c r="D6126">
        <v>32</v>
      </c>
      <c r="E6126" t="s">
        <v>36</v>
      </c>
      <c r="F6126" t="s">
        <v>50</v>
      </c>
      <c r="G6126" s="2">
        <v>45370</v>
      </c>
      <c r="H6126" s="3">
        <f t="shared" si="95"/>
        <v>1.6219178082191781</v>
      </c>
      <c r="I6126">
        <v>111</v>
      </c>
      <c r="J6126" t="s">
        <v>57</v>
      </c>
      <c r="K6126" t="s">
        <v>54</v>
      </c>
      <c r="L6126" t="s">
        <v>44</v>
      </c>
      <c r="M6126">
        <v>23.78</v>
      </c>
      <c r="T6126" t="s">
        <v>52</v>
      </c>
      <c r="U6126">
        <v>7</v>
      </c>
      <c r="V6126">
        <v>7</v>
      </c>
    </row>
    <row r="6127" spans="1:22" x14ac:dyDescent="0.3">
      <c r="A6127">
        <v>6126</v>
      </c>
      <c r="B6127">
        <v>56701</v>
      </c>
      <c r="C6127" s="2">
        <v>36915</v>
      </c>
      <c r="D6127">
        <v>24</v>
      </c>
      <c r="E6127" t="s">
        <v>42</v>
      </c>
      <c r="F6127" t="s">
        <v>50</v>
      </c>
      <c r="G6127" s="2">
        <v>45430</v>
      </c>
      <c r="H6127" s="3">
        <f t="shared" si="95"/>
        <v>1.7178082191780821</v>
      </c>
      <c r="I6127">
        <v>111</v>
      </c>
      <c r="J6127" t="s">
        <v>57</v>
      </c>
      <c r="K6127" t="s">
        <v>56</v>
      </c>
      <c r="L6127" t="s">
        <v>44</v>
      </c>
      <c r="M6127">
        <v>8.4700000000000006</v>
      </c>
      <c r="T6127" t="s">
        <v>52</v>
      </c>
      <c r="U6127">
        <v>2</v>
      </c>
      <c r="V6127">
        <v>6</v>
      </c>
    </row>
    <row r="6128" spans="1:22" x14ac:dyDescent="0.3">
      <c r="A6128">
        <v>6127</v>
      </c>
      <c r="B6128">
        <v>56702</v>
      </c>
      <c r="C6128" s="2">
        <v>35564</v>
      </c>
      <c r="D6128">
        <v>28</v>
      </c>
      <c r="E6128" t="s">
        <v>42</v>
      </c>
      <c r="F6128" t="s">
        <v>50</v>
      </c>
      <c r="G6128" s="2">
        <v>45395</v>
      </c>
      <c r="H6128" s="3">
        <f t="shared" si="95"/>
        <v>1.5671232876712329</v>
      </c>
      <c r="I6128">
        <v>111</v>
      </c>
      <c r="J6128" t="s">
        <v>57</v>
      </c>
      <c r="K6128" t="s">
        <v>56</v>
      </c>
      <c r="L6128" t="s">
        <v>44</v>
      </c>
      <c r="M6128">
        <v>8.4700000000000006</v>
      </c>
      <c r="T6128" t="s">
        <v>45</v>
      </c>
      <c r="U6128">
        <v>4</v>
      </c>
      <c r="V6128">
        <v>7</v>
      </c>
    </row>
    <row r="6129" spans="1:22" x14ac:dyDescent="0.3">
      <c r="A6129">
        <v>6128</v>
      </c>
      <c r="B6129">
        <v>56703</v>
      </c>
      <c r="C6129" s="2">
        <v>38020</v>
      </c>
      <c r="D6129">
        <v>21</v>
      </c>
      <c r="E6129" t="s">
        <v>42</v>
      </c>
      <c r="F6129" t="s">
        <v>50</v>
      </c>
      <c r="G6129" s="2">
        <v>45450</v>
      </c>
      <c r="H6129" s="3">
        <f t="shared" si="95"/>
        <v>1.6849315068493151</v>
      </c>
      <c r="I6129">
        <v>111</v>
      </c>
      <c r="J6129" t="s">
        <v>57</v>
      </c>
      <c r="K6129" t="s">
        <v>56</v>
      </c>
      <c r="L6129" t="s">
        <v>44</v>
      </c>
      <c r="M6129">
        <v>8.4700000000000006</v>
      </c>
      <c r="T6129" t="s">
        <v>47</v>
      </c>
      <c r="U6129">
        <v>0</v>
      </c>
      <c r="V6129">
        <v>6</v>
      </c>
    </row>
    <row r="6130" spans="1:22" x14ac:dyDescent="0.3">
      <c r="A6130">
        <v>6129</v>
      </c>
      <c r="B6130">
        <v>56704</v>
      </c>
      <c r="C6130" s="2">
        <v>37338</v>
      </c>
      <c r="D6130">
        <v>23</v>
      </c>
      <c r="E6130" t="s">
        <v>42</v>
      </c>
      <c r="F6130" t="s">
        <v>50</v>
      </c>
      <c r="G6130" s="2">
        <v>45407</v>
      </c>
      <c r="H6130" s="3">
        <f t="shared" si="95"/>
        <v>1.4904109589041097</v>
      </c>
      <c r="I6130">
        <v>111</v>
      </c>
      <c r="J6130" t="s">
        <v>57</v>
      </c>
      <c r="K6130" t="s">
        <v>56</v>
      </c>
      <c r="L6130" t="s">
        <v>44</v>
      </c>
      <c r="M6130">
        <v>8.4700000000000006</v>
      </c>
      <c r="T6130" t="s">
        <v>47</v>
      </c>
      <c r="U6130">
        <v>2</v>
      </c>
      <c r="V6130">
        <v>7</v>
      </c>
    </row>
    <row r="6131" spans="1:22" x14ac:dyDescent="0.3">
      <c r="A6131">
        <v>6130</v>
      </c>
      <c r="B6131">
        <v>56705</v>
      </c>
      <c r="C6131" s="2">
        <v>38109</v>
      </c>
      <c r="D6131">
        <v>21</v>
      </c>
      <c r="E6131" t="s">
        <v>42</v>
      </c>
      <c r="F6131" t="s">
        <v>50</v>
      </c>
      <c r="G6131" s="2">
        <v>45478</v>
      </c>
      <c r="H6131" s="3">
        <f t="shared" si="95"/>
        <v>1.1945205479452055</v>
      </c>
      <c r="I6131">
        <v>111</v>
      </c>
      <c r="J6131" t="s">
        <v>57</v>
      </c>
      <c r="K6131" t="s">
        <v>56</v>
      </c>
      <c r="L6131" t="s">
        <v>44</v>
      </c>
      <c r="M6131">
        <v>8.4700000000000006</v>
      </c>
      <c r="T6131" t="s">
        <v>45</v>
      </c>
      <c r="U6131">
        <v>1</v>
      </c>
      <c r="V6131">
        <v>6</v>
      </c>
    </row>
    <row r="6132" spans="1:22" x14ac:dyDescent="0.3">
      <c r="A6132">
        <v>6131</v>
      </c>
      <c r="B6132">
        <v>56707</v>
      </c>
      <c r="C6132" s="2">
        <v>38653</v>
      </c>
      <c r="D6132">
        <v>20</v>
      </c>
      <c r="E6132" t="s">
        <v>42</v>
      </c>
      <c r="F6132" t="s">
        <v>37</v>
      </c>
      <c r="G6132" s="2">
        <v>45586</v>
      </c>
      <c r="H6132" s="3">
        <f t="shared" si="95"/>
        <v>1.7452054794520548</v>
      </c>
      <c r="I6132">
        <v>111</v>
      </c>
      <c r="J6132" t="s">
        <v>57</v>
      </c>
      <c r="K6132" t="s">
        <v>56</v>
      </c>
      <c r="L6132" t="s">
        <v>44</v>
      </c>
      <c r="M6132">
        <v>8.4700000000000006</v>
      </c>
      <c r="T6132" t="s">
        <v>47</v>
      </c>
      <c r="U6132">
        <v>2</v>
      </c>
      <c r="V6132">
        <v>6</v>
      </c>
    </row>
    <row r="6133" spans="1:22" x14ac:dyDescent="0.3">
      <c r="A6133">
        <v>6132</v>
      </c>
      <c r="B6133">
        <v>56708</v>
      </c>
      <c r="C6133" s="2">
        <v>37782</v>
      </c>
      <c r="D6133">
        <v>22</v>
      </c>
      <c r="E6133" t="s">
        <v>42</v>
      </c>
      <c r="F6133" t="s">
        <v>37</v>
      </c>
      <c r="G6133" s="2">
        <v>45385</v>
      </c>
      <c r="H6133" s="3">
        <f t="shared" si="95"/>
        <v>1.6438356164383561</v>
      </c>
      <c r="I6133">
        <v>111</v>
      </c>
      <c r="J6133" t="s">
        <v>57</v>
      </c>
      <c r="K6133" t="s">
        <v>56</v>
      </c>
      <c r="L6133" t="s">
        <v>44</v>
      </c>
      <c r="M6133">
        <v>8.4700000000000006</v>
      </c>
      <c r="T6133" t="s">
        <v>52</v>
      </c>
      <c r="U6133">
        <v>1</v>
      </c>
      <c r="V6133">
        <v>6</v>
      </c>
    </row>
    <row r="6134" spans="1:22" x14ac:dyDescent="0.3">
      <c r="A6134">
        <v>6133</v>
      </c>
      <c r="B6134">
        <v>56709</v>
      </c>
      <c r="C6134" s="2">
        <v>38335</v>
      </c>
      <c r="D6134">
        <v>21</v>
      </c>
      <c r="E6134" t="s">
        <v>42</v>
      </c>
      <c r="F6134" t="s">
        <v>50</v>
      </c>
      <c r="G6134" s="2">
        <v>45422</v>
      </c>
      <c r="H6134" s="3">
        <f t="shared" si="95"/>
        <v>1.526027397260274</v>
      </c>
      <c r="I6134">
        <v>111</v>
      </c>
      <c r="J6134" t="s">
        <v>57</v>
      </c>
      <c r="K6134" t="s">
        <v>56</v>
      </c>
      <c r="L6134" t="s">
        <v>44</v>
      </c>
      <c r="M6134">
        <v>8.4700000000000006</v>
      </c>
      <c r="T6134" t="s">
        <v>52</v>
      </c>
      <c r="U6134">
        <v>4</v>
      </c>
      <c r="V6134">
        <v>6</v>
      </c>
    </row>
    <row r="6135" spans="1:22" x14ac:dyDescent="0.3">
      <c r="A6135">
        <v>6134</v>
      </c>
      <c r="B6135">
        <v>56710</v>
      </c>
      <c r="C6135" s="2">
        <v>35880</v>
      </c>
      <c r="D6135">
        <v>27</v>
      </c>
      <c r="E6135" t="s">
        <v>36</v>
      </c>
      <c r="F6135" t="s">
        <v>50</v>
      </c>
      <c r="G6135" s="2">
        <v>45465</v>
      </c>
      <c r="H6135" s="3">
        <f t="shared" si="95"/>
        <v>1.5534246575342465</v>
      </c>
      <c r="I6135">
        <v>111</v>
      </c>
      <c r="J6135" t="s">
        <v>57</v>
      </c>
      <c r="K6135" t="s">
        <v>56</v>
      </c>
      <c r="L6135" t="s">
        <v>44</v>
      </c>
      <c r="M6135">
        <v>8.4700000000000006</v>
      </c>
      <c r="T6135" t="s">
        <v>47</v>
      </c>
      <c r="U6135">
        <v>0</v>
      </c>
      <c r="V6135">
        <v>5</v>
      </c>
    </row>
    <row r="6136" spans="1:22" x14ac:dyDescent="0.3">
      <c r="A6136">
        <v>6135</v>
      </c>
      <c r="B6136">
        <v>56711</v>
      </c>
      <c r="C6136" s="2">
        <v>38682</v>
      </c>
      <c r="D6136">
        <v>20</v>
      </c>
      <c r="E6136" t="s">
        <v>36</v>
      </c>
      <c r="F6136" t="s">
        <v>50</v>
      </c>
      <c r="G6136" s="2">
        <v>45455</v>
      </c>
      <c r="H6136" s="3">
        <f t="shared" si="95"/>
        <v>1.1123287671232878</v>
      </c>
      <c r="I6136">
        <v>111</v>
      </c>
      <c r="J6136" t="s">
        <v>57</v>
      </c>
      <c r="K6136" t="s">
        <v>56</v>
      </c>
      <c r="L6136" t="s">
        <v>44</v>
      </c>
      <c r="M6136">
        <v>8.4700000000000006</v>
      </c>
      <c r="T6136" t="s">
        <v>52</v>
      </c>
      <c r="U6136">
        <v>1</v>
      </c>
      <c r="V6136">
        <v>5</v>
      </c>
    </row>
    <row r="6137" spans="1:22" x14ac:dyDescent="0.3">
      <c r="A6137">
        <v>6136</v>
      </c>
      <c r="B6137">
        <v>56712</v>
      </c>
      <c r="C6137" s="2">
        <v>36859</v>
      </c>
      <c r="D6137">
        <v>25</v>
      </c>
      <c r="E6137" t="s">
        <v>42</v>
      </c>
      <c r="F6137" t="s">
        <v>50</v>
      </c>
      <c r="G6137" s="2">
        <v>45616</v>
      </c>
      <c r="H6137" s="3">
        <f t="shared" si="95"/>
        <v>1.5205479452054795</v>
      </c>
      <c r="I6137">
        <v>112</v>
      </c>
      <c r="J6137" t="s">
        <v>57</v>
      </c>
      <c r="K6137" t="s">
        <v>68</v>
      </c>
      <c r="L6137" t="s">
        <v>44</v>
      </c>
      <c r="M6137">
        <v>17</v>
      </c>
      <c r="T6137" t="s">
        <v>52</v>
      </c>
      <c r="U6137">
        <v>3</v>
      </c>
      <c r="V6137">
        <v>6</v>
      </c>
    </row>
    <row r="6138" spans="1:22" x14ac:dyDescent="0.3">
      <c r="A6138">
        <v>6137</v>
      </c>
      <c r="B6138">
        <v>56713</v>
      </c>
      <c r="C6138" s="2">
        <v>36080</v>
      </c>
      <c r="D6138">
        <v>27</v>
      </c>
      <c r="E6138" t="s">
        <v>36</v>
      </c>
      <c r="F6138" t="s">
        <v>50</v>
      </c>
      <c r="G6138" s="2">
        <v>45467</v>
      </c>
      <c r="H6138" s="3">
        <f t="shared" si="95"/>
        <v>1.4383561643835616</v>
      </c>
      <c r="I6138">
        <v>112</v>
      </c>
      <c r="J6138" t="s">
        <v>57</v>
      </c>
      <c r="K6138" t="s">
        <v>65</v>
      </c>
      <c r="L6138" t="s">
        <v>44</v>
      </c>
      <c r="M6138">
        <v>10.64</v>
      </c>
      <c r="T6138" t="s">
        <v>45</v>
      </c>
      <c r="U6138">
        <v>1</v>
      </c>
      <c r="V6138">
        <v>3</v>
      </c>
    </row>
    <row r="6139" spans="1:22" x14ac:dyDescent="0.3">
      <c r="A6139">
        <v>6138</v>
      </c>
      <c r="B6139">
        <v>56714</v>
      </c>
      <c r="C6139" s="2">
        <v>37249</v>
      </c>
      <c r="D6139">
        <v>24</v>
      </c>
      <c r="E6139" t="s">
        <v>42</v>
      </c>
      <c r="F6139" t="s">
        <v>50</v>
      </c>
      <c r="G6139" s="2">
        <v>45497</v>
      </c>
      <c r="H6139" s="3">
        <f t="shared" si="95"/>
        <v>1.7068493150684931</v>
      </c>
      <c r="I6139">
        <v>112</v>
      </c>
      <c r="J6139" t="s">
        <v>57</v>
      </c>
      <c r="K6139" t="s">
        <v>56</v>
      </c>
      <c r="L6139" t="s">
        <v>44</v>
      </c>
      <c r="M6139">
        <v>8.4700000000000006</v>
      </c>
      <c r="T6139" t="s">
        <v>47</v>
      </c>
      <c r="U6139">
        <v>0</v>
      </c>
      <c r="V6139">
        <v>5</v>
      </c>
    </row>
    <row r="6140" spans="1:22" x14ac:dyDescent="0.3">
      <c r="A6140">
        <v>6139</v>
      </c>
      <c r="B6140">
        <v>56715</v>
      </c>
      <c r="C6140" s="2">
        <v>37010</v>
      </c>
      <c r="D6140">
        <v>24</v>
      </c>
      <c r="E6140" t="s">
        <v>42</v>
      </c>
      <c r="F6140" t="s">
        <v>50</v>
      </c>
      <c r="G6140" s="2">
        <v>45399</v>
      </c>
      <c r="H6140" s="3">
        <f t="shared" si="95"/>
        <v>1.273972602739726</v>
      </c>
      <c r="I6140">
        <v>112</v>
      </c>
      <c r="J6140" t="s">
        <v>57</v>
      </c>
      <c r="K6140" t="s">
        <v>56</v>
      </c>
      <c r="L6140" t="s">
        <v>44</v>
      </c>
      <c r="M6140">
        <v>8.4700000000000006</v>
      </c>
      <c r="T6140" t="s">
        <v>45</v>
      </c>
      <c r="U6140">
        <v>2</v>
      </c>
      <c r="V6140">
        <v>6</v>
      </c>
    </row>
    <row r="6141" spans="1:22" x14ac:dyDescent="0.3">
      <c r="A6141">
        <v>6140</v>
      </c>
      <c r="B6141">
        <v>56716</v>
      </c>
      <c r="C6141" s="2">
        <v>37410</v>
      </c>
      <c r="D6141">
        <v>23</v>
      </c>
      <c r="E6141" t="s">
        <v>42</v>
      </c>
      <c r="F6141" t="s">
        <v>50</v>
      </c>
      <c r="G6141" s="2">
        <v>45557</v>
      </c>
      <c r="H6141" s="3">
        <f t="shared" si="95"/>
        <v>1.0575342465753426</v>
      </c>
      <c r="I6141">
        <v>112</v>
      </c>
      <c r="J6141" t="s">
        <v>57</v>
      </c>
      <c r="K6141" t="s">
        <v>56</v>
      </c>
      <c r="L6141" t="s">
        <v>44</v>
      </c>
      <c r="M6141">
        <v>8.4700000000000006</v>
      </c>
      <c r="T6141" t="s">
        <v>52</v>
      </c>
      <c r="U6141">
        <v>4</v>
      </c>
      <c r="V6141">
        <v>7</v>
      </c>
    </row>
    <row r="6142" spans="1:22" x14ac:dyDescent="0.3">
      <c r="A6142">
        <v>6141</v>
      </c>
      <c r="B6142">
        <v>56717</v>
      </c>
      <c r="C6142" s="2">
        <v>38554</v>
      </c>
      <c r="D6142">
        <v>20</v>
      </c>
      <c r="E6142" t="s">
        <v>36</v>
      </c>
      <c r="F6142" t="s">
        <v>50</v>
      </c>
      <c r="G6142" s="2">
        <v>45636</v>
      </c>
      <c r="H6142" s="3">
        <f t="shared" si="95"/>
        <v>1.8054794520547945</v>
      </c>
      <c r="I6142">
        <v>112</v>
      </c>
      <c r="J6142" t="s">
        <v>57</v>
      </c>
      <c r="K6142" t="s">
        <v>56</v>
      </c>
      <c r="L6142" t="s">
        <v>44</v>
      </c>
      <c r="M6142">
        <v>8.4700000000000006</v>
      </c>
      <c r="T6142" t="s">
        <v>49</v>
      </c>
      <c r="U6142">
        <v>2</v>
      </c>
      <c r="V6142">
        <v>5</v>
      </c>
    </row>
    <row r="6143" spans="1:22" x14ac:dyDescent="0.3">
      <c r="A6143">
        <v>6142</v>
      </c>
      <c r="B6143">
        <v>56718</v>
      </c>
      <c r="C6143" s="2">
        <v>37820</v>
      </c>
      <c r="D6143">
        <v>22</v>
      </c>
      <c r="E6143" t="s">
        <v>42</v>
      </c>
      <c r="F6143" t="s">
        <v>50</v>
      </c>
      <c r="G6143" s="2">
        <v>45363</v>
      </c>
      <c r="H6143" s="3">
        <f t="shared" si="95"/>
        <v>1.6931506849315068</v>
      </c>
      <c r="I6143">
        <v>112</v>
      </c>
      <c r="J6143" t="s">
        <v>57</v>
      </c>
      <c r="K6143" t="s">
        <v>56</v>
      </c>
      <c r="L6143" t="s">
        <v>44</v>
      </c>
      <c r="M6143">
        <v>8.4700000000000006</v>
      </c>
      <c r="T6143" t="s">
        <v>49</v>
      </c>
      <c r="U6143">
        <v>1</v>
      </c>
      <c r="V6143">
        <v>4</v>
      </c>
    </row>
    <row r="6144" spans="1:22" x14ac:dyDescent="0.3">
      <c r="A6144">
        <v>6143</v>
      </c>
      <c r="B6144">
        <v>56719</v>
      </c>
      <c r="C6144" s="2">
        <v>37598</v>
      </c>
      <c r="D6144">
        <v>23</v>
      </c>
      <c r="E6144" t="s">
        <v>36</v>
      </c>
      <c r="F6144" t="s">
        <v>50</v>
      </c>
      <c r="G6144" s="2">
        <v>45404</v>
      </c>
      <c r="H6144" s="3">
        <f t="shared" si="95"/>
        <v>1.2794520547945205</v>
      </c>
      <c r="I6144">
        <v>112</v>
      </c>
      <c r="J6144" t="s">
        <v>57</v>
      </c>
      <c r="K6144" t="s">
        <v>56</v>
      </c>
      <c r="L6144" t="s">
        <v>44</v>
      </c>
      <c r="M6144">
        <v>8.4700000000000006</v>
      </c>
      <c r="T6144" t="s">
        <v>52</v>
      </c>
      <c r="U6144">
        <v>2</v>
      </c>
      <c r="V6144">
        <v>4</v>
      </c>
    </row>
    <row r="6145" spans="1:22" x14ac:dyDescent="0.3">
      <c r="A6145">
        <v>6144</v>
      </c>
      <c r="B6145">
        <v>56720</v>
      </c>
      <c r="C6145" s="2">
        <v>38091</v>
      </c>
      <c r="D6145">
        <v>21</v>
      </c>
      <c r="E6145" t="s">
        <v>42</v>
      </c>
      <c r="F6145" t="s">
        <v>50</v>
      </c>
      <c r="G6145" s="2">
        <v>45555</v>
      </c>
      <c r="H6145" s="3">
        <f t="shared" si="95"/>
        <v>1.6630136986301369</v>
      </c>
      <c r="I6145">
        <v>112</v>
      </c>
      <c r="J6145" t="s">
        <v>57</v>
      </c>
      <c r="K6145" t="s">
        <v>56</v>
      </c>
      <c r="L6145" t="s">
        <v>44</v>
      </c>
      <c r="M6145">
        <v>8.4700000000000006</v>
      </c>
      <c r="T6145" t="s">
        <v>47</v>
      </c>
      <c r="U6145">
        <v>3</v>
      </c>
      <c r="V6145">
        <v>7</v>
      </c>
    </row>
    <row r="6146" spans="1:22" x14ac:dyDescent="0.3">
      <c r="A6146">
        <v>6145</v>
      </c>
      <c r="B6146">
        <v>56721</v>
      </c>
      <c r="C6146" s="2">
        <v>39206</v>
      </c>
      <c r="D6146">
        <v>18</v>
      </c>
      <c r="E6146" t="s">
        <v>42</v>
      </c>
      <c r="F6146" t="s">
        <v>50</v>
      </c>
      <c r="G6146" s="2">
        <v>45415</v>
      </c>
      <c r="H6146" s="3">
        <f t="shared" si="95"/>
        <v>1.6219178082191781</v>
      </c>
      <c r="I6146">
        <v>112</v>
      </c>
      <c r="J6146" t="s">
        <v>57</v>
      </c>
      <c r="K6146" t="s">
        <v>56</v>
      </c>
      <c r="L6146" t="s">
        <v>44</v>
      </c>
      <c r="M6146">
        <v>8.4700000000000006</v>
      </c>
      <c r="T6146" t="s">
        <v>45</v>
      </c>
      <c r="U6146">
        <v>3</v>
      </c>
      <c r="V6146">
        <v>6</v>
      </c>
    </row>
    <row r="6147" spans="1:22" x14ac:dyDescent="0.3">
      <c r="A6147">
        <v>6146</v>
      </c>
      <c r="B6147">
        <v>56722</v>
      </c>
      <c r="C6147" s="2">
        <v>38698</v>
      </c>
      <c r="D6147">
        <v>20</v>
      </c>
      <c r="E6147" t="s">
        <v>42</v>
      </c>
      <c r="F6147" t="s">
        <v>50</v>
      </c>
      <c r="G6147" s="2">
        <v>45430</v>
      </c>
      <c r="H6147" s="3">
        <f t="shared" ref="H6147:H6210" si="96">DATEDIF(G6148,DATE(2025,12,31),"d")/365</f>
        <v>1.1726027397260275</v>
      </c>
      <c r="I6147">
        <v>112</v>
      </c>
      <c r="J6147" t="s">
        <v>57</v>
      </c>
      <c r="K6147" t="s">
        <v>56</v>
      </c>
      <c r="L6147" t="s">
        <v>44</v>
      </c>
      <c r="M6147">
        <v>8.4700000000000006</v>
      </c>
      <c r="T6147" t="s">
        <v>49</v>
      </c>
      <c r="U6147">
        <v>4</v>
      </c>
      <c r="V6147">
        <v>7</v>
      </c>
    </row>
    <row r="6148" spans="1:22" x14ac:dyDescent="0.3">
      <c r="A6148">
        <v>6147</v>
      </c>
      <c r="B6148">
        <v>56723</v>
      </c>
      <c r="C6148" s="2">
        <v>38943</v>
      </c>
      <c r="D6148">
        <v>19</v>
      </c>
      <c r="E6148" t="s">
        <v>42</v>
      </c>
      <c r="F6148" t="s">
        <v>50</v>
      </c>
      <c r="G6148" s="2">
        <v>45594</v>
      </c>
      <c r="H6148" s="3">
        <f t="shared" si="96"/>
        <v>1.0027397260273974</v>
      </c>
      <c r="I6148">
        <v>112</v>
      </c>
      <c r="J6148" t="s">
        <v>57</v>
      </c>
      <c r="K6148" t="s">
        <v>56</v>
      </c>
      <c r="L6148" t="s">
        <v>44</v>
      </c>
      <c r="M6148">
        <v>8.4700000000000006</v>
      </c>
      <c r="T6148" t="s">
        <v>45</v>
      </c>
      <c r="U6148">
        <v>2</v>
      </c>
      <c r="V6148">
        <v>6</v>
      </c>
    </row>
    <row r="6149" spans="1:22" x14ac:dyDescent="0.3">
      <c r="A6149">
        <v>6148</v>
      </c>
      <c r="B6149">
        <v>56724</v>
      </c>
      <c r="C6149" s="2">
        <v>36130</v>
      </c>
      <c r="D6149">
        <v>28</v>
      </c>
      <c r="E6149" t="s">
        <v>42</v>
      </c>
      <c r="F6149" t="s">
        <v>50</v>
      </c>
      <c r="G6149" s="2">
        <v>45656</v>
      </c>
      <c r="H6149" s="3">
        <f t="shared" si="96"/>
        <v>1.0602739726027397</v>
      </c>
      <c r="I6149">
        <v>112</v>
      </c>
      <c r="J6149" t="s">
        <v>57</v>
      </c>
      <c r="K6149" t="s">
        <v>56</v>
      </c>
      <c r="L6149" t="s">
        <v>44</v>
      </c>
      <c r="M6149">
        <v>8.4700000000000006</v>
      </c>
      <c r="T6149" t="s">
        <v>45</v>
      </c>
      <c r="U6149">
        <v>2</v>
      </c>
      <c r="V6149">
        <v>5</v>
      </c>
    </row>
    <row r="6150" spans="1:22" x14ac:dyDescent="0.3">
      <c r="A6150">
        <v>6149</v>
      </c>
      <c r="B6150">
        <v>56725</v>
      </c>
      <c r="C6150" s="2">
        <v>35486</v>
      </c>
      <c r="D6150">
        <v>28</v>
      </c>
      <c r="E6150" t="s">
        <v>42</v>
      </c>
      <c r="F6150" t="s">
        <v>50</v>
      </c>
      <c r="G6150" s="2">
        <v>45635</v>
      </c>
      <c r="H6150" s="3">
        <f t="shared" si="96"/>
        <v>1.2602739726027397</v>
      </c>
      <c r="I6150">
        <v>112</v>
      </c>
      <c r="J6150" t="s">
        <v>57</v>
      </c>
      <c r="K6150" t="s">
        <v>56</v>
      </c>
      <c r="L6150" t="s">
        <v>44</v>
      </c>
      <c r="M6150">
        <v>8.4700000000000006</v>
      </c>
      <c r="T6150" t="s">
        <v>45</v>
      </c>
      <c r="U6150">
        <v>4</v>
      </c>
      <c r="V6150">
        <v>6</v>
      </c>
    </row>
    <row r="6151" spans="1:22" x14ac:dyDescent="0.3">
      <c r="A6151">
        <v>6150</v>
      </c>
      <c r="B6151">
        <v>56726</v>
      </c>
      <c r="C6151" s="2">
        <v>38262</v>
      </c>
      <c r="D6151">
        <v>21</v>
      </c>
      <c r="E6151" t="s">
        <v>42</v>
      </c>
      <c r="F6151" t="s">
        <v>37</v>
      </c>
      <c r="G6151" s="2">
        <v>45562</v>
      </c>
      <c r="H6151" s="3">
        <f t="shared" si="96"/>
        <v>1.5123287671232877</v>
      </c>
      <c r="I6151">
        <v>112</v>
      </c>
      <c r="J6151" t="s">
        <v>57</v>
      </c>
      <c r="K6151" t="s">
        <v>56</v>
      </c>
      <c r="L6151" t="s">
        <v>44</v>
      </c>
      <c r="M6151">
        <v>8.4700000000000006</v>
      </c>
      <c r="T6151" t="s">
        <v>45</v>
      </c>
      <c r="U6151">
        <v>2</v>
      </c>
      <c r="V6151">
        <v>5</v>
      </c>
    </row>
    <row r="6152" spans="1:22" x14ac:dyDescent="0.3">
      <c r="A6152">
        <v>6151</v>
      </c>
      <c r="B6152">
        <v>56727</v>
      </c>
      <c r="C6152" s="2">
        <v>35507</v>
      </c>
      <c r="D6152">
        <v>28</v>
      </c>
      <c r="E6152" t="s">
        <v>42</v>
      </c>
      <c r="F6152" t="s">
        <v>50</v>
      </c>
      <c r="G6152" s="2">
        <v>45470</v>
      </c>
      <c r="H6152" s="3">
        <f t="shared" si="96"/>
        <v>1.3698630136986301</v>
      </c>
      <c r="I6152">
        <v>113</v>
      </c>
      <c r="J6152" t="s">
        <v>57</v>
      </c>
      <c r="K6152" t="s">
        <v>68</v>
      </c>
      <c r="L6152" t="s">
        <v>44</v>
      </c>
      <c r="M6152">
        <v>17</v>
      </c>
      <c r="T6152" t="s">
        <v>45</v>
      </c>
      <c r="U6152">
        <v>0</v>
      </c>
      <c r="V6152">
        <v>7</v>
      </c>
    </row>
    <row r="6153" spans="1:22" x14ac:dyDescent="0.3">
      <c r="A6153">
        <v>6152</v>
      </c>
      <c r="B6153">
        <v>56728</v>
      </c>
      <c r="C6153" s="2">
        <v>36769</v>
      </c>
      <c r="D6153">
        <v>25</v>
      </c>
      <c r="E6153" t="s">
        <v>42</v>
      </c>
      <c r="F6153" t="s">
        <v>37</v>
      </c>
      <c r="G6153" s="2">
        <v>45522</v>
      </c>
      <c r="H6153" s="3">
        <f t="shared" si="96"/>
        <v>1.5315068493150685</v>
      </c>
      <c r="I6153">
        <v>113</v>
      </c>
      <c r="J6153" t="s">
        <v>57</v>
      </c>
      <c r="K6153" t="s">
        <v>68</v>
      </c>
      <c r="L6153" t="s">
        <v>44</v>
      </c>
      <c r="M6153">
        <v>17</v>
      </c>
      <c r="T6153" t="s">
        <v>45</v>
      </c>
      <c r="U6153">
        <v>2</v>
      </c>
      <c r="V6153">
        <v>5</v>
      </c>
    </row>
    <row r="6154" spans="1:22" x14ac:dyDescent="0.3">
      <c r="A6154">
        <v>6153</v>
      </c>
      <c r="B6154">
        <v>56729</v>
      </c>
      <c r="C6154" s="2">
        <v>37603</v>
      </c>
      <c r="D6154">
        <v>23</v>
      </c>
      <c r="E6154" t="s">
        <v>36</v>
      </c>
      <c r="F6154" t="s">
        <v>50</v>
      </c>
      <c r="G6154" s="2">
        <v>45463</v>
      </c>
      <c r="H6154" s="3">
        <f t="shared" si="96"/>
        <v>1.0301369863013699</v>
      </c>
      <c r="I6154">
        <v>113</v>
      </c>
      <c r="J6154" t="s">
        <v>57</v>
      </c>
      <c r="K6154" t="s">
        <v>65</v>
      </c>
      <c r="L6154" t="s">
        <v>44</v>
      </c>
      <c r="M6154">
        <v>10.64</v>
      </c>
      <c r="T6154" t="s">
        <v>52</v>
      </c>
      <c r="U6154">
        <v>0</v>
      </c>
      <c r="V6154">
        <v>4</v>
      </c>
    </row>
    <row r="6155" spans="1:22" x14ac:dyDescent="0.3">
      <c r="A6155">
        <v>6154</v>
      </c>
      <c r="B6155">
        <v>56730</v>
      </c>
      <c r="C6155" s="2">
        <v>38487</v>
      </c>
      <c r="D6155">
        <v>20</v>
      </c>
      <c r="E6155" t="s">
        <v>36</v>
      </c>
      <c r="F6155" t="s">
        <v>50</v>
      </c>
      <c r="G6155" s="2">
        <v>45646</v>
      </c>
      <c r="H6155" s="3">
        <f t="shared" si="96"/>
        <v>1.2876712328767124</v>
      </c>
      <c r="I6155">
        <v>113</v>
      </c>
      <c r="J6155" t="s">
        <v>57</v>
      </c>
      <c r="K6155" t="s">
        <v>43</v>
      </c>
      <c r="L6155" t="s">
        <v>44</v>
      </c>
      <c r="M6155">
        <v>16.37</v>
      </c>
      <c r="T6155" t="s">
        <v>45</v>
      </c>
      <c r="U6155">
        <v>1</v>
      </c>
      <c r="V6155">
        <v>6</v>
      </c>
    </row>
    <row r="6156" spans="1:22" x14ac:dyDescent="0.3">
      <c r="A6156">
        <v>6155</v>
      </c>
      <c r="B6156">
        <v>56731</v>
      </c>
      <c r="C6156" s="2">
        <v>35590</v>
      </c>
      <c r="D6156">
        <v>28</v>
      </c>
      <c r="E6156" t="s">
        <v>42</v>
      </c>
      <c r="F6156" t="s">
        <v>37</v>
      </c>
      <c r="G6156" s="2">
        <v>45552</v>
      </c>
      <c r="H6156" s="3">
        <f t="shared" si="96"/>
        <v>1.2246575342465753</v>
      </c>
      <c r="I6156">
        <v>113</v>
      </c>
      <c r="J6156" t="s">
        <v>57</v>
      </c>
      <c r="K6156" t="s">
        <v>48</v>
      </c>
      <c r="L6156" t="s">
        <v>44</v>
      </c>
      <c r="M6156">
        <v>8.4700000000000006</v>
      </c>
      <c r="T6156" t="s">
        <v>52</v>
      </c>
      <c r="U6156">
        <v>1</v>
      </c>
      <c r="V6156">
        <v>5</v>
      </c>
    </row>
    <row r="6157" spans="1:22" x14ac:dyDescent="0.3">
      <c r="A6157">
        <v>6156</v>
      </c>
      <c r="B6157">
        <v>56732</v>
      </c>
      <c r="C6157" s="2">
        <v>38854</v>
      </c>
      <c r="D6157">
        <v>19</v>
      </c>
      <c r="E6157" t="s">
        <v>42</v>
      </c>
      <c r="F6157" t="s">
        <v>50</v>
      </c>
      <c r="G6157" s="2">
        <v>45575</v>
      </c>
      <c r="H6157" s="3">
        <f t="shared" si="96"/>
        <v>1.0301369863013699</v>
      </c>
      <c r="I6157">
        <v>113</v>
      </c>
      <c r="J6157" t="s">
        <v>57</v>
      </c>
      <c r="K6157" t="s">
        <v>48</v>
      </c>
      <c r="L6157" t="s">
        <v>44</v>
      </c>
      <c r="M6157">
        <v>8.4700000000000006</v>
      </c>
      <c r="T6157" t="s">
        <v>47</v>
      </c>
      <c r="U6157">
        <v>2</v>
      </c>
      <c r="V6157">
        <v>5</v>
      </c>
    </row>
    <row r="6158" spans="1:22" x14ac:dyDescent="0.3">
      <c r="A6158">
        <v>6157</v>
      </c>
      <c r="B6158">
        <v>56733</v>
      </c>
      <c r="C6158" s="2">
        <v>35833</v>
      </c>
      <c r="D6158">
        <v>27</v>
      </c>
      <c r="E6158" t="s">
        <v>36</v>
      </c>
      <c r="F6158" t="s">
        <v>50</v>
      </c>
      <c r="G6158" s="2">
        <v>45646</v>
      </c>
      <c r="H6158" s="3">
        <f t="shared" si="96"/>
        <v>1.0520547945205478</v>
      </c>
      <c r="I6158">
        <v>113</v>
      </c>
      <c r="J6158" t="s">
        <v>57</v>
      </c>
      <c r="K6158" t="s">
        <v>55</v>
      </c>
      <c r="L6158" t="s">
        <v>44</v>
      </c>
      <c r="M6158">
        <v>17.59</v>
      </c>
      <c r="T6158" t="s">
        <v>49</v>
      </c>
      <c r="U6158">
        <v>2</v>
      </c>
      <c r="V6158">
        <v>5</v>
      </c>
    </row>
    <row r="6159" spans="1:22" x14ac:dyDescent="0.3">
      <c r="A6159">
        <v>6158</v>
      </c>
      <c r="B6159">
        <v>56734</v>
      </c>
      <c r="C6159" s="2">
        <v>37967</v>
      </c>
      <c r="D6159">
        <v>22</v>
      </c>
      <c r="E6159" t="s">
        <v>42</v>
      </c>
      <c r="F6159" t="s">
        <v>50</v>
      </c>
      <c r="G6159" s="2">
        <v>45638</v>
      </c>
      <c r="H6159" s="3">
        <f t="shared" si="96"/>
        <v>1.3041095890410959</v>
      </c>
      <c r="I6159">
        <v>113</v>
      </c>
      <c r="J6159" t="s">
        <v>57</v>
      </c>
      <c r="K6159" t="s">
        <v>56</v>
      </c>
      <c r="L6159" t="s">
        <v>44</v>
      </c>
      <c r="M6159">
        <v>8.4700000000000006</v>
      </c>
      <c r="T6159" t="s">
        <v>52</v>
      </c>
      <c r="U6159">
        <v>4</v>
      </c>
      <c r="V6159">
        <v>7</v>
      </c>
    </row>
    <row r="6160" spans="1:22" x14ac:dyDescent="0.3">
      <c r="A6160">
        <v>6159</v>
      </c>
      <c r="B6160">
        <v>56735</v>
      </c>
      <c r="C6160" s="2">
        <v>35878</v>
      </c>
      <c r="D6160">
        <v>27</v>
      </c>
      <c r="E6160" t="s">
        <v>42</v>
      </c>
      <c r="F6160" t="s">
        <v>50</v>
      </c>
      <c r="G6160" s="2">
        <v>45546</v>
      </c>
      <c r="H6160" s="3">
        <f t="shared" si="96"/>
        <v>1.3123287671232877</v>
      </c>
      <c r="I6160">
        <v>113</v>
      </c>
      <c r="J6160" t="s">
        <v>57</v>
      </c>
      <c r="K6160" t="s">
        <v>56</v>
      </c>
      <c r="L6160" t="s">
        <v>44</v>
      </c>
      <c r="M6160">
        <v>8.4700000000000006</v>
      </c>
      <c r="T6160" t="s">
        <v>45</v>
      </c>
      <c r="U6160">
        <v>2</v>
      </c>
      <c r="V6160">
        <v>6</v>
      </c>
    </row>
    <row r="6161" spans="1:22" x14ac:dyDescent="0.3">
      <c r="A6161">
        <v>6160</v>
      </c>
      <c r="B6161">
        <v>56736</v>
      </c>
      <c r="C6161" s="2">
        <v>39445</v>
      </c>
      <c r="D6161">
        <v>18</v>
      </c>
      <c r="E6161" t="s">
        <v>42</v>
      </c>
      <c r="F6161" t="s">
        <v>50</v>
      </c>
      <c r="G6161" s="2">
        <v>45543</v>
      </c>
      <c r="H6161" s="3">
        <f t="shared" si="96"/>
        <v>1.0383561643835617</v>
      </c>
      <c r="I6161">
        <v>113</v>
      </c>
      <c r="J6161" t="s">
        <v>57</v>
      </c>
      <c r="K6161" t="s">
        <v>56</v>
      </c>
      <c r="L6161" t="s">
        <v>44</v>
      </c>
      <c r="M6161">
        <v>8.4700000000000006</v>
      </c>
      <c r="T6161" t="s">
        <v>49</v>
      </c>
      <c r="U6161">
        <v>0</v>
      </c>
      <c r="V6161">
        <v>5</v>
      </c>
    </row>
    <row r="6162" spans="1:22" x14ac:dyDescent="0.3">
      <c r="A6162">
        <v>6161</v>
      </c>
      <c r="B6162">
        <v>56737</v>
      </c>
      <c r="C6162" s="2">
        <v>37754</v>
      </c>
      <c r="D6162">
        <v>22</v>
      </c>
      <c r="E6162" t="s">
        <v>42</v>
      </c>
      <c r="F6162" t="s">
        <v>50</v>
      </c>
      <c r="G6162" s="2">
        <v>45643</v>
      </c>
      <c r="H6162" s="3">
        <f t="shared" si="96"/>
        <v>1.9095890410958904</v>
      </c>
      <c r="I6162">
        <v>113</v>
      </c>
      <c r="J6162" t="s">
        <v>57</v>
      </c>
      <c r="K6162" t="s">
        <v>56</v>
      </c>
      <c r="L6162" t="s">
        <v>44</v>
      </c>
      <c r="M6162">
        <v>8.4700000000000006</v>
      </c>
      <c r="T6162" t="s">
        <v>49</v>
      </c>
      <c r="U6162">
        <v>4</v>
      </c>
      <c r="V6162">
        <v>5</v>
      </c>
    </row>
    <row r="6163" spans="1:22" x14ac:dyDescent="0.3">
      <c r="A6163">
        <v>6162</v>
      </c>
      <c r="B6163">
        <v>56738</v>
      </c>
      <c r="C6163" s="2">
        <v>37765</v>
      </c>
      <c r="D6163">
        <v>22</v>
      </c>
      <c r="E6163" t="s">
        <v>42</v>
      </c>
      <c r="F6163" t="s">
        <v>50</v>
      </c>
      <c r="G6163" s="2">
        <v>45325</v>
      </c>
      <c r="H6163" s="3">
        <f t="shared" si="96"/>
        <v>1.463013698630137</v>
      </c>
      <c r="I6163">
        <v>113</v>
      </c>
      <c r="J6163" t="s">
        <v>57</v>
      </c>
      <c r="K6163" t="s">
        <v>56</v>
      </c>
      <c r="L6163" t="s">
        <v>44</v>
      </c>
      <c r="M6163">
        <v>8.4700000000000006</v>
      </c>
      <c r="T6163" t="s">
        <v>47</v>
      </c>
      <c r="U6163">
        <v>2</v>
      </c>
      <c r="V6163">
        <v>5</v>
      </c>
    </row>
    <row r="6164" spans="1:22" x14ac:dyDescent="0.3">
      <c r="A6164">
        <v>6163</v>
      </c>
      <c r="B6164">
        <v>56739</v>
      </c>
      <c r="C6164" s="2">
        <v>38518</v>
      </c>
      <c r="D6164">
        <v>20</v>
      </c>
      <c r="E6164" t="s">
        <v>42</v>
      </c>
      <c r="F6164" t="s">
        <v>50</v>
      </c>
      <c r="G6164" s="2">
        <v>45488</v>
      </c>
      <c r="H6164" s="3">
        <f t="shared" si="96"/>
        <v>1.3890410958904109</v>
      </c>
      <c r="I6164">
        <v>113</v>
      </c>
      <c r="J6164" t="s">
        <v>57</v>
      </c>
      <c r="K6164" t="s">
        <v>56</v>
      </c>
      <c r="L6164" t="s">
        <v>44</v>
      </c>
      <c r="M6164">
        <v>8.4700000000000006</v>
      </c>
      <c r="T6164" t="s">
        <v>49</v>
      </c>
      <c r="U6164">
        <v>2</v>
      </c>
      <c r="V6164">
        <v>7</v>
      </c>
    </row>
    <row r="6165" spans="1:22" x14ac:dyDescent="0.3">
      <c r="A6165">
        <v>6164</v>
      </c>
      <c r="B6165">
        <v>56741</v>
      </c>
      <c r="C6165" s="2">
        <v>37968</v>
      </c>
      <c r="D6165">
        <v>22</v>
      </c>
      <c r="E6165" t="s">
        <v>42</v>
      </c>
      <c r="F6165" t="s">
        <v>50</v>
      </c>
      <c r="G6165" s="2">
        <v>45515</v>
      </c>
      <c r="H6165" s="3">
        <f t="shared" si="96"/>
        <v>1.2</v>
      </c>
      <c r="I6165">
        <v>113</v>
      </c>
      <c r="J6165" t="s">
        <v>57</v>
      </c>
      <c r="K6165" t="s">
        <v>56</v>
      </c>
      <c r="L6165" t="s">
        <v>44</v>
      </c>
      <c r="M6165">
        <v>8.4700000000000006</v>
      </c>
      <c r="T6165" t="s">
        <v>47</v>
      </c>
      <c r="U6165">
        <v>2</v>
      </c>
      <c r="V6165">
        <v>7</v>
      </c>
    </row>
    <row r="6166" spans="1:22" x14ac:dyDescent="0.3">
      <c r="A6166">
        <v>6165</v>
      </c>
      <c r="B6166">
        <v>56742</v>
      </c>
      <c r="C6166" s="2">
        <v>38461</v>
      </c>
      <c r="D6166">
        <v>20</v>
      </c>
      <c r="E6166" t="s">
        <v>42</v>
      </c>
      <c r="F6166" t="s">
        <v>50</v>
      </c>
      <c r="G6166" s="2">
        <v>45584</v>
      </c>
      <c r="H6166" s="3">
        <f t="shared" si="96"/>
        <v>1.558904109589041</v>
      </c>
      <c r="I6166">
        <v>113</v>
      </c>
      <c r="J6166" t="s">
        <v>57</v>
      </c>
      <c r="K6166" t="s">
        <v>56</v>
      </c>
      <c r="L6166" t="s">
        <v>44</v>
      </c>
      <c r="M6166">
        <v>8.4700000000000006</v>
      </c>
      <c r="T6166" t="s">
        <v>45</v>
      </c>
      <c r="U6166">
        <v>3</v>
      </c>
      <c r="V6166">
        <v>7</v>
      </c>
    </row>
    <row r="6167" spans="1:22" x14ac:dyDescent="0.3">
      <c r="A6167">
        <v>6166</v>
      </c>
      <c r="B6167">
        <v>56743</v>
      </c>
      <c r="C6167" s="2">
        <v>38768</v>
      </c>
      <c r="D6167">
        <v>19</v>
      </c>
      <c r="E6167" t="s">
        <v>42</v>
      </c>
      <c r="F6167" t="s">
        <v>50</v>
      </c>
      <c r="G6167" s="2">
        <v>45453</v>
      </c>
      <c r="H6167" s="3">
        <f t="shared" si="96"/>
        <v>1.5808219178082192</v>
      </c>
      <c r="I6167">
        <v>113</v>
      </c>
      <c r="J6167" t="s">
        <v>57</v>
      </c>
      <c r="K6167" t="s">
        <v>56</v>
      </c>
      <c r="L6167" t="s">
        <v>44</v>
      </c>
      <c r="M6167">
        <v>8.4700000000000006</v>
      </c>
      <c r="T6167" t="s">
        <v>52</v>
      </c>
      <c r="U6167">
        <v>2</v>
      </c>
      <c r="V6167">
        <v>6</v>
      </c>
    </row>
    <row r="6168" spans="1:22" x14ac:dyDescent="0.3">
      <c r="A6168">
        <v>6167</v>
      </c>
      <c r="B6168">
        <v>56744</v>
      </c>
      <c r="C6168" s="2">
        <v>38129</v>
      </c>
      <c r="D6168">
        <v>21</v>
      </c>
      <c r="E6168" t="s">
        <v>42</v>
      </c>
      <c r="F6168" t="s">
        <v>50</v>
      </c>
      <c r="G6168" s="2">
        <v>45445</v>
      </c>
      <c r="H6168" s="3">
        <f t="shared" si="96"/>
        <v>1.2712328767123289</v>
      </c>
      <c r="I6168">
        <v>113</v>
      </c>
      <c r="J6168" t="s">
        <v>57</v>
      </c>
      <c r="K6168" t="s">
        <v>56</v>
      </c>
      <c r="L6168" t="s">
        <v>44</v>
      </c>
      <c r="M6168">
        <v>8.4700000000000006</v>
      </c>
      <c r="T6168" t="s">
        <v>47</v>
      </c>
      <c r="U6168">
        <v>1</v>
      </c>
      <c r="V6168">
        <v>6</v>
      </c>
    </row>
    <row r="6169" spans="1:22" x14ac:dyDescent="0.3">
      <c r="A6169">
        <v>6168</v>
      </c>
      <c r="B6169">
        <v>56745</v>
      </c>
      <c r="C6169" s="2">
        <v>39293</v>
      </c>
      <c r="D6169">
        <v>18</v>
      </c>
      <c r="E6169" t="s">
        <v>42</v>
      </c>
      <c r="F6169" t="s">
        <v>50</v>
      </c>
      <c r="G6169" s="2">
        <v>45558</v>
      </c>
      <c r="H6169" s="3">
        <f t="shared" si="96"/>
        <v>1.1260273972602739</v>
      </c>
      <c r="I6169">
        <v>113</v>
      </c>
      <c r="J6169" t="s">
        <v>57</v>
      </c>
      <c r="K6169" t="s">
        <v>56</v>
      </c>
      <c r="L6169" t="s">
        <v>44</v>
      </c>
      <c r="M6169">
        <v>8.4700000000000006</v>
      </c>
      <c r="T6169" t="s">
        <v>47</v>
      </c>
      <c r="U6169">
        <v>0</v>
      </c>
      <c r="V6169">
        <v>5</v>
      </c>
    </row>
    <row r="6170" spans="1:22" x14ac:dyDescent="0.3">
      <c r="A6170">
        <v>6169</v>
      </c>
      <c r="B6170">
        <v>56746</v>
      </c>
      <c r="C6170" s="2">
        <v>37287</v>
      </c>
      <c r="D6170">
        <v>23</v>
      </c>
      <c r="E6170" t="s">
        <v>42</v>
      </c>
      <c r="F6170" t="s">
        <v>50</v>
      </c>
      <c r="G6170" s="2">
        <v>45611</v>
      </c>
      <c r="H6170" s="3">
        <f t="shared" si="96"/>
        <v>1.5616438356164384</v>
      </c>
      <c r="I6170">
        <v>114</v>
      </c>
      <c r="J6170" t="s">
        <v>57</v>
      </c>
      <c r="K6170" t="s">
        <v>68</v>
      </c>
      <c r="L6170" t="s">
        <v>44</v>
      </c>
      <c r="M6170">
        <v>17</v>
      </c>
      <c r="T6170" t="s">
        <v>49</v>
      </c>
      <c r="U6170">
        <v>2</v>
      </c>
      <c r="V6170">
        <v>7</v>
      </c>
    </row>
    <row r="6171" spans="1:22" x14ac:dyDescent="0.3">
      <c r="A6171">
        <v>6170</v>
      </c>
      <c r="B6171">
        <v>56747</v>
      </c>
      <c r="C6171" s="2">
        <v>36221</v>
      </c>
      <c r="D6171">
        <v>26</v>
      </c>
      <c r="E6171" t="s">
        <v>36</v>
      </c>
      <c r="F6171" t="s">
        <v>50</v>
      </c>
      <c r="G6171" s="2">
        <v>45452</v>
      </c>
      <c r="H6171" s="3">
        <f t="shared" si="96"/>
        <v>1.5452054794520549</v>
      </c>
      <c r="I6171">
        <v>114</v>
      </c>
      <c r="J6171" t="s">
        <v>57</v>
      </c>
      <c r="K6171" t="s">
        <v>68</v>
      </c>
      <c r="L6171" t="s">
        <v>44</v>
      </c>
      <c r="M6171">
        <v>17</v>
      </c>
      <c r="T6171" t="s">
        <v>47</v>
      </c>
      <c r="U6171">
        <v>4</v>
      </c>
      <c r="V6171">
        <v>4</v>
      </c>
    </row>
    <row r="6172" spans="1:22" x14ac:dyDescent="0.3">
      <c r="A6172">
        <v>6171</v>
      </c>
      <c r="B6172">
        <v>56748</v>
      </c>
      <c r="C6172" s="2">
        <v>39405</v>
      </c>
      <c r="D6172">
        <v>18</v>
      </c>
      <c r="E6172" t="s">
        <v>42</v>
      </c>
      <c r="F6172" t="s">
        <v>37</v>
      </c>
      <c r="G6172" s="2">
        <v>45458</v>
      </c>
      <c r="H6172" s="3">
        <f t="shared" si="96"/>
        <v>1.8164383561643835</v>
      </c>
      <c r="I6172">
        <v>114</v>
      </c>
      <c r="J6172" t="s">
        <v>57</v>
      </c>
      <c r="K6172" t="s">
        <v>56</v>
      </c>
      <c r="L6172" t="s">
        <v>44</v>
      </c>
      <c r="M6172">
        <v>8.4700000000000006</v>
      </c>
      <c r="T6172" t="s">
        <v>45</v>
      </c>
      <c r="U6172">
        <v>2</v>
      </c>
      <c r="V6172">
        <v>4</v>
      </c>
    </row>
    <row r="6173" spans="1:22" x14ac:dyDescent="0.3">
      <c r="A6173">
        <v>6172</v>
      </c>
      <c r="B6173">
        <v>56750</v>
      </c>
      <c r="C6173" s="2">
        <v>37863</v>
      </c>
      <c r="D6173">
        <v>22</v>
      </c>
      <c r="E6173" t="s">
        <v>42</v>
      </c>
      <c r="F6173" t="s">
        <v>37</v>
      </c>
      <c r="G6173" s="2">
        <v>45359</v>
      </c>
      <c r="H6173" s="3">
        <f t="shared" si="96"/>
        <v>1.6767123287671233</v>
      </c>
      <c r="I6173">
        <v>114</v>
      </c>
      <c r="J6173" t="s">
        <v>57</v>
      </c>
      <c r="K6173" t="s">
        <v>56</v>
      </c>
      <c r="L6173" t="s">
        <v>44</v>
      </c>
      <c r="M6173">
        <v>8.4700000000000006</v>
      </c>
      <c r="T6173" t="s">
        <v>52</v>
      </c>
      <c r="U6173">
        <v>3</v>
      </c>
      <c r="V6173">
        <v>6</v>
      </c>
    </row>
    <row r="6174" spans="1:22" x14ac:dyDescent="0.3">
      <c r="A6174">
        <v>6173</v>
      </c>
      <c r="B6174">
        <v>56753</v>
      </c>
      <c r="C6174" s="2">
        <v>36778</v>
      </c>
      <c r="D6174">
        <v>25</v>
      </c>
      <c r="E6174" t="s">
        <v>42</v>
      </c>
      <c r="F6174" t="s">
        <v>50</v>
      </c>
      <c r="G6174" s="2">
        <v>45410</v>
      </c>
      <c r="H6174" s="3">
        <f t="shared" si="96"/>
        <v>1.7315068493150685</v>
      </c>
      <c r="I6174">
        <v>115</v>
      </c>
      <c r="J6174" t="s">
        <v>57</v>
      </c>
      <c r="K6174" t="s">
        <v>68</v>
      </c>
      <c r="L6174" t="s">
        <v>44</v>
      </c>
      <c r="M6174">
        <v>17</v>
      </c>
      <c r="T6174" t="s">
        <v>49</v>
      </c>
      <c r="U6174">
        <v>2</v>
      </c>
      <c r="V6174">
        <v>6</v>
      </c>
    </row>
    <row r="6175" spans="1:22" x14ac:dyDescent="0.3">
      <c r="A6175">
        <v>6174</v>
      </c>
      <c r="B6175">
        <v>56754</v>
      </c>
      <c r="C6175" s="2">
        <v>35612</v>
      </c>
      <c r="D6175">
        <v>29</v>
      </c>
      <c r="E6175" t="s">
        <v>42</v>
      </c>
      <c r="F6175" t="s">
        <v>37</v>
      </c>
      <c r="G6175" s="2">
        <v>45390</v>
      </c>
      <c r="H6175" s="3">
        <f t="shared" si="96"/>
        <v>1.1178082191780823</v>
      </c>
      <c r="I6175">
        <v>115</v>
      </c>
      <c r="J6175" t="s">
        <v>57</v>
      </c>
      <c r="K6175" t="s">
        <v>68</v>
      </c>
      <c r="L6175" t="s">
        <v>44</v>
      </c>
      <c r="M6175">
        <v>17</v>
      </c>
      <c r="T6175" t="s">
        <v>45</v>
      </c>
      <c r="U6175">
        <v>2</v>
      </c>
      <c r="V6175">
        <v>5</v>
      </c>
    </row>
    <row r="6176" spans="1:22" x14ac:dyDescent="0.3">
      <c r="A6176">
        <v>6175</v>
      </c>
      <c r="B6176">
        <v>56755</v>
      </c>
      <c r="C6176" s="2">
        <v>38694</v>
      </c>
      <c r="D6176">
        <v>20</v>
      </c>
      <c r="E6176" t="s">
        <v>42</v>
      </c>
      <c r="F6176" t="s">
        <v>50</v>
      </c>
      <c r="G6176" s="2">
        <v>45614</v>
      </c>
      <c r="H6176" s="3">
        <f t="shared" si="96"/>
        <v>1.3068493150684932</v>
      </c>
      <c r="I6176">
        <v>115</v>
      </c>
      <c r="J6176" t="s">
        <v>57</v>
      </c>
      <c r="K6176" t="s">
        <v>65</v>
      </c>
      <c r="L6176" t="s">
        <v>44</v>
      </c>
      <c r="M6176">
        <v>10.64</v>
      </c>
      <c r="T6176" t="s">
        <v>49</v>
      </c>
      <c r="U6176">
        <v>0</v>
      </c>
      <c r="V6176">
        <v>6</v>
      </c>
    </row>
    <row r="6177" spans="1:22" x14ac:dyDescent="0.3">
      <c r="A6177">
        <v>6176</v>
      </c>
      <c r="B6177">
        <v>56756</v>
      </c>
      <c r="C6177" s="2">
        <v>38146</v>
      </c>
      <c r="D6177">
        <v>21</v>
      </c>
      <c r="E6177" t="s">
        <v>42</v>
      </c>
      <c r="F6177" t="s">
        <v>50</v>
      </c>
      <c r="G6177" s="2">
        <v>45545</v>
      </c>
      <c r="H6177" s="3">
        <f t="shared" si="96"/>
        <v>1.7534246575342465</v>
      </c>
      <c r="I6177">
        <v>115</v>
      </c>
      <c r="J6177" t="s">
        <v>57</v>
      </c>
      <c r="K6177" t="s">
        <v>56</v>
      </c>
      <c r="L6177" t="s">
        <v>44</v>
      </c>
      <c r="M6177">
        <v>8.4700000000000006</v>
      </c>
      <c r="T6177" t="s">
        <v>45</v>
      </c>
      <c r="U6177">
        <v>4</v>
      </c>
      <c r="V6177">
        <v>7</v>
      </c>
    </row>
    <row r="6178" spans="1:22" x14ac:dyDescent="0.3">
      <c r="A6178">
        <v>6177</v>
      </c>
      <c r="B6178">
        <v>56757</v>
      </c>
      <c r="C6178" s="2">
        <v>34139</v>
      </c>
      <c r="D6178">
        <v>32</v>
      </c>
      <c r="E6178" t="s">
        <v>42</v>
      </c>
      <c r="F6178" t="s">
        <v>50</v>
      </c>
      <c r="G6178" s="2">
        <v>45382</v>
      </c>
      <c r="H6178" s="3">
        <f t="shared" si="96"/>
        <v>1.0027397260273974</v>
      </c>
      <c r="I6178">
        <v>115</v>
      </c>
      <c r="J6178" t="s">
        <v>57</v>
      </c>
      <c r="K6178" t="s">
        <v>56</v>
      </c>
      <c r="L6178" t="s">
        <v>44</v>
      </c>
      <c r="M6178">
        <v>8.4700000000000006</v>
      </c>
      <c r="T6178" t="s">
        <v>52</v>
      </c>
      <c r="U6178">
        <v>2</v>
      </c>
      <c r="V6178">
        <v>7</v>
      </c>
    </row>
    <row r="6179" spans="1:22" x14ac:dyDescent="0.3">
      <c r="A6179">
        <v>6178</v>
      </c>
      <c r="B6179">
        <v>56758</v>
      </c>
      <c r="C6179" s="2">
        <v>38917</v>
      </c>
      <c r="D6179">
        <v>19</v>
      </c>
      <c r="E6179" t="s">
        <v>42</v>
      </c>
      <c r="F6179" t="s">
        <v>50</v>
      </c>
      <c r="G6179" s="2">
        <v>45656</v>
      </c>
      <c r="H6179" s="3">
        <f t="shared" si="96"/>
        <v>1.0876712328767124</v>
      </c>
      <c r="I6179">
        <v>115</v>
      </c>
      <c r="J6179" t="s">
        <v>57</v>
      </c>
      <c r="K6179" t="s">
        <v>56</v>
      </c>
      <c r="L6179" t="s">
        <v>44</v>
      </c>
      <c r="M6179">
        <v>8.4700000000000006</v>
      </c>
      <c r="T6179" t="s">
        <v>45</v>
      </c>
      <c r="U6179">
        <v>0</v>
      </c>
      <c r="V6179">
        <v>6</v>
      </c>
    </row>
    <row r="6180" spans="1:22" x14ac:dyDescent="0.3">
      <c r="A6180">
        <v>6179</v>
      </c>
      <c r="B6180">
        <v>56759</v>
      </c>
      <c r="C6180" s="2">
        <v>38045</v>
      </c>
      <c r="D6180">
        <v>21</v>
      </c>
      <c r="E6180" t="s">
        <v>42</v>
      </c>
      <c r="F6180" t="s">
        <v>37</v>
      </c>
      <c r="G6180" s="2">
        <v>45625</v>
      </c>
      <c r="H6180" s="3">
        <f t="shared" si="96"/>
        <v>1.7863013698630137</v>
      </c>
      <c r="I6180">
        <v>115</v>
      </c>
      <c r="J6180" t="s">
        <v>57</v>
      </c>
      <c r="K6180" t="s">
        <v>56</v>
      </c>
      <c r="L6180" t="s">
        <v>44</v>
      </c>
      <c r="M6180">
        <v>8.4700000000000006</v>
      </c>
      <c r="T6180" t="s">
        <v>52</v>
      </c>
      <c r="U6180">
        <v>1</v>
      </c>
      <c r="V6180">
        <v>5</v>
      </c>
    </row>
    <row r="6181" spans="1:22" x14ac:dyDescent="0.3">
      <c r="A6181">
        <v>6180</v>
      </c>
      <c r="B6181">
        <v>56760</v>
      </c>
      <c r="C6181" s="2">
        <v>37026</v>
      </c>
      <c r="D6181">
        <v>24</v>
      </c>
      <c r="E6181" t="s">
        <v>42</v>
      </c>
      <c r="F6181" t="s">
        <v>50</v>
      </c>
      <c r="G6181" s="2">
        <v>45370</v>
      </c>
      <c r="H6181" s="3">
        <f t="shared" si="96"/>
        <v>1.1178082191780823</v>
      </c>
      <c r="I6181">
        <v>115</v>
      </c>
      <c r="J6181" t="s">
        <v>57</v>
      </c>
      <c r="K6181" t="s">
        <v>56</v>
      </c>
      <c r="L6181" t="s">
        <v>44</v>
      </c>
      <c r="M6181">
        <v>8.4700000000000006</v>
      </c>
      <c r="T6181" t="s">
        <v>47</v>
      </c>
      <c r="U6181">
        <v>1</v>
      </c>
      <c r="V6181">
        <v>6</v>
      </c>
    </row>
    <row r="6182" spans="1:22" x14ac:dyDescent="0.3">
      <c r="A6182">
        <v>6181</v>
      </c>
      <c r="B6182">
        <v>56761</v>
      </c>
      <c r="C6182" s="2">
        <v>34315</v>
      </c>
      <c r="D6182">
        <v>32</v>
      </c>
      <c r="E6182" t="s">
        <v>42</v>
      </c>
      <c r="F6182" t="s">
        <v>50</v>
      </c>
      <c r="G6182" s="2">
        <v>45614</v>
      </c>
      <c r="H6182" s="3">
        <f t="shared" si="96"/>
        <v>1.6657534246575343</v>
      </c>
      <c r="I6182">
        <v>115</v>
      </c>
      <c r="J6182" t="s">
        <v>57</v>
      </c>
      <c r="K6182" t="s">
        <v>56</v>
      </c>
      <c r="L6182" t="s">
        <v>44</v>
      </c>
      <c r="M6182">
        <v>8.4700000000000006</v>
      </c>
      <c r="T6182" t="s">
        <v>45</v>
      </c>
      <c r="U6182">
        <v>2</v>
      </c>
      <c r="V6182">
        <v>6</v>
      </c>
    </row>
    <row r="6183" spans="1:22" x14ac:dyDescent="0.3">
      <c r="A6183">
        <v>6182</v>
      </c>
      <c r="B6183">
        <v>56762</v>
      </c>
      <c r="C6183" s="2">
        <v>37080</v>
      </c>
      <c r="D6183">
        <v>24</v>
      </c>
      <c r="E6183" t="s">
        <v>42</v>
      </c>
      <c r="F6183" t="s">
        <v>37</v>
      </c>
      <c r="G6183" s="2">
        <v>45414</v>
      </c>
      <c r="H6183" s="3">
        <f t="shared" si="96"/>
        <v>1.0602739726027397</v>
      </c>
      <c r="I6183">
        <v>115</v>
      </c>
      <c r="J6183" t="s">
        <v>57</v>
      </c>
      <c r="K6183" t="s">
        <v>56</v>
      </c>
      <c r="L6183" t="s">
        <v>44</v>
      </c>
      <c r="M6183">
        <v>8.4700000000000006</v>
      </c>
      <c r="T6183" t="s">
        <v>52</v>
      </c>
      <c r="U6183">
        <v>2</v>
      </c>
      <c r="V6183">
        <v>6</v>
      </c>
    </row>
    <row r="6184" spans="1:22" x14ac:dyDescent="0.3">
      <c r="A6184">
        <v>6183</v>
      </c>
      <c r="B6184">
        <v>56763</v>
      </c>
      <c r="C6184" s="2">
        <v>38547</v>
      </c>
      <c r="D6184">
        <v>20</v>
      </c>
      <c r="E6184" t="s">
        <v>42</v>
      </c>
      <c r="F6184" t="s">
        <v>50</v>
      </c>
      <c r="G6184" s="2">
        <v>45635</v>
      </c>
      <c r="H6184" s="3">
        <f t="shared" si="96"/>
        <v>1.1205479452054794</v>
      </c>
      <c r="I6184">
        <v>115</v>
      </c>
      <c r="J6184" t="s">
        <v>57</v>
      </c>
      <c r="K6184" t="s">
        <v>56</v>
      </c>
      <c r="L6184" t="s">
        <v>44</v>
      </c>
      <c r="M6184">
        <v>8.4700000000000006</v>
      </c>
      <c r="T6184" t="s">
        <v>49</v>
      </c>
      <c r="U6184">
        <v>0</v>
      </c>
      <c r="V6184">
        <v>5</v>
      </c>
    </row>
    <row r="6185" spans="1:22" x14ac:dyDescent="0.3">
      <c r="A6185">
        <v>6184</v>
      </c>
      <c r="B6185">
        <v>56764</v>
      </c>
      <c r="C6185" s="2">
        <v>36578</v>
      </c>
      <c r="D6185">
        <v>25</v>
      </c>
      <c r="E6185" t="s">
        <v>36</v>
      </c>
      <c r="F6185" t="s">
        <v>50</v>
      </c>
      <c r="G6185" s="2">
        <v>45613</v>
      </c>
      <c r="H6185" s="3">
        <f t="shared" si="96"/>
        <v>1.704109589041096</v>
      </c>
      <c r="I6185">
        <v>115</v>
      </c>
      <c r="J6185" t="s">
        <v>57</v>
      </c>
      <c r="K6185" t="s">
        <v>56</v>
      </c>
      <c r="L6185" t="s">
        <v>44</v>
      </c>
      <c r="M6185">
        <v>8.4700000000000006</v>
      </c>
      <c r="T6185" t="s">
        <v>47</v>
      </c>
      <c r="U6185">
        <v>4</v>
      </c>
      <c r="V6185">
        <v>4</v>
      </c>
    </row>
    <row r="6186" spans="1:22" x14ac:dyDescent="0.3">
      <c r="A6186">
        <v>6185</v>
      </c>
      <c r="B6186">
        <v>56765</v>
      </c>
      <c r="C6186" s="2">
        <v>36897</v>
      </c>
      <c r="D6186">
        <v>24</v>
      </c>
      <c r="E6186" t="s">
        <v>42</v>
      </c>
      <c r="F6186" t="s">
        <v>50</v>
      </c>
      <c r="G6186" s="2">
        <v>45400</v>
      </c>
      <c r="H6186" s="3">
        <f t="shared" si="96"/>
        <v>1.7643835616438357</v>
      </c>
      <c r="I6186">
        <v>115</v>
      </c>
      <c r="J6186" t="s">
        <v>57</v>
      </c>
      <c r="K6186" t="s">
        <v>56</v>
      </c>
      <c r="L6186" t="s">
        <v>44</v>
      </c>
      <c r="M6186">
        <v>8.4700000000000006</v>
      </c>
      <c r="T6186" t="s">
        <v>52</v>
      </c>
      <c r="U6186">
        <v>2</v>
      </c>
      <c r="V6186">
        <v>7</v>
      </c>
    </row>
    <row r="6187" spans="1:22" x14ac:dyDescent="0.3">
      <c r="A6187">
        <v>6186</v>
      </c>
      <c r="B6187">
        <v>56766</v>
      </c>
      <c r="C6187" s="2">
        <v>38922</v>
      </c>
      <c r="D6187">
        <v>19</v>
      </c>
      <c r="E6187" t="s">
        <v>36</v>
      </c>
      <c r="F6187" t="s">
        <v>50</v>
      </c>
      <c r="G6187" s="2">
        <v>45378</v>
      </c>
      <c r="H6187" s="3">
        <f t="shared" si="96"/>
        <v>1.9068493150684931</v>
      </c>
      <c r="I6187">
        <v>115</v>
      </c>
      <c r="J6187" t="s">
        <v>57</v>
      </c>
      <c r="K6187" t="s">
        <v>56</v>
      </c>
      <c r="L6187" t="s">
        <v>44</v>
      </c>
      <c r="M6187">
        <v>8.4700000000000006</v>
      </c>
      <c r="T6187" t="s">
        <v>45</v>
      </c>
      <c r="U6187">
        <v>0</v>
      </c>
      <c r="V6187">
        <v>3</v>
      </c>
    </row>
    <row r="6188" spans="1:22" x14ac:dyDescent="0.3">
      <c r="A6188">
        <v>6187</v>
      </c>
      <c r="B6188">
        <v>56767</v>
      </c>
      <c r="C6188" s="2">
        <v>35230</v>
      </c>
      <c r="D6188">
        <v>29</v>
      </c>
      <c r="E6188" t="s">
        <v>42</v>
      </c>
      <c r="F6188" t="s">
        <v>50</v>
      </c>
      <c r="G6188" s="2">
        <v>45326</v>
      </c>
      <c r="H6188" s="3">
        <f t="shared" si="96"/>
        <v>1.5315068493150685</v>
      </c>
      <c r="I6188">
        <v>116</v>
      </c>
      <c r="J6188" t="s">
        <v>57</v>
      </c>
      <c r="K6188" t="s">
        <v>68</v>
      </c>
      <c r="L6188" t="s">
        <v>44</v>
      </c>
      <c r="M6188">
        <v>17</v>
      </c>
      <c r="T6188" t="s">
        <v>45</v>
      </c>
      <c r="U6188">
        <v>2</v>
      </c>
      <c r="V6188">
        <v>6</v>
      </c>
    </row>
    <row r="6189" spans="1:22" x14ac:dyDescent="0.3">
      <c r="A6189">
        <v>6188</v>
      </c>
      <c r="B6189">
        <v>56768</v>
      </c>
      <c r="C6189" s="2">
        <v>36266</v>
      </c>
      <c r="D6189">
        <v>26</v>
      </c>
      <c r="E6189" t="s">
        <v>42</v>
      </c>
      <c r="F6189" t="s">
        <v>37</v>
      </c>
      <c r="G6189" s="2">
        <v>45463</v>
      </c>
      <c r="H6189" s="3">
        <f t="shared" si="96"/>
        <v>1.7342465753424658</v>
      </c>
      <c r="I6189">
        <v>116</v>
      </c>
      <c r="J6189" t="s">
        <v>57</v>
      </c>
      <c r="K6189" t="s">
        <v>68</v>
      </c>
      <c r="L6189" t="s">
        <v>44</v>
      </c>
      <c r="M6189">
        <v>17</v>
      </c>
      <c r="T6189" t="s">
        <v>45</v>
      </c>
      <c r="U6189">
        <v>2</v>
      </c>
      <c r="V6189">
        <v>3</v>
      </c>
    </row>
    <row r="6190" spans="1:22" x14ac:dyDescent="0.3">
      <c r="A6190">
        <v>6189</v>
      </c>
      <c r="B6190">
        <v>56769</v>
      </c>
      <c r="C6190" s="2">
        <v>38112</v>
      </c>
      <c r="D6190">
        <v>21</v>
      </c>
      <c r="E6190" t="s">
        <v>42</v>
      </c>
      <c r="F6190" t="s">
        <v>50</v>
      </c>
      <c r="G6190" s="2">
        <v>45389</v>
      </c>
      <c r="H6190" s="3">
        <f t="shared" si="96"/>
        <v>1.5890410958904109</v>
      </c>
      <c r="I6190">
        <v>116</v>
      </c>
      <c r="J6190" t="s">
        <v>57</v>
      </c>
      <c r="K6190" t="s">
        <v>56</v>
      </c>
      <c r="L6190" t="s">
        <v>44</v>
      </c>
      <c r="M6190">
        <v>8.4700000000000006</v>
      </c>
      <c r="T6190" t="s">
        <v>45</v>
      </c>
      <c r="U6190">
        <v>4</v>
      </c>
      <c r="V6190">
        <v>7</v>
      </c>
    </row>
    <row r="6191" spans="1:22" x14ac:dyDescent="0.3">
      <c r="A6191">
        <v>6190</v>
      </c>
      <c r="B6191">
        <v>56770</v>
      </c>
      <c r="C6191" s="2">
        <v>34282</v>
      </c>
      <c r="D6191">
        <v>32</v>
      </c>
      <c r="E6191" t="s">
        <v>42</v>
      </c>
      <c r="F6191" t="s">
        <v>50</v>
      </c>
      <c r="G6191" s="2">
        <v>45442</v>
      </c>
      <c r="H6191" s="3">
        <f t="shared" si="96"/>
        <v>1.178082191780822</v>
      </c>
      <c r="I6191">
        <v>116</v>
      </c>
      <c r="J6191" t="s">
        <v>57</v>
      </c>
      <c r="K6191" t="s">
        <v>56</v>
      </c>
      <c r="L6191" t="s">
        <v>44</v>
      </c>
      <c r="M6191">
        <v>8.4700000000000006</v>
      </c>
      <c r="T6191" t="s">
        <v>52</v>
      </c>
      <c r="U6191">
        <v>2</v>
      </c>
      <c r="V6191">
        <v>6</v>
      </c>
    </row>
    <row r="6192" spans="1:22" x14ac:dyDescent="0.3">
      <c r="A6192">
        <v>6191</v>
      </c>
      <c r="B6192">
        <v>56771</v>
      </c>
      <c r="C6192" s="2">
        <v>36272</v>
      </c>
      <c r="D6192">
        <v>26</v>
      </c>
      <c r="E6192" t="s">
        <v>36</v>
      </c>
      <c r="F6192" t="s">
        <v>50</v>
      </c>
      <c r="G6192" s="2">
        <v>45592</v>
      </c>
      <c r="H6192" s="3">
        <f t="shared" si="96"/>
        <v>1.8520547945205479</v>
      </c>
      <c r="I6192">
        <v>116</v>
      </c>
      <c r="J6192" t="s">
        <v>57</v>
      </c>
      <c r="K6192" t="s">
        <v>56</v>
      </c>
      <c r="L6192" t="s">
        <v>44</v>
      </c>
      <c r="M6192">
        <v>8.4700000000000006</v>
      </c>
      <c r="T6192" t="s">
        <v>49</v>
      </c>
      <c r="U6192">
        <v>2</v>
      </c>
      <c r="V6192">
        <v>5</v>
      </c>
    </row>
    <row r="6193" spans="1:22" x14ac:dyDescent="0.3">
      <c r="A6193">
        <v>6192</v>
      </c>
      <c r="B6193">
        <v>56772</v>
      </c>
      <c r="C6193" s="2">
        <v>38750</v>
      </c>
      <c r="D6193">
        <v>19</v>
      </c>
      <c r="E6193" t="s">
        <v>42</v>
      </c>
      <c r="F6193" t="s">
        <v>50</v>
      </c>
      <c r="G6193" s="2">
        <v>45346</v>
      </c>
      <c r="H6193" s="3">
        <f t="shared" si="96"/>
        <v>1.0602739726027397</v>
      </c>
      <c r="I6193">
        <v>116</v>
      </c>
      <c r="J6193" t="s">
        <v>57</v>
      </c>
      <c r="K6193" t="s">
        <v>56</v>
      </c>
      <c r="L6193" t="s">
        <v>44</v>
      </c>
      <c r="M6193">
        <v>8.4700000000000006</v>
      </c>
      <c r="T6193" t="s">
        <v>52</v>
      </c>
      <c r="U6193">
        <v>0</v>
      </c>
      <c r="V6193">
        <v>7</v>
      </c>
    </row>
    <row r="6194" spans="1:22" x14ac:dyDescent="0.3">
      <c r="A6194">
        <v>6193</v>
      </c>
      <c r="B6194">
        <v>56773</v>
      </c>
      <c r="C6194" s="2">
        <v>34060</v>
      </c>
      <c r="D6194">
        <v>33</v>
      </c>
      <c r="E6194" t="s">
        <v>42</v>
      </c>
      <c r="F6194" t="s">
        <v>50</v>
      </c>
      <c r="G6194" s="2">
        <v>45635</v>
      </c>
      <c r="H6194" s="3">
        <f t="shared" si="96"/>
        <v>1.5753424657534247</v>
      </c>
      <c r="I6194">
        <v>116</v>
      </c>
      <c r="J6194" t="s">
        <v>57</v>
      </c>
      <c r="K6194" t="s">
        <v>56</v>
      </c>
      <c r="L6194" t="s">
        <v>44</v>
      </c>
      <c r="M6194">
        <v>8.4700000000000006</v>
      </c>
      <c r="T6194" t="s">
        <v>45</v>
      </c>
      <c r="U6194">
        <v>3</v>
      </c>
      <c r="V6194">
        <v>5</v>
      </c>
    </row>
    <row r="6195" spans="1:22" x14ac:dyDescent="0.3">
      <c r="A6195">
        <v>6194</v>
      </c>
      <c r="B6195">
        <v>56774</v>
      </c>
      <c r="C6195" s="2">
        <v>38870</v>
      </c>
      <c r="D6195">
        <v>19</v>
      </c>
      <c r="E6195" t="s">
        <v>42</v>
      </c>
      <c r="F6195" t="s">
        <v>50</v>
      </c>
      <c r="G6195" s="2">
        <v>45447</v>
      </c>
      <c r="H6195" s="3">
        <f t="shared" si="96"/>
        <v>1.0082191780821919</v>
      </c>
      <c r="I6195">
        <v>116</v>
      </c>
      <c r="J6195" t="s">
        <v>57</v>
      </c>
      <c r="K6195" t="s">
        <v>56</v>
      </c>
      <c r="L6195" t="s">
        <v>44</v>
      </c>
      <c r="M6195">
        <v>8.4700000000000006</v>
      </c>
      <c r="T6195" t="s">
        <v>47</v>
      </c>
      <c r="U6195">
        <v>1</v>
      </c>
      <c r="V6195">
        <v>6</v>
      </c>
    </row>
    <row r="6196" spans="1:22" x14ac:dyDescent="0.3">
      <c r="A6196">
        <v>6195</v>
      </c>
      <c r="B6196">
        <v>56775</v>
      </c>
      <c r="C6196" s="2">
        <v>35931</v>
      </c>
      <c r="D6196">
        <v>27</v>
      </c>
      <c r="E6196" t="s">
        <v>42</v>
      </c>
      <c r="F6196" t="s">
        <v>50</v>
      </c>
      <c r="G6196" s="2">
        <v>45654</v>
      </c>
      <c r="H6196" s="3">
        <f t="shared" si="96"/>
        <v>1.0849315068493151</v>
      </c>
      <c r="I6196">
        <v>116</v>
      </c>
      <c r="J6196" t="s">
        <v>57</v>
      </c>
      <c r="K6196" t="s">
        <v>56</v>
      </c>
      <c r="L6196" t="s">
        <v>44</v>
      </c>
      <c r="M6196">
        <v>8.4700000000000006</v>
      </c>
      <c r="T6196" t="s">
        <v>49</v>
      </c>
      <c r="U6196">
        <v>1</v>
      </c>
      <c r="V6196">
        <v>6</v>
      </c>
    </row>
    <row r="6197" spans="1:22" x14ac:dyDescent="0.3">
      <c r="A6197">
        <v>6196</v>
      </c>
      <c r="B6197">
        <v>56776</v>
      </c>
      <c r="C6197" s="2">
        <v>37870</v>
      </c>
      <c r="D6197">
        <v>22</v>
      </c>
      <c r="E6197" t="s">
        <v>42</v>
      </c>
      <c r="F6197" t="s">
        <v>50</v>
      </c>
      <c r="G6197" s="2">
        <v>45626</v>
      </c>
      <c r="H6197" s="3">
        <f t="shared" si="96"/>
        <v>1.2383561643835617</v>
      </c>
      <c r="I6197">
        <v>116</v>
      </c>
      <c r="J6197" t="s">
        <v>57</v>
      </c>
      <c r="K6197" t="s">
        <v>56</v>
      </c>
      <c r="L6197" t="s">
        <v>44</v>
      </c>
      <c r="M6197">
        <v>8.4700000000000006</v>
      </c>
      <c r="T6197" t="s">
        <v>52</v>
      </c>
      <c r="U6197">
        <v>1</v>
      </c>
      <c r="V6197">
        <v>6</v>
      </c>
    </row>
    <row r="6198" spans="1:22" x14ac:dyDescent="0.3">
      <c r="A6198">
        <v>6197</v>
      </c>
      <c r="B6198">
        <v>56777</v>
      </c>
      <c r="C6198" s="2">
        <v>38502</v>
      </c>
      <c r="D6198">
        <v>20</v>
      </c>
      <c r="E6198" t="s">
        <v>42</v>
      </c>
      <c r="F6198" t="s">
        <v>50</v>
      </c>
      <c r="G6198" s="2">
        <v>45570</v>
      </c>
      <c r="H6198" s="3">
        <f t="shared" si="96"/>
        <v>1.0191780821917809</v>
      </c>
      <c r="I6198">
        <v>116</v>
      </c>
      <c r="J6198" t="s">
        <v>57</v>
      </c>
      <c r="K6198" t="s">
        <v>56</v>
      </c>
      <c r="L6198" t="s">
        <v>44</v>
      </c>
      <c r="M6198">
        <v>8.4700000000000006</v>
      </c>
      <c r="T6198" t="s">
        <v>52</v>
      </c>
      <c r="U6198">
        <v>2</v>
      </c>
      <c r="V6198">
        <v>6</v>
      </c>
    </row>
    <row r="6199" spans="1:22" x14ac:dyDescent="0.3">
      <c r="A6199">
        <v>6198</v>
      </c>
      <c r="B6199">
        <v>56778</v>
      </c>
      <c r="C6199" s="2">
        <v>35246</v>
      </c>
      <c r="D6199">
        <v>29</v>
      </c>
      <c r="E6199" t="s">
        <v>36</v>
      </c>
      <c r="F6199" t="s">
        <v>50</v>
      </c>
      <c r="G6199" s="2">
        <v>45650</v>
      </c>
      <c r="H6199" s="3">
        <f t="shared" si="96"/>
        <v>1.5232876712328767</v>
      </c>
      <c r="I6199">
        <v>116</v>
      </c>
      <c r="J6199" t="s">
        <v>57</v>
      </c>
      <c r="K6199" t="s">
        <v>56</v>
      </c>
      <c r="L6199" t="s">
        <v>44</v>
      </c>
      <c r="M6199">
        <v>8.4700000000000006</v>
      </c>
      <c r="T6199" t="s">
        <v>45</v>
      </c>
      <c r="U6199">
        <v>3</v>
      </c>
      <c r="V6199">
        <v>5</v>
      </c>
    </row>
    <row r="6200" spans="1:22" x14ac:dyDescent="0.3">
      <c r="A6200">
        <v>6199</v>
      </c>
      <c r="B6200">
        <v>56780</v>
      </c>
      <c r="C6200" s="2">
        <v>37832</v>
      </c>
      <c r="D6200">
        <v>22</v>
      </c>
      <c r="E6200" t="s">
        <v>36</v>
      </c>
      <c r="F6200" t="s">
        <v>50</v>
      </c>
      <c r="G6200" s="2">
        <v>45466</v>
      </c>
      <c r="H6200" s="3">
        <f t="shared" si="96"/>
        <v>1.2027397260273973</v>
      </c>
      <c r="I6200">
        <v>117</v>
      </c>
      <c r="J6200" t="s">
        <v>57</v>
      </c>
      <c r="K6200" t="s">
        <v>46</v>
      </c>
      <c r="L6200" t="s">
        <v>44</v>
      </c>
      <c r="M6200">
        <v>14.23</v>
      </c>
      <c r="T6200" t="s">
        <v>45</v>
      </c>
      <c r="U6200">
        <v>1</v>
      </c>
      <c r="V6200">
        <v>3</v>
      </c>
    </row>
    <row r="6201" spans="1:22" x14ac:dyDescent="0.3">
      <c r="A6201">
        <v>6200</v>
      </c>
      <c r="B6201">
        <v>56781</v>
      </c>
      <c r="C6201" s="2">
        <v>38293</v>
      </c>
      <c r="D6201">
        <v>21</v>
      </c>
      <c r="E6201" t="s">
        <v>42</v>
      </c>
      <c r="F6201" t="s">
        <v>37</v>
      </c>
      <c r="G6201" s="2">
        <v>45583</v>
      </c>
      <c r="H6201" s="3">
        <f t="shared" si="96"/>
        <v>1.8191780821917809</v>
      </c>
      <c r="I6201">
        <v>117</v>
      </c>
      <c r="J6201" t="s">
        <v>57</v>
      </c>
      <c r="K6201" t="s">
        <v>56</v>
      </c>
      <c r="L6201" t="s">
        <v>44</v>
      </c>
      <c r="M6201">
        <v>8.4700000000000006</v>
      </c>
      <c r="T6201" t="s">
        <v>45</v>
      </c>
      <c r="U6201">
        <v>2</v>
      </c>
      <c r="V6201">
        <v>6</v>
      </c>
    </row>
    <row r="6202" spans="1:22" x14ac:dyDescent="0.3">
      <c r="A6202">
        <v>6201</v>
      </c>
      <c r="B6202">
        <v>56782</v>
      </c>
      <c r="C6202" s="2">
        <v>37479</v>
      </c>
      <c r="D6202">
        <v>23</v>
      </c>
      <c r="E6202" t="s">
        <v>42</v>
      </c>
      <c r="F6202" t="s">
        <v>37</v>
      </c>
      <c r="G6202" s="2">
        <v>45358</v>
      </c>
      <c r="H6202" s="3">
        <f t="shared" si="96"/>
        <v>1.2794520547945205</v>
      </c>
      <c r="I6202">
        <v>117</v>
      </c>
      <c r="J6202" t="s">
        <v>57</v>
      </c>
      <c r="K6202" t="s">
        <v>56</v>
      </c>
      <c r="L6202" t="s">
        <v>44</v>
      </c>
      <c r="M6202">
        <v>8.4700000000000006</v>
      </c>
      <c r="T6202" t="s">
        <v>47</v>
      </c>
      <c r="U6202">
        <v>4</v>
      </c>
      <c r="V6202">
        <v>6</v>
      </c>
    </row>
    <row r="6203" spans="1:22" x14ac:dyDescent="0.3">
      <c r="A6203">
        <v>6202</v>
      </c>
      <c r="B6203">
        <v>56783</v>
      </c>
      <c r="C6203" s="2">
        <v>38818</v>
      </c>
      <c r="D6203">
        <v>19</v>
      </c>
      <c r="E6203" t="s">
        <v>36</v>
      </c>
      <c r="F6203" t="s">
        <v>50</v>
      </c>
      <c r="G6203" s="2">
        <v>45555</v>
      </c>
      <c r="H6203" s="3">
        <f t="shared" si="96"/>
        <v>1.6630136986301369</v>
      </c>
      <c r="I6203">
        <v>117</v>
      </c>
      <c r="J6203" t="s">
        <v>57</v>
      </c>
      <c r="K6203" t="s">
        <v>56</v>
      </c>
      <c r="L6203" t="s">
        <v>44</v>
      </c>
      <c r="M6203">
        <v>8.4700000000000006</v>
      </c>
      <c r="T6203" t="s">
        <v>45</v>
      </c>
      <c r="U6203">
        <v>1</v>
      </c>
      <c r="V6203">
        <v>4</v>
      </c>
    </row>
    <row r="6204" spans="1:22" x14ac:dyDescent="0.3">
      <c r="A6204">
        <v>6203</v>
      </c>
      <c r="B6204">
        <v>56784</v>
      </c>
      <c r="C6204" s="2">
        <v>35028</v>
      </c>
      <c r="D6204">
        <v>30</v>
      </c>
      <c r="E6204" t="s">
        <v>42</v>
      </c>
      <c r="F6204" t="s">
        <v>50</v>
      </c>
      <c r="G6204" s="2">
        <v>45415</v>
      </c>
      <c r="H6204" s="3">
        <f t="shared" si="96"/>
        <v>1.3095890410958904</v>
      </c>
      <c r="I6204">
        <v>117</v>
      </c>
      <c r="J6204" t="s">
        <v>57</v>
      </c>
      <c r="K6204" t="s">
        <v>56</v>
      </c>
      <c r="L6204" t="s">
        <v>44</v>
      </c>
      <c r="M6204">
        <v>8.4700000000000006</v>
      </c>
      <c r="T6204" t="s">
        <v>45</v>
      </c>
      <c r="U6204">
        <v>1</v>
      </c>
      <c r="V6204">
        <v>5</v>
      </c>
    </row>
    <row r="6205" spans="1:22" x14ac:dyDescent="0.3">
      <c r="A6205">
        <v>6204</v>
      </c>
      <c r="B6205">
        <v>56785</v>
      </c>
      <c r="C6205" s="2">
        <v>36112</v>
      </c>
      <c r="D6205">
        <v>27</v>
      </c>
      <c r="E6205" t="s">
        <v>36</v>
      </c>
      <c r="F6205" t="s">
        <v>50</v>
      </c>
      <c r="G6205" s="2">
        <v>45544</v>
      </c>
      <c r="H6205" s="3">
        <f t="shared" si="96"/>
        <v>1.3561643835616439</v>
      </c>
      <c r="I6205">
        <v>118</v>
      </c>
      <c r="J6205" t="s">
        <v>57</v>
      </c>
      <c r="K6205" t="s">
        <v>68</v>
      </c>
      <c r="L6205" t="s">
        <v>44</v>
      </c>
      <c r="M6205">
        <v>17</v>
      </c>
      <c r="T6205" t="s">
        <v>47</v>
      </c>
      <c r="U6205">
        <v>2</v>
      </c>
      <c r="V6205">
        <v>4</v>
      </c>
    </row>
    <row r="6206" spans="1:22" x14ac:dyDescent="0.3">
      <c r="A6206">
        <v>6205</v>
      </c>
      <c r="B6206">
        <v>56786</v>
      </c>
      <c r="C6206" s="2">
        <v>38423</v>
      </c>
      <c r="D6206">
        <v>20</v>
      </c>
      <c r="E6206" t="s">
        <v>36</v>
      </c>
      <c r="F6206" t="s">
        <v>50</v>
      </c>
      <c r="G6206" s="2">
        <v>45527</v>
      </c>
      <c r="H6206" s="3">
        <f t="shared" si="96"/>
        <v>1.2876712328767124</v>
      </c>
      <c r="I6206">
        <v>118</v>
      </c>
      <c r="J6206" t="s">
        <v>57</v>
      </c>
      <c r="K6206" t="s">
        <v>65</v>
      </c>
      <c r="L6206" t="s">
        <v>44</v>
      </c>
      <c r="M6206">
        <v>10.64</v>
      </c>
      <c r="T6206" t="s">
        <v>49</v>
      </c>
      <c r="U6206">
        <v>0</v>
      </c>
      <c r="V6206">
        <v>4</v>
      </c>
    </row>
    <row r="6207" spans="1:22" x14ac:dyDescent="0.3">
      <c r="A6207">
        <v>6206</v>
      </c>
      <c r="B6207">
        <v>56787</v>
      </c>
      <c r="C6207" s="2">
        <v>39012</v>
      </c>
      <c r="D6207">
        <v>19</v>
      </c>
      <c r="E6207" t="s">
        <v>42</v>
      </c>
      <c r="F6207" t="s">
        <v>37</v>
      </c>
      <c r="G6207" s="2">
        <v>45552</v>
      </c>
      <c r="H6207" s="3">
        <f t="shared" si="96"/>
        <v>1.3506849315068492</v>
      </c>
      <c r="I6207">
        <v>118</v>
      </c>
      <c r="J6207" t="s">
        <v>57</v>
      </c>
      <c r="K6207" t="s">
        <v>56</v>
      </c>
      <c r="L6207" t="s">
        <v>44</v>
      </c>
      <c r="M6207">
        <v>8.4700000000000006</v>
      </c>
      <c r="T6207" t="s">
        <v>52</v>
      </c>
      <c r="U6207">
        <v>4</v>
      </c>
      <c r="V6207">
        <v>7</v>
      </c>
    </row>
    <row r="6208" spans="1:22" x14ac:dyDescent="0.3">
      <c r="A6208">
        <v>6207</v>
      </c>
      <c r="B6208">
        <v>56788</v>
      </c>
      <c r="C6208" s="2">
        <v>36437</v>
      </c>
      <c r="D6208">
        <v>26</v>
      </c>
      <c r="E6208" t="s">
        <v>42</v>
      </c>
      <c r="F6208" t="s">
        <v>50</v>
      </c>
      <c r="G6208" s="2">
        <v>45529</v>
      </c>
      <c r="H6208" s="3">
        <f t="shared" si="96"/>
        <v>1.0575342465753426</v>
      </c>
      <c r="I6208">
        <v>118</v>
      </c>
      <c r="J6208" t="s">
        <v>57</v>
      </c>
      <c r="K6208" t="s">
        <v>56</v>
      </c>
      <c r="L6208" t="s">
        <v>44</v>
      </c>
      <c r="M6208">
        <v>8.4700000000000006</v>
      </c>
      <c r="T6208" t="s">
        <v>45</v>
      </c>
      <c r="U6208">
        <v>3</v>
      </c>
      <c r="V6208">
        <v>6</v>
      </c>
    </row>
    <row r="6209" spans="1:22" x14ac:dyDescent="0.3">
      <c r="A6209">
        <v>6208</v>
      </c>
      <c r="B6209">
        <v>56789</v>
      </c>
      <c r="C6209" s="2">
        <v>37870</v>
      </c>
      <c r="D6209">
        <v>22</v>
      </c>
      <c r="E6209" t="s">
        <v>42</v>
      </c>
      <c r="F6209" t="s">
        <v>50</v>
      </c>
      <c r="G6209" s="2">
        <v>45636</v>
      </c>
      <c r="H6209" s="3">
        <f t="shared" si="96"/>
        <v>1.2575342465753425</v>
      </c>
      <c r="I6209">
        <v>118</v>
      </c>
      <c r="J6209" t="s">
        <v>57</v>
      </c>
      <c r="K6209" t="s">
        <v>56</v>
      </c>
      <c r="L6209" t="s">
        <v>44</v>
      </c>
      <c r="M6209">
        <v>8.4700000000000006</v>
      </c>
      <c r="T6209" t="s">
        <v>52</v>
      </c>
      <c r="U6209">
        <v>1</v>
      </c>
      <c r="V6209">
        <v>4</v>
      </c>
    </row>
    <row r="6210" spans="1:22" x14ac:dyDescent="0.3">
      <c r="A6210">
        <v>6209</v>
      </c>
      <c r="B6210">
        <v>56790</v>
      </c>
      <c r="C6210" s="2">
        <v>38865</v>
      </c>
      <c r="D6210">
        <v>19</v>
      </c>
      <c r="E6210" t="s">
        <v>36</v>
      </c>
      <c r="F6210" t="s">
        <v>50</v>
      </c>
      <c r="G6210" s="2">
        <v>45563</v>
      </c>
      <c r="H6210" s="3">
        <f t="shared" si="96"/>
        <v>1.2602739726027397</v>
      </c>
      <c r="I6210">
        <v>118</v>
      </c>
      <c r="J6210" t="s">
        <v>57</v>
      </c>
      <c r="K6210" t="s">
        <v>56</v>
      </c>
      <c r="L6210" t="s">
        <v>44</v>
      </c>
      <c r="M6210">
        <v>8.4700000000000006</v>
      </c>
      <c r="T6210" t="s">
        <v>45</v>
      </c>
      <c r="U6210">
        <v>4</v>
      </c>
      <c r="V6210">
        <v>6</v>
      </c>
    </row>
    <row r="6211" spans="1:22" x14ac:dyDescent="0.3">
      <c r="A6211">
        <v>6210</v>
      </c>
      <c r="B6211">
        <v>56791</v>
      </c>
      <c r="C6211" s="2">
        <v>38859</v>
      </c>
      <c r="D6211">
        <v>19</v>
      </c>
      <c r="E6211" t="s">
        <v>36</v>
      </c>
      <c r="F6211" t="s">
        <v>50</v>
      </c>
      <c r="G6211" s="2">
        <v>45562</v>
      </c>
      <c r="H6211" s="3">
        <f t="shared" ref="H6211:H6274" si="97">DATEDIF(G6212,DATE(2025,12,31),"d")/365</f>
        <v>1.1835616438356165</v>
      </c>
      <c r="I6211">
        <v>118</v>
      </c>
      <c r="J6211" t="s">
        <v>57</v>
      </c>
      <c r="K6211" t="s">
        <v>56</v>
      </c>
      <c r="L6211" t="s">
        <v>44</v>
      </c>
      <c r="M6211">
        <v>8.4700000000000006</v>
      </c>
      <c r="T6211" t="s">
        <v>49</v>
      </c>
      <c r="U6211">
        <v>2</v>
      </c>
      <c r="V6211">
        <v>4</v>
      </c>
    </row>
    <row r="6212" spans="1:22" x14ac:dyDescent="0.3">
      <c r="A6212">
        <v>6211</v>
      </c>
      <c r="B6212">
        <v>56792</v>
      </c>
      <c r="C6212" s="2">
        <v>38481</v>
      </c>
      <c r="D6212">
        <v>20</v>
      </c>
      <c r="E6212" t="s">
        <v>42</v>
      </c>
      <c r="F6212" t="s">
        <v>50</v>
      </c>
      <c r="G6212" s="2">
        <v>45590</v>
      </c>
      <c r="H6212" s="3">
        <f t="shared" si="97"/>
        <v>1.7726027397260273</v>
      </c>
      <c r="I6212">
        <v>118</v>
      </c>
      <c r="J6212" t="s">
        <v>57</v>
      </c>
      <c r="K6212" t="s">
        <v>56</v>
      </c>
      <c r="L6212" t="s">
        <v>44</v>
      </c>
      <c r="M6212">
        <v>8.4700000000000006</v>
      </c>
      <c r="T6212" t="s">
        <v>47</v>
      </c>
      <c r="U6212">
        <v>2</v>
      </c>
      <c r="V6212">
        <v>6</v>
      </c>
    </row>
    <row r="6213" spans="1:22" x14ac:dyDescent="0.3">
      <c r="A6213">
        <v>6212</v>
      </c>
      <c r="B6213">
        <v>56793</v>
      </c>
      <c r="C6213" s="2">
        <v>37867</v>
      </c>
      <c r="D6213">
        <v>22</v>
      </c>
      <c r="E6213" t="s">
        <v>42</v>
      </c>
      <c r="F6213" t="s">
        <v>50</v>
      </c>
      <c r="G6213" s="2">
        <v>45375</v>
      </c>
      <c r="H6213" s="3">
        <f t="shared" si="97"/>
        <v>1.5890410958904109</v>
      </c>
      <c r="I6213">
        <v>118</v>
      </c>
      <c r="J6213" t="s">
        <v>57</v>
      </c>
      <c r="K6213" t="s">
        <v>56</v>
      </c>
      <c r="L6213" t="s">
        <v>44</v>
      </c>
      <c r="M6213">
        <v>8.4700000000000006</v>
      </c>
      <c r="T6213" t="s">
        <v>49</v>
      </c>
      <c r="U6213">
        <v>0</v>
      </c>
      <c r="V6213">
        <v>5</v>
      </c>
    </row>
    <row r="6214" spans="1:22" x14ac:dyDescent="0.3">
      <c r="A6214">
        <v>6213</v>
      </c>
      <c r="B6214">
        <v>56794</v>
      </c>
      <c r="C6214" s="2">
        <v>38762</v>
      </c>
      <c r="D6214">
        <v>19</v>
      </c>
      <c r="E6214" t="s">
        <v>36</v>
      </c>
      <c r="F6214" t="s">
        <v>50</v>
      </c>
      <c r="G6214" s="2">
        <v>45442</v>
      </c>
      <c r="H6214" s="3">
        <f t="shared" si="97"/>
        <v>1.0931506849315069</v>
      </c>
      <c r="I6214">
        <v>118</v>
      </c>
      <c r="J6214" t="s">
        <v>57</v>
      </c>
      <c r="K6214" t="s">
        <v>56</v>
      </c>
      <c r="L6214" t="s">
        <v>44</v>
      </c>
      <c r="M6214">
        <v>8.4700000000000006</v>
      </c>
      <c r="T6214" t="s">
        <v>49</v>
      </c>
      <c r="U6214">
        <v>1</v>
      </c>
      <c r="V6214">
        <v>5</v>
      </c>
    </row>
    <row r="6215" spans="1:22" x14ac:dyDescent="0.3">
      <c r="A6215">
        <v>6214</v>
      </c>
      <c r="B6215">
        <v>56795</v>
      </c>
      <c r="C6215" s="2">
        <v>39117</v>
      </c>
      <c r="D6215">
        <v>18</v>
      </c>
      <c r="E6215" t="s">
        <v>42</v>
      </c>
      <c r="F6215" t="s">
        <v>50</v>
      </c>
      <c r="G6215" s="2">
        <v>45623</v>
      </c>
      <c r="H6215" s="3">
        <f t="shared" si="97"/>
        <v>1.1726027397260275</v>
      </c>
      <c r="I6215">
        <v>118</v>
      </c>
      <c r="J6215" t="s">
        <v>57</v>
      </c>
      <c r="K6215" t="s">
        <v>56</v>
      </c>
      <c r="L6215" t="s">
        <v>44</v>
      </c>
      <c r="M6215">
        <v>8.4700000000000006</v>
      </c>
      <c r="T6215" t="s">
        <v>49</v>
      </c>
      <c r="U6215">
        <v>4</v>
      </c>
      <c r="V6215">
        <v>6</v>
      </c>
    </row>
    <row r="6216" spans="1:22" x14ac:dyDescent="0.3">
      <c r="A6216">
        <v>6215</v>
      </c>
      <c r="B6216">
        <v>56796</v>
      </c>
      <c r="C6216" s="2">
        <v>36996</v>
      </c>
      <c r="D6216">
        <v>24</v>
      </c>
      <c r="E6216" t="s">
        <v>42</v>
      </c>
      <c r="F6216" t="s">
        <v>37</v>
      </c>
      <c r="G6216" s="2">
        <v>45594</v>
      </c>
      <c r="H6216" s="3">
        <f t="shared" si="97"/>
        <v>1.4383561643835616</v>
      </c>
      <c r="I6216">
        <v>118</v>
      </c>
      <c r="J6216" t="s">
        <v>57</v>
      </c>
      <c r="K6216" t="s">
        <v>56</v>
      </c>
      <c r="L6216" t="s">
        <v>44</v>
      </c>
      <c r="M6216">
        <v>8.4700000000000006</v>
      </c>
      <c r="T6216" t="s">
        <v>47</v>
      </c>
      <c r="U6216">
        <v>4</v>
      </c>
      <c r="V6216">
        <v>6</v>
      </c>
    </row>
    <row r="6217" spans="1:22" x14ac:dyDescent="0.3">
      <c r="A6217">
        <v>6216</v>
      </c>
      <c r="B6217">
        <v>56797</v>
      </c>
      <c r="C6217" s="2">
        <v>37983</v>
      </c>
      <c r="D6217">
        <v>22</v>
      </c>
      <c r="E6217" t="s">
        <v>42</v>
      </c>
      <c r="F6217" t="s">
        <v>37</v>
      </c>
      <c r="G6217" s="2">
        <v>45497</v>
      </c>
      <c r="H6217" s="3">
        <f t="shared" si="97"/>
        <v>1.4054794520547946</v>
      </c>
      <c r="I6217">
        <v>118</v>
      </c>
      <c r="J6217" t="s">
        <v>57</v>
      </c>
      <c r="K6217" t="s">
        <v>56</v>
      </c>
      <c r="L6217" t="s">
        <v>44</v>
      </c>
      <c r="M6217">
        <v>8.4700000000000006</v>
      </c>
      <c r="T6217" t="s">
        <v>47</v>
      </c>
      <c r="U6217">
        <v>1</v>
      </c>
      <c r="V6217">
        <v>5</v>
      </c>
    </row>
    <row r="6218" spans="1:22" x14ac:dyDescent="0.3">
      <c r="A6218">
        <v>6217</v>
      </c>
      <c r="B6218">
        <v>56798</v>
      </c>
      <c r="C6218" s="2">
        <v>35301</v>
      </c>
      <c r="D6218">
        <v>29</v>
      </c>
      <c r="E6218" t="s">
        <v>42</v>
      </c>
      <c r="F6218" t="s">
        <v>50</v>
      </c>
      <c r="G6218" s="2">
        <v>45509</v>
      </c>
      <c r="H6218" s="3">
        <f t="shared" si="97"/>
        <v>1.0849315068493151</v>
      </c>
      <c r="I6218">
        <v>118</v>
      </c>
      <c r="J6218" t="s">
        <v>57</v>
      </c>
      <c r="K6218" t="s">
        <v>56</v>
      </c>
      <c r="L6218" t="s">
        <v>44</v>
      </c>
      <c r="M6218">
        <v>8.4700000000000006</v>
      </c>
      <c r="T6218" t="s">
        <v>52</v>
      </c>
      <c r="U6218">
        <v>1</v>
      </c>
      <c r="V6218">
        <v>6</v>
      </c>
    </row>
    <row r="6219" spans="1:22" x14ac:dyDescent="0.3">
      <c r="A6219">
        <v>6218</v>
      </c>
      <c r="B6219">
        <v>56799</v>
      </c>
      <c r="C6219" s="2">
        <v>38449</v>
      </c>
      <c r="D6219">
        <v>20</v>
      </c>
      <c r="E6219" t="s">
        <v>42</v>
      </c>
      <c r="F6219" t="s">
        <v>50</v>
      </c>
      <c r="G6219" s="2">
        <v>45626</v>
      </c>
      <c r="H6219" s="3">
        <f t="shared" si="97"/>
        <v>1.1945205479452055</v>
      </c>
      <c r="I6219">
        <v>118</v>
      </c>
      <c r="J6219" t="s">
        <v>57</v>
      </c>
      <c r="K6219" t="s">
        <v>56</v>
      </c>
      <c r="L6219" t="s">
        <v>44</v>
      </c>
      <c r="M6219">
        <v>8.4700000000000006</v>
      </c>
      <c r="T6219" t="s">
        <v>52</v>
      </c>
      <c r="U6219">
        <v>2</v>
      </c>
      <c r="V6219">
        <v>5</v>
      </c>
    </row>
    <row r="6220" spans="1:22" x14ac:dyDescent="0.3">
      <c r="A6220">
        <v>6219</v>
      </c>
      <c r="B6220">
        <v>56800</v>
      </c>
      <c r="C6220" s="2">
        <v>37771</v>
      </c>
      <c r="D6220">
        <v>22</v>
      </c>
      <c r="E6220" t="s">
        <v>42</v>
      </c>
      <c r="F6220" t="s">
        <v>50</v>
      </c>
      <c r="G6220" s="2">
        <v>45586</v>
      </c>
      <c r="H6220" s="3">
        <f t="shared" si="97"/>
        <v>1.4958904109589042</v>
      </c>
      <c r="I6220">
        <v>118</v>
      </c>
      <c r="J6220" t="s">
        <v>57</v>
      </c>
      <c r="K6220" t="s">
        <v>56</v>
      </c>
      <c r="L6220" t="s">
        <v>44</v>
      </c>
      <c r="M6220">
        <v>8.4700000000000006</v>
      </c>
      <c r="T6220" t="s">
        <v>45</v>
      </c>
      <c r="U6220">
        <v>1</v>
      </c>
      <c r="V6220">
        <v>5</v>
      </c>
    </row>
    <row r="6221" spans="1:22" x14ac:dyDescent="0.3">
      <c r="A6221">
        <v>6220</v>
      </c>
      <c r="B6221">
        <v>56801</v>
      </c>
      <c r="C6221" s="2">
        <v>38117</v>
      </c>
      <c r="D6221">
        <v>21</v>
      </c>
      <c r="E6221" t="s">
        <v>42</v>
      </c>
      <c r="F6221" t="s">
        <v>37</v>
      </c>
      <c r="G6221" s="2">
        <v>45476</v>
      </c>
      <c r="H6221" s="3">
        <f t="shared" si="97"/>
        <v>1.3698630136986301</v>
      </c>
      <c r="I6221">
        <v>118</v>
      </c>
      <c r="J6221" t="s">
        <v>57</v>
      </c>
      <c r="K6221" t="s">
        <v>56</v>
      </c>
      <c r="L6221" t="s">
        <v>44</v>
      </c>
      <c r="M6221">
        <v>8.4700000000000006</v>
      </c>
      <c r="T6221" t="s">
        <v>49</v>
      </c>
      <c r="U6221">
        <v>4</v>
      </c>
      <c r="V6221">
        <v>7</v>
      </c>
    </row>
    <row r="6222" spans="1:22" x14ac:dyDescent="0.3">
      <c r="A6222">
        <v>6221</v>
      </c>
      <c r="B6222">
        <v>56802</v>
      </c>
      <c r="C6222" s="2">
        <v>35349</v>
      </c>
      <c r="D6222">
        <v>29</v>
      </c>
      <c r="E6222" t="s">
        <v>42</v>
      </c>
      <c r="F6222" t="s">
        <v>50</v>
      </c>
      <c r="G6222" s="2">
        <v>45522</v>
      </c>
      <c r="H6222" s="3">
        <f t="shared" si="97"/>
        <v>1.3753424657534246</v>
      </c>
      <c r="I6222">
        <v>119</v>
      </c>
      <c r="J6222" t="s">
        <v>57</v>
      </c>
      <c r="K6222" t="s">
        <v>68</v>
      </c>
      <c r="L6222" t="s">
        <v>44</v>
      </c>
      <c r="M6222">
        <v>17</v>
      </c>
      <c r="T6222" t="s">
        <v>45</v>
      </c>
      <c r="U6222">
        <v>4</v>
      </c>
      <c r="V6222">
        <v>6</v>
      </c>
    </row>
    <row r="6223" spans="1:22" x14ac:dyDescent="0.3">
      <c r="A6223">
        <v>6222</v>
      </c>
      <c r="B6223">
        <v>56803</v>
      </c>
      <c r="C6223" s="2">
        <v>37256</v>
      </c>
      <c r="D6223">
        <v>24</v>
      </c>
      <c r="E6223" t="s">
        <v>42</v>
      </c>
      <c r="F6223" t="s">
        <v>50</v>
      </c>
      <c r="G6223" s="2">
        <v>45520</v>
      </c>
      <c r="H6223" s="3">
        <f t="shared" si="97"/>
        <v>1.5671232876712329</v>
      </c>
      <c r="I6223">
        <v>119</v>
      </c>
      <c r="J6223" t="s">
        <v>57</v>
      </c>
      <c r="K6223" t="s">
        <v>48</v>
      </c>
      <c r="L6223" t="s">
        <v>44</v>
      </c>
      <c r="M6223">
        <v>8.4700000000000006</v>
      </c>
      <c r="T6223" t="s">
        <v>52</v>
      </c>
      <c r="U6223">
        <v>2</v>
      </c>
      <c r="V6223">
        <v>5</v>
      </c>
    </row>
    <row r="6224" spans="1:22" x14ac:dyDescent="0.3">
      <c r="A6224">
        <v>6223</v>
      </c>
      <c r="B6224">
        <v>56804</v>
      </c>
      <c r="C6224" s="2">
        <v>38392</v>
      </c>
      <c r="D6224">
        <v>20</v>
      </c>
      <c r="E6224" t="s">
        <v>42</v>
      </c>
      <c r="F6224" t="s">
        <v>50</v>
      </c>
      <c r="G6224" s="2">
        <v>45450</v>
      </c>
      <c r="H6224" s="3">
        <f t="shared" si="97"/>
        <v>1.5315068493150685</v>
      </c>
      <c r="I6224">
        <v>119</v>
      </c>
      <c r="J6224" t="s">
        <v>57</v>
      </c>
      <c r="K6224" t="s">
        <v>56</v>
      </c>
      <c r="L6224" t="s">
        <v>44</v>
      </c>
      <c r="M6224">
        <v>8.4700000000000006</v>
      </c>
      <c r="T6224" t="s">
        <v>45</v>
      </c>
      <c r="U6224">
        <v>0</v>
      </c>
      <c r="V6224">
        <v>5</v>
      </c>
    </row>
    <row r="6225" spans="1:22" x14ac:dyDescent="0.3">
      <c r="A6225">
        <v>6224</v>
      </c>
      <c r="B6225">
        <v>56806</v>
      </c>
      <c r="C6225" s="2">
        <v>35873</v>
      </c>
      <c r="D6225">
        <v>27</v>
      </c>
      <c r="E6225" t="s">
        <v>36</v>
      </c>
      <c r="F6225" t="s">
        <v>50</v>
      </c>
      <c r="G6225" s="2">
        <v>45463</v>
      </c>
      <c r="H6225" s="3">
        <f t="shared" si="97"/>
        <v>1.6328767123287671</v>
      </c>
      <c r="I6225">
        <v>119</v>
      </c>
      <c r="J6225" t="s">
        <v>57</v>
      </c>
      <c r="K6225" t="s">
        <v>56</v>
      </c>
      <c r="L6225" t="s">
        <v>44</v>
      </c>
      <c r="M6225">
        <v>8.4700000000000006</v>
      </c>
      <c r="T6225" t="s">
        <v>45</v>
      </c>
      <c r="U6225">
        <v>3</v>
      </c>
      <c r="V6225">
        <v>6</v>
      </c>
    </row>
    <row r="6226" spans="1:22" x14ac:dyDescent="0.3">
      <c r="A6226">
        <v>6225</v>
      </c>
      <c r="B6226">
        <v>56807</v>
      </c>
      <c r="C6226" s="2">
        <v>38200</v>
      </c>
      <c r="D6226">
        <v>22</v>
      </c>
      <c r="E6226" t="s">
        <v>42</v>
      </c>
      <c r="F6226" t="s">
        <v>50</v>
      </c>
      <c r="G6226" s="2">
        <v>45426</v>
      </c>
      <c r="H6226" s="3">
        <f t="shared" si="97"/>
        <v>1.5808219178082192</v>
      </c>
      <c r="I6226">
        <v>119</v>
      </c>
      <c r="J6226" t="s">
        <v>57</v>
      </c>
      <c r="K6226" t="s">
        <v>56</v>
      </c>
      <c r="L6226" t="s">
        <v>44</v>
      </c>
      <c r="M6226">
        <v>8.4700000000000006</v>
      </c>
      <c r="T6226" t="s">
        <v>45</v>
      </c>
      <c r="U6226">
        <v>2</v>
      </c>
      <c r="V6226">
        <v>6</v>
      </c>
    </row>
    <row r="6227" spans="1:22" x14ac:dyDescent="0.3">
      <c r="A6227">
        <v>6226</v>
      </c>
      <c r="B6227">
        <v>56808</v>
      </c>
      <c r="C6227" s="2">
        <v>37847</v>
      </c>
      <c r="D6227">
        <v>22</v>
      </c>
      <c r="E6227" t="s">
        <v>42</v>
      </c>
      <c r="F6227" t="s">
        <v>37</v>
      </c>
      <c r="G6227" s="2">
        <v>45445</v>
      </c>
      <c r="H6227" s="3">
        <f t="shared" si="97"/>
        <v>1.095890410958904</v>
      </c>
      <c r="I6227">
        <v>119</v>
      </c>
      <c r="J6227" t="s">
        <v>57</v>
      </c>
      <c r="K6227" t="s">
        <v>56</v>
      </c>
      <c r="L6227" t="s">
        <v>44</v>
      </c>
      <c r="M6227">
        <v>8.4700000000000006</v>
      </c>
      <c r="T6227" t="s">
        <v>49</v>
      </c>
      <c r="U6227">
        <v>2</v>
      </c>
      <c r="V6227">
        <v>6</v>
      </c>
    </row>
    <row r="6228" spans="1:22" x14ac:dyDescent="0.3">
      <c r="A6228">
        <v>6227</v>
      </c>
      <c r="B6228">
        <v>56810</v>
      </c>
      <c r="C6228" s="2">
        <v>39433</v>
      </c>
      <c r="D6228">
        <v>18</v>
      </c>
      <c r="E6228" t="s">
        <v>42</v>
      </c>
      <c r="F6228" t="s">
        <v>50</v>
      </c>
      <c r="G6228" s="2">
        <v>45622</v>
      </c>
      <c r="H6228" s="3">
        <f t="shared" si="97"/>
        <v>1.7013698630136986</v>
      </c>
      <c r="I6228">
        <v>119</v>
      </c>
      <c r="J6228" t="s">
        <v>57</v>
      </c>
      <c r="K6228" t="s">
        <v>56</v>
      </c>
      <c r="L6228" t="s">
        <v>44</v>
      </c>
      <c r="M6228">
        <v>8.4700000000000006</v>
      </c>
      <c r="T6228" t="s">
        <v>45</v>
      </c>
      <c r="U6228">
        <v>2</v>
      </c>
      <c r="V6228">
        <v>6</v>
      </c>
    </row>
    <row r="6229" spans="1:22" x14ac:dyDescent="0.3">
      <c r="A6229">
        <v>6228</v>
      </c>
      <c r="B6229">
        <v>56811</v>
      </c>
      <c r="C6229" s="2">
        <v>37014</v>
      </c>
      <c r="D6229">
        <v>24</v>
      </c>
      <c r="E6229" t="s">
        <v>42</v>
      </c>
      <c r="F6229" t="s">
        <v>50</v>
      </c>
      <c r="G6229" s="2">
        <v>45401</v>
      </c>
      <c r="H6229" s="3">
        <f t="shared" si="97"/>
        <v>1.1150684931506849</v>
      </c>
      <c r="I6229">
        <v>120</v>
      </c>
      <c r="J6229" t="s">
        <v>57</v>
      </c>
      <c r="K6229" t="s">
        <v>68</v>
      </c>
      <c r="L6229" t="s">
        <v>44</v>
      </c>
      <c r="M6229">
        <v>17</v>
      </c>
      <c r="T6229" t="s">
        <v>47</v>
      </c>
      <c r="U6229">
        <v>1</v>
      </c>
      <c r="V6229">
        <v>6</v>
      </c>
    </row>
    <row r="6230" spans="1:22" x14ac:dyDescent="0.3">
      <c r="A6230">
        <v>6229</v>
      </c>
      <c r="B6230">
        <v>56812</v>
      </c>
      <c r="C6230" s="2">
        <v>36176</v>
      </c>
      <c r="D6230">
        <v>26</v>
      </c>
      <c r="E6230" t="s">
        <v>36</v>
      </c>
      <c r="F6230" t="s">
        <v>50</v>
      </c>
      <c r="G6230" s="2">
        <v>45615</v>
      </c>
      <c r="H6230" s="3">
        <f t="shared" si="97"/>
        <v>1.4</v>
      </c>
      <c r="I6230">
        <v>120</v>
      </c>
      <c r="J6230" t="s">
        <v>57</v>
      </c>
      <c r="K6230" t="s">
        <v>68</v>
      </c>
      <c r="L6230" t="s">
        <v>44</v>
      </c>
      <c r="M6230">
        <v>17</v>
      </c>
      <c r="T6230" t="s">
        <v>45</v>
      </c>
      <c r="U6230">
        <v>2</v>
      </c>
      <c r="V6230">
        <v>5</v>
      </c>
    </row>
    <row r="6231" spans="1:22" x14ac:dyDescent="0.3">
      <c r="A6231">
        <v>6230</v>
      </c>
      <c r="B6231">
        <v>56813</v>
      </c>
      <c r="C6231" s="2">
        <v>33925</v>
      </c>
      <c r="D6231">
        <v>33</v>
      </c>
      <c r="E6231" t="s">
        <v>42</v>
      </c>
      <c r="F6231" t="s">
        <v>50</v>
      </c>
      <c r="G6231" s="2">
        <v>45511</v>
      </c>
      <c r="H6231" s="3">
        <f t="shared" si="97"/>
        <v>1.3178082191780822</v>
      </c>
      <c r="I6231">
        <v>120</v>
      </c>
      <c r="J6231" t="s">
        <v>57</v>
      </c>
      <c r="K6231" t="s">
        <v>68</v>
      </c>
      <c r="L6231" t="s">
        <v>44</v>
      </c>
      <c r="M6231">
        <v>17</v>
      </c>
      <c r="T6231" t="s">
        <v>49</v>
      </c>
      <c r="U6231">
        <v>2</v>
      </c>
      <c r="V6231">
        <v>5</v>
      </c>
    </row>
    <row r="6232" spans="1:22" x14ac:dyDescent="0.3">
      <c r="A6232">
        <v>6231</v>
      </c>
      <c r="B6232">
        <v>56814</v>
      </c>
      <c r="C6232" s="2">
        <v>38067</v>
      </c>
      <c r="D6232">
        <v>21</v>
      </c>
      <c r="E6232" t="s">
        <v>42</v>
      </c>
      <c r="F6232" t="s">
        <v>50</v>
      </c>
      <c r="G6232" s="2">
        <v>45541</v>
      </c>
      <c r="H6232" s="3">
        <f t="shared" si="97"/>
        <v>1.747945205479452</v>
      </c>
      <c r="I6232">
        <v>120</v>
      </c>
      <c r="J6232" t="s">
        <v>57</v>
      </c>
      <c r="K6232" t="s">
        <v>65</v>
      </c>
      <c r="L6232" t="s">
        <v>44</v>
      </c>
      <c r="M6232">
        <v>10.64</v>
      </c>
      <c r="T6232" t="s">
        <v>49</v>
      </c>
      <c r="U6232">
        <v>0</v>
      </c>
      <c r="V6232">
        <v>6</v>
      </c>
    </row>
    <row r="6233" spans="1:22" x14ac:dyDescent="0.3">
      <c r="A6233">
        <v>6232</v>
      </c>
      <c r="B6233">
        <v>56815</v>
      </c>
      <c r="C6233" s="2">
        <v>37967</v>
      </c>
      <c r="D6233">
        <v>22</v>
      </c>
      <c r="E6233" t="s">
        <v>36</v>
      </c>
      <c r="F6233" t="s">
        <v>37</v>
      </c>
      <c r="G6233" s="2">
        <v>45384</v>
      </c>
      <c r="H6233" s="3">
        <f t="shared" si="97"/>
        <v>1.1726027397260275</v>
      </c>
      <c r="I6233">
        <v>120</v>
      </c>
      <c r="J6233" t="s">
        <v>57</v>
      </c>
      <c r="K6233" t="s">
        <v>65</v>
      </c>
      <c r="L6233" t="s">
        <v>44</v>
      </c>
      <c r="M6233">
        <v>10.64</v>
      </c>
      <c r="T6233" t="s">
        <v>45</v>
      </c>
      <c r="U6233">
        <v>1</v>
      </c>
      <c r="V6233">
        <v>2</v>
      </c>
    </row>
    <row r="6234" spans="1:22" x14ac:dyDescent="0.3">
      <c r="A6234">
        <v>6233</v>
      </c>
      <c r="B6234">
        <v>56816</v>
      </c>
      <c r="C6234" s="2">
        <v>38696</v>
      </c>
      <c r="D6234">
        <v>20</v>
      </c>
      <c r="E6234" t="s">
        <v>42</v>
      </c>
      <c r="F6234" t="s">
        <v>37</v>
      </c>
      <c r="G6234" s="2">
        <v>45594</v>
      </c>
      <c r="H6234" s="3">
        <f t="shared" si="97"/>
        <v>1.4273972602739726</v>
      </c>
      <c r="I6234">
        <v>120</v>
      </c>
      <c r="J6234" t="s">
        <v>57</v>
      </c>
      <c r="K6234" t="s">
        <v>65</v>
      </c>
      <c r="L6234" t="s">
        <v>44</v>
      </c>
      <c r="M6234">
        <v>10.64</v>
      </c>
      <c r="T6234" t="s">
        <v>45</v>
      </c>
      <c r="U6234">
        <v>0</v>
      </c>
      <c r="V6234">
        <v>3</v>
      </c>
    </row>
    <row r="6235" spans="1:22" x14ac:dyDescent="0.3">
      <c r="A6235">
        <v>6234</v>
      </c>
      <c r="B6235">
        <v>56817</v>
      </c>
      <c r="C6235" s="2">
        <v>37669</v>
      </c>
      <c r="D6235">
        <v>22</v>
      </c>
      <c r="E6235" t="s">
        <v>36</v>
      </c>
      <c r="F6235" t="s">
        <v>37</v>
      </c>
      <c r="G6235" s="2">
        <v>45501</v>
      </c>
      <c r="H6235" s="3">
        <f t="shared" si="97"/>
        <v>1.1178082191780823</v>
      </c>
      <c r="I6235">
        <v>120</v>
      </c>
      <c r="J6235" t="s">
        <v>57</v>
      </c>
      <c r="K6235" t="s">
        <v>56</v>
      </c>
      <c r="L6235" t="s">
        <v>44</v>
      </c>
      <c r="M6235">
        <v>8.4700000000000006</v>
      </c>
      <c r="T6235" t="s">
        <v>45</v>
      </c>
      <c r="U6235">
        <v>1</v>
      </c>
      <c r="V6235">
        <v>4</v>
      </c>
    </row>
    <row r="6236" spans="1:22" x14ac:dyDescent="0.3">
      <c r="A6236">
        <v>6235</v>
      </c>
      <c r="B6236">
        <v>56819</v>
      </c>
      <c r="C6236" s="2">
        <v>36337</v>
      </c>
      <c r="D6236">
        <v>26</v>
      </c>
      <c r="E6236" t="s">
        <v>42</v>
      </c>
      <c r="F6236" t="s">
        <v>50</v>
      </c>
      <c r="G6236" s="2">
        <v>45614</v>
      </c>
      <c r="H6236" s="3">
        <f t="shared" si="97"/>
        <v>1.0547945205479452</v>
      </c>
      <c r="I6236">
        <v>120</v>
      </c>
      <c r="J6236" t="s">
        <v>57</v>
      </c>
      <c r="K6236" t="s">
        <v>56</v>
      </c>
      <c r="L6236" t="s">
        <v>44</v>
      </c>
      <c r="M6236">
        <v>8.4700000000000006</v>
      </c>
      <c r="T6236" t="s">
        <v>52</v>
      </c>
      <c r="U6236">
        <v>1</v>
      </c>
      <c r="V6236">
        <v>6</v>
      </c>
    </row>
    <row r="6237" spans="1:22" x14ac:dyDescent="0.3">
      <c r="A6237">
        <v>6236</v>
      </c>
      <c r="B6237">
        <v>56820</v>
      </c>
      <c r="C6237" s="2">
        <v>37665</v>
      </c>
      <c r="D6237">
        <v>22</v>
      </c>
      <c r="E6237" t="s">
        <v>36</v>
      </c>
      <c r="F6237" t="s">
        <v>50</v>
      </c>
      <c r="G6237" s="2">
        <v>45637</v>
      </c>
      <c r="H6237" s="3">
        <f t="shared" si="97"/>
        <v>1.3150684931506849</v>
      </c>
      <c r="I6237">
        <v>120</v>
      </c>
      <c r="J6237" t="s">
        <v>57</v>
      </c>
      <c r="K6237" t="s">
        <v>56</v>
      </c>
      <c r="L6237" t="s">
        <v>44</v>
      </c>
      <c r="M6237">
        <v>8.4700000000000006</v>
      </c>
      <c r="T6237" t="s">
        <v>49</v>
      </c>
      <c r="U6237">
        <v>4</v>
      </c>
      <c r="V6237">
        <v>6</v>
      </c>
    </row>
    <row r="6238" spans="1:22" x14ac:dyDescent="0.3">
      <c r="A6238">
        <v>6237</v>
      </c>
      <c r="B6238">
        <v>56821</v>
      </c>
      <c r="C6238" s="2">
        <v>38043</v>
      </c>
      <c r="D6238">
        <v>21</v>
      </c>
      <c r="E6238" t="s">
        <v>36</v>
      </c>
      <c r="F6238" t="s">
        <v>37</v>
      </c>
      <c r="G6238" s="2">
        <v>45542</v>
      </c>
      <c r="H6238" s="3">
        <f t="shared" si="97"/>
        <v>1.7589041095890412</v>
      </c>
      <c r="I6238">
        <v>120</v>
      </c>
      <c r="J6238" t="s">
        <v>57</v>
      </c>
      <c r="K6238" t="s">
        <v>56</v>
      </c>
      <c r="L6238" t="s">
        <v>44</v>
      </c>
      <c r="M6238">
        <v>8.4700000000000006</v>
      </c>
      <c r="T6238" t="s">
        <v>45</v>
      </c>
      <c r="U6238">
        <v>2</v>
      </c>
      <c r="V6238">
        <v>4</v>
      </c>
    </row>
    <row r="6239" spans="1:22" x14ac:dyDescent="0.3">
      <c r="A6239">
        <v>6238</v>
      </c>
      <c r="B6239">
        <v>56822</v>
      </c>
      <c r="C6239" s="2">
        <v>37017</v>
      </c>
      <c r="D6239">
        <v>24</v>
      </c>
      <c r="E6239" t="s">
        <v>42</v>
      </c>
      <c r="F6239" t="s">
        <v>50</v>
      </c>
      <c r="G6239" s="2">
        <v>45380</v>
      </c>
      <c r="H6239" s="3">
        <f t="shared" si="97"/>
        <v>1.4712328767123288</v>
      </c>
      <c r="I6239">
        <v>120</v>
      </c>
      <c r="J6239" t="s">
        <v>57</v>
      </c>
      <c r="K6239" t="s">
        <v>56</v>
      </c>
      <c r="L6239" t="s">
        <v>44</v>
      </c>
      <c r="M6239">
        <v>8.4700000000000006</v>
      </c>
      <c r="T6239" t="s">
        <v>45</v>
      </c>
      <c r="U6239">
        <v>4</v>
      </c>
      <c r="V6239">
        <v>6</v>
      </c>
    </row>
    <row r="6240" spans="1:22" x14ac:dyDescent="0.3">
      <c r="A6240">
        <v>6239</v>
      </c>
      <c r="B6240">
        <v>56823</v>
      </c>
      <c r="C6240" s="2">
        <v>38628</v>
      </c>
      <c r="D6240">
        <v>20</v>
      </c>
      <c r="E6240" t="s">
        <v>42</v>
      </c>
      <c r="F6240" t="s">
        <v>37</v>
      </c>
      <c r="G6240" s="2">
        <v>45485</v>
      </c>
      <c r="H6240" s="3">
        <f t="shared" si="97"/>
        <v>1.4904109589041097</v>
      </c>
      <c r="I6240">
        <v>120</v>
      </c>
      <c r="J6240" t="s">
        <v>57</v>
      </c>
      <c r="K6240" t="s">
        <v>56</v>
      </c>
      <c r="L6240" t="s">
        <v>44</v>
      </c>
      <c r="M6240">
        <v>8.4700000000000006</v>
      </c>
      <c r="T6240" t="s">
        <v>52</v>
      </c>
      <c r="U6240">
        <v>2</v>
      </c>
      <c r="V6240">
        <v>5</v>
      </c>
    </row>
    <row r="6241" spans="1:22" x14ac:dyDescent="0.3">
      <c r="A6241">
        <v>6240</v>
      </c>
      <c r="B6241">
        <v>56824</v>
      </c>
      <c r="C6241" s="2">
        <v>37841</v>
      </c>
      <c r="D6241">
        <v>22</v>
      </c>
      <c r="E6241" t="s">
        <v>42</v>
      </c>
      <c r="F6241" t="s">
        <v>50</v>
      </c>
      <c r="G6241" s="2">
        <v>45478</v>
      </c>
      <c r="H6241" s="3">
        <f t="shared" si="97"/>
        <v>1.715068493150685</v>
      </c>
      <c r="I6241">
        <v>120</v>
      </c>
      <c r="J6241" t="s">
        <v>57</v>
      </c>
      <c r="K6241" t="s">
        <v>56</v>
      </c>
      <c r="L6241" t="s">
        <v>44</v>
      </c>
      <c r="M6241">
        <v>8.4700000000000006</v>
      </c>
      <c r="T6241" t="s">
        <v>45</v>
      </c>
      <c r="U6241">
        <v>3</v>
      </c>
      <c r="V6241">
        <v>6</v>
      </c>
    </row>
    <row r="6242" spans="1:22" x14ac:dyDescent="0.3">
      <c r="A6242">
        <v>6241</v>
      </c>
      <c r="B6242">
        <v>56825</v>
      </c>
      <c r="C6242" s="2">
        <v>38674</v>
      </c>
      <c r="D6242">
        <v>20</v>
      </c>
      <c r="E6242" t="s">
        <v>42</v>
      </c>
      <c r="F6242" t="s">
        <v>50</v>
      </c>
      <c r="G6242" s="2">
        <v>45396</v>
      </c>
      <c r="H6242" s="3">
        <f t="shared" si="97"/>
        <v>1.2301369863013698</v>
      </c>
      <c r="I6242">
        <v>120</v>
      </c>
      <c r="J6242" t="s">
        <v>57</v>
      </c>
      <c r="K6242" t="s">
        <v>56</v>
      </c>
      <c r="L6242" t="s">
        <v>44</v>
      </c>
      <c r="M6242">
        <v>8.4700000000000006</v>
      </c>
      <c r="T6242" t="s">
        <v>52</v>
      </c>
      <c r="U6242">
        <v>3</v>
      </c>
      <c r="V6242">
        <v>7</v>
      </c>
    </row>
    <row r="6243" spans="1:22" x14ac:dyDescent="0.3">
      <c r="A6243">
        <v>6242</v>
      </c>
      <c r="B6243">
        <v>56826</v>
      </c>
      <c r="C6243" s="2">
        <v>37200</v>
      </c>
      <c r="D6243">
        <v>24</v>
      </c>
      <c r="E6243" t="s">
        <v>42</v>
      </c>
      <c r="F6243" t="s">
        <v>37</v>
      </c>
      <c r="G6243" s="2">
        <v>45573</v>
      </c>
      <c r="H6243" s="3">
        <f t="shared" si="97"/>
        <v>1.4383561643835616</v>
      </c>
      <c r="I6243">
        <v>120</v>
      </c>
      <c r="J6243" t="s">
        <v>57</v>
      </c>
      <c r="K6243" t="s">
        <v>56</v>
      </c>
      <c r="L6243" t="s">
        <v>44</v>
      </c>
      <c r="M6243">
        <v>8.4700000000000006</v>
      </c>
      <c r="T6243" t="s">
        <v>52</v>
      </c>
      <c r="U6243">
        <v>2</v>
      </c>
      <c r="V6243">
        <v>5</v>
      </c>
    </row>
    <row r="6244" spans="1:22" x14ac:dyDescent="0.3">
      <c r="A6244">
        <v>6243</v>
      </c>
      <c r="B6244">
        <v>56827</v>
      </c>
      <c r="C6244" s="2">
        <v>39297</v>
      </c>
      <c r="D6244">
        <v>18</v>
      </c>
      <c r="E6244" t="s">
        <v>42</v>
      </c>
      <c r="F6244" t="s">
        <v>50</v>
      </c>
      <c r="G6244" s="2">
        <v>45497</v>
      </c>
      <c r="H6244" s="3">
        <f t="shared" si="97"/>
        <v>1.4958904109589042</v>
      </c>
      <c r="I6244">
        <v>120</v>
      </c>
      <c r="J6244" t="s">
        <v>57</v>
      </c>
      <c r="K6244" t="s">
        <v>56</v>
      </c>
      <c r="L6244" t="s">
        <v>44</v>
      </c>
      <c r="M6244">
        <v>8.4700000000000006</v>
      </c>
      <c r="T6244" t="s">
        <v>52</v>
      </c>
      <c r="U6244">
        <v>2</v>
      </c>
      <c r="V6244">
        <v>6</v>
      </c>
    </row>
    <row r="6245" spans="1:22" x14ac:dyDescent="0.3">
      <c r="A6245">
        <v>6244</v>
      </c>
      <c r="B6245">
        <v>56828</v>
      </c>
      <c r="C6245" s="2">
        <v>36473</v>
      </c>
      <c r="D6245">
        <v>26</v>
      </c>
      <c r="E6245" t="s">
        <v>42</v>
      </c>
      <c r="F6245" t="s">
        <v>37</v>
      </c>
      <c r="G6245" s="2">
        <v>45476</v>
      </c>
      <c r="H6245" s="3">
        <f t="shared" si="97"/>
        <v>1.5424657534246575</v>
      </c>
      <c r="I6245">
        <v>120</v>
      </c>
      <c r="J6245" t="s">
        <v>57</v>
      </c>
      <c r="K6245" t="s">
        <v>56</v>
      </c>
      <c r="L6245" t="s">
        <v>44</v>
      </c>
      <c r="M6245">
        <v>8.4700000000000006</v>
      </c>
      <c r="T6245" t="s">
        <v>45</v>
      </c>
      <c r="U6245">
        <v>4</v>
      </c>
      <c r="V6245">
        <v>5</v>
      </c>
    </row>
    <row r="6246" spans="1:22" x14ac:dyDescent="0.3">
      <c r="A6246">
        <v>6245</v>
      </c>
      <c r="B6246">
        <v>56829</v>
      </c>
      <c r="C6246" s="2">
        <v>38148</v>
      </c>
      <c r="D6246">
        <v>21</v>
      </c>
      <c r="E6246" t="s">
        <v>42</v>
      </c>
      <c r="F6246" t="s">
        <v>37</v>
      </c>
      <c r="G6246" s="2">
        <v>45459</v>
      </c>
      <c r="H6246" s="3">
        <f t="shared" si="97"/>
        <v>1.0054794520547945</v>
      </c>
      <c r="I6246">
        <v>120</v>
      </c>
      <c r="J6246" t="s">
        <v>57</v>
      </c>
      <c r="K6246" t="s">
        <v>56</v>
      </c>
      <c r="L6246" t="s">
        <v>44</v>
      </c>
      <c r="M6246">
        <v>8.4700000000000006</v>
      </c>
      <c r="T6246" t="s">
        <v>52</v>
      </c>
      <c r="U6246">
        <v>2</v>
      </c>
      <c r="V6246">
        <v>5</v>
      </c>
    </row>
    <row r="6247" spans="1:22" x14ac:dyDescent="0.3">
      <c r="A6247">
        <v>6246</v>
      </c>
      <c r="B6247">
        <v>56830</v>
      </c>
      <c r="C6247" s="2">
        <v>38694</v>
      </c>
      <c r="D6247">
        <v>20</v>
      </c>
      <c r="E6247" t="s">
        <v>36</v>
      </c>
      <c r="F6247" t="s">
        <v>37</v>
      </c>
      <c r="G6247" s="2">
        <v>45655</v>
      </c>
      <c r="H6247" s="3">
        <f t="shared" si="97"/>
        <v>1.3205479452054794</v>
      </c>
      <c r="I6247">
        <v>120</v>
      </c>
      <c r="J6247" t="s">
        <v>57</v>
      </c>
      <c r="K6247" t="s">
        <v>56</v>
      </c>
      <c r="L6247" t="s">
        <v>44</v>
      </c>
      <c r="M6247">
        <v>8.4700000000000006</v>
      </c>
      <c r="T6247" t="s">
        <v>49</v>
      </c>
      <c r="U6247">
        <v>2</v>
      </c>
      <c r="V6247">
        <v>5</v>
      </c>
    </row>
    <row r="6248" spans="1:22" x14ac:dyDescent="0.3">
      <c r="A6248">
        <v>6247</v>
      </c>
      <c r="B6248">
        <v>56831</v>
      </c>
      <c r="C6248" s="2">
        <v>38521</v>
      </c>
      <c r="D6248">
        <v>20</v>
      </c>
      <c r="E6248" t="s">
        <v>42</v>
      </c>
      <c r="F6248" t="s">
        <v>50</v>
      </c>
      <c r="G6248" s="2">
        <v>45540</v>
      </c>
      <c r="H6248" s="3">
        <f t="shared" si="97"/>
        <v>1.0191780821917809</v>
      </c>
      <c r="I6248">
        <v>120</v>
      </c>
      <c r="J6248" t="s">
        <v>57</v>
      </c>
      <c r="K6248" t="s">
        <v>56</v>
      </c>
      <c r="L6248" t="s">
        <v>44</v>
      </c>
      <c r="M6248">
        <v>8.4700000000000006</v>
      </c>
      <c r="T6248" t="s">
        <v>45</v>
      </c>
      <c r="U6248">
        <v>4</v>
      </c>
      <c r="V6248">
        <v>7</v>
      </c>
    </row>
    <row r="6249" spans="1:22" x14ac:dyDescent="0.3">
      <c r="A6249">
        <v>6248</v>
      </c>
      <c r="B6249">
        <v>56832</v>
      </c>
      <c r="C6249" s="2">
        <v>38660</v>
      </c>
      <c r="D6249">
        <v>20</v>
      </c>
      <c r="E6249" t="s">
        <v>42</v>
      </c>
      <c r="F6249" t="s">
        <v>50</v>
      </c>
      <c r="G6249" s="2">
        <v>45650</v>
      </c>
      <c r="H6249" s="3">
        <f t="shared" si="97"/>
        <v>1.6054794520547946</v>
      </c>
      <c r="I6249">
        <v>120</v>
      </c>
      <c r="J6249" t="s">
        <v>57</v>
      </c>
      <c r="K6249" t="s">
        <v>56</v>
      </c>
      <c r="L6249" t="s">
        <v>44</v>
      </c>
      <c r="M6249">
        <v>8.4700000000000006</v>
      </c>
      <c r="T6249" t="s">
        <v>52</v>
      </c>
      <c r="U6249">
        <v>0</v>
      </c>
      <c r="V6249">
        <v>6</v>
      </c>
    </row>
    <row r="6250" spans="1:22" x14ac:dyDescent="0.3">
      <c r="A6250">
        <v>6249</v>
      </c>
      <c r="B6250">
        <v>56833</v>
      </c>
      <c r="C6250" s="2">
        <v>37030</v>
      </c>
      <c r="D6250">
        <v>24</v>
      </c>
      <c r="E6250" t="s">
        <v>42</v>
      </c>
      <c r="F6250" t="s">
        <v>50</v>
      </c>
      <c r="G6250" s="2">
        <v>45436</v>
      </c>
      <c r="H6250" s="3">
        <f t="shared" si="97"/>
        <v>1.6273972602739726</v>
      </c>
      <c r="I6250">
        <v>121</v>
      </c>
      <c r="J6250" t="s">
        <v>57</v>
      </c>
      <c r="K6250" t="s">
        <v>65</v>
      </c>
      <c r="L6250" t="s">
        <v>44</v>
      </c>
      <c r="M6250">
        <v>10.64</v>
      </c>
      <c r="T6250" t="s">
        <v>52</v>
      </c>
      <c r="U6250">
        <v>0</v>
      </c>
      <c r="V6250">
        <v>7</v>
      </c>
    </row>
    <row r="6251" spans="1:22" x14ac:dyDescent="0.3">
      <c r="A6251">
        <v>6250</v>
      </c>
      <c r="B6251">
        <v>56834</v>
      </c>
      <c r="C6251" s="2">
        <v>38261</v>
      </c>
      <c r="D6251">
        <v>22</v>
      </c>
      <c r="E6251" t="s">
        <v>42</v>
      </c>
      <c r="F6251" t="s">
        <v>50</v>
      </c>
      <c r="G6251" s="2">
        <v>45428</v>
      </c>
      <c r="H6251" s="3">
        <f t="shared" si="97"/>
        <v>1.167123287671233</v>
      </c>
      <c r="I6251">
        <v>121</v>
      </c>
      <c r="J6251" t="s">
        <v>57</v>
      </c>
      <c r="K6251" t="s">
        <v>64</v>
      </c>
      <c r="L6251" t="s">
        <v>44</v>
      </c>
      <c r="M6251">
        <v>14.07</v>
      </c>
      <c r="T6251" t="s">
        <v>45</v>
      </c>
      <c r="U6251">
        <v>0</v>
      </c>
      <c r="V6251">
        <v>6</v>
      </c>
    </row>
    <row r="6252" spans="1:22" x14ac:dyDescent="0.3">
      <c r="A6252">
        <v>6251</v>
      </c>
      <c r="B6252">
        <v>56835</v>
      </c>
      <c r="C6252" s="2">
        <v>37643</v>
      </c>
      <c r="D6252">
        <v>22</v>
      </c>
      <c r="E6252" t="s">
        <v>42</v>
      </c>
      <c r="F6252" t="s">
        <v>37</v>
      </c>
      <c r="G6252" s="2">
        <v>45596</v>
      </c>
      <c r="H6252" s="3">
        <f t="shared" si="97"/>
        <v>1.5068493150684932</v>
      </c>
      <c r="I6252">
        <v>121</v>
      </c>
      <c r="J6252" t="s">
        <v>57</v>
      </c>
      <c r="K6252" t="s">
        <v>48</v>
      </c>
      <c r="L6252" t="s">
        <v>44</v>
      </c>
      <c r="M6252">
        <v>8.4700000000000006</v>
      </c>
      <c r="T6252" t="s">
        <v>52</v>
      </c>
      <c r="U6252">
        <v>2</v>
      </c>
      <c r="V6252">
        <v>7</v>
      </c>
    </row>
    <row r="6253" spans="1:22" x14ac:dyDescent="0.3">
      <c r="A6253">
        <v>6252</v>
      </c>
      <c r="B6253">
        <v>56837</v>
      </c>
      <c r="C6253" s="2">
        <v>37898</v>
      </c>
      <c r="D6253">
        <v>22</v>
      </c>
      <c r="E6253" t="s">
        <v>42</v>
      </c>
      <c r="F6253" t="s">
        <v>50</v>
      </c>
      <c r="G6253" s="2">
        <v>45472</v>
      </c>
      <c r="H6253" s="3">
        <f t="shared" si="97"/>
        <v>1.452054794520548</v>
      </c>
      <c r="I6253">
        <v>121</v>
      </c>
      <c r="J6253" t="s">
        <v>57</v>
      </c>
      <c r="K6253" t="s">
        <v>56</v>
      </c>
      <c r="L6253" t="s">
        <v>44</v>
      </c>
      <c r="M6253">
        <v>8.4700000000000006</v>
      </c>
      <c r="T6253" t="s">
        <v>45</v>
      </c>
      <c r="U6253">
        <v>2</v>
      </c>
      <c r="V6253">
        <v>5</v>
      </c>
    </row>
    <row r="6254" spans="1:22" x14ac:dyDescent="0.3">
      <c r="A6254">
        <v>6253</v>
      </c>
      <c r="B6254">
        <v>56838</v>
      </c>
      <c r="C6254" s="2">
        <v>35339</v>
      </c>
      <c r="D6254">
        <v>30</v>
      </c>
      <c r="E6254" t="s">
        <v>42</v>
      </c>
      <c r="F6254" t="s">
        <v>50</v>
      </c>
      <c r="G6254" s="2">
        <v>45492</v>
      </c>
      <c r="H6254" s="3">
        <f t="shared" si="97"/>
        <v>1.3452054794520547</v>
      </c>
      <c r="I6254">
        <v>121</v>
      </c>
      <c r="J6254" t="s">
        <v>57</v>
      </c>
      <c r="K6254" t="s">
        <v>56</v>
      </c>
      <c r="L6254" t="s">
        <v>44</v>
      </c>
      <c r="M6254">
        <v>8.4700000000000006</v>
      </c>
      <c r="T6254" t="s">
        <v>49</v>
      </c>
      <c r="U6254">
        <v>2</v>
      </c>
      <c r="V6254">
        <v>7</v>
      </c>
    </row>
    <row r="6255" spans="1:22" x14ac:dyDescent="0.3">
      <c r="A6255">
        <v>6254</v>
      </c>
      <c r="B6255">
        <v>56839</v>
      </c>
      <c r="C6255" s="2">
        <v>38122</v>
      </c>
      <c r="D6255">
        <v>21</v>
      </c>
      <c r="E6255" t="s">
        <v>42</v>
      </c>
      <c r="F6255" t="s">
        <v>37</v>
      </c>
      <c r="G6255" s="2">
        <v>45531</v>
      </c>
      <c r="H6255" s="3">
        <f t="shared" si="97"/>
        <v>1.1972602739726028</v>
      </c>
      <c r="I6255">
        <v>121</v>
      </c>
      <c r="J6255" t="s">
        <v>57</v>
      </c>
      <c r="K6255" t="s">
        <v>56</v>
      </c>
      <c r="L6255" t="s">
        <v>44</v>
      </c>
      <c r="M6255">
        <v>8.4700000000000006</v>
      </c>
      <c r="T6255" t="s">
        <v>49</v>
      </c>
      <c r="U6255">
        <v>2</v>
      </c>
      <c r="V6255">
        <v>5</v>
      </c>
    </row>
    <row r="6256" spans="1:22" x14ac:dyDescent="0.3">
      <c r="A6256">
        <v>6255</v>
      </c>
      <c r="B6256">
        <v>56840</v>
      </c>
      <c r="C6256" s="2">
        <v>38604</v>
      </c>
      <c r="D6256">
        <v>20</v>
      </c>
      <c r="E6256" t="s">
        <v>42</v>
      </c>
      <c r="F6256" t="s">
        <v>50</v>
      </c>
      <c r="G6256" s="2">
        <v>45585</v>
      </c>
      <c r="H6256" s="3">
        <f t="shared" si="97"/>
        <v>1.2027397260273973</v>
      </c>
      <c r="I6256">
        <v>121</v>
      </c>
      <c r="J6256" t="s">
        <v>57</v>
      </c>
      <c r="K6256" t="s">
        <v>56</v>
      </c>
      <c r="L6256" t="s">
        <v>44</v>
      </c>
      <c r="M6256">
        <v>8.4700000000000006</v>
      </c>
      <c r="T6256" t="s">
        <v>47</v>
      </c>
      <c r="U6256">
        <v>4</v>
      </c>
      <c r="V6256">
        <v>7</v>
      </c>
    </row>
    <row r="6257" spans="1:22" x14ac:dyDescent="0.3">
      <c r="A6257">
        <v>6256</v>
      </c>
      <c r="B6257">
        <v>56843</v>
      </c>
      <c r="C6257" s="2">
        <v>38991</v>
      </c>
      <c r="D6257">
        <v>20</v>
      </c>
      <c r="E6257" t="s">
        <v>36</v>
      </c>
      <c r="F6257" t="s">
        <v>50</v>
      </c>
      <c r="G6257" s="2">
        <v>45583</v>
      </c>
      <c r="H6257" s="3">
        <f t="shared" si="97"/>
        <v>1.1397260273972603</v>
      </c>
      <c r="I6257">
        <v>121</v>
      </c>
      <c r="J6257" t="s">
        <v>57</v>
      </c>
      <c r="K6257" t="s">
        <v>56</v>
      </c>
      <c r="L6257" t="s">
        <v>44</v>
      </c>
      <c r="M6257">
        <v>8.4700000000000006</v>
      </c>
      <c r="T6257" t="s">
        <v>47</v>
      </c>
      <c r="U6257">
        <v>1</v>
      </c>
      <c r="V6257">
        <v>4</v>
      </c>
    </row>
    <row r="6258" spans="1:22" x14ac:dyDescent="0.3">
      <c r="A6258">
        <v>6257</v>
      </c>
      <c r="B6258">
        <v>56844</v>
      </c>
      <c r="C6258" s="2">
        <v>37235</v>
      </c>
      <c r="D6258">
        <v>24</v>
      </c>
      <c r="E6258" t="s">
        <v>42</v>
      </c>
      <c r="F6258" t="s">
        <v>50</v>
      </c>
      <c r="G6258" s="2">
        <v>45606</v>
      </c>
      <c r="H6258" s="3">
        <f t="shared" si="97"/>
        <v>1.4438356164383561</v>
      </c>
      <c r="I6258">
        <v>122</v>
      </c>
      <c r="J6258" t="s">
        <v>57</v>
      </c>
      <c r="K6258" t="s">
        <v>68</v>
      </c>
      <c r="L6258" t="s">
        <v>44</v>
      </c>
      <c r="M6258">
        <v>17</v>
      </c>
      <c r="T6258" t="s">
        <v>45</v>
      </c>
      <c r="U6258">
        <v>1</v>
      </c>
      <c r="V6258">
        <v>6</v>
      </c>
    </row>
    <row r="6259" spans="1:22" x14ac:dyDescent="0.3">
      <c r="A6259">
        <v>6258</v>
      </c>
      <c r="B6259">
        <v>56845</v>
      </c>
      <c r="C6259" s="2">
        <v>36849</v>
      </c>
      <c r="D6259">
        <v>25</v>
      </c>
      <c r="E6259" t="s">
        <v>42</v>
      </c>
      <c r="F6259" t="s">
        <v>50</v>
      </c>
      <c r="G6259" s="2">
        <v>45495</v>
      </c>
      <c r="H6259" s="3">
        <f t="shared" si="97"/>
        <v>1.5534246575342465</v>
      </c>
      <c r="I6259">
        <v>122</v>
      </c>
      <c r="J6259" t="s">
        <v>57</v>
      </c>
      <c r="K6259" t="s">
        <v>68</v>
      </c>
      <c r="L6259" t="s">
        <v>44</v>
      </c>
      <c r="M6259">
        <v>17</v>
      </c>
      <c r="T6259" t="s">
        <v>45</v>
      </c>
      <c r="U6259">
        <v>3</v>
      </c>
      <c r="V6259">
        <v>5</v>
      </c>
    </row>
    <row r="6260" spans="1:22" x14ac:dyDescent="0.3">
      <c r="A6260">
        <v>6259</v>
      </c>
      <c r="B6260">
        <v>56846</v>
      </c>
      <c r="C6260" s="2">
        <v>37170</v>
      </c>
      <c r="D6260">
        <v>24</v>
      </c>
      <c r="E6260" t="s">
        <v>42</v>
      </c>
      <c r="F6260" t="s">
        <v>50</v>
      </c>
      <c r="G6260" s="2">
        <v>45455</v>
      </c>
      <c r="H6260" s="3">
        <f t="shared" si="97"/>
        <v>1.7671232876712328</v>
      </c>
      <c r="I6260">
        <v>122</v>
      </c>
      <c r="J6260" t="s">
        <v>57</v>
      </c>
      <c r="K6260" t="s">
        <v>68</v>
      </c>
      <c r="L6260" t="s">
        <v>44</v>
      </c>
      <c r="M6260">
        <v>17</v>
      </c>
      <c r="T6260" t="s">
        <v>52</v>
      </c>
      <c r="U6260">
        <v>3</v>
      </c>
      <c r="V6260">
        <v>5</v>
      </c>
    </row>
    <row r="6261" spans="1:22" x14ac:dyDescent="0.3">
      <c r="A6261">
        <v>6260</v>
      </c>
      <c r="B6261">
        <v>56847</v>
      </c>
      <c r="C6261" s="2">
        <v>34738</v>
      </c>
      <c r="D6261">
        <v>30</v>
      </c>
      <c r="E6261" t="s">
        <v>36</v>
      </c>
      <c r="F6261" t="s">
        <v>50</v>
      </c>
      <c r="G6261" s="2">
        <v>45377</v>
      </c>
      <c r="H6261" s="3">
        <f t="shared" si="97"/>
        <v>1.1178082191780823</v>
      </c>
      <c r="I6261">
        <v>122</v>
      </c>
      <c r="J6261" t="s">
        <v>57</v>
      </c>
      <c r="K6261" t="s">
        <v>65</v>
      </c>
      <c r="L6261" t="s">
        <v>44</v>
      </c>
      <c r="M6261">
        <v>10.64</v>
      </c>
      <c r="T6261" t="s">
        <v>45</v>
      </c>
      <c r="U6261">
        <v>1</v>
      </c>
      <c r="V6261">
        <v>5</v>
      </c>
    </row>
    <row r="6262" spans="1:22" x14ac:dyDescent="0.3">
      <c r="A6262">
        <v>6261</v>
      </c>
      <c r="B6262">
        <v>56848</v>
      </c>
      <c r="C6262" s="2">
        <v>36358</v>
      </c>
      <c r="D6262">
        <v>26</v>
      </c>
      <c r="E6262" t="s">
        <v>42</v>
      </c>
      <c r="F6262" t="s">
        <v>50</v>
      </c>
      <c r="G6262" s="2">
        <v>45614</v>
      </c>
      <c r="H6262" s="3">
        <f t="shared" si="97"/>
        <v>1.1095890410958904</v>
      </c>
      <c r="I6262">
        <v>122</v>
      </c>
      <c r="J6262" t="s">
        <v>57</v>
      </c>
      <c r="K6262" t="s">
        <v>56</v>
      </c>
      <c r="L6262" t="s">
        <v>44</v>
      </c>
      <c r="M6262">
        <v>8.4700000000000006</v>
      </c>
      <c r="T6262" t="s">
        <v>47</v>
      </c>
      <c r="U6262">
        <v>4</v>
      </c>
      <c r="V6262">
        <v>7</v>
      </c>
    </row>
    <row r="6263" spans="1:22" x14ac:dyDescent="0.3">
      <c r="A6263">
        <v>6262</v>
      </c>
      <c r="B6263">
        <v>56849</v>
      </c>
      <c r="C6263" s="2">
        <v>36539</v>
      </c>
      <c r="D6263">
        <v>25</v>
      </c>
      <c r="E6263" t="s">
        <v>36</v>
      </c>
      <c r="F6263" t="s">
        <v>50</v>
      </c>
      <c r="G6263" s="2">
        <v>45617</v>
      </c>
      <c r="H6263" s="3">
        <f t="shared" si="97"/>
        <v>1.536986301369863</v>
      </c>
      <c r="I6263">
        <v>123</v>
      </c>
      <c r="J6263" t="s">
        <v>57</v>
      </c>
      <c r="K6263" t="s">
        <v>68</v>
      </c>
      <c r="L6263" t="s">
        <v>44</v>
      </c>
      <c r="M6263">
        <v>17</v>
      </c>
      <c r="T6263" t="s">
        <v>47</v>
      </c>
      <c r="U6263">
        <v>4</v>
      </c>
      <c r="V6263">
        <v>6</v>
      </c>
    </row>
    <row r="6264" spans="1:22" x14ac:dyDescent="0.3">
      <c r="A6264">
        <v>6263</v>
      </c>
      <c r="B6264">
        <v>56850</v>
      </c>
      <c r="C6264" s="2">
        <v>38256</v>
      </c>
      <c r="D6264">
        <v>21</v>
      </c>
      <c r="E6264" t="s">
        <v>42</v>
      </c>
      <c r="F6264" t="s">
        <v>50</v>
      </c>
      <c r="G6264" s="2">
        <v>45461</v>
      </c>
      <c r="H6264" s="3">
        <f t="shared" si="97"/>
        <v>1.1178082191780823</v>
      </c>
      <c r="I6264">
        <v>123</v>
      </c>
      <c r="J6264" t="s">
        <v>57</v>
      </c>
      <c r="K6264" t="s">
        <v>65</v>
      </c>
      <c r="L6264" t="s">
        <v>44</v>
      </c>
      <c r="M6264">
        <v>10.64</v>
      </c>
      <c r="T6264" t="s">
        <v>45</v>
      </c>
      <c r="U6264">
        <v>0</v>
      </c>
      <c r="V6264">
        <v>7</v>
      </c>
    </row>
    <row r="6265" spans="1:22" x14ac:dyDescent="0.3">
      <c r="A6265">
        <v>6264</v>
      </c>
      <c r="B6265">
        <v>56851</v>
      </c>
      <c r="C6265" s="2">
        <v>36839</v>
      </c>
      <c r="D6265">
        <v>25</v>
      </c>
      <c r="E6265" t="s">
        <v>42</v>
      </c>
      <c r="F6265" t="s">
        <v>50</v>
      </c>
      <c r="G6265" s="2">
        <v>45614</v>
      </c>
      <c r="H6265" s="3">
        <f t="shared" si="97"/>
        <v>1</v>
      </c>
      <c r="I6265">
        <v>123</v>
      </c>
      <c r="J6265" t="s">
        <v>57</v>
      </c>
      <c r="K6265" t="s">
        <v>48</v>
      </c>
      <c r="L6265" t="s">
        <v>44</v>
      </c>
      <c r="M6265">
        <v>8.4700000000000006</v>
      </c>
      <c r="T6265" t="s">
        <v>45</v>
      </c>
      <c r="U6265">
        <v>0</v>
      </c>
      <c r="V6265">
        <v>6</v>
      </c>
    </row>
    <row r="6266" spans="1:22" x14ac:dyDescent="0.3">
      <c r="A6266">
        <v>6265</v>
      </c>
      <c r="B6266">
        <v>56852</v>
      </c>
      <c r="C6266" s="2">
        <v>37197</v>
      </c>
      <c r="D6266">
        <v>24</v>
      </c>
      <c r="E6266" t="s">
        <v>42</v>
      </c>
      <c r="F6266" t="s">
        <v>50</v>
      </c>
      <c r="G6266" s="2">
        <v>45657</v>
      </c>
      <c r="H6266" s="3">
        <f t="shared" si="97"/>
        <v>1.484931506849315</v>
      </c>
      <c r="I6266">
        <v>123</v>
      </c>
      <c r="J6266" t="s">
        <v>57</v>
      </c>
      <c r="K6266" t="s">
        <v>56</v>
      </c>
      <c r="L6266" t="s">
        <v>44</v>
      </c>
      <c r="M6266">
        <v>8.4700000000000006</v>
      </c>
      <c r="T6266" t="s">
        <v>52</v>
      </c>
      <c r="U6266">
        <v>2</v>
      </c>
      <c r="V6266">
        <v>5</v>
      </c>
    </row>
    <row r="6267" spans="1:22" x14ac:dyDescent="0.3">
      <c r="A6267">
        <v>6266</v>
      </c>
      <c r="B6267">
        <v>56853</v>
      </c>
      <c r="C6267" s="2">
        <v>35957</v>
      </c>
      <c r="D6267">
        <v>27</v>
      </c>
      <c r="E6267" t="s">
        <v>36</v>
      </c>
      <c r="F6267" t="s">
        <v>50</v>
      </c>
      <c r="G6267" s="2">
        <v>45480</v>
      </c>
      <c r="H6267" s="3">
        <f t="shared" si="97"/>
        <v>1.095890410958904</v>
      </c>
      <c r="I6267">
        <v>123</v>
      </c>
      <c r="J6267" t="s">
        <v>57</v>
      </c>
      <c r="K6267" t="s">
        <v>56</v>
      </c>
      <c r="L6267" t="s">
        <v>44</v>
      </c>
      <c r="M6267">
        <v>8.4700000000000006</v>
      </c>
      <c r="T6267" t="s">
        <v>45</v>
      </c>
      <c r="U6267">
        <v>1</v>
      </c>
      <c r="V6267">
        <v>5</v>
      </c>
    </row>
    <row r="6268" spans="1:22" x14ac:dyDescent="0.3">
      <c r="A6268">
        <v>6267</v>
      </c>
      <c r="B6268">
        <v>56854</v>
      </c>
      <c r="C6268" s="2">
        <v>38570</v>
      </c>
      <c r="D6268">
        <v>20</v>
      </c>
      <c r="E6268" t="s">
        <v>42</v>
      </c>
      <c r="F6268" t="s">
        <v>50</v>
      </c>
      <c r="G6268" s="2">
        <v>45622</v>
      </c>
      <c r="H6268" s="3">
        <f t="shared" si="97"/>
        <v>1.2301369863013698</v>
      </c>
      <c r="I6268">
        <v>123</v>
      </c>
      <c r="J6268" t="s">
        <v>57</v>
      </c>
      <c r="K6268" t="s">
        <v>56</v>
      </c>
      <c r="L6268" t="s">
        <v>44</v>
      </c>
      <c r="M6268">
        <v>8.4700000000000006</v>
      </c>
      <c r="T6268" t="s">
        <v>47</v>
      </c>
      <c r="U6268">
        <v>4</v>
      </c>
      <c r="V6268">
        <v>7</v>
      </c>
    </row>
    <row r="6269" spans="1:22" x14ac:dyDescent="0.3">
      <c r="A6269">
        <v>6268</v>
      </c>
      <c r="B6269">
        <v>56855</v>
      </c>
      <c r="C6269" s="2">
        <v>38399</v>
      </c>
      <c r="D6269">
        <v>20</v>
      </c>
      <c r="E6269" t="s">
        <v>42</v>
      </c>
      <c r="F6269" t="s">
        <v>50</v>
      </c>
      <c r="G6269" s="2">
        <v>45573</v>
      </c>
      <c r="H6269" s="3">
        <f t="shared" si="97"/>
        <v>1.0465753424657533</v>
      </c>
      <c r="I6269">
        <v>123</v>
      </c>
      <c r="J6269" t="s">
        <v>57</v>
      </c>
      <c r="K6269" t="s">
        <v>56</v>
      </c>
      <c r="L6269" t="s">
        <v>44</v>
      </c>
      <c r="M6269">
        <v>8.4700000000000006</v>
      </c>
      <c r="T6269" t="s">
        <v>52</v>
      </c>
      <c r="U6269">
        <v>4</v>
      </c>
      <c r="V6269">
        <v>7</v>
      </c>
    </row>
    <row r="6270" spans="1:22" x14ac:dyDescent="0.3">
      <c r="A6270">
        <v>6269</v>
      </c>
      <c r="B6270">
        <v>56856</v>
      </c>
      <c r="C6270" s="2">
        <v>38029</v>
      </c>
      <c r="D6270">
        <v>21</v>
      </c>
      <c r="E6270" t="s">
        <v>42</v>
      </c>
      <c r="F6270" t="s">
        <v>37</v>
      </c>
      <c r="G6270" s="2">
        <v>45640</v>
      </c>
      <c r="H6270" s="3">
        <f t="shared" si="97"/>
        <v>1.7972602739726027</v>
      </c>
      <c r="I6270">
        <v>123</v>
      </c>
      <c r="J6270" t="s">
        <v>57</v>
      </c>
      <c r="K6270" t="s">
        <v>56</v>
      </c>
      <c r="L6270" t="s">
        <v>44</v>
      </c>
      <c r="M6270">
        <v>8.4700000000000006</v>
      </c>
      <c r="T6270" t="s">
        <v>47</v>
      </c>
      <c r="U6270">
        <v>2</v>
      </c>
      <c r="V6270">
        <v>5</v>
      </c>
    </row>
    <row r="6271" spans="1:22" x14ac:dyDescent="0.3">
      <c r="A6271">
        <v>6270</v>
      </c>
      <c r="B6271">
        <v>56857</v>
      </c>
      <c r="C6271" s="2">
        <v>37504</v>
      </c>
      <c r="D6271">
        <v>23</v>
      </c>
      <c r="E6271" t="s">
        <v>42</v>
      </c>
      <c r="F6271" t="s">
        <v>37</v>
      </c>
      <c r="G6271" s="2">
        <v>45366</v>
      </c>
      <c r="H6271" s="3">
        <f t="shared" si="97"/>
        <v>1.0136986301369864</v>
      </c>
      <c r="I6271">
        <v>123</v>
      </c>
      <c r="J6271" t="s">
        <v>57</v>
      </c>
      <c r="K6271" t="s">
        <v>56</v>
      </c>
      <c r="L6271" t="s">
        <v>44</v>
      </c>
      <c r="M6271">
        <v>8.4700000000000006</v>
      </c>
      <c r="T6271" t="s">
        <v>52</v>
      </c>
      <c r="U6271">
        <v>2</v>
      </c>
      <c r="V6271">
        <v>5</v>
      </c>
    </row>
    <row r="6272" spans="1:22" x14ac:dyDescent="0.3">
      <c r="A6272">
        <v>6271</v>
      </c>
      <c r="B6272">
        <v>56858</v>
      </c>
      <c r="C6272" s="2">
        <v>37976</v>
      </c>
      <c r="D6272">
        <v>22</v>
      </c>
      <c r="E6272" t="s">
        <v>36</v>
      </c>
      <c r="F6272" t="s">
        <v>37</v>
      </c>
      <c r="G6272" s="2">
        <v>45652</v>
      </c>
      <c r="H6272" s="3">
        <f t="shared" si="97"/>
        <v>1.7232876712328766</v>
      </c>
      <c r="I6272">
        <v>123</v>
      </c>
      <c r="J6272" t="s">
        <v>57</v>
      </c>
      <c r="K6272" t="s">
        <v>56</v>
      </c>
      <c r="L6272" t="s">
        <v>44</v>
      </c>
      <c r="M6272">
        <v>8.4700000000000006</v>
      </c>
      <c r="T6272" t="s">
        <v>52</v>
      </c>
      <c r="U6272">
        <v>2</v>
      </c>
      <c r="V6272">
        <v>3</v>
      </c>
    </row>
    <row r="6273" spans="1:22" x14ac:dyDescent="0.3">
      <c r="A6273">
        <v>6272</v>
      </c>
      <c r="B6273">
        <v>56859</v>
      </c>
      <c r="C6273" s="2">
        <v>39353</v>
      </c>
      <c r="D6273">
        <v>18</v>
      </c>
      <c r="E6273" t="s">
        <v>42</v>
      </c>
      <c r="F6273" t="s">
        <v>50</v>
      </c>
      <c r="G6273" s="2">
        <v>45393</v>
      </c>
      <c r="H6273" s="3">
        <f t="shared" si="97"/>
        <v>1.4986301369863013</v>
      </c>
      <c r="I6273">
        <v>123</v>
      </c>
      <c r="J6273" t="s">
        <v>57</v>
      </c>
      <c r="K6273" t="s">
        <v>56</v>
      </c>
      <c r="L6273" t="s">
        <v>44</v>
      </c>
      <c r="M6273">
        <v>8.4700000000000006</v>
      </c>
      <c r="T6273" t="s">
        <v>49</v>
      </c>
      <c r="U6273">
        <v>2</v>
      </c>
      <c r="V6273">
        <v>6</v>
      </c>
    </row>
    <row r="6274" spans="1:22" x14ac:dyDescent="0.3">
      <c r="A6274">
        <v>6273</v>
      </c>
      <c r="B6274">
        <v>56861</v>
      </c>
      <c r="C6274" s="2">
        <v>38100</v>
      </c>
      <c r="D6274">
        <v>21</v>
      </c>
      <c r="E6274" t="s">
        <v>36</v>
      </c>
      <c r="F6274" t="s">
        <v>37</v>
      </c>
      <c r="G6274" s="2">
        <v>45475</v>
      </c>
      <c r="H6274" s="3">
        <f t="shared" si="97"/>
        <v>1.3643835616438356</v>
      </c>
      <c r="I6274">
        <v>123</v>
      </c>
      <c r="J6274" t="s">
        <v>57</v>
      </c>
      <c r="K6274" t="s">
        <v>56</v>
      </c>
      <c r="L6274" t="s">
        <v>44</v>
      </c>
      <c r="M6274">
        <v>8.4700000000000006</v>
      </c>
      <c r="T6274" t="s">
        <v>45</v>
      </c>
      <c r="U6274">
        <v>4</v>
      </c>
      <c r="V6274">
        <v>5</v>
      </c>
    </row>
    <row r="6275" spans="1:22" x14ac:dyDescent="0.3">
      <c r="A6275">
        <v>6274</v>
      </c>
      <c r="B6275">
        <v>56862</v>
      </c>
      <c r="C6275" s="2">
        <v>38307</v>
      </c>
      <c r="D6275">
        <v>21</v>
      </c>
      <c r="E6275" t="s">
        <v>42</v>
      </c>
      <c r="F6275" t="s">
        <v>50</v>
      </c>
      <c r="G6275" s="2">
        <v>45524</v>
      </c>
      <c r="H6275" s="3">
        <f t="shared" ref="H6275:H6338" si="98">DATEDIF(G6276,DATE(2025,12,31),"d")/365</f>
        <v>1.6876712328767123</v>
      </c>
      <c r="I6275">
        <v>123</v>
      </c>
      <c r="J6275" t="s">
        <v>57</v>
      </c>
      <c r="K6275" t="s">
        <v>56</v>
      </c>
      <c r="L6275" t="s">
        <v>44</v>
      </c>
      <c r="M6275">
        <v>8.4700000000000006</v>
      </c>
      <c r="T6275" t="s">
        <v>47</v>
      </c>
      <c r="U6275">
        <v>0</v>
      </c>
      <c r="V6275">
        <v>6</v>
      </c>
    </row>
    <row r="6276" spans="1:22" x14ac:dyDescent="0.3">
      <c r="A6276">
        <v>6275</v>
      </c>
      <c r="B6276">
        <v>56863</v>
      </c>
      <c r="C6276" s="2">
        <v>38292</v>
      </c>
      <c r="D6276">
        <v>22</v>
      </c>
      <c r="E6276" t="s">
        <v>42</v>
      </c>
      <c r="F6276" t="s">
        <v>50</v>
      </c>
      <c r="G6276" s="2">
        <v>45406</v>
      </c>
      <c r="H6276" s="3">
        <f t="shared" si="98"/>
        <v>1.8575342465753424</v>
      </c>
      <c r="I6276">
        <v>123</v>
      </c>
      <c r="J6276" t="s">
        <v>57</v>
      </c>
      <c r="K6276" t="s">
        <v>56</v>
      </c>
      <c r="L6276" t="s">
        <v>44</v>
      </c>
      <c r="M6276">
        <v>8.4700000000000006</v>
      </c>
      <c r="T6276" t="s">
        <v>52</v>
      </c>
      <c r="U6276">
        <v>4</v>
      </c>
      <c r="V6276">
        <v>7</v>
      </c>
    </row>
    <row r="6277" spans="1:22" x14ac:dyDescent="0.3">
      <c r="A6277">
        <v>6276</v>
      </c>
      <c r="B6277">
        <v>56864</v>
      </c>
      <c r="C6277" s="2">
        <v>37899</v>
      </c>
      <c r="D6277">
        <v>22</v>
      </c>
      <c r="E6277" t="s">
        <v>36</v>
      </c>
      <c r="F6277" t="s">
        <v>37</v>
      </c>
      <c r="G6277" s="2">
        <v>45344</v>
      </c>
      <c r="H6277" s="3">
        <f t="shared" si="98"/>
        <v>1.5561643835616439</v>
      </c>
      <c r="I6277">
        <v>123</v>
      </c>
      <c r="J6277" t="s">
        <v>57</v>
      </c>
      <c r="K6277" t="s">
        <v>56</v>
      </c>
      <c r="L6277" t="s">
        <v>44</v>
      </c>
      <c r="M6277">
        <v>8.4700000000000006</v>
      </c>
      <c r="T6277" t="s">
        <v>52</v>
      </c>
      <c r="U6277">
        <v>4</v>
      </c>
      <c r="V6277">
        <v>4</v>
      </c>
    </row>
    <row r="6278" spans="1:22" x14ac:dyDescent="0.3">
      <c r="A6278">
        <v>6277</v>
      </c>
      <c r="B6278">
        <v>56865</v>
      </c>
      <c r="C6278" s="2">
        <v>38354</v>
      </c>
      <c r="D6278">
        <v>20</v>
      </c>
      <c r="E6278" t="s">
        <v>42</v>
      </c>
      <c r="F6278" t="s">
        <v>50</v>
      </c>
      <c r="G6278" s="2">
        <v>45454</v>
      </c>
      <c r="H6278" s="3">
        <f t="shared" si="98"/>
        <v>1.7643835616438357</v>
      </c>
      <c r="I6278">
        <v>123</v>
      </c>
      <c r="J6278" t="s">
        <v>57</v>
      </c>
      <c r="K6278" t="s">
        <v>56</v>
      </c>
      <c r="L6278" t="s">
        <v>44</v>
      </c>
      <c r="M6278">
        <v>8.4700000000000006</v>
      </c>
      <c r="T6278" t="s">
        <v>49</v>
      </c>
      <c r="U6278">
        <v>2</v>
      </c>
      <c r="V6278">
        <v>7</v>
      </c>
    </row>
    <row r="6279" spans="1:22" x14ac:dyDescent="0.3">
      <c r="A6279">
        <v>6278</v>
      </c>
      <c r="B6279">
        <v>56866</v>
      </c>
      <c r="C6279" s="2">
        <v>38874</v>
      </c>
      <c r="D6279">
        <v>19</v>
      </c>
      <c r="E6279" t="s">
        <v>42</v>
      </c>
      <c r="F6279" t="s">
        <v>50</v>
      </c>
      <c r="G6279" s="2">
        <v>45378</v>
      </c>
      <c r="H6279" s="3">
        <f t="shared" si="98"/>
        <v>1.7424657534246575</v>
      </c>
      <c r="I6279">
        <v>123</v>
      </c>
      <c r="J6279" t="s">
        <v>57</v>
      </c>
      <c r="K6279" t="s">
        <v>56</v>
      </c>
      <c r="L6279" t="s">
        <v>44</v>
      </c>
      <c r="M6279">
        <v>8.4700000000000006</v>
      </c>
      <c r="T6279" t="s">
        <v>49</v>
      </c>
      <c r="U6279">
        <v>2</v>
      </c>
      <c r="V6279">
        <v>6</v>
      </c>
    </row>
    <row r="6280" spans="1:22" x14ac:dyDescent="0.3">
      <c r="A6280">
        <v>6279</v>
      </c>
      <c r="B6280">
        <v>56867</v>
      </c>
      <c r="C6280" s="2">
        <v>36786</v>
      </c>
      <c r="D6280">
        <v>25</v>
      </c>
      <c r="E6280" t="s">
        <v>36</v>
      </c>
      <c r="F6280" t="s">
        <v>50</v>
      </c>
      <c r="G6280" s="2">
        <v>45386</v>
      </c>
      <c r="H6280" s="3">
        <f t="shared" si="98"/>
        <v>1.6219178082191781</v>
      </c>
      <c r="I6280">
        <v>124</v>
      </c>
      <c r="J6280" t="s">
        <v>57</v>
      </c>
      <c r="K6280" t="s">
        <v>68</v>
      </c>
      <c r="L6280" t="s">
        <v>44</v>
      </c>
      <c r="M6280">
        <v>17</v>
      </c>
      <c r="T6280" t="s">
        <v>52</v>
      </c>
      <c r="U6280">
        <v>1</v>
      </c>
      <c r="V6280">
        <v>4</v>
      </c>
    </row>
    <row r="6281" spans="1:22" x14ac:dyDescent="0.3">
      <c r="A6281">
        <v>6280</v>
      </c>
      <c r="B6281">
        <v>56868</v>
      </c>
      <c r="C6281" s="2">
        <v>35673</v>
      </c>
      <c r="D6281">
        <v>28</v>
      </c>
      <c r="E6281" t="s">
        <v>36</v>
      </c>
      <c r="F6281" t="s">
        <v>50</v>
      </c>
      <c r="G6281" s="2">
        <v>45430</v>
      </c>
      <c r="H6281" s="3">
        <f t="shared" si="98"/>
        <v>1.5123287671232877</v>
      </c>
      <c r="I6281">
        <v>124</v>
      </c>
      <c r="J6281" t="s">
        <v>57</v>
      </c>
      <c r="K6281" t="s">
        <v>43</v>
      </c>
      <c r="L6281" t="s">
        <v>44</v>
      </c>
      <c r="M6281">
        <v>16.37</v>
      </c>
      <c r="T6281" t="s">
        <v>45</v>
      </c>
      <c r="U6281">
        <v>1</v>
      </c>
      <c r="V6281">
        <v>4</v>
      </c>
    </row>
    <row r="6282" spans="1:22" x14ac:dyDescent="0.3">
      <c r="A6282">
        <v>6281</v>
      </c>
      <c r="B6282">
        <v>56869</v>
      </c>
      <c r="C6282" s="2">
        <v>38170</v>
      </c>
      <c r="D6282">
        <v>21</v>
      </c>
      <c r="E6282" t="s">
        <v>36</v>
      </c>
      <c r="F6282" t="s">
        <v>50</v>
      </c>
      <c r="G6282" s="2">
        <v>45470</v>
      </c>
      <c r="H6282" s="3">
        <f t="shared" si="98"/>
        <v>1.0712328767123287</v>
      </c>
      <c r="I6282">
        <v>124</v>
      </c>
      <c r="J6282" t="s">
        <v>57</v>
      </c>
      <c r="K6282" t="s">
        <v>48</v>
      </c>
      <c r="L6282" t="s">
        <v>44</v>
      </c>
      <c r="M6282">
        <v>8.4700000000000006</v>
      </c>
      <c r="T6282" t="s">
        <v>49</v>
      </c>
      <c r="U6282">
        <v>1</v>
      </c>
      <c r="V6282">
        <v>4</v>
      </c>
    </row>
    <row r="6283" spans="1:22" x14ac:dyDescent="0.3">
      <c r="A6283">
        <v>6282</v>
      </c>
      <c r="B6283">
        <v>56870</v>
      </c>
      <c r="C6283" s="2">
        <v>39017</v>
      </c>
      <c r="D6283">
        <v>19</v>
      </c>
      <c r="E6283" t="s">
        <v>42</v>
      </c>
      <c r="F6283" t="s">
        <v>50</v>
      </c>
      <c r="G6283" s="2">
        <v>45631</v>
      </c>
      <c r="H6283" s="3">
        <f t="shared" si="98"/>
        <v>1.0082191780821919</v>
      </c>
      <c r="I6283">
        <v>124</v>
      </c>
      <c r="J6283" t="s">
        <v>57</v>
      </c>
      <c r="K6283" t="s">
        <v>48</v>
      </c>
      <c r="L6283" t="s">
        <v>44</v>
      </c>
      <c r="M6283">
        <v>8.4700000000000006</v>
      </c>
      <c r="T6283" t="s">
        <v>49</v>
      </c>
      <c r="U6283">
        <v>2</v>
      </c>
      <c r="V6283">
        <v>6</v>
      </c>
    </row>
    <row r="6284" spans="1:22" x14ac:dyDescent="0.3">
      <c r="A6284">
        <v>6283</v>
      </c>
      <c r="B6284">
        <v>56871</v>
      </c>
      <c r="C6284" s="2">
        <v>34544</v>
      </c>
      <c r="D6284">
        <v>31</v>
      </c>
      <c r="E6284" t="s">
        <v>42</v>
      </c>
      <c r="F6284" t="s">
        <v>37</v>
      </c>
      <c r="G6284" s="2">
        <v>45654</v>
      </c>
      <c r="H6284" s="3">
        <f t="shared" si="98"/>
        <v>1.0630136986301371</v>
      </c>
      <c r="I6284">
        <v>124</v>
      </c>
      <c r="J6284" t="s">
        <v>57</v>
      </c>
      <c r="K6284" t="s">
        <v>56</v>
      </c>
      <c r="L6284" t="s">
        <v>44</v>
      </c>
      <c r="M6284">
        <v>8.4700000000000006</v>
      </c>
      <c r="T6284" t="s">
        <v>47</v>
      </c>
      <c r="U6284">
        <v>2</v>
      </c>
      <c r="V6284">
        <v>5</v>
      </c>
    </row>
    <row r="6285" spans="1:22" x14ac:dyDescent="0.3">
      <c r="A6285">
        <v>6284</v>
      </c>
      <c r="B6285">
        <v>56872</v>
      </c>
      <c r="C6285" s="2">
        <v>36689</v>
      </c>
      <c r="D6285">
        <v>25</v>
      </c>
      <c r="E6285" t="s">
        <v>42</v>
      </c>
      <c r="F6285" t="s">
        <v>37</v>
      </c>
      <c r="G6285" s="2">
        <v>45634</v>
      </c>
      <c r="H6285" s="3">
        <f t="shared" si="98"/>
        <v>1.3232876712328767</v>
      </c>
      <c r="I6285">
        <v>124</v>
      </c>
      <c r="J6285" t="s">
        <v>57</v>
      </c>
      <c r="K6285" t="s">
        <v>56</v>
      </c>
      <c r="L6285" t="s">
        <v>44</v>
      </c>
      <c r="M6285">
        <v>8.4700000000000006</v>
      </c>
      <c r="T6285" t="s">
        <v>45</v>
      </c>
      <c r="U6285">
        <v>0</v>
      </c>
      <c r="V6285">
        <v>5</v>
      </c>
    </row>
    <row r="6286" spans="1:22" x14ac:dyDescent="0.3">
      <c r="A6286">
        <v>6285</v>
      </c>
      <c r="B6286">
        <v>56873</v>
      </c>
      <c r="C6286" s="2">
        <v>37656</v>
      </c>
      <c r="D6286">
        <v>22</v>
      </c>
      <c r="E6286" t="s">
        <v>42</v>
      </c>
      <c r="F6286" t="s">
        <v>37</v>
      </c>
      <c r="G6286" s="2">
        <v>45539</v>
      </c>
      <c r="H6286" s="3">
        <f t="shared" si="98"/>
        <v>1.1561643835616437</v>
      </c>
      <c r="I6286">
        <v>124</v>
      </c>
      <c r="J6286" t="s">
        <v>57</v>
      </c>
      <c r="K6286" t="s">
        <v>56</v>
      </c>
      <c r="L6286" t="s">
        <v>44</v>
      </c>
      <c r="M6286">
        <v>8.4700000000000006</v>
      </c>
      <c r="T6286" t="s">
        <v>52</v>
      </c>
      <c r="U6286">
        <v>3</v>
      </c>
      <c r="V6286">
        <v>6</v>
      </c>
    </row>
    <row r="6287" spans="1:22" x14ac:dyDescent="0.3">
      <c r="A6287">
        <v>6286</v>
      </c>
      <c r="B6287">
        <v>56874</v>
      </c>
      <c r="C6287" s="2">
        <v>38099</v>
      </c>
      <c r="D6287">
        <v>21</v>
      </c>
      <c r="E6287" t="s">
        <v>42</v>
      </c>
      <c r="F6287" t="s">
        <v>50</v>
      </c>
      <c r="G6287" s="2">
        <v>45600</v>
      </c>
      <c r="H6287" s="3">
        <f t="shared" si="98"/>
        <v>1.715068493150685</v>
      </c>
      <c r="I6287">
        <v>124</v>
      </c>
      <c r="J6287" t="s">
        <v>57</v>
      </c>
      <c r="K6287" t="s">
        <v>56</v>
      </c>
      <c r="L6287" t="s">
        <v>44</v>
      </c>
      <c r="M6287">
        <v>8.4700000000000006</v>
      </c>
      <c r="T6287" t="s">
        <v>45</v>
      </c>
      <c r="U6287">
        <v>2</v>
      </c>
      <c r="V6287">
        <v>6</v>
      </c>
    </row>
    <row r="6288" spans="1:22" x14ac:dyDescent="0.3">
      <c r="A6288">
        <v>6287</v>
      </c>
      <c r="B6288">
        <v>56875</v>
      </c>
      <c r="C6288" s="2">
        <v>38953</v>
      </c>
      <c r="D6288">
        <v>19</v>
      </c>
      <c r="E6288" t="s">
        <v>42</v>
      </c>
      <c r="F6288" t="s">
        <v>50</v>
      </c>
      <c r="G6288" s="2">
        <v>45396</v>
      </c>
      <c r="H6288" s="3">
        <f t="shared" si="98"/>
        <v>1.6493150684931508</v>
      </c>
      <c r="I6288">
        <v>124</v>
      </c>
      <c r="J6288" t="s">
        <v>57</v>
      </c>
      <c r="K6288" t="s">
        <v>56</v>
      </c>
      <c r="L6288" t="s">
        <v>44</v>
      </c>
      <c r="M6288">
        <v>8.4700000000000006</v>
      </c>
      <c r="T6288" t="s">
        <v>47</v>
      </c>
      <c r="U6288">
        <v>2</v>
      </c>
      <c r="V6288">
        <v>6</v>
      </c>
    </row>
    <row r="6289" spans="1:22" x14ac:dyDescent="0.3">
      <c r="A6289">
        <v>6288</v>
      </c>
      <c r="B6289">
        <v>56877</v>
      </c>
      <c r="C6289" s="2">
        <v>37160</v>
      </c>
      <c r="D6289">
        <v>24</v>
      </c>
      <c r="E6289" t="s">
        <v>42</v>
      </c>
      <c r="F6289" t="s">
        <v>37</v>
      </c>
      <c r="G6289" s="2">
        <v>45420</v>
      </c>
      <c r="H6289" s="3">
        <f t="shared" si="98"/>
        <v>1.5123287671232877</v>
      </c>
      <c r="I6289">
        <v>124</v>
      </c>
      <c r="J6289" t="s">
        <v>57</v>
      </c>
      <c r="K6289" t="s">
        <v>56</v>
      </c>
      <c r="L6289" t="s">
        <v>44</v>
      </c>
      <c r="M6289">
        <v>8.4700000000000006</v>
      </c>
      <c r="T6289" t="s">
        <v>45</v>
      </c>
      <c r="U6289">
        <v>2</v>
      </c>
      <c r="V6289">
        <v>4</v>
      </c>
    </row>
    <row r="6290" spans="1:22" x14ac:dyDescent="0.3">
      <c r="A6290">
        <v>6289</v>
      </c>
      <c r="B6290">
        <v>56878</v>
      </c>
      <c r="C6290" s="2">
        <v>38647</v>
      </c>
      <c r="D6290">
        <v>20</v>
      </c>
      <c r="E6290" t="s">
        <v>42</v>
      </c>
      <c r="F6290" t="s">
        <v>50</v>
      </c>
      <c r="G6290" s="2">
        <v>45470</v>
      </c>
      <c r="H6290" s="3">
        <f t="shared" si="98"/>
        <v>1.3397260273972602</v>
      </c>
      <c r="I6290">
        <v>124</v>
      </c>
      <c r="J6290" t="s">
        <v>57</v>
      </c>
      <c r="K6290" t="s">
        <v>56</v>
      </c>
      <c r="L6290" t="s">
        <v>44</v>
      </c>
      <c r="M6290">
        <v>8.4700000000000006</v>
      </c>
      <c r="T6290" t="s">
        <v>47</v>
      </c>
      <c r="U6290">
        <v>4</v>
      </c>
      <c r="V6290">
        <v>6</v>
      </c>
    </row>
    <row r="6291" spans="1:22" x14ac:dyDescent="0.3">
      <c r="A6291">
        <v>6290</v>
      </c>
      <c r="B6291">
        <v>56879</v>
      </c>
      <c r="C6291" s="2">
        <v>38026</v>
      </c>
      <c r="D6291">
        <v>21</v>
      </c>
      <c r="E6291" t="s">
        <v>36</v>
      </c>
      <c r="F6291" t="s">
        <v>50</v>
      </c>
      <c r="G6291" s="2">
        <v>45533</v>
      </c>
      <c r="H6291" s="3">
        <f t="shared" si="98"/>
        <v>1.6</v>
      </c>
      <c r="I6291">
        <v>124</v>
      </c>
      <c r="J6291" t="s">
        <v>57</v>
      </c>
      <c r="K6291" t="s">
        <v>56</v>
      </c>
      <c r="L6291" t="s">
        <v>44</v>
      </c>
      <c r="M6291">
        <v>8.4700000000000006</v>
      </c>
      <c r="T6291" t="s">
        <v>52</v>
      </c>
      <c r="U6291">
        <v>4</v>
      </c>
      <c r="V6291">
        <v>3</v>
      </c>
    </row>
    <row r="6292" spans="1:22" x14ac:dyDescent="0.3">
      <c r="A6292">
        <v>6291</v>
      </c>
      <c r="B6292">
        <v>56880</v>
      </c>
      <c r="C6292" s="2">
        <v>35058</v>
      </c>
      <c r="D6292">
        <v>30</v>
      </c>
      <c r="E6292" t="s">
        <v>36</v>
      </c>
      <c r="F6292" t="s">
        <v>37</v>
      </c>
      <c r="G6292" s="2">
        <v>45438</v>
      </c>
      <c r="H6292" s="3">
        <f t="shared" si="98"/>
        <v>1.2136986301369863</v>
      </c>
      <c r="I6292">
        <v>124</v>
      </c>
      <c r="J6292" t="s">
        <v>57</v>
      </c>
      <c r="K6292" t="s">
        <v>56</v>
      </c>
      <c r="L6292" t="s">
        <v>44</v>
      </c>
      <c r="M6292">
        <v>8.4700000000000006</v>
      </c>
      <c r="T6292" t="s">
        <v>45</v>
      </c>
      <c r="U6292">
        <v>0</v>
      </c>
      <c r="V6292">
        <v>2</v>
      </c>
    </row>
    <row r="6293" spans="1:22" x14ac:dyDescent="0.3">
      <c r="A6293">
        <v>6292</v>
      </c>
      <c r="B6293">
        <v>56881</v>
      </c>
      <c r="C6293" s="2">
        <v>38700</v>
      </c>
      <c r="D6293">
        <v>20</v>
      </c>
      <c r="E6293" t="s">
        <v>42</v>
      </c>
      <c r="F6293" t="s">
        <v>50</v>
      </c>
      <c r="G6293" s="2">
        <v>45579</v>
      </c>
      <c r="H6293" s="3">
        <f t="shared" si="98"/>
        <v>1.0684931506849316</v>
      </c>
      <c r="I6293">
        <v>124</v>
      </c>
      <c r="J6293" t="s">
        <v>57</v>
      </c>
      <c r="K6293" t="s">
        <v>56</v>
      </c>
      <c r="L6293" t="s">
        <v>44</v>
      </c>
      <c r="M6293">
        <v>8.4700000000000006</v>
      </c>
      <c r="T6293" t="s">
        <v>45</v>
      </c>
      <c r="U6293">
        <v>1</v>
      </c>
      <c r="V6293">
        <v>6</v>
      </c>
    </row>
    <row r="6294" spans="1:22" x14ac:dyDescent="0.3">
      <c r="A6294">
        <v>6293</v>
      </c>
      <c r="B6294">
        <v>56882</v>
      </c>
      <c r="C6294" s="2">
        <v>35183</v>
      </c>
      <c r="D6294">
        <v>29</v>
      </c>
      <c r="E6294" t="s">
        <v>36</v>
      </c>
      <c r="F6294" t="s">
        <v>37</v>
      </c>
      <c r="G6294" s="2">
        <v>45632</v>
      </c>
      <c r="H6294" s="3">
        <f t="shared" si="98"/>
        <v>1.252054794520548</v>
      </c>
      <c r="I6294">
        <v>125</v>
      </c>
      <c r="J6294" t="s">
        <v>57</v>
      </c>
      <c r="K6294" t="s">
        <v>68</v>
      </c>
      <c r="L6294" t="s">
        <v>44</v>
      </c>
      <c r="M6294">
        <v>17</v>
      </c>
      <c r="T6294" t="s">
        <v>52</v>
      </c>
      <c r="U6294">
        <v>4</v>
      </c>
      <c r="V6294">
        <v>5</v>
      </c>
    </row>
    <row r="6295" spans="1:22" x14ac:dyDescent="0.3">
      <c r="A6295">
        <v>6294</v>
      </c>
      <c r="B6295">
        <v>56883</v>
      </c>
      <c r="C6295" s="2">
        <v>36287</v>
      </c>
      <c r="D6295">
        <v>26</v>
      </c>
      <c r="E6295" t="s">
        <v>36</v>
      </c>
      <c r="F6295" t="s">
        <v>50</v>
      </c>
      <c r="G6295" s="2">
        <v>45565</v>
      </c>
      <c r="H6295" s="3">
        <f t="shared" si="98"/>
        <v>1.0410958904109588</v>
      </c>
      <c r="I6295">
        <v>125</v>
      </c>
      <c r="J6295" t="s">
        <v>57</v>
      </c>
      <c r="K6295" t="s">
        <v>65</v>
      </c>
      <c r="L6295" t="s">
        <v>44</v>
      </c>
      <c r="M6295">
        <v>10.64</v>
      </c>
      <c r="T6295" t="s">
        <v>49</v>
      </c>
      <c r="U6295">
        <v>0</v>
      </c>
      <c r="V6295">
        <v>3</v>
      </c>
    </row>
    <row r="6296" spans="1:22" x14ac:dyDescent="0.3">
      <c r="A6296">
        <v>6295</v>
      </c>
      <c r="B6296">
        <v>56884</v>
      </c>
      <c r="C6296" s="2">
        <v>39057</v>
      </c>
      <c r="D6296">
        <v>19</v>
      </c>
      <c r="E6296" t="s">
        <v>42</v>
      </c>
      <c r="F6296" t="s">
        <v>50</v>
      </c>
      <c r="G6296" s="2">
        <v>45642</v>
      </c>
      <c r="H6296" s="3">
        <f t="shared" si="98"/>
        <v>1.2054794520547945</v>
      </c>
      <c r="I6296">
        <v>125</v>
      </c>
      <c r="J6296" t="s">
        <v>57</v>
      </c>
      <c r="K6296" t="s">
        <v>48</v>
      </c>
      <c r="L6296" t="s">
        <v>44</v>
      </c>
      <c r="M6296">
        <v>8.4700000000000006</v>
      </c>
      <c r="T6296" t="s">
        <v>45</v>
      </c>
      <c r="U6296">
        <v>2</v>
      </c>
      <c r="V6296">
        <v>7</v>
      </c>
    </row>
    <row r="6297" spans="1:22" x14ac:dyDescent="0.3">
      <c r="A6297">
        <v>6296</v>
      </c>
      <c r="B6297">
        <v>56885</v>
      </c>
      <c r="C6297" s="2">
        <v>35414</v>
      </c>
      <c r="D6297">
        <v>29</v>
      </c>
      <c r="E6297" t="s">
        <v>36</v>
      </c>
      <c r="F6297" t="s">
        <v>50</v>
      </c>
      <c r="G6297" s="2">
        <v>45582</v>
      </c>
      <c r="H6297" s="3">
        <f t="shared" si="98"/>
        <v>1.4493150684931506</v>
      </c>
      <c r="I6297">
        <v>125</v>
      </c>
      <c r="J6297" t="s">
        <v>57</v>
      </c>
      <c r="K6297" t="s">
        <v>55</v>
      </c>
      <c r="L6297" t="s">
        <v>44</v>
      </c>
      <c r="M6297">
        <v>17.59</v>
      </c>
      <c r="T6297" t="s">
        <v>49</v>
      </c>
      <c r="U6297">
        <v>3</v>
      </c>
      <c r="V6297">
        <v>4</v>
      </c>
    </row>
    <row r="6298" spans="1:22" x14ac:dyDescent="0.3">
      <c r="A6298">
        <v>6297</v>
      </c>
      <c r="B6298">
        <v>56886</v>
      </c>
      <c r="C6298" s="2">
        <v>38467</v>
      </c>
      <c r="D6298">
        <v>20</v>
      </c>
      <c r="E6298" t="s">
        <v>42</v>
      </c>
      <c r="F6298" t="s">
        <v>50</v>
      </c>
      <c r="G6298" s="2">
        <v>45493</v>
      </c>
      <c r="H6298" s="3">
        <f t="shared" si="98"/>
        <v>1.7506849315068493</v>
      </c>
      <c r="I6298">
        <v>125</v>
      </c>
      <c r="J6298" t="s">
        <v>57</v>
      </c>
      <c r="K6298" t="s">
        <v>56</v>
      </c>
      <c r="L6298" t="s">
        <v>44</v>
      </c>
      <c r="M6298">
        <v>8.4700000000000006</v>
      </c>
      <c r="T6298" t="s">
        <v>52</v>
      </c>
      <c r="U6298">
        <v>4</v>
      </c>
      <c r="V6298">
        <v>6</v>
      </c>
    </row>
    <row r="6299" spans="1:22" x14ac:dyDescent="0.3">
      <c r="A6299">
        <v>6298</v>
      </c>
      <c r="B6299">
        <v>56887</v>
      </c>
      <c r="C6299" s="2">
        <v>38822</v>
      </c>
      <c r="D6299">
        <v>19</v>
      </c>
      <c r="E6299" t="s">
        <v>42</v>
      </c>
      <c r="F6299" t="s">
        <v>50</v>
      </c>
      <c r="G6299" s="2">
        <v>45383</v>
      </c>
      <c r="H6299" s="3">
        <f t="shared" si="98"/>
        <v>1.2082191780821918</v>
      </c>
      <c r="I6299">
        <v>125</v>
      </c>
      <c r="J6299" t="s">
        <v>57</v>
      </c>
      <c r="K6299" t="s">
        <v>56</v>
      </c>
      <c r="L6299" t="s">
        <v>44</v>
      </c>
      <c r="M6299">
        <v>8.4700000000000006</v>
      </c>
      <c r="T6299" t="s">
        <v>45</v>
      </c>
      <c r="U6299">
        <v>0</v>
      </c>
      <c r="V6299">
        <v>4</v>
      </c>
    </row>
    <row r="6300" spans="1:22" x14ac:dyDescent="0.3">
      <c r="A6300">
        <v>6299</v>
      </c>
      <c r="B6300">
        <v>56888</v>
      </c>
      <c r="C6300" s="2">
        <v>35204</v>
      </c>
      <c r="D6300">
        <v>29</v>
      </c>
      <c r="E6300" t="s">
        <v>42</v>
      </c>
      <c r="F6300" t="s">
        <v>50</v>
      </c>
      <c r="G6300" s="2">
        <v>45581</v>
      </c>
      <c r="H6300" s="3">
        <f t="shared" si="98"/>
        <v>1.0082191780821919</v>
      </c>
      <c r="I6300">
        <v>125</v>
      </c>
      <c r="J6300" t="s">
        <v>57</v>
      </c>
      <c r="K6300" t="s">
        <v>56</v>
      </c>
      <c r="L6300" t="s">
        <v>44</v>
      </c>
      <c r="M6300">
        <v>8.4700000000000006</v>
      </c>
      <c r="T6300" t="s">
        <v>52</v>
      </c>
      <c r="U6300">
        <v>0</v>
      </c>
      <c r="V6300">
        <v>5</v>
      </c>
    </row>
    <row r="6301" spans="1:22" x14ac:dyDescent="0.3">
      <c r="A6301">
        <v>6300</v>
      </c>
      <c r="B6301">
        <v>56889</v>
      </c>
      <c r="C6301" s="2">
        <v>35903</v>
      </c>
      <c r="D6301">
        <v>27</v>
      </c>
      <c r="E6301" t="s">
        <v>42</v>
      </c>
      <c r="F6301" t="s">
        <v>37</v>
      </c>
      <c r="G6301" s="2">
        <v>45654</v>
      </c>
      <c r="H6301" s="3">
        <f t="shared" si="98"/>
        <v>1.1945205479452055</v>
      </c>
      <c r="I6301">
        <v>125</v>
      </c>
      <c r="J6301" t="s">
        <v>57</v>
      </c>
      <c r="K6301" t="s">
        <v>56</v>
      </c>
      <c r="L6301" t="s">
        <v>44</v>
      </c>
      <c r="M6301">
        <v>8.4700000000000006</v>
      </c>
      <c r="T6301" t="s">
        <v>45</v>
      </c>
      <c r="U6301">
        <v>2</v>
      </c>
      <c r="V6301">
        <v>6</v>
      </c>
    </row>
    <row r="6302" spans="1:22" x14ac:dyDescent="0.3">
      <c r="A6302">
        <v>6301</v>
      </c>
      <c r="B6302">
        <v>56890</v>
      </c>
      <c r="C6302" s="2">
        <v>38635</v>
      </c>
      <c r="D6302">
        <v>20</v>
      </c>
      <c r="E6302" t="s">
        <v>36</v>
      </c>
      <c r="F6302" t="s">
        <v>50</v>
      </c>
      <c r="G6302" s="2">
        <v>45586</v>
      </c>
      <c r="H6302" s="3">
        <f t="shared" si="98"/>
        <v>1.1041095890410959</v>
      </c>
      <c r="I6302">
        <v>125</v>
      </c>
      <c r="J6302" t="s">
        <v>57</v>
      </c>
      <c r="K6302" t="s">
        <v>56</v>
      </c>
      <c r="L6302" t="s">
        <v>44</v>
      </c>
      <c r="M6302">
        <v>8.4700000000000006</v>
      </c>
      <c r="T6302" t="s">
        <v>47</v>
      </c>
      <c r="U6302">
        <v>4</v>
      </c>
      <c r="V6302">
        <v>5</v>
      </c>
    </row>
    <row r="6303" spans="1:22" x14ac:dyDescent="0.3">
      <c r="A6303">
        <v>6302</v>
      </c>
      <c r="B6303">
        <v>56891</v>
      </c>
      <c r="C6303" s="2">
        <v>39235</v>
      </c>
      <c r="D6303">
        <v>18</v>
      </c>
      <c r="E6303" t="s">
        <v>42</v>
      </c>
      <c r="F6303" t="s">
        <v>50</v>
      </c>
      <c r="G6303" s="2">
        <v>45619</v>
      </c>
      <c r="H6303" s="3">
        <f t="shared" si="98"/>
        <v>1.3917808219178083</v>
      </c>
      <c r="I6303">
        <v>125</v>
      </c>
      <c r="J6303" t="s">
        <v>57</v>
      </c>
      <c r="K6303" t="s">
        <v>56</v>
      </c>
      <c r="L6303" t="s">
        <v>44</v>
      </c>
      <c r="M6303">
        <v>8.4700000000000006</v>
      </c>
      <c r="T6303" t="s">
        <v>45</v>
      </c>
      <c r="U6303">
        <v>1</v>
      </c>
      <c r="V6303">
        <v>7</v>
      </c>
    </row>
    <row r="6304" spans="1:22" x14ac:dyDescent="0.3">
      <c r="A6304">
        <v>6303</v>
      </c>
      <c r="B6304">
        <v>56892</v>
      </c>
      <c r="C6304" s="2">
        <v>38815</v>
      </c>
      <c r="D6304">
        <v>19</v>
      </c>
      <c r="E6304" t="s">
        <v>42</v>
      </c>
      <c r="F6304" t="s">
        <v>50</v>
      </c>
      <c r="G6304" s="2">
        <v>45514</v>
      </c>
      <c r="H6304" s="3">
        <f t="shared" si="98"/>
        <v>1.3753424657534246</v>
      </c>
      <c r="I6304">
        <v>125</v>
      </c>
      <c r="J6304" t="s">
        <v>57</v>
      </c>
      <c r="K6304" t="s">
        <v>56</v>
      </c>
      <c r="L6304" t="s">
        <v>44</v>
      </c>
      <c r="M6304">
        <v>8.4700000000000006</v>
      </c>
      <c r="T6304" t="s">
        <v>45</v>
      </c>
      <c r="U6304">
        <v>1</v>
      </c>
      <c r="V6304">
        <v>7</v>
      </c>
    </row>
    <row r="6305" spans="1:22" x14ac:dyDescent="0.3">
      <c r="A6305">
        <v>6304</v>
      </c>
      <c r="B6305">
        <v>56893</v>
      </c>
      <c r="C6305" s="2">
        <v>37571</v>
      </c>
      <c r="D6305">
        <v>23</v>
      </c>
      <c r="E6305" t="s">
        <v>36</v>
      </c>
      <c r="F6305" t="s">
        <v>37</v>
      </c>
      <c r="G6305" s="2">
        <v>45520</v>
      </c>
      <c r="H6305" s="3">
        <f t="shared" si="98"/>
        <v>1.4082191780821918</v>
      </c>
      <c r="I6305">
        <v>125</v>
      </c>
      <c r="J6305" t="s">
        <v>57</v>
      </c>
      <c r="K6305" t="s">
        <v>56</v>
      </c>
      <c r="L6305" t="s">
        <v>44</v>
      </c>
      <c r="M6305">
        <v>8.4700000000000006</v>
      </c>
      <c r="T6305" t="s">
        <v>49</v>
      </c>
      <c r="U6305">
        <v>2</v>
      </c>
      <c r="V6305">
        <v>3</v>
      </c>
    </row>
    <row r="6306" spans="1:22" x14ac:dyDescent="0.3">
      <c r="A6306">
        <v>6305</v>
      </c>
      <c r="B6306">
        <v>56894</v>
      </c>
      <c r="C6306" s="2">
        <v>38253</v>
      </c>
      <c r="D6306">
        <v>21</v>
      </c>
      <c r="E6306" t="s">
        <v>42</v>
      </c>
      <c r="F6306" t="s">
        <v>50</v>
      </c>
      <c r="G6306" s="2">
        <v>45508</v>
      </c>
      <c r="H6306" s="3">
        <f t="shared" si="98"/>
        <v>1.4547945205479451</v>
      </c>
      <c r="I6306">
        <v>125</v>
      </c>
      <c r="J6306" t="s">
        <v>57</v>
      </c>
      <c r="K6306" t="s">
        <v>56</v>
      </c>
      <c r="L6306" t="s">
        <v>44</v>
      </c>
      <c r="M6306">
        <v>8.4700000000000006</v>
      </c>
      <c r="T6306" t="s">
        <v>47</v>
      </c>
      <c r="U6306">
        <v>1</v>
      </c>
      <c r="V6306">
        <v>5</v>
      </c>
    </row>
    <row r="6307" spans="1:22" x14ac:dyDescent="0.3">
      <c r="A6307">
        <v>6306</v>
      </c>
      <c r="B6307">
        <v>56895</v>
      </c>
      <c r="C6307" s="2">
        <v>37725</v>
      </c>
      <c r="D6307">
        <v>22</v>
      </c>
      <c r="E6307" t="s">
        <v>36</v>
      </c>
      <c r="F6307" t="s">
        <v>50</v>
      </c>
      <c r="G6307" s="2">
        <v>45491</v>
      </c>
      <c r="H6307" s="3">
        <f t="shared" si="98"/>
        <v>1.1534246575342466</v>
      </c>
      <c r="I6307">
        <v>125</v>
      </c>
      <c r="J6307" t="s">
        <v>57</v>
      </c>
      <c r="K6307" t="s">
        <v>56</v>
      </c>
      <c r="L6307" t="s">
        <v>44</v>
      </c>
      <c r="M6307">
        <v>8.4700000000000006</v>
      </c>
      <c r="T6307" t="s">
        <v>52</v>
      </c>
      <c r="U6307">
        <v>2</v>
      </c>
      <c r="V6307">
        <v>3</v>
      </c>
    </row>
    <row r="6308" spans="1:22" x14ac:dyDescent="0.3">
      <c r="A6308">
        <v>6307</v>
      </c>
      <c r="B6308">
        <v>56896</v>
      </c>
      <c r="C6308" s="2">
        <v>37798</v>
      </c>
      <c r="D6308">
        <v>22</v>
      </c>
      <c r="E6308" t="s">
        <v>42</v>
      </c>
      <c r="F6308" t="s">
        <v>50</v>
      </c>
      <c r="G6308" s="2">
        <v>45601</v>
      </c>
      <c r="H6308" s="3">
        <f t="shared" si="98"/>
        <v>1.0191780821917809</v>
      </c>
      <c r="I6308">
        <v>125</v>
      </c>
      <c r="J6308" t="s">
        <v>57</v>
      </c>
      <c r="K6308" t="s">
        <v>56</v>
      </c>
      <c r="L6308" t="s">
        <v>44</v>
      </c>
      <c r="M6308">
        <v>8.4700000000000006</v>
      </c>
      <c r="T6308" t="s">
        <v>45</v>
      </c>
      <c r="U6308">
        <v>4</v>
      </c>
      <c r="V6308">
        <v>7</v>
      </c>
    </row>
    <row r="6309" spans="1:22" x14ac:dyDescent="0.3">
      <c r="A6309">
        <v>6308</v>
      </c>
      <c r="B6309">
        <v>56897</v>
      </c>
      <c r="C6309" s="2">
        <v>36974</v>
      </c>
      <c r="D6309">
        <v>24</v>
      </c>
      <c r="E6309" t="s">
        <v>42</v>
      </c>
      <c r="F6309" t="s">
        <v>50</v>
      </c>
      <c r="G6309" s="2">
        <v>45650</v>
      </c>
      <c r="H6309" s="3">
        <f t="shared" si="98"/>
        <v>1.6767123287671233</v>
      </c>
      <c r="I6309">
        <v>125</v>
      </c>
      <c r="J6309" t="s">
        <v>57</v>
      </c>
      <c r="K6309" t="s">
        <v>56</v>
      </c>
      <c r="L6309" t="s">
        <v>44</v>
      </c>
      <c r="M6309">
        <v>8.4700000000000006</v>
      </c>
      <c r="T6309" t="s">
        <v>47</v>
      </c>
      <c r="U6309">
        <v>2</v>
      </c>
      <c r="V6309">
        <v>6</v>
      </c>
    </row>
    <row r="6310" spans="1:22" x14ac:dyDescent="0.3">
      <c r="A6310">
        <v>6309</v>
      </c>
      <c r="B6310">
        <v>56898</v>
      </c>
      <c r="C6310" s="2">
        <v>33948</v>
      </c>
      <c r="D6310">
        <v>33</v>
      </c>
      <c r="E6310" t="s">
        <v>42</v>
      </c>
      <c r="F6310" t="s">
        <v>37</v>
      </c>
      <c r="G6310" s="2">
        <v>45410</v>
      </c>
      <c r="H6310" s="3">
        <f t="shared" si="98"/>
        <v>1.3643835616438356</v>
      </c>
      <c r="I6310">
        <v>126</v>
      </c>
      <c r="J6310" t="s">
        <v>57</v>
      </c>
      <c r="K6310" t="s">
        <v>68</v>
      </c>
      <c r="L6310" t="s">
        <v>44</v>
      </c>
      <c r="M6310">
        <v>17</v>
      </c>
      <c r="T6310" t="s">
        <v>47</v>
      </c>
      <c r="U6310">
        <v>2</v>
      </c>
      <c r="V6310">
        <v>6</v>
      </c>
    </row>
    <row r="6311" spans="1:22" x14ac:dyDescent="0.3">
      <c r="A6311">
        <v>6310</v>
      </c>
      <c r="B6311">
        <v>56899</v>
      </c>
      <c r="C6311" s="2">
        <v>38600</v>
      </c>
      <c r="D6311">
        <v>20</v>
      </c>
      <c r="E6311" t="s">
        <v>36</v>
      </c>
      <c r="F6311" t="s">
        <v>37</v>
      </c>
      <c r="G6311" s="2">
        <v>45524</v>
      </c>
      <c r="H6311" s="3">
        <f t="shared" si="98"/>
        <v>1.4246575342465753</v>
      </c>
      <c r="I6311">
        <v>126</v>
      </c>
      <c r="J6311" t="s">
        <v>57</v>
      </c>
      <c r="K6311" t="s">
        <v>65</v>
      </c>
      <c r="L6311" t="s">
        <v>44</v>
      </c>
      <c r="M6311">
        <v>10.64</v>
      </c>
      <c r="T6311" t="s">
        <v>45</v>
      </c>
      <c r="U6311">
        <v>1</v>
      </c>
      <c r="V6311">
        <v>3</v>
      </c>
    </row>
    <row r="6312" spans="1:22" x14ac:dyDescent="0.3">
      <c r="A6312">
        <v>6311</v>
      </c>
      <c r="B6312">
        <v>56900</v>
      </c>
      <c r="C6312" s="2">
        <v>38421</v>
      </c>
      <c r="D6312">
        <v>20</v>
      </c>
      <c r="E6312" t="s">
        <v>42</v>
      </c>
      <c r="F6312" t="s">
        <v>50</v>
      </c>
      <c r="G6312" s="2">
        <v>45502</v>
      </c>
      <c r="H6312" s="3">
        <f t="shared" si="98"/>
        <v>1.178082191780822</v>
      </c>
      <c r="I6312">
        <v>126</v>
      </c>
      <c r="J6312" t="s">
        <v>57</v>
      </c>
      <c r="K6312" t="s">
        <v>48</v>
      </c>
      <c r="L6312" t="s">
        <v>44</v>
      </c>
      <c r="M6312">
        <v>8.4700000000000006</v>
      </c>
      <c r="T6312" t="s">
        <v>47</v>
      </c>
      <c r="U6312">
        <v>1</v>
      </c>
      <c r="V6312">
        <v>6</v>
      </c>
    </row>
    <row r="6313" spans="1:22" x14ac:dyDescent="0.3">
      <c r="A6313">
        <v>6312</v>
      </c>
      <c r="B6313">
        <v>56901</v>
      </c>
      <c r="C6313" s="2">
        <v>36616</v>
      </c>
      <c r="D6313">
        <v>25</v>
      </c>
      <c r="E6313" t="s">
        <v>42</v>
      </c>
      <c r="F6313" t="s">
        <v>50</v>
      </c>
      <c r="G6313" s="2">
        <v>45592</v>
      </c>
      <c r="H6313" s="3">
        <f t="shared" si="98"/>
        <v>1.0273972602739727</v>
      </c>
      <c r="I6313">
        <v>126</v>
      </c>
      <c r="J6313" t="s">
        <v>57</v>
      </c>
      <c r="K6313" t="s">
        <v>56</v>
      </c>
      <c r="L6313" t="s">
        <v>44</v>
      </c>
      <c r="M6313">
        <v>8.4700000000000006</v>
      </c>
      <c r="T6313" t="s">
        <v>45</v>
      </c>
      <c r="U6313">
        <v>1</v>
      </c>
      <c r="V6313">
        <v>6</v>
      </c>
    </row>
    <row r="6314" spans="1:22" x14ac:dyDescent="0.3">
      <c r="A6314">
        <v>6313</v>
      </c>
      <c r="B6314">
        <v>56902</v>
      </c>
      <c r="C6314" s="2">
        <v>38856</v>
      </c>
      <c r="D6314">
        <v>19</v>
      </c>
      <c r="E6314" t="s">
        <v>36</v>
      </c>
      <c r="F6314" t="s">
        <v>50</v>
      </c>
      <c r="G6314" s="2">
        <v>45647</v>
      </c>
      <c r="H6314" s="3">
        <f t="shared" si="98"/>
        <v>1.2136986301369863</v>
      </c>
      <c r="I6314">
        <v>126</v>
      </c>
      <c r="J6314" t="s">
        <v>57</v>
      </c>
      <c r="K6314" t="s">
        <v>56</v>
      </c>
      <c r="L6314" t="s">
        <v>44</v>
      </c>
      <c r="M6314">
        <v>8.4700000000000006</v>
      </c>
      <c r="T6314" t="s">
        <v>47</v>
      </c>
      <c r="U6314">
        <v>1</v>
      </c>
      <c r="V6314">
        <v>4</v>
      </c>
    </row>
    <row r="6315" spans="1:22" x14ac:dyDescent="0.3">
      <c r="A6315">
        <v>6314</v>
      </c>
      <c r="B6315">
        <v>56903</v>
      </c>
      <c r="C6315" s="2">
        <v>38698</v>
      </c>
      <c r="D6315">
        <v>20</v>
      </c>
      <c r="E6315" t="s">
        <v>42</v>
      </c>
      <c r="F6315" t="s">
        <v>37</v>
      </c>
      <c r="G6315" s="2">
        <v>45579</v>
      </c>
      <c r="H6315" s="3">
        <f t="shared" si="98"/>
        <v>1.7780821917808218</v>
      </c>
      <c r="I6315">
        <v>126</v>
      </c>
      <c r="J6315" t="s">
        <v>57</v>
      </c>
      <c r="K6315" t="s">
        <v>56</v>
      </c>
      <c r="L6315" t="s">
        <v>44</v>
      </c>
      <c r="M6315">
        <v>8.4700000000000006</v>
      </c>
      <c r="T6315" t="s">
        <v>47</v>
      </c>
      <c r="U6315">
        <v>1</v>
      </c>
      <c r="V6315">
        <v>7</v>
      </c>
    </row>
    <row r="6316" spans="1:22" x14ac:dyDescent="0.3">
      <c r="A6316">
        <v>6315</v>
      </c>
      <c r="B6316">
        <v>56904</v>
      </c>
      <c r="C6316" s="2">
        <v>36727</v>
      </c>
      <c r="D6316">
        <v>25</v>
      </c>
      <c r="E6316" t="s">
        <v>42</v>
      </c>
      <c r="F6316" t="s">
        <v>37</v>
      </c>
      <c r="G6316" s="2">
        <v>45373</v>
      </c>
      <c r="H6316" s="3">
        <f t="shared" si="98"/>
        <v>1.5863013698630137</v>
      </c>
      <c r="I6316">
        <v>126</v>
      </c>
      <c r="J6316" t="s">
        <v>57</v>
      </c>
      <c r="K6316" t="s">
        <v>56</v>
      </c>
      <c r="L6316" t="s">
        <v>44</v>
      </c>
      <c r="M6316">
        <v>8.4700000000000006</v>
      </c>
      <c r="T6316" t="s">
        <v>45</v>
      </c>
      <c r="U6316">
        <v>2</v>
      </c>
      <c r="V6316">
        <v>5</v>
      </c>
    </row>
    <row r="6317" spans="1:22" x14ac:dyDescent="0.3">
      <c r="A6317">
        <v>6316</v>
      </c>
      <c r="B6317">
        <v>56905</v>
      </c>
      <c r="C6317" s="2">
        <v>38712</v>
      </c>
      <c r="D6317">
        <v>20</v>
      </c>
      <c r="E6317" t="s">
        <v>42</v>
      </c>
      <c r="F6317" t="s">
        <v>37</v>
      </c>
      <c r="G6317" s="2">
        <v>45443</v>
      </c>
      <c r="H6317" s="3">
        <f t="shared" si="98"/>
        <v>1.7671232876712328</v>
      </c>
      <c r="I6317">
        <v>126</v>
      </c>
      <c r="J6317" t="s">
        <v>57</v>
      </c>
      <c r="K6317" t="s">
        <v>56</v>
      </c>
      <c r="L6317" t="s">
        <v>44</v>
      </c>
      <c r="M6317">
        <v>8.4700000000000006</v>
      </c>
      <c r="T6317" t="s">
        <v>52</v>
      </c>
      <c r="U6317">
        <v>1</v>
      </c>
      <c r="V6317">
        <v>4</v>
      </c>
    </row>
    <row r="6318" spans="1:22" x14ac:dyDescent="0.3">
      <c r="A6318">
        <v>6317</v>
      </c>
      <c r="B6318">
        <v>56906</v>
      </c>
      <c r="C6318" s="2">
        <v>37340</v>
      </c>
      <c r="D6318">
        <v>23</v>
      </c>
      <c r="E6318" t="s">
        <v>42</v>
      </c>
      <c r="F6318" t="s">
        <v>50</v>
      </c>
      <c r="G6318" s="2">
        <v>45377</v>
      </c>
      <c r="H6318" s="3">
        <f t="shared" si="98"/>
        <v>1.7671232876712328</v>
      </c>
      <c r="I6318">
        <v>126</v>
      </c>
      <c r="J6318" t="s">
        <v>57</v>
      </c>
      <c r="K6318" t="s">
        <v>56</v>
      </c>
      <c r="L6318" t="s">
        <v>44</v>
      </c>
      <c r="M6318">
        <v>8.4700000000000006</v>
      </c>
      <c r="T6318" t="s">
        <v>52</v>
      </c>
      <c r="U6318">
        <v>2</v>
      </c>
      <c r="V6318">
        <v>6</v>
      </c>
    </row>
    <row r="6319" spans="1:22" x14ac:dyDescent="0.3">
      <c r="A6319">
        <v>6318</v>
      </c>
      <c r="B6319">
        <v>56907</v>
      </c>
      <c r="C6319" s="2">
        <v>36408</v>
      </c>
      <c r="D6319">
        <v>26</v>
      </c>
      <c r="E6319" t="s">
        <v>42</v>
      </c>
      <c r="F6319" t="s">
        <v>37</v>
      </c>
      <c r="G6319" s="2">
        <v>45377</v>
      </c>
      <c r="H6319" s="3">
        <f t="shared" si="98"/>
        <v>1.2246575342465753</v>
      </c>
      <c r="I6319">
        <v>126</v>
      </c>
      <c r="J6319" t="s">
        <v>57</v>
      </c>
      <c r="K6319" t="s">
        <v>56</v>
      </c>
      <c r="L6319" t="s">
        <v>44</v>
      </c>
      <c r="M6319">
        <v>8.4700000000000006</v>
      </c>
      <c r="T6319" t="s">
        <v>47</v>
      </c>
      <c r="U6319">
        <v>2</v>
      </c>
      <c r="V6319">
        <v>6</v>
      </c>
    </row>
    <row r="6320" spans="1:22" x14ac:dyDescent="0.3">
      <c r="A6320">
        <v>6319</v>
      </c>
      <c r="B6320">
        <v>56908</v>
      </c>
      <c r="C6320" s="2">
        <v>38610</v>
      </c>
      <c r="D6320">
        <v>20</v>
      </c>
      <c r="E6320" t="s">
        <v>42</v>
      </c>
      <c r="F6320" t="s">
        <v>50</v>
      </c>
      <c r="G6320" s="2">
        <v>45575</v>
      </c>
      <c r="H6320" s="3">
        <f t="shared" si="98"/>
        <v>1.295890410958904</v>
      </c>
      <c r="I6320">
        <v>126</v>
      </c>
      <c r="J6320" t="s">
        <v>57</v>
      </c>
      <c r="K6320" t="s">
        <v>56</v>
      </c>
      <c r="L6320" t="s">
        <v>44</v>
      </c>
      <c r="M6320">
        <v>8.4700000000000006</v>
      </c>
      <c r="T6320" t="s">
        <v>45</v>
      </c>
      <c r="U6320">
        <v>2</v>
      </c>
      <c r="V6320">
        <v>7</v>
      </c>
    </row>
    <row r="6321" spans="1:22" x14ac:dyDescent="0.3">
      <c r="A6321">
        <v>6320</v>
      </c>
      <c r="B6321">
        <v>56909</v>
      </c>
      <c r="C6321" s="2">
        <v>38020</v>
      </c>
      <c r="D6321">
        <v>21</v>
      </c>
      <c r="E6321" t="s">
        <v>42</v>
      </c>
      <c r="F6321" t="s">
        <v>50</v>
      </c>
      <c r="G6321" s="2">
        <v>45549</v>
      </c>
      <c r="H6321" s="3">
        <f t="shared" si="98"/>
        <v>1.3561643835616439</v>
      </c>
      <c r="I6321">
        <v>126</v>
      </c>
      <c r="J6321" t="s">
        <v>57</v>
      </c>
      <c r="K6321" t="s">
        <v>56</v>
      </c>
      <c r="L6321" t="s">
        <v>44</v>
      </c>
      <c r="M6321">
        <v>8.4700000000000006</v>
      </c>
      <c r="T6321" t="s">
        <v>45</v>
      </c>
      <c r="U6321">
        <v>2</v>
      </c>
      <c r="V6321">
        <v>7</v>
      </c>
    </row>
    <row r="6322" spans="1:22" x14ac:dyDescent="0.3">
      <c r="A6322">
        <v>6321</v>
      </c>
      <c r="B6322">
        <v>56910</v>
      </c>
      <c r="C6322" s="2">
        <v>34741</v>
      </c>
      <c r="D6322">
        <v>30</v>
      </c>
      <c r="E6322" t="s">
        <v>42</v>
      </c>
      <c r="F6322" t="s">
        <v>50</v>
      </c>
      <c r="G6322" s="2">
        <v>45527</v>
      </c>
      <c r="H6322" s="3">
        <f t="shared" si="98"/>
        <v>1.8520547945205479</v>
      </c>
      <c r="I6322">
        <v>126</v>
      </c>
      <c r="J6322" t="s">
        <v>57</v>
      </c>
      <c r="K6322" t="s">
        <v>56</v>
      </c>
      <c r="L6322" t="s">
        <v>44</v>
      </c>
      <c r="M6322">
        <v>8.4700000000000006</v>
      </c>
      <c r="T6322" t="s">
        <v>52</v>
      </c>
      <c r="U6322">
        <v>0</v>
      </c>
      <c r="V6322">
        <v>5</v>
      </c>
    </row>
    <row r="6323" spans="1:22" x14ac:dyDescent="0.3">
      <c r="A6323">
        <v>6322</v>
      </c>
      <c r="B6323">
        <v>56911</v>
      </c>
      <c r="C6323" s="2">
        <v>37189</v>
      </c>
      <c r="D6323">
        <v>24</v>
      </c>
      <c r="E6323" t="s">
        <v>42</v>
      </c>
      <c r="F6323" t="s">
        <v>50</v>
      </c>
      <c r="G6323" s="2">
        <v>45346</v>
      </c>
      <c r="H6323" s="3">
        <f t="shared" si="98"/>
        <v>1.3780821917808219</v>
      </c>
      <c r="I6323">
        <v>126</v>
      </c>
      <c r="J6323" t="s">
        <v>57</v>
      </c>
      <c r="K6323" t="s">
        <v>56</v>
      </c>
      <c r="L6323" t="s">
        <v>44</v>
      </c>
      <c r="M6323">
        <v>8.4700000000000006</v>
      </c>
      <c r="T6323" t="s">
        <v>52</v>
      </c>
      <c r="U6323">
        <v>2</v>
      </c>
      <c r="V6323">
        <v>7</v>
      </c>
    </row>
    <row r="6324" spans="1:22" x14ac:dyDescent="0.3">
      <c r="A6324">
        <v>6323</v>
      </c>
      <c r="B6324">
        <v>56912</v>
      </c>
      <c r="C6324" s="2">
        <v>38117</v>
      </c>
      <c r="D6324">
        <v>21</v>
      </c>
      <c r="E6324" t="s">
        <v>36</v>
      </c>
      <c r="F6324" t="s">
        <v>37</v>
      </c>
      <c r="G6324" s="2">
        <v>45519</v>
      </c>
      <c r="H6324" s="3">
        <f t="shared" si="98"/>
        <v>1.284931506849315</v>
      </c>
      <c r="I6324">
        <v>127</v>
      </c>
      <c r="J6324" t="s">
        <v>57</v>
      </c>
      <c r="K6324" t="s">
        <v>64</v>
      </c>
      <c r="L6324" t="s">
        <v>44</v>
      </c>
      <c r="M6324">
        <v>14.07</v>
      </c>
      <c r="T6324" t="s">
        <v>52</v>
      </c>
      <c r="U6324">
        <v>0</v>
      </c>
      <c r="V6324">
        <v>5</v>
      </c>
    </row>
    <row r="6325" spans="1:22" x14ac:dyDescent="0.3">
      <c r="A6325">
        <v>6324</v>
      </c>
      <c r="B6325">
        <v>56913</v>
      </c>
      <c r="C6325" s="2">
        <v>39143</v>
      </c>
      <c r="D6325">
        <v>18</v>
      </c>
      <c r="E6325" t="s">
        <v>42</v>
      </c>
      <c r="F6325" t="s">
        <v>50</v>
      </c>
      <c r="G6325" s="2">
        <v>45553</v>
      </c>
      <c r="H6325" s="3">
        <f t="shared" si="98"/>
        <v>1.6794520547945206</v>
      </c>
      <c r="I6325">
        <v>127</v>
      </c>
      <c r="J6325" t="s">
        <v>57</v>
      </c>
      <c r="K6325" t="s">
        <v>48</v>
      </c>
      <c r="L6325" t="s">
        <v>44</v>
      </c>
      <c r="M6325">
        <v>8.4700000000000006</v>
      </c>
      <c r="T6325" t="s">
        <v>52</v>
      </c>
      <c r="U6325">
        <v>4</v>
      </c>
      <c r="V6325">
        <v>6</v>
      </c>
    </row>
    <row r="6326" spans="1:22" x14ac:dyDescent="0.3">
      <c r="A6326">
        <v>6325</v>
      </c>
      <c r="B6326">
        <v>56914</v>
      </c>
      <c r="C6326" s="2">
        <v>37291</v>
      </c>
      <c r="D6326">
        <v>23</v>
      </c>
      <c r="E6326" t="s">
        <v>42</v>
      </c>
      <c r="F6326" t="s">
        <v>50</v>
      </c>
      <c r="G6326" s="2">
        <v>45409</v>
      </c>
      <c r="H6326" s="3">
        <f t="shared" si="98"/>
        <v>1.1506849315068493</v>
      </c>
      <c r="I6326">
        <v>127</v>
      </c>
      <c r="J6326" t="s">
        <v>57</v>
      </c>
      <c r="K6326" t="s">
        <v>55</v>
      </c>
      <c r="L6326" t="s">
        <v>44</v>
      </c>
      <c r="M6326">
        <v>17.59</v>
      </c>
      <c r="T6326" t="s">
        <v>49</v>
      </c>
      <c r="U6326">
        <v>2</v>
      </c>
      <c r="V6326">
        <v>7</v>
      </c>
    </row>
    <row r="6327" spans="1:22" x14ac:dyDescent="0.3">
      <c r="A6327">
        <v>6326</v>
      </c>
      <c r="B6327">
        <v>56915</v>
      </c>
      <c r="C6327" s="2">
        <v>38943</v>
      </c>
      <c r="D6327">
        <v>19</v>
      </c>
      <c r="E6327" t="s">
        <v>36</v>
      </c>
      <c r="F6327" t="s">
        <v>37</v>
      </c>
      <c r="G6327" s="2">
        <v>45602</v>
      </c>
      <c r="H6327" s="3">
        <f t="shared" si="98"/>
        <v>1.5863013698630137</v>
      </c>
      <c r="I6327">
        <v>127</v>
      </c>
      <c r="J6327" t="s">
        <v>57</v>
      </c>
      <c r="K6327" t="s">
        <v>56</v>
      </c>
      <c r="L6327" t="s">
        <v>44</v>
      </c>
      <c r="M6327">
        <v>8.4700000000000006</v>
      </c>
      <c r="T6327" t="s">
        <v>47</v>
      </c>
      <c r="U6327">
        <v>2</v>
      </c>
      <c r="V6327">
        <v>4</v>
      </c>
    </row>
    <row r="6328" spans="1:22" x14ac:dyDescent="0.3">
      <c r="A6328">
        <v>6327</v>
      </c>
      <c r="B6328">
        <v>56916</v>
      </c>
      <c r="C6328" s="2">
        <v>37475</v>
      </c>
      <c r="D6328">
        <v>23</v>
      </c>
      <c r="E6328" t="s">
        <v>42</v>
      </c>
      <c r="F6328" t="s">
        <v>50</v>
      </c>
      <c r="G6328" s="2">
        <v>45443</v>
      </c>
      <c r="H6328" s="3">
        <f t="shared" si="98"/>
        <v>1.8410958904109589</v>
      </c>
      <c r="I6328">
        <v>127</v>
      </c>
      <c r="J6328" t="s">
        <v>57</v>
      </c>
      <c r="K6328" t="s">
        <v>56</v>
      </c>
      <c r="L6328" t="s">
        <v>44</v>
      </c>
      <c r="M6328">
        <v>8.4700000000000006</v>
      </c>
      <c r="T6328" t="s">
        <v>52</v>
      </c>
      <c r="U6328">
        <v>4</v>
      </c>
      <c r="V6328">
        <v>7</v>
      </c>
    </row>
    <row r="6329" spans="1:22" x14ac:dyDescent="0.3">
      <c r="A6329">
        <v>6328</v>
      </c>
      <c r="B6329">
        <v>56917</v>
      </c>
      <c r="C6329" s="2">
        <v>36049</v>
      </c>
      <c r="D6329">
        <v>27</v>
      </c>
      <c r="E6329" t="s">
        <v>42</v>
      </c>
      <c r="F6329" t="s">
        <v>37</v>
      </c>
      <c r="G6329" s="2">
        <v>45350</v>
      </c>
      <c r="H6329" s="3">
        <f t="shared" si="98"/>
        <v>1.3835616438356164</v>
      </c>
      <c r="I6329">
        <v>127</v>
      </c>
      <c r="J6329" t="s">
        <v>57</v>
      </c>
      <c r="K6329" t="s">
        <v>56</v>
      </c>
      <c r="L6329" t="s">
        <v>44</v>
      </c>
      <c r="M6329">
        <v>8.4700000000000006</v>
      </c>
      <c r="T6329" t="s">
        <v>47</v>
      </c>
      <c r="U6329">
        <v>2</v>
      </c>
      <c r="V6329">
        <v>7</v>
      </c>
    </row>
    <row r="6330" spans="1:22" x14ac:dyDescent="0.3">
      <c r="A6330">
        <v>6329</v>
      </c>
      <c r="B6330">
        <v>56918</v>
      </c>
      <c r="C6330" s="2">
        <v>38925</v>
      </c>
      <c r="D6330">
        <v>19</v>
      </c>
      <c r="E6330" t="s">
        <v>42</v>
      </c>
      <c r="F6330" t="s">
        <v>50</v>
      </c>
      <c r="G6330" s="2">
        <v>45517</v>
      </c>
      <c r="H6330" s="3">
        <f t="shared" si="98"/>
        <v>1.5616438356164384</v>
      </c>
      <c r="I6330">
        <v>127</v>
      </c>
      <c r="J6330" t="s">
        <v>57</v>
      </c>
      <c r="K6330" t="s">
        <v>56</v>
      </c>
      <c r="L6330" t="s">
        <v>44</v>
      </c>
      <c r="M6330">
        <v>8.4700000000000006</v>
      </c>
      <c r="T6330" t="s">
        <v>52</v>
      </c>
      <c r="U6330">
        <v>2</v>
      </c>
      <c r="V6330">
        <v>7</v>
      </c>
    </row>
    <row r="6331" spans="1:22" x14ac:dyDescent="0.3">
      <c r="A6331">
        <v>6330</v>
      </c>
      <c r="B6331">
        <v>56920</v>
      </c>
      <c r="C6331" s="2">
        <v>37677</v>
      </c>
      <c r="D6331">
        <v>22</v>
      </c>
      <c r="E6331" t="s">
        <v>42</v>
      </c>
      <c r="F6331" t="s">
        <v>50</v>
      </c>
      <c r="G6331" s="2">
        <v>45452</v>
      </c>
      <c r="H6331" s="3">
        <f t="shared" si="98"/>
        <v>1.5095890410958903</v>
      </c>
      <c r="I6331">
        <v>127</v>
      </c>
      <c r="J6331" t="s">
        <v>57</v>
      </c>
      <c r="K6331" t="s">
        <v>56</v>
      </c>
      <c r="L6331" t="s">
        <v>44</v>
      </c>
      <c r="M6331">
        <v>8.4700000000000006</v>
      </c>
      <c r="T6331" t="s">
        <v>49</v>
      </c>
      <c r="U6331">
        <v>1</v>
      </c>
      <c r="V6331">
        <v>4</v>
      </c>
    </row>
    <row r="6332" spans="1:22" x14ac:dyDescent="0.3">
      <c r="A6332">
        <v>6331</v>
      </c>
      <c r="B6332">
        <v>56921</v>
      </c>
      <c r="C6332" s="2">
        <v>38310</v>
      </c>
      <c r="D6332">
        <v>21</v>
      </c>
      <c r="E6332" t="s">
        <v>36</v>
      </c>
      <c r="F6332" t="s">
        <v>50</v>
      </c>
      <c r="G6332" s="2">
        <v>45471</v>
      </c>
      <c r="H6332" s="3">
        <f t="shared" si="98"/>
        <v>1.5753424657534247</v>
      </c>
      <c r="I6332">
        <v>127</v>
      </c>
      <c r="J6332" t="s">
        <v>57</v>
      </c>
      <c r="K6332" t="s">
        <v>56</v>
      </c>
      <c r="L6332" t="s">
        <v>44</v>
      </c>
      <c r="M6332">
        <v>8.4700000000000006</v>
      </c>
      <c r="T6332" t="s">
        <v>45</v>
      </c>
      <c r="U6332">
        <v>4</v>
      </c>
      <c r="V6332">
        <v>5</v>
      </c>
    </row>
    <row r="6333" spans="1:22" x14ac:dyDescent="0.3">
      <c r="A6333">
        <v>6332</v>
      </c>
      <c r="B6333">
        <v>56922</v>
      </c>
      <c r="C6333" s="2">
        <v>37020</v>
      </c>
      <c r="D6333">
        <v>24</v>
      </c>
      <c r="E6333" t="s">
        <v>42</v>
      </c>
      <c r="F6333" t="s">
        <v>50</v>
      </c>
      <c r="G6333" s="2">
        <v>45447</v>
      </c>
      <c r="H6333" s="3">
        <f t="shared" si="98"/>
        <v>1.3260273972602741</v>
      </c>
      <c r="I6333">
        <v>127</v>
      </c>
      <c r="J6333" t="s">
        <v>57</v>
      </c>
      <c r="K6333" t="s">
        <v>56</v>
      </c>
      <c r="L6333" t="s">
        <v>44</v>
      </c>
      <c r="M6333">
        <v>8.4700000000000006</v>
      </c>
      <c r="T6333" t="s">
        <v>47</v>
      </c>
      <c r="U6333">
        <v>3</v>
      </c>
      <c r="V6333">
        <v>7</v>
      </c>
    </row>
    <row r="6334" spans="1:22" x14ac:dyDescent="0.3">
      <c r="A6334">
        <v>6333</v>
      </c>
      <c r="B6334">
        <v>56925</v>
      </c>
      <c r="C6334" s="2">
        <v>36057</v>
      </c>
      <c r="D6334">
        <v>27</v>
      </c>
      <c r="E6334" t="s">
        <v>42</v>
      </c>
      <c r="F6334" t="s">
        <v>37</v>
      </c>
      <c r="G6334" s="2">
        <v>45538</v>
      </c>
      <c r="H6334" s="3">
        <f t="shared" si="98"/>
        <v>1.5534246575342465</v>
      </c>
      <c r="I6334">
        <v>127</v>
      </c>
      <c r="J6334" t="s">
        <v>57</v>
      </c>
      <c r="K6334" t="s">
        <v>56</v>
      </c>
      <c r="L6334" t="s">
        <v>44</v>
      </c>
      <c r="M6334">
        <v>8.4700000000000006</v>
      </c>
      <c r="T6334" t="s">
        <v>52</v>
      </c>
      <c r="U6334">
        <v>1</v>
      </c>
      <c r="V6334">
        <v>5</v>
      </c>
    </row>
    <row r="6335" spans="1:22" x14ac:dyDescent="0.3">
      <c r="A6335">
        <v>6334</v>
      </c>
      <c r="B6335">
        <v>56926</v>
      </c>
      <c r="C6335" s="2">
        <v>37202</v>
      </c>
      <c r="D6335">
        <v>24</v>
      </c>
      <c r="E6335" t="s">
        <v>42</v>
      </c>
      <c r="F6335" t="s">
        <v>50</v>
      </c>
      <c r="G6335" s="2">
        <v>45455</v>
      </c>
      <c r="H6335" s="3">
        <f t="shared" si="98"/>
        <v>1.2438356164383562</v>
      </c>
      <c r="I6335">
        <v>127</v>
      </c>
      <c r="J6335" t="s">
        <v>57</v>
      </c>
      <c r="K6335" t="s">
        <v>56</v>
      </c>
      <c r="L6335" t="s">
        <v>44</v>
      </c>
      <c r="M6335">
        <v>8.4700000000000006</v>
      </c>
      <c r="T6335" t="s">
        <v>45</v>
      </c>
      <c r="U6335">
        <v>0</v>
      </c>
      <c r="V6335">
        <v>7</v>
      </c>
    </row>
    <row r="6336" spans="1:22" x14ac:dyDescent="0.3">
      <c r="A6336">
        <v>6335</v>
      </c>
      <c r="B6336">
        <v>56927</v>
      </c>
      <c r="C6336" s="2">
        <v>35998</v>
      </c>
      <c r="D6336">
        <v>27</v>
      </c>
      <c r="E6336" t="s">
        <v>42</v>
      </c>
      <c r="F6336" t="s">
        <v>37</v>
      </c>
      <c r="G6336" s="2">
        <v>45568</v>
      </c>
      <c r="H6336" s="3">
        <f t="shared" si="98"/>
        <v>1.0849315068493151</v>
      </c>
      <c r="I6336">
        <v>128</v>
      </c>
      <c r="J6336" t="s">
        <v>57</v>
      </c>
      <c r="K6336" t="s">
        <v>68</v>
      </c>
      <c r="L6336" t="s">
        <v>44</v>
      </c>
      <c r="M6336">
        <v>17</v>
      </c>
      <c r="T6336" t="s">
        <v>45</v>
      </c>
      <c r="U6336">
        <v>4</v>
      </c>
      <c r="V6336">
        <v>6</v>
      </c>
    </row>
    <row r="6337" spans="1:22" x14ac:dyDescent="0.3">
      <c r="A6337">
        <v>6336</v>
      </c>
      <c r="B6337">
        <v>56929</v>
      </c>
      <c r="C6337" s="2">
        <v>39240</v>
      </c>
      <c r="D6337">
        <v>18</v>
      </c>
      <c r="E6337" t="s">
        <v>42</v>
      </c>
      <c r="F6337" t="s">
        <v>37</v>
      </c>
      <c r="G6337" s="2">
        <v>45626</v>
      </c>
      <c r="H6337" s="3">
        <f t="shared" si="98"/>
        <v>1.2493150684931507</v>
      </c>
      <c r="I6337">
        <v>128</v>
      </c>
      <c r="J6337" t="s">
        <v>57</v>
      </c>
      <c r="K6337" t="s">
        <v>48</v>
      </c>
      <c r="L6337" t="s">
        <v>44</v>
      </c>
      <c r="M6337">
        <v>8.4700000000000006</v>
      </c>
      <c r="T6337" t="s">
        <v>45</v>
      </c>
      <c r="U6337">
        <v>1</v>
      </c>
      <c r="V6337">
        <v>4</v>
      </c>
    </row>
    <row r="6338" spans="1:22" x14ac:dyDescent="0.3">
      <c r="A6338">
        <v>6337</v>
      </c>
      <c r="B6338">
        <v>56930</v>
      </c>
      <c r="C6338" s="2">
        <v>38632</v>
      </c>
      <c r="D6338">
        <v>20</v>
      </c>
      <c r="E6338" t="s">
        <v>36</v>
      </c>
      <c r="F6338" t="s">
        <v>50</v>
      </c>
      <c r="G6338" s="2">
        <v>45566</v>
      </c>
      <c r="H6338" s="3">
        <f t="shared" si="98"/>
        <v>1.4054794520547946</v>
      </c>
      <c r="I6338">
        <v>128</v>
      </c>
      <c r="J6338" t="s">
        <v>57</v>
      </c>
      <c r="K6338" t="s">
        <v>56</v>
      </c>
      <c r="L6338" t="s">
        <v>44</v>
      </c>
      <c r="M6338">
        <v>8.4700000000000006</v>
      </c>
      <c r="T6338" t="s">
        <v>45</v>
      </c>
      <c r="U6338">
        <v>2</v>
      </c>
      <c r="V6338">
        <v>4</v>
      </c>
    </row>
    <row r="6339" spans="1:22" x14ac:dyDescent="0.3">
      <c r="A6339">
        <v>6338</v>
      </c>
      <c r="B6339">
        <v>56931</v>
      </c>
      <c r="C6339" s="2">
        <v>34381</v>
      </c>
      <c r="D6339">
        <v>31</v>
      </c>
      <c r="E6339" t="s">
        <v>42</v>
      </c>
      <c r="F6339" t="s">
        <v>50</v>
      </c>
      <c r="G6339" s="2">
        <v>45509</v>
      </c>
      <c r="H6339" s="3">
        <f t="shared" ref="H6339:H6402" si="99">DATEDIF(G6340,DATE(2025,12,31),"d")/365</f>
        <v>1.4794520547945205</v>
      </c>
      <c r="I6339">
        <v>128</v>
      </c>
      <c r="J6339" t="s">
        <v>57</v>
      </c>
      <c r="K6339" t="s">
        <v>56</v>
      </c>
      <c r="L6339" t="s">
        <v>44</v>
      </c>
      <c r="M6339">
        <v>8.4700000000000006</v>
      </c>
      <c r="T6339" t="s">
        <v>49</v>
      </c>
      <c r="U6339">
        <v>2</v>
      </c>
      <c r="V6339">
        <v>5</v>
      </c>
    </row>
    <row r="6340" spans="1:22" x14ac:dyDescent="0.3">
      <c r="A6340">
        <v>6339</v>
      </c>
      <c r="B6340">
        <v>56932</v>
      </c>
      <c r="C6340" s="2">
        <v>38605</v>
      </c>
      <c r="D6340">
        <v>20</v>
      </c>
      <c r="E6340" t="s">
        <v>42</v>
      </c>
      <c r="F6340" t="s">
        <v>50</v>
      </c>
      <c r="G6340" s="2">
        <v>45482</v>
      </c>
      <c r="H6340" s="3">
        <f t="shared" si="99"/>
        <v>1.7068493150684931</v>
      </c>
      <c r="I6340">
        <v>128</v>
      </c>
      <c r="J6340" t="s">
        <v>57</v>
      </c>
      <c r="K6340" t="s">
        <v>56</v>
      </c>
      <c r="L6340" t="s">
        <v>44</v>
      </c>
      <c r="M6340">
        <v>8.4700000000000006</v>
      </c>
      <c r="T6340" t="s">
        <v>52</v>
      </c>
      <c r="U6340">
        <v>4</v>
      </c>
      <c r="V6340">
        <v>7</v>
      </c>
    </row>
    <row r="6341" spans="1:22" x14ac:dyDescent="0.3">
      <c r="A6341">
        <v>6340</v>
      </c>
      <c r="B6341">
        <v>56933</v>
      </c>
      <c r="C6341" s="2">
        <v>38251</v>
      </c>
      <c r="D6341">
        <v>21</v>
      </c>
      <c r="E6341" t="s">
        <v>42</v>
      </c>
      <c r="F6341" t="s">
        <v>37</v>
      </c>
      <c r="G6341" s="2">
        <v>45399</v>
      </c>
      <c r="H6341" s="3">
        <f t="shared" si="99"/>
        <v>1.2027397260273973</v>
      </c>
      <c r="I6341">
        <v>128</v>
      </c>
      <c r="J6341" t="s">
        <v>57</v>
      </c>
      <c r="K6341" t="s">
        <v>56</v>
      </c>
      <c r="L6341" t="s">
        <v>44</v>
      </c>
      <c r="M6341">
        <v>8.4700000000000006</v>
      </c>
      <c r="T6341" t="s">
        <v>45</v>
      </c>
      <c r="U6341">
        <v>1</v>
      </c>
      <c r="V6341">
        <v>4</v>
      </c>
    </row>
    <row r="6342" spans="1:22" x14ac:dyDescent="0.3">
      <c r="A6342">
        <v>6341</v>
      </c>
      <c r="B6342">
        <v>56934</v>
      </c>
      <c r="C6342" s="2">
        <v>38886</v>
      </c>
      <c r="D6342">
        <v>19</v>
      </c>
      <c r="E6342" t="s">
        <v>42</v>
      </c>
      <c r="F6342" t="s">
        <v>50</v>
      </c>
      <c r="G6342" s="2">
        <v>45583</v>
      </c>
      <c r="H6342" s="3">
        <f t="shared" si="99"/>
        <v>1.6684931506849314</v>
      </c>
      <c r="I6342">
        <v>128</v>
      </c>
      <c r="J6342" t="s">
        <v>57</v>
      </c>
      <c r="K6342" t="s">
        <v>56</v>
      </c>
      <c r="L6342" t="s">
        <v>44</v>
      </c>
      <c r="M6342">
        <v>8.4700000000000006</v>
      </c>
      <c r="T6342" t="s">
        <v>52</v>
      </c>
      <c r="U6342">
        <v>1</v>
      </c>
      <c r="V6342">
        <v>6</v>
      </c>
    </row>
    <row r="6343" spans="1:22" x14ac:dyDescent="0.3">
      <c r="A6343">
        <v>6342</v>
      </c>
      <c r="B6343">
        <v>56936</v>
      </c>
      <c r="C6343" s="2">
        <v>34402</v>
      </c>
      <c r="D6343">
        <v>31</v>
      </c>
      <c r="E6343" t="s">
        <v>42</v>
      </c>
      <c r="F6343" t="s">
        <v>50</v>
      </c>
      <c r="G6343" s="2">
        <v>45413</v>
      </c>
      <c r="H6343" s="3">
        <f t="shared" si="99"/>
        <v>1.4027397260273973</v>
      </c>
      <c r="I6343">
        <v>128</v>
      </c>
      <c r="J6343" t="s">
        <v>57</v>
      </c>
      <c r="K6343" t="s">
        <v>56</v>
      </c>
      <c r="L6343" t="s">
        <v>44</v>
      </c>
      <c r="M6343">
        <v>8.4700000000000006</v>
      </c>
      <c r="T6343" t="s">
        <v>52</v>
      </c>
      <c r="U6343">
        <v>4</v>
      </c>
      <c r="V6343">
        <v>6</v>
      </c>
    </row>
    <row r="6344" spans="1:22" x14ac:dyDescent="0.3">
      <c r="A6344">
        <v>6343</v>
      </c>
      <c r="B6344">
        <v>56937</v>
      </c>
      <c r="C6344" s="2">
        <v>36884</v>
      </c>
      <c r="D6344">
        <v>25</v>
      </c>
      <c r="E6344" t="s">
        <v>42</v>
      </c>
      <c r="F6344" t="s">
        <v>50</v>
      </c>
      <c r="G6344" s="2">
        <v>45510</v>
      </c>
      <c r="H6344" s="3">
        <f t="shared" si="99"/>
        <v>1.4054794520547946</v>
      </c>
      <c r="I6344">
        <v>129</v>
      </c>
      <c r="J6344" t="s">
        <v>57</v>
      </c>
      <c r="K6344" t="s">
        <v>68</v>
      </c>
      <c r="L6344" t="s">
        <v>44</v>
      </c>
      <c r="M6344">
        <v>17</v>
      </c>
      <c r="T6344" t="s">
        <v>49</v>
      </c>
      <c r="U6344">
        <v>4</v>
      </c>
      <c r="V6344">
        <v>7</v>
      </c>
    </row>
    <row r="6345" spans="1:22" x14ac:dyDescent="0.3">
      <c r="A6345">
        <v>6344</v>
      </c>
      <c r="B6345">
        <v>56938</v>
      </c>
      <c r="C6345" s="2">
        <v>38690</v>
      </c>
      <c r="D6345">
        <v>20</v>
      </c>
      <c r="E6345" t="s">
        <v>42</v>
      </c>
      <c r="F6345" t="s">
        <v>37</v>
      </c>
      <c r="G6345" s="2">
        <v>45509</v>
      </c>
      <c r="H6345" s="3">
        <f t="shared" si="99"/>
        <v>1.0904109589041096</v>
      </c>
      <c r="I6345">
        <v>129</v>
      </c>
      <c r="J6345" t="s">
        <v>57</v>
      </c>
      <c r="K6345" t="s">
        <v>56</v>
      </c>
      <c r="L6345" t="s">
        <v>44</v>
      </c>
      <c r="M6345">
        <v>8.4700000000000006</v>
      </c>
      <c r="T6345" t="s">
        <v>47</v>
      </c>
      <c r="U6345">
        <v>2</v>
      </c>
      <c r="V6345">
        <v>6</v>
      </c>
    </row>
    <row r="6346" spans="1:22" x14ac:dyDescent="0.3">
      <c r="A6346">
        <v>6345</v>
      </c>
      <c r="B6346">
        <v>56939</v>
      </c>
      <c r="C6346" s="2">
        <v>37870</v>
      </c>
      <c r="D6346">
        <v>22</v>
      </c>
      <c r="E6346" t="s">
        <v>42</v>
      </c>
      <c r="F6346" t="s">
        <v>37</v>
      </c>
      <c r="G6346" s="2">
        <v>45624</v>
      </c>
      <c r="H6346" s="3">
        <f t="shared" si="99"/>
        <v>1.441095890410959</v>
      </c>
      <c r="I6346">
        <v>129</v>
      </c>
      <c r="J6346" t="s">
        <v>57</v>
      </c>
      <c r="K6346" t="s">
        <v>56</v>
      </c>
      <c r="L6346" t="s">
        <v>44</v>
      </c>
      <c r="M6346">
        <v>8.4700000000000006</v>
      </c>
      <c r="T6346" t="s">
        <v>49</v>
      </c>
      <c r="U6346">
        <v>2</v>
      </c>
      <c r="V6346">
        <v>6</v>
      </c>
    </row>
    <row r="6347" spans="1:22" x14ac:dyDescent="0.3">
      <c r="A6347">
        <v>6346</v>
      </c>
      <c r="B6347">
        <v>56940</v>
      </c>
      <c r="C6347" s="2">
        <v>36586</v>
      </c>
      <c r="D6347">
        <v>26</v>
      </c>
      <c r="E6347" t="s">
        <v>42</v>
      </c>
      <c r="F6347" t="s">
        <v>50</v>
      </c>
      <c r="G6347" s="2">
        <v>45496</v>
      </c>
      <c r="H6347" s="3">
        <f t="shared" si="99"/>
        <v>1.1342465753424658</v>
      </c>
      <c r="I6347">
        <v>129</v>
      </c>
      <c r="J6347" t="s">
        <v>57</v>
      </c>
      <c r="K6347" t="s">
        <v>56</v>
      </c>
      <c r="L6347" t="s">
        <v>44</v>
      </c>
      <c r="M6347">
        <v>8.4700000000000006</v>
      </c>
      <c r="T6347" t="s">
        <v>49</v>
      </c>
      <c r="U6347">
        <v>1</v>
      </c>
      <c r="V6347">
        <v>5</v>
      </c>
    </row>
    <row r="6348" spans="1:22" x14ac:dyDescent="0.3">
      <c r="A6348">
        <v>6347</v>
      </c>
      <c r="B6348">
        <v>56941</v>
      </c>
      <c r="C6348" s="2">
        <v>36544</v>
      </c>
      <c r="D6348">
        <v>25</v>
      </c>
      <c r="E6348" t="s">
        <v>42</v>
      </c>
      <c r="F6348" t="s">
        <v>50</v>
      </c>
      <c r="G6348" s="2">
        <v>45608</v>
      </c>
      <c r="H6348" s="3">
        <f t="shared" si="99"/>
        <v>1.8849315068493151</v>
      </c>
      <c r="I6348">
        <v>129</v>
      </c>
      <c r="J6348" t="s">
        <v>57</v>
      </c>
      <c r="K6348" t="s">
        <v>56</v>
      </c>
      <c r="L6348" t="s">
        <v>44</v>
      </c>
      <c r="M6348">
        <v>8.4700000000000006</v>
      </c>
      <c r="T6348" t="s">
        <v>47</v>
      </c>
      <c r="U6348">
        <v>4</v>
      </c>
      <c r="V6348">
        <v>7</v>
      </c>
    </row>
    <row r="6349" spans="1:22" x14ac:dyDescent="0.3">
      <c r="A6349">
        <v>6348</v>
      </c>
      <c r="B6349">
        <v>56942</v>
      </c>
      <c r="C6349" s="2">
        <v>38056</v>
      </c>
      <c r="D6349">
        <v>21</v>
      </c>
      <c r="E6349" t="s">
        <v>42</v>
      </c>
      <c r="F6349" t="s">
        <v>50</v>
      </c>
      <c r="G6349" s="2">
        <v>45334</v>
      </c>
      <c r="H6349" s="3">
        <f t="shared" si="99"/>
        <v>1.6410958904109589</v>
      </c>
      <c r="I6349">
        <v>129</v>
      </c>
      <c r="J6349" t="s">
        <v>57</v>
      </c>
      <c r="K6349" t="s">
        <v>56</v>
      </c>
      <c r="L6349" t="s">
        <v>44</v>
      </c>
      <c r="M6349">
        <v>8.4700000000000006</v>
      </c>
      <c r="T6349" t="s">
        <v>49</v>
      </c>
      <c r="U6349">
        <v>2</v>
      </c>
      <c r="V6349">
        <v>7</v>
      </c>
    </row>
    <row r="6350" spans="1:22" x14ac:dyDescent="0.3">
      <c r="A6350">
        <v>6349</v>
      </c>
      <c r="B6350">
        <v>56943</v>
      </c>
      <c r="C6350" s="2">
        <v>38190</v>
      </c>
      <c r="D6350">
        <v>21</v>
      </c>
      <c r="E6350" t="s">
        <v>42</v>
      </c>
      <c r="F6350" t="s">
        <v>37</v>
      </c>
      <c r="G6350" s="2">
        <v>45423</v>
      </c>
      <c r="H6350" s="3">
        <f t="shared" si="99"/>
        <v>1.5287671232876712</v>
      </c>
      <c r="I6350">
        <v>129</v>
      </c>
      <c r="J6350" t="s">
        <v>57</v>
      </c>
      <c r="K6350" t="s">
        <v>56</v>
      </c>
      <c r="L6350" t="s">
        <v>44</v>
      </c>
      <c r="M6350">
        <v>8.4700000000000006</v>
      </c>
      <c r="T6350" t="s">
        <v>49</v>
      </c>
      <c r="U6350">
        <v>2</v>
      </c>
      <c r="V6350">
        <v>6</v>
      </c>
    </row>
    <row r="6351" spans="1:22" x14ac:dyDescent="0.3">
      <c r="A6351">
        <v>6350</v>
      </c>
      <c r="B6351">
        <v>56944</v>
      </c>
      <c r="C6351" s="2">
        <v>38048</v>
      </c>
      <c r="D6351">
        <v>21</v>
      </c>
      <c r="E6351" t="s">
        <v>42</v>
      </c>
      <c r="F6351" t="s">
        <v>50</v>
      </c>
      <c r="G6351" s="2">
        <v>45464</v>
      </c>
      <c r="H6351" s="3">
        <f t="shared" si="99"/>
        <v>1.4575342465753425</v>
      </c>
      <c r="I6351">
        <v>129</v>
      </c>
      <c r="J6351" t="s">
        <v>57</v>
      </c>
      <c r="K6351" t="s">
        <v>56</v>
      </c>
      <c r="L6351" t="s">
        <v>44</v>
      </c>
      <c r="M6351">
        <v>8.4700000000000006</v>
      </c>
      <c r="T6351" t="s">
        <v>47</v>
      </c>
      <c r="U6351">
        <v>1</v>
      </c>
      <c r="V6351">
        <v>6</v>
      </c>
    </row>
    <row r="6352" spans="1:22" x14ac:dyDescent="0.3">
      <c r="A6352">
        <v>6351</v>
      </c>
      <c r="B6352">
        <v>56945</v>
      </c>
      <c r="C6352" s="2">
        <v>37819</v>
      </c>
      <c r="D6352">
        <v>22</v>
      </c>
      <c r="E6352" t="s">
        <v>42</v>
      </c>
      <c r="F6352" t="s">
        <v>37</v>
      </c>
      <c r="G6352" s="2">
        <v>45490</v>
      </c>
      <c r="H6352" s="3">
        <f t="shared" si="99"/>
        <v>1.8575342465753424</v>
      </c>
      <c r="I6352">
        <v>129</v>
      </c>
      <c r="J6352" t="s">
        <v>57</v>
      </c>
      <c r="K6352" t="s">
        <v>56</v>
      </c>
      <c r="L6352" t="s">
        <v>44</v>
      </c>
      <c r="M6352">
        <v>8.4700000000000006</v>
      </c>
      <c r="T6352" t="s">
        <v>45</v>
      </c>
      <c r="U6352">
        <v>4</v>
      </c>
      <c r="V6352">
        <v>5</v>
      </c>
    </row>
    <row r="6353" spans="1:22" x14ac:dyDescent="0.3">
      <c r="A6353">
        <v>6352</v>
      </c>
      <c r="B6353">
        <v>56946</v>
      </c>
      <c r="C6353" s="2">
        <v>38473</v>
      </c>
      <c r="D6353">
        <v>21</v>
      </c>
      <c r="E6353" t="s">
        <v>42</v>
      </c>
      <c r="F6353" t="s">
        <v>50</v>
      </c>
      <c r="G6353" s="2">
        <v>45344</v>
      </c>
      <c r="H6353" s="3">
        <f t="shared" si="99"/>
        <v>1.7232876712328766</v>
      </c>
      <c r="I6353">
        <v>129</v>
      </c>
      <c r="J6353" t="s">
        <v>57</v>
      </c>
      <c r="K6353" t="s">
        <v>56</v>
      </c>
      <c r="L6353" t="s">
        <v>44</v>
      </c>
      <c r="M6353">
        <v>8.4700000000000006</v>
      </c>
      <c r="T6353" t="s">
        <v>47</v>
      </c>
      <c r="U6353">
        <v>4</v>
      </c>
      <c r="V6353">
        <v>6</v>
      </c>
    </row>
    <row r="6354" spans="1:22" x14ac:dyDescent="0.3">
      <c r="A6354">
        <v>6353</v>
      </c>
      <c r="B6354">
        <v>56947</v>
      </c>
      <c r="C6354" s="2">
        <v>38350</v>
      </c>
      <c r="D6354">
        <v>21</v>
      </c>
      <c r="E6354" t="s">
        <v>42</v>
      </c>
      <c r="F6354" t="s">
        <v>37</v>
      </c>
      <c r="G6354" s="2">
        <v>45393</v>
      </c>
      <c r="H6354" s="3">
        <f t="shared" si="99"/>
        <v>1.5095890410958903</v>
      </c>
      <c r="I6354">
        <v>129</v>
      </c>
      <c r="J6354" t="s">
        <v>57</v>
      </c>
      <c r="K6354" t="s">
        <v>56</v>
      </c>
      <c r="L6354" t="s">
        <v>44</v>
      </c>
      <c r="M6354">
        <v>8.4700000000000006</v>
      </c>
      <c r="T6354" t="s">
        <v>47</v>
      </c>
      <c r="U6354">
        <v>4</v>
      </c>
      <c r="V6354">
        <v>6</v>
      </c>
    </row>
    <row r="6355" spans="1:22" x14ac:dyDescent="0.3">
      <c r="A6355">
        <v>6354</v>
      </c>
      <c r="B6355">
        <v>56948</v>
      </c>
      <c r="C6355" s="2">
        <v>37515</v>
      </c>
      <c r="D6355">
        <v>23</v>
      </c>
      <c r="E6355" t="s">
        <v>36</v>
      </c>
      <c r="F6355" t="s">
        <v>50</v>
      </c>
      <c r="G6355" s="2">
        <v>45471</v>
      </c>
      <c r="H6355" s="3">
        <f t="shared" si="99"/>
        <v>1.2082191780821918</v>
      </c>
      <c r="I6355">
        <v>129</v>
      </c>
      <c r="J6355" t="s">
        <v>57</v>
      </c>
      <c r="K6355" t="s">
        <v>56</v>
      </c>
      <c r="L6355" t="s">
        <v>44</v>
      </c>
      <c r="M6355">
        <v>8.4700000000000006</v>
      </c>
      <c r="T6355" t="s">
        <v>52</v>
      </c>
      <c r="U6355">
        <v>2</v>
      </c>
      <c r="V6355">
        <v>6</v>
      </c>
    </row>
    <row r="6356" spans="1:22" x14ac:dyDescent="0.3">
      <c r="A6356">
        <v>6355</v>
      </c>
      <c r="B6356">
        <v>56949</v>
      </c>
      <c r="C6356" s="2">
        <v>37910</v>
      </c>
      <c r="D6356">
        <v>22</v>
      </c>
      <c r="E6356" t="s">
        <v>36</v>
      </c>
      <c r="F6356" t="s">
        <v>50</v>
      </c>
      <c r="G6356" s="2">
        <v>45581</v>
      </c>
      <c r="H6356" s="3">
        <f t="shared" si="99"/>
        <v>1.484931506849315</v>
      </c>
      <c r="I6356">
        <v>129</v>
      </c>
      <c r="J6356" t="s">
        <v>57</v>
      </c>
      <c r="K6356" t="s">
        <v>56</v>
      </c>
      <c r="L6356" t="s">
        <v>44</v>
      </c>
      <c r="M6356">
        <v>8.4700000000000006</v>
      </c>
      <c r="T6356" t="s">
        <v>52</v>
      </c>
      <c r="U6356">
        <v>4</v>
      </c>
      <c r="V6356">
        <v>5</v>
      </c>
    </row>
    <row r="6357" spans="1:22" x14ac:dyDescent="0.3">
      <c r="A6357">
        <v>6356</v>
      </c>
      <c r="B6357">
        <v>56950</v>
      </c>
      <c r="C6357" s="2">
        <v>39089</v>
      </c>
      <c r="D6357">
        <v>18</v>
      </c>
      <c r="E6357" t="s">
        <v>42</v>
      </c>
      <c r="F6357" t="s">
        <v>37</v>
      </c>
      <c r="G6357" s="2">
        <v>45480</v>
      </c>
      <c r="H6357" s="3">
        <f t="shared" si="99"/>
        <v>1.2438356164383562</v>
      </c>
      <c r="I6357">
        <v>130</v>
      </c>
      <c r="J6357" t="s">
        <v>57</v>
      </c>
      <c r="K6357" t="s">
        <v>56</v>
      </c>
      <c r="L6357" t="s">
        <v>44</v>
      </c>
      <c r="M6357">
        <v>8.4700000000000006</v>
      </c>
      <c r="T6357" t="s">
        <v>47</v>
      </c>
      <c r="U6357">
        <v>2</v>
      </c>
      <c r="V6357">
        <v>4</v>
      </c>
    </row>
    <row r="6358" spans="1:22" x14ac:dyDescent="0.3">
      <c r="A6358">
        <v>6357</v>
      </c>
      <c r="B6358">
        <v>56951</v>
      </c>
      <c r="C6358" s="2">
        <v>38877</v>
      </c>
      <c r="D6358">
        <v>19</v>
      </c>
      <c r="E6358" t="s">
        <v>42</v>
      </c>
      <c r="F6358" t="s">
        <v>50</v>
      </c>
      <c r="G6358" s="2">
        <v>45568</v>
      </c>
      <c r="H6358" s="3">
        <f t="shared" si="99"/>
        <v>1.3369863013698631</v>
      </c>
      <c r="I6358">
        <v>130</v>
      </c>
      <c r="J6358" t="s">
        <v>57</v>
      </c>
      <c r="K6358" t="s">
        <v>56</v>
      </c>
      <c r="L6358" t="s">
        <v>44</v>
      </c>
      <c r="M6358">
        <v>8.4700000000000006</v>
      </c>
      <c r="T6358" t="s">
        <v>52</v>
      </c>
      <c r="U6358">
        <v>3</v>
      </c>
      <c r="V6358">
        <v>7</v>
      </c>
    </row>
    <row r="6359" spans="1:22" x14ac:dyDescent="0.3">
      <c r="A6359">
        <v>6358</v>
      </c>
      <c r="B6359">
        <v>56952</v>
      </c>
      <c r="C6359" s="2">
        <v>37659</v>
      </c>
      <c r="D6359">
        <v>22</v>
      </c>
      <c r="E6359" t="s">
        <v>42</v>
      </c>
      <c r="F6359" t="s">
        <v>50</v>
      </c>
      <c r="G6359" s="2">
        <v>45534</v>
      </c>
      <c r="H6359" s="3">
        <f t="shared" si="99"/>
        <v>1.4904109589041097</v>
      </c>
      <c r="I6359">
        <v>130</v>
      </c>
      <c r="J6359" t="s">
        <v>57</v>
      </c>
      <c r="K6359" t="s">
        <v>56</v>
      </c>
      <c r="L6359" t="s">
        <v>44</v>
      </c>
      <c r="M6359">
        <v>8.4700000000000006</v>
      </c>
      <c r="T6359" t="s">
        <v>49</v>
      </c>
      <c r="U6359">
        <v>4</v>
      </c>
      <c r="V6359">
        <v>7</v>
      </c>
    </row>
    <row r="6360" spans="1:22" x14ac:dyDescent="0.3">
      <c r="A6360">
        <v>6359</v>
      </c>
      <c r="B6360">
        <v>56953</v>
      </c>
      <c r="C6360" s="2">
        <v>39432</v>
      </c>
      <c r="D6360">
        <v>18</v>
      </c>
      <c r="E6360" t="s">
        <v>42</v>
      </c>
      <c r="F6360" t="s">
        <v>37</v>
      </c>
      <c r="G6360" s="2">
        <v>45478</v>
      </c>
      <c r="H6360" s="3">
        <f t="shared" si="99"/>
        <v>1.5424657534246575</v>
      </c>
      <c r="I6360">
        <v>130</v>
      </c>
      <c r="J6360" t="s">
        <v>57</v>
      </c>
      <c r="K6360" t="s">
        <v>56</v>
      </c>
      <c r="L6360" t="s">
        <v>44</v>
      </c>
      <c r="M6360">
        <v>8.4700000000000006</v>
      </c>
      <c r="T6360" t="s">
        <v>52</v>
      </c>
      <c r="U6360">
        <v>0</v>
      </c>
      <c r="V6360">
        <v>5</v>
      </c>
    </row>
    <row r="6361" spans="1:22" x14ac:dyDescent="0.3">
      <c r="A6361">
        <v>6360</v>
      </c>
      <c r="B6361">
        <v>56954</v>
      </c>
      <c r="C6361" s="2">
        <v>38894</v>
      </c>
      <c r="D6361">
        <v>19</v>
      </c>
      <c r="E6361" t="s">
        <v>42</v>
      </c>
      <c r="F6361" t="s">
        <v>50</v>
      </c>
      <c r="G6361" s="2">
        <v>45459</v>
      </c>
      <c r="H6361" s="3">
        <f t="shared" si="99"/>
        <v>1.1616438356164382</v>
      </c>
      <c r="I6361">
        <v>130</v>
      </c>
      <c r="J6361" t="s">
        <v>57</v>
      </c>
      <c r="K6361" t="s">
        <v>56</v>
      </c>
      <c r="L6361" t="s">
        <v>44</v>
      </c>
      <c r="M6361">
        <v>8.4700000000000006</v>
      </c>
      <c r="T6361" t="s">
        <v>45</v>
      </c>
      <c r="U6361">
        <v>1</v>
      </c>
      <c r="V6361">
        <v>5</v>
      </c>
    </row>
    <row r="6362" spans="1:22" x14ac:dyDescent="0.3">
      <c r="A6362">
        <v>6361</v>
      </c>
      <c r="B6362">
        <v>56955</v>
      </c>
      <c r="C6362" s="2">
        <v>37214</v>
      </c>
      <c r="D6362">
        <v>24</v>
      </c>
      <c r="E6362" t="s">
        <v>42</v>
      </c>
      <c r="F6362" t="s">
        <v>50</v>
      </c>
      <c r="G6362" s="2">
        <v>45598</v>
      </c>
      <c r="H6362" s="3">
        <f t="shared" si="99"/>
        <v>1.5342465753424657</v>
      </c>
      <c r="I6362">
        <v>131</v>
      </c>
      <c r="J6362" t="s">
        <v>57</v>
      </c>
      <c r="K6362" t="s">
        <v>68</v>
      </c>
      <c r="L6362" t="s">
        <v>44</v>
      </c>
      <c r="M6362">
        <v>17</v>
      </c>
      <c r="T6362" t="s">
        <v>47</v>
      </c>
      <c r="U6362">
        <v>1</v>
      </c>
      <c r="V6362">
        <v>5</v>
      </c>
    </row>
    <row r="6363" spans="1:22" x14ac:dyDescent="0.3">
      <c r="A6363">
        <v>6362</v>
      </c>
      <c r="B6363">
        <v>56956</v>
      </c>
      <c r="C6363" s="2">
        <v>37679</v>
      </c>
      <c r="D6363">
        <v>22</v>
      </c>
      <c r="E6363" t="s">
        <v>42</v>
      </c>
      <c r="F6363" t="s">
        <v>50</v>
      </c>
      <c r="G6363" s="2">
        <v>45462</v>
      </c>
      <c r="H6363" s="3">
        <f t="shared" si="99"/>
        <v>1.0602739726027397</v>
      </c>
      <c r="I6363">
        <v>131</v>
      </c>
      <c r="J6363" t="s">
        <v>57</v>
      </c>
      <c r="K6363" t="s">
        <v>56</v>
      </c>
      <c r="L6363" t="s">
        <v>44</v>
      </c>
      <c r="M6363">
        <v>8.4700000000000006</v>
      </c>
      <c r="T6363" t="s">
        <v>45</v>
      </c>
      <c r="U6363">
        <v>4</v>
      </c>
      <c r="V6363">
        <v>6</v>
      </c>
    </row>
    <row r="6364" spans="1:22" x14ac:dyDescent="0.3">
      <c r="A6364">
        <v>6363</v>
      </c>
      <c r="B6364">
        <v>56957</v>
      </c>
      <c r="C6364" s="2">
        <v>34581</v>
      </c>
      <c r="D6364">
        <v>31</v>
      </c>
      <c r="E6364" t="s">
        <v>36</v>
      </c>
      <c r="F6364" t="s">
        <v>50</v>
      </c>
      <c r="G6364" s="2">
        <v>45635</v>
      </c>
      <c r="H6364" s="3">
        <f t="shared" si="99"/>
        <v>1.1260273972602739</v>
      </c>
      <c r="I6364">
        <v>131</v>
      </c>
      <c r="J6364" t="s">
        <v>57</v>
      </c>
      <c r="K6364" t="s">
        <v>56</v>
      </c>
      <c r="L6364" t="s">
        <v>44</v>
      </c>
      <c r="M6364">
        <v>8.4700000000000006</v>
      </c>
      <c r="T6364" t="s">
        <v>45</v>
      </c>
      <c r="U6364">
        <v>1</v>
      </c>
      <c r="V6364">
        <v>4</v>
      </c>
    </row>
    <row r="6365" spans="1:22" x14ac:dyDescent="0.3">
      <c r="A6365">
        <v>6364</v>
      </c>
      <c r="B6365">
        <v>56959</v>
      </c>
      <c r="C6365" s="2">
        <v>37967</v>
      </c>
      <c r="D6365">
        <v>22</v>
      </c>
      <c r="E6365" t="s">
        <v>42</v>
      </c>
      <c r="F6365" t="s">
        <v>37</v>
      </c>
      <c r="G6365" s="2">
        <v>45611</v>
      </c>
      <c r="H6365" s="3">
        <f t="shared" si="99"/>
        <v>1.7232876712328766</v>
      </c>
      <c r="I6365">
        <v>131</v>
      </c>
      <c r="J6365" t="s">
        <v>57</v>
      </c>
      <c r="K6365" t="s">
        <v>56</v>
      </c>
      <c r="L6365" t="s">
        <v>44</v>
      </c>
      <c r="M6365">
        <v>8.4700000000000006</v>
      </c>
      <c r="T6365" t="s">
        <v>49</v>
      </c>
      <c r="U6365">
        <v>2</v>
      </c>
      <c r="V6365">
        <v>6</v>
      </c>
    </row>
    <row r="6366" spans="1:22" x14ac:dyDescent="0.3">
      <c r="A6366">
        <v>6365</v>
      </c>
      <c r="B6366">
        <v>56960</v>
      </c>
      <c r="C6366" s="2">
        <v>37732</v>
      </c>
      <c r="D6366">
        <v>22</v>
      </c>
      <c r="E6366" t="s">
        <v>42</v>
      </c>
      <c r="F6366" t="s">
        <v>50</v>
      </c>
      <c r="G6366" s="2">
        <v>45393</v>
      </c>
      <c r="H6366" s="3">
        <f t="shared" si="99"/>
        <v>1.3945205479452054</v>
      </c>
      <c r="I6366">
        <v>131</v>
      </c>
      <c r="J6366" t="s">
        <v>57</v>
      </c>
      <c r="K6366" t="s">
        <v>56</v>
      </c>
      <c r="L6366" t="s">
        <v>44</v>
      </c>
      <c r="M6366">
        <v>8.4700000000000006</v>
      </c>
      <c r="T6366" t="s">
        <v>45</v>
      </c>
      <c r="U6366">
        <v>2</v>
      </c>
      <c r="V6366">
        <v>6</v>
      </c>
    </row>
    <row r="6367" spans="1:22" x14ac:dyDescent="0.3">
      <c r="A6367">
        <v>6366</v>
      </c>
      <c r="B6367">
        <v>56961</v>
      </c>
      <c r="C6367" s="2">
        <v>38095</v>
      </c>
      <c r="D6367">
        <v>21</v>
      </c>
      <c r="E6367" t="s">
        <v>42</v>
      </c>
      <c r="F6367" t="s">
        <v>37</v>
      </c>
      <c r="G6367" s="2">
        <v>45513</v>
      </c>
      <c r="H6367" s="3">
        <f t="shared" si="99"/>
        <v>1.5013698630136987</v>
      </c>
      <c r="I6367">
        <v>131</v>
      </c>
      <c r="J6367" t="s">
        <v>57</v>
      </c>
      <c r="K6367" t="s">
        <v>56</v>
      </c>
      <c r="L6367" t="s">
        <v>44</v>
      </c>
      <c r="M6367">
        <v>8.4700000000000006</v>
      </c>
      <c r="T6367" t="s">
        <v>47</v>
      </c>
      <c r="U6367">
        <v>2</v>
      </c>
      <c r="V6367">
        <v>5</v>
      </c>
    </row>
    <row r="6368" spans="1:22" x14ac:dyDescent="0.3">
      <c r="A6368">
        <v>6367</v>
      </c>
      <c r="B6368">
        <v>56962</v>
      </c>
      <c r="C6368" s="2">
        <v>35845</v>
      </c>
      <c r="D6368">
        <v>27</v>
      </c>
      <c r="E6368" t="s">
        <v>42</v>
      </c>
      <c r="F6368" t="s">
        <v>50</v>
      </c>
      <c r="G6368" s="2">
        <v>45474</v>
      </c>
      <c r="H6368" s="3">
        <f t="shared" si="99"/>
        <v>1.8027397260273972</v>
      </c>
      <c r="I6368">
        <v>131</v>
      </c>
      <c r="J6368" t="s">
        <v>57</v>
      </c>
      <c r="K6368" t="s">
        <v>56</v>
      </c>
      <c r="L6368" t="s">
        <v>44</v>
      </c>
      <c r="M6368">
        <v>8.4700000000000006</v>
      </c>
      <c r="T6368" t="s">
        <v>49</v>
      </c>
      <c r="U6368">
        <v>4</v>
      </c>
      <c r="V6368">
        <v>7</v>
      </c>
    </row>
    <row r="6369" spans="1:22" x14ac:dyDescent="0.3">
      <c r="A6369">
        <v>6368</v>
      </c>
      <c r="B6369">
        <v>56963</v>
      </c>
      <c r="C6369" s="2">
        <v>38534</v>
      </c>
      <c r="D6369">
        <v>21</v>
      </c>
      <c r="E6369" t="s">
        <v>42</v>
      </c>
      <c r="F6369" t="s">
        <v>50</v>
      </c>
      <c r="G6369" s="2">
        <v>45364</v>
      </c>
      <c r="H6369" s="3">
        <f t="shared" si="99"/>
        <v>1.189041095890411</v>
      </c>
      <c r="I6369">
        <v>131</v>
      </c>
      <c r="J6369" t="s">
        <v>57</v>
      </c>
      <c r="K6369" t="s">
        <v>56</v>
      </c>
      <c r="L6369" t="s">
        <v>44</v>
      </c>
      <c r="M6369">
        <v>8.4700000000000006</v>
      </c>
      <c r="T6369" t="s">
        <v>47</v>
      </c>
      <c r="U6369">
        <v>0</v>
      </c>
      <c r="V6369">
        <v>6</v>
      </c>
    </row>
    <row r="6370" spans="1:22" x14ac:dyDescent="0.3">
      <c r="A6370">
        <v>6369</v>
      </c>
      <c r="B6370">
        <v>56964</v>
      </c>
      <c r="C6370" s="2">
        <v>37418</v>
      </c>
      <c r="D6370">
        <v>23</v>
      </c>
      <c r="E6370" t="s">
        <v>42</v>
      </c>
      <c r="F6370" t="s">
        <v>50</v>
      </c>
      <c r="G6370" s="2">
        <v>45588</v>
      </c>
      <c r="H6370" s="3">
        <f t="shared" si="99"/>
        <v>1.0136986301369864</v>
      </c>
      <c r="I6370">
        <v>131</v>
      </c>
      <c r="J6370" t="s">
        <v>57</v>
      </c>
      <c r="K6370" t="s">
        <v>56</v>
      </c>
      <c r="L6370" t="s">
        <v>44</v>
      </c>
      <c r="M6370">
        <v>8.4700000000000006</v>
      </c>
      <c r="T6370" t="s">
        <v>52</v>
      </c>
      <c r="U6370">
        <v>2</v>
      </c>
      <c r="V6370">
        <v>6</v>
      </c>
    </row>
    <row r="6371" spans="1:22" x14ac:dyDescent="0.3">
      <c r="A6371">
        <v>6370</v>
      </c>
      <c r="B6371">
        <v>56966</v>
      </c>
      <c r="C6371" s="2">
        <v>38206</v>
      </c>
      <c r="D6371">
        <v>21</v>
      </c>
      <c r="E6371" t="s">
        <v>42</v>
      </c>
      <c r="F6371" t="s">
        <v>50</v>
      </c>
      <c r="G6371" s="2">
        <v>45652</v>
      </c>
      <c r="H6371" s="3">
        <f t="shared" si="99"/>
        <v>1.4493150684931506</v>
      </c>
      <c r="I6371">
        <v>131</v>
      </c>
      <c r="J6371" t="s">
        <v>57</v>
      </c>
      <c r="K6371" t="s">
        <v>56</v>
      </c>
      <c r="L6371" t="s">
        <v>44</v>
      </c>
      <c r="M6371">
        <v>8.4700000000000006</v>
      </c>
      <c r="T6371" t="s">
        <v>45</v>
      </c>
      <c r="U6371">
        <v>2</v>
      </c>
      <c r="V6371">
        <v>6</v>
      </c>
    </row>
    <row r="6372" spans="1:22" x14ac:dyDescent="0.3">
      <c r="A6372">
        <v>6371</v>
      </c>
      <c r="B6372">
        <v>56967</v>
      </c>
      <c r="C6372" s="2">
        <v>38875</v>
      </c>
      <c r="D6372">
        <v>19</v>
      </c>
      <c r="E6372" t="s">
        <v>42</v>
      </c>
      <c r="F6372" t="s">
        <v>37</v>
      </c>
      <c r="G6372" s="2">
        <v>45493</v>
      </c>
      <c r="H6372" s="3">
        <f t="shared" si="99"/>
        <v>1.1095890410958904</v>
      </c>
      <c r="I6372">
        <v>131</v>
      </c>
      <c r="J6372" t="s">
        <v>57</v>
      </c>
      <c r="K6372" t="s">
        <v>56</v>
      </c>
      <c r="L6372" t="s">
        <v>44</v>
      </c>
      <c r="M6372">
        <v>8.4700000000000006</v>
      </c>
      <c r="T6372" t="s">
        <v>47</v>
      </c>
      <c r="U6372">
        <v>2</v>
      </c>
      <c r="V6372">
        <v>6</v>
      </c>
    </row>
    <row r="6373" spans="1:22" x14ac:dyDescent="0.3">
      <c r="A6373">
        <v>6372</v>
      </c>
      <c r="B6373">
        <v>56968</v>
      </c>
      <c r="C6373" s="2">
        <v>37237</v>
      </c>
      <c r="D6373">
        <v>24</v>
      </c>
      <c r="E6373" t="s">
        <v>42</v>
      </c>
      <c r="F6373" t="s">
        <v>50</v>
      </c>
      <c r="G6373" s="2">
        <v>45617</v>
      </c>
      <c r="H6373" s="3">
        <f t="shared" si="99"/>
        <v>1.6684931506849314</v>
      </c>
      <c r="I6373">
        <v>132</v>
      </c>
      <c r="J6373" t="s">
        <v>57</v>
      </c>
      <c r="K6373" t="s">
        <v>68</v>
      </c>
      <c r="L6373" t="s">
        <v>44</v>
      </c>
      <c r="M6373">
        <v>17</v>
      </c>
      <c r="T6373" t="s">
        <v>49</v>
      </c>
      <c r="U6373">
        <v>2</v>
      </c>
      <c r="V6373">
        <v>5</v>
      </c>
    </row>
    <row r="6374" spans="1:22" x14ac:dyDescent="0.3">
      <c r="A6374">
        <v>6373</v>
      </c>
      <c r="B6374">
        <v>56969</v>
      </c>
      <c r="C6374" s="2">
        <v>37022</v>
      </c>
      <c r="D6374">
        <v>24</v>
      </c>
      <c r="E6374" t="s">
        <v>42</v>
      </c>
      <c r="F6374" t="s">
        <v>50</v>
      </c>
      <c r="G6374" s="2">
        <v>45413</v>
      </c>
      <c r="H6374" s="3">
        <f t="shared" si="99"/>
        <v>1.5424657534246575</v>
      </c>
      <c r="I6374">
        <v>132</v>
      </c>
      <c r="J6374" t="s">
        <v>57</v>
      </c>
      <c r="K6374" t="s">
        <v>68</v>
      </c>
      <c r="L6374" t="s">
        <v>44</v>
      </c>
      <c r="M6374">
        <v>17</v>
      </c>
      <c r="T6374" t="s">
        <v>45</v>
      </c>
      <c r="U6374">
        <v>2</v>
      </c>
      <c r="V6374">
        <v>7</v>
      </c>
    </row>
    <row r="6375" spans="1:22" x14ac:dyDescent="0.3">
      <c r="A6375">
        <v>6374</v>
      </c>
      <c r="B6375">
        <v>56970</v>
      </c>
      <c r="C6375" s="2">
        <v>36491</v>
      </c>
      <c r="D6375">
        <v>26</v>
      </c>
      <c r="E6375" t="s">
        <v>42</v>
      </c>
      <c r="F6375" t="s">
        <v>50</v>
      </c>
      <c r="G6375" s="2">
        <v>45459</v>
      </c>
      <c r="H6375" s="3">
        <f t="shared" si="99"/>
        <v>1.6273972602739726</v>
      </c>
      <c r="I6375">
        <v>132</v>
      </c>
      <c r="J6375" t="s">
        <v>57</v>
      </c>
      <c r="K6375" t="s">
        <v>68</v>
      </c>
      <c r="L6375" t="s">
        <v>44</v>
      </c>
      <c r="M6375">
        <v>17</v>
      </c>
      <c r="T6375" t="s">
        <v>49</v>
      </c>
      <c r="U6375">
        <v>2</v>
      </c>
      <c r="V6375">
        <v>6</v>
      </c>
    </row>
    <row r="6376" spans="1:22" x14ac:dyDescent="0.3">
      <c r="A6376">
        <v>6375</v>
      </c>
      <c r="B6376">
        <v>56971</v>
      </c>
      <c r="C6376" s="2">
        <v>37083</v>
      </c>
      <c r="D6376">
        <v>24</v>
      </c>
      <c r="E6376" t="s">
        <v>42</v>
      </c>
      <c r="F6376" t="s">
        <v>37</v>
      </c>
      <c r="G6376" s="2">
        <v>45428</v>
      </c>
      <c r="H6376" s="3">
        <f t="shared" si="99"/>
        <v>1.473972602739726</v>
      </c>
      <c r="I6376">
        <v>132</v>
      </c>
      <c r="J6376" t="s">
        <v>57</v>
      </c>
      <c r="K6376" t="s">
        <v>65</v>
      </c>
      <c r="L6376" t="s">
        <v>44</v>
      </c>
      <c r="M6376">
        <v>10.64</v>
      </c>
      <c r="T6376" t="s">
        <v>49</v>
      </c>
      <c r="U6376">
        <v>1</v>
      </c>
      <c r="V6376">
        <v>5</v>
      </c>
    </row>
    <row r="6377" spans="1:22" x14ac:dyDescent="0.3">
      <c r="A6377">
        <v>6376</v>
      </c>
      <c r="B6377">
        <v>56972</v>
      </c>
      <c r="C6377" s="2">
        <v>38500</v>
      </c>
      <c r="D6377">
        <v>20</v>
      </c>
      <c r="E6377" t="s">
        <v>42</v>
      </c>
      <c r="F6377" t="s">
        <v>50</v>
      </c>
      <c r="G6377" s="2">
        <v>45484</v>
      </c>
      <c r="H6377" s="3">
        <f t="shared" si="99"/>
        <v>1.452054794520548</v>
      </c>
      <c r="I6377">
        <v>132</v>
      </c>
      <c r="J6377" t="s">
        <v>57</v>
      </c>
      <c r="K6377" t="s">
        <v>56</v>
      </c>
      <c r="L6377" t="s">
        <v>44</v>
      </c>
      <c r="M6377">
        <v>8.4700000000000006</v>
      </c>
      <c r="T6377" t="s">
        <v>45</v>
      </c>
      <c r="U6377">
        <v>1</v>
      </c>
      <c r="V6377">
        <v>5</v>
      </c>
    </row>
    <row r="6378" spans="1:22" x14ac:dyDescent="0.3">
      <c r="A6378">
        <v>6377</v>
      </c>
      <c r="B6378">
        <v>56973</v>
      </c>
      <c r="C6378" s="2">
        <v>38119</v>
      </c>
      <c r="D6378">
        <v>21</v>
      </c>
      <c r="E6378" t="s">
        <v>36</v>
      </c>
      <c r="F6378" t="s">
        <v>50</v>
      </c>
      <c r="G6378" s="2">
        <v>45492</v>
      </c>
      <c r="H6378" s="3">
        <f t="shared" si="99"/>
        <v>1.515068493150685</v>
      </c>
      <c r="I6378">
        <v>132</v>
      </c>
      <c r="J6378" t="s">
        <v>57</v>
      </c>
      <c r="K6378" t="s">
        <v>56</v>
      </c>
      <c r="L6378" t="s">
        <v>44</v>
      </c>
      <c r="M6378">
        <v>8.4700000000000006</v>
      </c>
      <c r="T6378" t="s">
        <v>45</v>
      </c>
      <c r="U6378">
        <v>3</v>
      </c>
      <c r="V6378">
        <v>4</v>
      </c>
    </row>
    <row r="6379" spans="1:22" x14ac:dyDescent="0.3">
      <c r="A6379">
        <v>6378</v>
      </c>
      <c r="B6379">
        <v>56974</v>
      </c>
      <c r="C6379" s="2">
        <v>37431</v>
      </c>
      <c r="D6379">
        <v>23</v>
      </c>
      <c r="E6379" t="s">
        <v>42</v>
      </c>
      <c r="F6379" t="s">
        <v>50</v>
      </c>
      <c r="G6379" s="2">
        <v>45469</v>
      </c>
      <c r="H6379" s="3">
        <f t="shared" si="99"/>
        <v>1.6821917808219178</v>
      </c>
      <c r="I6379">
        <v>132</v>
      </c>
      <c r="J6379" t="s">
        <v>57</v>
      </c>
      <c r="K6379" t="s">
        <v>56</v>
      </c>
      <c r="L6379" t="s">
        <v>44</v>
      </c>
      <c r="M6379">
        <v>8.4700000000000006</v>
      </c>
      <c r="T6379" t="s">
        <v>45</v>
      </c>
      <c r="U6379">
        <v>1</v>
      </c>
      <c r="V6379">
        <v>5</v>
      </c>
    </row>
    <row r="6380" spans="1:22" x14ac:dyDescent="0.3">
      <c r="A6380">
        <v>6379</v>
      </c>
      <c r="B6380">
        <v>56975</v>
      </c>
      <c r="C6380" s="2">
        <v>39368</v>
      </c>
      <c r="D6380">
        <v>18</v>
      </c>
      <c r="E6380" t="s">
        <v>42</v>
      </c>
      <c r="F6380" t="s">
        <v>37</v>
      </c>
      <c r="G6380" s="2">
        <v>45408</v>
      </c>
      <c r="H6380" s="3">
        <f t="shared" si="99"/>
        <v>1.7698630136986302</v>
      </c>
      <c r="I6380">
        <v>132</v>
      </c>
      <c r="J6380" t="s">
        <v>57</v>
      </c>
      <c r="K6380" t="s">
        <v>56</v>
      </c>
      <c r="L6380" t="s">
        <v>44</v>
      </c>
      <c r="M6380">
        <v>8.4700000000000006</v>
      </c>
      <c r="T6380" t="s">
        <v>52</v>
      </c>
      <c r="U6380">
        <v>4</v>
      </c>
      <c r="V6380">
        <v>7</v>
      </c>
    </row>
    <row r="6381" spans="1:22" x14ac:dyDescent="0.3">
      <c r="A6381">
        <v>6380</v>
      </c>
      <c r="B6381">
        <v>56976</v>
      </c>
      <c r="C6381" s="2">
        <v>37378</v>
      </c>
      <c r="D6381">
        <v>23</v>
      </c>
      <c r="E6381" t="s">
        <v>42</v>
      </c>
      <c r="F6381" t="s">
        <v>50</v>
      </c>
      <c r="G6381" s="2">
        <v>45376</v>
      </c>
      <c r="H6381" s="3">
        <f t="shared" si="99"/>
        <v>1.7726027397260273</v>
      </c>
      <c r="I6381">
        <v>132</v>
      </c>
      <c r="J6381" t="s">
        <v>57</v>
      </c>
      <c r="K6381" t="s">
        <v>56</v>
      </c>
      <c r="L6381" t="s">
        <v>44</v>
      </c>
      <c r="M6381">
        <v>8.4700000000000006</v>
      </c>
      <c r="T6381" t="s">
        <v>52</v>
      </c>
      <c r="U6381">
        <v>2</v>
      </c>
      <c r="V6381">
        <v>7</v>
      </c>
    </row>
    <row r="6382" spans="1:22" x14ac:dyDescent="0.3">
      <c r="A6382">
        <v>6381</v>
      </c>
      <c r="B6382">
        <v>56977</v>
      </c>
      <c r="C6382" s="2">
        <v>37809</v>
      </c>
      <c r="D6382">
        <v>22</v>
      </c>
      <c r="E6382" t="s">
        <v>42</v>
      </c>
      <c r="F6382" t="s">
        <v>50</v>
      </c>
      <c r="G6382" s="2">
        <v>45375</v>
      </c>
      <c r="H6382" s="3">
        <f t="shared" si="99"/>
        <v>1.4356164383561645</v>
      </c>
      <c r="I6382">
        <v>132</v>
      </c>
      <c r="J6382" t="s">
        <v>57</v>
      </c>
      <c r="K6382" t="s">
        <v>56</v>
      </c>
      <c r="L6382" t="s">
        <v>44</v>
      </c>
      <c r="M6382">
        <v>8.4700000000000006</v>
      </c>
      <c r="T6382" t="s">
        <v>49</v>
      </c>
      <c r="U6382">
        <v>4</v>
      </c>
      <c r="V6382">
        <v>6</v>
      </c>
    </row>
    <row r="6383" spans="1:22" x14ac:dyDescent="0.3">
      <c r="A6383">
        <v>6382</v>
      </c>
      <c r="B6383">
        <v>56978</v>
      </c>
      <c r="C6383" s="2">
        <v>38890</v>
      </c>
      <c r="D6383">
        <v>19</v>
      </c>
      <c r="E6383" t="s">
        <v>36</v>
      </c>
      <c r="F6383" t="s">
        <v>50</v>
      </c>
      <c r="G6383" s="2">
        <v>45498</v>
      </c>
      <c r="H6383" s="3">
        <f t="shared" si="99"/>
        <v>1.5643835616438355</v>
      </c>
      <c r="I6383">
        <v>132</v>
      </c>
      <c r="J6383" t="s">
        <v>57</v>
      </c>
      <c r="K6383" t="s">
        <v>56</v>
      </c>
      <c r="L6383" t="s">
        <v>44</v>
      </c>
      <c r="M6383">
        <v>8.4700000000000006</v>
      </c>
      <c r="T6383" t="s">
        <v>47</v>
      </c>
      <c r="U6383">
        <v>1</v>
      </c>
      <c r="V6383">
        <v>4</v>
      </c>
    </row>
    <row r="6384" spans="1:22" x14ac:dyDescent="0.3">
      <c r="A6384">
        <v>6383</v>
      </c>
      <c r="B6384">
        <v>56980</v>
      </c>
      <c r="C6384" s="2">
        <v>37120</v>
      </c>
      <c r="D6384">
        <v>24</v>
      </c>
      <c r="E6384" t="s">
        <v>42</v>
      </c>
      <c r="F6384" t="s">
        <v>50</v>
      </c>
      <c r="G6384" s="2">
        <v>45451</v>
      </c>
      <c r="H6384" s="3">
        <f t="shared" si="99"/>
        <v>1.0602739726027397</v>
      </c>
      <c r="I6384">
        <v>132</v>
      </c>
      <c r="J6384" t="s">
        <v>57</v>
      </c>
      <c r="K6384" t="s">
        <v>56</v>
      </c>
      <c r="L6384" t="s">
        <v>44</v>
      </c>
      <c r="M6384">
        <v>8.4700000000000006</v>
      </c>
      <c r="T6384" t="s">
        <v>45</v>
      </c>
      <c r="U6384">
        <v>2</v>
      </c>
      <c r="V6384">
        <v>7</v>
      </c>
    </row>
    <row r="6385" spans="1:22" x14ac:dyDescent="0.3">
      <c r="A6385">
        <v>6384</v>
      </c>
      <c r="B6385">
        <v>56981</v>
      </c>
      <c r="C6385" s="2">
        <v>38157</v>
      </c>
      <c r="D6385">
        <v>21</v>
      </c>
      <c r="E6385" t="s">
        <v>36</v>
      </c>
      <c r="F6385" t="s">
        <v>50</v>
      </c>
      <c r="G6385" s="2">
        <v>45635</v>
      </c>
      <c r="H6385" s="3">
        <f t="shared" si="99"/>
        <v>1.295890410958904</v>
      </c>
      <c r="I6385">
        <v>132</v>
      </c>
      <c r="J6385" t="s">
        <v>57</v>
      </c>
      <c r="K6385" t="s">
        <v>56</v>
      </c>
      <c r="L6385" t="s">
        <v>44</v>
      </c>
      <c r="M6385">
        <v>8.4700000000000006</v>
      </c>
      <c r="T6385" t="s">
        <v>49</v>
      </c>
      <c r="U6385">
        <v>2</v>
      </c>
      <c r="V6385">
        <v>4</v>
      </c>
    </row>
    <row r="6386" spans="1:22" x14ac:dyDescent="0.3">
      <c r="A6386">
        <v>6385</v>
      </c>
      <c r="B6386">
        <v>56982</v>
      </c>
      <c r="C6386" s="2">
        <v>36578</v>
      </c>
      <c r="D6386">
        <v>25</v>
      </c>
      <c r="E6386" t="s">
        <v>42</v>
      </c>
      <c r="F6386" t="s">
        <v>37</v>
      </c>
      <c r="G6386" s="2">
        <v>45549</v>
      </c>
      <c r="H6386" s="3">
        <f t="shared" si="99"/>
        <v>1.284931506849315</v>
      </c>
      <c r="I6386">
        <v>132</v>
      </c>
      <c r="J6386" t="s">
        <v>57</v>
      </c>
      <c r="K6386" t="s">
        <v>56</v>
      </c>
      <c r="L6386" t="s">
        <v>44</v>
      </c>
      <c r="M6386">
        <v>8.4700000000000006</v>
      </c>
      <c r="T6386" t="s">
        <v>47</v>
      </c>
      <c r="U6386">
        <v>2</v>
      </c>
      <c r="V6386">
        <v>5</v>
      </c>
    </row>
    <row r="6387" spans="1:22" x14ac:dyDescent="0.3">
      <c r="A6387">
        <v>6386</v>
      </c>
      <c r="B6387">
        <v>56983</v>
      </c>
      <c r="C6387" s="2">
        <v>35664</v>
      </c>
      <c r="D6387">
        <v>28</v>
      </c>
      <c r="E6387" t="s">
        <v>42</v>
      </c>
      <c r="F6387" t="s">
        <v>50</v>
      </c>
      <c r="G6387" s="2">
        <v>45553</v>
      </c>
      <c r="H6387" s="3">
        <f t="shared" si="99"/>
        <v>1.0328767123287672</v>
      </c>
      <c r="I6387">
        <v>133</v>
      </c>
      <c r="J6387" t="s">
        <v>57</v>
      </c>
      <c r="K6387" t="s">
        <v>68</v>
      </c>
      <c r="L6387" t="s">
        <v>44</v>
      </c>
      <c r="M6387">
        <v>17</v>
      </c>
      <c r="T6387" t="s">
        <v>49</v>
      </c>
      <c r="U6387">
        <v>2</v>
      </c>
      <c r="V6387">
        <v>5</v>
      </c>
    </row>
    <row r="6388" spans="1:22" x14ac:dyDescent="0.3">
      <c r="A6388">
        <v>6387</v>
      </c>
      <c r="B6388">
        <v>56984</v>
      </c>
      <c r="C6388" s="2">
        <v>36757</v>
      </c>
      <c r="D6388">
        <v>25</v>
      </c>
      <c r="E6388" t="s">
        <v>42</v>
      </c>
      <c r="F6388" t="s">
        <v>50</v>
      </c>
      <c r="G6388" s="2">
        <v>45645</v>
      </c>
      <c r="H6388" s="3">
        <f t="shared" si="99"/>
        <v>1.4383561643835616</v>
      </c>
      <c r="I6388">
        <v>133</v>
      </c>
      <c r="J6388" t="s">
        <v>57</v>
      </c>
      <c r="K6388" t="s">
        <v>48</v>
      </c>
      <c r="L6388" t="s">
        <v>44</v>
      </c>
      <c r="M6388">
        <v>8.4700000000000006</v>
      </c>
      <c r="T6388" t="s">
        <v>45</v>
      </c>
      <c r="U6388">
        <v>0</v>
      </c>
      <c r="V6388">
        <v>5</v>
      </c>
    </row>
    <row r="6389" spans="1:22" x14ac:dyDescent="0.3">
      <c r="A6389">
        <v>6388</v>
      </c>
      <c r="B6389">
        <v>56985</v>
      </c>
      <c r="C6389" s="2">
        <v>37820</v>
      </c>
      <c r="D6389">
        <v>22</v>
      </c>
      <c r="E6389" t="s">
        <v>42</v>
      </c>
      <c r="F6389" t="s">
        <v>50</v>
      </c>
      <c r="G6389" s="2">
        <v>45497</v>
      </c>
      <c r="H6389" s="3">
        <f t="shared" si="99"/>
        <v>1.5835616438356164</v>
      </c>
      <c r="I6389">
        <v>133</v>
      </c>
      <c r="J6389" t="s">
        <v>57</v>
      </c>
      <c r="K6389" t="s">
        <v>48</v>
      </c>
      <c r="L6389" t="s">
        <v>44</v>
      </c>
      <c r="M6389">
        <v>8.4700000000000006</v>
      </c>
      <c r="T6389" t="s">
        <v>45</v>
      </c>
      <c r="U6389">
        <v>3</v>
      </c>
      <c r="V6389">
        <v>7</v>
      </c>
    </row>
    <row r="6390" spans="1:22" x14ac:dyDescent="0.3">
      <c r="A6390">
        <v>6389</v>
      </c>
      <c r="B6390">
        <v>56986</v>
      </c>
      <c r="C6390" s="2">
        <v>36794</v>
      </c>
      <c r="D6390">
        <v>25</v>
      </c>
      <c r="E6390" t="s">
        <v>42</v>
      </c>
      <c r="F6390" t="s">
        <v>50</v>
      </c>
      <c r="G6390" s="2">
        <v>45444</v>
      </c>
      <c r="H6390" s="3">
        <f t="shared" si="99"/>
        <v>1.0082191780821919</v>
      </c>
      <c r="I6390">
        <v>133</v>
      </c>
      <c r="J6390" t="s">
        <v>57</v>
      </c>
      <c r="K6390" t="s">
        <v>56</v>
      </c>
      <c r="L6390" t="s">
        <v>44</v>
      </c>
      <c r="M6390">
        <v>8.4700000000000006</v>
      </c>
      <c r="T6390" t="s">
        <v>47</v>
      </c>
      <c r="U6390">
        <v>4</v>
      </c>
      <c r="V6390">
        <v>7</v>
      </c>
    </row>
    <row r="6391" spans="1:22" x14ac:dyDescent="0.3">
      <c r="A6391">
        <v>6390</v>
      </c>
      <c r="B6391">
        <v>56987</v>
      </c>
      <c r="C6391" s="2">
        <v>35734</v>
      </c>
      <c r="D6391">
        <v>28</v>
      </c>
      <c r="E6391" t="s">
        <v>42</v>
      </c>
      <c r="F6391" t="s">
        <v>37</v>
      </c>
      <c r="G6391" s="2">
        <v>45654</v>
      </c>
      <c r="H6391" s="3">
        <f t="shared" si="99"/>
        <v>1.3123287671232877</v>
      </c>
      <c r="I6391">
        <v>133</v>
      </c>
      <c r="J6391" t="s">
        <v>57</v>
      </c>
      <c r="K6391" t="s">
        <v>56</v>
      </c>
      <c r="L6391" t="s">
        <v>44</v>
      </c>
      <c r="M6391">
        <v>8.4700000000000006</v>
      </c>
      <c r="T6391" t="s">
        <v>52</v>
      </c>
      <c r="U6391">
        <v>4</v>
      </c>
      <c r="V6391">
        <v>6</v>
      </c>
    </row>
    <row r="6392" spans="1:22" x14ac:dyDescent="0.3">
      <c r="A6392">
        <v>6391</v>
      </c>
      <c r="B6392">
        <v>56988</v>
      </c>
      <c r="C6392" s="2">
        <v>37551</v>
      </c>
      <c r="D6392">
        <v>23</v>
      </c>
      <c r="E6392" t="s">
        <v>42</v>
      </c>
      <c r="F6392" t="s">
        <v>50</v>
      </c>
      <c r="G6392" s="2">
        <v>45543</v>
      </c>
      <c r="H6392" s="3">
        <f t="shared" si="99"/>
        <v>1.452054794520548</v>
      </c>
      <c r="I6392">
        <v>133</v>
      </c>
      <c r="J6392" t="s">
        <v>57</v>
      </c>
      <c r="K6392" t="s">
        <v>56</v>
      </c>
      <c r="L6392" t="s">
        <v>44</v>
      </c>
      <c r="M6392">
        <v>8.4700000000000006</v>
      </c>
      <c r="T6392" t="s">
        <v>47</v>
      </c>
      <c r="U6392">
        <v>2</v>
      </c>
      <c r="V6392">
        <v>7</v>
      </c>
    </row>
    <row r="6393" spans="1:22" x14ac:dyDescent="0.3">
      <c r="A6393">
        <v>6392</v>
      </c>
      <c r="B6393">
        <v>56989</v>
      </c>
      <c r="C6393" s="2">
        <v>36842</v>
      </c>
      <c r="D6393">
        <v>25</v>
      </c>
      <c r="E6393" t="s">
        <v>42</v>
      </c>
      <c r="F6393" t="s">
        <v>50</v>
      </c>
      <c r="G6393" s="2">
        <v>45492</v>
      </c>
      <c r="H6393" s="3">
        <f t="shared" si="99"/>
        <v>1.8712328767123287</v>
      </c>
      <c r="I6393">
        <v>133</v>
      </c>
      <c r="J6393" t="s">
        <v>57</v>
      </c>
      <c r="K6393" t="s">
        <v>56</v>
      </c>
      <c r="L6393" t="s">
        <v>44</v>
      </c>
      <c r="M6393">
        <v>8.4700000000000006</v>
      </c>
      <c r="T6393" t="s">
        <v>45</v>
      </c>
      <c r="U6393">
        <v>1</v>
      </c>
      <c r="V6393">
        <v>4</v>
      </c>
    </row>
    <row r="6394" spans="1:22" x14ac:dyDescent="0.3">
      <c r="A6394">
        <v>6393</v>
      </c>
      <c r="B6394">
        <v>56990</v>
      </c>
      <c r="C6394" s="2">
        <v>38014</v>
      </c>
      <c r="D6394">
        <v>21</v>
      </c>
      <c r="E6394" t="s">
        <v>42</v>
      </c>
      <c r="F6394" t="s">
        <v>37</v>
      </c>
      <c r="G6394" s="2">
        <v>45339</v>
      </c>
      <c r="H6394" s="3">
        <f t="shared" si="99"/>
        <v>1.3369863013698631</v>
      </c>
      <c r="I6394">
        <v>133</v>
      </c>
      <c r="J6394" t="s">
        <v>57</v>
      </c>
      <c r="K6394" t="s">
        <v>56</v>
      </c>
      <c r="L6394" t="s">
        <v>44</v>
      </c>
      <c r="M6394">
        <v>8.4700000000000006</v>
      </c>
      <c r="T6394" t="s">
        <v>49</v>
      </c>
      <c r="U6394">
        <v>1</v>
      </c>
      <c r="V6394">
        <v>4</v>
      </c>
    </row>
    <row r="6395" spans="1:22" x14ac:dyDescent="0.3">
      <c r="A6395">
        <v>6394</v>
      </c>
      <c r="B6395">
        <v>56991</v>
      </c>
      <c r="C6395" s="2">
        <v>38125</v>
      </c>
      <c r="D6395">
        <v>21</v>
      </c>
      <c r="E6395" t="s">
        <v>42</v>
      </c>
      <c r="F6395" t="s">
        <v>50</v>
      </c>
      <c r="G6395" s="2">
        <v>45534</v>
      </c>
      <c r="H6395" s="3">
        <f t="shared" si="99"/>
        <v>1.0602739726027397</v>
      </c>
      <c r="I6395">
        <v>133</v>
      </c>
      <c r="J6395" t="s">
        <v>57</v>
      </c>
      <c r="K6395" t="s">
        <v>56</v>
      </c>
      <c r="L6395" t="s">
        <v>44</v>
      </c>
      <c r="M6395">
        <v>8.4700000000000006</v>
      </c>
      <c r="T6395" t="s">
        <v>52</v>
      </c>
      <c r="U6395">
        <v>0</v>
      </c>
      <c r="V6395">
        <v>4</v>
      </c>
    </row>
    <row r="6396" spans="1:22" x14ac:dyDescent="0.3">
      <c r="A6396">
        <v>6395</v>
      </c>
      <c r="B6396">
        <v>56992</v>
      </c>
      <c r="C6396" s="2">
        <v>38524</v>
      </c>
      <c r="D6396">
        <v>20</v>
      </c>
      <c r="E6396" t="s">
        <v>42</v>
      </c>
      <c r="F6396" t="s">
        <v>50</v>
      </c>
      <c r="G6396" s="2">
        <v>45635</v>
      </c>
      <c r="H6396" s="3">
        <f t="shared" si="99"/>
        <v>1.736986301369863</v>
      </c>
      <c r="I6396">
        <v>133</v>
      </c>
      <c r="J6396" t="s">
        <v>57</v>
      </c>
      <c r="K6396" t="s">
        <v>56</v>
      </c>
      <c r="L6396" t="s">
        <v>44</v>
      </c>
      <c r="M6396">
        <v>8.4700000000000006</v>
      </c>
      <c r="T6396" t="s">
        <v>49</v>
      </c>
      <c r="U6396">
        <v>1</v>
      </c>
      <c r="V6396">
        <v>6</v>
      </c>
    </row>
    <row r="6397" spans="1:22" x14ac:dyDescent="0.3">
      <c r="A6397">
        <v>6396</v>
      </c>
      <c r="B6397">
        <v>56993</v>
      </c>
      <c r="C6397" s="2">
        <v>38311</v>
      </c>
      <c r="D6397">
        <v>21</v>
      </c>
      <c r="E6397" t="s">
        <v>36</v>
      </c>
      <c r="F6397" t="s">
        <v>37</v>
      </c>
      <c r="G6397" s="2">
        <v>45388</v>
      </c>
      <c r="H6397" s="3">
        <f t="shared" si="99"/>
        <v>1.726027397260274</v>
      </c>
      <c r="I6397">
        <v>133</v>
      </c>
      <c r="J6397" t="s">
        <v>57</v>
      </c>
      <c r="K6397" t="s">
        <v>56</v>
      </c>
      <c r="L6397" t="s">
        <v>44</v>
      </c>
      <c r="M6397">
        <v>8.4700000000000006</v>
      </c>
      <c r="T6397" t="s">
        <v>45</v>
      </c>
      <c r="U6397">
        <v>4</v>
      </c>
      <c r="V6397">
        <v>5</v>
      </c>
    </row>
    <row r="6398" spans="1:22" x14ac:dyDescent="0.3">
      <c r="A6398">
        <v>6397</v>
      </c>
      <c r="B6398">
        <v>56994</v>
      </c>
      <c r="C6398" s="2">
        <v>36597</v>
      </c>
      <c r="D6398">
        <v>25</v>
      </c>
      <c r="E6398" t="s">
        <v>36</v>
      </c>
      <c r="F6398" t="s">
        <v>50</v>
      </c>
      <c r="G6398" s="2">
        <v>45392</v>
      </c>
      <c r="H6398" s="3">
        <f t="shared" si="99"/>
        <v>1.4356164383561645</v>
      </c>
      <c r="I6398">
        <v>134</v>
      </c>
      <c r="J6398" t="s">
        <v>57</v>
      </c>
      <c r="K6398" t="s">
        <v>68</v>
      </c>
      <c r="L6398" t="s">
        <v>44</v>
      </c>
      <c r="M6398">
        <v>17</v>
      </c>
      <c r="T6398" t="s">
        <v>52</v>
      </c>
      <c r="U6398">
        <v>2</v>
      </c>
      <c r="V6398">
        <v>4</v>
      </c>
    </row>
    <row r="6399" spans="1:22" x14ac:dyDescent="0.3">
      <c r="A6399">
        <v>6398</v>
      </c>
      <c r="B6399">
        <v>56995</v>
      </c>
      <c r="C6399" s="2">
        <v>37406</v>
      </c>
      <c r="D6399">
        <v>23</v>
      </c>
      <c r="E6399" t="s">
        <v>42</v>
      </c>
      <c r="F6399" t="s">
        <v>37</v>
      </c>
      <c r="G6399" s="2">
        <v>45498</v>
      </c>
      <c r="H6399" s="3">
        <f t="shared" si="99"/>
        <v>1.2136986301369863</v>
      </c>
      <c r="I6399">
        <v>134</v>
      </c>
      <c r="J6399" t="s">
        <v>57</v>
      </c>
      <c r="K6399" t="s">
        <v>68</v>
      </c>
      <c r="L6399" t="s">
        <v>44</v>
      </c>
      <c r="M6399">
        <v>17</v>
      </c>
      <c r="T6399" t="s">
        <v>52</v>
      </c>
      <c r="U6399">
        <v>2</v>
      </c>
      <c r="V6399">
        <v>5</v>
      </c>
    </row>
    <row r="6400" spans="1:22" x14ac:dyDescent="0.3">
      <c r="A6400">
        <v>6399</v>
      </c>
      <c r="B6400">
        <v>56996</v>
      </c>
      <c r="C6400" s="2">
        <v>35621</v>
      </c>
      <c r="D6400">
        <v>28</v>
      </c>
      <c r="E6400" t="s">
        <v>36</v>
      </c>
      <c r="F6400" t="s">
        <v>50</v>
      </c>
      <c r="G6400" s="2">
        <v>45579</v>
      </c>
      <c r="H6400" s="3">
        <f t="shared" si="99"/>
        <v>1.558904109589041</v>
      </c>
      <c r="I6400">
        <v>134</v>
      </c>
      <c r="J6400" t="s">
        <v>57</v>
      </c>
      <c r="K6400" t="s">
        <v>46</v>
      </c>
      <c r="L6400" t="s">
        <v>44</v>
      </c>
      <c r="M6400">
        <v>14.23</v>
      </c>
      <c r="T6400" t="s">
        <v>49</v>
      </c>
      <c r="U6400">
        <v>1</v>
      </c>
      <c r="V6400">
        <v>5</v>
      </c>
    </row>
    <row r="6401" spans="1:22" x14ac:dyDescent="0.3">
      <c r="A6401">
        <v>6400</v>
      </c>
      <c r="B6401">
        <v>56997</v>
      </c>
      <c r="C6401" s="2">
        <v>37991</v>
      </c>
      <c r="D6401">
        <v>21</v>
      </c>
      <c r="E6401" t="s">
        <v>42</v>
      </c>
      <c r="F6401" t="s">
        <v>50</v>
      </c>
      <c r="G6401" s="2">
        <v>45453</v>
      </c>
      <c r="H6401" s="3">
        <f t="shared" si="99"/>
        <v>1.7452054794520548</v>
      </c>
      <c r="I6401">
        <v>134</v>
      </c>
      <c r="J6401" t="s">
        <v>57</v>
      </c>
      <c r="K6401" t="s">
        <v>48</v>
      </c>
      <c r="L6401" t="s">
        <v>44</v>
      </c>
      <c r="M6401">
        <v>8.4700000000000006</v>
      </c>
      <c r="T6401" t="s">
        <v>52</v>
      </c>
      <c r="U6401">
        <v>2</v>
      </c>
      <c r="V6401">
        <v>6</v>
      </c>
    </row>
    <row r="6402" spans="1:22" x14ac:dyDescent="0.3">
      <c r="A6402">
        <v>6401</v>
      </c>
      <c r="B6402">
        <v>56998</v>
      </c>
      <c r="C6402" s="2">
        <v>37722</v>
      </c>
      <c r="D6402">
        <v>22</v>
      </c>
      <c r="E6402" t="s">
        <v>42</v>
      </c>
      <c r="F6402" t="s">
        <v>50</v>
      </c>
      <c r="G6402" s="2">
        <v>45385</v>
      </c>
      <c r="H6402" s="3">
        <f t="shared" si="99"/>
        <v>1.7178082191780821</v>
      </c>
      <c r="I6402">
        <v>134</v>
      </c>
      <c r="J6402" t="s">
        <v>57</v>
      </c>
      <c r="K6402" t="s">
        <v>56</v>
      </c>
      <c r="L6402" t="s">
        <v>44</v>
      </c>
      <c r="M6402">
        <v>8.4700000000000006</v>
      </c>
      <c r="T6402" t="s">
        <v>49</v>
      </c>
      <c r="U6402">
        <v>2</v>
      </c>
      <c r="V6402">
        <v>6</v>
      </c>
    </row>
    <row r="6403" spans="1:22" x14ac:dyDescent="0.3">
      <c r="A6403">
        <v>6402</v>
      </c>
      <c r="B6403">
        <v>56999</v>
      </c>
      <c r="C6403" s="2">
        <v>38610</v>
      </c>
      <c r="D6403">
        <v>20</v>
      </c>
      <c r="E6403" t="s">
        <v>42</v>
      </c>
      <c r="F6403" t="s">
        <v>50</v>
      </c>
      <c r="G6403" s="2">
        <v>45395</v>
      </c>
      <c r="H6403" s="3">
        <f t="shared" ref="H6403:H6459" si="100">DATEDIF(G6404,DATE(2025,12,31),"d")/365</f>
        <v>1.5945205479452054</v>
      </c>
      <c r="I6403">
        <v>134</v>
      </c>
      <c r="J6403" t="s">
        <v>57</v>
      </c>
      <c r="K6403" t="s">
        <v>56</v>
      </c>
      <c r="L6403" t="s">
        <v>44</v>
      </c>
      <c r="M6403">
        <v>8.4700000000000006</v>
      </c>
      <c r="T6403" t="s">
        <v>52</v>
      </c>
      <c r="U6403">
        <v>0</v>
      </c>
      <c r="V6403">
        <v>4</v>
      </c>
    </row>
    <row r="6404" spans="1:22" x14ac:dyDescent="0.3">
      <c r="A6404">
        <v>6403</v>
      </c>
      <c r="B6404">
        <v>57000</v>
      </c>
      <c r="C6404" s="2">
        <v>38490</v>
      </c>
      <c r="D6404">
        <v>20</v>
      </c>
      <c r="E6404" t="s">
        <v>36</v>
      </c>
      <c r="F6404" t="s">
        <v>37</v>
      </c>
      <c r="G6404" s="2">
        <v>45440</v>
      </c>
      <c r="H6404" s="3">
        <f t="shared" si="100"/>
        <v>1.1534246575342466</v>
      </c>
      <c r="I6404">
        <v>134</v>
      </c>
      <c r="J6404" t="s">
        <v>57</v>
      </c>
      <c r="K6404" t="s">
        <v>56</v>
      </c>
      <c r="L6404" t="s">
        <v>44</v>
      </c>
      <c r="M6404">
        <v>8.4700000000000006</v>
      </c>
      <c r="T6404" t="s">
        <v>49</v>
      </c>
      <c r="U6404">
        <v>4</v>
      </c>
      <c r="V6404">
        <v>5</v>
      </c>
    </row>
    <row r="6405" spans="1:22" x14ac:dyDescent="0.3">
      <c r="A6405">
        <v>6404</v>
      </c>
      <c r="B6405">
        <v>57001</v>
      </c>
      <c r="C6405" s="2">
        <v>36149</v>
      </c>
      <c r="D6405">
        <v>27</v>
      </c>
      <c r="E6405" t="s">
        <v>42</v>
      </c>
      <c r="F6405" t="s">
        <v>50</v>
      </c>
      <c r="G6405" s="2">
        <v>45601</v>
      </c>
      <c r="H6405" s="3">
        <f t="shared" si="100"/>
        <v>1.4191780821917808</v>
      </c>
      <c r="I6405">
        <v>134</v>
      </c>
      <c r="J6405" t="s">
        <v>57</v>
      </c>
      <c r="K6405" t="s">
        <v>56</v>
      </c>
      <c r="L6405" t="s">
        <v>44</v>
      </c>
      <c r="M6405">
        <v>8.4700000000000006</v>
      </c>
      <c r="T6405" t="s">
        <v>45</v>
      </c>
      <c r="U6405">
        <v>0</v>
      </c>
      <c r="V6405">
        <v>4</v>
      </c>
    </row>
    <row r="6406" spans="1:22" x14ac:dyDescent="0.3">
      <c r="A6406">
        <v>6405</v>
      </c>
      <c r="B6406">
        <v>57002</v>
      </c>
      <c r="C6406" s="2">
        <v>37723</v>
      </c>
      <c r="D6406">
        <v>22</v>
      </c>
      <c r="E6406" t="s">
        <v>42</v>
      </c>
      <c r="F6406" t="s">
        <v>50</v>
      </c>
      <c r="G6406" s="2">
        <v>45504</v>
      </c>
      <c r="H6406" s="3">
        <f t="shared" si="100"/>
        <v>1.7945205479452055</v>
      </c>
      <c r="I6406">
        <v>134</v>
      </c>
      <c r="J6406" t="s">
        <v>57</v>
      </c>
      <c r="K6406" t="s">
        <v>56</v>
      </c>
      <c r="L6406" t="s">
        <v>44</v>
      </c>
      <c r="M6406">
        <v>8.4700000000000006</v>
      </c>
      <c r="T6406" t="s">
        <v>49</v>
      </c>
      <c r="U6406">
        <v>1</v>
      </c>
      <c r="V6406">
        <v>6</v>
      </c>
    </row>
    <row r="6407" spans="1:22" x14ac:dyDescent="0.3">
      <c r="A6407">
        <v>6406</v>
      </c>
      <c r="B6407">
        <v>57003</v>
      </c>
      <c r="C6407" s="2">
        <v>38962</v>
      </c>
      <c r="D6407">
        <v>19</v>
      </c>
      <c r="E6407" t="s">
        <v>42</v>
      </c>
      <c r="F6407" t="s">
        <v>50</v>
      </c>
      <c r="G6407" s="2">
        <v>45367</v>
      </c>
      <c r="H6407" s="3">
        <f t="shared" si="100"/>
        <v>1.441095890410959</v>
      </c>
      <c r="I6407">
        <v>134</v>
      </c>
      <c r="J6407" t="s">
        <v>57</v>
      </c>
      <c r="K6407" t="s">
        <v>56</v>
      </c>
      <c r="L6407" t="s">
        <v>44</v>
      </c>
      <c r="M6407">
        <v>8.4700000000000006</v>
      </c>
      <c r="T6407" t="s">
        <v>49</v>
      </c>
      <c r="U6407">
        <v>3</v>
      </c>
      <c r="V6407">
        <v>6</v>
      </c>
    </row>
    <row r="6408" spans="1:22" x14ac:dyDescent="0.3">
      <c r="A6408">
        <v>6407</v>
      </c>
      <c r="B6408">
        <v>57004</v>
      </c>
      <c r="C6408" s="2">
        <v>38786</v>
      </c>
      <c r="D6408">
        <v>19</v>
      </c>
      <c r="E6408" t="s">
        <v>42</v>
      </c>
      <c r="F6408" t="s">
        <v>37</v>
      </c>
      <c r="G6408" s="2">
        <v>45496</v>
      </c>
      <c r="H6408" s="3">
        <f t="shared" si="100"/>
        <v>1.263013698630137</v>
      </c>
      <c r="I6408">
        <v>134</v>
      </c>
      <c r="J6408" t="s">
        <v>57</v>
      </c>
      <c r="K6408" t="s">
        <v>56</v>
      </c>
      <c r="L6408" t="s">
        <v>44</v>
      </c>
      <c r="M6408">
        <v>8.4700000000000006</v>
      </c>
      <c r="T6408" t="s">
        <v>47</v>
      </c>
      <c r="U6408">
        <v>0</v>
      </c>
      <c r="V6408">
        <v>7</v>
      </c>
    </row>
    <row r="6409" spans="1:22" x14ac:dyDescent="0.3">
      <c r="A6409">
        <v>6408</v>
      </c>
      <c r="B6409">
        <v>57005</v>
      </c>
      <c r="C6409" s="2">
        <v>37776</v>
      </c>
      <c r="D6409">
        <v>22</v>
      </c>
      <c r="E6409" t="s">
        <v>36</v>
      </c>
      <c r="F6409" t="s">
        <v>37</v>
      </c>
      <c r="G6409" s="2">
        <v>45561</v>
      </c>
      <c r="H6409" s="3">
        <f t="shared" si="100"/>
        <v>1.2904109589041095</v>
      </c>
      <c r="I6409">
        <v>134</v>
      </c>
      <c r="J6409" t="s">
        <v>57</v>
      </c>
      <c r="K6409" t="s">
        <v>56</v>
      </c>
      <c r="L6409" t="s">
        <v>44</v>
      </c>
      <c r="M6409">
        <v>8.4700000000000006</v>
      </c>
      <c r="T6409" t="s">
        <v>45</v>
      </c>
      <c r="U6409">
        <v>4</v>
      </c>
      <c r="V6409">
        <v>4</v>
      </c>
    </row>
    <row r="6410" spans="1:22" x14ac:dyDescent="0.3">
      <c r="A6410">
        <v>6409</v>
      </c>
      <c r="B6410">
        <v>57006</v>
      </c>
      <c r="C6410" s="2">
        <v>35965</v>
      </c>
      <c r="D6410">
        <v>27</v>
      </c>
      <c r="E6410" t="s">
        <v>42</v>
      </c>
      <c r="F6410" t="s">
        <v>50</v>
      </c>
      <c r="G6410" s="2">
        <v>45551</v>
      </c>
      <c r="H6410" s="3">
        <f t="shared" si="100"/>
        <v>1.1972602739726028</v>
      </c>
      <c r="I6410">
        <v>134</v>
      </c>
      <c r="J6410" t="s">
        <v>57</v>
      </c>
      <c r="K6410" t="s">
        <v>56</v>
      </c>
      <c r="L6410" t="s">
        <v>44</v>
      </c>
      <c r="M6410">
        <v>8.4700000000000006</v>
      </c>
      <c r="T6410" t="s">
        <v>45</v>
      </c>
      <c r="U6410">
        <v>2</v>
      </c>
      <c r="V6410">
        <v>6</v>
      </c>
    </row>
    <row r="6411" spans="1:22" x14ac:dyDescent="0.3">
      <c r="A6411">
        <v>6410</v>
      </c>
      <c r="B6411">
        <v>57007</v>
      </c>
      <c r="C6411" s="2">
        <v>38419</v>
      </c>
      <c r="D6411">
        <v>20</v>
      </c>
      <c r="E6411" t="s">
        <v>42</v>
      </c>
      <c r="F6411" t="s">
        <v>50</v>
      </c>
      <c r="G6411" s="2">
        <v>45585</v>
      </c>
      <c r="H6411" s="3">
        <f t="shared" si="100"/>
        <v>1.4931506849315068</v>
      </c>
      <c r="I6411">
        <v>135</v>
      </c>
      <c r="J6411" t="s">
        <v>57</v>
      </c>
      <c r="K6411" t="s">
        <v>65</v>
      </c>
      <c r="L6411" t="s">
        <v>44</v>
      </c>
      <c r="M6411">
        <v>10.64</v>
      </c>
      <c r="T6411" t="s">
        <v>45</v>
      </c>
      <c r="U6411">
        <v>1</v>
      </c>
      <c r="V6411">
        <v>6</v>
      </c>
    </row>
    <row r="6412" spans="1:22" x14ac:dyDescent="0.3">
      <c r="A6412">
        <v>6411</v>
      </c>
      <c r="B6412">
        <v>57009</v>
      </c>
      <c r="C6412" s="2">
        <v>37361</v>
      </c>
      <c r="D6412">
        <v>23</v>
      </c>
      <c r="E6412" t="s">
        <v>42</v>
      </c>
      <c r="F6412" t="s">
        <v>50</v>
      </c>
      <c r="G6412" s="2">
        <v>45477</v>
      </c>
      <c r="H6412" s="3">
        <f t="shared" si="100"/>
        <v>1.8657534246575342</v>
      </c>
      <c r="I6412">
        <v>135</v>
      </c>
      <c r="J6412" t="s">
        <v>57</v>
      </c>
      <c r="K6412" t="s">
        <v>56</v>
      </c>
      <c r="L6412" t="s">
        <v>44</v>
      </c>
      <c r="M6412">
        <v>8.4700000000000006</v>
      </c>
      <c r="T6412" t="s">
        <v>52</v>
      </c>
      <c r="U6412">
        <v>3</v>
      </c>
      <c r="V6412">
        <v>6</v>
      </c>
    </row>
    <row r="6413" spans="1:22" x14ac:dyDescent="0.3">
      <c r="A6413">
        <v>6412</v>
      </c>
      <c r="B6413">
        <v>57010</v>
      </c>
      <c r="C6413" s="2">
        <v>34324</v>
      </c>
      <c r="D6413">
        <v>32</v>
      </c>
      <c r="E6413" t="s">
        <v>42</v>
      </c>
      <c r="F6413" t="s">
        <v>37</v>
      </c>
      <c r="G6413" s="2">
        <v>45341</v>
      </c>
      <c r="H6413" s="3">
        <f t="shared" si="100"/>
        <v>1.4821917808219178</v>
      </c>
      <c r="I6413">
        <v>135</v>
      </c>
      <c r="J6413" t="s">
        <v>57</v>
      </c>
      <c r="K6413" t="s">
        <v>56</v>
      </c>
      <c r="L6413" t="s">
        <v>44</v>
      </c>
      <c r="M6413">
        <v>8.4700000000000006</v>
      </c>
      <c r="T6413" t="s">
        <v>49</v>
      </c>
      <c r="U6413">
        <v>4</v>
      </c>
      <c r="V6413">
        <v>4</v>
      </c>
    </row>
    <row r="6414" spans="1:22" x14ac:dyDescent="0.3">
      <c r="A6414">
        <v>6413</v>
      </c>
      <c r="B6414">
        <v>57011</v>
      </c>
      <c r="C6414" s="2">
        <v>37673</v>
      </c>
      <c r="D6414">
        <v>22</v>
      </c>
      <c r="E6414" t="s">
        <v>36</v>
      </c>
      <c r="F6414" t="s">
        <v>50</v>
      </c>
      <c r="G6414" s="2">
        <v>45481</v>
      </c>
      <c r="H6414" s="3">
        <f t="shared" si="100"/>
        <v>1.167123287671233</v>
      </c>
      <c r="I6414">
        <v>135</v>
      </c>
      <c r="J6414" t="s">
        <v>57</v>
      </c>
      <c r="K6414" t="s">
        <v>56</v>
      </c>
      <c r="L6414" t="s">
        <v>44</v>
      </c>
      <c r="M6414">
        <v>8.4700000000000006</v>
      </c>
      <c r="T6414" t="s">
        <v>45</v>
      </c>
      <c r="U6414">
        <v>3</v>
      </c>
      <c r="V6414">
        <v>5</v>
      </c>
    </row>
    <row r="6415" spans="1:22" x14ac:dyDescent="0.3">
      <c r="A6415">
        <v>6414</v>
      </c>
      <c r="B6415">
        <v>57012</v>
      </c>
      <c r="C6415" s="2">
        <v>37163</v>
      </c>
      <c r="D6415">
        <v>24</v>
      </c>
      <c r="E6415" t="s">
        <v>42</v>
      </c>
      <c r="F6415" t="s">
        <v>50</v>
      </c>
      <c r="G6415" s="2">
        <v>45596</v>
      </c>
      <c r="H6415" s="3">
        <f t="shared" si="100"/>
        <v>1.0986301369863014</v>
      </c>
      <c r="I6415">
        <v>135</v>
      </c>
      <c r="J6415" t="s">
        <v>57</v>
      </c>
      <c r="K6415" t="s">
        <v>56</v>
      </c>
      <c r="L6415" t="s">
        <v>44</v>
      </c>
      <c r="M6415">
        <v>8.4700000000000006</v>
      </c>
      <c r="T6415" t="s">
        <v>52</v>
      </c>
      <c r="U6415">
        <v>4</v>
      </c>
      <c r="V6415">
        <v>7</v>
      </c>
    </row>
    <row r="6416" spans="1:22" x14ac:dyDescent="0.3">
      <c r="A6416">
        <v>6415</v>
      </c>
      <c r="B6416">
        <v>57013</v>
      </c>
      <c r="C6416" s="2">
        <v>38430</v>
      </c>
      <c r="D6416">
        <v>20</v>
      </c>
      <c r="E6416" t="s">
        <v>42</v>
      </c>
      <c r="F6416" t="s">
        <v>37</v>
      </c>
      <c r="G6416" s="2">
        <v>45621</v>
      </c>
      <c r="H6416" s="3">
        <f t="shared" si="100"/>
        <v>1.6602739726027398</v>
      </c>
      <c r="I6416">
        <v>135</v>
      </c>
      <c r="J6416" t="s">
        <v>57</v>
      </c>
      <c r="K6416" t="s">
        <v>56</v>
      </c>
      <c r="L6416" t="s">
        <v>44</v>
      </c>
      <c r="M6416">
        <v>8.4700000000000006</v>
      </c>
      <c r="T6416" t="s">
        <v>45</v>
      </c>
      <c r="U6416">
        <v>4</v>
      </c>
      <c r="V6416">
        <v>6</v>
      </c>
    </row>
    <row r="6417" spans="1:22" x14ac:dyDescent="0.3">
      <c r="A6417">
        <v>6416</v>
      </c>
      <c r="B6417">
        <v>57014</v>
      </c>
      <c r="C6417" s="2">
        <v>36342</v>
      </c>
      <c r="D6417">
        <v>27</v>
      </c>
      <c r="E6417" t="s">
        <v>42</v>
      </c>
      <c r="F6417" t="s">
        <v>37</v>
      </c>
      <c r="G6417" s="2">
        <v>45416</v>
      </c>
      <c r="H6417" s="3">
        <f t="shared" si="100"/>
        <v>1.747945205479452</v>
      </c>
      <c r="I6417">
        <v>135</v>
      </c>
      <c r="J6417" t="s">
        <v>57</v>
      </c>
      <c r="K6417" t="s">
        <v>56</v>
      </c>
      <c r="L6417" t="s">
        <v>44</v>
      </c>
      <c r="M6417">
        <v>8.4700000000000006</v>
      </c>
      <c r="T6417" t="s">
        <v>47</v>
      </c>
      <c r="U6417">
        <v>4</v>
      </c>
      <c r="V6417">
        <v>5</v>
      </c>
    </row>
    <row r="6418" spans="1:22" x14ac:dyDescent="0.3">
      <c r="A6418">
        <v>6417</v>
      </c>
      <c r="B6418">
        <v>57015</v>
      </c>
      <c r="C6418" s="2">
        <v>38809</v>
      </c>
      <c r="D6418">
        <v>19</v>
      </c>
      <c r="E6418" t="s">
        <v>42</v>
      </c>
      <c r="F6418" t="s">
        <v>50</v>
      </c>
      <c r="G6418" s="2">
        <v>45384</v>
      </c>
      <c r="H6418" s="3">
        <f t="shared" si="100"/>
        <v>1.7342465753424658</v>
      </c>
      <c r="I6418">
        <v>135</v>
      </c>
      <c r="J6418" t="s">
        <v>57</v>
      </c>
      <c r="K6418" t="s">
        <v>56</v>
      </c>
      <c r="L6418" t="s">
        <v>44</v>
      </c>
      <c r="M6418">
        <v>8.4700000000000006</v>
      </c>
      <c r="T6418" t="s">
        <v>49</v>
      </c>
      <c r="U6418">
        <v>2</v>
      </c>
      <c r="V6418">
        <v>5</v>
      </c>
    </row>
    <row r="6419" spans="1:22" x14ac:dyDescent="0.3">
      <c r="A6419">
        <v>6418</v>
      </c>
      <c r="B6419">
        <v>57016</v>
      </c>
      <c r="C6419" s="2">
        <v>37364</v>
      </c>
      <c r="D6419">
        <v>23</v>
      </c>
      <c r="E6419" t="s">
        <v>42</v>
      </c>
      <c r="F6419" t="s">
        <v>50</v>
      </c>
      <c r="G6419" s="2">
        <v>45389</v>
      </c>
      <c r="H6419" s="3">
        <f t="shared" si="100"/>
        <v>1.3671232876712329</v>
      </c>
      <c r="I6419">
        <v>135</v>
      </c>
      <c r="J6419" t="s">
        <v>57</v>
      </c>
      <c r="K6419" t="s">
        <v>56</v>
      </c>
      <c r="L6419" t="s">
        <v>44</v>
      </c>
      <c r="M6419">
        <v>8.4700000000000006</v>
      </c>
      <c r="T6419" t="s">
        <v>47</v>
      </c>
      <c r="U6419">
        <v>1</v>
      </c>
      <c r="V6419">
        <v>7</v>
      </c>
    </row>
    <row r="6420" spans="1:22" x14ac:dyDescent="0.3">
      <c r="A6420">
        <v>6419</v>
      </c>
      <c r="B6420">
        <v>57017</v>
      </c>
      <c r="C6420" s="2">
        <v>34286</v>
      </c>
      <c r="D6420">
        <v>32</v>
      </c>
      <c r="E6420" t="s">
        <v>42</v>
      </c>
      <c r="F6420" t="s">
        <v>50</v>
      </c>
      <c r="G6420" s="2">
        <v>45523</v>
      </c>
      <c r="H6420" s="3">
        <f t="shared" si="100"/>
        <v>1.0547945205479452</v>
      </c>
      <c r="I6420">
        <v>135</v>
      </c>
      <c r="J6420" t="s">
        <v>57</v>
      </c>
      <c r="K6420" t="s">
        <v>56</v>
      </c>
      <c r="L6420" t="s">
        <v>44</v>
      </c>
      <c r="M6420">
        <v>8.4700000000000006</v>
      </c>
      <c r="T6420" t="s">
        <v>52</v>
      </c>
      <c r="U6420">
        <v>1</v>
      </c>
      <c r="V6420">
        <v>7</v>
      </c>
    </row>
    <row r="6421" spans="1:22" x14ac:dyDescent="0.3">
      <c r="A6421">
        <v>6420</v>
      </c>
      <c r="B6421">
        <v>57019</v>
      </c>
      <c r="C6421" s="2">
        <v>38897</v>
      </c>
      <c r="D6421">
        <v>19</v>
      </c>
      <c r="E6421" t="s">
        <v>42</v>
      </c>
      <c r="F6421" t="s">
        <v>50</v>
      </c>
      <c r="G6421" s="2">
        <v>45637</v>
      </c>
      <c r="H6421" s="3">
        <f t="shared" si="100"/>
        <v>1.4575342465753425</v>
      </c>
      <c r="I6421">
        <v>136</v>
      </c>
      <c r="J6421" t="s">
        <v>57</v>
      </c>
      <c r="K6421" t="s">
        <v>48</v>
      </c>
      <c r="L6421" t="s">
        <v>44</v>
      </c>
      <c r="M6421">
        <v>8.4700000000000006</v>
      </c>
      <c r="T6421" t="s">
        <v>47</v>
      </c>
      <c r="U6421">
        <v>4</v>
      </c>
      <c r="V6421">
        <v>7</v>
      </c>
    </row>
    <row r="6422" spans="1:22" x14ac:dyDescent="0.3">
      <c r="A6422">
        <v>6421</v>
      </c>
      <c r="B6422">
        <v>57020</v>
      </c>
      <c r="C6422" s="2">
        <v>34509</v>
      </c>
      <c r="D6422">
        <v>31</v>
      </c>
      <c r="E6422" t="s">
        <v>42</v>
      </c>
      <c r="F6422" t="s">
        <v>37</v>
      </c>
      <c r="G6422" s="2">
        <v>45490</v>
      </c>
      <c r="H6422" s="3">
        <f t="shared" si="100"/>
        <v>1.3424657534246576</v>
      </c>
      <c r="I6422">
        <v>136</v>
      </c>
      <c r="J6422" t="s">
        <v>57</v>
      </c>
      <c r="K6422" t="s">
        <v>55</v>
      </c>
      <c r="L6422" t="s">
        <v>44</v>
      </c>
      <c r="M6422">
        <v>17.59</v>
      </c>
      <c r="T6422" t="s">
        <v>52</v>
      </c>
      <c r="U6422">
        <v>2</v>
      </c>
      <c r="V6422">
        <v>5</v>
      </c>
    </row>
    <row r="6423" spans="1:22" x14ac:dyDescent="0.3">
      <c r="A6423">
        <v>6422</v>
      </c>
      <c r="B6423">
        <v>57021</v>
      </c>
      <c r="C6423" s="2">
        <v>38092</v>
      </c>
      <c r="D6423">
        <v>21</v>
      </c>
      <c r="E6423" t="s">
        <v>42</v>
      </c>
      <c r="F6423" t="s">
        <v>50</v>
      </c>
      <c r="G6423" s="2">
        <v>45532</v>
      </c>
      <c r="H6423" s="3">
        <f t="shared" si="100"/>
        <v>1.1506849315068493</v>
      </c>
      <c r="I6423">
        <v>136</v>
      </c>
      <c r="J6423" t="s">
        <v>57</v>
      </c>
      <c r="K6423" t="s">
        <v>56</v>
      </c>
      <c r="L6423" t="s">
        <v>44</v>
      </c>
      <c r="M6423">
        <v>8.4700000000000006</v>
      </c>
      <c r="T6423" t="s">
        <v>47</v>
      </c>
      <c r="U6423">
        <v>1</v>
      </c>
      <c r="V6423">
        <v>6</v>
      </c>
    </row>
    <row r="6424" spans="1:22" x14ac:dyDescent="0.3">
      <c r="A6424">
        <v>6423</v>
      </c>
      <c r="B6424">
        <v>57022</v>
      </c>
      <c r="C6424" s="2">
        <v>37777</v>
      </c>
      <c r="D6424">
        <v>22</v>
      </c>
      <c r="E6424" t="s">
        <v>42</v>
      </c>
      <c r="F6424" t="s">
        <v>50</v>
      </c>
      <c r="G6424" s="2">
        <v>45602</v>
      </c>
      <c r="H6424" s="3">
        <f t="shared" si="100"/>
        <v>1.2465753424657535</v>
      </c>
      <c r="I6424">
        <v>136</v>
      </c>
      <c r="J6424" t="s">
        <v>57</v>
      </c>
      <c r="K6424" t="s">
        <v>56</v>
      </c>
      <c r="L6424" t="s">
        <v>44</v>
      </c>
      <c r="M6424">
        <v>8.4700000000000006</v>
      </c>
      <c r="T6424" t="s">
        <v>47</v>
      </c>
      <c r="U6424">
        <v>2</v>
      </c>
      <c r="V6424">
        <v>6</v>
      </c>
    </row>
    <row r="6425" spans="1:22" x14ac:dyDescent="0.3">
      <c r="A6425">
        <v>6424</v>
      </c>
      <c r="B6425">
        <v>57023</v>
      </c>
      <c r="C6425" s="2">
        <v>38827</v>
      </c>
      <c r="D6425">
        <v>19</v>
      </c>
      <c r="E6425" t="s">
        <v>36</v>
      </c>
      <c r="F6425" t="s">
        <v>37</v>
      </c>
      <c r="G6425" s="2">
        <v>45567</v>
      </c>
      <c r="H6425" s="3">
        <f t="shared" si="100"/>
        <v>1.8027397260273972</v>
      </c>
      <c r="I6425">
        <v>136</v>
      </c>
      <c r="J6425" t="s">
        <v>57</v>
      </c>
      <c r="K6425" t="s">
        <v>56</v>
      </c>
      <c r="L6425" t="s">
        <v>44</v>
      </c>
      <c r="M6425">
        <v>8.4700000000000006</v>
      </c>
      <c r="T6425" t="s">
        <v>49</v>
      </c>
      <c r="U6425">
        <v>2</v>
      </c>
      <c r="V6425">
        <v>4</v>
      </c>
    </row>
    <row r="6426" spans="1:22" x14ac:dyDescent="0.3">
      <c r="A6426">
        <v>6425</v>
      </c>
      <c r="B6426">
        <v>57024</v>
      </c>
      <c r="C6426" s="2">
        <v>38630</v>
      </c>
      <c r="D6426">
        <v>20</v>
      </c>
      <c r="E6426" t="s">
        <v>42</v>
      </c>
      <c r="F6426" t="s">
        <v>50</v>
      </c>
      <c r="G6426" s="2">
        <v>45364</v>
      </c>
      <c r="H6426" s="3">
        <f t="shared" si="100"/>
        <v>1.9260273972602739</v>
      </c>
      <c r="I6426">
        <v>136</v>
      </c>
      <c r="J6426" t="s">
        <v>57</v>
      </c>
      <c r="K6426" t="s">
        <v>56</v>
      </c>
      <c r="L6426" t="s">
        <v>44</v>
      </c>
      <c r="M6426">
        <v>8.4700000000000006</v>
      </c>
      <c r="T6426" t="s">
        <v>49</v>
      </c>
      <c r="U6426">
        <v>0</v>
      </c>
      <c r="V6426">
        <v>6</v>
      </c>
    </row>
    <row r="6427" spans="1:22" x14ac:dyDescent="0.3">
      <c r="A6427">
        <v>6426</v>
      </c>
      <c r="B6427">
        <v>57025</v>
      </c>
      <c r="C6427" s="2">
        <v>35735</v>
      </c>
      <c r="D6427">
        <v>29</v>
      </c>
      <c r="E6427" t="s">
        <v>36</v>
      </c>
      <c r="F6427" t="s">
        <v>50</v>
      </c>
      <c r="G6427" s="2">
        <v>45319</v>
      </c>
      <c r="H6427" s="3">
        <f t="shared" si="100"/>
        <v>1.6493150684931508</v>
      </c>
      <c r="I6427">
        <v>137</v>
      </c>
      <c r="J6427" t="s">
        <v>57</v>
      </c>
      <c r="K6427" t="s">
        <v>68</v>
      </c>
      <c r="L6427" t="s">
        <v>44</v>
      </c>
      <c r="M6427">
        <v>17</v>
      </c>
      <c r="T6427" t="s">
        <v>49</v>
      </c>
      <c r="U6427">
        <v>3</v>
      </c>
      <c r="V6427">
        <v>4</v>
      </c>
    </row>
    <row r="6428" spans="1:22" x14ac:dyDescent="0.3">
      <c r="A6428">
        <v>6427</v>
      </c>
      <c r="B6428">
        <v>57026</v>
      </c>
      <c r="C6428" s="2">
        <v>37615</v>
      </c>
      <c r="D6428">
        <v>23</v>
      </c>
      <c r="E6428" t="s">
        <v>42</v>
      </c>
      <c r="F6428" t="s">
        <v>50</v>
      </c>
      <c r="G6428" s="2">
        <v>45420</v>
      </c>
      <c r="H6428" s="3">
        <f t="shared" si="100"/>
        <v>1.210958904109589</v>
      </c>
      <c r="I6428">
        <v>137</v>
      </c>
      <c r="J6428" t="s">
        <v>57</v>
      </c>
      <c r="K6428" t="s">
        <v>68</v>
      </c>
      <c r="L6428" t="s">
        <v>44</v>
      </c>
      <c r="M6428">
        <v>17</v>
      </c>
      <c r="T6428" t="s">
        <v>47</v>
      </c>
      <c r="U6428">
        <v>2</v>
      </c>
      <c r="V6428">
        <v>6</v>
      </c>
    </row>
    <row r="6429" spans="1:22" x14ac:dyDescent="0.3">
      <c r="A6429">
        <v>6428</v>
      </c>
      <c r="B6429">
        <v>57027</v>
      </c>
      <c r="C6429" s="2">
        <v>37034</v>
      </c>
      <c r="D6429">
        <v>24</v>
      </c>
      <c r="E6429" t="s">
        <v>36</v>
      </c>
      <c r="F6429" t="s">
        <v>50</v>
      </c>
      <c r="G6429" s="2">
        <v>45580</v>
      </c>
      <c r="H6429" s="3">
        <f t="shared" si="100"/>
        <v>1.8273972602739725</v>
      </c>
      <c r="I6429">
        <v>137</v>
      </c>
      <c r="J6429" t="s">
        <v>57</v>
      </c>
      <c r="K6429" t="s">
        <v>65</v>
      </c>
      <c r="L6429" t="s">
        <v>44</v>
      </c>
      <c r="M6429">
        <v>10.64</v>
      </c>
      <c r="T6429" t="s">
        <v>52</v>
      </c>
      <c r="U6429">
        <v>1</v>
      </c>
      <c r="V6429">
        <v>5</v>
      </c>
    </row>
    <row r="6430" spans="1:22" x14ac:dyDescent="0.3">
      <c r="A6430">
        <v>6429</v>
      </c>
      <c r="B6430">
        <v>57028</v>
      </c>
      <c r="C6430" s="2">
        <v>36204</v>
      </c>
      <c r="D6430">
        <v>26</v>
      </c>
      <c r="E6430" t="s">
        <v>42</v>
      </c>
      <c r="F6430" t="s">
        <v>50</v>
      </c>
      <c r="G6430" s="2">
        <v>45355</v>
      </c>
      <c r="H6430" s="3">
        <f t="shared" si="100"/>
        <v>1.2356164383561643</v>
      </c>
      <c r="I6430">
        <v>137</v>
      </c>
      <c r="J6430" t="s">
        <v>57</v>
      </c>
      <c r="K6430" t="s">
        <v>48</v>
      </c>
      <c r="L6430" t="s">
        <v>44</v>
      </c>
      <c r="M6430">
        <v>8.4700000000000006</v>
      </c>
      <c r="T6430" t="s">
        <v>45</v>
      </c>
      <c r="U6430">
        <v>2</v>
      </c>
      <c r="V6430">
        <v>5</v>
      </c>
    </row>
    <row r="6431" spans="1:22" x14ac:dyDescent="0.3">
      <c r="A6431">
        <v>6430</v>
      </c>
      <c r="B6431">
        <v>57029</v>
      </c>
      <c r="C6431" s="2">
        <v>37407</v>
      </c>
      <c r="D6431">
        <v>23</v>
      </c>
      <c r="E6431" t="s">
        <v>42</v>
      </c>
      <c r="F6431" t="s">
        <v>50</v>
      </c>
      <c r="G6431" s="2">
        <v>45571</v>
      </c>
      <c r="H6431" s="3">
        <f t="shared" si="100"/>
        <v>1.4794520547945205</v>
      </c>
      <c r="I6431">
        <v>137</v>
      </c>
      <c r="J6431" t="s">
        <v>57</v>
      </c>
      <c r="K6431" t="s">
        <v>48</v>
      </c>
      <c r="L6431" t="s">
        <v>44</v>
      </c>
      <c r="M6431">
        <v>8.4700000000000006</v>
      </c>
      <c r="T6431" t="s">
        <v>47</v>
      </c>
      <c r="U6431">
        <v>0</v>
      </c>
      <c r="V6431">
        <v>5</v>
      </c>
    </row>
    <row r="6432" spans="1:22" x14ac:dyDescent="0.3">
      <c r="A6432">
        <v>6431</v>
      </c>
      <c r="B6432">
        <v>57030</v>
      </c>
      <c r="C6432" s="2">
        <v>37653</v>
      </c>
      <c r="D6432">
        <v>23</v>
      </c>
      <c r="E6432" t="s">
        <v>42</v>
      </c>
      <c r="F6432" t="s">
        <v>37</v>
      </c>
      <c r="G6432" s="2">
        <v>45482</v>
      </c>
      <c r="H6432" s="3">
        <f t="shared" si="100"/>
        <v>1.2191780821917808</v>
      </c>
      <c r="I6432">
        <v>137</v>
      </c>
      <c r="J6432" t="s">
        <v>57</v>
      </c>
      <c r="K6432" t="s">
        <v>56</v>
      </c>
      <c r="L6432" t="s">
        <v>44</v>
      </c>
      <c r="M6432">
        <v>8.4700000000000006</v>
      </c>
      <c r="T6432" t="s">
        <v>52</v>
      </c>
      <c r="U6432">
        <v>4</v>
      </c>
      <c r="V6432">
        <v>7</v>
      </c>
    </row>
    <row r="6433" spans="1:22" x14ac:dyDescent="0.3">
      <c r="A6433">
        <v>6432</v>
      </c>
      <c r="B6433">
        <v>57031</v>
      </c>
      <c r="C6433" s="2">
        <v>37452</v>
      </c>
      <c r="D6433">
        <v>23</v>
      </c>
      <c r="E6433" t="s">
        <v>42</v>
      </c>
      <c r="F6433" t="s">
        <v>50</v>
      </c>
      <c r="G6433" s="2">
        <v>45577</v>
      </c>
      <c r="H6433" s="3">
        <f t="shared" si="100"/>
        <v>1.6328767123287671</v>
      </c>
      <c r="I6433">
        <v>137</v>
      </c>
      <c r="J6433" t="s">
        <v>57</v>
      </c>
      <c r="K6433" t="s">
        <v>56</v>
      </c>
      <c r="L6433" t="s">
        <v>44</v>
      </c>
      <c r="M6433">
        <v>8.4700000000000006</v>
      </c>
      <c r="T6433" t="s">
        <v>45</v>
      </c>
      <c r="U6433">
        <v>3</v>
      </c>
      <c r="V6433">
        <v>6</v>
      </c>
    </row>
    <row r="6434" spans="1:22" x14ac:dyDescent="0.3">
      <c r="A6434">
        <v>6433</v>
      </c>
      <c r="B6434">
        <v>57032</v>
      </c>
      <c r="C6434" s="2">
        <v>38757</v>
      </c>
      <c r="D6434">
        <v>19</v>
      </c>
      <c r="E6434" t="s">
        <v>42</v>
      </c>
      <c r="F6434" t="s">
        <v>37</v>
      </c>
      <c r="G6434" s="2">
        <v>45426</v>
      </c>
      <c r="H6434" s="3">
        <f t="shared" si="100"/>
        <v>1.2794520547945205</v>
      </c>
      <c r="I6434">
        <v>137</v>
      </c>
      <c r="J6434" t="s">
        <v>57</v>
      </c>
      <c r="K6434" t="s">
        <v>56</v>
      </c>
      <c r="L6434" t="s">
        <v>44</v>
      </c>
      <c r="M6434">
        <v>8.4700000000000006</v>
      </c>
      <c r="T6434" t="s">
        <v>52</v>
      </c>
      <c r="U6434">
        <v>2</v>
      </c>
      <c r="V6434">
        <v>5</v>
      </c>
    </row>
    <row r="6435" spans="1:22" x14ac:dyDescent="0.3">
      <c r="A6435">
        <v>6434</v>
      </c>
      <c r="B6435">
        <v>57033</v>
      </c>
      <c r="C6435" s="2">
        <v>37969</v>
      </c>
      <c r="D6435">
        <v>22</v>
      </c>
      <c r="E6435" t="s">
        <v>42</v>
      </c>
      <c r="F6435" t="s">
        <v>50</v>
      </c>
      <c r="G6435" s="2">
        <v>45555</v>
      </c>
      <c r="H6435" s="3">
        <f t="shared" si="100"/>
        <v>1.0438356164383562</v>
      </c>
      <c r="I6435">
        <v>137</v>
      </c>
      <c r="J6435" t="s">
        <v>57</v>
      </c>
      <c r="K6435" t="s">
        <v>56</v>
      </c>
      <c r="L6435" t="s">
        <v>44</v>
      </c>
      <c r="M6435">
        <v>8.4700000000000006</v>
      </c>
      <c r="T6435" t="s">
        <v>47</v>
      </c>
      <c r="U6435">
        <v>1</v>
      </c>
      <c r="V6435">
        <v>4</v>
      </c>
    </row>
    <row r="6436" spans="1:22" x14ac:dyDescent="0.3">
      <c r="A6436">
        <v>6435</v>
      </c>
      <c r="B6436">
        <v>57034</v>
      </c>
      <c r="C6436" s="2">
        <v>35041</v>
      </c>
      <c r="D6436">
        <v>30</v>
      </c>
      <c r="E6436" t="s">
        <v>42</v>
      </c>
      <c r="F6436" t="s">
        <v>37</v>
      </c>
      <c r="G6436" s="2">
        <v>45641</v>
      </c>
      <c r="H6436" s="3">
        <f t="shared" si="100"/>
        <v>1.2657534246575342</v>
      </c>
      <c r="I6436">
        <v>137</v>
      </c>
      <c r="J6436" t="s">
        <v>57</v>
      </c>
      <c r="K6436" t="s">
        <v>56</v>
      </c>
      <c r="L6436" t="s">
        <v>44</v>
      </c>
      <c r="M6436">
        <v>8.4700000000000006</v>
      </c>
      <c r="T6436" t="s">
        <v>52</v>
      </c>
      <c r="U6436">
        <v>2</v>
      </c>
      <c r="V6436">
        <v>5</v>
      </c>
    </row>
    <row r="6437" spans="1:22" x14ac:dyDescent="0.3">
      <c r="A6437">
        <v>6436</v>
      </c>
      <c r="B6437">
        <v>57035</v>
      </c>
      <c r="C6437" s="2">
        <v>38306</v>
      </c>
      <c r="D6437">
        <v>21</v>
      </c>
      <c r="E6437" t="s">
        <v>42</v>
      </c>
      <c r="F6437" t="s">
        <v>50</v>
      </c>
      <c r="G6437" s="2">
        <v>45560</v>
      </c>
      <c r="H6437" s="3">
        <f t="shared" si="100"/>
        <v>1.526027397260274</v>
      </c>
      <c r="I6437">
        <v>137</v>
      </c>
      <c r="J6437" t="s">
        <v>57</v>
      </c>
      <c r="K6437" t="s">
        <v>56</v>
      </c>
      <c r="L6437" t="s">
        <v>44</v>
      </c>
      <c r="M6437">
        <v>8.4700000000000006</v>
      </c>
      <c r="T6437" t="s">
        <v>52</v>
      </c>
      <c r="U6437">
        <v>2</v>
      </c>
      <c r="V6437">
        <v>6</v>
      </c>
    </row>
    <row r="6438" spans="1:22" x14ac:dyDescent="0.3">
      <c r="A6438">
        <v>6437</v>
      </c>
      <c r="B6438">
        <v>57036</v>
      </c>
      <c r="C6438" s="2">
        <v>37799</v>
      </c>
      <c r="D6438">
        <v>22</v>
      </c>
      <c r="E6438" t="s">
        <v>42</v>
      </c>
      <c r="F6438" t="s">
        <v>50</v>
      </c>
      <c r="G6438" s="2">
        <v>45465</v>
      </c>
      <c r="H6438" s="3">
        <f t="shared" si="100"/>
        <v>1.1726027397260275</v>
      </c>
      <c r="I6438">
        <v>137</v>
      </c>
      <c r="J6438" t="s">
        <v>57</v>
      </c>
      <c r="K6438" t="s">
        <v>56</v>
      </c>
      <c r="L6438" t="s">
        <v>44</v>
      </c>
      <c r="M6438">
        <v>8.4700000000000006</v>
      </c>
      <c r="T6438" t="s">
        <v>45</v>
      </c>
      <c r="U6438">
        <v>1</v>
      </c>
      <c r="V6438">
        <v>6</v>
      </c>
    </row>
    <row r="6439" spans="1:22" x14ac:dyDescent="0.3">
      <c r="A6439">
        <v>6438</v>
      </c>
      <c r="B6439">
        <v>57037</v>
      </c>
      <c r="C6439" s="2">
        <v>39060</v>
      </c>
      <c r="D6439">
        <v>19</v>
      </c>
      <c r="E6439" t="s">
        <v>42</v>
      </c>
      <c r="F6439" t="s">
        <v>50</v>
      </c>
      <c r="G6439" s="2">
        <v>45594</v>
      </c>
      <c r="H6439" s="3">
        <f t="shared" si="100"/>
        <v>1.2986301369863014</v>
      </c>
      <c r="I6439">
        <v>137</v>
      </c>
      <c r="J6439" t="s">
        <v>57</v>
      </c>
      <c r="K6439" t="s">
        <v>56</v>
      </c>
      <c r="L6439" t="s">
        <v>44</v>
      </c>
      <c r="M6439">
        <v>8.4700000000000006</v>
      </c>
      <c r="T6439" t="s">
        <v>52</v>
      </c>
      <c r="U6439">
        <v>0</v>
      </c>
      <c r="V6439">
        <v>5</v>
      </c>
    </row>
    <row r="6440" spans="1:22" x14ac:dyDescent="0.3">
      <c r="A6440">
        <v>6439</v>
      </c>
      <c r="B6440">
        <v>57038</v>
      </c>
      <c r="C6440" s="2">
        <v>38523</v>
      </c>
      <c r="D6440">
        <v>20</v>
      </c>
      <c r="E6440" t="s">
        <v>42</v>
      </c>
      <c r="F6440" t="s">
        <v>37</v>
      </c>
      <c r="G6440" s="2">
        <v>45548</v>
      </c>
      <c r="H6440" s="3">
        <f t="shared" si="100"/>
        <v>1.1589041095890411</v>
      </c>
      <c r="I6440">
        <v>137</v>
      </c>
      <c r="J6440" t="s">
        <v>57</v>
      </c>
      <c r="K6440" t="s">
        <v>56</v>
      </c>
      <c r="L6440" t="s">
        <v>44</v>
      </c>
      <c r="M6440">
        <v>8.4700000000000006</v>
      </c>
      <c r="T6440" t="s">
        <v>47</v>
      </c>
      <c r="U6440">
        <v>3</v>
      </c>
      <c r="V6440">
        <v>5</v>
      </c>
    </row>
    <row r="6441" spans="1:22" x14ac:dyDescent="0.3">
      <c r="A6441">
        <v>6440</v>
      </c>
      <c r="B6441">
        <v>57039</v>
      </c>
      <c r="C6441" s="2">
        <v>38051</v>
      </c>
      <c r="D6441">
        <v>21</v>
      </c>
      <c r="E6441" t="s">
        <v>42</v>
      </c>
      <c r="F6441" t="s">
        <v>50</v>
      </c>
      <c r="G6441" s="2">
        <v>45599</v>
      </c>
      <c r="H6441" s="3">
        <f t="shared" si="100"/>
        <v>1.3041095890410959</v>
      </c>
      <c r="I6441">
        <v>137</v>
      </c>
      <c r="J6441" t="s">
        <v>57</v>
      </c>
      <c r="K6441" t="s">
        <v>56</v>
      </c>
      <c r="L6441" t="s">
        <v>44</v>
      </c>
      <c r="M6441">
        <v>8.4700000000000006</v>
      </c>
      <c r="T6441" t="s">
        <v>49</v>
      </c>
      <c r="U6441">
        <v>4</v>
      </c>
      <c r="V6441">
        <v>7</v>
      </c>
    </row>
    <row r="6442" spans="1:22" x14ac:dyDescent="0.3">
      <c r="A6442">
        <v>6441</v>
      </c>
      <c r="B6442">
        <v>57040</v>
      </c>
      <c r="C6442" s="2">
        <v>35666</v>
      </c>
      <c r="D6442">
        <v>28</v>
      </c>
      <c r="E6442" t="s">
        <v>42</v>
      </c>
      <c r="F6442" t="s">
        <v>37</v>
      </c>
      <c r="G6442" s="2">
        <v>45546</v>
      </c>
      <c r="H6442" s="3">
        <f t="shared" si="100"/>
        <v>1.8630136986301369</v>
      </c>
      <c r="I6442">
        <v>137</v>
      </c>
      <c r="J6442" t="s">
        <v>57</v>
      </c>
      <c r="K6442" t="s">
        <v>56</v>
      </c>
      <c r="L6442" t="s">
        <v>44</v>
      </c>
      <c r="M6442">
        <v>8.4700000000000006</v>
      </c>
      <c r="T6442" t="s">
        <v>45</v>
      </c>
      <c r="U6442">
        <v>2</v>
      </c>
      <c r="V6442">
        <v>5</v>
      </c>
    </row>
    <row r="6443" spans="1:22" x14ac:dyDescent="0.3">
      <c r="A6443">
        <v>6442</v>
      </c>
      <c r="B6443">
        <v>57041</v>
      </c>
      <c r="C6443" s="2">
        <v>34220</v>
      </c>
      <c r="D6443">
        <v>32</v>
      </c>
      <c r="E6443" t="s">
        <v>42</v>
      </c>
      <c r="F6443" t="s">
        <v>50</v>
      </c>
      <c r="G6443" s="2">
        <v>45342</v>
      </c>
      <c r="H6443" s="3">
        <f t="shared" si="100"/>
        <v>1.441095890410959</v>
      </c>
      <c r="I6443">
        <v>137</v>
      </c>
      <c r="J6443" t="s">
        <v>57</v>
      </c>
      <c r="K6443" t="s">
        <v>56</v>
      </c>
      <c r="L6443" t="s">
        <v>44</v>
      </c>
      <c r="M6443">
        <v>8.4700000000000006</v>
      </c>
      <c r="T6443" t="s">
        <v>45</v>
      </c>
      <c r="U6443">
        <v>0</v>
      </c>
      <c r="V6443">
        <v>5</v>
      </c>
    </row>
    <row r="6444" spans="1:22" x14ac:dyDescent="0.3">
      <c r="A6444">
        <v>6443</v>
      </c>
      <c r="B6444">
        <v>57042</v>
      </c>
      <c r="C6444" s="2">
        <v>35955</v>
      </c>
      <c r="D6444">
        <v>27</v>
      </c>
      <c r="E6444" t="s">
        <v>42</v>
      </c>
      <c r="F6444" t="s">
        <v>50</v>
      </c>
      <c r="G6444" s="2">
        <v>45496</v>
      </c>
      <c r="H6444" s="3">
        <f t="shared" si="100"/>
        <v>1.2931506849315069</v>
      </c>
      <c r="I6444">
        <v>138</v>
      </c>
      <c r="J6444" t="s">
        <v>57</v>
      </c>
      <c r="K6444" t="s">
        <v>68</v>
      </c>
      <c r="L6444" t="s">
        <v>44</v>
      </c>
      <c r="M6444">
        <v>17</v>
      </c>
      <c r="T6444" t="s">
        <v>49</v>
      </c>
      <c r="U6444">
        <v>2</v>
      </c>
      <c r="V6444">
        <v>5</v>
      </c>
    </row>
    <row r="6445" spans="1:22" x14ac:dyDescent="0.3">
      <c r="A6445">
        <v>6444</v>
      </c>
      <c r="B6445">
        <v>57043</v>
      </c>
      <c r="C6445" s="2">
        <v>37033</v>
      </c>
      <c r="D6445">
        <v>24</v>
      </c>
      <c r="E6445" t="s">
        <v>42</v>
      </c>
      <c r="F6445" t="s">
        <v>50</v>
      </c>
      <c r="G6445" s="2">
        <v>45550</v>
      </c>
      <c r="H6445" s="3">
        <f t="shared" si="100"/>
        <v>1.1205479452054794</v>
      </c>
      <c r="I6445">
        <v>138</v>
      </c>
      <c r="J6445" t="s">
        <v>57</v>
      </c>
      <c r="K6445" t="s">
        <v>68</v>
      </c>
      <c r="L6445" t="s">
        <v>44</v>
      </c>
      <c r="M6445">
        <v>17</v>
      </c>
      <c r="T6445" t="s">
        <v>52</v>
      </c>
      <c r="U6445">
        <v>2</v>
      </c>
      <c r="V6445">
        <v>5</v>
      </c>
    </row>
    <row r="6446" spans="1:22" x14ac:dyDescent="0.3">
      <c r="A6446">
        <v>6445</v>
      </c>
      <c r="B6446">
        <v>57044</v>
      </c>
      <c r="C6446" s="2">
        <v>37615</v>
      </c>
      <c r="D6446">
        <v>23</v>
      </c>
      <c r="E6446" t="s">
        <v>42</v>
      </c>
      <c r="F6446" t="s">
        <v>50</v>
      </c>
      <c r="G6446" s="2">
        <v>45613</v>
      </c>
      <c r="H6446" s="3">
        <f t="shared" si="100"/>
        <v>1.3616438356164384</v>
      </c>
      <c r="I6446">
        <v>138</v>
      </c>
      <c r="J6446" t="s">
        <v>57</v>
      </c>
      <c r="K6446" t="s">
        <v>68</v>
      </c>
      <c r="L6446" t="s">
        <v>44</v>
      </c>
      <c r="M6446">
        <v>17</v>
      </c>
      <c r="T6446" t="s">
        <v>49</v>
      </c>
      <c r="U6446">
        <v>0</v>
      </c>
      <c r="V6446">
        <v>5</v>
      </c>
    </row>
    <row r="6447" spans="1:22" x14ac:dyDescent="0.3">
      <c r="A6447">
        <v>6446</v>
      </c>
      <c r="B6447">
        <v>57045</v>
      </c>
      <c r="C6447" s="2">
        <v>37554</v>
      </c>
      <c r="D6447">
        <v>23</v>
      </c>
      <c r="E6447" t="s">
        <v>36</v>
      </c>
      <c r="F6447" t="s">
        <v>50</v>
      </c>
      <c r="G6447" s="2">
        <v>45525</v>
      </c>
      <c r="H6447" s="3">
        <f t="shared" si="100"/>
        <v>1.747945205479452</v>
      </c>
      <c r="I6447">
        <v>138</v>
      </c>
      <c r="J6447" t="s">
        <v>57</v>
      </c>
      <c r="K6447" t="s">
        <v>65</v>
      </c>
      <c r="L6447" t="s">
        <v>44</v>
      </c>
      <c r="M6447">
        <v>10.64</v>
      </c>
      <c r="T6447" t="s">
        <v>45</v>
      </c>
      <c r="U6447">
        <v>1</v>
      </c>
      <c r="V6447">
        <v>6</v>
      </c>
    </row>
    <row r="6448" spans="1:22" x14ac:dyDescent="0.3">
      <c r="A6448">
        <v>6447</v>
      </c>
      <c r="B6448">
        <v>57046</v>
      </c>
      <c r="C6448" s="2">
        <v>34328</v>
      </c>
      <c r="D6448">
        <v>32</v>
      </c>
      <c r="E6448" t="s">
        <v>42</v>
      </c>
      <c r="F6448" t="s">
        <v>37</v>
      </c>
      <c r="G6448" s="2">
        <v>45384</v>
      </c>
      <c r="H6448" s="3">
        <f t="shared" si="100"/>
        <v>1.0136986301369864</v>
      </c>
      <c r="I6448">
        <v>138</v>
      </c>
      <c r="J6448" t="s">
        <v>57</v>
      </c>
      <c r="K6448" t="s">
        <v>43</v>
      </c>
      <c r="L6448" t="s">
        <v>44</v>
      </c>
      <c r="M6448">
        <v>16.37</v>
      </c>
      <c r="T6448" t="s">
        <v>49</v>
      </c>
      <c r="U6448">
        <v>2</v>
      </c>
      <c r="V6448">
        <v>5</v>
      </c>
    </row>
    <row r="6449" spans="1:22" x14ac:dyDescent="0.3">
      <c r="A6449">
        <v>6448</v>
      </c>
      <c r="B6449">
        <v>57047</v>
      </c>
      <c r="C6449" s="2">
        <v>37158</v>
      </c>
      <c r="D6449">
        <v>24</v>
      </c>
      <c r="E6449" t="s">
        <v>42</v>
      </c>
      <c r="F6449" t="s">
        <v>50</v>
      </c>
      <c r="G6449" s="2">
        <v>45652</v>
      </c>
      <c r="H6449" s="3">
        <f t="shared" si="100"/>
        <v>1.3890410958904109</v>
      </c>
      <c r="I6449">
        <v>138</v>
      </c>
      <c r="J6449" t="s">
        <v>57</v>
      </c>
      <c r="K6449" t="s">
        <v>46</v>
      </c>
      <c r="L6449" t="s">
        <v>44</v>
      </c>
      <c r="M6449">
        <v>14.23</v>
      </c>
      <c r="T6449" t="s">
        <v>45</v>
      </c>
      <c r="U6449">
        <v>0</v>
      </c>
      <c r="V6449">
        <v>7</v>
      </c>
    </row>
    <row r="6450" spans="1:22" x14ac:dyDescent="0.3">
      <c r="A6450">
        <v>6449</v>
      </c>
      <c r="B6450">
        <v>57048</v>
      </c>
      <c r="C6450" s="2">
        <v>38133</v>
      </c>
      <c r="D6450">
        <v>21</v>
      </c>
      <c r="E6450" t="s">
        <v>42</v>
      </c>
      <c r="F6450" t="s">
        <v>50</v>
      </c>
      <c r="G6450" s="2">
        <v>45515</v>
      </c>
      <c r="H6450" s="3">
        <f t="shared" si="100"/>
        <v>1.3260273972602741</v>
      </c>
      <c r="I6450">
        <v>138</v>
      </c>
      <c r="J6450" t="s">
        <v>57</v>
      </c>
      <c r="K6450" t="s">
        <v>64</v>
      </c>
      <c r="L6450" t="s">
        <v>44</v>
      </c>
      <c r="M6450">
        <v>14.07</v>
      </c>
      <c r="T6450" t="s">
        <v>52</v>
      </c>
      <c r="U6450">
        <v>1</v>
      </c>
      <c r="V6450">
        <v>6</v>
      </c>
    </row>
    <row r="6451" spans="1:22" x14ac:dyDescent="0.3">
      <c r="A6451">
        <v>6450</v>
      </c>
      <c r="B6451">
        <v>57049</v>
      </c>
      <c r="C6451" s="2">
        <v>36031</v>
      </c>
      <c r="D6451">
        <v>27</v>
      </c>
      <c r="E6451" t="s">
        <v>42</v>
      </c>
      <c r="F6451" t="s">
        <v>50</v>
      </c>
      <c r="G6451" s="2">
        <v>45538</v>
      </c>
      <c r="H6451" s="3">
        <f t="shared" si="100"/>
        <v>1.473972602739726</v>
      </c>
      <c r="I6451">
        <v>138</v>
      </c>
      <c r="J6451" t="s">
        <v>57</v>
      </c>
      <c r="K6451" t="s">
        <v>48</v>
      </c>
      <c r="L6451" t="s">
        <v>44</v>
      </c>
      <c r="M6451">
        <v>17.899999999999999</v>
      </c>
      <c r="T6451" t="s">
        <v>52</v>
      </c>
      <c r="U6451">
        <v>2</v>
      </c>
      <c r="V6451">
        <v>6</v>
      </c>
    </row>
    <row r="6452" spans="1:22" x14ac:dyDescent="0.3">
      <c r="A6452">
        <v>6451</v>
      </c>
      <c r="B6452">
        <v>57051</v>
      </c>
      <c r="C6452" s="2">
        <v>38772</v>
      </c>
      <c r="D6452">
        <v>19</v>
      </c>
      <c r="E6452" t="s">
        <v>36</v>
      </c>
      <c r="F6452" t="s">
        <v>50</v>
      </c>
      <c r="G6452" s="2">
        <v>45484</v>
      </c>
      <c r="H6452" s="3">
        <f t="shared" si="100"/>
        <v>1.7342465753424658</v>
      </c>
      <c r="I6452">
        <v>138</v>
      </c>
      <c r="J6452" t="s">
        <v>57</v>
      </c>
      <c r="K6452" t="s">
        <v>56</v>
      </c>
      <c r="L6452" t="s">
        <v>44</v>
      </c>
      <c r="M6452">
        <v>8.4700000000000006</v>
      </c>
      <c r="T6452" t="s">
        <v>52</v>
      </c>
      <c r="U6452">
        <v>3</v>
      </c>
      <c r="V6452">
        <v>5</v>
      </c>
    </row>
    <row r="6453" spans="1:22" x14ac:dyDescent="0.3">
      <c r="A6453">
        <v>6452</v>
      </c>
      <c r="B6453">
        <v>57052</v>
      </c>
      <c r="C6453" s="2">
        <v>37747</v>
      </c>
      <c r="D6453">
        <v>22</v>
      </c>
      <c r="E6453" t="s">
        <v>42</v>
      </c>
      <c r="F6453" t="s">
        <v>50</v>
      </c>
      <c r="G6453" s="2">
        <v>45389</v>
      </c>
      <c r="H6453" s="3">
        <f t="shared" si="100"/>
        <v>1.6356164383561644</v>
      </c>
      <c r="I6453">
        <v>138</v>
      </c>
      <c r="J6453" t="s">
        <v>57</v>
      </c>
      <c r="K6453" t="s">
        <v>56</v>
      </c>
      <c r="L6453" t="s">
        <v>44</v>
      </c>
      <c r="M6453">
        <v>8.4700000000000006</v>
      </c>
      <c r="T6453" t="s">
        <v>45</v>
      </c>
      <c r="U6453">
        <v>4</v>
      </c>
      <c r="V6453">
        <v>5</v>
      </c>
    </row>
    <row r="6454" spans="1:22" x14ac:dyDescent="0.3">
      <c r="A6454">
        <v>6453</v>
      </c>
      <c r="B6454">
        <v>57053</v>
      </c>
      <c r="C6454" s="2">
        <v>37968</v>
      </c>
      <c r="D6454">
        <v>22</v>
      </c>
      <c r="E6454" t="s">
        <v>42</v>
      </c>
      <c r="F6454" t="s">
        <v>50</v>
      </c>
      <c r="G6454" s="2">
        <v>45425</v>
      </c>
      <c r="H6454" s="3">
        <f t="shared" si="100"/>
        <v>1.3232876712328767</v>
      </c>
      <c r="I6454">
        <v>138</v>
      </c>
      <c r="J6454" t="s">
        <v>57</v>
      </c>
      <c r="K6454" t="s">
        <v>56</v>
      </c>
      <c r="L6454" t="s">
        <v>44</v>
      </c>
      <c r="M6454">
        <v>8.4700000000000006</v>
      </c>
      <c r="T6454" t="s">
        <v>49</v>
      </c>
      <c r="U6454">
        <v>2</v>
      </c>
      <c r="V6454">
        <v>6</v>
      </c>
    </row>
    <row r="6455" spans="1:22" x14ac:dyDescent="0.3">
      <c r="A6455">
        <v>6454</v>
      </c>
      <c r="B6455">
        <v>57054</v>
      </c>
      <c r="C6455" s="2">
        <v>34684</v>
      </c>
      <c r="D6455">
        <v>31</v>
      </c>
      <c r="E6455" t="s">
        <v>42</v>
      </c>
      <c r="F6455" t="s">
        <v>50</v>
      </c>
      <c r="G6455" s="2">
        <v>45539</v>
      </c>
      <c r="H6455" s="3">
        <f t="shared" si="100"/>
        <v>1.4136986301369863</v>
      </c>
      <c r="I6455">
        <v>138</v>
      </c>
      <c r="J6455" t="s">
        <v>57</v>
      </c>
      <c r="K6455" t="s">
        <v>56</v>
      </c>
      <c r="L6455" t="s">
        <v>44</v>
      </c>
      <c r="M6455">
        <v>8.4700000000000006</v>
      </c>
      <c r="T6455" t="s">
        <v>47</v>
      </c>
      <c r="U6455">
        <v>1</v>
      </c>
      <c r="V6455">
        <v>5</v>
      </c>
    </row>
    <row r="6456" spans="1:22" x14ac:dyDescent="0.3">
      <c r="A6456">
        <v>6455</v>
      </c>
      <c r="B6456">
        <v>57055</v>
      </c>
      <c r="C6456" s="2">
        <v>38342</v>
      </c>
      <c r="D6456">
        <v>21</v>
      </c>
      <c r="E6456" t="s">
        <v>42</v>
      </c>
      <c r="F6456" t="s">
        <v>50</v>
      </c>
      <c r="G6456" s="2">
        <v>45506</v>
      </c>
      <c r="H6456" s="3">
        <f t="shared" si="100"/>
        <v>1.0438356164383562</v>
      </c>
      <c r="I6456">
        <v>138</v>
      </c>
      <c r="J6456" t="s">
        <v>57</v>
      </c>
      <c r="K6456" t="s">
        <v>56</v>
      </c>
      <c r="L6456" t="s">
        <v>44</v>
      </c>
      <c r="M6456">
        <v>8.4700000000000006</v>
      </c>
      <c r="T6456" t="s">
        <v>45</v>
      </c>
      <c r="U6456">
        <v>0</v>
      </c>
      <c r="V6456">
        <v>5</v>
      </c>
    </row>
    <row r="6457" spans="1:22" x14ac:dyDescent="0.3">
      <c r="A6457">
        <v>6456</v>
      </c>
      <c r="B6457">
        <v>57056</v>
      </c>
      <c r="C6457" s="2">
        <v>36296</v>
      </c>
      <c r="D6457">
        <v>26</v>
      </c>
      <c r="E6457" t="s">
        <v>42</v>
      </c>
      <c r="F6457" t="s">
        <v>50</v>
      </c>
      <c r="G6457" s="2">
        <v>45641</v>
      </c>
      <c r="H6457" s="3">
        <f t="shared" si="100"/>
        <v>1.1561643835616437</v>
      </c>
      <c r="I6457">
        <v>138</v>
      </c>
      <c r="J6457" t="s">
        <v>57</v>
      </c>
      <c r="K6457" t="s">
        <v>56</v>
      </c>
      <c r="L6457" t="s">
        <v>44</v>
      </c>
      <c r="M6457">
        <v>8.4700000000000006</v>
      </c>
      <c r="T6457" t="s">
        <v>45</v>
      </c>
      <c r="U6457">
        <v>2</v>
      </c>
      <c r="V6457">
        <v>7</v>
      </c>
    </row>
    <row r="6458" spans="1:22" x14ac:dyDescent="0.3">
      <c r="A6458">
        <v>6457</v>
      </c>
      <c r="B6458">
        <v>57057</v>
      </c>
      <c r="C6458" s="2">
        <v>36029</v>
      </c>
      <c r="D6458">
        <v>27</v>
      </c>
      <c r="E6458" t="s">
        <v>42</v>
      </c>
      <c r="F6458" t="s">
        <v>37</v>
      </c>
      <c r="G6458" s="2">
        <v>45600</v>
      </c>
      <c r="H6458" s="3">
        <f t="shared" si="100"/>
        <v>126.08767123287672</v>
      </c>
      <c r="I6458">
        <v>138</v>
      </c>
      <c r="J6458" t="s">
        <v>57</v>
      </c>
      <c r="K6458" t="s">
        <v>56</v>
      </c>
      <c r="L6458" t="s">
        <v>44</v>
      </c>
      <c r="M6458">
        <v>8.4700000000000006</v>
      </c>
      <c r="T6458" t="s">
        <v>47</v>
      </c>
      <c r="U6458">
        <v>3</v>
      </c>
      <c r="V6458">
        <v>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C8520-9ED4-4B37-92F3-6B2E76C8EA02}">
  <dimension ref="A1:F4862"/>
  <sheetViews>
    <sheetView workbookViewId="0">
      <selection activeCell="H3" sqref="H3"/>
    </sheetView>
  </sheetViews>
  <sheetFormatPr defaultRowHeight="14.4" x14ac:dyDescent="0.3"/>
  <cols>
    <col min="1" max="1" width="9.88671875" bestFit="1" customWidth="1"/>
    <col min="2" max="2" width="15.44140625" style="4" bestFit="1" customWidth="1"/>
    <col min="3" max="9" width="24.44140625" bestFit="1" customWidth="1"/>
  </cols>
  <sheetData>
    <row r="1" spans="1:6" x14ac:dyDescent="0.3">
      <c r="B1"/>
    </row>
    <row r="2" spans="1:6" x14ac:dyDescent="0.3">
      <c r="B2"/>
    </row>
    <row r="4" spans="1:6" x14ac:dyDescent="0.3">
      <c r="A4" t="s">
        <v>73</v>
      </c>
      <c r="B4" t="s">
        <v>74</v>
      </c>
      <c r="C4" t="s">
        <v>75</v>
      </c>
      <c r="D4" t="s">
        <v>76</v>
      </c>
      <c r="E4" s="3" t="s">
        <v>77</v>
      </c>
      <c r="F4" t="s">
        <v>78</v>
      </c>
    </row>
    <row r="5" spans="1:6" x14ac:dyDescent="0.3">
      <c r="A5">
        <v>6457</v>
      </c>
      <c r="B5">
        <v>2.5599542601106045</v>
      </c>
      <c r="C5">
        <v>25.69289143565123</v>
      </c>
      <c r="D5">
        <v>2994.4544060705639</v>
      </c>
      <c r="E5" s="3">
        <v>3.8850931677018634</v>
      </c>
      <c r="F5">
        <v>1.8090444478860153</v>
      </c>
    </row>
    <row r="6" spans="1:6" x14ac:dyDescent="0.3">
      <c r="B6"/>
    </row>
    <row r="7" spans="1:6" x14ac:dyDescent="0.3">
      <c r="A7">
        <f>GETPIVOTDATA("Count of ID",$A$4)</f>
        <v>6457</v>
      </c>
      <c r="B7" s="3">
        <f>GETPIVOTDATA("Average of Age",$A$4)</f>
        <v>25.69289143565123</v>
      </c>
      <c r="D7" s="3">
        <f>GETPIVOTDATA("Average of Wage Rate (2024)",$A$4)</f>
        <v>2994.4544060705639</v>
      </c>
      <c r="E7" s="3">
        <f>GETPIVOTDATA("Average of Performance Rating (2024)",$A$4)</f>
        <v>3.8850931677018634</v>
      </c>
      <c r="F7" s="3">
        <f>GETPIVOTDATA("Average of Prior Experience",$A$4)</f>
        <v>1.8090444478860153</v>
      </c>
    </row>
    <row r="8" spans="1:6" x14ac:dyDescent="0.3">
      <c r="B8" s="3">
        <f>GETPIVOTDATA("Average of Tenure",$A$4)</f>
        <v>2.5599542601106045</v>
      </c>
      <c r="E8" s="3">
        <f>5-E7</f>
        <v>1.1149068322981366</v>
      </c>
    </row>
    <row r="9" spans="1:6" x14ac:dyDescent="0.3">
      <c r="B9"/>
    </row>
    <row r="10" spans="1:6" x14ac:dyDescent="0.3">
      <c r="B10"/>
    </row>
    <row r="11" spans="1:6" x14ac:dyDescent="0.3">
      <c r="B11"/>
    </row>
    <row r="12" spans="1:6" x14ac:dyDescent="0.3">
      <c r="B12"/>
    </row>
    <row r="13" spans="1:6" x14ac:dyDescent="0.3">
      <c r="B13"/>
    </row>
    <row r="14" spans="1:6" x14ac:dyDescent="0.3">
      <c r="B14"/>
    </row>
    <row r="15" spans="1:6" x14ac:dyDescent="0.3">
      <c r="B15"/>
    </row>
    <row r="16" spans="1:6"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row r="504" spans="2:2" x14ac:dyDescent="0.3">
      <c r="B504"/>
    </row>
    <row r="505" spans="2:2" x14ac:dyDescent="0.3">
      <c r="B505"/>
    </row>
    <row r="506" spans="2:2" x14ac:dyDescent="0.3">
      <c r="B506"/>
    </row>
    <row r="507" spans="2:2" x14ac:dyDescent="0.3">
      <c r="B507"/>
    </row>
    <row r="508" spans="2:2" x14ac:dyDescent="0.3">
      <c r="B508"/>
    </row>
    <row r="509" spans="2:2" x14ac:dyDescent="0.3">
      <c r="B509"/>
    </row>
    <row r="510" spans="2:2" x14ac:dyDescent="0.3">
      <c r="B510"/>
    </row>
    <row r="511" spans="2:2" x14ac:dyDescent="0.3">
      <c r="B511"/>
    </row>
    <row r="512" spans="2:2" x14ac:dyDescent="0.3">
      <c r="B512"/>
    </row>
    <row r="513" spans="2:2" x14ac:dyDescent="0.3">
      <c r="B513"/>
    </row>
    <row r="514" spans="2:2" x14ac:dyDescent="0.3">
      <c r="B514"/>
    </row>
    <row r="515" spans="2:2" x14ac:dyDescent="0.3">
      <c r="B515"/>
    </row>
    <row r="516" spans="2:2" x14ac:dyDescent="0.3">
      <c r="B516"/>
    </row>
    <row r="517" spans="2:2" x14ac:dyDescent="0.3">
      <c r="B517"/>
    </row>
    <row r="518" spans="2:2" x14ac:dyDescent="0.3">
      <c r="B518"/>
    </row>
    <row r="519" spans="2:2" x14ac:dyDescent="0.3">
      <c r="B519"/>
    </row>
    <row r="520" spans="2:2" x14ac:dyDescent="0.3">
      <c r="B520"/>
    </row>
    <row r="521" spans="2:2" x14ac:dyDescent="0.3">
      <c r="B521"/>
    </row>
    <row r="522" spans="2:2" x14ac:dyDescent="0.3">
      <c r="B522"/>
    </row>
    <row r="523" spans="2:2" x14ac:dyDescent="0.3">
      <c r="B523"/>
    </row>
    <row r="524" spans="2:2" x14ac:dyDescent="0.3">
      <c r="B524"/>
    </row>
    <row r="525" spans="2:2" x14ac:dyDescent="0.3">
      <c r="B525"/>
    </row>
    <row r="526" spans="2:2" x14ac:dyDescent="0.3">
      <c r="B526"/>
    </row>
    <row r="527" spans="2:2" x14ac:dyDescent="0.3">
      <c r="B527"/>
    </row>
    <row r="528" spans="2:2" x14ac:dyDescent="0.3">
      <c r="B528"/>
    </row>
    <row r="529" spans="2:2" x14ac:dyDescent="0.3">
      <c r="B529"/>
    </row>
    <row r="530" spans="2:2" x14ac:dyDescent="0.3">
      <c r="B530"/>
    </row>
    <row r="531" spans="2:2" x14ac:dyDescent="0.3">
      <c r="B531"/>
    </row>
    <row r="532" spans="2:2" x14ac:dyDescent="0.3">
      <c r="B532"/>
    </row>
    <row r="533" spans="2:2" x14ac:dyDescent="0.3">
      <c r="B533"/>
    </row>
    <row r="534" spans="2:2" x14ac:dyDescent="0.3">
      <c r="B534"/>
    </row>
    <row r="535" spans="2:2" x14ac:dyDescent="0.3">
      <c r="B535"/>
    </row>
    <row r="536" spans="2:2" x14ac:dyDescent="0.3">
      <c r="B536"/>
    </row>
    <row r="537" spans="2:2" x14ac:dyDescent="0.3">
      <c r="B537"/>
    </row>
    <row r="538" spans="2:2" x14ac:dyDescent="0.3">
      <c r="B538"/>
    </row>
    <row r="539" spans="2:2" x14ac:dyDescent="0.3">
      <c r="B539"/>
    </row>
    <row r="540" spans="2:2" x14ac:dyDescent="0.3">
      <c r="B540"/>
    </row>
    <row r="541" spans="2:2" x14ac:dyDescent="0.3">
      <c r="B541"/>
    </row>
    <row r="542" spans="2:2" x14ac:dyDescent="0.3">
      <c r="B542"/>
    </row>
    <row r="543" spans="2:2" x14ac:dyDescent="0.3">
      <c r="B543"/>
    </row>
    <row r="544" spans="2:2" x14ac:dyDescent="0.3">
      <c r="B544"/>
    </row>
    <row r="545" spans="2:2" x14ac:dyDescent="0.3">
      <c r="B545"/>
    </row>
    <row r="546" spans="2:2" x14ac:dyDescent="0.3">
      <c r="B546"/>
    </row>
    <row r="547" spans="2:2" x14ac:dyDescent="0.3">
      <c r="B547"/>
    </row>
    <row r="548" spans="2:2" x14ac:dyDescent="0.3">
      <c r="B548"/>
    </row>
    <row r="549" spans="2:2" x14ac:dyDescent="0.3">
      <c r="B549"/>
    </row>
    <row r="550" spans="2:2" x14ac:dyDescent="0.3">
      <c r="B550"/>
    </row>
    <row r="551" spans="2:2" x14ac:dyDescent="0.3">
      <c r="B551"/>
    </row>
    <row r="552" spans="2:2" x14ac:dyDescent="0.3">
      <c r="B552"/>
    </row>
    <row r="553" spans="2:2" x14ac:dyDescent="0.3">
      <c r="B553"/>
    </row>
    <row r="554" spans="2:2" x14ac:dyDescent="0.3">
      <c r="B554"/>
    </row>
    <row r="555" spans="2:2" x14ac:dyDescent="0.3">
      <c r="B555"/>
    </row>
    <row r="556" spans="2:2" x14ac:dyDescent="0.3">
      <c r="B556"/>
    </row>
    <row r="557" spans="2:2" x14ac:dyDescent="0.3">
      <c r="B557"/>
    </row>
    <row r="558" spans="2:2" x14ac:dyDescent="0.3">
      <c r="B558"/>
    </row>
    <row r="559" spans="2:2" x14ac:dyDescent="0.3">
      <c r="B559"/>
    </row>
    <row r="560" spans="2:2" x14ac:dyDescent="0.3">
      <c r="B560"/>
    </row>
    <row r="561" spans="2:2" x14ac:dyDescent="0.3">
      <c r="B561"/>
    </row>
    <row r="562" spans="2:2" x14ac:dyDescent="0.3">
      <c r="B562"/>
    </row>
    <row r="563" spans="2:2" x14ac:dyDescent="0.3">
      <c r="B563"/>
    </row>
    <row r="564" spans="2:2" x14ac:dyDescent="0.3">
      <c r="B564"/>
    </row>
    <row r="565" spans="2:2" x14ac:dyDescent="0.3">
      <c r="B565"/>
    </row>
    <row r="566" spans="2:2" x14ac:dyDescent="0.3">
      <c r="B566"/>
    </row>
    <row r="567" spans="2:2" x14ac:dyDescent="0.3">
      <c r="B567"/>
    </row>
    <row r="568" spans="2:2" x14ac:dyDescent="0.3">
      <c r="B568"/>
    </row>
    <row r="569" spans="2:2" x14ac:dyDescent="0.3">
      <c r="B569"/>
    </row>
    <row r="570" spans="2:2" x14ac:dyDescent="0.3">
      <c r="B570"/>
    </row>
    <row r="571" spans="2:2" x14ac:dyDescent="0.3">
      <c r="B571"/>
    </row>
    <row r="572" spans="2:2" x14ac:dyDescent="0.3">
      <c r="B572"/>
    </row>
    <row r="573" spans="2:2" x14ac:dyDescent="0.3">
      <c r="B573"/>
    </row>
    <row r="574" spans="2:2" x14ac:dyDescent="0.3">
      <c r="B574"/>
    </row>
    <row r="575" spans="2:2" x14ac:dyDescent="0.3">
      <c r="B575"/>
    </row>
    <row r="576" spans="2:2" x14ac:dyDescent="0.3">
      <c r="B576"/>
    </row>
    <row r="577" spans="2:2" x14ac:dyDescent="0.3">
      <c r="B577"/>
    </row>
    <row r="578" spans="2:2" x14ac:dyDescent="0.3">
      <c r="B578"/>
    </row>
    <row r="579" spans="2:2" x14ac:dyDescent="0.3">
      <c r="B579"/>
    </row>
    <row r="580" spans="2:2" x14ac:dyDescent="0.3">
      <c r="B580"/>
    </row>
    <row r="581" spans="2:2" x14ac:dyDescent="0.3">
      <c r="B581"/>
    </row>
    <row r="582" spans="2:2" x14ac:dyDescent="0.3">
      <c r="B582"/>
    </row>
    <row r="583" spans="2:2" x14ac:dyDescent="0.3">
      <c r="B583"/>
    </row>
    <row r="584" spans="2:2" x14ac:dyDescent="0.3">
      <c r="B584"/>
    </row>
    <row r="585" spans="2:2" x14ac:dyDescent="0.3">
      <c r="B585"/>
    </row>
    <row r="586" spans="2:2" x14ac:dyDescent="0.3">
      <c r="B586"/>
    </row>
    <row r="587" spans="2:2" x14ac:dyDescent="0.3">
      <c r="B587"/>
    </row>
    <row r="588" spans="2:2" x14ac:dyDescent="0.3">
      <c r="B588"/>
    </row>
    <row r="589" spans="2:2" x14ac:dyDescent="0.3">
      <c r="B589"/>
    </row>
    <row r="590" spans="2:2" x14ac:dyDescent="0.3">
      <c r="B590"/>
    </row>
    <row r="591" spans="2:2" x14ac:dyDescent="0.3">
      <c r="B591"/>
    </row>
    <row r="592" spans="2:2" x14ac:dyDescent="0.3">
      <c r="B592"/>
    </row>
    <row r="593" spans="2:2" x14ac:dyDescent="0.3">
      <c r="B593"/>
    </row>
    <row r="594" spans="2:2" x14ac:dyDescent="0.3">
      <c r="B594"/>
    </row>
    <row r="595" spans="2:2" x14ac:dyDescent="0.3">
      <c r="B595"/>
    </row>
    <row r="596" spans="2:2" x14ac:dyDescent="0.3">
      <c r="B596"/>
    </row>
    <row r="597" spans="2:2" x14ac:dyDescent="0.3">
      <c r="B597"/>
    </row>
    <row r="598" spans="2:2" x14ac:dyDescent="0.3">
      <c r="B598"/>
    </row>
    <row r="599" spans="2:2" x14ac:dyDescent="0.3">
      <c r="B599"/>
    </row>
    <row r="600" spans="2:2" x14ac:dyDescent="0.3">
      <c r="B600"/>
    </row>
    <row r="601" spans="2:2" x14ac:dyDescent="0.3">
      <c r="B601"/>
    </row>
    <row r="602" spans="2:2" x14ac:dyDescent="0.3">
      <c r="B602"/>
    </row>
    <row r="603" spans="2:2" x14ac:dyDescent="0.3">
      <c r="B603"/>
    </row>
    <row r="604" spans="2:2" x14ac:dyDescent="0.3">
      <c r="B604"/>
    </row>
    <row r="605" spans="2:2" x14ac:dyDescent="0.3">
      <c r="B605"/>
    </row>
    <row r="606" spans="2:2" x14ac:dyDescent="0.3">
      <c r="B606"/>
    </row>
    <row r="607" spans="2:2" x14ac:dyDescent="0.3">
      <c r="B607"/>
    </row>
    <row r="608" spans="2:2" x14ac:dyDescent="0.3">
      <c r="B608"/>
    </row>
    <row r="609" spans="2:2" x14ac:dyDescent="0.3">
      <c r="B609"/>
    </row>
    <row r="610" spans="2:2" x14ac:dyDescent="0.3">
      <c r="B610"/>
    </row>
    <row r="611" spans="2:2" x14ac:dyDescent="0.3">
      <c r="B611"/>
    </row>
    <row r="612" spans="2:2" x14ac:dyDescent="0.3">
      <c r="B612"/>
    </row>
    <row r="613" spans="2:2" x14ac:dyDescent="0.3">
      <c r="B613"/>
    </row>
    <row r="614" spans="2:2" x14ac:dyDescent="0.3">
      <c r="B614"/>
    </row>
    <row r="615" spans="2:2" x14ac:dyDescent="0.3">
      <c r="B615"/>
    </row>
    <row r="616" spans="2:2" x14ac:dyDescent="0.3">
      <c r="B616"/>
    </row>
    <row r="617" spans="2:2" x14ac:dyDescent="0.3">
      <c r="B617"/>
    </row>
    <row r="618" spans="2:2" x14ac:dyDescent="0.3">
      <c r="B618"/>
    </row>
    <row r="619" spans="2:2" x14ac:dyDescent="0.3">
      <c r="B619"/>
    </row>
    <row r="620" spans="2:2" x14ac:dyDescent="0.3">
      <c r="B620"/>
    </row>
    <row r="621" spans="2:2" x14ac:dyDescent="0.3">
      <c r="B621"/>
    </row>
    <row r="622" spans="2:2" x14ac:dyDescent="0.3">
      <c r="B622"/>
    </row>
    <row r="623" spans="2:2" x14ac:dyDescent="0.3">
      <c r="B623"/>
    </row>
    <row r="624" spans="2:2" x14ac:dyDescent="0.3">
      <c r="B624"/>
    </row>
    <row r="625" spans="2:2" x14ac:dyDescent="0.3">
      <c r="B625"/>
    </row>
    <row r="626" spans="2:2" x14ac:dyDescent="0.3">
      <c r="B626"/>
    </row>
    <row r="627" spans="2:2" x14ac:dyDescent="0.3">
      <c r="B627"/>
    </row>
    <row r="628" spans="2:2" x14ac:dyDescent="0.3">
      <c r="B628"/>
    </row>
    <row r="629" spans="2:2" x14ac:dyDescent="0.3">
      <c r="B629"/>
    </row>
    <row r="630" spans="2:2" x14ac:dyDescent="0.3">
      <c r="B630"/>
    </row>
    <row r="631" spans="2:2" x14ac:dyDescent="0.3">
      <c r="B631"/>
    </row>
    <row r="632" spans="2:2" x14ac:dyDescent="0.3">
      <c r="B632"/>
    </row>
    <row r="633" spans="2:2" x14ac:dyDescent="0.3">
      <c r="B633"/>
    </row>
    <row r="634" spans="2:2" x14ac:dyDescent="0.3">
      <c r="B634"/>
    </row>
    <row r="635" spans="2:2" x14ac:dyDescent="0.3">
      <c r="B635"/>
    </row>
    <row r="636" spans="2:2" x14ac:dyDescent="0.3">
      <c r="B636"/>
    </row>
    <row r="637" spans="2:2" x14ac:dyDescent="0.3">
      <c r="B637"/>
    </row>
    <row r="638" spans="2:2" x14ac:dyDescent="0.3">
      <c r="B638"/>
    </row>
    <row r="639" spans="2:2" x14ac:dyDescent="0.3">
      <c r="B639"/>
    </row>
    <row r="640" spans="2:2" x14ac:dyDescent="0.3">
      <c r="B640"/>
    </row>
    <row r="641" spans="2:2" x14ac:dyDescent="0.3">
      <c r="B641"/>
    </row>
    <row r="642" spans="2:2" x14ac:dyDescent="0.3">
      <c r="B642"/>
    </row>
    <row r="643" spans="2:2" x14ac:dyDescent="0.3">
      <c r="B643"/>
    </row>
    <row r="644" spans="2:2" x14ac:dyDescent="0.3">
      <c r="B644"/>
    </row>
    <row r="645" spans="2:2" x14ac:dyDescent="0.3">
      <c r="B645"/>
    </row>
    <row r="646" spans="2:2" x14ac:dyDescent="0.3">
      <c r="B646"/>
    </row>
    <row r="647" spans="2:2" x14ac:dyDescent="0.3">
      <c r="B647"/>
    </row>
    <row r="648" spans="2:2" x14ac:dyDescent="0.3">
      <c r="B648"/>
    </row>
    <row r="649" spans="2:2" x14ac:dyDescent="0.3">
      <c r="B649"/>
    </row>
    <row r="650" spans="2:2" x14ac:dyDescent="0.3">
      <c r="B650"/>
    </row>
    <row r="651" spans="2:2" x14ac:dyDescent="0.3">
      <c r="B651"/>
    </row>
    <row r="652" spans="2:2" x14ac:dyDescent="0.3">
      <c r="B652"/>
    </row>
    <row r="653" spans="2:2" x14ac:dyDescent="0.3">
      <c r="B653"/>
    </row>
    <row r="654" spans="2:2" x14ac:dyDescent="0.3">
      <c r="B654"/>
    </row>
    <row r="655" spans="2:2" x14ac:dyDescent="0.3">
      <c r="B655"/>
    </row>
    <row r="656" spans="2:2" x14ac:dyDescent="0.3">
      <c r="B656"/>
    </row>
    <row r="657" spans="2:2" x14ac:dyDescent="0.3">
      <c r="B657"/>
    </row>
    <row r="658" spans="2:2" x14ac:dyDescent="0.3">
      <c r="B658"/>
    </row>
    <row r="659" spans="2:2" x14ac:dyDescent="0.3">
      <c r="B659"/>
    </row>
    <row r="660" spans="2:2" x14ac:dyDescent="0.3">
      <c r="B660"/>
    </row>
    <row r="661" spans="2:2" x14ac:dyDescent="0.3">
      <c r="B661"/>
    </row>
    <row r="662" spans="2:2" x14ac:dyDescent="0.3">
      <c r="B662"/>
    </row>
    <row r="663" spans="2:2" x14ac:dyDescent="0.3">
      <c r="B663"/>
    </row>
    <row r="664" spans="2:2" x14ac:dyDescent="0.3">
      <c r="B664"/>
    </row>
    <row r="665" spans="2:2" x14ac:dyDescent="0.3">
      <c r="B665"/>
    </row>
    <row r="666" spans="2:2" x14ac:dyDescent="0.3">
      <c r="B666"/>
    </row>
    <row r="667" spans="2:2" x14ac:dyDescent="0.3">
      <c r="B667"/>
    </row>
    <row r="668" spans="2:2" x14ac:dyDescent="0.3">
      <c r="B668"/>
    </row>
    <row r="669" spans="2:2" x14ac:dyDescent="0.3">
      <c r="B669"/>
    </row>
    <row r="670" spans="2:2" x14ac:dyDescent="0.3">
      <c r="B670"/>
    </row>
    <row r="671" spans="2:2" x14ac:dyDescent="0.3">
      <c r="B671"/>
    </row>
    <row r="672" spans="2:2" x14ac:dyDescent="0.3">
      <c r="B672"/>
    </row>
    <row r="673" spans="2:2" x14ac:dyDescent="0.3">
      <c r="B673"/>
    </row>
    <row r="674" spans="2:2" x14ac:dyDescent="0.3">
      <c r="B674"/>
    </row>
    <row r="675" spans="2:2" x14ac:dyDescent="0.3">
      <c r="B675"/>
    </row>
    <row r="676" spans="2:2" x14ac:dyDescent="0.3">
      <c r="B676"/>
    </row>
    <row r="677" spans="2:2" x14ac:dyDescent="0.3">
      <c r="B677"/>
    </row>
    <row r="678" spans="2:2" x14ac:dyDescent="0.3">
      <c r="B678"/>
    </row>
    <row r="679" spans="2:2" x14ac:dyDescent="0.3">
      <c r="B679"/>
    </row>
    <row r="680" spans="2:2" x14ac:dyDescent="0.3">
      <c r="B680"/>
    </row>
    <row r="681" spans="2:2" x14ac:dyDescent="0.3">
      <c r="B681"/>
    </row>
    <row r="682" spans="2:2" x14ac:dyDescent="0.3">
      <c r="B682"/>
    </row>
    <row r="683" spans="2:2" x14ac:dyDescent="0.3">
      <c r="B683"/>
    </row>
    <row r="684" spans="2:2" x14ac:dyDescent="0.3">
      <c r="B684"/>
    </row>
    <row r="685" spans="2:2" x14ac:dyDescent="0.3">
      <c r="B685"/>
    </row>
    <row r="686" spans="2:2" x14ac:dyDescent="0.3">
      <c r="B686"/>
    </row>
    <row r="687" spans="2:2" x14ac:dyDescent="0.3">
      <c r="B687"/>
    </row>
    <row r="688" spans="2:2" x14ac:dyDescent="0.3">
      <c r="B688"/>
    </row>
    <row r="689" spans="2:2" x14ac:dyDescent="0.3">
      <c r="B689"/>
    </row>
    <row r="690" spans="2:2" x14ac:dyDescent="0.3">
      <c r="B690"/>
    </row>
    <row r="691" spans="2:2" x14ac:dyDescent="0.3">
      <c r="B691"/>
    </row>
    <row r="692" spans="2:2" x14ac:dyDescent="0.3">
      <c r="B692"/>
    </row>
    <row r="693" spans="2:2" x14ac:dyDescent="0.3">
      <c r="B693"/>
    </row>
    <row r="694" spans="2:2" x14ac:dyDescent="0.3">
      <c r="B694"/>
    </row>
    <row r="695" spans="2:2" x14ac:dyDescent="0.3">
      <c r="B695"/>
    </row>
    <row r="696" spans="2:2" x14ac:dyDescent="0.3">
      <c r="B696"/>
    </row>
    <row r="697" spans="2:2" x14ac:dyDescent="0.3">
      <c r="B697"/>
    </row>
    <row r="698" spans="2:2" x14ac:dyDescent="0.3">
      <c r="B698"/>
    </row>
    <row r="699" spans="2:2" x14ac:dyDescent="0.3">
      <c r="B699"/>
    </row>
    <row r="700" spans="2:2" x14ac:dyDescent="0.3">
      <c r="B700"/>
    </row>
    <row r="701" spans="2:2" x14ac:dyDescent="0.3">
      <c r="B701"/>
    </row>
    <row r="702" spans="2:2" x14ac:dyDescent="0.3">
      <c r="B702"/>
    </row>
    <row r="703" spans="2:2" x14ac:dyDescent="0.3">
      <c r="B703"/>
    </row>
    <row r="704" spans="2:2" x14ac:dyDescent="0.3">
      <c r="B704"/>
    </row>
    <row r="705" spans="2:2" x14ac:dyDescent="0.3">
      <c r="B705"/>
    </row>
    <row r="706" spans="2:2" x14ac:dyDescent="0.3">
      <c r="B706"/>
    </row>
    <row r="707" spans="2:2" x14ac:dyDescent="0.3">
      <c r="B707"/>
    </row>
    <row r="708" spans="2:2" x14ac:dyDescent="0.3">
      <c r="B708"/>
    </row>
    <row r="709" spans="2:2" x14ac:dyDescent="0.3">
      <c r="B709"/>
    </row>
    <row r="710" spans="2:2" x14ac:dyDescent="0.3">
      <c r="B710"/>
    </row>
    <row r="711" spans="2:2" x14ac:dyDescent="0.3">
      <c r="B711"/>
    </row>
    <row r="712" spans="2:2" x14ac:dyDescent="0.3">
      <c r="B712"/>
    </row>
    <row r="713" spans="2:2" x14ac:dyDescent="0.3">
      <c r="B713"/>
    </row>
    <row r="714" spans="2:2" x14ac:dyDescent="0.3">
      <c r="B714"/>
    </row>
    <row r="715" spans="2:2" x14ac:dyDescent="0.3">
      <c r="B715"/>
    </row>
    <row r="716" spans="2:2" x14ac:dyDescent="0.3">
      <c r="B716"/>
    </row>
    <row r="717" spans="2:2" x14ac:dyDescent="0.3">
      <c r="B717"/>
    </row>
    <row r="718" spans="2:2" x14ac:dyDescent="0.3">
      <c r="B718"/>
    </row>
    <row r="719" spans="2:2" x14ac:dyDescent="0.3">
      <c r="B719"/>
    </row>
    <row r="720" spans="2:2" x14ac:dyDescent="0.3">
      <c r="B720"/>
    </row>
    <row r="721" spans="2:2" x14ac:dyDescent="0.3">
      <c r="B721"/>
    </row>
    <row r="722" spans="2:2" x14ac:dyDescent="0.3">
      <c r="B722"/>
    </row>
    <row r="723" spans="2:2" x14ac:dyDescent="0.3">
      <c r="B723"/>
    </row>
    <row r="724" spans="2:2" x14ac:dyDescent="0.3">
      <c r="B724"/>
    </row>
    <row r="725" spans="2:2" x14ac:dyDescent="0.3">
      <c r="B725"/>
    </row>
    <row r="726" spans="2:2" x14ac:dyDescent="0.3">
      <c r="B726"/>
    </row>
    <row r="727" spans="2:2" x14ac:dyDescent="0.3">
      <c r="B727"/>
    </row>
    <row r="728" spans="2:2" x14ac:dyDescent="0.3">
      <c r="B728"/>
    </row>
    <row r="729" spans="2:2" x14ac:dyDescent="0.3">
      <c r="B729"/>
    </row>
    <row r="730" spans="2:2" x14ac:dyDescent="0.3">
      <c r="B730"/>
    </row>
    <row r="731" spans="2:2" x14ac:dyDescent="0.3">
      <c r="B731"/>
    </row>
    <row r="732" spans="2:2" x14ac:dyDescent="0.3">
      <c r="B732"/>
    </row>
    <row r="733" spans="2:2" x14ac:dyDescent="0.3">
      <c r="B733"/>
    </row>
    <row r="734" spans="2:2" x14ac:dyDescent="0.3">
      <c r="B734"/>
    </row>
    <row r="735" spans="2:2" x14ac:dyDescent="0.3">
      <c r="B735"/>
    </row>
    <row r="736" spans="2:2" x14ac:dyDescent="0.3">
      <c r="B736"/>
    </row>
    <row r="737" spans="2:2" x14ac:dyDescent="0.3">
      <c r="B737"/>
    </row>
    <row r="738" spans="2:2" x14ac:dyDescent="0.3">
      <c r="B738"/>
    </row>
    <row r="739" spans="2:2" x14ac:dyDescent="0.3">
      <c r="B739"/>
    </row>
    <row r="740" spans="2:2" x14ac:dyDescent="0.3">
      <c r="B740"/>
    </row>
    <row r="741" spans="2:2" x14ac:dyDescent="0.3">
      <c r="B741"/>
    </row>
    <row r="742" spans="2:2" x14ac:dyDescent="0.3">
      <c r="B742"/>
    </row>
    <row r="743" spans="2:2" x14ac:dyDescent="0.3">
      <c r="B743"/>
    </row>
    <row r="744" spans="2:2" x14ac:dyDescent="0.3">
      <c r="B744"/>
    </row>
    <row r="745" spans="2:2" x14ac:dyDescent="0.3">
      <c r="B745"/>
    </row>
    <row r="746" spans="2:2" x14ac:dyDescent="0.3">
      <c r="B746"/>
    </row>
    <row r="747" spans="2:2" x14ac:dyDescent="0.3">
      <c r="B747"/>
    </row>
    <row r="748" spans="2:2" x14ac:dyDescent="0.3">
      <c r="B748"/>
    </row>
    <row r="749" spans="2:2" x14ac:dyDescent="0.3">
      <c r="B749"/>
    </row>
    <row r="750" spans="2:2" x14ac:dyDescent="0.3">
      <c r="B750"/>
    </row>
    <row r="751" spans="2:2" x14ac:dyDescent="0.3">
      <c r="B751"/>
    </row>
    <row r="752" spans="2:2" x14ac:dyDescent="0.3">
      <c r="B752"/>
    </row>
    <row r="753" spans="2:2" x14ac:dyDescent="0.3">
      <c r="B753"/>
    </row>
    <row r="754" spans="2:2" x14ac:dyDescent="0.3">
      <c r="B754"/>
    </row>
    <row r="755" spans="2:2" x14ac:dyDescent="0.3">
      <c r="B755"/>
    </row>
    <row r="756" spans="2:2" x14ac:dyDescent="0.3">
      <c r="B756"/>
    </row>
    <row r="757" spans="2:2" x14ac:dyDescent="0.3">
      <c r="B757"/>
    </row>
    <row r="758" spans="2:2" x14ac:dyDescent="0.3">
      <c r="B758"/>
    </row>
    <row r="759" spans="2:2" x14ac:dyDescent="0.3">
      <c r="B759"/>
    </row>
    <row r="760" spans="2:2" x14ac:dyDescent="0.3">
      <c r="B760"/>
    </row>
    <row r="761" spans="2:2" x14ac:dyDescent="0.3">
      <c r="B761"/>
    </row>
    <row r="762" spans="2:2" x14ac:dyDescent="0.3">
      <c r="B762"/>
    </row>
    <row r="763" spans="2:2" x14ac:dyDescent="0.3">
      <c r="B763"/>
    </row>
    <row r="764" spans="2:2" x14ac:dyDescent="0.3">
      <c r="B764"/>
    </row>
    <row r="765" spans="2:2" x14ac:dyDescent="0.3">
      <c r="B765"/>
    </row>
    <row r="766" spans="2:2" x14ac:dyDescent="0.3">
      <c r="B766"/>
    </row>
    <row r="767" spans="2:2" x14ac:dyDescent="0.3">
      <c r="B767"/>
    </row>
    <row r="768" spans="2:2" x14ac:dyDescent="0.3">
      <c r="B768"/>
    </row>
    <row r="769" spans="2:2" x14ac:dyDescent="0.3">
      <c r="B769"/>
    </row>
    <row r="770" spans="2:2" x14ac:dyDescent="0.3">
      <c r="B770"/>
    </row>
    <row r="771" spans="2:2" x14ac:dyDescent="0.3">
      <c r="B771"/>
    </row>
    <row r="772" spans="2:2" x14ac:dyDescent="0.3">
      <c r="B772"/>
    </row>
    <row r="773" spans="2:2" x14ac:dyDescent="0.3">
      <c r="B773"/>
    </row>
    <row r="774" spans="2:2" x14ac:dyDescent="0.3">
      <c r="B774"/>
    </row>
    <row r="775" spans="2:2" x14ac:dyDescent="0.3">
      <c r="B775"/>
    </row>
    <row r="776" spans="2:2" x14ac:dyDescent="0.3">
      <c r="B776"/>
    </row>
    <row r="777" spans="2:2" x14ac:dyDescent="0.3">
      <c r="B777"/>
    </row>
    <row r="778" spans="2:2" x14ac:dyDescent="0.3">
      <c r="B778"/>
    </row>
    <row r="779" spans="2:2" x14ac:dyDescent="0.3">
      <c r="B779"/>
    </row>
    <row r="780" spans="2:2" x14ac:dyDescent="0.3">
      <c r="B780"/>
    </row>
    <row r="781" spans="2:2" x14ac:dyDescent="0.3">
      <c r="B781"/>
    </row>
    <row r="782" spans="2:2" x14ac:dyDescent="0.3">
      <c r="B782"/>
    </row>
    <row r="783" spans="2:2" x14ac:dyDescent="0.3">
      <c r="B783"/>
    </row>
    <row r="784" spans="2:2" x14ac:dyDescent="0.3">
      <c r="B784"/>
    </row>
    <row r="785" spans="2:2" x14ac:dyDescent="0.3">
      <c r="B785"/>
    </row>
    <row r="786" spans="2:2" x14ac:dyDescent="0.3">
      <c r="B786"/>
    </row>
    <row r="787" spans="2:2" x14ac:dyDescent="0.3">
      <c r="B787"/>
    </row>
    <row r="788" spans="2:2" x14ac:dyDescent="0.3">
      <c r="B788"/>
    </row>
    <row r="789" spans="2:2" x14ac:dyDescent="0.3">
      <c r="B789"/>
    </row>
    <row r="790" spans="2:2" x14ac:dyDescent="0.3">
      <c r="B790"/>
    </row>
    <row r="791" spans="2:2" x14ac:dyDescent="0.3">
      <c r="B791"/>
    </row>
    <row r="792" spans="2:2" x14ac:dyDescent="0.3">
      <c r="B792"/>
    </row>
    <row r="793" spans="2:2" x14ac:dyDescent="0.3">
      <c r="B793"/>
    </row>
    <row r="794" spans="2:2" x14ac:dyDescent="0.3">
      <c r="B794"/>
    </row>
    <row r="795" spans="2:2" x14ac:dyDescent="0.3">
      <c r="B795"/>
    </row>
    <row r="796" spans="2:2" x14ac:dyDescent="0.3">
      <c r="B796"/>
    </row>
    <row r="797" spans="2:2" x14ac:dyDescent="0.3">
      <c r="B797"/>
    </row>
    <row r="798" spans="2:2" x14ac:dyDescent="0.3">
      <c r="B798"/>
    </row>
    <row r="799" spans="2:2" x14ac:dyDescent="0.3">
      <c r="B799"/>
    </row>
    <row r="800" spans="2:2" x14ac:dyDescent="0.3">
      <c r="B800"/>
    </row>
    <row r="801" spans="2:2" x14ac:dyDescent="0.3">
      <c r="B801"/>
    </row>
    <row r="802" spans="2:2" x14ac:dyDescent="0.3">
      <c r="B802"/>
    </row>
    <row r="803" spans="2:2" x14ac:dyDescent="0.3">
      <c r="B803"/>
    </row>
    <row r="804" spans="2:2" x14ac:dyDescent="0.3">
      <c r="B804"/>
    </row>
    <row r="805" spans="2:2" x14ac:dyDescent="0.3">
      <c r="B805"/>
    </row>
    <row r="806" spans="2:2" x14ac:dyDescent="0.3">
      <c r="B806"/>
    </row>
    <row r="807" spans="2:2" x14ac:dyDescent="0.3">
      <c r="B807"/>
    </row>
    <row r="808" spans="2:2" x14ac:dyDescent="0.3">
      <c r="B808"/>
    </row>
    <row r="809" spans="2:2" x14ac:dyDescent="0.3">
      <c r="B809"/>
    </row>
    <row r="810" spans="2:2" x14ac:dyDescent="0.3">
      <c r="B810"/>
    </row>
    <row r="811" spans="2:2" x14ac:dyDescent="0.3">
      <c r="B811"/>
    </row>
    <row r="812" spans="2:2" x14ac:dyDescent="0.3">
      <c r="B812"/>
    </row>
    <row r="813" spans="2:2" x14ac:dyDescent="0.3">
      <c r="B813"/>
    </row>
    <row r="814" spans="2:2" x14ac:dyDescent="0.3">
      <c r="B814"/>
    </row>
    <row r="815" spans="2:2" x14ac:dyDescent="0.3">
      <c r="B815"/>
    </row>
    <row r="816" spans="2:2" x14ac:dyDescent="0.3">
      <c r="B816"/>
    </row>
    <row r="817" spans="2:2" x14ac:dyDescent="0.3">
      <c r="B817"/>
    </row>
    <row r="818" spans="2:2" x14ac:dyDescent="0.3">
      <c r="B818"/>
    </row>
    <row r="819" spans="2:2" x14ac:dyDescent="0.3">
      <c r="B819"/>
    </row>
    <row r="820" spans="2:2" x14ac:dyDescent="0.3">
      <c r="B820"/>
    </row>
    <row r="821" spans="2:2" x14ac:dyDescent="0.3">
      <c r="B821"/>
    </row>
    <row r="822" spans="2:2" x14ac:dyDescent="0.3">
      <c r="B822"/>
    </row>
    <row r="823" spans="2:2" x14ac:dyDescent="0.3">
      <c r="B823"/>
    </row>
    <row r="824" spans="2:2" x14ac:dyDescent="0.3">
      <c r="B824"/>
    </row>
    <row r="825" spans="2:2" x14ac:dyDescent="0.3">
      <c r="B825"/>
    </row>
    <row r="826" spans="2:2" x14ac:dyDescent="0.3">
      <c r="B826"/>
    </row>
    <row r="827" spans="2:2" x14ac:dyDescent="0.3">
      <c r="B827"/>
    </row>
    <row r="828" spans="2:2" x14ac:dyDescent="0.3">
      <c r="B828"/>
    </row>
    <row r="829" spans="2:2" x14ac:dyDescent="0.3">
      <c r="B829"/>
    </row>
    <row r="830" spans="2:2" x14ac:dyDescent="0.3">
      <c r="B830"/>
    </row>
    <row r="831" spans="2:2" x14ac:dyDescent="0.3">
      <c r="B831"/>
    </row>
    <row r="832" spans="2:2" x14ac:dyDescent="0.3">
      <c r="B832"/>
    </row>
    <row r="833" spans="2:2" x14ac:dyDescent="0.3">
      <c r="B833"/>
    </row>
    <row r="834" spans="2:2" x14ac:dyDescent="0.3">
      <c r="B834"/>
    </row>
    <row r="835" spans="2:2" x14ac:dyDescent="0.3">
      <c r="B835"/>
    </row>
    <row r="836" spans="2:2" x14ac:dyDescent="0.3">
      <c r="B836"/>
    </row>
    <row r="837" spans="2:2" x14ac:dyDescent="0.3">
      <c r="B837"/>
    </row>
    <row r="838" spans="2:2" x14ac:dyDescent="0.3">
      <c r="B838"/>
    </row>
    <row r="839" spans="2:2" x14ac:dyDescent="0.3">
      <c r="B839"/>
    </row>
    <row r="840" spans="2:2" x14ac:dyDescent="0.3">
      <c r="B840"/>
    </row>
    <row r="841" spans="2:2" x14ac:dyDescent="0.3">
      <c r="B841"/>
    </row>
    <row r="842" spans="2:2" x14ac:dyDescent="0.3">
      <c r="B842"/>
    </row>
    <row r="843" spans="2:2" x14ac:dyDescent="0.3">
      <c r="B843"/>
    </row>
    <row r="844" spans="2:2" x14ac:dyDescent="0.3">
      <c r="B844"/>
    </row>
    <row r="845" spans="2:2" x14ac:dyDescent="0.3">
      <c r="B845"/>
    </row>
    <row r="846" spans="2:2" x14ac:dyDescent="0.3">
      <c r="B846"/>
    </row>
    <row r="847" spans="2:2" x14ac:dyDescent="0.3">
      <c r="B847"/>
    </row>
    <row r="848" spans="2:2" x14ac:dyDescent="0.3">
      <c r="B848"/>
    </row>
    <row r="849" spans="2:2" x14ac:dyDescent="0.3">
      <c r="B849"/>
    </row>
    <row r="850" spans="2:2" x14ac:dyDescent="0.3">
      <c r="B850"/>
    </row>
    <row r="851" spans="2:2" x14ac:dyDescent="0.3">
      <c r="B851"/>
    </row>
    <row r="852" spans="2:2" x14ac:dyDescent="0.3">
      <c r="B852"/>
    </row>
    <row r="853" spans="2:2" x14ac:dyDescent="0.3">
      <c r="B853"/>
    </row>
    <row r="854" spans="2:2" x14ac:dyDescent="0.3">
      <c r="B854"/>
    </row>
    <row r="855" spans="2:2" x14ac:dyDescent="0.3">
      <c r="B855"/>
    </row>
    <row r="856" spans="2:2" x14ac:dyDescent="0.3">
      <c r="B856"/>
    </row>
    <row r="857" spans="2:2" x14ac:dyDescent="0.3">
      <c r="B857"/>
    </row>
    <row r="858" spans="2:2" x14ac:dyDescent="0.3">
      <c r="B858"/>
    </row>
    <row r="859" spans="2:2" x14ac:dyDescent="0.3">
      <c r="B859"/>
    </row>
    <row r="860" spans="2:2" x14ac:dyDescent="0.3">
      <c r="B860"/>
    </row>
    <row r="861" spans="2:2" x14ac:dyDescent="0.3">
      <c r="B861"/>
    </row>
    <row r="862" spans="2:2" x14ac:dyDescent="0.3">
      <c r="B862"/>
    </row>
    <row r="863" spans="2:2" x14ac:dyDescent="0.3">
      <c r="B863"/>
    </row>
    <row r="864" spans="2:2" x14ac:dyDescent="0.3">
      <c r="B864"/>
    </row>
    <row r="865" spans="2:2" x14ac:dyDescent="0.3">
      <c r="B865"/>
    </row>
    <row r="866" spans="2:2" x14ac:dyDescent="0.3">
      <c r="B866"/>
    </row>
    <row r="867" spans="2:2" x14ac:dyDescent="0.3">
      <c r="B867"/>
    </row>
    <row r="868" spans="2:2" x14ac:dyDescent="0.3">
      <c r="B868"/>
    </row>
    <row r="869" spans="2:2" x14ac:dyDescent="0.3">
      <c r="B869"/>
    </row>
    <row r="870" spans="2:2" x14ac:dyDescent="0.3">
      <c r="B870"/>
    </row>
    <row r="871" spans="2:2" x14ac:dyDescent="0.3">
      <c r="B871"/>
    </row>
    <row r="872" spans="2:2" x14ac:dyDescent="0.3">
      <c r="B872"/>
    </row>
    <row r="873" spans="2:2" x14ac:dyDescent="0.3">
      <c r="B873"/>
    </row>
    <row r="874" spans="2:2" x14ac:dyDescent="0.3">
      <c r="B874"/>
    </row>
    <row r="875" spans="2:2" x14ac:dyDescent="0.3">
      <c r="B875"/>
    </row>
    <row r="876" spans="2:2" x14ac:dyDescent="0.3">
      <c r="B876"/>
    </row>
    <row r="877" spans="2:2" x14ac:dyDescent="0.3">
      <c r="B877"/>
    </row>
    <row r="878" spans="2:2" x14ac:dyDescent="0.3">
      <c r="B878"/>
    </row>
    <row r="879" spans="2:2" x14ac:dyDescent="0.3">
      <c r="B879"/>
    </row>
    <row r="880" spans="2:2" x14ac:dyDescent="0.3">
      <c r="B880"/>
    </row>
    <row r="881" spans="2:2" x14ac:dyDescent="0.3">
      <c r="B881"/>
    </row>
    <row r="882" spans="2:2" x14ac:dyDescent="0.3">
      <c r="B882"/>
    </row>
    <row r="883" spans="2:2" x14ac:dyDescent="0.3">
      <c r="B883"/>
    </row>
    <row r="884" spans="2:2" x14ac:dyDescent="0.3">
      <c r="B884"/>
    </row>
    <row r="885" spans="2:2" x14ac:dyDescent="0.3">
      <c r="B885"/>
    </row>
    <row r="886" spans="2:2" x14ac:dyDescent="0.3">
      <c r="B886"/>
    </row>
    <row r="887" spans="2:2" x14ac:dyDescent="0.3">
      <c r="B887"/>
    </row>
    <row r="888" spans="2:2" x14ac:dyDescent="0.3">
      <c r="B888"/>
    </row>
    <row r="889" spans="2:2" x14ac:dyDescent="0.3">
      <c r="B889"/>
    </row>
    <row r="890" spans="2:2" x14ac:dyDescent="0.3">
      <c r="B890"/>
    </row>
    <row r="891" spans="2:2" x14ac:dyDescent="0.3">
      <c r="B891"/>
    </row>
    <row r="892" spans="2:2" x14ac:dyDescent="0.3">
      <c r="B892"/>
    </row>
    <row r="893" spans="2:2" x14ac:dyDescent="0.3">
      <c r="B893"/>
    </row>
    <row r="894" spans="2:2" x14ac:dyDescent="0.3">
      <c r="B894"/>
    </row>
    <row r="895" spans="2:2" x14ac:dyDescent="0.3">
      <c r="B895"/>
    </row>
    <row r="896" spans="2:2" x14ac:dyDescent="0.3">
      <c r="B896"/>
    </row>
    <row r="897" spans="2:2" x14ac:dyDescent="0.3">
      <c r="B897"/>
    </row>
    <row r="898" spans="2:2" x14ac:dyDescent="0.3">
      <c r="B898"/>
    </row>
    <row r="899" spans="2:2" x14ac:dyDescent="0.3">
      <c r="B899"/>
    </row>
    <row r="900" spans="2:2" x14ac:dyDescent="0.3">
      <c r="B900"/>
    </row>
    <row r="901" spans="2:2" x14ac:dyDescent="0.3">
      <c r="B901"/>
    </row>
    <row r="902" spans="2:2" x14ac:dyDescent="0.3">
      <c r="B902"/>
    </row>
    <row r="903" spans="2:2" x14ac:dyDescent="0.3">
      <c r="B903"/>
    </row>
    <row r="904" spans="2:2" x14ac:dyDescent="0.3">
      <c r="B904"/>
    </row>
    <row r="905" spans="2:2" x14ac:dyDescent="0.3">
      <c r="B905"/>
    </row>
    <row r="906" spans="2:2" x14ac:dyDescent="0.3">
      <c r="B906"/>
    </row>
    <row r="907" spans="2:2" x14ac:dyDescent="0.3">
      <c r="B907"/>
    </row>
    <row r="908" spans="2:2" x14ac:dyDescent="0.3">
      <c r="B908"/>
    </row>
    <row r="909" spans="2:2" x14ac:dyDescent="0.3">
      <c r="B909"/>
    </row>
    <row r="910" spans="2:2" x14ac:dyDescent="0.3">
      <c r="B910"/>
    </row>
    <row r="911" spans="2:2" x14ac:dyDescent="0.3">
      <c r="B911"/>
    </row>
    <row r="912" spans="2:2" x14ac:dyDescent="0.3">
      <c r="B912"/>
    </row>
    <row r="913" spans="2:2" x14ac:dyDescent="0.3">
      <c r="B913"/>
    </row>
    <row r="914" spans="2:2" x14ac:dyDescent="0.3">
      <c r="B914"/>
    </row>
    <row r="915" spans="2:2" x14ac:dyDescent="0.3">
      <c r="B915"/>
    </row>
    <row r="916" spans="2:2" x14ac:dyDescent="0.3">
      <c r="B916"/>
    </row>
    <row r="917" spans="2:2" x14ac:dyDescent="0.3">
      <c r="B917"/>
    </row>
    <row r="918" spans="2:2" x14ac:dyDescent="0.3">
      <c r="B918"/>
    </row>
    <row r="919" spans="2:2" x14ac:dyDescent="0.3">
      <c r="B919"/>
    </row>
    <row r="920" spans="2:2" x14ac:dyDescent="0.3">
      <c r="B920"/>
    </row>
    <row r="921" spans="2:2" x14ac:dyDescent="0.3">
      <c r="B921"/>
    </row>
    <row r="922" spans="2:2" x14ac:dyDescent="0.3">
      <c r="B922"/>
    </row>
    <row r="923" spans="2:2" x14ac:dyDescent="0.3">
      <c r="B923"/>
    </row>
    <row r="924" spans="2:2" x14ac:dyDescent="0.3">
      <c r="B924"/>
    </row>
    <row r="925" spans="2:2" x14ac:dyDescent="0.3">
      <c r="B925"/>
    </row>
    <row r="926" spans="2:2" x14ac:dyDescent="0.3">
      <c r="B926"/>
    </row>
    <row r="927" spans="2:2" x14ac:dyDescent="0.3">
      <c r="B927"/>
    </row>
    <row r="928" spans="2:2" x14ac:dyDescent="0.3">
      <c r="B928"/>
    </row>
    <row r="929" spans="2:2" x14ac:dyDescent="0.3">
      <c r="B929"/>
    </row>
    <row r="930" spans="2:2" x14ac:dyDescent="0.3">
      <c r="B930"/>
    </row>
    <row r="931" spans="2:2" x14ac:dyDescent="0.3">
      <c r="B931"/>
    </row>
    <row r="932" spans="2:2" x14ac:dyDescent="0.3">
      <c r="B932"/>
    </row>
    <row r="933" spans="2:2" x14ac:dyDescent="0.3">
      <c r="B933"/>
    </row>
    <row r="934" spans="2:2" x14ac:dyDescent="0.3">
      <c r="B934"/>
    </row>
    <row r="935" spans="2:2" x14ac:dyDescent="0.3">
      <c r="B935"/>
    </row>
    <row r="936" spans="2:2" x14ac:dyDescent="0.3">
      <c r="B936"/>
    </row>
    <row r="937" spans="2:2" x14ac:dyDescent="0.3">
      <c r="B937"/>
    </row>
    <row r="938" spans="2:2" x14ac:dyDescent="0.3">
      <c r="B938"/>
    </row>
    <row r="939" spans="2:2" x14ac:dyDescent="0.3">
      <c r="B939"/>
    </row>
    <row r="940" spans="2:2" x14ac:dyDescent="0.3">
      <c r="B940"/>
    </row>
    <row r="941" spans="2:2" x14ac:dyDescent="0.3">
      <c r="B941"/>
    </row>
    <row r="942" spans="2:2" x14ac:dyDescent="0.3">
      <c r="B942"/>
    </row>
    <row r="943" spans="2:2" x14ac:dyDescent="0.3">
      <c r="B943"/>
    </row>
    <row r="944" spans="2:2" x14ac:dyDescent="0.3">
      <c r="B944"/>
    </row>
    <row r="945" spans="2:2" x14ac:dyDescent="0.3">
      <c r="B945"/>
    </row>
    <row r="946" spans="2:2" x14ac:dyDescent="0.3">
      <c r="B946"/>
    </row>
    <row r="947" spans="2:2" x14ac:dyDescent="0.3">
      <c r="B947"/>
    </row>
    <row r="948" spans="2:2" x14ac:dyDescent="0.3">
      <c r="B948"/>
    </row>
    <row r="949" spans="2:2" x14ac:dyDescent="0.3">
      <c r="B949"/>
    </row>
    <row r="950" spans="2:2" x14ac:dyDescent="0.3">
      <c r="B950"/>
    </row>
    <row r="951" spans="2:2" x14ac:dyDescent="0.3">
      <c r="B951"/>
    </row>
    <row r="952" spans="2:2" x14ac:dyDescent="0.3">
      <c r="B952"/>
    </row>
    <row r="953" spans="2:2" x14ac:dyDescent="0.3">
      <c r="B953"/>
    </row>
    <row r="954" spans="2:2" x14ac:dyDescent="0.3">
      <c r="B954"/>
    </row>
    <row r="955" spans="2:2" x14ac:dyDescent="0.3">
      <c r="B955"/>
    </row>
    <row r="956" spans="2:2" x14ac:dyDescent="0.3">
      <c r="B956"/>
    </row>
    <row r="957" spans="2:2" x14ac:dyDescent="0.3">
      <c r="B957"/>
    </row>
    <row r="958" spans="2:2" x14ac:dyDescent="0.3">
      <c r="B958"/>
    </row>
    <row r="959" spans="2:2" x14ac:dyDescent="0.3">
      <c r="B959"/>
    </row>
    <row r="960" spans="2:2" x14ac:dyDescent="0.3">
      <c r="B960"/>
    </row>
    <row r="961" spans="2:2" x14ac:dyDescent="0.3">
      <c r="B961"/>
    </row>
    <row r="962" spans="2:2" x14ac:dyDescent="0.3">
      <c r="B962"/>
    </row>
    <row r="963" spans="2:2" x14ac:dyDescent="0.3">
      <c r="B963"/>
    </row>
    <row r="964" spans="2:2" x14ac:dyDescent="0.3">
      <c r="B964"/>
    </row>
    <row r="965" spans="2:2" x14ac:dyDescent="0.3">
      <c r="B965"/>
    </row>
    <row r="966" spans="2:2" x14ac:dyDescent="0.3">
      <c r="B966"/>
    </row>
    <row r="967" spans="2:2" x14ac:dyDescent="0.3">
      <c r="B967"/>
    </row>
    <row r="968" spans="2:2" x14ac:dyDescent="0.3">
      <c r="B968"/>
    </row>
    <row r="969" spans="2:2" x14ac:dyDescent="0.3">
      <c r="B969"/>
    </row>
    <row r="970" spans="2:2" x14ac:dyDescent="0.3">
      <c r="B970"/>
    </row>
    <row r="971" spans="2:2" x14ac:dyDescent="0.3">
      <c r="B971"/>
    </row>
    <row r="972" spans="2:2" x14ac:dyDescent="0.3">
      <c r="B972"/>
    </row>
    <row r="973" spans="2:2" x14ac:dyDescent="0.3">
      <c r="B973"/>
    </row>
    <row r="974" spans="2:2" x14ac:dyDescent="0.3">
      <c r="B974"/>
    </row>
    <row r="975" spans="2:2" x14ac:dyDescent="0.3">
      <c r="B975"/>
    </row>
    <row r="976" spans="2:2" x14ac:dyDescent="0.3">
      <c r="B976"/>
    </row>
    <row r="977" spans="2:2" x14ac:dyDescent="0.3">
      <c r="B977"/>
    </row>
    <row r="978" spans="2:2" x14ac:dyDescent="0.3">
      <c r="B978"/>
    </row>
    <row r="979" spans="2:2" x14ac:dyDescent="0.3">
      <c r="B979"/>
    </row>
    <row r="980" spans="2:2" x14ac:dyDescent="0.3">
      <c r="B980"/>
    </row>
    <row r="981" spans="2:2" x14ac:dyDescent="0.3">
      <c r="B981"/>
    </row>
    <row r="982" spans="2:2" x14ac:dyDescent="0.3">
      <c r="B982"/>
    </row>
    <row r="983" spans="2:2" x14ac:dyDescent="0.3">
      <c r="B983"/>
    </row>
    <row r="984" spans="2:2" x14ac:dyDescent="0.3">
      <c r="B984"/>
    </row>
    <row r="985" spans="2:2" x14ac:dyDescent="0.3">
      <c r="B985"/>
    </row>
    <row r="986" spans="2:2" x14ac:dyDescent="0.3">
      <c r="B986"/>
    </row>
    <row r="987" spans="2:2" x14ac:dyDescent="0.3">
      <c r="B987"/>
    </row>
    <row r="988" spans="2:2" x14ac:dyDescent="0.3">
      <c r="B988"/>
    </row>
    <row r="989" spans="2:2" x14ac:dyDescent="0.3">
      <c r="B989"/>
    </row>
    <row r="990" spans="2:2" x14ac:dyDescent="0.3">
      <c r="B990"/>
    </row>
    <row r="991" spans="2:2" x14ac:dyDescent="0.3">
      <c r="B991"/>
    </row>
    <row r="992" spans="2:2" x14ac:dyDescent="0.3">
      <c r="B992"/>
    </row>
    <row r="993" spans="2:2" x14ac:dyDescent="0.3">
      <c r="B993"/>
    </row>
    <row r="994" spans="2:2" x14ac:dyDescent="0.3">
      <c r="B994"/>
    </row>
    <row r="995" spans="2:2" x14ac:dyDescent="0.3">
      <c r="B995"/>
    </row>
    <row r="996" spans="2:2" x14ac:dyDescent="0.3">
      <c r="B996"/>
    </row>
    <row r="997" spans="2:2" x14ac:dyDescent="0.3">
      <c r="B997"/>
    </row>
    <row r="998" spans="2:2" x14ac:dyDescent="0.3">
      <c r="B998"/>
    </row>
    <row r="999" spans="2:2" x14ac:dyDescent="0.3">
      <c r="B999"/>
    </row>
    <row r="1000" spans="2:2" x14ac:dyDescent="0.3">
      <c r="B1000"/>
    </row>
    <row r="1001" spans="2:2" x14ac:dyDescent="0.3">
      <c r="B1001"/>
    </row>
    <row r="1002" spans="2:2" x14ac:dyDescent="0.3">
      <c r="B1002"/>
    </row>
    <row r="1003" spans="2:2" x14ac:dyDescent="0.3">
      <c r="B1003"/>
    </row>
    <row r="1004" spans="2:2" x14ac:dyDescent="0.3">
      <c r="B1004"/>
    </row>
    <row r="1005" spans="2:2" x14ac:dyDescent="0.3">
      <c r="B1005"/>
    </row>
    <row r="1006" spans="2:2" x14ac:dyDescent="0.3">
      <c r="B1006"/>
    </row>
    <row r="1007" spans="2:2" x14ac:dyDescent="0.3">
      <c r="B1007"/>
    </row>
    <row r="1008" spans="2:2" x14ac:dyDescent="0.3">
      <c r="B1008"/>
    </row>
    <row r="1009" spans="2:2" x14ac:dyDescent="0.3">
      <c r="B1009"/>
    </row>
    <row r="1010" spans="2:2" x14ac:dyDescent="0.3">
      <c r="B1010"/>
    </row>
    <row r="1011" spans="2:2" x14ac:dyDescent="0.3">
      <c r="B1011"/>
    </row>
    <row r="1012" spans="2:2" x14ac:dyDescent="0.3">
      <c r="B1012"/>
    </row>
    <row r="1013" spans="2:2" x14ac:dyDescent="0.3">
      <c r="B1013"/>
    </row>
    <row r="1014" spans="2:2" x14ac:dyDescent="0.3">
      <c r="B1014"/>
    </row>
    <row r="1015" spans="2:2" x14ac:dyDescent="0.3">
      <c r="B1015"/>
    </row>
    <row r="1016" spans="2:2" x14ac:dyDescent="0.3">
      <c r="B1016"/>
    </row>
    <row r="1017" spans="2:2" x14ac:dyDescent="0.3">
      <c r="B1017"/>
    </row>
    <row r="1018" spans="2:2" x14ac:dyDescent="0.3">
      <c r="B1018"/>
    </row>
    <row r="1019" spans="2:2" x14ac:dyDescent="0.3">
      <c r="B1019"/>
    </row>
    <row r="1020" spans="2:2" x14ac:dyDescent="0.3">
      <c r="B1020"/>
    </row>
    <row r="1021" spans="2:2" x14ac:dyDescent="0.3">
      <c r="B1021"/>
    </row>
    <row r="1022" spans="2:2" x14ac:dyDescent="0.3">
      <c r="B1022"/>
    </row>
    <row r="1023" spans="2:2" x14ac:dyDescent="0.3">
      <c r="B1023"/>
    </row>
    <row r="1024" spans="2:2" x14ac:dyDescent="0.3">
      <c r="B1024"/>
    </row>
    <row r="1025" spans="2:2" x14ac:dyDescent="0.3">
      <c r="B1025"/>
    </row>
    <row r="1026" spans="2:2" x14ac:dyDescent="0.3">
      <c r="B1026"/>
    </row>
    <row r="1027" spans="2:2" x14ac:dyDescent="0.3">
      <c r="B1027"/>
    </row>
    <row r="1028" spans="2:2" x14ac:dyDescent="0.3">
      <c r="B1028"/>
    </row>
    <row r="1029" spans="2:2" x14ac:dyDescent="0.3">
      <c r="B1029"/>
    </row>
    <row r="1030" spans="2:2" x14ac:dyDescent="0.3">
      <c r="B1030"/>
    </row>
    <row r="1031" spans="2:2" x14ac:dyDescent="0.3">
      <c r="B1031"/>
    </row>
    <row r="1032" spans="2:2" x14ac:dyDescent="0.3">
      <c r="B1032"/>
    </row>
    <row r="1033" spans="2:2" x14ac:dyDescent="0.3">
      <c r="B1033"/>
    </row>
    <row r="1034" spans="2:2" x14ac:dyDescent="0.3">
      <c r="B1034"/>
    </row>
    <row r="1035" spans="2:2" x14ac:dyDescent="0.3">
      <c r="B1035"/>
    </row>
    <row r="1036" spans="2:2" x14ac:dyDescent="0.3">
      <c r="B1036"/>
    </row>
    <row r="1037" spans="2:2" x14ac:dyDescent="0.3">
      <c r="B1037"/>
    </row>
    <row r="1038" spans="2:2" x14ac:dyDescent="0.3">
      <c r="B1038"/>
    </row>
    <row r="1039" spans="2:2" x14ac:dyDescent="0.3">
      <c r="B1039"/>
    </row>
    <row r="1040" spans="2:2" x14ac:dyDescent="0.3">
      <c r="B1040"/>
    </row>
    <row r="1041" spans="2:2" x14ac:dyDescent="0.3">
      <c r="B1041"/>
    </row>
    <row r="1042" spans="2:2" x14ac:dyDescent="0.3">
      <c r="B1042"/>
    </row>
    <row r="1043" spans="2:2" x14ac:dyDescent="0.3">
      <c r="B1043"/>
    </row>
    <row r="1044" spans="2:2" x14ac:dyDescent="0.3">
      <c r="B1044"/>
    </row>
    <row r="1045" spans="2:2" x14ac:dyDescent="0.3">
      <c r="B1045"/>
    </row>
    <row r="1046" spans="2:2" x14ac:dyDescent="0.3">
      <c r="B1046"/>
    </row>
    <row r="1047" spans="2:2" x14ac:dyDescent="0.3">
      <c r="B1047"/>
    </row>
    <row r="1048" spans="2:2" x14ac:dyDescent="0.3">
      <c r="B1048"/>
    </row>
    <row r="1049" spans="2:2" x14ac:dyDescent="0.3">
      <c r="B1049"/>
    </row>
    <row r="1050" spans="2:2" x14ac:dyDescent="0.3">
      <c r="B1050"/>
    </row>
    <row r="1051" spans="2:2" x14ac:dyDescent="0.3">
      <c r="B1051"/>
    </row>
    <row r="1052" spans="2:2" x14ac:dyDescent="0.3">
      <c r="B1052"/>
    </row>
    <row r="1053" spans="2:2" x14ac:dyDescent="0.3">
      <c r="B1053"/>
    </row>
    <row r="1054" spans="2:2" x14ac:dyDescent="0.3">
      <c r="B1054"/>
    </row>
    <row r="1055" spans="2:2" x14ac:dyDescent="0.3">
      <c r="B1055"/>
    </row>
    <row r="1056" spans="2:2" x14ac:dyDescent="0.3">
      <c r="B1056"/>
    </row>
    <row r="1057" spans="2:2" x14ac:dyDescent="0.3">
      <c r="B1057"/>
    </row>
    <row r="1058" spans="2:2" x14ac:dyDescent="0.3">
      <c r="B1058"/>
    </row>
    <row r="1059" spans="2:2" x14ac:dyDescent="0.3">
      <c r="B1059"/>
    </row>
    <row r="1060" spans="2:2" x14ac:dyDescent="0.3">
      <c r="B1060"/>
    </row>
    <row r="1061" spans="2:2" x14ac:dyDescent="0.3">
      <c r="B1061"/>
    </row>
    <row r="1062" spans="2:2" x14ac:dyDescent="0.3">
      <c r="B1062"/>
    </row>
    <row r="1063" spans="2:2" x14ac:dyDescent="0.3">
      <c r="B1063"/>
    </row>
    <row r="1064" spans="2:2" x14ac:dyDescent="0.3">
      <c r="B1064"/>
    </row>
    <row r="1065" spans="2:2" x14ac:dyDescent="0.3">
      <c r="B1065"/>
    </row>
    <row r="1066" spans="2:2" x14ac:dyDescent="0.3">
      <c r="B1066"/>
    </row>
    <row r="1067" spans="2:2" x14ac:dyDescent="0.3">
      <c r="B1067"/>
    </row>
    <row r="1068" spans="2:2" x14ac:dyDescent="0.3">
      <c r="B1068"/>
    </row>
    <row r="1069" spans="2:2" x14ac:dyDescent="0.3">
      <c r="B1069"/>
    </row>
    <row r="1070" spans="2:2" x14ac:dyDescent="0.3">
      <c r="B1070"/>
    </row>
    <row r="1071" spans="2:2" x14ac:dyDescent="0.3">
      <c r="B1071"/>
    </row>
    <row r="1072" spans="2:2" x14ac:dyDescent="0.3">
      <c r="B1072"/>
    </row>
    <row r="1073" spans="2:2" x14ac:dyDescent="0.3">
      <c r="B1073"/>
    </row>
    <row r="1074" spans="2:2" x14ac:dyDescent="0.3">
      <c r="B1074"/>
    </row>
    <row r="1075" spans="2:2" x14ac:dyDescent="0.3">
      <c r="B1075"/>
    </row>
    <row r="1076" spans="2:2" x14ac:dyDescent="0.3">
      <c r="B1076"/>
    </row>
    <row r="1077" spans="2:2" x14ac:dyDescent="0.3">
      <c r="B1077"/>
    </row>
    <row r="1078" spans="2:2" x14ac:dyDescent="0.3">
      <c r="B1078"/>
    </row>
    <row r="1079" spans="2:2" x14ac:dyDescent="0.3">
      <c r="B1079"/>
    </row>
    <row r="1080" spans="2:2" x14ac:dyDescent="0.3">
      <c r="B1080"/>
    </row>
    <row r="1081" spans="2:2" x14ac:dyDescent="0.3">
      <c r="B1081"/>
    </row>
    <row r="1082" spans="2:2" x14ac:dyDescent="0.3">
      <c r="B1082"/>
    </row>
    <row r="1083" spans="2:2" x14ac:dyDescent="0.3">
      <c r="B1083"/>
    </row>
    <row r="1084" spans="2:2" x14ac:dyDescent="0.3">
      <c r="B1084"/>
    </row>
    <row r="1085" spans="2:2" x14ac:dyDescent="0.3">
      <c r="B1085"/>
    </row>
    <row r="1086" spans="2:2" x14ac:dyDescent="0.3">
      <c r="B1086"/>
    </row>
    <row r="1087" spans="2:2" x14ac:dyDescent="0.3">
      <c r="B1087"/>
    </row>
    <row r="1088" spans="2:2" x14ac:dyDescent="0.3">
      <c r="B1088"/>
    </row>
    <row r="1089" spans="2:2" x14ac:dyDescent="0.3">
      <c r="B1089"/>
    </row>
    <row r="1090" spans="2:2" x14ac:dyDescent="0.3">
      <c r="B1090"/>
    </row>
    <row r="1091" spans="2:2" x14ac:dyDescent="0.3">
      <c r="B1091"/>
    </row>
    <row r="1092" spans="2:2" x14ac:dyDescent="0.3">
      <c r="B1092"/>
    </row>
    <row r="1093" spans="2:2" x14ac:dyDescent="0.3">
      <c r="B1093"/>
    </row>
    <row r="1094" spans="2:2" x14ac:dyDescent="0.3">
      <c r="B1094"/>
    </row>
    <row r="1095" spans="2:2" x14ac:dyDescent="0.3">
      <c r="B1095"/>
    </row>
    <row r="1096" spans="2:2" x14ac:dyDescent="0.3">
      <c r="B1096"/>
    </row>
    <row r="1097" spans="2:2" x14ac:dyDescent="0.3">
      <c r="B1097"/>
    </row>
    <row r="1098" spans="2:2" x14ac:dyDescent="0.3">
      <c r="B1098"/>
    </row>
    <row r="1099" spans="2:2" x14ac:dyDescent="0.3">
      <c r="B1099"/>
    </row>
    <row r="1100" spans="2:2" x14ac:dyDescent="0.3">
      <c r="B1100"/>
    </row>
    <row r="1101" spans="2:2" x14ac:dyDescent="0.3">
      <c r="B1101"/>
    </row>
    <row r="1102" spans="2:2" x14ac:dyDescent="0.3">
      <c r="B1102"/>
    </row>
    <row r="1103" spans="2:2" x14ac:dyDescent="0.3">
      <c r="B1103"/>
    </row>
    <row r="1104" spans="2:2" x14ac:dyDescent="0.3">
      <c r="B1104"/>
    </row>
    <row r="1105" spans="2:2" x14ac:dyDescent="0.3">
      <c r="B1105"/>
    </row>
    <row r="1106" spans="2:2" x14ac:dyDescent="0.3">
      <c r="B1106"/>
    </row>
    <row r="1107" spans="2:2" x14ac:dyDescent="0.3">
      <c r="B1107"/>
    </row>
    <row r="1108" spans="2:2" x14ac:dyDescent="0.3">
      <c r="B1108"/>
    </row>
    <row r="1109" spans="2:2" x14ac:dyDescent="0.3">
      <c r="B1109"/>
    </row>
    <row r="1110" spans="2:2" x14ac:dyDescent="0.3">
      <c r="B1110"/>
    </row>
    <row r="1111" spans="2:2" x14ac:dyDescent="0.3">
      <c r="B1111"/>
    </row>
    <row r="1112" spans="2:2" x14ac:dyDescent="0.3">
      <c r="B1112"/>
    </row>
    <row r="1113" spans="2:2" x14ac:dyDescent="0.3">
      <c r="B1113"/>
    </row>
    <row r="1114" spans="2:2" x14ac:dyDescent="0.3">
      <c r="B1114"/>
    </row>
    <row r="1115" spans="2:2" x14ac:dyDescent="0.3">
      <c r="B1115"/>
    </row>
    <row r="1116" spans="2:2" x14ac:dyDescent="0.3">
      <c r="B1116"/>
    </row>
    <row r="1117" spans="2:2" x14ac:dyDescent="0.3">
      <c r="B1117"/>
    </row>
    <row r="1118" spans="2:2" x14ac:dyDescent="0.3">
      <c r="B1118"/>
    </row>
    <row r="1119" spans="2:2" x14ac:dyDescent="0.3">
      <c r="B1119"/>
    </row>
    <row r="1120" spans="2:2" x14ac:dyDescent="0.3">
      <c r="B1120"/>
    </row>
    <row r="1121" spans="2:2" x14ac:dyDescent="0.3">
      <c r="B1121"/>
    </row>
    <row r="1122" spans="2:2" x14ac:dyDescent="0.3">
      <c r="B1122"/>
    </row>
    <row r="1123" spans="2:2" x14ac:dyDescent="0.3">
      <c r="B1123"/>
    </row>
    <row r="1124" spans="2:2" x14ac:dyDescent="0.3">
      <c r="B1124"/>
    </row>
    <row r="1125" spans="2:2" x14ac:dyDescent="0.3">
      <c r="B1125"/>
    </row>
    <row r="1126" spans="2:2" x14ac:dyDescent="0.3">
      <c r="B1126"/>
    </row>
    <row r="1127" spans="2:2" x14ac:dyDescent="0.3">
      <c r="B1127"/>
    </row>
    <row r="1128" spans="2:2" x14ac:dyDescent="0.3">
      <c r="B1128"/>
    </row>
    <row r="1129" spans="2:2" x14ac:dyDescent="0.3">
      <c r="B1129"/>
    </row>
    <row r="1130" spans="2:2" x14ac:dyDescent="0.3">
      <c r="B1130"/>
    </row>
    <row r="1131" spans="2:2" x14ac:dyDescent="0.3">
      <c r="B1131"/>
    </row>
    <row r="1132" spans="2:2" x14ac:dyDescent="0.3">
      <c r="B1132"/>
    </row>
    <row r="1133" spans="2:2" x14ac:dyDescent="0.3">
      <c r="B1133"/>
    </row>
    <row r="1134" spans="2:2" x14ac:dyDescent="0.3">
      <c r="B1134"/>
    </row>
    <row r="1135" spans="2:2" x14ac:dyDescent="0.3">
      <c r="B1135"/>
    </row>
    <row r="1136" spans="2:2" x14ac:dyDescent="0.3">
      <c r="B1136"/>
    </row>
    <row r="1137" spans="2:2" x14ac:dyDescent="0.3">
      <c r="B1137"/>
    </row>
    <row r="1138" spans="2:2" x14ac:dyDescent="0.3">
      <c r="B1138"/>
    </row>
    <row r="1139" spans="2:2" x14ac:dyDescent="0.3">
      <c r="B1139"/>
    </row>
    <row r="1140" spans="2:2" x14ac:dyDescent="0.3">
      <c r="B1140"/>
    </row>
    <row r="1141" spans="2:2" x14ac:dyDescent="0.3">
      <c r="B1141"/>
    </row>
    <row r="1142" spans="2:2" x14ac:dyDescent="0.3">
      <c r="B1142"/>
    </row>
    <row r="1143" spans="2:2" x14ac:dyDescent="0.3">
      <c r="B1143"/>
    </row>
    <row r="1144" spans="2:2" x14ac:dyDescent="0.3">
      <c r="B1144"/>
    </row>
    <row r="1145" spans="2:2" x14ac:dyDescent="0.3">
      <c r="B1145"/>
    </row>
    <row r="1146" spans="2:2" x14ac:dyDescent="0.3">
      <c r="B1146"/>
    </row>
    <row r="1147" spans="2:2" x14ac:dyDescent="0.3">
      <c r="B1147"/>
    </row>
    <row r="1148" spans="2:2" x14ac:dyDescent="0.3">
      <c r="B1148"/>
    </row>
    <row r="1149" spans="2:2" x14ac:dyDescent="0.3">
      <c r="B1149"/>
    </row>
    <row r="1150" spans="2:2" x14ac:dyDescent="0.3">
      <c r="B1150"/>
    </row>
    <row r="1151" spans="2:2" x14ac:dyDescent="0.3">
      <c r="B1151"/>
    </row>
    <row r="1152" spans="2:2" x14ac:dyDescent="0.3">
      <c r="B1152"/>
    </row>
    <row r="1153" spans="2:2" x14ac:dyDescent="0.3">
      <c r="B1153"/>
    </row>
    <row r="1154" spans="2:2" x14ac:dyDescent="0.3">
      <c r="B1154"/>
    </row>
    <row r="1155" spans="2:2" x14ac:dyDescent="0.3">
      <c r="B1155"/>
    </row>
    <row r="1156" spans="2:2" x14ac:dyDescent="0.3">
      <c r="B1156"/>
    </row>
    <row r="1157" spans="2:2" x14ac:dyDescent="0.3">
      <c r="B1157"/>
    </row>
    <row r="1158" spans="2:2" x14ac:dyDescent="0.3">
      <c r="B1158"/>
    </row>
    <row r="1159" spans="2:2" x14ac:dyDescent="0.3">
      <c r="B1159"/>
    </row>
    <row r="1160" spans="2:2" x14ac:dyDescent="0.3">
      <c r="B1160"/>
    </row>
    <row r="1161" spans="2:2" x14ac:dyDescent="0.3">
      <c r="B1161"/>
    </row>
    <row r="1162" spans="2:2" x14ac:dyDescent="0.3">
      <c r="B1162"/>
    </row>
    <row r="1163" spans="2:2" x14ac:dyDescent="0.3">
      <c r="B1163"/>
    </row>
    <row r="1164" spans="2:2" x14ac:dyDescent="0.3">
      <c r="B1164"/>
    </row>
    <row r="1165" spans="2:2" x14ac:dyDescent="0.3">
      <c r="B1165"/>
    </row>
    <row r="1166" spans="2:2" x14ac:dyDescent="0.3">
      <c r="B1166"/>
    </row>
    <row r="1167" spans="2:2" x14ac:dyDescent="0.3">
      <c r="B1167"/>
    </row>
    <row r="1168" spans="2:2" x14ac:dyDescent="0.3">
      <c r="B1168"/>
    </row>
    <row r="1169" spans="2:2" x14ac:dyDescent="0.3">
      <c r="B1169"/>
    </row>
    <row r="1170" spans="2:2" x14ac:dyDescent="0.3">
      <c r="B1170"/>
    </row>
    <row r="1171" spans="2:2" x14ac:dyDescent="0.3">
      <c r="B1171"/>
    </row>
    <row r="1172" spans="2:2" x14ac:dyDescent="0.3">
      <c r="B1172"/>
    </row>
    <row r="1173" spans="2:2" x14ac:dyDescent="0.3">
      <c r="B1173"/>
    </row>
    <row r="1174" spans="2:2" x14ac:dyDescent="0.3">
      <c r="B1174"/>
    </row>
    <row r="1175" spans="2:2" x14ac:dyDescent="0.3">
      <c r="B1175"/>
    </row>
    <row r="1176" spans="2:2" x14ac:dyDescent="0.3">
      <c r="B1176"/>
    </row>
    <row r="1177" spans="2:2" x14ac:dyDescent="0.3">
      <c r="B1177"/>
    </row>
    <row r="1178" spans="2:2" x14ac:dyDescent="0.3">
      <c r="B1178"/>
    </row>
    <row r="1179" spans="2:2" x14ac:dyDescent="0.3">
      <c r="B1179"/>
    </row>
    <row r="1180" spans="2:2" x14ac:dyDescent="0.3">
      <c r="B1180"/>
    </row>
    <row r="1181" spans="2:2" x14ac:dyDescent="0.3">
      <c r="B1181"/>
    </row>
    <row r="1182" spans="2:2" x14ac:dyDescent="0.3">
      <c r="B1182"/>
    </row>
    <row r="1183" spans="2:2" x14ac:dyDescent="0.3">
      <c r="B1183"/>
    </row>
    <row r="1184" spans="2:2" x14ac:dyDescent="0.3">
      <c r="B1184"/>
    </row>
    <row r="1185" spans="2:2" x14ac:dyDescent="0.3">
      <c r="B1185"/>
    </row>
    <row r="1186" spans="2:2" x14ac:dyDescent="0.3">
      <c r="B1186"/>
    </row>
    <row r="1187" spans="2:2" x14ac:dyDescent="0.3">
      <c r="B1187"/>
    </row>
    <row r="1188" spans="2:2" x14ac:dyDescent="0.3">
      <c r="B1188"/>
    </row>
    <row r="1189" spans="2:2" x14ac:dyDescent="0.3">
      <c r="B1189"/>
    </row>
    <row r="1190" spans="2:2" x14ac:dyDescent="0.3">
      <c r="B1190"/>
    </row>
    <row r="1191" spans="2:2" x14ac:dyDescent="0.3">
      <c r="B1191"/>
    </row>
    <row r="1192" spans="2:2" x14ac:dyDescent="0.3">
      <c r="B1192"/>
    </row>
    <row r="1193" spans="2:2" x14ac:dyDescent="0.3">
      <c r="B1193"/>
    </row>
    <row r="1194" spans="2:2" x14ac:dyDescent="0.3">
      <c r="B1194"/>
    </row>
    <row r="1195" spans="2:2" x14ac:dyDescent="0.3">
      <c r="B1195"/>
    </row>
    <row r="1196" spans="2:2" x14ac:dyDescent="0.3">
      <c r="B1196"/>
    </row>
    <row r="1197" spans="2:2" x14ac:dyDescent="0.3">
      <c r="B1197"/>
    </row>
    <row r="1198" spans="2:2" x14ac:dyDescent="0.3">
      <c r="B1198"/>
    </row>
    <row r="1199" spans="2:2" x14ac:dyDescent="0.3">
      <c r="B1199"/>
    </row>
    <row r="1200" spans="2:2" x14ac:dyDescent="0.3">
      <c r="B1200"/>
    </row>
    <row r="1201" spans="2:2" x14ac:dyDescent="0.3">
      <c r="B1201"/>
    </row>
    <row r="1202" spans="2:2" x14ac:dyDescent="0.3">
      <c r="B1202"/>
    </row>
    <row r="1203" spans="2:2" x14ac:dyDescent="0.3">
      <c r="B1203"/>
    </row>
    <row r="1204" spans="2:2" x14ac:dyDescent="0.3">
      <c r="B1204"/>
    </row>
    <row r="1205" spans="2:2" x14ac:dyDescent="0.3">
      <c r="B1205"/>
    </row>
    <row r="1206" spans="2:2" x14ac:dyDescent="0.3">
      <c r="B1206"/>
    </row>
    <row r="1207" spans="2:2" x14ac:dyDescent="0.3">
      <c r="B1207"/>
    </row>
    <row r="1208" spans="2:2" x14ac:dyDescent="0.3">
      <c r="B1208"/>
    </row>
    <row r="1209" spans="2:2" x14ac:dyDescent="0.3">
      <c r="B1209"/>
    </row>
    <row r="1210" spans="2:2" x14ac:dyDescent="0.3">
      <c r="B1210"/>
    </row>
    <row r="1211" spans="2:2" x14ac:dyDescent="0.3">
      <c r="B1211"/>
    </row>
    <row r="1212" spans="2:2" x14ac:dyDescent="0.3">
      <c r="B1212"/>
    </row>
    <row r="1213" spans="2:2" x14ac:dyDescent="0.3">
      <c r="B1213"/>
    </row>
    <row r="1214" spans="2:2" x14ac:dyDescent="0.3">
      <c r="B1214"/>
    </row>
    <row r="1215" spans="2:2" x14ac:dyDescent="0.3">
      <c r="B1215"/>
    </row>
    <row r="1216" spans="2:2" x14ac:dyDescent="0.3">
      <c r="B1216"/>
    </row>
    <row r="1217" spans="2:2" x14ac:dyDescent="0.3">
      <c r="B1217"/>
    </row>
    <row r="1218" spans="2:2" x14ac:dyDescent="0.3">
      <c r="B1218"/>
    </row>
    <row r="1219" spans="2:2" x14ac:dyDescent="0.3">
      <c r="B1219"/>
    </row>
    <row r="1220" spans="2:2" x14ac:dyDescent="0.3">
      <c r="B1220"/>
    </row>
    <row r="1221" spans="2:2" x14ac:dyDescent="0.3">
      <c r="B1221"/>
    </row>
    <row r="1222" spans="2:2" x14ac:dyDescent="0.3">
      <c r="B1222"/>
    </row>
    <row r="1223" spans="2:2" x14ac:dyDescent="0.3">
      <c r="B1223"/>
    </row>
    <row r="1224" spans="2:2" x14ac:dyDescent="0.3">
      <c r="B1224"/>
    </row>
    <row r="1225" spans="2:2" x14ac:dyDescent="0.3">
      <c r="B1225"/>
    </row>
    <row r="1226" spans="2:2" x14ac:dyDescent="0.3">
      <c r="B1226"/>
    </row>
    <row r="1227" spans="2:2" x14ac:dyDescent="0.3">
      <c r="B1227"/>
    </row>
    <row r="1228" spans="2:2" x14ac:dyDescent="0.3">
      <c r="B1228"/>
    </row>
    <row r="1229" spans="2:2" x14ac:dyDescent="0.3">
      <c r="B1229"/>
    </row>
    <row r="1230" spans="2:2" x14ac:dyDescent="0.3">
      <c r="B1230"/>
    </row>
    <row r="1231" spans="2:2" x14ac:dyDescent="0.3">
      <c r="B1231"/>
    </row>
    <row r="1232" spans="2:2" x14ac:dyDescent="0.3">
      <c r="B1232"/>
    </row>
    <row r="1233" spans="2:2" x14ac:dyDescent="0.3">
      <c r="B1233"/>
    </row>
    <row r="1234" spans="2:2" x14ac:dyDescent="0.3">
      <c r="B1234"/>
    </row>
    <row r="1235" spans="2:2" x14ac:dyDescent="0.3">
      <c r="B1235"/>
    </row>
    <row r="1236" spans="2:2" x14ac:dyDescent="0.3">
      <c r="B1236"/>
    </row>
    <row r="1237" spans="2:2" x14ac:dyDescent="0.3">
      <c r="B1237"/>
    </row>
    <row r="1238" spans="2:2" x14ac:dyDescent="0.3">
      <c r="B1238"/>
    </row>
    <row r="1239" spans="2:2" x14ac:dyDescent="0.3">
      <c r="B1239"/>
    </row>
    <row r="1240" spans="2:2" x14ac:dyDescent="0.3">
      <c r="B1240"/>
    </row>
    <row r="1241" spans="2:2" x14ac:dyDescent="0.3">
      <c r="B1241"/>
    </row>
    <row r="1242" spans="2:2" x14ac:dyDescent="0.3">
      <c r="B1242"/>
    </row>
    <row r="1243" spans="2:2" x14ac:dyDescent="0.3">
      <c r="B1243"/>
    </row>
    <row r="1244" spans="2:2" x14ac:dyDescent="0.3">
      <c r="B1244"/>
    </row>
    <row r="1245" spans="2:2" x14ac:dyDescent="0.3">
      <c r="B1245"/>
    </row>
    <row r="1246" spans="2:2" x14ac:dyDescent="0.3">
      <c r="B1246"/>
    </row>
    <row r="1247" spans="2:2" x14ac:dyDescent="0.3">
      <c r="B1247"/>
    </row>
    <row r="1248" spans="2:2" x14ac:dyDescent="0.3">
      <c r="B1248"/>
    </row>
    <row r="1249" spans="2:2" x14ac:dyDescent="0.3">
      <c r="B1249"/>
    </row>
    <row r="1250" spans="2:2" x14ac:dyDescent="0.3">
      <c r="B1250"/>
    </row>
    <row r="1251" spans="2:2" x14ac:dyDescent="0.3">
      <c r="B1251"/>
    </row>
    <row r="1252" spans="2:2" x14ac:dyDescent="0.3">
      <c r="B1252"/>
    </row>
    <row r="1253" spans="2:2" x14ac:dyDescent="0.3">
      <c r="B1253"/>
    </row>
    <row r="1254" spans="2:2" x14ac:dyDescent="0.3">
      <c r="B1254"/>
    </row>
    <row r="1255" spans="2:2" x14ac:dyDescent="0.3">
      <c r="B1255"/>
    </row>
    <row r="1256" spans="2:2" x14ac:dyDescent="0.3">
      <c r="B1256"/>
    </row>
    <row r="1257" spans="2:2" x14ac:dyDescent="0.3">
      <c r="B1257"/>
    </row>
    <row r="1258" spans="2:2" x14ac:dyDescent="0.3">
      <c r="B1258"/>
    </row>
    <row r="1259" spans="2:2" x14ac:dyDescent="0.3">
      <c r="B1259"/>
    </row>
    <row r="1260" spans="2:2" x14ac:dyDescent="0.3">
      <c r="B1260"/>
    </row>
    <row r="1261" spans="2:2" x14ac:dyDescent="0.3">
      <c r="B1261"/>
    </row>
    <row r="1262" spans="2:2" x14ac:dyDescent="0.3">
      <c r="B1262"/>
    </row>
    <row r="1263" spans="2:2" x14ac:dyDescent="0.3">
      <c r="B1263"/>
    </row>
    <row r="1264" spans="2:2" x14ac:dyDescent="0.3">
      <c r="B1264"/>
    </row>
    <row r="1265" spans="2:2" x14ac:dyDescent="0.3">
      <c r="B1265"/>
    </row>
    <row r="1266" spans="2:2" x14ac:dyDescent="0.3">
      <c r="B1266"/>
    </row>
    <row r="1267" spans="2:2" x14ac:dyDescent="0.3">
      <c r="B1267"/>
    </row>
    <row r="1268" spans="2:2" x14ac:dyDescent="0.3">
      <c r="B1268"/>
    </row>
    <row r="1269" spans="2:2" x14ac:dyDescent="0.3">
      <c r="B1269"/>
    </row>
    <row r="1270" spans="2:2" x14ac:dyDescent="0.3">
      <c r="B1270"/>
    </row>
    <row r="1271" spans="2:2" x14ac:dyDescent="0.3">
      <c r="B1271"/>
    </row>
    <row r="1272" spans="2:2" x14ac:dyDescent="0.3">
      <c r="B1272"/>
    </row>
    <row r="1273" spans="2:2" x14ac:dyDescent="0.3">
      <c r="B1273"/>
    </row>
    <row r="1274" spans="2:2" x14ac:dyDescent="0.3">
      <c r="B1274"/>
    </row>
    <row r="1275" spans="2:2" x14ac:dyDescent="0.3">
      <c r="B1275"/>
    </row>
    <row r="1276" spans="2:2" x14ac:dyDescent="0.3">
      <c r="B1276"/>
    </row>
    <row r="1277" spans="2:2" x14ac:dyDescent="0.3">
      <c r="B1277"/>
    </row>
    <row r="1278" spans="2:2" x14ac:dyDescent="0.3">
      <c r="B1278"/>
    </row>
    <row r="1279" spans="2:2" x14ac:dyDescent="0.3">
      <c r="B1279"/>
    </row>
    <row r="1280" spans="2:2" x14ac:dyDescent="0.3">
      <c r="B1280"/>
    </row>
    <row r="1281" spans="2:2" x14ac:dyDescent="0.3">
      <c r="B1281"/>
    </row>
    <row r="1282" spans="2:2" x14ac:dyDescent="0.3">
      <c r="B1282"/>
    </row>
    <row r="1283" spans="2:2" x14ac:dyDescent="0.3">
      <c r="B1283"/>
    </row>
    <row r="1284" spans="2:2" x14ac:dyDescent="0.3">
      <c r="B1284"/>
    </row>
    <row r="1285" spans="2:2" x14ac:dyDescent="0.3">
      <c r="B1285"/>
    </row>
    <row r="1286" spans="2:2" x14ac:dyDescent="0.3">
      <c r="B1286"/>
    </row>
    <row r="1287" spans="2:2" x14ac:dyDescent="0.3">
      <c r="B1287"/>
    </row>
    <row r="1288" spans="2:2" x14ac:dyDescent="0.3">
      <c r="B1288"/>
    </row>
    <row r="1289" spans="2:2" x14ac:dyDescent="0.3">
      <c r="B1289"/>
    </row>
    <row r="1290" spans="2:2" x14ac:dyDescent="0.3">
      <c r="B1290"/>
    </row>
    <row r="1291" spans="2:2" x14ac:dyDescent="0.3">
      <c r="B1291"/>
    </row>
    <row r="1292" spans="2:2" x14ac:dyDescent="0.3">
      <c r="B1292"/>
    </row>
    <row r="1293" spans="2:2" x14ac:dyDescent="0.3">
      <c r="B1293"/>
    </row>
    <row r="1294" spans="2:2" x14ac:dyDescent="0.3">
      <c r="B1294"/>
    </row>
    <row r="1295" spans="2:2" x14ac:dyDescent="0.3">
      <c r="B1295"/>
    </row>
    <row r="1296" spans="2:2" x14ac:dyDescent="0.3">
      <c r="B1296"/>
    </row>
    <row r="1297" spans="2:2" x14ac:dyDescent="0.3">
      <c r="B1297"/>
    </row>
    <row r="1298" spans="2:2" x14ac:dyDescent="0.3">
      <c r="B1298"/>
    </row>
    <row r="1299" spans="2:2" x14ac:dyDescent="0.3">
      <c r="B1299"/>
    </row>
    <row r="1300" spans="2:2" x14ac:dyDescent="0.3">
      <c r="B1300"/>
    </row>
    <row r="1301" spans="2:2" x14ac:dyDescent="0.3">
      <c r="B1301"/>
    </row>
    <row r="1302" spans="2:2" x14ac:dyDescent="0.3">
      <c r="B1302"/>
    </row>
    <row r="1303" spans="2:2" x14ac:dyDescent="0.3">
      <c r="B1303"/>
    </row>
    <row r="1304" spans="2:2" x14ac:dyDescent="0.3">
      <c r="B1304"/>
    </row>
    <row r="1305" spans="2:2" x14ac:dyDescent="0.3">
      <c r="B1305"/>
    </row>
    <row r="1306" spans="2:2" x14ac:dyDescent="0.3">
      <c r="B1306"/>
    </row>
    <row r="1307" spans="2:2" x14ac:dyDescent="0.3">
      <c r="B1307"/>
    </row>
    <row r="1308" spans="2:2" x14ac:dyDescent="0.3">
      <c r="B1308"/>
    </row>
    <row r="1309" spans="2:2" x14ac:dyDescent="0.3">
      <c r="B1309"/>
    </row>
    <row r="1310" spans="2:2" x14ac:dyDescent="0.3">
      <c r="B1310"/>
    </row>
    <row r="1311" spans="2:2" x14ac:dyDescent="0.3">
      <c r="B1311"/>
    </row>
    <row r="1312" spans="2:2" x14ac:dyDescent="0.3">
      <c r="B1312"/>
    </row>
    <row r="1313" spans="2:2" x14ac:dyDescent="0.3">
      <c r="B1313"/>
    </row>
    <row r="1314" spans="2:2" x14ac:dyDescent="0.3">
      <c r="B1314"/>
    </row>
    <row r="1315" spans="2:2" x14ac:dyDescent="0.3">
      <c r="B1315"/>
    </row>
    <row r="1316" spans="2:2" x14ac:dyDescent="0.3">
      <c r="B1316"/>
    </row>
    <row r="1317" spans="2:2" x14ac:dyDescent="0.3">
      <c r="B1317"/>
    </row>
    <row r="1318" spans="2:2" x14ac:dyDescent="0.3">
      <c r="B1318"/>
    </row>
    <row r="1319" spans="2:2" x14ac:dyDescent="0.3">
      <c r="B1319"/>
    </row>
    <row r="1320" spans="2:2" x14ac:dyDescent="0.3">
      <c r="B1320"/>
    </row>
    <row r="1321" spans="2:2" x14ac:dyDescent="0.3">
      <c r="B1321"/>
    </row>
    <row r="1322" spans="2:2" x14ac:dyDescent="0.3">
      <c r="B1322"/>
    </row>
    <row r="1323" spans="2:2" x14ac:dyDescent="0.3">
      <c r="B1323"/>
    </row>
    <row r="1324" spans="2:2" x14ac:dyDescent="0.3">
      <c r="B1324"/>
    </row>
    <row r="1325" spans="2:2" x14ac:dyDescent="0.3">
      <c r="B1325"/>
    </row>
    <row r="1326" spans="2:2" x14ac:dyDescent="0.3">
      <c r="B1326"/>
    </row>
    <row r="1327" spans="2:2" x14ac:dyDescent="0.3">
      <c r="B1327"/>
    </row>
    <row r="1328" spans="2:2" x14ac:dyDescent="0.3">
      <c r="B1328"/>
    </row>
    <row r="1329" spans="2:2" x14ac:dyDescent="0.3">
      <c r="B1329"/>
    </row>
    <row r="1330" spans="2:2" x14ac:dyDescent="0.3">
      <c r="B1330"/>
    </row>
    <row r="1331" spans="2:2" x14ac:dyDescent="0.3">
      <c r="B1331"/>
    </row>
    <row r="1332" spans="2:2" x14ac:dyDescent="0.3">
      <c r="B1332"/>
    </row>
    <row r="1333" spans="2:2" x14ac:dyDescent="0.3">
      <c r="B1333"/>
    </row>
    <row r="1334" spans="2:2" x14ac:dyDescent="0.3">
      <c r="B1334"/>
    </row>
    <row r="1335" spans="2:2" x14ac:dyDescent="0.3">
      <c r="B1335"/>
    </row>
    <row r="1336" spans="2:2" x14ac:dyDescent="0.3">
      <c r="B1336"/>
    </row>
    <row r="1337" spans="2:2" x14ac:dyDescent="0.3">
      <c r="B1337"/>
    </row>
    <row r="1338" spans="2:2" x14ac:dyDescent="0.3">
      <c r="B1338"/>
    </row>
    <row r="1339" spans="2:2" x14ac:dyDescent="0.3">
      <c r="B1339"/>
    </row>
    <row r="1340" spans="2:2" x14ac:dyDescent="0.3">
      <c r="B1340"/>
    </row>
    <row r="1341" spans="2:2" x14ac:dyDescent="0.3">
      <c r="B1341"/>
    </row>
    <row r="1342" spans="2:2" x14ac:dyDescent="0.3">
      <c r="B1342"/>
    </row>
    <row r="1343" spans="2:2" x14ac:dyDescent="0.3">
      <c r="B1343"/>
    </row>
    <row r="1344" spans="2:2" x14ac:dyDescent="0.3">
      <c r="B1344"/>
    </row>
    <row r="1345" spans="2:2" x14ac:dyDescent="0.3">
      <c r="B1345"/>
    </row>
    <row r="1346" spans="2:2" x14ac:dyDescent="0.3">
      <c r="B1346"/>
    </row>
    <row r="1347" spans="2:2" x14ac:dyDescent="0.3">
      <c r="B1347"/>
    </row>
    <row r="1348" spans="2:2" x14ac:dyDescent="0.3">
      <c r="B1348"/>
    </row>
    <row r="1349" spans="2:2" x14ac:dyDescent="0.3">
      <c r="B1349"/>
    </row>
    <row r="1350" spans="2:2" x14ac:dyDescent="0.3">
      <c r="B1350"/>
    </row>
    <row r="1351" spans="2:2" x14ac:dyDescent="0.3">
      <c r="B1351"/>
    </row>
    <row r="1352" spans="2:2" x14ac:dyDescent="0.3">
      <c r="B1352"/>
    </row>
    <row r="1353" spans="2:2" x14ac:dyDescent="0.3">
      <c r="B1353"/>
    </row>
    <row r="1354" spans="2:2" x14ac:dyDescent="0.3">
      <c r="B1354"/>
    </row>
    <row r="1355" spans="2:2" x14ac:dyDescent="0.3">
      <c r="B1355"/>
    </row>
    <row r="1356" spans="2:2" x14ac:dyDescent="0.3">
      <c r="B1356"/>
    </row>
    <row r="1357" spans="2:2" x14ac:dyDescent="0.3">
      <c r="B1357"/>
    </row>
    <row r="1358" spans="2:2" x14ac:dyDescent="0.3">
      <c r="B1358"/>
    </row>
    <row r="1359" spans="2:2" x14ac:dyDescent="0.3">
      <c r="B1359"/>
    </row>
    <row r="1360" spans="2:2" x14ac:dyDescent="0.3">
      <c r="B1360"/>
    </row>
    <row r="1361" spans="2:2" x14ac:dyDescent="0.3">
      <c r="B1361"/>
    </row>
    <row r="1362" spans="2:2" x14ac:dyDescent="0.3">
      <c r="B1362"/>
    </row>
    <row r="1363" spans="2:2" x14ac:dyDescent="0.3">
      <c r="B1363"/>
    </row>
    <row r="1364" spans="2:2" x14ac:dyDescent="0.3">
      <c r="B1364"/>
    </row>
    <row r="1365" spans="2:2" x14ac:dyDescent="0.3">
      <c r="B1365"/>
    </row>
    <row r="1366" spans="2:2" x14ac:dyDescent="0.3">
      <c r="B1366"/>
    </row>
    <row r="1367" spans="2:2" x14ac:dyDescent="0.3">
      <c r="B1367"/>
    </row>
    <row r="1368" spans="2:2" x14ac:dyDescent="0.3">
      <c r="B1368"/>
    </row>
    <row r="1369" spans="2:2" x14ac:dyDescent="0.3">
      <c r="B1369"/>
    </row>
    <row r="1370" spans="2:2" x14ac:dyDescent="0.3">
      <c r="B1370"/>
    </row>
    <row r="1371" spans="2:2" x14ac:dyDescent="0.3">
      <c r="B1371"/>
    </row>
    <row r="1372" spans="2:2" x14ac:dyDescent="0.3">
      <c r="B1372"/>
    </row>
    <row r="1373" spans="2:2" x14ac:dyDescent="0.3">
      <c r="B1373"/>
    </row>
    <row r="1374" spans="2:2" x14ac:dyDescent="0.3">
      <c r="B1374"/>
    </row>
    <row r="1375" spans="2:2" x14ac:dyDescent="0.3">
      <c r="B1375"/>
    </row>
    <row r="1376" spans="2:2" x14ac:dyDescent="0.3">
      <c r="B1376"/>
    </row>
    <row r="1377" spans="2:2" x14ac:dyDescent="0.3">
      <c r="B1377"/>
    </row>
    <row r="1378" spans="2:2" x14ac:dyDescent="0.3">
      <c r="B1378"/>
    </row>
    <row r="1379" spans="2:2" x14ac:dyDescent="0.3">
      <c r="B1379"/>
    </row>
    <row r="1380" spans="2:2" x14ac:dyDescent="0.3">
      <c r="B1380"/>
    </row>
    <row r="1381" spans="2:2" x14ac:dyDescent="0.3">
      <c r="B1381"/>
    </row>
    <row r="1382" spans="2:2" x14ac:dyDescent="0.3">
      <c r="B1382"/>
    </row>
    <row r="1383" spans="2:2" x14ac:dyDescent="0.3">
      <c r="B1383"/>
    </row>
    <row r="1384" spans="2:2" x14ac:dyDescent="0.3">
      <c r="B1384"/>
    </row>
    <row r="1385" spans="2:2" x14ac:dyDescent="0.3">
      <c r="B1385"/>
    </row>
    <row r="1386" spans="2:2" x14ac:dyDescent="0.3">
      <c r="B1386"/>
    </row>
    <row r="1387" spans="2:2" x14ac:dyDescent="0.3">
      <c r="B1387"/>
    </row>
    <row r="1388" spans="2:2" x14ac:dyDescent="0.3">
      <c r="B1388"/>
    </row>
    <row r="1389" spans="2:2" x14ac:dyDescent="0.3">
      <c r="B1389"/>
    </row>
    <row r="1390" spans="2:2" x14ac:dyDescent="0.3">
      <c r="B1390"/>
    </row>
    <row r="1391" spans="2:2" x14ac:dyDescent="0.3">
      <c r="B1391"/>
    </row>
    <row r="1392" spans="2:2" x14ac:dyDescent="0.3">
      <c r="B1392"/>
    </row>
    <row r="1393" spans="2:2" x14ac:dyDescent="0.3">
      <c r="B1393"/>
    </row>
    <row r="1394" spans="2:2" x14ac:dyDescent="0.3">
      <c r="B1394"/>
    </row>
    <row r="1395" spans="2:2" x14ac:dyDescent="0.3">
      <c r="B1395"/>
    </row>
    <row r="1396" spans="2:2" x14ac:dyDescent="0.3">
      <c r="B1396"/>
    </row>
    <row r="1397" spans="2:2" x14ac:dyDescent="0.3">
      <c r="B1397"/>
    </row>
    <row r="1398" spans="2:2" x14ac:dyDescent="0.3">
      <c r="B1398"/>
    </row>
    <row r="1399" spans="2:2" x14ac:dyDescent="0.3">
      <c r="B1399"/>
    </row>
    <row r="1400" spans="2:2" x14ac:dyDescent="0.3">
      <c r="B1400"/>
    </row>
    <row r="1401" spans="2:2" x14ac:dyDescent="0.3">
      <c r="B1401"/>
    </row>
    <row r="1402" spans="2:2" x14ac:dyDescent="0.3">
      <c r="B1402"/>
    </row>
    <row r="1403" spans="2:2" x14ac:dyDescent="0.3">
      <c r="B1403"/>
    </row>
    <row r="1404" spans="2:2" x14ac:dyDescent="0.3">
      <c r="B1404"/>
    </row>
    <row r="1405" spans="2:2" x14ac:dyDescent="0.3">
      <c r="B1405"/>
    </row>
    <row r="1406" spans="2:2" x14ac:dyDescent="0.3">
      <c r="B1406"/>
    </row>
    <row r="1407" spans="2:2" x14ac:dyDescent="0.3">
      <c r="B1407"/>
    </row>
    <row r="1408" spans="2:2" x14ac:dyDescent="0.3">
      <c r="B1408"/>
    </row>
    <row r="1409" spans="2:2" x14ac:dyDescent="0.3">
      <c r="B1409"/>
    </row>
    <row r="1410" spans="2:2" x14ac:dyDescent="0.3">
      <c r="B1410"/>
    </row>
    <row r="1411" spans="2:2" x14ac:dyDescent="0.3">
      <c r="B1411"/>
    </row>
    <row r="1412" spans="2:2" x14ac:dyDescent="0.3">
      <c r="B1412"/>
    </row>
    <row r="1413" spans="2:2" x14ac:dyDescent="0.3">
      <c r="B1413"/>
    </row>
    <row r="1414" spans="2:2" x14ac:dyDescent="0.3">
      <c r="B1414"/>
    </row>
    <row r="1415" spans="2:2" x14ac:dyDescent="0.3">
      <c r="B1415"/>
    </row>
    <row r="1416" spans="2:2" x14ac:dyDescent="0.3">
      <c r="B1416"/>
    </row>
    <row r="1417" spans="2:2" x14ac:dyDescent="0.3">
      <c r="B1417"/>
    </row>
    <row r="1418" spans="2:2" x14ac:dyDescent="0.3">
      <c r="B1418"/>
    </row>
    <row r="1419" spans="2:2" x14ac:dyDescent="0.3">
      <c r="B1419"/>
    </row>
    <row r="1420" spans="2:2" x14ac:dyDescent="0.3">
      <c r="B1420"/>
    </row>
    <row r="1421" spans="2:2" x14ac:dyDescent="0.3">
      <c r="B1421"/>
    </row>
    <row r="1422" spans="2:2" x14ac:dyDescent="0.3">
      <c r="B1422"/>
    </row>
    <row r="1423" spans="2:2" x14ac:dyDescent="0.3">
      <c r="B1423"/>
    </row>
    <row r="1424" spans="2:2" x14ac:dyDescent="0.3">
      <c r="B1424"/>
    </row>
    <row r="1425" spans="2:2" x14ac:dyDescent="0.3">
      <c r="B1425"/>
    </row>
    <row r="1426" spans="2:2" x14ac:dyDescent="0.3">
      <c r="B1426"/>
    </row>
    <row r="1427" spans="2:2" x14ac:dyDescent="0.3">
      <c r="B1427"/>
    </row>
    <row r="1428" spans="2:2" x14ac:dyDescent="0.3">
      <c r="B1428"/>
    </row>
    <row r="1429" spans="2:2" x14ac:dyDescent="0.3">
      <c r="B1429"/>
    </row>
    <row r="1430" spans="2:2" x14ac:dyDescent="0.3">
      <c r="B1430"/>
    </row>
    <row r="1431" spans="2:2" x14ac:dyDescent="0.3">
      <c r="B1431"/>
    </row>
    <row r="1432" spans="2:2" x14ac:dyDescent="0.3">
      <c r="B1432"/>
    </row>
    <row r="1433" spans="2:2" x14ac:dyDescent="0.3">
      <c r="B1433"/>
    </row>
    <row r="1434" spans="2:2" x14ac:dyDescent="0.3">
      <c r="B1434"/>
    </row>
    <row r="1435" spans="2:2" x14ac:dyDescent="0.3">
      <c r="B1435"/>
    </row>
    <row r="1436" spans="2:2" x14ac:dyDescent="0.3">
      <c r="B1436"/>
    </row>
    <row r="1437" spans="2:2" x14ac:dyDescent="0.3">
      <c r="B1437"/>
    </row>
    <row r="1438" spans="2:2" x14ac:dyDescent="0.3">
      <c r="B1438"/>
    </row>
    <row r="1439" spans="2:2" x14ac:dyDescent="0.3">
      <c r="B1439"/>
    </row>
    <row r="1440" spans="2:2" x14ac:dyDescent="0.3">
      <c r="B1440"/>
    </row>
    <row r="1441" spans="2:2" x14ac:dyDescent="0.3">
      <c r="B1441"/>
    </row>
    <row r="1442" spans="2:2" x14ac:dyDescent="0.3">
      <c r="B1442"/>
    </row>
    <row r="1443" spans="2:2" x14ac:dyDescent="0.3">
      <c r="B1443"/>
    </row>
    <row r="1444" spans="2:2" x14ac:dyDescent="0.3">
      <c r="B1444"/>
    </row>
    <row r="1445" spans="2:2" x14ac:dyDescent="0.3">
      <c r="B1445"/>
    </row>
    <row r="1446" spans="2:2" x14ac:dyDescent="0.3">
      <c r="B1446"/>
    </row>
    <row r="1447" spans="2:2" x14ac:dyDescent="0.3">
      <c r="B1447"/>
    </row>
    <row r="1448" spans="2:2" x14ac:dyDescent="0.3">
      <c r="B1448"/>
    </row>
    <row r="1449" spans="2:2" x14ac:dyDescent="0.3">
      <c r="B1449"/>
    </row>
    <row r="1450" spans="2:2" x14ac:dyDescent="0.3">
      <c r="B1450"/>
    </row>
    <row r="1451" spans="2:2" x14ac:dyDescent="0.3">
      <c r="B1451"/>
    </row>
    <row r="1452" spans="2:2" x14ac:dyDescent="0.3">
      <c r="B1452"/>
    </row>
    <row r="1453" spans="2:2" x14ac:dyDescent="0.3">
      <c r="B1453"/>
    </row>
    <row r="1454" spans="2:2" x14ac:dyDescent="0.3">
      <c r="B1454"/>
    </row>
    <row r="1455" spans="2:2" x14ac:dyDescent="0.3">
      <c r="B1455"/>
    </row>
    <row r="1456" spans="2:2" x14ac:dyDescent="0.3">
      <c r="B1456"/>
    </row>
    <row r="1457" spans="2:2" x14ac:dyDescent="0.3">
      <c r="B1457"/>
    </row>
    <row r="1458" spans="2:2" x14ac:dyDescent="0.3">
      <c r="B1458"/>
    </row>
    <row r="1459" spans="2:2" x14ac:dyDescent="0.3">
      <c r="B1459"/>
    </row>
    <row r="1460" spans="2:2" x14ac:dyDescent="0.3">
      <c r="B1460"/>
    </row>
    <row r="1461" spans="2:2" x14ac:dyDescent="0.3">
      <c r="B1461"/>
    </row>
    <row r="1462" spans="2:2" x14ac:dyDescent="0.3">
      <c r="B1462"/>
    </row>
    <row r="1463" spans="2:2" x14ac:dyDescent="0.3">
      <c r="B1463"/>
    </row>
    <row r="1464" spans="2:2" x14ac:dyDescent="0.3">
      <c r="B1464"/>
    </row>
    <row r="1465" spans="2:2" x14ac:dyDescent="0.3">
      <c r="B1465"/>
    </row>
    <row r="1466" spans="2:2" x14ac:dyDescent="0.3">
      <c r="B1466"/>
    </row>
    <row r="1467" spans="2:2" x14ac:dyDescent="0.3">
      <c r="B1467"/>
    </row>
    <row r="1468" spans="2:2" x14ac:dyDescent="0.3">
      <c r="B1468"/>
    </row>
    <row r="1469" spans="2:2" x14ac:dyDescent="0.3">
      <c r="B1469"/>
    </row>
    <row r="1470" spans="2:2" x14ac:dyDescent="0.3">
      <c r="B1470"/>
    </row>
    <row r="1471" spans="2:2" x14ac:dyDescent="0.3">
      <c r="B1471"/>
    </row>
    <row r="1472" spans="2:2" x14ac:dyDescent="0.3">
      <c r="B1472"/>
    </row>
    <row r="1473" spans="2:2" x14ac:dyDescent="0.3">
      <c r="B1473"/>
    </row>
    <row r="1474" spans="2:2" x14ac:dyDescent="0.3">
      <c r="B1474"/>
    </row>
    <row r="1475" spans="2:2" x14ac:dyDescent="0.3">
      <c r="B1475"/>
    </row>
    <row r="1476" spans="2:2" x14ac:dyDescent="0.3">
      <c r="B1476"/>
    </row>
    <row r="1477" spans="2:2" x14ac:dyDescent="0.3">
      <c r="B1477"/>
    </row>
    <row r="1478" spans="2:2" x14ac:dyDescent="0.3">
      <c r="B1478"/>
    </row>
    <row r="1479" spans="2:2" x14ac:dyDescent="0.3">
      <c r="B1479"/>
    </row>
    <row r="1480" spans="2:2" x14ac:dyDescent="0.3">
      <c r="B1480"/>
    </row>
    <row r="1481" spans="2:2" x14ac:dyDescent="0.3">
      <c r="B1481"/>
    </row>
    <row r="1482" spans="2:2" x14ac:dyDescent="0.3">
      <c r="B1482"/>
    </row>
    <row r="1483" spans="2:2" x14ac:dyDescent="0.3">
      <c r="B1483"/>
    </row>
    <row r="1484" spans="2:2" x14ac:dyDescent="0.3">
      <c r="B1484"/>
    </row>
    <row r="1485" spans="2:2" x14ac:dyDescent="0.3">
      <c r="B1485"/>
    </row>
    <row r="1486" spans="2:2" x14ac:dyDescent="0.3">
      <c r="B1486"/>
    </row>
    <row r="1487" spans="2:2" x14ac:dyDescent="0.3">
      <c r="B1487"/>
    </row>
    <row r="1488" spans="2:2" x14ac:dyDescent="0.3">
      <c r="B1488"/>
    </row>
    <row r="1489" spans="2:2" x14ac:dyDescent="0.3">
      <c r="B1489"/>
    </row>
    <row r="1490" spans="2:2" x14ac:dyDescent="0.3">
      <c r="B1490"/>
    </row>
    <row r="1491" spans="2:2" x14ac:dyDescent="0.3">
      <c r="B1491"/>
    </row>
    <row r="1492" spans="2:2" x14ac:dyDescent="0.3">
      <c r="B1492"/>
    </row>
    <row r="1493" spans="2:2" x14ac:dyDescent="0.3">
      <c r="B1493"/>
    </row>
    <row r="1494" spans="2:2" x14ac:dyDescent="0.3">
      <c r="B1494"/>
    </row>
    <row r="1495" spans="2:2" x14ac:dyDescent="0.3">
      <c r="B1495"/>
    </row>
    <row r="1496" spans="2:2" x14ac:dyDescent="0.3">
      <c r="B1496"/>
    </row>
    <row r="1497" spans="2:2" x14ac:dyDescent="0.3">
      <c r="B1497"/>
    </row>
    <row r="1498" spans="2:2" x14ac:dyDescent="0.3">
      <c r="B1498"/>
    </row>
    <row r="1499" spans="2:2" x14ac:dyDescent="0.3">
      <c r="B1499"/>
    </row>
    <row r="1500" spans="2:2" x14ac:dyDescent="0.3">
      <c r="B1500"/>
    </row>
    <row r="1501" spans="2:2" x14ac:dyDescent="0.3">
      <c r="B1501"/>
    </row>
    <row r="1502" spans="2:2" x14ac:dyDescent="0.3">
      <c r="B1502"/>
    </row>
    <row r="1503" spans="2:2" x14ac:dyDescent="0.3">
      <c r="B1503"/>
    </row>
    <row r="1504" spans="2:2" x14ac:dyDescent="0.3">
      <c r="B1504"/>
    </row>
    <row r="1505" spans="2:2" x14ac:dyDescent="0.3">
      <c r="B1505"/>
    </row>
    <row r="1506" spans="2:2" x14ac:dyDescent="0.3">
      <c r="B1506"/>
    </row>
    <row r="1507" spans="2:2" x14ac:dyDescent="0.3">
      <c r="B1507"/>
    </row>
    <row r="1508" spans="2:2" x14ac:dyDescent="0.3">
      <c r="B1508"/>
    </row>
    <row r="1509" spans="2:2" x14ac:dyDescent="0.3">
      <c r="B1509"/>
    </row>
    <row r="1510" spans="2:2" x14ac:dyDescent="0.3">
      <c r="B1510"/>
    </row>
    <row r="1511" spans="2:2" x14ac:dyDescent="0.3">
      <c r="B1511"/>
    </row>
    <row r="1512" spans="2:2" x14ac:dyDescent="0.3">
      <c r="B1512"/>
    </row>
    <row r="1513" spans="2:2" x14ac:dyDescent="0.3">
      <c r="B1513"/>
    </row>
    <row r="1514" spans="2:2" x14ac:dyDescent="0.3">
      <c r="B1514"/>
    </row>
    <row r="1515" spans="2:2" x14ac:dyDescent="0.3">
      <c r="B1515"/>
    </row>
    <row r="1516" spans="2:2" x14ac:dyDescent="0.3">
      <c r="B1516"/>
    </row>
    <row r="1517" spans="2:2" x14ac:dyDescent="0.3">
      <c r="B1517"/>
    </row>
    <row r="1518" spans="2:2" x14ac:dyDescent="0.3">
      <c r="B1518"/>
    </row>
    <row r="1519" spans="2:2" x14ac:dyDescent="0.3">
      <c r="B1519"/>
    </row>
    <row r="1520" spans="2:2" x14ac:dyDescent="0.3">
      <c r="B1520"/>
    </row>
    <row r="1521" spans="2:2" x14ac:dyDescent="0.3">
      <c r="B1521"/>
    </row>
    <row r="1522" spans="2:2" x14ac:dyDescent="0.3">
      <c r="B1522"/>
    </row>
    <row r="1523" spans="2:2" x14ac:dyDescent="0.3">
      <c r="B1523"/>
    </row>
    <row r="1524" spans="2:2" x14ac:dyDescent="0.3">
      <c r="B1524"/>
    </row>
    <row r="1525" spans="2:2" x14ac:dyDescent="0.3">
      <c r="B1525"/>
    </row>
    <row r="1526" spans="2:2" x14ac:dyDescent="0.3">
      <c r="B1526"/>
    </row>
    <row r="1527" spans="2:2" x14ac:dyDescent="0.3">
      <c r="B1527"/>
    </row>
    <row r="1528" spans="2:2" x14ac:dyDescent="0.3">
      <c r="B1528"/>
    </row>
    <row r="1529" spans="2:2" x14ac:dyDescent="0.3">
      <c r="B1529"/>
    </row>
    <row r="1530" spans="2:2" x14ac:dyDescent="0.3">
      <c r="B1530"/>
    </row>
    <row r="1531" spans="2:2" x14ac:dyDescent="0.3">
      <c r="B1531"/>
    </row>
    <row r="1532" spans="2:2" x14ac:dyDescent="0.3">
      <c r="B1532"/>
    </row>
    <row r="1533" spans="2:2" x14ac:dyDescent="0.3">
      <c r="B1533"/>
    </row>
    <row r="1534" spans="2:2" x14ac:dyDescent="0.3">
      <c r="B1534"/>
    </row>
    <row r="1535" spans="2:2" x14ac:dyDescent="0.3">
      <c r="B1535"/>
    </row>
    <row r="1536" spans="2:2" x14ac:dyDescent="0.3">
      <c r="B1536"/>
    </row>
    <row r="1537" spans="2:2" x14ac:dyDescent="0.3">
      <c r="B1537"/>
    </row>
    <row r="1538" spans="2:2" x14ac:dyDescent="0.3">
      <c r="B1538"/>
    </row>
    <row r="1539" spans="2:2" x14ac:dyDescent="0.3">
      <c r="B1539"/>
    </row>
    <row r="1540" spans="2:2" x14ac:dyDescent="0.3">
      <c r="B1540"/>
    </row>
    <row r="1541" spans="2:2" x14ac:dyDescent="0.3">
      <c r="B1541"/>
    </row>
    <row r="1542" spans="2:2" x14ac:dyDescent="0.3">
      <c r="B1542"/>
    </row>
    <row r="1543" spans="2:2" x14ac:dyDescent="0.3">
      <c r="B1543"/>
    </row>
    <row r="1544" spans="2:2" x14ac:dyDescent="0.3">
      <c r="B1544"/>
    </row>
    <row r="1545" spans="2:2" x14ac:dyDescent="0.3">
      <c r="B1545"/>
    </row>
    <row r="1546" spans="2:2" x14ac:dyDescent="0.3">
      <c r="B1546"/>
    </row>
    <row r="1547" spans="2:2" x14ac:dyDescent="0.3">
      <c r="B1547"/>
    </row>
    <row r="1548" spans="2:2" x14ac:dyDescent="0.3">
      <c r="B1548"/>
    </row>
    <row r="1549" spans="2:2" x14ac:dyDescent="0.3">
      <c r="B1549"/>
    </row>
    <row r="1550" spans="2:2" x14ac:dyDescent="0.3">
      <c r="B1550"/>
    </row>
    <row r="1551" spans="2:2" x14ac:dyDescent="0.3">
      <c r="B1551"/>
    </row>
    <row r="1552" spans="2:2" x14ac:dyDescent="0.3">
      <c r="B1552"/>
    </row>
    <row r="1553" spans="2:2" x14ac:dyDescent="0.3">
      <c r="B1553"/>
    </row>
    <row r="1554" spans="2:2" x14ac:dyDescent="0.3">
      <c r="B1554"/>
    </row>
    <row r="1555" spans="2:2" x14ac:dyDescent="0.3">
      <c r="B1555"/>
    </row>
    <row r="1556" spans="2:2" x14ac:dyDescent="0.3">
      <c r="B1556"/>
    </row>
    <row r="1557" spans="2:2" x14ac:dyDescent="0.3">
      <c r="B1557"/>
    </row>
    <row r="1558" spans="2:2" x14ac:dyDescent="0.3">
      <c r="B1558"/>
    </row>
    <row r="1559" spans="2:2" x14ac:dyDescent="0.3">
      <c r="B1559"/>
    </row>
    <row r="1560" spans="2:2" x14ac:dyDescent="0.3">
      <c r="B1560"/>
    </row>
    <row r="1561" spans="2:2" x14ac:dyDescent="0.3">
      <c r="B1561"/>
    </row>
    <row r="1562" spans="2:2" x14ac:dyDescent="0.3">
      <c r="B1562"/>
    </row>
    <row r="1563" spans="2:2" x14ac:dyDescent="0.3">
      <c r="B1563"/>
    </row>
    <row r="1564" spans="2:2" x14ac:dyDescent="0.3">
      <c r="B1564"/>
    </row>
    <row r="1565" spans="2:2" x14ac:dyDescent="0.3">
      <c r="B1565"/>
    </row>
    <row r="1566" spans="2:2" x14ac:dyDescent="0.3">
      <c r="B1566"/>
    </row>
    <row r="1567" spans="2:2" x14ac:dyDescent="0.3">
      <c r="B1567"/>
    </row>
    <row r="1568" spans="2:2" x14ac:dyDescent="0.3">
      <c r="B1568"/>
    </row>
    <row r="1569" spans="2:2" x14ac:dyDescent="0.3">
      <c r="B1569"/>
    </row>
    <row r="1570" spans="2:2" x14ac:dyDescent="0.3">
      <c r="B1570"/>
    </row>
    <row r="1571" spans="2:2" x14ac:dyDescent="0.3">
      <c r="B1571"/>
    </row>
    <row r="1572" spans="2:2" x14ac:dyDescent="0.3">
      <c r="B1572"/>
    </row>
    <row r="1573" spans="2:2" x14ac:dyDescent="0.3">
      <c r="B1573"/>
    </row>
    <row r="1574" spans="2:2" x14ac:dyDescent="0.3">
      <c r="B1574"/>
    </row>
    <row r="1575" spans="2:2" x14ac:dyDescent="0.3">
      <c r="B1575"/>
    </row>
    <row r="1576" spans="2:2" x14ac:dyDescent="0.3">
      <c r="B1576"/>
    </row>
    <row r="1577" spans="2:2" x14ac:dyDescent="0.3">
      <c r="B1577"/>
    </row>
    <row r="1578" spans="2:2" x14ac:dyDescent="0.3">
      <c r="B1578"/>
    </row>
    <row r="1579" spans="2:2" x14ac:dyDescent="0.3">
      <c r="B1579"/>
    </row>
    <row r="1580" spans="2:2" x14ac:dyDescent="0.3">
      <c r="B1580"/>
    </row>
    <row r="1581" spans="2:2" x14ac:dyDescent="0.3">
      <c r="B1581"/>
    </row>
    <row r="1582" spans="2:2" x14ac:dyDescent="0.3">
      <c r="B1582"/>
    </row>
    <row r="1583" spans="2:2" x14ac:dyDescent="0.3">
      <c r="B1583"/>
    </row>
    <row r="1584" spans="2:2" x14ac:dyDescent="0.3">
      <c r="B1584"/>
    </row>
    <row r="1585" spans="2:2" x14ac:dyDescent="0.3">
      <c r="B1585"/>
    </row>
    <row r="1586" spans="2:2" x14ac:dyDescent="0.3">
      <c r="B1586"/>
    </row>
    <row r="1587" spans="2:2" x14ac:dyDescent="0.3">
      <c r="B1587"/>
    </row>
    <row r="1588" spans="2:2" x14ac:dyDescent="0.3">
      <c r="B1588"/>
    </row>
    <row r="1589" spans="2:2" x14ac:dyDescent="0.3">
      <c r="B1589"/>
    </row>
    <row r="1590" spans="2:2" x14ac:dyDescent="0.3">
      <c r="B1590"/>
    </row>
    <row r="1591" spans="2:2" x14ac:dyDescent="0.3">
      <c r="B1591"/>
    </row>
    <row r="1592" spans="2:2" x14ac:dyDescent="0.3">
      <c r="B1592"/>
    </row>
    <row r="1593" spans="2:2" x14ac:dyDescent="0.3">
      <c r="B1593"/>
    </row>
    <row r="1594" spans="2:2" x14ac:dyDescent="0.3">
      <c r="B1594"/>
    </row>
    <row r="1595" spans="2:2" x14ac:dyDescent="0.3">
      <c r="B1595"/>
    </row>
    <row r="1596" spans="2:2" x14ac:dyDescent="0.3">
      <c r="B1596"/>
    </row>
    <row r="1597" spans="2:2" x14ac:dyDescent="0.3">
      <c r="B1597"/>
    </row>
    <row r="1598" spans="2:2" x14ac:dyDescent="0.3">
      <c r="B1598"/>
    </row>
    <row r="1599" spans="2:2" x14ac:dyDescent="0.3">
      <c r="B1599"/>
    </row>
    <row r="1600" spans="2:2" x14ac:dyDescent="0.3">
      <c r="B1600"/>
    </row>
    <row r="1601" spans="2:2" x14ac:dyDescent="0.3">
      <c r="B1601"/>
    </row>
    <row r="1602" spans="2:2" x14ac:dyDescent="0.3">
      <c r="B1602"/>
    </row>
    <row r="1603" spans="2:2" x14ac:dyDescent="0.3">
      <c r="B1603"/>
    </row>
    <row r="1604" spans="2:2" x14ac:dyDescent="0.3">
      <c r="B1604"/>
    </row>
    <row r="1605" spans="2:2" x14ac:dyDescent="0.3">
      <c r="B1605"/>
    </row>
    <row r="1606" spans="2:2" x14ac:dyDescent="0.3">
      <c r="B1606"/>
    </row>
    <row r="1607" spans="2:2" x14ac:dyDescent="0.3">
      <c r="B1607"/>
    </row>
    <row r="1608" spans="2:2" x14ac:dyDescent="0.3">
      <c r="B1608"/>
    </row>
    <row r="1609" spans="2:2" x14ac:dyDescent="0.3">
      <c r="B1609"/>
    </row>
    <row r="1610" spans="2:2" x14ac:dyDescent="0.3">
      <c r="B1610"/>
    </row>
    <row r="1611" spans="2:2" x14ac:dyDescent="0.3">
      <c r="B1611"/>
    </row>
    <row r="1612" spans="2:2" x14ac:dyDescent="0.3">
      <c r="B1612"/>
    </row>
    <row r="1613" spans="2:2" x14ac:dyDescent="0.3">
      <c r="B1613"/>
    </row>
    <row r="1614" spans="2:2" x14ac:dyDescent="0.3">
      <c r="B1614"/>
    </row>
    <row r="1615" spans="2:2" x14ac:dyDescent="0.3">
      <c r="B1615"/>
    </row>
    <row r="1616" spans="2:2" x14ac:dyDescent="0.3">
      <c r="B1616"/>
    </row>
    <row r="1617" spans="2:2" x14ac:dyDescent="0.3">
      <c r="B1617"/>
    </row>
    <row r="1618" spans="2:2" x14ac:dyDescent="0.3">
      <c r="B1618"/>
    </row>
    <row r="1619" spans="2:2" x14ac:dyDescent="0.3">
      <c r="B1619"/>
    </row>
    <row r="1620" spans="2:2" x14ac:dyDescent="0.3">
      <c r="B1620"/>
    </row>
    <row r="1621" spans="2:2" x14ac:dyDescent="0.3">
      <c r="B1621"/>
    </row>
    <row r="1622" spans="2:2" x14ac:dyDescent="0.3">
      <c r="B1622"/>
    </row>
    <row r="1623" spans="2:2" x14ac:dyDescent="0.3">
      <c r="B1623"/>
    </row>
    <row r="1624" spans="2:2" x14ac:dyDescent="0.3">
      <c r="B1624"/>
    </row>
    <row r="1625" spans="2:2" x14ac:dyDescent="0.3">
      <c r="B1625"/>
    </row>
    <row r="1626" spans="2:2" x14ac:dyDescent="0.3">
      <c r="B1626"/>
    </row>
    <row r="1627" spans="2:2" x14ac:dyDescent="0.3">
      <c r="B1627"/>
    </row>
    <row r="1628" spans="2:2" x14ac:dyDescent="0.3">
      <c r="B1628"/>
    </row>
    <row r="1629" spans="2:2" x14ac:dyDescent="0.3">
      <c r="B1629"/>
    </row>
    <row r="1630" spans="2:2" x14ac:dyDescent="0.3">
      <c r="B1630"/>
    </row>
    <row r="1631" spans="2:2" x14ac:dyDescent="0.3">
      <c r="B1631"/>
    </row>
    <row r="1632" spans="2:2" x14ac:dyDescent="0.3">
      <c r="B1632"/>
    </row>
    <row r="1633" spans="2:2" x14ac:dyDescent="0.3">
      <c r="B1633"/>
    </row>
    <row r="1634" spans="2:2" x14ac:dyDescent="0.3">
      <c r="B1634"/>
    </row>
    <row r="1635" spans="2:2" x14ac:dyDescent="0.3">
      <c r="B1635"/>
    </row>
    <row r="1636" spans="2:2" x14ac:dyDescent="0.3">
      <c r="B1636"/>
    </row>
    <row r="1637" spans="2:2" x14ac:dyDescent="0.3">
      <c r="B1637"/>
    </row>
    <row r="1638" spans="2:2" x14ac:dyDescent="0.3">
      <c r="B1638"/>
    </row>
    <row r="1639" spans="2:2" x14ac:dyDescent="0.3">
      <c r="B1639"/>
    </row>
    <row r="1640" spans="2:2" x14ac:dyDescent="0.3">
      <c r="B1640"/>
    </row>
    <row r="1641" spans="2:2" x14ac:dyDescent="0.3">
      <c r="B1641"/>
    </row>
    <row r="1642" spans="2:2" x14ac:dyDescent="0.3">
      <c r="B1642"/>
    </row>
    <row r="1643" spans="2:2" x14ac:dyDescent="0.3">
      <c r="B1643"/>
    </row>
    <row r="1644" spans="2:2" x14ac:dyDescent="0.3">
      <c r="B1644"/>
    </row>
    <row r="1645" spans="2:2" x14ac:dyDescent="0.3">
      <c r="B1645"/>
    </row>
    <row r="1646" spans="2:2" x14ac:dyDescent="0.3">
      <c r="B1646"/>
    </row>
    <row r="1647" spans="2:2" x14ac:dyDescent="0.3">
      <c r="B1647"/>
    </row>
    <row r="1648" spans="2:2" x14ac:dyDescent="0.3">
      <c r="B1648"/>
    </row>
    <row r="1649" spans="2:2" x14ac:dyDescent="0.3">
      <c r="B1649"/>
    </row>
    <row r="1650" spans="2:2" x14ac:dyDescent="0.3">
      <c r="B1650"/>
    </row>
    <row r="1651" spans="2:2" x14ac:dyDescent="0.3">
      <c r="B1651"/>
    </row>
    <row r="1652" spans="2:2" x14ac:dyDescent="0.3">
      <c r="B1652"/>
    </row>
    <row r="1653" spans="2:2" x14ac:dyDescent="0.3">
      <c r="B1653"/>
    </row>
    <row r="1654" spans="2:2" x14ac:dyDescent="0.3">
      <c r="B1654"/>
    </row>
    <row r="1655" spans="2:2" x14ac:dyDescent="0.3">
      <c r="B1655"/>
    </row>
    <row r="1656" spans="2:2" x14ac:dyDescent="0.3">
      <c r="B1656"/>
    </row>
    <row r="1657" spans="2:2" x14ac:dyDescent="0.3">
      <c r="B1657"/>
    </row>
    <row r="1658" spans="2:2" x14ac:dyDescent="0.3">
      <c r="B1658"/>
    </row>
    <row r="1659" spans="2:2" x14ac:dyDescent="0.3">
      <c r="B1659"/>
    </row>
    <row r="1660" spans="2:2" x14ac:dyDescent="0.3">
      <c r="B1660"/>
    </row>
    <row r="1661" spans="2:2" x14ac:dyDescent="0.3">
      <c r="B1661"/>
    </row>
    <row r="1662" spans="2:2" x14ac:dyDescent="0.3">
      <c r="B1662"/>
    </row>
    <row r="1663" spans="2:2" x14ac:dyDescent="0.3">
      <c r="B1663"/>
    </row>
    <row r="1664" spans="2:2" x14ac:dyDescent="0.3">
      <c r="B1664"/>
    </row>
    <row r="1665" spans="2:2" x14ac:dyDescent="0.3">
      <c r="B1665"/>
    </row>
    <row r="1666" spans="2:2" x14ac:dyDescent="0.3">
      <c r="B1666"/>
    </row>
    <row r="1667" spans="2:2" x14ac:dyDescent="0.3">
      <c r="B1667"/>
    </row>
    <row r="1668" spans="2:2" x14ac:dyDescent="0.3">
      <c r="B1668"/>
    </row>
    <row r="1669" spans="2:2" x14ac:dyDescent="0.3">
      <c r="B1669"/>
    </row>
    <row r="1670" spans="2:2" x14ac:dyDescent="0.3">
      <c r="B1670"/>
    </row>
    <row r="1671" spans="2:2" x14ac:dyDescent="0.3">
      <c r="B1671"/>
    </row>
    <row r="1672" spans="2:2" x14ac:dyDescent="0.3">
      <c r="B1672"/>
    </row>
    <row r="1673" spans="2:2" x14ac:dyDescent="0.3">
      <c r="B1673"/>
    </row>
    <row r="1674" spans="2:2" x14ac:dyDescent="0.3">
      <c r="B1674"/>
    </row>
    <row r="1675" spans="2:2" x14ac:dyDescent="0.3">
      <c r="B1675"/>
    </row>
    <row r="1676" spans="2:2" x14ac:dyDescent="0.3">
      <c r="B1676"/>
    </row>
    <row r="1677" spans="2:2" x14ac:dyDescent="0.3">
      <c r="B1677"/>
    </row>
    <row r="1678" spans="2:2" x14ac:dyDescent="0.3">
      <c r="B1678"/>
    </row>
    <row r="1679" spans="2:2" x14ac:dyDescent="0.3">
      <c r="B1679"/>
    </row>
    <row r="1680" spans="2:2" x14ac:dyDescent="0.3">
      <c r="B1680"/>
    </row>
    <row r="1681" spans="2:2" x14ac:dyDescent="0.3">
      <c r="B1681"/>
    </row>
    <row r="1682" spans="2:2" x14ac:dyDescent="0.3">
      <c r="B1682"/>
    </row>
    <row r="1683" spans="2:2" x14ac:dyDescent="0.3">
      <c r="B1683"/>
    </row>
    <row r="1684" spans="2:2" x14ac:dyDescent="0.3">
      <c r="B1684"/>
    </row>
    <row r="1685" spans="2:2" x14ac:dyDescent="0.3">
      <c r="B1685"/>
    </row>
    <row r="1686" spans="2:2" x14ac:dyDescent="0.3">
      <c r="B1686"/>
    </row>
    <row r="1687" spans="2:2" x14ac:dyDescent="0.3">
      <c r="B1687"/>
    </row>
    <row r="1688" spans="2:2" x14ac:dyDescent="0.3">
      <c r="B1688"/>
    </row>
    <row r="1689" spans="2:2" x14ac:dyDescent="0.3">
      <c r="B1689"/>
    </row>
    <row r="1690" spans="2:2" x14ac:dyDescent="0.3">
      <c r="B1690"/>
    </row>
    <row r="1691" spans="2:2" x14ac:dyDescent="0.3">
      <c r="B1691"/>
    </row>
    <row r="1692" spans="2:2" x14ac:dyDescent="0.3">
      <c r="B1692"/>
    </row>
    <row r="1693" spans="2:2" x14ac:dyDescent="0.3">
      <c r="B1693"/>
    </row>
    <row r="1694" spans="2:2" x14ac:dyDescent="0.3">
      <c r="B1694"/>
    </row>
    <row r="1695" spans="2:2" x14ac:dyDescent="0.3">
      <c r="B1695"/>
    </row>
    <row r="1696" spans="2:2" x14ac:dyDescent="0.3">
      <c r="B1696"/>
    </row>
    <row r="1697" spans="2:2" x14ac:dyDescent="0.3">
      <c r="B1697"/>
    </row>
    <row r="1698" spans="2:2" x14ac:dyDescent="0.3">
      <c r="B1698"/>
    </row>
    <row r="1699" spans="2:2" x14ac:dyDescent="0.3">
      <c r="B1699"/>
    </row>
    <row r="1700" spans="2:2" x14ac:dyDescent="0.3">
      <c r="B1700"/>
    </row>
    <row r="1701" spans="2:2" x14ac:dyDescent="0.3">
      <c r="B1701"/>
    </row>
    <row r="1702" spans="2:2" x14ac:dyDescent="0.3">
      <c r="B1702"/>
    </row>
    <row r="1703" spans="2:2" x14ac:dyDescent="0.3">
      <c r="B1703"/>
    </row>
    <row r="1704" spans="2:2" x14ac:dyDescent="0.3">
      <c r="B1704"/>
    </row>
    <row r="1705" spans="2:2" x14ac:dyDescent="0.3">
      <c r="B1705"/>
    </row>
    <row r="1706" spans="2:2" x14ac:dyDescent="0.3">
      <c r="B1706"/>
    </row>
    <row r="1707" spans="2:2" x14ac:dyDescent="0.3">
      <c r="B1707"/>
    </row>
    <row r="1708" spans="2:2" x14ac:dyDescent="0.3">
      <c r="B1708"/>
    </row>
    <row r="1709" spans="2:2" x14ac:dyDescent="0.3">
      <c r="B1709"/>
    </row>
    <row r="1710" spans="2:2" x14ac:dyDescent="0.3">
      <c r="B1710"/>
    </row>
    <row r="1711" spans="2:2" x14ac:dyDescent="0.3">
      <c r="B1711"/>
    </row>
    <row r="1712" spans="2:2" x14ac:dyDescent="0.3">
      <c r="B1712"/>
    </row>
    <row r="1713" spans="2:2" x14ac:dyDescent="0.3">
      <c r="B1713"/>
    </row>
    <row r="1714" spans="2:2" x14ac:dyDescent="0.3">
      <c r="B1714"/>
    </row>
    <row r="1715" spans="2:2" x14ac:dyDescent="0.3">
      <c r="B1715"/>
    </row>
    <row r="1716" spans="2:2" x14ac:dyDescent="0.3">
      <c r="B1716"/>
    </row>
    <row r="1717" spans="2:2" x14ac:dyDescent="0.3">
      <c r="B1717"/>
    </row>
    <row r="1718" spans="2:2" x14ac:dyDescent="0.3">
      <c r="B1718"/>
    </row>
    <row r="1719" spans="2:2" x14ac:dyDescent="0.3">
      <c r="B1719"/>
    </row>
    <row r="1720" spans="2:2" x14ac:dyDescent="0.3">
      <c r="B1720"/>
    </row>
    <row r="1721" spans="2:2" x14ac:dyDescent="0.3">
      <c r="B1721"/>
    </row>
    <row r="1722" spans="2:2" x14ac:dyDescent="0.3">
      <c r="B1722"/>
    </row>
    <row r="1723" spans="2:2" x14ac:dyDescent="0.3">
      <c r="B1723"/>
    </row>
    <row r="1724" spans="2:2" x14ac:dyDescent="0.3">
      <c r="B1724"/>
    </row>
    <row r="1725" spans="2:2" x14ac:dyDescent="0.3">
      <c r="B1725"/>
    </row>
    <row r="1726" spans="2:2" x14ac:dyDescent="0.3">
      <c r="B1726"/>
    </row>
    <row r="1727" spans="2:2" x14ac:dyDescent="0.3">
      <c r="B1727"/>
    </row>
    <row r="1728" spans="2:2" x14ac:dyDescent="0.3">
      <c r="B1728"/>
    </row>
    <row r="1729" spans="2:2" x14ac:dyDescent="0.3">
      <c r="B1729"/>
    </row>
    <row r="1730" spans="2:2" x14ac:dyDescent="0.3">
      <c r="B1730"/>
    </row>
    <row r="1731" spans="2:2" x14ac:dyDescent="0.3">
      <c r="B1731"/>
    </row>
    <row r="1732" spans="2:2" x14ac:dyDescent="0.3">
      <c r="B1732"/>
    </row>
    <row r="1733" spans="2:2" x14ac:dyDescent="0.3">
      <c r="B1733"/>
    </row>
    <row r="1734" spans="2:2" x14ac:dyDescent="0.3">
      <c r="B1734"/>
    </row>
    <row r="1735" spans="2:2" x14ac:dyDescent="0.3">
      <c r="B1735"/>
    </row>
    <row r="1736" spans="2:2" x14ac:dyDescent="0.3">
      <c r="B1736"/>
    </row>
    <row r="1737" spans="2:2" x14ac:dyDescent="0.3">
      <c r="B1737"/>
    </row>
    <row r="1738" spans="2:2" x14ac:dyDescent="0.3">
      <c r="B1738"/>
    </row>
    <row r="1739" spans="2:2" x14ac:dyDescent="0.3">
      <c r="B1739"/>
    </row>
    <row r="1740" spans="2:2" x14ac:dyDescent="0.3">
      <c r="B1740"/>
    </row>
    <row r="1741" spans="2:2" x14ac:dyDescent="0.3">
      <c r="B1741"/>
    </row>
    <row r="1742" spans="2:2" x14ac:dyDescent="0.3">
      <c r="B1742"/>
    </row>
    <row r="1743" spans="2:2" x14ac:dyDescent="0.3">
      <c r="B1743"/>
    </row>
    <row r="1744" spans="2:2" x14ac:dyDescent="0.3">
      <c r="B1744"/>
    </row>
    <row r="1745" spans="2:2" x14ac:dyDescent="0.3">
      <c r="B1745"/>
    </row>
    <row r="1746" spans="2:2" x14ac:dyDescent="0.3">
      <c r="B1746"/>
    </row>
    <row r="1747" spans="2:2" x14ac:dyDescent="0.3">
      <c r="B1747"/>
    </row>
    <row r="1748" spans="2:2" x14ac:dyDescent="0.3">
      <c r="B1748"/>
    </row>
    <row r="1749" spans="2:2" x14ac:dyDescent="0.3">
      <c r="B1749"/>
    </row>
    <row r="1750" spans="2:2" x14ac:dyDescent="0.3">
      <c r="B1750"/>
    </row>
    <row r="1751" spans="2:2" x14ac:dyDescent="0.3">
      <c r="B1751"/>
    </row>
    <row r="1752" spans="2:2" x14ac:dyDescent="0.3">
      <c r="B1752"/>
    </row>
    <row r="1753" spans="2:2" x14ac:dyDescent="0.3">
      <c r="B1753"/>
    </row>
    <row r="1754" spans="2:2" x14ac:dyDescent="0.3">
      <c r="B1754"/>
    </row>
    <row r="1755" spans="2:2" x14ac:dyDescent="0.3">
      <c r="B1755"/>
    </row>
    <row r="1756" spans="2:2" x14ac:dyDescent="0.3">
      <c r="B1756"/>
    </row>
    <row r="1757" spans="2:2" x14ac:dyDescent="0.3">
      <c r="B1757"/>
    </row>
    <row r="1758" spans="2:2" x14ac:dyDescent="0.3">
      <c r="B1758"/>
    </row>
    <row r="1759" spans="2:2" x14ac:dyDescent="0.3">
      <c r="B1759"/>
    </row>
    <row r="1760" spans="2:2" x14ac:dyDescent="0.3">
      <c r="B1760"/>
    </row>
    <row r="1761" spans="2:2" x14ac:dyDescent="0.3">
      <c r="B1761"/>
    </row>
    <row r="1762" spans="2:2" x14ac:dyDescent="0.3">
      <c r="B1762"/>
    </row>
    <row r="1763" spans="2:2" x14ac:dyDescent="0.3">
      <c r="B1763"/>
    </row>
    <row r="1764" spans="2:2" x14ac:dyDescent="0.3">
      <c r="B1764"/>
    </row>
    <row r="1765" spans="2:2" x14ac:dyDescent="0.3">
      <c r="B1765"/>
    </row>
    <row r="1766" spans="2:2" x14ac:dyDescent="0.3">
      <c r="B1766"/>
    </row>
    <row r="1767" spans="2:2" x14ac:dyDescent="0.3">
      <c r="B1767"/>
    </row>
    <row r="1768" spans="2:2" x14ac:dyDescent="0.3">
      <c r="B1768"/>
    </row>
    <row r="1769" spans="2:2" x14ac:dyDescent="0.3">
      <c r="B1769"/>
    </row>
    <row r="1770" spans="2:2" x14ac:dyDescent="0.3">
      <c r="B1770"/>
    </row>
    <row r="1771" spans="2:2" x14ac:dyDescent="0.3">
      <c r="B1771"/>
    </row>
    <row r="1772" spans="2:2" x14ac:dyDescent="0.3">
      <c r="B1772"/>
    </row>
    <row r="1773" spans="2:2" x14ac:dyDescent="0.3">
      <c r="B1773"/>
    </row>
    <row r="1774" spans="2:2" x14ac:dyDescent="0.3">
      <c r="B1774"/>
    </row>
    <row r="1775" spans="2:2" x14ac:dyDescent="0.3">
      <c r="B1775"/>
    </row>
    <row r="1776" spans="2:2" x14ac:dyDescent="0.3">
      <c r="B1776"/>
    </row>
    <row r="1777" spans="2:2" x14ac:dyDescent="0.3">
      <c r="B1777"/>
    </row>
    <row r="1778" spans="2:2" x14ac:dyDescent="0.3">
      <c r="B1778"/>
    </row>
    <row r="1779" spans="2:2" x14ac:dyDescent="0.3">
      <c r="B1779"/>
    </row>
    <row r="1780" spans="2:2" x14ac:dyDescent="0.3">
      <c r="B1780"/>
    </row>
    <row r="1781" spans="2:2" x14ac:dyDescent="0.3">
      <c r="B1781"/>
    </row>
    <row r="1782" spans="2:2" x14ac:dyDescent="0.3">
      <c r="B1782"/>
    </row>
    <row r="1783" spans="2:2" x14ac:dyDescent="0.3">
      <c r="B1783"/>
    </row>
    <row r="1784" spans="2:2" x14ac:dyDescent="0.3">
      <c r="B1784"/>
    </row>
    <row r="1785" spans="2:2" x14ac:dyDescent="0.3">
      <c r="B1785"/>
    </row>
    <row r="1786" spans="2:2" x14ac:dyDescent="0.3">
      <c r="B1786"/>
    </row>
    <row r="1787" spans="2:2" x14ac:dyDescent="0.3">
      <c r="B1787"/>
    </row>
    <row r="1788" spans="2:2" x14ac:dyDescent="0.3">
      <c r="B1788"/>
    </row>
    <row r="1789" spans="2:2" x14ac:dyDescent="0.3">
      <c r="B1789"/>
    </row>
    <row r="1790" spans="2:2" x14ac:dyDescent="0.3">
      <c r="B1790"/>
    </row>
    <row r="1791" spans="2:2" x14ac:dyDescent="0.3">
      <c r="B1791"/>
    </row>
    <row r="1792" spans="2:2" x14ac:dyDescent="0.3">
      <c r="B1792"/>
    </row>
    <row r="1793" spans="2:2" x14ac:dyDescent="0.3">
      <c r="B1793"/>
    </row>
    <row r="1794" spans="2:2" x14ac:dyDescent="0.3">
      <c r="B1794"/>
    </row>
    <row r="1795" spans="2:2" x14ac:dyDescent="0.3">
      <c r="B1795"/>
    </row>
    <row r="1796" spans="2:2" x14ac:dyDescent="0.3">
      <c r="B1796"/>
    </row>
    <row r="1797" spans="2:2" x14ac:dyDescent="0.3">
      <c r="B1797"/>
    </row>
    <row r="1798" spans="2:2" x14ac:dyDescent="0.3">
      <c r="B1798"/>
    </row>
    <row r="1799" spans="2:2" x14ac:dyDescent="0.3">
      <c r="B1799"/>
    </row>
    <row r="1800" spans="2:2" x14ac:dyDescent="0.3">
      <c r="B1800"/>
    </row>
    <row r="1801" spans="2:2" x14ac:dyDescent="0.3">
      <c r="B1801"/>
    </row>
    <row r="1802" spans="2:2" x14ac:dyDescent="0.3">
      <c r="B1802"/>
    </row>
    <row r="1803" spans="2:2" x14ac:dyDescent="0.3">
      <c r="B1803"/>
    </row>
    <row r="1804" spans="2:2" x14ac:dyDescent="0.3">
      <c r="B1804"/>
    </row>
    <row r="1805" spans="2:2" x14ac:dyDescent="0.3">
      <c r="B1805"/>
    </row>
    <row r="1806" spans="2:2" x14ac:dyDescent="0.3">
      <c r="B1806"/>
    </row>
    <row r="1807" spans="2:2" x14ac:dyDescent="0.3">
      <c r="B1807"/>
    </row>
    <row r="1808" spans="2:2" x14ac:dyDescent="0.3">
      <c r="B1808"/>
    </row>
    <row r="1809" spans="2:2" x14ac:dyDescent="0.3">
      <c r="B1809"/>
    </row>
    <row r="1810" spans="2:2" x14ac:dyDescent="0.3">
      <c r="B1810"/>
    </row>
    <row r="1811" spans="2:2" x14ac:dyDescent="0.3">
      <c r="B1811"/>
    </row>
    <row r="1812" spans="2:2" x14ac:dyDescent="0.3">
      <c r="B1812"/>
    </row>
    <row r="1813" spans="2:2" x14ac:dyDescent="0.3">
      <c r="B1813"/>
    </row>
    <row r="1814" spans="2:2" x14ac:dyDescent="0.3">
      <c r="B1814"/>
    </row>
    <row r="1815" spans="2:2" x14ac:dyDescent="0.3">
      <c r="B1815"/>
    </row>
    <row r="1816" spans="2:2" x14ac:dyDescent="0.3">
      <c r="B1816"/>
    </row>
    <row r="1817" spans="2:2" x14ac:dyDescent="0.3">
      <c r="B1817"/>
    </row>
    <row r="1818" spans="2:2" x14ac:dyDescent="0.3">
      <c r="B1818"/>
    </row>
    <row r="1819" spans="2:2" x14ac:dyDescent="0.3">
      <c r="B1819"/>
    </row>
    <row r="1820" spans="2:2" x14ac:dyDescent="0.3">
      <c r="B1820"/>
    </row>
    <row r="1821" spans="2:2" x14ac:dyDescent="0.3">
      <c r="B1821"/>
    </row>
    <row r="1822" spans="2:2" x14ac:dyDescent="0.3">
      <c r="B1822"/>
    </row>
    <row r="1823" spans="2:2" x14ac:dyDescent="0.3">
      <c r="B1823"/>
    </row>
    <row r="1824" spans="2:2" x14ac:dyDescent="0.3">
      <c r="B1824"/>
    </row>
    <row r="1825" spans="2:2" x14ac:dyDescent="0.3">
      <c r="B1825"/>
    </row>
    <row r="1826" spans="2:2" x14ac:dyDescent="0.3">
      <c r="B1826"/>
    </row>
    <row r="1827" spans="2:2" x14ac:dyDescent="0.3">
      <c r="B1827"/>
    </row>
    <row r="1828" spans="2:2" x14ac:dyDescent="0.3">
      <c r="B1828"/>
    </row>
    <row r="1829" spans="2:2" x14ac:dyDescent="0.3">
      <c r="B1829"/>
    </row>
    <row r="1830" spans="2:2" x14ac:dyDescent="0.3">
      <c r="B1830"/>
    </row>
    <row r="1831" spans="2:2" x14ac:dyDescent="0.3">
      <c r="B1831"/>
    </row>
    <row r="1832" spans="2:2" x14ac:dyDescent="0.3">
      <c r="B1832"/>
    </row>
    <row r="1833" spans="2:2" x14ac:dyDescent="0.3">
      <c r="B1833"/>
    </row>
    <row r="1834" spans="2:2" x14ac:dyDescent="0.3">
      <c r="B1834"/>
    </row>
    <row r="1835" spans="2:2" x14ac:dyDescent="0.3">
      <c r="B1835"/>
    </row>
    <row r="1836" spans="2:2" x14ac:dyDescent="0.3">
      <c r="B1836"/>
    </row>
    <row r="1837" spans="2:2" x14ac:dyDescent="0.3">
      <c r="B1837"/>
    </row>
    <row r="1838" spans="2:2" x14ac:dyDescent="0.3">
      <c r="B1838"/>
    </row>
    <row r="1839" spans="2:2" x14ac:dyDescent="0.3">
      <c r="B1839"/>
    </row>
    <row r="1840" spans="2:2" x14ac:dyDescent="0.3">
      <c r="B1840"/>
    </row>
    <row r="1841" spans="2:2" x14ac:dyDescent="0.3">
      <c r="B1841"/>
    </row>
    <row r="1842" spans="2:2" x14ac:dyDescent="0.3">
      <c r="B1842"/>
    </row>
    <row r="1843" spans="2:2" x14ac:dyDescent="0.3">
      <c r="B1843"/>
    </row>
    <row r="1844" spans="2:2" x14ac:dyDescent="0.3">
      <c r="B1844"/>
    </row>
    <row r="1845" spans="2:2" x14ac:dyDescent="0.3">
      <c r="B1845"/>
    </row>
    <row r="1846" spans="2:2" x14ac:dyDescent="0.3">
      <c r="B1846"/>
    </row>
    <row r="1847" spans="2:2" x14ac:dyDescent="0.3">
      <c r="B1847"/>
    </row>
    <row r="1848" spans="2:2" x14ac:dyDescent="0.3">
      <c r="B1848"/>
    </row>
    <row r="1849" spans="2:2" x14ac:dyDescent="0.3">
      <c r="B1849"/>
    </row>
    <row r="1850" spans="2:2" x14ac:dyDescent="0.3">
      <c r="B1850"/>
    </row>
    <row r="1851" spans="2:2" x14ac:dyDescent="0.3">
      <c r="B1851"/>
    </row>
    <row r="1852" spans="2:2" x14ac:dyDescent="0.3">
      <c r="B1852"/>
    </row>
    <row r="1853" spans="2:2" x14ac:dyDescent="0.3">
      <c r="B1853"/>
    </row>
    <row r="1854" spans="2:2" x14ac:dyDescent="0.3">
      <c r="B1854"/>
    </row>
    <row r="1855" spans="2:2" x14ac:dyDescent="0.3">
      <c r="B1855"/>
    </row>
    <row r="1856" spans="2:2" x14ac:dyDescent="0.3">
      <c r="B1856"/>
    </row>
    <row r="1857" spans="2:2" x14ac:dyDescent="0.3">
      <c r="B1857"/>
    </row>
    <row r="1858" spans="2:2" x14ac:dyDescent="0.3">
      <c r="B1858"/>
    </row>
    <row r="1859" spans="2:2" x14ac:dyDescent="0.3">
      <c r="B1859"/>
    </row>
    <row r="1860" spans="2:2" x14ac:dyDescent="0.3">
      <c r="B1860"/>
    </row>
    <row r="1861" spans="2:2" x14ac:dyDescent="0.3">
      <c r="B1861"/>
    </row>
    <row r="1862" spans="2:2" x14ac:dyDescent="0.3">
      <c r="B1862"/>
    </row>
    <row r="1863" spans="2:2" x14ac:dyDescent="0.3">
      <c r="B1863"/>
    </row>
    <row r="1864" spans="2:2" x14ac:dyDescent="0.3">
      <c r="B1864"/>
    </row>
    <row r="1865" spans="2:2" x14ac:dyDescent="0.3">
      <c r="B1865"/>
    </row>
    <row r="1866" spans="2:2" x14ac:dyDescent="0.3">
      <c r="B1866"/>
    </row>
    <row r="1867" spans="2:2" x14ac:dyDescent="0.3">
      <c r="B1867"/>
    </row>
    <row r="1868" spans="2:2" x14ac:dyDescent="0.3">
      <c r="B1868"/>
    </row>
    <row r="1869" spans="2:2" x14ac:dyDescent="0.3">
      <c r="B1869"/>
    </row>
    <row r="1870" spans="2:2" x14ac:dyDescent="0.3">
      <c r="B1870"/>
    </row>
    <row r="1871" spans="2:2" x14ac:dyDescent="0.3">
      <c r="B1871"/>
    </row>
    <row r="1872" spans="2:2" x14ac:dyDescent="0.3">
      <c r="B1872"/>
    </row>
    <row r="1873" spans="2:2" x14ac:dyDescent="0.3">
      <c r="B1873"/>
    </row>
    <row r="1874" spans="2:2" x14ac:dyDescent="0.3">
      <c r="B1874"/>
    </row>
    <row r="1875" spans="2:2" x14ac:dyDescent="0.3">
      <c r="B1875"/>
    </row>
    <row r="1876" spans="2:2" x14ac:dyDescent="0.3">
      <c r="B1876"/>
    </row>
    <row r="1877" spans="2:2" x14ac:dyDescent="0.3">
      <c r="B1877"/>
    </row>
    <row r="1878" spans="2:2" x14ac:dyDescent="0.3">
      <c r="B1878"/>
    </row>
    <row r="1879" spans="2:2" x14ac:dyDescent="0.3">
      <c r="B1879"/>
    </row>
    <row r="1880" spans="2:2" x14ac:dyDescent="0.3">
      <c r="B1880"/>
    </row>
    <row r="1881" spans="2:2" x14ac:dyDescent="0.3">
      <c r="B1881"/>
    </row>
    <row r="1882" spans="2:2" x14ac:dyDescent="0.3">
      <c r="B1882"/>
    </row>
    <row r="1883" spans="2:2" x14ac:dyDescent="0.3">
      <c r="B1883"/>
    </row>
    <row r="1884" spans="2:2" x14ac:dyDescent="0.3">
      <c r="B1884"/>
    </row>
    <row r="1885" spans="2:2" x14ac:dyDescent="0.3">
      <c r="B1885"/>
    </row>
    <row r="1886" spans="2:2" x14ac:dyDescent="0.3">
      <c r="B1886"/>
    </row>
    <row r="1887" spans="2:2" x14ac:dyDescent="0.3">
      <c r="B1887"/>
    </row>
    <row r="1888" spans="2:2" x14ac:dyDescent="0.3">
      <c r="B1888"/>
    </row>
    <row r="1889" spans="2:2" x14ac:dyDescent="0.3">
      <c r="B1889"/>
    </row>
    <row r="1890" spans="2:2" x14ac:dyDescent="0.3">
      <c r="B1890"/>
    </row>
    <row r="1891" spans="2:2" x14ac:dyDescent="0.3">
      <c r="B1891"/>
    </row>
    <row r="1892" spans="2:2" x14ac:dyDescent="0.3">
      <c r="B1892"/>
    </row>
    <row r="1893" spans="2:2" x14ac:dyDescent="0.3">
      <c r="B1893"/>
    </row>
    <row r="1894" spans="2:2" x14ac:dyDescent="0.3">
      <c r="B1894"/>
    </row>
    <row r="1895" spans="2:2" x14ac:dyDescent="0.3">
      <c r="B1895"/>
    </row>
    <row r="1896" spans="2:2" x14ac:dyDescent="0.3">
      <c r="B1896"/>
    </row>
    <row r="1897" spans="2:2" x14ac:dyDescent="0.3">
      <c r="B1897"/>
    </row>
    <row r="1898" spans="2:2" x14ac:dyDescent="0.3">
      <c r="B1898"/>
    </row>
    <row r="1899" spans="2:2" x14ac:dyDescent="0.3">
      <c r="B1899"/>
    </row>
    <row r="1900" spans="2:2" x14ac:dyDescent="0.3">
      <c r="B1900"/>
    </row>
    <row r="1901" spans="2:2" x14ac:dyDescent="0.3">
      <c r="B1901"/>
    </row>
    <row r="1902" spans="2:2" x14ac:dyDescent="0.3">
      <c r="B1902"/>
    </row>
    <row r="1903" spans="2:2" x14ac:dyDescent="0.3">
      <c r="B1903"/>
    </row>
    <row r="1904" spans="2:2" x14ac:dyDescent="0.3">
      <c r="B1904"/>
    </row>
    <row r="1905" spans="2:2" x14ac:dyDescent="0.3">
      <c r="B1905"/>
    </row>
    <row r="1906" spans="2:2" x14ac:dyDescent="0.3">
      <c r="B1906"/>
    </row>
    <row r="1907" spans="2:2" x14ac:dyDescent="0.3">
      <c r="B1907"/>
    </row>
    <row r="1908" spans="2:2" x14ac:dyDescent="0.3">
      <c r="B1908"/>
    </row>
    <row r="1909" spans="2:2" x14ac:dyDescent="0.3">
      <c r="B1909"/>
    </row>
    <row r="1910" spans="2:2" x14ac:dyDescent="0.3">
      <c r="B1910"/>
    </row>
    <row r="1911" spans="2:2" x14ac:dyDescent="0.3">
      <c r="B1911"/>
    </row>
    <row r="1912" spans="2:2" x14ac:dyDescent="0.3">
      <c r="B1912"/>
    </row>
    <row r="1913" spans="2:2" x14ac:dyDescent="0.3">
      <c r="B1913"/>
    </row>
    <row r="1914" spans="2:2" x14ac:dyDescent="0.3">
      <c r="B1914"/>
    </row>
    <row r="1915" spans="2:2" x14ac:dyDescent="0.3">
      <c r="B1915"/>
    </row>
    <row r="1916" spans="2:2" x14ac:dyDescent="0.3">
      <c r="B1916"/>
    </row>
    <row r="1917" spans="2:2" x14ac:dyDescent="0.3">
      <c r="B1917"/>
    </row>
    <row r="1918" spans="2:2" x14ac:dyDescent="0.3">
      <c r="B1918"/>
    </row>
    <row r="1919" spans="2:2" x14ac:dyDescent="0.3">
      <c r="B1919"/>
    </row>
    <row r="1920" spans="2:2" x14ac:dyDescent="0.3">
      <c r="B1920"/>
    </row>
    <row r="1921" spans="2:2" x14ac:dyDescent="0.3">
      <c r="B1921"/>
    </row>
    <row r="1922" spans="2:2" x14ac:dyDescent="0.3">
      <c r="B1922"/>
    </row>
    <row r="1923" spans="2:2" x14ac:dyDescent="0.3">
      <c r="B1923"/>
    </row>
    <row r="1924" spans="2:2" x14ac:dyDescent="0.3">
      <c r="B1924"/>
    </row>
    <row r="1925" spans="2:2" x14ac:dyDescent="0.3">
      <c r="B1925"/>
    </row>
    <row r="1926" spans="2:2" x14ac:dyDescent="0.3">
      <c r="B1926"/>
    </row>
    <row r="1927" spans="2:2" x14ac:dyDescent="0.3">
      <c r="B1927"/>
    </row>
    <row r="1928" spans="2:2" x14ac:dyDescent="0.3">
      <c r="B1928"/>
    </row>
    <row r="1929" spans="2:2" x14ac:dyDescent="0.3">
      <c r="B1929"/>
    </row>
    <row r="1930" spans="2:2" x14ac:dyDescent="0.3">
      <c r="B1930"/>
    </row>
    <row r="1931" spans="2:2" x14ac:dyDescent="0.3">
      <c r="B1931"/>
    </row>
    <row r="1932" spans="2:2" x14ac:dyDescent="0.3">
      <c r="B1932"/>
    </row>
    <row r="1933" spans="2:2" x14ac:dyDescent="0.3">
      <c r="B1933"/>
    </row>
    <row r="1934" spans="2:2" x14ac:dyDescent="0.3">
      <c r="B1934"/>
    </row>
    <row r="1935" spans="2:2" x14ac:dyDescent="0.3">
      <c r="B1935"/>
    </row>
    <row r="1936" spans="2:2" x14ac:dyDescent="0.3">
      <c r="B1936"/>
    </row>
    <row r="1937" spans="2:2" x14ac:dyDescent="0.3">
      <c r="B1937"/>
    </row>
    <row r="1938" spans="2:2" x14ac:dyDescent="0.3">
      <c r="B1938"/>
    </row>
    <row r="1939" spans="2:2" x14ac:dyDescent="0.3">
      <c r="B1939"/>
    </row>
    <row r="1940" spans="2:2" x14ac:dyDescent="0.3">
      <c r="B1940"/>
    </row>
    <row r="1941" spans="2:2" x14ac:dyDescent="0.3">
      <c r="B1941"/>
    </row>
    <row r="1942" spans="2:2" x14ac:dyDescent="0.3">
      <c r="B1942"/>
    </row>
    <row r="1943" spans="2:2" x14ac:dyDescent="0.3">
      <c r="B1943"/>
    </row>
    <row r="1944" spans="2:2" x14ac:dyDescent="0.3">
      <c r="B1944"/>
    </row>
    <row r="1945" spans="2:2" x14ac:dyDescent="0.3">
      <c r="B1945"/>
    </row>
    <row r="1946" spans="2:2" x14ac:dyDescent="0.3">
      <c r="B1946"/>
    </row>
    <row r="1947" spans="2:2" x14ac:dyDescent="0.3">
      <c r="B1947"/>
    </row>
    <row r="1948" spans="2:2" x14ac:dyDescent="0.3">
      <c r="B1948"/>
    </row>
    <row r="1949" spans="2:2" x14ac:dyDescent="0.3">
      <c r="B1949"/>
    </row>
    <row r="1950" spans="2:2" x14ac:dyDescent="0.3">
      <c r="B1950"/>
    </row>
    <row r="1951" spans="2:2" x14ac:dyDescent="0.3">
      <c r="B1951"/>
    </row>
    <row r="1952" spans="2:2" x14ac:dyDescent="0.3">
      <c r="B1952"/>
    </row>
    <row r="1953" spans="2:2" x14ac:dyDescent="0.3">
      <c r="B1953"/>
    </row>
    <row r="1954" spans="2:2" x14ac:dyDescent="0.3">
      <c r="B1954"/>
    </row>
    <row r="1955" spans="2:2" x14ac:dyDescent="0.3">
      <c r="B1955"/>
    </row>
    <row r="1956" spans="2:2" x14ac:dyDescent="0.3">
      <c r="B1956"/>
    </row>
    <row r="1957" spans="2:2" x14ac:dyDescent="0.3">
      <c r="B1957"/>
    </row>
    <row r="1958" spans="2:2" x14ac:dyDescent="0.3">
      <c r="B1958"/>
    </row>
    <row r="1959" spans="2:2" x14ac:dyDescent="0.3">
      <c r="B1959"/>
    </row>
    <row r="1960" spans="2:2" x14ac:dyDescent="0.3">
      <c r="B1960"/>
    </row>
    <row r="1961" spans="2:2" x14ac:dyDescent="0.3">
      <c r="B1961"/>
    </row>
    <row r="1962" spans="2:2" x14ac:dyDescent="0.3">
      <c r="B1962"/>
    </row>
    <row r="1963" spans="2:2" x14ac:dyDescent="0.3">
      <c r="B1963"/>
    </row>
    <row r="1964" spans="2:2" x14ac:dyDescent="0.3">
      <c r="B1964"/>
    </row>
    <row r="1965" spans="2:2" x14ac:dyDescent="0.3">
      <c r="B1965"/>
    </row>
    <row r="1966" spans="2:2" x14ac:dyDescent="0.3">
      <c r="B1966"/>
    </row>
    <row r="1967" spans="2:2" x14ac:dyDescent="0.3">
      <c r="B1967"/>
    </row>
    <row r="1968" spans="2:2" x14ac:dyDescent="0.3">
      <c r="B1968"/>
    </row>
    <row r="1969" spans="2:2" x14ac:dyDescent="0.3">
      <c r="B1969"/>
    </row>
    <row r="1970" spans="2:2" x14ac:dyDescent="0.3">
      <c r="B1970"/>
    </row>
    <row r="1971" spans="2:2" x14ac:dyDescent="0.3">
      <c r="B1971"/>
    </row>
    <row r="1972" spans="2:2" x14ac:dyDescent="0.3">
      <c r="B1972"/>
    </row>
    <row r="1973" spans="2:2" x14ac:dyDescent="0.3">
      <c r="B1973"/>
    </row>
    <row r="1974" spans="2:2" x14ac:dyDescent="0.3">
      <c r="B1974"/>
    </row>
    <row r="1975" spans="2:2" x14ac:dyDescent="0.3">
      <c r="B1975"/>
    </row>
    <row r="1976" spans="2:2" x14ac:dyDescent="0.3">
      <c r="B1976"/>
    </row>
    <row r="1977" spans="2:2" x14ac:dyDescent="0.3">
      <c r="B1977"/>
    </row>
    <row r="1978" spans="2:2" x14ac:dyDescent="0.3">
      <c r="B1978"/>
    </row>
    <row r="1979" spans="2:2" x14ac:dyDescent="0.3">
      <c r="B1979"/>
    </row>
    <row r="1980" spans="2:2" x14ac:dyDescent="0.3">
      <c r="B1980"/>
    </row>
    <row r="1981" spans="2:2" x14ac:dyDescent="0.3">
      <c r="B1981"/>
    </row>
    <row r="1982" spans="2:2" x14ac:dyDescent="0.3">
      <c r="B1982"/>
    </row>
    <row r="1983" spans="2:2" x14ac:dyDescent="0.3">
      <c r="B1983"/>
    </row>
    <row r="1984" spans="2:2" x14ac:dyDescent="0.3">
      <c r="B1984"/>
    </row>
    <row r="1985" spans="2:2" x14ac:dyDescent="0.3">
      <c r="B1985"/>
    </row>
    <row r="1986" spans="2:2" x14ac:dyDescent="0.3">
      <c r="B1986"/>
    </row>
    <row r="1987" spans="2:2" x14ac:dyDescent="0.3">
      <c r="B1987"/>
    </row>
    <row r="1988" spans="2:2" x14ac:dyDescent="0.3">
      <c r="B1988"/>
    </row>
    <row r="1989" spans="2:2" x14ac:dyDescent="0.3">
      <c r="B1989"/>
    </row>
    <row r="1990" spans="2:2" x14ac:dyDescent="0.3">
      <c r="B1990"/>
    </row>
    <row r="1991" spans="2:2" x14ac:dyDescent="0.3">
      <c r="B1991"/>
    </row>
    <row r="1992" spans="2:2" x14ac:dyDescent="0.3">
      <c r="B1992"/>
    </row>
    <row r="1993" spans="2:2" x14ac:dyDescent="0.3">
      <c r="B1993"/>
    </row>
    <row r="1994" spans="2:2" x14ac:dyDescent="0.3">
      <c r="B1994"/>
    </row>
    <row r="1995" spans="2:2" x14ac:dyDescent="0.3">
      <c r="B1995"/>
    </row>
    <row r="1996" spans="2:2" x14ac:dyDescent="0.3">
      <c r="B1996"/>
    </row>
    <row r="1997" spans="2:2" x14ac:dyDescent="0.3">
      <c r="B1997"/>
    </row>
    <row r="1998" spans="2:2" x14ac:dyDescent="0.3">
      <c r="B1998"/>
    </row>
    <row r="1999" spans="2:2" x14ac:dyDescent="0.3">
      <c r="B1999"/>
    </row>
    <row r="2000" spans="2:2" x14ac:dyDescent="0.3">
      <c r="B2000"/>
    </row>
    <row r="2001" spans="2:2" x14ac:dyDescent="0.3">
      <c r="B2001"/>
    </row>
    <row r="2002" spans="2:2" x14ac:dyDescent="0.3">
      <c r="B2002"/>
    </row>
    <row r="2003" spans="2:2" x14ac:dyDescent="0.3">
      <c r="B2003"/>
    </row>
    <row r="2004" spans="2:2" x14ac:dyDescent="0.3">
      <c r="B2004"/>
    </row>
    <row r="2005" spans="2:2" x14ac:dyDescent="0.3">
      <c r="B2005"/>
    </row>
    <row r="2006" spans="2:2" x14ac:dyDescent="0.3">
      <c r="B2006"/>
    </row>
    <row r="2007" spans="2:2" x14ac:dyDescent="0.3">
      <c r="B2007"/>
    </row>
    <row r="2008" spans="2:2" x14ac:dyDescent="0.3">
      <c r="B2008"/>
    </row>
    <row r="2009" spans="2:2" x14ac:dyDescent="0.3">
      <c r="B2009"/>
    </row>
    <row r="2010" spans="2:2" x14ac:dyDescent="0.3">
      <c r="B2010"/>
    </row>
    <row r="2011" spans="2:2" x14ac:dyDescent="0.3">
      <c r="B2011"/>
    </row>
    <row r="2012" spans="2:2" x14ac:dyDescent="0.3">
      <c r="B2012"/>
    </row>
    <row r="2013" spans="2:2" x14ac:dyDescent="0.3">
      <c r="B2013"/>
    </row>
    <row r="2014" spans="2:2" x14ac:dyDescent="0.3">
      <c r="B2014"/>
    </row>
    <row r="2015" spans="2:2" x14ac:dyDescent="0.3">
      <c r="B2015"/>
    </row>
    <row r="2016" spans="2:2" x14ac:dyDescent="0.3">
      <c r="B2016"/>
    </row>
    <row r="2017" spans="2:2" x14ac:dyDescent="0.3">
      <c r="B2017"/>
    </row>
    <row r="2018" spans="2:2" x14ac:dyDescent="0.3">
      <c r="B2018"/>
    </row>
    <row r="2019" spans="2:2" x14ac:dyDescent="0.3">
      <c r="B2019"/>
    </row>
    <row r="2020" spans="2:2" x14ac:dyDescent="0.3">
      <c r="B2020"/>
    </row>
    <row r="2021" spans="2:2" x14ac:dyDescent="0.3">
      <c r="B2021"/>
    </row>
    <row r="2022" spans="2:2" x14ac:dyDescent="0.3">
      <c r="B2022"/>
    </row>
    <row r="2023" spans="2:2" x14ac:dyDescent="0.3">
      <c r="B2023"/>
    </row>
    <row r="2024" spans="2:2" x14ac:dyDescent="0.3">
      <c r="B2024"/>
    </row>
    <row r="2025" spans="2:2" x14ac:dyDescent="0.3">
      <c r="B2025"/>
    </row>
    <row r="2026" spans="2:2" x14ac:dyDescent="0.3">
      <c r="B2026"/>
    </row>
    <row r="2027" spans="2:2" x14ac:dyDescent="0.3">
      <c r="B2027"/>
    </row>
    <row r="2028" spans="2:2" x14ac:dyDescent="0.3">
      <c r="B2028"/>
    </row>
    <row r="2029" spans="2:2" x14ac:dyDescent="0.3">
      <c r="B2029"/>
    </row>
    <row r="2030" spans="2:2" x14ac:dyDescent="0.3">
      <c r="B2030"/>
    </row>
    <row r="2031" spans="2:2" x14ac:dyDescent="0.3">
      <c r="B2031"/>
    </row>
    <row r="2032" spans="2:2" x14ac:dyDescent="0.3">
      <c r="B2032"/>
    </row>
    <row r="2033" spans="2:2" x14ac:dyDescent="0.3">
      <c r="B2033"/>
    </row>
    <row r="2034" spans="2:2" x14ac:dyDescent="0.3">
      <c r="B2034"/>
    </row>
    <row r="2035" spans="2:2" x14ac:dyDescent="0.3">
      <c r="B2035"/>
    </row>
    <row r="2036" spans="2:2" x14ac:dyDescent="0.3">
      <c r="B2036"/>
    </row>
    <row r="2037" spans="2:2" x14ac:dyDescent="0.3">
      <c r="B2037"/>
    </row>
    <row r="2038" spans="2:2" x14ac:dyDescent="0.3">
      <c r="B2038"/>
    </row>
    <row r="2039" spans="2:2" x14ac:dyDescent="0.3">
      <c r="B2039"/>
    </row>
    <row r="2040" spans="2:2" x14ac:dyDescent="0.3">
      <c r="B2040"/>
    </row>
    <row r="2041" spans="2:2" x14ac:dyDescent="0.3">
      <c r="B2041"/>
    </row>
    <row r="2042" spans="2:2" x14ac:dyDescent="0.3">
      <c r="B2042"/>
    </row>
    <row r="2043" spans="2:2" x14ac:dyDescent="0.3">
      <c r="B2043"/>
    </row>
    <row r="2044" spans="2:2" x14ac:dyDescent="0.3">
      <c r="B2044"/>
    </row>
    <row r="2045" spans="2:2" x14ac:dyDescent="0.3">
      <c r="B2045"/>
    </row>
    <row r="2046" spans="2:2" x14ac:dyDescent="0.3">
      <c r="B2046"/>
    </row>
    <row r="2047" spans="2:2" x14ac:dyDescent="0.3">
      <c r="B2047"/>
    </row>
    <row r="2048" spans="2:2" x14ac:dyDescent="0.3">
      <c r="B2048"/>
    </row>
    <row r="2049" spans="2:2" x14ac:dyDescent="0.3">
      <c r="B2049"/>
    </row>
    <row r="2050" spans="2:2" x14ac:dyDescent="0.3">
      <c r="B2050"/>
    </row>
    <row r="2051" spans="2:2" x14ac:dyDescent="0.3">
      <c r="B2051"/>
    </row>
    <row r="2052" spans="2:2" x14ac:dyDescent="0.3">
      <c r="B2052"/>
    </row>
    <row r="2053" spans="2:2" x14ac:dyDescent="0.3">
      <c r="B2053"/>
    </row>
    <row r="2054" spans="2:2" x14ac:dyDescent="0.3">
      <c r="B2054"/>
    </row>
    <row r="2055" spans="2:2" x14ac:dyDescent="0.3">
      <c r="B2055"/>
    </row>
    <row r="2056" spans="2:2" x14ac:dyDescent="0.3">
      <c r="B2056"/>
    </row>
    <row r="2057" spans="2:2" x14ac:dyDescent="0.3">
      <c r="B2057"/>
    </row>
    <row r="2058" spans="2:2" x14ac:dyDescent="0.3">
      <c r="B2058"/>
    </row>
    <row r="2059" spans="2:2" x14ac:dyDescent="0.3">
      <c r="B2059"/>
    </row>
    <row r="2060" spans="2:2" x14ac:dyDescent="0.3">
      <c r="B2060"/>
    </row>
    <row r="2061" spans="2:2" x14ac:dyDescent="0.3">
      <c r="B2061"/>
    </row>
    <row r="2062" spans="2:2" x14ac:dyDescent="0.3">
      <c r="B2062"/>
    </row>
    <row r="2063" spans="2:2" x14ac:dyDescent="0.3">
      <c r="B2063"/>
    </row>
    <row r="2064" spans="2:2" x14ac:dyDescent="0.3">
      <c r="B2064"/>
    </row>
    <row r="2065" spans="2:2" x14ac:dyDescent="0.3">
      <c r="B2065"/>
    </row>
    <row r="2066" spans="2:2" x14ac:dyDescent="0.3">
      <c r="B2066"/>
    </row>
    <row r="2067" spans="2:2" x14ac:dyDescent="0.3">
      <c r="B2067"/>
    </row>
    <row r="2068" spans="2:2" x14ac:dyDescent="0.3">
      <c r="B2068"/>
    </row>
    <row r="2069" spans="2:2" x14ac:dyDescent="0.3">
      <c r="B2069"/>
    </row>
    <row r="2070" spans="2:2" x14ac:dyDescent="0.3">
      <c r="B2070"/>
    </row>
    <row r="2071" spans="2:2" x14ac:dyDescent="0.3">
      <c r="B2071"/>
    </row>
    <row r="2072" spans="2:2" x14ac:dyDescent="0.3">
      <c r="B2072"/>
    </row>
    <row r="2073" spans="2:2" x14ac:dyDescent="0.3">
      <c r="B2073"/>
    </row>
    <row r="2074" spans="2:2" x14ac:dyDescent="0.3">
      <c r="B2074"/>
    </row>
    <row r="2075" spans="2:2" x14ac:dyDescent="0.3">
      <c r="B2075"/>
    </row>
    <row r="2076" spans="2:2" x14ac:dyDescent="0.3">
      <c r="B2076"/>
    </row>
    <row r="2077" spans="2:2" x14ac:dyDescent="0.3">
      <c r="B2077"/>
    </row>
    <row r="2078" spans="2:2" x14ac:dyDescent="0.3">
      <c r="B2078"/>
    </row>
    <row r="2079" spans="2:2" x14ac:dyDescent="0.3">
      <c r="B2079"/>
    </row>
    <row r="2080" spans="2:2" x14ac:dyDescent="0.3">
      <c r="B2080"/>
    </row>
    <row r="2081" spans="2:2" x14ac:dyDescent="0.3">
      <c r="B2081"/>
    </row>
    <row r="2082" spans="2:2" x14ac:dyDescent="0.3">
      <c r="B2082"/>
    </row>
    <row r="2083" spans="2:2" x14ac:dyDescent="0.3">
      <c r="B2083"/>
    </row>
    <row r="2084" spans="2:2" x14ac:dyDescent="0.3">
      <c r="B2084"/>
    </row>
    <row r="2085" spans="2:2" x14ac:dyDescent="0.3">
      <c r="B2085"/>
    </row>
    <row r="2086" spans="2:2" x14ac:dyDescent="0.3">
      <c r="B2086"/>
    </row>
    <row r="2087" spans="2:2" x14ac:dyDescent="0.3">
      <c r="B2087"/>
    </row>
    <row r="2088" spans="2:2" x14ac:dyDescent="0.3">
      <c r="B2088"/>
    </row>
    <row r="2089" spans="2:2" x14ac:dyDescent="0.3">
      <c r="B2089"/>
    </row>
    <row r="2090" spans="2:2" x14ac:dyDescent="0.3">
      <c r="B2090"/>
    </row>
    <row r="2091" spans="2:2" x14ac:dyDescent="0.3">
      <c r="B2091"/>
    </row>
    <row r="2092" spans="2:2" x14ac:dyDescent="0.3">
      <c r="B2092"/>
    </row>
    <row r="2093" spans="2:2" x14ac:dyDescent="0.3">
      <c r="B2093"/>
    </row>
    <row r="2094" spans="2:2" x14ac:dyDescent="0.3">
      <c r="B2094"/>
    </row>
    <row r="2095" spans="2:2" x14ac:dyDescent="0.3">
      <c r="B2095"/>
    </row>
    <row r="2096" spans="2:2" x14ac:dyDescent="0.3">
      <c r="B2096"/>
    </row>
    <row r="2097" spans="2:2" x14ac:dyDescent="0.3">
      <c r="B2097"/>
    </row>
    <row r="2098" spans="2:2" x14ac:dyDescent="0.3">
      <c r="B2098"/>
    </row>
    <row r="2099" spans="2:2" x14ac:dyDescent="0.3">
      <c r="B2099"/>
    </row>
    <row r="2100" spans="2:2" x14ac:dyDescent="0.3">
      <c r="B2100"/>
    </row>
    <row r="2101" spans="2:2" x14ac:dyDescent="0.3">
      <c r="B2101"/>
    </row>
    <row r="2102" spans="2:2" x14ac:dyDescent="0.3">
      <c r="B2102"/>
    </row>
    <row r="2103" spans="2:2" x14ac:dyDescent="0.3">
      <c r="B2103"/>
    </row>
    <row r="2104" spans="2:2" x14ac:dyDescent="0.3">
      <c r="B2104"/>
    </row>
    <row r="2105" spans="2:2" x14ac:dyDescent="0.3">
      <c r="B2105"/>
    </row>
    <row r="2106" spans="2:2" x14ac:dyDescent="0.3">
      <c r="B2106"/>
    </row>
    <row r="2107" spans="2:2" x14ac:dyDescent="0.3">
      <c r="B2107"/>
    </row>
    <row r="2108" spans="2:2" x14ac:dyDescent="0.3">
      <c r="B2108"/>
    </row>
    <row r="2109" spans="2:2" x14ac:dyDescent="0.3">
      <c r="B2109"/>
    </row>
    <row r="2110" spans="2:2" x14ac:dyDescent="0.3">
      <c r="B2110"/>
    </row>
    <row r="2111" spans="2:2" x14ac:dyDescent="0.3">
      <c r="B2111"/>
    </row>
    <row r="2112" spans="2:2" x14ac:dyDescent="0.3">
      <c r="B2112"/>
    </row>
    <row r="2113" spans="2:2" x14ac:dyDescent="0.3">
      <c r="B2113"/>
    </row>
    <row r="2114" spans="2:2" x14ac:dyDescent="0.3">
      <c r="B2114"/>
    </row>
    <row r="2115" spans="2:2" x14ac:dyDescent="0.3">
      <c r="B2115"/>
    </row>
    <row r="2116" spans="2:2" x14ac:dyDescent="0.3">
      <c r="B2116"/>
    </row>
    <row r="2117" spans="2:2" x14ac:dyDescent="0.3">
      <c r="B2117"/>
    </row>
    <row r="2118" spans="2:2" x14ac:dyDescent="0.3">
      <c r="B2118"/>
    </row>
    <row r="2119" spans="2:2" x14ac:dyDescent="0.3">
      <c r="B2119"/>
    </row>
    <row r="2120" spans="2:2" x14ac:dyDescent="0.3">
      <c r="B2120"/>
    </row>
    <row r="2121" spans="2:2" x14ac:dyDescent="0.3">
      <c r="B2121"/>
    </row>
    <row r="2122" spans="2:2" x14ac:dyDescent="0.3">
      <c r="B2122"/>
    </row>
    <row r="2123" spans="2:2" x14ac:dyDescent="0.3">
      <c r="B2123"/>
    </row>
    <row r="2124" spans="2:2" x14ac:dyDescent="0.3">
      <c r="B2124"/>
    </row>
    <row r="2125" spans="2:2" x14ac:dyDescent="0.3">
      <c r="B2125"/>
    </row>
    <row r="2126" spans="2:2" x14ac:dyDescent="0.3">
      <c r="B2126"/>
    </row>
    <row r="2127" spans="2:2" x14ac:dyDescent="0.3">
      <c r="B2127"/>
    </row>
    <row r="2128" spans="2:2" x14ac:dyDescent="0.3">
      <c r="B2128"/>
    </row>
    <row r="2129" spans="2:2" x14ac:dyDescent="0.3">
      <c r="B2129"/>
    </row>
    <row r="2130" spans="2:2" x14ac:dyDescent="0.3">
      <c r="B2130"/>
    </row>
    <row r="2131" spans="2:2" x14ac:dyDescent="0.3">
      <c r="B2131"/>
    </row>
    <row r="2132" spans="2:2" x14ac:dyDescent="0.3">
      <c r="B2132"/>
    </row>
    <row r="2133" spans="2:2" x14ac:dyDescent="0.3">
      <c r="B2133"/>
    </row>
    <row r="2134" spans="2:2" x14ac:dyDescent="0.3">
      <c r="B2134"/>
    </row>
    <row r="2135" spans="2:2" x14ac:dyDescent="0.3">
      <c r="B2135"/>
    </row>
    <row r="2136" spans="2:2" x14ac:dyDescent="0.3">
      <c r="B2136"/>
    </row>
    <row r="2137" spans="2:2" x14ac:dyDescent="0.3">
      <c r="B2137"/>
    </row>
    <row r="2138" spans="2:2" x14ac:dyDescent="0.3">
      <c r="B2138"/>
    </row>
    <row r="2139" spans="2:2" x14ac:dyDescent="0.3">
      <c r="B2139"/>
    </row>
    <row r="2140" spans="2:2" x14ac:dyDescent="0.3">
      <c r="B2140"/>
    </row>
    <row r="2141" spans="2:2" x14ac:dyDescent="0.3">
      <c r="B2141"/>
    </row>
    <row r="2142" spans="2:2" x14ac:dyDescent="0.3">
      <c r="B2142"/>
    </row>
    <row r="2143" spans="2:2" x14ac:dyDescent="0.3">
      <c r="B2143"/>
    </row>
    <row r="2144" spans="2:2" x14ac:dyDescent="0.3">
      <c r="B2144"/>
    </row>
    <row r="2145" spans="2:2" x14ac:dyDescent="0.3">
      <c r="B2145"/>
    </row>
    <row r="2146" spans="2:2" x14ac:dyDescent="0.3">
      <c r="B2146"/>
    </row>
    <row r="2147" spans="2:2" x14ac:dyDescent="0.3">
      <c r="B2147"/>
    </row>
    <row r="2148" spans="2:2" x14ac:dyDescent="0.3">
      <c r="B2148"/>
    </row>
    <row r="2149" spans="2:2" x14ac:dyDescent="0.3">
      <c r="B2149"/>
    </row>
    <row r="2150" spans="2:2" x14ac:dyDescent="0.3">
      <c r="B2150"/>
    </row>
    <row r="2151" spans="2:2" x14ac:dyDescent="0.3">
      <c r="B2151"/>
    </row>
    <row r="2152" spans="2:2" x14ac:dyDescent="0.3">
      <c r="B2152"/>
    </row>
    <row r="2153" spans="2:2" x14ac:dyDescent="0.3">
      <c r="B2153"/>
    </row>
    <row r="2154" spans="2:2" x14ac:dyDescent="0.3">
      <c r="B2154"/>
    </row>
    <row r="2155" spans="2:2" x14ac:dyDescent="0.3">
      <c r="B2155"/>
    </row>
    <row r="2156" spans="2:2" x14ac:dyDescent="0.3">
      <c r="B2156"/>
    </row>
    <row r="2157" spans="2:2" x14ac:dyDescent="0.3">
      <c r="B2157"/>
    </row>
    <row r="2158" spans="2:2" x14ac:dyDescent="0.3">
      <c r="B2158"/>
    </row>
    <row r="2159" spans="2:2" x14ac:dyDescent="0.3">
      <c r="B2159"/>
    </row>
    <row r="2160" spans="2:2" x14ac:dyDescent="0.3">
      <c r="B2160"/>
    </row>
    <row r="2161" spans="2:2" x14ac:dyDescent="0.3">
      <c r="B2161"/>
    </row>
    <row r="2162" spans="2:2" x14ac:dyDescent="0.3">
      <c r="B2162"/>
    </row>
    <row r="2163" spans="2:2" x14ac:dyDescent="0.3">
      <c r="B2163"/>
    </row>
    <row r="2164" spans="2:2" x14ac:dyDescent="0.3">
      <c r="B2164"/>
    </row>
    <row r="2165" spans="2:2" x14ac:dyDescent="0.3">
      <c r="B2165"/>
    </row>
    <row r="2166" spans="2:2" x14ac:dyDescent="0.3">
      <c r="B2166"/>
    </row>
    <row r="2167" spans="2:2" x14ac:dyDescent="0.3">
      <c r="B2167"/>
    </row>
    <row r="2168" spans="2:2" x14ac:dyDescent="0.3">
      <c r="B2168"/>
    </row>
    <row r="2169" spans="2:2" x14ac:dyDescent="0.3">
      <c r="B2169"/>
    </row>
    <row r="2170" spans="2:2" x14ac:dyDescent="0.3">
      <c r="B2170"/>
    </row>
    <row r="2171" spans="2:2" x14ac:dyDescent="0.3">
      <c r="B2171"/>
    </row>
    <row r="2172" spans="2:2" x14ac:dyDescent="0.3">
      <c r="B2172"/>
    </row>
    <row r="2173" spans="2:2" x14ac:dyDescent="0.3">
      <c r="B2173"/>
    </row>
    <row r="2174" spans="2:2" x14ac:dyDescent="0.3">
      <c r="B2174"/>
    </row>
    <row r="2175" spans="2:2" x14ac:dyDescent="0.3">
      <c r="B2175"/>
    </row>
    <row r="2176" spans="2:2" x14ac:dyDescent="0.3">
      <c r="B2176"/>
    </row>
    <row r="2177" spans="2:2" x14ac:dyDescent="0.3">
      <c r="B2177"/>
    </row>
    <row r="2178" spans="2:2" x14ac:dyDescent="0.3">
      <c r="B2178"/>
    </row>
    <row r="2179" spans="2:2" x14ac:dyDescent="0.3">
      <c r="B2179"/>
    </row>
    <row r="2180" spans="2:2" x14ac:dyDescent="0.3">
      <c r="B2180"/>
    </row>
    <row r="2181" spans="2:2" x14ac:dyDescent="0.3">
      <c r="B2181"/>
    </row>
    <row r="2182" spans="2:2" x14ac:dyDescent="0.3">
      <c r="B2182"/>
    </row>
    <row r="2183" spans="2:2" x14ac:dyDescent="0.3">
      <c r="B2183"/>
    </row>
    <row r="2184" spans="2:2" x14ac:dyDescent="0.3">
      <c r="B2184"/>
    </row>
    <row r="2185" spans="2:2" x14ac:dyDescent="0.3">
      <c r="B2185"/>
    </row>
    <row r="2186" spans="2:2" x14ac:dyDescent="0.3">
      <c r="B2186"/>
    </row>
    <row r="2187" spans="2:2" x14ac:dyDescent="0.3">
      <c r="B2187"/>
    </row>
    <row r="2188" spans="2:2" x14ac:dyDescent="0.3">
      <c r="B2188"/>
    </row>
    <row r="2189" spans="2:2" x14ac:dyDescent="0.3">
      <c r="B2189"/>
    </row>
    <row r="2190" spans="2:2" x14ac:dyDescent="0.3">
      <c r="B2190"/>
    </row>
    <row r="2191" spans="2:2" x14ac:dyDescent="0.3">
      <c r="B2191"/>
    </row>
    <row r="2192" spans="2:2" x14ac:dyDescent="0.3">
      <c r="B2192"/>
    </row>
    <row r="2193" spans="2:2" x14ac:dyDescent="0.3">
      <c r="B2193"/>
    </row>
    <row r="2194" spans="2:2" x14ac:dyDescent="0.3">
      <c r="B2194"/>
    </row>
    <row r="2195" spans="2:2" x14ac:dyDescent="0.3">
      <c r="B2195"/>
    </row>
    <row r="2196" spans="2:2" x14ac:dyDescent="0.3">
      <c r="B2196"/>
    </row>
    <row r="2197" spans="2:2" x14ac:dyDescent="0.3">
      <c r="B2197"/>
    </row>
    <row r="2198" spans="2:2" x14ac:dyDescent="0.3">
      <c r="B2198"/>
    </row>
    <row r="2199" spans="2:2" x14ac:dyDescent="0.3">
      <c r="B2199"/>
    </row>
    <row r="2200" spans="2:2" x14ac:dyDescent="0.3">
      <c r="B2200"/>
    </row>
    <row r="2201" spans="2:2" x14ac:dyDescent="0.3">
      <c r="B2201"/>
    </row>
    <row r="2202" spans="2:2" x14ac:dyDescent="0.3">
      <c r="B2202"/>
    </row>
    <row r="2203" spans="2:2" x14ac:dyDescent="0.3">
      <c r="B2203"/>
    </row>
    <row r="2204" spans="2:2" x14ac:dyDescent="0.3">
      <c r="B2204"/>
    </row>
    <row r="2205" spans="2:2" x14ac:dyDescent="0.3">
      <c r="B2205"/>
    </row>
    <row r="2206" spans="2:2" x14ac:dyDescent="0.3">
      <c r="B2206"/>
    </row>
    <row r="2207" spans="2:2" x14ac:dyDescent="0.3">
      <c r="B2207"/>
    </row>
    <row r="2208" spans="2:2" x14ac:dyDescent="0.3">
      <c r="B2208"/>
    </row>
    <row r="2209" spans="2:2" x14ac:dyDescent="0.3">
      <c r="B2209"/>
    </row>
    <row r="2210" spans="2:2" x14ac:dyDescent="0.3">
      <c r="B2210"/>
    </row>
    <row r="2211" spans="2:2" x14ac:dyDescent="0.3">
      <c r="B2211"/>
    </row>
    <row r="2212" spans="2:2" x14ac:dyDescent="0.3">
      <c r="B2212"/>
    </row>
    <row r="2213" spans="2:2" x14ac:dyDescent="0.3">
      <c r="B2213"/>
    </row>
    <row r="2214" spans="2:2" x14ac:dyDescent="0.3">
      <c r="B2214"/>
    </row>
    <row r="2215" spans="2:2" x14ac:dyDescent="0.3">
      <c r="B2215"/>
    </row>
    <row r="2216" spans="2:2" x14ac:dyDescent="0.3">
      <c r="B2216"/>
    </row>
    <row r="2217" spans="2:2" x14ac:dyDescent="0.3">
      <c r="B2217"/>
    </row>
    <row r="2218" spans="2:2" x14ac:dyDescent="0.3">
      <c r="B2218"/>
    </row>
    <row r="2219" spans="2:2" x14ac:dyDescent="0.3">
      <c r="B2219"/>
    </row>
    <row r="2220" spans="2:2" x14ac:dyDescent="0.3">
      <c r="B2220"/>
    </row>
    <row r="2221" spans="2:2" x14ac:dyDescent="0.3">
      <c r="B2221"/>
    </row>
    <row r="2222" spans="2:2" x14ac:dyDescent="0.3">
      <c r="B2222"/>
    </row>
    <row r="2223" spans="2:2" x14ac:dyDescent="0.3">
      <c r="B2223"/>
    </row>
    <row r="2224" spans="2:2" x14ac:dyDescent="0.3">
      <c r="B2224"/>
    </row>
    <row r="2225" spans="2:2" x14ac:dyDescent="0.3">
      <c r="B2225"/>
    </row>
    <row r="2226" spans="2:2" x14ac:dyDescent="0.3">
      <c r="B2226"/>
    </row>
    <row r="2227" spans="2:2" x14ac:dyDescent="0.3">
      <c r="B2227"/>
    </row>
    <row r="2228" spans="2:2" x14ac:dyDescent="0.3">
      <c r="B2228"/>
    </row>
    <row r="2229" spans="2:2" x14ac:dyDescent="0.3">
      <c r="B2229"/>
    </row>
    <row r="2230" spans="2:2" x14ac:dyDescent="0.3">
      <c r="B2230"/>
    </row>
    <row r="2231" spans="2:2" x14ac:dyDescent="0.3">
      <c r="B2231"/>
    </row>
    <row r="2232" spans="2:2" x14ac:dyDescent="0.3">
      <c r="B2232"/>
    </row>
    <row r="2233" spans="2:2" x14ac:dyDescent="0.3">
      <c r="B2233"/>
    </row>
    <row r="2234" spans="2:2" x14ac:dyDescent="0.3">
      <c r="B2234"/>
    </row>
    <row r="2235" spans="2:2" x14ac:dyDescent="0.3">
      <c r="B2235"/>
    </row>
    <row r="2236" spans="2:2" x14ac:dyDescent="0.3">
      <c r="B2236"/>
    </row>
    <row r="2237" spans="2:2" x14ac:dyDescent="0.3">
      <c r="B2237"/>
    </row>
    <row r="2238" spans="2:2" x14ac:dyDescent="0.3">
      <c r="B2238"/>
    </row>
    <row r="2239" spans="2:2" x14ac:dyDescent="0.3">
      <c r="B2239"/>
    </row>
    <row r="2240" spans="2:2" x14ac:dyDescent="0.3">
      <c r="B2240"/>
    </row>
    <row r="2241" spans="2:2" x14ac:dyDescent="0.3">
      <c r="B2241"/>
    </row>
    <row r="2242" spans="2:2" x14ac:dyDescent="0.3">
      <c r="B2242"/>
    </row>
    <row r="2243" spans="2:2" x14ac:dyDescent="0.3">
      <c r="B2243"/>
    </row>
    <row r="2244" spans="2:2" x14ac:dyDescent="0.3">
      <c r="B2244"/>
    </row>
    <row r="2245" spans="2:2" x14ac:dyDescent="0.3">
      <c r="B2245"/>
    </row>
    <row r="2246" spans="2:2" x14ac:dyDescent="0.3">
      <c r="B2246"/>
    </row>
    <row r="2247" spans="2:2" x14ac:dyDescent="0.3">
      <c r="B2247"/>
    </row>
    <row r="2248" spans="2:2" x14ac:dyDescent="0.3">
      <c r="B2248"/>
    </row>
    <row r="2249" spans="2:2" x14ac:dyDescent="0.3">
      <c r="B2249"/>
    </row>
    <row r="2250" spans="2:2" x14ac:dyDescent="0.3">
      <c r="B2250"/>
    </row>
    <row r="2251" spans="2:2" x14ac:dyDescent="0.3">
      <c r="B2251"/>
    </row>
    <row r="2252" spans="2:2" x14ac:dyDescent="0.3">
      <c r="B2252"/>
    </row>
    <row r="2253" spans="2:2" x14ac:dyDescent="0.3">
      <c r="B2253"/>
    </row>
    <row r="2254" spans="2:2" x14ac:dyDescent="0.3">
      <c r="B2254"/>
    </row>
    <row r="2255" spans="2:2" x14ac:dyDescent="0.3">
      <c r="B2255"/>
    </row>
    <row r="2256" spans="2:2" x14ac:dyDescent="0.3">
      <c r="B2256"/>
    </row>
    <row r="2257" spans="2:2" x14ac:dyDescent="0.3">
      <c r="B2257"/>
    </row>
    <row r="2258" spans="2:2" x14ac:dyDescent="0.3">
      <c r="B2258"/>
    </row>
    <row r="2259" spans="2:2" x14ac:dyDescent="0.3">
      <c r="B2259"/>
    </row>
    <row r="2260" spans="2:2" x14ac:dyDescent="0.3">
      <c r="B2260"/>
    </row>
    <row r="2261" spans="2:2" x14ac:dyDescent="0.3">
      <c r="B2261"/>
    </row>
    <row r="2262" spans="2:2" x14ac:dyDescent="0.3">
      <c r="B2262"/>
    </row>
    <row r="2263" spans="2:2" x14ac:dyDescent="0.3">
      <c r="B2263"/>
    </row>
    <row r="2264" spans="2:2" x14ac:dyDescent="0.3">
      <c r="B2264"/>
    </row>
    <row r="2265" spans="2:2" x14ac:dyDescent="0.3">
      <c r="B2265"/>
    </row>
    <row r="2266" spans="2:2" x14ac:dyDescent="0.3">
      <c r="B2266"/>
    </row>
    <row r="2267" spans="2:2" x14ac:dyDescent="0.3">
      <c r="B2267"/>
    </row>
    <row r="2268" spans="2:2" x14ac:dyDescent="0.3">
      <c r="B2268"/>
    </row>
    <row r="2269" spans="2:2" x14ac:dyDescent="0.3">
      <c r="B2269"/>
    </row>
    <row r="2270" spans="2:2" x14ac:dyDescent="0.3">
      <c r="B2270"/>
    </row>
    <row r="2271" spans="2:2" x14ac:dyDescent="0.3">
      <c r="B2271"/>
    </row>
    <row r="2272" spans="2:2" x14ac:dyDescent="0.3">
      <c r="B2272"/>
    </row>
    <row r="2273" spans="2:2" x14ac:dyDescent="0.3">
      <c r="B2273"/>
    </row>
    <row r="2274" spans="2:2" x14ac:dyDescent="0.3">
      <c r="B2274"/>
    </row>
    <row r="2275" spans="2:2" x14ac:dyDescent="0.3">
      <c r="B2275"/>
    </row>
    <row r="2276" spans="2:2" x14ac:dyDescent="0.3">
      <c r="B2276"/>
    </row>
    <row r="2277" spans="2:2" x14ac:dyDescent="0.3">
      <c r="B2277"/>
    </row>
    <row r="2278" spans="2:2" x14ac:dyDescent="0.3">
      <c r="B2278"/>
    </row>
    <row r="2279" spans="2:2" x14ac:dyDescent="0.3">
      <c r="B2279"/>
    </row>
    <row r="2280" spans="2:2" x14ac:dyDescent="0.3">
      <c r="B2280"/>
    </row>
    <row r="2281" spans="2:2" x14ac:dyDescent="0.3">
      <c r="B2281"/>
    </row>
    <row r="2282" spans="2:2" x14ac:dyDescent="0.3">
      <c r="B2282"/>
    </row>
    <row r="2283" spans="2:2" x14ac:dyDescent="0.3">
      <c r="B2283"/>
    </row>
    <row r="2284" spans="2:2" x14ac:dyDescent="0.3">
      <c r="B2284"/>
    </row>
    <row r="2285" spans="2:2" x14ac:dyDescent="0.3">
      <c r="B2285"/>
    </row>
    <row r="2286" spans="2:2" x14ac:dyDescent="0.3">
      <c r="B2286"/>
    </row>
    <row r="2287" spans="2:2" x14ac:dyDescent="0.3">
      <c r="B2287"/>
    </row>
    <row r="2288" spans="2:2" x14ac:dyDescent="0.3">
      <c r="B2288"/>
    </row>
    <row r="2289" spans="2:2" x14ac:dyDescent="0.3">
      <c r="B2289"/>
    </row>
    <row r="2290" spans="2:2" x14ac:dyDescent="0.3">
      <c r="B2290"/>
    </row>
    <row r="2291" spans="2:2" x14ac:dyDescent="0.3">
      <c r="B2291"/>
    </row>
    <row r="2292" spans="2:2" x14ac:dyDescent="0.3">
      <c r="B2292"/>
    </row>
    <row r="2293" spans="2:2" x14ac:dyDescent="0.3">
      <c r="B2293"/>
    </row>
    <row r="2294" spans="2:2" x14ac:dyDescent="0.3">
      <c r="B2294"/>
    </row>
    <row r="2295" spans="2:2" x14ac:dyDescent="0.3">
      <c r="B2295"/>
    </row>
    <row r="2296" spans="2:2" x14ac:dyDescent="0.3">
      <c r="B2296"/>
    </row>
    <row r="2297" spans="2:2" x14ac:dyDescent="0.3">
      <c r="B2297"/>
    </row>
    <row r="2298" spans="2:2" x14ac:dyDescent="0.3">
      <c r="B2298"/>
    </row>
    <row r="2299" spans="2:2" x14ac:dyDescent="0.3">
      <c r="B2299"/>
    </row>
    <row r="2300" spans="2:2" x14ac:dyDescent="0.3">
      <c r="B2300"/>
    </row>
    <row r="2301" spans="2:2" x14ac:dyDescent="0.3">
      <c r="B2301"/>
    </row>
    <row r="2302" spans="2:2" x14ac:dyDescent="0.3">
      <c r="B2302"/>
    </row>
    <row r="2303" spans="2:2" x14ac:dyDescent="0.3">
      <c r="B2303"/>
    </row>
    <row r="2304" spans="2:2" x14ac:dyDescent="0.3">
      <c r="B2304"/>
    </row>
    <row r="2305" spans="2:2" x14ac:dyDescent="0.3">
      <c r="B2305"/>
    </row>
    <row r="2306" spans="2:2" x14ac:dyDescent="0.3">
      <c r="B2306"/>
    </row>
    <row r="2307" spans="2:2" x14ac:dyDescent="0.3">
      <c r="B2307"/>
    </row>
    <row r="2308" spans="2:2" x14ac:dyDescent="0.3">
      <c r="B2308"/>
    </row>
    <row r="2309" spans="2:2" x14ac:dyDescent="0.3">
      <c r="B2309"/>
    </row>
    <row r="2310" spans="2:2" x14ac:dyDescent="0.3">
      <c r="B2310"/>
    </row>
    <row r="2311" spans="2:2" x14ac:dyDescent="0.3">
      <c r="B2311"/>
    </row>
    <row r="2312" spans="2:2" x14ac:dyDescent="0.3">
      <c r="B2312"/>
    </row>
    <row r="2313" spans="2:2" x14ac:dyDescent="0.3">
      <c r="B2313"/>
    </row>
    <row r="2314" spans="2:2" x14ac:dyDescent="0.3">
      <c r="B2314"/>
    </row>
    <row r="2315" spans="2:2" x14ac:dyDescent="0.3">
      <c r="B2315"/>
    </row>
    <row r="2316" spans="2:2" x14ac:dyDescent="0.3">
      <c r="B2316"/>
    </row>
    <row r="2317" spans="2:2" x14ac:dyDescent="0.3">
      <c r="B2317"/>
    </row>
    <row r="2318" spans="2:2" x14ac:dyDescent="0.3">
      <c r="B2318"/>
    </row>
    <row r="2319" spans="2:2" x14ac:dyDescent="0.3">
      <c r="B2319"/>
    </row>
    <row r="2320" spans="2:2" x14ac:dyDescent="0.3">
      <c r="B2320"/>
    </row>
    <row r="2321" spans="2:2" x14ac:dyDescent="0.3">
      <c r="B2321"/>
    </row>
    <row r="2322" spans="2:2" x14ac:dyDescent="0.3">
      <c r="B2322"/>
    </row>
    <row r="2323" spans="2:2" x14ac:dyDescent="0.3">
      <c r="B2323"/>
    </row>
    <row r="2324" spans="2:2" x14ac:dyDescent="0.3">
      <c r="B2324"/>
    </row>
    <row r="2325" spans="2:2" x14ac:dyDescent="0.3">
      <c r="B2325"/>
    </row>
    <row r="2326" spans="2:2" x14ac:dyDescent="0.3">
      <c r="B2326"/>
    </row>
    <row r="2327" spans="2:2" x14ac:dyDescent="0.3">
      <c r="B2327"/>
    </row>
    <row r="2328" spans="2:2" x14ac:dyDescent="0.3">
      <c r="B2328"/>
    </row>
    <row r="2329" spans="2:2" x14ac:dyDescent="0.3">
      <c r="B2329"/>
    </row>
    <row r="2330" spans="2:2" x14ac:dyDescent="0.3">
      <c r="B2330"/>
    </row>
    <row r="2331" spans="2:2" x14ac:dyDescent="0.3">
      <c r="B2331"/>
    </row>
    <row r="2332" spans="2:2" x14ac:dyDescent="0.3">
      <c r="B2332"/>
    </row>
    <row r="2333" spans="2:2" x14ac:dyDescent="0.3">
      <c r="B2333"/>
    </row>
    <row r="2334" spans="2:2" x14ac:dyDescent="0.3">
      <c r="B2334"/>
    </row>
    <row r="2335" spans="2:2" x14ac:dyDescent="0.3">
      <c r="B2335"/>
    </row>
    <row r="2336" spans="2:2" x14ac:dyDescent="0.3">
      <c r="B2336"/>
    </row>
    <row r="2337" spans="2:2" x14ac:dyDescent="0.3">
      <c r="B2337"/>
    </row>
    <row r="2338" spans="2:2" x14ac:dyDescent="0.3">
      <c r="B2338"/>
    </row>
    <row r="2339" spans="2:2" x14ac:dyDescent="0.3">
      <c r="B2339"/>
    </row>
    <row r="2340" spans="2:2" x14ac:dyDescent="0.3">
      <c r="B2340"/>
    </row>
    <row r="2341" spans="2:2" x14ac:dyDescent="0.3">
      <c r="B2341"/>
    </row>
    <row r="2342" spans="2:2" x14ac:dyDescent="0.3">
      <c r="B2342"/>
    </row>
    <row r="2343" spans="2:2" x14ac:dyDescent="0.3">
      <c r="B2343"/>
    </row>
    <row r="2344" spans="2:2" x14ac:dyDescent="0.3">
      <c r="B2344"/>
    </row>
    <row r="2345" spans="2:2" x14ac:dyDescent="0.3">
      <c r="B2345"/>
    </row>
    <row r="2346" spans="2:2" x14ac:dyDescent="0.3">
      <c r="B2346"/>
    </row>
    <row r="2347" spans="2:2" x14ac:dyDescent="0.3">
      <c r="B2347"/>
    </row>
    <row r="2348" spans="2:2" x14ac:dyDescent="0.3">
      <c r="B2348"/>
    </row>
    <row r="2349" spans="2:2" x14ac:dyDescent="0.3">
      <c r="B2349"/>
    </row>
    <row r="2350" spans="2:2" x14ac:dyDescent="0.3">
      <c r="B2350"/>
    </row>
    <row r="2351" spans="2:2" x14ac:dyDescent="0.3">
      <c r="B2351"/>
    </row>
    <row r="2352" spans="2:2" x14ac:dyDescent="0.3">
      <c r="B2352"/>
    </row>
    <row r="2353" spans="2:2" x14ac:dyDescent="0.3">
      <c r="B2353"/>
    </row>
    <row r="2354" spans="2:2" x14ac:dyDescent="0.3">
      <c r="B2354"/>
    </row>
    <row r="2355" spans="2:2" x14ac:dyDescent="0.3">
      <c r="B2355"/>
    </row>
    <row r="2356" spans="2:2" x14ac:dyDescent="0.3">
      <c r="B2356"/>
    </row>
    <row r="2357" spans="2:2" x14ac:dyDescent="0.3">
      <c r="B2357"/>
    </row>
    <row r="2358" spans="2:2" x14ac:dyDescent="0.3">
      <c r="B2358"/>
    </row>
    <row r="2359" spans="2:2" x14ac:dyDescent="0.3">
      <c r="B2359"/>
    </row>
    <row r="2360" spans="2:2" x14ac:dyDescent="0.3">
      <c r="B2360"/>
    </row>
    <row r="2361" spans="2:2" x14ac:dyDescent="0.3">
      <c r="B2361"/>
    </row>
    <row r="2362" spans="2:2" x14ac:dyDescent="0.3">
      <c r="B2362"/>
    </row>
    <row r="2363" spans="2:2" x14ac:dyDescent="0.3">
      <c r="B2363"/>
    </row>
    <row r="2364" spans="2:2" x14ac:dyDescent="0.3">
      <c r="B2364"/>
    </row>
    <row r="2365" spans="2:2" x14ac:dyDescent="0.3">
      <c r="B2365"/>
    </row>
    <row r="2366" spans="2:2" x14ac:dyDescent="0.3">
      <c r="B2366"/>
    </row>
    <row r="2367" spans="2:2" x14ac:dyDescent="0.3">
      <c r="B2367"/>
    </row>
    <row r="2368" spans="2:2" x14ac:dyDescent="0.3">
      <c r="B2368"/>
    </row>
    <row r="2369" spans="2:2" x14ac:dyDescent="0.3">
      <c r="B2369"/>
    </row>
    <row r="2370" spans="2:2" x14ac:dyDescent="0.3">
      <c r="B2370"/>
    </row>
    <row r="2371" spans="2:2" x14ac:dyDescent="0.3">
      <c r="B2371"/>
    </row>
    <row r="2372" spans="2:2" x14ac:dyDescent="0.3">
      <c r="B2372"/>
    </row>
    <row r="2373" spans="2:2" x14ac:dyDescent="0.3">
      <c r="B2373"/>
    </row>
    <row r="2374" spans="2:2" x14ac:dyDescent="0.3">
      <c r="B2374"/>
    </row>
    <row r="2375" spans="2:2" x14ac:dyDescent="0.3">
      <c r="B2375"/>
    </row>
    <row r="2376" spans="2:2" x14ac:dyDescent="0.3">
      <c r="B2376"/>
    </row>
    <row r="2377" spans="2:2" x14ac:dyDescent="0.3">
      <c r="B2377"/>
    </row>
    <row r="2378" spans="2:2" x14ac:dyDescent="0.3">
      <c r="B2378"/>
    </row>
    <row r="2379" spans="2:2" x14ac:dyDescent="0.3">
      <c r="B2379"/>
    </row>
    <row r="2380" spans="2:2" x14ac:dyDescent="0.3">
      <c r="B2380"/>
    </row>
    <row r="2381" spans="2:2" x14ac:dyDescent="0.3">
      <c r="B2381"/>
    </row>
    <row r="2382" spans="2:2" x14ac:dyDescent="0.3">
      <c r="B2382"/>
    </row>
    <row r="2383" spans="2:2" x14ac:dyDescent="0.3">
      <c r="B2383"/>
    </row>
    <row r="2384" spans="2:2" x14ac:dyDescent="0.3">
      <c r="B2384"/>
    </row>
    <row r="2385" spans="2:2" x14ac:dyDescent="0.3">
      <c r="B2385"/>
    </row>
    <row r="2386" spans="2:2" x14ac:dyDescent="0.3">
      <c r="B2386"/>
    </row>
    <row r="2387" spans="2:2" x14ac:dyDescent="0.3">
      <c r="B2387"/>
    </row>
    <row r="2388" spans="2:2" x14ac:dyDescent="0.3">
      <c r="B2388"/>
    </row>
    <row r="2389" spans="2:2" x14ac:dyDescent="0.3">
      <c r="B2389"/>
    </row>
    <row r="2390" spans="2:2" x14ac:dyDescent="0.3">
      <c r="B2390"/>
    </row>
    <row r="2391" spans="2:2" x14ac:dyDescent="0.3">
      <c r="B2391"/>
    </row>
    <row r="2392" spans="2:2" x14ac:dyDescent="0.3">
      <c r="B2392"/>
    </row>
    <row r="2393" spans="2:2" x14ac:dyDescent="0.3">
      <c r="B2393"/>
    </row>
    <row r="2394" spans="2:2" x14ac:dyDescent="0.3">
      <c r="B2394"/>
    </row>
    <row r="2395" spans="2:2" x14ac:dyDescent="0.3">
      <c r="B2395"/>
    </row>
    <row r="2396" spans="2:2" x14ac:dyDescent="0.3">
      <c r="B2396"/>
    </row>
    <row r="2397" spans="2:2" x14ac:dyDescent="0.3">
      <c r="B2397"/>
    </row>
    <row r="2398" spans="2:2" x14ac:dyDescent="0.3">
      <c r="B2398"/>
    </row>
    <row r="2399" spans="2:2" x14ac:dyDescent="0.3">
      <c r="B2399"/>
    </row>
    <row r="2400" spans="2:2" x14ac:dyDescent="0.3">
      <c r="B2400"/>
    </row>
    <row r="2401" spans="2:2" x14ac:dyDescent="0.3">
      <c r="B2401"/>
    </row>
    <row r="2402" spans="2:2" x14ac:dyDescent="0.3">
      <c r="B2402"/>
    </row>
    <row r="2403" spans="2:2" x14ac:dyDescent="0.3">
      <c r="B2403"/>
    </row>
    <row r="2404" spans="2:2" x14ac:dyDescent="0.3">
      <c r="B2404"/>
    </row>
    <row r="2405" spans="2:2" x14ac:dyDescent="0.3">
      <c r="B2405"/>
    </row>
    <row r="2406" spans="2:2" x14ac:dyDescent="0.3">
      <c r="B2406"/>
    </row>
    <row r="2407" spans="2:2" x14ac:dyDescent="0.3">
      <c r="B2407"/>
    </row>
    <row r="2408" spans="2:2" x14ac:dyDescent="0.3">
      <c r="B2408"/>
    </row>
    <row r="2409" spans="2:2" x14ac:dyDescent="0.3">
      <c r="B2409"/>
    </row>
    <row r="2410" spans="2:2" x14ac:dyDescent="0.3">
      <c r="B2410"/>
    </row>
    <row r="2411" spans="2:2" x14ac:dyDescent="0.3">
      <c r="B2411"/>
    </row>
    <row r="2412" spans="2:2" x14ac:dyDescent="0.3">
      <c r="B2412"/>
    </row>
    <row r="2413" spans="2:2" x14ac:dyDescent="0.3">
      <c r="B2413"/>
    </row>
    <row r="2414" spans="2:2" x14ac:dyDescent="0.3">
      <c r="B2414"/>
    </row>
    <row r="2415" spans="2:2" x14ac:dyDescent="0.3">
      <c r="B2415"/>
    </row>
    <row r="2416" spans="2:2" x14ac:dyDescent="0.3">
      <c r="B2416"/>
    </row>
    <row r="2417" spans="2:2" x14ac:dyDescent="0.3">
      <c r="B2417"/>
    </row>
    <row r="2418" spans="2:2" x14ac:dyDescent="0.3">
      <c r="B2418"/>
    </row>
    <row r="2419" spans="2:2" x14ac:dyDescent="0.3">
      <c r="B2419"/>
    </row>
    <row r="2420" spans="2:2" x14ac:dyDescent="0.3">
      <c r="B2420"/>
    </row>
    <row r="2421" spans="2:2" x14ac:dyDescent="0.3">
      <c r="B2421"/>
    </row>
    <row r="2422" spans="2:2" x14ac:dyDescent="0.3">
      <c r="B2422"/>
    </row>
    <row r="2423" spans="2:2" x14ac:dyDescent="0.3">
      <c r="B2423"/>
    </row>
    <row r="2424" spans="2:2" x14ac:dyDescent="0.3">
      <c r="B2424"/>
    </row>
    <row r="2425" spans="2:2" x14ac:dyDescent="0.3">
      <c r="B2425"/>
    </row>
    <row r="2426" spans="2:2" x14ac:dyDescent="0.3">
      <c r="B2426"/>
    </row>
    <row r="2427" spans="2:2" x14ac:dyDescent="0.3">
      <c r="B2427"/>
    </row>
    <row r="2428" spans="2:2" x14ac:dyDescent="0.3">
      <c r="B2428"/>
    </row>
    <row r="2429" spans="2:2" x14ac:dyDescent="0.3">
      <c r="B2429"/>
    </row>
    <row r="2430" spans="2:2" x14ac:dyDescent="0.3">
      <c r="B2430"/>
    </row>
    <row r="2431" spans="2:2" x14ac:dyDescent="0.3">
      <c r="B2431"/>
    </row>
    <row r="2432" spans="2:2" x14ac:dyDescent="0.3">
      <c r="B2432"/>
    </row>
    <row r="2433" spans="2:2" x14ac:dyDescent="0.3">
      <c r="B2433"/>
    </row>
    <row r="2434" spans="2:2" x14ac:dyDescent="0.3">
      <c r="B2434"/>
    </row>
    <row r="2435" spans="2:2" x14ac:dyDescent="0.3">
      <c r="B2435"/>
    </row>
    <row r="2436" spans="2:2" x14ac:dyDescent="0.3">
      <c r="B2436"/>
    </row>
    <row r="2437" spans="2:2" x14ac:dyDescent="0.3">
      <c r="B2437"/>
    </row>
    <row r="2438" spans="2:2" x14ac:dyDescent="0.3">
      <c r="B2438"/>
    </row>
    <row r="2439" spans="2:2" x14ac:dyDescent="0.3">
      <c r="B2439"/>
    </row>
    <row r="2440" spans="2:2" x14ac:dyDescent="0.3">
      <c r="B2440"/>
    </row>
    <row r="2441" spans="2:2" x14ac:dyDescent="0.3">
      <c r="B2441"/>
    </row>
    <row r="2442" spans="2:2" x14ac:dyDescent="0.3">
      <c r="B2442"/>
    </row>
    <row r="2443" spans="2:2" x14ac:dyDescent="0.3">
      <c r="B2443"/>
    </row>
    <row r="2444" spans="2:2" x14ac:dyDescent="0.3">
      <c r="B2444"/>
    </row>
    <row r="2445" spans="2:2" x14ac:dyDescent="0.3">
      <c r="B2445"/>
    </row>
    <row r="2446" spans="2:2" x14ac:dyDescent="0.3">
      <c r="B2446"/>
    </row>
    <row r="2447" spans="2:2" x14ac:dyDescent="0.3">
      <c r="B2447"/>
    </row>
    <row r="2448" spans="2:2" x14ac:dyDescent="0.3">
      <c r="B2448"/>
    </row>
    <row r="2449" spans="2:2" x14ac:dyDescent="0.3">
      <c r="B2449"/>
    </row>
    <row r="2450" spans="2:2" x14ac:dyDescent="0.3">
      <c r="B2450"/>
    </row>
    <row r="2451" spans="2:2" x14ac:dyDescent="0.3">
      <c r="B2451"/>
    </row>
    <row r="2452" spans="2:2" x14ac:dyDescent="0.3">
      <c r="B2452"/>
    </row>
    <row r="2453" spans="2:2" x14ac:dyDescent="0.3">
      <c r="B2453"/>
    </row>
    <row r="2454" spans="2:2" x14ac:dyDescent="0.3">
      <c r="B2454"/>
    </row>
    <row r="2455" spans="2:2" x14ac:dyDescent="0.3">
      <c r="B2455"/>
    </row>
    <row r="2456" spans="2:2" x14ac:dyDescent="0.3">
      <c r="B2456"/>
    </row>
    <row r="2457" spans="2:2" x14ac:dyDescent="0.3">
      <c r="B2457"/>
    </row>
    <row r="2458" spans="2:2" x14ac:dyDescent="0.3">
      <c r="B2458"/>
    </row>
    <row r="2459" spans="2:2" x14ac:dyDescent="0.3">
      <c r="B2459"/>
    </row>
    <row r="2460" spans="2:2" x14ac:dyDescent="0.3">
      <c r="B2460"/>
    </row>
    <row r="2461" spans="2:2" x14ac:dyDescent="0.3">
      <c r="B2461"/>
    </row>
    <row r="2462" spans="2:2" x14ac:dyDescent="0.3">
      <c r="B2462"/>
    </row>
    <row r="2463" spans="2:2" x14ac:dyDescent="0.3">
      <c r="B2463"/>
    </row>
    <row r="2464" spans="2:2" x14ac:dyDescent="0.3">
      <c r="B2464"/>
    </row>
    <row r="2465" spans="2:2" x14ac:dyDescent="0.3">
      <c r="B2465"/>
    </row>
    <row r="2466" spans="2:2" x14ac:dyDescent="0.3">
      <c r="B2466"/>
    </row>
    <row r="2467" spans="2:2" x14ac:dyDescent="0.3">
      <c r="B2467"/>
    </row>
    <row r="2468" spans="2:2" x14ac:dyDescent="0.3">
      <c r="B2468"/>
    </row>
    <row r="2469" spans="2:2" x14ac:dyDescent="0.3">
      <c r="B2469"/>
    </row>
    <row r="2470" spans="2:2" x14ac:dyDescent="0.3">
      <c r="B2470"/>
    </row>
    <row r="2471" spans="2:2" x14ac:dyDescent="0.3">
      <c r="B2471"/>
    </row>
    <row r="2472" spans="2:2" x14ac:dyDescent="0.3">
      <c r="B2472"/>
    </row>
    <row r="2473" spans="2:2" x14ac:dyDescent="0.3">
      <c r="B2473"/>
    </row>
    <row r="2474" spans="2:2" x14ac:dyDescent="0.3">
      <c r="B2474"/>
    </row>
    <row r="2475" spans="2:2" x14ac:dyDescent="0.3">
      <c r="B2475"/>
    </row>
    <row r="2476" spans="2:2" x14ac:dyDescent="0.3">
      <c r="B2476"/>
    </row>
    <row r="2477" spans="2:2" x14ac:dyDescent="0.3">
      <c r="B2477"/>
    </row>
    <row r="2478" spans="2:2" x14ac:dyDescent="0.3">
      <c r="B2478"/>
    </row>
    <row r="2479" spans="2:2" x14ac:dyDescent="0.3">
      <c r="B2479"/>
    </row>
    <row r="2480" spans="2:2" x14ac:dyDescent="0.3">
      <c r="B2480"/>
    </row>
    <row r="2481" spans="2:2" x14ac:dyDescent="0.3">
      <c r="B2481"/>
    </row>
    <row r="2482" spans="2:2" x14ac:dyDescent="0.3">
      <c r="B2482"/>
    </row>
    <row r="2483" spans="2:2" x14ac:dyDescent="0.3">
      <c r="B2483"/>
    </row>
    <row r="2484" spans="2:2" x14ac:dyDescent="0.3">
      <c r="B2484"/>
    </row>
    <row r="2485" spans="2:2" x14ac:dyDescent="0.3">
      <c r="B2485"/>
    </row>
    <row r="2486" spans="2:2" x14ac:dyDescent="0.3">
      <c r="B2486"/>
    </row>
    <row r="2487" spans="2:2" x14ac:dyDescent="0.3">
      <c r="B2487"/>
    </row>
    <row r="2488" spans="2:2" x14ac:dyDescent="0.3">
      <c r="B2488"/>
    </row>
    <row r="2489" spans="2:2" x14ac:dyDescent="0.3">
      <c r="B2489"/>
    </row>
    <row r="2490" spans="2:2" x14ac:dyDescent="0.3">
      <c r="B2490"/>
    </row>
    <row r="2491" spans="2:2" x14ac:dyDescent="0.3">
      <c r="B2491"/>
    </row>
    <row r="2492" spans="2:2" x14ac:dyDescent="0.3">
      <c r="B2492"/>
    </row>
    <row r="2493" spans="2:2" x14ac:dyDescent="0.3">
      <c r="B2493"/>
    </row>
    <row r="2494" spans="2:2" x14ac:dyDescent="0.3">
      <c r="B2494"/>
    </row>
    <row r="2495" spans="2:2" x14ac:dyDescent="0.3">
      <c r="B2495"/>
    </row>
    <row r="2496" spans="2:2" x14ac:dyDescent="0.3">
      <c r="B2496"/>
    </row>
    <row r="2497" spans="2:2" x14ac:dyDescent="0.3">
      <c r="B2497"/>
    </row>
    <row r="2498" spans="2:2" x14ac:dyDescent="0.3">
      <c r="B2498"/>
    </row>
    <row r="2499" spans="2:2" x14ac:dyDescent="0.3">
      <c r="B2499"/>
    </row>
    <row r="2500" spans="2:2" x14ac:dyDescent="0.3">
      <c r="B2500"/>
    </row>
    <row r="2501" spans="2:2" x14ac:dyDescent="0.3">
      <c r="B2501"/>
    </row>
    <row r="2502" spans="2:2" x14ac:dyDescent="0.3">
      <c r="B2502"/>
    </row>
    <row r="2503" spans="2:2" x14ac:dyDescent="0.3">
      <c r="B2503"/>
    </row>
    <row r="2504" spans="2:2" x14ac:dyDescent="0.3">
      <c r="B2504"/>
    </row>
    <row r="2505" spans="2:2" x14ac:dyDescent="0.3">
      <c r="B2505"/>
    </row>
    <row r="2506" spans="2:2" x14ac:dyDescent="0.3">
      <c r="B2506"/>
    </row>
    <row r="2507" spans="2:2" x14ac:dyDescent="0.3">
      <c r="B2507"/>
    </row>
    <row r="2508" spans="2:2" x14ac:dyDescent="0.3">
      <c r="B2508"/>
    </row>
    <row r="2509" spans="2:2" x14ac:dyDescent="0.3">
      <c r="B2509"/>
    </row>
    <row r="2510" spans="2:2" x14ac:dyDescent="0.3">
      <c r="B2510"/>
    </row>
    <row r="2511" spans="2:2" x14ac:dyDescent="0.3">
      <c r="B2511"/>
    </row>
    <row r="2512" spans="2:2" x14ac:dyDescent="0.3">
      <c r="B2512"/>
    </row>
    <row r="2513" spans="2:2" x14ac:dyDescent="0.3">
      <c r="B2513"/>
    </row>
    <row r="2514" spans="2:2" x14ac:dyDescent="0.3">
      <c r="B2514"/>
    </row>
    <row r="2515" spans="2:2" x14ac:dyDescent="0.3">
      <c r="B2515"/>
    </row>
    <row r="2516" spans="2:2" x14ac:dyDescent="0.3">
      <c r="B2516"/>
    </row>
    <row r="2517" spans="2:2" x14ac:dyDescent="0.3">
      <c r="B2517"/>
    </row>
    <row r="2518" spans="2:2" x14ac:dyDescent="0.3">
      <c r="B2518"/>
    </row>
    <row r="2519" spans="2:2" x14ac:dyDescent="0.3">
      <c r="B2519"/>
    </row>
    <row r="2520" spans="2:2" x14ac:dyDescent="0.3">
      <c r="B2520"/>
    </row>
    <row r="2521" spans="2:2" x14ac:dyDescent="0.3">
      <c r="B2521"/>
    </row>
    <row r="2522" spans="2:2" x14ac:dyDescent="0.3">
      <c r="B2522"/>
    </row>
    <row r="2523" spans="2:2" x14ac:dyDescent="0.3">
      <c r="B2523"/>
    </row>
    <row r="2524" spans="2:2" x14ac:dyDescent="0.3">
      <c r="B2524"/>
    </row>
    <row r="2525" spans="2:2" x14ac:dyDescent="0.3">
      <c r="B2525"/>
    </row>
    <row r="2526" spans="2:2" x14ac:dyDescent="0.3">
      <c r="B2526"/>
    </row>
    <row r="2527" spans="2:2" x14ac:dyDescent="0.3">
      <c r="B2527"/>
    </row>
    <row r="2528" spans="2:2" x14ac:dyDescent="0.3">
      <c r="B2528"/>
    </row>
    <row r="2529" spans="2:2" x14ac:dyDescent="0.3">
      <c r="B2529"/>
    </row>
    <row r="2530" spans="2:2" x14ac:dyDescent="0.3">
      <c r="B2530"/>
    </row>
    <row r="2531" spans="2:2" x14ac:dyDescent="0.3">
      <c r="B2531"/>
    </row>
    <row r="2532" spans="2:2" x14ac:dyDescent="0.3">
      <c r="B2532"/>
    </row>
    <row r="2533" spans="2:2" x14ac:dyDescent="0.3">
      <c r="B2533"/>
    </row>
    <row r="2534" spans="2:2" x14ac:dyDescent="0.3">
      <c r="B2534"/>
    </row>
    <row r="2535" spans="2:2" x14ac:dyDescent="0.3">
      <c r="B2535"/>
    </row>
    <row r="2536" spans="2:2" x14ac:dyDescent="0.3">
      <c r="B2536"/>
    </row>
    <row r="2537" spans="2:2" x14ac:dyDescent="0.3">
      <c r="B2537"/>
    </row>
    <row r="2538" spans="2:2" x14ac:dyDescent="0.3">
      <c r="B2538"/>
    </row>
    <row r="2539" spans="2:2" x14ac:dyDescent="0.3">
      <c r="B2539"/>
    </row>
    <row r="2540" spans="2:2" x14ac:dyDescent="0.3">
      <c r="B2540"/>
    </row>
    <row r="2541" spans="2:2" x14ac:dyDescent="0.3">
      <c r="B2541"/>
    </row>
    <row r="2542" spans="2:2" x14ac:dyDescent="0.3">
      <c r="B2542"/>
    </row>
    <row r="2543" spans="2:2" x14ac:dyDescent="0.3">
      <c r="B2543"/>
    </row>
    <row r="2544" spans="2:2" x14ac:dyDescent="0.3">
      <c r="B2544"/>
    </row>
    <row r="2545" spans="2:2" x14ac:dyDescent="0.3">
      <c r="B2545"/>
    </row>
    <row r="2546" spans="2:2" x14ac:dyDescent="0.3">
      <c r="B2546"/>
    </row>
    <row r="2547" spans="2:2" x14ac:dyDescent="0.3">
      <c r="B2547"/>
    </row>
    <row r="2548" spans="2:2" x14ac:dyDescent="0.3">
      <c r="B2548"/>
    </row>
    <row r="2549" spans="2:2" x14ac:dyDescent="0.3">
      <c r="B2549"/>
    </row>
    <row r="2550" spans="2:2" x14ac:dyDescent="0.3">
      <c r="B2550"/>
    </row>
    <row r="2551" spans="2:2" x14ac:dyDescent="0.3">
      <c r="B2551"/>
    </row>
    <row r="2552" spans="2:2" x14ac:dyDescent="0.3">
      <c r="B2552"/>
    </row>
    <row r="2553" spans="2:2" x14ac:dyDescent="0.3">
      <c r="B2553"/>
    </row>
    <row r="2554" spans="2:2" x14ac:dyDescent="0.3">
      <c r="B2554"/>
    </row>
    <row r="2555" spans="2:2" x14ac:dyDescent="0.3">
      <c r="B2555"/>
    </row>
    <row r="2556" spans="2:2" x14ac:dyDescent="0.3">
      <c r="B2556"/>
    </row>
    <row r="2557" spans="2:2" x14ac:dyDescent="0.3">
      <c r="B2557"/>
    </row>
    <row r="2558" spans="2:2" x14ac:dyDescent="0.3">
      <c r="B2558"/>
    </row>
    <row r="2559" spans="2:2" x14ac:dyDescent="0.3">
      <c r="B2559"/>
    </row>
    <row r="2560" spans="2:2" x14ac:dyDescent="0.3">
      <c r="B2560"/>
    </row>
    <row r="2561" spans="2:2" x14ac:dyDescent="0.3">
      <c r="B2561"/>
    </row>
    <row r="2562" spans="2:2" x14ac:dyDescent="0.3">
      <c r="B2562"/>
    </row>
    <row r="2563" spans="2:2" x14ac:dyDescent="0.3">
      <c r="B2563"/>
    </row>
    <row r="2564" spans="2:2" x14ac:dyDescent="0.3">
      <c r="B2564"/>
    </row>
    <row r="2565" spans="2:2" x14ac:dyDescent="0.3">
      <c r="B2565"/>
    </row>
    <row r="2566" spans="2:2" x14ac:dyDescent="0.3">
      <c r="B2566"/>
    </row>
    <row r="2567" spans="2:2" x14ac:dyDescent="0.3">
      <c r="B2567"/>
    </row>
    <row r="2568" spans="2:2" x14ac:dyDescent="0.3">
      <c r="B2568"/>
    </row>
    <row r="2569" spans="2:2" x14ac:dyDescent="0.3">
      <c r="B2569"/>
    </row>
    <row r="2570" spans="2:2" x14ac:dyDescent="0.3">
      <c r="B2570"/>
    </row>
    <row r="2571" spans="2:2" x14ac:dyDescent="0.3">
      <c r="B2571"/>
    </row>
    <row r="2572" spans="2:2" x14ac:dyDescent="0.3">
      <c r="B2572"/>
    </row>
    <row r="2573" spans="2:2" x14ac:dyDescent="0.3">
      <c r="B2573"/>
    </row>
    <row r="2574" spans="2:2" x14ac:dyDescent="0.3">
      <c r="B2574"/>
    </row>
    <row r="2575" spans="2:2" x14ac:dyDescent="0.3">
      <c r="B2575"/>
    </row>
    <row r="2576" spans="2:2" x14ac:dyDescent="0.3">
      <c r="B2576"/>
    </row>
    <row r="2577" spans="2:2" x14ac:dyDescent="0.3">
      <c r="B2577"/>
    </row>
    <row r="2578" spans="2:2" x14ac:dyDescent="0.3">
      <c r="B2578"/>
    </row>
    <row r="2579" spans="2:2" x14ac:dyDescent="0.3">
      <c r="B2579"/>
    </row>
    <row r="2580" spans="2:2" x14ac:dyDescent="0.3">
      <c r="B2580"/>
    </row>
    <row r="2581" spans="2:2" x14ac:dyDescent="0.3">
      <c r="B2581"/>
    </row>
    <row r="2582" spans="2:2" x14ac:dyDescent="0.3">
      <c r="B2582"/>
    </row>
    <row r="2583" spans="2:2" x14ac:dyDescent="0.3">
      <c r="B2583"/>
    </row>
    <row r="2584" spans="2:2" x14ac:dyDescent="0.3">
      <c r="B2584"/>
    </row>
    <row r="2585" spans="2:2" x14ac:dyDescent="0.3">
      <c r="B2585"/>
    </row>
    <row r="2586" spans="2:2" x14ac:dyDescent="0.3">
      <c r="B2586"/>
    </row>
    <row r="2587" spans="2:2" x14ac:dyDescent="0.3">
      <c r="B2587"/>
    </row>
    <row r="2588" spans="2:2" x14ac:dyDescent="0.3">
      <c r="B2588"/>
    </row>
    <row r="2589" spans="2:2" x14ac:dyDescent="0.3">
      <c r="B2589"/>
    </row>
    <row r="2590" spans="2:2" x14ac:dyDescent="0.3">
      <c r="B2590"/>
    </row>
    <row r="2591" spans="2:2" x14ac:dyDescent="0.3">
      <c r="B2591"/>
    </row>
    <row r="2592" spans="2:2" x14ac:dyDescent="0.3">
      <c r="B2592"/>
    </row>
    <row r="2593" spans="2:2" x14ac:dyDescent="0.3">
      <c r="B2593"/>
    </row>
    <row r="2594" spans="2:2" x14ac:dyDescent="0.3">
      <c r="B2594"/>
    </row>
    <row r="2595" spans="2:2" x14ac:dyDescent="0.3">
      <c r="B2595"/>
    </row>
    <row r="2596" spans="2:2" x14ac:dyDescent="0.3">
      <c r="B2596"/>
    </row>
    <row r="2597" spans="2:2" x14ac:dyDescent="0.3">
      <c r="B2597"/>
    </row>
    <row r="2598" spans="2:2" x14ac:dyDescent="0.3">
      <c r="B2598"/>
    </row>
    <row r="2599" spans="2:2" x14ac:dyDescent="0.3">
      <c r="B2599"/>
    </row>
    <row r="2600" spans="2:2" x14ac:dyDescent="0.3">
      <c r="B2600"/>
    </row>
    <row r="2601" spans="2:2" x14ac:dyDescent="0.3">
      <c r="B2601"/>
    </row>
    <row r="2602" spans="2:2" x14ac:dyDescent="0.3">
      <c r="B2602"/>
    </row>
    <row r="2603" spans="2:2" x14ac:dyDescent="0.3">
      <c r="B2603"/>
    </row>
    <row r="2604" spans="2:2" x14ac:dyDescent="0.3">
      <c r="B2604"/>
    </row>
    <row r="2605" spans="2:2" x14ac:dyDescent="0.3">
      <c r="B2605"/>
    </row>
    <row r="2606" spans="2:2" x14ac:dyDescent="0.3">
      <c r="B2606"/>
    </row>
    <row r="2607" spans="2:2" x14ac:dyDescent="0.3">
      <c r="B2607"/>
    </row>
    <row r="2608" spans="2:2" x14ac:dyDescent="0.3">
      <c r="B2608"/>
    </row>
    <row r="2609" spans="2:2" x14ac:dyDescent="0.3">
      <c r="B2609"/>
    </row>
    <row r="2610" spans="2:2" x14ac:dyDescent="0.3">
      <c r="B2610"/>
    </row>
    <row r="2611" spans="2:2" x14ac:dyDescent="0.3">
      <c r="B2611"/>
    </row>
    <row r="2612" spans="2:2" x14ac:dyDescent="0.3">
      <c r="B2612"/>
    </row>
    <row r="2613" spans="2:2" x14ac:dyDescent="0.3">
      <c r="B2613"/>
    </row>
    <row r="2614" spans="2:2" x14ac:dyDescent="0.3">
      <c r="B2614"/>
    </row>
    <row r="2615" spans="2:2" x14ac:dyDescent="0.3">
      <c r="B2615"/>
    </row>
    <row r="2616" spans="2:2" x14ac:dyDescent="0.3">
      <c r="B2616"/>
    </row>
    <row r="2617" spans="2:2" x14ac:dyDescent="0.3">
      <c r="B2617"/>
    </row>
    <row r="2618" spans="2:2" x14ac:dyDescent="0.3">
      <c r="B2618"/>
    </row>
    <row r="2619" spans="2:2" x14ac:dyDescent="0.3">
      <c r="B2619"/>
    </row>
    <row r="2620" spans="2:2" x14ac:dyDescent="0.3">
      <c r="B2620"/>
    </row>
    <row r="2621" spans="2:2" x14ac:dyDescent="0.3">
      <c r="B2621"/>
    </row>
    <row r="2622" spans="2:2" x14ac:dyDescent="0.3">
      <c r="B2622"/>
    </row>
    <row r="2623" spans="2:2" x14ac:dyDescent="0.3">
      <c r="B2623"/>
    </row>
    <row r="2624" spans="2:2" x14ac:dyDescent="0.3">
      <c r="B2624"/>
    </row>
    <row r="2625" spans="2:2" x14ac:dyDescent="0.3">
      <c r="B2625"/>
    </row>
    <row r="2626" spans="2:2" x14ac:dyDescent="0.3">
      <c r="B2626"/>
    </row>
    <row r="2627" spans="2:2" x14ac:dyDescent="0.3">
      <c r="B2627"/>
    </row>
    <row r="2628" spans="2:2" x14ac:dyDescent="0.3">
      <c r="B2628"/>
    </row>
    <row r="2629" spans="2:2" x14ac:dyDescent="0.3">
      <c r="B2629"/>
    </row>
    <row r="2630" spans="2:2" x14ac:dyDescent="0.3">
      <c r="B2630"/>
    </row>
    <row r="2631" spans="2:2" x14ac:dyDescent="0.3">
      <c r="B2631"/>
    </row>
    <row r="2632" spans="2:2" x14ac:dyDescent="0.3">
      <c r="B2632"/>
    </row>
    <row r="2633" spans="2:2" x14ac:dyDescent="0.3">
      <c r="B2633"/>
    </row>
    <row r="2634" spans="2:2" x14ac:dyDescent="0.3">
      <c r="B2634"/>
    </row>
    <row r="2635" spans="2:2" x14ac:dyDescent="0.3">
      <c r="B2635"/>
    </row>
    <row r="2636" spans="2:2" x14ac:dyDescent="0.3">
      <c r="B2636"/>
    </row>
    <row r="2637" spans="2:2" x14ac:dyDescent="0.3">
      <c r="B2637"/>
    </row>
    <row r="2638" spans="2:2" x14ac:dyDescent="0.3">
      <c r="B2638"/>
    </row>
    <row r="2639" spans="2:2" x14ac:dyDescent="0.3">
      <c r="B2639"/>
    </row>
    <row r="2640" spans="2:2" x14ac:dyDescent="0.3">
      <c r="B2640"/>
    </row>
    <row r="2641" spans="2:2" x14ac:dyDescent="0.3">
      <c r="B2641"/>
    </row>
    <row r="2642" spans="2:2" x14ac:dyDescent="0.3">
      <c r="B2642"/>
    </row>
    <row r="2643" spans="2:2" x14ac:dyDescent="0.3">
      <c r="B2643"/>
    </row>
    <row r="2644" spans="2:2" x14ac:dyDescent="0.3">
      <c r="B2644"/>
    </row>
    <row r="2645" spans="2:2" x14ac:dyDescent="0.3">
      <c r="B2645"/>
    </row>
    <row r="2646" spans="2:2" x14ac:dyDescent="0.3">
      <c r="B2646"/>
    </row>
    <row r="2647" spans="2:2" x14ac:dyDescent="0.3">
      <c r="B2647"/>
    </row>
    <row r="2648" spans="2:2" x14ac:dyDescent="0.3">
      <c r="B2648"/>
    </row>
    <row r="2649" spans="2:2" x14ac:dyDescent="0.3">
      <c r="B2649"/>
    </row>
    <row r="2650" spans="2:2" x14ac:dyDescent="0.3">
      <c r="B2650"/>
    </row>
    <row r="2651" spans="2:2" x14ac:dyDescent="0.3">
      <c r="B2651"/>
    </row>
    <row r="2652" spans="2:2" x14ac:dyDescent="0.3">
      <c r="B2652"/>
    </row>
    <row r="2653" spans="2:2" x14ac:dyDescent="0.3">
      <c r="B2653"/>
    </row>
    <row r="2654" spans="2:2" x14ac:dyDescent="0.3">
      <c r="B2654"/>
    </row>
    <row r="2655" spans="2:2" x14ac:dyDescent="0.3">
      <c r="B2655"/>
    </row>
    <row r="2656" spans="2:2" x14ac:dyDescent="0.3">
      <c r="B2656"/>
    </row>
    <row r="2657" spans="2:2" x14ac:dyDescent="0.3">
      <c r="B2657"/>
    </row>
    <row r="2658" spans="2:2" x14ac:dyDescent="0.3">
      <c r="B2658"/>
    </row>
    <row r="2659" spans="2:2" x14ac:dyDescent="0.3">
      <c r="B2659"/>
    </row>
    <row r="2660" spans="2:2" x14ac:dyDescent="0.3">
      <c r="B2660"/>
    </row>
    <row r="2661" spans="2:2" x14ac:dyDescent="0.3">
      <c r="B2661"/>
    </row>
    <row r="2662" spans="2:2" x14ac:dyDescent="0.3">
      <c r="B2662"/>
    </row>
    <row r="2663" spans="2:2" x14ac:dyDescent="0.3">
      <c r="B2663"/>
    </row>
    <row r="2664" spans="2:2" x14ac:dyDescent="0.3">
      <c r="B2664"/>
    </row>
    <row r="2665" spans="2:2" x14ac:dyDescent="0.3">
      <c r="B2665"/>
    </row>
    <row r="2666" spans="2:2" x14ac:dyDescent="0.3">
      <c r="B2666"/>
    </row>
    <row r="2667" spans="2:2" x14ac:dyDescent="0.3">
      <c r="B2667"/>
    </row>
    <row r="2668" spans="2:2" x14ac:dyDescent="0.3">
      <c r="B2668"/>
    </row>
    <row r="2669" spans="2:2" x14ac:dyDescent="0.3">
      <c r="B2669"/>
    </row>
    <row r="2670" spans="2:2" x14ac:dyDescent="0.3">
      <c r="B2670"/>
    </row>
    <row r="2671" spans="2:2" x14ac:dyDescent="0.3">
      <c r="B2671"/>
    </row>
    <row r="2672" spans="2:2" x14ac:dyDescent="0.3">
      <c r="B2672"/>
    </row>
    <row r="2673" spans="2:2" x14ac:dyDescent="0.3">
      <c r="B2673"/>
    </row>
    <row r="2674" spans="2:2" x14ac:dyDescent="0.3">
      <c r="B2674"/>
    </row>
    <row r="2675" spans="2:2" x14ac:dyDescent="0.3">
      <c r="B2675"/>
    </row>
    <row r="2676" spans="2:2" x14ac:dyDescent="0.3">
      <c r="B2676"/>
    </row>
    <row r="2677" spans="2:2" x14ac:dyDescent="0.3">
      <c r="B2677"/>
    </row>
    <row r="2678" spans="2:2" x14ac:dyDescent="0.3">
      <c r="B2678"/>
    </row>
    <row r="2679" spans="2:2" x14ac:dyDescent="0.3">
      <c r="B2679"/>
    </row>
    <row r="2680" spans="2:2" x14ac:dyDescent="0.3">
      <c r="B2680"/>
    </row>
    <row r="2681" spans="2:2" x14ac:dyDescent="0.3">
      <c r="B2681"/>
    </row>
    <row r="2682" spans="2:2" x14ac:dyDescent="0.3">
      <c r="B2682"/>
    </row>
    <row r="2683" spans="2:2" x14ac:dyDescent="0.3">
      <c r="B2683"/>
    </row>
    <row r="2684" spans="2:2" x14ac:dyDescent="0.3">
      <c r="B2684"/>
    </row>
    <row r="2685" spans="2:2" x14ac:dyDescent="0.3">
      <c r="B2685"/>
    </row>
    <row r="2686" spans="2:2" x14ac:dyDescent="0.3">
      <c r="B2686"/>
    </row>
    <row r="2687" spans="2:2" x14ac:dyDescent="0.3">
      <c r="B2687"/>
    </row>
    <row r="2688" spans="2:2" x14ac:dyDescent="0.3">
      <c r="B2688"/>
    </row>
    <row r="2689" spans="2:2" x14ac:dyDescent="0.3">
      <c r="B2689"/>
    </row>
    <row r="2690" spans="2:2" x14ac:dyDescent="0.3">
      <c r="B2690"/>
    </row>
    <row r="2691" spans="2:2" x14ac:dyDescent="0.3">
      <c r="B2691"/>
    </row>
    <row r="2692" spans="2:2" x14ac:dyDescent="0.3">
      <c r="B2692"/>
    </row>
    <row r="2693" spans="2:2" x14ac:dyDescent="0.3">
      <c r="B2693"/>
    </row>
    <row r="2694" spans="2:2" x14ac:dyDescent="0.3">
      <c r="B2694"/>
    </row>
    <row r="2695" spans="2:2" x14ac:dyDescent="0.3">
      <c r="B2695"/>
    </row>
    <row r="2696" spans="2:2" x14ac:dyDescent="0.3">
      <c r="B2696"/>
    </row>
    <row r="2697" spans="2:2" x14ac:dyDescent="0.3">
      <c r="B2697"/>
    </row>
    <row r="2698" spans="2:2" x14ac:dyDescent="0.3">
      <c r="B2698"/>
    </row>
    <row r="2699" spans="2:2" x14ac:dyDescent="0.3">
      <c r="B2699"/>
    </row>
    <row r="2700" spans="2:2" x14ac:dyDescent="0.3">
      <c r="B2700"/>
    </row>
    <row r="2701" spans="2:2" x14ac:dyDescent="0.3">
      <c r="B2701"/>
    </row>
    <row r="2702" spans="2:2" x14ac:dyDescent="0.3">
      <c r="B2702"/>
    </row>
    <row r="2703" spans="2:2" x14ac:dyDescent="0.3">
      <c r="B2703"/>
    </row>
    <row r="2704" spans="2:2" x14ac:dyDescent="0.3">
      <c r="B2704"/>
    </row>
    <row r="2705" spans="2:2" x14ac:dyDescent="0.3">
      <c r="B2705"/>
    </row>
    <row r="2706" spans="2:2" x14ac:dyDescent="0.3">
      <c r="B2706"/>
    </row>
    <row r="2707" spans="2:2" x14ac:dyDescent="0.3">
      <c r="B2707"/>
    </row>
    <row r="2708" spans="2:2" x14ac:dyDescent="0.3">
      <c r="B2708"/>
    </row>
    <row r="2709" spans="2:2" x14ac:dyDescent="0.3">
      <c r="B2709"/>
    </row>
    <row r="2710" spans="2:2" x14ac:dyDescent="0.3">
      <c r="B2710"/>
    </row>
    <row r="2711" spans="2:2" x14ac:dyDescent="0.3">
      <c r="B2711"/>
    </row>
    <row r="2712" spans="2:2" x14ac:dyDescent="0.3">
      <c r="B2712"/>
    </row>
    <row r="2713" spans="2:2" x14ac:dyDescent="0.3">
      <c r="B2713"/>
    </row>
    <row r="2714" spans="2:2" x14ac:dyDescent="0.3">
      <c r="B2714"/>
    </row>
    <row r="2715" spans="2:2" x14ac:dyDescent="0.3">
      <c r="B2715"/>
    </row>
    <row r="2716" spans="2:2" x14ac:dyDescent="0.3">
      <c r="B2716"/>
    </row>
    <row r="2717" spans="2:2" x14ac:dyDescent="0.3">
      <c r="B2717"/>
    </row>
    <row r="2718" spans="2:2" x14ac:dyDescent="0.3">
      <c r="B2718"/>
    </row>
    <row r="2719" spans="2:2" x14ac:dyDescent="0.3">
      <c r="B2719"/>
    </row>
    <row r="2720" spans="2:2" x14ac:dyDescent="0.3">
      <c r="B2720"/>
    </row>
    <row r="2721" spans="2:2" x14ac:dyDescent="0.3">
      <c r="B2721"/>
    </row>
    <row r="2722" spans="2:2" x14ac:dyDescent="0.3">
      <c r="B2722"/>
    </row>
    <row r="2723" spans="2:2" x14ac:dyDescent="0.3">
      <c r="B2723"/>
    </row>
    <row r="2724" spans="2:2" x14ac:dyDescent="0.3">
      <c r="B2724"/>
    </row>
    <row r="2725" spans="2:2" x14ac:dyDescent="0.3">
      <c r="B2725"/>
    </row>
    <row r="2726" spans="2:2" x14ac:dyDescent="0.3">
      <c r="B2726"/>
    </row>
    <row r="2727" spans="2:2" x14ac:dyDescent="0.3">
      <c r="B2727"/>
    </row>
    <row r="2728" spans="2:2" x14ac:dyDescent="0.3">
      <c r="B2728"/>
    </row>
    <row r="2729" spans="2:2" x14ac:dyDescent="0.3">
      <c r="B2729"/>
    </row>
    <row r="2730" spans="2:2" x14ac:dyDescent="0.3">
      <c r="B2730"/>
    </row>
    <row r="2731" spans="2:2" x14ac:dyDescent="0.3">
      <c r="B2731"/>
    </row>
    <row r="2732" spans="2:2" x14ac:dyDescent="0.3">
      <c r="B2732"/>
    </row>
    <row r="2733" spans="2:2" x14ac:dyDescent="0.3">
      <c r="B2733"/>
    </row>
    <row r="2734" spans="2:2" x14ac:dyDescent="0.3">
      <c r="B2734"/>
    </row>
    <row r="2735" spans="2:2" x14ac:dyDescent="0.3">
      <c r="B2735"/>
    </row>
    <row r="2736" spans="2:2" x14ac:dyDescent="0.3">
      <c r="B2736"/>
    </row>
    <row r="2737" spans="2:2" x14ac:dyDescent="0.3">
      <c r="B2737"/>
    </row>
    <row r="2738" spans="2:2" x14ac:dyDescent="0.3">
      <c r="B2738"/>
    </row>
    <row r="2739" spans="2:2" x14ac:dyDescent="0.3">
      <c r="B2739"/>
    </row>
    <row r="2740" spans="2:2" x14ac:dyDescent="0.3">
      <c r="B2740"/>
    </row>
    <row r="2741" spans="2:2" x14ac:dyDescent="0.3">
      <c r="B2741"/>
    </row>
    <row r="2742" spans="2:2" x14ac:dyDescent="0.3">
      <c r="B2742"/>
    </row>
    <row r="2743" spans="2:2" x14ac:dyDescent="0.3">
      <c r="B2743"/>
    </row>
    <row r="2744" spans="2:2" x14ac:dyDescent="0.3">
      <c r="B2744"/>
    </row>
    <row r="2745" spans="2:2" x14ac:dyDescent="0.3">
      <c r="B2745"/>
    </row>
    <row r="2746" spans="2:2" x14ac:dyDescent="0.3">
      <c r="B2746"/>
    </row>
    <row r="2747" spans="2:2" x14ac:dyDescent="0.3">
      <c r="B2747"/>
    </row>
    <row r="2748" spans="2:2" x14ac:dyDescent="0.3">
      <c r="B2748"/>
    </row>
    <row r="2749" spans="2:2" x14ac:dyDescent="0.3">
      <c r="B2749"/>
    </row>
    <row r="2750" spans="2:2" x14ac:dyDescent="0.3">
      <c r="B2750"/>
    </row>
    <row r="2751" spans="2:2" x14ac:dyDescent="0.3">
      <c r="B2751"/>
    </row>
    <row r="2752" spans="2:2" x14ac:dyDescent="0.3">
      <c r="B2752"/>
    </row>
    <row r="2753" spans="2:2" x14ac:dyDescent="0.3">
      <c r="B2753"/>
    </row>
    <row r="2754" spans="2:2" x14ac:dyDescent="0.3">
      <c r="B2754"/>
    </row>
    <row r="2755" spans="2:2" x14ac:dyDescent="0.3">
      <c r="B2755"/>
    </row>
    <row r="2756" spans="2:2" x14ac:dyDescent="0.3">
      <c r="B2756"/>
    </row>
    <row r="2757" spans="2:2" x14ac:dyDescent="0.3">
      <c r="B2757"/>
    </row>
    <row r="2758" spans="2:2" x14ac:dyDescent="0.3">
      <c r="B2758"/>
    </row>
    <row r="2759" spans="2:2" x14ac:dyDescent="0.3">
      <c r="B2759"/>
    </row>
    <row r="2760" spans="2:2" x14ac:dyDescent="0.3">
      <c r="B2760"/>
    </row>
    <row r="2761" spans="2:2" x14ac:dyDescent="0.3">
      <c r="B2761"/>
    </row>
    <row r="2762" spans="2:2" x14ac:dyDescent="0.3">
      <c r="B2762"/>
    </row>
    <row r="2763" spans="2:2" x14ac:dyDescent="0.3">
      <c r="B2763"/>
    </row>
    <row r="2764" spans="2:2" x14ac:dyDescent="0.3">
      <c r="B2764"/>
    </row>
    <row r="2765" spans="2:2" x14ac:dyDescent="0.3">
      <c r="B2765"/>
    </row>
    <row r="2766" spans="2:2" x14ac:dyDescent="0.3">
      <c r="B2766"/>
    </row>
    <row r="2767" spans="2:2" x14ac:dyDescent="0.3">
      <c r="B2767"/>
    </row>
    <row r="2768" spans="2:2" x14ac:dyDescent="0.3">
      <c r="B2768"/>
    </row>
    <row r="2769" spans="2:2" x14ac:dyDescent="0.3">
      <c r="B2769"/>
    </row>
    <row r="2770" spans="2:2" x14ac:dyDescent="0.3">
      <c r="B2770"/>
    </row>
    <row r="2771" spans="2:2" x14ac:dyDescent="0.3">
      <c r="B2771"/>
    </row>
    <row r="2772" spans="2:2" x14ac:dyDescent="0.3">
      <c r="B2772"/>
    </row>
    <row r="2773" spans="2:2" x14ac:dyDescent="0.3">
      <c r="B2773"/>
    </row>
    <row r="2774" spans="2:2" x14ac:dyDescent="0.3">
      <c r="B2774"/>
    </row>
    <row r="2775" spans="2:2" x14ac:dyDescent="0.3">
      <c r="B2775"/>
    </row>
    <row r="2776" spans="2:2" x14ac:dyDescent="0.3">
      <c r="B2776"/>
    </row>
    <row r="2777" spans="2:2" x14ac:dyDescent="0.3">
      <c r="B2777"/>
    </row>
    <row r="2778" spans="2:2" x14ac:dyDescent="0.3">
      <c r="B2778"/>
    </row>
    <row r="2779" spans="2:2" x14ac:dyDescent="0.3">
      <c r="B2779"/>
    </row>
    <row r="2780" spans="2:2" x14ac:dyDescent="0.3">
      <c r="B2780"/>
    </row>
    <row r="2781" spans="2:2" x14ac:dyDescent="0.3">
      <c r="B2781"/>
    </row>
    <row r="2782" spans="2:2" x14ac:dyDescent="0.3">
      <c r="B2782"/>
    </row>
    <row r="2783" spans="2:2" x14ac:dyDescent="0.3">
      <c r="B2783"/>
    </row>
    <row r="2784" spans="2:2" x14ac:dyDescent="0.3">
      <c r="B2784"/>
    </row>
    <row r="2785" spans="2:2" x14ac:dyDescent="0.3">
      <c r="B2785"/>
    </row>
    <row r="2786" spans="2:2" x14ac:dyDescent="0.3">
      <c r="B2786"/>
    </row>
    <row r="2787" spans="2:2" x14ac:dyDescent="0.3">
      <c r="B2787"/>
    </row>
    <row r="2788" spans="2:2" x14ac:dyDescent="0.3">
      <c r="B2788"/>
    </row>
    <row r="2789" spans="2:2" x14ac:dyDescent="0.3">
      <c r="B2789"/>
    </row>
    <row r="2790" spans="2:2" x14ac:dyDescent="0.3">
      <c r="B2790"/>
    </row>
    <row r="2791" spans="2:2" x14ac:dyDescent="0.3">
      <c r="B2791"/>
    </row>
    <row r="2792" spans="2:2" x14ac:dyDescent="0.3">
      <c r="B2792"/>
    </row>
    <row r="2793" spans="2:2" x14ac:dyDescent="0.3">
      <c r="B2793"/>
    </row>
    <row r="2794" spans="2:2" x14ac:dyDescent="0.3">
      <c r="B2794"/>
    </row>
    <row r="2795" spans="2:2" x14ac:dyDescent="0.3">
      <c r="B2795"/>
    </row>
    <row r="2796" spans="2:2" x14ac:dyDescent="0.3">
      <c r="B2796"/>
    </row>
    <row r="2797" spans="2:2" x14ac:dyDescent="0.3">
      <c r="B2797"/>
    </row>
    <row r="2798" spans="2:2" x14ac:dyDescent="0.3">
      <c r="B2798"/>
    </row>
    <row r="2799" spans="2:2" x14ac:dyDescent="0.3">
      <c r="B2799"/>
    </row>
    <row r="2800" spans="2:2" x14ac:dyDescent="0.3">
      <c r="B2800"/>
    </row>
    <row r="2801" spans="2:2" x14ac:dyDescent="0.3">
      <c r="B2801"/>
    </row>
    <row r="2802" spans="2:2" x14ac:dyDescent="0.3">
      <c r="B2802"/>
    </row>
    <row r="2803" spans="2:2" x14ac:dyDescent="0.3">
      <c r="B2803"/>
    </row>
    <row r="2804" spans="2:2" x14ac:dyDescent="0.3">
      <c r="B2804"/>
    </row>
    <row r="2805" spans="2:2" x14ac:dyDescent="0.3">
      <c r="B2805"/>
    </row>
    <row r="2806" spans="2:2" x14ac:dyDescent="0.3">
      <c r="B2806"/>
    </row>
    <row r="2807" spans="2:2" x14ac:dyDescent="0.3">
      <c r="B2807"/>
    </row>
    <row r="2808" spans="2:2" x14ac:dyDescent="0.3">
      <c r="B2808"/>
    </row>
    <row r="2809" spans="2:2" x14ac:dyDescent="0.3">
      <c r="B2809"/>
    </row>
    <row r="2810" spans="2:2" x14ac:dyDescent="0.3">
      <c r="B2810"/>
    </row>
    <row r="2811" spans="2:2" x14ac:dyDescent="0.3">
      <c r="B2811"/>
    </row>
    <row r="2812" spans="2:2" x14ac:dyDescent="0.3">
      <c r="B2812"/>
    </row>
    <row r="2813" spans="2:2" x14ac:dyDescent="0.3">
      <c r="B2813"/>
    </row>
    <row r="2814" spans="2:2" x14ac:dyDescent="0.3">
      <c r="B2814"/>
    </row>
    <row r="2815" spans="2:2" x14ac:dyDescent="0.3">
      <c r="B2815"/>
    </row>
    <row r="2816" spans="2:2" x14ac:dyDescent="0.3">
      <c r="B2816"/>
    </row>
    <row r="2817" spans="2:2" x14ac:dyDescent="0.3">
      <c r="B2817"/>
    </row>
    <row r="2818" spans="2:2" x14ac:dyDescent="0.3">
      <c r="B2818"/>
    </row>
    <row r="2819" spans="2:2" x14ac:dyDescent="0.3">
      <c r="B2819"/>
    </row>
    <row r="2820" spans="2:2" x14ac:dyDescent="0.3">
      <c r="B2820"/>
    </row>
    <row r="2821" spans="2:2" x14ac:dyDescent="0.3">
      <c r="B2821"/>
    </row>
    <row r="2822" spans="2:2" x14ac:dyDescent="0.3">
      <c r="B2822"/>
    </row>
    <row r="2823" spans="2:2" x14ac:dyDescent="0.3">
      <c r="B2823"/>
    </row>
    <row r="2824" spans="2:2" x14ac:dyDescent="0.3">
      <c r="B2824"/>
    </row>
    <row r="2825" spans="2:2" x14ac:dyDescent="0.3">
      <c r="B2825"/>
    </row>
    <row r="2826" spans="2:2" x14ac:dyDescent="0.3">
      <c r="B2826"/>
    </row>
    <row r="2827" spans="2:2" x14ac:dyDescent="0.3">
      <c r="B2827"/>
    </row>
    <row r="2828" spans="2:2" x14ac:dyDescent="0.3">
      <c r="B2828"/>
    </row>
    <row r="2829" spans="2:2" x14ac:dyDescent="0.3">
      <c r="B2829"/>
    </row>
    <row r="2830" spans="2:2" x14ac:dyDescent="0.3">
      <c r="B2830"/>
    </row>
    <row r="2831" spans="2:2" x14ac:dyDescent="0.3">
      <c r="B2831"/>
    </row>
    <row r="2832" spans="2:2" x14ac:dyDescent="0.3">
      <c r="B2832"/>
    </row>
    <row r="2833" spans="2:2" x14ac:dyDescent="0.3">
      <c r="B2833"/>
    </row>
    <row r="2834" spans="2:2" x14ac:dyDescent="0.3">
      <c r="B2834"/>
    </row>
    <row r="2835" spans="2:2" x14ac:dyDescent="0.3">
      <c r="B2835"/>
    </row>
    <row r="2836" spans="2:2" x14ac:dyDescent="0.3">
      <c r="B2836"/>
    </row>
    <row r="2837" spans="2:2" x14ac:dyDescent="0.3">
      <c r="B2837"/>
    </row>
    <row r="2838" spans="2:2" x14ac:dyDescent="0.3">
      <c r="B2838"/>
    </row>
    <row r="2839" spans="2:2" x14ac:dyDescent="0.3">
      <c r="B2839"/>
    </row>
    <row r="2840" spans="2:2" x14ac:dyDescent="0.3">
      <c r="B2840"/>
    </row>
    <row r="2841" spans="2:2" x14ac:dyDescent="0.3">
      <c r="B2841"/>
    </row>
    <row r="2842" spans="2:2" x14ac:dyDescent="0.3">
      <c r="B2842"/>
    </row>
    <row r="2843" spans="2:2" x14ac:dyDescent="0.3">
      <c r="B2843"/>
    </row>
    <row r="2844" spans="2:2" x14ac:dyDescent="0.3">
      <c r="B2844"/>
    </row>
    <row r="2845" spans="2:2" x14ac:dyDescent="0.3">
      <c r="B2845"/>
    </row>
    <row r="2846" spans="2:2" x14ac:dyDescent="0.3">
      <c r="B2846"/>
    </row>
    <row r="2847" spans="2:2" x14ac:dyDescent="0.3">
      <c r="B2847"/>
    </row>
    <row r="2848" spans="2:2" x14ac:dyDescent="0.3">
      <c r="B2848"/>
    </row>
    <row r="2849" spans="2:2" x14ac:dyDescent="0.3">
      <c r="B2849"/>
    </row>
    <row r="2850" spans="2:2" x14ac:dyDescent="0.3">
      <c r="B2850"/>
    </row>
    <row r="2851" spans="2:2" x14ac:dyDescent="0.3">
      <c r="B2851"/>
    </row>
    <row r="2852" spans="2:2" x14ac:dyDescent="0.3">
      <c r="B2852"/>
    </row>
    <row r="2853" spans="2:2" x14ac:dyDescent="0.3">
      <c r="B2853"/>
    </row>
    <row r="2854" spans="2:2" x14ac:dyDescent="0.3">
      <c r="B2854"/>
    </row>
    <row r="2855" spans="2:2" x14ac:dyDescent="0.3">
      <c r="B2855"/>
    </row>
    <row r="2856" spans="2:2" x14ac:dyDescent="0.3">
      <c r="B2856"/>
    </row>
    <row r="2857" spans="2:2" x14ac:dyDescent="0.3">
      <c r="B2857"/>
    </row>
    <row r="2858" spans="2:2" x14ac:dyDescent="0.3">
      <c r="B2858"/>
    </row>
    <row r="2859" spans="2:2" x14ac:dyDescent="0.3">
      <c r="B2859"/>
    </row>
    <row r="2860" spans="2:2" x14ac:dyDescent="0.3">
      <c r="B2860"/>
    </row>
    <row r="2861" spans="2:2" x14ac:dyDescent="0.3">
      <c r="B2861"/>
    </row>
    <row r="2862" spans="2:2" x14ac:dyDescent="0.3">
      <c r="B2862"/>
    </row>
    <row r="2863" spans="2:2" x14ac:dyDescent="0.3">
      <c r="B2863"/>
    </row>
    <row r="2864" spans="2:2" x14ac:dyDescent="0.3">
      <c r="B2864"/>
    </row>
    <row r="2865" spans="2:2" x14ac:dyDescent="0.3">
      <c r="B2865"/>
    </row>
    <row r="2866" spans="2:2" x14ac:dyDescent="0.3">
      <c r="B2866"/>
    </row>
    <row r="2867" spans="2:2" x14ac:dyDescent="0.3">
      <c r="B2867"/>
    </row>
    <row r="2868" spans="2:2" x14ac:dyDescent="0.3">
      <c r="B2868"/>
    </row>
    <row r="2869" spans="2:2" x14ac:dyDescent="0.3">
      <c r="B2869"/>
    </row>
    <row r="2870" spans="2:2" x14ac:dyDescent="0.3">
      <c r="B2870"/>
    </row>
    <row r="2871" spans="2:2" x14ac:dyDescent="0.3">
      <c r="B2871"/>
    </row>
    <row r="2872" spans="2:2" x14ac:dyDescent="0.3">
      <c r="B2872"/>
    </row>
    <row r="2873" spans="2:2" x14ac:dyDescent="0.3">
      <c r="B2873"/>
    </row>
    <row r="2874" spans="2:2" x14ac:dyDescent="0.3">
      <c r="B2874"/>
    </row>
    <row r="2875" spans="2:2" x14ac:dyDescent="0.3">
      <c r="B2875"/>
    </row>
    <row r="2876" spans="2:2" x14ac:dyDescent="0.3">
      <c r="B2876"/>
    </row>
    <row r="2877" spans="2:2" x14ac:dyDescent="0.3">
      <c r="B2877"/>
    </row>
    <row r="2878" spans="2:2" x14ac:dyDescent="0.3">
      <c r="B2878"/>
    </row>
    <row r="2879" spans="2:2" x14ac:dyDescent="0.3">
      <c r="B2879"/>
    </row>
    <row r="2880" spans="2:2" x14ac:dyDescent="0.3">
      <c r="B2880"/>
    </row>
    <row r="2881" spans="2:2" x14ac:dyDescent="0.3">
      <c r="B2881"/>
    </row>
    <row r="2882" spans="2:2" x14ac:dyDescent="0.3">
      <c r="B2882"/>
    </row>
    <row r="2883" spans="2:2" x14ac:dyDescent="0.3">
      <c r="B2883"/>
    </row>
    <row r="2884" spans="2:2" x14ac:dyDescent="0.3">
      <c r="B2884"/>
    </row>
    <row r="2885" spans="2:2" x14ac:dyDescent="0.3">
      <c r="B2885"/>
    </row>
    <row r="2886" spans="2:2" x14ac:dyDescent="0.3">
      <c r="B2886"/>
    </row>
    <row r="2887" spans="2:2" x14ac:dyDescent="0.3">
      <c r="B2887"/>
    </row>
    <row r="2888" spans="2:2" x14ac:dyDescent="0.3">
      <c r="B2888"/>
    </row>
    <row r="2889" spans="2:2" x14ac:dyDescent="0.3">
      <c r="B2889"/>
    </row>
    <row r="2890" spans="2:2" x14ac:dyDescent="0.3">
      <c r="B2890"/>
    </row>
    <row r="2891" spans="2:2" x14ac:dyDescent="0.3">
      <c r="B2891"/>
    </row>
    <row r="2892" spans="2:2" x14ac:dyDescent="0.3">
      <c r="B2892"/>
    </row>
    <row r="2893" spans="2:2" x14ac:dyDescent="0.3">
      <c r="B2893"/>
    </row>
    <row r="2894" spans="2:2" x14ac:dyDescent="0.3">
      <c r="B2894"/>
    </row>
    <row r="2895" spans="2:2" x14ac:dyDescent="0.3">
      <c r="B2895"/>
    </row>
    <row r="2896" spans="2:2" x14ac:dyDescent="0.3">
      <c r="B2896"/>
    </row>
    <row r="2897" spans="2:2" x14ac:dyDescent="0.3">
      <c r="B2897"/>
    </row>
    <row r="2898" spans="2:2" x14ac:dyDescent="0.3">
      <c r="B2898"/>
    </row>
    <row r="2899" spans="2:2" x14ac:dyDescent="0.3">
      <c r="B2899"/>
    </row>
    <row r="2900" spans="2:2" x14ac:dyDescent="0.3">
      <c r="B2900"/>
    </row>
    <row r="2901" spans="2:2" x14ac:dyDescent="0.3">
      <c r="B2901"/>
    </row>
    <row r="2902" spans="2:2" x14ac:dyDescent="0.3">
      <c r="B2902"/>
    </row>
    <row r="2903" spans="2:2" x14ac:dyDescent="0.3">
      <c r="B2903"/>
    </row>
    <row r="2904" spans="2:2" x14ac:dyDescent="0.3">
      <c r="B2904"/>
    </row>
    <row r="2905" spans="2:2" x14ac:dyDescent="0.3">
      <c r="B2905"/>
    </row>
    <row r="2906" spans="2:2" x14ac:dyDescent="0.3">
      <c r="B2906"/>
    </row>
    <row r="2907" spans="2:2" x14ac:dyDescent="0.3">
      <c r="B2907"/>
    </row>
    <row r="2908" spans="2:2" x14ac:dyDescent="0.3">
      <c r="B2908"/>
    </row>
    <row r="2909" spans="2:2" x14ac:dyDescent="0.3">
      <c r="B2909"/>
    </row>
    <row r="2910" spans="2:2" x14ac:dyDescent="0.3">
      <c r="B2910"/>
    </row>
    <row r="2911" spans="2:2" x14ac:dyDescent="0.3">
      <c r="B2911"/>
    </row>
    <row r="2912" spans="2:2" x14ac:dyDescent="0.3">
      <c r="B2912"/>
    </row>
    <row r="2913" spans="2:2" x14ac:dyDescent="0.3">
      <c r="B2913"/>
    </row>
    <row r="2914" spans="2:2" x14ac:dyDescent="0.3">
      <c r="B2914"/>
    </row>
    <row r="2915" spans="2:2" x14ac:dyDescent="0.3">
      <c r="B2915"/>
    </row>
    <row r="2916" spans="2:2" x14ac:dyDescent="0.3">
      <c r="B2916"/>
    </row>
    <row r="2917" spans="2:2" x14ac:dyDescent="0.3">
      <c r="B2917"/>
    </row>
    <row r="2918" spans="2:2" x14ac:dyDescent="0.3">
      <c r="B2918"/>
    </row>
    <row r="2919" spans="2:2" x14ac:dyDescent="0.3">
      <c r="B2919"/>
    </row>
    <row r="2920" spans="2:2" x14ac:dyDescent="0.3">
      <c r="B2920"/>
    </row>
    <row r="2921" spans="2:2" x14ac:dyDescent="0.3">
      <c r="B2921"/>
    </row>
    <row r="2922" spans="2:2" x14ac:dyDescent="0.3">
      <c r="B2922"/>
    </row>
    <row r="2923" spans="2:2" x14ac:dyDescent="0.3">
      <c r="B2923"/>
    </row>
    <row r="2924" spans="2:2" x14ac:dyDescent="0.3">
      <c r="B2924"/>
    </row>
    <row r="2925" spans="2:2" x14ac:dyDescent="0.3">
      <c r="B2925"/>
    </row>
    <row r="2926" spans="2:2" x14ac:dyDescent="0.3">
      <c r="B2926"/>
    </row>
    <row r="2927" spans="2:2" x14ac:dyDescent="0.3">
      <c r="B2927"/>
    </row>
    <row r="2928" spans="2:2" x14ac:dyDescent="0.3">
      <c r="B2928"/>
    </row>
    <row r="2929" spans="2:2" x14ac:dyDescent="0.3">
      <c r="B2929"/>
    </row>
    <row r="2930" spans="2:2" x14ac:dyDescent="0.3">
      <c r="B2930"/>
    </row>
    <row r="2931" spans="2:2" x14ac:dyDescent="0.3">
      <c r="B2931"/>
    </row>
    <row r="2932" spans="2:2" x14ac:dyDescent="0.3">
      <c r="B2932"/>
    </row>
    <row r="2933" spans="2:2" x14ac:dyDescent="0.3">
      <c r="B2933"/>
    </row>
    <row r="2934" spans="2:2" x14ac:dyDescent="0.3">
      <c r="B2934"/>
    </row>
    <row r="2935" spans="2:2" x14ac:dyDescent="0.3">
      <c r="B2935"/>
    </row>
    <row r="2936" spans="2:2" x14ac:dyDescent="0.3">
      <c r="B2936"/>
    </row>
    <row r="2937" spans="2:2" x14ac:dyDescent="0.3">
      <c r="B2937"/>
    </row>
    <row r="2938" spans="2:2" x14ac:dyDescent="0.3">
      <c r="B2938"/>
    </row>
    <row r="2939" spans="2:2" x14ac:dyDescent="0.3">
      <c r="B2939"/>
    </row>
    <row r="2940" spans="2:2" x14ac:dyDescent="0.3">
      <c r="B2940"/>
    </row>
    <row r="2941" spans="2:2" x14ac:dyDescent="0.3">
      <c r="B2941"/>
    </row>
    <row r="2942" spans="2:2" x14ac:dyDescent="0.3">
      <c r="B2942"/>
    </row>
    <row r="2943" spans="2:2" x14ac:dyDescent="0.3">
      <c r="B2943"/>
    </row>
    <row r="2944" spans="2:2" x14ac:dyDescent="0.3">
      <c r="B2944"/>
    </row>
    <row r="2945" spans="2:2" x14ac:dyDescent="0.3">
      <c r="B2945"/>
    </row>
    <row r="2946" spans="2:2" x14ac:dyDescent="0.3">
      <c r="B2946"/>
    </row>
    <row r="2947" spans="2:2" x14ac:dyDescent="0.3">
      <c r="B2947"/>
    </row>
    <row r="2948" spans="2:2" x14ac:dyDescent="0.3">
      <c r="B2948"/>
    </row>
    <row r="2949" spans="2:2" x14ac:dyDescent="0.3">
      <c r="B2949"/>
    </row>
    <row r="2950" spans="2:2" x14ac:dyDescent="0.3">
      <c r="B2950"/>
    </row>
    <row r="2951" spans="2:2" x14ac:dyDescent="0.3">
      <c r="B2951"/>
    </row>
    <row r="2952" spans="2:2" x14ac:dyDescent="0.3">
      <c r="B2952"/>
    </row>
    <row r="2953" spans="2:2" x14ac:dyDescent="0.3">
      <c r="B2953"/>
    </row>
    <row r="2954" spans="2:2" x14ac:dyDescent="0.3">
      <c r="B2954"/>
    </row>
    <row r="2955" spans="2:2" x14ac:dyDescent="0.3">
      <c r="B2955"/>
    </row>
    <row r="2956" spans="2:2" x14ac:dyDescent="0.3">
      <c r="B2956"/>
    </row>
    <row r="2957" spans="2:2" x14ac:dyDescent="0.3">
      <c r="B2957"/>
    </row>
    <row r="2958" spans="2:2" x14ac:dyDescent="0.3">
      <c r="B2958"/>
    </row>
    <row r="2959" spans="2:2" x14ac:dyDescent="0.3">
      <c r="B2959"/>
    </row>
    <row r="2960" spans="2:2" x14ac:dyDescent="0.3">
      <c r="B2960"/>
    </row>
    <row r="2961" spans="2:2" x14ac:dyDescent="0.3">
      <c r="B2961"/>
    </row>
    <row r="2962" spans="2:2" x14ac:dyDescent="0.3">
      <c r="B2962"/>
    </row>
    <row r="2963" spans="2:2" x14ac:dyDescent="0.3">
      <c r="B2963"/>
    </row>
    <row r="2964" spans="2:2" x14ac:dyDescent="0.3">
      <c r="B2964"/>
    </row>
    <row r="2965" spans="2:2" x14ac:dyDescent="0.3">
      <c r="B2965"/>
    </row>
    <row r="2966" spans="2:2" x14ac:dyDescent="0.3">
      <c r="B2966"/>
    </row>
    <row r="2967" spans="2:2" x14ac:dyDescent="0.3">
      <c r="B2967"/>
    </row>
    <row r="2968" spans="2:2" x14ac:dyDescent="0.3">
      <c r="B2968"/>
    </row>
    <row r="2969" spans="2:2" x14ac:dyDescent="0.3">
      <c r="B2969"/>
    </row>
    <row r="2970" spans="2:2" x14ac:dyDescent="0.3">
      <c r="B2970"/>
    </row>
    <row r="2971" spans="2:2" x14ac:dyDescent="0.3">
      <c r="B2971"/>
    </row>
    <row r="2972" spans="2:2" x14ac:dyDescent="0.3">
      <c r="B2972"/>
    </row>
    <row r="2973" spans="2:2" x14ac:dyDescent="0.3">
      <c r="B2973"/>
    </row>
    <row r="2974" spans="2:2" x14ac:dyDescent="0.3">
      <c r="B2974"/>
    </row>
    <row r="2975" spans="2:2" x14ac:dyDescent="0.3">
      <c r="B2975"/>
    </row>
    <row r="2976" spans="2:2" x14ac:dyDescent="0.3">
      <c r="B2976"/>
    </row>
    <row r="2977" spans="2:2" x14ac:dyDescent="0.3">
      <c r="B2977"/>
    </row>
    <row r="2978" spans="2:2" x14ac:dyDescent="0.3">
      <c r="B2978"/>
    </row>
    <row r="2979" spans="2:2" x14ac:dyDescent="0.3">
      <c r="B2979"/>
    </row>
    <row r="2980" spans="2:2" x14ac:dyDescent="0.3">
      <c r="B2980"/>
    </row>
    <row r="2981" spans="2:2" x14ac:dyDescent="0.3">
      <c r="B2981"/>
    </row>
    <row r="2982" spans="2:2" x14ac:dyDescent="0.3">
      <c r="B2982"/>
    </row>
    <row r="2983" spans="2:2" x14ac:dyDescent="0.3">
      <c r="B2983"/>
    </row>
    <row r="2984" spans="2:2" x14ac:dyDescent="0.3">
      <c r="B2984"/>
    </row>
    <row r="2985" spans="2:2" x14ac:dyDescent="0.3">
      <c r="B2985"/>
    </row>
    <row r="2986" spans="2:2" x14ac:dyDescent="0.3">
      <c r="B2986"/>
    </row>
    <row r="2987" spans="2:2" x14ac:dyDescent="0.3">
      <c r="B2987"/>
    </row>
    <row r="2988" spans="2:2" x14ac:dyDescent="0.3">
      <c r="B2988"/>
    </row>
    <row r="2989" spans="2:2" x14ac:dyDescent="0.3">
      <c r="B2989"/>
    </row>
    <row r="2990" spans="2:2" x14ac:dyDescent="0.3">
      <c r="B2990"/>
    </row>
    <row r="2991" spans="2:2" x14ac:dyDescent="0.3">
      <c r="B2991"/>
    </row>
    <row r="2992" spans="2:2" x14ac:dyDescent="0.3">
      <c r="B2992"/>
    </row>
    <row r="2993" spans="2:2" x14ac:dyDescent="0.3">
      <c r="B2993"/>
    </row>
    <row r="2994" spans="2:2" x14ac:dyDescent="0.3">
      <c r="B2994"/>
    </row>
    <row r="2995" spans="2:2" x14ac:dyDescent="0.3">
      <c r="B2995"/>
    </row>
    <row r="2996" spans="2:2" x14ac:dyDescent="0.3">
      <c r="B2996"/>
    </row>
    <row r="2997" spans="2:2" x14ac:dyDescent="0.3">
      <c r="B2997"/>
    </row>
    <row r="2998" spans="2:2" x14ac:dyDescent="0.3">
      <c r="B2998"/>
    </row>
    <row r="2999" spans="2:2" x14ac:dyDescent="0.3">
      <c r="B2999"/>
    </row>
    <row r="3000" spans="2:2" x14ac:dyDescent="0.3">
      <c r="B3000"/>
    </row>
    <row r="3001" spans="2:2" x14ac:dyDescent="0.3">
      <c r="B3001"/>
    </row>
    <row r="3002" spans="2:2" x14ac:dyDescent="0.3">
      <c r="B3002"/>
    </row>
    <row r="3003" spans="2:2" x14ac:dyDescent="0.3">
      <c r="B3003"/>
    </row>
    <row r="3004" spans="2:2" x14ac:dyDescent="0.3">
      <c r="B3004"/>
    </row>
    <row r="3005" spans="2:2" x14ac:dyDescent="0.3">
      <c r="B3005"/>
    </row>
    <row r="3006" spans="2:2" x14ac:dyDescent="0.3">
      <c r="B3006"/>
    </row>
    <row r="3007" spans="2:2" x14ac:dyDescent="0.3">
      <c r="B3007"/>
    </row>
    <row r="3008" spans="2:2" x14ac:dyDescent="0.3">
      <c r="B3008"/>
    </row>
    <row r="3009" spans="2:2" x14ac:dyDescent="0.3">
      <c r="B3009"/>
    </row>
    <row r="3010" spans="2:2" x14ac:dyDescent="0.3">
      <c r="B3010"/>
    </row>
    <row r="3011" spans="2:2" x14ac:dyDescent="0.3">
      <c r="B3011"/>
    </row>
    <row r="3012" spans="2:2" x14ac:dyDescent="0.3">
      <c r="B3012"/>
    </row>
    <row r="3013" spans="2:2" x14ac:dyDescent="0.3">
      <c r="B3013"/>
    </row>
    <row r="3014" spans="2:2" x14ac:dyDescent="0.3">
      <c r="B3014"/>
    </row>
    <row r="3015" spans="2:2" x14ac:dyDescent="0.3">
      <c r="B3015"/>
    </row>
    <row r="3016" spans="2:2" x14ac:dyDescent="0.3">
      <c r="B3016"/>
    </row>
    <row r="3017" spans="2:2" x14ac:dyDescent="0.3">
      <c r="B3017"/>
    </row>
    <row r="3018" spans="2:2" x14ac:dyDescent="0.3">
      <c r="B3018"/>
    </row>
    <row r="3019" spans="2:2" x14ac:dyDescent="0.3">
      <c r="B3019"/>
    </row>
    <row r="3020" spans="2:2" x14ac:dyDescent="0.3">
      <c r="B3020"/>
    </row>
    <row r="3021" spans="2:2" x14ac:dyDescent="0.3">
      <c r="B3021"/>
    </row>
    <row r="3022" spans="2:2" x14ac:dyDescent="0.3">
      <c r="B3022"/>
    </row>
    <row r="3023" spans="2:2" x14ac:dyDescent="0.3">
      <c r="B3023"/>
    </row>
    <row r="3024" spans="2:2" x14ac:dyDescent="0.3">
      <c r="B3024"/>
    </row>
    <row r="3025" spans="2:2" x14ac:dyDescent="0.3">
      <c r="B3025"/>
    </row>
    <row r="3026" spans="2:2" x14ac:dyDescent="0.3">
      <c r="B3026"/>
    </row>
    <row r="3027" spans="2:2" x14ac:dyDescent="0.3">
      <c r="B3027"/>
    </row>
    <row r="3028" spans="2:2" x14ac:dyDescent="0.3">
      <c r="B3028"/>
    </row>
    <row r="3029" spans="2:2" x14ac:dyDescent="0.3">
      <c r="B3029"/>
    </row>
    <row r="3030" spans="2:2" x14ac:dyDescent="0.3">
      <c r="B3030"/>
    </row>
    <row r="3031" spans="2:2" x14ac:dyDescent="0.3">
      <c r="B3031"/>
    </row>
    <row r="3032" spans="2:2" x14ac:dyDescent="0.3">
      <c r="B3032"/>
    </row>
    <row r="3033" spans="2:2" x14ac:dyDescent="0.3">
      <c r="B3033"/>
    </row>
    <row r="3034" spans="2:2" x14ac:dyDescent="0.3">
      <c r="B3034"/>
    </row>
    <row r="3035" spans="2:2" x14ac:dyDescent="0.3">
      <c r="B3035"/>
    </row>
    <row r="3036" spans="2:2" x14ac:dyDescent="0.3">
      <c r="B3036"/>
    </row>
    <row r="3037" spans="2:2" x14ac:dyDescent="0.3">
      <c r="B3037"/>
    </row>
    <row r="3038" spans="2:2" x14ac:dyDescent="0.3">
      <c r="B3038"/>
    </row>
    <row r="3039" spans="2:2" x14ac:dyDescent="0.3">
      <c r="B3039"/>
    </row>
    <row r="3040" spans="2:2" x14ac:dyDescent="0.3">
      <c r="B3040"/>
    </row>
    <row r="3041" spans="2:2" x14ac:dyDescent="0.3">
      <c r="B3041"/>
    </row>
    <row r="3042" spans="2:2" x14ac:dyDescent="0.3">
      <c r="B3042"/>
    </row>
    <row r="3043" spans="2:2" x14ac:dyDescent="0.3">
      <c r="B3043"/>
    </row>
    <row r="3044" spans="2:2" x14ac:dyDescent="0.3">
      <c r="B3044"/>
    </row>
    <row r="3045" spans="2:2" x14ac:dyDescent="0.3">
      <c r="B3045"/>
    </row>
    <row r="3046" spans="2:2" x14ac:dyDescent="0.3">
      <c r="B3046"/>
    </row>
    <row r="3047" spans="2:2" x14ac:dyDescent="0.3">
      <c r="B3047"/>
    </row>
    <row r="3048" spans="2:2" x14ac:dyDescent="0.3">
      <c r="B3048"/>
    </row>
    <row r="3049" spans="2:2" x14ac:dyDescent="0.3">
      <c r="B3049"/>
    </row>
    <row r="3050" spans="2:2" x14ac:dyDescent="0.3">
      <c r="B3050"/>
    </row>
    <row r="3051" spans="2:2" x14ac:dyDescent="0.3">
      <c r="B3051"/>
    </row>
    <row r="3052" spans="2:2" x14ac:dyDescent="0.3">
      <c r="B3052"/>
    </row>
    <row r="3053" spans="2:2" x14ac:dyDescent="0.3">
      <c r="B3053"/>
    </row>
    <row r="3054" spans="2:2" x14ac:dyDescent="0.3">
      <c r="B3054"/>
    </row>
    <row r="3055" spans="2:2" x14ac:dyDescent="0.3">
      <c r="B3055"/>
    </row>
    <row r="3056" spans="2:2" x14ac:dyDescent="0.3">
      <c r="B3056"/>
    </row>
    <row r="3057" spans="2:2" x14ac:dyDescent="0.3">
      <c r="B3057"/>
    </row>
    <row r="3058" spans="2:2" x14ac:dyDescent="0.3">
      <c r="B3058"/>
    </row>
    <row r="3059" spans="2:2" x14ac:dyDescent="0.3">
      <c r="B3059"/>
    </row>
    <row r="3060" spans="2:2" x14ac:dyDescent="0.3">
      <c r="B3060"/>
    </row>
    <row r="3061" spans="2:2" x14ac:dyDescent="0.3">
      <c r="B3061"/>
    </row>
    <row r="3062" spans="2:2" x14ac:dyDescent="0.3">
      <c r="B3062"/>
    </row>
    <row r="3063" spans="2:2" x14ac:dyDescent="0.3">
      <c r="B3063"/>
    </row>
    <row r="3064" spans="2:2" x14ac:dyDescent="0.3">
      <c r="B3064"/>
    </row>
    <row r="3065" spans="2:2" x14ac:dyDescent="0.3">
      <c r="B3065"/>
    </row>
    <row r="3066" spans="2:2" x14ac:dyDescent="0.3">
      <c r="B3066"/>
    </row>
    <row r="3067" spans="2:2" x14ac:dyDescent="0.3">
      <c r="B3067"/>
    </row>
    <row r="3068" spans="2:2" x14ac:dyDescent="0.3">
      <c r="B3068"/>
    </row>
    <row r="3069" spans="2:2" x14ac:dyDescent="0.3">
      <c r="B3069"/>
    </row>
    <row r="3070" spans="2:2" x14ac:dyDescent="0.3">
      <c r="B3070"/>
    </row>
    <row r="3071" spans="2:2" x14ac:dyDescent="0.3">
      <c r="B3071"/>
    </row>
    <row r="3072" spans="2:2" x14ac:dyDescent="0.3">
      <c r="B3072"/>
    </row>
    <row r="3073" spans="2:2" x14ac:dyDescent="0.3">
      <c r="B3073"/>
    </row>
    <row r="3074" spans="2:2" x14ac:dyDescent="0.3">
      <c r="B3074"/>
    </row>
    <row r="3075" spans="2:2" x14ac:dyDescent="0.3">
      <c r="B3075"/>
    </row>
    <row r="3076" spans="2:2" x14ac:dyDescent="0.3">
      <c r="B3076"/>
    </row>
    <row r="3077" spans="2:2" x14ac:dyDescent="0.3">
      <c r="B3077"/>
    </row>
    <row r="3078" spans="2:2" x14ac:dyDescent="0.3">
      <c r="B3078"/>
    </row>
    <row r="3079" spans="2:2" x14ac:dyDescent="0.3">
      <c r="B3079"/>
    </row>
    <row r="3080" spans="2:2" x14ac:dyDescent="0.3">
      <c r="B3080"/>
    </row>
    <row r="3081" spans="2:2" x14ac:dyDescent="0.3">
      <c r="B3081"/>
    </row>
    <row r="3082" spans="2:2" x14ac:dyDescent="0.3">
      <c r="B3082"/>
    </row>
    <row r="3083" spans="2:2" x14ac:dyDescent="0.3">
      <c r="B3083"/>
    </row>
    <row r="3084" spans="2:2" x14ac:dyDescent="0.3">
      <c r="B3084"/>
    </row>
    <row r="3085" spans="2:2" x14ac:dyDescent="0.3">
      <c r="B3085"/>
    </row>
    <row r="3086" spans="2:2" x14ac:dyDescent="0.3">
      <c r="B3086"/>
    </row>
    <row r="3087" spans="2:2" x14ac:dyDescent="0.3">
      <c r="B3087"/>
    </row>
    <row r="3088" spans="2:2" x14ac:dyDescent="0.3">
      <c r="B3088"/>
    </row>
    <row r="3089" spans="2:2" x14ac:dyDescent="0.3">
      <c r="B3089"/>
    </row>
    <row r="3090" spans="2:2" x14ac:dyDescent="0.3">
      <c r="B3090"/>
    </row>
    <row r="3091" spans="2:2" x14ac:dyDescent="0.3">
      <c r="B3091"/>
    </row>
    <row r="3092" spans="2:2" x14ac:dyDescent="0.3">
      <c r="B3092"/>
    </row>
    <row r="3093" spans="2:2" x14ac:dyDescent="0.3">
      <c r="B3093"/>
    </row>
    <row r="3094" spans="2:2" x14ac:dyDescent="0.3">
      <c r="B3094"/>
    </row>
    <row r="3095" spans="2:2" x14ac:dyDescent="0.3">
      <c r="B3095"/>
    </row>
    <row r="3096" spans="2:2" x14ac:dyDescent="0.3">
      <c r="B3096"/>
    </row>
    <row r="3097" spans="2:2" x14ac:dyDescent="0.3">
      <c r="B3097"/>
    </row>
    <row r="3098" spans="2:2" x14ac:dyDescent="0.3">
      <c r="B3098"/>
    </row>
    <row r="3099" spans="2:2" x14ac:dyDescent="0.3">
      <c r="B3099"/>
    </row>
    <row r="3100" spans="2:2" x14ac:dyDescent="0.3">
      <c r="B3100"/>
    </row>
    <row r="3101" spans="2:2" x14ac:dyDescent="0.3">
      <c r="B3101"/>
    </row>
    <row r="3102" spans="2:2" x14ac:dyDescent="0.3">
      <c r="B3102"/>
    </row>
    <row r="3103" spans="2:2" x14ac:dyDescent="0.3">
      <c r="B3103"/>
    </row>
    <row r="3104" spans="2:2" x14ac:dyDescent="0.3">
      <c r="B3104"/>
    </row>
    <row r="3105" spans="2:2" x14ac:dyDescent="0.3">
      <c r="B3105"/>
    </row>
    <row r="3106" spans="2:2" x14ac:dyDescent="0.3">
      <c r="B3106"/>
    </row>
    <row r="3107" spans="2:2" x14ac:dyDescent="0.3">
      <c r="B3107"/>
    </row>
    <row r="3108" spans="2:2" x14ac:dyDescent="0.3">
      <c r="B3108"/>
    </row>
    <row r="3109" spans="2:2" x14ac:dyDescent="0.3">
      <c r="B3109"/>
    </row>
    <row r="3110" spans="2:2" x14ac:dyDescent="0.3">
      <c r="B3110"/>
    </row>
    <row r="3111" spans="2:2" x14ac:dyDescent="0.3">
      <c r="B3111"/>
    </row>
    <row r="3112" spans="2:2" x14ac:dyDescent="0.3">
      <c r="B3112"/>
    </row>
    <row r="3113" spans="2:2" x14ac:dyDescent="0.3">
      <c r="B3113"/>
    </row>
    <row r="3114" spans="2:2" x14ac:dyDescent="0.3">
      <c r="B3114"/>
    </row>
    <row r="3115" spans="2:2" x14ac:dyDescent="0.3">
      <c r="B3115"/>
    </row>
    <row r="3116" spans="2:2" x14ac:dyDescent="0.3">
      <c r="B3116"/>
    </row>
    <row r="3117" spans="2:2" x14ac:dyDescent="0.3">
      <c r="B3117"/>
    </row>
    <row r="3118" spans="2:2" x14ac:dyDescent="0.3">
      <c r="B3118"/>
    </row>
    <row r="3119" spans="2:2" x14ac:dyDescent="0.3">
      <c r="B3119"/>
    </row>
    <row r="3120" spans="2:2" x14ac:dyDescent="0.3">
      <c r="B3120"/>
    </row>
    <row r="3121" spans="2:2" x14ac:dyDescent="0.3">
      <c r="B3121"/>
    </row>
    <row r="3122" spans="2:2" x14ac:dyDescent="0.3">
      <c r="B3122"/>
    </row>
    <row r="3123" spans="2:2" x14ac:dyDescent="0.3">
      <c r="B3123"/>
    </row>
    <row r="3124" spans="2:2" x14ac:dyDescent="0.3">
      <c r="B3124"/>
    </row>
    <row r="3125" spans="2:2" x14ac:dyDescent="0.3">
      <c r="B3125"/>
    </row>
    <row r="3126" spans="2:2" x14ac:dyDescent="0.3">
      <c r="B3126"/>
    </row>
    <row r="3127" spans="2:2" x14ac:dyDescent="0.3">
      <c r="B3127"/>
    </row>
    <row r="3128" spans="2:2" x14ac:dyDescent="0.3">
      <c r="B3128"/>
    </row>
    <row r="3129" spans="2:2" x14ac:dyDescent="0.3">
      <c r="B3129"/>
    </row>
    <row r="3130" spans="2:2" x14ac:dyDescent="0.3">
      <c r="B3130"/>
    </row>
    <row r="3131" spans="2:2" x14ac:dyDescent="0.3">
      <c r="B3131"/>
    </row>
    <row r="3132" spans="2:2" x14ac:dyDescent="0.3">
      <c r="B3132"/>
    </row>
    <row r="3133" spans="2:2" x14ac:dyDescent="0.3">
      <c r="B3133"/>
    </row>
    <row r="3134" spans="2:2" x14ac:dyDescent="0.3">
      <c r="B3134"/>
    </row>
    <row r="3135" spans="2:2" x14ac:dyDescent="0.3">
      <c r="B3135"/>
    </row>
    <row r="3136" spans="2:2" x14ac:dyDescent="0.3">
      <c r="B3136"/>
    </row>
    <row r="3137" spans="2:2" x14ac:dyDescent="0.3">
      <c r="B3137"/>
    </row>
    <row r="3138" spans="2:2" x14ac:dyDescent="0.3">
      <c r="B3138"/>
    </row>
    <row r="3139" spans="2:2" x14ac:dyDescent="0.3">
      <c r="B3139"/>
    </row>
    <row r="3140" spans="2:2" x14ac:dyDescent="0.3">
      <c r="B3140"/>
    </row>
    <row r="3141" spans="2:2" x14ac:dyDescent="0.3">
      <c r="B3141"/>
    </row>
    <row r="3142" spans="2:2" x14ac:dyDescent="0.3">
      <c r="B3142"/>
    </row>
    <row r="3143" spans="2:2" x14ac:dyDescent="0.3">
      <c r="B3143"/>
    </row>
    <row r="3144" spans="2:2" x14ac:dyDescent="0.3">
      <c r="B3144"/>
    </row>
    <row r="3145" spans="2:2" x14ac:dyDescent="0.3">
      <c r="B3145"/>
    </row>
    <row r="3146" spans="2:2" x14ac:dyDescent="0.3">
      <c r="B3146"/>
    </row>
    <row r="3147" spans="2:2" x14ac:dyDescent="0.3">
      <c r="B3147"/>
    </row>
    <row r="3148" spans="2:2" x14ac:dyDescent="0.3">
      <c r="B3148"/>
    </row>
    <row r="3149" spans="2:2" x14ac:dyDescent="0.3">
      <c r="B3149"/>
    </row>
    <row r="3150" spans="2:2" x14ac:dyDescent="0.3">
      <c r="B3150"/>
    </row>
    <row r="3151" spans="2:2" x14ac:dyDescent="0.3">
      <c r="B3151"/>
    </row>
    <row r="3152" spans="2:2" x14ac:dyDescent="0.3">
      <c r="B3152"/>
    </row>
    <row r="3153" spans="2:2" x14ac:dyDescent="0.3">
      <c r="B3153"/>
    </row>
    <row r="3154" spans="2:2" x14ac:dyDescent="0.3">
      <c r="B3154"/>
    </row>
    <row r="3155" spans="2:2" x14ac:dyDescent="0.3">
      <c r="B3155"/>
    </row>
    <row r="3156" spans="2:2" x14ac:dyDescent="0.3">
      <c r="B3156"/>
    </row>
    <row r="3157" spans="2:2" x14ac:dyDescent="0.3">
      <c r="B3157"/>
    </row>
    <row r="3158" spans="2:2" x14ac:dyDescent="0.3">
      <c r="B3158"/>
    </row>
    <row r="3159" spans="2:2" x14ac:dyDescent="0.3">
      <c r="B3159"/>
    </row>
    <row r="3160" spans="2:2" x14ac:dyDescent="0.3">
      <c r="B3160"/>
    </row>
    <row r="3161" spans="2:2" x14ac:dyDescent="0.3">
      <c r="B3161"/>
    </row>
    <row r="3162" spans="2:2" x14ac:dyDescent="0.3">
      <c r="B3162"/>
    </row>
    <row r="3163" spans="2:2" x14ac:dyDescent="0.3">
      <c r="B3163"/>
    </row>
    <row r="3164" spans="2:2" x14ac:dyDescent="0.3">
      <c r="B3164"/>
    </row>
    <row r="3165" spans="2:2" x14ac:dyDescent="0.3">
      <c r="B3165"/>
    </row>
    <row r="3166" spans="2:2" x14ac:dyDescent="0.3">
      <c r="B3166"/>
    </row>
    <row r="3167" spans="2:2" x14ac:dyDescent="0.3">
      <c r="B3167"/>
    </row>
    <row r="3168" spans="2:2" x14ac:dyDescent="0.3">
      <c r="B3168"/>
    </row>
    <row r="3169" spans="2:2" x14ac:dyDescent="0.3">
      <c r="B3169"/>
    </row>
    <row r="3170" spans="2:2" x14ac:dyDescent="0.3">
      <c r="B3170"/>
    </row>
    <row r="3171" spans="2:2" x14ac:dyDescent="0.3">
      <c r="B3171"/>
    </row>
    <row r="3172" spans="2:2" x14ac:dyDescent="0.3">
      <c r="B3172"/>
    </row>
    <row r="3173" spans="2:2" x14ac:dyDescent="0.3">
      <c r="B3173"/>
    </row>
    <row r="3174" spans="2:2" x14ac:dyDescent="0.3">
      <c r="B3174"/>
    </row>
    <row r="3175" spans="2:2" x14ac:dyDescent="0.3">
      <c r="B3175"/>
    </row>
    <row r="3176" spans="2:2" x14ac:dyDescent="0.3">
      <c r="B3176"/>
    </row>
    <row r="3177" spans="2:2" x14ac:dyDescent="0.3">
      <c r="B3177"/>
    </row>
    <row r="3178" spans="2:2" x14ac:dyDescent="0.3">
      <c r="B3178"/>
    </row>
    <row r="3179" spans="2:2" x14ac:dyDescent="0.3">
      <c r="B3179"/>
    </row>
    <row r="3180" spans="2:2" x14ac:dyDescent="0.3">
      <c r="B3180"/>
    </row>
    <row r="3181" spans="2:2" x14ac:dyDescent="0.3">
      <c r="B3181"/>
    </row>
    <row r="3182" spans="2:2" x14ac:dyDescent="0.3">
      <c r="B3182"/>
    </row>
    <row r="3183" spans="2:2" x14ac:dyDescent="0.3">
      <c r="B3183"/>
    </row>
    <row r="3184" spans="2:2" x14ac:dyDescent="0.3">
      <c r="B3184"/>
    </row>
    <row r="3185" spans="2:2" x14ac:dyDescent="0.3">
      <c r="B3185"/>
    </row>
    <row r="3186" spans="2:2" x14ac:dyDescent="0.3">
      <c r="B3186"/>
    </row>
    <row r="3187" spans="2:2" x14ac:dyDescent="0.3">
      <c r="B3187"/>
    </row>
    <row r="3188" spans="2:2" x14ac:dyDescent="0.3">
      <c r="B3188"/>
    </row>
    <row r="3189" spans="2:2" x14ac:dyDescent="0.3">
      <c r="B3189"/>
    </row>
    <row r="3190" spans="2:2" x14ac:dyDescent="0.3">
      <c r="B3190"/>
    </row>
    <row r="3191" spans="2:2" x14ac:dyDescent="0.3">
      <c r="B3191"/>
    </row>
    <row r="3192" spans="2:2" x14ac:dyDescent="0.3">
      <c r="B3192"/>
    </row>
    <row r="3193" spans="2:2" x14ac:dyDescent="0.3">
      <c r="B3193"/>
    </row>
    <row r="3194" spans="2:2" x14ac:dyDescent="0.3">
      <c r="B3194"/>
    </row>
    <row r="3195" spans="2:2" x14ac:dyDescent="0.3">
      <c r="B3195"/>
    </row>
    <row r="3196" spans="2:2" x14ac:dyDescent="0.3">
      <c r="B3196"/>
    </row>
    <row r="3197" spans="2:2" x14ac:dyDescent="0.3">
      <c r="B3197"/>
    </row>
    <row r="3198" spans="2:2" x14ac:dyDescent="0.3">
      <c r="B3198"/>
    </row>
    <row r="3199" spans="2:2" x14ac:dyDescent="0.3">
      <c r="B3199"/>
    </row>
    <row r="3200" spans="2:2" x14ac:dyDescent="0.3">
      <c r="B3200"/>
    </row>
    <row r="3201" spans="2:2" x14ac:dyDescent="0.3">
      <c r="B3201"/>
    </row>
    <row r="3202" spans="2:2" x14ac:dyDescent="0.3">
      <c r="B3202"/>
    </row>
    <row r="3203" spans="2:2" x14ac:dyDescent="0.3">
      <c r="B3203"/>
    </row>
    <row r="3204" spans="2:2" x14ac:dyDescent="0.3">
      <c r="B3204"/>
    </row>
    <row r="3205" spans="2:2" x14ac:dyDescent="0.3">
      <c r="B3205"/>
    </row>
    <row r="3206" spans="2:2" x14ac:dyDescent="0.3">
      <c r="B3206"/>
    </row>
    <row r="3207" spans="2:2" x14ac:dyDescent="0.3">
      <c r="B3207"/>
    </row>
    <row r="3208" spans="2:2" x14ac:dyDescent="0.3">
      <c r="B3208"/>
    </row>
    <row r="3209" spans="2:2" x14ac:dyDescent="0.3">
      <c r="B3209"/>
    </row>
    <row r="3210" spans="2:2" x14ac:dyDescent="0.3">
      <c r="B3210"/>
    </row>
    <row r="3211" spans="2:2" x14ac:dyDescent="0.3">
      <c r="B3211"/>
    </row>
    <row r="3212" spans="2:2" x14ac:dyDescent="0.3">
      <c r="B3212"/>
    </row>
    <row r="3213" spans="2:2" x14ac:dyDescent="0.3">
      <c r="B3213"/>
    </row>
    <row r="3214" spans="2:2" x14ac:dyDescent="0.3">
      <c r="B3214"/>
    </row>
    <row r="3215" spans="2:2" x14ac:dyDescent="0.3">
      <c r="B3215"/>
    </row>
    <row r="3216" spans="2:2" x14ac:dyDescent="0.3">
      <c r="B3216"/>
    </row>
    <row r="3217" spans="2:2" x14ac:dyDescent="0.3">
      <c r="B3217"/>
    </row>
    <row r="3218" spans="2:2" x14ac:dyDescent="0.3">
      <c r="B3218"/>
    </row>
    <row r="3219" spans="2:2" x14ac:dyDescent="0.3">
      <c r="B3219"/>
    </row>
    <row r="3220" spans="2:2" x14ac:dyDescent="0.3">
      <c r="B3220"/>
    </row>
    <row r="3221" spans="2:2" x14ac:dyDescent="0.3">
      <c r="B3221"/>
    </row>
    <row r="3222" spans="2:2" x14ac:dyDescent="0.3">
      <c r="B3222"/>
    </row>
    <row r="3223" spans="2:2" x14ac:dyDescent="0.3">
      <c r="B3223"/>
    </row>
    <row r="3224" spans="2:2" x14ac:dyDescent="0.3">
      <c r="B3224"/>
    </row>
    <row r="3225" spans="2:2" x14ac:dyDescent="0.3">
      <c r="B3225"/>
    </row>
    <row r="3226" spans="2:2" x14ac:dyDescent="0.3">
      <c r="B3226"/>
    </row>
    <row r="3227" spans="2:2" x14ac:dyDescent="0.3">
      <c r="B3227"/>
    </row>
    <row r="3228" spans="2:2" x14ac:dyDescent="0.3">
      <c r="B3228"/>
    </row>
    <row r="3229" spans="2:2" x14ac:dyDescent="0.3">
      <c r="B3229"/>
    </row>
    <row r="3230" spans="2:2" x14ac:dyDescent="0.3">
      <c r="B3230"/>
    </row>
    <row r="3231" spans="2:2" x14ac:dyDescent="0.3">
      <c r="B3231"/>
    </row>
    <row r="3232" spans="2:2" x14ac:dyDescent="0.3">
      <c r="B3232"/>
    </row>
    <row r="3233" spans="2:2" x14ac:dyDescent="0.3">
      <c r="B3233"/>
    </row>
    <row r="3234" spans="2:2" x14ac:dyDescent="0.3">
      <c r="B3234"/>
    </row>
    <row r="3235" spans="2:2" x14ac:dyDescent="0.3">
      <c r="B3235"/>
    </row>
    <row r="3236" spans="2:2" x14ac:dyDescent="0.3">
      <c r="B3236"/>
    </row>
    <row r="3237" spans="2:2" x14ac:dyDescent="0.3">
      <c r="B3237"/>
    </row>
    <row r="3238" spans="2:2" x14ac:dyDescent="0.3">
      <c r="B3238"/>
    </row>
    <row r="3239" spans="2:2" x14ac:dyDescent="0.3">
      <c r="B3239"/>
    </row>
    <row r="3240" spans="2:2" x14ac:dyDescent="0.3">
      <c r="B3240"/>
    </row>
    <row r="3241" spans="2:2" x14ac:dyDescent="0.3">
      <c r="B3241"/>
    </row>
    <row r="3242" spans="2:2" x14ac:dyDescent="0.3">
      <c r="B3242"/>
    </row>
    <row r="3243" spans="2:2" x14ac:dyDescent="0.3">
      <c r="B3243"/>
    </row>
    <row r="3244" spans="2:2" x14ac:dyDescent="0.3">
      <c r="B3244"/>
    </row>
    <row r="3245" spans="2:2" x14ac:dyDescent="0.3">
      <c r="B3245"/>
    </row>
    <row r="3246" spans="2:2" x14ac:dyDescent="0.3">
      <c r="B3246"/>
    </row>
    <row r="3247" spans="2:2" x14ac:dyDescent="0.3">
      <c r="B3247"/>
    </row>
    <row r="3248" spans="2:2" x14ac:dyDescent="0.3">
      <c r="B3248"/>
    </row>
    <row r="3249" spans="2:2" x14ac:dyDescent="0.3">
      <c r="B3249"/>
    </row>
    <row r="3250" spans="2:2" x14ac:dyDescent="0.3">
      <c r="B3250"/>
    </row>
    <row r="3251" spans="2:2" x14ac:dyDescent="0.3">
      <c r="B3251"/>
    </row>
    <row r="3252" spans="2:2" x14ac:dyDescent="0.3">
      <c r="B3252"/>
    </row>
    <row r="3253" spans="2:2" x14ac:dyDescent="0.3">
      <c r="B3253"/>
    </row>
    <row r="3254" spans="2:2" x14ac:dyDescent="0.3">
      <c r="B3254"/>
    </row>
    <row r="3255" spans="2:2" x14ac:dyDescent="0.3">
      <c r="B3255"/>
    </row>
    <row r="3256" spans="2:2" x14ac:dyDescent="0.3">
      <c r="B3256"/>
    </row>
    <row r="3257" spans="2:2" x14ac:dyDescent="0.3">
      <c r="B3257"/>
    </row>
    <row r="3258" spans="2:2" x14ac:dyDescent="0.3">
      <c r="B3258"/>
    </row>
    <row r="3259" spans="2:2" x14ac:dyDescent="0.3">
      <c r="B3259"/>
    </row>
    <row r="3260" spans="2:2" x14ac:dyDescent="0.3">
      <c r="B3260"/>
    </row>
    <row r="3261" spans="2:2" x14ac:dyDescent="0.3">
      <c r="B3261"/>
    </row>
    <row r="3262" spans="2:2" x14ac:dyDescent="0.3">
      <c r="B3262"/>
    </row>
    <row r="3263" spans="2:2" x14ac:dyDescent="0.3">
      <c r="B3263"/>
    </row>
    <row r="3264" spans="2:2" x14ac:dyDescent="0.3">
      <c r="B3264"/>
    </row>
    <row r="3265" spans="2:2" x14ac:dyDescent="0.3">
      <c r="B3265"/>
    </row>
    <row r="3266" spans="2:2" x14ac:dyDescent="0.3">
      <c r="B3266"/>
    </row>
    <row r="3267" spans="2:2" x14ac:dyDescent="0.3">
      <c r="B3267"/>
    </row>
    <row r="3268" spans="2:2" x14ac:dyDescent="0.3">
      <c r="B3268"/>
    </row>
    <row r="3269" spans="2:2" x14ac:dyDescent="0.3">
      <c r="B3269"/>
    </row>
    <row r="3270" spans="2:2" x14ac:dyDescent="0.3">
      <c r="B3270"/>
    </row>
    <row r="3271" spans="2:2" x14ac:dyDescent="0.3">
      <c r="B3271"/>
    </row>
    <row r="3272" spans="2:2" x14ac:dyDescent="0.3">
      <c r="B3272"/>
    </row>
    <row r="3273" spans="2:2" x14ac:dyDescent="0.3">
      <c r="B3273"/>
    </row>
    <row r="3274" spans="2:2" x14ac:dyDescent="0.3">
      <c r="B3274"/>
    </row>
    <row r="3275" spans="2:2" x14ac:dyDescent="0.3">
      <c r="B3275"/>
    </row>
    <row r="3276" spans="2:2" x14ac:dyDescent="0.3">
      <c r="B3276"/>
    </row>
    <row r="3277" spans="2:2" x14ac:dyDescent="0.3">
      <c r="B3277"/>
    </row>
    <row r="3278" spans="2:2" x14ac:dyDescent="0.3">
      <c r="B3278"/>
    </row>
    <row r="3279" spans="2:2" x14ac:dyDescent="0.3">
      <c r="B3279"/>
    </row>
    <row r="3280" spans="2:2" x14ac:dyDescent="0.3">
      <c r="B3280"/>
    </row>
    <row r="3281" spans="2:2" x14ac:dyDescent="0.3">
      <c r="B3281"/>
    </row>
    <row r="3282" spans="2:2" x14ac:dyDescent="0.3">
      <c r="B3282"/>
    </row>
    <row r="3283" spans="2:2" x14ac:dyDescent="0.3">
      <c r="B3283"/>
    </row>
    <row r="3284" spans="2:2" x14ac:dyDescent="0.3">
      <c r="B3284"/>
    </row>
    <row r="3285" spans="2:2" x14ac:dyDescent="0.3">
      <c r="B3285"/>
    </row>
    <row r="3286" spans="2:2" x14ac:dyDescent="0.3">
      <c r="B3286"/>
    </row>
    <row r="3287" spans="2:2" x14ac:dyDescent="0.3">
      <c r="B3287"/>
    </row>
    <row r="3288" spans="2:2" x14ac:dyDescent="0.3">
      <c r="B3288"/>
    </row>
    <row r="3289" spans="2:2" x14ac:dyDescent="0.3">
      <c r="B3289"/>
    </row>
    <row r="3290" spans="2:2" x14ac:dyDescent="0.3">
      <c r="B3290"/>
    </row>
    <row r="3291" spans="2:2" x14ac:dyDescent="0.3">
      <c r="B3291"/>
    </row>
    <row r="3292" spans="2:2" x14ac:dyDescent="0.3">
      <c r="B3292"/>
    </row>
    <row r="3293" spans="2:2" x14ac:dyDescent="0.3">
      <c r="B3293"/>
    </row>
    <row r="3294" spans="2:2" x14ac:dyDescent="0.3">
      <c r="B3294"/>
    </row>
    <row r="3295" spans="2:2" x14ac:dyDescent="0.3">
      <c r="B3295"/>
    </row>
    <row r="3296" spans="2:2" x14ac:dyDescent="0.3">
      <c r="B3296"/>
    </row>
    <row r="3297" spans="2:2" x14ac:dyDescent="0.3">
      <c r="B3297"/>
    </row>
    <row r="3298" spans="2:2" x14ac:dyDescent="0.3">
      <c r="B3298"/>
    </row>
    <row r="3299" spans="2:2" x14ac:dyDescent="0.3">
      <c r="B3299"/>
    </row>
    <row r="3300" spans="2:2" x14ac:dyDescent="0.3">
      <c r="B3300"/>
    </row>
    <row r="3301" spans="2:2" x14ac:dyDescent="0.3">
      <c r="B3301"/>
    </row>
    <row r="3302" spans="2:2" x14ac:dyDescent="0.3">
      <c r="B3302"/>
    </row>
    <row r="3303" spans="2:2" x14ac:dyDescent="0.3">
      <c r="B3303"/>
    </row>
    <row r="3304" spans="2:2" x14ac:dyDescent="0.3">
      <c r="B3304"/>
    </row>
    <row r="3305" spans="2:2" x14ac:dyDescent="0.3">
      <c r="B3305"/>
    </row>
    <row r="3306" spans="2:2" x14ac:dyDescent="0.3">
      <c r="B3306"/>
    </row>
    <row r="3307" spans="2:2" x14ac:dyDescent="0.3">
      <c r="B3307"/>
    </row>
    <row r="3308" spans="2:2" x14ac:dyDescent="0.3">
      <c r="B3308"/>
    </row>
    <row r="3309" spans="2:2" x14ac:dyDescent="0.3">
      <c r="B3309"/>
    </row>
    <row r="3310" spans="2:2" x14ac:dyDescent="0.3">
      <c r="B3310"/>
    </row>
    <row r="3311" spans="2:2" x14ac:dyDescent="0.3">
      <c r="B3311"/>
    </row>
    <row r="3312" spans="2:2" x14ac:dyDescent="0.3">
      <c r="B3312"/>
    </row>
    <row r="3313" spans="2:2" x14ac:dyDescent="0.3">
      <c r="B3313"/>
    </row>
    <row r="3314" spans="2:2" x14ac:dyDescent="0.3">
      <c r="B3314"/>
    </row>
    <row r="3315" spans="2:2" x14ac:dyDescent="0.3">
      <c r="B3315"/>
    </row>
    <row r="3316" spans="2:2" x14ac:dyDescent="0.3">
      <c r="B3316"/>
    </row>
    <row r="3317" spans="2:2" x14ac:dyDescent="0.3">
      <c r="B3317"/>
    </row>
    <row r="3318" spans="2:2" x14ac:dyDescent="0.3">
      <c r="B3318"/>
    </row>
    <row r="3319" spans="2:2" x14ac:dyDescent="0.3">
      <c r="B3319"/>
    </row>
    <row r="3320" spans="2:2" x14ac:dyDescent="0.3">
      <c r="B3320"/>
    </row>
    <row r="3321" spans="2:2" x14ac:dyDescent="0.3">
      <c r="B3321"/>
    </row>
    <row r="3322" spans="2:2" x14ac:dyDescent="0.3">
      <c r="B3322"/>
    </row>
    <row r="3323" spans="2:2" x14ac:dyDescent="0.3">
      <c r="B3323"/>
    </row>
    <row r="3324" spans="2:2" x14ac:dyDescent="0.3">
      <c r="B3324"/>
    </row>
    <row r="3325" spans="2:2" x14ac:dyDescent="0.3">
      <c r="B3325"/>
    </row>
    <row r="3326" spans="2:2" x14ac:dyDescent="0.3">
      <c r="B3326"/>
    </row>
    <row r="3327" spans="2:2" x14ac:dyDescent="0.3">
      <c r="B3327"/>
    </row>
    <row r="3328" spans="2:2" x14ac:dyDescent="0.3">
      <c r="B3328"/>
    </row>
    <row r="3329" spans="2:2" x14ac:dyDescent="0.3">
      <c r="B3329"/>
    </row>
    <row r="3330" spans="2:2" x14ac:dyDescent="0.3">
      <c r="B3330"/>
    </row>
    <row r="3331" spans="2:2" x14ac:dyDescent="0.3">
      <c r="B3331"/>
    </row>
    <row r="3332" spans="2:2" x14ac:dyDescent="0.3">
      <c r="B3332"/>
    </row>
    <row r="3333" spans="2:2" x14ac:dyDescent="0.3">
      <c r="B3333"/>
    </row>
    <row r="3334" spans="2:2" x14ac:dyDescent="0.3">
      <c r="B3334"/>
    </row>
    <row r="3335" spans="2:2" x14ac:dyDescent="0.3">
      <c r="B3335"/>
    </row>
    <row r="3336" spans="2:2" x14ac:dyDescent="0.3">
      <c r="B3336"/>
    </row>
    <row r="3337" spans="2:2" x14ac:dyDescent="0.3">
      <c r="B3337"/>
    </row>
    <row r="3338" spans="2:2" x14ac:dyDescent="0.3">
      <c r="B3338"/>
    </row>
    <row r="3339" spans="2:2" x14ac:dyDescent="0.3">
      <c r="B3339"/>
    </row>
    <row r="3340" spans="2:2" x14ac:dyDescent="0.3">
      <c r="B3340"/>
    </row>
    <row r="3341" spans="2:2" x14ac:dyDescent="0.3">
      <c r="B3341"/>
    </row>
    <row r="3342" spans="2:2" x14ac:dyDescent="0.3">
      <c r="B3342"/>
    </row>
    <row r="3343" spans="2:2" x14ac:dyDescent="0.3">
      <c r="B3343"/>
    </row>
    <row r="3344" spans="2:2" x14ac:dyDescent="0.3">
      <c r="B3344"/>
    </row>
    <row r="3345" spans="2:2" x14ac:dyDescent="0.3">
      <c r="B3345"/>
    </row>
    <row r="3346" spans="2:2" x14ac:dyDescent="0.3">
      <c r="B3346"/>
    </row>
    <row r="3347" spans="2:2" x14ac:dyDescent="0.3">
      <c r="B3347"/>
    </row>
    <row r="3348" spans="2:2" x14ac:dyDescent="0.3">
      <c r="B3348"/>
    </row>
    <row r="3349" spans="2:2" x14ac:dyDescent="0.3">
      <c r="B3349"/>
    </row>
    <row r="3350" spans="2:2" x14ac:dyDescent="0.3">
      <c r="B3350"/>
    </row>
    <row r="3351" spans="2:2" x14ac:dyDescent="0.3">
      <c r="B3351"/>
    </row>
    <row r="3352" spans="2:2" x14ac:dyDescent="0.3">
      <c r="B3352"/>
    </row>
    <row r="3353" spans="2:2" x14ac:dyDescent="0.3">
      <c r="B3353"/>
    </row>
    <row r="3354" spans="2:2" x14ac:dyDescent="0.3">
      <c r="B3354"/>
    </row>
    <row r="3355" spans="2:2" x14ac:dyDescent="0.3">
      <c r="B3355"/>
    </row>
    <row r="3356" spans="2:2" x14ac:dyDescent="0.3">
      <c r="B3356"/>
    </row>
    <row r="3357" spans="2:2" x14ac:dyDescent="0.3">
      <c r="B3357"/>
    </row>
    <row r="3358" spans="2:2" x14ac:dyDescent="0.3">
      <c r="B3358"/>
    </row>
    <row r="3359" spans="2:2" x14ac:dyDescent="0.3">
      <c r="B3359"/>
    </row>
    <row r="3360" spans="2:2" x14ac:dyDescent="0.3">
      <c r="B3360"/>
    </row>
    <row r="3361" spans="2:2" x14ac:dyDescent="0.3">
      <c r="B3361"/>
    </row>
    <row r="3362" spans="2:2" x14ac:dyDescent="0.3">
      <c r="B3362"/>
    </row>
    <row r="3363" spans="2:2" x14ac:dyDescent="0.3">
      <c r="B3363"/>
    </row>
    <row r="3364" spans="2:2" x14ac:dyDescent="0.3">
      <c r="B3364"/>
    </row>
    <row r="3365" spans="2:2" x14ac:dyDescent="0.3">
      <c r="B3365"/>
    </row>
    <row r="3366" spans="2:2" x14ac:dyDescent="0.3">
      <c r="B3366"/>
    </row>
    <row r="3367" spans="2:2" x14ac:dyDescent="0.3">
      <c r="B3367"/>
    </row>
    <row r="3368" spans="2:2" x14ac:dyDescent="0.3">
      <c r="B3368"/>
    </row>
    <row r="3369" spans="2:2" x14ac:dyDescent="0.3">
      <c r="B3369"/>
    </row>
    <row r="3370" spans="2:2" x14ac:dyDescent="0.3">
      <c r="B3370"/>
    </row>
    <row r="3371" spans="2:2" x14ac:dyDescent="0.3">
      <c r="B3371"/>
    </row>
    <row r="3372" spans="2:2" x14ac:dyDescent="0.3">
      <c r="B3372"/>
    </row>
    <row r="3373" spans="2:2" x14ac:dyDescent="0.3">
      <c r="B3373"/>
    </row>
    <row r="3374" spans="2:2" x14ac:dyDescent="0.3">
      <c r="B3374"/>
    </row>
    <row r="3375" spans="2:2" x14ac:dyDescent="0.3">
      <c r="B3375"/>
    </row>
    <row r="3376" spans="2:2" x14ac:dyDescent="0.3">
      <c r="B3376"/>
    </row>
    <row r="3377" spans="2:2" x14ac:dyDescent="0.3">
      <c r="B3377"/>
    </row>
    <row r="3378" spans="2:2" x14ac:dyDescent="0.3">
      <c r="B3378"/>
    </row>
    <row r="3379" spans="2:2" x14ac:dyDescent="0.3">
      <c r="B3379"/>
    </row>
    <row r="3380" spans="2:2" x14ac:dyDescent="0.3">
      <c r="B3380"/>
    </row>
    <row r="3381" spans="2:2" x14ac:dyDescent="0.3">
      <c r="B3381"/>
    </row>
    <row r="3382" spans="2:2" x14ac:dyDescent="0.3">
      <c r="B3382"/>
    </row>
    <row r="3383" spans="2:2" x14ac:dyDescent="0.3">
      <c r="B3383"/>
    </row>
    <row r="3384" spans="2:2" x14ac:dyDescent="0.3">
      <c r="B3384"/>
    </row>
    <row r="3385" spans="2:2" x14ac:dyDescent="0.3">
      <c r="B3385"/>
    </row>
    <row r="3386" spans="2:2" x14ac:dyDescent="0.3">
      <c r="B3386"/>
    </row>
    <row r="3387" spans="2:2" x14ac:dyDescent="0.3">
      <c r="B3387"/>
    </row>
    <row r="3388" spans="2:2" x14ac:dyDescent="0.3">
      <c r="B3388"/>
    </row>
    <row r="3389" spans="2:2" x14ac:dyDescent="0.3">
      <c r="B3389"/>
    </row>
    <row r="3390" spans="2:2" x14ac:dyDescent="0.3">
      <c r="B3390"/>
    </row>
    <row r="3391" spans="2:2" x14ac:dyDescent="0.3">
      <c r="B3391"/>
    </row>
    <row r="3392" spans="2:2" x14ac:dyDescent="0.3">
      <c r="B3392"/>
    </row>
    <row r="3393" spans="2:2" x14ac:dyDescent="0.3">
      <c r="B3393"/>
    </row>
    <row r="3394" spans="2:2" x14ac:dyDescent="0.3">
      <c r="B3394"/>
    </row>
    <row r="3395" spans="2:2" x14ac:dyDescent="0.3">
      <c r="B3395"/>
    </row>
    <row r="3396" spans="2:2" x14ac:dyDescent="0.3">
      <c r="B3396"/>
    </row>
    <row r="3397" spans="2:2" x14ac:dyDescent="0.3">
      <c r="B3397"/>
    </row>
    <row r="3398" spans="2:2" x14ac:dyDescent="0.3">
      <c r="B3398"/>
    </row>
    <row r="3399" spans="2:2" x14ac:dyDescent="0.3">
      <c r="B3399"/>
    </row>
    <row r="3400" spans="2:2" x14ac:dyDescent="0.3">
      <c r="B3400"/>
    </row>
    <row r="3401" spans="2:2" x14ac:dyDescent="0.3">
      <c r="B3401"/>
    </row>
    <row r="3402" spans="2:2" x14ac:dyDescent="0.3">
      <c r="B3402"/>
    </row>
    <row r="3403" spans="2:2" x14ac:dyDescent="0.3">
      <c r="B3403"/>
    </row>
    <row r="3404" spans="2:2" x14ac:dyDescent="0.3">
      <c r="B3404"/>
    </row>
    <row r="3405" spans="2:2" x14ac:dyDescent="0.3">
      <c r="B3405"/>
    </row>
    <row r="3406" spans="2:2" x14ac:dyDescent="0.3">
      <c r="B3406"/>
    </row>
    <row r="3407" spans="2:2" x14ac:dyDescent="0.3">
      <c r="B3407"/>
    </row>
    <row r="3408" spans="2:2" x14ac:dyDescent="0.3">
      <c r="B3408"/>
    </row>
    <row r="3409" spans="2:2" x14ac:dyDescent="0.3">
      <c r="B3409"/>
    </row>
    <row r="3410" spans="2:2" x14ac:dyDescent="0.3">
      <c r="B3410"/>
    </row>
    <row r="3411" spans="2:2" x14ac:dyDescent="0.3">
      <c r="B3411"/>
    </row>
    <row r="3412" spans="2:2" x14ac:dyDescent="0.3">
      <c r="B3412"/>
    </row>
    <row r="3413" spans="2:2" x14ac:dyDescent="0.3">
      <c r="B3413"/>
    </row>
    <row r="3414" spans="2:2" x14ac:dyDescent="0.3">
      <c r="B3414"/>
    </row>
    <row r="3415" spans="2:2" x14ac:dyDescent="0.3">
      <c r="B3415"/>
    </row>
    <row r="3416" spans="2:2" x14ac:dyDescent="0.3">
      <c r="B3416"/>
    </row>
    <row r="3417" spans="2:2" x14ac:dyDescent="0.3">
      <c r="B3417"/>
    </row>
    <row r="3418" spans="2:2" x14ac:dyDescent="0.3">
      <c r="B3418"/>
    </row>
    <row r="3419" spans="2:2" x14ac:dyDescent="0.3">
      <c r="B3419"/>
    </row>
    <row r="3420" spans="2:2" x14ac:dyDescent="0.3">
      <c r="B3420"/>
    </row>
    <row r="3421" spans="2:2" x14ac:dyDescent="0.3">
      <c r="B3421"/>
    </row>
    <row r="3422" spans="2:2" x14ac:dyDescent="0.3">
      <c r="B3422"/>
    </row>
    <row r="3423" spans="2:2" x14ac:dyDescent="0.3">
      <c r="B3423"/>
    </row>
    <row r="3424" spans="2:2" x14ac:dyDescent="0.3">
      <c r="B3424"/>
    </row>
    <row r="3425" spans="2:2" x14ac:dyDescent="0.3">
      <c r="B3425"/>
    </row>
    <row r="3426" spans="2:2" x14ac:dyDescent="0.3">
      <c r="B3426"/>
    </row>
    <row r="3427" spans="2:2" x14ac:dyDescent="0.3">
      <c r="B3427"/>
    </row>
    <row r="3428" spans="2:2" x14ac:dyDescent="0.3">
      <c r="B3428"/>
    </row>
    <row r="3429" spans="2:2" x14ac:dyDescent="0.3">
      <c r="B3429"/>
    </row>
    <row r="3430" spans="2:2" x14ac:dyDescent="0.3">
      <c r="B3430"/>
    </row>
    <row r="3431" spans="2:2" x14ac:dyDescent="0.3">
      <c r="B3431"/>
    </row>
    <row r="3432" spans="2:2" x14ac:dyDescent="0.3">
      <c r="B3432"/>
    </row>
    <row r="3433" spans="2:2" x14ac:dyDescent="0.3">
      <c r="B3433"/>
    </row>
    <row r="3434" spans="2:2" x14ac:dyDescent="0.3">
      <c r="B3434"/>
    </row>
    <row r="3435" spans="2:2" x14ac:dyDescent="0.3">
      <c r="B3435"/>
    </row>
    <row r="3436" spans="2:2" x14ac:dyDescent="0.3">
      <c r="B3436"/>
    </row>
    <row r="3437" spans="2:2" x14ac:dyDescent="0.3">
      <c r="B3437"/>
    </row>
    <row r="3438" spans="2:2" x14ac:dyDescent="0.3">
      <c r="B3438"/>
    </row>
    <row r="3439" spans="2:2" x14ac:dyDescent="0.3">
      <c r="B3439"/>
    </row>
    <row r="3440" spans="2:2" x14ac:dyDescent="0.3">
      <c r="B3440"/>
    </row>
    <row r="3441" spans="2:2" x14ac:dyDescent="0.3">
      <c r="B3441"/>
    </row>
    <row r="3442" spans="2:2" x14ac:dyDescent="0.3">
      <c r="B3442"/>
    </row>
    <row r="3443" spans="2:2" x14ac:dyDescent="0.3">
      <c r="B3443"/>
    </row>
    <row r="3444" spans="2:2" x14ac:dyDescent="0.3">
      <c r="B3444"/>
    </row>
    <row r="3445" spans="2:2" x14ac:dyDescent="0.3">
      <c r="B3445"/>
    </row>
    <row r="3446" spans="2:2" x14ac:dyDescent="0.3">
      <c r="B3446"/>
    </row>
    <row r="3447" spans="2:2" x14ac:dyDescent="0.3">
      <c r="B3447"/>
    </row>
    <row r="3448" spans="2:2" x14ac:dyDescent="0.3">
      <c r="B3448"/>
    </row>
    <row r="3449" spans="2:2" x14ac:dyDescent="0.3">
      <c r="B3449"/>
    </row>
    <row r="3450" spans="2:2" x14ac:dyDescent="0.3">
      <c r="B3450"/>
    </row>
    <row r="3451" spans="2:2" x14ac:dyDescent="0.3">
      <c r="B3451"/>
    </row>
    <row r="3452" spans="2:2" x14ac:dyDescent="0.3">
      <c r="B3452"/>
    </row>
    <row r="3453" spans="2:2" x14ac:dyDescent="0.3">
      <c r="B3453"/>
    </row>
    <row r="3454" spans="2:2" x14ac:dyDescent="0.3">
      <c r="B3454"/>
    </row>
    <row r="3455" spans="2:2" x14ac:dyDescent="0.3">
      <c r="B3455"/>
    </row>
    <row r="3456" spans="2:2" x14ac:dyDescent="0.3">
      <c r="B3456"/>
    </row>
    <row r="3457" spans="2:2" x14ac:dyDescent="0.3">
      <c r="B3457"/>
    </row>
    <row r="3458" spans="2:2" x14ac:dyDescent="0.3">
      <c r="B3458"/>
    </row>
    <row r="3459" spans="2:2" x14ac:dyDescent="0.3">
      <c r="B3459"/>
    </row>
    <row r="3460" spans="2:2" x14ac:dyDescent="0.3">
      <c r="B3460"/>
    </row>
    <row r="3461" spans="2:2" x14ac:dyDescent="0.3">
      <c r="B3461"/>
    </row>
    <row r="3462" spans="2:2" x14ac:dyDescent="0.3">
      <c r="B3462"/>
    </row>
    <row r="3463" spans="2:2" x14ac:dyDescent="0.3">
      <c r="B3463"/>
    </row>
    <row r="3464" spans="2:2" x14ac:dyDescent="0.3">
      <c r="B3464"/>
    </row>
    <row r="3465" spans="2:2" x14ac:dyDescent="0.3">
      <c r="B3465"/>
    </row>
    <row r="3466" spans="2:2" x14ac:dyDescent="0.3">
      <c r="B3466"/>
    </row>
    <row r="3467" spans="2:2" x14ac:dyDescent="0.3">
      <c r="B3467"/>
    </row>
    <row r="3468" spans="2:2" x14ac:dyDescent="0.3">
      <c r="B3468"/>
    </row>
    <row r="3469" spans="2:2" x14ac:dyDescent="0.3">
      <c r="B3469"/>
    </row>
    <row r="3470" spans="2:2" x14ac:dyDescent="0.3">
      <c r="B3470"/>
    </row>
    <row r="3471" spans="2:2" x14ac:dyDescent="0.3">
      <c r="B3471"/>
    </row>
    <row r="3472" spans="2:2" x14ac:dyDescent="0.3">
      <c r="B3472"/>
    </row>
    <row r="3473" spans="2:2" x14ac:dyDescent="0.3">
      <c r="B3473"/>
    </row>
    <row r="3474" spans="2:2" x14ac:dyDescent="0.3">
      <c r="B3474"/>
    </row>
    <row r="3475" spans="2:2" x14ac:dyDescent="0.3">
      <c r="B3475"/>
    </row>
    <row r="3476" spans="2:2" x14ac:dyDescent="0.3">
      <c r="B3476"/>
    </row>
    <row r="3477" spans="2:2" x14ac:dyDescent="0.3">
      <c r="B3477"/>
    </row>
    <row r="3478" spans="2:2" x14ac:dyDescent="0.3">
      <c r="B3478"/>
    </row>
    <row r="3479" spans="2:2" x14ac:dyDescent="0.3">
      <c r="B3479"/>
    </row>
    <row r="3480" spans="2:2" x14ac:dyDescent="0.3">
      <c r="B3480"/>
    </row>
    <row r="3481" spans="2:2" x14ac:dyDescent="0.3">
      <c r="B3481"/>
    </row>
    <row r="3482" spans="2:2" x14ac:dyDescent="0.3">
      <c r="B3482"/>
    </row>
    <row r="3483" spans="2:2" x14ac:dyDescent="0.3">
      <c r="B3483"/>
    </row>
    <row r="3484" spans="2:2" x14ac:dyDescent="0.3">
      <c r="B3484"/>
    </row>
    <row r="3485" spans="2:2" x14ac:dyDescent="0.3">
      <c r="B3485"/>
    </row>
    <row r="3486" spans="2:2" x14ac:dyDescent="0.3">
      <c r="B3486"/>
    </row>
    <row r="3487" spans="2:2" x14ac:dyDescent="0.3">
      <c r="B3487"/>
    </row>
    <row r="3488" spans="2:2" x14ac:dyDescent="0.3">
      <c r="B3488"/>
    </row>
    <row r="3489" spans="2:2" x14ac:dyDescent="0.3">
      <c r="B3489"/>
    </row>
    <row r="3490" spans="2:2" x14ac:dyDescent="0.3">
      <c r="B3490"/>
    </row>
    <row r="3491" spans="2:2" x14ac:dyDescent="0.3">
      <c r="B3491"/>
    </row>
    <row r="3492" spans="2:2" x14ac:dyDescent="0.3">
      <c r="B3492"/>
    </row>
    <row r="3493" spans="2:2" x14ac:dyDescent="0.3">
      <c r="B3493"/>
    </row>
    <row r="3494" spans="2:2" x14ac:dyDescent="0.3">
      <c r="B3494"/>
    </row>
    <row r="3495" spans="2:2" x14ac:dyDescent="0.3">
      <c r="B3495"/>
    </row>
    <row r="3496" spans="2:2" x14ac:dyDescent="0.3">
      <c r="B3496"/>
    </row>
    <row r="3497" spans="2:2" x14ac:dyDescent="0.3">
      <c r="B3497"/>
    </row>
    <row r="3498" spans="2:2" x14ac:dyDescent="0.3">
      <c r="B3498"/>
    </row>
    <row r="3499" spans="2:2" x14ac:dyDescent="0.3">
      <c r="B3499"/>
    </row>
    <row r="3500" spans="2:2" x14ac:dyDescent="0.3">
      <c r="B3500"/>
    </row>
    <row r="3501" spans="2:2" x14ac:dyDescent="0.3">
      <c r="B3501"/>
    </row>
    <row r="3502" spans="2:2" x14ac:dyDescent="0.3">
      <c r="B3502"/>
    </row>
    <row r="3503" spans="2:2" x14ac:dyDescent="0.3">
      <c r="B3503"/>
    </row>
    <row r="3504" spans="2:2" x14ac:dyDescent="0.3">
      <c r="B3504"/>
    </row>
    <row r="3505" spans="2:2" x14ac:dyDescent="0.3">
      <c r="B3505"/>
    </row>
    <row r="3506" spans="2:2" x14ac:dyDescent="0.3">
      <c r="B3506"/>
    </row>
    <row r="3507" spans="2:2" x14ac:dyDescent="0.3">
      <c r="B3507"/>
    </row>
    <row r="3508" spans="2:2" x14ac:dyDescent="0.3">
      <c r="B3508"/>
    </row>
    <row r="3509" spans="2:2" x14ac:dyDescent="0.3">
      <c r="B3509"/>
    </row>
    <row r="3510" spans="2:2" x14ac:dyDescent="0.3">
      <c r="B3510"/>
    </row>
    <row r="3511" spans="2:2" x14ac:dyDescent="0.3">
      <c r="B3511"/>
    </row>
    <row r="3512" spans="2:2" x14ac:dyDescent="0.3">
      <c r="B3512"/>
    </row>
    <row r="3513" spans="2:2" x14ac:dyDescent="0.3">
      <c r="B3513"/>
    </row>
    <row r="3514" spans="2:2" x14ac:dyDescent="0.3">
      <c r="B3514"/>
    </row>
    <row r="3515" spans="2:2" x14ac:dyDescent="0.3">
      <c r="B3515"/>
    </row>
    <row r="3516" spans="2:2" x14ac:dyDescent="0.3">
      <c r="B3516"/>
    </row>
    <row r="3517" spans="2:2" x14ac:dyDescent="0.3">
      <c r="B3517"/>
    </row>
    <row r="3518" spans="2:2" x14ac:dyDescent="0.3">
      <c r="B3518"/>
    </row>
    <row r="3519" spans="2:2" x14ac:dyDescent="0.3">
      <c r="B3519"/>
    </row>
    <row r="3520" spans="2:2" x14ac:dyDescent="0.3">
      <c r="B3520"/>
    </row>
    <row r="3521" spans="2:2" x14ac:dyDescent="0.3">
      <c r="B3521"/>
    </row>
    <row r="3522" spans="2:2" x14ac:dyDescent="0.3">
      <c r="B3522"/>
    </row>
    <row r="3523" spans="2:2" x14ac:dyDescent="0.3">
      <c r="B3523"/>
    </row>
    <row r="3524" spans="2:2" x14ac:dyDescent="0.3">
      <c r="B3524"/>
    </row>
    <row r="3525" spans="2:2" x14ac:dyDescent="0.3">
      <c r="B3525"/>
    </row>
    <row r="3526" spans="2:2" x14ac:dyDescent="0.3">
      <c r="B3526"/>
    </row>
    <row r="3527" spans="2:2" x14ac:dyDescent="0.3">
      <c r="B3527"/>
    </row>
    <row r="3528" spans="2:2" x14ac:dyDescent="0.3">
      <c r="B3528"/>
    </row>
    <row r="3529" spans="2:2" x14ac:dyDescent="0.3">
      <c r="B3529"/>
    </row>
    <row r="3530" spans="2:2" x14ac:dyDescent="0.3">
      <c r="B3530"/>
    </row>
    <row r="3531" spans="2:2" x14ac:dyDescent="0.3">
      <c r="B3531"/>
    </row>
    <row r="3532" spans="2:2" x14ac:dyDescent="0.3">
      <c r="B3532"/>
    </row>
    <row r="3533" spans="2:2" x14ac:dyDescent="0.3">
      <c r="B3533"/>
    </row>
    <row r="3534" spans="2:2" x14ac:dyDescent="0.3">
      <c r="B3534"/>
    </row>
    <row r="3535" spans="2:2" x14ac:dyDescent="0.3">
      <c r="B3535"/>
    </row>
    <row r="3536" spans="2:2" x14ac:dyDescent="0.3">
      <c r="B3536"/>
    </row>
    <row r="3537" spans="2:2" x14ac:dyDescent="0.3">
      <c r="B3537"/>
    </row>
    <row r="3538" spans="2:2" x14ac:dyDescent="0.3">
      <c r="B3538"/>
    </row>
    <row r="3539" spans="2:2" x14ac:dyDescent="0.3">
      <c r="B3539"/>
    </row>
    <row r="3540" spans="2:2" x14ac:dyDescent="0.3">
      <c r="B3540"/>
    </row>
    <row r="3541" spans="2:2" x14ac:dyDescent="0.3">
      <c r="B3541"/>
    </row>
    <row r="3542" spans="2:2" x14ac:dyDescent="0.3">
      <c r="B3542"/>
    </row>
    <row r="3543" spans="2:2" x14ac:dyDescent="0.3">
      <c r="B3543"/>
    </row>
    <row r="3544" spans="2:2" x14ac:dyDescent="0.3">
      <c r="B3544"/>
    </row>
    <row r="3545" spans="2:2" x14ac:dyDescent="0.3">
      <c r="B3545"/>
    </row>
    <row r="3546" spans="2:2" x14ac:dyDescent="0.3">
      <c r="B3546"/>
    </row>
    <row r="3547" spans="2:2" x14ac:dyDescent="0.3">
      <c r="B3547"/>
    </row>
    <row r="3548" spans="2:2" x14ac:dyDescent="0.3">
      <c r="B3548"/>
    </row>
    <row r="3549" spans="2:2" x14ac:dyDescent="0.3">
      <c r="B3549"/>
    </row>
    <row r="3550" spans="2:2" x14ac:dyDescent="0.3">
      <c r="B3550"/>
    </row>
    <row r="3551" spans="2:2" x14ac:dyDescent="0.3">
      <c r="B3551"/>
    </row>
    <row r="3552" spans="2:2" x14ac:dyDescent="0.3">
      <c r="B3552"/>
    </row>
    <row r="3553" spans="2:2" x14ac:dyDescent="0.3">
      <c r="B3553"/>
    </row>
    <row r="3554" spans="2:2" x14ac:dyDescent="0.3">
      <c r="B3554"/>
    </row>
    <row r="3555" spans="2:2" x14ac:dyDescent="0.3">
      <c r="B3555"/>
    </row>
    <row r="3556" spans="2:2" x14ac:dyDescent="0.3">
      <c r="B3556"/>
    </row>
    <row r="3557" spans="2:2" x14ac:dyDescent="0.3">
      <c r="B3557"/>
    </row>
    <row r="3558" spans="2:2" x14ac:dyDescent="0.3">
      <c r="B3558"/>
    </row>
    <row r="3559" spans="2:2" x14ac:dyDescent="0.3">
      <c r="B3559"/>
    </row>
    <row r="3560" spans="2:2" x14ac:dyDescent="0.3">
      <c r="B3560"/>
    </row>
    <row r="3561" spans="2:2" x14ac:dyDescent="0.3">
      <c r="B3561"/>
    </row>
    <row r="3562" spans="2:2" x14ac:dyDescent="0.3">
      <c r="B3562"/>
    </row>
    <row r="3563" spans="2:2" x14ac:dyDescent="0.3">
      <c r="B3563"/>
    </row>
    <row r="3564" spans="2:2" x14ac:dyDescent="0.3">
      <c r="B3564"/>
    </row>
    <row r="3565" spans="2:2" x14ac:dyDescent="0.3">
      <c r="B3565"/>
    </row>
    <row r="3566" spans="2:2" x14ac:dyDescent="0.3">
      <c r="B3566"/>
    </row>
    <row r="3567" spans="2:2" x14ac:dyDescent="0.3">
      <c r="B3567"/>
    </row>
    <row r="3568" spans="2:2" x14ac:dyDescent="0.3">
      <c r="B3568"/>
    </row>
    <row r="3569" spans="2:2" x14ac:dyDescent="0.3">
      <c r="B3569"/>
    </row>
    <row r="3570" spans="2:2" x14ac:dyDescent="0.3">
      <c r="B3570"/>
    </row>
    <row r="3571" spans="2:2" x14ac:dyDescent="0.3">
      <c r="B3571"/>
    </row>
    <row r="3572" spans="2:2" x14ac:dyDescent="0.3">
      <c r="B3572"/>
    </row>
    <row r="3573" spans="2:2" x14ac:dyDescent="0.3">
      <c r="B3573"/>
    </row>
    <row r="3574" spans="2:2" x14ac:dyDescent="0.3">
      <c r="B3574"/>
    </row>
    <row r="3575" spans="2:2" x14ac:dyDescent="0.3">
      <c r="B3575"/>
    </row>
    <row r="3576" spans="2:2" x14ac:dyDescent="0.3">
      <c r="B3576"/>
    </row>
    <row r="3577" spans="2:2" x14ac:dyDescent="0.3">
      <c r="B3577"/>
    </row>
    <row r="3578" spans="2:2" x14ac:dyDescent="0.3">
      <c r="B3578"/>
    </row>
    <row r="3579" spans="2:2" x14ac:dyDescent="0.3">
      <c r="B3579"/>
    </row>
    <row r="3580" spans="2:2" x14ac:dyDescent="0.3">
      <c r="B3580"/>
    </row>
    <row r="3581" spans="2:2" x14ac:dyDescent="0.3">
      <c r="B3581"/>
    </row>
    <row r="3582" spans="2:2" x14ac:dyDescent="0.3">
      <c r="B3582"/>
    </row>
    <row r="3583" spans="2:2" x14ac:dyDescent="0.3">
      <c r="B3583"/>
    </row>
    <row r="3584" spans="2:2" x14ac:dyDescent="0.3">
      <c r="B3584"/>
    </row>
    <row r="3585" spans="2:2" x14ac:dyDescent="0.3">
      <c r="B3585"/>
    </row>
    <row r="3586" spans="2:2" x14ac:dyDescent="0.3">
      <c r="B3586"/>
    </row>
    <row r="3587" spans="2:2" x14ac:dyDescent="0.3">
      <c r="B3587"/>
    </row>
    <row r="3588" spans="2:2" x14ac:dyDescent="0.3">
      <c r="B3588"/>
    </row>
    <row r="3589" spans="2:2" x14ac:dyDescent="0.3">
      <c r="B3589"/>
    </row>
    <row r="3590" spans="2:2" x14ac:dyDescent="0.3">
      <c r="B3590"/>
    </row>
    <row r="3591" spans="2:2" x14ac:dyDescent="0.3">
      <c r="B3591"/>
    </row>
    <row r="3592" spans="2:2" x14ac:dyDescent="0.3">
      <c r="B3592"/>
    </row>
    <row r="3593" spans="2:2" x14ac:dyDescent="0.3">
      <c r="B3593"/>
    </row>
    <row r="3594" spans="2:2" x14ac:dyDescent="0.3">
      <c r="B3594"/>
    </row>
    <row r="3595" spans="2:2" x14ac:dyDescent="0.3">
      <c r="B3595"/>
    </row>
    <row r="3596" spans="2:2" x14ac:dyDescent="0.3">
      <c r="B3596"/>
    </row>
    <row r="3597" spans="2:2" x14ac:dyDescent="0.3">
      <c r="B3597"/>
    </row>
    <row r="3598" spans="2:2" x14ac:dyDescent="0.3">
      <c r="B3598"/>
    </row>
    <row r="3599" spans="2:2" x14ac:dyDescent="0.3">
      <c r="B3599"/>
    </row>
    <row r="3600" spans="2:2" x14ac:dyDescent="0.3">
      <c r="B3600"/>
    </row>
    <row r="3601" spans="2:2" x14ac:dyDescent="0.3">
      <c r="B3601"/>
    </row>
    <row r="3602" spans="2:2" x14ac:dyDescent="0.3">
      <c r="B3602"/>
    </row>
    <row r="3603" spans="2:2" x14ac:dyDescent="0.3">
      <c r="B3603"/>
    </row>
    <row r="3604" spans="2:2" x14ac:dyDescent="0.3">
      <c r="B3604"/>
    </row>
    <row r="3605" spans="2:2" x14ac:dyDescent="0.3">
      <c r="B3605"/>
    </row>
    <row r="3606" spans="2:2" x14ac:dyDescent="0.3">
      <c r="B3606"/>
    </row>
    <row r="3607" spans="2:2" x14ac:dyDescent="0.3">
      <c r="B3607"/>
    </row>
    <row r="3608" spans="2:2" x14ac:dyDescent="0.3">
      <c r="B3608"/>
    </row>
    <row r="3609" spans="2:2" x14ac:dyDescent="0.3">
      <c r="B3609"/>
    </row>
    <row r="3610" spans="2:2" x14ac:dyDescent="0.3">
      <c r="B3610"/>
    </row>
    <row r="3611" spans="2:2" x14ac:dyDescent="0.3">
      <c r="B3611"/>
    </row>
    <row r="3612" spans="2:2" x14ac:dyDescent="0.3">
      <c r="B3612"/>
    </row>
    <row r="3613" spans="2:2" x14ac:dyDescent="0.3">
      <c r="B3613"/>
    </row>
    <row r="3614" spans="2:2" x14ac:dyDescent="0.3">
      <c r="B3614"/>
    </row>
    <row r="3615" spans="2:2" x14ac:dyDescent="0.3">
      <c r="B3615"/>
    </row>
    <row r="3616" spans="2:2" x14ac:dyDescent="0.3">
      <c r="B3616"/>
    </row>
    <row r="3617" spans="2:2" x14ac:dyDescent="0.3">
      <c r="B3617"/>
    </row>
    <row r="3618" spans="2:2" x14ac:dyDescent="0.3">
      <c r="B3618"/>
    </row>
    <row r="3619" spans="2:2" x14ac:dyDescent="0.3">
      <c r="B3619"/>
    </row>
    <row r="3620" spans="2:2" x14ac:dyDescent="0.3">
      <c r="B3620"/>
    </row>
    <row r="3621" spans="2:2" x14ac:dyDescent="0.3">
      <c r="B3621"/>
    </row>
    <row r="3622" spans="2:2" x14ac:dyDescent="0.3">
      <c r="B3622"/>
    </row>
    <row r="3623" spans="2:2" x14ac:dyDescent="0.3">
      <c r="B3623"/>
    </row>
    <row r="3624" spans="2:2" x14ac:dyDescent="0.3">
      <c r="B3624"/>
    </row>
    <row r="3625" spans="2:2" x14ac:dyDescent="0.3">
      <c r="B3625"/>
    </row>
    <row r="3626" spans="2:2" x14ac:dyDescent="0.3">
      <c r="B3626"/>
    </row>
    <row r="3627" spans="2:2" x14ac:dyDescent="0.3">
      <c r="B3627"/>
    </row>
    <row r="3628" spans="2:2" x14ac:dyDescent="0.3">
      <c r="B3628"/>
    </row>
    <row r="3629" spans="2:2" x14ac:dyDescent="0.3">
      <c r="B3629"/>
    </row>
    <row r="3630" spans="2:2" x14ac:dyDescent="0.3">
      <c r="B3630"/>
    </row>
    <row r="3631" spans="2:2" x14ac:dyDescent="0.3">
      <c r="B3631"/>
    </row>
    <row r="3632" spans="2:2" x14ac:dyDescent="0.3">
      <c r="B3632"/>
    </row>
    <row r="3633" spans="2:2" x14ac:dyDescent="0.3">
      <c r="B3633"/>
    </row>
    <row r="3634" spans="2:2" x14ac:dyDescent="0.3">
      <c r="B3634"/>
    </row>
    <row r="3635" spans="2:2" x14ac:dyDescent="0.3">
      <c r="B3635"/>
    </row>
    <row r="3636" spans="2:2" x14ac:dyDescent="0.3">
      <c r="B3636"/>
    </row>
    <row r="3637" spans="2:2" x14ac:dyDescent="0.3">
      <c r="B3637"/>
    </row>
    <row r="3638" spans="2:2" x14ac:dyDescent="0.3">
      <c r="B3638"/>
    </row>
    <row r="3639" spans="2:2" x14ac:dyDescent="0.3">
      <c r="B3639"/>
    </row>
    <row r="3640" spans="2:2" x14ac:dyDescent="0.3">
      <c r="B3640"/>
    </row>
    <row r="3641" spans="2:2" x14ac:dyDescent="0.3">
      <c r="B3641"/>
    </row>
    <row r="3642" spans="2:2" x14ac:dyDescent="0.3">
      <c r="B3642"/>
    </row>
    <row r="3643" spans="2:2" x14ac:dyDescent="0.3">
      <c r="B3643"/>
    </row>
    <row r="3644" spans="2:2" x14ac:dyDescent="0.3">
      <c r="B3644"/>
    </row>
    <row r="3645" spans="2:2" x14ac:dyDescent="0.3">
      <c r="B3645"/>
    </row>
    <row r="3646" spans="2:2" x14ac:dyDescent="0.3">
      <c r="B3646"/>
    </row>
    <row r="3647" spans="2:2" x14ac:dyDescent="0.3">
      <c r="B3647"/>
    </row>
    <row r="3648" spans="2:2" x14ac:dyDescent="0.3">
      <c r="B3648"/>
    </row>
    <row r="3649" spans="2:2" x14ac:dyDescent="0.3">
      <c r="B3649"/>
    </row>
    <row r="3650" spans="2:2" x14ac:dyDescent="0.3">
      <c r="B3650"/>
    </row>
    <row r="3651" spans="2:2" x14ac:dyDescent="0.3">
      <c r="B3651"/>
    </row>
    <row r="3652" spans="2:2" x14ac:dyDescent="0.3">
      <c r="B3652"/>
    </row>
    <row r="3653" spans="2:2" x14ac:dyDescent="0.3">
      <c r="B3653"/>
    </row>
    <row r="3654" spans="2:2" x14ac:dyDescent="0.3">
      <c r="B3654"/>
    </row>
    <row r="3655" spans="2:2" x14ac:dyDescent="0.3">
      <c r="B3655"/>
    </row>
    <row r="3656" spans="2:2" x14ac:dyDescent="0.3">
      <c r="B3656"/>
    </row>
    <row r="3657" spans="2:2" x14ac:dyDescent="0.3">
      <c r="B3657"/>
    </row>
    <row r="3658" spans="2:2" x14ac:dyDescent="0.3">
      <c r="B3658"/>
    </row>
    <row r="3659" spans="2:2" x14ac:dyDescent="0.3">
      <c r="B3659"/>
    </row>
    <row r="3660" spans="2:2" x14ac:dyDescent="0.3">
      <c r="B3660"/>
    </row>
    <row r="3661" spans="2:2" x14ac:dyDescent="0.3">
      <c r="B3661"/>
    </row>
    <row r="3662" spans="2:2" x14ac:dyDescent="0.3">
      <c r="B3662"/>
    </row>
    <row r="3663" spans="2:2" x14ac:dyDescent="0.3">
      <c r="B3663"/>
    </row>
    <row r="3664" spans="2:2" x14ac:dyDescent="0.3">
      <c r="B3664"/>
    </row>
    <row r="3665" spans="2:2" x14ac:dyDescent="0.3">
      <c r="B3665"/>
    </row>
    <row r="3666" spans="2:2" x14ac:dyDescent="0.3">
      <c r="B3666"/>
    </row>
    <row r="3667" spans="2:2" x14ac:dyDescent="0.3">
      <c r="B3667"/>
    </row>
    <row r="3668" spans="2:2" x14ac:dyDescent="0.3">
      <c r="B3668"/>
    </row>
    <row r="3669" spans="2:2" x14ac:dyDescent="0.3">
      <c r="B3669"/>
    </row>
    <row r="3670" spans="2:2" x14ac:dyDescent="0.3">
      <c r="B3670"/>
    </row>
    <row r="3671" spans="2:2" x14ac:dyDescent="0.3">
      <c r="B3671"/>
    </row>
    <row r="3672" spans="2:2" x14ac:dyDescent="0.3">
      <c r="B3672"/>
    </row>
    <row r="3673" spans="2:2" x14ac:dyDescent="0.3">
      <c r="B3673"/>
    </row>
    <row r="3674" spans="2:2" x14ac:dyDescent="0.3">
      <c r="B3674"/>
    </row>
    <row r="3675" spans="2:2" x14ac:dyDescent="0.3">
      <c r="B3675"/>
    </row>
    <row r="3676" spans="2:2" x14ac:dyDescent="0.3">
      <c r="B3676"/>
    </row>
    <row r="3677" spans="2:2" x14ac:dyDescent="0.3">
      <c r="B3677"/>
    </row>
    <row r="3678" spans="2:2" x14ac:dyDescent="0.3">
      <c r="B3678"/>
    </row>
    <row r="3679" spans="2:2" x14ac:dyDescent="0.3">
      <c r="B3679"/>
    </row>
    <row r="3680" spans="2:2" x14ac:dyDescent="0.3">
      <c r="B3680"/>
    </row>
    <row r="3681" spans="2:2" x14ac:dyDescent="0.3">
      <c r="B3681"/>
    </row>
    <row r="3682" spans="2:2" x14ac:dyDescent="0.3">
      <c r="B3682"/>
    </row>
    <row r="3683" spans="2:2" x14ac:dyDescent="0.3">
      <c r="B3683"/>
    </row>
    <row r="3684" spans="2:2" x14ac:dyDescent="0.3">
      <c r="B3684"/>
    </row>
    <row r="3685" spans="2:2" x14ac:dyDescent="0.3">
      <c r="B3685"/>
    </row>
    <row r="3686" spans="2:2" x14ac:dyDescent="0.3">
      <c r="B3686"/>
    </row>
    <row r="3687" spans="2:2" x14ac:dyDescent="0.3">
      <c r="B3687"/>
    </row>
    <row r="3688" spans="2:2" x14ac:dyDescent="0.3">
      <c r="B3688"/>
    </row>
    <row r="3689" spans="2:2" x14ac:dyDescent="0.3">
      <c r="B3689"/>
    </row>
    <row r="3690" spans="2:2" x14ac:dyDescent="0.3">
      <c r="B3690"/>
    </row>
    <row r="3691" spans="2:2" x14ac:dyDescent="0.3">
      <c r="B3691"/>
    </row>
    <row r="3692" spans="2:2" x14ac:dyDescent="0.3">
      <c r="B3692"/>
    </row>
    <row r="3693" spans="2:2" x14ac:dyDescent="0.3">
      <c r="B3693"/>
    </row>
    <row r="3694" spans="2:2" x14ac:dyDescent="0.3">
      <c r="B3694"/>
    </row>
    <row r="3695" spans="2:2" x14ac:dyDescent="0.3">
      <c r="B3695"/>
    </row>
    <row r="3696" spans="2:2" x14ac:dyDescent="0.3">
      <c r="B3696"/>
    </row>
    <row r="3697" spans="2:2" x14ac:dyDescent="0.3">
      <c r="B3697"/>
    </row>
    <row r="3698" spans="2:2" x14ac:dyDescent="0.3">
      <c r="B3698"/>
    </row>
    <row r="3699" spans="2:2" x14ac:dyDescent="0.3">
      <c r="B3699"/>
    </row>
    <row r="3700" spans="2:2" x14ac:dyDescent="0.3">
      <c r="B3700"/>
    </row>
    <row r="3701" spans="2:2" x14ac:dyDescent="0.3">
      <c r="B3701"/>
    </row>
    <row r="3702" spans="2:2" x14ac:dyDescent="0.3">
      <c r="B3702"/>
    </row>
    <row r="3703" spans="2:2" x14ac:dyDescent="0.3">
      <c r="B3703"/>
    </row>
    <row r="3704" spans="2:2" x14ac:dyDescent="0.3">
      <c r="B3704"/>
    </row>
    <row r="3705" spans="2:2" x14ac:dyDescent="0.3">
      <c r="B3705"/>
    </row>
    <row r="3706" spans="2:2" x14ac:dyDescent="0.3">
      <c r="B3706"/>
    </row>
    <row r="3707" spans="2:2" x14ac:dyDescent="0.3">
      <c r="B3707"/>
    </row>
    <row r="3708" spans="2:2" x14ac:dyDescent="0.3">
      <c r="B3708"/>
    </row>
    <row r="3709" spans="2:2" x14ac:dyDescent="0.3">
      <c r="B3709"/>
    </row>
    <row r="3710" spans="2:2" x14ac:dyDescent="0.3">
      <c r="B3710"/>
    </row>
    <row r="3711" spans="2:2" x14ac:dyDescent="0.3">
      <c r="B3711"/>
    </row>
    <row r="3712" spans="2:2" x14ac:dyDescent="0.3">
      <c r="B3712"/>
    </row>
    <row r="3713" spans="2:2" x14ac:dyDescent="0.3">
      <c r="B3713"/>
    </row>
    <row r="3714" spans="2:2" x14ac:dyDescent="0.3">
      <c r="B3714"/>
    </row>
    <row r="3715" spans="2:2" x14ac:dyDescent="0.3">
      <c r="B3715"/>
    </row>
    <row r="3716" spans="2:2" x14ac:dyDescent="0.3">
      <c r="B3716"/>
    </row>
    <row r="3717" spans="2:2" x14ac:dyDescent="0.3">
      <c r="B3717"/>
    </row>
    <row r="3718" spans="2:2" x14ac:dyDescent="0.3">
      <c r="B3718"/>
    </row>
    <row r="3719" spans="2:2" x14ac:dyDescent="0.3">
      <c r="B3719"/>
    </row>
    <row r="3720" spans="2:2" x14ac:dyDescent="0.3">
      <c r="B3720"/>
    </row>
    <row r="3721" spans="2:2" x14ac:dyDescent="0.3">
      <c r="B3721"/>
    </row>
    <row r="3722" spans="2:2" x14ac:dyDescent="0.3">
      <c r="B3722"/>
    </row>
    <row r="3723" spans="2:2" x14ac:dyDescent="0.3">
      <c r="B3723"/>
    </row>
    <row r="3724" spans="2:2" x14ac:dyDescent="0.3">
      <c r="B3724"/>
    </row>
    <row r="3725" spans="2:2" x14ac:dyDescent="0.3">
      <c r="B3725"/>
    </row>
    <row r="3726" spans="2:2" x14ac:dyDescent="0.3">
      <c r="B3726"/>
    </row>
    <row r="3727" spans="2:2" x14ac:dyDescent="0.3">
      <c r="B3727"/>
    </row>
    <row r="3728" spans="2:2" x14ac:dyDescent="0.3">
      <c r="B3728"/>
    </row>
    <row r="3729" spans="2:2" x14ac:dyDescent="0.3">
      <c r="B3729"/>
    </row>
    <row r="3730" spans="2:2" x14ac:dyDescent="0.3">
      <c r="B3730"/>
    </row>
    <row r="3731" spans="2:2" x14ac:dyDescent="0.3">
      <c r="B3731"/>
    </row>
    <row r="3732" spans="2:2" x14ac:dyDescent="0.3">
      <c r="B3732"/>
    </row>
    <row r="3733" spans="2:2" x14ac:dyDescent="0.3">
      <c r="B3733"/>
    </row>
    <row r="3734" spans="2:2" x14ac:dyDescent="0.3">
      <c r="B3734"/>
    </row>
    <row r="3735" spans="2:2" x14ac:dyDescent="0.3">
      <c r="B3735"/>
    </row>
    <row r="3736" spans="2:2" x14ac:dyDescent="0.3">
      <c r="B3736"/>
    </row>
    <row r="3737" spans="2:2" x14ac:dyDescent="0.3">
      <c r="B3737"/>
    </row>
    <row r="3738" spans="2:2" x14ac:dyDescent="0.3">
      <c r="B3738"/>
    </row>
    <row r="3739" spans="2:2" x14ac:dyDescent="0.3">
      <c r="B3739"/>
    </row>
    <row r="3740" spans="2:2" x14ac:dyDescent="0.3">
      <c r="B3740"/>
    </row>
    <row r="3741" spans="2:2" x14ac:dyDescent="0.3">
      <c r="B3741"/>
    </row>
    <row r="3742" spans="2:2" x14ac:dyDescent="0.3">
      <c r="B3742"/>
    </row>
    <row r="3743" spans="2:2" x14ac:dyDescent="0.3">
      <c r="B3743"/>
    </row>
    <row r="3744" spans="2:2" x14ac:dyDescent="0.3">
      <c r="B3744"/>
    </row>
    <row r="3745" spans="2:2" x14ac:dyDescent="0.3">
      <c r="B3745"/>
    </row>
    <row r="3746" spans="2:2" x14ac:dyDescent="0.3">
      <c r="B3746"/>
    </row>
    <row r="3747" spans="2:2" x14ac:dyDescent="0.3">
      <c r="B3747"/>
    </row>
    <row r="3748" spans="2:2" x14ac:dyDescent="0.3">
      <c r="B3748"/>
    </row>
    <row r="3749" spans="2:2" x14ac:dyDescent="0.3">
      <c r="B3749"/>
    </row>
    <row r="3750" spans="2:2" x14ac:dyDescent="0.3">
      <c r="B3750"/>
    </row>
    <row r="3751" spans="2:2" x14ac:dyDescent="0.3">
      <c r="B3751"/>
    </row>
    <row r="3752" spans="2:2" x14ac:dyDescent="0.3">
      <c r="B3752"/>
    </row>
    <row r="3753" spans="2:2" x14ac:dyDescent="0.3">
      <c r="B3753"/>
    </row>
    <row r="3754" spans="2:2" x14ac:dyDescent="0.3">
      <c r="B3754"/>
    </row>
    <row r="3755" spans="2:2" x14ac:dyDescent="0.3">
      <c r="B3755"/>
    </row>
    <row r="3756" spans="2:2" x14ac:dyDescent="0.3">
      <c r="B3756"/>
    </row>
    <row r="3757" spans="2:2" x14ac:dyDescent="0.3">
      <c r="B3757"/>
    </row>
    <row r="3758" spans="2:2" x14ac:dyDescent="0.3">
      <c r="B3758"/>
    </row>
    <row r="3759" spans="2:2" x14ac:dyDescent="0.3">
      <c r="B3759"/>
    </row>
    <row r="3760" spans="2:2" x14ac:dyDescent="0.3">
      <c r="B3760"/>
    </row>
    <row r="3761" spans="2:2" x14ac:dyDescent="0.3">
      <c r="B3761"/>
    </row>
    <row r="3762" spans="2:2" x14ac:dyDescent="0.3">
      <c r="B3762"/>
    </row>
    <row r="3763" spans="2:2" x14ac:dyDescent="0.3">
      <c r="B3763"/>
    </row>
    <row r="3764" spans="2:2" x14ac:dyDescent="0.3">
      <c r="B3764"/>
    </row>
    <row r="3765" spans="2:2" x14ac:dyDescent="0.3">
      <c r="B3765"/>
    </row>
    <row r="3766" spans="2:2" x14ac:dyDescent="0.3">
      <c r="B3766"/>
    </row>
    <row r="3767" spans="2:2" x14ac:dyDescent="0.3">
      <c r="B3767"/>
    </row>
    <row r="3768" spans="2:2" x14ac:dyDescent="0.3">
      <c r="B3768"/>
    </row>
    <row r="3769" spans="2:2" x14ac:dyDescent="0.3">
      <c r="B3769"/>
    </row>
    <row r="3770" spans="2:2" x14ac:dyDescent="0.3">
      <c r="B3770"/>
    </row>
    <row r="3771" spans="2:2" x14ac:dyDescent="0.3">
      <c r="B3771"/>
    </row>
    <row r="3772" spans="2:2" x14ac:dyDescent="0.3">
      <c r="B3772"/>
    </row>
    <row r="3773" spans="2:2" x14ac:dyDescent="0.3">
      <c r="B3773"/>
    </row>
    <row r="3774" spans="2:2" x14ac:dyDescent="0.3">
      <c r="B3774"/>
    </row>
    <row r="3775" spans="2:2" x14ac:dyDescent="0.3">
      <c r="B3775"/>
    </row>
    <row r="3776" spans="2:2" x14ac:dyDescent="0.3">
      <c r="B3776"/>
    </row>
    <row r="3777" spans="2:2" x14ac:dyDescent="0.3">
      <c r="B3777"/>
    </row>
    <row r="3778" spans="2:2" x14ac:dyDescent="0.3">
      <c r="B3778"/>
    </row>
    <row r="3779" spans="2:2" x14ac:dyDescent="0.3">
      <c r="B3779"/>
    </row>
    <row r="3780" spans="2:2" x14ac:dyDescent="0.3">
      <c r="B3780"/>
    </row>
    <row r="3781" spans="2:2" x14ac:dyDescent="0.3">
      <c r="B3781"/>
    </row>
    <row r="3782" spans="2:2" x14ac:dyDescent="0.3">
      <c r="B3782"/>
    </row>
    <row r="3783" spans="2:2" x14ac:dyDescent="0.3">
      <c r="B3783"/>
    </row>
    <row r="3784" spans="2:2" x14ac:dyDescent="0.3">
      <c r="B3784"/>
    </row>
    <row r="3785" spans="2:2" x14ac:dyDescent="0.3">
      <c r="B3785"/>
    </row>
    <row r="3786" spans="2:2" x14ac:dyDescent="0.3">
      <c r="B3786"/>
    </row>
    <row r="3787" spans="2:2" x14ac:dyDescent="0.3">
      <c r="B3787"/>
    </row>
    <row r="3788" spans="2:2" x14ac:dyDescent="0.3">
      <c r="B3788"/>
    </row>
    <row r="3789" spans="2:2" x14ac:dyDescent="0.3">
      <c r="B3789"/>
    </row>
    <row r="3790" spans="2:2" x14ac:dyDescent="0.3">
      <c r="B3790"/>
    </row>
    <row r="3791" spans="2:2" x14ac:dyDescent="0.3">
      <c r="B3791"/>
    </row>
    <row r="3792" spans="2:2" x14ac:dyDescent="0.3">
      <c r="B3792"/>
    </row>
    <row r="3793" spans="2:2" x14ac:dyDescent="0.3">
      <c r="B3793"/>
    </row>
    <row r="3794" spans="2:2" x14ac:dyDescent="0.3">
      <c r="B3794"/>
    </row>
    <row r="3795" spans="2:2" x14ac:dyDescent="0.3">
      <c r="B3795"/>
    </row>
    <row r="3796" spans="2:2" x14ac:dyDescent="0.3">
      <c r="B3796"/>
    </row>
    <row r="3797" spans="2:2" x14ac:dyDescent="0.3">
      <c r="B3797"/>
    </row>
    <row r="3798" spans="2:2" x14ac:dyDescent="0.3">
      <c r="B3798"/>
    </row>
    <row r="3799" spans="2:2" x14ac:dyDescent="0.3">
      <c r="B3799"/>
    </row>
    <row r="3800" spans="2:2" x14ac:dyDescent="0.3">
      <c r="B3800"/>
    </row>
    <row r="3801" spans="2:2" x14ac:dyDescent="0.3">
      <c r="B3801"/>
    </row>
    <row r="3802" spans="2:2" x14ac:dyDescent="0.3">
      <c r="B3802"/>
    </row>
    <row r="3803" spans="2:2" x14ac:dyDescent="0.3">
      <c r="B3803"/>
    </row>
    <row r="3804" spans="2:2" x14ac:dyDescent="0.3">
      <c r="B3804"/>
    </row>
    <row r="3805" spans="2:2" x14ac:dyDescent="0.3">
      <c r="B3805"/>
    </row>
    <row r="3806" spans="2:2" x14ac:dyDescent="0.3">
      <c r="B3806"/>
    </row>
    <row r="3807" spans="2:2" x14ac:dyDescent="0.3">
      <c r="B3807"/>
    </row>
    <row r="3808" spans="2:2" x14ac:dyDescent="0.3">
      <c r="B3808"/>
    </row>
    <row r="3809" spans="2:2" x14ac:dyDescent="0.3">
      <c r="B3809"/>
    </row>
    <row r="3810" spans="2:2" x14ac:dyDescent="0.3">
      <c r="B3810"/>
    </row>
    <row r="3811" spans="2:2" x14ac:dyDescent="0.3">
      <c r="B3811"/>
    </row>
    <row r="3812" spans="2:2" x14ac:dyDescent="0.3">
      <c r="B3812"/>
    </row>
    <row r="3813" spans="2:2" x14ac:dyDescent="0.3">
      <c r="B3813"/>
    </row>
    <row r="3814" spans="2:2" x14ac:dyDescent="0.3">
      <c r="B3814"/>
    </row>
    <row r="3815" spans="2:2" x14ac:dyDescent="0.3">
      <c r="B3815"/>
    </row>
    <row r="3816" spans="2:2" x14ac:dyDescent="0.3">
      <c r="B3816"/>
    </row>
    <row r="3817" spans="2:2" x14ac:dyDescent="0.3">
      <c r="B3817"/>
    </row>
    <row r="3818" spans="2:2" x14ac:dyDescent="0.3">
      <c r="B3818"/>
    </row>
    <row r="3819" spans="2:2" x14ac:dyDescent="0.3">
      <c r="B3819"/>
    </row>
    <row r="3820" spans="2:2" x14ac:dyDescent="0.3">
      <c r="B3820"/>
    </row>
    <row r="3821" spans="2:2" x14ac:dyDescent="0.3">
      <c r="B3821"/>
    </row>
    <row r="3822" spans="2:2" x14ac:dyDescent="0.3">
      <c r="B3822"/>
    </row>
    <row r="3823" spans="2:2" x14ac:dyDescent="0.3">
      <c r="B3823"/>
    </row>
    <row r="3824" spans="2:2" x14ac:dyDescent="0.3">
      <c r="B3824"/>
    </row>
    <row r="3825" spans="2:2" x14ac:dyDescent="0.3">
      <c r="B3825"/>
    </row>
    <row r="3826" spans="2:2" x14ac:dyDescent="0.3">
      <c r="B3826"/>
    </row>
    <row r="3827" spans="2:2" x14ac:dyDescent="0.3">
      <c r="B3827"/>
    </row>
    <row r="3828" spans="2:2" x14ac:dyDescent="0.3">
      <c r="B3828"/>
    </row>
    <row r="3829" spans="2:2" x14ac:dyDescent="0.3">
      <c r="B3829"/>
    </row>
    <row r="3830" spans="2:2" x14ac:dyDescent="0.3">
      <c r="B3830"/>
    </row>
    <row r="3831" spans="2:2" x14ac:dyDescent="0.3">
      <c r="B3831"/>
    </row>
    <row r="3832" spans="2:2" x14ac:dyDescent="0.3">
      <c r="B3832"/>
    </row>
    <row r="3833" spans="2:2" x14ac:dyDescent="0.3">
      <c r="B3833"/>
    </row>
    <row r="3834" spans="2:2" x14ac:dyDescent="0.3">
      <c r="B3834"/>
    </row>
    <row r="3835" spans="2:2" x14ac:dyDescent="0.3">
      <c r="B3835"/>
    </row>
    <row r="3836" spans="2:2" x14ac:dyDescent="0.3">
      <c r="B3836"/>
    </row>
    <row r="3837" spans="2:2" x14ac:dyDescent="0.3">
      <c r="B3837"/>
    </row>
    <row r="3838" spans="2:2" x14ac:dyDescent="0.3">
      <c r="B3838"/>
    </row>
    <row r="3839" spans="2:2" x14ac:dyDescent="0.3">
      <c r="B3839"/>
    </row>
    <row r="3840" spans="2:2" x14ac:dyDescent="0.3">
      <c r="B3840"/>
    </row>
    <row r="3841" spans="2:2" x14ac:dyDescent="0.3">
      <c r="B3841"/>
    </row>
    <row r="3842" spans="2:2" x14ac:dyDescent="0.3">
      <c r="B3842"/>
    </row>
    <row r="3843" spans="2:2" x14ac:dyDescent="0.3">
      <c r="B3843"/>
    </row>
    <row r="3844" spans="2:2" x14ac:dyDescent="0.3">
      <c r="B3844"/>
    </row>
    <row r="3845" spans="2:2" x14ac:dyDescent="0.3">
      <c r="B3845"/>
    </row>
    <row r="3846" spans="2:2" x14ac:dyDescent="0.3">
      <c r="B3846"/>
    </row>
    <row r="3847" spans="2:2" x14ac:dyDescent="0.3">
      <c r="B3847"/>
    </row>
    <row r="3848" spans="2:2" x14ac:dyDescent="0.3">
      <c r="B3848"/>
    </row>
    <row r="3849" spans="2:2" x14ac:dyDescent="0.3">
      <c r="B3849"/>
    </row>
    <row r="3850" spans="2:2" x14ac:dyDescent="0.3">
      <c r="B3850"/>
    </row>
    <row r="3851" spans="2:2" x14ac:dyDescent="0.3">
      <c r="B3851"/>
    </row>
    <row r="3852" spans="2:2" x14ac:dyDescent="0.3">
      <c r="B3852"/>
    </row>
    <row r="3853" spans="2:2" x14ac:dyDescent="0.3">
      <c r="B3853"/>
    </row>
    <row r="3854" spans="2:2" x14ac:dyDescent="0.3">
      <c r="B3854"/>
    </row>
    <row r="3855" spans="2:2" x14ac:dyDescent="0.3">
      <c r="B3855"/>
    </row>
    <row r="3856" spans="2:2" x14ac:dyDescent="0.3">
      <c r="B3856"/>
    </row>
    <row r="3857" spans="2:2" x14ac:dyDescent="0.3">
      <c r="B3857"/>
    </row>
    <row r="3858" spans="2:2" x14ac:dyDescent="0.3">
      <c r="B3858"/>
    </row>
    <row r="3859" spans="2:2" x14ac:dyDescent="0.3">
      <c r="B3859"/>
    </row>
    <row r="3860" spans="2:2" x14ac:dyDescent="0.3">
      <c r="B3860"/>
    </row>
    <row r="3861" spans="2:2" x14ac:dyDescent="0.3">
      <c r="B3861"/>
    </row>
    <row r="3862" spans="2:2" x14ac:dyDescent="0.3">
      <c r="B3862"/>
    </row>
    <row r="3863" spans="2:2" x14ac:dyDescent="0.3">
      <c r="B3863"/>
    </row>
    <row r="3864" spans="2:2" x14ac:dyDescent="0.3">
      <c r="B3864"/>
    </row>
    <row r="3865" spans="2:2" x14ac:dyDescent="0.3">
      <c r="B3865"/>
    </row>
    <row r="3866" spans="2:2" x14ac:dyDescent="0.3">
      <c r="B3866"/>
    </row>
    <row r="3867" spans="2:2" x14ac:dyDescent="0.3">
      <c r="B3867"/>
    </row>
    <row r="3868" spans="2:2" x14ac:dyDescent="0.3">
      <c r="B3868"/>
    </row>
    <row r="3869" spans="2:2" x14ac:dyDescent="0.3">
      <c r="B3869"/>
    </row>
    <row r="3870" spans="2:2" x14ac:dyDescent="0.3">
      <c r="B3870"/>
    </row>
    <row r="3871" spans="2:2" x14ac:dyDescent="0.3">
      <c r="B3871"/>
    </row>
    <row r="3872" spans="2:2" x14ac:dyDescent="0.3">
      <c r="B3872"/>
    </row>
    <row r="3873" spans="2:2" x14ac:dyDescent="0.3">
      <c r="B3873"/>
    </row>
    <row r="3874" spans="2:2" x14ac:dyDescent="0.3">
      <c r="B3874"/>
    </row>
    <row r="3875" spans="2:2" x14ac:dyDescent="0.3">
      <c r="B3875"/>
    </row>
    <row r="3876" spans="2:2" x14ac:dyDescent="0.3">
      <c r="B3876"/>
    </row>
    <row r="3877" spans="2:2" x14ac:dyDescent="0.3">
      <c r="B3877"/>
    </row>
    <row r="3878" spans="2:2" x14ac:dyDescent="0.3">
      <c r="B3878"/>
    </row>
    <row r="3879" spans="2:2" x14ac:dyDescent="0.3">
      <c r="B3879"/>
    </row>
    <row r="3880" spans="2:2" x14ac:dyDescent="0.3">
      <c r="B3880"/>
    </row>
    <row r="3881" spans="2:2" x14ac:dyDescent="0.3">
      <c r="B3881"/>
    </row>
    <row r="3882" spans="2:2" x14ac:dyDescent="0.3">
      <c r="B3882"/>
    </row>
    <row r="3883" spans="2:2" x14ac:dyDescent="0.3">
      <c r="B3883"/>
    </row>
    <row r="3884" spans="2:2" x14ac:dyDescent="0.3">
      <c r="B3884"/>
    </row>
    <row r="3885" spans="2:2" x14ac:dyDescent="0.3">
      <c r="B3885"/>
    </row>
    <row r="3886" spans="2:2" x14ac:dyDescent="0.3">
      <c r="B3886"/>
    </row>
    <row r="3887" spans="2:2" x14ac:dyDescent="0.3">
      <c r="B3887"/>
    </row>
    <row r="3888" spans="2:2" x14ac:dyDescent="0.3">
      <c r="B3888"/>
    </row>
    <row r="3889" spans="2:2" x14ac:dyDescent="0.3">
      <c r="B3889"/>
    </row>
    <row r="3890" spans="2:2" x14ac:dyDescent="0.3">
      <c r="B3890"/>
    </row>
    <row r="3891" spans="2:2" x14ac:dyDescent="0.3">
      <c r="B3891"/>
    </row>
    <row r="3892" spans="2:2" x14ac:dyDescent="0.3">
      <c r="B3892"/>
    </row>
    <row r="3893" spans="2:2" x14ac:dyDescent="0.3">
      <c r="B3893"/>
    </row>
    <row r="3894" spans="2:2" x14ac:dyDescent="0.3">
      <c r="B3894"/>
    </row>
    <row r="3895" spans="2:2" x14ac:dyDescent="0.3">
      <c r="B3895"/>
    </row>
    <row r="3896" spans="2:2" x14ac:dyDescent="0.3">
      <c r="B3896"/>
    </row>
    <row r="3897" spans="2:2" x14ac:dyDescent="0.3">
      <c r="B3897"/>
    </row>
    <row r="3898" spans="2:2" x14ac:dyDescent="0.3">
      <c r="B3898"/>
    </row>
    <row r="3899" spans="2:2" x14ac:dyDescent="0.3">
      <c r="B3899"/>
    </row>
    <row r="3900" spans="2:2" x14ac:dyDescent="0.3">
      <c r="B3900"/>
    </row>
    <row r="3901" spans="2:2" x14ac:dyDescent="0.3">
      <c r="B3901"/>
    </row>
    <row r="3902" spans="2:2" x14ac:dyDescent="0.3">
      <c r="B3902"/>
    </row>
    <row r="3903" spans="2:2" x14ac:dyDescent="0.3">
      <c r="B3903"/>
    </row>
    <row r="3904" spans="2:2" x14ac:dyDescent="0.3">
      <c r="B3904"/>
    </row>
    <row r="3905" spans="2:2" x14ac:dyDescent="0.3">
      <c r="B3905"/>
    </row>
    <row r="3906" spans="2:2" x14ac:dyDescent="0.3">
      <c r="B3906"/>
    </row>
    <row r="3907" spans="2:2" x14ac:dyDescent="0.3">
      <c r="B3907"/>
    </row>
    <row r="3908" spans="2:2" x14ac:dyDescent="0.3">
      <c r="B3908"/>
    </row>
    <row r="3909" spans="2:2" x14ac:dyDescent="0.3">
      <c r="B3909"/>
    </row>
    <row r="3910" spans="2:2" x14ac:dyDescent="0.3">
      <c r="B3910"/>
    </row>
    <row r="3911" spans="2:2" x14ac:dyDescent="0.3">
      <c r="B3911"/>
    </row>
    <row r="3912" spans="2:2" x14ac:dyDescent="0.3">
      <c r="B3912"/>
    </row>
    <row r="3913" spans="2:2" x14ac:dyDescent="0.3">
      <c r="B3913"/>
    </row>
    <row r="3914" spans="2:2" x14ac:dyDescent="0.3">
      <c r="B3914"/>
    </row>
    <row r="3915" spans="2:2" x14ac:dyDescent="0.3">
      <c r="B3915"/>
    </row>
    <row r="3916" spans="2:2" x14ac:dyDescent="0.3">
      <c r="B3916"/>
    </row>
    <row r="3917" spans="2:2" x14ac:dyDescent="0.3">
      <c r="B3917"/>
    </row>
    <row r="3918" spans="2:2" x14ac:dyDescent="0.3">
      <c r="B3918"/>
    </row>
    <row r="3919" spans="2:2" x14ac:dyDescent="0.3">
      <c r="B3919"/>
    </row>
    <row r="3920" spans="2:2" x14ac:dyDescent="0.3">
      <c r="B3920"/>
    </row>
    <row r="3921" spans="2:2" x14ac:dyDescent="0.3">
      <c r="B3921"/>
    </row>
    <row r="3922" spans="2:2" x14ac:dyDescent="0.3">
      <c r="B3922"/>
    </row>
    <row r="3923" spans="2:2" x14ac:dyDescent="0.3">
      <c r="B3923"/>
    </row>
    <row r="3924" spans="2:2" x14ac:dyDescent="0.3">
      <c r="B3924"/>
    </row>
    <row r="3925" spans="2:2" x14ac:dyDescent="0.3">
      <c r="B3925"/>
    </row>
    <row r="3926" spans="2:2" x14ac:dyDescent="0.3">
      <c r="B3926"/>
    </row>
    <row r="3927" spans="2:2" x14ac:dyDescent="0.3">
      <c r="B3927"/>
    </row>
    <row r="3928" spans="2:2" x14ac:dyDescent="0.3">
      <c r="B3928"/>
    </row>
    <row r="3929" spans="2:2" x14ac:dyDescent="0.3">
      <c r="B3929"/>
    </row>
    <row r="3930" spans="2:2" x14ac:dyDescent="0.3">
      <c r="B3930"/>
    </row>
    <row r="3931" spans="2:2" x14ac:dyDescent="0.3">
      <c r="B3931"/>
    </row>
    <row r="3932" spans="2:2" x14ac:dyDescent="0.3">
      <c r="B3932"/>
    </row>
    <row r="3933" spans="2:2" x14ac:dyDescent="0.3">
      <c r="B3933"/>
    </row>
    <row r="3934" spans="2:2" x14ac:dyDescent="0.3">
      <c r="B3934"/>
    </row>
    <row r="3935" spans="2:2" x14ac:dyDescent="0.3">
      <c r="B3935"/>
    </row>
    <row r="3936" spans="2:2" x14ac:dyDescent="0.3">
      <c r="B3936"/>
    </row>
    <row r="3937" spans="2:2" x14ac:dyDescent="0.3">
      <c r="B3937"/>
    </row>
    <row r="3938" spans="2:2" x14ac:dyDescent="0.3">
      <c r="B3938"/>
    </row>
    <row r="3939" spans="2:2" x14ac:dyDescent="0.3">
      <c r="B3939"/>
    </row>
    <row r="3940" spans="2:2" x14ac:dyDescent="0.3">
      <c r="B3940"/>
    </row>
    <row r="3941" spans="2:2" x14ac:dyDescent="0.3">
      <c r="B3941"/>
    </row>
    <row r="3942" spans="2:2" x14ac:dyDescent="0.3">
      <c r="B3942"/>
    </row>
    <row r="3943" spans="2:2" x14ac:dyDescent="0.3">
      <c r="B3943"/>
    </row>
    <row r="3944" spans="2:2" x14ac:dyDescent="0.3">
      <c r="B3944"/>
    </row>
    <row r="3945" spans="2:2" x14ac:dyDescent="0.3">
      <c r="B3945"/>
    </row>
    <row r="3946" spans="2:2" x14ac:dyDescent="0.3">
      <c r="B3946"/>
    </row>
    <row r="3947" spans="2:2" x14ac:dyDescent="0.3">
      <c r="B3947"/>
    </row>
    <row r="3948" spans="2:2" x14ac:dyDescent="0.3">
      <c r="B3948"/>
    </row>
    <row r="3949" spans="2:2" x14ac:dyDescent="0.3">
      <c r="B3949"/>
    </row>
    <row r="3950" spans="2:2" x14ac:dyDescent="0.3">
      <c r="B3950"/>
    </row>
    <row r="3951" spans="2:2" x14ac:dyDescent="0.3">
      <c r="B3951"/>
    </row>
    <row r="3952" spans="2:2" x14ac:dyDescent="0.3">
      <c r="B3952"/>
    </row>
    <row r="3953" spans="2:2" x14ac:dyDescent="0.3">
      <c r="B3953"/>
    </row>
    <row r="3954" spans="2:2" x14ac:dyDescent="0.3">
      <c r="B3954"/>
    </row>
    <row r="3955" spans="2:2" x14ac:dyDescent="0.3">
      <c r="B3955"/>
    </row>
    <row r="3956" spans="2:2" x14ac:dyDescent="0.3">
      <c r="B3956"/>
    </row>
    <row r="3957" spans="2:2" x14ac:dyDescent="0.3">
      <c r="B3957"/>
    </row>
    <row r="3958" spans="2:2" x14ac:dyDescent="0.3">
      <c r="B3958"/>
    </row>
    <row r="3959" spans="2:2" x14ac:dyDescent="0.3">
      <c r="B3959"/>
    </row>
    <row r="3960" spans="2:2" x14ac:dyDescent="0.3">
      <c r="B3960"/>
    </row>
    <row r="3961" spans="2:2" x14ac:dyDescent="0.3">
      <c r="B3961"/>
    </row>
    <row r="3962" spans="2:2" x14ac:dyDescent="0.3">
      <c r="B3962"/>
    </row>
    <row r="3963" spans="2:2" x14ac:dyDescent="0.3">
      <c r="B3963"/>
    </row>
    <row r="3964" spans="2:2" x14ac:dyDescent="0.3">
      <c r="B3964"/>
    </row>
    <row r="3965" spans="2:2" x14ac:dyDescent="0.3">
      <c r="B3965"/>
    </row>
    <row r="3966" spans="2:2" x14ac:dyDescent="0.3">
      <c r="B3966"/>
    </row>
    <row r="3967" spans="2:2" x14ac:dyDescent="0.3">
      <c r="B3967"/>
    </row>
    <row r="3968" spans="2:2" x14ac:dyDescent="0.3">
      <c r="B3968"/>
    </row>
    <row r="3969" spans="2:2" x14ac:dyDescent="0.3">
      <c r="B3969"/>
    </row>
    <row r="3970" spans="2:2" x14ac:dyDescent="0.3">
      <c r="B3970"/>
    </row>
    <row r="3971" spans="2:2" x14ac:dyDescent="0.3">
      <c r="B3971"/>
    </row>
    <row r="3972" spans="2:2" x14ac:dyDescent="0.3">
      <c r="B3972"/>
    </row>
    <row r="3973" spans="2:2" x14ac:dyDescent="0.3">
      <c r="B3973"/>
    </row>
    <row r="3974" spans="2:2" x14ac:dyDescent="0.3">
      <c r="B3974"/>
    </row>
    <row r="3975" spans="2:2" x14ac:dyDescent="0.3">
      <c r="B3975"/>
    </row>
    <row r="3976" spans="2:2" x14ac:dyDescent="0.3">
      <c r="B3976"/>
    </row>
    <row r="3977" spans="2:2" x14ac:dyDescent="0.3">
      <c r="B3977"/>
    </row>
    <row r="3978" spans="2:2" x14ac:dyDescent="0.3">
      <c r="B3978"/>
    </row>
    <row r="3979" spans="2:2" x14ac:dyDescent="0.3">
      <c r="B3979"/>
    </row>
    <row r="3980" spans="2:2" x14ac:dyDescent="0.3">
      <c r="B3980"/>
    </row>
    <row r="3981" spans="2:2" x14ac:dyDescent="0.3">
      <c r="B3981"/>
    </row>
    <row r="3982" spans="2:2" x14ac:dyDescent="0.3">
      <c r="B3982"/>
    </row>
    <row r="3983" spans="2:2" x14ac:dyDescent="0.3">
      <c r="B3983"/>
    </row>
    <row r="3984" spans="2:2" x14ac:dyDescent="0.3">
      <c r="B3984"/>
    </row>
    <row r="3985" spans="2:2" x14ac:dyDescent="0.3">
      <c r="B3985"/>
    </row>
    <row r="3986" spans="2:2" x14ac:dyDescent="0.3">
      <c r="B3986"/>
    </row>
    <row r="3987" spans="2:2" x14ac:dyDescent="0.3">
      <c r="B3987"/>
    </row>
    <row r="3988" spans="2:2" x14ac:dyDescent="0.3">
      <c r="B3988"/>
    </row>
    <row r="3989" spans="2:2" x14ac:dyDescent="0.3">
      <c r="B3989"/>
    </row>
    <row r="3990" spans="2:2" x14ac:dyDescent="0.3">
      <c r="B3990"/>
    </row>
    <row r="3991" spans="2:2" x14ac:dyDescent="0.3">
      <c r="B3991"/>
    </row>
    <row r="3992" spans="2:2" x14ac:dyDescent="0.3">
      <c r="B3992"/>
    </row>
    <row r="3993" spans="2:2" x14ac:dyDescent="0.3">
      <c r="B3993"/>
    </row>
    <row r="3994" spans="2:2" x14ac:dyDescent="0.3">
      <c r="B3994"/>
    </row>
    <row r="3995" spans="2:2" x14ac:dyDescent="0.3">
      <c r="B3995"/>
    </row>
    <row r="3996" spans="2:2" x14ac:dyDescent="0.3">
      <c r="B3996"/>
    </row>
    <row r="3997" spans="2:2" x14ac:dyDescent="0.3">
      <c r="B3997"/>
    </row>
    <row r="3998" spans="2:2" x14ac:dyDescent="0.3">
      <c r="B3998"/>
    </row>
    <row r="3999" spans="2:2" x14ac:dyDescent="0.3">
      <c r="B3999"/>
    </row>
    <row r="4000" spans="2:2" x14ac:dyDescent="0.3">
      <c r="B4000"/>
    </row>
    <row r="4001" spans="2:2" x14ac:dyDescent="0.3">
      <c r="B4001"/>
    </row>
    <row r="4002" spans="2:2" x14ac:dyDescent="0.3">
      <c r="B4002"/>
    </row>
    <row r="4003" spans="2:2" x14ac:dyDescent="0.3">
      <c r="B4003"/>
    </row>
    <row r="4004" spans="2:2" x14ac:dyDescent="0.3">
      <c r="B4004"/>
    </row>
    <row r="4005" spans="2:2" x14ac:dyDescent="0.3">
      <c r="B4005"/>
    </row>
    <row r="4006" spans="2:2" x14ac:dyDescent="0.3">
      <c r="B4006"/>
    </row>
    <row r="4007" spans="2:2" x14ac:dyDescent="0.3">
      <c r="B4007"/>
    </row>
    <row r="4008" spans="2:2" x14ac:dyDescent="0.3">
      <c r="B4008"/>
    </row>
    <row r="4009" spans="2:2" x14ac:dyDescent="0.3">
      <c r="B4009"/>
    </row>
    <row r="4010" spans="2:2" x14ac:dyDescent="0.3">
      <c r="B4010"/>
    </row>
    <row r="4011" spans="2:2" x14ac:dyDescent="0.3">
      <c r="B4011"/>
    </row>
    <row r="4012" spans="2:2" x14ac:dyDescent="0.3">
      <c r="B4012"/>
    </row>
    <row r="4013" spans="2:2" x14ac:dyDescent="0.3">
      <c r="B4013"/>
    </row>
    <row r="4014" spans="2:2" x14ac:dyDescent="0.3">
      <c r="B4014"/>
    </row>
    <row r="4015" spans="2:2" x14ac:dyDescent="0.3">
      <c r="B4015"/>
    </row>
    <row r="4016" spans="2:2" x14ac:dyDescent="0.3">
      <c r="B4016"/>
    </row>
    <row r="4017" spans="2:2" x14ac:dyDescent="0.3">
      <c r="B4017"/>
    </row>
    <row r="4018" spans="2:2" x14ac:dyDescent="0.3">
      <c r="B4018"/>
    </row>
    <row r="4019" spans="2:2" x14ac:dyDescent="0.3">
      <c r="B4019"/>
    </row>
    <row r="4020" spans="2:2" x14ac:dyDescent="0.3">
      <c r="B4020"/>
    </row>
    <row r="4021" spans="2:2" x14ac:dyDescent="0.3">
      <c r="B4021"/>
    </row>
    <row r="4022" spans="2:2" x14ac:dyDescent="0.3">
      <c r="B4022"/>
    </row>
    <row r="4023" spans="2:2" x14ac:dyDescent="0.3">
      <c r="B4023"/>
    </row>
    <row r="4024" spans="2:2" x14ac:dyDescent="0.3">
      <c r="B4024"/>
    </row>
    <row r="4025" spans="2:2" x14ac:dyDescent="0.3">
      <c r="B4025"/>
    </row>
    <row r="4026" spans="2:2" x14ac:dyDescent="0.3">
      <c r="B4026"/>
    </row>
    <row r="4027" spans="2:2" x14ac:dyDescent="0.3">
      <c r="B4027"/>
    </row>
    <row r="4028" spans="2:2" x14ac:dyDescent="0.3">
      <c r="B4028"/>
    </row>
    <row r="4029" spans="2:2" x14ac:dyDescent="0.3">
      <c r="B4029"/>
    </row>
    <row r="4030" spans="2:2" x14ac:dyDescent="0.3">
      <c r="B4030"/>
    </row>
    <row r="4031" spans="2:2" x14ac:dyDescent="0.3">
      <c r="B4031"/>
    </row>
    <row r="4032" spans="2:2" x14ac:dyDescent="0.3">
      <c r="B4032"/>
    </row>
    <row r="4033" spans="2:2" x14ac:dyDescent="0.3">
      <c r="B4033"/>
    </row>
    <row r="4034" spans="2:2" x14ac:dyDescent="0.3">
      <c r="B4034"/>
    </row>
    <row r="4035" spans="2:2" x14ac:dyDescent="0.3">
      <c r="B4035"/>
    </row>
    <row r="4036" spans="2:2" x14ac:dyDescent="0.3">
      <c r="B4036"/>
    </row>
    <row r="4037" spans="2:2" x14ac:dyDescent="0.3">
      <c r="B4037"/>
    </row>
    <row r="4038" spans="2:2" x14ac:dyDescent="0.3">
      <c r="B4038"/>
    </row>
    <row r="4039" spans="2:2" x14ac:dyDescent="0.3">
      <c r="B4039"/>
    </row>
    <row r="4040" spans="2:2" x14ac:dyDescent="0.3">
      <c r="B4040"/>
    </row>
    <row r="4041" spans="2:2" x14ac:dyDescent="0.3">
      <c r="B4041"/>
    </row>
    <row r="4042" spans="2:2" x14ac:dyDescent="0.3">
      <c r="B4042"/>
    </row>
    <row r="4043" spans="2:2" x14ac:dyDescent="0.3">
      <c r="B4043"/>
    </row>
    <row r="4044" spans="2:2" x14ac:dyDescent="0.3">
      <c r="B4044"/>
    </row>
    <row r="4045" spans="2:2" x14ac:dyDescent="0.3">
      <c r="B4045"/>
    </row>
    <row r="4046" spans="2:2" x14ac:dyDescent="0.3">
      <c r="B4046"/>
    </row>
    <row r="4047" spans="2:2" x14ac:dyDescent="0.3">
      <c r="B4047"/>
    </row>
    <row r="4048" spans="2:2" x14ac:dyDescent="0.3">
      <c r="B4048"/>
    </row>
    <row r="4049" spans="2:2" x14ac:dyDescent="0.3">
      <c r="B4049"/>
    </row>
    <row r="4050" spans="2:2" x14ac:dyDescent="0.3">
      <c r="B4050"/>
    </row>
    <row r="4051" spans="2:2" x14ac:dyDescent="0.3">
      <c r="B4051"/>
    </row>
    <row r="4052" spans="2:2" x14ac:dyDescent="0.3">
      <c r="B4052"/>
    </row>
    <row r="4053" spans="2:2" x14ac:dyDescent="0.3">
      <c r="B4053"/>
    </row>
    <row r="4054" spans="2:2" x14ac:dyDescent="0.3">
      <c r="B4054"/>
    </row>
    <row r="4055" spans="2:2" x14ac:dyDescent="0.3">
      <c r="B4055"/>
    </row>
    <row r="4056" spans="2:2" x14ac:dyDescent="0.3">
      <c r="B4056"/>
    </row>
    <row r="4057" spans="2:2" x14ac:dyDescent="0.3">
      <c r="B4057"/>
    </row>
    <row r="4058" spans="2:2" x14ac:dyDescent="0.3">
      <c r="B4058"/>
    </row>
    <row r="4059" spans="2:2" x14ac:dyDescent="0.3">
      <c r="B4059"/>
    </row>
    <row r="4060" spans="2:2" x14ac:dyDescent="0.3">
      <c r="B4060"/>
    </row>
    <row r="4061" spans="2:2" x14ac:dyDescent="0.3">
      <c r="B4061"/>
    </row>
    <row r="4062" spans="2:2" x14ac:dyDescent="0.3">
      <c r="B4062"/>
    </row>
    <row r="4063" spans="2:2" x14ac:dyDescent="0.3">
      <c r="B4063"/>
    </row>
    <row r="4064" spans="2:2" x14ac:dyDescent="0.3">
      <c r="B4064"/>
    </row>
    <row r="4065" spans="2:2" x14ac:dyDescent="0.3">
      <c r="B4065"/>
    </row>
    <row r="4066" spans="2:2" x14ac:dyDescent="0.3">
      <c r="B4066"/>
    </row>
    <row r="4067" spans="2:2" x14ac:dyDescent="0.3">
      <c r="B4067"/>
    </row>
    <row r="4068" spans="2:2" x14ac:dyDescent="0.3">
      <c r="B4068"/>
    </row>
    <row r="4069" spans="2:2" x14ac:dyDescent="0.3">
      <c r="B4069"/>
    </row>
    <row r="4070" spans="2:2" x14ac:dyDescent="0.3">
      <c r="B4070"/>
    </row>
    <row r="4071" spans="2:2" x14ac:dyDescent="0.3">
      <c r="B4071"/>
    </row>
    <row r="4072" spans="2:2" x14ac:dyDescent="0.3">
      <c r="B4072"/>
    </row>
    <row r="4073" spans="2:2" x14ac:dyDescent="0.3">
      <c r="B4073"/>
    </row>
    <row r="4074" spans="2:2" x14ac:dyDescent="0.3">
      <c r="B4074"/>
    </row>
    <row r="4075" spans="2:2" x14ac:dyDescent="0.3">
      <c r="B4075"/>
    </row>
    <row r="4076" spans="2:2" x14ac:dyDescent="0.3">
      <c r="B4076"/>
    </row>
    <row r="4077" spans="2:2" x14ac:dyDescent="0.3">
      <c r="B4077"/>
    </row>
    <row r="4078" spans="2:2" x14ac:dyDescent="0.3">
      <c r="B4078"/>
    </row>
    <row r="4079" spans="2:2" x14ac:dyDescent="0.3">
      <c r="B4079"/>
    </row>
    <row r="4080" spans="2:2" x14ac:dyDescent="0.3">
      <c r="B4080"/>
    </row>
    <row r="4081" spans="2:2" x14ac:dyDescent="0.3">
      <c r="B4081"/>
    </row>
    <row r="4082" spans="2:2" x14ac:dyDescent="0.3">
      <c r="B4082"/>
    </row>
    <row r="4083" spans="2:2" x14ac:dyDescent="0.3">
      <c r="B4083"/>
    </row>
    <row r="4084" spans="2:2" x14ac:dyDescent="0.3">
      <c r="B4084"/>
    </row>
    <row r="4085" spans="2:2" x14ac:dyDescent="0.3">
      <c r="B4085"/>
    </row>
    <row r="4086" spans="2:2" x14ac:dyDescent="0.3">
      <c r="B4086"/>
    </row>
    <row r="4087" spans="2:2" x14ac:dyDescent="0.3">
      <c r="B4087"/>
    </row>
    <row r="4088" spans="2:2" x14ac:dyDescent="0.3">
      <c r="B4088"/>
    </row>
    <row r="4089" spans="2:2" x14ac:dyDescent="0.3">
      <c r="B4089"/>
    </row>
    <row r="4090" spans="2:2" x14ac:dyDescent="0.3">
      <c r="B4090"/>
    </row>
    <row r="4091" spans="2:2" x14ac:dyDescent="0.3">
      <c r="B4091"/>
    </row>
    <row r="4092" spans="2:2" x14ac:dyDescent="0.3">
      <c r="B4092"/>
    </row>
    <row r="4093" spans="2:2" x14ac:dyDescent="0.3">
      <c r="B4093"/>
    </row>
    <row r="4094" spans="2:2" x14ac:dyDescent="0.3">
      <c r="B4094"/>
    </row>
    <row r="4095" spans="2:2" x14ac:dyDescent="0.3">
      <c r="B4095"/>
    </row>
    <row r="4096" spans="2:2" x14ac:dyDescent="0.3">
      <c r="B4096"/>
    </row>
    <row r="4097" spans="2:2" x14ac:dyDescent="0.3">
      <c r="B4097"/>
    </row>
    <row r="4098" spans="2:2" x14ac:dyDescent="0.3">
      <c r="B4098"/>
    </row>
    <row r="4099" spans="2:2" x14ac:dyDescent="0.3">
      <c r="B4099"/>
    </row>
    <row r="4100" spans="2:2" x14ac:dyDescent="0.3">
      <c r="B4100"/>
    </row>
    <row r="4101" spans="2:2" x14ac:dyDescent="0.3">
      <c r="B4101"/>
    </row>
    <row r="4102" spans="2:2" x14ac:dyDescent="0.3">
      <c r="B4102"/>
    </row>
    <row r="4103" spans="2:2" x14ac:dyDescent="0.3">
      <c r="B4103"/>
    </row>
    <row r="4104" spans="2:2" x14ac:dyDescent="0.3">
      <c r="B4104"/>
    </row>
    <row r="4105" spans="2:2" x14ac:dyDescent="0.3">
      <c r="B4105"/>
    </row>
    <row r="4106" spans="2:2" x14ac:dyDescent="0.3">
      <c r="B4106"/>
    </row>
    <row r="4107" spans="2:2" x14ac:dyDescent="0.3">
      <c r="B4107"/>
    </row>
    <row r="4108" spans="2:2" x14ac:dyDescent="0.3">
      <c r="B4108"/>
    </row>
    <row r="4109" spans="2:2" x14ac:dyDescent="0.3">
      <c r="B4109"/>
    </row>
    <row r="4110" spans="2:2" x14ac:dyDescent="0.3">
      <c r="B4110"/>
    </row>
    <row r="4111" spans="2:2" x14ac:dyDescent="0.3">
      <c r="B4111"/>
    </row>
    <row r="4112" spans="2:2" x14ac:dyDescent="0.3">
      <c r="B4112"/>
    </row>
    <row r="4113" spans="2:2" x14ac:dyDescent="0.3">
      <c r="B4113"/>
    </row>
    <row r="4114" spans="2:2" x14ac:dyDescent="0.3">
      <c r="B4114"/>
    </row>
    <row r="4115" spans="2:2" x14ac:dyDescent="0.3">
      <c r="B4115"/>
    </row>
    <row r="4116" spans="2:2" x14ac:dyDescent="0.3">
      <c r="B4116"/>
    </row>
    <row r="4117" spans="2:2" x14ac:dyDescent="0.3">
      <c r="B4117"/>
    </row>
    <row r="4118" spans="2:2" x14ac:dyDescent="0.3">
      <c r="B4118"/>
    </row>
    <row r="4119" spans="2:2" x14ac:dyDescent="0.3">
      <c r="B4119"/>
    </row>
    <row r="4120" spans="2:2" x14ac:dyDescent="0.3">
      <c r="B4120"/>
    </row>
    <row r="4121" spans="2:2" x14ac:dyDescent="0.3">
      <c r="B4121"/>
    </row>
    <row r="4122" spans="2:2" x14ac:dyDescent="0.3">
      <c r="B4122"/>
    </row>
    <row r="4123" spans="2:2" x14ac:dyDescent="0.3">
      <c r="B4123"/>
    </row>
    <row r="4124" spans="2:2" x14ac:dyDescent="0.3">
      <c r="B4124"/>
    </row>
    <row r="4125" spans="2:2" x14ac:dyDescent="0.3">
      <c r="B4125"/>
    </row>
    <row r="4126" spans="2:2" x14ac:dyDescent="0.3">
      <c r="B4126"/>
    </row>
    <row r="4127" spans="2:2" x14ac:dyDescent="0.3">
      <c r="B4127"/>
    </row>
    <row r="4128" spans="2:2" x14ac:dyDescent="0.3">
      <c r="B4128"/>
    </row>
    <row r="4129" spans="2:2" x14ac:dyDescent="0.3">
      <c r="B4129"/>
    </row>
    <row r="4130" spans="2:2" x14ac:dyDescent="0.3">
      <c r="B4130"/>
    </row>
    <row r="4131" spans="2:2" x14ac:dyDescent="0.3">
      <c r="B4131"/>
    </row>
    <row r="4132" spans="2:2" x14ac:dyDescent="0.3">
      <c r="B4132"/>
    </row>
    <row r="4133" spans="2:2" x14ac:dyDescent="0.3">
      <c r="B4133"/>
    </row>
    <row r="4134" spans="2:2" x14ac:dyDescent="0.3">
      <c r="B4134"/>
    </row>
    <row r="4135" spans="2:2" x14ac:dyDescent="0.3">
      <c r="B4135"/>
    </row>
    <row r="4136" spans="2:2" x14ac:dyDescent="0.3">
      <c r="B4136"/>
    </row>
    <row r="4137" spans="2:2" x14ac:dyDescent="0.3">
      <c r="B4137"/>
    </row>
    <row r="4138" spans="2:2" x14ac:dyDescent="0.3">
      <c r="B4138"/>
    </row>
    <row r="4139" spans="2:2" x14ac:dyDescent="0.3">
      <c r="B4139"/>
    </row>
    <row r="4140" spans="2:2" x14ac:dyDescent="0.3">
      <c r="B4140"/>
    </row>
    <row r="4141" spans="2:2" x14ac:dyDescent="0.3">
      <c r="B4141"/>
    </row>
    <row r="4142" spans="2:2" x14ac:dyDescent="0.3">
      <c r="B4142"/>
    </row>
    <row r="4143" spans="2:2" x14ac:dyDescent="0.3">
      <c r="B4143"/>
    </row>
    <row r="4144" spans="2:2" x14ac:dyDescent="0.3">
      <c r="B4144"/>
    </row>
    <row r="4145" spans="2:2" x14ac:dyDescent="0.3">
      <c r="B4145"/>
    </row>
    <row r="4146" spans="2:2" x14ac:dyDescent="0.3">
      <c r="B4146"/>
    </row>
    <row r="4147" spans="2:2" x14ac:dyDescent="0.3">
      <c r="B4147"/>
    </row>
    <row r="4148" spans="2:2" x14ac:dyDescent="0.3">
      <c r="B4148"/>
    </row>
    <row r="4149" spans="2:2" x14ac:dyDescent="0.3">
      <c r="B4149"/>
    </row>
    <row r="4150" spans="2:2" x14ac:dyDescent="0.3">
      <c r="B4150"/>
    </row>
    <row r="4151" spans="2:2" x14ac:dyDescent="0.3">
      <c r="B4151"/>
    </row>
    <row r="4152" spans="2:2" x14ac:dyDescent="0.3">
      <c r="B4152"/>
    </row>
    <row r="4153" spans="2:2" x14ac:dyDescent="0.3">
      <c r="B4153"/>
    </row>
    <row r="4154" spans="2:2" x14ac:dyDescent="0.3">
      <c r="B4154"/>
    </row>
    <row r="4155" spans="2:2" x14ac:dyDescent="0.3">
      <c r="B4155"/>
    </row>
    <row r="4156" spans="2:2" x14ac:dyDescent="0.3">
      <c r="B4156"/>
    </row>
    <row r="4157" spans="2:2" x14ac:dyDescent="0.3">
      <c r="B4157"/>
    </row>
    <row r="4158" spans="2:2" x14ac:dyDescent="0.3">
      <c r="B4158"/>
    </row>
    <row r="4159" spans="2:2" x14ac:dyDescent="0.3">
      <c r="B4159"/>
    </row>
    <row r="4160" spans="2:2" x14ac:dyDescent="0.3">
      <c r="B4160"/>
    </row>
    <row r="4161" spans="2:2" x14ac:dyDescent="0.3">
      <c r="B4161"/>
    </row>
    <row r="4162" spans="2:2" x14ac:dyDescent="0.3">
      <c r="B4162"/>
    </row>
    <row r="4163" spans="2:2" x14ac:dyDescent="0.3">
      <c r="B4163"/>
    </row>
    <row r="4164" spans="2:2" x14ac:dyDescent="0.3">
      <c r="B4164"/>
    </row>
    <row r="4165" spans="2:2" x14ac:dyDescent="0.3">
      <c r="B4165"/>
    </row>
    <row r="4166" spans="2:2" x14ac:dyDescent="0.3">
      <c r="B4166"/>
    </row>
    <row r="4167" spans="2:2" x14ac:dyDescent="0.3">
      <c r="B4167"/>
    </row>
    <row r="4168" spans="2:2" x14ac:dyDescent="0.3">
      <c r="B4168"/>
    </row>
    <row r="4169" spans="2:2" x14ac:dyDescent="0.3">
      <c r="B4169"/>
    </row>
    <row r="4170" spans="2:2" x14ac:dyDescent="0.3">
      <c r="B4170"/>
    </row>
    <row r="4171" spans="2:2" x14ac:dyDescent="0.3">
      <c r="B4171"/>
    </row>
    <row r="4172" spans="2:2" x14ac:dyDescent="0.3">
      <c r="B4172"/>
    </row>
    <row r="4173" spans="2:2" x14ac:dyDescent="0.3">
      <c r="B4173"/>
    </row>
    <row r="4174" spans="2:2" x14ac:dyDescent="0.3">
      <c r="B4174"/>
    </row>
    <row r="4175" spans="2:2" x14ac:dyDescent="0.3">
      <c r="B4175"/>
    </row>
    <row r="4176" spans="2:2" x14ac:dyDescent="0.3">
      <c r="B4176"/>
    </row>
    <row r="4177" spans="2:2" x14ac:dyDescent="0.3">
      <c r="B4177"/>
    </row>
    <row r="4178" spans="2:2" x14ac:dyDescent="0.3">
      <c r="B4178"/>
    </row>
    <row r="4179" spans="2:2" x14ac:dyDescent="0.3">
      <c r="B4179"/>
    </row>
    <row r="4180" spans="2:2" x14ac:dyDescent="0.3">
      <c r="B4180"/>
    </row>
    <row r="4181" spans="2:2" x14ac:dyDescent="0.3">
      <c r="B4181"/>
    </row>
    <row r="4182" spans="2:2" x14ac:dyDescent="0.3">
      <c r="B4182"/>
    </row>
    <row r="4183" spans="2:2" x14ac:dyDescent="0.3">
      <c r="B4183"/>
    </row>
    <row r="4184" spans="2:2" x14ac:dyDescent="0.3">
      <c r="B4184"/>
    </row>
    <row r="4185" spans="2:2" x14ac:dyDescent="0.3">
      <c r="B4185"/>
    </row>
    <row r="4186" spans="2:2" x14ac:dyDescent="0.3">
      <c r="B4186"/>
    </row>
    <row r="4187" spans="2:2" x14ac:dyDescent="0.3">
      <c r="B4187"/>
    </row>
    <row r="4188" spans="2:2" x14ac:dyDescent="0.3">
      <c r="B4188"/>
    </row>
    <row r="4189" spans="2:2" x14ac:dyDescent="0.3">
      <c r="B4189"/>
    </row>
    <row r="4190" spans="2:2" x14ac:dyDescent="0.3">
      <c r="B4190"/>
    </row>
    <row r="4191" spans="2:2" x14ac:dyDescent="0.3">
      <c r="B4191"/>
    </row>
    <row r="4192" spans="2:2" x14ac:dyDescent="0.3">
      <c r="B4192"/>
    </row>
    <row r="4193" spans="2:2" x14ac:dyDescent="0.3">
      <c r="B4193"/>
    </row>
    <row r="4194" spans="2:2" x14ac:dyDescent="0.3">
      <c r="B4194"/>
    </row>
    <row r="4195" spans="2:2" x14ac:dyDescent="0.3">
      <c r="B4195"/>
    </row>
    <row r="4196" spans="2:2" x14ac:dyDescent="0.3">
      <c r="B4196"/>
    </row>
    <row r="4197" spans="2:2" x14ac:dyDescent="0.3">
      <c r="B4197"/>
    </row>
    <row r="4198" spans="2:2" x14ac:dyDescent="0.3">
      <c r="B4198"/>
    </row>
    <row r="4199" spans="2:2" x14ac:dyDescent="0.3">
      <c r="B4199"/>
    </row>
    <row r="4200" spans="2:2" x14ac:dyDescent="0.3">
      <c r="B4200"/>
    </row>
    <row r="4201" spans="2:2" x14ac:dyDescent="0.3">
      <c r="B4201"/>
    </row>
    <row r="4202" spans="2:2" x14ac:dyDescent="0.3">
      <c r="B4202"/>
    </row>
    <row r="4203" spans="2:2" x14ac:dyDescent="0.3">
      <c r="B4203"/>
    </row>
    <row r="4204" spans="2:2" x14ac:dyDescent="0.3">
      <c r="B4204"/>
    </row>
    <row r="4205" spans="2:2" x14ac:dyDescent="0.3">
      <c r="B4205"/>
    </row>
    <row r="4206" spans="2:2" x14ac:dyDescent="0.3">
      <c r="B4206"/>
    </row>
    <row r="4207" spans="2:2" x14ac:dyDescent="0.3">
      <c r="B4207"/>
    </row>
    <row r="4208" spans="2:2" x14ac:dyDescent="0.3">
      <c r="B4208"/>
    </row>
    <row r="4209" spans="2:2" x14ac:dyDescent="0.3">
      <c r="B4209"/>
    </row>
    <row r="4210" spans="2:2" x14ac:dyDescent="0.3">
      <c r="B4210"/>
    </row>
    <row r="4211" spans="2:2" x14ac:dyDescent="0.3">
      <c r="B4211"/>
    </row>
    <row r="4212" spans="2:2" x14ac:dyDescent="0.3">
      <c r="B4212"/>
    </row>
    <row r="4213" spans="2:2" x14ac:dyDescent="0.3">
      <c r="B4213"/>
    </row>
    <row r="4214" spans="2:2" x14ac:dyDescent="0.3">
      <c r="B4214"/>
    </row>
    <row r="4215" spans="2:2" x14ac:dyDescent="0.3">
      <c r="B4215"/>
    </row>
    <row r="4216" spans="2:2" x14ac:dyDescent="0.3">
      <c r="B4216"/>
    </row>
    <row r="4217" spans="2:2" x14ac:dyDescent="0.3">
      <c r="B4217"/>
    </row>
    <row r="4218" spans="2:2" x14ac:dyDescent="0.3">
      <c r="B4218"/>
    </row>
    <row r="4219" spans="2:2" x14ac:dyDescent="0.3">
      <c r="B4219"/>
    </row>
    <row r="4220" spans="2:2" x14ac:dyDescent="0.3">
      <c r="B4220"/>
    </row>
    <row r="4221" spans="2:2" x14ac:dyDescent="0.3">
      <c r="B4221"/>
    </row>
    <row r="4222" spans="2:2" x14ac:dyDescent="0.3">
      <c r="B4222"/>
    </row>
    <row r="4223" spans="2:2" x14ac:dyDescent="0.3">
      <c r="B4223"/>
    </row>
    <row r="4224" spans="2:2" x14ac:dyDescent="0.3">
      <c r="B4224"/>
    </row>
    <row r="4225" spans="2:2" x14ac:dyDescent="0.3">
      <c r="B4225"/>
    </row>
    <row r="4226" spans="2:2" x14ac:dyDescent="0.3">
      <c r="B4226"/>
    </row>
    <row r="4227" spans="2:2" x14ac:dyDescent="0.3">
      <c r="B4227"/>
    </row>
    <row r="4228" spans="2:2" x14ac:dyDescent="0.3">
      <c r="B4228"/>
    </row>
    <row r="4229" spans="2:2" x14ac:dyDescent="0.3">
      <c r="B4229"/>
    </row>
    <row r="4230" spans="2:2" x14ac:dyDescent="0.3">
      <c r="B4230"/>
    </row>
    <row r="4231" spans="2:2" x14ac:dyDescent="0.3">
      <c r="B4231"/>
    </row>
    <row r="4232" spans="2:2" x14ac:dyDescent="0.3">
      <c r="B4232"/>
    </row>
    <row r="4233" spans="2:2" x14ac:dyDescent="0.3">
      <c r="B4233"/>
    </row>
    <row r="4234" spans="2:2" x14ac:dyDescent="0.3">
      <c r="B4234"/>
    </row>
    <row r="4235" spans="2:2" x14ac:dyDescent="0.3">
      <c r="B4235"/>
    </row>
    <row r="4236" spans="2:2" x14ac:dyDescent="0.3">
      <c r="B4236"/>
    </row>
    <row r="4237" spans="2:2" x14ac:dyDescent="0.3">
      <c r="B4237"/>
    </row>
    <row r="4238" spans="2:2" x14ac:dyDescent="0.3">
      <c r="B4238"/>
    </row>
    <row r="4239" spans="2:2" x14ac:dyDescent="0.3">
      <c r="B4239"/>
    </row>
    <row r="4240" spans="2:2" x14ac:dyDescent="0.3">
      <c r="B4240"/>
    </row>
    <row r="4241" spans="2:2" x14ac:dyDescent="0.3">
      <c r="B4241"/>
    </row>
    <row r="4242" spans="2:2" x14ac:dyDescent="0.3">
      <c r="B4242"/>
    </row>
    <row r="4243" spans="2:2" x14ac:dyDescent="0.3">
      <c r="B4243"/>
    </row>
    <row r="4244" spans="2:2" x14ac:dyDescent="0.3">
      <c r="B4244"/>
    </row>
    <row r="4245" spans="2:2" x14ac:dyDescent="0.3">
      <c r="B4245"/>
    </row>
    <row r="4246" spans="2:2" x14ac:dyDescent="0.3">
      <c r="B4246"/>
    </row>
    <row r="4247" spans="2:2" x14ac:dyDescent="0.3">
      <c r="B4247"/>
    </row>
    <row r="4248" spans="2:2" x14ac:dyDescent="0.3">
      <c r="B4248"/>
    </row>
    <row r="4249" spans="2:2" x14ac:dyDescent="0.3">
      <c r="B4249"/>
    </row>
    <row r="4250" spans="2:2" x14ac:dyDescent="0.3">
      <c r="B4250"/>
    </row>
    <row r="4251" spans="2:2" x14ac:dyDescent="0.3">
      <c r="B4251"/>
    </row>
    <row r="4252" spans="2:2" x14ac:dyDescent="0.3">
      <c r="B4252"/>
    </row>
    <row r="4253" spans="2:2" x14ac:dyDescent="0.3">
      <c r="B4253"/>
    </row>
    <row r="4254" spans="2:2" x14ac:dyDescent="0.3">
      <c r="B4254"/>
    </row>
    <row r="4255" spans="2:2" x14ac:dyDescent="0.3">
      <c r="B4255"/>
    </row>
    <row r="4256" spans="2:2" x14ac:dyDescent="0.3">
      <c r="B4256"/>
    </row>
    <row r="4257" spans="2:2" x14ac:dyDescent="0.3">
      <c r="B4257"/>
    </row>
    <row r="4258" spans="2:2" x14ac:dyDescent="0.3">
      <c r="B4258"/>
    </row>
    <row r="4259" spans="2:2" x14ac:dyDescent="0.3">
      <c r="B4259"/>
    </row>
    <row r="4260" spans="2:2" x14ac:dyDescent="0.3">
      <c r="B4260"/>
    </row>
    <row r="4261" spans="2:2" x14ac:dyDescent="0.3">
      <c r="B4261"/>
    </row>
    <row r="4262" spans="2:2" x14ac:dyDescent="0.3">
      <c r="B4262"/>
    </row>
    <row r="4263" spans="2:2" x14ac:dyDescent="0.3">
      <c r="B4263"/>
    </row>
    <row r="4264" spans="2:2" x14ac:dyDescent="0.3">
      <c r="B4264"/>
    </row>
    <row r="4265" spans="2:2" x14ac:dyDescent="0.3">
      <c r="B4265"/>
    </row>
    <row r="4266" spans="2:2" x14ac:dyDescent="0.3">
      <c r="B4266"/>
    </row>
    <row r="4267" spans="2:2" x14ac:dyDescent="0.3">
      <c r="B4267"/>
    </row>
    <row r="4268" spans="2:2" x14ac:dyDescent="0.3">
      <c r="B4268"/>
    </row>
    <row r="4269" spans="2:2" x14ac:dyDescent="0.3">
      <c r="B4269"/>
    </row>
    <row r="4270" spans="2:2" x14ac:dyDescent="0.3">
      <c r="B4270"/>
    </row>
    <row r="4271" spans="2:2" x14ac:dyDescent="0.3">
      <c r="B4271"/>
    </row>
    <row r="4272" spans="2:2" x14ac:dyDescent="0.3">
      <c r="B4272"/>
    </row>
    <row r="4273" spans="2:2" x14ac:dyDescent="0.3">
      <c r="B4273"/>
    </row>
    <row r="4274" spans="2:2" x14ac:dyDescent="0.3">
      <c r="B4274"/>
    </row>
    <row r="4275" spans="2:2" x14ac:dyDescent="0.3">
      <c r="B4275"/>
    </row>
    <row r="4276" spans="2:2" x14ac:dyDescent="0.3">
      <c r="B4276"/>
    </row>
    <row r="4277" spans="2:2" x14ac:dyDescent="0.3">
      <c r="B4277"/>
    </row>
    <row r="4278" spans="2:2" x14ac:dyDescent="0.3">
      <c r="B4278"/>
    </row>
    <row r="4279" spans="2:2" x14ac:dyDescent="0.3">
      <c r="B4279"/>
    </row>
    <row r="4280" spans="2:2" x14ac:dyDescent="0.3">
      <c r="B4280"/>
    </row>
    <row r="4281" spans="2:2" x14ac:dyDescent="0.3">
      <c r="B4281"/>
    </row>
    <row r="4282" spans="2:2" x14ac:dyDescent="0.3">
      <c r="B4282"/>
    </row>
    <row r="4283" spans="2:2" x14ac:dyDescent="0.3">
      <c r="B4283"/>
    </row>
    <row r="4284" spans="2:2" x14ac:dyDescent="0.3">
      <c r="B4284"/>
    </row>
    <row r="4285" spans="2:2" x14ac:dyDescent="0.3">
      <c r="B4285"/>
    </row>
    <row r="4286" spans="2:2" x14ac:dyDescent="0.3">
      <c r="B4286"/>
    </row>
    <row r="4287" spans="2:2" x14ac:dyDescent="0.3">
      <c r="B4287"/>
    </row>
    <row r="4288" spans="2:2" x14ac:dyDescent="0.3">
      <c r="B4288"/>
    </row>
    <row r="4289" spans="2:2" x14ac:dyDescent="0.3">
      <c r="B4289"/>
    </row>
    <row r="4290" spans="2:2" x14ac:dyDescent="0.3">
      <c r="B4290"/>
    </row>
    <row r="4291" spans="2:2" x14ac:dyDescent="0.3">
      <c r="B4291"/>
    </row>
    <row r="4292" spans="2:2" x14ac:dyDescent="0.3">
      <c r="B4292"/>
    </row>
    <row r="4293" spans="2:2" x14ac:dyDescent="0.3">
      <c r="B4293"/>
    </row>
    <row r="4294" spans="2:2" x14ac:dyDescent="0.3">
      <c r="B4294"/>
    </row>
    <row r="4295" spans="2:2" x14ac:dyDescent="0.3">
      <c r="B4295"/>
    </row>
    <row r="4296" spans="2:2" x14ac:dyDescent="0.3">
      <c r="B4296"/>
    </row>
    <row r="4297" spans="2:2" x14ac:dyDescent="0.3">
      <c r="B4297"/>
    </row>
    <row r="4298" spans="2:2" x14ac:dyDescent="0.3">
      <c r="B4298"/>
    </row>
    <row r="4299" spans="2:2" x14ac:dyDescent="0.3">
      <c r="B4299"/>
    </row>
    <row r="4300" spans="2:2" x14ac:dyDescent="0.3">
      <c r="B4300"/>
    </row>
    <row r="4301" spans="2:2" x14ac:dyDescent="0.3">
      <c r="B4301"/>
    </row>
    <row r="4302" spans="2:2" x14ac:dyDescent="0.3">
      <c r="B4302"/>
    </row>
    <row r="4303" spans="2:2" x14ac:dyDescent="0.3">
      <c r="B4303"/>
    </row>
    <row r="4304" spans="2:2" x14ac:dyDescent="0.3">
      <c r="B4304"/>
    </row>
    <row r="4305" spans="2:2" x14ac:dyDescent="0.3">
      <c r="B4305"/>
    </row>
    <row r="4306" spans="2:2" x14ac:dyDescent="0.3">
      <c r="B4306"/>
    </row>
    <row r="4307" spans="2:2" x14ac:dyDescent="0.3">
      <c r="B4307"/>
    </row>
    <row r="4308" spans="2:2" x14ac:dyDescent="0.3">
      <c r="B4308"/>
    </row>
    <row r="4309" spans="2:2" x14ac:dyDescent="0.3">
      <c r="B4309"/>
    </row>
    <row r="4310" spans="2:2" x14ac:dyDescent="0.3">
      <c r="B4310"/>
    </row>
    <row r="4311" spans="2:2" x14ac:dyDescent="0.3">
      <c r="B4311"/>
    </row>
    <row r="4312" spans="2:2" x14ac:dyDescent="0.3">
      <c r="B4312"/>
    </row>
    <row r="4313" spans="2:2" x14ac:dyDescent="0.3">
      <c r="B4313"/>
    </row>
    <row r="4314" spans="2:2" x14ac:dyDescent="0.3">
      <c r="B4314"/>
    </row>
    <row r="4315" spans="2:2" x14ac:dyDescent="0.3">
      <c r="B4315"/>
    </row>
    <row r="4316" spans="2:2" x14ac:dyDescent="0.3">
      <c r="B4316"/>
    </row>
    <row r="4317" spans="2:2" x14ac:dyDescent="0.3">
      <c r="B4317"/>
    </row>
    <row r="4318" spans="2:2" x14ac:dyDescent="0.3">
      <c r="B4318"/>
    </row>
    <row r="4319" spans="2:2" x14ac:dyDescent="0.3">
      <c r="B4319"/>
    </row>
    <row r="4320" spans="2:2" x14ac:dyDescent="0.3">
      <c r="B4320"/>
    </row>
    <row r="4321" spans="2:2" x14ac:dyDescent="0.3">
      <c r="B4321"/>
    </row>
    <row r="4322" spans="2:2" x14ac:dyDescent="0.3">
      <c r="B4322"/>
    </row>
    <row r="4323" spans="2:2" x14ac:dyDescent="0.3">
      <c r="B4323"/>
    </row>
    <row r="4324" spans="2:2" x14ac:dyDescent="0.3">
      <c r="B4324"/>
    </row>
    <row r="4325" spans="2:2" x14ac:dyDescent="0.3">
      <c r="B4325"/>
    </row>
    <row r="4326" spans="2:2" x14ac:dyDescent="0.3">
      <c r="B4326"/>
    </row>
    <row r="4327" spans="2:2" x14ac:dyDescent="0.3">
      <c r="B4327"/>
    </row>
    <row r="4328" spans="2:2" x14ac:dyDescent="0.3">
      <c r="B4328"/>
    </row>
    <row r="4329" spans="2:2" x14ac:dyDescent="0.3">
      <c r="B4329"/>
    </row>
    <row r="4330" spans="2:2" x14ac:dyDescent="0.3">
      <c r="B4330"/>
    </row>
    <row r="4331" spans="2:2" x14ac:dyDescent="0.3">
      <c r="B4331"/>
    </row>
    <row r="4332" spans="2:2" x14ac:dyDescent="0.3">
      <c r="B4332"/>
    </row>
    <row r="4333" spans="2:2" x14ac:dyDescent="0.3">
      <c r="B4333"/>
    </row>
    <row r="4334" spans="2:2" x14ac:dyDescent="0.3">
      <c r="B4334"/>
    </row>
    <row r="4335" spans="2:2" x14ac:dyDescent="0.3">
      <c r="B4335"/>
    </row>
    <row r="4336" spans="2:2" x14ac:dyDescent="0.3">
      <c r="B4336"/>
    </row>
    <row r="4337" spans="2:2" x14ac:dyDescent="0.3">
      <c r="B4337"/>
    </row>
    <row r="4338" spans="2:2" x14ac:dyDescent="0.3">
      <c r="B4338"/>
    </row>
    <row r="4339" spans="2:2" x14ac:dyDescent="0.3">
      <c r="B4339"/>
    </row>
    <row r="4340" spans="2:2" x14ac:dyDescent="0.3">
      <c r="B4340"/>
    </row>
    <row r="4341" spans="2:2" x14ac:dyDescent="0.3">
      <c r="B4341"/>
    </row>
    <row r="4342" spans="2:2" x14ac:dyDescent="0.3">
      <c r="B4342"/>
    </row>
    <row r="4343" spans="2:2" x14ac:dyDescent="0.3">
      <c r="B4343"/>
    </row>
    <row r="4344" spans="2:2" x14ac:dyDescent="0.3">
      <c r="B4344"/>
    </row>
    <row r="4345" spans="2:2" x14ac:dyDescent="0.3">
      <c r="B4345"/>
    </row>
    <row r="4346" spans="2:2" x14ac:dyDescent="0.3">
      <c r="B4346"/>
    </row>
    <row r="4347" spans="2:2" x14ac:dyDescent="0.3">
      <c r="B4347"/>
    </row>
    <row r="4348" spans="2:2" x14ac:dyDescent="0.3">
      <c r="B4348"/>
    </row>
    <row r="4349" spans="2:2" x14ac:dyDescent="0.3">
      <c r="B4349"/>
    </row>
    <row r="4350" spans="2:2" x14ac:dyDescent="0.3">
      <c r="B4350"/>
    </row>
    <row r="4351" spans="2:2" x14ac:dyDescent="0.3">
      <c r="B4351"/>
    </row>
    <row r="4352" spans="2:2" x14ac:dyDescent="0.3">
      <c r="B4352"/>
    </row>
    <row r="4353" spans="2:2" x14ac:dyDescent="0.3">
      <c r="B4353"/>
    </row>
    <row r="4354" spans="2:2" x14ac:dyDescent="0.3">
      <c r="B4354"/>
    </row>
    <row r="4355" spans="2:2" x14ac:dyDescent="0.3">
      <c r="B4355"/>
    </row>
    <row r="4356" spans="2:2" x14ac:dyDescent="0.3">
      <c r="B4356"/>
    </row>
    <row r="4357" spans="2:2" x14ac:dyDescent="0.3">
      <c r="B4357"/>
    </row>
    <row r="4358" spans="2:2" x14ac:dyDescent="0.3">
      <c r="B4358"/>
    </row>
    <row r="4359" spans="2:2" x14ac:dyDescent="0.3">
      <c r="B4359"/>
    </row>
    <row r="4360" spans="2:2" x14ac:dyDescent="0.3">
      <c r="B4360"/>
    </row>
    <row r="4361" spans="2:2" x14ac:dyDescent="0.3">
      <c r="B4361"/>
    </row>
    <row r="4362" spans="2:2" x14ac:dyDescent="0.3">
      <c r="B4362"/>
    </row>
    <row r="4363" spans="2:2" x14ac:dyDescent="0.3">
      <c r="B4363"/>
    </row>
    <row r="4364" spans="2:2" x14ac:dyDescent="0.3">
      <c r="B4364"/>
    </row>
    <row r="4365" spans="2:2" x14ac:dyDescent="0.3">
      <c r="B4365"/>
    </row>
    <row r="4366" spans="2:2" x14ac:dyDescent="0.3">
      <c r="B4366"/>
    </row>
    <row r="4367" spans="2:2" x14ac:dyDescent="0.3">
      <c r="B4367"/>
    </row>
    <row r="4368" spans="2:2" x14ac:dyDescent="0.3">
      <c r="B4368"/>
    </row>
    <row r="4369" spans="2:2" x14ac:dyDescent="0.3">
      <c r="B4369"/>
    </row>
    <row r="4370" spans="2:2" x14ac:dyDescent="0.3">
      <c r="B4370"/>
    </row>
    <row r="4371" spans="2:2" x14ac:dyDescent="0.3">
      <c r="B4371"/>
    </row>
    <row r="4372" spans="2:2" x14ac:dyDescent="0.3">
      <c r="B4372"/>
    </row>
    <row r="4373" spans="2:2" x14ac:dyDescent="0.3">
      <c r="B4373"/>
    </row>
    <row r="4374" spans="2:2" x14ac:dyDescent="0.3">
      <c r="B4374"/>
    </row>
    <row r="4375" spans="2:2" x14ac:dyDescent="0.3">
      <c r="B4375"/>
    </row>
    <row r="4376" spans="2:2" x14ac:dyDescent="0.3">
      <c r="B4376"/>
    </row>
    <row r="4377" spans="2:2" x14ac:dyDescent="0.3">
      <c r="B4377"/>
    </row>
    <row r="4378" spans="2:2" x14ac:dyDescent="0.3">
      <c r="B4378"/>
    </row>
    <row r="4379" spans="2:2" x14ac:dyDescent="0.3">
      <c r="B4379"/>
    </row>
    <row r="4380" spans="2:2" x14ac:dyDescent="0.3">
      <c r="B4380"/>
    </row>
    <row r="4381" spans="2:2" x14ac:dyDescent="0.3">
      <c r="B4381"/>
    </row>
    <row r="4382" spans="2:2" x14ac:dyDescent="0.3">
      <c r="B4382"/>
    </row>
    <row r="4383" spans="2:2" x14ac:dyDescent="0.3">
      <c r="B4383"/>
    </row>
    <row r="4384" spans="2:2" x14ac:dyDescent="0.3">
      <c r="B4384"/>
    </row>
    <row r="4385" spans="2:2" x14ac:dyDescent="0.3">
      <c r="B4385"/>
    </row>
    <row r="4386" spans="2:2" x14ac:dyDescent="0.3">
      <c r="B4386"/>
    </row>
    <row r="4387" spans="2:2" x14ac:dyDescent="0.3">
      <c r="B4387"/>
    </row>
    <row r="4388" spans="2:2" x14ac:dyDescent="0.3">
      <c r="B4388"/>
    </row>
    <row r="4389" spans="2:2" x14ac:dyDescent="0.3">
      <c r="B4389"/>
    </row>
    <row r="4390" spans="2:2" x14ac:dyDescent="0.3">
      <c r="B4390"/>
    </row>
    <row r="4391" spans="2:2" x14ac:dyDescent="0.3">
      <c r="B4391"/>
    </row>
    <row r="4392" spans="2:2" x14ac:dyDescent="0.3">
      <c r="B4392"/>
    </row>
    <row r="4393" spans="2:2" x14ac:dyDescent="0.3">
      <c r="B4393"/>
    </row>
    <row r="4394" spans="2:2" x14ac:dyDescent="0.3">
      <c r="B4394"/>
    </row>
    <row r="4395" spans="2:2" x14ac:dyDescent="0.3">
      <c r="B4395"/>
    </row>
    <row r="4396" spans="2:2" x14ac:dyDescent="0.3">
      <c r="B4396"/>
    </row>
    <row r="4397" spans="2:2" x14ac:dyDescent="0.3">
      <c r="B4397"/>
    </row>
    <row r="4398" spans="2:2" x14ac:dyDescent="0.3">
      <c r="B4398"/>
    </row>
    <row r="4399" spans="2:2" x14ac:dyDescent="0.3">
      <c r="B4399"/>
    </row>
    <row r="4400" spans="2:2" x14ac:dyDescent="0.3">
      <c r="B4400"/>
    </row>
    <row r="4401" spans="2:2" x14ac:dyDescent="0.3">
      <c r="B4401"/>
    </row>
    <row r="4402" spans="2:2" x14ac:dyDescent="0.3">
      <c r="B4402"/>
    </row>
    <row r="4403" spans="2:2" x14ac:dyDescent="0.3">
      <c r="B4403"/>
    </row>
    <row r="4404" spans="2:2" x14ac:dyDescent="0.3">
      <c r="B4404"/>
    </row>
    <row r="4405" spans="2:2" x14ac:dyDescent="0.3">
      <c r="B4405"/>
    </row>
    <row r="4406" spans="2:2" x14ac:dyDescent="0.3">
      <c r="B4406"/>
    </row>
    <row r="4407" spans="2:2" x14ac:dyDescent="0.3">
      <c r="B4407"/>
    </row>
    <row r="4408" spans="2:2" x14ac:dyDescent="0.3">
      <c r="B4408"/>
    </row>
    <row r="4409" spans="2:2" x14ac:dyDescent="0.3">
      <c r="B4409"/>
    </row>
    <row r="4410" spans="2:2" x14ac:dyDescent="0.3">
      <c r="B4410"/>
    </row>
    <row r="4411" spans="2:2" x14ac:dyDescent="0.3">
      <c r="B4411"/>
    </row>
    <row r="4412" spans="2:2" x14ac:dyDescent="0.3">
      <c r="B4412"/>
    </row>
    <row r="4413" spans="2:2" x14ac:dyDescent="0.3">
      <c r="B4413"/>
    </row>
    <row r="4414" spans="2:2" x14ac:dyDescent="0.3">
      <c r="B4414"/>
    </row>
    <row r="4415" spans="2:2" x14ac:dyDescent="0.3">
      <c r="B4415"/>
    </row>
    <row r="4416" spans="2:2" x14ac:dyDescent="0.3">
      <c r="B4416"/>
    </row>
    <row r="4417" spans="2:2" x14ac:dyDescent="0.3">
      <c r="B4417"/>
    </row>
    <row r="4418" spans="2:2" x14ac:dyDescent="0.3">
      <c r="B4418"/>
    </row>
    <row r="4419" spans="2:2" x14ac:dyDescent="0.3">
      <c r="B4419"/>
    </row>
    <row r="4420" spans="2:2" x14ac:dyDescent="0.3">
      <c r="B4420"/>
    </row>
    <row r="4421" spans="2:2" x14ac:dyDescent="0.3">
      <c r="B4421"/>
    </row>
    <row r="4422" spans="2:2" x14ac:dyDescent="0.3">
      <c r="B4422"/>
    </row>
    <row r="4423" spans="2:2" x14ac:dyDescent="0.3">
      <c r="B4423"/>
    </row>
    <row r="4424" spans="2:2" x14ac:dyDescent="0.3">
      <c r="B4424"/>
    </row>
    <row r="4425" spans="2:2" x14ac:dyDescent="0.3">
      <c r="B4425"/>
    </row>
    <row r="4426" spans="2:2" x14ac:dyDescent="0.3">
      <c r="B4426"/>
    </row>
    <row r="4427" spans="2:2" x14ac:dyDescent="0.3">
      <c r="B4427"/>
    </row>
    <row r="4428" spans="2:2" x14ac:dyDescent="0.3">
      <c r="B4428"/>
    </row>
    <row r="4429" spans="2:2" x14ac:dyDescent="0.3">
      <c r="B4429"/>
    </row>
    <row r="4430" spans="2:2" x14ac:dyDescent="0.3">
      <c r="B4430"/>
    </row>
    <row r="4431" spans="2:2" x14ac:dyDescent="0.3">
      <c r="B4431"/>
    </row>
    <row r="4432" spans="2:2" x14ac:dyDescent="0.3">
      <c r="B4432"/>
    </row>
    <row r="4433" spans="2:2" x14ac:dyDescent="0.3">
      <c r="B4433"/>
    </row>
    <row r="4434" spans="2:2" x14ac:dyDescent="0.3">
      <c r="B4434"/>
    </row>
    <row r="4435" spans="2:2" x14ac:dyDescent="0.3">
      <c r="B4435"/>
    </row>
    <row r="4436" spans="2:2" x14ac:dyDescent="0.3">
      <c r="B4436"/>
    </row>
    <row r="4437" spans="2:2" x14ac:dyDescent="0.3">
      <c r="B4437"/>
    </row>
    <row r="4438" spans="2:2" x14ac:dyDescent="0.3">
      <c r="B4438"/>
    </row>
    <row r="4439" spans="2:2" x14ac:dyDescent="0.3">
      <c r="B4439"/>
    </row>
    <row r="4440" spans="2:2" x14ac:dyDescent="0.3">
      <c r="B4440"/>
    </row>
    <row r="4441" spans="2:2" x14ac:dyDescent="0.3">
      <c r="B4441"/>
    </row>
    <row r="4442" spans="2:2" x14ac:dyDescent="0.3">
      <c r="B4442"/>
    </row>
    <row r="4443" spans="2:2" x14ac:dyDescent="0.3">
      <c r="B4443"/>
    </row>
    <row r="4444" spans="2:2" x14ac:dyDescent="0.3">
      <c r="B4444"/>
    </row>
    <row r="4445" spans="2:2" x14ac:dyDescent="0.3">
      <c r="B4445"/>
    </row>
    <row r="4446" spans="2:2" x14ac:dyDescent="0.3">
      <c r="B4446"/>
    </row>
    <row r="4447" spans="2:2" x14ac:dyDescent="0.3">
      <c r="B4447"/>
    </row>
    <row r="4448" spans="2:2" x14ac:dyDescent="0.3">
      <c r="B4448"/>
    </row>
    <row r="4449" spans="2:2" x14ac:dyDescent="0.3">
      <c r="B4449"/>
    </row>
    <row r="4450" spans="2:2" x14ac:dyDescent="0.3">
      <c r="B4450"/>
    </row>
    <row r="4451" spans="2:2" x14ac:dyDescent="0.3">
      <c r="B4451"/>
    </row>
    <row r="4452" spans="2:2" x14ac:dyDescent="0.3">
      <c r="B4452"/>
    </row>
    <row r="4453" spans="2:2" x14ac:dyDescent="0.3">
      <c r="B4453"/>
    </row>
    <row r="4454" spans="2:2" x14ac:dyDescent="0.3">
      <c r="B4454"/>
    </row>
    <row r="4455" spans="2:2" x14ac:dyDescent="0.3">
      <c r="B4455"/>
    </row>
    <row r="4456" spans="2:2" x14ac:dyDescent="0.3">
      <c r="B4456"/>
    </row>
    <row r="4457" spans="2:2" x14ac:dyDescent="0.3">
      <c r="B4457"/>
    </row>
    <row r="4458" spans="2:2" x14ac:dyDescent="0.3">
      <c r="B4458"/>
    </row>
    <row r="4459" spans="2:2" x14ac:dyDescent="0.3">
      <c r="B4459"/>
    </row>
    <row r="4460" spans="2:2" x14ac:dyDescent="0.3">
      <c r="B4460"/>
    </row>
    <row r="4461" spans="2:2" x14ac:dyDescent="0.3">
      <c r="B4461"/>
    </row>
    <row r="4462" spans="2:2" x14ac:dyDescent="0.3">
      <c r="B4462"/>
    </row>
    <row r="4463" spans="2:2" x14ac:dyDescent="0.3">
      <c r="B4463"/>
    </row>
    <row r="4464" spans="2:2" x14ac:dyDescent="0.3">
      <c r="B4464"/>
    </row>
    <row r="4465" spans="2:2" x14ac:dyDescent="0.3">
      <c r="B4465"/>
    </row>
    <row r="4466" spans="2:2" x14ac:dyDescent="0.3">
      <c r="B4466"/>
    </row>
    <row r="4467" spans="2:2" x14ac:dyDescent="0.3">
      <c r="B4467"/>
    </row>
    <row r="4468" spans="2:2" x14ac:dyDescent="0.3">
      <c r="B4468"/>
    </row>
    <row r="4469" spans="2:2" x14ac:dyDescent="0.3">
      <c r="B4469"/>
    </row>
    <row r="4470" spans="2:2" x14ac:dyDescent="0.3">
      <c r="B4470"/>
    </row>
    <row r="4471" spans="2:2" x14ac:dyDescent="0.3">
      <c r="B4471"/>
    </row>
    <row r="4472" spans="2:2" x14ac:dyDescent="0.3">
      <c r="B4472"/>
    </row>
    <row r="4473" spans="2:2" x14ac:dyDescent="0.3">
      <c r="B4473"/>
    </row>
    <row r="4474" spans="2:2" x14ac:dyDescent="0.3">
      <c r="B4474"/>
    </row>
    <row r="4475" spans="2:2" x14ac:dyDescent="0.3">
      <c r="B4475"/>
    </row>
    <row r="4476" spans="2:2" x14ac:dyDescent="0.3">
      <c r="B4476"/>
    </row>
    <row r="4477" spans="2:2" x14ac:dyDescent="0.3">
      <c r="B4477"/>
    </row>
    <row r="4478" spans="2:2" x14ac:dyDescent="0.3">
      <c r="B4478"/>
    </row>
    <row r="4479" spans="2:2" x14ac:dyDescent="0.3">
      <c r="B4479"/>
    </row>
    <row r="4480" spans="2:2" x14ac:dyDescent="0.3">
      <c r="B4480"/>
    </row>
    <row r="4481" spans="2:2" x14ac:dyDescent="0.3">
      <c r="B4481"/>
    </row>
    <row r="4482" spans="2:2" x14ac:dyDescent="0.3">
      <c r="B4482"/>
    </row>
    <row r="4483" spans="2:2" x14ac:dyDescent="0.3">
      <c r="B4483"/>
    </row>
    <row r="4484" spans="2:2" x14ac:dyDescent="0.3">
      <c r="B4484"/>
    </row>
    <row r="4485" spans="2:2" x14ac:dyDescent="0.3">
      <c r="B4485"/>
    </row>
    <row r="4486" spans="2:2" x14ac:dyDescent="0.3">
      <c r="B4486"/>
    </row>
    <row r="4487" spans="2:2" x14ac:dyDescent="0.3">
      <c r="B4487"/>
    </row>
    <row r="4488" spans="2:2" x14ac:dyDescent="0.3">
      <c r="B4488"/>
    </row>
    <row r="4489" spans="2:2" x14ac:dyDescent="0.3">
      <c r="B4489"/>
    </row>
    <row r="4490" spans="2:2" x14ac:dyDescent="0.3">
      <c r="B4490"/>
    </row>
    <row r="4491" spans="2:2" x14ac:dyDescent="0.3">
      <c r="B4491"/>
    </row>
    <row r="4492" spans="2:2" x14ac:dyDescent="0.3">
      <c r="B4492"/>
    </row>
    <row r="4493" spans="2:2" x14ac:dyDescent="0.3">
      <c r="B4493"/>
    </row>
    <row r="4494" spans="2:2" x14ac:dyDescent="0.3">
      <c r="B4494"/>
    </row>
    <row r="4495" spans="2:2" x14ac:dyDescent="0.3">
      <c r="B4495"/>
    </row>
    <row r="4496" spans="2:2" x14ac:dyDescent="0.3">
      <c r="B4496"/>
    </row>
    <row r="4497" spans="2:2" x14ac:dyDescent="0.3">
      <c r="B4497"/>
    </row>
    <row r="4498" spans="2:2" x14ac:dyDescent="0.3">
      <c r="B4498"/>
    </row>
    <row r="4499" spans="2:2" x14ac:dyDescent="0.3">
      <c r="B4499"/>
    </row>
    <row r="4500" spans="2:2" x14ac:dyDescent="0.3">
      <c r="B4500"/>
    </row>
    <row r="4501" spans="2:2" x14ac:dyDescent="0.3">
      <c r="B4501"/>
    </row>
    <row r="4502" spans="2:2" x14ac:dyDescent="0.3">
      <c r="B4502"/>
    </row>
    <row r="4503" spans="2:2" x14ac:dyDescent="0.3">
      <c r="B4503"/>
    </row>
    <row r="4504" spans="2:2" x14ac:dyDescent="0.3">
      <c r="B4504"/>
    </row>
    <row r="4505" spans="2:2" x14ac:dyDescent="0.3">
      <c r="B4505"/>
    </row>
    <row r="4506" spans="2:2" x14ac:dyDescent="0.3">
      <c r="B4506"/>
    </row>
    <row r="4507" spans="2:2" x14ac:dyDescent="0.3">
      <c r="B4507"/>
    </row>
    <row r="4508" spans="2:2" x14ac:dyDescent="0.3">
      <c r="B4508"/>
    </row>
    <row r="4509" spans="2:2" x14ac:dyDescent="0.3">
      <c r="B4509"/>
    </row>
    <row r="4510" spans="2:2" x14ac:dyDescent="0.3">
      <c r="B4510"/>
    </row>
    <row r="4511" spans="2:2" x14ac:dyDescent="0.3">
      <c r="B4511"/>
    </row>
    <row r="4512" spans="2:2" x14ac:dyDescent="0.3">
      <c r="B4512"/>
    </row>
    <row r="4513" spans="2:2" x14ac:dyDescent="0.3">
      <c r="B4513"/>
    </row>
    <row r="4514" spans="2:2" x14ac:dyDescent="0.3">
      <c r="B4514"/>
    </row>
    <row r="4515" spans="2:2" x14ac:dyDescent="0.3">
      <c r="B4515"/>
    </row>
    <row r="4516" spans="2:2" x14ac:dyDescent="0.3">
      <c r="B4516"/>
    </row>
    <row r="4517" spans="2:2" x14ac:dyDescent="0.3">
      <c r="B4517"/>
    </row>
    <row r="4518" spans="2:2" x14ac:dyDescent="0.3">
      <c r="B4518"/>
    </row>
    <row r="4519" spans="2:2" x14ac:dyDescent="0.3">
      <c r="B4519"/>
    </row>
    <row r="4520" spans="2:2" x14ac:dyDescent="0.3">
      <c r="B4520"/>
    </row>
    <row r="4521" spans="2:2" x14ac:dyDescent="0.3">
      <c r="B4521"/>
    </row>
    <row r="4522" spans="2:2" x14ac:dyDescent="0.3">
      <c r="B4522"/>
    </row>
    <row r="4523" spans="2:2" x14ac:dyDescent="0.3">
      <c r="B4523"/>
    </row>
    <row r="4524" spans="2:2" x14ac:dyDescent="0.3">
      <c r="B4524"/>
    </row>
    <row r="4525" spans="2:2" x14ac:dyDescent="0.3">
      <c r="B4525"/>
    </row>
    <row r="4526" spans="2:2" x14ac:dyDescent="0.3">
      <c r="B4526"/>
    </row>
    <row r="4527" spans="2:2" x14ac:dyDescent="0.3">
      <c r="B4527"/>
    </row>
    <row r="4528" spans="2:2" x14ac:dyDescent="0.3">
      <c r="B4528"/>
    </row>
    <row r="4529" spans="2:2" x14ac:dyDescent="0.3">
      <c r="B4529"/>
    </row>
    <row r="4530" spans="2:2" x14ac:dyDescent="0.3">
      <c r="B4530"/>
    </row>
    <row r="4531" spans="2:2" x14ac:dyDescent="0.3">
      <c r="B4531"/>
    </row>
    <row r="4532" spans="2:2" x14ac:dyDescent="0.3">
      <c r="B4532"/>
    </row>
    <row r="4533" spans="2:2" x14ac:dyDescent="0.3">
      <c r="B4533"/>
    </row>
    <row r="4534" spans="2:2" x14ac:dyDescent="0.3">
      <c r="B4534"/>
    </row>
    <row r="4535" spans="2:2" x14ac:dyDescent="0.3">
      <c r="B4535"/>
    </row>
    <row r="4536" spans="2:2" x14ac:dyDescent="0.3">
      <c r="B4536"/>
    </row>
    <row r="4537" spans="2:2" x14ac:dyDescent="0.3">
      <c r="B4537"/>
    </row>
    <row r="4538" spans="2:2" x14ac:dyDescent="0.3">
      <c r="B4538"/>
    </row>
    <row r="4539" spans="2:2" x14ac:dyDescent="0.3">
      <c r="B4539"/>
    </row>
    <row r="4540" spans="2:2" x14ac:dyDescent="0.3">
      <c r="B4540"/>
    </row>
    <row r="4541" spans="2:2" x14ac:dyDescent="0.3">
      <c r="B4541"/>
    </row>
    <row r="4542" spans="2:2" x14ac:dyDescent="0.3">
      <c r="B4542"/>
    </row>
    <row r="4543" spans="2:2" x14ac:dyDescent="0.3">
      <c r="B4543"/>
    </row>
    <row r="4544" spans="2:2" x14ac:dyDescent="0.3">
      <c r="B4544"/>
    </row>
    <row r="4545" spans="2:2" x14ac:dyDescent="0.3">
      <c r="B4545"/>
    </row>
    <row r="4546" spans="2:2" x14ac:dyDescent="0.3">
      <c r="B4546"/>
    </row>
    <row r="4547" spans="2:2" x14ac:dyDescent="0.3">
      <c r="B4547"/>
    </row>
    <row r="4548" spans="2:2" x14ac:dyDescent="0.3">
      <c r="B4548"/>
    </row>
    <row r="4549" spans="2:2" x14ac:dyDescent="0.3">
      <c r="B4549"/>
    </row>
    <row r="4550" spans="2:2" x14ac:dyDescent="0.3">
      <c r="B4550"/>
    </row>
    <row r="4551" spans="2:2" x14ac:dyDescent="0.3">
      <c r="B4551"/>
    </row>
    <row r="4552" spans="2:2" x14ac:dyDescent="0.3">
      <c r="B4552"/>
    </row>
    <row r="4553" spans="2:2" x14ac:dyDescent="0.3">
      <c r="B4553"/>
    </row>
    <row r="4554" spans="2:2" x14ac:dyDescent="0.3">
      <c r="B4554"/>
    </row>
    <row r="4555" spans="2:2" x14ac:dyDescent="0.3">
      <c r="B4555"/>
    </row>
    <row r="4556" spans="2:2" x14ac:dyDescent="0.3">
      <c r="B4556"/>
    </row>
    <row r="4557" spans="2:2" x14ac:dyDescent="0.3">
      <c r="B4557"/>
    </row>
    <row r="4558" spans="2:2" x14ac:dyDescent="0.3">
      <c r="B4558"/>
    </row>
    <row r="4559" spans="2:2" x14ac:dyDescent="0.3">
      <c r="B4559"/>
    </row>
    <row r="4560" spans="2:2" x14ac:dyDescent="0.3">
      <c r="B4560"/>
    </row>
    <row r="4561" spans="2:2" x14ac:dyDescent="0.3">
      <c r="B4561"/>
    </row>
    <row r="4562" spans="2:2" x14ac:dyDescent="0.3">
      <c r="B4562"/>
    </row>
    <row r="4563" spans="2:2" x14ac:dyDescent="0.3">
      <c r="B4563"/>
    </row>
    <row r="4564" spans="2:2" x14ac:dyDescent="0.3">
      <c r="B4564"/>
    </row>
    <row r="4565" spans="2:2" x14ac:dyDescent="0.3">
      <c r="B4565"/>
    </row>
    <row r="4566" spans="2:2" x14ac:dyDescent="0.3">
      <c r="B4566"/>
    </row>
    <row r="4567" spans="2:2" x14ac:dyDescent="0.3">
      <c r="B4567"/>
    </row>
    <row r="4568" spans="2:2" x14ac:dyDescent="0.3">
      <c r="B4568"/>
    </row>
    <row r="4569" spans="2:2" x14ac:dyDescent="0.3">
      <c r="B4569"/>
    </row>
    <row r="4570" spans="2:2" x14ac:dyDescent="0.3">
      <c r="B4570"/>
    </row>
    <row r="4571" spans="2:2" x14ac:dyDescent="0.3">
      <c r="B4571"/>
    </row>
    <row r="4572" spans="2:2" x14ac:dyDescent="0.3">
      <c r="B4572"/>
    </row>
    <row r="4573" spans="2:2" x14ac:dyDescent="0.3">
      <c r="B4573"/>
    </row>
    <row r="4574" spans="2:2" x14ac:dyDescent="0.3">
      <c r="B4574"/>
    </row>
    <row r="4575" spans="2:2" x14ac:dyDescent="0.3">
      <c r="B4575"/>
    </row>
    <row r="4576" spans="2:2" x14ac:dyDescent="0.3">
      <c r="B4576"/>
    </row>
    <row r="4577" spans="2:2" x14ac:dyDescent="0.3">
      <c r="B4577"/>
    </row>
    <row r="4578" spans="2:2" x14ac:dyDescent="0.3">
      <c r="B4578"/>
    </row>
    <row r="4579" spans="2:2" x14ac:dyDescent="0.3">
      <c r="B4579"/>
    </row>
    <row r="4580" spans="2:2" x14ac:dyDescent="0.3">
      <c r="B4580"/>
    </row>
    <row r="4581" spans="2:2" x14ac:dyDescent="0.3">
      <c r="B4581"/>
    </row>
    <row r="4582" spans="2:2" x14ac:dyDescent="0.3">
      <c r="B4582"/>
    </row>
    <row r="4583" spans="2:2" x14ac:dyDescent="0.3">
      <c r="B4583"/>
    </row>
    <row r="4584" spans="2:2" x14ac:dyDescent="0.3">
      <c r="B4584"/>
    </row>
    <row r="4585" spans="2:2" x14ac:dyDescent="0.3">
      <c r="B4585"/>
    </row>
    <row r="4586" spans="2:2" x14ac:dyDescent="0.3">
      <c r="B4586"/>
    </row>
    <row r="4587" spans="2:2" x14ac:dyDescent="0.3">
      <c r="B4587"/>
    </row>
    <row r="4588" spans="2:2" x14ac:dyDescent="0.3">
      <c r="B4588"/>
    </row>
    <row r="4589" spans="2:2" x14ac:dyDescent="0.3">
      <c r="B4589"/>
    </row>
    <row r="4590" spans="2:2" x14ac:dyDescent="0.3">
      <c r="B4590"/>
    </row>
    <row r="4591" spans="2:2" x14ac:dyDescent="0.3">
      <c r="B4591"/>
    </row>
    <row r="4592" spans="2:2" x14ac:dyDescent="0.3">
      <c r="B4592"/>
    </row>
    <row r="4593" spans="2:2" x14ac:dyDescent="0.3">
      <c r="B4593"/>
    </row>
    <row r="4594" spans="2:2" x14ac:dyDescent="0.3">
      <c r="B4594"/>
    </row>
    <row r="4595" spans="2:2" x14ac:dyDescent="0.3">
      <c r="B4595"/>
    </row>
    <row r="4596" spans="2:2" x14ac:dyDescent="0.3">
      <c r="B4596"/>
    </row>
    <row r="4597" spans="2:2" x14ac:dyDescent="0.3">
      <c r="B4597"/>
    </row>
    <row r="4598" spans="2:2" x14ac:dyDescent="0.3">
      <c r="B4598"/>
    </row>
    <row r="4599" spans="2:2" x14ac:dyDescent="0.3">
      <c r="B4599"/>
    </row>
    <row r="4600" spans="2:2" x14ac:dyDescent="0.3">
      <c r="B4600"/>
    </row>
    <row r="4601" spans="2:2" x14ac:dyDescent="0.3">
      <c r="B4601"/>
    </row>
    <row r="4602" spans="2:2" x14ac:dyDescent="0.3">
      <c r="B4602"/>
    </row>
    <row r="4603" spans="2:2" x14ac:dyDescent="0.3">
      <c r="B4603"/>
    </row>
    <row r="4604" spans="2:2" x14ac:dyDescent="0.3">
      <c r="B4604"/>
    </row>
    <row r="4605" spans="2:2" x14ac:dyDescent="0.3">
      <c r="B4605"/>
    </row>
    <row r="4606" spans="2:2" x14ac:dyDescent="0.3">
      <c r="B4606"/>
    </row>
    <row r="4607" spans="2:2" x14ac:dyDescent="0.3">
      <c r="B4607"/>
    </row>
    <row r="4608" spans="2:2" x14ac:dyDescent="0.3">
      <c r="B4608"/>
    </row>
    <row r="4609" spans="2:2" x14ac:dyDescent="0.3">
      <c r="B4609"/>
    </row>
    <row r="4610" spans="2:2" x14ac:dyDescent="0.3">
      <c r="B4610"/>
    </row>
    <row r="4611" spans="2:2" x14ac:dyDescent="0.3">
      <c r="B4611"/>
    </row>
    <row r="4612" spans="2:2" x14ac:dyDescent="0.3">
      <c r="B4612"/>
    </row>
    <row r="4613" spans="2:2" x14ac:dyDescent="0.3">
      <c r="B4613"/>
    </row>
    <row r="4614" spans="2:2" x14ac:dyDescent="0.3">
      <c r="B4614"/>
    </row>
    <row r="4615" spans="2:2" x14ac:dyDescent="0.3">
      <c r="B4615"/>
    </row>
    <row r="4616" spans="2:2" x14ac:dyDescent="0.3">
      <c r="B4616"/>
    </row>
    <row r="4617" spans="2:2" x14ac:dyDescent="0.3">
      <c r="B4617"/>
    </row>
    <row r="4618" spans="2:2" x14ac:dyDescent="0.3">
      <c r="B4618"/>
    </row>
    <row r="4619" spans="2:2" x14ac:dyDescent="0.3">
      <c r="B4619"/>
    </row>
    <row r="4620" spans="2:2" x14ac:dyDescent="0.3">
      <c r="B4620"/>
    </row>
    <row r="4621" spans="2:2" x14ac:dyDescent="0.3">
      <c r="B4621"/>
    </row>
    <row r="4622" spans="2:2" x14ac:dyDescent="0.3">
      <c r="B4622"/>
    </row>
    <row r="4623" spans="2:2" x14ac:dyDescent="0.3">
      <c r="B4623"/>
    </row>
    <row r="4624" spans="2:2" x14ac:dyDescent="0.3">
      <c r="B4624"/>
    </row>
    <row r="4625" spans="2:2" x14ac:dyDescent="0.3">
      <c r="B4625"/>
    </row>
    <row r="4626" spans="2:2" x14ac:dyDescent="0.3">
      <c r="B4626"/>
    </row>
    <row r="4627" spans="2:2" x14ac:dyDescent="0.3">
      <c r="B4627"/>
    </row>
    <row r="4628" spans="2:2" x14ac:dyDescent="0.3">
      <c r="B4628"/>
    </row>
    <row r="4629" spans="2:2" x14ac:dyDescent="0.3">
      <c r="B4629"/>
    </row>
    <row r="4630" spans="2:2" x14ac:dyDescent="0.3">
      <c r="B4630"/>
    </row>
    <row r="4631" spans="2:2" x14ac:dyDescent="0.3">
      <c r="B4631"/>
    </row>
    <row r="4632" spans="2:2" x14ac:dyDescent="0.3">
      <c r="B4632"/>
    </row>
    <row r="4633" spans="2:2" x14ac:dyDescent="0.3">
      <c r="B4633"/>
    </row>
    <row r="4634" spans="2:2" x14ac:dyDescent="0.3">
      <c r="B4634"/>
    </row>
    <row r="4635" spans="2:2" x14ac:dyDescent="0.3">
      <c r="B4635"/>
    </row>
    <row r="4636" spans="2:2" x14ac:dyDescent="0.3">
      <c r="B4636"/>
    </row>
    <row r="4637" spans="2:2" x14ac:dyDescent="0.3">
      <c r="B4637"/>
    </row>
    <row r="4638" spans="2:2" x14ac:dyDescent="0.3">
      <c r="B4638"/>
    </row>
    <row r="4639" spans="2:2" x14ac:dyDescent="0.3">
      <c r="B4639"/>
    </row>
    <row r="4640" spans="2:2" x14ac:dyDescent="0.3">
      <c r="B4640"/>
    </row>
    <row r="4641" spans="2:2" x14ac:dyDescent="0.3">
      <c r="B4641"/>
    </row>
    <row r="4642" spans="2:2" x14ac:dyDescent="0.3">
      <c r="B4642"/>
    </row>
    <row r="4643" spans="2:2" x14ac:dyDescent="0.3">
      <c r="B4643"/>
    </row>
    <row r="4644" spans="2:2" x14ac:dyDescent="0.3">
      <c r="B4644"/>
    </row>
    <row r="4645" spans="2:2" x14ac:dyDescent="0.3">
      <c r="B4645"/>
    </row>
    <row r="4646" spans="2:2" x14ac:dyDescent="0.3">
      <c r="B4646"/>
    </row>
    <row r="4647" spans="2:2" x14ac:dyDescent="0.3">
      <c r="B4647"/>
    </row>
    <row r="4648" spans="2:2" x14ac:dyDescent="0.3">
      <c r="B4648"/>
    </row>
    <row r="4649" spans="2:2" x14ac:dyDescent="0.3">
      <c r="B4649"/>
    </row>
    <row r="4650" spans="2:2" x14ac:dyDescent="0.3">
      <c r="B4650"/>
    </row>
    <row r="4651" spans="2:2" x14ac:dyDescent="0.3">
      <c r="B4651"/>
    </row>
    <row r="4652" spans="2:2" x14ac:dyDescent="0.3">
      <c r="B4652"/>
    </row>
    <row r="4653" spans="2:2" x14ac:dyDescent="0.3">
      <c r="B4653"/>
    </row>
    <row r="4654" spans="2:2" x14ac:dyDescent="0.3">
      <c r="B4654"/>
    </row>
    <row r="4655" spans="2:2" x14ac:dyDescent="0.3">
      <c r="B4655"/>
    </row>
    <row r="4656" spans="2:2" x14ac:dyDescent="0.3">
      <c r="B4656"/>
    </row>
    <row r="4657" spans="2:2" x14ac:dyDescent="0.3">
      <c r="B4657"/>
    </row>
    <row r="4658" spans="2:2" x14ac:dyDescent="0.3">
      <c r="B4658"/>
    </row>
    <row r="4659" spans="2:2" x14ac:dyDescent="0.3">
      <c r="B4659"/>
    </row>
    <row r="4660" spans="2:2" x14ac:dyDescent="0.3">
      <c r="B4660"/>
    </row>
    <row r="4661" spans="2:2" x14ac:dyDescent="0.3">
      <c r="B4661"/>
    </row>
    <row r="4662" spans="2:2" x14ac:dyDescent="0.3">
      <c r="B4662"/>
    </row>
    <row r="4663" spans="2:2" x14ac:dyDescent="0.3">
      <c r="B4663"/>
    </row>
    <row r="4664" spans="2:2" x14ac:dyDescent="0.3">
      <c r="B4664"/>
    </row>
    <row r="4665" spans="2:2" x14ac:dyDescent="0.3">
      <c r="B4665"/>
    </row>
    <row r="4666" spans="2:2" x14ac:dyDescent="0.3">
      <c r="B4666"/>
    </row>
    <row r="4667" spans="2:2" x14ac:dyDescent="0.3">
      <c r="B4667"/>
    </row>
    <row r="4668" spans="2:2" x14ac:dyDescent="0.3">
      <c r="B4668"/>
    </row>
    <row r="4669" spans="2:2" x14ac:dyDescent="0.3">
      <c r="B4669"/>
    </row>
    <row r="4670" spans="2:2" x14ac:dyDescent="0.3">
      <c r="B4670"/>
    </row>
    <row r="4671" spans="2:2" x14ac:dyDescent="0.3">
      <c r="B4671"/>
    </row>
    <row r="4672" spans="2:2" x14ac:dyDescent="0.3">
      <c r="B4672"/>
    </row>
    <row r="4673" spans="2:2" x14ac:dyDescent="0.3">
      <c r="B4673"/>
    </row>
    <row r="4674" spans="2:2" x14ac:dyDescent="0.3">
      <c r="B4674"/>
    </row>
    <row r="4675" spans="2:2" x14ac:dyDescent="0.3">
      <c r="B4675"/>
    </row>
    <row r="4676" spans="2:2" x14ac:dyDescent="0.3">
      <c r="B4676"/>
    </row>
    <row r="4677" spans="2:2" x14ac:dyDescent="0.3">
      <c r="B4677"/>
    </row>
    <row r="4678" spans="2:2" x14ac:dyDescent="0.3">
      <c r="B4678"/>
    </row>
    <row r="4679" spans="2:2" x14ac:dyDescent="0.3">
      <c r="B4679"/>
    </row>
    <row r="4680" spans="2:2" x14ac:dyDescent="0.3">
      <c r="B4680"/>
    </row>
    <row r="4681" spans="2:2" x14ac:dyDescent="0.3">
      <c r="B4681"/>
    </row>
    <row r="4682" spans="2:2" x14ac:dyDescent="0.3">
      <c r="B4682"/>
    </row>
    <row r="4683" spans="2:2" x14ac:dyDescent="0.3">
      <c r="B4683"/>
    </row>
    <row r="4684" spans="2:2" x14ac:dyDescent="0.3">
      <c r="B4684"/>
    </row>
    <row r="4685" spans="2:2" x14ac:dyDescent="0.3">
      <c r="B4685"/>
    </row>
    <row r="4686" spans="2:2" x14ac:dyDescent="0.3">
      <c r="B4686"/>
    </row>
    <row r="4687" spans="2:2" x14ac:dyDescent="0.3">
      <c r="B4687"/>
    </row>
    <row r="4688" spans="2:2" x14ac:dyDescent="0.3">
      <c r="B4688"/>
    </row>
    <row r="4689" spans="2:2" x14ac:dyDescent="0.3">
      <c r="B4689"/>
    </row>
    <row r="4690" spans="2:2" x14ac:dyDescent="0.3">
      <c r="B4690"/>
    </row>
    <row r="4691" spans="2:2" x14ac:dyDescent="0.3">
      <c r="B4691"/>
    </row>
    <row r="4692" spans="2:2" x14ac:dyDescent="0.3">
      <c r="B4692"/>
    </row>
    <row r="4693" spans="2:2" x14ac:dyDescent="0.3">
      <c r="B4693"/>
    </row>
    <row r="4694" spans="2:2" x14ac:dyDescent="0.3">
      <c r="B4694"/>
    </row>
    <row r="4695" spans="2:2" x14ac:dyDescent="0.3">
      <c r="B4695"/>
    </row>
    <row r="4696" spans="2:2" x14ac:dyDescent="0.3">
      <c r="B4696"/>
    </row>
    <row r="4697" spans="2:2" x14ac:dyDescent="0.3">
      <c r="B4697"/>
    </row>
    <row r="4698" spans="2:2" x14ac:dyDescent="0.3">
      <c r="B4698"/>
    </row>
    <row r="4699" spans="2:2" x14ac:dyDescent="0.3">
      <c r="B4699"/>
    </row>
    <row r="4700" spans="2:2" x14ac:dyDescent="0.3">
      <c r="B4700"/>
    </row>
    <row r="4701" spans="2:2" x14ac:dyDescent="0.3">
      <c r="B4701"/>
    </row>
    <row r="4702" spans="2:2" x14ac:dyDescent="0.3">
      <c r="B4702"/>
    </row>
    <row r="4703" spans="2:2" x14ac:dyDescent="0.3">
      <c r="B4703"/>
    </row>
    <row r="4704" spans="2:2" x14ac:dyDescent="0.3">
      <c r="B4704"/>
    </row>
    <row r="4705" spans="2:2" x14ac:dyDescent="0.3">
      <c r="B4705"/>
    </row>
    <row r="4706" spans="2:2" x14ac:dyDescent="0.3">
      <c r="B4706"/>
    </row>
    <row r="4707" spans="2:2" x14ac:dyDescent="0.3">
      <c r="B4707"/>
    </row>
    <row r="4708" spans="2:2" x14ac:dyDescent="0.3">
      <c r="B4708"/>
    </row>
    <row r="4709" spans="2:2" x14ac:dyDescent="0.3">
      <c r="B4709"/>
    </row>
    <row r="4710" spans="2:2" x14ac:dyDescent="0.3">
      <c r="B4710"/>
    </row>
    <row r="4711" spans="2:2" x14ac:dyDescent="0.3">
      <c r="B4711"/>
    </row>
    <row r="4712" spans="2:2" x14ac:dyDescent="0.3">
      <c r="B4712"/>
    </row>
    <row r="4713" spans="2:2" x14ac:dyDescent="0.3">
      <c r="B4713"/>
    </row>
    <row r="4714" spans="2:2" x14ac:dyDescent="0.3">
      <c r="B4714"/>
    </row>
    <row r="4715" spans="2:2" x14ac:dyDescent="0.3">
      <c r="B4715"/>
    </row>
    <row r="4716" spans="2:2" x14ac:dyDescent="0.3">
      <c r="B4716"/>
    </row>
    <row r="4717" spans="2:2" x14ac:dyDescent="0.3">
      <c r="B4717"/>
    </row>
    <row r="4718" spans="2:2" x14ac:dyDescent="0.3">
      <c r="B4718"/>
    </row>
    <row r="4719" spans="2:2" x14ac:dyDescent="0.3">
      <c r="B4719"/>
    </row>
    <row r="4720" spans="2:2" x14ac:dyDescent="0.3">
      <c r="B4720"/>
    </row>
    <row r="4721" spans="2:2" x14ac:dyDescent="0.3">
      <c r="B4721"/>
    </row>
    <row r="4722" spans="2:2" x14ac:dyDescent="0.3">
      <c r="B4722"/>
    </row>
    <row r="4723" spans="2:2" x14ac:dyDescent="0.3">
      <c r="B4723"/>
    </row>
    <row r="4724" spans="2:2" x14ac:dyDescent="0.3">
      <c r="B4724"/>
    </row>
    <row r="4725" spans="2:2" x14ac:dyDescent="0.3">
      <c r="B4725"/>
    </row>
    <row r="4726" spans="2:2" x14ac:dyDescent="0.3">
      <c r="B4726"/>
    </row>
    <row r="4727" spans="2:2" x14ac:dyDescent="0.3">
      <c r="B4727"/>
    </row>
    <row r="4728" spans="2:2" x14ac:dyDescent="0.3">
      <c r="B4728"/>
    </row>
    <row r="4729" spans="2:2" x14ac:dyDescent="0.3">
      <c r="B4729"/>
    </row>
    <row r="4730" spans="2:2" x14ac:dyDescent="0.3">
      <c r="B4730"/>
    </row>
    <row r="4731" spans="2:2" x14ac:dyDescent="0.3">
      <c r="B4731"/>
    </row>
    <row r="4732" spans="2:2" x14ac:dyDescent="0.3">
      <c r="B4732"/>
    </row>
    <row r="4733" spans="2:2" x14ac:dyDescent="0.3">
      <c r="B4733"/>
    </row>
    <row r="4734" spans="2:2" x14ac:dyDescent="0.3">
      <c r="B4734"/>
    </row>
    <row r="4735" spans="2:2" x14ac:dyDescent="0.3">
      <c r="B4735"/>
    </row>
    <row r="4736" spans="2:2" x14ac:dyDescent="0.3">
      <c r="B4736"/>
    </row>
    <row r="4737" spans="2:2" x14ac:dyDescent="0.3">
      <c r="B4737"/>
    </row>
    <row r="4738" spans="2:2" x14ac:dyDescent="0.3">
      <c r="B4738"/>
    </row>
    <row r="4739" spans="2:2" x14ac:dyDescent="0.3">
      <c r="B4739"/>
    </row>
    <row r="4740" spans="2:2" x14ac:dyDescent="0.3">
      <c r="B4740"/>
    </row>
    <row r="4741" spans="2:2" x14ac:dyDescent="0.3">
      <c r="B4741"/>
    </row>
    <row r="4742" spans="2:2" x14ac:dyDescent="0.3">
      <c r="B4742"/>
    </row>
    <row r="4743" spans="2:2" x14ac:dyDescent="0.3">
      <c r="B4743"/>
    </row>
    <row r="4744" spans="2:2" x14ac:dyDescent="0.3">
      <c r="B4744"/>
    </row>
    <row r="4745" spans="2:2" x14ac:dyDescent="0.3">
      <c r="B4745"/>
    </row>
    <row r="4746" spans="2:2" x14ac:dyDescent="0.3">
      <c r="B4746"/>
    </row>
    <row r="4747" spans="2:2" x14ac:dyDescent="0.3">
      <c r="B4747"/>
    </row>
    <row r="4748" spans="2:2" x14ac:dyDescent="0.3">
      <c r="B4748"/>
    </row>
    <row r="4749" spans="2:2" x14ac:dyDescent="0.3">
      <c r="B4749"/>
    </row>
    <row r="4750" spans="2:2" x14ac:dyDescent="0.3">
      <c r="B4750"/>
    </row>
    <row r="4751" spans="2:2" x14ac:dyDescent="0.3">
      <c r="B4751"/>
    </row>
    <row r="4752" spans="2:2" x14ac:dyDescent="0.3">
      <c r="B4752"/>
    </row>
    <row r="4753" spans="2:2" x14ac:dyDescent="0.3">
      <c r="B4753"/>
    </row>
    <row r="4754" spans="2:2" x14ac:dyDescent="0.3">
      <c r="B4754"/>
    </row>
    <row r="4755" spans="2:2" x14ac:dyDescent="0.3">
      <c r="B4755"/>
    </row>
    <row r="4756" spans="2:2" x14ac:dyDescent="0.3">
      <c r="B4756"/>
    </row>
    <row r="4757" spans="2:2" x14ac:dyDescent="0.3">
      <c r="B4757"/>
    </row>
    <row r="4758" spans="2:2" x14ac:dyDescent="0.3">
      <c r="B4758"/>
    </row>
    <row r="4759" spans="2:2" x14ac:dyDescent="0.3">
      <c r="B4759"/>
    </row>
    <row r="4760" spans="2:2" x14ac:dyDescent="0.3">
      <c r="B4760"/>
    </row>
    <row r="4761" spans="2:2" x14ac:dyDescent="0.3">
      <c r="B4761"/>
    </row>
    <row r="4762" spans="2:2" x14ac:dyDescent="0.3">
      <c r="B4762"/>
    </row>
    <row r="4763" spans="2:2" x14ac:dyDescent="0.3">
      <c r="B4763"/>
    </row>
    <row r="4764" spans="2:2" x14ac:dyDescent="0.3">
      <c r="B4764"/>
    </row>
    <row r="4765" spans="2:2" x14ac:dyDescent="0.3">
      <c r="B4765"/>
    </row>
    <row r="4766" spans="2:2" x14ac:dyDescent="0.3">
      <c r="B4766"/>
    </row>
    <row r="4767" spans="2:2" x14ac:dyDescent="0.3">
      <c r="B4767"/>
    </row>
    <row r="4768" spans="2:2" x14ac:dyDescent="0.3">
      <c r="B4768"/>
    </row>
    <row r="4769" spans="2:2" x14ac:dyDescent="0.3">
      <c r="B4769"/>
    </row>
    <row r="4770" spans="2:2" x14ac:dyDescent="0.3">
      <c r="B4770"/>
    </row>
    <row r="4771" spans="2:2" x14ac:dyDescent="0.3">
      <c r="B4771"/>
    </row>
    <row r="4772" spans="2:2" x14ac:dyDescent="0.3">
      <c r="B4772"/>
    </row>
    <row r="4773" spans="2:2" x14ac:dyDescent="0.3">
      <c r="B4773"/>
    </row>
    <row r="4774" spans="2:2" x14ac:dyDescent="0.3">
      <c r="B4774"/>
    </row>
    <row r="4775" spans="2:2" x14ac:dyDescent="0.3">
      <c r="B4775"/>
    </row>
    <row r="4776" spans="2:2" x14ac:dyDescent="0.3">
      <c r="B4776"/>
    </row>
    <row r="4777" spans="2:2" x14ac:dyDescent="0.3">
      <c r="B4777"/>
    </row>
    <row r="4778" spans="2:2" x14ac:dyDescent="0.3">
      <c r="B4778"/>
    </row>
    <row r="4779" spans="2:2" x14ac:dyDescent="0.3">
      <c r="B4779"/>
    </row>
    <row r="4780" spans="2:2" x14ac:dyDescent="0.3">
      <c r="B4780"/>
    </row>
    <row r="4781" spans="2:2" x14ac:dyDescent="0.3">
      <c r="B4781"/>
    </row>
    <row r="4782" spans="2:2" x14ac:dyDescent="0.3">
      <c r="B4782"/>
    </row>
    <row r="4783" spans="2:2" x14ac:dyDescent="0.3">
      <c r="B4783"/>
    </row>
    <row r="4784" spans="2:2" x14ac:dyDescent="0.3">
      <c r="B4784"/>
    </row>
    <row r="4785" spans="2:2" x14ac:dyDescent="0.3">
      <c r="B4785"/>
    </row>
    <row r="4786" spans="2:2" x14ac:dyDescent="0.3">
      <c r="B4786"/>
    </row>
    <row r="4787" spans="2:2" x14ac:dyDescent="0.3">
      <c r="B4787"/>
    </row>
    <row r="4788" spans="2:2" x14ac:dyDescent="0.3">
      <c r="B4788"/>
    </row>
    <row r="4789" spans="2:2" x14ac:dyDescent="0.3">
      <c r="B4789"/>
    </row>
    <row r="4790" spans="2:2" x14ac:dyDescent="0.3">
      <c r="B4790"/>
    </row>
    <row r="4791" spans="2:2" x14ac:dyDescent="0.3">
      <c r="B4791"/>
    </row>
    <row r="4792" spans="2:2" x14ac:dyDescent="0.3">
      <c r="B4792"/>
    </row>
    <row r="4793" spans="2:2" x14ac:dyDescent="0.3">
      <c r="B4793"/>
    </row>
    <row r="4794" spans="2:2" x14ac:dyDescent="0.3">
      <c r="B4794"/>
    </row>
    <row r="4795" spans="2:2" x14ac:dyDescent="0.3">
      <c r="B4795"/>
    </row>
    <row r="4796" spans="2:2" x14ac:dyDescent="0.3">
      <c r="B4796"/>
    </row>
    <row r="4797" spans="2:2" x14ac:dyDescent="0.3">
      <c r="B4797"/>
    </row>
    <row r="4798" spans="2:2" x14ac:dyDescent="0.3">
      <c r="B4798"/>
    </row>
    <row r="4799" spans="2:2" x14ac:dyDescent="0.3">
      <c r="B4799"/>
    </row>
    <row r="4800" spans="2:2" x14ac:dyDescent="0.3">
      <c r="B4800"/>
    </row>
    <row r="4801" spans="2:2" x14ac:dyDescent="0.3">
      <c r="B4801"/>
    </row>
    <row r="4802" spans="2:2" x14ac:dyDescent="0.3">
      <c r="B4802"/>
    </row>
    <row r="4803" spans="2:2" x14ac:dyDescent="0.3">
      <c r="B4803"/>
    </row>
    <row r="4804" spans="2:2" x14ac:dyDescent="0.3">
      <c r="B4804"/>
    </row>
    <row r="4805" spans="2:2" x14ac:dyDescent="0.3">
      <c r="B4805"/>
    </row>
    <row r="4806" spans="2:2" x14ac:dyDescent="0.3">
      <c r="B4806"/>
    </row>
    <row r="4807" spans="2:2" x14ac:dyDescent="0.3">
      <c r="B4807"/>
    </row>
    <row r="4808" spans="2:2" x14ac:dyDescent="0.3">
      <c r="B4808"/>
    </row>
    <row r="4809" spans="2:2" x14ac:dyDescent="0.3">
      <c r="B4809"/>
    </row>
    <row r="4810" spans="2:2" x14ac:dyDescent="0.3">
      <c r="B4810"/>
    </row>
    <row r="4811" spans="2:2" x14ac:dyDescent="0.3">
      <c r="B4811"/>
    </row>
    <row r="4812" spans="2:2" x14ac:dyDescent="0.3">
      <c r="B4812"/>
    </row>
    <row r="4813" spans="2:2" x14ac:dyDescent="0.3">
      <c r="B4813"/>
    </row>
    <row r="4814" spans="2:2" x14ac:dyDescent="0.3">
      <c r="B4814"/>
    </row>
    <row r="4815" spans="2:2" x14ac:dyDescent="0.3">
      <c r="B4815"/>
    </row>
    <row r="4816" spans="2:2" x14ac:dyDescent="0.3">
      <c r="B4816"/>
    </row>
    <row r="4817" spans="2:2" x14ac:dyDescent="0.3">
      <c r="B4817"/>
    </row>
    <row r="4818" spans="2:2" x14ac:dyDescent="0.3">
      <c r="B4818"/>
    </row>
    <row r="4819" spans="2:2" x14ac:dyDescent="0.3">
      <c r="B4819"/>
    </row>
    <row r="4820" spans="2:2" x14ac:dyDescent="0.3">
      <c r="B4820"/>
    </row>
    <row r="4821" spans="2:2" x14ac:dyDescent="0.3">
      <c r="B4821"/>
    </row>
    <row r="4822" spans="2:2" x14ac:dyDescent="0.3">
      <c r="B4822"/>
    </row>
    <row r="4823" spans="2:2" x14ac:dyDescent="0.3">
      <c r="B4823"/>
    </row>
    <row r="4824" spans="2:2" x14ac:dyDescent="0.3">
      <c r="B4824"/>
    </row>
    <row r="4825" spans="2:2" x14ac:dyDescent="0.3">
      <c r="B4825"/>
    </row>
    <row r="4826" spans="2:2" x14ac:dyDescent="0.3">
      <c r="B4826"/>
    </row>
    <row r="4827" spans="2:2" x14ac:dyDescent="0.3">
      <c r="B4827"/>
    </row>
    <row r="4828" spans="2:2" x14ac:dyDescent="0.3">
      <c r="B4828"/>
    </row>
    <row r="4829" spans="2:2" x14ac:dyDescent="0.3">
      <c r="B4829"/>
    </row>
    <row r="4830" spans="2:2" x14ac:dyDescent="0.3">
      <c r="B4830"/>
    </row>
    <row r="4831" spans="2:2" x14ac:dyDescent="0.3">
      <c r="B4831"/>
    </row>
    <row r="4832" spans="2:2" x14ac:dyDescent="0.3">
      <c r="B4832"/>
    </row>
    <row r="4833" spans="2:2" x14ac:dyDescent="0.3">
      <c r="B4833"/>
    </row>
    <row r="4834" spans="2:2" x14ac:dyDescent="0.3">
      <c r="B4834"/>
    </row>
    <row r="4835" spans="2:2" x14ac:dyDescent="0.3">
      <c r="B4835"/>
    </row>
    <row r="4836" spans="2:2" x14ac:dyDescent="0.3">
      <c r="B4836"/>
    </row>
    <row r="4837" spans="2:2" x14ac:dyDescent="0.3">
      <c r="B4837"/>
    </row>
    <row r="4838" spans="2:2" x14ac:dyDescent="0.3">
      <c r="B4838"/>
    </row>
    <row r="4839" spans="2:2" x14ac:dyDescent="0.3">
      <c r="B4839"/>
    </row>
    <row r="4840" spans="2:2" x14ac:dyDescent="0.3">
      <c r="B4840"/>
    </row>
    <row r="4841" spans="2:2" x14ac:dyDescent="0.3">
      <c r="B4841"/>
    </row>
    <row r="4842" spans="2:2" x14ac:dyDescent="0.3">
      <c r="B4842"/>
    </row>
    <row r="4843" spans="2:2" x14ac:dyDescent="0.3">
      <c r="B4843"/>
    </row>
    <row r="4844" spans="2:2" x14ac:dyDescent="0.3">
      <c r="B4844"/>
    </row>
    <row r="4845" spans="2:2" x14ac:dyDescent="0.3">
      <c r="B4845"/>
    </row>
    <row r="4846" spans="2:2" x14ac:dyDescent="0.3">
      <c r="B4846"/>
    </row>
    <row r="4847" spans="2:2" x14ac:dyDescent="0.3">
      <c r="B4847"/>
    </row>
    <row r="4848" spans="2:2" x14ac:dyDescent="0.3">
      <c r="B4848"/>
    </row>
    <row r="4849" spans="2:2" x14ac:dyDescent="0.3">
      <c r="B4849"/>
    </row>
    <row r="4850" spans="2:2" x14ac:dyDescent="0.3">
      <c r="B4850"/>
    </row>
    <row r="4851" spans="2:2" x14ac:dyDescent="0.3">
      <c r="B4851"/>
    </row>
    <row r="4852" spans="2:2" x14ac:dyDescent="0.3">
      <c r="B4852"/>
    </row>
    <row r="4853" spans="2:2" x14ac:dyDescent="0.3">
      <c r="B4853"/>
    </row>
    <row r="4854" spans="2:2" x14ac:dyDescent="0.3">
      <c r="B4854"/>
    </row>
    <row r="4855" spans="2:2" x14ac:dyDescent="0.3">
      <c r="B4855"/>
    </row>
    <row r="4856" spans="2:2" x14ac:dyDescent="0.3">
      <c r="B4856"/>
    </row>
    <row r="4857" spans="2:2" x14ac:dyDescent="0.3">
      <c r="B4857"/>
    </row>
    <row r="4858" spans="2:2" x14ac:dyDescent="0.3">
      <c r="B4858"/>
    </row>
    <row r="4859" spans="2:2" x14ac:dyDescent="0.3">
      <c r="B4859"/>
    </row>
    <row r="4860" spans="2:2" x14ac:dyDescent="0.3">
      <c r="B4860"/>
    </row>
    <row r="4861" spans="2:2" x14ac:dyDescent="0.3">
      <c r="B4861"/>
    </row>
    <row r="4862" spans="2:2" x14ac:dyDescent="0.3">
      <c r="B486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63517-41F8-41A1-A159-D04D80446973}">
  <dimension ref="A1"/>
  <sheetViews>
    <sheetView showGridLines="0" workbookViewId="0">
      <selection activeCell="H3" sqref="H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Current Employees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Amarthya Paul</dc:creator>
  <cp:lastModifiedBy>Amarthya Paul</cp:lastModifiedBy>
  <dcterms:created xsi:type="dcterms:W3CDTF">2026-10-12T21:31:42Z</dcterms:created>
  <dcterms:modified xsi:type="dcterms:W3CDTF">2026-10-12T21:33:32Z</dcterms:modified>
</cp:coreProperties>
</file>